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97d1669ce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39eeb29cb644a72"/>
    <x:sheet xmlns:r="http://schemas.openxmlformats.org/officeDocument/2006/relationships" name="CAPEX Quantity" sheetId="2" r:id="R779ff3ffebc74990"/>
    <x:sheet xmlns:r="http://schemas.openxmlformats.org/officeDocument/2006/relationships" name="Conditional Gates" sheetId="3" r:id="Reb104f26d37c4621"/>
    <x:sheet xmlns:r="http://schemas.openxmlformats.org/officeDocument/2006/relationships" name="RFQ Collection" sheetId="4" r:id="Rcafd8bcc839744f1"/>
    <x:sheet xmlns:r="http://schemas.openxmlformats.org/officeDocument/2006/relationships" name="RFQ Comparison" sheetId="5" r:id="R88342fd0adec4849"/>
    <x:sheet xmlns:r="http://schemas.openxmlformats.org/officeDocument/2006/relationships" name="Working Capital" sheetId="6" r:id="R6bca29c295494f66"/>
    <x:sheet xmlns:r="http://schemas.openxmlformats.org/officeDocument/2006/relationships" name="Cash Flow 13W" sheetId="7" r:id="R992ee5bdcb554d39"/>
    <x:sheet xmlns:r="http://schemas.openxmlformats.org/officeDocument/2006/relationships" name="Checks" sheetId="8" r:id="Rebb2b622a5b54b3a"/>
    <x:sheet xmlns:r="http://schemas.openxmlformats.org/officeDocument/2006/relationships" name="Missing Documents" sheetId="9" r:id="Ra514e25dccf64a65"/>
    <x:sheet xmlns:r="http://schemas.openxmlformats.org/officeDocument/2006/relationships" name="Legacy Mapping" sheetId="10" r:id="R253ccc96881b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#,##0.00;[Red](#,##0.00);-"/>
  </x:numFmts>
  <x:fonts count="7">
    <x:font>
      <x:sz val="11"/>
      <x:name val="Carlito"/>
    </x:font>
    <x:font>
      <x:sz val="9"/>
      <x:color rgb="FF1F2937"/>
      <x:name val="Aptos"/>
    </x:font>
    <x:font>
      <x:b/>
      <x:sz val="9"/>
      <x:color rgb="FFFFFFFF"/>
      <x:name val="Aptos Display"/>
    </x:font>
    <x:font>
      <x:b/>
      <x:sz val="18"/>
      <x:color rgb="FFFFFFFF"/>
      <x:name val="Aptos Display"/>
    </x:font>
    <x:font>
      <x:i/>
      <x:sz val="10"/>
      <x:color rgb="FF1F2937"/>
      <x:name val="Aptos"/>
    </x:font>
    <x:font>
      <x:sz val="10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8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7" xfId="0" applyNumberFormat="1" applyFont="1" applyFill="1" applyBorder="1"/>
    <x:xf numFmtId="0" fontId="5" fillId="0" borderId="7" xfId="0" applyNumberFormat="1" applyFont="1" applyFill="1" applyBorder="1"/>
    <x:xf numFmtId="200" fontId="1" fillId="0" borderId="5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201" fontId="1" fillId="0" borderId="5" xfId="0" applyNumberFormat="1" applyFont="1" applyFill="1" applyBorder="1" applyAlignment="1">
      <x:alignment vertical="center" wrapText="1"/>
    </x:xf>
    <x:xf numFmtId="201" fontId="1" fillId="0" borderId="6" xfId="0" applyNumberFormat="1" applyFont="1" applyFill="1" applyBorder="1" applyAlignment="1">
      <x:alignment vertical="center" wrapText="1"/>
    </x:xf>
    <x:xf numFmtId="202" fontId="1" fillId="0" borderId="5" xfId="0" applyNumberFormat="1" applyFont="1" applyFill="1" applyBorder="1" applyAlignment="1">
      <x:alignment vertical="center" wrapText="1"/>
    </x:xf>
    <x:xf numFmtId="202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e6dba3f11412b" /><Relationship Type="http://schemas.openxmlformats.org/officeDocument/2006/relationships/theme" Target="/xl/theme/theme1.xml" Id="Rac616cb8a99c4746" /><Relationship Type="http://schemas.openxmlformats.org/officeDocument/2006/relationships/sharedStrings" Target="/xl/sharedStrings.xml" Id="R24c2c9ed23d842b3" /><Relationship Type="http://schemas.openxmlformats.org/officeDocument/2006/relationships/worksheet" Target="/xl/worksheets/sheet1.xml" Id="R939eeb29cb644a72" /><Relationship Type="http://schemas.openxmlformats.org/officeDocument/2006/relationships/worksheet" Target="/xl/worksheets/sheet2.xml" Id="R779ff3ffebc74990" /><Relationship Type="http://schemas.openxmlformats.org/officeDocument/2006/relationships/worksheet" Target="/xl/worksheets/sheet3.xml" Id="Reb104f26d37c4621" /><Relationship Type="http://schemas.openxmlformats.org/officeDocument/2006/relationships/worksheet" Target="/xl/worksheets/sheet4.xml" Id="Rcafd8bcc839744f1" /><Relationship Type="http://schemas.openxmlformats.org/officeDocument/2006/relationships/worksheet" Target="/xl/worksheets/sheet5.xml" Id="R88342fd0adec4849" /><Relationship Type="http://schemas.openxmlformats.org/officeDocument/2006/relationships/worksheet" Target="/xl/worksheets/sheet6.xml" Id="R6bca29c295494f66" /><Relationship Type="http://schemas.openxmlformats.org/officeDocument/2006/relationships/worksheet" Target="/xl/worksheets/sheet7.xml" Id="R992ee5bdcb554d39" /><Relationship Type="http://schemas.openxmlformats.org/officeDocument/2006/relationships/worksheet" Target="/xl/worksheets/sheet8.xml" Id="Rebb2b622a5b54b3a" /><Relationship Type="http://schemas.openxmlformats.org/officeDocument/2006/relationships/worksheet" Target="/xl/worksheets/sheet9.xml" Id="Ra514e25dccf64a65" /><Relationship Type="http://schemas.openxmlformats.org/officeDocument/2006/relationships/worksheet" Target="/xl/worksheets/sheet10.xml" Id="R253ccc96881b4c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8" hidden="0" customWidth="1"/>
  </x:cols>
  <x:sheetData>
    <x:row r="1" ht="34" customHeight="1">
      <x:c r="A1" s="13" t="str">
        <x:v>VARSHAVKA v3.0.0 — инвестиционный пакет</x:v>
      </x:c>
      <x:c r="B1" s="13"/>
      <x:c r="C1" s="13"/>
      <x:c r="D1" s="13"/>
      <x:c r="E1" s="13"/>
      <x:c r="F1" s="13"/>
      <x:c r="G1" s="13"/>
      <x:c r="H1" s="13"/>
    </x:row>
    <x:row r="2" ht="36" customHeight="1">
      <x:c r="A2" s="15" t="str">
        <x:v>Структура CAPEX, RFQ, оборотного капитала и 13-недельного Cash Flow. Цены, IRR, NPV и срок окупаемости не рассчитываются.</x:v>
      </x:c>
      <x:c r="B2" s="15"/>
      <x:c r="C2" s="15"/>
      <x:c r="D2" s="15"/>
      <x:c r="E2" s="15"/>
      <x:c r="F2" s="15"/>
      <x:c r="G2" s="15"/>
      <x:c r="H2" s="15"/>
    </x:row>
    <x:row r="4">
      <x:c r="A4" s="19" t="str">
        <x:v>Параметр</x:v>
      </x:c>
      <x:c r="B4" s="19" t="str">
        <x:v>Значение</x:v>
      </x:c>
    </x:row>
    <x:row r="5">
      <x:c r="A5" s="20" t="str">
        <x:v>Версия</x:v>
      </x:c>
      <x:c r="B5" s="20" t="str">
        <x:v>3.0.0</x:v>
      </x:c>
    </x:row>
    <x:row r="6">
      <x:c r="A6" s="20" t="str">
        <x:v>Сценарий</x:v>
      </x:c>
      <x:c r="B6" s="20" t="str">
        <x:v>S04</x:v>
      </x:c>
    </x:row>
    <x:row r="7">
      <x:c r="A7" s="20" t="str">
        <x:v>Дата структуры</x:v>
      </x:c>
      <x:c r="B7" s="20" t="str">
        <x:v>2026-07-28</x:v>
      </x:c>
    </x:row>
    <x:row r="8">
      <x:c r="A8" s="20" t="str">
        <x:v>Главный ключ</x:v>
      </x:c>
      <x:c r="B8" s="20" t="str">
        <x:v>INV_CODE</x:v>
      </x:c>
    </x:row>
    <x:row r="9">
      <x:c r="A9" s="20" t="str">
        <x:v>Цены</x:v>
      </x:c>
      <x:c r="B9" s="20" t="str">
        <x:v>NOT_REQUESTED</x:v>
      </x:c>
    </x:row>
    <x:row r="10">
      <x:c r="A10" s="20" t="str">
        <x:v>Исторический источник</x:v>
      </x:c>
      <x:c r="B10" s="20" t="str">
        <x:v>VARSHAVKA_Спецификация_оборудования_Кухни_верифицированная_по_меню.docx</x:v>
      </x:c>
    </x:row>
    <x:row r="11">
      <x:c r="A11" s="20" t="str">
        <x:v>SHA-256</x:v>
      </x:c>
      <x:c r="B11" s="20" t="str">
        <x:v>b3231fa6159a529f52dfd8eb82f309de825469f1d3666d0a109c1d9a66bf6d62</x:v>
      </x:c>
    </x:row>
    <x:row r="12">
      <x:c r="A12" s="20"/>
      <x:c r="B12" s="20"/>
    </x:row>
    <x:row r="13">
      <x:c r="A13" s="19" t="str">
        <x:v>Лист</x:v>
      </x:c>
      <x:c r="B13" s="19" t="str">
        <x:v>Назначение</x:v>
      </x:c>
    </x:row>
    <x:row r="14">
      <x:c r="A14" s="20" t="str">
        <x:v>CAPEX Quantity</x:v>
      </x:c>
      <x:c r="B14" s="20" t="str">
        <x:v>CAPEX_QUANTITY_SPECIFICATION</x:v>
      </x:c>
    </x:row>
    <x:row r="15">
      <x:c r="A15" s="20" t="str">
        <x:v>Conditional Gates</x:v>
      </x:c>
      <x:c r="B15" s="20" t="str">
        <x:v>CONDITIONAL_EQUIPMENT_GATES</x:v>
      </x:c>
    </x:row>
    <x:row r="16">
      <x:c r="A16" s="20" t="str">
        <x:v>RFQ Collection</x:v>
      </x:c>
      <x:c r="B16" s="20" t="str">
        <x:v>RFQ_PRICE_COLLECTION_TEMPLATE</x:v>
      </x:c>
    </x:row>
    <x:row r="17">
      <x:c r="A17" s="20" t="str">
        <x:v>RFQ Comparison</x:v>
      </x:c>
      <x:c r="B17" s="20" t="str">
        <x:v>RFQ_COMPARISON_TEMPLATE</x:v>
      </x:c>
    </x:row>
    <x:row r="18">
      <x:c r="A18" s="20" t="str">
        <x:v>Working Capital</x:v>
      </x:c>
      <x:c r="B18" s="20" t="str">
        <x:v>WORKING_CAPITAL_INPUT_TEMPLATE</x:v>
      </x:c>
    </x:row>
    <x:row r="19">
      <x:c r="A19" s="20" t="str">
        <x:v>Cash Flow 13W</x:v>
      </x:c>
      <x:c r="B19" s="20" t="str">
        <x:v>CASH_FLOW_13W_INPUT_TEMPLATE</x:v>
      </x:c>
    </x:row>
    <x:row r="20">
      <x:c r="A20" s="20" t="str">
        <x:v>Checks</x:v>
      </x:c>
      <x:c r="B20" s="20" t="str">
        <x:v>INVESTMENT_CONTROL_CHECKS</x:v>
      </x:c>
    </x:row>
    <x:row r="21">
      <x:c r="A21" s="20" t="str">
        <x:v>Missing Documents</x:v>
      </x:c>
      <x:c r="B21" s="20" t="str">
        <x:v>MISSING_INVESTMENT_DOCUMENTS_REGISTER</x:v>
      </x:c>
    </x:row>
    <x:row r="22">
      <x:c r="A22" s="20" t="str">
        <x:v>Legacy Mapping</x:v>
      </x:c>
      <x:c r="B22" s="20" t="str">
        <x:v>LEGACY_EQUIPMENT_CODE_MAPPING</x:v>
      </x:c>
    </x:row>
    <x:row r="23">
      <x:c r="A23" s="20"/>
      <x:c r="B23" s="20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8" hidden="0" customWidth="1"/>
    <x:col min="10" max="10" width="17.850000381469727" hidden="0" customWidth="1"/>
    <x:col min="11" max="11" width="11" hidden="0" customWidth="1"/>
    <x:col min="12" max="12" width="12.75" hidden="0" customWidth="1"/>
    <x:col min="13" max="13" width="15.300000190734863" hidden="0" customWidth="1"/>
    <x:col min="14" max="14" width="14.449999809265137" hidden="0" customWidth="1"/>
    <x:col min="15" max="15" width="13.600000381469727" hidden="0" customWidth="1"/>
    <x:col min="16" max="16" width="28" hidden="0" customWidth="1"/>
    <x:col min="17" max="17" width="14.449999809265137" hidden="0" customWidth="1"/>
    <x:col min="18" max="18" width="17.850000381469727" hidden="0" customWidth="1"/>
    <x:col min="19" max="19" width="19.549999237060547" hidden="0" customWidth="1"/>
    <x:col min="20" max="20" width="14.449999809265137" hidden="0" customWidth="1"/>
    <x:col min="21" max="21" width="11" hidden="0" customWidth="1"/>
    <x:col min="22" max="22" width="18" hidden="0" customWidth="1"/>
    <x:col min="23" max="23" width="18" hidden="0" customWidth="1"/>
    <x:col min="24" max="24" width="11" hidden="0" customWidth="1"/>
    <x:col min="25" max="25" width="12.75" hidden="0" customWidth="1"/>
    <x:col min="26" max="26" width="28" hidden="0" customWidth="1"/>
  </x:cols>
  <x:sheetData>
    <x:row r="1" ht="34" customHeight="1">
      <x:c r="A1" s="9" t="str">
        <x:v>INV_CODE</x:v>
      </x:c>
      <x:c r="B1" s="9" t="str">
        <x:v>LEGACY_FUNC_CODE</x:v>
      </x:c>
      <x:c r="C1" s="9" t="str">
        <x:v>CURRENT_FUNC_CODE</x:v>
      </x:c>
      <x:c r="D1" s="9" t="str">
        <x:v>ASSET_NAME</x:v>
      </x:c>
      <x:c r="E1" s="9" t="str">
        <x:v>ASSET_GROUP</x:v>
      </x:c>
      <x:c r="F1" s="9" t="str">
        <x:v>SUBGROUP</x:v>
      </x:c>
      <x:c r="G1" s="9" t="str">
        <x:v>QUANTITY</x:v>
      </x:c>
      <x:c r="H1" s="9" t="str">
        <x:v>UNIT</x:v>
      </x:c>
      <x:c r="I1" s="9" t="str">
        <x:v>MIN_TECH_REQUIREMENT</x:v>
      </x:c>
      <x:c r="J1" s="9" t="str">
        <x:v>PROJECT_DIMENSIONS_MM</x:v>
      </x:c>
      <x:c r="K1" s="9" t="str">
        <x:v>CONNECTIONS</x:v>
      </x:c>
      <x:c r="L1" s="9" t="str">
        <x:v>SERVICE_ZONE_MM</x:v>
      </x:c>
      <x:c r="M1" s="9" t="str">
        <x:v>BUSINESS_DIRECTION</x:v>
      </x:c>
      <x:c r="N1" s="9" t="str">
        <x:v>ALLOCATION_DRIVER</x:v>
      </x:c>
      <x:c r="O1" s="9" t="str">
        <x:v>MANDATORY_STATUS</x:v>
      </x:c>
      <x:c r="P1" s="9" t="str">
        <x:v>ACTIVATION_GATE</x:v>
      </x:c>
      <x:c r="Q1" s="9" t="str">
        <x:v>BASE_SCENARIO_QTY</x:v>
      </x:c>
      <x:c r="R1" s="9" t="str">
        <x:v>OPTIONAL_SCENARIO_QTY</x:v>
      </x:c>
      <x:c r="S1" s="9" t="str">
        <x:v>HISTORICAL_ESTIMATE_RUB</x:v>
      </x:c>
      <x:c r="T1" s="9" t="str">
        <x:v>CURRENT_PRICE_RUB</x:v>
      </x:c>
      <x:c r="U1" s="9" t="str">
        <x:v>PRICE_STATUS</x:v>
      </x:c>
      <x:c r="V1" s="9" t="str">
        <x:v>SOURCE_ID</x:v>
      </x:c>
      <x:c r="W1" s="9" t="str">
        <x:v>ISSUE_ID</x:v>
      </x:c>
      <x:c r="X1" s="9" t="str">
        <x:v>OWNER</x:v>
      </x:c>
      <x:c r="Y1" s="9" t="str">
        <x:v>APPROVAL_STATUS</x:v>
      </x:c>
      <x:c r="Z1" s="9" t="str">
        <x:v>NOTES</x:v>
      </x:c>
    </x:row>
    <x:row r="2" ht="30" customHeight="1">
      <x:c r="A2" s="10" t="str">
        <x:v>CAPEX.PRJ.001</x:v>
      </x:c>
      <x:c r="B2" s="10" t="str"/>
      <x:c r="C2" s="10" t="str">
        <x:v>PRJ-01</x:v>
      </x:c>
      <x:c r="D2" s="10" t="str">
        <x:v>Обмеры и обследование помещения</x:v>
      </x:c>
      <x:c r="E2" s="10" t="str">
        <x:v>CAPEX</x:v>
      </x:c>
      <x:c r="F2" s="10" t="str">
        <x:v>Проектирование</x:v>
      </x:c>
      <x:c r="G2" s="10" t="n">
        <x:v>1</x:v>
      </x:c>
      <x:c r="H2" s="10" t="str">
        <x:v>объект</x:v>
      </x:c>
      <x:c r="I2" s="10" t="str">
        <x:v>Обмеры всех функциональных зон</x:v>
      </x:c>
      <x:c r="J2" s="10" t="str">
        <x:v>по объекту</x:v>
      </x:c>
      <x:c r="K2" s="10" t="str">
        <x:v>—</x:v>
      </x:c>
      <x:c r="L2" s="10" t="str">
        <x:v>—</x:v>
      </x:c>
      <x:c r="M2" s="10" t="str">
        <x:v>SHARED</x:v>
      </x:c>
      <x:c r="N2" s="10" t="str">
        <x:v>D02_AREA</x:v>
      </x:c>
      <x:c r="O2" s="10" t="str">
        <x:v>MANDATORY</x:v>
      </x:c>
      <x:c r="P2" s="10" t="str"/>
      <x:c r="Q2" s="10" t="str">
        <x:v>1</x:v>
      </x:c>
      <x:c r="R2" s="10" t="n">
        <x:v>0</x:v>
      </x:c>
      <x:c r="S2" s="10" t="str"/>
      <x:c r="T2" s="10" t="str"/>
      <x:c r="U2" s="10" t="str">
        <x:v>NOT_REQUESTED</x:v>
      </x:c>
      <x:c r="V2" s="10" t="str"/>
      <x:c r="W2" s="10" t="str">
        <x:v>V-I-040</x:v>
      </x:c>
      <x:c r="X2" s="10" t="str">
        <x:v>Проектировщик</x:v>
      </x:c>
      <x:c r="Y2" s="10" t="str">
        <x:v>APPROVED_STRUCTURE</x:v>
      </x:c>
      <x:c r="Z2" s="10" t="str"/>
    </x:row>
    <x:row r="3" ht="30" customHeight="1">
      <x:c r="A3" s="10" t="str">
        <x:v>CAPEX.PRJ.002</x:v>
      </x:c>
      <x:c r="B3" s="10" t="str"/>
      <x:c r="C3" s="10" t="str">
        <x:v>PRJ-02</x:v>
      </x:c>
      <x:c r="D3" s="10" t="str">
        <x:v>Технологический проект Кухни и бара</x:v>
      </x:c>
      <x:c r="E3" s="10" t="str">
        <x:v>CAPEX</x:v>
      </x:c>
      <x:c r="F3" s="10" t="str">
        <x:v>Проектирование</x:v>
      </x:c>
      <x:c r="G3" s="10" t="n">
        <x:v>1</x:v>
      </x:c>
      <x:c r="H3" s="10" t="str">
        <x:v>комплект</x:v>
      </x:c>
      <x:c r="I3" s="10" t="str">
        <x:v>Планировка, потоки, оборудование, подключения</x:v>
      </x:c>
      <x:c r="J3" s="10" t="str">
        <x:v>по объекту</x:v>
      </x:c>
      <x:c r="K3" s="10" t="str">
        <x:v>—</x:v>
      </x:c>
      <x:c r="L3" s="10" t="str">
        <x:v>—</x:v>
      </x:c>
      <x:c r="M3" s="10" t="str">
        <x:v>SHARED</x:v>
      </x:c>
      <x:c r="N3" s="10" t="str">
        <x:v>D13_DIRECT_COST</x:v>
      </x:c>
      <x:c r="O3" s="10" t="str">
        <x:v>MANDATORY</x:v>
      </x:c>
      <x:c r="P3" s="10" t="str"/>
      <x:c r="Q3" s="10" t="str">
        <x:v>1</x:v>
      </x:c>
      <x:c r="R3" s="10" t="n">
        <x:v>0</x:v>
      </x:c>
      <x:c r="S3" s="10" t="str"/>
      <x:c r="T3" s="10" t="str"/>
      <x:c r="U3" s="10" t="str">
        <x:v>NOT_REQUESTED</x:v>
      </x:c>
      <x:c r="V3" s="10" t="str"/>
      <x:c r="W3" s="10" t="str">
        <x:v>V-I-043</x:v>
      </x:c>
      <x:c r="X3" s="10" t="str">
        <x:v>Проектировщик</x:v>
      </x:c>
      <x:c r="Y3" s="10" t="str">
        <x:v>APPROVED_STRUCTURE</x:v>
      </x:c>
      <x:c r="Z3" s="10" t="str"/>
    </x:row>
    <x:row r="4" ht="30" customHeight="1">
      <x:c r="A4" s="10" t="str">
        <x:v>CAPEX.PRJ.003</x:v>
      </x:c>
      <x:c r="B4" s="10" t="str"/>
      <x:c r="C4" s="10" t="str">
        <x:v>PRJ-03</x:v>
      </x:c>
      <x:c r="D4" s="10" t="str">
        <x:v>Архитектурно-планировочный проект</x:v>
      </x:c>
      <x:c r="E4" s="10" t="str">
        <x:v>CAPEX</x:v>
      </x:c>
      <x:c r="F4" s="10" t="str">
        <x:v>Проектирование</x:v>
      </x:c>
      <x:c r="G4" s="10" t="n">
        <x:v>1</x:v>
      </x:c>
      <x:c r="H4" s="10" t="str">
        <x:v>комплект</x:v>
      </x:c>
      <x:c r="I4" s="10" t="str">
        <x:v>20 рабочих и до 26 предельных мест</x:v>
      </x:c>
      <x:c r="J4" s="10" t="str">
        <x:v>по объекту</x:v>
      </x:c>
      <x:c r="K4" s="10" t="str">
        <x:v>—</x:v>
      </x:c>
      <x:c r="L4" s="10" t="str">
        <x:v>—</x:v>
      </x:c>
      <x:c r="M4" s="10" t="str">
        <x:v>SHARED</x:v>
      </x:c>
      <x:c r="N4" s="10" t="str">
        <x:v>D02_AREA</x:v>
      </x:c>
      <x:c r="O4" s="10" t="str">
        <x:v>MANDATORY</x:v>
      </x:c>
      <x:c r="P4" s="10" t="str"/>
      <x:c r="Q4" s="10" t="str">
        <x:v>1</x:v>
      </x:c>
      <x:c r="R4" s="10" t="n">
        <x:v>0</x:v>
      </x:c>
      <x:c r="S4" s="10" t="str"/>
      <x:c r="T4" s="10" t="str"/>
      <x:c r="U4" s="10" t="str">
        <x:v>NOT_REQUESTED</x:v>
      </x:c>
      <x:c r="V4" s="10" t="str"/>
      <x:c r="W4" s="10" t="str">
        <x:v>V-I-040</x:v>
      </x:c>
      <x:c r="X4" s="10" t="str">
        <x:v>Проектировщик</x:v>
      </x:c>
      <x:c r="Y4" s="10" t="str">
        <x:v>APPROVED_STRUCTURE</x:v>
      </x:c>
      <x:c r="Z4" s="10" t="str"/>
    </x:row>
    <x:row r="5" ht="30" customHeight="1">
      <x:c r="A5" s="10" t="str">
        <x:v>CAPEX.PRJ.004</x:v>
      </x:c>
      <x:c r="B5" s="10" t="str"/>
      <x:c r="C5" s="10" t="str">
        <x:v>PRJ-04</x:v>
      </x:c>
      <x:c r="D5" s="10" t="str">
        <x:v>Проект электроснабжения</x:v>
      </x:c>
      <x:c r="E5" s="10" t="str">
        <x:v>CAPEX</x:v>
      </x:c>
      <x:c r="F5" s="10" t="str">
        <x:v>Проектирование</x:v>
      </x:c>
      <x:c r="G5" s="10" t="n">
        <x:v>1</x:v>
      </x:c>
      <x:c r="H5" s="10" t="str">
        <x:v>комплект</x:v>
      </x:c>
      <x:c r="I5" s="10" t="str">
        <x:v>Сценарии 100/125/150 кВт</x:v>
      </x:c>
      <x:c r="J5" s="10" t="str">
        <x:v>по объекту</x:v>
      </x:c>
      <x:c r="K5" s="10" t="str">
        <x:v>—</x:v>
      </x:c>
      <x:c r="L5" s="10" t="str">
        <x:v>—</x:v>
      </x:c>
      <x:c r="M5" s="10" t="str">
        <x:v>SHARED</x:v>
      </x:c>
      <x:c r="N5" s="10" t="str">
        <x:v>D05_CAPACITY</x:v>
      </x:c>
      <x:c r="O5" s="10" t="str">
        <x:v>MANDATORY</x:v>
      </x:c>
      <x:c r="P5" s="10" t="str"/>
      <x:c r="Q5" s="10" t="str">
        <x:v>1</x:v>
      </x:c>
      <x:c r="R5" s="10" t="n">
        <x:v>0</x:v>
      </x:c>
      <x:c r="S5" s="10" t="str"/>
      <x:c r="T5" s="10" t="str"/>
      <x:c r="U5" s="10" t="str">
        <x:v>NOT_REQUESTED</x:v>
      </x:c>
      <x:c r="V5" s="10" t="str"/>
      <x:c r="W5" s="10" t="str">
        <x:v>V-I-038;V-I-039</x:v>
      </x:c>
      <x:c r="X5" s="10" t="str">
        <x:v>Инженерия</x:v>
      </x:c>
      <x:c r="Y5" s="10" t="str">
        <x:v>APPROVED_STRUCTURE</x:v>
      </x:c>
      <x:c r="Z5" s="10" t="str"/>
    </x:row>
    <x:row r="6" ht="30" customHeight="1">
      <x:c r="A6" s="10" t="str">
        <x:v>CAPEX.PRJ.005</x:v>
      </x:c>
      <x:c r="B6" s="10" t="str"/>
      <x:c r="C6" s="10" t="str">
        <x:v>PRJ-05</x:v>
      </x:c>
      <x:c r="D6" s="10" t="str">
        <x:v>Проект вентиляции и кондиционирования</x:v>
      </x:c>
      <x:c r="E6" s="10" t="str">
        <x:v>CAPEX</x:v>
      </x:c>
      <x:c r="F6" s="10" t="str">
        <x:v>Проектирование</x:v>
      </x:c>
      <x:c r="G6" s="10" t="n">
        <x:v>1</x:v>
      </x:c>
      <x:c r="H6" s="10" t="str">
        <x:v>комплект</x:v>
      </x:c>
      <x:c r="I6" s="10" t="str">
        <x:v>Расчёт тепловыделений и воздухообмена</x:v>
      </x:c>
      <x:c r="J6" s="10" t="str">
        <x:v>по объекту</x:v>
      </x:c>
      <x:c r="K6" s="10" t="str">
        <x:v>—</x:v>
      </x:c>
      <x:c r="L6" s="10" t="str">
        <x:v>—</x:v>
      </x:c>
      <x:c r="M6" s="10" t="str">
        <x:v>SHARED</x:v>
      </x:c>
      <x:c r="N6" s="10" t="str">
        <x:v>D05_CAPACITY</x:v>
      </x:c>
      <x:c r="O6" s="10" t="str">
        <x:v>MANDATORY</x:v>
      </x:c>
      <x:c r="P6" s="10" t="str"/>
      <x:c r="Q6" s="10" t="str">
        <x:v>1</x:v>
      </x:c>
      <x:c r="R6" s="10" t="n">
        <x:v>0</x:v>
      </x:c>
      <x:c r="S6" s="10" t="str"/>
      <x:c r="T6" s="10" t="str"/>
      <x:c r="U6" s="10" t="str">
        <x:v>NOT_REQUESTED</x:v>
      </x:c>
      <x:c r="V6" s="10" t="str"/>
      <x:c r="W6" s="10" t="str">
        <x:v>V-I-041</x:v>
      </x:c>
      <x:c r="X6" s="10" t="str">
        <x:v>Инженерия</x:v>
      </x:c>
      <x:c r="Y6" s="10" t="str">
        <x:v>APPROVED_STRUCTURE</x:v>
      </x:c>
      <x:c r="Z6" s="10" t="str"/>
    </x:row>
    <x:row r="7" ht="30" customHeight="1">
      <x:c r="A7" s="10" t="str">
        <x:v>CAPEX.PRJ.006</x:v>
      </x:c>
      <x:c r="B7" s="10" t="str"/>
      <x:c r="C7" s="10" t="str">
        <x:v>PRJ-06</x:v>
      </x:c>
      <x:c r="D7" s="10" t="str">
        <x:v>Проект воды, канализации и жироуловителя</x:v>
      </x:c>
      <x:c r="E7" s="10" t="str">
        <x:v>CAPEX</x:v>
      </x:c>
      <x:c r="F7" s="10" t="str">
        <x:v>Проектирование</x:v>
      </x:c>
      <x:c r="G7" s="10" t="n">
        <x:v>1</x:v>
      </x:c>
      <x:c r="H7" s="10" t="str">
        <x:v>комплект</x:v>
      </x:c>
      <x:c r="I7" s="10" t="str">
        <x:v>Все технологические точки</x:v>
      </x:c>
      <x:c r="J7" s="10" t="str">
        <x:v>по объекту</x:v>
      </x:c>
      <x:c r="K7" s="10" t="str">
        <x:v>—</x:v>
      </x:c>
      <x:c r="L7" s="10" t="str">
        <x:v>—</x:v>
      </x:c>
      <x:c r="M7" s="10" t="str">
        <x:v>SHARED</x:v>
      </x:c>
      <x:c r="N7" s="10" t="str">
        <x:v>D05_CAPACITY</x:v>
      </x:c>
      <x:c r="O7" s="10" t="str">
        <x:v>MANDATORY</x:v>
      </x:c>
      <x:c r="P7" s="10" t="str"/>
      <x:c r="Q7" s="10" t="str">
        <x:v>1</x:v>
      </x:c>
      <x:c r="R7" s="10" t="n">
        <x:v>0</x:v>
      </x:c>
      <x:c r="S7" s="10" t="str"/>
      <x:c r="T7" s="10" t="str"/>
      <x:c r="U7" s="10" t="str">
        <x:v>NOT_REQUESTED</x:v>
      </x:c>
      <x:c r="V7" s="10" t="str"/>
      <x:c r="W7" s="10" t="str">
        <x:v>V-I-041</x:v>
      </x:c>
      <x:c r="X7" s="10" t="str">
        <x:v>Инженерия</x:v>
      </x:c>
      <x:c r="Y7" s="10" t="str">
        <x:v>APPROVED_STRUCTURE</x:v>
      </x:c>
      <x:c r="Z7" s="10" t="str"/>
    </x:row>
    <x:row r="8" ht="30" customHeight="1">
      <x:c r="A8" s="10" t="str">
        <x:v>CAPEX.PRJ.007</x:v>
      </x:c>
      <x:c r="B8" s="10" t="str"/>
      <x:c r="C8" s="10" t="str">
        <x:v>PRJ-07</x:v>
      </x:c>
      <x:c r="D8" s="10" t="str">
        <x:v>Проект пожарной безопасности</x:v>
      </x:c>
      <x:c r="E8" s="10" t="str">
        <x:v>CAPEX</x:v>
      </x:c>
      <x:c r="F8" s="10" t="str">
        <x:v>Проектирование</x:v>
      </x:c>
      <x:c r="G8" s="10" t="n">
        <x:v>1</x:v>
      </x:c>
      <x:c r="H8" s="10" t="str">
        <x:v>комплект</x:v>
      </x:c>
      <x:c r="I8" s="10" t="str">
        <x:v>Пожарная автоматика и эвакуация</x:v>
      </x:c>
      <x:c r="J8" s="10" t="str">
        <x:v>по объекту</x:v>
      </x:c>
      <x:c r="K8" s="10" t="str">
        <x:v>—</x:v>
      </x:c>
      <x:c r="L8" s="10" t="str">
        <x:v>—</x:v>
      </x:c>
      <x:c r="M8" s="10" t="str">
        <x:v>SHARED</x:v>
      </x:c>
      <x:c r="N8" s="10" t="str">
        <x:v>D02_AREA</x:v>
      </x:c>
      <x:c r="O8" s="10" t="str">
        <x:v>MANDATORY</x:v>
      </x:c>
      <x:c r="P8" s="10" t="str"/>
      <x:c r="Q8" s="10" t="str">
        <x:v>1</x:v>
      </x:c>
      <x:c r="R8" s="10" t="n">
        <x:v>0</x:v>
      </x:c>
      <x:c r="S8" s="10" t="str"/>
      <x:c r="T8" s="10" t="str"/>
      <x:c r="U8" s="10" t="str">
        <x:v>NOT_REQUESTED</x:v>
      </x:c>
      <x:c r="V8" s="10" t="str"/>
      <x:c r="W8" s="10" t="str">
        <x:v>V-I-068</x:v>
      </x:c>
      <x:c r="X8" s="10" t="str">
        <x:v>Инженерия</x:v>
      </x:c>
      <x:c r="Y8" s="10" t="str">
        <x:v>APPROVED_STRUCTURE</x:v>
      </x:c>
      <x:c r="Z8" s="10" t="str"/>
    </x:row>
    <x:row r="9" ht="30" customHeight="1">
      <x:c r="A9" s="10" t="str">
        <x:v>CAPEX.BLD.001</x:v>
      </x:c>
      <x:c r="B9" s="10" t="str"/>
      <x:c r="C9" s="10" t="str">
        <x:v>BLD-01</x:v>
      </x:c>
      <x:c r="D9" s="10" t="str">
        <x:v>Демонтаж и вывоз</x:v>
      </x:c>
      <x:c r="E9" s="10" t="str">
        <x:v>CAPEX</x:v>
      </x:c>
      <x:c r="F9" s="10" t="str">
        <x:v>Строительство</x:v>
      </x:c>
      <x:c r="G9" s="10" t="n">
        <x:v>1</x:v>
      </x:c>
      <x:c r="H9" s="10" t="str">
        <x:v>объект</x:v>
      </x:c>
      <x:c r="I9" s="10" t="str">
        <x:v>По дефектной ведомости</x:v>
      </x:c>
      <x:c r="J9" s="10" t="str">
        <x:v>по ВОР</x:v>
      </x:c>
      <x:c r="K9" s="10" t="str">
        <x:v>—</x:v>
      </x:c>
      <x:c r="L9" s="10" t="str">
        <x:v>—</x:v>
      </x:c>
      <x:c r="M9" s="10" t="str">
        <x:v>SHARED</x:v>
      </x:c>
      <x:c r="N9" s="10" t="str">
        <x:v>D02_AREA</x:v>
      </x:c>
      <x:c r="O9" s="10" t="str">
        <x:v>ENGINEERED</x:v>
      </x:c>
      <x:c r="P9" s="10" t="str"/>
      <x:c r="Q9" s="10" t="str">
        <x:v>1</x:v>
      </x:c>
      <x:c r="R9" s="10" t="n">
        <x:v>0</x:v>
      </x:c>
      <x:c r="S9" s="10" t="str"/>
      <x:c r="T9" s="10" t="str"/>
      <x:c r="U9" s="10" t="str">
        <x:v>NOT_REQUESTED</x:v>
      </x:c>
      <x:c r="V9" s="10" t="str"/>
      <x:c r="W9" s="10" t="str">
        <x:v>V-I-071</x:v>
      </x:c>
      <x:c r="X9" s="10" t="str">
        <x:v>Проектировщик</x:v>
      </x:c>
      <x:c r="Y9" s="10" t="str">
        <x:v>APPROVED_STRUCTURE</x:v>
      </x:c>
      <x:c r="Z9" s="10" t="str"/>
    </x:row>
    <x:row r="10" ht="30" customHeight="1">
      <x:c r="A10" s="10" t="str">
        <x:v>CAPEX.BLD.002</x:v>
      </x:c>
      <x:c r="B10" s="10" t="str"/>
      <x:c r="C10" s="10" t="str">
        <x:v>BLD-02</x:v>
      </x:c>
      <x:c r="D10" s="10" t="str">
        <x:v>Полы и гидроизоляция</x:v>
      </x:c>
      <x:c r="E10" s="10" t="str">
        <x:v>CAPEX</x:v>
      </x:c>
      <x:c r="F10" s="10" t="str">
        <x:v>Строительство</x:v>
      </x:c>
      <x:c r="G10" s="10" t="n">
        <x:v>1</x:v>
      </x:c>
      <x:c r="H10" s="10" t="str">
        <x:v>объект</x:v>
      </x:c>
      <x:c r="I10" s="10" t="str">
        <x:v>Санитарная и технологическая пригодность</x:v>
      </x:c>
      <x:c r="J10" s="10" t="str">
        <x:v>по ВОР</x:v>
      </x:c>
      <x:c r="K10" s="10" t="str">
        <x:v>—</x:v>
      </x:c>
      <x:c r="L10" s="10" t="str">
        <x:v>—</x:v>
      </x:c>
      <x:c r="M10" s="10" t="str">
        <x:v>SHARED</x:v>
      </x:c>
      <x:c r="N10" s="10" t="str">
        <x:v>D02_AREA</x:v>
      </x:c>
      <x:c r="O10" s="10" t="str">
        <x:v>ENGINEERED</x:v>
      </x:c>
      <x:c r="P10" s="10" t="str"/>
      <x:c r="Q10" s="10" t="str">
        <x:v>1</x:v>
      </x:c>
      <x:c r="R10" s="10" t="n">
        <x:v>0</x:v>
      </x:c>
      <x:c r="S10" s="10" t="str"/>
      <x:c r="T10" s="10" t="str"/>
      <x:c r="U10" s="10" t="str">
        <x:v>NOT_REQUESTED</x:v>
      </x:c>
      <x:c r="V10" s="10" t="str"/>
      <x:c r="W10" s="10" t="str">
        <x:v>V-I-071</x:v>
      </x:c>
      <x:c r="X10" s="10" t="str">
        <x:v>Проектировщик</x:v>
      </x:c>
      <x:c r="Y10" s="10" t="str">
        <x:v>APPROVED_STRUCTURE</x:v>
      </x:c>
      <x:c r="Z10" s="10" t="str"/>
    </x:row>
    <x:row r="11" ht="30" customHeight="1">
      <x:c r="A11" s="10" t="str">
        <x:v>CAPEX.BLD.003</x:v>
      </x:c>
      <x:c r="B11" s="10" t="str"/>
      <x:c r="C11" s="10" t="str">
        <x:v>BLD-03</x:v>
      </x:c>
      <x:c r="D11" s="10" t="str">
        <x:v>Стены и санитарная отделка</x:v>
      </x:c>
      <x:c r="E11" s="10" t="str">
        <x:v>CAPEX</x:v>
      </x:c>
      <x:c r="F11" s="10" t="str">
        <x:v>Строительство</x:v>
      </x:c>
      <x:c r="G11" s="10" t="n">
        <x:v>1</x:v>
      </x:c>
      <x:c r="H11" s="10" t="str">
        <x:v>объект</x:v>
      </x:c>
      <x:c r="I11" s="10" t="str">
        <x:v>Моющиеся поверхности</x:v>
      </x:c>
      <x:c r="J11" s="10" t="str">
        <x:v>по ВОР</x:v>
      </x:c>
      <x:c r="K11" s="10" t="str">
        <x:v>—</x:v>
      </x:c>
      <x:c r="L11" s="10" t="str">
        <x:v>—</x:v>
      </x:c>
      <x:c r="M11" s="10" t="str">
        <x:v>SHARED</x:v>
      </x:c>
      <x:c r="N11" s="10" t="str">
        <x:v>D02_AREA</x:v>
      </x:c>
      <x:c r="O11" s="10" t="str">
        <x:v>ENGINEERED</x:v>
      </x:c>
      <x:c r="P11" s="10" t="str"/>
      <x:c r="Q11" s="10" t="str">
        <x:v>1</x:v>
      </x:c>
      <x:c r="R11" s="10" t="n">
        <x:v>0</x:v>
      </x:c>
      <x:c r="S11" s="10" t="str"/>
      <x:c r="T11" s="10" t="str"/>
      <x:c r="U11" s="10" t="str">
        <x:v>NOT_REQUESTED</x:v>
      </x:c>
      <x:c r="V11" s="10" t="str"/>
      <x:c r="W11" s="10" t="str">
        <x:v>V-I-071</x:v>
      </x:c>
      <x:c r="X11" s="10" t="str">
        <x:v>Проектировщик</x:v>
      </x:c>
      <x:c r="Y11" s="10" t="str">
        <x:v>APPROVED_STRUCTURE</x:v>
      </x:c>
      <x:c r="Z11" s="10" t="str"/>
    </x:row>
    <x:row r="12" ht="30" customHeight="1">
      <x:c r="A12" s="10" t="str">
        <x:v>CAPEX.BLD.004</x:v>
      </x:c>
      <x:c r="B12" s="10" t="str"/>
      <x:c r="C12" s="10" t="str">
        <x:v>BLD-04</x:v>
      </x:c>
      <x:c r="D12" s="10" t="str">
        <x:v>Потолки</x:v>
      </x:c>
      <x:c r="E12" s="10" t="str">
        <x:v>CAPEX</x:v>
      </x:c>
      <x:c r="F12" s="10" t="str">
        <x:v>Строительство</x:v>
      </x:c>
      <x:c r="G12" s="10" t="n">
        <x:v>1</x:v>
      </x:c>
      <x:c r="H12" s="10" t="str">
        <x:v>объект</x:v>
      </x:c>
      <x:c r="I12" s="10" t="str">
        <x:v>По проекту</x:v>
      </x:c>
      <x:c r="J12" s="10" t="str">
        <x:v>по ВОР</x:v>
      </x:c>
      <x:c r="K12" s="10" t="str">
        <x:v>—</x:v>
      </x:c>
      <x:c r="L12" s="10" t="str">
        <x:v>—</x:v>
      </x:c>
      <x:c r="M12" s="10" t="str">
        <x:v>SHARED</x:v>
      </x:c>
      <x:c r="N12" s="10" t="str">
        <x:v>D02_AREA</x:v>
      </x:c>
      <x:c r="O12" s="10" t="str">
        <x:v>ENGINEERED</x:v>
      </x:c>
      <x:c r="P12" s="10" t="str"/>
      <x:c r="Q12" s="10" t="str">
        <x:v>1</x:v>
      </x:c>
      <x:c r="R12" s="10" t="n">
        <x:v>0</x:v>
      </x:c>
      <x:c r="S12" s="10" t="str"/>
      <x:c r="T12" s="10" t="str"/>
      <x:c r="U12" s="10" t="str">
        <x:v>NOT_REQUESTED</x:v>
      </x:c>
      <x:c r="V12" s="10" t="str"/>
      <x:c r="W12" s="10" t="str">
        <x:v>V-I-071</x:v>
      </x:c>
      <x:c r="X12" s="10" t="str">
        <x:v>Проектировщик</x:v>
      </x:c>
      <x:c r="Y12" s="10" t="str">
        <x:v>APPROVED_STRUCTURE</x:v>
      </x:c>
      <x:c r="Z12" s="10" t="str"/>
    </x:row>
    <x:row r="13" ht="30" customHeight="1">
      <x:c r="A13" s="10" t="str">
        <x:v>CAPEX.BLD.005</x:v>
      </x:c>
      <x:c r="B13" s="10" t="str"/>
      <x:c r="C13" s="10" t="str">
        <x:v>BLD-05</x:v>
      </x:c>
      <x:c r="D13" s="10" t="str">
        <x:v>Перегородки и двери</x:v>
      </x:c>
      <x:c r="E13" s="10" t="str">
        <x:v>CAPEX</x:v>
      </x:c>
      <x:c r="F13" s="10" t="str">
        <x:v>Строительство</x:v>
      </x:c>
      <x:c r="G13" s="10" t="n">
        <x:v>1</x:v>
      </x:c>
      <x:c r="H13" s="10" t="str">
        <x:v>объект</x:v>
      </x:c>
      <x:c r="I13" s="10" t="str">
        <x:v>Разделение чистых и грязных потоков</x:v>
      </x:c>
      <x:c r="J13" s="10" t="str">
        <x:v>по ВОР</x:v>
      </x:c>
      <x:c r="K13" s="10" t="str">
        <x:v>—</x:v>
      </x:c>
      <x:c r="L13" s="10" t="str">
        <x:v>—</x:v>
      </x:c>
      <x:c r="M13" s="10" t="str">
        <x:v>SHARED</x:v>
      </x:c>
      <x:c r="N13" s="10" t="str">
        <x:v>D02_AREA</x:v>
      </x:c>
      <x:c r="O13" s="10" t="str">
        <x:v>ENGINEERED</x:v>
      </x:c>
      <x:c r="P13" s="10" t="str"/>
      <x:c r="Q13" s="10" t="str">
        <x:v>1</x:v>
      </x:c>
      <x:c r="R13" s="10" t="n">
        <x:v>0</x:v>
      </x:c>
      <x:c r="S13" s="10" t="str"/>
      <x:c r="T13" s="10" t="str"/>
      <x:c r="U13" s="10" t="str">
        <x:v>NOT_REQUESTED</x:v>
      </x:c>
      <x:c r="V13" s="10" t="str"/>
      <x:c r="W13" s="10" t="str">
        <x:v>V-I-040</x:v>
      </x:c>
      <x:c r="X13" s="10" t="str">
        <x:v>Проектировщик</x:v>
      </x:c>
      <x:c r="Y13" s="10" t="str">
        <x:v>APPROVED_STRUCTURE</x:v>
      </x:c>
      <x:c r="Z13" s="10" t="str"/>
    </x:row>
    <x:row r="14" ht="30" customHeight="1">
      <x:c r="A14" s="10" t="str">
        <x:v>CAPEX.BLD.006</x:v>
      </x:c>
      <x:c r="B14" s="10" t="str"/>
      <x:c r="C14" s="10" t="str">
        <x:v>BLD-06</x:v>
      </x:c>
      <x:c r="D14" s="10" t="str">
        <x:v>Отделка зала КАФЕ</x:v>
      </x:c>
      <x:c r="E14" s="10" t="str">
        <x:v>CAPEX</x:v>
      </x:c>
      <x:c r="F14" s="10" t="str">
        <x:v>Строительство</x:v>
      </x:c>
      <x:c r="G14" s="10" t="n">
        <x:v>1</x:v>
      </x:c>
      <x:c r="H14" s="10" t="str">
        <x:v>объект</x:v>
      </x:c>
      <x:c r="I14" s="10" t="str">
        <x:v>По утверждённому дизайну</x:v>
      </x:c>
      <x:c r="J14" s="10" t="str">
        <x:v>по ВОР</x:v>
      </x:c>
      <x:c r="K14" s="10" t="str">
        <x:v>—</x:v>
      </x:c>
      <x:c r="L14" s="10" t="str">
        <x:v>—</x:v>
      </x:c>
      <x:c r="M14" s="10" t="str">
        <x:v>CAFE</x:v>
      </x:c>
      <x:c r="N14" s="10" t="str">
        <x:v>D01_DIRECT</x:v>
      </x:c>
      <x:c r="O14" s="10" t="str">
        <x:v>ENGINEERED</x:v>
      </x:c>
      <x:c r="P14" s="10" t="str"/>
      <x:c r="Q14" s="10" t="str">
        <x:v>1</x:v>
      </x:c>
      <x:c r="R14" s="10" t="n">
        <x:v>0</x:v>
      </x:c>
      <x:c r="S14" s="10" t="str"/>
      <x:c r="T14" s="10" t="str"/>
      <x:c r="U14" s="10" t="str">
        <x:v>NOT_REQUESTED</x:v>
      </x:c>
      <x:c r="V14" s="10" t="str">
        <x:v>APPROVED_SESSION_2026-07-28</x:v>
      </x:c>
      <x:c r="W14" s="10" t="str"/>
      <x:c r="X14" s="10" t="str">
        <x:v>Центр инвестиций</x:v>
      </x:c>
      <x:c r="Y14" s="10" t="str">
        <x:v>APPROVED_STRUCTURE</x:v>
      </x:c>
      <x:c r="Z14" s="10" t="str"/>
    </x:row>
    <x:row r="15" ht="30" customHeight="1">
      <x:c r="A15" s="10" t="str">
        <x:v>CAPEX.BLD.007</x:v>
      </x:c>
      <x:c r="B15" s="10" t="str"/>
      <x:c r="C15" s="10" t="str">
        <x:v>BLD-07</x:v>
      </x:c>
      <x:c r="D15" s="10" t="str">
        <x:v>Отделка банкетной зоны</x:v>
      </x:c>
      <x:c r="E15" s="10" t="str">
        <x:v>CAPEX</x:v>
      </x:c>
      <x:c r="F15" s="10" t="str">
        <x:v>Строительство</x:v>
      </x:c>
      <x:c r="G15" s="10" t="n">
        <x:v>1</x:v>
      </x:c>
      <x:c r="H15" s="10" t="str">
        <x:v>объект</x:v>
      </x:c>
      <x:c r="I15" s="10" t="str">
        <x:v>По утверждённой рассадке</x:v>
      </x:c>
      <x:c r="J15" s="10" t="str">
        <x:v>по ВОР</x:v>
      </x:c>
      <x:c r="K15" s="10" t="str">
        <x:v>—</x:v>
      </x:c>
      <x:c r="L15" s="10" t="str">
        <x:v>—</x:v>
      </x:c>
      <x:c r="M15" s="10" t="str">
        <x:v>BANQUETS</x:v>
      </x:c>
      <x:c r="N15" s="10" t="str">
        <x:v>D01_DIRECT</x:v>
      </x:c>
      <x:c r="O15" s="10" t="str">
        <x:v>ENGINEERED</x:v>
      </x:c>
      <x:c r="P15" s="10" t="str"/>
      <x:c r="Q15" s="10" t="str">
        <x:v>1</x:v>
      </x:c>
      <x:c r="R15" s="10" t="n">
        <x:v>0</x:v>
      </x:c>
      <x:c r="S15" s="10" t="str"/>
      <x:c r="T15" s="10" t="str"/>
      <x:c r="U15" s="10" t="str">
        <x:v>NOT_REQUESTED</x:v>
      </x:c>
      <x:c r="V15" s="10" t="str"/>
      <x:c r="W15" s="10" t="str">
        <x:v>V-I-092</x:v>
      </x:c>
      <x:c r="X15" s="10" t="str">
        <x:v>Центр инвестиций</x:v>
      </x:c>
      <x:c r="Y15" s="10" t="str">
        <x:v>APPROVED_STRUCTURE</x:v>
      </x:c>
      <x:c r="Z15" s="10" t="str"/>
    </x:row>
    <x:row r="16" ht="30" customHeight="1">
      <x:c r="A16" s="10" t="str">
        <x:v>CAPEX.BLD.008</x:v>
      </x:c>
      <x:c r="B16" s="10" t="str"/>
      <x:c r="C16" s="10" t="str">
        <x:v>BLD-08</x:v>
      </x:c>
      <x:c r="D16" s="10" t="str">
        <x:v>Отделка бара</x:v>
      </x:c>
      <x:c r="E16" s="10" t="str">
        <x:v>CAPEX</x:v>
      </x:c>
      <x:c r="F16" s="10" t="str">
        <x:v>Строительство</x:v>
      </x:c>
      <x:c r="G16" s="10" t="n">
        <x:v>1</x:v>
      </x:c>
      <x:c r="H16" s="10" t="str">
        <x:v>объект</x:v>
      </x:c>
      <x:c r="I16" s="10" t="str">
        <x:v>После утверждения барной программы</x:v>
      </x:c>
      <x:c r="J16" s="10" t="str">
        <x:v>по ВОР</x:v>
      </x:c>
      <x:c r="K16" s="10" t="str">
        <x:v>—</x:v>
      </x:c>
      <x:c r="L16" s="10" t="str">
        <x:v>—</x:v>
      </x:c>
      <x:c r="M16" s="10" t="str">
        <x:v>BAR</x:v>
      </x:c>
      <x:c r="N16" s="10" t="str">
        <x:v>D01_DIRECT</x:v>
      </x:c>
      <x:c r="O16" s="10" t="str">
        <x:v>DATA_REQUIRED</x:v>
      </x:c>
      <x:c r="P16" s="10" t="str"/>
      <x:c r="Q16" s="10" t="str"/>
      <x:c r="R16" s="10" t="n">
        <x:v>0</x:v>
      </x:c>
      <x:c r="S16" s="10" t="str"/>
      <x:c r="T16" s="10" t="str"/>
      <x:c r="U16" s="10" t="str">
        <x:v>NOT_REQUESTED</x:v>
      </x:c>
      <x:c r="V16" s="10" t="str"/>
      <x:c r="W16" s="10" t="str">
        <x:v>V-I-084</x:v>
      </x:c>
      <x:c r="X16" s="10" t="str">
        <x:v>Бар</x:v>
      </x:c>
      <x:c r="Y16" s="10" t="str">
        <x:v>APPROVED_STRUCTURE</x:v>
      </x:c>
      <x:c r="Z16" s="10" t="str"/>
    </x:row>
    <x:row r="17" ht="30" customHeight="1">
      <x:c r="A17" s="10" t="str">
        <x:v>CAPEX.BLD.009</x:v>
      </x:c>
      <x:c r="B17" s="10" t="str"/>
      <x:c r="C17" s="10" t="str">
        <x:v>BLD-09</x:v>
      </x:c>
      <x:c r="D17" s="10" t="str">
        <x:v>Производственная санитарная отделка</x:v>
      </x:c>
      <x:c r="E17" s="10" t="str">
        <x:v>CAPEX</x:v>
      </x:c>
      <x:c r="F17" s="10" t="str">
        <x:v>Строительство</x:v>
      </x:c>
      <x:c r="G17" s="10" t="n">
        <x:v>1</x:v>
      </x:c>
      <x:c r="H17" s="10" t="str">
        <x:v>объект</x:v>
      </x:c>
      <x:c r="I17" s="10" t="str">
        <x:v>Кухня, склад, мойка</x:v>
      </x:c>
      <x:c r="J17" s="10" t="str">
        <x:v>по ВОР</x:v>
      </x:c>
      <x:c r="K17" s="10" t="str">
        <x:v>—</x:v>
      </x:c>
      <x:c r="L17" s="10" t="str">
        <x:v>—</x:v>
      </x:c>
      <x:c r="M17" s="10" t="str">
        <x:v>SHARED</x:v>
      </x:c>
      <x:c r="N17" s="10" t="str">
        <x:v>D04_MACHINE_HOURS</x:v>
      </x:c>
      <x:c r="O17" s="10" t="str">
        <x:v>ENGINEERED</x:v>
      </x:c>
      <x:c r="P17" s="10" t="str"/>
      <x:c r="Q17" s="10" t="str">
        <x:v>1</x:v>
      </x:c>
      <x:c r="R17" s="10" t="n">
        <x:v>0</x:v>
      </x:c>
      <x:c r="S17" s="10" t="str"/>
      <x:c r="T17" s="10" t="str"/>
      <x:c r="U17" s="10" t="str">
        <x:v>NOT_REQUESTED</x:v>
      </x:c>
      <x:c r="V17" s="10" t="str">
        <x:v>APPROVED_SESSION_2026-07-28</x:v>
      </x:c>
      <x:c r="W17" s="10" t="str"/>
      <x:c r="X17" s="10" t="str">
        <x:v>Центр инвестиций</x:v>
      </x:c>
      <x:c r="Y17" s="10" t="str">
        <x:v>APPROVED_STRUCTURE</x:v>
      </x:c>
      <x:c r="Z17" s="10" t="str"/>
    </x:row>
    <x:row r="18" ht="30" customHeight="1">
      <x:c r="A18" s="10" t="str">
        <x:v>CAPEX.ENG.001</x:v>
      </x:c>
      <x:c r="B18" s="10" t="str"/>
      <x:c r="C18" s="10" t="str">
        <x:v>ENG-01</x:v>
      </x:c>
      <x:c r="D18" s="10" t="str">
        <x:v>Увеличение присоединённой мощности</x:v>
      </x:c>
      <x:c r="E18" s="10" t="str">
        <x:v>CAPEX</x:v>
      </x:c>
      <x:c r="F18" s="10" t="str">
        <x:v>Инженерия</x:v>
      </x:c>
      <x:c r="G18" s="10" t="n">
        <x:v>1</x:v>
      </x:c>
      <x:c r="H18" s="10" t="str">
        <x:v>система</x:v>
      </x:c>
      <x:c r="I18" s="10" t="str">
        <x:v>Проверка 100/125/150 кВт</x:v>
      </x:c>
      <x:c r="J18" s="10" t="str">
        <x:v>по проекту</x:v>
      </x:c>
      <x:c r="K18" s="10" t="str">
        <x:v>E3</x:v>
      </x:c>
      <x:c r="L18" s="10" t="str">
        <x:v>по ТУ</x:v>
      </x:c>
      <x:c r="M18" s="10" t="str">
        <x:v>SHARED</x:v>
      </x:c>
      <x:c r="N18" s="10" t="str">
        <x:v>D05_CAPACITY</x:v>
      </x:c>
      <x:c r="O18" s="10" t="str">
        <x:v>ENGINEERED</x:v>
      </x:c>
      <x:c r="P18" s="10" t="str"/>
      <x:c r="Q18" s="10" t="str">
        <x:v>1</x:v>
      </x:c>
      <x:c r="R18" s="10" t="n">
        <x:v>0</x:v>
      </x:c>
      <x:c r="S18" s="10" t="str"/>
      <x:c r="T18" s="10" t="str"/>
      <x:c r="U18" s="10" t="str">
        <x:v>NOT_REQUESTED</x:v>
      </x:c>
      <x:c r="V18" s="10" t="str"/>
      <x:c r="W18" s="10" t="str">
        <x:v>V-I-038;V-I-039</x:v>
      </x:c>
      <x:c r="X18" s="10" t="str">
        <x:v>Арендодатель / Инженерия</x:v>
      </x:c>
      <x:c r="Y18" s="10" t="str">
        <x:v>APPROVED_STRUCTURE</x:v>
      </x:c>
      <x:c r="Z18" s="10" t="str"/>
    </x:row>
    <x:row r="19" ht="30" customHeight="1">
      <x:c r="A19" s="10" t="str">
        <x:v>CAPEX.ENG.002</x:v>
      </x:c>
      <x:c r="B19" s="10" t="str"/>
      <x:c r="C19" s="10" t="str">
        <x:v>ENG-02</x:v>
      </x:c>
      <x:c r="D19" s="10" t="str">
        <x:v>Вводной автомат и распределительные щиты</x:v>
      </x:c>
      <x:c r="E19" s="10" t="str">
        <x:v>CAPEX</x:v>
      </x:c>
      <x:c r="F19" s="10" t="str">
        <x:v>Инженерия</x:v>
      </x:c>
      <x:c r="G19" s="10" t="n">
        <x:v>1</x:v>
      </x:c>
      <x:c r="H19" s="10" t="str">
        <x:v>комплект</x:v>
      </x:c>
      <x:c r="I19" s="10" t="str">
        <x:v>По утверждённой мощности</x:v>
      </x:c>
      <x:c r="J19" s="10" t="str">
        <x:v>по проекту</x:v>
      </x:c>
      <x:c r="K19" s="10" t="str">
        <x:v>E3</x:v>
      </x:c>
      <x:c r="L19" s="10" t="str">
        <x:v>по проекту</x:v>
      </x:c>
      <x:c r="M19" s="10" t="str">
        <x:v>SHARED</x:v>
      </x:c>
      <x:c r="N19" s="10" t="str">
        <x:v>D05_CAPACITY</x:v>
      </x:c>
      <x:c r="O19" s="10" t="str">
        <x:v>ENGINEERED</x:v>
      </x:c>
      <x:c r="P19" s="10" t="str"/>
      <x:c r="Q19" s="10" t="str">
        <x:v>1</x:v>
      </x:c>
      <x:c r="R19" s="10" t="n">
        <x:v>0</x:v>
      </x:c>
      <x:c r="S19" s="10" t="str"/>
      <x:c r="T19" s="10" t="str"/>
      <x:c r="U19" s="10" t="str">
        <x:v>NOT_REQUESTED</x:v>
      </x:c>
      <x:c r="V19" s="10" t="str">
        <x:v>APPROVED_SESSION_2026-07-28</x:v>
      </x:c>
      <x:c r="W19" s="10" t="str"/>
      <x:c r="X19" s="10" t="str">
        <x:v>Центр инвестиций</x:v>
      </x:c>
      <x:c r="Y19" s="10" t="str">
        <x:v>APPROVED_STRUCTURE</x:v>
      </x:c>
      <x:c r="Z19" s="10" t="str"/>
    </x:row>
    <x:row r="20" ht="30" customHeight="1">
      <x:c r="A20" s="10" t="str">
        <x:v>CAPEX.ENG.003</x:v>
      </x:c>
      <x:c r="B20" s="10" t="str"/>
      <x:c r="C20" s="10" t="str">
        <x:v>ENG-03</x:v>
      </x:c>
      <x:c r="D20" s="10" t="str">
        <x:v>Силовые линии оборудования</x:v>
      </x:c>
      <x:c r="E20" s="10" t="str">
        <x:v>CAPEX</x:v>
      </x:c>
      <x:c r="F20" s="10" t="str">
        <x:v>Инженерия</x:v>
      </x:c>
      <x:c r="G20" s="10" t="n">
        <x:v>1</x:v>
      </x:c>
      <x:c r="H20" s="10" t="str">
        <x:v>комплект</x:v>
      </x:c>
      <x:c r="I20" s="10" t="str">
        <x:v>Отдельные линии критических потребителей</x:v>
      </x:c>
      <x:c r="J20" s="10" t="str">
        <x:v>по проекту</x:v>
      </x:c>
      <x:c r="K20" s="10" t="str">
        <x:v>E1/E3</x:v>
      </x:c>
      <x:c r="L20" s="10" t="str">
        <x:v>по проекту</x:v>
      </x:c>
      <x:c r="M20" s="10" t="str">
        <x:v>SHARED</x:v>
      </x:c>
      <x:c r="N20" s="10" t="str">
        <x:v>D05_CAPACITY</x:v>
      </x:c>
      <x:c r="O20" s="10" t="str">
        <x:v>ENGINEERED</x:v>
      </x:c>
      <x:c r="P20" s="10" t="str"/>
      <x:c r="Q20" s="10" t="str">
        <x:v>1</x:v>
      </x:c>
      <x:c r="R20" s="10" t="n">
        <x:v>0</x:v>
      </x:c>
      <x:c r="S20" s="10" t="str"/>
      <x:c r="T20" s="10" t="str"/>
      <x:c r="U20" s="10" t="str">
        <x:v>NOT_REQUESTED</x:v>
      </x:c>
      <x:c r="V20" s="10" t="str">
        <x:v>APPROVED_SESSION_2026-07-28</x:v>
      </x:c>
      <x:c r="W20" s="10" t="str"/>
      <x:c r="X20" s="10" t="str">
        <x:v>Центр инвестиций</x:v>
      </x:c>
      <x:c r="Y20" s="10" t="str">
        <x:v>APPROVED_STRUCTURE</x:v>
      </x:c>
      <x:c r="Z20" s="10" t="str"/>
    </x:row>
    <x:row r="21" ht="30" customHeight="1">
      <x:c r="A21" s="10" t="str">
        <x:v>CAPEX.ENG.004</x:v>
      </x:c>
      <x:c r="B21" s="10" t="str"/>
      <x:c r="C21" s="10" t="str">
        <x:v>ENG-04</x:v>
      </x:c>
      <x:c r="D21" s="10" t="str">
        <x:v>Рабочее и аварийное освещение</x:v>
      </x:c>
      <x:c r="E21" s="10" t="str">
        <x:v>CAPEX</x:v>
      </x:c>
      <x:c r="F21" s="10" t="str">
        <x:v>Инженерия</x:v>
      </x:c>
      <x:c r="G21" s="10" t="n">
        <x:v>1</x:v>
      </x:c>
      <x:c r="H21" s="10" t="str">
        <x:v>комплект</x:v>
      </x:c>
      <x:c r="I21" s="10" t="str">
        <x:v>По нормируемой освещённости</x:v>
      </x:c>
      <x:c r="J21" s="10" t="str">
        <x:v>по проекту</x:v>
      </x:c>
      <x:c r="K21" s="10" t="str">
        <x:v>E1</x:v>
      </x:c>
      <x:c r="L21" s="10" t="str">
        <x:v>по проекту</x:v>
      </x:c>
      <x:c r="M21" s="10" t="str">
        <x:v>SHARED</x:v>
      </x:c>
      <x:c r="N21" s="10" t="str">
        <x:v>D02_AREA</x:v>
      </x:c>
      <x:c r="O21" s="10" t="str">
        <x:v>ENGINEERED</x:v>
      </x:c>
      <x:c r="P21" s="10" t="str"/>
      <x:c r="Q21" s="10" t="str">
        <x:v>1</x:v>
      </x:c>
      <x:c r="R21" s="10" t="n">
        <x:v>0</x:v>
      </x:c>
      <x:c r="S21" s="10" t="str"/>
      <x:c r="T21" s="10" t="str"/>
      <x:c r="U21" s="10" t="str">
        <x:v>NOT_REQUESTED</x:v>
      </x:c>
      <x:c r="V21" s="10" t="str">
        <x:v>APPROVED_SESSION_2026-07-28</x:v>
      </x:c>
      <x:c r="W21" s="10" t="str"/>
      <x:c r="X21" s="10" t="str">
        <x:v>Центр инвестиций</x:v>
      </x:c>
      <x:c r="Y21" s="10" t="str">
        <x:v>APPROVED_STRUCTURE</x:v>
      </x:c>
      <x:c r="Z21" s="10" t="str"/>
    </x:row>
    <x:row r="22" ht="30" customHeight="1">
      <x:c r="A22" s="10" t="str">
        <x:v>CAPEX.ENG.005</x:v>
      </x:c>
      <x:c r="B22" s="10" t="str"/>
      <x:c r="C22" s="10" t="str">
        <x:v>ENG-05</x:v>
      </x:c>
      <x:c r="D22" s="10" t="str">
        <x:v>Заземление и защита</x:v>
      </x:c>
      <x:c r="E22" s="10" t="str">
        <x:v>CAPEX</x:v>
      </x:c>
      <x:c r="F22" s="10" t="str">
        <x:v>Инженерия</x:v>
      </x:c>
      <x:c r="G22" s="10" t="n">
        <x:v>1</x:v>
      </x:c>
      <x:c r="H22" s="10" t="str">
        <x:v>комплект</x:v>
      </x:c>
      <x:c r="I22" s="10" t="str">
        <x:v>Протокол электролаборатории</x:v>
      </x:c>
      <x:c r="J22" s="10" t="str">
        <x:v>по проекту</x:v>
      </x:c>
      <x:c r="K22" s="10" t="str">
        <x:v>E3</x:v>
      </x:c>
      <x:c r="L22" s="10" t="str">
        <x:v>по проекту</x:v>
      </x:c>
      <x:c r="M22" s="10" t="str">
        <x:v>SHARED</x:v>
      </x:c>
      <x:c r="N22" s="10" t="str">
        <x:v>D13_DIRECT_COST</x:v>
      </x:c>
      <x:c r="O22" s="10" t="str">
        <x:v>ENGINEERED</x:v>
      </x:c>
      <x:c r="P22" s="10" t="str"/>
      <x:c r="Q22" s="10" t="str">
        <x:v>1</x:v>
      </x:c>
      <x:c r="R22" s="10" t="n">
        <x:v>0</x:v>
      </x:c>
      <x:c r="S22" s="10" t="str"/>
      <x:c r="T22" s="10" t="str"/>
      <x:c r="U22" s="10" t="str">
        <x:v>NOT_REQUESTED</x:v>
      </x:c>
      <x:c r="V22" s="10" t="str">
        <x:v>APPROVED_SESSION_2026-07-28</x:v>
      </x:c>
      <x:c r="W22" s="10" t="str"/>
      <x:c r="X22" s="10" t="str">
        <x:v>Центр инвестиций</x:v>
      </x:c>
      <x:c r="Y22" s="10" t="str">
        <x:v>APPROVED_STRUCTURE</x:v>
      </x:c>
      <x:c r="Z22" s="10" t="str"/>
    </x:row>
    <x:row r="23" ht="30" customHeight="1">
      <x:c r="A23" s="10" t="str">
        <x:v>CAPEX.ENG.006</x:v>
      </x:c>
      <x:c r="B23" s="10" t="str"/>
      <x:c r="C23" s="10" t="str">
        <x:v>ENG-06</x:v>
      </x:c>
      <x:c r="D23" s="10" t="str">
        <x:v>Система управления электрической нагрузкой</x:v>
      </x:c>
      <x:c r="E23" s="10" t="str">
        <x:v>CAPEX</x:v>
      </x:c>
      <x:c r="F23" s="10" t="str">
        <x:v>Инженерия</x:v>
      </x:c>
      <x:c r="G23" s="10" t="n">
        <x:v>1</x:v>
      </x:c>
      <x:c r="H23" s="10" t="str">
        <x:v>комплект</x:v>
      </x:c>
      <x:c r="I23" s="10" t="str">
        <x:v>Только некритичные потребители</x:v>
      </x:c>
      <x:c r="J23" s="10" t="str">
        <x:v>по проекту</x:v>
      </x:c>
      <x:c r="K23" s="10" t="str">
        <x:v>E3/LAN</x:v>
      </x:c>
      <x:c r="L23" s="10" t="str">
        <x:v>по проекту</x:v>
      </x:c>
      <x:c r="M23" s="10" t="str">
        <x:v>SHARED</x:v>
      </x:c>
      <x:c r="N23" s="10" t="str">
        <x:v>D03_AVOIDABLE</x:v>
      </x:c>
      <x:c r="O23" s="10" t="str">
        <x:v>CONDITIONAL</x:v>
      </x:c>
      <x:c r="P23" s="10" t="str">
        <x:v>GATE-ENG-06</x:v>
      </x:c>
      <x:c r="Q23" s="10" t="n">
        <x:v>0</x:v>
      </x:c>
      <x:c r="R23" s="10" t="n">
        <x:v>1</x:v>
      </x:c>
      <x:c r="S23" s="10" t="str"/>
      <x:c r="T23" s="10" t="str"/>
      <x:c r="U23" s="10" t="str">
        <x:v>NOT_REQUESTED</x:v>
      </x:c>
      <x:c r="V23" s="10" t="str">
        <x:v>APPROVED_SESSION_2026-07-28</x:v>
      </x:c>
      <x:c r="W23" s="10" t="str"/>
      <x:c r="X23" s="10" t="str">
        <x:v>Центр инвестиций</x:v>
      </x:c>
      <x:c r="Y23" s="10" t="str">
        <x:v>APPROVED_STRUCTURE</x:v>
      </x:c>
      <x:c r="Z23" s="10" t="str"/>
    </x:row>
    <x:row r="24" ht="30" customHeight="1">
      <x:c r="A24" s="10" t="str">
        <x:v>CAPEX.ENG.007</x:v>
      </x:c>
      <x:c r="B24" s="10" t="str"/>
      <x:c r="C24" s="10" t="str">
        <x:v>ENG-07</x:v>
      </x:c>
      <x:c r="D24" s="10" t="str">
        <x:v>Приточная вентиляция</x:v>
      </x:c>
      <x:c r="E24" s="10" t="str">
        <x:v>CAPEX</x:v>
      </x:c>
      <x:c r="F24" s="10" t="str">
        <x:v>Инженерия</x:v>
      </x:c>
      <x:c r="G24" s="10" t="n">
        <x:v>1</x:v>
      </x:c>
      <x:c r="H24" s="10" t="str">
        <x:v>система</x:v>
      </x:c>
      <x:c r="I24" s="10" t="str">
        <x:v>По тепловому и воздушному балансу</x:v>
      </x:c>
      <x:c r="J24" s="10" t="str">
        <x:v>по проекту</x:v>
      </x:c>
      <x:c r="K24" s="10" t="str">
        <x:v>E3/V</x:v>
      </x:c>
      <x:c r="L24" s="10" t="str">
        <x:v>по проекту</x:v>
      </x:c>
      <x:c r="M24" s="10" t="str">
        <x:v>SHARED</x:v>
      </x:c>
      <x:c r="N24" s="10" t="str">
        <x:v>D05_CAPACITY</x:v>
      </x:c>
      <x:c r="O24" s="10" t="str">
        <x:v>ENGINEERED</x:v>
      </x:c>
      <x:c r="P24" s="10" t="str"/>
      <x:c r="Q24" s="10" t="str">
        <x:v>1</x:v>
      </x:c>
      <x:c r="R24" s="10" t="n">
        <x:v>0</x:v>
      </x:c>
      <x:c r="S24" s="10" t="str"/>
      <x:c r="T24" s="10" t="str"/>
      <x:c r="U24" s="10" t="str">
        <x:v>NOT_REQUESTED</x:v>
      </x:c>
      <x:c r="V24" s="10" t="str">
        <x:v>APPROVED_SESSION_2026-07-28</x:v>
      </x:c>
      <x:c r="W24" s="10" t="str"/>
      <x:c r="X24" s="10" t="str">
        <x:v>Центр инвестиций</x:v>
      </x:c>
      <x:c r="Y24" s="10" t="str">
        <x:v>APPROVED_STRUCTURE</x:v>
      </x:c>
      <x:c r="Z24" s="10" t="str"/>
    </x:row>
    <x:row r="25" ht="30" customHeight="1">
      <x:c r="A25" s="10" t="str">
        <x:v>CAPEX.ENG.008</x:v>
      </x:c>
      <x:c r="B25" s="10" t="str">
        <x:v>HP-08</x:v>
      </x:c>
      <x:c r="C25" s="10" t="str">
        <x:v>ENG-08</x:v>
      </x:c>
      <x:c r="D25" s="10" t="str">
        <x:v>Вытяжная вентиляция и зонты</x:v>
      </x:c>
      <x:c r="E25" s="10" t="str">
        <x:v>CAPEX</x:v>
      </x:c>
      <x:c r="F25" s="10" t="str">
        <x:v>Инженерия</x:v>
      </x:c>
      <x:c r="G25" s="10" t="n">
        <x:v>1</x:v>
      </x:c>
      <x:c r="H25" s="10" t="str">
        <x:v>система</x:v>
      </x:c>
      <x:c r="I25" s="10" t="str">
        <x:v>Горячая линия, WOK, печи, мойка</x:v>
      </x:c>
      <x:c r="J25" s="10" t="str">
        <x:v>по проекту</x:v>
      </x:c>
      <x:c r="K25" s="10" t="str">
        <x:v>E3/V</x:v>
      </x:c>
      <x:c r="L25" s="10" t="str">
        <x:v>по проекту</x:v>
      </x:c>
      <x:c r="M25" s="10" t="str">
        <x:v>SHARED</x:v>
      </x:c>
      <x:c r="N25" s="10" t="str">
        <x:v>D05_CAPACITY</x:v>
      </x:c>
      <x:c r="O25" s="10" t="str">
        <x:v>ENGINEERED</x:v>
      </x:c>
      <x:c r="P25" s="10" t="str"/>
      <x:c r="Q25" s="10" t="str">
        <x:v>1</x:v>
      </x:c>
      <x:c r="R25" s="10" t="n">
        <x:v>0</x:v>
      </x:c>
      <x:c r="S25" s="10" t="str"/>
      <x:c r="T25" s="10" t="str"/>
      <x:c r="U25" s="10" t="str">
        <x:v>NOT_REQUESTED</x:v>
      </x:c>
      <x:c r="V25" s="10" t="str">
        <x:v>APPROVED_SESSION_2026-07-28</x:v>
      </x:c>
      <x:c r="W25" s="10" t="str"/>
      <x:c r="X25" s="10" t="str">
        <x:v>Центр инвестиций</x:v>
      </x:c>
      <x:c r="Y25" s="10" t="str">
        <x:v>APPROVED_STRUCTURE</x:v>
      </x:c>
      <x:c r="Z25" s="10" t="str"/>
    </x:row>
    <x:row r="26" ht="30" customHeight="1">
      <x:c r="A26" s="10" t="str">
        <x:v>CAPEX.ENG.009</x:v>
      </x:c>
      <x:c r="B26" s="10" t="str"/>
      <x:c r="C26" s="10" t="str">
        <x:v>ENG-09</x:v>
      </x:c>
      <x:c r="D26" s="10" t="str">
        <x:v>Воздуховоды и противопожарные клапаны</x:v>
      </x:c>
      <x:c r="E26" s="10" t="str">
        <x:v>CAPEX</x:v>
      </x:c>
      <x:c r="F26" s="10" t="str">
        <x:v>Инженерия</x:v>
      </x:c>
      <x:c r="G26" s="10" t="n">
        <x:v>1</x:v>
      </x:c>
      <x:c r="H26" s="10" t="str">
        <x:v>комплект</x:v>
      </x:c>
      <x:c r="I26" s="10" t="str">
        <x:v>По проекту вентиляции</x:v>
      </x:c>
      <x:c r="J26" s="10" t="str">
        <x:v>по проекту</x:v>
      </x:c>
      <x:c r="K26" s="10" t="str">
        <x:v>V</x:v>
      </x:c>
      <x:c r="L26" s="10" t="str">
        <x:v>по проекту</x:v>
      </x:c>
      <x:c r="M26" s="10" t="str">
        <x:v>SHARED</x:v>
      </x:c>
      <x:c r="N26" s="10" t="str">
        <x:v>D05_CAPACITY</x:v>
      </x:c>
      <x:c r="O26" s="10" t="str">
        <x:v>ENGINEERED</x:v>
      </x:c>
      <x:c r="P26" s="10" t="str"/>
      <x:c r="Q26" s="10" t="str">
        <x:v>1</x:v>
      </x:c>
      <x:c r="R26" s="10" t="n">
        <x:v>0</x:v>
      </x:c>
      <x:c r="S26" s="10" t="str"/>
      <x:c r="T26" s="10" t="str"/>
      <x:c r="U26" s="10" t="str">
        <x:v>NOT_REQUESTED</x:v>
      </x:c>
      <x:c r="V26" s="10" t="str">
        <x:v>APPROVED_SESSION_2026-07-28</x:v>
      </x:c>
      <x:c r="W26" s="10" t="str"/>
      <x:c r="X26" s="10" t="str">
        <x:v>Центр инвестиций</x:v>
      </x:c>
      <x:c r="Y26" s="10" t="str">
        <x:v>APPROVED_STRUCTURE</x:v>
      </x:c>
      <x:c r="Z26" s="10" t="str"/>
    </x:row>
    <x:row r="27" ht="30" customHeight="1">
      <x:c r="A27" s="10" t="str">
        <x:v>CAPEX.ENG.010</x:v>
      </x:c>
      <x:c r="B27" s="10" t="str"/>
      <x:c r="C27" s="10" t="str">
        <x:v>ENG-10</x:v>
      </x:c>
      <x:c r="D27" s="10" t="str">
        <x:v>Кондиционирование</x:v>
      </x:c>
      <x:c r="E27" s="10" t="str">
        <x:v>CAPEX</x:v>
      </x:c>
      <x:c r="F27" s="10" t="str">
        <x:v>Инженерия</x:v>
      </x:c>
      <x:c r="G27" s="10" t="n">
        <x:v>1</x:v>
      </x:c>
      <x:c r="H27" s="10" t="str">
        <x:v>система</x:v>
      </x:c>
      <x:c r="I27" s="10" t="str">
        <x:v>По теплопритокам</x:v>
      </x:c>
      <x:c r="J27" s="10" t="str">
        <x:v>по проекту</x:v>
      </x:c>
      <x:c r="K27" s="10" t="str">
        <x:v>E3</x:v>
      </x:c>
      <x:c r="L27" s="10" t="str">
        <x:v>по проекту</x:v>
      </x:c>
      <x:c r="M27" s="10" t="str">
        <x:v>SHARED</x:v>
      </x:c>
      <x:c r="N27" s="10" t="str">
        <x:v>D02_AREA</x:v>
      </x:c>
      <x:c r="O27" s="10" t="str">
        <x:v>ENGINEERED</x:v>
      </x:c>
      <x:c r="P27" s="10" t="str"/>
      <x:c r="Q27" s="10" t="str">
        <x:v>1</x:v>
      </x:c>
      <x:c r="R27" s="10" t="n">
        <x:v>0</x:v>
      </x:c>
      <x:c r="S27" s="10" t="str"/>
      <x:c r="T27" s="10" t="str"/>
      <x:c r="U27" s="10" t="str">
        <x:v>NOT_REQUESTED</x:v>
      </x:c>
      <x:c r="V27" s="10" t="str">
        <x:v>APPROVED_SESSION_2026-07-28</x:v>
      </x:c>
      <x:c r="W27" s="10" t="str"/>
      <x:c r="X27" s="10" t="str">
        <x:v>Центр инвестиций</x:v>
      </x:c>
      <x:c r="Y27" s="10" t="str">
        <x:v>APPROVED_STRUCTURE</x:v>
      </x:c>
      <x:c r="Z27" s="10" t="str"/>
    </x:row>
    <x:row r="28" ht="30" customHeight="1">
      <x:c r="A28" s="10" t="str">
        <x:v>CAPEX.ENG.011</x:v>
      </x:c>
      <x:c r="B28" s="10" t="str"/>
      <x:c r="C28" s="10" t="str">
        <x:v>ENG-11</x:v>
      </x:c>
      <x:c r="D28" s="10" t="str">
        <x:v>Холодная и горячая вода</x:v>
      </x:c>
      <x:c r="E28" s="10" t="str">
        <x:v>CAPEX</x:v>
      </x:c>
      <x:c r="F28" s="10" t="str">
        <x:v>Инженерия</x:v>
      </x:c>
      <x:c r="G28" s="10" t="n">
        <x:v>1</x:v>
      </x:c>
      <x:c r="H28" s="10" t="str">
        <x:v>комплект</x:v>
      </x:c>
      <x:c r="I28" s="10" t="str">
        <x:v>Все технологические точки</x:v>
      </x:c>
      <x:c r="J28" s="10" t="str">
        <x:v>по проекту</x:v>
      </x:c>
      <x:c r="K28" s="10" t="str">
        <x:v>W</x:v>
      </x:c>
      <x:c r="L28" s="10" t="str">
        <x:v>по проекту</x:v>
      </x:c>
      <x:c r="M28" s="10" t="str">
        <x:v>SHARED</x:v>
      </x:c>
      <x:c r="N28" s="10" t="str">
        <x:v>D05_CAPACITY</x:v>
      </x:c>
      <x:c r="O28" s="10" t="str">
        <x:v>ENGINEERED</x:v>
      </x:c>
      <x:c r="P28" s="10" t="str"/>
      <x:c r="Q28" s="10" t="str">
        <x:v>1</x:v>
      </x:c>
      <x:c r="R28" s="10" t="n">
        <x:v>0</x:v>
      </x:c>
      <x:c r="S28" s="10" t="str"/>
      <x:c r="T28" s="10" t="str"/>
      <x:c r="U28" s="10" t="str">
        <x:v>NOT_REQUESTED</x:v>
      </x:c>
      <x:c r="V28" s="10" t="str">
        <x:v>APPROVED_SESSION_2026-07-28</x:v>
      </x:c>
      <x:c r="W28" s="10" t="str"/>
      <x:c r="X28" s="10" t="str">
        <x:v>Центр инвестиций</x:v>
      </x:c>
      <x:c r="Y28" s="10" t="str">
        <x:v>APPROVED_STRUCTURE</x:v>
      </x:c>
      <x:c r="Z28" s="10" t="str"/>
    </x:row>
    <x:row r="29" ht="30" customHeight="1">
      <x:c r="A29" s="10" t="str">
        <x:v>CAPEX.ENG.012</x:v>
      </x:c>
      <x:c r="B29" s="10" t="str"/>
      <x:c r="C29" s="10" t="str">
        <x:v>ENG-12</x:v>
      </x:c>
      <x:c r="D29" s="10" t="str">
        <x:v>Канализация</x:v>
      </x:c>
      <x:c r="E29" s="10" t="str">
        <x:v>CAPEX</x:v>
      </x:c>
      <x:c r="F29" s="10" t="str">
        <x:v>Инженерия</x:v>
      </x:c>
      <x:c r="G29" s="10" t="n">
        <x:v>1</x:v>
      </x:c>
      <x:c r="H29" s="10" t="str">
        <x:v>комплект</x:v>
      </x:c>
      <x:c r="I29" s="10" t="str">
        <x:v>Все технологические точки</x:v>
      </x:c>
      <x:c r="J29" s="10" t="str">
        <x:v>по проекту</x:v>
      </x:c>
      <x:c r="K29" s="10" t="str">
        <x:v>D</x:v>
      </x:c>
      <x:c r="L29" s="10" t="str">
        <x:v>по проекту</x:v>
      </x:c>
      <x:c r="M29" s="10" t="str">
        <x:v>SHARED</x:v>
      </x:c>
      <x:c r="N29" s="10" t="str">
        <x:v>D05_CAPACITY</x:v>
      </x:c>
      <x:c r="O29" s="10" t="str">
        <x:v>ENGINEERED</x:v>
      </x:c>
      <x:c r="P29" s="10" t="str"/>
      <x:c r="Q29" s="10" t="str">
        <x:v>1</x:v>
      </x:c>
      <x:c r="R29" s="10" t="n">
        <x:v>0</x:v>
      </x:c>
      <x:c r="S29" s="10" t="str"/>
      <x:c r="T29" s="10" t="str"/>
      <x:c r="U29" s="10" t="str">
        <x:v>NOT_REQUESTED</x:v>
      </x:c>
      <x:c r="V29" s="10" t="str">
        <x:v>APPROVED_SESSION_2026-07-28</x:v>
      </x:c>
      <x:c r="W29" s="10" t="str"/>
      <x:c r="X29" s="10" t="str">
        <x:v>Центр инвестиций</x:v>
      </x:c>
      <x:c r="Y29" s="10" t="str">
        <x:v>APPROVED_STRUCTURE</x:v>
      </x:c>
      <x:c r="Z29" s="10" t="str"/>
    </x:row>
    <x:row r="30" ht="30" customHeight="1">
      <x:c r="A30" s="10" t="str">
        <x:v>CAPEX.ENG.013</x:v>
      </x:c>
      <x:c r="B30" s="10" t="str"/>
      <x:c r="C30" s="10" t="str">
        <x:v>ENG-13</x:v>
      </x:c>
      <x:c r="D30" s="10" t="str">
        <x:v>Жироуловитель</x:v>
      </x:c>
      <x:c r="E30" s="10" t="str">
        <x:v>CAPEX</x:v>
      </x:c>
      <x:c r="F30" s="10" t="str">
        <x:v>Инженерия</x:v>
      </x:c>
      <x:c r="G30" s="10" t="n">
        <x:v>1</x:v>
      </x:c>
      <x:c r="H30" s="10" t="str">
        <x:v>шт.</x:v>
      </x:c>
      <x:c r="I30" s="10" t="str">
        <x:v>По расходу воды и стоков</x:v>
      </x:c>
      <x:c r="J30" s="10" t="str">
        <x:v>по проекту</x:v>
      </x:c>
      <x:c r="K30" s="10" t="str">
        <x:v>W/D</x:v>
      </x:c>
      <x:c r="L30" s="10" t="str">
        <x:v>по проекту</x:v>
      </x:c>
      <x:c r="M30" s="10" t="str">
        <x:v>SHARED</x:v>
      </x:c>
      <x:c r="N30" s="10" t="str">
        <x:v>D05_CAPACITY</x:v>
      </x:c>
      <x:c r="O30" s="10" t="str">
        <x:v>ENGINEERED</x:v>
      </x:c>
      <x:c r="P30" s="10" t="str"/>
      <x:c r="Q30" s="10" t="str">
        <x:v>1</x:v>
      </x:c>
      <x:c r="R30" s="10" t="n">
        <x:v>0</x:v>
      </x:c>
      <x:c r="S30" s="10" t="str"/>
      <x:c r="T30" s="10" t="str"/>
      <x:c r="U30" s="10" t="str">
        <x:v>NOT_REQUESTED</x:v>
      </x:c>
      <x:c r="V30" s="10" t="str">
        <x:v>APPROVED_SESSION_2026-07-28</x:v>
      </x:c>
      <x:c r="W30" s="10" t="str"/>
      <x:c r="X30" s="10" t="str">
        <x:v>Центр инвестиций</x:v>
      </x:c>
      <x:c r="Y30" s="10" t="str">
        <x:v>APPROVED_STRUCTURE</x:v>
      </x:c>
      <x:c r="Z30" s="10" t="str"/>
    </x:row>
    <x:row r="31" ht="30" customHeight="1">
      <x:c r="A31" s="10" t="str">
        <x:v>CAPEX.ENG.014</x:v>
      </x:c>
      <x:c r="B31" s="10" t="str"/>
      <x:c r="C31" s="10" t="str">
        <x:v>ENG-14</x:v>
      </x:c>
      <x:c r="D31" s="10" t="str">
        <x:v>Водоподготовка</x:v>
      </x:c>
      <x:c r="E31" s="10" t="str">
        <x:v>CAPEX</x:v>
      </x:c>
      <x:c r="F31" s="10" t="str">
        <x:v>Инженерия</x:v>
      </x:c>
      <x:c r="G31" s="10" t="n">
        <x:v>1</x:v>
      </x:c>
      <x:c r="H31" s="10" t="str">
        <x:v>система</x:v>
      </x:c>
      <x:c r="I31" s="10" t="str">
        <x:v>Мойка, печи, бар</x:v>
      </x:c>
      <x:c r="J31" s="10" t="str">
        <x:v>по проекту</x:v>
      </x:c>
      <x:c r="K31" s="10" t="str">
        <x:v>W/D/E1</x:v>
      </x:c>
      <x:c r="L31" s="10" t="str">
        <x:v>по проекту</x:v>
      </x:c>
      <x:c r="M31" s="10" t="str">
        <x:v>SHARED</x:v>
      </x:c>
      <x:c r="N31" s="10" t="str">
        <x:v>D05_CAPACITY</x:v>
      </x:c>
      <x:c r="O31" s="10" t="str">
        <x:v>ENGINEERED</x:v>
      </x:c>
      <x:c r="P31" s="10" t="str"/>
      <x:c r="Q31" s="10" t="str">
        <x:v>1</x:v>
      </x:c>
      <x:c r="R31" s="10" t="n">
        <x:v>0</x:v>
      </x:c>
      <x:c r="S31" s="10" t="str"/>
      <x:c r="T31" s="10" t="str"/>
      <x:c r="U31" s="10" t="str">
        <x:v>NOT_REQUESTED</x:v>
      </x:c>
      <x:c r="V31" s="10" t="str">
        <x:v>APPROVED_SESSION_2026-07-28</x:v>
      </x:c>
      <x:c r="W31" s="10" t="str"/>
      <x:c r="X31" s="10" t="str">
        <x:v>Центр инвестиций</x:v>
      </x:c>
      <x:c r="Y31" s="10" t="str">
        <x:v>APPROVED_STRUCTURE</x:v>
      </x:c>
      <x:c r="Z31" s="10" t="str"/>
    </x:row>
    <x:row r="32" ht="30" customHeight="1">
      <x:c r="A32" s="10" t="str">
        <x:v>CAPEX.ENG.015</x:v>
      </x:c>
      <x:c r="B32" s="10" t="str"/>
      <x:c r="C32" s="10" t="str">
        <x:v>ENG-15</x:v>
      </x:c>
      <x:c r="D32" s="10" t="str">
        <x:v>Пожарная сигнализация и автоматика</x:v>
      </x:c>
      <x:c r="E32" s="10" t="str">
        <x:v>CAPEX</x:v>
      </x:c>
      <x:c r="F32" s="10" t="str">
        <x:v>Инженерия</x:v>
      </x:c>
      <x:c r="G32" s="10" t="n">
        <x:v>1</x:v>
      </x:c>
      <x:c r="H32" s="10" t="str">
        <x:v>система</x:v>
      </x:c>
      <x:c r="I32" s="10" t="str">
        <x:v>По пожарному проекту</x:v>
      </x:c>
      <x:c r="J32" s="10" t="str">
        <x:v>по проекту</x:v>
      </x:c>
      <x:c r="K32" s="10" t="str">
        <x:v>E1/LAN</x:v>
      </x:c>
      <x:c r="L32" s="10" t="str">
        <x:v>по проекту</x:v>
      </x:c>
      <x:c r="M32" s="10" t="str">
        <x:v>SHARED</x:v>
      </x:c>
      <x:c r="N32" s="10" t="str">
        <x:v>D02_AREA</x:v>
      </x:c>
      <x:c r="O32" s="10" t="str">
        <x:v>ENGINEERED</x:v>
      </x:c>
      <x:c r="P32" s="10" t="str"/>
      <x:c r="Q32" s="10" t="str">
        <x:v>1</x:v>
      </x:c>
      <x:c r="R32" s="10" t="n">
        <x:v>0</x:v>
      </x:c>
      <x:c r="S32" s="10" t="str"/>
      <x:c r="T32" s="10" t="str"/>
      <x:c r="U32" s="10" t="str">
        <x:v>NOT_REQUESTED</x:v>
      </x:c>
      <x:c r="V32" s="10" t="str">
        <x:v>APPROVED_SESSION_2026-07-28</x:v>
      </x:c>
      <x:c r="W32" s="10" t="str"/>
      <x:c r="X32" s="10" t="str">
        <x:v>Центр инвестиций</x:v>
      </x:c>
      <x:c r="Y32" s="10" t="str">
        <x:v>APPROVED_STRUCTURE</x:v>
      </x:c>
      <x:c r="Z32" s="10" t="str"/>
    </x:row>
    <x:row r="33" ht="30" customHeight="1">
      <x:c r="A33" s="10" t="str">
        <x:v>CAPEX.STO.001</x:v>
      </x:c>
      <x:c r="B33" s="10" t="str">
        <x:v>ST-05</x:v>
      </x:c>
      <x:c r="C33" s="10" t="str">
        <x:v>STO-01</x:v>
      </x:c>
      <x:c r="D33" s="10" t="str">
        <x:v>Стол и весы приёмки</x:v>
      </x:c>
      <x:c r="E33" s="10" t="str">
        <x:v>CAPEX</x:v>
      </x:c>
      <x:c r="F33" s="10" t="str">
        <x:v>Хранение</x:v>
      </x:c>
      <x:c r="G33" s="10" t="n">
        <x:v>1</x:v>
      </x:c>
      <x:c r="H33" s="10" t="str">
        <x:v>комплект</x:v>
      </x:c>
      <x:c r="I33" s="10" t="str">
        <x:v>Приёмка и контроль массы</x:v>
      </x:c>
      <x:c r="J33" s="10" t="str">
        <x:v>1200×700</x:v>
      </x:c>
      <x:c r="K33" s="10" t="str">
        <x:v>E1</x:v>
      </x:c>
      <x:c r="L33" s="10" t="str">
        <x:v>900 фронт</x:v>
      </x:c>
      <x:c r="M33" s="10" t="str">
        <x:v>SHARED</x:v>
      </x:c>
      <x:c r="N33" s="10" t="str">
        <x:v>D11_CONSUMPTION</x:v>
      </x:c>
      <x:c r="O33" s="10" t="str">
        <x:v>MANDATORY</x:v>
      </x:c>
      <x:c r="P33" s="10" t="str"/>
      <x:c r="Q33" s="10" t="str">
        <x:v>1</x:v>
      </x:c>
      <x:c r="R33" s="10" t="n">
        <x:v>0</x:v>
      </x:c>
      <x:c r="S33" s="10" t="str"/>
      <x:c r="T33" s="10" t="str"/>
      <x:c r="U33" s="10" t="str">
        <x:v>NOT_REQUESTED</x:v>
      </x:c>
      <x:c r="V33" s="10" t="str">
        <x:v>APPROVED_SESSION_2026-07-28</x:v>
      </x:c>
      <x:c r="W33" s="10" t="str"/>
      <x:c r="X33" s="10" t="str">
        <x:v>Центр инвестиций</x:v>
      </x:c>
      <x:c r="Y33" s="10" t="str">
        <x:v>APPROVED_STRUCTURE</x:v>
      </x:c>
      <x:c r="Z33" s="10" t="str"/>
    </x:row>
    <x:row r="34" ht="30" customHeight="1">
      <x:c r="A34" s="10" t="str">
        <x:v>CAPEX.STO.002</x:v>
      </x:c>
      <x:c r="B34" s="10" t="str">
        <x:v>ST-03</x:v>
      </x:c>
      <x:c r="C34" s="10" t="str">
        <x:v>STO-02</x:v>
      </x:c>
      <x:c r="D34" s="10" t="str">
        <x:v>Морозильник рыбы и креветок</x:v>
      </x:c>
      <x:c r="E34" s="10" t="str">
        <x:v>CAPEX</x:v>
      </x:c>
      <x:c r="F34" s="10" t="str">
        <x:v>Хранение</x:v>
      </x:c>
      <x:c r="G34" s="10" t="n">
        <x:v>1</x:v>
      </x:c>
      <x:c r="H34" s="10" t="str">
        <x:v>шт.</x:v>
      </x:c>
      <x:c r="I34" s="10" t="str">
        <x:v>360–400 полезных л</x:v>
      </x:c>
      <x:c r="J34" s="10" t="str">
        <x:v>700×800×2050</x:v>
      </x:c>
      <x:c r="K34" s="10" t="str">
        <x:v>E1</x:v>
      </x:c>
      <x:c r="L34" s="10" t="str">
        <x:v>900 фронт</x:v>
      </x:c>
      <x:c r="M34" s="10" t="str">
        <x:v>SHARED</x:v>
      </x:c>
      <x:c r="N34" s="10" t="str">
        <x:v>D06_STORAGE</x:v>
      </x:c>
      <x:c r="O34" s="10" t="str">
        <x:v>MANDATORY</x:v>
      </x:c>
      <x:c r="P34" s="10" t="str"/>
      <x:c r="Q34" s="10" t="str">
        <x:v>1</x:v>
      </x:c>
      <x:c r="R34" s="10" t="n">
        <x:v>0</x:v>
      </x:c>
      <x:c r="S34" s="10" t="str"/>
      <x:c r="T34" s="10" t="str"/>
      <x:c r="U34" s="10" t="str">
        <x:v>NOT_REQUESTED</x:v>
      </x:c>
      <x:c r="V34" s="10" t="str"/>
      <x:c r="W34" s="10" t="str">
        <x:v>V-I-042</x:v>
      </x:c>
      <x:c r="X34" s="10" t="str">
        <x:v>Центр инвестиций</x:v>
      </x:c>
      <x:c r="Y34" s="10" t="str">
        <x:v>APPROVED_STRUCTURE</x:v>
      </x:c>
      <x:c r="Z34" s="10" t="str"/>
    </x:row>
    <x:row r="35" ht="30" customHeight="1">
      <x:c r="A35" s="10" t="str">
        <x:v>CAPEX.STO.003</x:v>
      </x:c>
      <x:c r="B35" s="10" t="str">
        <x:v>ST-03;PB-08</x:v>
      </x:c>
      <x:c r="C35" s="10" t="str">
        <x:v>STO-03</x:v>
      </x:c>
      <x:c r="D35" s="10" t="str">
        <x:v>Морозильник прочей продукции</x:v>
      </x:c>
      <x:c r="E35" s="10" t="str">
        <x:v>CAPEX</x:v>
      </x:c>
      <x:c r="F35" s="10" t="str">
        <x:v>Хранение</x:v>
      </x:c>
      <x:c r="G35" s="10" t="n">
        <x:v>1</x:v>
      </x:c>
      <x:c r="H35" s="10" t="str">
        <x:v>шт.</x:v>
      </x:c>
      <x:c r="I35" s="10" t="str">
        <x:v>Раздельный контур</x:v>
      </x:c>
      <x:c r="J35" s="10" t="str">
        <x:v>700×800×2050</x:v>
      </x:c>
      <x:c r="K35" s="10" t="str">
        <x:v>E1</x:v>
      </x:c>
      <x:c r="L35" s="10" t="str">
        <x:v>900 фронт</x:v>
      </x:c>
      <x:c r="M35" s="10" t="str">
        <x:v>SHARED</x:v>
      </x:c>
      <x:c r="N35" s="10" t="str">
        <x:v>D06_STORAGE</x:v>
      </x:c>
      <x:c r="O35" s="10" t="str">
        <x:v>MANDATORY</x:v>
      </x:c>
      <x:c r="P35" s="10" t="str"/>
      <x:c r="Q35" s="10" t="str">
        <x:v>1</x:v>
      </x:c>
      <x:c r="R35" s="10" t="n">
        <x:v>0</x:v>
      </x:c>
      <x:c r="S35" s="10" t="str"/>
      <x:c r="T35" s="10" t="str"/>
      <x:c r="U35" s="10" t="str">
        <x:v>NOT_REQUESTED</x:v>
      </x:c>
      <x:c r="V35" s="10" t="str"/>
      <x:c r="W35" s="10" t="str">
        <x:v>V-I-042</x:v>
      </x:c>
      <x:c r="X35" s="10" t="str">
        <x:v>Центр инвестиций</x:v>
      </x:c>
      <x:c r="Y35" s="10" t="str">
        <x:v>APPROVED_STRUCTURE</x:v>
      </x:c>
      <x:c r="Z35" s="10" t="str"/>
    </x:row>
    <x:row r="36" ht="30" customHeight="1">
      <x:c r="A36" s="10" t="str">
        <x:v>CAPEX.STO.004</x:v>
      </x:c>
      <x:c r="B36" s="10" t="str">
        <x:v>ST-02</x:v>
      </x:c>
      <x:c r="C36" s="10" t="str">
        <x:v>STO-04</x:v>
      </x:c>
      <x:c r="D36" s="10" t="str">
        <x:v>Холодильный контур сырой говядины</x:v>
      </x:c>
      <x:c r="E36" s="10" t="str">
        <x:v>CAPEX</x:v>
      </x:c>
      <x:c r="F36" s="10" t="str">
        <x:v>Хранение</x:v>
      </x:c>
      <x:c r="G36" s="10" t="n">
        <x:v>1</x:v>
      </x:c>
      <x:c r="H36" s="10" t="str">
        <x:v>контур</x:v>
      </x:c>
      <x:c r="I36" s="10" t="str">
        <x:v>Раздельное хранение</x:v>
      </x:c>
      <x:c r="J36" s="10" t="str">
        <x:v>до 700×800×2050</x:v>
      </x:c>
      <x:c r="K36" s="10" t="str">
        <x:v>E1</x:v>
      </x:c>
      <x:c r="L36" s="10" t="str">
        <x:v>900 фронт</x:v>
      </x:c>
      <x:c r="M36" s="10" t="str">
        <x:v>SHARED</x:v>
      </x:c>
      <x:c r="N36" s="10" t="str">
        <x:v>D06_STORAGE</x:v>
      </x:c>
      <x:c r="O36" s="10" t="str">
        <x:v>MANDATORY</x:v>
      </x:c>
      <x:c r="P36" s="10" t="str"/>
      <x:c r="Q36" s="10" t="str">
        <x:v>1</x:v>
      </x:c>
      <x:c r="R36" s="10" t="n">
        <x:v>0</x:v>
      </x:c>
      <x:c r="S36" s="10" t="str"/>
      <x:c r="T36" s="10" t="str"/>
      <x:c r="U36" s="10" t="str">
        <x:v>NOT_REQUESTED</x:v>
      </x:c>
      <x:c r="V36" s="10" t="str">
        <x:v>APPROVED_SESSION_2026-07-28</x:v>
      </x:c>
      <x:c r="W36" s="10" t="str"/>
      <x:c r="X36" s="10" t="str">
        <x:v>Центр инвестиций</x:v>
      </x:c>
      <x:c r="Y36" s="10" t="str">
        <x:v>APPROVED_STRUCTURE</x:v>
      </x:c>
      <x:c r="Z36" s="10" t="str"/>
    </x:row>
    <x:row r="37" ht="30" customHeight="1">
      <x:c r="A37" s="10" t="str">
        <x:v>CAPEX.STO.005</x:v>
      </x:c>
      <x:c r="B37" s="10" t="str">
        <x:v>ST-02</x:v>
      </x:c>
      <x:c r="C37" s="10" t="str">
        <x:v>STO-05</x:v>
      </x:c>
      <x:c r="D37" s="10" t="str">
        <x:v>Шкаф контролируемого размораживания</x:v>
      </x:c>
      <x:c r="E37" s="10" t="str">
        <x:v>CAPEX</x:v>
      </x:c>
      <x:c r="F37" s="10" t="str">
        <x:v>Хранение</x:v>
      </x:c>
      <x:c r="G37" s="10" t="n">
        <x:v>1</x:v>
      </x:c>
      <x:c r="H37" s="10" t="str">
        <x:v>шт.</x:v>
      </x:c>
      <x:c r="I37" s="10" t="str">
        <x:v>Суточная потребность +20%</x:v>
      </x:c>
      <x:c r="J37" s="10" t="str">
        <x:v>до 750×850×2100</x:v>
      </x:c>
      <x:c r="K37" s="10" t="str">
        <x:v>E1;D при необходимости</x:v>
      </x:c>
      <x:c r="L37" s="10" t="str">
        <x:v>900 фронт</x:v>
      </x:c>
      <x:c r="M37" s="10" t="str">
        <x:v>SHARED</x:v>
      </x:c>
      <x:c r="N37" s="10" t="str">
        <x:v>D06_STORAGE</x:v>
      </x:c>
      <x:c r="O37" s="10" t="str">
        <x:v>MANDATORY</x:v>
      </x:c>
      <x:c r="P37" s="10" t="str"/>
      <x:c r="Q37" s="10" t="str">
        <x:v>1</x:v>
      </x:c>
      <x:c r="R37" s="10" t="n">
        <x:v>0</x:v>
      </x:c>
      <x:c r="S37" s="10" t="str"/>
      <x:c r="T37" s="10" t="str"/>
      <x:c r="U37" s="10" t="str">
        <x:v>NOT_REQUESTED</x:v>
      </x:c>
      <x:c r="V37" s="10" t="str">
        <x:v>APPROVED_SESSION_2026-07-28</x:v>
      </x:c>
      <x:c r="W37" s="10" t="str"/>
      <x:c r="X37" s="10" t="str">
        <x:v>Центр инвестиций</x:v>
      </x:c>
      <x:c r="Y37" s="10" t="str">
        <x:v>APPROVED_STRUCTURE</x:v>
      </x:c>
      <x:c r="Z37" s="10" t="str"/>
    </x:row>
    <x:row r="38" ht="30" customHeight="1">
      <x:c r="A38" s="10" t="str">
        <x:v>CAPEX.STO.006</x:v>
      </x:c>
      <x:c r="B38" s="10" t="str">
        <x:v>ST-02</x:v>
      </x:c>
      <x:c r="C38" s="10" t="str">
        <x:v>STO-06</x:v>
      </x:c>
      <x:c r="D38" s="10" t="str">
        <x:v>Молочная и готовая продукция</x:v>
      </x:c>
      <x:c r="E38" s="10" t="str">
        <x:v>CAPEX</x:v>
      </x:c>
      <x:c r="F38" s="10" t="str">
        <x:v>Хранение</x:v>
      </x:c>
      <x:c r="G38" s="10" t="n">
        <x:v>1</x:v>
      </x:c>
      <x:c r="H38" s="10" t="str">
        <x:v>контур</x:v>
      </x:c>
      <x:c r="I38" s="10" t="str">
        <x:v>400–500 полезных л</x:v>
      </x:c>
      <x:c r="J38" s="10" t="str">
        <x:v>700×800×2050</x:v>
      </x:c>
      <x:c r="K38" s="10" t="str">
        <x:v>E1</x:v>
      </x:c>
      <x:c r="L38" s="10" t="str">
        <x:v>900 фронт</x:v>
      </x:c>
      <x:c r="M38" s="10" t="str">
        <x:v>SHARED</x:v>
      </x:c>
      <x:c r="N38" s="10" t="str">
        <x:v>D06_STORAGE</x:v>
      </x:c>
      <x:c r="O38" s="10" t="str">
        <x:v>MANDATORY</x:v>
      </x:c>
      <x:c r="P38" s="10" t="str"/>
      <x:c r="Q38" s="10" t="str">
        <x:v>1</x:v>
      </x:c>
      <x:c r="R38" s="10" t="n">
        <x:v>0</x:v>
      </x:c>
      <x:c r="S38" s="10" t="str"/>
      <x:c r="T38" s="10" t="str"/>
      <x:c r="U38" s="10" t="str">
        <x:v>NOT_REQUESTED</x:v>
      </x:c>
      <x:c r="V38" s="10" t="str">
        <x:v>APPROVED_SESSION_2026-07-28</x:v>
      </x:c>
      <x:c r="W38" s="10" t="str"/>
      <x:c r="X38" s="10" t="str">
        <x:v>Центр инвестиций</x:v>
      </x:c>
      <x:c r="Y38" s="10" t="str">
        <x:v>APPROVED_STRUCTURE</x:v>
      </x:c>
      <x:c r="Z38" s="10" t="str"/>
    </x:row>
    <x:row r="39" ht="30" customHeight="1">
      <x:c r="A39" s="10" t="str">
        <x:v>CAPEX.STO.007</x:v>
      </x:c>
      <x:c r="B39" s="10" t="str">
        <x:v>ST-02</x:v>
      </x:c>
      <x:c r="C39" s="10" t="str">
        <x:v>STO-07</x:v>
      </x:c>
      <x:c r="D39" s="10" t="str">
        <x:v>Овощи и зелень</x:v>
      </x:c>
      <x:c r="E39" s="10" t="str">
        <x:v>CAPEX</x:v>
      </x:c>
      <x:c r="F39" s="10" t="str">
        <x:v>Хранение</x:v>
      </x:c>
      <x:c r="G39" s="10" t="n">
        <x:v>1</x:v>
      </x:c>
      <x:c r="H39" s="10" t="str">
        <x:v>контур</x:v>
      </x:c>
      <x:c r="I39" s="10" t="str">
        <x:v>Не менее 500 полезных л</x:v>
      </x:c>
      <x:c r="J39" s="10" t="str">
        <x:v>750×850×2050</x:v>
      </x:c>
      <x:c r="K39" s="10" t="str">
        <x:v>E1</x:v>
      </x:c>
      <x:c r="L39" s="10" t="str">
        <x:v>900 фронт</x:v>
      </x:c>
      <x:c r="M39" s="10" t="str">
        <x:v>SHARED</x:v>
      </x:c>
      <x:c r="N39" s="10" t="str">
        <x:v>D06_STORAGE</x:v>
      </x:c>
      <x:c r="O39" s="10" t="str">
        <x:v>MANDATORY</x:v>
      </x:c>
      <x:c r="P39" s="10" t="str"/>
      <x:c r="Q39" s="10" t="str">
        <x:v>1</x:v>
      </x:c>
      <x:c r="R39" s="10" t="n">
        <x:v>0</x:v>
      </x:c>
      <x:c r="S39" s="10" t="str"/>
      <x:c r="T39" s="10" t="str"/>
      <x:c r="U39" s="10" t="str">
        <x:v>NOT_REQUESTED</x:v>
      </x:c>
      <x:c r="V39" s="10" t="str">
        <x:v>APPROVED_SESSION_2026-07-28</x:v>
      </x:c>
      <x:c r="W39" s="10" t="str"/>
      <x:c r="X39" s="10" t="str">
        <x:v>Центр инвестиций</x:v>
      </x:c>
      <x:c r="Y39" s="10" t="str">
        <x:v>APPROVED_STRUCTURE</x:v>
      </x:c>
      <x:c r="Z39" s="10" t="str"/>
    </x:row>
    <x:row r="40" ht="30" customHeight="1">
      <x:c r="A40" s="10" t="str">
        <x:v>CAPEX.STO.008</x:v>
      </x:c>
      <x:c r="B40" s="10" t="str"/>
      <x:c r="C40" s="10" t="str">
        <x:v>STO-08</x:v>
      </x:c>
      <x:c r="D40" s="10" t="str">
        <x:v>Холодная ферментация теста</x:v>
      </x:c>
      <x:c r="E40" s="10" t="str">
        <x:v>CAPEX</x:v>
      </x:c>
      <x:c r="F40" s="10" t="str">
        <x:v>Хранение</x:v>
      </x:c>
      <x:c r="G40" s="10" t="n">
        <x:v>2</x:v>
      </x:c>
      <x:c r="H40" s="10" t="str">
        <x:v>секции</x:v>
      </x:c>
      <x:c r="I40" s="10" t="str">
        <x:v>Всего ≥30 позиций 600×400</x:v>
      </x:c>
      <x:c r="J40" s="10" t="str">
        <x:v>2×(800×1000×2100)</x:v>
      </x:c>
      <x:c r="K40" s="10" t="str">
        <x:v>E1</x:v>
      </x:c>
      <x:c r="L40" s="10" t="str">
        <x:v>1000 фронт</x:v>
      </x:c>
      <x:c r="M40" s="10" t="str">
        <x:v>SHARED</x:v>
      </x:c>
      <x:c r="N40" s="10" t="str">
        <x:v>D04_MACHINE_HOURS</x:v>
      </x:c>
      <x:c r="O40" s="10" t="str">
        <x:v>MANDATORY</x:v>
      </x:c>
      <x:c r="P40" s="10" t="str"/>
      <x:c r="Q40" s="10" t="str">
        <x:v>2</x:v>
      </x:c>
      <x:c r="R40" s="10" t="n">
        <x:v>0</x:v>
      </x:c>
      <x:c r="S40" s="10" t="str"/>
      <x:c r="T40" s="10" t="str"/>
      <x:c r="U40" s="10" t="str">
        <x:v>NOT_REQUESTED</x:v>
      </x:c>
      <x:c r="V40" s="10" t="str">
        <x:v>APPROVED_SESSION_2026-07-28</x:v>
      </x:c>
      <x:c r="W40" s="10" t="str"/>
      <x:c r="X40" s="10" t="str">
        <x:v>Центр инвестиций</x:v>
      </x:c>
      <x:c r="Y40" s="10" t="str">
        <x:v>APPROVED_STRUCTURE</x:v>
      </x:c>
      <x:c r="Z40" s="10" t="str"/>
    </x:row>
    <x:row r="41" ht="30" customHeight="1">
      <x:c r="A41" s="10" t="str">
        <x:v>CAPEX.STO.009</x:v>
      </x:c>
      <x:c r="B41" s="10" t="str">
        <x:v>ST-02</x:v>
      </x:c>
      <x:c r="C41" s="10" t="str">
        <x:v>STO-09</x:v>
      </x:c>
      <x:c r="D41" s="10" t="str">
        <x:v>Кондитерское хранение</x:v>
      </x:c>
      <x:c r="E41" s="10" t="str">
        <x:v>CAPEX</x:v>
      </x:c>
      <x:c r="F41" s="10" t="str">
        <x:v>Хранение</x:v>
      </x:c>
      <x:c r="G41" s="10" t="n">
        <x:v>1</x:v>
      </x:c>
      <x:c r="H41" s="10" t="str">
        <x:v>контур</x:v>
      </x:c>
      <x:c r="I41" s="10" t="str">
        <x:v>Противни и изделия</x:v>
      </x:c>
      <x:c r="J41" s="10" t="str">
        <x:v>до 700×800×2050</x:v>
      </x:c>
      <x:c r="K41" s="10" t="str">
        <x:v>E1</x:v>
      </x:c>
      <x:c r="L41" s="10" t="str">
        <x:v>900 фронт</x:v>
      </x:c>
      <x:c r="M41" s="10" t="str">
        <x:v>SHARED</x:v>
      </x:c>
      <x:c r="N41" s="10" t="str">
        <x:v>D06_STORAGE</x:v>
      </x:c>
      <x:c r="O41" s="10" t="str">
        <x:v>MANDATORY</x:v>
      </x:c>
      <x:c r="P41" s="10" t="str"/>
      <x:c r="Q41" s="10" t="str">
        <x:v>1</x:v>
      </x:c>
      <x:c r="R41" s="10" t="n">
        <x:v>0</x:v>
      </x:c>
      <x:c r="S41" s="10" t="str"/>
      <x:c r="T41" s="10" t="str"/>
      <x:c r="U41" s="10" t="str">
        <x:v>NOT_REQUESTED</x:v>
      </x:c>
      <x:c r="V41" s="10" t="str">
        <x:v>APPROVED_SESSION_2026-07-28</x:v>
      </x:c>
      <x:c r="W41" s="10" t="str"/>
      <x:c r="X41" s="10" t="str">
        <x:v>Центр инвестиций</x:v>
      </x:c>
      <x:c r="Y41" s="10" t="str">
        <x:v>APPROVED_STRUCTURE</x:v>
      </x:c>
      <x:c r="Z41" s="10" t="str"/>
    </x:row>
    <x:row r="42" ht="30" customHeight="1">
      <x:c r="A42" s="10" t="str">
        <x:v>CAPEX.STO.010</x:v>
      </x:c>
      <x:c r="B42" s="10" t="str">
        <x:v>ST-02</x:v>
      </x:c>
      <x:c r="C42" s="10" t="str">
        <x:v>STO-10</x:v>
      </x:c>
      <x:c r="D42" s="10" t="str">
        <x:v>Готовые полуфабрикаты</x:v>
      </x:c>
      <x:c r="E42" s="10" t="str">
        <x:v>CAPEX</x:v>
      </x:c>
      <x:c r="F42" s="10" t="str">
        <x:v>Хранение</x:v>
      </x:c>
      <x:c r="G42" s="10" t="n">
        <x:v>1</x:v>
      </x:c>
      <x:c r="H42" s="10" t="str">
        <x:v>контур</x:v>
      </x:c>
      <x:c r="I42" s="10" t="str">
        <x:v>Раздельное хранение</x:v>
      </x:c>
      <x:c r="J42" s="10" t="str">
        <x:v>до 700×800×2050</x:v>
      </x:c>
      <x:c r="K42" s="10" t="str">
        <x:v>E1</x:v>
      </x:c>
      <x:c r="L42" s="10" t="str">
        <x:v>900 фронт</x:v>
      </x:c>
      <x:c r="M42" s="10" t="str">
        <x:v>SHARED</x:v>
      </x:c>
      <x:c r="N42" s="10" t="str">
        <x:v>D06_STORAGE</x:v>
      </x:c>
      <x:c r="O42" s="10" t="str">
        <x:v>MANDATORY</x:v>
      </x:c>
      <x:c r="P42" s="10" t="str"/>
      <x:c r="Q42" s="10" t="str">
        <x:v>1</x:v>
      </x:c>
      <x:c r="R42" s="10" t="n">
        <x:v>0</x:v>
      </x:c>
      <x:c r="S42" s="10" t="str"/>
      <x:c r="T42" s="10" t="str"/>
      <x:c r="U42" s="10" t="str">
        <x:v>NOT_REQUESTED</x:v>
      </x:c>
      <x:c r="V42" s="10" t="str">
        <x:v>APPROVED_SESSION_2026-07-28</x:v>
      </x:c>
      <x:c r="W42" s="10" t="str"/>
      <x:c r="X42" s="10" t="str">
        <x:v>Центр инвестиций</x:v>
      </x:c>
      <x:c r="Y42" s="10" t="str">
        <x:v>APPROVED_STRUCTURE</x:v>
      </x:c>
      <x:c r="Z42" s="10" t="str"/>
    </x:row>
    <x:row r="43" ht="30" customHeight="1">
      <x:c r="A43" s="10" t="str">
        <x:v>CAPEX.STO.011</x:v>
      </x:c>
      <x:c r="B43" s="10" t="str">
        <x:v>ST-01</x:v>
      </x:c>
      <x:c r="C43" s="10" t="str">
        <x:v>STO-11</x:v>
      </x:c>
      <x:c r="D43" s="10" t="str">
        <x:v>Стеллажи сухого склада</x:v>
      </x:c>
      <x:c r="E43" s="10" t="str">
        <x:v>CAPEX</x:v>
      </x:c>
      <x:c r="F43" s="10" t="str">
        <x:v>Хранение</x:v>
      </x:c>
      <x:c r="G43" s="10" t="n">
        <x:v>1</x:v>
      </x:c>
      <x:c r="H43" s="10" t="str">
        <x:v>комплект</x:v>
      </x:c>
      <x:c r="I43" s="10" t="str">
        <x:v>254,458 кг при заполнении ≤70%</x:v>
      </x:c>
      <x:c r="J43" s="10" t="str">
        <x:v>глубина 500–600</x:v>
      </x:c>
      <x:c r="K43" s="10" t="str">
        <x:v>—</x:v>
      </x:c>
      <x:c r="L43" s="10" t="str">
        <x:v>проход 900</x:v>
      </x:c>
      <x:c r="M43" s="10" t="str">
        <x:v>SHARED</x:v>
      </x:c>
      <x:c r="N43" s="10" t="str">
        <x:v>D11_CONSUMPTION</x:v>
      </x:c>
      <x:c r="O43" s="10" t="str">
        <x:v>MANDATORY</x:v>
      </x:c>
      <x:c r="P43" s="10" t="str"/>
      <x:c r="Q43" s="10" t="str">
        <x:v>1</x:v>
      </x:c>
      <x:c r="R43" s="10" t="n">
        <x:v>0</x:v>
      </x:c>
      <x:c r="S43" s="10" t="str"/>
      <x:c r="T43" s="10" t="str"/>
      <x:c r="U43" s="10" t="str">
        <x:v>NOT_REQUESTED</x:v>
      </x:c>
      <x:c r="V43" s="10" t="str">
        <x:v>APPROVED_SESSION_2026-07-28</x:v>
      </x:c>
      <x:c r="W43" s="10" t="str"/>
      <x:c r="X43" s="10" t="str">
        <x:v>Центр инвестиций</x:v>
      </x:c>
      <x:c r="Y43" s="10" t="str">
        <x:v>APPROVED_STRUCTURE</x:v>
      </x:c>
      <x:c r="Z43" s="10" t="str"/>
    </x:row>
    <x:row r="44" ht="30" customHeight="1">
      <x:c r="A44" s="10" t="str">
        <x:v>CAPEX.STO.012</x:v>
      </x:c>
      <x:c r="B44" s="10" t="str">
        <x:v>ST-01</x:v>
      </x:c>
      <x:c r="C44" s="10" t="str">
        <x:v>STO-12</x:v>
      </x:c>
      <x:c r="D44" s="10" t="str">
        <x:v>Подтоварники</x:v>
      </x:c>
      <x:c r="E44" s="10" t="str">
        <x:v>CAPEX</x:v>
      </x:c>
      <x:c r="F44" s="10" t="str">
        <x:v>Хранение</x:v>
      </x:c>
      <x:c r="G44" s="10" t="n">
        <x:v>1</x:v>
      </x:c>
      <x:c r="H44" s="10" t="str">
        <x:v>комплект</x:v>
      </x:c>
      <x:c r="I44" s="10" t="str">
        <x:v>По планировке</x:v>
      </x:c>
      <x:c r="J44" s="10" t="str">
        <x:v>по проекту</x:v>
      </x:c>
      <x:c r="K44" s="10" t="str">
        <x:v>—</x:v>
      </x:c>
      <x:c r="L44" s="10" t="str">
        <x:v>проход 900</x:v>
      </x:c>
      <x:c r="M44" s="10" t="str">
        <x:v>SHARED</x:v>
      </x:c>
      <x:c r="N44" s="10" t="str">
        <x:v>D11_CONSUMPTION</x:v>
      </x:c>
      <x:c r="O44" s="10" t="str">
        <x:v>MANDATORY</x:v>
      </x:c>
      <x:c r="P44" s="10" t="str"/>
      <x:c r="Q44" s="10" t="str">
        <x:v>1</x:v>
      </x:c>
      <x:c r="R44" s="10" t="n">
        <x:v>0</x:v>
      </x:c>
      <x:c r="S44" s="10" t="str"/>
      <x:c r="T44" s="10" t="str"/>
      <x:c r="U44" s="10" t="str">
        <x:v>NOT_REQUESTED</x:v>
      </x:c>
      <x:c r="V44" s="10" t="str">
        <x:v>APPROVED_SESSION_2026-07-28</x:v>
      </x:c>
      <x:c r="W44" s="10" t="str"/>
      <x:c r="X44" s="10" t="str">
        <x:v>Центр инвестиций</x:v>
      </x:c>
      <x:c r="Y44" s="10" t="str">
        <x:v>APPROVED_STRUCTURE</x:v>
      </x:c>
      <x:c r="Z44" s="10" t="str"/>
    </x:row>
    <x:row r="45" ht="30" customHeight="1">
      <x:c r="A45" s="10" t="str">
        <x:v>CAPEX.STO.013</x:v>
      </x:c>
      <x:c r="B45" s="10" t="str">
        <x:v>PB-06</x:v>
      </x:c>
      <x:c r="C45" s="10" t="str">
        <x:v>STO-13</x:v>
      </x:c>
      <x:c r="D45" s="10" t="str">
        <x:v>Дополнительные холодильные модули</x:v>
      </x:c>
      <x:c r="E45" s="10" t="str">
        <x:v>CAPEX</x:v>
      </x:c>
      <x:c r="F45" s="10" t="str">
        <x:v>Хранение</x:v>
      </x:c>
      <x:c r="G45" s="10" t="n">
        <x:v>1</x:v>
      </x:c>
      <x:c r="H45" s="10" t="str">
        <x:v>комплект</x:v>
      </x:c>
      <x:c r="I45" s="10" t="str">
        <x:v>После расчёта заполнения</x:v>
      </x:c>
      <x:c r="J45" s="10" t="str">
        <x:v>по проекту</x:v>
      </x:c>
      <x:c r="K45" s="10" t="str">
        <x:v>E1</x:v>
      </x:c>
      <x:c r="L45" s="10" t="str">
        <x:v>по паспорту</x:v>
      </x:c>
      <x:c r="M45" s="10" t="str">
        <x:v>SHARED</x:v>
      </x:c>
      <x:c r="N45" s="10" t="str">
        <x:v>D03_AVOIDABLE</x:v>
      </x:c>
      <x:c r="O45" s="10" t="str">
        <x:v>CONDITIONAL</x:v>
      </x:c>
      <x:c r="P45" s="10" t="str">
        <x:v>GATE-STO-13</x:v>
      </x:c>
      <x:c r="Q45" s="10" t="n">
        <x:v>0</x:v>
      </x:c>
      <x:c r="R45" s="10" t="n">
        <x:v>1</x:v>
      </x:c>
      <x:c r="S45" s="10" t="str"/>
      <x:c r="T45" s="10" t="str"/>
      <x:c r="U45" s="10" t="str">
        <x:v>NOT_REQUESTED</x:v>
      </x:c>
      <x:c r="V45" s="10" t="str">
        <x:v>APPROVED_SESSION_2026-07-28</x:v>
      </x:c>
      <x:c r="W45" s="10" t="str"/>
      <x:c r="X45" s="10" t="str">
        <x:v>Центр инвестиций</x:v>
      </x:c>
      <x:c r="Y45" s="10" t="str">
        <x:v>APPROVED_STRUCTURE</x:v>
      </x:c>
      <x:c r="Z45" s="10" t="str"/>
    </x:row>
    <x:row r="46" ht="30" customHeight="1">
      <x:c r="A46" s="10" t="str">
        <x:v>CAPEX.HOT.001</x:v>
      </x:c>
      <x:c r="B46" s="10" t="str">
        <x:v>HP-05</x:v>
      </x:c>
      <x:c r="C46" s="10" t="str">
        <x:v>HOT-01</x:v>
      </x:c>
      <x:c r="D46" s="10" t="str">
        <x:v>Пароконвектомат</x:v>
      </x:c>
      <x:c r="E46" s="10" t="str">
        <x:v>CAPEX</x:v>
      </x:c>
      <x:c r="F46" s="10" t="str">
        <x:v>Горячий участок</x:v>
      </x:c>
      <x:c r="G46" s="10" t="n">
        <x:v>1</x:v>
      </x:c>
      <x:c r="H46" s="10" t="str">
        <x:v>шт.</x:v>
      </x:c>
      <x:c r="I46" s="10" t="str">
        <x:v>Минимум 6×GN 1/1; программы; термощуп</x:v>
      </x:c>
      <x:c r="J46" s="10" t="str">
        <x:v>до 1000×1000×1900</x:v>
      </x:c>
      <x:c r="K46" s="10" t="str">
        <x:v>E3/W/D/V</x:v>
      </x:c>
      <x:c r="L46" s="10" t="str">
        <x:v>1200 фронт</x:v>
      </x:c>
      <x:c r="M46" s="10" t="str">
        <x:v>SHARED</x:v>
      </x:c>
      <x:c r="N46" s="10" t="str">
        <x:v>D04_MACHINE_HOURS</x:v>
      </x:c>
      <x:c r="O46" s="10" t="str">
        <x:v>MANDATORY</x:v>
      </x:c>
      <x:c r="P46" s="10" t="str"/>
      <x:c r="Q46" s="10" t="str">
        <x:v>1</x:v>
      </x:c>
      <x:c r="R46" s="10" t="n">
        <x:v>0</x:v>
      </x:c>
      <x:c r="S46" s="10" t="str"/>
      <x:c r="T46" s="10" t="str"/>
      <x:c r="U46" s="10" t="str">
        <x:v>NOT_REQUESTED</x:v>
      </x:c>
      <x:c r="V46" s="10" t="str">
        <x:v>APPROVED_SESSION_2026-07-28</x:v>
      </x:c>
      <x:c r="W46" s="10" t="str"/>
      <x:c r="X46" s="10" t="str">
        <x:v>Центр инвестиций</x:v>
      </x:c>
      <x:c r="Y46" s="10" t="str">
        <x:v>APPROVED_STRUCTURE</x:v>
      </x:c>
      <x:c r="Z46" s="10" t="str"/>
    </x:row>
    <x:row r="47" ht="30" customHeight="1">
      <x:c r="A47" s="10" t="str">
        <x:v>CAPEX.HOT.002</x:v>
      </x:c>
      <x:c r="B47" s="10" t="str">
        <x:v>HP-03</x:v>
      </x:c>
      <x:c r="C47" s="10" t="str">
        <x:v>HOT-02</x:v>
      </x:c>
      <x:c r="D47" s="10" t="str">
        <x:v>Двухзонный теппан</x:v>
      </x:c>
      <x:c r="E47" s="10" t="str">
        <x:v>CAPEX</x:v>
      </x:c>
      <x:c r="F47" s="10" t="str">
        <x:v>Горячий участок</x:v>
      </x:c>
      <x:c r="G47" s="10" t="n">
        <x:v>1</x:v>
      </x:c>
      <x:c r="H47" s="10" t="str">
        <x:v>шт.</x:v>
      </x:c>
      <x:c r="I47" s="10" t="str">
        <x:v>≥16 мясных изделий/час</x:v>
      </x:c>
      <x:c r="J47" s="10" t="str">
        <x:v>около 800×700×900</x:v>
      </x:c>
      <x:c r="K47" s="10" t="str">
        <x:v>E3/EXH</x:v>
      </x:c>
      <x:c r="L47" s="10" t="str">
        <x:v>1000 фронт</x:v>
      </x:c>
      <x:c r="M47" s="10" t="str">
        <x:v>SHARED</x:v>
      </x:c>
      <x:c r="N47" s="10" t="str">
        <x:v>D04_MACHINE_HOURS</x:v>
      </x:c>
      <x:c r="O47" s="10" t="str">
        <x:v>MANDATORY</x:v>
      </x:c>
      <x:c r="P47" s="10" t="str"/>
      <x:c r="Q47" s="10" t="str">
        <x:v>1</x:v>
      </x:c>
      <x:c r="R47" s="10" t="n">
        <x:v>0</x:v>
      </x:c>
      <x:c r="S47" s="10" t="str"/>
      <x:c r="T47" s="10" t="str"/>
      <x:c r="U47" s="10" t="str">
        <x:v>NOT_REQUESTED</x:v>
      </x:c>
      <x:c r="V47" s="10" t="str">
        <x:v>APPROVED_SESSION_2026-07-28</x:v>
      </x:c>
      <x:c r="W47" s="10" t="str"/>
      <x:c r="X47" s="10" t="str">
        <x:v>Центр инвестиций</x:v>
      </x:c>
      <x:c r="Y47" s="10" t="str">
        <x:v>APPROVED_STRUCTURE</x:v>
      </x:c>
      <x:c r="Z47" s="10" t="str"/>
    </x:row>
    <x:row r="48" ht="30" customHeight="1">
      <x:c r="A48" s="10" t="str">
        <x:v>CAPEX.HOT.003</x:v>
      </x:c>
      <x:c r="B48" s="10" t="str">
        <x:v>HP-04</x:v>
      </x:c>
      <x:c r="C48" s="10" t="str">
        <x:v>HOT-03</x:v>
      </x:c>
      <x:c r="D48" s="10" t="str">
        <x:v>WOK-пост</x:v>
      </x:c>
      <x:c r="E48" s="10" t="str">
        <x:v>CAPEX</x:v>
      </x:c>
      <x:c r="F48" s="10" t="str">
        <x:v>Горячий участок</x:v>
      </x:c>
      <x:c r="G48" s="10" t="n">
        <x:v>1</x:v>
      </x:c>
      <x:c r="H48" s="10" t="str">
        <x:v>шт.</x:v>
      </x:c>
      <x:c r="I48" s="10" t="str">
        <x:v>≥5 порций/час</x:v>
      </x:c>
      <x:c r="J48" s="10" t="str">
        <x:v>600–800×800×900</x:v>
      </x:c>
      <x:c r="K48" s="10" t="str">
        <x:v>E3/W/D/EXH</x:v>
      </x:c>
      <x:c r="L48" s="10" t="str">
        <x:v>1000 фронт</x:v>
      </x:c>
      <x:c r="M48" s="10" t="str">
        <x:v>SHARED</x:v>
      </x:c>
      <x:c r="N48" s="10" t="str">
        <x:v>D04_MACHINE_HOURS</x:v>
      </x:c>
      <x:c r="O48" s="10" t="str">
        <x:v>MANDATORY</x:v>
      </x:c>
      <x:c r="P48" s="10" t="str"/>
      <x:c r="Q48" s="10" t="str">
        <x:v>1</x:v>
      </x:c>
      <x:c r="R48" s="10" t="n">
        <x:v>0</x:v>
      </x:c>
      <x:c r="S48" s="10" t="str"/>
      <x:c r="T48" s="10" t="str"/>
      <x:c r="U48" s="10" t="str">
        <x:v>NOT_REQUESTED</x:v>
      </x:c>
      <x:c r="V48" s="10" t="str">
        <x:v>APPROVED_SESSION_2026-07-28</x:v>
      </x:c>
      <x:c r="W48" s="10" t="str"/>
      <x:c r="X48" s="10" t="str">
        <x:v>Центр инвестиций</x:v>
      </x:c>
      <x:c r="Y48" s="10" t="str">
        <x:v>APPROVED_STRUCTURE</x:v>
      </x:c>
      <x:c r="Z48" s="10" t="str"/>
    </x:row>
    <x:row r="49" ht="30" customHeight="1">
      <x:c r="A49" s="10" t="str">
        <x:v>CAPEX.HOT.004</x:v>
      </x:c>
      <x:c r="B49" s="10" t="str"/>
      <x:c r="C49" s="10" t="str">
        <x:v>HOT-04</x:v>
      </x:c>
      <x:c r="D49" s="10" t="str">
        <x:v>Второй WOK-пост</x:v>
      </x:c>
      <x:c r="E49" s="10" t="str">
        <x:v>CAPEX</x:v>
      </x:c>
      <x:c r="F49" s="10" t="str">
        <x:v>Горячий участок</x:v>
      </x:c>
      <x:c r="G49" s="10" t="n">
        <x:v>1</x:v>
      </x:c>
      <x:c r="H49" s="10" t="str">
        <x:v>шт.</x:v>
      </x:c>
      <x:c r="I49" s="10" t="str">
        <x:v>Тот же технологический стандарт</x:v>
      </x:c>
      <x:c r="J49" s="10" t="str">
        <x:v>по проекту</x:v>
      </x:c>
      <x:c r="K49" s="10" t="str">
        <x:v>E3/W/D/EXH</x:v>
      </x:c>
      <x:c r="L49" s="10" t="str">
        <x:v>1000 фронт</x:v>
      </x:c>
      <x:c r="M49" s="10" t="str">
        <x:v>SHARED</x:v>
      </x:c>
      <x:c r="N49" s="10" t="str">
        <x:v>D03_AVOIDABLE</x:v>
      </x:c>
      <x:c r="O49" s="10" t="str">
        <x:v>CONDITIONAL</x:v>
      </x:c>
      <x:c r="P49" s="10" t="str">
        <x:v>GATE-HOT-04</x:v>
      </x:c>
      <x:c r="Q49" s="10" t="n">
        <x:v>0</x:v>
      </x:c>
      <x:c r="R49" s="10" t="n">
        <x:v>1</x:v>
      </x:c>
      <x:c r="S49" s="10" t="str"/>
      <x:c r="T49" s="10" t="str"/>
      <x:c r="U49" s="10" t="str">
        <x:v>NOT_REQUESTED</x:v>
      </x:c>
      <x:c r="V49" s="10" t="str">
        <x:v>APPROVED_SESSION_2026-07-28</x:v>
      </x:c>
      <x:c r="W49" s="10" t="str"/>
      <x:c r="X49" s="10" t="str">
        <x:v>Центр инвестиций</x:v>
      </x:c>
      <x:c r="Y49" s="10" t="str">
        <x:v>APPROVED_STRUCTURE</x:v>
      </x:c>
      <x:c r="Z49" s="10" t="str"/>
    </x:row>
    <x:row r="50" ht="30" customHeight="1">
      <x:c r="A50" s="10" t="str">
        <x:v>CAPEX.HOT.005</x:v>
      </x:c>
      <x:c r="B50" s="10" t="str">
        <x:v>HP-01</x:v>
      </x:c>
      <x:c r="C50" s="10" t="str">
        <x:v>HOT-05A</x:v>
      </x:c>
      <x:c r="D50" s="10" t="str">
        <x:v>Индукционная плита 4 зоны</x:v>
      </x:c>
      <x:c r="E50" s="10" t="str">
        <x:v>CAPEX</x:v>
      </x:c>
      <x:c r="F50" s="10" t="str">
        <x:v>Горячий участок</x:v>
      </x:c>
      <x:c r="G50" s="10" t="n">
        <x:v>1</x:v>
      </x:c>
      <x:c r="H50" s="10" t="str">
        <x:v>шт.</x:v>
      </x:c>
      <x:c r="I50" s="10" t="str">
        <x:v>4 зоны</x:v>
      </x:c>
      <x:c r="J50" s="10" t="str">
        <x:v>около 800×700×900</x:v>
      </x:c>
      <x:c r="K50" s="10" t="str">
        <x:v>E3/EXH</x:v>
      </x:c>
      <x:c r="L50" s="10" t="str">
        <x:v>1000 фронт</x:v>
      </x:c>
      <x:c r="M50" s="10" t="str">
        <x:v>SHARED</x:v>
      </x:c>
      <x:c r="N50" s="10" t="str">
        <x:v>D04_MACHINE_HOURS</x:v>
      </x:c>
      <x:c r="O50" s="10" t="str">
        <x:v>MANDATORY</x:v>
      </x:c>
      <x:c r="P50" s="10" t="str"/>
      <x:c r="Q50" s="10" t="str">
        <x:v>1</x:v>
      </x:c>
      <x:c r="R50" s="10" t="n">
        <x:v>0</x:v>
      </x:c>
      <x:c r="S50" s="10" t="str"/>
      <x:c r="T50" s="10" t="str"/>
      <x:c r="U50" s="10" t="str">
        <x:v>NOT_REQUESTED</x:v>
      </x:c>
      <x:c r="V50" s="10" t="str">
        <x:v>APPROVED_SESSION_2026-07-28</x:v>
      </x:c>
      <x:c r="W50" s="10" t="str"/>
      <x:c r="X50" s="10" t="str">
        <x:v>Центр инвестиций</x:v>
      </x:c>
      <x:c r="Y50" s="10" t="str">
        <x:v>APPROVED_STRUCTURE</x:v>
      </x:c>
      <x:c r="Z50" s="10" t="str"/>
    </x:row>
    <x:row r="51" ht="30" customHeight="1">
      <x:c r="A51" s="10" t="str">
        <x:v>CAPEX.HOT.006</x:v>
      </x:c>
      <x:c r="B51" s="10" t="str">
        <x:v>HP-02</x:v>
      </x:c>
      <x:c r="C51" s="10" t="str">
        <x:v>HOT-05B</x:v>
      </x:c>
      <x:c r="D51" s="10" t="str">
        <x:v>Индукционная плита 2 зоны</x:v>
      </x:c>
      <x:c r="E51" s="10" t="str">
        <x:v>CAPEX</x:v>
      </x:c>
      <x:c r="F51" s="10" t="str">
        <x:v>Горячий участок</x:v>
      </x:c>
      <x:c r="G51" s="10" t="n">
        <x:v>1</x:v>
      </x:c>
      <x:c r="H51" s="10" t="str">
        <x:v>шт.</x:v>
      </x:c>
      <x:c r="I51" s="10" t="str">
        <x:v>2 зоны</x:v>
      </x:c>
      <x:c r="J51" s="10" t="str">
        <x:v>около 400×700×900</x:v>
      </x:c>
      <x:c r="K51" s="10" t="str">
        <x:v>E1/E3/EXH</x:v>
      </x:c>
      <x:c r="L51" s="10" t="str">
        <x:v>1000 фронт</x:v>
      </x:c>
      <x:c r="M51" s="10" t="str">
        <x:v>SHARED</x:v>
      </x:c>
      <x:c r="N51" s="10" t="str">
        <x:v>D04_MACHINE_HOURS</x:v>
      </x:c>
      <x:c r="O51" s="10" t="str">
        <x:v>MANDATORY</x:v>
      </x:c>
      <x:c r="P51" s="10" t="str"/>
      <x:c r="Q51" s="10" t="str">
        <x:v>1</x:v>
      </x:c>
      <x:c r="R51" s="10" t="n">
        <x:v>0</x:v>
      </x:c>
      <x:c r="S51" s="10" t="str"/>
      <x:c r="T51" s="10" t="str"/>
      <x:c r="U51" s="10" t="str">
        <x:v>NOT_REQUESTED</x:v>
      </x:c>
      <x:c r="V51" s="10" t="str">
        <x:v>APPROVED_SESSION_2026-07-28</x:v>
      </x:c>
      <x:c r="W51" s="10" t="str"/>
      <x:c r="X51" s="10" t="str">
        <x:v>Центр инвестиций</x:v>
      </x:c>
      <x:c r="Y51" s="10" t="str">
        <x:v>APPROVED_STRUCTURE</x:v>
      </x:c>
      <x:c r="Z51" s="10" t="str"/>
    </x:row>
    <x:row r="52" ht="30" customHeight="1">
      <x:c r="A52" s="10" t="str">
        <x:v>CAPEX.HOT.007</x:v>
      </x:c>
      <x:c r="B52" s="10" t="str"/>
      <x:c r="C52" s="10" t="str">
        <x:v>HOT-06</x:v>
      </x:c>
      <x:c r="D52" s="10" t="str">
        <x:v>Рисоварка</x:v>
      </x:c>
      <x:c r="E52" s="10" t="str">
        <x:v>CAPEX</x:v>
      </x:c>
      <x:c r="F52" s="10" t="str">
        <x:v>Горячий участок</x:v>
      </x:c>
      <x:c r="G52" s="10" t="n">
        <x:v>1</x:v>
      </x:c>
      <x:c r="H52" s="10" t="str">
        <x:v>шт.</x:v>
      </x:c>
      <x:c r="I52" s="10" t="str">
        <x:v>≥20 порций по 150 г/цикл</x:v>
      </x:c>
      <x:c r="J52" s="10" t="str">
        <x:v>до 600×600×500</x:v>
      </x:c>
      <x:c r="K52" s="10" t="str">
        <x:v>E1</x:v>
      </x:c>
      <x:c r="L52" s="10" t="str">
        <x:v>700 фронт</x:v>
      </x:c>
      <x:c r="M52" s="10" t="str">
        <x:v>SHARED</x:v>
      </x:c>
      <x:c r="N52" s="10" t="str">
        <x:v>D04_MACHINE_HOURS</x:v>
      </x:c>
      <x:c r="O52" s="10" t="str">
        <x:v>MANDATORY</x:v>
      </x:c>
      <x:c r="P52" s="10" t="str"/>
      <x:c r="Q52" s="10" t="str">
        <x:v>1</x:v>
      </x:c>
      <x:c r="R52" s="10" t="n">
        <x:v>0</x:v>
      </x:c>
      <x:c r="S52" s="10" t="str"/>
      <x:c r="T52" s="10" t="str"/>
      <x:c r="U52" s="10" t="str">
        <x:v>NOT_REQUESTED</x:v>
      </x:c>
      <x:c r="V52" s="10" t="str">
        <x:v>APPROVED_SESSION_2026-07-28</x:v>
      </x:c>
      <x:c r="W52" s="10" t="str"/>
      <x:c r="X52" s="10" t="str">
        <x:v>Центр инвестиций</x:v>
      </x:c>
      <x:c r="Y52" s="10" t="str">
        <x:v>APPROVED_STRUCTURE</x:v>
      </x:c>
      <x:c r="Z52" s="10" t="str"/>
    </x:row>
    <x:row r="53" ht="30" customHeight="1">
      <x:c r="A53" s="10" t="str">
        <x:v>CAPEX.HOT.008</x:v>
      </x:c>
      <x:c r="B53" s="10" t="str">
        <x:v>HP-06</x:v>
      </x:c>
      <x:c r="C53" s="10" t="str">
        <x:v>HOT-07</x:v>
      </x:c>
      <x:c r="D53" s="10" t="str">
        <x:v>Холодильный стол горячего участка</x:v>
      </x:c>
      <x:c r="E53" s="10" t="str">
        <x:v>CAPEX</x:v>
      </x:c>
      <x:c r="F53" s="10" t="str">
        <x:v>Горячий участок</x:v>
      </x:c>
      <x:c r="G53" s="10" t="n">
        <x:v>1</x:v>
      </x:c>
      <x:c r="H53" s="10" t="str">
        <x:v>шт.</x:v>
      </x:c>
      <x:c r="I53" s="10" t="str">
        <x:v>Оперативный сменный запас</x:v>
      </x:c>
      <x:c r="J53" s="10" t="str">
        <x:v>1200–1800×700×850</x:v>
      </x:c>
      <x:c r="K53" s="10" t="str">
        <x:v>E1</x:v>
      </x:c>
      <x:c r="L53" s="10" t="str">
        <x:v>1000 фронт</x:v>
      </x:c>
      <x:c r="M53" s="10" t="str">
        <x:v>SHARED</x:v>
      </x:c>
      <x:c r="N53" s="10" t="str">
        <x:v>D04_MACHINE_HOURS</x:v>
      </x:c>
      <x:c r="O53" s="10" t="str">
        <x:v>MANDATORY</x:v>
      </x:c>
      <x:c r="P53" s="10" t="str"/>
      <x:c r="Q53" s="10" t="str">
        <x:v>1</x:v>
      </x:c>
      <x:c r="R53" s="10" t="n">
        <x:v>0</x:v>
      </x:c>
      <x:c r="S53" s="10" t="str"/>
      <x:c r="T53" s="10" t="str"/>
      <x:c r="U53" s="10" t="str">
        <x:v>NOT_REQUESTED</x:v>
      </x:c>
      <x:c r="V53" s="10" t="str">
        <x:v>APPROVED_SESSION_2026-07-28</x:v>
      </x:c>
      <x:c r="W53" s="10" t="str"/>
      <x:c r="X53" s="10" t="str">
        <x:v>Центр инвестиций</x:v>
      </x:c>
      <x:c r="Y53" s="10" t="str">
        <x:v>APPROVED_STRUCTURE</x:v>
      </x:c>
      <x:c r="Z53" s="10" t="str"/>
    </x:row>
    <x:row r="54" ht="30" customHeight="1">
      <x:c r="A54" s="10" t="str">
        <x:v>CAPEX.HOT.009</x:v>
      </x:c>
      <x:c r="B54" s="10" t="str">
        <x:v>HP-07</x:v>
      </x:c>
      <x:c r="C54" s="10" t="str">
        <x:v>HOT-08</x:v>
      </x:c>
      <x:c r="D54" s="10" t="str">
        <x:v>Мясорубка</x:v>
      </x:c>
      <x:c r="E54" s="10" t="str">
        <x:v>CAPEX</x:v>
      </x:c>
      <x:c r="F54" s="10" t="str">
        <x:v>Горячий участок</x:v>
      </x:c>
      <x:c r="G54" s="10" t="n">
        <x:v>1</x:v>
      </x:c>
      <x:c r="H54" s="10" t="str">
        <x:v>шт.</x:v>
      </x:c>
      <x:c r="I54" s="10" t="str">
        <x:v>Профессиональная</x:v>
      </x:c>
      <x:c r="J54" s="10" t="str">
        <x:v>до 500×500×600</x:v>
      </x:c>
      <x:c r="K54" s="10" t="str">
        <x:v>E1/E3</x:v>
      </x:c>
      <x:c r="L54" s="10" t="str">
        <x:v>700 фронт</x:v>
      </x:c>
      <x:c r="M54" s="10" t="str">
        <x:v>SHARED</x:v>
      </x:c>
      <x:c r="N54" s="10" t="str">
        <x:v>D04_MACHINE_HOURS</x:v>
      </x:c>
      <x:c r="O54" s="10" t="str">
        <x:v>MANDATORY</x:v>
      </x:c>
      <x:c r="P54" s="10" t="str"/>
      <x:c r="Q54" s="10" t="str">
        <x:v>1</x:v>
      </x:c>
      <x:c r="R54" s="10" t="n">
        <x:v>0</x:v>
      </x:c>
      <x:c r="S54" s="10" t="str"/>
      <x:c r="T54" s="10" t="str"/>
      <x:c r="U54" s="10" t="str">
        <x:v>NOT_REQUESTED</x:v>
      </x:c>
      <x:c r="V54" s="10" t="str">
        <x:v>APPROVED_SESSION_2026-07-28</x:v>
      </x:c>
      <x:c r="W54" s="10" t="str"/>
      <x:c r="X54" s="10" t="str">
        <x:v>Центр инвестиций</x:v>
      </x:c>
      <x:c r="Y54" s="10" t="str">
        <x:v>APPROVED_STRUCTURE</x:v>
      </x:c>
      <x:c r="Z54" s="10" t="str"/>
    </x:row>
    <x:row r="55" ht="30" customHeight="1">
      <x:c r="A55" s="10" t="str">
        <x:v>CAPEX.HOT.010</x:v>
      </x:c>
      <x:c r="B55" s="10" t="str"/>
      <x:c r="C55" s="10" t="str">
        <x:v>HOT-09</x:v>
      </x:c>
      <x:c r="D55" s="10" t="str">
        <x:v>Шкаф интенсивного охлаждения</x:v>
      </x:c>
      <x:c r="E55" s="10" t="str">
        <x:v>CAPEX</x:v>
      </x:c>
      <x:c r="F55" s="10" t="str">
        <x:v>Горячий участок</x:v>
      </x:c>
      <x:c r="G55" s="10" t="n">
        <x:v>1</x:v>
      </x:c>
      <x:c r="H55" s="10" t="str">
        <x:v>шт.</x:v>
      </x:c>
      <x:c r="I55" s="10" t="str">
        <x:v>≥10 кг/цикл</x:v>
      </x:c>
      <x:c r="J55" s="10" t="str">
        <x:v>до 800×850×1200</x:v>
      </x:c>
      <x:c r="K55" s="10" t="str">
        <x:v>E1/E3/D</x:v>
      </x:c>
      <x:c r="L55" s="10" t="str">
        <x:v>900 фронт</x:v>
      </x:c>
      <x:c r="M55" s="10" t="str">
        <x:v>SHARED</x:v>
      </x:c>
      <x:c r="N55" s="10" t="str">
        <x:v>D04_MACHINE_HOURS</x:v>
      </x:c>
      <x:c r="O55" s="10" t="str">
        <x:v>MANDATORY</x:v>
      </x:c>
      <x:c r="P55" s="10" t="str"/>
      <x:c r="Q55" s="10" t="str">
        <x:v>1</x:v>
      </x:c>
      <x:c r="R55" s="10" t="n">
        <x:v>0</x:v>
      </x:c>
      <x:c r="S55" s="10" t="str"/>
      <x:c r="T55" s="10" t="str"/>
      <x:c r="U55" s="10" t="str">
        <x:v>NOT_REQUESTED</x:v>
      </x:c>
      <x:c r="V55" s="10" t="str">
        <x:v>APPROVED_SESSION_2026-07-28</x:v>
      </x:c>
      <x:c r="W55" s="10" t="str"/>
      <x:c r="X55" s="10" t="str">
        <x:v>Центр инвестиций</x:v>
      </x:c>
      <x:c r="Y55" s="10" t="str">
        <x:v>APPROVED_STRUCTURE</x:v>
      </x:c>
      <x:c r="Z55" s="10" t="str"/>
    </x:row>
    <x:row r="56" ht="30" customHeight="1">
      <x:c r="A56" s="10" t="str">
        <x:v>CAPEX.HOT.011</x:v>
      </x:c>
      <x:c r="B56" s="10" t="str"/>
      <x:c r="C56" s="10" t="str">
        <x:v>HOT-10</x:v>
      </x:c>
      <x:c r="D56" s="10" t="str">
        <x:v>Увеличенный blast chiller</x:v>
      </x:c>
      <x:c r="E56" s="10" t="str">
        <x:v>CAPEX</x:v>
      </x:c>
      <x:c r="F56" s="10" t="str">
        <x:v>Горячий участок</x:v>
      </x:c>
      <x:c r="G56" s="10" t="n">
        <x:v>1</x:v>
      </x:c>
      <x:c r="H56" s="10" t="str">
        <x:v>шт.</x:v>
      </x:c>
      <x:c r="I56" s="10" t="str">
        <x:v>Более 10 кг/цикл</x:v>
      </x:c>
      <x:c r="J56" s="10" t="str">
        <x:v>по проекту</x:v>
      </x:c>
      <x:c r="K56" s="10" t="str">
        <x:v>E3/D</x:v>
      </x:c>
      <x:c r="L56" s="10" t="str">
        <x:v>по паспорту</x:v>
      </x:c>
      <x:c r="M56" s="10" t="str">
        <x:v>BANQUETS</x:v>
      </x:c>
      <x:c r="N56" s="10" t="str">
        <x:v>D03_AVOIDABLE</x:v>
      </x:c>
      <x:c r="O56" s="10" t="str">
        <x:v>CONDITIONAL</x:v>
      </x:c>
      <x:c r="P56" s="10" t="str">
        <x:v>GATE-HOT-10</x:v>
      </x:c>
      <x:c r="Q56" s="10" t="n">
        <x:v>0</x:v>
      </x:c>
      <x:c r="R56" s="10" t="n">
        <x:v>1</x:v>
      </x:c>
      <x:c r="S56" s="10" t="str"/>
      <x:c r="T56" s="10" t="str"/>
      <x:c r="U56" s="10" t="str">
        <x:v>NOT_REQUESTED</x:v>
      </x:c>
      <x:c r="V56" s="10" t="str">
        <x:v>APPROVED_SESSION_2026-07-28</x:v>
      </x:c>
      <x:c r="W56" s="10" t="str"/>
      <x:c r="X56" s="10" t="str">
        <x:v>Центр инвестиций</x:v>
      </x:c>
      <x:c r="Y56" s="10" t="str">
        <x:v>APPROVED_STRUCTURE</x:v>
      </x:c>
      <x:c r="Z56" s="10" t="str"/>
    </x:row>
    <x:row r="57" ht="30" customHeight="1">
      <x:c r="A57" s="10" t="str">
        <x:v>CAPEX.HOT.012</x:v>
      </x:c>
      <x:c r="B57" s="10" t="str"/>
      <x:c r="C57" s="10" t="str">
        <x:v>HOT-11</x:v>
      </x:c>
      <x:c r="D57" s="10" t="str">
        <x:v>Третья тепловая камера</x:v>
      </x:c>
      <x:c r="E57" s="10" t="str">
        <x:v>CAPEX</x:v>
      </x:c>
      <x:c r="F57" s="10" t="str">
        <x:v>Горячий участок</x:v>
      </x:c>
      <x:c r="G57" s="10" t="n">
        <x:v>1</x:v>
      </x:c>
      <x:c r="H57" s="10" t="str">
        <x:v>шт.</x:v>
      </x:c>
      <x:c r="I57" s="10" t="str">
        <x:v>Независимый режим</x:v>
      </x:c>
      <x:c r="J57" s="10" t="str">
        <x:v>по проекту</x:v>
      </x:c>
      <x:c r="K57" s="10" t="str">
        <x:v>E3/W/D/V</x:v>
      </x:c>
      <x:c r="L57" s="10" t="str">
        <x:v>1200 фронт</x:v>
      </x:c>
      <x:c r="M57" s="10" t="str">
        <x:v>BANQUETS</x:v>
      </x:c>
      <x:c r="N57" s="10" t="str">
        <x:v>D03_AVOIDABLE</x:v>
      </x:c>
      <x:c r="O57" s="10" t="str">
        <x:v>CONDITIONAL</x:v>
      </x:c>
      <x:c r="P57" s="10" t="str">
        <x:v>GATE-HOT-11</x:v>
      </x:c>
      <x:c r="Q57" s="10" t="n">
        <x:v>0</x:v>
      </x:c>
      <x:c r="R57" s="10" t="n">
        <x:v>1</x:v>
      </x:c>
      <x:c r="S57" s="10" t="str"/>
      <x:c r="T57" s="10" t="str"/>
      <x:c r="U57" s="10" t="str">
        <x:v>NOT_REQUESTED</x:v>
      </x:c>
      <x:c r="V57" s="10" t="str">
        <x:v>APPROVED_SESSION_2026-07-28</x:v>
      </x:c>
      <x:c r="W57" s="10" t="str"/>
      <x:c r="X57" s="10" t="str">
        <x:v>Центр инвестиций</x:v>
      </x:c>
      <x:c r="Y57" s="10" t="str">
        <x:v>APPROVED_STRUCTURE</x:v>
      </x:c>
      <x:c r="Z57" s="10" t="str"/>
    </x:row>
    <x:row r="58" ht="30" customHeight="1">
      <x:c r="A58" s="10" t="str">
        <x:v>CAPEX.HOT.013</x:v>
      </x:c>
      <x:c r="B58" s="10" t="str">
        <x:v>CP-02</x:v>
      </x:c>
      <x:c r="C58" s="10" t="str">
        <x:v>HOT-12</x:v>
      </x:c>
      <x:c r="D58" s="10" t="str">
        <x:v>Столы и полки горячего участка</x:v>
      </x:c>
      <x:c r="E58" s="10" t="str">
        <x:v>CAPEX</x:v>
      </x:c>
      <x:c r="F58" s="10" t="str">
        <x:v>Горячий участок</x:v>
      </x:c>
      <x:c r="G58" s="10" t="n">
        <x:v>1</x:v>
      </x:c>
      <x:c r="H58" s="10" t="str">
        <x:v>комплект</x:v>
      </x:c>
      <x:c r="I58" s="10" t="str">
        <x:v>По планировке</x:v>
      </x:c>
      <x:c r="J58" s="10" t="str">
        <x:v>глубина 700</x:v>
      </x:c>
      <x:c r="K58" s="10" t="str">
        <x:v>—</x:v>
      </x:c>
      <x:c r="L58" s="10" t="str">
        <x:v>проход 1000</x:v>
      </x:c>
      <x:c r="M58" s="10" t="str">
        <x:v>SHARED</x:v>
      </x:c>
      <x:c r="N58" s="10" t="str">
        <x:v>D04_MACHINE_HOURS</x:v>
      </x:c>
      <x:c r="O58" s="10" t="str">
        <x:v>MANDATORY</x:v>
      </x:c>
      <x:c r="P58" s="10" t="str"/>
      <x:c r="Q58" s="10" t="str">
        <x:v>1</x:v>
      </x:c>
      <x:c r="R58" s="10" t="n">
        <x:v>0</x:v>
      </x:c>
      <x:c r="S58" s="10" t="str"/>
      <x:c r="T58" s="10" t="str"/>
      <x:c r="U58" s="10" t="str">
        <x:v>NOT_REQUESTED</x:v>
      </x:c>
      <x:c r="V58" s="10" t="str">
        <x:v>APPROVED_SESSION_2026-07-28</x:v>
      </x:c>
      <x:c r="W58" s="10" t="str"/>
      <x:c r="X58" s="10" t="str">
        <x:v>Центр инвестиций</x:v>
      </x:c>
      <x:c r="Y58" s="10" t="str">
        <x:v>APPROVED_STRUCTURE</x:v>
      </x:c>
      <x:c r="Z58" s="10" t="str"/>
    </x:row>
    <x:row r="59" ht="30" customHeight="1">
      <x:c r="A59" s="10" t="str">
        <x:v>CAPEX.HOT.014</x:v>
      </x:c>
      <x:c r="B59" s="10" t="str">
        <x:v>ST-04;SD-01;UT-02</x:v>
      </x:c>
      <x:c r="C59" s="10" t="str">
        <x:v>HOT-13</x:v>
      </x:c>
      <x:c r="D59" s="10" t="str">
        <x:v>GN, противни и горячий инвентарь</x:v>
      </x:c>
      <x:c r="E59" s="10" t="str">
        <x:v>CAPEX</x:v>
      </x:c>
      <x:c r="F59" s="10" t="str">
        <x:v>Горячий участок</x:v>
      </x:c>
      <x:c r="G59" s="10" t="n">
        <x:v>1</x:v>
      </x:c>
      <x:c r="H59" s="10" t="str">
        <x:v>комплект</x:v>
      </x:c>
      <x:c r="I59" s="10" t="str">
        <x:v>Совместимость с печами</x:v>
      </x:c>
      <x:c r="J59" s="10" t="str">
        <x:v>по ведомости</x:v>
      </x:c>
      <x:c r="K59" s="10" t="str">
        <x:v>—</x:v>
      </x:c>
      <x:c r="L59" s="10" t="str">
        <x:v>стеллажное хранение</x:v>
      </x:c>
      <x:c r="M59" s="10" t="str">
        <x:v>SHARED</x:v>
      </x:c>
      <x:c r="N59" s="10" t="str">
        <x:v>D04_MACHINE_HOURS</x:v>
      </x:c>
      <x:c r="O59" s="10" t="str">
        <x:v>MANDATORY</x:v>
      </x:c>
      <x:c r="P59" s="10" t="str"/>
      <x:c r="Q59" s="10" t="str">
        <x:v>1</x:v>
      </x:c>
      <x:c r="R59" s="10" t="n">
        <x:v>0</x:v>
      </x:c>
      <x:c r="S59" s="10" t="str"/>
      <x:c r="T59" s="10" t="str"/>
      <x:c r="U59" s="10" t="str">
        <x:v>NOT_REQUESTED</x:v>
      </x:c>
      <x:c r="V59" s="10" t="str">
        <x:v>APPROVED_SESSION_2026-07-28</x:v>
      </x:c>
      <x:c r="W59" s="10" t="str"/>
      <x:c r="X59" s="10" t="str">
        <x:v>Центр инвестиций</x:v>
      </x:c>
      <x:c r="Y59" s="10" t="str">
        <x:v>APPROVED_STRUCTURE</x:v>
      </x:c>
      <x:c r="Z59" s="10" t="str"/>
    </x:row>
    <x:row r="60" ht="30" customHeight="1">
      <x:c r="A60" s="10" t="str">
        <x:v>CAPEX.HOT.015</x:v>
      </x:c>
      <x:c r="B60" s="10" t="str">
        <x:v>SD-02</x:v>
      </x:c>
      <x:c r="C60" s="10" t="str">
        <x:v>HOT-14</x:v>
      </x:c>
      <x:c r="D60" s="10" t="str">
        <x:v>Фритюрница</x:v>
      </x:c>
      <x:c r="E60" s="10" t="str">
        <x:v>CAPEX</x:v>
      </x:c>
      <x:c r="F60" s="10" t="str">
        <x:v>Горячий участок</x:v>
      </x:c>
      <x:c r="G60" s="10" t="n">
        <x:v>0</x:v>
      </x:c>
      <x:c r="H60" s="10" t="str">
        <x:v>шт.</x:v>
      </x:c>
      <x:c r="I60" s="10" t="str">
        <x:v>Исключена</x:v>
      </x:c>
      <x:c r="J60" s="10" t="str">
        <x:v>—</x:v>
      </x:c>
      <x:c r="K60" s="10" t="str">
        <x:v>—</x:v>
      </x:c>
      <x:c r="L60" s="10" t="str">
        <x:v>—</x:v>
      </x:c>
      <x:c r="M60" s="10" t="str">
        <x:v>SHARED</x:v>
      </x:c>
      <x:c r="N60" s="10" t="str">
        <x:v>D03_AVOIDABLE</x:v>
      </x:c>
      <x:c r="O60" s="10" t="str">
        <x:v>EXCLUDED</x:v>
      </x:c>
      <x:c r="P60" s="10" t="str"/>
      <x:c r="Q60" s="10" t="n">
        <x:v>0</x:v>
      </x:c>
      <x:c r="R60" s="10" t="n">
        <x:v>0</x:v>
      </x:c>
      <x:c r="S60" s="10" t="str"/>
      <x:c r="T60" s="10" t="str"/>
      <x:c r="U60" s="10" t="str">
        <x:v>NOT_REQUESTED</x:v>
      </x:c>
      <x:c r="V60" s="10" t="str">
        <x:v>APPROVED_SESSION_2026-07-28</x:v>
      </x:c>
      <x:c r="W60" s="10" t="str"/>
      <x:c r="X60" s="10" t="str">
        <x:v>Центр инвестиций</x:v>
      </x:c>
      <x:c r="Y60" s="10" t="str">
        <x:v>APPROVED_STRUCTURE</x:v>
      </x:c>
      <x:c r="Z60" s="10" t="str"/>
    </x:row>
    <x:row r="61" ht="30" customHeight="1">
      <x:c r="A61" s="10" t="str">
        <x:v>CAPEX.HOT.016</x:v>
      </x:c>
      <x:c r="B61" s="10" t="str">
        <x:v>UT-01</x:v>
      </x:c>
      <x:c r="C61" s="10" t="str">
        <x:v>HOT-15</x:v>
      </x:c>
      <x:c r="D61" s="10" t="str">
        <x:v>Рукомойник горячего участка</x:v>
      </x:c>
      <x:c r="E61" s="10" t="str">
        <x:v>CAPEX</x:v>
      </x:c>
      <x:c r="F61" s="10" t="str">
        <x:v>Горячий участок</x:v>
      </x:c>
      <x:c r="G61" s="10" t="n">
        <x:v>1</x:v>
      </x:c>
      <x:c r="H61" s="10" t="str">
        <x:v>шт.</x:v>
      </x:c>
      <x:c r="I61" s="10" t="str">
        <x:v>Отдельный</x:v>
      </x:c>
      <x:c r="J61" s="10" t="str">
        <x:v>400×400</x:v>
      </x:c>
      <x:c r="K61" s="10" t="str">
        <x:v>W/D</x:v>
      </x:c>
      <x:c r="L61" s="10" t="str">
        <x:v>800 фронт</x:v>
      </x:c>
      <x:c r="M61" s="10" t="str">
        <x:v>SHARED</x:v>
      </x:c>
      <x:c r="N61" s="10" t="str">
        <x:v>D04_MACHINE_HOURS</x:v>
      </x:c>
      <x:c r="O61" s="10" t="str">
        <x:v>MANDATORY</x:v>
      </x:c>
      <x:c r="P61" s="10" t="str"/>
      <x:c r="Q61" s="10" t="str">
        <x:v>1</x:v>
      </x:c>
      <x:c r="R61" s="10" t="n">
        <x:v>0</x:v>
      </x:c>
      <x:c r="S61" s="10" t="str"/>
      <x:c r="T61" s="10" t="str"/>
      <x:c r="U61" s="10" t="str">
        <x:v>NOT_REQUESTED</x:v>
      </x:c>
      <x:c r="V61" s="10" t="str">
        <x:v>APPROVED_SESSION_2026-07-28</x:v>
      </x:c>
      <x:c r="W61" s="10" t="str"/>
      <x:c r="X61" s="10" t="str">
        <x:v>Центр инвестиций</x:v>
      </x:c>
      <x:c r="Y61" s="10" t="str">
        <x:v>APPROVED_STRUCTURE</x:v>
      </x:c>
      <x:c r="Z61" s="10" t="str"/>
    </x:row>
    <x:row r="62" ht="30" customHeight="1">
      <x:c r="A62" s="10" t="str">
        <x:v>CAPEX.BAK.001</x:v>
      </x:c>
      <x:c r="B62" s="10" t="str">
        <x:v>PB-04</x:v>
      </x:c>
      <x:c r="C62" s="10" t="str">
        <x:v>BAK-01</x:v>
      </x:c>
      <x:c r="D62" s="10" t="str">
        <x:v>Печь для пиццы</x:v>
      </x:c>
      <x:c r="E62" s="10" t="str">
        <x:v>CAPEX</x:v>
      </x:c>
      <x:c r="F62" s="10" t="str">
        <x:v>Пицца, хлеб, десерты</x:v>
      </x:c>
      <x:c r="G62" s="10" t="n">
        <x:v>1</x:v>
      </x:c>
      <x:c r="H62" s="10" t="str">
        <x:v>шт.</x:v>
      </x:c>
      <x:c r="I62" s="10" t="str">
        <x:v>4–6 пицц до 33 см; ≥400°C; 20–25/час</x:v>
      </x:c>
      <x:c r="J62" s="10" t="str">
        <x:v>1300–1700×1300–1700</x:v>
      </x:c>
      <x:c r="K62" s="10" t="str">
        <x:v>E3/V</x:v>
      </x:c>
      <x:c r="L62" s="10" t="str">
        <x:v>1200 фронт</x:v>
      </x:c>
      <x:c r="M62" s="10" t="str">
        <x:v>CAFE</x:v>
      </x:c>
      <x:c r="N62" s="10" t="str">
        <x:v>D01_DIRECT</x:v>
      </x:c>
      <x:c r="O62" s="10" t="str">
        <x:v>MANDATORY</x:v>
      </x:c>
      <x:c r="P62" s="10" t="str"/>
      <x:c r="Q62" s="10" t="str">
        <x:v>1</x:v>
      </x:c>
      <x:c r="R62" s="10" t="n">
        <x:v>0</x:v>
      </x:c>
      <x:c r="S62" s="10" t="str"/>
      <x:c r="T62" s="10" t="str"/>
      <x:c r="U62" s="10" t="str">
        <x:v>NOT_REQUESTED</x:v>
      </x:c>
      <x:c r="V62" s="10" t="str">
        <x:v>APPROVED_SESSION_2026-07-28</x:v>
      </x:c>
      <x:c r="W62" s="10" t="str"/>
      <x:c r="X62" s="10" t="str">
        <x:v>Центр инвестиций</x:v>
      </x:c>
      <x:c r="Y62" s="10" t="str">
        <x:v>APPROVED_STRUCTURE</x:v>
      </x:c>
      <x:c r="Z62" s="10" t="str"/>
    </x:row>
    <x:row r="63" ht="30" customHeight="1">
      <x:c r="A63" s="10" t="str">
        <x:v>CAPEX.BAK.002</x:v>
      </x:c>
      <x:c r="B63" s="10" t="str">
        <x:v>PB-01</x:v>
      </x:c>
      <x:c r="C63" s="10" t="str">
        <x:v>BAK-02</x:v>
      </x:c>
      <x:c r="D63" s="10" t="str">
        <x:v>Пекарская печь</x:v>
      </x:c>
      <x:c r="E63" s="10" t="str">
        <x:v>CAPEX</x:v>
      </x:c>
      <x:c r="F63" s="10" t="str">
        <x:v>Пицца, хлеб, десерты</x:v>
      </x:c>
      <x:c r="G63" s="10" t="n">
        <x:v>1</x:v>
      </x:c>
      <x:c r="H63" s="10" t="str">
        <x:v>шт.</x:v>
      </x:c>
      <x:c r="I63" s="10" t="str">
        <x:v>6×600×400; программирование; пар</x:v>
      </x:c>
      <x:c r="J63" s="10" t="str">
        <x:v>до 1000×1100×1900</x:v>
      </x:c>
      <x:c r="K63" s="10" t="str">
        <x:v>E3/W/D/V</x:v>
      </x:c>
      <x:c r="L63" s="10" t="str">
        <x:v>1200 фронт</x:v>
      </x:c>
      <x:c r="M63" s="10" t="str">
        <x:v>SHARED</x:v>
      </x:c>
      <x:c r="N63" s="10" t="str">
        <x:v>D04_MACHINE_HOURS</x:v>
      </x:c>
      <x:c r="O63" s="10" t="str">
        <x:v>MANDATORY</x:v>
      </x:c>
      <x:c r="P63" s="10" t="str"/>
      <x:c r="Q63" s="10" t="str">
        <x:v>1</x:v>
      </x:c>
      <x:c r="R63" s="10" t="n">
        <x:v>0</x:v>
      </x:c>
      <x:c r="S63" s="10" t="str"/>
      <x:c r="T63" s="10" t="str"/>
      <x:c r="U63" s="10" t="str">
        <x:v>NOT_REQUESTED</x:v>
      </x:c>
      <x:c r="V63" s="10" t="str">
        <x:v>APPROVED_SESSION_2026-07-28</x:v>
      </x:c>
      <x:c r="W63" s="10" t="str"/>
      <x:c r="X63" s="10" t="str">
        <x:v>Центр инвестиций</x:v>
      </x:c>
      <x:c r="Y63" s="10" t="str">
        <x:v>APPROVED_STRUCTURE</x:v>
      </x:c>
      <x:c r="Z63" s="10" t="str"/>
    </x:row>
    <x:row r="64" ht="30" customHeight="1">
      <x:c r="A64" s="10" t="str">
        <x:v>CAPEX.BAK.003</x:v>
      </x:c>
      <x:c r="B64" s="10" t="str">
        <x:v>PB-03</x:v>
      </x:c>
      <x:c r="C64" s="10" t="str">
        <x:v>BAK-03</x:v>
      </x:c>
      <x:c r="D64" s="10" t="str">
        <x:v>Спиральный тестомес</x:v>
      </x:c>
      <x:c r="E64" s="10" t="str">
        <x:v>CAPEX</x:v>
      </x:c>
      <x:c r="F64" s="10" t="str">
        <x:v>Пицца, хлеб, десерты</x:v>
      </x:c>
      <x:c r="G64" s="10" t="n">
        <x:v>1</x:v>
      </x:c>
      <x:c r="H64" s="10" t="str">
        <x:v>шт.</x:v>
      </x:c>
      <x:c r="I64" s="10" t="str">
        <x:v>Рабочий диапазон 2–25 кг</x:v>
      </x:c>
      <x:c r="J64" s="10" t="str">
        <x:v>600–750×800–1000</x:v>
      </x:c>
      <x:c r="K64" s="10" t="str">
        <x:v>E1/E3</x:v>
      </x:c>
      <x:c r="L64" s="10" t="str">
        <x:v>800 вокруг чаши</x:v>
      </x:c>
      <x:c r="M64" s="10" t="str">
        <x:v>SHARED</x:v>
      </x:c>
      <x:c r="N64" s="10" t="str">
        <x:v>D04_MACHINE_HOURS</x:v>
      </x:c>
      <x:c r="O64" s="10" t="str">
        <x:v>MANDATORY</x:v>
      </x:c>
      <x:c r="P64" s="10" t="str"/>
      <x:c r="Q64" s="10" t="str">
        <x:v>1</x:v>
      </x:c>
      <x:c r="R64" s="10" t="n">
        <x:v>0</x:v>
      </x:c>
      <x:c r="S64" s="10" t="str"/>
      <x:c r="T64" s="10" t="str"/>
      <x:c r="U64" s="10" t="str">
        <x:v>NOT_REQUESTED</x:v>
      </x:c>
      <x:c r="V64" s="10" t="str">
        <x:v>APPROVED_SESSION_2026-07-28</x:v>
      </x:c>
      <x:c r="W64" s="10" t="str"/>
      <x:c r="X64" s="10" t="str">
        <x:v>Центр инвестиций</x:v>
      </x:c>
      <x:c r="Y64" s="10" t="str">
        <x:v>APPROVED_STRUCTURE</x:v>
      </x:c>
      <x:c r="Z64" s="10" t="str"/>
    </x:row>
    <x:row r="65" ht="30" customHeight="1">
      <x:c r="A65" s="10" t="str">
        <x:v>CAPEX.BAK.004</x:v>
      </x:c>
      <x:c r="B65" s="10" t="str"/>
      <x:c r="C65" s="10" t="str">
        <x:v>BAK-04</x:v>
      </x:c>
      <x:c r="D65" s="10" t="str">
        <x:v>Планетарный миксер</x:v>
      </x:c>
      <x:c r="E65" s="10" t="str">
        <x:v>CAPEX</x:v>
      </x:c>
      <x:c r="F65" s="10" t="str">
        <x:v>Пицца, хлеб, десерты</x:v>
      </x:c>
      <x:c r="G65" s="10" t="n">
        <x:v>1</x:v>
      </x:c>
      <x:c r="H65" s="10" t="str">
        <x:v>шт.</x:v>
      </x:c>
      <x:c r="I65" s="10" t="str">
        <x:v>10–20 л</x:v>
      </x:c>
      <x:c r="J65" s="10" t="str">
        <x:v>500–700×700–900</x:v>
      </x:c>
      <x:c r="K65" s="10" t="str">
        <x:v>E1/E3</x:v>
      </x:c>
      <x:c r="L65" s="10" t="str">
        <x:v>800 фронт</x:v>
      </x:c>
      <x:c r="M65" s="10" t="str">
        <x:v>SHARED</x:v>
      </x:c>
      <x:c r="N65" s="10" t="str">
        <x:v>D04_MACHINE_HOURS</x:v>
      </x:c>
      <x:c r="O65" s="10" t="str">
        <x:v>MANDATORY</x:v>
      </x:c>
      <x:c r="P65" s="10" t="str"/>
      <x:c r="Q65" s="10" t="str">
        <x:v>1</x:v>
      </x:c>
      <x:c r="R65" s="10" t="n">
        <x:v>0</x:v>
      </x:c>
      <x:c r="S65" s="10" t="str"/>
      <x:c r="T65" s="10" t="str"/>
      <x:c r="U65" s="10" t="str">
        <x:v>NOT_REQUESTED</x:v>
      </x:c>
      <x:c r="V65" s="10" t="str">
        <x:v>APPROVED_SESSION_2026-07-28</x:v>
      </x:c>
      <x:c r="W65" s="10" t="str"/>
      <x:c r="X65" s="10" t="str">
        <x:v>Центр инвестиций</x:v>
      </x:c>
      <x:c r="Y65" s="10" t="str">
        <x:v>APPROVED_STRUCTURE</x:v>
      </x:c>
      <x:c r="Z65" s="10" t="str"/>
    </x:row>
    <x:row r="66" ht="30" customHeight="1">
      <x:c r="A66" s="10" t="str">
        <x:v>CAPEX.BAK.005</x:v>
      </x:c>
      <x:c r="B66" s="10" t="str">
        <x:v>PB-02</x:v>
      </x:c>
      <x:c r="C66" s="10" t="str">
        <x:v>BAK-05</x:v>
      </x:c>
      <x:c r="D66" s="10" t="str">
        <x:v>Программируемый расстоечный шкаф</x:v>
      </x:c>
      <x:c r="E66" s="10" t="str">
        <x:v>CAPEX</x:v>
      </x:c>
      <x:c r="F66" s="10" t="str">
        <x:v>Пицца, хлеб, десерты</x:v>
      </x:c>
      <x:c r="G66" s="10" t="n">
        <x:v>1</x:v>
      </x:c>
      <x:c r="H66" s="10" t="str">
        <x:v>шт.</x:v>
      </x:c>
      <x:c r="I66" s="10" t="str">
        <x:v>12–16 противней 600×400</x:v>
      </x:c>
      <x:c r="J66" s="10" t="str">
        <x:v>800–1000×1000×2100</x:v>
      </x:c>
      <x:c r="K66" s="10" t="str">
        <x:v>E1/E3/W/D</x:v>
      </x:c>
      <x:c r="L66" s="10" t="str">
        <x:v>1000 фронт</x:v>
      </x:c>
      <x:c r="M66" s="10" t="str">
        <x:v>CAFE</x:v>
      </x:c>
      <x:c r="N66" s="10" t="str">
        <x:v>D01_DIRECT</x:v>
      </x:c>
      <x:c r="O66" s="10" t="str">
        <x:v>MANDATORY</x:v>
      </x:c>
      <x:c r="P66" s="10" t="str"/>
      <x:c r="Q66" s="10" t="str">
        <x:v>1</x:v>
      </x:c>
      <x:c r="R66" s="10" t="n">
        <x:v>0</x:v>
      </x:c>
      <x:c r="S66" s="10" t="str"/>
      <x:c r="T66" s="10" t="str"/>
      <x:c r="U66" s="10" t="str">
        <x:v>NOT_REQUESTED</x:v>
      </x:c>
      <x:c r="V66" s="10" t="str">
        <x:v>APPROVED_SESSION_2026-07-28</x:v>
      </x:c>
      <x:c r="W66" s="10" t="str"/>
      <x:c r="X66" s="10" t="str">
        <x:v>Центр инвестиций</x:v>
      </x:c>
      <x:c r="Y66" s="10" t="str">
        <x:v>APPROVED_STRUCTURE</x:v>
      </x:c>
      <x:c r="Z66" s="10" t="str"/>
    </x:row>
    <x:row r="67" ht="30" customHeight="1">
      <x:c r="A67" s="10" t="str">
        <x:v>CAPEX.BAK.006</x:v>
      </x:c>
      <x:c r="B67" s="10" t="str"/>
      <x:c r="C67" s="10" t="str">
        <x:v>BAK-06</x:v>
      </x:c>
      <x:c r="D67" s="10" t="str">
        <x:v>Мобильный стеллаж охлаждения</x:v>
      </x:c>
      <x:c r="E67" s="10" t="str">
        <x:v>CAPEX</x:v>
      </x:c>
      <x:c r="F67" s="10" t="str">
        <x:v>Пицца, хлеб, десерты</x:v>
      </x:c>
      <x:c r="G67" s="10" t="n">
        <x:v>1</x:v>
      </x:c>
      <x:c r="H67" s="10" t="str">
        <x:v>шт.</x:v>
      </x:c>
      <x:c r="I67" s="10" t="str">
        <x:v>16–20 противней</x:v>
      </x:c>
      <x:c r="J67" s="10" t="str">
        <x:v>около 500×700×1800</x:v>
      </x:c>
      <x:c r="K67" s="10" t="str">
        <x:v>—</x:v>
      </x:c>
      <x:c r="L67" s="10" t="str">
        <x:v>800 фронт</x:v>
      </x:c>
      <x:c r="M67" s="10" t="str">
        <x:v>SHARED</x:v>
      </x:c>
      <x:c r="N67" s="10" t="str">
        <x:v>D04_MACHINE_HOURS</x:v>
      </x:c>
      <x:c r="O67" s="10" t="str">
        <x:v>MANDATORY</x:v>
      </x:c>
      <x:c r="P67" s="10" t="str"/>
      <x:c r="Q67" s="10" t="str">
        <x:v>1</x:v>
      </x:c>
      <x:c r="R67" s="10" t="n">
        <x:v>0</x:v>
      </x:c>
      <x:c r="S67" s="10" t="str"/>
      <x:c r="T67" s="10" t="str"/>
      <x:c r="U67" s="10" t="str">
        <x:v>NOT_REQUESTED</x:v>
      </x:c>
      <x:c r="V67" s="10" t="str">
        <x:v>APPROVED_SESSION_2026-07-28</x:v>
      </x:c>
      <x:c r="W67" s="10" t="str"/>
      <x:c r="X67" s="10" t="str">
        <x:v>Центр инвестиций</x:v>
      </x:c>
      <x:c r="Y67" s="10" t="str">
        <x:v>APPROVED_STRUCTURE</x:v>
      </x:c>
      <x:c r="Z67" s="10" t="str"/>
    </x:row>
    <x:row r="68" ht="30" customHeight="1">
      <x:c r="A68" s="10" t="str">
        <x:v>CAPEX.BAK.007</x:v>
      </x:c>
      <x:c r="B68" s="10" t="str"/>
      <x:c r="C68" s="10" t="str">
        <x:v>BAK-07</x:v>
      </x:c>
      <x:c r="D68" s="10" t="str">
        <x:v>Кондитерские формы и инвентарь</x:v>
      </x:c>
      <x:c r="E68" s="10" t="str">
        <x:v>CAPEX</x:v>
      </x:c>
      <x:c r="F68" s="10" t="str">
        <x:v>Пицца, хлеб, десерты</x:v>
      </x:c>
      <x:c r="G68" s="10" t="n">
        <x:v>1</x:v>
      </x:c>
      <x:c r="H68" s="10" t="str">
        <x:v>комплект</x:v>
      </x:c>
      <x:c r="I68" s="10" t="str">
        <x:v>Торт, кростата, мадлены</x:v>
      </x:c>
      <x:c r="J68" s="10" t="str">
        <x:v>по ведомости</x:v>
      </x:c>
      <x:c r="K68" s="10" t="str">
        <x:v>—</x:v>
      </x:c>
      <x:c r="L68" s="10" t="str">
        <x:v>стеллажное хранение</x:v>
      </x:c>
      <x:c r="M68" s="10" t="str">
        <x:v>SHARED</x:v>
      </x:c>
      <x:c r="N68" s="10" t="str">
        <x:v>D04_MACHINE_HOURS</x:v>
      </x:c>
      <x:c r="O68" s="10" t="str">
        <x:v>MANDATORY</x:v>
      </x:c>
      <x:c r="P68" s="10" t="str"/>
      <x:c r="Q68" s="10" t="str">
        <x:v>1</x:v>
      </x:c>
      <x:c r="R68" s="10" t="n">
        <x:v>0</x:v>
      </x:c>
      <x:c r="S68" s="10" t="str"/>
      <x:c r="T68" s="10" t="str"/>
      <x:c r="U68" s="10" t="str">
        <x:v>NOT_REQUESTED</x:v>
      </x:c>
      <x:c r="V68" s="10" t="str">
        <x:v>APPROVED_SESSION_2026-07-28</x:v>
      </x:c>
      <x:c r="W68" s="10" t="str"/>
      <x:c r="X68" s="10" t="str">
        <x:v>Центр инвестиций</x:v>
      </x:c>
      <x:c r="Y68" s="10" t="str">
        <x:v>APPROVED_STRUCTURE</x:v>
      </x:c>
      <x:c r="Z68" s="10" t="str"/>
    </x:row>
    <x:row r="69" ht="30" customHeight="1">
      <x:c r="A69" s="10" t="str">
        <x:v>CAPEX.BAK.008</x:v>
      </x:c>
      <x:c r="B69" s="10" t="str"/>
      <x:c r="C69" s="10" t="str">
        <x:v>BAK-08</x:v>
      </x:c>
      <x:c r="D69" s="10" t="str">
        <x:v>Вторая пекарская печь</x:v>
      </x:c>
      <x:c r="E69" s="10" t="str">
        <x:v>CAPEX</x:v>
      </x:c>
      <x:c r="F69" s="10" t="str">
        <x:v>Пицца, хлеб, десерты</x:v>
      </x:c>
      <x:c r="G69" s="10" t="n">
        <x:v>1</x:v>
      </x:c>
      <x:c r="H69" s="10" t="str">
        <x:v>шт.</x:v>
      </x:c>
      <x:c r="I69" s="10" t="str">
        <x:v>6×600×400 или эквивалент</x:v>
      </x:c>
      <x:c r="J69" s="10" t="str">
        <x:v>по проекту</x:v>
      </x:c>
      <x:c r="K69" s="10" t="str">
        <x:v>E3/W/D/V</x:v>
      </x:c>
      <x:c r="L69" s="10" t="str">
        <x:v>1200 фронт</x:v>
      </x:c>
      <x:c r="M69" s="10" t="str">
        <x:v>BANQUETS</x:v>
      </x:c>
      <x:c r="N69" s="10" t="str">
        <x:v>D03_AVOIDABLE</x:v>
      </x:c>
      <x:c r="O69" s="10" t="str">
        <x:v>CONDITIONAL</x:v>
      </x:c>
      <x:c r="P69" s="10" t="str">
        <x:v>GATE-BAK-08</x:v>
      </x:c>
      <x:c r="Q69" s="10" t="n">
        <x:v>0</x:v>
      </x:c>
      <x:c r="R69" s="10" t="n">
        <x:v>1</x:v>
      </x:c>
      <x:c r="S69" s="10" t="str"/>
      <x:c r="T69" s="10" t="str"/>
      <x:c r="U69" s="10" t="str">
        <x:v>NOT_REQUESTED</x:v>
      </x:c>
      <x:c r="V69" s="10" t="str">
        <x:v>APPROVED_SESSION_2026-07-28</x:v>
      </x:c>
      <x:c r="W69" s="10" t="str"/>
      <x:c r="X69" s="10" t="str">
        <x:v>Центр инвестиций</x:v>
      </x:c>
      <x:c r="Y69" s="10" t="str">
        <x:v>APPROVED_STRUCTURE</x:v>
      </x:c>
      <x:c r="Z69" s="10" t="str"/>
    </x:row>
    <x:row r="70" ht="30" customHeight="1">
      <x:c r="A70" s="10" t="str">
        <x:v>CAPEX.BAK.009</x:v>
      </x:c>
      <x:c r="B70" s="10" t="str">
        <x:v>CP-04</x:v>
      </x:c>
      <x:c r="C70" s="10" t="str">
        <x:v>BAK-09</x:v>
      </x:c>
      <x:c r="D70" s="10" t="str">
        <x:v>Тестораскатка</x:v>
      </x:c>
      <x:c r="E70" s="10" t="str">
        <x:v>CAPEX</x:v>
      </x:c>
      <x:c r="F70" s="10" t="str">
        <x:v>Пицца, хлеб, десерты</x:v>
      </x:c>
      <x:c r="G70" s="10" t="n">
        <x:v>1</x:v>
      </x:c>
      <x:c r="H70" s="10" t="str">
        <x:v>шт.</x:v>
      </x:c>
      <x:c r="I70" s="10" t="str">
        <x:v>После хронометража</x:v>
      </x:c>
      <x:c r="J70" s="10" t="str">
        <x:v>по проекту</x:v>
      </x:c>
      <x:c r="K70" s="10" t="str">
        <x:v>E1/E3</x:v>
      </x:c>
      <x:c r="L70" s="10" t="str">
        <x:v>по паспорту</x:v>
      </x:c>
      <x:c r="M70" s="10" t="str">
        <x:v>SHARED</x:v>
      </x:c>
      <x:c r="N70" s="10" t="str">
        <x:v>D03_AVOIDABLE</x:v>
      </x:c>
      <x:c r="O70" s="10" t="str">
        <x:v>CONDITIONAL</x:v>
      </x:c>
      <x:c r="P70" s="10" t="str">
        <x:v>GATE-BAK-09</x:v>
      </x:c>
      <x:c r="Q70" s="10" t="n">
        <x:v>0</x:v>
      </x:c>
      <x:c r="R70" s="10" t="n">
        <x:v>1</x:v>
      </x:c>
      <x:c r="S70" s="10" t="str"/>
      <x:c r="T70" s="10" t="str"/>
      <x:c r="U70" s="10" t="str">
        <x:v>NOT_REQUESTED</x:v>
      </x:c>
      <x:c r="V70" s="10" t="str">
        <x:v>APPROVED_SESSION_2026-07-28</x:v>
      </x:c>
      <x:c r="W70" s="10" t="str"/>
      <x:c r="X70" s="10" t="str">
        <x:v>Центр инвестиций</x:v>
      </x:c>
      <x:c r="Y70" s="10" t="str">
        <x:v>APPROVED_STRUCTURE</x:v>
      </x:c>
      <x:c r="Z70" s="10" t="str"/>
    </x:row>
    <x:row r="71" ht="30" customHeight="1">
      <x:c r="A71" s="10" t="str">
        <x:v>CAPEX.BAK.010</x:v>
      </x:c>
      <x:c r="B71" s="10" t="str"/>
      <x:c r="C71" s="10" t="str">
        <x:v>BAK-10</x:v>
      </x:c>
      <x:c r="D71" s="10" t="str">
        <x:v>Автоматический делитель</x:v>
      </x:c>
      <x:c r="E71" s="10" t="str">
        <x:v>CAPEX</x:v>
      </x:c>
      <x:c r="F71" s="10" t="str">
        <x:v>Пицца, хлеб, десерты</x:v>
      </x:c>
      <x:c r="G71" s="10" t="n">
        <x:v>0</x:v>
      </x:c>
      <x:c r="H71" s="10" t="str">
        <x:v>шт.</x:v>
      </x:c>
      <x:c r="I71" s="10" t="str">
        <x:v>Исключён</x:v>
      </x:c>
      <x:c r="J71" s="10" t="str">
        <x:v>—</x:v>
      </x:c>
      <x:c r="K71" s="10" t="str">
        <x:v>—</x:v>
      </x:c>
      <x:c r="L71" s="10" t="str">
        <x:v>—</x:v>
      </x:c>
      <x:c r="M71" s="10" t="str">
        <x:v>SHARED</x:v>
      </x:c>
      <x:c r="N71" s="10" t="str">
        <x:v>D03_AVOIDABLE</x:v>
      </x:c>
      <x:c r="O71" s="10" t="str">
        <x:v>EXCLUDED</x:v>
      </x:c>
      <x:c r="P71" s="10" t="str"/>
      <x:c r="Q71" s="10" t="n">
        <x:v>0</x:v>
      </x:c>
      <x:c r="R71" s="10" t="n">
        <x:v>0</x:v>
      </x:c>
      <x:c r="S71" s="10" t="str"/>
      <x:c r="T71" s="10" t="str"/>
      <x:c r="U71" s="10" t="str">
        <x:v>NOT_REQUESTED</x:v>
      </x:c>
      <x:c r="V71" s="10" t="str">
        <x:v>APPROVED_SESSION_2026-07-28</x:v>
      </x:c>
      <x:c r="W71" s="10" t="str"/>
      <x:c r="X71" s="10" t="str">
        <x:v>Центр инвестиций</x:v>
      </x:c>
      <x:c r="Y71" s="10" t="str">
        <x:v>APPROVED_STRUCTURE</x:v>
      </x:c>
      <x:c r="Z71" s="10" t="str"/>
    </x:row>
    <x:row r="72" ht="30" customHeight="1">
      <x:c r="A72" s="10" t="str">
        <x:v>CAPEX.BAK.011</x:v>
      </x:c>
      <x:c r="B72" s="10" t="str"/>
      <x:c r="C72" s="10" t="str">
        <x:v>BAK-11</x:v>
      </x:c>
      <x:c r="D72" s="10" t="str">
        <x:v>Округлитель</x:v>
      </x:c>
      <x:c r="E72" s="10" t="str">
        <x:v>CAPEX</x:v>
      </x:c>
      <x:c r="F72" s="10" t="str">
        <x:v>Пицца, хлеб, десерты</x:v>
      </x:c>
      <x:c r="G72" s="10" t="n">
        <x:v>0</x:v>
      </x:c>
      <x:c r="H72" s="10" t="str">
        <x:v>шт.</x:v>
      </x:c>
      <x:c r="I72" s="10" t="str">
        <x:v>Исключён</x:v>
      </x:c>
      <x:c r="J72" s="10" t="str">
        <x:v>—</x:v>
      </x:c>
      <x:c r="K72" s="10" t="str">
        <x:v>—</x:v>
      </x:c>
      <x:c r="L72" s="10" t="str">
        <x:v>—</x:v>
      </x:c>
      <x:c r="M72" s="10" t="str">
        <x:v>SHARED</x:v>
      </x:c>
      <x:c r="N72" s="10" t="str">
        <x:v>D03_AVOIDABLE</x:v>
      </x:c>
      <x:c r="O72" s="10" t="str">
        <x:v>EXCLUDED</x:v>
      </x:c>
      <x:c r="P72" s="10" t="str"/>
      <x:c r="Q72" s="10" t="n">
        <x:v>0</x:v>
      </x:c>
      <x:c r="R72" s="10" t="n">
        <x:v>0</x:v>
      </x:c>
      <x:c r="S72" s="10" t="str"/>
      <x:c r="T72" s="10" t="str"/>
      <x:c r="U72" s="10" t="str">
        <x:v>NOT_REQUESTED</x:v>
      </x:c>
      <x:c r="V72" s="10" t="str">
        <x:v>APPROVED_SESSION_2026-07-28</x:v>
      </x:c>
      <x:c r="W72" s="10" t="str"/>
      <x:c r="X72" s="10" t="str">
        <x:v>Центр инвестиций</x:v>
      </x:c>
      <x:c r="Y72" s="10" t="str">
        <x:v>APPROVED_STRUCTURE</x:v>
      </x:c>
      <x:c r="Z72" s="10" t="str"/>
    </x:row>
    <x:row r="73" ht="30" customHeight="1">
      <x:c r="A73" s="10" t="str">
        <x:v>CAPEX.BAK.012</x:v>
      </x:c>
      <x:c r="B73" s="10" t="str">
        <x:v>PB-05</x:v>
      </x:c>
      <x:c r="C73" s="10" t="str">
        <x:v>BAK-12</x:v>
      </x:c>
      <x:c r="D73" s="10" t="str">
        <x:v>Холодильный пицца-стол</x:v>
      </x:c>
      <x:c r="E73" s="10" t="str">
        <x:v>CAPEX</x:v>
      </x:c>
      <x:c r="F73" s="10" t="str">
        <x:v>Пицца, хлеб, десерты</x:v>
      </x:c>
      <x:c r="G73" s="10" t="n">
        <x:v>1</x:v>
      </x:c>
      <x:c r="H73" s="10" t="str">
        <x:v>шт.</x:v>
      </x:c>
      <x:c r="I73" s="10" t="str">
        <x:v>Стол и надстройка ингредиентов</x:v>
      </x:c>
      <x:c r="J73" s="10" t="str">
        <x:v>1500–2000×800×1400</x:v>
      </x:c>
      <x:c r="K73" s="10" t="str">
        <x:v>E1</x:v>
      </x:c>
      <x:c r="L73" s="10" t="str">
        <x:v>1100 фронт</x:v>
      </x:c>
      <x:c r="M73" s="10" t="str">
        <x:v>CAFE</x:v>
      </x:c>
      <x:c r="N73" s="10" t="str">
        <x:v>D01_DIRECT</x:v>
      </x:c>
      <x:c r="O73" s="10" t="str">
        <x:v>MANDATORY</x:v>
      </x:c>
      <x:c r="P73" s="10" t="str"/>
      <x:c r="Q73" s="10" t="str">
        <x:v>1</x:v>
      </x:c>
      <x:c r="R73" s="10" t="n">
        <x:v>0</x:v>
      </x:c>
      <x:c r="S73" s="10" t="str"/>
      <x:c r="T73" s="10" t="str"/>
      <x:c r="U73" s="10" t="str">
        <x:v>NOT_REQUESTED</x:v>
      </x:c>
      <x:c r="V73" s="10" t="str">
        <x:v>APPROVED_SESSION_2026-07-28</x:v>
      </x:c>
      <x:c r="W73" s="10" t="str"/>
      <x:c r="X73" s="10" t="str">
        <x:v>Центр инвестиций</x:v>
      </x:c>
      <x:c r="Y73" s="10" t="str">
        <x:v>APPROVED_STRUCTURE</x:v>
      </x:c>
      <x:c r="Z73" s="10" t="str"/>
    </x:row>
    <x:row r="74" ht="30" customHeight="1">
      <x:c r="A74" s="10" t="str">
        <x:v>CAPEX.BAK.013</x:v>
      </x:c>
      <x:c r="B74" s="10" t="str">
        <x:v>PB-07</x:v>
      </x:c>
      <x:c r="C74" s="10" t="str">
        <x:v>BAK-13</x:v>
      </x:c>
      <x:c r="D74" s="10" t="str">
        <x:v>Закрытое хранение коробок</x:v>
      </x:c>
      <x:c r="E74" s="10" t="str">
        <x:v>CAPEX</x:v>
      </x:c>
      <x:c r="F74" s="10" t="str">
        <x:v>Пицца, хлеб, десерты</x:v>
      </x:c>
      <x:c r="G74" s="10" t="n">
        <x:v>1</x:v>
      </x:c>
      <x:c r="H74" s="10" t="str">
        <x:v>секция</x:v>
      </x:c>
      <x:c r="I74" s="10" t="str">
        <x:v>Защита упаковки</x:v>
      </x:c>
      <x:c r="J74" s="10" t="str">
        <x:v>глубина 500–600</x:v>
      </x:c>
      <x:c r="K74" s="10" t="str">
        <x:v>—</x:v>
      </x:c>
      <x:c r="L74" s="10" t="str">
        <x:v>проход 800</x:v>
      </x:c>
      <x:c r="M74" s="10" t="str">
        <x:v>CAFE</x:v>
      </x:c>
      <x:c r="N74" s="10" t="str">
        <x:v>D01_DIRECT</x:v>
      </x:c>
      <x:c r="O74" s="10" t="str">
        <x:v>MANDATORY</x:v>
      </x:c>
      <x:c r="P74" s="10" t="str"/>
      <x:c r="Q74" s="10" t="str">
        <x:v>1</x:v>
      </x:c>
      <x:c r="R74" s="10" t="n">
        <x:v>0</x:v>
      </x:c>
      <x:c r="S74" s="10" t="str"/>
      <x:c r="T74" s="10" t="str"/>
      <x:c r="U74" s="10" t="str">
        <x:v>NOT_REQUESTED</x:v>
      </x:c>
      <x:c r="V74" s="10" t="str">
        <x:v>APPROVED_SESSION_2026-07-28</x:v>
      </x:c>
      <x:c r="W74" s="10" t="str"/>
      <x:c r="X74" s="10" t="str">
        <x:v>Центр инвестиций</x:v>
      </x:c>
      <x:c r="Y74" s="10" t="str">
        <x:v>APPROVED_STRUCTURE</x:v>
      </x:c>
      <x:c r="Z74" s="10" t="str"/>
    </x:row>
    <x:row r="75" ht="30" customHeight="1">
      <x:c r="A75" s="10" t="str">
        <x:v>CAPEX.BAK.014</x:v>
      </x:c>
      <x:c r="B75" s="10" t="str">
        <x:v>UT-01</x:v>
      </x:c>
      <x:c r="C75" s="10" t="str">
        <x:v>BAK-14</x:v>
      </x:c>
      <x:c r="D75" s="10" t="str">
        <x:v>Рукомойник пекарского участка</x:v>
      </x:c>
      <x:c r="E75" s="10" t="str">
        <x:v>CAPEX</x:v>
      </x:c>
      <x:c r="F75" s="10" t="str">
        <x:v>Пицца, хлеб, десерты</x:v>
      </x:c>
      <x:c r="G75" s="10" t="n">
        <x:v>1</x:v>
      </x:c>
      <x:c r="H75" s="10" t="str">
        <x:v>шт.</x:v>
      </x:c>
      <x:c r="I75" s="10" t="str">
        <x:v>Отдельный</x:v>
      </x:c>
      <x:c r="J75" s="10" t="str">
        <x:v>400×400</x:v>
      </x:c>
      <x:c r="K75" s="10" t="str">
        <x:v>W/D</x:v>
      </x:c>
      <x:c r="L75" s="10" t="str">
        <x:v>800 фронт</x:v>
      </x:c>
      <x:c r="M75" s="10" t="str">
        <x:v>SHARED</x:v>
      </x:c>
      <x:c r="N75" s="10" t="str">
        <x:v>D04_MACHINE_HOURS</x:v>
      </x:c>
      <x:c r="O75" s="10" t="str">
        <x:v>MANDATORY</x:v>
      </x:c>
      <x:c r="P75" s="10" t="str"/>
      <x:c r="Q75" s="10" t="str">
        <x:v>1</x:v>
      </x:c>
      <x:c r="R75" s="10" t="n">
        <x:v>0</x:v>
      </x:c>
      <x:c r="S75" s="10" t="str"/>
      <x:c r="T75" s="10" t="str"/>
      <x:c r="U75" s="10" t="str">
        <x:v>NOT_REQUESTED</x:v>
      </x:c>
      <x:c r="V75" s="10" t="str">
        <x:v>APPROVED_SESSION_2026-07-28</x:v>
      </x:c>
      <x:c r="W75" s="10" t="str"/>
      <x:c r="X75" s="10" t="str">
        <x:v>Центр инвестиций</x:v>
      </x:c>
      <x:c r="Y75" s="10" t="str">
        <x:v>APPROVED_STRUCTURE</x:v>
      </x:c>
      <x:c r="Z75" s="10" t="str"/>
    </x:row>
    <x:row r="76" ht="30" customHeight="1">
      <x:c r="A76" s="10" t="str">
        <x:v>CAPEX.BAK.015</x:v>
      </x:c>
      <x:c r="B76" s="10" t="str"/>
      <x:c r="C76" s="10" t="str">
        <x:v>BAK-15</x:v>
      </x:c>
      <x:c r="D76" s="10" t="str">
        <x:v>Хлеборезка</x:v>
      </x:c>
      <x:c r="E76" s="10" t="str">
        <x:v>CAPEX</x:v>
      </x:c>
      <x:c r="F76" s="10" t="str">
        <x:v>Пицца, хлеб, десерты</x:v>
      </x:c>
      <x:c r="G76" s="10" t="n">
        <x:v>0</x:v>
      </x:c>
      <x:c r="H76" s="10" t="str">
        <x:v>шт.</x:v>
      </x:c>
      <x:c r="I76" s="10" t="str">
        <x:v>Исключена</x:v>
      </x:c>
      <x:c r="J76" s="10" t="str">
        <x:v>—</x:v>
      </x:c>
      <x:c r="K76" s="10" t="str">
        <x:v>—</x:v>
      </x:c>
      <x:c r="L76" s="10" t="str">
        <x:v>—</x:v>
      </x:c>
      <x:c r="M76" s="10" t="str">
        <x:v>SHARED</x:v>
      </x:c>
      <x:c r="N76" s="10" t="str">
        <x:v>D03_AVOIDABLE</x:v>
      </x:c>
      <x:c r="O76" s="10" t="str">
        <x:v>EXCLUDED</x:v>
      </x:c>
      <x:c r="P76" s="10" t="str"/>
      <x:c r="Q76" s="10" t="n">
        <x:v>0</x:v>
      </x:c>
      <x:c r="R76" s="10" t="n">
        <x:v>0</x:v>
      </x:c>
      <x:c r="S76" s="10" t="str"/>
      <x:c r="T76" s="10" t="str"/>
      <x:c r="U76" s="10" t="str">
        <x:v>NOT_REQUESTED</x:v>
      </x:c>
      <x:c r="V76" s="10" t="str">
        <x:v>APPROVED_SESSION_2026-07-28</x:v>
      </x:c>
      <x:c r="W76" s="10" t="str"/>
      <x:c r="X76" s="10" t="str">
        <x:v>Центр инвестиций</x:v>
      </x:c>
      <x:c r="Y76" s="10" t="str">
        <x:v>APPROVED_STRUCTURE</x:v>
      </x:c>
      <x:c r="Z76" s="10" t="str"/>
    </x:row>
    <x:row r="77" ht="30" customHeight="1">
      <x:c r="A77" s="10" t="str">
        <x:v>CAPEX.CLD.001</x:v>
      </x:c>
      <x:c r="B77" s="10" t="str">
        <x:v>CP-01</x:v>
      </x:c>
      <x:c r="C77" s="10" t="str">
        <x:v>CLD-01</x:v>
      </x:c>
      <x:c r="D77" s="10" t="str">
        <x:v>Трёхдверный холодильный стол</x:v>
      </x:c>
      <x:c r="E77" s="10" t="str">
        <x:v>CAPEX</x:v>
      </x:c>
      <x:c r="F77" s="10" t="str">
        <x:v>Холодный участок</x:v>
      </x:c>
      <x:c r="G77" s="10" t="n">
        <x:v>1</x:v>
      </x:c>
      <x:c r="H77" s="10" t="str">
        <x:v>шт.</x:v>
      </x:c>
      <x:c r="I77" s="10" t="str">
        <x:v>≥270 полезных л</x:v>
      </x:c>
      <x:c r="J77" s="10" t="str">
        <x:v>1700–1900×700×850</x:v>
      </x:c>
      <x:c r="K77" s="10" t="str">
        <x:v>E1</x:v>
      </x:c>
      <x:c r="L77" s="10" t="str">
        <x:v>1100 фронт</x:v>
      </x:c>
      <x:c r="M77" s="10" t="str">
        <x:v>SHARED</x:v>
      </x:c>
      <x:c r="N77" s="10" t="str">
        <x:v>D04_MACHINE_HOURS</x:v>
      </x:c>
      <x:c r="O77" s="10" t="str">
        <x:v>MANDATORY</x:v>
      </x:c>
      <x:c r="P77" s="10" t="str"/>
      <x:c r="Q77" s="10" t="str">
        <x:v>1</x:v>
      </x:c>
      <x:c r="R77" s="10" t="n">
        <x:v>0</x:v>
      </x:c>
      <x:c r="S77" s="10" t="str"/>
      <x:c r="T77" s="10" t="str"/>
      <x:c r="U77" s="10" t="str">
        <x:v>NOT_REQUESTED</x:v>
      </x:c>
      <x:c r="V77" s="10" t="str">
        <x:v>APPROVED_SESSION_2026-07-28</x:v>
      </x:c>
      <x:c r="W77" s="10" t="str"/>
      <x:c r="X77" s="10" t="str">
        <x:v>Центр инвестиций</x:v>
      </x:c>
      <x:c r="Y77" s="10" t="str">
        <x:v>APPROVED_STRUCTURE</x:v>
      </x:c>
      <x:c r="Z77" s="10" t="str"/>
    </x:row>
    <x:row r="78" ht="30" customHeight="1">
      <x:c r="A78" s="10" t="str">
        <x:v>CAPEX.CLD.002</x:v>
      </x:c>
      <x:c r="B78" s="10" t="str">
        <x:v>AP-01</x:v>
      </x:c>
      <x:c r="C78" s="10" t="str">
        <x:v>CLD-02</x:v>
      </x:c>
      <x:c r="D78" s="10" t="str">
        <x:v>Охлаждаемая надстройка</x:v>
      </x:c>
      <x:c r="E78" s="10" t="str">
        <x:v>CAPEX</x:v>
      </x:c>
      <x:c r="F78" s="10" t="str">
        <x:v>Холодный участок</x:v>
      </x:c>
      <x:c r="G78" s="10" t="n">
        <x:v>1</x:v>
      </x:c>
      <x:c r="H78" s="10" t="str">
        <x:v>шт.</x:v>
      </x:c>
      <x:c r="I78" s="10" t="str">
        <x:v>≥12 GN 1/3</x:v>
      </x:c>
      <x:c r="J78" s="10" t="str">
        <x:v>по ширине стола</x:v>
      </x:c>
      <x:c r="K78" s="10" t="str">
        <x:v>E1</x:v>
      </x:c>
      <x:c r="L78" s="10" t="str">
        <x:v>рабочий доступ</x:v>
      </x:c>
      <x:c r="M78" s="10" t="str">
        <x:v>SHARED</x:v>
      </x:c>
      <x:c r="N78" s="10" t="str">
        <x:v>D04_MACHINE_HOURS</x:v>
      </x:c>
      <x:c r="O78" s="10" t="str">
        <x:v>MANDATORY</x:v>
      </x:c>
      <x:c r="P78" s="10" t="str"/>
      <x:c r="Q78" s="10" t="str">
        <x:v>1</x:v>
      </x:c>
      <x:c r="R78" s="10" t="n">
        <x:v>0</x:v>
      </x:c>
      <x:c r="S78" s="10" t="str"/>
      <x:c r="T78" s="10" t="str"/>
      <x:c r="U78" s="10" t="str">
        <x:v>NOT_REQUESTED</x:v>
      </x:c>
      <x:c r="V78" s="10" t="str">
        <x:v>APPROVED_SESSION_2026-07-28</x:v>
      </x:c>
      <x:c r="W78" s="10" t="str"/>
      <x:c r="X78" s="10" t="str">
        <x:v>Центр инвестиций</x:v>
      </x:c>
      <x:c r="Y78" s="10" t="str">
        <x:v>APPROVED_STRUCTURE</x:v>
      </x:c>
      <x:c r="Z78" s="10" t="str"/>
    </x:row>
    <x:row r="79" ht="30" customHeight="1">
      <x:c r="A79" s="10" t="str">
        <x:v>CAPEX.CLD.003</x:v>
      </x:c>
      <x:c r="B79" s="10" t="str">
        <x:v>CP-02</x:v>
      </x:c>
      <x:c r="C79" s="10" t="str">
        <x:v>CLD-03</x:v>
      </x:c>
      <x:c r="D79" s="10" t="str">
        <x:v>Вторая рабочая поверхность</x:v>
      </x:c>
      <x:c r="E79" s="10" t="str">
        <x:v>CAPEX</x:v>
      </x:c>
      <x:c r="F79" s="10" t="str">
        <x:v>Холодный участок</x:v>
      </x:c>
      <x:c r="G79" s="10" t="n">
        <x:v>1</x:v>
      </x:c>
      <x:c r="H79" s="10" t="str">
        <x:v>шт.</x:v>
      </x:c>
      <x:c r="I79" s="10" t="str">
        <x:v>≥1200×700</x:v>
      </x:c>
      <x:c r="J79" s="10" t="str">
        <x:v>1200×700×850</x:v>
      </x:c>
      <x:c r="K79" s="10" t="str">
        <x:v>—</x:v>
      </x:c>
      <x:c r="L79" s="10" t="str">
        <x:v>1000 фронт</x:v>
      </x:c>
      <x:c r="M79" s="10" t="str">
        <x:v>SHARED</x:v>
      </x:c>
      <x:c r="N79" s="10" t="str">
        <x:v>D04_MACHINE_HOURS</x:v>
      </x:c>
      <x:c r="O79" s="10" t="str">
        <x:v>MANDATORY</x:v>
      </x:c>
      <x:c r="P79" s="10" t="str"/>
      <x:c r="Q79" s="10" t="str">
        <x:v>1</x:v>
      </x:c>
      <x:c r="R79" s="10" t="n">
        <x:v>0</x:v>
      </x:c>
      <x:c r="S79" s="10" t="str"/>
      <x:c r="T79" s="10" t="str"/>
      <x:c r="U79" s="10" t="str">
        <x:v>NOT_REQUESTED</x:v>
      </x:c>
      <x:c r="V79" s="10" t="str">
        <x:v>APPROVED_SESSION_2026-07-28</x:v>
      </x:c>
      <x:c r="W79" s="10" t="str"/>
      <x:c r="X79" s="10" t="str">
        <x:v>Центр инвестиций</x:v>
      </x:c>
      <x:c r="Y79" s="10" t="str">
        <x:v>APPROVED_STRUCTURE</x:v>
      </x:c>
      <x:c r="Z79" s="10" t="str"/>
    </x:row>
    <x:row r="80" ht="30" customHeight="1">
      <x:c r="A80" s="10" t="str">
        <x:v>CAPEX.CLD.004</x:v>
      </x:c>
      <x:c r="B80" s="10" t="str">
        <x:v>CP-03</x:v>
      </x:c>
      <x:c r="C80" s="10" t="str">
        <x:v>CLD-04</x:v>
      </x:c>
      <x:c r="D80" s="10" t="str">
        <x:v>Двухсекционная ванна продуктов</x:v>
      </x:c>
      <x:c r="E80" s="10" t="str">
        <x:v>CAPEX</x:v>
      </x:c>
      <x:c r="F80" s="10" t="str">
        <x:v>Холодный участок</x:v>
      </x:c>
      <x:c r="G80" s="10" t="n">
        <x:v>1</x:v>
      </x:c>
      <x:c r="H80" s="10" t="str">
        <x:v>шт.</x:v>
      </x:c>
      <x:c r="I80" s="10" t="str">
        <x:v>Отдельно от мойки инвентаря</x:v>
      </x:c>
      <x:c r="J80" s="10" t="str">
        <x:v>1200–1500×700×850</x:v>
      </x:c>
      <x:c r="K80" s="10" t="str">
        <x:v>W/D</x:v>
      </x:c>
      <x:c r="L80" s="10" t="str">
        <x:v>1000 фронт</x:v>
      </x:c>
      <x:c r="M80" s="10" t="str">
        <x:v>SHARED</x:v>
      </x:c>
      <x:c r="N80" s="10" t="str">
        <x:v>D04_MACHINE_HOURS</x:v>
      </x:c>
      <x:c r="O80" s="10" t="str">
        <x:v>MANDATORY</x:v>
      </x:c>
      <x:c r="P80" s="10" t="str"/>
      <x:c r="Q80" s="10" t="str">
        <x:v>1</x:v>
      </x:c>
      <x:c r="R80" s="10" t="n">
        <x:v>0</x:v>
      </x:c>
      <x:c r="S80" s="10" t="str"/>
      <x:c r="T80" s="10" t="str"/>
      <x:c r="U80" s="10" t="str">
        <x:v>NOT_REQUESTED</x:v>
      </x:c>
      <x:c r="V80" s="10" t="str">
        <x:v>APPROVED_SESSION_2026-07-28</x:v>
      </x:c>
      <x:c r="W80" s="10" t="str"/>
      <x:c r="X80" s="10" t="str">
        <x:v>Центр инвестиций</x:v>
      </x:c>
      <x:c r="Y80" s="10" t="str">
        <x:v>APPROVED_STRUCTURE</x:v>
      </x:c>
      <x:c r="Z80" s="10" t="str"/>
    </x:row>
    <x:row r="81" ht="30" customHeight="1">
      <x:c r="A81" s="10" t="str">
        <x:v>CAPEX.CLD.005</x:v>
      </x:c>
      <x:c r="B81" s="10" t="str">
        <x:v>UT-01</x:v>
      </x:c>
      <x:c r="C81" s="10" t="str">
        <x:v>CLD-05</x:v>
      </x:c>
      <x:c r="D81" s="10" t="str">
        <x:v>Рукомойник холодного участка</x:v>
      </x:c>
      <x:c r="E81" s="10" t="str">
        <x:v>CAPEX</x:v>
      </x:c>
      <x:c r="F81" s="10" t="str">
        <x:v>Холодный участок</x:v>
      </x:c>
      <x:c r="G81" s="10" t="n">
        <x:v>1</x:v>
      </x:c>
      <x:c r="H81" s="10" t="str">
        <x:v>шт.</x:v>
      </x:c>
      <x:c r="I81" s="10" t="str">
        <x:v>Отдельный</x:v>
      </x:c>
      <x:c r="J81" s="10" t="str">
        <x:v>400×400</x:v>
      </x:c>
      <x:c r="K81" s="10" t="str">
        <x:v>W/D</x:v>
      </x:c>
      <x:c r="L81" s="10" t="str">
        <x:v>800 фронт</x:v>
      </x:c>
      <x:c r="M81" s="10" t="str">
        <x:v>SHARED</x:v>
      </x:c>
      <x:c r="N81" s="10" t="str">
        <x:v>D04_MACHINE_HOURS</x:v>
      </x:c>
      <x:c r="O81" s="10" t="str">
        <x:v>MANDATORY</x:v>
      </x:c>
      <x:c r="P81" s="10" t="str"/>
      <x:c r="Q81" s="10" t="str">
        <x:v>1</x:v>
      </x:c>
      <x:c r="R81" s="10" t="n">
        <x:v>0</x:v>
      </x:c>
      <x:c r="S81" s="10" t="str"/>
      <x:c r="T81" s="10" t="str"/>
      <x:c r="U81" s="10" t="str">
        <x:v>NOT_REQUESTED</x:v>
      </x:c>
      <x:c r="V81" s="10" t="str">
        <x:v>APPROVED_SESSION_2026-07-28</x:v>
      </x:c>
      <x:c r="W81" s="10" t="str"/>
      <x:c r="X81" s="10" t="str">
        <x:v>Центр инвестиций</x:v>
      </x:c>
      <x:c r="Y81" s="10" t="str">
        <x:v>APPROVED_STRUCTURE</x:v>
      </x:c>
      <x:c r="Z81" s="10" t="str"/>
    </x:row>
    <x:row r="82" ht="30" customHeight="1">
      <x:c r="A82" s="10" t="str">
        <x:v>CAPEX.CLD.006</x:v>
      </x:c>
      <x:c r="B82" s="10" t="str">
        <x:v>ST-04</x:v>
      </x:c>
      <x:c r="C82" s="10" t="str">
        <x:v>CLD-06</x:v>
      </x:c>
      <x:c r="D82" s="10" t="str">
        <x:v>GN с крышками</x:v>
      </x:c>
      <x:c r="E82" s="10" t="str">
        <x:v>CAPEX</x:v>
      </x:c>
      <x:c r="F82" s="10" t="str">
        <x:v>Холодный участок</x:v>
      </x:c>
      <x:c r="G82" s="10" t="n">
        <x:v>20</x:v>
      </x:c>
      <x:c r="H82" s="10" t="str">
        <x:v>шт.</x:v>
      </x:c>
      <x:c r="I82" s="10" t="str">
        <x:v>Не менее 20</x:v>
      </x:c>
      <x:c r="J82" s="10" t="str">
        <x:v>по форматам</x:v>
      </x:c>
      <x:c r="K82" s="10" t="str">
        <x:v>—</x:v>
      </x:c>
      <x:c r="L82" s="10" t="str">
        <x:v>стеллажное хранение</x:v>
      </x:c>
      <x:c r="M82" s="10" t="str">
        <x:v>SHARED</x:v>
      </x:c>
      <x:c r="N82" s="10" t="str">
        <x:v>D04_MACHINE_HOURS</x:v>
      </x:c>
      <x:c r="O82" s="10" t="str">
        <x:v>MANDATORY</x:v>
      </x:c>
      <x:c r="P82" s="10" t="str"/>
      <x:c r="Q82" s="10" t="str">
        <x:v>20</x:v>
      </x:c>
      <x:c r="R82" s="10" t="n">
        <x:v>0</x:v>
      </x:c>
      <x:c r="S82" s="10" t="str"/>
      <x:c r="T82" s="10" t="str"/>
      <x:c r="U82" s="10" t="str">
        <x:v>NOT_REQUESTED</x:v>
      </x:c>
      <x:c r="V82" s="10" t="str">
        <x:v>APPROVED_SESSION_2026-07-28</x:v>
      </x:c>
      <x:c r="W82" s="10" t="str"/>
      <x:c r="X82" s="10" t="str">
        <x:v>Центр инвестиций</x:v>
      </x:c>
      <x:c r="Y82" s="10" t="str">
        <x:v>APPROVED_STRUCTURE</x:v>
      </x:c>
      <x:c r="Z82" s="10" t="str"/>
    </x:row>
    <x:row r="83" ht="30" customHeight="1">
      <x:c r="A83" s="10" t="str">
        <x:v>CAPEX.CLD.007</x:v>
      </x:c>
      <x:c r="B83" s="10" t="str">
        <x:v>AP-02;ST-05</x:v>
      </x:c>
      <x:c r="C83" s="10" t="str">
        <x:v>CLD-07</x:v>
      </x:c>
      <x:c r="D83" s="10" t="str">
        <x:v>Весы, ножи, доски холодного участка</x:v>
      </x:c>
      <x:c r="E83" s="10" t="str">
        <x:v>CAPEX</x:v>
      </x:c>
      <x:c r="F83" s="10" t="str">
        <x:v>Холодный участок</x:v>
      </x:c>
      <x:c r="G83" s="10" t="n">
        <x:v>2</x:v>
      </x:c>
      <x:c r="H83" s="10" t="str">
        <x:v>комплекта</x:v>
      </x:c>
      <x:c r="I83" s="10" t="str">
        <x:v>Две рабочие позиции</x:v>
      </x:c>
      <x:c r="J83" s="10" t="str">
        <x:v>—</x:v>
      </x:c>
      <x:c r="K83" s="10" t="str">
        <x:v>E1 для весов</x:v>
      </x:c>
      <x:c r="L83" s="10" t="str">
        <x:v>две позиции</x:v>
      </x:c>
      <x:c r="M83" s="10" t="str">
        <x:v>SHARED</x:v>
      </x:c>
      <x:c r="N83" s="10" t="str">
        <x:v>D04_MACHINE_HOURS</x:v>
      </x:c>
      <x:c r="O83" s="10" t="str">
        <x:v>MANDATORY</x:v>
      </x:c>
      <x:c r="P83" s="10" t="str"/>
      <x:c r="Q83" s="10" t="str">
        <x:v>2</x:v>
      </x:c>
      <x:c r="R83" s="10" t="n">
        <x:v>0</x:v>
      </x:c>
      <x:c r="S83" s="10" t="str"/>
      <x:c r="T83" s="10" t="str"/>
      <x:c r="U83" s="10" t="str">
        <x:v>NOT_REQUESTED</x:v>
      </x:c>
      <x:c r="V83" s="10" t="str">
        <x:v>APPROVED_SESSION_2026-07-28</x:v>
      </x:c>
      <x:c r="W83" s="10" t="str"/>
      <x:c r="X83" s="10" t="str">
        <x:v>Центр инвестиций</x:v>
      </x:c>
      <x:c r="Y83" s="10" t="str">
        <x:v>APPROVED_STRUCTURE</x:v>
      </x:c>
      <x:c r="Z83" s="10" t="str"/>
    </x:row>
    <x:row r="84" ht="30" customHeight="1">
      <x:c r="A84" s="10" t="str">
        <x:v>CAPEX.CLD.008</x:v>
      </x:c>
      <x:c r="B84" s="10" t="str">
        <x:v>CP-04</x:v>
      </x:c>
      <x:c r="C84" s="10" t="str">
        <x:v>CLD-08</x:v>
      </x:c>
      <x:c r="D84" s="10" t="str">
        <x:v>Слайсер</x:v>
      </x:c>
      <x:c r="E84" s="10" t="str">
        <x:v>CAPEX</x:v>
      </x:c>
      <x:c r="F84" s="10" t="str">
        <x:v>Холодный участок</x:v>
      </x:c>
      <x:c r="G84" s="10" t="n">
        <x:v>1</x:v>
      </x:c>
      <x:c r="H84" s="10" t="str">
        <x:v>шт.</x:v>
      </x:c>
      <x:c r="I84" s="10" t="str">
        <x:v>После хронометража</x:v>
      </x:c>
      <x:c r="J84" s="10" t="str">
        <x:v>по проекту</x:v>
      </x:c>
      <x:c r="K84" s="10" t="str">
        <x:v>E1/E3</x:v>
      </x:c>
      <x:c r="L84" s="10" t="str">
        <x:v>по паспорту</x:v>
      </x:c>
      <x:c r="M84" s="10" t="str">
        <x:v>SHARED</x:v>
      </x:c>
      <x:c r="N84" s="10" t="str">
        <x:v>D03_AVOIDABLE</x:v>
      </x:c>
      <x:c r="O84" s="10" t="str">
        <x:v>CONDITIONAL</x:v>
      </x:c>
      <x:c r="P84" s="10" t="str">
        <x:v>GATE-CLD-08</x:v>
      </x:c>
      <x:c r="Q84" s="10" t="n">
        <x:v>0</x:v>
      </x:c>
      <x:c r="R84" s="10" t="n">
        <x:v>1</x:v>
      </x:c>
      <x:c r="S84" s="10" t="str"/>
      <x:c r="T84" s="10" t="str"/>
      <x:c r="U84" s="10" t="str">
        <x:v>NOT_REQUESTED</x:v>
      </x:c>
      <x:c r="V84" s="10" t="str">
        <x:v>APPROVED_SESSION_2026-07-28</x:v>
      </x:c>
      <x:c r="W84" s="10" t="str"/>
      <x:c r="X84" s="10" t="str">
        <x:v>Центр инвестиций</x:v>
      </x:c>
      <x:c r="Y84" s="10" t="str">
        <x:v>APPROVED_STRUCTURE</x:v>
      </x:c>
      <x:c r="Z84" s="10" t="str"/>
    </x:row>
    <x:row r="85" ht="30" customHeight="1">
      <x:c r="A85" s="10" t="str">
        <x:v>CAPEX.CLD.009</x:v>
      </x:c>
      <x:c r="B85" s="10" t="str">
        <x:v>CP-04</x:v>
      </x:c>
      <x:c r="C85" s="10" t="str">
        <x:v>CLD-09</x:v>
      </x:c>
      <x:c r="D85" s="10" t="str">
        <x:v>Овощерезка</x:v>
      </x:c>
      <x:c r="E85" s="10" t="str">
        <x:v>CAPEX</x:v>
      </x:c>
      <x:c r="F85" s="10" t="str">
        <x:v>Холодный участок</x:v>
      </x:c>
      <x:c r="G85" s="10" t="n">
        <x:v>1</x:v>
      </x:c>
      <x:c r="H85" s="10" t="str">
        <x:v>шт.</x:v>
      </x:c>
      <x:c r="I85" s="10" t="str">
        <x:v>После хронометража</x:v>
      </x:c>
      <x:c r="J85" s="10" t="str">
        <x:v>по проекту</x:v>
      </x:c>
      <x:c r="K85" s="10" t="str">
        <x:v>E1/E3</x:v>
      </x:c>
      <x:c r="L85" s="10" t="str">
        <x:v>по паспорту</x:v>
      </x:c>
      <x:c r="M85" s="10" t="str">
        <x:v>SHARED</x:v>
      </x:c>
      <x:c r="N85" s="10" t="str">
        <x:v>D03_AVOIDABLE</x:v>
      </x:c>
      <x:c r="O85" s="10" t="str">
        <x:v>CONDITIONAL</x:v>
      </x:c>
      <x:c r="P85" s="10" t="str">
        <x:v>GATE-CLD-09</x:v>
      </x:c>
      <x:c r="Q85" s="10" t="n">
        <x:v>0</x:v>
      </x:c>
      <x:c r="R85" s="10" t="n">
        <x:v>1</x:v>
      </x:c>
      <x:c r="S85" s="10" t="str"/>
      <x:c r="T85" s="10" t="str"/>
      <x:c r="U85" s="10" t="str">
        <x:v>NOT_REQUESTED</x:v>
      </x:c>
      <x:c r="V85" s="10" t="str">
        <x:v>APPROVED_SESSION_2026-07-28</x:v>
      </x:c>
      <x:c r="W85" s="10" t="str"/>
      <x:c r="X85" s="10" t="str">
        <x:v>Центр инвестиций</x:v>
      </x:c>
      <x:c r="Y85" s="10" t="str">
        <x:v>APPROVED_STRUCTURE</x:v>
      </x:c>
      <x:c r="Z85" s="10" t="str"/>
    </x:row>
    <x:row r="86" ht="30" customHeight="1">
      <x:c r="A86" s="10" t="str">
        <x:v>CAPEX.CLD.010</x:v>
      </x:c>
      <x:c r="B86" s="10" t="str">
        <x:v>CP-05</x:v>
      </x:c>
      <x:c r="C86" s="10" t="str">
        <x:v>CLD-10</x:v>
      </x:c>
      <x:c r="D86" s="10" t="str">
        <x:v>Вакууматор</x:v>
      </x:c>
      <x:c r="E86" s="10" t="str">
        <x:v>CAPEX</x:v>
      </x:c>
      <x:c r="F86" s="10" t="str">
        <x:v>Холодный участок</x:v>
      </x:c>
      <x:c r="G86" s="10" t="n">
        <x:v>0</x:v>
      </x:c>
      <x:c r="H86" s="10" t="str">
        <x:v>шт.</x:v>
      </x:c>
      <x:c r="I86" s="10" t="str">
        <x:v>Не включён в обязательный старт</x:v>
      </x:c>
      <x:c r="J86" s="10" t="str">
        <x:v>—</x:v>
      </x:c>
      <x:c r="K86" s="10" t="str">
        <x:v>—</x:v>
      </x:c>
      <x:c r="L86" s="10" t="str">
        <x:v>—</x:v>
      </x:c>
      <x:c r="M86" s="10" t="str">
        <x:v>SHARED</x:v>
      </x:c>
      <x:c r="N86" s="10" t="str">
        <x:v>D03_AVOIDABLE</x:v>
      </x:c>
      <x:c r="O86" s="10" t="str">
        <x:v>EXCLUDED</x:v>
      </x:c>
      <x:c r="P86" s="10" t="str"/>
      <x:c r="Q86" s="10" t="n">
        <x:v>0</x:v>
      </x:c>
      <x:c r="R86" s="10" t="n">
        <x:v>0</x:v>
      </x:c>
      <x:c r="S86" s="10" t="str"/>
      <x:c r="T86" s="10" t="str"/>
      <x:c r="U86" s="10" t="str">
        <x:v>NOT_REQUESTED</x:v>
      </x:c>
      <x:c r="V86" s="10" t="str">
        <x:v>APPROVED_SESSION_2026-07-28</x:v>
      </x:c>
      <x:c r="W86" s="10" t="str"/>
      <x:c r="X86" s="10" t="str">
        <x:v>Центр инвестиций</x:v>
      </x:c>
      <x:c r="Y86" s="10" t="str">
        <x:v>APPROVED_STRUCTURE</x:v>
      </x:c>
      <x:c r="Z86" s="10" t="str"/>
    </x:row>
    <x:row r="87" ht="30" customHeight="1">
      <x:c r="A87" s="10" t="str">
        <x:v>CAPEX.BRK.001</x:v>
      </x:c>
      <x:c r="B87" s="10" t="str">
        <x:v>BK-01</x:v>
      </x:c>
      <x:c r="C87" s="10" t="str">
        <x:v>BRK-01</x:v>
      </x:c>
      <x:c r="D87" s="10" t="str">
        <x:v>Индивидуальные формы омлета</x:v>
      </x:c>
      <x:c r="E87" s="10" t="str">
        <x:v>CAPEX</x:v>
      </x:c>
      <x:c r="F87" s="10" t="str">
        <x:v>Завтраки</x:v>
      </x:c>
      <x:c r="G87" s="10" t="n">
        <x:v>12</x:v>
      </x:c>
      <x:c r="H87" s="10" t="str">
        <x:v>шт.</x:v>
      </x:c>
      <x:c r="I87" s="10" t="str">
        <x:v>10–12 форм</x:v>
      </x:c>
      <x:c r="J87" s="10" t="str">
        <x:v>по печи</x:v>
      </x:c>
      <x:c r="K87" s="10" t="str">
        <x:v>—</x:v>
      </x:c>
      <x:c r="L87" s="10" t="str">
        <x:v>место хранения</x:v>
      </x:c>
      <x:c r="M87" s="10" t="str">
        <x:v>CAFE</x:v>
      </x:c>
      <x:c r="N87" s="10" t="str">
        <x:v>D01_DIRECT</x:v>
      </x:c>
      <x:c r="O87" s="10" t="str">
        <x:v>MANDATORY</x:v>
      </x:c>
      <x:c r="P87" s="10" t="str"/>
      <x:c r="Q87" s="10" t="str">
        <x:v>12</x:v>
      </x:c>
      <x:c r="R87" s="10" t="n">
        <x:v>0</x:v>
      </x:c>
      <x:c r="S87" s="10" t="str"/>
      <x:c r="T87" s="10" t="str"/>
      <x:c r="U87" s="10" t="str">
        <x:v>NOT_REQUESTED</x:v>
      </x:c>
      <x:c r="V87" s="10" t="str">
        <x:v>APPROVED_SESSION_2026-07-28</x:v>
      </x:c>
      <x:c r="W87" s="10" t="str"/>
      <x:c r="X87" s="10" t="str">
        <x:v>Центр инвестиций</x:v>
      </x:c>
      <x:c r="Y87" s="10" t="str">
        <x:v>APPROVED_STRUCTURE</x:v>
      </x:c>
      <x:c r="Z87" s="10" t="str"/>
    </x:row>
    <x:row r="88" ht="30" customHeight="1">
      <x:c r="A88" s="10" t="str">
        <x:v>CAPEX.BRK.002</x:v>
      </x:c>
      <x:c r="B88" s="10" t="str"/>
      <x:c r="C88" s="10" t="str">
        <x:v>BRK-02</x:v>
      </x:c>
      <x:c r="D88" s="10" t="str">
        <x:v>Инвентарь яиц пашот</x:v>
      </x:c>
      <x:c r="E88" s="10" t="str">
        <x:v>CAPEX</x:v>
      </x:c>
      <x:c r="F88" s="10" t="str">
        <x:v>Завтраки</x:v>
      </x:c>
      <x:c r="G88" s="10" t="n">
        <x:v>0</x:v>
      </x:c>
      <x:c r="H88" s="10" t="str">
        <x:v>комплект</x:v>
      </x:c>
      <x:c r="I88" s="10" t="str">
        <x:v>Специальный завтрак исключён</x:v>
      </x:c>
      <x:c r="J88" s="10" t="str">
        <x:v>—</x:v>
      </x:c>
      <x:c r="K88" s="10" t="str">
        <x:v>—</x:v>
      </x:c>
      <x:c r="L88" s="10" t="str">
        <x:v>—</x:v>
      </x:c>
      <x:c r="M88" s="10" t="str">
        <x:v>CAFE</x:v>
      </x:c>
      <x:c r="N88" s="10" t="str">
        <x:v>D01_DIRECT</x:v>
      </x:c>
      <x:c r="O88" s="10" t="str">
        <x:v>EXCLUDED</x:v>
      </x:c>
      <x:c r="P88" s="10" t="str"/>
      <x:c r="Q88" s="10" t="n">
        <x:v>0</x:v>
      </x:c>
      <x:c r="R88" s="10" t="n">
        <x:v>0</x:v>
      </x:c>
      <x:c r="S88" s="10" t="str"/>
      <x:c r="T88" s="10" t="str"/>
      <x:c r="U88" s="10" t="str">
        <x:v>NOT_REQUESTED</x:v>
      </x:c>
      <x:c r="V88" s="10" t="str">
        <x:v>APPROVED_SESSION_2026-07-28</x:v>
      </x:c>
      <x:c r="W88" s="10" t="str"/>
      <x:c r="X88" s="10" t="str">
        <x:v>Центр инвестиций</x:v>
      </x:c>
      <x:c r="Y88" s="10" t="str">
        <x:v>APPROVED_STRUCTURE</x:v>
      </x:c>
      <x:c r="Z88" s="10" t="str"/>
    </x:row>
    <x:row r="89" ht="30" customHeight="1">
      <x:c r="A89" s="10" t="str">
        <x:v>CAPEX.BRK.003</x:v>
      </x:c>
      <x:c r="B89" s="10" t="str">
        <x:v>BK-02</x:v>
      </x:c>
      <x:c r="C89" s="10" t="str">
        <x:v>BRK-03</x:v>
      </x:c>
      <x:c r="D89" s="10" t="str">
        <x:v>Кастрюля 5–8 л и малая водяная баня</x:v>
      </x:c>
      <x:c r="E89" s="10" t="str">
        <x:v>CAPEX</x:v>
      </x:c>
      <x:c r="F89" s="10" t="str">
        <x:v>Завтраки</x:v>
      </x:c>
      <x:c r="G89" s="10" t="n">
        <x:v>1</x:v>
      </x:c>
      <x:c r="H89" s="10" t="str">
        <x:v>комплект</x:v>
      </x:c>
      <x:c r="I89" s="10" t="str">
        <x:v>Без длительного горячего хранения</x:v>
      </x:c>
      <x:c r="J89" s="10" t="str">
        <x:v>—</x:v>
      </x:c>
      <x:c r="K89" s="10" t="str">
        <x:v>использует индукцию</x:v>
      </x:c>
      <x:c r="L89" s="10" t="str">
        <x:v>рабочая позиция</x:v>
      </x:c>
      <x:c r="M89" s="10" t="str">
        <x:v>CAFE</x:v>
      </x:c>
      <x:c r="N89" s="10" t="str">
        <x:v>D01_DIRECT</x:v>
      </x:c>
      <x:c r="O89" s="10" t="str">
        <x:v>MANDATORY</x:v>
      </x:c>
      <x:c r="P89" s="10" t="str"/>
      <x:c r="Q89" s="10" t="str">
        <x:v>1</x:v>
      </x:c>
      <x:c r="R89" s="10" t="n">
        <x:v>0</x:v>
      </x:c>
      <x:c r="S89" s="10" t="str"/>
      <x:c r="T89" s="10" t="str"/>
      <x:c r="U89" s="10" t="str">
        <x:v>NOT_REQUESTED</x:v>
      </x:c>
      <x:c r="V89" s="10" t="str">
        <x:v>APPROVED_SESSION_2026-07-28</x:v>
      </x:c>
      <x:c r="W89" s="10" t="str"/>
      <x:c r="X89" s="10" t="str">
        <x:v>Центр инвестиций</x:v>
      </x:c>
      <x:c r="Y89" s="10" t="str">
        <x:v>APPROVED_STRUCTURE</x:v>
      </x:c>
      <x:c r="Z89" s="10" t="str"/>
    </x:row>
    <x:row r="90" ht="30" customHeight="1">
      <x:c r="A90" s="10" t="str">
        <x:v>CAPEX.BRK.004</x:v>
      </x:c>
      <x:c r="B90" s="10" t="str">
        <x:v>ST-05</x:v>
      </x:c>
      <x:c r="C90" s="10" t="str">
        <x:v>BRK-04</x:v>
      </x:c>
      <x:c r="D90" s="10" t="str">
        <x:v>Весы и термощуп завтраков</x:v>
      </x:c>
      <x:c r="E90" s="10" t="str">
        <x:v>CAPEX</x:v>
      </x:c>
      <x:c r="F90" s="10" t="str">
        <x:v>Завтраки</x:v>
      </x:c>
      <x:c r="G90" s="10" t="n">
        <x:v>1</x:v>
      </x:c>
      <x:c r="H90" s="10" t="str">
        <x:v>комплект</x:v>
      </x:c>
      <x:c r="I90" s="10" t="str">
        <x:v>Контроль выхода и температуры</x:v>
      </x:c>
      <x:c r="J90" s="10" t="str">
        <x:v>—</x:v>
      </x:c>
      <x:c r="K90" s="10" t="str">
        <x:v>E1 для весов</x:v>
      </x:c>
      <x:c r="L90" s="10" t="str">
        <x:v>рабочая позиция</x:v>
      </x:c>
      <x:c r="M90" s="10" t="str">
        <x:v>CAFE</x:v>
      </x:c>
      <x:c r="N90" s="10" t="str">
        <x:v>D01_DIRECT</x:v>
      </x:c>
      <x:c r="O90" s="10" t="str">
        <x:v>MANDATORY</x:v>
      </x:c>
      <x:c r="P90" s="10" t="str"/>
      <x:c r="Q90" s="10" t="str">
        <x:v>1</x:v>
      </x:c>
      <x:c r="R90" s="10" t="n">
        <x:v>0</x:v>
      </x:c>
      <x:c r="S90" s="10" t="str"/>
      <x:c r="T90" s="10" t="str"/>
      <x:c r="U90" s="10" t="str">
        <x:v>NOT_REQUESTED</x:v>
      </x:c>
      <x:c r="V90" s="10" t="str">
        <x:v>APPROVED_SESSION_2026-07-28</x:v>
      </x:c>
      <x:c r="W90" s="10" t="str"/>
      <x:c r="X90" s="10" t="str">
        <x:v>Центр инвестиций</x:v>
      </x:c>
      <x:c r="Y90" s="10" t="str">
        <x:v>APPROVED_STRUCTURE</x:v>
      </x:c>
      <x:c r="Z90" s="10" t="str"/>
    </x:row>
    <x:row r="91" ht="30" customHeight="1">
      <x:c r="A91" s="10" t="str">
        <x:v>CAPEX.BRK.005</x:v>
      </x:c>
      <x:c r="B91" s="10" t="str"/>
      <x:c r="C91" s="10" t="str">
        <x:v>BRK-05</x:v>
      </x:c>
      <x:c r="D91" s="10" t="str">
        <x:v>Маркировочный комплект завтраков</x:v>
      </x:c>
      <x:c r="E91" s="10" t="str">
        <x:v>CAPEX</x:v>
      </x:c>
      <x:c r="F91" s="10" t="str">
        <x:v>Завтраки</x:v>
      </x:c>
      <x:c r="G91" s="10" t="n">
        <x:v>1</x:v>
      </x:c>
      <x:c r="H91" s="10" t="str">
        <x:v>комплект</x:v>
      </x:c>
      <x:c r="I91" s="10" t="str">
        <x:v>Прослеживаемость</x:v>
      </x:c>
      <x:c r="J91" s="10" t="str">
        <x:v>—</x:v>
      </x:c>
      <x:c r="K91" s="10" t="str">
        <x:v>E1 при принтере</x:v>
      </x:c>
      <x:c r="L91" s="10" t="str">
        <x:v>рабочая позиция</x:v>
      </x:c>
      <x:c r="M91" s="10" t="str">
        <x:v>CAFE</x:v>
      </x:c>
      <x:c r="N91" s="10" t="str">
        <x:v>D01_DIRECT</x:v>
      </x:c>
      <x:c r="O91" s="10" t="str">
        <x:v>MANDATORY</x:v>
      </x:c>
      <x:c r="P91" s="10" t="str"/>
      <x:c r="Q91" s="10" t="str">
        <x:v>1</x:v>
      </x:c>
      <x:c r="R91" s="10" t="n">
        <x:v>0</x:v>
      </x:c>
      <x:c r="S91" s="10" t="str"/>
      <x:c r="T91" s="10" t="str"/>
      <x:c r="U91" s="10" t="str">
        <x:v>NOT_REQUESTED</x:v>
      </x:c>
      <x:c r="V91" s="10" t="str">
        <x:v>APPROVED_SESSION_2026-07-28</x:v>
      </x:c>
      <x:c r="W91" s="10" t="str"/>
      <x:c r="X91" s="10" t="str">
        <x:v>Центр инвестиций</x:v>
      </x:c>
      <x:c r="Y91" s="10" t="str">
        <x:v>APPROVED_STRUCTURE</x:v>
      </x:c>
      <x:c r="Z91" s="10" t="str"/>
    </x:row>
    <x:row r="92" ht="30" customHeight="1">
      <x:c r="A92" s="10" t="str">
        <x:v>CAPEX.DSP.001</x:v>
      </x:c>
      <x:c r="B92" s="10" t="str">
        <x:v>PA-01</x:v>
      </x:c>
      <x:c r="C92" s="10" t="str">
        <x:v>DSP-01</x:v>
      </x:c>
      <x:c r="D92" s="10" t="str">
        <x:v>Горячая линия раздачи</x:v>
      </x:c>
      <x:c r="E92" s="10" t="str">
        <x:v>CAPEX</x:v>
      </x:c>
      <x:c r="F92" s="10" t="str">
        <x:v>Раздача</x:v>
      </x:c>
      <x:c r="G92" s="10" t="n">
        <x:v>1</x:v>
      </x:c>
      <x:c r="H92" s="10" t="str">
        <x:v>линия</x:v>
      </x:c>
      <x:c r="I92" s="10" t="str">
        <x:v>1800–2400 мм; ≥60 позиций/час</x:v>
      </x:c>
      <x:c r="J92" s="10" t="str">
        <x:v>1800–2400×700</x:v>
      </x:c>
      <x:c r="K92" s="10" t="str">
        <x:v>по составу</x:v>
      </x:c>
      <x:c r="L92" s="10" t="str">
        <x:v>проход 1200</x:v>
      </x:c>
      <x:c r="M92" s="10" t="str">
        <x:v>SHARED</x:v>
      </x:c>
      <x:c r="N92" s="10" t="str">
        <x:v>D09_TRANSACTIONS</x:v>
      </x:c>
      <x:c r="O92" s="10" t="str">
        <x:v>MANDATORY</x:v>
      </x:c>
      <x:c r="P92" s="10" t="str"/>
      <x:c r="Q92" s="10" t="str">
        <x:v>1</x:v>
      </x:c>
      <x:c r="R92" s="10" t="n">
        <x:v>0</x:v>
      </x:c>
      <x:c r="S92" s="10" t="str"/>
      <x:c r="T92" s="10" t="str"/>
      <x:c r="U92" s="10" t="str">
        <x:v>NOT_REQUESTED</x:v>
      </x:c>
      <x:c r="V92" s="10" t="str">
        <x:v>APPROVED_SESSION_2026-07-28</x:v>
      </x:c>
      <x:c r="W92" s="10" t="str"/>
      <x:c r="X92" s="10" t="str">
        <x:v>Центр инвестиций</x:v>
      </x:c>
      <x:c r="Y92" s="10" t="str">
        <x:v>APPROVED_STRUCTURE</x:v>
      </x:c>
      <x:c r="Z92" s="10" t="str"/>
    </x:row>
    <x:row r="93" ht="30" customHeight="1">
      <x:c r="A93" s="10" t="str">
        <x:v>CAPEX.DSP.002</x:v>
      </x:c>
      <x:c r="B93" s="10" t="str"/>
      <x:c r="C93" s="10" t="str">
        <x:v>DSP-02</x:v>
      </x:c>
      <x:c r="D93" s="10" t="str">
        <x:v>Тепловой мост</x:v>
      </x:c>
      <x:c r="E93" s="10" t="str">
        <x:v>CAPEX</x:v>
      </x:c>
      <x:c r="F93" s="10" t="str">
        <x:v>Раздача</x:v>
      </x:c>
      <x:c r="G93" s="10" t="n">
        <x:v>1</x:v>
      </x:c>
      <x:c r="H93" s="10" t="str">
        <x:v>шт.</x:v>
      </x:c>
      <x:c r="I93" s="10" t="str">
        <x:v>6–8 тарелок</x:v>
      </x:c>
      <x:c r="J93" s="10" t="str">
        <x:v>по линии</x:v>
      </x:c>
      <x:c r="K93" s="10" t="str">
        <x:v>E1</x:v>
      </x:c>
      <x:c r="L93" s="10" t="str">
        <x:v>верхний доступ</x:v>
      </x:c>
      <x:c r="M93" s="10" t="str">
        <x:v>SHARED</x:v>
      </x:c>
      <x:c r="N93" s="10" t="str">
        <x:v>D09_TRANSACTIONS</x:v>
      </x:c>
      <x:c r="O93" s="10" t="str">
        <x:v>MANDATORY</x:v>
      </x:c>
      <x:c r="P93" s="10" t="str"/>
      <x:c r="Q93" s="10" t="str">
        <x:v>1</x:v>
      </x:c>
      <x:c r="R93" s="10" t="n">
        <x:v>0</x:v>
      </x:c>
      <x:c r="S93" s="10" t="str"/>
      <x:c r="T93" s="10" t="str"/>
      <x:c r="U93" s="10" t="str">
        <x:v>NOT_REQUESTED</x:v>
      </x:c>
      <x:c r="V93" s="10" t="str">
        <x:v>APPROVED_SESSION_2026-07-28</x:v>
      </x:c>
      <x:c r="W93" s="10" t="str"/>
      <x:c r="X93" s="10" t="str">
        <x:v>Центр инвестиций</x:v>
      </x:c>
      <x:c r="Y93" s="10" t="str">
        <x:v>APPROVED_STRUCTURE</x:v>
      </x:c>
      <x:c r="Z93" s="10" t="str"/>
    </x:row>
    <x:row r="94" ht="30" customHeight="1">
      <x:c r="A94" s="10" t="str">
        <x:v>CAPEX.DSP.003</x:v>
      </x:c>
      <x:c r="B94" s="10" t="str"/>
      <x:c r="C94" s="10" t="str">
        <x:v>DSP-03</x:v>
      </x:c>
      <x:c r="D94" s="10" t="str">
        <x:v>Подогреватель тарелок</x:v>
      </x:c>
      <x:c r="E94" s="10" t="str">
        <x:v>CAPEX</x:v>
      </x:c>
      <x:c r="F94" s="10" t="str">
        <x:v>Раздача</x:v>
      </x:c>
      <x:c r="G94" s="10" t="n">
        <x:v>1</x:v>
      </x:c>
      <x:c r="H94" s="10" t="str">
        <x:v>шт.</x:v>
      </x:c>
      <x:c r="I94" s="10" t="str">
        <x:v>40–60 тарелок</x:v>
      </x:c>
      <x:c r="J94" s="10" t="str">
        <x:v>до 800×800×900</x:v>
      </x:c>
      <x:c r="K94" s="10" t="str">
        <x:v>E1/E3</x:v>
      </x:c>
      <x:c r="L94" s="10" t="str">
        <x:v>800 фронт</x:v>
      </x:c>
      <x:c r="M94" s="10" t="str">
        <x:v>SHARED</x:v>
      </x:c>
      <x:c r="N94" s="10" t="str">
        <x:v>D08_COVERS</x:v>
      </x:c>
      <x:c r="O94" s="10" t="str">
        <x:v>MANDATORY</x:v>
      </x:c>
      <x:c r="P94" s="10" t="str"/>
      <x:c r="Q94" s="10" t="str">
        <x:v>1</x:v>
      </x:c>
      <x:c r="R94" s="10" t="n">
        <x:v>0</x:v>
      </x:c>
      <x:c r="S94" s="10" t="str"/>
      <x:c r="T94" s="10" t="str"/>
      <x:c r="U94" s="10" t="str">
        <x:v>NOT_REQUESTED</x:v>
      </x:c>
      <x:c r="V94" s="10" t="str">
        <x:v>APPROVED_SESSION_2026-07-28</x:v>
      </x:c>
      <x:c r="W94" s="10" t="str"/>
      <x:c r="X94" s="10" t="str">
        <x:v>Центр инвестиций</x:v>
      </x:c>
      <x:c r="Y94" s="10" t="str">
        <x:v>APPROVED_STRUCTURE</x:v>
      </x:c>
      <x:c r="Z94" s="10" t="str"/>
    </x:row>
    <x:row r="95" ht="30" customHeight="1">
      <x:c r="A95" s="10" t="str">
        <x:v>CAPEX.DSP.004</x:v>
      </x:c>
      <x:c r="B95" s="10" t="str">
        <x:v>PA-01</x:v>
      </x:c>
      <x:c r="C95" s="10" t="str">
        <x:v>DSP-04</x:v>
      </x:c>
      <x:c r="D95" s="10" t="str">
        <x:v>Холодная постановка</x:v>
      </x:c>
      <x:c r="E95" s="10" t="str">
        <x:v>CAPEX</x:v>
      </x:c>
      <x:c r="F95" s="10" t="str">
        <x:v>Раздача</x:v>
      </x:c>
      <x:c r="G95" s="10" t="n">
        <x:v>1</x:v>
      </x:c>
      <x:c r="H95" s="10" t="str">
        <x:v>позиция</x:v>
      </x:c>
      <x:c r="I95" s="10" t="str">
        <x:v>Без теплового моста</x:v>
      </x:c>
      <x:c r="J95" s="10" t="str">
        <x:v>1200×700</x:v>
      </x:c>
      <x:c r="K95" s="10" t="str">
        <x:v>E1 при охлаждении</x:v>
      </x:c>
      <x:c r="L95" s="10" t="str">
        <x:v>1000 фронт</x:v>
      </x:c>
      <x:c r="M95" s="10" t="str">
        <x:v>SHARED</x:v>
      </x:c>
      <x:c r="N95" s="10" t="str">
        <x:v>D09_TRANSACTIONS</x:v>
      </x:c>
      <x:c r="O95" s="10" t="str">
        <x:v>MANDATORY</x:v>
      </x:c>
      <x:c r="P95" s="10" t="str"/>
      <x:c r="Q95" s="10" t="str">
        <x:v>1</x:v>
      </x:c>
      <x:c r="R95" s="10" t="n">
        <x:v>0</x:v>
      </x:c>
      <x:c r="S95" s="10" t="str"/>
      <x:c r="T95" s="10" t="str"/>
      <x:c r="U95" s="10" t="str">
        <x:v>NOT_REQUESTED</x:v>
      </x:c>
      <x:c r="V95" s="10" t="str">
        <x:v>APPROVED_SESSION_2026-07-28</x:v>
      </x:c>
      <x:c r="W95" s="10" t="str"/>
      <x:c r="X95" s="10" t="str">
        <x:v>Центр инвестиций</x:v>
      </x:c>
      <x:c r="Y95" s="10" t="str">
        <x:v>APPROVED_STRUCTURE</x:v>
      </x:c>
      <x:c r="Z95" s="10" t="str"/>
    </x:row>
    <x:row r="96" ht="30" customHeight="1">
      <x:c r="A96" s="10" t="str">
        <x:v>CAPEX.DSP.005</x:v>
      </x:c>
      <x:c r="B96" s="10" t="str">
        <x:v>PA-01</x:v>
      </x:c>
      <x:c r="C96" s="10" t="str">
        <x:v>DSP-05</x:v>
      </x:c>
      <x:c r="D96" s="10" t="str">
        <x:v>Стол экспедитора</x:v>
      </x:c>
      <x:c r="E96" s="10" t="str">
        <x:v>CAPEX</x:v>
      </x:c>
      <x:c r="F96" s="10" t="str">
        <x:v>Раздача</x:v>
      </x:c>
      <x:c r="G96" s="10" t="n">
        <x:v>1</x:v>
      </x:c>
      <x:c r="H96" s="10" t="str">
        <x:v>шт.</x:v>
      </x:c>
      <x:c r="I96" s="10" t="str">
        <x:v>Отдельная функция экспедиции</x:v>
      </x:c>
      <x:c r="J96" s="10" t="str">
        <x:v>1200–1800×700</x:v>
      </x:c>
      <x:c r="K96" s="10" t="str">
        <x:v>E1/LAN</x:v>
      </x:c>
      <x:c r="L96" s="10" t="str">
        <x:v>круговой доступ</x:v>
      </x:c>
      <x:c r="M96" s="10" t="str">
        <x:v>SHARED</x:v>
      </x:c>
      <x:c r="N96" s="10" t="str">
        <x:v>D09_TRANSACTIONS</x:v>
      </x:c>
      <x:c r="O96" s="10" t="str">
        <x:v>MANDATORY</x:v>
      </x:c>
      <x:c r="P96" s="10" t="str"/>
      <x:c r="Q96" s="10" t="str">
        <x:v>1</x:v>
      </x:c>
      <x:c r="R96" s="10" t="n">
        <x:v>0</x:v>
      </x:c>
      <x:c r="S96" s="10" t="str"/>
      <x:c r="T96" s="10" t="str"/>
      <x:c r="U96" s="10" t="str">
        <x:v>NOT_REQUESTED</x:v>
      </x:c>
      <x:c r="V96" s="10" t="str">
        <x:v>APPROVED_SESSION_2026-07-28</x:v>
      </x:c>
      <x:c r="W96" s="10" t="str"/>
      <x:c r="X96" s="10" t="str">
        <x:v>Центр инвестиций</x:v>
      </x:c>
      <x:c r="Y96" s="10" t="str">
        <x:v>APPROVED_STRUCTURE</x:v>
      </x:c>
      <x:c r="Z96" s="10" t="str"/>
    </x:row>
    <x:row r="97" ht="30" customHeight="1">
      <x:c r="A97" s="10" t="str">
        <x:v>CAPEX.DSP.006</x:v>
      </x:c>
      <x:c r="B97" s="10" t="str"/>
      <x:c r="C97" s="10" t="str">
        <x:v>DSP-06</x:v>
      </x:c>
      <x:c r="D97" s="10" t="str">
        <x:v>Ячейки комплектования</x:v>
      </x:c>
      <x:c r="E97" s="10" t="str">
        <x:v>CAPEX</x:v>
      </x:c>
      <x:c r="F97" s="10" t="str">
        <x:v>Раздача</x:v>
      </x:c>
      <x:c r="G97" s="10" t="n">
        <x:v>10</x:v>
      </x:c>
      <x:c r="H97" s="10" t="str">
        <x:v>ячейки</x:v>
      </x:c>
      <x:c r="I97" s="10" t="str">
        <x:v>Не менее 8–10 заказов</x:v>
      </x:c>
      <x:c r="J97" s="10" t="str">
        <x:v>по проекту</x:v>
      </x:c>
      <x:c r="K97" s="10" t="str">
        <x:v>—</x:v>
      </x:c>
      <x:c r="L97" s="10" t="str">
        <x:v>доступ упаковщика</x:v>
      </x:c>
      <x:c r="M97" s="10" t="str">
        <x:v>CAFE</x:v>
      </x:c>
      <x:c r="N97" s="10" t="str">
        <x:v>D01_DIRECT</x:v>
      </x:c>
      <x:c r="O97" s="10" t="str">
        <x:v>MANDATORY</x:v>
      </x:c>
      <x:c r="P97" s="10" t="str"/>
      <x:c r="Q97" s="10" t="str">
        <x:v>10</x:v>
      </x:c>
      <x:c r="R97" s="10" t="n">
        <x:v>0</x:v>
      </x:c>
      <x:c r="S97" s="10" t="str"/>
      <x:c r="T97" s="10" t="str"/>
      <x:c r="U97" s="10" t="str">
        <x:v>NOT_REQUESTED</x:v>
      </x:c>
      <x:c r="V97" s="10" t="str">
        <x:v>APPROVED_SESSION_2026-07-28</x:v>
      </x:c>
      <x:c r="W97" s="10" t="str"/>
      <x:c r="X97" s="10" t="str">
        <x:v>Центр инвестиций</x:v>
      </x:c>
      <x:c r="Y97" s="10" t="str">
        <x:v>APPROVED_STRUCTURE</x:v>
      </x:c>
      <x:c r="Z97" s="10" t="str"/>
    </x:row>
    <x:row r="98" ht="30" customHeight="1">
      <x:c r="A98" s="10" t="str">
        <x:v>CAPEX.DSP.007</x:v>
      </x:c>
      <x:c r="B98" s="10" t="str"/>
      <x:c r="C98" s="10" t="str">
        <x:v>DSP-07</x:v>
      </x:c>
      <x:c r="D98" s="10" t="str">
        <x:v>Стол упаковки</x:v>
      </x:c>
      <x:c r="E98" s="10" t="str">
        <x:v>CAPEX</x:v>
      </x:c>
      <x:c r="F98" s="10" t="str">
        <x:v>Раздача</x:v>
      </x:c>
      <x:c r="G98" s="10" t="n">
        <x:v>1</x:v>
      </x:c>
      <x:c r="H98" s="10" t="str">
        <x:v>шт.</x:v>
      </x:c>
      <x:c r="I98" s="10" t="str">
        <x:v>≥1800×700</x:v>
      </x:c>
      <x:c r="J98" s="10" t="str">
        <x:v>1800×700</x:v>
      </x:c>
      <x:c r="K98" s="10" t="str">
        <x:v>E1/LAN</x:v>
      </x:c>
      <x:c r="L98" s="10" t="str">
        <x:v>1000 фронт</x:v>
      </x:c>
      <x:c r="M98" s="10" t="str">
        <x:v>CAFE</x:v>
      </x:c>
      <x:c r="N98" s="10" t="str">
        <x:v>D01_DIRECT</x:v>
      </x:c>
      <x:c r="O98" s="10" t="str">
        <x:v>MANDATORY</x:v>
      </x:c>
      <x:c r="P98" s="10" t="str"/>
      <x:c r="Q98" s="10" t="str">
        <x:v>1</x:v>
      </x:c>
      <x:c r="R98" s="10" t="n">
        <x:v>0</x:v>
      </x:c>
      <x:c r="S98" s="10" t="str"/>
      <x:c r="T98" s="10" t="str"/>
      <x:c r="U98" s="10" t="str">
        <x:v>NOT_REQUESTED</x:v>
      </x:c>
      <x:c r="V98" s="10" t="str">
        <x:v>APPROVED_SESSION_2026-07-28</x:v>
      </x:c>
      <x:c r="W98" s="10" t="str"/>
      <x:c r="X98" s="10" t="str">
        <x:v>Центр инвестиций</x:v>
      </x:c>
      <x:c r="Y98" s="10" t="str">
        <x:v>APPROVED_STRUCTURE</x:v>
      </x:c>
      <x:c r="Z98" s="10" t="str"/>
    </x:row>
    <x:row r="99" ht="30" customHeight="1">
      <x:c r="A99" s="10" t="str">
        <x:v>CAPEX.DSP.008</x:v>
      </x:c>
      <x:c r="B99" s="10" t="str"/>
      <x:c r="C99" s="10" t="str">
        <x:v>DSP-08</x:v>
      </x:c>
      <x:c r="D99" s="10" t="str">
        <x:v>Стеллаж готовых заказов</x:v>
      </x:c>
      <x:c r="E99" s="10" t="str">
        <x:v>CAPEX</x:v>
      </x:c>
      <x:c r="F99" s="10" t="str">
        <x:v>Раздача</x:v>
      </x:c>
      <x:c r="G99" s="10" t="n">
        <x:v>1</x:v>
      </x:c>
      <x:c r="H99" s="10" t="str">
        <x:v>секция</x:v>
      </x:c>
      <x:c r="I99" s="10" t="str">
        <x:v>Разделённое хранение</x:v>
      </x:c>
      <x:c r="J99" s="10" t="str">
        <x:v>глубина 500–600</x:v>
      </x:c>
      <x:c r="K99" s="10" t="str">
        <x:v>—</x:v>
      </x:c>
      <x:c r="L99" s="10" t="str">
        <x:v>доступ курьера</x:v>
      </x:c>
      <x:c r="M99" s="10" t="str">
        <x:v>CAFE</x:v>
      </x:c>
      <x:c r="N99" s="10" t="str">
        <x:v>D01_DIRECT</x:v>
      </x:c>
      <x:c r="O99" s="10" t="str">
        <x:v>MANDATORY</x:v>
      </x:c>
      <x:c r="P99" s="10" t="str"/>
      <x:c r="Q99" s="10" t="str">
        <x:v>1</x:v>
      </x:c>
      <x:c r="R99" s="10" t="n">
        <x:v>0</x:v>
      </x:c>
      <x:c r="S99" s="10" t="str"/>
      <x:c r="T99" s="10" t="str"/>
      <x:c r="U99" s="10" t="str">
        <x:v>NOT_REQUESTED</x:v>
      </x:c>
      <x:c r="V99" s="10" t="str">
        <x:v>APPROVED_SESSION_2026-07-28</x:v>
      </x:c>
      <x:c r="W99" s="10" t="str"/>
      <x:c r="X99" s="10" t="str">
        <x:v>Центр инвестиций</x:v>
      </x:c>
      <x:c r="Y99" s="10" t="str">
        <x:v>APPROVED_STRUCTURE</x:v>
      </x:c>
      <x:c r="Z99" s="10" t="str"/>
    </x:row>
    <x:row r="100" ht="30" customHeight="1">
      <x:c r="A100" s="10" t="str">
        <x:v>CAPEX.DSP.009</x:v>
      </x:c>
      <x:c r="B100" s="10" t="str"/>
      <x:c r="C100" s="10" t="str">
        <x:v>DSP-09</x:v>
      </x:c>
      <x:c r="D100" s="10" t="str">
        <x:v>Принтеры этикеток и весы</x:v>
      </x:c>
      <x:c r="E100" s="10" t="str">
        <x:v>CAPEX</x:v>
      </x:c>
      <x:c r="F100" s="10" t="str">
        <x:v>Раздача</x:v>
      </x:c>
      <x:c r="G100" s="10" t="n">
        <x:v>1</x:v>
      </x:c>
      <x:c r="H100" s="10" t="str">
        <x:v>комплект</x:v>
      </x:c>
      <x:c r="I100" s="10" t="str">
        <x:v>2 принтера и 1 весы</x:v>
      </x:c>
      <x:c r="J100" s="10" t="str">
        <x:v>настольные</x:v>
      </x:c>
      <x:c r="K100" s="10" t="str">
        <x:v>E1/LAN</x:v>
      </x:c>
      <x:c r="L100" s="10" t="str">
        <x:v>рабочий доступ</x:v>
      </x:c>
      <x:c r="M100" s="10" t="str">
        <x:v>CAFE</x:v>
      </x:c>
      <x:c r="N100" s="10" t="str">
        <x:v>D01_DIRECT</x:v>
      </x:c>
      <x:c r="O100" s="10" t="str">
        <x:v>MANDATORY</x:v>
      </x:c>
      <x:c r="P100" s="10" t="str"/>
      <x:c r="Q100" s="10" t="str">
        <x:v>1</x:v>
      </x:c>
      <x:c r="R100" s="10" t="n">
        <x:v>0</x:v>
      </x:c>
      <x:c r="S100" s="10" t="str"/>
      <x:c r="T100" s="10" t="str"/>
      <x:c r="U100" s="10" t="str">
        <x:v>NOT_REQUESTED</x:v>
      </x:c>
      <x:c r="V100" s="10" t="str">
        <x:v>APPROVED_SESSION_2026-07-28</x:v>
      </x:c>
      <x:c r="W100" s="10" t="str"/>
      <x:c r="X100" s="10" t="str">
        <x:v>Центр инвестиций</x:v>
      </x:c>
      <x:c r="Y100" s="10" t="str">
        <x:v>APPROVED_STRUCTURE</x:v>
      </x:c>
      <x:c r="Z100" s="10" t="str"/>
    </x:row>
    <x:row r="101" ht="30" customHeight="1">
      <x:c r="A101" s="10" t="str">
        <x:v>CAPEX.DSP.010</x:v>
      </x:c>
      <x:c r="B101" s="10" t="str"/>
      <x:c r="C101" s="10" t="str">
        <x:v>DSP-10</x:v>
      </x:c>
      <x:c r="D101" s="10" t="str">
        <x:v>KDS и экраны участков</x:v>
      </x:c>
      <x:c r="E101" s="10" t="str">
        <x:v>CAPEX</x:v>
      </x:c>
      <x:c r="F101" s="10" t="str">
        <x:v>Раздача</x:v>
      </x:c>
      <x:c r="G101" s="10" t="n">
        <x:v>4</x:v>
      </x:c>
      <x:c r="H101" s="10" t="str">
        <x:v>экрана</x:v>
      </x:c>
      <x:c r="I101" s="10" t="str">
        <x:v>Экспедитор, горячий, холодный, пицца</x:v>
      </x:c>
      <x:c r="J101" s="10" t="str">
        <x:v>настенные/настольные</x:v>
      </x:c>
      <x:c r="K101" s="10" t="str">
        <x:v>E1/LAN</x:v>
      </x:c>
      <x:c r="L101" s="10" t="str">
        <x:v>по планировке</x:v>
      </x:c>
      <x:c r="M101" s="10" t="str">
        <x:v>SHARED</x:v>
      </x:c>
      <x:c r="N101" s="10" t="str">
        <x:v>D09_TRANSACTIONS</x:v>
      </x:c>
      <x:c r="O101" s="10" t="str">
        <x:v>MANDATORY</x:v>
      </x:c>
      <x:c r="P101" s="10" t="str"/>
      <x:c r="Q101" s="10" t="str">
        <x:v>4</x:v>
      </x:c>
      <x:c r="R101" s="10" t="n">
        <x:v>0</x:v>
      </x:c>
      <x:c r="S101" s="10" t="str"/>
      <x:c r="T101" s="10" t="str"/>
      <x:c r="U101" s="10" t="str">
        <x:v>NOT_REQUESTED</x:v>
      </x:c>
      <x:c r="V101" s="10" t="str">
        <x:v>APPROVED_SESSION_2026-07-28</x:v>
      </x:c>
      <x:c r="W101" s="10" t="str"/>
      <x:c r="X101" s="10" t="str">
        <x:v>Центр инвестиций</x:v>
      </x:c>
      <x:c r="Y101" s="10" t="str">
        <x:v>APPROVED_STRUCTURE</x:v>
      </x:c>
      <x:c r="Z101" s="10" t="str"/>
    </x:row>
    <x:row r="102" ht="30" customHeight="1">
      <x:c r="A102" s="10" t="str">
        <x:v>CAPEX.DSP.011</x:v>
      </x:c>
      <x:c r="B102" s="10" t="str">
        <x:v>PA-02</x:v>
      </x:c>
      <x:c r="C102" s="10" t="str">
        <x:v>DSP-11</x:v>
      </x:c>
      <x:c r="D102" s="10" t="str">
        <x:v>Шпильки чистых тарелок</x:v>
      </x:c>
      <x:c r="E102" s="10" t="str">
        <x:v>CAPEX</x:v>
      </x:c>
      <x:c r="F102" s="10" t="str">
        <x:v>Раздача</x:v>
      </x:c>
      <x:c r="G102" s="10" t="n">
        <x:v>2</x:v>
      </x:c>
      <x:c r="H102" s="10" t="str">
        <x:v>шт.</x:v>
      </x:c>
      <x:c r="I102" s="10" t="str">
        <x:v>Передача и хранение</x:v>
      </x:c>
      <x:c r="J102" s="10" t="str">
        <x:v>около 600×700×1800</x:v>
      </x:c>
      <x:c r="K102" s="10" t="str">
        <x:v>—</x:v>
      </x:c>
      <x:c r="L102" s="10" t="str">
        <x:v>800 фронт</x:v>
      </x:c>
      <x:c r="M102" s="10" t="str">
        <x:v>SHARED</x:v>
      </x:c>
      <x:c r="N102" s="10" t="str">
        <x:v>D08_COVERS</x:v>
      </x:c>
      <x:c r="O102" s="10" t="str">
        <x:v>MANDATORY</x:v>
      </x:c>
      <x:c r="P102" s="10" t="str"/>
      <x:c r="Q102" s="10" t="str">
        <x:v>2</x:v>
      </x:c>
      <x:c r="R102" s="10" t="n">
        <x:v>0</x:v>
      </x:c>
      <x:c r="S102" s="10" t="str"/>
      <x:c r="T102" s="10" t="str"/>
      <x:c r="U102" s="10" t="str">
        <x:v>NOT_REQUESTED</x:v>
      </x:c>
      <x:c r="V102" s="10" t="str">
        <x:v>APPROVED_SESSION_2026-07-28</x:v>
      </x:c>
      <x:c r="W102" s="10" t="str"/>
      <x:c r="X102" s="10" t="str">
        <x:v>Центр инвестиций</x:v>
      </x:c>
      <x:c r="Y102" s="10" t="str">
        <x:v>APPROVED_STRUCTURE</x:v>
      </x:c>
      <x:c r="Z102" s="10" t="str"/>
    </x:row>
    <x:row r="103" ht="30" customHeight="1">
      <x:c r="A103" s="10" t="str">
        <x:v>CAPEX.BAN.001</x:v>
      </x:c>
      <x:c r="B103" s="10" t="str"/>
      <x:c r="C103" s="10" t="str">
        <x:v>BAN-01</x:v>
      </x:c>
      <x:c r="D103" s="10" t="str">
        <x:v>Мобильный стол банкетного порционирования</x:v>
      </x:c>
      <x:c r="E103" s="10" t="str">
        <x:v>CAPEX</x:v>
      </x:c>
      <x:c r="F103" s="10" t="str">
        <x:v>Банкеты</x:v>
      </x:c>
      <x:c r="G103" s="10" t="n">
        <x:v>1</x:v>
      </x:c>
      <x:c r="H103" s="10" t="str">
        <x:v>шт.</x:v>
      </x:c>
      <x:c r="I103" s="10" t="str">
        <x:v>Две позиции выдачи</x:v>
      </x:c>
      <x:c r="J103" s="10" t="str">
        <x:v>по планировке</x:v>
      </x:c>
      <x:c r="K103" s="10" t="str">
        <x:v>—</x:v>
      </x:c>
      <x:c r="L103" s="10" t="str">
        <x:v>доступ двух работников</x:v>
      </x:c>
      <x:c r="M103" s="10" t="str">
        <x:v>BANQUETS</x:v>
      </x:c>
      <x:c r="N103" s="10" t="str">
        <x:v>D01_DIRECT</x:v>
      </x:c>
      <x:c r="O103" s="10" t="str">
        <x:v>MANDATORY</x:v>
      </x:c>
      <x:c r="P103" s="10" t="str"/>
      <x:c r="Q103" s="10" t="str">
        <x:v>1</x:v>
      </x:c>
      <x:c r="R103" s="10" t="n">
        <x:v>0</x:v>
      </x:c>
      <x:c r="S103" s="10" t="str"/>
      <x:c r="T103" s="10" t="str"/>
      <x:c r="U103" s="10" t="str">
        <x:v>NOT_REQUESTED</x:v>
      </x:c>
      <x:c r="V103" s="10" t="str"/>
      <x:c r="W103" s="10" t="str">
        <x:v>V-I-046;V-I-092</x:v>
      </x:c>
      <x:c r="X103" s="10" t="str">
        <x:v>Центр инвестиций</x:v>
      </x:c>
      <x:c r="Y103" s="10" t="str">
        <x:v>APPROVED_STRUCTURE</x:v>
      </x:c>
      <x:c r="Z103" s="10" t="str"/>
    </x:row>
    <x:row r="104" ht="30" customHeight="1">
      <x:c r="A104" s="10" t="str">
        <x:v>CAPEX.BAN.002</x:v>
      </x:c>
      <x:c r="B104" s="10" t="str"/>
      <x:c r="C104" s="10" t="str">
        <x:v>BAN-02</x:v>
      </x:c>
      <x:c r="D104" s="10" t="str">
        <x:v>Вторая позиция порционирования</x:v>
      </x:c>
      <x:c r="E104" s="10" t="str">
        <x:v>CAPEX</x:v>
      </x:c>
      <x:c r="F104" s="10" t="str">
        <x:v>Банкеты</x:v>
      </x:c>
      <x:c r="G104" s="10" t="n">
        <x:v>1</x:v>
      </x:c>
      <x:c r="H104" s="10" t="str">
        <x:v>комплект</x:v>
      </x:c>
      <x:c r="I104" s="10" t="str">
        <x:v>Инвентарь второй позиции</x:v>
      </x:c>
      <x:c r="J104" s="10" t="str">
        <x:v>по планировке</x:v>
      </x:c>
      <x:c r="K104" s="10" t="str">
        <x:v>—</x:v>
      </x:c>
      <x:c r="L104" s="10" t="str">
        <x:v>рабочий доступ</x:v>
      </x:c>
      <x:c r="M104" s="10" t="str">
        <x:v>BANQUETS</x:v>
      </x:c>
      <x:c r="N104" s="10" t="str">
        <x:v>D01_DIRECT</x:v>
      </x:c>
      <x:c r="O104" s="10" t="str">
        <x:v>MANDATORY</x:v>
      </x:c>
      <x:c r="P104" s="10" t="str"/>
      <x:c r="Q104" s="10" t="str">
        <x:v>1</x:v>
      </x:c>
      <x:c r="R104" s="10" t="n">
        <x:v>0</x:v>
      </x:c>
      <x:c r="S104" s="10" t="str"/>
      <x:c r="T104" s="10" t="str"/>
      <x:c r="U104" s="10" t="str">
        <x:v>NOT_REQUESTED</x:v>
      </x:c>
      <x:c r="V104" s="10" t="str"/>
      <x:c r="W104" s="10" t="str">
        <x:v>V-I-046</x:v>
      </x:c>
      <x:c r="X104" s="10" t="str">
        <x:v>Центр инвестиций</x:v>
      </x:c>
      <x:c r="Y104" s="10" t="str">
        <x:v>APPROVED_STRUCTURE</x:v>
      </x:c>
      <x:c r="Z104" s="10" t="str"/>
    </x:row>
    <x:row r="105" ht="30" customHeight="1">
      <x:c r="A105" s="10" t="str">
        <x:v>CAPEX.BAN.003</x:v>
      </x:c>
      <x:c r="B105" s="10" t="str"/>
      <x:c r="C105" s="10" t="str">
        <x:v>BAN-03</x:v>
      </x:c>
      <x:c r="D105" s="10" t="str">
        <x:v>Тележка для горячих тарелок</x:v>
      </x:c>
      <x:c r="E105" s="10" t="str">
        <x:v>CAPEX</x:v>
      </x:c>
      <x:c r="F105" s="10" t="str">
        <x:v>Банкеты</x:v>
      </x:c>
      <x:c r="G105" s="10" t="n">
        <x:v>1</x:v>
      </x:c>
      <x:c r="H105" s="10" t="str">
        <x:v>шт.</x:v>
      </x:c>
      <x:c r="I105" s="10" t="str">
        <x:v>20–24 тарелки</x:v>
      </x:c>
      <x:c r="J105" s="10" t="str">
        <x:v>по модели</x:v>
      </x:c>
      <x:c r="K105" s="10" t="str">
        <x:v>—</x:v>
      </x:c>
      <x:c r="L105" s="10" t="str">
        <x:v>маршрут без пересечений</x:v>
      </x:c>
      <x:c r="M105" s="10" t="str">
        <x:v>BANQUETS</x:v>
      </x:c>
      <x:c r="N105" s="10" t="str">
        <x:v>D01_DIRECT</x:v>
      </x:c>
      <x:c r="O105" s="10" t="str">
        <x:v>MANDATORY</x:v>
      </x:c>
      <x:c r="P105" s="10" t="str"/>
      <x:c r="Q105" s="10" t="str">
        <x:v>1</x:v>
      </x:c>
      <x:c r="R105" s="10" t="n">
        <x:v>0</x:v>
      </x:c>
      <x:c r="S105" s="10" t="str"/>
      <x:c r="T105" s="10" t="str"/>
      <x:c r="U105" s="10" t="str">
        <x:v>NOT_REQUESTED</x:v>
      </x:c>
      <x:c r="V105" s="10" t="str"/>
      <x:c r="W105" s="10" t="str">
        <x:v>V-I-047;V-I-092</x:v>
      </x:c>
      <x:c r="X105" s="10" t="str">
        <x:v>Центр инвестиций</x:v>
      </x:c>
      <x:c r="Y105" s="10" t="str">
        <x:v>APPROVED_STRUCTURE</x:v>
      </x:c>
      <x:c r="Z105" s="10" t="str"/>
    </x:row>
    <x:row r="106" ht="30" customHeight="1">
      <x:c r="A106" s="10" t="str">
        <x:v>CAPEX.BAN.004</x:v>
      </x:c>
      <x:c r="B106" s="10" t="str"/>
      <x:c r="C106" s="10" t="str">
        <x:v>BAN-04</x:v>
      </x:c>
      <x:c r="D106" s="10" t="str">
        <x:v>Банкетные блюда общей подачи</x:v>
      </x:c>
      <x:c r="E106" s="10" t="str">
        <x:v>CAPEX</x:v>
      </x:c>
      <x:c r="F106" s="10" t="str">
        <x:v>Банкеты</x:v>
      </x:c>
      <x:c r="G106" s="10" t="n">
        <x:v>4</x:v>
      </x:c>
      <x:c r="H106" s="10" t="str">
        <x:v>комплекта</x:v>
      </x:c>
      <x:c r="I106" s="10" t="str">
        <x:v>4 сервисные группы по 5 гостей</x:v>
      </x:c>
      <x:c r="J106" s="10" t="str">
        <x:v>по сервировке</x:v>
      </x:c>
      <x:c r="K106" s="10" t="str">
        <x:v>—</x:v>
      </x:c>
      <x:c r="L106" s="10" t="str">
        <x:v>хранение</x:v>
      </x:c>
      <x:c r="M106" s="10" t="str">
        <x:v>BANQUETS</x:v>
      </x:c>
      <x:c r="N106" s="10" t="str">
        <x:v>D01_DIRECT</x:v>
      </x:c>
      <x:c r="O106" s="10" t="str">
        <x:v>DATA_REQUIRED</x:v>
      </x:c>
      <x:c r="P106" s="10" t="str"/>
      <x:c r="Q106" s="10" t="str"/>
      <x:c r="R106" s="10" t="n">
        <x:v>0</x:v>
      </x:c>
      <x:c r="S106" s="10" t="str"/>
      <x:c r="T106" s="10" t="str"/>
      <x:c r="U106" s="10" t="str">
        <x:v>NOT_REQUESTED</x:v>
      </x:c>
      <x:c r="V106" s="10" t="str"/>
      <x:c r="W106" s="10" t="str">
        <x:v>V-I-096</x:v>
      </x:c>
      <x:c r="X106" s="10" t="str">
        <x:v>Центр инвестиций</x:v>
      </x:c>
      <x:c r="Y106" s="10" t="str">
        <x:v>APPROVED_STRUCTURE</x:v>
      </x:c>
      <x:c r="Z106" s="10" t="str"/>
    </x:row>
    <x:row r="107" ht="30" customHeight="1">
      <x:c r="A107" s="10" t="str">
        <x:v>CAPEX.BAN.005</x:v>
      </x:c>
      <x:c r="B107" s="10" t="str"/>
      <x:c r="C107" s="10" t="str">
        <x:v>BAN-05</x:v>
      </x:c>
      <x:c r="D107" s="10" t="str">
        <x:v>Банкетная индивидуальная посуда</x:v>
      </x:c>
      <x:c r="E107" s="10" t="str">
        <x:v>CAPEX</x:v>
      </x:c>
      <x:c r="F107" s="10" t="str">
        <x:v>Банкеты</x:v>
      </x:c>
      <x:c r="G107" s="10" t="n">
        <x:v>24</x:v>
      </x:c>
      <x:c r="H107" s="10" t="str">
        <x:v>комплекта</x:v>
      </x:c>
      <x:c r="I107" s="10" t="str">
        <x:v>21 комплект + округлённый резерв</x:v>
      </x:c>
      <x:c r="J107" s="10" t="str">
        <x:v>по сервировке</x:v>
      </x:c>
      <x:c r="K107" s="10" t="str">
        <x:v>—</x:v>
      </x:c>
      <x:c r="L107" s="10" t="str">
        <x:v>хранение</x:v>
      </x:c>
      <x:c r="M107" s="10" t="str">
        <x:v>BANQUETS</x:v>
      </x:c>
      <x:c r="N107" s="10" t="str">
        <x:v>D01_DIRECT</x:v>
      </x:c>
      <x:c r="O107" s="10" t="str">
        <x:v>DATA_REQUIRED</x:v>
      </x:c>
      <x:c r="P107" s="10" t="str"/>
      <x:c r="Q107" s="10" t="str"/>
      <x:c r="R107" s="10" t="n">
        <x:v>0</x:v>
      </x:c>
      <x:c r="S107" s="10" t="str"/>
      <x:c r="T107" s="10" t="str"/>
      <x:c r="U107" s="10" t="str">
        <x:v>NOT_REQUESTED</x:v>
      </x:c>
      <x:c r="V107" s="10" t="str"/>
      <x:c r="W107" s="10" t="str">
        <x:v>V-I-096</x:v>
      </x:c>
      <x:c r="X107" s="10" t="str">
        <x:v>Центр инвестиций</x:v>
      </x:c>
      <x:c r="Y107" s="10" t="str">
        <x:v>APPROVED_STRUCTURE</x:v>
      </x:c>
      <x:c r="Z107" s="10" t="str"/>
    </x:row>
    <x:row r="108" ht="30" customHeight="1">
      <x:c r="A108" s="10" t="str">
        <x:v>CAPEX.BAN.006</x:v>
      </x:c>
      <x:c r="B108" s="10" t="str"/>
      <x:c r="C108" s="10" t="str">
        <x:v>BAN-06</x:v>
      </x:c>
      <x:c r="D108" s="10" t="str">
        <x:v>Банкетный текстиль</x:v>
      </x:c>
      <x:c r="E108" s="10" t="str">
        <x:v>CAPEX</x:v>
      </x:c>
      <x:c r="F108" s="10" t="str">
        <x:v>Банкеты</x:v>
      </x:c>
      <x:c r="G108" s="10" t="n">
        <x:v>4</x:v>
      </x:c>
      <x:c r="H108" s="10" t="str">
        <x:v>комплекта</x:v>
      </x:c>
      <x:c r="I108" s="10" t="str">
        <x:v>4 стола + резерв после планировки</x:v>
      </x:c>
      <x:c r="J108" s="10" t="str">
        <x:v>по столам</x:v>
      </x:c>
      <x:c r="K108" s="10" t="str">
        <x:v>—</x:v>
      </x:c>
      <x:c r="L108" s="10" t="str">
        <x:v>хранение</x:v>
      </x:c>
      <x:c r="M108" s="10" t="str">
        <x:v>BANQUETS</x:v>
      </x:c>
      <x:c r="N108" s="10" t="str">
        <x:v>D01_DIRECT</x:v>
      </x:c>
      <x:c r="O108" s="10" t="str">
        <x:v>DATA_REQUIRED</x:v>
      </x:c>
      <x:c r="P108" s="10" t="str"/>
      <x:c r="Q108" s="10" t="str"/>
      <x:c r="R108" s="10" t="n">
        <x:v>0</x:v>
      </x:c>
      <x:c r="S108" s="10" t="str"/>
      <x:c r="T108" s="10" t="str"/>
      <x:c r="U108" s="10" t="str">
        <x:v>NOT_REQUESTED</x:v>
      </x:c>
      <x:c r="V108" s="10" t="str"/>
      <x:c r="W108" s="10" t="str">
        <x:v>V-I-096</x:v>
      </x:c>
      <x:c r="X108" s="10" t="str">
        <x:v>Центр инвестиций</x:v>
      </x:c>
      <x:c r="Y108" s="10" t="str">
        <x:v>APPROVED_STRUCTURE</x:v>
      </x:c>
      <x:c r="Z108" s="10" t="str"/>
    </x:row>
    <x:row r="109" ht="30" customHeight="1">
      <x:c r="A109" s="10" t="str">
        <x:v>CAPEX.BAN.007</x:v>
      </x:c>
      <x:c r="B109" s="10" t="str"/>
      <x:c r="C109" s="10" t="str">
        <x:v>BAN-07</x:v>
      </x:c>
      <x:c r="D109" s="10" t="str">
        <x:v>Временное хранение и транспорт посуды</x:v>
      </x:c>
      <x:c r="E109" s="10" t="str">
        <x:v>CAPEX</x:v>
      </x:c>
      <x:c r="F109" s="10" t="str">
        <x:v>Банкеты</x:v>
      </x:c>
      <x:c r="G109" s="10" t="n">
        <x:v>1</x:v>
      </x:c>
      <x:c r="H109" s="10" t="str">
        <x:v>комплект</x:v>
      </x:c>
      <x:c r="I109" s="10" t="str">
        <x:v>Чистый/грязный поток</x:v>
      </x:c>
      <x:c r="J109" s="10" t="str">
        <x:v>по планировке</x:v>
      </x:c>
      <x:c r="K109" s="10" t="str">
        <x:v>—</x:v>
      </x:c>
      <x:c r="L109" s="10" t="str">
        <x:v>маршрут без пересечений</x:v>
      </x:c>
      <x:c r="M109" s="10" t="str">
        <x:v>BANQUETS</x:v>
      </x:c>
      <x:c r="N109" s="10" t="str">
        <x:v>D01_DIRECT</x:v>
      </x:c>
      <x:c r="O109" s="10" t="str">
        <x:v>DATA_REQUIRED</x:v>
      </x:c>
      <x:c r="P109" s="10" t="str"/>
      <x:c r="Q109" s="10" t="str"/>
      <x:c r="R109" s="10" t="n">
        <x:v>0</x:v>
      </x:c>
      <x:c r="S109" s="10" t="str"/>
      <x:c r="T109" s="10" t="str"/>
      <x:c r="U109" s="10" t="str">
        <x:v>NOT_REQUESTED</x:v>
      </x:c>
      <x:c r="V109" s="10" t="str"/>
      <x:c r="W109" s="10" t="str">
        <x:v>V-I-046;V-I-092</x:v>
      </x:c>
      <x:c r="X109" s="10" t="str">
        <x:v>Центр инвестиций</x:v>
      </x:c>
      <x:c r="Y109" s="10" t="str">
        <x:v>APPROVED_STRUCTURE</x:v>
      </x:c>
      <x:c r="Z109" s="10" t="str"/>
    </x:row>
    <x:row r="110" ht="30" customHeight="1">
      <x:c r="A110" s="10" t="str">
        <x:v>CAPEX.WSH.001</x:v>
      </x:c>
      <x:c r="B110" s="10" t="str">
        <x:v>DW-01</x:v>
      </x:c>
      <x:c r="C110" s="10" t="str">
        <x:v>WSH-01</x:v>
      </x:c>
      <x:c r="D110" s="10" t="str">
        <x:v>Купольная посудомоечная машина</x:v>
      </x:c>
      <x:c r="E110" s="10" t="str">
        <x:v>CAPEX</x:v>
      </x:c>
      <x:c r="F110" s="10" t="str">
        <x:v>Мойка</x:v>
      </x:c>
      <x:c r="G110" s="10" t="n">
        <x:v>1</x:v>
      </x:c>
      <x:c r="H110" s="10" t="str">
        <x:v>шт.</x:v>
      </x:c>
      <x:c r="I110" s="10" t="str">
        <x:v>Паспорт ≥40; факт ≥25 кассет/час</x:v>
      </x:c>
      <x:c r="J110" s="10" t="str">
        <x:v>около 700×800×1500</x:v>
      </x:c>
      <x:c r="K110" s="10" t="str">
        <x:v>E3/W/D/V</x:v>
      </x:c>
      <x:c r="L110" s="10" t="str">
        <x:v>линейный фронт</x:v>
      </x:c>
      <x:c r="M110" s="10" t="str">
        <x:v>SHARED</x:v>
      </x:c>
      <x:c r="N110" s="10" t="str">
        <x:v>D07_DISHWASH</x:v>
      </x:c>
      <x:c r="O110" s="10" t="str">
        <x:v>MANDATORY</x:v>
      </x:c>
      <x:c r="P110" s="10" t="str"/>
      <x:c r="Q110" s="10" t="str">
        <x:v>1</x:v>
      </x:c>
      <x:c r="R110" s="10" t="n">
        <x:v>0</x:v>
      </x:c>
      <x:c r="S110" s="10" t="str"/>
      <x:c r="T110" s="10" t="str"/>
      <x:c r="U110" s="10" t="str">
        <x:v>NOT_REQUESTED</x:v>
      </x:c>
      <x:c r="V110" s="10" t="str">
        <x:v>APPROVED_SESSION_2026-07-28</x:v>
      </x:c>
      <x:c r="W110" s="10" t="str"/>
      <x:c r="X110" s="10" t="str">
        <x:v>Центр инвестиций</x:v>
      </x:c>
      <x:c r="Y110" s="10" t="str">
        <x:v>APPROVED_STRUCTURE</x:v>
      </x:c>
      <x:c r="Z110" s="10" t="str"/>
    </x:row>
    <x:row r="111" ht="30" customHeight="1">
      <x:c r="A111" s="10" t="str">
        <x:v>CAPEX.WSH.002</x:v>
      </x:c>
      <x:c r="B111" s="10" t="str">
        <x:v>PW-02;DW-03</x:v>
      </x:c>
      <x:c r="C111" s="10" t="str">
        <x:v>WSH-02</x:v>
      </x:c>
      <x:c r="D111" s="10" t="str">
        <x:v>Приёмный стол</x:v>
      </x:c>
      <x:c r="E111" s="10" t="str">
        <x:v>CAPEX</x:v>
      </x:c>
      <x:c r="F111" s="10" t="str">
        <x:v>Мойка</x:v>
      </x:c>
      <x:c r="G111" s="10" t="n">
        <x:v>1</x:v>
      </x:c>
      <x:c r="H111" s="10" t="str">
        <x:v>шт.</x:v>
      </x:c>
      <x:c r="I111" s="10" t="str">
        <x:v>1200–1500 мм</x:v>
      </x:c>
      <x:c r="J111" s="10" t="str">
        <x:v>1200–1500×700</x:v>
      </x:c>
      <x:c r="K111" s="10" t="str">
        <x:v>W/D при ванне</x:v>
      </x:c>
      <x:c r="L111" s="10" t="str">
        <x:v>проход 1000</x:v>
      </x:c>
      <x:c r="M111" s="10" t="str">
        <x:v>SHARED</x:v>
      </x:c>
      <x:c r="N111" s="10" t="str">
        <x:v>D07_DISHWASH</x:v>
      </x:c>
      <x:c r="O111" s="10" t="str">
        <x:v>MANDATORY</x:v>
      </x:c>
      <x:c r="P111" s="10" t="str"/>
      <x:c r="Q111" s="10" t="str">
        <x:v>1</x:v>
      </x:c>
      <x:c r="R111" s="10" t="n">
        <x:v>0</x:v>
      </x:c>
      <x:c r="S111" s="10" t="str"/>
      <x:c r="T111" s="10" t="str"/>
      <x:c r="U111" s="10" t="str">
        <x:v>NOT_REQUESTED</x:v>
      </x:c>
      <x:c r="V111" s="10" t="str">
        <x:v>APPROVED_SESSION_2026-07-28</x:v>
      </x:c>
      <x:c r="W111" s="10" t="str"/>
      <x:c r="X111" s="10" t="str">
        <x:v>Центр инвестиций</x:v>
      </x:c>
      <x:c r="Y111" s="10" t="str">
        <x:v>APPROVED_STRUCTURE</x:v>
      </x:c>
      <x:c r="Z111" s="10" t="str"/>
    </x:row>
    <x:row r="112" ht="30" customHeight="1">
      <x:c r="A112" s="10" t="str">
        <x:v>CAPEX.WSH.003</x:v>
      </x:c>
      <x:c r="B112" s="10" t="str">
        <x:v>DW-03</x:v>
      </x:c>
      <x:c r="C112" s="10" t="str">
        <x:v>WSH-03</x:v>
      </x:c>
      <x:c r="D112" s="10" t="str">
        <x:v>Разгрузочный стол</x:v>
      </x:c>
      <x:c r="E112" s="10" t="str">
        <x:v>CAPEX</x:v>
      </x:c>
      <x:c r="F112" s="10" t="str">
        <x:v>Мойка</x:v>
      </x:c>
      <x:c r="G112" s="10" t="n">
        <x:v>1</x:v>
      </x:c>
      <x:c r="H112" s="10" t="str">
        <x:v>шт.</x:v>
      </x:c>
      <x:c r="I112" s="10" t="str">
        <x:v>1200–1500 мм</x:v>
      </x:c>
      <x:c r="J112" s="10" t="str">
        <x:v>1200–1500×700</x:v>
      </x:c>
      <x:c r="K112" s="10" t="str">
        <x:v>—</x:v>
      </x:c>
      <x:c r="L112" s="10" t="str">
        <x:v>проход 1000</x:v>
      </x:c>
      <x:c r="M112" s="10" t="str">
        <x:v>SHARED</x:v>
      </x:c>
      <x:c r="N112" s="10" t="str">
        <x:v>D07_DISHWASH</x:v>
      </x:c>
      <x:c r="O112" s="10" t="str">
        <x:v>MANDATORY</x:v>
      </x:c>
      <x:c r="P112" s="10" t="str"/>
      <x:c r="Q112" s="10" t="str">
        <x:v>1</x:v>
      </x:c>
      <x:c r="R112" s="10" t="n">
        <x:v>0</x:v>
      </x:c>
      <x:c r="S112" s="10" t="str"/>
      <x:c r="T112" s="10" t="str"/>
      <x:c r="U112" s="10" t="str">
        <x:v>NOT_REQUESTED</x:v>
      </x:c>
      <x:c r="V112" s="10" t="str">
        <x:v>APPROVED_SESSION_2026-07-28</x:v>
      </x:c>
      <x:c r="W112" s="10" t="str"/>
      <x:c r="X112" s="10" t="str">
        <x:v>Центр инвестиций</x:v>
      </x:c>
      <x:c r="Y112" s="10" t="str">
        <x:v>APPROVED_STRUCTURE</x:v>
      </x:c>
      <x:c r="Z112" s="10" t="str"/>
    </x:row>
    <x:row r="113" ht="30" customHeight="1">
      <x:c r="A113" s="10" t="str">
        <x:v>CAPEX.WSH.004</x:v>
      </x:c>
      <x:c r="B113" s="10" t="str">
        <x:v>DW-02</x:v>
      </x:c>
      <x:c r="C113" s="10" t="str">
        <x:v>WSH-04</x:v>
      </x:c>
      <x:c r="D113" s="10" t="str">
        <x:v>Предварительный душ</x:v>
      </x:c>
      <x:c r="E113" s="10" t="str">
        <x:v>CAPEX</x:v>
      </x:c>
      <x:c r="F113" s="10" t="str">
        <x:v>Мойка</x:v>
      </x:c>
      <x:c r="G113" s="10" t="n">
        <x:v>1</x:v>
      </x:c>
      <x:c r="H113" s="10" t="str">
        <x:v>шт.</x:v>
      </x:c>
      <x:c r="I113" s="10" t="str">
        <x:v>Профессиональный</x:v>
      </x:c>
      <x:c r="J113" s="10" t="str">
        <x:v>встроенный</x:v>
      </x:c>
      <x:c r="K113" s="10" t="str">
        <x:v>W/D</x:v>
      </x:c>
      <x:c r="L113" s="10" t="str">
        <x:v>рабочий доступ</x:v>
      </x:c>
      <x:c r="M113" s="10" t="str">
        <x:v>SHARED</x:v>
      </x:c>
      <x:c r="N113" s="10" t="str">
        <x:v>D07_DISHWASH</x:v>
      </x:c>
      <x:c r="O113" s="10" t="str">
        <x:v>MANDATORY</x:v>
      </x:c>
      <x:c r="P113" s="10" t="str"/>
      <x:c r="Q113" s="10" t="str">
        <x:v>1</x:v>
      </x:c>
      <x:c r="R113" s="10" t="n">
        <x:v>0</x:v>
      </x:c>
      <x:c r="S113" s="10" t="str"/>
      <x:c r="T113" s="10" t="str"/>
      <x:c r="U113" s="10" t="str">
        <x:v>NOT_REQUESTED</x:v>
      </x:c>
      <x:c r="V113" s="10" t="str">
        <x:v>APPROVED_SESSION_2026-07-28</x:v>
      </x:c>
      <x:c r="W113" s="10" t="str"/>
      <x:c r="X113" s="10" t="str">
        <x:v>Центр инвестиций</x:v>
      </x:c>
      <x:c r="Y113" s="10" t="str">
        <x:v>APPROVED_STRUCTURE</x:v>
      </x:c>
      <x:c r="Z113" s="10" t="str"/>
    </x:row>
    <x:row r="114" ht="30" customHeight="1">
      <x:c r="A114" s="10" t="str">
        <x:v>CAPEX.WSH.005</x:v>
      </x:c>
      <x:c r="B114" s="10" t="str">
        <x:v>DW-03</x:v>
      </x:c>
      <x:c r="C114" s="10" t="str">
        <x:v>WSH-05</x:v>
      </x:c>
      <x:c r="D114" s="10" t="str">
        <x:v>Специализированные кассеты</x:v>
      </x:c>
      <x:c r="E114" s="10" t="str">
        <x:v>CAPEX</x:v>
      </x:c>
      <x:c r="F114" s="10" t="str">
        <x:v>Мойка</x:v>
      </x:c>
      <x:c r="G114" s="10" t="n">
        <x:v>14</x:v>
      </x:c>
      <x:c r="H114" s="10" t="str">
        <x:v>шт.</x:v>
      </x:c>
      <x:c r="I114" s="10" t="str">
        <x:v>Формат 500×500; по типам посуды</x:v>
      </x:c>
      <x:c r="J114" s="10" t="str">
        <x:v>500×500</x:v>
      </x:c>
      <x:c r="K114" s="10" t="str">
        <x:v>—</x:v>
      </x:c>
      <x:c r="L114" s="10" t="str">
        <x:v>хранение</x:v>
      </x:c>
      <x:c r="M114" s="10" t="str">
        <x:v>SHARED</x:v>
      </x:c>
      <x:c r="N114" s="10" t="str">
        <x:v>D07_DISHWASH</x:v>
      </x:c>
      <x:c r="O114" s="10" t="str">
        <x:v>MANDATORY</x:v>
      </x:c>
      <x:c r="P114" s="10" t="str"/>
      <x:c r="Q114" s="10" t="str">
        <x:v>14</x:v>
      </x:c>
      <x:c r="R114" s="10" t="n">
        <x:v>0</x:v>
      </x:c>
      <x:c r="S114" s="10" t="str"/>
      <x:c r="T114" s="10" t="str"/>
      <x:c r="U114" s="10" t="str">
        <x:v>NOT_REQUESTED</x:v>
      </x:c>
      <x:c r="V114" s="10" t="str">
        <x:v>APPROVED_SESSION_2026-07-28</x:v>
      </x:c>
      <x:c r="W114" s="10" t="str"/>
      <x:c r="X114" s="10" t="str">
        <x:v>Центр инвестиций</x:v>
      </x:c>
      <x:c r="Y114" s="10" t="str">
        <x:v>APPROVED_STRUCTURE</x:v>
      </x:c>
      <x:c r="Z114" s="10" t="str"/>
    </x:row>
    <x:row r="115" ht="30" customHeight="1">
      <x:c r="A115" s="10" t="str">
        <x:v>CAPEX.WSH.006</x:v>
      </x:c>
      <x:c r="B115" s="10" t="str">
        <x:v>DW-03</x:v>
      </x:c>
      <x:c r="C115" s="10" t="str">
        <x:v>WSH-06</x:v>
      </x:c>
      <x:c r="D115" s="10" t="str">
        <x:v>Хранение кассет</x:v>
      </x:c>
      <x:c r="E115" s="10" t="str">
        <x:v>CAPEX</x:v>
      </x:c>
      <x:c r="F115" s="10" t="str">
        <x:v>Мойка</x:v>
      </x:c>
      <x:c r="G115" s="10" t="n">
        <x:v>1</x:v>
      </x:c>
      <x:c r="H115" s="10" t="str">
        <x:v>зона</x:v>
      </x:c>
      <x:c r="I115" s="10" t="str">
        <x:v>6–8 грязных и 4–6 чистых</x:v>
      </x:c>
      <x:c r="J115" s="10" t="str">
        <x:v>по плану</x:v>
      </x:c>
      <x:c r="K115" s="10" t="str">
        <x:v>—</x:v>
      </x:c>
      <x:c r="L115" s="10" t="str">
        <x:v>разделение потоков</x:v>
      </x:c>
      <x:c r="M115" s="10" t="str">
        <x:v>SHARED</x:v>
      </x:c>
      <x:c r="N115" s="10" t="str">
        <x:v>D07_DISHWASH</x:v>
      </x:c>
      <x:c r="O115" s="10" t="str">
        <x:v>MANDATORY</x:v>
      </x:c>
      <x:c r="P115" s="10" t="str"/>
      <x:c r="Q115" s="10" t="str">
        <x:v>1</x:v>
      </x:c>
      <x:c r="R115" s="10" t="n">
        <x:v>0</x:v>
      </x:c>
      <x:c r="S115" s="10" t="str"/>
      <x:c r="T115" s="10" t="str"/>
      <x:c r="U115" s="10" t="str">
        <x:v>NOT_REQUESTED</x:v>
      </x:c>
      <x:c r="V115" s="10" t="str">
        <x:v>APPROVED_SESSION_2026-07-28</x:v>
      </x:c>
      <x:c r="W115" s="10" t="str"/>
      <x:c r="X115" s="10" t="str">
        <x:v>Центр инвестиций</x:v>
      </x:c>
      <x:c r="Y115" s="10" t="str">
        <x:v>APPROVED_STRUCTURE</x:v>
      </x:c>
      <x:c r="Z115" s="10" t="str"/>
    </x:row>
    <x:row r="116" ht="30" customHeight="1">
      <x:c r="A116" s="10" t="str">
        <x:v>CAPEX.WSH.007</x:v>
      </x:c>
      <x:c r="B116" s="10" t="str">
        <x:v>PW-01</x:v>
      </x:c>
      <x:c r="C116" s="10" t="str">
        <x:v>WSH-07</x:v>
      </x:c>
      <x:c r="D116" s="10" t="str">
        <x:v>Двухсекционная ванна инвентаря</x:v>
      </x:c>
      <x:c r="E116" s="10" t="str">
        <x:v>CAPEX</x:v>
      </x:c>
      <x:c r="F116" s="10" t="str">
        <x:v>Мойка</x:v>
      </x:c>
      <x:c r="G116" s="10" t="n">
        <x:v>1</x:v>
      </x:c>
      <x:c r="H116" s="10" t="str">
        <x:v>шт.</x:v>
      </x:c>
      <x:c r="I116" s="10" t="str">
        <x:v>Отдельно от продуктовых ванн</x:v>
      </x:c>
      <x:c r="J116" s="10" t="str">
        <x:v>1200–1500×700</x:v>
      </x:c>
      <x:c r="K116" s="10" t="str">
        <x:v>W/D</x:v>
      </x:c>
      <x:c r="L116" s="10" t="str">
        <x:v>проход 1000</x:v>
      </x:c>
      <x:c r="M116" s="10" t="str">
        <x:v>SHARED</x:v>
      </x:c>
      <x:c r="N116" s="10" t="str">
        <x:v>D04_MACHINE_HOURS</x:v>
      </x:c>
      <x:c r="O116" s="10" t="str">
        <x:v>MANDATORY</x:v>
      </x:c>
      <x:c r="P116" s="10" t="str"/>
      <x:c r="Q116" s="10" t="str">
        <x:v>1</x:v>
      </x:c>
      <x:c r="R116" s="10" t="n">
        <x:v>0</x:v>
      </x:c>
      <x:c r="S116" s="10" t="str"/>
      <x:c r="T116" s="10" t="str"/>
      <x:c r="U116" s="10" t="str">
        <x:v>NOT_REQUESTED</x:v>
      </x:c>
      <x:c r="V116" s="10" t="str">
        <x:v>APPROVED_SESSION_2026-07-28</x:v>
      </x:c>
      <x:c r="W116" s="10" t="str"/>
      <x:c r="X116" s="10" t="str">
        <x:v>Центр инвестиций</x:v>
      </x:c>
      <x:c r="Y116" s="10" t="str">
        <x:v>APPROVED_STRUCTURE</x:v>
      </x:c>
      <x:c r="Z116" s="10" t="str"/>
    </x:row>
    <x:row r="117" ht="30" customHeight="1">
      <x:c r="A117" s="10" t="str">
        <x:v>CAPEX.WSH.008</x:v>
      </x:c>
      <x:c r="B117" s="10" t="str">
        <x:v>PW-03;DW-03</x:v>
      </x:c>
      <x:c r="C117" s="10" t="str">
        <x:v>WSH-08</x:v>
      </x:c>
      <x:c r="D117" s="10" t="str">
        <x:v>Стеллажи сушки</x:v>
      </x:c>
      <x:c r="E117" s="10" t="str">
        <x:v>CAPEX</x:v>
      </x:c>
      <x:c r="F117" s="10" t="str">
        <x:v>Мойка</x:v>
      </x:c>
      <x:c r="G117" s="10" t="n">
        <x:v>1</x:v>
      </x:c>
      <x:c r="H117" s="10" t="str">
        <x:v>комплект</x:v>
      </x:c>
      <x:c r="I117" s="10" t="str">
        <x:v>GN, противни, кастрюли</x:v>
      </x:c>
      <x:c r="J117" s="10" t="str">
        <x:v>глубина 500–600</x:v>
      </x:c>
      <x:c r="K117" s="10" t="str">
        <x:v>—</x:v>
      </x:c>
      <x:c r="L117" s="10" t="str">
        <x:v>проход 900</x:v>
      </x:c>
      <x:c r="M117" s="10" t="str">
        <x:v>SHARED</x:v>
      </x:c>
      <x:c r="N117" s="10" t="str">
        <x:v>D07_DISHWASH</x:v>
      </x:c>
      <x:c r="O117" s="10" t="str">
        <x:v>MANDATORY</x:v>
      </x:c>
      <x:c r="P117" s="10" t="str"/>
      <x:c r="Q117" s="10" t="str">
        <x:v>1</x:v>
      </x:c>
      <x:c r="R117" s="10" t="n">
        <x:v>0</x:v>
      </x:c>
      <x:c r="S117" s="10" t="str"/>
      <x:c r="T117" s="10" t="str"/>
      <x:c r="U117" s="10" t="str">
        <x:v>NOT_REQUESTED</x:v>
      </x:c>
      <x:c r="V117" s="10" t="str">
        <x:v>APPROVED_SESSION_2026-07-28</x:v>
      </x:c>
      <x:c r="W117" s="10" t="str"/>
      <x:c r="X117" s="10" t="str">
        <x:v>Центр инвестиций</x:v>
      </x:c>
      <x:c r="Y117" s="10" t="str">
        <x:v>APPROVED_STRUCTURE</x:v>
      </x:c>
      <x:c r="Z117" s="10" t="str"/>
    </x:row>
    <x:row r="118" ht="30" customHeight="1">
      <x:c r="A118" s="10" t="str">
        <x:v>CAPEX.WSH.009</x:v>
      </x:c>
      <x:c r="B118" s="10" t="str"/>
      <x:c r="C118" s="10" t="str">
        <x:v>WSH-09</x:v>
      </x:c>
      <x:c r="D118" s="10" t="str">
        <x:v>Стаканомоечная машина</x:v>
      </x:c>
      <x:c r="E118" s="10" t="str">
        <x:v>CAPEX</x:v>
      </x:c>
      <x:c r="F118" s="10" t="str">
        <x:v>Мойка</x:v>
      </x:c>
      <x:c r="G118" s="10" t="n">
        <x:v>1</x:v>
      </x:c>
      <x:c r="H118" s="10" t="str">
        <x:v>шт.</x:v>
      </x:c>
      <x:c r="I118" s="10" t="str">
        <x:v>Отдельный барный контур</x:v>
      </x:c>
      <x:c r="J118" s="10" t="str">
        <x:v>около 600×650×850</x:v>
      </x:c>
      <x:c r="K118" s="10" t="str">
        <x:v>E1/E3/W/D</x:v>
      </x:c>
      <x:c r="L118" s="10" t="str">
        <x:v>800 фронт</x:v>
      </x:c>
      <x:c r="M118" s="10" t="str">
        <x:v>BAR</x:v>
      </x:c>
      <x:c r="N118" s="10" t="str">
        <x:v>D01_DIRECT</x:v>
      </x:c>
      <x:c r="O118" s="10" t="str">
        <x:v>MANDATORY</x:v>
      </x:c>
      <x:c r="P118" s="10" t="str"/>
      <x:c r="Q118" s="10" t="str">
        <x:v>1</x:v>
      </x:c>
      <x:c r="R118" s="10" t="n">
        <x:v>0</x:v>
      </x:c>
      <x:c r="S118" s="10" t="str"/>
      <x:c r="T118" s="10" t="str"/>
      <x:c r="U118" s="10" t="str">
        <x:v>NOT_REQUESTED</x:v>
      </x:c>
      <x:c r="V118" s="10" t="str"/>
      <x:c r="W118" s="10" t="str">
        <x:v>V-I-084</x:v>
      </x:c>
      <x:c r="X118" s="10" t="str">
        <x:v>Центр инвестиций</x:v>
      </x:c>
      <x:c r="Y118" s="10" t="str">
        <x:v>APPROVED_STRUCTURE</x:v>
      </x:c>
      <x:c r="Z118" s="10" t="str"/>
    </x:row>
    <x:row r="119" ht="30" customHeight="1">
      <x:c r="A119" s="10" t="str">
        <x:v>CAPEX.WSH.010</x:v>
      </x:c>
      <x:c r="B119" s="10" t="str">
        <x:v>UT-01</x:v>
      </x:c>
      <x:c r="C119" s="10" t="str">
        <x:v>WSH-10</x:v>
      </x:c>
      <x:c r="D119" s="10" t="str">
        <x:v>Рукомойник мойки</x:v>
      </x:c>
      <x:c r="E119" s="10" t="str">
        <x:v>CAPEX</x:v>
      </x:c>
      <x:c r="F119" s="10" t="str">
        <x:v>Мойка</x:v>
      </x:c>
      <x:c r="G119" s="10" t="n">
        <x:v>1</x:v>
      </x:c>
      <x:c r="H119" s="10" t="str">
        <x:v>шт.</x:v>
      </x:c>
      <x:c r="I119" s="10" t="str">
        <x:v>Отдельный</x:v>
      </x:c>
      <x:c r="J119" s="10" t="str">
        <x:v>400×400</x:v>
      </x:c>
      <x:c r="K119" s="10" t="str">
        <x:v>W/D</x:v>
      </x:c>
      <x:c r="L119" s="10" t="str">
        <x:v>800 фронт</x:v>
      </x:c>
      <x:c r="M119" s="10" t="str">
        <x:v>SHARED</x:v>
      </x:c>
      <x:c r="N119" s="10" t="str">
        <x:v>D07_DISHWASH</x:v>
      </x:c>
      <x:c r="O119" s="10" t="str">
        <x:v>MANDATORY</x:v>
      </x:c>
      <x:c r="P119" s="10" t="str"/>
      <x:c r="Q119" s="10" t="str">
        <x:v>1</x:v>
      </x:c>
      <x:c r="R119" s="10" t="n">
        <x:v>0</x:v>
      </x:c>
      <x:c r="S119" s="10" t="str"/>
      <x:c r="T119" s="10" t="str"/>
      <x:c r="U119" s="10" t="str">
        <x:v>NOT_REQUESTED</x:v>
      </x:c>
      <x:c r="V119" s="10" t="str">
        <x:v>APPROVED_SESSION_2026-07-28</x:v>
      </x:c>
      <x:c r="W119" s="10" t="str"/>
      <x:c r="X119" s="10" t="str">
        <x:v>Центр инвестиций</x:v>
      </x:c>
      <x:c r="Y119" s="10" t="str">
        <x:v>APPROVED_STRUCTURE</x:v>
      </x:c>
      <x:c r="Z119" s="10" t="str"/>
    </x:row>
    <x:row r="120" ht="30" customHeight="1">
      <x:c r="A120" s="10" t="str">
        <x:v>CAPEX.TBL.001</x:v>
      </x:c>
      <x:c r="B120" s="10" t="str"/>
      <x:c r="C120" s="10" t="str">
        <x:v>TBL-01</x:v>
      </x:c>
      <x:c r="D120" s="10" t="str">
        <x:v>Посуда и приборы зала</x:v>
      </x:c>
      <x:c r="E120" s="10" t="str">
        <x:v>CAPEX</x:v>
      </x:c>
      <x:c r="F120" s="10" t="str">
        <x:v>Посуда</x:v>
      </x:c>
      <x:c r="G120" s="10" t="n">
        <x:v>1</x:v>
      </x:c>
      <x:c r="H120" s="10" t="str">
        <x:v>комплект</x:v>
      </x:c>
      <x:c r="I120" s="10" t="str">
        <x:v>Историческая оценка; повторная матрица S04</x:v>
      </x:c>
      <x:c r="J120" s="10" t="str">
        <x:v>по сервировке</x:v>
      </x:c>
      <x:c r="K120" s="10" t="str">
        <x:v>—</x:v>
      </x:c>
      <x:c r="L120" s="10" t="str">
        <x:v>хранение</x:v>
      </x:c>
      <x:c r="M120" s="10" t="str">
        <x:v>SHARED</x:v>
      </x:c>
      <x:c r="N120" s="10" t="str">
        <x:v>D08_COVERS</x:v>
      </x:c>
      <x:c r="O120" s="10" t="str">
        <x:v>MANDATORY</x:v>
      </x:c>
      <x:c r="P120" s="10" t="str"/>
      <x:c r="Q120" s="10" t="str">
        <x:v>1</x:v>
      </x:c>
      <x:c r="R120" s="10" t="n">
        <x:v>0</x:v>
      </x:c>
      <x:c r="S120" s="10" t="n">
        <x:v>254437</x:v>
      </x:c>
      <x:c r="T120" s="10" t="str"/>
      <x:c r="U120" s="10" t="str">
        <x:v>EXISTING_ESTIMATE_NOT_REVALIDATED</x:v>
      </x:c>
      <x:c r="V120" s="10" t="str">
        <x:v>TABLEWARE_REGISTER_2026-07-25</x:v>
      </x:c>
      <x:c r="W120" s="10" t="str">
        <x:v>V-I-083</x:v>
      </x:c>
      <x:c r="X120" s="10" t="str">
        <x:v>Операции / Центр инвестиций</x:v>
      </x:c>
      <x:c r="Y120" s="10" t="str">
        <x:v>APPROVED_STRUCTURE</x:v>
      </x:c>
      <x:c r="Z120" s="10" t="str"/>
    </x:row>
    <x:row r="121" ht="30" customHeight="1">
      <x:c r="A121" s="10" t="str">
        <x:v>CAPEX.TBL.002</x:v>
      </x:c>
      <x:c r="B121" s="10" t="str"/>
      <x:c r="C121" s="10" t="str">
        <x:v>TBL-02</x:v>
      </x:c>
      <x:c r="D121" s="10" t="str">
        <x:v>Барное стекло</x:v>
      </x:c>
      <x:c r="E121" s="10" t="str">
        <x:v>CAPEX</x:v>
      </x:c>
      <x:c r="F121" s="10" t="str">
        <x:v>Посуда</x:v>
      </x:c>
      <x:c r="G121" s="10" t="n">
        <x:v>1</x:v>
      </x:c>
      <x:c r="H121" s="10" t="str">
        <x:v>комплект</x:v>
      </x:c>
      <x:c r="I121" s="10" t="str">
        <x:v>Историческая оценка; барная программа открыта</x:v>
      </x:c>
      <x:c r="J121" s="10" t="str">
        <x:v>по карте напитков</x:v>
      </x:c>
      <x:c r="K121" s="10" t="str">
        <x:v>—</x:v>
      </x:c>
      <x:c r="L121" s="10" t="str">
        <x:v>хранение</x:v>
      </x:c>
      <x:c r="M121" s="10" t="str">
        <x:v>BAR</x:v>
      </x:c>
      <x:c r="N121" s="10" t="str">
        <x:v>D01_DIRECT</x:v>
      </x:c>
      <x:c r="O121" s="10" t="str">
        <x:v>MANDATORY</x:v>
      </x:c>
      <x:c r="P121" s="10" t="str"/>
      <x:c r="Q121" s="10" t="str">
        <x:v>1</x:v>
      </x:c>
      <x:c r="R121" s="10" t="n">
        <x:v>0</x:v>
      </x:c>
      <x:c r="S121" s="10" t="n">
        <x:v>117576</x:v>
      </x:c>
      <x:c r="T121" s="10" t="str"/>
      <x:c r="U121" s="10" t="str">
        <x:v>EXISTING_ESTIMATE_NOT_REVALIDATED</x:v>
      </x:c>
      <x:c r="V121" s="10" t="str">
        <x:v>TABLEWARE_REGISTER_2026-07-25</x:v>
      </x:c>
      <x:c r="W121" s="10" t="str">
        <x:v>V-I-084</x:v>
      </x:c>
      <x:c r="X121" s="10" t="str">
        <x:v>Бар / Центр инвестиций</x:v>
      </x:c>
      <x:c r="Y121" s="10" t="str">
        <x:v>APPROVED_STRUCTURE</x:v>
      </x:c>
      <x:c r="Z121" s="10" t="str"/>
    </x:row>
    <x:row r="122" ht="30" customHeight="1">
      <x:c r="A122" s="10" t="str">
        <x:v>CAPEX.TBL.003</x:v>
      </x:c>
      <x:c r="B122" s="10" t="str"/>
      <x:c r="C122" s="10" t="str">
        <x:v>TBL-03</x:v>
      </x:c>
      <x:c r="D122" s="10" t="str">
        <x:v>Посуда гостиничных завтраков</x:v>
      </x:c>
      <x:c r="E122" s="10" t="str">
        <x:v>CAPEX</x:v>
      </x:c>
      <x:c r="F122" s="10" t="str">
        <x:v>Посуда</x:v>
      </x:c>
      <x:c r="G122" s="10" t="n">
        <x:v>1</x:v>
      </x:c>
      <x:c r="H122" s="10" t="str">
        <x:v>комплект</x:v>
      </x:c>
      <x:c r="I122" s="10" t="str">
        <x:v>20 обслуживаний + оборот</x:v>
      </x:c>
      <x:c r="J122" s="10" t="str">
        <x:v>по сервировке</x:v>
      </x:c>
      <x:c r="K122" s="10" t="str">
        <x:v>—</x:v>
      </x:c>
      <x:c r="L122" s="10" t="str">
        <x:v>хранение</x:v>
      </x:c>
      <x:c r="M122" s="10" t="str">
        <x:v>CAFE</x:v>
      </x:c>
      <x:c r="N122" s="10" t="str">
        <x:v>D01_DIRECT</x:v>
      </x:c>
      <x:c r="O122" s="10" t="str">
        <x:v>DATA_REQUIRED</x:v>
      </x:c>
      <x:c r="P122" s="10" t="str"/>
      <x:c r="Q122" s="10" t="str"/>
      <x:c r="R122" s="10" t="n">
        <x:v>0</x:v>
      </x:c>
      <x:c r="S122" s="10" t="str"/>
      <x:c r="T122" s="10" t="str"/>
      <x:c r="U122" s="10" t="str">
        <x:v>NOT_REQUESTED</x:v>
      </x:c>
      <x:c r="V122" s="10" t="str"/>
      <x:c r="W122" s="10" t="str">
        <x:v>V-I-083</x:v>
      </x:c>
      <x:c r="X122" s="10" t="str">
        <x:v>Центр инвестиций</x:v>
      </x:c>
      <x:c r="Y122" s="10" t="str">
        <x:v>APPROVED_STRUCTURE</x:v>
      </x:c>
      <x:c r="Z122" s="10" t="str"/>
    </x:row>
    <x:row r="123" ht="30" customHeight="1">
      <x:c r="A123" s="10" t="str">
        <x:v>CAPEX.TBL.004</x:v>
      </x:c>
      <x:c r="B123" s="10" t="str"/>
      <x:c r="C123" s="10" t="str">
        <x:v>TBL-04</x:v>
      </x:c>
      <x:c r="D123" s="10" t="str">
        <x:v>Банкетная сервировка</x:v>
      </x:c>
      <x:c r="E123" s="10" t="str">
        <x:v>CAPEX</x:v>
      </x:c>
      <x:c r="F123" s="10" t="str">
        <x:v>Посуда</x:v>
      </x:c>
      <x:c r="G123" s="10" t="n">
        <x:v>1</x:v>
      </x:c>
      <x:c r="H123" s="10" t="str">
        <x:v>комплект</x:v>
      </x:c>
      <x:c r="I123" s="10" t="str">
        <x:v>См. BAN-04–BAN-06</x:v>
      </x:c>
      <x:c r="J123" s="10" t="str">
        <x:v>по сервировке</x:v>
      </x:c>
      <x:c r="K123" s="10" t="str">
        <x:v>—</x:v>
      </x:c>
      <x:c r="L123" s="10" t="str">
        <x:v>хранение</x:v>
      </x:c>
      <x:c r="M123" s="10" t="str">
        <x:v>BANQUETS</x:v>
      </x:c>
      <x:c r="N123" s="10" t="str">
        <x:v>D01_DIRECT</x:v>
      </x:c>
      <x:c r="O123" s="10" t="str">
        <x:v>DATA_REQUIRED</x:v>
      </x:c>
      <x:c r="P123" s="10" t="str"/>
      <x:c r="Q123" s="10" t="str"/>
      <x:c r="R123" s="10" t="n">
        <x:v>0</x:v>
      </x:c>
      <x:c r="S123" s="10" t="str"/>
      <x:c r="T123" s="10" t="str"/>
      <x:c r="U123" s="10" t="str">
        <x:v>NOT_REQUESTED</x:v>
      </x:c>
      <x:c r="V123" s="10" t="str"/>
      <x:c r="W123" s="10" t="str">
        <x:v>V-I-096</x:v>
      </x:c>
      <x:c r="X123" s="10" t="str">
        <x:v>Центр инвестиций</x:v>
      </x:c>
      <x:c r="Y123" s="10" t="str">
        <x:v>APPROVED_STRUCTURE</x:v>
      </x:c>
      <x:c r="Z123" s="10" t="str"/>
    </x:row>
    <x:row r="124" ht="30" customHeight="1">
      <x:c r="A124" s="10" t="str">
        <x:v>CAPEX.TBL.005</x:v>
      </x:c>
      <x:c r="B124" s="10" t="str"/>
      <x:c r="C124" s="10" t="str">
        <x:v>TBL-05</x:v>
      </x:c>
      <x:c r="D124" s="10" t="str">
        <x:v>Физический складской запас на бой</x:v>
      </x:c>
      <x:c r="E124" s="10" t="str">
        <x:v>CAPEX</x:v>
      </x:c>
      <x:c r="F124" s="10" t="str">
        <x:v>Посуда</x:v>
      </x:c>
      <x:c r="G124" s="10" t="n">
        <x:v>1</x:v>
      </x:c>
      <x:c r="H124" s="10" t="str">
        <x:v>комплект</x:v>
      </x:c>
      <x:c r="I124" s="10" t="str">
        <x:v>По артикульной матрице</x:v>
      </x:c>
      <x:c r="J124" s="10" t="str">
        <x:v>по сервировке</x:v>
      </x:c>
      <x:c r="K124" s="10" t="str">
        <x:v>—</x:v>
      </x:c>
      <x:c r="L124" s="10" t="str">
        <x:v>хранение</x:v>
      </x:c>
      <x:c r="M124" s="10" t="str">
        <x:v>SHARED</x:v>
      </x:c>
      <x:c r="N124" s="10" t="str">
        <x:v>D08_COVERS</x:v>
      </x:c>
      <x:c r="O124" s="10" t="str">
        <x:v>DATA_REQUIRED</x:v>
      </x:c>
      <x:c r="P124" s="10" t="str"/>
      <x:c r="Q124" s="10" t="str"/>
      <x:c r="R124" s="10" t="n">
        <x:v>0</x:v>
      </x:c>
      <x:c r="S124" s="10" t="str"/>
      <x:c r="T124" s="10" t="str"/>
      <x:c r="U124" s="10" t="str">
        <x:v>NOT_REQUESTED</x:v>
      </x:c>
      <x:c r="V124" s="10" t="str"/>
      <x:c r="W124" s="10" t="str">
        <x:v>V-I-083</x:v>
      </x:c>
      <x:c r="X124" s="10" t="str">
        <x:v>Центр инвестиций</x:v>
      </x:c>
      <x:c r="Y124" s="10" t="str">
        <x:v>APPROVED_STRUCTURE</x:v>
      </x:c>
      <x:c r="Z124" s="10" t="str"/>
    </x:row>
    <x:row r="125" ht="30" customHeight="1">
      <x:c r="A125" s="10" t="str">
        <x:v>CAPEX.IT.001</x:v>
      </x:c>
      <x:c r="B125" s="10" t="str"/>
      <x:c r="C125" s="10" t="str">
        <x:v>IT-01</x:v>
      </x:c>
      <x:c r="D125" s="10" t="str">
        <x:v>POS и ККТ</x:v>
      </x:c>
      <x:c r="E125" s="10" t="str">
        <x:v>CAPEX</x:v>
      </x:c>
      <x:c r="F125" s="10" t="str">
        <x:v>IT и безопасность</x:v>
      </x:c>
      <x:c r="G125" s="10" t="n">
        <x:v>1</x:v>
      </x:c>
      <x:c r="H125" s="10" t="str">
        <x:v>комплект</x:v>
      </x:c>
      <x:c r="I125" s="10" t="str">
        <x:v>Аналитика по каналам</x:v>
      </x:c>
      <x:c r="J125" s="10" t="str">
        <x:v>по проекту</x:v>
      </x:c>
      <x:c r="K125" s="10" t="str">
        <x:v>E1/LAN</x:v>
      </x:c>
      <x:c r="L125" s="10" t="str">
        <x:v>по проекту</x:v>
      </x:c>
      <x:c r="M125" s="10" t="str">
        <x:v>SHARED</x:v>
      </x:c>
      <x:c r="N125" s="10" t="str">
        <x:v>D09_TRANSACTIONS</x:v>
      </x:c>
      <x:c r="O125" s="10" t="str">
        <x:v>MANDATORY</x:v>
      </x:c>
      <x:c r="P125" s="10" t="str"/>
      <x:c r="Q125" s="10" t="str">
        <x:v>1</x:v>
      </x:c>
      <x:c r="R125" s="10" t="n">
        <x:v>0</x:v>
      </x:c>
      <x:c r="S125" s="10" t="str"/>
      <x:c r="T125" s="10" t="str"/>
      <x:c r="U125" s="10" t="str">
        <x:v>NOT_REQUESTED</x:v>
      </x:c>
      <x:c r="V125" s="10" t="str">
        <x:v>APPROVED_SESSION_2026-07-28</x:v>
      </x:c>
      <x:c r="W125" s="10" t="str"/>
      <x:c r="X125" s="10" t="str">
        <x:v>Центр инвестиций</x:v>
      </x:c>
      <x:c r="Y125" s="10" t="str">
        <x:v>APPROVED_STRUCTURE</x:v>
      </x:c>
      <x:c r="Z125" s="10" t="str"/>
    </x:row>
    <x:row r="126" ht="30" customHeight="1">
      <x:c r="A126" s="10" t="str">
        <x:v>CAPEX.IT.002</x:v>
      </x:c>
      <x:c r="B126" s="10" t="str"/>
      <x:c r="C126" s="10" t="str">
        <x:v>IT-02</x:v>
      </x:c>
      <x:c r="D126" s="10" t="str">
        <x:v>Сетевое оборудование</x:v>
      </x:c>
      <x:c r="E126" s="10" t="str">
        <x:v>CAPEX</x:v>
      </x:c>
      <x:c r="F126" s="10" t="str">
        <x:v>IT и безопасность</x:v>
      </x:c>
      <x:c r="G126" s="10" t="n">
        <x:v>1</x:v>
      </x:c>
      <x:c r="H126" s="10" t="str">
        <x:v>комплект</x:v>
      </x:c>
      <x:c r="I126" s="10" t="str">
        <x:v>KDS, POS, резервирование</x:v>
      </x:c>
      <x:c r="J126" s="10" t="str">
        <x:v>по проекту</x:v>
      </x:c>
      <x:c r="K126" s="10" t="str">
        <x:v>E1/LAN</x:v>
      </x:c>
      <x:c r="L126" s="10" t="str">
        <x:v>по проекту</x:v>
      </x:c>
      <x:c r="M126" s="10" t="str">
        <x:v>SHARED</x:v>
      </x:c>
      <x:c r="N126" s="10" t="str">
        <x:v>D09_TRANSACTIONS</x:v>
      </x:c>
      <x:c r="O126" s="10" t="str">
        <x:v>MANDATORY</x:v>
      </x:c>
      <x:c r="P126" s="10" t="str"/>
      <x:c r="Q126" s="10" t="str">
        <x:v>1</x:v>
      </x:c>
      <x:c r="R126" s="10" t="n">
        <x:v>0</x:v>
      </x:c>
      <x:c r="S126" s="10" t="str"/>
      <x:c r="T126" s="10" t="str"/>
      <x:c r="U126" s="10" t="str">
        <x:v>NOT_REQUESTED</x:v>
      </x:c>
      <x:c r="V126" s="10" t="str">
        <x:v>APPROVED_SESSION_2026-07-28</x:v>
      </x:c>
      <x:c r="W126" s="10" t="str"/>
      <x:c r="X126" s="10" t="str">
        <x:v>Центр инвестиций</x:v>
      </x:c>
      <x:c r="Y126" s="10" t="str">
        <x:v>APPROVED_STRUCTURE</x:v>
      </x:c>
      <x:c r="Z126" s="10" t="str"/>
    </x:row>
    <x:row r="127" ht="30" customHeight="1">
      <x:c r="A127" s="10" t="str">
        <x:v>CAPEX.IT.003</x:v>
      </x:c>
      <x:c r="B127" s="10" t="str"/>
      <x:c r="C127" s="10" t="str">
        <x:v>IT-03</x:v>
      </x:c>
      <x:c r="D127" s="10" t="str">
        <x:v>Видеонаблюдение</x:v>
      </x:c>
      <x:c r="E127" s="10" t="str">
        <x:v>CAPEX</x:v>
      </x:c>
      <x:c r="F127" s="10" t="str">
        <x:v>IT и безопасность</x:v>
      </x:c>
      <x:c r="G127" s="10" t="n">
        <x:v>1</x:v>
      </x:c>
      <x:c r="H127" s="10" t="str">
        <x:v>система</x:v>
      </x:c>
      <x:c r="I127" s="10" t="str">
        <x:v>Критические зоны и кассы</x:v>
      </x:c>
      <x:c r="J127" s="10" t="str">
        <x:v>по проекту</x:v>
      </x:c>
      <x:c r="K127" s="10" t="str">
        <x:v>E1/LAN</x:v>
      </x:c>
      <x:c r="L127" s="10" t="str">
        <x:v>по проекту</x:v>
      </x:c>
      <x:c r="M127" s="10" t="str">
        <x:v>SHARED</x:v>
      </x:c>
      <x:c r="N127" s="10" t="str">
        <x:v>D02_AREA</x:v>
      </x:c>
      <x:c r="O127" s="10" t="str">
        <x:v>MANDATORY</x:v>
      </x:c>
      <x:c r="P127" s="10" t="str"/>
      <x:c r="Q127" s="10" t="str">
        <x:v>1</x:v>
      </x:c>
      <x:c r="R127" s="10" t="n">
        <x:v>0</x:v>
      </x:c>
      <x:c r="S127" s="10" t="str"/>
      <x:c r="T127" s="10" t="str"/>
      <x:c r="U127" s="10" t="str">
        <x:v>NOT_REQUESTED</x:v>
      </x:c>
      <x:c r="V127" s="10" t="str">
        <x:v>APPROVED_SESSION_2026-07-28</x:v>
      </x:c>
      <x:c r="W127" s="10" t="str"/>
      <x:c r="X127" s="10" t="str">
        <x:v>Центр инвестиций</x:v>
      </x:c>
      <x:c r="Y127" s="10" t="str">
        <x:v>APPROVED_STRUCTURE</x:v>
      </x:c>
      <x:c r="Z127" s="10" t="str"/>
    </x:row>
    <x:row r="128" ht="30" customHeight="1">
      <x:c r="A128" s="10" t="str">
        <x:v>CAPEX.IT.004</x:v>
      </x:c>
      <x:c r="B128" s="10" t="str"/>
      <x:c r="C128" s="10" t="str">
        <x:v>IT-04</x:v>
      </x:c>
      <x:c r="D128" s="10" t="str">
        <x:v>Контроль доступа</x:v>
      </x:c>
      <x:c r="E128" s="10" t="str">
        <x:v>CAPEX</x:v>
      </x:c>
      <x:c r="F128" s="10" t="str">
        <x:v>IT и безопасность</x:v>
      </x:c>
      <x:c r="G128" s="10" t="n">
        <x:v>1</x:v>
      </x:c>
      <x:c r="H128" s="10" t="str">
        <x:v>система</x:v>
      </x:c>
      <x:c r="I128" s="10" t="str">
        <x:v>По правовому режиму зон</x:v>
      </x:c>
      <x:c r="J128" s="10" t="str">
        <x:v>по проекту</x:v>
      </x:c>
      <x:c r="K128" s="10" t="str">
        <x:v>E1/LAN</x:v>
      </x:c>
      <x:c r="L128" s="10" t="str">
        <x:v>по проекту</x:v>
      </x:c>
      <x:c r="M128" s="10" t="str">
        <x:v>SHARED</x:v>
      </x:c>
      <x:c r="N128" s="10" t="str">
        <x:v>D02_AREA</x:v>
      </x:c>
      <x:c r="O128" s="10" t="str">
        <x:v>ENGINEERED</x:v>
      </x:c>
      <x:c r="P128" s="10" t="str"/>
      <x:c r="Q128" s="10" t="str">
        <x:v>1</x:v>
      </x:c>
      <x:c r="R128" s="10" t="n">
        <x:v>0</x:v>
      </x:c>
      <x:c r="S128" s="10" t="str"/>
      <x:c r="T128" s="10" t="str"/>
      <x:c r="U128" s="10" t="str">
        <x:v>NOT_REQUESTED</x:v>
      </x:c>
      <x:c r="V128" s="10" t="str">
        <x:v>APPROVED_SESSION_2026-07-28</x:v>
      </x:c>
      <x:c r="W128" s="10" t="str"/>
      <x:c r="X128" s="10" t="str">
        <x:v>Центр инвестиций</x:v>
      </x:c>
      <x:c r="Y128" s="10" t="str">
        <x:v>APPROVED_STRUCTURE</x:v>
      </x:c>
      <x:c r="Z128" s="10" t="str"/>
    </x:row>
    <x:row r="129" ht="30" customHeight="1">
      <x:c r="A129" s="10" t="str">
        <x:v>CAPEX.IT.005</x:v>
      </x:c>
      <x:c r="B129" s="10" t="str"/>
      <x:c r="C129" s="10" t="str">
        <x:v>IT-05</x:v>
      </x:c>
      <x:c r="D129" s="10" t="str">
        <x:v>Охранная и тревожная сигнализация</x:v>
      </x:c>
      <x:c r="E129" s="10" t="str">
        <x:v>CAPEX</x:v>
      </x:c>
      <x:c r="F129" s="10" t="str">
        <x:v>IT и безопасность</x:v>
      </x:c>
      <x:c r="G129" s="10" t="n">
        <x:v>1</x:v>
      </x:c>
      <x:c r="H129" s="10" t="str">
        <x:v>система</x:v>
      </x:c>
      <x:c r="I129" s="10" t="str">
        <x:v>По объекту</x:v>
      </x:c>
      <x:c r="J129" s="10" t="str">
        <x:v>по проекту</x:v>
      </x:c>
      <x:c r="K129" s="10" t="str">
        <x:v>E1/LAN</x:v>
      </x:c>
      <x:c r="L129" s="10" t="str">
        <x:v>по проекту</x:v>
      </x:c>
      <x:c r="M129" s="10" t="str">
        <x:v>SHARED</x:v>
      </x:c>
      <x:c r="N129" s="10" t="str">
        <x:v>D02_AREA</x:v>
      </x:c>
      <x:c r="O129" s="10" t="str">
        <x:v>MANDATORY</x:v>
      </x:c>
      <x:c r="P129" s="10" t="str"/>
      <x:c r="Q129" s="10" t="str">
        <x:v>1</x:v>
      </x:c>
      <x:c r="R129" s="10" t="n">
        <x:v>0</x:v>
      </x:c>
      <x:c r="S129" s="10" t="str"/>
      <x:c r="T129" s="10" t="str"/>
      <x:c r="U129" s="10" t="str">
        <x:v>NOT_REQUESTED</x:v>
      </x:c>
      <x:c r="V129" s="10" t="str">
        <x:v>APPROVED_SESSION_2026-07-28</x:v>
      </x:c>
      <x:c r="W129" s="10" t="str"/>
      <x:c r="X129" s="10" t="str">
        <x:v>Центр инвестиций</x:v>
      </x:c>
      <x:c r="Y129" s="10" t="str">
        <x:v>APPROVED_STRUCTURE</x:v>
      </x:c>
      <x:c r="Z129" s="10" t="str"/>
    </x:row>
    <x:row r="130" ht="30" customHeight="1">
      <x:c r="A130" s="10" t="str">
        <x:v>CAPEX.FUR.001</x:v>
      </x:c>
      <x:c r="B130" s="10" t="str"/>
      <x:c r="C130" s="10" t="str">
        <x:v>FUR-01</x:v>
      </x:c>
      <x:c r="D130" s="10" t="str">
        <x:v>Мебель зала КАФЕ</x:v>
      </x:c>
      <x:c r="E130" s="10" t="str">
        <x:v>CAPEX</x:v>
      </x:c>
      <x:c r="F130" s="10" t="str">
        <x:v>Мебель</x:v>
      </x:c>
      <x:c r="G130" s="10" t="n">
        <x:v>1</x:v>
      </x:c>
      <x:c r="H130" s="10" t="str">
        <x:v>комплект</x:v>
      </x:c>
      <x:c r="I130" s="10" t="str">
        <x:v>После утверждения 20/26 мест</x:v>
      </x:c>
      <x:c r="J130" s="10" t="str">
        <x:v>по планировке</x:v>
      </x:c>
      <x:c r="K130" s="10" t="str">
        <x:v>—</x:v>
      </x:c>
      <x:c r="L130" s="10" t="str">
        <x:v>проходы по проекту</x:v>
      </x:c>
      <x:c r="M130" s="10" t="str">
        <x:v>CAFE</x:v>
      </x:c>
      <x:c r="N130" s="10" t="str">
        <x:v>D01_DIRECT</x:v>
      </x:c>
      <x:c r="O130" s="10" t="str">
        <x:v>DATA_REQUIRED</x:v>
      </x:c>
      <x:c r="P130" s="10" t="str"/>
      <x:c r="Q130" s="10" t="str"/>
      <x:c r="R130" s="10" t="n">
        <x:v>0</x:v>
      </x:c>
      <x:c r="S130" s="10" t="str"/>
      <x:c r="T130" s="10" t="str"/>
      <x:c r="U130" s="10" t="str">
        <x:v>NOT_REQUESTED</x:v>
      </x:c>
      <x:c r="V130" s="10" t="str">
        <x:v>APPROVED_SESSION_2026-07-28</x:v>
      </x:c>
      <x:c r="W130" s="10" t="str"/>
      <x:c r="X130" s="10" t="str">
        <x:v>Центр инвестиций</x:v>
      </x:c>
      <x:c r="Y130" s="10" t="str">
        <x:v>APPROVED_STRUCTURE</x:v>
      </x:c>
      <x:c r="Z130" s="10" t="str"/>
    </x:row>
    <x:row r="131" ht="30" customHeight="1">
      <x:c r="A131" s="10" t="str">
        <x:v>CAPEX.FUR.002</x:v>
      </x:c>
      <x:c r="B131" s="10" t="str"/>
      <x:c r="C131" s="10" t="str">
        <x:v>FUR-02</x:v>
      </x:c>
      <x:c r="D131" s="10" t="str">
        <x:v>Мебель банкетной зоны</x:v>
      </x:c>
      <x:c r="E131" s="10" t="str">
        <x:v>CAPEX</x:v>
      </x:c>
      <x:c r="F131" s="10" t="str">
        <x:v>Мебель</x:v>
      </x:c>
      <x:c r="G131" s="10" t="n">
        <x:v>1</x:v>
      </x:c>
      <x:c r="H131" s="10" t="str">
        <x:v>комплект</x:v>
      </x:c>
      <x:c r="I131" s="10" t="str">
        <x:v>20 гостей; до 26 после проверки</x:v>
      </x:c>
      <x:c r="J131" s="10" t="str">
        <x:v>по планировке</x:v>
      </x:c>
      <x:c r="K131" s="10" t="str">
        <x:v>—</x:v>
      </x:c>
      <x:c r="L131" s="10" t="str">
        <x:v>банкетные маршруты</x:v>
      </x:c>
      <x:c r="M131" s="10" t="str">
        <x:v>BANQUETS</x:v>
      </x:c>
      <x:c r="N131" s="10" t="str">
        <x:v>D01_DIRECT</x:v>
      </x:c>
      <x:c r="O131" s="10" t="str">
        <x:v>DATA_REQUIRED</x:v>
      </x:c>
      <x:c r="P131" s="10" t="str"/>
      <x:c r="Q131" s="10" t="str"/>
      <x:c r="R131" s="10" t="n">
        <x:v>0</x:v>
      </x:c>
      <x:c r="S131" s="10" t="str"/>
      <x:c r="T131" s="10" t="str"/>
      <x:c r="U131" s="10" t="str">
        <x:v>NOT_REQUESTED</x:v>
      </x:c>
      <x:c r="V131" s="10" t="str">
        <x:v>APPROVED_SESSION_2026-07-28</x:v>
      </x:c>
      <x:c r="W131" s="10" t="str"/>
      <x:c r="X131" s="10" t="str">
        <x:v>Центр инвестиций</x:v>
      </x:c>
      <x:c r="Y131" s="10" t="str">
        <x:v>APPROVED_STRUCTURE</x:v>
      </x:c>
      <x:c r="Z131" s="10" t="str"/>
    </x:row>
    <x:row r="132" ht="30" customHeight="1">
      <x:c r="A132" s="10" t="str">
        <x:v>CAPEX.FUR.003</x:v>
      </x:c>
      <x:c r="B132" s="10" t="str"/>
      <x:c r="C132" s="10" t="str">
        <x:v>FUR-03</x:v>
      </x:c>
      <x:c r="D132" s="10" t="str">
        <x:v>Стойка и мебель бара</x:v>
      </x:c>
      <x:c r="E132" s="10" t="str">
        <x:v>CAPEX</x:v>
      </x:c>
      <x:c r="F132" s="10" t="str">
        <x:v>Мебель</x:v>
      </x:c>
      <x:c r="G132" s="10" t="n">
        <x:v>1</x:v>
      </x:c>
      <x:c r="H132" s="10" t="str">
        <x:v>комплект</x:v>
      </x:c>
      <x:c r="I132" s="10" t="str">
        <x:v>После барной программы</x:v>
      </x:c>
      <x:c r="J132" s="10" t="str">
        <x:v>по планировке</x:v>
      </x:c>
      <x:c r="K132" s="10" t="str">
        <x:v>E1/W/D</x:v>
      </x:c>
      <x:c r="L132" s="10" t="str">
        <x:v>по проекту</x:v>
      </x:c>
      <x:c r="M132" s="10" t="str">
        <x:v>BAR</x:v>
      </x:c>
      <x:c r="N132" s="10" t="str">
        <x:v>D01_DIRECT</x:v>
      </x:c>
      <x:c r="O132" s="10" t="str">
        <x:v>DATA_REQUIRED</x:v>
      </x:c>
      <x:c r="P132" s="10" t="str"/>
      <x:c r="Q132" s="10" t="str"/>
      <x:c r="R132" s="10" t="n">
        <x:v>0</x:v>
      </x:c>
      <x:c r="S132" s="10" t="str"/>
      <x:c r="T132" s="10" t="str"/>
      <x:c r="U132" s="10" t="str">
        <x:v>NOT_REQUESTED</x:v>
      </x:c>
      <x:c r="V132" s="10" t="str">
        <x:v>APPROVED_SESSION_2026-07-28</x:v>
      </x:c>
      <x:c r="W132" s="10" t="str"/>
      <x:c r="X132" s="10" t="str">
        <x:v>Центр инвестиций</x:v>
      </x:c>
      <x:c r="Y132" s="10" t="str">
        <x:v>APPROVED_STRUCTURE</x:v>
      </x:c>
      <x:c r="Z132" s="10" t="str"/>
    </x:row>
    <x:row r="133" ht="30" customHeight="1">
      <x:c r="A133" s="10" t="str">
        <x:v>CAPEX.FUR.004</x:v>
      </x:c>
      <x:c r="B133" s="10" t="str"/>
      <x:c r="C133" s="10" t="str">
        <x:v>FUR-04</x:v>
      </x:c>
      <x:c r="D133" s="10" t="str">
        <x:v>Служебная мебель</x:v>
      </x:c>
      <x:c r="E133" s="10" t="str">
        <x:v>CAPEX</x:v>
      </x:c>
      <x:c r="F133" s="10" t="str">
        <x:v>Мебель</x:v>
      </x:c>
      <x:c r="G133" s="10" t="n">
        <x:v>1</x:v>
      </x:c>
      <x:c r="H133" s="10" t="str">
        <x:v>комплект</x:v>
      </x:c>
      <x:c r="I133" s="10" t="str">
        <x:v>По штатной и складской потребности</x:v>
      </x:c>
      <x:c r="J133" s="10" t="str">
        <x:v>по планировке</x:v>
      </x:c>
      <x:c r="K133" s="10" t="str">
        <x:v>—</x:v>
      </x:c>
      <x:c r="L133" s="10" t="str">
        <x:v>проходы</x:v>
      </x:c>
      <x:c r="M133" s="10" t="str">
        <x:v>SHARED</x:v>
      </x:c>
      <x:c r="N133" s="10" t="str">
        <x:v>D02_AREA</x:v>
      </x:c>
      <x:c r="O133" s="10" t="str">
        <x:v>DATA_REQUIRED</x:v>
      </x:c>
      <x:c r="P133" s="10" t="str"/>
      <x:c r="Q133" s="10" t="str"/>
      <x:c r="R133" s="10" t="n">
        <x:v>0</x:v>
      </x:c>
      <x:c r="S133" s="10" t="str"/>
      <x:c r="T133" s="10" t="str"/>
      <x:c r="U133" s="10" t="str">
        <x:v>NOT_REQUESTED</x:v>
      </x:c>
      <x:c r="V133" s="10" t="str">
        <x:v>APPROVED_SESSION_2026-07-28</x:v>
      </x:c>
      <x:c r="W133" s="10" t="str"/>
      <x:c r="X133" s="10" t="str">
        <x:v>Центр инвестиций</x:v>
      </x:c>
      <x:c r="Y133" s="10" t="str">
        <x:v>APPROVED_STRUCTURE</x:v>
      </x:c>
      <x:c r="Z133" s="10" t="str"/>
    </x:row>
    <x:row r="134" ht="30" customHeight="1">
      <x:c r="A134" s="10" t="str">
        <x:v>CAPEX.COM.001</x:v>
      </x:c>
      <x:c r="B134" s="10" t="str"/>
      <x:c r="C134" s="10" t="str">
        <x:v>COM-01</x:v>
      </x:c>
      <x:c r="D134" s="10" t="str">
        <x:v>Доставка и подъём оборудования</x:v>
      </x:c>
      <x:c r="E134" s="10" t="str">
        <x:v>CAPEX</x:v>
      </x:c>
      <x:c r="F134" s="10" t="str">
        <x:v>Ввод в эксплуатацию</x:v>
      </x:c>
      <x:c r="G134" s="10" t="n">
        <x:v>1</x:v>
      </x:c>
      <x:c r="H134" s="10" t="str">
        <x:v>комплект</x:v>
      </x:c>
      <x:c r="I134" s="10" t="str">
        <x:v>По всем поставкам</x:v>
      </x:c>
      <x:c r="J134" s="10" t="str">
        <x:v>—</x:v>
      </x:c>
      <x:c r="K134" s="10" t="str">
        <x:v>—</x:v>
      </x:c>
      <x:c r="L134" s="10" t="str">
        <x:v>—</x:v>
      </x:c>
      <x:c r="M134" s="10" t="str">
        <x:v>SHARED</x:v>
      </x:c>
      <x:c r="N134" s="10" t="str">
        <x:v>D13_DIRECT_COST</x:v>
      </x:c>
      <x:c r="O134" s="10" t="str">
        <x:v>MANDATORY</x:v>
      </x:c>
      <x:c r="P134" s="10" t="str"/>
      <x:c r="Q134" s="10" t="str">
        <x:v>1</x:v>
      </x:c>
      <x:c r="R134" s="10" t="n">
        <x:v>0</x:v>
      </x:c>
      <x:c r="S134" s="10" t="str"/>
      <x:c r="T134" s="10" t="str"/>
      <x:c r="U134" s="10" t="str">
        <x:v>NOT_REQUESTED</x:v>
      </x:c>
      <x:c r="V134" s="10" t="str">
        <x:v>APPROVED_SESSION_2026-07-28</x:v>
      </x:c>
      <x:c r="W134" s="10" t="str"/>
      <x:c r="X134" s="10" t="str">
        <x:v>Центр инвестиций</x:v>
      </x:c>
      <x:c r="Y134" s="10" t="str">
        <x:v>APPROVED_STRUCTURE</x:v>
      </x:c>
      <x:c r="Z134" s="10" t="str"/>
    </x:row>
    <x:row r="135" ht="30" customHeight="1">
      <x:c r="A135" s="10" t="str">
        <x:v>CAPEX.COM.002</x:v>
      </x:c>
      <x:c r="B135" s="10" t="str"/>
      <x:c r="C135" s="10" t="str">
        <x:v>COM-02</x:v>
      </x:c>
      <x:c r="D135" s="10" t="str">
        <x:v>Монтаж и подключения</x:v>
      </x:c>
      <x:c r="E135" s="10" t="str">
        <x:v>CAPEX</x:v>
      </x:c>
      <x:c r="F135" s="10" t="str">
        <x:v>Ввод в эксплуатацию</x:v>
      </x:c>
      <x:c r="G135" s="10" t="n">
        <x:v>1</x:v>
      </x:c>
      <x:c r="H135" s="10" t="str">
        <x:v>комплект</x:v>
      </x:c>
      <x:c r="I135" s="10" t="str">
        <x:v>По паспортам</x:v>
      </x:c>
      <x:c r="J135" s="10" t="str">
        <x:v>—</x:v>
      </x:c>
      <x:c r="K135" s="10" t="str">
        <x:v>все требуемые</x:v>
      </x:c>
      <x:c r="L135" s="10" t="str">
        <x:v>—</x:v>
      </x:c>
      <x:c r="M135" s="10" t="str">
        <x:v>SHARED</x:v>
      </x:c>
      <x:c r="N135" s="10" t="str">
        <x:v>D13_DIRECT_COST</x:v>
      </x:c>
      <x:c r="O135" s="10" t="str">
        <x:v>MANDATORY</x:v>
      </x:c>
      <x:c r="P135" s="10" t="str"/>
      <x:c r="Q135" s="10" t="str">
        <x:v>1</x:v>
      </x:c>
      <x:c r="R135" s="10" t="n">
        <x:v>0</x:v>
      </x:c>
      <x:c r="S135" s="10" t="str"/>
      <x:c r="T135" s="10" t="str"/>
      <x:c r="U135" s="10" t="str">
        <x:v>NOT_REQUESTED</x:v>
      </x:c>
      <x:c r="V135" s="10" t="str">
        <x:v>APPROVED_SESSION_2026-07-28</x:v>
      </x:c>
      <x:c r="W135" s="10" t="str"/>
      <x:c r="X135" s="10" t="str">
        <x:v>Центр инвестиций</x:v>
      </x:c>
      <x:c r="Y135" s="10" t="str">
        <x:v>APPROVED_STRUCTURE</x:v>
      </x:c>
      <x:c r="Z135" s="10" t="str"/>
    </x:row>
    <x:row r="136" ht="30" customHeight="1">
      <x:c r="A136" s="10" t="str">
        <x:v>CAPEX.COM.003</x:v>
      </x:c>
      <x:c r="B136" s="10" t="str"/>
      <x:c r="C136" s="10" t="str">
        <x:v>COM-03</x:v>
      </x:c>
      <x:c r="D136" s="10" t="str">
        <x:v>Пусконаладка</x:v>
      </x:c>
      <x:c r="E136" s="10" t="str">
        <x:v>CAPEX</x:v>
      </x:c>
      <x:c r="F136" s="10" t="str">
        <x:v>Ввод в эксплуатацию</x:v>
      </x:c>
      <x:c r="G136" s="10" t="n">
        <x:v>1</x:v>
      </x:c>
      <x:c r="H136" s="10" t="str">
        <x:v>комплект</x:v>
      </x:c>
      <x:c r="I136" s="10" t="str">
        <x:v>С актами</x:v>
      </x:c>
      <x:c r="J136" s="10" t="str">
        <x:v>—</x:v>
      </x:c>
      <x:c r="K136" s="10" t="str">
        <x:v>—</x:v>
      </x:c>
      <x:c r="L136" s="10" t="str">
        <x:v>—</x:v>
      </x:c>
      <x:c r="M136" s="10" t="str">
        <x:v>SHARED</x:v>
      </x:c>
      <x:c r="N136" s="10" t="str">
        <x:v>D13_DIRECT_COST</x:v>
      </x:c>
      <x:c r="O136" s="10" t="str">
        <x:v>MANDATORY</x:v>
      </x:c>
      <x:c r="P136" s="10" t="str"/>
      <x:c r="Q136" s="10" t="str">
        <x:v>1</x:v>
      </x:c>
      <x:c r="R136" s="10" t="n">
        <x:v>0</x:v>
      </x:c>
      <x:c r="S136" s="10" t="str"/>
      <x:c r="T136" s="10" t="str"/>
      <x:c r="U136" s="10" t="str">
        <x:v>NOT_REQUESTED</x:v>
      </x:c>
      <x:c r="V136" s="10" t="str">
        <x:v>APPROVED_SESSION_2026-07-28</x:v>
      </x:c>
      <x:c r="W136" s="10" t="str"/>
      <x:c r="X136" s="10" t="str">
        <x:v>Центр инвестиций</x:v>
      </x:c>
      <x:c r="Y136" s="10" t="str">
        <x:v>APPROVED_STRUCTURE</x:v>
      </x:c>
      <x:c r="Z136" s="10" t="str"/>
    </x:row>
    <x:row r="137" ht="30" customHeight="1">
      <x:c r="A137" s="10" t="str">
        <x:v>CAPEX.COM.004</x:v>
      </x:c>
      <x:c r="B137" s="10" t="str"/>
      <x:c r="C137" s="10" t="str">
        <x:v>COM-04</x:v>
      </x:c>
      <x:c r="D137" s="10" t="str">
        <x:v>Обучение работе с оборудованием</x:v>
      </x:c>
      <x:c r="E137" s="10" t="str">
        <x:v>CAPEX</x:v>
      </x:c>
      <x:c r="F137" s="10" t="str">
        <x:v>Ввод в эксплуатацию</x:v>
      </x:c>
      <x:c r="G137" s="10" t="n">
        <x:v>1</x:v>
      </x:c>
      <x:c r="H137" s="10" t="str">
        <x:v>комплект</x:v>
      </x:c>
      <x:c r="I137" s="10" t="str">
        <x:v>По ключевым единицам</x:v>
      </x:c>
      <x:c r="J137" s="10" t="str">
        <x:v>—</x:v>
      </x:c>
      <x:c r="K137" s="10" t="str">
        <x:v>—</x:v>
      </x:c>
      <x:c r="L137" s="10" t="str">
        <x:v>—</x:v>
      </x:c>
      <x:c r="M137" s="10" t="str">
        <x:v>SHARED</x:v>
      </x:c>
      <x:c r="N137" s="10" t="str">
        <x:v>D10_LABOR_HOURS</x:v>
      </x:c>
      <x:c r="O137" s="10" t="str">
        <x:v>MANDATORY</x:v>
      </x:c>
      <x:c r="P137" s="10" t="str"/>
      <x:c r="Q137" s="10" t="str">
        <x:v>1</x:v>
      </x:c>
      <x:c r="R137" s="10" t="n">
        <x:v>0</x:v>
      </x:c>
      <x:c r="S137" s="10" t="str"/>
      <x:c r="T137" s="10" t="str"/>
      <x:c r="U137" s="10" t="str">
        <x:v>NOT_REQUESTED</x:v>
      </x:c>
      <x:c r="V137" s="10" t="str">
        <x:v>APPROVED_SESSION_2026-07-28</x:v>
      </x:c>
      <x:c r="W137" s="10" t="str"/>
      <x:c r="X137" s="10" t="str">
        <x:v>Центр инвестиций</x:v>
      </x:c>
      <x:c r="Y137" s="10" t="str">
        <x:v>APPROVED_STRUCTURE</x:v>
      </x:c>
      <x:c r="Z137" s="10" t="str"/>
    </x:row>
    <x:row r="138" ht="30" customHeight="1">
      <x:c r="A138" s="11" t="str">
        <x:v>CAPEX.COM.005</x:v>
      </x:c>
      <x:c r="B138" s="11" t="str"/>
      <x:c r="C138" s="11" t="str">
        <x:v>COM-05</x:v>
      </x:c>
      <x:c r="D138" s="11" t="str">
        <x:v>Стартовый комплект запасных частей</x:v>
      </x:c>
      <x:c r="E138" s="11" t="str">
        <x:v>CAPEX</x:v>
      </x:c>
      <x:c r="F138" s="11" t="str">
        <x:v>Ввод в эксплуатацию</x:v>
      </x:c>
      <x:c r="G138" s="11" t="n">
        <x:v>1</x:v>
      </x:c>
      <x:c r="H138" s="11" t="str">
        <x:v>комплект</x:v>
      </x:c>
      <x:c r="I138" s="11" t="str">
        <x:v>По рекомендации производителя</x:v>
      </x:c>
      <x:c r="J138" s="11" t="str">
        <x:v>—</x:v>
      </x:c>
      <x:c r="K138" s="11" t="str">
        <x:v>—</x:v>
      </x:c>
      <x:c r="L138" s="11" t="str">
        <x:v>—</x:v>
      </x:c>
      <x:c r="M138" s="11" t="str">
        <x:v>SHARED</x:v>
      </x:c>
      <x:c r="N138" s="11" t="str">
        <x:v>D04_MACHINE_HOURS</x:v>
      </x:c>
      <x:c r="O138" s="11" t="str">
        <x:v>CONDITIONAL</x:v>
      </x:c>
      <x:c r="P138" s="11" t="str">
        <x:v>GATE-COM-05</x:v>
      </x:c>
      <x:c r="Q138" s="11" t="n">
        <x:v>0</x:v>
      </x:c>
      <x:c r="R138" s="11" t="n">
        <x:v>1</x:v>
      </x:c>
      <x:c r="S138" s="11" t="str"/>
      <x:c r="T138" s="11" t="str"/>
      <x:c r="U138" s="11" t="str">
        <x:v>NOT_REQUESTED</x:v>
      </x:c>
      <x:c r="V138" s="11" t="str">
        <x:v>APPROVED_SESSION_2026-07-28</x:v>
      </x:c>
      <x:c r="W138" s="11" t="str"/>
      <x:c r="X138" s="11" t="str">
        <x:v>Центр инвестиций</x:v>
      </x:c>
      <x:c r="Y138" s="11" t="str">
        <x:v>APPROVED_STRUCTURE</x:v>
      </x:c>
      <x:c r="Z138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1.899999618530273" hidden="0" customWidth="1"/>
    <x:col min="5" max="5" width="11.899999618530273" hidden="0" customWidth="1"/>
    <x:col min="6" max="6" width="11.050000190734863" hidden="0" customWidth="1"/>
    <x:col min="7" max="7" width="11" hidden="0" customWidth="1"/>
    <x:col min="8" max="8" width="15.300000190734863" hidden="0" customWidth="1"/>
    <x:col min="9" max="9" width="17" hidden="0" customWidth="1"/>
    <x:col min="10" max="10" width="18" hidden="0" customWidth="1"/>
    <x:col min="11" max="11" width="11" hidden="0" customWidth="1"/>
    <x:col min="12" max="12" width="11" hidden="0" customWidth="1"/>
    <x:col min="13" max="13" width="11" hidden="0" customWidth="1"/>
    <x:col min="14" max="14" width="13" hidden="0" customWidth="1"/>
    <x:col min="15" max="15" width="11.050000190734863" hidden="0" customWidth="1"/>
    <x:col min="16" max="16" width="13" hidden="0" customWidth="1"/>
  </x:cols>
  <x:sheetData>
    <x:row r="1" ht="34" customHeight="1">
      <x:c r="A1" s="9" t="str">
        <x:v>GATE_ID</x:v>
      </x:c>
      <x:c r="B1" s="9" t="str">
        <x:v>INV_CODE</x:v>
      </x:c>
      <x:c r="C1" s="9" t="str">
        <x:v>CURRENT_FUNC_CODE</x:v>
      </x:c>
      <x:c r="D1" s="9" t="str">
        <x:v>EQUIPMENT_NAME</x:v>
      </x:c>
      <x:c r="E1" s="9" t="str">
        <x:v>CURRENT_STATUS</x:v>
      </x:c>
      <x:c r="F1" s="9" t="str">
        <x:v>TEST_OR_EVENT</x:v>
      </x:c>
      <x:c r="G1" s="9" t="str">
        <x:v>TEST_VOLUME</x:v>
      </x:c>
      <x:c r="H1" s="9" t="str">
        <x:v>MEASURED_PARAMETER</x:v>
      </x:c>
      <x:c r="I1" s="9" t="str">
        <x:v>ACTIVATION_THRESHOLD</x:v>
      </x:c>
      <x:c r="J1" s="9" t="str">
        <x:v>EVIDENCE_DOCUMENT</x:v>
      </x:c>
      <x:c r="K1" s="9" t="str">
        <x:v>RESPONSIBLE</x:v>
      </x:c>
      <x:c r="L1" s="9" t="str">
        <x:v>APPROVER</x:v>
      </x:c>
      <x:c r="M1" s="9" t="str">
        <x:v>DECISION</x:v>
      </x:c>
      <x:c r="N1" s="9" t="str">
        <x:v>DECISION_DATE</x:v>
      </x:c>
      <x:c r="O1" s="9" t="str">
        <x:v>RESULTING_QTY</x:v>
      </x:c>
      <x:c r="P1" s="9" t="str">
        <x:v>MODEL_UPDATE_REQUIRED</x:v>
      </x:c>
    </x:row>
    <x:row r="2" ht="30" customHeight="1">
      <x:c r="A2" s="10" t="str">
        <x:v>GATE-HOT-04</x:v>
      </x:c>
      <x:c r="B2" s="10" t="str">
        <x:v>CAPEX.HOT.004</x:v>
      </x:c>
      <x:c r="C2" s="10" t="str">
        <x:v>HOT-04</x:v>
      </x:c>
      <x:c r="D2" s="10" t="str">
        <x:v>Второй WOK</x:v>
      </x:c>
      <x:c r="E2" s="10" t="str">
        <x:v>CONDITIONAL</x:v>
      </x:c>
      <x:c r="F2" s="10" t="str">
        <x:v>Стресс-тест гарниров</x:v>
      </x:c>
      <x:c r="G2" s="10" t="str">
        <x:v>Пиковый час</x:v>
      </x:c>
      <x:c r="H2" s="10" t="str">
        <x:v>Порции/час и ожидание</x:v>
      </x:c>
      <x:c r="I2" s="10" t="str">
        <x:v>&gt;5 порций/час или ожидание &gt;5 минут</x:v>
      </x:c>
      <x:c r="J2" s="10" t="str">
        <x:v>Протокол стресс-теста</x:v>
      </x:c>
      <x:c r="K2" s="10" t="str">
        <x:v>Кухня</x:v>
      </x:c>
      <x:c r="L2" s="10" t="str">
        <x:v>Центр инвестиций</x:v>
      </x:c>
      <x:c r="M2" s="10" t="str"/>
      <x:c r="N2" s="10" t="str"/>
      <x:c r="O2" s="10" t="str">
        <x:v>0</x:v>
      </x:c>
      <x:c r="P2" s="10" t="str">
        <x:v>YES</x:v>
      </x:c>
    </x:row>
    <x:row r="3" ht="30" customHeight="1">
      <x:c r="A3" s="10" t="str">
        <x:v>GATE-HOT-10</x:v>
      </x:c>
      <x:c r="B3" s="10" t="str">
        <x:v>CAPEX.HOT.011</x:v>
      </x:c>
      <x:c r="C3" s="10" t="str">
        <x:v>HOT-10</x:v>
      </x:c>
      <x:c r="D3" s="10" t="str">
        <x:v>Увеличенный blast chiller</x:v>
      </x:c>
      <x:c r="E3" s="10" t="str">
        <x:v>CONDITIONAL</x:v>
      </x:c>
      <x:c r="F3" s="10" t="str">
        <x:v>Совмещённый банкетный тест</x:v>
      </x:c>
      <x:c r="G3" s="10" t="str">
        <x:v>Полная партия</x:v>
      </x:c>
      <x:c r="H3" s="10" t="str">
        <x:v>Масса за безопасный цикл</x:v>
      </x:c>
      <x:c r="I3" s="10" t="str">
        <x:v>Базовые 10 кг не проходят одним циклом</x:v>
      </x:c>
      <x:c r="J3" s="10" t="str">
        <x:v>Протокол охлаждения</x:v>
      </x:c>
      <x:c r="K3" s="10" t="str">
        <x:v>Кухня / ППК</x:v>
      </x:c>
      <x:c r="L3" s="10" t="str">
        <x:v>Центр инвестиций</x:v>
      </x:c>
      <x:c r="M3" s="10" t="str"/>
      <x:c r="N3" s="10" t="str"/>
      <x:c r="O3" s="10" t="str">
        <x:v>0</x:v>
      </x:c>
      <x:c r="P3" s="10" t="str">
        <x:v>YES</x:v>
      </x:c>
    </x:row>
    <x:row r="4" ht="30" customHeight="1">
      <x:c r="A4" s="10" t="str">
        <x:v>GATE-HOT-11</x:v>
      </x:c>
      <x:c r="B4" s="10" t="str">
        <x:v>CAPEX.HOT.012</x:v>
      </x:c>
      <x:c r="C4" s="10" t="str">
        <x:v>HOT-11</x:v>
      </x:c>
      <x:c r="D4" s="10" t="str">
        <x:v>Третья тепловая камера</x:v>
      </x:c>
      <x:c r="E4" s="10" t="str">
        <x:v>CONDITIONAL</x:v>
      </x:c>
      <x:c r="F4" s="10" t="str">
        <x:v>Совмещённый банкет</x:v>
      </x:c>
      <x:c r="G4" s="10" t="str">
        <x:v>21 горячая тарелка</x:v>
      </x:c>
      <x:c r="H4" s="10" t="str">
        <x:v>Время и конфликт режимов</x:v>
      </x:c>
      <x:c r="I4" s="10" t="str">
        <x:v>Две камеры не обеспечивают 21 тарелку за 10–15 минут</x:v>
      </x:c>
      <x:c r="J4" s="10" t="str">
        <x:v>Протокол банкета</x:v>
      </x:c>
      <x:c r="K4" s="10" t="str">
        <x:v>Кухня / Инженерия</x:v>
      </x:c>
      <x:c r="L4" s="10" t="str">
        <x:v>Центр инвестиций</x:v>
      </x:c>
      <x:c r="M4" s="10" t="str"/>
      <x:c r="N4" s="10" t="str"/>
      <x:c r="O4" s="10" t="str">
        <x:v>0</x:v>
      </x:c>
      <x:c r="P4" s="10" t="str">
        <x:v>YES</x:v>
      </x:c>
    </x:row>
    <x:row r="5" ht="30" customHeight="1">
      <x:c r="A5" s="10" t="str">
        <x:v>GATE-BAK-08</x:v>
      </x:c>
      <x:c r="B5" s="10" t="str">
        <x:v>CAPEX.BAK.008</x:v>
      </x:c>
      <x:c r="C5" s="10" t="str">
        <x:v>BAK-08</x:v>
      </x:c>
      <x:c r="D5" s="10" t="str">
        <x:v>Вторая пекарская печь</x:v>
      </x:c>
      <x:c r="E5" s="10" t="str">
        <x:v>CONDITIONAL</x:v>
      </x:c>
      <x:c r="F5" s="10" t="str">
        <x:v>Суточная диаграмма загрузки</x:v>
      </x:c>
      <x:c r="G5" s="10" t="str">
        <x:v>Пиковый день + банкет</x:v>
      </x:c>
      <x:c r="H5" s="10" t="str">
        <x:v>Доступные печные окна</x:v>
      </x:c>
      <x:c r="I5" s="10" t="str">
        <x:v>Обязательные партии не помещаются в окна</x:v>
      </x:c>
      <x:c r="J5" s="10" t="str">
        <x:v>Диаграмма и протокол</x:v>
      </x:c>
      <x:c r="K5" s="10" t="str">
        <x:v>Кухня</x:v>
      </x:c>
      <x:c r="L5" s="10" t="str">
        <x:v>Центр инвестиций</x:v>
      </x:c>
      <x:c r="M5" s="10" t="str"/>
      <x:c r="N5" s="10" t="str"/>
      <x:c r="O5" s="10" t="str">
        <x:v>0</x:v>
      </x:c>
      <x:c r="P5" s="10" t="str">
        <x:v>YES</x:v>
      </x:c>
    </x:row>
    <x:row r="6" ht="30" customHeight="1">
      <x:c r="A6" s="10" t="str">
        <x:v>GATE-BAK-09</x:v>
      </x:c>
      <x:c r="B6" s="10" t="str">
        <x:v>CAPEX.BAK.009</x:v>
      </x:c>
      <x:c r="C6" s="10" t="str">
        <x:v>BAK-09</x:v>
      </x:c>
      <x:c r="D6" s="10" t="str">
        <x:v>Тестораскатка</x:v>
      </x:c>
      <x:c r="E6" s="10" t="str">
        <x:v>CONDITIONAL</x:v>
      </x:c>
      <x:c r="F6" s="10" t="str">
        <x:v>Три контрольные серии</x:v>
      </x:c>
      <x:c r="G6" s="10" t="str">
        <x:v>Утверждённые партии</x:v>
      </x:c>
      <x:c r="H6" s="10" t="str">
        <x:v>Человеко-минуты</x:v>
      </x:c>
      <x:c r="I6" s="10" t="str">
        <x:v>Ручная операция нарушает график или лимит труда</x:v>
      </x:c>
      <x:c r="J6" s="10" t="str">
        <x:v>Хронометраж</x:v>
      </x:c>
      <x:c r="K6" s="10" t="str">
        <x:v>Кухня / HR</x:v>
      </x:c>
      <x:c r="L6" s="10" t="str">
        <x:v>Центр инвестиций</x:v>
      </x:c>
      <x:c r="M6" s="10" t="str"/>
      <x:c r="N6" s="10" t="str"/>
      <x:c r="O6" s="10" t="str">
        <x:v>0</x:v>
      </x:c>
      <x:c r="P6" s="10" t="str">
        <x:v>YES</x:v>
      </x:c>
    </x:row>
    <x:row r="7" ht="30" customHeight="1">
      <x:c r="A7" s="10" t="str">
        <x:v>GATE-CLD-08</x:v>
      </x:c>
      <x:c r="B7" s="10" t="str">
        <x:v>CAPEX.CLD.008</x:v>
      </x:c>
      <x:c r="C7" s="10" t="str">
        <x:v>CLD-08</x:v>
      </x:c>
      <x:c r="D7" s="10" t="str">
        <x:v>Слайсер</x:v>
      </x:c>
      <x:c r="E7" s="10" t="str">
        <x:v>CONDITIONAL</x:v>
      </x:c>
      <x:c r="F7" s="10" t="str">
        <x:v>Хронометраж подготовки</x:v>
      </x:c>
      <x:c r="G7" s="10" t="str">
        <x:v>КАФЕ + банкет</x:v>
      </x:c>
      <x:c r="H7" s="10" t="str">
        <x:v>Человеко-минуты</x:v>
      </x:c>
      <x:c r="I7" s="10" t="str">
        <x:v>Ручная нарезка не помещается в Т−1/смену</x:v>
      </x:c>
      <x:c r="J7" s="10" t="str">
        <x:v>Хронометраж</x:v>
      </x:c>
      <x:c r="K7" s="10" t="str">
        <x:v>Кухня / HR</x:v>
      </x:c>
      <x:c r="L7" s="10" t="str">
        <x:v>Центр инвестиций</x:v>
      </x:c>
      <x:c r="M7" s="10" t="str"/>
      <x:c r="N7" s="10" t="str"/>
      <x:c r="O7" s="10" t="str">
        <x:v>0</x:v>
      </x:c>
      <x:c r="P7" s="10" t="str">
        <x:v>YES</x:v>
      </x:c>
    </x:row>
    <x:row r="8" ht="30" customHeight="1">
      <x:c r="A8" s="10" t="str">
        <x:v>GATE-CLD-09</x:v>
      </x:c>
      <x:c r="B8" s="10" t="str">
        <x:v>CAPEX.CLD.009</x:v>
      </x:c>
      <x:c r="C8" s="10" t="str">
        <x:v>CLD-09</x:v>
      </x:c>
      <x:c r="D8" s="10" t="str">
        <x:v>Овощерезка</x:v>
      </x:c>
      <x:c r="E8" s="10" t="str">
        <x:v>CONDITIONAL</x:v>
      </x:c>
      <x:c r="F8" s="10" t="str">
        <x:v>Хронометраж подготовки</x:v>
      </x:c>
      <x:c r="G8" s="10" t="str">
        <x:v>КАФЕ + банкет</x:v>
      </x:c>
      <x:c r="H8" s="10" t="str">
        <x:v>Человеко-минуты</x:v>
      </x:c>
      <x:c r="I8" s="10" t="str">
        <x:v>Ручная подготовка нарушает план выпуска</x:v>
      </x:c>
      <x:c r="J8" s="10" t="str">
        <x:v>Хронометраж</x:v>
      </x:c>
      <x:c r="K8" s="10" t="str">
        <x:v>Кухня / HR</x:v>
      </x:c>
      <x:c r="L8" s="10" t="str">
        <x:v>Центр инвестиций</x:v>
      </x:c>
      <x:c r="M8" s="10" t="str"/>
      <x:c r="N8" s="10" t="str"/>
      <x:c r="O8" s="10" t="str">
        <x:v>0</x:v>
      </x:c>
      <x:c r="P8" s="10" t="str">
        <x:v>YES</x:v>
      </x:c>
    </x:row>
    <x:row r="9" ht="30" customHeight="1">
      <x:c r="A9" s="10" t="str">
        <x:v>GATE-STO-13</x:v>
      </x:c>
      <x:c r="B9" s="10" t="str">
        <x:v>CAPEX.STO.013</x:v>
      </x:c>
      <x:c r="C9" s="10" t="str">
        <x:v>STO-13</x:v>
      </x:c>
      <x:c r="D9" s="10" t="str">
        <x:v>Дополнительные холодильники</x:v>
      </x:c>
      <x:c r="E9" s="10" t="str">
        <x:v>CONDITIONAL</x:v>
      </x:c>
      <x:c r="F9" s="10" t="str">
        <x:v>Расчёт упаковок и контрольный банкет</x:v>
      </x:c>
      <x:c r="G9" s="10" t="str">
        <x:v>Максимальный запас</x:v>
      </x:c>
      <x:c r="H9" s="10" t="str">
        <x:v>Коэффициент заполнения</x:v>
      </x:c>
      <x:c r="I9" s="10" t="str">
        <x:v>&gt;65% холодильники или &gt;60% морозильники</x:v>
      </x:c>
      <x:c r="J9" s="10" t="str">
        <x:v>Расчёт ёмкости</x:v>
      </x:c>
      <x:c r="K9" s="10" t="str">
        <x:v>Закупки / Проектировщик</x:v>
      </x:c>
      <x:c r="L9" s="10" t="str">
        <x:v>Центр инвестиций</x:v>
      </x:c>
      <x:c r="M9" s="10" t="str"/>
      <x:c r="N9" s="10" t="str"/>
      <x:c r="O9" s="10" t="str">
        <x:v>0</x:v>
      </x:c>
      <x:c r="P9" s="10" t="str">
        <x:v>YES</x:v>
      </x:c>
    </x:row>
    <x:row r="10" ht="30" customHeight="1">
      <x:c r="A10" s="10" t="str">
        <x:v>GATE-ENG-06</x:v>
      </x:c>
      <x:c r="B10" s="10" t="str">
        <x:v>CAPEX.ENG.006</x:v>
      </x:c>
      <x:c r="C10" s="10" t="str">
        <x:v>ENG-06</x:v>
      </x:c>
      <x:c r="D10" s="10" t="str">
        <x:v>Управление нагрузкой</x:v>
      </x:c>
      <x:c r="E10" s="10" t="str">
        <x:v>CONDITIONAL</x:v>
      </x:c>
      <x:c r="F10" s="10" t="str">
        <x:v>Утверждённый энергопроект</x:v>
      </x:c>
      <x:c r="G10" s="10" t="str">
        <x:v>Пиковая нагрузка</x:v>
      </x:c>
      <x:c r="H10" s="10" t="str">
        <x:v>кВт и критичность</x:v>
      </x:c>
      <x:c r="I10" s="10" t="str">
        <x:v>Дефицит мощности при возможности разнести некритичные нагрузки</x:v>
      </x:c>
      <x:c r="J10" s="10" t="str">
        <x:v>Энергобаланс</x:v>
      </x:c>
      <x:c r="K10" s="10" t="str">
        <x:v>Инженерия</x:v>
      </x:c>
      <x:c r="L10" s="10" t="str">
        <x:v>Центр инвестиций</x:v>
      </x:c>
      <x:c r="M10" s="10" t="str"/>
      <x:c r="N10" s="10" t="str"/>
      <x:c r="O10" s="10" t="str">
        <x:v>0</x:v>
      </x:c>
      <x:c r="P10" s="10" t="str">
        <x:v>YES</x:v>
      </x:c>
    </x:row>
    <x:row r="11" ht="30" customHeight="1">
      <x:c r="A11" s="10" t="str">
        <x:v>GATE-WSH-01</x:v>
      </x:c>
      <x:c r="B11" s="10" t="str">
        <x:v>CAPEX.WSH.001</x:v>
      </x:c>
      <x:c r="C11" s="10" t="str">
        <x:v>WSH-01</x:v>
      </x:c>
      <x:c r="D11" s="10" t="str">
        <x:v>Увеличение моечного контура</x:v>
      </x:c>
      <x:c r="E11" s="10" t="str">
        <x:v>CONDITIONAL</x:v>
      </x:c>
      <x:c r="F11" s="10" t="str">
        <x:v>Тест возврата посуды</x:v>
      </x:c>
      <x:c r="G11" s="10" t="str">
        <x:v>25 смешанных кассет/час</x:v>
      </x:c>
      <x:c r="H11" s="10" t="str">
        <x:v>Кассеты/час</x:v>
      </x:c>
      <x:c r="I11" s="10" t="str">
        <x:v>Поток не обработан в нормативный час</x:v>
      </x:c>
      <x:c r="J11" s="10" t="str">
        <x:v>Протокол мойки</x:v>
      </x:c>
      <x:c r="K11" s="10" t="str">
        <x:v>Операции</x:v>
      </x:c>
      <x:c r="L11" s="10" t="str">
        <x:v>Центр инвестиций</x:v>
      </x:c>
      <x:c r="M11" s="10" t="str"/>
      <x:c r="N11" s="10" t="str"/>
      <x:c r="O11" s="10" t="str">
        <x:v>0</x:v>
      </x:c>
      <x:c r="P11" s="10" t="str">
        <x:v>YES</x:v>
      </x:c>
    </x:row>
    <x:row r="12" ht="30" customHeight="1">
      <x:c r="A12" s="11" t="str">
        <x:v>GATE-COM-05</x:v>
      </x:c>
      <x:c r="B12" s="11" t="str">
        <x:v>CAPEX.COM.005</x:v>
      </x:c>
      <x:c r="C12" s="11" t="str">
        <x:v>COM-05</x:v>
      </x:c>
      <x:c r="D12" s="11" t="str">
        <x:v>Стартовые запасные части</x:v>
      </x:c>
      <x:c r="E12" s="11" t="str">
        <x:v>CONDITIONAL</x:v>
      </x:c>
      <x:c r="F12" s="11" t="str">
        <x:v>Выбор моделей</x:v>
      </x:c>
      <x:c r="G12" s="11" t="str">
        <x:v>Все критические единицы</x:v>
      </x:c>
      <x:c r="H12" s="11" t="str">
        <x:v>Сервисный риск</x:v>
      </x:c>
      <x:c r="I12" s="11" t="str">
        <x:v>Производитель требует стартовый комплект или срок поставки запчастей критичен</x:v>
      </x:c>
      <x:c r="J12" s="11" t="str">
        <x:v>Паспорт/сервисное письмо</x:v>
      </x:c>
      <x:c r="K12" s="11" t="str">
        <x:v>Закупки / Инженерия</x:v>
      </x:c>
      <x:c r="L12" s="11" t="str">
        <x:v>Центр инвестиций</x:v>
      </x:c>
      <x:c r="M12" s="11" t="str"/>
      <x:c r="N12" s="11" t="str"/>
      <x:c r="O12" s="11" t="str">
        <x:v>0</x:v>
      </x:c>
      <x:c r="P12" s="11" t="str">
        <x:v>YES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1" hidden="0" customWidth="1"/>
    <x:col min="4" max="4" width="14.449999809265137" hidden="0" customWidth="1"/>
    <x:col min="5" max="5" width="12.75" hidden="0" customWidth="1"/>
    <x:col min="6" max="6" width="11" hidden="0" customWidth="1"/>
    <x:col min="7" max="7" width="28" hidden="0" customWidth="1"/>
    <x:col min="8" max="8" width="11" hidden="0" customWidth="1"/>
    <x:col min="9" max="9" width="11" hidden="0" customWidth="1"/>
    <x:col min="10" max="10" width="11.050000190734863" hidden="0" customWidth="1"/>
    <x:col min="11" max="11" width="11" hidden="0" customWidth="1"/>
    <x:col min="12" max="12" width="11" hidden="0" customWidth="1"/>
    <x:col min="13" max="13" width="13.600000381469727" hidden="0" customWidth="1"/>
    <x:col min="14" max="14" width="11" hidden="0" customWidth="1"/>
    <x:col min="15" max="15" width="11" hidden="0" customWidth="1"/>
    <x:col min="16" max="16" width="14.449999809265137" hidden="0" customWidth="1"/>
    <x:col min="17" max="17" width="11" hidden="0" customWidth="1"/>
    <x:col min="18" max="18" width="13.600000381469727" hidden="0" customWidth="1"/>
    <x:col min="19" max="19" width="14.449999809265137" hidden="0" customWidth="1"/>
    <x:col min="20" max="20" width="11" hidden="0" customWidth="1"/>
    <x:col min="21" max="21" width="20" hidden="0" customWidth="1"/>
    <x:col min="22" max="22" width="12.75" hidden="0" customWidth="1"/>
    <x:col min="23" max="23" width="12.75" hidden="0" customWidth="1"/>
    <x:col min="24" max="24" width="11.899999618530273" hidden="0" customWidth="1"/>
    <x:col min="25" max="25" width="18" hidden="0" customWidth="1"/>
    <x:col min="26" max="26" width="11.050000190734863" hidden="0" customWidth="1"/>
    <x:col min="27" max="27" width="11" hidden="0" customWidth="1"/>
    <x:col min="28" max="28" width="11" hidden="0" customWidth="1"/>
  </x:cols>
  <x:sheetData>
    <x:row r="1" ht="34" customHeight="1">
      <x:c r="A1" s="9" t="str">
        <x:v>RFQ_ID</x:v>
      </x:c>
      <x:c r="B1" s="9" t="str">
        <x:v>INV_CODE_OR_GROUP</x:v>
      </x:c>
      <x:c r="C1" s="9" t="str">
        <x:v>OBJECT</x:v>
      </x:c>
      <x:c r="D1" s="9" t="str">
        <x:v>REQUIRED_DOCUMENT</x:v>
      </x:c>
      <x:c r="E1" s="9" t="str">
        <x:v>RECIPIENT_CLASS</x:v>
      </x:c>
      <x:c r="F1" s="9" t="str">
        <x:v>MIN_QUOTES</x:v>
      </x:c>
      <x:c r="G1" s="9" t="str">
        <x:v>COMPARABILITY_CRITERIA</x:v>
      </x:c>
      <x:c r="H1" s="9" t="str">
        <x:v>SUPPLIER</x:v>
      </x:c>
      <x:c r="I1" s="9" t="str">
        <x:v>MANUFACTURER</x:v>
      </x:c>
      <x:c r="J1" s="9" t="str">
        <x:v>MODEL_ARTICLE</x:v>
      </x:c>
      <x:c r="K1" s="9" t="str">
        <x:v>QTY</x:v>
      </x:c>
      <x:c r="L1" s="9" t="str">
        <x:v>UNIT</x:v>
      </x:c>
      <x:c r="M1" s="9" t="str">
        <x:v>PRICE_EX_VAT_RUB</x:v>
      </x:c>
      <x:c r="N1" s="9" t="str">
        <x:v>VAT_RATE</x:v>
      </x:c>
      <x:c r="O1" s="9" t="str">
        <x:v>VAT_RUB</x:v>
      </x:c>
      <x:c r="P1" s="9" t="str">
        <x:v>PRICE_INC_VAT_RUB</x:v>
      </x:c>
      <x:c r="Q1" s="9" t="str">
        <x:v>DELIVERY_RUB</x:v>
      </x:c>
      <x:c r="R1" s="9" t="str">
        <x:v>INSTALLATION_RUB</x:v>
      </x:c>
      <x:c r="S1" s="9" t="str">
        <x:v>COMMISSIONING_RUB</x:v>
      </x:c>
      <x:c r="T1" s="9" t="str">
        <x:v>TRAINING_RUB</x:v>
      </x:c>
      <x:c r="U1" s="9" t="str">
        <x:v>REQUIRED_ACCESSORIES_RUB</x:v>
      </x:c>
      <x:c r="V1" s="9" t="str">
        <x:v>LAUNCH_COST_RUB</x:v>
      </x:c>
      <x:c r="W1" s="9" t="str">
        <x:v>WARRANTY_MONTHS</x:v>
      </x:c>
      <x:c r="X1" s="9" t="str">
        <x:v>LEAD_TIME_DAYS</x:v>
      </x:c>
      <x:c r="Y1" s="9" t="str">
        <x:v>PRICE_VALID_UNTIL</x:v>
      </x:c>
      <x:c r="Z1" s="9" t="str">
        <x:v>PAYMENT_TERMS</x:v>
      </x:c>
      <x:c r="AA1" s="9" t="str">
        <x:v>SOURCE_LINK</x:v>
      </x:c>
      <x:c r="AB1" s="9" t="str">
        <x:v>PRICE_STATUS</x:v>
      </x:c>
    </x:row>
    <x:row r="2" ht="30" customHeight="1">
      <x:c r="A2" s="10" t="str">
        <x:v>RFQ-01</x:v>
      </x:c>
      <x:c r="B2" s="10" t="str">
        <x:v>CAPEX.PRJ.*</x:v>
      </x:c>
      <x:c r="C2" s="10" t="str">
        <x:v>Проектирование</x:v>
      </x:c>
      <x:c r="D2" s="10" t="str">
        <x:v>КП и состав работ</x:v>
      </x:c>
      <x:c r="E2" s="10" t="str">
        <x:v>Проектные организации</x:v>
      </x:c>
      <x:c r="F2" s="10" t="n">
        <x:v>3</x:v>
      </x:c>
      <x:c r="G2" s="10" t="str">
        <x:v>Одинаковый состав разделов</x:v>
      </x:c>
      <x:c r="H2" s="10" t="str"/>
      <x:c r="I2" s="10" t="str"/>
      <x:c r="J2" s="10" t="str"/>
      <x:c r="K2" s="10" t="str"/>
      <x:c r="L2" s="10" t="str"/>
      <x:c r="M2" s="21" t="str"/>
      <x:c r="N2" s="21" t="str"/>
      <x:c r="O2" s="21" t="str"/>
      <x:c r="P2" s="21" t="str"/>
      <x:c r="Q2" s="21" t="str"/>
      <x:c r="R2" s="21" t="str"/>
      <x:c r="S2" s="21" t="str"/>
      <x:c r="T2" s="21" t="str"/>
      <x:c r="U2" s="21" t="str"/>
      <x:c r="V2" s="21" t="n">
        <x:f>SUM(P2:U2)</x:f>
        <x:v>0</x:v>
      </x:c>
      <x:c r="W2" s="10" t="str"/>
      <x:c r="X2" s="10" t="str"/>
      <x:c r="Y2" s="10" t="str"/>
      <x:c r="Z2" s="10" t="str"/>
      <x:c r="AA2" s="10" t="str"/>
      <x:c r="AB2" s="10" t="str">
        <x:v>NOT_REQUESTED</x:v>
      </x:c>
    </x:row>
    <x:row r="3" ht="30" customHeight="1">
      <x:c r="A3" s="10" t="str">
        <x:v>RFQ-02</x:v>
      </x:c>
      <x:c r="B3" s="10" t="str">
        <x:v>CAPEX.BLD.*</x:v>
      </x:c>
      <x:c r="C3" s="10" t="str">
        <x:v>Строительно-отделочные работы</x:v>
      </x:c>
      <x:c r="D3" s="10" t="str">
        <x:v>Смета по единой ВОР</x:v>
      </x:c>
      <x:c r="E3" s="10" t="str">
        <x:v>Строительные подрядчики</x:v>
      </x:c>
      <x:c r="F3" s="10" t="n">
        <x:v>3</x:v>
      </x:c>
      <x:c r="G3" s="10" t="str">
        <x:v>Одинаковые объёмы и материалы</x:v>
      </x:c>
      <x:c r="H3" s="10" t="str"/>
      <x:c r="I3" s="10" t="str"/>
      <x:c r="J3" s="10" t="str"/>
      <x:c r="K3" s="10" t="str"/>
      <x:c r="L3" s="10" t="str"/>
      <x:c r="M3" s="21" t="str"/>
      <x:c r="N3" s="21" t="str"/>
      <x:c r="O3" s="21" t="str"/>
      <x:c r="P3" s="21" t="str"/>
      <x:c r="Q3" s="21" t="str"/>
      <x:c r="R3" s="21" t="str"/>
      <x:c r="S3" s="21" t="str"/>
      <x:c r="T3" s="21" t="str"/>
      <x:c r="U3" s="21" t="str"/>
      <x:c r="V3" s="21" t="n">
        <x:f>SUM(P3:U3)</x:f>
        <x:v>0</x:v>
      </x:c>
      <x:c r="W3" s="10" t="str"/>
      <x:c r="X3" s="10" t="str"/>
      <x:c r="Y3" s="10" t="str"/>
      <x:c r="Z3" s="10" t="str"/>
      <x:c r="AA3" s="10" t="str"/>
      <x:c r="AB3" s="10" t="str">
        <x:v>NOT_REQUESTED</x:v>
      </x:c>
    </x:row>
    <x:row r="4" ht="30" customHeight="1">
      <x:c r="A4" s="10" t="str">
        <x:v>RFQ-03</x:v>
      </x:c>
      <x:c r="B4" s="10" t="str">
        <x:v>CAPEX.ENG.001-005</x:v>
      </x:c>
      <x:c r="C4" s="10" t="str">
        <x:v>Электрическая мощность</x:v>
      </x:c>
      <x:c r="D4" s="10" t="str">
        <x:v>ТУ и расчёт подключения</x:v>
      </x:c>
      <x:c r="E4" s="10" t="str">
        <x:v>Арендодатель / сетевая организация</x:v>
      </x:c>
      <x:c r="F4" s="10" t="n">
        <x:v>2</x:v>
      </x:c>
      <x:c r="G4" s="10" t="str">
        <x:v>Сценарии 100/125/150 кВт</x:v>
      </x:c>
      <x:c r="H4" s="10" t="str"/>
      <x:c r="I4" s="10" t="str"/>
      <x:c r="J4" s="10" t="str"/>
      <x:c r="K4" s="10" t="str"/>
      <x:c r="L4" s="10" t="str"/>
      <x:c r="M4" s="21" t="str"/>
      <x:c r="N4" s="21" t="str"/>
      <x:c r="O4" s="21" t="str"/>
      <x:c r="P4" s="21" t="str"/>
      <x:c r="Q4" s="21" t="str"/>
      <x:c r="R4" s="21" t="str"/>
      <x:c r="S4" s="21" t="str"/>
      <x:c r="T4" s="21" t="str"/>
      <x:c r="U4" s="21" t="str"/>
      <x:c r="V4" s="21" t="n">
        <x:f>SUM(P4:U4)</x:f>
        <x:v>0</x:v>
      </x:c>
      <x:c r="W4" s="10" t="str"/>
      <x:c r="X4" s="10" t="str"/>
      <x:c r="Y4" s="10" t="str"/>
      <x:c r="Z4" s="10" t="str"/>
      <x:c r="AA4" s="10" t="str"/>
      <x:c r="AB4" s="10" t="str">
        <x:v>NOT_REQUESTED</x:v>
      </x:c>
    </x:row>
    <x:row r="5" ht="30" customHeight="1">
      <x:c r="A5" s="10" t="str">
        <x:v>RFQ-04</x:v>
      </x:c>
      <x:c r="B5" s="10" t="str">
        <x:v>CAPEX.ENG.007-010</x:v>
      </x:c>
      <x:c r="C5" s="10" t="str">
        <x:v>Вентиляция и климат</x:v>
      </x:c>
      <x:c r="D5" s="10" t="str">
        <x:v>Проект, КП, монтаж</x:v>
      </x:c>
      <x:c r="E5" s="10" t="str">
        <x:v>HVAC-подрядчики</x:v>
      </x:c>
      <x:c r="F5" s="10" t="n">
        <x:v>3</x:v>
      </x:c>
      <x:c r="G5" s="10" t="str">
        <x:v>Одинаковый воздухообмен</x:v>
      </x:c>
      <x:c r="H5" s="10" t="str"/>
      <x:c r="I5" s="10" t="str"/>
      <x:c r="J5" s="10" t="str"/>
      <x:c r="K5" s="10" t="str"/>
      <x:c r="L5" s="10" t="str"/>
      <x:c r="M5" s="21" t="str"/>
      <x:c r="N5" s="21" t="str"/>
      <x:c r="O5" s="21" t="str"/>
      <x:c r="P5" s="21" t="str"/>
      <x:c r="Q5" s="21" t="str"/>
      <x:c r="R5" s="21" t="str"/>
      <x:c r="S5" s="21" t="str"/>
      <x:c r="T5" s="21" t="str"/>
      <x:c r="U5" s="21" t="str"/>
      <x:c r="V5" s="21" t="n">
        <x:f>SUM(P5:U5)</x:f>
        <x:v>0</x:v>
      </x:c>
      <x:c r="W5" s="10" t="str"/>
      <x:c r="X5" s="10" t="str"/>
      <x:c r="Y5" s="10" t="str"/>
      <x:c r="Z5" s="10" t="str"/>
      <x:c r="AA5" s="10" t="str"/>
      <x:c r="AB5" s="10" t="str">
        <x:v>NOT_REQUESTED</x:v>
      </x:c>
    </x:row>
    <x:row r="6" ht="30" customHeight="1">
      <x:c r="A6" s="10" t="str">
        <x:v>RFQ-05</x:v>
      </x:c>
      <x:c r="B6" s="10" t="str">
        <x:v>CAPEX.ENG.011-014</x:v>
      </x:c>
      <x:c r="C6" s="10" t="str">
        <x:v>Вода, канализация, жироуловитель</x:v>
      </x:c>
      <x:c r="D6" s="10" t="str">
        <x:v>Расчёт и смета</x:v>
      </x:c>
      <x:c r="E6" s="10" t="str">
        <x:v>Инженерные подрядчики</x:v>
      </x:c>
      <x:c r="F6" s="10" t="n">
        <x:v>2</x:v>
      </x:c>
      <x:c r="G6" s="10" t="str">
        <x:v>Одинаковые точки и производительность</x:v>
      </x:c>
      <x:c r="H6" s="10" t="str"/>
      <x:c r="I6" s="10" t="str"/>
      <x:c r="J6" s="10" t="str"/>
      <x:c r="K6" s="10" t="str"/>
      <x:c r="L6" s="10" t="str"/>
      <x:c r="M6" s="21" t="str"/>
      <x:c r="N6" s="21" t="str"/>
      <x:c r="O6" s="21" t="str"/>
      <x:c r="P6" s="21" t="str"/>
      <x:c r="Q6" s="21" t="str"/>
      <x:c r="R6" s="21" t="str"/>
      <x:c r="S6" s="21" t="str"/>
      <x:c r="T6" s="21" t="str"/>
      <x:c r="U6" s="21" t="str"/>
      <x:c r="V6" s="21" t="n">
        <x:f>SUM(P6:U6)</x:f>
        <x:v>0</x:v>
      </x:c>
      <x:c r="W6" s="10" t="str"/>
      <x:c r="X6" s="10" t="str"/>
      <x:c r="Y6" s="10" t="str"/>
      <x:c r="Z6" s="10" t="str"/>
      <x:c r="AA6" s="10" t="str"/>
      <x:c r="AB6" s="10" t="str">
        <x:v>NOT_REQUESTED</x:v>
      </x:c>
    </x:row>
    <x:row r="7" ht="30" customHeight="1">
      <x:c r="A7" s="10" t="str">
        <x:v>RFQ-06</x:v>
      </x:c>
      <x:c r="B7" s="10" t="str">
        <x:v>CAPEX.HOT.*</x:v>
      </x:c>
      <x:c r="C7" s="10" t="str">
        <x:v>Горячее оборудование</x:v>
      </x:c>
      <x:c r="D7" s="10" t="str">
        <x:v>КП и паспорта</x:v>
      </x:c>
      <x:c r="E7" s="10" t="str">
        <x:v>Официальный дилер + интеграторы</x:v>
      </x:c>
      <x:c r="F7" s="10" t="n">
        <x:v>3</x:v>
      </x:c>
      <x:c r="G7" s="10" t="str">
        <x:v>Производительность, циклы, гарантия</x:v>
      </x:c>
      <x:c r="H7" s="10" t="str"/>
      <x:c r="I7" s="10" t="str"/>
      <x:c r="J7" s="10" t="str"/>
      <x:c r="K7" s="10" t="str"/>
      <x:c r="L7" s="10" t="str"/>
      <x:c r="M7" s="21" t="str"/>
      <x:c r="N7" s="21" t="str"/>
      <x:c r="O7" s="21" t="str"/>
      <x:c r="P7" s="21" t="str"/>
      <x:c r="Q7" s="21" t="str"/>
      <x:c r="R7" s="21" t="str"/>
      <x:c r="S7" s="21" t="str"/>
      <x:c r="T7" s="21" t="str"/>
      <x:c r="U7" s="21" t="str"/>
      <x:c r="V7" s="21" t="n">
        <x:f>SUM(P7:U7)</x:f>
        <x:v>0</x:v>
      </x:c>
      <x:c r="W7" s="10" t="str"/>
      <x:c r="X7" s="10" t="str"/>
      <x:c r="Y7" s="10" t="str"/>
      <x:c r="Z7" s="10" t="str"/>
      <x:c r="AA7" s="10" t="str"/>
      <x:c r="AB7" s="10" t="str">
        <x:v>NOT_REQUESTED</x:v>
      </x:c>
    </x:row>
    <x:row r="8" ht="30" customHeight="1">
      <x:c r="A8" s="10" t="str">
        <x:v>RFQ-07</x:v>
      </x:c>
      <x:c r="B8" s="10" t="str">
        <x:v>CAPEX.BAK.*</x:v>
      </x:c>
      <x:c r="C8" s="10" t="str">
        <x:v>Пицца и пекарская линия</x:v>
      </x:c>
      <x:c r="D8" s="10" t="str">
        <x:v>КП, паспорта, пробная работа</x:v>
      </x:c>
      <x:c r="E8" s="10" t="str">
        <x:v>Поставщики HoReCa</x:v>
      </x:c>
      <x:c r="F8" s="10" t="n">
        <x:v>3</x:v>
      </x:c>
      <x:c r="G8" s="10" t="str">
        <x:v>Производительность и форматы</x:v>
      </x:c>
      <x:c r="H8" s="10" t="str"/>
      <x:c r="I8" s="10" t="str"/>
      <x:c r="J8" s="10" t="str"/>
      <x:c r="K8" s="10" t="str"/>
      <x:c r="L8" s="10" t="str"/>
      <x:c r="M8" s="21" t="str"/>
      <x:c r="N8" s="21" t="str"/>
      <x:c r="O8" s="21" t="str"/>
      <x:c r="P8" s="21" t="str"/>
      <x:c r="Q8" s="21" t="str"/>
      <x:c r="R8" s="21" t="str"/>
      <x:c r="S8" s="21" t="str"/>
      <x:c r="T8" s="21" t="str"/>
      <x:c r="U8" s="21" t="str"/>
      <x:c r="V8" s="21" t="n">
        <x:f>SUM(P8:U8)</x:f>
        <x:v>0</x:v>
      </x:c>
      <x:c r="W8" s="10" t="str"/>
      <x:c r="X8" s="10" t="str"/>
      <x:c r="Y8" s="10" t="str"/>
      <x:c r="Z8" s="10" t="str"/>
      <x:c r="AA8" s="10" t="str"/>
      <x:c r="AB8" s="10" t="str">
        <x:v>NOT_REQUESTED</x:v>
      </x:c>
    </x:row>
    <x:row r="9" ht="30" customHeight="1">
      <x:c r="A9" s="10" t="str">
        <x:v>RFQ-08</x:v>
      </x:c>
      <x:c r="B9" s="10" t="str">
        <x:v>CAPEX.STO.*</x:v>
      </x:c>
      <x:c r="C9" s="10" t="str">
        <x:v>Холодильный контур</x:v>
      </x:c>
      <x:c r="D9" s="10" t="str">
        <x:v>КП и полезная ёмкость</x:v>
      </x:c>
      <x:c r="E9" s="10" t="str">
        <x:v>Поставщики холодильного оборудования</x:v>
      </x:c>
      <x:c r="F9" s="10" t="n">
        <x:v>3</x:v>
      </x:c>
      <x:c r="G9" s="10" t="str">
        <x:v>Полезный, не брутто-объём</x:v>
      </x:c>
      <x:c r="H9" s="10" t="str"/>
      <x:c r="I9" s="10" t="str"/>
      <x:c r="J9" s="10" t="str"/>
      <x:c r="K9" s="10" t="str"/>
      <x:c r="L9" s="10" t="str"/>
      <x:c r="M9" s="21" t="str"/>
      <x:c r="N9" s="21" t="str"/>
      <x:c r="O9" s="21" t="str"/>
      <x:c r="P9" s="21" t="str"/>
      <x:c r="Q9" s="21" t="str"/>
      <x:c r="R9" s="21" t="str"/>
      <x:c r="S9" s="21" t="str"/>
      <x:c r="T9" s="21" t="str"/>
      <x:c r="U9" s="21" t="str"/>
      <x:c r="V9" s="21" t="n">
        <x:f>SUM(P9:U9)</x:f>
        <x:v>0</x:v>
      </x:c>
      <x:c r="W9" s="10" t="str"/>
      <x:c r="X9" s="10" t="str"/>
      <x:c r="Y9" s="10" t="str"/>
      <x:c r="Z9" s="10" t="str"/>
      <x:c r="AA9" s="10" t="str"/>
      <x:c r="AB9" s="10" t="str">
        <x:v>NOT_REQUESTED</x:v>
      </x:c>
    </x:row>
    <x:row r="10" ht="30" customHeight="1">
      <x:c r="A10" s="10" t="str">
        <x:v>RFQ-09</x:v>
      </x:c>
      <x:c r="B10" s="10" t="str">
        <x:v>CAPEX.CLD.*</x:v>
      </x:c>
      <x:c r="C10" s="10" t="str">
        <x:v>Холодный участок</x:v>
      </x:c>
      <x:c r="D10" s="10" t="str">
        <x:v>КП и спецификация</x:v>
      </x:c>
      <x:c r="E10" s="10" t="str">
        <x:v>Интеграторы HoReCa</x:v>
      </x:c>
      <x:c r="F10" s="10" t="n">
        <x:v>2</x:v>
      </x:c>
      <x:c r="G10" s="10" t="str">
        <x:v>Размеры, GN, мощность</x:v>
      </x:c>
      <x:c r="H10" s="10" t="str"/>
      <x:c r="I10" s="10" t="str"/>
      <x:c r="J10" s="10" t="str"/>
      <x:c r="K10" s="10" t="str"/>
      <x:c r="L10" s="10" t="str"/>
      <x:c r="M10" s="21" t="str"/>
      <x:c r="N10" s="21" t="str"/>
      <x:c r="O10" s="21" t="str"/>
      <x:c r="P10" s="21" t="str"/>
      <x:c r="Q10" s="21" t="str"/>
      <x:c r="R10" s="21" t="str"/>
      <x:c r="S10" s="21" t="str"/>
      <x:c r="T10" s="21" t="str"/>
      <x:c r="U10" s="21" t="str"/>
      <x:c r="V10" s="21" t="n">
        <x:f>SUM(P10:U10)</x:f>
        <x:v>0</x:v>
      </x:c>
      <x:c r="W10" s="10" t="str"/>
      <x:c r="X10" s="10" t="str"/>
      <x:c r="Y10" s="10" t="str"/>
      <x:c r="Z10" s="10" t="str"/>
      <x:c r="AA10" s="10" t="str"/>
      <x:c r="AB10" s="10" t="str">
        <x:v>NOT_REQUESTED</x:v>
      </x:c>
    </x:row>
    <x:row r="11" ht="30" customHeight="1">
      <x:c r="A11" s="10" t="str">
        <x:v>RFQ-10</x:v>
      </x:c>
      <x:c r="B11" s="10" t="str">
        <x:v>CAPEX.DSP.*;CAPEX.BAN.001-003</x:v>
      </x:c>
      <x:c r="C11" s="10" t="str">
        <x:v>Раздача и экспедиция</x:v>
      </x:c>
      <x:c r="D11" s="10" t="str">
        <x:v>КП и план размещения</x:v>
      </x:c>
      <x:c r="E11" s="10" t="str">
        <x:v>Интеграторы раздачи</x:v>
      </x:c>
      <x:c r="F11" s="10" t="n">
        <x:v>2</x:v>
      </x:c>
      <x:c r="G11" s="10" t="str">
        <x:v>≥60 позиций/час</x:v>
      </x:c>
      <x:c r="H11" s="10" t="str"/>
      <x:c r="I11" s="10" t="str"/>
      <x:c r="J11" s="10" t="str"/>
      <x:c r="K11" s="10" t="str"/>
      <x:c r="L11" s="10" t="str"/>
      <x:c r="M11" s="21" t="str"/>
      <x:c r="N11" s="21" t="str"/>
      <x:c r="O11" s="21" t="str"/>
      <x:c r="P11" s="21" t="str"/>
      <x:c r="Q11" s="21" t="str"/>
      <x:c r="R11" s="21" t="str"/>
      <x:c r="S11" s="21" t="str"/>
      <x:c r="T11" s="21" t="str"/>
      <x:c r="U11" s="21" t="str"/>
      <x:c r="V11" s="21" t="n">
        <x:f>SUM(P11:U11)</x:f>
        <x:v>0</x:v>
      </x:c>
      <x:c r="W11" s="10" t="str"/>
      <x:c r="X11" s="10" t="str"/>
      <x:c r="Y11" s="10" t="str"/>
      <x:c r="Z11" s="10" t="str"/>
      <x:c r="AA11" s="10" t="str"/>
      <x:c r="AB11" s="10" t="str">
        <x:v>NOT_REQUESTED</x:v>
      </x:c>
    </x:row>
    <x:row r="12" ht="30" customHeight="1">
      <x:c r="A12" s="10" t="str">
        <x:v>RFQ-11</x:v>
      </x:c>
      <x:c r="B12" s="10" t="str">
        <x:v>CAPEX.WSH.*</x:v>
      </x:c>
      <x:c r="C12" s="10" t="str">
        <x:v>Моечный контур</x:v>
      </x:c>
      <x:c r="D12" s="10" t="str">
        <x:v>КП, паспорт, расход воды</x:v>
      </x:c>
      <x:c r="E12" s="10" t="str">
        <x:v>Поставщики моечного оборудования</x:v>
      </x:c>
      <x:c r="F12" s="10" t="n">
        <x:v>3</x:v>
      </x:c>
      <x:c r="G12" s="10" t="str">
        <x:v>Паспорт ≥40; факт ≥25 кассет/час</x:v>
      </x:c>
      <x:c r="H12" s="10" t="str"/>
      <x:c r="I12" s="10" t="str"/>
      <x:c r="J12" s="10" t="str"/>
      <x:c r="K12" s="10" t="str"/>
      <x:c r="L12" s="10" t="str"/>
      <x:c r="M12" s="21" t="str"/>
      <x:c r="N12" s="21" t="str"/>
      <x:c r="O12" s="21" t="str"/>
      <x:c r="P12" s="21" t="str"/>
      <x:c r="Q12" s="21" t="str"/>
      <x:c r="R12" s="21" t="str"/>
      <x:c r="S12" s="21" t="str"/>
      <x:c r="T12" s="21" t="str"/>
      <x:c r="U12" s="21" t="str"/>
      <x:c r="V12" s="21" t="n">
        <x:f>SUM(P12:U12)</x:f>
        <x:v>0</x:v>
      </x:c>
      <x:c r="W12" s="10" t="str"/>
      <x:c r="X12" s="10" t="str"/>
      <x:c r="Y12" s="10" t="str"/>
      <x:c r="Z12" s="10" t="str"/>
      <x:c r="AA12" s="10" t="str"/>
      <x:c r="AB12" s="10" t="str">
        <x:v>NOT_REQUESTED</x:v>
      </x:c>
    </x:row>
    <x:row r="13" ht="30" customHeight="1">
      <x:c r="A13" s="10" t="str">
        <x:v>RFQ-12</x:v>
      </x:c>
      <x:c r="B13" s="10" t="str">
        <x:v>CAPEX.IT.*;CAPEX.DSP.009-010</x:v>
      </x:c>
      <x:c r="C13" s="10" t="str">
        <x:v>KDS, POS и ККТ</x:v>
      </x:c>
      <x:c r="D13" s="10" t="str">
        <x:v>Тариф и оборудование</x:v>
      </x:c>
      <x:c r="E13" s="10" t="str">
        <x:v>IT-интеграторы</x:v>
      </x:c>
      <x:c r="F13" s="10" t="n">
        <x:v>3</x:v>
      </x:c>
      <x:c r="G13" s="10" t="str">
        <x:v>Лицензии, терминалы, поддержка</x:v>
      </x:c>
      <x:c r="H13" s="10" t="str"/>
      <x:c r="I13" s="10" t="str"/>
      <x:c r="J13" s="10" t="str"/>
      <x:c r="K13" s="10" t="str"/>
      <x:c r="L13" s="10" t="str"/>
      <x:c r="M13" s="21" t="str"/>
      <x:c r="N13" s="21" t="str"/>
      <x:c r="O13" s="21" t="str"/>
      <x:c r="P13" s="21" t="str"/>
      <x:c r="Q13" s="21" t="str"/>
      <x:c r="R13" s="21" t="str"/>
      <x:c r="S13" s="21" t="str"/>
      <x:c r="T13" s="21" t="str"/>
      <x:c r="U13" s="21" t="str"/>
      <x:c r="V13" s="21" t="n">
        <x:f>SUM(P13:U13)</x:f>
        <x:v>0</x:v>
      </x:c>
      <x:c r="W13" s="10" t="str"/>
      <x:c r="X13" s="10" t="str"/>
      <x:c r="Y13" s="10" t="str"/>
      <x:c r="Z13" s="10" t="str"/>
      <x:c r="AA13" s="10" t="str"/>
      <x:c r="AB13" s="10" t="str">
        <x:v>NOT_REQUESTED</x:v>
      </x:c>
    </x:row>
    <x:row r="14" ht="30" customHeight="1">
      <x:c r="A14" s="10" t="str">
        <x:v>RFQ-13</x:v>
      </x:c>
      <x:c r="B14" s="10" t="str">
        <x:v>CAPEX.ENG.015;CAPEX.IT.003-005</x:v>
      </x:c>
      <x:c r="C14" s="10" t="str">
        <x:v>Безопасность</x:v>
      </x:c>
      <x:c r="D14" s="10" t="str">
        <x:v>Проект и смета</x:v>
      </x:c>
      <x:c r="E14" s="10" t="str">
        <x:v>Лицензированные подрядчики</x:v>
      </x:c>
      <x:c r="F14" s="10" t="n">
        <x:v>2</x:v>
      </x:c>
      <x:c r="G14" s="10" t="str">
        <x:v>Одинаковые зоны</x:v>
      </x:c>
      <x:c r="H14" s="10" t="str"/>
      <x:c r="I14" s="10" t="str"/>
      <x:c r="J14" s="10" t="str"/>
      <x:c r="K14" s="10" t="str"/>
      <x:c r="L14" s="10" t="str"/>
      <x:c r="M14" s="21" t="str"/>
      <x:c r="N14" s="21" t="str"/>
      <x:c r="O14" s="21" t="str"/>
      <x:c r="P14" s="21" t="str"/>
      <x:c r="Q14" s="21" t="str"/>
      <x:c r="R14" s="21" t="str"/>
      <x:c r="S14" s="21" t="str"/>
      <x:c r="T14" s="21" t="str"/>
      <x:c r="U14" s="21" t="str"/>
      <x:c r="V14" s="21" t="n">
        <x:f>SUM(P14:U14)</x:f>
        <x:v>0</x:v>
      </x:c>
      <x:c r="W14" s="10" t="str"/>
      <x:c r="X14" s="10" t="str"/>
      <x:c r="Y14" s="10" t="str"/>
      <x:c r="Z14" s="10" t="str"/>
      <x:c r="AA14" s="10" t="str"/>
      <x:c r="AB14" s="10" t="str">
        <x:v>NOT_REQUESTED</x:v>
      </x:c>
    </x:row>
    <x:row r="15" ht="30" customHeight="1">
      <x:c r="A15" s="10" t="str">
        <x:v>RFQ-14</x:v>
      </x:c>
      <x:c r="B15" s="10" t="str">
        <x:v>CAPEX.FUR.*</x:v>
      </x:c>
      <x:c r="C15" s="10" t="str">
        <x:v>Мебель</x:v>
      </x:c>
      <x:c r="D15" s="10" t="str">
        <x:v>Спецификация и визуализация</x:v>
      </x:c>
      <x:c r="E15" s="10" t="str">
        <x:v>Изготовители мебели</x:v>
      </x:c>
      <x:c r="F15" s="10" t="n">
        <x:v>3</x:v>
      </x:c>
      <x:c r="G15" s="10" t="str">
        <x:v>Одинаковые материалы и размеры</x:v>
      </x:c>
      <x:c r="H15" s="10" t="str"/>
      <x:c r="I15" s="10" t="str"/>
      <x:c r="J15" s="10" t="str"/>
      <x:c r="K15" s="10" t="str"/>
      <x:c r="L15" s="10" t="str"/>
      <x:c r="M15" s="21" t="str"/>
      <x:c r="N15" s="21" t="str"/>
      <x:c r="O15" s="21" t="str"/>
      <x:c r="P15" s="21" t="str"/>
      <x:c r="Q15" s="21" t="str"/>
      <x:c r="R15" s="21" t="str"/>
      <x:c r="S15" s="21" t="str"/>
      <x:c r="T15" s="21" t="str"/>
      <x:c r="U15" s="21" t="str"/>
      <x:c r="V15" s="21" t="n">
        <x:f>SUM(P15:U15)</x:f>
        <x:v>0</x:v>
      </x:c>
      <x:c r="W15" s="10" t="str"/>
      <x:c r="X15" s="10" t="str"/>
      <x:c r="Y15" s="10" t="str"/>
      <x:c r="Z15" s="10" t="str"/>
      <x:c r="AA15" s="10" t="str"/>
      <x:c r="AB15" s="10" t="str">
        <x:v>NOT_REQUESTED</x:v>
      </x:c>
    </x:row>
    <x:row r="16" ht="30" customHeight="1">
      <x:c r="A16" s="10" t="str">
        <x:v>RFQ-15</x:v>
      </x:c>
      <x:c r="B16" s="10" t="str">
        <x:v>CAPEX.TBL.001;CAPEX.TBL.003;CAPEX.TBL.005</x:v>
      </x:c>
      <x:c r="C16" s="10" t="str">
        <x:v>Посуда КАФЕ</x:v>
      </x:c>
      <x:c r="D16" s="10" t="str">
        <x:v>Артикульное КП</x:v>
      </x:c>
      <x:c r="E16" s="10" t="str">
        <x:v>Поставщики посуды</x:v>
      </x:c>
      <x:c r="F16" s="10" t="n">
        <x:v>3</x:v>
      </x:c>
      <x:c r="G16" s="10" t="str">
        <x:v>Единая матрица сервировки</x:v>
      </x:c>
      <x:c r="H16" s="10" t="str"/>
      <x:c r="I16" s="10" t="str"/>
      <x:c r="J16" s="10" t="str"/>
      <x:c r="K16" s="10" t="str"/>
      <x:c r="L16" s="10" t="str"/>
      <x:c r="M16" s="21" t="str"/>
      <x:c r="N16" s="21" t="str"/>
      <x:c r="O16" s="21" t="str"/>
      <x:c r="P16" s="21" t="str"/>
      <x:c r="Q16" s="21" t="str"/>
      <x:c r="R16" s="21" t="str"/>
      <x:c r="S16" s="21" t="str"/>
      <x:c r="T16" s="21" t="str"/>
      <x:c r="U16" s="21" t="str"/>
      <x:c r="V16" s="21" t="n">
        <x:f>SUM(P16:U16)</x:f>
        <x:v>0</x:v>
      </x:c>
      <x:c r="W16" s="10" t="str"/>
      <x:c r="X16" s="10" t="str"/>
      <x:c r="Y16" s="10" t="str"/>
      <x:c r="Z16" s="10" t="str"/>
      <x:c r="AA16" s="10" t="str"/>
      <x:c r="AB16" s="10" t="str">
        <x:v>NOT_REQUESTED</x:v>
      </x:c>
    </x:row>
    <x:row r="17" ht="30" customHeight="1">
      <x:c r="A17" s="10" t="str">
        <x:v>RFQ-16</x:v>
      </x:c>
      <x:c r="B17" s="10" t="str">
        <x:v>CAPEX.BAN.004-007;CAPEX.TBL.004</x:v>
      </x:c>
      <x:c r="C17" s="10" t="str">
        <x:v>Банкетная посуда и текстиль</x:v>
      </x:c>
      <x:c r="D17" s="10" t="str">
        <x:v>Артикульное КП</x:v>
      </x:c>
      <x:c r="E17" s="10" t="str">
        <x:v>Поставщики HoReCa и текстиля</x:v>
      </x:c>
      <x:c r="F17" s="10" t="n">
        <x:v>3</x:v>
      </x:c>
      <x:c r="G17" s="10" t="str">
        <x:v>20/21/26 гостей + резерв</x:v>
      </x:c>
      <x:c r="H17" s="10" t="str"/>
      <x:c r="I17" s="10" t="str"/>
      <x:c r="J17" s="10" t="str"/>
      <x:c r="K17" s="10" t="str"/>
      <x:c r="L17" s="10" t="str"/>
      <x:c r="M17" s="21" t="str"/>
      <x:c r="N17" s="21" t="str"/>
      <x:c r="O17" s="21" t="str"/>
      <x:c r="P17" s="21" t="str"/>
      <x:c r="Q17" s="21" t="str"/>
      <x:c r="R17" s="21" t="str"/>
      <x:c r="S17" s="21" t="str"/>
      <x:c r="T17" s="21" t="str"/>
      <x:c r="U17" s="21" t="str"/>
      <x:c r="V17" s="21" t="n">
        <x:f>SUM(P17:U17)</x:f>
        <x:v>0</x:v>
      </x:c>
      <x:c r="W17" s="10" t="str"/>
      <x:c r="X17" s="10" t="str"/>
      <x:c r="Y17" s="10" t="str"/>
      <x:c r="Z17" s="10" t="str"/>
      <x:c r="AA17" s="10" t="str"/>
      <x:c r="AB17" s="10" t="str">
        <x:v>NOT_REQUESTED</x:v>
      </x:c>
    </x:row>
    <x:row r="18" ht="30" customHeight="1">
      <x:c r="A18" s="10" t="str">
        <x:v>RFQ-17</x:v>
      </x:c>
      <x:c r="B18" s="10" t="str">
        <x:v>CAPEX.TBL.002;CAPEX.WSH.009;CAPEX.FUR.003</x:v>
      </x:c>
      <x:c r="C18" s="10" t="str">
        <x:v>Бар</x:v>
      </x:c>
      <x:c r="D18" s="10" t="str">
        <x:v>КП и паспорта</x:v>
      </x:c>
      <x:c r="E18" s="10" t="str">
        <x:v>Поставщики бара</x:v>
      </x:c>
      <x:c r="F18" s="10" t="n">
        <x:v>3</x:v>
      </x:c>
      <x:c r="G18" s="10" t="str">
        <x:v>Утверждённая карта напитков</x:v>
      </x:c>
      <x:c r="H18" s="10" t="str"/>
      <x:c r="I18" s="10" t="str"/>
      <x:c r="J18" s="10" t="str"/>
      <x:c r="K18" s="10" t="str"/>
      <x:c r="L18" s="10" t="str"/>
      <x:c r="M18" s="21" t="str"/>
      <x:c r="N18" s="21" t="str"/>
      <x:c r="O18" s="21" t="str"/>
      <x:c r="P18" s="21" t="str"/>
      <x:c r="Q18" s="21" t="str"/>
      <x:c r="R18" s="21" t="str"/>
      <x:c r="S18" s="21" t="str"/>
      <x:c r="T18" s="21" t="str"/>
      <x:c r="U18" s="21" t="str"/>
      <x:c r="V18" s="21" t="n">
        <x:f>SUM(P18:U18)</x:f>
        <x:v>0</x:v>
      </x:c>
      <x:c r="W18" s="10" t="str"/>
      <x:c r="X18" s="10" t="str"/>
      <x:c r="Y18" s="10" t="str"/>
      <x:c r="Z18" s="10" t="str"/>
      <x:c r="AA18" s="10" t="str"/>
      <x:c r="AB18" s="10" t="str">
        <x:v>NOT_REQUESTED</x:v>
      </x:c>
    </x:row>
    <x:row r="19" ht="30" customHeight="1">
      <x:c r="A19" s="10" t="str">
        <x:v>RFQ-18</x:v>
      </x:c>
      <x:c r="B19" s="10" t="str">
        <x:v>CAPEX.COM.001-004</x:v>
      </x:c>
      <x:c r="C19" s="10" t="str">
        <x:v>Монтаж и ввод</x:v>
      </x:c>
      <x:c r="D19" s="10" t="str">
        <x:v>Отдельная калькуляция</x:v>
      </x:c>
      <x:c r="E19" s="10" t="str">
        <x:v>Поставщик каждой системы</x:v>
      </x:c>
      <x:c r="F19" s="10" t="n">
        <x:v>1</x:v>
      </x:c>
      <x:c r="G19" s="10" t="str">
        <x:v>Не скрывать внутри цены</x:v>
      </x:c>
      <x:c r="H19" s="10" t="str"/>
      <x:c r="I19" s="10" t="str"/>
      <x:c r="J19" s="10" t="str"/>
      <x:c r="K19" s="10" t="str"/>
      <x:c r="L19" s="10" t="str"/>
      <x:c r="M19" s="21" t="str"/>
      <x:c r="N19" s="21" t="str"/>
      <x:c r="O19" s="21" t="str"/>
      <x:c r="P19" s="21" t="str"/>
      <x:c r="Q19" s="21" t="str"/>
      <x:c r="R19" s="21" t="str"/>
      <x:c r="S19" s="21" t="str"/>
      <x:c r="T19" s="21" t="str"/>
      <x:c r="U19" s="21" t="str"/>
      <x:c r="V19" s="21" t="n">
        <x:f>SUM(P19:U19)</x:f>
        <x:v>0</x:v>
      </x:c>
      <x:c r="W19" s="10" t="str"/>
      <x:c r="X19" s="10" t="str"/>
      <x:c r="Y19" s="10" t="str"/>
      <x:c r="Z19" s="10" t="str"/>
      <x:c r="AA19" s="10" t="str"/>
      <x:c r="AB19" s="10" t="str">
        <x:v>NOT_REQUESTED</x:v>
      </x:c>
    </x:row>
    <x:row r="20" ht="30" customHeight="1">
      <x:c r="A20" s="10" t="str">
        <x:v>RFQ-19</x:v>
      </x:c>
      <x:c r="B20" s="10" t="str">
        <x:v>PREOP/RESERVE</x:v>
      </x:c>
      <x:c r="C20" s="10" t="str">
        <x:v>Страхование</x:v>
      </x:c>
      <x:c r="D20" s="10" t="str">
        <x:v>Полис и исключения</x:v>
      </x:c>
      <x:c r="E20" s="10" t="str">
        <x:v>Страховые компании</x:v>
      </x:c>
      <x:c r="F20" s="10" t="n">
        <x:v>3</x:v>
      </x:c>
      <x:c r="G20" s="10" t="str">
        <x:v>Одинаковая страховая сумма</x:v>
      </x:c>
      <x:c r="H20" s="10" t="str"/>
      <x:c r="I20" s="10" t="str"/>
      <x:c r="J20" s="10" t="str"/>
      <x:c r="K20" s="10" t="str"/>
      <x:c r="L20" s="10" t="str"/>
      <x:c r="M20" s="21" t="str"/>
      <x:c r="N20" s="21" t="str"/>
      <x:c r="O20" s="21" t="str"/>
      <x:c r="P20" s="21" t="str"/>
      <x:c r="Q20" s="21" t="str"/>
      <x:c r="R20" s="21" t="str"/>
      <x:c r="S20" s="21" t="str"/>
      <x:c r="T20" s="21" t="str"/>
      <x:c r="U20" s="21" t="str"/>
      <x:c r="V20" s="21" t="n">
        <x:f>SUM(P20:U20)</x:f>
        <x:v>0</x:v>
      </x:c>
      <x:c r="W20" s="10" t="str"/>
      <x:c r="X20" s="10" t="str"/>
      <x:c r="Y20" s="10" t="str"/>
      <x:c r="Z20" s="10" t="str"/>
      <x:c r="AA20" s="10" t="str"/>
      <x:c r="AB20" s="10" t="str">
        <x:v>NOT_REQUESTED</x:v>
      </x:c>
    </x:row>
    <x:row r="21" ht="30" customHeight="1">
      <x:c r="A21" s="11" t="str">
        <x:v>RFQ-20</x:v>
      </x:c>
      <x:c r="B21" s="11" t="str">
        <x:v>IT/OPEX</x:v>
      </x:c>
      <x:c r="C21" s="11" t="str">
        <x:v>Программное обеспечение</x:v>
      </x:c>
      <x:c r="D21" s="11" t="str">
        <x:v>Официальный тариф</x:v>
      </x:c>
      <x:c r="E21" s="11" t="str">
        <x:v>Правообладатели</x:v>
      </x:c>
      <x:c r="F21" s="11" t="n">
        <x:v>1</x:v>
      </x:c>
      <x:c r="G21" s="11" t="str">
        <x:v>Одинаковый период и число мест</x:v>
      </x:c>
      <x:c r="H21" s="11" t="str"/>
      <x:c r="I21" s="11" t="str"/>
      <x:c r="J21" s="11" t="str"/>
      <x:c r="K21" s="11" t="str"/>
      <x:c r="L21" s="11" t="str"/>
      <x:c r="M21" s="22" t="str"/>
      <x:c r="N21" s="22" t="str"/>
      <x:c r="O21" s="22" t="str"/>
      <x:c r="P21" s="22" t="str"/>
      <x:c r="Q21" s="22" t="str"/>
      <x:c r="R21" s="22" t="str"/>
      <x:c r="S21" s="22" t="str"/>
      <x:c r="T21" s="22" t="str"/>
      <x:c r="U21" s="22" t="str"/>
      <x:c r="V21" s="22" t="n">
        <x:f>SUM(P21:U21)</x:f>
        <x:v>0</x:v>
      </x:c>
      <x:c r="W21" s="11" t="str"/>
      <x:c r="X21" s="11" t="str"/>
      <x:c r="Y21" s="11" t="str"/>
      <x:c r="Z21" s="11" t="str"/>
      <x:c r="AA21" s="11" t="str"/>
      <x:c r="AB21" s="11" t="str">
        <x:v>NOT_REQUESTED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.050000190734863" hidden="0" customWidth="1"/>
    <x:col min="4" max="4" width="11.050000190734863" hidden="0" customWidth="1"/>
    <x:col min="5" max="5" width="17" hidden="0" customWidth="1"/>
    <x:col min="6" max="6" width="12.75" hidden="0" customWidth="1"/>
    <x:col min="7" max="7" width="13.600000381469727" hidden="0" customWidth="1"/>
    <x:col min="8" max="8" width="11.899999618530273" hidden="0" customWidth="1"/>
    <x:col min="9" max="9" width="16.149999618530273" hidden="0" customWidth="1"/>
    <x:col min="10" max="10" width="11.050000190734863" hidden="0" customWidth="1"/>
    <x:col min="11" max="11" width="16.149999618530273" hidden="0" customWidth="1"/>
    <x:col min="12" max="12" width="12.75" hidden="0" customWidth="1"/>
    <x:col min="13" max="13" width="15.300000190734863" hidden="0" customWidth="1"/>
    <x:col min="14" max="14" width="11" hidden="0" customWidth="1"/>
    <x:col min="15" max="15" width="12.75" hidden="0" customWidth="1"/>
    <x:col min="16" max="16" width="11.899999618530273" hidden="0" customWidth="1"/>
    <x:col min="17" max="17" width="11.050000190734863" hidden="0" customWidth="1"/>
    <x:col min="18" max="18" width="11" hidden="0" customWidth="1"/>
    <x:col min="19" max="19" width="11.899999618530273" hidden="0" customWidth="1"/>
    <x:col min="20" max="20" width="28" hidden="0" customWidth="1"/>
  </x:cols>
  <x:sheetData>
    <x:row r="1" ht="34" customHeight="1">
      <x:c r="A1" s="9" t="str">
        <x:v>RFQ_ID</x:v>
      </x:c>
      <x:c r="B1" s="9" t="str">
        <x:v>SUPPLIER</x:v>
      </x:c>
      <x:c r="C1" s="9" t="str">
        <x:v>MODEL_ARTICLE</x:v>
      </x:c>
      <x:c r="D1" s="9" t="str">
        <x:v>CAPACITY_GATE</x:v>
      </x:c>
      <x:c r="E1" s="9" t="str">
        <x:v>USEFUL_CAPACITY_GATE</x:v>
      </x:c>
      <x:c r="F1" s="9" t="str">
        <x:v>DIMENSIONS_GATE</x:v>
      </x:c>
      <x:c r="G1" s="9" t="str">
        <x:v>CONNECTIONS_GATE</x:v>
      </x:c>
      <x:c r="H1" s="9" t="str">
        <x:v>DOCUMENTS_GATE</x:v>
      </x:c>
      <x:c r="I1" s="9" t="str">
        <x:v>MOSCOW_SERVICE_GATE</x:v>
      </x:c>
      <x:c r="J1" s="9" t="str">
        <x:v>DELIVERY_GATE</x:v>
      </x:c>
      <x:c r="K1" s="9" t="str">
        <x:v>OVERALL_GATE_STATUS</x:v>
      </x:c>
      <x:c r="L1" s="9" t="str">
        <x:v>LAUNCH_COST_RUB</x:v>
      </x:c>
      <x:c r="M1" s="9" t="str">
        <x:v>ANNUAL_SERVICE_RUB</x:v>
      </x:c>
      <x:c r="N1" s="9" t="str">
        <x:v>ENERGY_KW</x:v>
      </x:c>
      <x:c r="O1" s="9" t="str">
        <x:v>WARRANTY_MONTHS</x:v>
      </x:c>
      <x:c r="P1" s="9" t="str">
        <x:v>LEAD_TIME_DAYS</x:v>
      </x:c>
      <x:c r="Q1" s="9" t="str">
        <x:v>PAYMENT_TERMS</x:v>
      </x:c>
      <x:c r="R1" s="9" t="str">
        <x:v>TEST_RESULT</x:v>
      </x:c>
      <x:c r="S1" s="9" t="str">
        <x:v>RECOMMENDATION</x:v>
      </x:c>
      <x:c r="T1" s="9" t="str">
        <x:v>NOTES</x:v>
      </x:c>
    </x:row>
    <x:row r="2" ht="30" customHeight="1">
      <x:c r="A2" s="10" t="str">
        <x:v>RFQ-01</x:v>
      </x:c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>
        <x:f>IF(COUNTIF(D2:J2,"FAIL")&gt;0,"NOT_COMPARABLE",IF(COUNTBLANK(D2:J2)&gt;0,"INCOMPLETE","COMPARABLE"))</x:f>
        <x:v>INCOMPLETE</x:v>
      </x:c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</x:row>
    <x:row r="3" ht="30" customHeight="1">
      <x:c r="A3" s="10" t="str">
        <x:v>RFQ-02</x:v>
      </x:c>
      <x:c r="B3" s="10" t="str"/>
      <x:c r="C3" s="10" t="str"/>
      <x:c r="D3" s="10" t="str"/>
      <x:c r="E3" s="10" t="str"/>
      <x:c r="F3" s="10" t="str"/>
      <x:c r="G3" s="10" t="str"/>
      <x:c r="H3" s="10" t="str"/>
      <x:c r="I3" s="10" t="str"/>
      <x:c r="J3" s="10" t="str"/>
      <x:c r="K3" s="10" t="str">
        <x:f>IF(COUNTIF(D3:J3,"FAIL")&gt;0,"NOT_COMPARABLE",IF(COUNTBLANK(D3:J3)&gt;0,"INCOMPLETE","COMPARABLE"))</x:f>
        <x:v>INCOMPLETE</x:v>
      </x:c>
      <x:c r="L3" s="10" t="str"/>
      <x:c r="M3" s="10" t="str"/>
      <x:c r="N3" s="10" t="str"/>
      <x:c r="O3" s="10" t="str"/>
      <x:c r="P3" s="10" t="str"/>
      <x:c r="Q3" s="10" t="str"/>
      <x:c r="R3" s="10" t="str"/>
      <x:c r="S3" s="10" t="str"/>
      <x:c r="T3" s="10" t="str"/>
    </x:row>
    <x:row r="4" ht="30" customHeight="1">
      <x:c r="A4" s="10" t="str">
        <x:v>RFQ-03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>
        <x:f>IF(COUNTIF(D4:J4,"FAIL")&gt;0,"NOT_COMPARABLE",IF(COUNTBLANK(D4:J4)&gt;0,"INCOMPLETE","COMPARABLE"))</x:f>
        <x:v>INCOMPLETE</x:v>
      </x:c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</x:row>
    <x:row r="5" ht="30" customHeight="1">
      <x:c r="A5" s="10" t="str">
        <x:v>RFQ-04</x:v>
      </x:c>
      <x:c r="B5" s="10" t="str"/>
      <x:c r="C5" s="10" t="str"/>
      <x:c r="D5" s="10" t="str"/>
      <x:c r="E5" s="10" t="str"/>
      <x:c r="F5" s="10" t="str"/>
      <x:c r="G5" s="10" t="str"/>
      <x:c r="H5" s="10" t="str"/>
      <x:c r="I5" s="10" t="str"/>
      <x:c r="J5" s="10" t="str"/>
      <x:c r="K5" s="10" t="str">
        <x:f>IF(COUNTIF(D5:J5,"FAIL")&gt;0,"NOT_COMPARABLE",IF(COUNTBLANK(D5:J5)&gt;0,"INCOMPLETE","COMPARABLE"))</x:f>
        <x:v>INCOMPLETE</x:v>
      </x:c>
      <x:c r="L5" s="10" t="str"/>
      <x:c r="M5" s="10" t="str"/>
      <x:c r="N5" s="10" t="str"/>
      <x:c r="O5" s="10" t="str"/>
      <x:c r="P5" s="10" t="str"/>
      <x:c r="Q5" s="10" t="str"/>
      <x:c r="R5" s="10" t="str"/>
      <x:c r="S5" s="10" t="str"/>
      <x:c r="T5" s="10" t="str"/>
    </x:row>
    <x:row r="6" ht="30" customHeight="1">
      <x:c r="A6" s="10" t="str">
        <x:v>RFQ-05</x:v>
      </x:c>
      <x:c r="B6" s="10" t="str"/>
      <x:c r="C6" s="10" t="str"/>
      <x:c r="D6" s="10" t="str"/>
      <x:c r="E6" s="10" t="str"/>
      <x:c r="F6" s="10" t="str"/>
      <x:c r="G6" s="10" t="str"/>
      <x:c r="H6" s="10" t="str"/>
      <x:c r="I6" s="10" t="str"/>
      <x:c r="J6" s="10" t="str"/>
      <x:c r="K6" s="10" t="str">
        <x:f>IF(COUNTIF(D6:J6,"FAIL")&gt;0,"NOT_COMPARABLE",IF(COUNTBLANK(D6:J6)&gt;0,"INCOMPLETE","COMPARABLE"))</x:f>
        <x:v>INCOMPLETE</x:v>
      </x:c>
      <x:c r="L6" s="10" t="str"/>
      <x:c r="M6" s="10" t="str"/>
      <x:c r="N6" s="10" t="str"/>
      <x:c r="O6" s="10" t="str"/>
      <x:c r="P6" s="10" t="str"/>
      <x:c r="Q6" s="10" t="str"/>
      <x:c r="R6" s="10" t="str"/>
      <x:c r="S6" s="10" t="str"/>
      <x:c r="T6" s="10" t="str"/>
    </x:row>
    <x:row r="7" ht="30" customHeight="1">
      <x:c r="A7" s="10" t="str">
        <x:v>RFQ-06</x:v>
      </x:c>
      <x:c r="B7" s="10" t="str"/>
      <x:c r="C7" s="10" t="str"/>
      <x:c r="D7" s="10" t="str"/>
      <x:c r="E7" s="10" t="str"/>
      <x:c r="F7" s="10" t="str"/>
      <x:c r="G7" s="10" t="str"/>
      <x:c r="H7" s="10" t="str"/>
      <x:c r="I7" s="10" t="str"/>
      <x:c r="J7" s="10" t="str"/>
      <x:c r="K7" s="10" t="str">
        <x:f>IF(COUNTIF(D7:J7,"FAIL")&gt;0,"NOT_COMPARABLE",IF(COUNTBLANK(D7:J7)&gt;0,"INCOMPLETE","COMPARABLE"))</x:f>
        <x:v>INCOMPLETE</x:v>
      </x:c>
      <x:c r="L7" s="10" t="str"/>
      <x:c r="M7" s="10" t="str"/>
      <x:c r="N7" s="10" t="str"/>
      <x:c r="O7" s="10" t="str"/>
      <x:c r="P7" s="10" t="str"/>
      <x:c r="Q7" s="10" t="str"/>
      <x:c r="R7" s="10" t="str"/>
      <x:c r="S7" s="10" t="str"/>
      <x:c r="T7" s="10" t="str"/>
    </x:row>
    <x:row r="8" ht="30" customHeight="1">
      <x:c r="A8" s="10" t="str">
        <x:v>RFQ-07</x:v>
      </x:c>
      <x:c r="B8" s="10" t="str"/>
      <x:c r="C8" s="10" t="str"/>
      <x:c r="D8" s="10" t="str"/>
      <x:c r="E8" s="10" t="str"/>
      <x:c r="F8" s="10" t="str"/>
      <x:c r="G8" s="10" t="str"/>
      <x:c r="H8" s="10" t="str"/>
      <x:c r="I8" s="10" t="str"/>
      <x:c r="J8" s="10" t="str"/>
      <x:c r="K8" s="10" t="str">
        <x:f>IF(COUNTIF(D8:J8,"FAIL")&gt;0,"NOT_COMPARABLE",IF(COUNTBLANK(D8:J8)&gt;0,"INCOMPLETE","COMPARABLE"))</x:f>
        <x:v>INCOMPLETE</x:v>
      </x:c>
      <x:c r="L8" s="10" t="str"/>
      <x:c r="M8" s="10" t="str"/>
      <x:c r="N8" s="10" t="str"/>
      <x:c r="O8" s="10" t="str"/>
      <x:c r="P8" s="10" t="str"/>
      <x:c r="Q8" s="10" t="str"/>
      <x:c r="R8" s="10" t="str"/>
      <x:c r="S8" s="10" t="str"/>
      <x:c r="T8" s="10" t="str"/>
    </x:row>
    <x:row r="9" ht="30" customHeight="1">
      <x:c r="A9" s="10" t="str">
        <x:v>RFQ-08</x:v>
      </x:c>
      <x:c r="B9" s="10" t="str"/>
      <x:c r="C9" s="10" t="str"/>
      <x:c r="D9" s="10" t="str"/>
      <x:c r="E9" s="10" t="str"/>
      <x:c r="F9" s="10" t="str"/>
      <x:c r="G9" s="10" t="str"/>
      <x:c r="H9" s="10" t="str"/>
      <x:c r="I9" s="10" t="str"/>
      <x:c r="J9" s="10" t="str"/>
      <x:c r="K9" s="10" t="str">
        <x:f>IF(COUNTIF(D9:J9,"FAIL")&gt;0,"NOT_COMPARABLE",IF(COUNTBLANK(D9:J9)&gt;0,"INCOMPLETE","COMPARABLE"))</x:f>
        <x:v>INCOMPLETE</x:v>
      </x:c>
      <x:c r="L9" s="10" t="str"/>
      <x:c r="M9" s="10" t="str"/>
      <x:c r="N9" s="10" t="str"/>
      <x:c r="O9" s="10" t="str"/>
      <x:c r="P9" s="10" t="str"/>
      <x:c r="Q9" s="10" t="str"/>
      <x:c r="R9" s="10" t="str"/>
      <x:c r="S9" s="10" t="str"/>
      <x:c r="T9" s="10" t="str"/>
    </x:row>
    <x:row r="10" ht="30" customHeight="1">
      <x:c r="A10" s="10" t="str">
        <x:v>RFQ-09</x:v>
      </x:c>
      <x:c r="B10" s="10" t="str"/>
      <x:c r="C10" s="10" t="str"/>
      <x:c r="D10" s="10" t="str"/>
      <x:c r="E10" s="10" t="str"/>
      <x:c r="F10" s="10" t="str"/>
      <x:c r="G10" s="10" t="str"/>
      <x:c r="H10" s="10" t="str"/>
      <x:c r="I10" s="10" t="str"/>
      <x:c r="J10" s="10" t="str"/>
      <x:c r="K10" s="10" t="str">
        <x:f>IF(COUNTIF(D10:J10,"FAIL")&gt;0,"NOT_COMPARABLE",IF(COUNTBLANK(D10:J10)&gt;0,"INCOMPLETE","COMPARABLE"))</x:f>
        <x:v>INCOMPLETE</x:v>
      </x:c>
      <x:c r="L10" s="10" t="str"/>
      <x:c r="M10" s="10" t="str"/>
      <x:c r="N10" s="10" t="str"/>
      <x:c r="O10" s="10" t="str"/>
      <x:c r="P10" s="10" t="str"/>
      <x:c r="Q10" s="10" t="str"/>
      <x:c r="R10" s="10" t="str"/>
      <x:c r="S10" s="10" t="str"/>
      <x:c r="T10" s="10" t="str"/>
    </x:row>
    <x:row r="11" ht="30" customHeight="1">
      <x:c r="A11" s="10" t="str">
        <x:v>RFQ-10</x:v>
      </x:c>
      <x:c r="B11" s="10" t="str"/>
      <x:c r="C11" s="10" t="str"/>
      <x:c r="D11" s="10" t="str"/>
      <x:c r="E11" s="10" t="str"/>
      <x:c r="F11" s="10" t="str"/>
      <x:c r="G11" s="10" t="str"/>
      <x:c r="H11" s="10" t="str"/>
      <x:c r="I11" s="10" t="str"/>
      <x:c r="J11" s="10" t="str"/>
      <x:c r="K11" s="10" t="str">
        <x:f>IF(COUNTIF(D11:J11,"FAIL")&gt;0,"NOT_COMPARABLE",IF(COUNTBLANK(D11:J11)&gt;0,"INCOMPLETE","COMPARABLE"))</x:f>
        <x:v>INCOMPLETE</x:v>
      </x:c>
      <x:c r="L11" s="10" t="str"/>
      <x:c r="M11" s="10" t="str"/>
      <x:c r="N11" s="10" t="str"/>
      <x:c r="O11" s="10" t="str"/>
      <x:c r="P11" s="10" t="str"/>
      <x:c r="Q11" s="10" t="str"/>
      <x:c r="R11" s="10" t="str"/>
      <x:c r="S11" s="10" t="str"/>
      <x:c r="T11" s="10" t="str"/>
    </x:row>
    <x:row r="12" ht="30" customHeight="1">
      <x:c r="A12" s="10" t="str">
        <x:v>RFQ-11</x:v>
      </x:c>
      <x:c r="B12" s="10" t="str"/>
      <x:c r="C12" s="10" t="str"/>
      <x:c r="D12" s="10" t="str"/>
      <x:c r="E12" s="10" t="str"/>
      <x:c r="F12" s="10" t="str"/>
      <x:c r="G12" s="10" t="str"/>
      <x:c r="H12" s="10" t="str"/>
      <x:c r="I12" s="10" t="str"/>
      <x:c r="J12" s="10" t="str"/>
      <x:c r="K12" s="10" t="str">
        <x:f>IF(COUNTIF(D12:J12,"FAIL")&gt;0,"NOT_COMPARABLE",IF(COUNTBLANK(D12:J12)&gt;0,"INCOMPLETE","COMPARABLE"))</x:f>
        <x:v>INCOMPLETE</x:v>
      </x:c>
      <x:c r="L12" s="10" t="str"/>
      <x:c r="M12" s="10" t="str"/>
      <x:c r="N12" s="10" t="str"/>
      <x:c r="O12" s="10" t="str"/>
      <x:c r="P12" s="10" t="str"/>
      <x:c r="Q12" s="10" t="str"/>
      <x:c r="R12" s="10" t="str"/>
      <x:c r="S12" s="10" t="str"/>
      <x:c r="T12" s="10" t="str"/>
    </x:row>
    <x:row r="13" ht="30" customHeight="1">
      <x:c r="A13" s="10" t="str">
        <x:v>RFQ-12</x:v>
      </x:c>
      <x:c r="B13" s="10" t="str"/>
      <x:c r="C13" s="10" t="str"/>
      <x:c r="D13" s="10" t="str"/>
      <x:c r="E13" s="10" t="str"/>
      <x:c r="F13" s="10" t="str"/>
      <x:c r="G13" s="10" t="str"/>
      <x:c r="H13" s="10" t="str"/>
      <x:c r="I13" s="10" t="str"/>
      <x:c r="J13" s="10" t="str"/>
      <x:c r="K13" s="10" t="str">
        <x:f>IF(COUNTIF(D13:J13,"FAIL")&gt;0,"NOT_COMPARABLE",IF(COUNTBLANK(D13:J13)&gt;0,"INCOMPLETE","COMPARABLE"))</x:f>
        <x:v>INCOMPLETE</x:v>
      </x:c>
      <x:c r="L13" s="10" t="str"/>
      <x:c r="M13" s="10" t="str"/>
      <x:c r="N13" s="10" t="str"/>
      <x:c r="O13" s="10" t="str"/>
      <x:c r="P13" s="10" t="str"/>
      <x:c r="Q13" s="10" t="str"/>
      <x:c r="R13" s="10" t="str"/>
      <x:c r="S13" s="10" t="str"/>
      <x:c r="T13" s="10" t="str"/>
    </x:row>
    <x:row r="14" ht="30" customHeight="1">
      <x:c r="A14" s="10" t="str">
        <x:v>RFQ-13</x:v>
      </x:c>
      <x:c r="B14" s="10" t="str"/>
      <x:c r="C14" s="10" t="str"/>
      <x:c r="D14" s="10" t="str"/>
      <x:c r="E14" s="10" t="str"/>
      <x:c r="F14" s="10" t="str"/>
      <x:c r="G14" s="10" t="str"/>
      <x:c r="H14" s="10" t="str"/>
      <x:c r="I14" s="10" t="str"/>
      <x:c r="J14" s="10" t="str"/>
      <x:c r="K14" s="10" t="str">
        <x:f>IF(COUNTIF(D14:J14,"FAIL")&gt;0,"NOT_COMPARABLE",IF(COUNTBLANK(D14:J14)&gt;0,"INCOMPLETE","COMPARABLE"))</x:f>
        <x:v>INCOMPLETE</x:v>
      </x:c>
      <x:c r="L14" s="10" t="str"/>
      <x:c r="M14" s="10" t="str"/>
      <x:c r="N14" s="10" t="str"/>
      <x:c r="O14" s="10" t="str"/>
      <x:c r="P14" s="10" t="str"/>
      <x:c r="Q14" s="10" t="str"/>
      <x:c r="R14" s="10" t="str"/>
      <x:c r="S14" s="10" t="str"/>
      <x:c r="T14" s="10" t="str"/>
    </x:row>
    <x:row r="15" ht="30" customHeight="1">
      <x:c r="A15" s="10" t="str">
        <x:v>RFQ-14</x:v>
      </x:c>
      <x:c r="B15" s="10" t="str"/>
      <x:c r="C15" s="10" t="str"/>
      <x:c r="D15" s="10" t="str"/>
      <x:c r="E15" s="10" t="str"/>
      <x:c r="F15" s="10" t="str"/>
      <x:c r="G15" s="10" t="str"/>
      <x:c r="H15" s="10" t="str"/>
      <x:c r="I15" s="10" t="str"/>
      <x:c r="J15" s="10" t="str"/>
      <x:c r="K15" s="10" t="str">
        <x:f>IF(COUNTIF(D15:J15,"FAIL")&gt;0,"NOT_COMPARABLE",IF(COUNTBLANK(D15:J15)&gt;0,"INCOMPLETE","COMPARABLE"))</x:f>
        <x:v>INCOMPLETE</x:v>
      </x:c>
      <x:c r="L15" s="10" t="str"/>
      <x:c r="M15" s="10" t="str"/>
      <x:c r="N15" s="10" t="str"/>
      <x:c r="O15" s="10" t="str"/>
      <x:c r="P15" s="10" t="str"/>
      <x:c r="Q15" s="10" t="str"/>
      <x:c r="R15" s="10" t="str"/>
      <x:c r="S15" s="10" t="str"/>
      <x:c r="T15" s="10" t="str"/>
    </x:row>
    <x:row r="16" ht="30" customHeight="1">
      <x:c r="A16" s="10" t="str">
        <x:v>RFQ-15</x:v>
      </x:c>
      <x:c r="B16" s="10" t="str"/>
      <x:c r="C16" s="10" t="str"/>
      <x:c r="D16" s="10" t="str"/>
      <x:c r="E16" s="10" t="str"/>
      <x:c r="F16" s="10" t="str"/>
      <x:c r="G16" s="10" t="str"/>
      <x:c r="H16" s="10" t="str"/>
      <x:c r="I16" s="10" t="str"/>
      <x:c r="J16" s="10" t="str"/>
      <x:c r="K16" s="10" t="str">
        <x:f>IF(COUNTIF(D16:J16,"FAIL")&gt;0,"NOT_COMPARABLE",IF(COUNTBLANK(D16:J16)&gt;0,"INCOMPLETE","COMPARABLE"))</x:f>
        <x:v>INCOMPLETE</x:v>
      </x:c>
      <x:c r="L16" s="10" t="str"/>
      <x:c r="M16" s="10" t="str"/>
      <x:c r="N16" s="10" t="str"/>
      <x:c r="O16" s="10" t="str"/>
      <x:c r="P16" s="10" t="str"/>
      <x:c r="Q16" s="10" t="str"/>
      <x:c r="R16" s="10" t="str"/>
      <x:c r="S16" s="10" t="str"/>
      <x:c r="T16" s="10" t="str"/>
    </x:row>
    <x:row r="17" ht="30" customHeight="1">
      <x:c r="A17" s="10" t="str">
        <x:v>RFQ-16</x:v>
      </x:c>
      <x:c r="B17" s="10" t="str"/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>
        <x:f>IF(COUNTIF(D17:J17,"FAIL")&gt;0,"NOT_COMPARABLE",IF(COUNTBLANK(D17:J17)&gt;0,"INCOMPLETE","COMPARABLE"))</x:f>
        <x:v>INCOMPLETE</x:v>
      </x:c>
      <x:c r="L17" s="10" t="str"/>
      <x:c r="M17" s="10" t="str"/>
      <x:c r="N17" s="10" t="str"/>
      <x:c r="O17" s="10" t="str"/>
      <x:c r="P17" s="10" t="str"/>
      <x:c r="Q17" s="10" t="str"/>
      <x:c r="R17" s="10" t="str"/>
      <x:c r="S17" s="10" t="str"/>
      <x:c r="T17" s="10" t="str"/>
    </x:row>
    <x:row r="18" ht="30" customHeight="1">
      <x:c r="A18" s="10" t="str">
        <x:v>RFQ-17</x:v>
      </x:c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>
        <x:f>IF(COUNTIF(D18:J18,"FAIL")&gt;0,"NOT_COMPARABLE",IF(COUNTBLANK(D18:J18)&gt;0,"INCOMPLETE","COMPARABLE"))</x:f>
        <x:v>INCOMPLETE</x:v>
      </x:c>
      <x:c r="L18" s="10" t="str"/>
      <x:c r="M18" s="10" t="str"/>
      <x:c r="N18" s="10" t="str"/>
      <x:c r="O18" s="10" t="str"/>
      <x:c r="P18" s="10" t="str"/>
      <x:c r="Q18" s="10" t="str"/>
      <x:c r="R18" s="10" t="str"/>
      <x:c r="S18" s="10" t="str"/>
      <x:c r="T18" s="10" t="str"/>
    </x:row>
    <x:row r="19" ht="30" customHeight="1">
      <x:c r="A19" s="10" t="str">
        <x:v>RFQ-18</x:v>
      </x:c>
      <x:c r="B19" s="10" t="str"/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  <x:c r="K19" s="10" t="str">
        <x:f>IF(COUNTIF(D19:J19,"FAIL")&gt;0,"NOT_COMPARABLE",IF(COUNTBLANK(D19:J19)&gt;0,"INCOMPLETE","COMPARABLE"))</x:f>
        <x:v>INCOMPLETE</x:v>
      </x:c>
      <x:c r="L19" s="10" t="str"/>
      <x:c r="M19" s="10" t="str"/>
      <x:c r="N19" s="10" t="str"/>
      <x:c r="O19" s="10" t="str"/>
      <x:c r="P19" s="10" t="str"/>
      <x:c r="Q19" s="10" t="str"/>
      <x:c r="R19" s="10" t="str"/>
      <x:c r="S19" s="10" t="str"/>
      <x:c r="T19" s="10" t="str"/>
    </x:row>
    <x:row r="20" ht="30" customHeight="1">
      <x:c r="A20" s="10" t="str">
        <x:v>RFQ-19</x:v>
      </x:c>
      <x:c r="B20" s="10" t="str"/>
      <x:c r="C20" s="10" t="str"/>
      <x:c r="D20" s="10" t="str"/>
      <x:c r="E20" s="10" t="str"/>
      <x:c r="F20" s="10" t="str"/>
      <x:c r="G20" s="10" t="str"/>
      <x:c r="H20" s="10" t="str"/>
      <x:c r="I20" s="10" t="str"/>
      <x:c r="J20" s="10" t="str"/>
      <x:c r="K20" s="10" t="str">
        <x:f>IF(COUNTIF(D20:J20,"FAIL")&gt;0,"NOT_COMPARABLE",IF(COUNTBLANK(D20:J20)&gt;0,"INCOMPLETE","COMPARABLE"))</x:f>
        <x:v>INCOMPLETE</x:v>
      </x:c>
      <x:c r="L20" s="10" t="str"/>
      <x:c r="M20" s="10" t="str"/>
      <x:c r="N20" s="10" t="str"/>
      <x:c r="O20" s="10" t="str"/>
      <x:c r="P20" s="10" t="str"/>
      <x:c r="Q20" s="10" t="str"/>
      <x:c r="R20" s="10" t="str"/>
      <x:c r="S20" s="10" t="str"/>
      <x:c r="T20" s="10" t="str"/>
    </x:row>
    <x:row r="21" ht="30" customHeight="1">
      <x:c r="A21" s="11" t="str">
        <x:v>RFQ-20</x:v>
      </x:c>
      <x:c r="B21" s="11" t="str"/>
      <x:c r="C21" s="11" t="str"/>
      <x:c r="D21" s="11" t="str"/>
      <x:c r="E21" s="11" t="str"/>
      <x:c r="F21" s="11" t="str"/>
      <x:c r="G21" s="11" t="str"/>
      <x:c r="H21" s="11" t="str"/>
      <x:c r="I21" s="11" t="str"/>
      <x:c r="J21" s="11" t="str"/>
      <x:c r="K21" s="11" t="str">
        <x:f>IF(COUNTIF(D21:J21,"FAIL")&gt;0,"NOT_COMPARABLE",IF(COUNTBLANK(D21:J21)&gt;0,"INCOMPLETE","COMPARABLE"))</x:f>
        <x:v>INCOMPLETE</x:v>
      </x:c>
      <x:c r="L21" s="11" t="str"/>
      <x:c r="M21" s="11" t="str"/>
      <x:c r="N21" s="11" t="str"/>
      <x:c r="O21" s="11" t="str"/>
      <x:c r="P21" s="11" t="str"/>
      <x:c r="Q21" s="11" t="str"/>
      <x:c r="R21" s="11" t="str"/>
      <x:c r="S21" s="11" t="str"/>
      <x:c r="T21" s="1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.050000190734863" hidden="0" customWidth="1"/>
    <x:col min="4" max="4" width="15.300000190734863" hidden="0" customWidth="1"/>
    <x:col min="5" max="5" width="15.300000190734863" hidden="0" customWidth="1"/>
    <x:col min="6" max="6" width="11" hidden="0" customWidth="1"/>
    <x:col min="7" max="7" width="18.700000762939453" hidden="0" customWidth="1"/>
    <x:col min="8" max="8" width="14.449999809265137" hidden="0" customWidth="1"/>
    <x:col min="9" max="9" width="11" hidden="0" customWidth="1"/>
    <x:col min="10" max="10" width="11" hidden="0" customWidth="1"/>
    <x:col min="11" max="11" width="11" hidden="0" customWidth="1"/>
    <x:col min="12" max="12" width="15.300000190734863" hidden="0" customWidth="1"/>
    <x:col min="13" max="13" width="11" hidden="0" customWidth="1"/>
    <x:col min="14" max="14" width="11.899999618530273" hidden="0" customWidth="1"/>
    <x:col min="15" max="15" width="12.75" hidden="0" customWidth="1"/>
    <x:col min="16" max="16" width="14.449999809265137" hidden="0" customWidth="1"/>
    <x:col min="17" max="17" width="11" hidden="0" customWidth="1"/>
    <x:col min="18" max="18" width="15.300000190734863" hidden="0" customWidth="1"/>
    <x:col min="19" max="19" width="20" hidden="0" customWidth="1"/>
    <x:col min="20" max="20" width="11" hidden="0" customWidth="1"/>
    <x:col min="21" max="21" width="11" hidden="0" customWidth="1"/>
    <x:col min="22" max="22" width="17.850000381469727" hidden="0" customWidth="1"/>
    <x:col min="23" max="23" width="20" hidden="0" customWidth="1"/>
    <x:col min="24" max="24" width="15.300000190734863" hidden="0" customWidth="1"/>
    <x:col min="25" max="25" width="11.899999618530273" hidden="0" customWidth="1"/>
    <x:col min="26" max="26" width="16.149999618530273" hidden="0" customWidth="1"/>
    <x:col min="27" max="27" width="11" hidden="0" customWidth="1"/>
    <x:col min="28" max="28" width="18" hidden="0" customWidth="1"/>
    <x:col min="29" max="29" width="11" hidden="0" customWidth="1"/>
  </x:cols>
  <x:sheetData>
    <x:row r="1" ht="34" customHeight="1">
      <x:c r="A1" s="9" t="str">
        <x:v>WC_CODE</x:v>
      </x:c>
      <x:c r="B1" s="9" t="str">
        <x:v>CATEGORY</x:v>
      </x:c>
      <x:c r="C1" s="9" t="str">
        <x:v>ITEM_OR_GROUP</x:v>
      </x:c>
      <x:c r="D1" s="9" t="str">
        <x:v>BUSINESS_DIRECTION</x:v>
      </x:c>
      <x:c r="E1" s="9" t="str">
        <x:v>DAILY_GROSS_DEMAND</x:v>
      </x:c>
      <x:c r="F1" s="9" t="str">
        <x:v>DEMAND_UNIT</x:v>
      </x:c>
      <x:c r="G1" s="9" t="str">
        <x:v>DELIVERY_INTERVAL_DAYS</x:v>
      </x:c>
      <x:c r="H1" s="9" t="str">
        <x:v>SAFETY_STOCK_DAYS</x:v>
      </x:c>
      <x:c r="I1" s="9" t="str">
        <x:v>PACK_NET_QTY</x:v>
      </x:c>
      <x:c r="J1" s="9" t="str">
        <x:v>PACK_UNIT</x:v>
      </x:c>
      <x:c r="K1" s="9" t="str">
        <x:v>MOQ_PACKS</x:v>
      </x:c>
      <x:c r="L1" s="9" t="str">
        <x:v>PRICE_PER_PACK_RUB</x:v>
      </x:c>
      <x:c r="M1" s="9" t="str">
        <x:v>VAT_RATE</x:v>
      </x:c>
      <x:c r="N1" s="9" t="str">
        <x:v>LEAD_TIME_DAYS</x:v>
      </x:c>
      <x:c r="O1" s="9" t="str">
        <x:v>SHELF_LIFE_DAYS</x:v>
      </x:c>
      <x:c r="P1" s="9" t="str">
        <x:v>OPENING_STOCK_QTY</x:v>
      </x:c>
      <x:c r="Q1" s="9" t="str">
        <x:v>WIP_QTY</x:v>
      </x:c>
      <x:c r="R1" s="9" t="str">
        <x:v>FINISHED_GOODS_QTY</x:v>
      </x:c>
      <x:c r="S1" s="9" t="str">
        <x:v>SUPPLIER_PREPAYMENT_RATE</x:v>
      </x:c>
      <x:c r="T1" s="9" t="str">
        <x:v>AP_DAYS</x:v>
      </x:c>
      <x:c r="U1" s="9" t="str">
        <x:v>AR_DAYS</x:v>
      </x:c>
      <x:c r="V1" s="9" t="str">
        <x:v>CUSTOMER_ADVANCE_RATE</x:v>
      </x:c>
      <x:c r="W1" s="9" t="str">
        <x:v>PRODUCTION_RESERVE_ALREADY_INCLUDED</x:v>
      </x:c>
      <x:c r="X1" s="9" t="str">
        <x:v>REQUIRED_GROSS_QTY</x:v>
      </x:c>
      <x:c r="Y1" s="9" t="str">
        <x:v>PURCHASE_PACKS</x:v>
      </x:c>
      <x:c r="Z1" s="9" t="str">
        <x:v>INVENTORY_VALUE_RUB</x:v>
      </x:c>
      <x:c r="AA1" s="9" t="str">
        <x:v>DATA_STATUS</x:v>
      </x:c>
      <x:c r="AB1" s="9" t="str">
        <x:v>SOURCE_ID</x:v>
      </x:c>
      <x:c r="AC1" s="9" t="str">
        <x:v>OWNER</x:v>
      </x:c>
    </x:row>
    <x:row r="2" ht="30" customHeight="1">
      <x:c r="A2" s="10" t="str">
        <x:v>WC.FOOD.001</x:v>
      </x:c>
      <x:c r="B2" s="10" t="str">
        <x:v>Сырьё</x:v>
      </x:c>
      <x:c r="C2" s="10" t="str">
        <x:v>Зелень, листья, буррата</x:v>
      </x:c>
      <x:c r="D2" s="10" t="str">
        <x:v>SHARED</x:v>
      </x:c>
      <x:c r="E2" s="10" t="str"/>
      <x:c r="F2" s="10" t="str">
        <x:v>кг</x:v>
      </x:c>
      <x:c r="G2" s="10" t="n">
        <x:v>2.5</x:v>
      </x:c>
      <x:c r="H2" s="10" t="n">
        <x:v>0</x:v>
      </x:c>
      <x:c r="I2" s="10" t="str"/>
      <x:c r="J2" s="10" t="str">
        <x:v>кг</x:v>
      </x:c>
      <x:c r="K2" s="10" t="str"/>
      <x:c r="L2" s="21" t="str"/>
      <x:c r="M2" s="10" t="str"/>
      <x:c r="N2" s="10" t="str"/>
      <x:c r="O2" s="10" t="str"/>
      <x:c r="P2" s="10" t="str"/>
      <x:c r="Q2" s="10" t="str"/>
      <x:c r="R2" s="10" t="str"/>
      <x:c r="S2" s="23" t="str"/>
      <x:c r="T2" s="23" t="str"/>
      <x:c r="U2" s="23" t="str"/>
      <x:c r="V2" s="23" t="str"/>
      <x:c r="W2" s="10" t="str">
        <x:v>YES</x:v>
      </x:c>
      <x:c r="X2" s="10" t="str">
        <x:f>IF(E2="","",E2*(G2+H2))</x:f>
      </x:c>
      <x:c r="Y2" s="10" t="str">
        <x:f>IF(OR(X2="",I2="",K2=""),"",CEILING(X2/I2,K2))</x:f>
      </x:c>
      <x:c r="Z2" s="21" t="str">
        <x:f>IF(OR(Y2="",L2=""),"",Y2*L2)</x:f>
      </x:c>
      <x:c r="AA2" s="10" t="str">
        <x:v>DATA_REQUIRED</x:v>
      </x:c>
      <x:c r="AB2" s="10" t="str"/>
      <x:c r="AC2" s="10" t="str">
        <x:v>Закупки</x:v>
      </x:c>
    </x:row>
    <x:row r="3" ht="30" customHeight="1">
      <x:c r="A3" s="10" t="str">
        <x:v>WC.FOOD.002</x:v>
      </x:c>
      <x:c r="B3" s="10" t="str">
        <x:v>Сырьё</x:v>
      </x:c>
      <x:c r="C3" s="10" t="str">
        <x:v>Овощи и фрукты</x:v>
      </x:c>
      <x:c r="D3" s="10" t="str">
        <x:v>SHARED</x:v>
      </x:c>
      <x:c r="E3" s="10" t="str"/>
      <x:c r="F3" s="10" t="str">
        <x:v>кг</x:v>
      </x:c>
      <x:c r="G3" s="10" t="n">
        <x:v>4</x:v>
      </x:c>
      <x:c r="H3" s="10" t="n">
        <x:v>0</x:v>
      </x:c>
      <x:c r="I3" s="10" t="str"/>
      <x:c r="J3" s="10" t="str">
        <x:v>кг</x:v>
      </x:c>
      <x:c r="K3" s="10" t="str"/>
      <x:c r="L3" s="21" t="str"/>
      <x:c r="M3" s="10" t="str"/>
      <x:c r="N3" s="10" t="str"/>
      <x:c r="O3" s="10" t="str"/>
      <x:c r="P3" s="10" t="str"/>
      <x:c r="Q3" s="10" t="str"/>
      <x:c r="R3" s="10" t="str"/>
      <x:c r="S3" s="23" t="str"/>
      <x:c r="T3" s="23" t="str"/>
      <x:c r="U3" s="23" t="str"/>
      <x:c r="V3" s="23" t="str"/>
      <x:c r="W3" s="10" t="str">
        <x:v>YES</x:v>
      </x:c>
      <x:c r="X3" s="10" t="str">
        <x:f>IF(E3="","",E3*(G3+H3))</x:f>
      </x:c>
      <x:c r="Y3" s="10" t="str">
        <x:f>IF(OR(X3="",I3="",K3=""),"",CEILING(X3/I3,K3))</x:f>
      </x:c>
      <x:c r="Z3" s="21" t="str">
        <x:f>IF(OR(Y3="",L3=""),"",Y3*L3)</x:f>
      </x:c>
      <x:c r="AA3" s="10" t="str">
        <x:v>DATA_REQUIRED</x:v>
      </x:c>
      <x:c r="AB3" s="10" t="str"/>
      <x:c r="AC3" s="10" t="str">
        <x:v>Закупки</x:v>
      </x:c>
    </x:row>
    <x:row r="4" ht="30" customHeight="1">
      <x:c r="A4" s="10" t="str">
        <x:v>WC.FOOD.003</x:v>
      </x:c>
      <x:c r="B4" s="10" t="str">
        <x:v>Сырьё</x:v>
      </x:c>
      <x:c r="C4" s="10" t="str">
        <x:v>Сырая говядина</x:v>
      </x:c>
      <x:c r="D4" s="10" t="str">
        <x:v>SHARED</x:v>
      </x:c>
      <x:c r="E4" s="10" t="str"/>
      <x:c r="F4" s="10" t="str">
        <x:v>кг</x:v>
      </x:c>
      <x:c r="G4" s="10" t="n">
        <x:v>4</x:v>
      </x:c>
      <x:c r="H4" s="10" t="n">
        <x:v>0</x:v>
      </x:c>
      <x:c r="I4" s="10" t="str"/>
      <x:c r="J4" s="10" t="str">
        <x:v>кг</x:v>
      </x:c>
      <x:c r="K4" s="10" t="str"/>
      <x:c r="L4" s="21" t="str"/>
      <x:c r="M4" s="10" t="str"/>
      <x:c r="N4" s="10" t="str"/>
      <x:c r="O4" s="10" t="str"/>
      <x:c r="P4" s="10" t="str"/>
      <x:c r="Q4" s="10" t="str"/>
      <x:c r="R4" s="10" t="str"/>
      <x:c r="S4" s="23" t="str"/>
      <x:c r="T4" s="23" t="str"/>
      <x:c r="U4" s="23" t="str"/>
      <x:c r="V4" s="23" t="str"/>
      <x:c r="W4" s="10" t="str">
        <x:v>YES</x:v>
      </x:c>
      <x:c r="X4" s="10" t="str">
        <x:f>IF(E4="","",E4*(G4+H4))</x:f>
      </x:c>
      <x:c r="Y4" s="10" t="str">
        <x:f>IF(OR(X4="",I4="",K4=""),"",CEILING(X4/I4,K4))</x:f>
      </x:c>
      <x:c r="Z4" s="21" t="str">
        <x:f>IF(OR(Y4="",L4=""),"",Y4*L4)</x:f>
      </x:c>
      <x:c r="AA4" s="10" t="str">
        <x:v>DATA_REQUIRED</x:v>
      </x:c>
      <x:c r="AB4" s="10" t="str"/>
      <x:c r="AC4" s="10" t="str">
        <x:v>Закупки</x:v>
      </x:c>
    </x:row>
    <x:row r="5" ht="30" customHeight="1">
      <x:c r="A5" s="10" t="str">
        <x:v>WC.FOOD.004</x:v>
      </x:c>
      <x:c r="B5" s="10" t="str">
        <x:v>Сырьё</x:v>
      </x:c>
      <x:c r="C5" s="10" t="str">
        <x:v>Готовые лосось и ростбиф</x:v>
      </x:c>
      <x:c r="D5" s="10" t="str">
        <x:v>SHARED</x:v>
      </x:c>
      <x:c r="E5" s="10" t="str"/>
      <x:c r="F5" s="10" t="str">
        <x:v>кг</x:v>
      </x:c>
      <x:c r="G5" s="10" t="n">
        <x:v>4</x:v>
      </x:c>
      <x:c r="H5" s="10" t="n">
        <x:v>0</x:v>
      </x:c>
      <x:c r="I5" s="10" t="str"/>
      <x:c r="J5" s="10" t="str">
        <x:v>кг</x:v>
      </x:c>
      <x:c r="K5" s="10" t="str"/>
      <x:c r="L5" s="21" t="str"/>
      <x:c r="M5" s="10" t="str"/>
      <x:c r="N5" s="10" t="str"/>
      <x:c r="O5" s="10" t="str"/>
      <x:c r="P5" s="10" t="str"/>
      <x:c r="Q5" s="10" t="str"/>
      <x:c r="R5" s="10" t="str"/>
      <x:c r="S5" s="23" t="str"/>
      <x:c r="T5" s="23" t="str"/>
      <x:c r="U5" s="23" t="str"/>
      <x:c r="V5" s="23" t="str"/>
      <x:c r="W5" s="10" t="str">
        <x:v>YES</x:v>
      </x:c>
      <x:c r="X5" s="10" t="str">
        <x:f>IF(E5="","",E5*(G5+H5))</x:f>
      </x:c>
      <x:c r="Y5" s="10" t="str">
        <x:f>IF(OR(X5="",I5="",K5=""),"",CEILING(X5/I5,K5))</x:f>
      </x:c>
      <x:c r="Z5" s="21" t="str">
        <x:f>IF(OR(Y5="",L5=""),"",Y5*L5)</x:f>
      </x:c>
      <x:c r="AA5" s="10" t="str">
        <x:v>DATA_REQUIRED</x:v>
      </x:c>
      <x:c r="AB5" s="10" t="str"/>
      <x:c r="AC5" s="10" t="str">
        <x:v>Закупки</x:v>
      </x:c>
    </x:row>
    <x:row r="6" ht="30" customHeight="1">
      <x:c r="A6" s="10" t="str">
        <x:v>WC.FOOD.005</x:v>
      </x:c>
      <x:c r="B6" s="10" t="str">
        <x:v>Сырьё</x:v>
      </x:c>
      <x:c r="C6" s="10" t="str">
        <x:v>Молочная продукция, сыр, яйца</x:v>
      </x:c>
      <x:c r="D6" s="10" t="str">
        <x:v>SHARED</x:v>
      </x:c>
      <x:c r="E6" s="10" t="str"/>
      <x:c r="F6" s="10" t="str">
        <x:v>кг/шт</x:v>
      </x:c>
      <x:c r="G6" s="10" t="n">
        <x:v>5</x:v>
      </x:c>
      <x:c r="H6" s="10" t="n">
        <x:v>0</x:v>
      </x:c>
      <x:c r="I6" s="10" t="str"/>
      <x:c r="J6" s="10" t="str">
        <x:v>кг/шт</x:v>
      </x:c>
      <x:c r="K6" s="10" t="str"/>
      <x:c r="L6" s="21" t="str"/>
      <x:c r="M6" s="10" t="str"/>
      <x:c r="N6" s="10" t="str"/>
      <x:c r="O6" s="10" t="str"/>
      <x:c r="P6" s="10" t="str"/>
      <x:c r="Q6" s="10" t="str"/>
      <x:c r="R6" s="10" t="str"/>
      <x:c r="S6" s="23" t="str"/>
      <x:c r="T6" s="23" t="str"/>
      <x:c r="U6" s="23" t="str"/>
      <x:c r="V6" s="23" t="str"/>
      <x:c r="W6" s="10" t="str">
        <x:v>YES</x:v>
      </x:c>
      <x:c r="X6" s="10" t="str">
        <x:f>IF(E6="","",E6*(G6+H6))</x:f>
      </x:c>
      <x:c r="Y6" s="10" t="str">
        <x:f>IF(OR(X6="",I6="",K6=""),"",CEILING(X6/I6,K6))</x:f>
      </x:c>
      <x:c r="Z6" s="21" t="str">
        <x:f>IF(OR(Y6="",L6=""),"",Y6*L6)</x:f>
      </x:c>
      <x:c r="AA6" s="10" t="str">
        <x:v>DATA_REQUIRED</x:v>
      </x:c>
      <x:c r="AB6" s="10" t="str"/>
      <x:c r="AC6" s="10" t="str">
        <x:v>Закупки</x:v>
      </x:c>
    </x:row>
    <x:row r="7" ht="30" customHeight="1">
      <x:c r="A7" s="10" t="str">
        <x:v>WC.FOOD.006</x:v>
      </x:c>
      <x:c r="B7" s="10" t="str">
        <x:v>Сырьё</x:v>
      </x:c>
      <x:c r="C7" s="10" t="str">
        <x:v>Замороженные рыба и креветки</x:v>
      </x:c>
      <x:c r="D7" s="10" t="str">
        <x:v>SHARED</x:v>
      </x:c>
      <x:c r="E7" s="10" t="str"/>
      <x:c r="F7" s="10" t="str">
        <x:v>кг</x:v>
      </x:c>
      <x:c r="G7" s="10" t="n">
        <x:v>9</x:v>
      </x:c>
      <x:c r="H7" s="10" t="n">
        <x:v>0</x:v>
      </x:c>
      <x:c r="I7" s="10" t="str"/>
      <x:c r="J7" s="10" t="str">
        <x:v>кг</x:v>
      </x:c>
      <x:c r="K7" s="10" t="str"/>
      <x:c r="L7" s="21" t="str"/>
      <x:c r="M7" s="10" t="str"/>
      <x:c r="N7" s="10" t="str"/>
      <x:c r="O7" s="10" t="str"/>
      <x:c r="P7" s="10" t="str"/>
      <x:c r="Q7" s="10" t="str"/>
      <x:c r="R7" s="10" t="str"/>
      <x:c r="S7" s="23" t="str"/>
      <x:c r="T7" s="23" t="str"/>
      <x:c r="U7" s="23" t="str"/>
      <x:c r="V7" s="23" t="str"/>
      <x:c r="W7" s="10" t="str">
        <x:v>YES</x:v>
      </x:c>
      <x:c r="X7" s="10" t="str">
        <x:f>IF(E7="","",E7*(G7+H7))</x:f>
      </x:c>
      <x:c r="Y7" s="10" t="str">
        <x:f>IF(OR(X7="",I7="",K7=""),"",CEILING(X7/I7,K7))</x:f>
      </x:c>
      <x:c r="Z7" s="21" t="str">
        <x:f>IF(OR(Y7="",L7=""),"",Y7*L7)</x:f>
      </x:c>
      <x:c r="AA7" s="10" t="str">
        <x:v>DATA_REQUIRED</x:v>
      </x:c>
      <x:c r="AB7" s="10" t="str"/>
      <x:c r="AC7" s="10" t="str">
        <x:v>Закупки</x:v>
      </x:c>
    </x:row>
    <x:row r="8" ht="30" customHeight="1">
      <x:c r="A8" s="10" t="str">
        <x:v>WC.FOOD.007</x:v>
      </x:c>
      <x:c r="B8" s="10" t="str">
        <x:v>Сырьё</x:v>
      </x:c>
      <x:c r="C8" s="10" t="str">
        <x:v>Прочая замороженная продукция</x:v>
      </x:c>
      <x:c r="D8" s="10" t="str">
        <x:v>SHARED</x:v>
      </x:c>
      <x:c r="E8" s="10" t="str"/>
      <x:c r="F8" s="10" t="str">
        <x:v>кг</x:v>
      </x:c>
      <x:c r="G8" s="10" t="n">
        <x:v>9</x:v>
      </x:c>
      <x:c r="H8" s="10" t="n">
        <x:v>0</x:v>
      </x:c>
      <x:c r="I8" s="10" t="str"/>
      <x:c r="J8" s="10" t="str">
        <x:v>кг</x:v>
      </x:c>
      <x:c r="K8" s="10" t="str"/>
      <x:c r="L8" s="21" t="str"/>
      <x:c r="M8" s="10" t="str"/>
      <x:c r="N8" s="10" t="str"/>
      <x:c r="O8" s="10" t="str"/>
      <x:c r="P8" s="10" t="str"/>
      <x:c r="Q8" s="10" t="str"/>
      <x:c r="R8" s="10" t="str"/>
      <x:c r="S8" s="23" t="str"/>
      <x:c r="T8" s="23" t="str"/>
      <x:c r="U8" s="23" t="str"/>
      <x:c r="V8" s="23" t="str"/>
      <x:c r="W8" s="10" t="str">
        <x:v>YES</x:v>
      </x:c>
      <x:c r="X8" s="10" t="str">
        <x:f>IF(E8="","",E8*(G8+H8))</x:f>
      </x:c>
      <x:c r="Y8" s="10" t="str">
        <x:f>IF(OR(X8="",I8="",K8=""),"",CEILING(X8/I8,K8))</x:f>
      </x:c>
      <x:c r="Z8" s="21" t="str">
        <x:f>IF(OR(Y8="",L8=""),"",Y8*L8)</x:f>
      </x:c>
      <x:c r="AA8" s="10" t="str">
        <x:v>DATA_REQUIRED</x:v>
      </x:c>
      <x:c r="AB8" s="10" t="str"/>
      <x:c r="AC8" s="10" t="str">
        <x:v>Закупки</x:v>
      </x:c>
    </x:row>
    <x:row r="9" ht="30" customHeight="1">
      <x:c r="A9" s="10" t="str">
        <x:v>WC.FOOD.008</x:v>
      </x:c>
      <x:c r="B9" s="10" t="str">
        <x:v>Сырьё</x:v>
      </x:c>
      <x:c r="C9" s="10" t="str">
        <x:v>Сухие продукты, масла, специи</x:v>
      </x:c>
      <x:c r="D9" s="10" t="str">
        <x:v>SHARED</x:v>
      </x:c>
      <x:c r="E9" s="10" t="str"/>
      <x:c r="F9" s="10" t="str">
        <x:v>кг/л</x:v>
      </x:c>
      <x:c r="G9" s="10" t="n">
        <x:v>17</x:v>
      </x:c>
      <x:c r="H9" s="10" t="n">
        <x:v>0</x:v>
      </x:c>
      <x:c r="I9" s="10" t="str"/>
      <x:c r="J9" s="10" t="str">
        <x:v>кг/л</x:v>
      </x:c>
      <x:c r="K9" s="10" t="str"/>
      <x:c r="L9" s="21" t="str"/>
      <x:c r="M9" s="10" t="str"/>
      <x:c r="N9" s="10" t="str"/>
      <x:c r="O9" s="10" t="str"/>
      <x:c r="P9" s="10" t="str"/>
      <x:c r="Q9" s="10" t="str"/>
      <x:c r="R9" s="10" t="str"/>
      <x:c r="S9" s="23" t="str"/>
      <x:c r="T9" s="23" t="str"/>
      <x:c r="U9" s="23" t="str"/>
      <x:c r="V9" s="23" t="str"/>
      <x:c r="W9" s="10" t="str">
        <x:v>YES</x:v>
      </x:c>
      <x:c r="X9" s="10" t="str">
        <x:f>IF(E9="","",E9*(G9+H9))</x:f>
      </x:c>
      <x:c r="Y9" s="10" t="str">
        <x:f>IF(OR(X9="",I9="",K9=""),"",CEILING(X9/I9,K9))</x:f>
      </x:c>
      <x:c r="Z9" s="21" t="str">
        <x:f>IF(OR(Y9="",L9=""),"",Y9*L9)</x:f>
      </x:c>
      <x:c r="AA9" s="10" t="str">
        <x:v>DATA_REQUIRED</x:v>
      </x:c>
      <x:c r="AB9" s="10" t="str"/>
      <x:c r="AC9" s="10" t="str">
        <x:v>Закупки</x:v>
      </x:c>
    </x:row>
    <x:row r="10" ht="30" customHeight="1">
      <x:c r="A10" s="10" t="str">
        <x:v>WC.WIP.001</x:v>
      </x:c>
      <x:c r="B10" s="10" t="str">
        <x:v>НЗП</x:v>
      </x:c>
      <x:c r="C10" s="10" t="str">
        <x:v>Тесто холодной ферментации</x:v>
      </x:c>
      <x:c r="D10" s="10" t="str">
        <x:v>SHARED</x:v>
      </x:c>
      <x:c r="E10" s="10" t="str"/>
      <x:c r="F10" s="10" t="str">
        <x:v>кг</x:v>
      </x:c>
      <x:c r="G10" s="10" t="n">
        <x:v>2</x:v>
      </x:c>
      <x:c r="H10" s="10" t="n">
        <x:v>0</x:v>
      </x:c>
      <x:c r="I10" s="10" t="str"/>
      <x:c r="J10" s="10" t="str">
        <x:v>кг</x:v>
      </x:c>
      <x:c r="K10" s="10" t="str"/>
      <x:c r="L10" s="21" t="str"/>
      <x:c r="M10" s="10" t="str"/>
      <x:c r="N10" s="10" t="str"/>
      <x:c r="O10" s="10" t="str"/>
      <x:c r="P10" s="10" t="str"/>
      <x:c r="Q10" s="10" t="str"/>
      <x:c r="R10" s="10" t="str"/>
      <x:c r="S10" s="23" t="str"/>
      <x:c r="T10" s="23" t="str"/>
      <x:c r="U10" s="23" t="str"/>
      <x:c r="V10" s="23" t="str"/>
      <x:c r="W10" s="10" t="str">
        <x:v>YES</x:v>
      </x:c>
      <x:c r="X10" s="10" t="str">
        <x:f>IF(E10="","",E10*(G10+H10))</x:f>
      </x:c>
      <x:c r="Y10" s="10" t="str">
        <x:f>IF(OR(X10="",I10="",K10=""),"",CEILING(X10/I10,K10))</x:f>
      </x:c>
      <x:c r="Z10" s="21" t="str">
        <x:f>IF(OR(Y10="",L10=""),"",Y10*L10)</x:f>
      </x:c>
      <x:c r="AA10" s="10" t="str">
        <x:v>DATA_REQUIRED</x:v>
      </x:c>
      <x:c r="AB10" s="10" t="str"/>
      <x:c r="AC10" s="10" t="str">
        <x:v>Кухня</x:v>
      </x:c>
    </x:row>
    <x:row r="11" ht="30" customHeight="1">
      <x:c r="A11" s="10" t="str">
        <x:v>WC.WIP.002</x:v>
      </x:c>
      <x:c r="B11" s="10" t="str">
        <x:v>НЗП</x:v>
      </x:c>
      <x:c r="C11" s="10" t="str">
        <x:v>Готовые полуфабрикаты</x:v>
      </x:c>
      <x:c r="D11" s="10" t="str">
        <x:v>SHARED</x:v>
      </x:c>
      <x:c r="E11" s="10" t="str"/>
      <x:c r="F11" s="10" t="str">
        <x:v>кг</x:v>
      </x:c>
      <x:c r="G11" s="10" t="str"/>
      <x:c r="H11" s="10" t="str"/>
      <x:c r="I11" s="10" t="str"/>
      <x:c r="J11" s="10" t="str">
        <x:v>кг</x:v>
      </x:c>
      <x:c r="K11" s="10" t="str"/>
      <x:c r="L11" s="21" t="str"/>
      <x:c r="M11" s="10" t="str"/>
      <x:c r="N11" s="10" t="str"/>
      <x:c r="O11" s="10" t="str"/>
      <x:c r="P11" s="10" t="str"/>
      <x:c r="Q11" s="10" t="str"/>
      <x:c r="R11" s="10" t="str"/>
      <x:c r="S11" s="23" t="str"/>
      <x:c r="T11" s="23" t="str"/>
      <x:c r="U11" s="23" t="str"/>
      <x:c r="V11" s="23" t="str"/>
      <x:c r="W11" s="10" t="str">
        <x:v>YES</x:v>
      </x:c>
      <x:c r="X11" s="10" t="str">
        <x:f>IF(E11="","",E11*(G11+H11))</x:f>
      </x:c>
      <x:c r="Y11" s="10" t="str">
        <x:f>IF(OR(X11="",I11="",K11=""),"",CEILING(X11/I11,K11))</x:f>
      </x:c>
      <x:c r="Z11" s="21" t="str">
        <x:f>IF(OR(Y11="",L11=""),"",Y11*L11)</x:f>
      </x:c>
      <x:c r="AA11" s="10" t="str">
        <x:v>DATA_REQUIRED</x:v>
      </x:c>
      <x:c r="AB11" s="10" t="str"/>
      <x:c r="AC11" s="10" t="str">
        <x:v>Кухня</x:v>
      </x:c>
    </x:row>
    <x:row r="12" ht="30" customHeight="1">
      <x:c r="A12" s="10" t="str">
        <x:v>WC.FG.001</x:v>
      </x:c>
      <x:c r="B12" s="10" t="str">
        <x:v>Готовый запас</x:v>
      </x:c>
      <x:c r="C12" s="10" t="str">
        <x:v>Десерты допустимого переноса</x:v>
      </x:c>
      <x:c r="D12" s="10" t="str">
        <x:v>CAFE</x:v>
      </x:c>
      <x:c r="E12" s="10" t="str"/>
      <x:c r="F12" s="10" t="str">
        <x:v>порция</x:v>
      </x:c>
      <x:c r="G12" s="10" t="n">
        <x:v>1</x:v>
      </x:c>
      <x:c r="H12" s="10" t="n">
        <x:v>0</x:v>
      </x:c>
      <x:c r="I12" s="10" t="str"/>
      <x:c r="J12" s="10" t="str">
        <x:v>порция</x:v>
      </x:c>
      <x:c r="K12" s="10" t="str"/>
      <x:c r="L12" s="21" t="str"/>
      <x:c r="M12" s="10" t="str"/>
      <x:c r="N12" s="10" t="str"/>
      <x:c r="O12" s="10" t="str"/>
      <x:c r="P12" s="10" t="str"/>
      <x:c r="Q12" s="10" t="str"/>
      <x:c r="R12" s="10" t="str"/>
      <x:c r="S12" s="23" t="str"/>
      <x:c r="T12" s="23" t="str"/>
      <x:c r="U12" s="23" t="str"/>
      <x:c r="V12" s="23" t="str"/>
      <x:c r="W12" s="10" t="str">
        <x:v>YES</x:v>
      </x:c>
      <x:c r="X12" s="10" t="str">
        <x:f>IF(E12="","",E12*(G12+H12))</x:f>
      </x:c>
      <x:c r="Y12" s="10" t="str">
        <x:f>IF(OR(X12="",I12="",K12=""),"",CEILING(X12/I12,K12))</x:f>
      </x:c>
      <x:c r="Z12" s="21" t="str">
        <x:f>IF(OR(Y12="",L12=""),"",Y12*L12)</x:f>
      </x:c>
      <x:c r="AA12" s="10" t="str">
        <x:v>DATA_REQUIRED</x:v>
      </x:c>
      <x:c r="AB12" s="10" t="str"/>
      <x:c r="AC12" s="10" t="str">
        <x:v>Кухня</x:v>
      </x:c>
    </x:row>
    <x:row r="13" ht="30" customHeight="1">
      <x:c r="A13" s="10" t="str">
        <x:v>WC.BAR.001</x:v>
      </x:c>
      <x:c r="B13" s="10" t="str">
        <x:v>Бар</x:v>
      </x:c>
      <x:c r="C13" s="10" t="str">
        <x:v>Товарный запас бара</x:v>
      </x:c>
      <x:c r="D13" s="10" t="str">
        <x:v>BAR</x:v>
      </x:c>
      <x:c r="E13" s="10" t="str"/>
      <x:c r="F13" s="10" t="str">
        <x:v>ед.</x:v>
      </x:c>
      <x:c r="G13" s="10" t="str"/>
      <x:c r="H13" s="10" t="str"/>
      <x:c r="I13" s="10" t="str"/>
      <x:c r="J13" s="10" t="str">
        <x:v>ед.</x:v>
      </x:c>
      <x:c r="K13" s="10" t="str"/>
      <x:c r="L13" s="21" t="str"/>
      <x:c r="M13" s="10" t="str"/>
      <x:c r="N13" s="10" t="str"/>
      <x:c r="O13" s="10" t="str"/>
      <x:c r="P13" s="10" t="str"/>
      <x:c r="Q13" s="10" t="str"/>
      <x:c r="R13" s="10" t="str"/>
      <x:c r="S13" s="23" t="str"/>
      <x:c r="T13" s="23" t="str"/>
      <x:c r="U13" s="23" t="str"/>
      <x:c r="V13" s="23" t="str"/>
      <x:c r="W13" s="10" t="str">
        <x:v>NO</x:v>
      </x:c>
      <x:c r="X13" s="10" t="str">
        <x:f>IF(E13="","",E13*(G13+H13))</x:f>
      </x:c>
      <x:c r="Y13" s="10" t="str">
        <x:f>IF(OR(X13="",I13="",K13=""),"",CEILING(X13/I13,K13))</x:f>
      </x:c>
      <x:c r="Z13" s="21" t="str">
        <x:f>IF(OR(Y13="",L13=""),"",Y13*L13)</x:f>
      </x:c>
      <x:c r="AA13" s="10" t="str">
        <x:v>DATA_REQUIRED</x:v>
      </x:c>
      <x:c r="AB13" s="10" t="str"/>
      <x:c r="AC13" s="10" t="str">
        <x:v>Бар</x:v>
      </x:c>
    </x:row>
    <x:row r="14" ht="30" customHeight="1">
      <x:c r="A14" s="10" t="str">
        <x:v>WC.PACK.001</x:v>
      </x:c>
      <x:c r="B14" s="10" t="str">
        <x:v>Упаковка</x:v>
      </x:c>
      <x:c r="C14" s="10" t="str">
        <x:v>Упаковка Доставки</x:v>
      </x:c>
      <x:c r="D14" s="10" t="str">
        <x:v>CAFE</x:v>
      </x:c>
      <x:c r="E14" s="10" t="str"/>
      <x:c r="F14" s="10" t="str">
        <x:v>ед.</x:v>
      </x:c>
      <x:c r="G14" s="10" t="str"/>
      <x:c r="H14" s="10" t="str"/>
      <x:c r="I14" s="10" t="str"/>
      <x:c r="J14" s="10" t="str">
        <x:v>ед.</x:v>
      </x:c>
      <x:c r="K14" s="10" t="str"/>
      <x:c r="L14" s="21" t="str"/>
      <x:c r="M14" s="10" t="str"/>
      <x:c r="N14" s="10" t="str"/>
      <x:c r="O14" s="10" t="str"/>
      <x:c r="P14" s="10" t="str"/>
      <x:c r="Q14" s="10" t="str"/>
      <x:c r="R14" s="10" t="str"/>
      <x:c r="S14" s="23" t="str"/>
      <x:c r="T14" s="23" t="str"/>
      <x:c r="U14" s="23" t="str"/>
      <x:c r="V14" s="23" t="str"/>
      <x:c r="W14" s="10" t="str">
        <x:v>YES</x:v>
      </x:c>
      <x:c r="X14" s="10" t="str">
        <x:f>IF(E14="","",E14*(G14+H14))</x:f>
      </x:c>
      <x:c r="Y14" s="10" t="str">
        <x:f>IF(OR(X14="",I14="",K14=""),"",CEILING(X14/I14,K14))</x:f>
      </x:c>
      <x:c r="Z14" s="21" t="str">
        <x:f>IF(OR(Y14="",L14=""),"",Y14*L14)</x:f>
      </x:c>
      <x:c r="AA14" s="10" t="str">
        <x:v>DATA_REQUIRED</x:v>
      </x:c>
      <x:c r="AB14" s="10" t="str"/>
      <x:c r="AC14" s="10" t="str">
        <x:v>Операции</x:v>
      </x:c>
    </x:row>
    <x:row r="15" ht="30" customHeight="1">
      <x:c r="A15" s="10" t="str">
        <x:v>WC.CHEM.001</x:v>
      </x:c>
      <x:c r="B15" s="10" t="str">
        <x:v>Расходники</x:v>
      </x:c>
      <x:c r="C15" s="10" t="str">
        <x:v>Моющие средства</x:v>
      </x:c>
      <x:c r="D15" s="10" t="str">
        <x:v>SHARED</x:v>
      </x:c>
      <x:c r="E15" s="10" t="str"/>
      <x:c r="F15" s="10" t="str">
        <x:v>л/кг</x:v>
      </x:c>
      <x:c r="G15" s="10" t="str"/>
      <x:c r="H15" s="10" t="str"/>
      <x:c r="I15" s="10" t="str"/>
      <x:c r="J15" s="10" t="str">
        <x:v>л/кг</x:v>
      </x:c>
      <x:c r="K15" s="10" t="str"/>
      <x:c r="L15" s="21" t="str"/>
      <x:c r="M15" s="10" t="str"/>
      <x:c r="N15" s="10" t="str"/>
      <x:c r="O15" s="10" t="str"/>
      <x:c r="P15" s="10" t="str"/>
      <x:c r="Q15" s="10" t="str"/>
      <x:c r="R15" s="10" t="str"/>
      <x:c r="S15" s="23" t="str"/>
      <x:c r="T15" s="23" t="str"/>
      <x:c r="U15" s="23" t="str"/>
      <x:c r="V15" s="23" t="str"/>
      <x:c r="W15" s="10" t="str">
        <x:v>NO</x:v>
      </x:c>
      <x:c r="X15" s="10" t="str">
        <x:f>IF(E15="","",E15*(G15+H15))</x:f>
      </x:c>
      <x:c r="Y15" s="10" t="str">
        <x:f>IF(OR(X15="",I15="",K15=""),"",CEILING(X15/I15,K15))</x:f>
      </x:c>
      <x:c r="Z15" s="21" t="str">
        <x:f>IF(OR(Y15="",L15=""),"",Y15*L15)</x:f>
      </x:c>
      <x:c r="AA15" s="10" t="str">
        <x:v>DATA_REQUIRED</x:v>
      </x:c>
      <x:c r="AB15" s="10" t="str"/>
      <x:c r="AC15" s="10" t="str">
        <x:v>Операции</x:v>
      </x:c>
    </x:row>
    <x:row r="16" ht="30" customHeight="1">
      <x:c r="A16" s="10" t="str">
        <x:v>WC.CONS.001</x:v>
      </x:c>
      <x:c r="B16" s="10" t="str">
        <x:v>Расходники</x:v>
      </x:c>
      <x:c r="C16" s="10" t="str">
        <x:v>Этикетки, пломбы, кассовые материалы</x:v>
      </x:c>
      <x:c r="D16" s="10" t="str">
        <x:v>CAFE</x:v>
      </x:c>
      <x:c r="E16" s="10" t="str"/>
      <x:c r="F16" s="10" t="str">
        <x:v>ед.</x:v>
      </x:c>
      <x:c r="G16" s="10" t="str"/>
      <x:c r="H16" s="10" t="str"/>
      <x:c r="I16" s="10" t="str"/>
      <x:c r="J16" s="10" t="str">
        <x:v>ед.</x:v>
      </x:c>
      <x:c r="K16" s="10" t="str"/>
      <x:c r="L16" s="21" t="str"/>
      <x:c r="M16" s="10" t="str"/>
      <x:c r="N16" s="10" t="str"/>
      <x:c r="O16" s="10" t="str"/>
      <x:c r="P16" s="10" t="str"/>
      <x:c r="Q16" s="10" t="str"/>
      <x:c r="R16" s="10" t="str"/>
      <x:c r="S16" s="23" t="str"/>
      <x:c r="T16" s="23" t="str"/>
      <x:c r="U16" s="23" t="str"/>
      <x:c r="V16" s="23" t="str"/>
      <x:c r="W16" s="10" t="str">
        <x:v>NO</x:v>
      </x:c>
      <x:c r="X16" s="10" t="str">
        <x:f>IF(E16="","",E16*(G16+H16))</x:f>
      </x:c>
      <x:c r="Y16" s="10" t="str">
        <x:f>IF(OR(X16="",I16="",K16=""),"",CEILING(X16/I16,K16))</x:f>
      </x:c>
      <x:c r="Z16" s="21" t="str">
        <x:f>IF(OR(Y16="",L16=""),"",Y16*L16)</x:f>
      </x:c>
      <x:c r="AA16" s="10" t="str">
        <x:v>DATA_REQUIRED</x:v>
      </x:c>
      <x:c r="AB16" s="10" t="str"/>
      <x:c r="AC16" s="10" t="str">
        <x:v>Операции</x:v>
      </x:c>
    </x:row>
    <x:row r="17" ht="30" customHeight="1">
      <x:c r="A17" s="10" t="str">
        <x:v>WC.TBL.001</x:v>
      </x:c>
      <x:c r="B17" s="10" t="str">
        <x:v>Посуда</x:v>
      </x:c>
      <x:c r="C17" s="10" t="str">
        <x:v>Физический стартовый запас замены</x:v>
      </x:c>
      <x:c r="D17" s="10" t="str">
        <x:v>SHARED</x:v>
      </x:c>
      <x:c r="E17" s="10" t="str"/>
      <x:c r="F17" s="10" t="str">
        <x:v>шт.</x:v>
      </x:c>
      <x:c r="G17" s="10" t="str"/>
      <x:c r="H17" s="10" t="str"/>
      <x:c r="I17" s="10" t="str"/>
      <x:c r="J17" s="10" t="str">
        <x:v>шт.</x:v>
      </x:c>
      <x:c r="K17" s="10" t="str"/>
      <x:c r="L17" s="21" t="str"/>
      <x:c r="M17" s="10" t="str"/>
      <x:c r="N17" s="10" t="str"/>
      <x:c r="O17" s="10" t="str"/>
      <x:c r="P17" s="10" t="str"/>
      <x:c r="Q17" s="10" t="str"/>
      <x:c r="R17" s="10" t="str"/>
      <x:c r="S17" s="23" t="str"/>
      <x:c r="T17" s="23" t="str"/>
      <x:c r="U17" s="23" t="str"/>
      <x:c r="V17" s="23" t="str"/>
      <x:c r="W17" s="10" t="str">
        <x:v>NO</x:v>
      </x:c>
      <x:c r="X17" s="10" t="str">
        <x:f>IF(E17="","",E17*(G17+H17))</x:f>
      </x:c>
      <x:c r="Y17" s="10" t="str">
        <x:f>IF(OR(X17="",I17="",K17=""),"",CEILING(X17/I17,K17))</x:f>
      </x:c>
      <x:c r="Z17" s="21" t="str">
        <x:f>IF(OR(Y17="",L17=""),"",Y17*L17)</x:f>
      </x:c>
      <x:c r="AA17" s="10" t="str">
        <x:v>DATA_REQUIRED</x:v>
      </x:c>
      <x:c r="AB17" s="10" t="str"/>
      <x:c r="AC17" s="10" t="str">
        <x:v>Операции</x:v>
      </x:c>
    </x:row>
    <x:row r="18" ht="30" customHeight="1">
      <x:c r="A18" s="10" t="str">
        <x:v>WC.CASH.001</x:v>
      </x:c>
      <x:c r="B18" s="10" t="str">
        <x:v>Деньги</x:v>
      </x:c>
      <x:c r="C18" s="10" t="str">
        <x:v>Кассовый размен</x:v>
      </x:c>
      <x:c r="D18" s="10" t="str">
        <x:v>SHARED</x:v>
      </x:c>
      <x:c r="E18" s="10" t="str"/>
      <x:c r="F18" s="10" t="str">
        <x:v>руб.</x:v>
      </x:c>
      <x:c r="G18" s="10" t="str"/>
      <x:c r="H18" s="10" t="str"/>
      <x:c r="I18" s="10" t="str"/>
      <x:c r="J18" s="10" t="str">
        <x:v>руб.</x:v>
      </x:c>
      <x:c r="K18" s="10" t="str"/>
      <x:c r="L18" s="21" t="str"/>
      <x:c r="M18" s="10" t="str"/>
      <x:c r="N18" s="10" t="str"/>
      <x:c r="O18" s="10" t="str"/>
      <x:c r="P18" s="10" t="str"/>
      <x:c r="Q18" s="10" t="str"/>
      <x:c r="R18" s="10" t="str"/>
      <x:c r="S18" s="23" t="str"/>
      <x:c r="T18" s="23" t="str"/>
      <x:c r="U18" s="23" t="str"/>
      <x:c r="V18" s="23" t="str"/>
      <x:c r="W18" s="10" t="str">
        <x:v>NO</x:v>
      </x:c>
      <x:c r="X18" s="10" t="str">
        <x:f>IF(E18="","",E18*(G18+H18))</x:f>
      </x:c>
      <x:c r="Y18" s="10" t="str">
        <x:f>IF(OR(X18="",I18="",K18=""),"",CEILING(X18/I18,K18))</x:f>
      </x:c>
      <x:c r="Z18" s="21" t="str">
        <x:f>IF(OR(Y18="",L18=""),"",Y18*L18)</x:f>
      </x:c>
      <x:c r="AA18" s="10" t="str">
        <x:v>DATA_REQUIRED</x:v>
      </x:c>
      <x:c r="AB18" s="10" t="str"/>
      <x:c r="AC18" s="10" t="str">
        <x:v>Финансы</x:v>
      </x:c>
    </x:row>
    <x:row r="19" ht="30" customHeight="1">
      <x:c r="A19" s="10" t="str">
        <x:v>WC.CASH.002</x:v>
      </x:c>
      <x:c r="B19" s="10" t="str">
        <x:v>Деньги</x:v>
      </x:c>
      <x:c r="C19" s="10" t="str">
        <x:v>Минимальный остаток денежных средств</x:v>
      </x:c>
      <x:c r="D19" s="10" t="str">
        <x:v>SHARED</x:v>
      </x:c>
      <x:c r="E19" s="10" t="str"/>
      <x:c r="F19" s="10" t="str">
        <x:v>руб.</x:v>
      </x:c>
      <x:c r="G19" s="10" t="str"/>
      <x:c r="H19" s="10" t="str"/>
      <x:c r="I19" s="10" t="str"/>
      <x:c r="J19" s="10" t="str">
        <x:v>руб.</x:v>
      </x:c>
      <x:c r="K19" s="10" t="str"/>
      <x:c r="L19" s="21" t="str"/>
      <x:c r="M19" s="10" t="str"/>
      <x:c r="N19" s="10" t="str"/>
      <x:c r="O19" s="10" t="str"/>
      <x:c r="P19" s="10" t="str"/>
      <x:c r="Q19" s="10" t="str"/>
      <x:c r="R19" s="10" t="str"/>
      <x:c r="S19" s="23" t="str"/>
      <x:c r="T19" s="23" t="str"/>
      <x:c r="U19" s="23" t="str"/>
      <x:c r="V19" s="23" t="str"/>
      <x:c r="W19" s="10" t="str">
        <x:v>NO</x:v>
      </x:c>
      <x:c r="X19" s="10" t="str">
        <x:f>IF(E19="","",E19*(G19+H19))</x:f>
      </x:c>
      <x:c r="Y19" s="10" t="str">
        <x:f>IF(OR(X19="",I19="",K19=""),"",CEILING(X19/I19,K19))</x:f>
      </x:c>
      <x:c r="Z19" s="21" t="str">
        <x:f>IF(OR(Y19="",L19=""),"",Y19*L19)</x:f>
      </x:c>
      <x:c r="AA19" s="10" t="str">
        <x:v>DATA_REQUIRED</x:v>
      </x:c>
      <x:c r="AB19" s="10" t="str"/>
      <x:c r="AC19" s="10" t="str">
        <x:v>Инвестор</x:v>
      </x:c>
    </x:row>
    <x:row r="20" ht="30" customHeight="1">
      <x:c r="A20" s="10" t="str">
        <x:v>WC.AR.001</x:v>
      </x:c>
      <x:c r="B20" s="10" t="str">
        <x:v>Дебиторская задолженность</x:v>
      </x:c>
      <x:c r="C20" s="10" t="str">
        <x:v>Гостиница</x:v>
      </x:c>
      <x:c r="D20" s="10" t="str">
        <x:v>CAFE</x:v>
      </x:c>
      <x:c r="E20" s="10" t="str"/>
      <x:c r="F20" s="10" t="str">
        <x:v>руб.</x:v>
      </x:c>
      <x:c r="G20" s="10" t="str"/>
      <x:c r="H20" s="10" t="str"/>
      <x:c r="I20" s="10" t="str"/>
      <x:c r="J20" s="10" t="str">
        <x:v>руб.</x:v>
      </x:c>
      <x:c r="K20" s="10" t="str"/>
      <x:c r="L20" s="21" t="str"/>
      <x:c r="M20" s="10" t="str"/>
      <x:c r="N20" s="10" t="str"/>
      <x:c r="O20" s="10" t="str"/>
      <x:c r="P20" s="10" t="str"/>
      <x:c r="Q20" s="10" t="str"/>
      <x:c r="R20" s="10" t="str"/>
      <x:c r="S20" s="23" t="str"/>
      <x:c r="T20" s="23" t="str"/>
      <x:c r="U20" s="23" t="str"/>
      <x:c r="V20" s="23" t="str"/>
      <x:c r="W20" s="10" t="str">
        <x:v>NO</x:v>
      </x:c>
      <x:c r="X20" s="10" t="str">
        <x:f>IF(E20="","",E20*(G20+H20))</x:f>
      </x:c>
      <x:c r="Y20" s="10" t="str">
        <x:f>IF(OR(X20="",I20="",K20=""),"",CEILING(X20/I20,K20))</x:f>
      </x:c>
      <x:c r="Z20" s="21" t="str">
        <x:f>IF(OR(Y20="",L20=""),"",Y20*L20)</x:f>
      </x:c>
      <x:c r="AA20" s="10" t="str">
        <x:v>DATA_REQUIRED</x:v>
      </x:c>
      <x:c r="AB20" s="10" t="str"/>
      <x:c r="AC20" s="10" t="str">
        <x:v>Финансы</x:v>
      </x:c>
    </x:row>
    <x:row r="21" ht="30" customHeight="1">
      <x:c r="A21" s="10" t="str">
        <x:v>WC.AR.002</x:v>
      </x:c>
      <x:c r="B21" s="10" t="str">
        <x:v>Дебиторская задолженность</x:v>
      </x:c>
      <x:c r="C21" s="10" t="str">
        <x:v>Доставка</x:v>
      </x:c>
      <x:c r="D21" s="10" t="str">
        <x:v>CAFE</x:v>
      </x:c>
      <x:c r="E21" s="10" t="str"/>
      <x:c r="F21" s="10" t="str">
        <x:v>руб.</x:v>
      </x:c>
      <x:c r="G21" s="10" t="str"/>
      <x:c r="H21" s="10" t="str"/>
      <x:c r="I21" s="10" t="str"/>
      <x:c r="J21" s="10" t="str">
        <x:v>руб.</x:v>
      </x:c>
      <x:c r="K21" s="10" t="str"/>
      <x:c r="L21" s="21" t="str"/>
      <x:c r="M21" s="10" t="str"/>
      <x:c r="N21" s="10" t="str"/>
      <x:c r="O21" s="10" t="str"/>
      <x:c r="P21" s="10" t="str"/>
      <x:c r="Q21" s="10" t="str"/>
      <x:c r="R21" s="10" t="str"/>
      <x:c r="S21" s="23" t="str"/>
      <x:c r="T21" s="23" t="str"/>
      <x:c r="U21" s="23" t="str"/>
      <x:c r="V21" s="23" t="str"/>
      <x:c r="W21" s="10" t="str">
        <x:v>NO</x:v>
      </x:c>
      <x:c r="X21" s="10" t="str">
        <x:f>IF(E21="","",E21*(G21+H21))</x:f>
      </x:c>
      <x:c r="Y21" s="10" t="str">
        <x:f>IF(OR(X21="",I21="",K21=""),"",CEILING(X21/I21,K21))</x:f>
      </x:c>
      <x:c r="Z21" s="21" t="str">
        <x:f>IF(OR(Y21="",L21=""),"",Y21*L21)</x:f>
      </x:c>
      <x:c r="AA21" s="10" t="str">
        <x:v>DATA_REQUIRED</x:v>
      </x:c>
      <x:c r="AB21" s="10" t="str"/>
      <x:c r="AC21" s="10" t="str">
        <x:v>Финансы</x:v>
      </x:c>
    </x:row>
    <x:row r="22" ht="30" customHeight="1">
      <x:c r="A22" s="10" t="str">
        <x:v>WC.AP.001</x:v>
      </x:c>
      <x:c r="B22" s="10" t="str">
        <x:v>Кредиторская задолженность</x:v>
      </x:c>
      <x:c r="C22" s="10" t="str">
        <x:v>Поставщики</x:v>
      </x:c>
      <x:c r="D22" s="10" t="str">
        <x:v>SHARED</x:v>
      </x:c>
      <x:c r="E22" s="10" t="str"/>
      <x:c r="F22" s="10" t="str">
        <x:v>руб.</x:v>
      </x:c>
      <x:c r="G22" s="10" t="str"/>
      <x:c r="H22" s="10" t="str"/>
      <x:c r="I22" s="10" t="str"/>
      <x:c r="J22" s="10" t="str">
        <x:v>руб.</x:v>
      </x:c>
      <x:c r="K22" s="10" t="str"/>
      <x:c r="L22" s="21" t="str"/>
      <x:c r="M22" s="10" t="str"/>
      <x:c r="N22" s="10" t="str"/>
      <x:c r="O22" s="10" t="str"/>
      <x:c r="P22" s="10" t="str"/>
      <x:c r="Q22" s="10" t="str"/>
      <x:c r="R22" s="10" t="str"/>
      <x:c r="S22" s="23" t="str"/>
      <x:c r="T22" s="23" t="str"/>
      <x:c r="U22" s="23" t="str"/>
      <x:c r="V22" s="23" t="str"/>
      <x:c r="W22" s="10" t="str">
        <x:v>NO</x:v>
      </x:c>
      <x:c r="X22" s="10" t="str">
        <x:f>IF(E22="","",E22*(G22+H22))</x:f>
      </x:c>
      <x:c r="Y22" s="10" t="str">
        <x:f>IF(OR(X22="",I22="",K22=""),"",CEILING(X22/I22,K22))</x:f>
      </x:c>
      <x:c r="Z22" s="21" t="str">
        <x:f>IF(OR(Y22="",L22=""),"",Y22*L22)</x:f>
      </x:c>
      <x:c r="AA22" s="10" t="str">
        <x:v>DATA_REQUIRED</x:v>
      </x:c>
      <x:c r="AB22" s="10" t="str"/>
      <x:c r="AC22" s="10" t="str">
        <x:v>Финансы</x:v>
      </x:c>
    </x:row>
    <x:row r="23" ht="30" customHeight="1">
      <x:c r="A23" s="10" t="str">
        <x:v>WC.ADV.001</x:v>
      </x:c>
      <x:c r="B23" s="10" t="str">
        <x:v>Авансы клиентов</x:v>
      </x:c>
      <x:c r="C23" s="10" t="str">
        <x:v>БАНКЕТЫ</x:v>
      </x:c>
      <x:c r="D23" s="10" t="str">
        <x:v>BANQUETS</x:v>
      </x:c>
      <x:c r="E23" s="10" t="str"/>
      <x:c r="F23" s="10" t="str">
        <x:v>руб.</x:v>
      </x:c>
      <x:c r="G23" s="10" t="str"/>
      <x:c r="H23" s="10" t="str"/>
      <x:c r="I23" s="10" t="str"/>
      <x:c r="J23" s="10" t="str">
        <x:v>руб.</x:v>
      </x:c>
      <x:c r="K23" s="10" t="str"/>
      <x:c r="L23" s="21" t="str"/>
      <x:c r="M23" s="10" t="str"/>
      <x:c r="N23" s="10" t="str"/>
      <x:c r="O23" s="10" t="str"/>
      <x:c r="P23" s="10" t="str"/>
      <x:c r="Q23" s="10" t="str"/>
      <x:c r="R23" s="10" t="str"/>
      <x:c r="S23" s="23" t="str"/>
      <x:c r="T23" s="23" t="str"/>
      <x:c r="U23" s="23" t="str"/>
      <x:c r="V23" s="23" t="str"/>
      <x:c r="W23" s="10" t="str">
        <x:v>NO</x:v>
      </x:c>
      <x:c r="X23" s="10" t="str">
        <x:f>IF(E23="","",E23*(G23+H23))</x:f>
      </x:c>
      <x:c r="Y23" s="10" t="str">
        <x:f>IF(OR(X23="",I23="",K23=""),"",CEILING(X23/I23,K23))</x:f>
      </x:c>
      <x:c r="Z23" s="21" t="str">
        <x:f>IF(OR(Y23="",L23=""),"",Y23*L23)</x:f>
      </x:c>
      <x:c r="AA23" s="10" t="str">
        <x:v>DATA_REQUIRED</x:v>
      </x:c>
      <x:c r="AB23" s="10" t="str"/>
      <x:c r="AC23" s="10" t="str">
        <x:v>Продажи БАНКЕТОВ</x:v>
      </x:c>
    </x:row>
    <x:row r="24" ht="30" customHeight="1">
      <x:c r="A24" s="11" t="str">
        <x:v>WC.DEP.001</x:v>
      </x:c>
      <x:c r="B24" s="11" t="str">
        <x:v>Депозиты</x:v>
      </x:c>
      <x:c r="C24" s="11" t="str">
        <x:v>Обеспечительный платёж аренды</x:v>
      </x:c>
      <x:c r="D24" s="11" t="str">
        <x:v>SHARED</x:v>
      </x:c>
      <x:c r="E24" s="11" t="str"/>
      <x:c r="F24" s="11" t="str">
        <x:v>руб.</x:v>
      </x:c>
      <x:c r="G24" s="11" t="str"/>
      <x:c r="H24" s="11" t="str"/>
      <x:c r="I24" s="11" t="str"/>
      <x:c r="J24" s="11" t="str">
        <x:v>руб.</x:v>
      </x:c>
      <x:c r="K24" s="11" t="str"/>
      <x:c r="L24" s="22" t="str"/>
      <x:c r="M24" s="11" t="str"/>
      <x:c r="N24" s="11" t="str"/>
      <x:c r="O24" s="11" t="str"/>
      <x:c r="P24" s="11" t="str"/>
      <x:c r="Q24" s="11" t="str"/>
      <x:c r="R24" s="11" t="str"/>
      <x:c r="S24" s="24" t="str"/>
      <x:c r="T24" s="24" t="str"/>
      <x:c r="U24" s="24" t="str"/>
      <x:c r="V24" s="24" t="str"/>
      <x:c r="W24" s="11" t="str">
        <x:v>NO</x:v>
      </x:c>
      <x:c r="X24" s="11" t="str">
        <x:f>IF(E24="","",E24*(G24+H24))</x:f>
      </x:c>
      <x:c r="Y24" s="11" t="str">
        <x:f>IF(OR(X24="",I24="",K24=""),"",CEILING(X24/I24,K24))</x:f>
      </x:c>
      <x:c r="Z24" s="22" t="str">
        <x:f>IF(OR(Y24="",L24=""),"",Y24*L24)</x:f>
      </x:c>
      <x:c r="AA24" s="11" t="str">
        <x:v>DATA_REQUIRED</x:v>
      </x:c>
      <x:c r="AB24" s="11" t="str"/>
      <x:c r="AC24" s="11" t="str">
        <x:v>Юристы / Финансы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00000381469727" hidden="0" customWidth="1"/>
    <x:col min="2" max="2" width="18" hidden="0" customWidth="1"/>
    <x:col min="3" max="3" width="13" hidden="0" customWidth="1"/>
    <x:col min="4" max="4" width="13" hidden="0" customWidth="1"/>
    <x:col min="5" max="5" width="11" hidden="0" customWidth="1"/>
    <x:col min="6" max="6" width="15.300000190734863" hidden="0" customWidth="1"/>
    <x:col min="7" max="7" width="14.449999809265137" hidden="0" customWidth="1"/>
    <x:col min="8" max="8" width="13.600000381469727" hidden="0" customWidth="1"/>
    <x:col min="9" max="9" width="11.050000190734863" hidden="0" customWidth="1"/>
    <x:col min="10" max="10" width="12.75" hidden="0" customWidth="1"/>
    <x:col min="11" max="11" width="14.449999809265137" hidden="0" customWidth="1"/>
    <x:col min="12" max="12" width="12.75" hidden="0" customWidth="1"/>
    <x:col min="13" max="13" width="11" hidden="0" customWidth="1"/>
    <x:col min="14" max="14" width="11" hidden="0" customWidth="1"/>
    <x:col min="15" max="15" width="11" hidden="0" customWidth="1"/>
    <x:col min="16" max="16" width="18.700000762939453" hidden="0" customWidth="1"/>
    <x:col min="17" max="17" width="11" hidden="0" customWidth="1"/>
    <x:col min="18" max="18" width="18" hidden="0" customWidth="1"/>
    <x:col min="19" max="19" width="11" hidden="0" customWidth="1"/>
    <x:col min="20" max="20" width="11" hidden="0" customWidth="1"/>
    <x:col min="21" max="21" width="11.050000190734863" hidden="0" customWidth="1"/>
    <x:col min="22" max="22" width="11" hidden="0" customWidth="1"/>
  </x:cols>
  <x:sheetData>
    <x:row r="1" ht="34" customHeight="1">
      <x:c r="A1" s="9" t="str">
        <x:v>BUSINESS_CONTOUR</x:v>
      </x:c>
      <x:c r="B1" s="9" t="str">
        <x:v>WEEK_ID</x:v>
      </x:c>
      <x:c r="C1" s="9" t="str">
        <x:v>START_DATE</x:v>
      </x:c>
      <x:c r="D1" s="9" t="str">
        <x:v>END_DATE</x:v>
      </x:c>
      <x:c r="E1" s="9" t="str">
        <x:v>OPENING_CASH</x:v>
      </x:c>
      <x:c r="F1" s="9" t="str">
        <x:v>OPERATING_RECEIPTS</x:v>
      </x:c>
      <x:c r="G1" s="9" t="str">
        <x:v>CUSTOMER_ADVANCES</x:v>
      </x:c>
      <x:c r="H1" s="9" t="str">
        <x:v>INVESTOR_FUNDING</x:v>
      </x:c>
      <x:c r="I1" s="9" t="str">
        <x:v>CAPEX_PAYMENT</x:v>
      </x:c>
      <x:c r="J1" s="9" t="str">
        <x:v>PREOPEN_PAYMENT</x:v>
      </x:c>
      <x:c r="K1" s="9" t="str">
        <x:v>INVENTORY_PAYMENT</x:v>
      </x:c>
      <x:c r="L1" s="9" t="str">
        <x:v>PAYROLL_PAYMENT</x:v>
      </x:c>
      <x:c r="M1" s="9" t="str">
        <x:v>OPEX_PAYMENT</x:v>
      </x:c>
      <x:c r="N1" s="9" t="str">
        <x:v>TAX_PAYMENT</x:v>
      </x:c>
      <x:c r="O1" s="9" t="str">
        <x:v>DEBT_SERVICE</x:v>
      </x:c>
      <x:c r="P1" s="9" t="str">
        <x:v>CLOSING_BEFORE_FUNDING</x:v>
      </x:c>
      <x:c r="Q1" s="9" t="str">
        <x:v>MINIMUM_CASH</x:v>
      </x:c>
      <x:c r="R1" s="9" t="str">
        <x:v>LIQUIDITY_GAP</x:v>
      </x:c>
      <x:c r="S1" s="9" t="str">
        <x:v>RESERVE_DRAW</x:v>
      </x:c>
      <x:c r="T1" s="9" t="str">
        <x:v>CLOSING_CASH</x:v>
      </x:c>
      <x:c r="U1" s="9" t="str">
        <x:v>NET_CASH_FLOW</x:v>
      </x:c>
      <x:c r="V1" s="9" t="str">
        <x:v>DATA_STATUS</x:v>
      </x:c>
    </x:row>
    <x:row r="2" ht="30" customHeight="1">
      <x:c r="A2" s="10" t="str">
        <x:v>CAFE</x:v>
      </x:c>
      <x:c r="B2" s="10" t="str">
        <x:v>W01</x:v>
      </x:c>
      <x:c r="C2" s="10" t="str">
        <x:v>2026-09-01</x:v>
      </x:c>
      <x:c r="D2" s="10" t="str">
        <x:v>2026-09-07</x:v>
      </x:c>
      <x:c r="E2" s="25" t="str"/>
      <x:c r="F2" s="25" t="str"/>
      <x:c r="G2" s="25" t="str"/>
      <x:c r="H2" s="25" t="str"/>
      <x:c r="I2" s="25" t="str"/>
      <x:c r="J2" s="25" t="str"/>
      <x:c r="K2" s="25" t="str"/>
      <x:c r="L2" s="25" t="str"/>
      <x:c r="M2" s="25" t="str"/>
      <x:c r="N2" s="25" t="str"/>
      <x:c r="O2" s="25" t="str"/>
      <x:c r="P2" s="25" t="n">
        <x:f>E2+F2+G2-SUM(I2:O2)</x:f>
        <x:v>0</x:v>
      </x:c>
      <x:c r="Q2" s="25" t="str"/>
      <x:c r="R2" s="25" t="n">
        <x:f>MAX(0,Q2-P2)</x:f>
        <x:v>0</x:v>
      </x:c>
      <x:c r="S2" s="25" t="n">
        <x:f>R2</x:f>
        <x:v>0</x:v>
      </x:c>
      <x:c r="T2" s="25" t="n">
        <x:f>P2+H2+S2</x:f>
        <x:v>0</x:v>
      </x:c>
      <x:c r="U2" s="25" t="n">
        <x:f>T2-E2</x:f>
        <x:v>0</x:v>
      </x:c>
      <x:c r="V2" s="10" t="str">
        <x:v>DATA_REQUIRED</x:v>
      </x:c>
    </x:row>
    <x:row r="3" ht="30" customHeight="1">
      <x:c r="A3" s="10" t="str">
        <x:v>CAFE</x:v>
      </x:c>
      <x:c r="B3" s="10" t="str">
        <x:v>W02</x:v>
      </x:c>
      <x:c r="C3" s="10" t="str">
        <x:v>2026-09-08</x:v>
      </x:c>
      <x:c r="D3" s="10" t="str">
        <x:v>2026-09-14</x:v>
      </x:c>
      <x:c r="E3" s="25" t="n">
        <x:f>T2</x:f>
        <x:v>0</x:v>
      </x:c>
      <x:c r="F3" s="25" t="str"/>
      <x:c r="G3" s="25" t="str"/>
      <x:c r="H3" s="25" t="str"/>
      <x:c r="I3" s="25" t="str"/>
      <x:c r="J3" s="25" t="str"/>
      <x:c r="K3" s="25" t="str"/>
      <x:c r="L3" s="25" t="str"/>
      <x:c r="M3" s="25" t="str"/>
      <x:c r="N3" s="25" t="str"/>
      <x:c r="O3" s="25" t="str"/>
      <x:c r="P3" s="25" t="n">
        <x:f>E3+F3+G3-SUM(I3:O3)</x:f>
        <x:v>0</x:v>
      </x:c>
      <x:c r="Q3" s="25" t="str"/>
      <x:c r="R3" s="25" t="n">
        <x:f>MAX(0,Q3-P3)</x:f>
        <x:v>0</x:v>
      </x:c>
      <x:c r="S3" s="25" t="n">
        <x:f>R3</x:f>
        <x:v>0</x:v>
      </x:c>
      <x:c r="T3" s="25" t="n">
        <x:f>P3+H3+S3</x:f>
        <x:v>0</x:v>
      </x:c>
      <x:c r="U3" s="25" t="n">
        <x:f>T3-E3</x:f>
        <x:v>0</x:v>
      </x:c>
      <x:c r="V3" s="10" t="str">
        <x:v>DATA_REQUIRED</x:v>
      </x:c>
    </x:row>
    <x:row r="4" ht="30" customHeight="1">
      <x:c r="A4" s="10" t="str">
        <x:v>CAFE</x:v>
      </x:c>
      <x:c r="B4" s="10" t="str">
        <x:v>W03</x:v>
      </x:c>
      <x:c r="C4" s="10" t="str">
        <x:v>2026-09-15</x:v>
      </x:c>
      <x:c r="D4" s="10" t="str">
        <x:v>2026-09-21</x:v>
      </x:c>
      <x:c r="E4" s="25" t="n">
        <x:f>T3</x:f>
        <x:v>0</x:v>
      </x:c>
      <x:c r="F4" s="25" t="str"/>
      <x:c r="G4" s="25" t="str"/>
      <x:c r="H4" s="25" t="str"/>
      <x:c r="I4" s="25" t="str"/>
      <x:c r="J4" s="25" t="str"/>
      <x:c r="K4" s="25" t="str"/>
      <x:c r="L4" s="25" t="str"/>
      <x:c r="M4" s="25" t="str"/>
      <x:c r="N4" s="25" t="str"/>
      <x:c r="O4" s="25" t="str"/>
      <x:c r="P4" s="25" t="n">
        <x:f>E4+F4+G4-SUM(I4:O4)</x:f>
        <x:v>0</x:v>
      </x:c>
      <x:c r="Q4" s="25" t="str"/>
      <x:c r="R4" s="25" t="n">
        <x:f>MAX(0,Q4-P4)</x:f>
        <x:v>0</x:v>
      </x:c>
      <x:c r="S4" s="25" t="n">
        <x:f>R4</x:f>
        <x:v>0</x:v>
      </x:c>
      <x:c r="T4" s="25" t="n">
        <x:f>P4+H4+S4</x:f>
        <x:v>0</x:v>
      </x:c>
      <x:c r="U4" s="25" t="n">
        <x:f>T4-E4</x:f>
        <x:v>0</x:v>
      </x:c>
      <x:c r="V4" s="10" t="str">
        <x:v>DATA_REQUIRED</x:v>
      </x:c>
    </x:row>
    <x:row r="5" ht="30" customHeight="1">
      <x:c r="A5" s="10" t="str">
        <x:v>CAFE</x:v>
      </x:c>
      <x:c r="B5" s="10" t="str">
        <x:v>W04</x:v>
      </x:c>
      <x:c r="C5" s="10" t="str">
        <x:v>2026-09-22</x:v>
      </x:c>
      <x:c r="D5" s="10" t="str">
        <x:v>2026-09-28</x:v>
      </x:c>
      <x:c r="E5" s="25" t="n">
        <x:f>T4</x:f>
        <x:v>0</x:v>
      </x:c>
      <x:c r="F5" s="25" t="str"/>
      <x:c r="G5" s="25" t="str"/>
      <x:c r="H5" s="25" t="str"/>
      <x:c r="I5" s="25" t="str"/>
      <x:c r="J5" s="25" t="str"/>
      <x:c r="K5" s="25" t="str"/>
      <x:c r="L5" s="25" t="str"/>
      <x:c r="M5" s="25" t="str"/>
      <x:c r="N5" s="25" t="str"/>
      <x:c r="O5" s="25" t="str"/>
      <x:c r="P5" s="25" t="n">
        <x:f>E5+F5+G5-SUM(I5:O5)</x:f>
        <x:v>0</x:v>
      </x:c>
      <x:c r="Q5" s="25" t="str"/>
      <x:c r="R5" s="25" t="n">
        <x:f>MAX(0,Q5-P5)</x:f>
        <x:v>0</x:v>
      </x:c>
      <x:c r="S5" s="25" t="n">
        <x:f>R5</x:f>
        <x:v>0</x:v>
      </x:c>
      <x:c r="T5" s="25" t="n">
        <x:f>P5+H5+S5</x:f>
        <x:v>0</x:v>
      </x:c>
      <x:c r="U5" s="25" t="n">
        <x:f>T5-E5</x:f>
        <x:v>0</x:v>
      </x:c>
      <x:c r="V5" s="10" t="str">
        <x:v>DATA_REQUIRED</x:v>
      </x:c>
    </x:row>
    <x:row r="6" ht="30" customHeight="1">
      <x:c r="A6" s="10" t="str">
        <x:v>CAFE</x:v>
      </x:c>
      <x:c r="B6" s="10" t="str">
        <x:v>W05</x:v>
      </x:c>
      <x:c r="C6" s="10" t="str">
        <x:v>2026-09-29</x:v>
      </x:c>
      <x:c r="D6" s="10" t="str">
        <x:v>2026-10-05</x:v>
      </x:c>
      <x:c r="E6" s="25" t="n">
        <x:f>T5</x:f>
        <x:v>0</x:v>
      </x:c>
      <x:c r="F6" s="25" t="str"/>
      <x:c r="G6" s="25" t="str"/>
      <x:c r="H6" s="25" t="str"/>
      <x:c r="I6" s="25" t="str"/>
      <x:c r="J6" s="25" t="str"/>
      <x:c r="K6" s="25" t="str"/>
      <x:c r="L6" s="25" t="str"/>
      <x:c r="M6" s="25" t="str"/>
      <x:c r="N6" s="25" t="str"/>
      <x:c r="O6" s="25" t="str"/>
      <x:c r="P6" s="25" t="n">
        <x:f>E6+F6+G6-SUM(I6:O6)</x:f>
        <x:v>0</x:v>
      </x:c>
      <x:c r="Q6" s="25" t="str"/>
      <x:c r="R6" s="25" t="n">
        <x:f>MAX(0,Q6-P6)</x:f>
        <x:v>0</x:v>
      </x:c>
      <x:c r="S6" s="25" t="n">
        <x:f>R6</x:f>
        <x:v>0</x:v>
      </x:c>
      <x:c r="T6" s="25" t="n">
        <x:f>P6+H6+S6</x:f>
        <x:v>0</x:v>
      </x:c>
      <x:c r="U6" s="25" t="n">
        <x:f>T6-E6</x:f>
        <x:v>0</x:v>
      </x:c>
      <x:c r="V6" s="10" t="str">
        <x:v>DATA_REQUIRED</x:v>
      </x:c>
    </x:row>
    <x:row r="7" ht="30" customHeight="1">
      <x:c r="A7" s="10" t="str">
        <x:v>CAFE</x:v>
      </x:c>
      <x:c r="B7" s="10" t="str">
        <x:v>W06</x:v>
      </x:c>
      <x:c r="C7" s="10" t="str">
        <x:v>2026-10-06</x:v>
      </x:c>
      <x:c r="D7" s="10" t="str">
        <x:v>2026-10-12</x:v>
      </x:c>
      <x:c r="E7" s="25" t="n">
        <x:f>T6</x:f>
        <x:v>0</x:v>
      </x:c>
      <x:c r="F7" s="25" t="str"/>
      <x:c r="G7" s="25" t="str"/>
      <x:c r="H7" s="25" t="str"/>
      <x:c r="I7" s="25" t="str"/>
      <x:c r="J7" s="25" t="str"/>
      <x:c r="K7" s="25" t="str"/>
      <x:c r="L7" s="25" t="str"/>
      <x:c r="M7" s="25" t="str"/>
      <x:c r="N7" s="25" t="str"/>
      <x:c r="O7" s="25" t="str"/>
      <x:c r="P7" s="25" t="n">
        <x:f>E7+F7+G7-SUM(I7:O7)</x:f>
        <x:v>0</x:v>
      </x:c>
      <x:c r="Q7" s="25" t="str"/>
      <x:c r="R7" s="25" t="n">
        <x:f>MAX(0,Q7-P7)</x:f>
        <x:v>0</x:v>
      </x:c>
      <x:c r="S7" s="25" t="n">
        <x:f>R7</x:f>
        <x:v>0</x:v>
      </x:c>
      <x:c r="T7" s="25" t="n">
        <x:f>P7+H7+S7</x:f>
        <x:v>0</x:v>
      </x:c>
      <x:c r="U7" s="25" t="n">
        <x:f>T7-E7</x:f>
        <x:v>0</x:v>
      </x:c>
      <x:c r="V7" s="10" t="str">
        <x:v>DATA_REQUIRED</x:v>
      </x:c>
    </x:row>
    <x:row r="8" ht="30" customHeight="1">
      <x:c r="A8" s="10" t="str">
        <x:v>CAFE</x:v>
      </x:c>
      <x:c r="B8" s="10" t="str">
        <x:v>W07</x:v>
      </x:c>
      <x:c r="C8" s="10" t="str">
        <x:v>2026-10-13</x:v>
      </x:c>
      <x:c r="D8" s="10" t="str">
        <x:v>2026-10-19</x:v>
      </x:c>
      <x:c r="E8" s="25" t="n">
        <x:f>T7</x:f>
        <x:v>0</x:v>
      </x:c>
      <x:c r="F8" s="25" t="str"/>
      <x:c r="G8" s="25" t="str"/>
      <x:c r="H8" s="25" t="str"/>
      <x:c r="I8" s="25" t="str"/>
      <x:c r="J8" s="25" t="str"/>
      <x:c r="K8" s="25" t="str"/>
      <x:c r="L8" s="25" t="str"/>
      <x:c r="M8" s="25" t="str"/>
      <x:c r="N8" s="25" t="str"/>
      <x:c r="O8" s="25" t="str"/>
      <x:c r="P8" s="25" t="n">
        <x:f>E8+F8+G8-SUM(I8:O8)</x:f>
        <x:v>0</x:v>
      </x:c>
      <x:c r="Q8" s="25" t="str"/>
      <x:c r="R8" s="25" t="n">
        <x:f>MAX(0,Q8-P8)</x:f>
        <x:v>0</x:v>
      </x:c>
      <x:c r="S8" s="25" t="n">
        <x:f>R8</x:f>
        <x:v>0</x:v>
      </x:c>
      <x:c r="T8" s="25" t="n">
        <x:f>P8+H8+S8</x:f>
        <x:v>0</x:v>
      </x:c>
      <x:c r="U8" s="25" t="n">
        <x:f>T8-E8</x:f>
        <x:v>0</x:v>
      </x:c>
      <x:c r="V8" s="10" t="str">
        <x:v>DATA_REQUIRED</x:v>
      </x:c>
    </x:row>
    <x:row r="9" ht="30" customHeight="1">
      <x:c r="A9" s="10" t="str">
        <x:v>CAFE</x:v>
      </x:c>
      <x:c r="B9" s="10" t="str">
        <x:v>W08</x:v>
      </x:c>
      <x:c r="C9" s="10" t="str">
        <x:v>2026-10-20</x:v>
      </x:c>
      <x:c r="D9" s="10" t="str">
        <x:v>2026-10-26</x:v>
      </x:c>
      <x:c r="E9" s="25" t="n">
        <x:f>T8</x:f>
        <x:v>0</x:v>
      </x:c>
      <x:c r="F9" s="25" t="str"/>
      <x:c r="G9" s="25" t="str"/>
      <x:c r="H9" s="25" t="str"/>
      <x:c r="I9" s="25" t="str"/>
      <x:c r="J9" s="25" t="str"/>
      <x:c r="K9" s="25" t="str"/>
      <x:c r="L9" s="25" t="str"/>
      <x:c r="M9" s="25" t="str"/>
      <x:c r="N9" s="25" t="str"/>
      <x:c r="O9" s="25" t="str"/>
      <x:c r="P9" s="25" t="n">
        <x:f>E9+F9+G9-SUM(I9:O9)</x:f>
        <x:v>0</x:v>
      </x:c>
      <x:c r="Q9" s="25" t="str"/>
      <x:c r="R9" s="25" t="n">
        <x:f>MAX(0,Q9-P9)</x:f>
        <x:v>0</x:v>
      </x:c>
      <x:c r="S9" s="25" t="n">
        <x:f>R9</x:f>
        <x:v>0</x:v>
      </x:c>
      <x:c r="T9" s="25" t="n">
        <x:f>P9+H9+S9</x:f>
        <x:v>0</x:v>
      </x:c>
      <x:c r="U9" s="25" t="n">
        <x:f>T9-E9</x:f>
        <x:v>0</x:v>
      </x:c>
      <x:c r="V9" s="10" t="str">
        <x:v>DATA_REQUIRED</x:v>
      </x:c>
    </x:row>
    <x:row r="10" ht="30" customHeight="1">
      <x:c r="A10" s="10" t="str">
        <x:v>CAFE</x:v>
      </x:c>
      <x:c r="B10" s="10" t="str">
        <x:v>W09</x:v>
      </x:c>
      <x:c r="C10" s="10" t="str">
        <x:v>2026-10-27</x:v>
      </x:c>
      <x:c r="D10" s="10" t="str">
        <x:v>2026-11-02</x:v>
      </x:c>
      <x:c r="E10" s="25" t="n">
        <x:f>T9</x:f>
        <x:v>0</x:v>
      </x:c>
      <x:c r="F10" s="25" t="str"/>
      <x:c r="G10" s="25" t="str"/>
      <x:c r="H10" s="25" t="str"/>
      <x:c r="I10" s="25" t="str"/>
      <x:c r="J10" s="25" t="str"/>
      <x:c r="K10" s="25" t="str"/>
      <x:c r="L10" s="25" t="str"/>
      <x:c r="M10" s="25" t="str"/>
      <x:c r="N10" s="25" t="str"/>
      <x:c r="O10" s="25" t="str"/>
      <x:c r="P10" s="25" t="n">
        <x:f>E10+F10+G10-SUM(I10:O10)</x:f>
        <x:v>0</x:v>
      </x:c>
      <x:c r="Q10" s="25" t="str"/>
      <x:c r="R10" s="25" t="n">
        <x:f>MAX(0,Q10-P10)</x:f>
        <x:v>0</x:v>
      </x:c>
      <x:c r="S10" s="25" t="n">
        <x:f>R10</x:f>
        <x:v>0</x:v>
      </x:c>
      <x:c r="T10" s="25" t="n">
        <x:f>P10+H10+S10</x:f>
        <x:v>0</x:v>
      </x:c>
      <x:c r="U10" s="25" t="n">
        <x:f>T10-E10</x:f>
        <x:v>0</x:v>
      </x:c>
      <x:c r="V10" s="10" t="str">
        <x:v>DATA_REQUIRED</x:v>
      </x:c>
    </x:row>
    <x:row r="11" ht="30" customHeight="1">
      <x:c r="A11" s="10" t="str">
        <x:v>CAFE</x:v>
      </x:c>
      <x:c r="B11" s="10" t="str">
        <x:v>W10</x:v>
      </x:c>
      <x:c r="C11" s="10" t="str">
        <x:v>2026-11-03</x:v>
      </x:c>
      <x:c r="D11" s="10" t="str">
        <x:v>2026-11-09</x:v>
      </x:c>
      <x:c r="E11" s="25" t="n">
        <x:f>T10</x:f>
        <x:v>0</x:v>
      </x:c>
      <x:c r="F11" s="25" t="str"/>
      <x:c r="G11" s="25" t="str"/>
      <x:c r="H11" s="25" t="str"/>
      <x:c r="I11" s="25" t="str"/>
      <x:c r="J11" s="25" t="str"/>
      <x:c r="K11" s="25" t="str"/>
      <x:c r="L11" s="25" t="str"/>
      <x:c r="M11" s="25" t="str"/>
      <x:c r="N11" s="25" t="str"/>
      <x:c r="O11" s="25" t="str"/>
      <x:c r="P11" s="25" t="n">
        <x:f>E11+F11+G11-SUM(I11:O11)</x:f>
        <x:v>0</x:v>
      </x:c>
      <x:c r="Q11" s="25" t="str"/>
      <x:c r="R11" s="25" t="n">
        <x:f>MAX(0,Q11-P11)</x:f>
        <x:v>0</x:v>
      </x:c>
      <x:c r="S11" s="25" t="n">
        <x:f>R11</x:f>
        <x:v>0</x:v>
      </x:c>
      <x:c r="T11" s="25" t="n">
        <x:f>P11+H11+S11</x:f>
        <x:v>0</x:v>
      </x:c>
      <x:c r="U11" s="25" t="n">
        <x:f>T11-E11</x:f>
        <x:v>0</x:v>
      </x:c>
      <x:c r="V11" s="10" t="str">
        <x:v>DATA_REQUIRED</x:v>
      </x:c>
    </x:row>
    <x:row r="12" ht="30" customHeight="1">
      <x:c r="A12" s="10" t="str">
        <x:v>CAFE</x:v>
      </x:c>
      <x:c r="B12" s="10" t="str">
        <x:v>W11</x:v>
      </x:c>
      <x:c r="C12" s="10" t="str">
        <x:v>2026-11-10</x:v>
      </x:c>
      <x:c r="D12" s="10" t="str">
        <x:v>2026-11-16</x:v>
      </x:c>
      <x:c r="E12" s="25" t="n">
        <x:f>T11</x:f>
        <x:v>0</x:v>
      </x:c>
      <x:c r="F12" s="25" t="str"/>
      <x:c r="G12" s="25" t="str"/>
      <x:c r="H12" s="25" t="str"/>
      <x:c r="I12" s="25" t="str"/>
      <x:c r="J12" s="25" t="str"/>
      <x:c r="K12" s="25" t="str"/>
      <x:c r="L12" s="25" t="str"/>
      <x:c r="M12" s="25" t="str"/>
      <x:c r="N12" s="25" t="str"/>
      <x:c r="O12" s="25" t="str"/>
      <x:c r="P12" s="25" t="n">
        <x:f>E12+F12+G12-SUM(I12:O12)</x:f>
        <x:v>0</x:v>
      </x:c>
      <x:c r="Q12" s="25" t="str"/>
      <x:c r="R12" s="25" t="n">
        <x:f>MAX(0,Q12-P12)</x:f>
        <x:v>0</x:v>
      </x:c>
      <x:c r="S12" s="25" t="n">
        <x:f>R12</x:f>
        <x:v>0</x:v>
      </x:c>
      <x:c r="T12" s="25" t="n">
        <x:f>P12+H12+S12</x:f>
        <x:v>0</x:v>
      </x:c>
      <x:c r="U12" s="25" t="n">
        <x:f>T12-E12</x:f>
        <x:v>0</x:v>
      </x:c>
      <x:c r="V12" s="10" t="str">
        <x:v>DATA_REQUIRED</x:v>
      </x:c>
    </x:row>
    <x:row r="13" ht="30" customHeight="1">
      <x:c r="A13" s="10" t="str">
        <x:v>CAFE</x:v>
      </x:c>
      <x:c r="B13" s="10" t="str">
        <x:v>W12</x:v>
      </x:c>
      <x:c r="C13" s="10" t="str">
        <x:v>2026-11-17</x:v>
      </x:c>
      <x:c r="D13" s="10" t="str">
        <x:v>2026-11-23</x:v>
      </x:c>
      <x:c r="E13" s="25" t="n">
        <x:f>T12</x:f>
        <x:v>0</x:v>
      </x:c>
      <x:c r="F13" s="25" t="str"/>
      <x:c r="G13" s="25" t="str"/>
      <x:c r="H13" s="25" t="str"/>
      <x:c r="I13" s="25" t="str"/>
      <x:c r="J13" s="25" t="str"/>
      <x:c r="K13" s="25" t="str"/>
      <x:c r="L13" s="25" t="str"/>
      <x:c r="M13" s="25" t="str"/>
      <x:c r="N13" s="25" t="str"/>
      <x:c r="O13" s="25" t="str"/>
      <x:c r="P13" s="25" t="n">
        <x:f>E13+F13+G13-SUM(I13:O13)</x:f>
        <x:v>0</x:v>
      </x:c>
      <x:c r="Q13" s="25" t="str"/>
      <x:c r="R13" s="25" t="n">
        <x:f>MAX(0,Q13-P13)</x:f>
        <x:v>0</x:v>
      </x:c>
      <x:c r="S13" s="25" t="n">
        <x:f>R13</x:f>
        <x:v>0</x:v>
      </x:c>
      <x:c r="T13" s="25" t="n">
        <x:f>P13+H13+S13</x:f>
        <x:v>0</x:v>
      </x:c>
      <x:c r="U13" s="25" t="n">
        <x:f>T13-E13</x:f>
        <x:v>0</x:v>
      </x:c>
      <x:c r="V13" s="10" t="str">
        <x:v>DATA_REQUIRED</x:v>
      </x:c>
    </x:row>
    <x:row r="14" ht="30" customHeight="1">
      <x:c r="A14" s="10" t="str">
        <x:v>CAFE</x:v>
      </x:c>
      <x:c r="B14" s="10" t="str">
        <x:v>W13</x:v>
      </x:c>
      <x:c r="C14" s="10" t="str">
        <x:v>2026-11-24</x:v>
      </x:c>
      <x:c r="D14" s="10" t="str">
        <x:v>2026-11-30</x:v>
      </x:c>
      <x:c r="E14" s="25" t="n">
        <x:f>T13</x:f>
        <x:v>0</x:v>
      </x:c>
      <x:c r="F14" s="25" t="str"/>
      <x:c r="G14" s="25" t="str"/>
      <x:c r="H14" s="25" t="str"/>
      <x:c r="I14" s="25" t="str"/>
      <x:c r="J14" s="25" t="str"/>
      <x:c r="K14" s="25" t="str"/>
      <x:c r="L14" s="25" t="str"/>
      <x:c r="M14" s="25" t="str"/>
      <x:c r="N14" s="25" t="str"/>
      <x:c r="O14" s="25" t="str"/>
      <x:c r="P14" s="25" t="n">
        <x:f>E14+F14+G14-SUM(I14:O14)</x:f>
        <x:v>0</x:v>
      </x:c>
      <x:c r="Q14" s="25" t="str"/>
      <x:c r="R14" s="25" t="n">
        <x:f>MAX(0,Q14-P14)</x:f>
        <x:v>0</x:v>
      </x:c>
      <x:c r="S14" s="25" t="n">
        <x:f>R14</x:f>
        <x:v>0</x:v>
      </x:c>
      <x:c r="T14" s="25" t="n">
        <x:f>P14+H14+S14</x:f>
        <x:v>0</x:v>
      </x:c>
      <x:c r="U14" s="25" t="n">
        <x:f>T14-E14</x:f>
        <x:v>0</x:v>
      </x:c>
      <x:c r="V14" s="10" t="str">
        <x:v>DATA_REQUIRED</x:v>
      </x:c>
    </x:row>
    <x:row r="15" ht="30" customHeight="1">
      <x:c r="A15" s="10" t="str">
        <x:v>BANQUETS</x:v>
      </x:c>
      <x:c r="B15" s="10" t="str">
        <x:v>W01</x:v>
      </x:c>
      <x:c r="C15" s="10" t="str">
        <x:v>2026-11-01</x:v>
      </x:c>
      <x:c r="D15" s="10" t="str">
        <x:v>2026-11-07</x:v>
      </x:c>
      <x:c r="E15" s="25" t="str"/>
      <x:c r="F15" s="25" t="str"/>
      <x:c r="G15" s="25" t="str"/>
      <x:c r="H15" s="25" t="str"/>
      <x:c r="I15" s="25" t="str"/>
      <x:c r="J15" s="25" t="str"/>
      <x:c r="K15" s="25" t="str"/>
      <x:c r="L15" s="25" t="str"/>
      <x:c r="M15" s="25" t="str"/>
      <x:c r="N15" s="25" t="str"/>
      <x:c r="O15" s="25" t="str"/>
      <x:c r="P15" s="25" t="n">
        <x:f>E15+F15+G15-SUM(I15:O15)</x:f>
        <x:v>0</x:v>
      </x:c>
      <x:c r="Q15" s="25" t="str"/>
      <x:c r="R15" s="25" t="n">
        <x:f>MAX(0,Q15-P15)</x:f>
        <x:v>0</x:v>
      </x:c>
      <x:c r="S15" s="25" t="n">
        <x:f>R15</x:f>
        <x:v>0</x:v>
      </x:c>
      <x:c r="T15" s="25" t="n">
        <x:f>P15+H15+S15</x:f>
        <x:v>0</x:v>
      </x:c>
      <x:c r="U15" s="25" t="n">
        <x:f>T15-E15</x:f>
        <x:v>0</x:v>
      </x:c>
      <x:c r="V15" s="10" t="str">
        <x:v>DATA_REQUIRED</x:v>
      </x:c>
    </x:row>
    <x:row r="16" ht="30" customHeight="1">
      <x:c r="A16" s="10" t="str">
        <x:v>BANQUETS</x:v>
      </x:c>
      <x:c r="B16" s="10" t="str">
        <x:v>W02</x:v>
      </x:c>
      <x:c r="C16" s="10" t="str">
        <x:v>2026-11-08</x:v>
      </x:c>
      <x:c r="D16" s="10" t="str">
        <x:v>2026-11-14</x:v>
      </x:c>
      <x:c r="E16" s="25" t="n">
        <x:f>T15</x:f>
        <x:v>0</x:v>
      </x:c>
      <x:c r="F16" s="25" t="str"/>
      <x:c r="G16" s="25" t="str"/>
      <x:c r="H16" s="25" t="str"/>
      <x:c r="I16" s="25" t="str"/>
      <x:c r="J16" s="25" t="str"/>
      <x:c r="K16" s="25" t="str"/>
      <x:c r="L16" s="25" t="str"/>
      <x:c r="M16" s="25" t="str"/>
      <x:c r="N16" s="25" t="str"/>
      <x:c r="O16" s="25" t="str"/>
      <x:c r="P16" s="25" t="n">
        <x:f>E16+F16+G16-SUM(I16:O16)</x:f>
        <x:v>0</x:v>
      </x:c>
      <x:c r="Q16" s="25" t="str"/>
      <x:c r="R16" s="25" t="n">
        <x:f>MAX(0,Q16-P16)</x:f>
        <x:v>0</x:v>
      </x:c>
      <x:c r="S16" s="25" t="n">
        <x:f>R16</x:f>
        <x:v>0</x:v>
      </x:c>
      <x:c r="T16" s="25" t="n">
        <x:f>P16+H16+S16</x:f>
        <x:v>0</x:v>
      </x:c>
      <x:c r="U16" s="25" t="n">
        <x:f>T16-E16</x:f>
        <x:v>0</x:v>
      </x:c>
      <x:c r="V16" s="10" t="str">
        <x:v>DATA_REQUIRED</x:v>
      </x:c>
    </x:row>
    <x:row r="17" ht="30" customHeight="1">
      <x:c r="A17" s="10" t="str">
        <x:v>BANQUETS</x:v>
      </x:c>
      <x:c r="B17" s="10" t="str">
        <x:v>W03</x:v>
      </x:c>
      <x:c r="C17" s="10" t="str">
        <x:v>2026-11-15</x:v>
      </x:c>
      <x:c r="D17" s="10" t="str">
        <x:v>2026-11-21</x:v>
      </x:c>
      <x:c r="E17" s="25" t="n">
        <x:f>T16</x:f>
        <x:v>0</x:v>
      </x:c>
      <x:c r="F17" s="25" t="str"/>
      <x:c r="G17" s="25" t="str"/>
      <x:c r="H17" s="25" t="str"/>
      <x:c r="I17" s="25" t="str"/>
      <x:c r="J17" s="25" t="str"/>
      <x:c r="K17" s="25" t="str"/>
      <x:c r="L17" s="25" t="str"/>
      <x:c r="M17" s="25" t="str"/>
      <x:c r="N17" s="25" t="str"/>
      <x:c r="O17" s="25" t="str"/>
      <x:c r="P17" s="25" t="n">
        <x:f>E17+F17+G17-SUM(I17:O17)</x:f>
        <x:v>0</x:v>
      </x:c>
      <x:c r="Q17" s="25" t="str"/>
      <x:c r="R17" s="25" t="n">
        <x:f>MAX(0,Q17-P17)</x:f>
        <x:v>0</x:v>
      </x:c>
      <x:c r="S17" s="25" t="n">
        <x:f>R17</x:f>
        <x:v>0</x:v>
      </x:c>
      <x:c r="T17" s="25" t="n">
        <x:f>P17+H17+S17</x:f>
        <x:v>0</x:v>
      </x:c>
      <x:c r="U17" s="25" t="n">
        <x:f>T17-E17</x:f>
        <x:v>0</x:v>
      </x:c>
      <x:c r="V17" s="10" t="str">
        <x:v>DATA_REQUIRED</x:v>
      </x:c>
    </x:row>
    <x:row r="18" ht="30" customHeight="1">
      <x:c r="A18" s="10" t="str">
        <x:v>BANQUETS</x:v>
      </x:c>
      <x:c r="B18" s="10" t="str">
        <x:v>W04</x:v>
      </x:c>
      <x:c r="C18" s="10" t="str">
        <x:v>2026-11-22</x:v>
      </x:c>
      <x:c r="D18" s="10" t="str">
        <x:v>2026-11-28</x:v>
      </x:c>
      <x:c r="E18" s="25" t="n">
        <x:f>T17</x:f>
        <x:v>0</x:v>
      </x:c>
      <x:c r="F18" s="25" t="str"/>
      <x:c r="G18" s="25" t="str"/>
      <x:c r="H18" s="25" t="str"/>
      <x:c r="I18" s="25" t="str"/>
      <x:c r="J18" s="25" t="str"/>
      <x:c r="K18" s="25" t="str"/>
      <x:c r="L18" s="25" t="str"/>
      <x:c r="M18" s="25" t="str"/>
      <x:c r="N18" s="25" t="str"/>
      <x:c r="O18" s="25" t="str"/>
      <x:c r="P18" s="25" t="n">
        <x:f>E18+F18+G18-SUM(I18:O18)</x:f>
        <x:v>0</x:v>
      </x:c>
      <x:c r="Q18" s="25" t="str"/>
      <x:c r="R18" s="25" t="n">
        <x:f>MAX(0,Q18-P18)</x:f>
        <x:v>0</x:v>
      </x:c>
      <x:c r="S18" s="25" t="n">
        <x:f>R18</x:f>
        <x:v>0</x:v>
      </x:c>
      <x:c r="T18" s="25" t="n">
        <x:f>P18+H18+S18</x:f>
        <x:v>0</x:v>
      </x:c>
      <x:c r="U18" s="25" t="n">
        <x:f>T18-E18</x:f>
        <x:v>0</x:v>
      </x:c>
      <x:c r="V18" s="10" t="str">
        <x:v>DATA_REQUIRED</x:v>
      </x:c>
    </x:row>
    <x:row r="19" ht="30" customHeight="1">
      <x:c r="A19" s="10" t="str">
        <x:v>BANQUETS</x:v>
      </x:c>
      <x:c r="B19" s="10" t="str">
        <x:v>W05</x:v>
      </x:c>
      <x:c r="C19" s="10" t="str">
        <x:v>2026-11-29</x:v>
      </x:c>
      <x:c r="D19" s="10" t="str">
        <x:v>2026-12-05</x:v>
      </x:c>
      <x:c r="E19" s="25" t="n">
        <x:f>T18</x:f>
        <x:v>0</x:v>
      </x:c>
      <x:c r="F19" s="25" t="str"/>
      <x:c r="G19" s="25" t="str"/>
      <x:c r="H19" s="25" t="str"/>
      <x:c r="I19" s="25" t="str"/>
      <x:c r="J19" s="25" t="str"/>
      <x:c r="K19" s="25" t="str"/>
      <x:c r="L19" s="25" t="str"/>
      <x:c r="M19" s="25" t="str"/>
      <x:c r="N19" s="25" t="str"/>
      <x:c r="O19" s="25" t="str"/>
      <x:c r="P19" s="25" t="n">
        <x:f>E19+F19+G19-SUM(I19:O19)</x:f>
        <x:v>0</x:v>
      </x:c>
      <x:c r="Q19" s="25" t="str"/>
      <x:c r="R19" s="25" t="n">
        <x:f>MAX(0,Q19-P19)</x:f>
        <x:v>0</x:v>
      </x:c>
      <x:c r="S19" s="25" t="n">
        <x:f>R19</x:f>
        <x:v>0</x:v>
      </x:c>
      <x:c r="T19" s="25" t="n">
        <x:f>P19+H19+S19</x:f>
        <x:v>0</x:v>
      </x:c>
      <x:c r="U19" s="25" t="n">
        <x:f>T19-E19</x:f>
        <x:v>0</x:v>
      </x:c>
      <x:c r="V19" s="10" t="str">
        <x:v>DATA_REQUIRED</x:v>
      </x:c>
    </x:row>
    <x:row r="20" ht="30" customHeight="1">
      <x:c r="A20" s="10" t="str">
        <x:v>BANQUETS</x:v>
      </x:c>
      <x:c r="B20" s="10" t="str">
        <x:v>W06</x:v>
      </x:c>
      <x:c r="C20" s="10" t="str">
        <x:v>2026-12-06</x:v>
      </x:c>
      <x:c r="D20" s="10" t="str">
        <x:v>2026-12-12</x:v>
      </x:c>
      <x:c r="E20" s="25" t="n">
        <x:f>T19</x:f>
        <x:v>0</x:v>
      </x:c>
      <x:c r="F20" s="25" t="str"/>
      <x:c r="G20" s="25" t="str"/>
      <x:c r="H20" s="25" t="str"/>
      <x:c r="I20" s="25" t="str"/>
      <x:c r="J20" s="25" t="str"/>
      <x:c r="K20" s="25" t="str"/>
      <x:c r="L20" s="25" t="str"/>
      <x:c r="M20" s="25" t="str"/>
      <x:c r="N20" s="25" t="str"/>
      <x:c r="O20" s="25" t="str"/>
      <x:c r="P20" s="25" t="n">
        <x:f>E20+F20+G20-SUM(I20:O20)</x:f>
        <x:v>0</x:v>
      </x:c>
      <x:c r="Q20" s="25" t="str"/>
      <x:c r="R20" s="25" t="n">
        <x:f>MAX(0,Q20-P20)</x:f>
        <x:v>0</x:v>
      </x:c>
      <x:c r="S20" s="25" t="n">
        <x:f>R20</x:f>
        <x:v>0</x:v>
      </x:c>
      <x:c r="T20" s="25" t="n">
        <x:f>P20+H20+S20</x:f>
        <x:v>0</x:v>
      </x:c>
      <x:c r="U20" s="25" t="n">
        <x:f>T20-E20</x:f>
        <x:v>0</x:v>
      </x:c>
      <x:c r="V20" s="10" t="str">
        <x:v>DATA_REQUIRED</x:v>
      </x:c>
    </x:row>
    <x:row r="21" ht="30" customHeight="1">
      <x:c r="A21" s="10" t="str">
        <x:v>BANQUETS</x:v>
      </x:c>
      <x:c r="B21" s="10" t="str">
        <x:v>W07</x:v>
      </x:c>
      <x:c r="C21" s="10" t="str">
        <x:v>2026-12-13</x:v>
      </x:c>
      <x:c r="D21" s="10" t="str">
        <x:v>2026-12-19</x:v>
      </x:c>
      <x:c r="E21" s="25" t="n">
        <x:f>T20</x:f>
        <x:v>0</x:v>
      </x:c>
      <x:c r="F21" s="25" t="str"/>
      <x:c r="G21" s="25" t="str"/>
      <x:c r="H21" s="25" t="str"/>
      <x:c r="I21" s="25" t="str"/>
      <x:c r="J21" s="25" t="str"/>
      <x:c r="K21" s="25" t="str"/>
      <x:c r="L21" s="25" t="str"/>
      <x:c r="M21" s="25" t="str"/>
      <x:c r="N21" s="25" t="str"/>
      <x:c r="O21" s="25" t="str"/>
      <x:c r="P21" s="25" t="n">
        <x:f>E21+F21+G21-SUM(I21:O21)</x:f>
        <x:v>0</x:v>
      </x:c>
      <x:c r="Q21" s="25" t="str"/>
      <x:c r="R21" s="25" t="n">
        <x:f>MAX(0,Q21-P21)</x:f>
        <x:v>0</x:v>
      </x:c>
      <x:c r="S21" s="25" t="n">
        <x:f>R21</x:f>
        <x:v>0</x:v>
      </x:c>
      <x:c r="T21" s="25" t="n">
        <x:f>P21+H21+S21</x:f>
        <x:v>0</x:v>
      </x:c>
      <x:c r="U21" s="25" t="n">
        <x:f>T21-E21</x:f>
        <x:v>0</x:v>
      </x:c>
      <x:c r="V21" s="10" t="str">
        <x:v>DATA_REQUIRED</x:v>
      </x:c>
    </x:row>
    <x:row r="22" ht="30" customHeight="1">
      <x:c r="A22" s="10" t="str">
        <x:v>BANQUETS</x:v>
      </x:c>
      <x:c r="B22" s="10" t="str">
        <x:v>W08</x:v>
      </x:c>
      <x:c r="C22" s="10" t="str">
        <x:v>2026-12-20</x:v>
      </x:c>
      <x:c r="D22" s="10" t="str">
        <x:v>2026-12-26</x:v>
      </x:c>
      <x:c r="E22" s="25" t="n">
        <x:f>T21</x:f>
        <x:v>0</x:v>
      </x:c>
      <x:c r="F22" s="25" t="str"/>
      <x:c r="G22" s="25" t="str"/>
      <x:c r="H22" s="25" t="str"/>
      <x:c r="I22" s="25" t="str"/>
      <x:c r="J22" s="25" t="str"/>
      <x:c r="K22" s="25" t="str"/>
      <x:c r="L22" s="25" t="str"/>
      <x:c r="M22" s="25" t="str"/>
      <x:c r="N22" s="25" t="str"/>
      <x:c r="O22" s="25" t="str"/>
      <x:c r="P22" s="25" t="n">
        <x:f>E22+F22+G22-SUM(I22:O22)</x:f>
        <x:v>0</x:v>
      </x:c>
      <x:c r="Q22" s="25" t="str"/>
      <x:c r="R22" s="25" t="n">
        <x:f>MAX(0,Q22-P22)</x:f>
        <x:v>0</x:v>
      </x:c>
      <x:c r="S22" s="25" t="n">
        <x:f>R22</x:f>
        <x:v>0</x:v>
      </x:c>
      <x:c r="T22" s="25" t="n">
        <x:f>P22+H22+S22</x:f>
        <x:v>0</x:v>
      </x:c>
      <x:c r="U22" s="25" t="n">
        <x:f>T22-E22</x:f>
        <x:v>0</x:v>
      </x:c>
      <x:c r="V22" s="10" t="str">
        <x:v>DATA_REQUIRED</x:v>
      </x:c>
    </x:row>
    <x:row r="23" ht="30" customHeight="1">
      <x:c r="A23" s="10" t="str">
        <x:v>BANQUETS</x:v>
      </x:c>
      <x:c r="B23" s="10" t="str">
        <x:v>W09</x:v>
      </x:c>
      <x:c r="C23" s="10" t="str">
        <x:v>2026-12-27</x:v>
      </x:c>
      <x:c r="D23" s="10" t="str">
        <x:v>2027-01-02</x:v>
      </x:c>
      <x:c r="E23" s="25" t="n">
        <x:f>T22</x:f>
        <x:v>0</x:v>
      </x:c>
      <x:c r="F23" s="25" t="str"/>
      <x:c r="G23" s="25" t="str"/>
      <x:c r="H23" s="25" t="str"/>
      <x:c r="I23" s="25" t="str"/>
      <x:c r="J23" s="25" t="str"/>
      <x:c r="K23" s="25" t="str"/>
      <x:c r="L23" s="25" t="str"/>
      <x:c r="M23" s="25" t="str"/>
      <x:c r="N23" s="25" t="str"/>
      <x:c r="O23" s="25" t="str"/>
      <x:c r="P23" s="25" t="n">
        <x:f>E23+F23+G23-SUM(I23:O23)</x:f>
        <x:v>0</x:v>
      </x:c>
      <x:c r="Q23" s="25" t="str"/>
      <x:c r="R23" s="25" t="n">
        <x:f>MAX(0,Q23-P23)</x:f>
        <x:v>0</x:v>
      </x:c>
      <x:c r="S23" s="25" t="n">
        <x:f>R23</x:f>
        <x:v>0</x:v>
      </x:c>
      <x:c r="T23" s="25" t="n">
        <x:f>P23+H23+S23</x:f>
        <x:v>0</x:v>
      </x:c>
      <x:c r="U23" s="25" t="n">
        <x:f>T23-E23</x:f>
        <x:v>0</x:v>
      </x:c>
      <x:c r="V23" s="10" t="str">
        <x:v>DATA_REQUIRED</x:v>
      </x:c>
    </x:row>
    <x:row r="24" ht="30" customHeight="1">
      <x:c r="A24" s="10" t="str">
        <x:v>BANQUETS</x:v>
      </x:c>
      <x:c r="B24" s="10" t="str">
        <x:v>W10</x:v>
      </x:c>
      <x:c r="C24" s="10" t="str">
        <x:v>2027-01-03</x:v>
      </x:c>
      <x:c r="D24" s="10" t="str">
        <x:v>2027-01-09</x:v>
      </x:c>
      <x:c r="E24" s="25" t="n">
        <x:f>T23</x:f>
        <x:v>0</x:v>
      </x:c>
      <x:c r="F24" s="25" t="str"/>
      <x:c r="G24" s="25" t="str"/>
      <x:c r="H24" s="25" t="str"/>
      <x:c r="I24" s="25" t="str"/>
      <x:c r="J24" s="25" t="str"/>
      <x:c r="K24" s="25" t="str"/>
      <x:c r="L24" s="25" t="str"/>
      <x:c r="M24" s="25" t="str"/>
      <x:c r="N24" s="25" t="str"/>
      <x:c r="O24" s="25" t="str"/>
      <x:c r="P24" s="25" t="n">
        <x:f>E24+F24+G24-SUM(I24:O24)</x:f>
        <x:v>0</x:v>
      </x:c>
      <x:c r="Q24" s="25" t="str"/>
      <x:c r="R24" s="25" t="n">
        <x:f>MAX(0,Q24-P24)</x:f>
        <x:v>0</x:v>
      </x:c>
      <x:c r="S24" s="25" t="n">
        <x:f>R24</x:f>
        <x:v>0</x:v>
      </x:c>
      <x:c r="T24" s="25" t="n">
        <x:f>P24+H24+S24</x:f>
        <x:v>0</x:v>
      </x:c>
      <x:c r="U24" s="25" t="n">
        <x:f>T24-E24</x:f>
        <x:v>0</x:v>
      </x:c>
      <x:c r="V24" s="10" t="str">
        <x:v>DATA_REQUIRED</x:v>
      </x:c>
    </x:row>
    <x:row r="25" ht="30" customHeight="1">
      <x:c r="A25" s="10" t="str">
        <x:v>BANQUETS</x:v>
      </x:c>
      <x:c r="B25" s="10" t="str">
        <x:v>W11</x:v>
      </x:c>
      <x:c r="C25" s="10" t="str">
        <x:v>2027-01-10</x:v>
      </x:c>
      <x:c r="D25" s="10" t="str">
        <x:v>2027-01-16</x:v>
      </x:c>
      <x:c r="E25" s="25" t="n">
        <x:f>T24</x:f>
        <x:v>0</x:v>
      </x:c>
      <x:c r="F25" s="25" t="str"/>
      <x:c r="G25" s="25" t="str"/>
      <x:c r="H25" s="25" t="str"/>
      <x:c r="I25" s="25" t="str"/>
      <x:c r="J25" s="25" t="str"/>
      <x:c r="K25" s="25" t="str"/>
      <x:c r="L25" s="25" t="str"/>
      <x:c r="M25" s="25" t="str"/>
      <x:c r="N25" s="25" t="str"/>
      <x:c r="O25" s="25" t="str"/>
      <x:c r="P25" s="25" t="n">
        <x:f>E25+F25+G25-SUM(I25:O25)</x:f>
        <x:v>0</x:v>
      </x:c>
      <x:c r="Q25" s="25" t="str"/>
      <x:c r="R25" s="25" t="n">
        <x:f>MAX(0,Q25-P25)</x:f>
        <x:v>0</x:v>
      </x:c>
      <x:c r="S25" s="25" t="n">
        <x:f>R25</x:f>
        <x:v>0</x:v>
      </x:c>
      <x:c r="T25" s="25" t="n">
        <x:f>P25+H25+S25</x:f>
        <x:v>0</x:v>
      </x:c>
      <x:c r="U25" s="25" t="n">
        <x:f>T25-E25</x:f>
        <x:v>0</x:v>
      </x:c>
      <x:c r="V25" s="10" t="str">
        <x:v>DATA_REQUIRED</x:v>
      </x:c>
    </x:row>
    <x:row r="26" ht="30" customHeight="1">
      <x:c r="A26" s="10" t="str">
        <x:v>BANQUETS</x:v>
      </x:c>
      <x:c r="B26" s="10" t="str">
        <x:v>W12</x:v>
      </x:c>
      <x:c r="C26" s="10" t="str">
        <x:v>2027-01-17</x:v>
      </x:c>
      <x:c r="D26" s="10" t="str">
        <x:v>2027-01-23</x:v>
      </x:c>
      <x:c r="E26" s="25" t="n">
        <x:f>T25</x:f>
        <x:v>0</x:v>
      </x:c>
      <x:c r="F26" s="25" t="str"/>
      <x:c r="G26" s="25" t="str"/>
      <x:c r="H26" s="25" t="str"/>
      <x:c r="I26" s="25" t="str"/>
      <x:c r="J26" s="25" t="str"/>
      <x:c r="K26" s="25" t="str"/>
      <x:c r="L26" s="25" t="str"/>
      <x:c r="M26" s="25" t="str"/>
      <x:c r="N26" s="25" t="str"/>
      <x:c r="O26" s="25" t="str"/>
      <x:c r="P26" s="25" t="n">
        <x:f>E26+F26+G26-SUM(I26:O26)</x:f>
        <x:v>0</x:v>
      </x:c>
      <x:c r="Q26" s="25" t="str"/>
      <x:c r="R26" s="25" t="n">
        <x:f>MAX(0,Q26-P26)</x:f>
        <x:v>0</x:v>
      </x:c>
      <x:c r="S26" s="25" t="n">
        <x:f>R26</x:f>
        <x:v>0</x:v>
      </x:c>
      <x:c r="T26" s="25" t="n">
        <x:f>P26+H26+S26</x:f>
        <x:v>0</x:v>
      </x:c>
      <x:c r="U26" s="25" t="n">
        <x:f>T26-E26</x:f>
        <x:v>0</x:v>
      </x:c>
      <x:c r="V26" s="10" t="str">
        <x:v>DATA_REQUIRED</x:v>
      </x:c>
    </x:row>
    <x:row r="27" ht="30" customHeight="1">
      <x:c r="A27" s="11" t="str">
        <x:v>BANQUETS</x:v>
      </x:c>
      <x:c r="B27" s="11" t="str">
        <x:v>W13</x:v>
      </x:c>
      <x:c r="C27" s="11" t="str">
        <x:v>2027-01-24</x:v>
      </x:c>
      <x:c r="D27" s="11" t="str">
        <x:v>2027-01-30</x:v>
      </x:c>
      <x:c r="E27" s="26" t="n">
        <x:f>T26</x:f>
        <x:v>0</x:v>
      </x:c>
      <x:c r="F27" s="26" t="str"/>
      <x:c r="G27" s="26" t="str"/>
      <x:c r="H27" s="26" t="str"/>
      <x:c r="I27" s="26" t="str"/>
      <x:c r="J27" s="26" t="str"/>
      <x:c r="K27" s="26" t="str"/>
      <x:c r="L27" s="26" t="str"/>
      <x:c r="M27" s="26" t="str"/>
      <x:c r="N27" s="26" t="str"/>
      <x:c r="O27" s="26" t="str"/>
      <x:c r="P27" s="26" t="n">
        <x:f>E27+F27+G27-SUM(I27:O27)</x:f>
        <x:v>0</x:v>
      </x:c>
      <x:c r="Q27" s="26" t="str"/>
      <x:c r="R27" s="26" t="n">
        <x:f>MAX(0,Q27-P27)</x:f>
        <x:v>0</x:v>
      </x:c>
      <x:c r="S27" s="26" t="n">
        <x:f>R27</x:f>
        <x:v>0</x:v>
      </x:c>
      <x:c r="T27" s="26" t="n">
        <x:f>P27+H27+S27</x:f>
        <x:v>0</x:v>
      </x:c>
      <x:c r="U27" s="26" t="n">
        <x:f>T27-E27</x:f>
        <x:v>0</x:v>
      </x:c>
      <x:c r="V27" s="11" t="str">
        <x:v>DATA_REQUIRED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8" hidden="0" customWidth="1"/>
    <x:col min="4" max="4" width="2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28" hidden="0" customWidth="1"/>
  </x:cols>
  <x:sheetData>
    <x:row r="1" ht="34" customHeight="1">
      <x:c r="A1" s="9" t="str">
        <x:v>CHECK_ID</x:v>
      </x:c>
      <x:c r="B1" s="9" t="str">
        <x:v>CHECK_GROUP</x:v>
      </x:c>
      <x:c r="C1" s="9" t="str">
        <x:v>DESCRIPTION</x:v>
      </x:c>
      <x:c r="D1" s="9" t="str">
        <x:v>FORMULA_OR_RULE</x:v>
      </x:c>
      <x:c r="E1" s="9" t="str">
        <x:v>ACTUAL</x:v>
      </x:c>
      <x:c r="F1" s="9" t="str">
        <x:v>EXPECTED</x:v>
      </x:c>
      <x:c r="G1" s="9" t="str">
        <x:v>DIFFERENCE</x:v>
      </x:c>
      <x:c r="H1" s="9" t="str">
        <x:v>TOLERANCE</x:v>
      </x:c>
      <x:c r="I1" s="9" t="str">
        <x:v>STATUS</x:v>
      </x:c>
      <x:c r="J1" s="9" t="str">
        <x:v>FIX_LOCATION</x:v>
      </x:c>
      <x:c r="K1" s="9" t="str">
        <x:v>NOTES</x:v>
      </x:c>
    </x:row>
    <x:row r="2" ht="30" customHeight="1">
      <x:c r="A2" s="10" t="str">
        <x:v>CHK.INV.001</x:v>
      </x:c>
      <x:c r="B2" s="10" t="str">
        <x:v>Коды</x:v>
      </x:c>
      <x:c r="C2" s="10" t="str">
        <x:v>INV_CODE уникальны</x:v>
      </x:c>
      <x:c r="D2" s="10" t="str">
        <x:v>COUNT(INV_CODE)=COUNT(UNIQUE(INV_CODE))</x:v>
      </x:c>
      <x:c r="E2" s="10" t="str"/>
      <x:c r="F2" s="10" t="str">
        <x:v>0 duplicates</x:v>
      </x:c>
      <x:c r="G2" s="10" t="str"/>
      <x:c r="H2" s="10" t="str">
        <x:v>0</x:v>
      </x:c>
      <x:c r="I2" s="10" t="str"/>
      <x:c r="J2" s="10" t="str">
        <x:v>CAPEX_QUANTITY_SPECIFICATION</x:v>
      </x:c>
      <x:c r="K2" s="10" t="str"/>
    </x:row>
    <x:row r="3" ht="30" customHeight="1">
      <x:c r="A3" s="10" t="str">
        <x:v>CHK.INV.002</x:v>
      </x:c>
      <x:c r="B3" s="10" t="str">
        <x:v>Коды</x:v>
      </x:c>
      <x:c r="C3" s="10" t="str">
        <x:v>У каждой строки заполнен CURRENT_FUNC_CODE</x:v>
      </x:c>
      <x:c r="D3" s="10" t="str">
        <x:v>blank count = 0</x:v>
      </x:c>
      <x:c r="E3" s="10" t="str"/>
      <x:c r="F3" s="10" t="str">
        <x:v>0 blanks</x:v>
      </x:c>
      <x:c r="G3" s="10" t="str"/>
      <x:c r="H3" s="10" t="str">
        <x:v>0</x:v>
      </x:c>
      <x:c r="I3" s="10" t="str"/>
      <x:c r="J3" s="10" t="str">
        <x:v>CAPEX_QUANTITY_SPECIFICATION</x:v>
      </x:c>
      <x:c r="K3" s="10" t="str"/>
    </x:row>
    <x:row r="4" ht="30" customHeight="1">
      <x:c r="A4" s="10" t="str">
        <x:v>CHK.INV.003</x:v>
      </x:c>
      <x:c r="B4" s="10" t="str">
        <x:v>Классификация</x:v>
      </x:c>
      <x:c r="C4" s="10" t="str">
        <x:v>Направление допустимо</x:v>
      </x:c>
      <x:c r="D4" s="10" t="str">
        <x:v>CAFE/BANQUETS/BAR/SHARED</x:v>
      </x:c>
      <x:c r="E4" s="10" t="str"/>
      <x:c r="F4" s="10" t="str">
        <x:v>100% valid</x:v>
      </x:c>
      <x:c r="G4" s="10" t="str"/>
      <x:c r="H4" s="10" t="str">
        <x:v>0</x:v>
      </x:c>
      <x:c r="I4" s="10" t="str"/>
      <x:c r="J4" s="10" t="str">
        <x:v>CAPEX_QUANTITY_SPECIFICATION</x:v>
      </x:c>
      <x:c r="K4" s="10" t="str"/>
    </x:row>
    <x:row r="5" ht="30" customHeight="1">
      <x:c r="A5" s="10" t="str">
        <x:v>CHK.INV.004</x:v>
      </x:c>
      <x:c r="B5" s="10" t="str">
        <x:v>Классификация</x:v>
      </x:c>
      <x:c r="C5" s="10" t="str">
        <x:v>Статус допустим</x:v>
      </x:c>
      <x:c r="D5" s="10" t="str">
        <x:v>MANDATORY/CONDITIONAL/EXCLUDED/ENGINEERED/DATA_REQUIRED</x:v>
      </x:c>
      <x:c r="E5" s="10" t="str"/>
      <x:c r="F5" s="10" t="str">
        <x:v>100% valid</x:v>
      </x:c>
      <x:c r="G5" s="10" t="str"/>
      <x:c r="H5" s="10" t="str">
        <x:v>0</x:v>
      </x:c>
      <x:c r="I5" s="10" t="str"/>
      <x:c r="J5" s="10" t="str">
        <x:v>CAPEX_QUANTITY_SPECIFICATION</x:v>
      </x:c>
      <x:c r="K5" s="10" t="str"/>
    </x:row>
    <x:row r="6" ht="30" customHeight="1">
      <x:c r="A6" s="10" t="str">
        <x:v>CHK.CAPEX.001</x:v>
      </x:c>
      <x:c r="B6" s="10" t="str">
        <x:v>CAPEX</x:v>
      </x:c>
      <x:c r="C6" s="10" t="str">
        <x:v>EXCLUDED имеют BASE_SCENARIO_QTY=0</x:v>
      </x:c>
      <x:c r="D6" s="10" t="str">
        <x:v>SUM excluded base qty</x:v>
      </x:c>
      <x:c r="E6" s="10" t="str"/>
      <x:c r="F6" s="10" t="str">
        <x:v>0</x:v>
      </x:c>
      <x:c r="G6" s="10" t="str"/>
      <x:c r="H6" s="10" t="str">
        <x:v>0</x:v>
      </x:c>
      <x:c r="I6" s="10" t="str"/>
      <x:c r="J6" s="10" t="str">
        <x:v>CAPEX_QUANTITY_SPECIFICATION</x:v>
      </x:c>
      <x:c r="K6" s="10" t="str"/>
    </x:row>
    <x:row r="7" ht="30" customHeight="1">
      <x:c r="A7" s="10" t="str">
        <x:v>CHK.CAPEX.002</x:v>
      </x:c>
      <x:c r="B7" s="10" t="str">
        <x:v>CAPEX</x:v>
      </x:c>
      <x:c r="C7" s="10" t="str">
        <x:v>CONDITIONAL имеют BASE_SCENARIO_QTY=0</x:v>
      </x:c>
      <x:c r="D7" s="10" t="str">
        <x:v>SUM conditional base qty</x:v>
      </x:c>
      <x:c r="E7" s="10" t="str"/>
      <x:c r="F7" s="10" t="str">
        <x:v>0</x:v>
      </x:c>
      <x:c r="G7" s="10" t="str"/>
      <x:c r="H7" s="10" t="str">
        <x:v>0</x:v>
      </x:c>
      <x:c r="I7" s="10" t="str"/>
      <x:c r="J7" s="10" t="str">
        <x:v>CAPEX_QUANTITY_SPECIFICATION</x:v>
      </x:c>
      <x:c r="K7" s="10" t="str"/>
    </x:row>
    <x:row r="8" ht="30" customHeight="1">
      <x:c r="A8" s="10" t="str">
        <x:v>CHK.CAPEX.003</x:v>
      </x:c>
      <x:c r="B8" s="10" t="str">
        <x:v>CAPEX</x:v>
      </x:c>
      <x:c r="C8" s="10" t="str">
        <x:v>Текущие цены не заполнены</x:v>
      </x:c>
      <x:c r="D8" s="10" t="str">
        <x:v>COUNT current price</x:v>
      </x:c>
      <x:c r="E8" s="10" t="str"/>
      <x:c r="F8" s="10" t="str">
        <x:v>0</x:v>
      </x:c>
      <x:c r="G8" s="10" t="str"/>
      <x:c r="H8" s="10" t="str">
        <x:v>0</x:v>
      </x:c>
      <x:c r="I8" s="10" t="str"/>
      <x:c r="J8" s="10" t="str">
        <x:v>RFQ_PRICE_COLLECTION_TEMPLATE</x:v>
      </x:c>
      <x:c r="K8" s="10" t="str"/>
    </x:row>
    <x:row r="9" ht="30" customHeight="1">
      <x:c r="A9" s="10" t="str">
        <x:v>CHK.CAPEX.004</x:v>
      </x:c>
      <x:c r="B9" s="10" t="str">
        <x:v>CAPEX</x:v>
      </x:c>
      <x:c r="C9" s="10" t="str">
        <x:v>RFQ имеют статус NOT_REQUESTED</x:v>
      </x:c>
      <x:c r="D9" s="10" t="str">
        <x:v>invalid RFQ statuses</x:v>
      </x:c>
      <x:c r="E9" s="10" t="str"/>
      <x:c r="F9" s="10" t="str">
        <x:v>0</x:v>
      </x:c>
      <x:c r="G9" s="10" t="str"/>
      <x:c r="H9" s="10" t="str">
        <x:v>0</x:v>
      </x:c>
      <x:c r="I9" s="10" t="str"/>
      <x:c r="J9" s="10" t="str">
        <x:v>RFQ_PRICE_COLLECTION_TEMPLATE</x:v>
      </x:c>
      <x:c r="K9" s="10" t="str"/>
    </x:row>
    <x:row r="10" ht="30" customHeight="1">
      <x:c r="A10" s="10" t="str">
        <x:v>CHK.TBL.001</x:v>
      </x:c>
      <x:c r="B10" s="10" t="str">
        <x:v>Посуда</x:v>
      </x:c>
      <x:c r="C10" s="10" t="str">
        <x:v>Исторические оценки дают 372013</x:v>
      </x:c>
      <x:c r="D10" s="10" t="str">
        <x:v>254437+117576</x:v>
      </x:c>
      <x:c r="E10" s="10" t="str"/>
      <x:c r="F10" s="10" t="str">
        <x:v>372013</x:v>
      </x:c>
      <x:c r="G10" s="10" t="str"/>
      <x:c r="H10" s="10" t="str">
        <x:v>0</x:v>
      </x:c>
      <x:c r="I10" s="10" t="str"/>
      <x:c r="J10" s="10" t="str">
        <x:v>CAPEX_QUANTITY_SPECIFICATION</x:v>
      </x:c>
      <x:c r="K10" s="10" t="str">
        <x:v>Не является новой закупочной ценой</x:v>
      </x:c>
    </x:row>
    <x:row r="11" ht="30" customHeight="1">
      <x:c r="A11" s="10" t="str">
        <x:v>CHK.GATE.001</x:v>
      </x:c>
      <x:c r="B11" s="10" t="str">
        <x:v>Шлюзы</x:v>
      </x:c>
      <x:c r="C11" s="10" t="str">
        <x:v>Каждая условная позиция имеет GATE_ID</x:v>
      </x:c>
      <x:c r="D11" s="10" t="str">
        <x:v>conditional without gate</x:v>
      </x:c>
      <x:c r="E11" s="10" t="str"/>
      <x:c r="F11" s="10" t="str">
        <x:v>0</x:v>
      </x:c>
      <x:c r="G11" s="10" t="str"/>
      <x:c r="H11" s="10" t="str">
        <x:v>0</x:v>
      </x:c>
      <x:c r="I11" s="10" t="str"/>
      <x:c r="J11" s="10" t="str">
        <x:v>CONDITIONAL_EQUIPMENT_GATES</x:v>
      </x:c>
      <x:c r="K11" s="10" t="str"/>
    </x:row>
    <x:row r="12" ht="30" customHeight="1">
      <x:c r="A12" s="10" t="str">
        <x:v>CHK.GATE.002</x:v>
      </x:c>
      <x:c r="B12" s="10" t="str">
        <x:v>Шлюзы</x:v>
      </x:c>
      <x:c r="C12" s="10" t="str">
        <x:v>Решение по умолчанию пусто</x:v>
      </x:c>
      <x:c r="D12" s="10" t="str">
        <x:v>nonblank decisions</x:v>
      </x:c>
      <x:c r="E12" s="10" t="str"/>
      <x:c r="F12" s="10" t="str">
        <x:v>0</x:v>
      </x:c>
      <x:c r="G12" s="10" t="str"/>
      <x:c r="H12" s="10" t="str">
        <x:v>0</x:v>
      </x:c>
      <x:c r="I12" s="10" t="str"/>
      <x:c r="J12" s="10" t="str">
        <x:v>CONDITIONAL_EQUIPMENT_GATES</x:v>
      </x:c>
      <x:c r="K12" s="10" t="str"/>
    </x:row>
    <x:row r="13" ht="30" customHeight="1">
      <x:c r="A13" s="10" t="str">
        <x:v>CHK.WC.001</x:v>
      </x:c>
      <x:c r="B13" s="10" t="str">
        <x:v>Оборотный капитал</x:v>
      </x:c>
      <x:c r="C13" s="10" t="str">
        <x:v>Производственный резерв отмечен</x:v>
      </x:c>
      <x:c r="D13" s="10" t="str">
        <x:v>blank reserve flags</x:v>
      </x:c>
      <x:c r="E13" s="10" t="str"/>
      <x:c r="F13" s="10" t="str">
        <x:v>0</x:v>
      </x:c>
      <x:c r="G13" s="10" t="str"/>
      <x:c r="H13" s="10" t="str">
        <x:v>0</x:v>
      </x:c>
      <x:c r="I13" s="10" t="str"/>
      <x:c r="J13" s="10" t="str">
        <x:v>WORKING_CAPITAL_INPUT_TEMPLATE</x:v>
      </x:c>
      <x:c r="K13" s="10" t="str"/>
    </x:row>
    <x:row r="14" ht="30" customHeight="1">
      <x:c r="A14" s="10" t="str">
        <x:v>CHK.WC.002</x:v>
      </x:c>
      <x:c r="B14" s="10" t="str">
        <x:v>Оборотный капитал</x:v>
      </x:c>
      <x:c r="C14" s="10" t="str">
        <x:v>Итоги не введены вручную</x:v>
      </x:c>
      <x:c r="D14" s="10" t="str">
        <x:v>derived fields are formulas</x:v>
      </x:c>
      <x:c r="E14" s="10" t="str"/>
      <x:c r="F14" s="10" t="str">
        <x:v>100% formulas</x:v>
      </x:c>
      <x:c r="G14" s="10" t="str"/>
      <x:c r="H14" s="10" t="str">
        <x:v>0</x:v>
      </x:c>
      <x:c r="I14" s="10" t="str"/>
      <x:c r="J14" s="10" t="str">
        <x:v>WORKING_CAPITAL_INPUT_TEMPLATE</x:v>
      </x:c>
      <x:c r="K14" s="10" t="str"/>
    </x:row>
    <x:row r="15" ht="30" customHeight="1">
      <x:c r="A15" s="10" t="str">
        <x:v>CHK.CF.001</x:v>
      </x:c>
      <x:c r="B15" s="10" t="str">
        <x:v>Cash Flow</x:v>
      </x:c>
      <x:c r="C15" s="10" t="str">
        <x:v>13 недель на контур</x:v>
      </x:c>
      <x:c r="D15" s="10" t="str">
        <x:v>rows per contour</x:v>
      </x:c>
      <x:c r="E15" s="10" t="str"/>
      <x:c r="F15" s="10" t="str">
        <x:v>13</x:v>
      </x:c>
      <x:c r="G15" s="10" t="str"/>
      <x:c r="H15" s="10" t="str">
        <x:v>0</x:v>
      </x:c>
      <x:c r="I15" s="10" t="str"/>
      <x:c r="J15" s="10" t="str">
        <x:v>CASH_FLOW_13W_INPUT_TEMPLATE</x:v>
      </x:c>
      <x:c r="K15" s="10" t="str"/>
    </x:row>
    <x:row r="16" ht="30" customHeight="1">
      <x:c r="A16" s="10" t="str">
        <x:v>CHK.CF.002</x:v>
      </x:c>
      <x:c r="B16" s="10" t="str">
        <x:v>Cash Flow</x:v>
      </x:c>
      <x:c r="C16" s="10" t="str">
        <x:v>Начальный остаток переносится</x:v>
      </x:c>
      <x:c r="D16" s="10" t="str">
        <x:v>opening[t+1]=closing[t]</x:v>
      </x:c>
      <x:c r="E16" s="10" t="str"/>
      <x:c r="F16" s="10" t="str">
        <x:v>100%</x:v>
      </x:c>
      <x:c r="G16" s="10" t="str"/>
      <x:c r="H16" s="10" t="str">
        <x:v>0</x:v>
      </x:c>
      <x:c r="I16" s="10" t="str"/>
      <x:c r="J16" s="10" t="str">
        <x:v>CASH_FLOW_13W_INPUT_TEMPLATE</x:v>
      </x:c>
      <x:c r="K16" s="10" t="str"/>
    </x:row>
    <x:row r="17" ht="30" customHeight="1">
      <x:c r="A17" s="10" t="str">
        <x:v>CHK.CF.003</x:v>
      </x:c>
      <x:c r="B17" s="10" t="str">
        <x:v>Cash Flow</x:v>
      </x:c>
      <x:c r="C17" s="10" t="str">
        <x:v>Резерв равен дефициту</x:v>
      </x:c>
      <x:c r="D17" s="10" t="str">
        <x:v>reserve draw=liquidity gap</x:v>
      </x:c>
      <x:c r="E17" s="10" t="str"/>
      <x:c r="F17" s="10" t="str">
        <x:v>100%</x:v>
      </x:c>
      <x:c r="G17" s="10" t="str"/>
      <x:c r="H17" s="10" t="str">
        <x:v>0</x:v>
      </x:c>
      <x:c r="I17" s="10" t="str"/>
      <x:c r="J17" s="10" t="str">
        <x:v>CASH_FLOW_13W_INPUT_TEMPLATE</x:v>
      </x:c>
      <x:c r="K17" s="10" t="str"/>
    </x:row>
    <x:row r="18" ht="30" customHeight="1">
      <x:c r="A18" s="10" t="str">
        <x:v>CHK.CF.004</x:v>
      </x:c>
      <x:c r="B18" s="10" t="str">
        <x:v>Cash Flow</x:v>
      </x:c>
      <x:c r="C18" s="10" t="str">
        <x:v>Два контура присутствуют</x:v>
      </x:c>
      <x:c r="D18" s="10" t="str">
        <x:v>CAFE and BANQUETS</x:v>
      </x:c>
      <x:c r="E18" s="10" t="str"/>
      <x:c r="F18" s="10" t="str">
        <x:v>2</x:v>
      </x:c>
      <x:c r="G18" s="10" t="str"/>
      <x:c r="H18" s="10" t="str">
        <x:v>0</x:v>
      </x:c>
      <x:c r="I18" s="10" t="str"/>
      <x:c r="J18" s="10" t="str">
        <x:v>CASH_FLOW_13W_INPUT_TEMPLATE</x:v>
      </x:c>
      <x:c r="K18" s="10" t="str"/>
    </x:row>
    <x:row r="19" ht="30" customHeight="1">
      <x:c r="A19" s="10" t="str">
        <x:v>CHK.SOURCE.001</x:v>
      </x:c>
      <x:c r="B19" s="10" t="str">
        <x:v>Источники</x:v>
      </x:c>
      <x:c r="C19" s="10" t="str">
        <x:v>Исторический DOCX не опубликован</x:v>
      </x:c>
      <x:c r="D19" s="10" t="str">
        <x:v>source path not in repo</x:v>
      </x:c>
      <x:c r="E19" s="10" t="str"/>
      <x:c r="F19" s="10" t="str">
        <x:v>TRUE</x:v>
      </x:c>
      <x:c r="G19" s="10" t="str"/>
      <x:c r="H19" s="10" t="str">
        <x:v>0</x:v>
      </x:c>
      <x:c r="I19" s="10" t="str"/>
      <x:c r="J19" s="10" t="str">
        <x:v>LEGACY_EQUIPMENT_CODE_MAPPING</x:v>
      </x:c>
      <x:c r="K19" s="10" t="str"/>
    </x:row>
    <x:row r="20" ht="30" customHeight="1">
      <x:c r="A20" s="10" t="str">
        <x:v>CHK.SOURCE.002</x:v>
      </x:c>
      <x:c r="B20" s="10" t="str">
        <x:v>Источники</x:v>
      </x:c>
      <x:c r="C20" s="10" t="str">
        <x:v>SHA-256 заполнен</x:v>
      </x:c>
      <x:c r="D20" s="10" t="str">
        <x:v>source hash present</x:v>
      </x:c>
      <x:c r="E20" s="10" t="str"/>
      <x:c r="F20" s="10" t="str">
        <x:v>1 hash</x:v>
      </x:c>
      <x:c r="G20" s="10" t="str"/>
      <x:c r="H20" s="10" t="str">
        <x:v>0</x:v>
      </x:c>
      <x:c r="I20" s="10" t="str"/>
      <x:c r="J20" s="10" t="str">
        <x:v>LEGACY_EQUIPMENT_CODE_MAPPING</x:v>
      </x:c>
      <x:c r="K20" s="10" t="str"/>
    </x:row>
    <x:row r="21" ht="30" customHeight="1">
      <x:c r="A21" s="11" t="str">
        <x:v>CHK.MODEL.001</x:v>
      </x:c>
      <x:c r="B21" s="11" t="str">
        <x:v>Границы</x:v>
      </x:c>
      <x:c r="C21" s="11" t="str">
        <x:v>S04 не изменена</x:v>
      </x:c>
      <x:c r="D21" s="11" t="str">
        <x:v>git diff excludes models/scenarios/S04</x:v>
      </x:c>
      <x:c r="E21" s="11" t="str"/>
      <x:c r="F21" s="11" t="str">
        <x:v>TRUE</x:v>
      </x:c>
      <x:c r="G21" s="11" t="str"/>
      <x:c r="H21" s="11" t="str">
        <x:v>0</x:v>
      </x:c>
      <x:c r="I21" s="11" t="str"/>
      <x:c r="J21" s="11" t="str">
        <x:v>Git diff</x:v>
      </x:c>
      <x:c r="K21" s="1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28" hidden="0" customWidth="1"/>
    <x:col min="10" max="10" width="13.600000381469727" hidden="0" customWidth="1"/>
    <x:col min="11" max="11" width="11" hidden="0" customWidth="1"/>
    <x:col min="12" max="12" width="28" hidden="0" customWidth="1"/>
  </x:cols>
  <x:sheetData>
    <x:row r="1" ht="34" customHeight="1">
      <x:c r="A1" s="9" t="str">
        <x:v>DOC_ID</x:v>
      </x:c>
      <x:c r="B1" s="9" t="str">
        <x:v>DOCUMENT</x:v>
      </x:c>
      <x:c r="C1" s="9" t="str">
        <x:v>RESPONSIBLE</x:v>
      </x:c>
      <x:c r="D1" s="9" t="str">
        <x:v>BLOCKS</x:v>
      </x:c>
      <x:c r="E1" s="9" t="str">
        <x:v>PRIORITY</x:v>
      </x:c>
      <x:c r="F1" s="9" t="str">
        <x:v>STATUS</x:v>
      </x:c>
      <x:c r="G1" s="9" t="str">
        <x:v>REQUEST_DATE</x:v>
      </x:c>
      <x:c r="H1" s="9" t="str">
        <x:v>RECEIVED_DATE</x:v>
      </x:c>
      <x:c r="I1" s="9" t="str">
        <x:v>ACCEPTANCE_CRITERIA</x:v>
      </x:c>
      <x:c r="J1" s="9" t="str">
        <x:v>STORAGE_LOCATION</x:v>
      </x:c>
      <x:c r="K1" s="9" t="str">
        <x:v>DEPENDENCIES</x:v>
      </x:c>
      <x:c r="L1" s="9" t="str">
        <x:v>NOTES</x:v>
      </x:c>
    </x:row>
    <x:row r="2" ht="30" customHeight="1">
      <x:c r="A2" s="10" t="str">
        <x:v>DOC-INV-001</x:v>
      </x:c>
      <x:c r="B2" s="10" t="str">
        <x:v>Актуальная планировка</x:v>
      </x:c>
      <x:c r="C2" s="10" t="str">
        <x:v>Проектировщик</x:v>
      </x:c>
      <x:c r="D2" s="10" t="str">
        <x:v>Габариты и количество</x:v>
      </x:c>
      <x:c r="E2" s="10" t="str">
        <x:v>P0</x:v>
      </x:c>
      <x:c r="F2" s="10" t="str">
        <x:v>NOT_REQUESTED</x:v>
      </x:c>
      <x:c r="G2" s="10" t="str"/>
      <x:c r="H2" s="10" t="str"/>
      <x:c r="I2" s="10" t="str">
        <x:v>Все зоны и проходы подтверждены</x:v>
      </x:c>
      <x:c r="J2" s="10" t="str"/>
      <x:c r="K2" s="10" t="str">
        <x:v>V-I-040</x:v>
      </x:c>
      <x:c r="L2" s="10" t="str"/>
    </x:row>
    <x:row r="3" ht="30" customHeight="1">
      <x:c r="A3" s="10" t="str">
        <x:v>DOC-INV-002</x:v>
      </x:c>
      <x:c r="B3" s="10" t="str">
        <x:v>Подтверждение 20/26 мест</x:v>
      </x:c>
      <x:c r="C3" s="10" t="str">
        <x:v>Проектировщик</x:v>
      </x:c>
      <x:c r="D3" s="10" t="str">
        <x:v>Мебель и посуда</x:v>
      </x:c>
      <x:c r="E3" s="10" t="str">
        <x:v>P0</x:v>
      </x:c>
      <x:c r="F3" s="10" t="str">
        <x:v>NOT_REQUESTED</x:v>
      </x:c>
      <x:c r="G3" s="10" t="str"/>
      <x:c r="H3" s="10" t="str"/>
      <x:c r="I3" s="10" t="str">
        <x:v>Планировка и эвакуация проверены</x:v>
      </x:c>
      <x:c r="J3" s="10" t="str"/>
      <x:c r="K3" s="10" t="str">
        <x:v>V-I-040</x:v>
      </x:c>
      <x:c r="L3" s="10" t="str"/>
    </x:row>
    <x:row r="4" ht="30" customHeight="1">
      <x:c r="A4" s="10" t="str">
        <x:v>DOC-INV-003</x:v>
      </x:c>
      <x:c r="B4" s="10" t="str">
        <x:v>ТУ электроснабжения</x:v>
      </x:c>
      <x:c r="C4" s="10" t="str">
        <x:v>Арендодатель / Инженерия</x:v>
      </x:c>
      <x:c r="D4" s="10" t="str">
        <x:v>Энергетический CAPEX</x:v>
      </x:c>
      <x:c r="E4" s="10" t="str">
        <x:v>P0</x:v>
      </x:c>
      <x:c r="F4" s="10" t="str">
        <x:v>NOT_REQUESTED</x:v>
      </x:c>
      <x:c r="G4" s="10" t="str"/>
      <x:c r="H4" s="10" t="str"/>
      <x:c r="I4" s="10" t="str">
        <x:v>Официальный документ</x:v>
      </x:c>
      <x:c r="J4" s="10" t="str"/>
      <x:c r="K4" s="10" t="str">
        <x:v>V-I-038</x:v>
      </x:c>
      <x:c r="L4" s="10" t="str"/>
    </x:row>
    <x:row r="5" ht="30" customHeight="1">
      <x:c r="A5" s="10" t="str">
        <x:v>DOC-INV-004</x:v>
      </x:c>
      <x:c r="B5" s="10" t="str">
        <x:v>Стоимость 100/125/150 кВт</x:v>
      </x:c>
      <x:c r="C5" s="10" t="str">
        <x:v>Арендодатель</x:v>
      </x:c>
      <x:c r="D5" s="10" t="str">
        <x:v>CAPEX</x:v>
      </x:c>
      <x:c r="E5" s="10" t="str">
        <x:v>P0</x:v>
      </x:c>
      <x:c r="F5" s="10" t="str">
        <x:v>NOT_REQUESTED</x:v>
      </x:c>
      <x:c r="G5" s="10" t="str"/>
      <x:c r="H5" s="10" t="str"/>
      <x:c r="I5" s="10" t="str">
        <x:v>Состав платежей и сроки</x:v>
      </x:c>
      <x:c r="J5" s="10" t="str"/>
      <x:c r="K5" s="10" t="str">
        <x:v>DOC-INV-003</x:v>
      </x:c>
      <x:c r="L5" s="10" t="str"/>
    </x:row>
    <x:row r="6" ht="30" customHeight="1">
      <x:c r="A6" s="10" t="str">
        <x:v>DOC-INV-005</x:v>
      </x:c>
      <x:c r="B6" s="10" t="str">
        <x:v>Вентиляционный расчёт</x:v>
      </x:c>
      <x:c r="C6" s="10" t="str">
        <x:v>Инженерия</x:v>
      </x:c>
      <x:c r="D6" s="10" t="str">
        <x:v>Вентиляция</x:v>
      </x:c>
      <x:c r="E6" s="10" t="str">
        <x:v>P0</x:v>
      </x:c>
      <x:c r="F6" s="10" t="str">
        <x:v>NOT_REQUESTED</x:v>
      </x:c>
      <x:c r="G6" s="10" t="str"/>
      <x:c r="H6" s="10" t="str"/>
      <x:c r="I6" s="10" t="str">
        <x:v>Воздухообмен и тепловыделения</x:v>
      </x:c>
      <x:c r="J6" s="10" t="str"/>
      <x:c r="K6" s="10" t="str">
        <x:v>V-I-041</x:v>
      </x:c>
      <x:c r="L6" s="10" t="str"/>
    </x:row>
    <x:row r="7" ht="30" customHeight="1">
      <x:c r="A7" s="10" t="str">
        <x:v>DOC-INV-006</x:v>
      </x:c>
      <x:c r="B7" s="10" t="str">
        <x:v>Вода и канализация</x:v>
      </x:c>
      <x:c r="C7" s="10" t="str">
        <x:v>Инженерия</x:v>
      </x:c>
      <x:c r="D7" s="10" t="str">
        <x:v>Мойка и WOK</x:v>
      </x:c>
      <x:c r="E7" s="10" t="str">
        <x:v>P0</x:v>
      </x:c>
      <x:c r="F7" s="10" t="str">
        <x:v>NOT_REQUESTED</x:v>
      </x:c>
      <x:c r="G7" s="10" t="str"/>
      <x:c r="H7" s="10" t="str"/>
      <x:c r="I7" s="10" t="str">
        <x:v>Точки и расходы подтверждены</x:v>
      </x:c>
      <x:c r="J7" s="10" t="str"/>
      <x:c r="K7" s="10" t="str">
        <x:v>V-I-041</x:v>
      </x:c>
      <x:c r="L7" s="10" t="str"/>
    </x:row>
    <x:row r="8" ht="30" customHeight="1">
      <x:c r="A8" s="10" t="str">
        <x:v>DOC-INV-007</x:v>
      </x:c>
      <x:c r="B8" s="10" t="str">
        <x:v>Расчёт жироуловителя</x:v>
      </x:c>
      <x:c r="C8" s="10" t="str">
        <x:v>Инженерия</x:v>
      </x:c>
      <x:c r="D8" s="10" t="str">
        <x:v>Канализация</x:v>
      </x:c>
      <x:c r="E8" s="10" t="str">
        <x:v>P0</x:v>
      </x:c>
      <x:c r="F8" s="10" t="str">
        <x:v>NOT_REQUESTED</x:v>
      </x:c>
      <x:c r="G8" s="10" t="str"/>
      <x:c r="H8" s="10" t="str"/>
      <x:c r="I8" s="10" t="str">
        <x:v>Производительность подтверждена</x:v>
      </x:c>
      <x:c r="J8" s="10" t="str"/>
      <x:c r="K8" s="10" t="str">
        <x:v>DOC-INV-006</x:v>
      </x:c>
      <x:c r="L8" s="10" t="str"/>
    </x:row>
    <x:row r="9" ht="30" customHeight="1">
      <x:c r="A9" s="10" t="str">
        <x:v>DOC-INV-008</x:v>
      </x:c>
      <x:c r="B9" s="10" t="str">
        <x:v>Дефектная ведомость</x:v>
      </x:c>
      <x:c r="C9" s="10" t="str">
        <x:v>Проектировщик</x:v>
      </x:c>
      <x:c r="D9" s="10" t="str">
        <x:v>Строительный CAPEX</x:v>
      </x:c>
      <x:c r="E9" s="10" t="str">
        <x:v>P0</x:v>
      </x:c>
      <x:c r="F9" s="10" t="str">
        <x:v>NOT_REQUESTED</x:v>
      </x:c>
      <x:c r="G9" s="10" t="str"/>
      <x:c r="H9" s="10" t="str"/>
      <x:c r="I9" s="10" t="str">
        <x:v>Охватывает всё помещение</x:v>
      </x:c>
      <x:c r="J9" s="10" t="str"/>
      <x:c r="K9" s="10" t="str">
        <x:v>V-I-071</x:v>
      </x:c>
      <x:c r="L9" s="10" t="str"/>
    </x:row>
    <x:row r="10" ht="30" customHeight="1">
      <x:c r="A10" s="10" t="str">
        <x:v>DOC-INV-009</x:v>
      </x:c>
      <x:c r="B10" s="10" t="str">
        <x:v>Ведомость объёмов работ</x:v>
      </x:c>
      <x:c r="C10" s="10" t="str">
        <x:v>Проектировщик</x:v>
      </x:c>
      <x:c r="D10" s="10" t="str">
        <x:v>RFQ строительства</x:v>
      </x:c>
      <x:c r="E10" s="10" t="str">
        <x:v>P0</x:v>
      </x:c>
      <x:c r="F10" s="10" t="str">
        <x:v>NOT_REQUESTED</x:v>
      </x:c>
      <x:c r="G10" s="10" t="str"/>
      <x:c r="H10" s="10" t="str"/>
      <x:c r="I10" s="10" t="str">
        <x:v>Единая база сравнения</x:v>
      </x:c>
      <x:c r="J10" s="10" t="str"/>
      <x:c r="K10" s="10" t="str">
        <x:v>DOC-INV-008</x:v>
      </x:c>
      <x:c r="L10" s="10" t="str"/>
    </x:row>
    <x:row r="11" ht="30" customHeight="1">
      <x:c r="A11" s="10" t="str">
        <x:v>DOC-INV-010</x:v>
      </x:c>
      <x:c r="B11" s="10" t="str">
        <x:v>Реестр имущества арендодателя</x:v>
      </x:c>
      <x:c r="C11" s="10" t="str">
        <x:v>Арендодатель</x:v>
      </x:c>
      <x:c r="D11" s="10" t="str">
        <x:v>Исключение дублей</x:v>
      </x:c>
      <x:c r="E11" s="10" t="str">
        <x:v>P0</x:v>
      </x:c>
      <x:c r="F11" s="10" t="str">
        <x:v>NOT_REQUESTED</x:v>
      </x:c>
      <x:c r="G11" s="10" t="str"/>
      <x:c r="H11" s="10" t="str"/>
      <x:c r="I11" s="10" t="str">
        <x:v>Собственник и состояние каждого объекта</x:v>
      </x:c>
      <x:c r="J11" s="10" t="str"/>
      <x:c r="K11" s="10" t="str">
        <x:v>V-I-065</x:v>
      </x:c>
      <x:c r="L11" s="10" t="str"/>
    </x:row>
    <x:row r="12" ht="30" customHeight="1">
      <x:c r="A12" s="10" t="str">
        <x:v>DOC-INV-011</x:v>
      </x:c>
      <x:c r="B12" s="10" t="str">
        <x:v>Паспорта оборудования</x:v>
      </x:c>
      <x:c r="C12" s="10" t="str">
        <x:v>Закупки</x:v>
      </x:c>
      <x:c r="D12" s="10" t="str">
        <x:v>Подключения и габариты</x:v>
      </x:c>
      <x:c r="E12" s="10" t="str">
        <x:v>P0</x:v>
      </x:c>
      <x:c r="F12" s="10" t="str">
        <x:v>NOT_REQUESTED</x:v>
      </x:c>
      <x:c r="G12" s="10" t="str"/>
      <x:c r="H12" s="10" t="str"/>
      <x:c r="I12" s="10" t="str">
        <x:v>По каждой выбранной модели</x:v>
      </x:c>
      <x:c r="J12" s="10" t="str"/>
      <x:c r="K12" s="10" t="str">
        <x:v>V-I-043</x:v>
      </x:c>
      <x:c r="L12" s="10" t="str"/>
    </x:row>
    <x:row r="13" ht="30" customHeight="1">
      <x:c r="A13" s="10" t="str">
        <x:v>DOC-INV-012</x:v>
      </x:c>
      <x:c r="B13" s="10" t="str">
        <x:v>Протокол контрольного банкета</x:v>
      </x:c>
      <x:c r="C13" s="10" t="str">
        <x:v>Кухня / БАНКЕТЫ</x:v>
      </x:c>
      <x:c r="D13" s="10" t="str">
        <x:v>Условные активы</x:v>
      </x:c>
      <x:c r="E13" s="10" t="str">
        <x:v>P0</x:v>
      </x:c>
      <x:c r="F13" s="10" t="str">
        <x:v>NOT_REQUESTED</x:v>
      </x:c>
      <x:c r="G13" s="10" t="str"/>
      <x:c r="H13" s="10" t="str"/>
      <x:c r="I13" s="10" t="str">
        <x:v>20 гостей и инженерный тест 24</x:v>
      </x:c>
      <x:c r="J13" s="10" t="str"/>
      <x:c r="K13" s="10" t="str">
        <x:v>V-I-045</x:v>
      </x:c>
      <x:c r="L13" s="10" t="str"/>
    </x:row>
    <x:row r="14" ht="30" customHeight="1">
      <x:c r="A14" s="10" t="str">
        <x:v>DOC-INV-013</x:v>
      </x:c>
      <x:c r="B14" s="10" t="str">
        <x:v>Хронометраж холодного участка</x:v>
      </x:c>
      <x:c r="C14" s="10" t="str">
        <x:v>Кухня</x:v>
      </x:c>
      <x:c r="D14" s="10" t="str">
        <x:v>Слайсер и овощерезка</x:v>
      </x:c>
      <x:c r="E14" s="10" t="str">
        <x:v>P1</x:v>
      </x:c>
      <x:c r="F14" s="10" t="str">
        <x:v>NOT_REQUESTED</x:v>
      </x:c>
      <x:c r="G14" s="10" t="str"/>
      <x:c r="H14" s="10" t="str"/>
      <x:c r="I14" s="10" t="str">
        <x:v>Полный цикл и штат</x:v>
      </x:c>
      <x:c r="J14" s="10" t="str"/>
      <x:c r="K14" s="10" t="str">
        <x:v>V-I-044</x:v>
      </x:c>
      <x:c r="L14" s="10" t="str"/>
    </x:row>
    <x:row r="15" ht="30" customHeight="1">
      <x:c r="A15" s="10" t="str">
        <x:v>DOC-INV-014</x:v>
      </x:c>
      <x:c r="B15" s="10" t="str">
        <x:v>Тест 25 кассет/час</x:v>
      </x:c>
      <x:c r="C15" s="10" t="str">
        <x:v>Операции</x:v>
      </x:c>
      <x:c r="D15" s="10" t="str">
        <x:v>Моечный контур</x:v>
      </x:c>
      <x:c r="E15" s="10" t="str">
        <x:v>P0</x:v>
      </x:c>
      <x:c r="F15" s="10" t="str">
        <x:v>NOT_REQUESTED</x:v>
      </x:c>
      <x:c r="G15" s="10" t="str"/>
      <x:c r="H15" s="10" t="str"/>
      <x:c r="I15" s="10" t="str">
        <x:v>25 смешанных кассет обработаны</x:v>
      </x:c>
      <x:c r="J15" s="10" t="str"/>
      <x:c r="K15" s="10" t="str">
        <x:v>V-I-037</x:v>
      </x:c>
      <x:c r="L15" s="10" t="str"/>
    </x:row>
    <x:row r="16" ht="30" customHeight="1">
      <x:c r="A16" s="10" t="str">
        <x:v>DOC-INV-015</x:v>
      </x:c>
      <x:c r="B16" s="10" t="str">
        <x:v>Матрица сервировки S04</x:v>
      </x:c>
      <x:c r="C16" s="10" t="str">
        <x:v>Операции</x:v>
      </x:c>
      <x:c r="D16" s="10" t="str">
        <x:v>Посуда</x:v>
      </x:c>
      <x:c r="E16" s="10" t="str">
        <x:v>P0</x:v>
      </x:c>
      <x:c r="F16" s="10" t="str">
        <x:v>NOT_REQUESTED</x:v>
      </x:c>
      <x:c r="G16" s="10" t="str"/>
      <x:c r="H16" s="10" t="str"/>
      <x:c r="I16" s="10" t="str">
        <x:v>31 позиция и завтраки</x:v>
      </x:c>
      <x:c r="J16" s="10" t="str"/>
      <x:c r="K16" s="10" t="str">
        <x:v>V-I-083</x:v>
      </x:c>
      <x:c r="L16" s="10" t="str"/>
    </x:row>
    <x:row r="17" ht="30" customHeight="1">
      <x:c r="A17" s="10" t="str">
        <x:v>DOC-INV-016</x:v>
      </x:c>
      <x:c r="B17" s="10" t="str">
        <x:v>Банкетная сервировка</x:v>
      </x:c>
      <x:c r="C17" s="10" t="str">
        <x:v>БАНКЕТЫ</x:v>
      </x:c>
      <x:c r="D17" s="10" t="str">
        <x:v>BAN-04–BAN-06</x:v>
      </x:c>
      <x:c r="E17" s="10" t="str">
        <x:v>P0</x:v>
      </x:c>
      <x:c r="F17" s="10" t="str">
        <x:v>NOT_REQUESTED</x:v>
      </x:c>
      <x:c r="G17" s="10" t="str"/>
      <x:c r="H17" s="10" t="str"/>
      <x:c r="I17" s="10" t="str">
        <x:v>20/21/26 гостей и оборот</x:v>
      </x:c>
      <x:c r="J17" s="10" t="str"/>
      <x:c r="K17" s="10" t="str">
        <x:v>V-I-096</x:v>
      </x:c>
      <x:c r="L17" s="10" t="str"/>
    </x:row>
    <x:row r="18" ht="30" customHeight="1">
      <x:c r="A18" s="10" t="str">
        <x:v>DOC-INV-017</x:v>
      </x:c>
      <x:c r="B18" s="10" t="str">
        <x:v>Программа бара</x:v>
      </x:c>
      <x:c r="C18" s="10" t="str">
        <x:v>Бар</x:v>
      </x:c>
      <x:c r="D18" s="10" t="str">
        <x:v>Барный CAPEX</x:v>
      </x:c>
      <x:c r="E18" s="10" t="str">
        <x:v>P0</x:v>
      </x:c>
      <x:c r="F18" s="10" t="str">
        <x:v>NOT_REQUESTED</x:v>
      </x:c>
      <x:c r="G18" s="10" t="str"/>
      <x:c r="H18" s="10" t="str"/>
      <x:c r="I18" s="10" t="str">
        <x:v>Напитки, объёмы, оборудование</x:v>
      </x:c>
      <x:c r="J18" s="10" t="str"/>
      <x:c r="K18" s="10" t="str">
        <x:v>V-I-084</x:v>
      </x:c>
      <x:c r="L18" s="10" t="str"/>
    </x:row>
    <x:row r="19" ht="30" customHeight="1">
      <x:c r="A19" s="10" t="str">
        <x:v>DOC-INV-018</x:v>
      </x:c>
      <x:c r="B19" s="10" t="str">
        <x:v>Карта напитков</x:v>
      </x:c>
      <x:c r="C19" s="10" t="str">
        <x:v>Бар</x:v>
      </x:c>
      <x:c r="D19" s="10" t="str">
        <x:v>Стекло и хранение</x:v>
      </x:c>
      <x:c r="E19" s="10" t="str">
        <x:v>P1</x:v>
      </x:c>
      <x:c r="F19" s="10" t="str">
        <x:v>NOT_REQUESTED</x:v>
      </x:c>
      <x:c r="G19" s="10" t="str"/>
      <x:c r="H19" s="10" t="str"/>
      <x:c r="I19" s="10" t="str">
        <x:v>Единицы продажи и сервировка</x:v>
      </x:c>
      <x:c r="J19" s="10" t="str"/>
      <x:c r="K19" s="10" t="str">
        <x:v>DOC-INV-017</x:v>
      </x:c>
      <x:c r="L19" s="10" t="str"/>
    </x:row>
    <x:row r="20" ht="30" customHeight="1">
      <x:c r="A20" s="10" t="str">
        <x:v>DOC-INV-019</x:v>
      </x:c>
      <x:c r="B20" s="10" t="str">
        <x:v>Размеры упаковок поставщиков</x:v>
      </x:c>
      <x:c r="C20" s="10" t="str">
        <x:v>Закупки</x:v>
      </x:c>
      <x:c r="D20" s="10" t="str">
        <x:v>Холодильная ёмкость</x:v>
      </x:c>
      <x:c r="E20" s="10" t="str">
        <x:v>P0</x:v>
      </x:c>
      <x:c r="F20" s="10" t="str">
        <x:v>NOT_REQUESTED</x:v>
      </x:c>
      <x:c r="G20" s="10" t="str"/>
      <x:c r="H20" s="10" t="str"/>
      <x:c r="I20" s="10" t="str">
        <x:v>Все ключевые товарные группы</x:v>
      </x:c>
      <x:c r="J20" s="10" t="str"/>
      <x:c r="K20" s="10" t="str">
        <x:v>V-I-042</x:v>
      </x:c>
      <x:c r="L20" s="10" t="str"/>
    </x:row>
    <x:row r="21" ht="30" customHeight="1">
      <x:c r="A21" s="10" t="str">
        <x:v>DOC-INV-020</x:v>
      </x:c>
      <x:c r="B21" s="10" t="str">
        <x:v>MOQ и сроки поставок</x:v>
      </x:c>
      <x:c r="C21" s="10" t="str">
        <x:v>Закупки</x:v>
      </x:c>
      <x:c r="D21" s="10" t="str">
        <x:v>Оборотный капитал</x:v>
      </x:c>
      <x:c r="E21" s="10" t="str">
        <x:v>P0</x:v>
      </x:c>
      <x:c r="F21" s="10" t="str">
        <x:v>NOT_REQUESTED</x:v>
      </x:c>
      <x:c r="G21" s="10" t="str"/>
      <x:c r="H21" s="10" t="str"/>
      <x:c r="I21" s="10" t="str">
        <x:v>По каждому SKU</x:v>
      </x:c>
      <x:c r="J21" s="10" t="str"/>
      <x:c r="K21" s="10" t="str">
        <x:v>V-I-072</x:v>
      </x:c>
      <x:c r="L21" s="10" t="str"/>
    </x:row>
    <x:row r="22" ht="30" customHeight="1">
      <x:c r="A22" s="10" t="str">
        <x:v>DOC-INV-021</x:v>
      </x:c>
      <x:c r="B22" s="10" t="str">
        <x:v>Срок оплаты Гостиницей</x:v>
      </x:c>
      <x:c r="C22" s="10" t="str">
        <x:v>Финансы / Гостиница</x:v>
      </x:c>
      <x:c r="D22" s="10" t="str">
        <x:v>Дебиторская задолженность</x:v>
      </x:c>
      <x:c r="E22" s="10" t="str">
        <x:v>P0</x:v>
      </x:c>
      <x:c r="F22" s="10" t="str">
        <x:v>NOT_REQUESTED</x:v>
      </x:c>
      <x:c r="G22" s="10" t="str"/>
      <x:c r="H22" s="10" t="str"/>
      <x:c r="I22" s="10" t="str">
        <x:v>Договорный срок</x:v>
      </x:c>
      <x:c r="J22" s="10" t="str"/>
      <x:c r="K22" s="10" t="str">
        <x:v>V-I-072</x:v>
      </x:c>
      <x:c r="L22" s="10" t="str"/>
    </x:row>
    <x:row r="23" ht="30" customHeight="1">
      <x:c r="A23" s="10" t="str">
        <x:v>DOC-INV-022</x:v>
      </x:c>
      <x:c r="B23" s="10" t="str">
        <x:v>Условия агрегаторов</x:v>
      </x:c>
      <x:c r="C23" s="10" t="str">
        <x:v>Финансы</x:v>
      </x:c>
      <x:c r="D23" s="10" t="str">
        <x:v>Cash Flow Доставки</x:v>
      </x:c>
      <x:c r="E23" s="10" t="str">
        <x:v>P1</x:v>
      </x:c>
      <x:c r="F23" s="10" t="str">
        <x:v>NOT_REQUESTED</x:v>
      </x:c>
      <x:c r="G23" s="10" t="str"/>
      <x:c r="H23" s="10" t="str"/>
      <x:c r="I23" s="10" t="str">
        <x:v>Комиссии и лаг</x:v>
      </x:c>
      <x:c r="J23" s="10" t="str"/>
      <x:c r="K23" s="10" t="str">
        <x:v>V-I-078</x:v>
      </x:c>
      <x:c r="L23" s="10" t="str"/>
    </x:row>
    <x:row r="24" ht="30" customHeight="1">
      <x:c r="A24" s="10" t="str">
        <x:v>DOC-INV-023</x:v>
      </x:c>
      <x:c r="B24" s="10" t="str">
        <x:v>Условия банкетного аванса</x:v>
      </x:c>
      <x:c r="C24" s="10" t="str">
        <x:v>Продажи / Юристы</x:v>
      </x:c>
      <x:c r="D24" s="10" t="str">
        <x:v>Cash Flow БАНКЕТОВ</x:v>
      </x:c>
      <x:c r="E24" s="10" t="str">
        <x:v>P0</x:v>
      </x:c>
      <x:c r="F24" s="10" t="str">
        <x:v>NOT_REQUESTED</x:v>
      </x:c>
      <x:c r="G24" s="10" t="str"/>
      <x:c r="H24" s="10" t="str"/>
      <x:c r="I24" s="10" t="str">
        <x:v>Аванс, cut-off, окончательный расчёт</x:v>
      </x:c>
      <x:c r="J24" s="10" t="str"/>
      <x:c r="K24" s="10" t="str">
        <x:v>V-I-097</x:v>
      </x:c>
      <x:c r="L24" s="10" t="str"/>
    </x:row>
    <x:row r="25" ht="30" customHeight="1">
      <x:c r="A25" s="10" t="str">
        <x:v>DOC-INV-024</x:v>
      </x:c>
      <x:c r="B25" s="10" t="str">
        <x:v>Договор аренды и депозит</x:v>
      </x:c>
      <x:c r="C25" s="10" t="str">
        <x:v>Юристы</x:v>
      </x:c>
      <x:c r="D25" s="10" t="str">
        <x:v>Финансирование</x:v>
      </x:c>
      <x:c r="E25" s="10" t="str">
        <x:v>P0</x:v>
      </x:c>
      <x:c r="F25" s="10" t="str">
        <x:v>NOT_REQUESTED</x:v>
      </x:c>
      <x:c r="G25" s="10" t="str"/>
      <x:c r="H25" s="10" t="str"/>
      <x:c r="I25" s="10" t="str">
        <x:v>Платежи, каникулы, депозит</x:v>
      </x:c>
      <x:c r="J25" s="10" t="str"/>
      <x:c r="K25" s="10" t="str">
        <x:v>V-I-063</x:v>
      </x:c>
      <x:c r="L25" s="10" t="str"/>
    </x:row>
    <x:row r="26" ht="30" customHeight="1">
      <x:c r="A26" s="10" t="str">
        <x:v>DOC-INV-025</x:v>
      </x:c>
      <x:c r="B26" s="10" t="str">
        <x:v>Налоговая схема и НДС</x:v>
      </x:c>
      <x:c r="C26" s="10" t="str">
        <x:v>Финансы / Налоги</x:v>
      </x:c>
      <x:c r="D26" s="10" t="str">
        <x:v>Цена и Cash Flow</x:v>
      </x:c>
      <x:c r="E26" s="10" t="str">
        <x:v>P0</x:v>
      </x:c>
      <x:c r="F26" s="10" t="str">
        <x:v>NOT_REQUESTED</x:v>
      </x:c>
      <x:c r="G26" s="10" t="str"/>
      <x:c r="H26" s="10" t="str"/>
      <x:c r="I26" s="10" t="str">
        <x:v>Письменное решение</x:v>
      </x:c>
      <x:c r="J26" s="10" t="str"/>
      <x:c r="K26" s="10" t="str">
        <x:v>V-I-054</x:v>
      </x:c>
      <x:c r="L26" s="10" t="str"/>
    </x:row>
    <x:row r="27" ht="30" customHeight="1">
      <x:c r="A27" s="10" t="str">
        <x:v>DOC-INV-026</x:v>
      </x:c>
      <x:c r="B27" s="10" t="str">
        <x:v>Политика капитализации</x:v>
      </x:c>
      <x:c r="C27" s="10" t="str">
        <x:v>Финансы</x:v>
      </x:c>
      <x:c r="D27" s="10" t="str">
        <x:v>CAPEX/OPEX</x:v>
      </x:c>
      <x:c r="E27" s="10" t="str">
        <x:v>P0</x:v>
      </x:c>
      <x:c r="F27" s="10" t="str">
        <x:v>NOT_REQUESTED</x:v>
      </x:c>
      <x:c r="G27" s="10" t="str"/>
      <x:c r="H27" s="10" t="str"/>
      <x:c r="I27" s="10" t="str">
        <x:v>Критерии ОС и малоценки</x:v>
      </x:c>
      <x:c r="J27" s="10" t="str"/>
      <x:c r="K27" s="10" t="str">
        <x:v>V-I-077</x:v>
      </x:c>
      <x:c r="L27" s="10" t="str"/>
    </x:row>
    <x:row r="28" ht="30" customHeight="1">
      <x:c r="A28" s="10" t="str">
        <x:v>DOC-INV-027</x:v>
      </x:c>
      <x:c r="B28" s="10" t="str">
        <x:v>Получатель инвестиций</x:v>
      </x:c>
      <x:c r="C28" s="10" t="str">
        <x:v>Инвестор / Юристы</x:v>
      </x:c>
      <x:c r="D28" s="10" t="str">
        <x:v>Финансирование</x:v>
      </x:c>
      <x:c r="E28" s="10" t="str">
        <x:v>P0</x:v>
      </x:c>
      <x:c r="F28" s="10" t="str">
        <x:v>NOT_REQUESTED</x:v>
      </x:c>
      <x:c r="G28" s="10" t="str"/>
      <x:c r="H28" s="10" t="str"/>
      <x:c r="I28" s="10" t="str">
        <x:v>Юридическое решение</x:v>
      </x:c>
      <x:c r="J28" s="10" t="str"/>
      <x:c r="K28" s="10" t="str">
        <x:v>V-I-073</x:v>
      </x:c>
      <x:c r="L28" s="10" t="str"/>
    </x:row>
    <x:row r="29" ht="30" customHeight="1">
      <x:c r="A29" s="10" t="str">
        <x:v>DOC-INV-028</x:v>
      </x:c>
      <x:c r="B29" s="10" t="str">
        <x:v>Источник финансирования</x:v>
      </x:c>
      <x:c r="C29" s="10" t="str">
        <x:v>Инвестор</x:v>
      </x:c>
      <x:c r="D29" s="10" t="str">
        <x:v>Funding Plan</x:v>
      </x:c>
      <x:c r="E29" s="10" t="str">
        <x:v>P0</x:v>
      </x:c>
      <x:c r="F29" s="10" t="str">
        <x:v>NOT_REQUESTED</x:v>
      </x:c>
      <x:c r="G29" s="10" t="str"/>
      <x:c r="H29" s="10" t="str"/>
      <x:c r="I29" s="10" t="str">
        <x:v>Сумма, форма, транши</x:v>
      </x:c>
      <x:c r="J29" s="10" t="str"/>
      <x:c r="K29" s="10" t="str">
        <x:v>V-I-073</x:v>
      </x:c>
      <x:c r="L29" s="10" t="str"/>
    </x:row>
    <x:row r="30" ht="30" customHeight="1">
      <x:c r="A30" s="10" t="str">
        <x:v>DOC-INV-029</x:v>
      </x:c>
      <x:c r="B30" s="10" t="str">
        <x:v>Механизм возврата инвестиций</x:v>
      </x:c>
      <x:c r="C30" s="10" t="str">
        <x:v>Инвестор / Юристы</x:v>
      </x:c>
      <x:c r="D30" s="10" t="str">
        <x:v>Будущий Cash Flow</x:v>
      </x:c>
      <x:c r="E30" s="10" t="str">
        <x:v>P0</x:v>
      </x:c>
      <x:c r="F30" s="10" t="str">
        <x:v>NOT_REQUESTED</x:v>
      </x:c>
      <x:c r="G30" s="10" t="str"/>
      <x:c r="H30" s="10" t="str"/>
      <x:c r="I30" s="10" t="str">
        <x:v>Договорный механизм</x:v>
      </x:c>
      <x:c r="J30" s="10" t="str"/>
      <x:c r="K30" s="10" t="str">
        <x:v>V-I-074</x:v>
      </x:c>
      <x:c r="L30" s="10" t="str"/>
    </x:row>
    <x:row r="31" ht="30" customHeight="1">
      <x:c r="A31" s="10" t="str">
        <x:v>DOC-INV-030</x:v>
      </x:c>
      <x:c r="B31" s="10" t="str">
        <x:v>Минимальный денежный остаток</x:v>
      </x:c>
      <x:c r="C31" s="10" t="str">
        <x:v>Инвестор</x:v>
      </x:c>
      <x:c r="D31" s="10" t="str">
        <x:v>Резерв ликвидности</x:v>
      </x:c>
      <x:c r="E31" s="10" t="str">
        <x:v>P0</x:v>
      </x:c>
      <x:c r="F31" s="10" t="str">
        <x:v>NOT_REQUESTED</x:v>
      </x:c>
      <x:c r="G31" s="10" t="str"/>
      <x:c r="H31" s="10" t="str"/>
      <x:c r="I31" s="10" t="str">
        <x:v>Утверждённая сумма/правило</x:v>
      </x:c>
      <x:c r="J31" s="10" t="str"/>
      <x:c r="K31" s="10" t="str">
        <x:v>V-I-072</x:v>
      </x:c>
      <x:c r="L31" s="10" t="str"/>
    </x:row>
    <x:row r="32" ht="30" customHeight="1">
      <x:c r="A32" s="10" t="str">
        <x:v>DOC-INV-031</x:v>
      </x:c>
      <x:c r="B32" s="10" t="str">
        <x:v>График CAPEX-платежей</x:v>
      </x:c>
      <x:c r="C32" s="10" t="str">
        <x:v>Руководитель проекта</x:v>
      </x:c>
      <x:c r="D32" s="10" t="str">
        <x:v>Cash Flow</x:v>
      </x:c>
      <x:c r="E32" s="10" t="str">
        <x:v>P0</x:v>
      </x:c>
      <x:c r="F32" s="10" t="str">
        <x:v>NOT_REQUESTED</x:v>
      </x:c>
      <x:c r="G32" s="10" t="str"/>
      <x:c r="H32" s="10" t="str"/>
      <x:c r="I32" s="10" t="str">
        <x:v>По договорам и неделям</x:v>
      </x:c>
      <x:c r="J32" s="10" t="str"/>
      <x:c r="K32" s="10" t="str">
        <x:v>V-I-071</x:v>
      </x:c>
      <x:c r="L32" s="10" t="str"/>
    </x:row>
    <x:row r="33" ht="30" customHeight="1">
      <x:c r="A33" s="10" t="str">
        <x:v>DOC-INV-032</x:v>
      </x:c>
      <x:c r="B33" s="10" t="str">
        <x:v>График запуска</x:v>
      </x:c>
      <x:c r="C33" s="10" t="str">
        <x:v>Руководитель проекта</x:v>
      </x:c>
      <x:c r="D33" s="10" t="str">
        <x:v>Cash Flow</x:v>
      </x:c>
      <x:c r="E33" s="10" t="str">
        <x:v>P0</x:v>
      </x:c>
      <x:c r="F33" s="10" t="str">
        <x:v>NOT_REQUESTED</x:v>
      </x:c>
      <x:c r="G33" s="10" t="str"/>
      <x:c r="H33" s="10" t="str"/>
      <x:c r="I33" s="10" t="str">
        <x:v>Контрольные даты и зависимости</x:v>
      </x:c>
      <x:c r="J33" s="10" t="str"/>
      <x:c r="K33" s="10" t="str">
        <x:v>V-I-072</x:v>
      </x:c>
      <x:c r="L33" s="10" t="str"/>
    </x:row>
    <x:row r="34" ht="30" customHeight="1">
      <x:c r="A34" s="11" t="str">
        <x:v>DOC-INV-033</x:v>
      </x:c>
      <x:c r="B34" s="11" t="str">
        <x:v>Подтверждение исходных BAN-01–BAN-07</x:v>
      </x:c>
      <x:c r="C34" s="11" t="str">
        <x:v>Владелец проекта</x:v>
      </x:c>
      <x:c r="D34" s="11" t="str">
        <x:v>Кодовый реестр</x:v>
      </x:c>
      <x:c r="E34" s="11" t="str">
        <x:v>P1</x:v>
      </x:c>
      <x:c r="F34" s="11" t="str">
        <x:v>NOT_REQUESTED</x:v>
      </x:c>
      <x:c r="G34" s="11" t="str"/>
      <x:c r="H34" s="11" t="str"/>
      <x:c r="I34" s="11" t="str">
        <x:v>Исходный документ или отдельное решение</x:v>
      </x:c>
      <x:c r="J34" s="11" t="str"/>
      <x:c r="K34" s="11" t="str">
        <x:v>V-I-046</x:v>
      </x:c>
      <x:c r="L34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.600000381469727" hidden="0" customWidth="1"/>
    <x:col min="3" max="3" width="13.600000381469727" hidden="0" customWidth="1"/>
    <x:col min="4" max="4" width="11" hidden="0" customWidth="1"/>
    <x:col min="5" max="5" width="18" hidden="0" customWidth="1"/>
    <x:col min="6" max="6" width="11" hidden="0" customWidth="1"/>
    <x:col min="7" max="7" width="15.300000190734863" hidden="0" customWidth="1"/>
    <x:col min="8" max="8" width="11" hidden="0" customWidth="1"/>
    <x:col min="9" max="9" width="11.050000190734863" hidden="0" customWidth="1"/>
    <x:col min="10" max="10" width="13" hidden="0" customWidth="1"/>
    <x:col min="11" max="11" width="11.050000190734863" hidden="0" customWidth="1"/>
  </x:cols>
  <x:sheetData>
    <x:row r="1" ht="34" customHeight="1">
      <x:c r="A1" s="9" t="str">
        <x:v>LEGACY_FUNC_CODE</x:v>
      </x:c>
      <x:c r="B1" s="9" t="str">
        <x:v>LEGACY_DIRECTION</x:v>
      </x:c>
      <x:c r="C1" s="9" t="str">
        <x:v>LEGACY_EQUIPMENT</x:v>
      </x:c>
      <x:c r="D1" s="9" t="str">
        <x:v>LEGACY_QTY</x:v>
      </x:c>
      <x:c r="E1" s="9" t="str">
        <x:v>CURRENT_FUNC_CODES</x:v>
      </x:c>
      <x:c r="F1" s="9" t="str">
        <x:v>CHANGE_TYPE</x:v>
      </x:c>
      <x:c r="G1" s="9" t="str">
        <x:v>CHANGE_DESCRIPTION</x:v>
      </x:c>
      <x:c r="H1" s="9" t="str">
        <x:v>SOURCE_FILE</x:v>
      </x:c>
      <x:c r="I1" s="9" t="str">
        <x:v>SOURCE_SHA256</x:v>
      </x:c>
      <x:c r="J1" s="9" t="str">
        <x:v>SOURCE_DATE</x:v>
      </x:c>
      <x:c r="K1" s="9" t="str">
        <x:v>SOURCE_STATUS</x:v>
      </x:c>
    </x:row>
    <x:row r="2" ht="30" customHeight="1">
      <x:c r="A2" s="10" t="str">
        <x:v>ST-01</x:v>
      </x:c>
      <x:c r="B2" s="10" t="str">
        <x:v>Складирование</x:v>
      </x:c>
      <x:c r="C2" s="10" t="str">
        <x:v>Стеллажи для сухих продуктов</x:v>
      </x:c>
      <x:c r="D2" s="10" t="str">
        <x:v>Уточнить</x:v>
      </x:c>
      <x:c r="E2" s="10" t="str">
        <x:v>STO-11;STO-12</x:v>
      </x:c>
      <x:c r="F2" s="10" t="str">
        <x:v>SPLIT</x:v>
      </x:c>
      <x:c r="G2" s="10" t="str">
        <x:v>Разделено на хранение и подтоварники</x:v>
      </x:c>
      <x:c r="H2" s="10" t="str">
        <x:v>VARSHAVKA_Спецификация_оборудования_Кухни_верифицированная_по_меню.docx</x:v>
      </x:c>
      <x:c r="I2" s="10" t="str">
        <x:v>b3231fa6159a529f52dfd8eb82f309de825469f1d3666d0a109c1d9a66bf6d62</x:v>
      </x:c>
      <x:c r="J2" s="10" t="str">
        <x:v>2026-07-25</x:v>
      </x:c>
      <x:c r="K2" s="10" t="str">
        <x:v>LOCAL_SOURCE_NOT_PUBLISHED</x:v>
      </x:c>
    </x:row>
    <x:row r="3" ht="30" customHeight="1">
      <x:c r="A3" s="10" t="str">
        <x:v>ST-02</x:v>
      </x:c>
      <x:c r="B3" s="10" t="str">
        <x:v>Складирование</x:v>
      </x:c>
      <x:c r="C3" s="10" t="str">
        <x:v>Холодильные шкафы</x:v>
      </x:c>
      <x:c r="D3" s="10" t="str">
        <x:v>Уточнить</x:v>
      </x:c>
      <x:c r="E3" s="10" t="str">
        <x:v>STO-04;STO-06;STO-07;STO-09;STO-10</x:v>
      </x:c>
      <x:c r="F3" s="10" t="str">
        <x:v>SPLIT</x:v>
      </x:c>
      <x:c r="G3" s="10" t="str">
        <x:v>Разделено по санитарным контурам</x:v>
      </x:c>
      <x:c r="H3" s="10" t="str">
        <x:v>VARSHAVKA_Спецификация_оборудования_Кухни_верифицированная_по_меню.docx</x:v>
      </x:c>
      <x:c r="I3" s="10" t="str">
        <x:v>b3231fa6159a529f52dfd8eb82f309de825469f1d3666d0a109c1d9a66bf6d62</x:v>
      </x:c>
      <x:c r="J3" s="10" t="str">
        <x:v>2026-07-25</x:v>
      </x:c>
      <x:c r="K3" s="10" t="str">
        <x:v>LOCAL_SOURCE_NOT_PUBLISHED</x:v>
      </x:c>
    </x:row>
    <x:row r="4" ht="30" customHeight="1">
      <x:c r="A4" s="10" t="str">
        <x:v>ST-03</x:v>
      </x:c>
      <x:c r="B4" s="10" t="str">
        <x:v>Складирование</x:v>
      </x:c>
      <x:c r="C4" s="10" t="str">
        <x:v>Морозильные шкафы/лары</x:v>
      </x:c>
      <x:c r="D4" s="10" t="str">
        <x:v>Уточнить</x:v>
      </x:c>
      <x:c r="E4" s="10" t="str">
        <x:v>STO-02;STO-03</x:v>
      </x:c>
      <x:c r="F4" s="10" t="str">
        <x:v>SPLIT</x:v>
      </x:c>
      <x:c r="G4" s="10" t="str">
        <x:v>Закреплены два раздельных модуля</x:v>
      </x:c>
      <x:c r="H4" s="10" t="str">
        <x:v>VARSHAVKA_Спецификация_оборудования_Кухни_верифицированная_по_меню.docx</x:v>
      </x:c>
      <x:c r="I4" s="10" t="str">
        <x:v>b3231fa6159a529f52dfd8eb82f309de825469f1d3666d0a109c1d9a66bf6d62</x:v>
      </x:c>
      <x:c r="J4" s="10" t="str">
        <x:v>2026-07-25</x:v>
      </x:c>
      <x:c r="K4" s="10" t="str">
        <x:v>LOCAL_SOURCE_NOT_PUBLISHED</x:v>
      </x:c>
    </x:row>
    <x:row r="5" ht="30" customHeight="1">
      <x:c r="A5" s="10" t="str">
        <x:v>ST-04</x:v>
      </x:c>
      <x:c r="B5" s="10" t="str">
        <x:v>Складирование</x:v>
      </x:c>
      <x:c r="C5" s="10" t="str">
        <x:v>Раздельные промаркированные гастроёмкости</x:v>
      </x:c>
      <x:c r="D5" s="10" t="str">
        <x:v>По расчёту</x:v>
      </x:c>
      <x:c r="E5" s="10" t="str">
        <x:v>CLD-06;HOT-13</x:v>
      </x:c>
      <x:c r="F5" s="10" t="str">
        <x:v>SPLIT</x:v>
      </x:c>
      <x:c r="G5" s="10" t="str">
        <x:v>Распределено по участкам</x:v>
      </x:c>
      <x:c r="H5" s="10" t="str">
        <x:v>VARSHAVKA_Спецификация_оборудования_Кухни_верифицированная_по_меню.docx</x:v>
      </x:c>
      <x:c r="I5" s="10" t="str">
        <x:v>b3231fa6159a529f52dfd8eb82f309de825469f1d3666d0a109c1d9a66bf6d62</x:v>
      </x:c>
      <x:c r="J5" s="10" t="str">
        <x:v>2026-07-25</x:v>
      </x:c>
      <x:c r="K5" s="10" t="str">
        <x:v>LOCAL_SOURCE_NOT_PUBLISHED</x:v>
      </x:c>
    </x:row>
    <x:row r="6" ht="30" customHeight="1">
      <x:c r="A6" s="10" t="str">
        <x:v>ST-05</x:v>
      </x:c>
      <x:c r="B6" s="10" t="str">
        <x:v>Складирование</x:v>
      </x:c>
      <x:c r="C6" s="10" t="str">
        <x:v>Весы товарные и настольные</x:v>
      </x:c>
      <x:c r="D6" s="10" t="str">
        <x:v>1 + по участкам</x:v>
      </x:c>
      <x:c r="E6" s="10" t="str">
        <x:v>STO-01;CLD-07;BRK-04</x:v>
      </x:c>
      <x:c r="F6" s="10" t="str">
        <x:v>SPLIT</x:v>
      </x:c>
      <x:c r="G6" s="10" t="str">
        <x:v>Распределено по участкам</x:v>
      </x:c>
      <x:c r="H6" s="10" t="str">
        <x:v>VARSHAVKA_Спецификация_оборудования_Кухни_верифицированная_по_меню.docx</x:v>
      </x:c>
      <x:c r="I6" s="10" t="str">
        <x:v>b3231fa6159a529f52dfd8eb82f309de825469f1d3666d0a109c1d9a66bf6d62</x:v>
      </x:c>
      <x:c r="J6" s="10" t="str">
        <x:v>2026-07-25</x:v>
      </x:c>
      <x:c r="K6" s="10" t="str">
        <x:v>LOCAL_SOURCE_NOT_PUBLISHED</x:v>
      </x:c>
    </x:row>
    <x:row r="7" ht="30" customHeight="1">
      <x:c r="A7" s="10" t="str">
        <x:v>CP-01</x:v>
      </x:c>
      <x:c r="B7" s="10" t="str">
        <x:v>Холодные блюда</x:v>
      </x:c>
      <x:c r="C7" s="10" t="str">
        <x:v>Холодильный рабочий стол</x:v>
      </x:c>
      <x:c r="D7" s="10" t="str">
        <x:v>Не менее 1</x:v>
      </x:c>
      <x:c r="E7" s="10" t="str">
        <x:v>CLD-01</x:v>
      </x:c>
      <x:c r="F7" s="10" t="str">
        <x:v>RETAINED</x:v>
      </x:c>
      <x:c r="G7" s="10" t="str">
        <x:v>Уточнён полезный объём</x:v>
      </x:c>
      <x:c r="H7" s="10" t="str">
        <x:v>VARSHAVKA_Спецификация_оборудования_Кухни_верифицированная_по_меню.docx</x:v>
      </x:c>
      <x:c r="I7" s="10" t="str">
        <x:v>b3231fa6159a529f52dfd8eb82f309de825469f1d3666d0a109c1d9a66bf6d62</x:v>
      </x:c>
      <x:c r="J7" s="10" t="str">
        <x:v>2026-07-25</x:v>
      </x:c>
      <x:c r="K7" s="10" t="str">
        <x:v>LOCAL_SOURCE_NOT_PUBLISHED</x:v>
      </x:c>
    </x:row>
    <x:row r="8" ht="30" customHeight="1">
      <x:c r="A8" s="10" t="str">
        <x:v>CP-02</x:v>
      </x:c>
      <x:c r="B8" s="10" t="str">
        <x:v>Холодные блюда</x:v>
      </x:c>
      <x:c r="C8" s="10" t="str">
        <x:v>Производственный стол нерж.</x:v>
      </x:c>
      <x:c r="D8" s="10" t="str">
        <x:v>1–2</x:v>
      </x:c>
      <x:c r="E8" s="10" t="str">
        <x:v>CLD-03;HOT-12</x:v>
      </x:c>
      <x:c r="F8" s="10" t="str">
        <x:v>SPLIT</x:v>
      </x:c>
      <x:c r="G8" s="10" t="str">
        <x:v>Разделено по участкам</x:v>
      </x:c>
      <x:c r="H8" s="10" t="str">
        <x:v>VARSHAVKA_Спецификация_оборудования_Кухни_верифицированная_по_меню.docx</x:v>
      </x:c>
      <x:c r="I8" s="10" t="str">
        <x:v>b3231fa6159a529f52dfd8eb82f309de825469f1d3666d0a109c1d9a66bf6d62</x:v>
      </x:c>
      <x:c r="J8" s="10" t="str">
        <x:v>2026-07-25</x:v>
      </x:c>
      <x:c r="K8" s="10" t="str">
        <x:v>LOCAL_SOURCE_NOT_PUBLISHED</x:v>
      </x:c>
    </x:row>
    <x:row r="9" ht="30" customHeight="1">
      <x:c r="A9" s="10" t="str">
        <x:v>CP-03</x:v>
      </x:c>
      <x:c r="B9" s="10" t="str">
        <x:v>Холодные блюда</x:v>
      </x:c>
      <x:c r="C9" s="10" t="str">
        <x:v>Отдельная моечная ванна</x:v>
      </x:c>
      <x:c r="D9" s="10" t="str">
        <x:v>1</x:v>
      </x:c>
      <x:c r="E9" s="10" t="str">
        <x:v>CLD-04</x:v>
      </x:c>
      <x:c r="F9" s="10" t="str">
        <x:v>RETAINED</x:v>
      </x:c>
      <x:c r="G9" s="10" t="str">
        <x:v>Уточнена двухсекционная продуктовая ванна</x:v>
      </x:c>
      <x:c r="H9" s="10" t="str">
        <x:v>VARSHAVKA_Спецификация_оборудования_Кухни_верифицированная_по_меню.docx</x:v>
      </x:c>
      <x:c r="I9" s="10" t="str">
        <x:v>b3231fa6159a529f52dfd8eb82f309de825469f1d3666d0a109c1d9a66bf6d62</x:v>
      </x:c>
      <x:c r="J9" s="10" t="str">
        <x:v>2026-07-25</x:v>
      </x:c>
      <x:c r="K9" s="10" t="str">
        <x:v>LOCAL_SOURCE_NOT_PUBLISHED</x:v>
      </x:c>
    </x:row>
    <x:row r="10" ht="30" customHeight="1">
      <x:c r="A10" s="10" t="str">
        <x:v>CP-04</x:v>
      </x:c>
      <x:c r="B10" s="10" t="str">
        <x:v>Холодные блюда</x:v>
      </x:c>
      <x:c r="C10" s="10" t="str">
        <x:v>Овощерезка / слайсер</x:v>
      </x:c>
      <x:c r="D10" s="10" t="str">
        <x:v>Уточнить</x:v>
      </x:c>
      <x:c r="E10" s="10" t="str">
        <x:v>CLD-08;CLD-09;BAK-09</x:v>
      </x:c>
      <x:c r="F10" s="10" t="str">
        <x:v>SPLIT_CONDITIONAL</x:v>
      </x:c>
      <x:c r="G10" s="10" t="str">
        <x:v>Разделено на условные функции</x:v>
      </x:c>
      <x:c r="H10" s="10" t="str">
        <x:v>VARSHAVKA_Спецификация_оборудования_Кухни_верифицированная_по_меню.docx</x:v>
      </x:c>
      <x:c r="I10" s="10" t="str">
        <x:v>b3231fa6159a529f52dfd8eb82f309de825469f1d3666d0a109c1d9a66bf6d62</x:v>
      </x:c>
      <x:c r="J10" s="10" t="str">
        <x:v>2026-07-25</x:v>
      </x:c>
      <x:c r="K10" s="10" t="str">
        <x:v>LOCAL_SOURCE_NOT_PUBLISHED</x:v>
      </x:c>
    </x:row>
    <x:row r="11" ht="30" customHeight="1">
      <x:c r="A11" s="10" t="str">
        <x:v>CP-05</x:v>
      </x:c>
      <x:c r="B11" s="10" t="str">
        <x:v>Холодные блюда</x:v>
      </x:c>
      <x:c r="C11" s="10" t="str">
        <x:v>Вакууматор</x:v>
      </x:c>
      <x:c r="D11" s="10" t="str">
        <x:v>Уточнить</x:v>
      </x:c>
      <x:c r="E11" s="10" t="str">
        <x:v>CLD-10</x:v>
      </x:c>
      <x:c r="F11" s="10" t="str">
        <x:v>EXCLUDED</x:v>
      </x:c>
      <x:c r="G11" s="10" t="str">
        <x:v>Не включён в старт</x:v>
      </x:c>
      <x:c r="H11" s="10" t="str">
        <x:v>VARSHAVKA_Спецификация_оборудования_Кухни_верифицированная_по_меню.docx</x:v>
      </x:c>
      <x:c r="I11" s="10" t="str">
        <x:v>b3231fa6159a529f52dfd8eb82f309de825469f1d3666d0a109c1d9a66bf6d62</x:v>
      </x:c>
      <x:c r="J11" s="10" t="str">
        <x:v>2026-07-25</x:v>
      </x:c>
      <x:c r="K11" s="10" t="str">
        <x:v>LOCAL_SOURCE_NOT_PUBLISHED</x:v>
      </x:c>
    </x:row>
    <x:row r="12" ht="30" customHeight="1">
      <x:c r="A12" s="10" t="str">
        <x:v>AP-01</x:v>
      </x:c>
      <x:c r="B12" s="10" t="str">
        <x:v>Закуски</x:v>
      </x:c>
      <x:c r="C12" s="10" t="str">
        <x:v>Охлаждаемая витрина/надстройка</x:v>
      </x:c>
      <x:c r="D12" s="10" t="str">
        <x:v>1</x:v>
      </x:c>
      <x:c r="E12" s="10" t="str">
        <x:v>CLD-02</x:v>
      </x:c>
      <x:c r="F12" s="10" t="str">
        <x:v>RETAINED</x:v>
      </x:c>
      <x:c r="G12" s="10" t="str">
        <x:v>Уточнено ≥12 GN 1/3</x:v>
      </x:c>
      <x:c r="H12" s="10" t="str">
        <x:v>VARSHAVKA_Спецификация_оборудования_Кухни_верифицированная_по_меню.docx</x:v>
      </x:c>
      <x:c r="I12" s="10" t="str">
        <x:v>b3231fa6159a529f52dfd8eb82f309de825469f1d3666d0a109c1d9a66bf6d62</x:v>
      </x:c>
      <x:c r="J12" s="10" t="str">
        <x:v>2026-07-25</x:v>
      </x:c>
      <x:c r="K12" s="10" t="str">
        <x:v>LOCAL_SOURCE_NOT_PUBLISHED</x:v>
      </x:c>
    </x:row>
    <x:row r="13" ht="30" customHeight="1">
      <x:c r="A13" s="10" t="str">
        <x:v>AP-02</x:v>
      </x:c>
      <x:c r="B13" s="10" t="str">
        <x:v>Закуски</x:v>
      </x:c>
      <x:c r="C13" s="10" t="str">
        <x:v>Доски, ножи и ёмкости</x:v>
      </x:c>
      <x:c r="D13" s="10" t="str">
        <x:v>Комплект</x:v>
      </x:c>
      <x:c r="E13" s="10" t="str">
        <x:v>CLD-07</x:v>
      </x:c>
      <x:c r="F13" s="10" t="str">
        <x:v>RETAINED</x:v>
      </x:c>
      <x:c r="G13" s="10" t="str">
        <x:v>Сохранено как два комплекта</x:v>
      </x:c>
      <x:c r="H13" s="10" t="str">
        <x:v>VARSHAVKA_Спецификация_оборудования_Кухни_верифицированная_по_меню.docx</x:v>
      </x:c>
      <x:c r="I13" s="10" t="str">
        <x:v>b3231fa6159a529f52dfd8eb82f309de825469f1d3666d0a109c1d9a66bf6d62</x:v>
      </x:c>
      <x:c r="J13" s="10" t="str">
        <x:v>2026-07-25</x:v>
      </x:c>
      <x:c r="K13" s="10" t="str">
        <x:v>LOCAL_SOURCE_NOT_PUBLISHED</x:v>
      </x:c>
    </x:row>
    <x:row r="14" ht="30" customHeight="1">
      <x:c r="A14" s="10" t="str">
        <x:v>HP-01</x:v>
      </x:c>
      <x:c r="B14" s="10" t="str">
        <x:v>Горячие блюда</x:v>
      </x:c>
      <x:c r="C14" s="10" t="str">
        <x:v>Индукционная плита: 4 зоны</x:v>
      </x:c>
      <x:c r="D14" s="10" t="str">
        <x:v>1</x:v>
      </x:c>
      <x:c r="E14" s="10" t="str">
        <x:v>HOT-05A</x:v>
      </x:c>
      <x:c r="F14" s="10" t="str">
        <x:v>RETAINED</x:v>
      </x:c>
      <x:c r="G14" s="10" t="str">
        <x:v>Сохранено</x:v>
      </x:c>
      <x:c r="H14" s="10" t="str">
        <x:v>VARSHAVKA_Спецификация_оборудования_Кухни_верифицированная_по_меню.docx</x:v>
      </x:c>
      <x:c r="I14" s="10" t="str">
        <x:v>b3231fa6159a529f52dfd8eb82f309de825469f1d3666d0a109c1d9a66bf6d62</x:v>
      </x:c>
      <x:c r="J14" s="10" t="str">
        <x:v>2026-07-25</x:v>
      </x:c>
      <x:c r="K14" s="10" t="str">
        <x:v>LOCAL_SOURCE_NOT_PUBLISHED</x:v>
      </x:c>
    </x:row>
    <x:row r="15" ht="30" customHeight="1">
      <x:c r="A15" s="10" t="str">
        <x:v>HP-02</x:v>
      </x:c>
      <x:c r="B15" s="10" t="str">
        <x:v>Горячие блюда</x:v>
      </x:c>
      <x:c r="C15" s="10" t="str">
        <x:v>Индукционная плита: 2 зоны</x:v>
      </x:c>
      <x:c r="D15" s="10" t="str">
        <x:v>1</x:v>
      </x:c>
      <x:c r="E15" s="10" t="str">
        <x:v>HOT-05B</x:v>
      </x:c>
      <x:c r="F15" s="10" t="str">
        <x:v>RETAINED</x:v>
      </x:c>
      <x:c r="G15" s="10" t="str">
        <x:v>Сохранено</x:v>
      </x:c>
      <x:c r="H15" s="10" t="str">
        <x:v>VARSHAVKA_Спецификация_оборудования_Кухни_верифицированная_по_меню.docx</x:v>
      </x:c>
      <x:c r="I15" s="10" t="str">
        <x:v>b3231fa6159a529f52dfd8eb82f309de825469f1d3666d0a109c1d9a66bf6d62</x:v>
      </x:c>
      <x:c r="J15" s="10" t="str">
        <x:v>2026-07-25</x:v>
      </x:c>
      <x:c r="K15" s="10" t="str">
        <x:v>LOCAL_SOURCE_NOT_PUBLISHED</x:v>
      </x:c>
    </x:row>
    <x:row r="16" ht="30" customHeight="1">
      <x:c r="A16" s="10" t="str">
        <x:v>HP-03</x:v>
      </x:c>
      <x:c r="B16" s="10" t="str">
        <x:v>Горячие блюда</x:v>
      </x:c>
      <x:c r="C16" s="10" t="str">
        <x:v>Теппан / жарочная поверхность</x:v>
      </x:c>
      <x:c r="D16" s="10" t="str">
        <x:v>1</x:v>
      </x:c>
      <x:c r="E16" s="10" t="str">
        <x:v>HOT-02</x:v>
      </x:c>
      <x:c r="F16" s="10" t="str">
        <x:v>RETAINED</x:v>
      </x:c>
      <x:c r="G16" s="10" t="str">
        <x:v>Добавлены две зоны и мощность</x:v>
      </x:c>
      <x:c r="H16" s="10" t="str">
        <x:v>VARSHAVKA_Спецификация_оборудования_Кухни_верифицированная_по_меню.docx</x:v>
      </x:c>
      <x:c r="I16" s="10" t="str">
        <x:v>b3231fa6159a529f52dfd8eb82f309de825469f1d3666d0a109c1d9a66bf6d62</x:v>
      </x:c>
      <x:c r="J16" s="10" t="str">
        <x:v>2026-07-25</x:v>
      </x:c>
      <x:c r="K16" s="10" t="str">
        <x:v>LOCAL_SOURCE_NOT_PUBLISHED</x:v>
      </x:c>
    </x:row>
    <x:row r="17" ht="30" customHeight="1">
      <x:c r="A17" s="10" t="str">
        <x:v>HP-04</x:v>
      </x:c>
      <x:c r="B17" s="10" t="str">
        <x:v>Горячие блюда</x:v>
      </x:c>
      <x:c r="C17" s="10" t="str">
        <x:v>WOK-модуль</x:v>
      </x:c>
      <x:c r="D17" s="10" t="str">
        <x:v>1</x:v>
      </x:c>
      <x:c r="E17" s="10" t="str">
        <x:v>HOT-03</x:v>
      </x:c>
      <x:c r="F17" s="10" t="str">
        <x:v>RETAINED</x:v>
      </x:c>
      <x:c r="G17" s="10" t="str">
        <x:v>Добавлена производительность</x:v>
      </x:c>
      <x:c r="H17" s="10" t="str">
        <x:v>VARSHAVKA_Спецификация_оборудования_Кухни_верифицированная_по_меню.docx</x:v>
      </x:c>
      <x:c r="I17" s="10" t="str">
        <x:v>b3231fa6159a529f52dfd8eb82f309de825469f1d3666d0a109c1d9a66bf6d62</x:v>
      </x:c>
      <x:c r="J17" s="10" t="str">
        <x:v>2026-07-25</x:v>
      </x:c>
      <x:c r="K17" s="10" t="str">
        <x:v>LOCAL_SOURCE_NOT_PUBLISHED</x:v>
      </x:c>
    </x:row>
    <x:row r="18" ht="30" customHeight="1">
      <x:c r="A18" s="10" t="str">
        <x:v>HP-05</x:v>
      </x:c>
      <x:c r="B18" s="10" t="str">
        <x:v>Горячие блюда</x:v>
      </x:c>
      <x:c r="C18" s="10" t="str">
        <x:v>Пароконвектомат</x:v>
      </x:c>
      <x:c r="D18" s="10" t="str">
        <x:v>1</x:v>
      </x:c>
      <x:c r="E18" s="10" t="str">
        <x:v>HOT-01</x:v>
      </x:c>
      <x:c r="F18" s="10" t="str">
        <x:v>RETAINED</x:v>
      </x:c>
      <x:c r="G18" s="10" t="str">
        <x:v>Уточнено 6×GN 1/1</x:v>
      </x:c>
      <x:c r="H18" s="10" t="str">
        <x:v>VARSHAVKA_Спецификация_оборудования_Кухни_верифицированная_по_меню.docx</x:v>
      </x:c>
      <x:c r="I18" s="10" t="str">
        <x:v>b3231fa6159a529f52dfd8eb82f309de825469f1d3666d0a109c1d9a66bf6d62</x:v>
      </x:c>
      <x:c r="J18" s="10" t="str">
        <x:v>2026-07-25</x:v>
      </x:c>
      <x:c r="K18" s="10" t="str">
        <x:v>LOCAL_SOURCE_NOT_PUBLISHED</x:v>
      </x:c>
    </x:row>
    <x:row r="19" ht="30" customHeight="1">
      <x:c r="A19" s="10" t="str">
        <x:v>HP-06</x:v>
      </x:c>
      <x:c r="B19" s="10" t="str">
        <x:v>Горячие блюда</x:v>
      </x:c>
      <x:c r="C19" s="10" t="str">
        <x:v>Холодильный стол</x:v>
      </x:c>
      <x:c r="D19" s="10" t="str">
        <x:v>1</x:v>
      </x:c>
      <x:c r="E19" s="10" t="str">
        <x:v>HOT-07</x:v>
      </x:c>
      <x:c r="F19" s="10" t="str">
        <x:v>RETAINED</x:v>
      </x:c>
      <x:c r="G19" s="10" t="str">
        <x:v>Сохранено</x:v>
      </x:c>
      <x:c r="H19" s="10" t="str">
        <x:v>VARSHAVKA_Спецификация_оборудования_Кухни_верифицированная_по_меню.docx</x:v>
      </x:c>
      <x:c r="I19" s="10" t="str">
        <x:v>b3231fa6159a529f52dfd8eb82f309de825469f1d3666d0a109c1d9a66bf6d62</x:v>
      </x:c>
      <x:c r="J19" s="10" t="str">
        <x:v>2026-07-25</x:v>
      </x:c>
      <x:c r="K19" s="10" t="str">
        <x:v>LOCAL_SOURCE_NOT_PUBLISHED</x:v>
      </x:c>
    </x:row>
    <x:row r="20" ht="30" customHeight="1">
      <x:c r="A20" s="10" t="str">
        <x:v>HP-07</x:v>
      </x:c>
      <x:c r="B20" s="10" t="str">
        <x:v>Горячие блюда</x:v>
      </x:c>
      <x:c r="C20" s="10" t="str">
        <x:v>Мясорубка</x:v>
      </x:c>
      <x:c r="D20" s="10" t="str">
        <x:v>1</x:v>
      </x:c>
      <x:c r="E20" s="10" t="str">
        <x:v>HOT-08</x:v>
      </x:c>
      <x:c r="F20" s="10" t="str">
        <x:v>RETAINED</x:v>
      </x:c>
      <x:c r="G20" s="10" t="str">
        <x:v>Сохранено</x:v>
      </x:c>
      <x:c r="H20" s="10" t="str">
        <x:v>VARSHAVKA_Спецификация_оборудования_Кухни_верифицированная_по_меню.docx</x:v>
      </x:c>
      <x:c r="I20" s="10" t="str">
        <x:v>b3231fa6159a529f52dfd8eb82f309de825469f1d3666d0a109c1d9a66bf6d62</x:v>
      </x:c>
      <x:c r="J20" s="10" t="str">
        <x:v>2026-07-25</x:v>
      </x:c>
      <x:c r="K20" s="10" t="str">
        <x:v>LOCAL_SOURCE_NOT_PUBLISHED</x:v>
      </x:c>
    </x:row>
    <x:row r="21" ht="30" customHeight="1">
      <x:c r="A21" s="10" t="str">
        <x:v>HP-08</x:v>
      </x:c>
      <x:c r="B21" s="10" t="str">
        <x:v>Горячие блюда</x:v>
      </x:c>
      <x:c r="C21" s="10" t="str">
        <x:v>Вытяжной зонт</x:v>
      </x:c>
      <x:c r="D21" s="10" t="str">
        <x:v>По линии</x:v>
      </x:c>
      <x:c r="E21" s="10" t="str">
        <x:v>ENG-08</x:v>
      </x:c>
      <x:c r="F21" s="10" t="str">
        <x:v>MOVED</x:v>
      </x:c>
      <x:c r="G21" s="10" t="str">
        <x:v>Перенесено в инженерный контур</x:v>
      </x:c>
      <x:c r="H21" s="10" t="str">
        <x:v>VARSHAVKA_Спецификация_оборудования_Кухни_верифицированная_по_меню.docx</x:v>
      </x:c>
      <x:c r="I21" s="10" t="str">
        <x:v>b3231fa6159a529f52dfd8eb82f309de825469f1d3666d0a109c1d9a66bf6d62</x:v>
      </x:c>
      <x:c r="J21" s="10" t="str">
        <x:v>2026-07-25</x:v>
      </x:c>
      <x:c r="K21" s="10" t="str">
        <x:v>LOCAL_SOURCE_NOT_PUBLISHED</x:v>
      </x:c>
    </x:row>
    <x:row r="22" ht="30" customHeight="1">
      <x:c r="A22" s="10" t="str">
        <x:v>SD-01</x:v>
      </x:c>
      <x:c r="B22" s="10" t="str">
        <x:v>Гарниры</x:v>
      </x:c>
      <x:c r="C22" s="10" t="str">
        <x:v>Гастроёмкости и противни</x:v>
      </x:c>
      <x:c r="D22" s="10" t="str">
        <x:v>Комплект</x:v>
      </x:c>
      <x:c r="E22" s="10" t="str">
        <x:v>HOT-13</x:v>
      </x:c>
      <x:c r="F22" s="10" t="str">
        <x:v>RETAINED</x:v>
      </x:c>
      <x:c r="G22" s="10" t="str">
        <x:v>Сохранено</x:v>
      </x:c>
      <x:c r="H22" s="10" t="str">
        <x:v>VARSHAVKA_Спецификация_оборудования_Кухни_верифицированная_по_меню.docx</x:v>
      </x:c>
      <x:c r="I22" s="10" t="str">
        <x:v>b3231fa6159a529f52dfd8eb82f309de825469f1d3666d0a109c1d9a66bf6d62</x:v>
      </x:c>
      <x:c r="J22" s="10" t="str">
        <x:v>2026-07-25</x:v>
      </x:c>
      <x:c r="K22" s="10" t="str">
        <x:v>LOCAL_SOURCE_NOT_PUBLISHED</x:v>
      </x:c>
    </x:row>
    <x:row r="23" ht="30" customHeight="1">
      <x:c r="A23" s="10" t="str">
        <x:v>SD-02</x:v>
      </x:c>
      <x:c r="B23" s="10" t="str">
        <x:v>Гарниры</x:v>
      </x:c>
      <x:c r="C23" s="10" t="str">
        <x:v>Фритюрница</x:v>
      </x:c>
      <x:c r="D23" s="10" t="str">
        <x:v>Не требуется</x:v>
      </x:c>
      <x:c r="E23" s="10" t="str">
        <x:v>HOT-14</x:v>
      </x:c>
      <x:c r="F23" s="10" t="str">
        <x:v>EXCLUDED</x:v>
      </x:c>
      <x:c r="G23" s="10" t="str">
        <x:v>Фри исключён</x:v>
      </x:c>
      <x:c r="H23" s="10" t="str">
        <x:v>VARSHAVKA_Спецификация_оборудования_Кухни_верифицированная_по_меню.docx</x:v>
      </x:c>
      <x:c r="I23" s="10" t="str">
        <x:v>b3231fa6159a529f52dfd8eb82f309de825469f1d3666d0a109c1d9a66bf6d62</x:v>
      </x:c>
      <x:c r="J23" s="10" t="str">
        <x:v>2026-07-25</x:v>
      </x:c>
      <x:c r="K23" s="10" t="str">
        <x:v>LOCAL_SOURCE_NOT_PUBLISHED</x:v>
      </x:c>
    </x:row>
    <x:row r="24" ht="30" customHeight="1">
      <x:c r="A24" s="10" t="str">
        <x:v>PB-01</x:v>
      </x:c>
      <x:c r="B24" s="10" t="str">
        <x:v>Пицца и хлеб</x:v>
      </x:c>
      <x:c r="C24" s="10" t="str">
        <x:v>Подовая хлебная печь / 2 пода</x:v>
      </x:c>
      <x:c r="D24" s="10" t="str">
        <x:v>2 пода</x:v>
      </x:c>
      <x:c r="E24" s="10" t="str">
        <x:v>BAK-02</x:v>
      </x:c>
      <x:c r="F24" s="10" t="str">
        <x:v>REPLACED</x:v>
      </x:c>
      <x:c r="G24" s="10" t="str">
        <x:v>Заменено печью 6×600×400</x:v>
      </x:c>
      <x:c r="H24" s="10" t="str">
        <x:v>VARSHAVKA_Спецификация_оборудования_Кухни_верифицированная_по_меню.docx</x:v>
      </x:c>
      <x:c r="I24" s="10" t="str">
        <x:v>b3231fa6159a529f52dfd8eb82f309de825469f1d3666d0a109c1d9a66bf6d62</x:v>
      </x:c>
      <x:c r="J24" s="10" t="str">
        <x:v>2026-07-25</x:v>
      </x:c>
      <x:c r="K24" s="10" t="str">
        <x:v>LOCAL_SOURCE_NOT_PUBLISHED</x:v>
      </x:c>
    </x:row>
    <x:row r="25" ht="30" customHeight="1">
      <x:c r="A25" s="10" t="str">
        <x:v>PB-02</x:v>
      </x:c>
      <x:c r="B25" s="10" t="str">
        <x:v>Пицца и хлеб</x:v>
      </x:c>
      <x:c r="C25" s="10" t="str">
        <x:v>Расстоечный шкаф</x:v>
      </x:c>
      <x:c r="D25" s="10" t="str">
        <x:v>1</x:v>
      </x:c>
      <x:c r="E25" s="10" t="str">
        <x:v>BAK-05</x:v>
      </x:c>
      <x:c r="F25" s="10" t="str">
        <x:v>REPLACED</x:v>
      </x:c>
      <x:c r="G25" s="10" t="str">
        <x:v>Программируемая ночная расстойка</x:v>
      </x:c>
      <x:c r="H25" s="10" t="str">
        <x:v>VARSHAVKA_Спецификация_оборудования_Кухни_верифицированная_по_меню.docx</x:v>
      </x:c>
      <x:c r="I25" s="10" t="str">
        <x:v>b3231fa6159a529f52dfd8eb82f309de825469f1d3666d0a109c1d9a66bf6d62</x:v>
      </x:c>
      <x:c r="J25" s="10" t="str">
        <x:v>2026-07-25</x:v>
      </x:c>
      <x:c r="K25" s="10" t="str">
        <x:v>LOCAL_SOURCE_NOT_PUBLISHED</x:v>
      </x:c>
    </x:row>
    <x:row r="26" ht="30" customHeight="1">
      <x:c r="A26" s="10" t="str">
        <x:v>PB-03</x:v>
      </x:c>
      <x:c r="B26" s="10" t="str">
        <x:v>Пицца и хлеб</x:v>
      </x:c>
      <x:c r="C26" s="10" t="str">
        <x:v>Тестомес</x:v>
      </x:c>
      <x:c r="D26" s="10" t="str">
        <x:v>1</x:v>
      </x:c>
      <x:c r="E26" s="10" t="str">
        <x:v>BAK-03</x:v>
      </x:c>
      <x:c r="F26" s="10" t="str">
        <x:v>RETAINED</x:v>
      </x:c>
      <x:c r="G26" s="10" t="str">
        <x:v>Уточнён диапазон 2–25 кг</x:v>
      </x:c>
      <x:c r="H26" s="10" t="str">
        <x:v>VARSHAVKA_Спецификация_оборудования_Кухни_верифицированная_по_меню.docx</x:v>
      </x:c>
      <x:c r="I26" s="10" t="str">
        <x:v>b3231fa6159a529f52dfd8eb82f309de825469f1d3666d0a109c1d9a66bf6d62</x:v>
      </x:c>
      <x:c r="J26" s="10" t="str">
        <x:v>2026-07-25</x:v>
      </x:c>
      <x:c r="K26" s="10" t="str">
        <x:v>LOCAL_SOURCE_NOT_PUBLISHED</x:v>
      </x:c>
    </x:row>
    <x:row r="27" ht="30" customHeight="1">
      <x:c r="A27" s="10" t="str">
        <x:v>PB-04</x:v>
      </x:c>
      <x:c r="B27" s="10" t="str">
        <x:v>Пицца и хлеб</x:v>
      </x:c>
      <x:c r="C27" s="10" t="str">
        <x:v>Пицца-печь</x:v>
      </x:c>
      <x:c r="D27" s="10" t="str">
        <x:v>1</x:v>
      </x:c>
      <x:c r="E27" s="10" t="str">
        <x:v>BAK-01</x:v>
      </x:c>
      <x:c r="F27" s="10" t="str">
        <x:v>RETAINED</x:v>
      </x:c>
      <x:c r="G27" s="10" t="str">
        <x:v>Подтверждена отдельная печь</x:v>
      </x:c>
      <x:c r="H27" s="10" t="str">
        <x:v>VARSHAVKA_Спецификация_оборудования_Кухни_верифицированная_по_меню.docx</x:v>
      </x:c>
      <x:c r="I27" s="10" t="str">
        <x:v>b3231fa6159a529f52dfd8eb82f309de825469f1d3666d0a109c1d9a66bf6d62</x:v>
      </x:c>
      <x:c r="J27" s="10" t="str">
        <x:v>2026-07-25</x:v>
      </x:c>
      <x:c r="K27" s="10" t="str">
        <x:v>LOCAL_SOURCE_NOT_PUBLISHED</x:v>
      </x:c>
    </x:row>
    <x:row r="28" ht="30" customHeight="1">
      <x:c r="A28" s="10" t="str">
        <x:v>PB-05</x:v>
      </x:c>
      <x:c r="B28" s="10" t="str">
        <x:v>Пицца и хлеб</x:v>
      </x:c>
      <x:c r="C28" s="10" t="str">
        <x:v>Пицца-стол холодильный</x:v>
      </x:c>
      <x:c r="D28" s="10" t="str">
        <x:v>1</x:v>
      </x:c>
      <x:c r="E28" s="10" t="str">
        <x:v>BAK-12</x:v>
      </x:c>
      <x:c r="F28" s="10" t="str">
        <x:v>RETAINED</x:v>
      </x:c>
      <x:c r="G28" s="10" t="str">
        <x:v>Восстановлен как обязательный</x:v>
      </x:c>
      <x:c r="H28" s="10" t="str">
        <x:v>VARSHAVKA_Спецификация_оборудования_Кухни_верифицированная_по_меню.docx</x:v>
      </x:c>
      <x:c r="I28" s="10" t="str">
        <x:v>b3231fa6159a529f52dfd8eb82f309de825469f1d3666d0a109c1d9a66bf6d62</x:v>
      </x:c>
      <x:c r="J28" s="10" t="str">
        <x:v>2026-07-25</x:v>
      </x:c>
      <x:c r="K28" s="10" t="str">
        <x:v>LOCAL_SOURCE_NOT_PUBLISHED</x:v>
      </x:c>
    </x:row>
    <x:row r="29" ht="30" customHeight="1">
      <x:c r="A29" s="10" t="str">
        <x:v>PB-06</x:v>
      </x:c>
      <x:c r="B29" s="10" t="str">
        <x:v>Пицца и хлеб</x:v>
      </x:c>
      <x:c r="C29" s="10" t="str">
        <x:v>Дополнительные холодильные модули</x:v>
      </x:c>
      <x:c r="D29" s="10" t="str">
        <x:v>2 обсуждались</x:v>
      </x:c>
      <x:c r="E29" s="10" t="str">
        <x:v>STO-13</x:v>
      </x:c>
      <x:c r="F29" s="10" t="str">
        <x:v>CONDITIONAL</x:v>
      </x:c>
      <x:c r="G29" s="10" t="str">
        <x:v>После расчёта заполнения</x:v>
      </x:c>
      <x:c r="H29" s="10" t="str">
        <x:v>VARSHAVKA_Спецификация_оборудования_Кухни_верифицированная_по_меню.docx</x:v>
      </x:c>
      <x:c r="I29" s="10" t="str">
        <x:v>b3231fa6159a529f52dfd8eb82f309de825469f1d3666d0a109c1d9a66bf6d62</x:v>
      </x:c>
      <x:c r="J29" s="10" t="str">
        <x:v>2026-07-25</x:v>
      </x:c>
      <x:c r="K29" s="10" t="str">
        <x:v>LOCAL_SOURCE_NOT_PUBLISHED</x:v>
      </x:c>
    </x:row>
    <x:row r="30" ht="30" customHeight="1">
      <x:c r="A30" s="10" t="str">
        <x:v>PB-07</x:v>
      </x:c>
      <x:c r="B30" s="10" t="str">
        <x:v>Пицца и хлеб</x:v>
      </x:c>
      <x:c r="C30" s="10" t="str">
        <x:v>Стеллаж для коробок</x:v>
      </x:c>
      <x:c r="D30" s="10" t="str">
        <x:v>1</x:v>
      </x:c>
      <x:c r="E30" s="10" t="str">
        <x:v>BAK-13</x:v>
      </x:c>
      <x:c r="F30" s="10" t="str">
        <x:v>RETAINED</x:v>
      </x:c>
      <x:c r="G30" s="10" t="str">
        <x:v>Сохранено</x:v>
      </x:c>
      <x:c r="H30" s="10" t="str">
        <x:v>VARSHAVKA_Спецификация_оборудования_Кухни_верифицированная_по_меню.docx</x:v>
      </x:c>
      <x:c r="I30" s="10" t="str">
        <x:v>b3231fa6159a529f52dfd8eb82f309de825469f1d3666d0a109c1d9a66bf6d62</x:v>
      </x:c>
      <x:c r="J30" s="10" t="str">
        <x:v>2026-07-25</x:v>
      </x:c>
      <x:c r="K30" s="10" t="str">
        <x:v>LOCAL_SOURCE_NOT_PUBLISHED</x:v>
      </x:c>
    </x:row>
    <x:row r="31" ht="30" customHeight="1">
      <x:c r="A31" s="10" t="str">
        <x:v>PB-08</x:v>
      </x:c>
      <x:c r="B31" s="10" t="str">
        <x:v>Пицца и хлеб</x:v>
      </x:c>
      <x:c r="C31" s="10" t="str">
        <x:v>Морозильное хранение выпечки</x:v>
      </x:c>
      <x:c r="D31" s="10" t="str">
        <x:v>Уточнить</x:v>
      </x:c>
      <x:c r="E31" s="10" t="str">
        <x:v>STO-03</x:v>
      </x:c>
      <x:c r="F31" s="10" t="str">
        <x:v>MERGED</x:v>
      </x:c>
      <x:c r="G31" s="10" t="str">
        <x:v>Включено во второй морозильник</x:v>
      </x:c>
      <x:c r="H31" s="10" t="str">
        <x:v>VARSHAVKA_Спецификация_оборудования_Кухни_верифицированная_по_меню.docx</x:v>
      </x:c>
      <x:c r="I31" s="10" t="str">
        <x:v>b3231fa6159a529f52dfd8eb82f309de825469f1d3666d0a109c1d9a66bf6d62</x:v>
      </x:c>
      <x:c r="J31" s="10" t="str">
        <x:v>2026-07-25</x:v>
      </x:c>
      <x:c r="K31" s="10" t="str">
        <x:v>LOCAL_SOURCE_NOT_PUBLISHED</x:v>
      </x:c>
    </x:row>
    <x:row r="32" ht="30" customHeight="1">
      <x:c r="A32" s="10" t="str">
        <x:v>BK-01</x:v>
      </x:c>
      <x:c r="B32" s="10" t="str">
        <x:v>Завтраки</x:v>
      </x:c>
      <x:c r="C32" s="10" t="str">
        <x:v>Порционные сковороды / форма для 3 яиц</x:v>
      </x:c>
      <x:c r="D32" s="10" t="str">
        <x:v>Комплект</x:v>
      </x:c>
      <x:c r="E32" s="10" t="str">
        <x:v>BRK-01</x:v>
      </x:c>
      <x:c r="F32" s="10" t="str">
        <x:v>REPLACED</x:v>
      </x:c>
      <x:c r="G32" s="10" t="str">
        <x:v>10–12 форм омлета; два яйца</x:v>
      </x:c>
      <x:c r="H32" s="10" t="str">
        <x:v>VARSHAVKA_Спецификация_оборудования_Кухни_верифицированная_по_меню.docx</x:v>
      </x:c>
      <x:c r="I32" s="10" t="str">
        <x:v>b3231fa6159a529f52dfd8eb82f309de825469f1d3666d0a109c1d9a66bf6d62</x:v>
      </x:c>
      <x:c r="J32" s="10" t="str">
        <x:v>2026-07-25</x:v>
      </x:c>
      <x:c r="K32" s="10" t="str">
        <x:v>LOCAL_SOURCE_NOT_PUBLISHED</x:v>
      </x:c>
    </x:row>
    <x:row r="33" ht="30" customHeight="1">
      <x:c r="A33" s="10" t="str">
        <x:v>BK-02</x:v>
      </x:c>
      <x:c r="B33" s="10" t="str">
        <x:v>Завтраки</x:v>
      </x:c>
      <x:c r="C33" s="10" t="str">
        <x:v>Ёмкости для каш и мармит</x:v>
      </x:c>
      <x:c r="D33" s="10" t="str">
        <x:v>По объёму</x:v>
      </x:c>
      <x:c r="E33" s="10" t="str">
        <x:v>BRK-03</x:v>
      </x:c>
      <x:c r="F33" s="10" t="str">
        <x:v>REPLACED</x:v>
      </x:c>
      <x:c r="G33" s="10" t="str">
        <x:v>Мармит исключён; немедленная выдача</x:v>
      </x:c>
      <x:c r="H33" s="10" t="str">
        <x:v>VARSHAVKA_Спецификация_оборудования_Кухни_верифицированная_по_меню.docx</x:v>
      </x:c>
      <x:c r="I33" s="10" t="str">
        <x:v>b3231fa6159a529f52dfd8eb82f309de825469f1d3666d0a109c1d9a66bf6d62</x:v>
      </x:c>
      <x:c r="J33" s="10" t="str">
        <x:v>2026-07-25</x:v>
      </x:c>
      <x:c r="K33" s="10" t="str">
        <x:v>LOCAL_SOURCE_NOT_PUBLISHED</x:v>
      </x:c>
    </x:row>
    <x:row r="34" ht="30" customHeight="1">
      <x:c r="A34" s="10" t="str">
        <x:v>PA-01</x:v>
      </x:c>
      <x:c r="B34" s="10" t="str">
        <x:v>Раздача</x:v>
      </x:c>
      <x:c r="C34" s="10" t="str">
        <x:v>Раздаточный / холодильный стол</x:v>
      </x:c>
      <x:c r="D34" s="10" t="str">
        <x:v>1</x:v>
      </x:c>
      <x:c r="E34" s="10" t="str">
        <x:v>DSP-01;DSP-04;DSP-05</x:v>
      </x:c>
      <x:c r="F34" s="10" t="str">
        <x:v>SPLIT</x:v>
      </x:c>
      <x:c r="G34" s="10" t="str">
        <x:v>Разделено на три функции</x:v>
      </x:c>
      <x:c r="H34" s="10" t="str">
        <x:v>VARSHAVKA_Спецификация_оборудования_Кухни_верифицированная_по_меню.docx</x:v>
      </x:c>
      <x:c r="I34" s="10" t="str">
        <x:v>b3231fa6159a529f52dfd8eb82f309de825469f1d3666d0a109c1d9a66bf6d62</x:v>
      </x:c>
      <x:c r="J34" s="10" t="str">
        <x:v>2026-07-25</x:v>
      </x:c>
      <x:c r="K34" s="10" t="str">
        <x:v>LOCAL_SOURCE_NOT_PUBLISHED</x:v>
      </x:c>
    </x:row>
    <x:row r="35" ht="30" customHeight="1">
      <x:c r="A35" s="10" t="str">
        <x:v>PA-02</x:v>
      </x:c>
      <x:c r="B35" s="10" t="str">
        <x:v>Раздача</x:v>
      </x:c>
      <x:c r="C35" s="10" t="str">
        <x:v>Шпильки чистой посуды</x:v>
      </x:c>
      <x:c r="D35" s="10" t="str">
        <x:v>Уточнить</x:v>
      </x:c>
      <x:c r="E35" s="10" t="str">
        <x:v>DSP-11;WSH-08</x:v>
      </x:c>
      <x:c r="F35" s="10" t="str">
        <x:v>SPLIT</x:v>
      </x:c>
      <x:c r="G35" s="10" t="str">
        <x:v>Разделено между раздачей и мойкой</x:v>
      </x:c>
      <x:c r="H35" s="10" t="str">
        <x:v>VARSHAVKA_Спецификация_оборудования_Кухни_верифицированная_по_меню.docx</x:v>
      </x:c>
      <x:c r="I35" s="10" t="str">
        <x:v>b3231fa6159a529f52dfd8eb82f309de825469f1d3666d0a109c1d9a66bf6d62</x:v>
      </x:c>
      <x:c r="J35" s="10" t="str">
        <x:v>2026-07-25</x:v>
      </x:c>
      <x:c r="K35" s="10" t="str">
        <x:v>LOCAL_SOURCE_NOT_PUBLISHED</x:v>
      </x:c>
    </x:row>
    <x:row r="36" ht="30" customHeight="1">
      <x:c r="A36" s="10" t="str">
        <x:v>PW-01</x:v>
      </x:c>
      <x:c r="B36" s="10" t="str">
        <x:v>Котломойка</x:v>
      </x:c>
      <x:c r="C36" s="10" t="str">
        <x:v>Ванны кухонной посуды</x:v>
      </x:c>
      <x:c r="D36" s="10" t="str">
        <x:v>Уточнить</x:v>
      </x:c>
      <x:c r="E36" s="10" t="str">
        <x:v>WSH-07</x:v>
      </x:c>
      <x:c r="F36" s="10" t="str">
        <x:v>RETAINED</x:v>
      </x:c>
      <x:c r="G36" s="10" t="str">
        <x:v>Уточнена двухсекционная ванна</x:v>
      </x:c>
      <x:c r="H36" s="10" t="str">
        <x:v>VARSHAVKA_Спецификация_оборудования_Кухни_верифицированная_по_меню.docx</x:v>
      </x:c>
      <x:c r="I36" s="10" t="str">
        <x:v>b3231fa6159a529f52dfd8eb82f309de825469f1d3666d0a109c1d9a66bf6d62</x:v>
      </x:c>
      <x:c r="J36" s="10" t="str">
        <x:v>2026-07-25</x:v>
      </x:c>
      <x:c r="K36" s="10" t="str">
        <x:v>LOCAL_SOURCE_NOT_PUBLISHED</x:v>
      </x:c>
    </x:row>
    <x:row r="37" ht="30" customHeight="1">
      <x:c r="A37" s="10" t="str">
        <x:v>PW-02</x:v>
      </x:c>
      <x:c r="B37" s="10" t="str">
        <x:v>Котломойка</x:v>
      </x:c>
      <x:c r="C37" s="10" t="str">
        <x:v>Стол приёмки грязной посуды</x:v>
      </x:c>
      <x:c r="D37" s="10" t="str">
        <x:v>1</x:v>
      </x:c>
      <x:c r="E37" s="10" t="str">
        <x:v>WSH-02</x:v>
      </x:c>
      <x:c r="F37" s="10" t="str">
        <x:v>RETAINED</x:v>
      </x:c>
      <x:c r="G37" s="10" t="str">
        <x:v>Уточнён размер</x:v>
      </x:c>
      <x:c r="H37" s="10" t="str">
        <x:v>VARSHAVKA_Спецификация_оборудования_Кухни_верифицированная_по_меню.docx</x:v>
      </x:c>
      <x:c r="I37" s="10" t="str">
        <x:v>b3231fa6159a529f52dfd8eb82f309de825469f1d3666d0a109c1d9a66bf6d62</x:v>
      </x:c>
      <x:c r="J37" s="10" t="str">
        <x:v>2026-07-25</x:v>
      </x:c>
      <x:c r="K37" s="10" t="str">
        <x:v>LOCAL_SOURCE_NOT_PUBLISHED</x:v>
      </x:c>
    </x:row>
    <x:row r="38" ht="30" customHeight="1">
      <x:c r="A38" s="10" t="str">
        <x:v>PW-03</x:v>
      </x:c>
      <x:c r="B38" s="10" t="str">
        <x:v>Котломойка</x:v>
      </x:c>
      <x:c r="C38" s="10" t="str">
        <x:v>Стеллаж чистой кухонной посуды</x:v>
      </x:c>
      <x:c r="D38" s="10" t="str">
        <x:v>1</x:v>
      </x:c>
      <x:c r="E38" s="10" t="str">
        <x:v>WSH-08</x:v>
      </x:c>
      <x:c r="F38" s="10" t="str">
        <x:v>RETAINED</x:v>
      </x:c>
      <x:c r="G38" s="10" t="str">
        <x:v>Сохранено</x:v>
      </x:c>
      <x:c r="H38" s="10" t="str">
        <x:v>VARSHAVKA_Спецификация_оборудования_Кухни_верифицированная_по_меню.docx</x:v>
      </x:c>
      <x:c r="I38" s="10" t="str">
        <x:v>b3231fa6159a529f52dfd8eb82f309de825469f1d3666d0a109c1d9a66bf6d62</x:v>
      </x:c>
      <x:c r="J38" s="10" t="str">
        <x:v>2026-07-25</x:v>
      </x:c>
      <x:c r="K38" s="10" t="str">
        <x:v>LOCAL_SOURCE_NOT_PUBLISHED</x:v>
      </x:c>
    </x:row>
    <x:row r="39" ht="30" customHeight="1">
      <x:c r="A39" s="10" t="str">
        <x:v>DW-01</x:v>
      </x:c>
      <x:c r="B39" s="10" t="str">
        <x:v>Посудомоечная</x:v>
      </x:c>
      <x:c r="C39" s="10" t="str">
        <x:v>Профессиональная машина</x:v>
      </x:c>
      <x:c r="D39" s="10" t="str">
        <x:v>1</x:v>
      </x:c>
      <x:c r="E39" s="10" t="str">
        <x:v>WSH-01</x:v>
      </x:c>
      <x:c r="F39" s="10" t="str">
        <x:v>RETAINED</x:v>
      </x:c>
      <x:c r="G39" s="10" t="str">
        <x:v>Купольная ≥40 кассет/час</x:v>
      </x:c>
      <x:c r="H39" s="10" t="str">
        <x:v>VARSHAVKA_Спецификация_оборудования_Кухни_верифицированная_по_меню.docx</x:v>
      </x:c>
      <x:c r="I39" s="10" t="str">
        <x:v>b3231fa6159a529f52dfd8eb82f309de825469f1d3666d0a109c1d9a66bf6d62</x:v>
      </x:c>
      <x:c r="J39" s="10" t="str">
        <x:v>2026-07-25</x:v>
      </x:c>
      <x:c r="K39" s="10" t="str">
        <x:v>LOCAL_SOURCE_NOT_PUBLISHED</x:v>
      </x:c>
    </x:row>
    <x:row r="40" ht="30" customHeight="1">
      <x:c r="A40" s="10" t="str">
        <x:v>DW-02</x:v>
      </x:c>
      <x:c r="B40" s="10" t="str">
        <x:v>Посудомоечная</x:v>
      </x:c>
      <x:c r="C40" s="10" t="str">
        <x:v>Ополаскивание и ванна</x:v>
      </x:c>
      <x:c r="D40" s="10" t="str">
        <x:v>1 комплект</x:v>
      </x:c>
      <x:c r="E40" s="10" t="str">
        <x:v>WSH-04</x:v>
      </x:c>
      <x:c r="F40" s="10" t="str">
        <x:v>RETAINED</x:v>
      </x:c>
      <x:c r="G40" s="10" t="str">
        <x:v>Уточнён предварительный душ</x:v>
      </x:c>
      <x:c r="H40" s="10" t="str">
        <x:v>VARSHAVKA_Спецификация_оборудования_Кухни_верифицированная_по_меню.docx</x:v>
      </x:c>
      <x:c r="I40" s="10" t="str">
        <x:v>b3231fa6159a529f52dfd8eb82f309de825469f1d3666d0a109c1d9a66bf6d62</x:v>
      </x:c>
      <x:c r="J40" s="10" t="str">
        <x:v>2026-07-25</x:v>
      </x:c>
      <x:c r="K40" s="10" t="str">
        <x:v>LOCAL_SOURCE_NOT_PUBLISHED</x:v>
      </x:c>
    </x:row>
    <x:row r="41" ht="30" customHeight="1">
      <x:c r="A41" s="10" t="str">
        <x:v>DW-03</x:v>
      </x:c>
      <x:c r="B41" s="10" t="str">
        <x:v>Посудомоечная</x:v>
      </x:c>
      <x:c r="C41" s="10" t="str">
        <x:v>Столы и стеллаж</x:v>
      </x:c>
      <x:c r="D41" s="10" t="str">
        <x:v>Комплект</x:v>
      </x:c>
      <x:c r="E41" s="10" t="str">
        <x:v>WSH-02;WSH-03;WSH-06;WSH-08</x:v>
      </x:c>
      <x:c r="F41" s="10" t="str">
        <x:v>SPLIT</x:v>
      </x:c>
      <x:c r="G41" s="10" t="str">
        <x:v>Разделено по потоку</x:v>
      </x:c>
      <x:c r="H41" s="10" t="str">
        <x:v>VARSHAVKA_Спецификация_оборудования_Кухни_верифицированная_по_меню.docx</x:v>
      </x:c>
      <x:c r="I41" s="10" t="str">
        <x:v>b3231fa6159a529f52dfd8eb82f309de825469f1d3666d0a109c1d9a66bf6d62</x:v>
      </x:c>
      <x:c r="J41" s="10" t="str">
        <x:v>2026-07-25</x:v>
      </x:c>
      <x:c r="K41" s="10" t="str">
        <x:v>LOCAL_SOURCE_NOT_PUBLISHED</x:v>
      </x:c>
    </x:row>
    <x:row r="42" ht="30" customHeight="1">
      <x:c r="A42" s="10" t="str">
        <x:v>UT-01</x:v>
      </x:c>
      <x:c r="B42" s="10" t="str">
        <x:v>Общее</x:v>
      </x:c>
      <x:c r="C42" s="10" t="str">
        <x:v>Рукомойники</x:v>
      </x:c>
      <x:c r="D42" s="10" t="str">
        <x:v>По планировке</x:v>
      </x:c>
      <x:c r="E42" s="10" t="str">
        <x:v>CLD-05;HOT-15;BAK-14;WSH-10</x:v>
      </x:c>
      <x:c r="F42" s="10" t="str">
        <x:v>SPLIT</x:v>
      </x:c>
      <x:c r="G42" s="10" t="str">
        <x:v>По одному на рабочий контур</x:v>
      </x:c>
      <x:c r="H42" s="10" t="str">
        <x:v>VARSHAVKA_Спецификация_оборудования_Кухни_верифицированная_по_меню.docx</x:v>
      </x:c>
      <x:c r="I42" s="10" t="str">
        <x:v>b3231fa6159a529f52dfd8eb82f309de825469f1d3666d0a109c1d9a66bf6d62</x:v>
      </x:c>
      <x:c r="J42" s="10" t="str">
        <x:v>2026-07-25</x:v>
      </x:c>
      <x:c r="K42" s="10" t="str">
        <x:v>LOCAL_SOURCE_NOT_PUBLISHED</x:v>
      </x:c>
    </x:row>
    <x:row r="43" ht="30" customHeight="1">
      <x:c r="A43" s="10" t="str">
        <x:v>UT-02</x:v>
      </x:c>
      <x:c r="B43" s="10" t="str">
        <x:v>Общее</x:v>
      </x:c>
      <x:c r="C43" s="10" t="str">
        <x:v>Тележки, шпильки, GN, маркировка</x:v>
      </x:c>
      <x:c r="D43" s="10" t="str">
        <x:v>По расчёту</x:v>
      </x:c>
      <x:c r="E43" s="10" t="str">
        <x:v>HOT-13;BAK-06;DSP-11;BAN-03;BRK-05</x:v>
      </x:c>
      <x:c r="F43" s="10" t="str">
        <x:v>SPLIT</x:v>
      </x:c>
      <x:c r="G43" s="10" t="str">
        <x:v>Распределено по функциям</x:v>
      </x:c>
      <x:c r="H43" s="10" t="str">
        <x:v>VARSHAVKA_Спецификация_оборудования_Кухни_верифицированная_по_меню.docx</x:v>
      </x:c>
      <x:c r="I43" s="10" t="str">
        <x:v>b3231fa6159a529f52dfd8eb82f309de825469f1d3666d0a109c1d9a66bf6d62</x:v>
      </x:c>
      <x:c r="J43" s="10" t="str">
        <x:v>2026-07-25</x:v>
      </x:c>
      <x:c r="K43" s="10" t="str">
        <x:v>LOCAL_SOURCE_NOT_PUBLISHED</x:v>
      </x:c>
    </x:row>
    <x:row r="44" ht="30" customHeight="1">
      <x:c r="A44" s="11" t="str">
        <x:v>UT-03</x:v>
      </x:c>
      <x:c r="B44" s="11" t="str">
        <x:v>Общее</x:v>
      </x:c>
      <x:c r="C44" s="11" t="str">
        <x:v>Контейнеры для отходов</x:v>
      </x:c>
      <x:c r="D44" s="11" t="str">
        <x:v>По участкам</x:v>
      </x:c>
      <x:c r="E44" s="11" t="str">
        <x:v>UTL-01</x:v>
      </x:c>
      <x:c r="F44" s="11" t="str">
        <x:v>RETAINED_NOT_CAPEX_PRICED</x:v>
      </x:c>
      <x:c r="G44" s="11" t="str">
        <x:v>Сохранено в общем инвентаре</x:v>
      </x:c>
      <x:c r="H44" s="11" t="str">
        <x:v>VARSHAVKA_Спецификация_оборудования_Кухни_верифицированная_по_меню.docx</x:v>
      </x:c>
      <x:c r="I44" s="11" t="str">
        <x:v>b3231fa6159a529f52dfd8eb82f309de825469f1d3666d0a109c1d9a66bf6d62</x:v>
      </x:c>
      <x:c r="J44" s="11" t="str">
        <x:v>2026-07-25</x:v>
      </x:c>
      <x:c r="K44" s="11" t="str">
        <x:v>LOCAL_SOURCE_NOT_PUBLISHED</x:v>
      </x:c>
    </x:row>
  </x:sheetData>
  <x:pageMargins left="0.7" right="0.7" top="0.75" bottom="0.75" header="0.3" footer="0.3"/>
</x:worksheet>
</file>