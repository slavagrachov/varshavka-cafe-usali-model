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ПАСПОРТ" sheetId="1" state="visible" r:id="rId3"/>
    <sheet name="ПАРАМЕТРЫ" sheetId="2" state="visible" r:id="rId4"/>
    <sheet name="ПОТОКИ" sheetId="3" state="visible" r:id="rId5"/>
    <sheet name="ЧАСОВЫЕ_ПРОФИЛИ" sheetId="4" state="visible" r:id="rId6"/>
    <sheet name="КОЭФФИЦИЕНТЫ_ВЫБОРА" sheetId="5" state="visible" r:id="rId7"/>
    <sheet name="ШТАТ_ПО_ЧАСАМ" sheetId="6" state="visible" r:id="rId8"/>
    <sheet name="СПРОС_ДЕНЬ_ЧАС_МЕНЮ" sheetId="7" state="visible" r:id="rId9"/>
    <sheet name="БАЛАНС_ДЕНЬ_ЧАС" sheetId="8" state="visible" r:id="rId10"/>
    <sheet name="МОЩНОСТЬ_ПО_МЕНЮ" sheetId="9" state="visible" r:id="rId11"/>
    <sheet name="КОНТРОЛЬ" sheetId="10" state="visible" r:id="rId12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<sst xmlns="http://schemas.openxmlformats.org/spreadsheetml/2006/main" count="32029" uniqueCount="283">
  <si>
    <t xml:space="preserve">ПРОИЗВОДСТВЕННАЯ МОЩНОСТЬ КУХНИ</t>
  </si>
  <si>
    <t xml:space="preserve">VARSHAVKA v3.0.0 • формульная модель по всем 31 позициям меню</t>
  </si>
  <si>
    <t xml:space="preserve">ЛЕГЕНДА</t>
  </si>
  <si>
    <t xml:space="preserve">Жёлтая заливка</t>
  </si>
  <si>
    <t xml:space="preserve">Исходные данные, которые пользователь может изменять. После изменения Excel автоматически пересчитывает связанные показатели.</t>
  </si>
  <si>
    <t xml:space="preserve">Расчётная ячейка</t>
  </si>
  <si>
    <t xml:space="preserve">Ячейка содержит формулу Excel и не должна заменяться ручным значением.</t>
  </si>
  <si>
    <t xml:space="preserve">Потребность</t>
  </si>
  <si>
    <t xml:space="preserve">Сумма прогнозного количества всех позиций меню в соответствующем часовом интервале.</t>
  </si>
  <si>
    <t xml:space="preserve">Нехватка мощности</t>
  </si>
  <si>
    <t xml:space="preserve">Максимум из разности «потребность минус доступная мощность» и нуля.</t>
  </si>
  <si>
    <t xml:space="preserve">Показатель</t>
  </si>
  <si>
    <t xml:space="preserve">Значение</t>
  </si>
  <si>
    <t xml:space="preserve">Единица</t>
  </si>
  <si>
    <t xml:space="preserve">Формула / комментарий</t>
  </si>
  <si>
    <t xml:space="preserve">Активных позиций меню</t>
  </si>
  <si>
    <t xml:space="preserve">позиций</t>
  </si>
  <si>
    <t xml:space="preserve">Количество строк на листе «КОЭФФИЦИЕНТЫ_ВЫБОРА»</t>
  </si>
  <si>
    <t xml:space="preserve">Расчётный горизонт</t>
  </si>
  <si>
    <t xml:space="preserve">Первые 3 месяца</t>
  </si>
  <si>
    <t xml:space="preserve">режим</t>
  </si>
  <si>
    <t xml:space="preserve">Резерв направления применяется один раз</t>
  </si>
  <si>
    <t xml:space="preserve">Максимальная суммарная часовая потребность</t>
  </si>
  <si>
    <t xml:space="preserve">позиций/ч</t>
  </si>
  <si>
    <t xml:space="preserve">Максимум потребности группы TOTAL_OUTPUT</t>
  </si>
  <si>
    <t xml:space="preserve">Максимальная нехватка производственной мощности</t>
  </si>
  <si>
    <t xml:space="preserve">Максимум: MAX(потребность − доступная мощность; 0)</t>
  </si>
  <si>
    <t xml:space="preserve">Проектная мощность раздачи</t>
  </si>
  <si>
    <t xml:space="preserve">Исходное значение из листа «ПАРАМЕТРЫ»</t>
  </si>
  <si>
    <t xml:space="preserve">Статус часовых профилей</t>
  </si>
  <si>
    <t xml:space="preserve">PRELIMINARY</t>
  </si>
  <si>
    <t xml:space="preserve">статус</t>
  </si>
  <si>
    <t xml:space="preserve">Заменить фактом после ≥300 чеков/заказов и двух полных недель</t>
  </si>
  <si>
    <t xml:space="preserve">Неполные исходные данные</t>
  </si>
  <si>
    <t xml:space="preserve">Хлеб и гарниры</t>
  </si>
  <si>
    <t xml:space="preserve">группы</t>
  </si>
  <si>
    <t xml:space="preserve">Сплиты помечены PRELIMINARY_SPLIT</t>
  </si>
  <si>
    <t xml:space="preserve">Спросовых строк</t>
  </si>
  <si>
    <t xml:space="preserve">строк</t>
  </si>
  <si>
    <t xml:space="preserve">31 позиция × 7 дней × 15 часов</t>
  </si>
  <si>
    <t xml:space="preserve">Строк баланса мощности</t>
  </si>
  <si>
    <t xml:space="preserve">8 групп × 7 дней × 15 часов</t>
  </si>
  <si>
    <t xml:space="preserve">Инженерный запас</t>
  </si>
  <si>
    <t xml:space="preserve">Не увеличивает спрос</t>
  </si>
  <si>
    <t xml:space="preserve">правило</t>
  </si>
  <si>
    <t xml:space="preserve">Применяется только при выборе оборудования</t>
  </si>
  <si>
    <t xml:space="preserve">Параметры мощности и резервов</t>
  </si>
  <si>
    <t xml:space="preserve">Все жёлтые ячейки являются исходными данными формульной модели.</t>
  </si>
  <si>
    <t xml:space="preserve">Резерв направления</t>
  </si>
  <si>
    <t xml:space="preserve">Множитель, применяемый к рациональному спросу соответствующего направления один раз.</t>
  </si>
  <si>
    <t xml:space="preserve">Мощность оборудования</t>
  </si>
  <si>
    <t xml:space="preserve">Максимальное количество единиц, которое оборудование участка может обработать за час.</t>
  </si>
  <si>
    <t xml:space="preserve">Мощность одного специалиста</t>
  </si>
  <si>
    <t xml:space="preserve">Количество единиц, которое один выделенный специалист участка может обработать за час.</t>
  </si>
  <si>
    <t xml:space="preserve">Доступная мощность</t>
  </si>
  <si>
    <t xml:space="preserve">Минимум из мощности оборудования и мощности доступного штата.</t>
  </si>
  <si>
    <t xml:space="preserve">Направление</t>
  </si>
  <si>
    <t xml:space="preserve">Коэффициент резерва</t>
  </si>
  <si>
    <t xml:space="preserve">Статус</t>
  </si>
  <si>
    <t xml:space="preserve">À la carte</t>
  </si>
  <si>
    <t xml:space="preserve">Стартовый резерв</t>
  </si>
  <si>
    <t xml:space="preserve">Бизнес-ланч</t>
  </si>
  <si>
    <t xml:space="preserve">Гостиничный завтрак</t>
  </si>
  <si>
    <t xml:space="preserve">Включён в количестве 22</t>
  </si>
  <si>
    <t xml:space="preserve">Гостиничный ужин</t>
  </si>
  <si>
    <t xml:space="preserve">Доставка</t>
  </si>
  <si>
    <t xml:space="preserve">Навынос</t>
  </si>
  <si>
    <t xml:space="preserve">Вектор резерва</t>
  </si>
  <si>
    <t xml:space="preserve">Код группы</t>
  </si>
  <si>
    <t xml:space="preserve">Участок</t>
  </si>
  <si>
    <t xml:space="preserve">Оборудование</t>
  </si>
  <si>
    <t xml:space="preserve">Мощность оборудования, ед./ч</t>
  </si>
  <si>
    <t xml:space="preserve">Мощность специалиста, ед./ч</t>
  </si>
  <si>
    <t xml:space="preserve">PIZZA</t>
  </si>
  <si>
    <t xml:space="preserve">Пицца</t>
  </si>
  <si>
    <t xml:space="preserve">BAK-01</t>
  </si>
  <si>
    <t xml:space="preserve">PRELIMINARY_UNTIL_TEST</t>
  </si>
  <si>
    <t xml:space="preserve">BAKERY</t>
  </si>
  <si>
    <t xml:space="preserve">Хлеб</t>
  </si>
  <si>
    <t xml:space="preserve">BAK-02</t>
  </si>
  <si>
    <t xml:space="preserve">COLD</t>
  </si>
  <si>
    <t xml:space="preserve">Салаты и холодные закуски</t>
  </si>
  <si>
    <t xml:space="preserve">CLD</t>
  </si>
  <si>
    <t xml:space="preserve">HOT</t>
  </si>
  <si>
    <t xml:space="preserve">Супы и горячие блюда</t>
  </si>
  <si>
    <t xml:space="preserve">SIDE</t>
  </si>
  <si>
    <t xml:space="preserve">Гарниры</t>
  </si>
  <si>
    <t xml:space="preserve">HOT-01/HOT-03/HOT-06</t>
  </si>
  <si>
    <t xml:space="preserve">BREAKFAST</t>
  </si>
  <si>
    <t xml:space="preserve">Гостиничные завтраки</t>
  </si>
  <si>
    <t xml:space="preserve">HOT/BRK/BAK</t>
  </si>
  <si>
    <t xml:space="preserve">PASTRY</t>
  </si>
  <si>
    <t xml:space="preserve">Десерты</t>
  </si>
  <si>
    <t xml:space="preserve">TOTAL_OUTPUT</t>
  </si>
  <si>
    <t xml:space="preserve">Совокупная выдача</t>
  </si>
  <si>
    <t xml:space="preserve">Все участки</t>
  </si>
  <si>
    <t xml:space="preserve">Расчётная производительность 50 позиций / 3 работника</t>
  </si>
  <si>
    <t xml:space="preserve">Потоки по дням недели</t>
  </si>
  <si>
    <t xml:space="preserve">Гости или заказы соответствующего направления; гостиничный завтрак — производственный план 22 комплекса.</t>
  </si>
  <si>
    <t xml:space="preserve">Поток</t>
  </si>
  <si>
    <t xml:space="preserve">Количество гостей или заказов направления за день.</t>
  </si>
  <si>
    <t xml:space="preserve">В первых трёх месяцах используется производственный план 22 комплекса в день.</t>
  </si>
  <si>
    <t xml:space="preserve">Использование</t>
  </si>
  <si>
    <t xml:space="preserve">Поток × коэффициент выбора × часовая доля × резерв направления.</t>
  </si>
  <si>
    <t xml:space="preserve">Нулевое значение</t>
  </si>
  <si>
    <t xml:space="preserve">Направление не работает в этот день либо продукция Кухни отсутствует.</t>
  </si>
  <si>
    <t xml:space="preserve">День</t>
  </si>
  <si>
    <t xml:space="preserve">Понедельник</t>
  </si>
  <si>
    <t xml:space="preserve">Вторник</t>
  </si>
  <si>
    <t xml:space="preserve">Среда</t>
  </si>
  <si>
    <t xml:space="preserve">Четверг</t>
  </si>
  <si>
    <t xml:space="preserve">Пятница</t>
  </si>
  <si>
    <t xml:space="preserve">Суббота</t>
  </si>
  <si>
    <t xml:space="preserve">Воскресенье</t>
  </si>
  <si>
    <t xml:space="preserve">Стартовые часовые профили спроса</t>
  </si>
  <si>
    <t xml:space="preserve">Доли внутри направления; сумма каждого столбца должна быть равна 100%.</t>
  </si>
  <si>
    <t xml:space="preserve">Часовая доля</t>
  </si>
  <si>
    <t xml:space="preserve">Доля суточного спроса направления, приходящаяся на интервал.</t>
  </si>
  <si>
    <t xml:space="preserve">ИТОГО</t>
  </si>
  <si>
    <t xml:space="preserve">Сумма часовых долей по направлению; формула должна давать 100%.</t>
  </si>
  <si>
    <t xml:space="preserve">Расчёт спроса</t>
  </si>
  <si>
    <t xml:space="preserve">Суточный поток × коэффициент выбора × часовая доля.</t>
  </si>
  <si>
    <t xml:space="preserve">Предварительная гипотеза до накопления фактических чеков и заказов.</t>
  </si>
  <si>
    <t xml:space="preserve">Интервал</t>
  </si>
  <si>
    <t xml:space="preserve">07:00–08:00</t>
  </si>
  <si>
    <t xml:space="preserve">08:00–09:00</t>
  </si>
  <si>
    <t xml:space="preserve">09:00–10:00</t>
  </si>
  <si>
    <t xml:space="preserve">10:00–11:00</t>
  </si>
  <si>
    <t xml:space="preserve">11:00–12:00</t>
  </si>
  <si>
    <t xml:space="preserve">12:00–13:00</t>
  </si>
  <si>
    <t xml:space="preserve">13:00–14:00</t>
  </si>
  <si>
    <t xml:space="preserve">14:00–15:00</t>
  </si>
  <si>
    <t xml:space="preserve">15:00–16:00</t>
  </si>
  <si>
    <t xml:space="preserve">16:00–17:00</t>
  </si>
  <si>
    <t xml:space="preserve">17:00–18:00</t>
  </si>
  <si>
    <t xml:space="preserve">18:00–19:00</t>
  </si>
  <si>
    <t xml:space="preserve">19:00–20:00</t>
  </si>
  <si>
    <t xml:space="preserve">20:00–21:00</t>
  </si>
  <si>
    <t xml:space="preserve">21:00–22:00</t>
  </si>
  <si>
    <t xml:space="preserve">Коэффициенты выбора по всем 31 позициям</t>
  </si>
  <si>
    <t xml:space="preserve">Коэффициент означает количество единиц позиции на одного гостя или заказ.</t>
  </si>
  <si>
    <t xml:space="preserve">Выход, г</t>
  </si>
  <si>
    <t xml:space="preserve">Нормативный выход продаваемой позиции.</t>
  </si>
  <si>
    <t xml:space="preserve">Коэффициент выбора</t>
  </si>
  <si>
    <t xml:space="preserve">Единиц позиции на одного гостя или заказ соответствующего направления.</t>
  </si>
  <si>
    <t xml:space="preserve">APPROVED</t>
  </si>
  <si>
    <t xml:space="preserve">Коэффициент утверждён в ходе разработки меню.</t>
  </si>
  <si>
    <t xml:space="preserve">PRELIMINARY_SPLIT</t>
  </si>
  <si>
    <t xml:space="preserve">Распределение хлеба или гарниров требует подтверждения фактическими продажами.</t>
  </si>
  <si>
    <t xml:space="preserve">№</t>
  </si>
  <si>
    <t xml:space="preserve">Раздел</t>
  </si>
  <si>
    <t xml:space="preserve">Позиция</t>
  </si>
  <si>
    <t xml:space="preserve">Группа мощности</t>
  </si>
  <si>
    <t xml:space="preserve">Маргарита</t>
  </si>
  <si>
    <t xml:space="preserve">Четыре сыра</t>
  </si>
  <si>
    <t xml:space="preserve">Грибная с ветчиной</t>
  </si>
  <si>
    <t xml:space="preserve">Пепперони</t>
  </si>
  <si>
    <t xml:space="preserve">Белая чиабатта</t>
  </si>
  <si>
    <t xml:space="preserve">Томатная чиабатта</t>
  </si>
  <si>
    <t xml:space="preserve">Бородинский хлеб</t>
  </si>
  <si>
    <t xml:space="preserve">Бриошь</t>
  </si>
  <si>
    <t xml:space="preserve">Салаты</t>
  </si>
  <si>
    <t xml:space="preserve">Буррата с томатами</t>
  </si>
  <si>
    <t xml:space="preserve">Микс-салат с креветками и яблоком</t>
  </si>
  <si>
    <t xml:space="preserve">Греческий</t>
  </si>
  <si>
    <t xml:space="preserve">Винегрет</t>
  </si>
  <si>
    <t xml:space="preserve">Холодные закуски</t>
  </si>
  <si>
    <t xml:space="preserve">Слабосолёный лосось</t>
  </si>
  <si>
    <t xml:space="preserve">Сельдь с запечённым картофелем</t>
  </si>
  <si>
    <t xml:space="preserve">Оливки и маслины</t>
  </si>
  <si>
    <t xml:space="preserve">Ассорти фирменных солений</t>
  </si>
  <si>
    <t xml:space="preserve">Ростбиф с луком и гренкой</t>
  </si>
  <si>
    <t xml:space="preserve">Супы</t>
  </si>
  <si>
    <t xml:space="preserve">Традиционный красный борщ</t>
  </si>
  <si>
    <t xml:space="preserve">Горячие блюда</t>
  </si>
  <si>
    <t xml:space="preserve">Мурманская треска со сливочно-горчичным соусом</t>
  </si>
  <si>
    <t xml:space="preserve">Креветки по-тайски</t>
  </si>
  <si>
    <t xml:space="preserve">Бургер VARSHAVKA</t>
  </si>
  <si>
    <t xml:space="preserve">Миньоны из говяжьей вырезки</t>
  </si>
  <si>
    <t xml:space="preserve">Запечённый картофель</t>
  </si>
  <si>
    <t xml:space="preserve">Рис жасмин</t>
  </si>
  <si>
    <t xml:space="preserve">Горячие овощи</t>
  </si>
  <si>
    <t xml:space="preserve">Яичница, круассан и сыр двух видов</t>
  </si>
  <si>
    <t xml:space="preserve">Омлет, круассан и сыр двух видов</t>
  </si>
  <si>
    <t xml:space="preserve">Овсяная каша, круассан и сыр двух видов</t>
  </si>
  <si>
    <t xml:space="preserve">Черничный торт VARSHAVKA</t>
  </si>
  <si>
    <t xml:space="preserve">Кростата с солёной карамелью</t>
  </si>
  <si>
    <t xml:space="preserve">Мадлен (продаваемая порция 2 шт.)</t>
  </si>
  <si>
    <t xml:space="preserve">Производственный штат по дням и часам</t>
  </si>
  <si>
    <t xml:space="preserve">Экспедитор и упаковщик в число производственных специалистов не включаются.</t>
  </si>
  <si>
    <t xml:space="preserve">Доступно специалистов</t>
  </si>
  <si>
    <t xml:space="preserve">Фактическое количество производственных работников в интервале.</t>
  </si>
  <si>
    <t xml:space="preserve">Мощность штата</t>
  </si>
  <si>
    <t xml:space="preserve">Доступно специалистов × производительность одного специалиста из листа «ПАРАМЕТРЫ».</t>
  </si>
  <si>
    <t xml:space="preserve">Минимум для пика</t>
  </si>
  <si>
    <t xml:space="preserve">Целевое количество производственных работников в вечернем интервале.</t>
  </si>
  <si>
    <t xml:space="preserve">Нехватка персонала</t>
  </si>
  <si>
    <t xml:space="preserve">Рассчитывается на листе баланса через ограничение доступной мощности.</t>
  </si>
  <si>
    <t xml:space="preserve">Час</t>
  </si>
  <si>
    <t xml:space="preserve">Фактически доступно, чел.</t>
  </si>
  <si>
    <t xml:space="preserve">Расчётная мощность штата, поз./ч</t>
  </si>
  <si>
    <t xml:space="preserve">Минимум для вечернего пика, чел.</t>
  </si>
  <si>
    <t xml:space="preserve">Основание</t>
  </si>
  <si>
    <t xml:space="preserve">Мощность штата = специалисты × 16,667 позиции/чел.-ч</t>
  </si>
  <si>
    <t xml:space="preserve">Почасовой спрос по всему меню</t>
  </si>
  <si>
    <t xml:space="preserve">Расчёт выполняется формулами из потоков, коэффициентов выбора, часовых профилей и резервов.</t>
  </si>
  <si>
    <t xml:space="preserve">Спрос до резерва</t>
  </si>
  <si>
    <t xml:space="preserve">Сумма по направлениям: поток × коэффициент выбора × часовая доля.</t>
  </si>
  <si>
    <t xml:space="preserve">Спрос с резервом</t>
  </si>
  <si>
    <t xml:space="preserve">Сумма по направлениям: поток × коэффициент выбора × часовая доля × резерв направления.</t>
  </si>
  <si>
    <t xml:space="preserve">Масса, кг</t>
  </si>
  <si>
    <t xml:space="preserve">Спрос с резервом × нормативный выход позиции / 1 000.</t>
  </si>
  <si>
    <t xml:space="preserve">Исходные данные</t>
  </si>
  <si>
    <t xml:space="preserve">Все изменяемые значения находятся на жёлтых ячейках исходных листов.</t>
  </si>
  <si>
    <t xml:space="preserve">Расчёт</t>
  </si>
  <si>
    <t xml:space="preserve">Режим</t>
  </si>
  <si>
    <t xml:space="preserve">Статус коэффициента</t>
  </si>
  <si>
    <t xml:space="preserve">Σ(поток × коэффициент × профиль часа × резерв)</t>
  </si>
  <si>
    <t xml:space="preserve">Суммарный почасовой баланс производственной мощности</t>
  </si>
  <si>
    <t xml:space="preserve">Потребность всех блюд агрегируется по общим участкам и сравнивается с доступной мощностью.</t>
  </si>
  <si>
    <t xml:space="preserve">Суммарная потребность</t>
  </si>
  <si>
    <t xml:space="preserve">Сумма спроса с резервом всех позиций общей группы за день и час.</t>
  </si>
  <si>
    <t xml:space="preserve">Мощность по штату</t>
  </si>
  <si>
    <t xml:space="preserve">Количество доступных специалистов × производительность специалиста.</t>
  </si>
  <si>
    <t xml:space="preserve">Минимум из мощности оборудования и мощности по штату.</t>
  </si>
  <si>
    <t xml:space="preserve">MAX(суммарная потребность − доступная мощность; 0).</t>
  </si>
  <si>
    <t xml:space="preserve">Суммарная потребность, ед./ч</t>
  </si>
  <si>
    <t xml:space="preserve">Доступно производственных специалистов</t>
  </si>
  <si>
    <t xml:space="preserve">Мощность по штату, ед./ч</t>
  </si>
  <si>
    <t xml:space="preserve">Доступная мощность, ед./ч</t>
  </si>
  <si>
    <t xml:space="preserve">Нехватка производственной мощности, ед./ч</t>
  </si>
  <si>
    <t xml:space="preserve">Загрузка</t>
  </si>
  <si>
    <t xml:space="preserve">Комментарий</t>
  </si>
  <si>
    <t xml:space="preserve">Общая мощность группы; не суммировать по позициям</t>
  </si>
  <si>
    <t xml:space="preserve">Совокупная выдача всех 31 позиций</t>
  </si>
  <si>
    <t xml:space="preserve">Совокупность всех 31 позиций</t>
  </si>
  <si>
    <t xml:space="preserve">Производственная мощность в разрезе всего меню</t>
  </si>
  <si>
    <t xml:space="preserve">Все показатели рассчитываются формулами; нехватка относится к общей группе мощности позиции.</t>
  </si>
  <si>
    <t xml:space="preserve">Недельная потребность</t>
  </si>
  <si>
    <t xml:space="preserve">Сумма почасового спроса с резервом по позиции за семь дней.</t>
  </si>
  <si>
    <t xml:space="preserve">Максимальный спрос позиции</t>
  </si>
  <si>
    <t xml:space="preserve">Максимальное часовое значение спроса конкретной позиции.</t>
  </si>
  <si>
    <t xml:space="preserve">Суммарная потребность группы</t>
  </si>
  <si>
    <t xml:space="preserve">Максимум суммы всех блюд, использующих общую производственную мощность.</t>
  </si>
  <si>
    <t xml:space="preserve">Максимальная положительная разница между потребностью группы и доступной мощностью.</t>
  </si>
  <si>
    <t xml:space="preserve">Наименование</t>
  </si>
  <si>
    <t xml:space="preserve">Недельная потребность, ед.</t>
  </si>
  <si>
    <t xml:space="preserve">Макс. спрос позиции, ед./ч</t>
  </si>
  <si>
    <t xml:space="preserve">День пика позиции</t>
  </si>
  <si>
    <t xml:space="preserve">Час пика позиции</t>
  </si>
  <si>
    <t xml:space="preserve">Суммарная потребность группы, ед./ч</t>
  </si>
  <si>
    <t xml:space="preserve">Мощность оборудования группы, ед./ч</t>
  </si>
  <si>
    <t xml:space="preserve">Пиковая мощность по штату, ед./ч</t>
  </si>
  <si>
    <t xml:space="preserve">Доступная мощность группы, ед./ч</t>
  </si>
  <si>
    <t xml:space="preserve">Статус мощности</t>
  </si>
  <si>
    <t xml:space="preserve">Контроль полноты и формул</t>
  </si>
  <si>
    <t xml:space="preserve">Контрольные показатели рассчитываются формулами и сопоставляются с жёлтыми нормативами.</t>
  </si>
  <si>
    <t xml:space="preserve">Факт</t>
  </si>
  <si>
    <t xml:space="preserve">Формула, считающая текущее состояние книги.</t>
  </si>
  <si>
    <t xml:space="preserve">Норматив</t>
  </si>
  <si>
    <t xml:space="preserve">Ожидаемое контрольное значение; жёлтая ячейка.</t>
  </si>
  <si>
    <t xml:space="preserve">Отклонение</t>
  </si>
  <si>
    <t xml:space="preserve">Факт минус норматив.</t>
  </si>
  <si>
    <t xml:space="preserve">OK, если отклонение равно нулю; иначе FAIL.</t>
  </si>
  <si>
    <t xml:space="preserve">Проверка</t>
  </si>
  <si>
    <t xml:space="preserve">Активных позиций</t>
  </si>
  <si>
    <t xml:space="preserve">Все позиции включены</t>
  </si>
  <si>
    <t xml:space="preserve">Дней недели</t>
  </si>
  <si>
    <t xml:space="preserve">Полная неделя</t>
  </si>
  <si>
    <t xml:space="preserve">Часовых интервалов</t>
  </si>
  <si>
    <t xml:space="preserve">07:00–22:00</t>
  </si>
  <si>
    <t xml:space="preserve">Строк детального спроса</t>
  </si>
  <si>
    <t xml:space="preserve">31 × 7 × 15</t>
  </si>
  <si>
    <t xml:space="preserve">Строк баланса участков</t>
  </si>
  <si>
    <t xml:space="preserve">8 групп × 7 × 15</t>
  </si>
  <si>
    <t xml:space="preserve">Часовые профили = 100%</t>
  </si>
  <si>
    <t xml:space="preserve">Все направления</t>
  </si>
  <si>
    <t xml:space="preserve">Строк с предварительным сплитом</t>
  </si>
  <si>
    <t xml:space="preserve">4 хлеба + 3 гарнира</t>
  </si>
  <si>
    <t xml:space="preserve">Негативных значений нехватки</t>
  </si>
  <si>
    <t xml:space="preserve">Нехватка не может быть отрицательной</t>
  </si>
  <si>
    <t xml:space="preserve">Неактивные завтраки в спросе</t>
  </si>
  <si>
    <t xml:space="preserve">Архивные позиции отсутствуют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</si>
</sst>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"/>
    <numFmt numFmtId="166" formatCode="0.00"/>
    <numFmt numFmtId="167" formatCode="0.0%"/>
    <numFmt numFmtId="168" formatCode="0.0000"/>
  </numFmts>
  <fonts count="10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b val="true"/>
      <sz val="16"/>
      <color rgb="FFFFFFFF"/>
      <name val="Calibri"/>
      <family val="0"/>
      <charset val="1"/>
    </font>
    <font>
      <i val="true"/>
      <sz val="10"/>
      <name val="Calibri"/>
      <family val="0"/>
      <charset val="1"/>
    </font>
    <font>
      <b val="true"/>
      <sz val="11"/>
      <color rgb="FF17365D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7365D"/>
        <bgColor rgb="FF333333"/>
      </patternFill>
    </fill>
    <fill>
      <patternFill patternType="solid">
        <fgColor rgb="FFD9EAF7"/>
        <bgColor rgb="FFD9E2F3"/>
      </patternFill>
    </fill>
    <fill>
      <patternFill patternType="solid">
        <fgColor rgb="FFE7E6E6"/>
        <bgColor rgb="FFE2F0D9"/>
      </patternFill>
    </fill>
    <fill>
      <patternFill patternType="solid">
        <fgColor rgb="FFFFF2CC"/>
        <bgColor rgb="FFF3F6F8"/>
      </patternFill>
    </fill>
    <fill>
      <patternFill patternType="solid">
        <fgColor rgb="FFF3F6F8"/>
        <bgColor rgb="FFFFFFFF"/>
      </patternFill>
    </fill>
    <fill>
      <patternFill patternType="solid">
        <fgColor rgb="FF1F4E78"/>
        <bgColor rgb="FF17365D"/>
      </patternFill>
    </fill>
    <fill>
      <patternFill patternType="solid">
        <fgColor rgb="FFF4CCCC"/>
        <bgColor rgb="FFE7E6E6"/>
      </patternFill>
    </fill>
    <fill>
      <patternFill patternType="solid">
        <fgColor rgb="FFE2F0D9"/>
        <bgColor rgb="FFE7E6E6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E2F3"/>
      </bottom>
      <diagonal/>
    </border>
    <border diagonalUp="false" diagonalDown="false"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 diagonalUp="false" diagonalDown="false">
      <left/>
      <right/>
      <top style="thin">
        <color rgb="FFD9E2F3"/>
      </top>
      <bottom style="thin">
        <color rgb="FFD9E2F3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3" borderId="0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4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5" borderId="1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5" borderId="1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6" borderId="1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6" borderId="1" xfId="2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7" borderId="2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1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4" fillId="0" borderId="1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3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4" fillId="0" borderId="3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8" borderId="3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4" fillId="8" borderId="3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4" fillId="5" borderId="1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4" fillId="5" borderId="3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6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6" borderId="0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5" borderId="1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4" fillId="5" borderId="3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4" fillId="5" borderId="1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4" fillId="5" borderId="3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9" borderId="3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4" fillId="9" borderId="3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5" borderId="1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4" fillId="5" borderId="1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5" borderId="3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4" fillId="5" borderId="3" xfId="2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9" borderId="1" xfId="2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6F8"/>
      <rgbColor rgb="FFE2F0D9"/>
      <rgbColor rgb="FFE7E6E6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68"/>
  </cols>
  <sheetData>
    <row r="1" customFormat="false" ht="30" hidden="false" customHeight="true" outlineLevel="0" collapsed="false">
      <c r="A1" s="1" t="s">
        <v>0</v>
      </c>
      <c r="B1" s="1"/>
      <c r="C1" s="1"/>
      <c r="D1" s="1"/>
    </row>
    <row r="2" customFormat="false" ht="34" hidden="false" customHeight="true" outlineLevel="0" collapsed="false">
      <c r="A2" s="2" t="s">
        <v>1</v>
      </c>
      <c r="B2" s="2"/>
      <c r="C2" s="2"/>
      <c r="D2" s="2"/>
    </row>
    <row r="4" customFormat="false" ht="15" hidden="false" customHeight="false" outlineLevel="0" collapsed="false">
      <c r="A4" s="3" t="s">
        <v>2</v>
      </c>
      <c r="B4" s="3"/>
      <c r="C4" s="3"/>
      <c r="D4" s="3"/>
    </row>
    <row r="5" customFormat="false" ht="23.85" hidden="false" customHeight="true" outlineLevel="0" collapsed="false">
      <c r="A5" s="4" t="s">
        <v>3</v>
      </c>
      <c r="B5" s="5" t="s">
        <v>4</v>
      </c>
      <c r="C5" s="5"/>
      <c r="D5" s="5"/>
    </row>
    <row r="6" customFormat="false" ht="15" hidden="false" customHeight="true" outlineLevel="0" collapsed="false">
      <c r="A6" s="6" t="s">
        <v>5</v>
      </c>
      <c r="B6" s="7" t="s">
        <v>6</v>
      </c>
      <c r="C6" s="7"/>
      <c r="D6" s="7"/>
    </row>
    <row r="7" customFormat="false" ht="15" hidden="false" customHeight="true" outlineLevel="0" collapsed="false">
      <c r="A7" s="6" t="s">
        <v>7</v>
      </c>
      <c r="B7" s="7" t="s">
        <v>8</v>
      </c>
      <c r="C7" s="7"/>
      <c r="D7" s="7"/>
    </row>
    <row r="8" customFormat="false" ht="15" hidden="false" customHeight="true" outlineLevel="0" collapsed="false">
      <c r="A8" s="6" t="s">
        <v>9</v>
      </c>
      <c r="B8" s="7" t="s">
        <v>10</v>
      </c>
      <c r="C8" s="7"/>
      <c r="D8" s="7"/>
    </row>
    <row r="10" customFormat="false" ht="15" hidden="false" customHeight="false" outlineLevel="0" collapsed="false">
      <c r="A10" s="8" t="s">
        <v>11</v>
      </c>
      <c r="B10" s="8" t="s">
        <v>12</v>
      </c>
      <c r="C10" s="8" t="s">
        <v>13</v>
      </c>
      <c r="D10" s="8" t="s">
        <v>14</v>
      </c>
    </row>
    <row r="11" customFormat="false" ht="15" hidden="false" customHeight="false" outlineLevel="0" collapsed="false">
      <c r="A11" s="9" t="s">
        <v>15</v>
      </c>
      <c r="B11" s="10" t="n">
        <f aca="false">COUNTA(КОЭФФИЦИЕНТЫ_ВЫБОРА!A11:A41)</f>
        <v>31</v>
      </c>
      <c r="C11" s="9" t="s">
        <v>16</v>
      </c>
      <c r="D11" s="9" t="s">
        <v>17</v>
      </c>
    </row>
    <row r="12" customFormat="false" ht="15" hidden="false" customHeight="false" outlineLevel="0" collapsed="false">
      <c r="A12" s="11" t="s">
        <v>18</v>
      </c>
      <c r="B12" s="12" t="s">
        <v>19</v>
      </c>
      <c r="C12" s="11" t="s">
        <v>20</v>
      </c>
      <c r="D12" s="11" t="s">
        <v>21</v>
      </c>
    </row>
    <row r="13" customFormat="false" ht="15" hidden="false" customHeight="false" outlineLevel="0" collapsed="false">
      <c r="A13" s="11" t="s">
        <v>22</v>
      </c>
      <c r="B13" s="12" t="n">
        <f aca="false">MAX(БАЛАНС_ДЕНЬ_ЧАС!F18,БАЛАНС_ДЕНЬ_ЧАС!F26,БАЛАНС_ДЕНЬ_ЧАС!F34,БАЛАНС_ДЕНЬ_ЧАС!F42,БАЛАНС_ДЕНЬ_ЧАС!F50,БАЛАНС_ДЕНЬ_ЧАС!F58,БАЛАНС_ДЕНЬ_ЧАС!F66,БАЛАНС_ДЕНЬ_ЧАС!F74,БАЛАНС_ДЕНЬ_ЧАС!F82,БАЛАНС_ДЕНЬ_ЧАС!F90,БАЛАНС_ДЕНЬ_ЧАС!F98,БАЛАНС_ДЕНЬ_ЧАС!F106,БАЛАНС_ДЕНЬ_ЧАС!F114,БАЛАНС_ДЕНЬ_ЧАС!F122,БАЛАНС_ДЕНЬ_ЧАС!F130,БАЛАНС_ДЕНЬ_ЧАС!F138,БАЛАНС_ДЕНЬ_ЧАС!F146,БАЛАНС_ДЕНЬ_ЧАС!F154,БАЛАНС_ДЕНЬ_ЧАС!F162,БАЛАНС_ДЕНЬ_ЧАС!F170,БАЛАНС_ДЕНЬ_ЧАС!F178,БАЛАНС_ДЕНЬ_ЧАС!F186,БАЛАНС_ДЕНЬ_ЧАС!F194,БАЛАНС_ДЕНЬ_ЧАС!F202,БАЛАНС_ДЕНЬ_ЧАС!F210,БАЛАНС_ДЕНЬ_ЧАС!F218,БАЛАНС_ДЕНЬ_ЧАС!F226,БАЛАНС_ДЕНЬ_ЧАС!F234,БАЛАНС_ДЕНЬ_ЧАС!F242,БАЛАНС_ДЕНЬ_ЧАС!F250,БАЛАНС_ДЕНЬ_ЧАС!F258,БАЛАНС_ДЕНЬ_ЧАС!F266,БАЛАНС_ДЕНЬ_ЧАС!F274,БАЛАНС_ДЕНЬ_ЧАС!F282,БАЛАНС_ДЕНЬ_ЧАС!F290,БАЛАНС_ДЕНЬ_ЧАС!F298,БАЛАНС_ДЕНЬ_ЧАС!F306,БАЛАНС_ДЕНЬ_ЧАС!F314,БАЛАНС_ДЕНЬ_ЧАС!F322,БАЛАНС_ДЕНЬ_ЧАС!F330,БАЛАНС_ДЕНЬ_ЧАС!F338,БАЛАНС_ДЕНЬ_ЧАС!F346,БАЛАНС_ДЕНЬ_ЧАС!F354,БАЛАНС_ДЕНЬ_ЧАС!F362,БАЛАНС_ДЕНЬ_ЧАС!F370,БАЛАНС_ДЕНЬ_ЧАС!F378,БАЛАНС_ДЕНЬ_ЧАС!F386,БАЛАНС_ДЕНЬ_ЧАС!F394,БАЛАНС_ДЕНЬ_ЧАС!F402,БАЛАНС_ДЕНЬ_ЧАС!F410,БАЛАНС_ДЕНЬ_ЧАС!F418,БАЛАНС_ДЕНЬ_ЧАС!F426,БАЛАНС_ДЕНЬ_ЧАС!F434,БАЛАНС_ДЕНЬ_ЧАС!F442,БАЛАНС_ДЕНЬ_ЧАС!F450,БАЛАНС_ДЕНЬ_ЧАС!F458,БАЛАНС_ДЕНЬ_ЧАС!F466,БАЛАНС_ДЕНЬ_ЧАС!F474,БАЛАНС_ДЕНЬ_ЧАС!F482,БАЛАНС_ДЕНЬ_ЧАС!F490,БАЛАНС_ДЕНЬ_ЧАС!F498,БАЛАНС_ДЕНЬ_ЧАС!F506,БАЛАНС_ДЕНЬ_ЧАС!F514,БАЛАНС_ДЕНЬ_ЧАС!F522,БАЛАНС_ДЕНЬ_ЧАС!F530,БАЛАНС_ДЕНЬ_ЧАС!F538,БАЛАНС_ДЕНЬ_ЧАС!F546,БАЛАНС_ДЕНЬ_ЧАС!F554,БАЛАНС_ДЕНЬ_ЧАС!F562,БАЛАНС_ДЕНЬ_ЧАС!F570,БАЛАНС_ДЕНЬ_ЧАС!F578,БАЛАНС_ДЕНЬ_ЧАС!F586,БАЛАНС_ДЕНЬ_ЧАС!F594,БАЛАНС_ДЕНЬ_ЧАС!F602,БАЛАНС_ДЕНЬ_ЧАС!F610,БАЛАНС_ДЕНЬ_ЧАС!F618,БАЛАНС_ДЕНЬ_ЧАС!F626,БАЛАНС_ДЕНЬ_ЧАС!F634,БАЛАНС_ДЕНЬ_ЧАС!F642,БАЛАНС_ДЕНЬ_ЧАС!F650,БАЛАНС_ДЕНЬ_ЧАС!F658,БАЛАНС_ДЕНЬ_ЧАС!F666,БАЛАНС_ДЕНЬ_ЧАС!F674,БАЛАНС_ДЕНЬ_ЧАС!F682,БАЛАНС_ДЕНЬ_ЧАС!F690,БАЛАНС_ДЕНЬ_ЧАС!F698,БАЛАНС_ДЕНЬ_ЧАС!F706,БАЛАНС_ДЕНЬ_ЧАС!F714,БАЛАНС_ДЕНЬ_ЧАС!F722,БАЛАНС_ДЕНЬ_ЧАС!F730,БАЛАНС_ДЕНЬ_ЧАС!F738,БАЛАНС_ДЕНЬ_ЧАС!F746,БАЛАНС_ДЕНЬ_ЧАС!F754,БАЛАНС_ДЕНЬ_ЧАС!F762,БАЛАНС_ДЕНЬ_ЧАС!F770,БАЛАНС_ДЕНЬ_ЧАС!F778,БАЛАНС_ДЕНЬ_ЧАС!F786,БАЛАНС_ДЕНЬ_ЧАС!F794,БАЛАНС_ДЕНЬ_ЧАС!F802,БАЛАНС_ДЕНЬ_ЧАС!F810,БАЛАНС_ДЕНЬ_ЧАС!F818,БАЛАНС_ДЕНЬ_ЧАС!F826,БАЛАНС_ДЕНЬ_ЧАС!F834,БАЛАНС_ДЕНЬ_ЧАС!F842,БАЛАНС_ДЕНЬ_ЧАС!F850)</f>
        <v>57.495625</v>
      </c>
      <c r="C13" s="11" t="s">
        <v>23</v>
      </c>
      <c r="D13" s="11" t="s">
        <v>24</v>
      </c>
    </row>
    <row r="14" customFormat="false" ht="15" hidden="false" customHeight="false" outlineLevel="0" collapsed="false">
      <c r="A14" s="13" t="s">
        <v>25</v>
      </c>
      <c r="B14" s="14" t="n">
        <f aca="false">MAX(БАЛАНС_ДЕНЬ_ЧАС!K18,БАЛАНС_ДЕНЬ_ЧАС!K26,БАЛАНС_ДЕНЬ_ЧАС!K34,БАЛАНС_ДЕНЬ_ЧАС!K42,БАЛАНС_ДЕНЬ_ЧАС!K50,БАЛАНС_ДЕНЬ_ЧАС!K58,БАЛАНС_ДЕНЬ_ЧАС!K66,БАЛАНС_ДЕНЬ_ЧАС!K74,БАЛАНС_ДЕНЬ_ЧАС!K82,БАЛАНС_ДЕНЬ_ЧАС!K90,БАЛАНС_ДЕНЬ_ЧАС!K98,БАЛАНС_ДЕНЬ_ЧАС!K106,БАЛАНС_ДЕНЬ_ЧАС!K114,БАЛАНС_ДЕНЬ_ЧАС!K122,БАЛАНС_ДЕНЬ_ЧАС!K130,БАЛАНС_ДЕНЬ_ЧАС!K138,БАЛАНС_ДЕНЬ_ЧАС!K146,БАЛАНС_ДЕНЬ_ЧАС!K154,БАЛАНС_ДЕНЬ_ЧАС!K162,БАЛАНС_ДЕНЬ_ЧАС!K170,БАЛАНС_ДЕНЬ_ЧАС!K178,БАЛАНС_ДЕНЬ_ЧАС!K186,БАЛАНС_ДЕНЬ_ЧАС!K194,БАЛАНС_ДЕНЬ_ЧАС!K202,БАЛАНС_ДЕНЬ_ЧАС!K210,БАЛАНС_ДЕНЬ_ЧАС!K218,БАЛАНС_ДЕНЬ_ЧАС!K226,БАЛАНС_ДЕНЬ_ЧАС!K234,БАЛАНС_ДЕНЬ_ЧАС!K242,БАЛАНС_ДЕНЬ_ЧАС!K250,БАЛАНС_ДЕНЬ_ЧАС!K258,БАЛАНС_ДЕНЬ_ЧАС!K266,БАЛАНС_ДЕНЬ_ЧАС!K274,БАЛАНС_ДЕНЬ_ЧАС!K282,БАЛАНС_ДЕНЬ_ЧАС!K290,БАЛАНС_ДЕНЬ_ЧАС!K298,БАЛАНС_ДЕНЬ_ЧАС!K306,БАЛАНС_ДЕНЬ_ЧАС!K314,БАЛАНС_ДЕНЬ_ЧАС!K322,БАЛАНС_ДЕНЬ_ЧАС!K330,БАЛАНС_ДЕНЬ_ЧАС!K338,БАЛАНС_ДЕНЬ_ЧАС!K346,БАЛАНС_ДЕНЬ_ЧАС!K354,БАЛАНС_ДЕНЬ_ЧАС!K362,БАЛАНС_ДЕНЬ_ЧАС!K370,БАЛАНС_ДЕНЬ_ЧАС!K378,БАЛАНС_ДЕНЬ_ЧАС!K386,БАЛАНС_ДЕНЬ_ЧАС!K394,БАЛАНС_ДЕНЬ_ЧАС!K402,БАЛАНС_ДЕНЬ_ЧАС!K410,БАЛАНС_ДЕНЬ_ЧАС!K418,БАЛАНС_ДЕНЬ_ЧАС!K426,БАЛАНС_ДЕНЬ_ЧАС!K434,БАЛАНС_ДЕНЬ_ЧАС!K442,БАЛАНС_ДЕНЬ_ЧАС!K450,БАЛАНС_ДЕНЬ_ЧАС!K458,БАЛАНС_ДЕНЬ_ЧАС!K466,БАЛАНС_ДЕНЬ_ЧАС!K474,БАЛАНС_ДЕНЬ_ЧАС!K482,БАЛАНС_ДЕНЬ_ЧАС!K490,БАЛАНС_ДЕНЬ_ЧАС!K498,БАЛАНС_ДЕНЬ_ЧАС!K506,БАЛАНС_ДЕНЬ_ЧАС!K514,БАЛАНС_ДЕНЬ_ЧАС!K522,БАЛАНС_ДЕНЬ_ЧАС!K530,БАЛАНС_ДЕНЬ_ЧАС!K538,БАЛАНС_ДЕНЬ_ЧАС!K546,БАЛАНС_ДЕНЬ_ЧАС!K554,БАЛАНС_ДЕНЬ_ЧАС!K562,БАЛАНС_ДЕНЬ_ЧАС!K570,БАЛАНС_ДЕНЬ_ЧАС!K578,БАЛАНС_ДЕНЬ_ЧАС!K586,БАЛАНС_ДЕНЬ_ЧАС!K594,БАЛАНС_ДЕНЬ_ЧАС!K602,БАЛАНС_ДЕНЬ_ЧАС!K610,БАЛАНС_ДЕНЬ_ЧАС!K618,БАЛАНС_ДЕНЬ_ЧАС!K626,БАЛАНС_ДЕНЬ_ЧАС!K634,БАЛАНС_ДЕНЬ_ЧАС!K642,БАЛАНС_ДЕНЬ_ЧАС!K650,БАЛАНС_ДЕНЬ_ЧАС!K658,БАЛАНС_ДЕНЬ_ЧАС!K666,БАЛАНС_ДЕНЬ_ЧАС!K674,БАЛАНС_ДЕНЬ_ЧАС!K682,БАЛАНС_ДЕНЬ_ЧАС!K690,БАЛАНС_ДЕНЬ_ЧАС!K698,БАЛАНС_ДЕНЬ_ЧАС!K706,БАЛАНС_ДЕНЬ_ЧАС!K714,БАЛАНС_ДЕНЬ_ЧАС!K722,БАЛАНС_ДЕНЬ_ЧАС!K730,БАЛАНС_ДЕНЬ_ЧАС!K738,БАЛАНС_ДЕНЬ_ЧАС!K746,БАЛАНС_ДЕНЬ_ЧАС!K754,БАЛАНС_ДЕНЬ_ЧАС!K762,БАЛАНС_ДЕНЬ_ЧАС!K770,БАЛАНС_ДЕНЬ_ЧАС!K778,БАЛАНС_ДЕНЬ_ЧАС!K786,БАЛАНС_ДЕНЬ_ЧАС!K794,БАЛАНС_ДЕНЬ_ЧАС!K802,БАЛАНС_ДЕНЬ_ЧАС!K810,БАЛАНС_ДЕНЬ_ЧАС!K818,БАЛАНС_ДЕНЬ_ЧАС!K826,БАЛАНС_ДЕНЬ_ЧАС!K834,БАЛАНС_ДЕНЬ_ЧАС!K842,БАЛАНС_ДЕНЬ_ЧАС!K850)</f>
        <v>36.1831083333333</v>
      </c>
      <c r="C14" s="13" t="s">
        <v>23</v>
      </c>
      <c r="D14" s="13" t="s">
        <v>26</v>
      </c>
    </row>
    <row r="15" customFormat="false" ht="15" hidden="false" customHeight="false" outlineLevel="0" collapsed="false">
      <c r="A15" s="11" t="s">
        <v>27</v>
      </c>
      <c r="B15" s="12" t="n">
        <f aca="false">ПАРАМЕТРЫ!D27</f>
        <v>60</v>
      </c>
      <c r="C15" s="11" t="s">
        <v>23</v>
      </c>
      <c r="D15" s="11" t="s">
        <v>28</v>
      </c>
    </row>
    <row r="16" customFormat="false" ht="15" hidden="false" customHeight="false" outlineLevel="0" collapsed="false">
      <c r="A16" s="11" t="s">
        <v>29</v>
      </c>
      <c r="B16" s="12" t="s">
        <v>30</v>
      </c>
      <c r="C16" s="11" t="s">
        <v>31</v>
      </c>
      <c r="D16" s="11" t="s">
        <v>32</v>
      </c>
    </row>
    <row r="17" customFormat="false" ht="15" hidden="false" customHeight="false" outlineLevel="0" collapsed="false">
      <c r="A17" s="11" t="s">
        <v>33</v>
      </c>
      <c r="B17" s="12" t="s">
        <v>34</v>
      </c>
      <c r="C17" s="11" t="s">
        <v>35</v>
      </c>
      <c r="D17" s="11" t="s">
        <v>36</v>
      </c>
    </row>
    <row r="18" customFormat="false" ht="15" hidden="false" customHeight="false" outlineLevel="0" collapsed="false">
      <c r="A18" s="11" t="s">
        <v>37</v>
      </c>
      <c r="B18" s="12" t="n">
        <f aca="false">COUNTA(СПРОС_ДЕНЬ_ЧАС_МЕНЮ!A11:A3265)</f>
        <v>3255</v>
      </c>
      <c r="C18" s="11" t="s">
        <v>38</v>
      </c>
      <c r="D18" s="11" t="s">
        <v>39</v>
      </c>
    </row>
    <row r="19" customFormat="false" ht="15" hidden="false" customHeight="false" outlineLevel="0" collapsed="false">
      <c r="A19" s="11" t="s">
        <v>40</v>
      </c>
      <c r="B19" s="12" t="n">
        <f aca="false">COUNTA(БАЛАНС_ДЕНЬ_ЧАС!A11:A850)</f>
        <v>840</v>
      </c>
      <c r="C19" s="11" t="s">
        <v>38</v>
      </c>
      <c r="D19" s="11" t="s">
        <v>41</v>
      </c>
    </row>
    <row r="20" customFormat="false" ht="15" hidden="false" customHeight="false" outlineLevel="0" collapsed="false">
      <c r="A20" s="11" t="s">
        <v>42</v>
      </c>
      <c r="B20" s="11" t="s">
        <v>43</v>
      </c>
      <c r="C20" s="11" t="s">
        <v>44</v>
      </c>
      <c r="D20" s="11" t="s">
        <v>45</v>
      </c>
    </row>
  </sheetData>
  <mergeCells count="7">
    <mergeCell ref="A1:D1"/>
    <mergeCell ref="A2:D2"/>
    <mergeCell ref="A4:D4"/>
    <mergeCell ref="B5:D5"/>
    <mergeCell ref="B6:D6"/>
    <mergeCell ref="B7:D7"/>
    <mergeCell ref="B8:D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8"/>
    <col collapsed="false" customWidth="true" hidden="false" outlineLevel="0" max="3" min="3" style="0" width="22"/>
    <col collapsed="false" customWidth="true" hidden="false" outlineLevel="0" max="5" min="4" style="0" width="24"/>
    <col collapsed="false" customWidth="true" hidden="false" outlineLevel="0" max="6" min="6" style="0" width="32"/>
    <col collapsed="false" customWidth="true" hidden="false" outlineLevel="0" max="7" min="7" style="0" width="18"/>
  </cols>
  <sheetData>
    <row r="1" customFormat="false" ht="30" hidden="false" customHeight="true" outlineLevel="0" collapsed="false">
      <c r="A1" s="1" t="s">
        <v>46</v>
      </c>
      <c r="B1" s="1"/>
      <c r="C1" s="1"/>
      <c r="D1" s="1"/>
      <c r="E1" s="1"/>
      <c r="F1" s="1"/>
      <c r="G1" s="1"/>
    </row>
    <row r="2" customFormat="false" ht="34" hidden="false" customHeight="true" outlineLevel="0" collapsed="false">
      <c r="A2" s="2" t="s">
        <v>47</v>
      </c>
      <c r="B2" s="2"/>
      <c r="C2" s="2"/>
      <c r="D2" s="2"/>
      <c r="E2" s="2"/>
      <c r="F2" s="2"/>
      <c r="G2" s="2"/>
    </row>
    <row r="4" customFormat="false" ht="15" hidden="false" customHeight="false" outlineLevel="0" collapsed="false">
      <c r="A4" s="3" t="s">
        <v>2</v>
      </c>
      <c r="B4" s="3"/>
      <c r="C4" s="3"/>
      <c r="D4" s="3"/>
      <c r="E4" s="3"/>
      <c r="F4" s="3"/>
      <c r="G4" s="3"/>
    </row>
    <row r="5" customFormat="false" ht="15" hidden="false" customHeight="true" outlineLevel="0" collapsed="false">
      <c r="A5" s="4" t="s">
        <v>48</v>
      </c>
      <c r="B5" s="5" t="s">
        <v>49</v>
      </c>
      <c r="C5" s="5"/>
      <c r="D5" s="5"/>
      <c r="E5" s="5"/>
      <c r="F5" s="5"/>
      <c r="G5" s="5"/>
    </row>
    <row r="6" customFormat="false" ht="23.85" hidden="false" customHeight="true" outlineLevel="0" collapsed="false">
      <c r="A6" s="4" t="s">
        <v>50</v>
      </c>
      <c r="B6" s="5" t="s">
        <v>51</v>
      </c>
      <c r="C6" s="5"/>
      <c r="D6" s="5"/>
      <c r="E6" s="5"/>
      <c r="F6" s="5"/>
      <c r="G6" s="5"/>
    </row>
    <row r="7" customFormat="false" ht="23.85" hidden="false" customHeight="true" outlineLevel="0" collapsed="false">
      <c r="A7" s="4" t="s">
        <v>52</v>
      </c>
      <c r="B7" s="5" t="s">
        <v>53</v>
      </c>
      <c r="C7" s="5"/>
      <c r="D7" s="5"/>
      <c r="E7" s="5"/>
      <c r="F7" s="5"/>
      <c r="G7" s="5"/>
    </row>
    <row r="8" customFormat="false" ht="15" hidden="false" customHeight="true" outlineLevel="0" collapsed="false">
      <c r="A8" s="6" t="s">
        <v>54</v>
      </c>
      <c r="B8" s="7" t="s">
        <v>55</v>
      </c>
      <c r="C8" s="7"/>
      <c r="D8" s="7"/>
      <c r="E8" s="7"/>
      <c r="F8" s="7"/>
      <c r="G8" s="7"/>
    </row>
    <row r="10" customFormat="false" ht="23.85" hidden="false" customHeight="false" outlineLevel="0" collapsed="false">
      <c r="A10" s="8" t="s">
        <v>56</v>
      </c>
      <c r="B10" s="8" t="s">
        <v>57</v>
      </c>
      <c r="C10" s="8" t="s">
        <v>58</v>
      </c>
    </row>
    <row r="11" customFormat="false" ht="15" hidden="false" customHeight="false" outlineLevel="0" collapsed="false">
      <c r="A11" s="9" t="s">
        <v>59</v>
      </c>
      <c r="B11" s="15" t="n">
        <v>1.1</v>
      </c>
      <c r="C11" s="9" t="s">
        <v>60</v>
      </c>
    </row>
    <row r="12" customFormat="false" ht="15" hidden="false" customHeight="false" outlineLevel="0" collapsed="false">
      <c r="A12" s="11" t="s">
        <v>61</v>
      </c>
      <c r="B12" s="16" t="n">
        <v>1.1</v>
      </c>
      <c r="C12" s="11" t="s">
        <v>60</v>
      </c>
    </row>
    <row r="13" customFormat="false" ht="23.85" hidden="false" customHeight="false" outlineLevel="0" collapsed="false">
      <c r="A13" s="11" t="s">
        <v>62</v>
      </c>
      <c r="B13" s="16" t="n">
        <v>1</v>
      </c>
      <c r="C13" s="11" t="s">
        <v>63</v>
      </c>
    </row>
    <row r="14" customFormat="false" ht="15" hidden="false" customHeight="false" outlineLevel="0" collapsed="false">
      <c r="A14" s="11" t="s">
        <v>64</v>
      </c>
      <c r="B14" s="16" t="n">
        <v>1.1</v>
      </c>
      <c r="C14" s="11" t="s">
        <v>60</v>
      </c>
    </row>
    <row r="15" customFormat="false" ht="15" hidden="false" customHeight="false" outlineLevel="0" collapsed="false">
      <c r="A15" s="11" t="s">
        <v>65</v>
      </c>
      <c r="B15" s="16" t="n">
        <v>1.1</v>
      </c>
      <c r="C15" s="11" t="s">
        <v>60</v>
      </c>
    </row>
    <row r="16" customFormat="false" ht="15" hidden="false" customHeight="false" outlineLevel="0" collapsed="false">
      <c r="A16" s="11" t="s">
        <v>66</v>
      </c>
      <c r="B16" s="16" t="n">
        <v>1.1</v>
      </c>
      <c r="C16" s="11" t="s">
        <v>60</v>
      </c>
    </row>
    <row r="17" customFormat="false" ht="15" hidden="false" customHeight="false" outlineLevel="0" collapsed="false">
      <c r="A17" s="17" t="s">
        <v>67</v>
      </c>
      <c r="B17" s="18" t="n">
        <f aca="false">B11</f>
        <v>1.1</v>
      </c>
      <c r="C17" s="18" t="n">
        <f aca="false">B12</f>
        <v>1.1</v>
      </c>
      <c r="D17" s="18" t="n">
        <f aca="false">B13</f>
        <v>1</v>
      </c>
      <c r="E17" s="18" t="n">
        <f aca="false">B14</f>
        <v>1.1</v>
      </c>
      <c r="F17" s="18" t="n">
        <f aca="false">B15</f>
        <v>1.1</v>
      </c>
      <c r="G17" s="18" t="n">
        <f aca="false">B16</f>
        <v>1.1</v>
      </c>
    </row>
    <row r="19" customFormat="false" ht="23.85" hidden="false" customHeight="false" outlineLevel="0" collapsed="false">
      <c r="A19" s="8" t="s">
        <v>68</v>
      </c>
      <c r="B19" s="8" t="s">
        <v>69</v>
      </c>
      <c r="C19" s="8" t="s">
        <v>70</v>
      </c>
      <c r="D19" s="8" t="s">
        <v>71</v>
      </c>
      <c r="E19" s="8" t="s">
        <v>72</v>
      </c>
      <c r="F19" s="8" t="s">
        <v>58</v>
      </c>
    </row>
    <row r="20" customFormat="false" ht="15" hidden="false" customHeight="false" outlineLevel="0" collapsed="false">
      <c r="A20" s="9" t="s">
        <v>73</v>
      </c>
      <c r="B20" s="9" t="s">
        <v>74</v>
      </c>
      <c r="C20" s="9" t="s">
        <v>75</v>
      </c>
      <c r="D20" s="19" t="n">
        <v>25</v>
      </c>
      <c r="E20" s="19" t="n">
        <v>10</v>
      </c>
      <c r="F20" s="9" t="s">
        <v>76</v>
      </c>
    </row>
    <row r="21" customFormat="false" ht="15" hidden="false" customHeight="false" outlineLevel="0" collapsed="false">
      <c r="A21" s="11" t="s">
        <v>77</v>
      </c>
      <c r="B21" s="11" t="s">
        <v>78</v>
      </c>
      <c r="C21" s="11" t="s">
        <v>79</v>
      </c>
      <c r="D21" s="20" t="n">
        <v>20</v>
      </c>
      <c r="E21" s="20" t="n">
        <v>10</v>
      </c>
      <c r="F21" s="11" t="s">
        <v>76</v>
      </c>
    </row>
    <row r="22" customFormat="false" ht="23.85" hidden="false" customHeight="false" outlineLevel="0" collapsed="false">
      <c r="A22" s="11" t="s">
        <v>80</v>
      </c>
      <c r="B22" s="11" t="s">
        <v>81</v>
      </c>
      <c r="C22" s="11" t="s">
        <v>82</v>
      </c>
      <c r="D22" s="20" t="n">
        <v>16</v>
      </c>
      <c r="E22" s="20" t="n">
        <v>16</v>
      </c>
      <c r="F22" s="11" t="s">
        <v>76</v>
      </c>
    </row>
    <row r="23" customFormat="false" ht="23.85" hidden="false" customHeight="false" outlineLevel="0" collapsed="false">
      <c r="A23" s="11" t="s">
        <v>83</v>
      </c>
      <c r="B23" s="11" t="s">
        <v>84</v>
      </c>
      <c r="C23" s="11" t="s">
        <v>83</v>
      </c>
      <c r="D23" s="20" t="n">
        <v>21</v>
      </c>
      <c r="E23" s="20" t="n">
        <v>21</v>
      </c>
      <c r="F23" s="11" t="s">
        <v>76</v>
      </c>
    </row>
    <row r="24" customFormat="false" ht="15" hidden="false" customHeight="false" outlineLevel="0" collapsed="false">
      <c r="A24" s="11" t="s">
        <v>85</v>
      </c>
      <c r="B24" s="11" t="s">
        <v>86</v>
      </c>
      <c r="C24" s="11" t="s">
        <v>87</v>
      </c>
      <c r="D24" s="20" t="n">
        <v>12</v>
      </c>
      <c r="E24" s="20" t="n">
        <v>12</v>
      </c>
      <c r="F24" s="11" t="s">
        <v>76</v>
      </c>
    </row>
    <row r="25" customFormat="false" ht="23.85" hidden="false" customHeight="false" outlineLevel="0" collapsed="false">
      <c r="A25" s="11" t="s">
        <v>88</v>
      </c>
      <c r="B25" s="11" t="s">
        <v>89</v>
      </c>
      <c r="C25" s="11" t="s">
        <v>90</v>
      </c>
      <c r="D25" s="20" t="n">
        <v>15</v>
      </c>
      <c r="E25" s="20" t="n">
        <v>10</v>
      </c>
      <c r="F25" s="11" t="s">
        <v>76</v>
      </c>
    </row>
    <row r="26" customFormat="false" ht="15" hidden="false" customHeight="false" outlineLevel="0" collapsed="false">
      <c r="A26" s="11" t="s">
        <v>91</v>
      </c>
      <c r="B26" s="11" t="s">
        <v>92</v>
      </c>
      <c r="C26" s="11" t="s">
        <v>79</v>
      </c>
      <c r="D26" s="20" t="n">
        <v>20</v>
      </c>
      <c r="E26" s="20" t="n">
        <v>10</v>
      </c>
      <c r="F26" s="11" t="s">
        <v>76</v>
      </c>
    </row>
    <row r="27" customFormat="false" ht="23.85" hidden="false" customHeight="false" outlineLevel="0" collapsed="false">
      <c r="A27" s="11" t="s">
        <v>93</v>
      </c>
      <c r="B27" s="11" t="s">
        <v>94</v>
      </c>
      <c r="C27" s="11" t="s">
        <v>95</v>
      </c>
      <c r="D27" s="20" t="n">
        <v>60</v>
      </c>
      <c r="E27" s="20" t="n">
        <v>16.6666666666667</v>
      </c>
      <c r="F27" s="11" t="s">
        <v>96</v>
      </c>
    </row>
  </sheetData>
  <mergeCells count="7">
    <mergeCell ref="A1:G1"/>
    <mergeCell ref="A2:G2"/>
    <mergeCell ref="A4:G4"/>
    <mergeCell ref="B5:G5"/>
    <mergeCell ref="B6:G6"/>
    <mergeCell ref="B7:G7"/>
    <mergeCell ref="B8:G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3" min="2" style="0" width="18"/>
    <col collapsed="false" customWidth="true" hidden="false" outlineLevel="0" max="4" min="4" style="0" width="24"/>
    <col collapsed="false" customWidth="true" hidden="false" outlineLevel="0" max="5" min="5" style="0" width="22"/>
    <col collapsed="false" customWidth="true" hidden="false" outlineLevel="0" max="7" min="6" style="0" width="16"/>
  </cols>
  <sheetData>
    <row r="1" customFormat="false" ht="30" hidden="false" customHeight="true" outlineLevel="0" collapsed="false">
      <c r="A1" s="1" t="s">
        <v>97</v>
      </c>
      <c r="B1" s="1"/>
      <c r="C1" s="1"/>
      <c r="D1" s="1"/>
      <c r="E1" s="1"/>
      <c r="F1" s="1"/>
      <c r="G1" s="1"/>
    </row>
    <row r="2" customFormat="false" ht="34" hidden="false" customHeight="true" outlineLevel="0" collapsed="false">
      <c r="A2" s="2" t="s">
        <v>98</v>
      </c>
      <c r="B2" s="2"/>
      <c r="C2" s="2"/>
      <c r="D2" s="2"/>
      <c r="E2" s="2"/>
      <c r="F2" s="2"/>
      <c r="G2" s="2"/>
    </row>
    <row r="4" customFormat="false" ht="15" hidden="false" customHeight="false" outlineLevel="0" collapsed="false">
      <c r="A4" s="3" t="s">
        <v>2</v>
      </c>
      <c r="B4" s="3"/>
      <c r="C4" s="3"/>
      <c r="D4" s="3"/>
      <c r="E4" s="3"/>
      <c r="F4" s="3"/>
      <c r="G4" s="3"/>
    </row>
    <row r="5" customFormat="false" ht="15" hidden="false" customHeight="true" outlineLevel="0" collapsed="false">
      <c r="A5" s="4" t="s">
        <v>99</v>
      </c>
      <c r="B5" s="5" t="s">
        <v>100</v>
      </c>
      <c r="C5" s="5"/>
      <c r="D5" s="5"/>
      <c r="E5" s="5"/>
      <c r="F5" s="5"/>
      <c r="G5" s="5"/>
    </row>
    <row r="6" customFormat="false" ht="15" hidden="false" customHeight="true" outlineLevel="0" collapsed="false">
      <c r="A6" s="4" t="s">
        <v>62</v>
      </c>
      <c r="B6" s="5" t="s">
        <v>101</v>
      </c>
      <c r="C6" s="5"/>
      <c r="D6" s="5"/>
      <c r="E6" s="5"/>
      <c r="F6" s="5"/>
      <c r="G6" s="5"/>
    </row>
    <row r="7" customFormat="false" ht="15" hidden="false" customHeight="true" outlineLevel="0" collapsed="false">
      <c r="A7" s="6" t="s">
        <v>102</v>
      </c>
      <c r="B7" s="7" t="s">
        <v>103</v>
      </c>
      <c r="C7" s="7"/>
      <c r="D7" s="7"/>
      <c r="E7" s="7"/>
      <c r="F7" s="7"/>
      <c r="G7" s="7"/>
    </row>
    <row r="8" customFormat="false" ht="15" hidden="false" customHeight="true" outlineLevel="0" collapsed="false">
      <c r="A8" s="6" t="s">
        <v>104</v>
      </c>
      <c r="B8" s="7" t="s">
        <v>105</v>
      </c>
      <c r="C8" s="7"/>
      <c r="D8" s="7"/>
      <c r="E8" s="7"/>
      <c r="F8" s="7"/>
      <c r="G8" s="7"/>
    </row>
    <row r="10" customFormat="false" ht="15" hidden="false" customHeight="false" outlineLevel="0" collapsed="false">
      <c r="A10" s="8" t="s">
        <v>106</v>
      </c>
      <c r="B10" s="8" t="s">
        <v>59</v>
      </c>
      <c r="C10" s="8" t="s">
        <v>61</v>
      </c>
      <c r="D10" s="8" t="s">
        <v>62</v>
      </c>
      <c r="E10" s="8" t="s">
        <v>64</v>
      </c>
      <c r="F10" s="8" t="s">
        <v>65</v>
      </c>
      <c r="G10" s="8" t="s">
        <v>66</v>
      </c>
    </row>
    <row r="11" customFormat="false" ht="15" hidden="false" customHeight="false" outlineLevel="0" collapsed="false">
      <c r="A11" s="9" t="s">
        <v>107</v>
      </c>
      <c r="B11" s="15" t="n">
        <v>32</v>
      </c>
      <c r="C11" s="15" t="n">
        <v>40</v>
      </c>
      <c r="D11" s="15" t="n">
        <v>22</v>
      </c>
      <c r="E11" s="15" t="n">
        <v>10</v>
      </c>
      <c r="F11" s="15" t="n">
        <v>15</v>
      </c>
      <c r="G11" s="15" t="n">
        <v>12</v>
      </c>
    </row>
    <row r="12" customFormat="false" ht="15" hidden="false" customHeight="false" outlineLevel="0" collapsed="false">
      <c r="A12" s="11" t="s">
        <v>108</v>
      </c>
      <c r="B12" s="16" t="n">
        <v>32</v>
      </c>
      <c r="C12" s="16" t="n">
        <v>40</v>
      </c>
      <c r="D12" s="16" t="n">
        <v>22</v>
      </c>
      <c r="E12" s="16" t="n">
        <v>10</v>
      </c>
      <c r="F12" s="16" t="n">
        <v>15</v>
      </c>
      <c r="G12" s="16" t="n">
        <v>12</v>
      </c>
    </row>
    <row r="13" customFormat="false" ht="15" hidden="false" customHeight="false" outlineLevel="0" collapsed="false">
      <c r="A13" s="11" t="s">
        <v>109</v>
      </c>
      <c r="B13" s="16" t="n">
        <v>32</v>
      </c>
      <c r="C13" s="16" t="n">
        <v>40</v>
      </c>
      <c r="D13" s="16" t="n">
        <v>22</v>
      </c>
      <c r="E13" s="16" t="n">
        <v>10</v>
      </c>
      <c r="F13" s="16" t="n">
        <v>15</v>
      </c>
      <c r="G13" s="16" t="n">
        <v>12</v>
      </c>
    </row>
    <row r="14" customFormat="false" ht="15" hidden="false" customHeight="false" outlineLevel="0" collapsed="false">
      <c r="A14" s="11" t="s">
        <v>110</v>
      </c>
      <c r="B14" s="16" t="n">
        <v>32</v>
      </c>
      <c r="C14" s="16" t="n">
        <v>40</v>
      </c>
      <c r="D14" s="16" t="n">
        <v>22</v>
      </c>
      <c r="E14" s="16" t="n">
        <v>10</v>
      </c>
      <c r="F14" s="16" t="n">
        <v>15</v>
      </c>
      <c r="G14" s="16" t="n">
        <v>12</v>
      </c>
    </row>
    <row r="15" customFormat="false" ht="15" hidden="false" customHeight="false" outlineLevel="0" collapsed="false">
      <c r="A15" s="11" t="s">
        <v>111</v>
      </c>
      <c r="B15" s="16" t="n">
        <v>45</v>
      </c>
      <c r="C15" s="16" t="n">
        <v>40</v>
      </c>
      <c r="D15" s="16" t="n">
        <v>22</v>
      </c>
      <c r="E15" s="16" t="n">
        <v>10</v>
      </c>
      <c r="F15" s="16" t="n">
        <v>15</v>
      </c>
      <c r="G15" s="16" t="n">
        <v>12</v>
      </c>
    </row>
    <row r="16" customFormat="false" ht="15" hidden="false" customHeight="false" outlineLevel="0" collapsed="false">
      <c r="A16" s="11" t="s">
        <v>112</v>
      </c>
      <c r="B16" s="16" t="n">
        <v>80</v>
      </c>
      <c r="C16" s="16" t="n">
        <v>0</v>
      </c>
      <c r="D16" s="16" t="n">
        <v>22</v>
      </c>
      <c r="E16" s="16" t="n">
        <v>10</v>
      </c>
      <c r="F16" s="16" t="n">
        <v>30</v>
      </c>
      <c r="G16" s="16" t="n">
        <v>12</v>
      </c>
    </row>
    <row r="17" customFormat="false" ht="15" hidden="false" customHeight="false" outlineLevel="0" collapsed="false">
      <c r="A17" s="11" t="s">
        <v>113</v>
      </c>
      <c r="B17" s="16" t="n">
        <v>70</v>
      </c>
      <c r="C17" s="16" t="n">
        <v>0</v>
      </c>
      <c r="D17" s="16" t="n">
        <v>22</v>
      </c>
      <c r="E17" s="16" t="n">
        <v>10</v>
      </c>
      <c r="F17" s="16" t="n">
        <v>30</v>
      </c>
      <c r="G17" s="16" t="n">
        <v>12</v>
      </c>
    </row>
  </sheetData>
  <mergeCells count="7">
    <mergeCell ref="A1:G1"/>
    <mergeCell ref="A2:G2"/>
    <mergeCell ref="A4:G4"/>
    <mergeCell ref="B5:G5"/>
    <mergeCell ref="B6:G6"/>
    <mergeCell ref="B7:G7"/>
    <mergeCell ref="B8:G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3" min="2" style="0" width="18"/>
    <col collapsed="false" customWidth="true" hidden="false" outlineLevel="0" max="4" min="4" style="0" width="24"/>
    <col collapsed="false" customWidth="true" hidden="false" outlineLevel="0" max="5" min="5" style="0" width="22"/>
    <col collapsed="false" customWidth="true" hidden="false" outlineLevel="0" max="7" min="6" style="0" width="16"/>
  </cols>
  <sheetData>
    <row r="1" customFormat="false" ht="30" hidden="false" customHeight="true" outlineLevel="0" collapsed="false">
      <c r="A1" s="1" t="s">
        <v>114</v>
      </c>
      <c r="B1" s="1"/>
      <c r="C1" s="1"/>
      <c r="D1" s="1"/>
      <c r="E1" s="1"/>
      <c r="F1" s="1"/>
      <c r="G1" s="1"/>
    </row>
    <row r="2" customFormat="false" ht="34" hidden="false" customHeight="true" outlineLevel="0" collapsed="false">
      <c r="A2" s="2" t="s">
        <v>115</v>
      </c>
      <c r="B2" s="2"/>
      <c r="C2" s="2"/>
      <c r="D2" s="2"/>
      <c r="E2" s="2"/>
      <c r="F2" s="2"/>
      <c r="G2" s="2"/>
    </row>
    <row r="4" customFormat="false" ht="15" hidden="false" customHeight="false" outlineLevel="0" collapsed="false">
      <c r="A4" s="3" t="s">
        <v>2</v>
      </c>
      <c r="B4" s="3"/>
      <c r="C4" s="3"/>
      <c r="D4" s="3"/>
      <c r="E4" s="3"/>
      <c r="F4" s="3"/>
      <c r="G4" s="3"/>
    </row>
    <row r="5" customFormat="false" ht="15" hidden="false" customHeight="true" outlineLevel="0" collapsed="false">
      <c r="A5" s="4" t="s">
        <v>116</v>
      </c>
      <c r="B5" s="5" t="s">
        <v>117</v>
      </c>
      <c r="C5" s="5"/>
      <c r="D5" s="5"/>
      <c r="E5" s="5"/>
      <c r="F5" s="5"/>
      <c r="G5" s="5"/>
    </row>
    <row r="6" customFormat="false" ht="15" hidden="false" customHeight="true" outlineLevel="0" collapsed="false">
      <c r="A6" s="6" t="s">
        <v>118</v>
      </c>
      <c r="B6" s="7" t="s">
        <v>119</v>
      </c>
      <c r="C6" s="7"/>
      <c r="D6" s="7"/>
      <c r="E6" s="7"/>
      <c r="F6" s="7"/>
      <c r="G6" s="7"/>
    </row>
    <row r="7" customFormat="false" ht="15" hidden="false" customHeight="true" outlineLevel="0" collapsed="false">
      <c r="A7" s="6" t="s">
        <v>120</v>
      </c>
      <c r="B7" s="7" t="s">
        <v>121</v>
      </c>
      <c r="C7" s="7"/>
      <c r="D7" s="7"/>
      <c r="E7" s="7"/>
      <c r="F7" s="7"/>
      <c r="G7" s="7"/>
    </row>
    <row r="8" customFormat="false" ht="15" hidden="false" customHeight="true" outlineLevel="0" collapsed="false">
      <c r="A8" s="6" t="s">
        <v>58</v>
      </c>
      <c r="B8" s="7" t="s">
        <v>122</v>
      </c>
      <c r="C8" s="7"/>
      <c r="D8" s="7"/>
      <c r="E8" s="7"/>
      <c r="F8" s="7"/>
      <c r="G8" s="7"/>
    </row>
    <row r="10" customFormat="false" ht="15" hidden="false" customHeight="false" outlineLevel="0" collapsed="false">
      <c r="A10" s="8" t="s">
        <v>123</v>
      </c>
      <c r="B10" s="8" t="s">
        <v>59</v>
      </c>
      <c r="C10" s="8" t="s">
        <v>61</v>
      </c>
      <c r="D10" s="8" t="s">
        <v>62</v>
      </c>
      <c r="E10" s="8" t="s">
        <v>64</v>
      </c>
      <c r="F10" s="8" t="s">
        <v>65</v>
      </c>
      <c r="G10" s="8" t="s">
        <v>66</v>
      </c>
    </row>
    <row r="11" customFormat="false" ht="15" hidden="false" customHeight="false" outlineLevel="0" collapsed="false">
      <c r="A11" s="9" t="s">
        <v>124</v>
      </c>
      <c r="B11" s="21" t="n">
        <v>0</v>
      </c>
      <c r="C11" s="21" t="n">
        <v>0</v>
      </c>
      <c r="D11" s="21" t="n">
        <v>0.15</v>
      </c>
      <c r="E11" s="21" t="n">
        <v>0</v>
      </c>
      <c r="F11" s="21" t="n">
        <v>0</v>
      </c>
      <c r="G11" s="21" t="n">
        <v>0.03</v>
      </c>
    </row>
    <row r="12" customFormat="false" ht="15" hidden="false" customHeight="false" outlineLevel="0" collapsed="false">
      <c r="A12" s="11" t="s">
        <v>125</v>
      </c>
      <c r="B12" s="22" t="n">
        <v>0</v>
      </c>
      <c r="C12" s="22" t="n">
        <v>0</v>
      </c>
      <c r="D12" s="22" t="n">
        <v>0.35</v>
      </c>
      <c r="E12" s="22" t="n">
        <v>0</v>
      </c>
      <c r="F12" s="22" t="n">
        <v>0</v>
      </c>
      <c r="G12" s="22" t="n">
        <v>0.05</v>
      </c>
    </row>
    <row r="13" customFormat="false" ht="15" hidden="false" customHeight="false" outlineLevel="0" collapsed="false">
      <c r="A13" s="11" t="s">
        <v>126</v>
      </c>
      <c r="B13" s="22" t="n">
        <v>0</v>
      </c>
      <c r="C13" s="22" t="n">
        <v>0</v>
      </c>
      <c r="D13" s="22" t="n">
        <v>0.3</v>
      </c>
      <c r="E13" s="22" t="n">
        <v>0</v>
      </c>
      <c r="F13" s="22" t="n">
        <v>0</v>
      </c>
      <c r="G13" s="22" t="n">
        <v>0.06</v>
      </c>
    </row>
    <row r="14" customFormat="false" ht="15" hidden="false" customHeight="false" outlineLevel="0" collapsed="false">
      <c r="A14" s="11" t="s">
        <v>127</v>
      </c>
      <c r="B14" s="22" t="n">
        <v>0</v>
      </c>
      <c r="C14" s="22" t="n">
        <v>0</v>
      </c>
      <c r="D14" s="22" t="n">
        <v>0.15</v>
      </c>
      <c r="E14" s="22" t="n">
        <v>0</v>
      </c>
      <c r="F14" s="22" t="n">
        <v>0</v>
      </c>
      <c r="G14" s="22" t="n">
        <v>0.06</v>
      </c>
    </row>
    <row r="15" customFormat="false" ht="15" hidden="false" customHeight="false" outlineLevel="0" collapsed="false">
      <c r="A15" s="11" t="s">
        <v>128</v>
      </c>
      <c r="B15" s="22" t="n">
        <v>0.03</v>
      </c>
      <c r="C15" s="22" t="n">
        <v>0.1</v>
      </c>
      <c r="D15" s="22" t="n">
        <v>0.05</v>
      </c>
      <c r="E15" s="22" t="n">
        <v>0</v>
      </c>
      <c r="F15" s="22" t="n">
        <v>0.04</v>
      </c>
      <c r="G15" s="22" t="n">
        <v>0.08</v>
      </c>
    </row>
    <row r="16" customFormat="false" ht="15" hidden="false" customHeight="false" outlineLevel="0" collapsed="false">
      <c r="A16" s="11" t="s">
        <v>129</v>
      </c>
      <c r="B16" s="22" t="n">
        <v>0.08</v>
      </c>
      <c r="C16" s="22" t="n">
        <v>0.35</v>
      </c>
      <c r="D16" s="22" t="n">
        <v>0</v>
      </c>
      <c r="E16" s="22" t="n">
        <v>0</v>
      </c>
      <c r="F16" s="22" t="n">
        <v>0.1</v>
      </c>
      <c r="G16" s="22" t="n">
        <v>0.08</v>
      </c>
    </row>
    <row r="17" customFormat="false" ht="15" hidden="false" customHeight="false" outlineLevel="0" collapsed="false">
      <c r="A17" s="11" t="s">
        <v>130</v>
      </c>
      <c r="B17" s="22" t="n">
        <v>0.1</v>
      </c>
      <c r="C17" s="22" t="n">
        <v>0.35</v>
      </c>
      <c r="D17" s="22" t="n">
        <v>0</v>
      </c>
      <c r="E17" s="22" t="n">
        <v>0</v>
      </c>
      <c r="F17" s="22" t="n">
        <v>0.1</v>
      </c>
      <c r="G17" s="22" t="n">
        <v>0.08</v>
      </c>
    </row>
    <row r="18" customFormat="false" ht="15" hidden="false" customHeight="false" outlineLevel="0" collapsed="false">
      <c r="A18" s="11" t="s">
        <v>131</v>
      </c>
      <c r="B18" s="22" t="n">
        <v>0.07</v>
      </c>
      <c r="C18" s="22" t="n">
        <v>0.15</v>
      </c>
      <c r="D18" s="22" t="n">
        <v>0</v>
      </c>
      <c r="E18" s="22" t="n">
        <v>0</v>
      </c>
      <c r="F18" s="22" t="n">
        <v>0.05</v>
      </c>
      <c r="G18" s="22" t="n">
        <v>0.08</v>
      </c>
    </row>
    <row r="19" customFormat="false" ht="15" hidden="false" customHeight="false" outlineLevel="0" collapsed="false">
      <c r="A19" s="11" t="s">
        <v>132</v>
      </c>
      <c r="B19" s="22" t="n">
        <v>0.04</v>
      </c>
      <c r="C19" s="22" t="n">
        <v>0.05</v>
      </c>
      <c r="D19" s="22" t="n">
        <v>0</v>
      </c>
      <c r="E19" s="22" t="n">
        <v>0</v>
      </c>
      <c r="F19" s="22" t="n">
        <v>0.04</v>
      </c>
      <c r="G19" s="22" t="n">
        <v>0.09</v>
      </c>
    </row>
    <row r="20" customFormat="false" ht="15" hidden="false" customHeight="false" outlineLevel="0" collapsed="false">
      <c r="A20" s="11" t="s">
        <v>133</v>
      </c>
      <c r="B20" s="22" t="n">
        <v>0.04</v>
      </c>
      <c r="C20" s="22" t="n">
        <v>0</v>
      </c>
      <c r="D20" s="22" t="n">
        <v>0</v>
      </c>
      <c r="E20" s="22" t="n">
        <v>0</v>
      </c>
      <c r="F20" s="22" t="n">
        <v>0.04</v>
      </c>
      <c r="G20" s="22" t="n">
        <v>0.09</v>
      </c>
    </row>
    <row r="21" customFormat="false" ht="15" hidden="false" customHeight="false" outlineLevel="0" collapsed="false">
      <c r="A21" s="11" t="s">
        <v>134</v>
      </c>
      <c r="B21" s="22" t="n">
        <v>0.06</v>
      </c>
      <c r="C21" s="22" t="n">
        <v>0</v>
      </c>
      <c r="D21" s="22" t="n">
        <v>0</v>
      </c>
      <c r="E21" s="22" t="n">
        <v>0.05</v>
      </c>
      <c r="F21" s="22" t="n">
        <v>0.08</v>
      </c>
      <c r="G21" s="22" t="n">
        <v>0.09</v>
      </c>
    </row>
    <row r="22" customFormat="false" ht="15" hidden="false" customHeight="false" outlineLevel="0" collapsed="false">
      <c r="A22" s="11" t="s">
        <v>135</v>
      </c>
      <c r="B22" s="22" t="n">
        <v>0.12</v>
      </c>
      <c r="C22" s="22" t="n">
        <v>0</v>
      </c>
      <c r="D22" s="22" t="n">
        <v>0</v>
      </c>
      <c r="E22" s="22" t="n">
        <v>0.15</v>
      </c>
      <c r="F22" s="22" t="n">
        <v>0.13</v>
      </c>
      <c r="G22" s="22" t="n">
        <v>0.08</v>
      </c>
    </row>
    <row r="23" customFormat="false" ht="15" hidden="false" customHeight="false" outlineLevel="0" collapsed="false">
      <c r="A23" s="11" t="s">
        <v>136</v>
      </c>
      <c r="B23" s="22" t="n">
        <v>0.16</v>
      </c>
      <c r="C23" s="22" t="n">
        <v>0</v>
      </c>
      <c r="D23" s="22" t="n">
        <v>0</v>
      </c>
      <c r="E23" s="22" t="n">
        <v>0.25</v>
      </c>
      <c r="F23" s="22" t="n">
        <v>0.15</v>
      </c>
      <c r="G23" s="22" t="n">
        <v>0.07</v>
      </c>
    </row>
    <row r="24" customFormat="false" ht="15" hidden="false" customHeight="false" outlineLevel="0" collapsed="false">
      <c r="A24" s="11" t="s">
        <v>137</v>
      </c>
      <c r="B24" s="22" t="n">
        <v>0.2</v>
      </c>
      <c r="C24" s="22" t="n">
        <v>0</v>
      </c>
      <c r="D24" s="22" t="n">
        <v>0</v>
      </c>
      <c r="E24" s="22" t="n">
        <v>0.3</v>
      </c>
      <c r="F24" s="22" t="n">
        <v>0.17</v>
      </c>
      <c r="G24" s="22" t="n">
        <v>0.04</v>
      </c>
    </row>
    <row r="25" customFormat="false" ht="15" hidden="false" customHeight="false" outlineLevel="0" collapsed="false">
      <c r="A25" s="11" t="s">
        <v>138</v>
      </c>
      <c r="B25" s="22" t="n">
        <v>0.1</v>
      </c>
      <c r="C25" s="22" t="n">
        <v>0</v>
      </c>
      <c r="D25" s="22" t="n">
        <v>0</v>
      </c>
      <c r="E25" s="22" t="n">
        <v>0.25</v>
      </c>
      <c r="F25" s="22" t="n">
        <v>0.1</v>
      </c>
      <c r="G25" s="22" t="n">
        <v>0.02</v>
      </c>
    </row>
    <row r="26" customFormat="false" ht="15" hidden="false" customHeight="false" outlineLevel="0" collapsed="false">
      <c r="A26" s="23" t="s">
        <v>118</v>
      </c>
      <c r="B26" s="24" t="n">
        <f aca="false">SUM(B11:B25)</f>
        <v>1</v>
      </c>
      <c r="C26" s="24" t="n">
        <f aca="false">SUM(C11:C25)</f>
        <v>1</v>
      </c>
      <c r="D26" s="24" t="n">
        <f aca="false">SUM(D11:D25)</f>
        <v>1</v>
      </c>
      <c r="E26" s="24" t="n">
        <f aca="false">SUM(E11:E25)</f>
        <v>1</v>
      </c>
      <c r="F26" s="24" t="n">
        <f aca="false">SUM(F11:F25)</f>
        <v>1</v>
      </c>
      <c r="G26" s="24" t="n">
        <f aca="false">SUM(G11:G25)</f>
        <v>1</v>
      </c>
    </row>
  </sheetData>
  <mergeCells count="7">
    <mergeCell ref="A1:G1"/>
    <mergeCell ref="A2:G2"/>
    <mergeCell ref="A4:G4"/>
    <mergeCell ref="B5:G5"/>
    <mergeCell ref="B6:G6"/>
    <mergeCell ref="B7:G7"/>
    <mergeCell ref="B8:G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1"/>
    <col collapsed="false" customWidth="true" hidden="false" outlineLevel="0" max="3" min="3" style="0" width="43"/>
    <col collapsed="false" customWidth="true" hidden="false" outlineLevel="0" max="4" min="4" style="0" width="18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7" min="7" style="0" width="18"/>
    <col collapsed="false" customWidth="true" hidden="false" outlineLevel="0" max="9" min="8" style="0" width="22"/>
    <col collapsed="false" customWidth="true" hidden="false" outlineLevel="0" max="11" min="10" style="0" width="15"/>
    <col collapsed="false" customWidth="true" hidden="false" outlineLevel="0" max="12" min="12" style="0" width="24"/>
  </cols>
  <sheetData>
    <row r="1" customFormat="false" ht="30" hidden="false" customHeight="true" outlineLevel="0" collapsed="false">
      <c r="A1" s="1" t="s">
        <v>139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34" hidden="false" customHeight="true" outlineLevel="0" collapsed="false">
      <c r="A2" s="2" t="s">
        <v>140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5" hidden="false" customHeight="false" outlineLevel="0" collapsed="false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</row>
    <row r="5" customFormat="false" ht="23.85" hidden="false" customHeight="true" outlineLevel="0" collapsed="false">
      <c r="A5" s="4" t="s">
        <v>141</v>
      </c>
      <c r="B5" s="5" t="s">
        <v>142</v>
      </c>
      <c r="C5" s="5"/>
      <c r="D5" s="5"/>
      <c r="E5" s="5"/>
      <c r="F5" s="5"/>
      <c r="G5" s="5"/>
      <c r="H5" s="5"/>
      <c r="I5" s="5"/>
      <c r="J5" s="5"/>
      <c r="K5" s="5"/>
      <c r="L5" s="5"/>
    </row>
    <row r="6" customFormat="false" ht="68.65" hidden="false" customHeight="true" outlineLevel="0" collapsed="false">
      <c r="A6" s="4" t="s">
        <v>143</v>
      </c>
      <c r="B6" s="5" t="s">
        <v>144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customFormat="false" ht="35.05" hidden="false" customHeight="true" outlineLevel="0" collapsed="false">
      <c r="A7" s="6" t="s">
        <v>145</v>
      </c>
      <c r="B7" s="7" t="s">
        <v>146</v>
      </c>
      <c r="C7" s="7"/>
      <c r="D7" s="7"/>
      <c r="E7" s="7"/>
      <c r="F7" s="7"/>
      <c r="G7" s="7"/>
      <c r="H7" s="7"/>
      <c r="I7" s="7"/>
      <c r="J7" s="7"/>
      <c r="K7" s="7"/>
      <c r="L7" s="7"/>
    </row>
    <row r="8" customFormat="false" ht="57.45" hidden="false" customHeight="true" outlineLevel="0" collapsed="false">
      <c r="A8" s="4" t="s">
        <v>147</v>
      </c>
      <c r="B8" s="5" t="s">
        <v>148</v>
      </c>
      <c r="C8" s="5"/>
      <c r="D8" s="5"/>
      <c r="E8" s="5"/>
      <c r="F8" s="5"/>
      <c r="G8" s="5"/>
      <c r="H8" s="5"/>
      <c r="I8" s="5"/>
      <c r="J8" s="5"/>
      <c r="K8" s="5"/>
      <c r="L8" s="5"/>
    </row>
    <row r="10" customFormat="false" ht="15" hidden="false" customHeight="false" outlineLevel="0" collapsed="false">
      <c r="A10" s="8" t="s">
        <v>149</v>
      </c>
      <c r="B10" s="8" t="s">
        <v>150</v>
      </c>
      <c r="C10" s="8" t="s">
        <v>151</v>
      </c>
      <c r="D10" s="8" t="s">
        <v>152</v>
      </c>
      <c r="E10" s="8" t="s">
        <v>141</v>
      </c>
      <c r="F10" s="8" t="s">
        <v>59</v>
      </c>
      <c r="G10" s="8" t="s">
        <v>61</v>
      </c>
      <c r="H10" s="8" t="s">
        <v>62</v>
      </c>
      <c r="I10" s="8" t="s">
        <v>64</v>
      </c>
      <c r="J10" s="8" t="s">
        <v>65</v>
      </c>
      <c r="K10" s="8" t="s">
        <v>66</v>
      </c>
      <c r="L10" s="8" t="s">
        <v>58</v>
      </c>
    </row>
    <row r="11" customFormat="false" ht="15" hidden="false" customHeight="false" outlineLevel="0" collapsed="false">
      <c r="A11" s="9" t="n">
        <v>1</v>
      </c>
      <c r="B11" s="9" t="s">
        <v>74</v>
      </c>
      <c r="C11" s="9" t="s">
        <v>153</v>
      </c>
      <c r="D11" s="9" t="s">
        <v>73</v>
      </c>
      <c r="E11" s="25" t="n">
        <v>450</v>
      </c>
      <c r="F11" s="26" t="n">
        <v>0.03</v>
      </c>
      <c r="G11" s="26" t="n">
        <v>0.03</v>
      </c>
      <c r="H11" s="26" t="n">
        <v>0</v>
      </c>
      <c r="I11" s="26" t="n">
        <v>0.02</v>
      </c>
      <c r="J11" s="26" t="n">
        <v>0.09</v>
      </c>
      <c r="K11" s="26" t="n">
        <v>0</v>
      </c>
      <c r="L11" s="9" t="s">
        <v>145</v>
      </c>
    </row>
    <row r="12" customFormat="false" ht="15" hidden="false" customHeight="false" outlineLevel="0" collapsed="false">
      <c r="A12" s="11" t="n">
        <v>2</v>
      </c>
      <c r="B12" s="11" t="s">
        <v>74</v>
      </c>
      <c r="C12" s="11" t="s">
        <v>154</v>
      </c>
      <c r="D12" s="11" t="s">
        <v>73</v>
      </c>
      <c r="E12" s="27" t="n">
        <v>480</v>
      </c>
      <c r="F12" s="28" t="n">
        <v>0.04</v>
      </c>
      <c r="G12" s="28" t="n">
        <v>0.0225</v>
      </c>
      <c r="H12" s="28" t="n">
        <v>0</v>
      </c>
      <c r="I12" s="28" t="n">
        <v>0.025</v>
      </c>
      <c r="J12" s="28" t="n">
        <v>0.18</v>
      </c>
      <c r="K12" s="28" t="n">
        <v>0</v>
      </c>
      <c r="L12" s="11" t="s">
        <v>145</v>
      </c>
    </row>
    <row r="13" customFormat="false" ht="15" hidden="false" customHeight="false" outlineLevel="0" collapsed="false">
      <c r="A13" s="11" t="n">
        <v>3</v>
      </c>
      <c r="B13" s="11" t="s">
        <v>74</v>
      </c>
      <c r="C13" s="11" t="s">
        <v>155</v>
      </c>
      <c r="D13" s="11" t="s">
        <v>73</v>
      </c>
      <c r="E13" s="27" t="n">
        <v>500</v>
      </c>
      <c r="F13" s="28" t="n">
        <v>0.06</v>
      </c>
      <c r="G13" s="28" t="n">
        <v>0.0525</v>
      </c>
      <c r="H13" s="28" t="n">
        <v>0</v>
      </c>
      <c r="I13" s="28" t="n">
        <v>0.025</v>
      </c>
      <c r="J13" s="28" t="n">
        <v>0.27</v>
      </c>
      <c r="K13" s="28" t="n">
        <v>0</v>
      </c>
      <c r="L13" s="11" t="s">
        <v>145</v>
      </c>
    </row>
    <row r="14" customFormat="false" ht="15" hidden="false" customHeight="false" outlineLevel="0" collapsed="false">
      <c r="A14" s="11" t="n">
        <v>4</v>
      </c>
      <c r="B14" s="11" t="s">
        <v>74</v>
      </c>
      <c r="C14" s="11" t="s">
        <v>156</v>
      </c>
      <c r="D14" s="11" t="s">
        <v>73</v>
      </c>
      <c r="E14" s="27" t="n">
        <v>500</v>
      </c>
      <c r="F14" s="28" t="n">
        <v>0.07</v>
      </c>
      <c r="G14" s="28" t="n">
        <v>0.045</v>
      </c>
      <c r="H14" s="28" t="n">
        <v>0</v>
      </c>
      <c r="I14" s="28" t="n">
        <v>0.03</v>
      </c>
      <c r="J14" s="28" t="n">
        <v>0.36</v>
      </c>
      <c r="K14" s="28" t="n">
        <v>0</v>
      </c>
      <c r="L14" s="11" t="s">
        <v>145</v>
      </c>
    </row>
    <row r="15" customFormat="false" ht="15" hidden="false" customHeight="false" outlineLevel="0" collapsed="false">
      <c r="A15" s="11" t="n">
        <v>5</v>
      </c>
      <c r="B15" s="11" t="s">
        <v>78</v>
      </c>
      <c r="C15" s="11" t="s">
        <v>157</v>
      </c>
      <c r="D15" s="11" t="s">
        <v>77</v>
      </c>
      <c r="E15" s="27" t="n">
        <v>100</v>
      </c>
      <c r="F15" s="28" t="n">
        <v>0.04</v>
      </c>
      <c r="G15" s="28" t="n">
        <v>0.02</v>
      </c>
      <c r="H15" s="28" t="n">
        <v>0</v>
      </c>
      <c r="I15" s="28" t="n">
        <v>0.03</v>
      </c>
      <c r="J15" s="28" t="n">
        <v>0.03</v>
      </c>
      <c r="K15" s="28" t="n">
        <v>0.3</v>
      </c>
      <c r="L15" s="11" t="s">
        <v>147</v>
      </c>
    </row>
    <row r="16" customFormat="false" ht="15" hidden="false" customHeight="false" outlineLevel="0" collapsed="false">
      <c r="A16" s="11" t="n">
        <v>6</v>
      </c>
      <c r="B16" s="11" t="s">
        <v>78</v>
      </c>
      <c r="C16" s="11" t="s">
        <v>158</v>
      </c>
      <c r="D16" s="11" t="s">
        <v>77</v>
      </c>
      <c r="E16" s="27" t="n">
        <v>100</v>
      </c>
      <c r="F16" s="28" t="n">
        <v>0.03</v>
      </c>
      <c r="G16" s="28" t="n">
        <v>0.015</v>
      </c>
      <c r="H16" s="28" t="n">
        <v>0</v>
      </c>
      <c r="I16" s="28" t="n">
        <v>0.025</v>
      </c>
      <c r="J16" s="28" t="n">
        <v>0.03</v>
      </c>
      <c r="K16" s="28" t="n">
        <v>0.3</v>
      </c>
      <c r="L16" s="11" t="s">
        <v>147</v>
      </c>
    </row>
    <row r="17" customFormat="false" ht="15" hidden="false" customHeight="false" outlineLevel="0" collapsed="false">
      <c r="A17" s="11" t="n">
        <v>7</v>
      </c>
      <c r="B17" s="11" t="s">
        <v>78</v>
      </c>
      <c r="C17" s="11" t="s">
        <v>159</v>
      </c>
      <c r="D17" s="11" t="s">
        <v>77</v>
      </c>
      <c r="E17" s="27" t="n">
        <v>350</v>
      </c>
      <c r="F17" s="28" t="n">
        <v>0.03</v>
      </c>
      <c r="G17" s="28" t="n">
        <v>0.015</v>
      </c>
      <c r="H17" s="28" t="n">
        <v>0</v>
      </c>
      <c r="I17" s="28" t="n">
        <v>0.025</v>
      </c>
      <c r="J17" s="28" t="n">
        <v>0.025</v>
      </c>
      <c r="K17" s="28" t="n">
        <v>0.25</v>
      </c>
      <c r="L17" s="11" t="s">
        <v>147</v>
      </c>
    </row>
    <row r="18" customFormat="false" ht="15" hidden="false" customHeight="false" outlineLevel="0" collapsed="false">
      <c r="A18" s="11" t="n">
        <v>8</v>
      </c>
      <c r="B18" s="11" t="s">
        <v>78</v>
      </c>
      <c r="C18" s="11" t="s">
        <v>160</v>
      </c>
      <c r="D18" s="11" t="s">
        <v>77</v>
      </c>
      <c r="E18" s="27" t="n">
        <v>85</v>
      </c>
      <c r="F18" s="28" t="n">
        <v>0.02</v>
      </c>
      <c r="G18" s="28" t="n">
        <v>0.01</v>
      </c>
      <c r="H18" s="28" t="n">
        <v>0</v>
      </c>
      <c r="I18" s="28" t="n">
        <v>0.02</v>
      </c>
      <c r="J18" s="28" t="n">
        <v>0.015</v>
      </c>
      <c r="K18" s="28" t="n">
        <v>0.15</v>
      </c>
      <c r="L18" s="11" t="s">
        <v>147</v>
      </c>
    </row>
    <row r="19" customFormat="false" ht="15" hidden="false" customHeight="false" outlineLevel="0" collapsed="false">
      <c r="A19" s="11" t="n">
        <v>9</v>
      </c>
      <c r="B19" s="11" t="s">
        <v>161</v>
      </c>
      <c r="C19" s="11" t="s">
        <v>162</v>
      </c>
      <c r="D19" s="11" t="s">
        <v>80</v>
      </c>
      <c r="E19" s="27" t="n">
        <v>300</v>
      </c>
      <c r="F19" s="28" t="n">
        <v>0.075</v>
      </c>
      <c r="G19" s="28" t="n">
        <v>0.025</v>
      </c>
      <c r="H19" s="28" t="n">
        <v>0</v>
      </c>
      <c r="I19" s="28" t="n">
        <v>0.07</v>
      </c>
      <c r="J19" s="28" t="n">
        <v>0.03</v>
      </c>
      <c r="K19" s="28" t="n">
        <v>0</v>
      </c>
      <c r="L19" s="11" t="s">
        <v>145</v>
      </c>
    </row>
    <row r="20" customFormat="false" ht="15" hidden="false" customHeight="false" outlineLevel="0" collapsed="false">
      <c r="A20" s="11" t="n">
        <v>10</v>
      </c>
      <c r="B20" s="11" t="s">
        <v>161</v>
      </c>
      <c r="C20" s="11" t="s">
        <v>163</v>
      </c>
      <c r="D20" s="11" t="s">
        <v>80</v>
      </c>
      <c r="E20" s="27" t="n">
        <v>280</v>
      </c>
      <c r="F20" s="28" t="n">
        <v>0.075</v>
      </c>
      <c r="G20" s="28" t="n">
        <v>0.05</v>
      </c>
      <c r="H20" s="28" t="n">
        <v>0</v>
      </c>
      <c r="I20" s="28" t="n">
        <v>0.07</v>
      </c>
      <c r="J20" s="28" t="n">
        <v>0.06</v>
      </c>
      <c r="K20" s="28" t="n">
        <v>0</v>
      </c>
      <c r="L20" s="11" t="s">
        <v>145</v>
      </c>
    </row>
    <row r="21" customFormat="false" ht="15" hidden="false" customHeight="false" outlineLevel="0" collapsed="false">
      <c r="A21" s="11" t="n">
        <v>11</v>
      </c>
      <c r="B21" s="11" t="s">
        <v>161</v>
      </c>
      <c r="C21" s="11" t="s">
        <v>164</v>
      </c>
      <c r="D21" s="11" t="s">
        <v>80</v>
      </c>
      <c r="E21" s="27" t="n">
        <v>270</v>
      </c>
      <c r="F21" s="28" t="n">
        <v>0.105</v>
      </c>
      <c r="G21" s="28" t="n">
        <v>0.1</v>
      </c>
      <c r="H21" s="28" t="n">
        <v>0</v>
      </c>
      <c r="I21" s="28" t="n">
        <v>0.1225</v>
      </c>
      <c r="J21" s="28" t="n">
        <v>0.135</v>
      </c>
      <c r="K21" s="28" t="n">
        <v>0</v>
      </c>
      <c r="L21" s="11" t="s">
        <v>145</v>
      </c>
    </row>
    <row r="22" customFormat="false" ht="15" hidden="false" customHeight="false" outlineLevel="0" collapsed="false">
      <c r="A22" s="11" t="n">
        <v>12</v>
      </c>
      <c r="B22" s="11" t="s">
        <v>161</v>
      </c>
      <c r="C22" s="11" t="s">
        <v>165</v>
      </c>
      <c r="D22" s="11" t="s">
        <v>80</v>
      </c>
      <c r="E22" s="27" t="n">
        <v>240</v>
      </c>
      <c r="F22" s="28" t="n">
        <v>0.045</v>
      </c>
      <c r="G22" s="28" t="n">
        <v>0.075</v>
      </c>
      <c r="H22" s="28" t="n">
        <v>0</v>
      </c>
      <c r="I22" s="28" t="n">
        <v>0.0875</v>
      </c>
      <c r="J22" s="28" t="n">
        <v>0.075</v>
      </c>
      <c r="K22" s="28" t="n">
        <v>0</v>
      </c>
      <c r="L22" s="11" t="s">
        <v>145</v>
      </c>
    </row>
    <row r="23" customFormat="false" ht="15" hidden="false" customHeight="false" outlineLevel="0" collapsed="false">
      <c r="A23" s="11" t="n">
        <v>13</v>
      </c>
      <c r="B23" s="11" t="s">
        <v>166</v>
      </c>
      <c r="C23" s="11" t="s">
        <v>167</v>
      </c>
      <c r="D23" s="11" t="s">
        <v>80</v>
      </c>
      <c r="E23" s="27" t="n">
        <v>130</v>
      </c>
      <c r="F23" s="28" t="n">
        <v>0.05</v>
      </c>
      <c r="G23" s="28" t="n">
        <v>0.01</v>
      </c>
      <c r="H23" s="28" t="n">
        <v>0</v>
      </c>
      <c r="I23" s="28" t="n">
        <v>0.04</v>
      </c>
      <c r="J23" s="28" t="n">
        <v>0</v>
      </c>
      <c r="K23" s="28" t="n">
        <v>0</v>
      </c>
      <c r="L23" s="11" t="s">
        <v>145</v>
      </c>
    </row>
    <row r="24" customFormat="false" ht="15" hidden="false" customHeight="false" outlineLevel="0" collapsed="false">
      <c r="A24" s="11" t="n">
        <v>14</v>
      </c>
      <c r="B24" s="11" t="s">
        <v>166</v>
      </c>
      <c r="C24" s="11" t="s">
        <v>168</v>
      </c>
      <c r="D24" s="11" t="s">
        <v>80</v>
      </c>
      <c r="E24" s="27" t="n">
        <v>250</v>
      </c>
      <c r="F24" s="28" t="n">
        <v>0.03</v>
      </c>
      <c r="G24" s="28" t="n">
        <v>0.025</v>
      </c>
      <c r="H24" s="28" t="n">
        <v>0</v>
      </c>
      <c r="I24" s="28" t="n">
        <v>0.05</v>
      </c>
      <c r="J24" s="28" t="n">
        <v>0</v>
      </c>
      <c r="K24" s="28" t="n">
        <v>0</v>
      </c>
      <c r="L24" s="11" t="s">
        <v>145</v>
      </c>
    </row>
    <row r="25" customFormat="false" ht="15" hidden="false" customHeight="false" outlineLevel="0" collapsed="false">
      <c r="A25" s="11" t="n">
        <v>15</v>
      </c>
      <c r="B25" s="11" t="s">
        <v>166</v>
      </c>
      <c r="C25" s="11" t="s">
        <v>169</v>
      </c>
      <c r="D25" s="11" t="s">
        <v>80</v>
      </c>
      <c r="E25" s="27" t="n">
        <v>120</v>
      </c>
      <c r="F25" s="28" t="n">
        <v>0.03</v>
      </c>
      <c r="G25" s="28" t="n">
        <v>0.01</v>
      </c>
      <c r="H25" s="28" t="n">
        <v>0</v>
      </c>
      <c r="I25" s="28" t="n">
        <v>0.02</v>
      </c>
      <c r="J25" s="28" t="n">
        <v>0</v>
      </c>
      <c r="K25" s="28" t="n">
        <v>0</v>
      </c>
      <c r="L25" s="11" t="s">
        <v>145</v>
      </c>
    </row>
    <row r="26" customFormat="false" ht="15" hidden="false" customHeight="false" outlineLevel="0" collapsed="false">
      <c r="A26" s="11" t="n">
        <v>16</v>
      </c>
      <c r="B26" s="11" t="s">
        <v>166</v>
      </c>
      <c r="C26" s="11" t="s">
        <v>170</v>
      </c>
      <c r="D26" s="11" t="s">
        <v>80</v>
      </c>
      <c r="E26" s="27" t="n">
        <v>180</v>
      </c>
      <c r="F26" s="28" t="n">
        <v>0.04</v>
      </c>
      <c r="G26" s="28" t="n">
        <v>0.035</v>
      </c>
      <c r="H26" s="28" t="n">
        <v>0</v>
      </c>
      <c r="I26" s="28" t="n">
        <v>0.05</v>
      </c>
      <c r="J26" s="28" t="n">
        <v>0</v>
      </c>
      <c r="K26" s="28" t="n">
        <v>0</v>
      </c>
      <c r="L26" s="11" t="s">
        <v>145</v>
      </c>
    </row>
    <row r="27" customFormat="false" ht="15" hidden="false" customHeight="false" outlineLevel="0" collapsed="false">
      <c r="A27" s="11" t="n">
        <v>17</v>
      </c>
      <c r="B27" s="11" t="s">
        <v>166</v>
      </c>
      <c r="C27" s="11" t="s">
        <v>171</v>
      </c>
      <c r="D27" s="11" t="s">
        <v>80</v>
      </c>
      <c r="E27" s="27" t="n">
        <v>180</v>
      </c>
      <c r="F27" s="28" t="n">
        <v>0.05</v>
      </c>
      <c r="G27" s="28" t="n">
        <v>0.02</v>
      </c>
      <c r="H27" s="28" t="n">
        <v>0</v>
      </c>
      <c r="I27" s="28" t="n">
        <v>0.04</v>
      </c>
      <c r="J27" s="28" t="n">
        <v>0</v>
      </c>
      <c r="K27" s="28" t="n">
        <v>0</v>
      </c>
      <c r="L27" s="11" t="s">
        <v>145</v>
      </c>
    </row>
    <row r="28" customFormat="false" ht="15" hidden="false" customHeight="false" outlineLevel="0" collapsed="false">
      <c r="A28" s="11" t="n">
        <v>18</v>
      </c>
      <c r="B28" s="11" t="s">
        <v>172</v>
      </c>
      <c r="C28" s="11" t="s">
        <v>173</v>
      </c>
      <c r="D28" s="11" t="s">
        <v>83</v>
      </c>
      <c r="E28" s="27" t="n">
        <v>400</v>
      </c>
      <c r="F28" s="28" t="n">
        <v>0.1</v>
      </c>
      <c r="G28" s="28" t="n">
        <v>0.35</v>
      </c>
      <c r="H28" s="28" t="n">
        <v>0</v>
      </c>
      <c r="I28" s="28" t="n">
        <v>0</v>
      </c>
      <c r="J28" s="28" t="n">
        <v>0</v>
      </c>
      <c r="K28" s="28" t="n">
        <v>0</v>
      </c>
      <c r="L28" s="11" t="s">
        <v>145</v>
      </c>
    </row>
    <row r="29" customFormat="false" ht="23.85" hidden="false" customHeight="false" outlineLevel="0" collapsed="false">
      <c r="A29" s="11" t="n">
        <v>19</v>
      </c>
      <c r="B29" s="11" t="s">
        <v>174</v>
      </c>
      <c r="C29" s="11" t="s">
        <v>175</v>
      </c>
      <c r="D29" s="11" t="s">
        <v>83</v>
      </c>
      <c r="E29" s="27" t="n">
        <v>300</v>
      </c>
      <c r="F29" s="28" t="n">
        <v>0.1625</v>
      </c>
      <c r="G29" s="28" t="n">
        <v>0.225</v>
      </c>
      <c r="H29" s="28" t="n">
        <v>0</v>
      </c>
      <c r="I29" s="28" t="n">
        <v>0.255</v>
      </c>
      <c r="J29" s="28" t="n">
        <v>0.16</v>
      </c>
      <c r="K29" s="28" t="n">
        <v>0</v>
      </c>
      <c r="L29" s="11" t="s">
        <v>145</v>
      </c>
    </row>
    <row r="30" customFormat="false" ht="15" hidden="false" customHeight="false" outlineLevel="0" collapsed="false">
      <c r="A30" s="11" t="n">
        <v>20</v>
      </c>
      <c r="B30" s="11" t="s">
        <v>174</v>
      </c>
      <c r="C30" s="11" t="s">
        <v>176</v>
      </c>
      <c r="D30" s="11" t="s">
        <v>83</v>
      </c>
      <c r="E30" s="27" t="n">
        <v>360</v>
      </c>
      <c r="F30" s="28" t="n">
        <v>0.13</v>
      </c>
      <c r="G30" s="28" t="n">
        <v>0.15</v>
      </c>
      <c r="H30" s="28" t="n">
        <v>0</v>
      </c>
      <c r="I30" s="28" t="n">
        <v>0.17</v>
      </c>
      <c r="J30" s="28" t="n">
        <v>0.2</v>
      </c>
      <c r="K30" s="28" t="n">
        <v>0</v>
      </c>
      <c r="L30" s="11" t="s">
        <v>145</v>
      </c>
    </row>
    <row r="31" customFormat="false" ht="15" hidden="false" customHeight="false" outlineLevel="0" collapsed="false">
      <c r="A31" s="11" t="n">
        <v>21</v>
      </c>
      <c r="B31" s="11" t="s">
        <v>174</v>
      </c>
      <c r="C31" s="11" t="s">
        <v>177</v>
      </c>
      <c r="D31" s="11" t="s">
        <v>83</v>
      </c>
      <c r="E31" s="27" t="n">
        <v>350</v>
      </c>
      <c r="F31" s="28" t="n">
        <v>0.195</v>
      </c>
      <c r="G31" s="28" t="n">
        <v>0.2625</v>
      </c>
      <c r="H31" s="28" t="n">
        <v>0</v>
      </c>
      <c r="I31" s="28" t="n">
        <v>0.2125</v>
      </c>
      <c r="J31" s="28" t="n">
        <v>0.32</v>
      </c>
      <c r="K31" s="28" t="n">
        <v>0</v>
      </c>
      <c r="L31" s="11" t="s">
        <v>145</v>
      </c>
    </row>
    <row r="32" customFormat="false" ht="15" hidden="false" customHeight="false" outlineLevel="0" collapsed="false">
      <c r="A32" s="11" t="n">
        <v>22</v>
      </c>
      <c r="B32" s="11" t="s">
        <v>174</v>
      </c>
      <c r="C32" s="11" t="s">
        <v>178</v>
      </c>
      <c r="D32" s="11" t="s">
        <v>83</v>
      </c>
      <c r="E32" s="27" t="n">
        <v>300</v>
      </c>
      <c r="F32" s="28" t="n">
        <v>0.1625</v>
      </c>
      <c r="G32" s="28" t="n">
        <v>0.1125</v>
      </c>
      <c r="H32" s="28" t="n">
        <v>0</v>
      </c>
      <c r="I32" s="28" t="n">
        <v>0.2125</v>
      </c>
      <c r="J32" s="28" t="n">
        <v>0.12</v>
      </c>
      <c r="K32" s="28" t="n">
        <v>0</v>
      </c>
      <c r="L32" s="11" t="s">
        <v>145</v>
      </c>
    </row>
    <row r="33" customFormat="false" ht="15" hidden="false" customHeight="false" outlineLevel="0" collapsed="false">
      <c r="A33" s="11" t="n">
        <v>23</v>
      </c>
      <c r="B33" s="11" t="s">
        <v>86</v>
      </c>
      <c r="C33" s="11" t="s">
        <v>179</v>
      </c>
      <c r="D33" s="11" t="s">
        <v>85</v>
      </c>
      <c r="E33" s="27" t="n">
        <v>150</v>
      </c>
      <c r="F33" s="28" t="n">
        <v>0.1567</v>
      </c>
      <c r="G33" s="28" t="n">
        <v>0.234375</v>
      </c>
      <c r="H33" s="28" t="n">
        <v>0</v>
      </c>
      <c r="I33" s="28" t="n">
        <v>0.2275875</v>
      </c>
      <c r="J33" s="28" t="n">
        <v>0</v>
      </c>
      <c r="K33" s="28" t="n">
        <v>0</v>
      </c>
      <c r="L33" s="11" t="s">
        <v>147</v>
      </c>
    </row>
    <row r="34" customFormat="false" ht="15" hidden="false" customHeight="false" outlineLevel="0" collapsed="false">
      <c r="A34" s="11" t="n">
        <v>24</v>
      </c>
      <c r="B34" s="11" t="s">
        <v>86</v>
      </c>
      <c r="C34" s="11" t="s">
        <v>180</v>
      </c>
      <c r="D34" s="11" t="s">
        <v>85</v>
      </c>
      <c r="E34" s="27" t="n">
        <v>150</v>
      </c>
      <c r="F34" s="28" t="n">
        <v>0.07835</v>
      </c>
      <c r="G34" s="28" t="n">
        <v>0.09375</v>
      </c>
      <c r="H34" s="28" t="n">
        <v>0</v>
      </c>
      <c r="I34" s="28" t="n">
        <v>0.13005</v>
      </c>
      <c r="J34" s="28" t="n">
        <v>0</v>
      </c>
      <c r="K34" s="28" t="n">
        <v>0</v>
      </c>
      <c r="L34" s="11" t="s">
        <v>147</v>
      </c>
    </row>
    <row r="35" customFormat="false" ht="15" hidden="false" customHeight="false" outlineLevel="0" collapsed="false">
      <c r="A35" s="11" t="n">
        <v>25</v>
      </c>
      <c r="B35" s="11" t="s">
        <v>86</v>
      </c>
      <c r="C35" s="11" t="s">
        <v>181</v>
      </c>
      <c r="D35" s="11" t="s">
        <v>85</v>
      </c>
      <c r="E35" s="27" t="n">
        <v>150</v>
      </c>
      <c r="F35" s="28" t="n">
        <v>0.1567</v>
      </c>
      <c r="G35" s="28" t="n">
        <v>0.140625</v>
      </c>
      <c r="H35" s="28" t="n">
        <v>0</v>
      </c>
      <c r="I35" s="28" t="n">
        <v>0.2926125</v>
      </c>
      <c r="J35" s="28" t="n">
        <v>0</v>
      </c>
      <c r="K35" s="28" t="n">
        <v>0</v>
      </c>
      <c r="L35" s="11" t="s">
        <v>147</v>
      </c>
    </row>
    <row r="36" customFormat="false" ht="15" hidden="false" customHeight="false" outlineLevel="0" collapsed="false">
      <c r="A36" s="11" t="n">
        <v>26</v>
      </c>
      <c r="B36" s="11" t="s">
        <v>89</v>
      </c>
      <c r="C36" s="11" t="s">
        <v>182</v>
      </c>
      <c r="D36" s="11" t="s">
        <v>88</v>
      </c>
      <c r="E36" s="27" t="n">
        <v>225</v>
      </c>
      <c r="F36" s="28" t="n">
        <v>0</v>
      </c>
      <c r="G36" s="28" t="n">
        <v>0</v>
      </c>
      <c r="H36" s="28" t="n">
        <v>0.375</v>
      </c>
      <c r="I36" s="28" t="n">
        <v>0</v>
      </c>
      <c r="J36" s="28" t="n">
        <v>0</v>
      </c>
      <c r="K36" s="28" t="n">
        <v>0</v>
      </c>
      <c r="L36" s="11" t="s">
        <v>145</v>
      </c>
    </row>
    <row r="37" customFormat="false" ht="15" hidden="false" customHeight="false" outlineLevel="0" collapsed="false">
      <c r="A37" s="11" t="n">
        <v>27</v>
      </c>
      <c r="B37" s="11" t="s">
        <v>89</v>
      </c>
      <c r="C37" s="11" t="s">
        <v>183</v>
      </c>
      <c r="D37" s="11" t="s">
        <v>88</v>
      </c>
      <c r="E37" s="27" t="n">
        <v>265</v>
      </c>
      <c r="F37" s="28" t="n">
        <v>0</v>
      </c>
      <c r="G37" s="28" t="n">
        <v>0</v>
      </c>
      <c r="H37" s="28" t="n">
        <v>0.375</v>
      </c>
      <c r="I37" s="28" t="n">
        <v>0</v>
      </c>
      <c r="J37" s="28" t="n">
        <v>0</v>
      </c>
      <c r="K37" s="28" t="n">
        <v>0</v>
      </c>
      <c r="L37" s="11" t="s">
        <v>145</v>
      </c>
    </row>
    <row r="38" customFormat="false" ht="15" hidden="false" customHeight="false" outlineLevel="0" collapsed="false">
      <c r="A38" s="11" t="n">
        <v>28</v>
      </c>
      <c r="B38" s="11" t="s">
        <v>89</v>
      </c>
      <c r="C38" s="11" t="s">
        <v>184</v>
      </c>
      <c r="D38" s="11" t="s">
        <v>88</v>
      </c>
      <c r="E38" s="27" t="n">
        <v>355</v>
      </c>
      <c r="F38" s="28" t="n">
        <v>0</v>
      </c>
      <c r="G38" s="28" t="n">
        <v>0</v>
      </c>
      <c r="H38" s="28" t="n">
        <v>0.25</v>
      </c>
      <c r="I38" s="28" t="n">
        <v>0</v>
      </c>
      <c r="J38" s="28" t="n">
        <v>0</v>
      </c>
      <c r="K38" s="28" t="n">
        <v>0</v>
      </c>
      <c r="L38" s="11" t="s">
        <v>145</v>
      </c>
    </row>
    <row r="39" customFormat="false" ht="15" hidden="false" customHeight="false" outlineLevel="0" collapsed="false">
      <c r="A39" s="11" t="n">
        <v>29</v>
      </c>
      <c r="B39" s="11" t="s">
        <v>92</v>
      </c>
      <c r="C39" s="11" t="s">
        <v>185</v>
      </c>
      <c r="D39" s="11" t="s">
        <v>91</v>
      </c>
      <c r="E39" s="27" t="n">
        <v>150</v>
      </c>
      <c r="F39" s="28" t="n">
        <v>0.06</v>
      </c>
      <c r="G39" s="28" t="n">
        <v>0</v>
      </c>
      <c r="H39" s="28" t="n">
        <v>0</v>
      </c>
      <c r="I39" s="28" t="n">
        <v>0</v>
      </c>
      <c r="J39" s="28" t="n">
        <v>0</v>
      </c>
      <c r="K39" s="28" t="n">
        <v>0.15</v>
      </c>
      <c r="L39" s="11" t="s">
        <v>145</v>
      </c>
    </row>
    <row r="40" customFormat="false" ht="15" hidden="false" customHeight="false" outlineLevel="0" collapsed="false">
      <c r="A40" s="11" t="n">
        <v>30</v>
      </c>
      <c r="B40" s="11" t="s">
        <v>92</v>
      </c>
      <c r="C40" s="11" t="s">
        <v>186</v>
      </c>
      <c r="D40" s="11" t="s">
        <v>91</v>
      </c>
      <c r="E40" s="27" t="n">
        <v>120</v>
      </c>
      <c r="F40" s="28" t="n">
        <v>0.06</v>
      </c>
      <c r="G40" s="28" t="n">
        <v>0</v>
      </c>
      <c r="H40" s="28" t="n">
        <v>0</v>
      </c>
      <c r="I40" s="28" t="n">
        <v>0.1</v>
      </c>
      <c r="J40" s="28" t="n">
        <v>0</v>
      </c>
      <c r="K40" s="28" t="n">
        <v>0.15</v>
      </c>
      <c r="L40" s="11" t="s">
        <v>145</v>
      </c>
    </row>
    <row r="41" customFormat="false" ht="15" hidden="false" customHeight="false" outlineLevel="0" collapsed="false">
      <c r="A41" s="11" t="n">
        <v>31</v>
      </c>
      <c r="B41" s="11" t="s">
        <v>92</v>
      </c>
      <c r="C41" s="11" t="s">
        <v>187</v>
      </c>
      <c r="D41" s="11" t="s">
        <v>91</v>
      </c>
      <c r="E41" s="27" t="n">
        <v>60</v>
      </c>
      <c r="F41" s="28" t="n">
        <v>0.03</v>
      </c>
      <c r="G41" s="28" t="n">
        <v>0</v>
      </c>
      <c r="H41" s="28" t="n">
        <v>0</v>
      </c>
      <c r="I41" s="28" t="n">
        <v>0</v>
      </c>
      <c r="J41" s="28" t="n">
        <v>0</v>
      </c>
      <c r="K41" s="28" t="n">
        <v>0.2</v>
      </c>
      <c r="L41" s="11" t="s">
        <v>145</v>
      </c>
    </row>
  </sheetData>
  <mergeCells count="7">
    <mergeCell ref="A1:L1"/>
    <mergeCell ref="A2:L2"/>
    <mergeCell ref="A4:L4"/>
    <mergeCell ref="B5:L5"/>
    <mergeCell ref="B6:L6"/>
    <mergeCell ref="B7:L7"/>
    <mergeCell ref="B8:L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8"/>
    <col collapsed="false" customWidth="true" hidden="false" outlineLevel="0" max="4" min="3" style="0" width="22"/>
    <col collapsed="false" customWidth="true" hidden="false" outlineLevel="0" max="5" min="5" style="0" width="24"/>
    <col collapsed="false" customWidth="true" hidden="false" outlineLevel="0" max="6" min="6" style="0" width="58"/>
  </cols>
  <sheetData>
    <row r="1" customFormat="false" ht="30" hidden="false" customHeight="true" outlineLevel="0" collapsed="false">
      <c r="A1" s="1" t="s">
        <v>188</v>
      </c>
      <c r="B1" s="1"/>
      <c r="C1" s="1"/>
      <c r="D1" s="1"/>
      <c r="E1" s="1"/>
      <c r="F1" s="1"/>
    </row>
    <row r="2" customFormat="false" ht="34" hidden="false" customHeight="true" outlineLevel="0" collapsed="false">
      <c r="A2" s="2" t="s">
        <v>189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3" t="s">
        <v>2</v>
      </c>
      <c r="B4" s="3"/>
      <c r="C4" s="3"/>
      <c r="D4" s="3"/>
      <c r="E4" s="3"/>
      <c r="F4" s="3"/>
    </row>
    <row r="5" customFormat="false" ht="23.85" hidden="false" customHeight="true" outlineLevel="0" collapsed="false">
      <c r="A5" s="4" t="s">
        <v>190</v>
      </c>
      <c r="B5" s="5" t="s">
        <v>191</v>
      </c>
      <c r="C5" s="5"/>
      <c r="D5" s="5"/>
      <c r="E5" s="5"/>
      <c r="F5" s="5"/>
    </row>
    <row r="6" customFormat="false" ht="15" hidden="false" customHeight="true" outlineLevel="0" collapsed="false">
      <c r="A6" s="6" t="s">
        <v>192</v>
      </c>
      <c r="B6" s="7" t="s">
        <v>193</v>
      </c>
      <c r="C6" s="7"/>
      <c r="D6" s="7"/>
      <c r="E6" s="7"/>
      <c r="F6" s="7"/>
    </row>
    <row r="7" customFormat="false" ht="15" hidden="false" customHeight="true" outlineLevel="0" collapsed="false">
      <c r="A7" s="4" t="s">
        <v>194</v>
      </c>
      <c r="B7" s="5" t="s">
        <v>195</v>
      </c>
      <c r="C7" s="5"/>
      <c r="D7" s="5"/>
      <c r="E7" s="5"/>
      <c r="F7" s="5"/>
    </row>
    <row r="8" customFormat="false" ht="15" hidden="false" customHeight="true" outlineLevel="0" collapsed="false">
      <c r="A8" s="6" t="s">
        <v>196</v>
      </c>
      <c r="B8" s="7" t="s">
        <v>197</v>
      </c>
      <c r="C8" s="7"/>
      <c r="D8" s="7"/>
      <c r="E8" s="7"/>
      <c r="F8" s="7"/>
    </row>
    <row r="10" customFormat="false" ht="23.85" hidden="false" customHeight="false" outlineLevel="0" collapsed="false">
      <c r="A10" s="8" t="s">
        <v>106</v>
      </c>
      <c r="B10" s="8" t="s">
        <v>198</v>
      </c>
      <c r="C10" s="8" t="s">
        <v>199</v>
      </c>
      <c r="D10" s="8" t="s">
        <v>200</v>
      </c>
      <c r="E10" s="8" t="s">
        <v>201</v>
      </c>
      <c r="F10" s="8" t="s">
        <v>202</v>
      </c>
    </row>
    <row r="11" customFormat="false" ht="15" hidden="false" customHeight="false" outlineLevel="0" collapsed="false">
      <c r="A11" s="9" t="s">
        <v>107</v>
      </c>
      <c r="B11" s="9" t="s">
        <v>124</v>
      </c>
      <c r="C11" s="19" t="n">
        <v>1</v>
      </c>
      <c r="D11" s="10" t="n">
        <f aca="false">C11*ПАРАМЕТРЫ!$E$27</f>
        <v>16.6666666666667</v>
      </c>
      <c r="E11" s="19" t="n">
        <v>1</v>
      </c>
      <c r="F11" s="9" t="s">
        <v>203</v>
      </c>
    </row>
    <row r="12" customFormat="false" ht="15" hidden="false" customHeight="false" outlineLevel="0" collapsed="false">
      <c r="A12" s="11" t="s">
        <v>107</v>
      </c>
      <c r="B12" s="11" t="s">
        <v>125</v>
      </c>
      <c r="C12" s="20" t="n">
        <v>1</v>
      </c>
      <c r="D12" s="12" t="n">
        <f aca="false">C12*ПАРАМЕТРЫ!$E$27</f>
        <v>16.6666666666667</v>
      </c>
      <c r="E12" s="20" t="n">
        <v>1</v>
      </c>
      <c r="F12" s="11" t="s">
        <v>203</v>
      </c>
    </row>
    <row r="13" customFormat="false" ht="15" hidden="false" customHeight="false" outlineLevel="0" collapsed="false">
      <c r="A13" s="11" t="s">
        <v>107</v>
      </c>
      <c r="B13" s="11" t="s">
        <v>126</v>
      </c>
      <c r="C13" s="20" t="n">
        <v>1</v>
      </c>
      <c r="D13" s="12" t="n">
        <f aca="false">C13*ПАРАМЕТРЫ!$E$27</f>
        <v>16.6666666666667</v>
      </c>
      <c r="E13" s="20" t="n">
        <v>1</v>
      </c>
      <c r="F13" s="11" t="s">
        <v>203</v>
      </c>
    </row>
    <row r="14" customFormat="false" ht="15" hidden="false" customHeight="false" outlineLevel="0" collapsed="false">
      <c r="A14" s="11" t="s">
        <v>107</v>
      </c>
      <c r="B14" s="11" t="s">
        <v>127</v>
      </c>
      <c r="C14" s="20" t="n">
        <v>1</v>
      </c>
      <c r="D14" s="12" t="n">
        <f aca="false">C14*ПАРАМЕТРЫ!$E$27</f>
        <v>16.6666666666667</v>
      </c>
      <c r="E14" s="20" t="n">
        <v>1</v>
      </c>
      <c r="F14" s="11" t="s">
        <v>203</v>
      </c>
    </row>
    <row r="15" customFormat="false" ht="15" hidden="false" customHeight="false" outlineLevel="0" collapsed="false">
      <c r="A15" s="11" t="s">
        <v>107</v>
      </c>
      <c r="B15" s="11" t="s">
        <v>128</v>
      </c>
      <c r="C15" s="20" t="n">
        <v>2</v>
      </c>
      <c r="D15" s="12" t="n">
        <f aca="false">C15*ПАРАМЕТРЫ!$E$27</f>
        <v>33.3333333333333</v>
      </c>
      <c r="E15" s="20" t="n">
        <v>2</v>
      </c>
      <c r="F15" s="11" t="s">
        <v>203</v>
      </c>
    </row>
    <row r="16" customFormat="false" ht="15" hidden="false" customHeight="false" outlineLevel="0" collapsed="false">
      <c r="A16" s="11" t="s">
        <v>107</v>
      </c>
      <c r="B16" s="11" t="s">
        <v>129</v>
      </c>
      <c r="C16" s="20" t="n">
        <v>2</v>
      </c>
      <c r="D16" s="12" t="n">
        <f aca="false">C16*ПАРАМЕТРЫ!$E$27</f>
        <v>33.3333333333333</v>
      </c>
      <c r="E16" s="20" t="n">
        <v>2</v>
      </c>
      <c r="F16" s="11" t="s">
        <v>203</v>
      </c>
    </row>
    <row r="17" customFormat="false" ht="15" hidden="false" customHeight="false" outlineLevel="0" collapsed="false">
      <c r="A17" s="11" t="s">
        <v>107</v>
      </c>
      <c r="B17" s="11" t="s">
        <v>130</v>
      </c>
      <c r="C17" s="20" t="n">
        <v>2</v>
      </c>
      <c r="D17" s="12" t="n">
        <f aca="false">C17*ПАРАМЕТРЫ!$E$27</f>
        <v>33.3333333333333</v>
      </c>
      <c r="E17" s="20" t="n">
        <v>2</v>
      </c>
      <c r="F17" s="11" t="s">
        <v>203</v>
      </c>
    </row>
    <row r="18" customFormat="false" ht="15" hidden="false" customHeight="false" outlineLevel="0" collapsed="false">
      <c r="A18" s="11" t="s">
        <v>107</v>
      </c>
      <c r="B18" s="11" t="s">
        <v>131</v>
      </c>
      <c r="C18" s="20" t="n">
        <v>2</v>
      </c>
      <c r="D18" s="12" t="n">
        <f aca="false">C18*ПАРАМЕТРЫ!$E$27</f>
        <v>33.3333333333333</v>
      </c>
      <c r="E18" s="20" t="n">
        <v>2</v>
      </c>
      <c r="F18" s="11" t="s">
        <v>203</v>
      </c>
    </row>
    <row r="19" customFormat="false" ht="15" hidden="false" customHeight="false" outlineLevel="0" collapsed="false">
      <c r="A19" s="11" t="s">
        <v>107</v>
      </c>
      <c r="B19" s="11" t="s">
        <v>132</v>
      </c>
      <c r="C19" s="20" t="n">
        <v>2</v>
      </c>
      <c r="D19" s="12" t="n">
        <f aca="false">C19*ПАРАМЕТРЫ!$E$27</f>
        <v>33.3333333333333</v>
      </c>
      <c r="E19" s="20" t="n">
        <v>2</v>
      </c>
      <c r="F19" s="11" t="s">
        <v>203</v>
      </c>
    </row>
    <row r="20" customFormat="false" ht="15" hidden="false" customHeight="false" outlineLevel="0" collapsed="false">
      <c r="A20" s="11" t="s">
        <v>107</v>
      </c>
      <c r="B20" s="11" t="s">
        <v>133</v>
      </c>
      <c r="C20" s="20" t="n">
        <v>2</v>
      </c>
      <c r="D20" s="12" t="n">
        <f aca="false">C20*ПАРАМЕТРЫ!$E$27</f>
        <v>33.3333333333333</v>
      </c>
      <c r="E20" s="20" t="n">
        <v>2</v>
      </c>
      <c r="F20" s="11" t="s">
        <v>203</v>
      </c>
    </row>
    <row r="21" customFormat="false" ht="15" hidden="false" customHeight="false" outlineLevel="0" collapsed="false">
      <c r="A21" s="11" t="s">
        <v>107</v>
      </c>
      <c r="B21" s="11" t="s">
        <v>134</v>
      </c>
      <c r="C21" s="20" t="n">
        <v>2</v>
      </c>
      <c r="D21" s="12" t="n">
        <f aca="false">C21*ПАРАМЕТРЫ!$E$27</f>
        <v>33.3333333333333</v>
      </c>
      <c r="E21" s="20" t="n">
        <v>2</v>
      </c>
      <c r="F21" s="11" t="s">
        <v>203</v>
      </c>
    </row>
    <row r="22" customFormat="false" ht="15" hidden="false" customHeight="false" outlineLevel="0" collapsed="false">
      <c r="A22" s="11" t="s">
        <v>107</v>
      </c>
      <c r="B22" s="11" t="s">
        <v>135</v>
      </c>
      <c r="C22" s="20" t="n">
        <v>1</v>
      </c>
      <c r="D22" s="12" t="n">
        <f aca="false">C22*ПАРАМЕТРЫ!$E$27</f>
        <v>16.6666666666667</v>
      </c>
      <c r="E22" s="20" t="n">
        <v>3</v>
      </c>
      <c r="F22" s="11" t="s">
        <v>203</v>
      </c>
    </row>
    <row r="23" customFormat="false" ht="15" hidden="false" customHeight="false" outlineLevel="0" collapsed="false">
      <c r="A23" s="11" t="s">
        <v>107</v>
      </c>
      <c r="B23" s="11" t="s">
        <v>136</v>
      </c>
      <c r="C23" s="20" t="n">
        <v>1</v>
      </c>
      <c r="D23" s="12" t="n">
        <f aca="false">C23*ПАРАМЕТРЫ!$E$27</f>
        <v>16.6666666666667</v>
      </c>
      <c r="E23" s="20" t="n">
        <v>3</v>
      </c>
      <c r="F23" s="11" t="s">
        <v>203</v>
      </c>
    </row>
    <row r="24" customFormat="false" ht="15" hidden="false" customHeight="false" outlineLevel="0" collapsed="false">
      <c r="A24" s="11" t="s">
        <v>107</v>
      </c>
      <c r="B24" s="11" t="s">
        <v>137</v>
      </c>
      <c r="C24" s="20" t="n">
        <v>1</v>
      </c>
      <c r="D24" s="12" t="n">
        <f aca="false">C24*ПАРАМЕТРЫ!$E$27</f>
        <v>16.6666666666667</v>
      </c>
      <c r="E24" s="20" t="n">
        <v>3</v>
      </c>
      <c r="F24" s="11" t="s">
        <v>203</v>
      </c>
    </row>
    <row r="25" customFormat="false" ht="15" hidden="false" customHeight="false" outlineLevel="0" collapsed="false">
      <c r="A25" s="11" t="s">
        <v>107</v>
      </c>
      <c r="B25" s="11" t="s">
        <v>138</v>
      </c>
      <c r="C25" s="20" t="n">
        <v>1</v>
      </c>
      <c r="D25" s="12" t="n">
        <f aca="false">C25*ПАРАМЕТРЫ!$E$27</f>
        <v>16.6666666666667</v>
      </c>
      <c r="E25" s="20" t="n">
        <v>3</v>
      </c>
      <c r="F25" s="11" t="s">
        <v>203</v>
      </c>
    </row>
    <row r="26" customFormat="false" ht="15" hidden="false" customHeight="false" outlineLevel="0" collapsed="false">
      <c r="A26" s="11" t="s">
        <v>108</v>
      </c>
      <c r="B26" s="11" t="s">
        <v>124</v>
      </c>
      <c r="C26" s="20" t="n">
        <v>1</v>
      </c>
      <c r="D26" s="12" t="n">
        <f aca="false">C26*ПАРАМЕТРЫ!$E$27</f>
        <v>16.6666666666667</v>
      </c>
      <c r="E26" s="20" t="n">
        <v>1</v>
      </c>
      <c r="F26" s="11" t="s">
        <v>203</v>
      </c>
    </row>
    <row r="27" customFormat="false" ht="15" hidden="false" customHeight="false" outlineLevel="0" collapsed="false">
      <c r="A27" s="11" t="s">
        <v>108</v>
      </c>
      <c r="B27" s="11" t="s">
        <v>125</v>
      </c>
      <c r="C27" s="20" t="n">
        <v>1</v>
      </c>
      <c r="D27" s="12" t="n">
        <f aca="false">C27*ПАРАМЕТРЫ!$E$27</f>
        <v>16.6666666666667</v>
      </c>
      <c r="E27" s="20" t="n">
        <v>1</v>
      </c>
      <c r="F27" s="11" t="s">
        <v>203</v>
      </c>
    </row>
    <row r="28" customFormat="false" ht="15" hidden="false" customHeight="false" outlineLevel="0" collapsed="false">
      <c r="A28" s="11" t="s">
        <v>108</v>
      </c>
      <c r="B28" s="11" t="s">
        <v>126</v>
      </c>
      <c r="C28" s="20" t="n">
        <v>1</v>
      </c>
      <c r="D28" s="12" t="n">
        <f aca="false">C28*ПАРАМЕТРЫ!$E$27</f>
        <v>16.6666666666667</v>
      </c>
      <c r="E28" s="20" t="n">
        <v>1</v>
      </c>
      <c r="F28" s="11" t="s">
        <v>203</v>
      </c>
    </row>
    <row r="29" customFormat="false" ht="15" hidden="false" customHeight="false" outlineLevel="0" collapsed="false">
      <c r="A29" s="11" t="s">
        <v>108</v>
      </c>
      <c r="B29" s="11" t="s">
        <v>127</v>
      </c>
      <c r="C29" s="20" t="n">
        <v>1</v>
      </c>
      <c r="D29" s="12" t="n">
        <f aca="false">C29*ПАРАМЕТРЫ!$E$27</f>
        <v>16.6666666666667</v>
      </c>
      <c r="E29" s="20" t="n">
        <v>1</v>
      </c>
      <c r="F29" s="11" t="s">
        <v>203</v>
      </c>
    </row>
    <row r="30" customFormat="false" ht="15" hidden="false" customHeight="false" outlineLevel="0" collapsed="false">
      <c r="A30" s="11" t="s">
        <v>108</v>
      </c>
      <c r="B30" s="11" t="s">
        <v>128</v>
      </c>
      <c r="C30" s="20" t="n">
        <v>2</v>
      </c>
      <c r="D30" s="12" t="n">
        <f aca="false">C30*ПАРАМЕТРЫ!$E$27</f>
        <v>33.3333333333333</v>
      </c>
      <c r="E30" s="20" t="n">
        <v>2</v>
      </c>
      <c r="F30" s="11" t="s">
        <v>203</v>
      </c>
    </row>
    <row r="31" customFormat="false" ht="15" hidden="false" customHeight="false" outlineLevel="0" collapsed="false">
      <c r="A31" s="11" t="s">
        <v>108</v>
      </c>
      <c r="B31" s="11" t="s">
        <v>129</v>
      </c>
      <c r="C31" s="20" t="n">
        <v>2</v>
      </c>
      <c r="D31" s="12" t="n">
        <f aca="false">C31*ПАРАМЕТРЫ!$E$27</f>
        <v>33.3333333333333</v>
      </c>
      <c r="E31" s="20" t="n">
        <v>2</v>
      </c>
      <c r="F31" s="11" t="s">
        <v>203</v>
      </c>
    </row>
    <row r="32" customFormat="false" ht="15" hidden="false" customHeight="false" outlineLevel="0" collapsed="false">
      <c r="A32" s="11" t="s">
        <v>108</v>
      </c>
      <c r="B32" s="11" t="s">
        <v>130</v>
      </c>
      <c r="C32" s="20" t="n">
        <v>2</v>
      </c>
      <c r="D32" s="12" t="n">
        <f aca="false">C32*ПАРАМЕТРЫ!$E$27</f>
        <v>33.3333333333333</v>
      </c>
      <c r="E32" s="20" t="n">
        <v>2</v>
      </c>
      <c r="F32" s="11" t="s">
        <v>203</v>
      </c>
    </row>
    <row r="33" customFormat="false" ht="15" hidden="false" customHeight="false" outlineLevel="0" collapsed="false">
      <c r="A33" s="11" t="s">
        <v>108</v>
      </c>
      <c r="B33" s="11" t="s">
        <v>131</v>
      </c>
      <c r="C33" s="20" t="n">
        <v>2</v>
      </c>
      <c r="D33" s="12" t="n">
        <f aca="false">C33*ПАРАМЕТРЫ!$E$27</f>
        <v>33.3333333333333</v>
      </c>
      <c r="E33" s="20" t="n">
        <v>2</v>
      </c>
      <c r="F33" s="11" t="s">
        <v>203</v>
      </c>
    </row>
    <row r="34" customFormat="false" ht="15" hidden="false" customHeight="false" outlineLevel="0" collapsed="false">
      <c r="A34" s="11" t="s">
        <v>108</v>
      </c>
      <c r="B34" s="11" t="s">
        <v>132</v>
      </c>
      <c r="C34" s="20" t="n">
        <v>2</v>
      </c>
      <c r="D34" s="12" t="n">
        <f aca="false">C34*ПАРАМЕТРЫ!$E$27</f>
        <v>33.3333333333333</v>
      </c>
      <c r="E34" s="20" t="n">
        <v>2</v>
      </c>
      <c r="F34" s="11" t="s">
        <v>203</v>
      </c>
    </row>
    <row r="35" customFormat="false" ht="15" hidden="false" customHeight="false" outlineLevel="0" collapsed="false">
      <c r="A35" s="11" t="s">
        <v>108</v>
      </c>
      <c r="B35" s="11" t="s">
        <v>133</v>
      </c>
      <c r="C35" s="20" t="n">
        <v>2</v>
      </c>
      <c r="D35" s="12" t="n">
        <f aca="false">C35*ПАРАМЕТРЫ!$E$27</f>
        <v>33.3333333333333</v>
      </c>
      <c r="E35" s="20" t="n">
        <v>2</v>
      </c>
      <c r="F35" s="11" t="s">
        <v>203</v>
      </c>
    </row>
    <row r="36" customFormat="false" ht="15" hidden="false" customHeight="false" outlineLevel="0" collapsed="false">
      <c r="A36" s="11" t="s">
        <v>108</v>
      </c>
      <c r="B36" s="11" t="s">
        <v>134</v>
      </c>
      <c r="C36" s="20" t="n">
        <v>2</v>
      </c>
      <c r="D36" s="12" t="n">
        <f aca="false">C36*ПАРАМЕТРЫ!$E$27</f>
        <v>33.3333333333333</v>
      </c>
      <c r="E36" s="20" t="n">
        <v>2</v>
      </c>
      <c r="F36" s="11" t="s">
        <v>203</v>
      </c>
    </row>
    <row r="37" customFormat="false" ht="15" hidden="false" customHeight="false" outlineLevel="0" collapsed="false">
      <c r="A37" s="11" t="s">
        <v>108</v>
      </c>
      <c r="B37" s="11" t="s">
        <v>135</v>
      </c>
      <c r="C37" s="20" t="n">
        <v>1</v>
      </c>
      <c r="D37" s="12" t="n">
        <f aca="false">C37*ПАРАМЕТРЫ!$E$27</f>
        <v>16.6666666666667</v>
      </c>
      <c r="E37" s="20" t="n">
        <v>3</v>
      </c>
      <c r="F37" s="11" t="s">
        <v>203</v>
      </c>
    </row>
    <row r="38" customFormat="false" ht="15" hidden="false" customHeight="false" outlineLevel="0" collapsed="false">
      <c r="A38" s="11" t="s">
        <v>108</v>
      </c>
      <c r="B38" s="11" t="s">
        <v>136</v>
      </c>
      <c r="C38" s="20" t="n">
        <v>1</v>
      </c>
      <c r="D38" s="12" t="n">
        <f aca="false">C38*ПАРАМЕТРЫ!$E$27</f>
        <v>16.6666666666667</v>
      </c>
      <c r="E38" s="20" t="n">
        <v>3</v>
      </c>
      <c r="F38" s="11" t="s">
        <v>203</v>
      </c>
    </row>
    <row r="39" customFormat="false" ht="15" hidden="false" customHeight="false" outlineLevel="0" collapsed="false">
      <c r="A39" s="11" t="s">
        <v>108</v>
      </c>
      <c r="B39" s="11" t="s">
        <v>137</v>
      </c>
      <c r="C39" s="20" t="n">
        <v>1</v>
      </c>
      <c r="D39" s="12" t="n">
        <f aca="false">C39*ПАРАМЕТРЫ!$E$27</f>
        <v>16.6666666666667</v>
      </c>
      <c r="E39" s="20" t="n">
        <v>3</v>
      </c>
      <c r="F39" s="11" t="s">
        <v>203</v>
      </c>
    </row>
    <row r="40" customFormat="false" ht="15" hidden="false" customHeight="false" outlineLevel="0" collapsed="false">
      <c r="A40" s="11" t="s">
        <v>108</v>
      </c>
      <c r="B40" s="11" t="s">
        <v>138</v>
      </c>
      <c r="C40" s="20" t="n">
        <v>1</v>
      </c>
      <c r="D40" s="12" t="n">
        <f aca="false">C40*ПАРАМЕТРЫ!$E$27</f>
        <v>16.6666666666667</v>
      </c>
      <c r="E40" s="20" t="n">
        <v>3</v>
      </c>
      <c r="F40" s="11" t="s">
        <v>203</v>
      </c>
    </row>
    <row r="41" customFormat="false" ht="15" hidden="false" customHeight="false" outlineLevel="0" collapsed="false">
      <c r="A41" s="11" t="s">
        <v>109</v>
      </c>
      <c r="B41" s="11" t="s">
        <v>124</v>
      </c>
      <c r="C41" s="20" t="n">
        <v>1</v>
      </c>
      <c r="D41" s="12" t="n">
        <f aca="false">C41*ПАРАМЕТРЫ!$E$27</f>
        <v>16.6666666666667</v>
      </c>
      <c r="E41" s="20" t="n">
        <v>1</v>
      </c>
      <c r="F41" s="11" t="s">
        <v>203</v>
      </c>
    </row>
    <row r="42" customFormat="false" ht="15" hidden="false" customHeight="false" outlineLevel="0" collapsed="false">
      <c r="A42" s="11" t="s">
        <v>109</v>
      </c>
      <c r="B42" s="11" t="s">
        <v>125</v>
      </c>
      <c r="C42" s="20" t="n">
        <v>1</v>
      </c>
      <c r="D42" s="12" t="n">
        <f aca="false">C42*ПАРАМЕТРЫ!$E$27</f>
        <v>16.6666666666667</v>
      </c>
      <c r="E42" s="20" t="n">
        <v>1</v>
      </c>
      <c r="F42" s="11" t="s">
        <v>203</v>
      </c>
    </row>
    <row r="43" customFormat="false" ht="15" hidden="false" customHeight="false" outlineLevel="0" collapsed="false">
      <c r="A43" s="11" t="s">
        <v>109</v>
      </c>
      <c r="B43" s="11" t="s">
        <v>126</v>
      </c>
      <c r="C43" s="20" t="n">
        <v>1</v>
      </c>
      <c r="D43" s="12" t="n">
        <f aca="false">C43*ПАРАМЕТРЫ!$E$27</f>
        <v>16.6666666666667</v>
      </c>
      <c r="E43" s="20" t="n">
        <v>1</v>
      </c>
      <c r="F43" s="11" t="s">
        <v>203</v>
      </c>
    </row>
    <row r="44" customFormat="false" ht="15" hidden="false" customHeight="false" outlineLevel="0" collapsed="false">
      <c r="A44" s="11" t="s">
        <v>109</v>
      </c>
      <c r="B44" s="11" t="s">
        <v>127</v>
      </c>
      <c r="C44" s="20" t="n">
        <v>1</v>
      </c>
      <c r="D44" s="12" t="n">
        <f aca="false">C44*ПАРАМЕТРЫ!$E$27</f>
        <v>16.6666666666667</v>
      </c>
      <c r="E44" s="20" t="n">
        <v>1</v>
      </c>
      <c r="F44" s="11" t="s">
        <v>203</v>
      </c>
    </row>
    <row r="45" customFormat="false" ht="15" hidden="false" customHeight="false" outlineLevel="0" collapsed="false">
      <c r="A45" s="11" t="s">
        <v>109</v>
      </c>
      <c r="B45" s="11" t="s">
        <v>128</v>
      </c>
      <c r="C45" s="20" t="n">
        <v>2</v>
      </c>
      <c r="D45" s="12" t="n">
        <f aca="false">C45*ПАРАМЕТРЫ!$E$27</f>
        <v>33.3333333333333</v>
      </c>
      <c r="E45" s="20" t="n">
        <v>2</v>
      </c>
      <c r="F45" s="11" t="s">
        <v>203</v>
      </c>
    </row>
    <row r="46" customFormat="false" ht="15" hidden="false" customHeight="false" outlineLevel="0" collapsed="false">
      <c r="A46" s="11" t="s">
        <v>109</v>
      </c>
      <c r="B46" s="11" t="s">
        <v>129</v>
      </c>
      <c r="C46" s="20" t="n">
        <v>2</v>
      </c>
      <c r="D46" s="12" t="n">
        <f aca="false">C46*ПАРАМЕТРЫ!$E$27</f>
        <v>33.3333333333333</v>
      </c>
      <c r="E46" s="20" t="n">
        <v>2</v>
      </c>
      <c r="F46" s="11" t="s">
        <v>203</v>
      </c>
    </row>
    <row r="47" customFormat="false" ht="15" hidden="false" customHeight="false" outlineLevel="0" collapsed="false">
      <c r="A47" s="11" t="s">
        <v>109</v>
      </c>
      <c r="B47" s="11" t="s">
        <v>130</v>
      </c>
      <c r="C47" s="20" t="n">
        <v>2</v>
      </c>
      <c r="D47" s="12" t="n">
        <f aca="false">C47*ПАРАМЕТРЫ!$E$27</f>
        <v>33.3333333333333</v>
      </c>
      <c r="E47" s="20" t="n">
        <v>2</v>
      </c>
      <c r="F47" s="11" t="s">
        <v>203</v>
      </c>
    </row>
    <row r="48" customFormat="false" ht="15" hidden="false" customHeight="false" outlineLevel="0" collapsed="false">
      <c r="A48" s="11" t="s">
        <v>109</v>
      </c>
      <c r="B48" s="11" t="s">
        <v>131</v>
      </c>
      <c r="C48" s="20" t="n">
        <v>2</v>
      </c>
      <c r="D48" s="12" t="n">
        <f aca="false">C48*ПАРАМЕТРЫ!$E$27</f>
        <v>33.3333333333333</v>
      </c>
      <c r="E48" s="20" t="n">
        <v>2</v>
      </c>
      <c r="F48" s="11" t="s">
        <v>203</v>
      </c>
    </row>
    <row r="49" customFormat="false" ht="15" hidden="false" customHeight="false" outlineLevel="0" collapsed="false">
      <c r="A49" s="11" t="s">
        <v>109</v>
      </c>
      <c r="B49" s="11" t="s">
        <v>132</v>
      </c>
      <c r="C49" s="20" t="n">
        <v>2</v>
      </c>
      <c r="D49" s="12" t="n">
        <f aca="false">C49*ПАРАМЕТРЫ!$E$27</f>
        <v>33.3333333333333</v>
      </c>
      <c r="E49" s="20" t="n">
        <v>2</v>
      </c>
      <c r="F49" s="11" t="s">
        <v>203</v>
      </c>
    </row>
    <row r="50" customFormat="false" ht="15" hidden="false" customHeight="false" outlineLevel="0" collapsed="false">
      <c r="A50" s="11" t="s">
        <v>109</v>
      </c>
      <c r="B50" s="11" t="s">
        <v>133</v>
      </c>
      <c r="C50" s="20" t="n">
        <v>2</v>
      </c>
      <c r="D50" s="12" t="n">
        <f aca="false">C50*ПАРАМЕТРЫ!$E$27</f>
        <v>33.3333333333333</v>
      </c>
      <c r="E50" s="20" t="n">
        <v>2</v>
      </c>
      <c r="F50" s="11" t="s">
        <v>203</v>
      </c>
    </row>
    <row r="51" customFormat="false" ht="15" hidden="false" customHeight="false" outlineLevel="0" collapsed="false">
      <c r="A51" s="11" t="s">
        <v>109</v>
      </c>
      <c r="B51" s="11" t="s">
        <v>134</v>
      </c>
      <c r="C51" s="20" t="n">
        <v>2</v>
      </c>
      <c r="D51" s="12" t="n">
        <f aca="false">C51*ПАРАМЕТРЫ!$E$27</f>
        <v>33.3333333333333</v>
      </c>
      <c r="E51" s="20" t="n">
        <v>2</v>
      </c>
      <c r="F51" s="11" t="s">
        <v>203</v>
      </c>
    </row>
    <row r="52" customFormat="false" ht="15" hidden="false" customHeight="false" outlineLevel="0" collapsed="false">
      <c r="A52" s="11" t="s">
        <v>109</v>
      </c>
      <c r="B52" s="11" t="s">
        <v>135</v>
      </c>
      <c r="C52" s="20" t="n">
        <v>1</v>
      </c>
      <c r="D52" s="12" t="n">
        <f aca="false">C52*ПАРАМЕТРЫ!$E$27</f>
        <v>16.6666666666667</v>
      </c>
      <c r="E52" s="20" t="n">
        <v>3</v>
      </c>
      <c r="F52" s="11" t="s">
        <v>203</v>
      </c>
    </row>
    <row r="53" customFormat="false" ht="15" hidden="false" customHeight="false" outlineLevel="0" collapsed="false">
      <c r="A53" s="11" t="s">
        <v>109</v>
      </c>
      <c r="B53" s="11" t="s">
        <v>136</v>
      </c>
      <c r="C53" s="20" t="n">
        <v>1</v>
      </c>
      <c r="D53" s="12" t="n">
        <f aca="false">C53*ПАРАМЕТРЫ!$E$27</f>
        <v>16.6666666666667</v>
      </c>
      <c r="E53" s="20" t="n">
        <v>3</v>
      </c>
      <c r="F53" s="11" t="s">
        <v>203</v>
      </c>
    </row>
    <row r="54" customFormat="false" ht="15" hidden="false" customHeight="false" outlineLevel="0" collapsed="false">
      <c r="A54" s="11" t="s">
        <v>109</v>
      </c>
      <c r="B54" s="11" t="s">
        <v>137</v>
      </c>
      <c r="C54" s="20" t="n">
        <v>1</v>
      </c>
      <c r="D54" s="12" t="n">
        <f aca="false">C54*ПАРАМЕТРЫ!$E$27</f>
        <v>16.6666666666667</v>
      </c>
      <c r="E54" s="20" t="n">
        <v>3</v>
      </c>
      <c r="F54" s="11" t="s">
        <v>203</v>
      </c>
    </row>
    <row r="55" customFormat="false" ht="15" hidden="false" customHeight="false" outlineLevel="0" collapsed="false">
      <c r="A55" s="11" t="s">
        <v>109</v>
      </c>
      <c r="B55" s="11" t="s">
        <v>138</v>
      </c>
      <c r="C55" s="20" t="n">
        <v>1</v>
      </c>
      <c r="D55" s="12" t="n">
        <f aca="false">C55*ПАРАМЕТРЫ!$E$27</f>
        <v>16.6666666666667</v>
      </c>
      <c r="E55" s="20" t="n">
        <v>3</v>
      </c>
      <c r="F55" s="11" t="s">
        <v>203</v>
      </c>
    </row>
    <row r="56" customFormat="false" ht="15" hidden="false" customHeight="false" outlineLevel="0" collapsed="false">
      <c r="A56" s="11" t="s">
        <v>110</v>
      </c>
      <c r="B56" s="11" t="s">
        <v>124</v>
      </c>
      <c r="C56" s="20" t="n">
        <v>1</v>
      </c>
      <c r="D56" s="12" t="n">
        <f aca="false">C56*ПАРАМЕТРЫ!$E$27</f>
        <v>16.6666666666667</v>
      </c>
      <c r="E56" s="20" t="n">
        <v>1</v>
      </c>
      <c r="F56" s="11" t="s">
        <v>203</v>
      </c>
    </row>
    <row r="57" customFormat="false" ht="15" hidden="false" customHeight="false" outlineLevel="0" collapsed="false">
      <c r="A57" s="11" t="s">
        <v>110</v>
      </c>
      <c r="B57" s="11" t="s">
        <v>125</v>
      </c>
      <c r="C57" s="20" t="n">
        <v>1</v>
      </c>
      <c r="D57" s="12" t="n">
        <f aca="false">C57*ПАРАМЕТРЫ!$E$27</f>
        <v>16.6666666666667</v>
      </c>
      <c r="E57" s="20" t="n">
        <v>1</v>
      </c>
      <c r="F57" s="11" t="s">
        <v>203</v>
      </c>
    </row>
    <row r="58" customFormat="false" ht="15" hidden="false" customHeight="false" outlineLevel="0" collapsed="false">
      <c r="A58" s="11" t="s">
        <v>110</v>
      </c>
      <c r="B58" s="11" t="s">
        <v>126</v>
      </c>
      <c r="C58" s="20" t="n">
        <v>1</v>
      </c>
      <c r="D58" s="12" t="n">
        <f aca="false">C58*ПАРАМЕТРЫ!$E$27</f>
        <v>16.6666666666667</v>
      </c>
      <c r="E58" s="20" t="n">
        <v>1</v>
      </c>
      <c r="F58" s="11" t="s">
        <v>203</v>
      </c>
    </row>
    <row r="59" customFormat="false" ht="15" hidden="false" customHeight="false" outlineLevel="0" collapsed="false">
      <c r="A59" s="11" t="s">
        <v>110</v>
      </c>
      <c r="B59" s="11" t="s">
        <v>127</v>
      </c>
      <c r="C59" s="20" t="n">
        <v>1</v>
      </c>
      <c r="D59" s="12" t="n">
        <f aca="false">C59*ПАРАМЕТРЫ!$E$27</f>
        <v>16.6666666666667</v>
      </c>
      <c r="E59" s="20" t="n">
        <v>1</v>
      </c>
      <c r="F59" s="11" t="s">
        <v>203</v>
      </c>
    </row>
    <row r="60" customFormat="false" ht="15" hidden="false" customHeight="false" outlineLevel="0" collapsed="false">
      <c r="A60" s="11" t="s">
        <v>110</v>
      </c>
      <c r="B60" s="11" t="s">
        <v>128</v>
      </c>
      <c r="C60" s="20" t="n">
        <v>2</v>
      </c>
      <c r="D60" s="12" t="n">
        <f aca="false">C60*ПАРАМЕТРЫ!$E$27</f>
        <v>33.3333333333333</v>
      </c>
      <c r="E60" s="20" t="n">
        <v>2</v>
      </c>
      <c r="F60" s="11" t="s">
        <v>203</v>
      </c>
    </row>
    <row r="61" customFormat="false" ht="15" hidden="false" customHeight="false" outlineLevel="0" collapsed="false">
      <c r="A61" s="11" t="s">
        <v>110</v>
      </c>
      <c r="B61" s="11" t="s">
        <v>129</v>
      </c>
      <c r="C61" s="20" t="n">
        <v>2</v>
      </c>
      <c r="D61" s="12" t="n">
        <f aca="false">C61*ПАРАМЕТРЫ!$E$27</f>
        <v>33.3333333333333</v>
      </c>
      <c r="E61" s="20" t="n">
        <v>2</v>
      </c>
      <c r="F61" s="11" t="s">
        <v>203</v>
      </c>
    </row>
    <row r="62" customFormat="false" ht="15" hidden="false" customHeight="false" outlineLevel="0" collapsed="false">
      <c r="A62" s="11" t="s">
        <v>110</v>
      </c>
      <c r="B62" s="11" t="s">
        <v>130</v>
      </c>
      <c r="C62" s="20" t="n">
        <v>2</v>
      </c>
      <c r="D62" s="12" t="n">
        <f aca="false">C62*ПАРАМЕТРЫ!$E$27</f>
        <v>33.3333333333333</v>
      </c>
      <c r="E62" s="20" t="n">
        <v>2</v>
      </c>
      <c r="F62" s="11" t="s">
        <v>203</v>
      </c>
    </row>
    <row r="63" customFormat="false" ht="15" hidden="false" customHeight="false" outlineLevel="0" collapsed="false">
      <c r="A63" s="11" t="s">
        <v>110</v>
      </c>
      <c r="B63" s="11" t="s">
        <v>131</v>
      </c>
      <c r="C63" s="20" t="n">
        <v>2</v>
      </c>
      <c r="D63" s="12" t="n">
        <f aca="false">C63*ПАРАМЕТРЫ!$E$27</f>
        <v>33.3333333333333</v>
      </c>
      <c r="E63" s="20" t="n">
        <v>2</v>
      </c>
      <c r="F63" s="11" t="s">
        <v>203</v>
      </c>
    </row>
    <row r="64" customFormat="false" ht="15" hidden="false" customHeight="false" outlineLevel="0" collapsed="false">
      <c r="A64" s="11" t="s">
        <v>110</v>
      </c>
      <c r="B64" s="11" t="s">
        <v>132</v>
      </c>
      <c r="C64" s="20" t="n">
        <v>2</v>
      </c>
      <c r="D64" s="12" t="n">
        <f aca="false">C64*ПАРАМЕТРЫ!$E$27</f>
        <v>33.3333333333333</v>
      </c>
      <c r="E64" s="20" t="n">
        <v>2</v>
      </c>
      <c r="F64" s="11" t="s">
        <v>203</v>
      </c>
    </row>
    <row r="65" customFormat="false" ht="15" hidden="false" customHeight="false" outlineLevel="0" collapsed="false">
      <c r="A65" s="11" t="s">
        <v>110</v>
      </c>
      <c r="B65" s="11" t="s">
        <v>133</v>
      </c>
      <c r="C65" s="20" t="n">
        <v>2</v>
      </c>
      <c r="D65" s="12" t="n">
        <f aca="false">C65*ПАРАМЕТРЫ!$E$27</f>
        <v>33.3333333333333</v>
      </c>
      <c r="E65" s="20" t="n">
        <v>2</v>
      </c>
      <c r="F65" s="11" t="s">
        <v>203</v>
      </c>
    </row>
    <row r="66" customFormat="false" ht="15" hidden="false" customHeight="false" outlineLevel="0" collapsed="false">
      <c r="A66" s="11" t="s">
        <v>110</v>
      </c>
      <c r="B66" s="11" t="s">
        <v>134</v>
      </c>
      <c r="C66" s="20" t="n">
        <v>2</v>
      </c>
      <c r="D66" s="12" t="n">
        <f aca="false">C66*ПАРАМЕТРЫ!$E$27</f>
        <v>33.3333333333333</v>
      </c>
      <c r="E66" s="20" t="n">
        <v>2</v>
      </c>
      <c r="F66" s="11" t="s">
        <v>203</v>
      </c>
    </row>
    <row r="67" customFormat="false" ht="15" hidden="false" customHeight="false" outlineLevel="0" collapsed="false">
      <c r="A67" s="11" t="s">
        <v>110</v>
      </c>
      <c r="B67" s="11" t="s">
        <v>135</v>
      </c>
      <c r="C67" s="20" t="n">
        <v>1</v>
      </c>
      <c r="D67" s="12" t="n">
        <f aca="false">C67*ПАРАМЕТРЫ!$E$27</f>
        <v>16.6666666666667</v>
      </c>
      <c r="E67" s="20" t="n">
        <v>3</v>
      </c>
      <c r="F67" s="11" t="s">
        <v>203</v>
      </c>
    </row>
    <row r="68" customFormat="false" ht="15" hidden="false" customHeight="false" outlineLevel="0" collapsed="false">
      <c r="A68" s="11" t="s">
        <v>110</v>
      </c>
      <c r="B68" s="11" t="s">
        <v>136</v>
      </c>
      <c r="C68" s="20" t="n">
        <v>1</v>
      </c>
      <c r="D68" s="12" t="n">
        <f aca="false">C68*ПАРАМЕТРЫ!$E$27</f>
        <v>16.6666666666667</v>
      </c>
      <c r="E68" s="20" t="n">
        <v>3</v>
      </c>
      <c r="F68" s="11" t="s">
        <v>203</v>
      </c>
    </row>
    <row r="69" customFormat="false" ht="15" hidden="false" customHeight="false" outlineLevel="0" collapsed="false">
      <c r="A69" s="11" t="s">
        <v>110</v>
      </c>
      <c r="B69" s="11" t="s">
        <v>137</v>
      </c>
      <c r="C69" s="20" t="n">
        <v>1</v>
      </c>
      <c r="D69" s="12" t="n">
        <f aca="false">C69*ПАРАМЕТРЫ!$E$27</f>
        <v>16.6666666666667</v>
      </c>
      <c r="E69" s="20" t="n">
        <v>3</v>
      </c>
      <c r="F69" s="11" t="s">
        <v>203</v>
      </c>
    </row>
    <row r="70" customFormat="false" ht="15" hidden="false" customHeight="false" outlineLevel="0" collapsed="false">
      <c r="A70" s="11" t="s">
        <v>110</v>
      </c>
      <c r="B70" s="11" t="s">
        <v>138</v>
      </c>
      <c r="C70" s="20" t="n">
        <v>1</v>
      </c>
      <c r="D70" s="12" t="n">
        <f aca="false">C70*ПАРАМЕТРЫ!$E$27</f>
        <v>16.6666666666667</v>
      </c>
      <c r="E70" s="20" t="n">
        <v>3</v>
      </c>
      <c r="F70" s="11" t="s">
        <v>203</v>
      </c>
    </row>
    <row r="71" customFormat="false" ht="15" hidden="false" customHeight="false" outlineLevel="0" collapsed="false">
      <c r="A71" s="11" t="s">
        <v>111</v>
      </c>
      <c r="B71" s="11" t="s">
        <v>124</v>
      </c>
      <c r="C71" s="20" t="n">
        <v>1</v>
      </c>
      <c r="D71" s="12" t="n">
        <f aca="false">C71*ПАРАМЕТРЫ!$E$27</f>
        <v>16.6666666666667</v>
      </c>
      <c r="E71" s="20" t="n">
        <v>1</v>
      </c>
      <c r="F71" s="11" t="s">
        <v>203</v>
      </c>
    </row>
    <row r="72" customFormat="false" ht="15" hidden="false" customHeight="false" outlineLevel="0" collapsed="false">
      <c r="A72" s="11" t="s">
        <v>111</v>
      </c>
      <c r="B72" s="11" t="s">
        <v>125</v>
      </c>
      <c r="C72" s="20" t="n">
        <v>1</v>
      </c>
      <c r="D72" s="12" t="n">
        <f aca="false">C72*ПАРАМЕТРЫ!$E$27</f>
        <v>16.6666666666667</v>
      </c>
      <c r="E72" s="20" t="n">
        <v>1</v>
      </c>
      <c r="F72" s="11" t="s">
        <v>203</v>
      </c>
    </row>
    <row r="73" customFormat="false" ht="15" hidden="false" customHeight="false" outlineLevel="0" collapsed="false">
      <c r="A73" s="11" t="s">
        <v>111</v>
      </c>
      <c r="B73" s="11" t="s">
        <v>126</v>
      </c>
      <c r="C73" s="20" t="n">
        <v>1</v>
      </c>
      <c r="D73" s="12" t="n">
        <f aca="false">C73*ПАРАМЕТРЫ!$E$27</f>
        <v>16.6666666666667</v>
      </c>
      <c r="E73" s="20" t="n">
        <v>1</v>
      </c>
      <c r="F73" s="11" t="s">
        <v>203</v>
      </c>
    </row>
    <row r="74" customFormat="false" ht="15" hidden="false" customHeight="false" outlineLevel="0" collapsed="false">
      <c r="A74" s="11" t="s">
        <v>111</v>
      </c>
      <c r="B74" s="11" t="s">
        <v>127</v>
      </c>
      <c r="C74" s="20" t="n">
        <v>1</v>
      </c>
      <c r="D74" s="12" t="n">
        <f aca="false">C74*ПАРАМЕТРЫ!$E$27</f>
        <v>16.6666666666667</v>
      </c>
      <c r="E74" s="20" t="n">
        <v>1</v>
      </c>
      <c r="F74" s="11" t="s">
        <v>203</v>
      </c>
    </row>
    <row r="75" customFormat="false" ht="15" hidden="false" customHeight="false" outlineLevel="0" collapsed="false">
      <c r="A75" s="11" t="s">
        <v>111</v>
      </c>
      <c r="B75" s="11" t="s">
        <v>128</v>
      </c>
      <c r="C75" s="20" t="n">
        <v>2</v>
      </c>
      <c r="D75" s="12" t="n">
        <f aca="false">C75*ПАРАМЕТРЫ!$E$27</f>
        <v>33.3333333333333</v>
      </c>
      <c r="E75" s="20" t="n">
        <v>2</v>
      </c>
      <c r="F75" s="11" t="s">
        <v>203</v>
      </c>
    </row>
    <row r="76" customFormat="false" ht="15" hidden="false" customHeight="false" outlineLevel="0" collapsed="false">
      <c r="A76" s="11" t="s">
        <v>111</v>
      </c>
      <c r="B76" s="11" t="s">
        <v>129</v>
      </c>
      <c r="C76" s="20" t="n">
        <v>2</v>
      </c>
      <c r="D76" s="12" t="n">
        <f aca="false">C76*ПАРАМЕТРЫ!$E$27</f>
        <v>33.3333333333333</v>
      </c>
      <c r="E76" s="20" t="n">
        <v>2</v>
      </c>
      <c r="F76" s="11" t="s">
        <v>203</v>
      </c>
    </row>
    <row r="77" customFormat="false" ht="15" hidden="false" customHeight="false" outlineLevel="0" collapsed="false">
      <c r="A77" s="11" t="s">
        <v>111</v>
      </c>
      <c r="B77" s="11" t="s">
        <v>130</v>
      </c>
      <c r="C77" s="20" t="n">
        <v>2</v>
      </c>
      <c r="D77" s="12" t="n">
        <f aca="false">C77*ПАРАМЕТРЫ!$E$27</f>
        <v>33.3333333333333</v>
      </c>
      <c r="E77" s="20" t="n">
        <v>2</v>
      </c>
      <c r="F77" s="11" t="s">
        <v>203</v>
      </c>
    </row>
    <row r="78" customFormat="false" ht="15" hidden="false" customHeight="false" outlineLevel="0" collapsed="false">
      <c r="A78" s="11" t="s">
        <v>111</v>
      </c>
      <c r="B78" s="11" t="s">
        <v>131</v>
      </c>
      <c r="C78" s="20" t="n">
        <v>2</v>
      </c>
      <c r="D78" s="12" t="n">
        <f aca="false">C78*ПАРАМЕТРЫ!$E$27</f>
        <v>33.3333333333333</v>
      </c>
      <c r="E78" s="20" t="n">
        <v>2</v>
      </c>
      <c r="F78" s="11" t="s">
        <v>203</v>
      </c>
    </row>
    <row r="79" customFormat="false" ht="15" hidden="false" customHeight="false" outlineLevel="0" collapsed="false">
      <c r="A79" s="11" t="s">
        <v>111</v>
      </c>
      <c r="B79" s="11" t="s">
        <v>132</v>
      </c>
      <c r="C79" s="20" t="n">
        <v>2</v>
      </c>
      <c r="D79" s="12" t="n">
        <f aca="false">C79*ПАРАМЕТРЫ!$E$27</f>
        <v>33.3333333333333</v>
      </c>
      <c r="E79" s="20" t="n">
        <v>2</v>
      </c>
      <c r="F79" s="11" t="s">
        <v>203</v>
      </c>
    </row>
    <row r="80" customFormat="false" ht="15" hidden="false" customHeight="false" outlineLevel="0" collapsed="false">
      <c r="A80" s="11" t="s">
        <v>111</v>
      </c>
      <c r="B80" s="11" t="s">
        <v>133</v>
      </c>
      <c r="C80" s="20" t="n">
        <v>2</v>
      </c>
      <c r="D80" s="12" t="n">
        <f aca="false">C80*ПАРАМЕТРЫ!$E$27</f>
        <v>33.3333333333333</v>
      </c>
      <c r="E80" s="20" t="n">
        <v>2</v>
      </c>
      <c r="F80" s="11" t="s">
        <v>203</v>
      </c>
    </row>
    <row r="81" customFormat="false" ht="15" hidden="false" customHeight="false" outlineLevel="0" collapsed="false">
      <c r="A81" s="11" t="s">
        <v>111</v>
      </c>
      <c r="B81" s="11" t="s">
        <v>134</v>
      </c>
      <c r="C81" s="20" t="n">
        <v>2</v>
      </c>
      <c r="D81" s="12" t="n">
        <f aca="false">C81*ПАРАМЕТРЫ!$E$27</f>
        <v>33.3333333333333</v>
      </c>
      <c r="E81" s="20" t="n">
        <v>2</v>
      </c>
      <c r="F81" s="11" t="s">
        <v>203</v>
      </c>
    </row>
    <row r="82" customFormat="false" ht="15" hidden="false" customHeight="false" outlineLevel="0" collapsed="false">
      <c r="A82" s="11" t="s">
        <v>111</v>
      </c>
      <c r="B82" s="11" t="s">
        <v>135</v>
      </c>
      <c r="C82" s="20" t="n">
        <v>1</v>
      </c>
      <c r="D82" s="12" t="n">
        <f aca="false">C82*ПАРАМЕТРЫ!$E$27</f>
        <v>16.6666666666667</v>
      </c>
      <c r="E82" s="20" t="n">
        <v>3</v>
      </c>
      <c r="F82" s="11" t="s">
        <v>203</v>
      </c>
    </row>
    <row r="83" customFormat="false" ht="15" hidden="false" customHeight="false" outlineLevel="0" collapsed="false">
      <c r="A83" s="11" t="s">
        <v>111</v>
      </c>
      <c r="B83" s="11" t="s">
        <v>136</v>
      </c>
      <c r="C83" s="20" t="n">
        <v>1</v>
      </c>
      <c r="D83" s="12" t="n">
        <f aca="false">C83*ПАРАМЕТРЫ!$E$27</f>
        <v>16.6666666666667</v>
      </c>
      <c r="E83" s="20" t="n">
        <v>3</v>
      </c>
      <c r="F83" s="11" t="s">
        <v>203</v>
      </c>
    </row>
    <row r="84" customFormat="false" ht="15" hidden="false" customHeight="false" outlineLevel="0" collapsed="false">
      <c r="A84" s="11" t="s">
        <v>111</v>
      </c>
      <c r="B84" s="11" t="s">
        <v>137</v>
      </c>
      <c r="C84" s="20" t="n">
        <v>1</v>
      </c>
      <c r="D84" s="12" t="n">
        <f aca="false">C84*ПАРАМЕТРЫ!$E$27</f>
        <v>16.6666666666667</v>
      </c>
      <c r="E84" s="20" t="n">
        <v>3</v>
      </c>
      <c r="F84" s="11" t="s">
        <v>203</v>
      </c>
    </row>
    <row r="85" customFormat="false" ht="15" hidden="false" customHeight="false" outlineLevel="0" collapsed="false">
      <c r="A85" s="11" t="s">
        <v>111</v>
      </c>
      <c r="B85" s="11" t="s">
        <v>138</v>
      </c>
      <c r="C85" s="20" t="n">
        <v>1</v>
      </c>
      <c r="D85" s="12" t="n">
        <f aca="false">C85*ПАРАМЕТРЫ!$E$27</f>
        <v>16.6666666666667</v>
      </c>
      <c r="E85" s="20" t="n">
        <v>3</v>
      </c>
      <c r="F85" s="11" t="s">
        <v>203</v>
      </c>
    </row>
    <row r="86" customFormat="false" ht="15" hidden="false" customHeight="false" outlineLevel="0" collapsed="false">
      <c r="A86" s="11" t="s">
        <v>112</v>
      </c>
      <c r="B86" s="11" t="s">
        <v>124</v>
      </c>
      <c r="C86" s="20" t="n">
        <v>1</v>
      </c>
      <c r="D86" s="12" t="n">
        <f aca="false">C86*ПАРАМЕТРЫ!$E$27</f>
        <v>16.6666666666667</v>
      </c>
      <c r="E86" s="20" t="n">
        <v>1</v>
      </c>
      <c r="F86" s="11" t="s">
        <v>203</v>
      </c>
    </row>
    <row r="87" customFormat="false" ht="15" hidden="false" customHeight="false" outlineLevel="0" collapsed="false">
      <c r="A87" s="11" t="s">
        <v>112</v>
      </c>
      <c r="B87" s="11" t="s">
        <v>125</v>
      </c>
      <c r="C87" s="20" t="n">
        <v>1</v>
      </c>
      <c r="D87" s="12" t="n">
        <f aca="false">C87*ПАРАМЕТРЫ!$E$27</f>
        <v>16.6666666666667</v>
      </c>
      <c r="E87" s="20" t="n">
        <v>1</v>
      </c>
      <c r="F87" s="11" t="s">
        <v>203</v>
      </c>
    </row>
    <row r="88" customFormat="false" ht="15" hidden="false" customHeight="false" outlineLevel="0" collapsed="false">
      <c r="A88" s="11" t="s">
        <v>112</v>
      </c>
      <c r="B88" s="11" t="s">
        <v>126</v>
      </c>
      <c r="C88" s="20" t="n">
        <v>1</v>
      </c>
      <c r="D88" s="12" t="n">
        <f aca="false">C88*ПАРАМЕТРЫ!$E$27</f>
        <v>16.6666666666667</v>
      </c>
      <c r="E88" s="20" t="n">
        <v>1</v>
      </c>
      <c r="F88" s="11" t="s">
        <v>203</v>
      </c>
    </row>
    <row r="89" customFormat="false" ht="15" hidden="false" customHeight="false" outlineLevel="0" collapsed="false">
      <c r="A89" s="11" t="s">
        <v>112</v>
      </c>
      <c r="B89" s="11" t="s">
        <v>127</v>
      </c>
      <c r="C89" s="20" t="n">
        <v>2</v>
      </c>
      <c r="D89" s="12" t="n">
        <f aca="false">C89*ПАРАМЕТРЫ!$E$27</f>
        <v>33.3333333333333</v>
      </c>
      <c r="E89" s="20" t="n">
        <v>2</v>
      </c>
      <c r="F89" s="11" t="s">
        <v>203</v>
      </c>
    </row>
    <row r="90" customFormat="false" ht="15" hidden="false" customHeight="false" outlineLevel="0" collapsed="false">
      <c r="A90" s="11" t="s">
        <v>112</v>
      </c>
      <c r="B90" s="11" t="s">
        <v>128</v>
      </c>
      <c r="C90" s="20" t="n">
        <v>3</v>
      </c>
      <c r="D90" s="12" t="n">
        <f aca="false">C90*ПАРАМЕТРЫ!$E$27</f>
        <v>50</v>
      </c>
      <c r="E90" s="20" t="n">
        <v>3</v>
      </c>
      <c r="F90" s="11" t="s">
        <v>203</v>
      </c>
    </row>
    <row r="91" customFormat="false" ht="15" hidden="false" customHeight="false" outlineLevel="0" collapsed="false">
      <c r="A91" s="11" t="s">
        <v>112</v>
      </c>
      <c r="B91" s="11" t="s">
        <v>129</v>
      </c>
      <c r="C91" s="20" t="n">
        <v>3</v>
      </c>
      <c r="D91" s="12" t="n">
        <f aca="false">C91*ПАРАМЕТРЫ!$E$27</f>
        <v>50</v>
      </c>
      <c r="E91" s="20" t="n">
        <v>3</v>
      </c>
      <c r="F91" s="11" t="s">
        <v>203</v>
      </c>
    </row>
    <row r="92" customFormat="false" ht="15" hidden="false" customHeight="false" outlineLevel="0" collapsed="false">
      <c r="A92" s="11" t="s">
        <v>112</v>
      </c>
      <c r="B92" s="11" t="s">
        <v>130</v>
      </c>
      <c r="C92" s="20" t="n">
        <v>3</v>
      </c>
      <c r="D92" s="12" t="n">
        <f aca="false">C92*ПАРАМЕТРЫ!$E$27</f>
        <v>50</v>
      </c>
      <c r="E92" s="20" t="n">
        <v>3</v>
      </c>
      <c r="F92" s="11" t="s">
        <v>203</v>
      </c>
    </row>
    <row r="93" customFormat="false" ht="15" hidden="false" customHeight="false" outlineLevel="0" collapsed="false">
      <c r="A93" s="11" t="s">
        <v>112</v>
      </c>
      <c r="B93" s="11" t="s">
        <v>131</v>
      </c>
      <c r="C93" s="20" t="n">
        <v>3</v>
      </c>
      <c r="D93" s="12" t="n">
        <f aca="false">C93*ПАРАМЕТРЫ!$E$27</f>
        <v>50</v>
      </c>
      <c r="E93" s="20" t="n">
        <v>3</v>
      </c>
      <c r="F93" s="11" t="s">
        <v>203</v>
      </c>
    </row>
    <row r="94" customFormat="false" ht="15" hidden="false" customHeight="false" outlineLevel="0" collapsed="false">
      <c r="A94" s="11" t="s">
        <v>112</v>
      </c>
      <c r="B94" s="11" t="s">
        <v>132</v>
      </c>
      <c r="C94" s="20" t="n">
        <v>3</v>
      </c>
      <c r="D94" s="12" t="n">
        <f aca="false">C94*ПАРАМЕТРЫ!$E$27</f>
        <v>50</v>
      </c>
      <c r="E94" s="20" t="n">
        <v>3</v>
      </c>
      <c r="F94" s="11" t="s">
        <v>203</v>
      </c>
    </row>
    <row r="95" customFormat="false" ht="15" hidden="false" customHeight="false" outlineLevel="0" collapsed="false">
      <c r="A95" s="11" t="s">
        <v>112</v>
      </c>
      <c r="B95" s="11" t="s">
        <v>133</v>
      </c>
      <c r="C95" s="20" t="n">
        <v>3</v>
      </c>
      <c r="D95" s="12" t="n">
        <f aca="false">C95*ПАРАМЕТРЫ!$E$27</f>
        <v>50</v>
      </c>
      <c r="E95" s="20" t="n">
        <v>3</v>
      </c>
      <c r="F95" s="11" t="s">
        <v>203</v>
      </c>
    </row>
    <row r="96" customFormat="false" ht="15" hidden="false" customHeight="false" outlineLevel="0" collapsed="false">
      <c r="A96" s="11" t="s">
        <v>112</v>
      </c>
      <c r="B96" s="11" t="s">
        <v>134</v>
      </c>
      <c r="C96" s="20" t="n">
        <v>3</v>
      </c>
      <c r="D96" s="12" t="n">
        <f aca="false">C96*ПАРАМЕТРЫ!$E$27</f>
        <v>50</v>
      </c>
      <c r="E96" s="20" t="n">
        <v>3</v>
      </c>
      <c r="F96" s="11" t="s">
        <v>203</v>
      </c>
    </row>
    <row r="97" customFormat="false" ht="15" hidden="false" customHeight="false" outlineLevel="0" collapsed="false">
      <c r="A97" s="11" t="s">
        <v>112</v>
      </c>
      <c r="B97" s="11" t="s">
        <v>135</v>
      </c>
      <c r="C97" s="20" t="n">
        <v>2</v>
      </c>
      <c r="D97" s="12" t="n">
        <f aca="false">C97*ПАРАМЕТРЫ!$E$27</f>
        <v>33.3333333333333</v>
      </c>
      <c r="E97" s="20" t="n">
        <v>3</v>
      </c>
      <c r="F97" s="11" t="s">
        <v>203</v>
      </c>
    </row>
    <row r="98" customFormat="false" ht="15" hidden="false" customHeight="false" outlineLevel="0" collapsed="false">
      <c r="A98" s="11" t="s">
        <v>112</v>
      </c>
      <c r="B98" s="11" t="s">
        <v>136</v>
      </c>
      <c r="C98" s="20" t="n">
        <v>2</v>
      </c>
      <c r="D98" s="12" t="n">
        <f aca="false">C98*ПАРАМЕТРЫ!$E$27</f>
        <v>33.3333333333333</v>
      </c>
      <c r="E98" s="20" t="n">
        <v>3</v>
      </c>
      <c r="F98" s="11" t="s">
        <v>203</v>
      </c>
    </row>
    <row r="99" customFormat="false" ht="15" hidden="false" customHeight="false" outlineLevel="0" collapsed="false">
      <c r="A99" s="11" t="s">
        <v>112</v>
      </c>
      <c r="B99" s="11" t="s">
        <v>137</v>
      </c>
      <c r="C99" s="20" t="n">
        <v>2</v>
      </c>
      <c r="D99" s="12" t="n">
        <f aca="false">C99*ПАРАМЕТРЫ!$E$27</f>
        <v>33.3333333333333</v>
      </c>
      <c r="E99" s="20" t="n">
        <v>3</v>
      </c>
      <c r="F99" s="11" t="s">
        <v>203</v>
      </c>
    </row>
    <row r="100" customFormat="false" ht="15" hidden="false" customHeight="false" outlineLevel="0" collapsed="false">
      <c r="A100" s="11" t="s">
        <v>112</v>
      </c>
      <c r="B100" s="11" t="s">
        <v>138</v>
      </c>
      <c r="C100" s="20" t="n">
        <v>2</v>
      </c>
      <c r="D100" s="12" t="n">
        <f aca="false">C100*ПАРАМЕТРЫ!$E$27</f>
        <v>33.3333333333333</v>
      </c>
      <c r="E100" s="20" t="n">
        <v>3</v>
      </c>
      <c r="F100" s="11" t="s">
        <v>203</v>
      </c>
    </row>
    <row r="101" customFormat="false" ht="15" hidden="false" customHeight="false" outlineLevel="0" collapsed="false">
      <c r="A101" s="11" t="s">
        <v>113</v>
      </c>
      <c r="B101" s="11" t="s">
        <v>124</v>
      </c>
      <c r="C101" s="20" t="n">
        <v>1</v>
      </c>
      <c r="D101" s="12" t="n">
        <f aca="false">C101*ПАРАМЕТРЫ!$E$27</f>
        <v>16.6666666666667</v>
      </c>
      <c r="E101" s="20" t="n">
        <v>1</v>
      </c>
      <c r="F101" s="11" t="s">
        <v>203</v>
      </c>
    </row>
    <row r="102" customFormat="false" ht="15" hidden="false" customHeight="false" outlineLevel="0" collapsed="false">
      <c r="A102" s="11" t="s">
        <v>113</v>
      </c>
      <c r="B102" s="11" t="s">
        <v>125</v>
      </c>
      <c r="C102" s="20" t="n">
        <v>1</v>
      </c>
      <c r="D102" s="12" t="n">
        <f aca="false">C102*ПАРАМЕТРЫ!$E$27</f>
        <v>16.6666666666667</v>
      </c>
      <c r="E102" s="20" t="n">
        <v>1</v>
      </c>
      <c r="F102" s="11" t="s">
        <v>203</v>
      </c>
    </row>
    <row r="103" customFormat="false" ht="15" hidden="false" customHeight="false" outlineLevel="0" collapsed="false">
      <c r="A103" s="11" t="s">
        <v>113</v>
      </c>
      <c r="B103" s="11" t="s">
        <v>126</v>
      </c>
      <c r="C103" s="20" t="n">
        <v>1</v>
      </c>
      <c r="D103" s="12" t="n">
        <f aca="false">C103*ПАРАМЕТРЫ!$E$27</f>
        <v>16.6666666666667</v>
      </c>
      <c r="E103" s="20" t="n">
        <v>1</v>
      </c>
      <c r="F103" s="11" t="s">
        <v>203</v>
      </c>
    </row>
    <row r="104" customFormat="false" ht="15" hidden="false" customHeight="false" outlineLevel="0" collapsed="false">
      <c r="A104" s="11" t="s">
        <v>113</v>
      </c>
      <c r="B104" s="11" t="s">
        <v>127</v>
      </c>
      <c r="C104" s="20" t="n">
        <v>1</v>
      </c>
      <c r="D104" s="12" t="n">
        <f aca="false">C104*ПАРАМЕТРЫ!$E$27</f>
        <v>16.6666666666667</v>
      </c>
      <c r="E104" s="20" t="n">
        <v>1</v>
      </c>
      <c r="F104" s="11" t="s">
        <v>203</v>
      </c>
    </row>
    <row r="105" customFormat="false" ht="15" hidden="false" customHeight="false" outlineLevel="0" collapsed="false">
      <c r="A105" s="11" t="s">
        <v>113</v>
      </c>
      <c r="B105" s="11" t="s">
        <v>128</v>
      </c>
      <c r="C105" s="20" t="n">
        <v>2</v>
      </c>
      <c r="D105" s="12" t="n">
        <f aca="false">C105*ПАРАМЕТРЫ!$E$27</f>
        <v>33.3333333333333</v>
      </c>
      <c r="E105" s="20" t="n">
        <v>2</v>
      </c>
      <c r="F105" s="11" t="s">
        <v>203</v>
      </c>
    </row>
    <row r="106" customFormat="false" ht="15" hidden="false" customHeight="false" outlineLevel="0" collapsed="false">
      <c r="A106" s="11" t="s">
        <v>113</v>
      </c>
      <c r="B106" s="11" t="s">
        <v>129</v>
      </c>
      <c r="C106" s="20" t="n">
        <v>2</v>
      </c>
      <c r="D106" s="12" t="n">
        <f aca="false">C106*ПАРАМЕТРЫ!$E$27</f>
        <v>33.3333333333333</v>
      </c>
      <c r="E106" s="20" t="n">
        <v>2</v>
      </c>
      <c r="F106" s="11" t="s">
        <v>203</v>
      </c>
    </row>
    <row r="107" customFormat="false" ht="15" hidden="false" customHeight="false" outlineLevel="0" collapsed="false">
      <c r="A107" s="11" t="s">
        <v>113</v>
      </c>
      <c r="B107" s="11" t="s">
        <v>130</v>
      </c>
      <c r="C107" s="20" t="n">
        <v>2</v>
      </c>
      <c r="D107" s="12" t="n">
        <f aca="false">C107*ПАРАМЕТРЫ!$E$27</f>
        <v>33.3333333333333</v>
      </c>
      <c r="E107" s="20" t="n">
        <v>2</v>
      </c>
      <c r="F107" s="11" t="s">
        <v>203</v>
      </c>
    </row>
    <row r="108" customFormat="false" ht="15" hidden="false" customHeight="false" outlineLevel="0" collapsed="false">
      <c r="A108" s="11" t="s">
        <v>113</v>
      </c>
      <c r="B108" s="11" t="s">
        <v>131</v>
      </c>
      <c r="C108" s="20" t="n">
        <v>2</v>
      </c>
      <c r="D108" s="12" t="n">
        <f aca="false">C108*ПАРАМЕТРЫ!$E$27</f>
        <v>33.3333333333333</v>
      </c>
      <c r="E108" s="20" t="n">
        <v>2</v>
      </c>
      <c r="F108" s="11" t="s">
        <v>203</v>
      </c>
    </row>
    <row r="109" customFormat="false" ht="15" hidden="false" customHeight="false" outlineLevel="0" collapsed="false">
      <c r="A109" s="11" t="s">
        <v>113</v>
      </c>
      <c r="B109" s="11" t="s">
        <v>132</v>
      </c>
      <c r="C109" s="20" t="n">
        <v>2</v>
      </c>
      <c r="D109" s="12" t="n">
        <f aca="false">C109*ПАРАМЕТРЫ!$E$27</f>
        <v>33.3333333333333</v>
      </c>
      <c r="E109" s="20" t="n">
        <v>2</v>
      </c>
      <c r="F109" s="11" t="s">
        <v>203</v>
      </c>
    </row>
    <row r="110" customFormat="false" ht="15" hidden="false" customHeight="false" outlineLevel="0" collapsed="false">
      <c r="A110" s="11" t="s">
        <v>113</v>
      </c>
      <c r="B110" s="11" t="s">
        <v>133</v>
      </c>
      <c r="C110" s="20" t="n">
        <v>2</v>
      </c>
      <c r="D110" s="12" t="n">
        <f aca="false">C110*ПАРАМЕТРЫ!$E$27</f>
        <v>33.3333333333333</v>
      </c>
      <c r="E110" s="20" t="n">
        <v>2</v>
      </c>
      <c r="F110" s="11" t="s">
        <v>203</v>
      </c>
    </row>
    <row r="111" customFormat="false" ht="15" hidden="false" customHeight="false" outlineLevel="0" collapsed="false">
      <c r="A111" s="11" t="s">
        <v>113</v>
      </c>
      <c r="B111" s="11" t="s">
        <v>134</v>
      </c>
      <c r="C111" s="20" t="n">
        <v>2</v>
      </c>
      <c r="D111" s="12" t="n">
        <f aca="false">C111*ПАРАМЕТРЫ!$E$27</f>
        <v>33.3333333333333</v>
      </c>
      <c r="E111" s="20" t="n">
        <v>2</v>
      </c>
      <c r="F111" s="11" t="s">
        <v>203</v>
      </c>
    </row>
    <row r="112" customFormat="false" ht="15" hidden="false" customHeight="false" outlineLevel="0" collapsed="false">
      <c r="A112" s="11" t="s">
        <v>113</v>
      </c>
      <c r="B112" s="11" t="s">
        <v>135</v>
      </c>
      <c r="C112" s="20" t="n">
        <v>1</v>
      </c>
      <c r="D112" s="12" t="n">
        <f aca="false">C112*ПАРАМЕТРЫ!$E$27</f>
        <v>16.6666666666667</v>
      </c>
      <c r="E112" s="20" t="n">
        <v>3</v>
      </c>
      <c r="F112" s="11" t="s">
        <v>203</v>
      </c>
    </row>
    <row r="113" customFormat="false" ht="15" hidden="false" customHeight="false" outlineLevel="0" collapsed="false">
      <c r="A113" s="11" t="s">
        <v>113</v>
      </c>
      <c r="B113" s="11" t="s">
        <v>136</v>
      </c>
      <c r="C113" s="20" t="n">
        <v>1</v>
      </c>
      <c r="D113" s="12" t="n">
        <f aca="false">C113*ПАРАМЕТРЫ!$E$27</f>
        <v>16.6666666666667</v>
      </c>
      <c r="E113" s="20" t="n">
        <v>3</v>
      </c>
      <c r="F113" s="11" t="s">
        <v>203</v>
      </c>
    </row>
    <row r="114" customFormat="false" ht="15" hidden="false" customHeight="false" outlineLevel="0" collapsed="false">
      <c r="A114" s="11" t="s">
        <v>113</v>
      </c>
      <c r="B114" s="11" t="s">
        <v>137</v>
      </c>
      <c r="C114" s="20" t="n">
        <v>1</v>
      </c>
      <c r="D114" s="12" t="n">
        <f aca="false">C114*ПАРАМЕТРЫ!$E$27</f>
        <v>16.6666666666667</v>
      </c>
      <c r="E114" s="20" t="n">
        <v>3</v>
      </c>
      <c r="F114" s="11" t="s">
        <v>203</v>
      </c>
    </row>
    <row r="115" customFormat="false" ht="15" hidden="false" customHeight="false" outlineLevel="0" collapsed="false">
      <c r="A115" s="11" t="s">
        <v>113</v>
      </c>
      <c r="B115" s="11" t="s">
        <v>138</v>
      </c>
      <c r="C115" s="20" t="n">
        <v>1</v>
      </c>
      <c r="D115" s="12" t="n">
        <f aca="false">C115*ПАРАМЕТРЫ!$E$27</f>
        <v>16.6666666666667</v>
      </c>
      <c r="E115" s="20" t="n">
        <v>3</v>
      </c>
      <c r="F115" s="11" t="s">
        <v>203</v>
      </c>
    </row>
  </sheetData>
  <mergeCells count="7">
    <mergeCell ref="A1:F1"/>
    <mergeCell ref="A2:F2"/>
    <mergeCell ref="A4:F4"/>
    <mergeCell ref="B5:F5"/>
    <mergeCell ref="B6:F6"/>
    <mergeCell ref="B7:F7"/>
    <mergeCell ref="B8:F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2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8"/>
    <col collapsed="false" customWidth="true" hidden="false" outlineLevel="0" max="3" min="3" style="0" width="6"/>
    <col collapsed="false" customWidth="true" hidden="false" outlineLevel="0" max="4" min="4" style="0" width="20"/>
    <col collapsed="false" customWidth="true" hidden="false" outlineLevel="0" max="5" min="5" style="0" width="42"/>
    <col collapsed="false" customWidth="true" hidden="false" outlineLevel="0" max="6" min="6" style="0" width="18"/>
    <col collapsed="false" customWidth="true" hidden="false" outlineLevel="0" max="7" min="7" style="0" width="12"/>
    <col collapsed="false" customWidth="true" hidden="false" outlineLevel="0" max="9" min="8" style="0" width="18"/>
    <col collapsed="false" customWidth="true" hidden="false" outlineLevel="0" max="10" min="10" style="0" width="14"/>
    <col collapsed="false" customWidth="true" hidden="false" outlineLevel="0" max="11" min="11" style="0" width="48"/>
    <col collapsed="false" customWidth="true" hidden="false" outlineLevel="0" max="12" min="12" style="0" width="18"/>
    <col collapsed="false" customWidth="true" hidden="false" outlineLevel="0" max="13" min="13" style="0" width="24"/>
  </cols>
  <sheetData>
    <row r="1" customFormat="false" ht="30" hidden="false" customHeight="true" outlineLevel="0" collapsed="false">
      <c r="A1" s="1" t="s">
        <v>204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34" hidden="false" customHeight="true" outlineLevel="0" collapsed="false">
      <c r="A2" s="2" t="s">
        <v>205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15" hidden="false" customHeight="false" outlineLevel="0" collapsed="false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</row>
    <row r="5" customFormat="false" ht="15" hidden="false" customHeight="true" outlineLevel="0" collapsed="false">
      <c r="A5" s="6" t="s">
        <v>206</v>
      </c>
      <c r="B5" s="7" t="s">
        <v>207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</row>
    <row r="6" customFormat="false" ht="15" hidden="false" customHeight="true" outlineLevel="0" collapsed="false">
      <c r="A6" s="6" t="s">
        <v>208</v>
      </c>
      <c r="B6" s="7" t="s">
        <v>209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</row>
    <row r="7" customFormat="false" ht="15" hidden="false" customHeight="true" outlineLevel="0" collapsed="false">
      <c r="A7" s="6" t="s">
        <v>210</v>
      </c>
      <c r="B7" s="7" t="s">
        <v>211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</row>
    <row r="8" customFormat="false" ht="15" hidden="false" customHeight="true" outlineLevel="0" collapsed="false">
      <c r="A8" s="6" t="s">
        <v>212</v>
      </c>
      <c r="B8" s="7" t="s">
        <v>213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</row>
    <row r="10" customFormat="false" ht="15" hidden="false" customHeight="false" outlineLevel="0" collapsed="false">
      <c r="A10" s="8" t="s">
        <v>106</v>
      </c>
      <c r="B10" s="8" t="s">
        <v>198</v>
      </c>
      <c r="C10" s="8" t="s">
        <v>149</v>
      </c>
      <c r="D10" s="8" t="s">
        <v>150</v>
      </c>
      <c r="E10" s="8" t="s">
        <v>151</v>
      </c>
      <c r="F10" s="8" t="s">
        <v>152</v>
      </c>
      <c r="G10" s="8" t="s">
        <v>141</v>
      </c>
      <c r="H10" s="8" t="s">
        <v>206</v>
      </c>
      <c r="I10" s="8" t="s">
        <v>208</v>
      </c>
      <c r="J10" s="8" t="s">
        <v>210</v>
      </c>
      <c r="K10" s="8" t="s">
        <v>214</v>
      </c>
      <c r="L10" s="8" t="s">
        <v>215</v>
      </c>
      <c r="M10" s="8" t="s">
        <v>216</v>
      </c>
    </row>
    <row r="11" customFormat="false" ht="15" hidden="false" customHeight="false" outlineLevel="0" collapsed="false">
      <c r="A11" s="9" t="s">
        <v>107</v>
      </c>
      <c r="B11" s="9" t="s">
        <v>124</v>
      </c>
      <c r="C11" s="9" t="n">
        <v>1</v>
      </c>
      <c r="D11" s="9" t="s">
        <v>74</v>
      </c>
      <c r="E11" s="9" t="s">
        <v>153</v>
      </c>
      <c r="F11" s="9" t="s">
        <v>73</v>
      </c>
      <c r="G11" s="10" t="n">
        <v>450</v>
      </c>
      <c r="H11" s="10" t="n">
        <f aca="false">SUMPRODUCT(ПОТОКИ!B11:G11,ЧАСОВЫЕ_ПРОФИЛИ!B11:G11,КОЭФФИЦИЕНТЫ_ВЫБОРА!F11:K11)</f>
        <v>0</v>
      </c>
      <c r="I11" s="10" t="n">
        <f aca="false">SUMPRODUCT(ПОТОКИ!B11:G11,ЧАСОВЫЕ_ПРОФИЛИ!B11:G11,КОЭФФИЦИЕНТЫ_ВЫБОРА!F11:K11,ПАРАМЕТРЫ!$B$17:$G$17)</f>
        <v>0</v>
      </c>
      <c r="J11" s="10" t="n">
        <f aca="false">I11*G11/1000</f>
        <v>0</v>
      </c>
      <c r="K11" s="9" t="s">
        <v>217</v>
      </c>
      <c r="L11" s="9" t="s">
        <v>19</v>
      </c>
      <c r="M11" s="9" t="s">
        <v>145</v>
      </c>
    </row>
    <row r="12" customFormat="false" ht="15" hidden="false" customHeight="false" outlineLevel="0" collapsed="false">
      <c r="A12" s="11" t="s">
        <v>107</v>
      </c>
      <c r="B12" s="11" t="s">
        <v>124</v>
      </c>
      <c r="C12" s="11" t="n">
        <v>2</v>
      </c>
      <c r="D12" s="11" t="s">
        <v>74</v>
      </c>
      <c r="E12" s="11" t="s">
        <v>154</v>
      </c>
      <c r="F12" s="11" t="s">
        <v>73</v>
      </c>
      <c r="G12" s="12" t="n">
        <v>480</v>
      </c>
      <c r="H12" s="12" t="n">
        <f aca="false">SUMPRODUCT(ПОТОКИ!B11:G11,ЧАСОВЫЕ_ПРОФИЛИ!B11:G11,КОЭФФИЦИЕНТЫ_ВЫБОРА!F12:K12)</f>
        <v>0</v>
      </c>
      <c r="I12" s="12" t="n">
        <f aca="false">SUMPRODUCT(ПОТОКИ!B11:G11,ЧАСОВЫЕ_ПРОФИЛИ!B11:G11,КОЭФФИЦИЕНТЫ_ВЫБОРА!F12:K12,ПАРАМЕТРЫ!$B$17:$G$17)</f>
        <v>0</v>
      </c>
      <c r="J12" s="12" t="n">
        <f aca="false">I12*G12/1000</f>
        <v>0</v>
      </c>
      <c r="K12" s="11" t="s">
        <v>217</v>
      </c>
      <c r="L12" s="11" t="s">
        <v>19</v>
      </c>
      <c r="M12" s="11" t="s">
        <v>145</v>
      </c>
    </row>
    <row r="13" customFormat="false" ht="15" hidden="false" customHeight="false" outlineLevel="0" collapsed="false">
      <c r="A13" s="11" t="s">
        <v>107</v>
      </c>
      <c r="B13" s="11" t="s">
        <v>124</v>
      </c>
      <c r="C13" s="11" t="n">
        <v>3</v>
      </c>
      <c r="D13" s="11" t="s">
        <v>74</v>
      </c>
      <c r="E13" s="11" t="s">
        <v>155</v>
      </c>
      <c r="F13" s="11" t="s">
        <v>73</v>
      </c>
      <c r="G13" s="12" t="n">
        <v>500</v>
      </c>
      <c r="H13" s="12" t="n">
        <f aca="false">SUMPRODUCT(ПОТОКИ!B11:G11,ЧАСОВЫЕ_ПРОФИЛИ!B11:G11,КОЭФФИЦИЕНТЫ_ВЫБОРА!F13:K13)</f>
        <v>0</v>
      </c>
      <c r="I13" s="12" t="n">
        <f aca="false">SUMPRODUCT(ПОТОКИ!B11:G11,ЧАСОВЫЕ_ПРОФИЛИ!B11:G11,КОЭФФИЦИЕНТЫ_ВЫБОРА!F13:K13,ПАРАМЕТРЫ!$B$17:$G$17)</f>
        <v>0</v>
      </c>
      <c r="J13" s="12" t="n">
        <f aca="false">I13*G13/1000</f>
        <v>0</v>
      </c>
      <c r="K13" s="11" t="s">
        <v>217</v>
      </c>
      <c r="L13" s="11" t="s">
        <v>19</v>
      </c>
      <c r="M13" s="11" t="s">
        <v>145</v>
      </c>
    </row>
    <row r="14" customFormat="false" ht="15" hidden="false" customHeight="false" outlineLevel="0" collapsed="false">
      <c r="A14" s="11" t="s">
        <v>107</v>
      </c>
      <c r="B14" s="11" t="s">
        <v>124</v>
      </c>
      <c r="C14" s="11" t="n">
        <v>4</v>
      </c>
      <c r="D14" s="11" t="s">
        <v>74</v>
      </c>
      <c r="E14" s="11" t="s">
        <v>156</v>
      </c>
      <c r="F14" s="11" t="s">
        <v>73</v>
      </c>
      <c r="G14" s="12" t="n">
        <v>500</v>
      </c>
      <c r="H14" s="12" t="n">
        <f aca="false">SUMPRODUCT(ПОТОКИ!B11:G11,ЧАСОВЫЕ_ПРОФИЛИ!B11:G11,КОЭФФИЦИЕНТЫ_ВЫБОРА!F14:K14)</f>
        <v>0</v>
      </c>
      <c r="I14" s="12" t="n">
        <f aca="false">SUMPRODUCT(ПОТОКИ!B11:G11,ЧАСОВЫЕ_ПРОФИЛИ!B11:G11,КОЭФФИЦИЕНТЫ_ВЫБОРА!F14:K14,ПАРАМЕТРЫ!$B$17:$G$17)</f>
        <v>0</v>
      </c>
      <c r="J14" s="12" t="n">
        <f aca="false">I14*G14/1000</f>
        <v>0</v>
      </c>
      <c r="K14" s="11" t="s">
        <v>217</v>
      </c>
      <c r="L14" s="11" t="s">
        <v>19</v>
      </c>
      <c r="M14" s="11" t="s">
        <v>145</v>
      </c>
    </row>
    <row r="15" customFormat="false" ht="15" hidden="false" customHeight="false" outlineLevel="0" collapsed="false">
      <c r="A15" s="11" t="s">
        <v>107</v>
      </c>
      <c r="B15" s="11" t="s">
        <v>124</v>
      </c>
      <c r="C15" s="11" t="n">
        <v>5</v>
      </c>
      <c r="D15" s="11" t="s">
        <v>78</v>
      </c>
      <c r="E15" s="11" t="s">
        <v>157</v>
      </c>
      <c r="F15" s="11" t="s">
        <v>77</v>
      </c>
      <c r="G15" s="12" t="n">
        <v>100</v>
      </c>
      <c r="H15" s="12" t="n">
        <f aca="false">SUMPRODUCT(ПОТОКИ!B11:G11,ЧАСОВЫЕ_ПРОФИЛИ!B11:G11,КОЭФФИЦИЕНТЫ_ВЫБОРА!F15:K15)</f>
        <v>0.108</v>
      </c>
      <c r="I15" s="12" t="n">
        <f aca="false">SUMPRODUCT(ПОТОКИ!B11:G11,ЧАСОВЫЕ_ПРОФИЛИ!B11:G11,КОЭФФИЦИЕНТЫ_ВЫБОРА!F15:K15,ПАРАМЕТРЫ!$B$17:$G$17)</f>
        <v>0.1188</v>
      </c>
      <c r="J15" s="12" t="n">
        <f aca="false">I15*G15/1000</f>
        <v>0.01188</v>
      </c>
      <c r="K15" s="11" t="s">
        <v>217</v>
      </c>
      <c r="L15" s="11" t="s">
        <v>19</v>
      </c>
      <c r="M15" s="11" t="s">
        <v>147</v>
      </c>
    </row>
    <row r="16" customFormat="false" ht="15" hidden="false" customHeight="false" outlineLevel="0" collapsed="false">
      <c r="A16" s="11" t="s">
        <v>107</v>
      </c>
      <c r="B16" s="11" t="s">
        <v>124</v>
      </c>
      <c r="C16" s="11" t="n">
        <v>6</v>
      </c>
      <c r="D16" s="11" t="s">
        <v>78</v>
      </c>
      <c r="E16" s="11" t="s">
        <v>158</v>
      </c>
      <c r="F16" s="11" t="s">
        <v>77</v>
      </c>
      <c r="G16" s="12" t="n">
        <v>100</v>
      </c>
      <c r="H16" s="12" t="n">
        <f aca="false">SUMPRODUCT(ПОТОКИ!B11:G11,ЧАСОВЫЕ_ПРОФИЛИ!B11:G11,КОЭФФИЦИЕНТЫ_ВЫБОРА!F16:K16)</f>
        <v>0.108</v>
      </c>
      <c r="I16" s="12" t="n">
        <f aca="false">SUMPRODUCT(ПОТОКИ!B11:G11,ЧАСОВЫЕ_ПРОФИЛИ!B11:G11,КОЭФФИЦИЕНТЫ_ВЫБОРА!F16:K16,ПАРАМЕТРЫ!$B$17:$G$17)</f>
        <v>0.1188</v>
      </c>
      <c r="J16" s="12" t="n">
        <f aca="false">I16*G16/1000</f>
        <v>0.01188</v>
      </c>
      <c r="K16" s="11" t="s">
        <v>217</v>
      </c>
      <c r="L16" s="11" t="s">
        <v>19</v>
      </c>
      <c r="M16" s="11" t="s">
        <v>147</v>
      </c>
    </row>
    <row r="17" customFormat="false" ht="15" hidden="false" customHeight="false" outlineLevel="0" collapsed="false">
      <c r="A17" s="11" t="s">
        <v>107</v>
      </c>
      <c r="B17" s="11" t="s">
        <v>124</v>
      </c>
      <c r="C17" s="11" t="n">
        <v>7</v>
      </c>
      <c r="D17" s="11" t="s">
        <v>78</v>
      </c>
      <c r="E17" s="11" t="s">
        <v>159</v>
      </c>
      <c r="F17" s="11" t="s">
        <v>77</v>
      </c>
      <c r="G17" s="12" t="n">
        <v>350</v>
      </c>
      <c r="H17" s="12" t="n">
        <f aca="false">SUMPRODUCT(ПОТОКИ!B11:G11,ЧАСОВЫЕ_ПРОФИЛИ!B11:G11,КОЭФФИЦИЕНТЫ_ВЫБОРА!F17:K17)</f>
        <v>0.09</v>
      </c>
      <c r="I17" s="12" t="n">
        <f aca="false">SUMPRODUCT(ПОТОКИ!B11:G11,ЧАСОВЫЕ_ПРОФИЛИ!B11:G11,КОЭФФИЦИЕНТЫ_ВЫБОРА!F17:K17,ПАРАМЕТРЫ!$B$17:$G$17)</f>
        <v>0.099</v>
      </c>
      <c r="J17" s="12" t="n">
        <f aca="false">I17*G17/1000</f>
        <v>0.03465</v>
      </c>
      <c r="K17" s="11" t="s">
        <v>217</v>
      </c>
      <c r="L17" s="11" t="s">
        <v>19</v>
      </c>
      <c r="M17" s="11" t="s">
        <v>147</v>
      </c>
    </row>
    <row r="18" customFormat="false" ht="15" hidden="false" customHeight="false" outlineLevel="0" collapsed="false">
      <c r="A18" s="11" t="s">
        <v>107</v>
      </c>
      <c r="B18" s="11" t="s">
        <v>124</v>
      </c>
      <c r="C18" s="11" t="n">
        <v>8</v>
      </c>
      <c r="D18" s="11" t="s">
        <v>78</v>
      </c>
      <c r="E18" s="11" t="s">
        <v>160</v>
      </c>
      <c r="F18" s="11" t="s">
        <v>77</v>
      </c>
      <c r="G18" s="12" t="n">
        <v>85</v>
      </c>
      <c r="H18" s="12" t="n">
        <f aca="false">SUMPRODUCT(ПОТОКИ!B11:G11,ЧАСОВЫЕ_ПРОФИЛИ!B11:G11,КОЭФФИЦИЕНТЫ_ВЫБОРА!F18:K18)</f>
        <v>0.054</v>
      </c>
      <c r="I18" s="12" t="n">
        <f aca="false">SUMPRODUCT(ПОТОКИ!B11:G11,ЧАСОВЫЕ_ПРОФИЛИ!B11:G11,КОЭФФИЦИЕНТЫ_ВЫБОРА!F18:K18,ПАРАМЕТРЫ!$B$17:$G$17)</f>
        <v>0.0594</v>
      </c>
      <c r="J18" s="12" t="n">
        <f aca="false">I18*G18/1000</f>
        <v>0.005049</v>
      </c>
      <c r="K18" s="11" t="s">
        <v>217</v>
      </c>
      <c r="L18" s="11" t="s">
        <v>19</v>
      </c>
      <c r="M18" s="11" t="s">
        <v>147</v>
      </c>
    </row>
    <row r="19" customFormat="false" ht="15" hidden="false" customHeight="false" outlineLevel="0" collapsed="false">
      <c r="A19" s="11" t="s">
        <v>107</v>
      </c>
      <c r="B19" s="11" t="s">
        <v>124</v>
      </c>
      <c r="C19" s="11" t="n">
        <v>9</v>
      </c>
      <c r="D19" s="11" t="s">
        <v>161</v>
      </c>
      <c r="E19" s="11" t="s">
        <v>162</v>
      </c>
      <c r="F19" s="11" t="s">
        <v>80</v>
      </c>
      <c r="G19" s="12" t="n">
        <v>300</v>
      </c>
      <c r="H19" s="12" t="n">
        <f aca="false">SUMPRODUCT(ПОТОКИ!B11:G11,ЧАСОВЫЕ_ПРОФИЛИ!B11:G11,КОЭФФИЦИЕНТЫ_ВЫБОРА!F19:K19)</f>
        <v>0</v>
      </c>
      <c r="I19" s="12" t="n">
        <f aca="false">SUMPRODUCT(ПОТОКИ!B11:G11,ЧАСОВЫЕ_ПРОФИЛИ!B11:G11,КОЭФФИЦИЕНТЫ_ВЫБОРА!F19:K19,ПАРАМЕТРЫ!$B$17:$G$17)</f>
        <v>0</v>
      </c>
      <c r="J19" s="12" t="n">
        <f aca="false">I19*G19/1000</f>
        <v>0</v>
      </c>
      <c r="K19" s="11" t="s">
        <v>217</v>
      </c>
      <c r="L19" s="11" t="s">
        <v>19</v>
      </c>
      <c r="M19" s="11" t="s">
        <v>145</v>
      </c>
    </row>
    <row r="20" customFormat="false" ht="15" hidden="false" customHeight="false" outlineLevel="0" collapsed="false">
      <c r="A20" s="11" t="s">
        <v>107</v>
      </c>
      <c r="B20" s="11" t="s">
        <v>124</v>
      </c>
      <c r="C20" s="11" t="n">
        <v>10</v>
      </c>
      <c r="D20" s="11" t="s">
        <v>161</v>
      </c>
      <c r="E20" s="11" t="s">
        <v>163</v>
      </c>
      <c r="F20" s="11" t="s">
        <v>80</v>
      </c>
      <c r="G20" s="12" t="n">
        <v>280</v>
      </c>
      <c r="H20" s="12" t="n">
        <f aca="false">SUMPRODUCT(ПОТОКИ!B11:G11,ЧАСОВЫЕ_ПРОФИЛИ!B11:G11,КОЭФФИЦИЕНТЫ_ВЫБОРА!F20:K20)</f>
        <v>0</v>
      </c>
      <c r="I20" s="12" t="n">
        <f aca="false">SUMPRODUCT(ПОТОКИ!B11:G11,ЧАСОВЫЕ_ПРОФИЛИ!B11:G11,КОЭФФИЦИЕНТЫ_ВЫБОРА!F20:K20,ПАРАМЕТРЫ!$B$17:$G$17)</f>
        <v>0</v>
      </c>
      <c r="J20" s="12" t="n">
        <f aca="false">I20*G20/1000</f>
        <v>0</v>
      </c>
      <c r="K20" s="11" t="s">
        <v>217</v>
      </c>
      <c r="L20" s="11" t="s">
        <v>19</v>
      </c>
      <c r="M20" s="11" t="s">
        <v>145</v>
      </c>
    </row>
    <row r="21" customFormat="false" ht="15" hidden="false" customHeight="false" outlineLevel="0" collapsed="false">
      <c r="A21" s="11" t="s">
        <v>107</v>
      </c>
      <c r="B21" s="11" t="s">
        <v>124</v>
      </c>
      <c r="C21" s="11" t="n">
        <v>11</v>
      </c>
      <c r="D21" s="11" t="s">
        <v>161</v>
      </c>
      <c r="E21" s="11" t="s">
        <v>164</v>
      </c>
      <c r="F21" s="11" t="s">
        <v>80</v>
      </c>
      <c r="G21" s="12" t="n">
        <v>270</v>
      </c>
      <c r="H21" s="12" t="n">
        <f aca="false">SUMPRODUCT(ПОТОКИ!B11:G11,ЧАСОВЫЕ_ПРОФИЛИ!B11:G11,КОЭФФИЦИЕНТЫ_ВЫБОРА!F21:K21)</f>
        <v>0</v>
      </c>
      <c r="I21" s="12" t="n">
        <f aca="false">SUMPRODUCT(ПОТОКИ!B11:G11,ЧАСОВЫЕ_ПРОФИЛИ!B11:G11,КОЭФФИЦИЕНТЫ_ВЫБОРА!F21:K21,ПАРАМЕТРЫ!$B$17:$G$17)</f>
        <v>0</v>
      </c>
      <c r="J21" s="12" t="n">
        <f aca="false">I21*G21/1000</f>
        <v>0</v>
      </c>
      <c r="K21" s="11" t="s">
        <v>217</v>
      </c>
      <c r="L21" s="11" t="s">
        <v>19</v>
      </c>
      <c r="M21" s="11" t="s">
        <v>145</v>
      </c>
    </row>
    <row r="22" customFormat="false" ht="15" hidden="false" customHeight="false" outlineLevel="0" collapsed="false">
      <c r="A22" s="11" t="s">
        <v>107</v>
      </c>
      <c r="B22" s="11" t="s">
        <v>124</v>
      </c>
      <c r="C22" s="11" t="n">
        <v>12</v>
      </c>
      <c r="D22" s="11" t="s">
        <v>161</v>
      </c>
      <c r="E22" s="11" t="s">
        <v>165</v>
      </c>
      <c r="F22" s="11" t="s">
        <v>80</v>
      </c>
      <c r="G22" s="12" t="n">
        <v>240</v>
      </c>
      <c r="H22" s="12" t="n">
        <f aca="false">SUMPRODUCT(ПОТОКИ!B11:G11,ЧАСОВЫЕ_ПРОФИЛИ!B11:G11,КОЭФФИЦИЕНТЫ_ВЫБОРА!F22:K22)</f>
        <v>0</v>
      </c>
      <c r="I22" s="12" t="n">
        <f aca="false">SUMPRODUCT(ПОТОКИ!B11:G11,ЧАСОВЫЕ_ПРОФИЛИ!B11:G11,КОЭФФИЦИЕНТЫ_ВЫБОРА!F22:K22,ПАРАМЕТРЫ!$B$17:$G$17)</f>
        <v>0</v>
      </c>
      <c r="J22" s="12" t="n">
        <f aca="false">I22*G22/1000</f>
        <v>0</v>
      </c>
      <c r="K22" s="11" t="s">
        <v>217</v>
      </c>
      <c r="L22" s="11" t="s">
        <v>19</v>
      </c>
      <c r="M22" s="11" t="s">
        <v>145</v>
      </c>
    </row>
    <row r="23" customFormat="false" ht="15" hidden="false" customHeight="false" outlineLevel="0" collapsed="false">
      <c r="A23" s="11" t="s">
        <v>107</v>
      </c>
      <c r="B23" s="11" t="s">
        <v>124</v>
      </c>
      <c r="C23" s="11" t="n">
        <v>13</v>
      </c>
      <c r="D23" s="11" t="s">
        <v>166</v>
      </c>
      <c r="E23" s="11" t="s">
        <v>167</v>
      </c>
      <c r="F23" s="11" t="s">
        <v>80</v>
      </c>
      <c r="G23" s="12" t="n">
        <v>130</v>
      </c>
      <c r="H23" s="12" t="n">
        <f aca="false">SUMPRODUCT(ПОТОКИ!B11:G11,ЧАСОВЫЕ_ПРОФИЛИ!B11:G11,КОЭФФИЦИЕНТЫ_ВЫБОРА!F23:K23)</f>
        <v>0</v>
      </c>
      <c r="I23" s="12" t="n">
        <f aca="false">SUMPRODUCT(ПОТОКИ!B11:G11,ЧАСОВЫЕ_ПРОФИЛИ!B11:G11,КОЭФФИЦИЕНТЫ_ВЫБОРА!F23:K23,ПАРАМЕТРЫ!$B$17:$G$17)</f>
        <v>0</v>
      </c>
      <c r="J23" s="12" t="n">
        <f aca="false">I23*G23/1000</f>
        <v>0</v>
      </c>
      <c r="K23" s="11" t="s">
        <v>217</v>
      </c>
      <c r="L23" s="11" t="s">
        <v>19</v>
      </c>
      <c r="M23" s="11" t="s">
        <v>145</v>
      </c>
    </row>
    <row r="24" customFormat="false" ht="15" hidden="false" customHeight="false" outlineLevel="0" collapsed="false">
      <c r="A24" s="11" t="s">
        <v>107</v>
      </c>
      <c r="B24" s="11" t="s">
        <v>124</v>
      </c>
      <c r="C24" s="11" t="n">
        <v>14</v>
      </c>
      <c r="D24" s="11" t="s">
        <v>166</v>
      </c>
      <c r="E24" s="11" t="s">
        <v>168</v>
      </c>
      <c r="F24" s="11" t="s">
        <v>80</v>
      </c>
      <c r="G24" s="12" t="n">
        <v>250</v>
      </c>
      <c r="H24" s="12" t="n">
        <f aca="false">SUMPRODUCT(ПОТОКИ!B11:G11,ЧАСОВЫЕ_ПРОФИЛИ!B11:G11,КОЭФФИЦИЕНТЫ_ВЫБОРА!F24:K24)</f>
        <v>0</v>
      </c>
      <c r="I24" s="12" t="n">
        <f aca="false">SUMPRODUCT(ПОТОКИ!B11:G11,ЧАСОВЫЕ_ПРОФИЛИ!B11:G11,КОЭФФИЦИЕНТЫ_ВЫБОРА!F24:K24,ПАРАМЕТРЫ!$B$17:$G$17)</f>
        <v>0</v>
      </c>
      <c r="J24" s="12" t="n">
        <f aca="false">I24*G24/1000</f>
        <v>0</v>
      </c>
      <c r="K24" s="11" t="s">
        <v>217</v>
      </c>
      <c r="L24" s="11" t="s">
        <v>19</v>
      </c>
      <c r="M24" s="11" t="s">
        <v>145</v>
      </c>
    </row>
    <row r="25" customFormat="false" ht="15" hidden="false" customHeight="false" outlineLevel="0" collapsed="false">
      <c r="A25" s="11" t="s">
        <v>107</v>
      </c>
      <c r="B25" s="11" t="s">
        <v>124</v>
      </c>
      <c r="C25" s="11" t="n">
        <v>15</v>
      </c>
      <c r="D25" s="11" t="s">
        <v>166</v>
      </c>
      <c r="E25" s="11" t="s">
        <v>169</v>
      </c>
      <c r="F25" s="11" t="s">
        <v>80</v>
      </c>
      <c r="G25" s="12" t="n">
        <v>120</v>
      </c>
      <c r="H25" s="12" t="n">
        <f aca="false">SUMPRODUCT(ПОТОКИ!B11:G11,ЧАСОВЫЕ_ПРОФИЛИ!B11:G11,КОЭФФИЦИЕНТЫ_ВЫБОРА!F25:K25)</f>
        <v>0</v>
      </c>
      <c r="I25" s="12" t="n">
        <f aca="false">SUMPRODUCT(ПОТОКИ!B11:G11,ЧАСОВЫЕ_ПРОФИЛИ!B11:G11,КОЭФФИЦИЕНТЫ_ВЫБОРА!F25:K25,ПАРАМЕТРЫ!$B$17:$G$17)</f>
        <v>0</v>
      </c>
      <c r="J25" s="12" t="n">
        <f aca="false">I25*G25/1000</f>
        <v>0</v>
      </c>
      <c r="K25" s="11" t="s">
        <v>217</v>
      </c>
      <c r="L25" s="11" t="s">
        <v>19</v>
      </c>
      <c r="M25" s="11" t="s">
        <v>145</v>
      </c>
    </row>
    <row r="26" customFormat="false" ht="15" hidden="false" customHeight="false" outlineLevel="0" collapsed="false">
      <c r="A26" s="11" t="s">
        <v>107</v>
      </c>
      <c r="B26" s="11" t="s">
        <v>124</v>
      </c>
      <c r="C26" s="11" t="n">
        <v>16</v>
      </c>
      <c r="D26" s="11" t="s">
        <v>166</v>
      </c>
      <c r="E26" s="11" t="s">
        <v>170</v>
      </c>
      <c r="F26" s="11" t="s">
        <v>80</v>
      </c>
      <c r="G26" s="12" t="n">
        <v>180</v>
      </c>
      <c r="H26" s="12" t="n">
        <f aca="false">SUMPRODUCT(ПОТОКИ!B11:G11,ЧАСОВЫЕ_ПРОФИЛИ!B11:G11,КОЭФФИЦИЕНТЫ_ВЫБОРА!F26:K26)</f>
        <v>0</v>
      </c>
      <c r="I26" s="12" t="n">
        <f aca="false">SUMPRODUCT(ПОТОКИ!B11:G11,ЧАСОВЫЕ_ПРОФИЛИ!B11:G11,КОЭФФИЦИЕНТЫ_ВЫБОРА!F26:K26,ПАРАМЕТРЫ!$B$17:$G$17)</f>
        <v>0</v>
      </c>
      <c r="J26" s="12" t="n">
        <f aca="false">I26*G26/1000</f>
        <v>0</v>
      </c>
      <c r="K26" s="11" t="s">
        <v>217</v>
      </c>
      <c r="L26" s="11" t="s">
        <v>19</v>
      </c>
      <c r="M26" s="11" t="s">
        <v>145</v>
      </c>
    </row>
    <row r="27" customFormat="false" ht="15" hidden="false" customHeight="false" outlineLevel="0" collapsed="false">
      <c r="A27" s="11" t="s">
        <v>107</v>
      </c>
      <c r="B27" s="11" t="s">
        <v>124</v>
      </c>
      <c r="C27" s="11" t="n">
        <v>17</v>
      </c>
      <c r="D27" s="11" t="s">
        <v>166</v>
      </c>
      <c r="E27" s="11" t="s">
        <v>171</v>
      </c>
      <c r="F27" s="11" t="s">
        <v>80</v>
      </c>
      <c r="G27" s="12" t="n">
        <v>180</v>
      </c>
      <c r="H27" s="12" t="n">
        <f aca="false">SUMPRODUCT(ПОТОКИ!B11:G11,ЧАСОВЫЕ_ПРОФИЛИ!B11:G11,КОЭФФИЦИЕНТЫ_ВЫБОРА!F27:K27)</f>
        <v>0</v>
      </c>
      <c r="I27" s="12" t="n">
        <f aca="false">SUMPRODUCT(ПОТОКИ!B11:G11,ЧАСОВЫЕ_ПРОФИЛИ!B11:G11,КОЭФФИЦИЕНТЫ_ВЫБОРА!F27:K27,ПАРАМЕТРЫ!$B$17:$G$17)</f>
        <v>0</v>
      </c>
      <c r="J27" s="12" t="n">
        <f aca="false">I27*G27/1000</f>
        <v>0</v>
      </c>
      <c r="K27" s="11" t="s">
        <v>217</v>
      </c>
      <c r="L27" s="11" t="s">
        <v>19</v>
      </c>
      <c r="M27" s="11" t="s">
        <v>145</v>
      </c>
    </row>
    <row r="28" customFormat="false" ht="15" hidden="false" customHeight="false" outlineLevel="0" collapsed="false">
      <c r="A28" s="11" t="s">
        <v>107</v>
      </c>
      <c r="B28" s="11" t="s">
        <v>124</v>
      </c>
      <c r="C28" s="11" t="n">
        <v>18</v>
      </c>
      <c r="D28" s="11" t="s">
        <v>172</v>
      </c>
      <c r="E28" s="11" t="s">
        <v>173</v>
      </c>
      <c r="F28" s="11" t="s">
        <v>83</v>
      </c>
      <c r="G28" s="12" t="n">
        <v>400</v>
      </c>
      <c r="H28" s="12" t="n">
        <f aca="false">SUMPRODUCT(ПОТОКИ!B11:G11,ЧАСОВЫЕ_ПРОФИЛИ!B11:G11,КОЭФФИЦИЕНТЫ_ВЫБОРА!F28:K28)</f>
        <v>0</v>
      </c>
      <c r="I28" s="12" t="n">
        <f aca="false">SUMPRODUCT(ПОТОКИ!B11:G11,ЧАСОВЫЕ_ПРОФИЛИ!B11:G11,КОЭФФИЦИЕНТЫ_ВЫБОРА!F28:K28,ПАРАМЕТРЫ!$B$17:$G$17)</f>
        <v>0</v>
      </c>
      <c r="J28" s="12" t="n">
        <f aca="false">I28*G28/1000</f>
        <v>0</v>
      </c>
      <c r="K28" s="11" t="s">
        <v>217</v>
      </c>
      <c r="L28" s="11" t="s">
        <v>19</v>
      </c>
      <c r="M28" s="11" t="s">
        <v>145</v>
      </c>
    </row>
    <row r="29" customFormat="false" ht="23.85" hidden="false" customHeight="false" outlineLevel="0" collapsed="false">
      <c r="A29" s="11" t="s">
        <v>107</v>
      </c>
      <c r="B29" s="11" t="s">
        <v>124</v>
      </c>
      <c r="C29" s="11" t="n">
        <v>19</v>
      </c>
      <c r="D29" s="11" t="s">
        <v>174</v>
      </c>
      <c r="E29" s="11" t="s">
        <v>175</v>
      </c>
      <c r="F29" s="11" t="s">
        <v>83</v>
      </c>
      <c r="G29" s="12" t="n">
        <v>300</v>
      </c>
      <c r="H29" s="12" t="n">
        <f aca="false">SUMPRODUCT(ПОТОКИ!B11:G11,ЧАСОВЫЕ_ПРОФИЛИ!B11:G11,КОЭФФИЦИЕНТЫ_ВЫБОРА!F29:K29)</f>
        <v>0</v>
      </c>
      <c r="I29" s="12" t="n">
        <f aca="false">SUMPRODUCT(ПОТОКИ!B11:G11,ЧАСОВЫЕ_ПРОФИЛИ!B11:G11,КОЭФФИЦИЕНТЫ_ВЫБОРА!F29:K29,ПАРАМЕТРЫ!$B$17:$G$17)</f>
        <v>0</v>
      </c>
      <c r="J29" s="12" t="n">
        <f aca="false">I29*G29/1000</f>
        <v>0</v>
      </c>
      <c r="K29" s="11" t="s">
        <v>217</v>
      </c>
      <c r="L29" s="11" t="s">
        <v>19</v>
      </c>
      <c r="M29" s="11" t="s">
        <v>145</v>
      </c>
    </row>
    <row r="30" customFormat="false" ht="15" hidden="false" customHeight="false" outlineLevel="0" collapsed="false">
      <c r="A30" s="11" t="s">
        <v>107</v>
      </c>
      <c r="B30" s="11" t="s">
        <v>124</v>
      </c>
      <c r="C30" s="11" t="n">
        <v>20</v>
      </c>
      <c r="D30" s="11" t="s">
        <v>174</v>
      </c>
      <c r="E30" s="11" t="s">
        <v>176</v>
      </c>
      <c r="F30" s="11" t="s">
        <v>83</v>
      </c>
      <c r="G30" s="12" t="n">
        <v>360</v>
      </c>
      <c r="H30" s="12" t="n">
        <f aca="false">SUMPRODUCT(ПОТОКИ!B11:G11,ЧАСОВЫЕ_ПРОФИЛИ!B11:G11,КОЭФФИЦИЕНТЫ_ВЫБОРА!F30:K30)</f>
        <v>0</v>
      </c>
      <c r="I30" s="12" t="n">
        <f aca="false">SUMPRODUCT(ПОТОКИ!B11:G11,ЧАСОВЫЕ_ПРОФИЛИ!B11:G11,КОЭФФИЦИЕНТЫ_ВЫБОРА!F30:K30,ПАРАМЕТРЫ!$B$17:$G$17)</f>
        <v>0</v>
      </c>
      <c r="J30" s="12" t="n">
        <f aca="false">I30*G30/1000</f>
        <v>0</v>
      </c>
      <c r="K30" s="11" t="s">
        <v>217</v>
      </c>
      <c r="L30" s="11" t="s">
        <v>19</v>
      </c>
      <c r="M30" s="11" t="s">
        <v>145</v>
      </c>
    </row>
    <row r="31" customFormat="false" ht="15" hidden="false" customHeight="false" outlineLevel="0" collapsed="false">
      <c r="A31" s="11" t="s">
        <v>107</v>
      </c>
      <c r="B31" s="11" t="s">
        <v>124</v>
      </c>
      <c r="C31" s="11" t="n">
        <v>21</v>
      </c>
      <c r="D31" s="11" t="s">
        <v>174</v>
      </c>
      <c r="E31" s="11" t="s">
        <v>177</v>
      </c>
      <c r="F31" s="11" t="s">
        <v>83</v>
      </c>
      <c r="G31" s="12" t="n">
        <v>350</v>
      </c>
      <c r="H31" s="12" t="n">
        <f aca="false">SUMPRODUCT(ПОТОКИ!B11:G11,ЧАСОВЫЕ_ПРОФИЛИ!B11:G11,КОЭФФИЦИЕНТЫ_ВЫБОРА!F31:K31)</f>
        <v>0</v>
      </c>
      <c r="I31" s="12" t="n">
        <f aca="false">SUMPRODUCT(ПОТОКИ!B11:G11,ЧАСОВЫЕ_ПРОФИЛИ!B11:G11,КОЭФФИЦИЕНТЫ_ВЫБОРА!F31:K31,ПАРАМЕТРЫ!$B$17:$G$17)</f>
        <v>0</v>
      </c>
      <c r="J31" s="12" t="n">
        <f aca="false">I31*G31/1000</f>
        <v>0</v>
      </c>
      <c r="K31" s="11" t="s">
        <v>217</v>
      </c>
      <c r="L31" s="11" t="s">
        <v>19</v>
      </c>
      <c r="M31" s="11" t="s">
        <v>145</v>
      </c>
    </row>
    <row r="32" customFormat="false" ht="15" hidden="false" customHeight="false" outlineLevel="0" collapsed="false">
      <c r="A32" s="11" t="s">
        <v>107</v>
      </c>
      <c r="B32" s="11" t="s">
        <v>124</v>
      </c>
      <c r="C32" s="11" t="n">
        <v>22</v>
      </c>
      <c r="D32" s="11" t="s">
        <v>174</v>
      </c>
      <c r="E32" s="11" t="s">
        <v>178</v>
      </c>
      <c r="F32" s="11" t="s">
        <v>83</v>
      </c>
      <c r="G32" s="12" t="n">
        <v>300</v>
      </c>
      <c r="H32" s="12" t="n">
        <f aca="false">SUMPRODUCT(ПОТОКИ!B11:G11,ЧАСОВЫЕ_ПРОФИЛИ!B11:G11,КОЭФФИЦИЕНТЫ_ВЫБОРА!F32:K32)</f>
        <v>0</v>
      </c>
      <c r="I32" s="12" t="n">
        <f aca="false">SUMPRODUCT(ПОТОКИ!B11:G11,ЧАСОВЫЕ_ПРОФИЛИ!B11:G11,КОЭФФИЦИЕНТЫ_ВЫБОРА!F32:K32,ПАРАМЕТРЫ!$B$17:$G$17)</f>
        <v>0</v>
      </c>
      <c r="J32" s="12" t="n">
        <f aca="false">I32*G32/1000</f>
        <v>0</v>
      </c>
      <c r="K32" s="11" t="s">
        <v>217</v>
      </c>
      <c r="L32" s="11" t="s">
        <v>19</v>
      </c>
      <c r="M32" s="11" t="s">
        <v>145</v>
      </c>
    </row>
    <row r="33" customFormat="false" ht="15" hidden="false" customHeight="false" outlineLevel="0" collapsed="false">
      <c r="A33" s="11" t="s">
        <v>107</v>
      </c>
      <c r="B33" s="11" t="s">
        <v>124</v>
      </c>
      <c r="C33" s="11" t="n">
        <v>23</v>
      </c>
      <c r="D33" s="11" t="s">
        <v>86</v>
      </c>
      <c r="E33" s="11" t="s">
        <v>179</v>
      </c>
      <c r="F33" s="11" t="s">
        <v>85</v>
      </c>
      <c r="G33" s="12" t="n">
        <v>150</v>
      </c>
      <c r="H33" s="12" t="n">
        <f aca="false">SUMPRODUCT(ПОТОКИ!B11:G11,ЧАСОВЫЕ_ПРОФИЛИ!B11:G11,КОЭФФИЦИЕНТЫ_ВЫБОРА!F33:K33)</f>
        <v>0</v>
      </c>
      <c r="I33" s="12" t="n">
        <f aca="false">SUMPRODUCT(ПОТОКИ!B11:G11,ЧАСОВЫЕ_ПРОФИЛИ!B11:G11,КОЭФФИЦИЕНТЫ_ВЫБОРА!F33:K33,ПАРАМЕТРЫ!$B$17:$G$17)</f>
        <v>0</v>
      </c>
      <c r="J33" s="12" t="n">
        <f aca="false">I33*G33/1000</f>
        <v>0</v>
      </c>
      <c r="K33" s="11" t="s">
        <v>217</v>
      </c>
      <c r="L33" s="11" t="s">
        <v>19</v>
      </c>
      <c r="M33" s="11" t="s">
        <v>147</v>
      </c>
    </row>
    <row r="34" customFormat="false" ht="15" hidden="false" customHeight="false" outlineLevel="0" collapsed="false">
      <c r="A34" s="11" t="s">
        <v>107</v>
      </c>
      <c r="B34" s="11" t="s">
        <v>124</v>
      </c>
      <c r="C34" s="11" t="n">
        <v>24</v>
      </c>
      <c r="D34" s="11" t="s">
        <v>86</v>
      </c>
      <c r="E34" s="11" t="s">
        <v>180</v>
      </c>
      <c r="F34" s="11" t="s">
        <v>85</v>
      </c>
      <c r="G34" s="12" t="n">
        <v>150</v>
      </c>
      <c r="H34" s="12" t="n">
        <f aca="false">SUMPRODUCT(ПОТОКИ!B11:G11,ЧАСОВЫЕ_ПРОФИЛИ!B11:G11,КОЭФФИЦИЕНТЫ_ВЫБОРА!F34:K34)</f>
        <v>0</v>
      </c>
      <c r="I34" s="12" t="n">
        <f aca="false">SUMPRODUCT(ПОТОКИ!B11:G11,ЧАСОВЫЕ_ПРОФИЛИ!B11:G11,КОЭФФИЦИЕНТЫ_ВЫБОРА!F34:K34,ПАРАМЕТРЫ!$B$17:$G$17)</f>
        <v>0</v>
      </c>
      <c r="J34" s="12" t="n">
        <f aca="false">I34*G34/1000</f>
        <v>0</v>
      </c>
      <c r="K34" s="11" t="s">
        <v>217</v>
      </c>
      <c r="L34" s="11" t="s">
        <v>19</v>
      </c>
      <c r="M34" s="11" t="s">
        <v>147</v>
      </c>
    </row>
    <row r="35" customFormat="false" ht="15" hidden="false" customHeight="false" outlineLevel="0" collapsed="false">
      <c r="A35" s="11" t="s">
        <v>107</v>
      </c>
      <c r="B35" s="11" t="s">
        <v>124</v>
      </c>
      <c r="C35" s="11" t="n">
        <v>25</v>
      </c>
      <c r="D35" s="11" t="s">
        <v>86</v>
      </c>
      <c r="E35" s="11" t="s">
        <v>181</v>
      </c>
      <c r="F35" s="11" t="s">
        <v>85</v>
      </c>
      <c r="G35" s="12" t="n">
        <v>150</v>
      </c>
      <c r="H35" s="12" t="n">
        <f aca="false">SUMPRODUCT(ПОТОКИ!B11:G11,ЧАСОВЫЕ_ПРОФИЛИ!B11:G11,КОЭФФИЦИЕНТЫ_ВЫБОРА!F35:K35)</f>
        <v>0</v>
      </c>
      <c r="I35" s="12" t="n">
        <f aca="false">SUMPRODUCT(ПОТОКИ!B11:G11,ЧАСОВЫЕ_ПРОФИЛИ!B11:G11,КОЭФФИЦИЕНТЫ_ВЫБОРА!F35:K35,ПАРАМЕТРЫ!$B$17:$G$17)</f>
        <v>0</v>
      </c>
      <c r="J35" s="12" t="n">
        <f aca="false">I35*G35/1000</f>
        <v>0</v>
      </c>
      <c r="K35" s="11" t="s">
        <v>217</v>
      </c>
      <c r="L35" s="11" t="s">
        <v>19</v>
      </c>
      <c r="M35" s="11" t="s">
        <v>147</v>
      </c>
    </row>
    <row r="36" customFormat="false" ht="23.85" hidden="false" customHeight="false" outlineLevel="0" collapsed="false">
      <c r="A36" s="11" t="s">
        <v>107</v>
      </c>
      <c r="B36" s="11" t="s">
        <v>124</v>
      </c>
      <c r="C36" s="11" t="n">
        <v>26</v>
      </c>
      <c r="D36" s="11" t="s">
        <v>89</v>
      </c>
      <c r="E36" s="11" t="s">
        <v>182</v>
      </c>
      <c r="F36" s="11" t="s">
        <v>88</v>
      </c>
      <c r="G36" s="12" t="n">
        <v>225</v>
      </c>
      <c r="H36" s="12" t="n">
        <f aca="false">SUMPRODUCT(ПОТОКИ!B11:G11,ЧАСОВЫЕ_ПРОФИЛИ!B11:G11,КОЭФФИЦИЕНТЫ_ВЫБОРА!F36:K36)</f>
        <v>1.2375</v>
      </c>
      <c r="I36" s="12" t="n">
        <f aca="false">SUMPRODUCT(ПОТОКИ!B11:G11,ЧАСОВЫЕ_ПРОФИЛИ!B11:G11,КОЭФФИЦИЕНТЫ_ВЫБОРА!F36:K36,ПАРАМЕТРЫ!$B$17:$G$17)</f>
        <v>1.2375</v>
      </c>
      <c r="J36" s="12" t="n">
        <f aca="false">I36*G36/1000</f>
        <v>0.2784375</v>
      </c>
      <c r="K36" s="11" t="s">
        <v>217</v>
      </c>
      <c r="L36" s="11" t="s">
        <v>19</v>
      </c>
      <c r="M36" s="11" t="s">
        <v>145</v>
      </c>
    </row>
    <row r="37" customFormat="false" ht="23.85" hidden="false" customHeight="false" outlineLevel="0" collapsed="false">
      <c r="A37" s="11" t="s">
        <v>107</v>
      </c>
      <c r="B37" s="11" t="s">
        <v>124</v>
      </c>
      <c r="C37" s="11" t="n">
        <v>27</v>
      </c>
      <c r="D37" s="11" t="s">
        <v>89</v>
      </c>
      <c r="E37" s="11" t="s">
        <v>183</v>
      </c>
      <c r="F37" s="11" t="s">
        <v>88</v>
      </c>
      <c r="G37" s="12" t="n">
        <v>265</v>
      </c>
      <c r="H37" s="12" t="n">
        <f aca="false">SUMPRODUCT(ПОТОКИ!B11:G11,ЧАСОВЫЕ_ПРОФИЛИ!B11:G11,КОЭФФИЦИЕНТЫ_ВЫБОРА!F37:K37)</f>
        <v>1.2375</v>
      </c>
      <c r="I37" s="12" t="n">
        <f aca="false">SUMPRODUCT(ПОТОКИ!B11:G11,ЧАСОВЫЕ_ПРОФИЛИ!B11:G11,КОЭФФИЦИЕНТЫ_ВЫБОРА!F37:K37,ПАРАМЕТРЫ!$B$17:$G$17)</f>
        <v>1.2375</v>
      </c>
      <c r="J37" s="12" t="n">
        <f aca="false">I37*G37/1000</f>
        <v>0.3279375</v>
      </c>
      <c r="K37" s="11" t="s">
        <v>217</v>
      </c>
      <c r="L37" s="11" t="s">
        <v>19</v>
      </c>
      <c r="M37" s="11" t="s">
        <v>145</v>
      </c>
    </row>
    <row r="38" customFormat="false" ht="23.85" hidden="false" customHeight="false" outlineLevel="0" collapsed="false">
      <c r="A38" s="11" t="s">
        <v>107</v>
      </c>
      <c r="B38" s="11" t="s">
        <v>124</v>
      </c>
      <c r="C38" s="11" t="n">
        <v>28</v>
      </c>
      <c r="D38" s="11" t="s">
        <v>89</v>
      </c>
      <c r="E38" s="11" t="s">
        <v>184</v>
      </c>
      <c r="F38" s="11" t="s">
        <v>88</v>
      </c>
      <c r="G38" s="12" t="n">
        <v>355</v>
      </c>
      <c r="H38" s="12" t="n">
        <f aca="false">SUMPRODUCT(ПОТОКИ!B11:G11,ЧАСОВЫЕ_ПРОФИЛИ!B11:G11,КОЭФФИЦИЕНТЫ_ВЫБОРА!F38:K38)</f>
        <v>0.825</v>
      </c>
      <c r="I38" s="12" t="n">
        <f aca="false">SUMPRODUCT(ПОТОКИ!B11:G11,ЧАСОВЫЕ_ПРОФИЛИ!B11:G11,КОЭФФИЦИЕНТЫ_ВЫБОРА!F38:K38,ПАРАМЕТРЫ!$B$17:$G$17)</f>
        <v>0.825</v>
      </c>
      <c r="J38" s="12" t="n">
        <f aca="false">I38*G38/1000</f>
        <v>0.292875</v>
      </c>
      <c r="K38" s="11" t="s">
        <v>217</v>
      </c>
      <c r="L38" s="11" t="s">
        <v>19</v>
      </c>
      <c r="M38" s="11" t="s">
        <v>145</v>
      </c>
    </row>
    <row r="39" customFormat="false" ht="15" hidden="false" customHeight="false" outlineLevel="0" collapsed="false">
      <c r="A39" s="11" t="s">
        <v>107</v>
      </c>
      <c r="B39" s="11" t="s">
        <v>124</v>
      </c>
      <c r="C39" s="11" t="n">
        <v>29</v>
      </c>
      <c r="D39" s="11" t="s">
        <v>92</v>
      </c>
      <c r="E39" s="11" t="s">
        <v>185</v>
      </c>
      <c r="F39" s="11" t="s">
        <v>91</v>
      </c>
      <c r="G39" s="12" t="n">
        <v>150</v>
      </c>
      <c r="H39" s="12" t="n">
        <f aca="false">SUMPRODUCT(ПОТОКИ!B11:G11,ЧАСОВЫЕ_ПРОФИЛИ!B11:G11,КОЭФФИЦИЕНТЫ_ВЫБОРА!F39:K39)</f>
        <v>0.054</v>
      </c>
      <c r="I39" s="12" t="n">
        <f aca="false">SUMPRODUCT(ПОТОКИ!B11:G11,ЧАСОВЫЕ_ПРОФИЛИ!B11:G11,КОЭФФИЦИЕНТЫ_ВЫБОРА!F39:K39,ПАРАМЕТРЫ!$B$17:$G$17)</f>
        <v>0.0594</v>
      </c>
      <c r="J39" s="12" t="n">
        <f aca="false">I39*G39/1000</f>
        <v>0.00891</v>
      </c>
      <c r="K39" s="11" t="s">
        <v>217</v>
      </c>
      <c r="L39" s="11" t="s">
        <v>19</v>
      </c>
      <c r="M39" s="11" t="s">
        <v>145</v>
      </c>
    </row>
    <row r="40" customFormat="false" ht="15" hidden="false" customHeight="false" outlineLevel="0" collapsed="false">
      <c r="A40" s="11" t="s">
        <v>107</v>
      </c>
      <c r="B40" s="11" t="s">
        <v>124</v>
      </c>
      <c r="C40" s="11" t="n">
        <v>30</v>
      </c>
      <c r="D40" s="11" t="s">
        <v>92</v>
      </c>
      <c r="E40" s="11" t="s">
        <v>186</v>
      </c>
      <c r="F40" s="11" t="s">
        <v>91</v>
      </c>
      <c r="G40" s="12" t="n">
        <v>120</v>
      </c>
      <c r="H40" s="12" t="n">
        <f aca="false">SUMPRODUCT(ПОТОКИ!B11:G11,ЧАСОВЫЕ_ПРОФИЛИ!B11:G11,КОЭФФИЦИЕНТЫ_ВЫБОРА!F40:K40)</f>
        <v>0.054</v>
      </c>
      <c r="I40" s="12" t="n">
        <f aca="false">SUMPRODUCT(ПОТОКИ!B11:G11,ЧАСОВЫЕ_ПРОФИЛИ!B11:G11,КОЭФФИЦИЕНТЫ_ВЫБОРА!F40:K40,ПАРАМЕТРЫ!$B$17:$G$17)</f>
        <v>0.0594</v>
      </c>
      <c r="J40" s="12" t="n">
        <f aca="false">I40*G40/1000</f>
        <v>0.007128</v>
      </c>
      <c r="K40" s="11" t="s">
        <v>217</v>
      </c>
      <c r="L40" s="11" t="s">
        <v>19</v>
      </c>
      <c r="M40" s="11" t="s">
        <v>145</v>
      </c>
    </row>
    <row r="41" customFormat="false" ht="15" hidden="false" customHeight="false" outlineLevel="0" collapsed="false">
      <c r="A41" s="11" t="s">
        <v>107</v>
      </c>
      <c r="B41" s="11" t="s">
        <v>124</v>
      </c>
      <c r="C41" s="11" t="n">
        <v>31</v>
      </c>
      <c r="D41" s="11" t="s">
        <v>92</v>
      </c>
      <c r="E41" s="11" t="s">
        <v>187</v>
      </c>
      <c r="F41" s="11" t="s">
        <v>91</v>
      </c>
      <c r="G41" s="12" t="n">
        <v>60</v>
      </c>
      <c r="H41" s="12" t="n">
        <f aca="false">SUMPRODUCT(ПОТОКИ!B11:G11,ЧАСОВЫЕ_ПРОФИЛИ!B11:G11,КОЭФФИЦИЕНТЫ_ВЫБОРА!F41:K41)</f>
        <v>0.072</v>
      </c>
      <c r="I41" s="12" t="n">
        <f aca="false">SUMPRODUCT(ПОТОКИ!B11:G11,ЧАСОВЫЕ_ПРОФИЛИ!B11:G11,КОЭФФИЦИЕНТЫ_ВЫБОРА!F41:K41,ПАРАМЕТРЫ!$B$17:$G$17)</f>
        <v>0.0792</v>
      </c>
      <c r="J41" s="12" t="n">
        <f aca="false">I41*G41/1000</f>
        <v>0.004752</v>
      </c>
      <c r="K41" s="11" t="s">
        <v>217</v>
      </c>
      <c r="L41" s="11" t="s">
        <v>19</v>
      </c>
      <c r="M41" s="11" t="s">
        <v>145</v>
      </c>
    </row>
    <row r="42" customFormat="false" ht="15" hidden="false" customHeight="false" outlineLevel="0" collapsed="false">
      <c r="A42" s="11" t="s">
        <v>107</v>
      </c>
      <c r="B42" s="11" t="s">
        <v>125</v>
      </c>
      <c r="C42" s="11" t="n">
        <v>1</v>
      </c>
      <c r="D42" s="11" t="s">
        <v>74</v>
      </c>
      <c r="E42" s="11" t="s">
        <v>153</v>
      </c>
      <c r="F42" s="11" t="s">
        <v>73</v>
      </c>
      <c r="G42" s="12" t="n">
        <v>450</v>
      </c>
      <c r="H42" s="12" t="n">
        <f aca="false">SUMPRODUCT(ПОТОКИ!B11:G11,ЧАСОВЫЕ_ПРОФИЛИ!B12:G12,КОЭФФИЦИЕНТЫ_ВЫБОРА!F11:K11)</f>
        <v>0</v>
      </c>
      <c r="I42" s="12" t="n">
        <f aca="false">SUMPRODUCT(ПОТОКИ!B11:G11,ЧАСОВЫЕ_ПРОФИЛИ!B12:G12,КОЭФФИЦИЕНТЫ_ВЫБОРА!F11:K11,ПАРАМЕТРЫ!$B$17:$G$17)</f>
        <v>0</v>
      </c>
      <c r="J42" s="12" t="n">
        <f aca="false">I42*G42/1000</f>
        <v>0</v>
      </c>
      <c r="K42" s="11" t="s">
        <v>217</v>
      </c>
      <c r="L42" s="11" t="s">
        <v>19</v>
      </c>
      <c r="M42" s="11" t="s">
        <v>145</v>
      </c>
    </row>
    <row r="43" customFormat="false" ht="15" hidden="false" customHeight="false" outlineLevel="0" collapsed="false">
      <c r="A43" s="11" t="s">
        <v>107</v>
      </c>
      <c r="B43" s="11" t="s">
        <v>125</v>
      </c>
      <c r="C43" s="11" t="n">
        <v>2</v>
      </c>
      <c r="D43" s="11" t="s">
        <v>74</v>
      </c>
      <c r="E43" s="11" t="s">
        <v>154</v>
      </c>
      <c r="F43" s="11" t="s">
        <v>73</v>
      </c>
      <c r="G43" s="12" t="n">
        <v>480</v>
      </c>
      <c r="H43" s="12" t="n">
        <f aca="false">SUMPRODUCT(ПОТОКИ!B11:G11,ЧАСОВЫЕ_ПРОФИЛИ!B12:G12,КОЭФФИЦИЕНТЫ_ВЫБОРА!F12:K12)</f>
        <v>0</v>
      </c>
      <c r="I43" s="12" t="n">
        <f aca="false">SUMPRODUCT(ПОТОКИ!B11:G11,ЧАСОВЫЕ_ПРОФИЛИ!B12:G12,КОЭФФИЦИЕНТЫ_ВЫБОРА!F12:K12,ПАРАМЕТРЫ!$B$17:$G$17)</f>
        <v>0</v>
      </c>
      <c r="J43" s="12" t="n">
        <f aca="false">I43*G43/1000</f>
        <v>0</v>
      </c>
      <c r="K43" s="11" t="s">
        <v>217</v>
      </c>
      <c r="L43" s="11" t="s">
        <v>19</v>
      </c>
      <c r="M43" s="11" t="s">
        <v>145</v>
      </c>
    </row>
    <row r="44" customFormat="false" ht="15" hidden="false" customHeight="false" outlineLevel="0" collapsed="false">
      <c r="A44" s="11" t="s">
        <v>107</v>
      </c>
      <c r="B44" s="11" t="s">
        <v>125</v>
      </c>
      <c r="C44" s="11" t="n">
        <v>3</v>
      </c>
      <c r="D44" s="11" t="s">
        <v>74</v>
      </c>
      <c r="E44" s="11" t="s">
        <v>155</v>
      </c>
      <c r="F44" s="11" t="s">
        <v>73</v>
      </c>
      <c r="G44" s="12" t="n">
        <v>500</v>
      </c>
      <c r="H44" s="12" t="n">
        <f aca="false">SUMPRODUCT(ПОТОКИ!B11:G11,ЧАСОВЫЕ_ПРОФИЛИ!B12:G12,КОЭФФИЦИЕНТЫ_ВЫБОРА!F13:K13)</f>
        <v>0</v>
      </c>
      <c r="I44" s="12" t="n">
        <f aca="false">SUMPRODUCT(ПОТОКИ!B11:G11,ЧАСОВЫЕ_ПРОФИЛИ!B12:G12,КОЭФФИЦИЕНТЫ_ВЫБОРА!F13:K13,ПАРАМЕТРЫ!$B$17:$G$17)</f>
        <v>0</v>
      </c>
      <c r="J44" s="12" t="n">
        <f aca="false">I44*G44/1000</f>
        <v>0</v>
      </c>
      <c r="K44" s="11" t="s">
        <v>217</v>
      </c>
      <c r="L44" s="11" t="s">
        <v>19</v>
      </c>
      <c r="M44" s="11" t="s">
        <v>145</v>
      </c>
    </row>
    <row r="45" customFormat="false" ht="15" hidden="false" customHeight="false" outlineLevel="0" collapsed="false">
      <c r="A45" s="11" t="s">
        <v>107</v>
      </c>
      <c r="B45" s="11" t="s">
        <v>125</v>
      </c>
      <c r="C45" s="11" t="n">
        <v>4</v>
      </c>
      <c r="D45" s="11" t="s">
        <v>74</v>
      </c>
      <c r="E45" s="11" t="s">
        <v>156</v>
      </c>
      <c r="F45" s="11" t="s">
        <v>73</v>
      </c>
      <c r="G45" s="12" t="n">
        <v>500</v>
      </c>
      <c r="H45" s="12" t="n">
        <f aca="false">SUMPRODUCT(ПОТОКИ!B11:G11,ЧАСОВЫЕ_ПРОФИЛИ!B12:G12,КОЭФФИЦИЕНТЫ_ВЫБОРА!F14:K14)</f>
        <v>0</v>
      </c>
      <c r="I45" s="12" t="n">
        <f aca="false">SUMPRODUCT(ПОТОКИ!B11:G11,ЧАСОВЫЕ_ПРОФИЛИ!B12:G12,КОЭФФИЦИЕНТЫ_ВЫБОРА!F14:K14,ПАРАМЕТРЫ!$B$17:$G$17)</f>
        <v>0</v>
      </c>
      <c r="J45" s="12" t="n">
        <f aca="false">I45*G45/1000</f>
        <v>0</v>
      </c>
      <c r="K45" s="11" t="s">
        <v>217</v>
      </c>
      <c r="L45" s="11" t="s">
        <v>19</v>
      </c>
      <c r="M45" s="11" t="s">
        <v>145</v>
      </c>
    </row>
    <row r="46" customFormat="false" ht="15" hidden="false" customHeight="false" outlineLevel="0" collapsed="false">
      <c r="A46" s="11" t="s">
        <v>107</v>
      </c>
      <c r="B46" s="11" t="s">
        <v>125</v>
      </c>
      <c r="C46" s="11" t="n">
        <v>5</v>
      </c>
      <c r="D46" s="11" t="s">
        <v>78</v>
      </c>
      <c r="E46" s="11" t="s">
        <v>157</v>
      </c>
      <c r="F46" s="11" t="s">
        <v>77</v>
      </c>
      <c r="G46" s="12" t="n">
        <v>100</v>
      </c>
      <c r="H46" s="12" t="n">
        <f aca="false">SUMPRODUCT(ПОТОКИ!B11:G11,ЧАСОВЫЕ_ПРОФИЛИ!B12:G12,КОЭФФИЦИЕНТЫ_ВЫБОРА!F15:K15)</f>
        <v>0.18</v>
      </c>
      <c r="I46" s="12" t="n">
        <f aca="false">SUMPRODUCT(ПОТОКИ!B11:G11,ЧАСОВЫЕ_ПРОФИЛИ!B12:G12,КОЭФФИЦИЕНТЫ_ВЫБОРА!F15:K15,ПАРАМЕТРЫ!$B$17:$G$17)</f>
        <v>0.198</v>
      </c>
      <c r="J46" s="12" t="n">
        <f aca="false">I46*G46/1000</f>
        <v>0.0198</v>
      </c>
      <c r="K46" s="11" t="s">
        <v>217</v>
      </c>
      <c r="L46" s="11" t="s">
        <v>19</v>
      </c>
      <c r="M46" s="11" t="s">
        <v>147</v>
      </c>
    </row>
    <row r="47" customFormat="false" ht="15" hidden="false" customHeight="false" outlineLevel="0" collapsed="false">
      <c r="A47" s="11" t="s">
        <v>107</v>
      </c>
      <c r="B47" s="11" t="s">
        <v>125</v>
      </c>
      <c r="C47" s="11" t="n">
        <v>6</v>
      </c>
      <c r="D47" s="11" t="s">
        <v>78</v>
      </c>
      <c r="E47" s="11" t="s">
        <v>158</v>
      </c>
      <c r="F47" s="11" t="s">
        <v>77</v>
      </c>
      <c r="G47" s="12" t="n">
        <v>100</v>
      </c>
      <c r="H47" s="12" t="n">
        <f aca="false">SUMPRODUCT(ПОТОКИ!B11:G11,ЧАСОВЫЕ_ПРОФИЛИ!B12:G12,КОЭФФИЦИЕНТЫ_ВЫБОРА!F16:K16)</f>
        <v>0.18</v>
      </c>
      <c r="I47" s="12" t="n">
        <f aca="false">SUMPRODUCT(ПОТОКИ!B11:G11,ЧАСОВЫЕ_ПРОФИЛИ!B12:G12,КОЭФФИЦИЕНТЫ_ВЫБОРА!F16:K16,ПАРАМЕТРЫ!$B$17:$G$17)</f>
        <v>0.198</v>
      </c>
      <c r="J47" s="12" t="n">
        <f aca="false">I47*G47/1000</f>
        <v>0.0198</v>
      </c>
      <c r="K47" s="11" t="s">
        <v>217</v>
      </c>
      <c r="L47" s="11" t="s">
        <v>19</v>
      </c>
      <c r="M47" s="11" t="s">
        <v>147</v>
      </c>
    </row>
    <row r="48" customFormat="false" ht="15" hidden="false" customHeight="false" outlineLevel="0" collapsed="false">
      <c r="A48" s="11" t="s">
        <v>107</v>
      </c>
      <c r="B48" s="11" t="s">
        <v>125</v>
      </c>
      <c r="C48" s="11" t="n">
        <v>7</v>
      </c>
      <c r="D48" s="11" t="s">
        <v>78</v>
      </c>
      <c r="E48" s="11" t="s">
        <v>159</v>
      </c>
      <c r="F48" s="11" t="s">
        <v>77</v>
      </c>
      <c r="G48" s="12" t="n">
        <v>350</v>
      </c>
      <c r="H48" s="12" t="n">
        <f aca="false">SUMPRODUCT(ПОТОКИ!B11:G11,ЧАСОВЫЕ_ПРОФИЛИ!B12:G12,КОЭФФИЦИЕНТЫ_ВЫБОРА!F17:K17)</f>
        <v>0.15</v>
      </c>
      <c r="I48" s="12" t="n">
        <f aca="false">SUMPRODUCT(ПОТОКИ!B11:G11,ЧАСОВЫЕ_ПРОФИЛИ!B12:G12,КОЭФФИЦИЕНТЫ_ВЫБОРА!F17:K17,ПАРАМЕТРЫ!$B$17:$G$17)</f>
        <v>0.165</v>
      </c>
      <c r="J48" s="12" t="n">
        <f aca="false">I48*G48/1000</f>
        <v>0.05775</v>
      </c>
      <c r="K48" s="11" t="s">
        <v>217</v>
      </c>
      <c r="L48" s="11" t="s">
        <v>19</v>
      </c>
      <c r="M48" s="11" t="s">
        <v>147</v>
      </c>
    </row>
    <row r="49" customFormat="false" ht="15" hidden="false" customHeight="false" outlineLevel="0" collapsed="false">
      <c r="A49" s="11" t="s">
        <v>107</v>
      </c>
      <c r="B49" s="11" t="s">
        <v>125</v>
      </c>
      <c r="C49" s="11" t="n">
        <v>8</v>
      </c>
      <c r="D49" s="11" t="s">
        <v>78</v>
      </c>
      <c r="E49" s="11" t="s">
        <v>160</v>
      </c>
      <c r="F49" s="11" t="s">
        <v>77</v>
      </c>
      <c r="G49" s="12" t="n">
        <v>85</v>
      </c>
      <c r="H49" s="12" t="n">
        <f aca="false">SUMPRODUCT(ПОТОКИ!B11:G11,ЧАСОВЫЕ_ПРОФИЛИ!B12:G12,КОЭФФИЦИЕНТЫ_ВЫБОРА!F18:K18)</f>
        <v>0.09</v>
      </c>
      <c r="I49" s="12" t="n">
        <f aca="false">SUMPRODUCT(ПОТОКИ!B11:G11,ЧАСОВЫЕ_ПРОФИЛИ!B12:G12,КОЭФФИЦИЕНТЫ_ВЫБОРА!F18:K18,ПАРАМЕТРЫ!$B$17:$G$17)</f>
        <v>0.099</v>
      </c>
      <c r="J49" s="12" t="n">
        <f aca="false">I49*G49/1000</f>
        <v>0.008415</v>
      </c>
      <c r="K49" s="11" t="s">
        <v>217</v>
      </c>
      <c r="L49" s="11" t="s">
        <v>19</v>
      </c>
      <c r="M49" s="11" t="s">
        <v>147</v>
      </c>
    </row>
    <row r="50" customFormat="false" ht="15" hidden="false" customHeight="false" outlineLevel="0" collapsed="false">
      <c r="A50" s="11" t="s">
        <v>107</v>
      </c>
      <c r="B50" s="11" t="s">
        <v>125</v>
      </c>
      <c r="C50" s="11" t="n">
        <v>9</v>
      </c>
      <c r="D50" s="11" t="s">
        <v>161</v>
      </c>
      <c r="E50" s="11" t="s">
        <v>162</v>
      </c>
      <c r="F50" s="11" t="s">
        <v>80</v>
      </c>
      <c r="G50" s="12" t="n">
        <v>300</v>
      </c>
      <c r="H50" s="12" t="n">
        <f aca="false">SUMPRODUCT(ПОТОКИ!B11:G11,ЧАСОВЫЕ_ПРОФИЛИ!B12:G12,КОЭФФИЦИЕНТЫ_ВЫБОРА!F19:K19)</f>
        <v>0</v>
      </c>
      <c r="I50" s="12" t="n">
        <f aca="false">SUMPRODUCT(ПОТОКИ!B11:G11,ЧАСОВЫЕ_ПРОФИЛИ!B12:G12,КОЭФФИЦИЕНТЫ_ВЫБОРА!F19:K19,ПАРАМЕТРЫ!$B$17:$G$17)</f>
        <v>0</v>
      </c>
      <c r="J50" s="12" t="n">
        <f aca="false">I50*G50/1000</f>
        <v>0</v>
      </c>
      <c r="K50" s="11" t="s">
        <v>217</v>
      </c>
      <c r="L50" s="11" t="s">
        <v>19</v>
      </c>
      <c r="M50" s="11" t="s">
        <v>145</v>
      </c>
    </row>
    <row r="51" customFormat="false" ht="15" hidden="false" customHeight="false" outlineLevel="0" collapsed="false">
      <c r="A51" s="11" t="s">
        <v>107</v>
      </c>
      <c r="B51" s="11" t="s">
        <v>125</v>
      </c>
      <c r="C51" s="11" t="n">
        <v>10</v>
      </c>
      <c r="D51" s="11" t="s">
        <v>161</v>
      </c>
      <c r="E51" s="11" t="s">
        <v>163</v>
      </c>
      <c r="F51" s="11" t="s">
        <v>80</v>
      </c>
      <c r="G51" s="12" t="n">
        <v>280</v>
      </c>
      <c r="H51" s="12" t="n">
        <f aca="false">SUMPRODUCT(ПОТОКИ!B11:G11,ЧАСОВЫЕ_ПРОФИЛИ!B12:G12,КОЭФФИЦИЕНТЫ_ВЫБОРА!F20:K20)</f>
        <v>0</v>
      </c>
      <c r="I51" s="12" t="n">
        <f aca="false">SUMPRODUCT(ПОТОКИ!B11:G11,ЧАСОВЫЕ_ПРОФИЛИ!B12:G12,КОЭФФИЦИЕНТЫ_ВЫБОРА!F20:K20,ПАРАМЕТРЫ!$B$17:$G$17)</f>
        <v>0</v>
      </c>
      <c r="J51" s="12" t="n">
        <f aca="false">I51*G51/1000</f>
        <v>0</v>
      </c>
      <c r="K51" s="11" t="s">
        <v>217</v>
      </c>
      <c r="L51" s="11" t="s">
        <v>19</v>
      </c>
      <c r="M51" s="11" t="s">
        <v>145</v>
      </c>
    </row>
    <row r="52" customFormat="false" ht="15" hidden="false" customHeight="false" outlineLevel="0" collapsed="false">
      <c r="A52" s="11" t="s">
        <v>107</v>
      </c>
      <c r="B52" s="11" t="s">
        <v>125</v>
      </c>
      <c r="C52" s="11" t="n">
        <v>11</v>
      </c>
      <c r="D52" s="11" t="s">
        <v>161</v>
      </c>
      <c r="E52" s="11" t="s">
        <v>164</v>
      </c>
      <c r="F52" s="11" t="s">
        <v>80</v>
      </c>
      <c r="G52" s="12" t="n">
        <v>270</v>
      </c>
      <c r="H52" s="12" t="n">
        <f aca="false">SUMPRODUCT(ПОТОКИ!B11:G11,ЧАСОВЫЕ_ПРОФИЛИ!B12:G12,КОЭФФИЦИЕНТЫ_ВЫБОРА!F21:K21)</f>
        <v>0</v>
      </c>
      <c r="I52" s="12" t="n">
        <f aca="false">SUMPRODUCT(ПОТОКИ!B11:G11,ЧАСОВЫЕ_ПРОФИЛИ!B12:G12,КОЭФФИЦИЕНТЫ_ВЫБОРА!F21:K21,ПАРАМЕТРЫ!$B$17:$G$17)</f>
        <v>0</v>
      </c>
      <c r="J52" s="12" t="n">
        <f aca="false">I52*G52/1000</f>
        <v>0</v>
      </c>
      <c r="K52" s="11" t="s">
        <v>217</v>
      </c>
      <c r="L52" s="11" t="s">
        <v>19</v>
      </c>
      <c r="M52" s="11" t="s">
        <v>145</v>
      </c>
    </row>
    <row r="53" customFormat="false" ht="15" hidden="false" customHeight="false" outlineLevel="0" collapsed="false">
      <c r="A53" s="11" t="s">
        <v>107</v>
      </c>
      <c r="B53" s="11" t="s">
        <v>125</v>
      </c>
      <c r="C53" s="11" t="n">
        <v>12</v>
      </c>
      <c r="D53" s="11" t="s">
        <v>161</v>
      </c>
      <c r="E53" s="11" t="s">
        <v>165</v>
      </c>
      <c r="F53" s="11" t="s">
        <v>80</v>
      </c>
      <c r="G53" s="12" t="n">
        <v>240</v>
      </c>
      <c r="H53" s="12" t="n">
        <f aca="false">SUMPRODUCT(ПОТОКИ!B11:G11,ЧАСОВЫЕ_ПРОФИЛИ!B12:G12,КОЭФФИЦИЕНТЫ_ВЫБОРА!F22:K22)</f>
        <v>0</v>
      </c>
      <c r="I53" s="12" t="n">
        <f aca="false">SUMPRODUCT(ПОТОКИ!B11:G11,ЧАСОВЫЕ_ПРОФИЛИ!B12:G12,КОЭФФИЦИЕНТЫ_ВЫБОРА!F22:K22,ПАРАМЕТРЫ!$B$17:$G$17)</f>
        <v>0</v>
      </c>
      <c r="J53" s="12" t="n">
        <f aca="false">I53*G53/1000</f>
        <v>0</v>
      </c>
      <c r="K53" s="11" t="s">
        <v>217</v>
      </c>
      <c r="L53" s="11" t="s">
        <v>19</v>
      </c>
      <c r="M53" s="11" t="s">
        <v>145</v>
      </c>
    </row>
    <row r="54" customFormat="false" ht="15" hidden="false" customHeight="false" outlineLevel="0" collapsed="false">
      <c r="A54" s="11" t="s">
        <v>107</v>
      </c>
      <c r="B54" s="11" t="s">
        <v>125</v>
      </c>
      <c r="C54" s="11" t="n">
        <v>13</v>
      </c>
      <c r="D54" s="11" t="s">
        <v>166</v>
      </c>
      <c r="E54" s="11" t="s">
        <v>167</v>
      </c>
      <c r="F54" s="11" t="s">
        <v>80</v>
      </c>
      <c r="G54" s="12" t="n">
        <v>130</v>
      </c>
      <c r="H54" s="12" t="n">
        <f aca="false">SUMPRODUCT(ПОТОКИ!B11:G11,ЧАСОВЫЕ_ПРОФИЛИ!B12:G12,КОЭФФИЦИЕНТЫ_ВЫБОРА!F23:K23)</f>
        <v>0</v>
      </c>
      <c r="I54" s="12" t="n">
        <f aca="false">SUMPRODUCT(ПОТОКИ!B11:G11,ЧАСОВЫЕ_ПРОФИЛИ!B12:G12,КОЭФФИЦИЕНТЫ_ВЫБОРА!F23:K23,ПАРАМЕТРЫ!$B$17:$G$17)</f>
        <v>0</v>
      </c>
      <c r="J54" s="12" t="n">
        <f aca="false">I54*G54/1000</f>
        <v>0</v>
      </c>
      <c r="K54" s="11" t="s">
        <v>217</v>
      </c>
      <c r="L54" s="11" t="s">
        <v>19</v>
      </c>
      <c r="M54" s="11" t="s">
        <v>145</v>
      </c>
    </row>
    <row r="55" customFormat="false" ht="15" hidden="false" customHeight="false" outlineLevel="0" collapsed="false">
      <c r="A55" s="11" t="s">
        <v>107</v>
      </c>
      <c r="B55" s="11" t="s">
        <v>125</v>
      </c>
      <c r="C55" s="11" t="n">
        <v>14</v>
      </c>
      <c r="D55" s="11" t="s">
        <v>166</v>
      </c>
      <c r="E55" s="11" t="s">
        <v>168</v>
      </c>
      <c r="F55" s="11" t="s">
        <v>80</v>
      </c>
      <c r="G55" s="12" t="n">
        <v>250</v>
      </c>
      <c r="H55" s="12" t="n">
        <f aca="false">SUMPRODUCT(ПОТОКИ!B11:G11,ЧАСОВЫЕ_ПРОФИЛИ!B12:G12,КОЭФФИЦИЕНТЫ_ВЫБОРА!F24:K24)</f>
        <v>0</v>
      </c>
      <c r="I55" s="12" t="n">
        <f aca="false">SUMPRODUCT(ПОТОКИ!B11:G11,ЧАСОВЫЕ_ПРОФИЛИ!B12:G12,КОЭФФИЦИЕНТЫ_ВЫБОРА!F24:K24,ПАРАМЕТРЫ!$B$17:$G$17)</f>
        <v>0</v>
      </c>
      <c r="J55" s="12" t="n">
        <f aca="false">I55*G55/1000</f>
        <v>0</v>
      </c>
      <c r="K55" s="11" t="s">
        <v>217</v>
      </c>
      <c r="L55" s="11" t="s">
        <v>19</v>
      </c>
      <c r="M55" s="11" t="s">
        <v>145</v>
      </c>
    </row>
    <row r="56" customFormat="false" ht="15" hidden="false" customHeight="false" outlineLevel="0" collapsed="false">
      <c r="A56" s="11" t="s">
        <v>107</v>
      </c>
      <c r="B56" s="11" t="s">
        <v>125</v>
      </c>
      <c r="C56" s="11" t="n">
        <v>15</v>
      </c>
      <c r="D56" s="11" t="s">
        <v>166</v>
      </c>
      <c r="E56" s="11" t="s">
        <v>169</v>
      </c>
      <c r="F56" s="11" t="s">
        <v>80</v>
      </c>
      <c r="G56" s="12" t="n">
        <v>120</v>
      </c>
      <c r="H56" s="12" t="n">
        <f aca="false">SUMPRODUCT(ПОТОКИ!B11:G11,ЧАСОВЫЕ_ПРОФИЛИ!B12:G12,КОЭФФИЦИЕНТЫ_ВЫБОРА!F25:K25)</f>
        <v>0</v>
      </c>
      <c r="I56" s="12" t="n">
        <f aca="false">SUMPRODUCT(ПОТОКИ!B11:G11,ЧАСОВЫЕ_ПРОФИЛИ!B12:G12,КОЭФФИЦИЕНТЫ_ВЫБОРА!F25:K25,ПАРАМЕТРЫ!$B$17:$G$17)</f>
        <v>0</v>
      </c>
      <c r="J56" s="12" t="n">
        <f aca="false">I56*G56/1000</f>
        <v>0</v>
      </c>
      <c r="K56" s="11" t="s">
        <v>217</v>
      </c>
      <c r="L56" s="11" t="s">
        <v>19</v>
      </c>
      <c r="M56" s="11" t="s">
        <v>145</v>
      </c>
    </row>
    <row r="57" customFormat="false" ht="15" hidden="false" customHeight="false" outlineLevel="0" collapsed="false">
      <c r="A57" s="11" t="s">
        <v>107</v>
      </c>
      <c r="B57" s="11" t="s">
        <v>125</v>
      </c>
      <c r="C57" s="11" t="n">
        <v>16</v>
      </c>
      <c r="D57" s="11" t="s">
        <v>166</v>
      </c>
      <c r="E57" s="11" t="s">
        <v>170</v>
      </c>
      <c r="F57" s="11" t="s">
        <v>80</v>
      </c>
      <c r="G57" s="12" t="n">
        <v>180</v>
      </c>
      <c r="H57" s="12" t="n">
        <f aca="false">SUMPRODUCT(ПОТОКИ!B11:G11,ЧАСОВЫЕ_ПРОФИЛИ!B12:G12,КОЭФФИЦИЕНТЫ_ВЫБОРА!F26:K26)</f>
        <v>0</v>
      </c>
      <c r="I57" s="12" t="n">
        <f aca="false">SUMPRODUCT(ПОТОКИ!B11:G11,ЧАСОВЫЕ_ПРОФИЛИ!B12:G12,КОЭФФИЦИЕНТЫ_ВЫБОРА!F26:K26,ПАРАМЕТРЫ!$B$17:$G$17)</f>
        <v>0</v>
      </c>
      <c r="J57" s="12" t="n">
        <f aca="false">I57*G57/1000</f>
        <v>0</v>
      </c>
      <c r="K57" s="11" t="s">
        <v>217</v>
      </c>
      <c r="L57" s="11" t="s">
        <v>19</v>
      </c>
      <c r="M57" s="11" t="s">
        <v>145</v>
      </c>
    </row>
    <row r="58" customFormat="false" ht="15" hidden="false" customHeight="false" outlineLevel="0" collapsed="false">
      <c r="A58" s="11" t="s">
        <v>107</v>
      </c>
      <c r="B58" s="11" t="s">
        <v>125</v>
      </c>
      <c r="C58" s="11" t="n">
        <v>17</v>
      </c>
      <c r="D58" s="11" t="s">
        <v>166</v>
      </c>
      <c r="E58" s="11" t="s">
        <v>171</v>
      </c>
      <c r="F58" s="11" t="s">
        <v>80</v>
      </c>
      <c r="G58" s="12" t="n">
        <v>180</v>
      </c>
      <c r="H58" s="12" t="n">
        <f aca="false">SUMPRODUCT(ПОТОКИ!B11:G11,ЧАСОВЫЕ_ПРОФИЛИ!B12:G12,КОЭФФИЦИЕНТЫ_ВЫБОРА!F27:K27)</f>
        <v>0</v>
      </c>
      <c r="I58" s="12" t="n">
        <f aca="false">SUMPRODUCT(ПОТОКИ!B11:G11,ЧАСОВЫЕ_ПРОФИЛИ!B12:G12,КОЭФФИЦИЕНТЫ_ВЫБОРА!F27:K27,ПАРАМЕТРЫ!$B$17:$G$17)</f>
        <v>0</v>
      </c>
      <c r="J58" s="12" t="n">
        <f aca="false">I58*G58/1000</f>
        <v>0</v>
      </c>
      <c r="K58" s="11" t="s">
        <v>217</v>
      </c>
      <c r="L58" s="11" t="s">
        <v>19</v>
      </c>
      <c r="M58" s="11" t="s">
        <v>145</v>
      </c>
    </row>
    <row r="59" customFormat="false" ht="15" hidden="false" customHeight="false" outlineLevel="0" collapsed="false">
      <c r="A59" s="11" t="s">
        <v>107</v>
      </c>
      <c r="B59" s="11" t="s">
        <v>125</v>
      </c>
      <c r="C59" s="11" t="n">
        <v>18</v>
      </c>
      <c r="D59" s="11" t="s">
        <v>172</v>
      </c>
      <c r="E59" s="11" t="s">
        <v>173</v>
      </c>
      <c r="F59" s="11" t="s">
        <v>83</v>
      </c>
      <c r="G59" s="12" t="n">
        <v>400</v>
      </c>
      <c r="H59" s="12" t="n">
        <f aca="false">SUMPRODUCT(ПОТОКИ!B11:G11,ЧАСОВЫЕ_ПРОФИЛИ!B12:G12,КОЭФФИЦИЕНТЫ_ВЫБОРА!F28:K28)</f>
        <v>0</v>
      </c>
      <c r="I59" s="12" t="n">
        <f aca="false">SUMPRODUCT(ПОТОКИ!B11:G11,ЧАСОВЫЕ_ПРОФИЛИ!B12:G12,КОЭФФИЦИЕНТЫ_ВЫБОРА!F28:K28,ПАРАМЕТРЫ!$B$17:$G$17)</f>
        <v>0</v>
      </c>
      <c r="J59" s="12" t="n">
        <f aca="false">I59*G59/1000</f>
        <v>0</v>
      </c>
      <c r="K59" s="11" t="s">
        <v>217</v>
      </c>
      <c r="L59" s="11" t="s">
        <v>19</v>
      </c>
      <c r="M59" s="11" t="s">
        <v>145</v>
      </c>
    </row>
    <row r="60" customFormat="false" ht="23.85" hidden="false" customHeight="false" outlineLevel="0" collapsed="false">
      <c r="A60" s="11" t="s">
        <v>107</v>
      </c>
      <c r="B60" s="11" t="s">
        <v>125</v>
      </c>
      <c r="C60" s="11" t="n">
        <v>19</v>
      </c>
      <c r="D60" s="11" t="s">
        <v>174</v>
      </c>
      <c r="E60" s="11" t="s">
        <v>175</v>
      </c>
      <c r="F60" s="11" t="s">
        <v>83</v>
      </c>
      <c r="G60" s="12" t="n">
        <v>300</v>
      </c>
      <c r="H60" s="12" t="n">
        <f aca="false">SUMPRODUCT(ПОТОКИ!B11:G11,ЧАСОВЫЕ_ПРОФИЛИ!B12:G12,КОЭФФИЦИЕНТЫ_ВЫБОРА!F29:K29)</f>
        <v>0</v>
      </c>
      <c r="I60" s="12" t="n">
        <f aca="false">SUMPRODUCT(ПОТОКИ!B11:G11,ЧАСОВЫЕ_ПРОФИЛИ!B12:G12,КОЭФФИЦИЕНТЫ_ВЫБОРА!F29:K29,ПАРАМЕТРЫ!$B$17:$G$17)</f>
        <v>0</v>
      </c>
      <c r="J60" s="12" t="n">
        <f aca="false">I60*G60/1000</f>
        <v>0</v>
      </c>
      <c r="K60" s="11" t="s">
        <v>217</v>
      </c>
      <c r="L60" s="11" t="s">
        <v>19</v>
      </c>
      <c r="M60" s="11" t="s">
        <v>145</v>
      </c>
    </row>
    <row r="61" customFormat="false" ht="15" hidden="false" customHeight="false" outlineLevel="0" collapsed="false">
      <c r="A61" s="11" t="s">
        <v>107</v>
      </c>
      <c r="B61" s="11" t="s">
        <v>125</v>
      </c>
      <c r="C61" s="11" t="n">
        <v>20</v>
      </c>
      <c r="D61" s="11" t="s">
        <v>174</v>
      </c>
      <c r="E61" s="11" t="s">
        <v>176</v>
      </c>
      <c r="F61" s="11" t="s">
        <v>83</v>
      </c>
      <c r="G61" s="12" t="n">
        <v>360</v>
      </c>
      <c r="H61" s="12" t="n">
        <f aca="false">SUMPRODUCT(ПОТОКИ!B11:G11,ЧАСОВЫЕ_ПРОФИЛИ!B12:G12,КОЭФФИЦИЕНТЫ_ВЫБОРА!F30:K30)</f>
        <v>0</v>
      </c>
      <c r="I61" s="12" t="n">
        <f aca="false">SUMPRODUCT(ПОТОКИ!B11:G11,ЧАСОВЫЕ_ПРОФИЛИ!B12:G12,КОЭФФИЦИЕНТЫ_ВЫБОРА!F30:K30,ПАРАМЕТРЫ!$B$17:$G$17)</f>
        <v>0</v>
      </c>
      <c r="J61" s="12" t="n">
        <f aca="false">I61*G61/1000</f>
        <v>0</v>
      </c>
      <c r="K61" s="11" t="s">
        <v>217</v>
      </c>
      <c r="L61" s="11" t="s">
        <v>19</v>
      </c>
      <c r="M61" s="11" t="s">
        <v>145</v>
      </c>
    </row>
    <row r="62" customFormat="false" ht="15" hidden="false" customHeight="false" outlineLevel="0" collapsed="false">
      <c r="A62" s="11" t="s">
        <v>107</v>
      </c>
      <c r="B62" s="11" t="s">
        <v>125</v>
      </c>
      <c r="C62" s="11" t="n">
        <v>21</v>
      </c>
      <c r="D62" s="11" t="s">
        <v>174</v>
      </c>
      <c r="E62" s="11" t="s">
        <v>177</v>
      </c>
      <c r="F62" s="11" t="s">
        <v>83</v>
      </c>
      <c r="G62" s="12" t="n">
        <v>350</v>
      </c>
      <c r="H62" s="12" t="n">
        <f aca="false">SUMPRODUCT(ПОТОКИ!B11:G11,ЧАСОВЫЕ_ПРОФИЛИ!B12:G12,КОЭФФИЦИЕНТЫ_ВЫБОРА!F31:K31)</f>
        <v>0</v>
      </c>
      <c r="I62" s="12" t="n">
        <f aca="false">SUMPRODUCT(ПОТОКИ!B11:G11,ЧАСОВЫЕ_ПРОФИЛИ!B12:G12,КОЭФФИЦИЕНТЫ_ВЫБОРА!F31:K31,ПАРАМЕТРЫ!$B$17:$G$17)</f>
        <v>0</v>
      </c>
      <c r="J62" s="12" t="n">
        <f aca="false">I62*G62/1000</f>
        <v>0</v>
      </c>
      <c r="K62" s="11" t="s">
        <v>217</v>
      </c>
      <c r="L62" s="11" t="s">
        <v>19</v>
      </c>
      <c r="M62" s="11" t="s">
        <v>145</v>
      </c>
    </row>
    <row r="63" customFormat="false" ht="15" hidden="false" customHeight="false" outlineLevel="0" collapsed="false">
      <c r="A63" s="11" t="s">
        <v>107</v>
      </c>
      <c r="B63" s="11" t="s">
        <v>125</v>
      </c>
      <c r="C63" s="11" t="n">
        <v>22</v>
      </c>
      <c r="D63" s="11" t="s">
        <v>174</v>
      </c>
      <c r="E63" s="11" t="s">
        <v>178</v>
      </c>
      <c r="F63" s="11" t="s">
        <v>83</v>
      </c>
      <c r="G63" s="12" t="n">
        <v>300</v>
      </c>
      <c r="H63" s="12" t="n">
        <f aca="false">SUMPRODUCT(ПОТОКИ!B11:G11,ЧАСОВЫЕ_ПРОФИЛИ!B12:G12,КОЭФФИЦИЕНТЫ_ВЫБОРА!F32:K32)</f>
        <v>0</v>
      </c>
      <c r="I63" s="12" t="n">
        <f aca="false">SUMPRODUCT(ПОТОКИ!B11:G11,ЧАСОВЫЕ_ПРОФИЛИ!B12:G12,КОЭФФИЦИЕНТЫ_ВЫБОРА!F32:K32,ПАРАМЕТРЫ!$B$17:$G$17)</f>
        <v>0</v>
      </c>
      <c r="J63" s="12" t="n">
        <f aca="false">I63*G63/1000</f>
        <v>0</v>
      </c>
      <c r="K63" s="11" t="s">
        <v>217</v>
      </c>
      <c r="L63" s="11" t="s">
        <v>19</v>
      </c>
      <c r="M63" s="11" t="s">
        <v>145</v>
      </c>
    </row>
    <row r="64" customFormat="false" ht="15" hidden="false" customHeight="false" outlineLevel="0" collapsed="false">
      <c r="A64" s="11" t="s">
        <v>107</v>
      </c>
      <c r="B64" s="11" t="s">
        <v>125</v>
      </c>
      <c r="C64" s="11" t="n">
        <v>23</v>
      </c>
      <c r="D64" s="11" t="s">
        <v>86</v>
      </c>
      <c r="E64" s="11" t="s">
        <v>179</v>
      </c>
      <c r="F64" s="11" t="s">
        <v>85</v>
      </c>
      <c r="G64" s="12" t="n">
        <v>150</v>
      </c>
      <c r="H64" s="12" t="n">
        <f aca="false">SUMPRODUCT(ПОТОКИ!B11:G11,ЧАСОВЫЕ_ПРОФИЛИ!B12:G12,КОЭФФИЦИЕНТЫ_ВЫБОРА!F33:K33)</f>
        <v>0</v>
      </c>
      <c r="I64" s="12" t="n">
        <f aca="false">SUMPRODUCT(ПОТОКИ!B11:G11,ЧАСОВЫЕ_ПРОФИЛИ!B12:G12,КОЭФФИЦИЕНТЫ_ВЫБОРА!F33:K33,ПАРАМЕТРЫ!$B$17:$G$17)</f>
        <v>0</v>
      </c>
      <c r="J64" s="12" t="n">
        <f aca="false">I64*G64/1000</f>
        <v>0</v>
      </c>
      <c r="K64" s="11" t="s">
        <v>217</v>
      </c>
      <c r="L64" s="11" t="s">
        <v>19</v>
      </c>
      <c r="M64" s="11" t="s">
        <v>147</v>
      </c>
    </row>
    <row r="65" customFormat="false" ht="15" hidden="false" customHeight="false" outlineLevel="0" collapsed="false">
      <c r="A65" s="11" t="s">
        <v>107</v>
      </c>
      <c r="B65" s="11" t="s">
        <v>125</v>
      </c>
      <c r="C65" s="11" t="n">
        <v>24</v>
      </c>
      <c r="D65" s="11" t="s">
        <v>86</v>
      </c>
      <c r="E65" s="11" t="s">
        <v>180</v>
      </c>
      <c r="F65" s="11" t="s">
        <v>85</v>
      </c>
      <c r="G65" s="12" t="n">
        <v>150</v>
      </c>
      <c r="H65" s="12" t="n">
        <f aca="false">SUMPRODUCT(ПОТОКИ!B11:G11,ЧАСОВЫЕ_ПРОФИЛИ!B12:G12,КОЭФФИЦИЕНТЫ_ВЫБОРА!F34:K34)</f>
        <v>0</v>
      </c>
      <c r="I65" s="12" t="n">
        <f aca="false">SUMPRODUCT(ПОТОКИ!B11:G11,ЧАСОВЫЕ_ПРОФИЛИ!B12:G12,КОЭФФИЦИЕНТЫ_ВЫБОРА!F34:K34,ПАРАМЕТРЫ!$B$17:$G$17)</f>
        <v>0</v>
      </c>
      <c r="J65" s="12" t="n">
        <f aca="false">I65*G65/1000</f>
        <v>0</v>
      </c>
      <c r="K65" s="11" t="s">
        <v>217</v>
      </c>
      <c r="L65" s="11" t="s">
        <v>19</v>
      </c>
      <c r="M65" s="11" t="s">
        <v>147</v>
      </c>
    </row>
    <row r="66" customFormat="false" ht="15" hidden="false" customHeight="false" outlineLevel="0" collapsed="false">
      <c r="A66" s="11" t="s">
        <v>107</v>
      </c>
      <c r="B66" s="11" t="s">
        <v>125</v>
      </c>
      <c r="C66" s="11" t="n">
        <v>25</v>
      </c>
      <c r="D66" s="11" t="s">
        <v>86</v>
      </c>
      <c r="E66" s="11" t="s">
        <v>181</v>
      </c>
      <c r="F66" s="11" t="s">
        <v>85</v>
      </c>
      <c r="G66" s="12" t="n">
        <v>150</v>
      </c>
      <c r="H66" s="12" t="n">
        <f aca="false">SUMPRODUCT(ПОТОКИ!B11:G11,ЧАСОВЫЕ_ПРОФИЛИ!B12:G12,КОЭФФИЦИЕНТЫ_ВЫБОРА!F35:K35)</f>
        <v>0</v>
      </c>
      <c r="I66" s="12" t="n">
        <f aca="false">SUMPRODUCT(ПОТОКИ!B11:G11,ЧАСОВЫЕ_ПРОФИЛИ!B12:G12,КОЭФФИЦИЕНТЫ_ВЫБОРА!F35:K35,ПАРАМЕТРЫ!$B$17:$G$17)</f>
        <v>0</v>
      </c>
      <c r="J66" s="12" t="n">
        <f aca="false">I66*G66/1000</f>
        <v>0</v>
      </c>
      <c r="K66" s="11" t="s">
        <v>217</v>
      </c>
      <c r="L66" s="11" t="s">
        <v>19</v>
      </c>
      <c r="M66" s="11" t="s">
        <v>147</v>
      </c>
    </row>
    <row r="67" customFormat="false" ht="23.85" hidden="false" customHeight="false" outlineLevel="0" collapsed="false">
      <c r="A67" s="11" t="s">
        <v>107</v>
      </c>
      <c r="B67" s="11" t="s">
        <v>125</v>
      </c>
      <c r="C67" s="11" t="n">
        <v>26</v>
      </c>
      <c r="D67" s="11" t="s">
        <v>89</v>
      </c>
      <c r="E67" s="11" t="s">
        <v>182</v>
      </c>
      <c r="F67" s="11" t="s">
        <v>88</v>
      </c>
      <c r="G67" s="12" t="n">
        <v>225</v>
      </c>
      <c r="H67" s="12" t="n">
        <f aca="false">SUMPRODUCT(ПОТОКИ!B11:G11,ЧАСОВЫЕ_ПРОФИЛИ!B12:G12,КОЭФФИЦИЕНТЫ_ВЫБОРА!F36:K36)</f>
        <v>2.8875</v>
      </c>
      <c r="I67" s="12" t="n">
        <f aca="false">SUMPRODUCT(ПОТОКИ!B11:G11,ЧАСОВЫЕ_ПРОФИЛИ!B12:G12,КОЭФФИЦИЕНТЫ_ВЫБОРА!F36:K36,ПАРАМЕТРЫ!$B$17:$G$17)</f>
        <v>2.8875</v>
      </c>
      <c r="J67" s="12" t="n">
        <f aca="false">I67*G67/1000</f>
        <v>0.6496875</v>
      </c>
      <c r="K67" s="11" t="s">
        <v>217</v>
      </c>
      <c r="L67" s="11" t="s">
        <v>19</v>
      </c>
      <c r="M67" s="11" t="s">
        <v>145</v>
      </c>
    </row>
    <row r="68" customFormat="false" ht="23.85" hidden="false" customHeight="false" outlineLevel="0" collapsed="false">
      <c r="A68" s="11" t="s">
        <v>107</v>
      </c>
      <c r="B68" s="11" t="s">
        <v>125</v>
      </c>
      <c r="C68" s="11" t="n">
        <v>27</v>
      </c>
      <c r="D68" s="11" t="s">
        <v>89</v>
      </c>
      <c r="E68" s="11" t="s">
        <v>183</v>
      </c>
      <c r="F68" s="11" t="s">
        <v>88</v>
      </c>
      <c r="G68" s="12" t="n">
        <v>265</v>
      </c>
      <c r="H68" s="12" t="n">
        <f aca="false">SUMPRODUCT(ПОТОКИ!B11:G11,ЧАСОВЫЕ_ПРОФИЛИ!B12:G12,КОЭФФИЦИЕНТЫ_ВЫБОРА!F37:K37)</f>
        <v>2.8875</v>
      </c>
      <c r="I68" s="12" t="n">
        <f aca="false">SUMPRODUCT(ПОТОКИ!B11:G11,ЧАСОВЫЕ_ПРОФИЛИ!B12:G12,КОЭФФИЦИЕНТЫ_ВЫБОРА!F37:K37,ПАРАМЕТРЫ!$B$17:$G$17)</f>
        <v>2.8875</v>
      </c>
      <c r="J68" s="12" t="n">
        <f aca="false">I68*G68/1000</f>
        <v>0.7651875</v>
      </c>
      <c r="K68" s="11" t="s">
        <v>217</v>
      </c>
      <c r="L68" s="11" t="s">
        <v>19</v>
      </c>
      <c r="M68" s="11" t="s">
        <v>145</v>
      </c>
    </row>
    <row r="69" customFormat="false" ht="23.85" hidden="false" customHeight="false" outlineLevel="0" collapsed="false">
      <c r="A69" s="11" t="s">
        <v>107</v>
      </c>
      <c r="B69" s="11" t="s">
        <v>125</v>
      </c>
      <c r="C69" s="11" t="n">
        <v>28</v>
      </c>
      <c r="D69" s="11" t="s">
        <v>89</v>
      </c>
      <c r="E69" s="11" t="s">
        <v>184</v>
      </c>
      <c r="F69" s="11" t="s">
        <v>88</v>
      </c>
      <c r="G69" s="12" t="n">
        <v>355</v>
      </c>
      <c r="H69" s="12" t="n">
        <f aca="false">SUMPRODUCT(ПОТОКИ!B11:G11,ЧАСОВЫЕ_ПРОФИЛИ!B12:G12,КОЭФФИЦИЕНТЫ_ВЫБОРА!F38:K38)</f>
        <v>1.925</v>
      </c>
      <c r="I69" s="12" t="n">
        <f aca="false">SUMPRODUCT(ПОТОКИ!B11:G11,ЧАСОВЫЕ_ПРОФИЛИ!B12:G12,КОЭФФИЦИЕНТЫ_ВЫБОРА!F38:K38,ПАРАМЕТРЫ!$B$17:$G$17)</f>
        <v>1.925</v>
      </c>
      <c r="J69" s="12" t="n">
        <f aca="false">I69*G69/1000</f>
        <v>0.683375</v>
      </c>
      <c r="K69" s="11" t="s">
        <v>217</v>
      </c>
      <c r="L69" s="11" t="s">
        <v>19</v>
      </c>
      <c r="M69" s="11" t="s">
        <v>145</v>
      </c>
    </row>
    <row r="70" customFormat="false" ht="15" hidden="false" customHeight="false" outlineLevel="0" collapsed="false">
      <c r="A70" s="11" t="s">
        <v>107</v>
      </c>
      <c r="B70" s="11" t="s">
        <v>125</v>
      </c>
      <c r="C70" s="11" t="n">
        <v>29</v>
      </c>
      <c r="D70" s="11" t="s">
        <v>92</v>
      </c>
      <c r="E70" s="11" t="s">
        <v>185</v>
      </c>
      <c r="F70" s="11" t="s">
        <v>91</v>
      </c>
      <c r="G70" s="12" t="n">
        <v>150</v>
      </c>
      <c r="H70" s="12" t="n">
        <f aca="false">SUMPRODUCT(ПОТОКИ!B11:G11,ЧАСОВЫЕ_ПРОФИЛИ!B12:G12,КОЭФФИЦИЕНТЫ_ВЫБОРА!F39:K39)</f>
        <v>0.09</v>
      </c>
      <c r="I70" s="12" t="n">
        <f aca="false">SUMPRODUCT(ПОТОКИ!B11:G11,ЧАСОВЫЕ_ПРОФИЛИ!B12:G12,КОЭФФИЦИЕНТЫ_ВЫБОРА!F39:K39,ПАРАМЕТРЫ!$B$17:$G$17)</f>
        <v>0.099</v>
      </c>
      <c r="J70" s="12" t="n">
        <f aca="false">I70*G70/1000</f>
        <v>0.01485</v>
      </c>
      <c r="K70" s="11" t="s">
        <v>217</v>
      </c>
      <c r="L70" s="11" t="s">
        <v>19</v>
      </c>
      <c r="M70" s="11" t="s">
        <v>145</v>
      </c>
    </row>
    <row r="71" customFormat="false" ht="15" hidden="false" customHeight="false" outlineLevel="0" collapsed="false">
      <c r="A71" s="11" t="s">
        <v>107</v>
      </c>
      <c r="B71" s="11" t="s">
        <v>125</v>
      </c>
      <c r="C71" s="11" t="n">
        <v>30</v>
      </c>
      <c r="D71" s="11" t="s">
        <v>92</v>
      </c>
      <c r="E71" s="11" t="s">
        <v>186</v>
      </c>
      <c r="F71" s="11" t="s">
        <v>91</v>
      </c>
      <c r="G71" s="12" t="n">
        <v>120</v>
      </c>
      <c r="H71" s="12" t="n">
        <f aca="false">SUMPRODUCT(ПОТОКИ!B11:G11,ЧАСОВЫЕ_ПРОФИЛИ!B12:G12,КОЭФФИЦИЕНТЫ_ВЫБОРА!F40:K40)</f>
        <v>0.09</v>
      </c>
      <c r="I71" s="12" t="n">
        <f aca="false">SUMPRODUCT(ПОТОКИ!B11:G11,ЧАСОВЫЕ_ПРОФИЛИ!B12:G12,КОЭФФИЦИЕНТЫ_ВЫБОРА!F40:K40,ПАРАМЕТРЫ!$B$17:$G$17)</f>
        <v>0.099</v>
      </c>
      <c r="J71" s="12" t="n">
        <f aca="false">I71*G71/1000</f>
        <v>0.01188</v>
      </c>
      <c r="K71" s="11" t="s">
        <v>217</v>
      </c>
      <c r="L71" s="11" t="s">
        <v>19</v>
      </c>
      <c r="M71" s="11" t="s">
        <v>145</v>
      </c>
    </row>
    <row r="72" customFormat="false" ht="15" hidden="false" customHeight="false" outlineLevel="0" collapsed="false">
      <c r="A72" s="11" t="s">
        <v>107</v>
      </c>
      <c r="B72" s="11" t="s">
        <v>125</v>
      </c>
      <c r="C72" s="11" t="n">
        <v>31</v>
      </c>
      <c r="D72" s="11" t="s">
        <v>92</v>
      </c>
      <c r="E72" s="11" t="s">
        <v>187</v>
      </c>
      <c r="F72" s="11" t="s">
        <v>91</v>
      </c>
      <c r="G72" s="12" t="n">
        <v>60</v>
      </c>
      <c r="H72" s="12" t="n">
        <f aca="false">SUMPRODUCT(ПОТОКИ!B11:G11,ЧАСОВЫЕ_ПРОФИЛИ!B12:G12,КОЭФФИЦИЕНТЫ_ВЫБОРА!F41:K41)</f>
        <v>0.12</v>
      </c>
      <c r="I72" s="12" t="n">
        <f aca="false">SUMPRODUCT(ПОТОКИ!B11:G11,ЧАСОВЫЕ_ПРОФИЛИ!B12:G12,КОЭФФИЦИЕНТЫ_ВЫБОРА!F41:K41,ПАРАМЕТРЫ!$B$17:$G$17)</f>
        <v>0.132</v>
      </c>
      <c r="J72" s="12" t="n">
        <f aca="false">I72*G72/1000</f>
        <v>0.00792</v>
      </c>
      <c r="K72" s="11" t="s">
        <v>217</v>
      </c>
      <c r="L72" s="11" t="s">
        <v>19</v>
      </c>
      <c r="M72" s="11" t="s">
        <v>145</v>
      </c>
    </row>
    <row r="73" customFormat="false" ht="15" hidden="false" customHeight="false" outlineLevel="0" collapsed="false">
      <c r="A73" s="11" t="s">
        <v>107</v>
      </c>
      <c r="B73" s="11" t="s">
        <v>126</v>
      </c>
      <c r="C73" s="11" t="n">
        <v>1</v>
      </c>
      <c r="D73" s="11" t="s">
        <v>74</v>
      </c>
      <c r="E73" s="11" t="s">
        <v>153</v>
      </c>
      <c r="F73" s="11" t="s">
        <v>73</v>
      </c>
      <c r="G73" s="12" t="n">
        <v>450</v>
      </c>
      <c r="H73" s="12" t="n">
        <f aca="false">SUMPRODUCT(ПОТОКИ!B11:G11,ЧАСОВЫЕ_ПРОФИЛИ!B13:G13,КОЭФФИЦИЕНТЫ_ВЫБОРА!F11:K11)</f>
        <v>0</v>
      </c>
      <c r="I73" s="12" t="n">
        <f aca="false">SUMPRODUCT(ПОТОКИ!B11:G11,ЧАСОВЫЕ_ПРОФИЛИ!B13:G13,КОЭФФИЦИЕНТЫ_ВЫБОРА!F11:K11,ПАРАМЕТРЫ!$B$17:$G$17)</f>
        <v>0</v>
      </c>
      <c r="J73" s="12" t="n">
        <f aca="false">I73*G73/1000</f>
        <v>0</v>
      </c>
      <c r="K73" s="11" t="s">
        <v>217</v>
      </c>
      <c r="L73" s="11" t="s">
        <v>19</v>
      </c>
      <c r="M73" s="11" t="s">
        <v>145</v>
      </c>
    </row>
    <row r="74" customFormat="false" ht="15" hidden="false" customHeight="false" outlineLevel="0" collapsed="false">
      <c r="A74" s="11" t="s">
        <v>107</v>
      </c>
      <c r="B74" s="11" t="s">
        <v>126</v>
      </c>
      <c r="C74" s="11" t="n">
        <v>2</v>
      </c>
      <c r="D74" s="11" t="s">
        <v>74</v>
      </c>
      <c r="E74" s="11" t="s">
        <v>154</v>
      </c>
      <c r="F74" s="11" t="s">
        <v>73</v>
      </c>
      <c r="G74" s="12" t="n">
        <v>480</v>
      </c>
      <c r="H74" s="12" t="n">
        <f aca="false">SUMPRODUCT(ПОТОКИ!B11:G11,ЧАСОВЫЕ_ПРОФИЛИ!B13:G13,КОЭФФИЦИЕНТЫ_ВЫБОРА!F12:K12)</f>
        <v>0</v>
      </c>
      <c r="I74" s="12" t="n">
        <f aca="false">SUMPRODUCT(ПОТОКИ!B11:G11,ЧАСОВЫЕ_ПРОФИЛИ!B13:G13,КОЭФФИЦИЕНТЫ_ВЫБОРА!F12:K12,ПАРАМЕТРЫ!$B$17:$G$17)</f>
        <v>0</v>
      </c>
      <c r="J74" s="12" t="n">
        <f aca="false">I74*G74/1000</f>
        <v>0</v>
      </c>
      <c r="K74" s="11" t="s">
        <v>217</v>
      </c>
      <c r="L74" s="11" t="s">
        <v>19</v>
      </c>
      <c r="M74" s="11" t="s">
        <v>145</v>
      </c>
    </row>
    <row r="75" customFormat="false" ht="15" hidden="false" customHeight="false" outlineLevel="0" collapsed="false">
      <c r="A75" s="11" t="s">
        <v>107</v>
      </c>
      <c r="B75" s="11" t="s">
        <v>126</v>
      </c>
      <c r="C75" s="11" t="n">
        <v>3</v>
      </c>
      <c r="D75" s="11" t="s">
        <v>74</v>
      </c>
      <c r="E75" s="11" t="s">
        <v>155</v>
      </c>
      <c r="F75" s="11" t="s">
        <v>73</v>
      </c>
      <c r="G75" s="12" t="n">
        <v>500</v>
      </c>
      <c r="H75" s="12" t="n">
        <f aca="false">SUMPRODUCT(ПОТОКИ!B11:G11,ЧАСОВЫЕ_ПРОФИЛИ!B13:G13,КОЭФФИЦИЕНТЫ_ВЫБОРА!F13:K13)</f>
        <v>0</v>
      </c>
      <c r="I75" s="12" t="n">
        <f aca="false">SUMPRODUCT(ПОТОКИ!B11:G11,ЧАСОВЫЕ_ПРОФИЛИ!B13:G13,КОЭФФИЦИЕНТЫ_ВЫБОРА!F13:K13,ПАРАМЕТРЫ!$B$17:$G$17)</f>
        <v>0</v>
      </c>
      <c r="J75" s="12" t="n">
        <f aca="false">I75*G75/1000</f>
        <v>0</v>
      </c>
      <c r="K75" s="11" t="s">
        <v>217</v>
      </c>
      <c r="L75" s="11" t="s">
        <v>19</v>
      </c>
      <c r="M75" s="11" t="s">
        <v>145</v>
      </c>
    </row>
    <row r="76" customFormat="false" ht="15" hidden="false" customHeight="false" outlineLevel="0" collapsed="false">
      <c r="A76" s="11" t="s">
        <v>107</v>
      </c>
      <c r="B76" s="11" t="s">
        <v>126</v>
      </c>
      <c r="C76" s="11" t="n">
        <v>4</v>
      </c>
      <c r="D76" s="11" t="s">
        <v>74</v>
      </c>
      <c r="E76" s="11" t="s">
        <v>156</v>
      </c>
      <c r="F76" s="11" t="s">
        <v>73</v>
      </c>
      <c r="G76" s="12" t="n">
        <v>500</v>
      </c>
      <c r="H76" s="12" t="n">
        <f aca="false">SUMPRODUCT(ПОТОКИ!B11:G11,ЧАСОВЫЕ_ПРОФИЛИ!B13:G13,КОЭФФИЦИЕНТЫ_ВЫБОРА!F14:K14)</f>
        <v>0</v>
      </c>
      <c r="I76" s="12" t="n">
        <f aca="false">SUMPRODUCT(ПОТОКИ!B11:G11,ЧАСОВЫЕ_ПРОФИЛИ!B13:G13,КОЭФФИЦИЕНТЫ_ВЫБОРА!F14:K14,ПАРАМЕТРЫ!$B$17:$G$17)</f>
        <v>0</v>
      </c>
      <c r="J76" s="12" t="n">
        <f aca="false">I76*G76/1000</f>
        <v>0</v>
      </c>
      <c r="K76" s="11" t="s">
        <v>217</v>
      </c>
      <c r="L76" s="11" t="s">
        <v>19</v>
      </c>
      <c r="M76" s="11" t="s">
        <v>145</v>
      </c>
    </row>
    <row r="77" customFormat="false" ht="15" hidden="false" customHeight="false" outlineLevel="0" collapsed="false">
      <c r="A77" s="11" t="s">
        <v>107</v>
      </c>
      <c r="B77" s="11" t="s">
        <v>126</v>
      </c>
      <c r="C77" s="11" t="n">
        <v>5</v>
      </c>
      <c r="D77" s="11" t="s">
        <v>78</v>
      </c>
      <c r="E77" s="11" t="s">
        <v>157</v>
      </c>
      <c r="F77" s="11" t="s">
        <v>77</v>
      </c>
      <c r="G77" s="12" t="n">
        <v>100</v>
      </c>
      <c r="H77" s="12" t="n">
        <f aca="false">SUMPRODUCT(ПОТОКИ!B11:G11,ЧАСОВЫЕ_ПРОФИЛИ!B13:G13,КОЭФФИЦИЕНТЫ_ВЫБОРА!F15:K15)</f>
        <v>0.216</v>
      </c>
      <c r="I77" s="12" t="n">
        <f aca="false">SUMPRODUCT(ПОТОКИ!B11:G11,ЧАСОВЫЕ_ПРОФИЛИ!B13:G13,КОЭФФИЦИЕНТЫ_ВЫБОРА!F15:K15,ПАРАМЕТРЫ!$B$17:$G$17)</f>
        <v>0.2376</v>
      </c>
      <c r="J77" s="12" t="n">
        <f aca="false">I77*G77/1000</f>
        <v>0.02376</v>
      </c>
      <c r="K77" s="11" t="s">
        <v>217</v>
      </c>
      <c r="L77" s="11" t="s">
        <v>19</v>
      </c>
      <c r="M77" s="11" t="s">
        <v>147</v>
      </c>
    </row>
    <row r="78" customFormat="false" ht="15" hidden="false" customHeight="false" outlineLevel="0" collapsed="false">
      <c r="A78" s="11" t="s">
        <v>107</v>
      </c>
      <c r="B78" s="11" t="s">
        <v>126</v>
      </c>
      <c r="C78" s="11" t="n">
        <v>6</v>
      </c>
      <c r="D78" s="11" t="s">
        <v>78</v>
      </c>
      <c r="E78" s="11" t="s">
        <v>158</v>
      </c>
      <c r="F78" s="11" t="s">
        <v>77</v>
      </c>
      <c r="G78" s="12" t="n">
        <v>100</v>
      </c>
      <c r="H78" s="12" t="n">
        <f aca="false">SUMPRODUCT(ПОТОКИ!B11:G11,ЧАСОВЫЕ_ПРОФИЛИ!B13:G13,КОЭФФИЦИЕНТЫ_ВЫБОРА!F16:K16)</f>
        <v>0.216</v>
      </c>
      <c r="I78" s="12" t="n">
        <f aca="false">SUMPRODUCT(ПОТОКИ!B11:G11,ЧАСОВЫЕ_ПРОФИЛИ!B13:G13,КОЭФФИЦИЕНТЫ_ВЫБОРА!F16:K16,ПАРАМЕТРЫ!$B$17:$G$17)</f>
        <v>0.2376</v>
      </c>
      <c r="J78" s="12" t="n">
        <f aca="false">I78*G78/1000</f>
        <v>0.02376</v>
      </c>
      <c r="K78" s="11" t="s">
        <v>217</v>
      </c>
      <c r="L78" s="11" t="s">
        <v>19</v>
      </c>
      <c r="M78" s="11" t="s">
        <v>147</v>
      </c>
    </row>
    <row r="79" customFormat="false" ht="15" hidden="false" customHeight="false" outlineLevel="0" collapsed="false">
      <c r="A79" s="11" t="s">
        <v>107</v>
      </c>
      <c r="B79" s="11" t="s">
        <v>126</v>
      </c>
      <c r="C79" s="11" t="n">
        <v>7</v>
      </c>
      <c r="D79" s="11" t="s">
        <v>78</v>
      </c>
      <c r="E79" s="11" t="s">
        <v>159</v>
      </c>
      <c r="F79" s="11" t="s">
        <v>77</v>
      </c>
      <c r="G79" s="12" t="n">
        <v>350</v>
      </c>
      <c r="H79" s="12" t="n">
        <f aca="false">SUMPRODUCT(ПОТОКИ!B11:G11,ЧАСОВЫЕ_ПРОФИЛИ!B13:G13,КОЭФФИЦИЕНТЫ_ВЫБОРА!F17:K17)</f>
        <v>0.18</v>
      </c>
      <c r="I79" s="12" t="n">
        <f aca="false">SUMPRODUCT(ПОТОКИ!B11:G11,ЧАСОВЫЕ_ПРОФИЛИ!B13:G13,КОЭФФИЦИЕНТЫ_ВЫБОРА!F17:K17,ПАРАМЕТРЫ!$B$17:$G$17)</f>
        <v>0.198</v>
      </c>
      <c r="J79" s="12" t="n">
        <f aca="false">I79*G79/1000</f>
        <v>0.0693</v>
      </c>
      <c r="K79" s="11" t="s">
        <v>217</v>
      </c>
      <c r="L79" s="11" t="s">
        <v>19</v>
      </c>
      <c r="M79" s="11" t="s">
        <v>147</v>
      </c>
    </row>
    <row r="80" customFormat="false" ht="15" hidden="false" customHeight="false" outlineLevel="0" collapsed="false">
      <c r="A80" s="11" t="s">
        <v>107</v>
      </c>
      <c r="B80" s="11" t="s">
        <v>126</v>
      </c>
      <c r="C80" s="11" t="n">
        <v>8</v>
      </c>
      <c r="D80" s="11" t="s">
        <v>78</v>
      </c>
      <c r="E80" s="11" t="s">
        <v>160</v>
      </c>
      <c r="F80" s="11" t="s">
        <v>77</v>
      </c>
      <c r="G80" s="12" t="n">
        <v>85</v>
      </c>
      <c r="H80" s="12" t="n">
        <f aca="false">SUMPRODUCT(ПОТОКИ!B11:G11,ЧАСОВЫЕ_ПРОФИЛИ!B13:G13,КОЭФФИЦИЕНТЫ_ВЫБОРА!F18:K18)</f>
        <v>0.108</v>
      </c>
      <c r="I80" s="12" t="n">
        <f aca="false">SUMPRODUCT(ПОТОКИ!B11:G11,ЧАСОВЫЕ_ПРОФИЛИ!B13:G13,КОЭФФИЦИЕНТЫ_ВЫБОРА!F18:K18,ПАРАМЕТРЫ!$B$17:$G$17)</f>
        <v>0.1188</v>
      </c>
      <c r="J80" s="12" t="n">
        <f aca="false">I80*G80/1000</f>
        <v>0.010098</v>
      </c>
      <c r="K80" s="11" t="s">
        <v>217</v>
      </c>
      <c r="L80" s="11" t="s">
        <v>19</v>
      </c>
      <c r="M80" s="11" t="s">
        <v>147</v>
      </c>
    </row>
    <row r="81" customFormat="false" ht="15" hidden="false" customHeight="false" outlineLevel="0" collapsed="false">
      <c r="A81" s="11" t="s">
        <v>107</v>
      </c>
      <c r="B81" s="11" t="s">
        <v>126</v>
      </c>
      <c r="C81" s="11" t="n">
        <v>9</v>
      </c>
      <c r="D81" s="11" t="s">
        <v>161</v>
      </c>
      <c r="E81" s="11" t="s">
        <v>162</v>
      </c>
      <c r="F81" s="11" t="s">
        <v>80</v>
      </c>
      <c r="G81" s="12" t="n">
        <v>300</v>
      </c>
      <c r="H81" s="12" t="n">
        <f aca="false">SUMPRODUCT(ПОТОКИ!B11:G11,ЧАСОВЫЕ_ПРОФИЛИ!B13:G13,КОЭФФИЦИЕНТЫ_ВЫБОРА!F19:K19)</f>
        <v>0</v>
      </c>
      <c r="I81" s="12" t="n">
        <f aca="false">SUMPRODUCT(ПОТОКИ!B11:G11,ЧАСОВЫЕ_ПРОФИЛИ!B13:G13,КОЭФФИЦИЕНТЫ_ВЫБОРА!F19:K19,ПАРАМЕТРЫ!$B$17:$G$17)</f>
        <v>0</v>
      </c>
      <c r="J81" s="12" t="n">
        <f aca="false">I81*G81/1000</f>
        <v>0</v>
      </c>
      <c r="K81" s="11" t="s">
        <v>217</v>
      </c>
      <c r="L81" s="11" t="s">
        <v>19</v>
      </c>
      <c r="M81" s="11" t="s">
        <v>145</v>
      </c>
    </row>
    <row r="82" customFormat="false" ht="15" hidden="false" customHeight="false" outlineLevel="0" collapsed="false">
      <c r="A82" s="11" t="s">
        <v>107</v>
      </c>
      <c r="B82" s="11" t="s">
        <v>126</v>
      </c>
      <c r="C82" s="11" t="n">
        <v>10</v>
      </c>
      <c r="D82" s="11" t="s">
        <v>161</v>
      </c>
      <c r="E82" s="11" t="s">
        <v>163</v>
      </c>
      <c r="F82" s="11" t="s">
        <v>80</v>
      </c>
      <c r="G82" s="12" t="n">
        <v>280</v>
      </c>
      <c r="H82" s="12" t="n">
        <f aca="false">SUMPRODUCT(ПОТОКИ!B11:G11,ЧАСОВЫЕ_ПРОФИЛИ!B13:G13,КОЭФФИЦИЕНТЫ_ВЫБОРА!F20:K20)</f>
        <v>0</v>
      </c>
      <c r="I82" s="12" t="n">
        <f aca="false">SUMPRODUCT(ПОТОКИ!B11:G11,ЧАСОВЫЕ_ПРОФИЛИ!B13:G13,КОЭФФИЦИЕНТЫ_ВЫБОРА!F20:K20,ПАРАМЕТРЫ!$B$17:$G$17)</f>
        <v>0</v>
      </c>
      <c r="J82" s="12" t="n">
        <f aca="false">I82*G82/1000</f>
        <v>0</v>
      </c>
      <c r="K82" s="11" t="s">
        <v>217</v>
      </c>
      <c r="L82" s="11" t="s">
        <v>19</v>
      </c>
      <c r="M82" s="11" t="s">
        <v>145</v>
      </c>
    </row>
    <row r="83" customFormat="false" ht="15" hidden="false" customHeight="false" outlineLevel="0" collapsed="false">
      <c r="A83" s="11" t="s">
        <v>107</v>
      </c>
      <c r="B83" s="11" t="s">
        <v>126</v>
      </c>
      <c r="C83" s="11" t="n">
        <v>11</v>
      </c>
      <c r="D83" s="11" t="s">
        <v>161</v>
      </c>
      <c r="E83" s="11" t="s">
        <v>164</v>
      </c>
      <c r="F83" s="11" t="s">
        <v>80</v>
      </c>
      <c r="G83" s="12" t="n">
        <v>270</v>
      </c>
      <c r="H83" s="12" t="n">
        <f aca="false">SUMPRODUCT(ПОТОКИ!B11:G11,ЧАСОВЫЕ_ПРОФИЛИ!B13:G13,КОЭФФИЦИЕНТЫ_ВЫБОРА!F21:K21)</f>
        <v>0</v>
      </c>
      <c r="I83" s="12" t="n">
        <f aca="false">SUMPRODUCT(ПОТОКИ!B11:G11,ЧАСОВЫЕ_ПРОФИЛИ!B13:G13,КОЭФФИЦИЕНТЫ_ВЫБОРА!F21:K21,ПАРАМЕТРЫ!$B$17:$G$17)</f>
        <v>0</v>
      </c>
      <c r="J83" s="12" t="n">
        <f aca="false">I83*G83/1000</f>
        <v>0</v>
      </c>
      <c r="K83" s="11" t="s">
        <v>217</v>
      </c>
      <c r="L83" s="11" t="s">
        <v>19</v>
      </c>
      <c r="M83" s="11" t="s">
        <v>145</v>
      </c>
    </row>
    <row r="84" customFormat="false" ht="15" hidden="false" customHeight="false" outlineLevel="0" collapsed="false">
      <c r="A84" s="11" t="s">
        <v>107</v>
      </c>
      <c r="B84" s="11" t="s">
        <v>126</v>
      </c>
      <c r="C84" s="11" t="n">
        <v>12</v>
      </c>
      <c r="D84" s="11" t="s">
        <v>161</v>
      </c>
      <c r="E84" s="11" t="s">
        <v>165</v>
      </c>
      <c r="F84" s="11" t="s">
        <v>80</v>
      </c>
      <c r="G84" s="12" t="n">
        <v>240</v>
      </c>
      <c r="H84" s="12" t="n">
        <f aca="false">SUMPRODUCT(ПОТОКИ!B11:G11,ЧАСОВЫЕ_ПРОФИЛИ!B13:G13,КОЭФФИЦИЕНТЫ_ВЫБОРА!F22:K22)</f>
        <v>0</v>
      </c>
      <c r="I84" s="12" t="n">
        <f aca="false">SUMPRODUCT(ПОТОКИ!B11:G11,ЧАСОВЫЕ_ПРОФИЛИ!B13:G13,КОЭФФИЦИЕНТЫ_ВЫБОРА!F22:K22,ПАРАМЕТРЫ!$B$17:$G$17)</f>
        <v>0</v>
      </c>
      <c r="J84" s="12" t="n">
        <f aca="false">I84*G84/1000</f>
        <v>0</v>
      </c>
      <c r="K84" s="11" t="s">
        <v>217</v>
      </c>
      <c r="L84" s="11" t="s">
        <v>19</v>
      </c>
      <c r="M84" s="11" t="s">
        <v>145</v>
      </c>
    </row>
    <row r="85" customFormat="false" ht="15" hidden="false" customHeight="false" outlineLevel="0" collapsed="false">
      <c r="A85" s="11" t="s">
        <v>107</v>
      </c>
      <c r="B85" s="11" t="s">
        <v>126</v>
      </c>
      <c r="C85" s="11" t="n">
        <v>13</v>
      </c>
      <c r="D85" s="11" t="s">
        <v>166</v>
      </c>
      <c r="E85" s="11" t="s">
        <v>167</v>
      </c>
      <c r="F85" s="11" t="s">
        <v>80</v>
      </c>
      <c r="G85" s="12" t="n">
        <v>130</v>
      </c>
      <c r="H85" s="12" t="n">
        <f aca="false">SUMPRODUCT(ПОТОКИ!B11:G11,ЧАСОВЫЕ_ПРОФИЛИ!B13:G13,КОЭФФИЦИЕНТЫ_ВЫБОРА!F23:K23)</f>
        <v>0</v>
      </c>
      <c r="I85" s="12" t="n">
        <f aca="false">SUMPRODUCT(ПОТОКИ!B11:G11,ЧАСОВЫЕ_ПРОФИЛИ!B13:G13,КОЭФФИЦИЕНТЫ_ВЫБОРА!F23:K23,ПАРАМЕТРЫ!$B$17:$G$17)</f>
        <v>0</v>
      </c>
      <c r="J85" s="12" t="n">
        <f aca="false">I85*G85/1000</f>
        <v>0</v>
      </c>
      <c r="K85" s="11" t="s">
        <v>217</v>
      </c>
      <c r="L85" s="11" t="s">
        <v>19</v>
      </c>
      <c r="M85" s="11" t="s">
        <v>145</v>
      </c>
    </row>
    <row r="86" customFormat="false" ht="15" hidden="false" customHeight="false" outlineLevel="0" collapsed="false">
      <c r="A86" s="11" t="s">
        <v>107</v>
      </c>
      <c r="B86" s="11" t="s">
        <v>126</v>
      </c>
      <c r="C86" s="11" t="n">
        <v>14</v>
      </c>
      <c r="D86" s="11" t="s">
        <v>166</v>
      </c>
      <c r="E86" s="11" t="s">
        <v>168</v>
      </c>
      <c r="F86" s="11" t="s">
        <v>80</v>
      </c>
      <c r="G86" s="12" t="n">
        <v>250</v>
      </c>
      <c r="H86" s="12" t="n">
        <f aca="false">SUMPRODUCT(ПОТОКИ!B11:G11,ЧАСОВЫЕ_ПРОФИЛИ!B13:G13,КОЭФФИЦИЕНТЫ_ВЫБОРА!F24:K24)</f>
        <v>0</v>
      </c>
      <c r="I86" s="12" t="n">
        <f aca="false">SUMPRODUCT(ПОТОКИ!B11:G11,ЧАСОВЫЕ_ПРОФИЛИ!B13:G13,КОЭФФИЦИЕНТЫ_ВЫБОРА!F24:K24,ПАРАМЕТРЫ!$B$17:$G$17)</f>
        <v>0</v>
      </c>
      <c r="J86" s="12" t="n">
        <f aca="false">I86*G86/1000</f>
        <v>0</v>
      </c>
      <c r="K86" s="11" t="s">
        <v>217</v>
      </c>
      <c r="L86" s="11" t="s">
        <v>19</v>
      </c>
      <c r="M86" s="11" t="s">
        <v>145</v>
      </c>
    </row>
    <row r="87" customFormat="false" ht="15" hidden="false" customHeight="false" outlineLevel="0" collapsed="false">
      <c r="A87" s="11" t="s">
        <v>107</v>
      </c>
      <c r="B87" s="11" t="s">
        <v>126</v>
      </c>
      <c r="C87" s="11" t="n">
        <v>15</v>
      </c>
      <c r="D87" s="11" t="s">
        <v>166</v>
      </c>
      <c r="E87" s="11" t="s">
        <v>169</v>
      </c>
      <c r="F87" s="11" t="s">
        <v>80</v>
      </c>
      <c r="G87" s="12" t="n">
        <v>120</v>
      </c>
      <c r="H87" s="12" t="n">
        <f aca="false">SUMPRODUCT(ПОТОКИ!B11:G11,ЧАСОВЫЕ_ПРОФИЛИ!B13:G13,КОЭФФИЦИЕНТЫ_ВЫБОРА!F25:K25)</f>
        <v>0</v>
      </c>
      <c r="I87" s="12" t="n">
        <f aca="false">SUMPRODUCT(ПОТОКИ!B11:G11,ЧАСОВЫЕ_ПРОФИЛИ!B13:G13,КОЭФФИЦИЕНТЫ_ВЫБОРА!F25:K25,ПАРАМЕТРЫ!$B$17:$G$17)</f>
        <v>0</v>
      </c>
      <c r="J87" s="12" t="n">
        <f aca="false">I87*G87/1000</f>
        <v>0</v>
      </c>
      <c r="K87" s="11" t="s">
        <v>217</v>
      </c>
      <c r="L87" s="11" t="s">
        <v>19</v>
      </c>
      <c r="M87" s="11" t="s">
        <v>145</v>
      </c>
    </row>
    <row r="88" customFormat="false" ht="15" hidden="false" customHeight="false" outlineLevel="0" collapsed="false">
      <c r="A88" s="11" t="s">
        <v>107</v>
      </c>
      <c r="B88" s="11" t="s">
        <v>126</v>
      </c>
      <c r="C88" s="11" t="n">
        <v>16</v>
      </c>
      <c r="D88" s="11" t="s">
        <v>166</v>
      </c>
      <c r="E88" s="11" t="s">
        <v>170</v>
      </c>
      <c r="F88" s="11" t="s">
        <v>80</v>
      </c>
      <c r="G88" s="12" t="n">
        <v>180</v>
      </c>
      <c r="H88" s="12" t="n">
        <f aca="false">SUMPRODUCT(ПОТОКИ!B11:G11,ЧАСОВЫЕ_ПРОФИЛИ!B13:G13,КОЭФФИЦИЕНТЫ_ВЫБОРА!F26:K26)</f>
        <v>0</v>
      </c>
      <c r="I88" s="12" t="n">
        <f aca="false">SUMPRODUCT(ПОТОКИ!B11:G11,ЧАСОВЫЕ_ПРОФИЛИ!B13:G13,КОЭФФИЦИЕНТЫ_ВЫБОРА!F26:K26,ПАРАМЕТРЫ!$B$17:$G$17)</f>
        <v>0</v>
      </c>
      <c r="J88" s="12" t="n">
        <f aca="false">I88*G88/1000</f>
        <v>0</v>
      </c>
      <c r="K88" s="11" t="s">
        <v>217</v>
      </c>
      <c r="L88" s="11" t="s">
        <v>19</v>
      </c>
      <c r="M88" s="11" t="s">
        <v>145</v>
      </c>
    </row>
    <row r="89" customFormat="false" ht="15" hidden="false" customHeight="false" outlineLevel="0" collapsed="false">
      <c r="A89" s="11" t="s">
        <v>107</v>
      </c>
      <c r="B89" s="11" t="s">
        <v>126</v>
      </c>
      <c r="C89" s="11" t="n">
        <v>17</v>
      </c>
      <c r="D89" s="11" t="s">
        <v>166</v>
      </c>
      <c r="E89" s="11" t="s">
        <v>171</v>
      </c>
      <c r="F89" s="11" t="s">
        <v>80</v>
      </c>
      <c r="G89" s="12" t="n">
        <v>180</v>
      </c>
      <c r="H89" s="12" t="n">
        <f aca="false">SUMPRODUCT(ПОТОКИ!B11:G11,ЧАСОВЫЕ_ПРОФИЛИ!B13:G13,КОЭФФИЦИЕНТЫ_ВЫБОРА!F27:K27)</f>
        <v>0</v>
      </c>
      <c r="I89" s="12" t="n">
        <f aca="false">SUMPRODUCT(ПОТОКИ!B11:G11,ЧАСОВЫЕ_ПРОФИЛИ!B13:G13,КОЭФФИЦИЕНТЫ_ВЫБОРА!F27:K27,ПАРАМЕТРЫ!$B$17:$G$17)</f>
        <v>0</v>
      </c>
      <c r="J89" s="12" t="n">
        <f aca="false">I89*G89/1000</f>
        <v>0</v>
      </c>
      <c r="K89" s="11" t="s">
        <v>217</v>
      </c>
      <c r="L89" s="11" t="s">
        <v>19</v>
      </c>
      <c r="M89" s="11" t="s">
        <v>145</v>
      </c>
    </row>
    <row r="90" customFormat="false" ht="15" hidden="false" customHeight="false" outlineLevel="0" collapsed="false">
      <c r="A90" s="11" t="s">
        <v>107</v>
      </c>
      <c r="B90" s="11" t="s">
        <v>126</v>
      </c>
      <c r="C90" s="11" t="n">
        <v>18</v>
      </c>
      <c r="D90" s="11" t="s">
        <v>172</v>
      </c>
      <c r="E90" s="11" t="s">
        <v>173</v>
      </c>
      <c r="F90" s="11" t="s">
        <v>83</v>
      </c>
      <c r="G90" s="12" t="n">
        <v>400</v>
      </c>
      <c r="H90" s="12" t="n">
        <f aca="false">SUMPRODUCT(ПОТОКИ!B11:G11,ЧАСОВЫЕ_ПРОФИЛИ!B13:G13,КОЭФФИЦИЕНТЫ_ВЫБОРА!F28:K28)</f>
        <v>0</v>
      </c>
      <c r="I90" s="12" t="n">
        <f aca="false">SUMPRODUCT(ПОТОКИ!B11:G11,ЧАСОВЫЕ_ПРОФИЛИ!B13:G13,КОЭФФИЦИЕНТЫ_ВЫБОРА!F28:K28,ПАРАМЕТРЫ!$B$17:$G$17)</f>
        <v>0</v>
      </c>
      <c r="J90" s="12" t="n">
        <f aca="false">I90*G90/1000</f>
        <v>0</v>
      </c>
      <c r="K90" s="11" t="s">
        <v>217</v>
      </c>
      <c r="L90" s="11" t="s">
        <v>19</v>
      </c>
      <c r="M90" s="11" t="s">
        <v>145</v>
      </c>
    </row>
    <row r="91" customFormat="false" ht="23.85" hidden="false" customHeight="false" outlineLevel="0" collapsed="false">
      <c r="A91" s="11" t="s">
        <v>107</v>
      </c>
      <c r="B91" s="11" t="s">
        <v>126</v>
      </c>
      <c r="C91" s="11" t="n">
        <v>19</v>
      </c>
      <c r="D91" s="11" t="s">
        <v>174</v>
      </c>
      <c r="E91" s="11" t="s">
        <v>175</v>
      </c>
      <c r="F91" s="11" t="s">
        <v>83</v>
      </c>
      <c r="G91" s="12" t="n">
        <v>300</v>
      </c>
      <c r="H91" s="12" t="n">
        <f aca="false">SUMPRODUCT(ПОТОКИ!B11:G11,ЧАСОВЫЕ_ПРОФИЛИ!B13:G13,КОЭФФИЦИЕНТЫ_ВЫБОРА!F29:K29)</f>
        <v>0</v>
      </c>
      <c r="I91" s="12" t="n">
        <f aca="false">SUMPRODUCT(ПОТОКИ!B11:G11,ЧАСОВЫЕ_ПРОФИЛИ!B13:G13,КОЭФФИЦИЕНТЫ_ВЫБОРА!F29:K29,ПАРАМЕТРЫ!$B$17:$G$17)</f>
        <v>0</v>
      </c>
      <c r="J91" s="12" t="n">
        <f aca="false">I91*G91/1000</f>
        <v>0</v>
      </c>
      <c r="K91" s="11" t="s">
        <v>217</v>
      </c>
      <c r="L91" s="11" t="s">
        <v>19</v>
      </c>
      <c r="M91" s="11" t="s">
        <v>145</v>
      </c>
    </row>
    <row r="92" customFormat="false" ht="15" hidden="false" customHeight="false" outlineLevel="0" collapsed="false">
      <c r="A92" s="11" t="s">
        <v>107</v>
      </c>
      <c r="B92" s="11" t="s">
        <v>126</v>
      </c>
      <c r="C92" s="11" t="n">
        <v>20</v>
      </c>
      <c r="D92" s="11" t="s">
        <v>174</v>
      </c>
      <c r="E92" s="11" t="s">
        <v>176</v>
      </c>
      <c r="F92" s="11" t="s">
        <v>83</v>
      </c>
      <c r="G92" s="12" t="n">
        <v>360</v>
      </c>
      <c r="H92" s="12" t="n">
        <f aca="false">SUMPRODUCT(ПОТОКИ!B11:G11,ЧАСОВЫЕ_ПРОФИЛИ!B13:G13,КОЭФФИЦИЕНТЫ_ВЫБОРА!F30:K30)</f>
        <v>0</v>
      </c>
      <c r="I92" s="12" t="n">
        <f aca="false">SUMPRODUCT(ПОТОКИ!B11:G11,ЧАСОВЫЕ_ПРОФИЛИ!B13:G13,КОЭФФИЦИЕНТЫ_ВЫБОРА!F30:K30,ПАРАМЕТРЫ!$B$17:$G$17)</f>
        <v>0</v>
      </c>
      <c r="J92" s="12" t="n">
        <f aca="false">I92*G92/1000</f>
        <v>0</v>
      </c>
      <c r="K92" s="11" t="s">
        <v>217</v>
      </c>
      <c r="L92" s="11" t="s">
        <v>19</v>
      </c>
      <c r="M92" s="11" t="s">
        <v>145</v>
      </c>
    </row>
    <row r="93" customFormat="false" ht="15" hidden="false" customHeight="false" outlineLevel="0" collapsed="false">
      <c r="A93" s="11" t="s">
        <v>107</v>
      </c>
      <c r="B93" s="11" t="s">
        <v>126</v>
      </c>
      <c r="C93" s="11" t="n">
        <v>21</v>
      </c>
      <c r="D93" s="11" t="s">
        <v>174</v>
      </c>
      <c r="E93" s="11" t="s">
        <v>177</v>
      </c>
      <c r="F93" s="11" t="s">
        <v>83</v>
      </c>
      <c r="G93" s="12" t="n">
        <v>350</v>
      </c>
      <c r="H93" s="12" t="n">
        <f aca="false">SUMPRODUCT(ПОТОКИ!B11:G11,ЧАСОВЫЕ_ПРОФИЛИ!B13:G13,КОЭФФИЦИЕНТЫ_ВЫБОРА!F31:K31)</f>
        <v>0</v>
      </c>
      <c r="I93" s="12" t="n">
        <f aca="false">SUMPRODUCT(ПОТОКИ!B11:G11,ЧАСОВЫЕ_ПРОФИЛИ!B13:G13,КОЭФФИЦИЕНТЫ_ВЫБОРА!F31:K31,ПАРАМЕТРЫ!$B$17:$G$17)</f>
        <v>0</v>
      </c>
      <c r="J93" s="12" t="n">
        <f aca="false">I93*G93/1000</f>
        <v>0</v>
      </c>
      <c r="K93" s="11" t="s">
        <v>217</v>
      </c>
      <c r="L93" s="11" t="s">
        <v>19</v>
      </c>
      <c r="M93" s="11" t="s">
        <v>145</v>
      </c>
    </row>
    <row r="94" customFormat="false" ht="15" hidden="false" customHeight="false" outlineLevel="0" collapsed="false">
      <c r="A94" s="11" t="s">
        <v>107</v>
      </c>
      <c r="B94" s="11" t="s">
        <v>126</v>
      </c>
      <c r="C94" s="11" t="n">
        <v>22</v>
      </c>
      <c r="D94" s="11" t="s">
        <v>174</v>
      </c>
      <c r="E94" s="11" t="s">
        <v>178</v>
      </c>
      <c r="F94" s="11" t="s">
        <v>83</v>
      </c>
      <c r="G94" s="12" t="n">
        <v>300</v>
      </c>
      <c r="H94" s="12" t="n">
        <f aca="false">SUMPRODUCT(ПОТОКИ!B11:G11,ЧАСОВЫЕ_ПРОФИЛИ!B13:G13,КОЭФФИЦИЕНТЫ_ВЫБОРА!F32:K32)</f>
        <v>0</v>
      </c>
      <c r="I94" s="12" t="n">
        <f aca="false">SUMPRODUCT(ПОТОКИ!B11:G11,ЧАСОВЫЕ_ПРОФИЛИ!B13:G13,КОЭФФИЦИЕНТЫ_ВЫБОРА!F32:K32,ПАРАМЕТРЫ!$B$17:$G$17)</f>
        <v>0</v>
      </c>
      <c r="J94" s="12" t="n">
        <f aca="false">I94*G94/1000</f>
        <v>0</v>
      </c>
      <c r="K94" s="11" t="s">
        <v>217</v>
      </c>
      <c r="L94" s="11" t="s">
        <v>19</v>
      </c>
      <c r="M94" s="11" t="s">
        <v>145</v>
      </c>
    </row>
    <row r="95" customFormat="false" ht="15" hidden="false" customHeight="false" outlineLevel="0" collapsed="false">
      <c r="A95" s="11" t="s">
        <v>107</v>
      </c>
      <c r="B95" s="11" t="s">
        <v>126</v>
      </c>
      <c r="C95" s="11" t="n">
        <v>23</v>
      </c>
      <c r="D95" s="11" t="s">
        <v>86</v>
      </c>
      <c r="E95" s="11" t="s">
        <v>179</v>
      </c>
      <c r="F95" s="11" t="s">
        <v>85</v>
      </c>
      <c r="G95" s="12" t="n">
        <v>150</v>
      </c>
      <c r="H95" s="12" t="n">
        <f aca="false">SUMPRODUCT(ПОТОКИ!B11:G11,ЧАСОВЫЕ_ПРОФИЛИ!B13:G13,КОЭФФИЦИЕНТЫ_ВЫБОРА!F33:K33)</f>
        <v>0</v>
      </c>
      <c r="I95" s="12" t="n">
        <f aca="false">SUMPRODUCT(ПОТОКИ!B11:G11,ЧАСОВЫЕ_ПРОФИЛИ!B13:G13,КОЭФФИЦИЕНТЫ_ВЫБОРА!F33:K33,ПАРАМЕТРЫ!$B$17:$G$17)</f>
        <v>0</v>
      </c>
      <c r="J95" s="12" t="n">
        <f aca="false">I95*G95/1000</f>
        <v>0</v>
      </c>
      <c r="K95" s="11" t="s">
        <v>217</v>
      </c>
      <c r="L95" s="11" t="s">
        <v>19</v>
      </c>
      <c r="M95" s="11" t="s">
        <v>147</v>
      </c>
    </row>
    <row r="96" customFormat="false" ht="15" hidden="false" customHeight="false" outlineLevel="0" collapsed="false">
      <c r="A96" s="11" t="s">
        <v>107</v>
      </c>
      <c r="B96" s="11" t="s">
        <v>126</v>
      </c>
      <c r="C96" s="11" t="n">
        <v>24</v>
      </c>
      <c r="D96" s="11" t="s">
        <v>86</v>
      </c>
      <c r="E96" s="11" t="s">
        <v>180</v>
      </c>
      <c r="F96" s="11" t="s">
        <v>85</v>
      </c>
      <c r="G96" s="12" t="n">
        <v>150</v>
      </c>
      <c r="H96" s="12" t="n">
        <f aca="false">SUMPRODUCT(ПОТОКИ!B11:G11,ЧАСОВЫЕ_ПРОФИЛИ!B13:G13,КОЭФФИЦИЕНТЫ_ВЫБОРА!F34:K34)</f>
        <v>0</v>
      </c>
      <c r="I96" s="12" t="n">
        <f aca="false">SUMPRODUCT(ПОТОКИ!B11:G11,ЧАСОВЫЕ_ПРОФИЛИ!B13:G13,КОЭФФИЦИЕНТЫ_ВЫБОРА!F34:K34,ПАРАМЕТРЫ!$B$17:$G$17)</f>
        <v>0</v>
      </c>
      <c r="J96" s="12" t="n">
        <f aca="false">I96*G96/1000</f>
        <v>0</v>
      </c>
      <c r="K96" s="11" t="s">
        <v>217</v>
      </c>
      <c r="L96" s="11" t="s">
        <v>19</v>
      </c>
      <c r="M96" s="11" t="s">
        <v>147</v>
      </c>
    </row>
    <row r="97" customFormat="false" ht="15" hidden="false" customHeight="false" outlineLevel="0" collapsed="false">
      <c r="A97" s="11" t="s">
        <v>107</v>
      </c>
      <c r="B97" s="11" t="s">
        <v>126</v>
      </c>
      <c r="C97" s="11" t="n">
        <v>25</v>
      </c>
      <c r="D97" s="11" t="s">
        <v>86</v>
      </c>
      <c r="E97" s="11" t="s">
        <v>181</v>
      </c>
      <c r="F97" s="11" t="s">
        <v>85</v>
      </c>
      <c r="G97" s="12" t="n">
        <v>150</v>
      </c>
      <c r="H97" s="12" t="n">
        <f aca="false">SUMPRODUCT(ПОТОКИ!B11:G11,ЧАСОВЫЕ_ПРОФИЛИ!B13:G13,КОЭФФИЦИЕНТЫ_ВЫБОРА!F35:K35)</f>
        <v>0</v>
      </c>
      <c r="I97" s="12" t="n">
        <f aca="false">SUMPRODUCT(ПОТОКИ!B11:G11,ЧАСОВЫЕ_ПРОФИЛИ!B13:G13,КОЭФФИЦИЕНТЫ_ВЫБОРА!F35:K35,ПАРАМЕТРЫ!$B$17:$G$17)</f>
        <v>0</v>
      </c>
      <c r="J97" s="12" t="n">
        <f aca="false">I97*G97/1000</f>
        <v>0</v>
      </c>
      <c r="K97" s="11" t="s">
        <v>217</v>
      </c>
      <c r="L97" s="11" t="s">
        <v>19</v>
      </c>
      <c r="M97" s="11" t="s">
        <v>147</v>
      </c>
    </row>
    <row r="98" customFormat="false" ht="23.85" hidden="false" customHeight="false" outlineLevel="0" collapsed="false">
      <c r="A98" s="11" t="s">
        <v>107</v>
      </c>
      <c r="B98" s="11" t="s">
        <v>126</v>
      </c>
      <c r="C98" s="11" t="n">
        <v>26</v>
      </c>
      <c r="D98" s="11" t="s">
        <v>89</v>
      </c>
      <c r="E98" s="11" t="s">
        <v>182</v>
      </c>
      <c r="F98" s="11" t="s">
        <v>88</v>
      </c>
      <c r="G98" s="12" t="n">
        <v>225</v>
      </c>
      <c r="H98" s="12" t="n">
        <f aca="false">SUMPRODUCT(ПОТОКИ!B11:G11,ЧАСОВЫЕ_ПРОФИЛИ!B13:G13,КОЭФФИЦИЕНТЫ_ВЫБОРА!F36:K36)</f>
        <v>2.475</v>
      </c>
      <c r="I98" s="12" t="n">
        <f aca="false">SUMPRODUCT(ПОТОКИ!B11:G11,ЧАСОВЫЕ_ПРОФИЛИ!B13:G13,КОЭФФИЦИЕНТЫ_ВЫБОРА!F36:K36,ПАРАМЕТРЫ!$B$17:$G$17)</f>
        <v>2.475</v>
      </c>
      <c r="J98" s="12" t="n">
        <f aca="false">I98*G98/1000</f>
        <v>0.556875</v>
      </c>
      <c r="K98" s="11" t="s">
        <v>217</v>
      </c>
      <c r="L98" s="11" t="s">
        <v>19</v>
      </c>
      <c r="M98" s="11" t="s">
        <v>145</v>
      </c>
    </row>
    <row r="99" customFormat="false" ht="23.85" hidden="false" customHeight="false" outlineLevel="0" collapsed="false">
      <c r="A99" s="11" t="s">
        <v>107</v>
      </c>
      <c r="B99" s="11" t="s">
        <v>126</v>
      </c>
      <c r="C99" s="11" t="n">
        <v>27</v>
      </c>
      <c r="D99" s="11" t="s">
        <v>89</v>
      </c>
      <c r="E99" s="11" t="s">
        <v>183</v>
      </c>
      <c r="F99" s="11" t="s">
        <v>88</v>
      </c>
      <c r="G99" s="12" t="n">
        <v>265</v>
      </c>
      <c r="H99" s="12" t="n">
        <f aca="false">SUMPRODUCT(ПОТОКИ!B11:G11,ЧАСОВЫЕ_ПРОФИЛИ!B13:G13,КОЭФФИЦИЕНТЫ_ВЫБОРА!F37:K37)</f>
        <v>2.475</v>
      </c>
      <c r="I99" s="12" t="n">
        <f aca="false">SUMPRODUCT(ПОТОКИ!B11:G11,ЧАСОВЫЕ_ПРОФИЛИ!B13:G13,КОЭФФИЦИЕНТЫ_ВЫБОРА!F37:K37,ПАРАМЕТРЫ!$B$17:$G$17)</f>
        <v>2.475</v>
      </c>
      <c r="J99" s="12" t="n">
        <f aca="false">I99*G99/1000</f>
        <v>0.655875</v>
      </c>
      <c r="K99" s="11" t="s">
        <v>217</v>
      </c>
      <c r="L99" s="11" t="s">
        <v>19</v>
      </c>
      <c r="M99" s="11" t="s">
        <v>145</v>
      </c>
    </row>
    <row r="100" customFormat="false" ht="23.85" hidden="false" customHeight="false" outlineLevel="0" collapsed="false">
      <c r="A100" s="11" t="s">
        <v>107</v>
      </c>
      <c r="B100" s="11" t="s">
        <v>126</v>
      </c>
      <c r="C100" s="11" t="n">
        <v>28</v>
      </c>
      <c r="D100" s="11" t="s">
        <v>89</v>
      </c>
      <c r="E100" s="11" t="s">
        <v>184</v>
      </c>
      <c r="F100" s="11" t="s">
        <v>88</v>
      </c>
      <c r="G100" s="12" t="n">
        <v>355</v>
      </c>
      <c r="H100" s="12" t="n">
        <f aca="false">SUMPRODUCT(ПОТОКИ!B11:G11,ЧАСОВЫЕ_ПРОФИЛИ!B13:G13,КОЭФФИЦИЕНТЫ_ВЫБОРА!F38:K38)</f>
        <v>1.65</v>
      </c>
      <c r="I100" s="12" t="n">
        <f aca="false">SUMPRODUCT(ПОТОКИ!B11:G11,ЧАСОВЫЕ_ПРОФИЛИ!B13:G13,КОЭФФИЦИЕНТЫ_ВЫБОРА!F38:K38,ПАРАМЕТРЫ!$B$17:$G$17)</f>
        <v>1.65</v>
      </c>
      <c r="J100" s="12" t="n">
        <f aca="false">I100*G100/1000</f>
        <v>0.58575</v>
      </c>
      <c r="K100" s="11" t="s">
        <v>217</v>
      </c>
      <c r="L100" s="11" t="s">
        <v>19</v>
      </c>
      <c r="M100" s="11" t="s">
        <v>145</v>
      </c>
    </row>
    <row r="101" customFormat="false" ht="15" hidden="false" customHeight="false" outlineLevel="0" collapsed="false">
      <c r="A101" s="11" t="s">
        <v>107</v>
      </c>
      <c r="B101" s="11" t="s">
        <v>126</v>
      </c>
      <c r="C101" s="11" t="n">
        <v>29</v>
      </c>
      <c r="D101" s="11" t="s">
        <v>92</v>
      </c>
      <c r="E101" s="11" t="s">
        <v>185</v>
      </c>
      <c r="F101" s="11" t="s">
        <v>91</v>
      </c>
      <c r="G101" s="12" t="n">
        <v>150</v>
      </c>
      <c r="H101" s="12" t="n">
        <f aca="false">SUMPRODUCT(ПОТОКИ!B11:G11,ЧАСОВЫЕ_ПРОФИЛИ!B13:G13,КОЭФФИЦИЕНТЫ_ВЫБОРА!F39:K39)</f>
        <v>0.108</v>
      </c>
      <c r="I101" s="12" t="n">
        <f aca="false">SUMPRODUCT(ПОТОКИ!B11:G11,ЧАСОВЫЕ_ПРОФИЛИ!B13:G13,КОЭФФИЦИЕНТЫ_ВЫБОРА!F39:K39,ПАРАМЕТРЫ!$B$17:$G$17)</f>
        <v>0.1188</v>
      </c>
      <c r="J101" s="12" t="n">
        <f aca="false">I101*G101/1000</f>
        <v>0.01782</v>
      </c>
      <c r="K101" s="11" t="s">
        <v>217</v>
      </c>
      <c r="L101" s="11" t="s">
        <v>19</v>
      </c>
      <c r="M101" s="11" t="s">
        <v>145</v>
      </c>
    </row>
    <row r="102" customFormat="false" ht="15" hidden="false" customHeight="false" outlineLevel="0" collapsed="false">
      <c r="A102" s="11" t="s">
        <v>107</v>
      </c>
      <c r="B102" s="11" t="s">
        <v>126</v>
      </c>
      <c r="C102" s="11" t="n">
        <v>30</v>
      </c>
      <c r="D102" s="11" t="s">
        <v>92</v>
      </c>
      <c r="E102" s="11" t="s">
        <v>186</v>
      </c>
      <c r="F102" s="11" t="s">
        <v>91</v>
      </c>
      <c r="G102" s="12" t="n">
        <v>120</v>
      </c>
      <c r="H102" s="12" t="n">
        <f aca="false">SUMPRODUCT(ПОТОКИ!B11:G11,ЧАСОВЫЕ_ПРОФИЛИ!B13:G13,КОЭФФИЦИЕНТЫ_ВЫБОРА!F40:K40)</f>
        <v>0.108</v>
      </c>
      <c r="I102" s="12" t="n">
        <f aca="false">SUMPRODUCT(ПОТОКИ!B11:G11,ЧАСОВЫЕ_ПРОФИЛИ!B13:G13,КОЭФФИЦИЕНТЫ_ВЫБОРА!F40:K40,ПАРАМЕТРЫ!$B$17:$G$17)</f>
        <v>0.1188</v>
      </c>
      <c r="J102" s="12" t="n">
        <f aca="false">I102*G102/1000</f>
        <v>0.014256</v>
      </c>
      <c r="K102" s="11" t="s">
        <v>217</v>
      </c>
      <c r="L102" s="11" t="s">
        <v>19</v>
      </c>
      <c r="M102" s="11" t="s">
        <v>145</v>
      </c>
    </row>
    <row r="103" customFormat="false" ht="15" hidden="false" customHeight="false" outlineLevel="0" collapsed="false">
      <c r="A103" s="11" t="s">
        <v>107</v>
      </c>
      <c r="B103" s="11" t="s">
        <v>126</v>
      </c>
      <c r="C103" s="11" t="n">
        <v>31</v>
      </c>
      <c r="D103" s="11" t="s">
        <v>92</v>
      </c>
      <c r="E103" s="11" t="s">
        <v>187</v>
      </c>
      <c r="F103" s="11" t="s">
        <v>91</v>
      </c>
      <c r="G103" s="12" t="n">
        <v>60</v>
      </c>
      <c r="H103" s="12" t="n">
        <f aca="false">SUMPRODUCT(ПОТОКИ!B11:G11,ЧАСОВЫЕ_ПРОФИЛИ!B13:G13,КОЭФФИЦИЕНТЫ_ВЫБОРА!F41:K41)</f>
        <v>0.144</v>
      </c>
      <c r="I103" s="12" t="n">
        <f aca="false">SUMPRODUCT(ПОТОКИ!B11:G11,ЧАСОВЫЕ_ПРОФИЛИ!B13:G13,КОЭФФИЦИЕНТЫ_ВЫБОРА!F41:K41,ПАРАМЕТРЫ!$B$17:$G$17)</f>
        <v>0.1584</v>
      </c>
      <c r="J103" s="12" t="n">
        <f aca="false">I103*G103/1000</f>
        <v>0.009504</v>
      </c>
      <c r="K103" s="11" t="s">
        <v>217</v>
      </c>
      <c r="L103" s="11" t="s">
        <v>19</v>
      </c>
      <c r="M103" s="11" t="s">
        <v>145</v>
      </c>
    </row>
    <row r="104" customFormat="false" ht="15" hidden="false" customHeight="false" outlineLevel="0" collapsed="false">
      <c r="A104" s="11" t="s">
        <v>107</v>
      </c>
      <c r="B104" s="11" t="s">
        <v>127</v>
      </c>
      <c r="C104" s="11" t="n">
        <v>1</v>
      </c>
      <c r="D104" s="11" t="s">
        <v>74</v>
      </c>
      <c r="E104" s="11" t="s">
        <v>153</v>
      </c>
      <c r="F104" s="11" t="s">
        <v>73</v>
      </c>
      <c r="G104" s="12" t="n">
        <v>450</v>
      </c>
      <c r="H104" s="12" t="n">
        <f aca="false">SUMPRODUCT(ПОТОКИ!B11:G11,ЧАСОВЫЕ_ПРОФИЛИ!B14:G14,КОЭФФИЦИЕНТЫ_ВЫБОРА!F11:K11)</f>
        <v>0</v>
      </c>
      <c r="I104" s="12" t="n">
        <f aca="false">SUMPRODUCT(ПОТОКИ!B11:G11,ЧАСОВЫЕ_ПРОФИЛИ!B14:G14,КОЭФФИЦИЕНТЫ_ВЫБОРА!F11:K11,ПАРАМЕТРЫ!$B$17:$G$17)</f>
        <v>0</v>
      </c>
      <c r="J104" s="12" t="n">
        <f aca="false">I104*G104/1000</f>
        <v>0</v>
      </c>
      <c r="K104" s="11" t="s">
        <v>217</v>
      </c>
      <c r="L104" s="11" t="s">
        <v>19</v>
      </c>
      <c r="M104" s="11" t="s">
        <v>145</v>
      </c>
    </row>
    <row r="105" customFormat="false" ht="15" hidden="false" customHeight="false" outlineLevel="0" collapsed="false">
      <c r="A105" s="11" t="s">
        <v>107</v>
      </c>
      <c r="B105" s="11" t="s">
        <v>127</v>
      </c>
      <c r="C105" s="11" t="n">
        <v>2</v>
      </c>
      <c r="D105" s="11" t="s">
        <v>74</v>
      </c>
      <c r="E105" s="11" t="s">
        <v>154</v>
      </c>
      <c r="F105" s="11" t="s">
        <v>73</v>
      </c>
      <c r="G105" s="12" t="n">
        <v>480</v>
      </c>
      <c r="H105" s="12" t="n">
        <f aca="false">SUMPRODUCT(ПОТОКИ!B11:G11,ЧАСОВЫЕ_ПРОФИЛИ!B14:G14,КОЭФФИЦИЕНТЫ_ВЫБОРА!F12:K12)</f>
        <v>0</v>
      </c>
      <c r="I105" s="12" t="n">
        <f aca="false">SUMPRODUCT(ПОТОКИ!B11:G11,ЧАСОВЫЕ_ПРОФИЛИ!B14:G14,КОЭФФИЦИЕНТЫ_ВЫБОРА!F12:K12,ПАРАМЕТРЫ!$B$17:$G$17)</f>
        <v>0</v>
      </c>
      <c r="J105" s="12" t="n">
        <f aca="false">I105*G105/1000</f>
        <v>0</v>
      </c>
      <c r="K105" s="11" t="s">
        <v>217</v>
      </c>
      <c r="L105" s="11" t="s">
        <v>19</v>
      </c>
      <c r="M105" s="11" t="s">
        <v>145</v>
      </c>
    </row>
    <row r="106" customFormat="false" ht="15" hidden="false" customHeight="false" outlineLevel="0" collapsed="false">
      <c r="A106" s="11" t="s">
        <v>107</v>
      </c>
      <c r="B106" s="11" t="s">
        <v>127</v>
      </c>
      <c r="C106" s="11" t="n">
        <v>3</v>
      </c>
      <c r="D106" s="11" t="s">
        <v>74</v>
      </c>
      <c r="E106" s="11" t="s">
        <v>155</v>
      </c>
      <c r="F106" s="11" t="s">
        <v>73</v>
      </c>
      <c r="G106" s="12" t="n">
        <v>500</v>
      </c>
      <c r="H106" s="12" t="n">
        <f aca="false">SUMPRODUCT(ПОТОКИ!B11:G11,ЧАСОВЫЕ_ПРОФИЛИ!B14:G14,КОЭФФИЦИЕНТЫ_ВЫБОРА!F13:K13)</f>
        <v>0</v>
      </c>
      <c r="I106" s="12" t="n">
        <f aca="false">SUMPRODUCT(ПОТОКИ!B11:G11,ЧАСОВЫЕ_ПРОФИЛИ!B14:G14,КОЭФФИЦИЕНТЫ_ВЫБОРА!F13:K13,ПАРАМЕТРЫ!$B$17:$G$17)</f>
        <v>0</v>
      </c>
      <c r="J106" s="12" t="n">
        <f aca="false">I106*G106/1000</f>
        <v>0</v>
      </c>
      <c r="K106" s="11" t="s">
        <v>217</v>
      </c>
      <c r="L106" s="11" t="s">
        <v>19</v>
      </c>
      <c r="M106" s="11" t="s">
        <v>145</v>
      </c>
    </row>
    <row r="107" customFormat="false" ht="15" hidden="false" customHeight="false" outlineLevel="0" collapsed="false">
      <c r="A107" s="11" t="s">
        <v>107</v>
      </c>
      <c r="B107" s="11" t="s">
        <v>127</v>
      </c>
      <c r="C107" s="11" t="n">
        <v>4</v>
      </c>
      <c r="D107" s="11" t="s">
        <v>74</v>
      </c>
      <c r="E107" s="11" t="s">
        <v>156</v>
      </c>
      <c r="F107" s="11" t="s">
        <v>73</v>
      </c>
      <c r="G107" s="12" t="n">
        <v>500</v>
      </c>
      <c r="H107" s="12" t="n">
        <f aca="false">SUMPRODUCT(ПОТОКИ!B11:G11,ЧАСОВЫЕ_ПРОФИЛИ!B14:G14,КОЭФФИЦИЕНТЫ_ВЫБОРА!F14:K14)</f>
        <v>0</v>
      </c>
      <c r="I107" s="12" t="n">
        <f aca="false">SUMPRODUCT(ПОТОКИ!B11:G11,ЧАСОВЫЕ_ПРОФИЛИ!B14:G14,КОЭФФИЦИЕНТЫ_ВЫБОРА!F14:K14,ПАРАМЕТРЫ!$B$17:$G$17)</f>
        <v>0</v>
      </c>
      <c r="J107" s="12" t="n">
        <f aca="false">I107*G107/1000</f>
        <v>0</v>
      </c>
      <c r="K107" s="11" t="s">
        <v>217</v>
      </c>
      <c r="L107" s="11" t="s">
        <v>19</v>
      </c>
      <c r="M107" s="11" t="s">
        <v>145</v>
      </c>
    </row>
    <row r="108" customFormat="false" ht="15" hidden="false" customHeight="false" outlineLevel="0" collapsed="false">
      <c r="A108" s="11" t="s">
        <v>107</v>
      </c>
      <c r="B108" s="11" t="s">
        <v>127</v>
      </c>
      <c r="C108" s="11" t="n">
        <v>5</v>
      </c>
      <c r="D108" s="11" t="s">
        <v>78</v>
      </c>
      <c r="E108" s="11" t="s">
        <v>157</v>
      </c>
      <c r="F108" s="11" t="s">
        <v>77</v>
      </c>
      <c r="G108" s="12" t="n">
        <v>100</v>
      </c>
      <c r="H108" s="12" t="n">
        <f aca="false">SUMPRODUCT(ПОТОКИ!B11:G11,ЧАСОВЫЕ_ПРОФИЛИ!B14:G14,КОЭФФИЦИЕНТЫ_ВЫБОРА!F15:K15)</f>
        <v>0.216</v>
      </c>
      <c r="I108" s="12" t="n">
        <f aca="false">SUMPRODUCT(ПОТОКИ!B11:G11,ЧАСОВЫЕ_ПРОФИЛИ!B14:G14,КОЭФФИЦИЕНТЫ_ВЫБОРА!F15:K15,ПАРАМЕТРЫ!$B$17:$G$17)</f>
        <v>0.2376</v>
      </c>
      <c r="J108" s="12" t="n">
        <f aca="false">I108*G108/1000</f>
        <v>0.02376</v>
      </c>
      <c r="K108" s="11" t="s">
        <v>217</v>
      </c>
      <c r="L108" s="11" t="s">
        <v>19</v>
      </c>
      <c r="M108" s="11" t="s">
        <v>147</v>
      </c>
    </row>
    <row r="109" customFormat="false" ht="15" hidden="false" customHeight="false" outlineLevel="0" collapsed="false">
      <c r="A109" s="11" t="s">
        <v>107</v>
      </c>
      <c r="B109" s="11" t="s">
        <v>127</v>
      </c>
      <c r="C109" s="11" t="n">
        <v>6</v>
      </c>
      <c r="D109" s="11" t="s">
        <v>78</v>
      </c>
      <c r="E109" s="11" t="s">
        <v>158</v>
      </c>
      <c r="F109" s="11" t="s">
        <v>77</v>
      </c>
      <c r="G109" s="12" t="n">
        <v>100</v>
      </c>
      <c r="H109" s="12" t="n">
        <f aca="false">SUMPRODUCT(ПОТОКИ!B11:G11,ЧАСОВЫЕ_ПРОФИЛИ!B14:G14,КОЭФФИЦИЕНТЫ_ВЫБОРА!F16:K16)</f>
        <v>0.216</v>
      </c>
      <c r="I109" s="12" t="n">
        <f aca="false">SUMPRODUCT(ПОТОКИ!B11:G11,ЧАСОВЫЕ_ПРОФИЛИ!B14:G14,КОЭФФИЦИЕНТЫ_ВЫБОРА!F16:K16,ПАРАМЕТРЫ!$B$17:$G$17)</f>
        <v>0.2376</v>
      </c>
      <c r="J109" s="12" t="n">
        <f aca="false">I109*G109/1000</f>
        <v>0.02376</v>
      </c>
      <c r="K109" s="11" t="s">
        <v>217</v>
      </c>
      <c r="L109" s="11" t="s">
        <v>19</v>
      </c>
      <c r="M109" s="11" t="s">
        <v>147</v>
      </c>
    </row>
    <row r="110" customFormat="false" ht="15" hidden="false" customHeight="false" outlineLevel="0" collapsed="false">
      <c r="A110" s="11" t="s">
        <v>107</v>
      </c>
      <c r="B110" s="11" t="s">
        <v>127</v>
      </c>
      <c r="C110" s="11" t="n">
        <v>7</v>
      </c>
      <c r="D110" s="11" t="s">
        <v>78</v>
      </c>
      <c r="E110" s="11" t="s">
        <v>159</v>
      </c>
      <c r="F110" s="11" t="s">
        <v>77</v>
      </c>
      <c r="G110" s="12" t="n">
        <v>350</v>
      </c>
      <c r="H110" s="12" t="n">
        <f aca="false">SUMPRODUCT(ПОТОКИ!B11:G11,ЧАСОВЫЕ_ПРОФИЛИ!B14:G14,КОЭФФИЦИЕНТЫ_ВЫБОРА!F17:K17)</f>
        <v>0.18</v>
      </c>
      <c r="I110" s="12" t="n">
        <f aca="false">SUMPRODUCT(ПОТОКИ!B11:G11,ЧАСОВЫЕ_ПРОФИЛИ!B14:G14,КОЭФФИЦИЕНТЫ_ВЫБОРА!F17:K17,ПАРАМЕТРЫ!$B$17:$G$17)</f>
        <v>0.198</v>
      </c>
      <c r="J110" s="12" t="n">
        <f aca="false">I110*G110/1000</f>
        <v>0.0693</v>
      </c>
      <c r="K110" s="11" t="s">
        <v>217</v>
      </c>
      <c r="L110" s="11" t="s">
        <v>19</v>
      </c>
      <c r="M110" s="11" t="s">
        <v>147</v>
      </c>
    </row>
    <row r="111" customFormat="false" ht="15" hidden="false" customHeight="false" outlineLevel="0" collapsed="false">
      <c r="A111" s="11" t="s">
        <v>107</v>
      </c>
      <c r="B111" s="11" t="s">
        <v>127</v>
      </c>
      <c r="C111" s="11" t="n">
        <v>8</v>
      </c>
      <c r="D111" s="11" t="s">
        <v>78</v>
      </c>
      <c r="E111" s="11" t="s">
        <v>160</v>
      </c>
      <c r="F111" s="11" t="s">
        <v>77</v>
      </c>
      <c r="G111" s="12" t="n">
        <v>85</v>
      </c>
      <c r="H111" s="12" t="n">
        <f aca="false">SUMPRODUCT(ПОТОКИ!B11:G11,ЧАСОВЫЕ_ПРОФИЛИ!B14:G14,КОЭФФИЦИЕНТЫ_ВЫБОРА!F18:K18)</f>
        <v>0.108</v>
      </c>
      <c r="I111" s="12" t="n">
        <f aca="false">SUMPRODUCT(ПОТОКИ!B11:G11,ЧАСОВЫЕ_ПРОФИЛИ!B14:G14,КОЭФФИЦИЕНТЫ_ВЫБОРА!F18:K18,ПАРАМЕТРЫ!$B$17:$G$17)</f>
        <v>0.1188</v>
      </c>
      <c r="J111" s="12" t="n">
        <f aca="false">I111*G111/1000</f>
        <v>0.010098</v>
      </c>
      <c r="K111" s="11" t="s">
        <v>217</v>
      </c>
      <c r="L111" s="11" t="s">
        <v>19</v>
      </c>
      <c r="M111" s="11" t="s">
        <v>147</v>
      </c>
    </row>
    <row r="112" customFormat="false" ht="15" hidden="false" customHeight="false" outlineLevel="0" collapsed="false">
      <c r="A112" s="11" t="s">
        <v>107</v>
      </c>
      <c r="B112" s="11" t="s">
        <v>127</v>
      </c>
      <c r="C112" s="11" t="n">
        <v>9</v>
      </c>
      <c r="D112" s="11" t="s">
        <v>161</v>
      </c>
      <c r="E112" s="11" t="s">
        <v>162</v>
      </c>
      <c r="F112" s="11" t="s">
        <v>80</v>
      </c>
      <c r="G112" s="12" t="n">
        <v>300</v>
      </c>
      <c r="H112" s="12" t="n">
        <f aca="false">SUMPRODUCT(ПОТОКИ!B11:G11,ЧАСОВЫЕ_ПРОФИЛИ!B14:G14,КОЭФФИЦИЕНТЫ_ВЫБОРА!F19:K19)</f>
        <v>0</v>
      </c>
      <c r="I112" s="12" t="n">
        <f aca="false">SUMPRODUCT(ПОТОКИ!B11:G11,ЧАСОВЫЕ_ПРОФИЛИ!B14:G14,КОЭФФИЦИЕНТЫ_ВЫБОРА!F19:K19,ПАРАМЕТРЫ!$B$17:$G$17)</f>
        <v>0</v>
      </c>
      <c r="J112" s="12" t="n">
        <f aca="false">I112*G112/1000</f>
        <v>0</v>
      </c>
      <c r="K112" s="11" t="s">
        <v>217</v>
      </c>
      <c r="L112" s="11" t="s">
        <v>19</v>
      </c>
      <c r="M112" s="11" t="s">
        <v>145</v>
      </c>
    </row>
    <row r="113" customFormat="false" ht="15" hidden="false" customHeight="false" outlineLevel="0" collapsed="false">
      <c r="A113" s="11" t="s">
        <v>107</v>
      </c>
      <c r="B113" s="11" t="s">
        <v>127</v>
      </c>
      <c r="C113" s="11" t="n">
        <v>10</v>
      </c>
      <c r="D113" s="11" t="s">
        <v>161</v>
      </c>
      <c r="E113" s="11" t="s">
        <v>163</v>
      </c>
      <c r="F113" s="11" t="s">
        <v>80</v>
      </c>
      <c r="G113" s="12" t="n">
        <v>280</v>
      </c>
      <c r="H113" s="12" t="n">
        <f aca="false">SUMPRODUCT(ПОТОКИ!B11:G11,ЧАСОВЫЕ_ПРОФИЛИ!B14:G14,КОЭФФИЦИЕНТЫ_ВЫБОРА!F20:K20)</f>
        <v>0</v>
      </c>
      <c r="I113" s="12" t="n">
        <f aca="false">SUMPRODUCT(ПОТОКИ!B11:G11,ЧАСОВЫЕ_ПРОФИЛИ!B14:G14,КОЭФФИЦИЕНТЫ_ВЫБОРА!F20:K20,ПАРАМЕТРЫ!$B$17:$G$17)</f>
        <v>0</v>
      </c>
      <c r="J113" s="12" t="n">
        <f aca="false">I113*G113/1000</f>
        <v>0</v>
      </c>
      <c r="K113" s="11" t="s">
        <v>217</v>
      </c>
      <c r="L113" s="11" t="s">
        <v>19</v>
      </c>
      <c r="M113" s="11" t="s">
        <v>145</v>
      </c>
    </row>
    <row r="114" customFormat="false" ht="15" hidden="false" customHeight="false" outlineLevel="0" collapsed="false">
      <c r="A114" s="11" t="s">
        <v>107</v>
      </c>
      <c r="B114" s="11" t="s">
        <v>127</v>
      </c>
      <c r="C114" s="11" t="n">
        <v>11</v>
      </c>
      <c r="D114" s="11" t="s">
        <v>161</v>
      </c>
      <c r="E114" s="11" t="s">
        <v>164</v>
      </c>
      <c r="F114" s="11" t="s">
        <v>80</v>
      </c>
      <c r="G114" s="12" t="n">
        <v>270</v>
      </c>
      <c r="H114" s="12" t="n">
        <f aca="false">SUMPRODUCT(ПОТОКИ!B11:G11,ЧАСОВЫЕ_ПРОФИЛИ!B14:G14,КОЭФФИЦИЕНТЫ_ВЫБОРА!F21:K21)</f>
        <v>0</v>
      </c>
      <c r="I114" s="12" t="n">
        <f aca="false">SUMPRODUCT(ПОТОКИ!B11:G11,ЧАСОВЫЕ_ПРОФИЛИ!B14:G14,КОЭФФИЦИЕНТЫ_ВЫБОРА!F21:K21,ПАРАМЕТРЫ!$B$17:$G$17)</f>
        <v>0</v>
      </c>
      <c r="J114" s="12" t="n">
        <f aca="false">I114*G114/1000</f>
        <v>0</v>
      </c>
      <c r="K114" s="11" t="s">
        <v>217</v>
      </c>
      <c r="L114" s="11" t="s">
        <v>19</v>
      </c>
      <c r="M114" s="11" t="s">
        <v>145</v>
      </c>
    </row>
    <row r="115" customFormat="false" ht="15" hidden="false" customHeight="false" outlineLevel="0" collapsed="false">
      <c r="A115" s="11" t="s">
        <v>107</v>
      </c>
      <c r="B115" s="11" t="s">
        <v>127</v>
      </c>
      <c r="C115" s="11" t="n">
        <v>12</v>
      </c>
      <c r="D115" s="11" t="s">
        <v>161</v>
      </c>
      <c r="E115" s="11" t="s">
        <v>165</v>
      </c>
      <c r="F115" s="11" t="s">
        <v>80</v>
      </c>
      <c r="G115" s="12" t="n">
        <v>240</v>
      </c>
      <c r="H115" s="12" t="n">
        <f aca="false">SUMPRODUCT(ПОТОКИ!B11:G11,ЧАСОВЫЕ_ПРОФИЛИ!B14:G14,КОЭФФИЦИЕНТЫ_ВЫБОРА!F22:K22)</f>
        <v>0</v>
      </c>
      <c r="I115" s="12" t="n">
        <f aca="false">SUMPRODUCT(ПОТОКИ!B11:G11,ЧАСОВЫЕ_ПРОФИЛИ!B14:G14,КОЭФФИЦИЕНТЫ_ВЫБОРА!F22:K22,ПАРАМЕТРЫ!$B$17:$G$17)</f>
        <v>0</v>
      </c>
      <c r="J115" s="12" t="n">
        <f aca="false">I115*G115/1000</f>
        <v>0</v>
      </c>
      <c r="K115" s="11" t="s">
        <v>217</v>
      </c>
      <c r="L115" s="11" t="s">
        <v>19</v>
      </c>
      <c r="M115" s="11" t="s">
        <v>145</v>
      </c>
    </row>
    <row r="116" customFormat="false" ht="15" hidden="false" customHeight="false" outlineLevel="0" collapsed="false">
      <c r="A116" s="11" t="s">
        <v>107</v>
      </c>
      <c r="B116" s="11" t="s">
        <v>127</v>
      </c>
      <c r="C116" s="11" t="n">
        <v>13</v>
      </c>
      <c r="D116" s="11" t="s">
        <v>166</v>
      </c>
      <c r="E116" s="11" t="s">
        <v>167</v>
      </c>
      <c r="F116" s="11" t="s">
        <v>80</v>
      </c>
      <c r="G116" s="12" t="n">
        <v>130</v>
      </c>
      <c r="H116" s="12" t="n">
        <f aca="false">SUMPRODUCT(ПОТОКИ!B11:G11,ЧАСОВЫЕ_ПРОФИЛИ!B14:G14,КОЭФФИЦИЕНТЫ_ВЫБОРА!F23:K23)</f>
        <v>0</v>
      </c>
      <c r="I116" s="12" t="n">
        <f aca="false">SUMPRODUCT(ПОТОКИ!B11:G11,ЧАСОВЫЕ_ПРОФИЛИ!B14:G14,КОЭФФИЦИЕНТЫ_ВЫБОРА!F23:K23,ПАРАМЕТРЫ!$B$17:$G$17)</f>
        <v>0</v>
      </c>
      <c r="J116" s="12" t="n">
        <f aca="false">I116*G116/1000</f>
        <v>0</v>
      </c>
      <c r="K116" s="11" t="s">
        <v>217</v>
      </c>
      <c r="L116" s="11" t="s">
        <v>19</v>
      </c>
      <c r="M116" s="11" t="s">
        <v>145</v>
      </c>
    </row>
    <row r="117" customFormat="false" ht="15" hidden="false" customHeight="false" outlineLevel="0" collapsed="false">
      <c r="A117" s="11" t="s">
        <v>107</v>
      </c>
      <c r="B117" s="11" t="s">
        <v>127</v>
      </c>
      <c r="C117" s="11" t="n">
        <v>14</v>
      </c>
      <c r="D117" s="11" t="s">
        <v>166</v>
      </c>
      <c r="E117" s="11" t="s">
        <v>168</v>
      </c>
      <c r="F117" s="11" t="s">
        <v>80</v>
      </c>
      <c r="G117" s="12" t="n">
        <v>250</v>
      </c>
      <c r="H117" s="12" t="n">
        <f aca="false">SUMPRODUCT(ПОТОКИ!B11:G11,ЧАСОВЫЕ_ПРОФИЛИ!B14:G14,КОЭФФИЦИЕНТЫ_ВЫБОРА!F24:K24)</f>
        <v>0</v>
      </c>
      <c r="I117" s="12" t="n">
        <f aca="false">SUMPRODUCT(ПОТОКИ!B11:G11,ЧАСОВЫЕ_ПРОФИЛИ!B14:G14,КОЭФФИЦИЕНТЫ_ВЫБОРА!F24:K24,ПАРАМЕТРЫ!$B$17:$G$17)</f>
        <v>0</v>
      </c>
      <c r="J117" s="12" t="n">
        <f aca="false">I117*G117/1000</f>
        <v>0</v>
      </c>
      <c r="K117" s="11" t="s">
        <v>217</v>
      </c>
      <c r="L117" s="11" t="s">
        <v>19</v>
      </c>
      <c r="M117" s="11" t="s">
        <v>145</v>
      </c>
    </row>
    <row r="118" customFormat="false" ht="15" hidden="false" customHeight="false" outlineLevel="0" collapsed="false">
      <c r="A118" s="11" t="s">
        <v>107</v>
      </c>
      <c r="B118" s="11" t="s">
        <v>127</v>
      </c>
      <c r="C118" s="11" t="n">
        <v>15</v>
      </c>
      <c r="D118" s="11" t="s">
        <v>166</v>
      </c>
      <c r="E118" s="11" t="s">
        <v>169</v>
      </c>
      <c r="F118" s="11" t="s">
        <v>80</v>
      </c>
      <c r="G118" s="12" t="n">
        <v>120</v>
      </c>
      <c r="H118" s="12" t="n">
        <f aca="false">SUMPRODUCT(ПОТОКИ!B11:G11,ЧАСОВЫЕ_ПРОФИЛИ!B14:G14,КОЭФФИЦИЕНТЫ_ВЫБОРА!F25:K25)</f>
        <v>0</v>
      </c>
      <c r="I118" s="12" t="n">
        <f aca="false">SUMPRODUCT(ПОТОКИ!B11:G11,ЧАСОВЫЕ_ПРОФИЛИ!B14:G14,КОЭФФИЦИЕНТЫ_ВЫБОРА!F25:K25,ПАРАМЕТРЫ!$B$17:$G$17)</f>
        <v>0</v>
      </c>
      <c r="J118" s="12" t="n">
        <f aca="false">I118*G118/1000</f>
        <v>0</v>
      </c>
      <c r="K118" s="11" t="s">
        <v>217</v>
      </c>
      <c r="L118" s="11" t="s">
        <v>19</v>
      </c>
      <c r="M118" s="11" t="s">
        <v>145</v>
      </c>
    </row>
    <row r="119" customFormat="false" ht="15" hidden="false" customHeight="false" outlineLevel="0" collapsed="false">
      <c r="A119" s="11" t="s">
        <v>107</v>
      </c>
      <c r="B119" s="11" t="s">
        <v>127</v>
      </c>
      <c r="C119" s="11" t="n">
        <v>16</v>
      </c>
      <c r="D119" s="11" t="s">
        <v>166</v>
      </c>
      <c r="E119" s="11" t="s">
        <v>170</v>
      </c>
      <c r="F119" s="11" t="s">
        <v>80</v>
      </c>
      <c r="G119" s="12" t="n">
        <v>180</v>
      </c>
      <c r="H119" s="12" t="n">
        <f aca="false">SUMPRODUCT(ПОТОКИ!B11:G11,ЧАСОВЫЕ_ПРОФИЛИ!B14:G14,КОЭФФИЦИЕНТЫ_ВЫБОРА!F26:K26)</f>
        <v>0</v>
      </c>
      <c r="I119" s="12" t="n">
        <f aca="false">SUMPRODUCT(ПОТОКИ!B11:G11,ЧАСОВЫЕ_ПРОФИЛИ!B14:G14,КОЭФФИЦИЕНТЫ_ВЫБОРА!F26:K26,ПАРАМЕТРЫ!$B$17:$G$17)</f>
        <v>0</v>
      </c>
      <c r="J119" s="12" t="n">
        <f aca="false">I119*G119/1000</f>
        <v>0</v>
      </c>
      <c r="K119" s="11" t="s">
        <v>217</v>
      </c>
      <c r="L119" s="11" t="s">
        <v>19</v>
      </c>
      <c r="M119" s="11" t="s">
        <v>145</v>
      </c>
    </row>
    <row r="120" customFormat="false" ht="15" hidden="false" customHeight="false" outlineLevel="0" collapsed="false">
      <c r="A120" s="11" t="s">
        <v>107</v>
      </c>
      <c r="B120" s="11" t="s">
        <v>127</v>
      </c>
      <c r="C120" s="11" t="n">
        <v>17</v>
      </c>
      <c r="D120" s="11" t="s">
        <v>166</v>
      </c>
      <c r="E120" s="11" t="s">
        <v>171</v>
      </c>
      <c r="F120" s="11" t="s">
        <v>80</v>
      </c>
      <c r="G120" s="12" t="n">
        <v>180</v>
      </c>
      <c r="H120" s="12" t="n">
        <f aca="false">SUMPRODUCT(ПОТОКИ!B11:G11,ЧАСОВЫЕ_ПРОФИЛИ!B14:G14,КОЭФФИЦИЕНТЫ_ВЫБОРА!F27:K27)</f>
        <v>0</v>
      </c>
      <c r="I120" s="12" t="n">
        <f aca="false">SUMPRODUCT(ПОТОКИ!B11:G11,ЧАСОВЫЕ_ПРОФИЛИ!B14:G14,КОЭФФИЦИЕНТЫ_ВЫБОРА!F27:K27,ПАРАМЕТРЫ!$B$17:$G$17)</f>
        <v>0</v>
      </c>
      <c r="J120" s="12" t="n">
        <f aca="false">I120*G120/1000</f>
        <v>0</v>
      </c>
      <c r="K120" s="11" t="s">
        <v>217</v>
      </c>
      <c r="L120" s="11" t="s">
        <v>19</v>
      </c>
      <c r="M120" s="11" t="s">
        <v>145</v>
      </c>
    </row>
    <row r="121" customFormat="false" ht="15" hidden="false" customHeight="false" outlineLevel="0" collapsed="false">
      <c r="A121" s="11" t="s">
        <v>107</v>
      </c>
      <c r="B121" s="11" t="s">
        <v>127</v>
      </c>
      <c r="C121" s="11" t="n">
        <v>18</v>
      </c>
      <c r="D121" s="11" t="s">
        <v>172</v>
      </c>
      <c r="E121" s="11" t="s">
        <v>173</v>
      </c>
      <c r="F121" s="11" t="s">
        <v>83</v>
      </c>
      <c r="G121" s="12" t="n">
        <v>400</v>
      </c>
      <c r="H121" s="12" t="n">
        <f aca="false">SUMPRODUCT(ПОТОКИ!B11:G11,ЧАСОВЫЕ_ПРОФИЛИ!B14:G14,КОЭФФИЦИЕНТЫ_ВЫБОРА!F28:K28)</f>
        <v>0</v>
      </c>
      <c r="I121" s="12" t="n">
        <f aca="false">SUMPRODUCT(ПОТОКИ!B11:G11,ЧАСОВЫЕ_ПРОФИЛИ!B14:G14,КОЭФФИЦИЕНТЫ_ВЫБОРА!F28:K28,ПАРАМЕТРЫ!$B$17:$G$17)</f>
        <v>0</v>
      </c>
      <c r="J121" s="12" t="n">
        <f aca="false">I121*G121/1000</f>
        <v>0</v>
      </c>
      <c r="K121" s="11" t="s">
        <v>217</v>
      </c>
      <c r="L121" s="11" t="s">
        <v>19</v>
      </c>
      <c r="M121" s="11" t="s">
        <v>145</v>
      </c>
    </row>
    <row r="122" customFormat="false" ht="23.85" hidden="false" customHeight="false" outlineLevel="0" collapsed="false">
      <c r="A122" s="11" t="s">
        <v>107</v>
      </c>
      <c r="B122" s="11" t="s">
        <v>127</v>
      </c>
      <c r="C122" s="11" t="n">
        <v>19</v>
      </c>
      <c r="D122" s="11" t="s">
        <v>174</v>
      </c>
      <c r="E122" s="11" t="s">
        <v>175</v>
      </c>
      <c r="F122" s="11" t="s">
        <v>83</v>
      </c>
      <c r="G122" s="12" t="n">
        <v>300</v>
      </c>
      <c r="H122" s="12" t="n">
        <f aca="false">SUMPRODUCT(ПОТОКИ!B11:G11,ЧАСОВЫЕ_ПРОФИЛИ!B14:G14,КОЭФФИЦИЕНТЫ_ВЫБОРА!F29:K29)</f>
        <v>0</v>
      </c>
      <c r="I122" s="12" t="n">
        <f aca="false">SUMPRODUCT(ПОТОКИ!B11:G11,ЧАСОВЫЕ_ПРОФИЛИ!B14:G14,КОЭФФИЦИЕНТЫ_ВЫБОРА!F29:K29,ПАРАМЕТРЫ!$B$17:$G$17)</f>
        <v>0</v>
      </c>
      <c r="J122" s="12" t="n">
        <f aca="false">I122*G122/1000</f>
        <v>0</v>
      </c>
      <c r="K122" s="11" t="s">
        <v>217</v>
      </c>
      <c r="L122" s="11" t="s">
        <v>19</v>
      </c>
      <c r="M122" s="11" t="s">
        <v>145</v>
      </c>
    </row>
    <row r="123" customFormat="false" ht="15" hidden="false" customHeight="false" outlineLevel="0" collapsed="false">
      <c r="A123" s="11" t="s">
        <v>107</v>
      </c>
      <c r="B123" s="11" t="s">
        <v>127</v>
      </c>
      <c r="C123" s="11" t="n">
        <v>20</v>
      </c>
      <c r="D123" s="11" t="s">
        <v>174</v>
      </c>
      <c r="E123" s="11" t="s">
        <v>176</v>
      </c>
      <c r="F123" s="11" t="s">
        <v>83</v>
      </c>
      <c r="G123" s="12" t="n">
        <v>360</v>
      </c>
      <c r="H123" s="12" t="n">
        <f aca="false">SUMPRODUCT(ПОТОКИ!B11:G11,ЧАСОВЫЕ_ПРОФИЛИ!B14:G14,КОЭФФИЦИЕНТЫ_ВЫБОРА!F30:K30)</f>
        <v>0</v>
      </c>
      <c r="I123" s="12" t="n">
        <f aca="false">SUMPRODUCT(ПОТОКИ!B11:G11,ЧАСОВЫЕ_ПРОФИЛИ!B14:G14,КОЭФФИЦИЕНТЫ_ВЫБОРА!F30:K30,ПАРАМЕТРЫ!$B$17:$G$17)</f>
        <v>0</v>
      </c>
      <c r="J123" s="12" t="n">
        <f aca="false">I123*G123/1000</f>
        <v>0</v>
      </c>
      <c r="K123" s="11" t="s">
        <v>217</v>
      </c>
      <c r="L123" s="11" t="s">
        <v>19</v>
      </c>
      <c r="M123" s="11" t="s">
        <v>145</v>
      </c>
    </row>
    <row r="124" customFormat="false" ht="15" hidden="false" customHeight="false" outlineLevel="0" collapsed="false">
      <c r="A124" s="11" t="s">
        <v>107</v>
      </c>
      <c r="B124" s="11" t="s">
        <v>127</v>
      </c>
      <c r="C124" s="11" t="n">
        <v>21</v>
      </c>
      <c r="D124" s="11" t="s">
        <v>174</v>
      </c>
      <c r="E124" s="11" t="s">
        <v>177</v>
      </c>
      <c r="F124" s="11" t="s">
        <v>83</v>
      </c>
      <c r="G124" s="12" t="n">
        <v>350</v>
      </c>
      <c r="H124" s="12" t="n">
        <f aca="false">SUMPRODUCT(ПОТОКИ!B11:G11,ЧАСОВЫЕ_ПРОФИЛИ!B14:G14,КОЭФФИЦИЕНТЫ_ВЫБОРА!F31:K31)</f>
        <v>0</v>
      </c>
      <c r="I124" s="12" t="n">
        <f aca="false">SUMPRODUCT(ПОТОКИ!B11:G11,ЧАСОВЫЕ_ПРОФИЛИ!B14:G14,КОЭФФИЦИЕНТЫ_ВЫБОРА!F31:K31,ПАРАМЕТРЫ!$B$17:$G$17)</f>
        <v>0</v>
      </c>
      <c r="J124" s="12" t="n">
        <f aca="false">I124*G124/1000</f>
        <v>0</v>
      </c>
      <c r="K124" s="11" t="s">
        <v>217</v>
      </c>
      <c r="L124" s="11" t="s">
        <v>19</v>
      </c>
      <c r="M124" s="11" t="s">
        <v>145</v>
      </c>
    </row>
    <row r="125" customFormat="false" ht="15" hidden="false" customHeight="false" outlineLevel="0" collapsed="false">
      <c r="A125" s="11" t="s">
        <v>107</v>
      </c>
      <c r="B125" s="11" t="s">
        <v>127</v>
      </c>
      <c r="C125" s="11" t="n">
        <v>22</v>
      </c>
      <c r="D125" s="11" t="s">
        <v>174</v>
      </c>
      <c r="E125" s="11" t="s">
        <v>178</v>
      </c>
      <c r="F125" s="11" t="s">
        <v>83</v>
      </c>
      <c r="G125" s="12" t="n">
        <v>300</v>
      </c>
      <c r="H125" s="12" t="n">
        <f aca="false">SUMPRODUCT(ПОТОКИ!B11:G11,ЧАСОВЫЕ_ПРОФИЛИ!B14:G14,КОЭФФИЦИЕНТЫ_ВЫБОРА!F32:K32)</f>
        <v>0</v>
      </c>
      <c r="I125" s="12" t="n">
        <f aca="false">SUMPRODUCT(ПОТОКИ!B11:G11,ЧАСОВЫЕ_ПРОФИЛИ!B14:G14,КОЭФФИЦИЕНТЫ_ВЫБОРА!F32:K32,ПАРАМЕТРЫ!$B$17:$G$17)</f>
        <v>0</v>
      </c>
      <c r="J125" s="12" t="n">
        <f aca="false">I125*G125/1000</f>
        <v>0</v>
      </c>
      <c r="K125" s="11" t="s">
        <v>217</v>
      </c>
      <c r="L125" s="11" t="s">
        <v>19</v>
      </c>
      <c r="M125" s="11" t="s">
        <v>145</v>
      </c>
    </row>
    <row r="126" customFormat="false" ht="15" hidden="false" customHeight="false" outlineLevel="0" collapsed="false">
      <c r="A126" s="11" t="s">
        <v>107</v>
      </c>
      <c r="B126" s="11" t="s">
        <v>127</v>
      </c>
      <c r="C126" s="11" t="n">
        <v>23</v>
      </c>
      <c r="D126" s="11" t="s">
        <v>86</v>
      </c>
      <c r="E126" s="11" t="s">
        <v>179</v>
      </c>
      <c r="F126" s="11" t="s">
        <v>85</v>
      </c>
      <c r="G126" s="12" t="n">
        <v>150</v>
      </c>
      <c r="H126" s="12" t="n">
        <f aca="false">SUMPRODUCT(ПОТОКИ!B11:G11,ЧАСОВЫЕ_ПРОФИЛИ!B14:G14,КОЭФФИЦИЕНТЫ_ВЫБОРА!F33:K33)</f>
        <v>0</v>
      </c>
      <c r="I126" s="12" t="n">
        <f aca="false">SUMPRODUCT(ПОТОКИ!B11:G11,ЧАСОВЫЕ_ПРОФИЛИ!B14:G14,КОЭФФИЦИЕНТЫ_ВЫБОРА!F33:K33,ПАРАМЕТРЫ!$B$17:$G$17)</f>
        <v>0</v>
      </c>
      <c r="J126" s="12" t="n">
        <f aca="false">I126*G126/1000</f>
        <v>0</v>
      </c>
      <c r="K126" s="11" t="s">
        <v>217</v>
      </c>
      <c r="L126" s="11" t="s">
        <v>19</v>
      </c>
      <c r="M126" s="11" t="s">
        <v>147</v>
      </c>
    </row>
    <row r="127" customFormat="false" ht="15" hidden="false" customHeight="false" outlineLevel="0" collapsed="false">
      <c r="A127" s="11" t="s">
        <v>107</v>
      </c>
      <c r="B127" s="11" t="s">
        <v>127</v>
      </c>
      <c r="C127" s="11" t="n">
        <v>24</v>
      </c>
      <c r="D127" s="11" t="s">
        <v>86</v>
      </c>
      <c r="E127" s="11" t="s">
        <v>180</v>
      </c>
      <c r="F127" s="11" t="s">
        <v>85</v>
      </c>
      <c r="G127" s="12" t="n">
        <v>150</v>
      </c>
      <c r="H127" s="12" t="n">
        <f aca="false">SUMPRODUCT(ПОТОКИ!B11:G11,ЧАСОВЫЕ_ПРОФИЛИ!B14:G14,КОЭФФИЦИЕНТЫ_ВЫБОРА!F34:K34)</f>
        <v>0</v>
      </c>
      <c r="I127" s="12" t="n">
        <f aca="false">SUMPRODUCT(ПОТОКИ!B11:G11,ЧАСОВЫЕ_ПРОФИЛИ!B14:G14,КОЭФФИЦИЕНТЫ_ВЫБОРА!F34:K34,ПАРАМЕТРЫ!$B$17:$G$17)</f>
        <v>0</v>
      </c>
      <c r="J127" s="12" t="n">
        <f aca="false">I127*G127/1000</f>
        <v>0</v>
      </c>
      <c r="K127" s="11" t="s">
        <v>217</v>
      </c>
      <c r="L127" s="11" t="s">
        <v>19</v>
      </c>
      <c r="M127" s="11" t="s">
        <v>147</v>
      </c>
    </row>
    <row r="128" customFormat="false" ht="15" hidden="false" customHeight="false" outlineLevel="0" collapsed="false">
      <c r="A128" s="11" t="s">
        <v>107</v>
      </c>
      <c r="B128" s="11" t="s">
        <v>127</v>
      </c>
      <c r="C128" s="11" t="n">
        <v>25</v>
      </c>
      <c r="D128" s="11" t="s">
        <v>86</v>
      </c>
      <c r="E128" s="11" t="s">
        <v>181</v>
      </c>
      <c r="F128" s="11" t="s">
        <v>85</v>
      </c>
      <c r="G128" s="12" t="n">
        <v>150</v>
      </c>
      <c r="H128" s="12" t="n">
        <f aca="false">SUMPRODUCT(ПОТОКИ!B11:G11,ЧАСОВЫЕ_ПРОФИЛИ!B14:G14,КОЭФФИЦИЕНТЫ_ВЫБОРА!F35:K35)</f>
        <v>0</v>
      </c>
      <c r="I128" s="12" t="n">
        <f aca="false">SUMPRODUCT(ПОТОКИ!B11:G11,ЧАСОВЫЕ_ПРОФИЛИ!B14:G14,КОЭФФИЦИЕНТЫ_ВЫБОРА!F35:K35,ПАРАМЕТРЫ!$B$17:$G$17)</f>
        <v>0</v>
      </c>
      <c r="J128" s="12" t="n">
        <f aca="false">I128*G128/1000</f>
        <v>0</v>
      </c>
      <c r="K128" s="11" t="s">
        <v>217</v>
      </c>
      <c r="L128" s="11" t="s">
        <v>19</v>
      </c>
      <c r="M128" s="11" t="s">
        <v>147</v>
      </c>
    </row>
    <row r="129" customFormat="false" ht="23.85" hidden="false" customHeight="false" outlineLevel="0" collapsed="false">
      <c r="A129" s="11" t="s">
        <v>107</v>
      </c>
      <c r="B129" s="11" t="s">
        <v>127</v>
      </c>
      <c r="C129" s="11" t="n">
        <v>26</v>
      </c>
      <c r="D129" s="11" t="s">
        <v>89</v>
      </c>
      <c r="E129" s="11" t="s">
        <v>182</v>
      </c>
      <c r="F129" s="11" t="s">
        <v>88</v>
      </c>
      <c r="G129" s="12" t="n">
        <v>225</v>
      </c>
      <c r="H129" s="12" t="n">
        <f aca="false">SUMPRODUCT(ПОТОКИ!B11:G11,ЧАСОВЫЕ_ПРОФИЛИ!B14:G14,КОЭФФИЦИЕНТЫ_ВЫБОРА!F36:K36)</f>
        <v>1.2375</v>
      </c>
      <c r="I129" s="12" t="n">
        <f aca="false">SUMPRODUCT(ПОТОКИ!B11:G11,ЧАСОВЫЕ_ПРОФИЛИ!B14:G14,КОЭФФИЦИЕНТЫ_ВЫБОРА!F36:K36,ПАРАМЕТРЫ!$B$17:$G$17)</f>
        <v>1.2375</v>
      </c>
      <c r="J129" s="12" t="n">
        <f aca="false">I129*G129/1000</f>
        <v>0.2784375</v>
      </c>
      <c r="K129" s="11" t="s">
        <v>217</v>
      </c>
      <c r="L129" s="11" t="s">
        <v>19</v>
      </c>
      <c r="M129" s="11" t="s">
        <v>145</v>
      </c>
    </row>
    <row r="130" customFormat="false" ht="23.85" hidden="false" customHeight="false" outlineLevel="0" collapsed="false">
      <c r="A130" s="11" t="s">
        <v>107</v>
      </c>
      <c r="B130" s="11" t="s">
        <v>127</v>
      </c>
      <c r="C130" s="11" t="n">
        <v>27</v>
      </c>
      <c r="D130" s="11" t="s">
        <v>89</v>
      </c>
      <c r="E130" s="11" t="s">
        <v>183</v>
      </c>
      <c r="F130" s="11" t="s">
        <v>88</v>
      </c>
      <c r="G130" s="12" t="n">
        <v>265</v>
      </c>
      <c r="H130" s="12" t="n">
        <f aca="false">SUMPRODUCT(ПОТОКИ!B11:G11,ЧАСОВЫЕ_ПРОФИЛИ!B14:G14,КОЭФФИЦИЕНТЫ_ВЫБОРА!F37:K37)</f>
        <v>1.2375</v>
      </c>
      <c r="I130" s="12" t="n">
        <f aca="false">SUMPRODUCT(ПОТОКИ!B11:G11,ЧАСОВЫЕ_ПРОФИЛИ!B14:G14,КОЭФФИЦИЕНТЫ_ВЫБОРА!F37:K37,ПАРАМЕТРЫ!$B$17:$G$17)</f>
        <v>1.2375</v>
      </c>
      <c r="J130" s="12" t="n">
        <f aca="false">I130*G130/1000</f>
        <v>0.3279375</v>
      </c>
      <c r="K130" s="11" t="s">
        <v>217</v>
      </c>
      <c r="L130" s="11" t="s">
        <v>19</v>
      </c>
      <c r="M130" s="11" t="s">
        <v>145</v>
      </c>
    </row>
    <row r="131" customFormat="false" ht="23.85" hidden="false" customHeight="false" outlineLevel="0" collapsed="false">
      <c r="A131" s="11" t="s">
        <v>107</v>
      </c>
      <c r="B131" s="11" t="s">
        <v>127</v>
      </c>
      <c r="C131" s="11" t="n">
        <v>28</v>
      </c>
      <c r="D131" s="11" t="s">
        <v>89</v>
      </c>
      <c r="E131" s="11" t="s">
        <v>184</v>
      </c>
      <c r="F131" s="11" t="s">
        <v>88</v>
      </c>
      <c r="G131" s="12" t="n">
        <v>355</v>
      </c>
      <c r="H131" s="12" t="n">
        <f aca="false">SUMPRODUCT(ПОТОКИ!B11:G11,ЧАСОВЫЕ_ПРОФИЛИ!B14:G14,КОЭФФИЦИЕНТЫ_ВЫБОРА!F38:K38)</f>
        <v>0.825</v>
      </c>
      <c r="I131" s="12" t="n">
        <f aca="false">SUMPRODUCT(ПОТОКИ!B11:G11,ЧАСОВЫЕ_ПРОФИЛИ!B14:G14,КОЭФФИЦИЕНТЫ_ВЫБОРА!F38:K38,ПАРАМЕТРЫ!$B$17:$G$17)</f>
        <v>0.825</v>
      </c>
      <c r="J131" s="12" t="n">
        <f aca="false">I131*G131/1000</f>
        <v>0.292875</v>
      </c>
      <c r="K131" s="11" t="s">
        <v>217</v>
      </c>
      <c r="L131" s="11" t="s">
        <v>19</v>
      </c>
      <c r="M131" s="11" t="s">
        <v>145</v>
      </c>
    </row>
    <row r="132" customFormat="false" ht="15" hidden="false" customHeight="false" outlineLevel="0" collapsed="false">
      <c r="A132" s="11" t="s">
        <v>107</v>
      </c>
      <c r="B132" s="11" t="s">
        <v>127</v>
      </c>
      <c r="C132" s="11" t="n">
        <v>29</v>
      </c>
      <c r="D132" s="11" t="s">
        <v>92</v>
      </c>
      <c r="E132" s="11" t="s">
        <v>185</v>
      </c>
      <c r="F132" s="11" t="s">
        <v>91</v>
      </c>
      <c r="G132" s="12" t="n">
        <v>150</v>
      </c>
      <c r="H132" s="12" t="n">
        <f aca="false">SUMPRODUCT(ПОТОКИ!B11:G11,ЧАСОВЫЕ_ПРОФИЛИ!B14:G14,КОЭФФИЦИЕНТЫ_ВЫБОРА!F39:K39)</f>
        <v>0.108</v>
      </c>
      <c r="I132" s="12" t="n">
        <f aca="false">SUMPRODUCT(ПОТОКИ!B11:G11,ЧАСОВЫЕ_ПРОФИЛИ!B14:G14,КОЭФФИЦИЕНТЫ_ВЫБОРА!F39:K39,ПАРАМЕТРЫ!$B$17:$G$17)</f>
        <v>0.1188</v>
      </c>
      <c r="J132" s="12" t="n">
        <f aca="false">I132*G132/1000</f>
        <v>0.01782</v>
      </c>
      <c r="K132" s="11" t="s">
        <v>217</v>
      </c>
      <c r="L132" s="11" t="s">
        <v>19</v>
      </c>
      <c r="M132" s="11" t="s">
        <v>145</v>
      </c>
    </row>
    <row r="133" customFormat="false" ht="15" hidden="false" customHeight="false" outlineLevel="0" collapsed="false">
      <c r="A133" s="11" t="s">
        <v>107</v>
      </c>
      <c r="B133" s="11" t="s">
        <v>127</v>
      </c>
      <c r="C133" s="11" t="n">
        <v>30</v>
      </c>
      <c r="D133" s="11" t="s">
        <v>92</v>
      </c>
      <c r="E133" s="11" t="s">
        <v>186</v>
      </c>
      <c r="F133" s="11" t="s">
        <v>91</v>
      </c>
      <c r="G133" s="12" t="n">
        <v>120</v>
      </c>
      <c r="H133" s="12" t="n">
        <f aca="false">SUMPRODUCT(ПОТОКИ!B11:G11,ЧАСОВЫЕ_ПРОФИЛИ!B14:G14,КОЭФФИЦИЕНТЫ_ВЫБОРА!F40:K40)</f>
        <v>0.108</v>
      </c>
      <c r="I133" s="12" t="n">
        <f aca="false">SUMPRODUCT(ПОТОКИ!B11:G11,ЧАСОВЫЕ_ПРОФИЛИ!B14:G14,КОЭФФИЦИЕНТЫ_ВЫБОРА!F40:K40,ПАРАМЕТРЫ!$B$17:$G$17)</f>
        <v>0.1188</v>
      </c>
      <c r="J133" s="12" t="n">
        <f aca="false">I133*G133/1000</f>
        <v>0.014256</v>
      </c>
      <c r="K133" s="11" t="s">
        <v>217</v>
      </c>
      <c r="L133" s="11" t="s">
        <v>19</v>
      </c>
      <c r="M133" s="11" t="s">
        <v>145</v>
      </c>
    </row>
    <row r="134" customFormat="false" ht="15" hidden="false" customHeight="false" outlineLevel="0" collapsed="false">
      <c r="A134" s="11" t="s">
        <v>107</v>
      </c>
      <c r="B134" s="11" t="s">
        <v>127</v>
      </c>
      <c r="C134" s="11" t="n">
        <v>31</v>
      </c>
      <c r="D134" s="11" t="s">
        <v>92</v>
      </c>
      <c r="E134" s="11" t="s">
        <v>187</v>
      </c>
      <c r="F134" s="11" t="s">
        <v>91</v>
      </c>
      <c r="G134" s="12" t="n">
        <v>60</v>
      </c>
      <c r="H134" s="12" t="n">
        <f aca="false">SUMPRODUCT(ПОТОКИ!B11:G11,ЧАСОВЫЕ_ПРОФИЛИ!B14:G14,КОЭФФИЦИЕНТЫ_ВЫБОРА!F41:K41)</f>
        <v>0.144</v>
      </c>
      <c r="I134" s="12" t="n">
        <f aca="false">SUMPRODUCT(ПОТОКИ!B11:G11,ЧАСОВЫЕ_ПРОФИЛИ!B14:G14,КОЭФФИЦИЕНТЫ_ВЫБОРА!F41:K41,ПАРАМЕТРЫ!$B$17:$G$17)</f>
        <v>0.1584</v>
      </c>
      <c r="J134" s="12" t="n">
        <f aca="false">I134*G134/1000</f>
        <v>0.009504</v>
      </c>
      <c r="K134" s="11" t="s">
        <v>217</v>
      </c>
      <c r="L134" s="11" t="s">
        <v>19</v>
      </c>
      <c r="M134" s="11" t="s">
        <v>145</v>
      </c>
    </row>
    <row r="135" customFormat="false" ht="15" hidden="false" customHeight="false" outlineLevel="0" collapsed="false">
      <c r="A135" s="11" t="s">
        <v>107</v>
      </c>
      <c r="B135" s="11" t="s">
        <v>128</v>
      </c>
      <c r="C135" s="11" t="n">
        <v>1</v>
      </c>
      <c r="D135" s="11" t="s">
        <v>74</v>
      </c>
      <c r="E135" s="11" t="s">
        <v>153</v>
      </c>
      <c r="F135" s="11" t="s">
        <v>73</v>
      </c>
      <c r="G135" s="12" t="n">
        <v>450</v>
      </c>
      <c r="H135" s="12" t="n">
        <f aca="false">SUMPRODUCT(ПОТОКИ!B11:G11,ЧАСОВЫЕ_ПРОФИЛИ!B15:G15,КОЭФФИЦИЕНТЫ_ВЫБОРА!F11:K11)</f>
        <v>0.2028</v>
      </c>
      <c r="I135" s="12" t="n">
        <f aca="false">SUMPRODUCT(ПОТОКИ!B11:G11,ЧАСОВЫЕ_ПРОФИЛИ!B15:G15,КОЭФФИЦИЕНТЫ_ВЫБОРА!F11:K11,ПАРАМЕТРЫ!$B$17:$G$17)</f>
        <v>0.22308</v>
      </c>
      <c r="J135" s="12" t="n">
        <f aca="false">I135*G135/1000</f>
        <v>0.100386</v>
      </c>
      <c r="K135" s="11" t="s">
        <v>217</v>
      </c>
      <c r="L135" s="11" t="s">
        <v>19</v>
      </c>
      <c r="M135" s="11" t="s">
        <v>145</v>
      </c>
    </row>
    <row r="136" customFormat="false" ht="15" hidden="false" customHeight="false" outlineLevel="0" collapsed="false">
      <c r="A136" s="11" t="s">
        <v>107</v>
      </c>
      <c r="B136" s="11" t="s">
        <v>128</v>
      </c>
      <c r="C136" s="11" t="n">
        <v>2</v>
      </c>
      <c r="D136" s="11" t="s">
        <v>74</v>
      </c>
      <c r="E136" s="11" t="s">
        <v>154</v>
      </c>
      <c r="F136" s="11" t="s">
        <v>73</v>
      </c>
      <c r="G136" s="12" t="n">
        <v>480</v>
      </c>
      <c r="H136" s="12" t="n">
        <f aca="false">SUMPRODUCT(ПОТОКИ!B11:G11,ЧАСОВЫЕ_ПРОФИЛИ!B15:G15,КОЭФФИЦИЕНТЫ_ВЫБОРА!F12:K12)</f>
        <v>0.2364</v>
      </c>
      <c r="I136" s="12" t="n">
        <f aca="false">SUMPRODUCT(ПОТОКИ!B11:G11,ЧАСОВЫЕ_ПРОФИЛИ!B15:G15,КОЭФФИЦИЕНТЫ_ВЫБОРА!F12:K12,ПАРАМЕТРЫ!$B$17:$G$17)</f>
        <v>0.26004</v>
      </c>
      <c r="J136" s="12" t="n">
        <f aca="false">I136*G136/1000</f>
        <v>0.1248192</v>
      </c>
      <c r="K136" s="11" t="s">
        <v>217</v>
      </c>
      <c r="L136" s="11" t="s">
        <v>19</v>
      </c>
      <c r="M136" s="11" t="s">
        <v>145</v>
      </c>
    </row>
    <row r="137" customFormat="false" ht="15" hidden="false" customHeight="false" outlineLevel="0" collapsed="false">
      <c r="A137" s="11" t="s">
        <v>107</v>
      </c>
      <c r="B137" s="11" t="s">
        <v>128</v>
      </c>
      <c r="C137" s="11" t="n">
        <v>3</v>
      </c>
      <c r="D137" s="11" t="s">
        <v>74</v>
      </c>
      <c r="E137" s="11" t="s">
        <v>155</v>
      </c>
      <c r="F137" s="11" t="s">
        <v>73</v>
      </c>
      <c r="G137" s="12" t="n">
        <v>500</v>
      </c>
      <c r="H137" s="12" t="n">
        <f aca="false">SUMPRODUCT(ПОТОКИ!B11:G11,ЧАСОВЫЕ_ПРОФИЛИ!B15:G15,КОЭФФИЦИЕНТЫ_ВЫБОРА!F13:K13)</f>
        <v>0.4296</v>
      </c>
      <c r="I137" s="12" t="n">
        <f aca="false">SUMPRODUCT(ПОТОКИ!B11:G11,ЧАСОВЫЕ_ПРОФИЛИ!B15:G15,КОЭФФИЦИЕНТЫ_ВЫБОРА!F13:K13,ПАРАМЕТРЫ!$B$17:$G$17)</f>
        <v>0.47256</v>
      </c>
      <c r="J137" s="12" t="n">
        <f aca="false">I137*G137/1000</f>
        <v>0.23628</v>
      </c>
      <c r="K137" s="11" t="s">
        <v>217</v>
      </c>
      <c r="L137" s="11" t="s">
        <v>19</v>
      </c>
      <c r="M137" s="11" t="s">
        <v>145</v>
      </c>
    </row>
    <row r="138" customFormat="false" ht="15" hidden="false" customHeight="false" outlineLevel="0" collapsed="false">
      <c r="A138" s="11" t="s">
        <v>107</v>
      </c>
      <c r="B138" s="11" t="s">
        <v>128</v>
      </c>
      <c r="C138" s="11" t="n">
        <v>4</v>
      </c>
      <c r="D138" s="11" t="s">
        <v>74</v>
      </c>
      <c r="E138" s="11" t="s">
        <v>156</v>
      </c>
      <c r="F138" s="11" t="s">
        <v>73</v>
      </c>
      <c r="G138" s="12" t="n">
        <v>500</v>
      </c>
      <c r="H138" s="12" t="n">
        <f aca="false">SUMPRODUCT(ПОТОКИ!B11:G11,ЧАСОВЫЕ_ПРОФИЛИ!B15:G15,КОЭФФИЦИЕНТЫ_ВЫБОРА!F14:K14)</f>
        <v>0.4632</v>
      </c>
      <c r="I138" s="12" t="n">
        <f aca="false">SUMPRODUCT(ПОТОКИ!B11:G11,ЧАСОВЫЕ_ПРОФИЛИ!B15:G15,КОЭФФИЦИЕНТЫ_ВЫБОРА!F14:K14,ПАРАМЕТРЫ!$B$17:$G$17)</f>
        <v>0.50952</v>
      </c>
      <c r="J138" s="12" t="n">
        <f aca="false">I138*G138/1000</f>
        <v>0.25476</v>
      </c>
      <c r="K138" s="11" t="s">
        <v>217</v>
      </c>
      <c r="L138" s="11" t="s">
        <v>19</v>
      </c>
      <c r="M138" s="11" t="s">
        <v>145</v>
      </c>
    </row>
    <row r="139" customFormat="false" ht="15" hidden="false" customHeight="false" outlineLevel="0" collapsed="false">
      <c r="A139" s="11" t="s">
        <v>107</v>
      </c>
      <c r="B139" s="11" t="s">
        <v>128</v>
      </c>
      <c r="C139" s="11" t="n">
        <v>5</v>
      </c>
      <c r="D139" s="11" t="s">
        <v>78</v>
      </c>
      <c r="E139" s="11" t="s">
        <v>157</v>
      </c>
      <c r="F139" s="11" t="s">
        <v>77</v>
      </c>
      <c r="G139" s="12" t="n">
        <v>100</v>
      </c>
      <c r="H139" s="12" t="n">
        <f aca="false">SUMPRODUCT(ПОТОКИ!B11:G11,ЧАСОВЫЕ_ПРОФИЛИ!B15:G15,КОЭФФИЦИЕНТЫ_ВЫБОРА!F15:K15)</f>
        <v>0.4244</v>
      </c>
      <c r="I139" s="12" t="n">
        <f aca="false">SUMPRODUCT(ПОТОКИ!B11:G11,ЧАСОВЫЕ_ПРОФИЛИ!B15:G15,КОЭФФИЦИЕНТЫ_ВЫБОРА!F15:K15,ПАРАМЕТРЫ!$B$17:$G$17)</f>
        <v>0.46684</v>
      </c>
      <c r="J139" s="12" t="n">
        <f aca="false">I139*G139/1000</f>
        <v>0.046684</v>
      </c>
      <c r="K139" s="11" t="s">
        <v>217</v>
      </c>
      <c r="L139" s="11" t="s">
        <v>19</v>
      </c>
      <c r="M139" s="11" t="s">
        <v>147</v>
      </c>
    </row>
    <row r="140" customFormat="false" ht="15" hidden="false" customHeight="false" outlineLevel="0" collapsed="false">
      <c r="A140" s="11" t="s">
        <v>107</v>
      </c>
      <c r="B140" s="11" t="s">
        <v>128</v>
      </c>
      <c r="C140" s="11" t="n">
        <v>6</v>
      </c>
      <c r="D140" s="11" t="s">
        <v>78</v>
      </c>
      <c r="E140" s="11" t="s">
        <v>158</v>
      </c>
      <c r="F140" s="11" t="s">
        <v>77</v>
      </c>
      <c r="G140" s="12" t="n">
        <v>100</v>
      </c>
      <c r="H140" s="12" t="n">
        <f aca="false">SUMPRODUCT(ПОТОКИ!B11:G11,ЧАСОВЫЕ_ПРОФИЛИ!B15:G15,КОЭФФИЦИЕНТЫ_ВЫБОРА!F16:K16)</f>
        <v>0.3948</v>
      </c>
      <c r="I140" s="12" t="n">
        <f aca="false">SUMPRODUCT(ПОТОКИ!B11:G11,ЧАСОВЫЕ_ПРОФИЛИ!B15:G15,КОЭФФИЦИЕНТЫ_ВЫБОРА!F16:K16,ПАРАМЕТРЫ!$B$17:$G$17)</f>
        <v>0.43428</v>
      </c>
      <c r="J140" s="12" t="n">
        <f aca="false">I140*G140/1000</f>
        <v>0.043428</v>
      </c>
      <c r="K140" s="11" t="s">
        <v>217</v>
      </c>
      <c r="L140" s="11" t="s">
        <v>19</v>
      </c>
      <c r="M140" s="11" t="s">
        <v>147</v>
      </c>
    </row>
    <row r="141" customFormat="false" ht="15" hidden="false" customHeight="false" outlineLevel="0" collapsed="false">
      <c r="A141" s="11" t="s">
        <v>107</v>
      </c>
      <c r="B141" s="11" t="s">
        <v>128</v>
      </c>
      <c r="C141" s="11" t="n">
        <v>7</v>
      </c>
      <c r="D141" s="11" t="s">
        <v>78</v>
      </c>
      <c r="E141" s="11" t="s">
        <v>159</v>
      </c>
      <c r="F141" s="11" t="s">
        <v>77</v>
      </c>
      <c r="G141" s="12" t="n">
        <v>350</v>
      </c>
      <c r="H141" s="12" t="n">
        <f aca="false">SUMPRODUCT(ПОТОКИ!B11:G11,ЧАСОВЫЕ_ПРОФИЛИ!B15:G15,КОЭФФИЦИЕНТЫ_ВЫБОРА!F17:K17)</f>
        <v>0.3438</v>
      </c>
      <c r="I141" s="12" t="n">
        <f aca="false">SUMPRODUCT(ПОТОКИ!B11:G11,ЧАСОВЫЕ_ПРОФИЛИ!B15:G15,КОЭФФИЦИЕНТЫ_ВЫБОРА!F17:K17,ПАРАМЕТРЫ!$B$17:$G$17)</f>
        <v>0.37818</v>
      </c>
      <c r="J141" s="12" t="n">
        <f aca="false">I141*G141/1000</f>
        <v>0.132363</v>
      </c>
      <c r="K141" s="11" t="s">
        <v>217</v>
      </c>
      <c r="L141" s="11" t="s">
        <v>19</v>
      </c>
      <c r="M141" s="11" t="s">
        <v>147</v>
      </c>
    </row>
    <row r="142" customFormat="false" ht="15" hidden="false" customHeight="false" outlineLevel="0" collapsed="false">
      <c r="A142" s="11" t="s">
        <v>107</v>
      </c>
      <c r="B142" s="11" t="s">
        <v>128</v>
      </c>
      <c r="C142" s="11" t="n">
        <v>8</v>
      </c>
      <c r="D142" s="11" t="s">
        <v>78</v>
      </c>
      <c r="E142" s="11" t="s">
        <v>160</v>
      </c>
      <c r="F142" s="11" t="s">
        <v>77</v>
      </c>
      <c r="G142" s="12" t="n">
        <v>85</v>
      </c>
      <c r="H142" s="12" t="n">
        <f aca="false">SUMPRODUCT(ПОТОКИ!B11:G11,ЧАСОВЫЕ_ПРОФИЛИ!B15:G15,КОЭФФИЦИЕНТЫ_ВЫБОРА!F18:K18)</f>
        <v>0.2122</v>
      </c>
      <c r="I142" s="12" t="n">
        <f aca="false">SUMPRODUCT(ПОТОКИ!B11:G11,ЧАСОВЫЕ_ПРОФИЛИ!B15:G15,КОЭФФИЦИЕНТЫ_ВЫБОРА!F18:K18,ПАРАМЕТРЫ!$B$17:$G$17)</f>
        <v>0.23342</v>
      </c>
      <c r="J142" s="12" t="n">
        <f aca="false">I142*G142/1000</f>
        <v>0.0198407</v>
      </c>
      <c r="K142" s="11" t="s">
        <v>217</v>
      </c>
      <c r="L142" s="11" t="s">
        <v>19</v>
      </c>
      <c r="M142" s="11" t="s">
        <v>147</v>
      </c>
    </row>
    <row r="143" customFormat="false" ht="15" hidden="false" customHeight="false" outlineLevel="0" collapsed="false">
      <c r="A143" s="11" t="s">
        <v>107</v>
      </c>
      <c r="B143" s="11" t="s">
        <v>128</v>
      </c>
      <c r="C143" s="11" t="n">
        <v>9</v>
      </c>
      <c r="D143" s="11" t="s">
        <v>161</v>
      </c>
      <c r="E143" s="11" t="s">
        <v>162</v>
      </c>
      <c r="F143" s="11" t="s">
        <v>80</v>
      </c>
      <c r="G143" s="12" t="n">
        <v>300</v>
      </c>
      <c r="H143" s="12" t="n">
        <f aca="false">SUMPRODUCT(ПОТОКИ!B11:G11,ЧАСОВЫЕ_ПРОФИЛИ!B15:G15,КОЭФФИЦИЕНТЫ_ВЫБОРА!F19:K19)</f>
        <v>0.19</v>
      </c>
      <c r="I143" s="12" t="n">
        <f aca="false">SUMPRODUCT(ПОТОКИ!B11:G11,ЧАСОВЫЕ_ПРОФИЛИ!B15:G15,КОЭФФИЦИЕНТЫ_ВЫБОРА!F19:K19,ПАРАМЕТРЫ!$B$17:$G$17)</f>
        <v>0.209</v>
      </c>
      <c r="J143" s="12" t="n">
        <f aca="false">I143*G143/1000</f>
        <v>0.0627</v>
      </c>
      <c r="K143" s="11" t="s">
        <v>217</v>
      </c>
      <c r="L143" s="11" t="s">
        <v>19</v>
      </c>
      <c r="M143" s="11" t="s">
        <v>145</v>
      </c>
    </row>
    <row r="144" customFormat="false" ht="15" hidden="false" customHeight="false" outlineLevel="0" collapsed="false">
      <c r="A144" s="11" t="s">
        <v>107</v>
      </c>
      <c r="B144" s="11" t="s">
        <v>128</v>
      </c>
      <c r="C144" s="11" t="n">
        <v>10</v>
      </c>
      <c r="D144" s="11" t="s">
        <v>161</v>
      </c>
      <c r="E144" s="11" t="s">
        <v>163</v>
      </c>
      <c r="F144" s="11" t="s">
        <v>80</v>
      </c>
      <c r="G144" s="12" t="n">
        <v>280</v>
      </c>
      <c r="H144" s="12" t="n">
        <f aca="false">SUMPRODUCT(ПОТОКИ!B11:G11,ЧАСОВЫЕ_ПРОФИЛИ!B15:G15,КОЭФФИЦИЕНТЫ_ВЫБОРА!F20:K20)</f>
        <v>0.308</v>
      </c>
      <c r="I144" s="12" t="n">
        <f aca="false">SUMPRODUCT(ПОТОКИ!B11:G11,ЧАСОВЫЕ_ПРОФИЛИ!B15:G15,КОЭФФИЦИЕНТЫ_ВЫБОРА!F20:K20,ПАРАМЕТРЫ!$B$17:$G$17)</f>
        <v>0.3388</v>
      </c>
      <c r="J144" s="12" t="n">
        <f aca="false">I144*G144/1000</f>
        <v>0.094864</v>
      </c>
      <c r="K144" s="11" t="s">
        <v>217</v>
      </c>
      <c r="L144" s="11" t="s">
        <v>19</v>
      </c>
      <c r="M144" s="11" t="s">
        <v>145</v>
      </c>
    </row>
    <row r="145" customFormat="false" ht="15" hidden="false" customHeight="false" outlineLevel="0" collapsed="false">
      <c r="A145" s="11" t="s">
        <v>107</v>
      </c>
      <c r="B145" s="11" t="s">
        <v>128</v>
      </c>
      <c r="C145" s="11" t="n">
        <v>11</v>
      </c>
      <c r="D145" s="11" t="s">
        <v>161</v>
      </c>
      <c r="E145" s="11" t="s">
        <v>164</v>
      </c>
      <c r="F145" s="11" t="s">
        <v>80</v>
      </c>
      <c r="G145" s="12" t="n">
        <v>270</v>
      </c>
      <c r="H145" s="12" t="n">
        <f aca="false">SUMPRODUCT(ПОТОКИ!B11:G11,ЧАСОВЫЕ_ПРОФИЛИ!B15:G15,КОЭФФИЦИЕНТЫ_ВЫБОРА!F21:K21)</f>
        <v>0.5818</v>
      </c>
      <c r="I145" s="12" t="n">
        <f aca="false">SUMPRODUCT(ПОТОКИ!B11:G11,ЧАСОВЫЕ_ПРОФИЛИ!B15:G15,КОЭФФИЦИЕНТЫ_ВЫБОРА!F21:K21,ПАРАМЕТРЫ!$B$17:$G$17)</f>
        <v>0.63998</v>
      </c>
      <c r="J145" s="12" t="n">
        <f aca="false">I145*G145/1000</f>
        <v>0.1727946</v>
      </c>
      <c r="K145" s="11" t="s">
        <v>217</v>
      </c>
      <c r="L145" s="11" t="s">
        <v>19</v>
      </c>
      <c r="M145" s="11" t="s">
        <v>145</v>
      </c>
    </row>
    <row r="146" customFormat="false" ht="15" hidden="false" customHeight="false" outlineLevel="0" collapsed="false">
      <c r="A146" s="11" t="s">
        <v>107</v>
      </c>
      <c r="B146" s="11" t="s">
        <v>128</v>
      </c>
      <c r="C146" s="11" t="n">
        <v>12</v>
      </c>
      <c r="D146" s="11" t="s">
        <v>161</v>
      </c>
      <c r="E146" s="11" t="s">
        <v>165</v>
      </c>
      <c r="F146" s="11" t="s">
        <v>80</v>
      </c>
      <c r="G146" s="12" t="n">
        <v>240</v>
      </c>
      <c r="H146" s="12" t="n">
        <f aca="false">SUMPRODUCT(ПОТОКИ!B11:G11,ЧАСОВЫЕ_ПРОФИЛИ!B15:G15,КОЭФФИЦИЕНТЫ_ВЫБОРА!F22:K22)</f>
        <v>0.3882</v>
      </c>
      <c r="I146" s="12" t="n">
        <f aca="false">SUMPRODUCT(ПОТОКИ!B11:G11,ЧАСОВЫЕ_ПРОФИЛИ!B15:G15,КОЭФФИЦИЕНТЫ_ВЫБОРА!F22:K22,ПАРАМЕТРЫ!$B$17:$G$17)</f>
        <v>0.42702</v>
      </c>
      <c r="J146" s="12" t="n">
        <f aca="false">I146*G146/1000</f>
        <v>0.1024848</v>
      </c>
      <c r="K146" s="11" t="s">
        <v>217</v>
      </c>
      <c r="L146" s="11" t="s">
        <v>19</v>
      </c>
      <c r="M146" s="11" t="s">
        <v>145</v>
      </c>
    </row>
    <row r="147" customFormat="false" ht="15" hidden="false" customHeight="false" outlineLevel="0" collapsed="false">
      <c r="A147" s="11" t="s">
        <v>107</v>
      </c>
      <c r="B147" s="11" t="s">
        <v>128</v>
      </c>
      <c r="C147" s="11" t="n">
        <v>13</v>
      </c>
      <c r="D147" s="11" t="s">
        <v>166</v>
      </c>
      <c r="E147" s="11" t="s">
        <v>167</v>
      </c>
      <c r="F147" s="11" t="s">
        <v>80</v>
      </c>
      <c r="G147" s="12" t="n">
        <v>130</v>
      </c>
      <c r="H147" s="12" t="n">
        <f aca="false">SUMPRODUCT(ПОТОКИ!B11:G11,ЧАСОВЫЕ_ПРОФИЛИ!B15:G15,КОЭФФИЦИЕНТЫ_ВЫБОРА!F23:K23)</f>
        <v>0.088</v>
      </c>
      <c r="I147" s="12" t="n">
        <f aca="false">SUMPRODUCT(ПОТОКИ!B11:G11,ЧАСОВЫЕ_ПРОФИЛИ!B15:G15,КОЭФФИЦИЕНТЫ_ВЫБОРА!F23:K23,ПАРАМЕТРЫ!$B$17:$G$17)</f>
        <v>0.0968</v>
      </c>
      <c r="J147" s="12" t="n">
        <f aca="false">I147*G147/1000</f>
        <v>0.012584</v>
      </c>
      <c r="K147" s="11" t="s">
        <v>217</v>
      </c>
      <c r="L147" s="11" t="s">
        <v>19</v>
      </c>
      <c r="M147" s="11" t="s">
        <v>145</v>
      </c>
    </row>
    <row r="148" customFormat="false" ht="15" hidden="false" customHeight="false" outlineLevel="0" collapsed="false">
      <c r="A148" s="11" t="s">
        <v>107</v>
      </c>
      <c r="B148" s="11" t="s">
        <v>128</v>
      </c>
      <c r="C148" s="11" t="n">
        <v>14</v>
      </c>
      <c r="D148" s="11" t="s">
        <v>166</v>
      </c>
      <c r="E148" s="11" t="s">
        <v>168</v>
      </c>
      <c r="F148" s="11" t="s">
        <v>80</v>
      </c>
      <c r="G148" s="12" t="n">
        <v>250</v>
      </c>
      <c r="H148" s="12" t="n">
        <f aca="false">SUMPRODUCT(ПОТОКИ!B11:G11,ЧАСОВЫЕ_ПРОФИЛИ!B15:G15,КОЭФФИЦИЕНТЫ_ВЫБОРА!F24:K24)</f>
        <v>0.1288</v>
      </c>
      <c r="I148" s="12" t="n">
        <f aca="false">SUMPRODUCT(ПОТОКИ!B11:G11,ЧАСОВЫЕ_ПРОФИЛИ!B15:G15,КОЭФФИЦИЕНТЫ_ВЫБОРА!F24:K24,ПАРАМЕТРЫ!$B$17:$G$17)</f>
        <v>0.14168</v>
      </c>
      <c r="J148" s="12" t="n">
        <f aca="false">I148*G148/1000</f>
        <v>0.03542</v>
      </c>
      <c r="K148" s="11" t="s">
        <v>217</v>
      </c>
      <c r="L148" s="11" t="s">
        <v>19</v>
      </c>
      <c r="M148" s="11" t="s">
        <v>145</v>
      </c>
    </row>
    <row r="149" customFormat="false" ht="15" hidden="false" customHeight="false" outlineLevel="0" collapsed="false">
      <c r="A149" s="11" t="s">
        <v>107</v>
      </c>
      <c r="B149" s="11" t="s">
        <v>128</v>
      </c>
      <c r="C149" s="11" t="n">
        <v>15</v>
      </c>
      <c r="D149" s="11" t="s">
        <v>166</v>
      </c>
      <c r="E149" s="11" t="s">
        <v>169</v>
      </c>
      <c r="F149" s="11" t="s">
        <v>80</v>
      </c>
      <c r="G149" s="12" t="n">
        <v>120</v>
      </c>
      <c r="H149" s="12" t="n">
        <f aca="false">SUMPRODUCT(ПОТОКИ!B11:G11,ЧАСОВЫЕ_ПРОФИЛИ!B15:G15,КОЭФФИЦИЕНТЫ_ВЫБОРА!F25:K25)</f>
        <v>0.0688</v>
      </c>
      <c r="I149" s="12" t="n">
        <f aca="false">SUMPRODUCT(ПОТОКИ!B11:G11,ЧАСОВЫЕ_ПРОФИЛИ!B15:G15,КОЭФФИЦИЕНТЫ_ВЫБОРА!F25:K25,ПАРАМЕТРЫ!$B$17:$G$17)</f>
        <v>0.07568</v>
      </c>
      <c r="J149" s="12" t="n">
        <f aca="false">I149*G149/1000</f>
        <v>0.0090816</v>
      </c>
      <c r="K149" s="11" t="s">
        <v>217</v>
      </c>
      <c r="L149" s="11" t="s">
        <v>19</v>
      </c>
      <c r="M149" s="11" t="s">
        <v>145</v>
      </c>
    </row>
    <row r="150" customFormat="false" ht="15" hidden="false" customHeight="false" outlineLevel="0" collapsed="false">
      <c r="A150" s="11" t="s">
        <v>107</v>
      </c>
      <c r="B150" s="11" t="s">
        <v>128</v>
      </c>
      <c r="C150" s="11" t="n">
        <v>16</v>
      </c>
      <c r="D150" s="11" t="s">
        <v>166</v>
      </c>
      <c r="E150" s="11" t="s">
        <v>170</v>
      </c>
      <c r="F150" s="11" t="s">
        <v>80</v>
      </c>
      <c r="G150" s="12" t="n">
        <v>180</v>
      </c>
      <c r="H150" s="12" t="n">
        <f aca="false">SUMPRODUCT(ПОТОКИ!B11:G11,ЧАСОВЫЕ_ПРОФИЛИ!B15:G15,КОЭФФИЦИЕНТЫ_ВЫБОРА!F26:K26)</f>
        <v>0.1784</v>
      </c>
      <c r="I150" s="12" t="n">
        <f aca="false">SUMPRODUCT(ПОТОКИ!B11:G11,ЧАСОВЫЕ_ПРОФИЛИ!B15:G15,КОЭФФИЦИЕНТЫ_ВЫБОРА!F26:K26,ПАРАМЕТРЫ!$B$17:$G$17)</f>
        <v>0.19624</v>
      </c>
      <c r="J150" s="12" t="n">
        <f aca="false">I150*G150/1000</f>
        <v>0.0353232</v>
      </c>
      <c r="K150" s="11" t="s">
        <v>217</v>
      </c>
      <c r="L150" s="11" t="s">
        <v>19</v>
      </c>
      <c r="M150" s="11" t="s">
        <v>145</v>
      </c>
    </row>
    <row r="151" customFormat="false" ht="15" hidden="false" customHeight="false" outlineLevel="0" collapsed="false">
      <c r="A151" s="11" t="s">
        <v>107</v>
      </c>
      <c r="B151" s="11" t="s">
        <v>128</v>
      </c>
      <c r="C151" s="11" t="n">
        <v>17</v>
      </c>
      <c r="D151" s="11" t="s">
        <v>166</v>
      </c>
      <c r="E151" s="11" t="s">
        <v>171</v>
      </c>
      <c r="F151" s="11" t="s">
        <v>80</v>
      </c>
      <c r="G151" s="12" t="n">
        <v>180</v>
      </c>
      <c r="H151" s="12" t="n">
        <f aca="false">SUMPRODUCT(ПОТОКИ!B11:G11,ЧАСОВЫЕ_ПРОФИЛИ!B15:G15,КОЭФФИЦИЕНТЫ_ВЫБОРА!F27:K27)</f>
        <v>0.128</v>
      </c>
      <c r="I151" s="12" t="n">
        <f aca="false">SUMPRODUCT(ПОТОКИ!B11:G11,ЧАСОВЫЕ_ПРОФИЛИ!B15:G15,КОЭФФИЦИЕНТЫ_ВЫБОРА!F27:K27,ПАРАМЕТРЫ!$B$17:$G$17)</f>
        <v>0.1408</v>
      </c>
      <c r="J151" s="12" t="n">
        <f aca="false">I151*G151/1000</f>
        <v>0.025344</v>
      </c>
      <c r="K151" s="11" t="s">
        <v>217</v>
      </c>
      <c r="L151" s="11" t="s">
        <v>19</v>
      </c>
      <c r="M151" s="11" t="s">
        <v>145</v>
      </c>
    </row>
    <row r="152" customFormat="false" ht="15" hidden="false" customHeight="false" outlineLevel="0" collapsed="false">
      <c r="A152" s="11" t="s">
        <v>107</v>
      </c>
      <c r="B152" s="11" t="s">
        <v>128</v>
      </c>
      <c r="C152" s="11" t="n">
        <v>18</v>
      </c>
      <c r="D152" s="11" t="s">
        <v>172</v>
      </c>
      <c r="E152" s="11" t="s">
        <v>173</v>
      </c>
      <c r="F152" s="11" t="s">
        <v>83</v>
      </c>
      <c r="G152" s="12" t="n">
        <v>400</v>
      </c>
      <c r="H152" s="12" t="n">
        <f aca="false">SUMPRODUCT(ПОТОКИ!B11:G11,ЧАСОВЫЕ_ПРОФИЛИ!B15:G15,КОЭФФИЦИЕНТЫ_ВЫБОРА!F28:K28)</f>
        <v>1.496</v>
      </c>
      <c r="I152" s="12" t="n">
        <f aca="false">SUMPRODUCT(ПОТОКИ!B11:G11,ЧАСОВЫЕ_ПРОФИЛИ!B15:G15,КОЭФФИЦИЕНТЫ_ВЫБОРА!F28:K28,ПАРАМЕТРЫ!$B$17:$G$17)</f>
        <v>1.6456</v>
      </c>
      <c r="J152" s="12" t="n">
        <f aca="false">I152*G152/1000</f>
        <v>0.65824</v>
      </c>
      <c r="K152" s="11" t="s">
        <v>217</v>
      </c>
      <c r="L152" s="11" t="s">
        <v>19</v>
      </c>
      <c r="M152" s="11" t="s">
        <v>145</v>
      </c>
    </row>
    <row r="153" customFormat="false" ht="23.85" hidden="false" customHeight="false" outlineLevel="0" collapsed="false">
      <c r="A153" s="11" t="s">
        <v>107</v>
      </c>
      <c r="B153" s="11" t="s">
        <v>128</v>
      </c>
      <c r="C153" s="11" t="n">
        <v>19</v>
      </c>
      <c r="D153" s="11" t="s">
        <v>174</v>
      </c>
      <c r="E153" s="11" t="s">
        <v>175</v>
      </c>
      <c r="F153" s="11" t="s">
        <v>83</v>
      </c>
      <c r="G153" s="12" t="n">
        <v>300</v>
      </c>
      <c r="H153" s="12" t="n">
        <f aca="false">SUMPRODUCT(ПОТОКИ!B11:G11,ЧАСОВЫЕ_ПРОФИЛИ!B15:G15,КОЭФФИЦИЕНТЫ_ВЫБОРА!F29:K29)</f>
        <v>1.152</v>
      </c>
      <c r="I153" s="12" t="n">
        <f aca="false">SUMPRODUCT(ПОТОКИ!B11:G11,ЧАСОВЫЕ_ПРОФИЛИ!B15:G15,КОЭФФИЦИЕНТЫ_ВЫБОРА!F29:K29,ПАРАМЕТРЫ!$B$17:$G$17)</f>
        <v>1.2672</v>
      </c>
      <c r="J153" s="12" t="n">
        <f aca="false">I153*G153/1000</f>
        <v>0.38016</v>
      </c>
      <c r="K153" s="11" t="s">
        <v>217</v>
      </c>
      <c r="L153" s="11" t="s">
        <v>19</v>
      </c>
      <c r="M153" s="11" t="s">
        <v>145</v>
      </c>
    </row>
    <row r="154" customFormat="false" ht="15" hidden="false" customHeight="false" outlineLevel="0" collapsed="false">
      <c r="A154" s="11" t="s">
        <v>107</v>
      </c>
      <c r="B154" s="11" t="s">
        <v>128</v>
      </c>
      <c r="C154" s="11" t="n">
        <v>20</v>
      </c>
      <c r="D154" s="11" t="s">
        <v>174</v>
      </c>
      <c r="E154" s="11" t="s">
        <v>176</v>
      </c>
      <c r="F154" s="11" t="s">
        <v>83</v>
      </c>
      <c r="G154" s="12" t="n">
        <v>360</v>
      </c>
      <c r="H154" s="12" t="n">
        <f aca="false">SUMPRODUCT(ПОТОКИ!B11:G11,ЧАСОВЫЕ_ПРОФИЛИ!B15:G15,КОЭФФИЦИЕНТЫ_ВЫБОРА!F30:K30)</f>
        <v>0.8448</v>
      </c>
      <c r="I154" s="12" t="n">
        <f aca="false">SUMPRODUCT(ПОТОКИ!B11:G11,ЧАСОВЫЕ_ПРОФИЛИ!B15:G15,КОЭФФИЦИЕНТЫ_ВЫБОРА!F30:K30,ПАРАМЕТРЫ!$B$17:$G$17)</f>
        <v>0.92928</v>
      </c>
      <c r="J154" s="12" t="n">
        <f aca="false">I154*G154/1000</f>
        <v>0.3345408</v>
      </c>
      <c r="K154" s="11" t="s">
        <v>217</v>
      </c>
      <c r="L154" s="11" t="s">
        <v>19</v>
      </c>
      <c r="M154" s="11" t="s">
        <v>145</v>
      </c>
    </row>
    <row r="155" customFormat="false" ht="15" hidden="false" customHeight="false" outlineLevel="0" collapsed="false">
      <c r="A155" s="11" t="s">
        <v>107</v>
      </c>
      <c r="B155" s="11" t="s">
        <v>128</v>
      </c>
      <c r="C155" s="11" t="n">
        <v>21</v>
      </c>
      <c r="D155" s="11" t="s">
        <v>174</v>
      </c>
      <c r="E155" s="11" t="s">
        <v>177</v>
      </c>
      <c r="F155" s="11" t="s">
        <v>83</v>
      </c>
      <c r="G155" s="12" t="n">
        <v>350</v>
      </c>
      <c r="H155" s="12" t="n">
        <f aca="false">SUMPRODUCT(ПОТОКИ!B11:G11,ЧАСОВЫЕ_ПРОФИЛИ!B15:G15,КОЭФФИЦИЕНТЫ_ВЫБОРА!F31:K31)</f>
        <v>1.4292</v>
      </c>
      <c r="I155" s="12" t="n">
        <f aca="false">SUMPRODUCT(ПОТОКИ!B11:G11,ЧАСОВЫЕ_ПРОФИЛИ!B15:G15,КОЭФФИЦИЕНТЫ_ВЫБОРА!F31:K31,ПАРАМЕТРЫ!$B$17:$G$17)</f>
        <v>1.57212</v>
      </c>
      <c r="J155" s="12" t="n">
        <f aca="false">I155*G155/1000</f>
        <v>0.550242</v>
      </c>
      <c r="K155" s="11" t="s">
        <v>217</v>
      </c>
      <c r="L155" s="11" t="s">
        <v>19</v>
      </c>
      <c r="M155" s="11" t="s">
        <v>145</v>
      </c>
    </row>
    <row r="156" customFormat="false" ht="15" hidden="false" customHeight="false" outlineLevel="0" collapsed="false">
      <c r="A156" s="11" t="s">
        <v>107</v>
      </c>
      <c r="B156" s="11" t="s">
        <v>128</v>
      </c>
      <c r="C156" s="11" t="n">
        <v>22</v>
      </c>
      <c r="D156" s="11" t="s">
        <v>174</v>
      </c>
      <c r="E156" s="11" t="s">
        <v>178</v>
      </c>
      <c r="F156" s="11" t="s">
        <v>83</v>
      </c>
      <c r="G156" s="12" t="n">
        <v>300</v>
      </c>
      <c r="H156" s="12" t="n">
        <f aca="false">SUMPRODUCT(ПОТОКИ!B11:G11,ЧАСОВЫЕ_ПРОФИЛИ!B15:G15,КОЭФФИЦИЕНТЫ_ВЫБОРА!F32:K32)</f>
        <v>0.678</v>
      </c>
      <c r="I156" s="12" t="n">
        <f aca="false">SUMPRODUCT(ПОТОКИ!B11:G11,ЧАСОВЫЕ_ПРОФИЛИ!B15:G15,КОЭФФИЦИЕНТЫ_ВЫБОРА!F32:K32,ПАРАМЕТРЫ!$B$17:$G$17)</f>
        <v>0.7458</v>
      </c>
      <c r="J156" s="12" t="n">
        <f aca="false">I156*G156/1000</f>
        <v>0.22374</v>
      </c>
      <c r="K156" s="11" t="s">
        <v>217</v>
      </c>
      <c r="L156" s="11" t="s">
        <v>19</v>
      </c>
      <c r="M156" s="11" t="s">
        <v>145</v>
      </c>
    </row>
    <row r="157" customFormat="false" ht="15" hidden="false" customHeight="false" outlineLevel="0" collapsed="false">
      <c r="A157" s="11" t="s">
        <v>107</v>
      </c>
      <c r="B157" s="11" t="s">
        <v>128</v>
      </c>
      <c r="C157" s="11" t="n">
        <v>23</v>
      </c>
      <c r="D157" s="11" t="s">
        <v>86</v>
      </c>
      <c r="E157" s="11" t="s">
        <v>179</v>
      </c>
      <c r="F157" s="11" t="s">
        <v>85</v>
      </c>
      <c r="G157" s="12" t="n">
        <v>150</v>
      </c>
      <c r="H157" s="12" t="n">
        <f aca="false">SUMPRODUCT(ПОТОКИ!B11:G11,ЧАСОВЫЕ_ПРОФИЛИ!B15:G15,КОЭФФИЦИЕНТЫ_ВЫБОРА!F33:K33)</f>
        <v>1.087932</v>
      </c>
      <c r="I157" s="12" t="n">
        <f aca="false">SUMPRODUCT(ПОТОКИ!B11:G11,ЧАСОВЫЕ_ПРОФИЛИ!B15:G15,КОЭФФИЦИЕНТЫ_ВЫБОРА!F33:K33,ПАРАМЕТРЫ!$B$17:$G$17)</f>
        <v>1.1967252</v>
      </c>
      <c r="J157" s="12" t="n">
        <f aca="false">I157*G157/1000</f>
        <v>0.17950878</v>
      </c>
      <c r="K157" s="11" t="s">
        <v>217</v>
      </c>
      <c r="L157" s="11" t="s">
        <v>19</v>
      </c>
      <c r="M157" s="11" t="s">
        <v>147</v>
      </c>
    </row>
    <row r="158" customFormat="false" ht="15" hidden="false" customHeight="false" outlineLevel="0" collapsed="false">
      <c r="A158" s="11" t="s">
        <v>107</v>
      </c>
      <c r="B158" s="11" t="s">
        <v>128</v>
      </c>
      <c r="C158" s="11" t="n">
        <v>24</v>
      </c>
      <c r="D158" s="11" t="s">
        <v>86</v>
      </c>
      <c r="E158" s="11" t="s">
        <v>180</v>
      </c>
      <c r="F158" s="11" t="s">
        <v>85</v>
      </c>
      <c r="G158" s="12" t="n">
        <v>150</v>
      </c>
      <c r="H158" s="12" t="n">
        <f aca="false">SUMPRODUCT(ПОТОКИ!B11:G11,ЧАСОВЫЕ_ПРОФИЛИ!B15:G15,КОЭФФИЦИЕНТЫ_ВЫБОРА!F34:K34)</f>
        <v>0.450216</v>
      </c>
      <c r="I158" s="12" t="n">
        <f aca="false">SUMPRODUCT(ПОТОКИ!B11:G11,ЧАСОВЫЕ_ПРОФИЛИ!B15:G15,КОЭФФИЦИЕНТЫ_ВЫБОРА!F34:K34,ПАРАМЕТРЫ!$B$17:$G$17)</f>
        <v>0.4952376</v>
      </c>
      <c r="J158" s="12" t="n">
        <f aca="false">I158*G158/1000</f>
        <v>0.07428564</v>
      </c>
      <c r="K158" s="11" t="s">
        <v>217</v>
      </c>
      <c r="L158" s="11" t="s">
        <v>19</v>
      </c>
      <c r="M158" s="11" t="s">
        <v>147</v>
      </c>
    </row>
    <row r="159" customFormat="false" ht="15" hidden="false" customHeight="false" outlineLevel="0" collapsed="false">
      <c r="A159" s="11" t="s">
        <v>107</v>
      </c>
      <c r="B159" s="11" t="s">
        <v>128</v>
      </c>
      <c r="C159" s="11" t="n">
        <v>25</v>
      </c>
      <c r="D159" s="11" t="s">
        <v>86</v>
      </c>
      <c r="E159" s="11" t="s">
        <v>181</v>
      </c>
      <c r="F159" s="11" t="s">
        <v>85</v>
      </c>
      <c r="G159" s="12" t="n">
        <v>150</v>
      </c>
      <c r="H159" s="12" t="n">
        <f aca="false">SUMPRODUCT(ПОТОКИ!B11:G11,ЧАСОВЫЕ_ПРОФИЛИ!B15:G15,КОЭФФИЦИЕНТЫ_ВЫБОРА!F35:K35)</f>
        <v>0.712932</v>
      </c>
      <c r="I159" s="12" t="n">
        <f aca="false">SUMPRODUCT(ПОТОКИ!B11:G11,ЧАСОВЫЕ_ПРОФИЛИ!B15:G15,КОЭФФИЦИЕНТЫ_ВЫБОРА!F35:K35,ПАРАМЕТРЫ!$B$17:$G$17)</f>
        <v>0.7842252</v>
      </c>
      <c r="J159" s="12" t="n">
        <f aca="false">I159*G159/1000</f>
        <v>0.11763378</v>
      </c>
      <c r="K159" s="11" t="s">
        <v>217</v>
      </c>
      <c r="L159" s="11" t="s">
        <v>19</v>
      </c>
      <c r="M159" s="11" t="s">
        <v>147</v>
      </c>
    </row>
    <row r="160" customFormat="false" ht="23.85" hidden="false" customHeight="false" outlineLevel="0" collapsed="false">
      <c r="A160" s="11" t="s">
        <v>107</v>
      </c>
      <c r="B160" s="11" t="s">
        <v>128</v>
      </c>
      <c r="C160" s="11" t="n">
        <v>26</v>
      </c>
      <c r="D160" s="11" t="s">
        <v>89</v>
      </c>
      <c r="E160" s="11" t="s">
        <v>182</v>
      </c>
      <c r="F160" s="11" t="s">
        <v>88</v>
      </c>
      <c r="G160" s="12" t="n">
        <v>225</v>
      </c>
      <c r="H160" s="12" t="n">
        <f aca="false">SUMPRODUCT(ПОТОКИ!B11:G11,ЧАСОВЫЕ_ПРОФИЛИ!B15:G15,КОЭФФИЦИЕНТЫ_ВЫБОРА!F36:K36)</f>
        <v>0.4125</v>
      </c>
      <c r="I160" s="12" t="n">
        <f aca="false">SUMPRODUCT(ПОТОКИ!B11:G11,ЧАСОВЫЕ_ПРОФИЛИ!B15:G15,КОЭФФИЦИЕНТЫ_ВЫБОРА!F36:K36,ПАРАМЕТРЫ!$B$17:$G$17)</f>
        <v>0.4125</v>
      </c>
      <c r="J160" s="12" t="n">
        <f aca="false">I160*G160/1000</f>
        <v>0.0928125</v>
      </c>
      <c r="K160" s="11" t="s">
        <v>217</v>
      </c>
      <c r="L160" s="11" t="s">
        <v>19</v>
      </c>
      <c r="M160" s="11" t="s">
        <v>145</v>
      </c>
    </row>
    <row r="161" customFormat="false" ht="23.85" hidden="false" customHeight="false" outlineLevel="0" collapsed="false">
      <c r="A161" s="11" t="s">
        <v>107</v>
      </c>
      <c r="B161" s="11" t="s">
        <v>128</v>
      </c>
      <c r="C161" s="11" t="n">
        <v>27</v>
      </c>
      <c r="D161" s="11" t="s">
        <v>89</v>
      </c>
      <c r="E161" s="11" t="s">
        <v>183</v>
      </c>
      <c r="F161" s="11" t="s">
        <v>88</v>
      </c>
      <c r="G161" s="12" t="n">
        <v>265</v>
      </c>
      <c r="H161" s="12" t="n">
        <f aca="false">SUMPRODUCT(ПОТОКИ!B11:G11,ЧАСОВЫЕ_ПРОФИЛИ!B15:G15,КОЭФФИЦИЕНТЫ_ВЫБОРА!F37:K37)</f>
        <v>0.4125</v>
      </c>
      <c r="I161" s="12" t="n">
        <f aca="false">SUMPRODUCT(ПОТОКИ!B11:G11,ЧАСОВЫЕ_ПРОФИЛИ!B15:G15,КОЭФФИЦИЕНТЫ_ВЫБОРА!F37:K37,ПАРАМЕТРЫ!$B$17:$G$17)</f>
        <v>0.4125</v>
      </c>
      <c r="J161" s="12" t="n">
        <f aca="false">I161*G161/1000</f>
        <v>0.1093125</v>
      </c>
      <c r="K161" s="11" t="s">
        <v>217</v>
      </c>
      <c r="L161" s="11" t="s">
        <v>19</v>
      </c>
      <c r="M161" s="11" t="s">
        <v>145</v>
      </c>
    </row>
    <row r="162" customFormat="false" ht="23.85" hidden="false" customHeight="false" outlineLevel="0" collapsed="false">
      <c r="A162" s="11" t="s">
        <v>107</v>
      </c>
      <c r="B162" s="11" t="s">
        <v>128</v>
      </c>
      <c r="C162" s="11" t="n">
        <v>28</v>
      </c>
      <c r="D162" s="11" t="s">
        <v>89</v>
      </c>
      <c r="E162" s="11" t="s">
        <v>184</v>
      </c>
      <c r="F162" s="11" t="s">
        <v>88</v>
      </c>
      <c r="G162" s="12" t="n">
        <v>355</v>
      </c>
      <c r="H162" s="12" t="n">
        <f aca="false">SUMPRODUCT(ПОТОКИ!B11:G11,ЧАСОВЫЕ_ПРОФИЛИ!B15:G15,КОЭФФИЦИЕНТЫ_ВЫБОРА!F38:K38)</f>
        <v>0.275</v>
      </c>
      <c r="I162" s="12" t="n">
        <f aca="false">SUMPRODUCT(ПОТОКИ!B11:G11,ЧАСОВЫЕ_ПРОФИЛИ!B15:G15,КОЭФФИЦИЕНТЫ_ВЫБОРА!F38:K38,ПАРАМЕТРЫ!$B$17:$G$17)</f>
        <v>0.275</v>
      </c>
      <c r="J162" s="12" t="n">
        <f aca="false">I162*G162/1000</f>
        <v>0.097625</v>
      </c>
      <c r="K162" s="11" t="s">
        <v>217</v>
      </c>
      <c r="L162" s="11" t="s">
        <v>19</v>
      </c>
      <c r="M162" s="11" t="s">
        <v>145</v>
      </c>
    </row>
    <row r="163" customFormat="false" ht="15" hidden="false" customHeight="false" outlineLevel="0" collapsed="false">
      <c r="A163" s="11" t="s">
        <v>107</v>
      </c>
      <c r="B163" s="11" t="s">
        <v>128</v>
      </c>
      <c r="C163" s="11" t="n">
        <v>29</v>
      </c>
      <c r="D163" s="11" t="s">
        <v>92</v>
      </c>
      <c r="E163" s="11" t="s">
        <v>185</v>
      </c>
      <c r="F163" s="11" t="s">
        <v>91</v>
      </c>
      <c r="G163" s="12" t="n">
        <v>150</v>
      </c>
      <c r="H163" s="12" t="n">
        <f aca="false">SUMPRODUCT(ПОТОКИ!B11:G11,ЧАСОВЫЕ_ПРОФИЛИ!B15:G15,КОЭФФИЦИЕНТЫ_ВЫБОРА!F39:K39)</f>
        <v>0.2016</v>
      </c>
      <c r="I163" s="12" t="n">
        <f aca="false">SUMPRODUCT(ПОТОКИ!B11:G11,ЧАСОВЫЕ_ПРОФИЛИ!B15:G15,КОЭФФИЦИЕНТЫ_ВЫБОРА!F39:K39,ПАРАМЕТРЫ!$B$17:$G$17)</f>
        <v>0.22176</v>
      </c>
      <c r="J163" s="12" t="n">
        <f aca="false">I163*G163/1000</f>
        <v>0.033264</v>
      </c>
      <c r="K163" s="11" t="s">
        <v>217</v>
      </c>
      <c r="L163" s="11" t="s">
        <v>19</v>
      </c>
      <c r="M163" s="11" t="s">
        <v>145</v>
      </c>
    </row>
    <row r="164" customFormat="false" ht="15" hidden="false" customHeight="false" outlineLevel="0" collapsed="false">
      <c r="A164" s="11" t="s">
        <v>107</v>
      </c>
      <c r="B164" s="11" t="s">
        <v>128</v>
      </c>
      <c r="C164" s="11" t="n">
        <v>30</v>
      </c>
      <c r="D164" s="11" t="s">
        <v>92</v>
      </c>
      <c r="E164" s="11" t="s">
        <v>186</v>
      </c>
      <c r="F164" s="11" t="s">
        <v>91</v>
      </c>
      <c r="G164" s="12" t="n">
        <v>120</v>
      </c>
      <c r="H164" s="12" t="n">
        <f aca="false">SUMPRODUCT(ПОТОКИ!B11:G11,ЧАСОВЫЕ_ПРОФИЛИ!B15:G15,КОЭФФИЦИЕНТЫ_ВЫБОРА!F40:K40)</f>
        <v>0.2016</v>
      </c>
      <c r="I164" s="12" t="n">
        <f aca="false">SUMPRODUCT(ПОТОКИ!B11:G11,ЧАСОВЫЕ_ПРОФИЛИ!B15:G15,КОЭФФИЦИЕНТЫ_ВЫБОРА!F40:K40,ПАРАМЕТРЫ!$B$17:$G$17)</f>
        <v>0.22176</v>
      </c>
      <c r="J164" s="12" t="n">
        <f aca="false">I164*G164/1000</f>
        <v>0.0266112</v>
      </c>
      <c r="K164" s="11" t="s">
        <v>217</v>
      </c>
      <c r="L164" s="11" t="s">
        <v>19</v>
      </c>
      <c r="M164" s="11" t="s">
        <v>145</v>
      </c>
    </row>
    <row r="165" customFormat="false" ht="15" hidden="false" customHeight="false" outlineLevel="0" collapsed="false">
      <c r="A165" s="11" t="s">
        <v>107</v>
      </c>
      <c r="B165" s="11" t="s">
        <v>128</v>
      </c>
      <c r="C165" s="11" t="n">
        <v>31</v>
      </c>
      <c r="D165" s="11" t="s">
        <v>92</v>
      </c>
      <c r="E165" s="11" t="s">
        <v>187</v>
      </c>
      <c r="F165" s="11" t="s">
        <v>91</v>
      </c>
      <c r="G165" s="12" t="n">
        <v>60</v>
      </c>
      <c r="H165" s="12" t="n">
        <f aca="false">SUMPRODUCT(ПОТОКИ!B11:G11,ЧАСОВЫЕ_ПРОФИЛИ!B15:G15,КОЭФФИЦИЕНТЫ_ВЫБОРА!F41:K41)</f>
        <v>0.2208</v>
      </c>
      <c r="I165" s="12" t="n">
        <f aca="false">SUMPRODUCT(ПОТОКИ!B11:G11,ЧАСОВЫЕ_ПРОФИЛИ!B15:G15,КОЭФФИЦИЕНТЫ_ВЫБОРА!F41:K41,ПАРАМЕТРЫ!$B$17:$G$17)</f>
        <v>0.24288</v>
      </c>
      <c r="J165" s="12" t="n">
        <f aca="false">I165*G165/1000</f>
        <v>0.0145728</v>
      </c>
      <c r="K165" s="11" t="s">
        <v>217</v>
      </c>
      <c r="L165" s="11" t="s">
        <v>19</v>
      </c>
      <c r="M165" s="11" t="s">
        <v>145</v>
      </c>
    </row>
    <row r="166" customFormat="false" ht="15" hidden="false" customHeight="false" outlineLevel="0" collapsed="false">
      <c r="A166" s="11" t="s">
        <v>107</v>
      </c>
      <c r="B166" s="11" t="s">
        <v>129</v>
      </c>
      <c r="C166" s="11" t="n">
        <v>1</v>
      </c>
      <c r="D166" s="11" t="s">
        <v>74</v>
      </c>
      <c r="E166" s="11" t="s">
        <v>153</v>
      </c>
      <c r="F166" s="11" t="s">
        <v>73</v>
      </c>
      <c r="G166" s="12" t="n">
        <v>450</v>
      </c>
      <c r="H166" s="12" t="n">
        <f aca="false">SUMPRODUCT(ПОТОКИ!B11:G11,ЧАСОВЫЕ_ПРОФИЛИ!B16:G16,КОЭФФИЦИЕНТЫ_ВЫБОРА!F11:K11)</f>
        <v>0.6318</v>
      </c>
      <c r="I166" s="12" t="n">
        <f aca="false">SUMPRODUCT(ПОТОКИ!B11:G11,ЧАСОВЫЕ_ПРОФИЛИ!B16:G16,КОЭФФИЦИЕНТЫ_ВЫБОРА!F11:K11,ПАРАМЕТРЫ!$B$17:$G$17)</f>
        <v>0.69498</v>
      </c>
      <c r="J166" s="12" t="n">
        <f aca="false">I166*G166/1000</f>
        <v>0.312741</v>
      </c>
      <c r="K166" s="11" t="s">
        <v>217</v>
      </c>
      <c r="L166" s="11" t="s">
        <v>19</v>
      </c>
      <c r="M166" s="11" t="s">
        <v>145</v>
      </c>
    </row>
    <row r="167" customFormat="false" ht="15" hidden="false" customHeight="false" outlineLevel="0" collapsed="false">
      <c r="A167" s="11" t="s">
        <v>107</v>
      </c>
      <c r="B167" s="11" t="s">
        <v>129</v>
      </c>
      <c r="C167" s="11" t="n">
        <v>2</v>
      </c>
      <c r="D167" s="11" t="s">
        <v>74</v>
      </c>
      <c r="E167" s="11" t="s">
        <v>154</v>
      </c>
      <c r="F167" s="11" t="s">
        <v>73</v>
      </c>
      <c r="G167" s="12" t="n">
        <v>480</v>
      </c>
      <c r="H167" s="12" t="n">
        <f aca="false">SUMPRODUCT(ПОТОКИ!B11:G11,ЧАСОВЫЕ_ПРОФИЛИ!B16:G16,КОЭФФИЦИЕНТЫ_ВЫБОРА!F12:K12)</f>
        <v>0.6874</v>
      </c>
      <c r="I167" s="12" t="n">
        <f aca="false">SUMPRODUCT(ПОТОКИ!B11:G11,ЧАСОВЫЕ_ПРОФИЛИ!B16:G16,КОЭФФИЦИЕНТЫ_ВЫБОРА!F12:K12,ПАРАМЕТРЫ!$B$17:$G$17)</f>
        <v>0.75614</v>
      </c>
      <c r="J167" s="12" t="n">
        <f aca="false">I167*G167/1000</f>
        <v>0.3629472</v>
      </c>
      <c r="K167" s="11" t="s">
        <v>217</v>
      </c>
      <c r="L167" s="11" t="s">
        <v>19</v>
      </c>
      <c r="M167" s="11" t="s">
        <v>145</v>
      </c>
    </row>
    <row r="168" customFormat="false" ht="15" hidden="false" customHeight="false" outlineLevel="0" collapsed="false">
      <c r="A168" s="11" t="s">
        <v>107</v>
      </c>
      <c r="B168" s="11" t="s">
        <v>129</v>
      </c>
      <c r="C168" s="11" t="n">
        <v>3</v>
      </c>
      <c r="D168" s="11" t="s">
        <v>74</v>
      </c>
      <c r="E168" s="11" t="s">
        <v>155</v>
      </c>
      <c r="F168" s="11" t="s">
        <v>73</v>
      </c>
      <c r="G168" s="12" t="n">
        <v>500</v>
      </c>
      <c r="H168" s="12" t="n">
        <f aca="false">SUMPRODUCT(ПОТОКИ!B11:G11,ЧАСОВЫЕ_ПРОФИЛИ!B16:G16,КОЭФФИЦИЕНТЫ_ВЫБОРА!F13:K13)</f>
        <v>1.2936</v>
      </c>
      <c r="I168" s="12" t="n">
        <f aca="false">SUMPRODUCT(ПОТОКИ!B11:G11,ЧАСОВЫЕ_ПРОФИЛИ!B16:G16,КОЭФФИЦИЕНТЫ_ВЫБОРА!F13:K13,ПАРАМЕТРЫ!$B$17:$G$17)</f>
        <v>1.42296</v>
      </c>
      <c r="J168" s="12" t="n">
        <f aca="false">I168*G168/1000</f>
        <v>0.71148</v>
      </c>
      <c r="K168" s="11" t="s">
        <v>217</v>
      </c>
      <c r="L168" s="11" t="s">
        <v>19</v>
      </c>
      <c r="M168" s="11" t="s">
        <v>145</v>
      </c>
    </row>
    <row r="169" customFormat="false" ht="15" hidden="false" customHeight="false" outlineLevel="0" collapsed="false">
      <c r="A169" s="11" t="s">
        <v>107</v>
      </c>
      <c r="B169" s="11" t="s">
        <v>129</v>
      </c>
      <c r="C169" s="11" t="n">
        <v>4</v>
      </c>
      <c r="D169" s="11" t="s">
        <v>74</v>
      </c>
      <c r="E169" s="11" t="s">
        <v>156</v>
      </c>
      <c r="F169" s="11" t="s">
        <v>73</v>
      </c>
      <c r="G169" s="12" t="n">
        <v>500</v>
      </c>
      <c r="H169" s="12" t="n">
        <f aca="false">SUMPRODUCT(ПОТОКИ!B11:G11,ЧАСОВЫЕ_ПРОФИЛИ!B16:G16,КОЭФФИЦИЕНТЫ_ВЫБОРА!F14:K14)</f>
        <v>1.3492</v>
      </c>
      <c r="I169" s="12" t="n">
        <f aca="false">SUMPRODUCT(ПОТОКИ!B11:G11,ЧАСОВЫЕ_ПРОФИЛИ!B16:G16,КОЭФФИЦИЕНТЫ_ВЫБОРА!F14:K14,ПАРАМЕТРЫ!$B$17:$G$17)</f>
        <v>1.48412</v>
      </c>
      <c r="J169" s="12" t="n">
        <f aca="false">I169*G169/1000</f>
        <v>0.74206</v>
      </c>
      <c r="K169" s="11" t="s">
        <v>217</v>
      </c>
      <c r="L169" s="11" t="s">
        <v>19</v>
      </c>
      <c r="M169" s="11" t="s">
        <v>145</v>
      </c>
    </row>
    <row r="170" customFormat="false" ht="15" hidden="false" customHeight="false" outlineLevel="0" collapsed="false">
      <c r="A170" s="11" t="s">
        <v>107</v>
      </c>
      <c r="B170" s="11" t="s">
        <v>129</v>
      </c>
      <c r="C170" s="11" t="n">
        <v>5</v>
      </c>
      <c r="D170" s="11" t="s">
        <v>78</v>
      </c>
      <c r="E170" s="11" t="s">
        <v>157</v>
      </c>
      <c r="F170" s="11" t="s">
        <v>77</v>
      </c>
      <c r="G170" s="12" t="n">
        <v>100</v>
      </c>
      <c r="H170" s="12" t="n">
        <f aca="false">SUMPRODUCT(ПОТОКИ!B11:G11,ЧАСОВЫЕ_ПРОФИЛИ!B16:G16,КОЭФФИЦИЕНТЫ_ВЫБОРА!F15:K15)</f>
        <v>0.7154</v>
      </c>
      <c r="I170" s="12" t="n">
        <f aca="false">SUMPRODUCT(ПОТОКИ!B11:G11,ЧАСОВЫЕ_ПРОФИЛИ!B16:G16,КОЭФФИЦИЕНТЫ_ВЫБОРА!F15:K15,ПАРАМЕТРЫ!$B$17:$G$17)</f>
        <v>0.78694</v>
      </c>
      <c r="J170" s="12" t="n">
        <f aca="false">I170*G170/1000</f>
        <v>0.078694</v>
      </c>
      <c r="K170" s="11" t="s">
        <v>217</v>
      </c>
      <c r="L170" s="11" t="s">
        <v>19</v>
      </c>
      <c r="M170" s="11" t="s">
        <v>147</v>
      </c>
    </row>
    <row r="171" customFormat="false" ht="15" hidden="false" customHeight="false" outlineLevel="0" collapsed="false">
      <c r="A171" s="11" t="s">
        <v>107</v>
      </c>
      <c r="B171" s="11" t="s">
        <v>129</v>
      </c>
      <c r="C171" s="11" t="n">
        <v>6</v>
      </c>
      <c r="D171" s="11" t="s">
        <v>78</v>
      </c>
      <c r="E171" s="11" t="s">
        <v>158</v>
      </c>
      <c r="F171" s="11" t="s">
        <v>77</v>
      </c>
      <c r="G171" s="12" t="n">
        <v>100</v>
      </c>
      <c r="H171" s="12" t="n">
        <f aca="false">SUMPRODUCT(ПОТОКИ!B11:G11,ЧАСОВЫЕ_ПРОФИЛИ!B16:G16,КОЭФФИЦИЕНТЫ_ВЫБОРА!F16:K16)</f>
        <v>0.6198</v>
      </c>
      <c r="I171" s="12" t="n">
        <f aca="false">SUMPRODUCT(ПОТОКИ!B11:G11,ЧАСОВЫЕ_ПРОФИЛИ!B16:G16,КОЭФФИЦИЕНТЫ_ВЫБОРА!F16:K16,ПАРАМЕТРЫ!$B$17:$G$17)</f>
        <v>0.68178</v>
      </c>
      <c r="J171" s="12" t="n">
        <f aca="false">I171*G171/1000</f>
        <v>0.068178</v>
      </c>
      <c r="K171" s="11" t="s">
        <v>217</v>
      </c>
      <c r="L171" s="11" t="s">
        <v>19</v>
      </c>
      <c r="M171" s="11" t="s">
        <v>147</v>
      </c>
    </row>
    <row r="172" customFormat="false" ht="15" hidden="false" customHeight="false" outlineLevel="0" collapsed="false">
      <c r="A172" s="11" t="s">
        <v>107</v>
      </c>
      <c r="B172" s="11" t="s">
        <v>129</v>
      </c>
      <c r="C172" s="11" t="n">
        <v>7</v>
      </c>
      <c r="D172" s="11" t="s">
        <v>78</v>
      </c>
      <c r="E172" s="11" t="s">
        <v>159</v>
      </c>
      <c r="F172" s="11" t="s">
        <v>77</v>
      </c>
      <c r="G172" s="12" t="n">
        <v>350</v>
      </c>
      <c r="H172" s="12" t="n">
        <f aca="false">SUMPRODUCT(ПОТОКИ!B11:G11,ЧАСОВЫЕ_ПРОФИЛИ!B16:G16,КОЭФФИЦИЕНТЫ_ВЫБОРА!F17:K17)</f>
        <v>0.5643</v>
      </c>
      <c r="I172" s="12" t="n">
        <f aca="false">SUMPRODUCT(ПОТОКИ!B11:G11,ЧАСОВЫЕ_ПРОФИЛИ!B16:G16,КОЭФФИЦИЕНТЫ_ВЫБОРА!F17:K17,ПАРАМЕТРЫ!$B$17:$G$17)</f>
        <v>0.62073</v>
      </c>
      <c r="J172" s="12" t="n">
        <f aca="false">I172*G172/1000</f>
        <v>0.2172555</v>
      </c>
      <c r="K172" s="11" t="s">
        <v>217</v>
      </c>
      <c r="L172" s="11" t="s">
        <v>19</v>
      </c>
      <c r="M172" s="11" t="s">
        <v>147</v>
      </c>
    </row>
    <row r="173" customFormat="false" ht="15" hidden="false" customHeight="false" outlineLevel="0" collapsed="false">
      <c r="A173" s="11" t="s">
        <v>107</v>
      </c>
      <c r="B173" s="11" t="s">
        <v>129</v>
      </c>
      <c r="C173" s="11" t="n">
        <v>8</v>
      </c>
      <c r="D173" s="11" t="s">
        <v>78</v>
      </c>
      <c r="E173" s="11" t="s">
        <v>160</v>
      </c>
      <c r="F173" s="11" t="s">
        <v>77</v>
      </c>
      <c r="G173" s="12" t="n">
        <v>85</v>
      </c>
      <c r="H173" s="12" t="n">
        <f aca="false">SUMPRODUCT(ПОТОКИ!B11:G11,ЧАСОВЫЕ_ПРОФИЛИ!B16:G16,КОЭФФИЦИЕНТЫ_ВЫБОРА!F18:K18)</f>
        <v>0.3577</v>
      </c>
      <c r="I173" s="12" t="n">
        <f aca="false">SUMPRODUCT(ПОТОКИ!B11:G11,ЧАСОВЫЕ_ПРОФИЛИ!B16:G16,КОЭФФИЦИЕНТЫ_ВЫБОРА!F18:K18,ПАРАМЕТРЫ!$B$17:$G$17)</f>
        <v>0.39347</v>
      </c>
      <c r="J173" s="12" t="n">
        <f aca="false">I173*G173/1000</f>
        <v>0.03344495</v>
      </c>
      <c r="K173" s="11" t="s">
        <v>217</v>
      </c>
      <c r="L173" s="11" t="s">
        <v>19</v>
      </c>
      <c r="M173" s="11" t="s">
        <v>147</v>
      </c>
    </row>
    <row r="174" customFormat="false" ht="15" hidden="false" customHeight="false" outlineLevel="0" collapsed="false">
      <c r="A174" s="11" t="s">
        <v>107</v>
      </c>
      <c r="B174" s="11" t="s">
        <v>129</v>
      </c>
      <c r="C174" s="11" t="n">
        <v>9</v>
      </c>
      <c r="D174" s="11" t="s">
        <v>161</v>
      </c>
      <c r="E174" s="11" t="s">
        <v>162</v>
      </c>
      <c r="F174" s="11" t="s">
        <v>80</v>
      </c>
      <c r="G174" s="12" t="n">
        <v>300</v>
      </c>
      <c r="H174" s="12" t="n">
        <f aca="false">SUMPRODUCT(ПОТОКИ!B11:G11,ЧАСОВЫЕ_ПРОФИЛИ!B16:G16,КОЭФФИЦИЕНТЫ_ВЫБОРА!F19:K19)</f>
        <v>0.587</v>
      </c>
      <c r="I174" s="12" t="n">
        <f aca="false">SUMPRODUCT(ПОТОКИ!B11:G11,ЧАСОВЫЕ_ПРОФИЛИ!B16:G16,КОЭФФИЦИЕНТЫ_ВЫБОРА!F19:K19,ПАРАМЕТРЫ!$B$17:$G$17)</f>
        <v>0.6457</v>
      </c>
      <c r="J174" s="12" t="n">
        <f aca="false">I174*G174/1000</f>
        <v>0.19371</v>
      </c>
      <c r="K174" s="11" t="s">
        <v>217</v>
      </c>
      <c r="L174" s="11" t="s">
        <v>19</v>
      </c>
      <c r="M174" s="11" t="s">
        <v>145</v>
      </c>
    </row>
    <row r="175" customFormat="false" ht="15" hidden="false" customHeight="false" outlineLevel="0" collapsed="false">
      <c r="A175" s="11" t="s">
        <v>107</v>
      </c>
      <c r="B175" s="11" t="s">
        <v>129</v>
      </c>
      <c r="C175" s="11" t="n">
        <v>10</v>
      </c>
      <c r="D175" s="11" t="s">
        <v>161</v>
      </c>
      <c r="E175" s="11" t="s">
        <v>163</v>
      </c>
      <c r="F175" s="11" t="s">
        <v>80</v>
      </c>
      <c r="G175" s="12" t="n">
        <v>280</v>
      </c>
      <c r="H175" s="12" t="n">
        <f aca="false">SUMPRODUCT(ПОТОКИ!B11:G11,ЧАСОВЫЕ_ПРОФИЛИ!B16:G16,КОЭФФИЦИЕНТЫ_ВЫБОРА!F20:K20)</f>
        <v>0.982</v>
      </c>
      <c r="I175" s="12" t="n">
        <f aca="false">SUMPRODUCT(ПОТОКИ!B11:G11,ЧАСОВЫЕ_ПРОФИЛИ!B16:G16,КОЭФФИЦИЕНТЫ_ВЫБОРА!F20:K20,ПАРАМЕТРЫ!$B$17:$G$17)</f>
        <v>1.0802</v>
      </c>
      <c r="J175" s="12" t="n">
        <f aca="false">I175*G175/1000</f>
        <v>0.302456</v>
      </c>
      <c r="K175" s="11" t="s">
        <v>217</v>
      </c>
      <c r="L175" s="11" t="s">
        <v>19</v>
      </c>
      <c r="M175" s="11" t="s">
        <v>145</v>
      </c>
    </row>
    <row r="176" customFormat="false" ht="15" hidden="false" customHeight="false" outlineLevel="0" collapsed="false">
      <c r="A176" s="11" t="s">
        <v>107</v>
      </c>
      <c r="B176" s="11" t="s">
        <v>129</v>
      </c>
      <c r="C176" s="11" t="n">
        <v>11</v>
      </c>
      <c r="D176" s="11" t="s">
        <v>161</v>
      </c>
      <c r="E176" s="11" t="s">
        <v>164</v>
      </c>
      <c r="F176" s="11" t="s">
        <v>80</v>
      </c>
      <c r="G176" s="12" t="n">
        <v>270</v>
      </c>
      <c r="H176" s="12" t="n">
        <f aca="false">SUMPRODUCT(ПОТОКИ!B11:G11,ЧАСОВЫЕ_ПРОФИЛИ!B16:G16,КОЭФФИЦИЕНТЫ_ВЫБОРА!F21:K21)</f>
        <v>1.8713</v>
      </c>
      <c r="I176" s="12" t="n">
        <f aca="false">SUMPRODUCT(ПОТОКИ!B11:G11,ЧАСОВЫЕ_ПРОФИЛИ!B16:G16,КОЭФФИЦИЕНТЫ_ВЫБОРА!F21:K21,ПАРАМЕТРЫ!$B$17:$G$17)</f>
        <v>2.05843</v>
      </c>
      <c r="J176" s="12" t="n">
        <f aca="false">I176*G176/1000</f>
        <v>0.5557761</v>
      </c>
      <c r="K176" s="11" t="s">
        <v>217</v>
      </c>
      <c r="L176" s="11" t="s">
        <v>19</v>
      </c>
      <c r="M176" s="11" t="s">
        <v>145</v>
      </c>
    </row>
    <row r="177" customFormat="false" ht="15" hidden="false" customHeight="false" outlineLevel="0" collapsed="false">
      <c r="A177" s="11" t="s">
        <v>107</v>
      </c>
      <c r="B177" s="11" t="s">
        <v>129</v>
      </c>
      <c r="C177" s="11" t="n">
        <v>12</v>
      </c>
      <c r="D177" s="11" t="s">
        <v>161</v>
      </c>
      <c r="E177" s="11" t="s">
        <v>165</v>
      </c>
      <c r="F177" s="11" t="s">
        <v>80</v>
      </c>
      <c r="G177" s="12" t="n">
        <v>240</v>
      </c>
      <c r="H177" s="12" t="n">
        <f aca="false">SUMPRODUCT(ПОТОКИ!B11:G11,ЧАСОВЫЕ_ПРОФИЛИ!B16:G16,КОЭФФИЦИЕНТЫ_ВЫБОРА!F22:K22)</f>
        <v>1.2777</v>
      </c>
      <c r="I177" s="12" t="n">
        <f aca="false">SUMPRODUCT(ПОТОКИ!B11:G11,ЧАСОВЫЕ_ПРОФИЛИ!B16:G16,КОЭФФИЦИЕНТЫ_ВЫБОРА!F22:K22,ПАРАМЕТРЫ!$B$17:$G$17)</f>
        <v>1.40547</v>
      </c>
      <c r="J177" s="12" t="n">
        <f aca="false">I177*G177/1000</f>
        <v>0.3373128</v>
      </c>
      <c r="K177" s="11" t="s">
        <v>217</v>
      </c>
      <c r="L177" s="11" t="s">
        <v>19</v>
      </c>
      <c r="M177" s="11" t="s">
        <v>145</v>
      </c>
    </row>
    <row r="178" customFormat="false" ht="15" hidden="false" customHeight="false" outlineLevel="0" collapsed="false">
      <c r="A178" s="11" t="s">
        <v>107</v>
      </c>
      <c r="B178" s="11" t="s">
        <v>129</v>
      </c>
      <c r="C178" s="11" t="n">
        <v>13</v>
      </c>
      <c r="D178" s="11" t="s">
        <v>166</v>
      </c>
      <c r="E178" s="11" t="s">
        <v>167</v>
      </c>
      <c r="F178" s="11" t="s">
        <v>80</v>
      </c>
      <c r="G178" s="12" t="n">
        <v>130</v>
      </c>
      <c r="H178" s="12" t="n">
        <f aca="false">SUMPRODUCT(ПОТОКИ!B11:G11,ЧАСОВЫЕ_ПРОФИЛИ!B16:G16,КОЭФФИЦИЕНТЫ_ВЫБОРА!F23:K23)</f>
        <v>0.268</v>
      </c>
      <c r="I178" s="12" t="n">
        <f aca="false">SUMPRODUCT(ПОТОКИ!B11:G11,ЧАСОВЫЕ_ПРОФИЛИ!B16:G16,КОЭФФИЦИЕНТЫ_ВЫБОРА!F23:K23,ПАРАМЕТРЫ!$B$17:$G$17)</f>
        <v>0.2948</v>
      </c>
      <c r="J178" s="12" t="n">
        <f aca="false">I178*G178/1000</f>
        <v>0.038324</v>
      </c>
      <c r="K178" s="11" t="s">
        <v>217</v>
      </c>
      <c r="L178" s="11" t="s">
        <v>19</v>
      </c>
      <c r="M178" s="11" t="s">
        <v>145</v>
      </c>
    </row>
    <row r="179" customFormat="false" ht="15" hidden="false" customHeight="false" outlineLevel="0" collapsed="false">
      <c r="A179" s="11" t="s">
        <v>107</v>
      </c>
      <c r="B179" s="11" t="s">
        <v>129</v>
      </c>
      <c r="C179" s="11" t="n">
        <v>14</v>
      </c>
      <c r="D179" s="11" t="s">
        <v>166</v>
      </c>
      <c r="E179" s="11" t="s">
        <v>168</v>
      </c>
      <c r="F179" s="11" t="s">
        <v>80</v>
      </c>
      <c r="G179" s="12" t="n">
        <v>250</v>
      </c>
      <c r="H179" s="12" t="n">
        <f aca="false">SUMPRODUCT(ПОТОКИ!B11:G11,ЧАСОВЫЕ_ПРОФИЛИ!B16:G16,КОЭФФИЦИЕНТЫ_ВЫБОРА!F24:K24)</f>
        <v>0.4268</v>
      </c>
      <c r="I179" s="12" t="n">
        <f aca="false">SUMPRODUCT(ПОТОКИ!B11:G11,ЧАСОВЫЕ_ПРОФИЛИ!B16:G16,КОЭФФИЦИЕНТЫ_ВЫБОРА!F24:K24,ПАРАМЕТРЫ!$B$17:$G$17)</f>
        <v>0.46948</v>
      </c>
      <c r="J179" s="12" t="n">
        <f aca="false">I179*G179/1000</f>
        <v>0.11737</v>
      </c>
      <c r="K179" s="11" t="s">
        <v>217</v>
      </c>
      <c r="L179" s="11" t="s">
        <v>19</v>
      </c>
      <c r="M179" s="11" t="s">
        <v>145</v>
      </c>
    </row>
    <row r="180" customFormat="false" ht="15" hidden="false" customHeight="false" outlineLevel="0" collapsed="false">
      <c r="A180" s="11" t="s">
        <v>107</v>
      </c>
      <c r="B180" s="11" t="s">
        <v>129</v>
      </c>
      <c r="C180" s="11" t="n">
        <v>15</v>
      </c>
      <c r="D180" s="11" t="s">
        <v>166</v>
      </c>
      <c r="E180" s="11" t="s">
        <v>169</v>
      </c>
      <c r="F180" s="11" t="s">
        <v>80</v>
      </c>
      <c r="G180" s="12" t="n">
        <v>120</v>
      </c>
      <c r="H180" s="12" t="n">
        <f aca="false">SUMPRODUCT(ПОТОКИ!B11:G11,ЧАСОВЫЕ_ПРОФИЛИ!B16:G16,КОЭФФИЦИЕНТЫ_ВЫБОРА!F25:K25)</f>
        <v>0.2168</v>
      </c>
      <c r="I180" s="12" t="n">
        <f aca="false">SUMPRODUCT(ПОТОКИ!B11:G11,ЧАСОВЫЕ_ПРОФИЛИ!B16:G16,КОЭФФИЦИЕНТЫ_ВЫБОРА!F25:K25,ПАРАМЕТРЫ!$B$17:$G$17)</f>
        <v>0.23848</v>
      </c>
      <c r="J180" s="12" t="n">
        <f aca="false">I180*G180/1000</f>
        <v>0.0286176</v>
      </c>
      <c r="K180" s="11" t="s">
        <v>217</v>
      </c>
      <c r="L180" s="11" t="s">
        <v>19</v>
      </c>
      <c r="M180" s="11" t="s">
        <v>145</v>
      </c>
    </row>
    <row r="181" customFormat="false" ht="15" hidden="false" customHeight="false" outlineLevel="0" collapsed="false">
      <c r="A181" s="11" t="s">
        <v>107</v>
      </c>
      <c r="B181" s="11" t="s">
        <v>129</v>
      </c>
      <c r="C181" s="11" t="n">
        <v>16</v>
      </c>
      <c r="D181" s="11" t="s">
        <v>166</v>
      </c>
      <c r="E181" s="11" t="s">
        <v>170</v>
      </c>
      <c r="F181" s="11" t="s">
        <v>80</v>
      </c>
      <c r="G181" s="12" t="n">
        <v>180</v>
      </c>
      <c r="H181" s="12" t="n">
        <f aca="false">SUMPRODUCT(ПОТОКИ!B11:G11,ЧАСОВЫЕ_ПРОФИЛИ!B16:G16,КОЭФФИЦИЕНТЫ_ВЫБОРА!F26:K26)</f>
        <v>0.5924</v>
      </c>
      <c r="I181" s="12" t="n">
        <f aca="false">SUMPRODUCT(ПОТОКИ!B11:G11,ЧАСОВЫЕ_ПРОФИЛИ!B16:G16,КОЭФФИЦИЕНТЫ_ВЫБОРА!F26:K26,ПАРАМЕТРЫ!$B$17:$G$17)</f>
        <v>0.65164</v>
      </c>
      <c r="J181" s="12" t="n">
        <f aca="false">I181*G181/1000</f>
        <v>0.1172952</v>
      </c>
      <c r="K181" s="11" t="s">
        <v>217</v>
      </c>
      <c r="L181" s="11" t="s">
        <v>19</v>
      </c>
      <c r="M181" s="11" t="s">
        <v>145</v>
      </c>
    </row>
    <row r="182" customFormat="false" ht="15" hidden="false" customHeight="false" outlineLevel="0" collapsed="false">
      <c r="A182" s="11" t="s">
        <v>107</v>
      </c>
      <c r="B182" s="11" t="s">
        <v>129</v>
      </c>
      <c r="C182" s="11" t="n">
        <v>17</v>
      </c>
      <c r="D182" s="11" t="s">
        <v>166</v>
      </c>
      <c r="E182" s="11" t="s">
        <v>171</v>
      </c>
      <c r="F182" s="11" t="s">
        <v>80</v>
      </c>
      <c r="G182" s="12" t="n">
        <v>180</v>
      </c>
      <c r="H182" s="12" t="n">
        <f aca="false">SUMPRODUCT(ПОТОКИ!B11:G11,ЧАСОВЫЕ_ПРОФИЛИ!B16:G16,КОЭФФИЦИЕНТЫ_ВЫБОРА!F27:K27)</f>
        <v>0.408</v>
      </c>
      <c r="I182" s="12" t="n">
        <f aca="false">SUMPRODUCT(ПОТОКИ!B11:G11,ЧАСОВЫЕ_ПРОФИЛИ!B16:G16,КОЭФФИЦИЕНТЫ_ВЫБОРА!F27:K27,ПАРАМЕТРЫ!$B$17:$G$17)</f>
        <v>0.4488</v>
      </c>
      <c r="J182" s="12" t="n">
        <f aca="false">I182*G182/1000</f>
        <v>0.080784</v>
      </c>
      <c r="K182" s="11" t="s">
        <v>217</v>
      </c>
      <c r="L182" s="11" t="s">
        <v>19</v>
      </c>
      <c r="M182" s="11" t="s">
        <v>145</v>
      </c>
    </row>
    <row r="183" customFormat="false" ht="15" hidden="false" customHeight="false" outlineLevel="0" collapsed="false">
      <c r="A183" s="11" t="s">
        <v>107</v>
      </c>
      <c r="B183" s="11" t="s">
        <v>129</v>
      </c>
      <c r="C183" s="11" t="n">
        <v>18</v>
      </c>
      <c r="D183" s="11" t="s">
        <v>172</v>
      </c>
      <c r="E183" s="11" t="s">
        <v>173</v>
      </c>
      <c r="F183" s="11" t="s">
        <v>83</v>
      </c>
      <c r="G183" s="12" t="n">
        <v>400</v>
      </c>
      <c r="H183" s="12" t="n">
        <f aca="false">SUMPRODUCT(ПОТОКИ!B11:G11,ЧАСОВЫЕ_ПРОФИЛИ!B16:G16,КОЭФФИЦИЕНТЫ_ВЫБОРА!F28:K28)</f>
        <v>5.156</v>
      </c>
      <c r="I183" s="12" t="n">
        <f aca="false">SUMPRODUCT(ПОТОКИ!B11:G11,ЧАСОВЫЕ_ПРОФИЛИ!B16:G16,КОЭФФИЦИЕНТЫ_ВЫБОРА!F28:K28,ПАРАМЕТРЫ!$B$17:$G$17)</f>
        <v>5.6716</v>
      </c>
      <c r="J183" s="12" t="n">
        <f aca="false">I183*G183/1000</f>
        <v>2.26864</v>
      </c>
      <c r="K183" s="11" t="s">
        <v>217</v>
      </c>
      <c r="L183" s="11" t="s">
        <v>19</v>
      </c>
      <c r="M183" s="11" t="s">
        <v>145</v>
      </c>
    </row>
    <row r="184" customFormat="false" ht="23.85" hidden="false" customHeight="false" outlineLevel="0" collapsed="false">
      <c r="A184" s="11" t="s">
        <v>107</v>
      </c>
      <c r="B184" s="11" t="s">
        <v>129</v>
      </c>
      <c r="C184" s="11" t="n">
        <v>19</v>
      </c>
      <c r="D184" s="11" t="s">
        <v>174</v>
      </c>
      <c r="E184" s="11" t="s">
        <v>175</v>
      </c>
      <c r="F184" s="11" t="s">
        <v>83</v>
      </c>
      <c r="G184" s="12" t="n">
        <v>300</v>
      </c>
      <c r="H184" s="12" t="n">
        <f aca="false">SUMPRODUCT(ПОТОКИ!B11:G11,ЧАСОВЫЕ_ПРОФИЛИ!B16:G16,КОЭФФИЦИЕНТЫ_ВЫБОРА!F29:K29)</f>
        <v>3.806</v>
      </c>
      <c r="I184" s="12" t="n">
        <f aca="false">SUMPRODUCT(ПОТОКИ!B11:G11,ЧАСОВЫЕ_ПРОФИЛИ!B16:G16,КОЭФФИЦИЕНТЫ_ВЫБОРА!F29:K29,ПАРАМЕТРЫ!$B$17:$G$17)</f>
        <v>4.1866</v>
      </c>
      <c r="J184" s="12" t="n">
        <f aca="false">I184*G184/1000</f>
        <v>1.25598</v>
      </c>
      <c r="K184" s="11" t="s">
        <v>217</v>
      </c>
      <c r="L184" s="11" t="s">
        <v>19</v>
      </c>
      <c r="M184" s="11" t="s">
        <v>145</v>
      </c>
    </row>
    <row r="185" customFormat="false" ht="15" hidden="false" customHeight="false" outlineLevel="0" collapsed="false">
      <c r="A185" s="11" t="s">
        <v>107</v>
      </c>
      <c r="B185" s="11" t="s">
        <v>129</v>
      </c>
      <c r="C185" s="11" t="n">
        <v>20</v>
      </c>
      <c r="D185" s="11" t="s">
        <v>174</v>
      </c>
      <c r="E185" s="11" t="s">
        <v>176</v>
      </c>
      <c r="F185" s="11" t="s">
        <v>83</v>
      </c>
      <c r="G185" s="12" t="n">
        <v>360</v>
      </c>
      <c r="H185" s="12" t="n">
        <f aca="false">SUMPRODUCT(ПОТОКИ!B11:G11,ЧАСОВЫЕ_ПРОФИЛИ!B16:G16,КОЭФФИЦИЕНТЫ_ВЫБОРА!F30:K30)</f>
        <v>2.7328</v>
      </c>
      <c r="I185" s="12" t="n">
        <f aca="false">SUMPRODUCT(ПОТОКИ!B11:G11,ЧАСОВЫЕ_ПРОФИЛИ!B16:G16,КОЭФФИЦИЕНТЫ_ВЫБОРА!F30:K30,ПАРАМЕТРЫ!$B$17:$G$17)</f>
        <v>3.00608</v>
      </c>
      <c r="J185" s="12" t="n">
        <f aca="false">I185*G185/1000</f>
        <v>1.0821888</v>
      </c>
      <c r="K185" s="11" t="s">
        <v>217</v>
      </c>
      <c r="L185" s="11" t="s">
        <v>19</v>
      </c>
      <c r="M185" s="11" t="s">
        <v>145</v>
      </c>
    </row>
    <row r="186" customFormat="false" ht="15" hidden="false" customHeight="false" outlineLevel="0" collapsed="false">
      <c r="A186" s="11" t="s">
        <v>107</v>
      </c>
      <c r="B186" s="11" t="s">
        <v>129</v>
      </c>
      <c r="C186" s="11" t="n">
        <v>21</v>
      </c>
      <c r="D186" s="11" t="s">
        <v>174</v>
      </c>
      <c r="E186" s="11" t="s">
        <v>177</v>
      </c>
      <c r="F186" s="11" t="s">
        <v>83</v>
      </c>
      <c r="G186" s="12" t="n">
        <v>350</v>
      </c>
      <c r="H186" s="12" t="n">
        <f aca="false">SUMPRODUCT(ПОТОКИ!B11:G11,ЧАСОВЫЕ_ПРОФИЛИ!B16:G16,КОЭФФИЦИЕНТЫ_ВЫБОРА!F31:K31)</f>
        <v>4.6542</v>
      </c>
      <c r="I186" s="12" t="n">
        <f aca="false">SUMPRODUCT(ПОТОКИ!B11:G11,ЧАСОВЫЕ_ПРОФИЛИ!B16:G16,КОЭФФИЦИЕНТЫ_ВЫБОРА!F31:K31,ПАРАМЕТРЫ!$B$17:$G$17)</f>
        <v>5.11962</v>
      </c>
      <c r="J186" s="12" t="n">
        <f aca="false">I186*G186/1000</f>
        <v>1.791867</v>
      </c>
      <c r="K186" s="11" t="s">
        <v>217</v>
      </c>
      <c r="L186" s="11" t="s">
        <v>19</v>
      </c>
      <c r="M186" s="11" t="s">
        <v>145</v>
      </c>
    </row>
    <row r="187" customFormat="false" ht="15" hidden="false" customHeight="false" outlineLevel="0" collapsed="false">
      <c r="A187" s="11" t="s">
        <v>107</v>
      </c>
      <c r="B187" s="11" t="s">
        <v>129</v>
      </c>
      <c r="C187" s="11" t="n">
        <v>22</v>
      </c>
      <c r="D187" s="11" t="s">
        <v>174</v>
      </c>
      <c r="E187" s="11" t="s">
        <v>178</v>
      </c>
      <c r="F187" s="11" t="s">
        <v>83</v>
      </c>
      <c r="G187" s="12" t="n">
        <v>300</v>
      </c>
      <c r="H187" s="12" t="n">
        <f aca="false">SUMPRODUCT(ПОТОКИ!B11:G11,ЧАСОВЫЕ_ПРОФИЛИ!B16:G16,КОЭФФИЦИЕНТЫ_ВЫБОРА!F32:K32)</f>
        <v>2.171</v>
      </c>
      <c r="I187" s="12" t="n">
        <f aca="false">SUMPRODUCT(ПОТОКИ!B11:G11,ЧАСОВЫЕ_ПРОФИЛИ!B16:G16,КОЭФФИЦИЕНТЫ_ВЫБОРА!F32:K32,ПАРАМЕТРЫ!$B$17:$G$17)</f>
        <v>2.3881</v>
      </c>
      <c r="J187" s="12" t="n">
        <f aca="false">I187*G187/1000</f>
        <v>0.71643</v>
      </c>
      <c r="K187" s="11" t="s">
        <v>217</v>
      </c>
      <c r="L187" s="11" t="s">
        <v>19</v>
      </c>
      <c r="M187" s="11" t="s">
        <v>145</v>
      </c>
    </row>
    <row r="188" customFormat="false" ht="15" hidden="false" customHeight="false" outlineLevel="0" collapsed="false">
      <c r="A188" s="11" t="s">
        <v>107</v>
      </c>
      <c r="B188" s="11" t="s">
        <v>129</v>
      </c>
      <c r="C188" s="11" t="n">
        <v>23</v>
      </c>
      <c r="D188" s="11" t="s">
        <v>86</v>
      </c>
      <c r="E188" s="11" t="s">
        <v>179</v>
      </c>
      <c r="F188" s="11" t="s">
        <v>85</v>
      </c>
      <c r="G188" s="12" t="n">
        <v>150</v>
      </c>
      <c r="H188" s="12" t="n">
        <f aca="false">SUMPRODUCT(ПОТОКИ!B11:G11,ЧАСОВЫЕ_ПРОФИЛИ!B16:G16,КОЭФФИЦИЕНТЫ_ВЫБОРА!F33:K33)</f>
        <v>3.682402</v>
      </c>
      <c r="I188" s="12" t="n">
        <f aca="false">SUMPRODUCT(ПОТОКИ!B11:G11,ЧАСОВЫЕ_ПРОФИЛИ!B16:G16,КОЭФФИЦИЕНТЫ_ВЫБОРА!F33:K33,ПАРАМЕТРЫ!$B$17:$G$17)</f>
        <v>4.0506422</v>
      </c>
      <c r="J188" s="12" t="n">
        <f aca="false">I188*G188/1000</f>
        <v>0.60759633</v>
      </c>
      <c r="K188" s="11" t="s">
        <v>217</v>
      </c>
      <c r="L188" s="11" t="s">
        <v>19</v>
      </c>
      <c r="M188" s="11" t="s">
        <v>147</v>
      </c>
    </row>
    <row r="189" customFormat="false" ht="15" hidden="false" customHeight="false" outlineLevel="0" collapsed="false">
      <c r="A189" s="11" t="s">
        <v>107</v>
      </c>
      <c r="B189" s="11" t="s">
        <v>129</v>
      </c>
      <c r="C189" s="11" t="n">
        <v>24</v>
      </c>
      <c r="D189" s="11" t="s">
        <v>86</v>
      </c>
      <c r="E189" s="11" t="s">
        <v>180</v>
      </c>
      <c r="F189" s="11" t="s">
        <v>85</v>
      </c>
      <c r="G189" s="12" t="n">
        <v>150</v>
      </c>
      <c r="H189" s="12" t="n">
        <f aca="false">SUMPRODUCT(ПОТОКИ!B11:G11,ЧАСОВЫЕ_ПРОФИЛИ!B16:G16,КОЭФФИЦИЕНТЫ_ВЫБОРА!F34:K34)</f>
        <v>1.513076</v>
      </c>
      <c r="I189" s="12" t="n">
        <f aca="false">SUMPRODUCT(ПОТОКИ!B11:G11,ЧАСОВЫЕ_ПРОФИЛИ!B16:G16,КОЭФФИЦИЕНТЫ_ВЫБОРА!F34:K34,ПАРАМЕТРЫ!$B$17:$G$17)</f>
        <v>1.6643836</v>
      </c>
      <c r="J189" s="12" t="n">
        <f aca="false">I189*G189/1000</f>
        <v>0.24965754</v>
      </c>
      <c r="K189" s="11" t="s">
        <v>217</v>
      </c>
      <c r="L189" s="11" t="s">
        <v>19</v>
      </c>
      <c r="M189" s="11" t="s">
        <v>147</v>
      </c>
    </row>
    <row r="190" customFormat="false" ht="15" hidden="false" customHeight="false" outlineLevel="0" collapsed="false">
      <c r="A190" s="11" t="s">
        <v>107</v>
      </c>
      <c r="B190" s="11" t="s">
        <v>129</v>
      </c>
      <c r="C190" s="11" t="n">
        <v>25</v>
      </c>
      <c r="D190" s="11" t="s">
        <v>86</v>
      </c>
      <c r="E190" s="11" t="s">
        <v>181</v>
      </c>
      <c r="F190" s="11" t="s">
        <v>85</v>
      </c>
      <c r="G190" s="12" t="n">
        <v>150</v>
      </c>
      <c r="H190" s="12" t="n">
        <f aca="false">SUMPRODUCT(ПОТОКИ!B11:G11,ЧАСОВЫЕ_ПРОФИЛИ!B16:G16,КОЭФФИЦИЕНТЫ_ВЫБОРА!F35:K35)</f>
        <v>2.369902</v>
      </c>
      <c r="I190" s="12" t="n">
        <f aca="false">SUMPRODUCT(ПОТОКИ!B11:G11,ЧАСОВЫЕ_ПРОФИЛИ!B16:G16,КОЭФФИЦИЕНТЫ_ВЫБОРА!F35:K35,ПАРАМЕТРЫ!$B$17:$G$17)</f>
        <v>2.6068922</v>
      </c>
      <c r="J190" s="12" t="n">
        <f aca="false">I190*G190/1000</f>
        <v>0.39103383</v>
      </c>
      <c r="K190" s="11" t="s">
        <v>217</v>
      </c>
      <c r="L190" s="11" t="s">
        <v>19</v>
      </c>
      <c r="M190" s="11" t="s">
        <v>147</v>
      </c>
    </row>
    <row r="191" customFormat="false" ht="23.85" hidden="false" customHeight="false" outlineLevel="0" collapsed="false">
      <c r="A191" s="11" t="s">
        <v>107</v>
      </c>
      <c r="B191" s="11" t="s">
        <v>129</v>
      </c>
      <c r="C191" s="11" t="n">
        <v>26</v>
      </c>
      <c r="D191" s="11" t="s">
        <v>89</v>
      </c>
      <c r="E191" s="11" t="s">
        <v>182</v>
      </c>
      <c r="F191" s="11" t="s">
        <v>88</v>
      </c>
      <c r="G191" s="12" t="n">
        <v>225</v>
      </c>
      <c r="H191" s="12" t="n">
        <f aca="false">SUMPRODUCT(ПОТОКИ!B11:G11,ЧАСОВЫЕ_ПРОФИЛИ!B16:G16,КОЭФФИЦИЕНТЫ_ВЫБОРА!F36:K36)</f>
        <v>0</v>
      </c>
      <c r="I191" s="12" t="n">
        <f aca="false">SUMPRODUCT(ПОТОКИ!B11:G11,ЧАСОВЫЕ_ПРОФИЛИ!B16:G16,КОЭФФИЦИЕНТЫ_ВЫБОРА!F36:K36,ПАРАМЕТРЫ!$B$17:$G$17)</f>
        <v>0</v>
      </c>
      <c r="J191" s="12" t="n">
        <f aca="false">I191*G191/1000</f>
        <v>0</v>
      </c>
      <c r="K191" s="11" t="s">
        <v>217</v>
      </c>
      <c r="L191" s="11" t="s">
        <v>19</v>
      </c>
      <c r="M191" s="11" t="s">
        <v>145</v>
      </c>
    </row>
    <row r="192" customFormat="false" ht="23.85" hidden="false" customHeight="false" outlineLevel="0" collapsed="false">
      <c r="A192" s="11" t="s">
        <v>107</v>
      </c>
      <c r="B192" s="11" t="s">
        <v>129</v>
      </c>
      <c r="C192" s="11" t="n">
        <v>27</v>
      </c>
      <c r="D192" s="11" t="s">
        <v>89</v>
      </c>
      <c r="E192" s="11" t="s">
        <v>183</v>
      </c>
      <c r="F192" s="11" t="s">
        <v>88</v>
      </c>
      <c r="G192" s="12" t="n">
        <v>265</v>
      </c>
      <c r="H192" s="12" t="n">
        <f aca="false">SUMPRODUCT(ПОТОКИ!B11:G11,ЧАСОВЫЕ_ПРОФИЛИ!B16:G16,КОЭФФИЦИЕНТЫ_ВЫБОРА!F37:K37)</f>
        <v>0</v>
      </c>
      <c r="I192" s="12" t="n">
        <f aca="false">SUMPRODUCT(ПОТОКИ!B11:G11,ЧАСОВЫЕ_ПРОФИЛИ!B16:G16,КОЭФФИЦИЕНТЫ_ВЫБОРА!F37:K37,ПАРАМЕТРЫ!$B$17:$G$17)</f>
        <v>0</v>
      </c>
      <c r="J192" s="12" t="n">
        <f aca="false">I192*G192/1000</f>
        <v>0</v>
      </c>
      <c r="K192" s="11" t="s">
        <v>217</v>
      </c>
      <c r="L192" s="11" t="s">
        <v>19</v>
      </c>
      <c r="M192" s="11" t="s">
        <v>145</v>
      </c>
    </row>
    <row r="193" customFormat="false" ht="23.85" hidden="false" customHeight="false" outlineLevel="0" collapsed="false">
      <c r="A193" s="11" t="s">
        <v>107</v>
      </c>
      <c r="B193" s="11" t="s">
        <v>129</v>
      </c>
      <c r="C193" s="11" t="n">
        <v>28</v>
      </c>
      <c r="D193" s="11" t="s">
        <v>89</v>
      </c>
      <c r="E193" s="11" t="s">
        <v>184</v>
      </c>
      <c r="F193" s="11" t="s">
        <v>88</v>
      </c>
      <c r="G193" s="12" t="n">
        <v>355</v>
      </c>
      <c r="H193" s="12" t="n">
        <f aca="false">SUMPRODUCT(ПОТОКИ!B11:G11,ЧАСОВЫЕ_ПРОФИЛИ!B16:G16,КОЭФФИЦИЕНТЫ_ВЫБОРА!F38:K38)</f>
        <v>0</v>
      </c>
      <c r="I193" s="12" t="n">
        <f aca="false">SUMPRODUCT(ПОТОКИ!B11:G11,ЧАСОВЫЕ_ПРОФИЛИ!B16:G16,КОЭФФИЦИЕНТЫ_ВЫБОРА!F38:K38,ПАРАМЕТРЫ!$B$17:$G$17)</f>
        <v>0</v>
      </c>
      <c r="J193" s="12" t="n">
        <f aca="false">I193*G193/1000</f>
        <v>0</v>
      </c>
      <c r="K193" s="11" t="s">
        <v>217</v>
      </c>
      <c r="L193" s="11" t="s">
        <v>19</v>
      </c>
      <c r="M193" s="11" t="s">
        <v>145</v>
      </c>
    </row>
    <row r="194" customFormat="false" ht="15" hidden="false" customHeight="false" outlineLevel="0" collapsed="false">
      <c r="A194" s="11" t="s">
        <v>107</v>
      </c>
      <c r="B194" s="11" t="s">
        <v>129</v>
      </c>
      <c r="C194" s="11" t="n">
        <v>29</v>
      </c>
      <c r="D194" s="11" t="s">
        <v>92</v>
      </c>
      <c r="E194" s="11" t="s">
        <v>185</v>
      </c>
      <c r="F194" s="11" t="s">
        <v>91</v>
      </c>
      <c r="G194" s="12" t="n">
        <v>150</v>
      </c>
      <c r="H194" s="12" t="n">
        <f aca="false">SUMPRODUCT(ПОТОКИ!B11:G11,ЧАСОВЫЕ_ПРОФИЛИ!B16:G16,КОЭФФИЦИЕНТЫ_ВЫБОРА!F39:K39)</f>
        <v>0.2976</v>
      </c>
      <c r="I194" s="12" t="n">
        <f aca="false">SUMPRODUCT(ПОТОКИ!B11:G11,ЧАСОВЫЕ_ПРОФИЛИ!B16:G16,КОЭФФИЦИЕНТЫ_ВЫБОРА!F39:K39,ПАРАМЕТРЫ!$B$17:$G$17)</f>
        <v>0.32736</v>
      </c>
      <c r="J194" s="12" t="n">
        <f aca="false">I194*G194/1000</f>
        <v>0.049104</v>
      </c>
      <c r="K194" s="11" t="s">
        <v>217</v>
      </c>
      <c r="L194" s="11" t="s">
        <v>19</v>
      </c>
      <c r="M194" s="11" t="s">
        <v>145</v>
      </c>
    </row>
    <row r="195" customFormat="false" ht="15" hidden="false" customHeight="false" outlineLevel="0" collapsed="false">
      <c r="A195" s="11" t="s">
        <v>107</v>
      </c>
      <c r="B195" s="11" t="s">
        <v>129</v>
      </c>
      <c r="C195" s="11" t="n">
        <v>30</v>
      </c>
      <c r="D195" s="11" t="s">
        <v>92</v>
      </c>
      <c r="E195" s="11" t="s">
        <v>186</v>
      </c>
      <c r="F195" s="11" t="s">
        <v>91</v>
      </c>
      <c r="G195" s="12" t="n">
        <v>120</v>
      </c>
      <c r="H195" s="12" t="n">
        <f aca="false">SUMPRODUCT(ПОТОКИ!B11:G11,ЧАСОВЫЕ_ПРОФИЛИ!B16:G16,КОЭФФИЦИЕНТЫ_ВЫБОРА!F40:K40)</f>
        <v>0.2976</v>
      </c>
      <c r="I195" s="12" t="n">
        <f aca="false">SUMPRODUCT(ПОТОКИ!B11:G11,ЧАСОВЫЕ_ПРОФИЛИ!B16:G16,КОЭФФИЦИЕНТЫ_ВЫБОРА!F40:K40,ПАРАМЕТРЫ!$B$17:$G$17)</f>
        <v>0.32736</v>
      </c>
      <c r="J195" s="12" t="n">
        <f aca="false">I195*G195/1000</f>
        <v>0.0392832</v>
      </c>
      <c r="K195" s="11" t="s">
        <v>217</v>
      </c>
      <c r="L195" s="11" t="s">
        <v>19</v>
      </c>
      <c r="M195" s="11" t="s">
        <v>145</v>
      </c>
    </row>
    <row r="196" customFormat="false" ht="15" hidden="false" customHeight="false" outlineLevel="0" collapsed="false">
      <c r="A196" s="11" t="s">
        <v>107</v>
      </c>
      <c r="B196" s="11" t="s">
        <v>129</v>
      </c>
      <c r="C196" s="11" t="n">
        <v>31</v>
      </c>
      <c r="D196" s="11" t="s">
        <v>92</v>
      </c>
      <c r="E196" s="11" t="s">
        <v>187</v>
      </c>
      <c r="F196" s="11" t="s">
        <v>91</v>
      </c>
      <c r="G196" s="12" t="n">
        <v>60</v>
      </c>
      <c r="H196" s="12" t="n">
        <f aca="false">SUMPRODUCT(ПОТОКИ!B11:G11,ЧАСОВЫЕ_ПРОФИЛИ!B16:G16,КОЭФФИЦИЕНТЫ_ВЫБОРА!F41:K41)</f>
        <v>0.2688</v>
      </c>
      <c r="I196" s="12" t="n">
        <f aca="false">SUMPRODUCT(ПОТОКИ!B11:G11,ЧАСОВЫЕ_ПРОФИЛИ!B16:G16,КОЭФФИЦИЕНТЫ_ВЫБОРА!F41:K41,ПАРАМЕТРЫ!$B$17:$G$17)</f>
        <v>0.29568</v>
      </c>
      <c r="J196" s="12" t="n">
        <f aca="false">I196*G196/1000</f>
        <v>0.0177408</v>
      </c>
      <c r="K196" s="11" t="s">
        <v>217</v>
      </c>
      <c r="L196" s="11" t="s">
        <v>19</v>
      </c>
      <c r="M196" s="11" t="s">
        <v>145</v>
      </c>
    </row>
    <row r="197" customFormat="false" ht="15" hidden="false" customHeight="false" outlineLevel="0" collapsed="false">
      <c r="A197" s="11" t="s">
        <v>107</v>
      </c>
      <c r="B197" s="11" t="s">
        <v>130</v>
      </c>
      <c r="C197" s="11" t="n">
        <v>1</v>
      </c>
      <c r="D197" s="11" t="s">
        <v>74</v>
      </c>
      <c r="E197" s="11" t="s">
        <v>153</v>
      </c>
      <c r="F197" s="11" t="s">
        <v>73</v>
      </c>
      <c r="G197" s="12" t="n">
        <v>450</v>
      </c>
      <c r="H197" s="12" t="n">
        <f aca="false">SUMPRODUCT(ПОТОКИ!B11:G11,ЧАСОВЫЕ_ПРОФИЛИ!B17:G17,КОЭФФИЦИЕНТЫ_ВЫБОРА!F11:K11)</f>
        <v>0.651</v>
      </c>
      <c r="I197" s="12" t="n">
        <f aca="false">SUMPRODUCT(ПОТОКИ!B11:G11,ЧАСОВЫЕ_ПРОФИЛИ!B17:G17,КОЭФФИЦИЕНТЫ_ВЫБОРА!F11:K11,ПАРАМЕТРЫ!$B$17:$G$17)</f>
        <v>0.7161</v>
      </c>
      <c r="J197" s="12" t="n">
        <f aca="false">I197*G197/1000</f>
        <v>0.322245</v>
      </c>
      <c r="K197" s="11" t="s">
        <v>217</v>
      </c>
      <c r="L197" s="11" t="s">
        <v>19</v>
      </c>
      <c r="M197" s="11" t="s">
        <v>145</v>
      </c>
    </row>
    <row r="198" customFormat="false" ht="15" hidden="false" customHeight="false" outlineLevel="0" collapsed="false">
      <c r="A198" s="11" t="s">
        <v>107</v>
      </c>
      <c r="B198" s="11" t="s">
        <v>130</v>
      </c>
      <c r="C198" s="11" t="n">
        <v>2</v>
      </c>
      <c r="D198" s="11" t="s">
        <v>74</v>
      </c>
      <c r="E198" s="11" t="s">
        <v>154</v>
      </c>
      <c r="F198" s="11" t="s">
        <v>73</v>
      </c>
      <c r="G198" s="12" t="n">
        <v>480</v>
      </c>
      <c r="H198" s="12" t="n">
        <f aca="false">SUMPRODUCT(ПОТОКИ!B11:G11,ЧАСОВЫЕ_ПРОФИЛИ!B17:G17,КОЭФФИЦИЕНТЫ_ВЫБОРА!F12:K12)</f>
        <v>0.713</v>
      </c>
      <c r="I198" s="12" t="n">
        <f aca="false">SUMPRODUCT(ПОТОКИ!B11:G11,ЧАСОВЫЕ_ПРОФИЛИ!B17:G17,КОЭФФИЦИЕНТЫ_ВЫБОРА!F12:K12,ПАРАМЕТРЫ!$B$17:$G$17)</f>
        <v>0.7843</v>
      </c>
      <c r="J198" s="12" t="n">
        <f aca="false">I198*G198/1000</f>
        <v>0.376464</v>
      </c>
      <c r="K198" s="11" t="s">
        <v>217</v>
      </c>
      <c r="L198" s="11" t="s">
        <v>19</v>
      </c>
      <c r="M198" s="11" t="s">
        <v>145</v>
      </c>
    </row>
    <row r="199" customFormat="false" ht="15" hidden="false" customHeight="false" outlineLevel="0" collapsed="false">
      <c r="A199" s="11" t="s">
        <v>107</v>
      </c>
      <c r="B199" s="11" t="s">
        <v>130</v>
      </c>
      <c r="C199" s="11" t="n">
        <v>3</v>
      </c>
      <c r="D199" s="11" t="s">
        <v>74</v>
      </c>
      <c r="E199" s="11" t="s">
        <v>155</v>
      </c>
      <c r="F199" s="11" t="s">
        <v>73</v>
      </c>
      <c r="G199" s="12" t="n">
        <v>500</v>
      </c>
      <c r="H199" s="12" t="n">
        <f aca="false">SUMPRODUCT(ПОТОКИ!B11:G11,ЧАСОВЫЕ_ПРОФИЛИ!B17:G17,КОЭФФИЦИЕНТЫ_ВЫБОРА!F13:K13)</f>
        <v>1.332</v>
      </c>
      <c r="I199" s="12" t="n">
        <f aca="false">SUMPRODUCT(ПОТОКИ!B11:G11,ЧАСОВЫЕ_ПРОФИЛИ!B17:G17,КОЭФФИЦИЕНТЫ_ВЫБОРА!F13:K13,ПАРАМЕТРЫ!$B$17:$G$17)</f>
        <v>1.4652</v>
      </c>
      <c r="J199" s="12" t="n">
        <f aca="false">I199*G199/1000</f>
        <v>0.7326</v>
      </c>
      <c r="K199" s="11" t="s">
        <v>217</v>
      </c>
      <c r="L199" s="11" t="s">
        <v>19</v>
      </c>
      <c r="M199" s="11" t="s">
        <v>145</v>
      </c>
    </row>
    <row r="200" customFormat="false" ht="15" hidden="false" customHeight="false" outlineLevel="0" collapsed="false">
      <c r="A200" s="11" t="s">
        <v>107</v>
      </c>
      <c r="B200" s="11" t="s">
        <v>130</v>
      </c>
      <c r="C200" s="11" t="n">
        <v>4</v>
      </c>
      <c r="D200" s="11" t="s">
        <v>74</v>
      </c>
      <c r="E200" s="11" t="s">
        <v>156</v>
      </c>
      <c r="F200" s="11" t="s">
        <v>73</v>
      </c>
      <c r="G200" s="12" t="n">
        <v>500</v>
      </c>
      <c r="H200" s="12" t="n">
        <f aca="false">SUMPRODUCT(ПОТОКИ!B11:G11,ЧАСОВЫЕ_ПРОФИЛИ!B17:G17,КОЭФФИЦИЕНТЫ_ВЫБОРА!F14:K14)</f>
        <v>1.394</v>
      </c>
      <c r="I200" s="12" t="n">
        <f aca="false">SUMPRODUCT(ПОТОКИ!B11:G11,ЧАСОВЫЕ_ПРОФИЛИ!B17:G17,КОЭФФИЦИЕНТЫ_ВЫБОРА!F14:K14,ПАРАМЕТРЫ!$B$17:$G$17)</f>
        <v>1.5334</v>
      </c>
      <c r="J200" s="12" t="n">
        <f aca="false">I200*G200/1000</f>
        <v>0.7667</v>
      </c>
      <c r="K200" s="11" t="s">
        <v>217</v>
      </c>
      <c r="L200" s="11" t="s">
        <v>19</v>
      </c>
      <c r="M200" s="11" t="s">
        <v>145</v>
      </c>
    </row>
    <row r="201" customFormat="false" ht="15" hidden="false" customHeight="false" outlineLevel="0" collapsed="false">
      <c r="A201" s="11" t="s">
        <v>107</v>
      </c>
      <c r="B201" s="11" t="s">
        <v>130</v>
      </c>
      <c r="C201" s="11" t="n">
        <v>5</v>
      </c>
      <c r="D201" s="11" t="s">
        <v>78</v>
      </c>
      <c r="E201" s="11" t="s">
        <v>157</v>
      </c>
      <c r="F201" s="11" t="s">
        <v>77</v>
      </c>
      <c r="G201" s="12" t="n">
        <v>100</v>
      </c>
      <c r="H201" s="12" t="n">
        <f aca="false">SUMPRODUCT(ПОТОКИ!B11:G11,ЧАСОВЫЕ_ПРОФИЛИ!B17:G17,КОЭФФИЦИЕНТЫ_ВЫБОРА!F15:K15)</f>
        <v>0.741</v>
      </c>
      <c r="I201" s="12" t="n">
        <f aca="false">SUMPRODUCT(ПОТОКИ!B11:G11,ЧАСОВЫЕ_ПРОФИЛИ!B17:G17,КОЭФФИЦИЕНТЫ_ВЫБОРА!F15:K15,ПАРАМЕТРЫ!$B$17:$G$17)</f>
        <v>0.8151</v>
      </c>
      <c r="J201" s="12" t="n">
        <f aca="false">I201*G201/1000</f>
        <v>0.08151</v>
      </c>
      <c r="K201" s="11" t="s">
        <v>217</v>
      </c>
      <c r="L201" s="11" t="s">
        <v>19</v>
      </c>
      <c r="M201" s="11" t="s">
        <v>147</v>
      </c>
    </row>
    <row r="202" customFormat="false" ht="15" hidden="false" customHeight="false" outlineLevel="0" collapsed="false">
      <c r="A202" s="11" t="s">
        <v>107</v>
      </c>
      <c r="B202" s="11" t="s">
        <v>130</v>
      </c>
      <c r="C202" s="11" t="n">
        <v>6</v>
      </c>
      <c r="D202" s="11" t="s">
        <v>78</v>
      </c>
      <c r="E202" s="11" t="s">
        <v>158</v>
      </c>
      <c r="F202" s="11" t="s">
        <v>77</v>
      </c>
      <c r="G202" s="12" t="n">
        <v>100</v>
      </c>
      <c r="H202" s="12" t="n">
        <f aca="false">SUMPRODUCT(ПОТОКИ!B11:G11,ЧАСОВЫЕ_ПРОФИЛИ!B17:G17,КОЭФФИЦИЕНТЫ_ВЫБОРА!F16:K16)</f>
        <v>0.639</v>
      </c>
      <c r="I202" s="12" t="n">
        <f aca="false">SUMPRODUCT(ПОТОКИ!B11:G11,ЧАСОВЫЕ_ПРОФИЛИ!B17:G17,КОЭФФИЦИЕНТЫ_ВЫБОРА!F16:K16,ПАРАМЕТРЫ!$B$17:$G$17)</f>
        <v>0.7029</v>
      </c>
      <c r="J202" s="12" t="n">
        <f aca="false">I202*G202/1000</f>
        <v>0.07029</v>
      </c>
      <c r="K202" s="11" t="s">
        <v>217</v>
      </c>
      <c r="L202" s="11" t="s">
        <v>19</v>
      </c>
      <c r="M202" s="11" t="s">
        <v>147</v>
      </c>
    </row>
    <row r="203" customFormat="false" ht="15" hidden="false" customHeight="false" outlineLevel="0" collapsed="false">
      <c r="A203" s="11" t="s">
        <v>107</v>
      </c>
      <c r="B203" s="11" t="s">
        <v>130</v>
      </c>
      <c r="C203" s="11" t="n">
        <v>7</v>
      </c>
      <c r="D203" s="11" t="s">
        <v>78</v>
      </c>
      <c r="E203" s="11" t="s">
        <v>159</v>
      </c>
      <c r="F203" s="11" t="s">
        <v>77</v>
      </c>
      <c r="G203" s="12" t="n">
        <v>350</v>
      </c>
      <c r="H203" s="12" t="n">
        <f aca="false">SUMPRODUCT(ПОТОКИ!B11:G11,ЧАСОВЫЕ_ПРОФИЛИ!B17:G17,КОЭФФИЦИЕНТЫ_ВЫБОРА!F17:K17)</f>
        <v>0.5835</v>
      </c>
      <c r="I203" s="12" t="n">
        <f aca="false">SUMPRODUCT(ПОТОКИ!B11:G11,ЧАСОВЫЕ_ПРОФИЛИ!B17:G17,КОЭФФИЦИЕНТЫ_ВЫБОРА!F17:K17,ПАРАМЕТРЫ!$B$17:$G$17)</f>
        <v>0.64185</v>
      </c>
      <c r="J203" s="12" t="n">
        <f aca="false">I203*G203/1000</f>
        <v>0.2246475</v>
      </c>
      <c r="K203" s="11" t="s">
        <v>217</v>
      </c>
      <c r="L203" s="11" t="s">
        <v>19</v>
      </c>
      <c r="M203" s="11" t="s">
        <v>147</v>
      </c>
    </row>
    <row r="204" customFormat="false" ht="15" hidden="false" customHeight="false" outlineLevel="0" collapsed="false">
      <c r="A204" s="11" t="s">
        <v>107</v>
      </c>
      <c r="B204" s="11" t="s">
        <v>130</v>
      </c>
      <c r="C204" s="11" t="n">
        <v>8</v>
      </c>
      <c r="D204" s="11" t="s">
        <v>78</v>
      </c>
      <c r="E204" s="11" t="s">
        <v>160</v>
      </c>
      <c r="F204" s="11" t="s">
        <v>77</v>
      </c>
      <c r="G204" s="12" t="n">
        <v>85</v>
      </c>
      <c r="H204" s="12" t="n">
        <f aca="false">SUMPRODUCT(ПОТОКИ!B11:G11,ЧАСОВЫЕ_ПРОФИЛИ!B17:G17,КОЭФФИЦИЕНТЫ_ВЫБОРА!F18:K18)</f>
        <v>0.3705</v>
      </c>
      <c r="I204" s="12" t="n">
        <f aca="false">SUMPRODUCT(ПОТОКИ!B11:G11,ЧАСОВЫЕ_ПРОФИЛИ!B17:G17,КОЭФФИЦИЕНТЫ_ВЫБОРА!F18:K18,ПАРАМЕТРЫ!$B$17:$G$17)</f>
        <v>0.40755</v>
      </c>
      <c r="J204" s="12" t="n">
        <f aca="false">I204*G204/1000</f>
        <v>0.03464175</v>
      </c>
      <c r="K204" s="11" t="s">
        <v>217</v>
      </c>
      <c r="L204" s="11" t="s">
        <v>19</v>
      </c>
      <c r="M204" s="11" t="s">
        <v>147</v>
      </c>
    </row>
    <row r="205" customFormat="false" ht="15" hidden="false" customHeight="false" outlineLevel="0" collapsed="false">
      <c r="A205" s="11" t="s">
        <v>107</v>
      </c>
      <c r="B205" s="11" t="s">
        <v>130</v>
      </c>
      <c r="C205" s="11" t="n">
        <v>9</v>
      </c>
      <c r="D205" s="11" t="s">
        <v>161</v>
      </c>
      <c r="E205" s="11" t="s">
        <v>162</v>
      </c>
      <c r="F205" s="11" t="s">
        <v>80</v>
      </c>
      <c r="G205" s="12" t="n">
        <v>300</v>
      </c>
      <c r="H205" s="12" t="n">
        <f aca="false">SUMPRODUCT(ПОТОКИ!B11:G11,ЧАСОВЫЕ_ПРОФИЛИ!B17:G17,КОЭФФИЦИЕНТЫ_ВЫБОРА!F19:K19)</f>
        <v>0.635</v>
      </c>
      <c r="I205" s="12" t="n">
        <f aca="false">SUMPRODUCT(ПОТОКИ!B11:G11,ЧАСОВЫЕ_ПРОФИЛИ!B17:G17,КОЭФФИЦИЕНТЫ_ВЫБОРА!F19:K19,ПАРАМЕТРЫ!$B$17:$G$17)</f>
        <v>0.6985</v>
      </c>
      <c r="J205" s="12" t="n">
        <f aca="false">I205*G205/1000</f>
        <v>0.20955</v>
      </c>
      <c r="K205" s="11" t="s">
        <v>217</v>
      </c>
      <c r="L205" s="11" t="s">
        <v>19</v>
      </c>
      <c r="M205" s="11" t="s">
        <v>145</v>
      </c>
    </row>
    <row r="206" customFormat="false" ht="15" hidden="false" customHeight="false" outlineLevel="0" collapsed="false">
      <c r="A206" s="11" t="s">
        <v>107</v>
      </c>
      <c r="B206" s="11" t="s">
        <v>130</v>
      </c>
      <c r="C206" s="11" t="n">
        <v>10</v>
      </c>
      <c r="D206" s="11" t="s">
        <v>161</v>
      </c>
      <c r="E206" s="11" t="s">
        <v>163</v>
      </c>
      <c r="F206" s="11" t="s">
        <v>80</v>
      </c>
      <c r="G206" s="12" t="n">
        <v>280</v>
      </c>
      <c r="H206" s="12" t="n">
        <f aca="false">SUMPRODUCT(ПОТОКИ!B11:G11,ЧАСОВЫЕ_ПРОФИЛИ!B17:G17,КОЭФФИЦИЕНТЫ_ВЫБОРА!F20:K20)</f>
        <v>1.03</v>
      </c>
      <c r="I206" s="12" t="n">
        <f aca="false">SUMPRODUCT(ПОТОКИ!B11:G11,ЧАСОВЫЕ_ПРОФИЛИ!B17:G17,КОЭФФИЦИЕНТЫ_ВЫБОРА!F20:K20,ПАРАМЕТРЫ!$B$17:$G$17)</f>
        <v>1.133</v>
      </c>
      <c r="J206" s="12" t="n">
        <f aca="false">I206*G206/1000</f>
        <v>0.31724</v>
      </c>
      <c r="K206" s="11" t="s">
        <v>217</v>
      </c>
      <c r="L206" s="11" t="s">
        <v>19</v>
      </c>
      <c r="M206" s="11" t="s">
        <v>145</v>
      </c>
    </row>
    <row r="207" customFormat="false" ht="15" hidden="false" customHeight="false" outlineLevel="0" collapsed="false">
      <c r="A207" s="11" t="s">
        <v>107</v>
      </c>
      <c r="B207" s="11" t="s">
        <v>130</v>
      </c>
      <c r="C207" s="11" t="n">
        <v>11</v>
      </c>
      <c r="D207" s="11" t="s">
        <v>161</v>
      </c>
      <c r="E207" s="11" t="s">
        <v>164</v>
      </c>
      <c r="F207" s="11" t="s">
        <v>80</v>
      </c>
      <c r="G207" s="12" t="n">
        <v>270</v>
      </c>
      <c r="H207" s="12" t="n">
        <f aca="false">SUMPRODUCT(ПОТОКИ!B11:G11,ЧАСОВЫЕ_ПРОФИЛИ!B17:G17,КОЭФФИЦИЕНТЫ_ВЫБОРА!F21:K21)</f>
        <v>1.9385</v>
      </c>
      <c r="I207" s="12" t="n">
        <f aca="false">SUMPRODUCT(ПОТОКИ!B11:G11,ЧАСОВЫЕ_ПРОФИЛИ!B17:G17,КОЭФФИЦИЕНТЫ_ВЫБОРА!F21:K21,ПАРАМЕТРЫ!$B$17:$G$17)</f>
        <v>2.13235</v>
      </c>
      <c r="J207" s="12" t="n">
        <f aca="false">I207*G207/1000</f>
        <v>0.5757345</v>
      </c>
      <c r="K207" s="11" t="s">
        <v>217</v>
      </c>
      <c r="L207" s="11" t="s">
        <v>19</v>
      </c>
      <c r="M207" s="11" t="s">
        <v>145</v>
      </c>
    </row>
    <row r="208" customFormat="false" ht="15" hidden="false" customHeight="false" outlineLevel="0" collapsed="false">
      <c r="A208" s="11" t="s">
        <v>107</v>
      </c>
      <c r="B208" s="11" t="s">
        <v>130</v>
      </c>
      <c r="C208" s="11" t="n">
        <v>12</v>
      </c>
      <c r="D208" s="11" t="s">
        <v>161</v>
      </c>
      <c r="E208" s="11" t="s">
        <v>165</v>
      </c>
      <c r="F208" s="11" t="s">
        <v>80</v>
      </c>
      <c r="G208" s="12" t="n">
        <v>240</v>
      </c>
      <c r="H208" s="12" t="n">
        <f aca="false">SUMPRODUCT(ПОТОКИ!B11:G11,ЧАСОВЫЕ_ПРОФИЛИ!B17:G17,КОЭФФИЦИЕНТЫ_ВЫБОРА!F22:K22)</f>
        <v>1.3065</v>
      </c>
      <c r="I208" s="12" t="n">
        <f aca="false">SUMPRODUCT(ПОТОКИ!B11:G11,ЧАСОВЫЕ_ПРОФИЛИ!B17:G17,КОЭФФИЦИЕНТЫ_ВЫБОРА!F22:K22,ПАРАМЕТРЫ!$B$17:$G$17)</f>
        <v>1.43715</v>
      </c>
      <c r="J208" s="12" t="n">
        <f aca="false">I208*G208/1000</f>
        <v>0.344916</v>
      </c>
      <c r="K208" s="11" t="s">
        <v>217</v>
      </c>
      <c r="L208" s="11" t="s">
        <v>19</v>
      </c>
      <c r="M208" s="11" t="s">
        <v>145</v>
      </c>
    </row>
    <row r="209" customFormat="false" ht="15" hidden="false" customHeight="false" outlineLevel="0" collapsed="false">
      <c r="A209" s="11" t="s">
        <v>107</v>
      </c>
      <c r="B209" s="11" t="s">
        <v>130</v>
      </c>
      <c r="C209" s="11" t="n">
        <v>13</v>
      </c>
      <c r="D209" s="11" t="s">
        <v>166</v>
      </c>
      <c r="E209" s="11" t="s">
        <v>167</v>
      </c>
      <c r="F209" s="11" t="s">
        <v>80</v>
      </c>
      <c r="G209" s="12" t="n">
        <v>130</v>
      </c>
      <c r="H209" s="12" t="n">
        <f aca="false">SUMPRODUCT(ПОТОКИ!B11:G11,ЧАСОВЫЕ_ПРОФИЛИ!B17:G17,КОЭФФИЦИЕНТЫ_ВЫБОРА!F23:K23)</f>
        <v>0.3</v>
      </c>
      <c r="I209" s="12" t="n">
        <f aca="false">SUMPRODUCT(ПОТОКИ!B11:G11,ЧАСОВЫЕ_ПРОФИЛИ!B17:G17,КОЭФФИЦИЕНТЫ_ВЫБОРА!F23:K23,ПАРАМЕТРЫ!$B$17:$G$17)</f>
        <v>0.33</v>
      </c>
      <c r="J209" s="12" t="n">
        <f aca="false">I209*G209/1000</f>
        <v>0.0429</v>
      </c>
      <c r="K209" s="11" t="s">
        <v>217</v>
      </c>
      <c r="L209" s="11" t="s">
        <v>19</v>
      </c>
      <c r="M209" s="11" t="s">
        <v>145</v>
      </c>
    </row>
    <row r="210" customFormat="false" ht="15" hidden="false" customHeight="false" outlineLevel="0" collapsed="false">
      <c r="A210" s="11" t="s">
        <v>107</v>
      </c>
      <c r="B210" s="11" t="s">
        <v>130</v>
      </c>
      <c r="C210" s="11" t="n">
        <v>14</v>
      </c>
      <c r="D210" s="11" t="s">
        <v>166</v>
      </c>
      <c r="E210" s="11" t="s">
        <v>168</v>
      </c>
      <c r="F210" s="11" t="s">
        <v>80</v>
      </c>
      <c r="G210" s="12" t="n">
        <v>250</v>
      </c>
      <c r="H210" s="12" t="n">
        <f aca="false">SUMPRODUCT(ПОТОКИ!B11:G11,ЧАСОВЫЕ_ПРОФИЛИ!B17:G17,КОЭФФИЦИЕНТЫ_ВЫБОРА!F24:K24)</f>
        <v>0.446</v>
      </c>
      <c r="I210" s="12" t="n">
        <f aca="false">SUMPRODUCT(ПОТОКИ!B11:G11,ЧАСОВЫЕ_ПРОФИЛИ!B17:G17,КОЭФФИЦИЕНТЫ_ВЫБОРА!F24:K24,ПАРАМЕТРЫ!$B$17:$G$17)</f>
        <v>0.4906</v>
      </c>
      <c r="J210" s="12" t="n">
        <f aca="false">I210*G210/1000</f>
        <v>0.12265</v>
      </c>
      <c r="K210" s="11" t="s">
        <v>217</v>
      </c>
      <c r="L210" s="11" t="s">
        <v>19</v>
      </c>
      <c r="M210" s="11" t="s">
        <v>145</v>
      </c>
    </row>
    <row r="211" customFormat="false" ht="15" hidden="false" customHeight="false" outlineLevel="0" collapsed="false">
      <c r="A211" s="11" t="s">
        <v>107</v>
      </c>
      <c r="B211" s="11" t="s">
        <v>130</v>
      </c>
      <c r="C211" s="11" t="n">
        <v>15</v>
      </c>
      <c r="D211" s="11" t="s">
        <v>166</v>
      </c>
      <c r="E211" s="11" t="s">
        <v>169</v>
      </c>
      <c r="F211" s="11" t="s">
        <v>80</v>
      </c>
      <c r="G211" s="12" t="n">
        <v>120</v>
      </c>
      <c r="H211" s="12" t="n">
        <f aca="false">SUMPRODUCT(ПОТОКИ!B11:G11,ЧАСОВЫЕ_ПРОФИЛИ!B17:G17,КОЭФФИЦИЕНТЫ_ВЫБОРА!F25:K25)</f>
        <v>0.236</v>
      </c>
      <c r="I211" s="12" t="n">
        <f aca="false">SUMPRODUCT(ПОТОКИ!B11:G11,ЧАСОВЫЕ_ПРОФИЛИ!B17:G17,КОЭФФИЦИЕНТЫ_ВЫБОРА!F25:K25,ПАРАМЕТРЫ!$B$17:$G$17)</f>
        <v>0.2596</v>
      </c>
      <c r="J211" s="12" t="n">
        <f aca="false">I211*G211/1000</f>
        <v>0.031152</v>
      </c>
      <c r="K211" s="11" t="s">
        <v>217</v>
      </c>
      <c r="L211" s="11" t="s">
        <v>19</v>
      </c>
      <c r="M211" s="11" t="s">
        <v>145</v>
      </c>
    </row>
    <row r="212" customFormat="false" ht="15" hidden="false" customHeight="false" outlineLevel="0" collapsed="false">
      <c r="A212" s="11" t="s">
        <v>107</v>
      </c>
      <c r="B212" s="11" t="s">
        <v>130</v>
      </c>
      <c r="C212" s="11" t="n">
        <v>16</v>
      </c>
      <c r="D212" s="11" t="s">
        <v>166</v>
      </c>
      <c r="E212" s="11" t="s">
        <v>170</v>
      </c>
      <c r="F212" s="11" t="s">
        <v>80</v>
      </c>
      <c r="G212" s="12" t="n">
        <v>180</v>
      </c>
      <c r="H212" s="12" t="n">
        <f aca="false">SUMPRODUCT(ПОТОКИ!B11:G11,ЧАСОВЫЕ_ПРОФИЛИ!B17:G17,КОЭФФИЦИЕНТЫ_ВЫБОРА!F26:K26)</f>
        <v>0.618</v>
      </c>
      <c r="I212" s="12" t="n">
        <f aca="false">SUMPRODUCT(ПОТОКИ!B11:G11,ЧАСОВЫЕ_ПРОФИЛИ!B17:G17,КОЭФФИЦИЕНТЫ_ВЫБОРА!F26:K26,ПАРАМЕТРЫ!$B$17:$G$17)</f>
        <v>0.6798</v>
      </c>
      <c r="J212" s="12" t="n">
        <f aca="false">I212*G212/1000</f>
        <v>0.122364</v>
      </c>
      <c r="K212" s="11" t="s">
        <v>217</v>
      </c>
      <c r="L212" s="11" t="s">
        <v>19</v>
      </c>
      <c r="M212" s="11" t="s">
        <v>145</v>
      </c>
    </row>
    <row r="213" customFormat="false" ht="15" hidden="false" customHeight="false" outlineLevel="0" collapsed="false">
      <c r="A213" s="11" t="s">
        <v>107</v>
      </c>
      <c r="B213" s="11" t="s">
        <v>130</v>
      </c>
      <c r="C213" s="11" t="n">
        <v>17</v>
      </c>
      <c r="D213" s="11" t="s">
        <v>166</v>
      </c>
      <c r="E213" s="11" t="s">
        <v>171</v>
      </c>
      <c r="F213" s="11" t="s">
        <v>80</v>
      </c>
      <c r="G213" s="12" t="n">
        <v>180</v>
      </c>
      <c r="H213" s="12" t="n">
        <f aca="false">SUMPRODUCT(ПОТОКИ!B11:G11,ЧАСОВЫЕ_ПРОФИЛИ!B17:G17,КОЭФФИЦИЕНТЫ_ВЫБОРА!F27:K27)</f>
        <v>0.44</v>
      </c>
      <c r="I213" s="12" t="n">
        <f aca="false">SUMPRODUCT(ПОТОКИ!B11:G11,ЧАСОВЫЕ_ПРОФИЛИ!B17:G17,КОЭФФИЦИЕНТЫ_ВЫБОРА!F27:K27,ПАРАМЕТРЫ!$B$17:$G$17)</f>
        <v>0.484</v>
      </c>
      <c r="J213" s="12" t="n">
        <f aca="false">I213*G213/1000</f>
        <v>0.08712</v>
      </c>
      <c r="K213" s="11" t="s">
        <v>217</v>
      </c>
      <c r="L213" s="11" t="s">
        <v>19</v>
      </c>
      <c r="M213" s="11" t="s">
        <v>145</v>
      </c>
    </row>
    <row r="214" customFormat="false" ht="15" hidden="false" customHeight="false" outlineLevel="0" collapsed="false">
      <c r="A214" s="11" t="s">
        <v>107</v>
      </c>
      <c r="B214" s="11" t="s">
        <v>130</v>
      </c>
      <c r="C214" s="11" t="n">
        <v>18</v>
      </c>
      <c r="D214" s="11" t="s">
        <v>172</v>
      </c>
      <c r="E214" s="11" t="s">
        <v>173</v>
      </c>
      <c r="F214" s="11" t="s">
        <v>83</v>
      </c>
      <c r="G214" s="12" t="n">
        <v>400</v>
      </c>
      <c r="H214" s="12" t="n">
        <f aca="false">SUMPRODUCT(ПОТОКИ!B11:G11,ЧАСОВЫЕ_ПРОФИЛИ!B17:G17,КОЭФФИЦИЕНТЫ_ВЫБОРА!F28:K28)</f>
        <v>5.22</v>
      </c>
      <c r="I214" s="12" t="n">
        <f aca="false">SUMPRODUCT(ПОТОКИ!B11:G11,ЧАСОВЫЕ_ПРОФИЛИ!B17:G17,КОЭФФИЦИЕНТЫ_ВЫБОРА!F28:K28,ПАРАМЕТРЫ!$B$17:$G$17)</f>
        <v>5.742</v>
      </c>
      <c r="J214" s="12" t="n">
        <f aca="false">I214*G214/1000</f>
        <v>2.2968</v>
      </c>
      <c r="K214" s="11" t="s">
        <v>217</v>
      </c>
      <c r="L214" s="11" t="s">
        <v>19</v>
      </c>
      <c r="M214" s="11" t="s">
        <v>145</v>
      </c>
    </row>
    <row r="215" customFormat="false" ht="23.85" hidden="false" customHeight="false" outlineLevel="0" collapsed="false">
      <c r="A215" s="11" t="s">
        <v>107</v>
      </c>
      <c r="B215" s="11" t="s">
        <v>130</v>
      </c>
      <c r="C215" s="11" t="n">
        <v>19</v>
      </c>
      <c r="D215" s="11" t="s">
        <v>174</v>
      </c>
      <c r="E215" s="11" t="s">
        <v>175</v>
      </c>
      <c r="F215" s="11" t="s">
        <v>83</v>
      </c>
      <c r="G215" s="12" t="n">
        <v>300</v>
      </c>
      <c r="H215" s="12" t="n">
        <f aca="false">SUMPRODUCT(ПОТОКИ!B11:G11,ЧАСОВЫЕ_ПРОФИЛИ!B17:G17,КОЭФФИЦИЕНТЫ_ВЫБОРА!F29:K29)</f>
        <v>3.91</v>
      </c>
      <c r="I215" s="12" t="n">
        <f aca="false">SUMPRODUCT(ПОТОКИ!B11:G11,ЧАСОВЫЕ_ПРОФИЛИ!B17:G17,КОЭФФИЦИЕНТЫ_ВЫБОРА!F29:K29,ПАРАМЕТРЫ!$B$17:$G$17)</f>
        <v>4.301</v>
      </c>
      <c r="J215" s="12" t="n">
        <f aca="false">I215*G215/1000</f>
        <v>1.2903</v>
      </c>
      <c r="K215" s="11" t="s">
        <v>217</v>
      </c>
      <c r="L215" s="11" t="s">
        <v>19</v>
      </c>
      <c r="M215" s="11" t="s">
        <v>145</v>
      </c>
    </row>
    <row r="216" customFormat="false" ht="15" hidden="false" customHeight="false" outlineLevel="0" collapsed="false">
      <c r="A216" s="11" t="s">
        <v>107</v>
      </c>
      <c r="B216" s="11" t="s">
        <v>130</v>
      </c>
      <c r="C216" s="11" t="n">
        <v>20</v>
      </c>
      <c r="D216" s="11" t="s">
        <v>174</v>
      </c>
      <c r="E216" s="11" t="s">
        <v>176</v>
      </c>
      <c r="F216" s="11" t="s">
        <v>83</v>
      </c>
      <c r="G216" s="12" t="n">
        <v>360</v>
      </c>
      <c r="H216" s="12" t="n">
        <f aca="false">SUMPRODUCT(ПОТОКИ!B11:G11,ЧАСОВЫЕ_ПРОФИЛИ!B17:G17,КОЭФФИЦИЕНТЫ_ВЫБОРА!F30:K30)</f>
        <v>2.816</v>
      </c>
      <c r="I216" s="12" t="n">
        <f aca="false">SUMPRODUCT(ПОТОКИ!B11:G11,ЧАСОВЫЕ_ПРОФИЛИ!B17:G17,КОЭФФИЦИЕНТЫ_ВЫБОРА!F30:K30,ПАРАМЕТРЫ!$B$17:$G$17)</f>
        <v>3.0976</v>
      </c>
      <c r="J216" s="12" t="n">
        <f aca="false">I216*G216/1000</f>
        <v>1.115136</v>
      </c>
      <c r="K216" s="11" t="s">
        <v>217</v>
      </c>
      <c r="L216" s="11" t="s">
        <v>19</v>
      </c>
      <c r="M216" s="11" t="s">
        <v>145</v>
      </c>
    </row>
    <row r="217" customFormat="false" ht="15" hidden="false" customHeight="false" outlineLevel="0" collapsed="false">
      <c r="A217" s="11" t="s">
        <v>107</v>
      </c>
      <c r="B217" s="11" t="s">
        <v>130</v>
      </c>
      <c r="C217" s="11" t="n">
        <v>21</v>
      </c>
      <c r="D217" s="11" t="s">
        <v>174</v>
      </c>
      <c r="E217" s="11" t="s">
        <v>177</v>
      </c>
      <c r="F217" s="11" t="s">
        <v>83</v>
      </c>
      <c r="G217" s="12" t="n">
        <v>350</v>
      </c>
      <c r="H217" s="12" t="n">
        <f aca="false">SUMPRODUCT(ПОТОКИ!B11:G11,ЧАСОВЫЕ_ПРОФИЛИ!B17:G17,КОЭФФИЦИЕНТЫ_ВЫБОРА!F31:K31)</f>
        <v>4.779</v>
      </c>
      <c r="I217" s="12" t="n">
        <f aca="false">SUMPRODUCT(ПОТОКИ!B11:G11,ЧАСОВЫЕ_ПРОФИЛИ!B17:G17,КОЭФФИЦИЕНТЫ_ВЫБОРА!F31:K31,ПАРАМЕТРЫ!$B$17:$G$17)</f>
        <v>5.2569</v>
      </c>
      <c r="J217" s="12" t="n">
        <f aca="false">I217*G217/1000</f>
        <v>1.839915</v>
      </c>
      <c r="K217" s="11" t="s">
        <v>217</v>
      </c>
      <c r="L217" s="11" t="s">
        <v>19</v>
      </c>
      <c r="M217" s="11" t="s">
        <v>145</v>
      </c>
    </row>
    <row r="218" customFormat="false" ht="15" hidden="false" customHeight="false" outlineLevel="0" collapsed="false">
      <c r="A218" s="11" t="s">
        <v>107</v>
      </c>
      <c r="B218" s="11" t="s">
        <v>130</v>
      </c>
      <c r="C218" s="11" t="n">
        <v>22</v>
      </c>
      <c r="D218" s="11" t="s">
        <v>174</v>
      </c>
      <c r="E218" s="11" t="s">
        <v>178</v>
      </c>
      <c r="F218" s="11" t="s">
        <v>83</v>
      </c>
      <c r="G218" s="12" t="n">
        <v>300</v>
      </c>
      <c r="H218" s="12" t="n">
        <f aca="false">SUMPRODUCT(ПОТОКИ!B11:G11,ЧАСОВЫЕ_ПРОФИЛИ!B17:G17,КОЭФФИЦИЕНТЫ_ВЫБОРА!F32:K32)</f>
        <v>2.275</v>
      </c>
      <c r="I218" s="12" t="n">
        <f aca="false">SUMPRODUCT(ПОТОКИ!B11:G11,ЧАСОВЫЕ_ПРОФИЛИ!B17:G17,КОЭФФИЦИЕНТЫ_ВЫБОРА!F32:K32,ПАРАМЕТРЫ!$B$17:$G$17)</f>
        <v>2.5025</v>
      </c>
      <c r="J218" s="12" t="n">
        <f aca="false">I218*G218/1000</f>
        <v>0.75075</v>
      </c>
      <c r="K218" s="11" t="s">
        <v>217</v>
      </c>
      <c r="L218" s="11" t="s">
        <v>19</v>
      </c>
      <c r="M218" s="11" t="s">
        <v>145</v>
      </c>
    </row>
    <row r="219" customFormat="false" ht="15" hidden="false" customHeight="false" outlineLevel="0" collapsed="false">
      <c r="A219" s="11" t="s">
        <v>107</v>
      </c>
      <c r="B219" s="11" t="s">
        <v>130</v>
      </c>
      <c r="C219" s="11" t="n">
        <v>23</v>
      </c>
      <c r="D219" s="11" t="s">
        <v>86</v>
      </c>
      <c r="E219" s="11" t="s">
        <v>179</v>
      </c>
      <c r="F219" s="11" t="s">
        <v>85</v>
      </c>
      <c r="G219" s="12" t="n">
        <v>150</v>
      </c>
      <c r="H219" s="12" t="n">
        <f aca="false">SUMPRODUCT(ПОТОКИ!B11:G11,ЧАСОВЫЕ_ПРОФИЛИ!B17:G17,КОЭФФИЦИЕНТЫ_ВЫБОРА!F33:K33)</f>
        <v>3.78269</v>
      </c>
      <c r="I219" s="12" t="n">
        <f aca="false">SUMPRODUCT(ПОТОКИ!B11:G11,ЧАСОВЫЕ_ПРОФИЛИ!B17:G17,КОЭФФИЦИЕНТЫ_ВЫБОРА!F33:K33,ПАРАМЕТРЫ!$B$17:$G$17)</f>
        <v>4.160959</v>
      </c>
      <c r="J219" s="12" t="n">
        <f aca="false">I219*G219/1000</f>
        <v>0.62414385</v>
      </c>
      <c r="K219" s="11" t="s">
        <v>217</v>
      </c>
      <c r="L219" s="11" t="s">
        <v>19</v>
      </c>
      <c r="M219" s="11" t="s">
        <v>147</v>
      </c>
    </row>
    <row r="220" customFormat="false" ht="15" hidden="false" customHeight="false" outlineLevel="0" collapsed="false">
      <c r="A220" s="11" t="s">
        <v>107</v>
      </c>
      <c r="B220" s="11" t="s">
        <v>130</v>
      </c>
      <c r="C220" s="11" t="n">
        <v>24</v>
      </c>
      <c r="D220" s="11" t="s">
        <v>86</v>
      </c>
      <c r="E220" s="11" t="s">
        <v>180</v>
      </c>
      <c r="F220" s="11" t="s">
        <v>85</v>
      </c>
      <c r="G220" s="12" t="n">
        <v>150</v>
      </c>
      <c r="H220" s="12" t="n">
        <f aca="false">SUMPRODUCT(ПОТОКИ!B11:G11,ЧАСОВЫЕ_ПРОФИЛИ!B17:G17,КОЭФФИЦИЕНТЫ_ВЫБОРА!F34:K34)</f>
        <v>1.56322</v>
      </c>
      <c r="I220" s="12" t="n">
        <f aca="false">SUMPRODUCT(ПОТОКИ!B11:G11,ЧАСОВЫЕ_ПРОФИЛИ!B17:G17,КОЭФФИЦИЕНТЫ_ВЫБОРА!F34:K34,ПАРАМЕТРЫ!$B$17:$G$17)</f>
        <v>1.719542</v>
      </c>
      <c r="J220" s="12" t="n">
        <f aca="false">I220*G220/1000</f>
        <v>0.2579313</v>
      </c>
      <c r="K220" s="11" t="s">
        <v>217</v>
      </c>
      <c r="L220" s="11" t="s">
        <v>19</v>
      </c>
      <c r="M220" s="11" t="s">
        <v>147</v>
      </c>
    </row>
    <row r="221" customFormat="false" ht="15" hidden="false" customHeight="false" outlineLevel="0" collapsed="false">
      <c r="A221" s="11" t="s">
        <v>107</v>
      </c>
      <c r="B221" s="11" t="s">
        <v>130</v>
      </c>
      <c r="C221" s="11" t="n">
        <v>25</v>
      </c>
      <c r="D221" s="11" t="s">
        <v>86</v>
      </c>
      <c r="E221" s="11" t="s">
        <v>181</v>
      </c>
      <c r="F221" s="11" t="s">
        <v>85</v>
      </c>
      <c r="G221" s="12" t="n">
        <v>150</v>
      </c>
      <c r="H221" s="12" t="n">
        <f aca="false">SUMPRODUCT(ПОТОКИ!B11:G11,ЧАСОВЫЕ_ПРОФИЛИ!B17:G17,КОЭФФИЦИЕНТЫ_ВЫБОРА!F35:K35)</f>
        <v>2.47019</v>
      </c>
      <c r="I221" s="12" t="n">
        <f aca="false">SUMPRODUCT(ПОТОКИ!B11:G11,ЧАСОВЫЕ_ПРОФИЛИ!B17:G17,КОЭФФИЦИЕНТЫ_ВЫБОРА!F35:K35,ПАРАМЕТРЫ!$B$17:$G$17)</f>
        <v>2.717209</v>
      </c>
      <c r="J221" s="12" t="n">
        <f aca="false">I221*G221/1000</f>
        <v>0.40758135</v>
      </c>
      <c r="K221" s="11" t="s">
        <v>217</v>
      </c>
      <c r="L221" s="11" t="s">
        <v>19</v>
      </c>
      <c r="M221" s="11" t="s">
        <v>147</v>
      </c>
    </row>
    <row r="222" customFormat="false" ht="23.85" hidden="false" customHeight="false" outlineLevel="0" collapsed="false">
      <c r="A222" s="11" t="s">
        <v>107</v>
      </c>
      <c r="B222" s="11" t="s">
        <v>130</v>
      </c>
      <c r="C222" s="11" t="n">
        <v>26</v>
      </c>
      <c r="D222" s="11" t="s">
        <v>89</v>
      </c>
      <c r="E222" s="11" t="s">
        <v>182</v>
      </c>
      <c r="F222" s="11" t="s">
        <v>88</v>
      </c>
      <c r="G222" s="12" t="n">
        <v>225</v>
      </c>
      <c r="H222" s="12" t="n">
        <f aca="false">SUMPRODUCT(ПОТОКИ!B11:G11,ЧАСОВЫЕ_ПРОФИЛИ!B17:G17,КОЭФФИЦИЕНТЫ_ВЫБОРА!F36:K36)</f>
        <v>0</v>
      </c>
      <c r="I222" s="12" t="n">
        <f aca="false">SUMPRODUCT(ПОТОКИ!B11:G11,ЧАСОВЫЕ_ПРОФИЛИ!B17:G17,КОЭФФИЦИЕНТЫ_ВЫБОРА!F36:K36,ПАРАМЕТРЫ!$B$17:$G$17)</f>
        <v>0</v>
      </c>
      <c r="J222" s="12" t="n">
        <f aca="false">I222*G222/1000</f>
        <v>0</v>
      </c>
      <c r="K222" s="11" t="s">
        <v>217</v>
      </c>
      <c r="L222" s="11" t="s">
        <v>19</v>
      </c>
      <c r="M222" s="11" t="s">
        <v>145</v>
      </c>
    </row>
    <row r="223" customFormat="false" ht="23.85" hidden="false" customHeight="false" outlineLevel="0" collapsed="false">
      <c r="A223" s="11" t="s">
        <v>107</v>
      </c>
      <c r="B223" s="11" t="s">
        <v>130</v>
      </c>
      <c r="C223" s="11" t="n">
        <v>27</v>
      </c>
      <c r="D223" s="11" t="s">
        <v>89</v>
      </c>
      <c r="E223" s="11" t="s">
        <v>183</v>
      </c>
      <c r="F223" s="11" t="s">
        <v>88</v>
      </c>
      <c r="G223" s="12" t="n">
        <v>265</v>
      </c>
      <c r="H223" s="12" t="n">
        <f aca="false">SUMPRODUCT(ПОТОКИ!B11:G11,ЧАСОВЫЕ_ПРОФИЛИ!B17:G17,КОЭФФИЦИЕНТЫ_ВЫБОРА!F37:K37)</f>
        <v>0</v>
      </c>
      <c r="I223" s="12" t="n">
        <f aca="false">SUMPRODUCT(ПОТОКИ!B11:G11,ЧАСОВЫЕ_ПРОФИЛИ!B17:G17,КОЭФФИЦИЕНТЫ_ВЫБОРА!F37:K37,ПАРАМЕТРЫ!$B$17:$G$17)</f>
        <v>0</v>
      </c>
      <c r="J223" s="12" t="n">
        <f aca="false">I223*G223/1000</f>
        <v>0</v>
      </c>
      <c r="K223" s="11" t="s">
        <v>217</v>
      </c>
      <c r="L223" s="11" t="s">
        <v>19</v>
      </c>
      <c r="M223" s="11" t="s">
        <v>145</v>
      </c>
    </row>
    <row r="224" customFormat="false" ht="23.85" hidden="false" customHeight="false" outlineLevel="0" collapsed="false">
      <c r="A224" s="11" t="s">
        <v>107</v>
      </c>
      <c r="B224" s="11" t="s">
        <v>130</v>
      </c>
      <c r="C224" s="11" t="n">
        <v>28</v>
      </c>
      <c r="D224" s="11" t="s">
        <v>89</v>
      </c>
      <c r="E224" s="11" t="s">
        <v>184</v>
      </c>
      <c r="F224" s="11" t="s">
        <v>88</v>
      </c>
      <c r="G224" s="12" t="n">
        <v>355</v>
      </c>
      <c r="H224" s="12" t="n">
        <f aca="false">SUMPRODUCT(ПОТОКИ!B11:G11,ЧАСОВЫЕ_ПРОФИЛИ!B17:G17,КОЭФФИЦИЕНТЫ_ВЫБОРА!F38:K38)</f>
        <v>0</v>
      </c>
      <c r="I224" s="12" t="n">
        <f aca="false">SUMPRODUCT(ПОТОКИ!B11:G11,ЧАСОВЫЕ_ПРОФИЛИ!B17:G17,КОЭФФИЦИЕНТЫ_ВЫБОРА!F38:K38,ПАРАМЕТРЫ!$B$17:$G$17)</f>
        <v>0</v>
      </c>
      <c r="J224" s="12" t="n">
        <f aca="false">I224*G224/1000</f>
        <v>0</v>
      </c>
      <c r="K224" s="11" t="s">
        <v>217</v>
      </c>
      <c r="L224" s="11" t="s">
        <v>19</v>
      </c>
      <c r="M224" s="11" t="s">
        <v>145</v>
      </c>
    </row>
    <row r="225" customFormat="false" ht="15" hidden="false" customHeight="false" outlineLevel="0" collapsed="false">
      <c r="A225" s="11" t="s">
        <v>107</v>
      </c>
      <c r="B225" s="11" t="s">
        <v>130</v>
      </c>
      <c r="C225" s="11" t="n">
        <v>29</v>
      </c>
      <c r="D225" s="11" t="s">
        <v>92</v>
      </c>
      <c r="E225" s="11" t="s">
        <v>185</v>
      </c>
      <c r="F225" s="11" t="s">
        <v>91</v>
      </c>
      <c r="G225" s="12" t="n">
        <v>150</v>
      </c>
      <c r="H225" s="12" t="n">
        <f aca="false">SUMPRODUCT(ПОТОКИ!B11:G11,ЧАСОВЫЕ_ПРОФИЛИ!B17:G17,КОЭФФИЦИЕНТЫ_ВЫБОРА!F39:K39)</f>
        <v>0.336</v>
      </c>
      <c r="I225" s="12" t="n">
        <f aca="false">SUMPRODUCT(ПОТОКИ!B11:G11,ЧАСОВЫЕ_ПРОФИЛИ!B17:G17,КОЭФФИЦИЕНТЫ_ВЫБОРА!F39:K39,ПАРАМЕТРЫ!$B$17:$G$17)</f>
        <v>0.3696</v>
      </c>
      <c r="J225" s="12" t="n">
        <f aca="false">I225*G225/1000</f>
        <v>0.05544</v>
      </c>
      <c r="K225" s="11" t="s">
        <v>217</v>
      </c>
      <c r="L225" s="11" t="s">
        <v>19</v>
      </c>
      <c r="M225" s="11" t="s">
        <v>145</v>
      </c>
    </row>
    <row r="226" customFormat="false" ht="15" hidden="false" customHeight="false" outlineLevel="0" collapsed="false">
      <c r="A226" s="11" t="s">
        <v>107</v>
      </c>
      <c r="B226" s="11" t="s">
        <v>130</v>
      </c>
      <c r="C226" s="11" t="n">
        <v>30</v>
      </c>
      <c r="D226" s="11" t="s">
        <v>92</v>
      </c>
      <c r="E226" s="11" t="s">
        <v>186</v>
      </c>
      <c r="F226" s="11" t="s">
        <v>91</v>
      </c>
      <c r="G226" s="12" t="n">
        <v>120</v>
      </c>
      <c r="H226" s="12" t="n">
        <f aca="false">SUMPRODUCT(ПОТОКИ!B11:G11,ЧАСОВЫЕ_ПРОФИЛИ!B17:G17,КОЭФФИЦИЕНТЫ_ВЫБОРА!F40:K40)</f>
        <v>0.336</v>
      </c>
      <c r="I226" s="12" t="n">
        <f aca="false">SUMPRODUCT(ПОТОКИ!B11:G11,ЧАСОВЫЕ_ПРОФИЛИ!B17:G17,КОЭФФИЦИЕНТЫ_ВЫБОРА!F40:K40,ПАРАМЕТРЫ!$B$17:$G$17)</f>
        <v>0.3696</v>
      </c>
      <c r="J226" s="12" t="n">
        <f aca="false">I226*G226/1000</f>
        <v>0.044352</v>
      </c>
      <c r="K226" s="11" t="s">
        <v>217</v>
      </c>
      <c r="L226" s="11" t="s">
        <v>19</v>
      </c>
      <c r="M226" s="11" t="s">
        <v>145</v>
      </c>
    </row>
    <row r="227" customFormat="false" ht="15" hidden="false" customHeight="false" outlineLevel="0" collapsed="false">
      <c r="A227" s="11" t="s">
        <v>107</v>
      </c>
      <c r="B227" s="11" t="s">
        <v>130</v>
      </c>
      <c r="C227" s="11" t="n">
        <v>31</v>
      </c>
      <c r="D227" s="11" t="s">
        <v>92</v>
      </c>
      <c r="E227" s="11" t="s">
        <v>187</v>
      </c>
      <c r="F227" s="11" t="s">
        <v>91</v>
      </c>
      <c r="G227" s="12" t="n">
        <v>60</v>
      </c>
      <c r="H227" s="12" t="n">
        <f aca="false">SUMPRODUCT(ПОТОКИ!B11:G11,ЧАСОВЫЕ_ПРОФИЛИ!B17:G17,КОЭФФИЦИЕНТЫ_ВЫБОРА!F41:K41)</f>
        <v>0.288</v>
      </c>
      <c r="I227" s="12" t="n">
        <f aca="false">SUMPRODUCT(ПОТОКИ!B11:G11,ЧАСОВЫЕ_ПРОФИЛИ!B17:G17,КОЭФФИЦИЕНТЫ_ВЫБОРА!F41:K41,ПАРАМЕТРЫ!$B$17:$G$17)</f>
        <v>0.3168</v>
      </c>
      <c r="J227" s="12" t="n">
        <f aca="false">I227*G227/1000</f>
        <v>0.019008</v>
      </c>
      <c r="K227" s="11" t="s">
        <v>217</v>
      </c>
      <c r="L227" s="11" t="s">
        <v>19</v>
      </c>
      <c r="M227" s="11" t="s">
        <v>145</v>
      </c>
    </row>
    <row r="228" customFormat="false" ht="15" hidden="false" customHeight="false" outlineLevel="0" collapsed="false">
      <c r="A228" s="11" t="s">
        <v>107</v>
      </c>
      <c r="B228" s="11" t="s">
        <v>131</v>
      </c>
      <c r="C228" s="11" t="n">
        <v>1</v>
      </c>
      <c r="D228" s="11" t="s">
        <v>74</v>
      </c>
      <c r="E228" s="11" t="s">
        <v>153</v>
      </c>
      <c r="F228" s="11" t="s">
        <v>73</v>
      </c>
      <c r="G228" s="12" t="n">
        <v>450</v>
      </c>
      <c r="H228" s="12" t="n">
        <f aca="false">SUMPRODUCT(ПОТОКИ!B11:G11,ЧАСОВЫЕ_ПРОФИЛИ!B18:G18,КОЭФФИЦИЕНТЫ_ВЫБОРА!F11:K11)</f>
        <v>0.3147</v>
      </c>
      <c r="I228" s="12" t="n">
        <f aca="false">SUMPRODUCT(ПОТОКИ!B11:G11,ЧАСОВЫЕ_ПРОФИЛИ!B18:G18,КОЭФФИЦИЕНТЫ_ВЫБОРА!F11:K11,ПАРАМЕТРЫ!$B$17:$G$17)</f>
        <v>0.34617</v>
      </c>
      <c r="J228" s="12" t="n">
        <f aca="false">I228*G228/1000</f>
        <v>0.1557765</v>
      </c>
      <c r="K228" s="11" t="s">
        <v>217</v>
      </c>
      <c r="L228" s="11" t="s">
        <v>19</v>
      </c>
      <c r="M228" s="11" t="s">
        <v>145</v>
      </c>
    </row>
    <row r="229" customFormat="false" ht="15" hidden="false" customHeight="false" outlineLevel="0" collapsed="false">
      <c r="A229" s="11" t="s">
        <v>107</v>
      </c>
      <c r="B229" s="11" t="s">
        <v>131</v>
      </c>
      <c r="C229" s="11" t="n">
        <v>2</v>
      </c>
      <c r="D229" s="11" t="s">
        <v>74</v>
      </c>
      <c r="E229" s="11" t="s">
        <v>154</v>
      </c>
      <c r="F229" s="11" t="s">
        <v>73</v>
      </c>
      <c r="G229" s="12" t="n">
        <v>480</v>
      </c>
      <c r="H229" s="12" t="n">
        <f aca="false">SUMPRODUCT(ПОТОКИ!B11:G11,ЧАСОВЫЕ_ПРОФИЛИ!B18:G18,КОЭФФИЦИЕНТЫ_ВЫБОРА!F12:K12)</f>
        <v>0.3596</v>
      </c>
      <c r="I229" s="12" t="n">
        <f aca="false">SUMPRODUCT(ПОТОКИ!B11:G11,ЧАСОВЫЕ_ПРОФИЛИ!B18:G18,КОЭФФИЦИЕНТЫ_ВЫБОРА!F12:K12,ПАРАМЕТРЫ!$B$17:$G$17)</f>
        <v>0.39556</v>
      </c>
      <c r="J229" s="12" t="n">
        <f aca="false">I229*G229/1000</f>
        <v>0.1898688</v>
      </c>
      <c r="K229" s="11" t="s">
        <v>217</v>
      </c>
      <c r="L229" s="11" t="s">
        <v>19</v>
      </c>
      <c r="M229" s="11" t="s">
        <v>145</v>
      </c>
    </row>
    <row r="230" customFormat="false" ht="15" hidden="false" customHeight="false" outlineLevel="0" collapsed="false">
      <c r="A230" s="11" t="s">
        <v>107</v>
      </c>
      <c r="B230" s="11" t="s">
        <v>131</v>
      </c>
      <c r="C230" s="11" t="n">
        <v>3</v>
      </c>
      <c r="D230" s="11" t="s">
        <v>74</v>
      </c>
      <c r="E230" s="11" t="s">
        <v>155</v>
      </c>
      <c r="F230" s="11" t="s">
        <v>73</v>
      </c>
      <c r="G230" s="12" t="n">
        <v>500</v>
      </c>
      <c r="H230" s="12" t="n">
        <f aca="false">SUMPRODUCT(ПОТОКИ!B11:G11,ЧАСОВЫЕ_ПРОФИЛИ!B18:G18,КОЭФФИЦИЕНТЫ_ВЫБОРА!F13:K13)</f>
        <v>0.6519</v>
      </c>
      <c r="I230" s="12" t="n">
        <f aca="false">SUMPRODUCT(ПОТОКИ!B11:G11,ЧАСОВЫЕ_ПРОФИЛИ!B18:G18,КОЭФФИЦИЕНТЫ_ВЫБОРА!F13:K13,ПАРАМЕТРЫ!$B$17:$G$17)</f>
        <v>0.71709</v>
      </c>
      <c r="J230" s="12" t="n">
        <f aca="false">I230*G230/1000</f>
        <v>0.358545</v>
      </c>
      <c r="K230" s="11" t="s">
        <v>217</v>
      </c>
      <c r="L230" s="11" t="s">
        <v>19</v>
      </c>
      <c r="M230" s="11" t="s">
        <v>145</v>
      </c>
    </row>
    <row r="231" customFormat="false" ht="15" hidden="false" customHeight="false" outlineLevel="0" collapsed="false">
      <c r="A231" s="11" t="s">
        <v>107</v>
      </c>
      <c r="B231" s="11" t="s">
        <v>131</v>
      </c>
      <c r="C231" s="11" t="n">
        <v>4</v>
      </c>
      <c r="D231" s="11" t="s">
        <v>74</v>
      </c>
      <c r="E231" s="11" t="s">
        <v>156</v>
      </c>
      <c r="F231" s="11" t="s">
        <v>73</v>
      </c>
      <c r="G231" s="12" t="n">
        <v>500</v>
      </c>
      <c r="H231" s="12" t="n">
        <f aca="false">SUMPRODUCT(ПОТОКИ!B11:G11,ЧАСОВЫЕ_ПРОФИЛИ!B18:G18,КОЭФФИЦИЕНТЫ_ВЫБОРА!F14:K14)</f>
        <v>0.6968</v>
      </c>
      <c r="I231" s="12" t="n">
        <f aca="false">SUMPRODUCT(ПОТОКИ!B11:G11,ЧАСОВЫЕ_ПРОФИЛИ!B18:G18,КОЭФФИЦИЕНТЫ_ВЫБОРА!F14:K14,ПАРАМЕТРЫ!$B$17:$G$17)</f>
        <v>0.76648</v>
      </c>
      <c r="J231" s="12" t="n">
        <f aca="false">I231*G231/1000</f>
        <v>0.38324</v>
      </c>
      <c r="K231" s="11" t="s">
        <v>217</v>
      </c>
      <c r="L231" s="11" t="s">
        <v>19</v>
      </c>
      <c r="M231" s="11" t="s">
        <v>145</v>
      </c>
    </row>
    <row r="232" customFormat="false" ht="15" hidden="false" customHeight="false" outlineLevel="0" collapsed="false">
      <c r="A232" s="11" t="s">
        <v>107</v>
      </c>
      <c r="B232" s="11" t="s">
        <v>131</v>
      </c>
      <c r="C232" s="11" t="n">
        <v>5</v>
      </c>
      <c r="D232" s="11" t="s">
        <v>78</v>
      </c>
      <c r="E232" s="11" t="s">
        <v>157</v>
      </c>
      <c r="F232" s="11" t="s">
        <v>77</v>
      </c>
      <c r="G232" s="12" t="n">
        <v>100</v>
      </c>
      <c r="H232" s="12" t="n">
        <f aca="false">SUMPRODUCT(ПОТОКИ!B11:G11,ЧАСОВЫЕ_ПРОФИЛИ!B18:G18,КОЭФФИЦИЕНТЫ_ВЫБОРА!F15:K15)</f>
        <v>0.5201</v>
      </c>
      <c r="I232" s="12" t="n">
        <f aca="false">SUMPRODUCT(ПОТОКИ!B11:G11,ЧАСОВЫЕ_ПРОФИЛИ!B18:G18,КОЭФФИЦИЕНТЫ_ВЫБОРА!F15:K15,ПАРАМЕТРЫ!$B$17:$G$17)</f>
        <v>0.57211</v>
      </c>
      <c r="J232" s="12" t="n">
        <f aca="false">I232*G232/1000</f>
        <v>0.057211</v>
      </c>
      <c r="K232" s="11" t="s">
        <v>217</v>
      </c>
      <c r="L232" s="11" t="s">
        <v>19</v>
      </c>
      <c r="M232" s="11" t="s">
        <v>147</v>
      </c>
    </row>
    <row r="233" customFormat="false" ht="15" hidden="false" customHeight="false" outlineLevel="0" collapsed="false">
      <c r="A233" s="11" t="s">
        <v>107</v>
      </c>
      <c r="B233" s="11" t="s">
        <v>131</v>
      </c>
      <c r="C233" s="11" t="n">
        <v>6</v>
      </c>
      <c r="D233" s="11" t="s">
        <v>78</v>
      </c>
      <c r="E233" s="11" t="s">
        <v>158</v>
      </c>
      <c r="F233" s="11" t="s">
        <v>77</v>
      </c>
      <c r="G233" s="12" t="n">
        <v>100</v>
      </c>
      <c r="H233" s="12" t="n">
        <f aca="false">SUMPRODUCT(ПОТОКИ!B11:G11,ЧАСОВЫЕ_ПРОФИЛИ!B18:G18,КОЭФФИЦИЕНТЫ_ВЫБОРА!F16:K16)</f>
        <v>0.4677</v>
      </c>
      <c r="I233" s="12" t="n">
        <f aca="false">SUMPRODUCT(ПОТОКИ!B11:G11,ЧАСОВЫЕ_ПРОФИЛИ!B18:G18,КОЭФФИЦИЕНТЫ_ВЫБОРА!F16:K16,ПАРАМЕТРЫ!$B$17:$G$17)</f>
        <v>0.51447</v>
      </c>
      <c r="J233" s="12" t="n">
        <f aca="false">I233*G233/1000</f>
        <v>0.051447</v>
      </c>
      <c r="K233" s="11" t="s">
        <v>217</v>
      </c>
      <c r="L233" s="11" t="s">
        <v>19</v>
      </c>
      <c r="M233" s="11" t="s">
        <v>147</v>
      </c>
    </row>
    <row r="234" customFormat="false" ht="15" hidden="false" customHeight="false" outlineLevel="0" collapsed="false">
      <c r="A234" s="11" t="s">
        <v>107</v>
      </c>
      <c r="B234" s="11" t="s">
        <v>131</v>
      </c>
      <c r="C234" s="11" t="n">
        <v>7</v>
      </c>
      <c r="D234" s="11" t="s">
        <v>78</v>
      </c>
      <c r="E234" s="11" t="s">
        <v>159</v>
      </c>
      <c r="F234" s="11" t="s">
        <v>77</v>
      </c>
      <c r="G234" s="12" t="n">
        <v>350</v>
      </c>
      <c r="H234" s="12" t="n">
        <f aca="false">SUMPRODUCT(ПОТОКИ!B11:G11,ЧАСОВЫЕ_ПРОФИЛИ!B18:G18,КОЭФФИЦИЕНТЫ_ВЫБОРА!F17:K17)</f>
        <v>0.41595</v>
      </c>
      <c r="I234" s="12" t="n">
        <f aca="false">SUMPRODUCT(ПОТОКИ!B11:G11,ЧАСОВЫЕ_ПРОФИЛИ!B18:G18,КОЭФФИЦИЕНТЫ_ВЫБОРА!F17:K17,ПАРАМЕТРЫ!$B$17:$G$17)</f>
        <v>0.457545</v>
      </c>
      <c r="J234" s="12" t="n">
        <f aca="false">I234*G234/1000</f>
        <v>0.16014075</v>
      </c>
      <c r="K234" s="11" t="s">
        <v>217</v>
      </c>
      <c r="L234" s="11" t="s">
        <v>19</v>
      </c>
      <c r="M234" s="11" t="s">
        <v>147</v>
      </c>
    </row>
    <row r="235" customFormat="false" ht="15" hidden="false" customHeight="false" outlineLevel="0" collapsed="false">
      <c r="A235" s="11" t="s">
        <v>107</v>
      </c>
      <c r="B235" s="11" t="s">
        <v>131</v>
      </c>
      <c r="C235" s="11" t="n">
        <v>8</v>
      </c>
      <c r="D235" s="11" t="s">
        <v>78</v>
      </c>
      <c r="E235" s="11" t="s">
        <v>160</v>
      </c>
      <c r="F235" s="11" t="s">
        <v>77</v>
      </c>
      <c r="G235" s="12" t="n">
        <v>85</v>
      </c>
      <c r="H235" s="12" t="n">
        <f aca="false">SUMPRODUCT(ПОТОКИ!B11:G11,ЧАСОВЫЕ_ПРОФИЛИ!B18:G18,КОЭФФИЦИЕНТЫ_ВЫБОРА!F18:K18)</f>
        <v>0.26005</v>
      </c>
      <c r="I235" s="12" t="n">
        <f aca="false">SUMPRODUCT(ПОТОКИ!B11:G11,ЧАСОВЫЕ_ПРОФИЛИ!B18:G18,КОЭФФИЦИЕНТЫ_ВЫБОРА!F18:K18,ПАРАМЕТРЫ!$B$17:$G$17)</f>
        <v>0.286055</v>
      </c>
      <c r="J235" s="12" t="n">
        <f aca="false">I235*G235/1000</f>
        <v>0.024314675</v>
      </c>
      <c r="K235" s="11" t="s">
        <v>217</v>
      </c>
      <c r="L235" s="11" t="s">
        <v>19</v>
      </c>
      <c r="M235" s="11" t="s">
        <v>147</v>
      </c>
    </row>
    <row r="236" customFormat="false" ht="15" hidden="false" customHeight="false" outlineLevel="0" collapsed="false">
      <c r="A236" s="11" t="s">
        <v>107</v>
      </c>
      <c r="B236" s="11" t="s">
        <v>131</v>
      </c>
      <c r="C236" s="11" t="n">
        <v>9</v>
      </c>
      <c r="D236" s="11" t="s">
        <v>161</v>
      </c>
      <c r="E236" s="11" t="s">
        <v>162</v>
      </c>
      <c r="F236" s="11" t="s">
        <v>80</v>
      </c>
      <c r="G236" s="12" t="n">
        <v>300</v>
      </c>
      <c r="H236" s="12" t="n">
        <f aca="false">SUMPRODUCT(ПОТОКИ!B11:G11,ЧАСОВЫЕ_ПРОФИЛИ!B18:G18,КОЭФФИЦИЕНТЫ_ВЫБОРА!F19:K19)</f>
        <v>0.3405</v>
      </c>
      <c r="I236" s="12" t="n">
        <f aca="false">SUMPRODUCT(ПОТОКИ!B11:G11,ЧАСОВЫЕ_ПРОФИЛИ!B18:G18,КОЭФФИЦИЕНТЫ_ВЫБОРА!F19:K19,ПАРАМЕТРЫ!$B$17:$G$17)</f>
        <v>0.37455</v>
      </c>
      <c r="J236" s="12" t="n">
        <f aca="false">I236*G236/1000</f>
        <v>0.112365</v>
      </c>
      <c r="K236" s="11" t="s">
        <v>217</v>
      </c>
      <c r="L236" s="11" t="s">
        <v>19</v>
      </c>
      <c r="M236" s="11" t="s">
        <v>145</v>
      </c>
    </row>
    <row r="237" customFormat="false" ht="15" hidden="false" customHeight="false" outlineLevel="0" collapsed="false">
      <c r="A237" s="11" t="s">
        <v>107</v>
      </c>
      <c r="B237" s="11" t="s">
        <v>131</v>
      </c>
      <c r="C237" s="11" t="n">
        <v>10</v>
      </c>
      <c r="D237" s="11" t="s">
        <v>161</v>
      </c>
      <c r="E237" s="11" t="s">
        <v>163</v>
      </c>
      <c r="F237" s="11" t="s">
        <v>80</v>
      </c>
      <c r="G237" s="12" t="n">
        <v>280</v>
      </c>
      <c r="H237" s="12" t="n">
        <f aca="false">SUMPRODUCT(ПОТОКИ!B11:G11,ЧАСОВЫЕ_ПРОФИЛИ!B18:G18,КОЭФФИЦИЕНТЫ_ВЫБОРА!F20:K20)</f>
        <v>0.513</v>
      </c>
      <c r="I237" s="12" t="n">
        <f aca="false">SUMPRODUCT(ПОТОКИ!B11:G11,ЧАСОВЫЕ_ПРОФИЛИ!B18:G18,КОЭФФИЦИЕНТЫ_ВЫБОРА!F20:K20,ПАРАМЕТРЫ!$B$17:$G$17)</f>
        <v>0.5643</v>
      </c>
      <c r="J237" s="12" t="n">
        <f aca="false">I237*G237/1000</f>
        <v>0.158004</v>
      </c>
      <c r="K237" s="11" t="s">
        <v>217</v>
      </c>
      <c r="L237" s="11" t="s">
        <v>19</v>
      </c>
      <c r="M237" s="11" t="s">
        <v>145</v>
      </c>
    </row>
    <row r="238" customFormat="false" ht="15" hidden="false" customHeight="false" outlineLevel="0" collapsed="false">
      <c r="A238" s="11" t="s">
        <v>107</v>
      </c>
      <c r="B238" s="11" t="s">
        <v>131</v>
      </c>
      <c r="C238" s="11" t="n">
        <v>11</v>
      </c>
      <c r="D238" s="11" t="s">
        <v>161</v>
      </c>
      <c r="E238" s="11" t="s">
        <v>164</v>
      </c>
      <c r="F238" s="11" t="s">
        <v>80</v>
      </c>
      <c r="G238" s="12" t="n">
        <v>270</v>
      </c>
      <c r="H238" s="12" t="n">
        <f aca="false">SUMPRODUCT(ПОТОКИ!B11:G11,ЧАСОВЫЕ_ПРОФИЛИ!B18:G18,КОЭФФИЦИЕНТЫ_ВЫБОРА!F21:K21)</f>
        <v>0.93645</v>
      </c>
      <c r="I238" s="12" t="n">
        <f aca="false">SUMPRODUCT(ПОТОКИ!B11:G11,ЧАСОВЫЕ_ПРОФИЛИ!B18:G18,КОЭФФИЦИЕНТЫ_ВЫБОРА!F21:K21,ПАРАМЕТРЫ!$B$17:$G$17)</f>
        <v>1.030095</v>
      </c>
      <c r="J238" s="12" t="n">
        <f aca="false">I238*G238/1000</f>
        <v>0.27812565</v>
      </c>
      <c r="K238" s="11" t="s">
        <v>217</v>
      </c>
      <c r="L238" s="11" t="s">
        <v>19</v>
      </c>
      <c r="M238" s="11" t="s">
        <v>145</v>
      </c>
    </row>
    <row r="239" customFormat="false" ht="15" hidden="false" customHeight="false" outlineLevel="0" collapsed="false">
      <c r="A239" s="11" t="s">
        <v>107</v>
      </c>
      <c r="B239" s="11" t="s">
        <v>131</v>
      </c>
      <c r="C239" s="11" t="n">
        <v>12</v>
      </c>
      <c r="D239" s="11" t="s">
        <v>161</v>
      </c>
      <c r="E239" s="11" t="s">
        <v>165</v>
      </c>
      <c r="F239" s="11" t="s">
        <v>80</v>
      </c>
      <c r="G239" s="12" t="n">
        <v>240</v>
      </c>
      <c r="H239" s="12" t="n">
        <f aca="false">SUMPRODUCT(ПОТОКИ!B11:G11,ЧАСОВЫЕ_ПРОФИЛИ!B18:G18,КОЭФФИЦИЕНТЫ_ВЫБОРА!F22:K22)</f>
        <v>0.60705</v>
      </c>
      <c r="I239" s="12" t="n">
        <f aca="false">SUMPRODUCT(ПОТОКИ!B11:G11,ЧАСОВЫЕ_ПРОФИЛИ!B18:G18,КОЭФФИЦИЕНТЫ_ВЫБОРА!F22:K22,ПАРАМЕТРЫ!$B$17:$G$17)</f>
        <v>0.667755</v>
      </c>
      <c r="J239" s="12" t="n">
        <f aca="false">I239*G239/1000</f>
        <v>0.1602612</v>
      </c>
      <c r="K239" s="11" t="s">
        <v>217</v>
      </c>
      <c r="L239" s="11" t="s">
        <v>19</v>
      </c>
      <c r="M239" s="11" t="s">
        <v>145</v>
      </c>
    </row>
    <row r="240" customFormat="false" ht="15" hidden="false" customHeight="false" outlineLevel="0" collapsed="false">
      <c r="A240" s="11" t="s">
        <v>107</v>
      </c>
      <c r="B240" s="11" t="s">
        <v>131</v>
      </c>
      <c r="C240" s="11" t="n">
        <v>13</v>
      </c>
      <c r="D240" s="11" t="s">
        <v>166</v>
      </c>
      <c r="E240" s="11" t="s">
        <v>167</v>
      </c>
      <c r="F240" s="11" t="s">
        <v>80</v>
      </c>
      <c r="G240" s="12" t="n">
        <v>130</v>
      </c>
      <c r="H240" s="12" t="n">
        <f aca="false">SUMPRODUCT(ПОТОКИ!B11:G11,ЧАСОВЫЕ_ПРОФИЛИ!B18:G18,КОЭФФИЦИЕНТЫ_ВЫБОРА!F23:K23)</f>
        <v>0.172</v>
      </c>
      <c r="I240" s="12" t="n">
        <f aca="false">SUMPRODUCT(ПОТОКИ!B11:G11,ЧАСОВЫЕ_ПРОФИЛИ!B18:G18,КОЭФФИЦИЕНТЫ_ВЫБОРА!F23:K23,ПАРАМЕТРЫ!$B$17:$G$17)</f>
        <v>0.1892</v>
      </c>
      <c r="J240" s="12" t="n">
        <f aca="false">I240*G240/1000</f>
        <v>0.024596</v>
      </c>
      <c r="K240" s="11" t="s">
        <v>217</v>
      </c>
      <c r="L240" s="11" t="s">
        <v>19</v>
      </c>
      <c r="M240" s="11" t="s">
        <v>145</v>
      </c>
    </row>
    <row r="241" customFormat="false" ht="15" hidden="false" customHeight="false" outlineLevel="0" collapsed="false">
      <c r="A241" s="11" t="s">
        <v>107</v>
      </c>
      <c r="B241" s="11" t="s">
        <v>131</v>
      </c>
      <c r="C241" s="11" t="n">
        <v>14</v>
      </c>
      <c r="D241" s="11" t="s">
        <v>166</v>
      </c>
      <c r="E241" s="11" t="s">
        <v>168</v>
      </c>
      <c r="F241" s="11" t="s">
        <v>80</v>
      </c>
      <c r="G241" s="12" t="n">
        <v>250</v>
      </c>
      <c r="H241" s="12" t="n">
        <f aca="false">SUMPRODUCT(ПОТОКИ!B11:G11,ЧАСОВЫЕ_ПРОФИЛИ!B18:G18,КОЭФФИЦИЕНТЫ_ВЫБОРА!F24:K24)</f>
        <v>0.2172</v>
      </c>
      <c r="I241" s="12" t="n">
        <f aca="false">SUMPRODUCT(ПОТОКИ!B11:G11,ЧАСОВЫЕ_ПРОФИЛИ!B18:G18,КОЭФФИЦИЕНТЫ_ВЫБОРА!F24:K24,ПАРАМЕТРЫ!$B$17:$G$17)</f>
        <v>0.23892</v>
      </c>
      <c r="J241" s="12" t="n">
        <f aca="false">I241*G241/1000</f>
        <v>0.05973</v>
      </c>
      <c r="K241" s="11" t="s">
        <v>217</v>
      </c>
      <c r="L241" s="11" t="s">
        <v>19</v>
      </c>
      <c r="M241" s="11" t="s">
        <v>145</v>
      </c>
    </row>
    <row r="242" customFormat="false" ht="15" hidden="false" customHeight="false" outlineLevel="0" collapsed="false">
      <c r="A242" s="11" t="s">
        <v>107</v>
      </c>
      <c r="B242" s="11" t="s">
        <v>131</v>
      </c>
      <c r="C242" s="11" t="n">
        <v>15</v>
      </c>
      <c r="D242" s="11" t="s">
        <v>166</v>
      </c>
      <c r="E242" s="11" t="s">
        <v>169</v>
      </c>
      <c r="F242" s="11" t="s">
        <v>80</v>
      </c>
      <c r="G242" s="12" t="n">
        <v>120</v>
      </c>
      <c r="H242" s="12" t="n">
        <f aca="false">SUMPRODUCT(ПОТОКИ!B11:G11,ЧАСОВЫЕ_ПРОФИЛИ!B18:G18,КОЭФФИЦИЕНТЫ_ВЫБОРА!F25:K25)</f>
        <v>0.1272</v>
      </c>
      <c r="I242" s="12" t="n">
        <f aca="false">SUMPRODUCT(ПОТОКИ!B11:G11,ЧАСОВЫЕ_ПРОФИЛИ!B18:G18,КОЭФФИЦИЕНТЫ_ВЫБОРА!F25:K25,ПАРАМЕТРЫ!$B$17:$G$17)</f>
        <v>0.13992</v>
      </c>
      <c r="J242" s="12" t="n">
        <f aca="false">I242*G242/1000</f>
        <v>0.0167904</v>
      </c>
      <c r="K242" s="11" t="s">
        <v>217</v>
      </c>
      <c r="L242" s="11" t="s">
        <v>19</v>
      </c>
      <c r="M242" s="11" t="s">
        <v>145</v>
      </c>
    </row>
    <row r="243" customFormat="false" ht="15" hidden="false" customHeight="false" outlineLevel="0" collapsed="false">
      <c r="A243" s="11" t="s">
        <v>107</v>
      </c>
      <c r="B243" s="11" t="s">
        <v>131</v>
      </c>
      <c r="C243" s="11" t="n">
        <v>16</v>
      </c>
      <c r="D243" s="11" t="s">
        <v>166</v>
      </c>
      <c r="E243" s="11" t="s">
        <v>170</v>
      </c>
      <c r="F243" s="11" t="s">
        <v>80</v>
      </c>
      <c r="G243" s="12" t="n">
        <v>180</v>
      </c>
      <c r="H243" s="12" t="n">
        <f aca="false">SUMPRODUCT(ПОТОКИ!B11:G11,ЧАСОВЫЕ_ПРОФИЛИ!B18:G18,КОЭФФИЦИЕНТЫ_ВЫБОРА!F26:K26)</f>
        <v>0.2996</v>
      </c>
      <c r="I243" s="12" t="n">
        <f aca="false">SUMPRODUCT(ПОТОКИ!B11:G11,ЧАСОВЫЕ_ПРОФИЛИ!B18:G18,КОЭФФИЦИЕНТЫ_ВЫБОРА!F26:K26,ПАРАМЕТРЫ!$B$17:$G$17)</f>
        <v>0.32956</v>
      </c>
      <c r="J243" s="12" t="n">
        <f aca="false">I243*G243/1000</f>
        <v>0.0593208</v>
      </c>
      <c r="K243" s="11" t="s">
        <v>217</v>
      </c>
      <c r="L243" s="11" t="s">
        <v>19</v>
      </c>
      <c r="M243" s="11" t="s">
        <v>145</v>
      </c>
    </row>
    <row r="244" customFormat="false" ht="15" hidden="false" customHeight="false" outlineLevel="0" collapsed="false">
      <c r="A244" s="11" t="s">
        <v>107</v>
      </c>
      <c r="B244" s="11" t="s">
        <v>131</v>
      </c>
      <c r="C244" s="11" t="n">
        <v>17</v>
      </c>
      <c r="D244" s="11" t="s">
        <v>166</v>
      </c>
      <c r="E244" s="11" t="s">
        <v>171</v>
      </c>
      <c r="F244" s="11" t="s">
        <v>80</v>
      </c>
      <c r="G244" s="12" t="n">
        <v>180</v>
      </c>
      <c r="H244" s="12" t="n">
        <f aca="false">SUMPRODUCT(ПОТОКИ!B11:G11,ЧАСОВЫЕ_ПРОФИЛИ!B18:G18,КОЭФФИЦИЕНТЫ_ВЫБОРА!F27:K27)</f>
        <v>0.232</v>
      </c>
      <c r="I244" s="12" t="n">
        <f aca="false">SUMPRODUCT(ПОТОКИ!B11:G11,ЧАСОВЫЕ_ПРОФИЛИ!B18:G18,КОЭФФИЦИЕНТЫ_ВЫБОРА!F27:K27,ПАРАМЕТРЫ!$B$17:$G$17)</f>
        <v>0.2552</v>
      </c>
      <c r="J244" s="12" t="n">
        <f aca="false">I244*G244/1000</f>
        <v>0.045936</v>
      </c>
      <c r="K244" s="11" t="s">
        <v>217</v>
      </c>
      <c r="L244" s="11" t="s">
        <v>19</v>
      </c>
      <c r="M244" s="11" t="s">
        <v>145</v>
      </c>
    </row>
    <row r="245" customFormat="false" ht="15" hidden="false" customHeight="false" outlineLevel="0" collapsed="false">
      <c r="A245" s="11" t="s">
        <v>107</v>
      </c>
      <c r="B245" s="11" t="s">
        <v>131</v>
      </c>
      <c r="C245" s="11" t="n">
        <v>18</v>
      </c>
      <c r="D245" s="11" t="s">
        <v>172</v>
      </c>
      <c r="E245" s="11" t="s">
        <v>173</v>
      </c>
      <c r="F245" s="11" t="s">
        <v>83</v>
      </c>
      <c r="G245" s="12" t="n">
        <v>400</v>
      </c>
      <c r="H245" s="12" t="n">
        <f aca="false">SUMPRODUCT(ПОТОКИ!B11:G11,ЧАСОВЫЕ_ПРОФИЛИ!B18:G18,КОЭФФИЦИЕНТЫ_ВЫБОРА!F28:K28)</f>
        <v>2.324</v>
      </c>
      <c r="I245" s="12" t="n">
        <f aca="false">SUMPRODUCT(ПОТОКИ!B11:G11,ЧАСОВЫЕ_ПРОФИЛИ!B18:G18,КОЭФФИЦИЕНТЫ_ВЫБОРА!F28:K28,ПАРАМЕТРЫ!$B$17:$G$17)</f>
        <v>2.5564</v>
      </c>
      <c r="J245" s="12" t="n">
        <f aca="false">I245*G245/1000</f>
        <v>1.02256</v>
      </c>
      <c r="K245" s="11" t="s">
        <v>217</v>
      </c>
      <c r="L245" s="11" t="s">
        <v>19</v>
      </c>
      <c r="M245" s="11" t="s">
        <v>145</v>
      </c>
    </row>
    <row r="246" customFormat="false" ht="23.85" hidden="false" customHeight="false" outlineLevel="0" collapsed="false">
      <c r="A246" s="11" t="s">
        <v>107</v>
      </c>
      <c r="B246" s="11" t="s">
        <v>131</v>
      </c>
      <c r="C246" s="11" t="n">
        <v>19</v>
      </c>
      <c r="D246" s="11" t="s">
        <v>174</v>
      </c>
      <c r="E246" s="11" t="s">
        <v>175</v>
      </c>
      <c r="F246" s="11" t="s">
        <v>83</v>
      </c>
      <c r="G246" s="12" t="n">
        <v>300</v>
      </c>
      <c r="H246" s="12" t="n">
        <f aca="false">SUMPRODUCT(ПОТОКИ!B11:G11,ЧАСОВЫЕ_ПРОФИЛИ!B18:G18,КОЭФФИЦИЕНТЫ_ВЫБОРА!F29:K29)</f>
        <v>1.834</v>
      </c>
      <c r="I246" s="12" t="n">
        <f aca="false">SUMPRODUCT(ПОТОКИ!B11:G11,ЧАСОВЫЕ_ПРОФИЛИ!B18:G18,КОЭФФИЦИЕНТЫ_ВЫБОРА!F29:K29,ПАРАМЕТРЫ!$B$17:$G$17)</f>
        <v>2.0174</v>
      </c>
      <c r="J246" s="12" t="n">
        <f aca="false">I246*G246/1000</f>
        <v>0.60522</v>
      </c>
      <c r="K246" s="11" t="s">
        <v>217</v>
      </c>
      <c r="L246" s="11" t="s">
        <v>19</v>
      </c>
      <c r="M246" s="11" t="s">
        <v>145</v>
      </c>
    </row>
    <row r="247" customFormat="false" ht="15" hidden="false" customHeight="false" outlineLevel="0" collapsed="false">
      <c r="A247" s="11" t="s">
        <v>107</v>
      </c>
      <c r="B247" s="11" t="s">
        <v>131</v>
      </c>
      <c r="C247" s="11" t="n">
        <v>20</v>
      </c>
      <c r="D247" s="11" t="s">
        <v>174</v>
      </c>
      <c r="E247" s="11" t="s">
        <v>176</v>
      </c>
      <c r="F247" s="11" t="s">
        <v>83</v>
      </c>
      <c r="G247" s="12" t="n">
        <v>360</v>
      </c>
      <c r="H247" s="12" t="n">
        <f aca="false">SUMPRODUCT(ПОТОКИ!B11:G11,ЧАСОВЫЕ_ПРОФИЛИ!B18:G18,КОЭФФИЦИЕНТЫ_ВЫБОРА!F30:K30)</f>
        <v>1.3412</v>
      </c>
      <c r="I247" s="12" t="n">
        <f aca="false">SUMPRODUCT(ПОТОКИ!B11:G11,ЧАСОВЫЕ_ПРОФИЛИ!B18:G18,КОЭФФИЦИЕНТЫ_ВЫБОРА!F30:K30,ПАРАМЕТРЫ!$B$17:$G$17)</f>
        <v>1.47532</v>
      </c>
      <c r="J247" s="12" t="n">
        <f aca="false">I247*G247/1000</f>
        <v>0.5311152</v>
      </c>
      <c r="K247" s="11" t="s">
        <v>217</v>
      </c>
      <c r="L247" s="11" t="s">
        <v>19</v>
      </c>
      <c r="M247" s="11" t="s">
        <v>145</v>
      </c>
    </row>
    <row r="248" customFormat="false" ht="15" hidden="false" customHeight="false" outlineLevel="0" collapsed="false">
      <c r="A248" s="11" t="s">
        <v>107</v>
      </c>
      <c r="B248" s="11" t="s">
        <v>131</v>
      </c>
      <c r="C248" s="11" t="n">
        <v>21</v>
      </c>
      <c r="D248" s="11" t="s">
        <v>174</v>
      </c>
      <c r="E248" s="11" t="s">
        <v>177</v>
      </c>
      <c r="F248" s="11" t="s">
        <v>83</v>
      </c>
      <c r="G248" s="12" t="n">
        <v>350</v>
      </c>
      <c r="H248" s="12" t="n">
        <f aca="false">SUMPRODUCT(ПОТОКИ!B11:G11,ЧАСОВЫЕ_ПРОФИЛИ!B18:G18,КОЭФФИЦИЕНТЫ_ВЫБОРА!F31:K31)</f>
        <v>2.2518</v>
      </c>
      <c r="I248" s="12" t="n">
        <f aca="false">SUMPRODUCT(ПОТОКИ!B11:G11,ЧАСОВЫЕ_ПРОФИЛИ!B18:G18,КОЭФФИЦИЕНТЫ_ВЫБОРА!F31:K31,ПАРАМЕТРЫ!$B$17:$G$17)</f>
        <v>2.47698</v>
      </c>
      <c r="J248" s="12" t="n">
        <f aca="false">I248*G248/1000</f>
        <v>0.866943</v>
      </c>
      <c r="K248" s="11" t="s">
        <v>217</v>
      </c>
      <c r="L248" s="11" t="s">
        <v>19</v>
      </c>
      <c r="M248" s="11" t="s">
        <v>145</v>
      </c>
    </row>
    <row r="249" customFormat="false" ht="15" hidden="false" customHeight="false" outlineLevel="0" collapsed="false">
      <c r="A249" s="11" t="s">
        <v>107</v>
      </c>
      <c r="B249" s="11" t="s">
        <v>131</v>
      </c>
      <c r="C249" s="11" t="n">
        <v>22</v>
      </c>
      <c r="D249" s="11" t="s">
        <v>174</v>
      </c>
      <c r="E249" s="11" t="s">
        <v>178</v>
      </c>
      <c r="F249" s="11" t="s">
        <v>83</v>
      </c>
      <c r="G249" s="12" t="n">
        <v>300</v>
      </c>
      <c r="H249" s="12" t="n">
        <f aca="false">SUMPRODUCT(ПОТОКИ!B11:G11,ЧАСОВЫЕ_ПРОФИЛИ!B18:G18,КОЭФФИЦИЕНТЫ_ВЫБОРА!F32:K32)</f>
        <v>1.129</v>
      </c>
      <c r="I249" s="12" t="n">
        <f aca="false">SUMPRODUCT(ПОТОКИ!B11:G11,ЧАСОВЫЕ_ПРОФИЛИ!B18:G18,КОЭФФИЦИЕНТЫ_ВЫБОРА!F32:K32,ПАРАМЕТРЫ!$B$17:$G$17)</f>
        <v>1.2419</v>
      </c>
      <c r="J249" s="12" t="n">
        <f aca="false">I249*G249/1000</f>
        <v>0.37257</v>
      </c>
      <c r="K249" s="11" t="s">
        <v>217</v>
      </c>
      <c r="L249" s="11" t="s">
        <v>19</v>
      </c>
      <c r="M249" s="11" t="s">
        <v>145</v>
      </c>
    </row>
    <row r="250" customFormat="false" ht="15" hidden="false" customHeight="false" outlineLevel="0" collapsed="false">
      <c r="A250" s="11" t="s">
        <v>107</v>
      </c>
      <c r="B250" s="11" t="s">
        <v>131</v>
      </c>
      <c r="C250" s="11" t="n">
        <v>23</v>
      </c>
      <c r="D250" s="11" t="s">
        <v>86</v>
      </c>
      <c r="E250" s="11" t="s">
        <v>179</v>
      </c>
      <c r="F250" s="11" t="s">
        <v>85</v>
      </c>
      <c r="G250" s="12" t="n">
        <v>150</v>
      </c>
      <c r="H250" s="12" t="n">
        <f aca="false">SUMPRODUCT(ПОТОКИ!B11:G11,ЧАСОВЫЕ_ПРОФИЛИ!B18:G18,КОЭФФИЦИЕНТЫ_ВЫБОРА!F33:K33)</f>
        <v>1.757258</v>
      </c>
      <c r="I250" s="12" t="n">
        <f aca="false">SUMPRODUCT(ПОТОКИ!B11:G11,ЧАСОВЫЕ_ПРОФИЛИ!B18:G18,КОЭФФИЦИЕНТЫ_ВЫБОРА!F33:K33,ПАРАМЕТРЫ!$B$17:$G$17)</f>
        <v>1.9329838</v>
      </c>
      <c r="J250" s="12" t="n">
        <f aca="false">I250*G250/1000</f>
        <v>0.28994757</v>
      </c>
      <c r="K250" s="11" t="s">
        <v>217</v>
      </c>
      <c r="L250" s="11" t="s">
        <v>19</v>
      </c>
      <c r="M250" s="11" t="s">
        <v>147</v>
      </c>
    </row>
    <row r="251" customFormat="false" ht="15" hidden="false" customHeight="false" outlineLevel="0" collapsed="false">
      <c r="A251" s="11" t="s">
        <v>107</v>
      </c>
      <c r="B251" s="11" t="s">
        <v>131</v>
      </c>
      <c r="C251" s="11" t="n">
        <v>24</v>
      </c>
      <c r="D251" s="11" t="s">
        <v>86</v>
      </c>
      <c r="E251" s="11" t="s">
        <v>180</v>
      </c>
      <c r="F251" s="11" t="s">
        <v>85</v>
      </c>
      <c r="G251" s="12" t="n">
        <v>150</v>
      </c>
      <c r="H251" s="12" t="n">
        <f aca="false">SUMPRODUCT(ПОТОКИ!B11:G11,ЧАСОВЫЕ_ПРОФИЛИ!B18:G18,КОЭФФИЦИЕНТЫ_ВЫБОРА!F34:K34)</f>
        <v>0.738004</v>
      </c>
      <c r="I251" s="12" t="n">
        <f aca="false">SUMPRODUCT(ПОТОКИ!B11:G11,ЧАСОВЫЕ_ПРОФИЛИ!B18:G18,КОЭФФИЦИЕНТЫ_ВЫБОРА!F34:K34,ПАРАМЕТРЫ!$B$17:$G$17)</f>
        <v>0.8118044</v>
      </c>
      <c r="J251" s="12" t="n">
        <f aca="false">I251*G251/1000</f>
        <v>0.12177066</v>
      </c>
      <c r="K251" s="11" t="s">
        <v>217</v>
      </c>
      <c r="L251" s="11" t="s">
        <v>19</v>
      </c>
      <c r="M251" s="11" t="s">
        <v>147</v>
      </c>
    </row>
    <row r="252" customFormat="false" ht="15" hidden="false" customHeight="false" outlineLevel="0" collapsed="false">
      <c r="A252" s="11" t="s">
        <v>107</v>
      </c>
      <c r="B252" s="11" t="s">
        <v>131</v>
      </c>
      <c r="C252" s="11" t="n">
        <v>25</v>
      </c>
      <c r="D252" s="11" t="s">
        <v>86</v>
      </c>
      <c r="E252" s="11" t="s">
        <v>181</v>
      </c>
      <c r="F252" s="11" t="s">
        <v>85</v>
      </c>
      <c r="G252" s="12" t="n">
        <v>150</v>
      </c>
      <c r="H252" s="12" t="n">
        <f aca="false">SUMPRODUCT(ПОТОКИ!B11:G11,ЧАСОВЫЕ_ПРОФИЛИ!B18:G18,КОЭФФИЦИЕНТЫ_ВЫБОРА!F35:K35)</f>
        <v>1.194758</v>
      </c>
      <c r="I252" s="12" t="n">
        <f aca="false">SUMPRODUCT(ПОТОКИ!B11:G11,ЧАСОВЫЕ_ПРОФИЛИ!B18:G18,КОЭФФИЦИЕНТЫ_ВЫБОРА!F35:K35,ПАРАМЕТРЫ!$B$17:$G$17)</f>
        <v>1.3142338</v>
      </c>
      <c r="J252" s="12" t="n">
        <f aca="false">I252*G252/1000</f>
        <v>0.19713507</v>
      </c>
      <c r="K252" s="11" t="s">
        <v>217</v>
      </c>
      <c r="L252" s="11" t="s">
        <v>19</v>
      </c>
      <c r="M252" s="11" t="s">
        <v>147</v>
      </c>
    </row>
    <row r="253" customFormat="false" ht="23.85" hidden="false" customHeight="false" outlineLevel="0" collapsed="false">
      <c r="A253" s="11" t="s">
        <v>107</v>
      </c>
      <c r="B253" s="11" t="s">
        <v>131</v>
      </c>
      <c r="C253" s="11" t="n">
        <v>26</v>
      </c>
      <c r="D253" s="11" t="s">
        <v>89</v>
      </c>
      <c r="E253" s="11" t="s">
        <v>182</v>
      </c>
      <c r="F253" s="11" t="s">
        <v>88</v>
      </c>
      <c r="G253" s="12" t="n">
        <v>225</v>
      </c>
      <c r="H253" s="12" t="n">
        <f aca="false">SUMPRODUCT(ПОТОКИ!B11:G11,ЧАСОВЫЕ_ПРОФИЛИ!B18:G18,КОЭФФИЦИЕНТЫ_ВЫБОРА!F36:K36)</f>
        <v>0</v>
      </c>
      <c r="I253" s="12" t="n">
        <f aca="false">SUMPRODUCT(ПОТОКИ!B11:G11,ЧАСОВЫЕ_ПРОФИЛИ!B18:G18,КОЭФФИЦИЕНТЫ_ВЫБОРА!F36:K36,ПАРАМЕТРЫ!$B$17:$G$17)</f>
        <v>0</v>
      </c>
      <c r="J253" s="12" t="n">
        <f aca="false">I253*G253/1000</f>
        <v>0</v>
      </c>
      <c r="K253" s="11" t="s">
        <v>217</v>
      </c>
      <c r="L253" s="11" t="s">
        <v>19</v>
      </c>
      <c r="M253" s="11" t="s">
        <v>145</v>
      </c>
    </row>
    <row r="254" customFormat="false" ht="23.85" hidden="false" customHeight="false" outlineLevel="0" collapsed="false">
      <c r="A254" s="11" t="s">
        <v>107</v>
      </c>
      <c r="B254" s="11" t="s">
        <v>131</v>
      </c>
      <c r="C254" s="11" t="n">
        <v>27</v>
      </c>
      <c r="D254" s="11" t="s">
        <v>89</v>
      </c>
      <c r="E254" s="11" t="s">
        <v>183</v>
      </c>
      <c r="F254" s="11" t="s">
        <v>88</v>
      </c>
      <c r="G254" s="12" t="n">
        <v>265</v>
      </c>
      <c r="H254" s="12" t="n">
        <f aca="false">SUMPRODUCT(ПОТОКИ!B11:G11,ЧАСОВЫЕ_ПРОФИЛИ!B18:G18,КОЭФФИЦИЕНТЫ_ВЫБОРА!F37:K37)</f>
        <v>0</v>
      </c>
      <c r="I254" s="12" t="n">
        <f aca="false">SUMPRODUCT(ПОТОКИ!B11:G11,ЧАСОВЫЕ_ПРОФИЛИ!B18:G18,КОЭФФИЦИЕНТЫ_ВЫБОРА!F37:K37,ПАРАМЕТРЫ!$B$17:$G$17)</f>
        <v>0</v>
      </c>
      <c r="J254" s="12" t="n">
        <f aca="false">I254*G254/1000</f>
        <v>0</v>
      </c>
      <c r="K254" s="11" t="s">
        <v>217</v>
      </c>
      <c r="L254" s="11" t="s">
        <v>19</v>
      </c>
      <c r="M254" s="11" t="s">
        <v>145</v>
      </c>
    </row>
    <row r="255" customFormat="false" ht="23.85" hidden="false" customHeight="false" outlineLevel="0" collapsed="false">
      <c r="A255" s="11" t="s">
        <v>107</v>
      </c>
      <c r="B255" s="11" t="s">
        <v>131</v>
      </c>
      <c r="C255" s="11" t="n">
        <v>28</v>
      </c>
      <c r="D255" s="11" t="s">
        <v>89</v>
      </c>
      <c r="E255" s="11" t="s">
        <v>184</v>
      </c>
      <c r="F255" s="11" t="s">
        <v>88</v>
      </c>
      <c r="G255" s="12" t="n">
        <v>355</v>
      </c>
      <c r="H255" s="12" t="n">
        <f aca="false">SUMPRODUCT(ПОТОКИ!B11:G11,ЧАСОВЫЕ_ПРОФИЛИ!B18:G18,КОЭФФИЦИЕНТЫ_ВЫБОРА!F38:K38)</f>
        <v>0</v>
      </c>
      <c r="I255" s="12" t="n">
        <f aca="false">SUMPRODUCT(ПОТОКИ!B11:G11,ЧАСОВЫЕ_ПРОФИЛИ!B18:G18,КОЭФФИЦИЕНТЫ_ВЫБОРА!F38:K38,ПАРАМЕТРЫ!$B$17:$G$17)</f>
        <v>0</v>
      </c>
      <c r="J255" s="12" t="n">
        <f aca="false">I255*G255/1000</f>
        <v>0</v>
      </c>
      <c r="K255" s="11" t="s">
        <v>217</v>
      </c>
      <c r="L255" s="11" t="s">
        <v>19</v>
      </c>
      <c r="M255" s="11" t="s">
        <v>145</v>
      </c>
    </row>
    <row r="256" customFormat="false" ht="15" hidden="false" customHeight="false" outlineLevel="0" collapsed="false">
      <c r="A256" s="11" t="s">
        <v>107</v>
      </c>
      <c r="B256" s="11" t="s">
        <v>131</v>
      </c>
      <c r="C256" s="11" t="n">
        <v>29</v>
      </c>
      <c r="D256" s="11" t="s">
        <v>92</v>
      </c>
      <c r="E256" s="11" t="s">
        <v>185</v>
      </c>
      <c r="F256" s="11" t="s">
        <v>91</v>
      </c>
      <c r="G256" s="12" t="n">
        <v>150</v>
      </c>
      <c r="H256" s="12" t="n">
        <f aca="false">SUMPRODUCT(ПОТОКИ!B11:G11,ЧАСОВЫЕ_ПРОФИЛИ!B18:G18,КОЭФФИЦИЕНТЫ_ВЫБОРА!F39:K39)</f>
        <v>0.2784</v>
      </c>
      <c r="I256" s="12" t="n">
        <f aca="false">SUMPRODUCT(ПОТОКИ!B11:G11,ЧАСОВЫЕ_ПРОФИЛИ!B18:G18,КОЭФФИЦИЕНТЫ_ВЫБОРА!F39:K39,ПАРАМЕТРЫ!$B$17:$G$17)</f>
        <v>0.30624</v>
      </c>
      <c r="J256" s="12" t="n">
        <f aca="false">I256*G256/1000</f>
        <v>0.045936</v>
      </c>
      <c r="K256" s="11" t="s">
        <v>217</v>
      </c>
      <c r="L256" s="11" t="s">
        <v>19</v>
      </c>
      <c r="M256" s="11" t="s">
        <v>145</v>
      </c>
    </row>
    <row r="257" customFormat="false" ht="15" hidden="false" customHeight="false" outlineLevel="0" collapsed="false">
      <c r="A257" s="11" t="s">
        <v>107</v>
      </c>
      <c r="B257" s="11" t="s">
        <v>131</v>
      </c>
      <c r="C257" s="11" t="n">
        <v>30</v>
      </c>
      <c r="D257" s="11" t="s">
        <v>92</v>
      </c>
      <c r="E257" s="11" t="s">
        <v>186</v>
      </c>
      <c r="F257" s="11" t="s">
        <v>91</v>
      </c>
      <c r="G257" s="12" t="n">
        <v>120</v>
      </c>
      <c r="H257" s="12" t="n">
        <f aca="false">SUMPRODUCT(ПОТОКИ!B11:G11,ЧАСОВЫЕ_ПРОФИЛИ!B18:G18,КОЭФФИЦИЕНТЫ_ВЫБОРА!F40:K40)</f>
        <v>0.2784</v>
      </c>
      <c r="I257" s="12" t="n">
        <f aca="false">SUMPRODUCT(ПОТОКИ!B11:G11,ЧАСОВЫЕ_ПРОФИЛИ!B18:G18,КОЭФФИЦИЕНТЫ_ВЫБОРА!F40:K40,ПАРАМЕТРЫ!$B$17:$G$17)</f>
        <v>0.30624</v>
      </c>
      <c r="J257" s="12" t="n">
        <f aca="false">I257*G257/1000</f>
        <v>0.0367488</v>
      </c>
      <c r="K257" s="11" t="s">
        <v>217</v>
      </c>
      <c r="L257" s="11" t="s">
        <v>19</v>
      </c>
      <c r="M257" s="11" t="s">
        <v>145</v>
      </c>
    </row>
    <row r="258" customFormat="false" ht="15" hidden="false" customHeight="false" outlineLevel="0" collapsed="false">
      <c r="A258" s="11" t="s">
        <v>107</v>
      </c>
      <c r="B258" s="11" t="s">
        <v>131</v>
      </c>
      <c r="C258" s="11" t="n">
        <v>31</v>
      </c>
      <c r="D258" s="11" t="s">
        <v>92</v>
      </c>
      <c r="E258" s="11" t="s">
        <v>187</v>
      </c>
      <c r="F258" s="11" t="s">
        <v>91</v>
      </c>
      <c r="G258" s="12" t="n">
        <v>60</v>
      </c>
      <c r="H258" s="12" t="n">
        <f aca="false">SUMPRODUCT(ПОТОКИ!B11:G11,ЧАСОВЫЕ_ПРОФИЛИ!B18:G18,КОЭФФИЦИЕНТЫ_ВЫБОРА!F41:K41)</f>
        <v>0.2592</v>
      </c>
      <c r="I258" s="12" t="n">
        <f aca="false">SUMPRODUCT(ПОТОКИ!B11:G11,ЧАСОВЫЕ_ПРОФИЛИ!B18:G18,КОЭФФИЦИЕНТЫ_ВЫБОРА!F41:K41,ПАРАМЕТРЫ!$B$17:$G$17)</f>
        <v>0.28512</v>
      </c>
      <c r="J258" s="12" t="n">
        <f aca="false">I258*G258/1000</f>
        <v>0.0171072</v>
      </c>
      <c r="K258" s="11" t="s">
        <v>217</v>
      </c>
      <c r="L258" s="11" t="s">
        <v>19</v>
      </c>
      <c r="M258" s="11" t="s">
        <v>145</v>
      </c>
    </row>
    <row r="259" customFormat="false" ht="15" hidden="false" customHeight="false" outlineLevel="0" collapsed="false">
      <c r="A259" s="11" t="s">
        <v>107</v>
      </c>
      <c r="B259" s="11" t="s">
        <v>132</v>
      </c>
      <c r="C259" s="11" t="n">
        <v>1</v>
      </c>
      <c r="D259" s="11" t="s">
        <v>74</v>
      </c>
      <c r="E259" s="11" t="s">
        <v>153</v>
      </c>
      <c r="F259" s="11" t="s">
        <v>73</v>
      </c>
      <c r="G259" s="12" t="n">
        <v>450</v>
      </c>
      <c r="H259" s="12" t="n">
        <f aca="false">SUMPRODUCT(ПОТОКИ!B11:G11,ЧАСОВЫЕ_ПРОФИЛИ!B19:G19,КОЭФФИЦИЕНТЫ_ВЫБОРА!F11:K11)</f>
        <v>0.1524</v>
      </c>
      <c r="I259" s="12" t="n">
        <f aca="false">SUMPRODUCT(ПОТОКИ!B11:G11,ЧАСОВЫЕ_ПРОФИЛИ!B19:G19,КОЭФФИЦИЕНТЫ_ВЫБОРА!F11:K11,ПАРАМЕТРЫ!$B$17:$G$17)</f>
        <v>0.16764</v>
      </c>
      <c r="J259" s="12" t="n">
        <f aca="false">I259*G259/1000</f>
        <v>0.075438</v>
      </c>
      <c r="K259" s="11" t="s">
        <v>217</v>
      </c>
      <c r="L259" s="11" t="s">
        <v>19</v>
      </c>
      <c r="M259" s="11" t="s">
        <v>145</v>
      </c>
    </row>
    <row r="260" customFormat="false" ht="15" hidden="false" customHeight="false" outlineLevel="0" collapsed="false">
      <c r="A260" s="11" t="s">
        <v>107</v>
      </c>
      <c r="B260" s="11" t="s">
        <v>132</v>
      </c>
      <c r="C260" s="11" t="n">
        <v>2</v>
      </c>
      <c r="D260" s="11" t="s">
        <v>74</v>
      </c>
      <c r="E260" s="11" t="s">
        <v>154</v>
      </c>
      <c r="F260" s="11" t="s">
        <v>73</v>
      </c>
      <c r="G260" s="12" t="n">
        <v>480</v>
      </c>
      <c r="H260" s="12" t="n">
        <f aca="false">SUMPRODUCT(ПОТОКИ!B11:G11,ЧАСОВЫЕ_ПРОФИЛИ!B19:G19,КОЭФФИЦИЕНТЫ_ВЫБОРА!F12:K12)</f>
        <v>0.2042</v>
      </c>
      <c r="I260" s="12" t="n">
        <f aca="false">SUMPRODUCT(ПОТОКИ!B11:G11,ЧАСОВЫЕ_ПРОФИЛИ!B19:G19,КОЭФФИЦИЕНТЫ_ВЫБОРА!F12:K12,ПАРАМЕТРЫ!$B$17:$G$17)</f>
        <v>0.22462</v>
      </c>
      <c r="J260" s="12" t="n">
        <f aca="false">I260*G260/1000</f>
        <v>0.1078176</v>
      </c>
      <c r="K260" s="11" t="s">
        <v>217</v>
      </c>
      <c r="L260" s="11" t="s">
        <v>19</v>
      </c>
      <c r="M260" s="11" t="s">
        <v>145</v>
      </c>
    </row>
    <row r="261" customFormat="false" ht="15" hidden="false" customHeight="false" outlineLevel="0" collapsed="false">
      <c r="A261" s="11" t="s">
        <v>107</v>
      </c>
      <c r="B261" s="11" t="s">
        <v>132</v>
      </c>
      <c r="C261" s="11" t="n">
        <v>3</v>
      </c>
      <c r="D261" s="11" t="s">
        <v>74</v>
      </c>
      <c r="E261" s="11" t="s">
        <v>155</v>
      </c>
      <c r="F261" s="11" t="s">
        <v>73</v>
      </c>
      <c r="G261" s="12" t="n">
        <v>500</v>
      </c>
      <c r="H261" s="12" t="n">
        <f aca="false">SUMPRODUCT(ПОТОКИ!B11:G11,ЧАСОВЫЕ_ПРОФИЛИ!B19:G19,КОЭФФИЦИЕНТЫ_ВЫБОРА!F13:K13)</f>
        <v>0.3438</v>
      </c>
      <c r="I261" s="12" t="n">
        <f aca="false">SUMPRODUCT(ПОТОКИ!B11:G11,ЧАСОВЫЕ_ПРОФИЛИ!B19:G19,КОЭФФИЦИЕНТЫ_ВЫБОРА!F13:K13,ПАРАМЕТРЫ!$B$17:$G$17)</f>
        <v>0.37818</v>
      </c>
      <c r="J261" s="12" t="n">
        <f aca="false">I261*G261/1000</f>
        <v>0.18909</v>
      </c>
      <c r="K261" s="11" t="s">
        <v>217</v>
      </c>
      <c r="L261" s="11" t="s">
        <v>19</v>
      </c>
      <c r="M261" s="11" t="s">
        <v>145</v>
      </c>
    </row>
    <row r="262" customFormat="false" ht="15" hidden="false" customHeight="false" outlineLevel="0" collapsed="false">
      <c r="A262" s="11" t="s">
        <v>107</v>
      </c>
      <c r="B262" s="11" t="s">
        <v>132</v>
      </c>
      <c r="C262" s="11" t="n">
        <v>4</v>
      </c>
      <c r="D262" s="11" t="s">
        <v>74</v>
      </c>
      <c r="E262" s="11" t="s">
        <v>156</v>
      </c>
      <c r="F262" s="11" t="s">
        <v>73</v>
      </c>
      <c r="G262" s="12" t="n">
        <v>500</v>
      </c>
      <c r="H262" s="12" t="n">
        <f aca="false">SUMPRODUCT(ПОТОКИ!B11:G11,ЧАСОВЫЕ_ПРОФИЛИ!B19:G19,КОЭФФИЦИЕНТЫ_ВЫБОРА!F14:K14)</f>
        <v>0.3956</v>
      </c>
      <c r="I262" s="12" t="n">
        <f aca="false">SUMPRODUCT(ПОТОКИ!B11:G11,ЧАСОВЫЕ_ПРОФИЛИ!B19:G19,КОЭФФИЦИЕНТЫ_ВЫБОРА!F14:K14,ПАРАМЕТРЫ!$B$17:$G$17)</f>
        <v>0.43516</v>
      </c>
      <c r="J262" s="12" t="n">
        <f aca="false">I262*G262/1000</f>
        <v>0.21758</v>
      </c>
      <c r="K262" s="11" t="s">
        <v>217</v>
      </c>
      <c r="L262" s="11" t="s">
        <v>19</v>
      </c>
      <c r="M262" s="11" t="s">
        <v>145</v>
      </c>
    </row>
    <row r="263" customFormat="false" ht="15" hidden="false" customHeight="false" outlineLevel="0" collapsed="false">
      <c r="A263" s="11" t="s">
        <v>107</v>
      </c>
      <c r="B263" s="11" t="s">
        <v>132</v>
      </c>
      <c r="C263" s="11" t="n">
        <v>5</v>
      </c>
      <c r="D263" s="11" t="s">
        <v>78</v>
      </c>
      <c r="E263" s="11" t="s">
        <v>157</v>
      </c>
      <c r="F263" s="11" t="s">
        <v>77</v>
      </c>
      <c r="G263" s="12" t="n">
        <v>100</v>
      </c>
      <c r="H263" s="12" t="n">
        <f aca="false">SUMPRODUCT(ПОТОКИ!B11:G11,ЧАСОВЫЕ_ПРОФИЛИ!B19:G19,КОЭФФИЦИЕНТЫ_ВЫБОРА!F15:K15)</f>
        <v>0.4332</v>
      </c>
      <c r="I263" s="12" t="n">
        <f aca="false">SUMPRODUCT(ПОТОКИ!B11:G11,ЧАСОВЫЕ_ПРОФИЛИ!B19:G19,КОЭФФИЦИЕНТЫ_ВЫБОРА!F15:K15,ПАРАМЕТРЫ!$B$17:$G$17)</f>
        <v>0.47652</v>
      </c>
      <c r="J263" s="12" t="n">
        <f aca="false">I263*G263/1000</f>
        <v>0.047652</v>
      </c>
      <c r="K263" s="11" t="s">
        <v>217</v>
      </c>
      <c r="L263" s="11" t="s">
        <v>19</v>
      </c>
      <c r="M263" s="11" t="s">
        <v>147</v>
      </c>
    </row>
    <row r="264" customFormat="false" ht="15" hidden="false" customHeight="false" outlineLevel="0" collapsed="false">
      <c r="A264" s="11" t="s">
        <v>107</v>
      </c>
      <c r="B264" s="11" t="s">
        <v>132</v>
      </c>
      <c r="C264" s="11" t="n">
        <v>6</v>
      </c>
      <c r="D264" s="11" t="s">
        <v>78</v>
      </c>
      <c r="E264" s="11" t="s">
        <v>158</v>
      </c>
      <c r="F264" s="11" t="s">
        <v>77</v>
      </c>
      <c r="G264" s="12" t="n">
        <v>100</v>
      </c>
      <c r="H264" s="12" t="n">
        <f aca="false">SUMPRODUCT(ПОТОКИ!B11:G11,ЧАСОВЫЕ_ПРОФИЛИ!B19:G19,КОЭФФИЦИЕНТЫ_ВЫБОРА!F16:K16)</f>
        <v>0.4104</v>
      </c>
      <c r="I264" s="12" t="n">
        <f aca="false">SUMPRODUCT(ПОТОКИ!B11:G11,ЧАСОВЫЕ_ПРОФИЛИ!B19:G19,КОЭФФИЦИЕНТЫ_ВЫБОРА!F16:K16,ПАРАМЕТРЫ!$B$17:$G$17)</f>
        <v>0.45144</v>
      </c>
      <c r="J264" s="12" t="n">
        <f aca="false">I264*G264/1000</f>
        <v>0.045144</v>
      </c>
      <c r="K264" s="11" t="s">
        <v>217</v>
      </c>
      <c r="L264" s="11" t="s">
        <v>19</v>
      </c>
      <c r="M264" s="11" t="s">
        <v>147</v>
      </c>
    </row>
    <row r="265" customFormat="false" ht="15" hidden="false" customHeight="false" outlineLevel="0" collapsed="false">
      <c r="A265" s="11" t="s">
        <v>107</v>
      </c>
      <c r="B265" s="11" t="s">
        <v>132</v>
      </c>
      <c r="C265" s="11" t="n">
        <v>7</v>
      </c>
      <c r="D265" s="11" t="s">
        <v>78</v>
      </c>
      <c r="E265" s="11" t="s">
        <v>159</v>
      </c>
      <c r="F265" s="11" t="s">
        <v>77</v>
      </c>
      <c r="G265" s="12" t="n">
        <v>350</v>
      </c>
      <c r="H265" s="12" t="n">
        <f aca="false">SUMPRODUCT(ПОТОКИ!B11:G11,ЧАСОВЫЕ_ПРОФИЛИ!B19:G19,КОЭФФИЦИЕНТЫ_ВЫБОРА!F17:K17)</f>
        <v>0.3534</v>
      </c>
      <c r="I265" s="12" t="n">
        <f aca="false">SUMPRODUCT(ПОТОКИ!B11:G11,ЧАСОВЫЕ_ПРОФИЛИ!B19:G19,КОЭФФИЦИЕНТЫ_ВЫБОРА!F17:K17,ПАРАМЕТРЫ!$B$17:$G$17)</f>
        <v>0.38874</v>
      </c>
      <c r="J265" s="12" t="n">
        <f aca="false">I265*G265/1000</f>
        <v>0.136059</v>
      </c>
      <c r="K265" s="11" t="s">
        <v>217</v>
      </c>
      <c r="L265" s="11" t="s">
        <v>19</v>
      </c>
      <c r="M265" s="11" t="s">
        <v>147</v>
      </c>
    </row>
    <row r="266" customFormat="false" ht="15" hidden="false" customHeight="false" outlineLevel="0" collapsed="false">
      <c r="A266" s="11" t="s">
        <v>107</v>
      </c>
      <c r="B266" s="11" t="s">
        <v>132</v>
      </c>
      <c r="C266" s="11" t="n">
        <v>8</v>
      </c>
      <c r="D266" s="11" t="s">
        <v>78</v>
      </c>
      <c r="E266" s="11" t="s">
        <v>160</v>
      </c>
      <c r="F266" s="11" t="s">
        <v>77</v>
      </c>
      <c r="G266" s="12" t="n">
        <v>85</v>
      </c>
      <c r="H266" s="12" t="n">
        <f aca="false">SUMPRODUCT(ПОТОКИ!B11:G11,ЧАСОВЫЕ_ПРОФИЛИ!B19:G19,КОЭФФИЦИЕНТЫ_ВЫБОРА!F18:K18)</f>
        <v>0.2166</v>
      </c>
      <c r="I266" s="12" t="n">
        <f aca="false">SUMPRODUCT(ПОТОКИ!B11:G11,ЧАСОВЫЕ_ПРОФИЛИ!B19:G19,КОЭФФИЦИЕНТЫ_ВЫБОРА!F18:K18,ПАРАМЕТРЫ!$B$17:$G$17)</f>
        <v>0.23826</v>
      </c>
      <c r="J266" s="12" t="n">
        <f aca="false">I266*G266/1000</f>
        <v>0.0202521</v>
      </c>
      <c r="K266" s="11" t="s">
        <v>217</v>
      </c>
      <c r="L266" s="11" t="s">
        <v>19</v>
      </c>
      <c r="M266" s="11" t="s">
        <v>147</v>
      </c>
    </row>
    <row r="267" customFormat="false" ht="15" hidden="false" customHeight="false" outlineLevel="0" collapsed="false">
      <c r="A267" s="11" t="s">
        <v>107</v>
      </c>
      <c r="B267" s="11" t="s">
        <v>132</v>
      </c>
      <c r="C267" s="11" t="n">
        <v>9</v>
      </c>
      <c r="D267" s="11" t="s">
        <v>161</v>
      </c>
      <c r="E267" s="11" t="s">
        <v>162</v>
      </c>
      <c r="F267" s="11" t="s">
        <v>80</v>
      </c>
      <c r="G267" s="12" t="n">
        <v>300</v>
      </c>
      <c r="H267" s="12" t="n">
        <f aca="false">SUMPRODUCT(ПОТОКИ!B11:G11,ЧАСОВЫЕ_ПРОФИЛИ!B19:G19,КОЭФФИЦИЕНТЫ_ВЫБОРА!F19:K19)</f>
        <v>0.164</v>
      </c>
      <c r="I267" s="12" t="n">
        <f aca="false">SUMPRODUCT(ПОТОКИ!B11:G11,ЧАСОВЫЕ_ПРОФИЛИ!B19:G19,КОЭФФИЦИЕНТЫ_ВЫБОРА!F19:K19,ПАРАМЕТРЫ!$B$17:$G$17)</f>
        <v>0.1804</v>
      </c>
      <c r="J267" s="12" t="n">
        <f aca="false">I267*G267/1000</f>
        <v>0.05412</v>
      </c>
      <c r="K267" s="11" t="s">
        <v>217</v>
      </c>
      <c r="L267" s="11" t="s">
        <v>19</v>
      </c>
      <c r="M267" s="11" t="s">
        <v>145</v>
      </c>
    </row>
    <row r="268" customFormat="false" ht="15" hidden="false" customHeight="false" outlineLevel="0" collapsed="false">
      <c r="A268" s="11" t="s">
        <v>107</v>
      </c>
      <c r="B268" s="11" t="s">
        <v>132</v>
      </c>
      <c r="C268" s="11" t="n">
        <v>10</v>
      </c>
      <c r="D268" s="11" t="s">
        <v>161</v>
      </c>
      <c r="E268" s="11" t="s">
        <v>163</v>
      </c>
      <c r="F268" s="11" t="s">
        <v>80</v>
      </c>
      <c r="G268" s="12" t="n">
        <v>280</v>
      </c>
      <c r="H268" s="12" t="n">
        <f aca="false">SUMPRODUCT(ПОТОКИ!B11:G11,ЧАСОВЫЕ_ПРОФИЛИ!B19:G19,КОЭФФИЦИЕНТЫ_ВЫБОРА!F20:K20)</f>
        <v>0.232</v>
      </c>
      <c r="I268" s="12" t="n">
        <f aca="false">SUMPRODUCT(ПОТОКИ!B11:G11,ЧАСОВЫЕ_ПРОФИЛИ!B19:G19,КОЭФФИЦИЕНТЫ_ВЫБОРА!F20:K20,ПАРАМЕТРЫ!$B$17:$G$17)</f>
        <v>0.2552</v>
      </c>
      <c r="J268" s="12" t="n">
        <f aca="false">I268*G268/1000</f>
        <v>0.071456</v>
      </c>
      <c r="K268" s="11" t="s">
        <v>217</v>
      </c>
      <c r="L268" s="11" t="s">
        <v>19</v>
      </c>
      <c r="M268" s="11" t="s">
        <v>145</v>
      </c>
    </row>
    <row r="269" customFormat="false" ht="15" hidden="false" customHeight="false" outlineLevel="0" collapsed="false">
      <c r="A269" s="11" t="s">
        <v>107</v>
      </c>
      <c r="B269" s="11" t="s">
        <v>132</v>
      </c>
      <c r="C269" s="11" t="n">
        <v>11</v>
      </c>
      <c r="D269" s="11" t="s">
        <v>161</v>
      </c>
      <c r="E269" s="11" t="s">
        <v>164</v>
      </c>
      <c r="F269" s="11" t="s">
        <v>80</v>
      </c>
      <c r="G269" s="12" t="n">
        <v>270</v>
      </c>
      <c r="H269" s="12" t="n">
        <f aca="false">SUMPRODUCT(ПОТОКИ!B11:G11,ЧАСОВЫЕ_ПРОФИЛИ!B19:G19,КОЭФФИЦИЕНТЫ_ВЫБОРА!F21:K21)</f>
        <v>0.4154</v>
      </c>
      <c r="I269" s="12" t="n">
        <f aca="false">SUMPRODUCT(ПОТОКИ!B11:G11,ЧАСОВЫЕ_ПРОФИЛИ!B19:G19,КОЭФФИЦИЕНТЫ_ВЫБОРА!F21:K21,ПАРАМЕТРЫ!$B$17:$G$17)</f>
        <v>0.45694</v>
      </c>
      <c r="J269" s="12" t="n">
        <f aca="false">I269*G269/1000</f>
        <v>0.1233738</v>
      </c>
      <c r="K269" s="11" t="s">
        <v>217</v>
      </c>
      <c r="L269" s="11" t="s">
        <v>19</v>
      </c>
      <c r="M269" s="11" t="s">
        <v>145</v>
      </c>
    </row>
    <row r="270" customFormat="false" ht="15" hidden="false" customHeight="false" outlineLevel="0" collapsed="false">
      <c r="A270" s="11" t="s">
        <v>107</v>
      </c>
      <c r="B270" s="11" t="s">
        <v>132</v>
      </c>
      <c r="C270" s="11" t="n">
        <v>12</v>
      </c>
      <c r="D270" s="11" t="s">
        <v>161</v>
      </c>
      <c r="E270" s="11" t="s">
        <v>165</v>
      </c>
      <c r="F270" s="11" t="s">
        <v>80</v>
      </c>
      <c r="G270" s="12" t="n">
        <v>240</v>
      </c>
      <c r="H270" s="12" t="n">
        <f aca="false">SUMPRODUCT(ПОТОКИ!B11:G11,ЧАСОВЫЕ_ПРОФИЛИ!B19:G19,КОЭФФИЦИЕНТЫ_ВЫБОРА!F22:K22)</f>
        <v>0.2526</v>
      </c>
      <c r="I270" s="12" t="n">
        <f aca="false">SUMPRODUCT(ПОТОКИ!B11:G11,ЧАСОВЫЕ_ПРОФИЛИ!B19:G19,КОЭФФИЦИЕНТЫ_ВЫБОРА!F22:K22,ПАРАМЕТРЫ!$B$17:$G$17)</f>
        <v>0.27786</v>
      </c>
      <c r="J270" s="12" t="n">
        <f aca="false">I270*G270/1000</f>
        <v>0.0666864</v>
      </c>
      <c r="K270" s="11" t="s">
        <v>217</v>
      </c>
      <c r="L270" s="11" t="s">
        <v>19</v>
      </c>
      <c r="M270" s="11" t="s">
        <v>145</v>
      </c>
    </row>
    <row r="271" customFormat="false" ht="15" hidden="false" customHeight="false" outlineLevel="0" collapsed="false">
      <c r="A271" s="11" t="s">
        <v>107</v>
      </c>
      <c r="B271" s="11" t="s">
        <v>132</v>
      </c>
      <c r="C271" s="11" t="n">
        <v>13</v>
      </c>
      <c r="D271" s="11" t="s">
        <v>166</v>
      </c>
      <c r="E271" s="11" t="s">
        <v>167</v>
      </c>
      <c r="F271" s="11" t="s">
        <v>80</v>
      </c>
      <c r="G271" s="12" t="n">
        <v>130</v>
      </c>
      <c r="H271" s="12" t="n">
        <f aca="false">SUMPRODUCT(ПОТОКИ!B11:G11,ЧАСОВЫЕ_ПРОФИЛИ!B19:G19,КОЭФФИЦИЕНТЫ_ВЫБОРА!F23:K23)</f>
        <v>0.084</v>
      </c>
      <c r="I271" s="12" t="n">
        <f aca="false">SUMPRODUCT(ПОТОКИ!B11:G11,ЧАСОВЫЕ_ПРОФИЛИ!B19:G19,КОЭФФИЦИЕНТЫ_ВЫБОРА!F23:K23,ПАРАМЕТРЫ!$B$17:$G$17)</f>
        <v>0.0924</v>
      </c>
      <c r="J271" s="12" t="n">
        <f aca="false">I271*G271/1000</f>
        <v>0.012012</v>
      </c>
      <c r="K271" s="11" t="s">
        <v>217</v>
      </c>
      <c r="L271" s="11" t="s">
        <v>19</v>
      </c>
      <c r="M271" s="11" t="s">
        <v>145</v>
      </c>
    </row>
    <row r="272" customFormat="false" ht="15" hidden="false" customHeight="false" outlineLevel="0" collapsed="false">
      <c r="A272" s="11" t="s">
        <v>107</v>
      </c>
      <c r="B272" s="11" t="s">
        <v>132</v>
      </c>
      <c r="C272" s="11" t="n">
        <v>14</v>
      </c>
      <c r="D272" s="11" t="s">
        <v>166</v>
      </c>
      <c r="E272" s="11" t="s">
        <v>168</v>
      </c>
      <c r="F272" s="11" t="s">
        <v>80</v>
      </c>
      <c r="G272" s="12" t="n">
        <v>250</v>
      </c>
      <c r="H272" s="12" t="n">
        <f aca="false">SUMPRODUCT(ПОТОКИ!B11:G11,ЧАСОВЫЕ_ПРОФИЛИ!B19:G19,КОЭФФИЦИЕНТЫ_ВЫБОРА!F24:K24)</f>
        <v>0.0884</v>
      </c>
      <c r="I272" s="12" t="n">
        <f aca="false">SUMPRODUCT(ПОТОКИ!B11:G11,ЧАСОВЫЕ_ПРОФИЛИ!B19:G19,КОЭФФИЦИЕНТЫ_ВЫБОРА!F24:K24,ПАРАМЕТРЫ!$B$17:$G$17)</f>
        <v>0.09724</v>
      </c>
      <c r="J272" s="12" t="n">
        <f aca="false">I272*G272/1000</f>
        <v>0.02431</v>
      </c>
      <c r="K272" s="11" t="s">
        <v>217</v>
      </c>
      <c r="L272" s="11" t="s">
        <v>19</v>
      </c>
      <c r="M272" s="11" t="s">
        <v>145</v>
      </c>
    </row>
    <row r="273" customFormat="false" ht="15" hidden="false" customHeight="false" outlineLevel="0" collapsed="false">
      <c r="A273" s="11" t="s">
        <v>107</v>
      </c>
      <c r="B273" s="11" t="s">
        <v>132</v>
      </c>
      <c r="C273" s="11" t="n">
        <v>15</v>
      </c>
      <c r="D273" s="11" t="s">
        <v>166</v>
      </c>
      <c r="E273" s="11" t="s">
        <v>169</v>
      </c>
      <c r="F273" s="11" t="s">
        <v>80</v>
      </c>
      <c r="G273" s="12" t="n">
        <v>120</v>
      </c>
      <c r="H273" s="12" t="n">
        <f aca="false">SUMPRODUCT(ПОТОКИ!B11:G11,ЧАСОВЫЕ_ПРОФИЛИ!B19:G19,КОЭФФИЦИЕНТЫ_ВЫБОРА!F25:K25)</f>
        <v>0.0584</v>
      </c>
      <c r="I273" s="12" t="n">
        <f aca="false">SUMPRODUCT(ПОТОКИ!B11:G11,ЧАСОВЫЕ_ПРОФИЛИ!B19:G19,КОЭФФИЦИЕНТЫ_ВЫБОРА!F25:K25,ПАРАМЕТРЫ!$B$17:$G$17)</f>
        <v>0.06424</v>
      </c>
      <c r="J273" s="12" t="n">
        <f aca="false">I273*G273/1000</f>
        <v>0.0077088</v>
      </c>
      <c r="K273" s="11" t="s">
        <v>217</v>
      </c>
      <c r="L273" s="11" t="s">
        <v>19</v>
      </c>
      <c r="M273" s="11" t="s">
        <v>145</v>
      </c>
    </row>
    <row r="274" customFormat="false" ht="15" hidden="false" customHeight="false" outlineLevel="0" collapsed="false">
      <c r="A274" s="11" t="s">
        <v>107</v>
      </c>
      <c r="B274" s="11" t="s">
        <v>132</v>
      </c>
      <c r="C274" s="11" t="n">
        <v>16</v>
      </c>
      <c r="D274" s="11" t="s">
        <v>166</v>
      </c>
      <c r="E274" s="11" t="s">
        <v>170</v>
      </c>
      <c r="F274" s="11" t="s">
        <v>80</v>
      </c>
      <c r="G274" s="12" t="n">
        <v>180</v>
      </c>
      <c r="H274" s="12" t="n">
        <f aca="false">SUMPRODUCT(ПОТОКИ!B11:G11,ЧАСОВЫЕ_ПРОФИЛИ!B19:G19,КОЭФФИЦИЕНТЫ_ВЫБОРА!F26:K26)</f>
        <v>0.1212</v>
      </c>
      <c r="I274" s="12" t="n">
        <f aca="false">SUMPRODUCT(ПОТОКИ!B11:G11,ЧАСОВЫЕ_ПРОФИЛИ!B19:G19,КОЭФФИЦИЕНТЫ_ВЫБОРА!F26:K26,ПАРАМЕТРЫ!$B$17:$G$17)</f>
        <v>0.13332</v>
      </c>
      <c r="J274" s="12" t="n">
        <f aca="false">I274*G274/1000</f>
        <v>0.0239976</v>
      </c>
      <c r="K274" s="11" t="s">
        <v>217</v>
      </c>
      <c r="L274" s="11" t="s">
        <v>19</v>
      </c>
      <c r="M274" s="11" t="s">
        <v>145</v>
      </c>
    </row>
    <row r="275" customFormat="false" ht="15" hidden="false" customHeight="false" outlineLevel="0" collapsed="false">
      <c r="A275" s="11" t="s">
        <v>107</v>
      </c>
      <c r="B275" s="11" t="s">
        <v>132</v>
      </c>
      <c r="C275" s="11" t="n">
        <v>17</v>
      </c>
      <c r="D275" s="11" t="s">
        <v>166</v>
      </c>
      <c r="E275" s="11" t="s">
        <v>171</v>
      </c>
      <c r="F275" s="11" t="s">
        <v>80</v>
      </c>
      <c r="G275" s="12" t="n">
        <v>180</v>
      </c>
      <c r="H275" s="12" t="n">
        <f aca="false">SUMPRODUCT(ПОТОКИ!B11:G11,ЧАСОВЫЕ_ПРОФИЛИ!B19:G19,КОЭФФИЦИЕНТЫ_ВЫБОРА!F27:K27)</f>
        <v>0.104</v>
      </c>
      <c r="I275" s="12" t="n">
        <f aca="false">SUMPRODUCT(ПОТОКИ!B11:G11,ЧАСОВЫЕ_ПРОФИЛИ!B19:G19,КОЭФФИЦИЕНТЫ_ВЫБОРА!F27:K27,ПАРАМЕТРЫ!$B$17:$G$17)</f>
        <v>0.1144</v>
      </c>
      <c r="J275" s="12" t="n">
        <f aca="false">I275*G275/1000</f>
        <v>0.020592</v>
      </c>
      <c r="K275" s="11" t="s">
        <v>217</v>
      </c>
      <c r="L275" s="11" t="s">
        <v>19</v>
      </c>
      <c r="M275" s="11" t="s">
        <v>145</v>
      </c>
    </row>
    <row r="276" customFormat="false" ht="15" hidden="false" customHeight="false" outlineLevel="0" collapsed="false">
      <c r="A276" s="11" t="s">
        <v>107</v>
      </c>
      <c r="B276" s="11" t="s">
        <v>132</v>
      </c>
      <c r="C276" s="11" t="n">
        <v>18</v>
      </c>
      <c r="D276" s="11" t="s">
        <v>172</v>
      </c>
      <c r="E276" s="11" t="s">
        <v>173</v>
      </c>
      <c r="F276" s="11" t="s">
        <v>83</v>
      </c>
      <c r="G276" s="12" t="n">
        <v>400</v>
      </c>
      <c r="H276" s="12" t="n">
        <f aca="false">SUMPRODUCT(ПОТОКИ!B11:G11,ЧАСОВЫЕ_ПРОФИЛИ!B19:G19,КОЭФФИЦИЕНТЫ_ВЫБОРА!F28:K28)</f>
        <v>0.828</v>
      </c>
      <c r="I276" s="12" t="n">
        <f aca="false">SUMPRODUCT(ПОТОКИ!B11:G11,ЧАСОВЫЕ_ПРОФИЛИ!B19:G19,КОЭФФИЦИЕНТЫ_ВЫБОРА!F28:K28,ПАРАМЕТРЫ!$B$17:$G$17)</f>
        <v>0.9108</v>
      </c>
      <c r="J276" s="12" t="n">
        <f aca="false">I276*G276/1000</f>
        <v>0.36432</v>
      </c>
      <c r="K276" s="11" t="s">
        <v>217</v>
      </c>
      <c r="L276" s="11" t="s">
        <v>19</v>
      </c>
      <c r="M276" s="11" t="s">
        <v>145</v>
      </c>
    </row>
    <row r="277" customFormat="false" ht="23.85" hidden="false" customHeight="false" outlineLevel="0" collapsed="false">
      <c r="A277" s="11" t="s">
        <v>107</v>
      </c>
      <c r="B277" s="11" t="s">
        <v>132</v>
      </c>
      <c r="C277" s="11" t="n">
        <v>19</v>
      </c>
      <c r="D277" s="11" t="s">
        <v>174</v>
      </c>
      <c r="E277" s="11" t="s">
        <v>175</v>
      </c>
      <c r="F277" s="11" t="s">
        <v>83</v>
      </c>
      <c r="G277" s="12" t="n">
        <v>300</v>
      </c>
      <c r="H277" s="12" t="n">
        <f aca="false">SUMPRODUCT(ПОТОКИ!B11:G11,ЧАСОВЫЕ_ПРОФИЛИ!B19:G19,КОЭФФИЦИЕНТЫ_ВЫБОРА!F29:K29)</f>
        <v>0.754</v>
      </c>
      <c r="I277" s="12" t="n">
        <f aca="false">SUMPRODUCT(ПОТОКИ!B11:G11,ЧАСОВЫЕ_ПРОФИЛИ!B19:G19,КОЭФФИЦИЕНТЫ_ВЫБОРА!F29:K29,ПАРАМЕТРЫ!$B$17:$G$17)</f>
        <v>0.8294</v>
      </c>
      <c r="J277" s="12" t="n">
        <f aca="false">I277*G277/1000</f>
        <v>0.24882</v>
      </c>
      <c r="K277" s="11" t="s">
        <v>217</v>
      </c>
      <c r="L277" s="11" t="s">
        <v>19</v>
      </c>
      <c r="M277" s="11" t="s">
        <v>145</v>
      </c>
    </row>
    <row r="278" customFormat="false" ht="15" hidden="false" customHeight="false" outlineLevel="0" collapsed="false">
      <c r="A278" s="11" t="s">
        <v>107</v>
      </c>
      <c r="B278" s="11" t="s">
        <v>132</v>
      </c>
      <c r="C278" s="11" t="n">
        <v>20</v>
      </c>
      <c r="D278" s="11" t="s">
        <v>174</v>
      </c>
      <c r="E278" s="11" t="s">
        <v>176</v>
      </c>
      <c r="F278" s="11" t="s">
        <v>83</v>
      </c>
      <c r="G278" s="12" t="n">
        <v>360</v>
      </c>
      <c r="H278" s="12" t="n">
        <f aca="false">SUMPRODUCT(ПОТОКИ!B11:G11,ЧАСОВЫЕ_ПРОФИЛИ!B19:G19,КОЭФФИЦИЕНТЫ_ВЫБОРА!F30:K30)</f>
        <v>0.5864</v>
      </c>
      <c r="I278" s="12" t="n">
        <f aca="false">SUMPRODUCT(ПОТОКИ!B11:G11,ЧАСОВЫЕ_ПРОФИЛИ!B19:G19,КОЭФФИЦИЕНТЫ_ВЫБОРА!F30:K30,ПАРАМЕТРЫ!$B$17:$G$17)</f>
        <v>0.64504</v>
      </c>
      <c r="J278" s="12" t="n">
        <f aca="false">I278*G278/1000</f>
        <v>0.2322144</v>
      </c>
      <c r="K278" s="11" t="s">
        <v>217</v>
      </c>
      <c r="L278" s="11" t="s">
        <v>19</v>
      </c>
      <c r="M278" s="11" t="s">
        <v>145</v>
      </c>
    </row>
    <row r="279" customFormat="false" ht="15" hidden="false" customHeight="false" outlineLevel="0" collapsed="false">
      <c r="A279" s="11" t="s">
        <v>107</v>
      </c>
      <c r="B279" s="11" t="s">
        <v>132</v>
      </c>
      <c r="C279" s="11" t="n">
        <v>21</v>
      </c>
      <c r="D279" s="11" t="s">
        <v>174</v>
      </c>
      <c r="E279" s="11" t="s">
        <v>177</v>
      </c>
      <c r="F279" s="11" t="s">
        <v>83</v>
      </c>
      <c r="G279" s="12" t="n">
        <v>350</v>
      </c>
      <c r="H279" s="12" t="n">
        <f aca="false">SUMPRODUCT(ПОТОКИ!B11:G11,ЧАСОВЫЕ_ПРОФИЛИ!B19:G19,КОЭФФИЦИЕНТЫ_ВЫБОРА!F31:K31)</f>
        <v>0.9666</v>
      </c>
      <c r="I279" s="12" t="n">
        <f aca="false">SUMPRODUCT(ПОТОКИ!B11:G11,ЧАСОВЫЕ_ПРОФИЛИ!B19:G19,КОЭФФИЦИЕНТЫ_ВЫБОРА!F31:K31,ПАРАМЕТРЫ!$B$17:$G$17)</f>
        <v>1.06326</v>
      </c>
      <c r="J279" s="12" t="n">
        <f aca="false">I279*G279/1000</f>
        <v>0.372141</v>
      </c>
      <c r="K279" s="11" t="s">
        <v>217</v>
      </c>
      <c r="L279" s="11" t="s">
        <v>19</v>
      </c>
      <c r="M279" s="11" t="s">
        <v>145</v>
      </c>
    </row>
    <row r="280" customFormat="false" ht="15" hidden="false" customHeight="false" outlineLevel="0" collapsed="false">
      <c r="A280" s="11" t="s">
        <v>107</v>
      </c>
      <c r="B280" s="11" t="s">
        <v>132</v>
      </c>
      <c r="C280" s="11" t="n">
        <v>22</v>
      </c>
      <c r="D280" s="11" t="s">
        <v>174</v>
      </c>
      <c r="E280" s="11" t="s">
        <v>178</v>
      </c>
      <c r="F280" s="11" t="s">
        <v>83</v>
      </c>
      <c r="G280" s="12" t="n">
        <v>300</v>
      </c>
      <c r="H280" s="12" t="n">
        <f aca="false">SUMPRODUCT(ПОТОКИ!B11:G11,ЧАСОВЫЕ_ПРОФИЛИ!B19:G19,КОЭФФИЦИЕНТЫ_ВЫБОРА!F32:K32)</f>
        <v>0.505</v>
      </c>
      <c r="I280" s="12" t="n">
        <f aca="false">SUMPRODUCT(ПОТОКИ!B11:G11,ЧАСОВЫЕ_ПРОФИЛИ!B19:G19,КОЭФФИЦИЕНТЫ_ВЫБОРА!F32:K32,ПАРАМЕТРЫ!$B$17:$G$17)</f>
        <v>0.5555</v>
      </c>
      <c r="J280" s="12" t="n">
        <f aca="false">I280*G280/1000</f>
        <v>0.16665</v>
      </c>
      <c r="K280" s="11" t="s">
        <v>217</v>
      </c>
      <c r="L280" s="11" t="s">
        <v>19</v>
      </c>
      <c r="M280" s="11" t="s">
        <v>145</v>
      </c>
    </row>
    <row r="281" customFormat="false" ht="15" hidden="false" customHeight="false" outlineLevel="0" collapsed="false">
      <c r="A281" s="11" t="s">
        <v>107</v>
      </c>
      <c r="B281" s="11" t="s">
        <v>132</v>
      </c>
      <c r="C281" s="11" t="n">
        <v>23</v>
      </c>
      <c r="D281" s="11" t="s">
        <v>86</v>
      </c>
      <c r="E281" s="11" t="s">
        <v>179</v>
      </c>
      <c r="F281" s="11" t="s">
        <v>85</v>
      </c>
      <c r="G281" s="12" t="n">
        <v>150</v>
      </c>
      <c r="H281" s="12" t="n">
        <f aca="false">SUMPRODUCT(ПОТОКИ!B11:G11,ЧАСОВЫЕ_ПРОФИЛИ!B19:G19,КОЭФФИЦИЕНТЫ_ВЫБОРА!F33:K33)</f>
        <v>0.669326</v>
      </c>
      <c r="I281" s="12" t="n">
        <f aca="false">SUMPRODUCT(ПОТОКИ!B11:G11,ЧАСОВЫЕ_ПРОФИЛИ!B19:G19,КОЭФФИЦИЕНТЫ_ВЫБОРА!F33:K33,ПАРАМЕТРЫ!$B$17:$G$17)</f>
        <v>0.7362586</v>
      </c>
      <c r="J281" s="12" t="n">
        <f aca="false">I281*G281/1000</f>
        <v>0.11043879</v>
      </c>
      <c r="K281" s="11" t="s">
        <v>217</v>
      </c>
      <c r="L281" s="11" t="s">
        <v>19</v>
      </c>
      <c r="M281" s="11" t="s">
        <v>147</v>
      </c>
    </row>
    <row r="282" customFormat="false" ht="15" hidden="false" customHeight="false" outlineLevel="0" collapsed="false">
      <c r="A282" s="11" t="s">
        <v>107</v>
      </c>
      <c r="B282" s="11" t="s">
        <v>132</v>
      </c>
      <c r="C282" s="11" t="n">
        <v>24</v>
      </c>
      <c r="D282" s="11" t="s">
        <v>86</v>
      </c>
      <c r="E282" s="11" t="s">
        <v>180</v>
      </c>
      <c r="F282" s="11" t="s">
        <v>85</v>
      </c>
      <c r="G282" s="12" t="n">
        <v>150</v>
      </c>
      <c r="H282" s="12" t="n">
        <f aca="false">SUMPRODUCT(ПОТОКИ!B11:G11,ЧАСОВЫЕ_ПРОФИЛИ!B19:G19,КОЭФФИЦИЕНТЫ_ВЫБОРА!F34:K34)</f>
        <v>0.287788</v>
      </c>
      <c r="I282" s="12" t="n">
        <f aca="false">SUMPRODUCT(ПОТОКИ!B11:G11,ЧАСОВЫЕ_ПРОФИЛИ!B19:G19,КОЭФФИЦИЕНТЫ_ВЫБОРА!F34:K34,ПАРАМЕТРЫ!$B$17:$G$17)</f>
        <v>0.3165668</v>
      </c>
      <c r="J282" s="12" t="n">
        <f aca="false">I282*G282/1000</f>
        <v>0.04748502</v>
      </c>
      <c r="K282" s="11" t="s">
        <v>217</v>
      </c>
      <c r="L282" s="11" t="s">
        <v>19</v>
      </c>
      <c r="M282" s="11" t="s">
        <v>147</v>
      </c>
    </row>
    <row r="283" customFormat="false" ht="15" hidden="false" customHeight="false" outlineLevel="0" collapsed="false">
      <c r="A283" s="11" t="s">
        <v>107</v>
      </c>
      <c r="B283" s="11" t="s">
        <v>132</v>
      </c>
      <c r="C283" s="11" t="n">
        <v>25</v>
      </c>
      <c r="D283" s="11" t="s">
        <v>86</v>
      </c>
      <c r="E283" s="11" t="s">
        <v>181</v>
      </c>
      <c r="F283" s="11" t="s">
        <v>85</v>
      </c>
      <c r="G283" s="12" t="n">
        <v>150</v>
      </c>
      <c r="H283" s="12" t="n">
        <f aca="false">SUMPRODUCT(ПОТОКИ!B11:G11,ЧАСОВЫЕ_ПРОФИЛИ!B19:G19,КОЭФФИЦИЕНТЫ_ВЫБОРА!F35:K35)</f>
        <v>0.481826</v>
      </c>
      <c r="I283" s="12" t="n">
        <f aca="false">SUMPRODUCT(ПОТОКИ!B11:G11,ЧАСОВЫЕ_ПРОФИЛИ!B19:G19,КОЭФФИЦИЕНТЫ_ВЫБОРА!F35:K35,ПАРАМЕТРЫ!$B$17:$G$17)</f>
        <v>0.5300086</v>
      </c>
      <c r="J283" s="12" t="n">
        <f aca="false">I283*G283/1000</f>
        <v>0.07950129</v>
      </c>
      <c r="K283" s="11" t="s">
        <v>217</v>
      </c>
      <c r="L283" s="11" t="s">
        <v>19</v>
      </c>
      <c r="M283" s="11" t="s">
        <v>147</v>
      </c>
    </row>
    <row r="284" customFormat="false" ht="23.85" hidden="false" customHeight="false" outlineLevel="0" collapsed="false">
      <c r="A284" s="11" t="s">
        <v>107</v>
      </c>
      <c r="B284" s="11" t="s">
        <v>132</v>
      </c>
      <c r="C284" s="11" t="n">
        <v>26</v>
      </c>
      <c r="D284" s="11" t="s">
        <v>89</v>
      </c>
      <c r="E284" s="11" t="s">
        <v>182</v>
      </c>
      <c r="F284" s="11" t="s">
        <v>88</v>
      </c>
      <c r="G284" s="12" t="n">
        <v>225</v>
      </c>
      <c r="H284" s="12" t="n">
        <f aca="false">SUMPRODUCT(ПОТОКИ!B11:G11,ЧАСОВЫЕ_ПРОФИЛИ!B19:G19,КОЭФФИЦИЕНТЫ_ВЫБОРА!F36:K36)</f>
        <v>0</v>
      </c>
      <c r="I284" s="12" t="n">
        <f aca="false">SUMPRODUCT(ПОТОКИ!B11:G11,ЧАСОВЫЕ_ПРОФИЛИ!B19:G19,КОЭФФИЦИЕНТЫ_ВЫБОРА!F36:K36,ПАРАМЕТРЫ!$B$17:$G$17)</f>
        <v>0</v>
      </c>
      <c r="J284" s="12" t="n">
        <f aca="false">I284*G284/1000</f>
        <v>0</v>
      </c>
      <c r="K284" s="11" t="s">
        <v>217</v>
      </c>
      <c r="L284" s="11" t="s">
        <v>19</v>
      </c>
      <c r="M284" s="11" t="s">
        <v>145</v>
      </c>
    </row>
    <row r="285" customFormat="false" ht="23.85" hidden="false" customHeight="false" outlineLevel="0" collapsed="false">
      <c r="A285" s="11" t="s">
        <v>107</v>
      </c>
      <c r="B285" s="11" t="s">
        <v>132</v>
      </c>
      <c r="C285" s="11" t="n">
        <v>27</v>
      </c>
      <c r="D285" s="11" t="s">
        <v>89</v>
      </c>
      <c r="E285" s="11" t="s">
        <v>183</v>
      </c>
      <c r="F285" s="11" t="s">
        <v>88</v>
      </c>
      <c r="G285" s="12" t="n">
        <v>265</v>
      </c>
      <c r="H285" s="12" t="n">
        <f aca="false">SUMPRODUCT(ПОТОКИ!B11:G11,ЧАСОВЫЕ_ПРОФИЛИ!B19:G19,КОЭФФИЦИЕНТЫ_ВЫБОРА!F37:K37)</f>
        <v>0</v>
      </c>
      <c r="I285" s="12" t="n">
        <f aca="false">SUMPRODUCT(ПОТОКИ!B11:G11,ЧАСОВЫЕ_ПРОФИЛИ!B19:G19,КОЭФФИЦИЕНТЫ_ВЫБОРА!F37:K37,ПАРАМЕТРЫ!$B$17:$G$17)</f>
        <v>0</v>
      </c>
      <c r="J285" s="12" t="n">
        <f aca="false">I285*G285/1000</f>
        <v>0</v>
      </c>
      <c r="K285" s="11" t="s">
        <v>217</v>
      </c>
      <c r="L285" s="11" t="s">
        <v>19</v>
      </c>
      <c r="M285" s="11" t="s">
        <v>145</v>
      </c>
    </row>
    <row r="286" customFormat="false" ht="23.85" hidden="false" customHeight="false" outlineLevel="0" collapsed="false">
      <c r="A286" s="11" t="s">
        <v>107</v>
      </c>
      <c r="B286" s="11" t="s">
        <v>132</v>
      </c>
      <c r="C286" s="11" t="n">
        <v>28</v>
      </c>
      <c r="D286" s="11" t="s">
        <v>89</v>
      </c>
      <c r="E286" s="11" t="s">
        <v>184</v>
      </c>
      <c r="F286" s="11" t="s">
        <v>88</v>
      </c>
      <c r="G286" s="12" t="n">
        <v>355</v>
      </c>
      <c r="H286" s="12" t="n">
        <f aca="false">SUMPRODUCT(ПОТОКИ!B11:G11,ЧАСОВЫЕ_ПРОФИЛИ!B19:G19,КОЭФФИЦИЕНТЫ_ВЫБОРА!F38:K38)</f>
        <v>0</v>
      </c>
      <c r="I286" s="12" t="n">
        <f aca="false">SUMPRODUCT(ПОТОКИ!B11:G11,ЧАСОВЫЕ_ПРОФИЛИ!B19:G19,КОЭФФИЦИЕНТЫ_ВЫБОРА!F38:K38,ПАРАМЕТРЫ!$B$17:$G$17)</f>
        <v>0</v>
      </c>
      <c r="J286" s="12" t="n">
        <f aca="false">I286*G286/1000</f>
        <v>0</v>
      </c>
      <c r="K286" s="11" t="s">
        <v>217</v>
      </c>
      <c r="L286" s="11" t="s">
        <v>19</v>
      </c>
      <c r="M286" s="11" t="s">
        <v>145</v>
      </c>
    </row>
    <row r="287" customFormat="false" ht="15" hidden="false" customHeight="false" outlineLevel="0" collapsed="false">
      <c r="A287" s="11" t="s">
        <v>107</v>
      </c>
      <c r="B287" s="11" t="s">
        <v>132</v>
      </c>
      <c r="C287" s="11" t="n">
        <v>29</v>
      </c>
      <c r="D287" s="11" t="s">
        <v>92</v>
      </c>
      <c r="E287" s="11" t="s">
        <v>185</v>
      </c>
      <c r="F287" s="11" t="s">
        <v>91</v>
      </c>
      <c r="G287" s="12" t="n">
        <v>150</v>
      </c>
      <c r="H287" s="12" t="n">
        <f aca="false">SUMPRODUCT(ПОТОКИ!B11:G11,ЧАСОВЫЕ_ПРОФИЛИ!B19:G19,КОЭФФИЦИЕНТЫ_ВЫБОРА!F39:K39)</f>
        <v>0.2388</v>
      </c>
      <c r="I287" s="12" t="n">
        <f aca="false">SUMPRODUCT(ПОТОКИ!B11:G11,ЧАСОВЫЕ_ПРОФИЛИ!B19:G19,КОЭФФИЦИЕНТЫ_ВЫБОРА!F39:K39,ПАРАМЕТРЫ!$B$17:$G$17)</f>
        <v>0.26268</v>
      </c>
      <c r="J287" s="12" t="n">
        <f aca="false">I287*G287/1000</f>
        <v>0.039402</v>
      </c>
      <c r="K287" s="11" t="s">
        <v>217</v>
      </c>
      <c r="L287" s="11" t="s">
        <v>19</v>
      </c>
      <c r="M287" s="11" t="s">
        <v>145</v>
      </c>
    </row>
    <row r="288" customFormat="false" ht="15" hidden="false" customHeight="false" outlineLevel="0" collapsed="false">
      <c r="A288" s="11" t="s">
        <v>107</v>
      </c>
      <c r="B288" s="11" t="s">
        <v>132</v>
      </c>
      <c r="C288" s="11" t="n">
        <v>30</v>
      </c>
      <c r="D288" s="11" t="s">
        <v>92</v>
      </c>
      <c r="E288" s="11" t="s">
        <v>186</v>
      </c>
      <c r="F288" s="11" t="s">
        <v>91</v>
      </c>
      <c r="G288" s="12" t="n">
        <v>120</v>
      </c>
      <c r="H288" s="12" t="n">
        <f aca="false">SUMPRODUCT(ПОТОКИ!B11:G11,ЧАСОВЫЕ_ПРОФИЛИ!B19:G19,КОЭФФИЦИЕНТЫ_ВЫБОРА!F40:K40)</f>
        <v>0.2388</v>
      </c>
      <c r="I288" s="12" t="n">
        <f aca="false">SUMPRODUCT(ПОТОКИ!B11:G11,ЧАСОВЫЕ_ПРОФИЛИ!B19:G19,КОЭФФИЦИЕНТЫ_ВЫБОРА!F40:K40,ПАРАМЕТРЫ!$B$17:$G$17)</f>
        <v>0.26268</v>
      </c>
      <c r="J288" s="12" t="n">
        <f aca="false">I288*G288/1000</f>
        <v>0.0315216</v>
      </c>
      <c r="K288" s="11" t="s">
        <v>217</v>
      </c>
      <c r="L288" s="11" t="s">
        <v>19</v>
      </c>
      <c r="M288" s="11" t="s">
        <v>145</v>
      </c>
    </row>
    <row r="289" customFormat="false" ht="15" hidden="false" customHeight="false" outlineLevel="0" collapsed="false">
      <c r="A289" s="11" t="s">
        <v>107</v>
      </c>
      <c r="B289" s="11" t="s">
        <v>132</v>
      </c>
      <c r="C289" s="11" t="n">
        <v>31</v>
      </c>
      <c r="D289" s="11" t="s">
        <v>92</v>
      </c>
      <c r="E289" s="11" t="s">
        <v>187</v>
      </c>
      <c r="F289" s="11" t="s">
        <v>91</v>
      </c>
      <c r="G289" s="12" t="n">
        <v>60</v>
      </c>
      <c r="H289" s="12" t="n">
        <f aca="false">SUMPRODUCT(ПОТОКИ!B11:G11,ЧАСОВЫЕ_ПРОФИЛИ!B19:G19,КОЭФФИЦИЕНТЫ_ВЫБОРА!F41:K41)</f>
        <v>0.2544</v>
      </c>
      <c r="I289" s="12" t="n">
        <f aca="false">SUMPRODUCT(ПОТОКИ!B11:G11,ЧАСОВЫЕ_ПРОФИЛИ!B19:G19,КОЭФФИЦИЕНТЫ_ВЫБОРА!F41:K41,ПАРАМЕТРЫ!$B$17:$G$17)</f>
        <v>0.27984</v>
      </c>
      <c r="J289" s="12" t="n">
        <f aca="false">I289*G289/1000</f>
        <v>0.0167904</v>
      </c>
      <c r="K289" s="11" t="s">
        <v>217</v>
      </c>
      <c r="L289" s="11" t="s">
        <v>19</v>
      </c>
      <c r="M289" s="11" t="s">
        <v>145</v>
      </c>
    </row>
    <row r="290" customFormat="false" ht="15" hidden="false" customHeight="false" outlineLevel="0" collapsed="false">
      <c r="A290" s="11" t="s">
        <v>107</v>
      </c>
      <c r="B290" s="11" t="s">
        <v>133</v>
      </c>
      <c r="C290" s="11" t="n">
        <v>1</v>
      </c>
      <c r="D290" s="11" t="s">
        <v>74</v>
      </c>
      <c r="E290" s="11" t="s">
        <v>153</v>
      </c>
      <c r="F290" s="11" t="s">
        <v>73</v>
      </c>
      <c r="G290" s="12" t="n">
        <v>450</v>
      </c>
      <c r="H290" s="12" t="n">
        <f aca="false">SUMPRODUCT(ПОТОКИ!B11:G11,ЧАСОВЫЕ_ПРОФИЛИ!B20:G20,КОЭФФИЦИЕНТЫ_ВЫБОРА!F11:K11)</f>
        <v>0.0924</v>
      </c>
      <c r="I290" s="12" t="n">
        <f aca="false">SUMPRODUCT(ПОТОКИ!B11:G11,ЧАСОВЫЕ_ПРОФИЛИ!B20:G20,КОЭФФИЦИЕНТЫ_ВЫБОРА!F11:K11,ПАРАМЕТРЫ!$B$17:$G$17)</f>
        <v>0.10164</v>
      </c>
      <c r="J290" s="12" t="n">
        <f aca="false">I290*G290/1000</f>
        <v>0.045738</v>
      </c>
      <c r="K290" s="11" t="s">
        <v>217</v>
      </c>
      <c r="L290" s="11" t="s">
        <v>19</v>
      </c>
      <c r="M290" s="11" t="s">
        <v>145</v>
      </c>
    </row>
    <row r="291" customFormat="false" ht="15" hidden="false" customHeight="false" outlineLevel="0" collapsed="false">
      <c r="A291" s="11" t="s">
        <v>107</v>
      </c>
      <c r="B291" s="11" t="s">
        <v>133</v>
      </c>
      <c r="C291" s="11" t="n">
        <v>2</v>
      </c>
      <c r="D291" s="11" t="s">
        <v>74</v>
      </c>
      <c r="E291" s="11" t="s">
        <v>154</v>
      </c>
      <c r="F291" s="11" t="s">
        <v>73</v>
      </c>
      <c r="G291" s="12" t="n">
        <v>480</v>
      </c>
      <c r="H291" s="12" t="n">
        <f aca="false">SUMPRODUCT(ПОТОКИ!B11:G11,ЧАСОВЫЕ_ПРОФИЛИ!B20:G20,КОЭФФИЦИЕНТЫ_ВЫБОРА!F12:K12)</f>
        <v>0.1592</v>
      </c>
      <c r="I291" s="12" t="n">
        <f aca="false">SUMPRODUCT(ПОТОКИ!B11:G11,ЧАСОВЫЕ_ПРОФИЛИ!B20:G20,КОЭФФИЦИЕНТЫ_ВЫБОРА!F12:K12,ПАРАМЕТРЫ!$B$17:$G$17)</f>
        <v>0.17512</v>
      </c>
      <c r="J291" s="12" t="n">
        <f aca="false">I291*G291/1000</f>
        <v>0.0840576</v>
      </c>
      <c r="K291" s="11" t="s">
        <v>217</v>
      </c>
      <c r="L291" s="11" t="s">
        <v>19</v>
      </c>
      <c r="M291" s="11" t="s">
        <v>145</v>
      </c>
    </row>
    <row r="292" customFormat="false" ht="15" hidden="false" customHeight="false" outlineLevel="0" collapsed="false">
      <c r="A292" s="11" t="s">
        <v>107</v>
      </c>
      <c r="B292" s="11" t="s">
        <v>133</v>
      </c>
      <c r="C292" s="11" t="n">
        <v>3</v>
      </c>
      <c r="D292" s="11" t="s">
        <v>74</v>
      </c>
      <c r="E292" s="11" t="s">
        <v>155</v>
      </c>
      <c r="F292" s="11" t="s">
        <v>73</v>
      </c>
      <c r="G292" s="12" t="n">
        <v>500</v>
      </c>
      <c r="H292" s="12" t="n">
        <f aca="false">SUMPRODUCT(ПОТОКИ!B11:G11,ЧАСОВЫЕ_ПРОФИЛИ!B20:G20,КОЭФФИЦИЕНТЫ_ВЫБОРА!F13:K13)</f>
        <v>0.2388</v>
      </c>
      <c r="I292" s="12" t="n">
        <f aca="false">SUMPRODUCT(ПОТОКИ!B11:G11,ЧАСОВЫЕ_ПРОФИЛИ!B20:G20,КОЭФФИЦИЕНТЫ_ВЫБОРА!F13:K13,ПАРАМЕТРЫ!$B$17:$G$17)</f>
        <v>0.26268</v>
      </c>
      <c r="J292" s="12" t="n">
        <f aca="false">I292*G292/1000</f>
        <v>0.13134</v>
      </c>
      <c r="K292" s="11" t="s">
        <v>217</v>
      </c>
      <c r="L292" s="11" t="s">
        <v>19</v>
      </c>
      <c r="M292" s="11" t="s">
        <v>145</v>
      </c>
    </row>
    <row r="293" customFormat="false" ht="15" hidden="false" customHeight="false" outlineLevel="0" collapsed="false">
      <c r="A293" s="11" t="s">
        <v>107</v>
      </c>
      <c r="B293" s="11" t="s">
        <v>133</v>
      </c>
      <c r="C293" s="11" t="n">
        <v>4</v>
      </c>
      <c r="D293" s="11" t="s">
        <v>74</v>
      </c>
      <c r="E293" s="11" t="s">
        <v>156</v>
      </c>
      <c r="F293" s="11" t="s">
        <v>73</v>
      </c>
      <c r="G293" s="12" t="n">
        <v>500</v>
      </c>
      <c r="H293" s="12" t="n">
        <f aca="false">SUMPRODUCT(ПОТОКИ!B11:G11,ЧАСОВЫЕ_ПРОФИЛИ!B20:G20,КОЭФФИЦИЕНТЫ_ВЫБОРА!F14:K14)</f>
        <v>0.3056</v>
      </c>
      <c r="I293" s="12" t="n">
        <f aca="false">SUMPRODUCT(ПОТОКИ!B11:G11,ЧАСОВЫЕ_ПРОФИЛИ!B20:G20,КОЭФФИЦИЕНТЫ_ВЫБОРА!F14:K14,ПАРАМЕТРЫ!$B$17:$G$17)</f>
        <v>0.33616</v>
      </c>
      <c r="J293" s="12" t="n">
        <f aca="false">I293*G293/1000</f>
        <v>0.16808</v>
      </c>
      <c r="K293" s="11" t="s">
        <v>217</v>
      </c>
      <c r="L293" s="11" t="s">
        <v>19</v>
      </c>
      <c r="M293" s="11" t="s">
        <v>145</v>
      </c>
    </row>
    <row r="294" customFormat="false" ht="15" hidden="false" customHeight="false" outlineLevel="0" collapsed="false">
      <c r="A294" s="11" t="s">
        <v>107</v>
      </c>
      <c r="B294" s="11" t="s">
        <v>133</v>
      </c>
      <c r="C294" s="11" t="n">
        <v>5</v>
      </c>
      <c r="D294" s="11" t="s">
        <v>78</v>
      </c>
      <c r="E294" s="11" t="s">
        <v>157</v>
      </c>
      <c r="F294" s="11" t="s">
        <v>77</v>
      </c>
      <c r="G294" s="12" t="n">
        <v>100</v>
      </c>
      <c r="H294" s="12" t="n">
        <f aca="false">SUMPRODUCT(ПОТОКИ!B11:G11,ЧАСОВЫЕ_ПРОФИЛИ!B20:G20,КОЭФФИЦИЕНТЫ_ВЫБОРА!F15:K15)</f>
        <v>0.3932</v>
      </c>
      <c r="I294" s="12" t="n">
        <f aca="false">SUMPRODUCT(ПОТОКИ!B11:G11,ЧАСОВЫЕ_ПРОФИЛИ!B20:G20,КОЭФФИЦИЕНТЫ_ВЫБОРА!F15:K15,ПАРАМЕТРЫ!$B$17:$G$17)</f>
        <v>0.43252</v>
      </c>
      <c r="J294" s="12" t="n">
        <f aca="false">I294*G294/1000</f>
        <v>0.043252</v>
      </c>
      <c r="K294" s="11" t="s">
        <v>217</v>
      </c>
      <c r="L294" s="11" t="s">
        <v>19</v>
      </c>
      <c r="M294" s="11" t="s">
        <v>147</v>
      </c>
    </row>
    <row r="295" customFormat="false" ht="15" hidden="false" customHeight="false" outlineLevel="0" collapsed="false">
      <c r="A295" s="11" t="s">
        <v>107</v>
      </c>
      <c r="B295" s="11" t="s">
        <v>133</v>
      </c>
      <c r="C295" s="11" t="n">
        <v>6</v>
      </c>
      <c r="D295" s="11" t="s">
        <v>78</v>
      </c>
      <c r="E295" s="11" t="s">
        <v>158</v>
      </c>
      <c r="F295" s="11" t="s">
        <v>77</v>
      </c>
      <c r="G295" s="12" t="n">
        <v>100</v>
      </c>
      <c r="H295" s="12" t="n">
        <f aca="false">SUMPRODUCT(ПОТОКИ!B11:G11,ЧАСОВЫЕ_ПРОФИЛИ!B20:G20,КОЭФФИЦИЕНТЫ_ВЫБОРА!F16:K16)</f>
        <v>0.3804</v>
      </c>
      <c r="I295" s="12" t="n">
        <f aca="false">SUMPRODUCT(ПОТОКИ!B11:G11,ЧАСОВЫЕ_ПРОФИЛИ!B20:G20,КОЭФФИЦИЕНТЫ_ВЫБОРА!F16:K16,ПАРАМЕТРЫ!$B$17:$G$17)</f>
        <v>0.41844</v>
      </c>
      <c r="J295" s="12" t="n">
        <f aca="false">I295*G295/1000</f>
        <v>0.041844</v>
      </c>
      <c r="K295" s="11" t="s">
        <v>217</v>
      </c>
      <c r="L295" s="11" t="s">
        <v>19</v>
      </c>
      <c r="M295" s="11" t="s">
        <v>147</v>
      </c>
    </row>
    <row r="296" customFormat="false" ht="15" hidden="false" customHeight="false" outlineLevel="0" collapsed="false">
      <c r="A296" s="11" t="s">
        <v>107</v>
      </c>
      <c r="B296" s="11" t="s">
        <v>133</v>
      </c>
      <c r="C296" s="11" t="n">
        <v>7</v>
      </c>
      <c r="D296" s="11" t="s">
        <v>78</v>
      </c>
      <c r="E296" s="11" t="s">
        <v>159</v>
      </c>
      <c r="F296" s="11" t="s">
        <v>77</v>
      </c>
      <c r="G296" s="12" t="n">
        <v>350</v>
      </c>
      <c r="H296" s="12" t="n">
        <f aca="false">SUMPRODUCT(ПОТОКИ!B11:G11,ЧАСОВЫЕ_ПРОФИЛИ!B20:G20,КОЭФФИЦИЕНТЫ_ВЫБОРА!F17:K17)</f>
        <v>0.3234</v>
      </c>
      <c r="I296" s="12" t="n">
        <f aca="false">SUMPRODUCT(ПОТОКИ!B11:G11,ЧАСОВЫЕ_ПРОФИЛИ!B20:G20,КОЭФФИЦИЕНТЫ_ВЫБОРА!F17:K17,ПАРАМЕТРЫ!$B$17:$G$17)</f>
        <v>0.35574</v>
      </c>
      <c r="J296" s="12" t="n">
        <f aca="false">I296*G296/1000</f>
        <v>0.124509</v>
      </c>
      <c r="K296" s="11" t="s">
        <v>217</v>
      </c>
      <c r="L296" s="11" t="s">
        <v>19</v>
      </c>
      <c r="M296" s="11" t="s">
        <v>147</v>
      </c>
    </row>
    <row r="297" customFormat="false" ht="15" hidden="false" customHeight="false" outlineLevel="0" collapsed="false">
      <c r="A297" s="11" t="s">
        <v>107</v>
      </c>
      <c r="B297" s="11" t="s">
        <v>133</v>
      </c>
      <c r="C297" s="11" t="n">
        <v>8</v>
      </c>
      <c r="D297" s="11" t="s">
        <v>78</v>
      </c>
      <c r="E297" s="11" t="s">
        <v>160</v>
      </c>
      <c r="F297" s="11" t="s">
        <v>77</v>
      </c>
      <c r="G297" s="12" t="n">
        <v>85</v>
      </c>
      <c r="H297" s="12" t="n">
        <f aca="false">SUMPRODUCT(ПОТОКИ!B11:G11,ЧАСОВЫЕ_ПРОФИЛИ!B20:G20,КОЭФФИЦИЕНТЫ_ВЫБОРА!F18:K18)</f>
        <v>0.1966</v>
      </c>
      <c r="I297" s="12" t="n">
        <f aca="false">SUMPRODUCT(ПОТОКИ!B11:G11,ЧАСОВЫЕ_ПРОФИЛИ!B20:G20,КОЭФФИЦИЕНТЫ_ВЫБОРА!F18:K18,ПАРАМЕТРЫ!$B$17:$G$17)</f>
        <v>0.21626</v>
      </c>
      <c r="J297" s="12" t="n">
        <f aca="false">I297*G297/1000</f>
        <v>0.0183821</v>
      </c>
      <c r="K297" s="11" t="s">
        <v>217</v>
      </c>
      <c r="L297" s="11" t="s">
        <v>19</v>
      </c>
      <c r="M297" s="11" t="s">
        <v>147</v>
      </c>
    </row>
    <row r="298" customFormat="false" ht="15" hidden="false" customHeight="false" outlineLevel="0" collapsed="false">
      <c r="A298" s="11" t="s">
        <v>107</v>
      </c>
      <c r="B298" s="11" t="s">
        <v>133</v>
      </c>
      <c r="C298" s="11" t="n">
        <v>9</v>
      </c>
      <c r="D298" s="11" t="s">
        <v>161</v>
      </c>
      <c r="E298" s="11" t="s">
        <v>162</v>
      </c>
      <c r="F298" s="11" t="s">
        <v>80</v>
      </c>
      <c r="G298" s="12" t="n">
        <v>300</v>
      </c>
      <c r="H298" s="12" t="n">
        <f aca="false">SUMPRODUCT(ПОТОКИ!B11:G11,ЧАСОВЫЕ_ПРОФИЛИ!B20:G20,КОЭФФИЦИЕНТЫ_ВЫБОРА!F19:K19)</f>
        <v>0.114</v>
      </c>
      <c r="I298" s="12" t="n">
        <f aca="false">SUMPRODUCT(ПОТОКИ!B11:G11,ЧАСОВЫЕ_ПРОФИЛИ!B20:G20,КОЭФФИЦИЕНТЫ_ВЫБОРА!F19:K19,ПАРАМЕТРЫ!$B$17:$G$17)</f>
        <v>0.1254</v>
      </c>
      <c r="J298" s="12" t="n">
        <f aca="false">I298*G298/1000</f>
        <v>0.03762</v>
      </c>
      <c r="K298" s="11" t="s">
        <v>217</v>
      </c>
      <c r="L298" s="11" t="s">
        <v>19</v>
      </c>
      <c r="M298" s="11" t="s">
        <v>145</v>
      </c>
    </row>
    <row r="299" customFormat="false" ht="15" hidden="false" customHeight="false" outlineLevel="0" collapsed="false">
      <c r="A299" s="11" t="s">
        <v>107</v>
      </c>
      <c r="B299" s="11" t="s">
        <v>133</v>
      </c>
      <c r="C299" s="11" t="n">
        <v>10</v>
      </c>
      <c r="D299" s="11" t="s">
        <v>161</v>
      </c>
      <c r="E299" s="11" t="s">
        <v>163</v>
      </c>
      <c r="F299" s="11" t="s">
        <v>80</v>
      </c>
      <c r="G299" s="12" t="n">
        <v>280</v>
      </c>
      <c r="H299" s="12" t="n">
        <f aca="false">SUMPRODUCT(ПОТОКИ!B11:G11,ЧАСОВЫЕ_ПРОФИЛИ!B20:G20,КОЭФФИЦИЕНТЫ_ВЫБОРА!F20:K20)</f>
        <v>0.132</v>
      </c>
      <c r="I299" s="12" t="n">
        <f aca="false">SUMPRODUCT(ПОТОКИ!B11:G11,ЧАСОВЫЕ_ПРОФИЛИ!B20:G20,КОЭФФИЦИЕНТЫ_ВЫБОРА!F20:K20,ПАРАМЕТРЫ!$B$17:$G$17)</f>
        <v>0.1452</v>
      </c>
      <c r="J299" s="12" t="n">
        <f aca="false">I299*G299/1000</f>
        <v>0.040656</v>
      </c>
      <c r="K299" s="11" t="s">
        <v>217</v>
      </c>
      <c r="L299" s="11" t="s">
        <v>19</v>
      </c>
      <c r="M299" s="11" t="s">
        <v>145</v>
      </c>
    </row>
    <row r="300" customFormat="false" ht="15" hidden="false" customHeight="false" outlineLevel="0" collapsed="false">
      <c r="A300" s="11" t="s">
        <v>107</v>
      </c>
      <c r="B300" s="11" t="s">
        <v>133</v>
      </c>
      <c r="C300" s="11" t="n">
        <v>11</v>
      </c>
      <c r="D300" s="11" t="s">
        <v>161</v>
      </c>
      <c r="E300" s="11" t="s">
        <v>164</v>
      </c>
      <c r="F300" s="11" t="s">
        <v>80</v>
      </c>
      <c r="G300" s="12" t="n">
        <v>270</v>
      </c>
      <c r="H300" s="12" t="n">
        <f aca="false">SUMPRODUCT(ПОТОКИ!B11:G11,ЧАСОВЫЕ_ПРОФИЛИ!B20:G20,КОЭФФИЦИЕНТЫ_ВЫБОРА!F21:K21)</f>
        <v>0.2154</v>
      </c>
      <c r="I300" s="12" t="n">
        <f aca="false">SUMPRODUCT(ПОТОКИ!B11:G11,ЧАСОВЫЕ_ПРОФИЛИ!B20:G20,КОЭФФИЦИЕНТЫ_ВЫБОРА!F21:K21,ПАРАМЕТРЫ!$B$17:$G$17)</f>
        <v>0.23694</v>
      </c>
      <c r="J300" s="12" t="n">
        <f aca="false">I300*G300/1000</f>
        <v>0.0639738</v>
      </c>
      <c r="K300" s="11" t="s">
        <v>217</v>
      </c>
      <c r="L300" s="11" t="s">
        <v>19</v>
      </c>
      <c r="M300" s="11" t="s">
        <v>145</v>
      </c>
    </row>
    <row r="301" customFormat="false" ht="15" hidden="false" customHeight="false" outlineLevel="0" collapsed="false">
      <c r="A301" s="11" t="s">
        <v>107</v>
      </c>
      <c r="B301" s="11" t="s">
        <v>133</v>
      </c>
      <c r="C301" s="11" t="n">
        <v>12</v>
      </c>
      <c r="D301" s="11" t="s">
        <v>161</v>
      </c>
      <c r="E301" s="11" t="s">
        <v>165</v>
      </c>
      <c r="F301" s="11" t="s">
        <v>80</v>
      </c>
      <c r="G301" s="12" t="n">
        <v>240</v>
      </c>
      <c r="H301" s="12" t="n">
        <f aca="false">SUMPRODUCT(ПОТОКИ!B11:G11,ЧАСОВЫЕ_ПРОФИЛИ!B20:G20,КОЭФФИЦИЕНТЫ_ВЫБОРА!F22:K22)</f>
        <v>0.1026</v>
      </c>
      <c r="I301" s="12" t="n">
        <f aca="false">SUMPRODUCT(ПОТОКИ!B11:G11,ЧАСОВЫЕ_ПРОФИЛИ!B20:G20,КОЭФФИЦИЕНТЫ_ВЫБОРА!F22:K22,ПАРАМЕТРЫ!$B$17:$G$17)</f>
        <v>0.11286</v>
      </c>
      <c r="J301" s="12" t="n">
        <f aca="false">I301*G301/1000</f>
        <v>0.0270864</v>
      </c>
      <c r="K301" s="11" t="s">
        <v>217</v>
      </c>
      <c r="L301" s="11" t="s">
        <v>19</v>
      </c>
      <c r="M301" s="11" t="s">
        <v>145</v>
      </c>
    </row>
    <row r="302" customFormat="false" ht="15" hidden="false" customHeight="false" outlineLevel="0" collapsed="false">
      <c r="A302" s="11" t="s">
        <v>107</v>
      </c>
      <c r="B302" s="11" t="s">
        <v>133</v>
      </c>
      <c r="C302" s="11" t="n">
        <v>13</v>
      </c>
      <c r="D302" s="11" t="s">
        <v>166</v>
      </c>
      <c r="E302" s="11" t="s">
        <v>167</v>
      </c>
      <c r="F302" s="11" t="s">
        <v>80</v>
      </c>
      <c r="G302" s="12" t="n">
        <v>130</v>
      </c>
      <c r="H302" s="12" t="n">
        <f aca="false">SUMPRODUCT(ПОТОКИ!B11:G11,ЧАСОВЫЕ_ПРОФИЛИ!B20:G20,КОЭФФИЦИЕНТЫ_ВЫБОРА!F23:K23)</f>
        <v>0.064</v>
      </c>
      <c r="I302" s="12" t="n">
        <f aca="false">SUMPRODUCT(ПОТОКИ!B11:G11,ЧАСОВЫЕ_ПРОФИЛИ!B20:G20,КОЭФФИЦИЕНТЫ_ВЫБОРА!F23:K23,ПАРАМЕТРЫ!$B$17:$G$17)</f>
        <v>0.0704</v>
      </c>
      <c r="J302" s="12" t="n">
        <f aca="false">I302*G302/1000</f>
        <v>0.009152</v>
      </c>
      <c r="K302" s="11" t="s">
        <v>217</v>
      </c>
      <c r="L302" s="11" t="s">
        <v>19</v>
      </c>
      <c r="M302" s="11" t="s">
        <v>145</v>
      </c>
    </row>
    <row r="303" customFormat="false" ht="15" hidden="false" customHeight="false" outlineLevel="0" collapsed="false">
      <c r="A303" s="11" t="s">
        <v>107</v>
      </c>
      <c r="B303" s="11" t="s">
        <v>133</v>
      </c>
      <c r="C303" s="11" t="n">
        <v>14</v>
      </c>
      <c r="D303" s="11" t="s">
        <v>166</v>
      </c>
      <c r="E303" s="11" t="s">
        <v>168</v>
      </c>
      <c r="F303" s="11" t="s">
        <v>80</v>
      </c>
      <c r="G303" s="12" t="n">
        <v>250</v>
      </c>
      <c r="H303" s="12" t="n">
        <f aca="false">SUMPRODUCT(ПОТОКИ!B11:G11,ЧАСОВЫЕ_ПРОФИЛИ!B20:G20,КОЭФФИЦИЕНТЫ_ВЫБОРА!F24:K24)</f>
        <v>0.0384</v>
      </c>
      <c r="I303" s="12" t="n">
        <f aca="false">SUMPRODUCT(ПОТОКИ!B11:G11,ЧАСОВЫЕ_ПРОФИЛИ!B20:G20,КОЭФФИЦИЕНТЫ_ВЫБОРА!F24:K24,ПАРАМЕТРЫ!$B$17:$G$17)</f>
        <v>0.04224</v>
      </c>
      <c r="J303" s="12" t="n">
        <f aca="false">I303*G303/1000</f>
        <v>0.01056</v>
      </c>
      <c r="K303" s="11" t="s">
        <v>217</v>
      </c>
      <c r="L303" s="11" t="s">
        <v>19</v>
      </c>
      <c r="M303" s="11" t="s">
        <v>145</v>
      </c>
    </row>
    <row r="304" customFormat="false" ht="15" hidden="false" customHeight="false" outlineLevel="0" collapsed="false">
      <c r="A304" s="11" t="s">
        <v>107</v>
      </c>
      <c r="B304" s="11" t="s">
        <v>133</v>
      </c>
      <c r="C304" s="11" t="n">
        <v>15</v>
      </c>
      <c r="D304" s="11" t="s">
        <v>166</v>
      </c>
      <c r="E304" s="11" t="s">
        <v>169</v>
      </c>
      <c r="F304" s="11" t="s">
        <v>80</v>
      </c>
      <c r="G304" s="12" t="n">
        <v>120</v>
      </c>
      <c r="H304" s="12" t="n">
        <f aca="false">SUMPRODUCT(ПОТОКИ!B11:G11,ЧАСОВЫЕ_ПРОФИЛИ!B20:G20,КОЭФФИЦИЕНТЫ_ВЫБОРА!F25:K25)</f>
        <v>0.0384</v>
      </c>
      <c r="I304" s="12" t="n">
        <f aca="false">SUMPRODUCT(ПОТОКИ!B11:G11,ЧАСОВЫЕ_ПРОФИЛИ!B20:G20,КОЭФФИЦИЕНТЫ_ВЫБОРА!F25:K25,ПАРАМЕТРЫ!$B$17:$G$17)</f>
        <v>0.04224</v>
      </c>
      <c r="J304" s="12" t="n">
        <f aca="false">I304*G304/1000</f>
        <v>0.0050688</v>
      </c>
      <c r="K304" s="11" t="s">
        <v>217</v>
      </c>
      <c r="L304" s="11" t="s">
        <v>19</v>
      </c>
      <c r="M304" s="11" t="s">
        <v>145</v>
      </c>
    </row>
    <row r="305" customFormat="false" ht="15" hidden="false" customHeight="false" outlineLevel="0" collapsed="false">
      <c r="A305" s="11" t="s">
        <v>107</v>
      </c>
      <c r="B305" s="11" t="s">
        <v>133</v>
      </c>
      <c r="C305" s="11" t="n">
        <v>16</v>
      </c>
      <c r="D305" s="11" t="s">
        <v>166</v>
      </c>
      <c r="E305" s="11" t="s">
        <v>170</v>
      </c>
      <c r="F305" s="11" t="s">
        <v>80</v>
      </c>
      <c r="G305" s="12" t="n">
        <v>180</v>
      </c>
      <c r="H305" s="12" t="n">
        <f aca="false">SUMPRODUCT(ПОТОКИ!B11:G11,ЧАСОВЫЕ_ПРОФИЛИ!B20:G20,КОЭФФИЦИЕНТЫ_ВЫБОРА!F26:K26)</f>
        <v>0.0512</v>
      </c>
      <c r="I305" s="12" t="n">
        <f aca="false">SUMPRODUCT(ПОТОКИ!B11:G11,ЧАСОВЫЕ_ПРОФИЛИ!B20:G20,КОЭФФИЦИЕНТЫ_ВЫБОРА!F26:K26,ПАРАМЕТРЫ!$B$17:$G$17)</f>
        <v>0.05632</v>
      </c>
      <c r="J305" s="12" t="n">
        <f aca="false">I305*G305/1000</f>
        <v>0.0101376</v>
      </c>
      <c r="K305" s="11" t="s">
        <v>217</v>
      </c>
      <c r="L305" s="11" t="s">
        <v>19</v>
      </c>
      <c r="M305" s="11" t="s">
        <v>145</v>
      </c>
    </row>
    <row r="306" customFormat="false" ht="15" hidden="false" customHeight="false" outlineLevel="0" collapsed="false">
      <c r="A306" s="11" t="s">
        <v>107</v>
      </c>
      <c r="B306" s="11" t="s">
        <v>133</v>
      </c>
      <c r="C306" s="11" t="n">
        <v>17</v>
      </c>
      <c r="D306" s="11" t="s">
        <v>166</v>
      </c>
      <c r="E306" s="11" t="s">
        <v>171</v>
      </c>
      <c r="F306" s="11" t="s">
        <v>80</v>
      </c>
      <c r="G306" s="12" t="n">
        <v>180</v>
      </c>
      <c r="H306" s="12" t="n">
        <f aca="false">SUMPRODUCT(ПОТОКИ!B11:G11,ЧАСОВЫЕ_ПРОФИЛИ!B20:G20,КОЭФФИЦИЕНТЫ_ВЫБОРА!F27:K27)</f>
        <v>0.064</v>
      </c>
      <c r="I306" s="12" t="n">
        <f aca="false">SUMPRODUCT(ПОТОКИ!B11:G11,ЧАСОВЫЕ_ПРОФИЛИ!B20:G20,КОЭФФИЦИЕНТЫ_ВЫБОРА!F27:K27,ПАРАМЕТРЫ!$B$17:$G$17)</f>
        <v>0.0704</v>
      </c>
      <c r="J306" s="12" t="n">
        <f aca="false">I306*G306/1000</f>
        <v>0.012672</v>
      </c>
      <c r="K306" s="11" t="s">
        <v>217</v>
      </c>
      <c r="L306" s="11" t="s">
        <v>19</v>
      </c>
      <c r="M306" s="11" t="s">
        <v>145</v>
      </c>
    </row>
    <row r="307" customFormat="false" ht="15" hidden="false" customHeight="false" outlineLevel="0" collapsed="false">
      <c r="A307" s="11" t="s">
        <v>107</v>
      </c>
      <c r="B307" s="11" t="s">
        <v>133</v>
      </c>
      <c r="C307" s="11" t="n">
        <v>18</v>
      </c>
      <c r="D307" s="11" t="s">
        <v>172</v>
      </c>
      <c r="E307" s="11" t="s">
        <v>173</v>
      </c>
      <c r="F307" s="11" t="s">
        <v>83</v>
      </c>
      <c r="G307" s="12" t="n">
        <v>400</v>
      </c>
      <c r="H307" s="12" t="n">
        <f aca="false">SUMPRODUCT(ПОТОКИ!B11:G11,ЧАСОВЫЕ_ПРОФИЛИ!B20:G20,КОЭФФИЦИЕНТЫ_ВЫБОРА!F28:K28)</f>
        <v>0.128</v>
      </c>
      <c r="I307" s="12" t="n">
        <f aca="false">SUMPRODUCT(ПОТОКИ!B11:G11,ЧАСОВЫЕ_ПРОФИЛИ!B20:G20,КОЭФФИЦИЕНТЫ_ВЫБОРА!F28:K28,ПАРАМЕТРЫ!$B$17:$G$17)</f>
        <v>0.1408</v>
      </c>
      <c r="J307" s="12" t="n">
        <f aca="false">I307*G307/1000</f>
        <v>0.05632</v>
      </c>
      <c r="K307" s="11" t="s">
        <v>217</v>
      </c>
      <c r="L307" s="11" t="s">
        <v>19</v>
      </c>
      <c r="M307" s="11" t="s">
        <v>145</v>
      </c>
    </row>
    <row r="308" customFormat="false" ht="23.85" hidden="false" customHeight="false" outlineLevel="0" collapsed="false">
      <c r="A308" s="11" t="s">
        <v>107</v>
      </c>
      <c r="B308" s="11" t="s">
        <v>133</v>
      </c>
      <c r="C308" s="11" t="n">
        <v>19</v>
      </c>
      <c r="D308" s="11" t="s">
        <v>174</v>
      </c>
      <c r="E308" s="11" t="s">
        <v>175</v>
      </c>
      <c r="F308" s="11" t="s">
        <v>83</v>
      </c>
      <c r="G308" s="12" t="n">
        <v>300</v>
      </c>
      <c r="H308" s="12" t="n">
        <f aca="false">SUMPRODUCT(ПОТОКИ!B11:G11,ЧАСОВЫЕ_ПРОФИЛИ!B20:G20,КОЭФФИЦИЕНТЫ_ВЫБОРА!F29:K29)</f>
        <v>0.304</v>
      </c>
      <c r="I308" s="12" t="n">
        <f aca="false">SUMPRODUCT(ПОТОКИ!B11:G11,ЧАСОВЫЕ_ПРОФИЛИ!B20:G20,КОЭФФИЦИЕНТЫ_ВЫБОРА!F29:K29,ПАРАМЕТРЫ!$B$17:$G$17)</f>
        <v>0.3344</v>
      </c>
      <c r="J308" s="12" t="n">
        <f aca="false">I308*G308/1000</f>
        <v>0.10032</v>
      </c>
      <c r="K308" s="11" t="s">
        <v>217</v>
      </c>
      <c r="L308" s="11" t="s">
        <v>19</v>
      </c>
      <c r="M308" s="11" t="s">
        <v>145</v>
      </c>
    </row>
    <row r="309" customFormat="false" ht="15" hidden="false" customHeight="false" outlineLevel="0" collapsed="false">
      <c r="A309" s="11" t="s">
        <v>107</v>
      </c>
      <c r="B309" s="11" t="s">
        <v>133</v>
      </c>
      <c r="C309" s="11" t="n">
        <v>20</v>
      </c>
      <c r="D309" s="11" t="s">
        <v>174</v>
      </c>
      <c r="E309" s="11" t="s">
        <v>176</v>
      </c>
      <c r="F309" s="11" t="s">
        <v>83</v>
      </c>
      <c r="G309" s="12" t="n">
        <v>360</v>
      </c>
      <c r="H309" s="12" t="n">
        <f aca="false">SUMPRODUCT(ПОТОКИ!B11:G11,ЧАСОВЫЕ_ПРОФИЛИ!B20:G20,КОЭФФИЦИЕНТЫ_ВЫБОРА!F30:K30)</f>
        <v>0.2864</v>
      </c>
      <c r="I309" s="12" t="n">
        <f aca="false">SUMPRODUCT(ПОТОКИ!B11:G11,ЧАСОВЫЕ_ПРОФИЛИ!B20:G20,КОЭФФИЦИЕНТЫ_ВЫБОРА!F30:K30,ПАРАМЕТРЫ!$B$17:$G$17)</f>
        <v>0.31504</v>
      </c>
      <c r="J309" s="12" t="n">
        <f aca="false">I309*G309/1000</f>
        <v>0.1134144</v>
      </c>
      <c r="K309" s="11" t="s">
        <v>217</v>
      </c>
      <c r="L309" s="11" t="s">
        <v>19</v>
      </c>
      <c r="M309" s="11" t="s">
        <v>145</v>
      </c>
    </row>
    <row r="310" customFormat="false" ht="15" hidden="false" customHeight="false" outlineLevel="0" collapsed="false">
      <c r="A310" s="11" t="s">
        <v>107</v>
      </c>
      <c r="B310" s="11" t="s">
        <v>133</v>
      </c>
      <c r="C310" s="11" t="n">
        <v>21</v>
      </c>
      <c r="D310" s="11" t="s">
        <v>174</v>
      </c>
      <c r="E310" s="11" t="s">
        <v>177</v>
      </c>
      <c r="F310" s="11" t="s">
        <v>83</v>
      </c>
      <c r="G310" s="12" t="n">
        <v>350</v>
      </c>
      <c r="H310" s="12" t="n">
        <f aca="false">SUMPRODUCT(ПОТОКИ!B11:G11,ЧАСОВЫЕ_ПРОФИЛИ!B20:G20,КОЭФФИЦИЕНТЫ_ВЫБОРА!F31:K31)</f>
        <v>0.4416</v>
      </c>
      <c r="I310" s="12" t="n">
        <f aca="false">SUMPRODUCT(ПОТОКИ!B11:G11,ЧАСОВЫЕ_ПРОФИЛИ!B20:G20,КОЭФФИЦИЕНТЫ_ВЫБОРА!F31:K31,ПАРАМЕТРЫ!$B$17:$G$17)</f>
        <v>0.48576</v>
      </c>
      <c r="J310" s="12" t="n">
        <f aca="false">I310*G310/1000</f>
        <v>0.170016</v>
      </c>
      <c r="K310" s="11" t="s">
        <v>217</v>
      </c>
      <c r="L310" s="11" t="s">
        <v>19</v>
      </c>
      <c r="M310" s="11" t="s">
        <v>145</v>
      </c>
    </row>
    <row r="311" customFormat="false" ht="15" hidden="false" customHeight="false" outlineLevel="0" collapsed="false">
      <c r="A311" s="11" t="s">
        <v>107</v>
      </c>
      <c r="B311" s="11" t="s">
        <v>133</v>
      </c>
      <c r="C311" s="11" t="n">
        <v>22</v>
      </c>
      <c r="D311" s="11" t="s">
        <v>174</v>
      </c>
      <c r="E311" s="11" t="s">
        <v>178</v>
      </c>
      <c r="F311" s="11" t="s">
        <v>83</v>
      </c>
      <c r="G311" s="12" t="n">
        <v>300</v>
      </c>
      <c r="H311" s="12" t="n">
        <f aca="false">SUMPRODUCT(ПОТОКИ!B11:G11,ЧАСОВЫЕ_ПРОФИЛИ!B20:G20,КОЭФФИЦИЕНТЫ_ВЫБОРА!F32:K32)</f>
        <v>0.28</v>
      </c>
      <c r="I311" s="12" t="n">
        <f aca="false">SUMPRODUCT(ПОТОКИ!B11:G11,ЧАСОВЫЕ_ПРОФИЛИ!B20:G20,КОЭФФИЦИЕНТЫ_ВЫБОРА!F32:K32,ПАРАМЕТРЫ!$B$17:$G$17)</f>
        <v>0.308</v>
      </c>
      <c r="J311" s="12" t="n">
        <f aca="false">I311*G311/1000</f>
        <v>0.0924</v>
      </c>
      <c r="K311" s="11" t="s">
        <v>217</v>
      </c>
      <c r="L311" s="11" t="s">
        <v>19</v>
      </c>
      <c r="M311" s="11" t="s">
        <v>145</v>
      </c>
    </row>
    <row r="312" customFormat="false" ht="15" hidden="false" customHeight="false" outlineLevel="0" collapsed="false">
      <c r="A312" s="11" t="s">
        <v>107</v>
      </c>
      <c r="B312" s="11" t="s">
        <v>133</v>
      </c>
      <c r="C312" s="11" t="n">
        <v>23</v>
      </c>
      <c r="D312" s="11" t="s">
        <v>86</v>
      </c>
      <c r="E312" s="11" t="s">
        <v>179</v>
      </c>
      <c r="F312" s="11" t="s">
        <v>85</v>
      </c>
      <c r="G312" s="12" t="n">
        <v>150</v>
      </c>
      <c r="H312" s="12" t="n">
        <f aca="false">SUMPRODUCT(ПОТОКИ!B11:G11,ЧАСОВЫЕ_ПРОФИЛИ!B20:G20,КОЭФФИЦИЕНТЫ_ВЫБОРА!F33:K33)</f>
        <v>0.200576</v>
      </c>
      <c r="I312" s="12" t="n">
        <f aca="false">SUMPRODUCT(ПОТОКИ!B11:G11,ЧАСОВЫЕ_ПРОФИЛИ!B20:G20,КОЭФФИЦИЕНТЫ_ВЫБОРА!F33:K33,ПАРАМЕТРЫ!$B$17:$G$17)</f>
        <v>0.2206336</v>
      </c>
      <c r="J312" s="12" t="n">
        <f aca="false">I312*G312/1000</f>
        <v>0.03309504</v>
      </c>
      <c r="K312" s="11" t="s">
        <v>217</v>
      </c>
      <c r="L312" s="11" t="s">
        <v>19</v>
      </c>
      <c r="M312" s="11" t="s">
        <v>147</v>
      </c>
    </row>
    <row r="313" customFormat="false" ht="15" hidden="false" customHeight="false" outlineLevel="0" collapsed="false">
      <c r="A313" s="11" t="s">
        <v>107</v>
      </c>
      <c r="B313" s="11" t="s">
        <v>133</v>
      </c>
      <c r="C313" s="11" t="n">
        <v>24</v>
      </c>
      <c r="D313" s="11" t="s">
        <v>86</v>
      </c>
      <c r="E313" s="11" t="s">
        <v>180</v>
      </c>
      <c r="F313" s="11" t="s">
        <v>85</v>
      </c>
      <c r="G313" s="12" t="n">
        <v>150</v>
      </c>
      <c r="H313" s="12" t="n">
        <f aca="false">SUMPRODUCT(ПОТОКИ!B11:G11,ЧАСОВЫЕ_ПРОФИЛИ!B20:G20,КОЭФФИЦИЕНТЫ_ВЫБОРА!F34:K34)</f>
        <v>0.100288</v>
      </c>
      <c r="I313" s="12" t="n">
        <f aca="false">SUMPRODUCT(ПОТОКИ!B11:G11,ЧАСОВЫЕ_ПРОФИЛИ!B20:G20,КОЭФФИЦИЕНТЫ_ВЫБОРА!F34:K34,ПАРАМЕТРЫ!$B$17:$G$17)</f>
        <v>0.1103168</v>
      </c>
      <c r="J313" s="12" t="n">
        <f aca="false">I313*G313/1000</f>
        <v>0.01654752</v>
      </c>
      <c r="K313" s="11" t="s">
        <v>217</v>
      </c>
      <c r="L313" s="11" t="s">
        <v>19</v>
      </c>
      <c r="M313" s="11" t="s">
        <v>147</v>
      </c>
    </row>
    <row r="314" customFormat="false" ht="15" hidden="false" customHeight="false" outlineLevel="0" collapsed="false">
      <c r="A314" s="11" t="s">
        <v>107</v>
      </c>
      <c r="B314" s="11" t="s">
        <v>133</v>
      </c>
      <c r="C314" s="11" t="n">
        <v>25</v>
      </c>
      <c r="D314" s="11" t="s">
        <v>86</v>
      </c>
      <c r="E314" s="11" t="s">
        <v>181</v>
      </c>
      <c r="F314" s="11" t="s">
        <v>85</v>
      </c>
      <c r="G314" s="12" t="n">
        <v>150</v>
      </c>
      <c r="H314" s="12" t="n">
        <f aca="false">SUMPRODUCT(ПОТОКИ!B11:G11,ЧАСОВЫЕ_ПРОФИЛИ!B20:G20,КОЭФФИЦИЕНТЫ_ВЫБОРА!F35:K35)</f>
        <v>0.200576</v>
      </c>
      <c r="I314" s="12" t="n">
        <f aca="false">SUMPRODUCT(ПОТОКИ!B11:G11,ЧАСОВЫЕ_ПРОФИЛИ!B20:G20,КОЭФФИЦИЕНТЫ_ВЫБОРА!F35:K35,ПАРАМЕТРЫ!$B$17:$G$17)</f>
        <v>0.2206336</v>
      </c>
      <c r="J314" s="12" t="n">
        <f aca="false">I314*G314/1000</f>
        <v>0.03309504</v>
      </c>
      <c r="K314" s="11" t="s">
        <v>217</v>
      </c>
      <c r="L314" s="11" t="s">
        <v>19</v>
      </c>
      <c r="M314" s="11" t="s">
        <v>147</v>
      </c>
    </row>
    <row r="315" customFormat="false" ht="23.85" hidden="false" customHeight="false" outlineLevel="0" collapsed="false">
      <c r="A315" s="11" t="s">
        <v>107</v>
      </c>
      <c r="B315" s="11" t="s">
        <v>133</v>
      </c>
      <c r="C315" s="11" t="n">
        <v>26</v>
      </c>
      <c r="D315" s="11" t="s">
        <v>89</v>
      </c>
      <c r="E315" s="11" t="s">
        <v>182</v>
      </c>
      <c r="F315" s="11" t="s">
        <v>88</v>
      </c>
      <c r="G315" s="12" t="n">
        <v>225</v>
      </c>
      <c r="H315" s="12" t="n">
        <f aca="false">SUMPRODUCT(ПОТОКИ!B11:G11,ЧАСОВЫЕ_ПРОФИЛИ!B20:G20,КОЭФФИЦИЕНТЫ_ВЫБОРА!F36:K36)</f>
        <v>0</v>
      </c>
      <c r="I315" s="12" t="n">
        <f aca="false">SUMPRODUCT(ПОТОКИ!B11:G11,ЧАСОВЫЕ_ПРОФИЛИ!B20:G20,КОЭФФИЦИЕНТЫ_ВЫБОРА!F36:K36,ПАРАМЕТРЫ!$B$17:$G$17)</f>
        <v>0</v>
      </c>
      <c r="J315" s="12" t="n">
        <f aca="false">I315*G315/1000</f>
        <v>0</v>
      </c>
      <c r="K315" s="11" t="s">
        <v>217</v>
      </c>
      <c r="L315" s="11" t="s">
        <v>19</v>
      </c>
      <c r="M315" s="11" t="s">
        <v>145</v>
      </c>
    </row>
    <row r="316" customFormat="false" ht="23.85" hidden="false" customHeight="false" outlineLevel="0" collapsed="false">
      <c r="A316" s="11" t="s">
        <v>107</v>
      </c>
      <c r="B316" s="11" t="s">
        <v>133</v>
      </c>
      <c r="C316" s="11" t="n">
        <v>27</v>
      </c>
      <c r="D316" s="11" t="s">
        <v>89</v>
      </c>
      <c r="E316" s="11" t="s">
        <v>183</v>
      </c>
      <c r="F316" s="11" t="s">
        <v>88</v>
      </c>
      <c r="G316" s="12" t="n">
        <v>265</v>
      </c>
      <c r="H316" s="12" t="n">
        <f aca="false">SUMPRODUCT(ПОТОКИ!B11:G11,ЧАСОВЫЕ_ПРОФИЛИ!B20:G20,КОЭФФИЦИЕНТЫ_ВЫБОРА!F37:K37)</f>
        <v>0</v>
      </c>
      <c r="I316" s="12" t="n">
        <f aca="false">SUMPRODUCT(ПОТОКИ!B11:G11,ЧАСОВЫЕ_ПРОФИЛИ!B20:G20,КОЭФФИЦИЕНТЫ_ВЫБОРА!F37:K37,ПАРАМЕТРЫ!$B$17:$G$17)</f>
        <v>0</v>
      </c>
      <c r="J316" s="12" t="n">
        <f aca="false">I316*G316/1000</f>
        <v>0</v>
      </c>
      <c r="K316" s="11" t="s">
        <v>217</v>
      </c>
      <c r="L316" s="11" t="s">
        <v>19</v>
      </c>
      <c r="M316" s="11" t="s">
        <v>145</v>
      </c>
    </row>
    <row r="317" customFormat="false" ht="23.85" hidden="false" customHeight="false" outlineLevel="0" collapsed="false">
      <c r="A317" s="11" t="s">
        <v>107</v>
      </c>
      <c r="B317" s="11" t="s">
        <v>133</v>
      </c>
      <c r="C317" s="11" t="n">
        <v>28</v>
      </c>
      <c r="D317" s="11" t="s">
        <v>89</v>
      </c>
      <c r="E317" s="11" t="s">
        <v>184</v>
      </c>
      <c r="F317" s="11" t="s">
        <v>88</v>
      </c>
      <c r="G317" s="12" t="n">
        <v>355</v>
      </c>
      <c r="H317" s="12" t="n">
        <f aca="false">SUMPRODUCT(ПОТОКИ!B11:G11,ЧАСОВЫЕ_ПРОФИЛИ!B20:G20,КОЭФФИЦИЕНТЫ_ВЫБОРА!F38:K38)</f>
        <v>0</v>
      </c>
      <c r="I317" s="12" t="n">
        <f aca="false">SUMPRODUCT(ПОТОКИ!B11:G11,ЧАСОВЫЕ_ПРОФИЛИ!B20:G20,КОЭФФИЦИЕНТЫ_ВЫБОРА!F38:K38,ПАРАМЕТРЫ!$B$17:$G$17)</f>
        <v>0</v>
      </c>
      <c r="J317" s="12" t="n">
        <f aca="false">I317*G317/1000</f>
        <v>0</v>
      </c>
      <c r="K317" s="11" t="s">
        <v>217</v>
      </c>
      <c r="L317" s="11" t="s">
        <v>19</v>
      </c>
      <c r="M317" s="11" t="s">
        <v>145</v>
      </c>
    </row>
    <row r="318" customFormat="false" ht="15" hidden="false" customHeight="false" outlineLevel="0" collapsed="false">
      <c r="A318" s="11" t="s">
        <v>107</v>
      </c>
      <c r="B318" s="11" t="s">
        <v>133</v>
      </c>
      <c r="C318" s="11" t="n">
        <v>29</v>
      </c>
      <c r="D318" s="11" t="s">
        <v>92</v>
      </c>
      <c r="E318" s="11" t="s">
        <v>185</v>
      </c>
      <c r="F318" s="11" t="s">
        <v>91</v>
      </c>
      <c r="G318" s="12" t="n">
        <v>150</v>
      </c>
      <c r="H318" s="12" t="n">
        <f aca="false">SUMPRODUCT(ПОТОКИ!B11:G11,ЧАСОВЫЕ_ПРОФИЛИ!B20:G20,КОЭФФИЦИЕНТЫ_ВЫБОРА!F39:K39)</f>
        <v>0.2388</v>
      </c>
      <c r="I318" s="12" t="n">
        <f aca="false">SUMPRODUCT(ПОТОКИ!B11:G11,ЧАСОВЫЕ_ПРОФИЛИ!B20:G20,КОЭФФИЦИЕНТЫ_ВЫБОРА!F39:K39,ПАРАМЕТРЫ!$B$17:$G$17)</f>
        <v>0.26268</v>
      </c>
      <c r="J318" s="12" t="n">
        <f aca="false">I318*G318/1000</f>
        <v>0.039402</v>
      </c>
      <c r="K318" s="11" t="s">
        <v>217</v>
      </c>
      <c r="L318" s="11" t="s">
        <v>19</v>
      </c>
      <c r="M318" s="11" t="s">
        <v>145</v>
      </c>
    </row>
    <row r="319" customFormat="false" ht="15" hidden="false" customHeight="false" outlineLevel="0" collapsed="false">
      <c r="A319" s="11" t="s">
        <v>107</v>
      </c>
      <c r="B319" s="11" t="s">
        <v>133</v>
      </c>
      <c r="C319" s="11" t="n">
        <v>30</v>
      </c>
      <c r="D319" s="11" t="s">
        <v>92</v>
      </c>
      <c r="E319" s="11" t="s">
        <v>186</v>
      </c>
      <c r="F319" s="11" t="s">
        <v>91</v>
      </c>
      <c r="G319" s="12" t="n">
        <v>120</v>
      </c>
      <c r="H319" s="12" t="n">
        <f aca="false">SUMPRODUCT(ПОТОКИ!B11:G11,ЧАСОВЫЕ_ПРОФИЛИ!B20:G20,КОЭФФИЦИЕНТЫ_ВЫБОРА!F40:K40)</f>
        <v>0.2388</v>
      </c>
      <c r="I319" s="12" t="n">
        <f aca="false">SUMPRODUCT(ПОТОКИ!B11:G11,ЧАСОВЫЕ_ПРОФИЛИ!B20:G20,КОЭФФИЦИЕНТЫ_ВЫБОРА!F40:K40,ПАРАМЕТРЫ!$B$17:$G$17)</f>
        <v>0.26268</v>
      </c>
      <c r="J319" s="12" t="n">
        <f aca="false">I319*G319/1000</f>
        <v>0.0315216</v>
      </c>
      <c r="K319" s="11" t="s">
        <v>217</v>
      </c>
      <c r="L319" s="11" t="s">
        <v>19</v>
      </c>
      <c r="M319" s="11" t="s">
        <v>145</v>
      </c>
    </row>
    <row r="320" customFormat="false" ht="15" hidden="false" customHeight="false" outlineLevel="0" collapsed="false">
      <c r="A320" s="11" t="s">
        <v>107</v>
      </c>
      <c r="B320" s="11" t="s">
        <v>133</v>
      </c>
      <c r="C320" s="11" t="n">
        <v>31</v>
      </c>
      <c r="D320" s="11" t="s">
        <v>92</v>
      </c>
      <c r="E320" s="11" t="s">
        <v>187</v>
      </c>
      <c r="F320" s="11" t="s">
        <v>91</v>
      </c>
      <c r="G320" s="12" t="n">
        <v>60</v>
      </c>
      <c r="H320" s="12" t="n">
        <f aca="false">SUMPRODUCT(ПОТОКИ!B11:G11,ЧАСОВЫЕ_ПРОФИЛИ!B20:G20,КОЭФФИЦИЕНТЫ_ВЫБОРА!F41:K41)</f>
        <v>0.2544</v>
      </c>
      <c r="I320" s="12" t="n">
        <f aca="false">SUMPRODUCT(ПОТОКИ!B11:G11,ЧАСОВЫЕ_ПРОФИЛИ!B20:G20,КОЭФФИЦИЕНТЫ_ВЫБОРА!F41:K41,ПАРАМЕТРЫ!$B$17:$G$17)</f>
        <v>0.27984</v>
      </c>
      <c r="J320" s="12" t="n">
        <f aca="false">I320*G320/1000</f>
        <v>0.0167904</v>
      </c>
      <c r="K320" s="11" t="s">
        <v>217</v>
      </c>
      <c r="L320" s="11" t="s">
        <v>19</v>
      </c>
      <c r="M320" s="11" t="s">
        <v>145</v>
      </c>
    </row>
    <row r="321" customFormat="false" ht="15" hidden="false" customHeight="false" outlineLevel="0" collapsed="false">
      <c r="A321" s="11" t="s">
        <v>107</v>
      </c>
      <c r="B321" s="11" t="s">
        <v>134</v>
      </c>
      <c r="C321" s="11" t="n">
        <v>1</v>
      </c>
      <c r="D321" s="11" t="s">
        <v>74</v>
      </c>
      <c r="E321" s="11" t="s">
        <v>153</v>
      </c>
      <c r="F321" s="11" t="s">
        <v>73</v>
      </c>
      <c r="G321" s="12" t="n">
        <v>450</v>
      </c>
      <c r="H321" s="12" t="n">
        <f aca="false">SUMPRODUCT(ПОТОКИ!B11:G11,ЧАСОВЫЕ_ПРОФИЛИ!B21:G21,КОЭФФИЦИЕНТЫ_ВЫБОРА!F11:K11)</f>
        <v>0.1756</v>
      </c>
      <c r="I321" s="12" t="n">
        <f aca="false">SUMPRODUCT(ПОТОКИ!B11:G11,ЧАСОВЫЕ_ПРОФИЛИ!B21:G21,КОЭФФИЦИЕНТЫ_ВЫБОРА!F11:K11,ПАРАМЕТРЫ!$B$17:$G$17)</f>
        <v>0.19316</v>
      </c>
      <c r="J321" s="12" t="n">
        <f aca="false">I321*G321/1000</f>
        <v>0.086922</v>
      </c>
      <c r="K321" s="11" t="s">
        <v>217</v>
      </c>
      <c r="L321" s="11" t="s">
        <v>19</v>
      </c>
      <c r="M321" s="11" t="s">
        <v>145</v>
      </c>
    </row>
    <row r="322" customFormat="false" ht="15" hidden="false" customHeight="false" outlineLevel="0" collapsed="false">
      <c r="A322" s="11" t="s">
        <v>107</v>
      </c>
      <c r="B322" s="11" t="s">
        <v>134</v>
      </c>
      <c r="C322" s="11" t="n">
        <v>2</v>
      </c>
      <c r="D322" s="11" t="s">
        <v>74</v>
      </c>
      <c r="E322" s="11" t="s">
        <v>154</v>
      </c>
      <c r="F322" s="11" t="s">
        <v>73</v>
      </c>
      <c r="G322" s="12" t="n">
        <v>480</v>
      </c>
      <c r="H322" s="12" t="n">
        <f aca="false">SUMPRODUCT(ПОТОКИ!B11:G11,ЧАСОВЫЕ_ПРОФИЛИ!B21:G21,КОЭФФИЦИЕНТЫ_ВЫБОРА!F12:K12)</f>
        <v>0.3053</v>
      </c>
      <c r="I322" s="12" t="n">
        <f aca="false">SUMPRODUCT(ПОТОКИ!B11:G11,ЧАСОВЫЕ_ПРОФИЛИ!B21:G21,КОЭФФИЦИЕНТЫ_ВЫБОРА!F12:K12,ПАРАМЕТРЫ!$B$17:$G$17)</f>
        <v>0.33583</v>
      </c>
      <c r="J322" s="12" t="n">
        <f aca="false">I322*G322/1000</f>
        <v>0.1611984</v>
      </c>
      <c r="K322" s="11" t="s">
        <v>217</v>
      </c>
      <c r="L322" s="11" t="s">
        <v>19</v>
      </c>
      <c r="M322" s="11" t="s">
        <v>145</v>
      </c>
    </row>
    <row r="323" customFormat="false" ht="15" hidden="false" customHeight="false" outlineLevel="0" collapsed="false">
      <c r="A323" s="11" t="s">
        <v>107</v>
      </c>
      <c r="B323" s="11" t="s">
        <v>134</v>
      </c>
      <c r="C323" s="11" t="n">
        <v>3</v>
      </c>
      <c r="D323" s="11" t="s">
        <v>74</v>
      </c>
      <c r="E323" s="11" t="s">
        <v>155</v>
      </c>
      <c r="F323" s="11" t="s">
        <v>73</v>
      </c>
      <c r="G323" s="12" t="n">
        <v>500</v>
      </c>
      <c r="H323" s="12" t="n">
        <f aca="false">SUMPRODUCT(ПОТОКИ!B11:G11,ЧАСОВЫЕ_ПРОФИЛИ!B21:G21,КОЭФФИЦИЕНТЫ_ВЫБОРА!F13:K13)</f>
        <v>0.4517</v>
      </c>
      <c r="I323" s="12" t="n">
        <f aca="false">SUMPRODUCT(ПОТОКИ!B11:G11,ЧАСОВЫЕ_ПРОФИЛИ!B21:G21,КОЭФФИЦИЕНТЫ_ВЫБОРА!F13:K13,ПАРАМЕТРЫ!$B$17:$G$17)</f>
        <v>0.49687</v>
      </c>
      <c r="J323" s="12" t="n">
        <f aca="false">I323*G323/1000</f>
        <v>0.248435</v>
      </c>
      <c r="K323" s="11" t="s">
        <v>217</v>
      </c>
      <c r="L323" s="11" t="s">
        <v>19</v>
      </c>
      <c r="M323" s="11" t="s">
        <v>145</v>
      </c>
    </row>
    <row r="324" customFormat="false" ht="15" hidden="false" customHeight="false" outlineLevel="0" collapsed="false">
      <c r="A324" s="11" t="s">
        <v>107</v>
      </c>
      <c r="B324" s="11" t="s">
        <v>134</v>
      </c>
      <c r="C324" s="11" t="n">
        <v>4</v>
      </c>
      <c r="D324" s="11" t="s">
        <v>74</v>
      </c>
      <c r="E324" s="11" t="s">
        <v>156</v>
      </c>
      <c r="F324" s="11" t="s">
        <v>73</v>
      </c>
      <c r="G324" s="12" t="n">
        <v>500</v>
      </c>
      <c r="H324" s="12" t="n">
        <f aca="false">SUMPRODUCT(ПОТОКИ!B11:G11,ЧАСОВЫЕ_ПРОФИЛИ!B21:G21,КОЭФФИЦИЕНТЫ_ВЫБОРА!F14:K14)</f>
        <v>0.5814</v>
      </c>
      <c r="I324" s="12" t="n">
        <f aca="false">SUMPRODUCT(ПОТОКИ!B11:G11,ЧАСОВЫЕ_ПРОФИЛИ!B21:G21,КОЭФФИЦИЕНТЫ_ВЫБОРА!F14:K14,ПАРАМЕТРЫ!$B$17:$G$17)</f>
        <v>0.63954</v>
      </c>
      <c r="J324" s="12" t="n">
        <f aca="false">I324*G324/1000</f>
        <v>0.31977</v>
      </c>
      <c r="K324" s="11" t="s">
        <v>217</v>
      </c>
      <c r="L324" s="11" t="s">
        <v>19</v>
      </c>
      <c r="M324" s="11" t="s">
        <v>145</v>
      </c>
    </row>
    <row r="325" customFormat="false" ht="15" hidden="false" customHeight="false" outlineLevel="0" collapsed="false">
      <c r="A325" s="11" t="s">
        <v>107</v>
      </c>
      <c r="B325" s="11" t="s">
        <v>134</v>
      </c>
      <c r="C325" s="11" t="n">
        <v>5</v>
      </c>
      <c r="D325" s="11" t="s">
        <v>78</v>
      </c>
      <c r="E325" s="11" t="s">
        <v>157</v>
      </c>
      <c r="F325" s="11" t="s">
        <v>77</v>
      </c>
      <c r="G325" s="12" t="n">
        <v>100</v>
      </c>
      <c r="H325" s="12" t="n">
        <f aca="false">SUMPRODUCT(ПОТОКИ!B11:G11,ЧАСОВЫЕ_ПРОФИЛИ!B21:G21,КОЭФФИЦИЕНТЫ_ВЫБОРА!F15:K15)</f>
        <v>0.4518</v>
      </c>
      <c r="I325" s="12" t="n">
        <f aca="false">SUMPRODUCT(ПОТОКИ!B11:G11,ЧАСОВЫЕ_ПРОФИЛИ!B21:G21,КОЭФФИЦИЕНТЫ_ВЫБОРА!F15:K15,ПАРАМЕТРЫ!$B$17:$G$17)</f>
        <v>0.49698</v>
      </c>
      <c r="J325" s="12" t="n">
        <f aca="false">I325*G325/1000</f>
        <v>0.049698</v>
      </c>
      <c r="K325" s="11" t="s">
        <v>217</v>
      </c>
      <c r="L325" s="11" t="s">
        <v>19</v>
      </c>
      <c r="M325" s="11" t="s">
        <v>147</v>
      </c>
    </row>
    <row r="326" customFormat="false" ht="15" hidden="false" customHeight="false" outlineLevel="0" collapsed="false">
      <c r="A326" s="11" t="s">
        <v>107</v>
      </c>
      <c r="B326" s="11" t="s">
        <v>134</v>
      </c>
      <c r="C326" s="11" t="n">
        <v>6</v>
      </c>
      <c r="D326" s="11" t="s">
        <v>78</v>
      </c>
      <c r="E326" s="11" t="s">
        <v>158</v>
      </c>
      <c r="F326" s="11" t="s">
        <v>77</v>
      </c>
      <c r="G326" s="12" t="n">
        <v>100</v>
      </c>
      <c r="H326" s="12" t="n">
        <f aca="false">SUMPRODUCT(ПОТОКИ!B11:G11,ЧАСОВЫЕ_ПРОФИЛИ!B21:G21,КОЭФФИЦИЕНТЫ_ВЫБОРА!F16:K16)</f>
        <v>0.4301</v>
      </c>
      <c r="I326" s="12" t="n">
        <f aca="false">SUMPRODUCT(ПОТОКИ!B11:G11,ЧАСОВЫЕ_ПРОФИЛИ!B21:G21,КОЭФФИЦИЕНТЫ_ВЫБОРА!F16:K16,ПАРАМЕТРЫ!$B$17:$G$17)</f>
        <v>0.47311</v>
      </c>
      <c r="J326" s="12" t="n">
        <f aca="false">I326*G326/1000</f>
        <v>0.047311</v>
      </c>
      <c r="K326" s="11" t="s">
        <v>217</v>
      </c>
      <c r="L326" s="11" t="s">
        <v>19</v>
      </c>
      <c r="M326" s="11" t="s">
        <v>147</v>
      </c>
    </row>
    <row r="327" customFormat="false" ht="15" hidden="false" customHeight="false" outlineLevel="0" collapsed="false">
      <c r="A327" s="11" t="s">
        <v>107</v>
      </c>
      <c r="B327" s="11" t="s">
        <v>134</v>
      </c>
      <c r="C327" s="11" t="n">
        <v>7</v>
      </c>
      <c r="D327" s="11" t="s">
        <v>78</v>
      </c>
      <c r="E327" s="11" t="s">
        <v>159</v>
      </c>
      <c r="F327" s="11" t="s">
        <v>77</v>
      </c>
      <c r="G327" s="12" t="n">
        <v>350</v>
      </c>
      <c r="H327" s="12" t="n">
        <f aca="false">SUMPRODUCT(ПОТОКИ!B11:G11,ЧАСОВЫЕ_ПРОФИЛИ!B21:G21,КОЭФФИЦИЕНТЫ_ВЫБОРА!F17:K17)</f>
        <v>0.3701</v>
      </c>
      <c r="I327" s="12" t="n">
        <f aca="false">SUMPRODUCT(ПОТОКИ!B11:G11,ЧАСОВЫЕ_ПРОФИЛИ!B21:G21,КОЭФФИЦИЕНТЫ_ВЫБОРА!F17:K17,ПАРАМЕТРЫ!$B$17:$G$17)</f>
        <v>0.40711</v>
      </c>
      <c r="J327" s="12" t="n">
        <f aca="false">I327*G327/1000</f>
        <v>0.1424885</v>
      </c>
      <c r="K327" s="11" t="s">
        <v>217</v>
      </c>
      <c r="L327" s="11" t="s">
        <v>19</v>
      </c>
      <c r="M327" s="11" t="s">
        <v>147</v>
      </c>
    </row>
    <row r="328" customFormat="false" ht="15" hidden="false" customHeight="false" outlineLevel="0" collapsed="false">
      <c r="A328" s="11" t="s">
        <v>107</v>
      </c>
      <c r="B328" s="11" t="s">
        <v>134</v>
      </c>
      <c r="C328" s="11" t="n">
        <v>8</v>
      </c>
      <c r="D328" s="11" t="s">
        <v>78</v>
      </c>
      <c r="E328" s="11" t="s">
        <v>160</v>
      </c>
      <c r="F328" s="11" t="s">
        <v>77</v>
      </c>
      <c r="G328" s="12" t="n">
        <v>85</v>
      </c>
      <c r="H328" s="12" t="n">
        <f aca="false">SUMPRODUCT(ПОТОКИ!B11:G11,ЧАСОВЫЕ_ПРОФИЛИ!B21:G21,КОЭФФИЦИЕНТЫ_ВЫБОРА!F18:K18)</f>
        <v>0.2284</v>
      </c>
      <c r="I328" s="12" t="n">
        <f aca="false">SUMPRODUCT(ПОТОКИ!B11:G11,ЧАСОВЫЕ_ПРОФИЛИ!B21:G21,КОЭФФИЦИЕНТЫ_ВЫБОРА!F18:K18,ПАРАМЕТРЫ!$B$17:$G$17)</f>
        <v>0.25124</v>
      </c>
      <c r="J328" s="12" t="n">
        <f aca="false">I328*G328/1000</f>
        <v>0.0213554</v>
      </c>
      <c r="K328" s="11" t="s">
        <v>217</v>
      </c>
      <c r="L328" s="11" t="s">
        <v>19</v>
      </c>
      <c r="M328" s="11" t="s">
        <v>147</v>
      </c>
    </row>
    <row r="329" customFormat="false" ht="15" hidden="false" customHeight="false" outlineLevel="0" collapsed="false">
      <c r="A329" s="11" t="s">
        <v>107</v>
      </c>
      <c r="B329" s="11" t="s">
        <v>134</v>
      </c>
      <c r="C329" s="11" t="n">
        <v>9</v>
      </c>
      <c r="D329" s="11" t="s">
        <v>161</v>
      </c>
      <c r="E329" s="11" t="s">
        <v>162</v>
      </c>
      <c r="F329" s="11" t="s">
        <v>80</v>
      </c>
      <c r="G329" s="12" t="n">
        <v>300</v>
      </c>
      <c r="H329" s="12" t="n">
        <f aca="false">SUMPRODUCT(ПОТОКИ!B11:G11,ЧАСОВЫЕ_ПРОФИЛИ!B21:G21,КОЭФФИЦИЕНТЫ_ВЫБОРА!F19:K19)</f>
        <v>0.215</v>
      </c>
      <c r="I329" s="12" t="n">
        <f aca="false">SUMPRODUCT(ПОТОКИ!B11:G11,ЧАСОВЫЕ_ПРОФИЛИ!B21:G21,КОЭФФИЦИЕНТЫ_ВЫБОРА!F19:K19,ПАРАМЕТРЫ!$B$17:$G$17)</f>
        <v>0.2365</v>
      </c>
      <c r="J329" s="12" t="n">
        <f aca="false">I329*G329/1000</f>
        <v>0.07095</v>
      </c>
      <c r="K329" s="11" t="s">
        <v>217</v>
      </c>
      <c r="L329" s="11" t="s">
        <v>19</v>
      </c>
      <c r="M329" s="11" t="s">
        <v>145</v>
      </c>
    </row>
    <row r="330" customFormat="false" ht="15" hidden="false" customHeight="false" outlineLevel="0" collapsed="false">
      <c r="A330" s="11" t="s">
        <v>107</v>
      </c>
      <c r="B330" s="11" t="s">
        <v>134</v>
      </c>
      <c r="C330" s="11" t="n">
        <v>10</v>
      </c>
      <c r="D330" s="11" t="s">
        <v>161</v>
      </c>
      <c r="E330" s="11" t="s">
        <v>163</v>
      </c>
      <c r="F330" s="11" t="s">
        <v>80</v>
      </c>
      <c r="G330" s="12" t="n">
        <v>280</v>
      </c>
      <c r="H330" s="12" t="n">
        <f aca="false">SUMPRODUCT(ПОТОКИ!B11:G11,ЧАСОВЫЕ_ПРОФИЛИ!B21:G21,КОЭФФИЦИЕНТЫ_ВЫБОРА!F20:K20)</f>
        <v>0.251</v>
      </c>
      <c r="I330" s="12" t="n">
        <f aca="false">SUMPRODUCT(ПОТОКИ!B11:G11,ЧАСОВЫЕ_ПРОФИЛИ!B21:G21,КОЭФФИЦИЕНТЫ_ВЫБОРА!F20:K20,ПАРАМЕТРЫ!$B$17:$G$17)</f>
        <v>0.2761</v>
      </c>
      <c r="J330" s="12" t="n">
        <f aca="false">I330*G330/1000</f>
        <v>0.077308</v>
      </c>
      <c r="K330" s="11" t="s">
        <v>217</v>
      </c>
      <c r="L330" s="11" t="s">
        <v>19</v>
      </c>
      <c r="M330" s="11" t="s">
        <v>145</v>
      </c>
    </row>
    <row r="331" customFormat="false" ht="15" hidden="false" customHeight="false" outlineLevel="0" collapsed="false">
      <c r="A331" s="11" t="s">
        <v>107</v>
      </c>
      <c r="B331" s="11" t="s">
        <v>134</v>
      </c>
      <c r="C331" s="11" t="n">
        <v>11</v>
      </c>
      <c r="D331" s="11" t="s">
        <v>161</v>
      </c>
      <c r="E331" s="11" t="s">
        <v>164</v>
      </c>
      <c r="F331" s="11" t="s">
        <v>80</v>
      </c>
      <c r="G331" s="12" t="n">
        <v>270</v>
      </c>
      <c r="H331" s="12" t="n">
        <f aca="false">SUMPRODUCT(ПОТОКИ!B11:G11,ЧАСОВЫЕ_ПРОФИЛИ!B21:G21,КОЭФФИЦИЕНТЫ_ВЫБОРА!F21:K21)</f>
        <v>0.42485</v>
      </c>
      <c r="I331" s="12" t="n">
        <f aca="false">SUMPRODUCT(ПОТОКИ!B11:G11,ЧАСОВЫЕ_ПРОФИЛИ!B21:G21,КОЭФФИЦИЕНТЫ_ВЫБОРА!F21:K21,ПАРАМЕТРЫ!$B$17:$G$17)</f>
        <v>0.467335</v>
      </c>
      <c r="J331" s="12" t="n">
        <f aca="false">I331*G331/1000</f>
        <v>0.12618045</v>
      </c>
      <c r="K331" s="11" t="s">
        <v>217</v>
      </c>
      <c r="L331" s="11" t="s">
        <v>19</v>
      </c>
      <c r="M331" s="11" t="s">
        <v>145</v>
      </c>
    </row>
    <row r="332" customFormat="false" ht="15" hidden="false" customHeight="false" outlineLevel="0" collapsed="false">
      <c r="A332" s="11" t="s">
        <v>107</v>
      </c>
      <c r="B332" s="11" t="s">
        <v>134</v>
      </c>
      <c r="C332" s="11" t="n">
        <v>12</v>
      </c>
      <c r="D332" s="11" t="s">
        <v>161</v>
      </c>
      <c r="E332" s="11" t="s">
        <v>165</v>
      </c>
      <c r="F332" s="11" t="s">
        <v>80</v>
      </c>
      <c r="G332" s="12" t="n">
        <v>240</v>
      </c>
      <c r="H332" s="12" t="n">
        <f aca="false">SUMPRODUCT(ПОТОКИ!B11:G11,ЧАСОВЫЕ_ПРОФИЛИ!B21:G21,КОЭФФИЦИЕНТЫ_ВЫБОРА!F22:K22)</f>
        <v>0.22015</v>
      </c>
      <c r="I332" s="12" t="n">
        <f aca="false">SUMPRODUCT(ПОТОКИ!B11:G11,ЧАСОВЫЕ_ПРОФИЛИ!B21:G21,КОЭФФИЦИЕНТЫ_ВЫБОРА!F22:K22,ПАРАМЕТРЫ!$B$17:$G$17)</f>
        <v>0.242165</v>
      </c>
      <c r="J332" s="12" t="n">
        <f aca="false">I332*G332/1000</f>
        <v>0.0581196</v>
      </c>
      <c r="K332" s="11" t="s">
        <v>217</v>
      </c>
      <c r="L332" s="11" t="s">
        <v>19</v>
      </c>
      <c r="M332" s="11" t="s">
        <v>145</v>
      </c>
    </row>
    <row r="333" customFormat="false" ht="15" hidden="false" customHeight="false" outlineLevel="0" collapsed="false">
      <c r="A333" s="11" t="s">
        <v>107</v>
      </c>
      <c r="B333" s="11" t="s">
        <v>134</v>
      </c>
      <c r="C333" s="11" t="n">
        <v>13</v>
      </c>
      <c r="D333" s="11" t="s">
        <v>166</v>
      </c>
      <c r="E333" s="11" t="s">
        <v>167</v>
      </c>
      <c r="F333" s="11" t="s">
        <v>80</v>
      </c>
      <c r="G333" s="12" t="n">
        <v>130</v>
      </c>
      <c r="H333" s="12" t="n">
        <f aca="false">SUMPRODUCT(ПОТОКИ!B11:G11,ЧАСОВЫЕ_ПРОФИЛИ!B21:G21,КОЭФФИЦИЕНТЫ_ВЫБОРА!F23:K23)</f>
        <v>0.116</v>
      </c>
      <c r="I333" s="12" t="n">
        <f aca="false">SUMPRODUCT(ПОТОКИ!B11:G11,ЧАСОВЫЕ_ПРОФИЛИ!B21:G21,КОЭФФИЦИЕНТЫ_ВЫБОРА!F23:K23,ПАРАМЕТРЫ!$B$17:$G$17)</f>
        <v>0.1276</v>
      </c>
      <c r="J333" s="12" t="n">
        <f aca="false">I333*G333/1000</f>
        <v>0.016588</v>
      </c>
      <c r="K333" s="11" t="s">
        <v>217</v>
      </c>
      <c r="L333" s="11" t="s">
        <v>19</v>
      </c>
      <c r="M333" s="11" t="s">
        <v>145</v>
      </c>
    </row>
    <row r="334" customFormat="false" ht="15" hidden="false" customHeight="false" outlineLevel="0" collapsed="false">
      <c r="A334" s="11" t="s">
        <v>107</v>
      </c>
      <c r="B334" s="11" t="s">
        <v>134</v>
      </c>
      <c r="C334" s="11" t="n">
        <v>14</v>
      </c>
      <c r="D334" s="11" t="s">
        <v>166</v>
      </c>
      <c r="E334" s="11" t="s">
        <v>168</v>
      </c>
      <c r="F334" s="11" t="s">
        <v>80</v>
      </c>
      <c r="G334" s="12" t="n">
        <v>250</v>
      </c>
      <c r="H334" s="12" t="n">
        <f aca="false">SUMPRODUCT(ПОТОКИ!B11:G11,ЧАСОВЫЕ_ПРОФИЛИ!B21:G21,КОЭФФИЦИЕНТЫ_ВЫБОРА!F24:K24)</f>
        <v>0.0826</v>
      </c>
      <c r="I334" s="12" t="n">
        <f aca="false">SUMPRODUCT(ПОТОКИ!B11:G11,ЧАСОВЫЕ_ПРОФИЛИ!B21:G21,КОЭФФИЦИЕНТЫ_ВЫБОРА!F24:K24,ПАРАМЕТРЫ!$B$17:$G$17)</f>
        <v>0.09086</v>
      </c>
      <c r="J334" s="12" t="n">
        <f aca="false">I334*G334/1000</f>
        <v>0.022715</v>
      </c>
      <c r="K334" s="11" t="s">
        <v>217</v>
      </c>
      <c r="L334" s="11" t="s">
        <v>19</v>
      </c>
      <c r="M334" s="11" t="s">
        <v>145</v>
      </c>
    </row>
    <row r="335" customFormat="false" ht="15" hidden="false" customHeight="false" outlineLevel="0" collapsed="false">
      <c r="A335" s="11" t="s">
        <v>107</v>
      </c>
      <c r="B335" s="11" t="s">
        <v>134</v>
      </c>
      <c r="C335" s="11" t="n">
        <v>15</v>
      </c>
      <c r="D335" s="11" t="s">
        <v>166</v>
      </c>
      <c r="E335" s="11" t="s">
        <v>169</v>
      </c>
      <c r="F335" s="11" t="s">
        <v>80</v>
      </c>
      <c r="G335" s="12" t="n">
        <v>120</v>
      </c>
      <c r="H335" s="12" t="n">
        <f aca="false">SUMPRODUCT(ПОТОКИ!B11:G11,ЧАСОВЫЕ_ПРОФИЛИ!B21:G21,КОЭФФИЦИЕНТЫ_ВЫБОРА!F25:K25)</f>
        <v>0.0676</v>
      </c>
      <c r="I335" s="12" t="n">
        <f aca="false">SUMPRODUCT(ПОТОКИ!B11:G11,ЧАСОВЫЕ_ПРОФИЛИ!B21:G21,КОЭФФИЦИЕНТЫ_ВЫБОРА!F25:K25,ПАРАМЕТРЫ!$B$17:$G$17)</f>
        <v>0.07436</v>
      </c>
      <c r="J335" s="12" t="n">
        <f aca="false">I335*G335/1000</f>
        <v>0.0089232</v>
      </c>
      <c r="K335" s="11" t="s">
        <v>217</v>
      </c>
      <c r="L335" s="11" t="s">
        <v>19</v>
      </c>
      <c r="M335" s="11" t="s">
        <v>145</v>
      </c>
    </row>
    <row r="336" customFormat="false" ht="15" hidden="false" customHeight="false" outlineLevel="0" collapsed="false">
      <c r="A336" s="11" t="s">
        <v>107</v>
      </c>
      <c r="B336" s="11" t="s">
        <v>134</v>
      </c>
      <c r="C336" s="11" t="n">
        <v>16</v>
      </c>
      <c r="D336" s="11" t="s">
        <v>166</v>
      </c>
      <c r="E336" s="11" t="s">
        <v>170</v>
      </c>
      <c r="F336" s="11" t="s">
        <v>80</v>
      </c>
      <c r="G336" s="12" t="n">
        <v>180</v>
      </c>
      <c r="H336" s="12" t="n">
        <f aca="false">SUMPRODUCT(ПОТОКИ!B11:G11,ЧАСОВЫЕ_ПРОФИЛИ!B21:G21,КОЭФФИЦИЕНТЫ_ВЫБОРА!F26:K26)</f>
        <v>0.1018</v>
      </c>
      <c r="I336" s="12" t="n">
        <f aca="false">SUMPRODUCT(ПОТОКИ!B11:G11,ЧАСОВЫЕ_ПРОФИЛИ!B21:G21,КОЭФФИЦИЕНТЫ_ВЫБОРА!F26:K26,ПАРАМЕТРЫ!$B$17:$G$17)</f>
        <v>0.11198</v>
      </c>
      <c r="J336" s="12" t="n">
        <f aca="false">I336*G336/1000</f>
        <v>0.0201564</v>
      </c>
      <c r="K336" s="11" t="s">
        <v>217</v>
      </c>
      <c r="L336" s="11" t="s">
        <v>19</v>
      </c>
      <c r="M336" s="11" t="s">
        <v>145</v>
      </c>
    </row>
    <row r="337" customFormat="false" ht="15" hidden="false" customHeight="false" outlineLevel="0" collapsed="false">
      <c r="A337" s="11" t="s">
        <v>107</v>
      </c>
      <c r="B337" s="11" t="s">
        <v>134</v>
      </c>
      <c r="C337" s="11" t="n">
        <v>17</v>
      </c>
      <c r="D337" s="11" t="s">
        <v>166</v>
      </c>
      <c r="E337" s="11" t="s">
        <v>171</v>
      </c>
      <c r="F337" s="11" t="s">
        <v>80</v>
      </c>
      <c r="G337" s="12" t="n">
        <v>180</v>
      </c>
      <c r="H337" s="12" t="n">
        <f aca="false">SUMPRODUCT(ПОТОКИ!B11:G11,ЧАСОВЫЕ_ПРОФИЛИ!B21:G21,КОЭФФИЦИЕНТЫ_ВЫБОРА!F27:K27)</f>
        <v>0.116</v>
      </c>
      <c r="I337" s="12" t="n">
        <f aca="false">SUMPRODUCT(ПОТОКИ!B11:G11,ЧАСОВЫЕ_ПРОФИЛИ!B21:G21,КОЭФФИЦИЕНТЫ_ВЫБОРА!F27:K27,ПАРАМЕТРЫ!$B$17:$G$17)</f>
        <v>0.1276</v>
      </c>
      <c r="J337" s="12" t="n">
        <f aca="false">I337*G337/1000</f>
        <v>0.022968</v>
      </c>
      <c r="K337" s="11" t="s">
        <v>217</v>
      </c>
      <c r="L337" s="11" t="s">
        <v>19</v>
      </c>
      <c r="M337" s="11" t="s">
        <v>145</v>
      </c>
    </row>
    <row r="338" customFormat="false" ht="15" hidden="false" customHeight="false" outlineLevel="0" collapsed="false">
      <c r="A338" s="11" t="s">
        <v>107</v>
      </c>
      <c r="B338" s="11" t="s">
        <v>134</v>
      </c>
      <c r="C338" s="11" t="n">
        <v>18</v>
      </c>
      <c r="D338" s="11" t="s">
        <v>172</v>
      </c>
      <c r="E338" s="11" t="s">
        <v>173</v>
      </c>
      <c r="F338" s="11" t="s">
        <v>83</v>
      </c>
      <c r="G338" s="12" t="n">
        <v>400</v>
      </c>
      <c r="H338" s="12" t="n">
        <f aca="false">SUMPRODUCT(ПОТОКИ!B11:G11,ЧАСОВЫЕ_ПРОФИЛИ!B21:G21,КОЭФФИЦИЕНТЫ_ВЫБОРА!F28:K28)</f>
        <v>0.192</v>
      </c>
      <c r="I338" s="12" t="n">
        <f aca="false">SUMPRODUCT(ПОТОКИ!B11:G11,ЧАСОВЫЕ_ПРОФИЛИ!B21:G21,КОЭФФИЦИЕНТЫ_ВЫБОРА!F28:K28,ПАРАМЕТРЫ!$B$17:$G$17)</f>
        <v>0.2112</v>
      </c>
      <c r="J338" s="12" t="n">
        <f aca="false">I338*G338/1000</f>
        <v>0.08448</v>
      </c>
      <c r="K338" s="11" t="s">
        <v>217</v>
      </c>
      <c r="L338" s="11" t="s">
        <v>19</v>
      </c>
      <c r="M338" s="11" t="s">
        <v>145</v>
      </c>
    </row>
    <row r="339" customFormat="false" ht="23.85" hidden="false" customHeight="false" outlineLevel="0" collapsed="false">
      <c r="A339" s="11" t="s">
        <v>107</v>
      </c>
      <c r="B339" s="11" t="s">
        <v>134</v>
      </c>
      <c r="C339" s="11" t="n">
        <v>19</v>
      </c>
      <c r="D339" s="11" t="s">
        <v>174</v>
      </c>
      <c r="E339" s="11" t="s">
        <v>175</v>
      </c>
      <c r="F339" s="11" t="s">
        <v>83</v>
      </c>
      <c r="G339" s="12" t="n">
        <v>300</v>
      </c>
      <c r="H339" s="12" t="n">
        <f aca="false">SUMPRODUCT(ПОТОКИ!B11:G11,ЧАСОВЫЕ_ПРОФИЛИ!B21:G21,КОЭФФИЦИЕНТЫ_ВЫБОРА!F29:K29)</f>
        <v>0.6315</v>
      </c>
      <c r="I339" s="12" t="n">
        <f aca="false">SUMPRODUCT(ПОТОКИ!B11:G11,ЧАСОВЫЕ_ПРОФИЛИ!B21:G21,КОЭФФИЦИЕНТЫ_ВЫБОРА!F29:K29,ПАРАМЕТРЫ!$B$17:$G$17)</f>
        <v>0.69465</v>
      </c>
      <c r="J339" s="12" t="n">
        <f aca="false">I339*G339/1000</f>
        <v>0.208395</v>
      </c>
      <c r="K339" s="11" t="s">
        <v>217</v>
      </c>
      <c r="L339" s="11" t="s">
        <v>19</v>
      </c>
      <c r="M339" s="11" t="s">
        <v>145</v>
      </c>
    </row>
    <row r="340" customFormat="false" ht="15" hidden="false" customHeight="false" outlineLevel="0" collapsed="false">
      <c r="A340" s="11" t="s">
        <v>107</v>
      </c>
      <c r="B340" s="11" t="s">
        <v>134</v>
      </c>
      <c r="C340" s="11" t="n">
        <v>20</v>
      </c>
      <c r="D340" s="11" t="s">
        <v>174</v>
      </c>
      <c r="E340" s="11" t="s">
        <v>176</v>
      </c>
      <c r="F340" s="11" t="s">
        <v>83</v>
      </c>
      <c r="G340" s="12" t="n">
        <v>360</v>
      </c>
      <c r="H340" s="12" t="n">
        <f aca="false">SUMPRODUCT(ПОТОКИ!B11:G11,ЧАСОВЫЕ_ПРОФИЛИ!B21:G21,КОЭФФИЦИЕНТЫ_ВЫБОРА!F30:K30)</f>
        <v>0.5746</v>
      </c>
      <c r="I340" s="12" t="n">
        <f aca="false">SUMPRODUCT(ПОТОКИ!B11:G11,ЧАСОВЫЕ_ПРОФИЛИ!B21:G21,КОЭФФИЦИЕНТЫ_ВЫБОРА!F30:K30,ПАРАМЕТРЫ!$B$17:$G$17)</f>
        <v>0.63206</v>
      </c>
      <c r="J340" s="12" t="n">
        <f aca="false">I340*G340/1000</f>
        <v>0.2275416</v>
      </c>
      <c r="K340" s="11" t="s">
        <v>217</v>
      </c>
      <c r="L340" s="11" t="s">
        <v>19</v>
      </c>
      <c r="M340" s="11" t="s">
        <v>145</v>
      </c>
    </row>
    <row r="341" customFormat="false" ht="15" hidden="false" customHeight="false" outlineLevel="0" collapsed="false">
      <c r="A341" s="11" t="s">
        <v>107</v>
      </c>
      <c r="B341" s="11" t="s">
        <v>134</v>
      </c>
      <c r="C341" s="11" t="n">
        <v>21</v>
      </c>
      <c r="D341" s="11" t="s">
        <v>174</v>
      </c>
      <c r="E341" s="11" t="s">
        <v>177</v>
      </c>
      <c r="F341" s="11" t="s">
        <v>83</v>
      </c>
      <c r="G341" s="12" t="n">
        <v>350</v>
      </c>
      <c r="H341" s="12" t="n">
        <f aca="false">SUMPRODUCT(ПОТОКИ!B11:G11,ЧАСОВЫЕ_ПРОФИЛИ!B21:G21,КОЭФФИЦИЕНТЫ_ВЫБОРА!F31:K31)</f>
        <v>0.86465</v>
      </c>
      <c r="I341" s="12" t="n">
        <f aca="false">SUMPRODUCT(ПОТОКИ!B11:G11,ЧАСОВЫЕ_ПРОФИЛИ!B21:G21,КОЭФФИЦИЕНТЫ_ВЫБОРА!F31:K31,ПАРАМЕТРЫ!$B$17:$G$17)</f>
        <v>0.951115</v>
      </c>
      <c r="J341" s="12" t="n">
        <f aca="false">I341*G341/1000</f>
        <v>0.33289025</v>
      </c>
      <c r="K341" s="11" t="s">
        <v>217</v>
      </c>
      <c r="L341" s="11" t="s">
        <v>19</v>
      </c>
      <c r="M341" s="11" t="s">
        <v>145</v>
      </c>
    </row>
    <row r="342" customFormat="false" ht="15" hidden="false" customHeight="false" outlineLevel="0" collapsed="false">
      <c r="A342" s="11" t="s">
        <v>107</v>
      </c>
      <c r="B342" s="11" t="s">
        <v>134</v>
      </c>
      <c r="C342" s="11" t="n">
        <v>22</v>
      </c>
      <c r="D342" s="11" t="s">
        <v>174</v>
      </c>
      <c r="E342" s="11" t="s">
        <v>178</v>
      </c>
      <c r="F342" s="11" t="s">
        <v>83</v>
      </c>
      <c r="G342" s="12" t="n">
        <v>300</v>
      </c>
      <c r="H342" s="12" t="n">
        <f aca="false">SUMPRODUCT(ПОТОКИ!B11:G11,ЧАСОВЫЕ_ПРОФИЛИ!B21:G21,КОЭФФИЦИЕНТЫ_ВЫБОРА!F32:K32)</f>
        <v>0.56225</v>
      </c>
      <c r="I342" s="12" t="n">
        <f aca="false">SUMPRODUCT(ПОТОКИ!B11:G11,ЧАСОВЫЕ_ПРОФИЛИ!B21:G21,КОЭФФИЦИЕНТЫ_ВЫБОРА!F32:K32,ПАРАМЕТРЫ!$B$17:$G$17)</f>
        <v>0.618475</v>
      </c>
      <c r="J342" s="12" t="n">
        <f aca="false">I342*G342/1000</f>
        <v>0.1855425</v>
      </c>
      <c r="K342" s="11" t="s">
        <v>217</v>
      </c>
      <c r="L342" s="11" t="s">
        <v>19</v>
      </c>
      <c r="M342" s="11" t="s">
        <v>145</v>
      </c>
    </row>
    <row r="343" customFormat="false" ht="15" hidden="false" customHeight="false" outlineLevel="0" collapsed="false">
      <c r="A343" s="11" t="s">
        <v>107</v>
      </c>
      <c r="B343" s="11" t="s">
        <v>134</v>
      </c>
      <c r="C343" s="11" t="n">
        <v>23</v>
      </c>
      <c r="D343" s="11" t="s">
        <v>86</v>
      </c>
      <c r="E343" s="11" t="s">
        <v>179</v>
      </c>
      <c r="F343" s="11" t="s">
        <v>85</v>
      </c>
      <c r="G343" s="12" t="n">
        <v>150</v>
      </c>
      <c r="H343" s="12" t="n">
        <f aca="false">SUMPRODUCT(ПОТОКИ!B11:G11,ЧАСОВЫЕ_ПРОФИЛИ!B21:G21,КОЭФФИЦИЕНТЫ_ВЫБОРА!F33:K33)</f>
        <v>0.41465775</v>
      </c>
      <c r="I343" s="12" t="n">
        <f aca="false">SUMPRODUCT(ПОТОКИ!B11:G11,ЧАСОВЫЕ_ПРОФИЛИ!B21:G21,КОЭФФИЦИЕНТЫ_ВЫБОРА!F33:K33,ПАРАМЕТРЫ!$B$17:$G$17)</f>
        <v>0.456123525</v>
      </c>
      <c r="J343" s="12" t="n">
        <f aca="false">I343*G343/1000</f>
        <v>0.06841852875</v>
      </c>
      <c r="K343" s="11" t="s">
        <v>217</v>
      </c>
      <c r="L343" s="11" t="s">
        <v>19</v>
      </c>
      <c r="M343" s="11" t="s">
        <v>147</v>
      </c>
    </row>
    <row r="344" customFormat="false" ht="15" hidden="false" customHeight="false" outlineLevel="0" collapsed="false">
      <c r="A344" s="11" t="s">
        <v>107</v>
      </c>
      <c r="B344" s="11" t="s">
        <v>134</v>
      </c>
      <c r="C344" s="11" t="n">
        <v>24</v>
      </c>
      <c r="D344" s="11" t="s">
        <v>86</v>
      </c>
      <c r="E344" s="11" t="s">
        <v>180</v>
      </c>
      <c r="F344" s="11" t="s">
        <v>85</v>
      </c>
      <c r="G344" s="12" t="n">
        <v>150</v>
      </c>
      <c r="H344" s="12" t="n">
        <f aca="false">SUMPRODUCT(ПОТОКИ!B11:G11,ЧАСОВЫЕ_ПРОФИЛИ!B21:G21,КОЭФФИЦИЕНТЫ_ВЫБОРА!F34:K34)</f>
        <v>0.215457</v>
      </c>
      <c r="I344" s="12" t="n">
        <f aca="false">SUMPRODUCT(ПОТОКИ!B11:G11,ЧАСОВЫЕ_ПРОФИЛИ!B21:G21,КОЭФФИЦИЕНТЫ_ВЫБОРА!F34:K34,ПАРАМЕТРЫ!$B$17:$G$17)</f>
        <v>0.2370027</v>
      </c>
      <c r="J344" s="12" t="n">
        <f aca="false">I344*G344/1000</f>
        <v>0.035550405</v>
      </c>
      <c r="K344" s="11" t="s">
        <v>217</v>
      </c>
      <c r="L344" s="11" t="s">
        <v>19</v>
      </c>
      <c r="M344" s="11" t="s">
        <v>147</v>
      </c>
    </row>
    <row r="345" customFormat="false" ht="15" hidden="false" customHeight="false" outlineLevel="0" collapsed="false">
      <c r="A345" s="11" t="s">
        <v>107</v>
      </c>
      <c r="B345" s="11" t="s">
        <v>134</v>
      </c>
      <c r="C345" s="11" t="n">
        <v>25</v>
      </c>
      <c r="D345" s="11" t="s">
        <v>86</v>
      </c>
      <c r="E345" s="11" t="s">
        <v>181</v>
      </c>
      <c r="F345" s="11" t="s">
        <v>85</v>
      </c>
      <c r="G345" s="12" t="n">
        <v>150</v>
      </c>
      <c r="H345" s="12" t="n">
        <f aca="false">SUMPRODUCT(ПОТОКИ!B11:G11,ЧАСОВЫЕ_ПРОФИЛИ!B21:G21,КОЭФФИЦИЕНТЫ_ВЫБОРА!F35:K35)</f>
        <v>0.44717025</v>
      </c>
      <c r="I345" s="12" t="n">
        <f aca="false">SUMPRODUCT(ПОТОКИ!B11:G11,ЧАСОВЫЕ_ПРОФИЛИ!B21:G21,КОЭФФИЦИЕНТЫ_ВЫБОРА!F35:K35,ПАРАМЕТРЫ!$B$17:$G$17)</f>
        <v>0.491887275</v>
      </c>
      <c r="J345" s="12" t="n">
        <f aca="false">I345*G345/1000</f>
        <v>0.07378309125</v>
      </c>
      <c r="K345" s="11" t="s">
        <v>217</v>
      </c>
      <c r="L345" s="11" t="s">
        <v>19</v>
      </c>
      <c r="M345" s="11" t="s">
        <v>147</v>
      </c>
    </row>
    <row r="346" customFormat="false" ht="23.85" hidden="false" customHeight="false" outlineLevel="0" collapsed="false">
      <c r="A346" s="11" t="s">
        <v>107</v>
      </c>
      <c r="B346" s="11" t="s">
        <v>134</v>
      </c>
      <c r="C346" s="11" t="n">
        <v>26</v>
      </c>
      <c r="D346" s="11" t="s">
        <v>89</v>
      </c>
      <c r="E346" s="11" t="s">
        <v>182</v>
      </c>
      <c r="F346" s="11" t="s">
        <v>88</v>
      </c>
      <c r="G346" s="12" t="n">
        <v>225</v>
      </c>
      <c r="H346" s="12" t="n">
        <f aca="false">SUMPRODUCT(ПОТОКИ!B11:G11,ЧАСОВЫЕ_ПРОФИЛИ!B21:G21,КОЭФФИЦИЕНТЫ_ВЫБОРА!F36:K36)</f>
        <v>0</v>
      </c>
      <c r="I346" s="12" t="n">
        <f aca="false">SUMPRODUCT(ПОТОКИ!B11:G11,ЧАСОВЫЕ_ПРОФИЛИ!B21:G21,КОЭФФИЦИЕНТЫ_ВЫБОРА!F36:K36,ПАРАМЕТРЫ!$B$17:$G$17)</f>
        <v>0</v>
      </c>
      <c r="J346" s="12" t="n">
        <f aca="false">I346*G346/1000</f>
        <v>0</v>
      </c>
      <c r="K346" s="11" t="s">
        <v>217</v>
      </c>
      <c r="L346" s="11" t="s">
        <v>19</v>
      </c>
      <c r="M346" s="11" t="s">
        <v>145</v>
      </c>
    </row>
    <row r="347" customFormat="false" ht="23.85" hidden="false" customHeight="false" outlineLevel="0" collapsed="false">
      <c r="A347" s="11" t="s">
        <v>107</v>
      </c>
      <c r="B347" s="11" t="s">
        <v>134</v>
      </c>
      <c r="C347" s="11" t="n">
        <v>27</v>
      </c>
      <c r="D347" s="11" t="s">
        <v>89</v>
      </c>
      <c r="E347" s="11" t="s">
        <v>183</v>
      </c>
      <c r="F347" s="11" t="s">
        <v>88</v>
      </c>
      <c r="G347" s="12" t="n">
        <v>265</v>
      </c>
      <c r="H347" s="12" t="n">
        <f aca="false">SUMPRODUCT(ПОТОКИ!B11:G11,ЧАСОВЫЕ_ПРОФИЛИ!B21:G21,КОЭФФИЦИЕНТЫ_ВЫБОРА!F37:K37)</f>
        <v>0</v>
      </c>
      <c r="I347" s="12" t="n">
        <f aca="false">SUMPRODUCT(ПОТОКИ!B11:G11,ЧАСОВЫЕ_ПРОФИЛИ!B21:G21,КОЭФФИЦИЕНТЫ_ВЫБОРА!F37:K37,ПАРАМЕТРЫ!$B$17:$G$17)</f>
        <v>0</v>
      </c>
      <c r="J347" s="12" t="n">
        <f aca="false">I347*G347/1000</f>
        <v>0</v>
      </c>
      <c r="K347" s="11" t="s">
        <v>217</v>
      </c>
      <c r="L347" s="11" t="s">
        <v>19</v>
      </c>
      <c r="M347" s="11" t="s">
        <v>145</v>
      </c>
    </row>
    <row r="348" customFormat="false" ht="23.85" hidden="false" customHeight="false" outlineLevel="0" collapsed="false">
      <c r="A348" s="11" t="s">
        <v>107</v>
      </c>
      <c r="B348" s="11" t="s">
        <v>134</v>
      </c>
      <c r="C348" s="11" t="n">
        <v>28</v>
      </c>
      <c r="D348" s="11" t="s">
        <v>89</v>
      </c>
      <c r="E348" s="11" t="s">
        <v>184</v>
      </c>
      <c r="F348" s="11" t="s">
        <v>88</v>
      </c>
      <c r="G348" s="12" t="n">
        <v>355</v>
      </c>
      <c r="H348" s="12" t="n">
        <f aca="false">SUMPRODUCT(ПОТОКИ!B11:G11,ЧАСОВЫЕ_ПРОФИЛИ!B21:G21,КОЭФФИЦИЕНТЫ_ВЫБОРА!F38:K38)</f>
        <v>0</v>
      </c>
      <c r="I348" s="12" t="n">
        <f aca="false">SUMPRODUCT(ПОТОКИ!B11:G11,ЧАСОВЫЕ_ПРОФИЛИ!B21:G21,КОЭФФИЦИЕНТЫ_ВЫБОРА!F38:K38,ПАРАМЕТРЫ!$B$17:$G$17)</f>
        <v>0</v>
      </c>
      <c r="J348" s="12" t="n">
        <f aca="false">I348*G348/1000</f>
        <v>0</v>
      </c>
      <c r="K348" s="11" t="s">
        <v>217</v>
      </c>
      <c r="L348" s="11" t="s">
        <v>19</v>
      </c>
      <c r="M348" s="11" t="s">
        <v>145</v>
      </c>
    </row>
    <row r="349" customFormat="false" ht="15" hidden="false" customHeight="false" outlineLevel="0" collapsed="false">
      <c r="A349" s="11" t="s">
        <v>107</v>
      </c>
      <c r="B349" s="11" t="s">
        <v>134</v>
      </c>
      <c r="C349" s="11" t="n">
        <v>29</v>
      </c>
      <c r="D349" s="11" t="s">
        <v>92</v>
      </c>
      <c r="E349" s="11" t="s">
        <v>185</v>
      </c>
      <c r="F349" s="11" t="s">
        <v>91</v>
      </c>
      <c r="G349" s="12" t="n">
        <v>150</v>
      </c>
      <c r="H349" s="12" t="n">
        <f aca="false">SUMPRODUCT(ПОТОКИ!B11:G11,ЧАСОВЫЕ_ПРОФИЛИ!B21:G21,КОЭФФИЦИЕНТЫ_ВЫБОРА!F39:K39)</f>
        <v>0.2772</v>
      </c>
      <c r="I349" s="12" t="n">
        <f aca="false">SUMPRODUCT(ПОТОКИ!B11:G11,ЧАСОВЫЕ_ПРОФИЛИ!B21:G21,КОЭФФИЦИЕНТЫ_ВЫБОРА!F39:K39,ПАРАМЕТРЫ!$B$17:$G$17)</f>
        <v>0.30492</v>
      </c>
      <c r="J349" s="12" t="n">
        <f aca="false">I349*G349/1000</f>
        <v>0.045738</v>
      </c>
      <c r="K349" s="11" t="s">
        <v>217</v>
      </c>
      <c r="L349" s="11" t="s">
        <v>19</v>
      </c>
      <c r="M349" s="11" t="s">
        <v>145</v>
      </c>
    </row>
    <row r="350" customFormat="false" ht="15" hidden="false" customHeight="false" outlineLevel="0" collapsed="false">
      <c r="A350" s="11" t="s">
        <v>107</v>
      </c>
      <c r="B350" s="11" t="s">
        <v>134</v>
      </c>
      <c r="C350" s="11" t="n">
        <v>30</v>
      </c>
      <c r="D350" s="11" t="s">
        <v>92</v>
      </c>
      <c r="E350" s="11" t="s">
        <v>186</v>
      </c>
      <c r="F350" s="11" t="s">
        <v>91</v>
      </c>
      <c r="G350" s="12" t="n">
        <v>120</v>
      </c>
      <c r="H350" s="12" t="n">
        <f aca="false">SUMPRODUCT(ПОТОКИ!B11:G11,ЧАСОВЫЕ_ПРОФИЛИ!B21:G21,КОЭФФИЦИЕНТЫ_ВЫБОРА!F40:K40)</f>
        <v>0.3272</v>
      </c>
      <c r="I350" s="12" t="n">
        <f aca="false">SUMPRODUCT(ПОТОКИ!B11:G11,ЧАСОВЫЕ_ПРОФИЛИ!B21:G21,КОЭФФИЦИЕНТЫ_ВЫБОРА!F40:K40,ПАРАМЕТРЫ!$B$17:$G$17)</f>
        <v>0.35992</v>
      </c>
      <c r="J350" s="12" t="n">
        <f aca="false">I350*G350/1000</f>
        <v>0.0431904</v>
      </c>
      <c r="K350" s="11" t="s">
        <v>217</v>
      </c>
      <c r="L350" s="11" t="s">
        <v>19</v>
      </c>
      <c r="M350" s="11" t="s">
        <v>145</v>
      </c>
    </row>
    <row r="351" customFormat="false" ht="15" hidden="false" customHeight="false" outlineLevel="0" collapsed="false">
      <c r="A351" s="11" t="s">
        <v>107</v>
      </c>
      <c r="B351" s="11" t="s">
        <v>134</v>
      </c>
      <c r="C351" s="11" t="n">
        <v>31</v>
      </c>
      <c r="D351" s="11" t="s">
        <v>92</v>
      </c>
      <c r="E351" s="11" t="s">
        <v>187</v>
      </c>
      <c r="F351" s="11" t="s">
        <v>91</v>
      </c>
      <c r="G351" s="12" t="n">
        <v>60</v>
      </c>
      <c r="H351" s="12" t="n">
        <f aca="false">SUMPRODUCT(ПОТОКИ!B11:G11,ЧАСОВЫЕ_ПРОФИЛИ!B21:G21,КОЭФФИЦИЕНТЫ_ВЫБОРА!F41:K41)</f>
        <v>0.2736</v>
      </c>
      <c r="I351" s="12" t="n">
        <f aca="false">SUMPRODUCT(ПОТОКИ!B11:G11,ЧАСОВЫЕ_ПРОФИЛИ!B21:G21,КОЭФФИЦИЕНТЫ_ВЫБОРА!F41:K41,ПАРАМЕТРЫ!$B$17:$G$17)</f>
        <v>0.30096</v>
      </c>
      <c r="J351" s="12" t="n">
        <f aca="false">I351*G351/1000</f>
        <v>0.0180576</v>
      </c>
      <c r="K351" s="11" t="s">
        <v>217</v>
      </c>
      <c r="L351" s="11" t="s">
        <v>19</v>
      </c>
      <c r="M351" s="11" t="s">
        <v>145</v>
      </c>
    </row>
    <row r="352" customFormat="false" ht="15" hidden="false" customHeight="false" outlineLevel="0" collapsed="false">
      <c r="A352" s="11" t="s">
        <v>107</v>
      </c>
      <c r="B352" s="11" t="s">
        <v>135</v>
      </c>
      <c r="C352" s="11" t="n">
        <v>1</v>
      </c>
      <c r="D352" s="11" t="s">
        <v>74</v>
      </c>
      <c r="E352" s="11" t="s">
        <v>153</v>
      </c>
      <c r="F352" s="11" t="s">
        <v>73</v>
      </c>
      <c r="G352" s="12" t="n">
        <v>450</v>
      </c>
      <c r="H352" s="12" t="n">
        <f aca="false">SUMPRODUCT(ПОТОКИ!B11:G11,ЧАСОВЫЕ_ПРОФИЛИ!B22:G22,КОЭФФИЦИЕНТЫ_ВЫБОРА!F11:K11)</f>
        <v>0.3207</v>
      </c>
      <c r="I352" s="12" t="n">
        <f aca="false">SUMPRODUCT(ПОТОКИ!B11:G11,ЧАСОВЫЕ_ПРОФИЛИ!B22:G22,КОЭФФИЦИЕНТЫ_ВЫБОРА!F11:K11,ПАРАМЕТРЫ!$B$17:$G$17)</f>
        <v>0.35277</v>
      </c>
      <c r="J352" s="12" t="n">
        <f aca="false">I352*G352/1000</f>
        <v>0.1587465</v>
      </c>
      <c r="K352" s="11" t="s">
        <v>217</v>
      </c>
      <c r="L352" s="11" t="s">
        <v>19</v>
      </c>
      <c r="M352" s="11" t="s">
        <v>145</v>
      </c>
    </row>
    <row r="353" customFormat="false" ht="15" hidden="false" customHeight="false" outlineLevel="0" collapsed="false">
      <c r="A353" s="11" t="s">
        <v>107</v>
      </c>
      <c r="B353" s="11" t="s">
        <v>135</v>
      </c>
      <c r="C353" s="11" t="n">
        <v>2</v>
      </c>
      <c r="D353" s="11" t="s">
        <v>74</v>
      </c>
      <c r="E353" s="11" t="s">
        <v>154</v>
      </c>
      <c r="F353" s="11" t="s">
        <v>73</v>
      </c>
      <c r="G353" s="12" t="n">
        <v>480</v>
      </c>
      <c r="H353" s="12" t="n">
        <f aca="false">SUMPRODUCT(ПОТОКИ!B11:G11,ЧАСОВЫЕ_ПРОФИЛИ!B22:G22,КОЭФФИЦИЕНТЫ_ВЫБОРА!F12:K12)</f>
        <v>0.5421</v>
      </c>
      <c r="I353" s="12" t="n">
        <f aca="false">SUMPRODUCT(ПОТОКИ!B11:G11,ЧАСОВЫЕ_ПРОФИЛИ!B22:G22,КОЭФФИЦИЕНТЫ_ВЫБОРА!F12:K12,ПАРАМЕТРЫ!$B$17:$G$17)</f>
        <v>0.59631</v>
      </c>
      <c r="J353" s="12" t="n">
        <f aca="false">I353*G353/1000</f>
        <v>0.2862288</v>
      </c>
      <c r="K353" s="11" t="s">
        <v>217</v>
      </c>
      <c r="L353" s="11" t="s">
        <v>19</v>
      </c>
      <c r="M353" s="11" t="s">
        <v>145</v>
      </c>
    </row>
    <row r="354" customFormat="false" ht="15" hidden="false" customHeight="false" outlineLevel="0" collapsed="false">
      <c r="A354" s="11" t="s">
        <v>107</v>
      </c>
      <c r="B354" s="11" t="s">
        <v>135</v>
      </c>
      <c r="C354" s="11" t="n">
        <v>3</v>
      </c>
      <c r="D354" s="11" t="s">
        <v>74</v>
      </c>
      <c r="E354" s="11" t="s">
        <v>155</v>
      </c>
      <c r="F354" s="11" t="s">
        <v>73</v>
      </c>
      <c r="G354" s="12" t="n">
        <v>500</v>
      </c>
      <c r="H354" s="12" t="n">
        <f aca="false">SUMPRODUCT(ПОТОКИ!B11:G11,ЧАСОВЫЕ_ПРОФИЛИ!B22:G22,КОЭФФИЦИЕНТЫ_ВЫБОРА!F13:K13)</f>
        <v>0.7944</v>
      </c>
      <c r="I354" s="12" t="n">
        <f aca="false">SUMPRODUCT(ПОТОКИ!B11:G11,ЧАСОВЫЕ_ПРОФИЛИ!B22:G22,КОЭФФИЦИЕНТЫ_ВЫБОРА!F13:K13,ПАРАМЕТРЫ!$B$17:$G$17)</f>
        <v>0.87384</v>
      </c>
      <c r="J354" s="12" t="n">
        <f aca="false">I354*G354/1000</f>
        <v>0.43692</v>
      </c>
      <c r="K354" s="11" t="s">
        <v>217</v>
      </c>
      <c r="L354" s="11" t="s">
        <v>19</v>
      </c>
      <c r="M354" s="11" t="s">
        <v>145</v>
      </c>
    </row>
    <row r="355" customFormat="false" ht="15" hidden="false" customHeight="false" outlineLevel="0" collapsed="false">
      <c r="A355" s="11" t="s">
        <v>107</v>
      </c>
      <c r="B355" s="11" t="s">
        <v>135</v>
      </c>
      <c r="C355" s="11" t="n">
        <v>4</v>
      </c>
      <c r="D355" s="11" t="s">
        <v>74</v>
      </c>
      <c r="E355" s="11" t="s">
        <v>156</v>
      </c>
      <c r="F355" s="11" t="s">
        <v>73</v>
      </c>
      <c r="G355" s="12" t="n">
        <v>500</v>
      </c>
      <c r="H355" s="12" t="n">
        <f aca="false">SUMPRODUCT(ПОТОКИ!B11:G11,ЧАСОВЫЕ_ПРОФИЛИ!B22:G22,КОЭФФИЦИЕНТЫ_ВЫБОРА!F14:K14)</f>
        <v>1.0158</v>
      </c>
      <c r="I355" s="12" t="n">
        <f aca="false">SUMPRODUCT(ПОТОКИ!B11:G11,ЧАСОВЫЕ_ПРОФИЛИ!B22:G22,КОЭФФИЦИЕНТЫ_ВЫБОРА!F14:K14,ПАРАМЕТРЫ!$B$17:$G$17)</f>
        <v>1.11738</v>
      </c>
      <c r="J355" s="12" t="n">
        <f aca="false">I355*G355/1000</f>
        <v>0.55869</v>
      </c>
      <c r="K355" s="11" t="s">
        <v>217</v>
      </c>
      <c r="L355" s="11" t="s">
        <v>19</v>
      </c>
      <c r="M355" s="11" t="s">
        <v>145</v>
      </c>
    </row>
    <row r="356" customFormat="false" ht="15" hidden="false" customHeight="false" outlineLevel="0" collapsed="false">
      <c r="A356" s="11" t="s">
        <v>107</v>
      </c>
      <c r="B356" s="11" t="s">
        <v>135</v>
      </c>
      <c r="C356" s="11" t="n">
        <v>5</v>
      </c>
      <c r="D356" s="11" t="s">
        <v>78</v>
      </c>
      <c r="E356" s="11" t="s">
        <v>157</v>
      </c>
      <c r="F356" s="11" t="s">
        <v>77</v>
      </c>
      <c r="G356" s="12" t="n">
        <v>100</v>
      </c>
      <c r="H356" s="12" t="n">
        <f aca="false">SUMPRODUCT(ПОТОКИ!B11:G11,ЧАСОВЫЕ_ПРОФИЛИ!B22:G22,КОЭФФИЦИЕНТЫ_ВЫБОРА!F15:K15)</f>
        <v>0.5451</v>
      </c>
      <c r="I356" s="12" t="n">
        <f aca="false">SUMPRODUCT(ПОТОКИ!B11:G11,ЧАСОВЫЕ_ПРОФИЛИ!B22:G22,КОЭФФИЦИЕНТЫ_ВЫБОРА!F15:K15,ПАРАМЕТРЫ!$B$17:$G$17)</f>
        <v>0.59961</v>
      </c>
      <c r="J356" s="12" t="n">
        <f aca="false">I356*G356/1000</f>
        <v>0.059961</v>
      </c>
      <c r="K356" s="11" t="s">
        <v>217</v>
      </c>
      <c r="L356" s="11" t="s">
        <v>19</v>
      </c>
      <c r="M356" s="11" t="s">
        <v>147</v>
      </c>
    </row>
    <row r="357" customFormat="false" ht="15" hidden="false" customHeight="false" outlineLevel="0" collapsed="false">
      <c r="A357" s="11" t="s">
        <v>107</v>
      </c>
      <c r="B357" s="11" t="s">
        <v>135</v>
      </c>
      <c r="C357" s="11" t="n">
        <v>6</v>
      </c>
      <c r="D357" s="11" t="s">
        <v>78</v>
      </c>
      <c r="E357" s="11" t="s">
        <v>158</v>
      </c>
      <c r="F357" s="11" t="s">
        <v>77</v>
      </c>
      <c r="G357" s="12" t="n">
        <v>100</v>
      </c>
      <c r="H357" s="12" t="n">
        <f aca="false">SUMPRODUCT(ПОТОКИ!B11:G11,ЧАСОВЫЕ_ПРОФИЛИ!B22:G22,КОЭФФИЦИЕНТЫ_ВЫБОРА!F16:K16)</f>
        <v>0.4992</v>
      </c>
      <c r="I357" s="12" t="n">
        <f aca="false">SUMPRODUCT(ПОТОКИ!B11:G11,ЧАСОВЫЕ_ПРОФИЛИ!B22:G22,КОЭФФИЦИЕНТЫ_ВЫБОРА!F16:K16,ПАРАМЕТРЫ!$B$17:$G$17)</f>
        <v>0.54912</v>
      </c>
      <c r="J357" s="12" t="n">
        <f aca="false">I357*G357/1000</f>
        <v>0.054912</v>
      </c>
      <c r="K357" s="11" t="s">
        <v>217</v>
      </c>
      <c r="L357" s="11" t="s">
        <v>19</v>
      </c>
      <c r="M357" s="11" t="s">
        <v>147</v>
      </c>
    </row>
    <row r="358" customFormat="false" ht="15" hidden="false" customHeight="false" outlineLevel="0" collapsed="false">
      <c r="A358" s="11" t="s">
        <v>107</v>
      </c>
      <c r="B358" s="11" t="s">
        <v>135</v>
      </c>
      <c r="C358" s="11" t="n">
        <v>7</v>
      </c>
      <c r="D358" s="11" t="s">
        <v>78</v>
      </c>
      <c r="E358" s="11" t="s">
        <v>159</v>
      </c>
      <c r="F358" s="11" t="s">
        <v>77</v>
      </c>
      <c r="G358" s="12" t="n">
        <v>350</v>
      </c>
      <c r="H358" s="12" t="n">
        <f aca="false">SUMPRODUCT(ПОТОКИ!B11:G11,ЧАСОВЫЕ_ПРОФИЛИ!B22:G22,КОЭФФИЦИЕНТЫ_ВЫБОРА!F17:K17)</f>
        <v>0.44145</v>
      </c>
      <c r="I358" s="12" t="n">
        <f aca="false">SUMPRODUCT(ПОТОКИ!B11:G11,ЧАСОВЫЕ_ПРОФИЛИ!B22:G22,КОЭФФИЦИЕНТЫ_ВЫБОРА!F17:K17,ПАРАМЕТРЫ!$B$17:$G$17)</f>
        <v>0.485595</v>
      </c>
      <c r="J358" s="12" t="n">
        <f aca="false">I358*G358/1000</f>
        <v>0.16995825</v>
      </c>
      <c r="K358" s="11" t="s">
        <v>217</v>
      </c>
      <c r="L358" s="11" t="s">
        <v>19</v>
      </c>
      <c r="M358" s="11" t="s">
        <v>147</v>
      </c>
    </row>
    <row r="359" customFormat="false" ht="15" hidden="false" customHeight="false" outlineLevel="0" collapsed="false">
      <c r="A359" s="11" t="s">
        <v>107</v>
      </c>
      <c r="B359" s="11" t="s">
        <v>135</v>
      </c>
      <c r="C359" s="11" t="n">
        <v>8</v>
      </c>
      <c r="D359" s="11" t="s">
        <v>78</v>
      </c>
      <c r="E359" s="11" t="s">
        <v>160</v>
      </c>
      <c r="F359" s="11" t="s">
        <v>77</v>
      </c>
      <c r="G359" s="12" t="n">
        <v>85</v>
      </c>
      <c r="H359" s="12" t="n">
        <f aca="false">SUMPRODUCT(ПОТОКИ!B11:G11,ЧАСОВЫЕ_ПРОФИЛИ!B22:G22,КОЭФФИЦИЕНТЫ_ВЫБОРА!F18:K18)</f>
        <v>0.28005</v>
      </c>
      <c r="I359" s="12" t="n">
        <f aca="false">SUMPRODUCT(ПОТОКИ!B11:G11,ЧАСОВЫЕ_ПРОФИЛИ!B22:G22,КОЭФФИЦИЕНТЫ_ВЫБОРА!F18:K18,ПАРАМЕТРЫ!$B$17:$G$17)</f>
        <v>0.308055</v>
      </c>
      <c r="J359" s="12" t="n">
        <f aca="false">I359*G359/1000</f>
        <v>0.026184675</v>
      </c>
      <c r="K359" s="11" t="s">
        <v>217</v>
      </c>
      <c r="L359" s="11" t="s">
        <v>19</v>
      </c>
      <c r="M359" s="11" t="s">
        <v>147</v>
      </c>
    </row>
    <row r="360" customFormat="false" ht="15" hidden="false" customHeight="false" outlineLevel="0" collapsed="false">
      <c r="A360" s="11" t="s">
        <v>107</v>
      </c>
      <c r="B360" s="11" t="s">
        <v>135</v>
      </c>
      <c r="C360" s="11" t="n">
        <v>9</v>
      </c>
      <c r="D360" s="11" t="s">
        <v>161</v>
      </c>
      <c r="E360" s="11" t="s">
        <v>162</v>
      </c>
      <c r="F360" s="11" t="s">
        <v>80</v>
      </c>
      <c r="G360" s="12" t="n">
        <v>300</v>
      </c>
      <c r="H360" s="12" t="n">
        <f aca="false">SUMPRODUCT(ПОТОКИ!B11:G11,ЧАСОВЫЕ_ПРОФИЛИ!B22:G22,КОЭФФИЦИЕНТЫ_ВЫБОРА!F19:K19)</f>
        <v>0.4515</v>
      </c>
      <c r="I360" s="12" t="n">
        <f aca="false">SUMPRODUCT(ПОТОКИ!B11:G11,ЧАСОВЫЕ_ПРОФИЛИ!B22:G22,КОЭФФИЦИЕНТЫ_ВЫБОРА!F19:K19,ПАРАМЕТРЫ!$B$17:$G$17)</f>
        <v>0.49665</v>
      </c>
      <c r="J360" s="12" t="n">
        <f aca="false">I360*G360/1000</f>
        <v>0.148995</v>
      </c>
      <c r="K360" s="11" t="s">
        <v>217</v>
      </c>
      <c r="L360" s="11" t="s">
        <v>19</v>
      </c>
      <c r="M360" s="11" t="s">
        <v>145</v>
      </c>
    </row>
    <row r="361" customFormat="false" ht="15" hidden="false" customHeight="false" outlineLevel="0" collapsed="false">
      <c r="A361" s="11" t="s">
        <v>107</v>
      </c>
      <c r="B361" s="11" t="s">
        <v>135</v>
      </c>
      <c r="C361" s="11" t="n">
        <v>10</v>
      </c>
      <c r="D361" s="11" t="s">
        <v>161</v>
      </c>
      <c r="E361" s="11" t="s">
        <v>163</v>
      </c>
      <c r="F361" s="11" t="s">
        <v>80</v>
      </c>
      <c r="G361" s="12" t="n">
        <v>280</v>
      </c>
      <c r="H361" s="12" t="n">
        <f aca="false">SUMPRODUCT(ПОТОКИ!B11:G11,ЧАСОВЫЕ_ПРОФИЛИ!B22:G22,КОЭФФИЦИЕНТЫ_ВЫБОРА!F20:K20)</f>
        <v>0.51</v>
      </c>
      <c r="I361" s="12" t="n">
        <f aca="false">SUMPRODUCT(ПОТОКИ!B11:G11,ЧАСОВЫЕ_ПРОФИЛИ!B22:G22,КОЭФФИЦИЕНТЫ_ВЫБОРА!F20:K20,ПАРАМЕТРЫ!$B$17:$G$17)</f>
        <v>0.561</v>
      </c>
      <c r="J361" s="12" t="n">
        <f aca="false">I361*G361/1000</f>
        <v>0.15708</v>
      </c>
      <c r="K361" s="11" t="s">
        <v>217</v>
      </c>
      <c r="L361" s="11" t="s">
        <v>19</v>
      </c>
      <c r="M361" s="11" t="s">
        <v>145</v>
      </c>
    </row>
    <row r="362" customFormat="false" ht="15" hidden="false" customHeight="false" outlineLevel="0" collapsed="false">
      <c r="A362" s="11" t="s">
        <v>107</v>
      </c>
      <c r="B362" s="11" t="s">
        <v>135</v>
      </c>
      <c r="C362" s="11" t="n">
        <v>11</v>
      </c>
      <c r="D362" s="11" t="s">
        <v>161</v>
      </c>
      <c r="E362" s="11" t="s">
        <v>164</v>
      </c>
      <c r="F362" s="11" t="s">
        <v>80</v>
      </c>
      <c r="G362" s="12" t="n">
        <v>270</v>
      </c>
      <c r="H362" s="12" t="n">
        <f aca="false">SUMPRODUCT(ПОТОКИ!B11:G11,ЧАСОВЫЕ_ПРОФИЛИ!B22:G22,КОЭФФИЦИЕНТЫ_ВЫБОРА!F21:K21)</f>
        <v>0.8502</v>
      </c>
      <c r="I362" s="12" t="n">
        <f aca="false">SUMPRODUCT(ПОТОКИ!B11:G11,ЧАСОВЫЕ_ПРОФИЛИ!B22:G22,КОЭФФИЦИЕНТЫ_ВЫБОРА!F21:K21,ПАРАМЕТРЫ!$B$17:$G$17)</f>
        <v>0.93522</v>
      </c>
      <c r="J362" s="12" t="n">
        <f aca="false">I362*G362/1000</f>
        <v>0.2525094</v>
      </c>
      <c r="K362" s="11" t="s">
        <v>217</v>
      </c>
      <c r="L362" s="11" t="s">
        <v>19</v>
      </c>
      <c r="M362" s="11" t="s">
        <v>145</v>
      </c>
    </row>
    <row r="363" customFormat="false" ht="15" hidden="false" customHeight="false" outlineLevel="0" collapsed="false">
      <c r="A363" s="11" t="s">
        <v>107</v>
      </c>
      <c r="B363" s="11" t="s">
        <v>135</v>
      </c>
      <c r="C363" s="11" t="n">
        <v>12</v>
      </c>
      <c r="D363" s="11" t="s">
        <v>161</v>
      </c>
      <c r="E363" s="11" t="s">
        <v>165</v>
      </c>
      <c r="F363" s="11" t="s">
        <v>80</v>
      </c>
      <c r="G363" s="12" t="n">
        <v>240</v>
      </c>
      <c r="H363" s="12" t="n">
        <f aca="false">SUMPRODUCT(ПОТОКИ!B11:G11,ЧАСОВЫЕ_ПРОФИЛИ!B22:G22,КОЭФФИЦИЕНТЫ_ВЫБОРА!F22:K22)</f>
        <v>0.4503</v>
      </c>
      <c r="I363" s="12" t="n">
        <f aca="false">SUMPRODUCT(ПОТОКИ!B11:G11,ЧАСОВЫЕ_ПРОФИЛИ!B22:G22,КОЭФФИЦИЕНТЫ_ВЫБОРА!F22:K22,ПАРАМЕТРЫ!$B$17:$G$17)</f>
        <v>0.49533</v>
      </c>
      <c r="J363" s="12" t="n">
        <f aca="false">I363*G363/1000</f>
        <v>0.1188792</v>
      </c>
      <c r="K363" s="11" t="s">
        <v>217</v>
      </c>
      <c r="L363" s="11" t="s">
        <v>19</v>
      </c>
      <c r="M363" s="11" t="s">
        <v>145</v>
      </c>
    </row>
    <row r="364" customFormat="false" ht="15" hidden="false" customHeight="false" outlineLevel="0" collapsed="false">
      <c r="A364" s="11" t="s">
        <v>107</v>
      </c>
      <c r="B364" s="11" t="s">
        <v>135</v>
      </c>
      <c r="C364" s="11" t="n">
        <v>13</v>
      </c>
      <c r="D364" s="11" t="s">
        <v>166</v>
      </c>
      <c r="E364" s="11" t="s">
        <v>167</v>
      </c>
      <c r="F364" s="11" t="s">
        <v>80</v>
      </c>
      <c r="G364" s="12" t="n">
        <v>130</v>
      </c>
      <c r="H364" s="12" t="n">
        <f aca="false">SUMPRODUCT(ПОТОКИ!B11:G11,ЧАСОВЫЕ_ПРОФИЛИ!B22:G22,КОЭФФИЦИЕНТЫ_ВЫБОРА!F23:K23)</f>
        <v>0.252</v>
      </c>
      <c r="I364" s="12" t="n">
        <f aca="false">SUMPRODUCT(ПОТОКИ!B11:G11,ЧАСОВЫЕ_ПРОФИЛИ!B22:G22,КОЭФФИЦИЕНТЫ_ВЫБОРА!F23:K23,ПАРАМЕТРЫ!$B$17:$G$17)</f>
        <v>0.2772</v>
      </c>
      <c r="J364" s="12" t="n">
        <f aca="false">I364*G364/1000</f>
        <v>0.036036</v>
      </c>
      <c r="K364" s="11" t="s">
        <v>217</v>
      </c>
      <c r="L364" s="11" t="s">
        <v>19</v>
      </c>
      <c r="M364" s="11" t="s">
        <v>145</v>
      </c>
    </row>
    <row r="365" customFormat="false" ht="15" hidden="false" customHeight="false" outlineLevel="0" collapsed="false">
      <c r="A365" s="11" t="s">
        <v>107</v>
      </c>
      <c r="B365" s="11" t="s">
        <v>135</v>
      </c>
      <c r="C365" s="11" t="n">
        <v>14</v>
      </c>
      <c r="D365" s="11" t="s">
        <v>166</v>
      </c>
      <c r="E365" s="11" t="s">
        <v>168</v>
      </c>
      <c r="F365" s="11" t="s">
        <v>80</v>
      </c>
      <c r="G365" s="12" t="n">
        <v>250</v>
      </c>
      <c r="H365" s="12" t="n">
        <f aca="false">SUMPRODUCT(ПОТОКИ!B11:G11,ЧАСОВЫЕ_ПРОФИЛИ!B22:G22,КОЭФФИЦИЕНТЫ_ВЫБОРА!F24:K24)</f>
        <v>0.1902</v>
      </c>
      <c r="I365" s="12" t="n">
        <f aca="false">SUMPRODUCT(ПОТОКИ!B11:G11,ЧАСОВЫЕ_ПРОФИЛИ!B22:G22,КОЭФФИЦИЕНТЫ_ВЫБОРА!F24:K24,ПАРАМЕТРЫ!$B$17:$G$17)</f>
        <v>0.20922</v>
      </c>
      <c r="J365" s="12" t="n">
        <f aca="false">I365*G365/1000</f>
        <v>0.052305</v>
      </c>
      <c r="K365" s="11" t="s">
        <v>217</v>
      </c>
      <c r="L365" s="11" t="s">
        <v>19</v>
      </c>
      <c r="M365" s="11" t="s">
        <v>145</v>
      </c>
    </row>
    <row r="366" customFormat="false" ht="15" hidden="false" customHeight="false" outlineLevel="0" collapsed="false">
      <c r="A366" s="11" t="s">
        <v>107</v>
      </c>
      <c r="B366" s="11" t="s">
        <v>135</v>
      </c>
      <c r="C366" s="11" t="n">
        <v>15</v>
      </c>
      <c r="D366" s="11" t="s">
        <v>166</v>
      </c>
      <c r="E366" s="11" t="s">
        <v>169</v>
      </c>
      <c r="F366" s="11" t="s">
        <v>80</v>
      </c>
      <c r="G366" s="12" t="n">
        <v>120</v>
      </c>
      <c r="H366" s="12" t="n">
        <f aca="false">SUMPRODUCT(ПОТОКИ!B11:G11,ЧАСОВЫЕ_ПРОФИЛИ!B22:G22,КОЭФФИЦИЕНТЫ_ВЫБОРА!F25:K25)</f>
        <v>0.1452</v>
      </c>
      <c r="I366" s="12" t="n">
        <f aca="false">SUMPRODUCT(ПОТОКИ!B11:G11,ЧАСОВЫЕ_ПРОФИЛИ!B22:G22,КОЭФФИЦИЕНТЫ_ВЫБОРА!F25:K25,ПАРАМЕТРЫ!$B$17:$G$17)</f>
        <v>0.15972</v>
      </c>
      <c r="J366" s="12" t="n">
        <f aca="false">I366*G366/1000</f>
        <v>0.0191664</v>
      </c>
      <c r="K366" s="11" t="s">
        <v>217</v>
      </c>
      <c r="L366" s="11" t="s">
        <v>19</v>
      </c>
      <c r="M366" s="11" t="s">
        <v>145</v>
      </c>
    </row>
    <row r="367" customFormat="false" ht="15" hidden="false" customHeight="false" outlineLevel="0" collapsed="false">
      <c r="A367" s="11" t="s">
        <v>107</v>
      </c>
      <c r="B367" s="11" t="s">
        <v>135</v>
      </c>
      <c r="C367" s="11" t="n">
        <v>16</v>
      </c>
      <c r="D367" s="11" t="s">
        <v>166</v>
      </c>
      <c r="E367" s="11" t="s">
        <v>170</v>
      </c>
      <c r="F367" s="11" t="s">
        <v>80</v>
      </c>
      <c r="G367" s="12" t="n">
        <v>180</v>
      </c>
      <c r="H367" s="12" t="n">
        <f aca="false">SUMPRODUCT(ПОТОКИ!B11:G11,ЧАСОВЫЕ_ПРОФИЛИ!B22:G22,КОЭФФИЦИЕНТЫ_ВЫБОРА!F26:K26)</f>
        <v>0.2286</v>
      </c>
      <c r="I367" s="12" t="n">
        <f aca="false">SUMPRODUCT(ПОТОКИ!B11:G11,ЧАСОВЫЕ_ПРОФИЛИ!B22:G22,КОЭФФИЦИЕНТЫ_ВЫБОРА!F26:K26,ПАРАМЕТРЫ!$B$17:$G$17)</f>
        <v>0.25146</v>
      </c>
      <c r="J367" s="12" t="n">
        <f aca="false">I367*G367/1000</f>
        <v>0.0452628</v>
      </c>
      <c r="K367" s="11" t="s">
        <v>217</v>
      </c>
      <c r="L367" s="11" t="s">
        <v>19</v>
      </c>
      <c r="M367" s="11" t="s">
        <v>145</v>
      </c>
    </row>
    <row r="368" customFormat="false" ht="15" hidden="false" customHeight="false" outlineLevel="0" collapsed="false">
      <c r="A368" s="11" t="s">
        <v>107</v>
      </c>
      <c r="B368" s="11" t="s">
        <v>135</v>
      </c>
      <c r="C368" s="11" t="n">
        <v>17</v>
      </c>
      <c r="D368" s="11" t="s">
        <v>166</v>
      </c>
      <c r="E368" s="11" t="s">
        <v>171</v>
      </c>
      <c r="F368" s="11" t="s">
        <v>80</v>
      </c>
      <c r="G368" s="12" t="n">
        <v>180</v>
      </c>
      <c r="H368" s="12" t="n">
        <f aca="false">SUMPRODUCT(ПОТОКИ!B11:G11,ЧАСОВЫЕ_ПРОФИЛИ!B22:G22,КОЭФФИЦИЕНТЫ_ВЫБОРА!F27:K27)</f>
        <v>0.252</v>
      </c>
      <c r="I368" s="12" t="n">
        <f aca="false">SUMPRODUCT(ПОТОКИ!B11:G11,ЧАСОВЫЕ_ПРОФИЛИ!B22:G22,КОЭФФИЦИЕНТЫ_ВЫБОРА!F27:K27,ПАРАМЕТРЫ!$B$17:$G$17)</f>
        <v>0.2772</v>
      </c>
      <c r="J368" s="12" t="n">
        <f aca="false">I368*G368/1000</f>
        <v>0.049896</v>
      </c>
      <c r="K368" s="11" t="s">
        <v>217</v>
      </c>
      <c r="L368" s="11" t="s">
        <v>19</v>
      </c>
      <c r="M368" s="11" t="s">
        <v>145</v>
      </c>
    </row>
    <row r="369" customFormat="false" ht="15" hidden="false" customHeight="false" outlineLevel="0" collapsed="false">
      <c r="A369" s="11" t="s">
        <v>107</v>
      </c>
      <c r="B369" s="11" t="s">
        <v>135</v>
      </c>
      <c r="C369" s="11" t="n">
        <v>18</v>
      </c>
      <c r="D369" s="11" t="s">
        <v>172</v>
      </c>
      <c r="E369" s="11" t="s">
        <v>173</v>
      </c>
      <c r="F369" s="11" t="s">
        <v>83</v>
      </c>
      <c r="G369" s="12" t="n">
        <v>400</v>
      </c>
      <c r="H369" s="12" t="n">
        <f aca="false">SUMPRODUCT(ПОТОКИ!B11:G11,ЧАСОВЫЕ_ПРОФИЛИ!B22:G22,КОЭФФИЦИЕНТЫ_ВЫБОРА!F28:K28)</f>
        <v>0.384</v>
      </c>
      <c r="I369" s="12" t="n">
        <f aca="false">SUMPRODUCT(ПОТОКИ!B11:G11,ЧАСОВЫЕ_ПРОФИЛИ!B22:G22,КОЭФФИЦИЕНТЫ_ВЫБОРА!F28:K28,ПАРАМЕТРЫ!$B$17:$G$17)</f>
        <v>0.4224</v>
      </c>
      <c r="J369" s="12" t="n">
        <f aca="false">I369*G369/1000</f>
        <v>0.16896</v>
      </c>
      <c r="K369" s="11" t="s">
        <v>217</v>
      </c>
      <c r="L369" s="11" t="s">
        <v>19</v>
      </c>
      <c r="M369" s="11" t="s">
        <v>145</v>
      </c>
    </row>
    <row r="370" customFormat="false" ht="23.85" hidden="false" customHeight="false" outlineLevel="0" collapsed="false">
      <c r="A370" s="11" t="s">
        <v>107</v>
      </c>
      <c r="B370" s="11" t="s">
        <v>135</v>
      </c>
      <c r="C370" s="11" t="n">
        <v>19</v>
      </c>
      <c r="D370" s="11" t="s">
        <v>174</v>
      </c>
      <c r="E370" s="11" t="s">
        <v>175</v>
      </c>
      <c r="F370" s="11" t="s">
        <v>83</v>
      </c>
      <c r="G370" s="12" t="n">
        <v>300</v>
      </c>
      <c r="H370" s="12" t="n">
        <f aca="false">SUMPRODUCT(ПОТОКИ!B11:G11,ЧАСОВЫЕ_ПРОФИЛИ!B22:G22,КОЭФФИЦИЕНТЫ_ВЫБОРА!F29:K29)</f>
        <v>1.3185</v>
      </c>
      <c r="I370" s="12" t="n">
        <f aca="false">SUMPRODUCT(ПОТОКИ!B11:G11,ЧАСОВЫЕ_ПРОФИЛИ!B22:G22,КОЭФФИЦИЕНТЫ_ВЫБОРА!F29:K29,ПАРАМЕТРЫ!$B$17:$G$17)</f>
        <v>1.45035</v>
      </c>
      <c r="J370" s="12" t="n">
        <f aca="false">I370*G370/1000</f>
        <v>0.435105</v>
      </c>
      <c r="K370" s="11" t="s">
        <v>217</v>
      </c>
      <c r="L370" s="11" t="s">
        <v>19</v>
      </c>
      <c r="M370" s="11" t="s">
        <v>145</v>
      </c>
    </row>
    <row r="371" customFormat="false" ht="15" hidden="false" customHeight="false" outlineLevel="0" collapsed="false">
      <c r="A371" s="11" t="s">
        <v>107</v>
      </c>
      <c r="B371" s="11" t="s">
        <v>135</v>
      </c>
      <c r="C371" s="11" t="n">
        <v>20</v>
      </c>
      <c r="D371" s="11" t="s">
        <v>174</v>
      </c>
      <c r="E371" s="11" t="s">
        <v>176</v>
      </c>
      <c r="F371" s="11" t="s">
        <v>83</v>
      </c>
      <c r="G371" s="12" t="n">
        <v>360</v>
      </c>
      <c r="H371" s="12" t="n">
        <f aca="false">SUMPRODUCT(ПОТОКИ!B11:G11,ЧАСОВЫЕ_ПРОФИЛИ!B22:G22,КОЭФФИЦИЕНТЫ_ВЫБОРА!F30:K30)</f>
        <v>1.1442</v>
      </c>
      <c r="I371" s="12" t="n">
        <f aca="false">SUMPRODUCT(ПОТОКИ!B11:G11,ЧАСОВЫЕ_ПРОФИЛИ!B22:G22,КОЭФФИЦИЕНТЫ_ВЫБОРА!F30:K30,ПАРАМЕТРЫ!$B$17:$G$17)</f>
        <v>1.25862</v>
      </c>
      <c r="J371" s="12" t="n">
        <f aca="false">I371*G371/1000</f>
        <v>0.4531032</v>
      </c>
      <c r="K371" s="11" t="s">
        <v>217</v>
      </c>
      <c r="L371" s="11" t="s">
        <v>19</v>
      </c>
      <c r="M371" s="11" t="s">
        <v>145</v>
      </c>
    </row>
    <row r="372" customFormat="false" ht="15" hidden="false" customHeight="false" outlineLevel="0" collapsed="false">
      <c r="A372" s="11" t="s">
        <v>107</v>
      </c>
      <c r="B372" s="11" t="s">
        <v>135</v>
      </c>
      <c r="C372" s="11" t="n">
        <v>21</v>
      </c>
      <c r="D372" s="11" t="s">
        <v>174</v>
      </c>
      <c r="E372" s="11" t="s">
        <v>177</v>
      </c>
      <c r="F372" s="11" t="s">
        <v>83</v>
      </c>
      <c r="G372" s="12" t="n">
        <v>350</v>
      </c>
      <c r="H372" s="12" t="n">
        <f aca="false">SUMPRODUCT(ПОТОКИ!B11:G11,ЧАСОВЫЕ_ПРОФИЛИ!B22:G22,КОЭФФИЦИЕНТЫ_ВЫБОРА!F31:K31)</f>
        <v>1.69155</v>
      </c>
      <c r="I372" s="12" t="n">
        <f aca="false">SUMPRODUCT(ПОТОКИ!B11:G11,ЧАСОВЫЕ_ПРОФИЛИ!B22:G22,КОЭФФИЦИЕНТЫ_ВЫБОРА!F31:K31,ПАРАМЕТРЫ!$B$17:$G$17)</f>
        <v>1.860705</v>
      </c>
      <c r="J372" s="12" t="n">
        <f aca="false">I372*G372/1000</f>
        <v>0.65124675</v>
      </c>
      <c r="K372" s="11" t="s">
        <v>217</v>
      </c>
      <c r="L372" s="11" t="s">
        <v>19</v>
      </c>
      <c r="M372" s="11" t="s">
        <v>145</v>
      </c>
    </row>
    <row r="373" customFormat="false" ht="15" hidden="false" customHeight="false" outlineLevel="0" collapsed="false">
      <c r="A373" s="11" t="s">
        <v>107</v>
      </c>
      <c r="B373" s="11" t="s">
        <v>135</v>
      </c>
      <c r="C373" s="11" t="n">
        <v>22</v>
      </c>
      <c r="D373" s="11" t="s">
        <v>174</v>
      </c>
      <c r="E373" s="11" t="s">
        <v>178</v>
      </c>
      <c r="F373" s="11" t="s">
        <v>83</v>
      </c>
      <c r="G373" s="12" t="n">
        <v>300</v>
      </c>
      <c r="H373" s="12" t="n">
        <f aca="false">SUMPRODUCT(ПОТОКИ!B11:G11,ЧАСОВЫЕ_ПРОФИЛИ!B22:G22,КОЭФФИЦИЕНТЫ_ВЫБОРА!F32:K32)</f>
        <v>1.17675</v>
      </c>
      <c r="I373" s="12" t="n">
        <f aca="false">SUMPRODUCT(ПОТОКИ!B11:G11,ЧАСОВЫЕ_ПРОФИЛИ!B22:G22,КОЭФФИЦИЕНТЫ_ВЫБОРА!F32:K32,ПАРАМЕТРЫ!$B$17:$G$17)</f>
        <v>1.294425</v>
      </c>
      <c r="J373" s="12" t="n">
        <f aca="false">I373*G373/1000</f>
        <v>0.3883275</v>
      </c>
      <c r="K373" s="11" t="s">
        <v>217</v>
      </c>
      <c r="L373" s="11" t="s">
        <v>19</v>
      </c>
      <c r="M373" s="11" t="s">
        <v>145</v>
      </c>
    </row>
    <row r="374" customFormat="false" ht="15" hidden="false" customHeight="false" outlineLevel="0" collapsed="false">
      <c r="A374" s="11" t="s">
        <v>107</v>
      </c>
      <c r="B374" s="11" t="s">
        <v>135</v>
      </c>
      <c r="C374" s="11" t="n">
        <v>23</v>
      </c>
      <c r="D374" s="11" t="s">
        <v>86</v>
      </c>
      <c r="E374" s="11" t="s">
        <v>179</v>
      </c>
      <c r="F374" s="11" t="s">
        <v>85</v>
      </c>
      <c r="G374" s="12" t="n">
        <v>150</v>
      </c>
      <c r="H374" s="12" t="n">
        <f aca="false">SUMPRODUCT(ПОТОКИ!B11:G11,ЧАСОВЫЕ_ПРОФИЛИ!B22:G22,КОЭФФИЦИЕНТЫ_ВЫБОРА!F33:K33)</f>
        <v>0.94310925</v>
      </c>
      <c r="I374" s="12" t="n">
        <f aca="false">SUMPRODUCT(ПОТОКИ!B11:G11,ЧАСОВЫЕ_ПРОФИЛИ!B22:G22,КОЭФФИЦИЕНТЫ_ВЫБОРА!F33:K33,ПАРАМЕТРЫ!$B$17:$G$17)</f>
        <v>1.037420175</v>
      </c>
      <c r="J374" s="12" t="n">
        <f aca="false">I374*G374/1000</f>
        <v>0.15561302625</v>
      </c>
      <c r="K374" s="11" t="s">
        <v>217</v>
      </c>
      <c r="L374" s="11" t="s">
        <v>19</v>
      </c>
      <c r="M374" s="11" t="s">
        <v>147</v>
      </c>
    </row>
    <row r="375" customFormat="false" ht="15" hidden="false" customHeight="false" outlineLevel="0" collapsed="false">
      <c r="A375" s="11" t="s">
        <v>107</v>
      </c>
      <c r="B375" s="11" t="s">
        <v>135</v>
      </c>
      <c r="C375" s="11" t="n">
        <v>24</v>
      </c>
      <c r="D375" s="11" t="s">
        <v>86</v>
      </c>
      <c r="E375" s="11" t="s">
        <v>180</v>
      </c>
      <c r="F375" s="11" t="s">
        <v>85</v>
      </c>
      <c r="G375" s="12" t="n">
        <v>150</v>
      </c>
      <c r="H375" s="12" t="n">
        <f aca="false">SUMPRODUCT(ПОТОКИ!B11:G11,ЧАСОВЫЕ_ПРОФИЛИ!B22:G22,КОЭФФИЦИЕНТЫ_ВЫБОРА!F34:K34)</f>
        <v>0.495939</v>
      </c>
      <c r="I375" s="12" t="n">
        <f aca="false">SUMPRODUCT(ПОТОКИ!B11:G11,ЧАСОВЫЕ_ПРОФИЛИ!B22:G22,КОЭФФИЦИЕНТЫ_ВЫБОРА!F34:K34,ПАРАМЕТРЫ!$B$17:$G$17)</f>
        <v>0.5455329</v>
      </c>
      <c r="J375" s="12" t="n">
        <f aca="false">I375*G375/1000</f>
        <v>0.081829935</v>
      </c>
      <c r="K375" s="11" t="s">
        <v>217</v>
      </c>
      <c r="L375" s="11" t="s">
        <v>19</v>
      </c>
      <c r="M375" s="11" t="s">
        <v>147</v>
      </c>
    </row>
    <row r="376" customFormat="false" ht="15" hidden="false" customHeight="false" outlineLevel="0" collapsed="false">
      <c r="A376" s="11" t="s">
        <v>107</v>
      </c>
      <c r="B376" s="11" t="s">
        <v>135</v>
      </c>
      <c r="C376" s="11" t="n">
        <v>25</v>
      </c>
      <c r="D376" s="11" t="s">
        <v>86</v>
      </c>
      <c r="E376" s="11" t="s">
        <v>181</v>
      </c>
      <c r="F376" s="11" t="s">
        <v>85</v>
      </c>
      <c r="G376" s="12" t="n">
        <v>150</v>
      </c>
      <c r="H376" s="12" t="n">
        <f aca="false">SUMPRODUCT(ПОТОКИ!B11:G11,ЧАСОВЫЕ_ПРОФИЛИ!B22:G22,КОЭФФИЦИЕНТЫ_ВЫБОРА!F35:K35)</f>
        <v>1.04064675</v>
      </c>
      <c r="I376" s="12" t="n">
        <f aca="false">SUMPRODUCT(ПОТОКИ!B11:G11,ЧАСОВЫЕ_ПРОФИЛИ!B22:G22,КОЭФФИЦИЕНТЫ_ВЫБОРА!F35:K35,ПАРАМЕТРЫ!$B$17:$G$17)</f>
        <v>1.144711425</v>
      </c>
      <c r="J376" s="12" t="n">
        <f aca="false">I376*G376/1000</f>
        <v>0.17170671375</v>
      </c>
      <c r="K376" s="11" t="s">
        <v>217</v>
      </c>
      <c r="L376" s="11" t="s">
        <v>19</v>
      </c>
      <c r="M376" s="11" t="s">
        <v>147</v>
      </c>
    </row>
    <row r="377" customFormat="false" ht="23.85" hidden="false" customHeight="false" outlineLevel="0" collapsed="false">
      <c r="A377" s="11" t="s">
        <v>107</v>
      </c>
      <c r="B377" s="11" t="s">
        <v>135</v>
      </c>
      <c r="C377" s="11" t="n">
        <v>26</v>
      </c>
      <c r="D377" s="11" t="s">
        <v>89</v>
      </c>
      <c r="E377" s="11" t="s">
        <v>182</v>
      </c>
      <c r="F377" s="11" t="s">
        <v>88</v>
      </c>
      <c r="G377" s="12" t="n">
        <v>225</v>
      </c>
      <c r="H377" s="12" t="n">
        <f aca="false">SUMPRODUCT(ПОТОКИ!B11:G11,ЧАСОВЫЕ_ПРОФИЛИ!B22:G22,КОЭФФИЦИЕНТЫ_ВЫБОРА!F36:K36)</f>
        <v>0</v>
      </c>
      <c r="I377" s="12" t="n">
        <f aca="false">SUMPRODUCT(ПОТОКИ!B11:G11,ЧАСОВЫЕ_ПРОФИЛИ!B22:G22,КОЭФФИЦИЕНТЫ_ВЫБОРА!F36:K36,ПАРАМЕТРЫ!$B$17:$G$17)</f>
        <v>0</v>
      </c>
      <c r="J377" s="12" t="n">
        <f aca="false">I377*G377/1000</f>
        <v>0</v>
      </c>
      <c r="K377" s="11" t="s">
        <v>217</v>
      </c>
      <c r="L377" s="11" t="s">
        <v>19</v>
      </c>
      <c r="M377" s="11" t="s">
        <v>145</v>
      </c>
    </row>
    <row r="378" customFormat="false" ht="23.85" hidden="false" customHeight="false" outlineLevel="0" collapsed="false">
      <c r="A378" s="11" t="s">
        <v>107</v>
      </c>
      <c r="B378" s="11" t="s">
        <v>135</v>
      </c>
      <c r="C378" s="11" t="n">
        <v>27</v>
      </c>
      <c r="D378" s="11" t="s">
        <v>89</v>
      </c>
      <c r="E378" s="11" t="s">
        <v>183</v>
      </c>
      <c r="F378" s="11" t="s">
        <v>88</v>
      </c>
      <c r="G378" s="12" t="n">
        <v>265</v>
      </c>
      <c r="H378" s="12" t="n">
        <f aca="false">SUMPRODUCT(ПОТОКИ!B11:G11,ЧАСОВЫЕ_ПРОФИЛИ!B22:G22,КОЭФФИЦИЕНТЫ_ВЫБОРА!F37:K37)</f>
        <v>0</v>
      </c>
      <c r="I378" s="12" t="n">
        <f aca="false">SUMPRODUCT(ПОТОКИ!B11:G11,ЧАСОВЫЕ_ПРОФИЛИ!B22:G22,КОЭФФИЦИЕНТЫ_ВЫБОРА!F37:K37,ПАРАМЕТРЫ!$B$17:$G$17)</f>
        <v>0</v>
      </c>
      <c r="J378" s="12" t="n">
        <f aca="false">I378*G378/1000</f>
        <v>0</v>
      </c>
      <c r="K378" s="11" t="s">
        <v>217</v>
      </c>
      <c r="L378" s="11" t="s">
        <v>19</v>
      </c>
      <c r="M378" s="11" t="s">
        <v>145</v>
      </c>
    </row>
    <row r="379" customFormat="false" ht="23.85" hidden="false" customHeight="false" outlineLevel="0" collapsed="false">
      <c r="A379" s="11" t="s">
        <v>107</v>
      </c>
      <c r="B379" s="11" t="s">
        <v>135</v>
      </c>
      <c r="C379" s="11" t="n">
        <v>28</v>
      </c>
      <c r="D379" s="11" t="s">
        <v>89</v>
      </c>
      <c r="E379" s="11" t="s">
        <v>184</v>
      </c>
      <c r="F379" s="11" t="s">
        <v>88</v>
      </c>
      <c r="G379" s="12" t="n">
        <v>355</v>
      </c>
      <c r="H379" s="12" t="n">
        <f aca="false">SUMPRODUCT(ПОТОКИ!B11:G11,ЧАСОВЫЕ_ПРОФИЛИ!B22:G22,КОЭФФИЦИЕНТЫ_ВЫБОРА!F38:K38)</f>
        <v>0</v>
      </c>
      <c r="I379" s="12" t="n">
        <f aca="false">SUMPRODUCT(ПОТОКИ!B11:G11,ЧАСОВЫЕ_ПРОФИЛИ!B22:G22,КОЭФФИЦИЕНТЫ_ВЫБОРА!F38:K38,ПАРАМЕТРЫ!$B$17:$G$17)</f>
        <v>0</v>
      </c>
      <c r="J379" s="12" t="n">
        <f aca="false">I379*G379/1000</f>
        <v>0</v>
      </c>
      <c r="K379" s="11" t="s">
        <v>217</v>
      </c>
      <c r="L379" s="11" t="s">
        <v>19</v>
      </c>
      <c r="M379" s="11" t="s">
        <v>145</v>
      </c>
    </row>
    <row r="380" customFormat="false" ht="15" hidden="false" customHeight="false" outlineLevel="0" collapsed="false">
      <c r="A380" s="11" t="s">
        <v>107</v>
      </c>
      <c r="B380" s="11" t="s">
        <v>135</v>
      </c>
      <c r="C380" s="11" t="n">
        <v>29</v>
      </c>
      <c r="D380" s="11" t="s">
        <v>92</v>
      </c>
      <c r="E380" s="11" t="s">
        <v>185</v>
      </c>
      <c r="F380" s="11" t="s">
        <v>91</v>
      </c>
      <c r="G380" s="12" t="n">
        <v>150</v>
      </c>
      <c r="H380" s="12" t="n">
        <f aca="false">SUMPRODUCT(ПОТОКИ!B11:G11,ЧАСОВЫЕ_ПРОФИЛИ!B22:G22,КОЭФФИЦИЕНТЫ_ВЫБОРА!F39:K39)</f>
        <v>0.3744</v>
      </c>
      <c r="I380" s="12" t="n">
        <f aca="false">SUMPRODUCT(ПОТОКИ!B11:G11,ЧАСОВЫЕ_ПРОФИЛИ!B22:G22,КОЭФФИЦИЕНТЫ_ВЫБОРА!F39:K39,ПАРАМЕТРЫ!$B$17:$G$17)</f>
        <v>0.41184</v>
      </c>
      <c r="J380" s="12" t="n">
        <f aca="false">I380*G380/1000</f>
        <v>0.061776</v>
      </c>
      <c r="K380" s="11" t="s">
        <v>217</v>
      </c>
      <c r="L380" s="11" t="s">
        <v>19</v>
      </c>
      <c r="M380" s="11" t="s">
        <v>145</v>
      </c>
    </row>
    <row r="381" customFormat="false" ht="15" hidden="false" customHeight="false" outlineLevel="0" collapsed="false">
      <c r="A381" s="11" t="s">
        <v>107</v>
      </c>
      <c r="B381" s="11" t="s">
        <v>135</v>
      </c>
      <c r="C381" s="11" t="n">
        <v>30</v>
      </c>
      <c r="D381" s="11" t="s">
        <v>92</v>
      </c>
      <c r="E381" s="11" t="s">
        <v>186</v>
      </c>
      <c r="F381" s="11" t="s">
        <v>91</v>
      </c>
      <c r="G381" s="12" t="n">
        <v>120</v>
      </c>
      <c r="H381" s="12" t="n">
        <f aca="false">SUMPRODUCT(ПОТОКИ!B11:G11,ЧАСОВЫЕ_ПРОФИЛИ!B22:G22,КОЭФФИЦИЕНТЫ_ВЫБОРА!F40:K40)</f>
        <v>0.5244</v>
      </c>
      <c r="I381" s="12" t="n">
        <f aca="false">SUMPRODUCT(ПОТОКИ!B11:G11,ЧАСОВЫЕ_ПРОФИЛИ!B22:G22,КОЭФФИЦИЕНТЫ_ВЫБОРА!F40:K40,ПАРАМЕТРЫ!$B$17:$G$17)</f>
        <v>0.57684</v>
      </c>
      <c r="J381" s="12" t="n">
        <f aca="false">I381*G381/1000</f>
        <v>0.0692208</v>
      </c>
      <c r="K381" s="11" t="s">
        <v>217</v>
      </c>
      <c r="L381" s="11" t="s">
        <v>19</v>
      </c>
      <c r="M381" s="11" t="s">
        <v>145</v>
      </c>
    </row>
    <row r="382" customFormat="false" ht="15" hidden="false" customHeight="false" outlineLevel="0" collapsed="false">
      <c r="A382" s="11" t="s">
        <v>107</v>
      </c>
      <c r="B382" s="11" t="s">
        <v>135</v>
      </c>
      <c r="C382" s="11" t="n">
        <v>31</v>
      </c>
      <c r="D382" s="11" t="s">
        <v>92</v>
      </c>
      <c r="E382" s="11" t="s">
        <v>187</v>
      </c>
      <c r="F382" s="11" t="s">
        <v>91</v>
      </c>
      <c r="G382" s="12" t="n">
        <v>60</v>
      </c>
      <c r="H382" s="12" t="n">
        <f aca="false">SUMPRODUCT(ПОТОКИ!B11:G11,ЧАСОВЫЕ_ПРОФИЛИ!B22:G22,КОЭФФИЦИЕНТЫ_ВЫБОРА!F41:K41)</f>
        <v>0.3072</v>
      </c>
      <c r="I382" s="12" t="n">
        <f aca="false">SUMPRODUCT(ПОТОКИ!B11:G11,ЧАСОВЫЕ_ПРОФИЛИ!B22:G22,КОЭФФИЦИЕНТЫ_ВЫБОРА!F41:K41,ПАРАМЕТРЫ!$B$17:$G$17)</f>
        <v>0.33792</v>
      </c>
      <c r="J382" s="12" t="n">
        <f aca="false">I382*G382/1000</f>
        <v>0.0202752</v>
      </c>
      <c r="K382" s="11" t="s">
        <v>217</v>
      </c>
      <c r="L382" s="11" t="s">
        <v>19</v>
      </c>
      <c r="M382" s="11" t="s">
        <v>145</v>
      </c>
    </row>
    <row r="383" customFormat="false" ht="15" hidden="false" customHeight="false" outlineLevel="0" collapsed="false">
      <c r="A383" s="11" t="s">
        <v>107</v>
      </c>
      <c r="B383" s="11" t="s">
        <v>136</v>
      </c>
      <c r="C383" s="11" t="n">
        <v>1</v>
      </c>
      <c r="D383" s="11" t="s">
        <v>74</v>
      </c>
      <c r="E383" s="11" t="s">
        <v>153</v>
      </c>
      <c r="F383" s="11" t="s">
        <v>73</v>
      </c>
      <c r="G383" s="12" t="n">
        <v>450</v>
      </c>
      <c r="H383" s="12" t="n">
        <f aca="false">SUMPRODUCT(ПОТОКИ!B11:G11,ЧАСОВЫЕ_ПРОФИЛИ!B23:G23,КОЭФФИЦИЕНТЫ_ВЫБОРА!F11:K11)</f>
        <v>0.4061</v>
      </c>
      <c r="I383" s="12" t="n">
        <f aca="false">SUMPRODUCT(ПОТОКИ!B11:G11,ЧАСОВЫЕ_ПРОФИЛИ!B23:G23,КОЭФФИЦИЕНТЫ_ВЫБОРА!F11:K11,ПАРАМЕТРЫ!$B$17:$G$17)</f>
        <v>0.44671</v>
      </c>
      <c r="J383" s="12" t="n">
        <f aca="false">I383*G383/1000</f>
        <v>0.2010195</v>
      </c>
      <c r="K383" s="11" t="s">
        <v>217</v>
      </c>
      <c r="L383" s="11" t="s">
        <v>19</v>
      </c>
      <c r="M383" s="11" t="s">
        <v>145</v>
      </c>
    </row>
    <row r="384" customFormat="false" ht="15" hidden="false" customHeight="false" outlineLevel="0" collapsed="false">
      <c r="A384" s="11" t="s">
        <v>107</v>
      </c>
      <c r="B384" s="11" t="s">
        <v>136</v>
      </c>
      <c r="C384" s="11" t="n">
        <v>2</v>
      </c>
      <c r="D384" s="11" t="s">
        <v>74</v>
      </c>
      <c r="E384" s="11" t="s">
        <v>154</v>
      </c>
      <c r="F384" s="11" t="s">
        <v>73</v>
      </c>
      <c r="G384" s="12" t="n">
        <v>480</v>
      </c>
      <c r="H384" s="12" t="n">
        <f aca="false">SUMPRODUCT(ПОТОКИ!B11:G11,ЧАСОВЫЕ_ПРОФИЛИ!B23:G23,КОЭФФИЦИЕНТЫ_ВЫБОРА!F12:K12)</f>
        <v>0.6723</v>
      </c>
      <c r="I384" s="12" t="n">
        <f aca="false">SUMPRODUCT(ПОТОКИ!B11:G11,ЧАСОВЫЕ_ПРОФИЛИ!B23:G23,КОЭФФИЦИЕНТЫ_ВЫБОРА!F12:K12,ПАРАМЕТРЫ!$B$17:$G$17)</f>
        <v>0.73953</v>
      </c>
      <c r="J384" s="12" t="n">
        <f aca="false">I384*G384/1000</f>
        <v>0.3549744</v>
      </c>
      <c r="K384" s="11" t="s">
        <v>217</v>
      </c>
      <c r="L384" s="11" t="s">
        <v>19</v>
      </c>
      <c r="M384" s="11" t="s">
        <v>145</v>
      </c>
    </row>
    <row r="385" customFormat="false" ht="15" hidden="false" customHeight="false" outlineLevel="0" collapsed="false">
      <c r="A385" s="11" t="s">
        <v>107</v>
      </c>
      <c r="B385" s="11" t="s">
        <v>136</v>
      </c>
      <c r="C385" s="11" t="n">
        <v>3</v>
      </c>
      <c r="D385" s="11" t="s">
        <v>74</v>
      </c>
      <c r="E385" s="11" t="s">
        <v>155</v>
      </c>
      <c r="F385" s="11" t="s">
        <v>73</v>
      </c>
      <c r="G385" s="12" t="n">
        <v>500</v>
      </c>
      <c r="H385" s="12" t="n">
        <f aca="false">SUMPRODUCT(ПОТОКИ!B11:G11,ЧАСОВЫЕ_ПРОФИЛИ!B23:G23,КОЭФФИЦИЕНТЫ_ВЫБОРА!F13:K13)</f>
        <v>0.9772</v>
      </c>
      <c r="I385" s="12" t="n">
        <f aca="false">SUMPRODUCT(ПОТОКИ!B11:G11,ЧАСОВЫЕ_ПРОФИЛИ!B23:G23,КОЭФФИЦИЕНТЫ_ВЫБОРА!F13:K13,ПАРАМЕТРЫ!$B$17:$G$17)</f>
        <v>1.07492</v>
      </c>
      <c r="J385" s="12" t="n">
        <f aca="false">I385*G385/1000</f>
        <v>0.53746</v>
      </c>
      <c r="K385" s="11" t="s">
        <v>217</v>
      </c>
      <c r="L385" s="11" t="s">
        <v>19</v>
      </c>
      <c r="M385" s="11" t="s">
        <v>145</v>
      </c>
    </row>
    <row r="386" customFormat="false" ht="15" hidden="false" customHeight="false" outlineLevel="0" collapsed="false">
      <c r="A386" s="11" t="s">
        <v>107</v>
      </c>
      <c r="B386" s="11" t="s">
        <v>136</v>
      </c>
      <c r="C386" s="11" t="n">
        <v>4</v>
      </c>
      <c r="D386" s="11" t="s">
        <v>74</v>
      </c>
      <c r="E386" s="11" t="s">
        <v>156</v>
      </c>
      <c r="F386" s="11" t="s">
        <v>73</v>
      </c>
      <c r="G386" s="12" t="n">
        <v>500</v>
      </c>
      <c r="H386" s="12" t="n">
        <f aca="false">SUMPRODUCT(ПОТОКИ!B11:G11,ЧАСОВЫЕ_ПРОФИЛИ!B23:G23,КОЭФФИЦИЕНТЫ_ВЫБОРА!F14:K14)</f>
        <v>1.2434</v>
      </c>
      <c r="I386" s="12" t="n">
        <f aca="false">SUMPRODUCT(ПОТОКИ!B11:G11,ЧАСОВЫЕ_ПРОФИЛИ!B23:G23,КОЭФФИЦИЕНТЫ_ВЫБОРА!F14:K14,ПАРАМЕТРЫ!$B$17:$G$17)</f>
        <v>1.36774</v>
      </c>
      <c r="J386" s="12" t="n">
        <f aca="false">I386*G386/1000</f>
        <v>0.68387</v>
      </c>
      <c r="K386" s="11" t="s">
        <v>217</v>
      </c>
      <c r="L386" s="11" t="s">
        <v>19</v>
      </c>
      <c r="M386" s="11" t="s">
        <v>145</v>
      </c>
    </row>
    <row r="387" customFormat="false" ht="15" hidden="false" customHeight="false" outlineLevel="0" collapsed="false">
      <c r="A387" s="11" t="s">
        <v>107</v>
      </c>
      <c r="B387" s="11" t="s">
        <v>136</v>
      </c>
      <c r="C387" s="11" t="n">
        <v>5</v>
      </c>
      <c r="D387" s="11" t="s">
        <v>78</v>
      </c>
      <c r="E387" s="11" t="s">
        <v>157</v>
      </c>
      <c r="F387" s="11" t="s">
        <v>77</v>
      </c>
      <c r="G387" s="12" t="n">
        <v>100</v>
      </c>
      <c r="H387" s="12" t="n">
        <f aca="false">SUMPRODUCT(ПОТОКИ!B11:G11,ЧАСОВЫЕ_ПРОФИЛИ!B23:G23,КОЭФФИЦИЕНТЫ_ВЫБОРА!F15:K15)</f>
        <v>0.5993</v>
      </c>
      <c r="I387" s="12" t="n">
        <f aca="false">SUMPRODUCT(ПОТОКИ!B11:G11,ЧАСОВЫЕ_ПРОФИЛИ!B23:G23,КОЭФФИЦИЕНТЫ_ВЫБОРА!F15:K15,ПАРАМЕТРЫ!$B$17:$G$17)</f>
        <v>0.65923</v>
      </c>
      <c r="J387" s="12" t="n">
        <f aca="false">I387*G387/1000</f>
        <v>0.065923</v>
      </c>
      <c r="K387" s="11" t="s">
        <v>217</v>
      </c>
      <c r="L387" s="11" t="s">
        <v>19</v>
      </c>
      <c r="M387" s="11" t="s">
        <v>147</v>
      </c>
    </row>
    <row r="388" customFormat="false" ht="15" hidden="false" customHeight="false" outlineLevel="0" collapsed="false">
      <c r="A388" s="11" t="s">
        <v>107</v>
      </c>
      <c r="B388" s="11" t="s">
        <v>136</v>
      </c>
      <c r="C388" s="11" t="n">
        <v>6</v>
      </c>
      <c r="D388" s="11" t="s">
        <v>78</v>
      </c>
      <c r="E388" s="11" t="s">
        <v>158</v>
      </c>
      <c r="F388" s="11" t="s">
        <v>77</v>
      </c>
      <c r="G388" s="12" t="n">
        <v>100</v>
      </c>
      <c r="H388" s="12" t="n">
        <f aca="false">SUMPRODUCT(ПОТОКИ!B11:G11,ЧАСОВЫЕ_ПРОФИЛИ!B23:G23,КОЭФФИЦИЕНТЫ_ВЫБОРА!F16:K16)</f>
        <v>0.5356</v>
      </c>
      <c r="I388" s="12" t="n">
        <f aca="false">SUMPRODUCT(ПОТОКИ!B11:G11,ЧАСОВЫЕ_ПРОФИЛИ!B23:G23,КОЭФФИЦИЕНТЫ_ВЫБОРА!F16:K16,ПАРАМЕТРЫ!$B$17:$G$17)</f>
        <v>0.58916</v>
      </c>
      <c r="J388" s="12" t="n">
        <f aca="false">I388*G388/1000</f>
        <v>0.058916</v>
      </c>
      <c r="K388" s="11" t="s">
        <v>217</v>
      </c>
      <c r="L388" s="11" t="s">
        <v>19</v>
      </c>
      <c r="M388" s="11" t="s">
        <v>147</v>
      </c>
    </row>
    <row r="389" customFormat="false" ht="15" hidden="false" customHeight="false" outlineLevel="0" collapsed="false">
      <c r="A389" s="11" t="s">
        <v>107</v>
      </c>
      <c r="B389" s="11" t="s">
        <v>136</v>
      </c>
      <c r="C389" s="11" t="n">
        <v>7</v>
      </c>
      <c r="D389" s="11" t="s">
        <v>78</v>
      </c>
      <c r="E389" s="11" t="s">
        <v>159</v>
      </c>
      <c r="F389" s="11" t="s">
        <v>77</v>
      </c>
      <c r="G389" s="12" t="n">
        <v>350</v>
      </c>
      <c r="H389" s="12" t="n">
        <f aca="false">SUMPRODUCT(ПОТОКИ!B11:G11,ЧАСОВЫЕ_ПРОФИЛИ!B23:G23,КОЭФФИЦИЕНТЫ_ВЫБОРА!F17:K17)</f>
        <v>0.48235</v>
      </c>
      <c r="I389" s="12" t="n">
        <f aca="false">SUMPRODUCT(ПОТОКИ!B11:G11,ЧАСОВЫЕ_ПРОФИЛИ!B23:G23,КОЭФФИЦИЕНТЫ_ВЫБОРА!F17:K17,ПАРАМЕТРЫ!$B$17:$G$17)</f>
        <v>0.530585</v>
      </c>
      <c r="J389" s="12" t="n">
        <f aca="false">I389*G389/1000</f>
        <v>0.18570475</v>
      </c>
      <c r="K389" s="11" t="s">
        <v>217</v>
      </c>
      <c r="L389" s="11" t="s">
        <v>19</v>
      </c>
      <c r="M389" s="11" t="s">
        <v>147</v>
      </c>
    </row>
    <row r="390" customFormat="false" ht="15" hidden="false" customHeight="false" outlineLevel="0" collapsed="false">
      <c r="A390" s="11" t="s">
        <v>107</v>
      </c>
      <c r="B390" s="11" t="s">
        <v>136</v>
      </c>
      <c r="C390" s="11" t="n">
        <v>8</v>
      </c>
      <c r="D390" s="11" t="s">
        <v>78</v>
      </c>
      <c r="E390" s="11" t="s">
        <v>160</v>
      </c>
      <c r="F390" s="11" t="s">
        <v>77</v>
      </c>
      <c r="G390" s="12" t="n">
        <v>85</v>
      </c>
      <c r="H390" s="12" t="n">
        <f aca="false">SUMPRODUCT(ПОТОКИ!B11:G11,ЧАСОВЫЕ_ПРОФИЛИ!B23:G23,КОЭФФИЦИЕНТЫ_ВЫБОРА!F18:K18)</f>
        <v>0.31215</v>
      </c>
      <c r="I390" s="12" t="n">
        <f aca="false">SUMPRODUCT(ПОТОКИ!B11:G11,ЧАСОВЫЕ_ПРОФИЛИ!B23:G23,КОЭФФИЦИЕНТЫ_ВЫБОРА!F18:K18,ПАРАМЕТРЫ!$B$17:$G$17)</f>
        <v>0.343365</v>
      </c>
      <c r="J390" s="12" t="n">
        <f aca="false">I390*G390/1000</f>
        <v>0.029186025</v>
      </c>
      <c r="K390" s="11" t="s">
        <v>217</v>
      </c>
      <c r="L390" s="11" t="s">
        <v>19</v>
      </c>
      <c r="M390" s="11" t="s">
        <v>147</v>
      </c>
    </row>
    <row r="391" customFormat="false" ht="15" hidden="false" customHeight="false" outlineLevel="0" collapsed="false">
      <c r="A391" s="11" t="s">
        <v>107</v>
      </c>
      <c r="B391" s="11" t="s">
        <v>136</v>
      </c>
      <c r="C391" s="11" t="n">
        <v>9</v>
      </c>
      <c r="D391" s="11" t="s">
        <v>161</v>
      </c>
      <c r="E391" s="11" t="s">
        <v>162</v>
      </c>
      <c r="F391" s="11" t="s">
        <v>80</v>
      </c>
      <c r="G391" s="12" t="n">
        <v>300</v>
      </c>
      <c r="H391" s="12" t="n">
        <f aca="false">SUMPRODUCT(ПОТОКИ!B11:G11,ЧАСОВЫЕ_ПРОФИЛИ!B23:G23,КОЭФФИЦИЕНТЫ_ВЫБОРА!F19:K19)</f>
        <v>0.6265</v>
      </c>
      <c r="I391" s="12" t="n">
        <f aca="false">SUMPRODUCT(ПОТОКИ!B11:G11,ЧАСОВЫЕ_ПРОФИЛИ!B23:G23,КОЭФФИЦИЕНТЫ_ВЫБОРА!F19:K19,ПАРАМЕТРЫ!$B$17:$G$17)</f>
        <v>0.68915</v>
      </c>
      <c r="J391" s="12" t="n">
        <f aca="false">I391*G391/1000</f>
        <v>0.206745</v>
      </c>
      <c r="K391" s="11" t="s">
        <v>217</v>
      </c>
      <c r="L391" s="11" t="s">
        <v>19</v>
      </c>
      <c r="M391" s="11" t="s">
        <v>145</v>
      </c>
    </row>
    <row r="392" customFormat="false" ht="15" hidden="false" customHeight="false" outlineLevel="0" collapsed="false">
      <c r="A392" s="11" t="s">
        <v>107</v>
      </c>
      <c r="B392" s="11" t="s">
        <v>136</v>
      </c>
      <c r="C392" s="11" t="n">
        <v>10</v>
      </c>
      <c r="D392" s="11" t="s">
        <v>161</v>
      </c>
      <c r="E392" s="11" t="s">
        <v>163</v>
      </c>
      <c r="F392" s="11" t="s">
        <v>80</v>
      </c>
      <c r="G392" s="12" t="n">
        <v>280</v>
      </c>
      <c r="H392" s="12" t="n">
        <f aca="false">SUMPRODUCT(ПОТОКИ!B11:G11,ЧАСОВЫЕ_ПРОФИЛИ!B23:G23,КОЭФФИЦИЕНТЫ_ВЫБОРА!F20:K20)</f>
        <v>0.694</v>
      </c>
      <c r="I392" s="12" t="n">
        <f aca="false">SUMPRODUCT(ПОТОКИ!B11:G11,ЧАСОВЫЕ_ПРОФИЛИ!B23:G23,КОЭФФИЦИЕНТЫ_ВЫБОРА!F20:K20,ПАРАМЕТРЫ!$B$17:$G$17)</f>
        <v>0.7634</v>
      </c>
      <c r="J392" s="12" t="n">
        <f aca="false">I392*G392/1000</f>
        <v>0.213752</v>
      </c>
      <c r="K392" s="11" t="s">
        <v>217</v>
      </c>
      <c r="L392" s="11" t="s">
        <v>19</v>
      </c>
      <c r="M392" s="11" t="s">
        <v>145</v>
      </c>
    </row>
    <row r="393" customFormat="false" ht="15" hidden="false" customHeight="false" outlineLevel="0" collapsed="false">
      <c r="A393" s="11" t="s">
        <v>107</v>
      </c>
      <c r="B393" s="11" t="s">
        <v>136</v>
      </c>
      <c r="C393" s="11" t="n">
        <v>11</v>
      </c>
      <c r="D393" s="11" t="s">
        <v>161</v>
      </c>
      <c r="E393" s="11" t="s">
        <v>164</v>
      </c>
      <c r="F393" s="11" t="s">
        <v>80</v>
      </c>
      <c r="G393" s="12" t="n">
        <v>270</v>
      </c>
      <c r="H393" s="12" t="n">
        <f aca="false">SUMPRODUCT(ПОТОКИ!B11:G11,ЧАСОВЫЕ_ПРОФИЛИ!B23:G23,КОЭФФИЦИЕНТЫ_ВЫБОРА!F21:K21)</f>
        <v>1.1476</v>
      </c>
      <c r="I393" s="12" t="n">
        <f aca="false">SUMPRODUCT(ПОТОКИ!B11:G11,ЧАСОВЫЕ_ПРОФИЛИ!B23:G23,КОЭФФИЦИЕНТЫ_ВЫБОРА!F21:K21,ПАРАМЕТРЫ!$B$17:$G$17)</f>
        <v>1.26236</v>
      </c>
      <c r="J393" s="12" t="n">
        <f aca="false">I393*G393/1000</f>
        <v>0.3408372</v>
      </c>
      <c r="K393" s="11" t="s">
        <v>217</v>
      </c>
      <c r="L393" s="11" t="s">
        <v>19</v>
      </c>
      <c r="M393" s="11" t="s">
        <v>145</v>
      </c>
    </row>
    <row r="394" customFormat="false" ht="15" hidden="false" customHeight="false" outlineLevel="0" collapsed="false">
      <c r="A394" s="11" t="s">
        <v>107</v>
      </c>
      <c r="B394" s="11" t="s">
        <v>136</v>
      </c>
      <c r="C394" s="11" t="n">
        <v>12</v>
      </c>
      <c r="D394" s="11" t="s">
        <v>161</v>
      </c>
      <c r="E394" s="11" t="s">
        <v>165</v>
      </c>
      <c r="F394" s="11" t="s">
        <v>80</v>
      </c>
      <c r="G394" s="12" t="n">
        <v>240</v>
      </c>
      <c r="H394" s="12" t="n">
        <f aca="false">SUMPRODUCT(ПОТОКИ!B11:G11,ЧАСОВЫЕ_ПРОФИЛИ!B23:G23,КОЭФФИЦИЕНТЫ_ВЫБОРА!F22:K22)</f>
        <v>0.6179</v>
      </c>
      <c r="I394" s="12" t="n">
        <f aca="false">SUMPRODUCT(ПОТОКИ!B11:G11,ЧАСОВЫЕ_ПРОФИЛИ!B23:G23,КОЭФФИЦИЕНТЫ_ВЫБОРА!F22:K22,ПАРАМЕТРЫ!$B$17:$G$17)</f>
        <v>0.67969</v>
      </c>
      <c r="J394" s="12" t="n">
        <f aca="false">I394*G394/1000</f>
        <v>0.1631256</v>
      </c>
      <c r="K394" s="11" t="s">
        <v>217</v>
      </c>
      <c r="L394" s="11" t="s">
        <v>19</v>
      </c>
      <c r="M394" s="11" t="s">
        <v>145</v>
      </c>
    </row>
    <row r="395" customFormat="false" ht="15" hidden="false" customHeight="false" outlineLevel="0" collapsed="false">
      <c r="A395" s="11" t="s">
        <v>107</v>
      </c>
      <c r="B395" s="11" t="s">
        <v>136</v>
      </c>
      <c r="C395" s="11" t="n">
        <v>13</v>
      </c>
      <c r="D395" s="11" t="s">
        <v>166</v>
      </c>
      <c r="E395" s="11" t="s">
        <v>167</v>
      </c>
      <c r="F395" s="11" t="s">
        <v>80</v>
      </c>
      <c r="G395" s="12" t="n">
        <v>130</v>
      </c>
      <c r="H395" s="12" t="n">
        <f aca="false">SUMPRODUCT(ПОТОКИ!B11:G11,ЧАСОВЫЕ_ПРОФИЛИ!B23:G23,КОЭФФИЦИЕНТЫ_ВЫБОРА!F23:K23)</f>
        <v>0.356</v>
      </c>
      <c r="I395" s="12" t="n">
        <f aca="false">SUMPRODUCT(ПОТОКИ!B11:G11,ЧАСОВЫЕ_ПРОФИЛИ!B23:G23,КОЭФФИЦИЕНТЫ_ВЫБОРА!F23:K23,ПАРАМЕТРЫ!$B$17:$G$17)</f>
        <v>0.3916</v>
      </c>
      <c r="J395" s="12" t="n">
        <f aca="false">I395*G395/1000</f>
        <v>0.050908</v>
      </c>
      <c r="K395" s="11" t="s">
        <v>217</v>
      </c>
      <c r="L395" s="11" t="s">
        <v>19</v>
      </c>
      <c r="M395" s="11" t="s">
        <v>145</v>
      </c>
    </row>
    <row r="396" customFormat="false" ht="15" hidden="false" customHeight="false" outlineLevel="0" collapsed="false">
      <c r="A396" s="11" t="s">
        <v>107</v>
      </c>
      <c r="B396" s="11" t="s">
        <v>136</v>
      </c>
      <c r="C396" s="11" t="n">
        <v>14</v>
      </c>
      <c r="D396" s="11" t="s">
        <v>166</v>
      </c>
      <c r="E396" s="11" t="s">
        <v>168</v>
      </c>
      <c r="F396" s="11" t="s">
        <v>80</v>
      </c>
      <c r="G396" s="12" t="n">
        <v>250</v>
      </c>
      <c r="H396" s="12" t="n">
        <f aca="false">SUMPRODUCT(ПОТОКИ!B11:G11,ЧАСОВЫЕ_ПРОФИЛИ!B23:G23,КОЭФФИЦИЕНТЫ_ВЫБОРА!F24:K24)</f>
        <v>0.2786</v>
      </c>
      <c r="I396" s="12" t="n">
        <f aca="false">SUMPRODUCT(ПОТОКИ!B11:G11,ЧАСОВЫЕ_ПРОФИЛИ!B23:G23,КОЭФФИЦИЕНТЫ_ВЫБОРА!F24:K24,ПАРАМЕТРЫ!$B$17:$G$17)</f>
        <v>0.30646</v>
      </c>
      <c r="J396" s="12" t="n">
        <f aca="false">I396*G396/1000</f>
        <v>0.076615</v>
      </c>
      <c r="K396" s="11" t="s">
        <v>217</v>
      </c>
      <c r="L396" s="11" t="s">
        <v>19</v>
      </c>
      <c r="M396" s="11" t="s">
        <v>145</v>
      </c>
    </row>
    <row r="397" customFormat="false" ht="15" hidden="false" customHeight="false" outlineLevel="0" collapsed="false">
      <c r="A397" s="11" t="s">
        <v>107</v>
      </c>
      <c r="B397" s="11" t="s">
        <v>136</v>
      </c>
      <c r="C397" s="11" t="n">
        <v>15</v>
      </c>
      <c r="D397" s="11" t="s">
        <v>166</v>
      </c>
      <c r="E397" s="11" t="s">
        <v>169</v>
      </c>
      <c r="F397" s="11" t="s">
        <v>80</v>
      </c>
      <c r="G397" s="12" t="n">
        <v>120</v>
      </c>
      <c r="H397" s="12" t="n">
        <f aca="false">SUMPRODUCT(ПОТОКИ!B11:G11,ЧАСОВЫЕ_ПРОФИЛИ!B23:G23,КОЭФФИЦИЕНТЫ_ВЫБОРА!F25:K25)</f>
        <v>0.2036</v>
      </c>
      <c r="I397" s="12" t="n">
        <f aca="false">SUMPRODUCT(ПОТОКИ!B11:G11,ЧАСОВЫЕ_ПРОФИЛИ!B23:G23,КОЭФФИЦИЕНТЫ_ВЫБОРА!F25:K25,ПАРАМЕТРЫ!$B$17:$G$17)</f>
        <v>0.22396</v>
      </c>
      <c r="J397" s="12" t="n">
        <f aca="false">I397*G397/1000</f>
        <v>0.0268752</v>
      </c>
      <c r="K397" s="11" t="s">
        <v>217</v>
      </c>
      <c r="L397" s="11" t="s">
        <v>19</v>
      </c>
      <c r="M397" s="11" t="s">
        <v>145</v>
      </c>
    </row>
    <row r="398" customFormat="false" ht="15" hidden="false" customHeight="false" outlineLevel="0" collapsed="false">
      <c r="A398" s="11" t="s">
        <v>107</v>
      </c>
      <c r="B398" s="11" t="s">
        <v>136</v>
      </c>
      <c r="C398" s="11" t="n">
        <v>16</v>
      </c>
      <c r="D398" s="11" t="s">
        <v>166</v>
      </c>
      <c r="E398" s="11" t="s">
        <v>170</v>
      </c>
      <c r="F398" s="11" t="s">
        <v>80</v>
      </c>
      <c r="G398" s="12" t="n">
        <v>180</v>
      </c>
      <c r="H398" s="12" t="n">
        <f aca="false">SUMPRODUCT(ПОТОКИ!B11:G11,ЧАСОВЫЕ_ПРОФИЛИ!B23:G23,КОЭФФИЦИЕНТЫ_ВЫБОРА!F26:K26)</f>
        <v>0.3298</v>
      </c>
      <c r="I398" s="12" t="n">
        <f aca="false">SUMPRODUCT(ПОТОКИ!B11:G11,ЧАСОВЫЕ_ПРОФИЛИ!B23:G23,КОЭФФИЦИЕНТЫ_ВЫБОРА!F26:K26,ПАРАМЕТРЫ!$B$17:$G$17)</f>
        <v>0.36278</v>
      </c>
      <c r="J398" s="12" t="n">
        <f aca="false">I398*G398/1000</f>
        <v>0.0653004</v>
      </c>
      <c r="K398" s="11" t="s">
        <v>217</v>
      </c>
      <c r="L398" s="11" t="s">
        <v>19</v>
      </c>
      <c r="M398" s="11" t="s">
        <v>145</v>
      </c>
    </row>
    <row r="399" customFormat="false" ht="15" hidden="false" customHeight="false" outlineLevel="0" collapsed="false">
      <c r="A399" s="11" t="s">
        <v>107</v>
      </c>
      <c r="B399" s="11" t="s">
        <v>136</v>
      </c>
      <c r="C399" s="11" t="n">
        <v>17</v>
      </c>
      <c r="D399" s="11" t="s">
        <v>166</v>
      </c>
      <c r="E399" s="11" t="s">
        <v>171</v>
      </c>
      <c r="F399" s="11" t="s">
        <v>80</v>
      </c>
      <c r="G399" s="12" t="n">
        <v>180</v>
      </c>
      <c r="H399" s="12" t="n">
        <f aca="false">SUMPRODUCT(ПОТОКИ!B11:G11,ЧАСОВЫЕ_ПРОФИЛИ!B23:G23,КОЭФФИЦИЕНТЫ_ВЫБОРА!F27:K27)</f>
        <v>0.356</v>
      </c>
      <c r="I399" s="12" t="n">
        <f aca="false">SUMPRODUCT(ПОТОКИ!B11:G11,ЧАСОВЫЕ_ПРОФИЛИ!B23:G23,КОЭФФИЦИЕНТЫ_ВЫБОРА!F27:K27,ПАРАМЕТРЫ!$B$17:$G$17)</f>
        <v>0.3916</v>
      </c>
      <c r="J399" s="12" t="n">
        <f aca="false">I399*G399/1000</f>
        <v>0.070488</v>
      </c>
      <c r="K399" s="11" t="s">
        <v>217</v>
      </c>
      <c r="L399" s="11" t="s">
        <v>19</v>
      </c>
      <c r="M399" s="11" t="s">
        <v>145</v>
      </c>
    </row>
    <row r="400" customFormat="false" ht="15" hidden="false" customHeight="false" outlineLevel="0" collapsed="false">
      <c r="A400" s="11" t="s">
        <v>107</v>
      </c>
      <c r="B400" s="11" t="s">
        <v>136</v>
      </c>
      <c r="C400" s="11" t="n">
        <v>18</v>
      </c>
      <c r="D400" s="11" t="s">
        <v>172</v>
      </c>
      <c r="E400" s="11" t="s">
        <v>173</v>
      </c>
      <c r="F400" s="11" t="s">
        <v>83</v>
      </c>
      <c r="G400" s="12" t="n">
        <v>400</v>
      </c>
      <c r="H400" s="12" t="n">
        <f aca="false">SUMPRODUCT(ПОТОКИ!B11:G11,ЧАСОВЫЕ_ПРОФИЛИ!B23:G23,КОЭФФИЦИЕНТЫ_ВЫБОРА!F28:K28)</f>
        <v>0.512</v>
      </c>
      <c r="I400" s="12" t="n">
        <f aca="false">SUMPRODUCT(ПОТОКИ!B11:G11,ЧАСОВЫЕ_ПРОФИЛИ!B23:G23,КОЭФФИЦИЕНТЫ_ВЫБОРА!F28:K28,ПАРАМЕТРЫ!$B$17:$G$17)</f>
        <v>0.5632</v>
      </c>
      <c r="J400" s="12" t="n">
        <f aca="false">I400*G400/1000</f>
        <v>0.22528</v>
      </c>
      <c r="K400" s="11" t="s">
        <v>217</v>
      </c>
      <c r="L400" s="11" t="s">
        <v>19</v>
      </c>
      <c r="M400" s="11" t="s">
        <v>145</v>
      </c>
    </row>
    <row r="401" customFormat="false" ht="23.85" hidden="false" customHeight="false" outlineLevel="0" collapsed="false">
      <c r="A401" s="11" t="s">
        <v>107</v>
      </c>
      <c r="B401" s="11" t="s">
        <v>136</v>
      </c>
      <c r="C401" s="11" t="n">
        <v>19</v>
      </c>
      <c r="D401" s="11" t="s">
        <v>174</v>
      </c>
      <c r="E401" s="11" t="s">
        <v>175</v>
      </c>
      <c r="F401" s="11" t="s">
        <v>83</v>
      </c>
      <c r="G401" s="12" t="n">
        <v>300</v>
      </c>
      <c r="H401" s="12" t="n">
        <f aca="false">SUMPRODUCT(ПОТОКИ!B11:G11,ЧАСОВЫЕ_ПРОФИЛИ!B23:G23,КОЭФФИЦИЕНТЫ_ВЫБОРА!F29:K29)</f>
        <v>1.8295</v>
      </c>
      <c r="I401" s="12" t="n">
        <f aca="false">SUMPRODUCT(ПОТОКИ!B11:G11,ЧАСОВЫЕ_ПРОФИЛИ!B23:G23,КОЭФФИЦИЕНТЫ_ВЫБОРА!F29:K29,ПАРАМЕТРЫ!$B$17:$G$17)</f>
        <v>2.01245</v>
      </c>
      <c r="J401" s="12" t="n">
        <f aca="false">I401*G401/1000</f>
        <v>0.603735</v>
      </c>
      <c r="K401" s="11" t="s">
        <v>217</v>
      </c>
      <c r="L401" s="11" t="s">
        <v>19</v>
      </c>
      <c r="M401" s="11" t="s">
        <v>145</v>
      </c>
    </row>
    <row r="402" customFormat="false" ht="15" hidden="false" customHeight="false" outlineLevel="0" collapsed="false">
      <c r="A402" s="11" t="s">
        <v>107</v>
      </c>
      <c r="B402" s="11" t="s">
        <v>136</v>
      </c>
      <c r="C402" s="11" t="n">
        <v>20</v>
      </c>
      <c r="D402" s="11" t="s">
        <v>174</v>
      </c>
      <c r="E402" s="11" t="s">
        <v>176</v>
      </c>
      <c r="F402" s="11" t="s">
        <v>83</v>
      </c>
      <c r="G402" s="12" t="n">
        <v>360</v>
      </c>
      <c r="H402" s="12" t="n">
        <f aca="false">SUMPRODUCT(ПОТОКИ!B11:G11,ЧАСОВЫЕ_ПРОФИЛИ!B23:G23,КОЭФФИЦИЕНТЫ_ВЫБОРА!F30:K30)</f>
        <v>1.5406</v>
      </c>
      <c r="I402" s="12" t="n">
        <f aca="false">SUMPRODUCT(ПОТОКИ!B11:G11,ЧАСОВЫЕ_ПРОФИЛИ!B23:G23,КОЭФФИЦИЕНТЫ_ВЫБОРА!F30:K30,ПАРАМЕТРЫ!$B$17:$G$17)</f>
        <v>1.69466</v>
      </c>
      <c r="J402" s="12" t="n">
        <f aca="false">I402*G402/1000</f>
        <v>0.6100776</v>
      </c>
      <c r="K402" s="11" t="s">
        <v>217</v>
      </c>
      <c r="L402" s="11" t="s">
        <v>19</v>
      </c>
      <c r="M402" s="11" t="s">
        <v>145</v>
      </c>
    </row>
    <row r="403" customFormat="false" ht="15" hidden="false" customHeight="false" outlineLevel="0" collapsed="false">
      <c r="A403" s="11" t="s">
        <v>107</v>
      </c>
      <c r="B403" s="11" t="s">
        <v>136</v>
      </c>
      <c r="C403" s="11" t="n">
        <v>21</v>
      </c>
      <c r="D403" s="11" t="s">
        <v>174</v>
      </c>
      <c r="E403" s="11" t="s">
        <v>177</v>
      </c>
      <c r="F403" s="11" t="s">
        <v>83</v>
      </c>
      <c r="G403" s="12" t="n">
        <v>350</v>
      </c>
      <c r="H403" s="12" t="n">
        <f aca="false">SUMPRODUCT(ПОТОКИ!B11:G11,ЧАСОВЫЕ_ПРОФИЛИ!B23:G23,КОЭФФИЦИЕНТЫ_ВЫБОРА!F31:K31)</f>
        <v>2.24965</v>
      </c>
      <c r="I403" s="12" t="n">
        <f aca="false">SUMPRODUCT(ПОТОКИ!B11:G11,ЧАСОВЫЕ_ПРОФИЛИ!B23:G23,КОЭФФИЦИЕНТЫ_ВЫБОРА!F31:K31,ПАРАМЕТРЫ!$B$17:$G$17)</f>
        <v>2.474615</v>
      </c>
      <c r="J403" s="12" t="n">
        <f aca="false">I403*G403/1000</f>
        <v>0.86611525</v>
      </c>
      <c r="K403" s="11" t="s">
        <v>217</v>
      </c>
      <c r="L403" s="11" t="s">
        <v>19</v>
      </c>
      <c r="M403" s="11" t="s">
        <v>145</v>
      </c>
    </row>
    <row r="404" customFormat="false" ht="15" hidden="false" customHeight="false" outlineLevel="0" collapsed="false">
      <c r="A404" s="11" t="s">
        <v>107</v>
      </c>
      <c r="B404" s="11" t="s">
        <v>136</v>
      </c>
      <c r="C404" s="11" t="n">
        <v>22</v>
      </c>
      <c r="D404" s="11" t="s">
        <v>174</v>
      </c>
      <c r="E404" s="11" t="s">
        <v>178</v>
      </c>
      <c r="F404" s="11" t="s">
        <v>83</v>
      </c>
      <c r="G404" s="12" t="n">
        <v>300</v>
      </c>
      <c r="H404" s="12" t="n">
        <f aca="false">SUMPRODUCT(ПОТОКИ!B11:G11,ЧАСОВЫЕ_ПРОФИЛИ!B23:G23,КОЭФФИЦИЕНТЫ_ВЫБОРА!F32:K32)</f>
        <v>1.63325</v>
      </c>
      <c r="I404" s="12" t="n">
        <f aca="false">SUMPRODUCT(ПОТОКИ!B11:G11,ЧАСОВЫЕ_ПРОФИЛИ!B23:G23,КОЭФФИЦИЕНТЫ_ВЫБОРА!F32:K32,ПАРАМЕТРЫ!$B$17:$G$17)</f>
        <v>1.796575</v>
      </c>
      <c r="J404" s="12" t="n">
        <f aca="false">I404*G404/1000</f>
        <v>0.5389725</v>
      </c>
      <c r="K404" s="11" t="s">
        <v>217</v>
      </c>
      <c r="L404" s="11" t="s">
        <v>19</v>
      </c>
      <c r="M404" s="11" t="s">
        <v>145</v>
      </c>
    </row>
    <row r="405" customFormat="false" ht="15" hidden="false" customHeight="false" outlineLevel="0" collapsed="false">
      <c r="A405" s="11" t="s">
        <v>107</v>
      </c>
      <c r="B405" s="11" t="s">
        <v>136</v>
      </c>
      <c r="C405" s="11" t="n">
        <v>23</v>
      </c>
      <c r="D405" s="11" t="s">
        <v>86</v>
      </c>
      <c r="E405" s="11" t="s">
        <v>179</v>
      </c>
      <c r="F405" s="11" t="s">
        <v>85</v>
      </c>
      <c r="G405" s="12" t="n">
        <v>150</v>
      </c>
      <c r="H405" s="12" t="n">
        <f aca="false">SUMPRODUCT(ПОТОКИ!B11:G11,ЧАСОВЫЕ_ПРОФИЛИ!B23:G23,КОЭФФИЦИЕНТЫ_ВЫБОРА!F33:K33)</f>
        <v>1.37127275</v>
      </c>
      <c r="I405" s="12" t="n">
        <f aca="false">SUMPRODUCT(ПОТОКИ!B11:G11,ЧАСОВЫЕ_ПРОФИЛИ!B23:G23,КОЭФФИЦИЕНТЫ_ВЫБОРА!F33:K33,ПАРАМЕТРЫ!$B$17:$G$17)</f>
        <v>1.508400025</v>
      </c>
      <c r="J405" s="12" t="n">
        <f aca="false">I405*G405/1000</f>
        <v>0.22626000375</v>
      </c>
      <c r="K405" s="11" t="s">
        <v>217</v>
      </c>
      <c r="L405" s="11" t="s">
        <v>19</v>
      </c>
      <c r="M405" s="11" t="s">
        <v>147</v>
      </c>
    </row>
    <row r="406" customFormat="false" ht="15" hidden="false" customHeight="false" outlineLevel="0" collapsed="false">
      <c r="A406" s="11" t="s">
        <v>107</v>
      </c>
      <c r="B406" s="11" t="s">
        <v>136</v>
      </c>
      <c r="C406" s="11" t="n">
        <v>24</v>
      </c>
      <c r="D406" s="11" t="s">
        <v>86</v>
      </c>
      <c r="E406" s="11" t="s">
        <v>180</v>
      </c>
      <c r="F406" s="11" t="s">
        <v>85</v>
      </c>
      <c r="G406" s="12" t="n">
        <v>150</v>
      </c>
      <c r="H406" s="12" t="n">
        <f aca="false">SUMPRODUCT(ПОТОКИ!B11:G11,ЧАСОВЫЕ_ПРОФИЛИ!B23:G23,КОЭФФИЦИЕНТЫ_ВЫБОРА!F34:K34)</f>
        <v>0.726277</v>
      </c>
      <c r="I406" s="12" t="n">
        <f aca="false">SUMPRODUCT(ПОТОКИ!B11:G11,ЧАСОВЫЕ_ПРОФИЛИ!B23:G23,КОЭФФИЦИЕНТЫ_ВЫБОРА!F34:K34,ПАРАМЕТРЫ!$B$17:$G$17)</f>
        <v>0.7989047</v>
      </c>
      <c r="J406" s="12" t="n">
        <f aca="false">I406*G406/1000</f>
        <v>0.119835705</v>
      </c>
      <c r="K406" s="11" t="s">
        <v>217</v>
      </c>
      <c r="L406" s="11" t="s">
        <v>19</v>
      </c>
      <c r="M406" s="11" t="s">
        <v>147</v>
      </c>
    </row>
    <row r="407" customFormat="false" ht="15" hidden="false" customHeight="false" outlineLevel="0" collapsed="false">
      <c r="A407" s="11" t="s">
        <v>107</v>
      </c>
      <c r="B407" s="11" t="s">
        <v>136</v>
      </c>
      <c r="C407" s="11" t="n">
        <v>25</v>
      </c>
      <c r="D407" s="11" t="s">
        <v>86</v>
      </c>
      <c r="E407" s="11" t="s">
        <v>181</v>
      </c>
      <c r="F407" s="11" t="s">
        <v>85</v>
      </c>
      <c r="G407" s="12" t="n">
        <v>150</v>
      </c>
      <c r="H407" s="12" t="n">
        <f aca="false">SUMPRODUCT(ПОТОКИ!B11:G11,ЧАСОВЫЕ_ПРОФИЛИ!B23:G23,КОЭФФИЦИЕНТЫ_ВЫБОРА!F35:K35)</f>
        <v>1.53383525</v>
      </c>
      <c r="I407" s="12" t="n">
        <f aca="false">SUMPRODUCT(ПОТОКИ!B11:G11,ЧАСОВЫЕ_ПРОФИЛИ!B23:G23,КОЭФФИЦИЕНТЫ_ВЫБОРА!F35:K35,ПАРАМЕТРЫ!$B$17:$G$17)</f>
        <v>1.687218775</v>
      </c>
      <c r="J407" s="12" t="n">
        <f aca="false">I407*G407/1000</f>
        <v>0.25308281625</v>
      </c>
      <c r="K407" s="11" t="s">
        <v>217</v>
      </c>
      <c r="L407" s="11" t="s">
        <v>19</v>
      </c>
      <c r="M407" s="11" t="s">
        <v>147</v>
      </c>
    </row>
    <row r="408" customFormat="false" ht="23.85" hidden="false" customHeight="false" outlineLevel="0" collapsed="false">
      <c r="A408" s="11" t="s">
        <v>107</v>
      </c>
      <c r="B408" s="11" t="s">
        <v>136</v>
      </c>
      <c r="C408" s="11" t="n">
        <v>26</v>
      </c>
      <c r="D408" s="11" t="s">
        <v>89</v>
      </c>
      <c r="E408" s="11" t="s">
        <v>182</v>
      </c>
      <c r="F408" s="11" t="s">
        <v>88</v>
      </c>
      <c r="G408" s="12" t="n">
        <v>225</v>
      </c>
      <c r="H408" s="12" t="n">
        <f aca="false">SUMPRODUCT(ПОТОКИ!B11:G11,ЧАСОВЫЕ_ПРОФИЛИ!B23:G23,КОЭФФИЦИЕНТЫ_ВЫБОРА!F36:K36)</f>
        <v>0</v>
      </c>
      <c r="I408" s="12" t="n">
        <f aca="false">SUMPRODUCT(ПОТОКИ!B11:G11,ЧАСОВЫЕ_ПРОФИЛИ!B23:G23,КОЭФФИЦИЕНТЫ_ВЫБОРА!F36:K36,ПАРАМЕТРЫ!$B$17:$G$17)</f>
        <v>0</v>
      </c>
      <c r="J408" s="12" t="n">
        <f aca="false">I408*G408/1000</f>
        <v>0</v>
      </c>
      <c r="K408" s="11" t="s">
        <v>217</v>
      </c>
      <c r="L408" s="11" t="s">
        <v>19</v>
      </c>
      <c r="M408" s="11" t="s">
        <v>145</v>
      </c>
    </row>
    <row r="409" customFormat="false" ht="23.85" hidden="false" customHeight="false" outlineLevel="0" collapsed="false">
      <c r="A409" s="11" t="s">
        <v>107</v>
      </c>
      <c r="B409" s="11" t="s">
        <v>136</v>
      </c>
      <c r="C409" s="11" t="n">
        <v>27</v>
      </c>
      <c r="D409" s="11" t="s">
        <v>89</v>
      </c>
      <c r="E409" s="11" t="s">
        <v>183</v>
      </c>
      <c r="F409" s="11" t="s">
        <v>88</v>
      </c>
      <c r="G409" s="12" t="n">
        <v>265</v>
      </c>
      <c r="H409" s="12" t="n">
        <f aca="false">SUMPRODUCT(ПОТОКИ!B11:G11,ЧАСОВЫЕ_ПРОФИЛИ!B23:G23,КОЭФФИЦИЕНТЫ_ВЫБОРА!F37:K37)</f>
        <v>0</v>
      </c>
      <c r="I409" s="12" t="n">
        <f aca="false">SUMPRODUCT(ПОТОКИ!B11:G11,ЧАСОВЫЕ_ПРОФИЛИ!B23:G23,КОЭФФИЦИЕНТЫ_ВЫБОРА!F37:K37,ПАРАМЕТРЫ!$B$17:$G$17)</f>
        <v>0</v>
      </c>
      <c r="J409" s="12" t="n">
        <f aca="false">I409*G409/1000</f>
        <v>0</v>
      </c>
      <c r="K409" s="11" t="s">
        <v>217</v>
      </c>
      <c r="L409" s="11" t="s">
        <v>19</v>
      </c>
      <c r="M409" s="11" t="s">
        <v>145</v>
      </c>
    </row>
    <row r="410" customFormat="false" ht="23.85" hidden="false" customHeight="false" outlineLevel="0" collapsed="false">
      <c r="A410" s="11" t="s">
        <v>107</v>
      </c>
      <c r="B410" s="11" t="s">
        <v>136</v>
      </c>
      <c r="C410" s="11" t="n">
        <v>28</v>
      </c>
      <c r="D410" s="11" t="s">
        <v>89</v>
      </c>
      <c r="E410" s="11" t="s">
        <v>184</v>
      </c>
      <c r="F410" s="11" t="s">
        <v>88</v>
      </c>
      <c r="G410" s="12" t="n">
        <v>355</v>
      </c>
      <c r="H410" s="12" t="n">
        <f aca="false">SUMPRODUCT(ПОТОКИ!B11:G11,ЧАСОВЫЕ_ПРОФИЛИ!B23:G23,КОЭФФИЦИЕНТЫ_ВЫБОРА!F38:K38)</f>
        <v>0</v>
      </c>
      <c r="I410" s="12" t="n">
        <f aca="false">SUMPRODUCT(ПОТОКИ!B11:G11,ЧАСОВЫЕ_ПРОФИЛИ!B23:G23,КОЭФФИЦИЕНТЫ_ВЫБОРА!F38:K38,ПАРАМЕТРЫ!$B$17:$G$17)</f>
        <v>0</v>
      </c>
      <c r="J410" s="12" t="n">
        <f aca="false">I410*G410/1000</f>
        <v>0</v>
      </c>
      <c r="K410" s="11" t="s">
        <v>217</v>
      </c>
      <c r="L410" s="11" t="s">
        <v>19</v>
      </c>
      <c r="M410" s="11" t="s">
        <v>145</v>
      </c>
    </row>
    <row r="411" customFormat="false" ht="15" hidden="false" customHeight="false" outlineLevel="0" collapsed="false">
      <c r="A411" s="11" t="s">
        <v>107</v>
      </c>
      <c r="B411" s="11" t="s">
        <v>136</v>
      </c>
      <c r="C411" s="11" t="n">
        <v>29</v>
      </c>
      <c r="D411" s="11" t="s">
        <v>92</v>
      </c>
      <c r="E411" s="11" t="s">
        <v>185</v>
      </c>
      <c r="F411" s="11" t="s">
        <v>91</v>
      </c>
      <c r="G411" s="12" t="n">
        <v>150</v>
      </c>
      <c r="H411" s="12" t="n">
        <f aca="false">SUMPRODUCT(ПОТОКИ!B11:G11,ЧАСОВЫЕ_ПРОФИЛИ!B23:G23,КОЭФФИЦИЕНТЫ_ВЫБОРА!F39:K39)</f>
        <v>0.4332</v>
      </c>
      <c r="I411" s="12" t="n">
        <f aca="false">SUMPRODUCT(ПОТОКИ!B11:G11,ЧАСОВЫЕ_ПРОФИЛИ!B23:G23,КОЭФФИЦИЕНТЫ_ВЫБОРА!F39:K39,ПАРАМЕТРЫ!$B$17:$G$17)</f>
        <v>0.47652</v>
      </c>
      <c r="J411" s="12" t="n">
        <f aca="false">I411*G411/1000</f>
        <v>0.071478</v>
      </c>
      <c r="K411" s="11" t="s">
        <v>217</v>
      </c>
      <c r="L411" s="11" t="s">
        <v>19</v>
      </c>
      <c r="M411" s="11" t="s">
        <v>145</v>
      </c>
    </row>
    <row r="412" customFormat="false" ht="15" hidden="false" customHeight="false" outlineLevel="0" collapsed="false">
      <c r="A412" s="11" t="s">
        <v>107</v>
      </c>
      <c r="B412" s="11" t="s">
        <v>136</v>
      </c>
      <c r="C412" s="11" t="n">
        <v>30</v>
      </c>
      <c r="D412" s="11" t="s">
        <v>92</v>
      </c>
      <c r="E412" s="11" t="s">
        <v>186</v>
      </c>
      <c r="F412" s="11" t="s">
        <v>91</v>
      </c>
      <c r="G412" s="12" t="n">
        <v>120</v>
      </c>
      <c r="H412" s="12" t="n">
        <f aca="false">SUMPRODUCT(ПОТОКИ!B11:G11,ЧАСОВЫЕ_ПРОФИЛИ!B23:G23,КОЭФФИЦИЕНТЫ_ВЫБОРА!F40:K40)</f>
        <v>0.6832</v>
      </c>
      <c r="I412" s="12" t="n">
        <f aca="false">SUMPRODUCT(ПОТОКИ!B11:G11,ЧАСОВЫЕ_ПРОФИЛИ!B23:G23,КОЭФФИЦИЕНТЫ_ВЫБОРА!F40:K40,ПАРАМЕТРЫ!$B$17:$G$17)</f>
        <v>0.75152</v>
      </c>
      <c r="J412" s="12" t="n">
        <f aca="false">I412*G412/1000</f>
        <v>0.0901824</v>
      </c>
      <c r="K412" s="11" t="s">
        <v>217</v>
      </c>
      <c r="L412" s="11" t="s">
        <v>19</v>
      </c>
      <c r="M412" s="11" t="s">
        <v>145</v>
      </c>
    </row>
    <row r="413" customFormat="false" ht="15" hidden="false" customHeight="false" outlineLevel="0" collapsed="false">
      <c r="A413" s="11" t="s">
        <v>107</v>
      </c>
      <c r="B413" s="11" t="s">
        <v>136</v>
      </c>
      <c r="C413" s="11" t="n">
        <v>31</v>
      </c>
      <c r="D413" s="11" t="s">
        <v>92</v>
      </c>
      <c r="E413" s="11" t="s">
        <v>187</v>
      </c>
      <c r="F413" s="11" t="s">
        <v>91</v>
      </c>
      <c r="G413" s="12" t="n">
        <v>60</v>
      </c>
      <c r="H413" s="12" t="n">
        <f aca="false">SUMPRODUCT(ПОТОКИ!B11:G11,ЧАСОВЫЕ_ПРОФИЛИ!B23:G23,КОЭФФИЦИЕНТЫ_ВЫБОРА!F41:K41)</f>
        <v>0.3216</v>
      </c>
      <c r="I413" s="12" t="n">
        <f aca="false">SUMPRODUCT(ПОТОКИ!B11:G11,ЧАСОВЫЕ_ПРОФИЛИ!B23:G23,КОЭФФИЦИЕНТЫ_ВЫБОРА!F41:K41,ПАРАМЕТРЫ!$B$17:$G$17)</f>
        <v>0.35376</v>
      </c>
      <c r="J413" s="12" t="n">
        <f aca="false">I413*G413/1000</f>
        <v>0.0212256</v>
      </c>
      <c r="K413" s="11" t="s">
        <v>217</v>
      </c>
      <c r="L413" s="11" t="s">
        <v>19</v>
      </c>
      <c r="M413" s="11" t="s">
        <v>145</v>
      </c>
    </row>
    <row r="414" customFormat="false" ht="15" hidden="false" customHeight="false" outlineLevel="0" collapsed="false">
      <c r="A414" s="11" t="s">
        <v>107</v>
      </c>
      <c r="B414" s="11" t="s">
        <v>137</v>
      </c>
      <c r="C414" s="11" t="n">
        <v>1</v>
      </c>
      <c r="D414" s="11" t="s">
        <v>74</v>
      </c>
      <c r="E414" s="11" t="s">
        <v>153</v>
      </c>
      <c r="F414" s="11" t="s">
        <v>73</v>
      </c>
      <c r="G414" s="12" t="n">
        <v>450</v>
      </c>
      <c r="H414" s="12" t="n">
        <f aca="false">SUMPRODUCT(ПОТОКИ!B11:G11,ЧАСОВЫЕ_ПРОФИЛИ!B24:G24,КОЭФФИЦИЕНТЫ_ВЫБОРА!F11:K11)</f>
        <v>0.4815</v>
      </c>
      <c r="I414" s="12" t="n">
        <f aca="false">SUMPRODUCT(ПОТОКИ!B11:G11,ЧАСОВЫЕ_ПРОФИЛИ!B24:G24,КОЭФФИЦИЕНТЫ_ВЫБОРА!F11:K11,ПАРАМЕТРЫ!$B$17:$G$17)</f>
        <v>0.52965</v>
      </c>
      <c r="J414" s="12" t="n">
        <f aca="false">I414*G414/1000</f>
        <v>0.2383425</v>
      </c>
      <c r="K414" s="11" t="s">
        <v>217</v>
      </c>
      <c r="L414" s="11" t="s">
        <v>19</v>
      </c>
      <c r="M414" s="11" t="s">
        <v>145</v>
      </c>
    </row>
    <row r="415" customFormat="false" ht="15" hidden="false" customHeight="false" outlineLevel="0" collapsed="false">
      <c r="A415" s="11" t="s">
        <v>107</v>
      </c>
      <c r="B415" s="11" t="s">
        <v>137</v>
      </c>
      <c r="C415" s="11" t="n">
        <v>2</v>
      </c>
      <c r="D415" s="11" t="s">
        <v>74</v>
      </c>
      <c r="E415" s="11" t="s">
        <v>154</v>
      </c>
      <c r="F415" s="11" t="s">
        <v>73</v>
      </c>
      <c r="G415" s="12" t="n">
        <v>480</v>
      </c>
      <c r="H415" s="12" t="n">
        <f aca="false">SUMPRODUCT(ПОТОКИ!B11:G11,ЧАСОВЫЕ_ПРОФИЛИ!B24:G24,КОЭФФИЦИЕНТЫ_ВЫБОРА!F12:K12)</f>
        <v>0.79</v>
      </c>
      <c r="I415" s="12" t="n">
        <f aca="false">SUMPRODUCT(ПОТОКИ!B11:G11,ЧАСОВЫЕ_ПРОФИЛИ!B24:G24,КОЭФФИЦИЕНТЫ_ВЫБОРА!F12:K12,ПАРАМЕТРЫ!$B$17:$G$17)</f>
        <v>0.869</v>
      </c>
      <c r="J415" s="12" t="n">
        <f aca="false">I415*G415/1000</f>
        <v>0.41712</v>
      </c>
      <c r="K415" s="11" t="s">
        <v>217</v>
      </c>
      <c r="L415" s="11" t="s">
        <v>19</v>
      </c>
      <c r="M415" s="11" t="s">
        <v>145</v>
      </c>
    </row>
    <row r="416" customFormat="false" ht="15" hidden="false" customHeight="false" outlineLevel="0" collapsed="false">
      <c r="A416" s="11" t="s">
        <v>107</v>
      </c>
      <c r="B416" s="11" t="s">
        <v>137</v>
      </c>
      <c r="C416" s="11" t="n">
        <v>3</v>
      </c>
      <c r="D416" s="11" t="s">
        <v>74</v>
      </c>
      <c r="E416" s="11" t="s">
        <v>155</v>
      </c>
      <c r="F416" s="11" t="s">
        <v>73</v>
      </c>
      <c r="G416" s="12" t="n">
        <v>500</v>
      </c>
      <c r="H416" s="12" t="n">
        <f aca="false">SUMPRODUCT(ПОТОКИ!B11:G11,ЧАСОВЫЕ_ПРОФИЛИ!B24:G24,КОЭФФИЦИЕНТЫ_ВЫБОРА!F13:K13)</f>
        <v>1.1475</v>
      </c>
      <c r="I416" s="12" t="n">
        <f aca="false">SUMPRODUCT(ПОТОКИ!B11:G11,ЧАСОВЫЕ_ПРОФИЛИ!B24:G24,КОЭФФИЦИЕНТЫ_ВЫБОРА!F13:K13,ПАРАМЕТРЫ!$B$17:$G$17)</f>
        <v>1.26225</v>
      </c>
      <c r="J416" s="12" t="n">
        <f aca="false">I416*G416/1000</f>
        <v>0.631125</v>
      </c>
      <c r="K416" s="11" t="s">
        <v>217</v>
      </c>
      <c r="L416" s="11" t="s">
        <v>19</v>
      </c>
      <c r="M416" s="11" t="s">
        <v>145</v>
      </c>
    </row>
    <row r="417" customFormat="false" ht="15" hidden="false" customHeight="false" outlineLevel="0" collapsed="false">
      <c r="A417" s="11" t="s">
        <v>107</v>
      </c>
      <c r="B417" s="11" t="s">
        <v>137</v>
      </c>
      <c r="C417" s="11" t="n">
        <v>4</v>
      </c>
      <c r="D417" s="11" t="s">
        <v>74</v>
      </c>
      <c r="E417" s="11" t="s">
        <v>156</v>
      </c>
      <c r="F417" s="11" t="s">
        <v>73</v>
      </c>
      <c r="G417" s="12" t="n">
        <v>500</v>
      </c>
      <c r="H417" s="12" t="n">
        <f aca="false">SUMPRODUCT(ПОТОКИ!B11:G11,ЧАСОВЫЕ_ПРОФИЛИ!B24:G24,КОЭФФИЦИЕНТЫ_ВЫБОРА!F14:K14)</f>
        <v>1.456</v>
      </c>
      <c r="I417" s="12" t="n">
        <f aca="false">SUMPRODUCT(ПОТОКИ!B11:G11,ЧАСОВЫЕ_ПРОФИЛИ!B24:G24,КОЭФФИЦИЕНТЫ_ВЫБОРА!F14:K14,ПАРАМЕТРЫ!$B$17:$G$17)</f>
        <v>1.6016</v>
      </c>
      <c r="J417" s="12" t="n">
        <f aca="false">I417*G417/1000</f>
        <v>0.8008</v>
      </c>
      <c r="K417" s="11" t="s">
        <v>217</v>
      </c>
      <c r="L417" s="11" t="s">
        <v>19</v>
      </c>
      <c r="M417" s="11" t="s">
        <v>145</v>
      </c>
    </row>
    <row r="418" customFormat="false" ht="15" hidden="false" customHeight="false" outlineLevel="0" collapsed="false">
      <c r="A418" s="11" t="s">
        <v>107</v>
      </c>
      <c r="B418" s="11" t="s">
        <v>137</v>
      </c>
      <c r="C418" s="11" t="n">
        <v>5</v>
      </c>
      <c r="D418" s="11" t="s">
        <v>78</v>
      </c>
      <c r="E418" s="11" t="s">
        <v>157</v>
      </c>
      <c r="F418" s="11" t="s">
        <v>77</v>
      </c>
      <c r="G418" s="12" t="n">
        <v>100</v>
      </c>
      <c r="H418" s="12" t="n">
        <f aca="false">SUMPRODUCT(ПОТОКИ!B11:G11,ЧАСОВЫЕ_ПРОФИЛИ!B24:G24,КОЭФФИЦИЕНТЫ_ВЫБОРА!F15:K15)</f>
        <v>0.5665</v>
      </c>
      <c r="I418" s="12" t="n">
        <f aca="false">SUMPRODUCT(ПОТОКИ!B11:G11,ЧАСОВЫЕ_ПРОФИЛИ!B24:G24,КОЭФФИЦИЕНТЫ_ВЫБОРА!F15:K15,ПАРАМЕТРЫ!$B$17:$G$17)</f>
        <v>0.62315</v>
      </c>
      <c r="J418" s="12" t="n">
        <f aca="false">I418*G418/1000</f>
        <v>0.062315</v>
      </c>
      <c r="K418" s="11" t="s">
        <v>217</v>
      </c>
      <c r="L418" s="11" t="s">
        <v>19</v>
      </c>
      <c r="M418" s="11" t="s">
        <v>147</v>
      </c>
    </row>
    <row r="419" customFormat="false" ht="15" hidden="false" customHeight="false" outlineLevel="0" collapsed="false">
      <c r="A419" s="11" t="s">
        <v>107</v>
      </c>
      <c r="B419" s="11" t="s">
        <v>137</v>
      </c>
      <c r="C419" s="11" t="n">
        <v>6</v>
      </c>
      <c r="D419" s="11" t="s">
        <v>78</v>
      </c>
      <c r="E419" s="11" t="s">
        <v>158</v>
      </c>
      <c r="F419" s="11" t="s">
        <v>77</v>
      </c>
      <c r="G419" s="12" t="n">
        <v>100</v>
      </c>
      <c r="H419" s="12" t="n">
        <f aca="false">SUMPRODUCT(ПОТОКИ!B11:G11,ЧАСОВЫЕ_ПРОФИЛИ!B24:G24,КОЭФФИЦИЕНТЫ_ВЫБОРА!F16:K16)</f>
        <v>0.4875</v>
      </c>
      <c r="I419" s="12" t="n">
        <f aca="false">SUMPRODUCT(ПОТОКИ!B11:G11,ЧАСОВЫЕ_ПРОФИЛИ!B24:G24,КОЭФФИЦИЕНТЫ_ВЫБОРА!F16:K16,ПАРАМЕТРЫ!$B$17:$G$17)</f>
        <v>0.53625</v>
      </c>
      <c r="J419" s="12" t="n">
        <f aca="false">I419*G419/1000</f>
        <v>0.053625</v>
      </c>
      <c r="K419" s="11" t="s">
        <v>217</v>
      </c>
      <c r="L419" s="11" t="s">
        <v>19</v>
      </c>
      <c r="M419" s="11" t="s">
        <v>147</v>
      </c>
    </row>
    <row r="420" customFormat="false" ht="15" hidden="false" customHeight="false" outlineLevel="0" collapsed="false">
      <c r="A420" s="11" t="s">
        <v>107</v>
      </c>
      <c r="B420" s="11" t="s">
        <v>137</v>
      </c>
      <c r="C420" s="11" t="n">
        <v>7</v>
      </c>
      <c r="D420" s="11" t="s">
        <v>78</v>
      </c>
      <c r="E420" s="11" t="s">
        <v>159</v>
      </c>
      <c r="F420" s="11" t="s">
        <v>77</v>
      </c>
      <c r="G420" s="12" t="n">
        <v>350</v>
      </c>
      <c r="H420" s="12" t="n">
        <f aca="false">SUMPRODUCT(ПОТОКИ!B11:G11,ЧАСОВЫЕ_ПРОФИЛИ!B24:G24,КОЭФФИЦИЕНТЫ_ВЫБОРА!F17:K17)</f>
        <v>0.45075</v>
      </c>
      <c r="I420" s="12" t="n">
        <f aca="false">SUMPRODUCT(ПОТОКИ!B11:G11,ЧАСОВЫЕ_ПРОФИЛИ!B24:G24,КОЭФФИЦИЕНТЫ_ВЫБОРА!F17:K17,ПАРАМЕТРЫ!$B$17:$G$17)</f>
        <v>0.495825</v>
      </c>
      <c r="J420" s="12" t="n">
        <f aca="false">I420*G420/1000</f>
        <v>0.17353875</v>
      </c>
      <c r="K420" s="11" t="s">
        <v>217</v>
      </c>
      <c r="L420" s="11" t="s">
        <v>19</v>
      </c>
      <c r="M420" s="11" t="s">
        <v>147</v>
      </c>
    </row>
    <row r="421" customFormat="false" ht="15" hidden="false" customHeight="false" outlineLevel="0" collapsed="false">
      <c r="A421" s="11" t="s">
        <v>107</v>
      </c>
      <c r="B421" s="11" t="s">
        <v>137</v>
      </c>
      <c r="C421" s="11" t="n">
        <v>8</v>
      </c>
      <c r="D421" s="11" t="s">
        <v>78</v>
      </c>
      <c r="E421" s="11" t="s">
        <v>160</v>
      </c>
      <c r="F421" s="11" t="s">
        <v>77</v>
      </c>
      <c r="G421" s="12" t="n">
        <v>85</v>
      </c>
      <c r="H421" s="12" t="n">
        <f aca="false">SUMPRODUCT(ПОТОКИ!B11:G11,ЧАСОВЫЕ_ПРОФИЛИ!B24:G24,КОЭФФИЦИЕНТЫ_ВЫБОРА!F18:K18)</f>
        <v>0.29825</v>
      </c>
      <c r="I421" s="12" t="n">
        <f aca="false">SUMPRODUCT(ПОТОКИ!B11:G11,ЧАСОВЫЕ_ПРОФИЛИ!B24:G24,КОЭФФИЦИЕНТЫ_ВЫБОРА!F18:K18,ПАРАМЕТРЫ!$B$17:$G$17)</f>
        <v>0.328075</v>
      </c>
      <c r="J421" s="12" t="n">
        <f aca="false">I421*G421/1000</f>
        <v>0.027886375</v>
      </c>
      <c r="K421" s="11" t="s">
        <v>217</v>
      </c>
      <c r="L421" s="11" t="s">
        <v>19</v>
      </c>
      <c r="M421" s="11" t="s">
        <v>147</v>
      </c>
    </row>
    <row r="422" customFormat="false" ht="15" hidden="false" customHeight="false" outlineLevel="0" collapsed="false">
      <c r="A422" s="11" t="s">
        <v>107</v>
      </c>
      <c r="B422" s="11" t="s">
        <v>137</v>
      </c>
      <c r="C422" s="11" t="n">
        <v>9</v>
      </c>
      <c r="D422" s="11" t="s">
        <v>161</v>
      </c>
      <c r="E422" s="11" t="s">
        <v>162</v>
      </c>
      <c r="F422" s="11" t="s">
        <v>80</v>
      </c>
      <c r="G422" s="12" t="n">
        <v>300</v>
      </c>
      <c r="H422" s="12" t="n">
        <f aca="false">SUMPRODUCT(ПОТОКИ!B11:G11,ЧАСОВЫЕ_ПРОФИЛИ!B24:G24,КОЭФФИЦИЕНТЫ_ВЫБОРА!F19:K19)</f>
        <v>0.7665</v>
      </c>
      <c r="I422" s="12" t="n">
        <f aca="false">SUMPRODUCT(ПОТОКИ!B11:G11,ЧАСОВЫЕ_ПРОФИЛИ!B24:G24,КОЭФФИЦИЕНТЫ_ВЫБОРА!F19:K19,ПАРАМЕТРЫ!$B$17:$G$17)</f>
        <v>0.84315</v>
      </c>
      <c r="J422" s="12" t="n">
        <f aca="false">I422*G422/1000</f>
        <v>0.252945</v>
      </c>
      <c r="K422" s="11" t="s">
        <v>217</v>
      </c>
      <c r="L422" s="11" t="s">
        <v>19</v>
      </c>
      <c r="M422" s="11" t="s">
        <v>145</v>
      </c>
    </row>
    <row r="423" customFormat="false" ht="15" hidden="false" customHeight="false" outlineLevel="0" collapsed="false">
      <c r="A423" s="11" t="s">
        <v>107</v>
      </c>
      <c r="B423" s="11" t="s">
        <v>137</v>
      </c>
      <c r="C423" s="11" t="n">
        <v>10</v>
      </c>
      <c r="D423" s="11" t="s">
        <v>161</v>
      </c>
      <c r="E423" s="11" t="s">
        <v>163</v>
      </c>
      <c r="F423" s="11" t="s">
        <v>80</v>
      </c>
      <c r="G423" s="12" t="n">
        <v>280</v>
      </c>
      <c r="H423" s="12" t="n">
        <f aca="false">SUMPRODUCT(ПОТОКИ!B11:G11,ЧАСОВЫЕ_ПРОФИЛИ!B24:G24,КОЭФФИЦИЕНТЫ_ВЫБОРА!F20:K20)</f>
        <v>0.843</v>
      </c>
      <c r="I423" s="12" t="n">
        <f aca="false">SUMPRODUCT(ПОТОКИ!B11:G11,ЧАСОВЫЕ_ПРОФИЛИ!B24:G24,КОЭФФИЦИЕНТЫ_ВЫБОРА!F20:K20,ПАРАМЕТРЫ!$B$17:$G$17)</f>
        <v>0.9273</v>
      </c>
      <c r="J423" s="12" t="n">
        <f aca="false">I423*G423/1000</f>
        <v>0.259644</v>
      </c>
      <c r="K423" s="11" t="s">
        <v>217</v>
      </c>
      <c r="L423" s="11" t="s">
        <v>19</v>
      </c>
      <c r="M423" s="11" t="s">
        <v>145</v>
      </c>
    </row>
    <row r="424" customFormat="false" ht="15" hidden="false" customHeight="false" outlineLevel="0" collapsed="false">
      <c r="A424" s="11" t="s">
        <v>107</v>
      </c>
      <c r="B424" s="11" t="s">
        <v>137</v>
      </c>
      <c r="C424" s="11" t="n">
        <v>11</v>
      </c>
      <c r="D424" s="11" t="s">
        <v>161</v>
      </c>
      <c r="E424" s="11" t="s">
        <v>164</v>
      </c>
      <c r="F424" s="11" t="s">
        <v>80</v>
      </c>
      <c r="G424" s="12" t="n">
        <v>270</v>
      </c>
      <c r="H424" s="12" t="n">
        <f aca="false">SUMPRODUCT(ПОТОКИ!B11:G11,ЧАСОВЫЕ_ПРОФИЛИ!B24:G24,КОЭФФИЦИЕНТЫ_ВЫБОРА!F21:K21)</f>
        <v>1.38375</v>
      </c>
      <c r="I424" s="12" t="n">
        <f aca="false">SUMPRODUCT(ПОТОКИ!B11:G11,ЧАСОВЫЕ_ПРОФИЛИ!B24:G24,КОЭФФИЦИЕНТЫ_ВЫБОРА!F21:K21,ПАРАМЕТРЫ!$B$17:$G$17)</f>
        <v>1.522125</v>
      </c>
      <c r="J424" s="12" t="n">
        <f aca="false">I424*G424/1000</f>
        <v>0.41097375</v>
      </c>
      <c r="K424" s="11" t="s">
        <v>217</v>
      </c>
      <c r="L424" s="11" t="s">
        <v>19</v>
      </c>
      <c r="M424" s="11" t="s">
        <v>145</v>
      </c>
    </row>
    <row r="425" customFormat="false" ht="15" hidden="false" customHeight="false" outlineLevel="0" collapsed="false">
      <c r="A425" s="11" t="s">
        <v>107</v>
      </c>
      <c r="B425" s="11" t="s">
        <v>137</v>
      </c>
      <c r="C425" s="11" t="n">
        <v>12</v>
      </c>
      <c r="D425" s="11" t="s">
        <v>161</v>
      </c>
      <c r="E425" s="11" t="s">
        <v>165</v>
      </c>
      <c r="F425" s="11" t="s">
        <v>80</v>
      </c>
      <c r="G425" s="12" t="n">
        <v>240</v>
      </c>
      <c r="H425" s="12" t="n">
        <f aca="false">SUMPRODUCT(ПОТОКИ!B11:G11,ЧАСОВЫЕ_ПРОФИЛИ!B24:G24,КОЭФФИЦИЕНТЫ_ВЫБОРА!F22:K22)</f>
        <v>0.74175</v>
      </c>
      <c r="I425" s="12" t="n">
        <f aca="false">SUMPRODUCT(ПОТОКИ!B11:G11,ЧАСОВЫЕ_ПРОФИЛИ!B24:G24,КОЭФФИЦИЕНТЫ_ВЫБОРА!F22:K22,ПАРАМЕТРЫ!$B$17:$G$17)</f>
        <v>0.815925</v>
      </c>
      <c r="J425" s="12" t="n">
        <f aca="false">I425*G425/1000</f>
        <v>0.195822</v>
      </c>
      <c r="K425" s="11" t="s">
        <v>217</v>
      </c>
      <c r="L425" s="11" t="s">
        <v>19</v>
      </c>
      <c r="M425" s="11" t="s">
        <v>145</v>
      </c>
    </row>
    <row r="426" customFormat="false" ht="15" hidden="false" customHeight="false" outlineLevel="0" collapsed="false">
      <c r="A426" s="11" t="s">
        <v>107</v>
      </c>
      <c r="B426" s="11" t="s">
        <v>137</v>
      </c>
      <c r="C426" s="11" t="n">
        <v>13</v>
      </c>
      <c r="D426" s="11" t="s">
        <v>166</v>
      </c>
      <c r="E426" s="11" t="s">
        <v>167</v>
      </c>
      <c r="F426" s="11" t="s">
        <v>80</v>
      </c>
      <c r="G426" s="12" t="n">
        <v>130</v>
      </c>
      <c r="H426" s="12" t="n">
        <f aca="false">SUMPRODUCT(ПОТОКИ!B11:G11,ЧАСОВЫЕ_ПРОФИЛИ!B24:G24,КОЭФФИЦИЕНТЫ_ВЫБОРА!F23:K23)</f>
        <v>0.44</v>
      </c>
      <c r="I426" s="12" t="n">
        <f aca="false">SUMPRODUCT(ПОТОКИ!B11:G11,ЧАСОВЫЕ_ПРОФИЛИ!B24:G24,КОЭФФИЦИЕНТЫ_ВЫБОРА!F23:K23,ПАРАМЕТРЫ!$B$17:$G$17)</f>
        <v>0.484</v>
      </c>
      <c r="J426" s="12" t="n">
        <f aca="false">I426*G426/1000</f>
        <v>0.06292</v>
      </c>
      <c r="K426" s="11" t="s">
        <v>217</v>
      </c>
      <c r="L426" s="11" t="s">
        <v>19</v>
      </c>
      <c r="M426" s="11" t="s">
        <v>145</v>
      </c>
    </row>
    <row r="427" customFormat="false" ht="15" hidden="false" customHeight="false" outlineLevel="0" collapsed="false">
      <c r="A427" s="11" t="s">
        <v>107</v>
      </c>
      <c r="B427" s="11" t="s">
        <v>137</v>
      </c>
      <c r="C427" s="11" t="n">
        <v>14</v>
      </c>
      <c r="D427" s="11" t="s">
        <v>166</v>
      </c>
      <c r="E427" s="11" t="s">
        <v>168</v>
      </c>
      <c r="F427" s="11" t="s">
        <v>80</v>
      </c>
      <c r="G427" s="12" t="n">
        <v>250</v>
      </c>
      <c r="H427" s="12" t="n">
        <f aca="false">SUMPRODUCT(ПОТОКИ!B11:G11,ЧАСОВЫЕ_ПРОФИЛИ!B24:G24,КОЭФФИЦИЕНТЫ_ВЫБОРА!F24:K24)</f>
        <v>0.342</v>
      </c>
      <c r="I427" s="12" t="n">
        <f aca="false">SUMPRODUCT(ПОТОКИ!B11:G11,ЧАСОВЫЕ_ПРОФИЛИ!B24:G24,КОЭФФИЦИЕНТЫ_ВЫБОРА!F24:K24,ПАРАМЕТРЫ!$B$17:$G$17)</f>
        <v>0.3762</v>
      </c>
      <c r="J427" s="12" t="n">
        <f aca="false">I427*G427/1000</f>
        <v>0.09405</v>
      </c>
      <c r="K427" s="11" t="s">
        <v>217</v>
      </c>
      <c r="L427" s="11" t="s">
        <v>19</v>
      </c>
      <c r="M427" s="11" t="s">
        <v>145</v>
      </c>
    </row>
    <row r="428" customFormat="false" ht="15" hidden="false" customHeight="false" outlineLevel="0" collapsed="false">
      <c r="A428" s="11" t="s">
        <v>107</v>
      </c>
      <c r="B428" s="11" t="s">
        <v>137</v>
      </c>
      <c r="C428" s="11" t="n">
        <v>15</v>
      </c>
      <c r="D428" s="11" t="s">
        <v>166</v>
      </c>
      <c r="E428" s="11" t="s">
        <v>169</v>
      </c>
      <c r="F428" s="11" t="s">
        <v>80</v>
      </c>
      <c r="G428" s="12" t="n">
        <v>120</v>
      </c>
      <c r="H428" s="12" t="n">
        <f aca="false">SUMPRODUCT(ПОТОКИ!B11:G11,ЧАСОВЫЕ_ПРОФИЛИ!B24:G24,КОЭФФИЦИЕНТЫ_ВЫБОРА!F25:K25)</f>
        <v>0.252</v>
      </c>
      <c r="I428" s="12" t="n">
        <f aca="false">SUMPRODUCT(ПОТОКИ!B11:G11,ЧАСОВЫЕ_ПРОФИЛИ!B24:G24,КОЭФФИЦИЕНТЫ_ВЫБОРА!F25:K25,ПАРАМЕТРЫ!$B$17:$G$17)</f>
        <v>0.2772</v>
      </c>
      <c r="J428" s="12" t="n">
        <f aca="false">I428*G428/1000</f>
        <v>0.033264</v>
      </c>
      <c r="K428" s="11" t="s">
        <v>217</v>
      </c>
      <c r="L428" s="11" t="s">
        <v>19</v>
      </c>
      <c r="M428" s="11" t="s">
        <v>145</v>
      </c>
    </row>
    <row r="429" customFormat="false" ht="15" hidden="false" customHeight="false" outlineLevel="0" collapsed="false">
      <c r="A429" s="11" t="s">
        <v>107</v>
      </c>
      <c r="B429" s="11" t="s">
        <v>137</v>
      </c>
      <c r="C429" s="11" t="n">
        <v>16</v>
      </c>
      <c r="D429" s="11" t="s">
        <v>166</v>
      </c>
      <c r="E429" s="11" t="s">
        <v>170</v>
      </c>
      <c r="F429" s="11" t="s">
        <v>80</v>
      </c>
      <c r="G429" s="12" t="n">
        <v>180</v>
      </c>
      <c r="H429" s="12" t="n">
        <f aca="false">SUMPRODUCT(ПОТОКИ!B11:G11,ЧАСОВЫЕ_ПРОФИЛИ!B24:G24,КОЭФФИЦИЕНТЫ_ВЫБОРА!F26:K26)</f>
        <v>0.406</v>
      </c>
      <c r="I429" s="12" t="n">
        <f aca="false">SUMPRODUCT(ПОТОКИ!B11:G11,ЧАСОВЫЕ_ПРОФИЛИ!B24:G24,КОЭФФИЦИЕНТЫ_ВЫБОРА!F26:K26,ПАРАМЕТРЫ!$B$17:$G$17)</f>
        <v>0.4466</v>
      </c>
      <c r="J429" s="12" t="n">
        <f aca="false">I429*G429/1000</f>
        <v>0.080388</v>
      </c>
      <c r="K429" s="11" t="s">
        <v>217</v>
      </c>
      <c r="L429" s="11" t="s">
        <v>19</v>
      </c>
      <c r="M429" s="11" t="s">
        <v>145</v>
      </c>
    </row>
    <row r="430" customFormat="false" ht="15" hidden="false" customHeight="false" outlineLevel="0" collapsed="false">
      <c r="A430" s="11" t="s">
        <v>107</v>
      </c>
      <c r="B430" s="11" t="s">
        <v>137</v>
      </c>
      <c r="C430" s="11" t="n">
        <v>17</v>
      </c>
      <c r="D430" s="11" t="s">
        <v>166</v>
      </c>
      <c r="E430" s="11" t="s">
        <v>171</v>
      </c>
      <c r="F430" s="11" t="s">
        <v>80</v>
      </c>
      <c r="G430" s="12" t="n">
        <v>180</v>
      </c>
      <c r="H430" s="12" t="n">
        <f aca="false">SUMPRODUCT(ПОТОКИ!B11:G11,ЧАСОВЫЕ_ПРОФИЛИ!B24:G24,КОЭФФИЦИЕНТЫ_ВЫБОРА!F27:K27)</f>
        <v>0.44</v>
      </c>
      <c r="I430" s="12" t="n">
        <f aca="false">SUMPRODUCT(ПОТОКИ!B11:G11,ЧАСОВЫЕ_ПРОФИЛИ!B24:G24,КОЭФФИЦИЕНТЫ_ВЫБОРА!F27:K27,ПАРАМЕТРЫ!$B$17:$G$17)</f>
        <v>0.484</v>
      </c>
      <c r="J430" s="12" t="n">
        <f aca="false">I430*G430/1000</f>
        <v>0.08712</v>
      </c>
      <c r="K430" s="11" t="s">
        <v>217</v>
      </c>
      <c r="L430" s="11" t="s">
        <v>19</v>
      </c>
      <c r="M430" s="11" t="s">
        <v>145</v>
      </c>
    </row>
    <row r="431" customFormat="false" ht="15" hidden="false" customHeight="false" outlineLevel="0" collapsed="false">
      <c r="A431" s="11" t="s">
        <v>107</v>
      </c>
      <c r="B431" s="11" t="s">
        <v>137</v>
      </c>
      <c r="C431" s="11" t="n">
        <v>18</v>
      </c>
      <c r="D431" s="11" t="s">
        <v>172</v>
      </c>
      <c r="E431" s="11" t="s">
        <v>173</v>
      </c>
      <c r="F431" s="11" t="s">
        <v>83</v>
      </c>
      <c r="G431" s="12" t="n">
        <v>400</v>
      </c>
      <c r="H431" s="12" t="n">
        <f aca="false">SUMPRODUCT(ПОТОКИ!B11:G11,ЧАСОВЫЕ_ПРОФИЛИ!B24:G24,КОЭФФИЦИЕНТЫ_ВЫБОРА!F28:K28)</f>
        <v>0.64</v>
      </c>
      <c r="I431" s="12" t="n">
        <f aca="false">SUMPRODUCT(ПОТОКИ!B11:G11,ЧАСОВЫЕ_ПРОФИЛИ!B24:G24,КОЭФФИЦИЕНТЫ_ВЫБОРА!F28:K28,ПАРАМЕТРЫ!$B$17:$G$17)</f>
        <v>0.704</v>
      </c>
      <c r="J431" s="12" t="n">
        <f aca="false">I431*G431/1000</f>
        <v>0.2816</v>
      </c>
      <c r="K431" s="11" t="s">
        <v>217</v>
      </c>
      <c r="L431" s="11" t="s">
        <v>19</v>
      </c>
      <c r="M431" s="11" t="s">
        <v>145</v>
      </c>
    </row>
    <row r="432" customFormat="false" ht="23.85" hidden="false" customHeight="false" outlineLevel="0" collapsed="false">
      <c r="A432" s="11" t="s">
        <v>107</v>
      </c>
      <c r="B432" s="11" t="s">
        <v>137</v>
      </c>
      <c r="C432" s="11" t="n">
        <v>19</v>
      </c>
      <c r="D432" s="11" t="s">
        <v>174</v>
      </c>
      <c r="E432" s="11" t="s">
        <v>175</v>
      </c>
      <c r="F432" s="11" t="s">
        <v>83</v>
      </c>
      <c r="G432" s="12" t="n">
        <v>300</v>
      </c>
      <c r="H432" s="12" t="n">
        <f aca="false">SUMPRODUCT(ПОТОКИ!B11:G11,ЧАСОВЫЕ_ПРОФИЛИ!B24:G24,КОЭФФИЦИЕНТЫ_ВЫБОРА!F29:K29)</f>
        <v>2.213</v>
      </c>
      <c r="I432" s="12" t="n">
        <f aca="false">SUMPRODUCT(ПОТОКИ!B11:G11,ЧАСОВЫЕ_ПРОФИЛИ!B24:G24,КОЭФФИЦИЕНТЫ_ВЫБОРА!F29:K29,ПАРАМЕТРЫ!$B$17:$G$17)</f>
        <v>2.4343</v>
      </c>
      <c r="J432" s="12" t="n">
        <f aca="false">I432*G432/1000</f>
        <v>0.73029</v>
      </c>
      <c r="K432" s="11" t="s">
        <v>217</v>
      </c>
      <c r="L432" s="11" t="s">
        <v>19</v>
      </c>
      <c r="M432" s="11" t="s">
        <v>145</v>
      </c>
    </row>
    <row r="433" customFormat="false" ht="15" hidden="false" customHeight="false" outlineLevel="0" collapsed="false">
      <c r="A433" s="11" t="s">
        <v>107</v>
      </c>
      <c r="B433" s="11" t="s">
        <v>137</v>
      </c>
      <c r="C433" s="11" t="n">
        <v>20</v>
      </c>
      <c r="D433" s="11" t="s">
        <v>174</v>
      </c>
      <c r="E433" s="11" t="s">
        <v>176</v>
      </c>
      <c r="F433" s="11" t="s">
        <v>83</v>
      </c>
      <c r="G433" s="12" t="n">
        <v>360</v>
      </c>
      <c r="H433" s="12" t="n">
        <f aca="false">SUMPRODUCT(ПОТОКИ!B11:G11,ЧАСОВЫЕ_ПРОФИЛИ!B24:G24,КОЭФФИЦИЕНТЫ_ВЫБОРА!F30:K30)</f>
        <v>1.852</v>
      </c>
      <c r="I433" s="12" t="n">
        <f aca="false">SUMPRODUCT(ПОТОКИ!B11:G11,ЧАСОВЫЕ_ПРОФИЛИ!B24:G24,КОЭФФИЦИЕНТЫ_ВЫБОРА!F30:K30,ПАРАМЕТРЫ!$B$17:$G$17)</f>
        <v>2.0372</v>
      </c>
      <c r="J433" s="12" t="n">
        <f aca="false">I433*G433/1000</f>
        <v>0.733392</v>
      </c>
      <c r="K433" s="11" t="s">
        <v>217</v>
      </c>
      <c r="L433" s="11" t="s">
        <v>19</v>
      </c>
      <c r="M433" s="11" t="s">
        <v>145</v>
      </c>
    </row>
    <row r="434" customFormat="false" ht="15" hidden="false" customHeight="false" outlineLevel="0" collapsed="false">
      <c r="A434" s="11" t="s">
        <v>107</v>
      </c>
      <c r="B434" s="11" t="s">
        <v>137</v>
      </c>
      <c r="C434" s="11" t="n">
        <v>21</v>
      </c>
      <c r="D434" s="11" t="s">
        <v>174</v>
      </c>
      <c r="E434" s="11" t="s">
        <v>177</v>
      </c>
      <c r="F434" s="11" t="s">
        <v>83</v>
      </c>
      <c r="G434" s="12" t="n">
        <v>350</v>
      </c>
      <c r="H434" s="12" t="n">
        <f aca="false">SUMPRODUCT(ПОТОКИ!B11:G11,ЧАСОВЫЕ_ПРОФИЛИ!B24:G24,КОЭФФИЦИЕНТЫ_ВЫБОРА!F31:K31)</f>
        <v>2.7015</v>
      </c>
      <c r="I434" s="12" t="n">
        <f aca="false">SUMPRODUCT(ПОТОКИ!B11:G11,ЧАСОВЫЕ_ПРОФИЛИ!B24:G24,КОЭФФИЦИЕНТЫ_ВЫБОРА!F31:K31,ПАРАМЕТРЫ!$B$17:$G$17)</f>
        <v>2.97165</v>
      </c>
      <c r="J434" s="12" t="n">
        <f aca="false">I434*G434/1000</f>
        <v>1.0400775</v>
      </c>
      <c r="K434" s="11" t="s">
        <v>217</v>
      </c>
      <c r="L434" s="11" t="s">
        <v>19</v>
      </c>
      <c r="M434" s="11" t="s">
        <v>145</v>
      </c>
    </row>
    <row r="435" customFormat="false" ht="15" hidden="false" customHeight="false" outlineLevel="0" collapsed="false">
      <c r="A435" s="11" t="s">
        <v>107</v>
      </c>
      <c r="B435" s="11" t="s">
        <v>137</v>
      </c>
      <c r="C435" s="11" t="n">
        <v>22</v>
      </c>
      <c r="D435" s="11" t="s">
        <v>174</v>
      </c>
      <c r="E435" s="11" t="s">
        <v>178</v>
      </c>
      <c r="F435" s="11" t="s">
        <v>83</v>
      </c>
      <c r="G435" s="12" t="n">
        <v>300</v>
      </c>
      <c r="H435" s="12" t="n">
        <f aca="false">SUMPRODUCT(ПОТОКИ!B11:G11,ЧАСОВЫЕ_ПРОФИЛИ!B24:G24,КОЭФФИЦИЕНТЫ_ВЫБОРА!F32:K32)</f>
        <v>1.9835</v>
      </c>
      <c r="I435" s="12" t="n">
        <f aca="false">SUMPRODUCT(ПОТОКИ!B11:G11,ЧАСОВЫЕ_ПРОФИЛИ!B24:G24,КОЭФФИЦИЕНТЫ_ВЫБОРА!F32:K32,ПАРАМЕТРЫ!$B$17:$G$17)</f>
        <v>2.18185</v>
      </c>
      <c r="J435" s="12" t="n">
        <f aca="false">I435*G435/1000</f>
        <v>0.654555</v>
      </c>
      <c r="K435" s="11" t="s">
        <v>217</v>
      </c>
      <c r="L435" s="11" t="s">
        <v>19</v>
      </c>
      <c r="M435" s="11" t="s">
        <v>145</v>
      </c>
    </row>
    <row r="436" customFormat="false" ht="15" hidden="false" customHeight="false" outlineLevel="0" collapsed="false">
      <c r="A436" s="11" t="s">
        <v>107</v>
      </c>
      <c r="B436" s="11" t="s">
        <v>137</v>
      </c>
      <c r="C436" s="11" t="n">
        <v>23</v>
      </c>
      <c r="D436" s="11" t="s">
        <v>86</v>
      </c>
      <c r="E436" s="11" t="s">
        <v>179</v>
      </c>
      <c r="F436" s="11" t="s">
        <v>85</v>
      </c>
      <c r="G436" s="12" t="n">
        <v>150</v>
      </c>
      <c r="H436" s="12" t="n">
        <f aca="false">SUMPRODUCT(ПОТОКИ!B11:G11,ЧАСОВЫЕ_ПРОФИЛИ!B24:G24,КОЭФФИЦИЕНТЫ_ВЫБОРА!F33:K33)</f>
        <v>1.6856425</v>
      </c>
      <c r="I436" s="12" t="n">
        <f aca="false">SUMPRODUCT(ПОТОКИ!B11:G11,ЧАСОВЫЕ_ПРОФИЛИ!B24:G24,КОЭФФИЦИЕНТЫ_ВЫБОРА!F33:K33,ПАРАМЕТРЫ!$B$17:$G$17)</f>
        <v>1.85420675</v>
      </c>
      <c r="J436" s="12" t="n">
        <f aca="false">I436*G436/1000</f>
        <v>0.2781310125</v>
      </c>
      <c r="K436" s="11" t="s">
        <v>217</v>
      </c>
      <c r="L436" s="11" t="s">
        <v>19</v>
      </c>
      <c r="M436" s="11" t="s">
        <v>147</v>
      </c>
    </row>
    <row r="437" customFormat="false" ht="15" hidden="false" customHeight="false" outlineLevel="0" collapsed="false">
      <c r="A437" s="11" t="s">
        <v>107</v>
      </c>
      <c r="B437" s="11" t="s">
        <v>137</v>
      </c>
      <c r="C437" s="11" t="n">
        <v>24</v>
      </c>
      <c r="D437" s="11" t="s">
        <v>86</v>
      </c>
      <c r="E437" s="11" t="s">
        <v>180</v>
      </c>
      <c r="F437" s="11" t="s">
        <v>85</v>
      </c>
      <c r="G437" s="12" t="n">
        <v>150</v>
      </c>
      <c r="H437" s="12" t="n">
        <f aca="false">SUMPRODUCT(ПОТОКИ!B11:G11,ЧАСОВЫЕ_ПРОФИЛИ!B24:G24,КОЭФФИЦИЕНТЫ_ВЫБОРА!F34:K34)</f>
        <v>0.89159</v>
      </c>
      <c r="I437" s="12" t="n">
        <f aca="false">SUMPRODUCT(ПОТОКИ!B11:G11,ЧАСОВЫЕ_ПРОФИЛИ!B24:G24,КОЭФФИЦИЕНТЫ_ВЫБОРА!F34:K34,ПАРАМЕТРЫ!$B$17:$G$17)</f>
        <v>0.980749</v>
      </c>
      <c r="J437" s="12" t="n">
        <f aca="false">I437*G437/1000</f>
        <v>0.14711235</v>
      </c>
      <c r="K437" s="11" t="s">
        <v>217</v>
      </c>
      <c r="L437" s="11" t="s">
        <v>19</v>
      </c>
      <c r="M437" s="11" t="s">
        <v>147</v>
      </c>
    </row>
    <row r="438" customFormat="false" ht="15" hidden="false" customHeight="false" outlineLevel="0" collapsed="false">
      <c r="A438" s="11" t="s">
        <v>107</v>
      </c>
      <c r="B438" s="11" t="s">
        <v>137</v>
      </c>
      <c r="C438" s="11" t="n">
        <v>25</v>
      </c>
      <c r="D438" s="11" t="s">
        <v>86</v>
      </c>
      <c r="E438" s="11" t="s">
        <v>181</v>
      </c>
      <c r="F438" s="11" t="s">
        <v>85</v>
      </c>
      <c r="G438" s="12" t="n">
        <v>150</v>
      </c>
      <c r="H438" s="12" t="n">
        <f aca="false">SUMPRODUCT(ПОТОКИ!B11:G11,ЧАСОВЫЕ_ПРОФИЛИ!B24:G24,КОЭФФИЦИЕНТЫ_ВЫБОРА!F35:K35)</f>
        <v>1.8807175</v>
      </c>
      <c r="I438" s="12" t="n">
        <f aca="false">SUMPRODUCT(ПОТОКИ!B11:G11,ЧАСОВЫЕ_ПРОФИЛИ!B24:G24,КОЭФФИЦИЕНТЫ_ВЫБОРА!F35:K35,ПАРАМЕТРЫ!$B$17:$G$17)</f>
        <v>2.06878925</v>
      </c>
      <c r="J438" s="12" t="n">
        <f aca="false">I438*G438/1000</f>
        <v>0.3103183875</v>
      </c>
      <c r="K438" s="11" t="s">
        <v>217</v>
      </c>
      <c r="L438" s="11" t="s">
        <v>19</v>
      </c>
      <c r="M438" s="11" t="s">
        <v>147</v>
      </c>
    </row>
    <row r="439" customFormat="false" ht="23.85" hidden="false" customHeight="false" outlineLevel="0" collapsed="false">
      <c r="A439" s="11" t="s">
        <v>107</v>
      </c>
      <c r="B439" s="11" t="s">
        <v>137</v>
      </c>
      <c r="C439" s="11" t="n">
        <v>26</v>
      </c>
      <c r="D439" s="11" t="s">
        <v>89</v>
      </c>
      <c r="E439" s="11" t="s">
        <v>182</v>
      </c>
      <c r="F439" s="11" t="s">
        <v>88</v>
      </c>
      <c r="G439" s="12" t="n">
        <v>225</v>
      </c>
      <c r="H439" s="12" t="n">
        <f aca="false">SUMPRODUCT(ПОТОКИ!B11:G11,ЧАСОВЫЕ_ПРОФИЛИ!B24:G24,КОЭФФИЦИЕНТЫ_ВЫБОРА!F36:K36)</f>
        <v>0</v>
      </c>
      <c r="I439" s="12" t="n">
        <f aca="false">SUMPRODUCT(ПОТОКИ!B11:G11,ЧАСОВЫЕ_ПРОФИЛИ!B24:G24,КОЭФФИЦИЕНТЫ_ВЫБОРА!F36:K36,ПАРАМЕТРЫ!$B$17:$G$17)</f>
        <v>0</v>
      </c>
      <c r="J439" s="12" t="n">
        <f aca="false">I439*G439/1000</f>
        <v>0</v>
      </c>
      <c r="K439" s="11" t="s">
        <v>217</v>
      </c>
      <c r="L439" s="11" t="s">
        <v>19</v>
      </c>
      <c r="M439" s="11" t="s">
        <v>145</v>
      </c>
    </row>
    <row r="440" customFormat="false" ht="23.85" hidden="false" customHeight="false" outlineLevel="0" collapsed="false">
      <c r="A440" s="11" t="s">
        <v>107</v>
      </c>
      <c r="B440" s="11" t="s">
        <v>137</v>
      </c>
      <c r="C440" s="11" t="n">
        <v>27</v>
      </c>
      <c r="D440" s="11" t="s">
        <v>89</v>
      </c>
      <c r="E440" s="11" t="s">
        <v>183</v>
      </c>
      <c r="F440" s="11" t="s">
        <v>88</v>
      </c>
      <c r="G440" s="12" t="n">
        <v>265</v>
      </c>
      <c r="H440" s="12" t="n">
        <f aca="false">SUMPRODUCT(ПОТОКИ!B11:G11,ЧАСОВЫЕ_ПРОФИЛИ!B24:G24,КОЭФФИЦИЕНТЫ_ВЫБОРА!F37:K37)</f>
        <v>0</v>
      </c>
      <c r="I440" s="12" t="n">
        <f aca="false">SUMPRODUCT(ПОТОКИ!B11:G11,ЧАСОВЫЕ_ПРОФИЛИ!B24:G24,КОЭФФИЦИЕНТЫ_ВЫБОРА!F37:K37,ПАРАМЕТРЫ!$B$17:$G$17)</f>
        <v>0</v>
      </c>
      <c r="J440" s="12" t="n">
        <f aca="false">I440*G440/1000</f>
        <v>0</v>
      </c>
      <c r="K440" s="11" t="s">
        <v>217</v>
      </c>
      <c r="L440" s="11" t="s">
        <v>19</v>
      </c>
      <c r="M440" s="11" t="s">
        <v>145</v>
      </c>
    </row>
    <row r="441" customFormat="false" ht="23.85" hidden="false" customHeight="false" outlineLevel="0" collapsed="false">
      <c r="A441" s="11" t="s">
        <v>107</v>
      </c>
      <c r="B441" s="11" t="s">
        <v>137</v>
      </c>
      <c r="C441" s="11" t="n">
        <v>28</v>
      </c>
      <c r="D441" s="11" t="s">
        <v>89</v>
      </c>
      <c r="E441" s="11" t="s">
        <v>184</v>
      </c>
      <c r="F441" s="11" t="s">
        <v>88</v>
      </c>
      <c r="G441" s="12" t="n">
        <v>355</v>
      </c>
      <c r="H441" s="12" t="n">
        <f aca="false">SUMPRODUCT(ПОТОКИ!B11:G11,ЧАСОВЫЕ_ПРОФИЛИ!B24:G24,КОЭФФИЦИЕНТЫ_ВЫБОРА!F38:K38)</f>
        <v>0</v>
      </c>
      <c r="I441" s="12" t="n">
        <f aca="false">SUMPRODUCT(ПОТОКИ!B11:G11,ЧАСОВЫЕ_ПРОФИЛИ!B24:G24,КОЭФФИЦИЕНТЫ_ВЫБОРА!F38:K38,ПАРАМЕТРЫ!$B$17:$G$17)</f>
        <v>0</v>
      </c>
      <c r="J441" s="12" t="n">
        <f aca="false">I441*G441/1000</f>
        <v>0</v>
      </c>
      <c r="K441" s="11" t="s">
        <v>217</v>
      </c>
      <c r="L441" s="11" t="s">
        <v>19</v>
      </c>
      <c r="M441" s="11" t="s">
        <v>145</v>
      </c>
    </row>
    <row r="442" customFormat="false" ht="15" hidden="false" customHeight="false" outlineLevel="0" collapsed="false">
      <c r="A442" s="11" t="s">
        <v>107</v>
      </c>
      <c r="B442" s="11" t="s">
        <v>137</v>
      </c>
      <c r="C442" s="11" t="n">
        <v>29</v>
      </c>
      <c r="D442" s="11" t="s">
        <v>92</v>
      </c>
      <c r="E442" s="11" t="s">
        <v>185</v>
      </c>
      <c r="F442" s="11" t="s">
        <v>91</v>
      </c>
      <c r="G442" s="12" t="n">
        <v>150</v>
      </c>
      <c r="H442" s="12" t="n">
        <f aca="false">SUMPRODUCT(ПОТОКИ!B11:G11,ЧАСОВЫЕ_ПРОФИЛИ!B24:G24,КОЭФФИЦИЕНТЫ_ВЫБОРА!F39:K39)</f>
        <v>0.456</v>
      </c>
      <c r="I442" s="12" t="n">
        <f aca="false">SUMPRODUCT(ПОТОКИ!B11:G11,ЧАСОВЫЕ_ПРОФИЛИ!B24:G24,КОЭФФИЦИЕНТЫ_ВЫБОРА!F39:K39,ПАРАМЕТРЫ!$B$17:$G$17)</f>
        <v>0.5016</v>
      </c>
      <c r="J442" s="12" t="n">
        <f aca="false">I442*G442/1000</f>
        <v>0.07524</v>
      </c>
      <c r="K442" s="11" t="s">
        <v>217</v>
      </c>
      <c r="L442" s="11" t="s">
        <v>19</v>
      </c>
      <c r="M442" s="11" t="s">
        <v>145</v>
      </c>
    </row>
    <row r="443" customFormat="false" ht="15" hidden="false" customHeight="false" outlineLevel="0" collapsed="false">
      <c r="A443" s="11" t="s">
        <v>107</v>
      </c>
      <c r="B443" s="11" t="s">
        <v>137</v>
      </c>
      <c r="C443" s="11" t="n">
        <v>30</v>
      </c>
      <c r="D443" s="11" t="s">
        <v>92</v>
      </c>
      <c r="E443" s="11" t="s">
        <v>186</v>
      </c>
      <c r="F443" s="11" t="s">
        <v>91</v>
      </c>
      <c r="G443" s="12" t="n">
        <v>120</v>
      </c>
      <c r="H443" s="12" t="n">
        <f aca="false">SUMPRODUCT(ПОТОКИ!B11:G11,ЧАСОВЫЕ_ПРОФИЛИ!B24:G24,КОЭФФИЦИЕНТЫ_ВЫБОРА!F40:K40)</f>
        <v>0.756</v>
      </c>
      <c r="I443" s="12" t="n">
        <f aca="false">SUMPRODUCT(ПОТОКИ!B11:G11,ЧАСОВЫЕ_ПРОФИЛИ!B24:G24,КОЭФФИЦИЕНТЫ_ВЫБОРА!F40:K40,ПАРАМЕТРЫ!$B$17:$G$17)</f>
        <v>0.8316</v>
      </c>
      <c r="J443" s="12" t="n">
        <f aca="false">I443*G443/1000</f>
        <v>0.099792</v>
      </c>
      <c r="K443" s="11" t="s">
        <v>217</v>
      </c>
      <c r="L443" s="11" t="s">
        <v>19</v>
      </c>
      <c r="M443" s="11" t="s">
        <v>145</v>
      </c>
    </row>
    <row r="444" customFormat="false" ht="15" hidden="false" customHeight="false" outlineLevel="0" collapsed="false">
      <c r="A444" s="11" t="s">
        <v>107</v>
      </c>
      <c r="B444" s="11" t="s">
        <v>137</v>
      </c>
      <c r="C444" s="11" t="n">
        <v>31</v>
      </c>
      <c r="D444" s="11" t="s">
        <v>92</v>
      </c>
      <c r="E444" s="11" t="s">
        <v>187</v>
      </c>
      <c r="F444" s="11" t="s">
        <v>91</v>
      </c>
      <c r="G444" s="12" t="n">
        <v>60</v>
      </c>
      <c r="H444" s="12" t="n">
        <f aca="false">SUMPRODUCT(ПОТОКИ!B11:G11,ЧАСОВЫЕ_ПРОФИЛИ!B24:G24,КОЭФФИЦИЕНТЫ_ВЫБОРА!F41:K41)</f>
        <v>0.288</v>
      </c>
      <c r="I444" s="12" t="n">
        <f aca="false">SUMPRODUCT(ПОТОКИ!B11:G11,ЧАСОВЫЕ_ПРОФИЛИ!B24:G24,КОЭФФИЦИЕНТЫ_ВЫБОРА!F41:K41,ПАРАМЕТРЫ!$B$17:$G$17)</f>
        <v>0.3168</v>
      </c>
      <c r="J444" s="12" t="n">
        <f aca="false">I444*G444/1000</f>
        <v>0.019008</v>
      </c>
      <c r="K444" s="11" t="s">
        <v>217</v>
      </c>
      <c r="L444" s="11" t="s">
        <v>19</v>
      </c>
      <c r="M444" s="11" t="s">
        <v>145</v>
      </c>
    </row>
    <row r="445" customFormat="false" ht="15" hidden="false" customHeight="false" outlineLevel="0" collapsed="false">
      <c r="A445" s="11" t="s">
        <v>107</v>
      </c>
      <c r="B445" s="11" t="s">
        <v>138</v>
      </c>
      <c r="C445" s="11" t="n">
        <v>1</v>
      </c>
      <c r="D445" s="11" t="s">
        <v>74</v>
      </c>
      <c r="E445" s="11" t="s">
        <v>153</v>
      </c>
      <c r="F445" s="11" t="s">
        <v>73</v>
      </c>
      <c r="G445" s="12" t="n">
        <v>450</v>
      </c>
      <c r="H445" s="12" t="n">
        <f aca="false">SUMPRODUCT(ПОТОКИ!B11:G11,ЧАСОВЫЕ_ПРОФИЛИ!B25:G25,КОЭФФИЦИЕНТЫ_ВЫБОРА!F11:K11)</f>
        <v>0.281</v>
      </c>
      <c r="I445" s="12" t="n">
        <f aca="false">SUMPRODUCT(ПОТОКИ!B11:G11,ЧАСОВЫЕ_ПРОФИЛИ!B25:G25,КОЭФФИЦИЕНТЫ_ВЫБОРА!F11:K11,ПАРАМЕТРЫ!$B$17:$G$17)</f>
        <v>0.3091</v>
      </c>
      <c r="J445" s="12" t="n">
        <f aca="false">I445*G445/1000</f>
        <v>0.139095</v>
      </c>
      <c r="K445" s="11" t="s">
        <v>217</v>
      </c>
      <c r="L445" s="11" t="s">
        <v>19</v>
      </c>
      <c r="M445" s="11" t="s">
        <v>145</v>
      </c>
    </row>
    <row r="446" customFormat="false" ht="15" hidden="false" customHeight="false" outlineLevel="0" collapsed="false">
      <c r="A446" s="11" t="s">
        <v>107</v>
      </c>
      <c r="B446" s="11" t="s">
        <v>138</v>
      </c>
      <c r="C446" s="11" t="n">
        <v>2</v>
      </c>
      <c r="D446" s="11" t="s">
        <v>74</v>
      </c>
      <c r="E446" s="11" t="s">
        <v>154</v>
      </c>
      <c r="F446" s="11" t="s">
        <v>73</v>
      </c>
      <c r="G446" s="12" t="n">
        <v>480</v>
      </c>
      <c r="H446" s="12" t="n">
        <f aca="false">SUMPRODUCT(ПОТОКИ!B11:G11,ЧАСОВЫЕ_ПРОФИЛИ!B25:G25,КОЭФФИЦИЕНТЫ_ВЫБОРА!F12:K12)</f>
        <v>0.4605</v>
      </c>
      <c r="I446" s="12" t="n">
        <f aca="false">SUMPRODUCT(ПОТОКИ!B11:G11,ЧАСОВЫЕ_ПРОФИЛИ!B25:G25,КОЭФФИЦИЕНТЫ_ВЫБОРА!F12:K12,ПАРАМЕТРЫ!$B$17:$G$17)</f>
        <v>0.50655</v>
      </c>
      <c r="J446" s="12" t="n">
        <f aca="false">I446*G446/1000</f>
        <v>0.243144</v>
      </c>
      <c r="K446" s="11" t="s">
        <v>217</v>
      </c>
      <c r="L446" s="11" t="s">
        <v>19</v>
      </c>
      <c r="M446" s="11" t="s">
        <v>145</v>
      </c>
    </row>
    <row r="447" customFormat="false" ht="15" hidden="false" customHeight="false" outlineLevel="0" collapsed="false">
      <c r="A447" s="11" t="s">
        <v>107</v>
      </c>
      <c r="B447" s="11" t="s">
        <v>138</v>
      </c>
      <c r="C447" s="11" t="n">
        <v>3</v>
      </c>
      <c r="D447" s="11" t="s">
        <v>74</v>
      </c>
      <c r="E447" s="11" t="s">
        <v>155</v>
      </c>
      <c r="F447" s="11" t="s">
        <v>73</v>
      </c>
      <c r="G447" s="12" t="n">
        <v>500</v>
      </c>
      <c r="H447" s="12" t="n">
        <f aca="false">SUMPRODUCT(ПОТОКИ!B11:G11,ЧАСОВЫЕ_ПРОФИЛИ!B25:G25,КОЭФФИЦИЕНТЫ_ВЫБОРА!F13:K13)</f>
        <v>0.6595</v>
      </c>
      <c r="I447" s="12" t="n">
        <f aca="false">SUMPRODUCT(ПОТОКИ!B11:G11,ЧАСОВЫЕ_ПРОФИЛИ!B25:G25,КОЭФФИЦИЕНТЫ_ВЫБОРА!F13:K13,ПАРАМЕТРЫ!$B$17:$G$17)</f>
        <v>0.72545</v>
      </c>
      <c r="J447" s="12" t="n">
        <f aca="false">I447*G447/1000</f>
        <v>0.362725</v>
      </c>
      <c r="K447" s="11" t="s">
        <v>217</v>
      </c>
      <c r="L447" s="11" t="s">
        <v>19</v>
      </c>
      <c r="M447" s="11" t="s">
        <v>145</v>
      </c>
    </row>
    <row r="448" customFormat="false" ht="15" hidden="false" customHeight="false" outlineLevel="0" collapsed="false">
      <c r="A448" s="11" t="s">
        <v>107</v>
      </c>
      <c r="B448" s="11" t="s">
        <v>138</v>
      </c>
      <c r="C448" s="11" t="n">
        <v>4</v>
      </c>
      <c r="D448" s="11" t="s">
        <v>74</v>
      </c>
      <c r="E448" s="11" t="s">
        <v>156</v>
      </c>
      <c r="F448" s="11" t="s">
        <v>73</v>
      </c>
      <c r="G448" s="12" t="n">
        <v>500</v>
      </c>
      <c r="H448" s="12" t="n">
        <f aca="false">SUMPRODUCT(ПОТОКИ!B11:G11,ЧАСОВЫЕ_ПРОФИЛИ!B25:G25,КОЭФФИЦИЕНТЫ_ВЫБОРА!F14:K14)</f>
        <v>0.839</v>
      </c>
      <c r="I448" s="12" t="n">
        <f aca="false">SUMPRODUCT(ПОТОКИ!B11:G11,ЧАСОВЫЕ_ПРОФИЛИ!B25:G25,КОЭФФИЦИЕНТЫ_ВЫБОРА!F14:K14,ПАРАМЕТРЫ!$B$17:$G$17)</f>
        <v>0.9229</v>
      </c>
      <c r="J448" s="12" t="n">
        <f aca="false">I448*G448/1000</f>
        <v>0.46145</v>
      </c>
      <c r="K448" s="11" t="s">
        <v>217</v>
      </c>
      <c r="L448" s="11" t="s">
        <v>19</v>
      </c>
      <c r="M448" s="11" t="s">
        <v>145</v>
      </c>
    </row>
    <row r="449" customFormat="false" ht="15" hidden="false" customHeight="false" outlineLevel="0" collapsed="false">
      <c r="A449" s="11" t="s">
        <v>107</v>
      </c>
      <c r="B449" s="11" t="s">
        <v>138</v>
      </c>
      <c r="C449" s="11" t="n">
        <v>5</v>
      </c>
      <c r="D449" s="11" t="s">
        <v>78</v>
      </c>
      <c r="E449" s="11" t="s">
        <v>157</v>
      </c>
      <c r="F449" s="11" t="s">
        <v>77</v>
      </c>
      <c r="G449" s="12" t="n">
        <v>100</v>
      </c>
      <c r="H449" s="12" t="n">
        <f aca="false">SUMPRODUCT(ПОТОКИ!B11:G11,ЧАСОВЫЕ_ПРОФИЛИ!B25:G25,КОЭФФИЦИЕНТЫ_ВЫБОРА!F15:K15)</f>
        <v>0.32</v>
      </c>
      <c r="I449" s="12" t="n">
        <f aca="false">SUMPRODUCT(ПОТОКИ!B11:G11,ЧАСОВЫЕ_ПРОФИЛИ!B25:G25,КОЭФФИЦИЕНТЫ_ВЫБОРА!F15:K15,ПАРАМЕТРЫ!$B$17:$G$17)</f>
        <v>0.352</v>
      </c>
      <c r="J449" s="12" t="n">
        <f aca="false">I449*G449/1000</f>
        <v>0.0352</v>
      </c>
      <c r="K449" s="11" t="s">
        <v>217</v>
      </c>
      <c r="L449" s="11" t="s">
        <v>19</v>
      </c>
      <c r="M449" s="11" t="s">
        <v>147</v>
      </c>
    </row>
    <row r="450" customFormat="false" ht="15" hidden="false" customHeight="false" outlineLevel="0" collapsed="false">
      <c r="A450" s="11" t="s">
        <v>107</v>
      </c>
      <c r="B450" s="11" t="s">
        <v>138</v>
      </c>
      <c r="C450" s="11" t="n">
        <v>6</v>
      </c>
      <c r="D450" s="11" t="s">
        <v>78</v>
      </c>
      <c r="E450" s="11" t="s">
        <v>158</v>
      </c>
      <c r="F450" s="11" t="s">
        <v>77</v>
      </c>
      <c r="G450" s="12" t="n">
        <v>100</v>
      </c>
      <c r="H450" s="12" t="n">
        <f aca="false">SUMPRODUCT(ПОТОКИ!B11:G11,ЧАСОВЫЕ_ПРОФИЛИ!B25:G25,КОЭФФИЦИЕНТЫ_ВЫБОРА!F16:K16)</f>
        <v>0.2755</v>
      </c>
      <c r="I450" s="12" t="n">
        <f aca="false">SUMPRODUCT(ПОТОКИ!B11:G11,ЧАСОВЫЕ_ПРОФИЛИ!B25:G25,КОЭФФИЦИЕНТЫ_ВЫБОРА!F16:K16,ПАРАМЕТРЫ!$B$17:$G$17)</f>
        <v>0.30305</v>
      </c>
      <c r="J450" s="12" t="n">
        <f aca="false">I450*G450/1000</f>
        <v>0.030305</v>
      </c>
      <c r="K450" s="11" t="s">
        <v>217</v>
      </c>
      <c r="L450" s="11" t="s">
        <v>19</v>
      </c>
      <c r="M450" s="11" t="s">
        <v>147</v>
      </c>
    </row>
    <row r="451" customFormat="false" ht="15" hidden="false" customHeight="false" outlineLevel="0" collapsed="false">
      <c r="A451" s="11" t="s">
        <v>107</v>
      </c>
      <c r="B451" s="11" t="s">
        <v>138</v>
      </c>
      <c r="C451" s="11" t="n">
        <v>7</v>
      </c>
      <c r="D451" s="11" t="s">
        <v>78</v>
      </c>
      <c r="E451" s="11" t="s">
        <v>159</v>
      </c>
      <c r="F451" s="11" t="s">
        <v>77</v>
      </c>
      <c r="G451" s="12" t="n">
        <v>350</v>
      </c>
      <c r="H451" s="12" t="n">
        <f aca="false">SUMPRODUCT(ПОТОКИ!B11:G11,ЧАСОВЫЕ_ПРОФИЛИ!B25:G25,КОЭФФИЦИЕНТЫ_ВЫБОРА!F17:K17)</f>
        <v>0.256</v>
      </c>
      <c r="I451" s="12" t="n">
        <f aca="false">SUMPRODUCT(ПОТОКИ!B11:G11,ЧАСОВЫЕ_ПРОФИЛИ!B25:G25,КОЭФФИЦИЕНТЫ_ВЫБОРА!F17:K17,ПАРАМЕТРЫ!$B$17:$G$17)</f>
        <v>0.2816</v>
      </c>
      <c r="J451" s="12" t="n">
        <f aca="false">I451*G451/1000</f>
        <v>0.09856</v>
      </c>
      <c r="K451" s="11" t="s">
        <v>217</v>
      </c>
      <c r="L451" s="11" t="s">
        <v>19</v>
      </c>
      <c r="M451" s="11" t="s">
        <v>147</v>
      </c>
    </row>
    <row r="452" customFormat="false" ht="15" hidden="false" customHeight="false" outlineLevel="0" collapsed="false">
      <c r="A452" s="11" t="s">
        <v>107</v>
      </c>
      <c r="B452" s="11" t="s">
        <v>138</v>
      </c>
      <c r="C452" s="11" t="n">
        <v>8</v>
      </c>
      <c r="D452" s="11" t="s">
        <v>78</v>
      </c>
      <c r="E452" s="11" t="s">
        <v>160</v>
      </c>
      <c r="F452" s="11" t="s">
        <v>77</v>
      </c>
      <c r="G452" s="12" t="n">
        <v>85</v>
      </c>
      <c r="H452" s="12" t="n">
        <f aca="false">SUMPRODUCT(ПОТОКИ!B11:G11,ЧАСОВЫЕ_ПРОФИЛИ!B25:G25,КОЭФФИЦИЕНТЫ_ВЫБОРА!F18:K18)</f>
        <v>0.1725</v>
      </c>
      <c r="I452" s="12" t="n">
        <f aca="false">SUMPRODUCT(ПОТОКИ!B11:G11,ЧАСОВЫЕ_ПРОФИЛИ!B25:G25,КОЭФФИЦИЕНТЫ_ВЫБОРА!F18:K18,ПАРАМЕТРЫ!$B$17:$G$17)</f>
        <v>0.18975</v>
      </c>
      <c r="J452" s="12" t="n">
        <f aca="false">I452*G452/1000</f>
        <v>0.01612875</v>
      </c>
      <c r="K452" s="11" t="s">
        <v>217</v>
      </c>
      <c r="L452" s="11" t="s">
        <v>19</v>
      </c>
      <c r="M452" s="11" t="s">
        <v>147</v>
      </c>
    </row>
    <row r="453" customFormat="false" ht="15" hidden="false" customHeight="false" outlineLevel="0" collapsed="false">
      <c r="A453" s="11" t="s">
        <v>107</v>
      </c>
      <c r="B453" s="11" t="s">
        <v>138</v>
      </c>
      <c r="C453" s="11" t="n">
        <v>9</v>
      </c>
      <c r="D453" s="11" t="s">
        <v>161</v>
      </c>
      <c r="E453" s="11" t="s">
        <v>162</v>
      </c>
      <c r="F453" s="11" t="s">
        <v>80</v>
      </c>
      <c r="G453" s="12" t="n">
        <v>300</v>
      </c>
      <c r="H453" s="12" t="n">
        <f aca="false">SUMPRODUCT(ПОТОКИ!B11:G11,ЧАСОВЫЕ_ПРОФИЛИ!B25:G25,КОЭФФИЦИЕНТЫ_ВЫБОРА!F19:K19)</f>
        <v>0.46</v>
      </c>
      <c r="I453" s="12" t="n">
        <f aca="false">SUMPRODUCT(ПОТОКИ!B11:G11,ЧАСОВЫЕ_ПРОФИЛИ!B25:G25,КОЭФФИЦИЕНТЫ_ВЫБОРА!F19:K19,ПАРАМЕТРЫ!$B$17:$G$17)</f>
        <v>0.506</v>
      </c>
      <c r="J453" s="12" t="n">
        <f aca="false">I453*G453/1000</f>
        <v>0.1518</v>
      </c>
      <c r="K453" s="11" t="s">
        <v>217</v>
      </c>
      <c r="L453" s="11" t="s">
        <v>19</v>
      </c>
      <c r="M453" s="11" t="s">
        <v>145</v>
      </c>
    </row>
    <row r="454" customFormat="false" ht="15" hidden="false" customHeight="false" outlineLevel="0" collapsed="false">
      <c r="A454" s="11" t="s">
        <v>107</v>
      </c>
      <c r="B454" s="11" t="s">
        <v>138</v>
      </c>
      <c r="C454" s="11" t="n">
        <v>10</v>
      </c>
      <c r="D454" s="11" t="s">
        <v>161</v>
      </c>
      <c r="E454" s="11" t="s">
        <v>163</v>
      </c>
      <c r="F454" s="11" t="s">
        <v>80</v>
      </c>
      <c r="G454" s="12" t="n">
        <v>280</v>
      </c>
      <c r="H454" s="12" t="n">
        <f aca="false">SUMPRODUCT(ПОТОКИ!B11:G11,ЧАСОВЫЕ_ПРОФИЛИ!B25:G25,КОЭФФИЦИЕНТЫ_ВЫБОРА!F20:K20)</f>
        <v>0.505</v>
      </c>
      <c r="I454" s="12" t="n">
        <f aca="false">SUMPRODUCT(ПОТОКИ!B11:G11,ЧАСОВЫЕ_ПРОФИЛИ!B25:G25,КОЭФФИЦИЕНТЫ_ВЫБОРА!F20:K20,ПАРАМЕТРЫ!$B$17:$G$17)</f>
        <v>0.5555</v>
      </c>
      <c r="J454" s="12" t="n">
        <f aca="false">I454*G454/1000</f>
        <v>0.15554</v>
      </c>
      <c r="K454" s="11" t="s">
        <v>217</v>
      </c>
      <c r="L454" s="11" t="s">
        <v>19</v>
      </c>
      <c r="M454" s="11" t="s">
        <v>145</v>
      </c>
    </row>
    <row r="455" customFormat="false" ht="15" hidden="false" customHeight="false" outlineLevel="0" collapsed="false">
      <c r="A455" s="11" t="s">
        <v>107</v>
      </c>
      <c r="B455" s="11" t="s">
        <v>138</v>
      </c>
      <c r="C455" s="11" t="n">
        <v>11</v>
      </c>
      <c r="D455" s="11" t="s">
        <v>161</v>
      </c>
      <c r="E455" s="11" t="s">
        <v>164</v>
      </c>
      <c r="F455" s="11" t="s">
        <v>80</v>
      </c>
      <c r="G455" s="12" t="n">
        <v>270</v>
      </c>
      <c r="H455" s="12" t="n">
        <f aca="false">SUMPRODUCT(ПОТОКИ!B11:G11,ЧАСОВЫЕ_ПРОФИЛИ!B25:G25,КОЭФФИЦИЕНТЫ_ВЫБОРА!F21:K21)</f>
        <v>0.84475</v>
      </c>
      <c r="I455" s="12" t="n">
        <f aca="false">SUMPRODUCT(ПОТОКИ!B11:G11,ЧАСОВЫЕ_ПРОФИЛИ!B25:G25,КОЭФФИЦИЕНТЫ_ВЫБОРА!F21:K21,ПАРАМЕТРЫ!$B$17:$G$17)</f>
        <v>0.929225</v>
      </c>
      <c r="J455" s="12" t="n">
        <f aca="false">I455*G455/1000</f>
        <v>0.25089075</v>
      </c>
      <c r="K455" s="11" t="s">
        <v>217</v>
      </c>
      <c r="L455" s="11" t="s">
        <v>19</v>
      </c>
      <c r="M455" s="11" t="s">
        <v>145</v>
      </c>
    </row>
    <row r="456" customFormat="false" ht="15" hidden="false" customHeight="false" outlineLevel="0" collapsed="false">
      <c r="A456" s="11" t="s">
        <v>107</v>
      </c>
      <c r="B456" s="11" t="s">
        <v>138</v>
      </c>
      <c r="C456" s="11" t="n">
        <v>12</v>
      </c>
      <c r="D456" s="11" t="s">
        <v>161</v>
      </c>
      <c r="E456" s="11" t="s">
        <v>165</v>
      </c>
      <c r="F456" s="11" t="s">
        <v>80</v>
      </c>
      <c r="G456" s="12" t="n">
        <v>240</v>
      </c>
      <c r="H456" s="12" t="n">
        <f aca="false">SUMPRODUCT(ПОТОКИ!B11:G11,ЧАСОВЫЕ_ПРОФИЛИ!B25:G25,КОЭФФИЦИЕНТЫ_ВЫБОРА!F22:K22)</f>
        <v>0.47525</v>
      </c>
      <c r="I456" s="12" t="n">
        <f aca="false">SUMPRODUCT(ПОТОКИ!B11:G11,ЧАСОВЫЕ_ПРОФИЛИ!B25:G25,КОЭФФИЦИЕНТЫ_ВЫБОРА!F22:K22,ПАРАМЕТРЫ!$B$17:$G$17)</f>
        <v>0.522775</v>
      </c>
      <c r="J456" s="12" t="n">
        <f aca="false">I456*G456/1000</f>
        <v>0.125466</v>
      </c>
      <c r="K456" s="11" t="s">
        <v>217</v>
      </c>
      <c r="L456" s="11" t="s">
        <v>19</v>
      </c>
      <c r="M456" s="11" t="s">
        <v>145</v>
      </c>
    </row>
    <row r="457" customFormat="false" ht="15" hidden="false" customHeight="false" outlineLevel="0" collapsed="false">
      <c r="A457" s="11" t="s">
        <v>107</v>
      </c>
      <c r="B457" s="11" t="s">
        <v>138</v>
      </c>
      <c r="C457" s="11" t="n">
        <v>13</v>
      </c>
      <c r="D457" s="11" t="s">
        <v>166</v>
      </c>
      <c r="E457" s="11" t="s">
        <v>167</v>
      </c>
      <c r="F457" s="11" t="s">
        <v>80</v>
      </c>
      <c r="G457" s="12" t="n">
        <v>130</v>
      </c>
      <c r="H457" s="12" t="n">
        <f aca="false">SUMPRODUCT(ПОТОКИ!B11:G11,ЧАСОВЫЕ_ПРОФИЛИ!B25:G25,КОЭФФИЦИЕНТЫ_ВЫБОРА!F23:K23)</f>
        <v>0.26</v>
      </c>
      <c r="I457" s="12" t="n">
        <f aca="false">SUMPRODUCT(ПОТОКИ!B11:G11,ЧАСОВЫЕ_ПРОФИЛИ!B25:G25,КОЭФФИЦИЕНТЫ_ВЫБОРА!F23:K23,ПАРАМЕТРЫ!$B$17:$G$17)</f>
        <v>0.286</v>
      </c>
      <c r="J457" s="12" t="n">
        <f aca="false">I457*G457/1000</f>
        <v>0.03718</v>
      </c>
      <c r="K457" s="11" t="s">
        <v>217</v>
      </c>
      <c r="L457" s="11" t="s">
        <v>19</v>
      </c>
      <c r="M457" s="11" t="s">
        <v>145</v>
      </c>
    </row>
    <row r="458" customFormat="false" ht="15" hidden="false" customHeight="false" outlineLevel="0" collapsed="false">
      <c r="A458" s="11" t="s">
        <v>107</v>
      </c>
      <c r="B458" s="11" t="s">
        <v>138</v>
      </c>
      <c r="C458" s="11" t="n">
        <v>14</v>
      </c>
      <c r="D458" s="11" t="s">
        <v>166</v>
      </c>
      <c r="E458" s="11" t="s">
        <v>168</v>
      </c>
      <c r="F458" s="11" t="s">
        <v>80</v>
      </c>
      <c r="G458" s="12" t="n">
        <v>250</v>
      </c>
      <c r="H458" s="12" t="n">
        <f aca="false">SUMPRODUCT(ПОТОКИ!B11:G11,ЧАСОВЫЕ_ПРОФИЛИ!B25:G25,КОЭФФИЦИЕНТЫ_ВЫБОРА!F24:K24)</f>
        <v>0.221</v>
      </c>
      <c r="I458" s="12" t="n">
        <f aca="false">SUMPRODUCT(ПОТОКИ!B11:G11,ЧАСОВЫЕ_ПРОФИЛИ!B25:G25,КОЭФФИЦИЕНТЫ_ВЫБОРА!F24:K24,ПАРАМЕТРЫ!$B$17:$G$17)</f>
        <v>0.2431</v>
      </c>
      <c r="J458" s="12" t="n">
        <f aca="false">I458*G458/1000</f>
        <v>0.060775</v>
      </c>
      <c r="K458" s="11" t="s">
        <v>217</v>
      </c>
      <c r="L458" s="11" t="s">
        <v>19</v>
      </c>
      <c r="M458" s="11" t="s">
        <v>145</v>
      </c>
    </row>
    <row r="459" customFormat="false" ht="15" hidden="false" customHeight="false" outlineLevel="0" collapsed="false">
      <c r="A459" s="11" t="s">
        <v>107</v>
      </c>
      <c r="B459" s="11" t="s">
        <v>138</v>
      </c>
      <c r="C459" s="11" t="n">
        <v>15</v>
      </c>
      <c r="D459" s="11" t="s">
        <v>166</v>
      </c>
      <c r="E459" s="11" t="s">
        <v>169</v>
      </c>
      <c r="F459" s="11" t="s">
        <v>80</v>
      </c>
      <c r="G459" s="12" t="n">
        <v>120</v>
      </c>
      <c r="H459" s="12" t="n">
        <f aca="false">SUMPRODUCT(ПОТОКИ!B11:G11,ЧАСОВЫЕ_ПРОФИЛИ!B25:G25,КОЭФФИЦИЕНТЫ_ВЫБОРА!F25:K25)</f>
        <v>0.146</v>
      </c>
      <c r="I459" s="12" t="n">
        <f aca="false">SUMPRODUCT(ПОТОКИ!B11:G11,ЧАСОВЫЕ_ПРОФИЛИ!B25:G25,КОЭФФИЦИЕНТЫ_ВЫБОРА!F25:K25,ПАРАМЕТРЫ!$B$17:$G$17)</f>
        <v>0.1606</v>
      </c>
      <c r="J459" s="12" t="n">
        <f aca="false">I459*G459/1000</f>
        <v>0.019272</v>
      </c>
      <c r="K459" s="11" t="s">
        <v>217</v>
      </c>
      <c r="L459" s="11" t="s">
        <v>19</v>
      </c>
      <c r="M459" s="11" t="s">
        <v>145</v>
      </c>
    </row>
    <row r="460" customFormat="false" ht="15" hidden="false" customHeight="false" outlineLevel="0" collapsed="false">
      <c r="A460" s="11" t="s">
        <v>107</v>
      </c>
      <c r="B460" s="11" t="s">
        <v>138</v>
      </c>
      <c r="C460" s="11" t="n">
        <v>16</v>
      </c>
      <c r="D460" s="11" t="s">
        <v>166</v>
      </c>
      <c r="E460" s="11" t="s">
        <v>170</v>
      </c>
      <c r="F460" s="11" t="s">
        <v>80</v>
      </c>
      <c r="G460" s="12" t="n">
        <v>180</v>
      </c>
      <c r="H460" s="12" t="n">
        <f aca="false">SUMPRODUCT(ПОТОКИ!B11:G11,ЧАСОВЫЕ_ПРОФИЛИ!B25:G25,КОЭФФИЦИЕНТЫ_ВЫБОРА!F26:K26)</f>
        <v>0.253</v>
      </c>
      <c r="I460" s="12" t="n">
        <f aca="false">SUMPRODUCT(ПОТОКИ!B11:G11,ЧАСОВЫЕ_ПРОФИЛИ!B25:G25,КОЭФФИЦИЕНТЫ_ВЫБОРА!F26:K26,ПАРАМЕТРЫ!$B$17:$G$17)</f>
        <v>0.2783</v>
      </c>
      <c r="J460" s="12" t="n">
        <f aca="false">I460*G460/1000</f>
        <v>0.050094</v>
      </c>
      <c r="K460" s="11" t="s">
        <v>217</v>
      </c>
      <c r="L460" s="11" t="s">
        <v>19</v>
      </c>
      <c r="M460" s="11" t="s">
        <v>145</v>
      </c>
    </row>
    <row r="461" customFormat="false" ht="15" hidden="false" customHeight="false" outlineLevel="0" collapsed="false">
      <c r="A461" s="11" t="s">
        <v>107</v>
      </c>
      <c r="B461" s="11" t="s">
        <v>138</v>
      </c>
      <c r="C461" s="11" t="n">
        <v>17</v>
      </c>
      <c r="D461" s="11" t="s">
        <v>166</v>
      </c>
      <c r="E461" s="11" t="s">
        <v>171</v>
      </c>
      <c r="F461" s="11" t="s">
        <v>80</v>
      </c>
      <c r="G461" s="12" t="n">
        <v>180</v>
      </c>
      <c r="H461" s="12" t="n">
        <f aca="false">SUMPRODUCT(ПОТОКИ!B11:G11,ЧАСОВЫЕ_ПРОФИЛИ!B25:G25,КОЭФФИЦИЕНТЫ_ВЫБОРА!F27:K27)</f>
        <v>0.26</v>
      </c>
      <c r="I461" s="12" t="n">
        <f aca="false">SUMPRODUCT(ПОТОКИ!B11:G11,ЧАСОВЫЕ_ПРОФИЛИ!B25:G25,КОЭФФИЦИЕНТЫ_ВЫБОРА!F27:K27,ПАРАМЕТРЫ!$B$17:$G$17)</f>
        <v>0.286</v>
      </c>
      <c r="J461" s="12" t="n">
        <f aca="false">I461*G461/1000</f>
        <v>0.05148</v>
      </c>
      <c r="K461" s="11" t="s">
        <v>217</v>
      </c>
      <c r="L461" s="11" t="s">
        <v>19</v>
      </c>
      <c r="M461" s="11" t="s">
        <v>145</v>
      </c>
    </row>
    <row r="462" customFormat="false" ht="15" hidden="false" customHeight="false" outlineLevel="0" collapsed="false">
      <c r="A462" s="11" t="s">
        <v>107</v>
      </c>
      <c r="B462" s="11" t="s">
        <v>138</v>
      </c>
      <c r="C462" s="11" t="n">
        <v>18</v>
      </c>
      <c r="D462" s="11" t="s">
        <v>172</v>
      </c>
      <c r="E462" s="11" t="s">
        <v>173</v>
      </c>
      <c r="F462" s="11" t="s">
        <v>83</v>
      </c>
      <c r="G462" s="12" t="n">
        <v>400</v>
      </c>
      <c r="H462" s="12" t="n">
        <f aca="false">SUMPRODUCT(ПОТОКИ!B11:G11,ЧАСОВЫЕ_ПРОФИЛИ!B25:G25,КОЭФФИЦИЕНТЫ_ВЫБОРА!F28:K28)</f>
        <v>0.32</v>
      </c>
      <c r="I462" s="12" t="n">
        <f aca="false">SUMPRODUCT(ПОТОКИ!B11:G11,ЧАСОВЫЕ_ПРОФИЛИ!B25:G25,КОЭФФИЦИЕНТЫ_ВЫБОРА!F28:K28,ПАРАМЕТРЫ!$B$17:$G$17)</f>
        <v>0.352</v>
      </c>
      <c r="J462" s="12" t="n">
        <f aca="false">I462*G462/1000</f>
        <v>0.1408</v>
      </c>
      <c r="K462" s="11" t="s">
        <v>217</v>
      </c>
      <c r="L462" s="11" t="s">
        <v>19</v>
      </c>
      <c r="M462" s="11" t="s">
        <v>145</v>
      </c>
    </row>
    <row r="463" customFormat="false" ht="23.85" hidden="false" customHeight="false" outlineLevel="0" collapsed="false">
      <c r="A463" s="11" t="s">
        <v>107</v>
      </c>
      <c r="B463" s="11" t="s">
        <v>138</v>
      </c>
      <c r="C463" s="11" t="n">
        <v>19</v>
      </c>
      <c r="D463" s="11" t="s">
        <v>174</v>
      </c>
      <c r="E463" s="11" t="s">
        <v>175</v>
      </c>
      <c r="F463" s="11" t="s">
        <v>83</v>
      </c>
      <c r="G463" s="12" t="n">
        <v>300</v>
      </c>
      <c r="H463" s="12" t="n">
        <f aca="false">SUMPRODUCT(ПОТОКИ!B11:G11,ЧАСОВЫЕ_ПРОФИЛИ!B25:G25,КОЭФФИЦИЕНТЫ_ВЫБОРА!F29:K29)</f>
        <v>1.3975</v>
      </c>
      <c r="I463" s="12" t="n">
        <f aca="false">SUMPRODUCT(ПОТОКИ!B11:G11,ЧАСОВЫЕ_ПРОФИЛИ!B25:G25,КОЭФФИЦИЕНТЫ_ВЫБОРА!F29:K29,ПАРАМЕТРЫ!$B$17:$G$17)</f>
        <v>1.53725</v>
      </c>
      <c r="J463" s="12" t="n">
        <f aca="false">I463*G463/1000</f>
        <v>0.461175</v>
      </c>
      <c r="K463" s="11" t="s">
        <v>217</v>
      </c>
      <c r="L463" s="11" t="s">
        <v>19</v>
      </c>
      <c r="M463" s="11" t="s">
        <v>145</v>
      </c>
    </row>
    <row r="464" customFormat="false" ht="15" hidden="false" customHeight="false" outlineLevel="0" collapsed="false">
      <c r="A464" s="11" t="s">
        <v>107</v>
      </c>
      <c r="B464" s="11" t="s">
        <v>138</v>
      </c>
      <c r="C464" s="11" t="n">
        <v>20</v>
      </c>
      <c r="D464" s="11" t="s">
        <v>174</v>
      </c>
      <c r="E464" s="11" t="s">
        <v>176</v>
      </c>
      <c r="F464" s="11" t="s">
        <v>83</v>
      </c>
      <c r="G464" s="12" t="n">
        <v>360</v>
      </c>
      <c r="H464" s="12" t="n">
        <f aca="false">SUMPRODUCT(ПОТОКИ!B11:G11,ЧАСОВЫЕ_ПРОФИЛИ!B25:G25,КОЭФФИЦИЕНТЫ_ВЫБОРА!F30:K30)</f>
        <v>1.141</v>
      </c>
      <c r="I464" s="12" t="n">
        <f aca="false">SUMPRODUCT(ПОТОКИ!B11:G11,ЧАСОВЫЕ_ПРОФИЛИ!B25:G25,КОЭФФИЦИЕНТЫ_ВЫБОРА!F30:K30,ПАРАМЕТРЫ!$B$17:$G$17)</f>
        <v>1.2551</v>
      </c>
      <c r="J464" s="12" t="n">
        <f aca="false">I464*G464/1000</f>
        <v>0.451836</v>
      </c>
      <c r="K464" s="11" t="s">
        <v>217</v>
      </c>
      <c r="L464" s="11" t="s">
        <v>19</v>
      </c>
      <c r="M464" s="11" t="s">
        <v>145</v>
      </c>
    </row>
    <row r="465" customFormat="false" ht="15" hidden="false" customHeight="false" outlineLevel="0" collapsed="false">
      <c r="A465" s="11" t="s">
        <v>107</v>
      </c>
      <c r="B465" s="11" t="s">
        <v>138</v>
      </c>
      <c r="C465" s="11" t="n">
        <v>21</v>
      </c>
      <c r="D465" s="11" t="s">
        <v>174</v>
      </c>
      <c r="E465" s="11" t="s">
        <v>177</v>
      </c>
      <c r="F465" s="11" t="s">
        <v>83</v>
      </c>
      <c r="G465" s="12" t="n">
        <v>350</v>
      </c>
      <c r="H465" s="12" t="n">
        <f aca="false">SUMPRODUCT(ПОТОКИ!B11:G11,ЧАСОВЫЕ_ПРОФИЛИ!B25:G25,КОЭФФИЦИЕНТЫ_ВЫБОРА!F31:K31)</f>
        <v>1.63525</v>
      </c>
      <c r="I465" s="12" t="n">
        <f aca="false">SUMPRODUCT(ПОТОКИ!B11:G11,ЧАСОВЫЕ_ПРОФИЛИ!B25:G25,КОЭФФИЦИЕНТЫ_ВЫБОРА!F31:K31,ПАРАМЕТРЫ!$B$17:$G$17)</f>
        <v>1.798775</v>
      </c>
      <c r="J465" s="12" t="n">
        <f aca="false">I465*G465/1000</f>
        <v>0.62957125</v>
      </c>
      <c r="K465" s="11" t="s">
        <v>217</v>
      </c>
      <c r="L465" s="11" t="s">
        <v>19</v>
      </c>
      <c r="M465" s="11" t="s">
        <v>145</v>
      </c>
    </row>
    <row r="466" customFormat="false" ht="15" hidden="false" customHeight="false" outlineLevel="0" collapsed="false">
      <c r="A466" s="11" t="s">
        <v>107</v>
      </c>
      <c r="B466" s="11" t="s">
        <v>138</v>
      </c>
      <c r="C466" s="11" t="n">
        <v>22</v>
      </c>
      <c r="D466" s="11" t="s">
        <v>174</v>
      </c>
      <c r="E466" s="11" t="s">
        <v>178</v>
      </c>
      <c r="F466" s="11" t="s">
        <v>83</v>
      </c>
      <c r="G466" s="12" t="n">
        <v>300</v>
      </c>
      <c r="H466" s="12" t="n">
        <f aca="false">SUMPRODUCT(ПОТОКИ!B11:G11,ЧАСОВЫЕ_ПРОФИЛИ!B25:G25,КОЭФФИЦИЕНТЫ_ВЫБОРА!F32:K32)</f>
        <v>1.23125</v>
      </c>
      <c r="I466" s="12" t="n">
        <f aca="false">SUMPRODUCT(ПОТОКИ!B11:G11,ЧАСОВЫЕ_ПРОФИЛИ!B25:G25,КОЭФФИЦИЕНТЫ_ВЫБОРА!F32:K32,ПАРАМЕТРЫ!$B$17:$G$17)</f>
        <v>1.354375</v>
      </c>
      <c r="J466" s="12" t="n">
        <f aca="false">I466*G466/1000</f>
        <v>0.4063125</v>
      </c>
      <c r="K466" s="11" t="s">
        <v>217</v>
      </c>
      <c r="L466" s="11" t="s">
        <v>19</v>
      </c>
      <c r="M466" s="11" t="s">
        <v>145</v>
      </c>
    </row>
    <row r="467" customFormat="false" ht="15" hidden="false" customHeight="false" outlineLevel="0" collapsed="false">
      <c r="A467" s="11" t="s">
        <v>107</v>
      </c>
      <c r="B467" s="11" t="s">
        <v>138</v>
      </c>
      <c r="C467" s="11" t="n">
        <v>23</v>
      </c>
      <c r="D467" s="11" t="s">
        <v>86</v>
      </c>
      <c r="E467" s="11" t="s">
        <v>179</v>
      </c>
      <c r="F467" s="11" t="s">
        <v>85</v>
      </c>
      <c r="G467" s="12" t="n">
        <v>150</v>
      </c>
      <c r="H467" s="12" t="n">
        <f aca="false">SUMPRODUCT(ПОТОКИ!B11:G11,ЧАСОВЫЕ_ПРОФИЛИ!B25:G25,КОЭФФИЦИЕНТЫ_ВЫБОРА!F33:K33)</f>
        <v>1.07040875</v>
      </c>
      <c r="I467" s="12" t="n">
        <f aca="false">SUMPRODUCT(ПОТОКИ!B11:G11,ЧАСОВЫЕ_ПРОФИЛИ!B25:G25,КОЭФФИЦИЕНТЫ_ВЫБОРА!F33:K33,ПАРАМЕТРЫ!$B$17:$G$17)</f>
        <v>1.177449625</v>
      </c>
      <c r="J467" s="12" t="n">
        <f aca="false">I467*G467/1000</f>
        <v>0.17661744375</v>
      </c>
      <c r="K467" s="11" t="s">
        <v>217</v>
      </c>
      <c r="L467" s="11" t="s">
        <v>19</v>
      </c>
      <c r="M467" s="11" t="s">
        <v>147</v>
      </c>
    </row>
    <row r="468" customFormat="false" ht="15" hidden="false" customHeight="false" outlineLevel="0" collapsed="false">
      <c r="A468" s="11" t="s">
        <v>107</v>
      </c>
      <c r="B468" s="11" t="s">
        <v>138</v>
      </c>
      <c r="C468" s="11" t="n">
        <v>24</v>
      </c>
      <c r="D468" s="11" t="s">
        <v>86</v>
      </c>
      <c r="E468" s="11" t="s">
        <v>180</v>
      </c>
      <c r="F468" s="11" t="s">
        <v>85</v>
      </c>
      <c r="G468" s="12" t="n">
        <v>150</v>
      </c>
      <c r="H468" s="12" t="n">
        <f aca="false">SUMPRODUCT(ПОТОКИ!B11:G11,ЧАСОВЫЕ_ПРОФИЛИ!B25:G25,КОЭФФИЦИЕНТЫ_ВЫБОРА!F34:K34)</f>
        <v>0.575845</v>
      </c>
      <c r="I468" s="12" t="n">
        <f aca="false">SUMPRODUCT(ПОТОКИ!B11:G11,ЧАСОВЫЕ_ПРОФИЛИ!B25:G25,КОЭФФИЦИЕНТЫ_ВЫБОРА!F34:K34,ПАРАМЕТРЫ!$B$17:$G$17)</f>
        <v>0.6334295</v>
      </c>
      <c r="J468" s="12" t="n">
        <f aca="false">I468*G468/1000</f>
        <v>0.095014425</v>
      </c>
      <c r="K468" s="11" t="s">
        <v>217</v>
      </c>
      <c r="L468" s="11" t="s">
        <v>19</v>
      </c>
      <c r="M468" s="11" t="s">
        <v>147</v>
      </c>
    </row>
    <row r="469" customFormat="false" ht="15" hidden="false" customHeight="false" outlineLevel="0" collapsed="false">
      <c r="A469" s="11" t="s">
        <v>107</v>
      </c>
      <c r="B469" s="11" t="s">
        <v>138</v>
      </c>
      <c r="C469" s="11" t="n">
        <v>25</v>
      </c>
      <c r="D469" s="11" t="s">
        <v>86</v>
      </c>
      <c r="E469" s="11" t="s">
        <v>181</v>
      </c>
      <c r="F469" s="11" t="s">
        <v>85</v>
      </c>
      <c r="G469" s="12" t="n">
        <v>150</v>
      </c>
      <c r="H469" s="12" t="n">
        <f aca="false">SUMPRODUCT(ПОТОКИ!B11:G11,ЧАСОВЫЕ_ПРОФИЛИ!B25:G25,КОЭФФИЦИЕНТЫ_ВЫБОРА!F35:K35)</f>
        <v>1.23297125</v>
      </c>
      <c r="I469" s="12" t="n">
        <f aca="false">SUMPRODUCT(ПОТОКИ!B11:G11,ЧАСОВЫЕ_ПРОФИЛИ!B25:G25,КОЭФФИЦИЕНТЫ_ВЫБОРА!F35:K35,ПАРАМЕТРЫ!$B$17:$G$17)</f>
        <v>1.356268375</v>
      </c>
      <c r="J469" s="12" t="n">
        <f aca="false">I469*G469/1000</f>
        <v>0.20344025625</v>
      </c>
      <c r="K469" s="11" t="s">
        <v>217</v>
      </c>
      <c r="L469" s="11" t="s">
        <v>19</v>
      </c>
      <c r="M469" s="11" t="s">
        <v>147</v>
      </c>
    </row>
    <row r="470" customFormat="false" ht="23.85" hidden="false" customHeight="false" outlineLevel="0" collapsed="false">
      <c r="A470" s="11" t="s">
        <v>107</v>
      </c>
      <c r="B470" s="11" t="s">
        <v>138</v>
      </c>
      <c r="C470" s="11" t="n">
        <v>26</v>
      </c>
      <c r="D470" s="11" t="s">
        <v>89</v>
      </c>
      <c r="E470" s="11" t="s">
        <v>182</v>
      </c>
      <c r="F470" s="11" t="s">
        <v>88</v>
      </c>
      <c r="G470" s="12" t="n">
        <v>225</v>
      </c>
      <c r="H470" s="12" t="n">
        <f aca="false">SUMPRODUCT(ПОТОКИ!B11:G11,ЧАСОВЫЕ_ПРОФИЛИ!B25:G25,КОЭФФИЦИЕНТЫ_ВЫБОРА!F36:K36)</f>
        <v>0</v>
      </c>
      <c r="I470" s="12" t="n">
        <f aca="false">SUMPRODUCT(ПОТОКИ!B11:G11,ЧАСОВЫЕ_ПРОФИЛИ!B25:G25,КОЭФФИЦИЕНТЫ_ВЫБОРА!F36:K36,ПАРАМЕТРЫ!$B$17:$G$17)</f>
        <v>0</v>
      </c>
      <c r="J470" s="12" t="n">
        <f aca="false">I470*G470/1000</f>
        <v>0</v>
      </c>
      <c r="K470" s="11" t="s">
        <v>217</v>
      </c>
      <c r="L470" s="11" t="s">
        <v>19</v>
      </c>
      <c r="M470" s="11" t="s">
        <v>145</v>
      </c>
    </row>
    <row r="471" customFormat="false" ht="23.85" hidden="false" customHeight="false" outlineLevel="0" collapsed="false">
      <c r="A471" s="11" t="s">
        <v>107</v>
      </c>
      <c r="B471" s="11" t="s">
        <v>138</v>
      </c>
      <c r="C471" s="11" t="n">
        <v>27</v>
      </c>
      <c r="D471" s="11" t="s">
        <v>89</v>
      </c>
      <c r="E471" s="11" t="s">
        <v>183</v>
      </c>
      <c r="F471" s="11" t="s">
        <v>88</v>
      </c>
      <c r="G471" s="12" t="n">
        <v>265</v>
      </c>
      <c r="H471" s="12" t="n">
        <f aca="false">SUMPRODUCT(ПОТОКИ!B11:G11,ЧАСОВЫЕ_ПРОФИЛИ!B25:G25,КОЭФФИЦИЕНТЫ_ВЫБОРА!F37:K37)</f>
        <v>0</v>
      </c>
      <c r="I471" s="12" t="n">
        <f aca="false">SUMPRODUCT(ПОТОКИ!B11:G11,ЧАСОВЫЕ_ПРОФИЛИ!B25:G25,КОЭФФИЦИЕНТЫ_ВЫБОРА!F37:K37,ПАРАМЕТРЫ!$B$17:$G$17)</f>
        <v>0</v>
      </c>
      <c r="J471" s="12" t="n">
        <f aca="false">I471*G471/1000</f>
        <v>0</v>
      </c>
      <c r="K471" s="11" t="s">
        <v>217</v>
      </c>
      <c r="L471" s="11" t="s">
        <v>19</v>
      </c>
      <c r="M471" s="11" t="s">
        <v>145</v>
      </c>
    </row>
    <row r="472" customFormat="false" ht="23.85" hidden="false" customHeight="false" outlineLevel="0" collapsed="false">
      <c r="A472" s="11" t="s">
        <v>107</v>
      </c>
      <c r="B472" s="11" t="s">
        <v>138</v>
      </c>
      <c r="C472" s="11" t="n">
        <v>28</v>
      </c>
      <c r="D472" s="11" t="s">
        <v>89</v>
      </c>
      <c r="E472" s="11" t="s">
        <v>184</v>
      </c>
      <c r="F472" s="11" t="s">
        <v>88</v>
      </c>
      <c r="G472" s="12" t="n">
        <v>355</v>
      </c>
      <c r="H472" s="12" t="n">
        <f aca="false">SUMPRODUCT(ПОТОКИ!B11:G11,ЧАСОВЫЕ_ПРОФИЛИ!B25:G25,КОЭФФИЦИЕНТЫ_ВЫБОРА!F38:K38)</f>
        <v>0</v>
      </c>
      <c r="I472" s="12" t="n">
        <f aca="false">SUMPRODUCT(ПОТОКИ!B11:G11,ЧАСОВЫЕ_ПРОФИЛИ!B25:G25,КОЭФФИЦИЕНТЫ_ВЫБОРА!F38:K38,ПАРАМЕТРЫ!$B$17:$G$17)</f>
        <v>0</v>
      </c>
      <c r="J472" s="12" t="n">
        <f aca="false">I472*G472/1000</f>
        <v>0</v>
      </c>
      <c r="K472" s="11" t="s">
        <v>217</v>
      </c>
      <c r="L472" s="11" t="s">
        <v>19</v>
      </c>
      <c r="M472" s="11" t="s">
        <v>145</v>
      </c>
    </row>
    <row r="473" customFormat="false" ht="15" hidden="false" customHeight="false" outlineLevel="0" collapsed="false">
      <c r="A473" s="11" t="s">
        <v>107</v>
      </c>
      <c r="B473" s="11" t="s">
        <v>138</v>
      </c>
      <c r="C473" s="11" t="n">
        <v>29</v>
      </c>
      <c r="D473" s="11" t="s">
        <v>92</v>
      </c>
      <c r="E473" s="11" t="s">
        <v>185</v>
      </c>
      <c r="F473" s="11" t="s">
        <v>91</v>
      </c>
      <c r="G473" s="12" t="n">
        <v>150</v>
      </c>
      <c r="H473" s="12" t="n">
        <f aca="false">SUMPRODUCT(ПОТОКИ!B11:G11,ЧАСОВЫЕ_ПРОФИЛИ!B25:G25,КОЭФФИЦИЕНТЫ_ВЫБОРА!F39:K39)</f>
        <v>0.228</v>
      </c>
      <c r="I473" s="12" t="n">
        <f aca="false">SUMPRODUCT(ПОТОКИ!B11:G11,ЧАСОВЫЕ_ПРОФИЛИ!B25:G25,КОЭФФИЦИЕНТЫ_ВЫБОРА!F39:K39,ПАРАМЕТРЫ!$B$17:$G$17)</f>
        <v>0.2508</v>
      </c>
      <c r="J473" s="12" t="n">
        <f aca="false">I473*G473/1000</f>
        <v>0.03762</v>
      </c>
      <c r="K473" s="11" t="s">
        <v>217</v>
      </c>
      <c r="L473" s="11" t="s">
        <v>19</v>
      </c>
      <c r="M473" s="11" t="s">
        <v>145</v>
      </c>
    </row>
    <row r="474" customFormat="false" ht="15" hidden="false" customHeight="false" outlineLevel="0" collapsed="false">
      <c r="A474" s="11" t="s">
        <v>107</v>
      </c>
      <c r="B474" s="11" t="s">
        <v>138</v>
      </c>
      <c r="C474" s="11" t="n">
        <v>30</v>
      </c>
      <c r="D474" s="11" t="s">
        <v>92</v>
      </c>
      <c r="E474" s="11" t="s">
        <v>186</v>
      </c>
      <c r="F474" s="11" t="s">
        <v>91</v>
      </c>
      <c r="G474" s="12" t="n">
        <v>120</v>
      </c>
      <c r="H474" s="12" t="n">
        <f aca="false">SUMPRODUCT(ПОТОКИ!B11:G11,ЧАСОВЫЕ_ПРОФИЛИ!B25:G25,КОЭФФИЦИЕНТЫ_ВЫБОРА!F40:K40)</f>
        <v>0.478</v>
      </c>
      <c r="I474" s="12" t="n">
        <f aca="false">SUMPRODUCT(ПОТОКИ!B11:G11,ЧАСОВЫЕ_ПРОФИЛИ!B25:G25,КОЭФФИЦИЕНТЫ_ВЫБОРА!F40:K40,ПАРАМЕТРЫ!$B$17:$G$17)</f>
        <v>0.5258</v>
      </c>
      <c r="J474" s="12" t="n">
        <f aca="false">I474*G474/1000</f>
        <v>0.063096</v>
      </c>
      <c r="K474" s="11" t="s">
        <v>217</v>
      </c>
      <c r="L474" s="11" t="s">
        <v>19</v>
      </c>
      <c r="M474" s="11" t="s">
        <v>145</v>
      </c>
    </row>
    <row r="475" customFormat="false" ht="15" hidden="false" customHeight="false" outlineLevel="0" collapsed="false">
      <c r="A475" s="11" t="s">
        <v>107</v>
      </c>
      <c r="B475" s="11" t="s">
        <v>138</v>
      </c>
      <c r="C475" s="11" t="n">
        <v>31</v>
      </c>
      <c r="D475" s="11" t="s">
        <v>92</v>
      </c>
      <c r="E475" s="11" t="s">
        <v>187</v>
      </c>
      <c r="F475" s="11" t="s">
        <v>91</v>
      </c>
      <c r="G475" s="12" t="n">
        <v>60</v>
      </c>
      <c r="H475" s="12" t="n">
        <f aca="false">SUMPRODUCT(ПОТОКИ!B11:G11,ЧАСОВЫЕ_ПРОФИЛИ!B25:G25,КОЭФФИЦИЕНТЫ_ВЫБОРА!F41:K41)</f>
        <v>0.144</v>
      </c>
      <c r="I475" s="12" t="n">
        <f aca="false">SUMPRODUCT(ПОТОКИ!B11:G11,ЧАСОВЫЕ_ПРОФИЛИ!B25:G25,КОЭФФИЦИЕНТЫ_ВЫБОРА!F41:K41,ПАРАМЕТРЫ!$B$17:$G$17)</f>
        <v>0.1584</v>
      </c>
      <c r="J475" s="12" t="n">
        <f aca="false">I475*G475/1000</f>
        <v>0.009504</v>
      </c>
      <c r="K475" s="11" t="s">
        <v>217</v>
      </c>
      <c r="L475" s="11" t="s">
        <v>19</v>
      </c>
      <c r="M475" s="11" t="s">
        <v>145</v>
      </c>
    </row>
    <row r="476" customFormat="false" ht="15" hidden="false" customHeight="false" outlineLevel="0" collapsed="false">
      <c r="A476" s="11" t="s">
        <v>108</v>
      </c>
      <c r="B476" s="11" t="s">
        <v>124</v>
      </c>
      <c r="C476" s="11" t="n">
        <v>1</v>
      </c>
      <c r="D476" s="11" t="s">
        <v>74</v>
      </c>
      <c r="E476" s="11" t="s">
        <v>153</v>
      </c>
      <c r="F476" s="11" t="s">
        <v>73</v>
      </c>
      <c r="G476" s="12" t="n">
        <v>450</v>
      </c>
      <c r="H476" s="12" t="n">
        <f aca="false">SUMPRODUCT(ПОТОКИ!B12:G12,ЧАСОВЫЕ_ПРОФИЛИ!B11:G11,КОЭФФИЦИЕНТЫ_ВЫБОРА!F11:K11)</f>
        <v>0</v>
      </c>
      <c r="I476" s="12" t="n">
        <f aca="false">SUMPRODUCT(ПОТОКИ!B12:G12,ЧАСОВЫЕ_ПРОФИЛИ!B11:G11,КОЭФФИЦИЕНТЫ_ВЫБОРА!F11:K11,ПАРАМЕТРЫ!$B$17:$G$17)</f>
        <v>0</v>
      </c>
      <c r="J476" s="12" t="n">
        <f aca="false">I476*G476/1000</f>
        <v>0</v>
      </c>
      <c r="K476" s="11" t="s">
        <v>217</v>
      </c>
      <c r="L476" s="11" t="s">
        <v>19</v>
      </c>
      <c r="M476" s="11" t="s">
        <v>145</v>
      </c>
    </row>
    <row r="477" customFormat="false" ht="15" hidden="false" customHeight="false" outlineLevel="0" collapsed="false">
      <c r="A477" s="11" t="s">
        <v>108</v>
      </c>
      <c r="B477" s="11" t="s">
        <v>124</v>
      </c>
      <c r="C477" s="11" t="n">
        <v>2</v>
      </c>
      <c r="D477" s="11" t="s">
        <v>74</v>
      </c>
      <c r="E477" s="11" t="s">
        <v>154</v>
      </c>
      <c r="F477" s="11" t="s">
        <v>73</v>
      </c>
      <c r="G477" s="12" t="n">
        <v>480</v>
      </c>
      <c r="H477" s="12" t="n">
        <f aca="false">SUMPRODUCT(ПОТОКИ!B12:G12,ЧАСОВЫЕ_ПРОФИЛИ!B11:G11,КОЭФФИЦИЕНТЫ_ВЫБОРА!F12:K12)</f>
        <v>0</v>
      </c>
      <c r="I477" s="12" t="n">
        <f aca="false">SUMPRODUCT(ПОТОКИ!B12:G12,ЧАСОВЫЕ_ПРОФИЛИ!B11:G11,КОЭФФИЦИЕНТЫ_ВЫБОРА!F12:K12,ПАРАМЕТРЫ!$B$17:$G$17)</f>
        <v>0</v>
      </c>
      <c r="J477" s="12" t="n">
        <f aca="false">I477*G477/1000</f>
        <v>0</v>
      </c>
      <c r="K477" s="11" t="s">
        <v>217</v>
      </c>
      <c r="L477" s="11" t="s">
        <v>19</v>
      </c>
      <c r="M477" s="11" t="s">
        <v>145</v>
      </c>
    </row>
    <row r="478" customFormat="false" ht="15" hidden="false" customHeight="false" outlineLevel="0" collapsed="false">
      <c r="A478" s="11" t="s">
        <v>108</v>
      </c>
      <c r="B478" s="11" t="s">
        <v>124</v>
      </c>
      <c r="C478" s="11" t="n">
        <v>3</v>
      </c>
      <c r="D478" s="11" t="s">
        <v>74</v>
      </c>
      <c r="E478" s="11" t="s">
        <v>155</v>
      </c>
      <c r="F478" s="11" t="s">
        <v>73</v>
      </c>
      <c r="G478" s="12" t="n">
        <v>500</v>
      </c>
      <c r="H478" s="12" t="n">
        <f aca="false">SUMPRODUCT(ПОТОКИ!B12:G12,ЧАСОВЫЕ_ПРОФИЛИ!B11:G11,КОЭФФИЦИЕНТЫ_ВЫБОРА!F13:K13)</f>
        <v>0</v>
      </c>
      <c r="I478" s="12" t="n">
        <f aca="false">SUMPRODUCT(ПОТОКИ!B12:G12,ЧАСОВЫЕ_ПРОФИЛИ!B11:G11,КОЭФФИЦИЕНТЫ_ВЫБОРА!F13:K13,ПАРАМЕТРЫ!$B$17:$G$17)</f>
        <v>0</v>
      </c>
      <c r="J478" s="12" t="n">
        <f aca="false">I478*G478/1000</f>
        <v>0</v>
      </c>
      <c r="K478" s="11" t="s">
        <v>217</v>
      </c>
      <c r="L478" s="11" t="s">
        <v>19</v>
      </c>
      <c r="M478" s="11" t="s">
        <v>145</v>
      </c>
    </row>
    <row r="479" customFormat="false" ht="15" hidden="false" customHeight="false" outlineLevel="0" collapsed="false">
      <c r="A479" s="11" t="s">
        <v>108</v>
      </c>
      <c r="B479" s="11" t="s">
        <v>124</v>
      </c>
      <c r="C479" s="11" t="n">
        <v>4</v>
      </c>
      <c r="D479" s="11" t="s">
        <v>74</v>
      </c>
      <c r="E479" s="11" t="s">
        <v>156</v>
      </c>
      <c r="F479" s="11" t="s">
        <v>73</v>
      </c>
      <c r="G479" s="12" t="n">
        <v>500</v>
      </c>
      <c r="H479" s="12" t="n">
        <f aca="false">SUMPRODUCT(ПОТОКИ!B12:G12,ЧАСОВЫЕ_ПРОФИЛИ!B11:G11,КОЭФФИЦИЕНТЫ_ВЫБОРА!F14:K14)</f>
        <v>0</v>
      </c>
      <c r="I479" s="12" t="n">
        <f aca="false">SUMPRODUCT(ПОТОКИ!B12:G12,ЧАСОВЫЕ_ПРОФИЛИ!B11:G11,КОЭФФИЦИЕНТЫ_ВЫБОРА!F14:K14,ПАРАМЕТРЫ!$B$17:$G$17)</f>
        <v>0</v>
      </c>
      <c r="J479" s="12" t="n">
        <f aca="false">I479*G479/1000</f>
        <v>0</v>
      </c>
      <c r="K479" s="11" t="s">
        <v>217</v>
      </c>
      <c r="L479" s="11" t="s">
        <v>19</v>
      </c>
      <c r="M479" s="11" t="s">
        <v>145</v>
      </c>
    </row>
    <row r="480" customFormat="false" ht="15" hidden="false" customHeight="false" outlineLevel="0" collapsed="false">
      <c r="A480" s="11" t="s">
        <v>108</v>
      </c>
      <c r="B480" s="11" t="s">
        <v>124</v>
      </c>
      <c r="C480" s="11" t="n">
        <v>5</v>
      </c>
      <c r="D480" s="11" t="s">
        <v>78</v>
      </c>
      <c r="E480" s="11" t="s">
        <v>157</v>
      </c>
      <c r="F480" s="11" t="s">
        <v>77</v>
      </c>
      <c r="G480" s="12" t="n">
        <v>100</v>
      </c>
      <c r="H480" s="12" t="n">
        <f aca="false">SUMPRODUCT(ПОТОКИ!B12:G12,ЧАСОВЫЕ_ПРОФИЛИ!B11:G11,КОЭФФИЦИЕНТЫ_ВЫБОРА!F15:K15)</f>
        <v>0.108</v>
      </c>
      <c r="I480" s="12" t="n">
        <f aca="false">SUMPRODUCT(ПОТОКИ!B12:G12,ЧАСОВЫЕ_ПРОФИЛИ!B11:G11,КОЭФФИЦИЕНТЫ_ВЫБОРА!F15:K15,ПАРАМЕТРЫ!$B$17:$G$17)</f>
        <v>0.1188</v>
      </c>
      <c r="J480" s="12" t="n">
        <f aca="false">I480*G480/1000</f>
        <v>0.01188</v>
      </c>
      <c r="K480" s="11" t="s">
        <v>217</v>
      </c>
      <c r="L480" s="11" t="s">
        <v>19</v>
      </c>
      <c r="M480" s="11" t="s">
        <v>147</v>
      </c>
    </row>
    <row r="481" customFormat="false" ht="15" hidden="false" customHeight="false" outlineLevel="0" collapsed="false">
      <c r="A481" s="11" t="s">
        <v>108</v>
      </c>
      <c r="B481" s="11" t="s">
        <v>124</v>
      </c>
      <c r="C481" s="11" t="n">
        <v>6</v>
      </c>
      <c r="D481" s="11" t="s">
        <v>78</v>
      </c>
      <c r="E481" s="11" t="s">
        <v>158</v>
      </c>
      <c r="F481" s="11" t="s">
        <v>77</v>
      </c>
      <c r="G481" s="12" t="n">
        <v>100</v>
      </c>
      <c r="H481" s="12" t="n">
        <f aca="false">SUMPRODUCT(ПОТОКИ!B12:G12,ЧАСОВЫЕ_ПРОФИЛИ!B11:G11,КОЭФФИЦИЕНТЫ_ВЫБОРА!F16:K16)</f>
        <v>0.108</v>
      </c>
      <c r="I481" s="12" t="n">
        <f aca="false">SUMPRODUCT(ПОТОКИ!B12:G12,ЧАСОВЫЕ_ПРОФИЛИ!B11:G11,КОЭФФИЦИЕНТЫ_ВЫБОРА!F16:K16,ПАРАМЕТРЫ!$B$17:$G$17)</f>
        <v>0.1188</v>
      </c>
      <c r="J481" s="12" t="n">
        <f aca="false">I481*G481/1000</f>
        <v>0.01188</v>
      </c>
      <c r="K481" s="11" t="s">
        <v>217</v>
      </c>
      <c r="L481" s="11" t="s">
        <v>19</v>
      </c>
      <c r="M481" s="11" t="s">
        <v>147</v>
      </c>
    </row>
    <row r="482" customFormat="false" ht="15" hidden="false" customHeight="false" outlineLevel="0" collapsed="false">
      <c r="A482" s="11" t="s">
        <v>108</v>
      </c>
      <c r="B482" s="11" t="s">
        <v>124</v>
      </c>
      <c r="C482" s="11" t="n">
        <v>7</v>
      </c>
      <c r="D482" s="11" t="s">
        <v>78</v>
      </c>
      <c r="E482" s="11" t="s">
        <v>159</v>
      </c>
      <c r="F482" s="11" t="s">
        <v>77</v>
      </c>
      <c r="G482" s="12" t="n">
        <v>350</v>
      </c>
      <c r="H482" s="12" t="n">
        <f aca="false">SUMPRODUCT(ПОТОКИ!B12:G12,ЧАСОВЫЕ_ПРОФИЛИ!B11:G11,КОЭФФИЦИЕНТЫ_ВЫБОРА!F17:K17)</f>
        <v>0.09</v>
      </c>
      <c r="I482" s="12" t="n">
        <f aca="false">SUMPRODUCT(ПОТОКИ!B12:G12,ЧАСОВЫЕ_ПРОФИЛИ!B11:G11,КОЭФФИЦИЕНТЫ_ВЫБОРА!F17:K17,ПАРАМЕТРЫ!$B$17:$G$17)</f>
        <v>0.099</v>
      </c>
      <c r="J482" s="12" t="n">
        <f aca="false">I482*G482/1000</f>
        <v>0.03465</v>
      </c>
      <c r="K482" s="11" t="s">
        <v>217</v>
      </c>
      <c r="L482" s="11" t="s">
        <v>19</v>
      </c>
      <c r="M482" s="11" t="s">
        <v>147</v>
      </c>
    </row>
    <row r="483" customFormat="false" ht="15" hidden="false" customHeight="false" outlineLevel="0" collapsed="false">
      <c r="A483" s="11" t="s">
        <v>108</v>
      </c>
      <c r="B483" s="11" t="s">
        <v>124</v>
      </c>
      <c r="C483" s="11" t="n">
        <v>8</v>
      </c>
      <c r="D483" s="11" t="s">
        <v>78</v>
      </c>
      <c r="E483" s="11" t="s">
        <v>160</v>
      </c>
      <c r="F483" s="11" t="s">
        <v>77</v>
      </c>
      <c r="G483" s="12" t="n">
        <v>85</v>
      </c>
      <c r="H483" s="12" t="n">
        <f aca="false">SUMPRODUCT(ПОТОКИ!B12:G12,ЧАСОВЫЕ_ПРОФИЛИ!B11:G11,КОЭФФИЦИЕНТЫ_ВЫБОРА!F18:K18)</f>
        <v>0.054</v>
      </c>
      <c r="I483" s="12" t="n">
        <f aca="false">SUMPRODUCT(ПОТОКИ!B12:G12,ЧАСОВЫЕ_ПРОФИЛИ!B11:G11,КОЭФФИЦИЕНТЫ_ВЫБОРА!F18:K18,ПАРАМЕТРЫ!$B$17:$G$17)</f>
        <v>0.0594</v>
      </c>
      <c r="J483" s="12" t="n">
        <f aca="false">I483*G483/1000</f>
        <v>0.005049</v>
      </c>
      <c r="K483" s="11" t="s">
        <v>217</v>
      </c>
      <c r="L483" s="11" t="s">
        <v>19</v>
      </c>
      <c r="M483" s="11" t="s">
        <v>147</v>
      </c>
    </row>
    <row r="484" customFormat="false" ht="15" hidden="false" customHeight="false" outlineLevel="0" collapsed="false">
      <c r="A484" s="11" t="s">
        <v>108</v>
      </c>
      <c r="B484" s="11" t="s">
        <v>124</v>
      </c>
      <c r="C484" s="11" t="n">
        <v>9</v>
      </c>
      <c r="D484" s="11" t="s">
        <v>161</v>
      </c>
      <c r="E484" s="11" t="s">
        <v>162</v>
      </c>
      <c r="F484" s="11" t="s">
        <v>80</v>
      </c>
      <c r="G484" s="12" t="n">
        <v>300</v>
      </c>
      <c r="H484" s="12" t="n">
        <f aca="false">SUMPRODUCT(ПОТОКИ!B12:G12,ЧАСОВЫЕ_ПРОФИЛИ!B11:G11,КОЭФФИЦИЕНТЫ_ВЫБОРА!F19:K19)</f>
        <v>0</v>
      </c>
      <c r="I484" s="12" t="n">
        <f aca="false">SUMPRODUCT(ПОТОКИ!B12:G12,ЧАСОВЫЕ_ПРОФИЛИ!B11:G11,КОЭФФИЦИЕНТЫ_ВЫБОРА!F19:K19,ПАРАМЕТРЫ!$B$17:$G$17)</f>
        <v>0</v>
      </c>
      <c r="J484" s="12" t="n">
        <f aca="false">I484*G484/1000</f>
        <v>0</v>
      </c>
      <c r="K484" s="11" t="s">
        <v>217</v>
      </c>
      <c r="L484" s="11" t="s">
        <v>19</v>
      </c>
      <c r="M484" s="11" t="s">
        <v>145</v>
      </c>
    </row>
    <row r="485" customFormat="false" ht="15" hidden="false" customHeight="false" outlineLevel="0" collapsed="false">
      <c r="A485" s="11" t="s">
        <v>108</v>
      </c>
      <c r="B485" s="11" t="s">
        <v>124</v>
      </c>
      <c r="C485" s="11" t="n">
        <v>10</v>
      </c>
      <c r="D485" s="11" t="s">
        <v>161</v>
      </c>
      <c r="E485" s="11" t="s">
        <v>163</v>
      </c>
      <c r="F485" s="11" t="s">
        <v>80</v>
      </c>
      <c r="G485" s="12" t="n">
        <v>280</v>
      </c>
      <c r="H485" s="12" t="n">
        <f aca="false">SUMPRODUCT(ПОТОКИ!B12:G12,ЧАСОВЫЕ_ПРОФИЛИ!B11:G11,КОЭФФИЦИЕНТЫ_ВЫБОРА!F20:K20)</f>
        <v>0</v>
      </c>
      <c r="I485" s="12" t="n">
        <f aca="false">SUMPRODUCT(ПОТОКИ!B12:G12,ЧАСОВЫЕ_ПРОФИЛИ!B11:G11,КОЭФФИЦИЕНТЫ_ВЫБОРА!F20:K20,ПАРАМЕТРЫ!$B$17:$G$17)</f>
        <v>0</v>
      </c>
      <c r="J485" s="12" t="n">
        <f aca="false">I485*G485/1000</f>
        <v>0</v>
      </c>
      <c r="K485" s="11" t="s">
        <v>217</v>
      </c>
      <c r="L485" s="11" t="s">
        <v>19</v>
      </c>
      <c r="M485" s="11" t="s">
        <v>145</v>
      </c>
    </row>
    <row r="486" customFormat="false" ht="15" hidden="false" customHeight="false" outlineLevel="0" collapsed="false">
      <c r="A486" s="11" t="s">
        <v>108</v>
      </c>
      <c r="B486" s="11" t="s">
        <v>124</v>
      </c>
      <c r="C486" s="11" t="n">
        <v>11</v>
      </c>
      <c r="D486" s="11" t="s">
        <v>161</v>
      </c>
      <c r="E486" s="11" t="s">
        <v>164</v>
      </c>
      <c r="F486" s="11" t="s">
        <v>80</v>
      </c>
      <c r="G486" s="12" t="n">
        <v>270</v>
      </c>
      <c r="H486" s="12" t="n">
        <f aca="false">SUMPRODUCT(ПОТОКИ!B12:G12,ЧАСОВЫЕ_ПРОФИЛИ!B11:G11,КОЭФФИЦИЕНТЫ_ВЫБОРА!F21:K21)</f>
        <v>0</v>
      </c>
      <c r="I486" s="12" t="n">
        <f aca="false">SUMPRODUCT(ПОТОКИ!B12:G12,ЧАСОВЫЕ_ПРОФИЛИ!B11:G11,КОЭФФИЦИЕНТЫ_ВЫБОРА!F21:K21,ПАРАМЕТРЫ!$B$17:$G$17)</f>
        <v>0</v>
      </c>
      <c r="J486" s="12" t="n">
        <f aca="false">I486*G486/1000</f>
        <v>0</v>
      </c>
      <c r="K486" s="11" t="s">
        <v>217</v>
      </c>
      <c r="L486" s="11" t="s">
        <v>19</v>
      </c>
      <c r="M486" s="11" t="s">
        <v>145</v>
      </c>
    </row>
    <row r="487" customFormat="false" ht="15" hidden="false" customHeight="false" outlineLevel="0" collapsed="false">
      <c r="A487" s="11" t="s">
        <v>108</v>
      </c>
      <c r="B487" s="11" t="s">
        <v>124</v>
      </c>
      <c r="C487" s="11" t="n">
        <v>12</v>
      </c>
      <c r="D487" s="11" t="s">
        <v>161</v>
      </c>
      <c r="E487" s="11" t="s">
        <v>165</v>
      </c>
      <c r="F487" s="11" t="s">
        <v>80</v>
      </c>
      <c r="G487" s="12" t="n">
        <v>240</v>
      </c>
      <c r="H487" s="12" t="n">
        <f aca="false">SUMPRODUCT(ПОТОКИ!B12:G12,ЧАСОВЫЕ_ПРОФИЛИ!B11:G11,КОЭФФИЦИЕНТЫ_ВЫБОРА!F22:K22)</f>
        <v>0</v>
      </c>
      <c r="I487" s="12" t="n">
        <f aca="false">SUMPRODUCT(ПОТОКИ!B12:G12,ЧАСОВЫЕ_ПРОФИЛИ!B11:G11,КОЭФФИЦИЕНТЫ_ВЫБОРА!F22:K22,ПАРАМЕТРЫ!$B$17:$G$17)</f>
        <v>0</v>
      </c>
      <c r="J487" s="12" t="n">
        <f aca="false">I487*G487/1000</f>
        <v>0</v>
      </c>
      <c r="K487" s="11" t="s">
        <v>217</v>
      </c>
      <c r="L487" s="11" t="s">
        <v>19</v>
      </c>
      <c r="M487" s="11" t="s">
        <v>145</v>
      </c>
    </row>
    <row r="488" customFormat="false" ht="15" hidden="false" customHeight="false" outlineLevel="0" collapsed="false">
      <c r="A488" s="11" t="s">
        <v>108</v>
      </c>
      <c r="B488" s="11" t="s">
        <v>124</v>
      </c>
      <c r="C488" s="11" t="n">
        <v>13</v>
      </c>
      <c r="D488" s="11" t="s">
        <v>166</v>
      </c>
      <c r="E488" s="11" t="s">
        <v>167</v>
      </c>
      <c r="F488" s="11" t="s">
        <v>80</v>
      </c>
      <c r="G488" s="12" t="n">
        <v>130</v>
      </c>
      <c r="H488" s="12" t="n">
        <f aca="false">SUMPRODUCT(ПОТОКИ!B12:G12,ЧАСОВЫЕ_ПРОФИЛИ!B11:G11,КОЭФФИЦИЕНТЫ_ВЫБОРА!F23:K23)</f>
        <v>0</v>
      </c>
      <c r="I488" s="12" t="n">
        <f aca="false">SUMPRODUCT(ПОТОКИ!B12:G12,ЧАСОВЫЕ_ПРОФИЛИ!B11:G11,КОЭФФИЦИЕНТЫ_ВЫБОРА!F23:K23,ПАРАМЕТРЫ!$B$17:$G$17)</f>
        <v>0</v>
      </c>
      <c r="J488" s="12" t="n">
        <f aca="false">I488*G488/1000</f>
        <v>0</v>
      </c>
      <c r="K488" s="11" t="s">
        <v>217</v>
      </c>
      <c r="L488" s="11" t="s">
        <v>19</v>
      </c>
      <c r="M488" s="11" t="s">
        <v>145</v>
      </c>
    </row>
    <row r="489" customFormat="false" ht="15" hidden="false" customHeight="false" outlineLevel="0" collapsed="false">
      <c r="A489" s="11" t="s">
        <v>108</v>
      </c>
      <c r="B489" s="11" t="s">
        <v>124</v>
      </c>
      <c r="C489" s="11" t="n">
        <v>14</v>
      </c>
      <c r="D489" s="11" t="s">
        <v>166</v>
      </c>
      <c r="E489" s="11" t="s">
        <v>168</v>
      </c>
      <c r="F489" s="11" t="s">
        <v>80</v>
      </c>
      <c r="G489" s="12" t="n">
        <v>250</v>
      </c>
      <c r="H489" s="12" t="n">
        <f aca="false">SUMPRODUCT(ПОТОКИ!B12:G12,ЧАСОВЫЕ_ПРОФИЛИ!B11:G11,КОЭФФИЦИЕНТЫ_ВЫБОРА!F24:K24)</f>
        <v>0</v>
      </c>
      <c r="I489" s="12" t="n">
        <f aca="false">SUMPRODUCT(ПОТОКИ!B12:G12,ЧАСОВЫЕ_ПРОФИЛИ!B11:G11,КОЭФФИЦИЕНТЫ_ВЫБОРА!F24:K24,ПАРАМЕТРЫ!$B$17:$G$17)</f>
        <v>0</v>
      </c>
      <c r="J489" s="12" t="n">
        <f aca="false">I489*G489/1000</f>
        <v>0</v>
      </c>
      <c r="K489" s="11" t="s">
        <v>217</v>
      </c>
      <c r="L489" s="11" t="s">
        <v>19</v>
      </c>
      <c r="M489" s="11" t="s">
        <v>145</v>
      </c>
    </row>
    <row r="490" customFormat="false" ht="15" hidden="false" customHeight="false" outlineLevel="0" collapsed="false">
      <c r="A490" s="11" t="s">
        <v>108</v>
      </c>
      <c r="B490" s="11" t="s">
        <v>124</v>
      </c>
      <c r="C490" s="11" t="n">
        <v>15</v>
      </c>
      <c r="D490" s="11" t="s">
        <v>166</v>
      </c>
      <c r="E490" s="11" t="s">
        <v>169</v>
      </c>
      <c r="F490" s="11" t="s">
        <v>80</v>
      </c>
      <c r="G490" s="12" t="n">
        <v>120</v>
      </c>
      <c r="H490" s="12" t="n">
        <f aca="false">SUMPRODUCT(ПОТОКИ!B12:G12,ЧАСОВЫЕ_ПРОФИЛИ!B11:G11,КОЭФФИЦИЕНТЫ_ВЫБОРА!F25:K25)</f>
        <v>0</v>
      </c>
      <c r="I490" s="12" t="n">
        <f aca="false">SUMPRODUCT(ПОТОКИ!B12:G12,ЧАСОВЫЕ_ПРОФИЛИ!B11:G11,КОЭФФИЦИЕНТЫ_ВЫБОРА!F25:K25,ПАРАМЕТРЫ!$B$17:$G$17)</f>
        <v>0</v>
      </c>
      <c r="J490" s="12" t="n">
        <f aca="false">I490*G490/1000</f>
        <v>0</v>
      </c>
      <c r="K490" s="11" t="s">
        <v>217</v>
      </c>
      <c r="L490" s="11" t="s">
        <v>19</v>
      </c>
      <c r="M490" s="11" t="s">
        <v>145</v>
      </c>
    </row>
    <row r="491" customFormat="false" ht="15" hidden="false" customHeight="false" outlineLevel="0" collapsed="false">
      <c r="A491" s="11" t="s">
        <v>108</v>
      </c>
      <c r="B491" s="11" t="s">
        <v>124</v>
      </c>
      <c r="C491" s="11" t="n">
        <v>16</v>
      </c>
      <c r="D491" s="11" t="s">
        <v>166</v>
      </c>
      <c r="E491" s="11" t="s">
        <v>170</v>
      </c>
      <c r="F491" s="11" t="s">
        <v>80</v>
      </c>
      <c r="G491" s="12" t="n">
        <v>180</v>
      </c>
      <c r="H491" s="12" t="n">
        <f aca="false">SUMPRODUCT(ПОТОКИ!B12:G12,ЧАСОВЫЕ_ПРОФИЛИ!B11:G11,КОЭФФИЦИЕНТЫ_ВЫБОРА!F26:K26)</f>
        <v>0</v>
      </c>
      <c r="I491" s="12" t="n">
        <f aca="false">SUMPRODUCT(ПОТОКИ!B12:G12,ЧАСОВЫЕ_ПРОФИЛИ!B11:G11,КОЭФФИЦИЕНТЫ_ВЫБОРА!F26:K26,ПАРАМЕТРЫ!$B$17:$G$17)</f>
        <v>0</v>
      </c>
      <c r="J491" s="12" t="n">
        <f aca="false">I491*G491/1000</f>
        <v>0</v>
      </c>
      <c r="K491" s="11" t="s">
        <v>217</v>
      </c>
      <c r="L491" s="11" t="s">
        <v>19</v>
      </c>
      <c r="M491" s="11" t="s">
        <v>145</v>
      </c>
    </row>
    <row r="492" customFormat="false" ht="15" hidden="false" customHeight="false" outlineLevel="0" collapsed="false">
      <c r="A492" s="11" t="s">
        <v>108</v>
      </c>
      <c r="B492" s="11" t="s">
        <v>124</v>
      </c>
      <c r="C492" s="11" t="n">
        <v>17</v>
      </c>
      <c r="D492" s="11" t="s">
        <v>166</v>
      </c>
      <c r="E492" s="11" t="s">
        <v>171</v>
      </c>
      <c r="F492" s="11" t="s">
        <v>80</v>
      </c>
      <c r="G492" s="12" t="n">
        <v>180</v>
      </c>
      <c r="H492" s="12" t="n">
        <f aca="false">SUMPRODUCT(ПОТОКИ!B12:G12,ЧАСОВЫЕ_ПРОФИЛИ!B11:G11,КОЭФФИЦИЕНТЫ_ВЫБОРА!F27:K27)</f>
        <v>0</v>
      </c>
      <c r="I492" s="12" t="n">
        <f aca="false">SUMPRODUCT(ПОТОКИ!B12:G12,ЧАСОВЫЕ_ПРОФИЛИ!B11:G11,КОЭФФИЦИЕНТЫ_ВЫБОРА!F27:K27,ПАРАМЕТРЫ!$B$17:$G$17)</f>
        <v>0</v>
      </c>
      <c r="J492" s="12" t="n">
        <f aca="false">I492*G492/1000</f>
        <v>0</v>
      </c>
      <c r="K492" s="11" t="s">
        <v>217</v>
      </c>
      <c r="L492" s="11" t="s">
        <v>19</v>
      </c>
      <c r="M492" s="11" t="s">
        <v>145</v>
      </c>
    </row>
    <row r="493" customFormat="false" ht="15" hidden="false" customHeight="false" outlineLevel="0" collapsed="false">
      <c r="A493" s="11" t="s">
        <v>108</v>
      </c>
      <c r="B493" s="11" t="s">
        <v>124</v>
      </c>
      <c r="C493" s="11" t="n">
        <v>18</v>
      </c>
      <c r="D493" s="11" t="s">
        <v>172</v>
      </c>
      <c r="E493" s="11" t="s">
        <v>173</v>
      </c>
      <c r="F493" s="11" t="s">
        <v>83</v>
      </c>
      <c r="G493" s="12" t="n">
        <v>400</v>
      </c>
      <c r="H493" s="12" t="n">
        <f aca="false">SUMPRODUCT(ПОТОКИ!B12:G12,ЧАСОВЫЕ_ПРОФИЛИ!B11:G11,КОЭФФИЦИЕНТЫ_ВЫБОРА!F28:K28)</f>
        <v>0</v>
      </c>
      <c r="I493" s="12" t="n">
        <f aca="false">SUMPRODUCT(ПОТОКИ!B12:G12,ЧАСОВЫЕ_ПРОФИЛИ!B11:G11,КОЭФФИЦИЕНТЫ_ВЫБОРА!F28:K28,ПАРАМЕТРЫ!$B$17:$G$17)</f>
        <v>0</v>
      </c>
      <c r="J493" s="12" t="n">
        <f aca="false">I493*G493/1000</f>
        <v>0</v>
      </c>
      <c r="K493" s="11" t="s">
        <v>217</v>
      </c>
      <c r="L493" s="11" t="s">
        <v>19</v>
      </c>
      <c r="M493" s="11" t="s">
        <v>145</v>
      </c>
    </row>
    <row r="494" customFormat="false" ht="23.85" hidden="false" customHeight="false" outlineLevel="0" collapsed="false">
      <c r="A494" s="11" t="s">
        <v>108</v>
      </c>
      <c r="B494" s="11" t="s">
        <v>124</v>
      </c>
      <c r="C494" s="11" t="n">
        <v>19</v>
      </c>
      <c r="D494" s="11" t="s">
        <v>174</v>
      </c>
      <c r="E494" s="11" t="s">
        <v>175</v>
      </c>
      <c r="F494" s="11" t="s">
        <v>83</v>
      </c>
      <c r="G494" s="12" t="n">
        <v>300</v>
      </c>
      <c r="H494" s="12" t="n">
        <f aca="false">SUMPRODUCT(ПОТОКИ!B12:G12,ЧАСОВЫЕ_ПРОФИЛИ!B11:G11,КОЭФФИЦИЕНТЫ_ВЫБОРА!F29:K29)</f>
        <v>0</v>
      </c>
      <c r="I494" s="12" t="n">
        <f aca="false">SUMPRODUCT(ПОТОКИ!B12:G12,ЧАСОВЫЕ_ПРОФИЛИ!B11:G11,КОЭФФИЦИЕНТЫ_ВЫБОРА!F29:K29,ПАРАМЕТРЫ!$B$17:$G$17)</f>
        <v>0</v>
      </c>
      <c r="J494" s="12" t="n">
        <f aca="false">I494*G494/1000</f>
        <v>0</v>
      </c>
      <c r="K494" s="11" t="s">
        <v>217</v>
      </c>
      <c r="L494" s="11" t="s">
        <v>19</v>
      </c>
      <c r="M494" s="11" t="s">
        <v>145</v>
      </c>
    </row>
    <row r="495" customFormat="false" ht="15" hidden="false" customHeight="false" outlineLevel="0" collapsed="false">
      <c r="A495" s="11" t="s">
        <v>108</v>
      </c>
      <c r="B495" s="11" t="s">
        <v>124</v>
      </c>
      <c r="C495" s="11" t="n">
        <v>20</v>
      </c>
      <c r="D495" s="11" t="s">
        <v>174</v>
      </c>
      <c r="E495" s="11" t="s">
        <v>176</v>
      </c>
      <c r="F495" s="11" t="s">
        <v>83</v>
      </c>
      <c r="G495" s="12" t="n">
        <v>360</v>
      </c>
      <c r="H495" s="12" t="n">
        <f aca="false">SUMPRODUCT(ПОТОКИ!B12:G12,ЧАСОВЫЕ_ПРОФИЛИ!B11:G11,КОЭФФИЦИЕНТЫ_ВЫБОРА!F30:K30)</f>
        <v>0</v>
      </c>
      <c r="I495" s="12" t="n">
        <f aca="false">SUMPRODUCT(ПОТОКИ!B12:G12,ЧАСОВЫЕ_ПРОФИЛИ!B11:G11,КОЭФФИЦИЕНТЫ_ВЫБОРА!F30:K30,ПАРАМЕТРЫ!$B$17:$G$17)</f>
        <v>0</v>
      </c>
      <c r="J495" s="12" t="n">
        <f aca="false">I495*G495/1000</f>
        <v>0</v>
      </c>
      <c r="K495" s="11" t="s">
        <v>217</v>
      </c>
      <c r="L495" s="11" t="s">
        <v>19</v>
      </c>
      <c r="M495" s="11" t="s">
        <v>145</v>
      </c>
    </row>
    <row r="496" customFormat="false" ht="15" hidden="false" customHeight="false" outlineLevel="0" collapsed="false">
      <c r="A496" s="11" t="s">
        <v>108</v>
      </c>
      <c r="B496" s="11" t="s">
        <v>124</v>
      </c>
      <c r="C496" s="11" t="n">
        <v>21</v>
      </c>
      <c r="D496" s="11" t="s">
        <v>174</v>
      </c>
      <c r="E496" s="11" t="s">
        <v>177</v>
      </c>
      <c r="F496" s="11" t="s">
        <v>83</v>
      </c>
      <c r="G496" s="12" t="n">
        <v>350</v>
      </c>
      <c r="H496" s="12" t="n">
        <f aca="false">SUMPRODUCT(ПОТОКИ!B12:G12,ЧАСОВЫЕ_ПРОФИЛИ!B11:G11,КОЭФФИЦИЕНТЫ_ВЫБОРА!F31:K31)</f>
        <v>0</v>
      </c>
      <c r="I496" s="12" t="n">
        <f aca="false">SUMPRODUCT(ПОТОКИ!B12:G12,ЧАСОВЫЕ_ПРОФИЛИ!B11:G11,КОЭФФИЦИЕНТЫ_ВЫБОРА!F31:K31,ПАРАМЕТРЫ!$B$17:$G$17)</f>
        <v>0</v>
      </c>
      <c r="J496" s="12" t="n">
        <f aca="false">I496*G496/1000</f>
        <v>0</v>
      </c>
      <c r="K496" s="11" t="s">
        <v>217</v>
      </c>
      <c r="L496" s="11" t="s">
        <v>19</v>
      </c>
      <c r="M496" s="11" t="s">
        <v>145</v>
      </c>
    </row>
    <row r="497" customFormat="false" ht="15" hidden="false" customHeight="false" outlineLevel="0" collapsed="false">
      <c r="A497" s="11" t="s">
        <v>108</v>
      </c>
      <c r="B497" s="11" t="s">
        <v>124</v>
      </c>
      <c r="C497" s="11" t="n">
        <v>22</v>
      </c>
      <c r="D497" s="11" t="s">
        <v>174</v>
      </c>
      <c r="E497" s="11" t="s">
        <v>178</v>
      </c>
      <c r="F497" s="11" t="s">
        <v>83</v>
      </c>
      <c r="G497" s="12" t="n">
        <v>300</v>
      </c>
      <c r="H497" s="12" t="n">
        <f aca="false">SUMPRODUCT(ПОТОКИ!B12:G12,ЧАСОВЫЕ_ПРОФИЛИ!B11:G11,КОЭФФИЦИЕНТЫ_ВЫБОРА!F32:K32)</f>
        <v>0</v>
      </c>
      <c r="I497" s="12" t="n">
        <f aca="false">SUMPRODUCT(ПОТОКИ!B12:G12,ЧАСОВЫЕ_ПРОФИЛИ!B11:G11,КОЭФФИЦИЕНТЫ_ВЫБОРА!F32:K32,ПАРАМЕТРЫ!$B$17:$G$17)</f>
        <v>0</v>
      </c>
      <c r="J497" s="12" t="n">
        <f aca="false">I497*G497/1000</f>
        <v>0</v>
      </c>
      <c r="K497" s="11" t="s">
        <v>217</v>
      </c>
      <c r="L497" s="11" t="s">
        <v>19</v>
      </c>
      <c r="M497" s="11" t="s">
        <v>145</v>
      </c>
    </row>
    <row r="498" customFormat="false" ht="15" hidden="false" customHeight="false" outlineLevel="0" collapsed="false">
      <c r="A498" s="11" t="s">
        <v>108</v>
      </c>
      <c r="B498" s="11" t="s">
        <v>124</v>
      </c>
      <c r="C498" s="11" t="n">
        <v>23</v>
      </c>
      <c r="D498" s="11" t="s">
        <v>86</v>
      </c>
      <c r="E498" s="11" t="s">
        <v>179</v>
      </c>
      <c r="F498" s="11" t="s">
        <v>85</v>
      </c>
      <c r="G498" s="12" t="n">
        <v>150</v>
      </c>
      <c r="H498" s="12" t="n">
        <f aca="false">SUMPRODUCT(ПОТОКИ!B12:G12,ЧАСОВЫЕ_ПРОФИЛИ!B11:G11,КОЭФФИЦИЕНТЫ_ВЫБОРА!F33:K33)</f>
        <v>0</v>
      </c>
      <c r="I498" s="12" t="n">
        <f aca="false">SUMPRODUCT(ПОТОКИ!B12:G12,ЧАСОВЫЕ_ПРОФИЛИ!B11:G11,КОЭФФИЦИЕНТЫ_ВЫБОРА!F33:K33,ПАРАМЕТРЫ!$B$17:$G$17)</f>
        <v>0</v>
      </c>
      <c r="J498" s="12" t="n">
        <f aca="false">I498*G498/1000</f>
        <v>0</v>
      </c>
      <c r="K498" s="11" t="s">
        <v>217</v>
      </c>
      <c r="L498" s="11" t="s">
        <v>19</v>
      </c>
      <c r="M498" s="11" t="s">
        <v>147</v>
      </c>
    </row>
    <row r="499" customFormat="false" ht="15" hidden="false" customHeight="false" outlineLevel="0" collapsed="false">
      <c r="A499" s="11" t="s">
        <v>108</v>
      </c>
      <c r="B499" s="11" t="s">
        <v>124</v>
      </c>
      <c r="C499" s="11" t="n">
        <v>24</v>
      </c>
      <c r="D499" s="11" t="s">
        <v>86</v>
      </c>
      <c r="E499" s="11" t="s">
        <v>180</v>
      </c>
      <c r="F499" s="11" t="s">
        <v>85</v>
      </c>
      <c r="G499" s="12" t="n">
        <v>150</v>
      </c>
      <c r="H499" s="12" t="n">
        <f aca="false">SUMPRODUCT(ПОТОКИ!B12:G12,ЧАСОВЫЕ_ПРОФИЛИ!B11:G11,КОЭФФИЦИЕНТЫ_ВЫБОРА!F34:K34)</f>
        <v>0</v>
      </c>
      <c r="I499" s="12" t="n">
        <f aca="false">SUMPRODUCT(ПОТОКИ!B12:G12,ЧАСОВЫЕ_ПРОФИЛИ!B11:G11,КОЭФФИЦИЕНТЫ_ВЫБОРА!F34:K34,ПАРАМЕТРЫ!$B$17:$G$17)</f>
        <v>0</v>
      </c>
      <c r="J499" s="12" t="n">
        <f aca="false">I499*G499/1000</f>
        <v>0</v>
      </c>
      <c r="K499" s="11" t="s">
        <v>217</v>
      </c>
      <c r="L499" s="11" t="s">
        <v>19</v>
      </c>
      <c r="M499" s="11" t="s">
        <v>147</v>
      </c>
    </row>
    <row r="500" customFormat="false" ht="15" hidden="false" customHeight="false" outlineLevel="0" collapsed="false">
      <c r="A500" s="11" t="s">
        <v>108</v>
      </c>
      <c r="B500" s="11" t="s">
        <v>124</v>
      </c>
      <c r="C500" s="11" t="n">
        <v>25</v>
      </c>
      <c r="D500" s="11" t="s">
        <v>86</v>
      </c>
      <c r="E500" s="11" t="s">
        <v>181</v>
      </c>
      <c r="F500" s="11" t="s">
        <v>85</v>
      </c>
      <c r="G500" s="12" t="n">
        <v>150</v>
      </c>
      <c r="H500" s="12" t="n">
        <f aca="false">SUMPRODUCT(ПОТОКИ!B12:G12,ЧАСОВЫЕ_ПРОФИЛИ!B11:G11,КОЭФФИЦИЕНТЫ_ВЫБОРА!F35:K35)</f>
        <v>0</v>
      </c>
      <c r="I500" s="12" t="n">
        <f aca="false">SUMPRODUCT(ПОТОКИ!B12:G12,ЧАСОВЫЕ_ПРОФИЛИ!B11:G11,КОЭФФИЦИЕНТЫ_ВЫБОРА!F35:K35,ПАРАМЕТРЫ!$B$17:$G$17)</f>
        <v>0</v>
      </c>
      <c r="J500" s="12" t="n">
        <f aca="false">I500*G500/1000</f>
        <v>0</v>
      </c>
      <c r="K500" s="11" t="s">
        <v>217</v>
      </c>
      <c r="L500" s="11" t="s">
        <v>19</v>
      </c>
      <c r="M500" s="11" t="s">
        <v>147</v>
      </c>
    </row>
    <row r="501" customFormat="false" ht="23.85" hidden="false" customHeight="false" outlineLevel="0" collapsed="false">
      <c r="A501" s="11" t="s">
        <v>108</v>
      </c>
      <c r="B501" s="11" t="s">
        <v>124</v>
      </c>
      <c r="C501" s="11" t="n">
        <v>26</v>
      </c>
      <c r="D501" s="11" t="s">
        <v>89</v>
      </c>
      <c r="E501" s="11" t="s">
        <v>182</v>
      </c>
      <c r="F501" s="11" t="s">
        <v>88</v>
      </c>
      <c r="G501" s="12" t="n">
        <v>225</v>
      </c>
      <c r="H501" s="12" t="n">
        <f aca="false">SUMPRODUCT(ПОТОКИ!B12:G12,ЧАСОВЫЕ_ПРОФИЛИ!B11:G11,КОЭФФИЦИЕНТЫ_ВЫБОРА!F36:K36)</f>
        <v>1.2375</v>
      </c>
      <c r="I501" s="12" t="n">
        <f aca="false">SUMPRODUCT(ПОТОКИ!B12:G12,ЧАСОВЫЕ_ПРОФИЛИ!B11:G11,КОЭФФИЦИЕНТЫ_ВЫБОРА!F36:K36,ПАРАМЕТРЫ!$B$17:$G$17)</f>
        <v>1.2375</v>
      </c>
      <c r="J501" s="12" t="n">
        <f aca="false">I501*G501/1000</f>
        <v>0.2784375</v>
      </c>
      <c r="K501" s="11" t="s">
        <v>217</v>
      </c>
      <c r="L501" s="11" t="s">
        <v>19</v>
      </c>
      <c r="M501" s="11" t="s">
        <v>145</v>
      </c>
    </row>
    <row r="502" customFormat="false" ht="23.85" hidden="false" customHeight="false" outlineLevel="0" collapsed="false">
      <c r="A502" s="11" t="s">
        <v>108</v>
      </c>
      <c r="B502" s="11" t="s">
        <v>124</v>
      </c>
      <c r="C502" s="11" t="n">
        <v>27</v>
      </c>
      <c r="D502" s="11" t="s">
        <v>89</v>
      </c>
      <c r="E502" s="11" t="s">
        <v>183</v>
      </c>
      <c r="F502" s="11" t="s">
        <v>88</v>
      </c>
      <c r="G502" s="12" t="n">
        <v>265</v>
      </c>
      <c r="H502" s="12" t="n">
        <f aca="false">SUMPRODUCT(ПОТОКИ!B12:G12,ЧАСОВЫЕ_ПРОФИЛИ!B11:G11,КОЭФФИЦИЕНТЫ_ВЫБОРА!F37:K37)</f>
        <v>1.2375</v>
      </c>
      <c r="I502" s="12" t="n">
        <f aca="false">SUMPRODUCT(ПОТОКИ!B12:G12,ЧАСОВЫЕ_ПРОФИЛИ!B11:G11,КОЭФФИЦИЕНТЫ_ВЫБОРА!F37:K37,ПАРАМЕТРЫ!$B$17:$G$17)</f>
        <v>1.2375</v>
      </c>
      <c r="J502" s="12" t="n">
        <f aca="false">I502*G502/1000</f>
        <v>0.3279375</v>
      </c>
      <c r="K502" s="11" t="s">
        <v>217</v>
      </c>
      <c r="L502" s="11" t="s">
        <v>19</v>
      </c>
      <c r="M502" s="11" t="s">
        <v>145</v>
      </c>
    </row>
    <row r="503" customFormat="false" ht="23.85" hidden="false" customHeight="false" outlineLevel="0" collapsed="false">
      <c r="A503" s="11" t="s">
        <v>108</v>
      </c>
      <c r="B503" s="11" t="s">
        <v>124</v>
      </c>
      <c r="C503" s="11" t="n">
        <v>28</v>
      </c>
      <c r="D503" s="11" t="s">
        <v>89</v>
      </c>
      <c r="E503" s="11" t="s">
        <v>184</v>
      </c>
      <c r="F503" s="11" t="s">
        <v>88</v>
      </c>
      <c r="G503" s="12" t="n">
        <v>355</v>
      </c>
      <c r="H503" s="12" t="n">
        <f aca="false">SUMPRODUCT(ПОТОКИ!B12:G12,ЧАСОВЫЕ_ПРОФИЛИ!B11:G11,КОЭФФИЦИЕНТЫ_ВЫБОРА!F38:K38)</f>
        <v>0.825</v>
      </c>
      <c r="I503" s="12" t="n">
        <f aca="false">SUMPRODUCT(ПОТОКИ!B12:G12,ЧАСОВЫЕ_ПРОФИЛИ!B11:G11,КОЭФФИЦИЕНТЫ_ВЫБОРА!F38:K38,ПАРАМЕТРЫ!$B$17:$G$17)</f>
        <v>0.825</v>
      </c>
      <c r="J503" s="12" t="n">
        <f aca="false">I503*G503/1000</f>
        <v>0.292875</v>
      </c>
      <c r="K503" s="11" t="s">
        <v>217</v>
      </c>
      <c r="L503" s="11" t="s">
        <v>19</v>
      </c>
      <c r="M503" s="11" t="s">
        <v>145</v>
      </c>
    </row>
    <row r="504" customFormat="false" ht="15" hidden="false" customHeight="false" outlineLevel="0" collapsed="false">
      <c r="A504" s="11" t="s">
        <v>108</v>
      </c>
      <c r="B504" s="11" t="s">
        <v>124</v>
      </c>
      <c r="C504" s="11" t="n">
        <v>29</v>
      </c>
      <c r="D504" s="11" t="s">
        <v>92</v>
      </c>
      <c r="E504" s="11" t="s">
        <v>185</v>
      </c>
      <c r="F504" s="11" t="s">
        <v>91</v>
      </c>
      <c r="G504" s="12" t="n">
        <v>150</v>
      </c>
      <c r="H504" s="12" t="n">
        <f aca="false">SUMPRODUCT(ПОТОКИ!B12:G12,ЧАСОВЫЕ_ПРОФИЛИ!B11:G11,КОЭФФИЦИЕНТЫ_ВЫБОРА!F39:K39)</f>
        <v>0.054</v>
      </c>
      <c r="I504" s="12" t="n">
        <f aca="false">SUMPRODUCT(ПОТОКИ!B12:G12,ЧАСОВЫЕ_ПРОФИЛИ!B11:G11,КОЭФФИЦИЕНТЫ_ВЫБОРА!F39:K39,ПАРАМЕТРЫ!$B$17:$G$17)</f>
        <v>0.0594</v>
      </c>
      <c r="J504" s="12" t="n">
        <f aca="false">I504*G504/1000</f>
        <v>0.00891</v>
      </c>
      <c r="K504" s="11" t="s">
        <v>217</v>
      </c>
      <c r="L504" s="11" t="s">
        <v>19</v>
      </c>
      <c r="M504" s="11" t="s">
        <v>145</v>
      </c>
    </row>
    <row r="505" customFormat="false" ht="15" hidden="false" customHeight="false" outlineLevel="0" collapsed="false">
      <c r="A505" s="11" t="s">
        <v>108</v>
      </c>
      <c r="B505" s="11" t="s">
        <v>124</v>
      </c>
      <c r="C505" s="11" t="n">
        <v>30</v>
      </c>
      <c r="D505" s="11" t="s">
        <v>92</v>
      </c>
      <c r="E505" s="11" t="s">
        <v>186</v>
      </c>
      <c r="F505" s="11" t="s">
        <v>91</v>
      </c>
      <c r="G505" s="12" t="n">
        <v>120</v>
      </c>
      <c r="H505" s="12" t="n">
        <f aca="false">SUMPRODUCT(ПОТОКИ!B12:G12,ЧАСОВЫЕ_ПРОФИЛИ!B11:G11,КОЭФФИЦИЕНТЫ_ВЫБОРА!F40:K40)</f>
        <v>0.054</v>
      </c>
      <c r="I505" s="12" t="n">
        <f aca="false">SUMPRODUCT(ПОТОКИ!B12:G12,ЧАСОВЫЕ_ПРОФИЛИ!B11:G11,КОЭФФИЦИЕНТЫ_ВЫБОРА!F40:K40,ПАРАМЕТРЫ!$B$17:$G$17)</f>
        <v>0.0594</v>
      </c>
      <c r="J505" s="12" t="n">
        <f aca="false">I505*G505/1000</f>
        <v>0.007128</v>
      </c>
      <c r="K505" s="11" t="s">
        <v>217</v>
      </c>
      <c r="L505" s="11" t="s">
        <v>19</v>
      </c>
      <c r="M505" s="11" t="s">
        <v>145</v>
      </c>
    </row>
    <row r="506" customFormat="false" ht="15" hidden="false" customHeight="false" outlineLevel="0" collapsed="false">
      <c r="A506" s="11" t="s">
        <v>108</v>
      </c>
      <c r="B506" s="11" t="s">
        <v>124</v>
      </c>
      <c r="C506" s="11" t="n">
        <v>31</v>
      </c>
      <c r="D506" s="11" t="s">
        <v>92</v>
      </c>
      <c r="E506" s="11" t="s">
        <v>187</v>
      </c>
      <c r="F506" s="11" t="s">
        <v>91</v>
      </c>
      <c r="G506" s="12" t="n">
        <v>60</v>
      </c>
      <c r="H506" s="12" t="n">
        <f aca="false">SUMPRODUCT(ПОТОКИ!B12:G12,ЧАСОВЫЕ_ПРОФИЛИ!B11:G11,КОЭФФИЦИЕНТЫ_ВЫБОРА!F41:K41)</f>
        <v>0.072</v>
      </c>
      <c r="I506" s="12" t="n">
        <f aca="false">SUMPRODUCT(ПОТОКИ!B12:G12,ЧАСОВЫЕ_ПРОФИЛИ!B11:G11,КОЭФФИЦИЕНТЫ_ВЫБОРА!F41:K41,ПАРАМЕТРЫ!$B$17:$G$17)</f>
        <v>0.0792</v>
      </c>
      <c r="J506" s="12" t="n">
        <f aca="false">I506*G506/1000</f>
        <v>0.004752</v>
      </c>
      <c r="K506" s="11" t="s">
        <v>217</v>
      </c>
      <c r="L506" s="11" t="s">
        <v>19</v>
      </c>
      <c r="M506" s="11" t="s">
        <v>145</v>
      </c>
    </row>
    <row r="507" customFormat="false" ht="15" hidden="false" customHeight="false" outlineLevel="0" collapsed="false">
      <c r="A507" s="11" t="s">
        <v>108</v>
      </c>
      <c r="B507" s="11" t="s">
        <v>125</v>
      </c>
      <c r="C507" s="11" t="n">
        <v>1</v>
      </c>
      <c r="D507" s="11" t="s">
        <v>74</v>
      </c>
      <c r="E507" s="11" t="s">
        <v>153</v>
      </c>
      <c r="F507" s="11" t="s">
        <v>73</v>
      </c>
      <c r="G507" s="12" t="n">
        <v>450</v>
      </c>
      <c r="H507" s="12" t="n">
        <f aca="false">SUMPRODUCT(ПОТОКИ!B12:G12,ЧАСОВЫЕ_ПРОФИЛИ!B12:G12,КОЭФФИЦИЕНТЫ_ВЫБОРА!F11:K11)</f>
        <v>0</v>
      </c>
      <c r="I507" s="12" t="n">
        <f aca="false">SUMPRODUCT(ПОТОКИ!B12:G12,ЧАСОВЫЕ_ПРОФИЛИ!B12:G12,КОЭФФИЦИЕНТЫ_ВЫБОРА!F11:K11,ПАРАМЕТРЫ!$B$17:$G$17)</f>
        <v>0</v>
      </c>
      <c r="J507" s="12" t="n">
        <f aca="false">I507*G507/1000</f>
        <v>0</v>
      </c>
      <c r="K507" s="11" t="s">
        <v>217</v>
      </c>
      <c r="L507" s="11" t="s">
        <v>19</v>
      </c>
      <c r="M507" s="11" t="s">
        <v>145</v>
      </c>
    </row>
    <row r="508" customFormat="false" ht="15" hidden="false" customHeight="false" outlineLevel="0" collapsed="false">
      <c r="A508" s="11" t="s">
        <v>108</v>
      </c>
      <c r="B508" s="11" t="s">
        <v>125</v>
      </c>
      <c r="C508" s="11" t="n">
        <v>2</v>
      </c>
      <c r="D508" s="11" t="s">
        <v>74</v>
      </c>
      <c r="E508" s="11" t="s">
        <v>154</v>
      </c>
      <c r="F508" s="11" t="s">
        <v>73</v>
      </c>
      <c r="G508" s="12" t="n">
        <v>480</v>
      </c>
      <c r="H508" s="12" t="n">
        <f aca="false">SUMPRODUCT(ПОТОКИ!B12:G12,ЧАСОВЫЕ_ПРОФИЛИ!B12:G12,КОЭФФИЦИЕНТЫ_ВЫБОРА!F12:K12)</f>
        <v>0</v>
      </c>
      <c r="I508" s="12" t="n">
        <f aca="false">SUMPRODUCT(ПОТОКИ!B12:G12,ЧАСОВЫЕ_ПРОФИЛИ!B12:G12,КОЭФФИЦИЕНТЫ_ВЫБОРА!F12:K12,ПАРАМЕТРЫ!$B$17:$G$17)</f>
        <v>0</v>
      </c>
      <c r="J508" s="12" t="n">
        <f aca="false">I508*G508/1000</f>
        <v>0</v>
      </c>
      <c r="K508" s="11" t="s">
        <v>217</v>
      </c>
      <c r="L508" s="11" t="s">
        <v>19</v>
      </c>
      <c r="M508" s="11" t="s">
        <v>145</v>
      </c>
    </row>
    <row r="509" customFormat="false" ht="15" hidden="false" customHeight="false" outlineLevel="0" collapsed="false">
      <c r="A509" s="11" t="s">
        <v>108</v>
      </c>
      <c r="B509" s="11" t="s">
        <v>125</v>
      </c>
      <c r="C509" s="11" t="n">
        <v>3</v>
      </c>
      <c r="D509" s="11" t="s">
        <v>74</v>
      </c>
      <c r="E509" s="11" t="s">
        <v>155</v>
      </c>
      <c r="F509" s="11" t="s">
        <v>73</v>
      </c>
      <c r="G509" s="12" t="n">
        <v>500</v>
      </c>
      <c r="H509" s="12" t="n">
        <f aca="false">SUMPRODUCT(ПОТОКИ!B12:G12,ЧАСОВЫЕ_ПРОФИЛИ!B12:G12,КОЭФФИЦИЕНТЫ_ВЫБОРА!F13:K13)</f>
        <v>0</v>
      </c>
      <c r="I509" s="12" t="n">
        <f aca="false">SUMPRODUCT(ПОТОКИ!B12:G12,ЧАСОВЫЕ_ПРОФИЛИ!B12:G12,КОЭФФИЦИЕНТЫ_ВЫБОРА!F13:K13,ПАРАМЕТРЫ!$B$17:$G$17)</f>
        <v>0</v>
      </c>
      <c r="J509" s="12" t="n">
        <f aca="false">I509*G509/1000</f>
        <v>0</v>
      </c>
      <c r="K509" s="11" t="s">
        <v>217</v>
      </c>
      <c r="L509" s="11" t="s">
        <v>19</v>
      </c>
      <c r="M509" s="11" t="s">
        <v>145</v>
      </c>
    </row>
    <row r="510" customFormat="false" ht="15" hidden="false" customHeight="false" outlineLevel="0" collapsed="false">
      <c r="A510" s="11" t="s">
        <v>108</v>
      </c>
      <c r="B510" s="11" t="s">
        <v>125</v>
      </c>
      <c r="C510" s="11" t="n">
        <v>4</v>
      </c>
      <c r="D510" s="11" t="s">
        <v>74</v>
      </c>
      <c r="E510" s="11" t="s">
        <v>156</v>
      </c>
      <c r="F510" s="11" t="s">
        <v>73</v>
      </c>
      <c r="G510" s="12" t="n">
        <v>500</v>
      </c>
      <c r="H510" s="12" t="n">
        <f aca="false">SUMPRODUCT(ПОТОКИ!B12:G12,ЧАСОВЫЕ_ПРОФИЛИ!B12:G12,КОЭФФИЦИЕНТЫ_ВЫБОРА!F14:K14)</f>
        <v>0</v>
      </c>
      <c r="I510" s="12" t="n">
        <f aca="false">SUMPRODUCT(ПОТОКИ!B12:G12,ЧАСОВЫЕ_ПРОФИЛИ!B12:G12,КОЭФФИЦИЕНТЫ_ВЫБОРА!F14:K14,ПАРАМЕТРЫ!$B$17:$G$17)</f>
        <v>0</v>
      </c>
      <c r="J510" s="12" t="n">
        <f aca="false">I510*G510/1000</f>
        <v>0</v>
      </c>
      <c r="K510" s="11" t="s">
        <v>217</v>
      </c>
      <c r="L510" s="11" t="s">
        <v>19</v>
      </c>
      <c r="M510" s="11" t="s">
        <v>145</v>
      </c>
    </row>
    <row r="511" customFormat="false" ht="15" hidden="false" customHeight="false" outlineLevel="0" collapsed="false">
      <c r="A511" s="11" t="s">
        <v>108</v>
      </c>
      <c r="B511" s="11" t="s">
        <v>125</v>
      </c>
      <c r="C511" s="11" t="n">
        <v>5</v>
      </c>
      <c r="D511" s="11" t="s">
        <v>78</v>
      </c>
      <c r="E511" s="11" t="s">
        <v>157</v>
      </c>
      <c r="F511" s="11" t="s">
        <v>77</v>
      </c>
      <c r="G511" s="12" t="n">
        <v>100</v>
      </c>
      <c r="H511" s="12" t="n">
        <f aca="false">SUMPRODUCT(ПОТОКИ!B12:G12,ЧАСОВЫЕ_ПРОФИЛИ!B12:G12,КОЭФФИЦИЕНТЫ_ВЫБОРА!F15:K15)</f>
        <v>0.18</v>
      </c>
      <c r="I511" s="12" t="n">
        <f aca="false">SUMPRODUCT(ПОТОКИ!B12:G12,ЧАСОВЫЕ_ПРОФИЛИ!B12:G12,КОЭФФИЦИЕНТЫ_ВЫБОРА!F15:K15,ПАРАМЕТРЫ!$B$17:$G$17)</f>
        <v>0.198</v>
      </c>
      <c r="J511" s="12" t="n">
        <f aca="false">I511*G511/1000</f>
        <v>0.0198</v>
      </c>
      <c r="K511" s="11" t="s">
        <v>217</v>
      </c>
      <c r="L511" s="11" t="s">
        <v>19</v>
      </c>
      <c r="M511" s="11" t="s">
        <v>147</v>
      </c>
    </row>
    <row r="512" customFormat="false" ht="15" hidden="false" customHeight="false" outlineLevel="0" collapsed="false">
      <c r="A512" s="11" t="s">
        <v>108</v>
      </c>
      <c r="B512" s="11" t="s">
        <v>125</v>
      </c>
      <c r="C512" s="11" t="n">
        <v>6</v>
      </c>
      <c r="D512" s="11" t="s">
        <v>78</v>
      </c>
      <c r="E512" s="11" t="s">
        <v>158</v>
      </c>
      <c r="F512" s="11" t="s">
        <v>77</v>
      </c>
      <c r="G512" s="12" t="n">
        <v>100</v>
      </c>
      <c r="H512" s="12" t="n">
        <f aca="false">SUMPRODUCT(ПОТОКИ!B12:G12,ЧАСОВЫЕ_ПРОФИЛИ!B12:G12,КОЭФФИЦИЕНТЫ_ВЫБОРА!F16:K16)</f>
        <v>0.18</v>
      </c>
      <c r="I512" s="12" t="n">
        <f aca="false">SUMPRODUCT(ПОТОКИ!B12:G12,ЧАСОВЫЕ_ПРОФИЛИ!B12:G12,КОЭФФИЦИЕНТЫ_ВЫБОРА!F16:K16,ПАРАМЕТРЫ!$B$17:$G$17)</f>
        <v>0.198</v>
      </c>
      <c r="J512" s="12" t="n">
        <f aca="false">I512*G512/1000</f>
        <v>0.0198</v>
      </c>
      <c r="K512" s="11" t="s">
        <v>217</v>
      </c>
      <c r="L512" s="11" t="s">
        <v>19</v>
      </c>
      <c r="M512" s="11" t="s">
        <v>147</v>
      </c>
    </row>
    <row r="513" customFormat="false" ht="15" hidden="false" customHeight="false" outlineLevel="0" collapsed="false">
      <c r="A513" s="11" t="s">
        <v>108</v>
      </c>
      <c r="B513" s="11" t="s">
        <v>125</v>
      </c>
      <c r="C513" s="11" t="n">
        <v>7</v>
      </c>
      <c r="D513" s="11" t="s">
        <v>78</v>
      </c>
      <c r="E513" s="11" t="s">
        <v>159</v>
      </c>
      <c r="F513" s="11" t="s">
        <v>77</v>
      </c>
      <c r="G513" s="12" t="n">
        <v>350</v>
      </c>
      <c r="H513" s="12" t="n">
        <f aca="false">SUMPRODUCT(ПОТОКИ!B12:G12,ЧАСОВЫЕ_ПРОФИЛИ!B12:G12,КОЭФФИЦИЕНТЫ_ВЫБОРА!F17:K17)</f>
        <v>0.15</v>
      </c>
      <c r="I513" s="12" t="n">
        <f aca="false">SUMPRODUCT(ПОТОКИ!B12:G12,ЧАСОВЫЕ_ПРОФИЛИ!B12:G12,КОЭФФИЦИЕНТЫ_ВЫБОРА!F17:K17,ПАРАМЕТРЫ!$B$17:$G$17)</f>
        <v>0.165</v>
      </c>
      <c r="J513" s="12" t="n">
        <f aca="false">I513*G513/1000</f>
        <v>0.05775</v>
      </c>
      <c r="K513" s="11" t="s">
        <v>217</v>
      </c>
      <c r="L513" s="11" t="s">
        <v>19</v>
      </c>
      <c r="M513" s="11" t="s">
        <v>147</v>
      </c>
    </row>
    <row r="514" customFormat="false" ht="15" hidden="false" customHeight="false" outlineLevel="0" collapsed="false">
      <c r="A514" s="11" t="s">
        <v>108</v>
      </c>
      <c r="B514" s="11" t="s">
        <v>125</v>
      </c>
      <c r="C514" s="11" t="n">
        <v>8</v>
      </c>
      <c r="D514" s="11" t="s">
        <v>78</v>
      </c>
      <c r="E514" s="11" t="s">
        <v>160</v>
      </c>
      <c r="F514" s="11" t="s">
        <v>77</v>
      </c>
      <c r="G514" s="12" t="n">
        <v>85</v>
      </c>
      <c r="H514" s="12" t="n">
        <f aca="false">SUMPRODUCT(ПОТОКИ!B12:G12,ЧАСОВЫЕ_ПРОФИЛИ!B12:G12,КОЭФФИЦИЕНТЫ_ВЫБОРА!F18:K18)</f>
        <v>0.09</v>
      </c>
      <c r="I514" s="12" t="n">
        <f aca="false">SUMPRODUCT(ПОТОКИ!B12:G12,ЧАСОВЫЕ_ПРОФИЛИ!B12:G12,КОЭФФИЦИЕНТЫ_ВЫБОРА!F18:K18,ПАРАМЕТРЫ!$B$17:$G$17)</f>
        <v>0.099</v>
      </c>
      <c r="J514" s="12" t="n">
        <f aca="false">I514*G514/1000</f>
        <v>0.008415</v>
      </c>
      <c r="K514" s="11" t="s">
        <v>217</v>
      </c>
      <c r="L514" s="11" t="s">
        <v>19</v>
      </c>
      <c r="M514" s="11" t="s">
        <v>147</v>
      </c>
    </row>
    <row r="515" customFormat="false" ht="15" hidden="false" customHeight="false" outlineLevel="0" collapsed="false">
      <c r="A515" s="11" t="s">
        <v>108</v>
      </c>
      <c r="B515" s="11" t="s">
        <v>125</v>
      </c>
      <c r="C515" s="11" t="n">
        <v>9</v>
      </c>
      <c r="D515" s="11" t="s">
        <v>161</v>
      </c>
      <c r="E515" s="11" t="s">
        <v>162</v>
      </c>
      <c r="F515" s="11" t="s">
        <v>80</v>
      </c>
      <c r="G515" s="12" t="n">
        <v>300</v>
      </c>
      <c r="H515" s="12" t="n">
        <f aca="false">SUMPRODUCT(ПОТОКИ!B12:G12,ЧАСОВЫЕ_ПРОФИЛИ!B12:G12,КОЭФФИЦИЕНТЫ_ВЫБОРА!F19:K19)</f>
        <v>0</v>
      </c>
      <c r="I515" s="12" t="n">
        <f aca="false">SUMPRODUCT(ПОТОКИ!B12:G12,ЧАСОВЫЕ_ПРОФИЛИ!B12:G12,КОЭФФИЦИЕНТЫ_ВЫБОРА!F19:K19,ПАРАМЕТРЫ!$B$17:$G$17)</f>
        <v>0</v>
      </c>
      <c r="J515" s="12" t="n">
        <f aca="false">I515*G515/1000</f>
        <v>0</v>
      </c>
      <c r="K515" s="11" t="s">
        <v>217</v>
      </c>
      <c r="L515" s="11" t="s">
        <v>19</v>
      </c>
      <c r="M515" s="11" t="s">
        <v>145</v>
      </c>
    </row>
    <row r="516" customFormat="false" ht="15" hidden="false" customHeight="false" outlineLevel="0" collapsed="false">
      <c r="A516" s="11" t="s">
        <v>108</v>
      </c>
      <c r="B516" s="11" t="s">
        <v>125</v>
      </c>
      <c r="C516" s="11" t="n">
        <v>10</v>
      </c>
      <c r="D516" s="11" t="s">
        <v>161</v>
      </c>
      <c r="E516" s="11" t="s">
        <v>163</v>
      </c>
      <c r="F516" s="11" t="s">
        <v>80</v>
      </c>
      <c r="G516" s="12" t="n">
        <v>280</v>
      </c>
      <c r="H516" s="12" t="n">
        <f aca="false">SUMPRODUCT(ПОТОКИ!B12:G12,ЧАСОВЫЕ_ПРОФИЛИ!B12:G12,КОЭФФИЦИЕНТЫ_ВЫБОРА!F20:K20)</f>
        <v>0</v>
      </c>
      <c r="I516" s="12" t="n">
        <f aca="false">SUMPRODUCT(ПОТОКИ!B12:G12,ЧАСОВЫЕ_ПРОФИЛИ!B12:G12,КОЭФФИЦИЕНТЫ_ВЫБОРА!F20:K20,ПАРАМЕТРЫ!$B$17:$G$17)</f>
        <v>0</v>
      </c>
      <c r="J516" s="12" t="n">
        <f aca="false">I516*G516/1000</f>
        <v>0</v>
      </c>
      <c r="K516" s="11" t="s">
        <v>217</v>
      </c>
      <c r="L516" s="11" t="s">
        <v>19</v>
      </c>
      <c r="M516" s="11" t="s">
        <v>145</v>
      </c>
    </row>
    <row r="517" customFormat="false" ht="15" hidden="false" customHeight="false" outlineLevel="0" collapsed="false">
      <c r="A517" s="11" t="s">
        <v>108</v>
      </c>
      <c r="B517" s="11" t="s">
        <v>125</v>
      </c>
      <c r="C517" s="11" t="n">
        <v>11</v>
      </c>
      <c r="D517" s="11" t="s">
        <v>161</v>
      </c>
      <c r="E517" s="11" t="s">
        <v>164</v>
      </c>
      <c r="F517" s="11" t="s">
        <v>80</v>
      </c>
      <c r="G517" s="12" t="n">
        <v>270</v>
      </c>
      <c r="H517" s="12" t="n">
        <f aca="false">SUMPRODUCT(ПОТОКИ!B12:G12,ЧАСОВЫЕ_ПРОФИЛИ!B12:G12,КОЭФФИЦИЕНТЫ_ВЫБОРА!F21:K21)</f>
        <v>0</v>
      </c>
      <c r="I517" s="12" t="n">
        <f aca="false">SUMPRODUCT(ПОТОКИ!B12:G12,ЧАСОВЫЕ_ПРОФИЛИ!B12:G12,КОЭФФИЦИЕНТЫ_ВЫБОРА!F21:K21,ПАРАМЕТРЫ!$B$17:$G$17)</f>
        <v>0</v>
      </c>
      <c r="J517" s="12" t="n">
        <f aca="false">I517*G517/1000</f>
        <v>0</v>
      </c>
      <c r="K517" s="11" t="s">
        <v>217</v>
      </c>
      <c r="L517" s="11" t="s">
        <v>19</v>
      </c>
      <c r="M517" s="11" t="s">
        <v>145</v>
      </c>
    </row>
    <row r="518" customFormat="false" ht="15" hidden="false" customHeight="false" outlineLevel="0" collapsed="false">
      <c r="A518" s="11" t="s">
        <v>108</v>
      </c>
      <c r="B518" s="11" t="s">
        <v>125</v>
      </c>
      <c r="C518" s="11" t="n">
        <v>12</v>
      </c>
      <c r="D518" s="11" t="s">
        <v>161</v>
      </c>
      <c r="E518" s="11" t="s">
        <v>165</v>
      </c>
      <c r="F518" s="11" t="s">
        <v>80</v>
      </c>
      <c r="G518" s="12" t="n">
        <v>240</v>
      </c>
      <c r="H518" s="12" t="n">
        <f aca="false">SUMPRODUCT(ПОТОКИ!B12:G12,ЧАСОВЫЕ_ПРОФИЛИ!B12:G12,КОЭФФИЦИЕНТЫ_ВЫБОРА!F22:K22)</f>
        <v>0</v>
      </c>
      <c r="I518" s="12" t="n">
        <f aca="false">SUMPRODUCT(ПОТОКИ!B12:G12,ЧАСОВЫЕ_ПРОФИЛИ!B12:G12,КОЭФФИЦИЕНТЫ_ВЫБОРА!F22:K22,ПАРАМЕТРЫ!$B$17:$G$17)</f>
        <v>0</v>
      </c>
      <c r="J518" s="12" t="n">
        <f aca="false">I518*G518/1000</f>
        <v>0</v>
      </c>
      <c r="K518" s="11" t="s">
        <v>217</v>
      </c>
      <c r="L518" s="11" t="s">
        <v>19</v>
      </c>
      <c r="M518" s="11" t="s">
        <v>145</v>
      </c>
    </row>
    <row r="519" customFormat="false" ht="15" hidden="false" customHeight="false" outlineLevel="0" collapsed="false">
      <c r="A519" s="11" t="s">
        <v>108</v>
      </c>
      <c r="B519" s="11" t="s">
        <v>125</v>
      </c>
      <c r="C519" s="11" t="n">
        <v>13</v>
      </c>
      <c r="D519" s="11" t="s">
        <v>166</v>
      </c>
      <c r="E519" s="11" t="s">
        <v>167</v>
      </c>
      <c r="F519" s="11" t="s">
        <v>80</v>
      </c>
      <c r="G519" s="12" t="n">
        <v>130</v>
      </c>
      <c r="H519" s="12" t="n">
        <f aca="false">SUMPRODUCT(ПОТОКИ!B12:G12,ЧАСОВЫЕ_ПРОФИЛИ!B12:G12,КОЭФФИЦИЕНТЫ_ВЫБОРА!F23:K23)</f>
        <v>0</v>
      </c>
      <c r="I519" s="12" t="n">
        <f aca="false">SUMPRODUCT(ПОТОКИ!B12:G12,ЧАСОВЫЕ_ПРОФИЛИ!B12:G12,КОЭФФИЦИЕНТЫ_ВЫБОРА!F23:K23,ПАРАМЕТРЫ!$B$17:$G$17)</f>
        <v>0</v>
      </c>
      <c r="J519" s="12" t="n">
        <f aca="false">I519*G519/1000</f>
        <v>0</v>
      </c>
      <c r="K519" s="11" t="s">
        <v>217</v>
      </c>
      <c r="L519" s="11" t="s">
        <v>19</v>
      </c>
      <c r="M519" s="11" t="s">
        <v>145</v>
      </c>
    </row>
    <row r="520" customFormat="false" ht="15" hidden="false" customHeight="false" outlineLevel="0" collapsed="false">
      <c r="A520" s="11" t="s">
        <v>108</v>
      </c>
      <c r="B520" s="11" t="s">
        <v>125</v>
      </c>
      <c r="C520" s="11" t="n">
        <v>14</v>
      </c>
      <c r="D520" s="11" t="s">
        <v>166</v>
      </c>
      <c r="E520" s="11" t="s">
        <v>168</v>
      </c>
      <c r="F520" s="11" t="s">
        <v>80</v>
      </c>
      <c r="G520" s="12" t="n">
        <v>250</v>
      </c>
      <c r="H520" s="12" t="n">
        <f aca="false">SUMPRODUCT(ПОТОКИ!B12:G12,ЧАСОВЫЕ_ПРОФИЛИ!B12:G12,КОЭФФИЦИЕНТЫ_ВЫБОРА!F24:K24)</f>
        <v>0</v>
      </c>
      <c r="I520" s="12" t="n">
        <f aca="false">SUMPRODUCT(ПОТОКИ!B12:G12,ЧАСОВЫЕ_ПРОФИЛИ!B12:G12,КОЭФФИЦИЕНТЫ_ВЫБОРА!F24:K24,ПАРАМЕТРЫ!$B$17:$G$17)</f>
        <v>0</v>
      </c>
      <c r="J520" s="12" t="n">
        <f aca="false">I520*G520/1000</f>
        <v>0</v>
      </c>
      <c r="K520" s="11" t="s">
        <v>217</v>
      </c>
      <c r="L520" s="11" t="s">
        <v>19</v>
      </c>
      <c r="M520" s="11" t="s">
        <v>145</v>
      </c>
    </row>
    <row r="521" customFormat="false" ht="15" hidden="false" customHeight="false" outlineLevel="0" collapsed="false">
      <c r="A521" s="11" t="s">
        <v>108</v>
      </c>
      <c r="B521" s="11" t="s">
        <v>125</v>
      </c>
      <c r="C521" s="11" t="n">
        <v>15</v>
      </c>
      <c r="D521" s="11" t="s">
        <v>166</v>
      </c>
      <c r="E521" s="11" t="s">
        <v>169</v>
      </c>
      <c r="F521" s="11" t="s">
        <v>80</v>
      </c>
      <c r="G521" s="12" t="n">
        <v>120</v>
      </c>
      <c r="H521" s="12" t="n">
        <f aca="false">SUMPRODUCT(ПОТОКИ!B12:G12,ЧАСОВЫЕ_ПРОФИЛИ!B12:G12,КОЭФФИЦИЕНТЫ_ВЫБОРА!F25:K25)</f>
        <v>0</v>
      </c>
      <c r="I521" s="12" t="n">
        <f aca="false">SUMPRODUCT(ПОТОКИ!B12:G12,ЧАСОВЫЕ_ПРОФИЛИ!B12:G12,КОЭФФИЦИЕНТЫ_ВЫБОРА!F25:K25,ПАРАМЕТРЫ!$B$17:$G$17)</f>
        <v>0</v>
      </c>
      <c r="J521" s="12" t="n">
        <f aca="false">I521*G521/1000</f>
        <v>0</v>
      </c>
      <c r="K521" s="11" t="s">
        <v>217</v>
      </c>
      <c r="L521" s="11" t="s">
        <v>19</v>
      </c>
      <c r="M521" s="11" t="s">
        <v>145</v>
      </c>
    </row>
    <row r="522" customFormat="false" ht="15" hidden="false" customHeight="false" outlineLevel="0" collapsed="false">
      <c r="A522" s="11" t="s">
        <v>108</v>
      </c>
      <c r="B522" s="11" t="s">
        <v>125</v>
      </c>
      <c r="C522" s="11" t="n">
        <v>16</v>
      </c>
      <c r="D522" s="11" t="s">
        <v>166</v>
      </c>
      <c r="E522" s="11" t="s">
        <v>170</v>
      </c>
      <c r="F522" s="11" t="s">
        <v>80</v>
      </c>
      <c r="G522" s="12" t="n">
        <v>180</v>
      </c>
      <c r="H522" s="12" t="n">
        <f aca="false">SUMPRODUCT(ПОТОКИ!B12:G12,ЧАСОВЫЕ_ПРОФИЛИ!B12:G12,КОЭФФИЦИЕНТЫ_ВЫБОРА!F26:K26)</f>
        <v>0</v>
      </c>
      <c r="I522" s="12" t="n">
        <f aca="false">SUMPRODUCT(ПОТОКИ!B12:G12,ЧАСОВЫЕ_ПРОФИЛИ!B12:G12,КОЭФФИЦИЕНТЫ_ВЫБОРА!F26:K26,ПАРАМЕТРЫ!$B$17:$G$17)</f>
        <v>0</v>
      </c>
      <c r="J522" s="12" t="n">
        <f aca="false">I522*G522/1000</f>
        <v>0</v>
      </c>
      <c r="K522" s="11" t="s">
        <v>217</v>
      </c>
      <c r="L522" s="11" t="s">
        <v>19</v>
      </c>
      <c r="M522" s="11" t="s">
        <v>145</v>
      </c>
    </row>
    <row r="523" customFormat="false" ht="15" hidden="false" customHeight="false" outlineLevel="0" collapsed="false">
      <c r="A523" s="11" t="s">
        <v>108</v>
      </c>
      <c r="B523" s="11" t="s">
        <v>125</v>
      </c>
      <c r="C523" s="11" t="n">
        <v>17</v>
      </c>
      <c r="D523" s="11" t="s">
        <v>166</v>
      </c>
      <c r="E523" s="11" t="s">
        <v>171</v>
      </c>
      <c r="F523" s="11" t="s">
        <v>80</v>
      </c>
      <c r="G523" s="12" t="n">
        <v>180</v>
      </c>
      <c r="H523" s="12" t="n">
        <f aca="false">SUMPRODUCT(ПОТОКИ!B12:G12,ЧАСОВЫЕ_ПРОФИЛИ!B12:G12,КОЭФФИЦИЕНТЫ_ВЫБОРА!F27:K27)</f>
        <v>0</v>
      </c>
      <c r="I523" s="12" t="n">
        <f aca="false">SUMPRODUCT(ПОТОКИ!B12:G12,ЧАСОВЫЕ_ПРОФИЛИ!B12:G12,КОЭФФИЦИЕНТЫ_ВЫБОРА!F27:K27,ПАРАМЕТРЫ!$B$17:$G$17)</f>
        <v>0</v>
      </c>
      <c r="J523" s="12" t="n">
        <f aca="false">I523*G523/1000</f>
        <v>0</v>
      </c>
      <c r="K523" s="11" t="s">
        <v>217</v>
      </c>
      <c r="L523" s="11" t="s">
        <v>19</v>
      </c>
      <c r="M523" s="11" t="s">
        <v>145</v>
      </c>
    </row>
    <row r="524" customFormat="false" ht="15" hidden="false" customHeight="false" outlineLevel="0" collapsed="false">
      <c r="A524" s="11" t="s">
        <v>108</v>
      </c>
      <c r="B524" s="11" t="s">
        <v>125</v>
      </c>
      <c r="C524" s="11" t="n">
        <v>18</v>
      </c>
      <c r="D524" s="11" t="s">
        <v>172</v>
      </c>
      <c r="E524" s="11" t="s">
        <v>173</v>
      </c>
      <c r="F524" s="11" t="s">
        <v>83</v>
      </c>
      <c r="G524" s="12" t="n">
        <v>400</v>
      </c>
      <c r="H524" s="12" t="n">
        <f aca="false">SUMPRODUCT(ПОТОКИ!B12:G12,ЧАСОВЫЕ_ПРОФИЛИ!B12:G12,КОЭФФИЦИЕНТЫ_ВЫБОРА!F28:K28)</f>
        <v>0</v>
      </c>
      <c r="I524" s="12" t="n">
        <f aca="false">SUMPRODUCT(ПОТОКИ!B12:G12,ЧАСОВЫЕ_ПРОФИЛИ!B12:G12,КОЭФФИЦИЕНТЫ_ВЫБОРА!F28:K28,ПАРАМЕТРЫ!$B$17:$G$17)</f>
        <v>0</v>
      </c>
      <c r="J524" s="12" t="n">
        <f aca="false">I524*G524/1000</f>
        <v>0</v>
      </c>
      <c r="K524" s="11" t="s">
        <v>217</v>
      </c>
      <c r="L524" s="11" t="s">
        <v>19</v>
      </c>
      <c r="M524" s="11" t="s">
        <v>145</v>
      </c>
    </row>
    <row r="525" customFormat="false" ht="23.85" hidden="false" customHeight="false" outlineLevel="0" collapsed="false">
      <c r="A525" s="11" t="s">
        <v>108</v>
      </c>
      <c r="B525" s="11" t="s">
        <v>125</v>
      </c>
      <c r="C525" s="11" t="n">
        <v>19</v>
      </c>
      <c r="D525" s="11" t="s">
        <v>174</v>
      </c>
      <c r="E525" s="11" t="s">
        <v>175</v>
      </c>
      <c r="F525" s="11" t="s">
        <v>83</v>
      </c>
      <c r="G525" s="12" t="n">
        <v>300</v>
      </c>
      <c r="H525" s="12" t="n">
        <f aca="false">SUMPRODUCT(ПОТОКИ!B12:G12,ЧАСОВЫЕ_ПРОФИЛИ!B12:G12,КОЭФФИЦИЕНТЫ_ВЫБОРА!F29:K29)</f>
        <v>0</v>
      </c>
      <c r="I525" s="12" t="n">
        <f aca="false">SUMPRODUCT(ПОТОКИ!B12:G12,ЧАСОВЫЕ_ПРОФИЛИ!B12:G12,КОЭФФИЦИЕНТЫ_ВЫБОРА!F29:K29,ПАРАМЕТРЫ!$B$17:$G$17)</f>
        <v>0</v>
      </c>
      <c r="J525" s="12" t="n">
        <f aca="false">I525*G525/1000</f>
        <v>0</v>
      </c>
      <c r="K525" s="11" t="s">
        <v>217</v>
      </c>
      <c r="L525" s="11" t="s">
        <v>19</v>
      </c>
      <c r="M525" s="11" t="s">
        <v>145</v>
      </c>
    </row>
    <row r="526" customFormat="false" ht="15" hidden="false" customHeight="false" outlineLevel="0" collapsed="false">
      <c r="A526" s="11" t="s">
        <v>108</v>
      </c>
      <c r="B526" s="11" t="s">
        <v>125</v>
      </c>
      <c r="C526" s="11" t="n">
        <v>20</v>
      </c>
      <c r="D526" s="11" t="s">
        <v>174</v>
      </c>
      <c r="E526" s="11" t="s">
        <v>176</v>
      </c>
      <c r="F526" s="11" t="s">
        <v>83</v>
      </c>
      <c r="G526" s="12" t="n">
        <v>360</v>
      </c>
      <c r="H526" s="12" t="n">
        <f aca="false">SUMPRODUCT(ПОТОКИ!B12:G12,ЧАСОВЫЕ_ПРОФИЛИ!B12:G12,КОЭФФИЦИЕНТЫ_ВЫБОРА!F30:K30)</f>
        <v>0</v>
      </c>
      <c r="I526" s="12" t="n">
        <f aca="false">SUMPRODUCT(ПОТОКИ!B12:G12,ЧАСОВЫЕ_ПРОФИЛИ!B12:G12,КОЭФФИЦИЕНТЫ_ВЫБОРА!F30:K30,ПАРАМЕТРЫ!$B$17:$G$17)</f>
        <v>0</v>
      </c>
      <c r="J526" s="12" t="n">
        <f aca="false">I526*G526/1000</f>
        <v>0</v>
      </c>
      <c r="K526" s="11" t="s">
        <v>217</v>
      </c>
      <c r="L526" s="11" t="s">
        <v>19</v>
      </c>
      <c r="M526" s="11" t="s">
        <v>145</v>
      </c>
    </row>
    <row r="527" customFormat="false" ht="15" hidden="false" customHeight="false" outlineLevel="0" collapsed="false">
      <c r="A527" s="11" t="s">
        <v>108</v>
      </c>
      <c r="B527" s="11" t="s">
        <v>125</v>
      </c>
      <c r="C527" s="11" t="n">
        <v>21</v>
      </c>
      <c r="D527" s="11" t="s">
        <v>174</v>
      </c>
      <c r="E527" s="11" t="s">
        <v>177</v>
      </c>
      <c r="F527" s="11" t="s">
        <v>83</v>
      </c>
      <c r="G527" s="12" t="n">
        <v>350</v>
      </c>
      <c r="H527" s="12" t="n">
        <f aca="false">SUMPRODUCT(ПОТОКИ!B12:G12,ЧАСОВЫЕ_ПРОФИЛИ!B12:G12,КОЭФФИЦИЕНТЫ_ВЫБОРА!F31:K31)</f>
        <v>0</v>
      </c>
      <c r="I527" s="12" t="n">
        <f aca="false">SUMPRODUCT(ПОТОКИ!B12:G12,ЧАСОВЫЕ_ПРОФИЛИ!B12:G12,КОЭФФИЦИЕНТЫ_ВЫБОРА!F31:K31,ПАРАМЕТРЫ!$B$17:$G$17)</f>
        <v>0</v>
      </c>
      <c r="J527" s="12" t="n">
        <f aca="false">I527*G527/1000</f>
        <v>0</v>
      </c>
      <c r="K527" s="11" t="s">
        <v>217</v>
      </c>
      <c r="L527" s="11" t="s">
        <v>19</v>
      </c>
      <c r="M527" s="11" t="s">
        <v>145</v>
      </c>
    </row>
    <row r="528" customFormat="false" ht="15" hidden="false" customHeight="false" outlineLevel="0" collapsed="false">
      <c r="A528" s="11" t="s">
        <v>108</v>
      </c>
      <c r="B528" s="11" t="s">
        <v>125</v>
      </c>
      <c r="C528" s="11" t="n">
        <v>22</v>
      </c>
      <c r="D528" s="11" t="s">
        <v>174</v>
      </c>
      <c r="E528" s="11" t="s">
        <v>178</v>
      </c>
      <c r="F528" s="11" t="s">
        <v>83</v>
      </c>
      <c r="G528" s="12" t="n">
        <v>300</v>
      </c>
      <c r="H528" s="12" t="n">
        <f aca="false">SUMPRODUCT(ПОТОКИ!B12:G12,ЧАСОВЫЕ_ПРОФИЛИ!B12:G12,КОЭФФИЦИЕНТЫ_ВЫБОРА!F32:K32)</f>
        <v>0</v>
      </c>
      <c r="I528" s="12" t="n">
        <f aca="false">SUMPRODUCT(ПОТОКИ!B12:G12,ЧАСОВЫЕ_ПРОФИЛИ!B12:G12,КОЭФФИЦИЕНТЫ_ВЫБОРА!F32:K32,ПАРАМЕТРЫ!$B$17:$G$17)</f>
        <v>0</v>
      </c>
      <c r="J528" s="12" t="n">
        <f aca="false">I528*G528/1000</f>
        <v>0</v>
      </c>
      <c r="K528" s="11" t="s">
        <v>217</v>
      </c>
      <c r="L528" s="11" t="s">
        <v>19</v>
      </c>
      <c r="M528" s="11" t="s">
        <v>145</v>
      </c>
    </row>
    <row r="529" customFormat="false" ht="15" hidden="false" customHeight="false" outlineLevel="0" collapsed="false">
      <c r="A529" s="11" t="s">
        <v>108</v>
      </c>
      <c r="B529" s="11" t="s">
        <v>125</v>
      </c>
      <c r="C529" s="11" t="n">
        <v>23</v>
      </c>
      <c r="D529" s="11" t="s">
        <v>86</v>
      </c>
      <c r="E529" s="11" t="s">
        <v>179</v>
      </c>
      <c r="F529" s="11" t="s">
        <v>85</v>
      </c>
      <c r="G529" s="12" t="n">
        <v>150</v>
      </c>
      <c r="H529" s="12" t="n">
        <f aca="false">SUMPRODUCT(ПОТОКИ!B12:G12,ЧАСОВЫЕ_ПРОФИЛИ!B12:G12,КОЭФФИЦИЕНТЫ_ВЫБОРА!F33:K33)</f>
        <v>0</v>
      </c>
      <c r="I529" s="12" t="n">
        <f aca="false">SUMPRODUCT(ПОТОКИ!B12:G12,ЧАСОВЫЕ_ПРОФИЛИ!B12:G12,КОЭФФИЦИЕНТЫ_ВЫБОРА!F33:K33,ПАРАМЕТРЫ!$B$17:$G$17)</f>
        <v>0</v>
      </c>
      <c r="J529" s="12" t="n">
        <f aca="false">I529*G529/1000</f>
        <v>0</v>
      </c>
      <c r="K529" s="11" t="s">
        <v>217</v>
      </c>
      <c r="L529" s="11" t="s">
        <v>19</v>
      </c>
      <c r="M529" s="11" t="s">
        <v>147</v>
      </c>
    </row>
    <row r="530" customFormat="false" ht="15" hidden="false" customHeight="false" outlineLevel="0" collapsed="false">
      <c r="A530" s="11" t="s">
        <v>108</v>
      </c>
      <c r="B530" s="11" t="s">
        <v>125</v>
      </c>
      <c r="C530" s="11" t="n">
        <v>24</v>
      </c>
      <c r="D530" s="11" t="s">
        <v>86</v>
      </c>
      <c r="E530" s="11" t="s">
        <v>180</v>
      </c>
      <c r="F530" s="11" t="s">
        <v>85</v>
      </c>
      <c r="G530" s="12" t="n">
        <v>150</v>
      </c>
      <c r="H530" s="12" t="n">
        <f aca="false">SUMPRODUCT(ПОТОКИ!B12:G12,ЧАСОВЫЕ_ПРОФИЛИ!B12:G12,КОЭФФИЦИЕНТЫ_ВЫБОРА!F34:K34)</f>
        <v>0</v>
      </c>
      <c r="I530" s="12" t="n">
        <f aca="false">SUMPRODUCT(ПОТОКИ!B12:G12,ЧАСОВЫЕ_ПРОФИЛИ!B12:G12,КОЭФФИЦИЕНТЫ_ВЫБОРА!F34:K34,ПАРАМЕТРЫ!$B$17:$G$17)</f>
        <v>0</v>
      </c>
      <c r="J530" s="12" t="n">
        <f aca="false">I530*G530/1000</f>
        <v>0</v>
      </c>
      <c r="K530" s="11" t="s">
        <v>217</v>
      </c>
      <c r="L530" s="11" t="s">
        <v>19</v>
      </c>
      <c r="M530" s="11" t="s">
        <v>147</v>
      </c>
    </row>
    <row r="531" customFormat="false" ht="15" hidden="false" customHeight="false" outlineLevel="0" collapsed="false">
      <c r="A531" s="11" t="s">
        <v>108</v>
      </c>
      <c r="B531" s="11" t="s">
        <v>125</v>
      </c>
      <c r="C531" s="11" t="n">
        <v>25</v>
      </c>
      <c r="D531" s="11" t="s">
        <v>86</v>
      </c>
      <c r="E531" s="11" t="s">
        <v>181</v>
      </c>
      <c r="F531" s="11" t="s">
        <v>85</v>
      </c>
      <c r="G531" s="12" t="n">
        <v>150</v>
      </c>
      <c r="H531" s="12" t="n">
        <f aca="false">SUMPRODUCT(ПОТОКИ!B12:G12,ЧАСОВЫЕ_ПРОФИЛИ!B12:G12,КОЭФФИЦИЕНТЫ_ВЫБОРА!F35:K35)</f>
        <v>0</v>
      </c>
      <c r="I531" s="12" t="n">
        <f aca="false">SUMPRODUCT(ПОТОКИ!B12:G12,ЧАСОВЫЕ_ПРОФИЛИ!B12:G12,КОЭФФИЦИЕНТЫ_ВЫБОРА!F35:K35,ПАРАМЕТРЫ!$B$17:$G$17)</f>
        <v>0</v>
      </c>
      <c r="J531" s="12" t="n">
        <f aca="false">I531*G531/1000</f>
        <v>0</v>
      </c>
      <c r="K531" s="11" t="s">
        <v>217</v>
      </c>
      <c r="L531" s="11" t="s">
        <v>19</v>
      </c>
      <c r="M531" s="11" t="s">
        <v>147</v>
      </c>
    </row>
    <row r="532" customFormat="false" ht="23.85" hidden="false" customHeight="false" outlineLevel="0" collapsed="false">
      <c r="A532" s="11" t="s">
        <v>108</v>
      </c>
      <c r="B532" s="11" t="s">
        <v>125</v>
      </c>
      <c r="C532" s="11" t="n">
        <v>26</v>
      </c>
      <c r="D532" s="11" t="s">
        <v>89</v>
      </c>
      <c r="E532" s="11" t="s">
        <v>182</v>
      </c>
      <c r="F532" s="11" t="s">
        <v>88</v>
      </c>
      <c r="G532" s="12" t="n">
        <v>225</v>
      </c>
      <c r="H532" s="12" t="n">
        <f aca="false">SUMPRODUCT(ПОТОКИ!B12:G12,ЧАСОВЫЕ_ПРОФИЛИ!B12:G12,КОЭФФИЦИЕНТЫ_ВЫБОРА!F36:K36)</f>
        <v>2.8875</v>
      </c>
      <c r="I532" s="12" t="n">
        <f aca="false">SUMPRODUCT(ПОТОКИ!B12:G12,ЧАСОВЫЕ_ПРОФИЛИ!B12:G12,КОЭФФИЦИЕНТЫ_ВЫБОРА!F36:K36,ПАРАМЕТРЫ!$B$17:$G$17)</f>
        <v>2.8875</v>
      </c>
      <c r="J532" s="12" t="n">
        <f aca="false">I532*G532/1000</f>
        <v>0.6496875</v>
      </c>
      <c r="K532" s="11" t="s">
        <v>217</v>
      </c>
      <c r="L532" s="11" t="s">
        <v>19</v>
      </c>
      <c r="M532" s="11" t="s">
        <v>145</v>
      </c>
    </row>
    <row r="533" customFormat="false" ht="23.85" hidden="false" customHeight="false" outlineLevel="0" collapsed="false">
      <c r="A533" s="11" t="s">
        <v>108</v>
      </c>
      <c r="B533" s="11" t="s">
        <v>125</v>
      </c>
      <c r="C533" s="11" t="n">
        <v>27</v>
      </c>
      <c r="D533" s="11" t="s">
        <v>89</v>
      </c>
      <c r="E533" s="11" t="s">
        <v>183</v>
      </c>
      <c r="F533" s="11" t="s">
        <v>88</v>
      </c>
      <c r="G533" s="12" t="n">
        <v>265</v>
      </c>
      <c r="H533" s="12" t="n">
        <f aca="false">SUMPRODUCT(ПОТОКИ!B12:G12,ЧАСОВЫЕ_ПРОФИЛИ!B12:G12,КОЭФФИЦИЕНТЫ_ВЫБОРА!F37:K37)</f>
        <v>2.8875</v>
      </c>
      <c r="I533" s="12" t="n">
        <f aca="false">SUMPRODUCT(ПОТОКИ!B12:G12,ЧАСОВЫЕ_ПРОФИЛИ!B12:G12,КОЭФФИЦИЕНТЫ_ВЫБОРА!F37:K37,ПАРАМЕТРЫ!$B$17:$G$17)</f>
        <v>2.8875</v>
      </c>
      <c r="J533" s="12" t="n">
        <f aca="false">I533*G533/1000</f>
        <v>0.7651875</v>
      </c>
      <c r="K533" s="11" t="s">
        <v>217</v>
      </c>
      <c r="L533" s="11" t="s">
        <v>19</v>
      </c>
      <c r="M533" s="11" t="s">
        <v>145</v>
      </c>
    </row>
    <row r="534" customFormat="false" ht="23.85" hidden="false" customHeight="false" outlineLevel="0" collapsed="false">
      <c r="A534" s="11" t="s">
        <v>108</v>
      </c>
      <c r="B534" s="11" t="s">
        <v>125</v>
      </c>
      <c r="C534" s="11" t="n">
        <v>28</v>
      </c>
      <c r="D534" s="11" t="s">
        <v>89</v>
      </c>
      <c r="E534" s="11" t="s">
        <v>184</v>
      </c>
      <c r="F534" s="11" t="s">
        <v>88</v>
      </c>
      <c r="G534" s="12" t="n">
        <v>355</v>
      </c>
      <c r="H534" s="12" t="n">
        <f aca="false">SUMPRODUCT(ПОТОКИ!B12:G12,ЧАСОВЫЕ_ПРОФИЛИ!B12:G12,КОЭФФИЦИЕНТЫ_ВЫБОРА!F38:K38)</f>
        <v>1.925</v>
      </c>
      <c r="I534" s="12" t="n">
        <f aca="false">SUMPRODUCT(ПОТОКИ!B12:G12,ЧАСОВЫЕ_ПРОФИЛИ!B12:G12,КОЭФФИЦИЕНТЫ_ВЫБОРА!F38:K38,ПАРАМЕТРЫ!$B$17:$G$17)</f>
        <v>1.925</v>
      </c>
      <c r="J534" s="12" t="n">
        <f aca="false">I534*G534/1000</f>
        <v>0.683375</v>
      </c>
      <c r="K534" s="11" t="s">
        <v>217</v>
      </c>
      <c r="L534" s="11" t="s">
        <v>19</v>
      </c>
      <c r="M534" s="11" t="s">
        <v>145</v>
      </c>
    </row>
    <row r="535" customFormat="false" ht="15" hidden="false" customHeight="false" outlineLevel="0" collapsed="false">
      <c r="A535" s="11" t="s">
        <v>108</v>
      </c>
      <c r="B535" s="11" t="s">
        <v>125</v>
      </c>
      <c r="C535" s="11" t="n">
        <v>29</v>
      </c>
      <c r="D535" s="11" t="s">
        <v>92</v>
      </c>
      <c r="E535" s="11" t="s">
        <v>185</v>
      </c>
      <c r="F535" s="11" t="s">
        <v>91</v>
      </c>
      <c r="G535" s="12" t="n">
        <v>150</v>
      </c>
      <c r="H535" s="12" t="n">
        <f aca="false">SUMPRODUCT(ПОТОКИ!B12:G12,ЧАСОВЫЕ_ПРОФИЛИ!B12:G12,КОЭФФИЦИЕНТЫ_ВЫБОРА!F39:K39)</f>
        <v>0.09</v>
      </c>
      <c r="I535" s="12" t="n">
        <f aca="false">SUMPRODUCT(ПОТОКИ!B12:G12,ЧАСОВЫЕ_ПРОФИЛИ!B12:G12,КОЭФФИЦИЕНТЫ_ВЫБОРА!F39:K39,ПАРАМЕТРЫ!$B$17:$G$17)</f>
        <v>0.099</v>
      </c>
      <c r="J535" s="12" t="n">
        <f aca="false">I535*G535/1000</f>
        <v>0.01485</v>
      </c>
      <c r="K535" s="11" t="s">
        <v>217</v>
      </c>
      <c r="L535" s="11" t="s">
        <v>19</v>
      </c>
      <c r="M535" s="11" t="s">
        <v>145</v>
      </c>
    </row>
    <row r="536" customFormat="false" ht="15" hidden="false" customHeight="false" outlineLevel="0" collapsed="false">
      <c r="A536" s="11" t="s">
        <v>108</v>
      </c>
      <c r="B536" s="11" t="s">
        <v>125</v>
      </c>
      <c r="C536" s="11" t="n">
        <v>30</v>
      </c>
      <c r="D536" s="11" t="s">
        <v>92</v>
      </c>
      <c r="E536" s="11" t="s">
        <v>186</v>
      </c>
      <c r="F536" s="11" t="s">
        <v>91</v>
      </c>
      <c r="G536" s="12" t="n">
        <v>120</v>
      </c>
      <c r="H536" s="12" t="n">
        <f aca="false">SUMPRODUCT(ПОТОКИ!B12:G12,ЧАСОВЫЕ_ПРОФИЛИ!B12:G12,КОЭФФИЦИЕНТЫ_ВЫБОРА!F40:K40)</f>
        <v>0.09</v>
      </c>
      <c r="I536" s="12" t="n">
        <f aca="false">SUMPRODUCT(ПОТОКИ!B12:G12,ЧАСОВЫЕ_ПРОФИЛИ!B12:G12,КОЭФФИЦИЕНТЫ_ВЫБОРА!F40:K40,ПАРАМЕТРЫ!$B$17:$G$17)</f>
        <v>0.099</v>
      </c>
      <c r="J536" s="12" t="n">
        <f aca="false">I536*G536/1000</f>
        <v>0.01188</v>
      </c>
      <c r="K536" s="11" t="s">
        <v>217</v>
      </c>
      <c r="L536" s="11" t="s">
        <v>19</v>
      </c>
      <c r="M536" s="11" t="s">
        <v>145</v>
      </c>
    </row>
    <row r="537" customFormat="false" ht="15" hidden="false" customHeight="false" outlineLevel="0" collapsed="false">
      <c r="A537" s="11" t="s">
        <v>108</v>
      </c>
      <c r="B537" s="11" t="s">
        <v>125</v>
      </c>
      <c r="C537" s="11" t="n">
        <v>31</v>
      </c>
      <c r="D537" s="11" t="s">
        <v>92</v>
      </c>
      <c r="E537" s="11" t="s">
        <v>187</v>
      </c>
      <c r="F537" s="11" t="s">
        <v>91</v>
      </c>
      <c r="G537" s="12" t="n">
        <v>60</v>
      </c>
      <c r="H537" s="12" t="n">
        <f aca="false">SUMPRODUCT(ПОТОКИ!B12:G12,ЧАСОВЫЕ_ПРОФИЛИ!B12:G12,КОЭФФИЦИЕНТЫ_ВЫБОРА!F41:K41)</f>
        <v>0.12</v>
      </c>
      <c r="I537" s="12" t="n">
        <f aca="false">SUMPRODUCT(ПОТОКИ!B12:G12,ЧАСОВЫЕ_ПРОФИЛИ!B12:G12,КОЭФФИЦИЕНТЫ_ВЫБОРА!F41:K41,ПАРАМЕТРЫ!$B$17:$G$17)</f>
        <v>0.132</v>
      </c>
      <c r="J537" s="12" t="n">
        <f aca="false">I537*G537/1000</f>
        <v>0.00792</v>
      </c>
      <c r="K537" s="11" t="s">
        <v>217</v>
      </c>
      <c r="L537" s="11" t="s">
        <v>19</v>
      </c>
      <c r="M537" s="11" t="s">
        <v>145</v>
      </c>
    </row>
    <row r="538" customFormat="false" ht="15" hidden="false" customHeight="false" outlineLevel="0" collapsed="false">
      <c r="A538" s="11" t="s">
        <v>108</v>
      </c>
      <c r="B538" s="11" t="s">
        <v>126</v>
      </c>
      <c r="C538" s="11" t="n">
        <v>1</v>
      </c>
      <c r="D538" s="11" t="s">
        <v>74</v>
      </c>
      <c r="E538" s="11" t="s">
        <v>153</v>
      </c>
      <c r="F538" s="11" t="s">
        <v>73</v>
      </c>
      <c r="G538" s="12" t="n">
        <v>450</v>
      </c>
      <c r="H538" s="12" t="n">
        <f aca="false">SUMPRODUCT(ПОТОКИ!B12:G12,ЧАСОВЫЕ_ПРОФИЛИ!B13:G13,КОЭФФИЦИЕНТЫ_ВЫБОРА!F11:K11)</f>
        <v>0</v>
      </c>
      <c r="I538" s="12" t="n">
        <f aca="false">SUMPRODUCT(ПОТОКИ!B12:G12,ЧАСОВЫЕ_ПРОФИЛИ!B13:G13,КОЭФФИЦИЕНТЫ_ВЫБОРА!F11:K11,ПАРАМЕТРЫ!$B$17:$G$17)</f>
        <v>0</v>
      </c>
      <c r="J538" s="12" t="n">
        <f aca="false">I538*G538/1000</f>
        <v>0</v>
      </c>
      <c r="K538" s="11" t="s">
        <v>217</v>
      </c>
      <c r="L538" s="11" t="s">
        <v>19</v>
      </c>
      <c r="M538" s="11" t="s">
        <v>145</v>
      </c>
    </row>
    <row r="539" customFormat="false" ht="15" hidden="false" customHeight="false" outlineLevel="0" collapsed="false">
      <c r="A539" s="11" t="s">
        <v>108</v>
      </c>
      <c r="B539" s="11" t="s">
        <v>126</v>
      </c>
      <c r="C539" s="11" t="n">
        <v>2</v>
      </c>
      <c r="D539" s="11" t="s">
        <v>74</v>
      </c>
      <c r="E539" s="11" t="s">
        <v>154</v>
      </c>
      <c r="F539" s="11" t="s">
        <v>73</v>
      </c>
      <c r="G539" s="12" t="n">
        <v>480</v>
      </c>
      <c r="H539" s="12" t="n">
        <f aca="false">SUMPRODUCT(ПОТОКИ!B12:G12,ЧАСОВЫЕ_ПРОФИЛИ!B13:G13,КОЭФФИЦИЕНТЫ_ВЫБОРА!F12:K12)</f>
        <v>0</v>
      </c>
      <c r="I539" s="12" t="n">
        <f aca="false">SUMPRODUCT(ПОТОКИ!B12:G12,ЧАСОВЫЕ_ПРОФИЛИ!B13:G13,КОЭФФИЦИЕНТЫ_ВЫБОРА!F12:K12,ПАРАМЕТРЫ!$B$17:$G$17)</f>
        <v>0</v>
      </c>
      <c r="J539" s="12" t="n">
        <f aca="false">I539*G539/1000</f>
        <v>0</v>
      </c>
      <c r="K539" s="11" t="s">
        <v>217</v>
      </c>
      <c r="L539" s="11" t="s">
        <v>19</v>
      </c>
      <c r="M539" s="11" t="s">
        <v>145</v>
      </c>
    </row>
    <row r="540" customFormat="false" ht="15" hidden="false" customHeight="false" outlineLevel="0" collapsed="false">
      <c r="A540" s="11" t="s">
        <v>108</v>
      </c>
      <c r="B540" s="11" t="s">
        <v>126</v>
      </c>
      <c r="C540" s="11" t="n">
        <v>3</v>
      </c>
      <c r="D540" s="11" t="s">
        <v>74</v>
      </c>
      <c r="E540" s="11" t="s">
        <v>155</v>
      </c>
      <c r="F540" s="11" t="s">
        <v>73</v>
      </c>
      <c r="G540" s="12" t="n">
        <v>500</v>
      </c>
      <c r="H540" s="12" t="n">
        <f aca="false">SUMPRODUCT(ПОТОКИ!B12:G12,ЧАСОВЫЕ_ПРОФИЛИ!B13:G13,КОЭФФИЦИЕНТЫ_ВЫБОРА!F13:K13)</f>
        <v>0</v>
      </c>
      <c r="I540" s="12" t="n">
        <f aca="false">SUMPRODUCT(ПОТОКИ!B12:G12,ЧАСОВЫЕ_ПРОФИЛИ!B13:G13,КОЭФФИЦИЕНТЫ_ВЫБОРА!F13:K13,ПАРАМЕТРЫ!$B$17:$G$17)</f>
        <v>0</v>
      </c>
      <c r="J540" s="12" t="n">
        <f aca="false">I540*G540/1000</f>
        <v>0</v>
      </c>
      <c r="K540" s="11" t="s">
        <v>217</v>
      </c>
      <c r="L540" s="11" t="s">
        <v>19</v>
      </c>
      <c r="M540" s="11" t="s">
        <v>145</v>
      </c>
    </row>
    <row r="541" customFormat="false" ht="15" hidden="false" customHeight="false" outlineLevel="0" collapsed="false">
      <c r="A541" s="11" t="s">
        <v>108</v>
      </c>
      <c r="B541" s="11" t="s">
        <v>126</v>
      </c>
      <c r="C541" s="11" t="n">
        <v>4</v>
      </c>
      <c r="D541" s="11" t="s">
        <v>74</v>
      </c>
      <c r="E541" s="11" t="s">
        <v>156</v>
      </c>
      <c r="F541" s="11" t="s">
        <v>73</v>
      </c>
      <c r="G541" s="12" t="n">
        <v>500</v>
      </c>
      <c r="H541" s="12" t="n">
        <f aca="false">SUMPRODUCT(ПОТОКИ!B12:G12,ЧАСОВЫЕ_ПРОФИЛИ!B13:G13,КОЭФФИЦИЕНТЫ_ВЫБОРА!F14:K14)</f>
        <v>0</v>
      </c>
      <c r="I541" s="12" t="n">
        <f aca="false">SUMPRODUCT(ПОТОКИ!B12:G12,ЧАСОВЫЕ_ПРОФИЛИ!B13:G13,КОЭФФИЦИЕНТЫ_ВЫБОРА!F14:K14,ПАРАМЕТРЫ!$B$17:$G$17)</f>
        <v>0</v>
      </c>
      <c r="J541" s="12" t="n">
        <f aca="false">I541*G541/1000</f>
        <v>0</v>
      </c>
      <c r="K541" s="11" t="s">
        <v>217</v>
      </c>
      <c r="L541" s="11" t="s">
        <v>19</v>
      </c>
      <c r="M541" s="11" t="s">
        <v>145</v>
      </c>
    </row>
    <row r="542" customFormat="false" ht="15" hidden="false" customHeight="false" outlineLevel="0" collapsed="false">
      <c r="A542" s="11" t="s">
        <v>108</v>
      </c>
      <c r="B542" s="11" t="s">
        <v>126</v>
      </c>
      <c r="C542" s="11" t="n">
        <v>5</v>
      </c>
      <c r="D542" s="11" t="s">
        <v>78</v>
      </c>
      <c r="E542" s="11" t="s">
        <v>157</v>
      </c>
      <c r="F542" s="11" t="s">
        <v>77</v>
      </c>
      <c r="G542" s="12" t="n">
        <v>100</v>
      </c>
      <c r="H542" s="12" t="n">
        <f aca="false">SUMPRODUCT(ПОТОКИ!B12:G12,ЧАСОВЫЕ_ПРОФИЛИ!B13:G13,КОЭФФИЦИЕНТЫ_ВЫБОРА!F15:K15)</f>
        <v>0.216</v>
      </c>
      <c r="I542" s="12" t="n">
        <f aca="false">SUMPRODUCT(ПОТОКИ!B12:G12,ЧАСОВЫЕ_ПРОФИЛИ!B13:G13,КОЭФФИЦИЕНТЫ_ВЫБОРА!F15:K15,ПАРАМЕТРЫ!$B$17:$G$17)</f>
        <v>0.2376</v>
      </c>
      <c r="J542" s="12" t="n">
        <f aca="false">I542*G542/1000</f>
        <v>0.02376</v>
      </c>
      <c r="K542" s="11" t="s">
        <v>217</v>
      </c>
      <c r="L542" s="11" t="s">
        <v>19</v>
      </c>
      <c r="M542" s="11" t="s">
        <v>147</v>
      </c>
    </row>
    <row r="543" customFormat="false" ht="15" hidden="false" customHeight="false" outlineLevel="0" collapsed="false">
      <c r="A543" s="11" t="s">
        <v>108</v>
      </c>
      <c r="B543" s="11" t="s">
        <v>126</v>
      </c>
      <c r="C543" s="11" t="n">
        <v>6</v>
      </c>
      <c r="D543" s="11" t="s">
        <v>78</v>
      </c>
      <c r="E543" s="11" t="s">
        <v>158</v>
      </c>
      <c r="F543" s="11" t="s">
        <v>77</v>
      </c>
      <c r="G543" s="12" t="n">
        <v>100</v>
      </c>
      <c r="H543" s="12" t="n">
        <f aca="false">SUMPRODUCT(ПОТОКИ!B12:G12,ЧАСОВЫЕ_ПРОФИЛИ!B13:G13,КОЭФФИЦИЕНТЫ_ВЫБОРА!F16:K16)</f>
        <v>0.216</v>
      </c>
      <c r="I543" s="12" t="n">
        <f aca="false">SUMPRODUCT(ПОТОКИ!B12:G12,ЧАСОВЫЕ_ПРОФИЛИ!B13:G13,КОЭФФИЦИЕНТЫ_ВЫБОРА!F16:K16,ПАРАМЕТРЫ!$B$17:$G$17)</f>
        <v>0.2376</v>
      </c>
      <c r="J543" s="12" t="n">
        <f aca="false">I543*G543/1000</f>
        <v>0.02376</v>
      </c>
      <c r="K543" s="11" t="s">
        <v>217</v>
      </c>
      <c r="L543" s="11" t="s">
        <v>19</v>
      </c>
      <c r="M543" s="11" t="s">
        <v>147</v>
      </c>
    </row>
    <row r="544" customFormat="false" ht="15" hidden="false" customHeight="false" outlineLevel="0" collapsed="false">
      <c r="A544" s="11" t="s">
        <v>108</v>
      </c>
      <c r="B544" s="11" t="s">
        <v>126</v>
      </c>
      <c r="C544" s="11" t="n">
        <v>7</v>
      </c>
      <c r="D544" s="11" t="s">
        <v>78</v>
      </c>
      <c r="E544" s="11" t="s">
        <v>159</v>
      </c>
      <c r="F544" s="11" t="s">
        <v>77</v>
      </c>
      <c r="G544" s="12" t="n">
        <v>350</v>
      </c>
      <c r="H544" s="12" t="n">
        <f aca="false">SUMPRODUCT(ПОТОКИ!B12:G12,ЧАСОВЫЕ_ПРОФИЛИ!B13:G13,КОЭФФИЦИЕНТЫ_ВЫБОРА!F17:K17)</f>
        <v>0.18</v>
      </c>
      <c r="I544" s="12" t="n">
        <f aca="false">SUMPRODUCT(ПОТОКИ!B12:G12,ЧАСОВЫЕ_ПРОФИЛИ!B13:G13,КОЭФФИЦИЕНТЫ_ВЫБОРА!F17:K17,ПАРАМЕТРЫ!$B$17:$G$17)</f>
        <v>0.198</v>
      </c>
      <c r="J544" s="12" t="n">
        <f aca="false">I544*G544/1000</f>
        <v>0.0693</v>
      </c>
      <c r="K544" s="11" t="s">
        <v>217</v>
      </c>
      <c r="L544" s="11" t="s">
        <v>19</v>
      </c>
      <c r="M544" s="11" t="s">
        <v>147</v>
      </c>
    </row>
    <row r="545" customFormat="false" ht="15" hidden="false" customHeight="false" outlineLevel="0" collapsed="false">
      <c r="A545" s="11" t="s">
        <v>108</v>
      </c>
      <c r="B545" s="11" t="s">
        <v>126</v>
      </c>
      <c r="C545" s="11" t="n">
        <v>8</v>
      </c>
      <c r="D545" s="11" t="s">
        <v>78</v>
      </c>
      <c r="E545" s="11" t="s">
        <v>160</v>
      </c>
      <c r="F545" s="11" t="s">
        <v>77</v>
      </c>
      <c r="G545" s="12" t="n">
        <v>85</v>
      </c>
      <c r="H545" s="12" t="n">
        <f aca="false">SUMPRODUCT(ПОТОКИ!B12:G12,ЧАСОВЫЕ_ПРОФИЛИ!B13:G13,КОЭФФИЦИЕНТЫ_ВЫБОРА!F18:K18)</f>
        <v>0.108</v>
      </c>
      <c r="I545" s="12" t="n">
        <f aca="false">SUMPRODUCT(ПОТОКИ!B12:G12,ЧАСОВЫЕ_ПРОФИЛИ!B13:G13,КОЭФФИЦИЕНТЫ_ВЫБОРА!F18:K18,ПАРАМЕТРЫ!$B$17:$G$17)</f>
        <v>0.1188</v>
      </c>
      <c r="J545" s="12" t="n">
        <f aca="false">I545*G545/1000</f>
        <v>0.010098</v>
      </c>
      <c r="K545" s="11" t="s">
        <v>217</v>
      </c>
      <c r="L545" s="11" t="s">
        <v>19</v>
      </c>
      <c r="M545" s="11" t="s">
        <v>147</v>
      </c>
    </row>
    <row r="546" customFormat="false" ht="15" hidden="false" customHeight="false" outlineLevel="0" collapsed="false">
      <c r="A546" s="11" t="s">
        <v>108</v>
      </c>
      <c r="B546" s="11" t="s">
        <v>126</v>
      </c>
      <c r="C546" s="11" t="n">
        <v>9</v>
      </c>
      <c r="D546" s="11" t="s">
        <v>161</v>
      </c>
      <c r="E546" s="11" t="s">
        <v>162</v>
      </c>
      <c r="F546" s="11" t="s">
        <v>80</v>
      </c>
      <c r="G546" s="12" t="n">
        <v>300</v>
      </c>
      <c r="H546" s="12" t="n">
        <f aca="false">SUMPRODUCT(ПОТОКИ!B12:G12,ЧАСОВЫЕ_ПРОФИЛИ!B13:G13,КОЭФФИЦИЕНТЫ_ВЫБОРА!F19:K19)</f>
        <v>0</v>
      </c>
      <c r="I546" s="12" t="n">
        <f aca="false">SUMPRODUCT(ПОТОКИ!B12:G12,ЧАСОВЫЕ_ПРОФИЛИ!B13:G13,КОЭФФИЦИЕНТЫ_ВЫБОРА!F19:K19,ПАРАМЕТРЫ!$B$17:$G$17)</f>
        <v>0</v>
      </c>
      <c r="J546" s="12" t="n">
        <f aca="false">I546*G546/1000</f>
        <v>0</v>
      </c>
      <c r="K546" s="11" t="s">
        <v>217</v>
      </c>
      <c r="L546" s="11" t="s">
        <v>19</v>
      </c>
      <c r="M546" s="11" t="s">
        <v>145</v>
      </c>
    </row>
    <row r="547" customFormat="false" ht="15" hidden="false" customHeight="false" outlineLevel="0" collapsed="false">
      <c r="A547" s="11" t="s">
        <v>108</v>
      </c>
      <c r="B547" s="11" t="s">
        <v>126</v>
      </c>
      <c r="C547" s="11" t="n">
        <v>10</v>
      </c>
      <c r="D547" s="11" t="s">
        <v>161</v>
      </c>
      <c r="E547" s="11" t="s">
        <v>163</v>
      </c>
      <c r="F547" s="11" t="s">
        <v>80</v>
      </c>
      <c r="G547" s="12" t="n">
        <v>280</v>
      </c>
      <c r="H547" s="12" t="n">
        <f aca="false">SUMPRODUCT(ПОТОКИ!B12:G12,ЧАСОВЫЕ_ПРОФИЛИ!B13:G13,КОЭФФИЦИЕНТЫ_ВЫБОРА!F20:K20)</f>
        <v>0</v>
      </c>
      <c r="I547" s="12" t="n">
        <f aca="false">SUMPRODUCT(ПОТОКИ!B12:G12,ЧАСОВЫЕ_ПРОФИЛИ!B13:G13,КОЭФФИЦИЕНТЫ_ВЫБОРА!F20:K20,ПАРАМЕТРЫ!$B$17:$G$17)</f>
        <v>0</v>
      </c>
      <c r="J547" s="12" t="n">
        <f aca="false">I547*G547/1000</f>
        <v>0</v>
      </c>
      <c r="K547" s="11" t="s">
        <v>217</v>
      </c>
      <c r="L547" s="11" t="s">
        <v>19</v>
      </c>
      <c r="M547" s="11" t="s">
        <v>145</v>
      </c>
    </row>
    <row r="548" customFormat="false" ht="15" hidden="false" customHeight="false" outlineLevel="0" collapsed="false">
      <c r="A548" s="11" t="s">
        <v>108</v>
      </c>
      <c r="B548" s="11" t="s">
        <v>126</v>
      </c>
      <c r="C548" s="11" t="n">
        <v>11</v>
      </c>
      <c r="D548" s="11" t="s">
        <v>161</v>
      </c>
      <c r="E548" s="11" t="s">
        <v>164</v>
      </c>
      <c r="F548" s="11" t="s">
        <v>80</v>
      </c>
      <c r="G548" s="12" t="n">
        <v>270</v>
      </c>
      <c r="H548" s="12" t="n">
        <f aca="false">SUMPRODUCT(ПОТОКИ!B12:G12,ЧАСОВЫЕ_ПРОФИЛИ!B13:G13,КОЭФФИЦИЕНТЫ_ВЫБОРА!F21:K21)</f>
        <v>0</v>
      </c>
      <c r="I548" s="12" t="n">
        <f aca="false">SUMPRODUCT(ПОТОКИ!B12:G12,ЧАСОВЫЕ_ПРОФИЛИ!B13:G13,КОЭФФИЦИЕНТЫ_ВЫБОРА!F21:K21,ПАРАМЕТРЫ!$B$17:$G$17)</f>
        <v>0</v>
      </c>
      <c r="J548" s="12" t="n">
        <f aca="false">I548*G548/1000</f>
        <v>0</v>
      </c>
      <c r="K548" s="11" t="s">
        <v>217</v>
      </c>
      <c r="L548" s="11" t="s">
        <v>19</v>
      </c>
      <c r="M548" s="11" t="s">
        <v>145</v>
      </c>
    </row>
    <row r="549" customFormat="false" ht="15" hidden="false" customHeight="false" outlineLevel="0" collapsed="false">
      <c r="A549" s="11" t="s">
        <v>108</v>
      </c>
      <c r="B549" s="11" t="s">
        <v>126</v>
      </c>
      <c r="C549" s="11" t="n">
        <v>12</v>
      </c>
      <c r="D549" s="11" t="s">
        <v>161</v>
      </c>
      <c r="E549" s="11" t="s">
        <v>165</v>
      </c>
      <c r="F549" s="11" t="s">
        <v>80</v>
      </c>
      <c r="G549" s="12" t="n">
        <v>240</v>
      </c>
      <c r="H549" s="12" t="n">
        <f aca="false">SUMPRODUCT(ПОТОКИ!B12:G12,ЧАСОВЫЕ_ПРОФИЛИ!B13:G13,КОЭФФИЦИЕНТЫ_ВЫБОРА!F22:K22)</f>
        <v>0</v>
      </c>
      <c r="I549" s="12" t="n">
        <f aca="false">SUMPRODUCT(ПОТОКИ!B12:G12,ЧАСОВЫЕ_ПРОФИЛИ!B13:G13,КОЭФФИЦИЕНТЫ_ВЫБОРА!F22:K22,ПАРАМЕТРЫ!$B$17:$G$17)</f>
        <v>0</v>
      </c>
      <c r="J549" s="12" t="n">
        <f aca="false">I549*G549/1000</f>
        <v>0</v>
      </c>
      <c r="K549" s="11" t="s">
        <v>217</v>
      </c>
      <c r="L549" s="11" t="s">
        <v>19</v>
      </c>
      <c r="M549" s="11" t="s">
        <v>145</v>
      </c>
    </row>
    <row r="550" customFormat="false" ht="15" hidden="false" customHeight="false" outlineLevel="0" collapsed="false">
      <c r="A550" s="11" t="s">
        <v>108</v>
      </c>
      <c r="B550" s="11" t="s">
        <v>126</v>
      </c>
      <c r="C550" s="11" t="n">
        <v>13</v>
      </c>
      <c r="D550" s="11" t="s">
        <v>166</v>
      </c>
      <c r="E550" s="11" t="s">
        <v>167</v>
      </c>
      <c r="F550" s="11" t="s">
        <v>80</v>
      </c>
      <c r="G550" s="12" t="n">
        <v>130</v>
      </c>
      <c r="H550" s="12" t="n">
        <f aca="false">SUMPRODUCT(ПОТОКИ!B12:G12,ЧАСОВЫЕ_ПРОФИЛИ!B13:G13,КОЭФФИЦИЕНТЫ_ВЫБОРА!F23:K23)</f>
        <v>0</v>
      </c>
      <c r="I550" s="12" t="n">
        <f aca="false">SUMPRODUCT(ПОТОКИ!B12:G12,ЧАСОВЫЕ_ПРОФИЛИ!B13:G13,КОЭФФИЦИЕНТЫ_ВЫБОРА!F23:K23,ПАРАМЕТРЫ!$B$17:$G$17)</f>
        <v>0</v>
      </c>
      <c r="J550" s="12" t="n">
        <f aca="false">I550*G550/1000</f>
        <v>0</v>
      </c>
      <c r="K550" s="11" t="s">
        <v>217</v>
      </c>
      <c r="L550" s="11" t="s">
        <v>19</v>
      </c>
      <c r="M550" s="11" t="s">
        <v>145</v>
      </c>
    </row>
    <row r="551" customFormat="false" ht="15" hidden="false" customHeight="false" outlineLevel="0" collapsed="false">
      <c r="A551" s="11" t="s">
        <v>108</v>
      </c>
      <c r="B551" s="11" t="s">
        <v>126</v>
      </c>
      <c r="C551" s="11" t="n">
        <v>14</v>
      </c>
      <c r="D551" s="11" t="s">
        <v>166</v>
      </c>
      <c r="E551" s="11" t="s">
        <v>168</v>
      </c>
      <c r="F551" s="11" t="s">
        <v>80</v>
      </c>
      <c r="G551" s="12" t="n">
        <v>250</v>
      </c>
      <c r="H551" s="12" t="n">
        <f aca="false">SUMPRODUCT(ПОТОКИ!B12:G12,ЧАСОВЫЕ_ПРОФИЛИ!B13:G13,КОЭФФИЦИЕНТЫ_ВЫБОРА!F24:K24)</f>
        <v>0</v>
      </c>
      <c r="I551" s="12" t="n">
        <f aca="false">SUMPRODUCT(ПОТОКИ!B12:G12,ЧАСОВЫЕ_ПРОФИЛИ!B13:G13,КОЭФФИЦИЕНТЫ_ВЫБОРА!F24:K24,ПАРАМЕТРЫ!$B$17:$G$17)</f>
        <v>0</v>
      </c>
      <c r="J551" s="12" t="n">
        <f aca="false">I551*G551/1000</f>
        <v>0</v>
      </c>
      <c r="K551" s="11" t="s">
        <v>217</v>
      </c>
      <c r="L551" s="11" t="s">
        <v>19</v>
      </c>
      <c r="M551" s="11" t="s">
        <v>145</v>
      </c>
    </row>
    <row r="552" customFormat="false" ht="15" hidden="false" customHeight="false" outlineLevel="0" collapsed="false">
      <c r="A552" s="11" t="s">
        <v>108</v>
      </c>
      <c r="B552" s="11" t="s">
        <v>126</v>
      </c>
      <c r="C552" s="11" t="n">
        <v>15</v>
      </c>
      <c r="D552" s="11" t="s">
        <v>166</v>
      </c>
      <c r="E552" s="11" t="s">
        <v>169</v>
      </c>
      <c r="F552" s="11" t="s">
        <v>80</v>
      </c>
      <c r="G552" s="12" t="n">
        <v>120</v>
      </c>
      <c r="H552" s="12" t="n">
        <f aca="false">SUMPRODUCT(ПОТОКИ!B12:G12,ЧАСОВЫЕ_ПРОФИЛИ!B13:G13,КОЭФФИЦИЕНТЫ_ВЫБОРА!F25:K25)</f>
        <v>0</v>
      </c>
      <c r="I552" s="12" t="n">
        <f aca="false">SUMPRODUCT(ПОТОКИ!B12:G12,ЧАСОВЫЕ_ПРОФИЛИ!B13:G13,КОЭФФИЦИЕНТЫ_ВЫБОРА!F25:K25,ПАРАМЕТРЫ!$B$17:$G$17)</f>
        <v>0</v>
      </c>
      <c r="J552" s="12" t="n">
        <f aca="false">I552*G552/1000</f>
        <v>0</v>
      </c>
      <c r="K552" s="11" t="s">
        <v>217</v>
      </c>
      <c r="L552" s="11" t="s">
        <v>19</v>
      </c>
      <c r="M552" s="11" t="s">
        <v>145</v>
      </c>
    </row>
    <row r="553" customFormat="false" ht="15" hidden="false" customHeight="false" outlineLevel="0" collapsed="false">
      <c r="A553" s="11" t="s">
        <v>108</v>
      </c>
      <c r="B553" s="11" t="s">
        <v>126</v>
      </c>
      <c r="C553" s="11" t="n">
        <v>16</v>
      </c>
      <c r="D553" s="11" t="s">
        <v>166</v>
      </c>
      <c r="E553" s="11" t="s">
        <v>170</v>
      </c>
      <c r="F553" s="11" t="s">
        <v>80</v>
      </c>
      <c r="G553" s="12" t="n">
        <v>180</v>
      </c>
      <c r="H553" s="12" t="n">
        <f aca="false">SUMPRODUCT(ПОТОКИ!B12:G12,ЧАСОВЫЕ_ПРОФИЛИ!B13:G13,КОЭФФИЦИЕНТЫ_ВЫБОРА!F26:K26)</f>
        <v>0</v>
      </c>
      <c r="I553" s="12" t="n">
        <f aca="false">SUMPRODUCT(ПОТОКИ!B12:G12,ЧАСОВЫЕ_ПРОФИЛИ!B13:G13,КОЭФФИЦИЕНТЫ_ВЫБОРА!F26:K26,ПАРАМЕТРЫ!$B$17:$G$17)</f>
        <v>0</v>
      </c>
      <c r="J553" s="12" t="n">
        <f aca="false">I553*G553/1000</f>
        <v>0</v>
      </c>
      <c r="K553" s="11" t="s">
        <v>217</v>
      </c>
      <c r="L553" s="11" t="s">
        <v>19</v>
      </c>
      <c r="M553" s="11" t="s">
        <v>145</v>
      </c>
    </row>
    <row r="554" customFormat="false" ht="15" hidden="false" customHeight="false" outlineLevel="0" collapsed="false">
      <c r="A554" s="11" t="s">
        <v>108</v>
      </c>
      <c r="B554" s="11" t="s">
        <v>126</v>
      </c>
      <c r="C554" s="11" t="n">
        <v>17</v>
      </c>
      <c r="D554" s="11" t="s">
        <v>166</v>
      </c>
      <c r="E554" s="11" t="s">
        <v>171</v>
      </c>
      <c r="F554" s="11" t="s">
        <v>80</v>
      </c>
      <c r="G554" s="12" t="n">
        <v>180</v>
      </c>
      <c r="H554" s="12" t="n">
        <f aca="false">SUMPRODUCT(ПОТОКИ!B12:G12,ЧАСОВЫЕ_ПРОФИЛИ!B13:G13,КОЭФФИЦИЕНТЫ_ВЫБОРА!F27:K27)</f>
        <v>0</v>
      </c>
      <c r="I554" s="12" t="n">
        <f aca="false">SUMPRODUCT(ПОТОКИ!B12:G12,ЧАСОВЫЕ_ПРОФИЛИ!B13:G13,КОЭФФИЦИЕНТЫ_ВЫБОРА!F27:K27,ПАРАМЕТРЫ!$B$17:$G$17)</f>
        <v>0</v>
      </c>
      <c r="J554" s="12" t="n">
        <f aca="false">I554*G554/1000</f>
        <v>0</v>
      </c>
      <c r="K554" s="11" t="s">
        <v>217</v>
      </c>
      <c r="L554" s="11" t="s">
        <v>19</v>
      </c>
      <c r="M554" s="11" t="s">
        <v>145</v>
      </c>
    </row>
    <row r="555" customFormat="false" ht="15" hidden="false" customHeight="false" outlineLevel="0" collapsed="false">
      <c r="A555" s="11" t="s">
        <v>108</v>
      </c>
      <c r="B555" s="11" t="s">
        <v>126</v>
      </c>
      <c r="C555" s="11" t="n">
        <v>18</v>
      </c>
      <c r="D555" s="11" t="s">
        <v>172</v>
      </c>
      <c r="E555" s="11" t="s">
        <v>173</v>
      </c>
      <c r="F555" s="11" t="s">
        <v>83</v>
      </c>
      <c r="G555" s="12" t="n">
        <v>400</v>
      </c>
      <c r="H555" s="12" t="n">
        <f aca="false">SUMPRODUCT(ПОТОКИ!B12:G12,ЧАСОВЫЕ_ПРОФИЛИ!B13:G13,КОЭФФИЦИЕНТЫ_ВЫБОРА!F28:K28)</f>
        <v>0</v>
      </c>
      <c r="I555" s="12" t="n">
        <f aca="false">SUMPRODUCT(ПОТОКИ!B12:G12,ЧАСОВЫЕ_ПРОФИЛИ!B13:G13,КОЭФФИЦИЕНТЫ_ВЫБОРА!F28:K28,ПАРАМЕТРЫ!$B$17:$G$17)</f>
        <v>0</v>
      </c>
      <c r="J555" s="12" t="n">
        <f aca="false">I555*G555/1000</f>
        <v>0</v>
      </c>
      <c r="K555" s="11" t="s">
        <v>217</v>
      </c>
      <c r="L555" s="11" t="s">
        <v>19</v>
      </c>
      <c r="M555" s="11" t="s">
        <v>145</v>
      </c>
    </row>
    <row r="556" customFormat="false" ht="23.85" hidden="false" customHeight="false" outlineLevel="0" collapsed="false">
      <c r="A556" s="11" t="s">
        <v>108</v>
      </c>
      <c r="B556" s="11" t="s">
        <v>126</v>
      </c>
      <c r="C556" s="11" t="n">
        <v>19</v>
      </c>
      <c r="D556" s="11" t="s">
        <v>174</v>
      </c>
      <c r="E556" s="11" t="s">
        <v>175</v>
      </c>
      <c r="F556" s="11" t="s">
        <v>83</v>
      </c>
      <c r="G556" s="12" t="n">
        <v>300</v>
      </c>
      <c r="H556" s="12" t="n">
        <f aca="false">SUMPRODUCT(ПОТОКИ!B12:G12,ЧАСОВЫЕ_ПРОФИЛИ!B13:G13,КОЭФФИЦИЕНТЫ_ВЫБОРА!F29:K29)</f>
        <v>0</v>
      </c>
      <c r="I556" s="12" t="n">
        <f aca="false">SUMPRODUCT(ПОТОКИ!B12:G12,ЧАСОВЫЕ_ПРОФИЛИ!B13:G13,КОЭФФИЦИЕНТЫ_ВЫБОРА!F29:K29,ПАРАМЕТРЫ!$B$17:$G$17)</f>
        <v>0</v>
      </c>
      <c r="J556" s="12" t="n">
        <f aca="false">I556*G556/1000</f>
        <v>0</v>
      </c>
      <c r="K556" s="11" t="s">
        <v>217</v>
      </c>
      <c r="L556" s="11" t="s">
        <v>19</v>
      </c>
      <c r="M556" s="11" t="s">
        <v>145</v>
      </c>
    </row>
    <row r="557" customFormat="false" ht="15" hidden="false" customHeight="false" outlineLevel="0" collapsed="false">
      <c r="A557" s="11" t="s">
        <v>108</v>
      </c>
      <c r="B557" s="11" t="s">
        <v>126</v>
      </c>
      <c r="C557" s="11" t="n">
        <v>20</v>
      </c>
      <c r="D557" s="11" t="s">
        <v>174</v>
      </c>
      <c r="E557" s="11" t="s">
        <v>176</v>
      </c>
      <c r="F557" s="11" t="s">
        <v>83</v>
      </c>
      <c r="G557" s="12" t="n">
        <v>360</v>
      </c>
      <c r="H557" s="12" t="n">
        <f aca="false">SUMPRODUCT(ПОТОКИ!B12:G12,ЧАСОВЫЕ_ПРОФИЛИ!B13:G13,КОЭФФИЦИЕНТЫ_ВЫБОРА!F30:K30)</f>
        <v>0</v>
      </c>
      <c r="I557" s="12" t="n">
        <f aca="false">SUMPRODUCT(ПОТОКИ!B12:G12,ЧАСОВЫЕ_ПРОФИЛИ!B13:G13,КОЭФФИЦИЕНТЫ_ВЫБОРА!F30:K30,ПАРАМЕТРЫ!$B$17:$G$17)</f>
        <v>0</v>
      </c>
      <c r="J557" s="12" t="n">
        <f aca="false">I557*G557/1000</f>
        <v>0</v>
      </c>
      <c r="K557" s="11" t="s">
        <v>217</v>
      </c>
      <c r="L557" s="11" t="s">
        <v>19</v>
      </c>
      <c r="M557" s="11" t="s">
        <v>145</v>
      </c>
    </row>
    <row r="558" customFormat="false" ht="15" hidden="false" customHeight="false" outlineLevel="0" collapsed="false">
      <c r="A558" s="11" t="s">
        <v>108</v>
      </c>
      <c r="B558" s="11" t="s">
        <v>126</v>
      </c>
      <c r="C558" s="11" t="n">
        <v>21</v>
      </c>
      <c r="D558" s="11" t="s">
        <v>174</v>
      </c>
      <c r="E558" s="11" t="s">
        <v>177</v>
      </c>
      <c r="F558" s="11" t="s">
        <v>83</v>
      </c>
      <c r="G558" s="12" t="n">
        <v>350</v>
      </c>
      <c r="H558" s="12" t="n">
        <f aca="false">SUMPRODUCT(ПОТОКИ!B12:G12,ЧАСОВЫЕ_ПРОФИЛИ!B13:G13,КОЭФФИЦИЕНТЫ_ВЫБОРА!F31:K31)</f>
        <v>0</v>
      </c>
      <c r="I558" s="12" t="n">
        <f aca="false">SUMPRODUCT(ПОТОКИ!B12:G12,ЧАСОВЫЕ_ПРОФИЛИ!B13:G13,КОЭФФИЦИЕНТЫ_ВЫБОРА!F31:K31,ПАРАМЕТРЫ!$B$17:$G$17)</f>
        <v>0</v>
      </c>
      <c r="J558" s="12" t="n">
        <f aca="false">I558*G558/1000</f>
        <v>0</v>
      </c>
      <c r="K558" s="11" t="s">
        <v>217</v>
      </c>
      <c r="L558" s="11" t="s">
        <v>19</v>
      </c>
      <c r="M558" s="11" t="s">
        <v>145</v>
      </c>
    </row>
    <row r="559" customFormat="false" ht="15" hidden="false" customHeight="false" outlineLevel="0" collapsed="false">
      <c r="A559" s="11" t="s">
        <v>108</v>
      </c>
      <c r="B559" s="11" t="s">
        <v>126</v>
      </c>
      <c r="C559" s="11" t="n">
        <v>22</v>
      </c>
      <c r="D559" s="11" t="s">
        <v>174</v>
      </c>
      <c r="E559" s="11" t="s">
        <v>178</v>
      </c>
      <c r="F559" s="11" t="s">
        <v>83</v>
      </c>
      <c r="G559" s="12" t="n">
        <v>300</v>
      </c>
      <c r="H559" s="12" t="n">
        <f aca="false">SUMPRODUCT(ПОТОКИ!B12:G12,ЧАСОВЫЕ_ПРОФИЛИ!B13:G13,КОЭФФИЦИЕНТЫ_ВЫБОРА!F32:K32)</f>
        <v>0</v>
      </c>
      <c r="I559" s="12" t="n">
        <f aca="false">SUMPRODUCT(ПОТОКИ!B12:G12,ЧАСОВЫЕ_ПРОФИЛИ!B13:G13,КОЭФФИЦИЕНТЫ_ВЫБОРА!F32:K32,ПАРАМЕТРЫ!$B$17:$G$17)</f>
        <v>0</v>
      </c>
      <c r="J559" s="12" t="n">
        <f aca="false">I559*G559/1000</f>
        <v>0</v>
      </c>
      <c r="K559" s="11" t="s">
        <v>217</v>
      </c>
      <c r="L559" s="11" t="s">
        <v>19</v>
      </c>
      <c r="M559" s="11" t="s">
        <v>145</v>
      </c>
    </row>
    <row r="560" customFormat="false" ht="15" hidden="false" customHeight="false" outlineLevel="0" collapsed="false">
      <c r="A560" s="11" t="s">
        <v>108</v>
      </c>
      <c r="B560" s="11" t="s">
        <v>126</v>
      </c>
      <c r="C560" s="11" t="n">
        <v>23</v>
      </c>
      <c r="D560" s="11" t="s">
        <v>86</v>
      </c>
      <c r="E560" s="11" t="s">
        <v>179</v>
      </c>
      <c r="F560" s="11" t="s">
        <v>85</v>
      </c>
      <c r="G560" s="12" t="n">
        <v>150</v>
      </c>
      <c r="H560" s="12" t="n">
        <f aca="false">SUMPRODUCT(ПОТОКИ!B12:G12,ЧАСОВЫЕ_ПРОФИЛИ!B13:G13,КОЭФФИЦИЕНТЫ_ВЫБОРА!F33:K33)</f>
        <v>0</v>
      </c>
      <c r="I560" s="12" t="n">
        <f aca="false">SUMPRODUCT(ПОТОКИ!B12:G12,ЧАСОВЫЕ_ПРОФИЛИ!B13:G13,КОЭФФИЦИЕНТЫ_ВЫБОРА!F33:K33,ПАРАМЕТРЫ!$B$17:$G$17)</f>
        <v>0</v>
      </c>
      <c r="J560" s="12" t="n">
        <f aca="false">I560*G560/1000</f>
        <v>0</v>
      </c>
      <c r="K560" s="11" t="s">
        <v>217</v>
      </c>
      <c r="L560" s="11" t="s">
        <v>19</v>
      </c>
      <c r="M560" s="11" t="s">
        <v>147</v>
      </c>
    </row>
    <row r="561" customFormat="false" ht="15" hidden="false" customHeight="false" outlineLevel="0" collapsed="false">
      <c r="A561" s="11" t="s">
        <v>108</v>
      </c>
      <c r="B561" s="11" t="s">
        <v>126</v>
      </c>
      <c r="C561" s="11" t="n">
        <v>24</v>
      </c>
      <c r="D561" s="11" t="s">
        <v>86</v>
      </c>
      <c r="E561" s="11" t="s">
        <v>180</v>
      </c>
      <c r="F561" s="11" t="s">
        <v>85</v>
      </c>
      <c r="G561" s="12" t="n">
        <v>150</v>
      </c>
      <c r="H561" s="12" t="n">
        <f aca="false">SUMPRODUCT(ПОТОКИ!B12:G12,ЧАСОВЫЕ_ПРОФИЛИ!B13:G13,КОЭФФИЦИЕНТЫ_ВЫБОРА!F34:K34)</f>
        <v>0</v>
      </c>
      <c r="I561" s="12" t="n">
        <f aca="false">SUMPRODUCT(ПОТОКИ!B12:G12,ЧАСОВЫЕ_ПРОФИЛИ!B13:G13,КОЭФФИЦИЕНТЫ_ВЫБОРА!F34:K34,ПАРАМЕТРЫ!$B$17:$G$17)</f>
        <v>0</v>
      </c>
      <c r="J561" s="12" t="n">
        <f aca="false">I561*G561/1000</f>
        <v>0</v>
      </c>
      <c r="K561" s="11" t="s">
        <v>217</v>
      </c>
      <c r="L561" s="11" t="s">
        <v>19</v>
      </c>
      <c r="M561" s="11" t="s">
        <v>147</v>
      </c>
    </row>
    <row r="562" customFormat="false" ht="15" hidden="false" customHeight="false" outlineLevel="0" collapsed="false">
      <c r="A562" s="11" t="s">
        <v>108</v>
      </c>
      <c r="B562" s="11" t="s">
        <v>126</v>
      </c>
      <c r="C562" s="11" t="n">
        <v>25</v>
      </c>
      <c r="D562" s="11" t="s">
        <v>86</v>
      </c>
      <c r="E562" s="11" t="s">
        <v>181</v>
      </c>
      <c r="F562" s="11" t="s">
        <v>85</v>
      </c>
      <c r="G562" s="12" t="n">
        <v>150</v>
      </c>
      <c r="H562" s="12" t="n">
        <f aca="false">SUMPRODUCT(ПОТОКИ!B12:G12,ЧАСОВЫЕ_ПРОФИЛИ!B13:G13,КОЭФФИЦИЕНТЫ_ВЫБОРА!F35:K35)</f>
        <v>0</v>
      </c>
      <c r="I562" s="12" t="n">
        <f aca="false">SUMPRODUCT(ПОТОКИ!B12:G12,ЧАСОВЫЕ_ПРОФИЛИ!B13:G13,КОЭФФИЦИЕНТЫ_ВЫБОРА!F35:K35,ПАРАМЕТРЫ!$B$17:$G$17)</f>
        <v>0</v>
      </c>
      <c r="J562" s="12" t="n">
        <f aca="false">I562*G562/1000</f>
        <v>0</v>
      </c>
      <c r="K562" s="11" t="s">
        <v>217</v>
      </c>
      <c r="L562" s="11" t="s">
        <v>19</v>
      </c>
      <c r="M562" s="11" t="s">
        <v>147</v>
      </c>
    </row>
    <row r="563" customFormat="false" ht="23.85" hidden="false" customHeight="false" outlineLevel="0" collapsed="false">
      <c r="A563" s="11" t="s">
        <v>108</v>
      </c>
      <c r="B563" s="11" t="s">
        <v>126</v>
      </c>
      <c r="C563" s="11" t="n">
        <v>26</v>
      </c>
      <c r="D563" s="11" t="s">
        <v>89</v>
      </c>
      <c r="E563" s="11" t="s">
        <v>182</v>
      </c>
      <c r="F563" s="11" t="s">
        <v>88</v>
      </c>
      <c r="G563" s="12" t="n">
        <v>225</v>
      </c>
      <c r="H563" s="12" t="n">
        <f aca="false">SUMPRODUCT(ПОТОКИ!B12:G12,ЧАСОВЫЕ_ПРОФИЛИ!B13:G13,КОЭФФИЦИЕНТЫ_ВЫБОРА!F36:K36)</f>
        <v>2.475</v>
      </c>
      <c r="I563" s="12" t="n">
        <f aca="false">SUMPRODUCT(ПОТОКИ!B12:G12,ЧАСОВЫЕ_ПРОФИЛИ!B13:G13,КОЭФФИЦИЕНТЫ_ВЫБОРА!F36:K36,ПАРАМЕТРЫ!$B$17:$G$17)</f>
        <v>2.475</v>
      </c>
      <c r="J563" s="12" t="n">
        <f aca="false">I563*G563/1000</f>
        <v>0.556875</v>
      </c>
      <c r="K563" s="11" t="s">
        <v>217</v>
      </c>
      <c r="L563" s="11" t="s">
        <v>19</v>
      </c>
      <c r="M563" s="11" t="s">
        <v>145</v>
      </c>
    </row>
    <row r="564" customFormat="false" ht="23.85" hidden="false" customHeight="false" outlineLevel="0" collapsed="false">
      <c r="A564" s="11" t="s">
        <v>108</v>
      </c>
      <c r="B564" s="11" t="s">
        <v>126</v>
      </c>
      <c r="C564" s="11" t="n">
        <v>27</v>
      </c>
      <c r="D564" s="11" t="s">
        <v>89</v>
      </c>
      <c r="E564" s="11" t="s">
        <v>183</v>
      </c>
      <c r="F564" s="11" t="s">
        <v>88</v>
      </c>
      <c r="G564" s="12" t="n">
        <v>265</v>
      </c>
      <c r="H564" s="12" t="n">
        <f aca="false">SUMPRODUCT(ПОТОКИ!B12:G12,ЧАСОВЫЕ_ПРОФИЛИ!B13:G13,КОЭФФИЦИЕНТЫ_ВЫБОРА!F37:K37)</f>
        <v>2.475</v>
      </c>
      <c r="I564" s="12" t="n">
        <f aca="false">SUMPRODUCT(ПОТОКИ!B12:G12,ЧАСОВЫЕ_ПРОФИЛИ!B13:G13,КОЭФФИЦИЕНТЫ_ВЫБОРА!F37:K37,ПАРАМЕТРЫ!$B$17:$G$17)</f>
        <v>2.475</v>
      </c>
      <c r="J564" s="12" t="n">
        <f aca="false">I564*G564/1000</f>
        <v>0.655875</v>
      </c>
      <c r="K564" s="11" t="s">
        <v>217</v>
      </c>
      <c r="L564" s="11" t="s">
        <v>19</v>
      </c>
      <c r="M564" s="11" t="s">
        <v>145</v>
      </c>
    </row>
    <row r="565" customFormat="false" ht="23.85" hidden="false" customHeight="false" outlineLevel="0" collapsed="false">
      <c r="A565" s="11" t="s">
        <v>108</v>
      </c>
      <c r="B565" s="11" t="s">
        <v>126</v>
      </c>
      <c r="C565" s="11" t="n">
        <v>28</v>
      </c>
      <c r="D565" s="11" t="s">
        <v>89</v>
      </c>
      <c r="E565" s="11" t="s">
        <v>184</v>
      </c>
      <c r="F565" s="11" t="s">
        <v>88</v>
      </c>
      <c r="G565" s="12" t="n">
        <v>355</v>
      </c>
      <c r="H565" s="12" t="n">
        <f aca="false">SUMPRODUCT(ПОТОКИ!B12:G12,ЧАСОВЫЕ_ПРОФИЛИ!B13:G13,КОЭФФИЦИЕНТЫ_ВЫБОРА!F38:K38)</f>
        <v>1.65</v>
      </c>
      <c r="I565" s="12" t="n">
        <f aca="false">SUMPRODUCT(ПОТОКИ!B12:G12,ЧАСОВЫЕ_ПРОФИЛИ!B13:G13,КОЭФФИЦИЕНТЫ_ВЫБОРА!F38:K38,ПАРАМЕТРЫ!$B$17:$G$17)</f>
        <v>1.65</v>
      </c>
      <c r="J565" s="12" t="n">
        <f aca="false">I565*G565/1000</f>
        <v>0.58575</v>
      </c>
      <c r="K565" s="11" t="s">
        <v>217</v>
      </c>
      <c r="L565" s="11" t="s">
        <v>19</v>
      </c>
      <c r="M565" s="11" t="s">
        <v>145</v>
      </c>
    </row>
    <row r="566" customFormat="false" ht="15" hidden="false" customHeight="false" outlineLevel="0" collapsed="false">
      <c r="A566" s="11" t="s">
        <v>108</v>
      </c>
      <c r="B566" s="11" t="s">
        <v>126</v>
      </c>
      <c r="C566" s="11" t="n">
        <v>29</v>
      </c>
      <c r="D566" s="11" t="s">
        <v>92</v>
      </c>
      <c r="E566" s="11" t="s">
        <v>185</v>
      </c>
      <c r="F566" s="11" t="s">
        <v>91</v>
      </c>
      <c r="G566" s="12" t="n">
        <v>150</v>
      </c>
      <c r="H566" s="12" t="n">
        <f aca="false">SUMPRODUCT(ПОТОКИ!B12:G12,ЧАСОВЫЕ_ПРОФИЛИ!B13:G13,КОЭФФИЦИЕНТЫ_ВЫБОРА!F39:K39)</f>
        <v>0.108</v>
      </c>
      <c r="I566" s="12" t="n">
        <f aca="false">SUMPRODUCT(ПОТОКИ!B12:G12,ЧАСОВЫЕ_ПРОФИЛИ!B13:G13,КОЭФФИЦИЕНТЫ_ВЫБОРА!F39:K39,ПАРАМЕТРЫ!$B$17:$G$17)</f>
        <v>0.1188</v>
      </c>
      <c r="J566" s="12" t="n">
        <f aca="false">I566*G566/1000</f>
        <v>0.01782</v>
      </c>
      <c r="K566" s="11" t="s">
        <v>217</v>
      </c>
      <c r="L566" s="11" t="s">
        <v>19</v>
      </c>
      <c r="M566" s="11" t="s">
        <v>145</v>
      </c>
    </row>
    <row r="567" customFormat="false" ht="15" hidden="false" customHeight="false" outlineLevel="0" collapsed="false">
      <c r="A567" s="11" t="s">
        <v>108</v>
      </c>
      <c r="B567" s="11" t="s">
        <v>126</v>
      </c>
      <c r="C567" s="11" t="n">
        <v>30</v>
      </c>
      <c r="D567" s="11" t="s">
        <v>92</v>
      </c>
      <c r="E567" s="11" t="s">
        <v>186</v>
      </c>
      <c r="F567" s="11" t="s">
        <v>91</v>
      </c>
      <c r="G567" s="12" t="n">
        <v>120</v>
      </c>
      <c r="H567" s="12" t="n">
        <f aca="false">SUMPRODUCT(ПОТОКИ!B12:G12,ЧАСОВЫЕ_ПРОФИЛИ!B13:G13,КОЭФФИЦИЕНТЫ_ВЫБОРА!F40:K40)</f>
        <v>0.108</v>
      </c>
      <c r="I567" s="12" t="n">
        <f aca="false">SUMPRODUCT(ПОТОКИ!B12:G12,ЧАСОВЫЕ_ПРОФИЛИ!B13:G13,КОЭФФИЦИЕНТЫ_ВЫБОРА!F40:K40,ПАРАМЕТРЫ!$B$17:$G$17)</f>
        <v>0.1188</v>
      </c>
      <c r="J567" s="12" t="n">
        <f aca="false">I567*G567/1000</f>
        <v>0.014256</v>
      </c>
      <c r="K567" s="11" t="s">
        <v>217</v>
      </c>
      <c r="L567" s="11" t="s">
        <v>19</v>
      </c>
      <c r="M567" s="11" t="s">
        <v>145</v>
      </c>
    </row>
    <row r="568" customFormat="false" ht="15" hidden="false" customHeight="false" outlineLevel="0" collapsed="false">
      <c r="A568" s="11" t="s">
        <v>108</v>
      </c>
      <c r="B568" s="11" t="s">
        <v>126</v>
      </c>
      <c r="C568" s="11" t="n">
        <v>31</v>
      </c>
      <c r="D568" s="11" t="s">
        <v>92</v>
      </c>
      <c r="E568" s="11" t="s">
        <v>187</v>
      </c>
      <c r="F568" s="11" t="s">
        <v>91</v>
      </c>
      <c r="G568" s="12" t="n">
        <v>60</v>
      </c>
      <c r="H568" s="12" t="n">
        <f aca="false">SUMPRODUCT(ПОТОКИ!B12:G12,ЧАСОВЫЕ_ПРОФИЛИ!B13:G13,КОЭФФИЦИЕНТЫ_ВЫБОРА!F41:K41)</f>
        <v>0.144</v>
      </c>
      <c r="I568" s="12" t="n">
        <f aca="false">SUMPRODUCT(ПОТОКИ!B12:G12,ЧАСОВЫЕ_ПРОФИЛИ!B13:G13,КОЭФФИЦИЕНТЫ_ВЫБОРА!F41:K41,ПАРАМЕТРЫ!$B$17:$G$17)</f>
        <v>0.1584</v>
      </c>
      <c r="J568" s="12" t="n">
        <f aca="false">I568*G568/1000</f>
        <v>0.009504</v>
      </c>
      <c r="K568" s="11" t="s">
        <v>217</v>
      </c>
      <c r="L568" s="11" t="s">
        <v>19</v>
      </c>
      <c r="M568" s="11" t="s">
        <v>145</v>
      </c>
    </row>
    <row r="569" customFormat="false" ht="15" hidden="false" customHeight="false" outlineLevel="0" collapsed="false">
      <c r="A569" s="11" t="s">
        <v>108</v>
      </c>
      <c r="B569" s="11" t="s">
        <v>127</v>
      </c>
      <c r="C569" s="11" t="n">
        <v>1</v>
      </c>
      <c r="D569" s="11" t="s">
        <v>74</v>
      </c>
      <c r="E569" s="11" t="s">
        <v>153</v>
      </c>
      <c r="F569" s="11" t="s">
        <v>73</v>
      </c>
      <c r="G569" s="12" t="n">
        <v>450</v>
      </c>
      <c r="H569" s="12" t="n">
        <f aca="false">SUMPRODUCT(ПОТОКИ!B12:G12,ЧАСОВЫЕ_ПРОФИЛИ!B14:G14,КОЭФФИЦИЕНТЫ_ВЫБОРА!F11:K11)</f>
        <v>0</v>
      </c>
      <c r="I569" s="12" t="n">
        <f aca="false">SUMPRODUCT(ПОТОКИ!B12:G12,ЧАСОВЫЕ_ПРОФИЛИ!B14:G14,КОЭФФИЦИЕНТЫ_ВЫБОРА!F11:K11,ПАРАМЕТРЫ!$B$17:$G$17)</f>
        <v>0</v>
      </c>
      <c r="J569" s="12" t="n">
        <f aca="false">I569*G569/1000</f>
        <v>0</v>
      </c>
      <c r="K569" s="11" t="s">
        <v>217</v>
      </c>
      <c r="L569" s="11" t="s">
        <v>19</v>
      </c>
      <c r="M569" s="11" t="s">
        <v>145</v>
      </c>
    </row>
    <row r="570" customFormat="false" ht="15" hidden="false" customHeight="false" outlineLevel="0" collapsed="false">
      <c r="A570" s="11" t="s">
        <v>108</v>
      </c>
      <c r="B570" s="11" t="s">
        <v>127</v>
      </c>
      <c r="C570" s="11" t="n">
        <v>2</v>
      </c>
      <c r="D570" s="11" t="s">
        <v>74</v>
      </c>
      <c r="E570" s="11" t="s">
        <v>154</v>
      </c>
      <c r="F570" s="11" t="s">
        <v>73</v>
      </c>
      <c r="G570" s="12" t="n">
        <v>480</v>
      </c>
      <c r="H570" s="12" t="n">
        <f aca="false">SUMPRODUCT(ПОТОКИ!B12:G12,ЧАСОВЫЕ_ПРОФИЛИ!B14:G14,КОЭФФИЦИЕНТЫ_ВЫБОРА!F12:K12)</f>
        <v>0</v>
      </c>
      <c r="I570" s="12" t="n">
        <f aca="false">SUMPRODUCT(ПОТОКИ!B12:G12,ЧАСОВЫЕ_ПРОФИЛИ!B14:G14,КОЭФФИЦИЕНТЫ_ВЫБОРА!F12:K12,ПАРАМЕТРЫ!$B$17:$G$17)</f>
        <v>0</v>
      </c>
      <c r="J570" s="12" t="n">
        <f aca="false">I570*G570/1000</f>
        <v>0</v>
      </c>
      <c r="K570" s="11" t="s">
        <v>217</v>
      </c>
      <c r="L570" s="11" t="s">
        <v>19</v>
      </c>
      <c r="M570" s="11" t="s">
        <v>145</v>
      </c>
    </row>
    <row r="571" customFormat="false" ht="15" hidden="false" customHeight="false" outlineLevel="0" collapsed="false">
      <c r="A571" s="11" t="s">
        <v>108</v>
      </c>
      <c r="B571" s="11" t="s">
        <v>127</v>
      </c>
      <c r="C571" s="11" t="n">
        <v>3</v>
      </c>
      <c r="D571" s="11" t="s">
        <v>74</v>
      </c>
      <c r="E571" s="11" t="s">
        <v>155</v>
      </c>
      <c r="F571" s="11" t="s">
        <v>73</v>
      </c>
      <c r="G571" s="12" t="n">
        <v>500</v>
      </c>
      <c r="H571" s="12" t="n">
        <f aca="false">SUMPRODUCT(ПОТОКИ!B12:G12,ЧАСОВЫЕ_ПРОФИЛИ!B14:G14,КОЭФФИЦИЕНТЫ_ВЫБОРА!F13:K13)</f>
        <v>0</v>
      </c>
      <c r="I571" s="12" t="n">
        <f aca="false">SUMPRODUCT(ПОТОКИ!B12:G12,ЧАСОВЫЕ_ПРОФИЛИ!B14:G14,КОЭФФИЦИЕНТЫ_ВЫБОРА!F13:K13,ПАРАМЕТРЫ!$B$17:$G$17)</f>
        <v>0</v>
      </c>
      <c r="J571" s="12" t="n">
        <f aca="false">I571*G571/1000</f>
        <v>0</v>
      </c>
      <c r="K571" s="11" t="s">
        <v>217</v>
      </c>
      <c r="L571" s="11" t="s">
        <v>19</v>
      </c>
      <c r="M571" s="11" t="s">
        <v>145</v>
      </c>
    </row>
    <row r="572" customFormat="false" ht="15" hidden="false" customHeight="false" outlineLevel="0" collapsed="false">
      <c r="A572" s="11" t="s">
        <v>108</v>
      </c>
      <c r="B572" s="11" t="s">
        <v>127</v>
      </c>
      <c r="C572" s="11" t="n">
        <v>4</v>
      </c>
      <c r="D572" s="11" t="s">
        <v>74</v>
      </c>
      <c r="E572" s="11" t="s">
        <v>156</v>
      </c>
      <c r="F572" s="11" t="s">
        <v>73</v>
      </c>
      <c r="G572" s="12" t="n">
        <v>500</v>
      </c>
      <c r="H572" s="12" t="n">
        <f aca="false">SUMPRODUCT(ПОТОКИ!B12:G12,ЧАСОВЫЕ_ПРОФИЛИ!B14:G14,КОЭФФИЦИЕНТЫ_ВЫБОРА!F14:K14)</f>
        <v>0</v>
      </c>
      <c r="I572" s="12" t="n">
        <f aca="false">SUMPRODUCT(ПОТОКИ!B12:G12,ЧАСОВЫЕ_ПРОФИЛИ!B14:G14,КОЭФФИЦИЕНТЫ_ВЫБОРА!F14:K14,ПАРАМЕТРЫ!$B$17:$G$17)</f>
        <v>0</v>
      </c>
      <c r="J572" s="12" t="n">
        <f aca="false">I572*G572/1000</f>
        <v>0</v>
      </c>
      <c r="K572" s="11" t="s">
        <v>217</v>
      </c>
      <c r="L572" s="11" t="s">
        <v>19</v>
      </c>
      <c r="M572" s="11" t="s">
        <v>145</v>
      </c>
    </row>
    <row r="573" customFormat="false" ht="15" hidden="false" customHeight="false" outlineLevel="0" collapsed="false">
      <c r="A573" s="11" t="s">
        <v>108</v>
      </c>
      <c r="B573" s="11" t="s">
        <v>127</v>
      </c>
      <c r="C573" s="11" t="n">
        <v>5</v>
      </c>
      <c r="D573" s="11" t="s">
        <v>78</v>
      </c>
      <c r="E573" s="11" t="s">
        <v>157</v>
      </c>
      <c r="F573" s="11" t="s">
        <v>77</v>
      </c>
      <c r="G573" s="12" t="n">
        <v>100</v>
      </c>
      <c r="H573" s="12" t="n">
        <f aca="false">SUMPRODUCT(ПОТОКИ!B12:G12,ЧАСОВЫЕ_ПРОФИЛИ!B14:G14,КОЭФФИЦИЕНТЫ_ВЫБОРА!F15:K15)</f>
        <v>0.216</v>
      </c>
      <c r="I573" s="12" t="n">
        <f aca="false">SUMPRODUCT(ПОТОКИ!B12:G12,ЧАСОВЫЕ_ПРОФИЛИ!B14:G14,КОЭФФИЦИЕНТЫ_ВЫБОРА!F15:K15,ПАРАМЕТРЫ!$B$17:$G$17)</f>
        <v>0.2376</v>
      </c>
      <c r="J573" s="12" t="n">
        <f aca="false">I573*G573/1000</f>
        <v>0.02376</v>
      </c>
      <c r="K573" s="11" t="s">
        <v>217</v>
      </c>
      <c r="L573" s="11" t="s">
        <v>19</v>
      </c>
      <c r="M573" s="11" t="s">
        <v>147</v>
      </c>
    </row>
    <row r="574" customFormat="false" ht="15" hidden="false" customHeight="false" outlineLevel="0" collapsed="false">
      <c r="A574" s="11" t="s">
        <v>108</v>
      </c>
      <c r="B574" s="11" t="s">
        <v>127</v>
      </c>
      <c r="C574" s="11" t="n">
        <v>6</v>
      </c>
      <c r="D574" s="11" t="s">
        <v>78</v>
      </c>
      <c r="E574" s="11" t="s">
        <v>158</v>
      </c>
      <c r="F574" s="11" t="s">
        <v>77</v>
      </c>
      <c r="G574" s="12" t="n">
        <v>100</v>
      </c>
      <c r="H574" s="12" t="n">
        <f aca="false">SUMPRODUCT(ПОТОКИ!B12:G12,ЧАСОВЫЕ_ПРОФИЛИ!B14:G14,КОЭФФИЦИЕНТЫ_ВЫБОРА!F16:K16)</f>
        <v>0.216</v>
      </c>
      <c r="I574" s="12" t="n">
        <f aca="false">SUMPRODUCT(ПОТОКИ!B12:G12,ЧАСОВЫЕ_ПРОФИЛИ!B14:G14,КОЭФФИЦИЕНТЫ_ВЫБОРА!F16:K16,ПАРАМЕТРЫ!$B$17:$G$17)</f>
        <v>0.2376</v>
      </c>
      <c r="J574" s="12" t="n">
        <f aca="false">I574*G574/1000</f>
        <v>0.02376</v>
      </c>
      <c r="K574" s="11" t="s">
        <v>217</v>
      </c>
      <c r="L574" s="11" t="s">
        <v>19</v>
      </c>
      <c r="M574" s="11" t="s">
        <v>147</v>
      </c>
    </row>
    <row r="575" customFormat="false" ht="15" hidden="false" customHeight="false" outlineLevel="0" collapsed="false">
      <c r="A575" s="11" t="s">
        <v>108</v>
      </c>
      <c r="B575" s="11" t="s">
        <v>127</v>
      </c>
      <c r="C575" s="11" t="n">
        <v>7</v>
      </c>
      <c r="D575" s="11" t="s">
        <v>78</v>
      </c>
      <c r="E575" s="11" t="s">
        <v>159</v>
      </c>
      <c r="F575" s="11" t="s">
        <v>77</v>
      </c>
      <c r="G575" s="12" t="n">
        <v>350</v>
      </c>
      <c r="H575" s="12" t="n">
        <f aca="false">SUMPRODUCT(ПОТОКИ!B12:G12,ЧАСОВЫЕ_ПРОФИЛИ!B14:G14,КОЭФФИЦИЕНТЫ_ВЫБОРА!F17:K17)</f>
        <v>0.18</v>
      </c>
      <c r="I575" s="12" t="n">
        <f aca="false">SUMPRODUCT(ПОТОКИ!B12:G12,ЧАСОВЫЕ_ПРОФИЛИ!B14:G14,КОЭФФИЦИЕНТЫ_ВЫБОРА!F17:K17,ПАРАМЕТРЫ!$B$17:$G$17)</f>
        <v>0.198</v>
      </c>
      <c r="J575" s="12" t="n">
        <f aca="false">I575*G575/1000</f>
        <v>0.0693</v>
      </c>
      <c r="K575" s="11" t="s">
        <v>217</v>
      </c>
      <c r="L575" s="11" t="s">
        <v>19</v>
      </c>
      <c r="M575" s="11" t="s">
        <v>147</v>
      </c>
    </row>
    <row r="576" customFormat="false" ht="15" hidden="false" customHeight="false" outlineLevel="0" collapsed="false">
      <c r="A576" s="11" t="s">
        <v>108</v>
      </c>
      <c r="B576" s="11" t="s">
        <v>127</v>
      </c>
      <c r="C576" s="11" t="n">
        <v>8</v>
      </c>
      <c r="D576" s="11" t="s">
        <v>78</v>
      </c>
      <c r="E576" s="11" t="s">
        <v>160</v>
      </c>
      <c r="F576" s="11" t="s">
        <v>77</v>
      </c>
      <c r="G576" s="12" t="n">
        <v>85</v>
      </c>
      <c r="H576" s="12" t="n">
        <f aca="false">SUMPRODUCT(ПОТОКИ!B12:G12,ЧАСОВЫЕ_ПРОФИЛИ!B14:G14,КОЭФФИЦИЕНТЫ_ВЫБОРА!F18:K18)</f>
        <v>0.108</v>
      </c>
      <c r="I576" s="12" t="n">
        <f aca="false">SUMPRODUCT(ПОТОКИ!B12:G12,ЧАСОВЫЕ_ПРОФИЛИ!B14:G14,КОЭФФИЦИЕНТЫ_ВЫБОРА!F18:K18,ПАРАМЕТРЫ!$B$17:$G$17)</f>
        <v>0.1188</v>
      </c>
      <c r="J576" s="12" t="n">
        <f aca="false">I576*G576/1000</f>
        <v>0.010098</v>
      </c>
      <c r="K576" s="11" t="s">
        <v>217</v>
      </c>
      <c r="L576" s="11" t="s">
        <v>19</v>
      </c>
      <c r="M576" s="11" t="s">
        <v>147</v>
      </c>
    </row>
    <row r="577" customFormat="false" ht="15" hidden="false" customHeight="false" outlineLevel="0" collapsed="false">
      <c r="A577" s="11" t="s">
        <v>108</v>
      </c>
      <c r="B577" s="11" t="s">
        <v>127</v>
      </c>
      <c r="C577" s="11" t="n">
        <v>9</v>
      </c>
      <c r="D577" s="11" t="s">
        <v>161</v>
      </c>
      <c r="E577" s="11" t="s">
        <v>162</v>
      </c>
      <c r="F577" s="11" t="s">
        <v>80</v>
      </c>
      <c r="G577" s="12" t="n">
        <v>300</v>
      </c>
      <c r="H577" s="12" t="n">
        <f aca="false">SUMPRODUCT(ПОТОКИ!B12:G12,ЧАСОВЫЕ_ПРОФИЛИ!B14:G14,КОЭФФИЦИЕНТЫ_ВЫБОРА!F19:K19)</f>
        <v>0</v>
      </c>
      <c r="I577" s="12" t="n">
        <f aca="false">SUMPRODUCT(ПОТОКИ!B12:G12,ЧАСОВЫЕ_ПРОФИЛИ!B14:G14,КОЭФФИЦИЕНТЫ_ВЫБОРА!F19:K19,ПАРАМЕТРЫ!$B$17:$G$17)</f>
        <v>0</v>
      </c>
      <c r="J577" s="12" t="n">
        <f aca="false">I577*G577/1000</f>
        <v>0</v>
      </c>
      <c r="K577" s="11" t="s">
        <v>217</v>
      </c>
      <c r="L577" s="11" t="s">
        <v>19</v>
      </c>
      <c r="M577" s="11" t="s">
        <v>145</v>
      </c>
    </row>
    <row r="578" customFormat="false" ht="15" hidden="false" customHeight="false" outlineLevel="0" collapsed="false">
      <c r="A578" s="11" t="s">
        <v>108</v>
      </c>
      <c r="B578" s="11" t="s">
        <v>127</v>
      </c>
      <c r="C578" s="11" t="n">
        <v>10</v>
      </c>
      <c r="D578" s="11" t="s">
        <v>161</v>
      </c>
      <c r="E578" s="11" t="s">
        <v>163</v>
      </c>
      <c r="F578" s="11" t="s">
        <v>80</v>
      </c>
      <c r="G578" s="12" t="n">
        <v>280</v>
      </c>
      <c r="H578" s="12" t="n">
        <f aca="false">SUMPRODUCT(ПОТОКИ!B12:G12,ЧАСОВЫЕ_ПРОФИЛИ!B14:G14,КОЭФФИЦИЕНТЫ_ВЫБОРА!F20:K20)</f>
        <v>0</v>
      </c>
      <c r="I578" s="12" t="n">
        <f aca="false">SUMPRODUCT(ПОТОКИ!B12:G12,ЧАСОВЫЕ_ПРОФИЛИ!B14:G14,КОЭФФИЦИЕНТЫ_ВЫБОРА!F20:K20,ПАРАМЕТРЫ!$B$17:$G$17)</f>
        <v>0</v>
      </c>
      <c r="J578" s="12" t="n">
        <f aca="false">I578*G578/1000</f>
        <v>0</v>
      </c>
      <c r="K578" s="11" t="s">
        <v>217</v>
      </c>
      <c r="L578" s="11" t="s">
        <v>19</v>
      </c>
      <c r="M578" s="11" t="s">
        <v>145</v>
      </c>
    </row>
    <row r="579" customFormat="false" ht="15" hidden="false" customHeight="false" outlineLevel="0" collapsed="false">
      <c r="A579" s="11" t="s">
        <v>108</v>
      </c>
      <c r="B579" s="11" t="s">
        <v>127</v>
      </c>
      <c r="C579" s="11" t="n">
        <v>11</v>
      </c>
      <c r="D579" s="11" t="s">
        <v>161</v>
      </c>
      <c r="E579" s="11" t="s">
        <v>164</v>
      </c>
      <c r="F579" s="11" t="s">
        <v>80</v>
      </c>
      <c r="G579" s="12" t="n">
        <v>270</v>
      </c>
      <c r="H579" s="12" t="n">
        <f aca="false">SUMPRODUCT(ПОТОКИ!B12:G12,ЧАСОВЫЕ_ПРОФИЛИ!B14:G14,КОЭФФИЦИЕНТЫ_ВЫБОРА!F21:K21)</f>
        <v>0</v>
      </c>
      <c r="I579" s="12" t="n">
        <f aca="false">SUMPRODUCT(ПОТОКИ!B12:G12,ЧАСОВЫЕ_ПРОФИЛИ!B14:G14,КОЭФФИЦИЕНТЫ_ВЫБОРА!F21:K21,ПАРАМЕТРЫ!$B$17:$G$17)</f>
        <v>0</v>
      </c>
      <c r="J579" s="12" t="n">
        <f aca="false">I579*G579/1000</f>
        <v>0</v>
      </c>
      <c r="K579" s="11" t="s">
        <v>217</v>
      </c>
      <c r="L579" s="11" t="s">
        <v>19</v>
      </c>
      <c r="M579" s="11" t="s">
        <v>145</v>
      </c>
    </row>
    <row r="580" customFormat="false" ht="15" hidden="false" customHeight="false" outlineLevel="0" collapsed="false">
      <c r="A580" s="11" t="s">
        <v>108</v>
      </c>
      <c r="B580" s="11" t="s">
        <v>127</v>
      </c>
      <c r="C580" s="11" t="n">
        <v>12</v>
      </c>
      <c r="D580" s="11" t="s">
        <v>161</v>
      </c>
      <c r="E580" s="11" t="s">
        <v>165</v>
      </c>
      <c r="F580" s="11" t="s">
        <v>80</v>
      </c>
      <c r="G580" s="12" t="n">
        <v>240</v>
      </c>
      <c r="H580" s="12" t="n">
        <f aca="false">SUMPRODUCT(ПОТОКИ!B12:G12,ЧАСОВЫЕ_ПРОФИЛИ!B14:G14,КОЭФФИЦИЕНТЫ_ВЫБОРА!F22:K22)</f>
        <v>0</v>
      </c>
      <c r="I580" s="12" t="n">
        <f aca="false">SUMPRODUCT(ПОТОКИ!B12:G12,ЧАСОВЫЕ_ПРОФИЛИ!B14:G14,КОЭФФИЦИЕНТЫ_ВЫБОРА!F22:K22,ПАРАМЕТРЫ!$B$17:$G$17)</f>
        <v>0</v>
      </c>
      <c r="J580" s="12" t="n">
        <f aca="false">I580*G580/1000</f>
        <v>0</v>
      </c>
      <c r="K580" s="11" t="s">
        <v>217</v>
      </c>
      <c r="L580" s="11" t="s">
        <v>19</v>
      </c>
      <c r="M580" s="11" t="s">
        <v>145</v>
      </c>
    </row>
    <row r="581" customFormat="false" ht="15" hidden="false" customHeight="false" outlineLevel="0" collapsed="false">
      <c r="A581" s="11" t="s">
        <v>108</v>
      </c>
      <c r="B581" s="11" t="s">
        <v>127</v>
      </c>
      <c r="C581" s="11" t="n">
        <v>13</v>
      </c>
      <c r="D581" s="11" t="s">
        <v>166</v>
      </c>
      <c r="E581" s="11" t="s">
        <v>167</v>
      </c>
      <c r="F581" s="11" t="s">
        <v>80</v>
      </c>
      <c r="G581" s="12" t="n">
        <v>130</v>
      </c>
      <c r="H581" s="12" t="n">
        <f aca="false">SUMPRODUCT(ПОТОКИ!B12:G12,ЧАСОВЫЕ_ПРОФИЛИ!B14:G14,КОЭФФИЦИЕНТЫ_ВЫБОРА!F23:K23)</f>
        <v>0</v>
      </c>
      <c r="I581" s="12" t="n">
        <f aca="false">SUMPRODUCT(ПОТОКИ!B12:G12,ЧАСОВЫЕ_ПРОФИЛИ!B14:G14,КОЭФФИЦИЕНТЫ_ВЫБОРА!F23:K23,ПАРАМЕТРЫ!$B$17:$G$17)</f>
        <v>0</v>
      </c>
      <c r="J581" s="12" t="n">
        <f aca="false">I581*G581/1000</f>
        <v>0</v>
      </c>
      <c r="K581" s="11" t="s">
        <v>217</v>
      </c>
      <c r="L581" s="11" t="s">
        <v>19</v>
      </c>
      <c r="M581" s="11" t="s">
        <v>145</v>
      </c>
    </row>
    <row r="582" customFormat="false" ht="15" hidden="false" customHeight="false" outlineLevel="0" collapsed="false">
      <c r="A582" s="11" t="s">
        <v>108</v>
      </c>
      <c r="B582" s="11" t="s">
        <v>127</v>
      </c>
      <c r="C582" s="11" t="n">
        <v>14</v>
      </c>
      <c r="D582" s="11" t="s">
        <v>166</v>
      </c>
      <c r="E582" s="11" t="s">
        <v>168</v>
      </c>
      <c r="F582" s="11" t="s">
        <v>80</v>
      </c>
      <c r="G582" s="12" t="n">
        <v>250</v>
      </c>
      <c r="H582" s="12" t="n">
        <f aca="false">SUMPRODUCT(ПОТОКИ!B12:G12,ЧАСОВЫЕ_ПРОФИЛИ!B14:G14,КОЭФФИЦИЕНТЫ_ВЫБОРА!F24:K24)</f>
        <v>0</v>
      </c>
      <c r="I582" s="12" t="n">
        <f aca="false">SUMPRODUCT(ПОТОКИ!B12:G12,ЧАСОВЫЕ_ПРОФИЛИ!B14:G14,КОЭФФИЦИЕНТЫ_ВЫБОРА!F24:K24,ПАРАМЕТРЫ!$B$17:$G$17)</f>
        <v>0</v>
      </c>
      <c r="J582" s="12" t="n">
        <f aca="false">I582*G582/1000</f>
        <v>0</v>
      </c>
      <c r="K582" s="11" t="s">
        <v>217</v>
      </c>
      <c r="L582" s="11" t="s">
        <v>19</v>
      </c>
      <c r="M582" s="11" t="s">
        <v>145</v>
      </c>
    </row>
    <row r="583" customFormat="false" ht="15" hidden="false" customHeight="false" outlineLevel="0" collapsed="false">
      <c r="A583" s="11" t="s">
        <v>108</v>
      </c>
      <c r="B583" s="11" t="s">
        <v>127</v>
      </c>
      <c r="C583" s="11" t="n">
        <v>15</v>
      </c>
      <c r="D583" s="11" t="s">
        <v>166</v>
      </c>
      <c r="E583" s="11" t="s">
        <v>169</v>
      </c>
      <c r="F583" s="11" t="s">
        <v>80</v>
      </c>
      <c r="G583" s="12" t="n">
        <v>120</v>
      </c>
      <c r="H583" s="12" t="n">
        <f aca="false">SUMPRODUCT(ПОТОКИ!B12:G12,ЧАСОВЫЕ_ПРОФИЛИ!B14:G14,КОЭФФИЦИЕНТЫ_ВЫБОРА!F25:K25)</f>
        <v>0</v>
      </c>
      <c r="I583" s="12" t="n">
        <f aca="false">SUMPRODUCT(ПОТОКИ!B12:G12,ЧАСОВЫЕ_ПРОФИЛИ!B14:G14,КОЭФФИЦИЕНТЫ_ВЫБОРА!F25:K25,ПАРАМЕТРЫ!$B$17:$G$17)</f>
        <v>0</v>
      </c>
      <c r="J583" s="12" t="n">
        <f aca="false">I583*G583/1000</f>
        <v>0</v>
      </c>
      <c r="K583" s="11" t="s">
        <v>217</v>
      </c>
      <c r="L583" s="11" t="s">
        <v>19</v>
      </c>
      <c r="M583" s="11" t="s">
        <v>145</v>
      </c>
    </row>
    <row r="584" customFormat="false" ht="15" hidden="false" customHeight="false" outlineLevel="0" collapsed="false">
      <c r="A584" s="11" t="s">
        <v>108</v>
      </c>
      <c r="B584" s="11" t="s">
        <v>127</v>
      </c>
      <c r="C584" s="11" t="n">
        <v>16</v>
      </c>
      <c r="D584" s="11" t="s">
        <v>166</v>
      </c>
      <c r="E584" s="11" t="s">
        <v>170</v>
      </c>
      <c r="F584" s="11" t="s">
        <v>80</v>
      </c>
      <c r="G584" s="12" t="n">
        <v>180</v>
      </c>
      <c r="H584" s="12" t="n">
        <f aca="false">SUMPRODUCT(ПОТОКИ!B12:G12,ЧАСОВЫЕ_ПРОФИЛИ!B14:G14,КОЭФФИЦИЕНТЫ_ВЫБОРА!F26:K26)</f>
        <v>0</v>
      </c>
      <c r="I584" s="12" t="n">
        <f aca="false">SUMPRODUCT(ПОТОКИ!B12:G12,ЧАСОВЫЕ_ПРОФИЛИ!B14:G14,КОЭФФИЦИЕНТЫ_ВЫБОРА!F26:K26,ПАРАМЕТРЫ!$B$17:$G$17)</f>
        <v>0</v>
      </c>
      <c r="J584" s="12" t="n">
        <f aca="false">I584*G584/1000</f>
        <v>0</v>
      </c>
      <c r="K584" s="11" t="s">
        <v>217</v>
      </c>
      <c r="L584" s="11" t="s">
        <v>19</v>
      </c>
      <c r="M584" s="11" t="s">
        <v>145</v>
      </c>
    </row>
    <row r="585" customFormat="false" ht="15" hidden="false" customHeight="false" outlineLevel="0" collapsed="false">
      <c r="A585" s="11" t="s">
        <v>108</v>
      </c>
      <c r="B585" s="11" t="s">
        <v>127</v>
      </c>
      <c r="C585" s="11" t="n">
        <v>17</v>
      </c>
      <c r="D585" s="11" t="s">
        <v>166</v>
      </c>
      <c r="E585" s="11" t="s">
        <v>171</v>
      </c>
      <c r="F585" s="11" t="s">
        <v>80</v>
      </c>
      <c r="G585" s="12" t="n">
        <v>180</v>
      </c>
      <c r="H585" s="12" t="n">
        <f aca="false">SUMPRODUCT(ПОТОКИ!B12:G12,ЧАСОВЫЕ_ПРОФИЛИ!B14:G14,КОЭФФИЦИЕНТЫ_ВЫБОРА!F27:K27)</f>
        <v>0</v>
      </c>
      <c r="I585" s="12" t="n">
        <f aca="false">SUMPRODUCT(ПОТОКИ!B12:G12,ЧАСОВЫЕ_ПРОФИЛИ!B14:G14,КОЭФФИЦИЕНТЫ_ВЫБОРА!F27:K27,ПАРАМЕТРЫ!$B$17:$G$17)</f>
        <v>0</v>
      </c>
      <c r="J585" s="12" t="n">
        <f aca="false">I585*G585/1000</f>
        <v>0</v>
      </c>
      <c r="K585" s="11" t="s">
        <v>217</v>
      </c>
      <c r="L585" s="11" t="s">
        <v>19</v>
      </c>
      <c r="M585" s="11" t="s">
        <v>145</v>
      </c>
    </row>
    <row r="586" customFormat="false" ht="15" hidden="false" customHeight="false" outlineLevel="0" collapsed="false">
      <c r="A586" s="11" t="s">
        <v>108</v>
      </c>
      <c r="B586" s="11" t="s">
        <v>127</v>
      </c>
      <c r="C586" s="11" t="n">
        <v>18</v>
      </c>
      <c r="D586" s="11" t="s">
        <v>172</v>
      </c>
      <c r="E586" s="11" t="s">
        <v>173</v>
      </c>
      <c r="F586" s="11" t="s">
        <v>83</v>
      </c>
      <c r="G586" s="12" t="n">
        <v>400</v>
      </c>
      <c r="H586" s="12" t="n">
        <f aca="false">SUMPRODUCT(ПОТОКИ!B12:G12,ЧАСОВЫЕ_ПРОФИЛИ!B14:G14,КОЭФФИЦИЕНТЫ_ВЫБОРА!F28:K28)</f>
        <v>0</v>
      </c>
      <c r="I586" s="12" t="n">
        <f aca="false">SUMPRODUCT(ПОТОКИ!B12:G12,ЧАСОВЫЕ_ПРОФИЛИ!B14:G14,КОЭФФИЦИЕНТЫ_ВЫБОРА!F28:K28,ПАРАМЕТРЫ!$B$17:$G$17)</f>
        <v>0</v>
      </c>
      <c r="J586" s="12" t="n">
        <f aca="false">I586*G586/1000</f>
        <v>0</v>
      </c>
      <c r="K586" s="11" t="s">
        <v>217</v>
      </c>
      <c r="L586" s="11" t="s">
        <v>19</v>
      </c>
      <c r="M586" s="11" t="s">
        <v>145</v>
      </c>
    </row>
    <row r="587" customFormat="false" ht="23.85" hidden="false" customHeight="false" outlineLevel="0" collapsed="false">
      <c r="A587" s="11" t="s">
        <v>108</v>
      </c>
      <c r="B587" s="11" t="s">
        <v>127</v>
      </c>
      <c r="C587" s="11" t="n">
        <v>19</v>
      </c>
      <c r="D587" s="11" t="s">
        <v>174</v>
      </c>
      <c r="E587" s="11" t="s">
        <v>175</v>
      </c>
      <c r="F587" s="11" t="s">
        <v>83</v>
      </c>
      <c r="G587" s="12" t="n">
        <v>300</v>
      </c>
      <c r="H587" s="12" t="n">
        <f aca="false">SUMPRODUCT(ПОТОКИ!B12:G12,ЧАСОВЫЕ_ПРОФИЛИ!B14:G14,КОЭФФИЦИЕНТЫ_ВЫБОРА!F29:K29)</f>
        <v>0</v>
      </c>
      <c r="I587" s="12" t="n">
        <f aca="false">SUMPRODUCT(ПОТОКИ!B12:G12,ЧАСОВЫЕ_ПРОФИЛИ!B14:G14,КОЭФФИЦИЕНТЫ_ВЫБОРА!F29:K29,ПАРАМЕТРЫ!$B$17:$G$17)</f>
        <v>0</v>
      </c>
      <c r="J587" s="12" t="n">
        <f aca="false">I587*G587/1000</f>
        <v>0</v>
      </c>
      <c r="K587" s="11" t="s">
        <v>217</v>
      </c>
      <c r="L587" s="11" t="s">
        <v>19</v>
      </c>
      <c r="M587" s="11" t="s">
        <v>145</v>
      </c>
    </row>
    <row r="588" customFormat="false" ht="15" hidden="false" customHeight="false" outlineLevel="0" collapsed="false">
      <c r="A588" s="11" t="s">
        <v>108</v>
      </c>
      <c r="B588" s="11" t="s">
        <v>127</v>
      </c>
      <c r="C588" s="11" t="n">
        <v>20</v>
      </c>
      <c r="D588" s="11" t="s">
        <v>174</v>
      </c>
      <c r="E588" s="11" t="s">
        <v>176</v>
      </c>
      <c r="F588" s="11" t="s">
        <v>83</v>
      </c>
      <c r="G588" s="12" t="n">
        <v>360</v>
      </c>
      <c r="H588" s="12" t="n">
        <f aca="false">SUMPRODUCT(ПОТОКИ!B12:G12,ЧАСОВЫЕ_ПРОФИЛИ!B14:G14,КОЭФФИЦИЕНТЫ_ВЫБОРА!F30:K30)</f>
        <v>0</v>
      </c>
      <c r="I588" s="12" t="n">
        <f aca="false">SUMPRODUCT(ПОТОКИ!B12:G12,ЧАСОВЫЕ_ПРОФИЛИ!B14:G14,КОЭФФИЦИЕНТЫ_ВЫБОРА!F30:K30,ПАРАМЕТРЫ!$B$17:$G$17)</f>
        <v>0</v>
      </c>
      <c r="J588" s="12" t="n">
        <f aca="false">I588*G588/1000</f>
        <v>0</v>
      </c>
      <c r="K588" s="11" t="s">
        <v>217</v>
      </c>
      <c r="L588" s="11" t="s">
        <v>19</v>
      </c>
      <c r="M588" s="11" t="s">
        <v>145</v>
      </c>
    </row>
    <row r="589" customFormat="false" ht="15" hidden="false" customHeight="false" outlineLevel="0" collapsed="false">
      <c r="A589" s="11" t="s">
        <v>108</v>
      </c>
      <c r="B589" s="11" t="s">
        <v>127</v>
      </c>
      <c r="C589" s="11" t="n">
        <v>21</v>
      </c>
      <c r="D589" s="11" t="s">
        <v>174</v>
      </c>
      <c r="E589" s="11" t="s">
        <v>177</v>
      </c>
      <c r="F589" s="11" t="s">
        <v>83</v>
      </c>
      <c r="G589" s="12" t="n">
        <v>350</v>
      </c>
      <c r="H589" s="12" t="n">
        <f aca="false">SUMPRODUCT(ПОТОКИ!B12:G12,ЧАСОВЫЕ_ПРОФИЛИ!B14:G14,КОЭФФИЦИЕНТЫ_ВЫБОРА!F31:K31)</f>
        <v>0</v>
      </c>
      <c r="I589" s="12" t="n">
        <f aca="false">SUMPRODUCT(ПОТОКИ!B12:G12,ЧАСОВЫЕ_ПРОФИЛИ!B14:G14,КОЭФФИЦИЕНТЫ_ВЫБОРА!F31:K31,ПАРАМЕТРЫ!$B$17:$G$17)</f>
        <v>0</v>
      </c>
      <c r="J589" s="12" t="n">
        <f aca="false">I589*G589/1000</f>
        <v>0</v>
      </c>
      <c r="K589" s="11" t="s">
        <v>217</v>
      </c>
      <c r="L589" s="11" t="s">
        <v>19</v>
      </c>
      <c r="M589" s="11" t="s">
        <v>145</v>
      </c>
    </row>
    <row r="590" customFormat="false" ht="15" hidden="false" customHeight="false" outlineLevel="0" collapsed="false">
      <c r="A590" s="11" t="s">
        <v>108</v>
      </c>
      <c r="B590" s="11" t="s">
        <v>127</v>
      </c>
      <c r="C590" s="11" t="n">
        <v>22</v>
      </c>
      <c r="D590" s="11" t="s">
        <v>174</v>
      </c>
      <c r="E590" s="11" t="s">
        <v>178</v>
      </c>
      <c r="F590" s="11" t="s">
        <v>83</v>
      </c>
      <c r="G590" s="12" t="n">
        <v>300</v>
      </c>
      <c r="H590" s="12" t="n">
        <f aca="false">SUMPRODUCT(ПОТОКИ!B12:G12,ЧАСОВЫЕ_ПРОФИЛИ!B14:G14,КОЭФФИЦИЕНТЫ_ВЫБОРА!F32:K32)</f>
        <v>0</v>
      </c>
      <c r="I590" s="12" t="n">
        <f aca="false">SUMPRODUCT(ПОТОКИ!B12:G12,ЧАСОВЫЕ_ПРОФИЛИ!B14:G14,КОЭФФИЦИЕНТЫ_ВЫБОРА!F32:K32,ПАРАМЕТРЫ!$B$17:$G$17)</f>
        <v>0</v>
      </c>
      <c r="J590" s="12" t="n">
        <f aca="false">I590*G590/1000</f>
        <v>0</v>
      </c>
      <c r="K590" s="11" t="s">
        <v>217</v>
      </c>
      <c r="L590" s="11" t="s">
        <v>19</v>
      </c>
      <c r="M590" s="11" t="s">
        <v>145</v>
      </c>
    </row>
    <row r="591" customFormat="false" ht="15" hidden="false" customHeight="false" outlineLevel="0" collapsed="false">
      <c r="A591" s="11" t="s">
        <v>108</v>
      </c>
      <c r="B591" s="11" t="s">
        <v>127</v>
      </c>
      <c r="C591" s="11" t="n">
        <v>23</v>
      </c>
      <c r="D591" s="11" t="s">
        <v>86</v>
      </c>
      <c r="E591" s="11" t="s">
        <v>179</v>
      </c>
      <c r="F591" s="11" t="s">
        <v>85</v>
      </c>
      <c r="G591" s="12" t="n">
        <v>150</v>
      </c>
      <c r="H591" s="12" t="n">
        <f aca="false">SUMPRODUCT(ПОТОКИ!B12:G12,ЧАСОВЫЕ_ПРОФИЛИ!B14:G14,КОЭФФИЦИЕНТЫ_ВЫБОРА!F33:K33)</f>
        <v>0</v>
      </c>
      <c r="I591" s="12" t="n">
        <f aca="false">SUMPRODUCT(ПОТОКИ!B12:G12,ЧАСОВЫЕ_ПРОФИЛИ!B14:G14,КОЭФФИЦИЕНТЫ_ВЫБОРА!F33:K33,ПАРАМЕТРЫ!$B$17:$G$17)</f>
        <v>0</v>
      </c>
      <c r="J591" s="12" t="n">
        <f aca="false">I591*G591/1000</f>
        <v>0</v>
      </c>
      <c r="K591" s="11" t="s">
        <v>217</v>
      </c>
      <c r="L591" s="11" t="s">
        <v>19</v>
      </c>
      <c r="M591" s="11" t="s">
        <v>147</v>
      </c>
    </row>
    <row r="592" customFormat="false" ht="15" hidden="false" customHeight="false" outlineLevel="0" collapsed="false">
      <c r="A592" s="11" t="s">
        <v>108</v>
      </c>
      <c r="B592" s="11" t="s">
        <v>127</v>
      </c>
      <c r="C592" s="11" t="n">
        <v>24</v>
      </c>
      <c r="D592" s="11" t="s">
        <v>86</v>
      </c>
      <c r="E592" s="11" t="s">
        <v>180</v>
      </c>
      <c r="F592" s="11" t="s">
        <v>85</v>
      </c>
      <c r="G592" s="12" t="n">
        <v>150</v>
      </c>
      <c r="H592" s="12" t="n">
        <f aca="false">SUMPRODUCT(ПОТОКИ!B12:G12,ЧАСОВЫЕ_ПРОФИЛИ!B14:G14,КОЭФФИЦИЕНТЫ_ВЫБОРА!F34:K34)</f>
        <v>0</v>
      </c>
      <c r="I592" s="12" t="n">
        <f aca="false">SUMPRODUCT(ПОТОКИ!B12:G12,ЧАСОВЫЕ_ПРОФИЛИ!B14:G14,КОЭФФИЦИЕНТЫ_ВЫБОРА!F34:K34,ПАРАМЕТРЫ!$B$17:$G$17)</f>
        <v>0</v>
      </c>
      <c r="J592" s="12" t="n">
        <f aca="false">I592*G592/1000</f>
        <v>0</v>
      </c>
      <c r="K592" s="11" t="s">
        <v>217</v>
      </c>
      <c r="L592" s="11" t="s">
        <v>19</v>
      </c>
      <c r="M592" s="11" t="s">
        <v>147</v>
      </c>
    </row>
    <row r="593" customFormat="false" ht="15" hidden="false" customHeight="false" outlineLevel="0" collapsed="false">
      <c r="A593" s="11" t="s">
        <v>108</v>
      </c>
      <c r="B593" s="11" t="s">
        <v>127</v>
      </c>
      <c r="C593" s="11" t="n">
        <v>25</v>
      </c>
      <c r="D593" s="11" t="s">
        <v>86</v>
      </c>
      <c r="E593" s="11" t="s">
        <v>181</v>
      </c>
      <c r="F593" s="11" t="s">
        <v>85</v>
      </c>
      <c r="G593" s="12" t="n">
        <v>150</v>
      </c>
      <c r="H593" s="12" t="n">
        <f aca="false">SUMPRODUCT(ПОТОКИ!B12:G12,ЧАСОВЫЕ_ПРОФИЛИ!B14:G14,КОЭФФИЦИЕНТЫ_ВЫБОРА!F35:K35)</f>
        <v>0</v>
      </c>
      <c r="I593" s="12" t="n">
        <f aca="false">SUMPRODUCT(ПОТОКИ!B12:G12,ЧАСОВЫЕ_ПРОФИЛИ!B14:G14,КОЭФФИЦИЕНТЫ_ВЫБОРА!F35:K35,ПАРАМЕТРЫ!$B$17:$G$17)</f>
        <v>0</v>
      </c>
      <c r="J593" s="12" t="n">
        <f aca="false">I593*G593/1000</f>
        <v>0</v>
      </c>
      <c r="K593" s="11" t="s">
        <v>217</v>
      </c>
      <c r="L593" s="11" t="s">
        <v>19</v>
      </c>
      <c r="M593" s="11" t="s">
        <v>147</v>
      </c>
    </row>
    <row r="594" customFormat="false" ht="23.85" hidden="false" customHeight="false" outlineLevel="0" collapsed="false">
      <c r="A594" s="11" t="s">
        <v>108</v>
      </c>
      <c r="B594" s="11" t="s">
        <v>127</v>
      </c>
      <c r="C594" s="11" t="n">
        <v>26</v>
      </c>
      <c r="D594" s="11" t="s">
        <v>89</v>
      </c>
      <c r="E594" s="11" t="s">
        <v>182</v>
      </c>
      <c r="F594" s="11" t="s">
        <v>88</v>
      </c>
      <c r="G594" s="12" t="n">
        <v>225</v>
      </c>
      <c r="H594" s="12" t="n">
        <f aca="false">SUMPRODUCT(ПОТОКИ!B12:G12,ЧАСОВЫЕ_ПРОФИЛИ!B14:G14,КОЭФФИЦИЕНТЫ_ВЫБОРА!F36:K36)</f>
        <v>1.2375</v>
      </c>
      <c r="I594" s="12" t="n">
        <f aca="false">SUMPRODUCT(ПОТОКИ!B12:G12,ЧАСОВЫЕ_ПРОФИЛИ!B14:G14,КОЭФФИЦИЕНТЫ_ВЫБОРА!F36:K36,ПАРАМЕТРЫ!$B$17:$G$17)</f>
        <v>1.2375</v>
      </c>
      <c r="J594" s="12" t="n">
        <f aca="false">I594*G594/1000</f>
        <v>0.2784375</v>
      </c>
      <c r="K594" s="11" t="s">
        <v>217</v>
      </c>
      <c r="L594" s="11" t="s">
        <v>19</v>
      </c>
      <c r="M594" s="11" t="s">
        <v>145</v>
      </c>
    </row>
    <row r="595" customFormat="false" ht="23.85" hidden="false" customHeight="false" outlineLevel="0" collapsed="false">
      <c r="A595" s="11" t="s">
        <v>108</v>
      </c>
      <c r="B595" s="11" t="s">
        <v>127</v>
      </c>
      <c r="C595" s="11" t="n">
        <v>27</v>
      </c>
      <c r="D595" s="11" t="s">
        <v>89</v>
      </c>
      <c r="E595" s="11" t="s">
        <v>183</v>
      </c>
      <c r="F595" s="11" t="s">
        <v>88</v>
      </c>
      <c r="G595" s="12" t="n">
        <v>265</v>
      </c>
      <c r="H595" s="12" t="n">
        <f aca="false">SUMPRODUCT(ПОТОКИ!B12:G12,ЧАСОВЫЕ_ПРОФИЛИ!B14:G14,КОЭФФИЦИЕНТЫ_ВЫБОРА!F37:K37)</f>
        <v>1.2375</v>
      </c>
      <c r="I595" s="12" t="n">
        <f aca="false">SUMPRODUCT(ПОТОКИ!B12:G12,ЧАСОВЫЕ_ПРОФИЛИ!B14:G14,КОЭФФИЦИЕНТЫ_ВЫБОРА!F37:K37,ПАРАМЕТРЫ!$B$17:$G$17)</f>
        <v>1.2375</v>
      </c>
      <c r="J595" s="12" t="n">
        <f aca="false">I595*G595/1000</f>
        <v>0.3279375</v>
      </c>
      <c r="K595" s="11" t="s">
        <v>217</v>
      </c>
      <c r="L595" s="11" t="s">
        <v>19</v>
      </c>
      <c r="M595" s="11" t="s">
        <v>145</v>
      </c>
    </row>
    <row r="596" customFormat="false" ht="23.85" hidden="false" customHeight="false" outlineLevel="0" collapsed="false">
      <c r="A596" s="11" t="s">
        <v>108</v>
      </c>
      <c r="B596" s="11" t="s">
        <v>127</v>
      </c>
      <c r="C596" s="11" t="n">
        <v>28</v>
      </c>
      <c r="D596" s="11" t="s">
        <v>89</v>
      </c>
      <c r="E596" s="11" t="s">
        <v>184</v>
      </c>
      <c r="F596" s="11" t="s">
        <v>88</v>
      </c>
      <c r="G596" s="12" t="n">
        <v>355</v>
      </c>
      <c r="H596" s="12" t="n">
        <f aca="false">SUMPRODUCT(ПОТОКИ!B12:G12,ЧАСОВЫЕ_ПРОФИЛИ!B14:G14,КОЭФФИЦИЕНТЫ_ВЫБОРА!F38:K38)</f>
        <v>0.825</v>
      </c>
      <c r="I596" s="12" t="n">
        <f aca="false">SUMPRODUCT(ПОТОКИ!B12:G12,ЧАСОВЫЕ_ПРОФИЛИ!B14:G14,КОЭФФИЦИЕНТЫ_ВЫБОРА!F38:K38,ПАРАМЕТРЫ!$B$17:$G$17)</f>
        <v>0.825</v>
      </c>
      <c r="J596" s="12" t="n">
        <f aca="false">I596*G596/1000</f>
        <v>0.292875</v>
      </c>
      <c r="K596" s="11" t="s">
        <v>217</v>
      </c>
      <c r="L596" s="11" t="s">
        <v>19</v>
      </c>
      <c r="M596" s="11" t="s">
        <v>145</v>
      </c>
    </row>
    <row r="597" customFormat="false" ht="15" hidden="false" customHeight="false" outlineLevel="0" collapsed="false">
      <c r="A597" s="11" t="s">
        <v>108</v>
      </c>
      <c r="B597" s="11" t="s">
        <v>127</v>
      </c>
      <c r="C597" s="11" t="n">
        <v>29</v>
      </c>
      <c r="D597" s="11" t="s">
        <v>92</v>
      </c>
      <c r="E597" s="11" t="s">
        <v>185</v>
      </c>
      <c r="F597" s="11" t="s">
        <v>91</v>
      </c>
      <c r="G597" s="12" t="n">
        <v>150</v>
      </c>
      <c r="H597" s="12" t="n">
        <f aca="false">SUMPRODUCT(ПОТОКИ!B12:G12,ЧАСОВЫЕ_ПРОФИЛИ!B14:G14,КОЭФФИЦИЕНТЫ_ВЫБОРА!F39:K39)</f>
        <v>0.108</v>
      </c>
      <c r="I597" s="12" t="n">
        <f aca="false">SUMPRODUCT(ПОТОКИ!B12:G12,ЧАСОВЫЕ_ПРОФИЛИ!B14:G14,КОЭФФИЦИЕНТЫ_ВЫБОРА!F39:K39,ПАРАМЕТРЫ!$B$17:$G$17)</f>
        <v>0.1188</v>
      </c>
      <c r="J597" s="12" t="n">
        <f aca="false">I597*G597/1000</f>
        <v>0.01782</v>
      </c>
      <c r="K597" s="11" t="s">
        <v>217</v>
      </c>
      <c r="L597" s="11" t="s">
        <v>19</v>
      </c>
      <c r="M597" s="11" t="s">
        <v>145</v>
      </c>
    </row>
    <row r="598" customFormat="false" ht="15" hidden="false" customHeight="false" outlineLevel="0" collapsed="false">
      <c r="A598" s="11" t="s">
        <v>108</v>
      </c>
      <c r="B598" s="11" t="s">
        <v>127</v>
      </c>
      <c r="C598" s="11" t="n">
        <v>30</v>
      </c>
      <c r="D598" s="11" t="s">
        <v>92</v>
      </c>
      <c r="E598" s="11" t="s">
        <v>186</v>
      </c>
      <c r="F598" s="11" t="s">
        <v>91</v>
      </c>
      <c r="G598" s="12" t="n">
        <v>120</v>
      </c>
      <c r="H598" s="12" t="n">
        <f aca="false">SUMPRODUCT(ПОТОКИ!B12:G12,ЧАСОВЫЕ_ПРОФИЛИ!B14:G14,КОЭФФИЦИЕНТЫ_ВЫБОРА!F40:K40)</f>
        <v>0.108</v>
      </c>
      <c r="I598" s="12" t="n">
        <f aca="false">SUMPRODUCT(ПОТОКИ!B12:G12,ЧАСОВЫЕ_ПРОФИЛИ!B14:G14,КОЭФФИЦИЕНТЫ_ВЫБОРА!F40:K40,ПАРАМЕТРЫ!$B$17:$G$17)</f>
        <v>0.1188</v>
      </c>
      <c r="J598" s="12" t="n">
        <f aca="false">I598*G598/1000</f>
        <v>0.014256</v>
      </c>
      <c r="K598" s="11" t="s">
        <v>217</v>
      </c>
      <c r="L598" s="11" t="s">
        <v>19</v>
      </c>
      <c r="M598" s="11" t="s">
        <v>145</v>
      </c>
    </row>
    <row r="599" customFormat="false" ht="15" hidden="false" customHeight="false" outlineLevel="0" collapsed="false">
      <c r="A599" s="11" t="s">
        <v>108</v>
      </c>
      <c r="B599" s="11" t="s">
        <v>127</v>
      </c>
      <c r="C599" s="11" t="n">
        <v>31</v>
      </c>
      <c r="D599" s="11" t="s">
        <v>92</v>
      </c>
      <c r="E599" s="11" t="s">
        <v>187</v>
      </c>
      <c r="F599" s="11" t="s">
        <v>91</v>
      </c>
      <c r="G599" s="12" t="n">
        <v>60</v>
      </c>
      <c r="H599" s="12" t="n">
        <f aca="false">SUMPRODUCT(ПОТОКИ!B12:G12,ЧАСОВЫЕ_ПРОФИЛИ!B14:G14,КОЭФФИЦИЕНТЫ_ВЫБОРА!F41:K41)</f>
        <v>0.144</v>
      </c>
      <c r="I599" s="12" t="n">
        <f aca="false">SUMPRODUCT(ПОТОКИ!B12:G12,ЧАСОВЫЕ_ПРОФИЛИ!B14:G14,КОЭФФИЦИЕНТЫ_ВЫБОРА!F41:K41,ПАРАМЕТРЫ!$B$17:$G$17)</f>
        <v>0.1584</v>
      </c>
      <c r="J599" s="12" t="n">
        <f aca="false">I599*G599/1000</f>
        <v>0.009504</v>
      </c>
      <c r="K599" s="11" t="s">
        <v>217</v>
      </c>
      <c r="L599" s="11" t="s">
        <v>19</v>
      </c>
      <c r="M599" s="11" t="s">
        <v>145</v>
      </c>
    </row>
    <row r="600" customFormat="false" ht="15" hidden="false" customHeight="false" outlineLevel="0" collapsed="false">
      <c r="A600" s="11" t="s">
        <v>108</v>
      </c>
      <c r="B600" s="11" t="s">
        <v>128</v>
      </c>
      <c r="C600" s="11" t="n">
        <v>1</v>
      </c>
      <c r="D600" s="11" t="s">
        <v>74</v>
      </c>
      <c r="E600" s="11" t="s">
        <v>153</v>
      </c>
      <c r="F600" s="11" t="s">
        <v>73</v>
      </c>
      <c r="G600" s="12" t="n">
        <v>450</v>
      </c>
      <c r="H600" s="12" t="n">
        <f aca="false">SUMPRODUCT(ПОТОКИ!B12:G12,ЧАСОВЫЕ_ПРОФИЛИ!B15:G15,КОЭФФИЦИЕНТЫ_ВЫБОРА!F11:K11)</f>
        <v>0.2028</v>
      </c>
      <c r="I600" s="12" t="n">
        <f aca="false">SUMPRODUCT(ПОТОКИ!B12:G12,ЧАСОВЫЕ_ПРОФИЛИ!B15:G15,КОЭФФИЦИЕНТЫ_ВЫБОРА!F11:K11,ПАРАМЕТРЫ!$B$17:$G$17)</f>
        <v>0.22308</v>
      </c>
      <c r="J600" s="12" t="n">
        <f aca="false">I600*G600/1000</f>
        <v>0.100386</v>
      </c>
      <c r="K600" s="11" t="s">
        <v>217</v>
      </c>
      <c r="L600" s="11" t="s">
        <v>19</v>
      </c>
      <c r="M600" s="11" t="s">
        <v>145</v>
      </c>
    </row>
    <row r="601" customFormat="false" ht="15" hidden="false" customHeight="false" outlineLevel="0" collapsed="false">
      <c r="A601" s="11" t="s">
        <v>108</v>
      </c>
      <c r="B601" s="11" t="s">
        <v>128</v>
      </c>
      <c r="C601" s="11" t="n">
        <v>2</v>
      </c>
      <c r="D601" s="11" t="s">
        <v>74</v>
      </c>
      <c r="E601" s="11" t="s">
        <v>154</v>
      </c>
      <c r="F601" s="11" t="s">
        <v>73</v>
      </c>
      <c r="G601" s="12" t="n">
        <v>480</v>
      </c>
      <c r="H601" s="12" t="n">
        <f aca="false">SUMPRODUCT(ПОТОКИ!B12:G12,ЧАСОВЫЕ_ПРОФИЛИ!B15:G15,КОЭФФИЦИЕНТЫ_ВЫБОРА!F12:K12)</f>
        <v>0.2364</v>
      </c>
      <c r="I601" s="12" t="n">
        <f aca="false">SUMPRODUCT(ПОТОКИ!B12:G12,ЧАСОВЫЕ_ПРОФИЛИ!B15:G15,КОЭФФИЦИЕНТЫ_ВЫБОРА!F12:K12,ПАРАМЕТРЫ!$B$17:$G$17)</f>
        <v>0.26004</v>
      </c>
      <c r="J601" s="12" t="n">
        <f aca="false">I601*G601/1000</f>
        <v>0.1248192</v>
      </c>
      <c r="K601" s="11" t="s">
        <v>217</v>
      </c>
      <c r="L601" s="11" t="s">
        <v>19</v>
      </c>
      <c r="M601" s="11" t="s">
        <v>145</v>
      </c>
    </row>
    <row r="602" customFormat="false" ht="15" hidden="false" customHeight="false" outlineLevel="0" collapsed="false">
      <c r="A602" s="11" t="s">
        <v>108</v>
      </c>
      <c r="B602" s="11" t="s">
        <v>128</v>
      </c>
      <c r="C602" s="11" t="n">
        <v>3</v>
      </c>
      <c r="D602" s="11" t="s">
        <v>74</v>
      </c>
      <c r="E602" s="11" t="s">
        <v>155</v>
      </c>
      <c r="F602" s="11" t="s">
        <v>73</v>
      </c>
      <c r="G602" s="12" t="n">
        <v>500</v>
      </c>
      <c r="H602" s="12" t="n">
        <f aca="false">SUMPRODUCT(ПОТОКИ!B12:G12,ЧАСОВЫЕ_ПРОФИЛИ!B15:G15,КОЭФФИЦИЕНТЫ_ВЫБОРА!F13:K13)</f>
        <v>0.4296</v>
      </c>
      <c r="I602" s="12" t="n">
        <f aca="false">SUMPRODUCT(ПОТОКИ!B12:G12,ЧАСОВЫЕ_ПРОФИЛИ!B15:G15,КОЭФФИЦИЕНТЫ_ВЫБОРА!F13:K13,ПАРАМЕТРЫ!$B$17:$G$17)</f>
        <v>0.47256</v>
      </c>
      <c r="J602" s="12" t="n">
        <f aca="false">I602*G602/1000</f>
        <v>0.23628</v>
      </c>
      <c r="K602" s="11" t="s">
        <v>217</v>
      </c>
      <c r="L602" s="11" t="s">
        <v>19</v>
      </c>
      <c r="M602" s="11" t="s">
        <v>145</v>
      </c>
    </row>
    <row r="603" customFormat="false" ht="15" hidden="false" customHeight="false" outlineLevel="0" collapsed="false">
      <c r="A603" s="11" t="s">
        <v>108</v>
      </c>
      <c r="B603" s="11" t="s">
        <v>128</v>
      </c>
      <c r="C603" s="11" t="n">
        <v>4</v>
      </c>
      <c r="D603" s="11" t="s">
        <v>74</v>
      </c>
      <c r="E603" s="11" t="s">
        <v>156</v>
      </c>
      <c r="F603" s="11" t="s">
        <v>73</v>
      </c>
      <c r="G603" s="12" t="n">
        <v>500</v>
      </c>
      <c r="H603" s="12" t="n">
        <f aca="false">SUMPRODUCT(ПОТОКИ!B12:G12,ЧАСОВЫЕ_ПРОФИЛИ!B15:G15,КОЭФФИЦИЕНТЫ_ВЫБОРА!F14:K14)</f>
        <v>0.4632</v>
      </c>
      <c r="I603" s="12" t="n">
        <f aca="false">SUMPRODUCT(ПОТОКИ!B12:G12,ЧАСОВЫЕ_ПРОФИЛИ!B15:G15,КОЭФФИЦИЕНТЫ_ВЫБОРА!F14:K14,ПАРАМЕТРЫ!$B$17:$G$17)</f>
        <v>0.50952</v>
      </c>
      <c r="J603" s="12" t="n">
        <f aca="false">I603*G603/1000</f>
        <v>0.25476</v>
      </c>
      <c r="K603" s="11" t="s">
        <v>217</v>
      </c>
      <c r="L603" s="11" t="s">
        <v>19</v>
      </c>
      <c r="M603" s="11" t="s">
        <v>145</v>
      </c>
    </row>
    <row r="604" customFormat="false" ht="15" hidden="false" customHeight="false" outlineLevel="0" collapsed="false">
      <c r="A604" s="11" t="s">
        <v>108</v>
      </c>
      <c r="B604" s="11" t="s">
        <v>128</v>
      </c>
      <c r="C604" s="11" t="n">
        <v>5</v>
      </c>
      <c r="D604" s="11" t="s">
        <v>78</v>
      </c>
      <c r="E604" s="11" t="s">
        <v>157</v>
      </c>
      <c r="F604" s="11" t="s">
        <v>77</v>
      </c>
      <c r="G604" s="12" t="n">
        <v>100</v>
      </c>
      <c r="H604" s="12" t="n">
        <f aca="false">SUMPRODUCT(ПОТОКИ!B12:G12,ЧАСОВЫЕ_ПРОФИЛИ!B15:G15,КОЭФФИЦИЕНТЫ_ВЫБОРА!F15:K15)</f>
        <v>0.4244</v>
      </c>
      <c r="I604" s="12" t="n">
        <f aca="false">SUMPRODUCT(ПОТОКИ!B12:G12,ЧАСОВЫЕ_ПРОФИЛИ!B15:G15,КОЭФФИЦИЕНТЫ_ВЫБОРА!F15:K15,ПАРАМЕТРЫ!$B$17:$G$17)</f>
        <v>0.46684</v>
      </c>
      <c r="J604" s="12" t="n">
        <f aca="false">I604*G604/1000</f>
        <v>0.046684</v>
      </c>
      <c r="K604" s="11" t="s">
        <v>217</v>
      </c>
      <c r="L604" s="11" t="s">
        <v>19</v>
      </c>
      <c r="M604" s="11" t="s">
        <v>147</v>
      </c>
    </row>
    <row r="605" customFormat="false" ht="15" hidden="false" customHeight="false" outlineLevel="0" collapsed="false">
      <c r="A605" s="11" t="s">
        <v>108</v>
      </c>
      <c r="B605" s="11" t="s">
        <v>128</v>
      </c>
      <c r="C605" s="11" t="n">
        <v>6</v>
      </c>
      <c r="D605" s="11" t="s">
        <v>78</v>
      </c>
      <c r="E605" s="11" t="s">
        <v>158</v>
      </c>
      <c r="F605" s="11" t="s">
        <v>77</v>
      </c>
      <c r="G605" s="12" t="n">
        <v>100</v>
      </c>
      <c r="H605" s="12" t="n">
        <f aca="false">SUMPRODUCT(ПОТОКИ!B12:G12,ЧАСОВЫЕ_ПРОФИЛИ!B15:G15,КОЭФФИЦИЕНТЫ_ВЫБОРА!F16:K16)</f>
        <v>0.3948</v>
      </c>
      <c r="I605" s="12" t="n">
        <f aca="false">SUMPRODUCT(ПОТОКИ!B12:G12,ЧАСОВЫЕ_ПРОФИЛИ!B15:G15,КОЭФФИЦИЕНТЫ_ВЫБОРА!F16:K16,ПАРАМЕТРЫ!$B$17:$G$17)</f>
        <v>0.43428</v>
      </c>
      <c r="J605" s="12" t="n">
        <f aca="false">I605*G605/1000</f>
        <v>0.043428</v>
      </c>
      <c r="K605" s="11" t="s">
        <v>217</v>
      </c>
      <c r="L605" s="11" t="s">
        <v>19</v>
      </c>
      <c r="M605" s="11" t="s">
        <v>147</v>
      </c>
    </row>
    <row r="606" customFormat="false" ht="15" hidden="false" customHeight="false" outlineLevel="0" collapsed="false">
      <c r="A606" s="11" t="s">
        <v>108</v>
      </c>
      <c r="B606" s="11" t="s">
        <v>128</v>
      </c>
      <c r="C606" s="11" t="n">
        <v>7</v>
      </c>
      <c r="D606" s="11" t="s">
        <v>78</v>
      </c>
      <c r="E606" s="11" t="s">
        <v>159</v>
      </c>
      <c r="F606" s="11" t="s">
        <v>77</v>
      </c>
      <c r="G606" s="12" t="n">
        <v>350</v>
      </c>
      <c r="H606" s="12" t="n">
        <f aca="false">SUMPRODUCT(ПОТОКИ!B12:G12,ЧАСОВЫЕ_ПРОФИЛИ!B15:G15,КОЭФФИЦИЕНТЫ_ВЫБОРА!F17:K17)</f>
        <v>0.3438</v>
      </c>
      <c r="I606" s="12" t="n">
        <f aca="false">SUMPRODUCT(ПОТОКИ!B12:G12,ЧАСОВЫЕ_ПРОФИЛИ!B15:G15,КОЭФФИЦИЕНТЫ_ВЫБОРА!F17:K17,ПАРАМЕТРЫ!$B$17:$G$17)</f>
        <v>0.37818</v>
      </c>
      <c r="J606" s="12" t="n">
        <f aca="false">I606*G606/1000</f>
        <v>0.132363</v>
      </c>
      <c r="K606" s="11" t="s">
        <v>217</v>
      </c>
      <c r="L606" s="11" t="s">
        <v>19</v>
      </c>
      <c r="M606" s="11" t="s">
        <v>147</v>
      </c>
    </row>
    <row r="607" customFormat="false" ht="15" hidden="false" customHeight="false" outlineLevel="0" collapsed="false">
      <c r="A607" s="11" t="s">
        <v>108</v>
      </c>
      <c r="B607" s="11" t="s">
        <v>128</v>
      </c>
      <c r="C607" s="11" t="n">
        <v>8</v>
      </c>
      <c r="D607" s="11" t="s">
        <v>78</v>
      </c>
      <c r="E607" s="11" t="s">
        <v>160</v>
      </c>
      <c r="F607" s="11" t="s">
        <v>77</v>
      </c>
      <c r="G607" s="12" t="n">
        <v>85</v>
      </c>
      <c r="H607" s="12" t="n">
        <f aca="false">SUMPRODUCT(ПОТОКИ!B12:G12,ЧАСОВЫЕ_ПРОФИЛИ!B15:G15,КОЭФФИЦИЕНТЫ_ВЫБОРА!F18:K18)</f>
        <v>0.2122</v>
      </c>
      <c r="I607" s="12" t="n">
        <f aca="false">SUMPRODUCT(ПОТОКИ!B12:G12,ЧАСОВЫЕ_ПРОФИЛИ!B15:G15,КОЭФФИЦИЕНТЫ_ВЫБОРА!F18:K18,ПАРАМЕТРЫ!$B$17:$G$17)</f>
        <v>0.23342</v>
      </c>
      <c r="J607" s="12" t="n">
        <f aca="false">I607*G607/1000</f>
        <v>0.0198407</v>
      </c>
      <c r="K607" s="11" t="s">
        <v>217</v>
      </c>
      <c r="L607" s="11" t="s">
        <v>19</v>
      </c>
      <c r="M607" s="11" t="s">
        <v>147</v>
      </c>
    </row>
    <row r="608" customFormat="false" ht="15" hidden="false" customHeight="false" outlineLevel="0" collapsed="false">
      <c r="A608" s="11" t="s">
        <v>108</v>
      </c>
      <c r="B608" s="11" t="s">
        <v>128</v>
      </c>
      <c r="C608" s="11" t="n">
        <v>9</v>
      </c>
      <c r="D608" s="11" t="s">
        <v>161</v>
      </c>
      <c r="E608" s="11" t="s">
        <v>162</v>
      </c>
      <c r="F608" s="11" t="s">
        <v>80</v>
      </c>
      <c r="G608" s="12" t="n">
        <v>300</v>
      </c>
      <c r="H608" s="12" t="n">
        <f aca="false">SUMPRODUCT(ПОТОКИ!B12:G12,ЧАСОВЫЕ_ПРОФИЛИ!B15:G15,КОЭФФИЦИЕНТЫ_ВЫБОРА!F19:K19)</f>
        <v>0.19</v>
      </c>
      <c r="I608" s="12" t="n">
        <f aca="false">SUMPRODUCT(ПОТОКИ!B12:G12,ЧАСОВЫЕ_ПРОФИЛИ!B15:G15,КОЭФФИЦИЕНТЫ_ВЫБОРА!F19:K19,ПАРАМЕТРЫ!$B$17:$G$17)</f>
        <v>0.209</v>
      </c>
      <c r="J608" s="12" t="n">
        <f aca="false">I608*G608/1000</f>
        <v>0.0627</v>
      </c>
      <c r="K608" s="11" t="s">
        <v>217</v>
      </c>
      <c r="L608" s="11" t="s">
        <v>19</v>
      </c>
      <c r="M608" s="11" t="s">
        <v>145</v>
      </c>
    </row>
    <row r="609" customFormat="false" ht="15" hidden="false" customHeight="false" outlineLevel="0" collapsed="false">
      <c r="A609" s="11" t="s">
        <v>108</v>
      </c>
      <c r="B609" s="11" t="s">
        <v>128</v>
      </c>
      <c r="C609" s="11" t="n">
        <v>10</v>
      </c>
      <c r="D609" s="11" t="s">
        <v>161</v>
      </c>
      <c r="E609" s="11" t="s">
        <v>163</v>
      </c>
      <c r="F609" s="11" t="s">
        <v>80</v>
      </c>
      <c r="G609" s="12" t="n">
        <v>280</v>
      </c>
      <c r="H609" s="12" t="n">
        <f aca="false">SUMPRODUCT(ПОТОКИ!B12:G12,ЧАСОВЫЕ_ПРОФИЛИ!B15:G15,КОЭФФИЦИЕНТЫ_ВЫБОРА!F20:K20)</f>
        <v>0.308</v>
      </c>
      <c r="I609" s="12" t="n">
        <f aca="false">SUMPRODUCT(ПОТОКИ!B12:G12,ЧАСОВЫЕ_ПРОФИЛИ!B15:G15,КОЭФФИЦИЕНТЫ_ВЫБОРА!F20:K20,ПАРАМЕТРЫ!$B$17:$G$17)</f>
        <v>0.3388</v>
      </c>
      <c r="J609" s="12" t="n">
        <f aca="false">I609*G609/1000</f>
        <v>0.094864</v>
      </c>
      <c r="K609" s="11" t="s">
        <v>217</v>
      </c>
      <c r="L609" s="11" t="s">
        <v>19</v>
      </c>
      <c r="M609" s="11" t="s">
        <v>145</v>
      </c>
    </row>
    <row r="610" customFormat="false" ht="15" hidden="false" customHeight="false" outlineLevel="0" collapsed="false">
      <c r="A610" s="11" t="s">
        <v>108</v>
      </c>
      <c r="B610" s="11" t="s">
        <v>128</v>
      </c>
      <c r="C610" s="11" t="n">
        <v>11</v>
      </c>
      <c r="D610" s="11" t="s">
        <v>161</v>
      </c>
      <c r="E610" s="11" t="s">
        <v>164</v>
      </c>
      <c r="F610" s="11" t="s">
        <v>80</v>
      </c>
      <c r="G610" s="12" t="n">
        <v>270</v>
      </c>
      <c r="H610" s="12" t="n">
        <f aca="false">SUMPRODUCT(ПОТОКИ!B12:G12,ЧАСОВЫЕ_ПРОФИЛИ!B15:G15,КОЭФФИЦИЕНТЫ_ВЫБОРА!F21:K21)</f>
        <v>0.5818</v>
      </c>
      <c r="I610" s="12" t="n">
        <f aca="false">SUMPRODUCT(ПОТОКИ!B12:G12,ЧАСОВЫЕ_ПРОФИЛИ!B15:G15,КОЭФФИЦИЕНТЫ_ВЫБОРА!F21:K21,ПАРАМЕТРЫ!$B$17:$G$17)</f>
        <v>0.63998</v>
      </c>
      <c r="J610" s="12" t="n">
        <f aca="false">I610*G610/1000</f>
        <v>0.1727946</v>
      </c>
      <c r="K610" s="11" t="s">
        <v>217</v>
      </c>
      <c r="L610" s="11" t="s">
        <v>19</v>
      </c>
      <c r="M610" s="11" t="s">
        <v>145</v>
      </c>
    </row>
    <row r="611" customFormat="false" ht="15" hidden="false" customHeight="false" outlineLevel="0" collapsed="false">
      <c r="A611" s="11" t="s">
        <v>108</v>
      </c>
      <c r="B611" s="11" t="s">
        <v>128</v>
      </c>
      <c r="C611" s="11" t="n">
        <v>12</v>
      </c>
      <c r="D611" s="11" t="s">
        <v>161</v>
      </c>
      <c r="E611" s="11" t="s">
        <v>165</v>
      </c>
      <c r="F611" s="11" t="s">
        <v>80</v>
      </c>
      <c r="G611" s="12" t="n">
        <v>240</v>
      </c>
      <c r="H611" s="12" t="n">
        <f aca="false">SUMPRODUCT(ПОТОКИ!B12:G12,ЧАСОВЫЕ_ПРОФИЛИ!B15:G15,КОЭФФИЦИЕНТЫ_ВЫБОРА!F22:K22)</f>
        <v>0.3882</v>
      </c>
      <c r="I611" s="12" t="n">
        <f aca="false">SUMPRODUCT(ПОТОКИ!B12:G12,ЧАСОВЫЕ_ПРОФИЛИ!B15:G15,КОЭФФИЦИЕНТЫ_ВЫБОРА!F22:K22,ПАРАМЕТРЫ!$B$17:$G$17)</f>
        <v>0.42702</v>
      </c>
      <c r="J611" s="12" t="n">
        <f aca="false">I611*G611/1000</f>
        <v>0.1024848</v>
      </c>
      <c r="K611" s="11" t="s">
        <v>217</v>
      </c>
      <c r="L611" s="11" t="s">
        <v>19</v>
      </c>
      <c r="M611" s="11" t="s">
        <v>145</v>
      </c>
    </row>
    <row r="612" customFormat="false" ht="15" hidden="false" customHeight="false" outlineLevel="0" collapsed="false">
      <c r="A612" s="11" t="s">
        <v>108</v>
      </c>
      <c r="B612" s="11" t="s">
        <v>128</v>
      </c>
      <c r="C612" s="11" t="n">
        <v>13</v>
      </c>
      <c r="D612" s="11" t="s">
        <v>166</v>
      </c>
      <c r="E612" s="11" t="s">
        <v>167</v>
      </c>
      <c r="F612" s="11" t="s">
        <v>80</v>
      </c>
      <c r="G612" s="12" t="n">
        <v>130</v>
      </c>
      <c r="H612" s="12" t="n">
        <f aca="false">SUMPRODUCT(ПОТОКИ!B12:G12,ЧАСОВЫЕ_ПРОФИЛИ!B15:G15,КОЭФФИЦИЕНТЫ_ВЫБОРА!F23:K23)</f>
        <v>0.088</v>
      </c>
      <c r="I612" s="12" t="n">
        <f aca="false">SUMPRODUCT(ПОТОКИ!B12:G12,ЧАСОВЫЕ_ПРОФИЛИ!B15:G15,КОЭФФИЦИЕНТЫ_ВЫБОРА!F23:K23,ПАРАМЕТРЫ!$B$17:$G$17)</f>
        <v>0.0968</v>
      </c>
      <c r="J612" s="12" t="n">
        <f aca="false">I612*G612/1000</f>
        <v>0.012584</v>
      </c>
      <c r="K612" s="11" t="s">
        <v>217</v>
      </c>
      <c r="L612" s="11" t="s">
        <v>19</v>
      </c>
      <c r="M612" s="11" t="s">
        <v>145</v>
      </c>
    </row>
    <row r="613" customFormat="false" ht="15" hidden="false" customHeight="false" outlineLevel="0" collapsed="false">
      <c r="A613" s="11" t="s">
        <v>108</v>
      </c>
      <c r="B613" s="11" t="s">
        <v>128</v>
      </c>
      <c r="C613" s="11" t="n">
        <v>14</v>
      </c>
      <c r="D613" s="11" t="s">
        <v>166</v>
      </c>
      <c r="E613" s="11" t="s">
        <v>168</v>
      </c>
      <c r="F613" s="11" t="s">
        <v>80</v>
      </c>
      <c r="G613" s="12" t="n">
        <v>250</v>
      </c>
      <c r="H613" s="12" t="n">
        <f aca="false">SUMPRODUCT(ПОТОКИ!B12:G12,ЧАСОВЫЕ_ПРОФИЛИ!B15:G15,КОЭФФИЦИЕНТЫ_ВЫБОРА!F24:K24)</f>
        <v>0.1288</v>
      </c>
      <c r="I613" s="12" t="n">
        <f aca="false">SUMPRODUCT(ПОТОКИ!B12:G12,ЧАСОВЫЕ_ПРОФИЛИ!B15:G15,КОЭФФИЦИЕНТЫ_ВЫБОРА!F24:K24,ПАРАМЕТРЫ!$B$17:$G$17)</f>
        <v>0.14168</v>
      </c>
      <c r="J613" s="12" t="n">
        <f aca="false">I613*G613/1000</f>
        <v>0.03542</v>
      </c>
      <c r="K613" s="11" t="s">
        <v>217</v>
      </c>
      <c r="L613" s="11" t="s">
        <v>19</v>
      </c>
      <c r="M613" s="11" t="s">
        <v>145</v>
      </c>
    </row>
    <row r="614" customFormat="false" ht="15" hidden="false" customHeight="false" outlineLevel="0" collapsed="false">
      <c r="A614" s="11" t="s">
        <v>108</v>
      </c>
      <c r="B614" s="11" t="s">
        <v>128</v>
      </c>
      <c r="C614" s="11" t="n">
        <v>15</v>
      </c>
      <c r="D614" s="11" t="s">
        <v>166</v>
      </c>
      <c r="E614" s="11" t="s">
        <v>169</v>
      </c>
      <c r="F614" s="11" t="s">
        <v>80</v>
      </c>
      <c r="G614" s="12" t="n">
        <v>120</v>
      </c>
      <c r="H614" s="12" t="n">
        <f aca="false">SUMPRODUCT(ПОТОКИ!B12:G12,ЧАСОВЫЕ_ПРОФИЛИ!B15:G15,КОЭФФИЦИЕНТЫ_ВЫБОРА!F25:K25)</f>
        <v>0.0688</v>
      </c>
      <c r="I614" s="12" t="n">
        <f aca="false">SUMPRODUCT(ПОТОКИ!B12:G12,ЧАСОВЫЕ_ПРОФИЛИ!B15:G15,КОЭФФИЦИЕНТЫ_ВЫБОРА!F25:K25,ПАРАМЕТРЫ!$B$17:$G$17)</f>
        <v>0.07568</v>
      </c>
      <c r="J614" s="12" t="n">
        <f aca="false">I614*G614/1000</f>
        <v>0.0090816</v>
      </c>
      <c r="K614" s="11" t="s">
        <v>217</v>
      </c>
      <c r="L614" s="11" t="s">
        <v>19</v>
      </c>
      <c r="M614" s="11" t="s">
        <v>145</v>
      </c>
    </row>
    <row r="615" customFormat="false" ht="15" hidden="false" customHeight="false" outlineLevel="0" collapsed="false">
      <c r="A615" s="11" t="s">
        <v>108</v>
      </c>
      <c r="B615" s="11" t="s">
        <v>128</v>
      </c>
      <c r="C615" s="11" t="n">
        <v>16</v>
      </c>
      <c r="D615" s="11" t="s">
        <v>166</v>
      </c>
      <c r="E615" s="11" t="s">
        <v>170</v>
      </c>
      <c r="F615" s="11" t="s">
        <v>80</v>
      </c>
      <c r="G615" s="12" t="n">
        <v>180</v>
      </c>
      <c r="H615" s="12" t="n">
        <f aca="false">SUMPRODUCT(ПОТОКИ!B12:G12,ЧАСОВЫЕ_ПРОФИЛИ!B15:G15,КОЭФФИЦИЕНТЫ_ВЫБОРА!F26:K26)</f>
        <v>0.1784</v>
      </c>
      <c r="I615" s="12" t="n">
        <f aca="false">SUMPRODUCT(ПОТОКИ!B12:G12,ЧАСОВЫЕ_ПРОФИЛИ!B15:G15,КОЭФФИЦИЕНТЫ_ВЫБОРА!F26:K26,ПАРАМЕТРЫ!$B$17:$G$17)</f>
        <v>0.19624</v>
      </c>
      <c r="J615" s="12" t="n">
        <f aca="false">I615*G615/1000</f>
        <v>0.0353232</v>
      </c>
      <c r="K615" s="11" t="s">
        <v>217</v>
      </c>
      <c r="L615" s="11" t="s">
        <v>19</v>
      </c>
      <c r="M615" s="11" t="s">
        <v>145</v>
      </c>
    </row>
    <row r="616" customFormat="false" ht="15" hidden="false" customHeight="false" outlineLevel="0" collapsed="false">
      <c r="A616" s="11" t="s">
        <v>108</v>
      </c>
      <c r="B616" s="11" t="s">
        <v>128</v>
      </c>
      <c r="C616" s="11" t="n">
        <v>17</v>
      </c>
      <c r="D616" s="11" t="s">
        <v>166</v>
      </c>
      <c r="E616" s="11" t="s">
        <v>171</v>
      </c>
      <c r="F616" s="11" t="s">
        <v>80</v>
      </c>
      <c r="G616" s="12" t="n">
        <v>180</v>
      </c>
      <c r="H616" s="12" t="n">
        <f aca="false">SUMPRODUCT(ПОТОКИ!B12:G12,ЧАСОВЫЕ_ПРОФИЛИ!B15:G15,КОЭФФИЦИЕНТЫ_ВЫБОРА!F27:K27)</f>
        <v>0.128</v>
      </c>
      <c r="I616" s="12" t="n">
        <f aca="false">SUMPRODUCT(ПОТОКИ!B12:G12,ЧАСОВЫЕ_ПРОФИЛИ!B15:G15,КОЭФФИЦИЕНТЫ_ВЫБОРА!F27:K27,ПАРАМЕТРЫ!$B$17:$G$17)</f>
        <v>0.1408</v>
      </c>
      <c r="J616" s="12" t="n">
        <f aca="false">I616*G616/1000</f>
        <v>0.025344</v>
      </c>
      <c r="K616" s="11" t="s">
        <v>217</v>
      </c>
      <c r="L616" s="11" t="s">
        <v>19</v>
      </c>
      <c r="M616" s="11" t="s">
        <v>145</v>
      </c>
    </row>
    <row r="617" customFormat="false" ht="15" hidden="false" customHeight="false" outlineLevel="0" collapsed="false">
      <c r="A617" s="11" t="s">
        <v>108</v>
      </c>
      <c r="B617" s="11" t="s">
        <v>128</v>
      </c>
      <c r="C617" s="11" t="n">
        <v>18</v>
      </c>
      <c r="D617" s="11" t="s">
        <v>172</v>
      </c>
      <c r="E617" s="11" t="s">
        <v>173</v>
      </c>
      <c r="F617" s="11" t="s">
        <v>83</v>
      </c>
      <c r="G617" s="12" t="n">
        <v>400</v>
      </c>
      <c r="H617" s="12" t="n">
        <f aca="false">SUMPRODUCT(ПОТОКИ!B12:G12,ЧАСОВЫЕ_ПРОФИЛИ!B15:G15,КОЭФФИЦИЕНТЫ_ВЫБОРА!F28:K28)</f>
        <v>1.496</v>
      </c>
      <c r="I617" s="12" t="n">
        <f aca="false">SUMPRODUCT(ПОТОКИ!B12:G12,ЧАСОВЫЕ_ПРОФИЛИ!B15:G15,КОЭФФИЦИЕНТЫ_ВЫБОРА!F28:K28,ПАРАМЕТРЫ!$B$17:$G$17)</f>
        <v>1.6456</v>
      </c>
      <c r="J617" s="12" t="n">
        <f aca="false">I617*G617/1000</f>
        <v>0.65824</v>
      </c>
      <c r="K617" s="11" t="s">
        <v>217</v>
      </c>
      <c r="L617" s="11" t="s">
        <v>19</v>
      </c>
      <c r="M617" s="11" t="s">
        <v>145</v>
      </c>
    </row>
    <row r="618" customFormat="false" ht="23.85" hidden="false" customHeight="false" outlineLevel="0" collapsed="false">
      <c r="A618" s="11" t="s">
        <v>108</v>
      </c>
      <c r="B618" s="11" t="s">
        <v>128</v>
      </c>
      <c r="C618" s="11" t="n">
        <v>19</v>
      </c>
      <c r="D618" s="11" t="s">
        <v>174</v>
      </c>
      <c r="E618" s="11" t="s">
        <v>175</v>
      </c>
      <c r="F618" s="11" t="s">
        <v>83</v>
      </c>
      <c r="G618" s="12" t="n">
        <v>300</v>
      </c>
      <c r="H618" s="12" t="n">
        <f aca="false">SUMPRODUCT(ПОТОКИ!B12:G12,ЧАСОВЫЕ_ПРОФИЛИ!B15:G15,КОЭФФИЦИЕНТЫ_ВЫБОРА!F29:K29)</f>
        <v>1.152</v>
      </c>
      <c r="I618" s="12" t="n">
        <f aca="false">SUMPRODUCT(ПОТОКИ!B12:G12,ЧАСОВЫЕ_ПРОФИЛИ!B15:G15,КОЭФФИЦИЕНТЫ_ВЫБОРА!F29:K29,ПАРАМЕТРЫ!$B$17:$G$17)</f>
        <v>1.2672</v>
      </c>
      <c r="J618" s="12" t="n">
        <f aca="false">I618*G618/1000</f>
        <v>0.38016</v>
      </c>
      <c r="K618" s="11" t="s">
        <v>217</v>
      </c>
      <c r="L618" s="11" t="s">
        <v>19</v>
      </c>
      <c r="M618" s="11" t="s">
        <v>145</v>
      </c>
    </row>
    <row r="619" customFormat="false" ht="15" hidden="false" customHeight="false" outlineLevel="0" collapsed="false">
      <c r="A619" s="11" t="s">
        <v>108</v>
      </c>
      <c r="B619" s="11" t="s">
        <v>128</v>
      </c>
      <c r="C619" s="11" t="n">
        <v>20</v>
      </c>
      <c r="D619" s="11" t="s">
        <v>174</v>
      </c>
      <c r="E619" s="11" t="s">
        <v>176</v>
      </c>
      <c r="F619" s="11" t="s">
        <v>83</v>
      </c>
      <c r="G619" s="12" t="n">
        <v>360</v>
      </c>
      <c r="H619" s="12" t="n">
        <f aca="false">SUMPRODUCT(ПОТОКИ!B12:G12,ЧАСОВЫЕ_ПРОФИЛИ!B15:G15,КОЭФФИЦИЕНТЫ_ВЫБОРА!F30:K30)</f>
        <v>0.8448</v>
      </c>
      <c r="I619" s="12" t="n">
        <f aca="false">SUMPRODUCT(ПОТОКИ!B12:G12,ЧАСОВЫЕ_ПРОФИЛИ!B15:G15,КОЭФФИЦИЕНТЫ_ВЫБОРА!F30:K30,ПАРАМЕТРЫ!$B$17:$G$17)</f>
        <v>0.92928</v>
      </c>
      <c r="J619" s="12" t="n">
        <f aca="false">I619*G619/1000</f>
        <v>0.3345408</v>
      </c>
      <c r="K619" s="11" t="s">
        <v>217</v>
      </c>
      <c r="L619" s="11" t="s">
        <v>19</v>
      </c>
      <c r="M619" s="11" t="s">
        <v>145</v>
      </c>
    </row>
    <row r="620" customFormat="false" ht="15" hidden="false" customHeight="false" outlineLevel="0" collapsed="false">
      <c r="A620" s="11" t="s">
        <v>108</v>
      </c>
      <c r="B620" s="11" t="s">
        <v>128</v>
      </c>
      <c r="C620" s="11" t="n">
        <v>21</v>
      </c>
      <c r="D620" s="11" t="s">
        <v>174</v>
      </c>
      <c r="E620" s="11" t="s">
        <v>177</v>
      </c>
      <c r="F620" s="11" t="s">
        <v>83</v>
      </c>
      <c r="G620" s="12" t="n">
        <v>350</v>
      </c>
      <c r="H620" s="12" t="n">
        <f aca="false">SUMPRODUCT(ПОТОКИ!B12:G12,ЧАСОВЫЕ_ПРОФИЛИ!B15:G15,КОЭФФИЦИЕНТЫ_ВЫБОРА!F31:K31)</f>
        <v>1.4292</v>
      </c>
      <c r="I620" s="12" t="n">
        <f aca="false">SUMPRODUCT(ПОТОКИ!B12:G12,ЧАСОВЫЕ_ПРОФИЛИ!B15:G15,КОЭФФИЦИЕНТЫ_ВЫБОРА!F31:K31,ПАРАМЕТРЫ!$B$17:$G$17)</f>
        <v>1.57212</v>
      </c>
      <c r="J620" s="12" t="n">
        <f aca="false">I620*G620/1000</f>
        <v>0.550242</v>
      </c>
      <c r="K620" s="11" t="s">
        <v>217</v>
      </c>
      <c r="L620" s="11" t="s">
        <v>19</v>
      </c>
      <c r="M620" s="11" t="s">
        <v>145</v>
      </c>
    </row>
    <row r="621" customFormat="false" ht="15" hidden="false" customHeight="false" outlineLevel="0" collapsed="false">
      <c r="A621" s="11" t="s">
        <v>108</v>
      </c>
      <c r="B621" s="11" t="s">
        <v>128</v>
      </c>
      <c r="C621" s="11" t="n">
        <v>22</v>
      </c>
      <c r="D621" s="11" t="s">
        <v>174</v>
      </c>
      <c r="E621" s="11" t="s">
        <v>178</v>
      </c>
      <c r="F621" s="11" t="s">
        <v>83</v>
      </c>
      <c r="G621" s="12" t="n">
        <v>300</v>
      </c>
      <c r="H621" s="12" t="n">
        <f aca="false">SUMPRODUCT(ПОТОКИ!B12:G12,ЧАСОВЫЕ_ПРОФИЛИ!B15:G15,КОЭФФИЦИЕНТЫ_ВЫБОРА!F32:K32)</f>
        <v>0.678</v>
      </c>
      <c r="I621" s="12" t="n">
        <f aca="false">SUMPRODUCT(ПОТОКИ!B12:G12,ЧАСОВЫЕ_ПРОФИЛИ!B15:G15,КОЭФФИЦИЕНТЫ_ВЫБОРА!F32:K32,ПАРАМЕТРЫ!$B$17:$G$17)</f>
        <v>0.7458</v>
      </c>
      <c r="J621" s="12" t="n">
        <f aca="false">I621*G621/1000</f>
        <v>0.22374</v>
      </c>
      <c r="K621" s="11" t="s">
        <v>217</v>
      </c>
      <c r="L621" s="11" t="s">
        <v>19</v>
      </c>
      <c r="M621" s="11" t="s">
        <v>145</v>
      </c>
    </row>
    <row r="622" customFormat="false" ht="15" hidden="false" customHeight="false" outlineLevel="0" collapsed="false">
      <c r="A622" s="11" t="s">
        <v>108</v>
      </c>
      <c r="B622" s="11" t="s">
        <v>128</v>
      </c>
      <c r="C622" s="11" t="n">
        <v>23</v>
      </c>
      <c r="D622" s="11" t="s">
        <v>86</v>
      </c>
      <c r="E622" s="11" t="s">
        <v>179</v>
      </c>
      <c r="F622" s="11" t="s">
        <v>85</v>
      </c>
      <c r="G622" s="12" t="n">
        <v>150</v>
      </c>
      <c r="H622" s="12" t="n">
        <f aca="false">SUMPRODUCT(ПОТОКИ!B12:G12,ЧАСОВЫЕ_ПРОФИЛИ!B15:G15,КОЭФФИЦИЕНТЫ_ВЫБОРА!F33:K33)</f>
        <v>1.087932</v>
      </c>
      <c r="I622" s="12" t="n">
        <f aca="false">SUMPRODUCT(ПОТОКИ!B12:G12,ЧАСОВЫЕ_ПРОФИЛИ!B15:G15,КОЭФФИЦИЕНТЫ_ВЫБОРА!F33:K33,ПАРАМЕТРЫ!$B$17:$G$17)</f>
        <v>1.1967252</v>
      </c>
      <c r="J622" s="12" t="n">
        <f aca="false">I622*G622/1000</f>
        <v>0.17950878</v>
      </c>
      <c r="K622" s="11" t="s">
        <v>217</v>
      </c>
      <c r="L622" s="11" t="s">
        <v>19</v>
      </c>
      <c r="M622" s="11" t="s">
        <v>147</v>
      </c>
    </row>
    <row r="623" customFormat="false" ht="15" hidden="false" customHeight="false" outlineLevel="0" collapsed="false">
      <c r="A623" s="11" t="s">
        <v>108</v>
      </c>
      <c r="B623" s="11" t="s">
        <v>128</v>
      </c>
      <c r="C623" s="11" t="n">
        <v>24</v>
      </c>
      <c r="D623" s="11" t="s">
        <v>86</v>
      </c>
      <c r="E623" s="11" t="s">
        <v>180</v>
      </c>
      <c r="F623" s="11" t="s">
        <v>85</v>
      </c>
      <c r="G623" s="12" t="n">
        <v>150</v>
      </c>
      <c r="H623" s="12" t="n">
        <f aca="false">SUMPRODUCT(ПОТОКИ!B12:G12,ЧАСОВЫЕ_ПРОФИЛИ!B15:G15,КОЭФФИЦИЕНТЫ_ВЫБОРА!F34:K34)</f>
        <v>0.450216</v>
      </c>
      <c r="I623" s="12" t="n">
        <f aca="false">SUMPRODUCT(ПОТОКИ!B12:G12,ЧАСОВЫЕ_ПРОФИЛИ!B15:G15,КОЭФФИЦИЕНТЫ_ВЫБОРА!F34:K34,ПАРАМЕТРЫ!$B$17:$G$17)</f>
        <v>0.4952376</v>
      </c>
      <c r="J623" s="12" t="n">
        <f aca="false">I623*G623/1000</f>
        <v>0.07428564</v>
      </c>
      <c r="K623" s="11" t="s">
        <v>217</v>
      </c>
      <c r="L623" s="11" t="s">
        <v>19</v>
      </c>
      <c r="M623" s="11" t="s">
        <v>147</v>
      </c>
    </row>
    <row r="624" customFormat="false" ht="15" hidden="false" customHeight="false" outlineLevel="0" collapsed="false">
      <c r="A624" s="11" t="s">
        <v>108</v>
      </c>
      <c r="B624" s="11" t="s">
        <v>128</v>
      </c>
      <c r="C624" s="11" t="n">
        <v>25</v>
      </c>
      <c r="D624" s="11" t="s">
        <v>86</v>
      </c>
      <c r="E624" s="11" t="s">
        <v>181</v>
      </c>
      <c r="F624" s="11" t="s">
        <v>85</v>
      </c>
      <c r="G624" s="12" t="n">
        <v>150</v>
      </c>
      <c r="H624" s="12" t="n">
        <f aca="false">SUMPRODUCT(ПОТОКИ!B12:G12,ЧАСОВЫЕ_ПРОФИЛИ!B15:G15,КОЭФФИЦИЕНТЫ_ВЫБОРА!F35:K35)</f>
        <v>0.712932</v>
      </c>
      <c r="I624" s="12" t="n">
        <f aca="false">SUMPRODUCT(ПОТОКИ!B12:G12,ЧАСОВЫЕ_ПРОФИЛИ!B15:G15,КОЭФФИЦИЕНТЫ_ВЫБОРА!F35:K35,ПАРАМЕТРЫ!$B$17:$G$17)</f>
        <v>0.7842252</v>
      </c>
      <c r="J624" s="12" t="n">
        <f aca="false">I624*G624/1000</f>
        <v>0.11763378</v>
      </c>
      <c r="K624" s="11" t="s">
        <v>217</v>
      </c>
      <c r="L624" s="11" t="s">
        <v>19</v>
      </c>
      <c r="M624" s="11" t="s">
        <v>147</v>
      </c>
    </row>
    <row r="625" customFormat="false" ht="23.85" hidden="false" customHeight="false" outlineLevel="0" collapsed="false">
      <c r="A625" s="11" t="s">
        <v>108</v>
      </c>
      <c r="B625" s="11" t="s">
        <v>128</v>
      </c>
      <c r="C625" s="11" t="n">
        <v>26</v>
      </c>
      <c r="D625" s="11" t="s">
        <v>89</v>
      </c>
      <c r="E625" s="11" t="s">
        <v>182</v>
      </c>
      <c r="F625" s="11" t="s">
        <v>88</v>
      </c>
      <c r="G625" s="12" t="n">
        <v>225</v>
      </c>
      <c r="H625" s="12" t="n">
        <f aca="false">SUMPRODUCT(ПОТОКИ!B12:G12,ЧАСОВЫЕ_ПРОФИЛИ!B15:G15,КОЭФФИЦИЕНТЫ_ВЫБОРА!F36:K36)</f>
        <v>0.4125</v>
      </c>
      <c r="I625" s="12" t="n">
        <f aca="false">SUMPRODUCT(ПОТОКИ!B12:G12,ЧАСОВЫЕ_ПРОФИЛИ!B15:G15,КОЭФФИЦИЕНТЫ_ВЫБОРА!F36:K36,ПАРАМЕТРЫ!$B$17:$G$17)</f>
        <v>0.4125</v>
      </c>
      <c r="J625" s="12" t="n">
        <f aca="false">I625*G625/1000</f>
        <v>0.0928125</v>
      </c>
      <c r="K625" s="11" t="s">
        <v>217</v>
      </c>
      <c r="L625" s="11" t="s">
        <v>19</v>
      </c>
      <c r="M625" s="11" t="s">
        <v>145</v>
      </c>
    </row>
    <row r="626" customFormat="false" ht="23.85" hidden="false" customHeight="false" outlineLevel="0" collapsed="false">
      <c r="A626" s="11" t="s">
        <v>108</v>
      </c>
      <c r="B626" s="11" t="s">
        <v>128</v>
      </c>
      <c r="C626" s="11" t="n">
        <v>27</v>
      </c>
      <c r="D626" s="11" t="s">
        <v>89</v>
      </c>
      <c r="E626" s="11" t="s">
        <v>183</v>
      </c>
      <c r="F626" s="11" t="s">
        <v>88</v>
      </c>
      <c r="G626" s="12" t="n">
        <v>265</v>
      </c>
      <c r="H626" s="12" t="n">
        <f aca="false">SUMPRODUCT(ПОТОКИ!B12:G12,ЧАСОВЫЕ_ПРОФИЛИ!B15:G15,КОЭФФИЦИЕНТЫ_ВЫБОРА!F37:K37)</f>
        <v>0.4125</v>
      </c>
      <c r="I626" s="12" t="n">
        <f aca="false">SUMPRODUCT(ПОТОКИ!B12:G12,ЧАСОВЫЕ_ПРОФИЛИ!B15:G15,КОЭФФИЦИЕНТЫ_ВЫБОРА!F37:K37,ПАРАМЕТРЫ!$B$17:$G$17)</f>
        <v>0.4125</v>
      </c>
      <c r="J626" s="12" t="n">
        <f aca="false">I626*G626/1000</f>
        <v>0.1093125</v>
      </c>
      <c r="K626" s="11" t="s">
        <v>217</v>
      </c>
      <c r="L626" s="11" t="s">
        <v>19</v>
      </c>
      <c r="M626" s="11" t="s">
        <v>145</v>
      </c>
    </row>
    <row r="627" customFormat="false" ht="23.85" hidden="false" customHeight="false" outlineLevel="0" collapsed="false">
      <c r="A627" s="11" t="s">
        <v>108</v>
      </c>
      <c r="B627" s="11" t="s">
        <v>128</v>
      </c>
      <c r="C627" s="11" t="n">
        <v>28</v>
      </c>
      <c r="D627" s="11" t="s">
        <v>89</v>
      </c>
      <c r="E627" s="11" t="s">
        <v>184</v>
      </c>
      <c r="F627" s="11" t="s">
        <v>88</v>
      </c>
      <c r="G627" s="12" t="n">
        <v>355</v>
      </c>
      <c r="H627" s="12" t="n">
        <f aca="false">SUMPRODUCT(ПОТОКИ!B12:G12,ЧАСОВЫЕ_ПРОФИЛИ!B15:G15,КОЭФФИЦИЕНТЫ_ВЫБОРА!F38:K38)</f>
        <v>0.275</v>
      </c>
      <c r="I627" s="12" t="n">
        <f aca="false">SUMPRODUCT(ПОТОКИ!B12:G12,ЧАСОВЫЕ_ПРОФИЛИ!B15:G15,КОЭФФИЦИЕНТЫ_ВЫБОРА!F38:K38,ПАРАМЕТРЫ!$B$17:$G$17)</f>
        <v>0.275</v>
      </c>
      <c r="J627" s="12" t="n">
        <f aca="false">I627*G627/1000</f>
        <v>0.097625</v>
      </c>
      <c r="K627" s="11" t="s">
        <v>217</v>
      </c>
      <c r="L627" s="11" t="s">
        <v>19</v>
      </c>
      <c r="M627" s="11" t="s">
        <v>145</v>
      </c>
    </row>
    <row r="628" customFormat="false" ht="15" hidden="false" customHeight="false" outlineLevel="0" collapsed="false">
      <c r="A628" s="11" t="s">
        <v>108</v>
      </c>
      <c r="B628" s="11" t="s">
        <v>128</v>
      </c>
      <c r="C628" s="11" t="n">
        <v>29</v>
      </c>
      <c r="D628" s="11" t="s">
        <v>92</v>
      </c>
      <c r="E628" s="11" t="s">
        <v>185</v>
      </c>
      <c r="F628" s="11" t="s">
        <v>91</v>
      </c>
      <c r="G628" s="12" t="n">
        <v>150</v>
      </c>
      <c r="H628" s="12" t="n">
        <f aca="false">SUMPRODUCT(ПОТОКИ!B12:G12,ЧАСОВЫЕ_ПРОФИЛИ!B15:G15,КОЭФФИЦИЕНТЫ_ВЫБОРА!F39:K39)</f>
        <v>0.2016</v>
      </c>
      <c r="I628" s="12" t="n">
        <f aca="false">SUMPRODUCT(ПОТОКИ!B12:G12,ЧАСОВЫЕ_ПРОФИЛИ!B15:G15,КОЭФФИЦИЕНТЫ_ВЫБОРА!F39:K39,ПАРАМЕТРЫ!$B$17:$G$17)</f>
        <v>0.22176</v>
      </c>
      <c r="J628" s="12" t="n">
        <f aca="false">I628*G628/1000</f>
        <v>0.033264</v>
      </c>
      <c r="K628" s="11" t="s">
        <v>217</v>
      </c>
      <c r="L628" s="11" t="s">
        <v>19</v>
      </c>
      <c r="M628" s="11" t="s">
        <v>145</v>
      </c>
    </row>
    <row r="629" customFormat="false" ht="15" hidden="false" customHeight="false" outlineLevel="0" collapsed="false">
      <c r="A629" s="11" t="s">
        <v>108</v>
      </c>
      <c r="B629" s="11" t="s">
        <v>128</v>
      </c>
      <c r="C629" s="11" t="n">
        <v>30</v>
      </c>
      <c r="D629" s="11" t="s">
        <v>92</v>
      </c>
      <c r="E629" s="11" t="s">
        <v>186</v>
      </c>
      <c r="F629" s="11" t="s">
        <v>91</v>
      </c>
      <c r="G629" s="12" t="n">
        <v>120</v>
      </c>
      <c r="H629" s="12" t="n">
        <f aca="false">SUMPRODUCT(ПОТОКИ!B12:G12,ЧАСОВЫЕ_ПРОФИЛИ!B15:G15,КОЭФФИЦИЕНТЫ_ВЫБОРА!F40:K40)</f>
        <v>0.2016</v>
      </c>
      <c r="I629" s="12" t="n">
        <f aca="false">SUMPRODUCT(ПОТОКИ!B12:G12,ЧАСОВЫЕ_ПРОФИЛИ!B15:G15,КОЭФФИЦИЕНТЫ_ВЫБОРА!F40:K40,ПАРАМЕТРЫ!$B$17:$G$17)</f>
        <v>0.22176</v>
      </c>
      <c r="J629" s="12" t="n">
        <f aca="false">I629*G629/1000</f>
        <v>0.0266112</v>
      </c>
      <c r="K629" s="11" t="s">
        <v>217</v>
      </c>
      <c r="L629" s="11" t="s">
        <v>19</v>
      </c>
      <c r="M629" s="11" t="s">
        <v>145</v>
      </c>
    </row>
    <row r="630" customFormat="false" ht="15" hidden="false" customHeight="false" outlineLevel="0" collapsed="false">
      <c r="A630" s="11" t="s">
        <v>108</v>
      </c>
      <c r="B630" s="11" t="s">
        <v>128</v>
      </c>
      <c r="C630" s="11" t="n">
        <v>31</v>
      </c>
      <c r="D630" s="11" t="s">
        <v>92</v>
      </c>
      <c r="E630" s="11" t="s">
        <v>187</v>
      </c>
      <c r="F630" s="11" t="s">
        <v>91</v>
      </c>
      <c r="G630" s="12" t="n">
        <v>60</v>
      </c>
      <c r="H630" s="12" t="n">
        <f aca="false">SUMPRODUCT(ПОТОКИ!B12:G12,ЧАСОВЫЕ_ПРОФИЛИ!B15:G15,КОЭФФИЦИЕНТЫ_ВЫБОРА!F41:K41)</f>
        <v>0.2208</v>
      </c>
      <c r="I630" s="12" t="n">
        <f aca="false">SUMPRODUCT(ПОТОКИ!B12:G12,ЧАСОВЫЕ_ПРОФИЛИ!B15:G15,КОЭФФИЦИЕНТЫ_ВЫБОРА!F41:K41,ПАРАМЕТРЫ!$B$17:$G$17)</f>
        <v>0.24288</v>
      </c>
      <c r="J630" s="12" t="n">
        <f aca="false">I630*G630/1000</f>
        <v>0.0145728</v>
      </c>
      <c r="K630" s="11" t="s">
        <v>217</v>
      </c>
      <c r="L630" s="11" t="s">
        <v>19</v>
      </c>
      <c r="M630" s="11" t="s">
        <v>145</v>
      </c>
    </row>
    <row r="631" customFormat="false" ht="15" hidden="false" customHeight="false" outlineLevel="0" collapsed="false">
      <c r="A631" s="11" t="s">
        <v>108</v>
      </c>
      <c r="B631" s="11" t="s">
        <v>129</v>
      </c>
      <c r="C631" s="11" t="n">
        <v>1</v>
      </c>
      <c r="D631" s="11" t="s">
        <v>74</v>
      </c>
      <c r="E631" s="11" t="s">
        <v>153</v>
      </c>
      <c r="F631" s="11" t="s">
        <v>73</v>
      </c>
      <c r="G631" s="12" t="n">
        <v>450</v>
      </c>
      <c r="H631" s="12" t="n">
        <f aca="false">SUMPRODUCT(ПОТОКИ!B12:G12,ЧАСОВЫЕ_ПРОФИЛИ!B16:G16,КОЭФФИЦИЕНТЫ_ВЫБОРА!F11:K11)</f>
        <v>0.6318</v>
      </c>
      <c r="I631" s="12" t="n">
        <f aca="false">SUMPRODUCT(ПОТОКИ!B12:G12,ЧАСОВЫЕ_ПРОФИЛИ!B16:G16,КОЭФФИЦИЕНТЫ_ВЫБОРА!F11:K11,ПАРАМЕТРЫ!$B$17:$G$17)</f>
        <v>0.69498</v>
      </c>
      <c r="J631" s="12" t="n">
        <f aca="false">I631*G631/1000</f>
        <v>0.312741</v>
      </c>
      <c r="K631" s="11" t="s">
        <v>217</v>
      </c>
      <c r="L631" s="11" t="s">
        <v>19</v>
      </c>
      <c r="M631" s="11" t="s">
        <v>145</v>
      </c>
    </row>
    <row r="632" customFormat="false" ht="15" hidden="false" customHeight="false" outlineLevel="0" collapsed="false">
      <c r="A632" s="11" t="s">
        <v>108</v>
      </c>
      <c r="B632" s="11" t="s">
        <v>129</v>
      </c>
      <c r="C632" s="11" t="n">
        <v>2</v>
      </c>
      <c r="D632" s="11" t="s">
        <v>74</v>
      </c>
      <c r="E632" s="11" t="s">
        <v>154</v>
      </c>
      <c r="F632" s="11" t="s">
        <v>73</v>
      </c>
      <c r="G632" s="12" t="n">
        <v>480</v>
      </c>
      <c r="H632" s="12" t="n">
        <f aca="false">SUMPRODUCT(ПОТОКИ!B12:G12,ЧАСОВЫЕ_ПРОФИЛИ!B16:G16,КОЭФФИЦИЕНТЫ_ВЫБОРА!F12:K12)</f>
        <v>0.6874</v>
      </c>
      <c r="I632" s="12" t="n">
        <f aca="false">SUMPRODUCT(ПОТОКИ!B12:G12,ЧАСОВЫЕ_ПРОФИЛИ!B16:G16,КОЭФФИЦИЕНТЫ_ВЫБОРА!F12:K12,ПАРАМЕТРЫ!$B$17:$G$17)</f>
        <v>0.75614</v>
      </c>
      <c r="J632" s="12" t="n">
        <f aca="false">I632*G632/1000</f>
        <v>0.3629472</v>
      </c>
      <c r="K632" s="11" t="s">
        <v>217</v>
      </c>
      <c r="L632" s="11" t="s">
        <v>19</v>
      </c>
      <c r="M632" s="11" t="s">
        <v>145</v>
      </c>
    </row>
    <row r="633" customFormat="false" ht="15" hidden="false" customHeight="false" outlineLevel="0" collapsed="false">
      <c r="A633" s="11" t="s">
        <v>108</v>
      </c>
      <c r="B633" s="11" t="s">
        <v>129</v>
      </c>
      <c r="C633" s="11" t="n">
        <v>3</v>
      </c>
      <c r="D633" s="11" t="s">
        <v>74</v>
      </c>
      <c r="E633" s="11" t="s">
        <v>155</v>
      </c>
      <c r="F633" s="11" t="s">
        <v>73</v>
      </c>
      <c r="G633" s="12" t="n">
        <v>500</v>
      </c>
      <c r="H633" s="12" t="n">
        <f aca="false">SUMPRODUCT(ПОТОКИ!B12:G12,ЧАСОВЫЕ_ПРОФИЛИ!B16:G16,КОЭФФИЦИЕНТЫ_ВЫБОРА!F13:K13)</f>
        <v>1.2936</v>
      </c>
      <c r="I633" s="12" t="n">
        <f aca="false">SUMPRODUCT(ПОТОКИ!B12:G12,ЧАСОВЫЕ_ПРОФИЛИ!B16:G16,КОЭФФИЦИЕНТЫ_ВЫБОРА!F13:K13,ПАРАМЕТРЫ!$B$17:$G$17)</f>
        <v>1.42296</v>
      </c>
      <c r="J633" s="12" t="n">
        <f aca="false">I633*G633/1000</f>
        <v>0.71148</v>
      </c>
      <c r="K633" s="11" t="s">
        <v>217</v>
      </c>
      <c r="L633" s="11" t="s">
        <v>19</v>
      </c>
      <c r="M633" s="11" t="s">
        <v>145</v>
      </c>
    </row>
    <row r="634" customFormat="false" ht="15" hidden="false" customHeight="false" outlineLevel="0" collapsed="false">
      <c r="A634" s="11" t="s">
        <v>108</v>
      </c>
      <c r="B634" s="11" t="s">
        <v>129</v>
      </c>
      <c r="C634" s="11" t="n">
        <v>4</v>
      </c>
      <c r="D634" s="11" t="s">
        <v>74</v>
      </c>
      <c r="E634" s="11" t="s">
        <v>156</v>
      </c>
      <c r="F634" s="11" t="s">
        <v>73</v>
      </c>
      <c r="G634" s="12" t="n">
        <v>500</v>
      </c>
      <c r="H634" s="12" t="n">
        <f aca="false">SUMPRODUCT(ПОТОКИ!B12:G12,ЧАСОВЫЕ_ПРОФИЛИ!B16:G16,КОЭФФИЦИЕНТЫ_ВЫБОРА!F14:K14)</f>
        <v>1.3492</v>
      </c>
      <c r="I634" s="12" t="n">
        <f aca="false">SUMPRODUCT(ПОТОКИ!B12:G12,ЧАСОВЫЕ_ПРОФИЛИ!B16:G16,КОЭФФИЦИЕНТЫ_ВЫБОРА!F14:K14,ПАРАМЕТРЫ!$B$17:$G$17)</f>
        <v>1.48412</v>
      </c>
      <c r="J634" s="12" t="n">
        <f aca="false">I634*G634/1000</f>
        <v>0.74206</v>
      </c>
      <c r="K634" s="11" t="s">
        <v>217</v>
      </c>
      <c r="L634" s="11" t="s">
        <v>19</v>
      </c>
      <c r="M634" s="11" t="s">
        <v>145</v>
      </c>
    </row>
    <row r="635" customFormat="false" ht="15" hidden="false" customHeight="false" outlineLevel="0" collapsed="false">
      <c r="A635" s="11" t="s">
        <v>108</v>
      </c>
      <c r="B635" s="11" t="s">
        <v>129</v>
      </c>
      <c r="C635" s="11" t="n">
        <v>5</v>
      </c>
      <c r="D635" s="11" t="s">
        <v>78</v>
      </c>
      <c r="E635" s="11" t="s">
        <v>157</v>
      </c>
      <c r="F635" s="11" t="s">
        <v>77</v>
      </c>
      <c r="G635" s="12" t="n">
        <v>100</v>
      </c>
      <c r="H635" s="12" t="n">
        <f aca="false">SUMPRODUCT(ПОТОКИ!B12:G12,ЧАСОВЫЕ_ПРОФИЛИ!B16:G16,КОЭФФИЦИЕНТЫ_ВЫБОРА!F15:K15)</f>
        <v>0.7154</v>
      </c>
      <c r="I635" s="12" t="n">
        <f aca="false">SUMPRODUCT(ПОТОКИ!B12:G12,ЧАСОВЫЕ_ПРОФИЛИ!B16:G16,КОЭФФИЦИЕНТЫ_ВЫБОРА!F15:K15,ПАРАМЕТРЫ!$B$17:$G$17)</f>
        <v>0.78694</v>
      </c>
      <c r="J635" s="12" t="n">
        <f aca="false">I635*G635/1000</f>
        <v>0.078694</v>
      </c>
      <c r="K635" s="11" t="s">
        <v>217</v>
      </c>
      <c r="L635" s="11" t="s">
        <v>19</v>
      </c>
      <c r="M635" s="11" t="s">
        <v>147</v>
      </c>
    </row>
    <row r="636" customFormat="false" ht="15" hidden="false" customHeight="false" outlineLevel="0" collapsed="false">
      <c r="A636" s="11" t="s">
        <v>108</v>
      </c>
      <c r="B636" s="11" t="s">
        <v>129</v>
      </c>
      <c r="C636" s="11" t="n">
        <v>6</v>
      </c>
      <c r="D636" s="11" t="s">
        <v>78</v>
      </c>
      <c r="E636" s="11" t="s">
        <v>158</v>
      </c>
      <c r="F636" s="11" t="s">
        <v>77</v>
      </c>
      <c r="G636" s="12" t="n">
        <v>100</v>
      </c>
      <c r="H636" s="12" t="n">
        <f aca="false">SUMPRODUCT(ПОТОКИ!B12:G12,ЧАСОВЫЕ_ПРОФИЛИ!B16:G16,КОЭФФИЦИЕНТЫ_ВЫБОРА!F16:K16)</f>
        <v>0.6198</v>
      </c>
      <c r="I636" s="12" t="n">
        <f aca="false">SUMPRODUCT(ПОТОКИ!B12:G12,ЧАСОВЫЕ_ПРОФИЛИ!B16:G16,КОЭФФИЦИЕНТЫ_ВЫБОРА!F16:K16,ПАРАМЕТРЫ!$B$17:$G$17)</f>
        <v>0.68178</v>
      </c>
      <c r="J636" s="12" t="n">
        <f aca="false">I636*G636/1000</f>
        <v>0.068178</v>
      </c>
      <c r="K636" s="11" t="s">
        <v>217</v>
      </c>
      <c r="L636" s="11" t="s">
        <v>19</v>
      </c>
      <c r="M636" s="11" t="s">
        <v>147</v>
      </c>
    </row>
    <row r="637" customFormat="false" ht="15" hidden="false" customHeight="false" outlineLevel="0" collapsed="false">
      <c r="A637" s="11" t="s">
        <v>108</v>
      </c>
      <c r="B637" s="11" t="s">
        <v>129</v>
      </c>
      <c r="C637" s="11" t="n">
        <v>7</v>
      </c>
      <c r="D637" s="11" t="s">
        <v>78</v>
      </c>
      <c r="E637" s="11" t="s">
        <v>159</v>
      </c>
      <c r="F637" s="11" t="s">
        <v>77</v>
      </c>
      <c r="G637" s="12" t="n">
        <v>350</v>
      </c>
      <c r="H637" s="12" t="n">
        <f aca="false">SUMPRODUCT(ПОТОКИ!B12:G12,ЧАСОВЫЕ_ПРОФИЛИ!B16:G16,КОЭФФИЦИЕНТЫ_ВЫБОРА!F17:K17)</f>
        <v>0.5643</v>
      </c>
      <c r="I637" s="12" t="n">
        <f aca="false">SUMPRODUCT(ПОТОКИ!B12:G12,ЧАСОВЫЕ_ПРОФИЛИ!B16:G16,КОЭФФИЦИЕНТЫ_ВЫБОРА!F17:K17,ПАРАМЕТРЫ!$B$17:$G$17)</f>
        <v>0.62073</v>
      </c>
      <c r="J637" s="12" t="n">
        <f aca="false">I637*G637/1000</f>
        <v>0.2172555</v>
      </c>
      <c r="K637" s="11" t="s">
        <v>217</v>
      </c>
      <c r="L637" s="11" t="s">
        <v>19</v>
      </c>
      <c r="M637" s="11" t="s">
        <v>147</v>
      </c>
    </row>
    <row r="638" customFormat="false" ht="15" hidden="false" customHeight="false" outlineLevel="0" collapsed="false">
      <c r="A638" s="11" t="s">
        <v>108</v>
      </c>
      <c r="B638" s="11" t="s">
        <v>129</v>
      </c>
      <c r="C638" s="11" t="n">
        <v>8</v>
      </c>
      <c r="D638" s="11" t="s">
        <v>78</v>
      </c>
      <c r="E638" s="11" t="s">
        <v>160</v>
      </c>
      <c r="F638" s="11" t="s">
        <v>77</v>
      </c>
      <c r="G638" s="12" t="n">
        <v>85</v>
      </c>
      <c r="H638" s="12" t="n">
        <f aca="false">SUMPRODUCT(ПОТОКИ!B12:G12,ЧАСОВЫЕ_ПРОФИЛИ!B16:G16,КОЭФФИЦИЕНТЫ_ВЫБОРА!F18:K18)</f>
        <v>0.3577</v>
      </c>
      <c r="I638" s="12" t="n">
        <f aca="false">SUMPRODUCT(ПОТОКИ!B12:G12,ЧАСОВЫЕ_ПРОФИЛИ!B16:G16,КОЭФФИЦИЕНТЫ_ВЫБОРА!F18:K18,ПАРАМЕТРЫ!$B$17:$G$17)</f>
        <v>0.39347</v>
      </c>
      <c r="J638" s="12" t="n">
        <f aca="false">I638*G638/1000</f>
        <v>0.03344495</v>
      </c>
      <c r="K638" s="11" t="s">
        <v>217</v>
      </c>
      <c r="L638" s="11" t="s">
        <v>19</v>
      </c>
      <c r="M638" s="11" t="s">
        <v>147</v>
      </c>
    </row>
    <row r="639" customFormat="false" ht="15" hidden="false" customHeight="false" outlineLevel="0" collapsed="false">
      <c r="A639" s="11" t="s">
        <v>108</v>
      </c>
      <c r="B639" s="11" t="s">
        <v>129</v>
      </c>
      <c r="C639" s="11" t="n">
        <v>9</v>
      </c>
      <c r="D639" s="11" t="s">
        <v>161</v>
      </c>
      <c r="E639" s="11" t="s">
        <v>162</v>
      </c>
      <c r="F639" s="11" t="s">
        <v>80</v>
      </c>
      <c r="G639" s="12" t="n">
        <v>300</v>
      </c>
      <c r="H639" s="12" t="n">
        <f aca="false">SUMPRODUCT(ПОТОКИ!B12:G12,ЧАСОВЫЕ_ПРОФИЛИ!B16:G16,КОЭФФИЦИЕНТЫ_ВЫБОРА!F19:K19)</f>
        <v>0.587</v>
      </c>
      <c r="I639" s="12" t="n">
        <f aca="false">SUMPRODUCT(ПОТОКИ!B12:G12,ЧАСОВЫЕ_ПРОФИЛИ!B16:G16,КОЭФФИЦИЕНТЫ_ВЫБОРА!F19:K19,ПАРАМЕТРЫ!$B$17:$G$17)</f>
        <v>0.6457</v>
      </c>
      <c r="J639" s="12" t="n">
        <f aca="false">I639*G639/1000</f>
        <v>0.19371</v>
      </c>
      <c r="K639" s="11" t="s">
        <v>217</v>
      </c>
      <c r="L639" s="11" t="s">
        <v>19</v>
      </c>
      <c r="M639" s="11" t="s">
        <v>145</v>
      </c>
    </row>
    <row r="640" customFormat="false" ht="15" hidden="false" customHeight="false" outlineLevel="0" collapsed="false">
      <c r="A640" s="11" t="s">
        <v>108</v>
      </c>
      <c r="B640" s="11" t="s">
        <v>129</v>
      </c>
      <c r="C640" s="11" t="n">
        <v>10</v>
      </c>
      <c r="D640" s="11" t="s">
        <v>161</v>
      </c>
      <c r="E640" s="11" t="s">
        <v>163</v>
      </c>
      <c r="F640" s="11" t="s">
        <v>80</v>
      </c>
      <c r="G640" s="12" t="n">
        <v>280</v>
      </c>
      <c r="H640" s="12" t="n">
        <f aca="false">SUMPRODUCT(ПОТОКИ!B12:G12,ЧАСОВЫЕ_ПРОФИЛИ!B16:G16,КОЭФФИЦИЕНТЫ_ВЫБОРА!F20:K20)</f>
        <v>0.982</v>
      </c>
      <c r="I640" s="12" t="n">
        <f aca="false">SUMPRODUCT(ПОТОКИ!B12:G12,ЧАСОВЫЕ_ПРОФИЛИ!B16:G16,КОЭФФИЦИЕНТЫ_ВЫБОРА!F20:K20,ПАРАМЕТРЫ!$B$17:$G$17)</f>
        <v>1.0802</v>
      </c>
      <c r="J640" s="12" t="n">
        <f aca="false">I640*G640/1000</f>
        <v>0.302456</v>
      </c>
      <c r="K640" s="11" t="s">
        <v>217</v>
      </c>
      <c r="L640" s="11" t="s">
        <v>19</v>
      </c>
      <c r="M640" s="11" t="s">
        <v>145</v>
      </c>
    </row>
    <row r="641" customFormat="false" ht="15" hidden="false" customHeight="false" outlineLevel="0" collapsed="false">
      <c r="A641" s="11" t="s">
        <v>108</v>
      </c>
      <c r="B641" s="11" t="s">
        <v>129</v>
      </c>
      <c r="C641" s="11" t="n">
        <v>11</v>
      </c>
      <c r="D641" s="11" t="s">
        <v>161</v>
      </c>
      <c r="E641" s="11" t="s">
        <v>164</v>
      </c>
      <c r="F641" s="11" t="s">
        <v>80</v>
      </c>
      <c r="G641" s="12" t="n">
        <v>270</v>
      </c>
      <c r="H641" s="12" t="n">
        <f aca="false">SUMPRODUCT(ПОТОКИ!B12:G12,ЧАСОВЫЕ_ПРОФИЛИ!B16:G16,КОЭФФИЦИЕНТЫ_ВЫБОРА!F21:K21)</f>
        <v>1.8713</v>
      </c>
      <c r="I641" s="12" t="n">
        <f aca="false">SUMPRODUCT(ПОТОКИ!B12:G12,ЧАСОВЫЕ_ПРОФИЛИ!B16:G16,КОЭФФИЦИЕНТЫ_ВЫБОРА!F21:K21,ПАРАМЕТРЫ!$B$17:$G$17)</f>
        <v>2.05843</v>
      </c>
      <c r="J641" s="12" t="n">
        <f aca="false">I641*G641/1000</f>
        <v>0.5557761</v>
      </c>
      <c r="K641" s="11" t="s">
        <v>217</v>
      </c>
      <c r="L641" s="11" t="s">
        <v>19</v>
      </c>
      <c r="M641" s="11" t="s">
        <v>145</v>
      </c>
    </row>
    <row r="642" customFormat="false" ht="15" hidden="false" customHeight="false" outlineLevel="0" collapsed="false">
      <c r="A642" s="11" t="s">
        <v>108</v>
      </c>
      <c r="B642" s="11" t="s">
        <v>129</v>
      </c>
      <c r="C642" s="11" t="n">
        <v>12</v>
      </c>
      <c r="D642" s="11" t="s">
        <v>161</v>
      </c>
      <c r="E642" s="11" t="s">
        <v>165</v>
      </c>
      <c r="F642" s="11" t="s">
        <v>80</v>
      </c>
      <c r="G642" s="12" t="n">
        <v>240</v>
      </c>
      <c r="H642" s="12" t="n">
        <f aca="false">SUMPRODUCT(ПОТОКИ!B12:G12,ЧАСОВЫЕ_ПРОФИЛИ!B16:G16,КОЭФФИЦИЕНТЫ_ВЫБОРА!F22:K22)</f>
        <v>1.2777</v>
      </c>
      <c r="I642" s="12" t="n">
        <f aca="false">SUMPRODUCT(ПОТОКИ!B12:G12,ЧАСОВЫЕ_ПРОФИЛИ!B16:G16,КОЭФФИЦИЕНТЫ_ВЫБОРА!F22:K22,ПАРАМЕТРЫ!$B$17:$G$17)</f>
        <v>1.40547</v>
      </c>
      <c r="J642" s="12" t="n">
        <f aca="false">I642*G642/1000</f>
        <v>0.3373128</v>
      </c>
      <c r="K642" s="11" t="s">
        <v>217</v>
      </c>
      <c r="L642" s="11" t="s">
        <v>19</v>
      </c>
      <c r="M642" s="11" t="s">
        <v>145</v>
      </c>
    </row>
    <row r="643" customFormat="false" ht="15" hidden="false" customHeight="false" outlineLevel="0" collapsed="false">
      <c r="A643" s="11" t="s">
        <v>108</v>
      </c>
      <c r="B643" s="11" t="s">
        <v>129</v>
      </c>
      <c r="C643" s="11" t="n">
        <v>13</v>
      </c>
      <c r="D643" s="11" t="s">
        <v>166</v>
      </c>
      <c r="E643" s="11" t="s">
        <v>167</v>
      </c>
      <c r="F643" s="11" t="s">
        <v>80</v>
      </c>
      <c r="G643" s="12" t="n">
        <v>130</v>
      </c>
      <c r="H643" s="12" t="n">
        <f aca="false">SUMPRODUCT(ПОТОКИ!B12:G12,ЧАСОВЫЕ_ПРОФИЛИ!B16:G16,КОЭФФИЦИЕНТЫ_ВЫБОРА!F23:K23)</f>
        <v>0.268</v>
      </c>
      <c r="I643" s="12" t="n">
        <f aca="false">SUMPRODUCT(ПОТОКИ!B12:G12,ЧАСОВЫЕ_ПРОФИЛИ!B16:G16,КОЭФФИЦИЕНТЫ_ВЫБОРА!F23:K23,ПАРАМЕТРЫ!$B$17:$G$17)</f>
        <v>0.2948</v>
      </c>
      <c r="J643" s="12" t="n">
        <f aca="false">I643*G643/1000</f>
        <v>0.038324</v>
      </c>
      <c r="K643" s="11" t="s">
        <v>217</v>
      </c>
      <c r="L643" s="11" t="s">
        <v>19</v>
      </c>
      <c r="M643" s="11" t="s">
        <v>145</v>
      </c>
    </row>
    <row r="644" customFormat="false" ht="15" hidden="false" customHeight="false" outlineLevel="0" collapsed="false">
      <c r="A644" s="11" t="s">
        <v>108</v>
      </c>
      <c r="B644" s="11" t="s">
        <v>129</v>
      </c>
      <c r="C644" s="11" t="n">
        <v>14</v>
      </c>
      <c r="D644" s="11" t="s">
        <v>166</v>
      </c>
      <c r="E644" s="11" t="s">
        <v>168</v>
      </c>
      <c r="F644" s="11" t="s">
        <v>80</v>
      </c>
      <c r="G644" s="12" t="n">
        <v>250</v>
      </c>
      <c r="H644" s="12" t="n">
        <f aca="false">SUMPRODUCT(ПОТОКИ!B12:G12,ЧАСОВЫЕ_ПРОФИЛИ!B16:G16,КОЭФФИЦИЕНТЫ_ВЫБОРА!F24:K24)</f>
        <v>0.4268</v>
      </c>
      <c r="I644" s="12" t="n">
        <f aca="false">SUMPRODUCT(ПОТОКИ!B12:G12,ЧАСОВЫЕ_ПРОФИЛИ!B16:G16,КОЭФФИЦИЕНТЫ_ВЫБОРА!F24:K24,ПАРАМЕТРЫ!$B$17:$G$17)</f>
        <v>0.46948</v>
      </c>
      <c r="J644" s="12" t="n">
        <f aca="false">I644*G644/1000</f>
        <v>0.11737</v>
      </c>
      <c r="K644" s="11" t="s">
        <v>217</v>
      </c>
      <c r="L644" s="11" t="s">
        <v>19</v>
      </c>
      <c r="M644" s="11" t="s">
        <v>145</v>
      </c>
    </row>
    <row r="645" customFormat="false" ht="15" hidden="false" customHeight="false" outlineLevel="0" collapsed="false">
      <c r="A645" s="11" t="s">
        <v>108</v>
      </c>
      <c r="B645" s="11" t="s">
        <v>129</v>
      </c>
      <c r="C645" s="11" t="n">
        <v>15</v>
      </c>
      <c r="D645" s="11" t="s">
        <v>166</v>
      </c>
      <c r="E645" s="11" t="s">
        <v>169</v>
      </c>
      <c r="F645" s="11" t="s">
        <v>80</v>
      </c>
      <c r="G645" s="12" t="n">
        <v>120</v>
      </c>
      <c r="H645" s="12" t="n">
        <f aca="false">SUMPRODUCT(ПОТОКИ!B12:G12,ЧАСОВЫЕ_ПРОФИЛИ!B16:G16,КОЭФФИЦИЕНТЫ_ВЫБОРА!F25:K25)</f>
        <v>0.2168</v>
      </c>
      <c r="I645" s="12" t="n">
        <f aca="false">SUMPRODUCT(ПОТОКИ!B12:G12,ЧАСОВЫЕ_ПРОФИЛИ!B16:G16,КОЭФФИЦИЕНТЫ_ВЫБОРА!F25:K25,ПАРАМЕТРЫ!$B$17:$G$17)</f>
        <v>0.23848</v>
      </c>
      <c r="J645" s="12" t="n">
        <f aca="false">I645*G645/1000</f>
        <v>0.0286176</v>
      </c>
      <c r="K645" s="11" t="s">
        <v>217</v>
      </c>
      <c r="L645" s="11" t="s">
        <v>19</v>
      </c>
      <c r="M645" s="11" t="s">
        <v>145</v>
      </c>
    </row>
    <row r="646" customFormat="false" ht="15" hidden="false" customHeight="false" outlineLevel="0" collapsed="false">
      <c r="A646" s="11" t="s">
        <v>108</v>
      </c>
      <c r="B646" s="11" t="s">
        <v>129</v>
      </c>
      <c r="C646" s="11" t="n">
        <v>16</v>
      </c>
      <c r="D646" s="11" t="s">
        <v>166</v>
      </c>
      <c r="E646" s="11" t="s">
        <v>170</v>
      </c>
      <c r="F646" s="11" t="s">
        <v>80</v>
      </c>
      <c r="G646" s="12" t="n">
        <v>180</v>
      </c>
      <c r="H646" s="12" t="n">
        <f aca="false">SUMPRODUCT(ПОТОКИ!B12:G12,ЧАСОВЫЕ_ПРОФИЛИ!B16:G16,КОЭФФИЦИЕНТЫ_ВЫБОРА!F26:K26)</f>
        <v>0.5924</v>
      </c>
      <c r="I646" s="12" t="n">
        <f aca="false">SUMPRODUCT(ПОТОКИ!B12:G12,ЧАСОВЫЕ_ПРОФИЛИ!B16:G16,КОЭФФИЦИЕНТЫ_ВЫБОРА!F26:K26,ПАРАМЕТРЫ!$B$17:$G$17)</f>
        <v>0.65164</v>
      </c>
      <c r="J646" s="12" t="n">
        <f aca="false">I646*G646/1000</f>
        <v>0.1172952</v>
      </c>
      <c r="K646" s="11" t="s">
        <v>217</v>
      </c>
      <c r="L646" s="11" t="s">
        <v>19</v>
      </c>
      <c r="M646" s="11" t="s">
        <v>145</v>
      </c>
    </row>
    <row r="647" customFormat="false" ht="15" hidden="false" customHeight="false" outlineLevel="0" collapsed="false">
      <c r="A647" s="11" t="s">
        <v>108</v>
      </c>
      <c r="B647" s="11" t="s">
        <v>129</v>
      </c>
      <c r="C647" s="11" t="n">
        <v>17</v>
      </c>
      <c r="D647" s="11" t="s">
        <v>166</v>
      </c>
      <c r="E647" s="11" t="s">
        <v>171</v>
      </c>
      <c r="F647" s="11" t="s">
        <v>80</v>
      </c>
      <c r="G647" s="12" t="n">
        <v>180</v>
      </c>
      <c r="H647" s="12" t="n">
        <f aca="false">SUMPRODUCT(ПОТОКИ!B12:G12,ЧАСОВЫЕ_ПРОФИЛИ!B16:G16,КОЭФФИЦИЕНТЫ_ВЫБОРА!F27:K27)</f>
        <v>0.408</v>
      </c>
      <c r="I647" s="12" t="n">
        <f aca="false">SUMPRODUCT(ПОТОКИ!B12:G12,ЧАСОВЫЕ_ПРОФИЛИ!B16:G16,КОЭФФИЦИЕНТЫ_ВЫБОРА!F27:K27,ПАРАМЕТРЫ!$B$17:$G$17)</f>
        <v>0.4488</v>
      </c>
      <c r="J647" s="12" t="n">
        <f aca="false">I647*G647/1000</f>
        <v>0.080784</v>
      </c>
      <c r="K647" s="11" t="s">
        <v>217</v>
      </c>
      <c r="L647" s="11" t="s">
        <v>19</v>
      </c>
      <c r="M647" s="11" t="s">
        <v>145</v>
      </c>
    </row>
    <row r="648" customFormat="false" ht="15" hidden="false" customHeight="false" outlineLevel="0" collapsed="false">
      <c r="A648" s="11" t="s">
        <v>108</v>
      </c>
      <c r="B648" s="11" t="s">
        <v>129</v>
      </c>
      <c r="C648" s="11" t="n">
        <v>18</v>
      </c>
      <c r="D648" s="11" t="s">
        <v>172</v>
      </c>
      <c r="E648" s="11" t="s">
        <v>173</v>
      </c>
      <c r="F648" s="11" t="s">
        <v>83</v>
      </c>
      <c r="G648" s="12" t="n">
        <v>400</v>
      </c>
      <c r="H648" s="12" t="n">
        <f aca="false">SUMPRODUCT(ПОТОКИ!B12:G12,ЧАСОВЫЕ_ПРОФИЛИ!B16:G16,КОЭФФИЦИЕНТЫ_ВЫБОРА!F28:K28)</f>
        <v>5.156</v>
      </c>
      <c r="I648" s="12" t="n">
        <f aca="false">SUMPRODUCT(ПОТОКИ!B12:G12,ЧАСОВЫЕ_ПРОФИЛИ!B16:G16,КОЭФФИЦИЕНТЫ_ВЫБОРА!F28:K28,ПАРАМЕТРЫ!$B$17:$G$17)</f>
        <v>5.6716</v>
      </c>
      <c r="J648" s="12" t="n">
        <f aca="false">I648*G648/1000</f>
        <v>2.26864</v>
      </c>
      <c r="K648" s="11" t="s">
        <v>217</v>
      </c>
      <c r="L648" s="11" t="s">
        <v>19</v>
      </c>
      <c r="M648" s="11" t="s">
        <v>145</v>
      </c>
    </row>
    <row r="649" customFormat="false" ht="23.85" hidden="false" customHeight="false" outlineLevel="0" collapsed="false">
      <c r="A649" s="11" t="s">
        <v>108</v>
      </c>
      <c r="B649" s="11" t="s">
        <v>129</v>
      </c>
      <c r="C649" s="11" t="n">
        <v>19</v>
      </c>
      <c r="D649" s="11" t="s">
        <v>174</v>
      </c>
      <c r="E649" s="11" t="s">
        <v>175</v>
      </c>
      <c r="F649" s="11" t="s">
        <v>83</v>
      </c>
      <c r="G649" s="12" t="n">
        <v>300</v>
      </c>
      <c r="H649" s="12" t="n">
        <f aca="false">SUMPRODUCT(ПОТОКИ!B12:G12,ЧАСОВЫЕ_ПРОФИЛИ!B16:G16,КОЭФФИЦИЕНТЫ_ВЫБОРА!F29:K29)</f>
        <v>3.806</v>
      </c>
      <c r="I649" s="12" t="n">
        <f aca="false">SUMPRODUCT(ПОТОКИ!B12:G12,ЧАСОВЫЕ_ПРОФИЛИ!B16:G16,КОЭФФИЦИЕНТЫ_ВЫБОРА!F29:K29,ПАРАМЕТРЫ!$B$17:$G$17)</f>
        <v>4.1866</v>
      </c>
      <c r="J649" s="12" t="n">
        <f aca="false">I649*G649/1000</f>
        <v>1.25598</v>
      </c>
      <c r="K649" s="11" t="s">
        <v>217</v>
      </c>
      <c r="L649" s="11" t="s">
        <v>19</v>
      </c>
      <c r="M649" s="11" t="s">
        <v>145</v>
      </c>
    </row>
    <row r="650" customFormat="false" ht="15" hidden="false" customHeight="false" outlineLevel="0" collapsed="false">
      <c r="A650" s="11" t="s">
        <v>108</v>
      </c>
      <c r="B650" s="11" t="s">
        <v>129</v>
      </c>
      <c r="C650" s="11" t="n">
        <v>20</v>
      </c>
      <c r="D650" s="11" t="s">
        <v>174</v>
      </c>
      <c r="E650" s="11" t="s">
        <v>176</v>
      </c>
      <c r="F650" s="11" t="s">
        <v>83</v>
      </c>
      <c r="G650" s="12" t="n">
        <v>360</v>
      </c>
      <c r="H650" s="12" t="n">
        <f aca="false">SUMPRODUCT(ПОТОКИ!B12:G12,ЧАСОВЫЕ_ПРОФИЛИ!B16:G16,КОЭФФИЦИЕНТЫ_ВЫБОРА!F30:K30)</f>
        <v>2.7328</v>
      </c>
      <c r="I650" s="12" t="n">
        <f aca="false">SUMPRODUCT(ПОТОКИ!B12:G12,ЧАСОВЫЕ_ПРОФИЛИ!B16:G16,КОЭФФИЦИЕНТЫ_ВЫБОРА!F30:K30,ПАРАМЕТРЫ!$B$17:$G$17)</f>
        <v>3.00608</v>
      </c>
      <c r="J650" s="12" t="n">
        <f aca="false">I650*G650/1000</f>
        <v>1.0821888</v>
      </c>
      <c r="K650" s="11" t="s">
        <v>217</v>
      </c>
      <c r="L650" s="11" t="s">
        <v>19</v>
      </c>
      <c r="M650" s="11" t="s">
        <v>145</v>
      </c>
    </row>
    <row r="651" customFormat="false" ht="15" hidden="false" customHeight="false" outlineLevel="0" collapsed="false">
      <c r="A651" s="11" t="s">
        <v>108</v>
      </c>
      <c r="B651" s="11" t="s">
        <v>129</v>
      </c>
      <c r="C651" s="11" t="n">
        <v>21</v>
      </c>
      <c r="D651" s="11" t="s">
        <v>174</v>
      </c>
      <c r="E651" s="11" t="s">
        <v>177</v>
      </c>
      <c r="F651" s="11" t="s">
        <v>83</v>
      </c>
      <c r="G651" s="12" t="n">
        <v>350</v>
      </c>
      <c r="H651" s="12" t="n">
        <f aca="false">SUMPRODUCT(ПОТОКИ!B12:G12,ЧАСОВЫЕ_ПРОФИЛИ!B16:G16,КОЭФФИЦИЕНТЫ_ВЫБОРА!F31:K31)</f>
        <v>4.6542</v>
      </c>
      <c r="I651" s="12" t="n">
        <f aca="false">SUMPRODUCT(ПОТОКИ!B12:G12,ЧАСОВЫЕ_ПРОФИЛИ!B16:G16,КОЭФФИЦИЕНТЫ_ВЫБОРА!F31:K31,ПАРАМЕТРЫ!$B$17:$G$17)</f>
        <v>5.11962</v>
      </c>
      <c r="J651" s="12" t="n">
        <f aca="false">I651*G651/1000</f>
        <v>1.791867</v>
      </c>
      <c r="K651" s="11" t="s">
        <v>217</v>
      </c>
      <c r="L651" s="11" t="s">
        <v>19</v>
      </c>
      <c r="M651" s="11" t="s">
        <v>145</v>
      </c>
    </row>
    <row r="652" customFormat="false" ht="15" hidden="false" customHeight="false" outlineLevel="0" collapsed="false">
      <c r="A652" s="11" t="s">
        <v>108</v>
      </c>
      <c r="B652" s="11" t="s">
        <v>129</v>
      </c>
      <c r="C652" s="11" t="n">
        <v>22</v>
      </c>
      <c r="D652" s="11" t="s">
        <v>174</v>
      </c>
      <c r="E652" s="11" t="s">
        <v>178</v>
      </c>
      <c r="F652" s="11" t="s">
        <v>83</v>
      </c>
      <c r="G652" s="12" t="n">
        <v>300</v>
      </c>
      <c r="H652" s="12" t="n">
        <f aca="false">SUMPRODUCT(ПОТОКИ!B12:G12,ЧАСОВЫЕ_ПРОФИЛИ!B16:G16,КОЭФФИЦИЕНТЫ_ВЫБОРА!F32:K32)</f>
        <v>2.171</v>
      </c>
      <c r="I652" s="12" t="n">
        <f aca="false">SUMPRODUCT(ПОТОКИ!B12:G12,ЧАСОВЫЕ_ПРОФИЛИ!B16:G16,КОЭФФИЦИЕНТЫ_ВЫБОРА!F32:K32,ПАРАМЕТРЫ!$B$17:$G$17)</f>
        <v>2.3881</v>
      </c>
      <c r="J652" s="12" t="n">
        <f aca="false">I652*G652/1000</f>
        <v>0.71643</v>
      </c>
      <c r="K652" s="11" t="s">
        <v>217</v>
      </c>
      <c r="L652" s="11" t="s">
        <v>19</v>
      </c>
      <c r="M652" s="11" t="s">
        <v>145</v>
      </c>
    </row>
    <row r="653" customFormat="false" ht="15" hidden="false" customHeight="false" outlineLevel="0" collapsed="false">
      <c r="A653" s="11" t="s">
        <v>108</v>
      </c>
      <c r="B653" s="11" t="s">
        <v>129</v>
      </c>
      <c r="C653" s="11" t="n">
        <v>23</v>
      </c>
      <c r="D653" s="11" t="s">
        <v>86</v>
      </c>
      <c r="E653" s="11" t="s">
        <v>179</v>
      </c>
      <c r="F653" s="11" t="s">
        <v>85</v>
      </c>
      <c r="G653" s="12" t="n">
        <v>150</v>
      </c>
      <c r="H653" s="12" t="n">
        <f aca="false">SUMPRODUCT(ПОТОКИ!B12:G12,ЧАСОВЫЕ_ПРОФИЛИ!B16:G16,КОЭФФИЦИЕНТЫ_ВЫБОРА!F33:K33)</f>
        <v>3.682402</v>
      </c>
      <c r="I653" s="12" t="n">
        <f aca="false">SUMPRODUCT(ПОТОКИ!B12:G12,ЧАСОВЫЕ_ПРОФИЛИ!B16:G16,КОЭФФИЦИЕНТЫ_ВЫБОРА!F33:K33,ПАРАМЕТРЫ!$B$17:$G$17)</f>
        <v>4.0506422</v>
      </c>
      <c r="J653" s="12" t="n">
        <f aca="false">I653*G653/1000</f>
        <v>0.60759633</v>
      </c>
      <c r="K653" s="11" t="s">
        <v>217</v>
      </c>
      <c r="L653" s="11" t="s">
        <v>19</v>
      </c>
      <c r="M653" s="11" t="s">
        <v>147</v>
      </c>
    </row>
    <row r="654" customFormat="false" ht="15" hidden="false" customHeight="false" outlineLevel="0" collapsed="false">
      <c r="A654" s="11" t="s">
        <v>108</v>
      </c>
      <c r="B654" s="11" t="s">
        <v>129</v>
      </c>
      <c r="C654" s="11" t="n">
        <v>24</v>
      </c>
      <c r="D654" s="11" t="s">
        <v>86</v>
      </c>
      <c r="E654" s="11" t="s">
        <v>180</v>
      </c>
      <c r="F654" s="11" t="s">
        <v>85</v>
      </c>
      <c r="G654" s="12" t="n">
        <v>150</v>
      </c>
      <c r="H654" s="12" t="n">
        <f aca="false">SUMPRODUCT(ПОТОКИ!B12:G12,ЧАСОВЫЕ_ПРОФИЛИ!B16:G16,КОЭФФИЦИЕНТЫ_ВЫБОРА!F34:K34)</f>
        <v>1.513076</v>
      </c>
      <c r="I654" s="12" t="n">
        <f aca="false">SUMPRODUCT(ПОТОКИ!B12:G12,ЧАСОВЫЕ_ПРОФИЛИ!B16:G16,КОЭФФИЦИЕНТЫ_ВЫБОРА!F34:K34,ПАРАМЕТРЫ!$B$17:$G$17)</f>
        <v>1.6643836</v>
      </c>
      <c r="J654" s="12" t="n">
        <f aca="false">I654*G654/1000</f>
        <v>0.24965754</v>
      </c>
      <c r="K654" s="11" t="s">
        <v>217</v>
      </c>
      <c r="L654" s="11" t="s">
        <v>19</v>
      </c>
      <c r="M654" s="11" t="s">
        <v>147</v>
      </c>
    </row>
    <row r="655" customFormat="false" ht="15" hidden="false" customHeight="false" outlineLevel="0" collapsed="false">
      <c r="A655" s="11" t="s">
        <v>108</v>
      </c>
      <c r="B655" s="11" t="s">
        <v>129</v>
      </c>
      <c r="C655" s="11" t="n">
        <v>25</v>
      </c>
      <c r="D655" s="11" t="s">
        <v>86</v>
      </c>
      <c r="E655" s="11" t="s">
        <v>181</v>
      </c>
      <c r="F655" s="11" t="s">
        <v>85</v>
      </c>
      <c r="G655" s="12" t="n">
        <v>150</v>
      </c>
      <c r="H655" s="12" t="n">
        <f aca="false">SUMPRODUCT(ПОТОКИ!B12:G12,ЧАСОВЫЕ_ПРОФИЛИ!B16:G16,КОЭФФИЦИЕНТЫ_ВЫБОРА!F35:K35)</f>
        <v>2.369902</v>
      </c>
      <c r="I655" s="12" t="n">
        <f aca="false">SUMPRODUCT(ПОТОКИ!B12:G12,ЧАСОВЫЕ_ПРОФИЛИ!B16:G16,КОЭФФИЦИЕНТЫ_ВЫБОРА!F35:K35,ПАРАМЕТРЫ!$B$17:$G$17)</f>
        <v>2.6068922</v>
      </c>
      <c r="J655" s="12" t="n">
        <f aca="false">I655*G655/1000</f>
        <v>0.39103383</v>
      </c>
      <c r="K655" s="11" t="s">
        <v>217</v>
      </c>
      <c r="L655" s="11" t="s">
        <v>19</v>
      </c>
      <c r="M655" s="11" t="s">
        <v>147</v>
      </c>
    </row>
    <row r="656" customFormat="false" ht="23.85" hidden="false" customHeight="false" outlineLevel="0" collapsed="false">
      <c r="A656" s="11" t="s">
        <v>108</v>
      </c>
      <c r="B656" s="11" t="s">
        <v>129</v>
      </c>
      <c r="C656" s="11" t="n">
        <v>26</v>
      </c>
      <c r="D656" s="11" t="s">
        <v>89</v>
      </c>
      <c r="E656" s="11" t="s">
        <v>182</v>
      </c>
      <c r="F656" s="11" t="s">
        <v>88</v>
      </c>
      <c r="G656" s="12" t="n">
        <v>225</v>
      </c>
      <c r="H656" s="12" t="n">
        <f aca="false">SUMPRODUCT(ПОТОКИ!B12:G12,ЧАСОВЫЕ_ПРОФИЛИ!B16:G16,КОЭФФИЦИЕНТЫ_ВЫБОРА!F36:K36)</f>
        <v>0</v>
      </c>
      <c r="I656" s="12" t="n">
        <f aca="false">SUMPRODUCT(ПОТОКИ!B12:G12,ЧАСОВЫЕ_ПРОФИЛИ!B16:G16,КОЭФФИЦИЕНТЫ_ВЫБОРА!F36:K36,ПАРАМЕТРЫ!$B$17:$G$17)</f>
        <v>0</v>
      </c>
      <c r="J656" s="12" t="n">
        <f aca="false">I656*G656/1000</f>
        <v>0</v>
      </c>
      <c r="K656" s="11" t="s">
        <v>217</v>
      </c>
      <c r="L656" s="11" t="s">
        <v>19</v>
      </c>
      <c r="M656" s="11" t="s">
        <v>145</v>
      </c>
    </row>
    <row r="657" customFormat="false" ht="23.85" hidden="false" customHeight="false" outlineLevel="0" collapsed="false">
      <c r="A657" s="11" t="s">
        <v>108</v>
      </c>
      <c r="B657" s="11" t="s">
        <v>129</v>
      </c>
      <c r="C657" s="11" t="n">
        <v>27</v>
      </c>
      <c r="D657" s="11" t="s">
        <v>89</v>
      </c>
      <c r="E657" s="11" t="s">
        <v>183</v>
      </c>
      <c r="F657" s="11" t="s">
        <v>88</v>
      </c>
      <c r="G657" s="12" t="n">
        <v>265</v>
      </c>
      <c r="H657" s="12" t="n">
        <f aca="false">SUMPRODUCT(ПОТОКИ!B12:G12,ЧАСОВЫЕ_ПРОФИЛИ!B16:G16,КОЭФФИЦИЕНТЫ_ВЫБОРА!F37:K37)</f>
        <v>0</v>
      </c>
      <c r="I657" s="12" t="n">
        <f aca="false">SUMPRODUCT(ПОТОКИ!B12:G12,ЧАСОВЫЕ_ПРОФИЛИ!B16:G16,КОЭФФИЦИЕНТЫ_ВЫБОРА!F37:K37,ПАРАМЕТРЫ!$B$17:$G$17)</f>
        <v>0</v>
      </c>
      <c r="J657" s="12" t="n">
        <f aca="false">I657*G657/1000</f>
        <v>0</v>
      </c>
      <c r="K657" s="11" t="s">
        <v>217</v>
      </c>
      <c r="L657" s="11" t="s">
        <v>19</v>
      </c>
      <c r="M657" s="11" t="s">
        <v>145</v>
      </c>
    </row>
    <row r="658" customFormat="false" ht="23.85" hidden="false" customHeight="false" outlineLevel="0" collapsed="false">
      <c r="A658" s="11" t="s">
        <v>108</v>
      </c>
      <c r="B658" s="11" t="s">
        <v>129</v>
      </c>
      <c r="C658" s="11" t="n">
        <v>28</v>
      </c>
      <c r="D658" s="11" t="s">
        <v>89</v>
      </c>
      <c r="E658" s="11" t="s">
        <v>184</v>
      </c>
      <c r="F658" s="11" t="s">
        <v>88</v>
      </c>
      <c r="G658" s="12" t="n">
        <v>355</v>
      </c>
      <c r="H658" s="12" t="n">
        <f aca="false">SUMPRODUCT(ПОТОКИ!B12:G12,ЧАСОВЫЕ_ПРОФИЛИ!B16:G16,КОЭФФИЦИЕНТЫ_ВЫБОРА!F38:K38)</f>
        <v>0</v>
      </c>
      <c r="I658" s="12" t="n">
        <f aca="false">SUMPRODUCT(ПОТОКИ!B12:G12,ЧАСОВЫЕ_ПРОФИЛИ!B16:G16,КОЭФФИЦИЕНТЫ_ВЫБОРА!F38:K38,ПАРАМЕТРЫ!$B$17:$G$17)</f>
        <v>0</v>
      </c>
      <c r="J658" s="12" t="n">
        <f aca="false">I658*G658/1000</f>
        <v>0</v>
      </c>
      <c r="K658" s="11" t="s">
        <v>217</v>
      </c>
      <c r="L658" s="11" t="s">
        <v>19</v>
      </c>
      <c r="M658" s="11" t="s">
        <v>145</v>
      </c>
    </row>
    <row r="659" customFormat="false" ht="15" hidden="false" customHeight="false" outlineLevel="0" collapsed="false">
      <c r="A659" s="11" t="s">
        <v>108</v>
      </c>
      <c r="B659" s="11" t="s">
        <v>129</v>
      </c>
      <c r="C659" s="11" t="n">
        <v>29</v>
      </c>
      <c r="D659" s="11" t="s">
        <v>92</v>
      </c>
      <c r="E659" s="11" t="s">
        <v>185</v>
      </c>
      <c r="F659" s="11" t="s">
        <v>91</v>
      </c>
      <c r="G659" s="12" t="n">
        <v>150</v>
      </c>
      <c r="H659" s="12" t="n">
        <f aca="false">SUMPRODUCT(ПОТОКИ!B12:G12,ЧАСОВЫЕ_ПРОФИЛИ!B16:G16,КОЭФФИЦИЕНТЫ_ВЫБОРА!F39:K39)</f>
        <v>0.2976</v>
      </c>
      <c r="I659" s="12" t="n">
        <f aca="false">SUMPRODUCT(ПОТОКИ!B12:G12,ЧАСОВЫЕ_ПРОФИЛИ!B16:G16,КОЭФФИЦИЕНТЫ_ВЫБОРА!F39:K39,ПАРАМЕТРЫ!$B$17:$G$17)</f>
        <v>0.32736</v>
      </c>
      <c r="J659" s="12" t="n">
        <f aca="false">I659*G659/1000</f>
        <v>0.049104</v>
      </c>
      <c r="K659" s="11" t="s">
        <v>217</v>
      </c>
      <c r="L659" s="11" t="s">
        <v>19</v>
      </c>
      <c r="M659" s="11" t="s">
        <v>145</v>
      </c>
    </row>
    <row r="660" customFormat="false" ht="15" hidden="false" customHeight="false" outlineLevel="0" collapsed="false">
      <c r="A660" s="11" t="s">
        <v>108</v>
      </c>
      <c r="B660" s="11" t="s">
        <v>129</v>
      </c>
      <c r="C660" s="11" t="n">
        <v>30</v>
      </c>
      <c r="D660" s="11" t="s">
        <v>92</v>
      </c>
      <c r="E660" s="11" t="s">
        <v>186</v>
      </c>
      <c r="F660" s="11" t="s">
        <v>91</v>
      </c>
      <c r="G660" s="12" t="n">
        <v>120</v>
      </c>
      <c r="H660" s="12" t="n">
        <f aca="false">SUMPRODUCT(ПОТОКИ!B12:G12,ЧАСОВЫЕ_ПРОФИЛИ!B16:G16,КОЭФФИЦИЕНТЫ_ВЫБОРА!F40:K40)</f>
        <v>0.2976</v>
      </c>
      <c r="I660" s="12" t="n">
        <f aca="false">SUMPRODUCT(ПОТОКИ!B12:G12,ЧАСОВЫЕ_ПРОФИЛИ!B16:G16,КОЭФФИЦИЕНТЫ_ВЫБОРА!F40:K40,ПАРАМЕТРЫ!$B$17:$G$17)</f>
        <v>0.32736</v>
      </c>
      <c r="J660" s="12" t="n">
        <f aca="false">I660*G660/1000</f>
        <v>0.0392832</v>
      </c>
      <c r="K660" s="11" t="s">
        <v>217</v>
      </c>
      <c r="L660" s="11" t="s">
        <v>19</v>
      </c>
      <c r="M660" s="11" t="s">
        <v>145</v>
      </c>
    </row>
    <row r="661" customFormat="false" ht="15" hidden="false" customHeight="false" outlineLevel="0" collapsed="false">
      <c r="A661" s="11" t="s">
        <v>108</v>
      </c>
      <c r="B661" s="11" t="s">
        <v>129</v>
      </c>
      <c r="C661" s="11" t="n">
        <v>31</v>
      </c>
      <c r="D661" s="11" t="s">
        <v>92</v>
      </c>
      <c r="E661" s="11" t="s">
        <v>187</v>
      </c>
      <c r="F661" s="11" t="s">
        <v>91</v>
      </c>
      <c r="G661" s="12" t="n">
        <v>60</v>
      </c>
      <c r="H661" s="12" t="n">
        <f aca="false">SUMPRODUCT(ПОТОКИ!B12:G12,ЧАСОВЫЕ_ПРОФИЛИ!B16:G16,КОЭФФИЦИЕНТЫ_ВЫБОРА!F41:K41)</f>
        <v>0.2688</v>
      </c>
      <c r="I661" s="12" t="n">
        <f aca="false">SUMPRODUCT(ПОТОКИ!B12:G12,ЧАСОВЫЕ_ПРОФИЛИ!B16:G16,КОЭФФИЦИЕНТЫ_ВЫБОРА!F41:K41,ПАРАМЕТРЫ!$B$17:$G$17)</f>
        <v>0.29568</v>
      </c>
      <c r="J661" s="12" t="n">
        <f aca="false">I661*G661/1000</f>
        <v>0.0177408</v>
      </c>
      <c r="K661" s="11" t="s">
        <v>217</v>
      </c>
      <c r="L661" s="11" t="s">
        <v>19</v>
      </c>
      <c r="M661" s="11" t="s">
        <v>145</v>
      </c>
    </row>
    <row r="662" customFormat="false" ht="15" hidden="false" customHeight="false" outlineLevel="0" collapsed="false">
      <c r="A662" s="11" t="s">
        <v>108</v>
      </c>
      <c r="B662" s="11" t="s">
        <v>130</v>
      </c>
      <c r="C662" s="11" t="n">
        <v>1</v>
      </c>
      <c r="D662" s="11" t="s">
        <v>74</v>
      </c>
      <c r="E662" s="11" t="s">
        <v>153</v>
      </c>
      <c r="F662" s="11" t="s">
        <v>73</v>
      </c>
      <c r="G662" s="12" t="n">
        <v>450</v>
      </c>
      <c r="H662" s="12" t="n">
        <f aca="false">SUMPRODUCT(ПОТОКИ!B12:G12,ЧАСОВЫЕ_ПРОФИЛИ!B17:G17,КОЭФФИЦИЕНТЫ_ВЫБОРА!F11:K11)</f>
        <v>0.651</v>
      </c>
      <c r="I662" s="12" t="n">
        <f aca="false">SUMPRODUCT(ПОТОКИ!B12:G12,ЧАСОВЫЕ_ПРОФИЛИ!B17:G17,КОЭФФИЦИЕНТЫ_ВЫБОРА!F11:K11,ПАРАМЕТРЫ!$B$17:$G$17)</f>
        <v>0.7161</v>
      </c>
      <c r="J662" s="12" t="n">
        <f aca="false">I662*G662/1000</f>
        <v>0.322245</v>
      </c>
      <c r="K662" s="11" t="s">
        <v>217</v>
      </c>
      <c r="L662" s="11" t="s">
        <v>19</v>
      </c>
      <c r="M662" s="11" t="s">
        <v>145</v>
      </c>
    </row>
    <row r="663" customFormat="false" ht="15" hidden="false" customHeight="false" outlineLevel="0" collapsed="false">
      <c r="A663" s="11" t="s">
        <v>108</v>
      </c>
      <c r="B663" s="11" t="s">
        <v>130</v>
      </c>
      <c r="C663" s="11" t="n">
        <v>2</v>
      </c>
      <c r="D663" s="11" t="s">
        <v>74</v>
      </c>
      <c r="E663" s="11" t="s">
        <v>154</v>
      </c>
      <c r="F663" s="11" t="s">
        <v>73</v>
      </c>
      <c r="G663" s="12" t="n">
        <v>480</v>
      </c>
      <c r="H663" s="12" t="n">
        <f aca="false">SUMPRODUCT(ПОТОКИ!B12:G12,ЧАСОВЫЕ_ПРОФИЛИ!B17:G17,КОЭФФИЦИЕНТЫ_ВЫБОРА!F12:K12)</f>
        <v>0.713</v>
      </c>
      <c r="I663" s="12" t="n">
        <f aca="false">SUMPRODUCT(ПОТОКИ!B12:G12,ЧАСОВЫЕ_ПРОФИЛИ!B17:G17,КОЭФФИЦИЕНТЫ_ВЫБОРА!F12:K12,ПАРАМЕТРЫ!$B$17:$G$17)</f>
        <v>0.7843</v>
      </c>
      <c r="J663" s="12" t="n">
        <f aca="false">I663*G663/1000</f>
        <v>0.376464</v>
      </c>
      <c r="K663" s="11" t="s">
        <v>217</v>
      </c>
      <c r="L663" s="11" t="s">
        <v>19</v>
      </c>
      <c r="M663" s="11" t="s">
        <v>145</v>
      </c>
    </row>
    <row r="664" customFormat="false" ht="15" hidden="false" customHeight="false" outlineLevel="0" collapsed="false">
      <c r="A664" s="11" t="s">
        <v>108</v>
      </c>
      <c r="B664" s="11" t="s">
        <v>130</v>
      </c>
      <c r="C664" s="11" t="n">
        <v>3</v>
      </c>
      <c r="D664" s="11" t="s">
        <v>74</v>
      </c>
      <c r="E664" s="11" t="s">
        <v>155</v>
      </c>
      <c r="F664" s="11" t="s">
        <v>73</v>
      </c>
      <c r="G664" s="12" t="n">
        <v>500</v>
      </c>
      <c r="H664" s="12" t="n">
        <f aca="false">SUMPRODUCT(ПОТОКИ!B12:G12,ЧАСОВЫЕ_ПРОФИЛИ!B17:G17,КОЭФФИЦИЕНТЫ_ВЫБОРА!F13:K13)</f>
        <v>1.332</v>
      </c>
      <c r="I664" s="12" t="n">
        <f aca="false">SUMPRODUCT(ПОТОКИ!B12:G12,ЧАСОВЫЕ_ПРОФИЛИ!B17:G17,КОЭФФИЦИЕНТЫ_ВЫБОРА!F13:K13,ПАРАМЕТРЫ!$B$17:$G$17)</f>
        <v>1.4652</v>
      </c>
      <c r="J664" s="12" t="n">
        <f aca="false">I664*G664/1000</f>
        <v>0.7326</v>
      </c>
      <c r="K664" s="11" t="s">
        <v>217</v>
      </c>
      <c r="L664" s="11" t="s">
        <v>19</v>
      </c>
      <c r="M664" s="11" t="s">
        <v>145</v>
      </c>
    </row>
    <row r="665" customFormat="false" ht="15" hidden="false" customHeight="false" outlineLevel="0" collapsed="false">
      <c r="A665" s="11" t="s">
        <v>108</v>
      </c>
      <c r="B665" s="11" t="s">
        <v>130</v>
      </c>
      <c r="C665" s="11" t="n">
        <v>4</v>
      </c>
      <c r="D665" s="11" t="s">
        <v>74</v>
      </c>
      <c r="E665" s="11" t="s">
        <v>156</v>
      </c>
      <c r="F665" s="11" t="s">
        <v>73</v>
      </c>
      <c r="G665" s="12" t="n">
        <v>500</v>
      </c>
      <c r="H665" s="12" t="n">
        <f aca="false">SUMPRODUCT(ПОТОКИ!B12:G12,ЧАСОВЫЕ_ПРОФИЛИ!B17:G17,КОЭФФИЦИЕНТЫ_ВЫБОРА!F14:K14)</f>
        <v>1.394</v>
      </c>
      <c r="I665" s="12" t="n">
        <f aca="false">SUMPRODUCT(ПОТОКИ!B12:G12,ЧАСОВЫЕ_ПРОФИЛИ!B17:G17,КОЭФФИЦИЕНТЫ_ВЫБОРА!F14:K14,ПАРАМЕТРЫ!$B$17:$G$17)</f>
        <v>1.5334</v>
      </c>
      <c r="J665" s="12" t="n">
        <f aca="false">I665*G665/1000</f>
        <v>0.7667</v>
      </c>
      <c r="K665" s="11" t="s">
        <v>217</v>
      </c>
      <c r="L665" s="11" t="s">
        <v>19</v>
      </c>
      <c r="M665" s="11" t="s">
        <v>145</v>
      </c>
    </row>
    <row r="666" customFormat="false" ht="15" hidden="false" customHeight="false" outlineLevel="0" collapsed="false">
      <c r="A666" s="11" t="s">
        <v>108</v>
      </c>
      <c r="B666" s="11" t="s">
        <v>130</v>
      </c>
      <c r="C666" s="11" t="n">
        <v>5</v>
      </c>
      <c r="D666" s="11" t="s">
        <v>78</v>
      </c>
      <c r="E666" s="11" t="s">
        <v>157</v>
      </c>
      <c r="F666" s="11" t="s">
        <v>77</v>
      </c>
      <c r="G666" s="12" t="n">
        <v>100</v>
      </c>
      <c r="H666" s="12" t="n">
        <f aca="false">SUMPRODUCT(ПОТОКИ!B12:G12,ЧАСОВЫЕ_ПРОФИЛИ!B17:G17,КОЭФФИЦИЕНТЫ_ВЫБОРА!F15:K15)</f>
        <v>0.741</v>
      </c>
      <c r="I666" s="12" t="n">
        <f aca="false">SUMPRODUCT(ПОТОКИ!B12:G12,ЧАСОВЫЕ_ПРОФИЛИ!B17:G17,КОЭФФИЦИЕНТЫ_ВЫБОРА!F15:K15,ПАРАМЕТРЫ!$B$17:$G$17)</f>
        <v>0.8151</v>
      </c>
      <c r="J666" s="12" t="n">
        <f aca="false">I666*G666/1000</f>
        <v>0.08151</v>
      </c>
      <c r="K666" s="11" t="s">
        <v>217</v>
      </c>
      <c r="L666" s="11" t="s">
        <v>19</v>
      </c>
      <c r="M666" s="11" t="s">
        <v>147</v>
      </c>
    </row>
    <row r="667" customFormat="false" ht="15" hidden="false" customHeight="false" outlineLevel="0" collapsed="false">
      <c r="A667" s="11" t="s">
        <v>108</v>
      </c>
      <c r="B667" s="11" t="s">
        <v>130</v>
      </c>
      <c r="C667" s="11" t="n">
        <v>6</v>
      </c>
      <c r="D667" s="11" t="s">
        <v>78</v>
      </c>
      <c r="E667" s="11" t="s">
        <v>158</v>
      </c>
      <c r="F667" s="11" t="s">
        <v>77</v>
      </c>
      <c r="G667" s="12" t="n">
        <v>100</v>
      </c>
      <c r="H667" s="12" t="n">
        <f aca="false">SUMPRODUCT(ПОТОКИ!B12:G12,ЧАСОВЫЕ_ПРОФИЛИ!B17:G17,КОЭФФИЦИЕНТЫ_ВЫБОРА!F16:K16)</f>
        <v>0.639</v>
      </c>
      <c r="I667" s="12" t="n">
        <f aca="false">SUMPRODUCT(ПОТОКИ!B12:G12,ЧАСОВЫЕ_ПРОФИЛИ!B17:G17,КОЭФФИЦИЕНТЫ_ВЫБОРА!F16:K16,ПАРАМЕТРЫ!$B$17:$G$17)</f>
        <v>0.7029</v>
      </c>
      <c r="J667" s="12" t="n">
        <f aca="false">I667*G667/1000</f>
        <v>0.07029</v>
      </c>
      <c r="K667" s="11" t="s">
        <v>217</v>
      </c>
      <c r="L667" s="11" t="s">
        <v>19</v>
      </c>
      <c r="M667" s="11" t="s">
        <v>147</v>
      </c>
    </row>
    <row r="668" customFormat="false" ht="15" hidden="false" customHeight="false" outlineLevel="0" collapsed="false">
      <c r="A668" s="11" t="s">
        <v>108</v>
      </c>
      <c r="B668" s="11" t="s">
        <v>130</v>
      </c>
      <c r="C668" s="11" t="n">
        <v>7</v>
      </c>
      <c r="D668" s="11" t="s">
        <v>78</v>
      </c>
      <c r="E668" s="11" t="s">
        <v>159</v>
      </c>
      <c r="F668" s="11" t="s">
        <v>77</v>
      </c>
      <c r="G668" s="12" t="n">
        <v>350</v>
      </c>
      <c r="H668" s="12" t="n">
        <f aca="false">SUMPRODUCT(ПОТОКИ!B12:G12,ЧАСОВЫЕ_ПРОФИЛИ!B17:G17,КОЭФФИЦИЕНТЫ_ВЫБОРА!F17:K17)</f>
        <v>0.5835</v>
      </c>
      <c r="I668" s="12" t="n">
        <f aca="false">SUMPRODUCT(ПОТОКИ!B12:G12,ЧАСОВЫЕ_ПРОФИЛИ!B17:G17,КОЭФФИЦИЕНТЫ_ВЫБОРА!F17:K17,ПАРАМЕТРЫ!$B$17:$G$17)</f>
        <v>0.64185</v>
      </c>
      <c r="J668" s="12" t="n">
        <f aca="false">I668*G668/1000</f>
        <v>0.2246475</v>
      </c>
      <c r="K668" s="11" t="s">
        <v>217</v>
      </c>
      <c r="L668" s="11" t="s">
        <v>19</v>
      </c>
      <c r="M668" s="11" t="s">
        <v>147</v>
      </c>
    </row>
    <row r="669" customFormat="false" ht="15" hidden="false" customHeight="false" outlineLevel="0" collapsed="false">
      <c r="A669" s="11" t="s">
        <v>108</v>
      </c>
      <c r="B669" s="11" t="s">
        <v>130</v>
      </c>
      <c r="C669" s="11" t="n">
        <v>8</v>
      </c>
      <c r="D669" s="11" t="s">
        <v>78</v>
      </c>
      <c r="E669" s="11" t="s">
        <v>160</v>
      </c>
      <c r="F669" s="11" t="s">
        <v>77</v>
      </c>
      <c r="G669" s="12" t="n">
        <v>85</v>
      </c>
      <c r="H669" s="12" t="n">
        <f aca="false">SUMPRODUCT(ПОТОКИ!B12:G12,ЧАСОВЫЕ_ПРОФИЛИ!B17:G17,КОЭФФИЦИЕНТЫ_ВЫБОРА!F18:K18)</f>
        <v>0.3705</v>
      </c>
      <c r="I669" s="12" t="n">
        <f aca="false">SUMPRODUCT(ПОТОКИ!B12:G12,ЧАСОВЫЕ_ПРОФИЛИ!B17:G17,КОЭФФИЦИЕНТЫ_ВЫБОРА!F18:K18,ПАРАМЕТРЫ!$B$17:$G$17)</f>
        <v>0.40755</v>
      </c>
      <c r="J669" s="12" t="n">
        <f aca="false">I669*G669/1000</f>
        <v>0.03464175</v>
      </c>
      <c r="K669" s="11" t="s">
        <v>217</v>
      </c>
      <c r="L669" s="11" t="s">
        <v>19</v>
      </c>
      <c r="M669" s="11" t="s">
        <v>147</v>
      </c>
    </row>
    <row r="670" customFormat="false" ht="15" hidden="false" customHeight="false" outlineLevel="0" collapsed="false">
      <c r="A670" s="11" t="s">
        <v>108</v>
      </c>
      <c r="B670" s="11" t="s">
        <v>130</v>
      </c>
      <c r="C670" s="11" t="n">
        <v>9</v>
      </c>
      <c r="D670" s="11" t="s">
        <v>161</v>
      </c>
      <c r="E670" s="11" t="s">
        <v>162</v>
      </c>
      <c r="F670" s="11" t="s">
        <v>80</v>
      </c>
      <c r="G670" s="12" t="n">
        <v>300</v>
      </c>
      <c r="H670" s="12" t="n">
        <f aca="false">SUMPRODUCT(ПОТОКИ!B12:G12,ЧАСОВЫЕ_ПРОФИЛИ!B17:G17,КОЭФФИЦИЕНТЫ_ВЫБОРА!F19:K19)</f>
        <v>0.635</v>
      </c>
      <c r="I670" s="12" t="n">
        <f aca="false">SUMPRODUCT(ПОТОКИ!B12:G12,ЧАСОВЫЕ_ПРОФИЛИ!B17:G17,КОЭФФИЦИЕНТЫ_ВЫБОРА!F19:K19,ПАРАМЕТРЫ!$B$17:$G$17)</f>
        <v>0.6985</v>
      </c>
      <c r="J670" s="12" t="n">
        <f aca="false">I670*G670/1000</f>
        <v>0.20955</v>
      </c>
      <c r="K670" s="11" t="s">
        <v>217</v>
      </c>
      <c r="L670" s="11" t="s">
        <v>19</v>
      </c>
      <c r="M670" s="11" t="s">
        <v>145</v>
      </c>
    </row>
    <row r="671" customFormat="false" ht="15" hidden="false" customHeight="false" outlineLevel="0" collapsed="false">
      <c r="A671" s="11" t="s">
        <v>108</v>
      </c>
      <c r="B671" s="11" t="s">
        <v>130</v>
      </c>
      <c r="C671" s="11" t="n">
        <v>10</v>
      </c>
      <c r="D671" s="11" t="s">
        <v>161</v>
      </c>
      <c r="E671" s="11" t="s">
        <v>163</v>
      </c>
      <c r="F671" s="11" t="s">
        <v>80</v>
      </c>
      <c r="G671" s="12" t="n">
        <v>280</v>
      </c>
      <c r="H671" s="12" t="n">
        <f aca="false">SUMPRODUCT(ПОТОКИ!B12:G12,ЧАСОВЫЕ_ПРОФИЛИ!B17:G17,КОЭФФИЦИЕНТЫ_ВЫБОРА!F20:K20)</f>
        <v>1.03</v>
      </c>
      <c r="I671" s="12" t="n">
        <f aca="false">SUMPRODUCT(ПОТОКИ!B12:G12,ЧАСОВЫЕ_ПРОФИЛИ!B17:G17,КОЭФФИЦИЕНТЫ_ВЫБОРА!F20:K20,ПАРАМЕТРЫ!$B$17:$G$17)</f>
        <v>1.133</v>
      </c>
      <c r="J671" s="12" t="n">
        <f aca="false">I671*G671/1000</f>
        <v>0.31724</v>
      </c>
      <c r="K671" s="11" t="s">
        <v>217</v>
      </c>
      <c r="L671" s="11" t="s">
        <v>19</v>
      </c>
      <c r="M671" s="11" t="s">
        <v>145</v>
      </c>
    </row>
    <row r="672" customFormat="false" ht="15" hidden="false" customHeight="false" outlineLevel="0" collapsed="false">
      <c r="A672" s="11" t="s">
        <v>108</v>
      </c>
      <c r="B672" s="11" t="s">
        <v>130</v>
      </c>
      <c r="C672" s="11" t="n">
        <v>11</v>
      </c>
      <c r="D672" s="11" t="s">
        <v>161</v>
      </c>
      <c r="E672" s="11" t="s">
        <v>164</v>
      </c>
      <c r="F672" s="11" t="s">
        <v>80</v>
      </c>
      <c r="G672" s="12" t="n">
        <v>270</v>
      </c>
      <c r="H672" s="12" t="n">
        <f aca="false">SUMPRODUCT(ПОТОКИ!B12:G12,ЧАСОВЫЕ_ПРОФИЛИ!B17:G17,КОЭФФИЦИЕНТЫ_ВЫБОРА!F21:K21)</f>
        <v>1.9385</v>
      </c>
      <c r="I672" s="12" t="n">
        <f aca="false">SUMPRODUCT(ПОТОКИ!B12:G12,ЧАСОВЫЕ_ПРОФИЛИ!B17:G17,КОЭФФИЦИЕНТЫ_ВЫБОРА!F21:K21,ПАРАМЕТРЫ!$B$17:$G$17)</f>
        <v>2.13235</v>
      </c>
      <c r="J672" s="12" t="n">
        <f aca="false">I672*G672/1000</f>
        <v>0.5757345</v>
      </c>
      <c r="K672" s="11" t="s">
        <v>217</v>
      </c>
      <c r="L672" s="11" t="s">
        <v>19</v>
      </c>
      <c r="M672" s="11" t="s">
        <v>145</v>
      </c>
    </row>
    <row r="673" customFormat="false" ht="15" hidden="false" customHeight="false" outlineLevel="0" collapsed="false">
      <c r="A673" s="11" t="s">
        <v>108</v>
      </c>
      <c r="B673" s="11" t="s">
        <v>130</v>
      </c>
      <c r="C673" s="11" t="n">
        <v>12</v>
      </c>
      <c r="D673" s="11" t="s">
        <v>161</v>
      </c>
      <c r="E673" s="11" t="s">
        <v>165</v>
      </c>
      <c r="F673" s="11" t="s">
        <v>80</v>
      </c>
      <c r="G673" s="12" t="n">
        <v>240</v>
      </c>
      <c r="H673" s="12" t="n">
        <f aca="false">SUMPRODUCT(ПОТОКИ!B12:G12,ЧАСОВЫЕ_ПРОФИЛИ!B17:G17,КОЭФФИЦИЕНТЫ_ВЫБОРА!F22:K22)</f>
        <v>1.3065</v>
      </c>
      <c r="I673" s="12" t="n">
        <f aca="false">SUMPRODUCT(ПОТОКИ!B12:G12,ЧАСОВЫЕ_ПРОФИЛИ!B17:G17,КОЭФФИЦИЕНТЫ_ВЫБОРА!F22:K22,ПАРАМЕТРЫ!$B$17:$G$17)</f>
        <v>1.43715</v>
      </c>
      <c r="J673" s="12" t="n">
        <f aca="false">I673*G673/1000</f>
        <v>0.344916</v>
      </c>
      <c r="K673" s="11" t="s">
        <v>217</v>
      </c>
      <c r="L673" s="11" t="s">
        <v>19</v>
      </c>
      <c r="M673" s="11" t="s">
        <v>145</v>
      </c>
    </row>
    <row r="674" customFormat="false" ht="15" hidden="false" customHeight="false" outlineLevel="0" collapsed="false">
      <c r="A674" s="11" t="s">
        <v>108</v>
      </c>
      <c r="B674" s="11" t="s">
        <v>130</v>
      </c>
      <c r="C674" s="11" t="n">
        <v>13</v>
      </c>
      <c r="D674" s="11" t="s">
        <v>166</v>
      </c>
      <c r="E674" s="11" t="s">
        <v>167</v>
      </c>
      <c r="F674" s="11" t="s">
        <v>80</v>
      </c>
      <c r="G674" s="12" t="n">
        <v>130</v>
      </c>
      <c r="H674" s="12" t="n">
        <f aca="false">SUMPRODUCT(ПОТОКИ!B12:G12,ЧАСОВЫЕ_ПРОФИЛИ!B17:G17,КОЭФФИЦИЕНТЫ_ВЫБОРА!F23:K23)</f>
        <v>0.3</v>
      </c>
      <c r="I674" s="12" t="n">
        <f aca="false">SUMPRODUCT(ПОТОКИ!B12:G12,ЧАСОВЫЕ_ПРОФИЛИ!B17:G17,КОЭФФИЦИЕНТЫ_ВЫБОРА!F23:K23,ПАРАМЕТРЫ!$B$17:$G$17)</f>
        <v>0.33</v>
      </c>
      <c r="J674" s="12" t="n">
        <f aca="false">I674*G674/1000</f>
        <v>0.0429</v>
      </c>
      <c r="K674" s="11" t="s">
        <v>217</v>
      </c>
      <c r="L674" s="11" t="s">
        <v>19</v>
      </c>
      <c r="M674" s="11" t="s">
        <v>145</v>
      </c>
    </row>
    <row r="675" customFormat="false" ht="15" hidden="false" customHeight="false" outlineLevel="0" collapsed="false">
      <c r="A675" s="11" t="s">
        <v>108</v>
      </c>
      <c r="B675" s="11" t="s">
        <v>130</v>
      </c>
      <c r="C675" s="11" t="n">
        <v>14</v>
      </c>
      <c r="D675" s="11" t="s">
        <v>166</v>
      </c>
      <c r="E675" s="11" t="s">
        <v>168</v>
      </c>
      <c r="F675" s="11" t="s">
        <v>80</v>
      </c>
      <c r="G675" s="12" t="n">
        <v>250</v>
      </c>
      <c r="H675" s="12" t="n">
        <f aca="false">SUMPRODUCT(ПОТОКИ!B12:G12,ЧАСОВЫЕ_ПРОФИЛИ!B17:G17,КОЭФФИЦИЕНТЫ_ВЫБОРА!F24:K24)</f>
        <v>0.446</v>
      </c>
      <c r="I675" s="12" t="n">
        <f aca="false">SUMPRODUCT(ПОТОКИ!B12:G12,ЧАСОВЫЕ_ПРОФИЛИ!B17:G17,КОЭФФИЦИЕНТЫ_ВЫБОРА!F24:K24,ПАРАМЕТРЫ!$B$17:$G$17)</f>
        <v>0.4906</v>
      </c>
      <c r="J675" s="12" t="n">
        <f aca="false">I675*G675/1000</f>
        <v>0.12265</v>
      </c>
      <c r="K675" s="11" t="s">
        <v>217</v>
      </c>
      <c r="L675" s="11" t="s">
        <v>19</v>
      </c>
      <c r="M675" s="11" t="s">
        <v>145</v>
      </c>
    </row>
    <row r="676" customFormat="false" ht="15" hidden="false" customHeight="false" outlineLevel="0" collapsed="false">
      <c r="A676" s="11" t="s">
        <v>108</v>
      </c>
      <c r="B676" s="11" t="s">
        <v>130</v>
      </c>
      <c r="C676" s="11" t="n">
        <v>15</v>
      </c>
      <c r="D676" s="11" t="s">
        <v>166</v>
      </c>
      <c r="E676" s="11" t="s">
        <v>169</v>
      </c>
      <c r="F676" s="11" t="s">
        <v>80</v>
      </c>
      <c r="G676" s="12" t="n">
        <v>120</v>
      </c>
      <c r="H676" s="12" t="n">
        <f aca="false">SUMPRODUCT(ПОТОКИ!B12:G12,ЧАСОВЫЕ_ПРОФИЛИ!B17:G17,КОЭФФИЦИЕНТЫ_ВЫБОРА!F25:K25)</f>
        <v>0.236</v>
      </c>
      <c r="I676" s="12" t="n">
        <f aca="false">SUMPRODUCT(ПОТОКИ!B12:G12,ЧАСОВЫЕ_ПРОФИЛИ!B17:G17,КОЭФФИЦИЕНТЫ_ВЫБОРА!F25:K25,ПАРАМЕТРЫ!$B$17:$G$17)</f>
        <v>0.2596</v>
      </c>
      <c r="J676" s="12" t="n">
        <f aca="false">I676*G676/1000</f>
        <v>0.031152</v>
      </c>
      <c r="K676" s="11" t="s">
        <v>217</v>
      </c>
      <c r="L676" s="11" t="s">
        <v>19</v>
      </c>
      <c r="M676" s="11" t="s">
        <v>145</v>
      </c>
    </row>
    <row r="677" customFormat="false" ht="15" hidden="false" customHeight="false" outlineLevel="0" collapsed="false">
      <c r="A677" s="11" t="s">
        <v>108</v>
      </c>
      <c r="B677" s="11" t="s">
        <v>130</v>
      </c>
      <c r="C677" s="11" t="n">
        <v>16</v>
      </c>
      <c r="D677" s="11" t="s">
        <v>166</v>
      </c>
      <c r="E677" s="11" t="s">
        <v>170</v>
      </c>
      <c r="F677" s="11" t="s">
        <v>80</v>
      </c>
      <c r="G677" s="12" t="n">
        <v>180</v>
      </c>
      <c r="H677" s="12" t="n">
        <f aca="false">SUMPRODUCT(ПОТОКИ!B12:G12,ЧАСОВЫЕ_ПРОФИЛИ!B17:G17,КОЭФФИЦИЕНТЫ_ВЫБОРА!F26:K26)</f>
        <v>0.618</v>
      </c>
      <c r="I677" s="12" t="n">
        <f aca="false">SUMPRODUCT(ПОТОКИ!B12:G12,ЧАСОВЫЕ_ПРОФИЛИ!B17:G17,КОЭФФИЦИЕНТЫ_ВЫБОРА!F26:K26,ПАРАМЕТРЫ!$B$17:$G$17)</f>
        <v>0.6798</v>
      </c>
      <c r="J677" s="12" t="n">
        <f aca="false">I677*G677/1000</f>
        <v>0.122364</v>
      </c>
      <c r="K677" s="11" t="s">
        <v>217</v>
      </c>
      <c r="L677" s="11" t="s">
        <v>19</v>
      </c>
      <c r="M677" s="11" t="s">
        <v>145</v>
      </c>
    </row>
    <row r="678" customFormat="false" ht="15" hidden="false" customHeight="false" outlineLevel="0" collapsed="false">
      <c r="A678" s="11" t="s">
        <v>108</v>
      </c>
      <c r="B678" s="11" t="s">
        <v>130</v>
      </c>
      <c r="C678" s="11" t="n">
        <v>17</v>
      </c>
      <c r="D678" s="11" t="s">
        <v>166</v>
      </c>
      <c r="E678" s="11" t="s">
        <v>171</v>
      </c>
      <c r="F678" s="11" t="s">
        <v>80</v>
      </c>
      <c r="G678" s="12" t="n">
        <v>180</v>
      </c>
      <c r="H678" s="12" t="n">
        <f aca="false">SUMPRODUCT(ПОТОКИ!B12:G12,ЧАСОВЫЕ_ПРОФИЛИ!B17:G17,КОЭФФИЦИЕНТЫ_ВЫБОРА!F27:K27)</f>
        <v>0.44</v>
      </c>
      <c r="I678" s="12" t="n">
        <f aca="false">SUMPRODUCT(ПОТОКИ!B12:G12,ЧАСОВЫЕ_ПРОФИЛИ!B17:G17,КОЭФФИЦИЕНТЫ_ВЫБОРА!F27:K27,ПАРАМЕТРЫ!$B$17:$G$17)</f>
        <v>0.484</v>
      </c>
      <c r="J678" s="12" t="n">
        <f aca="false">I678*G678/1000</f>
        <v>0.08712</v>
      </c>
      <c r="K678" s="11" t="s">
        <v>217</v>
      </c>
      <c r="L678" s="11" t="s">
        <v>19</v>
      </c>
      <c r="M678" s="11" t="s">
        <v>145</v>
      </c>
    </row>
    <row r="679" customFormat="false" ht="15" hidden="false" customHeight="false" outlineLevel="0" collapsed="false">
      <c r="A679" s="11" t="s">
        <v>108</v>
      </c>
      <c r="B679" s="11" t="s">
        <v>130</v>
      </c>
      <c r="C679" s="11" t="n">
        <v>18</v>
      </c>
      <c r="D679" s="11" t="s">
        <v>172</v>
      </c>
      <c r="E679" s="11" t="s">
        <v>173</v>
      </c>
      <c r="F679" s="11" t="s">
        <v>83</v>
      </c>
      <c r="G679" s="12" t="n">
        <v>400</v>
      </c>
      <c r="H679" s="12" t="n">
        <f aca="false">SUMPRODUCT(ПОТОКИ!B12:G12,ЧАСОВЫЕ_ПРОФИЛИ!B17:G17,КОЭФФИЦИЕНТЫ_ВЫБОРА!F28:K28)</f>
        <v>5.22</v>
      </c>
      <c r="I679" s="12" t="n">
        <f aca="false">SUMPRODUCT(ПОТОКИ!B12:G12,ЧАСОВЫЕ_ПРОФИЛИ!B17:G17,КОЭФФИЦИЕНТЫ_ВЫБОРА!F28:K28,ПАРАМЕТРЫ!$B$17:$G$17)</f>
        <v>5.742</v>
      </c>
      <c r="J679" s="12" t="n">
        <f aca="false">I679*G679/1000</f>
        <v>2.2968</v>
      </c>
      <c r="K679" s="11" t="s">
        <v>217</v>
      </c>
      <c r="L679" s="11" t="s">
        <v>19</v>
      </c>
      <c r="M679" s="11" t="s">
        <v>145</v>
      </c>
    </row>
    <row r="680" customFormat="false" ht="23.85" hidden="false" customHeight="false" outlineLevel="0" collapsed="false">
      <c r="A680" s="11" t="s">
        <v>108</v>
      </c>
      <c r="B680" s="11" t="s">
        <v>130</v>
      </c>
      <c r="C680" s="11" t="n">
        <v>19</v>
      </c>
      <c r="D680" s="11" t="s">
        <v>174</v>
      </c>
      <c r="E680" s="11" t="s">
        <v>175</v>
      </c>
      <c r="F680" s="11" t="s">
        <v>83</v>
      </c>
      <c r="G680" s="12" t="n">
        <v>300</v>
      </c>
      <c r="H680" s="12" t="n">
        <f aca="false">SUMPRODUCT(ПОТОКИ!B12:G12,ЧАСОВЫЕ_ПРОФИЛИ!B17:G17,КОЭФФИЦИЕНТЫ_ВЫБОРА!F29:K29)</f>
        <v>3.91</v>
      </c>
      <c r="I680" s="12" t="n">
        <f aca="false">SUMPRODUCT(ПОТОКИ!B12:G12,ЧАСОВЫЕ_ПРОФИЛИ!B17:G17,КОЭФФИЦИЕНТЫ_ВЫБОРА!F29:K29,ПАРАМЕТРЫ!$B$17:$G$17)</f>
        <v>4.301</v>
      </c>
      <c r="J680" s="12" t="n">
        <f aca="false">I680*G680/1000</f>
        <v>1.2903</v>
      </c>
      <c r="K680" s="11" t="s">
        <v>217</v>
      </c>
      <c r="L680" s="11" t="s">
        <v>19</v>
      </c>
      <c r="M680" s="11" t="s">
        <v>145</v>
      </c>
    </row>
    <row r="681" customFormat="false" ht="15" hidden="false" customHeight="false" outlineLevel="0" collapsed="false">
      <c r="A681" s="11" t="s">
        <v>108</v>
      </c>
      <c r="B681" s="11" t="s">
        <v>130</v>
      </c>
      <c r="C681" s="11" t="n">
        <v>20</v>
      </c>
      <c r="D681" s="11" t="s">
        <v>174</v>
      </c>
      <c r="E681" s="11" t="s">
        <v>176</v>
      </c>
      <c r="F681" s="11" t="s">
        <v>83</v>
      </c>
      <c r="G681" s="12" t="n">
        <v>360</v>
      </c>
      <c r="H681" s="12" t="n">
        <f aca="false">SUMPRODUCT(ПОТОКИ!B12:G12,ЧАСОВЫЕ_ПРОФИЛИ!B17:G17,КОЭФФИЦИЕНТЫ_ВЫБОРА!F30:K30)</f>
        <v>2.816</v>
      </c>
      <c r="I681" s="12" t="n">
        <f aca="false">SUMPRODUCT(ПОТОКИ!B12:G12,ЧАСОВЫЕ_ПРОФИЛИ!B17:G17,КОЭФФИЦИЕНТЫ_ВЫБОРА!F30:K30,ПАРАМЕТРЫ!$B$17:$G$17)</f>
        <v>3.0976</v>
      </c>
      <c r="J681" s="12" t="n">
        <f aca="false">I681*G681/1000</f>
        <v>1.115136</v>
      </c>
      <c r="K681" s="11" t="s">
        <v>217</v>
      </c>
      <c r="L681" s="11" t="s">
        <v>19</v>
      </c>
      <c r="M681" s="11" t="s">
        <v>145</v>
      </c>
    </row>
    <row r="682" customFormat="false" ht="15" hidden="false" customHeight="false" outlineLevel="0" collapsed="false">
      <c r="A682" s="11" t="s">
        <v>108</v>
      </c>
      <c r="B682" s="11" t="s">
        <v>130</v>
      </c>
      <c r="C682" s="11" t="n">
        <v>21</v>
      </c>
      <c r="D682" s="11" t="s">
        <v>174</v>
      </c>
      <c r="E682" s="11" t="s">
        <v>177</v>
      </c>
      <c r="F682" s="11" t="s">
        <v>83</v>
      </c>
      <c r="G682" s="12" t="n">
        <v>350</v>
      </c>
      <c r="H682" s="12" t="n">
        <f aca="false">SUMPRODUCT(ПОТОКИ!B12:G12,ЧАСОВЫЕ_ПРОФИЛИ!B17:G17,КОЭФФИЦИЕНТЫ_ВЫБОРА!F31:K31)</f>
        <v>4.779</v>
      </c>
      <c r="I682" s="12" t="n">
        <f aca="false">SUMPRODUCT(ПОТОКИ!B12:G12,ЧАСОВЫЕ_ПРОФИЛИ!B17:G17,КОЭФФИЦИЕНТЫ_ВЫБОРА!F31:K31,ПАРАМЕТРЫ!$B$17:$G$17)</f>
        <v>5.2569</v>
      </c>
      <c r="J682" s="12" t="n">
        <f aca="false">I682*G682/1000</f>
        <v>1.839915</v>
      </c>
      <c r="K682" s="11" t="s">
        <v>217</v>
      </c>
      <c r="L682" s="11" t="s">
        <v>19</v>
      </c>
      <c r="M682" s="11" t="s">
        <v>145</v>
      </c>
    </row>
    <row r="683" customFormat="false" ht="15" hidden="false" customHeight="false" outlineLevel="0" collapsed="false">
      <c r="A683" s="11" t="s">
        <v>108</v>
      </c>
      <c r="B683" s="11" t="s">
        <v>130</v>
      </c>
      <c r="C683" s="11" t="n">
        <v>22</v>
      </c>
      <c r="D683" s="11" t="s">
        <v>174</v>
      </c>
      <c r="E683" s="11" t="s">
        <v>178</v>
      </c>
      <c r="F683" s="11" t="s">
        <v>83</v>
      </c>
      <c r="G683" s="12" t="n">
        <v>300</v>
      </c>
      <c r="H683" s="12" t="n">
        <f aca="false">SUMPRODUCT(ПОТОКИ!B12:G12,ЧАСОВЫЕ_ПРОФИЛИ!B17:G17,КОЭФФИЦИЕНТЫ_ВЫБОРА!F32:K32)</f>
        <v>2.275</v>
      </c>
      <c r="I683" s="12" t="n">
        <f aca="false">SUMPRODUCT(ПОТОКИ!B12:G12,ЧАСОВЫЕ_ПРОФИЛИ!B17:G17,КОЭФФИЦИЕНТЫ_ВЫБОРА!F32:K32,ПАРАМЕТРЫ!$B$17:$G$17)</f>
        <v>2.5025</v>
      </c>
      <c r="J683" s="12" t="n">
        <f aca="false">I683*G683/1000</f>
        <v>0.75075</v>
      </c>
      <c r="K683" s="11" t="s">
        <v>217</v>
      </c>
      <c r="L683" s="11" t="s">
        <v>19</v>
      </c>
      <c r="M683" s="11" t="s">
        <v>145</v>
      </c>
    </row>
    <row r="684" customFormat="false" ht="15" hidden="false" customHeight="false" outlineLevel="0" collapsed="false">
      <c r="A684" s="11" t="s">
        <v>108</v>
      </c>
      <c r="B684" s="11" t="s">
        <v>130</v>
      </c>
      <c r="C684" s="11" t="n">
        <v>23</v>
      </c>
      <c r="D684" s="11" t="s">
        <v>86</v>
      </c>
      <c r="E684" s="11" t="s">
        <v>179</v>
      </c>
      <c r="F684" s="11" t="s">
        <v>85</v>
      </c>
      <c r="G684" s="12" t="n">
        <v>150</v>
      </c>
      <c r="H684" s="12" t="n">
        <f aca="false">SUMPRODUCT(ПОТОКИ!B12:G12,ЧАСОВЫЕ_ПРОФИЛИ!B17:G17,КОЭФФИЦИЕНТЫ_ВЫБОРА!F33:K33)</f>
        <v>3.78269</v>
      </c>
      <c r="I684" s="12" t="n">
        <f aca="false">SUMPRODUCT(ПОТОКИ!B12:G12,ЧАСОВЫЕ_ПРОФИЛИ!B17:G17,КОЭФФИЦИЕНТЫ_ВЫБОРА!F33:K33,ПАРАМЕТРЫ!$B$17:$G$17)</f>
        <v>4.160959</v>
      </c>
      <c r="J684" s="12" t="n">
        <f aca="false">I684*G684/1000</f>
        <v>0.62414385</v>
      </c>
      <c r="K684" s="11" t="s">
        <v>217</v>
      </c>
      <c r="L684" s="11" t="s">
        <v>19</v>
      </c>
      <c r="M684" s="11" t="s">
        <v>147</v>
      </c>
    </row>
    <row r="685" customFormat="false" ht="15" hidden="false" customHeight="false" outlineLevel="0" collapsed="false">
      <c r="A685" s="11" t="s">
        <v>108</v>
      </c>
      <c r="B685" s="11" t="s">
        <v>130</v>
      </c>
      <c r="C685" s="11" t="n">
        <v>24</v>
      </c>
      <c r="D685" s="11" t="s">
        <v>86</v>
      </c>
      <c r="E685" s="11" t="s">
        <v>180</v>
      </c>
      <c r="F685" s="11" t="s">
        <v>85</v>
      </c>
      <c r="G685" s="12" t="n">
        <v>150</v>
      </c>
      <c r="H685" s="12" t="n">
        <f aca="false">SUMPRODUCT(ПОТОКИ!B12:G12,ЧАСОВЫЕ_ПРОФИЛИ!B17:G17,КОЭФФИЦИЕНТЫ_ВЫБОРА!F34:K34)</f>
        <v>1.56322</v>
      </c>
      <c r="I685" s="12" t="n">
        <f aca="false">SUMPRODUCT(ПОТОКИ!B12:G12,ЧАСОВЫЕ_ПРОФИЛИ!B17:G17,КОЭФФИЦИЕНТЫ_ВЫБОРА!F34:K34,ПАРАМЕТРЫ!$B$17:$G$17)</f>
        <v>1.719542</v>
      </c>
      <c r="J685" s="12" t="n">
        <f aca="false">I685*G685/1000</f>
        <v>0.2579313</v>
      </c>
      <c r="K685" s="11" t="s">
        <v>217</v>
      </c>
      <c r="L685" s="11" t="s">
        <v>19</v>
      </c>
      <c r="M685" s="11" t="s">
        <v>147</v>
      </c>
    </row>
    <row r="686" customFormat="false" ht="15" hidden="false" customHeight="false" outlineLevel="0" collapsed="false">
      <c r="A686" s="11" t="s">
        <v>108</v>
      </c>
      <c r="B686" s="11" t="s">
        <v>130</v>
      </c>
      <c r="C686" s="11" t="n">
        <v>25</v>
      </c>
      <c r="D686" s="11" t="s">
        <v>86</v>
      </c>
      <c r="E686" s="11" t="s">
        <v>181</v>
      </c>
      <c r="F686" s="11" t="s">
        <v>85</v>
      </c>
      <c r="G686" s="12" t="n">
        <v>150</v>
      </c>
      <c r="H686" s="12" t="n">
        <f aca="false">SUMPRODUCT(ПОТОКИ!B12:G12,ЧАСОВЫЕ_ПРОФИЛИ!B17:G17,КОЭФФИЦИЕНТЫ_ВЫБОРА!F35:K35)</f>
        <v>2.47019</v>
      </c>
      <c r="I686" s="12" t="n">
        <f aca="false">SUMPRODUCT(ПОТОКИ!B12:G12,ЧАСОВЫЕ_ПРОФИЛИ!B17:G17,КОЭФФИЦИЕНТЫ_ВЫБОРА!F35:K35,ПАРАМЕТРЫ!$B$17:$G$17)</f>
        <v>2.717209</v>
      </c>
      <c r="J686" s="12" t="n">
        <f aca="false">I686*G686/1000</f>
        <v>0.40758135</v>
      </c>
      <c r="K686" s="11" t="s">
        <v>217</v>
      </c>
      <c r="L686" s="11" t="s">
        <v>19</v>
      </c>
      <c r="M686" s="11" t="s">
        <v>147</v>
      </c>
    </row>
    <row r="687" customFormat="false" ht="23.85" hidden="false" customHeight="false" outlineLevel="0" collapsed="false">
      <c r="A687" s="11" t="s">
        <v>108</v>
      </c>
      <c r="B687" s="11" t="s">
        <v>130</v>
      </c>
      <c r="C687" s="11" t="n">
        <v>26</v>
      </c>
      <c r="D687" s="11" t="s">
        <v>89</v>
      </c>
      <c r="E687" s="11" t="s">
        <v>182</v>
      </c>
      <c r="F687" s="11" t="s">
        <v>88</v>
      </c>
      <c r="G687" s="12" t="n">
        <v>225</v>
      </c>
      <c r="H687" s="12" t="n">
        <f aca="false">SUMPRODUCT(ПОТОКИ!B12:G12,ЧАСОВЫЕ_ПРОФИЛИ!B17:G17,КОЭФФИЦИЕНТЫ_ВЫБОРА!F36:K36)</f>
        <v>0</v>
      </c>
      <c r="I687" s="12" t="n">
        <f aca="false">SUMPRODUCT(ПОТОКИ!B12:G12,ЧАСОВЫЕ_ПРОФИЛИ!B17:G17,КОЭФФИЦИЕНТЫ_ВЫБОРА!F36:K36,ПАРАМЕТРЫ!$B$17:$G$17)</f>
        <v>0</v>
      </c>
      <c r="J687" s="12" t="n">
        <f aca="false">I687*G687/1000</f>
        <v>0</v>
      </c>
      <c r="K687" s="11" t="s">
        <v>217</v>
      </c>
      <c r="L687" s="11" t="s">
        <v>19</v>
      </c>
      <c r="M687" s="11" t="s">
        <v>145</v>
      </c>
    </row>
    <row r="688" customFormat="false" ht="23.85" hidden="false" customHeight="false" outlineLevel="0" collapsed="false">
      <c r="A688" s="11" t="s">
        <v>108</v>
      </c>
      <c r="B688" s="11" t="s">
        <v>130</v>
      </c>
      <c r="C688" s="11" t="n">
        <v>27</v>
      </c>
      <c r="D688" s="11" t="s">
        <v>89</v>
      </c>
      <c r="E688" s="11" t="s">
        <v>183</v>
      </c>
      <c r="F688" s="11" t="s">
        <v>88</v>
      </c>
      <c r="G688" s="12" t="n">
        <v>265</v>
      </c>
      <c r="H688" s="12" t="n">
        <f aca="false">SUMPRODUCT(ПОТОКИ!B12:G12,ЧАСОВЫЕ_ПРОФИЛИ!B17:G17,КОЭФФИЦИЕНТЫ_ВЫБОРА!F37:K37)</f>
        <v>0</v>
      </c>
      <c r="I688" s="12" t="n">
        <f aca="false">SUMPRODUCT(ПОТОКИ!B12:G12,ЧАСОВЫЕ_ПРОФИЛИ!B17:G17,КОЭФФИЦИЕНТЫ_ВЫБОРА!F37:K37,ПАРАМЕТРЫ!$B$17:$G$17)</f>
        <v>0</v>
      </c>
      <c r="J688" s="12" t="n">
        <f aca="false">I688*G688/1000</f>
        <v>0</v>
      </c>
      <c r="K688" s="11" t="s">
        <v>217</v>
      </c>
      <c r="L688" s="11" t="s">
        <v>19</v>
      </c>
      <c r="M688" s="11" t="s">
        <v>145</v>
      </c>
    </row>
    <row r="689" customFormat="false" ht="23.85" hidden="false" customHeight="false" outlineLevel="0" collapsed="false">
      <c r="A689" s="11" t="s">
        <v>108</v>
      </c>
      <c r="B689" s="11" t="s">
        <v>130</v>
      </c>
      <c r="C689" s="11" t="n">
        <v>28</v>
      </c>
      <c r="D689" s="11" t="s">
        <v>89</v>
      </c>
      <c r="E689" s="11" t="s">
        <v>184</v>
      </c>
      <c r="F689" s="11" t="s">
        <v>88</v>
      </c>
      <c r="G689" s="12" t="n">
        <v>355</v>
      </c>
      <c r="H689" s="12" t="n">
        <f aca="false">SUMPRODUCT(ПОТОКИ!B12:G12,ЧАСОВЫЕ_ПРОФИЛИ!B17:G17,КОЭФФИЦИЕНТЫ_ВЫБОРА!F38:K38)</f>
        <v>0</v>
      </c>
      <c r="I689" s="12" t="n">
        <f aca="false">SUMPRODUCT(ПОТОКИ!B12:G12,ЧАСОВЫЕ_ПРОФИЛИ!B17:G17,КОЭФФИЦИЕНТЫ_ВЫБОРА!F38:K38,ПАРАМЕТРЫ!$B$17:$G$17)</f>
        <v>0</v>
      </c>
      <c r="J689" s="12" t="n">
        <f aca="false">I689*G689/1000</f>
        <v>0</v>
      </c>
      <c r="K689" s="11" t="s">
        <v>217</v>
      </c>
      <c r="L689" s="11" t="s">
        <v>19</v>
      </c>
      <c r="M689" s="11" t="s">
        <v>145</v>
      </c>
    </row>
    <row r="690" customFormat="false" ht="15" hidden="false" customHeight="false" outlineLevel="0" collapsed="false">
      <c r="A690" s="11" t="s">
        <v>108</v>
      </c>
      <c r="B690" s="11" t="s">
        <v>130</v>
      </c>
      <c r="C690" s="11" t="n">
        <v>29</v>
      </c>
      <c r="D690" s="11" t="s">
        <v>92</v>
      </c>
      <c r="E690" s="11" t="s">
        <v>185</v>
      </c>
      <c r="F690" s="11" t="s">
        <v>91</v>
      </c>
      <c r="G690" s="12" t="n">
        <v>150</v>
      </c>
      <c r="H690" s="12" t="n">
        <f aca="false">SUMPRODUCT(ПОТОКИ!B12:G12,ЧАСОВЫЕ_ПРОФИЛИ!B17:G17,КОЭФФИЦИЕНТЫ_ВЫБОРА!F39:K39)</f>
        <v>0.336</v>
      </c>
      <c r="I690" s="12" t="n">
        <f aca="false">SUMPRODUCT(ПОТОКИ!B12:G12,ЧАСОВЫЕ_ПРОФИЛИ!B17:G17,КОЭФФИЦИЕНТЫ_ВЫБОРА!F39:K39,ПАРАМЕТРЫ!$B$17:$G$17)</f>
        <v>0.3696</v>
      </c>
      <c r="J690" s="12" t="n">
        <f aca="false">I690*G690/1000</f>
        <v>0.05544</v>
      </c>
      <c r="K690" s="11" t="s">
        <v>217</v>
      </c>
      <c r="L690" s="11" t="s">
        <v>19</v>
      </c>
      <c r="M690" s="11" t="s">
        <v>145</v>
      </c>
    </row>
    <row r="691" customFormat="false" ht="15" hidden="false" customHeight="false" outlineLevel="0" collapsed="false">
      <c r="A691" s="11" t="s">
        <v>108</v>
      </c>
      <c r="B691" s="11" t="s">
        <v>130</v>
      </c>
      <c r="C691" s="11" t="n">
        <v>30</v>
      </c>
      <c r="D691" s="11" t="s">
        <v>92</v>
      </c>
      <c r="E691" s="11" t="s">
        <v>186</v>
      </c>
      <c r="F691" s="11" t="s">
        <v>91</v>
      </c>
      <c r="G691" s="12" t="n">
        <v>120</v>
      </c>
      <c r="H691" s="12" t="n">
        <f aca="false">SUMPRODUCT(ПОТОКИ!B12:G12,ЧАСОВЫЕ_ПРОФИЛИ!B17:G17,КОЭФФИЦИЕНТЫ_ВЫБОРА!F40:K40)</f>
        <v>0.336</v>
      </c>
      <c r="I691" s="12" t="n">
        <f aca="false">SUMPRODUCT(ПОТОКИ!B12:G12,ЧАСОВЫЕ_ПРОФИЛИ!B17:G17,КОЭФФИЦИЕНТЫ_ВЫБОРА!F40:K40,ПАРАМЕТРЫ!$B$17:$G$17)</f>
        <v>0.3696</v>
      </c>
      <c r="J691" s="12" t="n">
        <f aca="false">I691*G691/1000</f>
        <v>0.044352</v>
      </c>
      <c r="K691" s="11" t="s">
        <v>217</v>
      </c>
      <c r="L691" s="11" t="s">
        <v>19</v>
      </c>
      <c r="M691" s="11" t="s">
        <v>145</v>
      </c>
    </row>
    <row r="692" customFormat="false" ht="15" hidden="false" customHeight="false" outlineLevel="0" collapsed="false">
      <c r="A692" s="11" t="s">
        <v>108</v>
      </c>
      <c r="B692" s="11" t="s">
        <v>130</v>
      </c>
      <c r="C692" s="11" t="n">
        <v>31</v>
      </c>
      <c r="D692" s="11" t="s">
        <v>92</v>
      </c>
      <c r="E692" s="11" t="s">
        <v>187</v>
      </c>
      <c r="F692" s="11" t="s">
        <v>91</v>
      </c>
      <c r="G692" s="12" t="n">
        <v>60</v>
      </c>
      <c r="H692" s="12" t="n">
        <f aca="false">SUMPRODUCT(ПОТОКИ!B12:G12,ЧАСОВЫЕ_ПРОФИЛИ!B17:G17,КОЭФФИЦИЕНТЫ_ВЫБОРА!F41:K41)</f>
        <v>0.288</v>
      </c>
      <c r="I692" s="12" t="n">
        <f aca="false">SUMPRODUCT(ПОТОКИ!B12:G12,ЧАСОВЫЕ_ПРОФИЛИ!B17:G17,КОЭФФИЦИЕНТЫ_ВЫБОРА!F41:K41,ПАРАМЕТРЫ!$B$17:$G$17)</f>
        <v>0.3168</v>
      </c>
      <c r="J692" s="12" t="n">
        <f aca="false">I692*G692/1000</f>
        <v>0.019008</v>
      </c>
      <c r="K692" s="11" t="s">
        <v>217</v>
      </c>
      <c r="L692" s="11" t="s">
        <v>19</v>
      </c>
      <c r="M692" s="11" t="s">
        <v>145</v>
      </c>
    </row>
    <row r="693" customFormat="false" ht="15" hidden="false" customHeight="false" outlineLevel="0" collapsed="false">
      <c r="A693" s="11" t="s">
        <v>108</v>
      </c>
      <c r="B693" s="11" t="s">
        <v>131</v>
      </c>
      <c r="C693" s="11" t="n">
        <v>1</v>
      </c>
      <c r="D693" s="11" t="s">
        <v>74</v>
      </c>
      <c r="E693" s="11" t="s">
        <v>153</v>
      </c>
      <c r="F693" s="11" t="s">
        <v>73</v>
      </c>
      <c r="G693" s="12" t="n">
        <v>450</v>
      </c>
      <c r="H693" s="12" t="n">
        <f aca="false">SUMPRODUCT(ПОТОКИ!B12:G12,ЧАСОВЫЕ_ПРОФИЛИ!B18:G18,КОЭФФИЦИЕНТЫ_ВЫБОРА!F11:K11)</f>
        <v>0.3147</v>
      </c>
      <c r="I693" s="12" t="n">
        <f aca="false">SUMPRODUCT(ПОТОКИ!B12:G12,ЧАСОВЫЕ_ПРОФИЛИ!B18:G18,КОЭФФИЦИЕНТЫ_ВЫБОРА!F11:K11,ПАРАМЕТРЫ!$B$17:$G$17)</f>
        <v>0.34617</v>
      </c>
      <c r="J693" s="12" t="n">
        <f aca="false">I693*G693/1000</f>
        <v>0.1557765</v>
      </c>
      <c r="K693" s="11" t="s">
        <v>217</v>
      </c>
      <c r="L693" s="11" t="s">
        <v>19</v>
      </c>
      <c r="M693" s="11" t="s">
        <v>145</v>
      </c>
    </row>
    <row r="694" customFormat="false" ht="15" hidden="false" customHeight="false" outlineLevel="0" collapsed="false">
      <c r="A694" s="11" t="s">
        <v>108</v>
      </c>
      <c r="B694" s="11" t="s">
        <v>131</v>
      </c>
      <c r="C694" s="11" t="n">
        <v>2</v>
      </c>
      <c r="D694" s="11" t="s">
        <v>74</v>
      </c>
      <c r="E694" s="11" t="s">
        <v>154</v>
      </c>
      <c r="F694" s="11" t="s">
        <v>73</v>
      </c>
      <c r="G694" s="12" t="n">
        <v>480</v>
      </c>
      <c r="H694" s="12" t="n">
        <f aca="false">SUMPRODUCT(ПОТОКИ!B12:G12,ЧАСОВЫЕ_ПРОФИЛИ!B18:G18,КОЭФФИЦИЕНТЫ_ВЫБОРА!F12:K12)</f>
        <v>0.3596</v>
      </c>
      <c r="I694" s="12" t="n">
        <f aca="false">SUMPRODUCT(ПОТОКИ!B12:G12,ЧАСОВЫЕ_ПРОФИЛИ!B18:G18,КОЭФФИЦИЕНТЫ_ВЫБОРА!F12:K12,ПАРАМЕТРЫ!$B$17:$G$17)</f>
        <v>0.39556</v>
      </c>
      <c r="J694" s="12" t="n">
        <f aca="false">I694*G694/1000</f>
        <v>0.1898688</v>
      </c>
      <c r="K694" s="11" t="s">
        <v>217</v>
      </c>
      <c r="L694" s="11" t="s">
        <v>19</v>
      </c>
      <c r="M694" s="11" t="s">
        <v>145</v>
      </c>
    </row>
    <row r="695" customFormat="false" ht="15" hidden="false" customHeight="false" outlineLevel="0" collapsed="false">
      <c r="A695" s="11" t="s">
        <v>108</v>
      </c>
      <c r="B695" s="11" t="s">
        <v>131</v>
      </c>
      <c r="C695" s="11" t="n">
        <v>3</v>
      </c>
      <c r="D695" s="11" t="s">
        <v>74</v>
      </c>
      <c r="E695" s="11" t="s">
        <v>155</v>
      </c>
      <c r="F695" s="11" t="s">
        <v>73</v>
      </c>
      <c r="G695" s="12" t="n">
        <v>500</v>
      </c>
      <c r="H695" s="12" t="n">
        <f aca="false">SUMPRODUCT(ПОТОКИ!B12:G12,ЧАСОВЫЕ_ПРОФИЛИ!B18:G18,КОЭФФИЦИЕНТЫ_ВЫБОРА!F13:K13)</f>
        <v>0.6519</v>
      </c>
      <c r="I695" s="12" t="n">
        <f aca="false">SUMPRODUCT(ПОТОКИ!B12:G12,ЧАСОВЫЕ_ПРОФИЛИ!B18:G18,КОЭФФИЦИЕНТЫ_ВЫБОРА!F13:K13,ПАРАМЕТРЫ!$B$17:$G$17)</f>
        <v>0.71709</v>
      </c>
      <c r="J695" s="12" t="n">
        <f aca="false">I695*G695/1000</f>
        <v>0.358545</v>
      </c>
      <c r="K695" s="11" t="s">
        <v>217</v>
      </c>
      <c r="L695" s="11" t="s">
        <v>19</v>
      </c>
      <c r="M695" s="11" t="s">
        <v>145</v>
      </c>
    </row>
    <row r="696" customFormat="false" ht="15" hidden="false" customHeight="false" outlineLevel="0" collapsed="false">
      <c r="A696" s="11" t="s">
        <v>108</v>
      </c>
      <c r="B696" s="11" t="s">
        <v>131</v>
      </c>
      <c r="C696" s="11" t="n">
        <v>4</v>
      </c>
      <c r="D696" s="11" t="s">
        <v>74</v>
      </c>
      <c r="E696" s="11" t="s">
        <v>156</v>
      </c>
      <c r="F696" s="11" t="s">
        <v>73</v>
      </c>
      <c r="G696" s="12" t="n">
        <v>500</v>
      </c>
      <c r="H696" s="12" t="n">
        <f aca="false">SUMPRODUCT(ПОТОКИ!B12:G12,ЧАСОВЫЕ_ПРОФИЛИ!B18:G18,КОЭФФИЦИЕНТЫ_ВЫБОРА!F14:K14)</f>
        <v>0.6968</v>
      </c>
      <c r="I696" s="12" t="n">
        <f aca="false">SUMPRODUCT(ПОТОКИ!B12:G12,ЧАСОВЫЕ_ПРОФИЛИ!B18:G18,КОЭФФИЦИЕНТЫ_ВЫБОРА!F14:K14,ПАРАМЕТРЫ!$B$17:$G$17)</f>
        <v>0.76648</v>
      </c>
      <c r="J696" s="12" t="n">
        <f aca="false">I696*G696/1000</f>
        <v>0.38324</v>
      </c>
      <c r="K696" s="11" t="s">
        <v>217</v>
      </c>
      <c r="L696" s="11" t="s">
        <v>19</v>
      </c>
      <c r="M696" s="11" t="s">
        <v>145</v>
      </c>
    </row>
    <row r="697" customFormat="false" ht="15" hidden="false" customHeight="false" outlineLevel="0" collapsed="false">
      <c r="A697" s="11" t="s">
        <v>108</v>
      </c>
      <c r="B697" s="11" t="s">
        <v>131</v>
      </c>
      <c r="C697" s="11" t="n">
        <v>5</v>
      </c>
      <c r="D697" s="11" t="s">
        <v>78</v>
      </c>
      <c r="E697" s="11" t="s">
        <v>157</v>
      </c>
      <c r="F697" s="11" t="s">
        <v>77</v>
      </c>
      <c r="G697" s="12" t="n">
        <v>100</v>
      </c>
      <c r="H697" s="12" t="n">
        <f aca="false">SUMPRODUCT(ПОТОКИ!B12:G12,ЧАСОВЫЕ_ПРОФИЛИ!B18:G18,КОЭФФИЦИЕНТЫ_ВЫБОРА!F15:K15)</f>
        <v>0.5201</v>
      </c>
      <c r="I697" s="12" t="n">
        <f aca="false">SUMPRODUCT(ПОТОКИ!B12:G12,ЧАСОВЫЕ_ПРОФИЛИ!B18:G18,КОЭФФИЦИЕНТЫ_ВЫБОРА!F15:K15,ПАРАМЕТРЫ!$B$17:$G$17)</f>
        <v>0.57211</v>
      </c>
      <c r="J697" s="12" t="n">
        <f aca="false">I697*G697/1000</f>
        <v>0.057211</v>
      </c>
      <c r="K697" s="11" t="s">
        <v>217</v>
      </c>
      <c r="L697" s="11" t="s">
        <v>19</v>
      </c>
      <c r="M697" s="11" t="s">
        <v>147</v>
      </c>
    </row>
    <row r="698" customFormat="false" ht="15" hidden="false" customHeight="false" outlineLevel="0" collapsed="false">
      <c r="A698" s="11" t="s">
        <v>108</v>
      </c>
      <c r="B698" s="11" t="s">
        <v>131</v>
      </c>
      <c r="C698" s="11" t="n">
        <v>6</v>
      </c>
      <c r="D698" s="11" t="s">
        <v>78</v>
      </c>
      <c r="E698" s="11" t="s">
        <v>158</v>
      </c>
      <c r="F698" s="11" t="s">
        <v>77</v>
      </c>
      <c r="G698" s="12" t="n">
        <v>100</v>
      </c>
      <c r="H698" s="12" t="n">
        <f aca="false">SUMPRODUCT(ПОТОКИ!B12:G12,ЧАСОВЫЕ_ПРОФИЛИ!B18:G18,КОЭФФИЦИЕНТЫ_ВЫБОРА!F16:K16)</f>
        <v>0.4677</v>
      </c>
      <c r="I698" s="12" t="n">
        <f aca="false">SUMPRODUCT(ПОТОКИ!B12:G12,ЧАСОВЫЕ_ПРОФИЛИ!B18:G18,КОЭФФИЦИЕНТЫ_ВЫБОРА!F16:K16,ПАРАМЕТРЫ!$B$17:$G$17)</f>
        <v>0.51447</v>
      </c>
      <c r="J698" s="12" t="n">
        <f aca="false">I698*G698/1000</f>
        <v>0.051447</v>
      </c>
      <c r="K698" s="11" t="s">
        <v>217</v>
      </c>
      <c r="L698" s="11" t="s">
        <v>19</v>
      </c>
      <c r="M698" s="11" t="s">
        <v>147</v>
      </c>
    </row>
    <row r="699" customFormat="false" ht="15" hidden="false" customHeight="false" outlineLevel="0" collapsed="false">
      <c r="A699" s="11" t="s">
        <v>108</v>
      </c>
      <c r="B699" s="11" t="s">
        <v>131</v>
      </c>
      <c r="C699" s="11" t="n">
        <v>7</v>
      </c>
      <c r="D699" s="11" t="s">
        <v>78</v>
      </c>
      <c r="E699" s="11" t="s">
        <v>159</v>
      </c>
      <c r="F699" s="11" t="s">
        <v>77</v>
      </c>
      <c r="G699" s="12" t="n">
        <v>350</v>
      </c>
      <c r="H699" s="12" t="n">
        <f aca="false">SUMPRODUCT(ПОТОКИ!B12:G12,ЧАСОВЫЕ_ПРОФИЛИ!B18:G18,КОЭФФИЦИЕНТЫ_ВЫБОРА!F17:K17)</f>
        <v>0.41595</v>
      </c>
      <c r="I699" s="12" t="n">
        <f aca="false">SUMPRODUCT(ПОТОКИ!B12:G12,ЧАСОВЫЕ_ПРОФИЛИ!B18:G18,КОЭФФИЦИЕНТЫ_ВЫБОРА!F17:K17,ПАРАМЕТРЫ!$B$17:$G$17)</f>
        <v>0.457545</v>
      </c>
      <c r="J699" s="12" t="n">
        <f aca="false">I699*G699/1000</f>
        <v>0.16014075</v>
      </c>
      <c r="K699" s="11" t="s">
        <v>217</v>
      </c>
      <c r="L699" s="11" t="s">
        <v>19</v>
      </c>
      <c r="M699" s="11" t="s">
        <v>147</v>
      </c>
    </row>
    <row r="700" customFormat="false" ht="15" hidden="false" customHeight="false" outlineLevel="0" collapsed="false">
      <c r="A700" s="11" t="s">
        <v>108</v>
      </c>
      <c r="B700" s="11" t="s">
        <v>131</v>
      </c>
      <c r="C700" s="11" t="n">
        <v>8</v>
      </c>
      <c r="D700" s="11" t="s">
        <v>78</v>
      </c>
      <c r="E700" s="11" t="s">
        <v>160</v>
      </c>
      <c r="F700" s="11" t="s">
        <v>77</v>
      </c>
      <c r="G700" s="12" t="n">
        <v>85</v>
      </c>
      <c r="H700" s="12" t="n">
        <f aca="false">SUMPRODUCT(ПОТОКИ!B12:G12,ЧАСОВЫЕ_ПРОФИЛИ!B18:G18,КОЭФФИЦИЕНТЫ_ВЫБОРА!F18:K18)</f>
        <v>0.26005</v>
      </c>
      <c r="I700" s="12" t="n">
        <f aca="false">SUMPRODUCT(ПОТОКИ!B12:G12,ЧАСОВЫЕ_ПРОФИЛИ!B18:G18,КОЭФФИЦИЕНТЫ_ВЫБОРА!F18:K18,ПАРАМЕТРЫ!$B$17:$G$17)</f>
        <v>0.286055</v>
      </c>
      <c r="J700" s="12" t="n">
        <f aca="false">I700*G700/1000</f>
        <v>0.024314675</v>
      </c>
      <c r="K700" s="11" t="s">
        <v>217</v>
      </c>
      <c r="L700" s="11" t="s">
        <v>19</v>
      </c>
      <c r="M700" s="11" t="s">
        <v>147</v>
      </c>
    </row>
    <row r="701" customFormat="false" ht="15" hidden="false" customHeight="false" outlineLevel="0" collapsed="false">
      <c r="A701" s="11" t="s">
        <v>108</v>
      </c>
      <c r="B701" s="11" t="s">
        <v>131</v>
      </c>
      <c r="C701" s="11" t="n">
        <v>9</v>
      </c>
      <c r="D701" s="11" t="s">
        <v>161</v>
      </c>
      <c r="E701" s="11" t="s">
        <v>162</v>
      </c>
      <c r="F701" s="11" t="s">
        <v>80</v>
      </c>
      <c r="G701" s="12" t="n">
        <v>300</v>
      </c>
      <c r="H701" s="12" t="n">
        <f aca="false">SUMPRODUCT(ПОТОКИ!B12:G12,ЧАСОВЫЕ_ПРОФИЛИ!B18:G18,КОЭФФИЦИЕНТЫ_ВЫБОРА!F19:K19)</f>
        <v>0.3405</v>
      </c>
      <c r="I701" s="12" t="n">
        <f aca="false">SUMPRODUCT(ПОТОКИ!B12:G12,ЧАСОВЫЕ_ПРОФИЛИ!B18:G18,КОЭФФИЦИЕНТЫ_ВЫБОРА!F19:K19,ПАРАМЕТРЫ!$B$17:$G$17)</f>
        <v>0.37455</v>
      </c>
      <c r="J701" s="12" t="n">
        <f aca="false">I701*G701/1000</f>
        <v>0.112365</v>
      </c>
      <c r="K701" s="11" t="s">
        <v>217</v>
      </c>
      <c r="L701" s="11" t="s">
        <v>19</v>
      </c>
      <c r="M701" s="11" t="s">
        <v>145</v>
      </c>
    </row>
    <row r="702" customFormat="false" ht="15" hidden="false" customHeight="false" outlineLevel="0" collapsed="false">
      <c r="A702" s="11" t="s">
        <v>108</v>
      </c>
      <c r="B702" s="11" t="s">
        <v>131</v>
      </c>
      <c r="C702" s="11" t="n">
        <v>10</v>
      </c>
      <c r="D702" s="11" t="s">
        <v>161</v>
      </c>
      <c r="E702" s="11" t="s">
        <v>163</v>
      </c>
      <c r="F702" s="11" t="s">
        <v>80</v>
      </c>
      <c r="G702" s="12" t="n">
        <v>280</v>
      </c>
      <c r="H702" s="12" t="n">
        <f aca="false">SUMPRODUCT(ПОТОКИ!B12:G12,ЧАСОВЫЕ_ПРОФИЛИ!B18:G18,КОЭФФИЦИЕНТЫ_ВЫБОРА!F20:K20)</f>
        <v>0.513</v>
      </c>
      <c r="I702" s="12" t="n">
        <f aca="false">SUMPRODUCT(ПОТОКИ!B12:G12,ЧАСОВЫЕ_ПРОФИЛИ!B18:G18,КОЭФФИЦИЕНТЫ_ВЫБОРА!F20:K20,ПАРАМЕТРЫ!$B$17:$G$17)</f>
        <v>0.5643</v>
      </c>
      <c r="J702" s="12" t="n">
        <f aca="false">I702*G702/1000</f>
        <v>0.158004</v>
      </c>
      <c r="K702" s="11" t="s">
        <v>217</v>
      </c>
      <c r="L702" s="11" t="s">
        <v>19</v>
      </c>
      <c r="M702" s="11" t="s">
        <v>145</v>
      </c>
    </row>
    <row r="703" customFormat="false" ht="15" hidden="false" customHeight="false" outlineLevel="0" collapsed="false">
      <c r="A703" s="11" t="s">
        <v>108</v>
      </c>
      <c r="B703" s="11" t="s">
        <v>131</v>
      </c>
      <c r="C703" s="11" t="n">
        <v>11</v>
      </c>
      <c r="D703" s="11" t="s">
        <v>161</v>
      </c>
      <c r="E703" s="11" t="s">
        <v>164</v>
      </c>
      <c r="F703" s="11" t="s">
        <v>80</v>
      </c>
      <c r="G703" s="12" t="n">
        <v>270</v>
      </c>
      <c r="H703" s="12" t="n">
        <f aca="false">SUMPRODUCT(ПОТОКИ!B12:G12,ЧАСОВЫЕ_ПРОФИЛИ!B18:G18,КОЭФФИЦИЕНТЫ_ВЫБОРА!F21:K21)</f>
        <v>0.93645</v>
      </c>
      <c r="I703" s="12" t="n">
        <f aca="false">SUMPRODUCT(ПОТОКИ!B12:G12,ЧАСОВЫЕ_ПРОФИЛИ!B18:G18,КОЭФФИЦИЕНТЫ_ВЫБОРА!F21:K21,ПАРАМЕТРЫ!$B$17:$G$17)</f>
        <v>1.030095</v>
      </c>
      <c r="J703" s="12" t="n">
        <f aca="false">I703*G703/1000</f>
        <v>0.27812565</v>
      </c>
      <c r="K703" s="11" t="s">
        <v>217</v>
      </c>
      <c r="L703" s="11" t="s">
        <v>19</v>
      </c>
      <c r="M703" s="11" t="s">
        <v>145</v>
      </c>
    </row>
    <row r="704" customFormat="false" ht="15" hidden="false" customHeight="false" outlineLevel="0" collapsed="false">
      <c r="A704" s="11" t="s">
        <v>108</v>
      </c>
      <c r="B704" s="11" t="s">
        <v>131</v>
      </c>
      <c r="C704" s="11" t="n">
        <v>12</v>
      </c>
      <c r="D704" s="11" t="s">
        <v>161</v>
      </c>
      <c r="E704" s="11" t="s">
        <v>165</v>
      </c>
      <c r="F704" s="11" t="s">
        <v>80</v>
      </c>
      <c r="G704" s="12" t="n">
        <v>240</v>
      </c>
      <c r="H704" s="12" t="n">
        <f aca="false">SUMPRODUCT(ПОТОКИ!B12:G12,ЧАСОВЫЕ_ПРОФИЛИ!B18:G18,КОЭФФИЦИЕНТЫ_ВЫБОРА!F22:K22)</f>
        <v>0.60705</v>
      </c>
      <c r="I704" s="12" t="n">
        <f aca="false">SUMPRODUCT(ПОТОКИ!B12:G12,ЧАСОВЫЕ_ПРОФИЛИ!B18:G18,КОЭФФИЦИЕНТЫ_ВЫБОРА!F22:K22,ПАРАМЕТРЫ!$B$17:$G$17)</f>
        <v>0.667755</v>
      </c>
      <c r="J704" s="12" t="n">
        <f aca="false">I704*G704/1000</f>
        <v>0.1602612</v>
      </c>
      <c r="K704" s="11" t="s">
        <v>217</v>
      </c>
      <c r="L704" s="11" t="s">
        <v>19</v>
      </c>
      <c r="M704" s="11" t="s">
        <v>145</v>
      </c>
    </row>
    <row r="705" customFormat="false" ht="15" hidden="false" customHeight="false" outlineLevel="0" collapsed="false">
      <c r="A705" s="11" t="s">
        <v>108</v>
      </c>
      <c r="B705" s="11" t="s">
        <v>131</v>
      </c>
      <c r="C705" s="11" t="n">
        <v>13</v>
      </c>
      <c r="D705" s="11" t="s">
        <v>166</v>
      </c>
      <c r="E705" s="11" t="s">
        <v>167</v>
      </c>
      <c r="F705" s="11" t="s">
        <v>80</v>
      </c>
      <c r="G705" s="12" t="n">
        <v>130</v>
      </c>
      <c r="H705" s="12" t="n">
        <f aca="false">SUMPRODUCT(ПОТОКИ!B12:G12,ЧАСОВЫЕ_ПРОФИЛИ!B18:G18,КОЭФФИЦИЕНТЫ_ВЫБОРА!F23:K23)</f>
        <v>0.172</v>
      </c>
      <c r="I705" s="12" t="n">
        <f aca="false">SUMPRODUCT(ПОТОКИ!B12:G12,ЧАСОВЫЕ_ПРОФИЛИ!B18:G18,КОЭФФИЦИЕНТЫ_ВЫБОРА!F23:K23,ПАРАМЕТРЫ!$B$17:$G$17)</f>
        <v>0.1892</v>
      </c>
      <c r="J705" s="12" t="n">
        <f aca="false">I705*G705/1000</f>
        <v>0.024596</v>
      </c>
      <c r="K705" s="11" t="s">
        <v>217</v>
      </c>
      <c r="L705" s="11" t="s">
        <v>19</v>
      </c>
      <c r="M705" s="11" t="s">
        <v>145</v>
      </c>
    </row>
    <row r="706" customFormat="false" ht="15" hidden="false" customHeight="false" outlineLevel="0" collapsed="false">
      <c r="A706" s="11" t="s">
        <v>108</v>
      </c>
      <c r="B706" s="11" t="s">
        <v>131</v>
      </c>
      <c r="C706" s="11" t="n">
        <v>14</v>
      </c>
      <c r="D706" s="11" t="s">
        <v>166</v>
      </c>
      <c r="E706" s="11" t="s">
        <v>168</v>
      </c>
      <c r="F706" s="11" t="s">
        <v>80</v>
      </c>
      <c r="G706" s="12" t="n">
        <v>250</v>
      </c>
      <c r="H706" s="12" t="n">
        <f aca="false">SUMPRODUCT(ПОТОКИ!B12:G12,ЧАСОВЫЕ_ПРОФИЛИ!B18:G18,КОЭФФИЦИЕНТЫ_ВЫБОРА!F24:K24)</f>
        <v>0.2172</v>
      </c>
      <c r="I706" s="12" t="n">
        <f aca="false">SUMPRODUCT(ПОТОКИ!B12:G12,ЧАСОВЫЕ_ПРОФИЛИ!B18:G18,КОЭФФИЦИЕНТЫ_ВЫБОРА!F24:K24,ПАРАМЕТРЫ!$B$17:$G$17)</f>
        <v>0.23892</v>
      </c>
      <c r="J706" s="12" t="n">
        <f aca="false">I706*G706/1000</f>
        <v>0.05973</v>
      </c>
      <c r="K706" s="11" t="s">
        <v>217</v>
      </c>
      <c r="L706" s="11" t="s">
        <v>19</v>
      </c>
      <c r="M706" s="11" t="s">
        <v>145</v>
      </c>
    </row>
    <row r="707" customFormat="false" ht="15" hidden="false" customHeight="false" outlineLevel="0" collapsed="false">
      <c r="A707" s="11" t="s">
        <v>108</v>
      </c>
      <c r="B707" s="11" t="s">
        <v>131</v>
      </c>
      <c r="C707" s="11" t="n">
        <v>15</v>
      </c>
      <c r="D707" s="11" t="s">
        <v>166</v>
      </c>
      <c r="E707" s="11" t="s">
        <v>169</v>
      </c>
      <c r="F707" s="11" t="s">
        <v>80</v>
      </c>
      <c r="G707" s="12" t="n">
        <v>120</v>
      </c>
      <c r="H707" s="12" t="n">
        <f aca="false">SUMPRODUCT(ПОТОКИ!B12:G12,ЧАСОВЫЕ_ПРОФИЛИ!B18:G18,КОЭФФИЦИЕНТЫ_ВЫБОРА!F25:K25)</f>
        <v>0.1272</v>
      </c>
      <c r="I707" s="12" t="n">
        <f aca="false">SUMPRODUCT(ПОТОКИ!B12:G12,ЧАСОВЫЕ_ПРОФИЛИ!B18:G18,КОЭФФИЦИЕНТЫ_ВЫБОРА!F25:K25,ПАРАМЕТРЫ!$B$17:$G$17)</f>
        <v>0.13992</v>
      </c>
      <c r="J707" s="12" t="n">
        <f aca="false">I707*G707/1000</f>
        <v>0.0167904</v>
      </c>
      <c r="K707" s="11" t="s">
        <v>217</v>
      </c>
      <c r="L707" s="11" t="s">
        <v>19</v>
      </c>
      <c r="M707" s="11" t="s">
        <v>145</v>
      </c>
    </row>
    <row r="708" customFormat="false" ht="15" hidden="false" customHeight="false" outlineLevel="0" collapsed="false">
      <c r="A708" s="11" t="s">
        <v>108</v>
      </c>
      <c r="B708" s="11" t="s">
        <v>131</v>
      </c>
      <c r="C708" s="11" t="n">
        <v>16</v>
      </c>
      <c r="D708" s="11" t="s">
        <v>166</v>
      </c>
      <c r="E708" s="11" t="s">
        <v>170</v>
      </c>
      <c r="F708" s="11" t="s">
        <v>80</v>
      </c>
      <c r="G708" s="12" t="n">
        <v>180</v>
      </c>
      <c r="H708" s="12" t="n">
        <f aca="false">SUMPRODUCT(ПОТОКИ!B12:G12,ЧАСОВЫЕ_ПРОФИЛИ!B18:G18,КОЭФФИЦИЕНТЫ_ВЫБОРА!F26:K26)</f>
        <v>0.2996</v>
      </c>
      <c r="I708" s="12" t="n">
        <f aca="false">SUMPRODUCT(ПОТОКИ!B12:G12,ЧАСОВЫЕ_ПРОФИЛИ!B18:G18,КОЭФФИЦИЕНТЫ_ВЫБОРА!F26:K26,ПАРАМЕТРЫ!$B$17:$G$17)</f>
        <v>0.32956</v>
      </c>
      <c r="J708" s="12" t="n">
        <f aca="false">I708*G708/1000</f>
        <v>0.0593208</v>
      </c>
      <c r="K708" s="11" t="s">
        <v>217</v>
      </c>
      <c r="L708" s="11" t="s">
        <v>19</v>
      </c>
      <c r="M708" s="11" t="s">
        <v>145</v>
      </c>
    </row>
    <row r="709" customFormat="false" ht="15" hidden="false" customHeight="false" outlineLevel="0" collapsed="false">
      <c r="A709" s="11" t="s">
        <v>108</v>
      </c>
      <c r="B709" s="11" t="s">
        <v>131</v>
      </c>
      <c r="C709" s="11" t="n">
        <v>17</v>
      </c>
      <c r="D709" s="11" t="s">
        <v>166</v>
      </c>
      <c r="E709" s="11" t="s">
        <v>171</v>
      </c>
      <c r="F709" s="11" t="s">
        <v>80</v>
      </c>
      <c r="G709" s="12" t="n">
        <v>180</v>
      </c>
      <c r="H709" s="12" t="n">
        <f aca="false">SUMPRODUCT(ПОТОКИ!B12:G12,ЧАСОВЫЕ_ПРОФИЛИ!B18:G18,КОЭФФИЦИЕНТЫ_ВЫБОРА!F27:K27)</f>
        <v>0.232</v>
      </c>
      <c r="I709" s="12" t="n">
        <f aca="false">SUMPRODUCT(ПОТОКИ!B12:G12,ЧАСОВЫЕ_ПРОФИЛИ!B18:G18,КОЭФФИЦИЕНТЫ_ВЫБОРА!F27:K27,ПАРАМЕТРЫ!$B$17:$G$17)</f>
        <v>0.2552</v>
      </c>
      <c r="J709" s="12" t="n">
        <f aca="false">I709*G709/1000</f>
        <v>0.045936</v>
      </c>
      <c r="K709" s="11" t="s">
        <v>217</v>
      </c>
      <c r="L709" s="11" t="s">
        <v>19</v>
      </c>
      <c r="M709" s="11" t="s">
        <v>145</v>
      </c>
    </row>
    <row r="710" customFormat="false" ht="15" hidden="false" customHeight="false" outlineLevel="0" collapsed="false">
      <c r="A710" s="11" t="s">
        <v>108</v>
      </c>
      <c r="B710" s="11" t="s">
        <v>131</v>
      </c>
      <c r="C710" s="11" t="n">
        <v>18</v>
      </c>
      <c r="D710" s="11" t="s">
        <v>172</v>
      </c>
      <c r="E710" s="11" t="s">
        <v>173</v>
      </c>
      <c r="F710" s="11" t="s">
        <v>83</v>
      </c>
      <c r="G710" s="12" t="n">
        <v>400</v>
      </c>
      <c r="H710" s="12" t="n">
        <f aca="false">SUMPRODUCT(ПОТОКИ!B12:G12,ЧАСОВЫЕ_ПРОФИЛИ!B18:G18,КОЭФФИЦИЕНТЫ_ВЫБОРА!F28:K28)</f>
        <v>2.324</v>
      </c>
      <c r="I710" s="12" t="n">
        <f aca="false">SUMPRODUCT(ПОТОКИ!B12:G12,ЧАСОВЫЕ_ПРОФИЛИ!B18:G18,КОЭФФИЦИЕНТЫ_ВЫБОРА!F28:K28,ПАРАМЕТРЫ!$B$17:$G$17)</f>
        <v>2.5564</v>
      </c>
      <c r="J710" s="12" t="n">
        <f aca="false">I710*G710/1000</f>
        <v>1.02256</v>
      </c>
      <c r="K710" s="11" t="s">
        <v>217</v>
      </c>
      <c r="L710" s="11" t="s">
        <v>19</v>
      </c>
      <c r="M710" s="11" t="s">
        <v>145</v>
      </c>
    </row>
    <row r="711" customFormat="false" ht="23.85" hidden="false" customHeight="false" outlineLevel="0" collapsed="false">
      <c r="A711" s="11" t="s">
        <v>108</v>
      </c>
      <c r="B711" s="11" t="s">
        <v>131</v>
      </c>
      <c r="C711" s="11" t="n">
        <v>19</v>
      </c>
      <c r="D711" s="11" t="s">
        <v>174</v>
      </c>
      <c r="E711" s="11" t="s">
        <v>175</v>
      </c>
      <c r="F711" s="11" t="s">
        <v>83</v>
      </c>
      <c r="G711" s="12" t="n">
        <v>300</v>
      </c>
      <c r="H711" s="12" t="n">
        <f aca="false">SUMPRODUCT(ПОТОКИ!B12:G12,ЧАСОВЫЕ_ПРОФИЛИ!B18:G18,КОЭФФИЦИЕНТЫ_ВЫБОРА!F29:K29)</f>
        <v>1.834</v>
      </c>
      <c r="I711" s="12" t="n">
        <f aca="false">SUMPRODUCT(ПОТОКИ!B12:G12,ЧАСОВЫЕ_ПРОФИЛИ!B18:G18,КОЭФФИЦИЕНТЫ_ВЫБОРА!F29:K29,ПАРАМЕТРЫ!$B$17:$G$17)</f>
        <v>2.0174</v>
      </c>
      <c r="J711" s="12" t="n">
        <f aca="false">I711*G711/1000</f>
        <v>0.60522</v>
      </c>
      <c r="K711" s="11" t="s">
        <v>217</v>
      </c>
      <c r="L711" s="11" t="s">
        <v>19</v>
      </c>
      <c r="M711" s="11" t="s">
        <v>145</v>
      </c>
    </row>
    <row r="712" customFormat="false" ht="15" hidden="false" customHeight="false" outlineLevel="0" collapsed="false">
      <c r="A712" s="11" t="s">
        <v>108</v>
      </c>
      <c r="B712" s="11" t="s">
        <v>131</v>
      </c>
      <c r="C712" s="11" t="n">
        <v>20</v>
      </c>
      <c r="D712" s="11" t="s">
        <v>174</v>
      </c>
      <c r="E712" s="11" t="s">
        <v>176</v>
      </c>
      <c r="F712" s="11" t="s">
        <v>83</v>
      </c>
      <c r="G712" s="12" t="n">
        <v>360</v>
      </c>
      <c r="H712" s="12" t="n">
        <f aca="false">SUMPRODUCT(ПОТОКИ!B12:G12,ЧАСОВЫЕ_ПРОФИЛИ!B18:G18,КОЭФФИЦИЕНТЫ_ВЫБОРА!F30:K30)</f>
        <v>1.3412</v>
      </c>
      <c r="I712" s="12" t="n">
        <f aca="false">SUMPRODUCT(ПОТОКИ!B12:G12,ЧАСОВЫЕ_ПРОФИЛИ!B18:G18,КОЭФФИЦИЕНТЫ_ВЫБОРА!F30:K30,ПАРАМЕТРЫ!$B$17:$G$17)</f>
        <v>1.47532</v>
      </c>
      <c r="J712" s="12" t="n">
        <f aca="false">I712*G712/1000</f>
        <v>0.5311152</v>
      </c>
      <c r="K712" s="11" t="s">
        <v>217</v>
      </c>
      <c r="L712" s="11" t="s">
        <v>19</v>
      </c>
      <c r="M712" s="11" t="s">
        <v>145</v>
      </c>
    </row>
    <row r="713" customFormat="false" ht="15" hidden="false" customHeight="false" outlineLevel="0" collapsed="false">
      <c r="A713" s="11" t="s">
        <v>108</v>
      </c>
      <c r="B713" s="11" t="s">
        <v>131</v>
      </c>
      <c r="C713" s="11" t="n">
        <v>21</v>
      </c>
      <c r="D713" s="11" t="s">
        <v>174</v>
      </c>
      <c r="E713" s="11" t="s">
        <v>177</v>
      </c>
      <c r="F713" s="11" t="s">
        <v>83</v>
      </c>
      <c r="G713" s="12" t="n">
        <v>350</v>
      </c>
      <c r="H713" s="12" t="n">
        <f aca="false">SUMPRODUCT(ПОТОКИ!B12:G12,ЧАСОВЫЕ_ПРОФИЛИ!B18:G18,КОЭФФИЦИЕНТЫ_ВЫБОРА!F31:K31)</f>
        <v>2.2518</v>
      </c>
      <c r="I713" s="12" t="n">
        <f aca="false">SUMPRODUCT(ПОТОКИ!B12:G12,ЧАСОВЫЕ_ПРОФИЛИ!B18:G18,КОЭФФИЦИЕНТЫ_ВЫБОРА!F31:K31,ПАРАМЕТРЫ!$B$17:$G$17)</f>
        <v>2.47698</v>
      </c>
      <c r="J713" s="12" t="n">
        <f aca="false">I713*G713/1000</f>
        <v>0.866943</v>
      </c>
      <c r="K713" s="11" t="s">
        <v>217</v>
      </c>
      <c r="L713" s="11" t="s">
        <v>19</v>
      </c>
      <c r="M713" s="11" t="s">
        <v>145</v>
      </c>
    </row>
    <row r="714" customFormat="false" ht="15" hidden="false" customHeight="false" outlineLevel="0" collapsed="false">
      <c r="A714" s="11" t="s">
        <v>108</v>
      </c>
      <c r="B714" s="11" t="s">
        <v>131</v>
      </c>
      <c r="C714" s="11" t="n">
        <v>22</v>
      </c>
      <c r="D714" s="11" t="s">
        <v>174</v>
      </c>
      <c r="E714" s="11" t="s">
        <v>178</v>
      </c>
      <c r="F714" s="11" t="s">
        <v>83</v>
      </c>
      <c r="G714" s="12" t="n">
        <v>300</v>
      </c>
      <c r="H714" s="12" t="n">
        <f aca="false">SUMPRODUCT(ПОТОКИ!B12:G12,ЧАСОВЫЕ_ПРОФИЛИ!B18:G18,КОЭФФИЦИЕНТЫ_ВЫБОРА!F32:K32)</f>
        <v>1.129</v>
      </c>
      <c r="I714" s="12" t="n">
        <f aca="false">SUMPRODUCT(ПОТОКИ!B12:G12,ЧАСОВЫЕ_ПРОФИЛИ!B18:G18,КОЭФФИЦИЕНТЫ_ВЫБОРА!F32:K32,ПАРАМЕТРЫ!$B$17:$G$17)</f>
        <v>1.2419</v>
      </c>
      <c r="J714" s="12" t="n">
        <f aca="false">I714*G714/1000</f>
        <v>0.37257</v>
      </c>
      <c r="K714" s="11" t="s">
        <v>217</v>
      </c>
      <c r="L714" s="11" t="s">
        <v>19</v>
      </c>
      <c r="M714" s="11" t="s">
        <v>145</v>
      </c>
    </row>
    <row r="715" customFormat="false" ht="15" hidden="false" customHeight="false" outlineLevel="0" collapsed="false">
      <c r="A715" s="11" t="s">
        <v>108</v>
      </c>
      <c r="B715" s="11" t="s">
        <v>131</v>
      </c>
      <c r="C715" s="11" t="n">
        <v>23</v>
      </c>
      <c r="D715" s="11" t="s">
        <v>86</v>
      </c>
      <c r="E715" s="11" t="s">
        <v>179</v>
      </c>
      <c r="F715" s="11" t="s">
        <v>85</v>
      </c>
      <c r="G715" s="12" t="n">
        <v>150</v>
      </c>
      <c r="H715" s="12" t="n">
        <f aca="false">SUMPRODUCT(ПОТОКИ!B12:G12,ЧАСОВЫЕ_ПРОФИЛИ!B18:G18,КОЭФФИЦИЕНТЫ_ВЫБОРА!F33:K33)</f>
        <v>1.757258</v>
      </c>
      <c r="I715" s="12" t="n">
        <f aca="false">SUMPRODUCT(ПОТОКИ!B12:G12,ЧАСОВЫЕ_ПРОФИЛИ!B18:G18,КОЭФФИЦИЕНТЫ_ВЫБОРА!F33:K33,ПАРАМЕТРЫ!$B$17:$G$17)</f>
        <v>1.9329838</v>
      </c>
      <c r="J715" s="12" t="n">
        <f aca="false">I715*G715/1000</f>
        <v>0.28994757</v>
      </c>
      <c r="K715" s="11" t="s">
        <v>217</v>
      </c>
      <c r="L715" s="11" t="s">
        <v>19</v>
      </c>
      <c r="M715" s="11" t="s">
        <v>147</v>
      </c>
    </row>
    <row r="716" customFormat="false" ht="15" hidden="false" customHeight="false" outlineLevel="0" collapsed="false">
      <c r="A716" s="11" t="s">
        <v>108</v>
      </c>
      <c r="B716" s="11" t="s">
        <v>131</v>
      </c>
      <c r="C716" s="11" t="n">
        <v>24</v>
      </c>
      <c r="D716" s="11" t="s">
        <v>86</v>
      </c>
      <c r="E716" s="11" t="s">
        <v>180</v>
      </c>
      <c r="F716" s="11" t="s">
        <v>85</v>
      </c>
      <c r="G716" s="12" t="n">
        <v>150</v>
      </c>
      <c r="H716" s="12" t="n">
        <f aca="false">SUMPRODUCT(ПОТОКИ!B12:G12,ЧАСОВЫЕ_ПРОФИЛИ!B18:G18,КОЭФФИЦИЕНТЫ_ВЫБОРА!F34:K34)</f>
        <v>0.738004</v>
      </c>
      <c r="I716" s="12" t="n">
        <f aca="false">SUMPRODUCT(ПОТОКИ!B12:G12,ЧАСОВЫЕ_ПРОФИЛИ!B18:G18,КОЭФФИЦИЕНТЫ_ВЫБОРА!F34:K34,ПАРАМЕТРЫ!$B$17:$G$17)</f>
        <v>0.8118044</v>
      </c>
      <c r="J716" s="12" t="n">
        <f aca="false">I716*G716/1000</f>
        <v>0.12177066</v>
      </c>
      <c r="K716" s="11" t="s">
        <v>217</v>
      </c>
      <c r="L716" s="11" t="s">
        <v>19</v>
      </c>
      <c r="M716" s="11" t="s">
        <v>147</v>
      </c>
    </row>
    <row r="717" customFormat="false" ht="15" hidden="false" customHeight="false" outlineLevel="0" collapsed="false">
      <c r="A717" s="11" t="s">
        <v>108</v>
      </c>
      <c r="B717" s="11" t="s">
        <v>131</v>
      </c>
      <c r="C717" s="11" t="n">
        <v>25</v>
      </c>
      <c r="D717" s="11" t="s">
        <v>86</v>
      </c>
      <c r="E717" s="11" t="s">
        <v>181</v>
      </c>
      <c r="F717" s="11" t="s">
        <v>85</v>
      </c>
      <c r="G717" s="12" t="n">
        <v>150</v>
      </c>
      <c r="H717" s="12" t="n">
        <f aca="false">SUMPRODUCT(ПОТОКИ!B12:G12,ЧАСОВЫЕ_ПРОФИЛИ!B18:G18,КОЭФФИЦИЕНТЫ_ВЫБОРА!F35:K35)</f>
        <v>1.194758</v>
      </c>
      <c r="I717" s="12" t="n">
        <f aca="false">SUMPRODUCT(ПОТОКИ!B12:G12,ЧАСОВЫЕ_ПРОФИЛИ!B18:G18,КОЭФФИЦИЕНТЫ_ВЫБОРА!F35:K35,ПАРАМЕТРЫ!$B$17:$G$17)</f>
        <v>1.3142338</v>
      </c>
      <c r="J717" s="12" t="n">
        <f aca="false">I717*G717/1000</f>
        <v>0.19713507</v>
      </c>
      <c r="K717" s="11" t="s">
        <v>217</v>
      </c>
      <c r="L717" s="11" t="s">
        <v>19</v>
      </c>
      <c r="M717" s="11" t="s">
        <v>147</v>
      </c>
    </row>
    <row r="718" customFormat="false" ht="23.85" hidden="false" customHeight="false" outlineLevel="0" collapsed="false">
      <c r="A718" s="11" t="s">
        <v>108</v>
      </c>
      <c r="B718" s="11" t="s">
        <v>131</v>
      </c>
      <c r="C718" s="11" t="n">
        <v>26</v>
      </c>
      <c r="D718" s="11" t="s">
        <v>89</v>
      </c>
      <c r="E718" s="11" t="s">
        <v>182</v>
      </c>
      <c r="F718" s="11" t="s">
        <v>88</v>
      </c>
      <c r="G718" s="12" t="n">
        <v>225</v>
      </c>
      <c r="H718" s="12" t="n">
        <f aca="false">SUMPRODUCT(ПОТОКИ!B12:G12,ЧАСОВЫЕ_ПРОФИЛИ!B18:G18,КОЭФФИЦИЕНТЫ_ВЫБОРА!F36:K36)</f>
        <v>0</v>
      </c>
      <c r="I718" s="12" t="n">
        <f aca="false">SUMPRODUCT(ПОТОКИ!B12:G12,ЧАСОВЫЕ_ПРОФИЛИ!B18:G18,КОЭФФИЦИЕНТЫ_ВЫБОРА!F36:K36,ПАРАМЕТРЫ!$B$17:$G$17)</f>
        <v>0</v>
      </c>
      <c r="J718" s="12" t="n">
        <f aca="false">I718*G718/1000</f>
        <v>0</v>
      </c>
      <c r="K718" s="11" t="s">
        <v>217</v>
      </c>
      <c r="L718" s="11" t="s">
        <v>19</v>
      </c>
      <c r="M718" s="11" t="s">
        <v>145</v>
      </c>
    </row>
    <row r="719" customFormat="false" ht="23.85" hidden="false" customHeight="false" outlineLevel="0" collapsed="false">
      <c r="A719" s="11" t="s">
        <v>108</v>
      </c>
      <c r="B719" s="11" t="s">
        <v>131</v>
      </c>
      <c r="C719" s="11" t="n">
        <v>27</v>
      </c>
      <c r="D719" s="11" t="s">
        <v>89</v>
      </c>
      <c r="E719" s="11" t="s">
        <v>183</v>
      </c>
      <c r="F719" s="11" t="s">
        <v>88</v>
      </c>
      <c r="G719" s="12" t="n">
        <v>265</v>
      </c>
      <c r="H719" s="12" t="n">
        <f aca="false">SUMPRODUCT(ПОТОКИ!B12:G12,ЧАСОВЫЕ_ПРОФИЛИ!B18:G18,КОЭФФИЦИЕНТЫ_ВЫБОРА!F37:K37)</f>
        <v>0</v>
      </c>
      <c r="I719" s="12" t="n">
        <f aca="false">SUMPRODUCT(ПОТОКИ!B12:G12,ЧАСОВЫЕ_ПРОФИЛИ!B18:G18,КОЭФФИЦИЕНТЫ_ВЫБОРА!F37:K37,ПАРАМЕТРЫ!$B$17:$G$17)</f>
        <v>0</v>
      </c>
      <c r="J719" s="12" t="n">
        <f aca="false">I719*G719/1000</f>
        <v>0</v>
      </c>
      <c r="K719" s="11" t="s">
        <v>217</v>
      </c>
      <c r="L719" s="11" t="s">
        <v>19</v>
      </c>
      <c r="M719" s="11" t="s">
        <v>145</v>
      </c>
    </row>
    <row r="720" customFormat="false" ht="23.85" hidden="false" customHeight="false" outlineLevel="0" collapsed="false">
      <c r="A720" s="11" t="s">
        <v>108</v>
      </c>
      <c r="B720" s="11" t="s">
        <v>131</v>
      </c>
      <c r="C720" s="11" t="n">
        <v>28</v>
      </c>
      <c r="D720" s="11" t="s">
        <v>89</v>
      </c>
      <c r="E720" s="11" t="s">
        <v>184</v>
      </c>
      <c r="F720" s="11" t="s">
        <v>88</v>
      </c>
      <c r="G720" s="12" t="n">
        <v>355</v>
      </c>
      <c r="H720" s="12" t="n">
        <f aca="false">SUMPRODUCT(ПОТОКИ!B12:G12,ЧАСОВЫЕ_ПРОФИЛИ!B18:G18,КОЭФФИЦИЕНТЫ_ВЫБОРА!F38:K38)</f>
        <v>0</v>
      </c>
      <c r="I720" s="12" t="n">
        <f aca="false">SUMPRODUCT(ПОТОКИ!B12:G12,ЧАСОВЫЕ_ПРОФИЛИ!B18:G18,КОЭФФИЦИЕНТЫ_ВЫБОРА!F38:K38,ПАРАМЕТРЫ!$B$17:$G$17)</f>
        <v>0</v>
      </c>
      <c r="J720" s="12" t="n">
        <f aca="false">I720*G720/1000</f>
        <v>0</v>
      </c>
      <c r="K720" s="11" t="s">
        <v>217</v>
      </c>
      <c r="L720" s="11" t="s">
        <v>19</v>
      </c>
      <c r="M720" s="11" t="s">
        <v>145</v>
      </c>
    </row>
    <row r="721" customFormat="false" ht="15" hidden="false" customHeight="false" outlineLevel="0" collapsed="false">
      <c r="A721" s="11" t="s">
        <v>108</v>
      </c>
      <c r="B721" s="11" t="s">
        <v>131</v>
      </c>
      <c r="C721" s="11" t="n">
        <v>29</v>
      </c>
      <c r="D721" s="11" t="s">
        <v>92</v>
      </c>
      <c r="E721" s="11" t="s">
        <v>185</v>
      </c>
      <c r="F721" s="11" t="s">
        <v>91</v>
      </c>
      <c r="G721" s="12" t="n">
        <v>150</v>
      </c>
      <c r="H721" s="12" t="n">
        <f aca="false">SUMPRODUCT(ПОТОКИ!B12:G12,ЧАСОВЫЕ_ПРОФИЛИ!B18:G18,КОЭФФИЦИЕНТЫ_ВЫБОРА!F39:K39)</f>
        <v>0.2784</v>
      </c>
      <c r="I721" s="12" t="n">
        <f aca="false">SUMPRODUCT(ПОТОКИ!B12:G12,ЧАСОВЫЕ_ПРОФИЛИ!B18:G18,КОЭФФИЦИЕНТЫ_ВЫБОРА!F39:K39,ПАРАМЕТРЫ!$B$17:$G$17)</f>
        <v>0.30624</v>
      </c>
      <c r="J721" s="12" t="n">
        <f aca="false">I721*G721/1000</f>
        <v>0.045936</v>
      </c>
      <c r="K721" s="11" t="s">
        <v>217</v>
      </c>
      <c r="L721" s="11" t="s">
        <v>19</v>
      </c>
      <c r="M721" s="11" t="s">
        <v>145</v>
      </c>
    </row>
    <row r="722" customFormat="false" ht="15" hidden="false" customHeight="false" outlineLevel="0" collapsed="false">
      <c r="A722" s="11" t="s">
        <v>108</v>
      </c>
      <c r="B722" s="11" t="s">
        <v>131</v>
      </c>
      <c r="C722" s="11" t="n">
        <v>30</v>
      </c>
      <c r="D722" s="11" t="s">
        <v>92</v>
      </c>
      <c r="E722" s="11" t="s">
        <v>186</v>
      </c>
      <c r="F722" s="11" t="s">
        <v>91</v>
      </c>
      <c r="G722" s="12" t="n">
        <v>120</v>
      </c>
      <c r="H722" s="12" t="n">
        <f aca="false">SUMPRODUCT(ПОТОКИ!B12:G12,ЧАСОВЫЕ_ПРОФИЛИ!B18:G18,КОЭФФИЦИЕНТЫ_ВЫБОРА!F40:K40)</f>
        <v>0.2784</v>
      </c>
      <c r="I722" s="12" t="n">
        <f aca="false">SUMPRODUCT(ПОТОКИ!B12:G12,ЧАСОВЫЕ_ПРОФИЛИ!B18:G18,КОЭФФИЦИЕНТЫ_ВЫБОРА!F40:K40,ПАРАМЕТРЫ!$B$17:$G$17)</f>
        <v>0.30624</v>
      </c>
      <c r="J722" s="12" t="n">
        <f aca="false">I722*G722/1000</f>
        <v>0.0367488</v>
      </c>
      <c r="K722" s="11" t="s">
        <v>217</v>
      </c>
      <c r="L722" s="11" t="s">
        <v>19</v>
      </c>
      <c r="M722" s="11" t="s">
        <v>145</v>
      </c>
    </row>
    <row r="723" customFormat="false" ht="15" hidden="false" customHeight="false" outlineLevel="0" collapsed="false">
      <c r="A723" s="11" t="s">
        <v>108</v>
      </c>
      <c r="B723" s="11" t="s">
        <v>131</v>
      </c>
      <c r="C723" s="11" t="n">
        <v>31</v>
      </c>
      <c r="D723" s="11" t="s">
        <v>92</v>
      </c>
      <c r="E723" s="11" t="s">
        <v>187</v>
      </c>
      <c r="F723" s="11" t="s">
        <v>91</v>
      </c>
      <c r="G723" s="12" t="n">
        <v>60</v>
      </c>
      <c r="H723" s="12" t="n">
        <f aca="false">SUMPRODUCT(ПОТОКИ!B12:G12,ЧАСОВЫЕ_ПРОФИЛИ!B18:G18,КОЭФФИЦИЕНТЫ_ВЫБОРА!F41:K41)</f>
        <v>0.2592</v>
      </c>
      <c r="I723" s="12" t="n">
        <f aca="false">SUMPRODUCT(ПОТОКИ!B12:G12,ЧАСОВЫЕ_ПРОФИЛИ!B18:G18,КОЭФФИЦИЕНТЫ_ВЫБОРА!F41:K41,ПАРАМЕТРЫ!$B$17:$G$17)</f>
        <v>0.28512</v>
      </c>
      <c r="J723" s="12" t="n">
        <f aca="false">I723*G723/1000</f>
        <v>0.0171072</v>
      </c>
      <c r="K723" s="11" t="s">
        <v>217</v>
      </c>
      <c r="L723" s="11" t="s">
        <v>19</v>
      </c>
      <c r="M723" s="11" t="s">
        <v>145</v>
      </c>
    </row>
    <row r="724" customFormat="false" ht="15" hidden="false" customHeight="false" outlineLevel="0" collapsed="false">
      <c r="A724" s="11" t="s">
        <v>108</v>
      </c>
      <c r="B724" s="11" t="s">
        <v>132</v>
      </c>
      <c r="C724" s="11" t="n">
        <v>1</v>
      </c>
      <c r="D724" s="11" t="s">
        <v>74</v>
      </c>
      <c r="E724" s="11" t="s">
        <v>153</v>
      </c>
      <c r="F724" s="11" t="s">
        <v>73</v>
      </c>
      <c r="G724" s="12" t="n">
        <v>450</v>
      </c>
      <c r="H724" s="12" t="n">
        <f aca="false">SUMPRODUCT(ПОТОКИ!B12:G12,ЧАСОВЫЕ_ПРОФИЛИ!B19:G19,КОЭФФИЦИЕНТЫ_ВЫБОРА!F11:K11)</f>
        <v>0.1524</v>
      </c>
      <c r="I724" s="12" t="n">
        <f aca="false">SUMPRODUCT(ПОТОКИ!B12:G12,ЧАСОВЫЕ_ПРОФИЛИ!B19:G19,КОЭФФИЦИЕНТЫ_ВЫБОРА!F11:K11,ПАРАМЕТРЫ!$B$17:$G$17)</f>
        <v>0.16764</v>
      </c>
      <c r="J724" s="12" t="n">
        <f aca="false">I724*G724/1000</f>
        <v>0.075438</v>
      </c>
      <c r="K724" s="11" t="s">
        <v>217</v>
      </c>
      <c r="L724" s="11" t="s">
        <v>19</v>
      </c>
      <c r="M724" s="11" t="s">
        <v>145</v>
      </c>
    </row>
    <row r="725" customFormat="false" ht="15" hidden="false" customHeight="false" outlineLevel="0" collapsed="false">
      <c r="A725" s="11" t="s">
        <v>108</v>
      </c>
      <c r="B725" s="11" t="s">
        <v>132</v>
      </c>
      <c r="C725" s="11" t="n">
        <v>2</v>
      </c>
      <c r="D725" s="11" t="s">
        <v>74</v>
      </c>
      <c r="E725" s="11" t="s">
        <v>154</v>
      </c>
      <c r="F725" s="11" t="s">
        <v>73</v>
      </c>
      <c r="G725" s="12" t="n">
        <v>480</v>
      </c>
      <c r="H725" s="12" t="n">
        <f aca="false">SUMPRODUCT(ПОТОКИ!B12:G12,ЧАСОВЫЕ_ПРОФИЛИ!B19:G19,КОЭФФИЦИЕНТЫ_ВЫБОРА!F12:K12)</f>
        <v>0.2042</v>
      </c>
      <c r="I725" s="12" t="n">
        <f aca="false">SUMPRODUCT(ПОТОКИ!B12:G12,ЧАСОВЫЕ_ПРОФИЛИ!B19:G19,КОЭФФИЦИЕНТЫ_ВЫБОРА!F12:K12,ПАРАМЕТРЫ!$B$17:$G$17)</f>
        <v>0.22462</v>
      </c>
      <c r="J725" s="12" t="n">
        <f aca="false">I725*G725/1000</f>
        <v>0.1078176</v>
      </c>
      <c r="K725" s="11" t="s">
        <v>217</v>
      </c>
      <c r="L725" s="11" t="s">
        <v>19</v>
      </c>
      <c r="M725" s="11" t="s">
        <v>145</v>
      </c>
    </row>
    <row r="726" customFormat="false" ht="15" hidden="false" customHeight="false" outlineLevel="0" collapsed="false">
      <c r="A726" s="11" t="s">
        <v>108</v>
      </c>
      <c r="B726" s="11" t="s">
        <v>132</v>
      </c>
      <c r="C726" s="11" t="n">
        <v>3</v>
      </c>
      <c r="D726" s="11" t="s">
        <v>74</v>
      </c>
      <c r="E726" s="11" t="s">
        <v>155</v>
      </c>
      <c r="F726" s="11" t="s">
        <v>73</v>
      </c>
      <c r="G726" s="12" t="n">
        <v>500</v>
      </c>
      <c r="H726" s="12" t="n">
        <f aca="false">SUMPRODUCT(ПОТОКИ!B12:G12,ЧАСОВЫЕ_ПРОФИЛИ!B19:G19,КОЭФФИЦИЕНТЫ_ВЫБОРА!F13:K13)</f>
        <v>0.3438</v>
      </c>
      <c r="I726" s="12" t="n">
        <f aca="false">SUMPRODUCT(ПОТОКИ!B12:G12,ЧАСОВЫЕ_ПРОФИЛИ!B19:G19,КОЭФФИЦИЕНТЫ_ВЫБОРА!F13:K13,ПАРАМЕТРЫ!$B$17:$G$17)</f>
        <v>0.37818</v>
      </c>
      <c r="J726" s="12" t="n">
        <f aca="false">I726*G726/1000</f>
        <v>0.18909</v>
      </c>
      <c r="K726" s="11" t="s">
        <v>217</v>
      </c>
      <c r="L726" s="11" t="s">
        <v>19</v>
      </c>
      <c r="M726" s="11" t="s">
        <v>145</v>
      </c>
    </row>
    <row r="727" customFormat="false" ht="15" hidden="false" customHeight="false" outlineLevel="0" collapsed="false">
      <c r="A727" s="11" t="s">
        <v>108</v>
      </c>
      <c r="B727" s="11" t="s">
        <v>132</v>
      </c>
      <c r="C727" s="11" t="n">
        <v>4</v>
      </c>
      <c r="D727" s="11" t="s">
        <v>74</v>
      </c>
      <c r="E727" s="11" t="s">
        <v>156</v>
      </c>
      <c r="F727" s="11" t="s">
        <v>73</v>
      </c>
      <c r="G727" s="12" t="n">
        <v>500</v>
      </c>
      <c r="H727" s="12" t="n">
        <f aca="false">SUMPRODUCT(ПОТОКИ!B12:G12,ЧАСОВЫЕ_ПРОФИЛИ!B19:G19,КОЭФФИЦИЕНТЫ_ВЫБОРА!F14:K14)</f>
        <v>0.3956</v>
      </c>
      <c r="I727" s="12" t="n">
        <f aca="false">SUMPRODUCT(ПОТОКИ!B12:G12,ЧАСОВЫЕ_ПРОФИЛИ!B19:G19,КОЭФФИЦИЕНТЫ_ВЫБОРА!F14:K14,ПАРАМЕТРЫ!$B$17:$G$17)</f>
        <v>0.43516</v>
      </c>
      <c r="J727" s="12" t="n">
        <f aca="false">I727*G727/1000</f>
        <v>0.21758</v>
      </c>
      <c r="K727" s="11" t="s">
        <v>217</v>
      </c>
      <c r="L727" s="11" t="s">
        <v>19</v>
      </c>
      <c r="M727" s="11" t="s">
        <v>145</v>
      </c>
    </row>
    <row r="728" customFormat="false" ht="15" hidden="false" customHeight="false" outlineLevel="0" collapsed="false">
      <c r="A728" s="11" t="s">
        <v>108</v>
      </c>
      <c r="B728" s="11" t="s">
        <v>132</v>
      </c>
      <c r="C728" s="11" t="n">
        <v>5</v>
      </c>
      <c r="D728" s="11" t="s">
        <v>78</v>
      </c>
      <c r="E728" s="11" t="s">
        <v>157</v>
      </c>
      <c r="F728" s="11" t="s">
        <v>77</v>
      </c>
      <c r="G728" s="12" t="n">
        <v>100</v>
      </c>
      <c r="H728" s="12" t="n">
        <f aca="false">SUMPRODUCT(ПОТОКИ!B12:G12,ЧАСОВЫЕ_ПРОФИЛИ!B19:G19,КОЭФФИЦИЕНТЫ_ВЫБОРА!F15:K15)</f>
        <v>0.4332</v>
      </c>
      <c r="I728" s="12" t="n">
        <f aca="false">SUMPRODUCT(ПОТОКИ!B12:G12,ЧАСОВЫЕ_ПРОФИЛИ!B19:G19,КОЭФФИЦИЕНТЫ_ВЫБОРА!F15:K15,ПАРАМЕТРЫ!$B$17:$G$17)</f>
        <v>0.47652</v>
      </c>
      <c r="J728" s="12" t="n">
        <f aca="false">I728*G728/1000</f>
        <v>0.047652</v>
      </c>
      <c r="K728" s="11" t="s">
        <v>217</v>
      </c>
      <c r="L728" s="11" t="s">
        <v>19</v>
      </c>
      <c r="M728" s="11" t="s">
        <v>147</v>
      </c>
    </row>
    <row r="729" customFormat="false" ht="15" hidden="false" customHeight="false" outlineLevel="0" collapsed="false">
      <c r="A729" s="11" t="s">
        <v>108</v>
      </c>
      <c r="B729" s="11" t="s">
        <v>132</v>
      </c>
      <c r="C729" s="11" t="n">
        <v>6</v>
      </c>
      <c r="D729" s="11" t="s">
        <v>78</v>
      </c>
      <c r="E729" s="11" t="s">
        <v>158</v>
      </c>
      <c r="F729" s="11" t="s">
        <v>77</v>
      </c>
      <c r="G729" s="12" t="n">
        <v>100</v>
      </c>
      <c r="H729" s="12" t="n">
        <f aca="false">SUMPRODUCT(ПОТОКИ!B12:G12,ЧАСОВЫЕ_ПРОФИЛИ!B19:G19,КОЭФФИЦИЕНТЫ_ВЫБОРА!F16:K16)</f>
        <v>0.4104</v>
      </c>
      <c r="I729" s="12" t="n">
        <f aca="false">SUMPRODUCT(ПОТОКИ!B12:G12,ЧАСОВЫЕ_ПРОФИЛИ!B19:G19,КОЭФФИЦИЕНТЫ_ВЫБОРА!F16:K16,ПАРАМЕТРЫ!$B$17:$G$17)</f>
        <v>0.45144</v>
      </c>
      <c r="J729" s="12" t="n">
        <f aca="false">I729*G729/1000</f>
        <v>0.045144</v>
      </c>
      <c r="K729" s="11" t="s">
        <v>217</v>
      </c>
      <c r="L729" s="11" t="s">
        <v>19</v>
      </c>
      <c r="M729" s="11" t="s">
        <v>147</v>
      </c>
    </row>
    <row r="730" customFormat="false" ht="15" hidden="false" customHeight="false" outlineLevel="0" collapsed="false">
      <c r="A730" s="11" t="s">
        <v>108</v>
      </c>
      <c r="B730" s="11" t="s">
        <v>132</v>
      </c>
      <c r="C730" s="11" t="n">
        <v>7</v>
      </c>
      <c r="D730" s="11" t="s">
        <v>78</v>
      </c>
      <c r="E730" s="11" t="s">
        <v>159</v>
      </c>
      <c r="F730" s="11" t="s">
        <v>77</v>
      </c>
      <c r="G730" s="12" t="n">
        <v>350</v>
      </c>
      <c r="H730" s="12" t="n">
        <f aca="false">SUMPRODUCT(ПОТОКИ!B12:G12,ЧАСОВЫЕ_ПРОФИЛИ!B19:G19,КОЭФФИЦИЕНТЫ_ВЫБОРА!F17:K17)</f>
        <v>0.3534</v>
      </c>
      <c r="I730" s="12" t="n">
        <f aca="false">SUMPRODUCT(ПОТОКИ!B12:G12,ЧАСОВЫЕ_ПРОФИЛИ!B19:G19,КОЭФФИЦИЕНТЫ_ВЫБОРА!F17:K17,ПАРАМЕТРЫ!$B$17:$G$17)</f>
        <v>0.38874</v>
      </c>
      <c r="J730" s="12" t="n">
        <f aca="false">I730*G730/1000</f>
        <v>0.136059</v>
      </c>
      <c r="K730" s="11" t="s">
        <v>217</v>
      </c>
      <c r="L730" s="11" t="s">
        <v>19</v>
      </c>
      <c r="M730" s="11" t="s">
        <v>147</v>
      </c>
    </row>
    <row r="731" customFormat="false" ht="15" hidden="false" customHeight="false" outlineLevel="0" collapsed="false">
      <c r="A731" s="11" t="s">
        <v>108</v>
      </c>
      <c r="B731" s="11" t="s">
        <v>132</v>
      </c>
      <c r="C731" s="11" t="n">
        <v>8</v>
      </c>
      <c r="D731" s="11" t="s">
        <v>78</v>
      </c>
      <c r="E731" s="11" t="s">
        <v>160</v>
      </c>
      <c r="F731" s="11" t="s">
        <v>77</v>
      </c>
      <c r="G731" s="12" t="n">
        <v>85</v>
      </c>
      <c r="H731" s="12" t="n">
        <f aca="false">SUMPRODUCT(ПОТОКИ!B12:G12,ЧАСОВЫЕ_ПРОФИЛИ!B19:G19,КОЭФФИЦИЕНТЫ_ВЫБОРА!F18:K18)</f>
        <v>0.2166</v>
      </c>
      <c r="I731" s="12" t="n">
        <f aca="false">SUMPRODUCT(ПОТОКИ!B12:G12,ЧАСОВЫЕ_ПРОФИЛИ!B19:G19,КОЭФФИЦИЕНТЫ_ВЫБОРА!F18:K18,ПАРАМЕТРЫ!$B$17:$G$17)</f>
        <v>0.23826</v>
      </c>
      <c r="J731" s="12" t="n">
        <f aca="false">I731*G731/1000</f>
        <v>0.0202521</v>
      </c>
      <c r="K731" s="11" t="s">
        <v>217</v>
      </c>
      <c r="L731" s="11" t="s">
        <v>19</v>
      </c>
      <c r="M731" s="11" t="s">
        <v>147</v>
      </c>
    </row>
    <row r="732" customFormat="false" ht="15" hidden="false" customHeight="false" outlineLevel="0" collapsed="false">
      <c r="A732" s="11" t="s">
        <v>108</v>
      </c>
      <c r="B732" s="11" t="s">
        <v>132</v>
      </c>
      <c r="C732" s="11" t="n">
        <v>9</v>
      </c>
      <c r="D732" s="11" t="s">
        <v>161</v>
      </c>
      <c r="E732" s="11" t="s">
        <v>162</v>
      </c>
      <c r="F732" s="11" t="s">
        <v>80</v>
      </c>
      <c r="G732" s="12" t="n">
        <v>300</v>
      </c>
      <c r="H732" s="12" t="n">
        <f aca="false">SUMPRODUCT(ПОТОКИ!B12:G12,ЧАСОВЫЕ_ПРОФИЛИ!B19:G19,КОЭФФИЦИЕНТЫ_ВЫБОРА!F19:K19)</f>
        <v>0.164</v>
      </c>
      <c r="I732" s="12" t="n">
        <f aca="false">SUMPRODUCT(ПОТОКИ!B12:G12,ЧАСОВЫЕ_ПРОФИЛИ!B19:G19,КОЭФФИЦИЕНТЫ_ВЫБОРА!F19:K19,ПАРАМЕТРЫ!$B$17:$G$17)</f>
        <v>0.1804</v>
      </c>
      <c r="J732" s="12" t="n">
        <f aca="false">I732*G732/1000</f>
        <v>0.05412</v>
      </c>
      <c r="K732" s="11" t="s">
        <v>217</v>
      </c>
      <c r="L732" s="11" t="s">
        <v>19</v>
      </c>
      <c r="M732" s="11" t="s">
        <v>145</v>
      </c>
    </row>
    <row r="733" customFormat="false" ht="15" hidden="false" customHeight="false" outlineLevel="0" collapsed="false">
      <c r="A733" s="11" t="s">
        <v>108</v>
      </c>
      <c r="B733" s="11" t="s">
        <v>132</v>
      </c>
      <c r="C733" s="11" t="n">
        <v>10</v>
      </c>
      <c r="D733" s="11" t="s">
        <v>161</v>
      </c>
      <c r="E733" s="11" t="s">
        <v>163</v>
      </c>
      <c r="F733" s="11" t="s">
        <v>80</v>
      </c>
      <c r="G733" s="12" t="n">
        <v>280</v>
      </c>
      <c r="H733" s="12" t="n">
        <f aca="false">SUMPRODUCT(ПОТОКИ!B12:G12,ЧАСОВЫЕ_ПРОФИЛИ!B19:G19,КОЭФФИЦИЕНТЫ_ВЫБОРА!F20:K20)</f>
        <v>0.232</v>
      </c>
      <c r="I733" s="12" t="n">
        <f aca="false">SUMPRODUCT(ПОТОКИ!B12:G12,ЧАСОВЫЕ_ПРОФИЛИ!B19:G19,КОЭФФИЦИЕНТЫ_ВЫБОРА!F20:K20,ПАРАМЕТРЫ!$B$17:$G$17)</f>
        <v>0.2552</v>
      </c>
      <c r="J733" s="12" t="n">
        <f aca="false">I733*G733/1000</f>
        <v>0.071456</v>
      </c>
      <c r="K733" s="11" t="s">
        <v>217</v>
      </c>
      <c r="L733" s="11" t="s">
        <v>19</v>
      </c>
      <c r="M733" s="11" t="s">
        <v>145</v>
      </c>
    </row>
    <row r="734" customFormat="false" ht="15" hidden="false" customHeight="false" outlineLevel="0" collapsed="false">
      <c r="A734" s="11" t="s">
        <v>108</v>
      </c>
      <c r="B734" s="11" t="s">
        <v>132</v>
      </c>
      <c r="C734" s="11" t="n">
        <v>11</v>
      </c>
      <c r="D734" s="11" t="s">
        <v>161</v>
      </c>
      <c r="E734" s="11" t="s">
        <v>164</v>
      </c>
      <c r="F734" s="11" t="s">
        <v>80</v>
      </c>
      <c r="G734" s="12" t="n">
        <v>270</v>
      </c>
      <c r="H734" s="12" t="n">
        <f aca="false">SUMPRODUCT(ПОТОКИ!B12:G12,ЧАСОВЫЕ_ПРОФИЛИ!B19:G19,КОЭФФИЦИЕНТЫ_ВЫБОРА!F21:K21)</f>
        <v>0.4154</v>
      </c>
      <c r="I734" s="12" t="n">
        <f aca="false">SUMPRODUCT(ПОТОКИ!B12:G12,ЧАСОВЫЕ_ПРОФИЛИ!B19:G19,КОЭФФИЦИЕНТЫ_ВЫБОРА!F21:K21,ПАРАМЕТРЫ!$B$17:$G$17)</f>
        <v>0.45694</v>
      </c>
      <c r="J734" s="12" t="n">
        <f aca="false">I734*G734/1000</f>
        <v>0.1233738</v>
      </c>
      <c r="K734" s="11" t="s">
        <v>217</v>
      </c>
      <c r="L734" s="11" t="s">
        <v>19</v>
      </c>
      <c r="M734" s="11" t="s">
        <v>145</v>
      </c>
    </row>
    <row r="735" customFormat="false" ht="15" hidden="false" customHeight="false" outlineLevel="0" collapsed="false">
      <c r="A735" s="11" t="s">
        <v>108</v>
      </c>
      <c r="B735" s="11" t="s">
        <v>132</v>
      </c>
      <c r="C735" s="11" t="n">
        <v>12</v>
      </c>
      <c r="D735" s="11" t="s">
        <v>161</v>
      </c>
      <c r="E735" s="11" t="s">
        <v>165</v>
      </c>
      <c r="F735" s="11" t="s">
        <v>80</v>
      </c>
      <c r="G735" s="12" t="n">
        <v>240</v>
      </c>
      <c r="H735" s="12" t="n">
        <f aca="false">SUMPRODUCT(ПОТОКИ!B12:G12,ЧАСОВЫЕ_ПРОФИЛИ!B19:G19,КОЭФФИЦИЕНТЫ_ВЫБОРА!F22:K22)</f>
        <v>0.2526</v>
      </c>
      <c r="I735" s="12" t="n">
        <f aca="false">SUMPRODUCT(ПОТОКИ!B12:G12,ЧАСОВЫЕ_ПРОФИЛИ!B19:G19,КОЭФФИЦИЕНТЫ_ВЫБОРА!F22:K22,ПАРАМЕТРЫ!$B$17:$G$17)</f>
        <v>0.27786</v>
      </c>
      <c r="J735" s="12" t="n">
        <f aca="false">I735*G735/1000</f>
        <v>0.0666864</v>
      </c>
      <c r="K735" s="11" t="s">
        <v>217</v>
      </c>
      <c r="L735" s="11" t="s">
        <v>19</v>
      </c>
      <c r="M735" s="11" t="s">
        <v>145</v>
      </c>
    </row>
    <row r="736" customFormat="false" ht="15" hidden="false" customHeight="false" outlineLevel="0" collapsed="false">
      <c r="A736" s="11" t="s">
        <v>108</v>
      </c>
      <c r="B736" s="11" t="s">
        <v>132</v>
      </c>
      <c r="C736" s="11" t="n">
        <v>13</v>
      </c>
      <c r="D736" s="11" t="s">
        <v>166</v>
      </c>
      <c r="E736" s="11" t="s">
        <v>167</v>
      </c>
      <c r="F736" s="11" t="s">
        <v>80</v>
      </c>
      <c r="G736" s="12" t="n">
        <v>130</v>
      </c>
      <c r="H736" s="12" t="n">
        <f aca="false">SUMPRODUCT(ПОТОКИ!B12:G12,ЧАСОВЫЕ_ПРОФИЛИ!B19:G19,КОЭФФИЦИЕНТЫ_ВЫБОРА!F23:K23)</f>
        <v>0.084</v>
      </c>
      <c r="I736" s="12" t="n">
        <f aca="false">SUMPRODUCT(ПОТОКИ!B12:G12,ЧАСОВЫЕ_ПРОФИЛИ!B19:G19,КОЭФФИЦИЕНТЫ_ВЫБОРА!F23:K23,ПАРАМЕТРЫ!$B$17:$G$17)</f>
        <v>0.0924</v>
      </c>
      <c r="J736" s="12" t="n">
        <f aca="false">I736*G736/1000</f>
        <v>0.012012</v>
      </c>
      <c r="K736" s="11" t="s">
        <v>217</v>
      </c>
      <c r="L736" s="11" t="s">
        <v>19</v>
      </c>
      <c r="M736" s="11" t="s">
        <v>145</v>
      </c>
    </row>
    <row r="737" customFormat="false" ht="15" hidden="false" customHeight="false" outlineLevel="0" collapsed="false">
      <c r="A737" s="11" t="s">
        <v>108</v>
      </c>
      <c r="B737" s="11" t="s">
        <v>132</v>
      </c>
      <c r="C737" s="11" t="n">
        <v>14</v>
      </c>
      <c r="D737" s="11" t="s">
        <v>166</v>
      </c>
      <c r="E737" s="11" t="s">
        <v>168</v>
      </c>
      <c r="F737" s="11" t="s">
        <v>80</v>
      </c>
      <c r="G737" s="12" t="n">
        <v>250</v>
      </c>
      <c r="H737" s="12" t="n">
        <f aca="false">SUMPRODUCT(ПОТОКИ!B12:G12,ЧАСОВЫЕ_ПРОФИЛИ!B19:G19,КОЭФФИЦИЕНТЫ_ВЫБОРА!F24:K24)</f>
        <v>0.0884</v>
      </c>
      <c r="I737" s="12" t="n">
        <f aca="false">SUMPRODUCT(ПОТОКИ!B12:G12,ЧАСОВЫЕ_ПРОФИЛИ!B19:G19,КОЭФФИЦИЕНТЫ_ВЫБОРА!F24:K24,ПАРАМЕТРЫ!$B$17:$G$17)</f>
        <v>0.09724</v>
      </c>
      <c r="J737" s="12" t="n">
        <f aca="false">I737*G737/1000</f>
        <v>0.02431</v>
      </c>
      <c r="K737" s="11" t="s">
        <v>217</v>
      </c>
      <c r="L737" s="11" t="s">
        <v>19</v>
      </c>
      <c r="M737" s="11" t="s">
        <v>145</v>
      </c>
    </row>
    <row r="738" customFormat="false" ht="15" hidden="false" customHeight="false" outlineLevel="0" collapsed="false">
      <c r="A738" s="11" t="s">
        <v>108</v>
      </c>
      <c r="B738" s="11" t="s">
        <v>132</v>
      </c>
      <c r="C738" s="11" t="n">
        <v>15</v>
      </c>
      <c r="D738" s="11" t="s">
        <v>166</v>
      </c>
      <c r="E738" s="11" t="s">
        <v>169</v>
      </c>
      <c r="F738" s="11" t="s">
        <v>80</v>
      </c>
      <c r="G738" s="12" t="n">
        <v>120</v>
      </c>
      <c r="H738" s="12" t="n">
        <f aca="false">SUMPRODUCT(ПОТОКИ!B12:G12,ЧАСОВЫЕ_ПРОФИЛИ!B19:G19,КОЭФФИЦИЕНТЫ_ВЫБОРА!F25:K25)</f>
        <v>0.0584</v>
      </c>
      <c r="I738" s="12" t="n">
        <f aca="false">SUMPRODUCT(ПОТОКИ!B12:G12,ЧАСОВЫЕ_ПРОФИЛИ!B19:G19,КОЭФФИЦИЕНТЫ_ВЫБОРА!F25:K25,ПАРАМЕТРЫ!$B$17:$G$17)</f>
        <v>0.06424</v>
      </c>
      <c r="J738" s="12" t="n">
        <f aca="false">I738*G738/1000</f>
        <v>0.0077088</v>
      </c>
      <c r="K738" s="11" t="s">
        <v>217</v>
      </c>
      <c r="L738" s="11" t="s">
        <v>19</v>
      </c>
      <c r="M738" s="11" t="s">
        <v>145</v>
      </c>
    </row>
    <row r="739" customFormat="false" ht="15" hidden="false" customHeight="false" outlineLevel="0" collapsed="false">
      <c r="A739" s="11" t="s">
        <v>108</v>
      </c>
      <c r="B739" s="11" t="s">
        <v>132</v>
      </c>
      <c r="C739" s="11" t="n">
        <v>16</v>
      </c>
      <c r="D739" s="11" t="s">
        <v>166</v>
      </c>
      <c r="E739" s="11" t="s">
        <v>170</v>
      </c>
      <c r="F739" s="11" t="s">
        <v>80</v>
      </c>
      <c r="G739" s="12" t="n">
        <v>180</v>
      </c>
      <c r="H739" s="12" t="n">
        <f aca="false">SUMPRODUCT(ПОТОКИ!B12:G12,ЧАСОВЫЕ_ПРОФИЛИ!B19:G19,КОЭФФИЦИЕНТЫ_ВЫБОРА!F26:K26)</f>
        <v>0.1212</v>
      </c>
      <c r="I739" s="12" t="n">
        <f aca="false">SUMPRODUCT(ПОТОКИ!B12:G12,ЧАСОВЫЕ_ПРОФИЛИ!B19:G19,КОЭФФИЦИЕНТЫ_ВЫБОРА!F26:K26,ПАРАМЕТРЫ!$B$17:$G$17)</f>
        <v>0.13332</v>
      </c>
      <c r="J739" s="12" t="n">
        <f aca="false">I739*G739/1000</f>
        <v>0.0239976</v>
      </c>
      <c r="K739" s="11" t="s">
        <v>217</v>
      </c>
      <c r="L739" s="11" t="s">
        <v>19</v>
      </c>
      <c r="M739" s="11" t="s">
        <v>145</v>
      </c>
    </row>
    <row r="740" customFormat="false" ht="15" hidden="false" customHeight="false" outlineLevel="0" collapsed="false">
      <c r="A740" s="11" t="s">
        <v>108</v>
      </c>
      <c r="B740" s="11" t="s">
        <v>132</v>
      </c>
      <c r="C740" s="11" t="n">
        <v>17</v>
      </c>
      <c r="D740" s="11" t="s">
        <v>166</v>
      </c>
      <c r="E740" s="11" t="s">
        <v>171</v>
      </c>
      <c r="F740" s="11" t="s">
        <v>80</v>
      </c>
      <c r="G740" s="12" t="n">
        <v>180</v>
      </c>
      <c r="H740" s="12" t="n">
        <f aca="false">SUMPRODUCT(ПОТОКИ!B12:G12,ЧАСОВЫЕ_ПРОФИЛИ!B19:G19,КОЭФФИЦИЕНТЫ_ВЫБОРА!F27:K27)</f>
        <v>0.104</v>
      </c>
      <c r="I740" s="12" t="n">
        <f aca="false">SUMPRODUCT(ПОТОКИ!B12:G12,ЧАСОВЫЕ_ПРОФИЛИ!B19:G19,КОЭФФИЦИЕНТЫ_ВЫБОРА!F27:K27,ПАРАМЕТРЫ!$B$17:$G$17)</f>
        <v>0.1144</v>
      </c>
      <c r="J740" s="12" t="n">
        <f aca="false">I740*G740/1000</f>
        <v>0.020592</v>
      </c>
      <c r="K740" s="11" t="s">
        <v>217</v>
      </c>
      <c r="L740" s="11" t="s">
        <v>19</v>
      </c>
      <c r="M740" s="11" t="s">
        <v>145</v>
      </c>
    </row>
    <row r="741" customFormat="false" ht="15" hidden="false" customHeight="false" outlineLevel="0" collapsed="false">
      <c r="A741" s="11" t="s">
        <v>108</v>
      </c>
      <c r="B741" s="11" t="s">
        <v>132</v>
      </c>
      <c r="C741" s="11" t="n">
        <v>18</v>
      </c>
      <c r="D741" s="11" t="s">
        <v>172</v>
      </c>
      <c r="E741" s="11" t="s">
        <v>173</v>
      </c>
      <c r="F741" s="11" t="s">
        <v>83</v>
      </c>
      <c r="G741" s="12" t="n">
        <v>400</v>
      </c>
      <c r="H741" s="12" t="n">
        <f aca="false">SUMPRODUCT(ПОТОКИ!B12:G12,ЧАСОВЫЕ_ПРОФИЛИ!B19:G19,КОЭФФИЦИЕНТЫ_ВЫБОРА!F28:K28)</f>
        <v>0.828</v>
      </c>
      <c r="I741" s="12" t="n">
        <f aca="false">SUMPRODUCT(ПОТОКИ!B12:G12,ЧАСОВЫЕ_ПРОФИЛИ!B19:G19,КОЭФФИЦИЕНТЫ_ВЫБОРА!F28:K28,ПАРАМЕТРЫ!$B$17:$G$17)</f>
        <v>0.9108</v>
      </c>
      <c r="J741" s="12" t="n">
        <f aca="false">I741*G741/1000</f>
        <v>0.36432</v>
      </c>
      <c r="K741" s="11" t="s">
        <v>217</v>
      </c>
      <c r="L741" s="11" t="s">
        <v>19</v>
      </c>
      <c r="M741" s="11" t="s">
        <v>145</v>
      </c>
    </row>
    <row r="742" customFormat="false" ht="23.85" hidden="false" customHeight="false" outlineLevel="0" collapsed="false">
      <c r="A742" s="11" t="s">
        <v>108</v>
      </c>
      <c r="B742" s="11" t="s">
        <v>132</v>
      </c>
      <c r="C742" s="11" t="n">
        <v>19</v>
      </c>
      <c r="D742" s="11" t="s">
        <v>174</v>
      </c>
      <c r="E742" s="11" t="s">
        <v>175</v>
      </c>
      <c r="F742" s="11" t="s">
        <v>83</v>
      </c>
      <c r="G742" s="12" t="n">
        <v>300</v>
      </c>
      <c r="H742" s="12" t="n">
        <f aca="false">SUMPRODUCT(ПОТОКИ!B12:G12,ЧАСОВЫЕ_ПРОФИЛИ!B19:G19,КОЭФФИЦИЕНТЫ_ВЫБОРА!F29:K29)</f>
        <v>0.754</v>
      </c>
      <c r="I742" s="12" t="n">
        <f aca="false">SUMPRODUCT(ПОТОКИ!B12:G12,ЧАСОВЫЕ_ПРОФИЛИ!B19:G19,КОЭФФИЦИЕНТЫ_ВЫБОРА!F29:K29,ПАРАМЕТРЫ!$B$17:$G$17)</f>
        <v>0.8294</v>
      </c>
      <c r="J742" s="12" t="n">
        <f aca="false">I742*G742/1000</f>
        <v>0.24882</v>
      </c>
      <c r="K742" s="11" t="s">
        <v>217</v>
      </c>
      <c r="L742" s="11" t="s">
        <v>19</v>
      </c>
      <c r="M742" s="11" t="s">
        <v>145</v>
      </c>
    </row>
    <row r="743" customFormat="false" ht="15" hidden="false" customHeight="false" outlineLevel="0" collapsed="false">
      <c r="A743" s="11" t="s">
        <v>108</v>
      </c>
      <c r="B743" s="11" t="s">
        <v>132</v>
      </c>
      <c r="C743" s="11" t="n">
        <v>20</v>
      </c>
      <c r="D743" s="11" t="s">
        <v>174</v>
      </c>
      <c r="E743" s="11" t="s">
        <v>176</v>
      </c>
      <c r="F743" s="11" t="s">
        <v>83</v>
      </c>
      <c r="G743" s="12" t="n">
        <v>360</v>
      </c>
      <c r="H743" s="12" t="n">
        <f aca="false">SUMPRODUCT(ПОТОКИ!B12:G12,ЧАСОВЫЕ_ПРОФИЛИ!B19:G19,КОЭФФИЦИЕНТЫ_ВЫБОРА!F30:K30)</f>
        <v>0.5864</v>
      </c>
      <c r="I743" s="12" t="n">
        <f aca="false">SUMPRODUCT(ПОТОКИ!B12:G12,ЧАСОВЫЕ_ПРОФИЛИ!B19:G19,КОЭФФИЦИЕНТЫ_ВЫБОРА!F30:K30,ПАРАМЕТРЫ!$B$17:$G$17)</f>
        <v>0.64504</v>
      </c>
      <c r="J743" s="12" t="n">
        <f aca="false">I743*G743/1000</f>
        <v>0.2322144</v>
      </c>
      <c r="K743" s="11" t="s">
        <v>217</v>
      </c>
      <c r="L743" s="11" t="s">
        <v>19</v>
      </c>
      <c r="M743" s="11" t="s">
        <v>145</v>
      </c>
    </row>
    <row r="744" customFormat="false" ht="15" hidden="false" customHeight="false" outlineLevel="0" collapsed="false">
      <c r="A744" s="11" t="s">
        <v>108</v>
      </c>
      <c r="B744" s="11" t="s">
        <v>132</v>
      </c>
      <c r="C744" s="11" t="n">
        <v>21</v>
      </c>
      <c r="D744" s="11" t="s">
        <v>174</v>
      </c>
      <c r="E744" s="11" t="s">
        <v>177</v>
      </c>
      <c r="F744" s="11" t="s">
        <v>83</v>
      </c>
      <c r="G744" s="12" t="n">
        <v>350</v>
      </c>
      <c r="H744" s="12" t="n">
        <f aca="false">SUMPRODUCT(ПОТОКИ!B12:G12,ЧАСОВЫЕ_ПРОФИЛИ!B19:G19,КОЭФФИЦИЕНТЫ_ВЫБОРА!F31:K31)</f>
        <v>0.9666</v>
      </c>
      <c r="I744" s="12" t="n">
        <f aca="false">SUMPRODUCT(ПОТОКИ!B12:G12,ЧАСОВЫЕ_ПРОФИЛИ!B19:G19,КОЭФФИЦИЕНТЫ_ВЫБОРА!F31:K31,ПАРАМЕТРЫ!$B$17:$G$17)</f>
        <v>1.06326</v>
      </c>
      <c r="J744" s="12" t="n">
        <f aca="false">I744*G744/1000</f>
        <v>0.372141</v>
      </c>
      <c r="K744" s="11" t="s">
        <v>217</v>
      </c>
      <c r="L744" s="11" t="s">
        <v>19</v>
      </c>
      <c r="M744" s="11" t="s">
        <v>145</v>
      </c>
    </row>
    <row r="745" customFormat="false" ht="15" hidden="false" customHeight="false" outlineLevel="0" collapsed="false">
      <c r="A745" s="11" t="s">
        <v>108</v>
      </c>
      <c r="B745" s="11" t="s">
        <v>132</v>
      </c>
      <c r="C745" s="11" t="n">
        <v>22</v>
      </c>
      <c r="D745" s="11" t="s">
        <v>174</v>
      </c>
      <c r="E745" s="11" t="s">
        <v>178</v>
      </c>
      <c r="F745" s="11" t="s">
        <v>83</v>
      </c>
      <c r="G745" s="12" t="n">
        <v>300</v>
      </c>
      <c r="H745" s="12" t="n">
        <f aca="false">SUMPRODUCT(ПОТОКИ!B12:G12,ЧАСОВЫЕ_ПРОФИЛИ!B19:G19,КОЭФФИЦИЕНТЫ_ВЫБОРА!F32:K32)</f>
        <v>0.505</v>
      </c>
      <c r="I745" s="12" t="n">
        <f aca="false">SUMPRODUCT(ПОТОКИ!B12:G12,ЧАСОВЫЕ_ПРОФИЛИ!B19:G19,КОЭФФИЦИЕНТЫ_ВЫБОРА!F32:K32,ПАРАМЕТРЫ!$B$17:$G$17)</f>
        <v>0.5555</v>
      </c>
      <c r="J745" s="12" t="n">
        <f aca="false">I745*G745/1000</f>
        <v>0.16665</v>
      </c>
      <c r="K745" s="11" t="s">
        <v>217</v>
      </c>
      <c r="L745" s="11" t="s">
        <v>19</v>
      </c>
      <c r="M745" s="11" t="s">
        <v>145</v>
      </c>
    </row>
    <row r="746" customFormat="false" ht="15" hidden="false" customHeight="false" outlineLevel="0" collapsed="false">
      <c r="A746" s="11" t="s">
        <v>108</v>
      </c>
      <c r="B746" s="11" t="s">
        <v>132</v>
      </c>
      <c r="C746" s="11" t="n">
        <v>23</v>
      </c>
      <c r="D746" s="11" t="s">
        <v>86</v>
      </c>
      <c r="E746" s="11" t="s">
        <v>179</v>
      </c>
      <c r="F746" s="11" t="s">
        <v>85</v>
      </c>
      <c r="G746" s="12" t="n">
        <v>150</v>
      </c>
      <c r="H746" s="12" t="n">
        <f aca="false">SUMPRODUCT(ПОТОКИ!B12:G12,ЧАСОВЫЕ_ПРОФИЛИ!B19:G19,КОЭФФИЦИЕНТЫ_ВЫБОРА!F33:K33)</f>
        <v>0.669326</v>
      </c>
      <c r="I746" s="12" t="n">
        <f aca="false">SUMPRODUCT(ПОТОКИ!B12:G12,ЧАСОВЫЕ_ПРОФИЛИ!B19:G19,КОЭФФИЦИЕНТЫ_ВЫБОРА!F33:K33,ПАРАМЕТРЫ!$B$17:$G$17)</f>
        <v>0.7362586</v>
      </c>
      <c r="J746" s="12" t="n">
        <f aca="false">I746*G746/1000</f>
        <v>0.11043879</v>
      </c>
      <c r="K746" s="11" t="s">
        <v>217</v>
      </c>
      <c r="L746" s="11" t="s">
        <v>19</v>
      </c>
      <c r="M746" s="11" t="s">
        <v>147</v>
      </c>
    </row>
    <row r="747" customFormat="false" ht="15" hidden="false" customHeight="false" outlineLevel="0" collapsed="false">
      <c r="A747" s="11" t="s">
        <v>108</v>
      </c>
      <c r="B747" s="11" t="s">
        <v>132</v>
      </c>
      <c r="C747" s="11" t="n">
        <v>24</v>
      </c>
      <c r="D747" s="11" t="s">
        <v>86</v>
      </c>
      <c r="E747" s="11" t="s">
        <v>180</v>
      </c>
      <c r="F747" s="11" t="s">
        <v>85</v>
      </c>
      <c r="G747" s="12" t="n">
        <v>150</v>
      </c>
      <c r="H747" s="12" t="n">
        <f aca="false">SUMPRODUCT(ПОТОКИ!B12:G12,ЧАСОВЫЕ_ПРОФИЛИ!B19:G19,КОЭФФИЦИЕНТЫ_ВЫБОРА!F34:K34)</f>
        <v>0.287788</v>
      </c>
      <c r="I747" s="12" t="n">
        <f aca="false">SUMPRODUCT(ПОТОКИ!B12:G12,ЧАСОВЫЕ_ПРОФИЛИ!B19:G19,КОЭФФИЦИЕНТЫ_ВЫБОРА!F34:K34,ПАРАМЕТРЫ!$B$17:$G$17)</f>
        <v>0.3165668</v>
      </c>
      <c r="J747" s="12" t="n">
        <f aca="false">I747*G747/1000</f>
        <v>0.04748502</v>
      </c>
      <c r="K747" s="11" t="s">
        <v>217</v>
      </c>
      <c r="L747" s="11" t="s">
        <v>19</v>
      </c>
      <c r="M747" s="11" t="s">
        <v>147</v>
      </c>
    </row>
    <row r="748" customFormat="false" ht="15" hidden="false" customHeight="false" outlineLevel="0" collapsed="false">
      <c r="A748" s="11" t="s">
        <v>108</v>
      </c>
      <c r="B748" s="11" t="s">
        <v>132</v>
      </c>
      <c r="C748" s="11" t="n">
        <v>25</v>
      </c>
      <c r="D748" s="11" t="s">
        <v>86</v>
      </c>
      <c r="E748" s="11" t="s">
        <v>181</v>
      </c>
      <c r="F748" s="11" t="s">
        <v>85</v>
      </c>
      <c r="G748" s="12" t="n">
        <v>150</v>
      </c>
      <c r="H748" s="12" t="n">
        <f aca="false">SUMPRODUCT(ПОТОКИ!B12:G12,ЧАСОВЫЕ_ПРОФИЛИ!B19:G19,КОЭФФИЦИЕНТЫ_ВЫБОРА!F35:K35)</f>
        <v>0.481826</v>
      </c>
      <c r="I748" s="12" t="n">
        <f aca="false">SUMPRODUCT(ПОТОКИ!B12:G12,ЧАСОВЫЕ_ПРОФИЛИ!B19:G19,КОЭФФИЦИЕНТЫ_ВЫБОРА!F35:K35,ПАРАМЕТРЫ!$B$17:$G$17)</f>
        <v>0.5300086</v>
      </c>
      <c r="J748" s="12" t="n">
        <f aca="false">I748*G748/1000</f>
        <v>0.07950129</v>
      </c>
      <c r="K748" s="11" t="s">
        <v>217</v>
      </c>
      <c r="L748" s="11" t="s">
        <v>19</v>
      </c>
      <c r="M748" s="11" t="s">
        <v>147</v>
      </c>
    </row>
    <row r="749" customFormat="false" ht="23.85" hidden="false" customHeight="false" outlineLevel="0" collapsed="false">
      <c r="A749" s="11" t="s">
        <v>108</v>
      </c>
      <c r="B749" s="11" t="s">
        <v>132</v>
      </c>
      <c r="C749" s="11" t="n">
        <v>26</v>
      </c>
      <c r="D749" s="11" t="s">
        <v>89</v>
      </c>
      <c r="E749" s="11" t="s">
        <v>182</v>
      </c>
      <c r="F749" s="11" t="s">
        <v>88</v>
      </c>
      <c r="G749" s="12" t="n">
        <v>225</v>
      </c>
      <c r="H749" s="12" t="n">
        <f aca="false">SUMPRODUCT(ПОТОКИ!B12:G12,ЧАСОВЫЕ_ПРОФИЛИ!B19:G19,КОЭФФИЦИЕНТЫ_ВЫБОРА!F36:K36)</f>
        <v>0</v>
      </c>
      <c r="I749" s="12" t="n">
        <f aca="false">SUMPRODUCT(ПОТОКИ!B12:G12,ЧАСОВЫЕ_ПРОФИЛИ!B19:G19,КОЭФФИЦИЕНТЫ_ВЫБОРА!F36:K36,ПАРАМЕТРЫ!$B$17:$G$17)</f>
        <v>0</v>
      </c>
      <c r="J749" s="12" t="n">
        <f aca="false">I749*G749/1000</f>
        <v>0</v>
      </c>
      <c r="K749" s="11" t="s">
        <v>217</v>
      </c>
      <c r="L749" s="11" t="s">
        <v>19</v>
      </c>
      <c r="M749" s="11" t="s">
        <v>145</v>
      </c>
    </row>
    <row r="750" customFormat="false" ht="23.85" hidden="false" customHeight="false" outlineLevel="0" collapsed="false">
      <c r="A750" s="11" t="s">
        <v>108</v>
      </c>
      <c r="B750" s="11" t="s">
        <v>132</v>
      </c>
      <c r="C750" s="11" t="n">
        <v>27</v>
      </c>
      <c r="D750" s="11" t="s">
        <v>89</v>
      </c>
      <c r="E750" s="11" t="s">
        <v>183</v>
      </c>
      <c r="F750" s="11" t="s">
        <v>88</v>
      </c>
      <c r="G750" s="12" t="n">
        <v>265</v>
      </c>
      <c r="H750" s="12" t="n">
        <f aca="false">SUMPRODUCT(ПОТОКИ!B12:G12,ЧАСОВЫЕ_ПРОФИЛИ!B19:G19,КОЭФФИЦИЕНТЫ_ВЫБОРА!F37:K37)</f>
        <v>0</v>
      </c>
      <c r="I750" s="12" t="n">
        <f aca="false">SUMPRODUCT(ПОТОКИ!B12:G12,ЧАСОВЫЕ_ПРОФИЛИ!B19:G19,КОЭФФИЦИЕНТЫ_ВЫБОРА!F37:K37,ПАРАМЕТРЫ!$B$17:$G$17)</f>
        <v>0</v>
      </c>
      <c r="J750" s="12" t="n">
        <f aca="false">I750*G750/1000</f>
        <v>0</v>
      </c>
      <c r="K750" s="11" t="s">
        <v>217</v>
      </c>
      <c r="L750" s="11" t="s">
        <v>19</v>
      </c>
      <c r="M750" s="11" t="s">
        <v>145</v>
      </c>
    </row>
    <row r="751" customFormat="false" ht="23.85" hidden="false" customHeight="false" outlineLevel="0" collapsed="false">
      <c r="A751" s="11" t="s">
        <v>108</v>
      </c>
      <c r="B751" s="11" t="s">
        <v>132</v>
      </c>
      <c r="C751" s="11" t="n">
        <v>28</v>
      </c>
      <c r="D751" s="11" t="s">
        <v>89</v>
      </c>
      <c r="E751" s="11" t="s">
        <v>184</v>
      </c>
      <c r="F751" s="11" t="s">
        <v>88</v>
      </c>
      <c r="G751" s="12" t="n">
        <v>355</v>
      </c>
      <c r="H751" s="12" t="n">
        <f aca="false">SUMPRODUCT(ПОТОКИ!B12:G12,ЧАСОВЫЕ_ПРОФИЛИ!B19:G19,КОЭФФИЦИЕНТЫ_ВЫБОРА!F38:K38)</f>
        <v>0</v>
      </c>
      <c r="I751" s="12" t="n">
        <f aca="false">SUMPRODUCT(ПОТОКИ!B12:G12,ЧАСОВЫЕ_ПРОФИЛИ!B19:G19,КОЭФФИЦИЕНТЫ_ВЫБОРА!F38:K38,ПАРАМЕТРЫ!$B$17:$G$17)</f>
        <v>0</v>
      </c>
      <c r="J751" s="12" t="n">
        <f aca="false">I751*G751/1000</f>
        <v>0</v>
      </c>
      <c r="K751" s="11" t="s">
        <v>217</v>
      </c>
      <c r="L751" s="11" t="s">
        <v>19</v>
      </c>
      <c r="M751" s="11" t="s">
        <v>145</v>
      </c>
    </row>
    <row r="752" customFormat="false" ht="15" hidden="false" customHeight="false" outlineLevel="0" collapsed="false">
      <c r="A752" s="11" t="s">
        <v>108</v>
      </c>
      <c r="B752" s="11" t="s">
        <v>132</v>
      </c>
      <c r="C752" s="11" t="n">
        <v>29</v>
      </c>
      <c r="D752" s="11" t="s">
        <v>92</v>
      </c>
      <c r="E752" s="11" t="s">
        <v>185</v>
      </c>
      <c r="F752" s="11" t="s">
        <v>91</v>
      </c>
      <c r="G752" s="12" t="n">
        <v>150</v>
      </c>
      <c r="H752" s="12" t="n">
        <f aca="false">SUMPRODUCT(ПОТОКИ!B12:G12,ЧАСОВЫЕ_ПРОФИЛИ!B19:G19,КОЭФФИЦИЕНТЫ_ВЫБОРА!F39:K39)</f>
        <v>0.2388</v>
      </c>
      <c r="I752" s="12" t="n">
        <f aca="false">SUMPRODUCT(ПОТОКИ!B12:G12,ЧАСОВЫЕ_ПРОФИЛИ!B19:G19,КОЭФФИЦИЕНТЫ_ВЫБОРА!F39:K39,ПАРАМЕТРЫ!$B$17:$G$17)</f>
        <v>0.26268</v>
      </c>
      <c r="J752" s="12" t="n">
        <f aca="false">I752*G752/1000</f>
        <v>0.039402</v>
      </c>
      <c r="K752" s="11" t="s">
        <v>217</v>
      </c>
      <c r="L752" s="11" t="s">
        <v>19</v>
      </c>
      <c r="M752" s="11" t="s">
        <v>145</v>
      </c>
    </row>
    <row r="753" customFormat="false" ht="15" hidden="false" customHeight="false" outlineLevel="0" collapsed="false">
      <c r="A753" s="11" t="s">
        <v>108</v>
      </c>
      <c r="B753" s="11" t="s">
        <v>132</v>
      </c>
      <c r="C753" s="11" t="n">
        <v>30</v>
      </c>
      <c r="D753" s="11" t="s">
        <v>92</v>
      </c>
      <c r="E753" s="11" t="s">
        <v>186</v>
      </c>
      <c r="F753" s="11" t="s">
        <v>91</v>
      </c>
      <c r="G753" s="12" t="n">
        <v>120</v>
      </c>
      <c r="H753" s="12" t="n">
        <f aca="false">SUMPRODUCT(ПОТОКИ!B12:G12,ЧАСОВЫЕ_ПРОФИЛИ!B19:G19,КОЭФФИЦИЕНТЫ_ВЫБОРА!F40:K40)</f>
        <v>0.2388</v>
      </c>
      <c r="I753" s="12" t="n">
        <f aca="false">SUMPRODUCT(ПОТОКИ!B12:G12,ЧАСОВЫЕ_ПРОФИЛИ!B19:G19,КОЭФФИЦИЕНТЫ_ВЫБОРА!F40:K40,ПАРАМЕТРЫ!$B$17:$G$17)</f>
        <v>0.26268</v>
      </c>
      <c r="J753" s="12" t="n">
        <f aca="false">I753*G753/1000</f>
        <v>0.0315216</v>
      </c>
      <c r="K753" s="11" t="s">
        <v>217</v>
      </c>
      <c r="L753" s="11" t="s">
        <v>19</v>
      </c>
      <c r="M753" s="11" t="s">
        <v>145</v>
      </c>
    </row>
    <row r="754" customFormat="false" ht="15" hidden="false" customHeight="false" outlineLevel="0" collapsed="false">
      <c r="A754" s="11" t="s">
        <v>108</v>
      </c>
      <c r="B754" s="11" t="s">
        <v>132</v>
      </c>
      <c r="C754" s="11" t="n">
        <v>31</v>
      </c>
      <c r="D754" s="11" t="s">
        <v>92</v>
      </c>
      <c r="E754" s="11" t="s">
        <v>187</v>
      </c>
      <c r="F754" s="11" t="s">
        <v>91</v>
      </c>
      <c r="G754" s="12" t="n">
        <v>60</v>
      </c>
      <c r="H754" s="12" t="n">
        <f aca="false">SUMPRODUCT(ПОТОКИ!B12:G12,ЧАСОВЫЕ_ПРОФИЛИ!B19:G19,КОЭФФИЦИЕНТЫ_ВЫБОРА!F41:K41)</f>
        <v>0.2544</v>
      </c>
      <c r="I754" s="12" t="n">
        <f aca="false">SUMPRODUCT(ПОТОКИ!B12:G12,ЧАСОВЫЕ_ПРОФИЛИ!B19:G19,КОЭФФИЦИЕНТЫ_ВЫБОРА!F41:K41,ПАРАМЕТРЫ!$B$17:$G$17)</f>
        <v>0.27984</v>
      </c>
      <c r="J754" s="12" t="n">
        <f aca="false">I754*G754/1000</f>
        <v>0.0167904</v>
      </c>
      <c r="K754" s="11" t="s">
        <v>217</v>
      </c>
      <c r="L754" s="11" t="s">
        <v>19</v>
      </c>
      <c r="M754" s="11" t="s">
        <v>145</v>
      </c>
    </row>
    <row r="755" customFormat="false" ht="15" hidden="false" customHeight="false" outlineLevel="0" collapsed="false">
      <c r="A755" s="11" t="s">
        <v>108</v>
      </c>
      <c r="B755" s="11" t="s">
        <v>133</v>
      </c>
      <c r="C755" s="11" t="n">
        <v>1</v>
      </c>
      <c r="D755" s="11" t="s">
        <v>74</v>
      </c>
      <c r="E755" s="11" t="s">
        <v>153</v>
      </c>
      <c r="F755" s="11" t="s">
        <v>73</v>
      </c>
      <c r="G755" s="12" t="n">
        <v>450</v>
      </c>
      <c r="H755" s="12" t="n">
        <f aca="false">SUMPRODUCT(ПОТОКИ!B12:G12,ЧАСОВЫЕ_ПРОФИЛИ!B20:G20,КОЭФФИЦИЕНТЫ_ВЫБОРА!F11:K11)</f>
        <v>0.0924</v>
      </c>
      <c r="I755" s="12" t="n">
        <f aca="false">SUMPRODUCT(ПОТОКИ!B12:G12,ЧАСОВЫЕ_ПРОФИЛИ!B20:G20,КОЭФФИЦИЕНТЫ_ВЫБОРА!F11:K11,ПАРАМЕТРЫ!$B$17:$G$17)</f>
        <v>0.10164</v>
      </c>
      <c r="J755" s="12" t="n">
        <f aca="false">I755*G755/1000</f>
        <v>0.045738</v>
      </c>
      <c r="K755" s="11" t="s">
        <v>217</v>
      </c>
      <c r="L755" s="11" t="s">
        <v>19</v>
      </c>
      <c r="M755" s="11" t="s">
        <v>145</v>
      </c>
    </row>
    <row r="756" customFormat="false" ht="15" hidden="false" customHeight="false" outlineLevel="0" collapsed="false">
      <c r="A756" s="11" t="s">
        <v>108</v>
      </c>
      <c r="B756" s="11" t="s">
        <v>133</v>
      </c>
      <c r="C756" s="11" t="n">
        <v>2</v>
      </c>
      <c r="D756" s="11" t="s">
        <v>74</v>
      </c>
      <c r="E756" s="11" t="s">
        <v>154</v>
      </c>
      <c r="F756" s="11" t="s">
        <v>73</v>
      </c>
      <c r="G756" s="12" t="n">
        <v>480</v>
      </c>
      <c r="H756" s="12" t="n">
        <f aca="false">SUMPRODUCT(ПОТОКИ!B12:G12,ЧАСОВЫЕ_ПРОФИЛИ!B20:G20,КОЭФФИЦИЕНТЫ_ВЫБОРА!F12:K12)</f>
        <v>0.1592</v>
      </c>
      <c r="I756" s="12" t="n">
        <f aca="false">SUMPRODUCT(ПОТОКИ!B12:G12,ЧАСОВЫЕ_ПРОФИЛИ!B20:G20,КОЭФФИЦИЕНТЫ_ВЫБОРА!F12:K12,ПАРАМЕТРЫ!$B$17:$G$17)</f>
        <v>0.17512</v>
      </c>
      <c r="J756" s="12" t="n">
        <f aca="false">I756*G756/1000</f>
        <v>0.0840576</v>
      </c>
      <c r="K756" s="11" t="s">
        <v>217</v>
      </c>
      <c r="L756" s="11" t="s">
        <v>19</v>
      </c>
      <c r="M756" s="11" t="s">
        <v>145</v>
      </c>
    </row>
    <row r="757" customFormat="false" ht="15" hidden="false" customHeight="false" outlineLevel="0" collapsed="false">
      <c r="A757" s="11" t="s">
        <v>108</v>
      </c>
      <c r="B757" s="11" t="s">
        <v>133</v>
      </c>
      <c r="C757" s="11" t="n">
        <v>3</v>
      </c>
      <c r="D757" s="11" t="s">
        <v>74</v>
      </c>
      <c r="E757" s="11" t="s">
        <v>155</v>
      </c>
      <c r="F757" s="11" t="s">
        <v>73</v>
      </c>
      <c r="G757" s="12" t="n">
        <v>500</v>
      </c>
      <c r="H757" s="12" t="n">
        <f aca="false">SUMPRODUCT(ПОТОКИ!B12:G12,ЧАСОВЫЕ_ПРОФИЛИ!B20:G20,КОЭФФИЦИЕНТЫ_ВЫБОРА!F13:K13)</f>
        <v>0.2388</v>
      </c>
      <c r="I757" s="12" t="n">
        <f aca="false">SUMPRODUCT(ПОТОКИ!B12:G12,ЧАСОВЫЕ_ПРОФИЛИ!B20:G20,КОЭФФИЦИЕНТЫ_ВЫБОРА!F13:K13,ПАРАМЕТРЫ!$B$17:$G$17)</f>
        <v>0.26268</v>
      </c>
      <c r="J757" s="12" t="n">
        <f aca="false">I757*G757/1000</f>
        <v>0.13134</v>
      </c>
      <c r="K757" s="11" t="s">
        <v>217</v>
      </c>
      <c r="L757" s="11" t="s">
        <v>19</v>
      </c>
      <c r="M757" s="11" t="s">
        <v>145</v>
      </c>
    </row>
    <row r="758" customFormat="false" ht="15" hidden="false" customHeight="false" outlineLevel="0" collapsed="false">
      <c r="A758" s="11" t="s">
        <v>108</v>
      </c>
      <c r="B758" s="11" t="s">
        <v>133</v>
      </c>
      <c r="C758" s="11" t="n">
        <v>4</v>
      </c>
      <c r="D758" s="11" t="s">
        <v>74</v>
      </c>
      <c r="E758" s="11" t="s">
        <v>156</v>
      </c>
      <c r="F758" s="11" t="s">
        <v>73</v>
      </c>
      <c r="G758" s="12" t="n">
        <v>500</v>
      </c>
      <c r="H758" s="12" t="n">
        <f aca="false">SUMPRODUCT(ПОТОКИ!B12:G12,ЧАСОВЫЕ_ПРОФИЛИ!B20:G20,КОЭФФИЦИЕНТЫ_ВЫБОРА!F14:K14)</f>
        <v>0.3056</v>
      </c>
      <c r="I758" s="12" t="n">
        <f aca="false">SUMPRODUCT(ПОТОКИ!B12:G12,ЧАСОВЫЕ_ПРОФИЛИ!B20:G20,КОЭФФИЦИЕНТЫ_ВЫБОРА!F14:K14,ПАРАМЕТРЫ!$B$17:$G$17)</f>
        <v>0.33616</v>
      </c>
      <c r="J758" s="12" t="n">
        <f aca="false">I758*G758/1000</f>
        <v>0.16808</v>
      </c>
      <c r="K758" s="11" t="s">
        <v>217</v>
      </c>
      <c r="L758" s="11" t="s">
        <v>19</v>
      </c>
      <c r="M758" s="11" t="s">
        <v>145</v>
      </c>
    </row>
    <row r="759" customFormat="false" ht="15" hidden="false" customHeight="false" outlineLevel="0" collapsed="false">
      <c r="A759" s="11" t="s">
        <v>108</v>
      </c>
      <c r="B759" s="11" t="s">
        <v>133</v>
      </c>
      <c r="C759" s="11" t="n">
        <v>5</v>
      </c>
      <c r="D759" s="11" t="s">
        <v>78</v>
      </c>
      <c r="E759" s="11" t="s">
        <v>157</v>
      </c>
      <c r="F759" s="11" t="s">
        <v>77</v>
      </c>
      <c r="G759" s="12" t="n">
        <v>100</v>
      </c>
      <c r="H759" s="12" t="n">
        <f aca="false">SUMPRODUCT(ПОТОКИ!B12:G12,ЧАСОВЫЕ_ПРОФИЛИ!B20:G20,КОЭФФИЦИЕНТЫ_ВЫБОРА!F15:K15)</f>
        <v>0.3932</v>
      </c>
      <c r="I759" s="12" t="n">
        <f aca="false">SUMPRODUCT(ПОТОКИ!B12:G12,ЧАСОВЫЕ_ПРОФИЛИ!B20:G20,КОЭФФИЦИЕНТЫ_ВЫБОРА!F15:K15,ПАРАМЕТРЫ!$B$17:$G$17)</f>
        <v>0.43252</v>
      </c>
      <c r="J759" s="12" t="n">
        <f aca="false">I759*G759/1000</f>
        <v>0.043252</v>
      </c>
      <c r="K759" s="11" t="s">
        <v>217</v>
      </c>
      <c r="L759" s="11" t="s">
        <v>19</v>
      </c>
      <c r="M759" s="11" t="s">
        <v>147</v>
      </c>
    </row>
    <row r="760" customFormat="false" ht="15" hidden="false" customHeight="false" outlineLevel="0" collapsed="false">
      <c r="A760" s="11" t="s">
        <v>108</v>
      </c>
      <c r="B760" s="11" t="s">
        <v>133</v>
      </c>
      <c r="C760" s="11" t="n">
        <v>6</v>
      </c>
      <c r="D760" s="11" t="s">
        <v>78</v>
      </c>
      <c r="E760" s="11" t="s">
        <v>158</v>
      </c>
      <c r="F760" s="11" t="s">
        <v>77</v>
      </c>
      <c r="G760" s="12" t="n">
        <v>100</v>
      </c>
      <c r="H760" s="12" t="n">
        <f aca="false">SUMPRODUCT(ПОТОКИ!B12:G12,ЧАСОВЫЕ_ПРОФИЛИ!B20:G20,КОЭФФИЦИЕНТЫ_ВЫБОРА!F16:K16)</f>
        <v>0.3804</v>
      </c>
      <c r="I760" s="12" t="n">
        <f aca="false">SUMPRODUCT(ПОТОКИ!B12:G12,ЧАСОВЫЕ_ПРОФИЛИ!B20:G20,КОЭФФИЦИЕНТЫ_ВЫБОРА!F16:K16,ПАРАМЕТРЫ!$B$17:$G$17)</f>
        <v>0.41844</v>
      </c>
      <c r="J760" s="12" t="n">
        <f aca="false">I760*G760/1000</f>
        <v>0.041844</v>
      </c>
      <c r="K760" s="11" t="s">
        <v>217</v>
      </c>
      <c r="L760" s="11" t="s">
        <v>19</v>
      </c>
      <c r="M760" s="11" t="s">
        <v>147</v>
      </c>
    </row>
    <row r="761" customFormat="false" ht="15" hidden="false" customHeight="false" outlineLevel="0" collapsed="false">
      <c r="A761" s="11" t="s">
        <v>108</v>
      </c>
      <c r="B761" s="11" t="s">
        <v>133</v>
      </c>
      <c r="C761" s="11" t="n">
        <v>7</v>
      </c>
      <c r="D761" s="11" t="s">
        <v>78</v>
      </c>
      <c r="E761" s="11" t="s">
        <v>159</v>
      </c>
      <c r="F761" s="11" t="s">
        <v>77</v>
      </c>
      <c r="G761" s="12" t="n">
        <v>350</v>
      </c>
      <c r="H761" s="12" t="n">
        <f aca="false">SUMPRODUCT(ПОТОКИ!B12:G12,ЧАСОВЫЕ_ПРОФИЛИ!B20:G20,КОЭФФИЦИЕНТЫ_ВЫБОРА!F17:K17)</f>
        <v>0.3234</v>
      </c>
      <c r="I761" s="12" t="n">
        <f aca="false">SUMPRODUCT(ПОТОКИ!B12:G12,ЧАСОВЫЕ_ПРОФИЛИ!B20:G20,КОЭФФИЦИЕНТЫ_ВЫБОРА!F17:K17,ПАРАМЕТРЫ!$B$17:$G$17)</f>
        <v>0.35574</v>
      </c>
      <c r="J761" s="12" t="n">
        <f aca="false">I761*G761/1000</f>
        <v>0.124509</v>
      </c>
      <c r="K761" s="11" t="s">
        <v>217</v>
      </c>
      <c r="L761" s="11" t="s">
        <v>19</v>
      </c>
      <c r="M761" s="11" t="s">
        <v>147</v>
      </c>
    </row>
    <row r="762" customFormat="false" ht="15" hidden="false" customHeight="false" outlineLevel="0" collapsed="false">
      <c r="A762" s="11" t="s">
        <v>108</v>
      </c>
      <c r="B762" s="11" t="s">
        <v>133</v>
      </c>
      <c r="C762" s="11" t="n">
        <v>8</v>
      </c>
      <c r="D762" s="11" t="s">
        <v>78</v>
      </c>
      <c r="E762" s="11" t="s">
        <v>160</v>
      </c>
      <c r="F762" s="11" t="s">
        <v>77</v>
      </c>
      <c r="G762" s="12" t="n">
        <v>85</v>
      </c>
      <c r="H762" s="12" t="n">
        <f aca="false">SUMPRODUCT(ПОТОКИ!B12:G12,ЧАСОВЫЕ_ПРОФИЛИ!B20:G20,КОЭФФИЦИЕНТЫ_ВЫБОРА!F18:K18)</f>
        <v>0.1966</v>
      </c>
      <c r="I762" s="12" t="n">
        <f aca="false">SUMPRODUCT(ПОТОКИ!B12:G12,ЧАСОВЫЕ_ПРОФИЛИ!B20:G20,КОЭФФИЦИЕНТЫ_ВЫБОРА!F18:K18,ПАРАМЕТРЫ!$B$17:$G$17)</f>
        <v>0.21626</v>
      </c>
      <c r="J762" s="12" t="n">
        <f aca="false">I762*G762/1000</f>
        <v>0.0183821</v>
      </c>
      <c r="K762" s="11" t="s">
        <v>217</v>
      </c>
      <c r="L762" s="11" t="s">
        <v>19</v>
      </c>
      <c r="M762" s="11" t="s">
        <v>147</v>
      </c>
    </row>
    <row r="763" customFormat="false" ht="15" hidden="false" customHeight="false" outlineLevel="0" collapsed="false">
      <c r="A763" s="11" t="s">
        <v>108</v>
      </c>
      <c r="B763" s="11" t="s">
        <v>133</v>
      </c>
      <c r="C763" s="11" t="n">
        <v>9</v>
      </c>
      <c r="D763" s="11" t="s">
        <v>161</v>
      </c>
      <c r="E763" s="11" t="s">
        <v>162</v>
      </c>
      <c r="F763" s="11" t="s">
        <v>80</v>
      </c>
      <c r="G763" s="12" t="n">
        <v>300</v>
      </c>
      <c r="H763" s="12" t="n">
        <f aca="false">SUMPRODUCT(ПОТОКИ!B12:G12,ЧАСОВЫЕ_ПРОФИЛИ!B20:G20,КОЭФФИЦИЕНТЫ_ВЫБОРА!F19:K19)</f>
        <v>0.114</v>
      </c>
      <c r="I763" s="12" t="n">
        <f aca="false">SUMPRODUCT(ПОТОКИ!B12:G12,ЧАСОВЫЕ_ПРОФИЛИ!B20:G20,КОЭФФИЦИЕНТЫ_ВЫБОРА!F19:K19,ПАРАМЕТРЫ!$B$17:$G$17)</f>
        <v>0.1254</v>
      </c>
      <c r="J763" s="12" t="n">
        <f aca="false">I763*G763/1000</f>
        <v>0.03762</v>
      </c>
      <c r="K763" s="11" t="s">
        <v>217</v>
      </c>
      <c r="L763" s="11" t="s">
        <v>19</v>
      </c>
      <c r="M763" s="11" t="s">
        <v>145</v>
      </c>
    </row>
    <row r="764" customFormat="false" ht="15" hidden="false" customHeight="false" outlineLevel="0" collapsed="false">
      <c r="A764" s="11" t="s">
        <v>108</v>
      </c>
      <c r="B764" s="11" t="s">
        <v>133</v>
      </c>
      <c r="C764" s="11" t="n">
        <v>10</v>
      </c>
      <c r="D764" s="11" t="s">
        <v>161</v>
      </c>
      <c r="E764" s="11" t="s">
        <v>163</v>
      </c>
      <c r="F764" s="11" t="s">
        <v>80</v>
      </c>
      <c r="G764" s="12" t="n">
        <v>280</v>
      </c>
      <c r="H764" s="12" t="n">
        <f aca="false">SUMPRODUCT(ПОТОКИ!B12:G12,ЧАСОВЫЕ_ПРОФИЛИ!B20:G20,КОЭФФИЦИЕНТЫ_ВЫБОРА!F20:K20)</f>
        <v>0.132</v>
      </c>
      <c r="I764" s="12" t="n">
        <f aca="false">SUMPRODUCT(ПОТОКИ!B12:G12,ЧАСОВЫЕ_ПРОФИЛИ!B20:G20,КОЭФФИЦИЕНТЫ_ВЫБОРА!F20:K20,ПАРАМЕТРЫ!$B$17:$G$17)</f>
        <v>0.1452</v>
      </c>
      <c r="J764" s="12" t="n">
        <f aca="false">I764*G764/1000</f>
        <v>0.040656</v>
      </c>
      <c r="K764" s="11" t="s">
        <v>217</v>
      </c>
      <c r="L764" s="11" t="s">
        <v>19</v>
      </c>
      <c r="M764" s="11" t="s">
        <v>145</v>
      </c>
    </row>
    <row r="765" customFormat="false" ht="15" hidden="false" customHeight="false" outlineLevel="0" collapsed="false">
      <c r="A765" s="11" t="s">
        <v>108</v>
      </c>
      <c r="B765" s="11" t="s">
        <v>133</v>
      </c>
      <c r="C765" s="11" t="n">
        <v>11</v>
      </c>
      <c r="D765" s="11" t="s">
        <v>161</v>
      </c>
      <c r="E765" s="11" t="s">
        <v>164</v>
      </c>
      <c r="F765" s="11" t="s">
        <v>80</v>
      </c>
      <c r="G765" s="12" t="n">
        <v>270</v>
      </c>
      <c r="H765" s="12" t="n">
        <f aca="false">SUMPRODUCT(ПОТОКИ!B12:G12,ЧАСОВЫЕ_ПРОФИЛИ!B20:G20,КОЭФФИЦИЕНТЫ_ВЫБОРА!F21:K21)</f>
        <v>0.2154</v>
      </c>
      <c r="I765" s="12" t="n">
        <f aca="false">SUMPRODUCT(ПОТОКИ!B12:G12,ЧАСОВЫЕ_ПРОФИЛИ!B20:G20,КОЭФФИЦИЕНТЫ_ВЫБОРА!F21:K21,ПАРАМЕТРЫ!$B$17:$G$17)</f>
        <v>0.23694</v>
      </c>
      <c r="J765" s="12" t="n">
        <f aca="false">I765*G765/1000</f>
        <v>0.0639738</v>
      </c>
      <c r="K765" s="11" t="s">
        <v>217</v>
      </c>
      <c r="L765" s="11" t="s">
        <v>19</v>
      </c>
      <c r="M765" s="11" t="s">
        <v>145</v>
      </c>
    </row>
    <row r="766" customFormat="false" ht="15" hidden="false" customHeight="false" outlineLevel="0" collapsed="false">
      <c r="A766" s="11" t="s">
        <v>108</v>
      </c>
      <c r="B766" s="11" t="s">
        <v>133</v>
      </c>
      <c r="C766" s="11" t="n">
        <v>12</v>
      </c>
      <c r="D766" s="11" t="s">
        <v>161</v>
      </c>
      <c r="E766" s="11" t="s">
        <v>165</v>
      </c>
      <c r="F766" s="11" t="s">
        <v>80</v>
      </c>
      <c r="G766" s="12" t="n">
        <v>240</v>
      </c>
      <c r="H766" s="12" t="n">
        <f aca="false">SUMPRODUCT(ПОТОКИ!B12:G12,ЧАСОВЫЕ_ПРОФИЛИ!B20:G20,КОЭФФИЦИЕНТЫ_ВЫБОРА!F22:K22)</f>
        <v>0.1026</v>
      </c>
      <c r="I766" s="12" t="n">
        <f aca="false">SUMPRODUCT(ПОТОКИ!B12:G12,ЧАСОВЫЕ_ПРОФИЛИ!B20:G20,КОЭФФИЦИЕНТЫ_ВЫБОРА!F22:K22,ПАРАМЕТРЫ!$B$17:$G$17)</f>
        <v>0.11286</v>
      </c>
      <c r="J766" s="12" t="n">
        <f aca="false">I766*G766/1000</f>
        <v>0.0270864</v>
      </c>
      <c r="K766" s="11" t="s">
        <v>217</v>
      </c>
      <c r="L766" s="11" t="s">
        <v>19</v>
      </c>
      <c r="M766" s="11" t="s">
        <v>145</v>
      </c>
    </row>
    <row r="767" customFormat="false" ht="15" hidden="false" customHeight="false" outlineLevel="0" collapsed="false">
      <c r="A767" s="11" t="s">
        <v>108</v>
      </c>
      <c r="B767" s="11" t="s">
        <v>133</v>
      </c>
      <c r="C767" s="11" t="n">
        <v>13</v>
      </c>
      <c r="D767" s="11" t="s">
        <v>166</v>
      </c>
      <c r="E767" s="11" t="s">
        <v>167</v>
      </c>
      <c r="F767" s="11" t="s">
        <v>80</v>
      </c>
      <c r="G767" s="12" t="n">
        <v>130</v>
      </c>
      <c r="H767" s="12" t="n">
        <f aca="false">SUMPRODUCT(ПОТОКИ!B12:G12,ЧАСОВЫЕ_ПРОФИЛИ!B20:G20,КОЭФФИЦИЕНТЫ_ВЫБОРА!F23:K23)</f>
        <v>0.064</v>
      </c>
      <c r="I767" s="12" t="n">
        <f aca="false">SUMPRODUCT(ПОТОКИ!B12:G12,ЧАСОВЫЕ_ПРОФИЛИ!B20:G20,КОЭФФИЦИЕНТЫ_ВЫБОРА!F23:K23,ПАРАМЕТРЫ!$B$17:$G$17)</f>
        <v>0.0704</v>
      </c>
      <c r="J767" s="12" t="n">
        <f aca="false">I767*G767/1000</f>
        <v>0.009152</v>
      </c>
      <c r="K767" s="11" t="s">
        <v>217</v>
      </c>
      <c r="L767" s="11" t="s">
        <v>19</v>
      </c>
      <c r="M767" s="11" t="s">
        <v>145</v>
      </c>
    </row>
    <row r="768" customFormat="false" ht="15" hidden="false" customHeight="false" outlineLevel="0" collapsed="false">
      <c r="A768" s="11" t="s">
        <v>108</v>
      </c>
      <c r="B768" s="11" t="s">
        <v>133</v>
      </c>
      <c r="C768" s="11" t="n">
        <v>14</v>
      </c>
      <c r="D768" s="11" t="s">
        <v>166</v>
      </c>
      <c r="E768" s="11" t="s">
        <v>168</v>
      </c>
      <c r="F768" s="11" t="s">
        <v>80</v>
      </c>
      <c r="G768" s="12" t="n">
        <v>250</v>
      </c>
      <c r="H768" s="12" t="n">
        <f aca="false">SUMPRODUCT(ПОТОКИ!B12:G12,ЧАСОВЫЕ_ПРОФИЛИ!B20:G20,КОЭФФИЦИЕНТЫ_ВЫБОРА!F24:K24)</f>
        <v>0.0384</v>
      </c>
      <c r="I768" s="12" t="n">
        <f aca="false">SUMPRODUCT(ПОТОКИ!B12:G12,ЧАСОВЫЕ_ПРОФИЛИ!B20:G20,КОЭФФИЦИЕНТЫ_ВЫБОРА!F24:K24,ПАРАМЕТРЫ!$B$17:$G$17)</f>
        <v>0.04224</v>
      </c>
      <c r="J768" s="12" t="n">
        <f aca="false">I768*G768/1000</f>
        <v>0.01056</v>
      </c>
      <c r="K768" s="11" t="s">
        <v>217</v>
      </c>
      <c r="L768" s="11" t="s">
        <v>19</v>
      </c>
      <c r="M768" s="11" t="s">
        <v>145</v>
      </c>
    </row>
    <row r="769" customFormat="false" ht="15" hidden="false" customHeight="false" outlineLevel="0" collapsed="false">
      <c r="A769" s="11" t="s">
        <v>108</v>
      </c>
      <c r="B769" s="11" t="s">
        <v>133</v>
      </c>
      <c r="C769" s="11" t="n">
        <v>15</v>
      </c>
      <c r="D769" s="11" t="s">
        <v>166</v>
      </c>
      <c r="E769" s="11" t="s">
        <v>169</v>
      </c>
      <c r="F769" s="11" t="s">
        <v>80</v>
      </c>
      <c r="G769" s="12" t="n">
        <v>120</v>
      </c>
      <c r="H769" s="12" t="n">
        <f aca="false">SUMPRODUCT(ПОТОКИ!B12:G12,ЧАСОВЫЕ_ПРОФИЛИ!B20:G20,КОЭФФИЦИЕНТЫ_ВЫБОРА!F25:K25)</f>
        <v>0.0384</v>
      </c>
      <c r="I769" s="12" t="n">
        <f aca="false">SUMPRODUCT(ПОТОКИ!B12:G12,ЧАСОВЫЕ_ПРОФИЛИ!B20:G20,КОЭФФИЦИЕНТЫ_ВЫБОРА!F25:K25,ПАРАМЕТРЫ!$B$17:$G$17)</f>
        <v>0.04224</v>
      </c>
      <c r="J769" s="12" t="n">
        <f aca="false">I769*G769/1000</f>
        <v>0.0050688</v>
      </c>
      <c r="K769" s="11" t="s">
        <v>217</v>
      </c>
      <c r="L769" s="11" t="s">
        <v>19</v>
      </c>
      <c r="M769" s="11" t="s">
        <v>145</v>
      </c>
    </row>
    <row r="770" customFormat="false" ht="15" hidden="false" customHeight="false" outlineLevel="0" collapsed="false">
      <c r="A770" s="11" t="s">
        <v>108</v>
      </c>
      <c r="B770" s="11" t="s">
        <v>133</v>
      </c>
      <c r="C770" s="11" t="n">
        <v>16</v>
      </c>
      <c r="D770" s="11" t="s">
        <v>166</v>
      </c>
      <c r="E770" s="11" t="s">
        <v>170</v>
      </c>
      <c r="F770" s="11" t="s">
        <v>80</v>
      </c>
      <c r="G770" s="12" t="n">
        <v>180</v>
      </c>
      <c r="H770" s="12" t="n">
        <f aca="false">SUMPRODUCT(ПОТОКИ!B12:G12,ЧАСОВЫЕ_ПРОФИЛИ!B20:G20,КОЭФФИЦИЕНТЫ_ВЫБОРА!F26:K26)</f>
        <v>0.0512</v>
      </c>
      <c r="I770" s="12" t="n">
        <f aca="false">SUMPRODUCT(ПОТОКИ!B12:G12,ЧАСОВЫЕ_ПРОФИЛИ!B20:G20,КОЭФФИЦИЕНТЫ_ВЫБОРА!F26:K26,ПАРАМЕТРЫ!$B$17:$G$17)</f>
        <v>0.05632</v>
      </c>
      <c r="J770" s="12" t="n">
        <f aca="false">I770*G770/1000</f>
        <v>0.0101376</v>
      </c>
      <c r="K770" s="11" t="s">
        <v>217</v>
      </c>
      <c r="L770" s="11" t="s">
        <v>19</v>
      </c>
      <c r="M770" s="11" t="s">
        <v>145</v>
      </c>
    </row>
    <row r="771" customFormat="false" ht="15" hidden="false" customHeight="false" outlineLevel="0" collapsed="false">
      <c r="A771" s="11" t="s">
        <v>108</v>
      </c>
      <c r="B771" s="11" t="s">
        <v>133</v>
      </c>
      <c r="C771" s="11" t="n">
        <v>17</v>
      </c>
      <c r="D771" s="11" t="s">
        <v>166</v>
      </c>
      <c r="E771" s="11" t="s">
        <v>171</v>
      </c>
      <c r="F771" s="11" t="s">
        <v>80</v>
      </c>
      <c r="G771" s="12" t="n">
        <v>180</v>
      </c>
      <c r="H771" s="12" t="n">
        <f aca="false">SUMPRODUCT(ПОТОКИ!B12:G12,ЧАСОВЫЕ_ПРОФИЛИ!B20:G20,КОЭФФИЦИЕНТЫ_ВЫБОРА!F27:K27)</f>
        <v>0.064</v>
      </c>
      <c r="I771" s="12" t="n">
        <f aca="false">SUMPRODUCT(ПОТОКИ!B12:G12,ЧАСОВЫЕ_ПРОФИЛИ!B20:G20,КОЭФФИЦИЕНТЫ_ВЫБОРА!F27:K27,ПАРАМЕТРЫ!$B$17:$G$17)</f>
        <v>0.0704</v>
      </c>
      <c r="J771" s="12" t="n">
        <f aca="false">I771*G771/1000</f>
        <v>0.012672</v>
      </c>
      <c r="K771" s="11" t="s">
        <v>217</v>
      </c>
      <c r="L771" s="11" t="s">
        <v>19</v>
      </c>
      <c r="M771" s="11" t="s">
        <v>145</v>
      </c>
    </row>
    <row r="772" customFormat="false" ht="15" hidden="false" customHeight="false" outlineLevel="0" collapsed="false">
      <c r="A772" s="11" t="s">
        <v>108</v>
      </c>
      <c r="B772" s="11" t="s">
        <v>133</v>
      </c>
      <c r="C772" s="11" t="n">
        <v>18</v>
      </c>
      <c r="D772" s="11" t="s">
        <v>172</v>
      </c>
      <c r="E772" s="11" t="s">
        <v>173</v>
      </c>
      <c r="F772" s="11" t="s">
        <v>83</v>
      </c>
      <c r="G772" s="12" t="n">
        <v>400</v>
      </c>
      <c r="H772" s="12" t="n">
        <f aca="false">SUMPRODUCT(ПОТОКИ!B12:G12,ЧАСОВЫЕ_ПРОФИЛИ!B20:G20,КОЭФФИЦИЕНТЫ_ВЫБОРА!F28:K28)</f>
        <v>0.128</v>
      </c>
      <c r="I772" s="12" t="n">
        <f aca="false">SUMPRODUCT(ПОТОКИ!B12:G12,ЧАСОВЫЕ_ПРОФИЛИ!B20:G20,КОЭФФИЦИЕНТЫ_ВЫБОРА!F28:K28,ПАРАМЕТРЫ!$B$17:$G$17)</f>
        <v>0.1408</v>
      </c>
      <c r="J772" s="12" t="n">
        <f aca="false">I772*G772/1000</f>
        <v>0.05632</v>
      </c>
      <c r="K772" s="11" t="s">
        <v>217</v>
      </c>
      <c r="L772" s="11" t="s">
        <v>19</v>
      </c>
      <c r="M772" s="11" t="s">
        <v>145</v>
      </c>
    </row>
    <row r="773" customFormat="false" ht="23.85" hidden="false" customHeight="false" outlineLevel="0" collapsed="false">
      <c r="A773" s="11" t="s">
        <v>108</v>
      </c>
      <c r="B773" s="11" t="s">
        <v>133</v>
      </c>
      <c r="C773" s="11" t="n">
        <v>19</v>
      </c>
      <c r="D773" s="11" t="s">
        <v>174</v>
      </c>
      <c r="E773" s="11" t="s">
        <v>175</v>
      </c>
      <c r="F773" s="11" t="s">
        <v>83</v>
      </c>
      <c r="G773" s="12" t="n">
        <v>300</v>
      </c>
      <c r="H773" s="12" t="n">
        <f aca="false">SUMPRODUCT(ПОТОКИ!B12:G12,ЧАСОВЫЕ_ПРОФИЛИ!B20:G20,КОЭФФИЦИЕНТЫ_ВЫБОРА!F29:K29)</f>
        <v>0.304</v>
      </c>
      <c r="I773" s="12" t="n">
        <f aca="false">SUMPRODUCT(ПОТОКИ!B12:G12,ЧАСОВЫЕ_ПРОФИЛИ!B20:G20,КОЭФФИЦИЕНТЫ_ВЫБОРА!F29:K29,ПАРАМЕТРЫ!$B$17:$G$17)</f>
        <v>0.3344</v>
      </c>
      <c r="J773" s="12" t="n">
        <f aca="false">I773*G773/1000</f>
        <v>0.10032</v>
      </c>
      <c r="K773" s="11" t="s">
        <v>217</v>
      </c>
      <c r="L773" s="11" t="s">
        <v>19</v>
      </c>
      <c r="M773" s="11" t="s">
        <v>145</v>
      </c>
    </row>
    <row r="774" customFormat="false" ht="15" hidden="false" customHeight="false" outlineLevel="0" collapsed="false">
      <c r="A774" s="11" t="s">
        <v>108</v>
      </c>
      <c r="B774" s="11" t="s">
        <v>133</v>
      </c>
      <c r="C774" s="11" t="n">
        <v>20</v>
      </c>
      <c r="D774" s="11" t="s">
        <v>174</v>
      </c>
      <c r="E774" s="11" t="s">
        <v>176</v>
      </c>
      <c r="F774" s="11" t="s">
        <v>83</v>
      </c>
      <c r="G774" s="12" t="n">
        <v>360</v>
      </c>
      <c r="H774" s="12" t="n">
        <f aca="false">SUMPRODUCT(ПОТОКИ!B12:G12,ЧАСОВЫЕ_ПРОФИЛИ!B20:G20,КОЭФФИЦИЕНТЫ_ВЫБОРА!F30:K30)</f>
        <v>0.2864</v>
      </c>
      <c r="I774" s="12" t="n">
        <f aca="false">SUMPRODUCT(ПОТОКИ!B12:G12,ЧАСОВЫЕ_ПРОФИЛИ!B20:G20,КОЭФФИЦИЕНТЫ_ВЫБОРА!F30:K30,ПАРАМЕТРЫ!$B$17:$G$17)</f>
        <v>0.31504</v>
      </c>
      <c r="J774" s="12" t="n">
        <f aca="false">I774*G774/1000</f>
        <v>0.1134144</v>
      </c>
      <c r="K774" s="11" t="s">
        <v>217</v>
      </c>
      <c r="L774" s="11" t="s">
        <v>19</v>
      </c>
      <c r="M774" s="11" t="s">
        <v>145</v>
      </c>
    </row>
    <row r="775" customFormat="false" ht="15" hidden="false" customHeight="false" outlineLevel="0" collapsed="false">
      <c r="A775" s="11" t="s">
        <v>108</v>
      </c>
      <c r="B775" s="11" t="s">
        <v>133</v>
      </c>
      <c r="C775" s="11" t="n">
        <v>21</v>
      </c>
      <c r="D775" s="11" t="s">
        <v>174</v>
      </c>
      <c r="E775" s="11" t="s">
        <v>177</v>
      </c>
      <c r="F775" s="11" t="s">
        <v>83</v>
      </c>
      <c r="G775" s="12" t="n">
        <v>350</v>
      </c>
      <c r="H775" s="12" t="n">
        <f aca="false">SUMPRODUCT(ПОТОКИ!B12:G12,ЧАСОВЫЕ_ПРОФИЛИ!B20:G20,КОЭФФИЦИЕНТЫ_ВЫБОРА!F31:K31)</f>
        <v>0.4416</v>
      </c>
      <c r="I775" s="12" t="n">
        <f aca="false">SUMPRODUCT(ПОТОКИ!B12:G12,ЧАСОВЫЕ_ПРОФИЛИ!B20:G20,КОЭФФИЦИЕНТЫ_ВЫБОРА!F31:K31,ПАРАМЕТРЫ!$B$17:$G$17)</f>
        <v>0.48576</v>
      </c>
      <c r="J775" s="12" t="n">
        <f aca="false">I775*G775/1000</f>
        <v>0.170016</v>
      </c>
      <c r="K775" s="11" t="s">
        <v>217</v>
      </c>
      <c r="L775" s="11" t="s">
        <v>19</v>
      </c>
      <c r="M775" s="11" t="s">
        <v>145</v>
      </c>
    </row>
    <row r="776" customFormat="false" ht="15" hidden="false" customHeight="false" outlineLevel="0" collapsed="false">
      <c r="A776" s="11" t="s">
        <v>108</v>
      </c>
      <c r="B776" s="11" t="s">
        <v>133</v>
      </c>
      <c r="C776" s="11" t="n">
        <v>22</v>
      </c>
      <c r="D776" s="11" t="s">
        <v>174</v>
      </c>
      <c r="E776" s="11" t="s">
        <v>178</v>
      </c>
      <c r="F776" s="11" t="s">
        <v>83</v>
      </c>
      <c r="G776" s="12" t="n">
        <v>300</v>
      </c>
      <c r="H776" s="12" t="n">
        <f aca="false">SUMPRODUCT(ПОТОКИ!B12:G12,ЧАСОВЫЕ_ПРОФИЛИ!B20:G20,КОЭФФИЦИЕНТЫ_ВЫБОРА!F32:K32)</f>
        <v>0.28</v>
      </c>
      <c r="I776" s="12" t="n">
        <f aca="false">SUMPRODUCT(ПОТОКИ!B12:G12,ЧАСОВЫЕ_ПРОФИЛИ!B20:G20,КОЭФФИЦИЕНТЫ_ВЫБОРА!F32:K32,ПАРАМЕТРЫ!$B$17:$G$17)</f>
        <v>0.308</v>
      </c>
      <c r="J776" s="12" t="n">
        <f aca="false">I776*G776/1000</f>
        <v>0.0924</v>
      </c>
      <c r="K776" s="11" t="s">
        <v>217</v>
      </c>
      <c r="L776" s="11" t="s">
        <v>19</v>
      </c>
      <c r="M776" s="11" t="s">
        <v>145</v>
      </c>
    </row>
    <row r="777" customFormat="false" ht="15" hidden="false" customHeight="false" outlineLevel="0" collapsed="false">
      <c r="A777" s="11" t="s">
        <v>108</v>
      </c>
      <c r="B777" s="11" t="s">
        <v>133</v>
      </c>
      <c r="C777" s="11" t="n">
        <v>23</v>
      </c>
      <c r="D777" s="11" t="s">
        <v>86</v>
      </c>
      <c r="E777" s="11" t="s">
        <v>179</v>
      </c>
      <c r="F777" s="11" t="s">
        <v>85</v>
      </c>
      <c r="G777" s="12" t="n">
        <v>150</v>
      </c>
      <c r="H777" s="12" t="n">
        <f aca="false">SUMPRODUCT(ПОТОКИ!B12:G12,ЧАСОВЫЕ_ПРОФИЛИ!B20:G20,КОЭФФИЦИЕНТЫ_ВЫБОРА!F33:K33)</f>
        <v>0.200576</v>
      </c>
      <c r="I777" s="12" t="n">
        <f aca="false">SUMPRODUCT(ПОТОКИ!B12:G12,ЧАСОВЫЕ_ПРОФИЛИ!B20:G20,КОЭФФИЦИЕНТЫ_ВЫБОРА!F33:K33,ПАРАМЕТРЫ!$B$17:$G$17)</f>
        <v>0.2206336</v>
      </c>
      <c r="J777" s="12" t="n">
        <f aca="false">I777*G777/1000</f>
        <v>0.03309504</v>
      </c>
      <c r="K777" s="11" t="s">
        <v>217</v>
      </c>
      <c r="L777" s="11" t="s">
        <v>19</v>
      </c>
      <c r="M777" s="11" t="s">
        <v>147</v>
      </c>
    </row>
    <row r="778" customFormat="false" ht="15" hidden="false" customHeight="false" outlineLevel="0" collapsed="false">
      <c r="A778" s="11" t="s">
        <v>108</v>
      </c>
      <c r="B778" s="11" t="s">
        <v>133</v>
      </c>
      <c r="C778" s="11" t="n">
        <v>24</v>
      </c>
      <c r="D778" s="11" t="s">
        <v>86</v>
      </c>
      <c r="E778" s="11" t="s">
        <v>180</v>
      </c>
      <c r="F778" s="11" t="s">
        <v>85</v>
      </c>
      <c r="G778" s="12" t="n">
        <v>150</v>
      </c>
      <c r="H778" s="12" t="n">
        <f aca="false">SUMPRODUCT(ПОТОКИ!B12:G12,ЧАСОВЫЕ_ПРОФИЛИ!B20:G20,КОЭФФИЦИЕНТЫ_ВЫБОРА!F34:K34)</f>
        <v>0.100288</v>
      </c>
      <c r="I778" s="12" t="n">
        <f aca="false">SUMPRODUCT(ПОТОКИ!B12:G12,ЧАСОВЫЕ_ПРОФИЛИ!B20:G20,КОЭФФИЦИЕНТЫ_ВЫБОРА!F34:K34,ПАРАМЕТРЫ!$B$17:$G$17)</f>
        <v>0.1103168</v>
      </c>
      <c r="J778" s="12" t="n">
        <f aca="false">I778*G778/1000</f>
        <v>0.01654752</v>
      </c>
      <c r="K778" s="11" t="s">
        <v>217</v>
      </c>
      <c r="L778" s="11" t="s">
        <v>19</v>
      </c>
      <c r="M778" s="11" t="s">
        <v>147</v>
      </c>
    </row>
    <row r="779" customFormat="false" ht="15" hidden="false" customHeight="false" outlineLevel="0" collapsed="false">
      <c r="A779" s="11" t="s">
        <v>108</v>
      </c>
      <c r="B779" s="11" t="s">
        <v>133</v>
      </c>
      <c r="C779" s="11" t="n">
        <v>25</v>
      </c>
      <c r="D779" s="11" t="s">
        <v>86</v>
      </c>
      <c r="E779" s="11" t="s">
        <v>181</v>
      </c>
      <c r="F779" s="11" t="s">
        <v>85</v>
      </c>
      <c r="G779" s="12" t="n">
        <v>150</v>
      </c>
      <c r="H779" s="12" t="n">
        <f aca="false">SUMPRODUCT(ПОТОКИ!B12:G12,ЧАСОВЫЕ_ПРОФИЛИ!B20:G20,КОЭФФИЦИЕНТЫ_ВЫБОРА!F35:K35)</f>
        <v>0.200576</v>
      </c>
      <c r="I779" s="12" t="n">
        <f aca="false">SUMPRODUCT(ПОТОКИ!B12:G12,ЧАСОВЫЕ_ПРОФИЛИ!B20:G20,КОЭФФИЦИЕНТЫ_ВЫБОРА!F35:K35,ПАРАМЕТРЫ!$B$17:$G$17)</f>
        <v>0.2206336</v>
      </c>
      <c r="J779" s="12" t="n">
        <f aca="false">I779*G779/1000</f>
        <v>0.03309504</v>
      </c>
      <c r="K779" s="11" t="s">
        <v>217</v>
      </c>
      <c r="L779" s="11" t="s">
        <v>19</v>
      </c>
      <c r="M779" s="11" t="s">
        <v>147</v>
      </c>
    </row>
    <row r="780" customFormat="false" ht="23.85" hidden="false" customHeight="false" outlineLevel="0" collapsed="false">
      <c r="A780" s="11" t="s">
        <v>108</v>
      </c>
      <c r="B780" s="11" t="s">
        <v>133</v>
      </c>
      <c r="C780" s="11" t="n">
        <v>26</v>
      </c>
      <c r="D780" s="11" t="s">
        <v>89</v>
      </c>
      <c r="E780" s="11" t="s">
        <v>182</v>
      </c>
      <c r="F780" s="11" t="s">
        <v>88</v>
      </c>
      <c r="G780" s="12" t="n">
        <v>225</v>
      </c>
      <c r="H780" s="12" t="n">
        <f aca="false">SUMPRODUCT(ПОТОКИ!B12:G12,ЧАСОВЫЕ_ПРОФИЛИ!B20:G20,КОЭФФИЦИЕНТЫ_ВЫБОРА!F36:K36)</f>
        <v>0</v>
      </c>
      <c r="I780" s="12" t="n">
        <f aca="false">SUMPRODUCT(ПОТОКИ!B12:G12,ЧАСОВЫЕ_ПРОФИЛИ!B20:G20,КОЭФФИЦИЕНТЫ_ВЫБОРА!F36:K36,ПАРАМЕТРЫ!$B$17:$G$17)</f>
        <v>0</v>
      </c>
      <c r="J780" s="12" t="n">
        <f aca="false">I780*G780/1000</f>
        <v>0</v>
      </c>
      <c r="K780" s="11" t="s">
        <v>217</v>
      </c>
      <c r="L780" s="11" t="s">
        <v>19</v>
      </c>
      <c r="M780" s="11" t="s">
        <v>145</v>
      </c>
    </row>
    <row r="781" customFormat="false" ht="23.85" hidden="false" customHeight="false" outlineLevel="0" collapsed="false">
      <c r="A781" s="11" t="s">
        <v>108</v>
      </c>
      <c r="B781" s="11" t="s">
        <v>133</v>
      </c>
      <c r="C781" s="11" t="n">
        <v>27</v>
      </c>
      <c r="D781" s="11" t="s">
        <v>89</v>
      </c>
      <c r="E781" s="11" t="s">
        <v>183</v>
      </c>
      <c r="F781" s="11" t="s">
        <v>88</v>
      </c>
      <c r="G781" s="12" t="n">
        <v>265</v>
      </c>
      <c r="H781" s="12" t="n">
        <f aca="false">SUMPRODUCT(ПОТОКИ!B12:G12,ЧАСОВЫЕ_ПРОФИЛИ!B20:G20,КОЭФФИЦИЕНТЫ_ВЫБОРА!F37:K37)</f>
        <v>0</v>
      </c>
      <c r="I781" s="12" t="n">
        <f aca="false">SUMPRODUCT(ПОТОКИ!B12:G12,ЧАСОВЫЕ_ПРОФИЛИ!B20:G20,КОЭФФИЦИЕНТЫ_ВЫБОРА!F37:K37,ПАРАМЕТРЫ!$B$17:$G$17)</f>
        <v>0</v>
      </c>
      <c r="J781" s="12" t="n">
        <f aca="false">I781*G781/1000</f>
        <v>0</v>
      </c>
      <c r="K781" s="11" t="s">
        <v>217</v>
      </c>
      <c r="L781" s="11" t="s">
        <v>19</v>
      </c>
      <c r="M781" s="11" t="s">
        <v>145</v>
      </c>
    </row>
    <row r="782" customFormat="false" ht="23.85" hidden="false" customHeight="false" outlineLevel="0" collapsed="false">
      <c r="A782" s="11" t="s">
        <v>108</v>
      </c>
      <c r="B782" s="11" t="s">
        <v>133</v>
      </c>
      <c r="C782" s="11" t="n">
        <v>28</v>
      </c>
      <c r="D782" s="11" t="s">
        <v>89</v>
      </c>
      <c r="E782" s="11" t="s">
        <v>184</v>
      </c>
      <c r="F782" s="11" t="s">
        <v>88</v>
      </c>
      <c r="G782" s="12" t="n">
        <v>355</v>
      </c>
      <c r="H782" s="12" t="n">
        <f aca="false">SUMPRODUCT(ПОТОКИ!B12:G12,ЧАСОВЫЕ_ПРОФИЛИ!B20:G20,КОЭФФИЦИЕНТЫ_ВЫБОРА!F38:K38)</f>
        <v>0</v>
      </c>
      <c r="I782" s="12" t="n">
        <f aca="false">SUMPRODUCT(ПОТОКИ!B12:G12,ЧАСОВЫЕ_ПРОФИЛИ!B20:G20,КОЭФФИЦИЕНТЫ_ВЫБОРА!F38:K38,ПАРАМЕТРЫ!$B$17:$G$17)</f>
        <v>0</v>
      </c>
      <c r="J782" s="12" t="n">
        <f aca="false">I782*G782/1000</f>
        <v>0</v>
      </c>
      <c r="K782" s="11" t="s">
        <v>217</v>
      </c>
      <c r="L782" s="11" t="s">
        <v>19</v>
      </c>
      <c r="M782" s="11" t="s">
        <v>145</v>
      </c>
    </row>
    <row r="783" customFormat="false" ht="15" hidden="false" customHeight="false" outlineLevel="0" collapsed="false">
      <c r="A783" s="11" t="s">
        <v>108</v>
      </c>
      <c r="B783" s="11" t="s">
        <v>133</v>
      </c>
      <c r="C783" s="11" t="n">
        <v>29</v>
      </c>
      <c r="D783" s="11" t="s">
        <v>92</v>
      </c>
      <c r="E783" s="11" t="s">
        <v>185</v>
      </c>
      <c r="F783" s="11" t="s">
        <v>91</v>
      </c>
      <c r="G783" s="12" t="n">
        <v>150</v>
      </c>
      <c r="H783" s="12" t="n">
        <f aca="false">SUMPRODUCT(ПОТОКИ!B12:G12,ЧАСОВЫЕ_ПРОФИЛИ!B20:G20,КОЭФФИЦИЕНТЫ_ВЫБОРА!F39:K39)</f>
        <v>0.2388</v>
      </c>
      <c r="I783" s="12" t="n">
        <f aca="false">SUMPRODUCT(ПОТОКИ!B12:G12,ЧАСОВЫЕ_ПРОФИЛИ!B20:G20,КОЭФФИЦИЕНТЫ_ВЫБОРА!F39:K39,ПАРАМЕТРЫ!$B$17:$G$17)</f>
        <v>0.26268</v>
      </c>
      <c r="J783" s="12" t="n">
        <f aca="false">I783*G783/1000</f>
        <v>0.039402</v>
      </c>
      <c r="K783" s="11" t="s">
        <v>217</v>
      </c>
      <c r="L783" s="11" t="s">
        <v>19</v>
      </c>
      <c r="M783" s="11" t="s">
        <v>145</v>
      </c>
    </row>
    <row r="784" customFormat="false" ht="15" hidden="false" customHeight="false" outlineLevel="0" collapsed="false">
      <c r="A784" s="11" t="s">
        <v>108</v>
      </c>
      <c r="B784" s="11" t="s">
        <v>133</v>
      </c>
      <c r="C784" s="11" t="n">
        <v>30</v>
      </c>
      <c r="D784" s="11" t="s">
        <v>92</v>
      </c>
      <c r="E784" s="11" t="s">
        <v>186</v>
      </c>
      <c r="F784" s="11" t="s">
        <v>91</v>
      </c>
      <c r="G784" s="12" t="n">
        <v>120</v>
      </c>
      <c r="H784" s="12" t="n">
        <f aca="false">SUMPRODUCT(ПОТОКИ!B12:G12,ЧАСОВЫЕ_ПРОФИЛИ!B20:G20,КОЭФФИЦИЕНТЫ_ВЫБОРА!F40:K40)</f>
        <v>0.2388</v>
      </c>
      <c r="I784" s="12" t="n">
        <f aca="false">SUMPRODUCT(ПОТОКИ!B12:G12,ЧАСОВЫЕ_ПРОФИЛИ!B20:G20,КОЭФФИЦИЕНТЫ_ВЫБОРА!F40:K40,ПАРАМЕТРЫ!$B$17:$G$17)</f>
        <v>0.26268</v>
      </c>
      <c r="J784" s="12" t="n">
        <f aca="false">I784*G784/1000</f>
        <v>0.0315216</v>
      </c>
      <c r="K784" s="11" t="s">
        <v>217</v>
      </c>
      <c r="L784" s="11" t="s">
        <v>19</v>
      </c>
      <c r="M784" s="11" t="s">
        <v>145</v>
      </c>
    </row>
    <row r="785" customFormat="false" ht="15" hidden="false" customHeight="false" outlineLevel="0" collapsed="false">
      <c r="A785" s="11" t="s">
        <v>108</v>
      </c>
      <c r="B785" s="11" t="s">
        <v>133</v>
      </c>
      <c r="C785" s="11" t="n">
        <v>31</v>
      </c>
      <c r="D785" s="11" t="s">
        <v>92</v>
      </c>
      <c r="E785" s="11" t="s">
        <v>187</v>
      </c>
      <c r="F785" s="11" t="s">
        <v>91</v>
      </c>
      <c r="G785" s="12" t="n">
        <v>60</v>
      </c>
      <c r="H785" s="12" t="n">
        <f aca="false">SUMPRODUCT(ПОТОКИ!B12:G12,ЧАСОВЫЕ_ПРОФИЛИ!B20:G20,КОЭФФИЦИЕНТЫ_ВЫБОРА!F41:K41)</f>
        <v>0.2544</v>
      </c>
      <c r="I785" s="12" t="n">
        <f aca="false">SUMPRODUCT(ПОТОКИ!B12:G12,ЧАСОВЫЕ_ПРОФИЛИ!B20:G20,КОЭФФИЦИЕНТЫ_ВЫБОРА!F41:K41,ПАРАМЕТРЫ!$B$17:$G$17)</f>
        <v>0.27984</v>
      </c>
      <c r="J785" s="12" t="n">
        <f aca="false">I785*G785/1000</f>
        <v>0.0167904</v>
      </c>
      <c r="K785" s="11" t="s">
        <v>217</v>
      </c>
      <c r="L785" s="11" t="s">
        <v>19</v>
      </c>
      <c r="M785" s="11" t="s">
        <v>145</v>
      </c>
    </row>
    <row r="786" customFormat="false" ht="15" hidden="false" customHeight="false" outlineLevel="0" collapsed="false">
      <c r="A786" s="11" t="s">
        <v>108</v>
      </c>
      <c r="B786" s="11" t="s">
        <v>134</v>
      </c>
      <c r="C786" s="11" t="n">
        <v>1</v>
      </c>
      <c r="D786" s="11" t="s">
        <v>74</v>
      </c>
      <c r="E786" s="11" t="s">
        <v>153</v>
      </c>
      <c r="F786" s="11" t="s">
        <v>73</v>
      </c>
      <c r="G786" s="12" t="n">
        <v>450</v>
      </c>
      <c r="H786" s="12" t="n">
        <f aca="false">SUMPRODUCT(ПОТОКИ!B12:G12,ЧАСОВЫЕ_ПРОФИЛИ!B21:G21,КОЭФФИЦИЕНТЫ_ВЫБОРА!F11:K11)</f>
        <v>0.1756</v>
      </c>
      <c r="I786" s="12" t="n">
        <f aca="false">SUMPRODUCT(ПОТОКИ!B12:G12,ЧАСОВЫЕ_ПРОФИЛИ!B21:G21,КОЭФФИЦИЕНТЫ_ВЫБОРА!F11:K11,ПАРАМЕТРЫ!$B$17:$G$17)</f>
        <v>0.19316</v>
      </c>
      <c r="J786" s="12" t="n">
        <f aca="false">I786*G786/1000</f>
        <v>0.086922</v>
      </c>
      <c r="K786" s="11" t="s">
        <v>217</v>
      </c>
      <c r="L786" s="11" t="s">
        <v>19</v>
      </c>
      <c r="M786" s="11" t="s">
        <v>145</v>
      </c>
    </row>
    <row r="787" customFormat="false" ht="15" hidden="false" customHeight="false" outlineLevel="0" collapsed="false">
      <c r="A787" s="11" t="s">
        <v>108</v>
      </c>
      <c r="B787" s="11" t="s">
        <v>134</v>
      </c>
      <c r="C787" s="11" t="n">
        <v>2</v>
      </c>
      <c r="D787" s="11" t="s">
        <v>74</v>
      </c>
      <c r="E787" s="11" t="s">
        <v>154</v>
      </c>
      <c r="F787" s="11" t="s">
        <v>73</v>
      </c>
      <c r="G787" s="12" t="n">
        <v>480</v>
      </c>
      <c r="H787" s="12" t="n">
        <f aca="false">SUMPRODUCT(ПОТОКИ!B12:G12,ЧАСОВЫЕ_ПРОФИЛИ!B21:G21,КОЭФФИЦИЕНТЫ_ВЫБОРА!F12:K12)</f>
        <v>0.3053</v>
      </c>
      <c r="I787" s="12" t="n">
        <f aca="false">SUMPRODUCT(ПОТОКИ!B12:G12,ЧАСОВЫЕ_ПРОФИЛИ!B21:G21,КОЭФФИЦИЕНТЫ_ВЫБОРА!F12:K12,ПАРАМЕТРЫ!$B$17:$G$17)</f>
        <v>0.33583</v>
      </c>
      <c r="J787" s="12" t="n">
        <f aca="false">I787*G787/1000</f>
        <v>0.1611984</v>
      </c>
      <c r="K787" s="11" t="s">
        <v>217</v>
      </c>
      <c r="L787" s="11" t="s">
        <v>19</v>
      </c>
      <c r="M787" s="11" t="s">
        <v>145</v>
      </c>
    </row>
    <row r="788" customFormat="false" ht="15" hidden="false" customHeight="false" outlineLevel="0" collapsed="false">
      <c r="A788" s="11" t="s">
        <v>108</v>
      </c>
      <c r="B788" s="11" t="s">
        <v>134</v>
      </c>
      <c r="C788" s="11" t="n">
        <v>3</v>
      </c>
      <c r="D788" s="11" t="s">
        <v>74</v>
      </c>
      <c r="E788" s="11" t="s">
        <v>155</v>
      </c>
      <c r="F788" s="11" t="s">
        <v>73</v>
      </c>
      <c r="G788" s="12" t="n">
        <v>500</v>
      </c>
      <c r="H788" s="12" t="n">
        <f aca="false">SUMPRODUCT(ПОТОКИ!B12:G12,ЧАСОВЫЕ_ПРОФИЛИ!B21:G21,КОЭФФИЦИЕНТЫ_ВЫБОРА!F13:K13)</f>
        <v>0.4517</v>
      </c>
      <c r="I788" s="12" t="n">
        <f aca="false">SUMPRODUCT(ПОТОКИ!B12:G12,ЧАСОВЫЕ_ПРОФИЛИ!B21:G21,КОЭФФИЦИЕНТЫ_ВЫБОРА!F13:K13,ПАРАМЕТРЫ!$B$17:$G$17)</f>
        <v>0.49687</v>
      </c>
      <c r="J788" s="12" t="n">
        <f aca="false">I788*G788/1000</f>
        <v>0.248435</v>
      </c>
      <c r="K788" s="11" t="s">
        <v>217</v>
      </c>
      <c r="L788" s="11" t="s">
        <v>19</v>
      </c>
      <c r="M788" s="11" t="s">
        <v>145</v>
      </c>
    </row>
    <row r="789" customFormat="false" ht="15" hidden="false" customHeight="false" outlineLevel="0" collapsed="false">
      <c r="A789" s="11" t="s">
        <v>108</v>
      </c>
      <c r="B789" s="11" t="s">
        <v>134</v>
      </c>
      <c r="C789" s="11" t="n">
        <v>4</v>
      </c>
      <c r="D789" s="11" t="s">
        <v>74</v>
      </c>
      <c r="E789" s="11" t="s">
        <v>156</v>
      </c>
      <c r="F789" s="11" t="s">
        <v>73</v>
      </c>
      <c r="G789" s="12" t="n">
        <v>500</v>
      </c>
      <c r="H789" s="12" t="n">
        <f aca="false">SUMPRODUCT(ПОТОКИ!B12:G12,ЧАСОВЫЕ_ПРОФИЛИ!B21:G21,КОЭФФИЦИЕНТЫ_ВЫБОРА!F14:K14)</f>
        <v>0.5814</v>
      </c>
      <c r="I789" s="12" t="n">
        <f aca="false">SUMPRODUCT(ПОТОКИ!B12:G12,ЧАСОВЫЕ_ПРОФИЛИ!B21:G21,КОЭФФИЦИЕНТЫ_ВЫБОРА!F14:K14,ПАРАМЕТРЫ!$B$17:$G$17)</f>
        <v>0.63954</v>
      </c>
      <c r="J789" s="12" t="n">
        <f aca="false">I789*G789/1000</f>
        <v>0.31977</v>
      </c>
      <c r="K789" s="11" t="s">
        <v>217</v>
      </c>
      <c r="L789" s="11" t="s">
        <v>19</v>
      </c>
      <c r="M789" s="11" t="s">
        <v>145</v>
      </c>
    </row>
    <row r="790" customFormat="false" ht="15" hidden="false" customHeight="false" outlineLevel="0" collapsed="false">
      <c r="A790" s="11" t="s">
        <v>108</v>
      </c>
      <c r="B790" s="11" t="s">
        <v>134</v>
      </c>
      <c r="C790" s="11" t="n">
        <v>5</v>
      </c>
      <c r="D790" s="11" t="s">
        <v>78</v>
      </c>
      <c r="E790" s="11" t="s">
        <v>157</v>
      </c>
      <c r="F790" s="11" t="s">
        <v>77</v>
      </c>
      <c r="G790" s="12" t="n">
        <v>100</v>
      </c>
      <c r="H790" s="12" t="n">
        <f aca="false">SUMPRODUCT(ПОТОКИ!B12:G12,ЧАСОВЫЕ_ПРОФИЛИ!B21:G21,КОЭФФИЦИЕНТЫ_ВЫБОРА!F15:K15)</f>
        <v>0.4518</v>
      </c>
      <c r="I790" s="12" t="n">
        <f aca="false">SUMPRODUCT(ПОТОКИ!B12:G12,ЧАСОВЫЕ_ПРОФИЛИ!B21:G21,КОЭФФИЦИЕНТЫ_ВЫБОРА!F15:K15,ПАРАМЕТРЫ!$B$17:$G$17)</f>
        <v>0.49698</v>
      </c>
      <c r="J790" s="12" t="n">
        <f aca="false">I790*G790/1000</f>
        <v>0.049698</v>
      </c>
      <c r="K790" s="11" t="s">
        <v>217</v>
      </c>
      <c r="L790" s="11" t="s">
        <v>19</v>
      </c>
      <c r="M790" s="11" t="s">
        <v>147</v>
      </c>
    </row>
    <row r="791" customFormat="false" ht="15" hidden="false" customHeight="false" outlineLevel="0" collapsed="false">
      <c r="A791" s="11" t="s">
        <v>108</v>
      </c>
      <c r="B791" s="11" t="s">
        <v>134</v>
      </c>
      <c r="C791" s="11" t="n">
        <v>6</v>
      </c>
      <c r="D791" s="11" t="s">
        <v>78</v>
      </c>
      <c r="E791" s="11" t="s">
        <v>158</v>
      </c>
      <c r="F791" s="11" t="s">
        <v>77</v>
      </c>
      <c r="G791" s="12" t="n">
        <v>100</v>
      </c>
      <c r="H791" s="12" t="n">
        <f aca="false">SUMPRODUCT(ПОТОКИ!B12:G12,ЧАСОВЫЕ_ПРОФИЛИ!B21:G21,КОЭФФИЦИЕНТЫ_ВЫБОРА!F16:K16)</f>
        <v>0.4301</v>
      </c>
      <c r="I791" s="12" t="n">
        <f aca="false">SUMPRODUCT(ПОТОКИ!B12:G12,ЧАСОВЫЕ_ПРОФИЛИ!B21:G21,КОЭФФИЦИЕНТЫ_ВЫБОРА!F16:K16,ПАРАМЕТРЫ!$B$17:$G$17)</f>
        <v>0.47311</v>
      </c>
      <c r="J791" s="12" t="n">
        <f aca="false">I791*G791/1000</f>
        <v>0.047311</v>
      </c>
      <c r="K791" s="11" t="s">
        <v>217</v>
      </c>
      <c r="L791" s="11" t="s">
        <v>19</v>
      </c>
      <c r="M791" s="11" t="s">
        <v>147</v>
      </c>
    </row>
    <row r="792" customFormat="false" ht="15" hidden="false" customHeight="false" outlineLevel="0" collapsed="false">
      <c r="A792" s="11" t="s">
        <v>108</v>
      </c>
      <c r="B792" s="11" t="s">
        <v>134</v>
      </c>
      <c r="C792" s="11" t="n">
        <v>7</v>
      </c>
      <c r="D792" s="11" t="s">
        <v>78</v>
      </c>
      <c r="E792" s="11" t="s">
        <v>159</v>
      </c>
      <c r="F792" s="11" t="s">
        <v>77</v>
      </c>
      <c r="G792" s="12" t="n">
        <v>350</v>
      </c>
      <c r="H792" s="12" t="n">
        <f aca="false">SUMPRODUCT(ПОТОКИ!B12:G12,ЧАСОВЫЕ_ПРОФИЛИ!B21:G21,КОЭФФИЦИЕНТЫ_ВЫБОРА!F17:K17)</f>
        <v>0.3701</v>
      </c>
      <c r="I792" s="12" t="n">
        <f aca="false">SUMPRODUCT(ПОТОКИ!B12:G12,ЧАСОВЫЕ_ПРОФИЛИ!B21:G21,КОЭФФИЦИЕНТЫ_ВЫБОРА!F17:K17,ПАРАМЕТРЫ!$B$17:$G$17)</f>
        <v>0.40711</v>
      </c>
      <c r="J792" s="12" t="n">
        <f aca="false">I792*G792/1000</f>
        <v>0.1424885</v>
      </c>
      <c r="K792" s="11" t="s">
        <v>217</v>
      </c>
      <c r="L792" s="11" t="s">
        <v>19</v>
      </c>
      <c r="M792" s="11" t="s">
        <v>147</v>
      </c>
    </row>
    <row r="793" customFormat="false" ht="15" hidden="false" customHeight="false" outlineLevel="0" collapsed="false">
      <c r="A793" s="11" t="s">
        <v>108</v>
      </c>
      <c r="B793" s="11" t="s">
        <v>134</v>
      </c>
      <c r="C793" s="11" t="n">
        <v>8</v>
      </c>
      <c r="D793" s="11" t="s">
        <v>78</v>
      </c>
      <c r="E793" s="11" t="s">
        <v>160</v>
      </c>
      <c r="F793" s="11" t="s">
        <v>77</v>
      </c>
      <c r="G793" s="12" t="n">
        <v>85</v>
      </c>
      <c r="H793" s="12" t="n">
        <f aca="false">SUMPRODUCT(ПОТОКИ!B12:G12,ЧАСОВЫЕ_ПРОФИЛИ!B21:G21,КОЭФФИЦИЕНТЫ_ВЫБОРА!F18:K18)</f>
        <v>0.2284</v>
      </c>
      <c r="I793" s="12" t="n">
        <f aca="false">SUMPRODUCT(ПОТОКИ!B12:G12,ЧАСОВЫЕ_ПРОФИЛИ!B21:G21,КОЭФФИЦИЕНТЫ_ВЫБОРА!F18:K18,ПАРАМЕТРЫ!$B$17:$G$17)</f>
        <v>0.25124</v>
      </c>
      <c r="J793" s="12" t="n">
        <f aca="false">I793*G793/1000</f>
        <v>0.0213554</v>
      </c>
      <c r="K793" s="11" t="s">
        <v>217</v>
      </c>
      <c r="L793" s="11" t="s">
        <v>19</v>
      </c>
      <c r="M793" s="11" t="s">
        <v>147</v>
      </c>
    </row>
    <row r="794" customFormat="false" ht="15" hidden="false" customHeight="false" outlineLevel="0" collapsed="false">
      <c r="A794" s="11" t="s">
        <v>108</v>
      </c>
      <c r="B794" s="11" t="s">
        <v>134</v>
      </c>
      <c r="C794" s="11" t="n">
        <v>9</v>
      </c>
      <c r="D794" s="11" t="s">
        <v>161</v>
      </c>
      <c r="E794" s="11" t="s">
        <v>162</v>
      </c>
      <c r="F794" s="11" t="s">
        <v>80</v>
      </c>
      <c r="G794" s="12" t="n">
        <v>300</v>
      </c>
      <c r="H794" s="12" t="n">
        <f aca="false">SUMPRODUCT(ПОТОКИ!B12:G12,ЧАСОВЫЕ_ПРОФИЛИ!B21:G21,КОЭФФИЦИЕНТЫ_ВЫБОРА!F19:K19)</f>
        <v>0.215</v>
      </c>
      <c r="I794" s="12" t="n">
        <f aca="false">SUMPRODUCT(ПОТОКИ!B12:G12,ЧАСОВЫЕ_ПРОФИЛИ!B21:G21,КОЭФФИЦИЕНТЫ_ВЫБОРА!F19:K19,ПАРАМЕТРЫ!$B$17:$G$17)</f>
        <v>0.2365</v>
      </c>
      <c r="J794" s="12" t="n">
        <f aca="false">I794*G794/1000</f>
        <v>0.07095</v>
      </c>
      <c r="K794" s="11" t="s">
        <v>217</v>
      </c>
      <c r="L794" s="11" t="s">
        <v>19</v>
      </c>
      <c r="M794" s="11" t="s">
        <v>145</v>
      </c>
    </row>
    <row r="795" customFormat="false" ht="15" hidden="false" customHeight="false" outlineLevel="0" collapsed="false">
      <c r="A795" s="11" t="s">
        <v>108</v>
      </c>
      <c r="B795" s="11" t="s">
        <v>134</v>
      </c>
      <c r="C795" s="11" t="n">
        <v>10</v>
      </c>
      <c r="D795" s="11" t="s">
        <v>161</v>
      </c>
      <c r="E795" s="11" t="s">
        <v>163</v>
      </c>
      <c r="F795" s="11" t="s">
        <v>80</v>
      </c>
      <c r="G795" s="12" t="n">
        <v>280</v>
      </c>
      <c r="H795" s="12" t="n">
        <f aca="false">SUMPRODUCT(ПОТОКИ!B12:G12,ЧАСОВЫЕ_ПРОФИЛИ!B21:G21,КОЭФФИЦИЕНТЫ_ВЫБОРА!F20:K20)</f>
        <v>0.251</v>
      </c>
      <c r="I795" s="12" t="n">
        <f aca="false">SUMPRODUCT(ПОТОКИ!B12:G12,ЧАСОВЫЕ_ПРОФИЛИ!B21:G21,КОЭФФИЦИЕНТЫ_ВЫБОРА!F20:K20,ПАРАМЕТРЫ!$B$17:$G$17)</f>
        <v>0.2761</v>
      </c>
      <c r="J795" s="12" t="n">
        <f aca="false">I795*G795/1000</f>
        <v>0.077308</v>
      </c>
      <c r="K795" s="11" t="s">
        <v>217</v>
      </c>
      <c r="L795" s="11" t="s">
        <v>19</v>
      </c>
      <c r="M795" s="11" t="s">
        <v>145</v>
      </c>
    </row>
    <row r="796" customFormat="false" ht="15" hidden="false" customHeight="false" outlineLevel="0" collapsed="false">
      <c r="A796" s="11" t="s">
        <v>108</v>
      </c>
      <c r="B796" s="11" t="s">
        <v>134</v>
      </c>
      <c r="C796" s="11" t="n">
        <v>11</v>
      </c>
      <c r="D796" s="11" t="s">
        <v>161</v>
      </c>
      <c r="E796" s="11" t="s">
        <v>164</v>
      </c>
      <c r="F796" s="11" t="s">
        <v>80</v>
      </c>
      <c r="G796" s="12" t="n">
        <v>270</v>
      </c>
      <c r="H796" s="12" t="n">
        <f aca="false">SUMPRODUCT(ПОТОКИ!B12:G12,ЧАСОВЫЕ_ПРОФИЛИ!B21:G21,КОЭФФИЦИЕНТЫ_ВЫБОРА!F21:K21)</f>
        <v>0.42485</v>
      </c>
      <c r="I796" s="12" t="n">
        <f aca="false">SUMPRODUCT(ПОТОКИ!B12:G12,ЧАСОВЫЕ_ПРОФИЛИ!B21:G21,КОЭФФИЦИЕНТЫ_ВЫБОРА!F21:K21,ПАРАМЕТРЫ!$B$17:$G$17)</f>
        <v>0.467335</v>
      </c>
      <c r="J796" s="12" t="n">
        <f aca="false">I796*G796/1000</f>
        <v>0.12618045</v>
      </c>
      <c r="K796" s="11" t="s">
        <v>217</v>
      </c>
      <c r="L796" s="11" t="s">
        <v>19</v>
      </c>
      <c r="M796" s="11" t="s">
        <v>145</v>
      </c>
    </row>
    <row r="797" customFormat="false" ht="15" hidden="false" customHeight="false" outlineLevel="0" collapsed="false">
      <c r="A797" s="11" t="s">
        <v>108</v>
      </c>
      <c r="B797" s="11" t="s">
        <v>134</v>
      </c>
      <c r="C797" s="11" t="n">
        <v>12</v>
      </c>
      <c r="D797" s="11" t="s">
        <v>161</v>
      </c>
      <c r="E797" s="11" t="s">
        <v>165</v>
      </c>
      <c r="F797" s="11" t="s">
        <v>80</v>
      </c>
      <c r="G797" s="12" t="n">
        <v>240</v>
      </c>
      <c r="H797" s="12" t="n">
        <f aca="false">SUMPRODUCT(ПОТОКИ!B12:G12,ЧАСОВЫЕ_ПРОФИЛИ!B21:G21,КОЭФФИЦИЕНТЫ_ВЫБОРА!F22:K22)</f>
        <v>0.22015</v>
      </c>
      <c r="I797" s="12" t="n">
        <f aca="false">SUMPRODUCT(ПОТОКИ!B12:G12,ЧАСОВЫЕ_ПРОФИЛИ!B21:G21,КОЭФФИЦИЕНТЫ_ВЫБОРА!F22:K22,ПАРАМЕТРЫ!$B$17:$G$17)</f>
        <v>0.242165</v>
      </c>
      <c r="J797" s="12" t="n">
        <f aca="false">I797*G797/1000</f>
        <v>0.0581196</v>
      </c>
      <c r="K797" s="11" t="s">
        <v>217</v>
      </c>
      <c r="L797" s="11" t="s">
        <v>19</v>
      </c>
      <c r="M797" s="11" t="s">
        <v>145</v>
      </c>
    </row>
    <row r="798" customFormat="false" ht="15" hidden="false" customHeight="false" outlineLevel="0" collapsed="false">
      <c r="A798" s="11" t="s">
        <v>108</v>
      </c>
      <c r="B798" s="11" t="s">
        <v>134</v>
      </c>
      <c r="C798" s="11" t="n">
        <v>13</v>
      </c>
      <c r="D798" s="11" t="s">
        <v>166</v>
      </c>
      <c r="E798" s="11" t="s">
        <v>167</v>
      </c>
      <c r="F798" s="11" t="s">
        <v>80</v>
      </c>
      <c r="G798" s="12" t="n">
        <v>130</v>
      </c>
      <c r="H798" s="12" t="n">
        <f aca="false">SUMPRODUCT(ПОТОКИ!B12:G12,ЧАСОВЫЕ_ПРОФИЛИ!B21:G21,КОЭФФИЦИЕНТЫ_ВЫБОРА!F23:K23)</f>
        <v>0.116</v>
      </c>
      <c r="I798" s="12" t="n">
        <f aca="false">SUMPRODUCT(ПОТОКИ!B12:G12,ЧАСОВЫЕ_ПРОФИЛИ!B21:G21,КОЭФФИЦИЕНТЫ_ВЫБОРА!F23:K23,ПАРАМЕТРЫ!$B$17:$G$17)</f>
        <v>0.1276</v>
      </c>
      <c r="J798" s="12" t="n">
        <f aca="false">I798*G798/1000</f>
        <v>0.016588</v>
      </c>
      <c r="K798" s="11" t="s">
        <v>217</v>
      </c>
      <c r="L798" s="11" t="s">
        <v>19</v>
      </c>
      <c r="M798" s="11" t="s">
        <v>145</v>
      </c>
    </row>
    <row r="799" customFormat="false" ht="15" hidden="false" customHeight="false" outlineLevel="0" collapsed="false">
      <c r="A799" s="11" t="s">
        <v>108</v>
      </c>
      <c r="B799" s="11" t="s">
        <v>134</v>
      </c>
      <c r="C799" s="11" t="n">
        <v>14</v>
      </c>
      <c r="D799" s="11" t="s">
        <v>166</v>
      </c>
      <c r="E799" s="11" t="s">
        <v>168</v>
      </c>
      <c r="F799" s="11" t="s">
        <v>80</v>
      </c>
      <c r="G799" s="12" t="n">
        <v>250</v>
      </c>
      <c r="H799" s="12" t="n">
        <f aca="false">SUMPRODUCT(ПОТОКИ!B12:G12,ЧАСОВЫЕ_ПРОФИЛИ!B21:G21,КОЭФФИЦИЕНТЫ_ВЫБОРА!F24:K24)</f>
        <v>0.0826</v>
      </c>
      <c r="I799" s="12" t="n">
        <f aca="false">SUMPRODUCT(ПОТОКИ!B12:G12,ЧАСОВЫЕ_ПРОФИЛИ!B21:G21,КОЭФФИЦИЕНТЫ_ВЫБОРА!F24:K24,ПАРАМЕТРЫ!$B$17:$G$17)</f>
        <v>0.09086</v>
      </c>
      <c r="J799" s="12" t="n">
        <f aca="false">I799*G799/1000</f>
        <v>0.022715</v>
      </c>
      <c r="K799" s="11" t="s">
        <v>217</v>
      </c>
      <c r="L799" s="11" t="s">
        <v>19</v>
      </c>
      <c r="M799" s="11" t="s">
        <v>145</v>
      </c>
    </row>
    <row r="800" customFormat="false" ht="15" hidden="false" customHeight="false" outlineLevel="0" collapsed="false">
      <c r="A800" s="11" t="s">
        <v>108</v>
      </c>
      <c r="B800" s="11" t="s">
        <v>134</v>
      </c>
      <c r="C800" s="11" t="n">
        <v>15</v>
      </c>
      <c r="D800" s="11" t="s">
        <v>166</v>
      </c>
      <c r="E800" s="11" t="s">
        <v>169</v>
      </c>
      <c r="F800" s="11" t="s">
        <v>80</v>
      </c>
      <c r="G800" s="12" t="n">
        <v>120</v>
      </c>
      <c r="H800" s="12" t="n">
        <f aca="false">SUMPRODUCT(ПОТОКИ!B12:G12,ЧАСОВЫЕ_ПРОФИЛИ!B21:G21,КОЭФФИЦИЕНТЫ_ВЫБОРА!F25:K25)</f>
        <v>0.0676</v>
      </c>
      <c r="I800" s="12" t="n">
        <f aca="false">SUMPRODUCT(ПОТОКИ!B12:G12,ЧАСОВЫЕ_ПРОФИЛИ!B21:G21,КОЭФФИЦИЕНТЫ_ВЫБОРА!F25:K25,ПАРАМЕТРЫ!$B$17:$G$17)</f>
        <v>0.07436</v>
      </c>
      <c r="J800" s="12" t="n">
        <f aca="false">I800*G800/1000</f>
        <v>0.0089232</v>
      </c>
      <c r="K800" s="11" t="s">
        <v>217</v>
      </c>
      <c r="L800" s="11" t="s">
        <v>19</v>
      </c>
      <c r="M800" s="11" t="s">
        <v>145</v>
      </c>
    </row>
    <row r="801" customFormat="false" ht="15" hidden="false" customHeight="false" outlineLevel="0" collapsed="false">
      <c r="A801" s="11" t="s">
        <v>108</v>
      </c>
      <c r="B801" s="11" t="s">
        <v>134</v>
      </c>
      <c r="C801" s="11" t="n">
        <v>16</v>
      </c>
      <c r="D801" s="11" t="s">
        <v>166</v>
      </c>
      <c r="E801" s="11" t="s">
        <v>170</v>
      </c>
      <c r="F801" s="11" t="s">
        <v>80</v>
      </c>
      <c r="G801" s="12" t="n">
        <v>180</v>
      </c>
      <c r="H801" s="12" t="n">
        <f aca="false">SUMPRODUCT(ПОТОКИ!B12:G12,ЧАСОВЫЕ_ПРОФИЛИ!B21:G21,КОЭФФИЦИЕНТЫ_ВЫБОРА!F26:K26)</f>
        <v>0.1018</v>
      </c>
      <c r="I801" s="12" t="n">
        <f aca="false">SUMPRODUCT(ПОТОКИ!B12:G12,ЧАСОВЫЕ_ПРОФИЛИ!B21:G21,КОЭФФИЦИЕНТЫ_ВЫБОРА!F26:K26,ПАРАМЕТРЫ!$B$17:$G$17)</f>
        <v>0.11198</v>
      </c>
      <c r="J801" s="12" t="n">
        <f aca="false">I801*G801/1000</f>
        <v>0.0201564</v>
      </c>
      <c r="K801" s="11" t="s">
        <v>217</v>
      </c>
      <c r="L801" s="11" t="s">
        <v>19</v>
      </c>
      <c r="M801" s="11" t="s">
        <v>145</v>
      </c>
    </row>
    <row r="802" customFormat="false" ht="15" hidden="false" customHeight="false" outlineLevel="0" collapsed="false">
      <c r="A802" s="11" t="s">
        <v>108</v>
      </c>
      <c r="B802" s="11" t="s">
        <v>134</v>
      </c>
      <c r="C802" s="11" t="n">
        <v>17</v>
      </c>
      <c r="D802" s="11" t="s">
        <v>166</v>
      </c>
      <c r="E802" s="11" t="s">
        <v>171</v>
      </c>
      <c r="F802" s="11" t="s">
        <v>80</v>
      </c>
      <c r="G802" s="12" t="n">
        <v>180</v>
      </c>
      <c r="H802" s="12" t="n">
        <f aca="false">SUMPRODUCT(ПОТОКИ!B12:G12,ЧАСОВЫЕ_ПРОФИЛИ!B21:G21,КОЭФФИЦИЕНТЫ_ВЫБОРА!F27:K27)</f>
        <v>0.116</v>
      </c>
      <c r="I802" s="12" t="n">
        <f aca="false">SUMPRODUCT(ПОТОКИ!B12:G12,ЧАСОВЫЕ_ПРОФИЛИ!B21:G21,КОЭФФИЦИЕНТЫ_ВЫБОРА!F27:K27,ПАРАМЕТРЫ!$B$17:$G$17)</f>
        <v>0.1276</v>
      </c>
      <c r="J802" s="12" t="n">
        <f aca="false">I802*G802/1000</f>
        <v>0.022968</v>
      </c>
      <c r="K802" s="11" t="s">
        <v>217</v>
      </c>
      <c r="L802" s="11" t="s">
        <v>19</v>
      </c>
      <c r="M802" s="11" t="s">
        <v>145</v>
      </c>
    </row>
    <row r="803" customFormat="false" ht="15" hidden="false" customHeight="false" outlineLevel="0" collapsed="false">
      <c r="A803" s="11" t="s">
        <v>108</v>
      </c>
      <c r="B803" s="11" t="s">
        <v>134</v>
      </c>
      <c r="C803" s="11" t="n">
        <v>18</v>
      </c>
      <c r="D803" s="11" t="s">
        <v>172</v>
      </c>
      <c r="E803" s="11" t="s">
        <v>173</v>
      </c>
      <c r="F803" s="11" t="s">
        <v>83</v>
      </c>
      <c r="G803" s="12" t="n">
        <v>400</v>
      </c>
      <c r="H803" s="12" t="n">
        <f aca="false">SUMPRODUCT(ПОТОКИ!B12:G12,ЧАСОВЫЕ_ПРОФИЛИ!B21:G21,КОЭФФИЦИЕНТЫ_ВЫБОРА!F28:K28)</f>
        <v>0.192</v>
      </c>
      <c r="I803" s="12" t="n">
        <f aca="false">SUMPRODUCT(ПОТОКИ!B12:G12,ЧАСОВЫЕ_ПРОФИЛИ!B21:G21,КОЭФФИЦИЕНТЫ_ВЫБОРА!F28:K28,ПАРАМЕТРЫ!$B$17:$G$17)</f>
        <v>0.2112</v>
      </c>
      <c r="J803" s="12" t="n">
        <f aca="false">I803*G803/1000</f>
        <v>0.08448</v>
      </c>
      <c r="K803" s="11" t="s">
        <v>217</v>
      </c>
      <c r="L803" s="11" t="s">
        <v>19</v>
      </c>
      <c r="M803" s="11" t="s">
        <v>145</v>
      </c>
    </row>
    <row r="804" customFormat="false" ht="23.85" hidden="false" customHeight="false" outlineLevel="0" collapsed="false">
      <c r="A804" s="11" t="s">
        <v>108</v>
      </c>
      <c r="B804" s="11" t="s">
        <v>134</v>
      </c>
      <c r="C804" s="11" t="n">
        <v>19</v>
      </c>
      <c r="D804" s="11" t="s">
        <v>174</v>
      </c>
      <c r="E804" s="11" t="s">
        <v>175</v>
      </c>
      <c r="F804" s="11" t="s">
        <v>83</v>
      </c>
      <c r="G804" s="12" t="n">
        <v>300</v>
      </c>
      <c r="H804" s="12" t="n">
        <f aca="false">SUMPRODUCT(ПОТОКИ!B12:G12,ЧАСОВЫЕ_ПРОФИЛИ!B21:G21,КОЭФФИЦИЕНТЫ_ВЫБОРА!F29:K29)</f>
        <v>0.6315</v>
      </c>
      <c r="I804" s="12" t="n">
        <f aca="false">SUMPRODUCT(ПОТОКИ!B12:G12,ЧАСОВЫЕ_ПРОФИЛИ!B21:G21,КОЭФФИЦИЕНТЫ_ВЫБОРА!F29:K29,ПАРАМЕТРЫ!$B$17:$G$17)</f>
        <v>0.69465</v>
      </c>
      <c r="J804" s="12" t="n">
        <f aca="false">I804*G804/1000</f>
        <v>0.208395</v>
      </c>
      <c r="K804" s="11" t="s">
        <v>217</v>
      </c>
      <c r="L804" s="11" t="s">
        <v>19</v>
      </c>
      <c r="M804" s="11" t="s">
        <v>145</v>
      </c>
    </row>
    <row r="805" customFormat="false" ht="15" hidden="false" customHeight="false" outlineLevel="0" collapsed="false">
      <c r="A805" s="11" t="s">
        <v>108</v>
      </c>
      <c r="B805" s="11" t="s">
        <v>134</v>
      </c>
      <c r="C805" s="11" t="n">
        <v>20</v>
      </c>
      <c r="D805" s="11" t="s">
        <v>174</v>
      </c>
      <c r="E805" s="11" t="s">
        <v>176</v>
      </c>
      <c r="F805" s="11" t="s">
        <v>83</v>
      </c>
      <c r="G805" s="12" t="n">
        <v>360</v>
      </c>
      <c r="H805" s="12" t="n">
        <f aca="false">SUMPRODUCT(ПОТОКИ!B12:G12,ЧАСОВЫЕ_ПРОФИЛИ!B21:G21,КОЭФФИЦИЕНТЫ_ВЫБОРА!F30:K30)</f>
        <v>0.5746</v>
      </c>
      <c r="I805" s="12" t="n">
        <f aca="false">SUMPRODUCT(ПОТОКИ!B12:G12,ЧАСОВЫЕ_ПРОФИЛИ!B21:G21,КОЭФФИЦИЕНТЫ_ВЫБОРА!F30:K30,ПАРАМЕТРЫ!$B$17:$G$17)</f>
        <v>0.63206</v>
      </c>
      <c r="J805" s="12" t="n">
        <f aca="false">I805*G805/1000</f>
        <v>0.2275416</v>
      </c>
      <c r="K805" s="11" t="s">
        <v>217</v>
      </c>
      <c r="L805" s="11" t="s">
        <v>19</v>
      </c>
      <c r="M805" s="11" t="s">
        <v>145</v>
      </c>
    </row>
    <row r="806" customFormat="false" ht="15" hidden="false" customHeight="false" outlineLevel="0" collapsed="false">
      <c r="A806" s="11" t="s">
        <v>108</v>
      </c>
      <c r="B806" s="11" t="s">
        <v>134</v>
      </c>
      <c r="C806" s="11" t="n">
        <v>21</v>
      </c>
      <c r="D806" s="11" t="s">
        <v>174</v>
      </c>
      <c r="E806" s="11" t="s">
        <v>177</v>
      </c>
      <c r="F806" s="11" t="s">
        <v>83</v>
      </c>
      <c r="G806" s="12" t="n">
        <v>350</v>
      </c>
      <c r="H806" s="12" t="n">
        <f aca="false">SUMPRODUCT(ПОТОКИ!B12:G12,ЧАСОВЫЕ_ПРОФИЛИ!B21:G21,КОЭФФИЦИЕНТЫ_ВЫБОРА!F31:K31)</f>
        <v>0.86465</v>
      </c>
      <c r="I806" s="12" t="n">
        <f aca="false">SUMPRODUCT(ПОТОКИ!B12:G12,ЧАСОВЫЕ_ПРОФИЛИ!B21:G21,КОЭФФИЦИЕНТЫ_ВЫБОРА!F31:K31,ПАРАМЕТРЫ!$B$17:$G$17)</f>
        <v>0.951115</v>
      </c>
      <c r="J806" s="12" t="n">
        <f aca="false">I806*G806/1000</f>
        <v>0.33289025</v>
      </c>
      <c r="K806" s="11" t="s">
        <v>217</v>
      </c>
      <c r="L806" s="11" t="s">
        <v>19</v>
      </c>
      <c r="M806" s="11" t="s">
        <v>145</v>
      </c>
    </row>
    <row r="807" customFormat="false" ht="15" hidden="false" customHeight="false" outlineLevel="0" collapsed="false">
      <c r="A807" s="11" t="s">
        <v>108</v>
      </c>
      <c r="B807" s="11" t="s">
        <v>134</v>
      </c>
      <c r="C807" s="11" t="n">
        <v>22</v>
      </c>
      <c r="D807" s="11" t="s">
        <v>174</v>
      </c>
      <c r="E807" s="11" t="s">
        <v>178</v>
      </c>
      <c r="F807" s="11" t="s">
        <v>83</v>
      </c>
      <c r="G807" s="12" t="n">
        <v>300</v>
      </c>
      <c r="H807" s="12" t="n">
        <f aca="false">SUMPRODUCT(ПОТОКИ!B12:G12,ЧАСОВЫЕ_ПРОФИЛИ!B21:G21,КОЭФФИЦИЕНТЫ_ВЫБОРА!F32:K32)</f>
        <v>0.56225</v>
      </c>
      <c r="I807" s="12" t="n">
        <f aca="false">SUMPRODUCT(ПОТОКИ!B12:G12,ЧАСОВЫЕ_ПРОФИЛИ!B21:G21,КОЭФФИЦИЕНТЫ_ВЫБОРА!F32:K32,ПАРАМЕТРЫ!$B$17:$G$17)</f>
        <v>0.618475</v>
      </c>
      <c r="J807" s="12" t="n">
        <f aca="false">I807*G807/1000</f>
        <v>0.1855425</v>
      </c>
      <c r="K807" s="11" t="s">
        <v>217</v>
      </c>
      <c r="L807" s="11" t="s">
        <v>19</v>
      </c>
      <c r="M807" s="11" t="s">
        <v>145</v>
      </c>
    </row>
    <row r="808" customFormat="false" ht="15" hidden="false" customHeight="false" outlineLevel="0" collapsed="false">
      <c r="A808" s="11" t="s">
        <v>108</v>
      </c>
      <c r="B808" s="11" t="s">
        <v>134</v>
      </c>
      <c r="C808" s="11" t="n">
        <v>23</v>
      </c>
      <c r="D808" s="11" t="s">
        <v>86</v>
      </c>
      <c r="E808" s="11" t="s">
        <v>179</v>
      </c>
      <c r="F808" s="11" t="s">
        <v>85</v>
      </c>
      <c r="G808" s="12" t="n">
        <v>150</v>
      </c>
      <c r="H808" s="12" t="n">
        <f aca="false">SUMPRODUCT(ПОТОКИ!B12:G12,ЧАСОВЫЕ_ПРОФИЛИ!B21:G21,КОЭФФИЦИЕНТЫ_ВЫБОРА!F33:K33)</f>
        <v>0.41465775</v>
      </c>
      <c r="I808" s="12" t="n">
        <f aca="false">SUMPRODUCT(ПОТОКИ!B12:G12,ЧАСОВЫЕ_ПРОФИЛИ!B21:G21,КОЭФФИЦИЕНТЫ_ВЫБОРА!F33:K33,ПАРАМЕТРЫ!$B$17:$G$17)</f>
        <v>0.456123525</v>
      </c>
      <c r="J808" s="12" t="n">
        <f aca="false">I808*G808/1000</f>
        <v>0.06841852875</v>
      </c>
      <c r="K808" s="11" t="s">
        <v>217</v>
      </c>
      <c r="L808" s="11" t="s">
        <v>19</v>
      </c>
      <c r="M808" s="11" t="s">
        <v>147</v>
      </c>
    </row>
    <row r="809" customFormat="false" ht="15" hidden="false" customHeight="false" outlineLevel="0" collapsed="false">
      <c r="A809" s="11" t="s">
        <v>108</v>
      </c>
      <c r="B809" s="11" t="s">
        <v>134</v>
      </c>
      <c r="C809" s="11" t="n">
        <v>24</v>
      </c>
      <c r="D809" s="11" t="s">
        <v>86</v>
      </c>
      <c r="E809" s="11" t="s">
        <v>180</v>
      </c>
      <c r="F809" s="11" t="s">
        <v>85</v>
      </c>
      <c r="G809" s="12" t="n">
        <v>150</v>
      </c>
      <c r="H809" s="12" t="n">
        <f aca="false">SUMPRODUCT(ПОТОКИ!B12:G12,ЧАСОВЫЕ_ПРОФИЛИ!B21:G21,КОЭФФИЦИЕНТЫ_ВЫБОРА!F34:K34)</f>
        <v>0.215457</v>
      </c>
      <c r="I809" s="12" t="n">
        <f aca="false">SUMPRODUCT(ПОТОКИ!B12:G12,ЧАСОВЫЕ_ПРОФИЛИ!B21:G21,КОЭФФИЦИЕНТЫ_ВЫБОРА!F34:K34,ПАРАМЕТРЫ!$B$17:$G$17)</f>
        <v>0.2370027</v>
      </c>
      <c r="J809" s="12" t="n">
        <f aca="false">I809*G809/1000</f>
        <v>0.035550405</v>
      </c>
      <c r="K809" s="11" t="s">
        <v>217</v>
      </c>
      <c r="L809" s="11" t="s">
        <v>19</v>
      </c>
      <c r="M809" s="11" t="s">
        <v>147</v>
      </c>
    </row>
    <row r="810" customFormat="false" ht="15" hidden="false" customHeight="false" outlineLevel="0" collapsed="false">
      <c r="A810" s="11" t="s">
        <v>108</v>
      </c>
      <c r="B810" s="11" t="s">
        <v>134</v>
      </c>
      <c r="C810" s="11" t="n">
        <v>25</v>
      </c>
      <c r="D810" s="11" t="s">
        <v>86</v>
      </c>
      <c r="E810" s="11" t="s">
        <v>181</v>
      </c>
      <c r="F810" s="11" t="s">
        <v>85</v>
      </c>
      <c r="G810" s="12" t="n">
        <v>150</v>
      </c>
      <c r="H810" s="12" t="n">
        <f aca="false">SUMPRODUCT(ПОТОКИ!B12:G12,ЧАСОВЫЕ_ПРОФИЛИ!B21:G21,КОЭФФИЦИЕНТЫ_ВЫБОРА!F35:K35)</f>
        <v>0.44717025</v>
      </c>
      <c r="I810" s="12" t="n">
        <f aca="false">SUMPRODUCT(ПОТОКИ!B12:G12,ЧАСОВЫЕ_ПРОФИЛИ!B21:G21,КОЭФФИЦИЕНТЫ_ВЫБОРА!F35:K35,ПАРАМЕТРЫ!$B$17:$G$17)</f>
        <v>0.491887275</v>
      </c>
      <c r="J810" s="12" t="n">
        <f aca="false">I810*G810/1000</f>
        <v>0.07378309125</v>
      </c>
      <c r="K810" s="11" t="s">
        <v>217</v>
      </c>
      <c r="L810" s="11" t="s">
        <v>19</v>
      </c>
      <c r="M810" s="11" t="s">
        <v>147</v>
      </c>
    </row>
    <row r="811" customFormat="false" ht="23.85" hidden="false" customHeight="false" outlineLevel="0" collapsed="false">
      <c r="A811" s="11" t="s">
        <v>108</v>
      </c>
      <c r="B811" s="11" t="s">
        <v>134</v>
      </c>
      <c r="C811" s="11" t="n">
        <v>26</v>
      </c>
      <c r="D811" s="11" t="s">
        <v>89</v>
      </c>
      <c r="E811" s="11" t="s">
        <v>182</v>
      </c>
      <c r="F811" s="11" t="s">
        <v>88</v>
      </c>
      <c r="G811" s="12" t="n">
        <v>225</v>
      </c>
      <c r="H811" s="12" t="n">
        <f aca="false">SUMPRODUCT(ПОТОКИ!B12:G12,ЧАСОВЫЕ_ПРОФИЛИ!B21:G21,КОЭФФИЦИЕНТЫ_ВЫБОРА!F36:K36)</f>
        <v>0</v>
      </c>
      <c r="I811" s="12" t="n">
        <f aca="false">SUMPRODUCT(ПОТОКИ!B12:G12,ЧАСОВЫЕ_ПРОФИЛИ!B21:G21,КОЭФФИЦИЕНТЫ_ВЫБОРА!F36:K36,ПАРАМЕТРЫ!$B$17:$G$17)</f>
        <v>0</v>
      </c>
      <c r="J811" s="12" t="n">
        <f aca="false">I811*G811/1000</f>
        <v>0</v>
      </c>
      <c r="K811" s="11" t="s">
        <v>217</v>
      </c>
      <c r="L811" s="11" t="s">
        <v>19</v>
      </c>
      <c r="M811" s="11" t="s">
        <v>145</v>
      </c>
    </row>
    <row r="812" customFormat="false" ht="23.85" hidden="false" customHeight="false" outlineLevel="0" collapsed="false">
      <c r="A812" s="11" t="s">
        <v>108</v>
      </c>
      <c r="B812" s="11" t="s">
        <v>134</v>
      </c>
      <c r="C812" s="11" t="n">
        <v>27</v>
      </c>
      <c r="D812" s="11" t="s">
        <v>89</v>
      </c>
      <c r="E812" s="11" t="s">
        <v>183</v>
      </c>
      <c r="F812" s="11" t="s">
        <v>88</v>
      </c>
      <c r="G812" s="12" t="n">
        <v>265</v>
      </c>
      <c r="H812" s="12" t="n">
        <f aca="false">SUMPRODUCT(ПОТОКИ!B12:G12,ЧАСОВЫЕ_ПРОФИЛИ!B21:G21,КОЭФФИЦИЕНТЫ_ВЫБОРА!F37:K37)</f>
        <v>0</v>
      </c>
      <c r="I812" s="12" t="n">
        <f aca="false">SUMPRODUCT(ПОТОКИ!B12:G12,ЧАСОВЫЕ_ПРОФИЛИ!B21:G21,КОЭФФИЦИЕНТЫ_ВЫБОРА!F37:K37,ПАРАМЕТРЫ!$B$17:$G$17)</f>
        <v>0</v>
      </c>
      <c r="J812" s="12" t="n">
        <f aca="false">I812*G812/1000</f>
        <v>0</v>
      </c>
      <c r="K812" s="11" t="s">
        <v>217</v>
      </c>
      <c r="L812" s="11" t="s">
        <v>19</v>
      </c>
      <c r="M812" s="11" t="s">
        <v>145</v>
      </c>
    </row>
    <row r="813" customFormat="false" ht="23.85" hidden="false" customHeight="false" outlineLevel="0" collapsed="false">
      <c r="A813" s="11" t="s">
        <v>108</v>
      </c>
      <c r="B813" s="11" t="s">
        <v>134</v>
      </c>
      <c r="C813" s="11" t="n">
        <v>28</v>
      </c>
      <c r="D813" s="11" t="s">
        <v>89</v>
      </c>
      <c r="E813" s="11" t="s">
        <v>184</v>
      </c>
      <c r="F813" s="11" t="s">
        <v>88</v>
      </c>
      <c r="G813" s="12" t="n">
        <v>355</v>
      </c>
      <c r="H813" s="12" t="n">
        <f aca="false">SUMPRODUCT(ПОТОКИ!B12:G12,ЧАСОВЫЕ_ПРОФИЛИ!B21:G21,КОЭФФИЦИЕНТЫ_ВЫБОРА!F38:K38)</f>
        <v>0</v>
      </c>
      <c r="I813" s="12" t="n">
        <f aca="false">SUMPRODUCT(ПОТОКИ!B12:G12,ЧАСОВЫЕ_ПРОФИЛИ!B21:G21,КОЭФФИЦИЕНТЫ_ВЫБОРА!F38:K38,ПАРАМЕТРЫ!$B$17:$G$17)</f>
        <v>0</v>
      </c>
      <c r="J813" s="12" t="n">
        <f aca="false">I813*G813/1000</f>
        <v>0</v>
      </c>
      <c r="K813" s="11" t="s">
        <v>217</v>
      </c>
      <c r="L813" s="11" t="s">
        <v>19</v>
      </c>
      <c r="M813" s="11" t="s">
        <v>145</v>
      </c>
    </row>
    <row r="814" customFormat="false" ht="15" hidden="false" customHeight="false" outlineLevel="0" collapsed="false">
      <c r="A814" s="11" t="s">
        <v>108</v>
      </c>
      <c r="B814" s="11" t="s">
        <v>134</v>
      </c>
      <c r="C814" s="11" t="n">
        <v>29</v>
      </c>
      <c r="D814" s="11" t="s">
        <v>92</v>
      </c>
      <c r="E814" s="11" t="s">
        <v>185</v>
      </c>
      <c r="F814" s="11" t="s">
        <v>91</v>
      </c>
      <c r="G814" s="12" t="n">
        <v>150</v>
      </c>
      <c r="H814" s="12" t="n">
        <f aca="false">SUMPRODUCT(ПОТОКИ!B12:G12,ЧАСОВЫЕ_ПРОФИЛИ!B21:G21,КОЭФФИЦИЕНТЫ_ВЫБОРА!F39:K39)</f>
        <v>0.2772</v>
      </c>
      <c r="I814" s="12" t="n">
        <f aca="false">SUMPRODUCT(ПОТОКИ!B12:G12,ЧАСОВЫЕ_ПРОФИЛИ!B21:G21,КОЭФФИЦИЕНТЫ_ВЫБОРА!F39:K39,ПАРАМЕТРЫ!$B$17:$G$17)</f>
        <v>0.30492</v>
      </c>
      <c r="J814" s="12" t="n">
        <f aca="false">I814*G814/1000</f>
        <v>0.045738</v>
      </c>
      <c r="K814" s="11" t="s">
        <v>217</v>
      </c>
      <c r="L814" s="11" t="s">
        <v>19</v>
      </c>
      <c r="M814" s="11" t="s">
        <v>145</v>
      </c>
    </row>
    <row r="815" customFormat="false" ht="15" hidden="false" customHeight="false" outlineLevel="0" collapsed="false">
      <c r="A815" s="11" t="s">
        <v>108</v>
      </c>
      <c r="B815" s="11" t="s">
        <v>134</v>
      </c>
      <c r="C815" s="11" t="n">
        <v>30</v>
      </c>
      <c r="D815" s="11" t="s">
        <v>92</v>
      </c>
      <c r="E815" s="11" t="s">
        <v>186</v>
      </c>
      <c r="F815" s="11" t="s">
        <v>91</v>
      </c>
      <c r="G815" s="12" t="n">
        <v>120</v>
      </c>
      <c r="H815" s="12" t="n">
        <f aca="false">SUMPRODUCT(ПОТОКИ!B12:G12,ЧАСОВЫЕ_ПРОФИЛИ!B21:G21,КОЭФФИЦИЕНТЫ_ВЫБОРА!F40:K40)</f>
        <v>0.3272</v>
      </c>
      <c r="I815" s="12" t="n">
        <f aca="false">SUMPRODUCT(ПОТОКИ!B12:G12,ЧАСОВЫЕ_ПРОФИЛИ!B21:G21,КОЭФФИЦИЕНТЫ_ВЫБОРА!F40:K40,ПАРАМЕТРЫ!$B$17:$G$17)</f>
        <v>0.35992</v>
      </c>
      <c r="J815" s="12" t="n">
        <f aca="false">I815*G815/1000</f>
        <v>0.0431904</v>
      </c>
      <c r="K815" s="11" t="s">
        <v>217</v>
      </c>
      <c r="L815" s="11" t="s">
        <v>19</v>
      </c>
      <c r="M815" s="11" t="s">
        <v>145</v>
      </c>
    </row>
    <row r="816" customFormat="false" ht="15" hidden="false" customHeight="false" outlineLevel="0" collapsed="false">
      <c r="A816" s="11" t="s">
        <v>108</v>
      </c>
      <c r="B816" s="11" t="s">
        <v>134</v>
      </c>
      <c r="C816" s="11" t="n">
        <v>31</v>
      </c>
      <c r="D816" s="11" t="s">
        <v>92</v>
      </c>
      <c r="E816" s="11" t="s">
        <v>187</v>
      </c>
      <c r="F816" s="11" t="s">
        <v>91</v>
      </c>
      <c r="G816" s="12" t="n">
        <v>60</v>
      </c>
      <c r="H816" s="12" t="n">
        <f aca="false">SUMPRODUCT(ПОТОКИ!B12:G12,ЧАСОВЫЕ_ПРОФИЛИ!B21:G21,КОЭФФИЦИЕНТЫ_ВЫБОРА!F41:K41)</f>
        <v>0.2736</v>
      </c>
      <c r="I816" s="12" t="n">
        <f aca="false">SUMPRODUCT(ПОТОКИ!B12:G12,ЧАСОВЫЕ_ПРОФИЛИ!B21:G21,КОЭФФИЦИЕНТЫ_ВЫБОРА!F41:K41,ПАРАМЕТРЫ!$B$17:$G$17)</f>
        <v>0.30096</v>
      </c>
      <c r="J816" s="12" t="n">
        <f aca="false">I816*G816/1000</f>
        <v>0.0180576</v>
      </c>
      <c r="K816" s="11" t="s">
        <v>217</v>
      </c>
      <c r="L816" s="11" t="s">
        <v>19</v>
      </c>
      <c r="M816" s="11" t="s">
        <v>145</v>
      </c>
    </row>
    <row r="817" customFormat="false" ht="15" hidden="false" customHeight="false" outlineLevel="0" collapsed="false">
      <c r="A817" s="11" t="s">
        <v>108</v>
      </c>
      <c r="B817" s="11" t="s">
        <v>135</v>
      </c>
      <c r="C817" s="11" t="n">
        <v>1</v>
      </c>
      <c r="D817" s="11" t="s">
        <v>74</v>
      </c>
      <c r="E817" s="11" t="s">
        <v>153</v>
      </c>
      <c r="F817" s="11" t="s">
        <v>73</v>
      </c>
      <c r="G817" s="12" t="n">
        <v>450</v>
      </c>
      <c r="H817" s="12" t="n">
        <f aca="false">SUMPRODUCT(ПОТОКИ!B12:G12,ЧАСОВЫЕ_ПРОФИЛИ!B22:G22,КОЭФФИЦИЕНТЫ_ВЫБОРА!F11:K11)</f>
        <v>0.3207</v>
      </c>
      <c r="I817" s="12" t="n">
        <f aca="false">SUMPRODUCT(ПОТОКИ!B12:G12,ЧАСОВЫЕ_ПРОФИЛИ!B22:G22,КОЭФФИЦИЕНТЫ_ВЫБОРА!F11:K11,ПАРАМЕТРЫ!$B$17:$G$17)</f>
        <v>0.35277</v>
      </c>
      <c r="J817" s="12" t="n">
        <f aca="false">I817*G817/1000</f>
        <v>0.1587465</v>
      </c>
      <c r="K817" s="11" t="s">
        <v>217</v>
      </c>
      <c r="L817" s="11" t="s">
        <v>19</v>
      </c>
      <c r="M817" s="11" t="s">
        <v>145</v>
      </c>
    </row>
    <row r="818" customFormat="false" ht="15" hidden="false" customHeight="false" outlineLevel="0" collapsed="false">
      <c r="A818" s="11" t="s">
        <v>108</v>
      </c>
      <c r="B818" s="11" t="s">
        <v>135</v>
      </c>
      <c r="C818" s="11" t="n">
        <v>2</v>
      </c>
      <c r="D818" s="11" t="s">
        <v>74</v>
      </c>
      <c r="E818" s="11" t="s">
        <v>154</v>
      </c>
      <c r="F818" s="11" t="s">
        <v>73</v>
      </c>
      <c r="G818" s="12" t="n">
        <v>480</v>
      </c>
      <c r="H818" s="12" t="n">
        <f aca="false">SUMPRODUCT(ПОТОКИ!B12:G12,ЧАСОВЫЕ_ПРОФИЛИ!B22:G22,КОЭФФИЦИЕНТЫ_ВЫБОРА!F12:K12)</f>
        <v>0.5421</v>
      </c>
      <c r="I818" s="12" t="n">
        <f aca="false">SUMPRODUCT(ПОТОКИ!B12:G12,ЧАСОВЫЕ_ПРОФИЛИ!B22:G22,КОЭФФИЦИЕНТЫ_ВЫБОРА!F12:K12,ПАРАМЕТРЫ!$B$17:$G$17)</f>
        <v>0.59631</v>
      </c>
      <c r="J818" s="12" t="n">
        <f aca="false">I818*G818/1000</f>
        <v>0.2862288</v>
      </c>
      <c r="K818" s="11" t="s">
        <v>217</v>
      </c>
      <c r="L818" s="11" t="s">
        <v>19</v>
      </c>
      <c r="M818" s="11" t="s">
        <v>145</v>
      </c>
    </row>
    <row r="819" customFormat="false" ht="15" hidden="false" customHeight="false" outlineLevel="0" collapsed="false">
      <c r="A819" s="11" t="s">
        <v>108</v>
      </c>
      <c r="B819" s="11" t="s">
        <v>135</v>
      </c>
      <c r="C819" s="11" t="n">
        <v>3</v>
      </c>
      <c r="D819" s="11" t="s">
        <v>74</v>
      </c>
      <c r="E819" s="11" t="s">
        <v>155</v>
      </c>
      <c r="F819" s="11" t="s">
        <v>73</v>
      </c>
      <c r="G819" s="12" t="n">
        <v>500</v>
      </c>
      <c r="H819" s="12" t="n">
        <f aca="false">SUMPRODUCT(ПОТОКИ!B12:G12,ЧАСОВЫЕ_ПРОФИЛИ!B22:G22,КОЭФФИЦИЕНТЫ_ВЫБОРА!F13:K13)</f>
        <v>0.7944</v>
      </c>
      <c r="I819" s="12" t="n">
        <f aca="false">SUMPRODUCT(ПОТОКИ!B12:G12,ЧАСОВЫЕ_ПРОФИЛИ!B22:G22,КОЭФФИЦИЕНТЫ_ВЫБОРА!F13:K13,ПАРАМЕТРЫ!$B$17:$G$17)</f>
        <v>0.87384</v>
      </c>
      <c r="J819" s="12" t="n">
        <f aca="false">I819*G819/1000</f>
        <v>0.43692</v>
      </c>
      <c r="K819" s="11" t="s">
        <v>217</v>
      </c>
      <c r="L819" s="11" t="s">
        <v>19</v>
      </c>
      <c r="M819" s="11" t="s">
        <v>145</v>
      </c>
    </row>
    <row r="820" customFormat="false" ht="15" hidden="false" customHeight="false" outlineLevel="0" collapsed="false">
      <c r="A820" s="11" t="s">
        <v>108</v>
      </c>
      <c r="B820" s="11" t="s">
        <v>135</v>
      </c>
      <c r="C820" s="11" t="n">
        <v>4</v>
      </c>
      <c r="D820" s="11" t="s">
        <v>74</v>
      </c>
      <c r="E820" s="11" t="s">
        <v>156</v>
      </c>
      <c r="F820" s="11" t="s">
        <v>73</v>
      </c>
      <c r="G820" s="12" t="n">
        <v>500</v>
      </c>
      <c r="H820" s="12" t="n">
        <f aca="false">SUMPRODUCT(ПОТОКИ!B12:G12,ЧАСОВЫЕ_ПРОФИЛИ!B22:G22,КОЭФФИЦИЕНТЫ_ВЫБОРА!F14:K14)</f>
        <v>1.0158</v>
      </c>
      <c r="I820" s="12" t="n">
        <f aca="false">SUMPRODUCT(ПОТОКИ!B12:G12,ЧАСОВЫЕ_ПРОФИЛИ!B22:G22,КОЭФФИЦИЕНТЫ_ВЫБОРА!F14:K14,ПАРАМЕТРЫ!$B$17:$G$17)</f>
        <v>1.11738</v>
      </c>
      <c r="J820" s="12" t="n">
        <f aca="false">I820*G820/1000</f>
        <v>0.55869</v>
      </c>
      <c r="K820" s="11" t="s">
        <v>217</v>
      </c>
      <c r="L820" s="11" t="s">
        <v>19</v>
      </c>
      <c r="M820" s="11" t="s">
        <v>145</v>
      </c>
    </row>
    <row r="821" customFormat="false" ht="15" hidden="false" customHeight="false" outlineLevel="0" collapsed="false">
      <c r="A821" s="11" t="s">
        <v>108</v>
      </c>
      <c r="B821" s="11" t="s">
        <v>135</v>
      </c>
      <c r="C821" s="11" t="n">
        <v>5</v>
      </c>
      <c r="D821" s="11" t="s">
        <v>78</v>
      </c>
      <c r="E821" s="11" t="s">
        <v>157</v>
      </c>
      <c r="F821" s="11" t="s">
        <v>77</v>
      </c>
      <c r="G821" s="12" t="n">
        <v>100</v>
      </c>
      <c r="H821" s="12" t="n">
        <f aca="false">SUMPRODUCT(ПОТОКИ!B12:G12,ЧАСОВЫЕ_ПРОФИЛИ!B22:G22,КОЭФФИЦИЕНТЫ_ВЫБОРА!F15:K15)</f>
        <v>0.5451</v>
      </c>
      <c r="I821" s="12" t="n">
        <f aca="false">SUMPRODUCT(ПОТОКИ!B12:G12,ЧАСОВЫЕ_ПРОФИЛИ!B22:G22,КОЭФФИЦИЕНТЫ_ВЫБОРА!F15:K15,ПАРАМЕТРЫ!$B$17:$G$17)</f>
        <v>0.59961</v>
      </c>
      <c r="J821" s="12" t="n">
        <f aca="false">I821*G821/1000</f>
        <v>0.059961</v>
      </c>
      <c r="K821" s="11" t="s">
        <v>217</v>
      </c>
      <c r="L821" s="11" t="s">
        <v>19</v>
      </c>
      <c r="M821" s="11" t="s">
        <v>147</v>
      </c>
    </row>
    <row r="822" customFormat="false" ht="15" hidden="false" customHeight="false" outlineLevel="0" collapsed="false">
      <c r="A822" s="11" t="s">
        <v>108</v>
      </c>
      <c r="B822" s="11" t="s">
        <v>135</v>
      </c>
      <c r="C822" s="11" t="n">
        <v>6</v>
      </c>
      <c r="D822" s="11" t="s">
        <v>78</v>
      </c>
      <c r="E822" s="11" t="s">
        <v>158</v>
      </c>
      <c r="F822" s="11" t="s">
        <v>77</v>
      </c>
      <c r="G822" s="12" t="n">
        <v>100</v>
      </c>
      <c r="H822" s="12" t="n">
        <f aca="false">SUMPRODUCT(ПОТОКИ!B12:G12,ЧАСОВЫЕ_ПРОФИЛИ!B22:G22,КОЭФФИЦИЕНТЫ_ВЫБОРА!F16:K16)</f>
        <v>0.4992</v>
      </c>
      <c r="I822" s="12" t="n">
        <f aca="false">SUMPRODUCT(ПОТОКИ!B12:G12,ЧАСОВЫЕ_ПРОФИЛИ!B22:G22,КОЭФФИЦИЕНТЫ_ВЫБОРА!F16:K16,ПАРАМЕТРЫ!$B$17:$G$17)</f>
        <v>0.54912</v>
      </c>
      <c r="J822" s="12" t="n">
        <f aca="false">I822*G822/1000</f>
        <v>0.054912</v>
      </c>
      <c r="K822" s="11" t="s">
        <v>217</v>
      </c>
      <c r="L822" s="11" t="s">
        <v>19</v>
      </c>
      <c r="M822" s="11" t="s">
        <v>147</v>
      </c>
    </row>
    <row r="823" customFormat="false" ht="15" hidden="false" customHeight="false" outlineLevel="0" collapsed="false">
      <c r="A823" s="11" t="s">
        <v>108</v>
      </c>
      <c r="B823" s="11" t="s">
        <v>135</v>
      </c>
      <c r="C823" s="11" t="n">
        <v>7</v>
      </c>
      <c r="D823" s="11" t="s">
        <v>78</v>
      </c>
      <c r="E823" s="11" t="s">
        <v>159</v>
      </c>
      <c r="F823" s="11" t="s">
        <v>77</v>
      </c>
      <c r="G823" s="12" t="n">
        <v>350</v>
      </c>
      <c r="H823" s="12" t="n">
        <f aca="false">SUMPRODUCT(ПОТОКИ!B12:G12,ЧАСОВЫЕ_ПРОФИЛИ!B22:G22,КОЭФФИЦИЕНТЫ_ВЫБОРА!F17:K17)</f>
        <v>0.44145</v>
      </c>
      <c r="I823" s="12" t="n">
        <f aca="false">SUMPRODUCT(ПОТОКИ!B12:G12,ЧАСОВЫЕ_ПРОФИЛИ!B22:G22,КОЭФФИЦИЕНТЫ_ВЫБОРА!F17:K17,ПАРАМЕТРЫ!$B$17:$G$17)</f>
        <v>0.485595</v>
      </c>
      <c r="J823" s="12" t="n">
        <f aca="false">I823*G823/1000</f>
        <v>0.16995825</v>
      </c>
      <c r="K823" s="11" t="s">
        <v>217</v>
      </c>
      <c r="L823" s="11" t="s">
        <v>19</v>
      </c>
      <c r="M823" s="11" t="s">
        <v>147</v>
      </c>
    </row>
    <row r="824" customFormat="false" ht="15" hidden="false" customHeight="false" outlineLevel="0" collapsed="false">
      <c r="A824" s="11" t="s">
        <v>108</v>
      </c>
      <c r="B824" s="11" t="s">
        <v>135</v>
      </c>
      <c r="C824" s="11" t="n">
        <v>8</v>
      </c>
      <c r="D824" s="11" t="s">
        <v>78</v>
      </c>
      <c r="E824" s="11" t="s">
        <v>160</v>
      </c>
      <c r="F824" s="11" t="s">
        <v>77</v>
      </c>
      <c r="G824" s="12" t="n">
        <v>85</v>
      </c>
      <c r="H824" s="12" t="n">
        <f aca="false">SUMPRODUCT(ПОТОКИ!B12:G12,ЧАСОВЫЕ_ПРОФИЛИ!B22:G22,КОЭФФИЦИЕНТЫ_ВЫБОРА!F18:K18)</f>
        <v>0.28005</v>
      </c>
      <c r="I824" s="12" t="n">
        <f aca="false">SUMPRODUCT(ПОТОКИ!B12:G12,ЧАСОВЫЕ_ПРОФИЛИ!B22:G22,КОЭФФИЦИЕНТЫ_ВЫБОРА!F18:K18,ПАРАМЕТРЫ!$B$17:$G$17)</f>
        <v>0.308055</v>
      </c>
      <c r="J824" s="12" t="n">
        <f aca="false">I824*G824/1000</f>
        <v>0.026184675</v>
      </c>
      <c r="K824" s="11" t="s">
        <v>217</v>
      </c>
      <c r="L824" s="11" t="s">
        <v>19</v>
      </c>
      <c r="M824" s="11" t="s">
        <v>147</v>
      </c>
    </row>
    <row r="825" customFormat="false" ht="15" hidden="false" customHeight="false" outlineLevel="0" collapsed="false">
      <c r="A825" s="11" t="s">
        <v>108</v>
      </c>
      <c r="B825" s="11" t="s">
        <v>135</v>
      </c>
      <c r="C825" s="11" t="n">
        <v>9</v>
      </c>
      <c r="D825" s="11" t="s">
        <v>161</v>
      </c>
      <c r="E825" s="11" t="s">
        <v>162</v>
      </c>
      <c r="F825" s="11" t="s">
        <v>80</v>
      </c>
      <c r="G825" s="12" t="n">
        <v>300</v>
      </c>
      <c r="H825" s="12" t="n">
        <f aca="false">SUMPRODUCT(ПОТОКИ!B12:G12,ЧАСОВЫЕ_ПРОФИЛИ!B22:G22,КОЭФФИЦИЕНТЫ_ВЫБОРА!F19:K19)</f>
        <v>0.4515</v>
      </c>
      <c r="I825" s="12" t="n">
        <f aca="false">SUMPRODUCT(ПОТОКИ!B12:G12,ЧАСОВЫЕ_ПРОФИЛИ!B22:G22,КОЭФФИЦИЕНТЫ_ВЫБОРА!F19:K19,ПАРАМЕТРЫ!$B$17:$G$17)</f>
        <v>0.49665</v>
      </c>
      <c r="J825" s="12" t="n">
        <f aca="false">I825*G825/1000</f>
        <v>0.148995</v>
      </c>
      <c r="K825" s="11" t="s">
        <v>217</v>
      </c>
      <c r="L825" s="11" t="s">
        <v>19</v>
      </c>
      <c r="M825" s="11" t="s">
        <v>145</v>
      </c>
    </row>
    <row r="826" customFormat="false" ht="15" hidden="false" customHeight="false" outlineLevel="0" collapsed="false">
      <c r="A826" s="11" t="s">
        <v>108</v>
      </c>
      <c r="B826" s="11" t="s">
        <v>135</v>
      </c>
      <c r="C826" s="11" t="n">
        <v>10</v>
      </c>
      <c r="D826" s="11" t="s">
        <v>161</v>
      </c>
      <c r="E826" s="11" t="s">
        <v>163</v>
      </c>
      <c r="F826" s="11" t="s">
        <v>80</v>
      </c>
      <c r="G826" s="12" t="n">
        <v>280</v>
      </c>
      <c r="H826" s="12" t="n">
        <f aca="false">SUMPRODUCT(ПОТОКИ!B12:G12,ЧАСОВЫЕ_ПРОФИЛИ!B22:G22,КОЭФФИЦИЕНТЫ_ВЫБОРА!F20:K20)</f>
        <v>0.51</v>
      </c>
      <c r="I826" s="12" t="n">
        <f aca="false">SUMPRODUCT(ПОТОКИ!B12:G12,ЧАСОВЫЕ_ПРОФИЛИ!B22:G22,КОЭФФИЦИЕНТЫ_ВЫБОРА!F20:K20,ПАРАМЕТРЫ!$B$17:$G$17)</f>
        <v>0.561</v>
      </c>
      <c r="J826" s="12" t="n">
        <f aca="false">I826*G826/1000</f>
        <v>0.15708</v>
      </c>
      <c r="K826" s="11" t="s">
        <v>217</v>
      </c>
      <c r="L826" s="11" t="s">
        <v>19</v>
      </c>
      <c r="M826" s="11" t="s">
        <v>145</v>
      </c>
    </row>
    <row r="827" customFormat="false" ht="15" hidden="false" customHeight="false" outlineLevel="0" collapsed="false">
      <c r="A827" s="11" t="s">
        <v>108</v>
      </c>
      <c r="B827" s="11" t="s">
        <v>135</v>
      </c>
      <c r="C827" s="11" t="n">
        <v>11</v>
      </c>
      <c r="D827" s="11" t="s">
        <v>161</v>
      </c>
      <c r="E827" s="11" t="s">
        <v>164</v>
      </c>
      <c r="F827" s="11" t="s">
        <v>80</v>
      </c>
      <c r="G827" s="12" t="n">
        <v>270</v>
      </c>
      <c r="H827" s="12" t="n">
        <f aca="false">SUMPRODUCT(ПОТОКИ!B12:G12,ЧАСОВЫЕ_ПРОФИЛИ!B22:G22,КОЭФФИЦИЕНТЫ_ВЫБОРА!F21:K21)</f>
        <v>0.8502</v>
      </c>
      <c r="I827" s="12" t="n">
        <f aca="false">SUMPRODUCT(ПОТОКИ!B12:G12,ЧАСОВЫЕ_ПРОФИЛИ!B22:G22,КОЭФФИЦИЕНТЫ_ВЫБОРА!F21:K21,ПАРАМЕТРЫ!$B$17:$G$17)</f>
        <v>0.93522</v>
      </c>
      <c r="J827" s="12" t="n">
        <f aca="false">I827*G827/1000</f>
        <v>0.2525094</v>
      </c>
      <c r="K827" s="11" t="s">
        <v>217</v>
      </c>
      <c r="L827" s="11" t="s">
        <v>19</v>
      </c>
      <c r="M827" s="11" t="s">
        <v>145</v>
      </c>
    </row>
    <row r="828" customFormat="false" ht="15" hidden="false" customHeight="false" outlineLevel="0" collapsed="false">
      <c r="A828" s="11" t="s">
        <v>108</v>
      </c>
      <c r="B828" s="11" t="s">
        <v>135</v>
      </c>
      <c r="C828" s="11" t="n">
        <v>12</v>
      </c>
      <c r="D828" s="11" t="s">
        <v>161</v>
      </c>
      <c r="E828" s="11" t="s">
        <v>165</v>
      </c>
      <c r="F828" s="11" t="s">
        <v>80</v>
      </c>
      <c r="G828" s="12" t="n">
        <v>240</v>
      </c>
      <c r="H828" s="12" t="n">
        <f aca="false">SUMPRODUCT(ПОТОКИ!B12:G12,ЧАСОВЫЕ_ПРОФИЛИ!B22:G22,КОЭФФИЦИЕНТЫ_ВЫБОРА!F22:K22)</f>
        <v>0.4503</v>
      </c>
      <c r="I828" s="12" t="n">
        <f aca="false">SUMPRODUCT(ПОТОКИ!B12:G12,ЧАСОВЫЕ_ПРОФИЛИ!B22:G22,КОЭФФИЦИЕНТЫ_ВЫБОРА!F22:K22,ПАРАМЕТРЫ!$B$17:$G$17)</f>
        <v>0.49533</v>
      </c>
      <c r="J828" s="12" t="n">
        <f aca="false">I828*G828/1000</f>
        <v>0.1188792</v>
      </c>
      <c r="K828" s="11" t="s">
        <v>217</v>
      </c>
      <c r="L828" s="11" t="s">
        <v>19</v>
      </c>
      <c r="M828" s="11" t="s">
        <v>145</v>
      </c>
    </row>
    <row r="829" customFormat="false" ht="15" hidden="false" customHeight="false" outlineLevel="0" collapsed="false">
      <c r="A829" s="11" t="s">
        <v>108</v>
      </c>
      <c r="B829" s="11" t="s">
        <v>135</v>
      </c>
      <c r="C829" s="11" t="n">
        <v>13</v>
      </c>
      <c r="D829" s="11" t="s">
        <v>166</v>
      </c>
      <c r="E829" s="11" t="s">
        <v>167</v>
      </c>
      <c r="F829" s="11" t="s">
        <v>80</v>
      </c>
      <c r="G829" s="12" t="n">
        <v>130</v>
      </c>
      <c r="H829" s="12" t="n">
        <f aca="false">SUMPRODUCT(ПОТОКИ!B12:G12,ЧАСОВЫЕ_ПРОФИЛИ!B22:G22,КОЭФФИЦИЕНТЫ_ВЫБОРА!F23:K23)</f>
        <v>0.252</v>
      </c>
      <c r="I829" s="12" t="n">
        <f aca="false">SUMPRODUCT(ПОТОКИ!B12:G12,ЧАСОВЫЕ_ПРОФИЛИ!B22:G22,КОЭФФИЦИЕНТЫ_ВЫБОРА!F23:K23,ПАРАМЕТРЫ!$B$17:$G$17)</f>
        <v>0.2772</v>
      </c>
      <c r="J829" s="12" t="n">
        <f aca="false">I829*G829/1000</f>
        <v>0.036036</v>
      </c>
      <c r="K829" s="11" t="s">
        <v>217</v>
      </c>
      <c r="L829" s="11" t="s">
        <v>19</v>
      </c>
      <c r="M829" s="11" t="s">
        <v>145</v>
      </c>
    </row>
    <row r="830" customFormat="false" ht="15" hidden="false" customHeight="false" outlineLevel="0" collapsed="false">
      <c r="A830" s="11" t="s">
        <v>108</v>
      </c>
      <c r="B830" s="11" t="s">
        <v>135</v>
      </c>
      <c r="C830" s="11" t="n">
        <v>14</v>
      </c>
      <c r="D830" s="11" t="s">
        <v>166</v>
      </c>
      <c r="E830" s="11" t="s">
        <v>168</v>
      </c>
      <c r="F830" s="11" t="s">
        <v>80</v>
      </c>
      <c r="G830" s="12" t="n">
        <v>250</v>
      </c>
      <c r="H830" s="12" t="n">
        <f aca="false">SUMPRODUCT(ПОТОКИ!B12:G12,ЧАСОВЫЕ_ПРОФИЛИ!B22:G22,КОЭФФИЦИЕНТЫ_ВЫБОРА!F24:K24)</f>
        <v>0.1902</v>
      </c>
      <c r="I830" s="12" t="n">
        <f aca="false">SUMPRODUCT(ПОТОКИ!B12:G12,ЧАСОВЫЕ_ПРОФИЛИ!B22:G22,КОЭФФИЦИЕНТЫ_ВЫБОРА!F24:K24,ПАРАМЕТРЫ!$B$17:$G$17)</f>
        <v>0.20922</v>
      </c>
      <c r="J830" s="12" t="n">
        <f aca="false">I830*G830/1000</f>
        <v>0.052305</v>
      </c>
      <c r="K830" s="11" t="s">
        <v>217</v>
      </c>
      <c r="L830" s="11" t="s">
        <v>19</v>
      </c>
      <c r="M830" s="11" t="s">
        <v>145</v>
      </c>
    </row>
    <row r="831" customFormat="false" ht="15" hidden="false" customHeight="false" outlineLevel="0" collapsed="false">
      <c r="A831" s="11" t="s">
        <v>108</v>
      </c>
      <c r="B831" s="11" t="s">
        <v>135</v>
      </c>
      <c r="C831" s="11" t="n">
        <v>15</v>
      </c>
      <c r="D831" s="11" t="s">
        <v>166</v>
      </c>
      <c r="E831" s="11" t="s">
        <v>169</v>
      </c>
      <c r="F831" s="11" t="s">
        <v>80</v>
      </c>
      <c r="G831" s="12" t="n">
        <v>120</v>
      </c>
      <c r="H831" s="12" t="n">
        <f aca="false">SUMPRODUCT(ПОТОКИ!B12:G12,ЧАСОВЫЕ_ПРОФИЛИ!B22:G22,КОЭФФИЦИЕНТЫ_ВЫБОРА!F25:K25)</f>
        <v>0.1452</v>
      </c>
      <c r="I831" s="12" t="n">
        <f aca="false">SUMPRODUCT(ПОТОКИ!B12:G12,ЧАСОВЫЕ_ПРОФИЛИ!B22:G22,КОЭФФИЦИЕНТЫ_ВЫБОРА!F25:K25,ПАРАМЕТРЫ!$B$17:$G$17)</f>
        <v>0.15972</v>
      </c>
      <c r="J831" s="12" t="n">
        <f aca="false">I831*G831/1000</f>
        <v>0.0191664</v>
      </c>
      <c r="K831" s="11" t="s">
        <v>217</v>
      </c>
      <c r="L831" s="11" t="s">
        <v>19</v>
      </c>
      <c r="M831" s="11" t="s">
        <v>145</v>
      </c>
    </row>
    <row r="832" customFormat="false" ht="15" hidden="false" customHeight="false" outlineLevel="0" collapsed="false">
      <c r="A832" s="11" t="s">
        <v>108</v>
      </c>
      <c r="B832" s="11" t="s">
        <v>135</v>
      </c>
      <c r="C832" s="11" t="n">
        <v>16</v>
      </c>
      <c r="D832" s="11" t="s">
        <v>166</v>
      </c>
      <c r="E832" s="11" t="s">
        <v>170</v>
      </c>
      <c r="F832" s="11" t="s">
        <v>80</v>
      </c>
      <c r="G832" s="12" t="n">
        <v>180</v>
      </c>
      <c r="H832" s="12" t="n">
        <f aca="false">SUMPRODUCT(ПОТОКИ!B12:G12,ЧАСОВЫЕ_ПРОФИЛИ!B22:G22,КОЭФФИЦИЕНТЫ_ВЫБОРА!F26:K26)</f>
        <v>0.2286</v>
      </c>
      <c r="I832" s="12" t="n">
        <f aca="false">SUMPRODUCT(ПОТОКИ!B12:G12,ЧАСОВЫЕ_ПРОФИЛИ!B22:G22,КОЭФФИЦИЕНТЫ_ВЫБОРА!F26:K26,ПАРАМЕТРЫ!$B$17:$G$17)</f>
        <v>0.25146</v>
      </c>
      <c r="J832" s="12" t="n">
        <f aca="false">I832*G832/1000</f>
        <v>0.0452628</v>
      </c>
      <c r="K832" s="11" t="s">
        <v>217</v>
      </c>
      <c r="L832" s="11" t="s">
        <v>19</v>
      </c>
      <c r="M832" s="11" t="s">
        <v>145</v>
      </c>
    </row>
    <row r="833" customFormat="false" ht="15" hidden="false" customHeight="false" outlineLevel="0" collapsed="false">
      <c r="A833" s="11" t="s">
        <v>108</v>
      </c>
      <c r="B833" s="11" t="s">
        <v>135</v>
      </c>
      <c r="C833" s="11" t="n">
        <v>17</v>
      </c>
      <c r="D833" s="11" t="s">
        <v>166</v>
      </c>
      <c r="E833" s="11" t="s">
        <v>171</v>
      </c>
      <c r="F833" s="11" t="s">
        <v>80</v>
      </c>
      <c r="G833" s="12" t="n">
        <v>180</v>
      </c>
      <c r="H833" s="12" t="n">
        <f aca="false">SUMPRODUCT(ПОТОКИ!B12:G12,ЧАСОВЫЕ_ПРОФИЛИ!B22:G22,КОЭФФИЦИЕНТЫ_ВЫБОРА!F27:K27)</f>
        <v>0.252</v>
      </c>
      <c r="I833" s="12" t="n">
        <f aca="false">SUMPRODUCT(ПОТОКИ!B12:G12,ЧАСОВЫЕ_ПРОФИЛИ!B22:G22,КОЭФФИЦИЕНТЫ_ВЫБОРА!F27:K27,ПАРАМЕТРЫ!$B$17:$G$17)</f>
        <v>0.2772</v>
      </c>
      <c r="J833" s="12" t="n">
        <f aca="false">I833*G833/1000</f>
        <v>0.049896</v>
      </c>
      <c r="K833" s="11" t="s">
        <v>217</v>
      </c>
      <c r="L833" s="11" t="s">
        <v>19</v>
      </c>
      <c r="M833" s="11" t="s">
        <v>145</v>
      </c>
    </row>
    <row r="834" customFormat="false" ht="15" hidden="false" customHeight="false" outlineLevel="0" collapsed="false">
      <c r="A834" s="11" t="s">
        <v>108</v>
      </c>
      <c r="B834" s="11" t="s">
        <v>135</v>
      </c>
      <c r="C834" s="11" t="n">
        <v>18</v>
      </c>
      <c r="D834" s="11" t="s">
        <v>172</v>
      </c>
      <c r="E834" s="11" t="s">
        <v>173</v>
      </c>
      <c r="F834" s="11" t="s">
        <v>83</v>
      </c>
      <c r="G834" s="12" t="n">
        <v>400</v>
      </c>
      <c r="H834" s="12" t="n">
        <f aca="false">SUMPRODUCT(ПОТОКИ!B12:G12,ЧАСОВЫЕ_ПРОФИЛИ!B22:G22,КОЭФФИЦИЕНТЫ_ВЫБОРА!F28:K28)</f>
        <v>0.384</v>
      </c>
      <c r="I834" s="12" t="n">
        <f aca="false">SUMPRODUCT(ПОТОКИ!B12:G12,ЧАСОВЫЕ_ПРОФИЛИ!B22:G22,КОЭФФИЦИЕНТЫ_ВЫБОРА!F28:K28,ПАРАМЕТРЫ!$B$17:$G$17)</f>
        <v>0.4224</v>
      </c>
      <c r="J834" s="12" t="n">
        <f aca="false">I834*G834/1000</f>
        <v>0.16896</v>
      </c>
      <c r="K834" s="11" t="s">
        <v>217</v>
      </c>
      <c r="L834" s="11" t="s">
        <v>19</v>
      </c>
      <c r="M834" s="11" t="s">
        <v>145</v>
      </c>
    </row>
    <row r="835" customFormat="false" ht="23.85" hidden="false" customHeight="false" outlineLevel="0" collapsed="false">
      <c r="A835" s="11" t="s">
        <v>108</v>
      </c>
      <c r="B835" s="11" t="s">
        <v>135</v>
      </c>
      <c r="C835" s="11" t="n">
        <v>19</v>
      </c>
      <c r="D835" s="11" t="s">
        <v>174</v>
      </c>
      <c r="E835" s="11" t="s">
        <v>175</v>
      </c>
      <c r="F835" s="11" t="s">
        <v>83</v>
      </c>
      <c r="G835" s="12" t="n">
        <v>300</v>
      </c>
      <c r="H835" s="12" t="n">
        <f aca="false">SUMPRODUCT(ПОТОКИ!B12:G12,ЧАСОВЫЕ_ПРОФИЛИ!B22:G22,КОЭФФИЦИЕНТЫ_ВЫБОРА!F29:K29)</f>
        <v>1.3185</v>
      </c>
      <c r="I835" s="12" t="n">
        <f aca="false">SUMPRODUCT(ПОТОКИ!B12:G12,ЧАСОВЫЕ_ПРОФИЛИ!B22:G22,КОЭФФИЦИЕНТЫ_ВЫБОРА!F29:K29,ПАРАМЕТРЫ!$B$17:$G$17)</f>
        <v>1.45035</v>
      </c>
      <c r="J835" s="12" t="n">
        <f aca="false">I835*G835/1000</f>
        <v>0.435105</v>
      </c>
      <c r="K835" s="11" t="s">
        <v>217</v>
      </c>
      <c r="L835" s="11" t="s">
        <v>19</v>
      </c>
      <c r="M835" s="11" t="s">
        <v>145</v>
      </c>
    </row>
    <row r="836" customFormat="false" ht="15" hidden="false" customHeight="false" outlineLevel="0" collapsed="false">
      <c r="A836" s="11" t="s">
        <v>108</v>
      </c>
      <c r="B836" s="11" t="s">
        <v>135</v>
      </c>
      <c r="C836" s="11" t="n">
        <v>20</v>
      </c>
      <c r="D836" s="11" t="s">
        <v>174</v>
      </c>
      <c r="E836" s="11" t="s">
        <v>176</v>
      </c>
      <c r="F836" s="11" t="s">
        <v>83</v>
      </c>
      <c r="G836" s="12" t="n">
        <v>360</v>
      </c>
      <c r="H836" s="12" t="n">
        <f aca="false">SUMPRODUCT(ПОТОКИ!B12:G12,ЧАСОВЫЕ_ПРОФИЛИ!B22:G22,КОЭФФИЦИЕНТЫ_ВЫБОРА!F30:K30)</f>
        <v>1.1442</v>
      </c>
      <c r="I836" s="12" t="n">
        <f aca="false">SUMPRODUCT(ПОТОКИ!B12:G12,ЧАСОВЫЕ_ПРОФИЛИ!B22:G22,КОЭФФИЦИЕНТЫ_ВЫБОРА!F30:K30,ПАРАМЕТРЫ!$B$17:$G$17)</f>
        <v>1.25862</v>
      </c>
      <c r="J836" s="12" t="n">
        <f aca="false">I836*G836/1000</f>
        <v>0.4531032</v>
      </c>
      <c r="K836" s="11" t="s">
        <v>217</v>
      </c>
      <c r="L836" s="11" t="s">
        <v>19</v>
      </c>
      <c r="M836" s="11" t="s">
        <v>145</v>
      </c>
    </row>
    <row r="837" customFormat="false" ht="15" hidden="false" customHeight="false" outlineLevel="0" collapsed="false">
      <c r="A837" s="11" t="s">
        <v>108</v>
      </c>
      <c r="B837" s="11" t="s">
        <v>135</v>
      </c>
      <c r="C837" s="11" t="n">
        <v>21</v>
      </c>
      <c r="D837" s="11" t="s">
        <v>174</v>
      </c>
      <c r="E837" s="11" t="s">
        <v>177</v>
      </c>
      <c r="F837" s="11" t="s">
        <v>83</v>
      </c>
      <c r="G837" s="12" t="n">
        <v>350</v>
      </c>
      <c r="H837" s="12" t="n">
        <f aca="false">SUMPRODUCT(ПОТОКИ!B12:G12,ЧАСОВЫЕ_ПРОФИЛИ!B22:G22,КОЭФФИЦИЕНТЫ_ВЫБОРА!F31:K31)</f>
        <v>1.69155</v>
      </c>
      <c r="I837" s="12" t="n">
        <f aca="false">SUMPRODUCT(ПОТОКИ!B12:G12,ЧАСОВЫЕ_ПРОФИЛИ!B22:G22,КОЭФФИЦИЕНТЫ_ВЫБОРА!F31:K31,ПАРАМЕТРЫ!$B$17:$G$17)</f>
        <v>1.860705</v>
      </c>
      <c r="J837" s="12" t="n">
        <f aca="false">I837*G837/1000</f>
        <v>0.65124675</v>
      </c>
      <c r="K837" s="11" t="s">
        <v>217</v>
      </c>
      <c r="L837" s="11" t="s">
        <v>19</v>
      </c>
      <c r="M837" s="11" t="s">
        <v>145</v>
      </c>
    </row>
    <row r="838" customFormat="false" ht="15" hidden="false" customHeight="false" outlineLevel="0" collapsed="false">
      <c r="A838" s="11" t="s">
        <v>108</v>
      </c>
      <c r="B838" s="11" t="s">
        <v>135</v>
      </c>
      <c r="C838" s="11" t="n">
        <v>22</v>
      </c>
      <c r="D838" s="11" t="s">
        <v>174</v>
      </c>
      <c r="E838" s="11" t="s">
        <v>178</v>
      </c>
      <c r="F838" s="11" t="s">
        <v>83</v>
      </c>
      <c r="G838" s="12" t="n">
        <v>300</v>
      </c>
      <c r="H838" s="12" t="n">
        <f aca="false">SUMPRODUCT(ПОТОКИ!B12:G12,ЧАСОВЫЕ_ПРОФИЛИ!B22:G22,КОЭФФИЦИЕНТЫ_ВЫБОРА!F32:K32)</f>
        <v>1.17675</v>
      </c>
      <c r="I838" s="12" t="n">
        <f aca="false">SUMPRODUCT(ПОТОКИ!B12:G12,ЧАСОВЫЕ_ПРОФИЛИ!B22:G22,КОЭФФИЦИЕНТЫ_ВЫБОРА!F32:K32,ПАРАМЕТРЫ!$B$17:$G$17)</f>
        <v>1.294425</v>
      </c>
      <c r="J838" s="12" t="n">
        <f aca="false">I838*G838/1000</f>
        <v>0.3883275</v>
      </c>
      <c r="K838" s="11" t="s">
        <v>217</v>
      </c>
      <c r="L838" s="11" t="s">
        <v>19</v>
      </c>
      <c r="M838" s="11" t="s">
        <v>145</v>
      </c>
    </row>
    <row r="839" customFormat="false" ht="15" hidden="false" customHeight="false" outlineLevel="0" collapsed="false">
      <c r="A839" s="11" t="s">
        <v>108</v>
      </c>
      <c r="B839" s="11" t="s">
        <v>135</v>
      </c>
      <c r="C839" s="11" t="n">
        <v>23</v>
      </c>
      <c r="D839" s="11" t="s">
        <v>86</v>
      </c>
      <c r="E839" s="11" t="s">
        <v>179</v>
      </c>
      <c r="F839" s="11" t="s">
        <v>85</v>
      </c>
      <c r="G839" s="12" t="n">
        <v>150</v>
      </c>
      <c r="H839" s="12" t="n">
        <f aca="false">SUMPRODUCT(ПОТОКИ!B12:G12,ЧАСОВЫЕ_ПРОФИЛИ!B22:G22,КОЭФФИЦИЕНТЫ_ВЫБОРА!F33:K33)</f>
        <v>0.94310925</v>
      </c>
      <c r="I839" s="12" t="n">
        <f aca="false">SUMPRODUCT(ПОТОКИ!B12:G12,ЧАСОВЫЕ_ПРОФИЛИ!B22:G22,КОЭФФИЦИЕНТЫ_ВЫБОРА!F33:K33,ПАРАМЕТРЫ!$B$17:$G$17)</f>
        <v>1.037420175</v>
      </c>
      <c r="J839" s="12" t="n">
        <f aca="false">I839*G839/1000</f>
        <v>0.15561302625</v>
      </c>
      <c r="K839" s="11" t="s">
        <v>217</v>
      </c>
      <c r="L839" s="11" t="s">
        <v>19</v>
      </c>
      <c r="M839" s="11" t="s">
        <v>147</v>
      </c>
    </row>
    <row r="840" customFormat="false" ht="15" hidden="false" customHeight="false" outlineLevel="0" collapsed="false">
      <c r="A840" s="11" t="s">
        <v>108</v>
      </c>
      <c r="B840" s="11" t="s">
        <v>135</v>
      </c>
      <c r="C840" s="11" t="n">
        <v>24</v>
      </c>
      <c r="D840" s="11" t="s">
        <v>86</v>
      </c>
      <c r="E840" s="11" t="s">
        <v>180</v>
      </c>
      <c r="F840" s="11" t="s">
        <v>85</v>
      </c>
      <c r="G840" s="12" t="n">
        <v>150</v>
      </c>
      <c r="H840" s="12" t="n">
        <f aca="false">SUMPRODUCT(ПОТОКИ!B12:G12,ЧАСОВЫЕ_ПРОФИЛИ!B22:G22,КОЭФФИЦИЕНТЫ_ВЫБОРА!F34:K34)</f>
        <v>0.495939</v>
      </c>
      <c r="I840" s="12" t="n">
        <f aca="false">SUMPRODUCT(ПОТОКИ!B12:G12,ЧАСОВЫЕ_ПРОФИЛИ!B22:G22,КОЭФФИЦИЕНТЫ_ВЫБОРА!F34:K34,ПАРАМЕТРЫ!$B$17:$G$17)</f>
        <v>0.5455329</v>
      </c>
      <c r="J840" s="12" t="n">
        <f aca="false">I840*G840/1000</f>
        <v>0.081829935</v>
      </c>
      <c r="K840" s="11" t="s">
        <v>217</v>
      </c>
      <c r="L840" s="11" t="s">
        <v>19</v>
      </c>
      <c r="M840" s="11" t="s">
        <v>147</v>
      </c>
    </row>
    <row r="841" customFormat="false" ht="15" hidden="false" customHeight="false" outlineLevel="0" collapsed="false">
      <c r="A841" s="11" t="s">
        <v>108</v>
      </c>
      <c r="B841" s="11" t="s">
        <v>135</v>
      </c>
      <c r="C841" s="11" t="n">
        <v>25</v>
      </c>
      <c r="D841" s="11" t="s">
        <v>86</v>
      </c>
      <c r="E841" s="11" t="s">
        <v>181</v>
      </c>
      <c r="F841" s="11" t="s">
        <v>85</v>
      </c>
      <c r="G841" s="12" t="n">
        <v>150</v>
      </c>
      <c r="H841" s="12" t="n">
        <f aca="false">SUMPRODUCT(ПОТОКИ!B12:G12,ЧАСОВЫЕ_ПРОФИЛИ!B22:G22,КОЭФФИЦИЕНТЫ_ВЫБОРА!F35:K35)</f>
        <v>1.04064675</v>
      </c>
      <c r="I841" s="12" t="n">
        <f aca="false">SUMPRODUCT(ПОТОКИ!B12:G12,ЧАСОВЫЕ_ПРОФИЛИ!B22:G22,КОЭФФИЦИЕНТЫ_ВЫБОРА!F35:K35,ПАРАМЕТРЫ!$B$17:$G$17)</f>
        <v>1.144711425</v>
      </c>
      <c r="J841" s="12" t="n">
        <f aca="false">I841*G841/1000</f>
        <v>0.17170671375</v>
      </c>
      <c r="K841" s="11" t="s">
        <v>217</v>
      </c>
      <c r="L841" s="11" t="s">
        <v>19</v>
      </c>
      <c r="M841" s="11" t="s">
        <v>147</v>
      </c>
    </row>
    <row r="842" customFormat="false" ht="23.85" hidden="false" customHeight="false" outlineLevel="0" collapsed="false">
      <c r="A842" s="11" t="s">
        <v>108</v>
      </c>
      <c r="B842" s="11" t="s">
        <v>135</v>
      </c>
      <c r="C842" s="11" t="n">
        <v>26</v>
      </c>
      <c r="D842" s="11" t="s">
        <v>89</v>
      </c>
      <c r="E842" s="11" t="s">
        <v>182</v>
      </c>
      <c r="F842" s="11" t="s">
        <v>88</v>
      </c>
      <c r="G842" s="12" t="n">
        <v>225</v>
      </c>
      <c r="H842" s="12" t="n">
        <f aca="false">SUMPRODUCT(ПОТОКИ!B12:G12,ЧАСОВЫЕ_ПРОФИЛИ!B22:G22,КОЭФФИЦИЕНТЫ_ВЫБОРА!F36:K36)</f>
        <v>0</v>
      </c>
      <c r="I842" s="12" t="n">
        <f aca="false">SUMPRODUCT(ПОТОКИ!B12:G12,ЧАСОВЫЕ_ПРОФИЛИ!B22:G22,КОЭФФИЦИЕНТЫ_ВЫБОРА!F36:K36,ПАРАМЕТРЫ!$B$17:$G$17)</f>
        <v>0</v>
      </c>
      <c r="J842" s="12" t="n">
        <f aca="false">I842*G842/1000</f>
        <v>0</v>
      </c>
      <c r="K842" s="11" t="s">
        <v>217</v>
      </c>
      <c r="L842" s="11" t="s">
        <v>19</v>
      </c>
      <c r="M842" s="11" t="s">
        <v>145</v>
      </c>
    </row>
    <row r="843" customFormat="false" ht="23.85" hidden="false" customHeight="false" outlineLevel="0" collapsed="false">
      <c r="A843" s="11" t="s">
        <v>108</v>
      </c>
      <c r="B843" s="11" t="s">
        <v>135</v>
      </c>
      <c r="C843" s="11" t="n">
        <v>27</v>
      </c>
      <c r="D843" s="11" t="s">
        <v>89</v>
      </c>
      <c r="E843" s="11" t="s">
        <v>183</v>
      </c>
      <c r="F843" s="11" t="s">
        <v>88</v>
      </c>
      <c r="G843" s="12" t="n">
        <v>265</v>
      </c>
      <c r="H843" s="12" t="n">
        <f aca="false">SUMPRODUCT(ПОТОКИ!B12:G12,ЧАСОВЫЕ_ПРОФИЛИ!B22:G22,КОЭФФИЦИЕНТЫ_ВЫБОРА!F37:K37)</f>
        <v>0</v>
      </c>
      <c r="I843" s="12" t="n">
        <f aca="false">SUMPRODUCT(ПОТОКИ!B12:G12,ЧАСОВЫЕ_ПРОФИЛИ!B22:G22,КОЭФФИЦИЕНТЫ_ВЫБОРА!F37:K37,ПАРАМЕТРЫ!$B$17:$G$17)</f>
        <v>0</v>
      </c>
      <c r="J843" s="12" t="n">
        <f aca="false">I843*G843/1000</f>
        <v>0</v>
      </c>
      <c r="K843" s="11" t="s">
        <v>217</v>
      </c>
      <c r="L843" s="11" t="s">
        <v>19</v>
      </c>
      <c r="M843" s="11" t="s">
        <v>145</v>
      </c>
    </row>
    <row r="844" customFormat="false" ht="23.85" hidden="false" customHeight="false" outlineLevel="0" collapsed="false">
      <c r="A844" s="11" t="s">
        <v>108</v>
      </c>
      <c r="B844" s="11" t="s">
        <v>135</v>
      </c>
      <c r="C844" s="11" t="n">
        <v>28</v>
      </c>
      <c r="D844" s="11" t="s">
        <v>89</v>
      </c>
      <c r="E844" s="11" t="s">
        <v>184</v>
      </c>
      <c r="F844" s="11" t="s">
        <v>88</v>
      </c>
      <c r="G844" s="12" t="n">
        <v>355</v>
      </c>
      <c r="H844" s="12" t="n">
        <f aca="false">SUMPRODUCT(ПОТОКИ!B12:G12,ЧАСОВЫЕ_ПРОФИЛИ!B22:G22,КОЭФФИЦИЕНТЫ_ВЫБОРА!F38:K38)</f>
        <v>0</v>
      </c>
      <c r="I844" s="12" t="n">
        <f aca="false">SUMPRODUCT(ПОТОКИ!B12:G12,ЧАСОВЫЕ_ПРОФИЛИ!B22:G22,КОЭФФИЦИЕНТЫ_ВЫБОРА!F38:K38,ПАРАМЕТРЫ!$B$17:$G$17)</f>
        <v>0</v>
      </c>
      <c r="J844" s="12" t="n">
        <f aca="false">I844*G844/1000</f>
        <v>0</v>
      </c>
      <c r="K844" s="11" t="s">
        <v>217</v>
      </c>
      <c r="L844" s="11" t="s">
        <v>19</v>
      </c>
      <c r="M844" s="11" t="s">
        <v>145</v>
      </c>
    </row>
    <row r="845" customFormat="false" ht="15" hidden="false" customHeight="false" outlineLevel="0" collapsed="false">
      <c r="A845" s="11" t="s">
        <v>108</v>
      </c>
      <c r="B845" s="11" t="s">
        <v>135</v>
      </c>
      <c r="C845" s="11" t="n">
        <v>29</v>
      </c>
      <c r="D845" s="11" t="s">
        <v>92</v>
      </c>
      <c r="E845" s="11" t="s">
        <v>185</v>
      </c>
      <c r="F845" s="11" t="s">
        <v>91</v>
      </c>
      <c r="G845" s="12" t="n">
        <v>150</v>
      </c>
      <c r="H845" s="12" t="n">
        <f aca="false">SUMPRODUCT(ПОТОКИ!B12:G12,ЧАСОВЫЕ_ПРОФИЛИ!B22:G22,КОЭФФИЦИЕНТЫ_ВЫБОРА!F39:K39)</f>
        <v>0.3744</v>
      </c>
      <c r="I845" s="12" t="n">
        <f aca="false">SUMPRODUCT(ПОТОКИ!B12:G12,ЧАСОВЫЕ_ПРОФИЛИ!B22:G22,КОЭФФИЦИЕНТЫ_ВЫБОРА!F39:K39,ПАРАМЕТРЫ!$B$17:$G$17)</f>
        <v>0.41184</v>
      </c>
      <c r="J845" s="12" t="n">
        <f aca="false">I845*G845/1000</f>
        <v>0.061776</v>
      </c>
      <c r="K845" s="11" t="s">
        <v>217</v>
      </c>
      <c r="L845" s="11" t="s">
        <v>19</v>
      </c>
      <c r="M845" s="11" t="s">
        <v>145</v>
      </c>
    </row>
    <row r="846" customFormat="false" ht="15" hidden="false" customHeight="false" outlineLevel="0" collapsed="false">
      <c r="A846" s="11" t="s">
        <v>108</v>
      </c>
      <c r="B846" s="11" t="s">
        <v>135</v>
      </c>
      <c r="C846" s="11" t="n">
        <v>30</v>
      </c>
      <c r="D846" s="11" t="s">
        <v>92</v>
      </c>
      <c r="E846" s="11" t="s">
        <v>186</v>
      </c>
      <c r="F846" s="11" t="s">
        <v>91</v>
      </c>
      <c r="G846" s="12" t="n">
        <v>120</v>
      </c>
      <c r="H846" s="12" t="n">
        <f aca="false">SUMPRODUCT(ПОТОКИ!B12:G12,ЧАСОВЫЕ_ПРОФИЛИ!B22:G22,КОЭФФИЦИЕНТЫ_ВЫБОРА!F40:K40)</f>
        <v>0.5244</v>
      </c>
      <c r="I846" s="12" t="n">
        <f aca="false">SUMPRODUCT(ПОТОКИ!B12:G12,ЧАСОВЫЕ_ПРОФИЛИ!B22:G22,КОЭФФИЦИЕНТЫ_ВЫБОРА!F40:K40,ПАРАМЕТРЫ!$B$17:$G$17)</f>
        <v>0.57684</v>
      </c>
      <c r="J846" s="12" t="n">
        <f aca="false">I846*G846/1000</f>
        <v>0.0692208</v>
      </c>
      <c r="K846" s="11" t="s">
        <v>217</v>
      </c>
      <c r="L846" s="11" t="s">
        <v>19</v>
      </c>
      <c r="M846" s="11" t="s">
        <v>145</v>
      </c>
    </row>
    <row r="847" customFormat="false" ht="15" hidden="false" customHeight="false" outlineLevel="0" collapsed="false">
      <c r="A847" s="11" t="s">
        <v>108</v>
      </c>
      <c r="B847" s="11" t="s">
        <v>135</v>
      </c>
      <c r="C847" s="11" t="n">
        <v>31</v>
      </c>
      <c r="D847" s="11" t="s">
        <v>92</v>
      </c>
      <c r="E847" s="11" t="s">
        <v>187</v>
      </c>
      <c r="F847" s="11" t="s">
        <v>91</v>
      </c>
      <c r="G847" s="12" t="n">
        <v>60</v>
      </c>
      <c r="H847" s="12" t="n">
        <f aca="false">SUMPRODUCT(ПОТОКИ!B12:G12,ЧАСОВЫЕ_ПРОФИЛИ!B22:G22,КОЭФФИЦИЕНТЫ_ВЫБОРА!F41:K41)</f>
        <v>0.3072</v>
      </c>
      <c r="I847" s="12" t="n">
        <f aca="false">SUMPRODUCT(ПОТОКИ!B12:G12,ЧАСОВЫЕ_ПРОФИЛИ!B22:G22,КОЭФФИЦИЕНТЫ_ВЫБОРА!F41:K41,ПАРАМЕТРЫ!$B$17:$G$17)</f>
        <v>0.33792</v>
      </c>
      <c r="J847" s="12" t="n">
        <f aca="false">I847*G847/1000</f>
        <v>0.0202752</v>
      </c>
      <c r="K847" s="11" t="s">
        <v>217</v>
      </c>
      <c r="L847" s="11" t="s">
        <v>19</v>
      </c>
      <c r="M847" s="11" t="s">
        <v>145</v>
      </c>
    </row>
    <row r="848" customFormat="false" ht="15" hidden="false" customHeight="false" outlineLevel="0" collapsed="false">
      <c r="A848" s="11" t="s">
        <v>108</v>
      </c>
      <c r="B848" s="11" t="s">
        <v>136</v>
      </c>
      <c r="C848" s="11" t="n">
        <v>1</v>
      </c>
      <c r="D848" s="11" t="s">
        <v>74</v>
      </c>
      <c r="E848" s="11" t="s">
        <v>153</v>
      </c>
      <c r="F848" s="11" t="s">
        <v>73</v>
      </c>
      <c r="G848" s="12" t="n">
        <v>450</v>
      </c>
      <c r="H848" s="12" t="n">
        <f aca="false">SUMPRODUCT(ПОТОКИ!B12:G12,ЧАСОВЫЕ_ПРОФИЛИ!B23:G23,КОЭФФИЦИЕНТЫ_ВЫБОРА!F11:K11)</f>
        <v>0.4061</v>
      </c>
      <c r="I848" s="12" t="n">
        <f aca="false">SUMPRODUCT(ПОТОКИ!B12:G12,ЧАСОВЫЕ_ПРОФИЛИ!B23:G23,КОЭФФИЦИЕНТЫ_ВЫБОРА!F11:K11,ПАРАМЕТРЫ!$B$17:$G$17)</f>
        <v>0.44671</v>
      </c>
      <c r="J848" s="12" t="n">
        <f aca="false">I848*G848/1000</f>
        <v>0.2010195</v>
      </c>
      <c r="K848" s="11" t="s">
        <v>217</v>
      </c>
      <c r="L848" s="11" t="s">
        <v>19</v>
      </c>
      <c r="M848" s="11" t="s">
        <v>145</v>
      </c>
    </row>
    <row r="849" customFormat="false" ht="15" hidden="false" customHeight="false" outlineLevel="0" collapsed="false">
      <c r="A849" s="11" t="s">
        <v>108</v>
      </c>
      <c r="B849" s="11" t="s">
        <v>136</v>
      </c>
      <c r="C849" s="11" t="n">
        <v>2</v>
      </c>
      <c r="D849" s="11" t="s">
        <v>74</v>
      </c>
      <c r="E849" s="11" t="s">
        <v>154</v>
      </c>
      <c r="F849" s="11" t="s">
        <v>73</v>
      </c>
      <c r="G849" s="12" t="n">
        <v>480</v>
      </c>
      <c r="H849" s="12" t="n">
        <f aca="false">SUMPRODUCT(ПОТОКИ!B12:G12,ЧАСОВЫЕ_ПРОФИЛИ!B23:G23,КОЭФФИЦИЕНТЫ_ВЫБОРА!F12:K12)</f>
        <v>0.6723</v>
      </c>
      <c r="I849" s="12" t="n">
        <f aca="false">SUMPRODUCT(ПОТОКИ!B12:G12,ЧАСОВЫЕ_ПРОФИЛИ!B23:G23,КОЭФФИЦИЕНТЫ_ВЫБОРА!F12:K12,ПАРАМЕТРЫ!$B$17:$G$17)</f>
        <v>0.73953</v>
      </c>
      <c r="J849" s="12" t="n">
        <f aca="false">I849*G849/1000</f>
        <v>0.3549744</v>
      </c>
      <c r="K849" s="11" t="s">
        <v>217</v>
      </c>
      <c r="L849" s="11" t="s">
        <v>19</v>
      </c>
      <c r="M849" s="11" t="s">
        <v>145</v>
      </c>
    </row>
    <row r="850" customFormat="false" ht="15" hidden="false" customHeight="false" outlineLevel="0" collapsed="false">
      <c r="A850" s="11" t="s">
        <v>108</v>
      </c>
      <c r="B850" s="11" t="s">
        <v>136</v>
      </c>
      <c r="C850" s="11" t="n">
        <v>3</v>
      </c>
      <c r="D850" s="11" t="s">
        <v>74</v>
      </c>
      <c r="E850" s="11" t="s">
        <v>155</v>
      </c>
      <c r="F850" s="11" t="s">
        <v>73</v>
      </c>
      <c r="G850" s="12" t="n">
        <v>500</v>
      </c>
      <c r="H850" s="12" t="n">
        <f aca="false">SUMPRODUCT(ПОТОКИ!B12:G12,ЧАСОВЫЕ_ПРОФИЛИ!B23:G23,КОЭФФИЦИЕНТЫ_ВЫБОРА!F13:K13)</f>
        <v>0.9772</v>
      </c>
      <c r="I850" s="12" t="n">
        <f aca="false">SUMPRODUCT(ПОТОКИ!B12:G12,ЧАСОВЫЕ_ПРОФИЛИ!B23:G23,КОЭФФИЦИЕНТЫ_ВЫБОРА!F13:K13,ПАРАМЕТРЫ!$B$17:$G$17)</f>
        <v>1.07492</v>
      </c>
      <c r="J850" s="12" t="n">
        <f aca="false">I850*G850/1000</f>
        <v>0.53746</v>
      </c>
      <c r="K850" s="11" t="s">
        <v>217</v>
      </c>
      <c r="L850" s="11" t="s">
        <v>19</v>
      </c>
      <c r="M850" s="11" t="s">
        <v>145</v>
      </c>
    </row>
    <row r="851" customFormat="false" ht="15" hidden="false" customHeight="false" outlineLevel="0" collapsed="false">
      <c r="A851" s="11" t="s">
        <v>108</v>
      </c>
      <c r="B851" s="11" t="s">
        <v>136</v>
      </c>
      <c r="C851" s="11" t="n">
        <v>4</v>
      </c>
      <c r="D851" s="11" t="s">
        <v>74</v>
      </c>
      <c r="E851" s="11" t="s">
        <v>156</v>
      </c>
      <c r="F851" s="11" t="s">
        <v>73</v>
      </c>
      <c r="G851" s="12" t="n">
        <v>500</v>
      </c>
      <c r="H851" s="12" t="n">
        <f aca="false">SUMPRODUCT(ПОТОКИ!B12:G12,ЧАСОВЫЕ_ПРОФИЛИ!B23:G23,КОЭФФИЦИЕНТЫ_ВЫБОРА!F14:K14)</f>
        <v>1.2434</v>
      </c>
      <c r="I851" s="12" t="n">
        <f aca="false">SUMPRODUCT(ПОТОКИ!B12:G12,ЧАСОВЫЕ_ПРОФИЛИ!B23:G23,КОЭФФИЦИЕНТЫ_ВЫБОРА!F14:K14,ПАРАМЕТРЫ!$B$17:$G$17)</f>
        <v>1.36774</v>
      </c>
      <c r="J851" s="12" t="n">
        <f aca="false">I851*G851/1000</f>
        <v>0.68387</v>
      </c>
      <c r="K851" s="11" t="s">
        <v>217</v>
      </c>
      <c r="L851" s="11" t="s">
        <v>19</v>
      </c>
      <c r="M851" s="11" t="s">
        <v>145</v>
      </c>
    </row>
    <row r="852" customFormat="false" ht="15" hidden="false" customHeight="false" outlineLevel="0" collapsed="false">
      <c r="A852" s="11" t="s">
        <v>108</v>
      </c>
      <c r="B852" s="11" t="s">
        <v>136</v>
      </c>
      <c r="C852" s="11" t="n">
        <v>5</v>
      </c>
      <c r="D852" s="11" t="s">
        <v>78</v>
      </c>
      <c r="E852" s="11" t="s">
        <v>157</v>
      </c>
      <c r="F852" s="11" t="s">
        <v>77</v>
      </c>
      <c r="G852" s="12" t="n">
        <v>100</v>
      </c>
      <c r="H852" s="12" t="n">
        <f aca="false">SUMPRODUCT(ПОТОКИ!B12:G12,ЧАСОВЫЕ_ПРОФИЛИ!B23:G23,КОЭФФИЦИЕНТЫ_ВЫБОРА!F15:K15)</f>
        <v>0.5993</v>
      </c>
      <c r="I852" s="12" t="n">
        <f aca="false">SUMPRODUCT(ПОТОКИ!B12:G12,ЧАСОВЫЕ_ПРОФИЛИ!B23:G23,КОЭФФИЦИЕНТЫ_ВЫБОРА!F15:K15,ПАРАМЕТРЫ!$B$17:$G$17)</f>
        <v>0.65923</v>
      </c>
      <c r="J852" s="12" t="n">
        <f aca="false">I852*G852/1000</f>
        <v>0.065923</v>
      </c>
      <c r="K852" s="11" t="s">
        <v>217</v>
      </c>
      <c r="L852" s="11" t="s">
        <v>19</v>
      </c>
      <c r="M852" s="11" t="s">
        <v>147</v>
      </c>
    </row>
    <row r="853" customFormat="false" ht="15" hidden="false" customHeight="false" outlineLevel="0" collapsed="false">
      <c r="A853" s="11" t="s">
        <v>108</v>
      </c>
      <c r="B853" s="11" t="s">
        <v>136</v>
      </c>
      <c r="C853" s="11" t="n">
        <v>6</v>
      </c>
      <c r="D853" s="11" t="s">
        <v>78</v>
      </c>
      <c r="E853" s="11" t="s">
        <v>158</v>
      </c>
      <c r="F853" s="11" t="s">
        <v>77</v>
      </c>
      <c r="G853" s="12" t="n">
        <v>100</v>
      </c>
      <c r="H853" s="12" t="n">
        <f aca="false">SUMPRODUCT(ПОТОКИ!B12:G12,ЧАСОВЫЕ_ПРОФИЛИ!B23:G23,КОЭФФИЦИЕНТЫ_ВЫБОРА!F16:K16)</f>
        <v>0.5356</v>
      </c>
      <c r="I853" s="12" t="n">
        <f aca="false">SUMPRODUCT(ПОТОКИ!B12:G12,ЧАСОВЫЕ_ПРОФИЛИ!B23:G23,КОЭФФИЦИЕНТЫ_ВЫБОРА!F16:K16,ПАРАМЕТРЫ!$B$17:$G$17)</f>
        <v>0.58916</v>
      </c>
      <c r="J853" s="12" t="n">
        <f aca="false">I853*G853/1000</f>
        <v>0.058916</v>
      </c>
      <c r="K853" s="11" t="s">
        <v>217</v>
      </c>
      <c r="L853" s="11" t="s">
        <v>19</v>
      </c>
      <c r="M853" s="11" t="s">
        <v>147</v>
      </c>
    </row>
    <row r="854" customFormat="false" ht="15" hidden="false" customHeight="false" outlineLevel="0" collapsed="false">
      <c r="A854" s="11" t="s">
        <v>108</v>
      </c>
      <c r="B854" s="11" t="s">
        <v>136</v>
      </c>
      <c r="C854" s="11" t="n">
        <v>7</v>
      </c>
      <c r="D854" s="11" t="s">
        <v>78</v>
      </c>
      <c r="E854" s="11" t="s">
        <v>159</v>
      </c>
      <c r="F854" s="11" t="s">
        <v>77</v>
      </c>
      <c r="G854" s="12" t="n">
        <v>350</v>
      </c>
      <c r="H854" s="12" t="n">
        <f aca="false">SUMPRODUCT(ПОТОКИ!B12:G12,ЧАСОВЫЕ_ПРОФИЛИ!B23:G23,КОЭФФИЦИЕНТЫ_ВЫБОРА!F17:K17)</f>
        <v>0.48235</v>
      </c>
      <c r="I854" s="12" t="n">
        <f aca="false">SUMPRODUCT(ПОТОКИ!B12:G12,ЧАСОВЫЕ_ПРОФИЛИ!B23:G23,КОЭФФИЦИЕНТЫ_ВЫБОРА!F17:K17,ПАРАМЕТРЫ!$B$17:$G$17)</f>
        <v>0.530585</v>
      </c>
      <c r="J854" s="12" t="n">
        <f aca="false">I854*G854/1000</f>
        <v>0.18570475</v>
      </c>
      <c r="K854" s="11" t="s">
        <v>217</v>
      </c>
      <c r="L854" s="11" t="s">
        <v>19</v>
      </c>
      <c r="M854" s="11" t="s">
        <v>147</v>
      </c>
    </row>
    <row r="855" customFormat="false" ht="15" hidden="false" customHeight="false" outlineLevel="0" collapsed="false">
      <c r="A855" s="11" t="s">
        <v>108</v>
      </c>
      <c r="B855" s="11" t="s">
        <v>136</v>
      </c>
      <c r="C855" s="11" t="n">
        <v>8</v>
      </c>
      <c r="D855" s="11" t="s">
        <v>78</v>
      </c>
      <c r="E855" s="11" t="s">
        <v>160</v>
      </c>
      <c r="F855" s="11" t="s">
        <v>77</v>
      </c>
      <c r="G855" s="12" t="n">
        <v>85</v>
      </c>
      <c r="H855" s="12" t="n">
        <f aca="false">SUMPRODUCT(ПОТОКИ!B12:G12,ЧАСОВЫЕ_ПРОФИЛИ!B23:G23,КОЭФФИЦИЕНТЫ_ВЫБОРА!F18:K18)</f>
        <v>0.31215</v>
      </c>
      <c r="I855" s="12" t="n">
        <f aca="false">SUMPRODUCT(ПОТОКИ!B12:G12,ЧАСОВЫЕ_ПРОФИЛИ!B23:G23,КОЭФФИЦИЕНТЫ_ВЫБОРА!F18:K18,ПАРАМЕТРЫ!$B$17:$G$17)</f>
        <v>0.343365</v>
      </c>
      <c r="J855" s="12" t="n">
        <f aca="false">I855*G855/1000</f>
        <v>0.029186025</v>
      </c>
      <c r="K855" s="11" t="s">
        <v>217</v>
      </c>
      <c r="L855" s="11" t="s">
        <v>19</v>
      </c>
      <c r="M855" s="11" t="s">
        <v>147</v>
      </c>
    </row>
    <row r="856" customFormat="false" ht="15" hidden="false" customHeight="false" outlineLevel="0" collapsed="false">
      <c r="A856" s="11" t="s">
        <v>108</v>
      </c>
      <c r="B856" s="11" t="s">
        <v>136</v>
      </c>
      <c r="C856" s="11" t="n">
        <v>9</v>
      </c>
      <c r="D856" s="11" t="s">
        <v>161</v>
      </c>
      <c r="E856" s="11" t="s">
        <v>162</v>
      </c>
      <c r="F856" s="11" t="s">
        <v>80</v>
      </c>
      <c r="G856" s="12" t="n">
        <v>300</v>
      </c>
      <c r="H856" s="12" t="n">
        <f aca="false">SUMPRODUCT(ПОТОКИ!B12:G12,ЧАСОВЫЕ_ПРОФИЛИ!B23:G23,КОЭФФИЦИЕНТЫ_ВЫБОРА!F19:K19)</f>
        <v>0.6265</v>
      </c>
      <c r="I856" s="12" t="n">
        <f aca="false">SUMPRODUCT(ПОТОКИ!B12:G12,ЧАСОВЫЕ_ПРОФИЛИ!B23:G23,КОЭФФИЦИЕНТЫ_ВЫБОРА!F19:K19,ПАРАМЕТРЫ!$B$17:$G$17)</f>
        <v>0.68915</v>
      </c>
      <c r="J856" s="12" t="n">
        <f aca="false">I856*G856/1000</f>
        <v>0.206745</v>
      </c>
      <c r="K856" s="11" t="s">
        <v>217</v>
      </c>
      <c r="L856" s="11" t="s">
        <v>19</v>
      </c>
      <c r="M856" s="11" t="s">
        <v>145</v>
      </c>
    </row>
    <row r="857" customFormat="false" ht="15" hidden="false" customHeight="false" outlineLevel="0" collapsed="false">
      <c r="A857" s="11" t="s">
        <v>108</v>
      </c>
      <c r="B857" s="11" t="s">
        <v>136</v>
      </c>
      <c r="C857" s="11" t="n">
        <v>10</v>
      </c>
      <c r="D857" s="11" t="s">
        <v>161</v>
      </c>
      <c r="E857" s="11" t="s">
        <v>163</v>
      </c>
      <c r="F857" s="11" t="s">
        <v>80</v>
      </c>
      <c r="G857" s="12" t="n">
        <v>280</v>
      </c>
      <c r="H857" s="12" t="n">
        <f aca="false">SUMPRODUCT(ПОТОКИ!B12:G12,ЧАСОВЫЕ_ПРОФИЛИ!B23:G23,КОЭФФИЦИЕНТЫ_ВЫБОРА!F20:K20)</f>
        <v>0.694</v>
      </c>
      <c r="I857" s="12" t="n">
        <f aca="false">SUMPRODUCT(ПОТОКИ!B12:G12,ЧАСОВЫЕ_ПРОФИЛИ!B23:G23,КОЭФФИЦИЕНТЫ_ВЫБОРА!F20:K20,ПАРАМЕТРЫ!$B$17:$G$17)</f>
        <v>0.7634</v>
      </c>
      <c r="J857" s="12" t="n">
        <f aca="false">I857*G857/1000</f>
        <v>0.213752</v>
      </c>
      <c r="K857" s="11" t="s">
        <v>217</v>
      </c>
      <c r="L857" s="11" t="s">
        <v>19</v>
      </c>
      <c r="M857" s="11" t="s">
        <v>145</v>
      </c>
    </row>
    <row r="858" customFormat="false" ht="15" hidden="false" customHeight="false" outlineLevel="0" collapsed="false">
      <c r="A858" s="11" t="s">
        <v>108</v>
      </c>
      <c r="B858" s="11" t="s">
        <v>136</v>
      </c>
      <c r="C858" s="11" t="n">
        <v>11</v>
      </c>
      <c r="D858" s="11" t="s">
        <v>161</v>
      </c>
      <c r="E858" s="11" t="s">
        <v>164</v>
      </c>
      <c r="F858" s="11" t="s">
        <v>80</v>
      </c>
      <c r="G858" s="12" t="n">
        <v>270</v>
      </c>
      <c r="H858" s="12" t="n">
        <f aca="false">SUMPRODUCT(ПОТОКИ!B12:G12,ЧАСОВЫЕ_ПРОФИЛИ!B23:G23,КОЭФФИЦИЕНТЫ_ВЫБОРА!F21:K21)</f>
        <v>1.1476</v>
      </c>
      <c r="I858" s="12" t="n">
        <f aca="false">SUMPRODUCT(ПОТОКИ!B12:G12,ЧАСОВЫЕ_ПРОФИЛИ!B23:G23,КОЭФФИЦИЕНТЫ_ВЫБОРА!F21:K21,ПАРАМЕТРЫ!$B$17:$G$17)</f>
        <v>1.26236</v>
      </c>
      <c r="J858" s="12" t="n">
        <f aca="false">I858*G858/1000</f>
        <v>0.3408372</v>
      </c>
      <c r="K858" s="11" t="s">
        <v>217</v>
      </c>
      <c r="L858" s="11" t="s">
        <v>19</v>
      </c>
      <c r="M858" s="11" t="s">
        <v>145</v>
      </c>
    </row>
    <row r="859" customFormat="false" ht="15" hidden="false" customHeight="false" outlineLevel="0" collapsed="false">
      <c r="A859" s="11" t="s">
        <v>108</v>
      </c>
      <c r="B859" s="11" t="s">
        <v>136</v>
      </c>
      <c r="C859" s="11" t="n">
        <v>12</v>
      </c>
      <c r="D859" s="11" t="s">
        <v>161</v>
      </c>
      <c r="E859" s="11" t="s">
        <v>165</v>
      </c>
      <c r="F859" s="11" t="s">
        <v>80</v>
      </c>
      <c r="G859" s="12" t="n">
        <v>240</v>
      </c>
      <c r="H859" s="12" t="n">
        <f aca="false">SUMPRODUCT(ПОТОКИ!B12:G12,ЧАСОВЫЕ_ПРОФИЛИ!B23:G23,КОЭФФИЦИЕНТЫ_ВЫБОРА!F22:K22)</f>
        <v>0.6179</v>
      </c>
      <c r="I859" s="12" t="n">
        <f aca="false">SUMPRODUCT(ПОТОКИ!B12:G12,ЧАСОВЫЕ_ПРОФИЛИ!B23:G23,КОЭФФИЦИЕНТЫ_ВЫБОРА!F22:K22,ПАРАМЕТРЫ!$B$17:$G$17)</f>
        <v>0.67969</v>
      </c>
      <c r="J859" s="12" t="n">
        <f aca="false">I859*G859/1000</f>
        <v>0.1631256</v>
      </c>
      <c r="K859" s="11" t="s">
        <v>217</v>
      </c>
      <c r="L859" s="11" t="s">
        <v>19</v>
      </c>
      <c r="M859" s="11" t="s">
        <v>145</v>
      </c>
    </row>
    <row r="860" customFormat="false" ht="15" hidden="false" customHeight="false" outlineLevel="0" collapsed="false">
      <c r="A860" s="11" t="s">
        <v>108</v>
      </c>
      <c r="B860" s="11" t="s">
        <v>136</v>
      </c>
      <c r="C860" s="11" t="n">
        <v>13</v>
      </c>
      <c r="D860" s="11" t="s">
        <v>166</v>
      </c>
      <c r="E860" s="11" t="s">
        <v>167</v>
      </c>
      <c r="F860" s="11" t="s">
        <v>80</v>
      </c>
      <c r="G860" s="12" t="n">
        <v>130</v>
      </c>
      <c r="H860" s="12" t="n">
        <f aca="false">SUMPRODUCT(ПОТОКИ!B12:G12,ЧАСОВЫЕ_ПРОФИЛИ!B23:G23,КОЭФФИЦИЕНТЫ_ВЫБОРА!F23:K23)</f>
        <v>0.356</v>
      </c>
      <c r="I860" s="12" t="n">
        <f aca="false">SUMPRODUCT(ПОТОКИ!B12:G12,ЧАСОВЫЕ_ПРОФИЛИ!B23:G23,КОЭФФИЦИЕНТЫ_ВЫБОРА!F23:K23,ПАРАМЕТРЫ!$B$17:$G$17)</f>
        <v>0.3916</v>
      </c>
      <c r="J860" s="12" t="n">
        <f aca="false">I860*G860/1000</f>
        <v>0.050908</v>
      </c>
      <c r="K860" s="11" t="s">
        <v>217</v>
      </c>
      <c r="L860" s="11" t="s">
        <v>19</v>
      </c>
      <c r="M860" s="11" t="s">
        <v>145</v>
      </c>
    </row>
    <row r="861" customFormat="false" ht="15" hidden="false" customHeight="false" outlineLevel="0" collapsed="false">
      <c r="A861" s="11" t="s">
        <v>108</v>
      </c>
      <c r="B861" s="11" t="s">
        <v>136</v>
      </c>
      <c r="C861" s="11" t="n">
        <v>14</v>
      </c>
      <c r="D861" s="11" t="s">
        <v>166</v>
      </c>
      <c r="E861" s="11" t="s">
        <v>168</v>
      </c>
      <c r="F861" s="11" t="s">
        <v>80</v>
      </c>
      <c r="G861" s="12" t="n">
        <v>250</v>
      </c>
      <c r="H861" s="12" t="n">
        <f aca="false">SUMPRODUCT(ПОТОКИ!B12:G12,ЧАСОВЫЕ_ПРОФИЛИ!B23:G23,КОЭФФИЦИЕНТЫ_ВЫБОРА!F24:K24)</f>
        <v>0.2786</v>
      </c>
      <c r="I861" s="12" t="n">
        <f aca="false">SUMPRODUCT(ПОТОКИ!B12:G12,ЧАСОВЫЕ_ПРОФИЛИ!B23:G23,КОЭФФИЦИЕНТЫ_ВЫБОРА!F24:K24,ПАРАМЕТРЫ!$B$17:$G$17)</f>
        <v>0.30646</v>
      </c>
      <c r="J861" s="12" t="n">
        <f aca="false">I861*G861/1000</f>
        <v>0.076615</v>
      </c>
      <c r="K861" s="11" t="s">
        <v>217</v>
      </c>
      <c r="L861" s="11" t="s">
        <v>19</v>
      </c>
      <c r="M861" s="11" t="s">
        <v>145</v>
      </c>
    </row>
    <row r="862" customFormat="false" ht="15" hidden="false" customHeight="false" outlineLevel="0" collapsed="false">
      <c r="A862" s="11" t="s">
        <v>108</v>
      </c>
      <c r="B862" s="11" t="s">
        <v>136</v>
      </c>
      <c r="C862" s="11" t="n">
        <v>15</v>
      </c>
      <c r="D862" s="11" t="s">
        <v>166</v>
      </c>
      <c r="E862" s="11" t="s">
        <v>169</v>
      </c>
      <c r="F862" s="11" t="s">
        <v>80</v>
      </c>
      <c r="G862" s="12" t="n">
        <v>120</v>
      </c>
      <c r="H862" s="12" t="n">
        <f aca="false">SUMPRODUCT(ПОТОКИ!B12:G12,ЧАСОВЫЕ_ПРОФИЛИ!B23:G23,КОЭФФИЦИЕНТЫ_ВЫБОРА!F25:K25)</f>
        <v>0.2036</v>
      </c>
      <c r="I862" s="12" t="n">
        <f aca="false">SUMPRODUCT(ПОТОКИ!B12:G12,ЧАСОВЫЕ_ПРОФИЛИ!B23:G23,КОЭФФИЦИЕНТЫ_ВЫБОРА!F25:K25,ПАРАМЕТРЫ!$B$17:$G$17)</f>
        <v>0.22396</v>
      </c>
      <c r="J862" s="12" t="n">
        <f aca="false">I862*G862/1000</f>
        <v>0.0268752</v>
      </c>
      <c r="K862" s="11" t="s">
        <v>217</v>
      </c>
      <c r="L862" s="11" t="s">
        <v>19</v>
      </c>
      <c r="M862" s="11" t="s">
        <v>145</v>
      </c>
    </row>
    <row r="863" customFormat="false" ht="15" hidden="false" customHeight="false" outlineLevel="0" collapsed="false">
      <c r="A863" s="11" t="s">
        <v>108</v>
      </c>
      <c r="B863" s="11" t="s">
        <v>136</v>
      </c>
      <c r="C863" s="11" t="n">
        <v>16</v>
      </c>
      <c r="D863" s="11" t="s">
        <v>166</v>
      </c>
      <c r="E863" s="11" t="s">
        <v>170</v>
      </c>
      <c r="F863" s="11" t="s">
        <v>80</v>
      </c>
      <c r="G863" s="12" t="n">
        <v>180</v>
      </c>
      <c r="H863" s="12" t="n">
        <f aca="false">SUMPRODUCT(ПОТОКИ!B12:G12,ЧАСОВЫЕ_ПРОФИЛИ!B23:G23,КОЭФФИЦИЕНТЫ_ВЫБОРА!F26:K26)</f>
        <v>0.3298</v>
      </c>
      <c r="I863" s="12" t="n">
        <f aca="false">SUMPRODUCT(ПОТОКИ!B12:G12,ЧАСОВЫЕ_ПРОФИЛИ!B23:G23,КОЭФФИЦИЕНТЫ_ВЫБОРА!F26:K26,ПАРАМЕТРЫ!$B$17:$G$17)</f>
        <v>0.36278</v>
      </c>
      <c r="J863" s="12" t="n">
        <f aca="false">I863*G863/1000</f>
        <v>0.0653004</v>
      </c>
      <c r="K863" s="11" t="s">
        <v>217</v>
      </c>
      <c r="L863" s="11" t="s">
        <v>19</v>
      </c>
      <c r="M863" s="11" t="s">
        <v>145</v>
      </c>
    </row>
    <row r="864" customFormat="false" ht="15" hidden="false" customHeight="false" outlineLevel="0" collapsed="false">
      <c r="A864" s="11" t="s">
        <v>108</v>
      </c>
      <c r="B864" s="11" t="s">
        <v>136</v>
      </c>
      <c r="C864" s="11" t="n">
        <v>17</v>
      </c>
      <c r="D864" s="11" t="s">
        <v>166</v>
      </c>
      <c r="E864" s="11" t="s">
        <v>171</v>
      </c>
      <c r="F864" s="11" t="s">
        <v>80</v>
      </c>
      <c r="G864" s="12" t="n">
        <v>180</v>
      </c>
      <c r="H864" s="12" t="n">
        <f aca="false">SUMPRODUCT(ПОТОКИ!B12:G12,ЧАСОВЫЕ_ПРОФИЛИ!B23:G23,КОЭФФИЦИЕНТЫ_ВЫБОРА!F27:K27)</f>
        <v>0.356</v>
      </c>
      <c r="I864" s="12" t="n">
        <f aca="false">SUMPRODUCT(ПОТОКИ!B12:G12,ЧАСОВЫЕ_ПРОФИЛИ!B23:G23,КОЭФФИЦИЕНТЫ_ВЫБОРА!F27:K27,ПАРАМЕТРЫ!$B$17:$G$17)</f>
        <v>0.3916</v>
      </c>
      <c r="J864" s="12" t="n">
        <f aca="false">I864*G864/1000</f>
        <v>0.070488</v>
      </c>
      <c r="K864" s="11" t="s">
        <v>217</v>
      </c>
      <c r="L864" s="11" t="s">
        <v>19</v>
      </c>
      <c r="M864" s="11" t="s">
        <v>145</v>
      </c>
    </row>
    <row r="865" customFormat="false" ht="15" hidden="false" customHeight="false" outlineLevel="0" collapsed="false">
      <c r="A865" s="11" t="s">
        <v>108</v>
      </c>
      <c r="B865" s="11" t="s">
        <v>136</v>
      </c>
      <c r="C865" s="11" t="n">
        <v>18</v>
      </c>
      <c r="D865" s="11" t="s">
        <v>172</v>
      </c>
      <c r="E865" s="11" t="s">
        <v>173</v>
      </c>
      <c r="F865" s="11" t="s">
        <v>83</v>
      </c>
      <c r="G865" s="12" t="n">
        <v>400</v>
      </c>
      <c r="H865" s="12" t="n">
        <f aca="false">SUMPRODUCT(ПОТОКИ!B12:G12,ЧАСОВЫЕ_ПРОФИЛИ!B23:G23,КОЭФФИЦИЕНТЫ_ВЫБОРА!F28:K28)</f>
        <v>0.512</v>
      </c>
      <c r="I865" s="12" t="n">
        <f aca="false">SUMPRODUCT(ПОТОКИ!B12:G12,ЧАСОВЫЕ_ПРОФИЛИ!B23:G23,КОЭФФИЦИЕНТЫ_ВЫБОРА!F28:K28,ПАРАМЕТРЫ!$B$17:$G$17)</f>
        <v>0.5632</v>
      </c>
      <c r="J865" s="12" t="n">
        <f aca="false">I865*G865/1000</f>
        <v>0.22528</v>
      </c>
      <c r="K865" s="11" t="s">
        <v>217</v>
      </c>
      <c r="L865" s="11" t="s">
        <v>19</v>
      </c>
      <c r="M865" s="11" t="s">
        <v>145</v>
      </c>
    </row>
    <row r="866" customFormat="false" ht="23.85" hidden="false" customHeight="false" outlineLevel="0" collapsed="false">
      <c r="A866" s="11" t="s">
        <v>108</v>
      </c>
      <c r="B866" s="11" t="s">
        <v>136</v>
      </c>
      <c r="C866" s="11" t="n">
        <v>19</v>
      </c>
      <c r="D866" s="11" t="s">
        <v>174</v>
      </c>
      <c r="E866" s="11" t="s">
        <v>175</v>
      </c>
      <c r="F866" s="11" t="s">
        <v>83</v>
      </c>
      <c r="G866" s="12" t="n">
        <v>300</v>
      </c>
      <c r="H866" s="12" t="n">
        <f aca="false">SUMPRODUCT(ПОТОКИ!B12:G12,ЧАСОВЫЕ_ПРОФИЛИ!B23:G23,КОЭФФИЦИЕНТЫ_ВЫБОРА!F29:K29)</f>
        <v>1.8295</v>
      </c>
      <c r="I866" s="12" t="n">
        <f aca="false">SUMPRODUCT(ПОТОКИ!B12:G12,ЧАСОВЫЕ_ПРОФИЛИ!B23:G23,КОЭФФИЦИЕНТЫ_ВЫБОРА!F29:K29,ПАРАМЕТРЫ!$B$17:$G$17)</f>
        <v>2.01245</v>
      </c>
      <c r="J866" s="12" t="n">
        <f aca="false">I866*G866/1000</f>
        <v>0.603735</v>
      </c>
      <c r="K866" s="11" t="s">
        <v>217</v>
      </c>
      <c r="L866" s="11" t="s">
        <v>19</v>
      </c>
      <c r="M866" s="11" t="s">
        <v>145</v>
      </c>
    </row>
    <row r="867" customFormat="false" ht="15" hidden="false" customHeight="false" outlineLevel="0" collapsed="false">
      <c r="A867" s="11" t="s">
        <v>108</v>
      </c>
      <c r="B867" s="11" t="s">
        <v>136</v>
      </c>
      <c r="C867" s="11" t="n">
        <v>20</v>
      </c>
      <c r="D867" s="11" t="s">
        <v>174</v>
      </c>
      <c r="E867" s="11" t="s">
        <v>176</v>
      </c>
      <c r="F867" s="11" t="s">
        <v>83</v>
      </c>
      <c r="G867" s="12" t="n">
        <v>360</v>
      </c>
      <c r="H867" s="12" t="n">
        <f aca="false">SUMPRODUCT(ПОТОКИ!B12:G12,ЧАСОВЫЕ_ПРОФИЛИ!B23:G23,КОЭФФИЦИЕНТЫ_ВЫБОРА!F30:K30)</f>
        <v>1.5406</v>
      </c>
      <c r="I867" s="12" t="n">
        <f aca="false">SUMPRODUCT(ПОТОКИ!B12:G12,ЧАСОВЫЕ_ПРОФИЛИ!B23:G23,КОЭФФИЦИЕНТЫ_ВЫБОРА!F30:K30,ПАРАМЕТРЫ!$B$17:$G$17)</f>
        <v>1.69466</v>
      </c>
      <c r="J867" s="12" t="n">
        <f aca="false">I867*G867/1000</f>
        <v>0.6100776</v>
      </c>
      <c r="K867" s="11" t="s">
        <v>217</v>
      </c>
      <c r="L867" s="11" t="s">
        <v>19</v>
      </c>
      <c r="M867" s="11" t="s">
        <v>145</v>
      </c>
    </row>
    <row r="868" customFormat="false" ht="15" hidden="false" customHeight="false" outlineLevel="0" collapsed="false">
      <c r="A868" s="11" t="s">
        <v>108</v>
      </c>
      <c r="B868" s="11" t="s">
        <v>136</v>
      </c>
      <c r="C868" s="11" t="n">
        <v>21</v>
      </c>
      <c r="D868" s="11" t="s">
        <v>174</v>
      </c>
      <c r="E868" s="11" t="s">
        <v>177</v>
      </c>
      <c r="F868" s="11" t="s">
        <v>83</v>
      </c>
      <c r="G868" s="12" t="n">
        <v>350</v>
      </c>
      <c r="H868" s="12" t="n">
        <f aca="false">SUMPRODUCT(ПОТОКИ!B12:G12,ЧАСОВЫЕ_ПРОФИЛИ!B23:G23,КОЭФФИЦИЕНТЫ_ВЫБОРА!F31:K31)</f>
        <v>2.24965</v>
      </c>
      <c r="I868" s="12" t="n">
        <f aca="false">SUMPRODUCT(ПОТОКИ!B12:G12,ЧАСОВЫЕ_ПРОФИЛИ!B23:G23,КОЭФФИЦИЕНТЫ_ВЫБОРА!F31:K31,ПАРАМЕТРЫ!$B$17:$G$17)</f>
        <v>2.474615</v>
      </c>
      <c r="J868" s="12" t="n">
        <f aca="false">I868*G868/1000</f>
        <v>0.86611525</v>
      </c>
      <c r="K868" s="11" t="s">
        <v>217</v>
      </c>
      <c r="L868" s="11" t="s">
        <v>19</v>
      </c>
      <c r="M868" s="11" t="s">
        <v>145</v>
      </c>
    </row>
    <row r="869" customFormat="false" ht="15" hidden="false" customHeight="false" outlineLevel="0" collapsed="false">
      <c r="A869" s="11" t="s">
        <v>108</v>
      </c>
      <c r="B869" s="11" t="s">
        <v>136</v>
      </c>
      <c r="C869" s="11" t="n">
        <v>22</v>
      </c>
      <c r="D869" s="11" t="s">
        <v>174</v>
      </c>
      <c r="E869" s="11" t="s">
        <v>178</v>
      </c>
      <c r="F869" s="11" t="s">
        <v>83</v>
      </c>
      <c r="G869" s="12" t="n">
        <v>300</v>
      </c>
      <c r="H869" s="12" t="n">
        <f aca="false">SUMPRODUCT(ПОТОКИ!B12:G12,ЧАСОВЫЕ_ПРОФИЛИ!B23:G23,КОЭФФИЦИЕНТЫ_ВЫБОРА!F32:K32)</f>
        <v>1.63325</v>
      </c>
      <c r="I869" s="12" t="n">
        <f aca="false">SUMPRODUCT(ПОТОКИ!B12:G12,ЧАСОВЫЕ_ПРОФИЛИ!B23:G23,КОЭФФИЦИЕНТЫ_ВЫБОРА!F32:K32,ПАРАМЕТРЫ!$B$17:$G$17)</f>
        <v>1.796575</v>
      </c>
      <c r="J869" s="12" t="n">
        <f aca="false">I869*G869/1000</f>
        <v>0.5389725</v>
      </c>
      <c r="K869" s="11" t="s">
        <v>217</v>
      </c>
      <c r="L869" s="11" t="s">
        <v>19</v>
      </c>
      <c r="M869" s="11" t="s">
        <v>145</v>
      </c>
    </row>
    <row r="870" customFormat="false" ht="15" hidden="false" customHeight="false" outlineLevel="0" collapsed="false">
      <c r="A870" s="11" t="s">
        <v>108</v>
      </c>
      <c r="B870" s="11" t="s">
        <v>136</v>
      </c>
      <c r="C870" s="11" t="n">
        <v>23</v>
      </c>
      <c r="D870" s="11" t="s">
        <v>86</v>
      </c>
      <c r="E870" s="11" t="s">
        <v>179</v>
      </c>
      <c r="F870" s="11" t="s">
        <v>85</v>
      </c>
      <c r="G870" s="12" t="n">
        <v>150</v>
      </c>
      <c r="H870" s="12" t="n">
        <f aca="false">SUMPRODUCT(ПОТОКИ!B12:G12,ЧАСОВЫЕ_ПРОФИЛИ!B23:G23,КОЭФФИЦИЕНТЫ_ВЫБОРА!F33:K33)</f>
        <v>1.37127275</v>
      </c>
      <c r="I870" s="12" t="n">
        <f aca="false">SUMPRODUCT(ПОТОКИ!B12:G12,ЧАСОВЫЕ_ПРОФИЛИ!B23:G23,КОЭФФИЦИЕНТЫ_ВЫБОРА!F33:K33,ПАРАМЕТРЫ!$B$17:$G$17)</f>
        <v>1.508400025</v>
      </c>
      <c r="J870" s="12" t="n">
        <f aca="false">I870*G870/1000</f>
        <v>0.22626000375</v>
      </c>
      <c r="K870" s="11" t="s">
        <v>217</v>
      </c>
      <c r="L870" s="11" t="s">
        <v>19</v>
      </c>
      <c r="M870" s="11" t="s">
        <v>147</v>
      </c>
    </row>
    <row r="871" customFormat="false" ht="15" hidden="false" customHeight="false" outlineLevel="0" collapsed="false">
      <c r="A871" s="11" t="s">
        <v>108</v>
      </c>
      <c r="B871" s="11" t="s">
        <v>136</v>
      </c>
      <c r="C871" s="11" t="n">
        <v>24</v>
      </c>
      <c r="D871" s="11" t="s">
        <v>86</v>
      </c>
      <c r="E871" s="11" t="s">
        <v>180</v>
      </c>
      <c r="F871" s="11" t="s">
        <v>85</v>
      </c>
      <c r="G871" s="12" t="n">
        <v>150</v>
      </c>
      <c r="H871" s="12" t="n">
        <f aca="false">SUMPRODUCT(ПОТОКИ!B12:G12,ЧАСОВЫЕ_ПРОФИЛИ!B23:G23,КОЭФФИЦИЕНТЫ_ВЫБОРА!F34:K34)</f>
        <v>0.726277</v>
      </c>
      <c r="I871" s="12" t="n">
        <f aca="false">SUMPRODUCT(ПОТОКИ!B12:G12,ЧАСОВЫЕ_ПРОФИЛИ!B23:G23,КОЭФФИЦИЕНТЫ_ВЫБОРА!F34:K34,ПАРАМЕТРЫ!$B$17:$G$17)</f>
        <v>0.7989047</v>
      </c>
      <c r="J871" s="12" t="n">
        <f aca="false">I871*G871/1000</f>
        <v>0.119835705</v>
      </c>
      <c r="K871" s="11" t="s">
        <v>217</v>
      </c>
      <c r="L871" s="11" t="s">
        <v>19</v>
      </c>
      <c r="M871" s="11" t="s">
        <v>147</v>
      </c>
    </row>
    <row r="872" customFormat="false" ht="15" hidden="false" customHeight="false" outlineLevel="0" collapsed="false">
      <c r="A872" s="11" t="s">
        <v>108</v>
      </c>
      <c r="B872" s="11" t="s">
        <v>136</v>
      </c>
      <c r="C872" s="11" t="n">
        <v>25</v>
      </c>
      <c r="D872" s="11" t="s">
        <v>86</v>
      </c>
      <c r="E872" s="11" t="s">
        <v>181</v>
      </c>
      <c r="F872" s="11" t="s">
        <v>85</v>
      </c>
      <c r="G872" s="12" t="n">
        <v>150</v>
      </c>
      <c r="H872" s="12" t="n">
        <f aca="false">SUMPRODUCT(ПОТОКИ!B12:G12,ЧАСОВЫЕ_ПРОФИЛИ!B23:G23,КОЭФФИЦИЕНТЫ_ВЫБОРА!F35:K35)</f>
        <v>1.53383525</v>
      </c>
      <c r="I872" s="12" t="n">
        <f aca="false">SUMPRODUCT(ПОТОКИ!B12:G12,ЧАСОВЫЕ_ПРОФИЛИ!B23:G23,КОЭФФИЦИЕНТЫ_ВЫБОРА!F35:K35,ПАРАМЕТРЫ!$B$17:$G$17)</f>
        <v>1.687218775</v>
      </c>
      <c r="J872" s="12" t="n">
        <f aca="false">I872*G872/1000</f>
        <v>0.25308281625</v>
      </c>
      <c r="K872" s="11" t="s">
        <v>217</v>
      </c>
      <c r="L872" s="11" t="s">
        <v>19</v>
      </c>
      <c r="M872" s="11" t="s">
        <v>147</v>
      </c>
    </row>
    <row r="873" customFormat="false" ht="23.85" hidden="false" customHeight="false" outlineLevel="0" collapsed="false">
      <c r="A873" s="11" t="s">
        <v>108</v>
      </c>
      <c r="B873" s="11" t="s">
        <v>136</v>
      </c>
      <c r="C873" s="11" t="n">
        <v>26</v>
      </c>
      <c r="D873" s="11" t="s">
        <v>89</v>
      </c>
      <c r="E873" s="11" t="s">
        <v>182</v>
      </c>
      <c r="F873" s="11" t="s">
        <v>88</v>
      </c>
      <c r="G873" s="12" t="n">
        <v>225</v>
      </c>
      <c r="H873" s="12" t="n">
        <f aca="false">SUMPRODUCT(ПОТОКИ!B12:G12,ЧАСОВЫЕ_ПРОФИЛИ!B23:G23,КОЭФФИЦИЕНТЫ_ВЫБОРА!F36:K36)</f>
        <v>0</v>
      </c>
      <c r="I873" s="12" t="n">
        <f aca="false">SUMPRODUCT(ПОТОКИ!B12:G12,ЧАСОВЫЕ_ПРОФИЛИ!B23:G23,КОЭФФИЦИЕНТЫ_ВЫБОРА!F36:K36,ПАРАМЕТРЫ!$B$17:$G$17)</f>
        <v>0</v>
      </c>
      <c r="J873" s="12" t="n">
        <f aca="false">I873*G873/1000</f>
        <v>0</v>
      </c>
      <c r="K873" s="11" t="s">
        <v>217</v>
      </c>
      <c r="L873" s="11" t="s">
        <v>19</v>
      </c>
      <c r="M873" s="11" t="s">
        <v>145</v>
      </c>
    </row>
    <row r="874" customFormat="false" ht="23.85" hidden="false" customHeight="false" outlineLevel="0" collapsed="false">
      <c r="A874" s="11" t="s">
        <v>108</v>
      </c>
      <c r="B874" s="11" t="s">
        <v>136</v>
      </c>
      <c r="C874" s="11" t="n">
        <v>27</v>
      </c>
      <c r="D874" s="11" t="s">
        <v>89</v>
      </c>
      <c r="E874" s="11" t="s">
        <v>183</v>
      </c>
      <c r="F874" s="11" t="s">
        <v>88</v>
      </c>
      <c r="G874" s="12" t="n">
        <v>265</v>
      </c>
      <c r="H874" s="12" t="n">
        <f aca="false">SUMPRODUCT(ПОТОКИ!B12:G12,ЧАСОВЫЕ_ПРОФИЛИ!B23:G23,КОЭФФИЦИЕНТЫ_ВЫБОРА!F37:K37)</f>
        <v>0</v>
      </c>
      <c r="I874" s="12" t="n">
        <f aca="false">SUMPRODUCT(ПОТОКИ!B12:G12,ЧАСОВЫЕ_ПРОФИЛИ!B23:G23,КОЭФФИЦИЕНТЫ_ВЫБОРА!F37:K37,ПАРАМЕТРЫ!$B$17:$G$17)</f>
        <v>0</v>
      </c>
      <c r="J874" s="12" t="n">
        <f aca="false">I874*G874/1000</f>
        <v>0</v>
      </c>
      <c r="K874" s="11" t="s">
        <v>217</v>
      </c>
      <c r="L874" s="11" t="s">
        <v>19</v>
      </c>
      <c r="M874" s="11" t="s">
        <v>145</v>
      </c>
    </row>
    <row r="875" customFormat="false" ht="23.85" hidden="false" customHeight="false" outlineLevel="0" collapsed="false">
      <c r="A875" s="11" t="s">
        <v>108</v>
      </c>
      <c r="B875" s="11" t="s">
        <v>136</v>
      </c>
      <c r="C875" s="11" t="n">
        <v>28</v>
      </c>
      <c r="D875" s="11" t="s">
        <v>89</v>
      </c>
      <c r="E875" s="11" t="s">
        <v>184</v>
      </c>
      <c r="F875" s="11" t="s">
        <v>88</v>
      </c>
      <c r="G875" s="12" t="n">
        <v>355</v>
      </c>
      <c r="H875" s="12" t="n">
        <f aca="false">SUMPRODUCT(ПОТОКИ!B12:G12,ЧАСОВЫЕ_ПРОФИЛИ!B23:G23,КОЭФФИЦИЕНТЫ_ВЫБОРА!F38:K38)</f>
        <v>0</v>
      </c>
      <c r="I875" s="12" t="n">
        <f aca="false">SUMPRODUCT(ПОТОКИ!B12:G12,ЧАСОВЫЕ_ПРОФИЛИ!B23:G23,КОЭФФИЦИЕНТЫ_ВЫБОРА!F38:K38,ПАРАМЕТРЫ!$B$17:$G$17)</f>
        <v>0</v>
      </c>
      <c r="J875" s="12" t="n">
        <f aca="false">I875*G875/1000</f>
        <v>0</v>
      </c>
      <c r="K875" s="11" t="s">
        <v>217</v>
      </c>
      <c r="L875" s="11" t="s">
        <v>19</v>
      </c>
      <c r="M875" s="11" t="s">
        <v>145</v>
      </c>
    </row>
    <row r="876" customFormat="false" ht="15" hidden="false" customHeight="false" outlineLevel="0" collapsed="false">
      <c r="A876" s="11" t="s">
        <v>108</v>
      </c>
      <c r="B876" s="11" t="s">
        <v>136</v>
      </c>
      <c r="C876" s="11" t="n">
        <v>29</v>
      </c>
      <c r="D876" s="11" t="s">
        <v>92</v>
      </c>
      <c r="E876" s="11" t="s">
        <v>185</v>
      </c>
      <c r="F876" s="11" t="s">
        <v>91</v>
      </c>
      <c r="G876" s="12" t="n">
        <v>150</v>
      </c>
      <c r="H876" s="12" t="n">
        <f aca="false">SUMPRODUCT(ПОТОКИ!B12:G12,ЧАСОВЫЕ_ПРОФИЛИ!B23:G23,КОЭФФИЦИЕНТЫ_ВЫБОРА!F39:K39)</f>
        <v>0.4332</v>
      </c>
      <c r="I876" s="12" t="n">
        <f aca="false">SUMPRODUCT(ПОТОКИ!B12:G12,ЧАСОВЫЕ_ПРОФИЛИ!B23:G23,КОЭФФИЦИЕНТЫ_ВЫБОРА!F39:K39,ПАРАМЕТРЫ!$B$17:$G$17)</f>
        <v>0.47652</v>
      </c>
      <c r="J876" s="12" t="n">
        <f aca="false">I876*G876/1000</f>
        <v>0.071478</v>
      </c>
      <c r="K876" s="11" t="s">
        <v>217</v>
      </c>
      <c r="L876" s="11" t="s">
        <v>19</v>
      </c>
      <c r="M876" s="11" t="s">
        <v>145</v>
      </c>
    </row>
    <row r="877" customFormat="false" ht="15" hidden="false" customHeight="false" outlineLevel="0" collapsed="false">
      <c r="A877" s="11" t="s">
        <v>108</v>
      </c>
      <c r="B877" s="11" t="s">
        <v>136</v>
      </c>
      <c r="C877" s="11" t="n">
        <v>30</v>
      </c>
      <c r="D877" s="11" t="s">
        <v>92</v>
      </c>
      <c r="E877" s="11" t="s">
        <v>186</v>
      </c>
      <c r="F877" s="11" t="s">
        <v>91</v>
      </c>
      <c r="G877" s="12" t="n">
        <v>120</v>
      </c>
      <c r="H877" s="12" t="n">
        <f aca="false">SUMPRODUCT(ПОТОКИ!B12:G12,ЧАСОВЫЕ_ПРОФИЛИ!B23:G23,КОЭФФИЦИЕНТЫ_ВЫБОРА!F40:K40)</f>
        <v>0.6832</v>
      </c>
      <c r="I877" s="12" t="n">
        <f aca="false">SUMPRODUCT(ПОТОКИ!B12:G12,ЧАСОВЫЕ_ПРОФИЛИ!B23:G23,КОЭФФИЦИЕНТЫ_ВЫБОРА!F40:K40,ПАРАМЕТРЫ!$B$17:$G$17)</f>
        <v>0.75152</v>
      </c>
      <c r="J877" s="12" t="n">
        <f aca="false">I877*G877/1000</f>
        <v>0.0901824</v>
      </c>
      <c r="K877" s="11" t="s">
        <v>217</v>
      </c>
      <c r="L877" s="11" t="s">
        <v>19</v>
      </c>
      <c r="M877" s="11" t="s">
        <v>145</v>
      </c>
    </row>
    <row r="878" customFormat="false" ht="15" hidden="false" customHeight="false" outlineLevel="0" collapsed="false">
      <c r="A878" s="11" t="s">
        <v>108</v>
      </c>
      <c r="B878" s="11" t="s">
        <v>136</v>
      </c>
      <c r="C878" s="11" t="n">
        <v>31</v>
      </c>
      <c r="D878" s="11" t="s">
        <v>92</v>
      </c>
      <c r="E878" s="11" t="s">
        <v>187</v>
      </c>
      <c r="F878" s="11" t="s">
        <v>91</v>
      </c>
      <c r="G878" s="12" t="n">
        <v>60</v>
      </c>
      <c r="H878" s="12" t="n">
        <f aca="false">SUMPRODUCT(ПОТОКИ!B12:G12,ЧАСОВЫЕ_ПРОФИЛИ!B23:G23,КОЭФФИЦИЕНТЫ_ВЫБОРА!F41:K41)</f>
        <v>0.3216</v>
      </c>
      <c r="I878" s="12" t="n">
        <f aca="false">SUMPRODUCT(ПОТОКИ!B12:G12,ЧАСОВЫЕ_ПРОФИЛИ!B23:G23,КОЭФФИЦИЕНТЫ_ВЫБОРА!F41:K41,ПАРАМЕТРЫ!$B$17:$G$17)</f>
        <v>0.35376</v>
      </c>
      <c r="J878" s="12" t="n">
        <f aca="false">I878*G878/1000</f>
        <v>0.0212256</v>
      </c>
      <c r="K878" s="11" t="s">
        <v>217</v>
      </c>
      <c r="L878" s="11" t="s">
        <v>19</v>
      </c>
      <c r="M878" s="11" t="s">
        <v>145</v>
      </c>
    </row>
    <row r="879" customFormat="false" ht="15" hidden="false" customHeight="false" outlineLevel="0" collapsed="false">
      <c r="A879" s="11" t="s">
        <v>108</v>
      </c>
      <c r="B879" s="11" t="s">
        <v>137</v>
      </c>
      <c r="C879" s="11" t="n">
        <v>1</v>
      </c>
      <c r="D879" s="11" t="s">
        <v>74</v>
      </c>
      <c r="E879" s="11" t="s">
        <v>153</v>
      </c>
      <c r="F879" s="11" t="s">
        <v>73</v>
      </c>
      <c r="G879" s="12" t="n">
        <v>450</v>
      </c>
      <c r="H879" s="12" t="n">
        <f aca="false">SUMPRODUCT(ПОТОКИ!B12:G12,ЧАСОВЫЕ_ПРОФИЛИ!B24:G24,КОЭФФИЦИЕНТЫ_ВЫБОРА!F11:K11)</f>
        <v>0.4815</v>
      </c>
      <c r="I879" s="12" t="n">
        <f aca="false">SUMPRODUCT(ПОТОКИ!B12:G12,ЧАСОВЫЕ_ПРОФИЛИ!B24:G24,КОЭФФИЦИЕНТЫ_ВЫБОРА!F11:K11,ПАРАМЕТРЫ!$B$17:$G$17)</f>
        <v>0.52965</v>
      </c>
      <c r="J879" s="12" t="n">
        <f aca="false">I879*G879/1000</f>
        <v>0.2383425</v>
      </c>
      <c r="K879" s="11" t="s">
        <v>217</v>
      </c>
      <c r="L879" s="11" t="s">
        <v>19</v>
      </c>
      <c r="M879" s="11" t="s">
        <v>145</v>
      </c>
    </row>
    <row r="880" customFormat="false" ht="15" hidden="false" customHeight="false" outlineLevel="0" collapsed="false">
      <c r="A880" s="11" t="s">
        <v>108</v>
      </c>
      <c r="B880" s="11" t="s">
        <v>137</v>
      </c>
      <c r="C880" s="11" t="n">
        <v>2</v>
      </c>
      <c r="D880" s="11" t="s">
        <v>74</v>
      </c>
      <c r="E880" s="11" t="s">
        <v>154</v>
      </c>
      <c r="F880" s="11" t="s">
        <v>73</v>
      </c>
      <c r="G880" s="12" t="n">
        <v>480</v>
      </c>
      <c r="H880" s="12" t="n">
        <f aca="false">SUMPRODUCT(ПОТОКИ!B12:G12,ЧАСОВЫЕ_ПРОФИЛИ!B24:G24,КОЭФФИЦИЕНТЫ_ВЫБОРА!F12:K12)</f>
        <v>0.79</v>
      </c>
      <c r="I880" s="12" t="n">
        <f aca="false">SUMPRODUCT(ПОТОКИ!B12:G12,ЧАСОВЫЕ_ПРОФИЛИ!B24:G24,КОЭФФИЦИЕНТЫ_ВЫБОРА!F12:K12,ПАРАМЕТРЫ!$B$17:$G$17)</f>
        <v>0.869</v>
      </c>
      <c r="J880" s="12" t="n">
        <f aca="false">I880*G880/1000</f>
        <v>0.41712</v>
      </c>
      <c r="K880" s="11" t="s">
        <v>217</v>
      </c>
      <c r="L880" s="11" t="s">
        <v>19</v>
      </c>
      <c r="M880" s="11" t="s">
        <v>145</v>
      </c>
    </row>
    <row r="881" customFormat="false" ht="15" hidden="false" customHeight="false" outlineLevel="0" collapsed="false">
      <c r="A881" s="11" t="s">
        <v>108</v>
      </c>
      <c r="B881" s="11" t="s">
        <v>137</v>
      </c>
      <c r="C881" s="11" t="n">
        <v>3</v>
      </c>
      <c r="D881" s="11" t="s">
        <v>74</v>
      </c>
      <c r="E881" s="11" t="s">
        <v>155</v>
      </c>
      <c r="F881" s="11" t="s">
        <v>73</v>
      </c>
      <c r="G881" s="12" t="n">
        <v>500</v>
      </c>
      <c r="H881" s="12" t="n">
        <f aca="false">SUMPRODUCT(ПОТОКИ!B12:G12,ЧАСОВЫЕ_ПРОФИЛИ!B24:G24,КОЭФФИЦИЕНТЫ_ВЫБОРА!F13:K13)</f>
        <v>1.1475</v>
      </c>
      <c r="I881" s="12" t="n">
        <f aca="false">SUMPRODUCT(ПОТОКИ!B12:G12,ЧАСОВЫЕ_ПРОФИЛИ!B24:G24,КОЭФФИЦИЕНТЫ_ВЫБОРА!F13:K13,ПАРАМЕТРЫ!$B$17:$G$17)</f>
        <v>1.26225</v>
      </c>
      <c r="J881" s="12" t="n">
        <f aca="false">I881*G881/1000</f>
        <v>0.631125</v>
      </c>
      <c r="K881" s="11" t="s">
        <v>217</v>
      </c>
      <c r="L881" s="11" t="s">
        <v>19</v>
      </c>
      <c r="M881" s="11" t="s">
        <v>145</v>
      </c>
    </row>
    <row r="882" customFormat="false" ht="15" hidden="false" customHeight="false" outlineLevel="0" collapsed="false">
      <c r="A882" s="11" t="s">
        <v>108</v>
      </c>
      <c r="B882" s="11" t="s">
        <v>137</v>
      </c>
      <c r="C882" s="11" t="n">
        <v>4</v>
      </c>
      <c r="D882" s="11" t="s">
        <v>74</v>
      </c>
      <c r="E882" s="11" t="s">
        <v>156</v>
      </c>
      <c r="F882" s="11" t="s">
        <v>73</v>
      </c>
      <c r="G882" s="12" t="n">
        <v>500</v>
      </c>
      <c r="H882" s="12" t="n">
        <f aca="false">SUMPRODUCT(ПОТОКИ!B12:G12,ЧАСОВЫЕ_ПРОФИЛИ!B24:G24,КОЭФФИЦИЕНТЫ_ВЫБОРА!F14:K14)</f>
        <v>1.456</v>
      </c>
      <c r="I882" s="12" t="n">
        <f aca="false">SUMPRODUCT(ПОТОКИ!B12:G12,ЧАСОВЫЕ_ПРОФИЛИ!B24:G24,КОЭФФИЦИЕНТЫ_ВЫБОРА!F14:K14,ПАРАМЕТРЫ!$B$17:$G$17)</f>
        <v>1.6016</v>
      </c>
      <c r="J882" s="12" t="n">
        <f aca="false">I882*G882/1000</f>
        <v>0.8008</v>
      </c>
      <c r="K882" s="11" t="s">
        <v>217</v>
      </c>
      <c r="L882" s="11" t="s">
        <v>19</v>
      </c>
      <c r="M882" s="11" t="s">
        <v>145</v>
      </c>
    </row>
    <row r="883" customFormat="false" ht="15" hidden="false" customHeight="false" outlineLevel="0" collapsed="false">
      <c r="A883" s="11" t="s">
        <v>108</v>
      </c>
      <c r="B883" s="11" t="s">
        <v>137</v>
      </c>
      <c r="C883" s="11" t="n">
        <v>5</v>
      </c>
      <c r="D883" s="11" t="s">
        <v>78</v>
      </c>
      <c r="E883" s="11" t="s">
        <v>157</v>
      </c>
      <c r="F883" s="11" t="s">
        <v>77</v>
      </c>
      <c r="G883" s="12" t="n">
        <v>100</v>
      </c>
      <c r="H883" s="12" t="n">
        <f aca="false">SUMPRODUCT(ПОТОКИ!B12:G12,ЧАСОВЫЕ_ПРОФИЛИ!B24:G24,КОЭФФИЦИЕНТЫ_ВЫБОРА!F15:K15)</f>
        <v>0.5665</v>
      </c>
      <c r="I883" s="12" t="n">
        <f aca="false">SUMPRODUCT(ПОТОКИ!B12:G12,ЧАСОВЫЕ_ПРОФИЛИ!B24:G24,КОЭФФИЦИЕНТЫ_ВЫБОРА!F15:K15,ПАРАМЕТРЫ!$B$17:$G$17)</f>
        <v>0.62315</v>
      </c>
      <c r="J883" s="12" t="n">
        <f aca="false">I883*G883/1000</f>
        <v>0.062315</v>
      </c>
      <c r="K883" s="11" t="s">
        <v>217</v>
      </c>
      <c r="L883" s="11" t="s">
        <v>19</v>
      </c>
      <c r="M883" s="11" t="s">
        <v>147</v>
      </c>
    </row>
    <row r="884" customFormat="false" ht="15" hidden="false" customHeight="false" outlineLevel="0" collapsed="false">
      <c r="A884" s="11" t="s">
        <v>108</v>
      </c>
      <c r="B884" s="11" t="s">
        <v>137</v>
      </c>
      <c r="C884" s="11" t="n">
        <v>6</v>
      </c>
      <c r="D884" s="11" t="s">
        <v>78</v>
      </c>
      <c r="E884" s="11" t="s">
        <v>158</v>
      </c>
      <c r="F884" s="11" t="s">
        <v>77</v>
      </c>
      <c r="G884" s="12" t="n">
        <v>100</v>
      </c>
      <c r="H884" s="12" t="n">
        <f aca="false">SUMPRODUCT(ПОТОКИ!B12:G12,ЧАСОВЫЕ_ПРОФИЛИ!B24:G24,КОЭФФИЦИЕНТЫ_ВЫБОРА!F16:K16)</f>
        <v>0.4875</v>
      </c>
      <c r="I884" s="12" t="n">
        <f aca="false">SUMPRODUCT(ПОТОКИ!B12:G12,ЧАСОВЫЕ_ПРОФИЛИ!B24:G24,КОЭФФИЦИЕНТЫ_ВЫБОРА!F16:K16,ПАРАМЕТРЫ!$B$17:$G$17)</f>
        <v>0.53625</v>
      </c>
      <c r="J884" s="12" t="n">
        <f aca="false">I884*G884/1000</f>
        <v>0.053625</v>
      </c>
      <c r="K884" s="11" t="s">
        <v>217</v>
      </c>
      <c r="L884" s="11" t="s">
        <v>19</v>
      </c>
      <c r="M884" s="11" t="s">
        <v>147</v>
      </c>
    </row>
    <row r="885" customFormat="false" ht="15" hidden="false" customHeight="false" outlineLevel="0" collapsed="false">
      <c r="A885" s="11" t="s">
        <v>108</v>
      </c>
      <c r="B885" s="11" t="s">
        <v>137</v>
      </c>
      <c r="C885" s="11" t="n">
        <v>7</v>
      </c>
      <c r="D885" s="11" t="s">
        <v>78</v>
      </c>
      <c r="E885" s="11" t="s">
        <v>159</v>
      </c>
      <c r="F885" s="11" t="s">
        <v>77</v>
      </c>
      <c r="G885" s="12" t="n">
        <v>350</v>
      </c>
      <c r="H885" s="12" t="n">
        <f aca="false">SUMPRODUCT(ПОТОКИ!B12:G12,ЧАСОВЫЕ_ПРОФИЛИ!B24:G24,КОЭФФИЦИЕНТЫ_ВЫБОРА!F17:K17)</f>
        <v>0.45075</v>
      </c>
      <c r="I885" s="12" t="n">
        <f aca="false">SUMPRODUCT(ПОТОКИ!B12:G12,ЧАСОВЫЕ_ПРОФИЛИ!B24:G24,КОЭФФИЦИЕНТЫ_ВЫБОРА!F17:K17,ПАРАМЕТРЫ!$B$17:$G$17)</f>
        <v>0.495825</v>
      </c>
      <c r="J885" s="12" t="n">
        <f aca="false">I885*G885/1000</f>
        <v>0.17353875</v>
      </c>
      <c r="K885" s="11" t="s">
        <v>217</v>
      </c>
      <c r="L885" s="11" t="s">
        <v>19</v>
      </c>
      <c r="M885" s="11" t="s">
        <v>147</v>
      </c>
    </row>
    <row r="886" customFormat="false" ht="15" hidden="false" customHeight="false" outlineLevel="0" collapsed="false">
      <c r="A886" s="11" t="s">
        <v>108</v>
      </c>
      <c r="B886" s="11" t="s">
        <v>137</v>
      </c>
      <c r="C886" s="11" t="n">
        <v>8</v>
      </c>
      <c r="D886" s="11" t="s">
        <v>78</v>
      </c>
      <c r="E886" s="11" t="s">
        <v>160</v>
      </c>
      <c r="F886" s="11" t="s">
        <v>77</v>
      </c>
      <c r="G886" s="12" t="n">
        <v>85</v>
      </c>
      <c r="H886" s="12" t="n">
        <f aca="false">SUMPRODUCT(ПОТОКИ!B12:G12,ЧАСОВЫЕ_ПРОФИЛИ!B24:G24,КОЭФФИЦИЕНТЫ_ВЫБОРА!F18:K18)</f>
        <v>0.29825</v>
      </c>
      <c r="I886" s="12" t="n">
        <f aca="false">SUMPRODUCT(ПОТОКИ!B12:G12,ЧАСОВЫЕ_ПРОФИЛИ!B24:G24,КОЭФФИЦИЕНТЫ_ВЫБОРА!F18:K18,ПАРАМЕТРЫ!$B$17:$G$17)</f>
        <v>0.328075</v>
      </c>
      <c r="J886" s="12" t="n">
        <f aca="false">I886*G886/1000</f>
        <v>0.027886375</v>
      </c>
      <c r="K886" s="11" t="s">
        <v>217</v>
      </c>
      <c r="L886" s="11" t="s">
        <v>19</v>
      </c>
      <c r="M886" s="11" t="s">
        <v>147</v>
      </c>
    </row>
    <row r="887" customFormat="false" ht="15" hidden="false" customHeight="false" outlineLevel="0" collapsed="false">
      <c r="A887" s="11" t="s">
        <v>108</v>
      </c>
      <c r="B887" s="11" t="s">
        <v>137</v>
      </c>
      <c r="C887" s="11" t="n">
        <v>9</v>
      </c>
      <c r="D887" s="11" t="s">
        <v>161</v>
      </c>
      <c r="E887" s="11" t="s">
        <v>162</v>
      </c>
      <c r="F887" s="11" t="s">
        <v>80</v>
      </c>
      <c r="G887" s="12" t="n">
        <v>300</v>
      </c>
      <c r="H887" s="12" t="n">
        <f aca="false">SUMPRODUCT(ПОТОКИ!B12:G12,ЧАСОВЫЕ_ПРОФИЛИ!B24:G24,КОЭФФИЦИЕНТЫ_ВЫБОРА!F19:K19)</f>
        <v>0.7665</v>
      </c>
      <c r="I887" s="12" t="n">
        <f aca="false">SUMPRODUCT(ПОТОКИ!B12:G12,ЧАСОВЫЕ_ПРОФИЛИ!B24:G24,КОЭФФИЦИЕНТЫ_ВЫБОРА!F19:K19,ПАРАМЕТРЫ!$B$17:$G$17)</f>
        <v>0.84315</v>
      </c>
      <c r="J887" s="12" t="n">
        <f aca="false">I887*G887/1000</f>
        <v>0.252945</v>
      </c>
      <c r="K887" s="11" t="s">
        <v>217</v>
      </c>
      <c r="L887" s="11" t="s">
        <v>19</v>
      </c>
      <c r="M887" s="11" t="s">
        <v>145</v>
      </c>
    </row>
    <row r="888" customFormat="false" ht="15" hidden="false" customHeight="false" outlineLevel="0" collapsed="false">
      <c r="A888" s="11" t="s">
        <v>108</v>
      </c>
      <c r="B888" s="11" t="s">
        <v>137</v>
      </c>
      <c r="C888" s="11" t="n">
        <v>10</v>
      </c>
      <c r="D888" s="11" t="s">
        <v>161</v>
      </c>
      <c r="E888" s="11" t="s">
        <v>163</v>
      </c>
      <c r="F888" s="11" t="s">
        <v>80</v>
      </c>
      <c r="G888" s="12" t="n">
        <v>280</v>
      </c>
      <c r="H888" s="12" t="n">
        <f aca="false">SUMPRODUCT(ПОТОКИ!B12:G12,ЧАСОВЫЕ_ПРОФИЛИ!B24:G24,КОЭФФИЦИЕНТЫ_ВЫБОРА!F20:K20)</f>
        <v>0.843</v>
      </c>
      <c r="I888" s="12" t="n">
        <f aca="false">SUMPRODUCT(ПОТОКИ!B12:G12,ЧАСОВЫЕ_ПРОФИЛИ!B24:G24,КОЭФФИЦИЕНТЫ_ВЫБОРА!F20:K20,ПАРАМЕТРЫ!$B$17:$G$17)</f>
        <v>0.9273</v>
      </c>
      <c r="J888" s="12" t="n">
        <f aca="false">I888*G888/1000</f>
        <v>0.259644</v>
      </c>
      <c r="K888" s="11" t="s">
        <v>217</v>
      </c>
      <c r="L888" s="11" t="s">
        <v>19</v>
      </c>
      <c r="M888" s="11" t="s">
        <v>145</v>
      </c>
    </row>
    <row r="889" customFormat="false" ht="15" hidden="false" customHeight="false" outlineLevel="0" collapsed="false">
      <c r="A889" s="11" t="s">
        <v>108</v>
      </c>
      <c r="B889" s="11" t="s">
        <v>137</v>
      </c>
      <c r="C889" s="11" t="n">
        <v>11</v>
      </c>
      <c r="D889" s="11" t="s">
        <v>161</v>
      </c>
      <c r="E889" s="11" t="s">
        <v>164</v>
      </c>
      <c r="F889" s="11" t="s">
        <v>80</v>
      </c>
      <c r="G889" s="12" t="n">
        <v>270</v>
      </c>
      <c r="H889" s="12" t="n">
        <f aca="false">SUMPRODUCT(ПОТОКИ!B12:G12,ЧАСОВЫЕ_ПРОФИЛИ!B24:G24,КОЭФФИЦИЕНТЫ_ВЫБОРА!F21:K21)</f>
        <v>1.38375</v>
      </c>
      <c r="I889" s="12" t="n">
        <f aca="false">SUMPRODUCT(ПОТОКИ!B12:G12,ЧАСОВЫЕ_ПРОФИЛИ!B24:G24,КОЭФФИЦИЕНТЫ_ВЫБОРА!F21:K21,ПАРАМЕТРЫ!$B$17:$G$17)</f>
        <v>1.522125</v>
      </c>
      <c r="J889" s="12" t="n">
        <f aca="false">I889*G889/1000</f>
        <v>0.41097375</v>
      </c>
      <c r="K889" s="11" t="s">
        <v>217</v>
      </c>
      <c r="L889" s="11" t="s">
        <v>19</v>
      </c>
      <c r="M889" s="11" t="s">
        <v>145</v>
      </c>
    </row>
    <row r="890" customFormat="false" ht="15" hidden="false" customHeight="false" outlineLevel="0" collapsed="false">
      <c r="A890" s="11" t="s">
        <v>108</v>
      </c>
      <c r="B890" s="11" t="s">
        <v>137</v>
      </c>
      <c r="C890" s="11" t="n">
        <v>12</v>
      </c>
      <c r="D890" s="11" t="s">
        <v>161</v>
      </c>
      <c r="E890" s="11" t="s">
        <v>165</v>
      </c>
      <c r="F890" s="11" t="s">
        <v>80</v>
      </c>
      <c r="G890" s="12" t="n">
        <v>240</v>
      </c>
      <c r="H890" s="12" t="n">
        <f aca="false">SUMPRODUCT(ПОТОКИ!B12:G12,ЧАСОВЫЕ_ПРОФИЛИ!B24:G24,КОЭФФИЦИЕНТЫ_ВЫБОРА!F22:K22)</f>
        <v>0.74175</v>
      </c>
      <c r="I890" s="12" t="n">
        <f aca="false">SUMPRODUCT(ПОТОКИ!B12:G12,ЧАСОВЫЕ_ПРОФИЛИ!B24:G24,КОЭФФИЦИЕНТЫ_ВЫБОРА!F22:K22,ПАРАМЕТРЫ!$B$17:$G$17)</f>
        <v>0.815925</v>
      </c>
      <c r="J890" s="12" t="n">
        <f aca="false">I890*G890/1000</f>
        <v>0.195822</v>
      </c>
      <c r="K890" s="11" t="s">
        <v>217</v>
      </c>
      <c r="L890" s="11" t="s">
        <v>19</v>
      </c>
      <c r="M890" s="11" t="s">
        <v>145</v>
      </c>
    </row>
    <row r="891" customFormat="false" ht="15" hidden="false" customHeight="false" outlineLevel="0" collapsed="false">
      <c r="A891" s="11" t="s">
        <v>108</v>
      </c>
      <c r="B891" s="11" t="s">
        <v>137</v>
      </c>
      <c r="C891" s="11" t="n">
        <v>13</v>
      </c>
      <c r="D891" s="11" t="s">
        <v>166</v>
      </c>
      <c r="E891" s="11" t="s">
        <v>167</v>
      </c>
      <c r="F891" s="11" t="s">
        <v>80</v>
      </c>
      <c r="G891" s="12" t="n">
        <v>130</v>
      </c>
      <c r="H891" s="12" t="n">
        <f aca="false">SUMPRODUCT(ПОТОКИ!B12:G12,ЧАСОВЫЕ_ПРОФИЛИ!B24:G24,КОЭФФИЦИЕНТЫ_ВЫБОРА!F23:K23)</f>
        <v>0.44</v>
      </c>
      <c r="I891" s="12" t="n">
        <f aca="false">SUMPRODUCT(ПОТОКИ!B12:G12,ЧАСОВЫЕ_ПРОФИЛИ!B24:G24,КОЭФФИЦИЕНТЫ_ВЫБОРА!F23:K23,ПАРАМЕТРЫ!$B$17:$G$17)</f>
        <v>0.484</v>
      </c>
      <c r="J891" s="12" t="n">
        <f aca="false">I891*G891/1000</f>
        <v>0.06292</v>
      </c>
      <c r="K891" s="11" t="s">
        <v>217</v>
      </c>
      <c r="L891" s="11" t="s">
        <v>19</v>
      </c>
      <c r="M891" s="11" t="s">
        <v>145</v>
      </c>
    </row>
    <row r="892" customFormat="false" ht="15" hidden="false" customHeight="false" outlineLevel="0" collapsed="false">
      <c r="A892" s="11" t="s">
        <v>108</v>
      </c>
      <c r="B892" s="11" t="s">
        <v>137</v>
      </c>
      <c r="C892" s="11" t="n">
        <v>14</v>
      </c>
      <c r="D892" s="11" t="s">
        <v>166</v>
      </c>
      <c r="E892" s="11" t="s">
        <v>168</v>
      </c>
      <c r="F892" s="11" t="s">
        <v>80</v>
      </c>
      <c r="G892" s="12" t="n">
        <v>250</v>
      </c>
      <c r="H892" s="12" t="n">
        <f aca="false">SUMPRODUCT(ПОТОКИ!B12:G12,ЧАСОВЫЕ_ПРОФИЛИ!B24:G24,КОЭФФИЦИЕНТЫ_ВЫБОРА!F24:K24)</f>
        <v>0.342</v>
      </c>
      <c r="I892" s="12" t="n">
        <f aca="false">SUMPRODUCT(ПОТОКИ!B12:G12,ЧАСОВЫЕ_ПРОФИЛИ!B24:G24,КОЭФФИЦИЕНТЫ_ВЫБОРА!F24:K24,ПАРАМЕТРЫ!$B$17:$G$17)</f>
        <v>0.3762</v>
      </c>
      <c r="J892" s="12" t="n">
        <f aca="false">I892*G892/1000</f>
        <v>0.09405</v>
      </c>
      <c r="K892" s="11" t="s">
        <v>217</v>
      </c>
      <c r="L892" s="11" t="s">
        <v>19</v>
      </c>
      <c r="M892" s="11" t="s">
        <v>145</v>
      </c>
    </row>
    <row r="893" customFormat="false" ht="15" hidden="false" customHeight="false" outlineLevel="0" collapsed="false">
      <c r="A893" s="11" t="s">
        <v>108</v>
      </c>
      <c r="B893" s="11" t="s">
        <v>137</v>
      </c>
      <c r="C893" s="11" t="n">
        <v>15</v>
      </c>
      <c r="D893" s="11" t="s">
        <v>166</v>
      </c>
      <c r="E893" s="11" t="s">
        <v>169</v>
      </c>
      <c r="F893" s="11" t="s">
        <v>80</v>
      </c>
      <c r="G893" s="12" t="n">
        <v>120</v>
      </c>
      <c r="H893" s="12" t="n">
        <f aca="false">SUMPRODUCT(ПОТОКИ!B12:G12,ЧАСОВЫЕ_ПРОФИЛИ!B24:G24,КОЭФФИЦИЕНТЫ_ВЫБОРА!F25:K25)</f>
        <v>0.252</v>
      </c>
      <c r="I893" s="12" t="n">
        <f aca="false">SUMPRODUCT(ПОТОКИ!B12:G12,ЧАСОВЫЕ_ПРОФИЛИ!B24:G24,КОЭФФИЦИЕНТЫ_ВЫБОРА!F25:K25,ПАРАМЕТРЫ!$B$17:$G$17)</f>
        <v>0.2772</v>
      </c>
      <c r="J893" s="12" t="n">
        <f aca="false">I893*G893/1000</f>
        <v>0.033264</v>
      </c>
      <c r="K893" s="11" t="s">
        <v>217</v>
      </c>
      <c r="L893" s="11" t="s">
        <v>19</v>
      </c>
      <c r="M893" s="11" t="s">
        <v>145</v>
      </c>
    </row>
    <row r="894" customFormat="false" ht="15" hidden="false" customHeight="false" outlineLevel="0" collapsed="false">
      <c r="A894" s="11" t="s">
        <v>108</v>
      </c>
      <c r="B894" s="11" t="s">
        <v>137</v>
      </c>
      <c r="C894" s="11" t="n">
        <v>16</v>
      </c>
      <c r="D894" s="11" t="s">
        <v>166</v>
      </c>
      <c r="E894" s="11" t="s">
        <v>170</v>
      </c>
      <c r="F894" s="11" t="s">
        <v>80</v>
      </c>
      <c r="G894" s="12" t="n">
        <v>180</v>
      </c>
      <c r="H894" s="12" t="n">
        <f aca="false">SUMPRODUCT(ПОТОКИ!B12:G12,ЧАСОВЫЕ_ПРОФИЛИ!B24:G24,КОЭФФИЦИЕНТЫ_ВЫБОРА!F26:K26)</f>
        <v>0.406</v>
      </c>
      <c r="I894" s="12" t="n">
        <f aca="false">SUMPRODUCT(ПОТОКИ!B12:G12,ЧАСОВЫЕ_ПРОФИЛИ!B24:G24,КОЭФФИЦИЕНТЫ_ВЫБОРА!F26:K26,ПАРАМЕТРЫ!$B$17:$G$17)</f>
        <v>0.4466</v>
      </c>
      <c r="J894" s="12" t="n">
        <f aca="false">I894*G894/1000</f>
        <v>0.080388</v>
      </c>
      <c r="K894" s="11" t="s">
        <v>217</v>
      </c>
      <c r="L894" s="11" t="s">
        <v>19</v>
      </c>
      <c r="M894" s="11" t="s">
        <v>145</v>
      </c>
    </row>
    <row r="895" customFormat="false" ht="15" hidden="false" customHeight="false" outlineLevel="0" collapsed="false">
      <c r="A895" s="11" t="s">
        <v>108</v>
      </c>
      <c r="B895" s="11" t="s">
        <v>137</v>
      </c>
      <c r="C895" s="11" t="n">
        <v>17</v>
      </c>
      <c r="D895" s="11" t="s">
        <v>166</v>
      </c>
      <c r="E895" s="11" t="s">
        <v>171</v>
      </c>
      <c r="F895" s="11" t="s">
        <v>80</v>
      </c>
      <c r="G895" s="12" t="n">
        <v>180</v>
      </c>
      <c r="H895" s="12" t="n">
        <f aca="false">SUMPRODUCT(ПОТОКИ!B12:G12,ЧАСОВЫЕ_ПРОФИЛИ!B24:G24,КОЭФФИЦИЕНТЫ_ВЫБОРА!F27:K27)</f>
        <v>0.44</v>
      </c>
      <c r="I895" s="12" t="n">
        <f aca="false">SUMPRODUCT(ПОТОКИ!B12:G12,ЧАСОВЫЕ_ПРОФИЛИ!B24:G24,КОЭФФИЦИЕНТЫ_ВЫБОРА!F27:K27,ПАРАМЕТРЫ!$B$17:$G$17)</f>
        <v>0.484</v>
      </c>
      <c r="J895" s="12" t="n">
        <f aca="false">I895*G895/1000</f>
        <v>0.08712</v>
      </c>
      <c r="K895" s="11" t="s">
        <v>217</v>
      </c>
      <c r="L895" s="11" t="s">
        <v>19</v>
      </c>
      <c r="M895" s="11" t="s">
        <v>145</v>
      </c>
    </row>
    <row r="896" customFormat="false" ht="15" hidden="false" customHeight="false" outlineLevel="0" collapsed="false">
      <c r="A896" s="11" t="s">
        <v>108</v>
      </c>
      <c r="B896" s="11" t="s">
        <v>137</v>
      </c>
      <c r="C896" s="11" t="n">
        <v>18</v>
      </c>
      <c r="D896" s="11" t="s">
        <v>172</v>
      </c>
      <c r="E896" s="11" t="s">
        <v>173</v>
      </c>
      <c r="F896" s="11" t="s">
        <v>83</v>
      </c>
      <c r="G896" s="12" t="n">
        <v>400</v>
      </c>
      <c r="H896" s="12" t="n">
        <f aca="false">SUMPRODUCT(ПОТОКИ!B12:G12,ЧАСОВЫЕ_ПРОФИЛИ!B24:G24,КОЭФФИЦИЕНТЫ_ВЫБОРА!F28:K28)</f>
        <v>0.64</v>
      </c>
      <c r="I896" s="12" t="n">
        <f aca="false">SUMPRODUCT(ПОТОКИ!B12:G12,ЧАСОВЫЕ_ПРОФИЛИ!B24:G24,КОЭФФИЦИЕНТЫ_ВЫБОРА!F28:K28,ПАРАМЕТРЫ!$B$17:$G$17)</f>
        <v>0.704</v>
      </c>
      <c r="J896" s="12" t="n">
        <f aca="false">I896*G896/1000</f>
        <v>0.2816</v>
      </c>
      <c r="K896" s="11" t="s">
        <v>217</v>
      </c>
      <c r="L896" s="11" t="s">
        <v>19</v>
      </c>
      <c r="M896" s="11" t="s">
        <v>145</v>
      </c>
    </row>
    <row r="897" customFormat="false" ht="23.85" hidden="false" customHeight="false" outlineLevel="0" collapsed="false">
      <c r="A897" s="11" t="s">
        <v>108</v>
      </c>
      <c r="B897" s="11" t="s">
        <v>137</v>
      </c>
      <c r="C897" s="11" t="n">
        <v>19</v>
      </c>
      <c r="D897" s="11" t="s">
        <v>174</v>
      </c>
      <c r="E897" s="11" t="s">
        <v>175</v>
      </c>
      <c r="F897" s="11" t="s">
        <v>83</v>
      </c>
      <c r="G897" s="12" t="n">
        <v>300</v>
      </c>
      <c r="H897" s="12" t="n">
        <f aca="false">SUMPRODUCT(ПОТОКИ!B12:G12,ЧАСОВЫЕ_ПРОФИЛИ!B24:G24,КОЭФФИЦИЕНТЫ_ВЫБОРА!F29:K29)</f>
        <v>2.213</v>
      </c>
      <c r="I897" s="12" t="n">
        <f aca="false">SUMPRODUCT(ПОТОКИ!B12:G12,ЧАСОВЫЕ_ПРОФИЛИ!B24:G24,КОЭФФИЦИЕНТЫ_ВЫБОРА!F29:K29,ПАРАМЕТРЫ!$B$17:$G$17)</f>
        <v>2.4343</v>
      </c>
      <c r="J897" s="12" t="n">
        <f aca="false">I897*G897/1000</f>
        <v>0.73029</v>
      </c>
      <c r="K897" s="11" t="s">
        <v>217</v>
      </c>
      <c r="L897" s="11" t="s">
        <v>19</v>
      </c>
      <c r="M897" s="11" t="s">
        <v>145</v>
      </c>
    </row>
    <row r="898" customFormat="false" ht="15" hidden="false" customHeight="false" outlineLevel="0" collapsed="false">
      <c r="A898" s="11" t="s">
        <v>108</v>
      </c>
      <c r="B898" s="11" t="s">
        <v>137</v>
      </c>
      <c r="C898" s="11" t="n">
        <v>20</v>
      </c>
      <c r="D898" s="11" t="s">
        <v>174</v>
      </c>
      <c r="E898" s="11" t="s">
        <v>176</v>
      </c>
      <c r="F898" s="11" t="s">
        <v>83</v>
      </c>
      <c r="G898" s="12" t="n">
        <v>360</v>
      </c>
      <c r="H898" s="12" t="n">
        <f aca="false">SUMPRODUCT(ПОТОКИ!B12:G12,ЧАСОВЫЕ_ПРОФИЛИ!B24:G24,КОЭФФИЦИЕНТЫ_ВЫБОРА!F30:K30)</f>
        <v>1.852</v>
      </c>
      <c r="I898" s="12" t="n">
        <f aca="false">SUMPRODUCT(ПОТОКИ!B12:G12,ЧАСОВЫЕ_ПРОФИЛИ!B24:G24,КОЭФФИЦИЕНТЫ_ВЫБОРА!F30:K30,ПАРАМЕТРЫ!$B$17:$G$17)</f>
        <v>2.0372</v>
      </c>
      <c r="J898" s="12" t="n">
        <f aca="false">I898*G898/1000</f>
        <v>0.733392</v>
      </c>
      <c r="K898" s="11" t="s">
        <v>217</v>
      </c>
      <c r="L898" s="11" t="s">
        <v>19</v>
      </c>
      <c r="M898" s="11" t="s">
        <v>145</v>
      </c>
    </row>
    <row r="899" customFormat="false" ht="15" hidden="false" customHeight="false" outlineLevel="0" collapsed="false">
      <c r="A899" s="11" t="s">
        <v>108</v>
      </c>
      <c r="B899" s="11" t="s">
        <v>137</v>
      </c>
      <c r="C899" s="11" t="n">
        <v>21</v>
      </c>
      <c r="D899" s="11" t="s">
        <v>174</v>
      </c>
      <c r="E899" s="11" t="s">
        <v>177</v>
      </c>
      <c r="F899" s="11" t="s">
        <v>83</v>
      </c>
      <c r="G899" s="12" t="n">
        <v>350</v>
      </c>
      <c r="H899" s="12" t="n">
        <f aca="false">SUMPRODUCT(ПОТОКИ!B12:G12,ЧАСОВЫЕ_ПРОФИЛИ!B24:G24,КОЭФФИЦИЕНТЫ_ВЫБОРА!F31:K31)</f>
        <v>2.7015</v>
      </c>
      <c r="I899" s="12" t="n">
        <f aca="false">SUMPRODUCT(ПОТОКИ!B12:G12,ЧАСОВЫЕ_ПРОФИЛИ!B24:G24,КОЭФФИЦИЕНТЫ_ВЫБОРА!F31:K31,ПАРАМЕТРЫ!$B$17:$G$17)</f>
        <v>2.97165</v>
      </c>
      <c r="J899" s="12" t="n">
        <f aca="false">I899*G899/1000</f>
        <v>1.0400775</v>
      </c>
      <c r="K899" s="11" t="s">
        <v>217</v>
      </c>
      <c r="L899" s="11" t="s">
        <v>19</v>
      </c>
      <c r="M899" s="11" t="s">
        <v>145</v>
      </c>
    </row>
    <row r="900" customFormat="false" ht="15" hidden="false" customHeight="false" outlineLevel="0" collapsed="false">
      <c r="A900" s="11" t="s">
        <v>108</v>
      </c>
      <c r="B900" s="11" t="s">
        <v>137</v>
      </c>
      <c r="C900" s="11" t="n">
        <v>22</v>
      </c>
      <c r="D900" s="11" t="s">
        <v>174</v>
      </c>
      <c r="E900" s="11" t="s">
        <v>178</v>
      </c>
      <c r="F900" s="11" t="s">
        <v>83</v>
      </c>
      <c r="G900" s="12" t="n">
        <v>300</v>
      </c>
      <c r="H900" s="12" t="n">
        <f aca="false">SUMPRODUCT(ПОТОКИ!B12:G12,ЧАСОВЫЕ_ПРОФИЛИ!B24:G24,КОЭФФИЦИЕНТЫ_ВЫБОРА!F32:K32)</f>
        <v>1.9835</v>
      </c>
      <c r="I900" s="12" t="n">
        <f aca="false">SUMPRODUCT(ПОТОКИ!B12:G12,ЧАСОВЫЕ_ПРОФИЛИ!B24:G24,КОЭФФИЦИЕНТЫ_ВЫБОРА!F32:K32,ПАРАМЕТРЫ!$B$17:$G$17)</f>
        <v>2.18185</v>
      </c>
      <c r="J900" s="12" t="n">
        <f aca="false">I900*G900/1000</f>
        <v>0.654555</v>
      </c>
      <c r="K900" s="11" t="s">
        <v>217</v>
      </c>
      <c r="L900" s="11" t="s">
        <v>19</v>
      </c>
      <c r="M900" s="11" t="s">
        <v>145</v>
      </c>
    </row>
    <row r="901" customFormat="false" ht="15" hidden="false" customHeight="false" outlineLevel="0" collapsed="false">
      <c r="A901" s="11" t="s">
        <v>108</v>
      </c>
      <c r="B901" s="11" t="s">
        <v>137</v>
      </c>
      <c r="C901" s="11" t="n">
        <v>23</v>
      </c>
      <c r="D901" s="11" t="s">
        <v>86</v>
      </c>
      <c r="E901" s="11" t="s">
        <v>179</v>
      </c>
      <c r="F901" s="11" t="s">
        <v>85</v>
      </c>
      <c r="G901" s="12" t="n">
        <v>150</v>
      </c>
      <c r="H901" s="12" t="n">
        <f aca="false">SUMPRODUCT(ПОТОКИ!B12:G12,ЧАСОВЫЕ_ПРОФИЛИ!B24:G24,КОЭФФИЦИЕНТЫ_ВЫБОРА!F33:K33)</f>
        <v>1.6856425</v>
      </c>
      <c r="I901" s="12" t="n">
        <f aca="false">SUMPRODUCT(ПОТОКИ!B12:G12,ЧАСОВЫЕ_ПРОФИЛИ!B24:G24,КОЭФФИЦИЕНТЫ_ВЫБОРА!F33:K33,ПАРАМЕТРЫ!$B$17:$G$17)</f>
        <v>1.85420675</v>
      </c>
      <c r="J901" s="12" t="n">
        <f aca="false">I901*G901/1000</f>
        <v>0.2781310125</v>
      </c>
      <c r="K901" s="11" t="s">
        <v>217</v>
      </c>
      <c r="L901" s="11" t="s">
        <v>19</v>
      </c>
      <c r="M901" s="11" t="s">
        <v>147</v>
      </c>
    </row>
    <row r="902" customFormat="false" ht="15" hidden="false" customHeight="false" outlineLevel="0" collapsed="false">
      <c r="A902" s="11" t="s">
        <v>108</v>
      </c>
      <c r="B902" s="11" t="s">
        <v>137</v>
      </c>
      <c r="C902" s="11" t="n">
        <v>24</v>
      </c>
      <c r="D902" s="11" t="s">
        <v>86</v>
      </c>
      <c r="E902" s="11" t="s">
        <v>180</v>
      </c>
      <c r="F902" s="11" t="s">
        <v>85</v>
      </c>
      <c r="G902" s="12" t="n">
        <v>150</v>
      </c>
      <c r="H902" s="12" t="n">
        <f aca="false">SUMPRODUCT(ПОТОКИ!B12:G12,ЧАСОВЫЕ_ПРОФИЛИ!B24:G24,КОЭФФИЦИЕНТЫ_ВЫБОРА!F34:K34)</f>
        <v>0.89159</v>
      </c>
      <c r="I902" s="12" t="n">
        <f aca="false">SUMPRODUCT(ПОТОКИ!B12:G12,ЧАСОВЫЕ_ПРОФИЛИ!B24:G24,КОЭФФИЦИЕНТЫ_ВЫБОРА!F34:K34,ПАРАМЕТРЫ!$B$17:$G$17)</f>
        <v>0.980749</v>
      </c>
      <c r="J902" s="12" t="n">
        <f aca="false">I902*G902/1000</f>
        <v>0.14711235</v>
      </c>
      <c r="K902" s="11" t="s">
        <v>217</v>
      </c>
      <c r="L902" s="11" t="s">
        <v>19</v>
      </c>
      <c r="M902" s="11" t="s">
        <v>147</v>
      </c>
    </row>
    <row r="903" customFormat="false" ht="15" hidden="false" customHeight="false" outlineLevel="0" collapsed="false">
      <c r="A903" s="11" t="s">
        <v>108</v>
      </c>
      <c r="B903" s="11" t="s">
        <v>137</v>
      </c>
      <c r="C903" s="11" t="n">
        <v>25</v>
      </c>
      <c r="D903" s="11" t="s">
        <v>86</v>
      </c>
      <c r="E903" s="11" t="s">
        <v>181</v>
      </c>
      <c r="F903" s="11" t="s">
        <v>85</v>
      </c>
      <c r="G903" s="12" t="n">
        <v>150</v>
      </c>
      <c r="H903" s="12" t="n">
        <f aca="false">SUMPRODUCT(ПОТОКИ!B12:G12,ЧАСОВЫЕ_ПРОФИЛИ!B24:G24,КОЭФФИЦИЕНТЫ_ВЫБОРА!F35:K35)</f>
        <v>1.8807175</v>
      </c>
      <c r="I903" s="12" t="n">
        <f aca="false">SUMPRODUCT(ПОТОКИ!B12:G12,ЧАСОВЫЕ_ПРОФИЛИ!B24:G24,КОЭФФИЦИЕНТЫ_ВЫБОРА!F35:K35,ПАРАМЕТРЫ!$B$17:$G$17)</f>
        <v>2.06878925</v>
      </c>
      <c r="J903" s="12" t="n">
        <f aca="false">I903*G903/1000</f>
        <v>0.3103183875</v>
      </c>
      <c r="K903" s="11" t="s">
        <v>217</v>
      </c>
      <c r="L903" s="11" t="s">
        <v>19</v>
      </c>
      <c r="M903" s="11" t="s">
        <v>147</v>
      </c>
    </row>
    <row r="904" customFormat="false" ht="23.85" hidden="false" customHeight="false" outlineLevel="0" collapsed="false">
      <c r="A904" s="11" t="s">
        <v>108</v>
      </c>
      <c r="B904" s="11" t="s">
        <v>137</v>
      </c>
      <c r="C904" s="11" t="n">
        <v>26</v>
      </c>
      <c r="D904" s="11" t="s">
        <v>89</v>
      </c>
      <c r="E904" s="11" t="s">
        <v>182</v>
      </c>
      <c r="F904" s="11" t="s">
        <v>88</v>
      </c>
      <c r="G904" s="12" t="n">
        <v>225</v>
      </c>
      <c r="H904" s="12" t="n">
        <f aca="false">SUMPRODUCT(ПОТОКИ!B12:G12,ЧАСОВЫЕ_ПРОФИЛИ!B24:G24,КОЭФФИЦИЕНТЫ_ВЫБОРА!F36:K36)</f>
        <v>0</v>
      </c>
      <c r="I904" s="12" t="n">
        <f aca="false">SUMPRODUCT(ПОТОКИ!B12:G12,ЧАСОВЫЕ_ПРОФИЛИ!B24:G24,КОЭФФИЦИЕНТЫ_ВЫБОРА!F36:K36,ПАРАМЕТРЫ!$B$17:$G$17)</f>
        <v>0</v>
      </c>
      <c r="J904" s="12" t="n">
        <f aca="false">I904*G904/1000</f>
        <v>0</v>
      </c>
      <c r="K904" s="11" t="s">
        <v>217</v>
      </c>
      <c r="L904" s="11" t="s">
        <v>19</v>
      </c>
      <c r="M904" s="11" t="s">
        <v>145</v>
      </c>
    </row>
    <row r="905" customFormat="false" ht="23.85" hidden="false" customHeight="false" outlineLevel="0" collapsed="false">
      <c r="A905" s="11" t="s">
        <v>108</v>
      </c>
      <c r="B905" s="11" t="s">
        <v>137</v>
      </c>
      <c r="C905" s="11" t="n">
        <v>27</v>
      </c>
      <c r="D905" s="11" t="s">
        <v>89</v>
      </c>
      <c r="E905" s="11" t="s">
        <v>183</v>
      </c>
      <c r="F905" s="11" t="s">
        <v>88</v>
      </c>
      <c r="G905" s="12" t="n">
        <v>265</v>
      </c>
      <c r="H905" s="12" t="n">
        <f aca="false">SUMPRODUCT(ПОТОКИ!B12:G12,ЧАСОВЫЕ_ПРОФИЛИ!B24:G24,КОЭФФИЦИЕНТЫ_ВЫБОРА!F37:K37)</f>
        <v>0</v>
      </c>
      <c r="I905" s="12" t="n">
        <f aca="false">SUMPRODUCT(ПОТОКИ!B12:G12,ЧАСОВЫЕ_ПРОФИЛИ!B24:G24,КОЭФФИЦИЕНТЫ_ВЫБОРА!F37:K37,ПАРАМЕТРЫ!$B$17:$G$17)</f>
        <v>0</v>
      </c>
      <c r="J905" s="12" t="n">
        <f aca="false">I905*G905/1000</f>
        <v>0</v>
      </c>
      <c r="K905" s="11" t="s">
        <v>217</v>
      </c>
      <c r="L905" s="11" t="s">
        <v>19</v>
      </c>
      <c r="M905" s="11" t="s">
        <v>145</v>
      </c>
    </row>
    <row r="906" customFormat="false" ht="23.85" hidden="false" customHeight="false" outlineLevel="0" collapsed="false">
      <c r="A906" s="11" t="s">
        <v>108</v>
      </c>
      <c r="B906" s="11" t="s">
        <v>137</v>
      </c>
      <c r="C906" s="11" t="n">
        <v>28</v>
      </c>
      <c r="D906" s="11" t="s">
        <v>89</v>
      </c>
      <c r="E906" s="11" t="s">
        <v>184</v>
      </c>
      <c r="F906" s="11" t="s">
        <v>88</v>
      </c>
      <c r="G906" s="12" t="n">
        <v>355</v>
      </c>
      <c r="H906" s="12" t="n">
        <f aca="false">SUMPRODUCT(ПОТОКИ!B12:G12,ЧАСОВЫЕ_ПРОФИЛИ!B24:G24,КОЭФФИЦИЕНТЫ_ВЫБОРА!F38:K38)</f>
        <v>0</v>
      </c>
      <c r="I906" s="12" t="n">
        <f aca="false">SUMPRODUCT(ПОТОКИ!B12:G12,ЧАСОВЫЕ_ПРОФИЛИ!B24:G24,КОЭФФИЦИЕНТЫ_ВЫБОРА!F38:K38,ПАРАМЕТРЫ!$B$17:$G$17)</f>
        <v>0</v>
      </c>
      <c r="J906" s="12" t="n">
        <f aca="false">I906*G906/1000</f>
        <v>0</v>
      </c>
      <c r="K906" s="11" t="s">
        <v>217</v>
      </c>
      <c r="L906" s="11" t="s">
        <v>19</v>
      </c>
      <c r="M906" s="11" t="s">
        <v>145</v>
      </c>
    </row>
    <row r="907" customFormat="false" ht="15" hidden="false" customHeight="false" outlineLevel="0" collapsed="false">
      <c r="A907" s="11" t="s">
        <v>108</v>
      </c>
      <c r="B907" s="11" t="s">
        <v>137</v>
      </c>
      <c r="C907" s="11" t="n">
        <v>29</v>
      </c>
      <c r="D907" s="11" t="s">
        <v>92</v>
      </c>
      <c r="E907" s="11" t="s">
        <v>185</v>
      </c>
      <c r="F907" s="11" t="s">
        <v>91</v>
      </c>
      <c r="G907" s="12" t="n">
        <v>150</v>
      </c>
      <c r="H907" s="12" t="n">
        <f aca="false">SUMPRODUCT(ПОТОКИ!B12:G12,ЧАСОВЫЕ_ПРОФИЛИ!B24:G24,КОЭФФИЦИЕНТЫ_ВЫБОРА!F39:K39)</f>
        <v>0.456</v>
      </c>
      <c r="I907" s="12" t="n">
        <f aca="false">SUMPRODUCT(ПОТОКИ!B12:G12,ЧАСОВЫЕ_ПРОФИЛИ!B24:G24,КОЭФФИЦИЕНТЫ_ВЫБОРА!F39:K39,ПАРАМЕТРЫ!$B$17:$G$17)</f>
        <v>0.5016</v>
      </c>
      <c r="J907" s="12" t="n">
        <f aca="false">I907*G907/1000</f>
        <v>0.07524</v>
      </c>
      <c r="K907" s="11" t="s">
        <v>217</v>
      </c>
      <c r="L907" s="11" t="s">
        <v>19</v>
      </c>
      <c r="M907" s="11" t="s">
        <v>145</v>
      </c>
    </row>
    <row r="908" customFormat="false" ht="15" hidden="false" customHeight="false" outlineLevel="0" collapsed="false">
      <c r="A908" s="11" t="s">
        <v>108</v>
      </c>
      <c r="B908" s="11" t="s">
        <v>137</v>
      </c>
      <c r="C908" s="11" t="n">
        <v>30</v>
      </c>
      <c r="D908" s="11" t="s">
        <v>92</v>
      </c>
      <c r="E908" s="11" t="s">
        <v>186</v>
      </c>
      <c r="F908" s="11" t="s">
        <v>91</v>
      </c>
      <c r="G908" s="12" t="n">
        <v>120</v>
      </c>
      <c r="H908" s="12" t="n">
        <f aca="false">SUMPRODUCT(ПОТОКИ!B12:G12,ЧАСОВЫЕ_ПРОФИЛИ!B24:G24,КОЭФФИЦИЕНТЫ_ВЫБОРА!F40:K40)</f>
        <v>0.756</v>
      </c>
      <c r="I908" s="12" t="n">
        <f aca="false">SUMPRODUCT(ПОТОКИ!B12:G12,ЧАСОВЫЕ_ПРОФИЛИ!B24:G24,КОЭФФИЦИЕНТЫ_ВЫБОРА!F40:K40,ПАРАМЕТРЫ!$B$17:$G$17)</f>
        <v>0.8316</v>
      </c>
      <c r="J908" s="12" t="n">
        <f aca="false">I908*G908/1000</f>
        <v>0.099792</v>
      </c>
      <c r="K908" s="11" t="s">
        <v>217</v>
      </c>
      <c r="L908" s="11" t="s">
        <v>19</v>
      </c>
      <c r="M908" s="11" t="s">
        <v>145</v>
      </c>
    </row>
    <row r="909" customFormat="false" ht="15" hidden="false" customHeight="false" outlineLevel="0" collapsed="false">
      <c r="A909" s="11" t="s">
        <v>108</v>
      </c>
      <c r="B909" s="11" t="s">
        <v>137</v>
      </c>
      <c r="C909" s="11" t="n">
        <v>31</v>
      </c>
      <c r="D909" s="11" t="s">
        <v>92</v>
      </c>
      <c r="E909" s="11" t="s">
        <v>187</v>
      </c>
      <c r="F909" s="11" t="s">
        <v>91</v>
      </c>
      <c r="G909" s="12" t="n">
        <v>60</v>
      </c>
      <c r="H909" s="12" t="n">
        <f aca="false">SUMPRODUCT(ПОТОКИ!B12:G12,ЧАСОВЫЕ_ПРОФИЛИ!B24:G24,КОЭФФИЦИЕНТЫ_ВЫБОРА!F41:K41)</f>
        <v>0.288</v>
      </c>
      <c r="I909" s="12" t="n">
        <f aca="false">SUMPRODUCT(ПОТОКИ!B12:G12,ЧАСОВЫЕ_ПРОФИЛИ!B24:G24,КОЭФФИЦИЕНТЫ_ВЫБОРА!F41:K41,ПАРАМЕТРЫ!$B$17:$G$17)</f>
        <v>0.3168</v>
      </c>
      <c r="J909" s="12" t="n">
        <f aca="false">I909*G909/1000</f>
        <v>0.019008</v>
      </c>
      <c r="K909" s="11" t="s">
        <v>217</v>
      </c>
      <c r="L909" s="11" t="s">
        <v>19</v>
      </c>
      <c r="M909" s="11" t="s">
        <v>145</v>
      </c>
    </row>
    <row r="910" customFormat="false" ht="15" hidden="false" customHeight="false" outlineLevel="0" collapsed="false">
      <c r="A910" s="11" t="s">
        <v>108</v>
      </c>
      <c r="B910" s="11" t="s">
        <v>138</v>
      </c>
      <c r="C910" s="11" t="n">
        <v>1</v>
      </c>
      <c r="D910" s="11" t="s">
        <v>74</v>
      </c>
      <c r="E910" s="11" t="s">
        <v>153</v>
      </c>
      <c r="F910" s="11" t="s">
        <v>73</v>
      </c>
      <c r="G910" s="12" t="n">
        <v>450</v>
      </c>
      <c r="H910" s="12" t="n">
        <f aca="false">SUMPRODUCT(ПОТОКИ!B12:G12,ЧАСОВЫЕ_ПРОФИЛИ!B25:G25,КОЭФФИЦИЕНТЫ_ВЫБОРА!F11:K11)</f>
        <v>0.281</v>
      </c>
      <c r="I910" s="12" t="n">
        <f aca="false">SUMPRODUCT(ПОТОКИ!B12:G12,ЧАСОВЫЕ_ПРОФИЛИ!B25:G25,КОЭФФИЦИЕНТЫ_ВЫБОРА!F11:K11,ПАРАМЕТРЫ!$B$17:$G$17)</f>
        <v>0.3091</v>
      </c>
      <c r="J910" s="12" t="n">
        <f aca="false">I910*G910/1000</f>
        <v>0.139095</v>
      </c>
      <c r="K910" s="11" t="s">
        <v>217</v>
      </c>
      <c r="L910" s="11" t="s">
        <v>19</v>
      </c>
      <c r="M910" s="11" t="s">
        <v>145</v>
      </c>
    </row>
    <row r="911" customFormat="false" ht="15" hidden="false" customHeight="false" outlineLevel="0" collapsed="false">
      <c r="A911" s="11" t="s">
        <v>108</v>
      </c>
      <c r="B911" s="11" t="s">
        <v>138</v>
      </c>
      <c r="C911" s="11" t="n">
        <v>2</v>
      </c>
      <c r="D911" s="11" t="s">
        <v>74</v>
      </c>
      <c r="E911" s="11" t="s">
        <v>154</v>
      </c>
      <c r="F911" s="11" t="s">
        <v>73</v>
      </c>
      <c r="G911" s="12" t="n">
        <v>480</v>
      </c>
      <c r="H911" s="12" t="n">
        <f aca="false">SUMPRODUCT(ПОТОКИ!B12:G12,ЧАСОВЫЕ_ПРОФИЛИ!B25:G25,КОЭФФИЦИЕНТЫ_ВЫБОРА!F12:K12)</f>
        <v>0.4605</v>
      </c>
      <c r="I911" s="12" t="n">
        <f aca="false">SUMPRODUCT(ПОТОКИ!B12:G12,ЧАСОВЫЕ_ПРОФИЛИ!B25:G25,КОЭФФИЦИЕНТЫ_ВЫБОРА!F12:K12,ПАРАМЕТРЫ!$B$17:$G$17)</f>
        <v>0.50655</v>
      </c>
      <c r="J911" s="12" t="n">
        <f aca="false">I911*G911/1000</f>
        <v>0.243144</v>
      </c>
      <c r="K911" s="11" t="s">
        <v>217</v>
      </c>
      <c r="L911" s="11" t="s">
        <v>19</v>
      </c>
      <c r="M911" s="11" t="s">
        <v>145</v>
      </c>
    </row>
    <row r="912" customFormat="false" ht="15" hidden="false" customHeight="false" outlineLevel="0" collapsed="false">
      <c r="A912" s="11" t="s">
        <v>108</v>
      </c>
      <c r="B912" s="11" t="s">
        <v>138</v>
      </c>
      <c r="C912" s="11" t="n">
        <v>3</v>
      </c>
      <c r="D912" s="11" t="s">
        <v>74</v>
      </c>
      <c r="E912" s="11" t="s">
        <v>155</v>
      </c>
      <c r="F912" s="11" t="s">
        <v>73</v>
      </c>
      <c r="G912" s="12" t="n">
        <v>500</v>
      </c>
      <c r="H912" s="12" t="n">
        <f aca="false">SUMPRODUCT(ПОТОКИ!B12:G12,ЧАСОВЫЕ_ПРОФИЛИ!B25:G25,КОЭФФИЦИЕНТЫ_ВЫБОРА!F13:K13)</f>
        <v>0.6595</v>
      </c>
      <c r="I912" s="12" t="n">
        <f aca="false">SUMPRODUCT(ПОТОКИ!B12:G12,ЧАСОВЫЕ_ПРОФИЛИ!B25:G25,КОЭФФИЦИЕНТЫ_ВЫБОРА!F13:K13,ПАРАМЕТРЫ!$B$17:$G$17)</f>
        <v>0.72545</v>
      </c>
      <c r="J912" s="12" t="n">
        <f aca="false">I912*G912/1000</f>
        <v>0.362725</v>
      </c>
      <c r="K912" s="11" t="s">
        <v>217</v>
      </c>
      <c r="L912" s="11" t="s">
        <v>19</v>
      </c>
      <c r="M912" s="11" t="s">
        <v>145</v>
      </c>
    </row>
    <row r="913" customFormat="false" ht="15" hidden="false" customHeight="false" outlineLevel="0" collapsed="false">
      <c r="A913" s="11" t="s">
        <v>108</v>
      </c>
      <c r="B913" s="11" t="s">
        <v>138</v>
      </c>
      <c r="C913" s="11" t="n">
        <v>4</v>
      </c>
      <c r="D913" s="11" t="s">
        <v>74</v>
      </c>
      <c r="E913" s="11" t="s">
        <v>156</v>
      </c>
      <c r="F913" s="11" t="s">
        <v>73</v>
      </c>
      <c r="G913" s="12" t="n">
        <v>500</v>
      </c>
      <c r="H913" s="12" t="n">
        <f aca="false">SUMPRODUCT(ПОТОКИ!B12:G12,ЧАСОВЫЕ_ПРОФИЛИ!B25:G25,КОЭФФИЦИЕНТЫ_ВЫБОРА!F14:K14)</f>
        <v>0.839</v>
      </c>
      <c r="I913" s="12" t="n">
        <f aca="false">SUMPRODUCT(ПОТОКИ!B12:G12,ЧАСОВЫЕ_ПРОФИЛИ!B25:G25,КОЭФФИЦИЕНТЫ_ВЫБОРА!F14:K14,ПАРАМЕТРЫ!$B$17:$G$17)</f>
        <v>0.9229</v>
      </c>
      <c r="J913" s="12" t="n">
        <f aca="false">I913*G913/1000</f>
        <v>0.46145</v>
      </c>
      <c r="K913" s="11" t="s">
        <v>217</v>
      </c>
      <c r="L913" s="11" t="s">
        <v>19</v>
      </c>
      <c r="M913" s="11" t="s">
        <v>145</v>
      </c>
    </row>
    <row r="914" customFormat="false" ht="15" hidden="false" customHeight="false" outlineLevel="0" collapsed="false">
      <c r="A914" s="11" t="s">
        <v>108</v>
      </c>
      <c r="B914" s="11" t="s">
        <v>138</v>
      </c>
      <c r="C914" s="11" t="n">
        <v>5</v>
      </c>
      <c r="D914" s="11" t="s">
        <v>78</v>
      </c>
      <c r="E914" s="11" t="s">
        <v>157</v>
      </c>
      <c r="F914" s="11" t="s">
        <v>77</v>
      </c>
      <c r="G914" s="12" t="n">
        <v>100</v>
      </c>
      <c r="H914" s="12" t="n">
        <f aca="false">SUMPRODUCT(ПОТОКИ!B12:G12,ЧАСОВЫЕ_ПРОФИЛИ!B25:G25,КОЭФФИЦИЕНТЫ_ВЫБОРА!F15:K15)</f>
        <v>0.32</v>
      </c>
      <c r="I914" s="12" t="n">
        <f aca="false">SUMPRODUCT(ПОТОКИ!B12:G12,ЧАСОВЫЕ_ПРОФИЛИ!B25:G25,КОЭФФИЦИЕНТЫ_ВЫБОРА!F15:K15,ПАРАМЕТРЫ!$B$17:$G$17)</f>
        <v>0.352</v>
      </c>
      <c r="J914" s="12" t="n">
        <f aca="false">I914*G914/1000</f>
        <v>0.0352</v>
      </c>
      <c r="K914" s="11" t="s">
        <v>217</v>
      </c>
      <c r="L914" s="11" t="s">
        <v>19</v>
      </c>
      <c r="M914" s="11" t="s">
        <v>147</v>
      </c>
    </row>
    <row r="915" customFormat="false" ht="15" hidden="false" customHeight="false" outlineLevel="0" collapsed="false">
      <c r="A915" s="11" t="s">
        <v>108</v>
      </c>
      <c r="B915" s="11" t="s">
        <v>138</v>
      </c>
      <c r="C915" s="11" t="n">
        <v>6</v>
      </c>
      <c r="D915" s="11" t="s">
        <v>78</v>
      </c>
      <c r="E915" s="11" t="s">
        <v>158</v>
      </c>
      <c r="F915" s="11" t="s">
        <v>77</v>
      </c>
      <c r="G915" s="12" t="n">
        <v>100</v>
      </c>
      <c r="H915" s="12" t="n">
        <f aca="false">SUMPRODUCT(ПОТОКИ!B12:G12,ЧАСОВЫЕ_ПРОФИЛИ!B25:G25,КОЭФФИЦИЕНТЫ_ВЫБОРА!F16:K16)</f>
        <v>0.2755</v>
      </c>
      <c r="I915" s="12" t="n">
        <f aca="false">SUMPRODUCT(ПОТОКИ!B12:G12,ЧАСОВЫЕ_ПРОФИЛИ!B25:G25,КОЭФФИЦИЕНТЫ_ВЫБОРА!F16:K16,ПАРАМЕТРЫ!$B$17:$G$17)</f>
        <v>0.30305</v>
      </c>
      <c r="J915" s="12" t="n">
        <f aca="false">I915*G915/1000</f>
        <v>0.030305</v>
      </c>
      <c r="K915" s="11" t="s">
        <v>217</v>
      </c>
      <c r="L915" s="11" t="s">
        <v>19</v>
      </c>
      <c r="M915" s="11" t="s">
        <v>147</v>
      </c>
    </row>
    <row r="916" customFormat="false" ht="15" hidden="false" customHeight="false" outlineLevel="0" collapsed="false">
      <c r="A916" s="11" t="s">
        <v>108</v>
      </c>
      <c r="B916" s="11" t="s">
        <v>138</v>
      </c>
      <c r="C916" s="11" t="n">
        <v>7</v>
      </c>
      <c r="D916" s="11" t="s">
        <v>78</v>
      </c>
      <c r="E916" s="11" t="s">
        <v>159</v>
      </c>
      <c r="F916" s="11" t="s">
        <v>77</v>
      </c>
      <c r="G916" s="12" t="n">
        <v>350</v>
      </c>
      <c r="H916" s="12" t="n">
        <f aca="false">SUMPRODUCT(ПОТОКИ!B12:G12,ЧАСОВЫЕ_ПРОФИЛИ!B25:G25,КОЭФФИЦИЕНТЫ_ВЫБОРА!F17:K17)</f>
        <v>0.256</v>
      </c>
      <c r="I916" s="12" t="n">
        <f aca="false">SUMPRODUCT(ПОТОКИ!B12:G12,ЧАСОВЫЕ_ПРОФИЛИ!B25:G25,КОЭФФИЦИЕНТЫ_ВЫБОРА!F17:K17,ПАРАМЕТРЫ!$B$17:$G$17)</f>
        <v>0.2816</v>
      </c>
      <c r="J916" s="12" t="n">
        <f aca="false">I916*G916/1000</f>
        <v>0.09856</v>
      </c>
      <c r="K916" s="11" t="s">
        <v>217</v>
      </c>
      <c r="L916" s="11" t="s">
        <v>19</v>
      </c>
      <c r="M916" s="11" t="s">
        <v>147</v>
      </c>
    </row>
    <row r="917" customFormat="false" ht="15" hidden="false" customHeight="false" outlineLevel="0" collapsed="false">
      <c r="A917" s="11" t="s">
        <v>108</v>
      </c>
      <c r="B917" s="11" t="s">
        <v>138</v>
      </c>
      <c r="C917" s="11" t="n">
        <v>8</v>
      </c>
      <c r="D917" s="11" t="s">
        <v>78</v>
      </c>
      <c r="E917" s="11" t="s">
        <v>160</v>
      </c>
      <c r="F917" s="11" t="s">
        <v>77</v>
      </c>
      <c r="G917" s="12" t="n">
        <v>85</v>
      </c>
      <c r="H917" s="12" t="n">
        <f aca="false">SUMPRODUCT(ПОТОКИ!B12:G12,ЧАСОВЫЕ_ПРОФИЛИ!B25:G25,КОЭФФИЦИЕНТЫ_ВЫБОРА!F18:K18)</f>
        <v>0.1725</v>
      </c>
      <c r="I917" s="12" t="n">
        <f aca="false">SUMPRODUCT(ПОТОКИ!B12:G12,ЧАСОВЫЕ_ПРОФИЛИ!B25:G25,КОЭФФИЦИЕНТЫ_ВЫБОРА!F18:K18,ПАРАМЕТРЫ!$B$17:$G$17)</f>
        <v>0.18975</v>
      </c>
      <c r="J917" s="12" t="n">
        <f aca="false">I917*G917/1000</f>
        <v>0.01612875</v>
      </c>
      <c r="K917" s="11" t="s">
        <v>217</v>
      </c>
      <c r="L917" s="11" t="s">
        <v>19</v>
      </c>
      <c r="M917" s="11" t="s">
        <v>147</v>
      </c>
    </row>
    <row r="918" customFormat="false" ht="15" hidden="false" customHeight="false" outlineLevel="0" collapsed="false">
      <c r="A918" s="11" t="s">
        <v>108</v>
      </c>
      <c r="B918" s="11" t="s">
        <v>138</v>
      </c>
      <c r="C918" s="11" t="n">
        <v>9</v>
      </c>
      <c r="D918" s="11" t="s">
        <v>161</v>
      </c>
      <c r="E918" s="11" t="s">
        <v>162</v>
      </c>
      <c r="F918" s="11" t="s">
        <v>80</v>
      </c>
      <c r="G918" s="12" t="n">
        <v>300</v>
      </c>
      <c r="H918" s="12" t="n">
        <f aca="false">SUMPRODUCT(ПОТОКИ!B12:G12,ЧАСОВЫЕ_ПРОФИЛИ!B25:G25,КОЭФФИЦИЕНТЫ_ВЫБОРА!F19:K19)</f>
        <v>0.46</v>
      </c>
      <c r="I918" s="12" t="n">
        <f aca="false">SUMPRODUCT(ПОТОКИ!B12:G12,ЧАСОВЫЕ_ПРОФИЛИ!B25:G25,КОЭФФИЦИЕНТЫ_ВЫБОРА!F19:K19,ПАРАМЕТРЫ!$B$17:$G$17)</f>
        <v>0.506</v>
      </c>
      <c r="J918" s="12" t="n">
        <f aca="false">I918*G918/1000</f>
        <v>0.1518</v>
      </c>
      <c r="K918" s="11" t="s">
        <v>217</v>
      </c>
      <c r="L918" s="11" t="s">
        <v>19</v>
      </c>
      <c r="M918" s="11" t="s">
        <v>145</v>
      </c>
    </row>
    <row r="919" customFormat="false" ht="15" hidden="false" customHeight="false" outlineLevel="0" collapsed="false">
      <c r="A919" s="11" t="s">
        <v>108</v>
      </c>
      <c r="B919" s="11" t="s">
        <v>138</v>
      </c>
      <c r="C919" s="11" t="n">
        <v>10</v>
      </c>
      <c r="D919" s="11" t="s">
        <v>161</v>
      </c>
      <c r="E919" s="11" t="s">
        <v>163</v>
      </c>
      <c r="F919" s="11" t="s">
        <v>80</v>
      </c>
      <c r="G919" s="12" t="n">
        <v>280</v>
      </c>
      <c r="H919" s="12" t="n">
        <f aca="false">SUMPRODUCT(ПОТОКИ!B12:G12,ЧАСОВЫЕ_ПРОФИЛИ!B25:G25,КОЭФФИЦИЕНТЫ_ВЫБОРА!F20:K20)</f>
        <v>0.505</v>
      </c>
      <c r="I919" s="12" t="n">
        <f aca="false">SUMPRODUCT(ПОТОКИ!B12:G12,ЧАСОВЫЕ_ПРОФИЛИ!B25:G25,КОЭФФИЦИЕНТЫ_ВЫБОРА!F20:K20,ПАРАМЕТРЫ!$B$17:$G$17)</f>
        <v>0.5555</v>
      </c>
      <c r="J919" s="12" t="n">
        <f aca="false">I919*G919/1000</f>
        <v>0.15554</v>
      </c>
      <c r="K919" s="11" t="s">
        <v>217</v>
      </c>
      <c r="L919" s="11" t="s">
        <v>19</v>
      </c>
      <c r="M919" s="11" t="s">
        <v>145</v>
      </c>
    </row>
    <row r="920" customFormat="false" ht="15" hidden="false" customHeight="false" outlineLevel="0" collapsed="false">
      <c r="A920" s="11" t="s">
        <v>108</v>
      </c>
      <c r="B920" s="11" t="s">
        <v>138</v>
      </c>
      <c r="C920" s="11" t="n">
        <v>11</v>
      </c>
      <c r="D920" s="11" t="s">
        <v>161</v>
      </c>
      <c r="E920" s="11" t="s">
        <v>164</v>
      </c>
      <c r="F920" s="11" t="s">
        <v>80</v>
      </c>
      <c r="G920" s="12" t="n">
        <v>270</v>
      </c>
      <c r="H920" s="12" t="n">
        <f aca="false">SUMPRODUCT(ПОТОКИ!B12:G12,ЧАСОВЫЕ_ПРОФИЛИ!B25:G25,КОЭФФИЦИЕНТЫ_ВЫБОРА!F21:K21)</f>
        <v>0.84475</v>
      </c>
      <c r="I920" s="12" t="n">
        <f aca="false">SUMPRODUCT(ПОТОКИ!B12:G12,ЧАСОВЫЕ_ПРОФИЛИ!B25:G25,КОЭФФИЦИЕНТЫ_ВЫБОРА!F21:K21,ПАРАМЕТРЫ!$B$17:$G$17)</f>
        <v>0.929225</v>
      </c>
      <c r="J920" s="12" t="n">
        <f aca="false">I920*G920/1000</f>
        <v>0.25089075</v>
      </c>
      <c r="K920" s="11" t="s">
        <v>217</v>
      </c>
      <c r="L920" s="11" t="s">
        <v>19</v>
      </c>
      <c r="M920" s="11" t="s">
        <v>145</v>
      </c>
    </row>
    <row r="921" customFormat="false" ht="15" hidden="false" customHeight="false" outlineLevel="0" collapsed="false">
      <c r="A921" s="11" t="s">
        <v>108</v>
      </c>
      <c r="B921" s="11" t="s">
        <v>138</v>
      </c>
      <c r="C921" s="11" t="n">
        <v>12</v>
      </c>
      <c r="D921" s="11" t="s">
        <v>161</v>
      </c>
      <c r="E921" s="11" t="s">
        <v>165</v>
      </c>
      <c r="F921" s="11" t="s">
        <v>80</v>
      </c>
      <c r="G921" s="12" t="n">
        <v>240</v>
      </c>
      <c r="H921" s="12" t="n">
        <f aca="false">SUMPRODUCT(ПОТОКИ!B12:G12,ЧАСОВЫЕ_ПРОФИЛИ!B25:G25,КОЭФФИЦИЕНТЫ_ВЫБОРА!F22:K22)</f>
        <v>0.47525</v>
      </c>
      <c r="I921" s="12" t="n">
        <f aca="false">SUMPRODUCT(ПОТОКИ!B12:G12,ЧАСОВЫЕ_ПРОФИЛИ!B25:G25,КОЭФФИЦИЕНТЫ_ВЫБОРА!F22:K22,ПАРАМЕТРЫ!$B$17:$G$17)</f>
        <v>0.522775</v>
      </c>
      <c r="J921" s="12" t="n">
        <f aca="false">I921*G921/1000</f>
        <v>0.125466</v>
      </c>
      <c r="K921" s="11" t="s">
        <v>217</v>
      </c>
      <c r="L921" s="11" t="s">
        <v>19</v>
      </c>
      <c r="M921" s="11" t="s">
        <v>145</v>
      </c>
    </row>
    <row r="922" customFormat="false" ht="15" hidden="false" customHeight="false" outlineLevel="0" collapsed="false">
      <c r="A922" s="11" t="s">
        <v>108</v>
      </c>
      <c r="B922" s="11" t="s">
        <v>138</v>
      </c>
      <c r="C922" s="11" t="n">
        <v>13</v>
      </c>
      <c r="D922" s="11" t="s">
        <v>166</v>
      </c>
      <c r="E922" s="11" t="s">
        <v>167</v>
      </c>
      <c r="F922" s="11" t="s">
        <v>80</v>
      </c>
      <c r="G922" s="12" t="n">
        <v>130</v>
      </c>
      <c r="H922" s="12" t="n">
        <f aca="false">SUMPRODUCT(ПОТОКИ!B12:G12,ЧАСОВЫЕ_ПРОФИЛИ!B25:G25,КОЭФФИЦИЕНТЫ_ВЫБОРА!F23:K23)</f>
        <v>0.26</v>
      </c>
      <c r="I922" s="12" t="n">
        <f aca="false">SUMPRODUCT(ПОТОКИ!B12:G12,ЧАСОВЫЕ_ПРОФИЛИ!B25:G25,КОЭФФИЦИЕНТЫ_ВЫБОРА!F23:K23,ПАРАМЕТРЫ!$B$17:$G$17)</f>
        <v>0.286</v>
      </c>
      <c r="J922" s="12" t="n">
        <f aca="false">I922*G922/1000</f>
        <v>0.03718</v>
      </c>
      <c r="K922" s="11" t="s">
        <v>217</v>
      </c>
      <c r="L922" s="11" t="s">
        <v>19</v>
      </c>
      <c r="M922" s="11" t="s">
        <v>145</v>
      </c>
    </row>
    <row r="923" customFormat="false" ht="15" hidden="false" customHeight="false" outlineLevel="0" collapsed="false">
      <c r="A923" s="11" t="s">
        <v>108</v>
      </c>
      <c r="B923" s="11" t="s">
        <v>138</v>
      </c>
      <c r="C923" s="11" t="n">
        <v>14</v>
      </c>
      <c r="D923" s="11" t="s">
        <v>166</v>
      </c>
      <c r="E923" s="11" t="s">
        <v>168</v>
      </c>
      <c r="F923" s="11" t="s">
        <v>80</v>
      </c>
      <c r="G923" s="12" t="n">
        <v>250</v>
      </c>
      <c r="H923" s="12" t="n">
        <f aca="false">SUMPRODUCT(ПОТОКИ!B12:G12,ЧАСОВЫЕ_ПРОФИЛИ!B25:G25,КОЭФФИЦИЕНТЫ_ВЫБОРА!F24:K24)</f>
        <v>0.221</v>
      </c>
      <c r="I923" s="12" t="n">
        <f aca="false">SUMPRODUCT(ПОТОКИ!B12:G12,ЧАСОВЫЕ_ПРОФИЛИ!B25:G25,КОЭФФИЦИЕНТЫ_ВЫБОРА!F24:K24,ПАРАМЕТРЫ!$B$17:$G$17)</f>
        <v>0.2431</v>
      </c>
      <c r="J923" s="12" t="n">
        <f aca="false">I923*G923/1000</f>
        <v>0.060775</v>
      </c>
      <c r="K923" s="11" t="s">
        <v>217</v>
      </c>
      <c r="L923" s="11" t="s">
        <v>19</v>
      </c>
      <c r="M923" s="11" t="s">
        <v>145</v>
      </c>
    </row>
    <row r="924" customFormat="false" ht="15" hidden="false" customHeight="false" outlineLevel="0" collapsed="false">
      <c r="A924" s="11" t="s">
        <v>108</v>
      </c>
      <c r="B924" s="11" t="s">
        <v>138</v>
      </c>
      <c r="C924" s="11" t="n">
        <v>15</v>
      </c>
      <c r="D924" s="11" t="s">
        <v>166</v>
      </c>
      <c r="E924" s="11" t="s">
        <v>169</v>
      </c>
      <c r="F924" s="11" t="s">
        <v>80</v>
      </c>
      <c r="G924" s="12" t="n">
        <v>120</v>
      </c>
      <c r="H924" s="12" t="n">
        <f aca="false">SUMPRODUCT(ПОТОКИ!B12:G12,ЧАСОВЫЕ_ПРОФИЛИ!B25:G25,КОЭФФИЦИЕНТЫ_ВЫБОРА!F25:K25)</f>
        <v>0.146</v>
      </c>
      <c r="I924" s="12" t="n">
        <f aca="false">SUMPRODUCT(ПОТОКИ!B12:G12,ЧАСОВЫЕ_ПРОФИЛИ!B25:G25,КОЭФФИЦИЕНТЫ_ВЫБОРА!F25:K25,ПАРАМЕТРЫ!$B$17:$G$17)</f>
        <v>0.1606</v>
      </c>
      <c r="J924" s="12" t="n">
        <f aca="false">I924*G924/1000</f>
        <v>0.019272</v>
      </c>
      <c r="K924" s="11" t="s">
        <v>217</v>
      </c>
      <c r="L924" s="11" t="s">
        <v>19</v>
      </c>
      <c r="M924" s="11" t="s">
        <v>145</v>
      </c>
    </row>
    <row r="925" customFormat="false" ht="15" hidden="false" customHeight="false" outlineLevel="0" collapsed="false">
      <c r="A925" s="11" t="s">
        <v>108</v>
      </c>
      <c r="B925" s="11" t="s">
        <v>138</v>
      </c>
      <c r="C925" s="11" t="n">
        <v>16</v>
      </c>
      <c r="D925" s="11" t="s">
        <v>166</v>
      </c>
      <c r="E925" s="11" t="s">
        <v>170</v>
      </c>
      <c r="F925" s="11" t="s">
        <v>80</v>
      </c>
      <c r="G925" s="12" t="n">
        <v>180</v>
      </c>
      <c r="H925" s="12" t="n">
        <f aca="false">SUMPRODUCT(ПОТОКИ!B12:G12,ЧАСОВЫЕ_ПРОФИЛИ!B25:G25,КОЭФФИЦИЕНТЫ_ВЫБОРА!F26:K26)</f>
        <v>0.253</v>
      </c>
      <c r="I925" s="12" t="n">
        <f aca="false">SUMPRODUCT(ПОТОКИ!B12:G12,ЧАСОВЫЕ_ПРОФИЛИ!B25:G25,КОЭФФИЦИЕНТЫ_ВЫБОРА!F26:K26,ПАРАМЕТРЫ!$B$17:$G$17)</f>
        <v>0.2783</v>
      </c>
      <c r="J925" s="12" t="n">
        <f aca="false">I925*G925/1000</f>
        <v>0.050094</v>
      </c>
      <c r="K925" s="11" t="s">
        <v>217</v>
      </c>
      <c r="L925" s="11" t="s">
        <v>19</v>
      </c>
      <c r="M925" s="11" t="s">
        <v>145</v>
      </c>
    </row>
    <row r="926" customFormat="false" ht="15" hidden="false" customHeight="false" outlineLevel="0" collapsed="false">
      <c r="A926" s="11" t="s">
        <v>108</v>
      </c>
      <c r="B926" s="11" t="s">
        <v>138</v>
      </c>
      <c r="C926" s="11" t="n">
        <v>17</v>
      </c>
      <c r="D926" s="11" t="s">
        <v>166</v>
      </c>
      <c r="E926" s="11" t="s">
        <v>171</v>
      </c>
      <c r="F926" s="11" t="s">
        <v>80</v>
      </c>
      <c r="G926" s="12" t="n">
        <v>180</v>
      </c>
      <c r="H926" s="12" t="n">
        <f aca="false">SUMPRODUCT(ПОТОКИ!B12:G12,ЧАСОВЫЕ_ПРОФИЛИ!B25:G25,КОЭФФИЦИЕНТЫ_ВЫБОРА!F27:K27)</f>
        <v>0.26</v>
      </c>
      <c r="I926" s="12" t="n">
        <f aca="false">SUMPRODUCT(ПОТОКИ!B12:G12,ЧАСОВЫЕ_ПРОФИЛИ!B25:G25,КОЭФФИЦИЕНТЫ_ВЫБОРА!F27:K27,ПАРАМЕТРЫ!$B$17:$G$17)</f>
        <v>0.286</v>
      </c>
      <c r="J926" s="12" t="n">
        <f aca="false">I926*G926/1000</f>
        <v>0.05148</v>
      </c>
      <c r="K926" s="11" t="s">
        <v>217</v>
      </c>
      <c r="L926" s="11" t="s">
        <v>19</v>
      </c>
      <c r="M926" s="11" t="s">
        <v>145</v>
      </c>
    </row>
    <row r="927" customFormat="false" ht="15" hidden="false" customHeight="false" outlineLevel="0" collapsed="false">
      <c r="A927" s="11" t="s">
        <v>108</v>
      </c>
      <c r="B927" s="11" t="s">
        <v>138</v>
      </c>
      <c r="C927" s="11" t="n">
        <v>18</v>
      </c>
      <c r="D927" s="11" t="s">
        <v>172</v>
      </c>
      <c r="E927" s="11" t="s">
        <v>173</v>
      </c>
      <c r="F927" s="11" t="s">
        <v>83</v>
      </c>
      <c r="G927" s="12" t="n">
        <v>400</v>
      </c>
      <c r="H927" s="12" t="n">
        <f aca="false">SUMPRODUCT(ПОТОКИ!B12:G12,ЧАСОВЫЕ_ПРОФИЛИ!B25:G25,КОЭФФИЦИЕНТЫ_ВЫБОРА!F28:K28)</f>
        <v>0.32</v>
      </c>
      <c r="I927" s="12" t="n">
        <f aca="false">SUMPRODUCT(ПОТОКИ!B12:G12,ЧАСОВЫЕ_ПРОФИЛИ!B25:G25,КОЭФФИЦИЕНТЫ_ВЫБОРА!F28:K28,ПАРАМЕТРЫ!$B$17:$G$17)</f>
        <v>0.352</v>
      </c>
      <c r="J927" s="12" t="n">
        <f aca="false">I927*G927/1000</f>
        <v>0.1408</v>
      </c>
      <c r="K927" s="11" t="s">
        <v>217</v>
      </c>
      <c r="L927" s="11" t="s">
        <v>19</v>
      </c>
      <c r="M927" s="11" t="s">
        <v>145</v>
      </c>
    </row>
    <row r="928" customFormat="false" ht="23.85" hidden="false" customHeight="false" outlineLevel="0" collapsed="false">
      <c r="A928" s="11" t="s">
        <v>108</v>
      </c>
      <c r="B928" s="11" t="s">
        <v>138</v>
      </c>
      <c r="C928" s="11" t="n">
        <v>19</v>
      </c>
      <c r="D928" s="11" t="s">
        <v>174</v>
      </c>
      <c r="E928" s="11" t="s">
        <v>175</v>
      </c>
      <c r="F928" s="11" t="s">
        <v>83</v>
      </c>
      <c r="G928" s="12" t="n">
        <v>300</v>
      </c>
      <c r="H928" s="12" t="n">
        <f aca="false">SUMPRODUCT(ПОТОКИ!B12:G12,ЧАСОВЫЕ_ПРОФИЛИ!B25:G25,КОЭФФИЦИЕНТЫ_ВЫБОРА!F29:K29)</f>
        <v>1.3975</v>
      </c>
      <c r="I928" s="12" t="n">
        <f aca="false">SUMPRODUCT(ПОТОКИ!B12:G12,ЧАСОВЫЕ_ПРОФИЛИ!B25:G25,КОЭФФИЦИЕНТЫ_ВЫБОРА!F29:K29,ПАРАМЕТРЫ!$B$17:$G$17)</f>
        <v>1.53725</v>
      </c>
      <c r="J928" s="12" t="n">
        <f aca="false">I928*G928/1000</f>
        <v>0.461175</v>
      </c>
      <c r="K928" s="11" t="s">
        <v>217</v>
      </c>
      <c r="L928" s="11" t="s">
        <v>19</v>
      </c>
      <c r="M928" s="11" t="s">
        <v>145</v>
      </c>
    </row>
    <row r="929" customFormat="false" ht="15" hidden="false" customHeight="false" outlineLevel="0" collapsed="false">
      <c r="A929" s="11" t="s">
        <v>108</v>
      </c>
      <c r="B929" s="11" t="s">
        <v>138</v>
      </c>
      <c r="C929" s="11" t="n">
        <v>20</v>
      </c>
      <c r="D929" s="11" t="s">
        <v>174</v>
      </c>
      <c r="E929" s="11" t="s">
        <v>176</v>
      </c>
      <c r="F929" s="11" t="s">
        <v>83</v>
      </c>
      <c r="G929" s="12" t="n">
        <v>360</v>
      </c>
      <c r="H929" s="12" t="n">
        <f aca="false">SUMPRODUCT(ПОТОКИ!B12:G12,ЧАСОВЫЕ_ПРОФИЛИ!B25:G25,КОЭФФИЦИЕНТЫ_ВЫБОРА!F30:K30)</f>
        <v>1.141</v>
      </c>
      <c r="I929" s="12" t="n">
        <f aca="false">SUMPRODUCT(ПОТОКИ!B12:G12,ЧАСОВЫЕ_ПРОФИЛИ!B25:G25,КОЭФФИЦИЕНТЫ_ВЫБОРА!F30:K30,ПАРАМЕТРЫ!$B$17:$G$17)</f>
        <v>1.2551</v>
      </c>
      <c r="J929" s="12" t="n">
        <f aca="false">I929*G929/1000</f>
        <v>0.451836</v>
      </c>
      <c r="K929" s="11" t="s">
        <v>217</v>
      </c>
      <c r="L929" s="11" t="s">
        <v>19</v>
      </c>
      <c r="M929" s="11" t="s">
        <v>145</v>
      </c>
    </row>
    <row r="930" customFormat="false" ht="15" hidden="false" customHeight="false" outlineLevel="0" collapsed="false">
      <c r="A930" s="11" t="s">
        <v>108</v>
      </c>
      <c r="B930" s="11" t="s">
        <v>138</v>
      </c>
      <c r="C930" s="11" t="n">
        <v>21</v>
      </c>
      <c r="D930" s="11" t="s">
        <v>174</v>
      </c>
      <c r="E930" s="11" t="s">
        <v>177</v>
      </c>
      <c r="F930" s="11" t="s">
        <v>83</v>
      </c>
      <c r="G930" s="12" t="n">
        <v>350</v>
      </c>
      <c r="H930" s="12" t="n">
        <f aca="false">SUMPRODUCT(ПОТОКИ!B12:G12,ЧАСОВЫЕ_ПРОФИЛИ!B25:G25,КОЭФФИЦИЕНТЫ_ВЫБОРА!F31:K31)</f>
        <v>1.63525</v>
      </c>
      <c r="I930" s="12" t="n">
        <f aca="false">SUMPRODUCT(ПОТОКИ!B12:G12,ЧАСОВЫЕ_ПРОФИЛИ!B25:G25,КОЭФФИЦИЕНТЫ_ВЫБОРА!F31:K31,ПАРАМЕТРЫ!$B$17:$G$17)</f>
        <v>1.798775</v>
      </c>
      <c r="J930" s="12" t="n">
        <f aca="false">I930*G930/1000</f>
        <v>0.62957125</v>
      </c>
      <c r="K930" s="11" t="s">
        <v>217</v>
      </c>
      <c r="L930" s="11" t="s">
        <v>19</v>
      </c>
      <c r="M930" s="11" t="s">
        <v>145</v>
      </c>
    </row>
    <row r="931" customFormat="false" ht="15" hidden="false" customHeight="false" outlineLevel="0" collapsed="false">
      <c r="A931" s="11" t="s">
        <v>108</v>
      </c>
      <c r="B931" s="11" t="s">
        <v>138</v>
      </c>
      <c r="C931" s="11" t="n">
        <v>22</v>
      </c>
      <c r="D931" s="11" t="s">
        <v>174</v>
      </c>
      <c r="E931" s="11" t="s">
        <v>178</v>
      </c>
      <c r="F931" s="11" t="s">
        <v>83</v>
      </c>
      <c r="G931" s="12" t="n">
        <v>300</v>
      </c>
      <c r="H931" s="12" t="n">
        <f aca="false">SUMPRODUCT(ПОТОКИ!B12:G12,ЧАСОВЫЕ_ПРОФИЛИ!B25:G25,КОЭФФИЦИЕНТЫ_ВЫБОРА!F32:K32)</f>
        <v>1.23125</v>
      </c>
      <c r="I931" s="12" t="n">
        <f aca="false">SUMPRODUCT(ПОТОКИ!B12:G12,ЧАСОВЫЕ_ПРОФИЛИ!B25:G25,КОЭФФИЦИЕНТЫ_ВЫБОРА!F32:K32,ПАРАМЕТРЫ!$B$17:$G$17)</f>
        <v>1.354375</v>
      </c>
      <c r="J931" s="12" t="n">
        <f aca="false">I931*G931/1000</f>
        <v>0.4063125</v>
      </c>
      <c r="K931" s="11" t="s">
        <v>217</v>
      </c>
      <c r="L931" s="11" t="s">
        <v>19</v>
      </c>
      <c r="M931" s="11" t="s">
        <v>145</v>
      </c>
    </row>
    <row r="932" customFormat="false" ht="15" hidden="false" customHeight="false" outlineLevel="0" collapsed="false">
      <c r="A932" s="11" t="s">
        <v>108</v>
      </c>
      <c r="B932" s="11" t="s">
        <v>138</v>
      </c>
      <c r="C932" s="11" t="n">
        <v>23</v>
      </c>
      <c r="D932" s="11" t="s">
        <v>86</v>
      </c>
      <c r="E932" s="11" t="s">
        <v>179</v>
      </c>
      <c r="F932" s="11" t="s">
        <v>85</v>
      </c>
      <c r="G932" s="12" t="n">
        <v>150</v>
      </c>
      <c r="H932" s="12" t="n">
        <f aca="false">SUMPRODUCT(ПОТОКИ!B12:G12,ЧАСОВЫЕ_ПРОФИЛИ!B25:G25,КОЭФФИЦИЕНТЫ_ВЫБОРА!F33:K33)</f>
        <v>1.07040875</v>
      </c>
      <c r="I932" s="12" t="n">
        <f aca="false">SUMPRODUCT(ПОТОКИ!B12:G12,ЧАСОВЫЕ_ПРОФИЛИ!B25:G25,КОЭФФИЦИЕНТЫ_ВЫБОРА!F33:K33,ПАРАМЕТРЫ!$B$17:$G$17)</f>
        <v>1.177449625</v>
      </c>
      <c r="J932" s="12" t="n">
        <f aca="false">I932*G932/1000</f>
        <v>0.17661744375</v>
      </c>
      <c r="K932" s="11" t="s">
        <v>217</v>
      </c>
      <c r="L932" s="11" t="s">
        <v>19</v>
      </c>
      <c r="M932" s="11" t="s">
        <v>147</v>
      </c>
    </row>
    <row r="933" customFormat="false" ht="15" hidden="false" customHeight="false" outlineLevel="0" collapsed="false">
      <c r="A933" s="11" t="s">
        <v>108</v>
      </c>
      <c r="B933" s="11" t="s">
        <v>138</v>
      </c>
      <c r="C933" s="11" t="n">
        <v>24</v>
      </c>
      <c r="D933" s="11" t="s">
        <v>86</v>
      </c>
      <c r="E933" s="11" t="s">
        <v>180</v>
      </c>
      <c r="F933" s="11" t="s">
        <v>85</v>
      </c>
      <c r="G933" s="12" t="n">
        <v>150</v>
      </c>
      <c r="H933" s="12" t="n">
        <f aca="false">SUMPRODUCT(ПОТОКИ!B12:G12,ЧАСОВЫЕ_ПРОФИЛИ!B25:G25,КОЭФФИЦИЕНТЫ_ВЫБОРА!F34:K34)</f>
        <v>0.575845</v>
      </c>
      <c r="I933" s="12" t="n">
        <f aca="false">SUMPRODUCT(ПОТОКИ!B12:G12,ЧАСОВЫЕ_ПРОФИЛИ!B25:G25,КОЭФФИЦИЕНТЫ_ВЫБОРА!F34:K34,ПАРАМЕТРЫ!$B$17:$G$17)</f>
        <v>0.6334295</v>
      </c>
      <c r="J933" s="12" t="n">
        <f aca="false">I933*G933/1000</f>
        <v>0.095014425</v>
      </c>
      <c r="K933" s="11" t="s">
        <v>217</v>
      </c>
      <c r="L933" s="11" t="s">
        <v>19</v>
      </c>
      <c r="M933" s="11" t="s">
        <v>147</v>
      </c>
    </row>
    <row r="934" customFormat="false" ht="15" hidden="false" customHeight="false" outlineLevel="0" collapsed="false">
      <c r="A934" s="11" t="s">
        <v>108</v>
      </c>
      <c r="B934" s="11" t="s">
        <v>138</v>
      </c>
      <c r="C934" s="11" t="n">
        <v>25</v>
      </c>
      <c r="D934" s="11" t="s">
        <v>86</v>
      </c>
      <c r="E934" s="11" t="s">
        <v>181</v>
      </c>
      <c r="F934" s="11" t="s">
        <v>85</v>
      </c>
      <c r="G934" s="12" t="n">
        <v>150</v>
      </c>
      <c r="H934" s="12" t="n">
        <f aca="false">SUMPRODUCT(ПОТОКИ!B12:G12,ЧАСОВЫЕ_ПРОФИЛИ!B25:G25,КОЭФФИЦИЕНТЫ_ВЫБОРА!F35:K35)</f>
        <v>1.23297125</v>
      </c>
      <c r="I934" s="12" t="n">
        <f aca="false">SUMPRODUCT(ПОТОКИ!B12:G12,ЧАСОВЫЕ_ПРОФИЛИ!B25:G25,КОЭФФИЦИЕНТЫ_ВЫБОРА!F35:K35,ПАРАМЕТРЫ!$B$17:$G$17)</f>
        <v>1.356268375</v>
      </c>
      <c r="J934" s="12" t="n">
        <f aca="false">I934*G934/1000</f>
        <v>0.20344025625</v>
      </c>
      <c r="K934" s="11" t="s">
        <v>217</v>
      </c>
      <c r="L934" s="11" t="s">
        <v>19</v>
      </c>
      <c r="M934" s="11" t="s">
        <v>147</v>
      </c>
    </row>
    <row r="935" customFormat="false" ht="23.85" hidden="false" customHeight="false" outlineLevel="0" collapsed="false">
      <c r="A935" s="11" t="s">
        <v>108</v>
      </c>
      <c r="B935" s="11" t="s">
        <v>138</v>
      </c>
      <c r="C935" s="11" t="n">
        <v>26</v>
      </c>
      <c r="D935" s="11" t="s">
        <v>89</v>
      </c>
      <c r="E935" s="11" t="s">
        <v>182</v>
      </c>
      <c r="F935" s="11" t="s">
        <v>88</v>
      </c>
      <c r="G935" s="12" t="n">
        <v>225</v>
      </c>
      <c r="H935" s="12" t="n">
        <f aca="false">SUMPRODUCT(ПОТОКИ!B12:G12,ЧАСОВЫЕ_ПРОФИЛИ!B25:G25,КОЭФФИЦИЕНТЫ_ВЫБОРА!F36:K36)</f>
        <v>0</v>
      </c>
      <c r="I935" s="12" t="n">
        <f aca="false">SUMPRODUCT(ПОТОКИ!B12:G12,ЧАСОВЫЕ_ПРОФИЛИ!B25:G25,КОЭФФИЦИЕНТЫ_ВЫБОРА!F36:K36,ПАРАМЕТРЫ!$B$17:$G$17)</f>
        <v>0</v>
      </c>
      <c r="J935" s="12" t="n">
        <f aca="false">I935*G935/1000</f>
        <v>0</v>
      </c>
      <c r="K935" s="11" t="s">
        <v>217</v>
      </c>
      <c r="L935" s="11" t="s">
        <v>19</v>
      </c>
      <c r="M935" s="11" t="s">
        <v>145</v>
      </c>
    </row>
    <row r="936" customFormat="false" ht="23.85" hidden="false" customHeight="false" outlineLevel="0" collapsed="false">
      <c r="A936" s="11" t="s">
        <v>108</v>
      </c>
      <c r="B936" s="11" t="s">
        <v>138</v>
      </c>
      <c r="C936" s="11" t="n">
        <v>27</v>
      </c>
      <c r="D936" s="11" t="s">
        <v>89</v>
      </c>
      <c r="E936" s="11" t="s">
        <v>183</v>
      </c>
      <c r="F936" s="11" t="s">
        <v>88</v>
      </c>
      <c r="G936" s="12" t="n">
        <v>265</v>
      </c>
      <c r="H936" s="12" t="n">
        <f aca="false">SUMPRODUCT(ПОТОКИ!B12:G12,ЧАСОВЫЕ_ПРОФИЛИ!B25:G25,КОЭФФИЦИЕНТЫ_ВЫБОРА!F37:K37)</f>
        <v>0</v>
      </c>
      <c r="I936" s="12" t="n">
        <f aca="false">SUMPRODUCT(ПОТОКИ!B12:G12,ЧАСОВЫЕ_ПРОФИЛИ!B25:G25,КОЭФФИЦИЕНТЫ_ВЫБОРА!F37:K37,ПАРАМЕТРЫ!$B$17:$G$17)</f>
        <v>0</v>
      </c>
      <c r="J936" s="12" t="n">
        <f aca="false">I936*G936/1000</f>
        <v>0</v>
      </c>
      <c r="K936" s="11" t="s">
        <v>217</v>
      </c>
      <c r="L936" s="11" t="s">
        <v>19</v>
      </c>
      <c r="M936" s="11" t="s">
        <v>145</v>
      </c>
    </row>
    <row r="937" customFormat="false" ht="23.85" hidden="false" customHeight="false" outlineLevel="0" collapsed="false">
      <c r="A937" s="11" t="s">
        <v>108</v>
      </c>
      <c r="B937" s="11" t="s">
        <v>138</v>
      </c>
      <c r="C937" s="11" t="n">
        <v>28</v>
      </c>
      <c r="D937" s="11" t="s">
        <v>89</v>
      </c>
      <c r="E937" s="11" t="s">
        <v>184</v>
      </c>
      <c r="F937" s="11" t="s">
        <v>88</v>
      </c>
      <c r="G937" s="12" t="n">
        <v>355</v>
      </c>
      <c r="H937" s="12" t="n">
        <f aca="false">SUMPRODUCT(ПОТОКИ!B12:G12,ЧАСОВЫЕ_ПРОФИЛИ!B25:G25,КОЭФФИЦИЕНТЫ_ВЫБОРА!F38:K38)</f>
        <v>0</v>
      </c>
      <c r="I937" s="12" t="n">
        <f aca="false">SUMPRODUCT(ПОТОКИ!B12:G12,ЧАСОВЫЕ_ПРОФИЛИ!B25:G25,КОЭФФИЦИЕНТЫ_ВЫБОРА!F38:K38,ПАРАМЕТРЫ!$B$17:$G$17)</f>
        <v>0</v>
      </c>
      <c r="J937" s="12" t="n">
        <f aca="false">I937*G937/1000</f>
        <v>0</v>
      </c>
      <c r="K937" s="11" t="s">
        <v>217</v>
      </c>
      <c r="L937" s="11" t="s">
        <v>19</v>
      </c>
      <c r="M937" s="11" t="s">
        <v>145</v>
      </c>
    </row>
    <row r="938" customFormat="false" ht="15" hidden="false" customHeight="false" outlineLevel="0" collapsed="false">
      <c r="A938" s="11" t="s">
        <v>108</v>
      </c>
      <c r="B938" s="11" t="s">
        <v>138</v>
      </c>
      <c r="C938" s="11" t="n">
        <v>29</v>
      </c>
      <c r="D938" s="11" t="s">
        <v>92</v>
      </c>
      <c r="E938" s="11" t="s">
        <v>185</v>
      </c>
      <c r="F938" s="11" t="s">
        <v>91</v>
      </c>
      <c r="G938" s="12" t="n">
        <v>150</v>
      </c>
      <c r="H938" s="12" t="n">
        <f aca="false">SUMPRODUCT(ПОТОКИ!B12:G12,ЧАСОВЫЕ_ПРОФИЛИ!B25:G25,КОЭФФИЦИЕНТЫ_ВЫБОРА!F39:K39)</f>
        <v>0.228</v>
      </c>
      <c r="I938" s="12" t="n">
        <f aca="false">SUMPRODUCT(ПОТОКИ!B12:G12,ЧАСОВЫЕ_ПРОФИЛИ!B25:G25,КОЭФФИЦИЕНТЫ_ВЫБОРА!F39:K39,ПАРАМЕТРЫ!$B$17:$G$17)</f>
        <v>0.2508</v>
      </c>
      <c r="J938" s="12" t="n">
        <f aca="false">I938*G938/1000</f>
        <v>0.03762</v>
      </c>
      <c r="K938" s="11" t="s">
        <v>217</v>
      </c>
      <c r="L938" s="11" t="s">
        <v>19</v>
      </c>
      <c r="M938" s="11" t="s">
        <v>145</v>
      </c>
    </row>
    <row r="939" customFormat="false" ht="15" hidden="false" customHeight="false" outlineLevel="0" collapsed="false">
      <c r="A939" s="11" t="s">
        <v>108</v>
      </c>
      <c r="B939" s="11" t="s">
        <v>138</v>
      </c>
      <c r="C939" s="11" t="n">
        <v>30</v>
      </c>
      <c r="D939" s="11" t="s">
        <v>92</v>
      </c>
      <c r="E939" s="11" t="s">
        <v>186</v>
      </c>
      <c r="F939" s="11" t="s">
        <v>91</v>
      </c>
      <c r="G939" s="12" t="n">
        <v>120</v>
      </c>
      <c r="H939" s="12" t="n">
        <f aca="false">SUMPRODUCT(ПОТОКИ!B12:G12,ЧАСОВЫЕ_ПРОФИЛИ!B25:G25,КОЭФФИЦИЕНТЫ_ВЫБОРА!F40:K40)</f>
        <v>0.478</v>
      </c>
      <c r="I939" s="12" t="n">
        <f aca="false">SUMPRODUCT(ПОТОКИ!B12:G12,ЧАСОВЫЕ_ПРОФИЛИ!B25:G25,КОЭФФИЦИЕНТЫ_ВЫБОРА!F40:K40,ПАРАМЕТРЫ!$B$17:$G$17)</f>
        <v>0.5258</v>
      </c>
      <c r="J939" s="12" t="n">
        <f aca="false">I939*G939/1000</f>
        <v>0.063096</v>
      </c>
      <c r="K939" s="11" t="s">
        <v>217</v>
      </c>
      <c r="L939" s="11" t="s">
        <v>19</v>
      </c>
      <c r="M939" s="11" t="s">
        <v>145</v>
      </c>
    </row>
    <row r="940" customFormat="false" ht="15" hidden="false" customHeight="false" outlineLevel="0" collapsed="false">
      <c r="A940" s="11" t="s">
        <v>108</v>
      </c>
      <c r="B940" s="11" t="s">
        <v>138</v>
      </c>
      <c r="C940" s="11" t="n">
        <v>31</v>
      </c>
      <c r="D940" s="11" t="s">
        <v>92</v>
      </c>
      <c r="E940" s="11" t="s">
        <v>187</v>
      </c>
      <c r="F940" s="11" t="s">
        <v>91</v>
      </c>
      <c r="G940" s="12" t="n">
        <v>60</v>
      </c>
      <c r="H940" s="12" t="n">
        <f aca="false">SUMPRODUCT(ПОТОКИ!B12:G12,ЧАСОВЫЕ_ПРОФИЛИ!B25:G25,КОЭФФИЦИЕНТЫ_ВЫБОРА!F41:K41)</f>
        <v>0.144</v>
      </c>
      <c r="I940" s="12" t="n">
        <f aca="false">SUMPRODUCT(ПОТОКИ!B12:G12,ЧАСОВЫЕ_ПРОФИЛИ!B25:G25,КОЭФФИЦИЕНТЫ_ВЫБОРА!F41:K41,ПАРАМЕТРЫ!$B$17:$G$17)</f>
        <v>0.1584</v>
      </c>
      <c r="J940" s="12" t="n">
        <f aca="false">I940*G940/1000</f>
        <v>0.009504</v>
      </c>
      <c r="K940" s="11" t="s">
        <v>217</v>
      </c>
      <c r="L940" s="11" t="s">
        <v>19</v>
      </c>
      <c r="M940" s="11" t="s">
        <v>145</v>
      </c>
    </row>
    <row r="941" customFormat="false" ht="15" hidden="false" customHeight="false" outlineLevel="0" collapsed="false">
      <c r="A941" s="11" t="s">
        <v>109</v>
      </c>
      <c r="B941" s="11" t="s">
        <v>124</v>
      </c>
      <c r="C941" s="11" t="n">
        <v>1</v>
      </c>
      <c r="D941" s="11" t="s">
        <v>74</v>
      </c>
      <c r="E941" s="11" t="s">
        <v>153</v>
      </c>
      <c r="F941" s="11" t="s">
        <v>73</v>
      </c>
      <c r="G941" s="12" t="n">
        <v>450</v>
      </c>
      <c r="H941" s="12" t="n">
        <f aca="false">SUMPRODUCT(ПОТОКИ!B13:G13,ЧАСОВЫЕ_ПРОФИЛИ!B11:G11,КОЭФФИЦИЕНТЫ_ВЫБОРА!F11:K11)</f>
        <v>0</v>
      </c>
      <c r="I941" s="12" t="n">
        <f aca="false">SUMPRODUCT(ПОТОКИ!B13:G13,ЧАСОВЫЕ_ПРОФИЛИ!B11:G11,КОЭФФИЦИЕНТЫ_ВЫБОРА!F11:K11,ПАРАМЕТРЫ!$B$17:$G$17)</f>
        <v>0</v>
      </c>
      <c r="J941" s="12" t="n">
        <f aca="false">I941*G941/1000</f>
        <v>0</v>
      </c>
      <c r="K941" s="11" t="s">
        <v>217</v>
      </c>
      <c r="L941" s="11" t="s">
        <v>19</v>
      </c>
      <c r="M941" s="11" t="s">
        <v>145</v>
      </c>
    </row>
    <row r="942" customFormat="false" ht="15" hidden="false" customHeight="false" outlineLevel="0" collapsed="false">
      <c r="A942" s="11" t="s">
        <v>109</v>
      </c>
      <c r="B942" s="11" t="s">
        <v>124</v>
      </c>
      <c r="C942" s="11" t="n">
        <v>2</v>
      </c>
      <c r="D942" s="11" t="s">
        <v>74</v>
      </c>
      <c r="E942" s="11" t="s">
        <v>154</v>
      </c>
      <c r="F942" s="11" t="s">
        <v>73</v>
      </c>
      <c r="G942" s="12" t="n">
        <v>480</v>
      </c>
      <c r="H942" s="12" t="n">
        <f aca="false">SUMPRODUCT(ПОТОКИ!B13:G13,ЧАСОВЫЕ_ПРОФИЛИ!B11:G11,КОЭФФИЦИЕНТЫ_ВЫБОРА!F12:K12)</f>
        <v>0</v>
      </c>
      <c r="I942" s="12" t="n">
        <f aca="false">SUMPRODUCT(ПОТОКИ!B13:G13,ЧАСОВЫЕ_ПРОФИЛИ!B11:G11,КОЭФФИЦИЕНТЫ_ВЫБОРА!F12:K12,ПАРАМЕТРЫ!$B$17:$G$17)</f>
        <v>0</v>
      </c>
      <c r="J942" s="12" t="n">
        <f aca="false">I942*G942/1000</f>
        <v>0</v>
      </c>
      <c r="K942" s="11" t="s">
        <v>217</v>
      </c>
      <c r="L942" s="11" t="s">
        <v>19</v>
      </c>
      <c r="M942" s="11" t="s">
        <v>145</v>
      </c>
    </row>
    <row r="943" customFormat="false" ht="15" hidden="false" customHeight="false" outlineLevel="0" collapsed="false">
      <c r="A943" s="11" t="s">
        <v>109</v>
      </c>
      <c r="B943" s="11" t="s">
        <v>124</v>
      </c>
      <c r="C943" s="11" t="n">
        <v>3</v>
      </c>
      <c r="D943" s="11" t="s">
        <v>74</v>
      </c>
      <c r="E943" s="11" t="s">
        <v>155</v>
      </c>
      <c r="F943" s="11" t="s">
        <v>73</v>
      </c>
      <c r="G943" s="12" t="n">
        <v>500</v>
      </c>
      <c r="H943" s="12" t="n">
        <f aca="false">SUMPRODUCT(ПОТОКИ!B13:G13,ЧАСОВЫЕ_ПРОФИЛИ!B11:G11,КОЭФФИЦИЕНТЫ_ВЫБОРА!F13:K13)</f>
        <v>0</v>
      </c>
      <c r="I943" s="12" t="n">
        <f aca="false">SUMPRODUCT(ПОТОКИ!B13:G13,ЧАСОВЫЕ_ПРОФИЛИ!B11:G11,КОЭФФИЦИЕНТЫ_ВЫБОРА!F13:K13,ПАРАМЕТРЫ!$B$17:$G$17)</f>
        <v>0</v>
      </c>
      <c r="J943" s="12" t="n">
        <f aca="false">I943*G943/1000</f>
        <v>0</v>
      </c>
      <c r="K943" s="11" t="s">
        <v>217</v>
      </c>
      <c r="L943" s="11" t="s">
        <v>19</v>
      </c>
      <c r="M943" s="11" t="s">
        <v>145</v>
      </c>
    </row>
    <row r="944" customFormat="false" ht="15" hidden="false" customHeight="false" outlineLevel="0" collapsed="false">
      <c r="A944" s="11" t="s">
        <v>109</v>
      </c>
      <c r="B944" s="11" t="s">
        <v>124</v>
      </c>
      <c r="C944" s="11" t="n">
        <v>4</v>
      </c>
      <c r="D944" s="11" t="s">
        <v>74</v>
      </c>
      <c r="E944" s="11" t="s">
        <v>156</v>
      </c>
      <c r="F944" s="11" t="s">
        <v>73</v>
      </c>
      <c r="G944" s="12" t="n">
        <v>500</v>
      </c>
      <c r="H944" s="12" t="n">
        <f aca="false">SUMPRODUCT(ПОТОКИ!B13:G13,ЧАСОВЫЕ_ПРОФИЛИ!B11:G11,КОЭФФИЦИЕНТЫ_ВЫБОРА!F14:K14)</f>
        <v>0</v>
      </c>
      <c r="I944" s="12" t="n">
        <f aca="false">SUMPRODUCT(ПОТОКИ!B13:G13,ЧАСОВЫЕ_ПРОФИЛИ!B11:G11,КОЭФФИЦИЕНТЫ_ВЫБОРА!F14:K14,ПАРАМЕТРЫ!$B$17:$G$17)</f>
        <v>0</v>
      </c>
      <c r="J944" s="12" t="n">
        <f aca="false">I944*G944/1000</f>
        <v>0</v>
      </c>
      <c r="K944" s="11" t="s">
        <v>217</v>
      </c>
      <c r="L944" s="11" t="s">
        <v>19</v>
      </c>
      <c r="M944" s="11" t="s">
        <v>145</v>
      </c>
    </row>
    <row r="945" customFormat="false" ht="15" hidden="false" customHeight="false" outlineLevel="0" collapsed="false">
      <c r="A945" s="11" t="s">
        <v>109</v>
      </c>
      <c r="B945" s="11" t="s">
        <v>124</v>
      </c>
      <c r="C945" s="11" t="n">
        <v>5</v>
      </c>
      <c r="D945" s="11" t="s">
        <v>78</v>
      </c>
      <c r="E945" s="11" t="s">
        <v>157</v>
      </c>
      <c r="F945" s="11" t="s">
        <v>77</v>
      </c>
      <c r="G945" s="12" t="n">
        <v>100</v>
      </c>
      <c r="H945" s="12" t="n">
        <f aca="false">SUMPRODUCT(ПОТОКИ!B13:G13,ЧАСОВЫЕ_ПРОФИЛИ!B11:G11,КОЭФФИЦИЕНТЫ_ВЫБОРА!F15:K15)</f>
        <v>0.108</v>
      </c>
      <c r="I945" s="12" t="n">
        <f aca="false">SUMPRODUCT(ПОТОКИ!B13:G13,ЧАСОВЫЕ_ПРОФИЛИ!B11:G11,КОЭФФИЦИЕНТЫ_ВЫБОРА!F15:K15,ПАРАМЕТРЫ!$B$17:$G$17)</f>
        <v>0.1188</v>
      </c>
      <c r="J945" s="12" t="n">
        <f aca="false">I945*G945/1000</f>
        <v>0.01188</v>
      </c>
      <c r="K945" s="11" t="s">
        <v>217</v>
      </c>
      <c r="L945" s="11" t="s">
        <v>19</v>
      </c>
      <c r="M945" s="11" t="s">
        <v>147</v>
      </c>
    </row>
    <row r="946" customFormat="false" ht="15" hidden="false" customHeight="false" outlineLevel="0" collapsed="false">
      <c r="A946" s="11" t="s">
        <v>109</v>
      </c>
      <c r="B946" s="11" t="s">
        <v>124</v>
      </c>
      <c r="C946" s="11" t="n">
        <v>6</v>
      </c>
      <c r="D946" s="11" t="s">
        <v>78</v>
      </c>
      <c r="E946" s="11" t="s">
        <v>158</v>
      </c>
      <c r="F946" s="11" t="s">
        <v>77</v>
      </c>
      <c r="G946" s="12" t="n">
        <v>100</v>
      </c>
      <c r="H946" s="12" t="n">
        <f aca="false">SUMPRODUCT(ПОТОКИ!B13:G13,ЧАСОВЫЕ_ПРОФИЛИ!B11:G11,КОЭФФИЦИЕНТЫ_ВЫБОРА!F16:K16)</f>
        <v>0.108</v>
      </c>
      <c r="I946" s="12" t="n">
        <f aca="false">SUMPRODUCT(ПОТОКИ!B13:G13,ЧАСОВЫЕ_ПРОФИЛИ!B11:G11,КОЭФФИЦИЕНТЫ_ВЫБОРА!F16:K16,ПАРАМЕТРЫ!$B$17:$G$17)</f>
        <v>0.1188</v>
      </c>
      <c r="J946" s="12" t="n">
        <f aca="false">I946*G946/1000</f>
        <v>0.01188</v>
      </c>
      <c r="K946" s="11" t="s">
        <v>217</v>
      </c>
      <c r="L946" s="11" t="s">
        <v>19</v>
      </c>
      <c r="M946" s="11" t="s">
        <v>147</v>
      </c>
    </row>
    <row r="947" customFormat="false" ht="15" hidden="false" customHeight="false" outlineLevel="0" collapsed="false">
      <c r="A947" s="11" t="s">
        <v>109</v>
      </c>
      <c r="B947" s="11" t="s">
        <v>124</v>
      </c>
      <c r="C947" s="11" t="n">
        <v>7</v>
      </c>
      <c r="D947" s="11" t="s">
        <v>78</v>
      </c>
      <c r="E947" s="11" t="s">
        <v>159</v>
      </c>
      <c r="F947" s="11" t="s">
        <v>77</v>
      </c>
      <c r="G947" s="12" t="n">
        <v>350</v>
      </c>
      <c r="H947" s="12" t="n">
        <f aca="false">SUMPRODUCT(ПОТОКИ!B13:G13,ЧАСОВЫЕ_ПРОФИЛИ!B11:G11,КОЭФФИЦИЕНТЫ_ВЫБОРА!F17:K17)</f>
        <v>0.09</v>
      </c>
      <c r="I947" s="12" t="n">
        <f aca="false">SUMPRODUCT(ПОТОКИ!B13:G13,ЧАСОВЫЕ_ПРОФИЛИ!B11:G11,КОЭФФИЦИЕНТЫ_ВЫБОРА!F17:K17,ПАРАМЕТРЫ!$B$17:$G$17)</f>
        <v>0.099</v>
      </c>
      <c r="J947" s="12" t="n">
        <f aca="false">I947*G947/1000</f>
        <v>0.03465</v>
      </c>
      <c r="K947" s="11" t="s">
        <v>217</v>
      </c>
      <c r="L947" s="11" t="s">
        <v>19</v>
      </c>
      <c r="M947" s="11" t="s">
        <v>147</v>
      </c>
    </row>
    <row r="948" customFormat="false" ht="15" hidden="false" customHeight="false" outlineLevel="0" collapsed="false">
      <c r="A948" s="11" t="s">
        <v>109</v>
      </c>
      <c r="B948" s="11" t="s">
        <v>124</v>
      </c>
      <c r="C948" s="11" t="n">
        <v>8</v>
      </c>
      <c r="D948" s="11" t="s">
        <v>78</v>
      </c>
      <c r="E948" s="11" t="s">
        <v>160</v>
      </c>
      <c r="F948" s="11" t="s">
        <v>77</v>
      </c>
      <c r="G948" s="12" t="n">
        <v>85</v>
      </c>
      <c r="H948" s="12" t="n">
        <f aca="false">SUMPRODUCT(ПОТОКИ!B13:G13,ЧАСОВЫЕ_ПРОФИЛИ!B11:G11,КОЭФФИЦИЕНТЫ_ВЫБОРА!F18:K18)</f>
        <v>0.054</v>
      </c>
      <c r="I948" s="12" t="n">
        <f aca="false">SUMPRODUCT(ПОТОКИ!B13:G13,ЧАСОВЫЕ_ПРОФИЛИ!B11:G11,КОЭФФИЦИЕНТЫ_ВЫБОРА!F18:K18,ПАРАМЕТРЫ!$B$17:$G$17)</f>
        <v>0.0594</v>
      </c>
      <c r="J948" s="12" t="n">
        <f aca="false">I948*G948/1000</f>
        <v>0.005049</v>
      </c>
      <c r="K948" s="11" t="s">
        <v>217</v>
      </c>
      <c r="L948" s="11" t="s">
        <v>19</v>
      </c>
      <c r="M948" s="11" t="s">
        <v>147</v>
      </c>
    </row>
    <row r="949" customFormat="false" ht="15" hidden="false" customHeight="false" outlineLevel="0" collapsed="false">
      <c r="A949" s="11" t="s">
        <v>109</v>
      </c>
      <c r="B949" s="11" t="s">
        <v>124</v>
      </c>
      <c r="C949" s="11" t="n">
        <v>9</v>
      </c>
      <c r="D949" s="11" t="s">
        <v>161</v>
      </c>
      <c r="E949" s="11" t="s">
        <v>162</v>
      </c>
      <c r="F949" s="11" t="s">
        <v>80</v>
      </c>
      <c r="G949" s="12" t="n">
        <v>300</v>
      </c>
      <c r="H949" s="12" t="n">
        <f aca="false">SUMPRODUCT(ПОТОКИ!B13:G13,ЧАСОВЫЕ_ПРОФИЛИ!B11:G11,КОЭФФИЦИЕНТЫ_ВЫБОРА!F19:K19)</f>
        <v>0</v>
      </c>
      <c r="I949" s="12" t="n">
        <f aca="false">SUMPRODUCT(ПОТОКИ!B13:G13,ЧАСОВЫЕ_ПРОФИЛИ!B11:G11,КОЭФФИЦИЕНТЫ_ВЫБОРА!F19:K19,ПАРАМЕТРЫ!$B$17:$G$17)</f>
        <v>0</v>
      </c>
      <c r="J949" s="12" t="n">
        <f aca="false">I949*G949/1000</f>
        <v>0</v>
      </c>
      <c r="K949" s="11" t="s">
        <v>217</v>
      </c>
      <c r="L949" s="11" t="s">
        <v>19</v>
      </c>
      <c r="M949" s="11" t="s">
        <v>145</v>
      </c>
    </row>
    <row r="950" customFormat="false" ht="15" hidden="false" customHeight="false" outlineLevel="0" collapsed="false">
      <c r="A950" s="11" t="s">
        <v>109</v>
      </c>
      <c r="B950" s="11" t="s">
        <v>124</v>
      </c>
      <c r="C950" s="11" t="n">
        <v>10</v>
      </c>
      <c r="D950" s="11" t="s">
        <v>161</v>
      </c>
      <c r="E950" s="11" t="s">
        <v>163</v>
      </c>
      <c r="F950" s="11" t="s">
        <v>80</v>
      </c>
      <c r="G950" s="12" t="n">
        <v>280</v>
      </c>
      <c r="H950" s="12" t="n">
        <f aca="false">SUMPRODUCT(ПОТОКИ!B13:G13,ЧАСОВЫЕ_ПРОФИЛИ!B11:G11,КОЭФФИЦИЕНТЫ_ВЫБОРА!F20:K20)</f>
        <v>0</v>
      </c>
      <c r="I950" s="12" t="n">
        <f aca="false">SUMPRODUCT(ПОТОКИ!B13:G13,ЧАСОВЫЕ_ПРОФИЛИ!B11:G11,КОЭФФИЦИЕНТЫ_ВЫБОРА!F20:K20,ПАРАМЕТРЫ!$B$17:$G$17)</f>
        <v>0</v>
      </c>
      <c r="J950" s="12" t="n">
        <f aca="false">I950*G950/1000</f>
        <v>0</v>
      </c>
      <c r="K950" s="11" t="s">
        <v>217</v>
      </c>
      <c r="L950" s="11" t="s">
        <v>19</v>
      </c>
      <c r="M950" s="11" t="s">
        <v>145</v>
      </c>
    </row>
    <row r="951" customFormat="false" ht="15" hidden="false" customHeight="false" outlineLevel="0" collapsed="false">
      <c r="A951" s="11" t="s">
        <v>109</v>
      </c>
      <c r="B951" s="11" t="s">
        <v>124</v>
      </c>
      <c r="C951" s="11" t="n">
        <v>11</v>
      </c>
      <c r="D951" s="11" t="s">
        <v>161</v>
      </c>
      <c r="E951" s="11" t="s">
        <v>164</v>
      </c>
      <c r="F951" s="11" t="s">
        <v>80</v>
      </c>
      <c r="G951" s="12" t="n">
        <v>270</v>
      </c>
      <c r="H951" s="12" t="n">
        <f aca="false">SUMPRODUCT(ПОТОКИ!B13:G13,ЧАСОВЫЕ_ПРОФИЛИ!B11:G11,КОЭФФИЦИЕНТЫ_ВЫБОРА!F21:K21)</f>
        <v>0</v>
      </c>
      <c r="I951" s="12" t="n">
        <f aca="false">SUMPRODUCT(ПОТОКИ!B13:G13,ЧАСОВЫЕ_ПРОФИЛИ!B11:G11,КОЭФФИЦИЕНТЫ_ВЫБОРА!F21:K21,ПАРАМЕТРЫ!$B$17:$G$17)</f>
        <v>0</v>
      </c>
      <c r="J951" s="12" t="n">
        <f aca="false">I951*G951/1000</f>
        <v>0</v>
      </c>
      <c r="K951" s="11" t="s">
        <v>217</v>
      </c>
      <c r="L951" s="11" t="s">
        <v>19</v>
      </c>
      <c r="M951" s="11" t="s">
        <v>145</v>
      </c>
    </row>
    <row r="952" customFormat="false" ht="15" hidden="false" customHeight="false" outlineLevel="0" collapsed="false">
      <c r="A952" s="11" t="s">
        <v>109</v>
      </c>
      <c r="B952" s="11" t="s">
        <v>124</v>
      </c>
      <c r="C952" s="11" t="n">
        <v>12</v>
      </c>
      <c r="D952" s="11" t="s">
        <v>161</v>
      </c>
      <c r="E952" s="11" t="s">
        <v>165</v>
      </c>
      <c r="F952" s="11" t="s">
        <v>80</v>
      </c>
      <c r="G952" s="12" t="n">
        <v>240</v>
      </c>
      <c r="H952" s="12" t="n">
        <f aca="false">SUMPRODUCT(ПОТОКИ!B13:G13,ЧАСОВЫЕ_ПРОФИЛИ!B11:G11,КОЭФФИЦИЕНТЫ_ВЫБОРА!F22:K22)</f>
        <v>0</v>
      </c>
      <c r="I952" s="12" t="n">
        <f aca="false">SUMPRODUCT(ПОТОКИ!B13:G13,ЧАСОВЫЕ_ПРОФИЛИ!B11:G11,КОЭФФИЦИЕНТЫ_ВЫБОРА!F22:K22,ПАРАМЕТРЫ!$B$17:$G$17)</f>
        <v>0</v>
      </c>
      <c r="J952" s="12" t="n">
        <f aca="false">I952*G952/1000</f>
        <v>0</v>
      </c>
      <c r="K952" s="11" t="s">
        <v>217</v>
      </c>
      <c r="L952" s="11" t="s">
        <v>19</v>
      </c>
      <c r="M952" s="11" t="s">
        <v>145</v>
      </c>
    </row>
    <row r="953" customFormat="false" ht="15" hidden="false" customHeight="false" outlineLevel="0" collapsed="false">
      <c r="A953" s="11" t="s">
        <v>109</v>
      </c>
      <c r="B953" s="11" t="s">
        <v>124</v>
      </c>
      <c r="C953" s="11" t="n">
        <v>13</v>
      </c>
      <c r="D953" s="11" t="s">
        <v>166</v>
      </c>
      <c r="E953" s="11" t="s">
        <v>167</v>
      </c>
      <c r="F953" s="11" t="s">
        <v>80</v>
      </c>
      <c r="G953" s="12" t="n">
        <v>130</v>
      </c>
      <c r="H953" s="12" t="n">
        <f aca="false">SUMPRODUCT(ПОТОКИ!B13:G13,ЧАСОВЫЕ_ПРОФИЛИ!B11:G11,КОЭФФИЦИЕНТЫ_ВЫБОРА!F23:K23)</f>
        <v>0</v>
      </c>
      <c r="I953" s="12" t="n">
        <f aca="false">SUMPRODUCT(ПОТОКИ!B13:G13,ЧАСОВЫЕ_ПРОФИЛИ!B11:G11,КОЭФФИЦИЕНТЫ_ВЫБОРА!F23:K23,ПАРАМЕТРЫ!$B$17:$G$17)</f>
        <v>0</v>
      </c>
      <c r="J953" s="12" t="n">
        <f aca="false">I953*G953/1000</f>
        <v>0</v>
      </c>
      <c r="K953" s="11" t="s">
        <v>217</v>
      </c>
      <c r="L953" s="11" t="s">
        <v>19</v>
      </c>
      <c r="M953" s="11" t="s">
        <v>145</v>
      </c>
    </row>
    <row r="954" customFormat="false" ht="15" hidden="false" customHeight="false" outlineLevel="0" collapsed="false">
      <c r="A954" s="11" t="s">
        <v>109</v>
      </c>
      <c r="B954" s="11" t="s">
        <v>124</v>
      </c>
      <c r="C954" s="11" t="n">
        <v>14</v>
      </c>
      <c r="D954" s="11" t="s">
        <v>166</v>
      </c>
      <c r="E954" s="11" t="s">
        <v>168</v>
      </c>
      <c r="F954" s="11" t="s">
        <v>80</v>
      </c>
      <c r="G954" s="12" t="n">
        <v>250</v>
      </c>
      <c r="H954" s="12" t="n">
        <f aca="false">SUMPRODUCT(ПОТОКИ!B13:G13,ЧАСОВЫЕ_ПРОФИЛИ!B11:G11,КОЭФФИЦИЕНТЫ_ВЫБОРА!F24:K24)</f>
        <v>0</v>
      </c>
      <c r="I954" s="12" t="n">
        <f aca="false">SUMPRODUCT(ПОТОКИ!B13:G13,ЧАСОВЫЕ_ПРОФИЛИ!B11:G11,КОЭФФИЦИЕНТЫ_ВЫБОРА!F24:K24,ПАРАМЕТРЫ!$B$17:$G$17)</f>
        <v>0</v>
      </c>
      <c r="J954" s="12" t="n">
        <f aca="false">I954*G954/1000</f>
        <v>0</v>
      </c>
      <c r="K954" s="11" t="s">
        <v>217</v>
      </c>
      <c r="L954" s="11" t="s">
        <v>19</v>
      </c>
      <c r="M954" s="11" t="s">
        <v>145</v>
      </c>
    </row>
    <row r="955" customFormat="false" ht="15" hidden="false" customHeight="false" outlineLevel="0" collapsed="false">
      <c r="A955" s="11" t="s">
        <v>109</v>
      </c>
      <c r="B955" s="11" t="s">
        <v>124</v>
      </c>
      <c r="C955" s="11" t="n">
        <v>15</v>
      </c>
      <c r="D955" s="11" t="s">
        <v>166</v>
      </c>
      <c r="E955" s="11" t="s">
        <v>169</v>
      </c>
      <c r="F955" s="11" t="s">
        <v>80</v>
      </c>
      <c r="G955" s="12" t="n">
        <v>120</v>
      </c>
      <c r="H955" s="12" t="n">
        <f aca="false">SUMPRODUCT(ПОТОКИ!B13:G13,ЧАСОВЫЕ_ПРОФИЛИ!B11:G11,КОЭФФИЦИЕНТЫ_ВЫБОРА!F25:K25)</f>
        <v>0</v>
      </c>
      <c r="I955" s="12" t="n">
        <f aca="false">SUMPRODUCT(ПОТОКИ!B13:G13,ЧАСОВЫЕ_ПРОФИЛИ!B11:G11,КОЭФФИЦИЕНТЫ_ВЫБОРА!F25:K25,ПАРАМЕТРЫ!$B$17:$G$17)</f>
        <v>0</v>
      </c>
      <c r="J955" s="12" t="n">
        <f aca="false">I955*G955/1000</f>
        <v>0</v>
      </c>
      <c r="K955" s="11" t="s">
        <v>217</v>
      </c>
      <c r="L955" s="11" t="s">
        <v>19</v>
      </c>
      <c r="M955" s="11" t="s">
        <v>145</v>
      </c>
    </row>
    <row r="956" customFormat="false" ht="15" hidden="false" customHeight="false" outlineLevel="0" collapsed="false">
      <c r="A956" s="11" t="s">
        <v>109</v>
      </c>
      <c r="B956" s="11" t="s">
        <v>124</v>
      </c>
      <c r="C956" s="11" t="n">
        <v>16</v>
      </c>
      <c r="D956" s="11" t="s">
        <v>166</v>
      </c>
      <c r="E956" s="11" t="s">
        <v>170</v>
      </c>
      <c r="F956" s="11" t="s">
        <v>80</v>
      </c>
      <c r="G956" s="12" t="n">
        <v>180</v>
      </c>
      <c r="H956" s="12" t="n">
        <f aca="false">SUMPRODUCT(ПОТОКИ!B13:G13,ЧАСОВЫЕ_ПРОФИЛИ!B11:G11,КОЭФФИЦИЕНТЫ_ВЫБОРА!F26:K26)</f>
        <v>0</v>
      </c>
      <c r="I956" s="12" t="n">
        <f aca="false">SUMPRODUCT(ПОТОКИ!B13:G13,ЧАСОВЫЕ_ПРОФИЛИ!B11:G11,КОЭФФИЦИЕНТЫ_ВЫБОРА!F26:K26,ПАРАМЕТРЫ!$B$17:$G$17)</f>
        <v>0</v>
      </c>
      <c r="J956" s="12" t="n">
        <f aca="false">I956*G956/1000</f>
        <v>0</v>
      </c>
      <c r="K956" s="11" t="s">
        <v>217</v>
      </c>
      <c r="L956" s="11" t="s">
        <v>19</v>
      </c>
      <c r="M956" s="11" t="s">
        <v>145</v>
      </c>
    </row>
    <row r="957" customFormat="false" ht="15" hidden="false" customHeight="false" outlineLevel="0" collapsed="false">
      <c r="A957" s="11" t="s">
        <v>109</v>
      </c>
      <c r="B957" s="11" t="s">
        <v>124</v>
      </c>
      <c r="C957" s="11" t="n">
        <v>17</v>
      </c>
      <c r="D957" s="11" t="s">
        <v>166</v>
      </c>
      <c r="E957" s="11" t="s">
        <v>171</v>
      </c>
      <c r="F957" s="11" t="s">
        <v>80</v>
      </c>
      <c r="G957" s="12" t="n">
        <v>180</v>
      </c>
      <c r="H957" s="12" t="n">
        <f aca="false">SUMPRODUCT(ПОТОКИ!B13:G13,ЧАСОВЫЕ_ПРОФИЛИ!B11:G11,КОЭФФИЦИЕНТЫ_ВЫБОРА!F27:K27)</f>
        <v>0</v>
      </c>
      <c r="I957" s="12" t="n">
        <f aca="false">SUMPRODUCT(ПОТОКИ!B13:G13,ЧАСОВЫЕ_ПРОФИЛИ!B11:G11,КОЭФФИЦИЕНТЫ_ВЫБОРА!F27:K27,ПАРАМЕТРЫ!$B$17:$G$17)</f>
        <v>0</v>
      </c>
      <c r="J957" s="12" t="n">
        <f aca="false">I957*G957/1000</f>
        <v>0</v>
      </c>
      <c r="K957" s="11" t="s">
        <v>217</v>
      </c>
      <c r="L957" s="11" t="s">
        <v>19</v>
      </c>
      <c r="M957" s="11" t="s">
        <v>145</v>
      </c>
    </row>
    <row r="958" customFormat="false" ht="15" hidden="false" customHeight="false" outlineLevel="0" collapsed="false">
      <c r="A958" s="11" t="s">
        <v>109</v>
      </c>
      <c r="B958" s="11" t="s">
        <v>124</v>
      </c>
      <c r="C958" s="11" t="n">
        <v>18</v>
      </c>
      <c r="D958" s="11" t="s">
        <v>172</v>
      </c>
      <c r="E958" s="11" t="s">
        <v>173</v>
      </c>
      <c r="F958" s="11" t="s">
        <v>83</v>
      </c>
      <c r="G958" s="12" t="n">
        <v>400</v>
      </c>
      <c r="H958" s="12" t="n">
        <f aca="false">SUMPRODUCT(ПОТОКИ!B13:G13,ЧАСОВЫЕ_ПРОФИЛИ!B11:G11,КОЭФФИЦИЕНТЫ_ВЫБОРА!F28:K28)</f>
        <v>0</v>
      </c>
      <c r="I958" s="12" t="n">
        <f aca="false">SUMPRODUCT(ПОТОКИ!B13:G13,ЧАСОВЫЕ_ПРОФИЛИ!B11:G11,КОЭФФИЦИЕНТЫ_ВЫБОРА!F28:K28,ПАРАМЕТРЫ!$B$17:$G$17)</f>
        <v>0</v>
      </c>
      <c r="J958" s="12" t="n">
        <f aca="false">I958*G958/1000</f>
        <v>0</v>
      </c>
      <c r="K958" s="11" t="s">
        <v>217</v>
      </c>
      <c r="L958" s="11" t="s">
        <v>19</v>
      </c>
      <c r="M958" s="11" t="s">
        <v>145</v>
      </c>
    </row>
    <row r="959" customFormat="false" ht="23.85" hidden="false" customHeight="false" outlineLevel="0" collapsed="false">
      <c r="A959" s="11" t="s">
        <v>109</v>
      </c>
      <c r="B959" s="11" t="s">
        <v>124</v>
      </c>
      <c r="C959" s="11" t="n">
        <v>19</v>
      </c>
      <c r="D959" s="11" t="s">
        <v>174</v>
      </c>
      <c r="E959" s="11" t="s">
        <v>175</v>
      </c>
      <c r="F959" s="11" t="s">
        <v>83</v>
      </c>
      <c r="G959" s="12" t="n">
        <v>300</v>
      </c>
      <c r="H959" s="12" t="n">
        <f aca="false">SUMPRODUCT(ПОТОКИ!B13:G13,ЧАСОВЫЕ_ПРОФИЛИ!B11:G11,КОЭФФИЦИЕНТЫ_ВЫБОРА!F29:K29)</f>
        <v>0</v>
      </c>
      <c r="I959" s="12" t="n">
        <f aca="false">SUMPRODUCT(ПОТОКИ!B13:G13,ЧАСОВЫЕ_ПРОФИЛИ!B11:G11,КОЭФФИЦИЕНТЫ_ВЫБОРА!F29:K29,ПАРАМЕТРЫ!$B$17:$G$17)</f>
        <v>0</v>
      </c>
      <c r="J959" s="12" t="n">
        <f aca="false">I959*G959/1000</f>
        <v>0</v>
      </c>
      <c r="K959" s="11" t="s">
        <v>217</v>
      </c>
      <c r="L959" s="11" t="s">
        <v>19</v>
      </c>
      <c r="M959" s="11" t="s">
        <v>145</v>
      </c>
    </row>
    <row r="960" customFormat="false" ht="15" hidden="false" customHeight="false" outlineLevel="0" collapsed="false">
      <c r="A960" s="11" t="s">
        <v>109</v>
      </c>
      <c r="B960" s="11" t="s">
        <v>124</v>
      </c>
      <c r="C960" s="11" t="n">
        <v>20</v>
      </c>
      <c r="D960" s="11" t="s">
        <v>174</v>
      </c>
      <c r="E960" s="11" t="s">
        <v>176</v>
      </c>
      <c r="F960" s="11" t="s">
        <v>83</v>
      </c>
      <c r="G960" s="12" t="n">
        <v>360</v>
      </c>
      <c r="H960" s="12" t="n">
        <f aca="false">SUMPRODUCT(ПОТОКИ!B13:G13,ЧАСОВЫЕ_ПРОФИЛИ!B11:G11,КОЭФФИЦИЕНТЫ_ВЫБОРА!F30:K30)</f>
        <v>0</v>
      </c>
      <c r="I960" s="12" t="n">
        <f aca="false">SUMPRODUCT(ПОТОКИ!B13:G13,ЧАСОВЫЕ_ПРОФИЛИ!B11:G11,КОЭФФИЦИЕНТЫ_ВЫБОРА!F30:K30,ПАРАМЕТРЫ!$B$17:$G$17)</f>
        <v>0</v>
      </c>
      <c r="J960" s="12" t="n">
        <f aca="false">I960*G960/1000</f>
        <v>0</v>
      </c>
      <c r="K960" s="11" t="s">
        <v>217</v>
      </c>
      <c r="L960" s="11" t="s">
        <v>19</v>
      </c>
      <c r="M960" s="11" t="s">
        <v>145</v>
      </c>
    </row>
    <row r="961" customFormat="false" ht="15" hidden="false" customHeight="false" outlineLevel="0" collapsed="false">
      <c r="A961" s="11" t="s">
        <v>109</v>
      </c>
      <c r="B961" s="11" t="s">
        <v>124</v>
      </c>
      <c r="C961" s="11" t="n">
        <v>21</v>
      </c>
      <c r="D961" s="11" t="s">
        <v>174</v>
      </c>
      <c r="E961" s="11" t="s">
        <v>177</v>
      </c>
      <c r="F961" s="11" t="s">
        <v>83</v>
      </c>
      <c r="G961" s="12" t="n">
        <v>350</v>
      </c>
      <c r="H961" s="12" t="n">
        <f aca="false">SUMPRODUCT(ПОТОКИ!B13:G13,ЧАСОВЫЕ_ПРОФИЛИ!B11:G11,КОЭФФИЦИЕНТЫ_ВЫБОРА!F31:K31)</f>
        <v>0</v>
      </c>
      <c r="I961" s="12" t="n">
        <f aca="false">SUMPRODUCT(ПОТОКИ!B13:G13,ЧАСОВЫЕ_ПРОФИЛИ!B11:G11,КОЭФФИЦИЕНТЫ_ВЫБОРА!F31:K31,ПАРАМЕТРЫ!$B$17:$G$17)</f>
        <v>0</v>
      </c>
      <c r="J961" s="12" t="n">
        <f aca="false">I961*G961/1000</f>
        <v>0</v>
      </c>
      <c r="K961" s="11" t="s">
        <v>217</v>
      </c>
      <c r="L961" s="11" t="s">
        <v>19</v>
      </c>
      <c r="M961" s="11" t="s">
        <v>145</v>
      </c>
    </row>
    <row r="962" customFormat="false" ht="15" hidden="false" customHeight="false" outlineLevel="0" collapsed="false">
      <c r="A962" s="11" t="s">
        <v>109</v>
      </c>
      <c r="B962" s="11" t="s">
        <v>124</v>
      </c>
      <c r="C962" s="11" t="n">
        <v>22</v>
      </c>
      <c r="D962" s="11" t="s">
        <v>174</v>
      </c>
      <c r="E962" s="11" t="s">
        <v>178</v>
      </c>
      <c r="F962" s="11" t="s">
        <v>83</v>
      </c>
      <c r="G962" s="12" t="n">
        <v>300</v>
      </c>
      <c r="H962" s="12" t="n">
        <f aca="false">SUMPRODUCT(ПОТОКИ!B13:G13,ЧАСОВЫЕ_ПРОФИЛИ!B11:G11,КОЭФФИЦИЕНТЫ_ВЫБОРА!F32:K32)</f>
        <v>0</v>
      </c>
      <c r="I962" s="12" t="n">
        <f aca="false">SUMPRODUCT(ПОТОКИ!B13:G13,ЧАСОВЫЕ_ПРОФИЛИ!B11:G11,КОЭФФИЦИЕНТЫ_ВЫБОРА!F32:K32,ПАРАМЕТРЫ!$B$17:$G$17)</f>
        <v>0</v>
      </c>
      <c r="J962" s="12" t="n">
        <f aca="false">I962*G962/1000</f>
        <v>0</v>
      </c>
      <c r="K962" s="11" t="s">
        <v>217</v>
      </c>
      <c r="L962" s="11" t="s">
        <v>19</v>
      </c>
      <c r="M962" s="11" t="s">
        <v>145</v>
      </c>
    </row>
    <row r="963" customFormat="false" ht="15" hidden="false" customHeight="false" outlineLevel="0" collapsed="false">
      <c r="A963" s="11" t="s">
        <v>109</v>
      </c>
      <c r="B963" s="11" t="s">
        <v>124</v>
      </c>
      <c r="C963" s="11" t="n">
        <v>23</v>
      </c>
      <c r="D963" s="11" t="s">
        <v>86</v>
      </c>
      <c r="E963" s="11" t="s">
        <v>179</v>
      </c>
      <c r="F963" s="11" t="s">
        <v>85</v>
      </c>
      <c r="G963" s="12" t="n">
        <v>150</v>
      </c>
      <c r="H963" s="12" t="n">
        <f aca="false">SUMPRODUCT(ПОТОКИ!B13:G13,ЧАСОВЫЕ_ПРОФИЛИ!B11:G11,КОЭФФИЦИЕНТЫ_ВЫБОРА!F33:K33)</f>
        <v>0</v>
      </c>
      <c r="I963" s="12" t="n">
        <f aca="false">SUMPRODUCT(ПОТОКИ!B13:G13,ЧАСОВЫЕ_ПРОФИЛИ!B11:G11,КОЭФФИЦИЕНТЫ_ВЫБОРА!F33:K33,ПАРАМЕТРЫ!$B$17:$G$17)</f>
        <v>0</v>
      </c>
      <c r="J963" s="12" t="n">
        <f aca="false">I963*G963/1000</f>
        <v>0</v>
      </c>
      <c r="K963" s="11" t="s">
        <v>217</v>
      </c>
      <c r="L963" s="11" t="s">
        <v>19</v>
      </c>
      <c r="M963" s="11" t="s">
        <v>147</v>
      </c>
    </row>
    <row r="964" customFormat="false" ht="15" hidden="false" customHeight="false" outlineLevel="0" collapsed="false">
      <c r="A964" s="11" t="s">
        <v>109</v>
      </c>
      <c r="B964" s="11" t="s">
        <v>124</v>
      </c>
      <c r="C964" s="11" t="n">
        <v>24</v>
      </c>
      <c r="D964" s="11" t="s">
        <v>86</v>
      </c>
      <c r="E964" s="11" t="s">
        <v>180</v>
      </c>
      <c r="F964" s="11" t="s">
        <v>85</v>
      </c>
      <c r="G964" s="12" t="n">
        <v>150</v>
      </c>
      <c r="H964" s="12" t="n">
        <f aca="false">SUMPRODUCT(ПОТОКИ!B13:G13,ЧАСОВЫЕ_ПРОФИЛИ!B11:G11,КОЭФФИЦИЕНТЫ_ВЫБОРА!F34:K34)</f>
        <v>0</v>
      </c>
      <c r="I964" s="12" t="n">
        <f aca="false">SUMPRODUCT(ПОТОКИ!B13:G13,ЧАСОВЫЕ_ПРОФИЛИ!B11:G11,КОЭФФИЦИЕНТЫ_ВЫБОРА!F34:K34,ПАРАМЕТРЫ!$B$17:$G$17)</f>
        <v>0</v>
      </c>
      <c r="J964" s="12" t="n">
        <f aca="false">I964*G964/1000</f>
        <v>0</v>
      </c>
      <c r="K964" s="11" t="s">
        <v>217</v>
      </c>
      <c r="L964" s="11" t="s">
        <v>19</v>
      </c>
      <c r="M964" s="11" t="s">
        <v>147</v>
      </c>
    </row>
    <row r="965" customFormat="false" ht="15" hidden="false" customHeight="false" outlineLevel="0" collapsed="false">
      <c r="A965" s="11" t="s">
        <v>109</v>
      </c>
      <c r="B965" s="11" t="s">
        <v>124</v>
      </c>
      <c r="C965" s="11" t="n">
        <v>25</v>
      </c>
      <c r="D965" s="11" t="s">
        <v>86</v>
      </c>
      <c r="E965" s="11" t="s">
        <v>181</v>
      </c>
      <c r="F965" s="11" t="s">
        <v>85</v>
      </c>
      <c r="G965" s="12" t="n">
        <v>150</v>
      </c>
      <c r="H965" s="12" t="n">
        <f aca="false">SUMPRODUCT(ПОТОКИ!B13:G13,ЧАСОВЫЕ_ПРОФИЛИ!B11:G11,КОЭФФИЦИЕНТЫ_ВЫБОРА!F35:K35)</f>
        <v>0</v>
      </c>
      <c r="I965" s="12" t="n">
        <f aca="false">SUMPRODUCT(ПОТОКИ!B13:G13,ЧАСОВЫЕ_ПРОФИЛИ!B11:G11,КОЭФФИЦИЕНТЫ_ВЫБОРА!F35:K35,ПАРАМЕТРЫ!$B$17:$G$17)</f>
        <v>0</v>
      </c>
      <c r="J965" s="12" t="n">
        <f aca="false">I965*G965/1000</f>
        <v>0</v>
      </c>
      <c r="K965" s="11" t="s">
        <v>217</v>
      </c>
      <c r="L965" s="11" t="s">
        <v>19</v>
      </c>
      <c r="M965" s="11" t="s">
        <v>147</v>
      </c>
    </row>
    <row r="966" customFormat="false" ht="23.85" hidden="false" customHeight="false" outlineLevel="0" collapsed="false">
      <c r="A966" s="11" t="s">
        <v>109</v>
      </c>
      <c r="B966" s="11" t="s">
        <v>124</v>
      </c>
      <c r="C966" s="11" t="n">
        <v>26</v>
      </c>
      <c r="D966" s="11" t="s">
        <v>89</v>
      </c>
      <c r="E966" s="11" t="s">
        <v>182</v>
      </c>
      <c r="F966" s="11" t="s">
        <v>88</v>
      </c>
      <c r="G966" s="12" t="n">
        <v>225</v>
      </c>
      <c r="H966" s="12" t="n">
        <f aca="false">SUMPRODUCT(ПОТОКИ!B13:G13,ЧАСОВЫЕ_ПРОФИЛИ!B11:G11,КОЭФФИЦИЕНТЫ_ВЫБОРА!F36:K36)</f>
        <v>1.2375</v>
      </c>
      <c r="I966" s="12" t="n">
        <f aca="false">SUMPRODUCT(ПОТОКИ!B13:G13,ЧАСОВЫЕ_ПРОФИЛИ!B11:G11,КОЭФФИЦИЕНТЫ_ВЫБОРА!F36:K36,ПАРАМЕТРЫ!$B$17:$G$17)</f>
        <v>1.2375</v>
      </c>
      <c r="J966" s="12" t="n">
        <f aca="false">I966*G966/1000</f>
        <v>0.2784375</v>
      </c>
      <c r="K966" s="11" t="s">
        <v>217</v>
      </c>
      <c r="L966" s="11" t="s">
        <v>19</v>
      </c>
      <c r="M966" s="11" t="s">
        <v>145</v>
      </c>
    </row>
    <row r="967" customFormat="false" ht="23.85" hidden="false" customHeight="false" outlineLevel="0" collapsed="false">
      <c r="A967" s="11" t="s">
        <v>109</v>
      </c>
      <c r="B967" s="11" t="s">
        <v>124</v>
      </c>
      <c r="C967" s="11" t="n">
        <v>27</v>
      </c>
      <c r="D967" s="11" t="s">
        <v>89</v>
      </c>
      <c r="E967" s="11" t="s">
        <v>183</v>
      </c>
      <c r="F967" s="11" t="s">
        <v>88</v>
      </c>
      <c r="G967" s="12" t="n">
        <v>265</v>
      </c>
      <c r="H967" s="12" t="n">
        <f aca="false">SUMPRODUCT(ПОТОКИ!B13:G13,ЧАСОВЫЕ_ПРОФИЛИ!B11:G11,КОЭФФИЦИЕНТЫ_ВЫБОРА!F37:K37)</f>
        <v>1.2375</v>
      </c>
      <c r="I967" s="12" t="n">
        <f aca="false">SUMPRODUCT(ПОТОКИ!B13:G13,ЧАСОВЫЕ_ПРОФИЛИ!B11:G11,КОЭФФИЦИЕНТЫ_ВЫБОРА!F37:K37,ПАРАМЕТРЫ!$B$17:$G$17)</f>
        <v>1.2375</v>
      </c>
      <c r="J967" s="12" t="n">
        <f aca="false">I967*G967/1000</f>
        <v>0.3279375</v>
      </c>
      <c r="K967" s="11" t="s">
        <v>217</v>
      </c>
      <c r="L967" s="11" t="s">
        <v>19</v>
      </c>
      <c r="M967" s="11" t="s">
        <v>145</v>
      </c>
    </row>
    <row r="968" customFormat="false" ht="23.85" hidden="false" customHeight="false" outlineLevel="0" collapsed="false">
      <c r="A968" s="11" t="s">
        <v>109</v>
      </c>
      <c r="B968" s="11" t="s">
        <v>124</v>
      </c>
      <c r="C968" s="11" t="n">
        <v>28</v>
      </c>
      <c r="D968" s="11" t="s">
        <v>89</v>
      </c>
      <c r="E968" s="11" t="s">
        <v>184</v>
      </c>
      <c r="F968" s="11" t="s">
        <v>88</v>
      </c>
      <c r="G968" s="12" t="n">
        <v>355</v>
      </c>
      <c r="H968" s="12" t="n">
        <f aca="false">SUMPRODUCT(ПОТОКИ!B13:G13,ЧАСОВЫЕ_ПРОФИЛИ!B11:G11,КОЭФФИЦИЕНТЫ_ВЫБОРА!F38:K38)</f>
        <v>0.825</v>
      </c>
      <c r="I968" s="12" t="n">
        <f aca="false">SUMPRODUCT(ПОТОКИ!B13:G13,ЧАСОВЫЕ_ПРОФИЛИ!B11:G11,КОЭФФИЦИЕНТЫ_ВЫБОРА!F38:K38,ПАРАМЕТРЫ!$B$17:$G$17)</f>
        <v>0.825</v>
      </c>
      <c r="J968" s="12" t="n">
        <f aca="false">I968*G968/1000</f>
        <v>0.292875</v>
      </c>
      <c r="K968" s="11" t="s">
        <v>217</v>
      </c>
      <c r="L968" s="11" t="s">
        <v>19</v>
      </c>
      <c r="M968" s="11" t="s">
        <v>145</v>
      </c>
    </row>
    <row r="969" customFormat="false" ht="15" hidden="false" customHeight="false" outlineLevel="0" collapsed="false">
      <c r="A969" s="11" t="s">
        <v>109</v>
      </c>
      <c r="B969" s="11" t="s">
        <v>124</v>
      </c>
      <c r="C969" s="11" t="n">
        <v>29</v>
      </c>
      <c r="D969" s="11" t="s">
        <v>92</v>
      </c>
      <c r="E969" s="11" t="s">
        <v>185</v>
      </c>
      <c r="F969" s="11" t="s">
        <v>91</v>
      </c>
      <c r="G969" s="12" t="n">
        <v>150</v>
      </c>
      <c r="H969" s="12" t="n">
        <f aca="false">SUMPRODUCT(ПОТОКИ!B13:G13,ЧАСОВЫЕ_ПРОФИЛИ!B11:G11,КОЭФФИЦИЕНТЫ_ВЫБОРА!F39:K39)</f>
        <v>0.054</v>
      </c>
      <c r="I969" s="12" t="n">
        <f aca="false">SUMPRODUCT(ПОТОКИ!B13:G13,ЧАСОВЫЕ_ПРОФИЛИ!B11:G11,КОЭФФИЦИЕНТЫ_ВЫБОРА!F39:K39,ПАРАМЕТРЫ!$B$17:$G$17)</f>
        <v>0.0594</v>
      </c>
      <c r="J969" s="12" t="n">
        <f aca="false">I969*G969/1000</f>
        <v>0.00891</v>
      </c>
      <c r="K969" s="11" t="s">
        <v>217</v>
      </c>
      <c r="L969" s="11" t="s">
        <v>19</v>
      </c>
      <c r="M969" s="11" t="s">
        <v>145</v>
      </c>
    </row>
    <row r="970" customFormat="false" ht="15" hidden="false" customHeight="false" outlineLevel="0" collapsed="false">
      <c r="A970" s="11" t="s">
        <v>109</v>
      </c>
      <c r="B970" s="11" t="s">
        <v>124</v>
      </c>
      <c r="C970" s="11" t="n">
        <v>30</v>
      </c>
      <c r="D970" s="11" t="s">
        <v>92</v>
      </c>
      <c r="E970" s="11" t="s">
        <v>186</v>
      </c>
      <c r="F970" s="11" t="s">
        <v>91</v>
      </c>
      <c r="G970" s="12" t="n">
        <v>120</v>
      </c>
      <c r="H970" s="12" t="n">
        <f aca="false">SUMPRODUCT(ПОТОКИ!B13:G13,ЧАСОВЫЕ_ПРОФИЛИ!B11:G11,КОЭФФИЦИЕНТЫ_ВЫБОРА!F40:K40)</f>
        <v>0.054</v>
      </c>
      <c r="I970" s="12" t="n">
        <f aca="false">SUMPRODUCT(ПОТОКИ!B13:G13,ЧАСОВЫЕ_ПРОФИЛИ!B11:G11,КОЭФФИЦИЕНТЫ_ВЫБОРА!F40:K40,ПАРАМЕТРЫ!$B$17:$G$17)</f>
        <v>0.0594</v>
      </c>
      <c r="J970" s="12" t="n">
        <f aca="false">I970*G970/1000</f>
        <v>0.007128</v>
      </c>
      <c r="K970" s="11" t="s">
        <v>217</v>
      </c>
      <c r="L970" s="11" t="s">
        <v>19</v>
      </c>
      <c r="M970" s="11" t="s">
        <v>145</v>
      </c>
    </row>
    <row r="971" customFormat="false" ht="15" hidden="false" customHeight="false" outlineLevel="0" collapsed="false">
      <c r="A971" s="11" t="s">
        <v>109</v>
      </c>
      <c r="B971" s="11" t="s">
        <v>124</v>
      </c>
      <c r="C971" s="11" t="n">
        <v>31</v>
      </c>
      <c r="D971" s="11" t="s">
        <v>92</v>
      </c>
      <c r="E971" s="11" t="s">
        <v>187</v>
      </c>
      <c r="F971" s="11" t="s">
        <v>91</v>
      </c>
      <c r="G971" s="12" t="n">
        <v>60</v>
      </c>
      <c r="H971" s="12" t="n">
        <f aca="false">SUMPRODUCT(ПОТОКИ!B13:G13,ЧАСОВЫЕ_ПРОФИЛИ!B11:G11,КОЭФФИЦИЕНТЫ_ВЫБОРА!F41:K41)</f>
        <v>0.072</v>
      </c>
      <c r="I971" s="12" t="n">
        <f aca="false">SUMPRODUCT(ПОТОКИ!B13:G13,ЧАСОВЫЕ_ПРОФИЛИ!B11:G11,КОЭФФИЦИЕНТЫ_ВЫБОРА!F41:K41,ПАРАМЕТРЫ!$B$17:$G$17)</f>
        <v>0.0792</v>
      </c>
      <c r="J971" s="12" t="n">
        <f aca="false">I971*G971/1000</f>
        <v>0.004752</v>
      </c>
      <c r="K971" s="11" t="s">
        <v>217</v>
      </c>
      <c r="L971" s="11" t="s">
        <v>19</v>
      </c>
      <c r="M971" s="11" t="s">
        <v>145</v>
      </c>
    </row>
    <row r="972" customFormat="false" ht="15" hidden="false" customHeight="false" outlineLevel="0" collapsed="false">
      <c r="A972" s="11" t="s">
        <v>109</v>
      </c>
      <c r="B972" s="11" t="s">
        <v>125</v>
      </c>
      <c r="C972" s="11" t="n">
        <v>1</v>
      </c>
      <c r="D972" s="11" t="s">
        <v>74</v>
      </c>
      <c r="E972" s="11" t="s">
        <v>153</v>
      </c>
      <c r="F972" s="11" t="s">
        <v>73</v>
      </c>
      <c r="G972" s="12" t="n">
        <v>450</v>
      </c>
      <c r="H972" s="12" t="n">
        <f aca="false">SUMPRODUCT(ПОТОКИ!B13:G13,ЧАСОВЫЕ_ПРОФИЛИ!B12:G12,КОЭФФИЦИЕНТЫ_ВЫБОРА!F11:K11)</f>
        <v>0</v>
      </c>
      <c r="I972" s="12" t="n">
        <f aca="false">SUMPRODUCT(ПОТОКИ!B13:G13,ЧАСОВЫЕ_ПРОФИЛИ!B12:G12,КОЭФФИЦИЕНТЫ_ВЫБОРА!F11:K11,ПАРАМЕТРЫ!$B$17:$G$17)</f>
        <v>0</v>
      </c>
      <c r="J972" s="12" t="n">
        <f aca="false">I972*G972/1000</f>
        <v>0</v>
      </c>
      <c r="K972" s="11" t="s">
        <v>217</v>
      </c>
      <c r="L972" s="11" t="s">
        <v>19</v>
      </c>
      <c r="M972" s="11" t="s">
        <v>145</v>
      </c>
    </row>
    <row r="973" customFormat="false" ht="15" hidden="false" customHeight="false" outlineLevel="0" collapsed="false">
      <c r="A973" s="11" t="s">
        <v>109</v>
      </c>
      <c r="B973" s="11" t="s">
        <v>125</v>
      </c>
      <c r="C973" s="11" t="n">
        <v>2</v>
      </c>
      <c r="D973" s="11" t="s">
        <v>74</v>
      </c>
      <c r="E973" s="11" t="s">
        <v>154</v>
      </c>
      <c r="F973" s="11" t="s">
        <v>73</v>
      </c>
      <c r="G973" s="12" t="n">
        <v>480</v>
      </c>
      <c r="H973" s="12" t="n">
        <f aca="false">SUMPRODUCT(ПОТОКИ!B13:G13,ЧАСОВЫЕ_ПРОФИЛИ!B12:G12,КОЭФФИЦИЕНТЫ_ВЫБОРА!F12:K12)</f>
        <v>0</v>
      </c>
      <c r="I973" s="12" t="n">
        <f aca="false">SUMPRODUCT(ПОТОКИ!B13:G13,ЧАСОВЫЕ_ПРОФИЛИ!B12:G12,КОЭФФИЦИЕНТЫ_ВЫБОРА!F12:K12,ПАРАМЕТРЫ!$B$17:$G$17)</f>
        <v>0</v>
      </c>
      <c r="J973" s="12" t="n">
        <f aca="false">I973*G973/1000</f>
        <v>0</v>
      </c>
      <c r="K973" s="11" t="s">
        <v>217</v>
      </c>
      <c r="L973" s="11" t="s">
        <v>19</v>
      </c>
      <c r="M973" s="11" t="s">
        <v>145</v>
      </c>
    </row>
    <row r="974" customFormat="false" ht="15" hidden="false" customHeight="false" outlineLevel="0" collapsed="false">
      <c r="A974" s="11" t="s">
        <v>109</v>
      </c>
      <c r="B974" s="11" t="s">
        <v>125</v>
      </c>
      <c r="C974" s="11" t="n">
        <v>3</v>
      </c>
      <c r="D974" s="11" t="s">
        <v>74</v>
      </c>
      <c r="E974" s="11" t="s">
        <v>155</v>
      </c>
      <c r="F974" s="11" t="s">
        <v>73</v>
      </c>
      <c r="G974" s="12" t="n">
        <v>500</v>
      </c>
      <c r="H974" s="12" t="n">
        <f aca="false">SUMPRODUCT(ПОТОКИ!B13:G13,ЧАСОВЫЕ_ПРОФИЛИ!B12:G12,КОЭФФИЦИЕНТЫ_ВЫБОРА!F13:K13)</f>
        <v>0</v>
      </c>
      <c r="I974" s="12" t="n">
        <f aca="false">SUMPRODUCT(ПОТОКИ!B13:G13,ЧАСОВЫЕ_ПРОФИЛИ!B12:G12,КОЭФФИЦИЕНТЫ_ВЫБОРА!F13:K13,ПАРАМЕТРЫ!$B$17:$G$17)</f>
        <v>0</v>
      </c>
      <c r="J974" s="12" t="n">
        <f aca="false">I974*G974/1000</f>
        <v>0</v>
      </c>
      <c r="K974" s="11" t="s">
        <v>217</v>
      </c>
      <c r="L974" s="11" t="s">
        <v>19</v>
      </c>
      <c r="M974" s="11" t="s">
        <v>145</v>
      </c>
    </row>
    <row r="975" customFormat="false" ht="15" hidden="false" customHeight="false" outlineLevel="0" collapsed="false">
      <c r="A975" s="11" t="s">
        <v>109</v>
      </c>
      <c r="B975" s="11" t="s">
        <v>125</v>
      </c>
      <c r="C975" s="11" t="n">
        <v>4</v>
      </c>
      <c r="D975" s="11" t="s">
        <v>74</v>
      </c>
      <c r="E975" s="11" t="s">
        <v>156</v>
      </c>
      <c r="F975" s="11" t="s">
        <v>73</v>
      </c>
      <c r="G975" s="12" t="n">
        <v>500</v>
      </c>
      <c r="H975" s="12" t="n">
        <f aca="false">SUMPRODUCT(ПОТОКИ!B13:G13,ЧАСОВЫЕ_ПРОФИЛИ!B12:G12,КОЭФФИЦИЕНТЫ_ВЫБОРА!F14:K14)</f>
        <v>0</v>
      </c>
      <c r="I975" s="12" t="n">
        <f aca="false">SUMPRODUCT(ПОТОКИ!B13:G13,ЧАСОВЫЕ_ПРОФИЛИ!B12:G12,КОЭФФИЦИЕНТЫ_ВЫБОРА!F14:K14,ПАРАМЕТРЫ!$B$17:$G$17)</f>
        <v>0</v>
      </c>
      <c r="J975" s="12" t="n">
        <f aca="false">I975*G975/1000</f>
        <v>0</v>
      </c>
      <c r="K975" s="11" t="s">
        <v>217</v>
      </c>
      <c r="L975" s="11" t="s">
        <v>19</v>
      </c>
      <c r="M975" s="11" t="s">
        <v>145</v>
      </c>
    </row>
    <row r="976" customFormat="false" ht="15" hidden="false" customHeight="false" outlineLevel="0" collapsed="false">
      <c r="A976" s="11" t="s">
        <v>109</v>
      </c>
      <c r="B976" s="11" t="s">
        <v>125</v>
      </c>
      <c r="C976" s="11" t="n">
        <v>5</v>
      </c>
      <c r="D976" s="11" t="s">
        <v>78</v>
      </c>
      <c r="E976" s="11" t="s">
        <v>157</v>
      </c>
      <c r="F976" s="11" t="s">
        <v>77</v>
      </c>
      <c r="G976" s="12" t="n">
        <v>100</v>
      </c>
      <c r="H976" s="12" t="n">
        <f aca="false">SUMPRODUCT(ПОТОКИ!B13:G13,ЧАСОВЫЕ_ПРОФИЛИ!B12:G12,КОЭФФИЦИЕНТЫ_ВЫБОРА!F15:K15)</f>
        <v>0.18</v>
      </c>
      <c r="I976" s="12" t="n">
        <f aca="false">SUMPRODUCT(ПОТОКИ!B13:G13,ЧАСОВЫЕ_ПРОФИЛИ!B12:G12,КОЭФФИЦИЕНТЫ_ВЫБОРА!F15:K15,ПАРАМЕТРЫ!$B$17:$G$17)</f>
        <v>0.198</v>
      </c>
      <c r="J976" s="12" t="n">
        <f aca="false">I976*G976/1000</f>
        <v>0.0198</v>
      </c>
      <c r="K976" s="11" t="s">
        <v>217</v>
      </c>
      <c r="L976" s="11" t="s">
        <v>19</v>
      </c>
      <c r="M976" s="11" t="s">
        <v>147</v>
      </c>
    </row>
    <row r="977" customFormat="false" ht="15" hidden="false" customHeight="false" outlineLevel="0" collapsed="false">
      <c r="A977" s="11" t="s">
        <v>109</v>
      </c>
      <c r="B977" s="11" t="s">
        <v>125</v>
      </c>
      <c r="C977" s="11" t="n">
        <v>6</v>
      </c>
      <c r="D977" s="11" t="s">
        <v>78</v>
      </c>
      <c r="E977" s="11" t="s">
        <v>158</v>
      </c>
      <c r="F977" s="11" t="s">
        <v>77</v>
      </c>
      <c r="G977" s="12" t="n">
        <v>100</v>
      </c>
      <c r="H977" s="12" t="n">
        <f aca="false">SUMPRODUCT(ПОТОКИ!B13:G13,ЧАСОВЫЕ_ПРОФИЛИ!B12:G12,КОЭФФИЦИЕНТЫ_ВЫБОРА!F16:K16)</f>
        <v>0.18</v>
      </c>
      <c r="I977" s="12" t="n">
        <f aca="false">SUMPRODUCT(ПОТОКИ!B13:G13,ЧАСОВЫЕ_ПРОФИЛИ!B12:G12,КОЭФФИЦИЕНТЫ_ВЫБОРА!F16:K16,ПАРАМЕТРЫ!$B$17:$G$17)</f>
        <v>0.198</v>
      </c>
      <c r="J977" s="12" t="n">
        <f aca="false">I977*G977/1000</f>
        <v>0.0198</v>
      </c>
      <c r="K977" s="11" t="s">
        <v>217</v>
      </c>
      <c r="L977" s="11" t="s">
        <v>19</v>
      </c>
      <c r="M977" s="11" t="s">
        <v>147</v>
      </c>
    </row>
    <row r="978" customFormat="false" ht="15" hidden="false" customHeight="false" outlineLevel="0" collapsed="false">
      <c r="A978" s="11" t="s">
        <v>109</v>
      </c>
      <c r="B978" s="11" t="s">
        <v>125</v>
      </c>
      <c r="C978" s="11" t="n">
        <v>7</v>
      </c>
      <c r="D978" s="11" t="s">
        <v>78</v>
      </c>
      <c r="E978" s="11" t="s">
        <v>159</v>
      </c>
      <c r="F978" s="11" t="s">
        <v>77</v>
      </c>
      <c r="G978" s="12" t="n">
        <v>350</v>
      </c>
      <c r="H978" s="12" t="n">
        <f aca="false">SUMPRODUCT(ПОТОКИ!B13:G13,ЧАСОВЫЕ_ПРОФИЛИ!B12:G12,КОЭФФИЦИЕНТЫ_ВЫБОРА!F17:K17)</f>
        <v>0.15</v>
      </c>
      <c r="I978" s="12" t="n">
        <f aca="false">SUMPRODUCT(ПОТОКИ!B13:G13,ЧАСОВЫЕ_ПРОФИЛИ!B12:G12,КОЭФФИЦИЕНТЫ_ВЫБОРА!F17:K17,ПАРАМЕТРЫ!$B$17:$G$17)</f>
        <v>0.165</v>
      </c>
      <c r="J978" s="12" t="n">
        <f aca="false">I978*G978/1000</f>
        <v>0.05775</v>
      </c>
      <c r="K978" s="11" t="s">
        <v>217</v>
      </c>
      <c r="L978" s="11" t="s">
        <v>19</v>
      </c>
      <c r="M978" s="11" t="s">
        <v>147</v>
      </c>
    </row>
    <row r="979" customFormat="false" ht="15" hidden="false" customHeight="false" outlineLevel="0" collapsed="false">
      <c r="A979" s="11" t="s">
        <v>109</v>
      </c>
      <c r="B979" s="11" t="s">
        <v>125</v>
      </c>
      <c r="C979" s="11" t="n">
        <v>8</v>
      </c>
      <c r="D979" s="11" t="s">
        <v>78</v>
      </c>
      <c r="E979" s="11" t="s">
        <v>160</v>
      </c>
      <c r="F979" s="11" t="s">
        <v>77</v>
      </c>
      <c r="G979" s="12" t="n">
        <v>85</v>
      </c>
      <c r="H979" s="12" t="n">
        <f aca="false">SUMPRODUCT(ПОТОКИ!B13:G13,ЧАСОВЫЕ_ПРОФИЛИ!B12:G12,КОЭФФИЦИЕНТЫ_ВЫБОРА!F18:K18)</f>
        <v>0.09</v>
      </c>
      <c r="I979" s="12" t="n">
        <f aca="false">SUMPRODUCT(ПОТОКИ!B13:G13,ЧАСОВЫЕ_ПРОФИЛИ!B12:G12,КОЭФФИЦИЕНТЫ_ВЫБОРА!F18:K18,ПАРАМЕТРЫ!$B$17:$G$17)</f>
        <v>0.099</v>
      </c>
      <c r="J979" s="12" t="n">
        <f aca="false">I979*G979/1000</f>
        <v>0.008415</v>
      </c>
      <c r="K979" s="11" t="s">
        <v>217</v>
      </c>
      <c r="L979" s="11" t="s">
        <v>19</v>
      </c>
      <c r="M979" s="11" t="s">
        <v>147</v>
      </c>
    </row>
    <row r="980" customFormat="false" ht="15" hidden="false" customHeight="false" outlineLevel="0" collapsed="false">
      <c r="A980" s="11" t="s">
        <v>109</v>
      </c>
      <c r="B980" s="11" t="s">
        <v>125</v>
      </c>
      <c r="C980" s="11" t="n">
        <v>9</v>
      </c>
      <c r="D980" s="11" t="s">
        <v>161</v>
      </c>
      <c r="E980" s="11" t="s">
        <v>162</v>
      </c>
      <c r="F980" s="11" t="s">
        <v>80</v>
      </c>
      <c r="G980" s="12" t="n">
        <v>300</v>
      </c>
      <c r="H980" s="12" t="n">
        <f aca="false">SUMPRODUCT(ПОТОКИ!B13:G13,ЧАСОВЫЕ_ПРОФИЛИ!B12:G12,КОЭФФИЦИЕНТЫ_ВЫБОРА!F19:K19)</f>
        <v>0</v>
      </c>
      <c r="I980" s="12" t="n">
        <f aca="false">SUMPRODUCT(ПОТОКИ!B13:G13,ЧАСОВЫЕ_ПРОФИЛИ!B12:G12,КОЭФФИЦИЕНТЫ_ВЫБОРА!F19:K19,ПАРАМЕТРЫ!$B$17:$G$17)</f>
        <v>0</v>
      </c>
      <c r="J980" s="12" t="n">
        <f aca="false">I980*G980/1000</f>
        <v>0</v>
      </c>
      <c r="K980" s="11" t="s">
        <v>217</v>
      </c>
      <c r="L980" s="11" t="s">
        <v>19</v>
      </c>
      <c r="M980" s="11" t="s">
        <v>145</v>
      </c>
    </row>
    <row r="981" customFormat="false" ht="15" hidden="false" customHeight="false" outlineLevel="0" collapsed="false">
      <c r="A981" s="11" t="s">
        <v>109</v>
      </c>
      <c r="B981" s="11" t="s">
        <v>125</v>
      </c>
      <c r="C981" s="11" t="n">
        <v>10</v>
      </c>
      <c r="D981" s="11" t="s">
        <v>161</v>
      </c>
      <c r="E981" s="11" t="s">
        <v>163</v>
      </c>
      <c r="F981" s="11" t="s">
        <v>80</v>
      </c>
      <c r="G981" s="12" t="n">
        <v>280</v>
      </c>
      <c r="H981" s="12" t="n">
        <f aca="false">SUMPRODUCT(ПОТОКИ!B13:G13,ЧАСОВЫЕ_ПРОФИЛИ!B12:G12,КОЭФФИЦИЕНТЫ_ВЫБОРА!F20:K20)</f>
        <v>0</v>
      </c>
      <c r="I981" s="12" t="n">
        <f aca="false">SUMPRODUCT(ПОТОКИ!B13:G13,ЧАСОВЫЕ_ПРОФИЛИ!B12:G12,КОЭФФИЦИЕНТЫ_ВЫБОРА!F20:K20,ПАРАМЕТРЫ!$B$17:$G$17)</f>
        <v>0</v>
      </c>
      <c r="J981" s="12" t="n">
        <f aca="false">I981*G981/1000</f>
        <v>0</v>
      </c>
      <c r="K981" s="11" t="s">
        <v>217</v>
      </c>
      <c r="L981" s="11" t="s">
        <v>19</v>
      </c>
      <c r="M981" s="11" t="s">
        <v>145</v>
      </c>
    </row>
    <row r="982" customFormat="false" ht="15" hidden="false" customHeight="false" outlineLevel="0" collapsed="false">
      <c r="A982" s="11" t="s">
        <v>109</v>
      </c>
      <c r="B982" s="11" t="s">
        <v>125</v>
      </c>
      <c r="C982" s="11" t="n">
        <v>11</v>
      </c>
      <c r="D982" s="11" t="s">
        <v>161</v>
      </c>
      <c r="E982" s="11" t="s">
        <v>164</v>
      </c>
      <c r="F982" s="11" t="s">
        <v>80</v>
      </c>
      <c r="G982" s="12" t="n">
        <v>270</v>
      </c>
      <c r="H982" s="12" t="n">
        <f aca="false">SUMPRODUCT(ПОТОКИ!B13:G13,ЧАСОВЫЕ_ПРОФИЛИ!B12:G12,КОЭФФИЦИЕНТЫ_ВЫБОРА!F21:K21)</f>
        <v>0</v>
      </c>
      <c r="I982" s="12" t="n">
        <f aca="false">SUMPRODUCT(ПОТОКИ!B13:G13,ЧАСОВЫЕ_ПРОФИЛИ!B12:G12,КОЭФФИЦИЕНТЫ_ВЫБОРА!F21:K21,ПАРАМЕТРЫ!$B$17:$G$17)</f>
        <v>0</v>
      </c>
      <c r="J982" s="12" t="n">
        <f aca="false">I982*G982/1000</f>
        <v>0</v>
      </c>
      <c r="K982" s="11" t="s">
        <v>217</v>
      </c>
      <c r="L982" s="11" t="s">
        <v>19</v>
      </c>
      <c r="M982" s="11" t="s">
        <v>145</v>
      </c>
    </row>
    <row r="983" customFormat="false" ht="15" hidden="false" customHeight="false" outlineLevel="0" collapsed="false">
      <c r="A983" s="11" t="s">
        <v>109</v>
      </c>
      <c r="B983" s="11" t="s">
        <v>125</v>
      </c>
      <c r="C983" s="11" t="n">
        <v>12</v>
      </c>
      <c r="D983" s="11" t="s">
        <v>161</v>
      </c>
      <c r="E983" s="11" t="s">
        <v>165</v>
      </c>
      <c r="F983" s="11" t="s">
        <v>80</v>
      </c>
      <c r="G983" s="12" t="n">
        <v>240</v>
      </c>
      <c r="H983" s="12" t="n">
        <f aca="false">SUMPRODUCT(ПОТОКИ!B13:G13,ЧАСОВЫЕ_ПРОФИЛИ!B12:G12,КОЭФФИЦИЕНТЫ_ВЫБОРА!F22:K22)</f>
        <v>0</v>
      </c>
      <c r="I983" s="12" t="n">
        <f aca="false">SUMPRODUCT(ПОТОКИ!B13:G13,ЧАСОВЫЕ_ПРОФИЛИ!B12:G12,КОЭФФИЦИЕНТЫ_ВЫБОРА!F22:K22,ПАРАМЕТРЫ!$B$17:$G$17)</f>
        <v>0</v>
      </c>
      <c r="J983" s="12" t="n">
        <f aca="false">I983*G983/1000</f>
        <v>0</v>
      </c>
      <c r="K983" s="11" t="s">
        <v>217</v>
      </c>
      <c r="L983" s="11" t="s">
        <v>19</v>
      </c>
      <c r="M983" s="11" t="s">
        <v>145</v>
      </c>
    </row>
    <row r="984" customFormat="false" ht="15" hidden="false" customHeight="false" outlineLevel="0" collapsed="false">
      <c r="A984" s="11" t="s">
        <v>109</v>
      </c>
      <c r="B984" s="11" t="s">
        <v>125</v>
      </c>
      <c r="C984" s="11" t="n">
        <v>13</v>
      </c>
      <c r="D984" s="11" t="s">
        <v>166</v>
      </c>
      <c r="E984" s="11" t="s">
        <v>167</v>
      </c>
      <c r="F984" s="11" t="s">
        <v>80</v>
      </c>
      <c r="G984" s="12" t="n">
        <v>130</v>
      </c>
      <c r="H984" s="12" t="n">
        <f aca="false">SUMPRODUCT(ПОТОКИ!B13:G13,ЧАСОВЫЕ_ПРОФИЛИ!B12:G12,КОЭФФИЦИЕНТЫ_ВЫБОРА!F23:K23)</f>
        <v>0</v>
      </c>
      <c r="I984" s="12" t="n">
        <f aca="false">SUMPRODUCT(ПОТОКИ!B13:G13,ЧАСОВЫЕ_ПРОФИЛИ!B12:G12,КОЭФФИЦИЕНТЫ_ВЫБОРА!F23:K23,ПАРАМЕТРЫ!$B$17:$G$17)</f>
        <v>0</v>
      </c>
      <c r="J984" s="12" t="n">
        <f aca="false">I984*G984/1000</f>
        <v>0</v>
      </c>
      <c r="K984" s="11" t="s">
        <v>217</v>
      </c>
      <c r="L984" s="11" t="s">
        <v>19</v>
      </c>
      <c r="M984" s="11" t="s">
        <v>145</v>
      </c>
    </row>
    <row r="985" customFormat="false" ht="15" hidden="false" customHeight="false" outlineLevel="0" collapsed="false">
      <c r="A985" s="11" t="s">
        <v>109</v>
      </c>
      <c r="B985" s="11" t="s">
        <v>125</v>
      </c>
      <c r="C985" s="11" t="n">
        <v>14</v>
      </c>
      <c r="D985" s="11" t="s">
        <v>166</v>
      </c>
      <c r="E985" s="11" t="s">
        <v>168</v>
      </c>
      <c r="F985" s="11" t="s">
        <v>80</v>
      </c>
      <c r="G985" s="12" t="n">
        <v>250</v>
      </c>
      <c r="H985" s="12" t="n">
        <f aca="false">SUMPRODUCT(ПОТОКИ!B13:G13,ЧАСОВЫЕ_ПРОФИЛИ!B12:G12,КОЭФФИЦИЕНТЫ_ВЫБОРА!F24:K24)</f>
        <v>0</v>
      </c>
      <c r="I985" s="12" t="n">
        <f aca="false">SUMPRODUCT(ПОТОКИ!B13:G13,ЧАСОВЫЕ_ПРОФИЛИ!B12:G12,КОЭФФИЦИЕНТЫ_ВЫБОРА!F24:K24,ПАРАМЕТРЫ!$B$17:$G$17)</f>
        <v>0</v>
      </c>
      <c r="J985" s="12" t="n">
        <f aca="false">I985*G985/1000</f>
        <v>0</v>
      </c>
      <c r="K985" s="11" t="s">
        <v>217</v>
      </c>
      <c r="L985" s="11" t="s">
        <v>19</v>
      </c>
      <c r="M985" s="11" t="s">
        <v>145</v>
      </c>
    </row>
    <row r="986" customFormat="false" ht="15" hidden="false" customHeight="false" outlineLevel="0" collapsed="false">
      <c r="A986" s="11" t="s">
        <v>109</v>
      </c>
      <c r="B986" s="11" t="s">
        <v>125</v>
      </c>
      <c r="C986" s="11" t="n">
        <v>15</v>
      </c>
      <c r="D986" s="11" t="s">
        <v>166</v>
      </c>
      <c r="E986" s="11" t="s">
        <v>169</v>
      </c>
      <c r="F986" s="11" t="s">
        <v>80</v>
      </c>
      <c r="G986" s="12" t="n">
        <v>120</v>
      </c>
      <c r="H986" s="12" t="n">
        <f aca="false">SUMPRODUCT(ПОТОКИ!B13:G13,ЧАСОВЫЕ_ПРОФИЛИ!B12:G12,КОЭФФИЦИЕНТЫ_ВЫБОРА!F25:K25)</f>
        <v>0</v>
      </c>
      <c r="I986" s="12" t="n">
        <f aca="false">SUMPRODUCT(ПОТОКИ!B13:G13,ЧАСОВЫЕ_ПРОФИЛИ!B12:G12,КОЭФФИЦИЕНТЫ_ВЫБОРА!F25:K25,ПАРАМЕТРЫ!$B$17:$G$17)</f>
        <v>0</v>
      </c>
      <c r="J986" s="12" t="n">
        <f aca="false">I986*G986/1000</f>
        <v>0</v>
      </c>
      <c r="K986" s="11" t="s">
        <v>217</v>
      </c>
      <c r="L986" s="11" t="s">
        <v>19</v>
      </c>
      <c r="M986" s="11" t="s">
        <v>145</v>
      </c>
    </row>
    <row r="987" customFormat="false" ht="15" hidden="false" customHeight="false" outlineLevel="0" collapsed="false">
      <c r="A987" s="11" t="s">
        <v>109</v>
      </c>
      <c r="B987" s="11" t="s">
        <v>125</v>
      </c>
      <c r="C987" s="11" t="n">
        <v>16</v>
      </c>
      <c r="D987" s="11" t="s">
        <v>166</v>
      </c>
      <c r="E987" s="11" t="s">
        <v>170</v>
      </c>
      <c r="F987" s="11" t="s">
        <v>80</v>
      </c>
      <c r="G987" s="12" t="n">
        <v>180</v>
      </c>
      <c r="H987" s="12" t="n">
        <f aca="false">SUMPRODUCT(ПОТОКИ!B13:G13,ЧАСОВЫЕ_ПРОФИЛИ!B12:G12,КОЭФФИЦИЕНТЫ_ВЫБОРА!F26:K26)</f>
        <v>0</v>
      </c>
      <c r="I987" s="12" t="n">
        <f aca="false">SUMPRODUCT(ПОТОКИ!B13:G13,ЧАСОВЫЕ_ПРОФИЛИ!B12:G12,КОЭФФИЦИЕНТЫ_ВЫБОРА!F26:K26,ПАРАМЕТРЫ!$B$17:$G$17)</f>
        <v>0</v>
      </c>
      <c r="J987" s="12" t="n">
        <f aca="false">I987*G987/1000</f>
        <v>0</v>
      </c>
      <c r="K987" s="11" t="s">
        <v>217</v>
      </c>
      <c r="L987" s="11" t="s">
        <v>19</v>
      </c>
      <c r="M987" s="11" t="s">
        <v>145</v>
      </c>
    </row>
    <row r="988" customFormat="false" ht="15" hidden="false" customHeight="false" outlineLevel="0" collapsed="false">
      <c r="A988" s="11" t="s">
        <v>109</v>
      </c>
      <c r="B988" s="11" t="s">
        <v>125</v>
      </c>
      <c r="C988" s="11" t="n">
        <v>17</v>
      </c>
      <c r="D988" s="11" t="s">
        <v>166</v>
      </c>
      <c r="E988" s="11" t="s">
        <v>171</v>
      </c>
      <c r="F988" s="11" t="s">
        <v>80</v>
      </c>
      <c r="G988" s="12" t="n">
        <v>180</v>
      </c>
      <c r="H988" s="12" t="n">
        <f aca="false">SUMPRODUCT(ПОТОКИ!B13:G13,ЧАСОВЫЕ_ПРОФИЛИ!B12:G12,КОЭФФИЦИЕНТЫ_ВЫБОРА!F27:K27)</f>
        <v>0</v>
      </c>
      <c r="I988" s="12" t="n">
        <f aca="false">SUMPRODUCT(ПОТОКИ!B13:G13,ЧАСОВЫЕ_ПРОФИЛИ!B12:G12,КОЭФФИЦИЕНТЫ_ВЫБОРА!F27:K27,ПАРАМЕТРЫ!$B$17:$G$17)</f>
        <v>0</v>
      </c>
      <c r="J988" s="12" t="n">
        <f aca="false">I988*G988/1000</f>
        <v>0</v>
      </c>
      <c r="K988" s="11" t="s">
        <v>217</v>
      </c>
      <c r="L988" s="11" t="s">
        <v>19</v>
      </c>
      <c r="M988" s="11" t="s">
        <v>145</v>
      </c>
    </row>
    <row r="989" customFormat="false" ht="15" hidden="false" customHeight="false" outlineLevel="0" collapsed="false">
      <c r="A989" s="11" t="s">
        <v>109</v>
      </c>
      <c r="B989" s="11" t="s">
        <v>125</v>
      </c>
      <c r="C989" s="11" t="n">
        <v>18</v>
      </c>
      <c r="D989" s="11" t="s">
        <v>172</v>
      </c>
      <c r="E989" s="11" t="s">
        <v>173</v>
      </c>
      <c r="F989" s="11" t="s">
        <v>83</v>
      </c>
      <c r="G989" s="12" t="n">
        <v>400</v>
      </c>
      <c r="H989" s="12" t="n">
        <f aca="false">SUMPRODUCT(ПОТОКИ!B13:G13,ЧАСОВЫЕ_ПРОФИЛИ!B12:G12,КОЭФФИЦИЕНТЫ_ВЫБОРА!F28:K28)</f>
        <v>0</v>
      </c>
      <c r="I989" s="12" t="n">
        <f aca="false">SUMPRODUCT(ПОТОКИ!B13:G13,ЧАСОВЫЕ_ПРОФИЛИ!B12:G12,КОЭФФИЦИЕНТЫ_ВЫБОРА!F28:K28,ПАРАМЕТРЫ!$B$17:$G$17)</f>
        <v>0</v>
      </c>
      <c r="J989" s="12" t="n">
        <f aca="false">I989*G989/1000</f>
        <v>0</v>
      </c>
      <c r="K989" s="11" t="s">
        <v>217</v>
      </c>
      <c r="L989" s="11" t="s">
        <v>19</v>
      </c>
      <c r="M989" s="11" t="s">
        <v>145</v>
      </c>
    </row>
    <row r="990" customFormat="false" ht="23.85" hidden="false" customHeight="false" outlineLevel="0" collapsed="false">
      <c r="A990" s="11" t="s">
        <v>109</v>
      </c>
      <c r="B990" s="11" t="s">
        <v>125</v>
      </c>
      <c r="C990" s="11" t="n">
        <v>19</v>
      </c>
      <c r="D990" s="11" t="s">
        <v>174</v>
      </c>
      <c r="E990" s="11" t="s">
        <v>175</v>
      </c>
      <c r="F990" s="11" t="s">
        <v>83</v>
      </c>
      <c r="G990" s="12" t="n">
        <v>300</v>
      </c>
      <c r="H990" s="12" t="n">
        <f aca="false">SUMPRODUCT(ПОТОКИ!B13:G13,ЧАСОВЫЕ_ПРОФИЛИ!B12:G12,КОЭФФИЦИЕНТЫ_ВЫБОРА!F29:K29)</f>
        <v>0</v>
      </c>
      <c r="I990" s="12" t="n">
        <f aca="false">SUMPRODUCT(ПОТОКИ!B13:G13,ЧАСОВЫЕ_ПРОФИЛИ!B12:G12,КОЭФФИЦИЕНТЫ_ВЫБОРА!F29:K29,ПАРАМЕТРЫ!$B$17:$G$17)</f>
        <v>0</v>
      </c>
      <c r="J990" s="12" t="n">
        <f aca="false">I990*G990/1000</f>
        <v>0</v>
      </c>
      <c r="K990" s="11" t="s">
        <v>217</v>
      </c>
      <c r="L990" s="11" t="s">
        <v>19</v>
      </c>
      <c r="M990" s="11" t="s">
        <v>145</v>
      </c>
    </row>
    <row r="991" customFormat="false" ht="15" hidden="false" customHeight="false" outlineLevel="0" collapsed="false">
      <c r="A991" s="11" t="s">
        <v>109</v>
      </c>
      <c r="B991" s="11" t="s">
        <v>125</v>
      </c>
      <c r="C991" s="11" t="n">
        <v>20</v>
      </c>
      <c r="D991" s="11" t="s">
        <v>174</v>
      </c>
      <c r="E991" s="11" t="s">
        <v>176</v>
      </c>
      <c r="F991" s="11" t="s">
        <v>83</v>
      </c>
      <c r="G991" s="12" t="n">
        <v>360</v>
      </c>
      <c r="H991" s="12" t="n">
        <f aca="false">SUMPRODUCT(ПОТОКИ!B13:G13,ЧАСОВЫЕ_ПРОФИЛИ!B12:G12,КОЭФФИЦИЕНТЫ_ВЫБОРА!F30:K30)</f>
        <v>0</v>
      </c>
      <c r="I991" s="12" t="n">
        <f aca="false">SUMPRODUCT(ПОТОКИ!B13:G13,ЧАСОВЫЕ_ПРОФИЛИ!B12:G12,КОЭФФИЦИЕНТЫ_ВЫБОРА!F30:K30,ПАРАМЕТРЫ!$B$17:$G$17)</f>
        <v>0</v>
      </c>
      <c r="J991" s="12" t="n">
        <f aca="false">I991*G991/1000</f>
        <v>0</v>
      </c>
      <c r="K991" s="11" t="s">
        <v>217</v>
      </c>
      <c r="L991" s="11" t="s">
        <v>19</v>
      </c>
      <c r="M991" s="11" t="s">
        <v>145</v>
      </c>
    </row>
    <row r="992" customFormat="false" ht="15" hidden="false" customHeight="false" outlineLevel="0" collapsed="false">
      <c r="A992" s="11" t="s">
        <v>109</v>
      </c>
      <c r="B992" s="11" t="s">
        <v>125</v>
      </c>
      <c r="C992" s="11" t="n">
        <v>21</v>
      </c>
      <c r="D992" s="11" t="s">
        <v>174</v>
      </c>
      <c r="E992" s="11" t="s">
        <v>177</v>
      </c>
      <c r="F992" s="11" t="s">
        <v>83</v>
      </c>
      <c r="G992" s="12" t="n">
        <v>350</v>
      </c>
      <c r="H992" s="12" t="n">
        <f aca="false">SUMPRODUCT(ПОТОКИ!B13:G13,ЧАСОВЫЕ_ПРОФИЛИ!B12:G12,КОЭФФИЦИЕНТЫ_ВЫБОРА!F31:K31)</f>
        <v>0</v>
      </c>
      <c r="I992" s="12" t="n">
        <f aca="false">SUMPRODUCT(ПОТОКИ!B13:G13,ЧАСОВЫЕ_ПРОФИЛИ!B12:G12,КОЭФФИЦИЕНТЫ_ВЫБОРА!F31:K31,ПАРАМЕТРЫ!$B$17:$G$17)</f>
        <v>0</v>
      </c>
      <c r="J992" s="12" t="n">
        <f aca="false">I992*G992/1000</f>
        <v>0</v>
      </c>
      <c r="K992" s="11" t="s">
        <v>217</v>
      </c>
      <c r="L992" s="11" t="s">
        <v>19</v>
      </c>
      <c r="M992" s="11" t="s">
        <v>145</v>
      </c>
    </row>
    <row r="993" customFormat="false" ht="15" hidden="false" customHeight="false" outlineLevel="0" collapsed="false">
      <c r="A993" s="11" t="s">
        <v>109</v>
      </c>
      <c r="B993" s="11" t="s">
        <v>125</v>
      </c>
      <c r="C993" s="11" t="n">
        <v>22</v>
      </c>
      <c r="D993" s="11" t="s">
        <v>174</v>
      </c>
      <c r="E993" s="11" t="s">
        <v>178</v>
      </c>
      <c r="F993" s="11" t="s">
        <v>83</v>
      </c>
      <c r="G993" s="12" t="n">
        <v>300</v>
      </c>
      <c r="H993" s="12" t="n">
        <f aca="false">SUMPRODUCT(ПОТОКИ!B13:G13,ЧАСОВЫЕ_ПРОФИЛИ!B12:G12,КОЭФФИЦИЕНТЫ_ВЫБОРА!F32:K32)</f>
        <v>0</v>
      </c>
      <c r="I993" s="12" t="n">
        <f aca="false">SUMPRODUCT(ПОТОКИ!B13:G13,ЧАСОВЫЕ_ПРОФИЛИ!B12:G12,КОЭФФИЦИЕНТЫ_ВЫБОРА!F32:K32,ПАРАМЕТРЫ!$B$17:$G$17)</f>
        <v>0</v>
      </c>
      <c r="J993" s="12" t="n">
        <f aca="false">I993*G993/1000</f>
        <v>0</v>
      </c>
      <c r="K993" s="11" t="s">
        <v>217</v>
      </c>
      <c r="L993" s="11" t="s">
        <v>19</v>
      </c>
      <c r="M993" s="11" t="s">
        <v>145</v>
      </c>
    </row>
    <row r="994" customFormat="false" ht="15" hidden="false" customHeight="false" outlineLevel="0" collapsed="false">
      <c r="A994" s="11" t="s">
        <v>109</v>
      </c>
      <c r="B994" s="11" t="s">
        <v>125</v>
      </c>
      <c r="C994" s="11" t="n">
        <v>23</v>
      </c>
      <c r="D994" s="11" t="s">
        <v>86</v>
      </c>
      <c r="E994" s="11" t="s">
        <v>179</v>
      </c>
      <c r="F994" s="11" t="s">
        <v>85</v>
      </c>
      <c r="G994" s="12" t="n">
        <v>150</v>
      </c>
      <c r="H994" s="12" t="n">
        <f aca="false">SUMPRODUCT(ПОТОКИ!B13:G13,ЧАСОВЫЕ_ПРОФИЛИ!B12:G12,КОЭФФИЦИЕНТЫ_ВЫБОРА!F33:K33)</f>
        <v>0</v>
      </c>
      <c r="I994" s="12" t="n">
        <f aca="false">SUMPRODUCT(ПОТОКИ!B13:G13,ЧАСОВЫЕ_ПРОФИЛИ!B12:G12,КОЭФФИЦИЕНТЫ_ВЫБОРА!F33:K33,ПАРАМЕТРЫ!$B$17:$G$17)</f>
        <v>0</v>
      </c>
      <c r="J994" s="12" t="n">
        <f aca="false">I994*G994/1000</f>
        <v>0</v>
      </c>
      <c r="K994" s="11" t="s">
        <v>217</v>
      </c>
      <c r="L994" s="11" t="s">
        <v>19</v>
      </c>
      <c r="M994" s="11" t="s">
        <v>147</v>
      </c>
    </row>
    <row r="995" customFormat="false" ht="15" hidden="false" customHeight="false" outlineLevel="0" collapsed="false">
      <c r="A995" s="11" t="s">
        <v>109</v>
      </c>
      <c r="B995" s="11" t="s">
        <v>125</v>
      </c>
      <c r="C995" s="11" t="n">
        <v>24</v>
      </c>
      <c r="D995" s="11" t="s">
        <v>86</v>
      </c>
      <c r="E995" s="11" t="s">
        <v>180</v>
      </c>
      <c r="F995" s="11" t="s">
        <v>85</v>
      </c>
      <c r="G995" s="12" t="n">
        <v>150</v>
      </c>
      <c r="H995" s="12" t="n">
        <f aca="false">SUMPRODUCT(ПОТОКИ!B13:G13,ЧАСОВЫЕ_ПРОФИЛИ!B12:G12,КОЭФФИЦИЕНТЫ_ВЫБОРА!F34:K34)</f>
        <v>0</v>
      </c>
      <c r="I995" s="12" t="n">
        <f aca="false">SUMPRODUCT(ПОТОКИ!B13:G13,ЧАСОВЫЕ_ПРОФИЛИ!B12:G12,КОЭФФИЦИЕНТЫ_ВЫБОРА!F34:K34,ПАРАМЕТРЫ!$B$17:$G$17)</f>
        <v>0</v>
      </c>
      <c r="J995" s="12" t="n">
        <f aca="false">I995*G995/1000</f>
        <v>0</v>
      </c>
      <c r="K995" s="11" t="s">
        <v>217</v>
      </c>
      <c r="L995" s="11" t="s">
        <v>19</v>
      </c>
      <c r="M995" s="11" t="s">
        <v>147</v>
      </c>
    </row>
    <row r="996" customFormat="false" ht="15" hidden="false" customHeight="false" outlineLevel="0" collapsed="false">
      <c r="A996" s="11" t="s">
        <v>109</v>
      </c>
      <c r="B996" s="11" t="s">
        <v>125</v>
      </c>
      <c r="C996" s="11" t="n">
        <v>25</v>
      </c>
      <c r="D996" s="11" t="s">
        <v>86</v>
      </c>
      <c r="E996" s="11" t="s">
        <v>181</v>
      </c>
      <c r="F996" s="11" t="s">
        <v>85</v>
      </c>
      <c r="G996" s="12" t="n">
        <v>150</v>
      </c>
      <c r="H996" s="12" t="n">
        <f aca="false">SUMPRODUCT(ПОТОКИ!B13:G13,ЧАСОВЫЕ_ПРОФИЛИ!B12:G12,КОЭФФИЦИЕНТЫ_ВЫБОРА!F35:K35)</f>
        <v>0</v>
      </c>
      <c r="I996" s="12" t="n">
        <f aca="false">SUMPRODUCT(ПОТОКИ!B13:G13,ЧАСОВЫЕ_ПРОФИЛИ!B12:G12,КОЭФФИЦИЕНТЫ_ВЫБОРА!F35:K35,ПАРАМЕТРЫ!$B$17:$G$17)</f>
        <v>0</v>
      </c>
      <c r="J996" s="12" t="n">
        <f aca="false">I996*G996/1000</f>
        <v>0</v>
      </c>
      <c r="K996" s="11" t="s">
        <v>217</v>
      </c>
      <c r="L996" s="11" t="s">
        <v>19</v>
      </c>
      <c r="M996" s="11" t="s">
        <v>147</v>
      </c>
    </row>
    <row r="997" customFormat="false" ht="23.85" hidden="false" customHeight="false" outlineLevel="0" collapsed="false">
      <c r="A997" s="11" t="s">
        <v>109</v>
      </c>
      <c r="B997" s="11" t="s">
        <v>125</v>
      </c>
      <c r="C997" s="11" t="n">
        <v>26</v>
      </c>
      <c r="D997" s="11" t="s">
        <v>89</v>
      </c>
      <c r="E997" s="11" t="s">
        <v>182</v>
      </c>
      <c r="F997" s="11" t="s">
        <v>88</v>
      </c>
      <c r="G997" s="12" t="n">
        <v>225</v>
      </c>
      <c r="H997" s="12" t="n">
        <f aca="false">SUMPRODUCT(ПОТОКИ!B13:G13,ЧАСОВЫЕ_ПРОФИЛИ!B12:G12,КОЭФФИЦИЕНТЫ_ВЫБОРА!F36:K36)</f>
        <v>2.8875</v>
      </c>
      <c r="I997" s="12" t="n">
        <f aca="false">SUMPRODUCT(ПОТОКИ!B13:G13,ЧАСОВЫЕ_ПРОФИЛИ!B12:G12,КОЭФФИЦИЕНТЫ_ВЫБОРА!F36:K36,ПАРАМЕТРЫ!$B$17:$G$17)</f>
        <v>2.8875</v>
      </c>
      <c r="J997" s="12" t="n">
        <f aca="false">I997*G997/1000</f>
        <v>0.6496875</v>
      </c>
      <c r="K997" s="11" t="s">
        <v>217</v>
      </c>
      <c r="L997" s="11" t="s">
        <v>19</v>
      </c>
      <c r="M997" s="11" t="s">
        <v>145</v>
      </c>
    </row>
    <row r="998" customFormat="false" ht="23.85" hidden="false" customHeight="false" outlineLevel="0" collapsed="false">
      <c r="A998" s="11" t="s">
        <v>109</v>
      </c>
      <c r="B998" s="11" t="s">
        <v>125</v>
      </c>
      <c r="C998" s="11" t="n">
        <v>27</v>
      </c>
      <c r="D998" s="11" t="s">
        <v>89</v>
      </c>
      <c r="E998" s="11" t="s">
        <v>183</v>
      </c>
      <c r="F998" s="11" t="s">
        <v>88</v>
      </c>
      <c r="G998" s="12" t="n">
        <v>265</v>
      </c>
      <c r="H998" s="12" t="n">
        <f aca="false">SUMPRODUCT(ПОТОКИ!B13:G13,ЧАСОВЫЕ_ПРОФИЛИ!B12:G12,КОЭФФИЦИЕНТЫ_ВЫБОРА!F37:K37)</f>
        <v>2.8875</v>
      </c>
      <c r="I998" s="12" t="n">
        <f aca="false">SUMPRODUCT(ПОТОКИ!B13:G13,ЧАСОВЫЕ_ПРОФИЛИ!B12:G12,КОЭФФИЦИЕНТЫ_ВЫБОРА!F37:K37,ПАРАМЕТРЫ!$B$17:$G$17)</f>
        <v>2.8875</v>
      </c>
      <c r="J998" s="12" t="n">
        <f aca="false">I998*G998/1000</f>
        <v>0.7651875</v>
      </c>
      <c r="K998" s="11" t="s">
        <v>217</v>
      </c>
      <c r="L998" s="11" t="s">
        <v>19</v>
      </c>
      <c r="M998" s="11" t="s">
        <v>145</v>
      </c>
    </row>
    <row r="999" customFormat="false" ht="23.85" hidden="false" customHeight="false" outlineLevel="0" collapsed="false">
      <c r="A999" s="11" t="s">
        <v>109</v>
      </c>
      <c r="B999" s="11" t="s">
        <v>125</v>
      </c>
      <c r="C999" s="11" t="n">
        <v>28</v>
      </c>
      <c r="D999" s="11" t="s">
        <v>89</v>
      </c>
      <c r="E999" s="11" t="s">
        <v>184</v>
      </c>
      <c r="F999" s="11" t="s">
        <v>88</v>
      </c>
      <c r="G999" s="12" t="n">
        <v>355</v>
      </c>
      <c r="H999" s="12" t="n">
        <f aca="false">SUMPRODUCT(ПОТОКИ!B13:G13,ЧАСОВЫЕ_ПРОФИЛИ!B12:G12,КОЭФФИЦИЕНТЫ_ВЫБОРА!F38:K38)</f>
        <v>1.925</v>
      </c>
      <c r="I999" s="12" t="n">
        <f aca="false">SUMPRODUCT(ПОТОКИ!B13:G13,ЧАСОВЫЕ_ПРОФИЛИ!B12:G12,КОЭФФИЦИЕНТЫ_ВЫБОРА!F38:K38,ПАРАМЕТРЫ!$B$17:$G$17)</f>
        <v>1.925</v>
      </c>
      <c r="J999" s="12" t="n">
        <f aca="false">I999*G999/1000</f>
        <v>0.683375</v>
      </c>
      <c r="K999" s="11" t="s">
        <v>217</v>
      </c>
      <c r="L999" s="11" t="s">
        <v>19</v>
      </c>
      <c r="M999" s="11" t="s">
        <v>145</v>
      </c>
    </row>
    <row r="1000" customFormat="false" ht="15" hidden="false" customHeight="false" outlineLevel="0" collapsed="false">
      <c r="A1000" s="11" t="s">
        <v>109</v>
      </c>
      <c r="B1000" s="11" t="s">
        <v>125</v>
      </c>
      <c r="C1000" s="11" t="n">
        <v>29</v>
      </c>
      <c r="D1000" s="11" t="s">
        <v>92</v>
      </c>
      <c r="E1000" s="11" t="s">
        <v>185</v>
      </c>
      <c r="F1000" s="11" t="s">
        <v>91</v>
      </c>
      <c r="G1000" s="12" t="n">
        <v>150</v>
      </c>
      <c r="H1000" s="12" t="n">
        <f aca="false">SUMPRODUCT(ПОТОКИ!B13:G13,ЧАСОВЫЕ_ПРОФИЛИ!B12:G12,КОЭФФИЦИЕНТЫ_ВЫБОРА!F39:K39)</f>
        <v>0.09</v>
      </c>
      <c r="I1000" s="12" t="n">
        <f aca="false">SUMPRODUCT(ПОТОКИ!B13:G13,ЧАСОВЫЕ_ПРОФИЛИ!B12:G12,КОЭФФИЦИЕНТЫ_ВЫБОРА!F39:K39,ПАРАМЕТРЫ!$B$17:$G$17)</f>
        <v>0.099</v>
      </c>
      <c r="J1000" s="12" t="n">
        <f aca="false">I1000*G1000/1000</f>
        <v>0.01485</v>
      </c>
      <c r="K1000" s="11" t="s">
        <v>217</v>
      </c>
      <c r="L1000" s="11" t="s">
        <v>19</v>
      </c>
      <c r="M1000" s="11" t="s">
        <v>145</v>
      </c>
    </row>
    <row r="1001" customFormat="false" ht="15" hidden="false" customHeight="false" outlineLevel="0" collapsed="false">
      <c r="A1001" s="11" t="s">
        <v>109</v>
      </c>
      <c r="B1001" s="11" t="s">
        <v>125</v>
      </c>
      <c r="C1001" s="11" t="n">
        <v>30</v>
      </c>
      <c r="D1001" s="11" t="s">
        <v>92</v>
      </c>
      <c r="E1001" s="11" t="s">
        <v>186</v>
      </c>
      <c r="F1001" s="11" t="s">
        <v>91</v>
      </c>
      <c r="G1001" s="12" t="n">
        <v>120</v>
      </c>
      <c r="H1001" s="12" t="n">
        <f aca="false">SUMPRODUCT(ПОТОКИ!B13:G13,ЧАСОВЫЕ_ПРОФИЛИ!B12:G12,КОЭФФИЦИЕНТЫ_ВЫБОРА!F40:K40)</f>
        <v>0.09</v>
      </c>
      <c r="I1001" s="12" t="n">
        <f aca="false">SUMPRODUCT(ПОТОКИ!B13:G13,ЧАСОВЫЕ_ПРОФИЛИ!B12:G12,КОЭФФИЦИЕНТЫ_ВЫБОРА!F40:K40,ПАРАМЕТРЫ!$B$17:$G$17)</f>
        <v>0.099</v>
      </c>
      <c r="J1001" s="12" t="n">
        <f aca="false">I1001*G1001/1000</f>
        <v>0.01188</v>
      </c>
      <c r="K1001" s="11" t="s">
        <v>217</v>
      </c>
      <c r="L1001" s="11" t="s">
        <v>19</v>
      </c>
      <c r="M1001" s="11" t="s">
        <v>145</v>
      </c>
    </row>
    <row r="1002" customFormat="false" ht="15" hidden="false" customHeight="false" outlineLevel="0" collapsed="false">
      <c r="A1002" s="11" t="s">
        <v>109</v>
      </c>
      <c r="B1002" s="11" t="s">
        <v>125</v>
      </c>
      <c r="C1002" s="11" t="n">
        <v>31</v>
      </c>
      <c r="D1002" s="11" t="s">
        <v>92</v>
      </c>
      <c r="E1002" s="11" t="s">
        <v>187</v>
      </c>
      <c r="F1002" s="11" t="s">
        <v>91</v>
      </c>
      <c r="G1002" s="12" t="n">
        <v>60</v>
      </c>
      <c r="H1002" s="12" t="n">
        <f aca="false">SUMPRODUCT(ПОТОКИ!B13:G13,ЧАСОВЫЕ_ПРОФИЛИ!B12:G12,КОЭФФИЦИЕНТЫ_ВЫБОРА!F41:K41)</f>
        <v>0.12</v>
      </c>
      <c r="I1002" s="12" t="n">
        <f aca="false">SUMPRODUCT(ПОТОКИ!B13:G13,ЧАСОВЫЕ_ПРОФИЛИ!B12:G12,КОЭФФИЦИЕНТЫ_ВЫБОРА!F41:K41,ПАРАМЕТРЫ!$B$17:$G$17)</f>
        <v>0.132</v>
      </c>
      <c r="J1002" s="12" t="n">
        <f aca="false">I1002*G1002/1000</f>
        <v>0.00792</v>
      </c>
      <c r="K1002" s="11" t="s">
        <v>217</v>
      </c>
      <c r="L1002" s="11" t="s">
        <v>19</v>
      </c>
      <c r="M1002" s="11" t="s">
        <v>145</v>
      </c>
    </row>
    <row r="1003" customFormat="false" ht="15" hidden="false" customHeight="false" outlineLevel="0" collapsed="false">
      <c r="A1003" s="11" t="s">
        <v>109</v>
      </c>
      <c r="B1003" s="11" t="s">
        <v>126</v>
      </c>
      <c r="C1003" s="11" t="n">
        <v>1</v>
      </c>
      <c r="D1003" s="11" t="s">
        <v>74</v>
      </c>
      <c r="E1003" s="11" t="s">
        <v>153</v>
      </c>
      <c r="F1003" s="11" t="s">
        <v>73</v>
      </c>
      <c r="G1003" s="12" t="n">
        <v>450</v>
      </c>
      <c r="H1003" s="12" t="n">
        <f aca="false">SUMPRODUCT(ПОТОКИ!B13:G13,ЧАСОВЫЕ_ПРОФИЛИ!B13:G13,КОЭФФИЦИЕНТЫ_ВЫБОРА!F11:K11)</f>
        <v>0</v>
      </c>
      <c r="I1003" s="12" t="n">
        <f aca="false">SUMPRODUCT(ПОТОКИ!B13:G13,ЧАСОВЫЕ_ПРОФИЛИ!B13:G13,КОЭФФИЦИЕНТЫ_ВЫБОРА!F11:K11,ПАРАМЕТРЫ!$B$17:$G$17)</f>
        <v>0</v>
      </c>
      <c r="J1003" s="12" t="n">
        <f aca="false">I1003*G1003/1000</f>
        <v>0</v>
      </c>
      <c r="K1003" s="11" t="s">
        <v>217</v>
      </c>
      <c r="L1003" s="11" t="s">
        <v>19</v>
      </c>
      <c r="M1003" s="11" t="s">
        <v>145</v>
      </c>
    </row>
    <row r="1004" customFormat="false" ht="15" hidden="false" customHeight="false" outlineLevel="0" collapsed="false">
      <c r="A1004" s="11" t="s">
        <v>109</v>
      </c>
      <c r="B1004" s="11" t="s">
        <v>126</v>
      </c>
      <c r="C1004" s="11" t="n">
        <v>2</v>
      </c>
      <c r="D1004" s="11" t="s">
        <v>74</v>
      </c>
      <c r="E1004" s="11" t="s">
        <v>154</v>
      </c>
      <c r="F1004" s="11" t="s">
        <v>73</v>
      </c>
      <c r="G1004" s="12" t="n">
        <v>480</v>
      </c>
      <c r="H1004" s="12" t="n">
        <f aca="false">SUMPRODUCT(ПОТОКИ!B13:G13,ЧАСОВЫЕ_ПРОФИЛИ!B13:G13,КОЭФФИЦИЕНТЫ_ВЫБОРА!F12:K12)</f>
        <v>0</v>
      </c>
      <c r="I1004" s="12" t="n">
        <f aca="false">SUMPRODUCT(ПОТОКИ!B13:G13,ЧАСОВЫЕ_ПРОФИЛИ!B13:G13,КОЭФФИЦИЕНТЫ_ВЫБОРА!F12:K12,ПАРАМЕТРЫ!$B$17:$G$17)</f>
        <v>0</v>
      </c>
      <c r="J1004" s="12" t="n">
        <f aca="false">I1004*G1004/1000</f>
        <v>0</v>
      </c>
      <c r="K1004" s="11" t="s">
        <v>217</v>
      </c>
      <c r="L1004" s="11" t="s">
        <v>19</v>
      </c>
      <c r="M1004" s="11" t="s">
        <v>145</v>
      </c>
    </row>
    <row r="1005" customFormat="false" ht="15" hidden="false" customHeight="false" outlineLevel="0" collapsed="false">
      <c r="A1005" s="11" t="s">
        <v>109</v>
      </c>
      <c r="B1005" s="11" t="s">
        <v>126</v>
      </c>
      <c r="C1005" s="11" t="n">
        <v>3</v>
      </c>
      <c r="D1005" s="11" t="s">
        <v>74</v>
      </c>
      <c r="E1005" s="11" t="s">
        <v>155</v>
      </c>
      <c r="F1005" s="11" t="s">
        <v>73</v>
      </c>
      <c r="G1005" s="12" t="n">
        <v>500</v>
      </c>
      <c r="H1005" s="12" t="n">
        <f aca="false">SUMPRODUCT(ПОТОКИ!B13:G13,ЧАСОВЫЕ_ПРОФИЛИ!B13:G13,КОЭФФИЦИЕНТЫ_ВЫБОРА!F13:K13)</f>
        <v>0</v>
      </c>
      <c r="I1005" s="12" t="n">
        <f aca="false">SUMPRODUCT(ПОТОКИ!B13:G13,ЧАСОВЫЕ_ПРОФИЛИ!B13:G13,КОЭФФИЦИЕНТЫ_ВЫБОРА!F13:K13,ПАРАМЕТРЫ!$B$17:$G$17)</f>
        <v>0</v>
      </c>
      <c r="J1005" s="12" t="n">
        <f aca="false">I1005*G1005/1000</f>
        <v>0</v>
      </c>
      <c r="K1005" s="11" t="s">
        <v>217</v>
      </c>
      <c r="L1005" s="11" t="s">
        <v>19</v>
      </c>
      <c r="M1005" s="11" t="s">
        <v>145</v>
      </c>
    </row>
    <row r="1006" customFormat="false" ht="15" hidden="false" customHeight="false" outlineLevel="0" collapsed="false">
      <c r="A1006" s="11" t="s">
        <v>109</v>
      </c>
      <c r="B1006" s="11" t="s">
        <v>126</v>
      </c>
      <c r="C1006" s="11" t="n">
        <v>4</v>
      </c>
      <c r="D1006" s="11" t="s">
        <v>74</v>
      </c>
      <c r="E1006" s="11" t="s">
        <v>156</v>
      </c>
      <c r="F1006" s="11" t="s">
        <v>73</v>
      </c>
      <c r="G1006" s="12" t="n">
        <v>500</v>
      </c>
      <c r="H1006" s="12" t="n">
        <f aca="false">SUMPRODUCT(ПОТОКИ!B13:G13,ЧАСОВЫЕ_ПРОФИЛИ!B13:G13,КОЭФФИЦИЕНТЫ_ВЫБОРА!F14:K14)</f>
        <v>0</v>
      </c>
      <c r="I1006" s="12" t="n">
        <f aca="false">SUMPRODUCT(ПОТОКИ!B13:G13,ЧАСОВЫЕ_ПРОФИЛИ!B13:G13,КОЭФФИЦИЕНТЫ_ВЫБОРА!F14:K14,ПАРАМЕТРЫ!$B$17:$G$17)</f>
        <v>0</v>
      </c>
      <c r="J1006" s="12" t="n">
        <f aca="false">I1006*G1006/1000</f>
        <v>0</v>
      </c>
      <c r="K1006" s="11" t="s">
        <v>217</v>
      </c>
      <c r="L1006" s="11" t="s">
        <v>19</v>
      </c>
      <c r="M1006" s="11" t="s">
        <v>145</v>
      </c>
    </row>
    <row r="1007" customFormat="false" ht="15" hidden="false" customHeight="false" outlineLevel="0" collapsed="false">
      <c r="A1007" s="11" t="s">
        <v>109</v>
      </c>
      <c r="B1007" s="11" t="s">
        <v>126</v>
      </c>
      <c r="C1007" s="11" t="n">
        <v>5</v>
      </c>
      <c r="D1007" s="11" t="s">
        <v>78</v>
      </c>
      <c r="E1007" s="11" t="s">
        <v>157</v>
      </c>
      <c r="F1007" s="11" t="s">
        <v>77</v>
      </c>
      <c r="G1007" s="12" t="n">
        <v>100</v>
      </c>
      <c r="H1007" s="12" t="n">
        <f aca="false">SUMPRODUCT(ПОТОКИ!B13:G13,ЧАСОВЫЕ_ПРОФИЛИ!B13:G13,КОЭФФИЦИЕНТЫ_ВЫБОРА!F15:K15)</f>
        <v>0.216</v>
      </c>
      <c r="I1007" s="12" t="n">
        <f aca="false">SUMPRODUCT(ПОТОКИ!B13:G13,ЧАСОВЫЕ_ПРОФИЛИ!B13:G13,КОЭФФИЦИЕНТЫ_ВЫБОРА!F15:K15,ПАРАМЕТРЫ!$B$17:$G$17)</f>
        <v>0.2376</v>
      </c>
      <c r="J1007" s="12" t="n">
        <f aca="false">I1007*G1007/1000</f>
        <v>0.02376</v>
      </c>
      <c r="K1007" s="11" t="s">
        <v>217</v>
      </c>
      <c r="L1007" s="11" t="s">
        <v>19</v>
      </c>
      <c r="M1007" s="11" t="s">
        <v>147</v>
      </c>
    </row>
    <row r="1008" customFormat="false" ht="15" hidden="false" customHeight="false" outlineLevel="0" collapsed="false">
      <c r="A1008" s="11" t="s">
        <v>109</v>
      </c>
      <c r="B1008" s="11" t="s">
        <v>126</v>
      </c>
      <c r="C1008" s="11" t="n">
        <v>6</v>
      </c>
      <c r="D1008" s="11" t="s">
        <v>78</v>
      </c>
      <c r="E1008" s="11" t="s">
        <v>158</v>
      </c>
      <c r="F1008" s="11" t="s">
        <v>77</v>
      </c>
      <c r="G1008" s="12" t="n">
        <v>100</v>
      </c>
      <c r="H1008" s="12" t="n">
        <f aca="false">SUMPRODUCT(ПОТОКИ!B13:G13,ЧАСОВЫЕ_ПРОФИЛИ!B13:G13,КОЭФФИЦИЕНТЫ_ВЫБОРА!F16:K16)</f>
        <v>0.216</v>
      </c>
      <c r="I1008" s="12" t="n">
        <f aca="false">SUMPRODUCT(ПОТОКИ!B13:G13,ЧАСОВЫЕ_ПРОФИЛИ!B13:G13,КОЭФФИЦИЕНТЫ_ВЫБОРА!F16:K16,ПАРАМЕТРЫ!$B$17:$G$17)</f>
        <v>0.2376</v>
      </c>
      <c r="J1008" s="12" t="n">
        <f aca="false">I1008*G1008/1000</f>
        <v>0.02376</v>
      </c>
      <c r="K1008" s="11" t="s">
        <v>217</v>
      </c>
      <c r="L1008" s="11" t="s">
        <v>19</v>
      </c>
      <c r="M1008" s="11" t="s">
        <v>147</v>
      </c>
    </row>
    <row r="1009" customFormat="false" ht="15" hidden="false" customHeight="false" outlineLevel="0" collapsed="false">
      <c r="A1009" s="11" t="s">
        <v>109</v>
      </c>
      <c r="B1009" s="11" t="s">
        <v>126</v>
      </c>
      <c r="C1009" s="11" t="n">
        <v>7</v>
      </c>
      <c r="D1009" s="11" t="s">
        <v>78</v>
      </c>
      <c r="E1009" s="11" t="s">
        <v>159</v>
      </c>
      <c r="F1009" s="11" t="s">
        <v>77</v>
      </c>
      <c r="G1009" s="12" t="n">
        <v>350</v>
      </c>
      <c r="H1009" s="12" t="n">
        <f aca="false">SUMPRODUCT(ПОТОКИ!B13:G13,ЧАСОВЫЕ_ПРОФИЛИ!B13:G13,КОЭФФИЦИЕНТЫ_ВЫБОРА!F17:K17)</f>
        <v>0.18</v>
      </c>
      <c r="I1009" s="12" t="n">
        <f aca="false">SUMPRODUCT(ПОТОКИ!B13:G13,ЧАСОВЫЕ_ПРОФИЛИ!B13:G13,КОЭФФИЦИЕНТЫ_ВЫБОРА!F17:K17,ПАРАМЕТРЫ!$B$17:$G$17)</f>
        <v>0.198</v>
      </c>
      <c r="J1009" s="12" t="n">
        <f aca="false">I1009*G1009/1000</f>
        <v>0.0693</v>
      </c>
      <c r="K1009" s="11" t="s">
        <v>217</v>
      </c>
      <c r="L1009" s="11" t="s">
        <v>19</v>
      </c>
      <c r="M1009" s="11" t="s">
        <v>147</v>
      </c>
    </row>
    <row r="1010" customFormat="false" ht="15" hidden="false" customHeight="false" outlineLevel="0" collapsed="false">
      <c r="A1010" s="11" t="s">
        <v>109</v>
      </c>
      <c r="B1010" s="11" t="s">
        <v>126</v>
      </c>
      <c r="C1010" s="11" t="n">
        <v>8</v>
      </c>
      <c r="D1010" s="11" t="s">
        <v>78</v>
      </c>
      <c r="E1010" s="11" t="s">
        <v>160</v>
      </c>
      <c r="F1010" s="11" t="s">
        <v>77</v>
      </c>
      <c r="G1010" s="12" t="n">
        <v>85</v>
      </c>
      <c r="H1010" s="12" t="n">
        <f aca="false">SUMPRODUCT(ПОТОКИ!B13:G13,ЧАСОВЫЕ_ПРОФИЛИ!B13:G13,КОЭФФИЦИЕНТЫ_ВЫБОРА!F18:K18)</f>
        <v>0.108</v>
      </c>
      <c r="I1010" s="12" t="n">
        <f aca="false">SUMPRODUCT(ПОТОКИ!B13:G13,ЧАСОВЫЕ_ПРОФИЛИ!B13:G13,КОЭФФИЦИЕНТЫ_ВЫБОРА!F18:K18,ПАРАМЕТРЫ!$B$17:$G$17)</f>
        <v>0.1188</v>
      </c>
      <c r="J1010" s="12" t="n">
        <f aca="false">I1010*G1010/1000</f>
        <v>0.010098</v>
      </c>
      <c r="K1010" s="11" t="s">
        <v>217</v>
      </c>
      <c r="L1010" s="11" t="s">
        <v>19</v>
      </c>
      <c r="M1010" s="11" t="s">
        <v>147</v>
      </c>
    </row>
    <row r="1011" customFormat="false" ht="15" hidden="false" customHeight="false" outlineLevel="0" collapsed="false">
      <c r="A1011" s="11" t="s">
        <v>109</v>
      </c>
      <c r="B1011" s="11" t="s">
        <v>126</v>
      </c>
      <c r="C1011" s="11" t="n">
        <v>9</v>
      </c>
      <c r="D1011" s="11" t="s">
        <v>161</v>
      </c>
      <c r="E1011" s="11" t="s">
        <v>162</v>
      </c>
      <c r="F1011" s="11" t="s">
        <v>80</v>
      </c>
      <c r="G1011" s="12" t="n">
        <v>300</v>
      </c>
      <c r="H1011" s="12" t="n">
        <f aca="false">SUMPRODUCT(ПОТОКИ!B13:G13,ЧАСОВЫЕ_ПРОФИЛИ!B13:G13,КОЭФФИЦИЕНТЫ_ВЫБОРА!F19:K19)</f>
        <v>0</v>
      </c>
      <c r="I1011" s="12" t="n">
        <f aca="false">SUMPRODUCT(ПОТОКИ!B13:G13,ЧАСОВЫЕ_ПРОФИЛИ!B13:G13,КОЭФФИЦИЕНТЫ_ВЫБОРА!F19:K19,ПАРАМЕТРЫ!$B$17:$G$17)</f>
        <v>0</v>
      </c>
      <c r="J1011" s="12" t="n">
        <f aca="false">I1011*G1011/1000</f>
        <v>0</v>
      </c>
      <c r="K1011" s="11" t="s">
        <v>217</v>
      </c>
      <c r="L1011" s="11" t="s">
        <v>19</v>
      </c>
      <c r="M1011" s="11" t="s">
        <v>145</v>
      </c>
    </row>
    <row r="1012" customFormat="false" ht="15" hidden="false" customHeight="false" outlineLevel="0" collapsed="false">
      <c r="A1012" s="11" t="s">
        <v>109</v>
      </c>
      <c r="B1012" s="11" t="s">
        <v>126</v>
      </c>
      <c r="C1012" s="11" t="n">
        <v>10</v>
      </c>
      <c r="D1012" s="11" t="s">
        <v>161</v>
      </c>
      <c r="E1012" s="11" t="s">
        <v>163</v>
      </c>
      <c r="F1012" s="11" t="s">
        <v>80</v>
      </c>
      <c r="G1012" s="12" t="n">
        <v>280</v>
      </c>
      <c r="H1012" s="12" t="n">
        <f aca="false">SUMPRODUCT(ПОТОКИ!B13:G13,ЧАСОВЫЕ_ПРОФИЛИ!B13:G13,КОЭФФИЦИЕНТЫ_ВЫБОРА!F20:K20)</f>
        <v>0</v>
      </c>
      <c r="I1012" s="12" t="n">
        <f aca="false">SUMPRODUCT(ПОТОКИ!B13:G13,ЧАСОВЫЕ_ПРОФИЛИ!B13:G13,КОЭФФИЦИЕНТЫ_ВЫБОРА!F20:K20,ПАРАМЕТРЫ!$B$17:$G$17)</f>
        <v>0</v>
      </c>
      <c r="J1012" s="12" t="n">
        <f aca="false">I1012*G1012/1000</f>
        <v>0</v>
      </c>
      <c r="K1012" s="11" t="s">
        <v>217</v>
      </c>
      <c r="L1012" s="11" t="s">
        <v>19</v>
      </c>
      <c r="M1012" s="11" t="s">
        <v>145</v>
      </c>
    </row>
    <row r="1013" customFormat="false" ht="15" hidden="false" customHeight="false" outlineLevel="0" collapsed="false">
      <c r="A1013" s="11" t="s">
        <v>109</v>
      </c>
      <c r="B1013" s="11" t="s">
        <v>126</v>
      </c>
      <c r="C1013" s="11" t="n">
        <v>11</v>
      </c>
      <c r="D1013" s="11" t="s">
        <v>161</v>
      </c>
      <c r="E1013" s="11" t="s">
        <v>164</v>
      </c>
      <c r="F1013" s="11" t="s">
        <v>80</v>
      </c>
      <c r="G1013" s="12" t="n">
        <v>270</v>
      </c>
      <c r="H1013" s="12" t="n">
        <f aca="false">SUMPRODUCT(ПОТОКИ!B13:G13,ЧАСОВЫЕ_ПРОФИЛИ!B13:G13,КОЭФФИЦИЕНТЫ_ВЫБОРА!F21:K21)</f>
        <v>0</v>
      </c>
      <c r="I1013" s="12" t="n">
        <f aca="false">SUMPRODUCT(ПОТОКИ!B13:G13,ЧАСОВЫЕ_ПРОФИЛИ!B13:G13,КОЭФФИЦИЕНТЫ_ВЫБОРА!F21:K21,ПАРАМЕТРЫ!$B$17:$G$17)</f>
        <v>0</v>
      </c>
      <c r="J1013" s="12" t="n">
        <f aca="false">I1013*G1013/1000</f>
        <v>0</v>
      </c>
      <c r="K1013" s="11" t="s">
        <v>217</v>
      </c>
      <c r="L1013" s="11" t="s">
        <v>19</v>
      </c>
      <c r="M1013" s="11" t="s">
        <v>145</v>
      </c>
    </row>
    <row r="1014" customFormat="false" ht="15" hidden="false" customHeight="false" outlineLevel="0" collapsed="false">
      <c r="A1014" s="11" t="s">
        <v>109</v>
      </c>
      <c r="B1014" s="11" t="s">
        <v>126</v>
      </c>
      <c r="C1014" s="11" t="n">
        <v>12</v>
      </c>
      <c r="D1014" s="11" t="s">
        <v>161</v>
      </c>
      <c r="E1014" s="11" t="s">
        <v>165</v>
      </c>
      <c r="F1014" s="11" t="s">
        <v>80</v>
      </c>
      <c r="G1014" s="12" t="n">
        <v>240</v>
      </c>
      <c r="H1014" s="12" t="n">
        <f aca="false">SUMPRODUCT(ПОТОКИ!B13:G13,ЧАСОВЫЕ_ПРОФИЛИ!B13:G13,КОЭФФИЦИЕНТЫ_ВЫБОРА!F22:K22)</f>
        <v>0</v>
      </c>
      <c r="I1014" s="12" t="n">
        <f aca="false">SUMPRODUCT(ПОТОКИ!B13:G13,ЧАСОВЫЕ_ПРОФИЛИ!B13:G13,КОЭФФИЦИЕНТЫ_ВЫБОРА!F22:K22,ПАРАМЕТРЫ!$B$17:$G$17)</f>
        <v>0</v>
      </c>
      <c r="J1014" s="12" t="n">
        <f aca="false">I1014*G1014/1000</f>
        <v>0</v>
      </c>
      <c r="K1014" s="11" t="s">
        <v>217</v>
      </c>
      <c r="L1014" s="11" t="s">
        <v>19</v>
      </c>
      <c r="M1014" s="11" t="s">
        <v>145</v>
      </c>
    </row>
    <row r="1015" customFormat="false" ht="15" hidden="false" customHeight="false" outlineLevel="0" collapsed="false">
      <c r="A1015" s="11" t="s">
        <v>109</v>
      </c>
      <c r="B1015" s="11" t="s">
        <v>126</v>
      </c>
      <c r="C1015" s="11" t="n">
        <v>13</v>
      </c>
      <c r="D1015" s="11" t="s">
        <v>166</v>
      </c>
      <c r="E1015" s="11" t="s">
        <v>167</v>
      </c>
      <c r="F1015" s="11" t="s">
        <v>80</v>
      </c>
      <c r="G1015" s="12" t="n">
        <v>130</v>
      </c>
      <c r="H1015" s="12" t="n">
        <f aca="false">SUMPRODUCT(ПОТОКИ!B13:G13,ЧАСОВЫЕ_ПРОФИЛИ!B13:G13,КОЭФФИЦИЕНТЫ_ВЫБОРА!F23:K23)</f>
        <v>0</v>
      </c>
      <c r="I1015" s="12" t="n">
        <f aca="false">SUMPRODUCT(ПОТОКИ!B13:G13,ЧАСОВЫЕ_ПРОФИЛИ!B13:G13,КОЭФФИЦИЕНТЫ_ВЫБОРА!F23:K23,ПАРАМЕТРЫ!$B$17:$G$17)</f>
        <v>0</v>
      </c>
      <c r="J1015" s="12" t="n">
        <f aca="false">I1015*G1015/1000</f>
        <v>0</v>
      </c>
      <c r="K1015" s="11" t="s">
        <v>217</v>
      </c>
      <c r="L1015" s="11" t="s">
        <v>19</v>
      </c>
      <c r="M1015" s="11" t="s">
        <v>145</v>
      </c>
    </row>
    <row r="1016" customFormat="false" ht="15" hidden="false" customHeight="false" outlineLevel="0" collapsed="false">
      <c r="A1016" s="11" t="s">
        <v>109</v>
      </c>
      <c r="B1016" s="11" t="s">
        <v>126</v>
      </c>
      <c r="C1016" s="11" t="n">
        <v>14</v>
      </c>
      <c r="D1016" s="11" t="s">
        <v>166</v>
      </c>
      <c r="E1016" s="11" t="s">
        <v>168</v>
      </c>
      <c r="F1016" s="11" t="s">
        <v>80</v>
      </c>
      <c r="G1016" s="12" t="n">
        <v>250</v>
      </c>
      <c r="H1016" s="12" t="n">
        <f aca="false">SUMPRODUCT(ПОТОКИ!B13:G13,ЧАСОВЫЕ_ПРОФИЛИ!B13:G13,КОЭФФИЦИЕНТЫ_ВЫБОРА!F24:K24)</f>
        <v>0</v>
      </c>
      <c r="I1016" s="12" t="n">
        <f aca="false">SUMPRODUCT(ПОТОКИ!B13:G13,ЧАСОВЫЕ_ПРОФИЛИ!B13:G13,КОЭФФИЦИЕНТЫ_ВЫБОРА!F24:K24,ПАРАМЕТРЫ!$B$17:$G$17)</f>
        <v>0</v>
      </c>
      <c r="J1016" s="12" t="n">
        <f aca="false">I1016*G1016/1000</f>
        <v>0</v>
      </c>
      <c r="K1016" s="11" t="s">
        <v>217</v>
      </c>
      <c r="L1016" s="11" t="s">
        <v>19</v>
      </c>
      <c r="M1016" s="11" t="s">
        <v>145</v>
      </c>
    </row>
    <row r="1017" customFormat="false" ht="15" hidden="false" customHeight="false" outlineLevel="0" collapsed="false">
      <c r="A1017" s="11" t="s">
        <v>109</v>
      </c>
      <c r="B1017" s="11" t="s">
        <v>126</v>
      </c>
      <c r="C1017" s="11" t="n">
        <v>15</v>
      </c>
      <c r="D1017" s="11" t="s">
        <v>166</v>
      </c>
      <c r="E1017" s="11" t="s">
        <v>169</v>
      </c>
      <c r="F1017" s="11" t="s">
        <v>80</v>
      </c>
      <c r="G1017" s="12" t="n">
        <v>120</v>
      </c>
      <c r="H1017" s="12" t="n">
        <f aca="false">SUMPRODUCT(ПОТОКИ!B13:G13,ЧАСОВЫЕ_ПРОФИЛИ!B13:G13,КОЭФФИЦИЕНТЫ_ВЫБОРА!F25:K25)</f>
        <v>0</v>
      </c>
      <c r="I1017" s="12" t="n">
        <f aca="false">SUMPRODUCT(ПОТОКИ!B13:G13,ЧАСОВЫЕ_ПРОФИЛИ!B13:G13,КОЭФФИЦИЕНТЫ_ВЫБОРА!F25:K25,ПАРАМЕТРЫ!$B$17:$G$17)</f>
        <v>0</v>
      </c>
      <c r="J1017" s="12" t="n">
        <f aca="false">I1017*G1017/1000</f>
        <v>0</v>
      </c>
      <c r="K1017" s="11" t="s">
        <v>217</v>
      </c>
      <c r="L1017" s="11" t="s">
        <v>19</v>
      </c>
      <c r="M1017" s="11" t="s">
        <v>145</v>
      </c>
    </row>
    <row r="1018" customFormat="false" ht="15" hidden="false" customHeight="false" outlineLevel="0" collapsed="false">
      <c r="A1018" s="11" t="s">
        <v>109</v>
      </c>
      <c r="B1018" s="11" t="s">
        <v>126</v>
      </c>
      <c r="C1018" s="11" t="n">
        <v>16</v>
      </c>
      <c r="D1018" s="11" t="s">
        <v>166</v>
      </c>
      <c r="E1018" s="11" t="s">
        <v>170</v>
      </c>
      <c r="F1018" s="11" t="s">
        <v>80</v>
      </c>
      <c r="G1018" s="12" t="n">
        <v>180</v>
      </c>
      <c r="H1018" s="12" t="n">
        <f aca="false">SUMPRODUCT(ПОТОКИ!B13:G13,ЧАСОВЫЕ_ПРОФИЛИ!B13:G13,КОЭФФИЦИЕНТЫ_ВЫБОРА!F26:K26)</f>
        <v>0</v>
      </c>
      <c r="I1018" s="12" t="n">
        <f aca="false">SUMPRODUCT(ПОТОКИ!B13:G13,ЧАСОВЫЕ_ПРОФИЛИ!B13:G13,КОЭФФИЦИЕНТЫ_ВЫБОРА!F26:K26,ПАРАМЕТРЫ!$B$17:$G$17)</f>
        <v>0</v>
      </c>
      <c r="J1018" s="12" t="n">
        <f aca="false">I1018*G1018/1000</f>
        <v>0</v>
      </c>
      <c r="K1018" s="11" t="s">
        <v>217</v>
      </c>
      <c r="L1018" s="11" t="s">
        <v>19</v>
      </c>
      <c r="M1018" s="11" t="s">
        <v>145</v>
      </c>
    </row>
    <row r="1019" customFormat="false" ht="15" hidden="false" customHeight="false" outlineLevel="0" collapsed="false">
      <c r="A1019" s="11" t="s">
        <v>109</v>
      </c>
      <c r="B1019" s="11" t="s">
        <v>126</v>
      </c>
      <c r="C1019" s="11" t="n">
        <v>17</v>
      </c>
      <c r="D1019" s="11" t="s">
        <v>166</v>
      </c>
      <c r="E1019" s="11" t="s">
        <v>171</v>
      </c>
      <c r="F1019" s="11" t="s">
        <v>80</v>
      </c>
      <c r="G1019" s="12" t="n">
        <v>180</v>
      </c>
      <c r="H1019" s="12" t="n">
        <f aca="false">SUMPRODUCT(ПОТОКИ!B13:G13,ЧАСОВЫЕ_ПРОФИЛИ!B13:G13,КОЭФФИЦИЕНТЫ_ВЫБОРА!F27:K27)</f>
        <v>0</v>
      </c>
      <c r="I1019" s="12" t="n">
        <f aca="false">SUMPRODUCT(ПОТОКИ!B13:G13,ЧАСОВЫЕ_ПРОФИЛИ!B13:G13,КОЭФФИЦИЕНТЫ_ВЫБОРА!F27:K27,ПАРАМЕТРЫ!$B$17:$G$17)</f>
        <v>0</v>
      </c>
      <c r="J1019" s="12" t="n">
        <f aca="false">I1019*G1019/1000</f>
        <v>0</v>
      </c>
      <c r="K1019" s="11" t="s">
        <v>217</v>
      </c>
      <c r="L1019" s="11" t="s">
        <v>19</v>
      </c>
      <c r="M1019" s="11" t="s">
        <v>145</v>
      </c>
    </row>
    <row r="1020" customFormat="false" ht="15" hidden="false" customHeight="false" outlineLevel="0" collapsed="false">
      <c r="A1020" s="11" t="s">
        <v>109</v>
      </c>
      <c r="B1020" s="11" t="s">
        <v>126</v>
      </c>
      <c r="C1020" s="11" t="n">
        <v>18</v>
      </c>
      <c r="D1020" s="11" t="s">
        <v>172</v>
      </c>
      <c r="E1020" s="11" t="s">
        <v>173</v>
      </c>
      <c r="F1020" s="11" t="s">
        <v>83</v>
      </c>
      <c r="G1020" s="12" t="n">
        <v>400</v>
      </c>
      <c r="H1020" s="12" t="n">
        <f aca="false">SUMPRODUCT(ПОТОКИ!B13:G13,ЧАСОВЫЕ_ПРОФИЛИ!B13:G13,КОЭФФИЦИЕНТЫ_ВЫБОРА!F28:K28)</f>
        <v>0</v>
      </c>
      <c r="I1020" s="12" t="n">
        <f aca="false">SUMPRODUCT(ПОТОКИ!B13:G13,ЧАСОВЫЕ_ПРОФИЛИ!B13:G13,КОЭФФИЦИЕНТЫ_ВЫБОРА!F28:K28,ПАРАМЕТРЫ!$B$17:$G$17)</f>
        <v>0</v>
      </c>
      <c r="J1020" s="12" t="n">
        <f aca="false">I1020*G1020/1000</f>
        <v>0</v>
      </c>
      <c r="K1020" s="11" t="s">
        <v>217</v>
      </c>
      <c r="L1020" s="11" t="s">
        <v>19</v>
      </c>
      <c r="M1020" s="11" t="s">
        <v>145</v>
      </c>
    </row>
    <row r="1021" customFormat="false" ht="23.85" hidden="false" customHeight="false" outlineLevel="0" collapsed="false">
      <c r="A1021" s="11" t="s">
        <v>109</v>
      </c>
      <c r="B1021" s="11" t="s">
        <v>126</v>
      </c>
      <c r="C1021" s="11" t="n">
        <v>19</v>
      </c>
      <c r="D1021" s="11" t="s">
        <v>174</v>
      </c>
      <c r="E1021" s="11" t="s">
        <v>175</v>
      </c>
      <c r="F1021" s="11" t="s">
        <v>83</v>
      </c>
      <c r="G1021" s="12" t="n">
        <v>300</v>
      </c>
      <c r="H1021" s="12" t="n">
        <f aca="false">SUMPRODUCT(ПОТОКИ!B13:G13,ЧАСОВЫЕ_ПРОФИЛИ!B13:G13,КОЭФФИЦИЕНТЫ_ВЫБОРА!F29:K29)</f>
        <v>0</v>
      </c>
      <c r="I1021" s="12" t="n">
        <f aca="false">SUMPRODUCT(ПОТОКИ!B13:G13,ЧАСОВЫЕ_ПРОФИЛИ!B13:G13,КОЭФФИЦИЕНТЫ_ВЫБОРА!F29:K29,ПАРАМЕТРЫ!$B$17:$G$17)</f>
        <v>0</v>
      </c>
      <c r="J1021" s="12" t="n">
        <f aca="false">I1021*G1021/1000</f>
        <v>0</v>
      </c>
      <c r="K1021" s="11" t="s">
        <v>217</v>
      </c>
      <c r="L1021" s="11" t="s">
        <v>19</v>
      </c>
      <c r="M1021" s="11" t="s">
        <v>145</v>
      </c>
    </row>
    <row r="1022" customFormat="false" ht="15" hidden="false" customHeight="false" outlineLevel="0" collapsed="false">
      <c r="A1022" s="11" t="s">
        <v>109</v>
      </c>
      <c r="B1022" s="11" t="s">
        <v>126</v>
      </c>
      <c r="C1022" s="11" t="n">
        <v>20</v>
      </c>
      <c r="D1022" s="11" t="s">
        <v>174</v>
      </c>
      <c r="E1022" s="11" t="s">
        <v>176</v>
      </c>
      <c r="F1022" s="11" t="s">
        <v>83</v>
      </c>
      <c r="G1022" s="12" t="n">
        <v>360</v>
      </c>
      <c r="H1022" s="12" t="n">
        <f aca="false">SUMPRODUCT(ПОТОКИ!B13:G13,ЧАСОВЫЕ_ПРОФИЛИ!B13:G13,КОЭФФИЦИЕНТЫ_ВЫБОРА!F30:K30)</f>
        <v>0</v>
      </c>
      <c r="I1022" s="12" t="n">
        <f aca="false">SUMPRODUCT(ПОТОКИ!B13:G13,ЧАСОВЫЕ_ПРОФИЛИ!B13:G13,КОЭФФИЦИЕНТЫ_ВЫБОРА!F30:K30,ПАРАМЕТРЫ!$B$17:$G$17)</f>
        <v>0</v>
      </c>
      <c r="J1022" s="12" t="n">
        <f aca="false">I1022*G1022/1000</f>
        <v>0</v>
      </c>
      <c r="K1022" s="11" t="s">
        <v>217</v>
      </c>
      <c r="L1022" s="11" t="s">
        <v>19</v>
      </c>
      <c r="M1022" s="11" t="s">
        <v>145</v>
      </c>
    </row>
    <row r="1023" customFormat="false" ht="15" hidden="false" customHeight="false" outlineLevel="0" collapsed="false">
      <c r="A1023" s="11" t="s">
        <v>109</v>
      </c>
      <c r="B1023" s="11" t="s">
        <v>126</v>
      </c>
      <c r="C1023" s="11" t="n">
        <v>21</v>
      </c>
      <c r="D1023" s="11" t="s">
        <v>174</v>
      </c>
      <c r="E1023" s="11" t="s">
        <v>177</v>
      </c>
      <c r="F1023" s="11" t="s">
        <v>83</v>
      </c>
      <c r="G1023" s="12" t="n">
        <v>350</v>
      </c>
      <c r="H1023" s="12" t="n">
        <f aca="false">SUMPRODUCT(ПОТОКИ!B13:G13,ЧАСОВЫЕ_ПРОФИЛИ!B13:G13,КОЭФФИЦИЕНТЫ_ВЫБОРА!F31:K31)</f>
        <v>0</v>
      </c>
      <c r="I1023" s="12" t="n">
        <f aca="false">SUMPRODUCT(ПОТОКИ!B13:G13,ЧАСОВЫЕ_ПРОФИЛИ!B13:G13,КОЭФФИЦИЕНТЫ_ВЫБОРА!F31:K31,ПАРАМЕТРЫ!$B$17:$G$17)</f>
        <v>0</v>
      </c>
      <c r="J1023" s="12" t="n">
        <f aca="false">I1023*G1023/1000</f>
        <v>0</v>
      </c>
      <c r="K1023" s="11" t="s">
        <v>217</v>
      </c>
      <c r="L1023" s="11" t="s">
        <v>19</v>
      </c>
      <c r="M1023" s="11" t="s">
        <v>145</v>
      </c>
    </row>
    <row r="1024" customFormat="false" ht="15" hidden="false" customHeight="false" outlineLevel="0" collapsed="false">
      <c r="A1024" s="11" t="s">
        <v>109</v>
      </c>
      <c r="B1024" s="11" t="s">
        <v>126</v>
      </c>
      <c r="C1024" s="11" t="n">
        <v>22</v>
      </c>
      <c r="D1024" s="11" t="s">
        <v>174</v>
      </c>
      <c r="E1024" s="11" t="s">
        <v>178</v>
      </c>
      <c r="F1024" s="11" t="s">
        <v>83</v>
      </c>
      <c r="G1024" s="12" t="n">
        <v>300</v>
      </c>
      <c r="H1024" s="12" t="n">
        <f aca="false">SUMPRODUCT(ПОТОКИ!B13:G13,ЧАСОВЫЕ_ПРОФИЛИ!B13:G13,КОЭФФИЦИЕНТЫ_ВЫБОРА!F32:K32)</f>
        <v>0</v>
      </c>
      <c r="I1024" s="12" t="n">
        <f aca="false">SUMPRODUCT(ПОТОКИ!B13:G13,ЧАСОВЫЕ_ПРОФИЛИ!B13:G13,КОЭФФИЦИЕНТЫ_ВЫБОРА!F32:K32,ПАРАМЕТРЫ!$B$17:$G$17)</f>
        <v>0</v>
      </c>
      <c r="J1024" s="12" t="n">
        <f aca="false">I1024*G1024/1000</f>
        <v>0</v>
      </c>
      <c r="K1024" s="11" t="s">
        <v>217</v>
      </c>
      <c r="L1024" s="11" t="s">
        <v>19</v>
      </c>
      <c r="M1024" s="11" t="s">
        <v>145</v>
      </c>
    </row>
    <row r="1025" customFormat="false" ht="15" hidden="false" customHeight="false" outlineLevel="0" collapsed="false">
      <c r="A1025" s="11" t="s">
        <v>109</v>
      </c>
      <c r="B1025" s="11" t="s">
        <v>126</v>
      </c>
      <c r="C1025" s="11" t="n">
        <v>23</v>
      </c>
      <c r="D1025" s="11" t="s">
        <v>86</v>
      </c>
      <c r="E1025" s="11" t="s">
        <v>179</v>
      </c>
      <c r="F1025" s="11" t="s">
        <v>85</v>
      </c>
      <c r="G1025" s="12" t="n">
        <v>150</v>
      </c>
      <c r="H1025" s="12" t="n">
        <f aca="false">SUMPRODUCT(ПОТОКИ!B13:G13,ЧАСОВЫЕ_ПРОФИЛИ!B13:G13,КОЭФФИЦИЕНТЫ_ВЫБОРА!F33:K33)</f>
        <v>0</v>
      </c>
      <c r="I1025" s="12" t="n">
        <f aca="false">SUMPRODUCT(ПОТОКИ!B13:G13,ЧАСОВЫЕ_ПРОФИЛИ!B13:G13,КОЭФФИЦИЕНТЫ_ВЫБОРА!F33:K33,ПАРАМЕТРЫ!$B$17:$G$17)</f>
        <v>0</v>
      </c>
      <c r="J1025" s="12" t="n">
        <f aca="false">I1025*G1025/1000</f>
        <v>0</v>
      </c>
      <c r="K1025" s="11" t="s">
        <v>217</v>
      </c>
      <c r="L1025" s="11" t="s">
        <v>19</v>
      </c>
      <c r="M1025" s="11" t="s">
        <v>147</v>
      </c>
    </row>
    <row r="1026" customFormat="false" ht="15" hidden="false" customHeight="false" outlineLevel="0" collapsed="false">
      <c r="A1026" s="11" t="s">
        <v>109</v>
      </c>
      <c r="B1026" s="11" t="s">
        <v>126</v>
      </c>
      <c r="C1026" s="11" t="n">
        <v>24</v>
      </c>
      <c r="D1026" s="11" t="s">
        <v>86</v>
      </c>
      <c r="E1026" s="11" t="s">
        <v>180</v>
      </c>
      <c r="F1026" s="11" t="s">
        <v>85</v>
      </c>
      <c r="G1026" s="12" t="n">
        <v>150</v>
      </c>
      <c r="H1026" s="12" t="n">
        <f aca="false">SUMPRODUCT(ПОТОКИ!B13:G13,ЧАСОВЫЕ_ПРОФИЛИ!B13:G13,КОЭФФИЦИЕНТЫ_ВЫБОРА!F34:K34)</f>
        <v>0</v>
      </c>
      <c r="I1026" s="12" t="n">
        <f aca="false">SUMPRODUCT(ПОТОКИ!B13:G13,ЧАСОВЫЕ_ПРОФИЛИ!B13:G13,КОЭФФИЦИЕНТЫ_ВЫБОРА!F34:K34,ПАРАМЕТРЫ!$B$17:$G$17)</f>
        <v>0</v>
      </c>
      <c r="J1026" s="12" t="n">
        <f aca="false">I1026*G1026/1000</f>
        <v>0</v>
      </c>
      <c r="K1026" s="11" t="s">
        <v>217</v>
      </c>
      <c r="L1026" s="11" t="s">
        <v>19</v>
      </c>
      <c r="M1026" s="11" t="s">
        <v>147</v>
      </c>
    </row>
    <row r="1027" customFormat="false" ht="15" hidden="false" customHeight="false" outlineLevel="0" collapsed="false">
      <c r="A1027" s="11" t="s">
        <v>109</v>
      </c>
      <c r="B1027" s="11" t="s">
        <v>126</v>
      </c>
      <c r="C1027" s="11" t="n">
        <v>25</v>
      </c>
      <c r="D1027" s="11" t="s">
        <v>86</v>
      </c>
      <c r="E1027" s="11" t="s">
        <v>181</v>
      </c>
      <c r="F1027" s="11" t="s">
        <v>85</v>
      </c>
      <c r="G1027" s="12" t="n">
        <v>150</v>
      </c>
      <c r="H1027" s="12" t="n">
        <f aca="false">SUMPRODUCT(ПОТОКИ!B13:G13,ЧАСОВЫЕ_ПРОФИЛИ!B13:G13,КОЭФФИЦИЕНТЫ_ВЫБОРА!F35:K35)</f>
        <v>0</v>
      </c>
      <c r="I1027" s="12" t="n">
        <f aca="false">SUMPRODUCT(ПОТОКИ!B13:G13,ЧАСОВЫЕ_ПРОФИЛИ!B13:G13,КОЭФФИЦИЕНТЫ_ВЫБОРА!F35:K35,ПАРАМЕТРЫ!$B$17:$G$17)</f>
        <v>0</v>
      </c>
      <c r="J1027" s="12" t="n">
        <f aca="false">I1027*G1027/1000</f>
        <v>0</v>
      </c>
      <c r="K1027" s="11" t="s">
        <v>217</v>
      </c>
      <c r="L1027" s="11" t="s">
        <v>19</v>
      </c>
      <c r="M1027" s="11" t="s">
        <v>147</v>
      </c>
    </row>
    <row r="1028" customFormat="false" ht="23.85" hidden="false" customHeight="false" outlineLevel="0" collapsed="false">
      <c r="A1028" s="11" t="s">
        <v>109</v>
      </c>
      <c r="B1028" s="11" t="s">
        <v>126</v>
      </c>
      <c r="C1028" s="11" t="n">
        <v>26</v>
      </c>
      <c r="D1028" s="11" t="s">
        <v>89</v>
      </c>
      <c r="E1028" s="11" t="s">
        <v>182</v>
      </c>
      <c r="F1028" s="11" t="s">
        <v>88</v>
      </c>
      <c r="G1028" s="12" t="n">
        <v>225</v>
      </c>
      <c r="H1028" s="12" t="n">
        <f aca="false">SUMPRODUCT(ПОТОКИ!B13:G13,ЧАСОВЫЕ_ПРОФИЛИ!B13:G13,КОЭФФИЦИЕНТЫ_ВЫБОРА!F36:K36)</f>
        <v>2.475</v>
      </c>
      <c r="I1028" s="12" t="n">
        <f aca="false">SUMPRODUCT(ПОТОКИ!B13:G13,ЧАСОВЫЕ_ПРОФИЛИ!B13:G13,КОЭФФИЦИЕНТЫ_ВЫБОРА!F36:K36,ПАРАМЕТРЫ!$B$17:$G$17)</f>
        <v>2.475</v>
      </c>
      <c r="J1028" s="12" t="n">
        <f aca="false">I1028*G1028/1000</f>
        <v>0.556875</v>
      </c>
      <c r="K1028" s="11" t="s">
        <v>217</v>
      </c>
      <c r="L1028" s="11" t="s">
        <v>19</v>
      </c>
      <c r="M1028" s="11" t="s">
        <v>145</v>
      </c>
    </row>
    <row r="1029" customFormat="false" ht="23.85" hidden="false" customHeight="false" outlineLevel="0" collapsed="false">
      <c r="A1029" s="11" t="s">
        <v>109</v>
      </c>
      <c r="B1029" s="11" t="s">
        <v>126</v>
      </c>
      <c r="C1029" s="11" t="n">
        <v>27</v>
      </c>
      <c r="D1029" s="11" t="s">
        <v>89</v>
      </c>
      <c r="E1029" s="11" t="s">
        <v>183</v>
      </c>
      <c r="F1029" s="11" t="s">
        <v>88</v>
      </c>
      <c r="G1029" s="12" t="n">
        <v>265</v>
      </c>
      <c r="H1029" s="12" t="n">
        <f aca="false">SUMPRODUCT(ПОТОКИ!B13:G13,ЧАСОВЫЕ_ПРОФИЛИ!B13:G13,КОЭФФИЦИЕНТЫ_ВЫБОРА!F37:K37)</f>
        <v>2.475</v>
      </c>
      <c r="I1029" s="12" t="n">
        <f aca="false">SUMPRODUCT(ПОТОКИ!B13:G13,ЧАСОВЫЕ_ПРОФИЛИ!B13:G13,КОЭФФИЦИЕНТЫ_ВЫБОРА!F37:K37,ПАРАМЕТРЫ!$B$17:$G$17)</f>
        <v>2.475</v>
      </c>
      <c r="J1029" s="12" t="n">
        <f aca="false">I1029*G1029/1000</f>
        <v>0.655875</v>
      </c>
      <c r="K1029" s="11" t="s">
        <v>217</v>
      </c>
      <c r="L1029" s="11" t="s">
        <v>19</v>
      </c>
      <c r="M1029" s="11" t="s">
        <v>145</v>
      </c>
    </row>
    <row r="1030" customFormat="false" ht="23.85" hidden="false" customHeight="false" outlineLevel="0" collapsed="false">
      <c r="A1030" s="11" t="s">
        <v>109</v>
      </c>
      <c r="B1030" s="11" t="s">
        <v>126</v>
      </c>
      <c r="C1030" s="11" t="n">
        <v>28</v>
      </c>
      <c r="D1030" s="11" t="s">
        <v>89</v>
      </c>
      <c r="E1030" s="11" t="s">
        <v>184</v>
      </c>
      <c r="F1030" s="11" t="s">
        <v>88</v>
      </c>
      <c r="G1030" s="12" t="n">
        <v>355</v>
      </c>
      <c r="H1030" s="12" t="n">
        <f aca="false">SUMPRODUCT(ПОТОКИ!B13:G13,ЧАСОВЫЕ_ПРОФИЛИ!B13:G13,КОЭФФИЦИЕНТЫ_ВЫБОРА!F38:K38)</f>
        <v>1.65</v>
      </c>
      <c r="I1030" s="12" t="n">
        <f aca="false">SUMPRODUCT(ПОТОКИ!B13:G13,ЧАСОВЫЕ_ПРОФИЛИ!B13:G13,КОЭФФИЦИЕНТЫ_ВЫБОРА!F38:K38,ПАРАМЕТРЫ!$B$17:$G$17)</f>
        <v>1.65</v>
      </c>
      <c r="J1030" s="12" t="n">
        <f aca="false">I1030*G1030/1000</f>
        <v>0.58575</v>
      </c>
      <c r="K1030" s="11" t="s">
        <v>217</v>
      </c>
      <c r="L1030" s="11" t="s">
        <v>19</v>
      </c>
      <c r="M1030" s="11" t="s">
        <v>145</v>
      </c>
    </row>
    <row r="1031" customFormat="false" ht="15" hidden="false" customHeight="false" outlineLevel="0" collapsed="false">
      <c r="A1031" s="11" t="s">
        <v>109</v>
      </c>
      <c r="B1031" s="11" t="s">
        <v>126</v>
      </c>
      <c r="C1031" s="11" t="n">
        <v>29</v>
      </c>
      <c r="D1031" s="11" t="s">
        <v>92</v>
      </c>
      <c r="E1031" s="11" t="s">
        <v>185</v>
      </c>
      <c r="F1031" s="11" t="s">
        <v>91</v>
      </c>
      <c r="G1031" s="12" t="n">
        <v>150</v>
      </c>
      <c r="H1031" s="12" t="n">
        <f aca="false">SUMPRODUCT(ПОТОКИ!B13:G13,ЧАСОВЫЕ_ПРОФИЛИ!B13:G13,КОЭФФИЦИЕНТЫ_ВЫБОРА!F39:K39)</f>
        <v>0.108</v>
      </c>
      <c r="I1031" s="12" t="n">
        <f aca="false">SUMPRODUCT(ПОТОКИ!B13:G13,ЧАСОВЫЕ_ПРОФИЛИ!B13:G13,КОЭФФИЦИЕНТЫ_ВЫБОРА!F39:K39,ПАРАМЕТРЫ!$B$17:$G$17)</f>
        <v>0.1188</v>
      </c>
      <c r="J1031" s="12" t="n">
        <f aca="false">I1031*G1031/1000</f>
        <v>0.01782</v>
      </c>
      <c r="K1031" s="11" t="s">
        <v>217</v>
      </c>
      <c r="L1031" s="11" t="s">
        <v>19</v>
      </c>
      <c r="M1031" s="11" t="s">
        <v>145</v>
      </c>
    </row>
    <row r="1032" customFormat="false" ht="15" hidden="false" customHeight="false" outlineLevel="0" collapsed="false">
      <c r="A1032" s="11" t="s">
        <v>109</v>
      </c>
      <c r="B1032" s="11" t="s">
        <v>126</v>
      </c>
      <c r="C1032" s="11" t="n">
        <v>30</v>
      </c>
      <c r="D1032" s="11" t="s">
        <v>92</v>
      </c>
      <c r="E1032" s="11" t="s">
        <v>186</v>
      </c>
      <c r="F1032" s="11" t="s">
        <v>91</v>
      </c>
      <c r="G1032" s="12" t="n">
        <v>120</v>
      </c>
      <c r="H1032" s="12" t="n">
        <f aca="false">SUMPRODUCT(ПОТОКИ!B13:G13,ЧАСОВЫЕ_ПРОФИЛИ!B13:G13,КОЭФФИЦИЕНТЫ_ВЫБОРА!F40:K40)</f>
        <v>0.108</v>
      </c>
      <c r="I1032" s="12" t="n">
        <f aca="false">SUMPRODUCT(ПОТОКИ!B13:G13,ЧАСОВЫЕ_ПРОФИЛИ!B13:G13,КОЭФФИЦИЕНТЫ_ВЫБОРА!F40:K40,ПАРАМЕТРЫ!$B$17:$G$17)</f>
        <v>0.1188</v>
      </c>
      <c r="J1032" s="12" t="n">
        <f aca="false">I1032*G1032/1000</f>
        <v>0.014256</v>
      </c>
      <c r="K1032" s="11" t="s">
        <v>217</v>
      </c>
      <c r="L1032" s="11" t="s">
        <v>19</v>
      </c>
      <c r="M1032" s="11" t="s">
        <v>145</v>
      </c>
    </row>
    <row r="1033" customFormat="false" ht="15" hidden="false" customHeight="false" outlineLevel="0" collapsed="false">
      <c r="A1033" s="11" t="s">
        <v>109</v>
      </c>
      <c r="B1033" s="11" t="s">
        <v>126</v>
      </c>
      <c r="C1033" s="11" t="n">
        <v>31</v>
      </c>
      <c r="D1033" s="11" t="s">
        <v>92</v>
      </c>
      <c r="E1033" s="11" t="s">
        <v>187</v>
      </c>
      <c r="F1033" s="11" t="s">
        <v>91</v>
      </c>
      <c r="G1033" s="12" t="n">
        <v>60</v>
      </c>
      <c r="H1033" s="12" t="n">
        <f aca="false">SUMPRODUCT(ПОТОКИ!B13:G13,ЧАСОВЫЕ_ПРОФИЛИ!B13:G13,КОЭФФИЦИЕНТЫ_ВЫБОРА!F41:K41)</f>
        <v>0.144</v>
      </c>
      <c r="I1033" s="12" t="n">
        <f aca="false">SUMPRODUCT(ПОТОКИ!B13:G13,ЧАСОВЫЕ_ПРОФИЛИ!B13:G13,КОЭФФИЦИЕНТЫ_ВЫБОРА!F41:K41,ПАРАМЕТРЫ!$B$17:$G$17)</f>
        <v>0.1584</v>
      </c>
      <c r="J1033" s="12" t="n">
        <f aca="false">I1033*G1033/1000</f>
        <v>0.009504</v>
      </c>
      <c r="K1033" s="11" t="s">
        <v>217</v>
      </c>
      <c r="L1033" s="11" t="s">
        <v>19</v>
      </c>
      <c r="M1033" s="11" t="s">
        <v>145</v>
      </c>
    </row>
    <row r="1034" customFormat="false" ht="15" hidden="false" customHeight="false" outlineLevel="0" collapsed="false">
      <c r="A1034" s="11" t="s">
        <v>109</v>
      </c>
      <c r="B1034" s="11" t="s">
        <v>127</v>
      </c>
      <c r="C1034" s="11" t="n">
        <v>1</v>
      </c>
      <c r="D1034" s="11" t="s">
        <v>74</v>
      </c>
      <c r="E1034" s="11" t="s">
        <v>153</v>
      </c>
      <c r="F1034" s="11" t="s">
        <v>73</v>
      </c>
      <c r="G1034" s="12" t="n">
        <v>450</v>
      </c>
      <c r="H1034" s="12" t="n">
        <f aca="false">SUMPRODUCT(ПОТОКИ!B13:G13,ЧАСОВЫЕ_ПРОФИЛИ!B14:G14,КОЭФФИЦИЕНТЫ_ВЫБОРА!F11:K11)</f>
        <v>0</v>
      </c>
      <c r="I1034" s="12" t="n">
        <f aca="false">SUMPRODUCT(ПОТОКИ!B13:G13,ЧАСОВЫЕ_ПРОФИЛИ!B14:G14,КОЭФФИЦИЕНТЫ_ВЫБОРА!F11:K11,ПАРАМЕТРЫ!$B$17:$G$17)</f>
        <v>0</v>
      </c>
      <c r="J1034" s="12" t="n">
        <f aca="false">I1034*G1034/1000</f>
        <v>0</v>
      </c>
      <c r="K1034" s="11" t="s">
        <v>217</v>
      </c>
      <c r="L1034" s="11" t="s">
        <v>19</v>
      </c>
      <c r="M1034" s="11" t="s">
        <v>145</v>
      </c>
    </row>
    <row r="1035" customFormat="false" ht="15" hidden="false" customHeight="false" outlineLevel="0" collapsed="false">
      <c r="A1035" s="11" t="s">
        <v>109</v>
      </c>
      <c r="B1035" s="11" t="s">
        <v>127</v>
      </c>
      <c r="C1035" s="11" t="n">
        <v>2</v>
      </c>
      <c r="D1035" s="11" t="s">
        <v>74</v>
      </c>
      <c r="E1035" s="11" t="s">
        <v>154</v>
      </c>
      <c r="F1035" s="11" t="s">
        <v>73</v>
      </c>
      <c r="G1035" s="12" t="n">
        <v>480</v>
      </c>
      <c r="H1035" s="12" t="n">
        <f aca="false">SUMPRODUCT(ПОТОКИ!B13:G13,ЧАСОВЫЕ_ПРОФИЛИ!B14:G14,КОЭФФИЦИЕНТЫ_ВЫБОРА!F12:K12)</f>
        <v>0</v>
      </c>
      <c r="I1035" s="12" t="n">
        <f aca="false">SUMPRODUCT(ПОТОКИ!B13:G13,ЧАСОВЫЕ_ПРОФИЛИ!B14:G14,КОЭФФИЦИЕНТЫ_ВЫБОРА!F12:K12,ПАРАМЕТРЫ!$B$17:$G$17)</f>
        <v>0</v>
      </c>
      <c r="J1035" s="12" t="n">
        <f aca="false">I1035*G1035/1000</f>
        <v>0</v>
      </c>
      <c r="K1035" s="11" t="s">
        <v>217</v>
      </c>
      <c r="L1035" s="11" t="s">
        <v>19</v>
      </c>
      <c r="M1035" s="11" t="s">
        <v>145</v>
      </c>
    </row>
    <row r="1036" customFormat="false" ht="15" hidden="false" customHeight="false" outlineLevel="0" collapsed="false">
      <c r="A1036" s="11" t="s">
        <v>109</v>
      </c>
      <c r="B1036" s="11" t="s">
        <v>127</v>
      </c>
      <c r="C1036" s="11" t="n">
        <v>3</v>
      </c>
      <c r="D1036" s="11" t="s">
        <v>74</v>
      </c>
      <c r="E1036" s="11" t="s">
        <v>155</v>
      </c>
      <c r="F1036" s="11" t="s">
        <v>73</v>
      </c>
      <c r="G1036" s="12" t="n">
        <v>500</v>
      </c>
      <c r="H1036" s="12" t="n">
        <f aca="false">SUMPRODUCT(ПОТОКИ!B13:G13,ЧАСОВЫЕ_ПРОФИЛИ!B14:G14,КОЭФФИЦИЕНТЫ_ВЫБОРА!F13:K13)</f>
        <v>0</v>
      </c>
      <c r="I1036" s="12" t="n">
        <f aca="false">SUMPRODUCT(ПОТОКИ!B13:G13,ЧАСОВЫЕ_ПРОФИЛИ!B14:G14,КОЭФФИЦИЕНТЫ_ВЫБОРА!F13:K13,ПАРАМЕТРЫ!$B$17:$G$17)</f>
        <v>0</v>
      </c>
      <c r="J1036" s="12" t="n">
        <f aca="false">I1036*G1036/1000</f>
        <v>0</v>
      </c>
      <c r="K1036" s="11" t="s">
        <v>217</v>
      </c>
      <c r="L1036" s="11" t="s">
        <v>19</v>
      </c>
      <c r="M1036" s="11" t="s">
        <v>145</v>
      </c>
    </row>
    <row r="1037" customFormat="false" ht="15" hidden="false" customHeight="false" outlineLevel="0" collapsed="false">
      <c r="A1037" s="11" t="s">
        <v>109</v>
      </c>
      <c r="B1037" s="11" t="s">
        <v>127</v>
      </c>
      <c r="C1037" s="11" t="n">
        <v>4</v>
      </c>
      <c r="D1037" s="11" t="s">
        <v>74</v>
      </c>
      <c r="E1037" s="11" t="s">
        <v>156</v>
      </c>
      <c r="F1037" s="11" t="s">
        <v>73</v>
      </c>
      <c r="G1037" s="12" t="n">
        <v>500</v>
      </c>
      <c r="H1037" s="12" t="n">
        <f aca="false">SUMPRODUCT(ПОТОКИ!B13:G13,ЧАСОВЫЕ_ПРОФИЛИ!B14:G14,КОЭФФИЦИЕНТЫ_ВЫБОРА!F14:K14)</f>
        <v>0</v>
      </c>
      <c r="I1037" s="12" t="n">
        <f aca="false">SUMPRODUCT(ПОТОКИ!B13:G13,ЧАСОВЫЕ_ПРОФИЛИ!B14:G14,КОЭФФИЦИЕНТЫ_ВЫБОРА!F14:K14,ПАРАМЕТРЫ!$B$17:$G$17)</f>
        <v>0</v>
      </c>
      <c r="J1037" s="12" t="n">
        <f aca="false">I1037*G1037/1000</f>
        <v>0</v>
      </c>
      <c r="K1037" s="11" t="s">
        <v>217</v>
      </c>
      <c r="L1037" s="11" t="s">
        <v>19</v>
      </c>
      <c r="M1037" s="11" t="s">
        <v>145</v>
      </c>
    </row>
    <row r="1038" customFormat="false" ht="15" hidden="false" customHeight="false" outlineLevel="0" collapsed="false">
      <c r="A1038" s="11" t="s">
        <v>109</v>
      </c>
      <c r="B1038" s="11" t="s">
        <v>127</v>
      </c>
      <c r="C1038" s="11" t="n">
        <v>5</v>
      </c>
      <c r="D1038" s="11" t="s">
        <v>78</v>
      </c>
      <c r="E1038" s="11" t="s">
        <v>157</v>
      </c>
      <c r="F1038" s="11" t="s">
        <v>77</v>
      </c>
      <c r="G1038" s="12" t="n">
        <v>100</v>
      </c>
      <c r="H1038" s="12" t="n">
        <f aca="false">SUMPRODUCT(ПОТОКИ!B13:G13,ЧАСОВЫЕ_ПРОФИЛИ!B14:G14,КОЭФФИЦИЕНТЫ_ВЫБОРА!F15:K15)</f>
        <v>0.216</v>
      </c>
      <c r="I1038" s="12" t="n">
        <f aca="false">SUMPRODUCT(ПОТОКИ!B13:G13,ЧАСОВЫЕ_ПРОФИЛИ!B14:G14,КОЭФФИЦИЕНТЫ_ВЫБОРА!F15:K15,ПАРАМЕТРЫ!$B$17:$G$17)</f>
        <v>0.2376</v>
      </c>
      <c r="J1038" s="12" t="n">
        <f aca="false">I1038*G1038/1000</f>
        <v>0.02376</v>
      </c>
      <c r="K1038" s="11" t="s">
        <v>217</v>
      </c>
      <c r="L1038" s="11" t="s">
        <v>19</v>
      </c>
      <c r="M1038" s="11" t="s">
        <v>147</v>
      </c>
    </row>
    <row r="1039" customFormat="false" ht="15" hidden="false" customHeight="false" outlineLevel="0" collapsed="false">
      <c r="A1039" s="11" t="s">
        <v>109</v>
      </c>
      <c r="B1039" s="11" t="s">
        <v>127</v>
      </c>
      <c r="C1039" s="11" t="n">
        <v>6</v>
      </c>
      <c r="D1039" s="11" t="s">
        <v>78</v>
      </c>
      <c r="E1039" s="11" t="s">
        <v>158</v>
      </c>
      <c r="F1039" s="11" t="s">
        <v>77</v>
      </c>
      <c r="G1039" s="12" t="n">
        <v>100</v>
      </c>
      <c r="H1039" s="12" t="n">
        <f aca="false">SUMPRODUCT(ПОТОКИ!B13:G13,ЧАСОВЫЕ_ПРОФИЛИ!B14:G14,КОЭФФИЦИЕНТЫ_ВЫБОРА!F16:K16)</f>
        <v>0.216</v>
      </c>
      <c r="I1039" s="12" t="n">
        <f aca="false">SUMPRODUCT(ПОТОКИ!B13:G13,ЧАСОВЫЕ_ПРОФИЛИ!B14:G14,КОЭФФИЦИЕНТЫ_ВЫБОРА!F16:K16,ПАРАМЕТРЫ!$B$17:$G$17)</f>
        <v>0.2376</v>
      </c>
      <c r="J1039" s="12" t="n">
        <f aca="false">I1039*G1039/1000</f>
        <v>0.02376</v>
      </c>
      <c r="K1039" s="11" t="s">
        <v>217</v>
      </c>
      <c r="L1039" s="11" t="s">
        <v>19</v>
      </c>
      <c r="M1039" s="11" t="s">
        <v>147</v>
      </c>
    </row>
    <row r="1040" customFormat="false" ht="15" hidden="false" customHeight="false" outlineLevel="0" collapsed="false">
      <c r="A1040" s="11" t="s">
        <v>109</v>
      </c>
      <c r="B1040" s="11" t="s">
        <v>127</v>
      </c>
      <c r="C1040" s="11" t="n">
        <v>7</v>
      </c>
      <c r="D1040" s="11" t="s">
        <v>78</v>
      </c>
      <c r="E1040" s="11" t="s">
        <v>159</v>
      </c>
      <c r="F1040" s="11" t="s">
        <v>77</v>
      </c>
      <c r="G1040" s="12" t="n">
        <v>350</v>
      </c>
      <c r="H1040" s="12" t="n">
        <f aca="false">SUMPRODUCT(ПОТОКИ!B13:G13,ЧАСОВЫЕ_ПРОФИЛИ!B14:G14,КОЭФФИЦИЕНТЫ_ВЫБОРА!F17:K17)</f>
        <v>0.18</v>
      </c>
      <c r="I1040" s="12" t="n">
        <f aca="false">SUMPRODUCT(ПОТОКИ!B13:G13,ЧАСОВЫЕ_ПРОФИЛИ!B14:G14,КОЭФФИЦИЕНТЫ_ВЫБОРА!F17:K17,ПАРАМЕТРЫ!$B$17:$G$17)</f>
        <v>0.198</v>
      </c>
      <c r="J1040" s="12" t="n">
        <f aca="false">I1040*G1040/1000</f>
        <v>0.0693</v>
      </c>
      <c r="K1040" s="11" t="s">
        <v>217</v>
      </c>
      <c r="L1040" s="11" t="s">
        <v>19</v>
      </c>
      <c r="M1040" s="11" t="s">
        <v>147</v>
      </c>
    </row>
    <row r="1041" customFormat="false" ht="15" hidden="false" customHeight="false" outlineLevel="0" collapsed="false">
      <c r="A1041" s="11" t="s">
        <v>109</v>
      </c>
      <c r="B1041" s="11" t="s">
        <v>127</v>
      </c>
      <c r="C1041" s="11" t="n">
        <v>8</v>
      </c>
      <c r="D1041" s="11" t="s">
        <v>78</v>
      </c>
      <c r="E1041" s="11" t="s">
        <v>160</v>
      </c>
      <c r="F1041" s="11" t="s">
        <v>77</v>
      </c>
      <c r="G1041" s="12" t="n">
        <v>85</v>
      </c>
      <c r="H1041" s="12" t="n">
        <f aca="false">SUMPRODUCT(ПОТОКИ!B13:G13,ЧАСОВЫЕ_ПРОФИЛИ!B14:G14,КОЭФФИЦИЕНТЫ_ВЫБОРА!F18:K18)</f>
        <v>0.108</v>
      </c>
      <c r="I1041" s="12" t="n">
        <f aca="false">SUMPRODUCT(ПОТОКИ!B13:G13,ЧАСОВЫЕ_ПРОФИЛИ!B14:G14,КОЭФФИЦИЕНТЫ_ВЫБОРА!F18:K18,ПАРАМЕТРЫ!$B$17:$G$17)</f>
        <v>0.1188</v>
      </c>
      <c r="J1041" s="12" t="n">
        <f aca="false">I1041*G1041/1000</f>
        <v>0.010098</v>
      </c>
      <c r="K1041" s="11" t="s">
        <v>217</v>
      </c>
      <c r="L1041" s="11" t="s">
        <v>19</v>
      </c>
      <c r="M1041" s="11" t="s">
        <v>147</v>
      </c>
    </row>
    <row r="1042" customFormat="false" ht="15" hidden="false" customHeight="false" outlineLevel="0" collapsed="false">
      <c r="A1042" s="11" t="s">
        <v>109</v>
      </c>
      <c r="B1042" s="11" t="s">
        <v>127</v>
      </c>
      <c r="C1042" s="11" t="n">
        <v>9</v>
      </c>
      <c r="D1042" s="11" t="s">
        <v>161</v>
      </c>
      <c r="E1042" s="11" t="s">
        <v>162</v>
      </c>
      <c r="F1042" s="11" t="s">
        <v>80</v>
      </c>
      <c r="G1042" s="12" t="n">
        <v>300</v>
      </c>
      <c r="H1042" s="12" t="n">
        <f aca="false">SUMPRODUCT(ПОТОКИ!B13:G13,ЧАСОВЫЕ_ПРОФИЛИ!B14:G14,КОЭФФИЦИЕНТЫ_ВЫБОРА!F19:K19)</f>
        <v>0</v>
      </c>
      <c r="I1042" s="12" t="n">
        <f aca="false">SUMPRODUCT(ПОТОКИ!B13:G13,ЧАСОВЫЕ_ПРОФИЛИ!B14:G14,КОЭФФИЦИЕНТЫ_ВЫБОРА!F19:K19,ПАРАМЕТРЫ!$B$17:$G$17)</f>
        <v>0</v>
      </c>
      <c r="J1042" s="12" t="n">
        <f aca="false">I1042*G1042/1000</f>
        <v>0</v>
      </c>
      <c r="K1042" s="11" t="s">
        <v>217</v>
      </c>
      <c r="L1042" s="11" t="s">
        <v>19</v>
      </c>
      <c r="M1042" s="11" t="s">
        <v>145</v>
      </c>
    </row>
    <row r="1043" customFormat="false" ht="15" hidden="false" customHeight="false" outlineLevel="0" collapsed="false">
      <c r="A1043" s="11" t="s">
        <v>109</v>
      </c>
      <c r="B1043" s="11" t="s">
        <v>127</v>
      </c>
      <c r="C1043" s="11" t="n">
        <v>10</v>
      </c>
      <c r="D1043" s="11" t="s">
        <v>161</v>
      </c>
      <c r="E1043" s="11" t="s">
        <v>163</v>
      </c>
      <c r="F1043" s="11" t="s">
        <v>80</v>
      </c>
      <c r="G1043" s="12" t="n">
        <v>280</v>
      </c>
      <c r="H1043" s="12" t="n">
        <f aca="false">SUMPRODUCT(ПОТОКИ!B13:G13,ЧАСОВЫЕ_ПРОФИЛИ!B14:G14,КОЭФФИЦИЕНТЫ_ВЫБОРА!F20:K20)</f>
        <v>0</v>
      </c>
      <c r="I1043" s="12" t="n">
        <f aca="false">SUMPRODUCT(ПОТОКИ!B13:G13,ЧАСОВЫЕ_ПРОФИЛИ!B14:G14,КОЭФФИЦИЕНТЫ_ВЫБОРА!F20:K20,ПАРАМЕТРЫ!$B$17:$G$17)</f>
        <v>0</v>
      </c>
      <c r="J1043" s="12" t="n">
        <f aca="false">I1043*G1043/1000</f>
        <v>0</v>
      </c>
      <c r="K1043" s="11" t="s">
        <v>217</v>
      </c>
      <c r="L1043" s="11" t="s">
        <v>19</v>
      </c>
      <c r="M1043" s="11" t="s">
        <v>145</v>
      </c>
    </row>
    <row r="1044" customFormat="false" ht="15" hidden="false" customHeight="false" outlineLevel="0" collapsed="false">
      <c r="A1044" s="11" t="s">
        <v>109</v>
      </c>
      <c r="B1044" s="11" t="s">
        <v>127</v>
      </c>
      <c r="C1044" s="11" t="n">
        <v>11</v>
      </c>
      <c r="D1044" s="11" t="s">
        <v>161</v>
      </c>
      <c r="E1044" s="11" t="s">
        <v>164</v>
      </c>
      <c r="F1044" s="11" t="s">
        <v>80</v>
      </c>
      <c r="G1044" s="12" t="n">
        <v>270</v>
      </c>
      <c r="H1044" s="12" t="n">
        <f aca="false">SUMPRODUCT(ПОТОКИ!B13:G13,ЧАСОВЫЕ_ПРОФИЛИ!B14:G14,КОЭФФИЦИЕНТЫ_ВЫБОРА!F21:K21)</f>
        <v>0</v>
      </c>
      <c r="I1044" s="12" t="n">
        <f aca="false">SUMPRODUCT(ПОТОКИ!B13:G13,ЧАСОВЫЕ_ПРОФИЛИ!B14:G14,КОЭФФИЦИЕНТЫ_ВЫБОРА!F21:K21,ПАРАМЕТРЫ!$B$17:$G$17)</f>
        <v>0</v>
      </c>
      <c r="J1044" s="12" t="n">
        <f aca="false">I1044*G1044/1000</f>
        <v>0</v>
      </c>
      <c r="K1044" s="11" t="s">
        <v>217</v>
      </c>
      <c r="L1044" s="11" t="s">
        <v>19</v>
      </c>
      <c r="M1044" s="11" t="s">
        <v>145</v>
      </c>
    </row>
    <row r="1045" customFormat="false" ht="15" hidden="false" customHeight="false" outlineLevel="0" collapsed="false">
      <c r="A1045" s="11" t="s">
        <v>109</v>
      </c>
      <c r="B1045" s="11" t="s">
        <v>127</v>
      </c>
      <c r="C1045" s="11" t="n">
        <v>12</v>
      </c>
      <c r="D1045" s="11" t="s">
        <v>161</v>
      </c>
      <c r="E1045" s="11" t="s">
        <v>165</v>
      </c>
      <c r="F1045" s="11" t="s">
        <v>80</v>
      </c>
      <c r="G1045" s="12" t="n">
        <v>240</v>
      </c>
      <c r="H1045" s="12" t="n">
        <f aca="false">SUMPRODUCT(ПОТОКИ!B13:G13,ЧАСОВЫЕ_ПРОФИЛИ!B14:G14,КОЭФФИЦИЕНТЫ_ВЫБОРА!F22:K22)</f>
        <v>0</v>
      </c>
      <c r="I1045" s="12" t="n">
        <f aca="false">SUMPRODUCT(ПОТОКИ!B13:G13,ЧАСОВЫЕ_ПРОФИЛИ!B14:G14,КОЭФФИЦИЕНТЫ_ВЫБОРА!F22:K22,ПАРАМЕТРЫ!$B$17:$G$17)</f>
        <v>0</v>
      </c>
      <c r="J1045" s="12" t="n">
        <f aca="false">I1045*G1045/1000</f>
        <v>0</v>
      </c>
      <c r="K1045" s="11" t="s">
        <v>217</v>
      </c>
      <c r="L1045" s="11" t="s">
        <v>19</v>
      </c>
      <c r="M1045" s="11" t="s">
        <v>145</v>
      </c>
    </row>
    <row r="1046" customFormat="false" ht="15" hidden="false" customHeight="false" outlineLevel="0" collapsed="false">
      <c r="A1046" s="11" t="s">
        <v>109</v>
      </c>
      <c r="B1046" s="11" t="s">
        <v>127</v>
      </c>
      <c r="C1046" s="11" t="n">
        <v>13</v>
      </c>
      <c r="D1046" s="11" t="s">
        <v>166</v>
      </c>
      <c r="E1046" s="11" t="s">
        <v>167</v>
      </c>
      <c r="F1046" s="11" t="s">
        <v>80</v>
      </c>
      <c r="G1046" s="12" t="n">
        <v>130</v>
      </c>
      <c r="H1046" s="12" t="n">
        <f aca="false">SUMPRODUCT(ПОТОКИ!B13:G13,ЧАСОВЫЕ_ПРОФИЛИ!B14:G14,КОЭФФИЦИЕНТЫ_ВЫБОРА!F23:K23)</f>
        <v>0</v>
      </c>
      <c r="I1046" s="12" t="n">
        <f aca="false">SUMPRODUCT(ПОТОКИ!B13:G13,ЧАСОВЫЕ_ПРОФИЛИ!B14:G14,КОЭФФИЦИЕНТЫ_ВЫБОРА!F23:K23,ПАРАМЕТРЫ!$B$17:$G$17)</f>
        <v>0</v>
      </c>
      <c r="J1046" s="12" t="n">
        <f aca="false">I1046*G1046/1000</f>
        <v>0</v>
      </c>
      <c r="K1046" s="11" t="s">
        <v>217</v>
      </c>
      <c r="L1046" s="11" t="s">
        <v>19</v>
      </c>
      <c r="M1046" s="11" t="s">
        <v>145</v>
      </c>
    </row>
    <row r="1047" customFormat="false" ht="15" hidden="false" customHeight="false" outlineLevel="0" collapsed="false">
      <c r="A1047" s="11" t="s">
        <v>109</v>
      </c>
      <c r="B1047" s="11" t="s">
        <v>127</v>
      </c>
      <c r="C1047" s="11" t="n">
        <v>14</v>
      </c>
      <c r="D1047" s="11" t="s">
        <v>166</v>
      </c>
      <c r="E1047" s="11" t="s">
        <v>168</v>
      </c>
      <c r="F1047" s="11" t="s">
        <v>80</v>
      </c>
      <c r="G1047" s="12" t="n">
        <v>250</v>
      </c>
      <c r="H1047" s="12" t="n">
        <f aca="false">SUMPRODUCT(ПОТОКИ!B13:G13,ЧАСОВЫЕ_ПРОФИЛИ!B14:G14,КОЭФФИЦИЕНТЫ_ВЫБОРА!F24:K24)</f>
        <v>0</v>
      </c>
      <c r="I1047" s="12" t="n">
        <f aca="false">SUMPRODUCT(ПОТОКИ!B13:G13,ЧАСОВЫЕ_ПРОФИЛИ!B14:G14,КОЭФФИЦИЕНТЫ_ВЫБОРА!F24:K24,ПАРАМЕТРЫ!$B$17:$G$17)</f>
        <v>0</v>
      </c>
      <c r="J1047" s="12" t="n">
        <f aca="false">I1047*G1047/1000</f>
        <v>0</v>
      </c>
      <c r="K1047" s="11" t="s">
        <v>217</v>
      </c>
      <c r="L1047" s="11" t="s">
        <v>19</v>
      </c>
      <c r="M1047" s="11" t="s">
        <v>145</v>
      </c>
    </row>
    <row r="1048" customFormat="false" ht="15" hidden="false" customHeight="false" outlineLevel="0" collapsed="false">
      <c r="A1048" s="11" t="s">
        <v>109</v>
      </c>
      <c r="B1048" s="11" t="s">
        <v>127</v>
      </c>
      <c r="C1048" s="11" t="n">
        <v>15</v>
      </c>
      <c r="D1048" s="11" t="s">
        <v>166</v>
      </c>
      <c r="E1048" s="11" t="s">
        <v>169</v>
      </c>
      <c r="F1048" s="11" t="s">
        <v>80</v>
      </c>
      <c r="G1048" s="12" t="n">
        <v>120</v>
      </c>
      <c r="H1048" s="12" t="n">
        <f aca="false">SUMPRODUCT(ПОТОКИ!B13:G13,ЧАСОВЫЕ_ПРОФИЛИ!B14:G14,КОЭФФИЦИЕНТЫ_ВЫБОРА!F25:K25)</f>
        <v>0</v>
      </c>
      <c r="I1048" s="12" t="n">
        <f aca="false">SUMPRODUCT(ПОТОКИ!B13:G13,ЧАСОВЫЕ_ПРОФИЛИ!B14:G14,КОЭФФИЦИЕНТЫ_ВЫБОРА!F25:K25,ПАРАМЕТРЫ!$B$17:$G$17)</f>
        <v>0</v>
      </c>
      <c r="J1048" s="12" t="n">
        <f aca="false">I1048*G1048/1000</f>
        <v>0</v>
      </c>
      <c r="K1048" s="11" t="s">
        <v>217</v>
      </c>
      <c r="L1048" s="11" t="s">
        <v>19</v>
      </c>
      <c r="M1048" s="11" t="s">
        <v>145</v>
      </c>
    </row>
    <row r="1049" customFormat="false" ht="15" hidden="false" customHeight="false" outlineLevel="0" collapsed="false">
      <c r="A1049" s="11" t="s">
        <v>109</v>
      </c>
      <c r="B1049" s="11" t="s">
        <v>127</v>
      </c>
      <c r="C1049" s="11" t="n">
        <v>16</v>
      </c>
      <c r="D1049" s="11" t="s">
        <v>166</v>
      </c>
      <c r="E1049" s="11" t="s">
        <v>170</v>
      </c>
      <c r="F1049" s="11" t="s">
        <v>80</v>
      </c>
      <c r="G1049" s="12" t="n">
        <v>180</v>
      </c>
      <c r="H1049" s="12" t="n">
        <f aca="false">SUMPRODUCT(ПОТОКИ!B13:G13,ЧАСОВЫЕ_ПРОФИЛИ!B14:G14,КОЭФФИЦИЕНТЫ_ВЫБОРА!F26:K26)</f>
        <v>0</v>
      </c>
      <c r="I1049" s="12" t="n">
        <f aca="false">SUMPRODUCT(ПОТОКИ!B13:G13,ЧАСОВЫЕ_ПРОФИЛИ!B14:G14,КОЭФФИЦИЕНТЫ_ВЫБОРА!F26:K26,ПАРАМЕТРЫ!$B$17:$G$17)</f>
        <v>0</v>
      </c>
      <c r="J1049" s="12" t="n">
        <f aca="false">I1049*G1049/1000</f>
        <v>0</v>
      </c>
      <c r="K1049" s="11" t="s">
        <v>217</v>
      </c>
      <c r="L1049" s="11" t="s">
        <v>19</v>
      </c>
      <c r="M1049" s="11" t="s">
        <v>145</v>
      </c>
    </row>
    <row r="1050" customFormat="false" ht="15" hidden="false" customHeight="false" outlineLevel="0" collapsed="false">
      <c r="A1050" s="11" t="s">
        <v>109</v>
      </c>
      <c r="B1050" s="11" t="s">
        <v>127</v>
      </c>
      <c r="C1050" s="11" t="n">
        <v>17</v>
      </c>
      <c r="D1050" s="11" t="s">
        <v>166</v>
      </c>
      <c r="E1050" s="11" t="s">
        <v>171</v>
      </c>
      <c r="F1050" s="11" t="s">
        <v>80</v>
      </c>
      <c r="G1050" s="12" t="n">
        <v>180</v>
      </c>
      <c r="H1050" s="12" t="n">
        <f aca="false">SUMPRODUCT(ПОТОКИ!B13:G13,ЧАСОВЫЕ_ПРОФИЛИ!B14:G14,КОЭФФИЦИЕНТЫ_ВЫБОРА!F27:K27)</f>
        <v>0</v>
      </c>
      <c r="I1050" s="12" t="n">
        <f aca="false">SUMPRODUCT(ПОТОКИ!B13:G13,ЧАСОВЫЕ_ПРОФИЛИ!B14:G14,КОЭФФИЦИЕНТЫ_ВЫБОРА!F27:K27,ПАРАМЕТРЫ!$B$17:$G$17)</f>
        <v>0</v>
      </c>
      <c r="J1050" s="12" t="n">
        <f aca="false">I1050*G1050/1000</f>
        <v>0</v>
      </c>
      <c r="K1050" s="11" t="s">
        <v>217</v>
      </c>
      <c r="L1050" s="11" t="s">
        <v>19</v>
      </c>
      <c r="M1050" s="11" t="s">
        <v>145</v>
      </c>
    </row>
    <row r="1051" customFormat="false" ht="15" hidden="false" customHeight="false" outlineLevel="0" collapsed="false">
      <c r="A1051" s="11" t="s">
        <v>109</v>
      </c>
      <c r="B1051" s="11" t="s">
        <v>127</v>
      </c>
      <c r="C1051" s="11" t="n">
        <v>18</v>
      </c>
      <c r="D1051" s="11" t="s">
        <v>172</v>
      </c>
      <c r="E1051" s="11" t="s">
        <v>173</v>
      </c>
      <c r="F1051" s="11" t="s">
        <v>83</v>
      </c>
      <c r="G1051" s="12" t="n">
        <v>400</v>
      </c>
      <c r="H1051" s="12" t="n">
        <f aca="false">SUMPRODUCT(ПОТОКИ!B13:G13,ЧАСОВЫЕ_ПРОФИЛИ!B14:G14,КОЭФФИЦИЕНТЫ_ВЫБОРА!F28:K28)</f>
        <v>0</v>
      </c>
      <c r="I1051" s="12" t="n">
        <f aca="false">SUMPRODUCT(ПОТОКИ!B13:G13,ЧАСОВЫЕ_ПРОФИЛИ!B14:G14,КОЭФФИЦИЕНТЫ_ВЫБОРА!F28:K28,ПАРАМЕТРЫ!$B$17:$G$17)</f>
        <v>0</v>
      </c>
      <c r="J1051" s="12" t="n">
        <f aca="false">I1051*G1051/1000</f>
        <v>0</v>
      </c>
      <c r="K1051" s="11" t="s">
        <v>217</v>
      </c>
      <c r="L1051" s="11" t="s">
        <v>19</v>
      </c>
      <c r="M1051" s="11" t="s">
        <v>145</v>
      </c>
    </row>
    <row r="1052" customFormat="false" ht="23.85" hidden="false" customHeight="false" outlineLevel="0" collapsed="false">
      <c r="A1052" s="11" t="s">
        <v>109</v>
      </c>
      <c r="B1052" s="11" t="s">
        <v>127</v>
      </c>
      <c r="C1052" s="11" t="n">
        <v>19</v>
      </c>
      <c r="D1052" s="11" t="s">
        <v>174</v>
      </c>
      <c r="E1052" s="11" t="s">
        <v>175</v>
      </c>
      <c r="F1052" s="11" t="s">
        <v>83</v>
      </c>
      <c r="G1052" s="12" t="n">
        <v>300</v>
      </c>
      <c r="H1052" s="12" t="n">
        <f aca="false">SUMPRODUCT(ПОТОКИ!B13:G13,ЧАСОВЫЕ_ПРОФИЛИ!B14:G14,КОЭФФИЦИЕНТЫ_ВЫБОРА!F29:K29)</f>
        <v>0</v>
      </c>
      <c r="I1052" s="12" t="n">
        <f aca="false">SUMPRODUCT(ПОТОКИ!B13:G13,ЧАСОВЫЕ_ПРОФИЛИ!B14:G14,КОЭФФИЦИЕНТЫ_ВЫБОРА!F29:K29,ПАРАМЕТРЫ!$B$17:$G$17)</f>
        <v>0</v>
      </c>
      <c r="J1052" s="12" t="n">
        <f aca="false">I1052*G1052/1000</f>
        <v>0</v>
      </c>
      <c r="K1052" s="11" t="s">
        <v>217</v>
      </c>
      <c r="L1052" s="11" t="s">
        <v>19</v>
      </c>
      <c r="M1052" s="11" t="s">
        <v>145</v>
      </c>
    </row>
    <row r="1053" customFormat="false" ht="15" hidden="false" customHeight="false" outlineLevel="0" collapsed="false">
      <c r="A1053" s="11" t="s">
        <v>109</v>
      </c>
      <c r="B1053" s="11" t="s">
        <v>127</v>
      </c>
      <c r="C1053" s="11" t="n">
        <v>20</v>
      </c>
      <c r="D1053" s="11" t="s">
        <v>174</v>
      </c>
      <c r="E1053" s="11" t="s">
        <v>176</v>
      </c>
      <c r="F1053" s="11" t="s">
        <v>83</v>
      </c>
      <c r="G1053" s="12" t="n">
        <v>360</v>
      </c>
      <c r="H1053" s="12" t="n">
        <f aca="false">SUMPRODUCT(ПОТОКИ!B13:G13,ЧАСОВЫЕ_ПРОФИЛИ!B14:G14,КОЭФФИЦИЕНТЫ_ВЫБОРА!F30:K30)</f>
        <v>0</v>
      </c>
      <c r="I1053" s="12" t="n">
        <f aca="false">SUMPRODUCT(ПОТОКИ!B13:G13,ЧАСОВЫЕ_ПРОФИЛИ!B14:G14,КОЭФФИЦИЕНТЫ_ВЫБОРА!F30:K30,ПАРАМЕТРЫ!$B$17:$G$17)</f>
        <v>0</v>
      </c>
      <c r="J1053" s="12" t="n">
        <f aca="false">I1053*G1053/1000</f>
        <v>0</v>
      </c>
      <c r="K1053" s="11" t="s">
        <v>217</v>
      </c>
      <c r="L1053" s="11" t="s">
        <v>19</v>
      </c>
      <c r="M1053" s="11" t="s">
        <v>145</v>
      </c>
    </row>
    <row r="1054" customFormat="false" ht="15" hidden="false" customHeight="false" outlineLevel="0" collapsed="false">
      <c r="A1054" s="11" t="s">
        <v>109</v>
      </c>
      <c r="B1054" s="11" t="s">
        <v>127</v>
      </c>
      <c r="C1054" s="11" t="n">
        <v>21</v>
      </c>
      <c r="D1054" s="11" t="s">
        <v>174</v>
      </c>
      <c r="E1054" s="11" t="s">
        <v>177</v>
      </c>
      <c r="F1054" s="11" t="s">
        <v>83</v>
      </c>
      <c r="G1054" s="12" t="n">
        <v>350</v>
      </c>
      <c r="H1054" s="12" t="n">
        <f aca="false">SUMPRODUCT(ПОТОКИ!B13:G13,ЧАСОВЫЕ_ПРОФИЛИ!B14:G14,КОЭФФИЦИЕНТЫ_ВЫБОРА!F31:K31)</f>
        <v>0</v>
      </c>
      <c r="I1054" s="12" t="n">
        <f aca="false">SUMPRODUCT(ПОТОКИ!B13:G13,ЧАСОВЫЕ_ПРОФИЛИ!B14:G14,КОЭФФИЦИЕНТЫ_ВЫБОРА!F31:K31,ПАРАМЕТРЫ!$B$17:$G$17)</f>
        <v>0</v>
      </c>
      <c r="J1054" s="12" t="n">
        <f aca="false">I1054*G1054/1000</f>
        <v>0</v>
      </c>
      <c r="K1054" s="11" t="s">
        <v>217</v>
      </c>
      <c r="L1054" s="11" t="s">
        <v>19</v>
      </c>
      <c r="M1054" s="11" t="s">
        <v>145</v>
      </c>
    </row>
    <row r="1055" customFormat="false" ht="15" hidden="false" customHeight="false" outlineLevel="0" collapsed="false">
      <c r="A1055" s="11" t="s">
        <v>109</v>
      </c>
      <c r="B1055" s="11" t="s">
        <v>127</v>
      </c>
      <c r="C1055" s="11" t="n">
        <v>22</v>
      </c>
      <c r="D1055" s="11" t="s">
        <v>174</v>
      </c>
      <c r="E1055" s="11" t="s">
        <v>178</v>
      </c>
      <c r="F1055" s="11" t="s">
        <v>83</v>
      </c>
      <c r="G1055" s="12" t="n">
        <v>300</v>
      </c>
      <c r="H1055" s="12" t="n">
        <f aca="false">SUMPRODUCT(ПОТОКИ!B13:G13,ЧАСОВЫЕ_ПРОФИЛИ!B14:G14,КОЭФФИЦИЕНТЫ_ВЫБОРА!F32:K32)</f>
        <v>0</v>
      </c>
      <c r="I1055" s="12" t="n">
        <f aca="false">SUMPRODUCT(ПОТОКИ!B13:G13,ЧАСОВЫЕ_ПРОФИЛИ!B14:G14,КОЭФФИЦИЕНТЫ_ВЫБОРА!F32:K32,ПАРАМЕТРЫ!$B$17:$G$17)</f>
        <v>0</v>
      </c>
      <c r="J1055" s="12" t="n">
        <f aca="false">I1055*G1055/1000</f>
        <v>0</v>
      </c>
      <c r="K1055" s="11" t="s">
        <v>217</v>
      </c>
      <c r="L1055" s="11" t="s">
        <v>19</v>
      </c>
      <c r="M1055" s="11" t="s">
        <v>145</v>
      </c>
    </row>
    <row r="1056" customFormat="false" ht="15" hidden="false" customHeight="false" outlineLevel="0" collapsed="false">
      <c r="A1056" s="11" t="s">
        <v>109</v>
      </c>
      <c r="B1056" s="11" t="s">
        <v>127</v>
      </c>
      <c r="C1056" s="11" t="n">
        <v>23</v>
      </c>
      <c r="D1056" s="11" t="s">
        <v>86</v>
      </c>
      <c r="E1056" s="11" t="s">
        <v>179</v>
      </c>
      <c r="F1056" s="11" t="s">
        <v>85</v>
      </c>
      <c r="G1056" s="12" t="n">
        <v>150</v>
      </c>
      <c r="H1056" s="12" t="n">
        <f aca="false">SUMPRODUCT(ПОТОКИ!B13:G13,ЧАСОВЫЕ_ПРОФИЛИ!B14:G14,КОЭФФИЦИЕНТЫ_ВЫБОРА!F33:K33)</f>
        <v>0</v>
      </c>
      <c r="I1056" s="12" t="n">
        <f aca="false">SUMPRODUCT(ПОТОКИ!B13:G13,ЧАСОВЫЕ_ПРОФИЛИ!B14:G14,КОЭФФИЦИЕНТЫ_ВЫБОРА!F33:K33,ПАРАМЕТРЫ!$B$17:$G$17)</f>
        <v>0</v>
      </c>
      <c r="J1056" s="12" t="n">
        <f aca="false">I1056*G1056/1000</f>
        <v>0</v>
      </c>
      <c r="K1056" s="11" t="s">
        <v>217</v>
      </c>
      <c r="L1056" s="11" t="s">
        <v>19</v>
      </c>
      <c r="M1056" s="11" t="s">
        <v>147</v>
      </c>
    </row>
    <row r="1057" customFormat="false" ht="15" hidden="false" customHeight="false" outlineLevel="0" collapsed="false">
      <c r="A1057" s="11" t="s">
        <v>109</v>
      </c>
      <c r="B1057" s="11" t="s">
        <v>127</v>
      </c>
      <c r="C1057" s="11" t="n">
        <v>24</v>
      </c>
      <c r="D1057" s="11" t="s">
        <v>86</v>
      </c>
      <c r="E1057" s="11" t="s">
        <v>180</v>
      </c>
      <c r="F1057" s="11" t="s">
        <v>85</v>
      </c>
      <c r="G1057" s="12" t="n">
        <v>150</v>
      </c>
      <c r="H1057" s="12" t="n">
        <f aca="false">SUMPRODUCT(ПОТОКИ!B13:G13,ЧАСОВЫЕ_ПРОФИЛИ!B14:G14,КОЭФФИЦИЕНТЫ_ВЫБОРА!F34:K34)</f>
        <v>0</v>
      </c>
      <c r="I1057" s="12" t="n">
        <f aca="false">SUMPRODUCT(ПОТОКИ!B13:G13,ЧАСОВЫЕ_ПРОФИЛИ!B14:G14,КОЭФФИЦИЕНТЫ_ВЫБОРА!F34:K34,ПАРАМЕТРЫ!$B$17:$G$17)</f>
        <v>0</v>
      </c>
      <c r="J1057" s="12" t="n">
        <f aca="false">I1057*G1057/1000</f>
        <v>0</v>
      </c>
      <c r="K1057" s="11" t="s">
        <v>217</v>
      </c>
      <c r="L1057" s="11" t="s">
        <v>19</v>
      </c>
      <c r="M1057" s="11" t="s">
        <v>147</v>
      </c>
    </row>
    <row r="1058" customFormat="false" ht="15" hidden="false" customHeight="false" outlineLevel="0" collapsed="false">
      <c r="A1058" s="11" t="s">
        <v>109</v>
      </c>
      <c r="B1058" s="11" t="s">
        <v>127</v>
      </c>
      <c r="C1058" s="11" t="n">
        <v>25</v>
      </c>
      <c r="D1058" s="11" t="s">
        <v>86</v>
      </c>
      <c r="E1058" s="11" t="s">
        <v>181</v>
      </c>
      <c r="F1058" s="11" t="s">
        <v>85</v>
      </c>
      <c r="G1058" s="12" t="n">
        <v>150</v>
      </c>
      <c r="H1058" s="12" t="n">
        <f aca="false">SUMPRODUCT(ПОТОКИ!B13:G13,ЧАСОВЫЕ_ПРОФИЛИ!B14:G14,КОЭФФИЦИЕНТЫ_ВЫБОРА!F35:K35)</f>
        <v>0</v>
      </c>
      <c r="I1058" s="12" t="n">
        <f aca="false">SUMPRODUCT(ПОТОКИ!B13:G13,ЧАСОВЫЕ_ПРОФИЛИ!B14:G14,КОЭФФИЦИЕНТЫ_ВЫБОРА!F35:K35,ПАРАМЕТРЫ!$B$17:$G$17)</f>
        <v>0</v>
      </c>
      <c r="J1058" s="12" t="n">
        <f aca="false">I1058*G1058/1000</f>
        <v>0</v>
      </c>
      <c r="K1058" s="11" t="s">
        <v>217</v>
      </c>
      <c r="L1058" s="11" t="s">
        <v>19</v>
      </c>
      <c r="M1058" s="11" t="s">
        <v>147</v>
      </c>
    </row>
    <row r="1059" customFormat="false" ht="23.85" hidden="false" customHeight="false" outlineLevel="0" collapsed="false">
      <c r="A1059" s="11" t="s">
        <v>109</v>
      </c>
      <c r="B1059" s="11" t="s">
        <v>127</v>
      </c>
      <c r="C1059" s="11" t="n">
        <v>26</v>
      </c>
      <c r="D1059" s="11" t="s">
        <v>89</v>
      </c>
      <c r="E1059" s="11" t="s">
        <v>182</v>
      </c>
      <c r="F1059" s="11" t="s">
        <v>88</v>
      </c>
      <c r="G1059" s="12" t="n">
        <v>225</v>
      </c>
      <c r="H1059" s="12" t="n">
        <f aca="false">SUMPRODUCT(ПОТОКИ!B13:G13,ЧАСОВЫЕ_ПРОФИЛИ!B14:G14,КОЭФФИЦИЕНТЫ_ВЫБОРА!F36:K36)</f>
        <v>1.2375</v>
      </c>
      <c r="I1059" s="12" t="n">
        <f aca="false">SUMPRODUCT(ПОТОКИ!B13:G13,ЧАСОВЫЕ_ПРОФИЛИ!B14:G14,КОЭФФИЦИЕНТЫ_ВЫБОРА!F36:K36,ПАРАМЕТРЫ!$B$17:$G$17)</f>
        <v>1.2375</v>
      </c>
      <c r="J1059" s="12" t="n">
        <f aca="false">I1059*G1059/1000</f>
        <v>0.2784375</v>
      </c>
      <c r="K1059" s="11" t="s">
        <v>217</v>
      </c>
      <c r="L1059" s="11" t="s">
        <v>19</v>
      </c>
      <c r="M1059" s="11" t="s">
        <v>145</v>
      </c>
    </row>
    <row r="1060" customFormat="false" ht="23.85" hidden="false" customHeight="false" outlineLevel="0" collapsed="false">
      <c r="A1060" s="11" t="s">
        <v>109</v>
      </c>
      <c r="B1060" s="11" t="s">
        <v>127</v>
      </c>
      <c r="C1060" s="11" t="n">
        <v>27</v>
      </c>
      <c r="D1060" s="11" t="s">
        <v>89</v>
      </c>
      <c r="E1060" s="11" t="s">
        <v>183</v>
      </c>
      <c r="F1060" s="11" t="s">
        <v>88</v>
      </c>
      <c r="G1060" s="12" t="n">
        <v>265</v>
      </c>
      <c r="H1060" s="12" t="n">
        <f aca="false">SUMPRODUCT(ПОТОКИ!B13:G13,ЧАСОВЫЕ_ПРОФИЛИ!B14:G14,КОЭФФИЦИЕНТЫ_ВЫБОРА!F37:K37)</f>
        <v>1.2375</v>
      </c>
      <c r="I1060" s="12" t="n">
        <f aca="false">SUMPRODUCT(ПОТОКИ!B13:G13,ЧАСОВЫЕ_ПРОФИЛИ!B14:G14,КОЭФФИЦИЕНТЫ_ВЫБОРА!F37:K37,ПАРАМЕТРЫ!$B$17:$G$17)</f>
        <v>1.2375</v>
      </c>
      <c r="J1060" s="12" t="n">
        <f aca="false">I1060*G1060/1000</f>
        <v>0.3279375</v>
      </c>
      <c r="K1060" s="11" t="s">
        <v>217</v>
      </c>
      <c r="L1060" s="11" t="s">
        <v>19</v>
      </c>
      <c r="M1060" s="11" t="s">
        <v>145</v>
      </c>
    </row>
    <row r="1061" customFormat="false" ht="23.85" hidden="false" customHeight="false" outlineLevel="0" collapsed="false">
      <c r="A1061" s="11" t="s">
        <v>109</v>
      </c>
      <c r="B1061" s="11" t="s">
        <v>127</v>
      </c>
      <c r="C1061" s="11" t="n">
        <v>28</v>
      </c>
      <c r="D1061" s="11" t="s">
        <v>89</v>
      </c>
      <c r="E1061" s="11" t="s">
        <v>184</v>
      </c>
      <c r="F1061" s="11" t="s">
        <v>88</v>
      </c>
      <c r="G1061" s="12" t="n">
        <v>355</v>
      </c>
      <c r="H1061" s="12" t="n">
        <f aca="false">SUMPRODUCT(ПОТОКИ!B13:G13,ЧАСОВЫЕ_ПРОФИЛИ!B14:G14,КОЭФФИЦИЕНТЫ_ВЫБОРА!F38:K38)</f>
        <v>0.825</v>
      </c>
      <c r="I1061" s="12" t="n">
        <f aca="false">SUMPRODUCT(ПОТОКИ!B13:G13,ЧАСОВЫЕ_ПРОФИЛИ!B14:G14,КОЭФФИЦИЕНТЫ_ВЫБОРА!F38:K38,ПАРАМЕТРЫ!$B$17:$G$17)</f>
        <v>0.825</v>
      </c>
      <c r="J1061" s="12" t="n">
        <f aca="false">I1061*G1061/1000</f>
        <v>0.292875</v>
      </c>
      <c r="K1061" s="11" t="s">
        <v>217</v>
      </c>
      <c r="L1061" s="11" t="s">
        <v>19</v>
      </c>
      <c r="M1061" s="11" t="s">
        <v>145</v>
      </c>
    </row>
    <row r="1062" customFormat="false" ht="15" hidden="false" customHeight="false" outlineLevel="0" collapsed="false">
      <c r="A1062" s="11" t="s">
        <v>109</v>
      </c>
      <c r="B1062" s="11" t="s">
        <v>127</v>
      </c>
      <c r="C1062" s="11" t="n">
        <v>29</v>
      </c>
      <c r="D1062" s="11" t="s">
        <v>92</v>
      </c>
      <c r="E1062" s="11" t="s">
        <v>185</v>
      </c>
      <c r="F1062" s="11" t="s">
        <v>91</v>
      </c>
      <c r="G1062" s="12" t="n">
        <v>150</v>
      </c>
      <c r="H1062" s="12" t="n">
        <f aca="false">SUMPRODUCT(ПОТОКИ!B13:G13,ЧАСОВЫЕ_ПРОФИЛИ!B14:G14,КОЭФФИЦИЕНТЫ_ВЫБОРА!F39:K39)</f>
        <v>0.108</v>
      </c>
      <c r="I1062" s="12" t="n">
        <f aca="false">SUMPRODUCT(ПОТОКИ!B13:G13,ЧАСОВЫЕ_ПРОФИЛИ!B14:G14,КОЭФФИЦИЕНТЫ_ВЫБОРА!F39:K39,ПАРАМЕТРЫ!$B$17:$G$17)</f>
        <v>0.1188</v>
      </c>
      <c r="J1062" s="12" t="n">
        <f aca="false">I1062*G1062/1000</f>
        <v>0.01782</v>
      </c>
      <c r="K1062" s="11" t="s">
        <v>217</v>
      </c>
      <c r="L1062" s="11" t="s">
        <v>19</v>
      </c>
      <c r="M1062" s="11" t="s">
        <v>145</v>
      </c>
    </row>
    <row r="1063" customFormat="false" ht="15" hidden="false" customHeight="false" outlineLevel="0" collapsed="false">
      <c r="A1063" s="11" t="s">
        <v>109</v>
      </c>
      <c r="B1063" s="11" t="s">
        <v>127</v>
      </c>
      <c r="C1063" s="11" t="n">
        <v>30</v>
      </c>
      <c r="D1063" s="11" t="s">
        <v>92</v>
      </c>
      <c r="E1063" s="11" t="s">
        <v>186</v>
      </c>
      <c r="F1063" s="11" t="s">
        <v>91</v>
      </c>
      <c r="G1063" s="12" t="n">
        <v>120</v>
      </c>
      <c r="H1063" s="12" t="n">
        <f aca="false">SUMPRODUCT(ПОТОКИ!B13:G13,ЧАСОВЫЕ_ПРОФИЛИ!B14:G14,КОЭФФИЦИЕНТЫ_ВЫБОРА!F40:K40)</f>
        <v>0.108</v>
      </c>
      <c r="I1063" s="12" t="n">
        <f aca="false">SUMPRODUCT(ПОТОКИ!B13:G13,ЧАСОВЫЕ_ПРОФИЛИ!B14:G14,КОЭФФИЦИЕНТЫ_ВЫБОРА!F40:K40,ПАРАМЕТРЫ!$B$17:$G$17)</f>
        <v>0.1188</v>
      </c>
      <c r="J1063" s="12" t="n">
        <f aca="false">I1063*G1063/1000</f>
        <v>0.014256</v>
      </c>
      <c r="K1063" s="11" t="s">
        <v>217</v>
      </c>
      <c r="L1063" s="11" t="s">
        <v>19</v>
      </c>
      <c r="M1063" s="11" t="s">
        <v>145</v>
      </c>
    </row>
    <row r="1064" customFormat="false" ht="15" hidden="false" customHeight="false" outlineLevel="0" collapsed="false">
      <c r="A1064" s="11" t="s">
        <v>109</v>
      </c>
      <c r="B1064" s="11" t="s">
        <v>127</v>
      </c>
      <c r="C1064" s="11" t="n">
        <v>31</v>
      </c>
      <c r="D1064" s="11" t="s">
        <v>92</v>
      </c>
      <c r="E1064" s="11" t="s">
        <v>187</v>
      </c>
      <c r="F1064" s="11" t="s">
        <v>91</v>
      </c>
      <c r="G1064" s="12" t="n">
        <v>60</v>
      </c>
      <c r="H1064" s="12" t="n">
        <f aca="false">SUMPRODUCT(ПОТОКИ!B13:G13,ЧАСОВЫЕ_ПРОФИЛИ!B14:G14,КОЭФФИЦИЕНТЫ_ВЫБОРА!F41:K41)</f>
        <v>0.144</v>
      </c>
      <c r="I1064" s="12" t="n">
        <f aca="false">SUMPRODUCT(ПОТОКИ!B13:G13,ЧАСОВЫЕ_ПРОФИЛИ!B14:G14,КОЭФФИЦИЕНТЫ_ВЫБОРА!F41:K41,ПАРАМЕТРЫ!$B$17:$G$17)</f>
        <v>0.1584</v>
      </c>
      <c r="J1064" s="12" t="n">
        <f aca="false">I1064*G1064/1000</f>
        <v>0.009504</v>
      </c>
      <c r="K1064" s="11" t="s">
        <v>217</v>
      </c>
      <c r="L1064" s="11" t="s">
        <v>19</v>
      </c>
      <c r="M1064" s="11" t="s">
        <v>145</v>
      </c>
    </row>
    <row r="1065" customFormat="false" ht="15" hidden="false" customHeight="false" outlineLevel="0" collapsed="false">
      <c r="A1065" s="11" t="s">
        <v>109</v>
      </c>
      <c r="B1065" s="11" t="s">
        <v>128</v>
      </c>
      <c r="C1065" s="11" t="n">
        <v>1</v>
      </c>
      <c r="D1065" s="11" t="s">
        <v>74</v>
      </c>
      <c r="E1065" s="11" t="s">
        <v>153</v>
      </c>
      <c r="F1065" s="11" t="s">
        <v>73</v>
      </c>
      <c r="G1065" s="12" t="n">
        <v>450</v>
      </c>
      <c r="H1065" s="12" t="n">
        <f aca="false">SUMPRODUCT(ПОТОКИ!B13:G13,ЧАСОВЫЕ_ПРОФИЛИ!B15:G15,КОЭФФИЦИЕНТЫ_ВЫБОРА!F11:K11)</f>
        <v>0.2028</v>
      </c>
      <c r="I1065" s="12" t="n">
        <f aca="false">SUMPRODUCT(ПОТОКИ!B13:G13,ЧАСОВЫЕ_ПРОФИЛИ!B15:G15,КОЭФФИЦИЕНТЫ_ВЫБОРА!F11:K11,ПАРАМЕТРЫ!$B$17:$G$17)</f>
        <v>0.22308</v>
      </c>
      <c r="J1065" s="12" t="n">
        <f aca="false">I1065*G1065/1000</f>
        <v>0.100386</v>
      </c>
      <c r="K1065" s="11" t="s">
        <v>217</v>
      </c>
      <c r="L1065" s="11" t="s">
        <v>19</v>
      </c>
      <c r="M1065" s="11" t="s">
        <v>145</v>
      </c>
    </row>
    <row r="1066" customFormat="false" ht="15" hidden="false" customHeight="false" outlineLevel="0" collapsed="false">
      <c r="A1066" s="11" t="s">
        <v>109</v>
      </c>
      <c r="B1066" s="11" t="s">
        <v>128</v>
      </c>
      <c r="C1066" s="11" t="n">
        <v>2</v>
      </c>
      <c r="D1066" s="11" t="s">
        <v>74</v>
      </c>
      <c r="E1066" s="11" t="s">
        <v>154</v>
      </c>
      <c r="F1066" s="11" t="s">
        <v>73</v>
      </c>
      <c r="G1066" s="12" t="n">
        <v>480</v>
      </c>
      <c r="H1066" s="12" t="n">
        <f aca="false">SUMPRODUCT(ПОТОКИ!B13:G13,ЧАСОВЫЕ_ПРОФИЛИ!B15:G15,КОЭФФИЦИЕНТЫ_ВЫБОРА!F12:K12)</f>
        <v>0.2364</v>
      </c>
      <c r="I1066" s="12" t="n">
        <f aca="false">SUMPRODUCT(ПОТОКИ!B13:G13,ЧАСОВЫЕ_ПРОФИЛИ!B15:G15,КОЭФФИЦИЕНТЫ_ВЫБОРА!F12:K12,ПАРАМЕТРЫ!$B$17:$G$17)</f>
        <v>0.26004</v>
      </c>
      <c r="J1066" s="12" t="n">
        <f aca="false">I1066*G1066/1000</f>
        <v>0.1248192</v>
      </c>
      <c r="K1066" s="11" t="s">
        <v>217</v>
      </c>
      <c r="L1066" s="11" t="s">
        <v>19</v>
      </c>
      <c r="M1066" s="11" t="s">
        <v>145</v>
      </c>
    </row>
    <row r="1067" customFormat="false" ht="15" hidden="false" customHeight="false" outlineLevel="0" collapsed="false">
      <c r="A1067" s="11" t="s">
        <v>109</v>
      </c>
      <c r="B1067" s="11" t="s">
        <v>128</v>
      </c>
      <c r="C1067" s="11" t="n">
        <v>3</v>
      </c>
      <c r="D1067" s="11" t="s">
        <v>74</v>
      </c>
      <c r="E1067" s="11" t="s">
        <v>155</v>
      </c>
      <c r="F1067" s="11" t="s">
        <v>73</v>
      </c>
      <c r="G1067" s="12" t="n">
        <v>500</v>
      </c>
      <c r="H1067" s="12" t="n">
        <f aca="false">SUMPRODUCT(ПОТОКИ!B13:G13,ЧАСОВЫЕ_ПРОФИЛИ!B15:G15,КОЭФФИЦИЕНТЫ_ВЫБОРА!F13:K13)</f>
        <v>0.4296</v>
      </c>
      <c r="I1067" s="12" t="n">
        <f aca="false">SUMPRODUCT(ПОТОКИ!B13:G13,ЧАСОВЫЕ_ПРОФИЛИ!B15:G15,КОЭФФИЦИЕНТЫ_ВЫБОРА!F13:K13,ПАРАМЕТРЫ!$B$17:$G$17)</f>
        <v>0.47256</v>
      </c>
      <c r="J1067" s="12" t="n">
        <f aca="false">I1067*G1067/1000</f>
        <v>0.23628</v>
      </c>
      <c r="K1067" s="11" t="s">
        <v>217</v>
      </c>
      <c r="L1067" s="11" t="s">
        <v>19</v>
      </c>
      <c r="M1067" s="11" t="s">
        <v>145</v>
      </c>
    </row>
    <row r="1068" customFormat="false" ht="15" hidden="false" customHeight="false" outlineLevel="0" collapsed="false">
      <c r="A1068" s="11" t="s">
        <v>109</v>
      </c>
      <c r="B1068" s="11" t="s">
        <v>128</v>
      </c>
      <c r="C1068" s="11" t="n">
        <v>4</v>
      </c>
      <c r="D1068" s="11" t="s">
        <v>74</v>
      </c>
      <c r="E1068" s="11" t="s">
        <v>156</v>
      </c>
      <c r="F1068" s="11" t="s">
        <v>73</v>
      </c>
      <c r="G1068" s="12" t="n">
        <v>500</v>
      </c>
      <c r="H1068" s="12" t="n">
        <f aca="false">SUMPRODUCT(ПОТОКИ!B13:G13,ЧАСОВЫЕ_ПРОФИЛИ!B15:G15,КОЭФФИЦИЕНТЫ_ВЫБОРА!F14:K14)</f>
        <v>0.4632</v>
      </c>
      <c r="I1068" s="12" t="n">
        <f aca="false">SUMPRODUCT(ПОТОКИ!B13:G13,ЧАСОВЫЕ_ПРОФИЛИ!B15:G15,КОЭФФИЦИЕНТЫ_ВЫБОРА!F14:K14,ПАРАМЕТРЫ!$B$17:$G$17)</f>
        <v>0.50952</v>
      </c>
      <c r="J1068" s="12" t="n">
        <f aca="false">I1068*G1068/1000</f>
        <v>0.25476</v>
      </c>
      <c r="K1068" s="11" t="s">
        <v>217</v>
      </c>
      <c r="L1068" s="11" t="s">
        <v>19</v>
      </c>
      <c r="M1068" s="11" t="s">
        <v>145</v>
      </c>
    </row>
    <row r="1069" customFormat="false" ht="15" hidden="false" customHeight="false" outlineLevel="0" collapsed="false">
      <c r="A1069" s="11" t="s">
        <v>109</v>
      </c>
      <c r="B1069" s="11" t="s">
        <v>128</v>
      </c>
      <c r="C1069" s="11" t="n">
        <v>5</v>
      </c>
      <c r="D1069" s="11" t="s">
        <v>78</v>
      </c>
      <c r="E1069" s="11" t="s">
        <v>157</v>
      </c>
      <c r="F1069" s="11" t="s">
        <v>77</v>
      </c>
      <c r="G1069" s="12" t="n">
        <v>100</v>
      </c>
      <c r="H1069" s="12" t="n">
        <f aca="false">SUMPRODUCT(ПОТОКИ!B13:G13,ЧАСОВЫЕ_ПРОФИЛИ!B15:G15,КОЭФФИЦИЕНТЫ_ВЫБОРА!F15:K15)</f>
        <v>0.4244</v>
      </c>
      <c r="I1069" s="12" t="n">
        <f aca="false">SUMPRODUCT(ПОТОКИ!B13:G13,ЧАСОВЫЕ_ПРОФИЛИ!B15:G15,КОЭФФИЦИЕНТЫ_ВЫБОРА!F15:K15,ПАРАМЕТРЫ!$B$17:$G$17)</f>
        <v>0.46684</v>
      </c>
      <c r="J1069" s="12" t="n">
        <f aca="false">I1069*G1069/1000</f>
        <v>0.046684</v>
      </c>
      <c r="K1069" s="11" t="s">
        <v>217</v>
      </c>
      <c r="L1069" s="11" t="s">
        <v>19</v>
      </c>
      <c r="M1069" s="11" t="s">
        <v>147</v>
      </c>
    </row>
    <row r="1070" customFormat="false" ht="15" hidden="false" customHeight="false" outlineLevel="0" collapsed="false">
      <c r="A1070" s="11" t="s">
        <v>109</v>
      </c>
      <c r="B1070" s="11" t="s">
        <v>128</v>
      </c>
      <c r="C1070" s="11" t="n">
        <v>6</v>
      </c>
      <c r="D1070" s="11" t="s">
        <v>78</v>
      </c>
      <c r="E1070" s="11" t="s">
        <v>158</v>
      </c>
      <c r="F1070" s="11" t="s">
        <v>77</v>
      </c>
      <c r="G1070" s="12" t="n">
        <v>100</v>
      </c>
      <c r="H1070" s="12" t="n">
        <f aca="false">SUMPRODUCT(ПОТОКИ!B13:G13,ЧАСОВЫЕ_ПРОФИЛИ!B15:G15,КОЭФФИЦИЕНТЫ_ВЫБОРА!F16:K16)</f>
        <v>0.3948</v>
      </c>
      <c r="I1070" s="12" t="n">
        <f aca="false">SUMPRODUCT(ПОТОКИ!B13:G13,ЧАСОВЫЕ_ПРОФИЛИ!B15:G15,КОЭФФИЦИЕНТЫ_ВЫБОРА!F16:K16,ПАРАМЕТРЫ!$B$17:$G$17)</f>
        <v>0.43428</v>
      </c>
      <c r="J1070" s="12" t="n">
        <f aca="false">I1070*G1070/1000</f>
        <v>0.043428</v>
      </c>
      <c r="K1070" s="11" t="s">
        <v>217</v>
      </c>
      <c r="L1070" s="11" t="s">
        <v>19</v>
      </c>
      <c r="M1070" s="11" t="s">
        <v>147</v>
      </c>
    </row>
    <row r="1071" customFormat="false" ht="15" hidden="false" customHeight="false" outlineLevel="0" collapsed="false">
      <c r="A1071" s="11" t="s">
        <v>109</v>
      </c>
      <c r="B1071" s="11" t="s">
        <v>128</v>
      </c>
      <c r="C1071" s="11" t="n">
        <v>7</v>
      </c>
      <c r="D1071" s="11" t="s">
        <v>78</v>
      </c>
      <c r="E1071" s="11" t="s">
        <v>159</v>
      </c>
      <c r="F1071" s="11" t="s">
        <v>77</v>
      </c>
      <c r="G1071" s="12" t="n">
        <v>350</v>
      </c>
      <c r="H1071" s="12" t="n">
        <f aca="false">SUMPRODUCT(ПОТОКИ!B13:G13,ЧАСОВЫЕ_ПРОФИЛИ!B15:G15,КОЭФФИЦИЕНТЫ_ВЫБОРА!F17:K17)</f>
        <v>0.3438</v>
      </c>
      <c r="I1071" s="12" t="n">
        <f aca="false">SUMPRODUCT(ПОТОКИ!B13:G13,ЧАСОВЫЕ_ПРОФИЛИ!B15:G15,КОЭФФИЦИЕНТЫ_ВЫБОРА!F17:K17,ПАРАМЕТРЫ!$B$17:$G$17)</f>
        <v>0.37818</v>
      </c>
      <c r="J1071" s="12" t="n">
        <f aca="false">I1071*G1071/1000</f>
        <v>0.132363</v>
      </c>
      <c r="K1071" s="11" t="s">
        <v>217</v>
      </c>
      <c r="L1071" s="11" t="s">
        <v>19</v>
      </c>
      <c r="M1071" s="11" t="s">
        <v>147</v>
      </c>
    </row>
    <row r="1072" customFormat="false" ht="15" hidden="false" customHeight="false" outlineLevel="0" collapsed="false">
      <c r="A1072" s="11" t="s">
        <v>109</v>
      </c>
      <c r="B1072" s="11" t="s">
        <v>128</v>
      </c>
      <c r="C1072" s="11" t="n">
        <v>8</v>
      </c>
      <c r="D1072" s="11" t="s">
        <v>78</v>
      </c>
      <c r="E1072" s="11" t="s">
        <v>160</v>
      </c>
      <c r="F1072" s="11" t="s">
        <v>77</v>
      </c>
      <c r="G1072" s="12" t="n">
        <v>85</v>
      </c>
      <c r="H1072" s="12" t="n">
        <f aca="false">SUMPRODUCT(ПОТОКИ!B13:G13,ЧАСОВЫЕ_ПРОФИЛИ!B15:G15,КОЭФФИЦИЕНТЫ_ВЫБОРА!F18:K18)</f>
        <v>0.2122</v>
      </c>
      <c r="I1072" s="12" t="n">
        <f aca="false">SUMPRODUCT(ПОТОКИ!B13:G13,ЧАСОВЫЕ_ПРОФИЛИ!B15:G15,КОЭФФИЦИЕНТЫ_ВЫБОРА!F18:K18,ПАРАМЕТРЫ!$B$17:$G$17)</f>
        <v>0.23342</v>
      </c>
      <c r="J1072" s="12" t="n">
        <f aca="false">I1072*G1072/1000</f>
        <v>0.0198407</v>
      </c>
      <c r="K1072" s="11" t="s">
        <v>217</v>
      </c>
      <c r="L1072" s="11" t="s">
        <v>19</v>
      </c>
      <c r="M1072" s="11" t="s">
        <v>147</v>
      </c>
    </row>
    <row r="1073" customFormat="false" ht="15" hidden="false" customHeight="false" outlineLevel="0" collapsed="false">
      <c r="A1073" s="11" t="s">
        <v>109</v>
      </c>
      <c r="B1073" s="11" t="s">
        <v>128</v>
      </c>
      <c r="C1073" s="11" t="n">
        <v>9</v>
      </c>
      <c r="D1073" s="11" t="s">
        <v>161</v>
      </c>
      <c r="E1073" s="11" t="s">
        <v>162</v>
      </c>
      <c r="F1073" s="11" t="s">
        <v>80</v>
      </c>
      <c r="G1073" s="12" t="n">
        <v>300</v>
      </c>
      <c r="H1073" s="12" t="n">
        <f aca="false">SUMPRODUCT(ПОТОКИ!B13:G13,ЧАСОВЫЕ_ПРОФИЛИ!B15:G15,КОЭФФИЦИЕНТЫ_ВЫБОРА!F19:K19)</f>
        <v>0.19</v>
      </c>
      <c r="I1073" s="12" t="n">
        <f aca="false">SUMPRODUCT(ПОТОКИ!B13:G13,ЧАСОВЫЕ_ПРОФИЛИ!B15:G15,КОЭФФИЦИЕНТЫ_ВЫБОРА!F19:K19,ПАРАМЕТРЫ!$B$17:$G$17)</f>
        <v>0.209</v>
      </c>
      <c r="J1073" s="12" t="n">
        <f aca="false">I1073*G1073/1000</f>
        <v>0.0627</v>
      </c>
      <c r="K1073" s="11" t="s">
        <v>217</v>
      </c>
      <c r="L1073" s="11" t="s">
        <v>19</v>
      </c>
      <c r="M1073" s="11" t="s">
        <v>145</v>
      </c>
    </row>
    <row r="1074" customFormat="false" ht="15" hidden="false" customHeight="false" outlineLevel="0" collapsed="false">
      <c r="A1074" s="11" t="s">
        <v>109</v>
      </c>
      <c r="B1074" s="11" t="s">
        <v>128</v>
      </c>
      <c r="C1074" s="11" t="n">
        <v>10</v>
      </c>
      <c r="D1074" s="11" t="s">
        <v>161</v>
      </c>
      <c r="E1074" s="11" t="s">
        <v>163</v>
      </c>
      <c r="F1074" s="11" t="s">
        <v>80</v>
      </c>
      <c r="G1074" s="12" t="n">
        <v>280</v>
      </c>
      <c r="H1074" s="12" t="n">
        <f aca="false">SUMPRODUCT(ПОТОКИ!B13:G13,ЧАСОВЫЕ_ПРОФИЛИ!B15:G15,КОЭФФИЦИЕНТЫ_ВЫБОРА!F20:K20)</f>
        <v>0.308</v>
      </c>
      <c r="I1074" s="12" t="n">
        <f aca="false">SUMPRODUCT(ПОТОКИ!B13:G13,ЧАСОВЫЕ_ПРОФИЛИ!B15:G15,КОЭФФИЦИЕНТЫ_ВЫБОРА!F20:K20,ПАРАМЕТРЫ!$B$17:$G$17)</f>
        <v>0.3388</v>
      </c>
      <c r="J1074" s="12" t="n">
        <f aca="false">I1074*G1074/1000</f>
        <v>0.094864</v>
      </c>
      <c r="K1074" s="11" t="s">
        <v>217</v>
      </c>
      <c r="L1074" s="11" t="s">
        <v>19</v>
      </c>
      <c r="M1074" s="11" t="s">
        <v>145</v>
      </c>
    </row>
    <row r="1075" customFormat="false" ht="15" hidden="false" customHeight="false" outlineLevel="0" collapsed="false">
      <c r="A1075" s="11" t="s">
        <v>109</v>
      </c>
      <c r="B1075" s="11" t="s">
        <v>128</v>
      </c>
      <c r="C1075" s="11" t="n">
        <v>11</v>
      </c>
      <c r="D1075" s="11" t="s">
        <v>161</v>
      </c>
      <c r="E1075" s="11" t="s">
        <v>164</v>
      </c>
      <c r="F1075" s="11" t="s">
        <v>80</v>
      </c>
      <c r="G1075" s="12" t="n">
        <v>270</v>
      </c>
      <c r="H1075" s="12" t="n">
        <f aca="false">SUMPRODUCT(ПОТОКИ!B13:G13,ЧАСОВЫЕ_ПРОФИЛИ!B15:G15,КОЭФФИЦИЕНТЫ_ВЫБОРА!F21:K21)</f>
        <v>0.5818</v>
      </c>
      <c r="I1075" s="12" t="n">
        <f aca="false">SUMPRODUCT(ПОТОКИ!B13:G13,ЧАСОВЫЕ_ПРОФИЛИ!B15:G15,КОЭФФИЦИЕНТЫ_ВЫБОРА!F21:K21,ПАРАМЕТРЫ!$B$17:$G$17)</f>
        <v>0.63998</v>
      </c>
      <c r="J1075" s="12" t="n">
        <f aca="false">I1075*G1075/1000</f>
        <v>0.1727946</v>
      </c>
      <c r="K1075" s="11" t="s">
        <v>217</v>
      </c>
      <c r="L1075" s="11" t="s">
        <v>19</v>
      </c>
      <c r="M1075" s="11" t="s">
        <v>145</v>
      </c>
    </row>
    <row r="1076" customFormat="false" ht="15" hidden="false" customHeight="false" outlineLevel="0" collapsed="false">
      <c r="A1076" s="11" t="s">
        <v>109</v>
      </c>
      <c r="B1076" s="11" t="s">
        <v>128</v>
      </c>
      <c r="C1076" s="11" t="n">
        <v>12</v>
      </c>
      <c r="D1076" s="11" t="s">
        <v>161</v>
      </c>
      <c r="E1076" s="11" t="s">
        <v>165</v>
      </c>
      <c r="F1076" s="11" t="s">
        <v>80</v>
      </c>
      <c r="G1076" s="12" t="n">
        <v>240</v>
      </c>
      <c r="H1076" s="12" t="n">
        <f aca="false">SUMPRODUCT(ПОТОКИ!B13:G13,ЧАСОВЫЕ_ПРОФИЛИ!B15:G15,КОЭФФИЦИЕНТЫ_ВЫБОРА!F22:K22)</f>
        <v>0.3882</v>
      </c>
      <c r="I1076" s="12" t="n">
        <f aca="false">SUMPRODUCT(ПОТОКИ!B13:G13,ЧАСОВЫЕ_ПРОФИЛИ!B15:G15,КОЭФФИЦИЕНТЫ_ВЫБОРА!F22:K22,ПАРАМЕТРЫ!$B$17:$G$17)</f>
        <v>0.42702</v>
      </c>
      <c r="J1076" s="12" t="n">
        <f aca="false">I1076*G1076/1000</f>
        <v>0.1024848</v>
      </c>
      <c r="K1076" s="11" t="s">
        <v>217</v>
      </c>
      <c r="L1076" s="11" t="s">
        <v>19</v>
      </c>
      <c r="M1076" s="11" t="s">
        <v>145</v>
      </c>
    </row>
    <row r="1077" customFormat="false" ht="15" hidden="false" customHeight="false" outlineLevel="0" collapsed="false">
      <c r="A1077" s="11" t="s">
        <v>109</v>
      </c>
      <c r="B1077" s="11" t="s">
        <v>128</v>
      </c>
      <c r="C1077" s="11" t="n">
        <v>13</v>
      </c>
      <c r="D1077" s="11" t="s">
        <v>166</v>
      </c>
      <c r="E1077" s="11" t="s">
        <v>167</v>
      </c>
      <c r="F1077" s="11" t="s">
        <v>80</v>
      </c>
      <c r="G1077" s="12" t="n">
        <v>130</v>
      </c>
      <c r="H1077" s="12" t="n">
        <f aca="false">SUMPRODUCT(ПОТОКИ!B13:G13,ЧАСОВЫЕ_ПРОФИЛИ!B15:G15,КОЭФФИЦИЕНТЫ_ВЫБОРА!F23:K23)</f>
        <v>0.088</v>
      </c>
      <c r="I1077" s="12" t="n">
        <f aca="false">SUMPRODUCT(ПОТОКИ!B13:G13,ЧАСОВЫЕ_ПРОФИЛИ!B15:G15,КОЭФФИЦИЕНТЫ_ВЫБОРА!F23:K23,ПАРАМЕТРЫ!$B$17:$G$17)</f>
        <v>0.0968</v>
      </c>
      <c r="J1077" s="12" t="n">
        <f aca="false">I1077*G1077/1000</f>
        <v>0.012584</v>
      </c>
      <c r="K1077" s="11" t="s">
        <v>217</v>
      </c>
      <c r="L1077" s="11" t="s">
        <v>19</v>
      </c>
      <c r="M1077" s="11" t="s">
        <v>145</v>
      </c>
    </row>
    <row r="1078" customFormat="false" ht="15" hidden="false" customHeight="false" outlineLevel="0" collapsed="false">
      <c r="A1078" s="11" t="s">
        <v>109</v>
      </c>
      <c r="B1078" s="11" t="s">
        <v>128</v>
      </c>
      <c r="C1078" s="11" t="n">
        <v>14</v>
      </c>
      <c r="D1078" s="11" t="s">
        <v>166</v>
      </c>
      <c r="E1078" s="11" t="s">
        <v>168</v>
      </c>
      <c r="F1078" s="11" t="s">
        <v>80</v>
      </c>
      <c r="G1078" s="12" t="n">
        <v>250</v>
      </c>
      <c r="H1078" s="12" t="n">
        <f aca="false">SUMPRODUCT(ПОТОКИ!B13:G13,ЧАСОВЫЕ_ПРОФИЛИ!B15:G15,КОЭФФИЦИЕНТЫ_ВЫБОРА!F24:K24)</f>
        <v>0.1288</v>
      </c>
      <c r="I1078" s="12" t="n">
        <f aca="false">SUMPRODUCT(ПОТОКИ!B13:G13,ЧАСОВЫЕ_ПРОФИЛИ!B15:G15,КОЭФФИЦИЕНТЫ_ВЫБОРА!F24:K24,ПАРАМЕТРЫ!$B$17:$G$17)</f>
        <v>0.14168</v>
      </c>
      <c r="J1078" s="12" t="n">
        <f aca="false">I1078*G1078/1000</f>
        <v>0.03542</v>
      </c>
      <c r="K1078" s="11" t="s">
        <v>217</v>
      </c>
      <c r="L1078" s="11" t="s">
        <v>19</v>
      </c>
      <c r="M1078" s="11" t="s">
        <v>145</v>
      </c>
    </row>
    <row r="1079" customFormat="false" ht="15" hidden="false" customHeight="false" outlineLevel="0" collapsed="false">
      <c r="A1079" s="11" t="s">
        <v>109</v>
      </c>
      <c r="B1079" s="11" t="s">
        <v>128</v>
      </c>
      <c r="C1079" s="11" t="n">
        <v>15</v>
      </c>
      <c r="D1079" s="11" t="s">
        <v>166</v>
      </c>
      <c r="E1079" s="11" t="s">
        <v>169</v>
      </c>
      <c r="F1079" s="11" t="s">
        <v>80</v>
      </c>
      <c r="G1079" s="12" t="n">
        <v>120</v>
      </c>
      <c r="H1079" s="12" t="n">
        <f aca="false">SUMPRODUCT(ПОТОКИ!B13:G13,ЧАСОВЫЕ_ПРОФИЛИ!B15:G15,КОЭФФИЦИЕНТЫ_ВЫБОРА!F25:K25)</f>
        <v>0.0688</v>
      </c>
      <c r="I1079" s="12" t="n">
        <f aca="false">SUMPRODUCT(ПОТОКИ!B13:G13,ЧАСОВЫЕ_ПРОФИЛИ!B15:G15,КОЭФФИЦИЕНТЫ_ВЫБОРА!F25:K25,ПАРАМЕТРЫ!$B$17:$G$17)</f>
        <v>0.07568</v>
      </c>
      <c r="J1079" s="12" t="n">
        <f aca="false">I1079*G1079/1000</f>
        <v>0.0090816</v>
      </c>
      <c r="K1079" s="11" t="s">
        <v>217</v>
      </c>
      <c r="L1079" s="11" t="s">
        <v>19</v>
      </c>
      <c r="M1079" s="11" t="s">
        <v>145</v>
      </c>
    </row>
    <row r="1080" customFormat="false" ht="15" hidden="false" customHeight="false" outlineLevel="0" collapsed="false">
      <c r="A1080" s="11" t="s">
        <v>109</v>
      </c>
      <c r="B1080" s="11" t="s">
        <v>128</v>
      </c>
      <c r="C1080" s="11" t="n">
        <v>16</v>
      </c>
      <c r="D1080" s="11" t="s">
        <v>166</v>
      </c>
      <c r="E1080" s="11" t="s">
        <v>170</v>
      </c>
      <c r="F1080" s="11" t="s">
        <v>80</v>
      </c>
      <c r="G1080" s="12" t="n">
        <v>180</v>
      </c>
      <c r="H1080" s="12" t="n">
        <f aca="false">SUMPRODUCT(ПОТОКИ!B13:G13,ЧАСОВЫЕ_ПРОФИЛИ!B15:G15,КОЭФФИЦИЕНТЫ_ВЫБОРА!F26:K26)</f>
        <v>0.1784</v>
      </c>
      <c r="I1080" s="12" t="n">
        <f aca="false">SUMPRODUCT(ПОТОКИ!B13:G13,ЧАСОВЫЕ_ПРОФИЛИ!B15:G15,КОЭФФИЦИЕНТЫ_ВЫБОРА!F26:K26,ПАРАМЕТРЫ!$B$17:$G$17)</f>
        <v>0.19624</v>
      </c>
      <c r="J1080" s="12" t="n">
        <f aca="false">I1080*G1080/1000</f>
        <v>0.0353232</v>
      </c>
      <c r="K1080" s="11" t="s">
        <v>217</v>
      </c>
      <c r="L1080" s="11" t="s">
        <v>19</v>
      </c>
      <c r="M1080" s="11" t="s">
        <v>145</v>
      </c>
    </row>
    <row r="1081" customFormat="false" ht="15" hidden="false" customHeight="false" outlineLevel="0" collapsed="false">
      <c r="A1081" s="11" t="s">
        <v>109</v>
      </c>
      <c r="B1081" s="11" t="s">
        <v>128</v>
      </c>
      <c r="C1081" s="11" t="n">
        <v>17</v>
      </c>
      <c r="D1081" s="11" t="s">
        <v>166</v>
      </c>
      <c r="E1081" s="11" t="s">
        <v>171</v>
      </c>
      <c r="F1081" s="11" t="s">
        <v>80</v>
      </c>
      <c r="G1081" s="12" t="n">
        <v>180</v>
      </c>
      <c r="H1081" s="12" t="n">
        <f aca="false">SUMPRODUCT(ПОТОКИ!B13:G13,ЧАСОВЫЕ_ПРОФИЛИ!B15:G15,КОЭФФИЦИЕНТЫ_ВЫБОРА!F27:K27)</f>
        <v>0.128</v>
      </c>
      <c r="I1081" s="12" t="n">
        <f aca="false">SUMPRODUCT(ПОТОКИ!B13:G13,ЧАСОВЫЕ_ПРОФИЛИ!B15:G15,КОЭФФИЦИЕНТЫ_ВЫБОРА!F27:K27,ПАРАМЕТРЫ!$B$17:$G$17)</f>
        <v>0.1408</v>
      </c>
      <c r="J1081" s="12" t="n">
        <f aca="false">I1081*G1081/1000</f>
        <v>0.025344</v>
      </c>
      <c r="K1081" s="11" t="s">
        <v>217</v>
      </c>
      <c r="L1081" s="11" t="s">
        <v>19</v>
      </c>
      <c r="M1081" s="11" t="s">
        <v>145</v>
      </c>
    </row>
    <row r="1082" customFormat="false" ht="15" hidden="false" customHeight="false" outlineLevel="0" collapsed="false">
      <c r="A1082" s="11" t="s">
        <v>109</v>
      </c>
      <c r="B1082" s="11" t="s">
        <v>128</v>
      </c>
      <c r="C1082" s="11" t="n">
        <v>18</v>
      </c>
      <c r="D1082" s="11" t="s">
        <v>172</v>
      </c>
      <c r="E1082" s="11" t="s">
        <v>173</v>
      </c>
      <c r="F1082" s="11" t="s">
        <v>83</v>
      </c>
      <c r="G1082" s="12" t="n">
        <v>400</v>
      </c>
      <c r="H1082" s="12" t="n">
        <f aca="false">SUMPRODUCT(ПОТОКИ!B13:G13,ЧАСОВЫЕ_ПРОФИЛИ!B15:G15,КОЭФФИЦИЕНТЫ_ВЫБОРА!F28:K28)</f>
        <v>1.496</v>
      </c>
      <c r="I1082" s="12" t="n">
        <f aca="false">SUMPRODUCT(ПОТОКИ!B13:G13,ЧАСОВЫЕ_ПРОФИЛИ!B15:G15,КОЭФФИЦИЕНТЫ_ВЫБОРА!F28:K28,ПАРАМЕТРЫ!$B$17:$G$17)</f>
        <v>1.6456</v>
      </c>
      <c r="J1082" s="12" t="n">
        <f aca="false">I1082*G1082/1000</f>
        <v>0.65824</v>
      </c>
      <c r="K1082" s="11" t="s">
        <v>217</v>
      </c>
      <c r="L1082" s="11" t="s">
        <v>19</v>
      </c>
      <c r="M1082" s="11" t="s">
        <v>145</v>
      </c>
    </row>
    <row r="1083" customFormat="false" ht="23.85" hidden="false" customHeight="false" outlineLevel="0" collapsed="false">
      <c r="A1083" s="11" t="s">
        <v>109</v>
      </c>
      <c r="B1083" s="11" t="s">
        <v>128</v>
      </c>
      <c r="C1083" s="11" t="n">
        <v>19</v>
      </c>
      <c r="D1083" s="11" t="s">
        <v>174</v>
      </c>
      <c r="E1083" s="11" t="s">
        <v>175</v>
      </c>
      <c r="F1083" s="11" t="s">
        <v>83</v>
      </c>
      <c r="G1083" s="12" t="n">
        <v>300</v>
      </c>
      <c r="H1083" s="12" t="n">
        <f aca="false">SUMPRODUCT(ПОТОКИ!B13:G13,ЧАСОВЫЕ_ПРОФИЛИ!B15:G15,КОЭФФИЦИЕНТЫ_ВЫБОРА!F29:K29)</f>
        <v>1.152</v>
      </c>
      <c r="I1083" s="12" t="n">
        <f aca="false">SUMPRODUCT(ПОТОКИ!B13:G13,ЧАСОВЫЕ_ПРОФИЛИ!B15:G15,КОЭФФИЦИЕНТЫ_ВЫБОРА!F29:K29,ПАРАМЕТРЫ!$B$17:$G$17)</f>
        <v>1.2672</v>
      </c>
      <c r="J1083" s="12" t="n">
        <f aca="false">I1083*G1083/1000</f>
        <v>0.38016</v>
      </c>
      <c r="K1083" s="11" t="s">
        <v>217</v>
      </c>
      <c r="L1083" s="11" t="s">
        <v>19</v>
      </c>
      <c r="M1083" s="11" t="s">
        <v>145</v>
      </c>
    </row>
    <row r="1084" customFormat="false" ht="15" hidden="false" customHeight="false" outlineLevel="0" collapsed="false">
      <c r="A1084" s="11" t="s">
        <v>109</v>
      </c>
      <c r="B1084" s="11" t="s">
        <v>128</v>
      </c>
      <c r="C1084" s="11" t="n">
        <v>20</v>
      </c>
      <c r="D1084" s="11" t="s">
        <v>174</v>
      </c>
      <c r="E1084" s="11" t="s">
        <v>176</v>
      </c>
      <c r="F1084" s="11" t="s">
        <v>83</v>
      </c>
      <c r="G1084" s="12" t="n">
        <v>360</v>
      </c>
      <c r="H1084" s="12" t="n">
        <f aca="false">SUMPRODUCT(ПОТОКИ!B13:G13,ЧАСОВЫЕ_ПРОФИЛИ!B15:G15,КОЭФФИЦИЕНТЫ_ВЫБОРА!F30:K30)</f>
        <v>0.8448</v>
      </c>
      <c r="I1084" s="12" t="n">
        <f aca="false">SUMPRODUCT(ПОТОКИ!B13:G13,ЧАСОВЫЕ_ПРОФИЛИ!B15:G15,КОЭФФИЦИЕНТЫ_ВЫБОРА!F30:K30,ПАРАМЕТРЫ!$B$17:$G$17)</f>
        <v>0.92928</v>
      </c>
      <c r="J1084" s="12" t="n">
        <f aca="false">I1084*G1084/1000</f>
        <v>0.3345408</v>
      </c>
      <c r="K1084" s="11" t="s">
        <v>217</v>
      </c>
      <c r="L1084" s="11" t="s">
        <v>19</v>
      </c>
      <c r="M1084" s="11" t="s">
        <v>145</v>
      </c>
    </row>
    <row r="1085" customFormat="false" ht="15" hidden="false" customHeight="false" outlineLevel="0" collapsed="false">
      <c r="A1085" s="11" t="s">
        <v>109</v>
      </c>
      <c r="B1085" s="11" t="s">
        <v>128</v>
      </c>
      <c r="C1085" s="11" t="n">
        <v>21</v>
      </c>
      <c r="D1085" s="11" t="s">
        <v>174</v>
      </c>
      <c r="E1085" s="11" t="s">
        <v>177</v>
      </c>
      <c r="F1085" s="11" t="s">
        <v>83</v>
      </c>
      <c r="G1085" s="12" t="n">
        <v>350</v>
      </c>
      <c r="H1085" s="12" t="n">
        <f aca="false">SUMPRODUCT(ПОТОКИ!B13:G13,ЧАСОВЫЕ_ПРОФИЛИ!B15:G15,КОЭФФИЦИЕНТЫ_ВЫБОРА!F31:K31)</f>
        <v>1.4292</v>
      </c>
      <c r="I1085" s="12" t="n">
        <f aca="false">SUMPRODUCT(ПОТОКИ!B13:G13,ЧАСОВЫЕ_ПРОФИЛИ!B15:G15,КОЭФФИЦИЕНТЫ_ВЫБОРА!F31:K31,ПАРАМЕТРЫ!$B$17:$G$17)</f>
        <v>1.57212</v>
      </c>
      <c r="J1085" s="12" t="n">
        <f aca="false">I1085*G1085/1000</f>
        <v>0.550242</v>
      </c>
      <c r="K1085" s="11" t="s">
        <v>217</v>
      </c>
      <c r="L1085" s="11" t="s">
        <v>19</v>
      </c>
      <c r="M1085" s="11" t="s">
        <v>145</v>
      </c>
    </row>
    <row r="1086" customFormat="false" ht="15" hidden="false" customHeight="false" outlineLevel="0" collapsed="false">
      <c r="A1086" s="11" t="s">
        <v>109</v>
      </c>
      <c r="B1086" s="11" t="s">
        <v>128</v>
      </c>
      <c r="C1086" s="11" t="n">
        <v>22</v>
      </c>
      <c r="D1086" s="11" t="s">
        <v>174</v>
      </c>
      <c r="E1086" s="11" t="s">
        <v>178</v>
      </c>
      <c r="F1086" s="11" t="s">
        <v>83</v>
      </c>
      <c r="G1086" s="12" t="n">
        <v>300</v>
      </c>
      <c r="H1086" s="12" t="n">
        <f aca="false">SUMPRODUCT(ПОТОКИ!B13:G13,ЧАСОВЫЕ_ПРОФИЛИ!B15:G15,КОЭФФИЦИЕНТЫ_ВЫБОРА!F32:K32)</f>
        <v>0.678</v>
      </c>
      <c r="I1086" s="12" t="n">
        <f aca="false">SUMPRODUCT(ПОТОКИ!B13:G13,ЧАСОВЫЕ_ПРОФИЛИ!B15:G15,КОЭФФИЦИЕНТЫ_ВЫБОРА!F32:K32,ПАРАМЕТРЫ!$B$17:$G$17)</f>
        <v>0.7458</v>
      </c>
      <c r="J1086" s="12" t="n">
        <f aca="false">I1086*G1086/1000</f>
        <v>0.22374</v>
      </c>
      <c r="K1086" s="11" t="s">
        <v>217</v>
      </c>
      <c r="L1086" s="11" t="s">
        <v>19</v>
      </c>
      <c r="M1086" s="11" t="s">
        <v>145</v>
      </c>
    </row>
    <row r="1087" customFormat="false" ht="15" hidden="false" customHeight="false" outlineLevel="0" collapsed="false">
      <c r="A1087" s="11" t="s">
        <v>109</v>
      </c>
      <c r="B1087" s="11" t="s">
        <v>128</v>
      </c>
      <c r="C1087" s="11" t="n">
        <v>23</v>
      </c>
      <c r="D1087" s="11" t="s">
        <v>86</v>
      </c>
      <c r="E1087" s="11" t="s">
        <v>179</v>
      </c>
      <c r="F1087" s="11" t="s">
        <v>85</v>
      </c>
      <c r="G1087" s="12" t="n">
        <v>150</v>
      </c>
      <c r="H1087" s="12" t="n">
        <f aca="false">SUMPRODUCT(ПОТОКИ!B13:G13,ЧАСОВЫЕ_ПРОФИЛИ!B15:G15,КОЭФФИЦИЕНТЫ_ВЫБОРА!F33:K33)</f>
        <v>1.087932</v>
      </c>
      <c r="I1087" s="12" t="n">
        <f aca="false">SUMPRODUCT(ПОТОКИ!B13:G13,ЧАСОВЫЕ_ПРОФИЛИ!B15:G15,КОЭФФИЦИЕНТЫ_ВЫБОРА!F33:K33,ПАРАМЕТРЫ!$B$17:$G$17)</f>
        <v>1.1967252</v>
      </c>
      <c r="J1087" s="12" t="n">
        <f aca="false">I1087*G1087/1000</f>
        <v>0.17950878</v>
      </c>
      <c r="K1087" s="11" t="s">
        <v>217</v>
      </c>
      <c r="L1087" s="11" t="s">
        <v>19</v>
      </c>
      <c r="M1087" s="11" t="s">
        <v>147</v>
      </c>
    </row>
    <row r="1088" customFormat="false" ht="15" hidden="false" customHeight="false" outlineLevel="0" collapsed="false">
      <c r="A1088" s="11" t="s">
        <v>109</v>
      </c>
      <c r="B1088" s="11" t="s">
        <v>128</v>
      </c>
      <c r="C1088" s="11" t="n">
        <v>24</v>
      </c>
      <c r="D1088" s="11" t="s">
        <v>86</v>
      </c>
      <c r="E1088" s="11" t="s">
        <v>180</v>
      </c>
      <c r="F1088" s="11" t="s">
        <v>85</v>
      </c>
      <c r="G1088" s="12" t="n">
        <v>150</v>
      </c>
      <c r="H1088" s="12" t="n">
        <f aca="false">SUMPRODUCT(ПОТОКИ!B13:G13,ЧАСОВЫЕ_ПРОФИЛИ!B15:G15,КОЭФФИЦИЕНТЫ_ВЫБОРА!F34:K34)</f>
        <v>0.450216</v>
      </c>
      <c r="I1088" s="12" t="n">
        <f aca="false">SUMPRODUCT(ПОТОКИ!B13:G13,ЧАСОВЫЕ_ПРОФИЛИ!B15:G15,КОЭФФИЦИЕНТЫ_ВЫБОРА!F34:K34,ПАРАМЕТРЫ!$B$17:$G$17)</f>
        <v>0.4952376</v>
      </c>
      <c r="J1088" s="12" t="n">
        <f aca="false">I1088*G1088/1000</f>
        <v>0.07428564</v>
      </c>
      <c r="K1088" s="11" t="s">
        <v>217</v>
      </c>
      <c r="L1088" s="11" t="s">
        <v>19</v>
      </c>
      <c r="M1088" s="11" t="s">
        <v>147</v>
      </c>
    </row>
    <row r="1089" customFormat="false" ht="15" hidden="false" customHeight="false" outlineLevel="0" collapsed="false">
      <c r="A1089" s="11" t="s">
        <v>109</v>
      </c>
      <c r="B1089" s="11" t="s">
        <v>128</v>
      </c>
      <c r="C1089" s="11" t="n">
        <v>25</v>
      </c>
      <c r="D1089" s="11" t="s">
        <v>86</v>
      </c>
      <c r="E1089" s="11" t="s">
        <v>181</v>
      </c>
      <c r="F1089" s="11" t="s">
        <v>85</v>
      </c>
      <c r="G1089" s="12" t="n">
        <v>150</v>
      </c>
      <c r="H1089" s="12" t="n">
        <f aca="false">SUMPRODUCT(ПОТОКИ!B13:G13,ЧАСОВЫЕ_ПРОФИЛИ!B15:G15,КОЭФФИЦИЕНТЫ_ВЫБОРА!F35:K35)</f>
        <v>0.712932</v>
      </c>
      <c r="I1089" s="12" t="n">
        <f aca="false">SUMPRODUCT(ПОТОКИ!B13:G13,ЧАСОВЫЕ_ПРОФИЛИ!B15:G15,КОЭФФИЦИЕНТЫ_ВЫБОРА!F35:K35,ПАРАМЕТРЫ!$B$17:$G$17)</f>
        <v>0.7842252</v>
      </c>
      <c r="J1089" s="12" t="n">
        <f aca="false">I1089*G1089/1000</f>
        <v>0.11763378</v>
      </c>
      <c r="K1089" s="11" t="s">
        <v>217</v>
      </c>
      <c r="L1089" s="11" t="s">
        <v>19</v>
      </c>
      <c r="M1089" s="11" t="s">
        <v>147</v>
      </c>
    </row>
    <row r="1090" customFormat="false" ht="23.85" hidden="false" customHeight="false" outlineLevel="0" collapsed="false">
      <c r="A1090" s="11" t="s">
        <v>109</v>
      </c>
      <c r="B1090" s="11" t="s">
        <v>128</v>
      </c>
      <c r="C1090" s="11" t="n">
        <v>26</v>
      </c>
      <c r="D1090" s="11" t="s">
        <v>89</v>
      </c>
      <c r="E1090" s="11" t="s">
        <v>182</v>
      </c>
      <c r="F1090" s="11" t="s">
        <v>88</v>
      </c>
      <c r="G1090" s="12" t="n">
        <v>225</v>
      </c>
      <c r="H1090" s="12" t="n">
        <f aca="false">SUMPRODUCT(ПОТОКИ!B13:G13,ЧАСОВЫЕ_ПРОФИЛИ!B15:G15,КОЭФФИЦИЕНТЫ_ВЫБОРА!F36:K36)</f>
        <v>0.4125</v>
      </c>
      <c r="I1090" s="12" t="n">
        <f aca="false">SUMPRODUCT(ПОТОКИ!B13:G13,ЧАСОВЫЕ_ПРОФИЛИ!B15:G15,КОЭФФИЦИЕНТЫ_ВЫБОРА!F36:K36,ПАРАМЕТРЫ!$B$17:$G$17)</f>
        <v>0.4125</v>
      </c>
      <c r="J1090" s="12" t="n">
        <f aca="false">I1090*G1090/1000</f>
        <v>0.0928125</v>
      </c>
      <c r="K1090" s="11" t="s">
        <v>217</v>
      </c>
      <c r="L1090" s="11" t="s">
        <v>19</v>
      </c>
      <c r="M1090" s="11" t="s">
        <v>145</v>
      </c>
    </row>
    <row r="1091" customFormat="false" ht="23.85" hidden="false" customHeight="false" outlineLevel="0" collapsed="false">
      <c r="A1091" s="11" t="s">
        <v>109</v>
      </c>
      <c r="B1091" s="11" t="s">
        <v>128</v>
      </c>
      <c r="C1091" s="11" t="n">
        <v>27</v>
      </c>
      <c r="D1091" s="11" t="s">
        <v>89</v>
      </c>
      <c r="E1091" s="11" t="s">
        <v>183</v>
      </c>
      <c r="F1091" s="11" t="s">
        <v>88</v>
      </c>
      <c r="G1091" s="12" t="n">
        <v>265</v>
      </c>
      <c r="H1091" s="12" t="n">
        <f aca="false">SUMPRODUCT(ПОТОКИ!B13:G13,ЧАСОВЫЕ_ПРОФИЛИ!B15:G15,КОЭФФИЦИЕНТЫ_ВЫБОРА!F37:K37)</f>
        <v>0.4125</v>
      </c>
      <c r="I1091" s="12" t="n">
        <f aca="false">SUMPRODUCT(ПОТОКИ!B13:G13,ЧАСОВЫЕ_ПРОФИЛИ!B15:G15,КОЭФФИЦИЕНТЫ_ВЫБОРА!F37:K37,ПАРАМЕТРЫ!$B$17:$G$17)</f>
        <v>0.4125</v>
      </c>
      <c r="J1091" s="12" t="n">
        <f aca="false">I1091*G1091/1000</f>
        <v>0.1093125</v>
      </c>
      <c r="K1091" s="11" t="s">
        <v>217</v>
      </c>
      <c r="L1091" s="11" t="s">
        <v>19</v>
      </c>
      <c r="M1091" s="11" t="s">
        <v>145</v>
      </c>
    </row>
    <row r="1092" customFormat="false" ht="23.85" hidden="false" customHeight="false" outlineLevel="0" collapsed="false">
      <c r="A1092" s="11" t="s">
        <v>109</v>
      </c>
      <c r="B1092" s="11" t="s">
        <v>128</v>
      </c>
      <c r="C1092" s="11" t="n">
        <v>28</v>
      </c>
      <c r="D1092" s="11" t="s">
        <v>89</v>
      </c>
      <c r="E1092" s="11" t="s">
        <v>184</v>
      </c>
      <c r="F1092" s="11" t="s">
        <v>88</v>
      </c>
      <c r="G1092" s="12" t="n">
        <v>355</v>
      </c>
      <c r="H1092" s="12" t="n">
        <f aca="false">SUMPRODUCT(ПОТОКИ!B13:G13,ЧАСОВЫЕ_ПРОФИЛИ!B15:G15,КОЭФФИЦИЕНТЫ_ВЫБОРА!F38:K38)</f>
        <v>0.275</v>
      </c>
      <c r="I1092" s="12" t="n">
        <f aca="false">SUMPRODUCT(ПОТОКИ!B13:G13,ЧАСОВЫЕ_ПРОФИЛИ!B15:G15,КОЭФФИЦИЕНТЫ_ВЫБОРА!F38:K38,ПАРАМЕТРЫ!$B$17:$G$17)</f>
        <v>0.275</v>
      </c>
      <c r="J1092" s="12" t="n">
        <f aca="false">I1092*G1092/1000</f>
        <v>0.097625</v>
      </c>
      <c r="K1092" s="11" t="s">
        <v>217</v>
      </c>
      <c r="L1092" s="11" t="s">
        <v>19</v>
      </c>
      <c r="M1092" s="11" t="s">
        <v>145</v>
      </c>
    </row>
    <row r="1093" customFormat="false" ht="15" hidden="false" customHeight="false" outlineLevel="0" collapsed="false">
      <c r="A1093" s="11" t="s">
        <v>109</v>
      </c>
      <c r="B1093" s="11" t="s">
        <v>128</v>
      </c>
      <c r="C1093" s="11" t="n">
        <v>29</v>
      </c>
      <c r="D1093" s="11" t="s">
        <v>92</v>
      </c>
      <c r="E1093" s="11" t="s">
        <v>185</v>
      </c>
      <c r="F1093" s="11" t="s">
        <v>91</v>
      </c>
      <c r="G1093" s="12" t="n">
        <v>150</v>
      </c>
      <c r="H1093" s="12" t="n">
        <f aca="false">SUMPRODUCT(ПОТОКИ!B13:G13,ЧАСОВЫЕ_ПРОФИЛИ!B15:G15,КОЭФФИЦИЕНТЫ_ВЫБОРА!F39:K39)</f>
        <v>0.2016</v>
      </c>
      <c r="I1093" s="12" t="n">
        <f aca="false">SUMPRODUCT(ПОТОКИ!B13:G13,ЧАСОВЫЕ_ПРОФИЛИ!B15:G15,КОЭФФИЦИЕНТЫ_ВЫБОРА!F39:K39,ПАРАМЕТРЫ!$B$17:$G$17)</f>
        <v>0.22176</v>
      </c>
      <c r="J1093" s="12" t="n">
        <f aca="false">I1093*G1093/1000</f>
        <v>0.033264</v>
      </c>
      <c r="K1093" s="11" t="s">
        <v>217</v>
      </c>
      <c r="L1093" s="11" t="s">
        <v>19</v>
      </c>
      <c r="M1093" s="11" t="s">
        <v>145</v>
      </c>
    </row>
    <row r="1094" customFormat="false" ht="15" hidden="false" customHeight="false" outlineLevel="0" collapsed="false">
      <c r="A1094" s="11" t="s">
        <v>109</v>
      </c>
      <c r="B1094" s="11" t="s">
        <v>128</v>
      </c>
      <c r="C1094" s="11" t="n">
        <v>30</v>
      </c>
      <c r="D1094" s="11" t="s">
        <v>92</v>
      </c>
      <c r="E1094" s="11" t="s">
        <v>186</v>
      </c>
      <c r="F1094" s="11" t="s">
        <v>91</v>
      </c>
      <c r="G1094" s="12" t="n">
        <v>120</v>
      </c>
      <c r="H1094" s="12" t="n">
        <f aca="false">SUMPRODUCT(ПОТОКИ!B13:G13,ЧАСОВЫЕ_ПРОФИЛИ!B15:G15,КОЭФФИЦИЕНТЫ_ВЫБОРА!F40:K40)</f>
        <v>0.2016</v>
      </c>
      <c r="I1094" s="12" t="n">
        <f aca="false">SUMPRODUCT(ПОТОКИ!B13:G13,ЧАСОВЫЕ_ПРОФИЛИ!B15:G15,КОЭФФИЦИЕНТЫ_ВЫБОРА!F40:K40,ПАРАМЕТРЫ!$B$17:$G$17)</f>
        <v>0.22176</v>
      </c>
      <c r="J1094" s="12" t="n">
        <f aca="false">I1094*G1094/1000</f>
        <v>0.0266112</v>
      </c>
      <c r="K1094" s="11" t="s">
        <v>217</v>
      </c>
      <c r="L1094" s="11" t="s">
        <v>19</v>
      </c>
      <c r="M1094" s="11" t="s">
        <v>145</v>
      </c>
    </row>
    <row r="1095" customFormat="false" ht="15" hidden="false" customHeight="false" outlineLevel="0" collapsed="false">
      <c r="A1095" s="11" t="s">
        <v>109</v>
      </c>
      <c r="B1095" s="11" t="s">
        <v>128</v>
      </c>
      <c r="C1095" s="11" t="n">
        <v>31</v>
      </c>
      <c r="D1095" s="11" t="s">
        <v>92</v>
      </c>
      <c r="E1095" s="11" t="s">
        <v>187</v>
      </c>
      <c r="F1095" s="11" t="s">
        <v>91</v>
      </c>
      <c r="G1095" s="12" t="n">
        <v>60</v>
      </c>
      <c r="H1095" s="12" t="n">
        <f aca="false">SUMPRODUCT(ПОТОКИ!B13:G13,ЧАСОВЫЕ_ПРОФИЛИ!B15:G15,КОЭФФИЦИЕНТЫ_ВЫБОРА!F41:K41)</f>
        <v>0.2208</v>
      </c>
      <c r="I1095" s="12" t="n">
        <f aca="false">SUMPRODUCT(ПОТОКИ!B13:G13,ЧАСОВЫЕ_ПРОФИЛИ!B15:G15,КОЭФФИЦИЕНТЫ_ВЫБОРА!F41:K41,ПАРАМЕТРЫ!$B$17:$G$17)</f>
        <v>0.24288</v>
      </c>
      <c r="J1095" s="12" t="n">
        <f aca="false">I1095*G1095/1000</f>
        <v>0.0145728</v>
      </c>
      <c r="K1095" s="11" t="s">
        <v>217</v>
      </c>
      <c r="L1095" s="11" t="s">
        <v>19</v>
      </c>
      <c r="M1095" s="11" t="s">
        <v>145</v>
      </c>
    </row>
    <row r="1096" customFormat="false" ht="15" hidden="false" customHeight="false" outlineLevel="0" collapsed="false">
      <c r="A1096" s="11" t="s">
        <v>109</v>
      </c>
      <c r="B1096" s="11" t="s">
        <v>129</v>
      </c>
      <c r="C1096" s="11" t="n">
        <v>1</v>
      </c>
      <c r="D1096" s="11" t="s">
        <v>74</v>
      </c>
      <c r="E1096" s="11" t="s">
        <v>153</v>
      </c>
      <c r="F1096" s="11" t="s">
        <v>73</v>
      </c>
      <c r="G1096" s="12" t="n">
        <v>450</v>
      </c>
      <c r="H1096" s="12" t="n">
        <f aca="false">SUMPRODUCT(ПОТОКИ!B13:G13,ЧАСОВЫЕ_ПРОФИЛИ!B16:G16,КОЭФФИЦИЕНТЫ_ВЫБОРА!F11:K11)</f>
        <v>0.6318</v>
      </c>
      <c r="I1096" s="12" t="n">
        <f aca="false">SUMPRODUCT(ПОТОКИ!B13:G13,ЧАСОВЫЕ_ПРОФИЛИ!B16:G16,КОЭФФИЦИЕНТЫ_ВЫБОРА!F11:K11,ПАРАМЕТРЫ!$B$17:$G$17)</f>
        <v>0.69498</v>
      </c>
      <c r="J1096" s="12" t="n">
        <f aca="false">I1096*G1096/1000</f>
        <v>0.312741</v>
      </c>
      <c r="K1096" s="11" t="s">
        <v>217</v>
      </c>
      <c r="L1096" s="11" t="s">
        <v>19</v>
      </c>
      <c r="M1096" s="11" t="s">
        <v>145</v>
      </c>
    </row>
    <row r="1097" customFormat="false" ht="15" hidden="false" customHeight="false" outlineLevel="0" collapsed="false">
      <c r="A1097" s="11" t="s">
        <v>109</v>
      </c>
      <c r="B1097" s="11" t="s">
        <v>129</v>
      </c>
      <c r="C1097" s="11" t="n">
        <v>2</v>
      </c>
      <c r="D1097" s="11" t="s">
        <v>74</v>
      </c>
      <c r="E1097" s="11" t="s">
        <v>154</v>
      </c>
      <c r="F1097" s="11" t="s">
        <v>73</v>
      </c>
      <c r="G1097" s="12" t="n">
        <v>480</v>
      </c>
      <c r="H1097" s="12" t="n">
        <f aca="false">SUMPRODUCT(ПОТОКИ!B13:G13,ЧАСОВЫЕ_ПРОФИЛИ!B16:G16,КОЭФФИЦИЕНТЫ_ВЫБОРА!F12:K12)</f>
        <v>0.6874</v>
      </c>
      <c r="I1097" s="12" t="n">
        <f aca="false">SUMPRODUCT(ПОТОКИ!B13:G13,ЧАСОВЫЕ_ПРОФИЛИ!B16:G16,КОЭФФИЦИЕНТЫ_ВЫБОРА!F12:K12,ПАРАМЕТРЫ!$B$17:$G$17)</f>
        <v>0.75614</v>
      </c>
      <c r="J1097" s="12" t="n">
        <f aca="false">I1097*G1097/1000</f>
        <v>0.3629472</v>
      </c>
      <c r="K1097" s="11" t="s">
        <v>217</v>
      </c>
      <c r="L1097" s="11" t="s">
        <v>19</v>
      </c>
      <c r="M1097" s="11" t="s">
        <v>145</v>
      </c>
    </row>
    <row r="1098" customFormat="false" ht="15" hidden="false" customHeight="false" outlineLevel="0" collapsed="false">
      <c r="A1098" s="11" t="s">
        <v>109</v>
      </c>
      <c r="B1098" s="11" t="s">
        <v>129</v>
      </c>
      <c r="C1098" s="11" t="n">
        <v>3</v>
      </c>
      <c r="D1098" s="11" t="s">
        <v>74</v>
      </c>
      <c r="E1098" s="11" t="s">
        <v>155</v>
      </c>
      <c r="F1098" s="11" t="s">
        <v>73</v>
      </c>
      <c r="G1098" s="12" t="n">
        <v>500</v>
      </c>
      <c r="H1098" s="12" t="n">
        <f aca="false">SUMPRODUCT(ПОТОКИ!B13:G13,ЧАСОВЫЕ_ПРОФИЛИ!B16:G16,КОЭФФИЦИЕНТЫ_ВЫБОРА!F13:K13)</f>
        <v>1.2936</v>
      </c>
      <c r="I1098" s="12" t="n">
        <f aca="false">SUMPRODUCT(ПОТОКИ!B13:G13,ЧАСОВЫЕ_ПРОФИЛИ!B16:G16,КОЭФФИЦИЕНТЫ_ВЫБОРА!F13:K13,ПАРАМЕТРЫ!$B$17:$G$17)</f>
        <v>1.42296</v>
      </c>
      <c r="J1098" s="12" t="n">
        <f aca="false">I1098*G1098/1000</f>
        <v>0.71148</v>
      </c>
      <c r="K1098" s="11" t="s">
        <v>217</v>
      </c>
      <c r="L1098" s="11" t="s">
        <v>19</v>
      </c>
      <c r="M1098" s="11" t="s">
        <v>145</v>
      </c>
    </row>
    <row r="1099" customFormat="false" ht="15" hidden="false" customHeight="false" outlineLevel="0" collapsed="false">
      <c r="A1099" s="11" t="s">
        <v>109</v>
      </c>
      <c r="B1099" s="11" t="s">
        <v>129</v>
      </c>
      <c r="C1099" s="11" t="n">
        <v>4</v>
      </c>
      <c r="D1099" s="11" t="s">
        <v>74</v>
      </c>
      <c r="E1099" s="11" t="s">
        <v>156</v>
      </c>
      <c r="F1099" s="11" t="s">
        <v>73</v>
      </c>
      <c r="G1099" s="12" t="n">
        <v>500</v>
      </c>
      <c r="H1099" s="12" t="n">
        <f aca="false">SUMPRODUCT(ПОТОКИ!B13:G13,ЧАСОВЫЕ_ПРОФИЛИ!B16:G16,КОЭФФИЦИЕНТЫ_ВЫБОРА!F14:K14)</f>
        <v>1.3492</v>
      </c>
      <c r="I1099" s="12" t="n">
        <f aca="false">SUMPRODUCT(ПОТОКИ!B13:G13,ЧАСОВЫЕ_ПРОФИЛИ!B16:G16,КОЭФФИЦИЕНТЫ_ВЫБОРА!F14:K14,ПАРАМЕТРЫ!$B$17:$G$17)</f>
        <v>1.48412</v>
      </c>
      <c r="J1099" s="12" t="n">
        <f aca="false">I1099*G1099/1000</f>
        <v>0.74206</v>
      </c>
      <c r="K1099" s="11" t="s">
        <v>217</v>
      </c>
      <c r="L1099" s="11" t="s">
        <v>19</v>
      </c>
      <c r="M1099" s="11" t="s">
        <v>145</v>
      </c>
    </row>
    <row r="1100" customFormat="false" ht="15" hidden="false" customHeight="false" outlineLevel="0" collapsed="false">
      <c r="A1100" s="11" t="s">
        <v>109</v>
      </c>
      <c r="B1100" s="11" t="s">
        <v>129</v>
      </c>
      <c r="C1100" s="11" t="n">
        <v>5</v>
      </c>
      <c r="D1100" s="11" t="s">
        <v>78</v>
      </c>
      <c r="E1100" s="11" t="s">
        <v>157</v>
      </c>
      <c r="F1100" s="11" t="s">
        <v>77</v>
      </c>
      <c r="G1100" s="12" t="n">
        <v>100</v>
      </c>
      <c r="H1100" s="12" t="n">
        <f aca="false">SUMPRODUCT(ПОТОКИ!B13:G13,ЧАСОВЫЕ_ПРОФИЛИ!B16:G16,КОЭФФИЦИЕНТЫ_ВЫБОРА!F15:K15)</f>
        <v>0.7154</v>
      </c>
      <c r="I1100" s="12" t="n">
        <f aca="false">SUMPRODUCT(ПОТОКИ!B13:G13,ЧАСОВЫЕ_ПРОФИЛИ!B16:G16,КОЭФФИЦИЕНТЫ_ВЫБОРА!F15:K15,ПАРАМЕТРЫ!$B$17:$G$17)</f>
        <v>0.78694</v>
      </c>
      <c r="J1100" s="12" t="n">
        <f aca="false">I1100*G1100/1000</f>
        <v>0.078694</v>
      </c>
      <c r="K1100" s="11" t="s">
        <v>217</v>
      </c>
      <c r="L1100" s="11" t="s">
        <v>19</v>
      </c>
      <c r="M1100" s="11" t="s">
        <v>147</v>
      </c>
    </row>
    <row r="1101" customFormat="false" ht="15" hidden="false" customHeight="false" outlineLevel="0" collapsed="false">
      <c r="A1101" s="11" t="s">
        <v>109</v>
      </c>
      <c r="B1101" s="11" t="s">
        <v>129</v>
      </c>
      <c r="C1101" s="11" t="n">
        <v>6</v>
      </c>
      <c r="D1101" s="11" t="s">
        <v>78</v>
      </c>
      <c r="E1101" s="11" t="s">
        <v>158</v>
      </c>
      <c r="F1101" s="11" t="s">
        <v>77</v>
      </c>
      <c r="G1101" s="12" t="n">
        <v>100</v>
      </c>
      <c r="H1101" s="12" t="n">
        <f aca="false">SUMPRODUCT(ПОТОКИ!B13:G13,ЧАСОВЫЕ_ПРОФИЛИ!B16:G16,КОЭФФИЦИЕНТЫ_ВЫБОРА!F16:K16)</f>
        <v>0.6198</v>
      </c>
      <c r="I1101" s="12" t="n">
        <f aca="false">SUMPRODUCT(ПОТОКИ!B13:G13,ЧАСОВЫЕ_ПРОФИЛИ!B16:G16,КОЭФФИЦИЕНТЫ_ВЫБОРА!F16:K16,ПАРАМЕТРЫ!$B$17:$G$17)</f>
        <v>0.68178</v>
      </c>
      <c r="J1101" s="12" t="n">
        <f aca="false">I1101*G1101/1000</f>
        <v>0.068178</v>
      </c>
      <c r="K1101" s="11" t="s">
        <v>217</v>
      </c>
      <c r="L1101" s="11" t="s">
        <v>19</v>
      </c>
      <c r="M1101" s="11" t="s">
        <v>147</v>
      </c>
    </row>
    <row r="1102" customFormat="false" ht="15" hidden="false" customHeight="false" outlineLevel="0" collapsed="false">
      <c r="A1102" s="11" t="s">
        <v>109</v>
      </c>
      <c r="B1102" s="11" t="s">
        <v>129</v>
      </c>
      <c r="C1102" s="11" t="n">
        <v>7</v>
      </c>
      <c r="D1102" s="11" t="s">
        <v>78</v>
      </c>
      <c r="E1102" s="11" t="s">
        <v>159</v>
      </c>
      <c r="F1102" s="11" t="s">
        <v>77</v>
      </c>
      <c r="G1102" s="12" t="n">
        <v>350</v>
      </c>
      <c r="H1102" s="12" t="n">
        <f aca="false">SUMPRODUCT(ПОТОКИ!B13:G13,ЧАСОВЫЕ_ПРОФИЛИ!B16:G16,КОЭФФИЦИЕНТЫ_ВЫБОРА!F17:K17)</f>
        <v>0.5643</v>
      </c>
      <c r="I1102" s="12" t="n">
        <f aca="false">SUMPRODUCT(ПОТОКИ!B13:G13,ЧАСОВЫЕ_ПРОФИЛИ!B16:G16,КОЭФФИЦИЕНТЫ_ВЫБОРА!F17:K17,ПАРАМЕТРЫ!$B$17:$G$17)</f>
        <v>0.62073</v>
      </c>
      <c r="J1102" s="12" t="n">
        <f aca="false">I1102*G1102/1000</f>
        <v>0.2172555</v>
      </c>
      <c r="K1102" s="11" t="s">
        <v>217</v>
      </c>
      <c r="L1102" s="11" t="s">
        <v>19</v>
      </c>
      <c r="M1102" s="11" t="s">
        <v>147</v>
      </c>
    </row>
    <row r="1103" customFormat="false" ht="15" hidden="false" customHeight="false" outlineLevel="0" collapsed="false">
      <c r="A1103" s="11" t="s">
        <v>109</v>
      </c>
      <c r="B1103" s="11" t="s">
        <v>129</v>
      </c>
      <c r="C1103" s="11" t="n">
        <v>8</v>
      </c>
      <c r="D1103" s="11" t="s">
        <v>78</v>
      </c>
      <c r="E1103" s="11" t="s">
        <v>160</v>
      </c>
      <c r="F1103" s="11" t="s">
        <v>77</v>
      </c>
      <c r="G1103" s="12" t="n">
        <v>85</v>
      </c>
      <c r="H1103" s="12" t="n">
        <f aca="false">SUMPRODUCT(ПОТОКИ!B13:G13,ЧАСОВЫЕ_ПРОФИЛИ!B16:G16,КОЭФФИЦИЕНТЫ_ВЫБОРА!F18:K18)</f>
        <v>0.3577</v>
      </c>
      <c r="I1103" s="12" t="n">
        <f aca="false">SUMPRODUCT(ПОТОКИ!B13:G13,ЧАСОВЫЕ_ПРОФИЛИ!B16:G16,КОЭФФИЦИЕНТЫ_ВЫБОРА!F18:K18,ПАРАМЕТРЫ!$B$17:$G$17)</f>
        <v>0.39347</v>
      </c>
      <c r="J1103" s="12" t="n">
        <f aca="false">I1103*G1103/1000</f>
        <v>0.03344495</v>
      </c>
      <c r="K1103" s="11" t="s">
        <v>217</v>
      </c>
      <c r="L1103" s="11" t="s">
        <v>19</v>
      </c>
      <c r="M1103" s="11" t="s">
        <v>147</v>
      </c>
    </row>
    <row r="1104" customFormat="false" ht="15" hidden="false" customHeight="false" outlineLevel="0" collapsed="false">
      <c r="A1104" s="11" t="s">
        <v>109</v>
      </c>
      <c r="B1104" s="11" t="s">
        <v>129</v>
      </c>
      <c r="C1104" s="11" t="n">
        <v>9</v>
      </c>
      <c r="D1104" s="11" t="s">
        <v>161</v>
      </c>
      <c r="E1104" s="11" t="s">
        <v>162</v>
      </c>
      <c r="F1104" s="11" t="s">
        <v>80</v>
      </c>
      <c r="G1104" s="12" t="n">
        <v>300</v>
      </c>
      <c r="H1104" s="12" t="n">
        <f aca="false">SUMPRODUCT(ПОТОКИ!B13:G13,ЧАСОВЫЕ_ПРОФИЛИ!B16:G16,КОЭФФИЦИЕНТЫ_ВЫБОРА!F19:K19)</f>
        <v>0.587</v>
      </c>
      <c r="I1104" s="12" t="n">
        <f aca="false">SUMPRODUCT(ПОТОКИ!B13:G13,ЧАСОВЫЕ_ПРОФИЛИ!B16:G16,КОЭФФИЦИЕНТЫ_ВЫБОРА!F19:K19,ПАРАМЕТРЫ!$B$17:$G$17)</f>
        <v>0.6457</v>
      </c>
      <c r="J1104" s="12" t="n">
        <f aca="false">I1104*G1104/1000</f>
        <v>0.19371</v>
      </c>
      <c r="K1104" s="11" t="s">
        <v>217</v>
      </c>
      <c r="L1104" s="11" t="s">
        <v>19</v>
      </c>
      <c r="M1104" s="11" t="s">
        <v>145</v>
      </c>
    </row>
    <row r="1105" customFormat="false" ht="15" hidden="false" customHeight="false" outlineLevel="0" collapsed="false">
      <c r="A1105" s="11" t="s">
        <v>109</v>
      </c>
      <c r="B1105" s="11" t="s">
        <v>129</v>
      </c>
      <c r="C1105" s="11" t="n">
        <v>10</v>
      </c>
      <c r="D1105" s="11" t="s">
        <v>161</v>
      </c>
      <c r="E1105" s="11" t="s">
        <v>163</v>
      </c>
      <c r="F1105" s="11" t="s">
        <v>80</v>
      </c>
      <c r="G1105" s="12" t="n">
        <v>280</v>
      </c>
      <c r="H1105" s="12" t="n">
        <f aca="false">SUMPRODUCT(ПОТОКИ!B13:G13,ЧАСОВЫЕ_ПРОФИЛИ!B16:G16,КОЭФФИЦИЕНТЫ_ВЫБОРА!F20:K20)</f>
        <v>0.982</v>
      </c>
      <c r="I1105" s="12" t="n">
        <f aca="false">SUMPRODUCT(ПОТОКИ!B13:G13,ЧАСОВЫЕ_ПРОФИЛИ!B16:G16,КОЭФФИЦИЕНТЫ_ВЫБОРА!F20:K20,ПАРАМЕТРЫ!$B$17:$G$17)</f>
        <v>1.0802</v>
      </c>
      <c r="J1105" s="12" t="n">
        <f aca="false">I1105*G1105/1000</f>
        <v>0.302456</v>
      </c>
      <c r="K1105" s="11" t="s">
        <v>217</v>
      </c>
      <c r="L1105" s="11" t="s">
        <v>19</v>
      </c>
      <c r="M1105" s="11" t="s">
        <v>145</v>
      </c>
    </row>
    <row r="1106" customFormat="false" ht="15" hidden="false" customHeight="false" outlineLevel="0" collapsed="false">
      <c r="A1106" s="11" t="s">
        <v>109</v>
      </c>
      <c r="B1106" s="11" t="s">
        <v>129</v>
      </c>
      <c r="C1106" s="11" t="n">
        <v>11</v>
      </c>
      <c r="D1106" s="11" t="s">
        <v>161</v>
      </c>
      <c r="E1106" s="11" t="s">
        <v>164</v>
      </c>
      <c r="F1106" s="11" t="s">
        <v>80</v>
      </c>
      <c r="G1106" s="12" t="n">
        <v>270</v>
      </c>
      <c r="H1106" s="12" t="n">
        <f aca="false">SUMPRODUCT(ПОТОКИ!B13:G13,ЧАСОВЫЕ_ПРОФИЛИ!B16:G16,КОЭФФИЦИЕНТЫ_ВЫБОРА!F21:K21)</f>
        <v>1.8713</v>
      </c>
      <c r="I1106" s="12" t="n">
        <f aca="false">SUMPRODUCT(ПОТОКИ!B13:G13,ЧАСОВЫЕ_ПРОФИЛИ!B16:G16,КОЭФФИЦИЕНТЫ_ВЫБОРА!F21:K21,ПАРАМЕТРЫ!$B$17:$G$17)</f>
        <v>2.05843</v>
      </c>
      <c r="J1106" s="12" t="n">
        <f aca="false">I1106*G1106/1000</f>
        <v>0.5557761</v>
      </c>
      <c r="K1106" s="11" t="s">
        <v>217</v>
      </c>
      <c r="L1106" s="11" t="s">
        <v>19</v>
      </c>
      <c r="M1106" s="11" t="s">
        <v>145</v>
      </c>
    </row>
    <row r="1107" customFormat="false" ht="15" hidden="false" customHeight="false" outlineLevel="0" collapsed="false">
      <c r="A1107" s="11" t="s">
        <v>109</v>
      </c>
      <c r="B1107" s="11" t="s">
        <v>129</v>
      </c>
      <c r="C1107" s="11" t="n">
        <v>12</v>
      </c>
      <c r="D1107" s="11" t="s">
        <v>161</v>
      </c>
      <c r="E1107" s="11" t="s">
        <v>165</v>
      </c>
      <c r="F1107" s="11" t="s">
        <v>80</v>
      </c>
      <c r="G1107" s="12" t="n">
        <v>240</v>
      </c>
      <c r="H1107" s="12" t="n">
        <f aca="false">SUMPRODUCT(ПОТОКИ!B13:G13,ЧАСОВЫЕ_ПРОФИЛИ!B16:G16,КОЭФФИЦИЕНТЫ_ВЫБОРА!F22:K22)</f>
        <v>1.2777</v>
      </c>
      <c r="I1107" s="12" t="n">
        <f aca="false">SUMPRODUCT(ПОТОКИ!B13:G13,ЧАСОВЫЕ_ПРОФИЛИ!B16:G16,КОЭФФИЦИЕНТЫ_ВЫБОРА!F22:K22,ПАРАМЕТРЫ!$B$17:$G$17)</f>
        <v>1.40547</v>
      </c>
      <c r="J1107" s="12" t="n">
        <f aca="false">I1107*G1107/1000</f>
        <v>0.3373128</v>
      </c>
      <c r="K1107" s="11" t="s">
        <v>217</v>
      </c>
      <c r="L1107" s="11" t="s">
        <v>19</v>
      </c>
      <c r="M1107" s="11" t="s">
        <v>145</v>
      </c>
    </row>
    <row r="1108" customFormat="false" ht="15" hidden="false" customHeight="false" outlineLevel="0" collapsed="false">
      <c r="A1108" s="11" t="s">
        <v>109</v>
      </c>
      <c r="B1108" s="11" t="s">
        <v>129</v>
      </c>
      <c r="C1108" s="11" t="n">
        <v>13</v>
      </c>
      <c r="D1108" s="11" t="s">
        <v>166</v>
      </c>
      <c r="E1108" s="11" t="s">
        <v>167</v>
      </c>
      <c r="F1108" s="11" t="s">
        <v>80</v>
      </c>
      <c r="G1108" s="12" t="n">
        <v>130</v>
      </c>
      <c r="H1108" s="12" t="n">
        <f aca="false">SUMPRODUCT(ПОТОКИ!B13:G13,ЧАСОВЫЕ_ПРОФИЛИ!B16:G16,КОЭФФИЦИЕНТЫ_ВЫБОРА!F23:K23)</f>
        <v>0.268</v>
      </c>
      <c r="I1108" s="12" t="n">
        <f aca="false">SUMPRODUCT(ПОТОКИ!B13:G13,ЧАСОВЫЕ_ПРОФИЛИ!B16:G16,КОЭФФИЦИЕНТЫ_ВЫБОРА!F23:K23,ПАРАМЕТРЫ!$B$17:$G$17)</f>
        <v>0.2948</v>
      </c>
      <c r="J1108" s="12" t="n">
        <f aca="false">I1108*G1108/1000</f>
        <v>0.038324</v>
      </c>
      <c r="K1108" s="11" t="s">
        <v>217</v>
      </c>
      <c r="L1108" s="11" t="s">
        <v>19</v>
      </c>
      <c r="M1108" s="11" t="s">
        <v>145</v>
      </c>
    </row>
    <row r="1109" customFormat="false" ht="15" hidden="false" customHeight="false" outlineLevel="0" collapsed="false">
      <c r="A1109" s="11" t="s">
        <v>109</v>
      </c>
      <c r="B1109" s="11" t="s">
        <v>129</v>
      </c>
      <c r="C1109" s="11" t="n">
        <v>14</v>
      </c>
      <c r="D1109" s="11" t="s">
        <v>166</v>
      </c>
      <c r="E1109" s="11" t="s">
        <v>168</v>
      </c>
      <c r="F1109" s="11" t="s">
        <v>80</v>
      </c>
      <c r="G1109" s="12" t="n">
        <v>250</v>
      </c>
      <c r="H1109" s="12" t="n">
        <f aca="false">SUMPRODUCT(ПОТОКИ!B13:G13,ЧАСОВЫЕ_ПРОФИЛИ!B16:G16,КОЭФФИЦИЕНТЫ_ВЫБОРА!F24:K24)</f>
        <v>0.4268</v>
      </c>
      <c r="I1109" s="12" t="n">
        <f aca="false">SUMPRODUCT(ПОТОКИ!B13:G13,ЧАСОВЫЕ_ПРОФИЛИ!B16:G16,КОЭФФИЦИЕНТЫ_ВЫБОРА!F24:K24,ПАРАМЕТРЫ!$B$17:$G$17)</f>
        <v>0.46948</v>
      </c>
      <c r="J1109" s="12" t="n">
        <f aca="false">I1109*G1109/1000</f>
        <v>0.11737</v>
      </c>
      <c r="K1109" s="11" t="s">
        <v>217</v>
      </c>
      <c r="L1109" s="11" t="s">
        <v>19</v>
      </c>
      <c r="M1109" s="11" t="s">
        <v>145</v>
      </c>
    </row>
    <row r="1110" customFormat="false" ht="15" hidden="false" customHeight="false" outlineLevel="0" collapsed="false">
      <c r="A1110" s="11" t="s">
        <v>109</v>
      </c>
      <c r="B1110" s="11" t="s">
        <v>129</v>
      </c>
      <c r="C1110" s="11" t="n">
        <v>15</v>
      </c>
      <c r="D1110" s="11" t="s">
        <v>166</v>
      </c>
      <c r="E1110" s="11" t="s">
        <v>169</v>
      </c>
      <c r="F1110" s="11" t="s">
        <v>80</v>
      </c>
      <c r="G1110" s="12" t="n">
        <v>120</v>
      </c>
      <c r="H1110" s="12" t="n">
        <f aca="false">SUMPRODUCT(ПОТОКИ!B13:G13,ЧАСОВЫЕ_ПРОФИЛИ!B16:G16,КОЭФФИЦИЕНТЫ_ВЫБОРА!F25:K25)</f>
        <v>0.2168</v>
      </c>
      <c r="I1110" s="12" t="n">
        <f aca="false">SUMPRODUCT(ПОТОКИ!B13:G13,ЧАСОВЫЕ_ПРОФИЛИ!B16:G16,КОЭФФИЦИЕНТЫ_ВЫБОРА!F25:K25,ПАРАМЕТРЫ!$B$17:$G$17)</f>
        <v>0.23848</v>
      </c>
      <c r="J1110" s="12" t="n">
        <f aca="false">I1110*G1110/1000</f>
        <v>0.0286176</v>
      </c>
      <c r="K1110" s="11" t="s">
        <v>217</v>
      </c>
      <c r="L1110" s="11" t="s">
        <v>19</v>
      </c>
      <c r="M1110" s="11" t="s">
        <v>145</v>
      </c>
    </row>
    <row r="1111" customFormat="false" ht="15" hidden="false" customHeight="false" outlineLevel="0" collapsed="false">
      <c r="A1111" s="11" t="s">
        <v>109</v>
      </c>
      <c r="B1111" s="11" t="s">
        <v>129</v>
      </c>
      <c r="C1111" s="11" t="n">
        <v>16</v>
      </c>
      <c r="D1111" s="11" t="s">
        <v>166</v>
      </c>
      <c r="E1111" s="11" t="s">
        <v>170</v>
      </c>
      <c r="F1111" s="11" t="s">
        <v>80</v>
      </c>
      <c r="G1111" s="12" t="n">
        <v>180</v>
      </c>
      <c r="H1111" s="12" t="n">
        <f aca="false">SUMPRODUCT(ПОТОКИ!B13:G13,ЧАСОВЫЕ_ПРОФИЛИ!B16:G16,КОЭФФИЦИЕНТЫ_ВЫБОРА!F26:K26)</f>
        <v>0.5924</v>
      </c>
      <c r="I1111" s="12" t="n">
        <f aca="false">SUMPRODUCT(ПОТОКИ!B13:G13,ЧАСОВЫЕ_ПРОФИЛИ!B16:G16,КОЭФФИЦИЕНТЫ_ВЫБОРА!F26:K26,ПАРАМЕТРЫ!$B$17:$G$17)</f>
        <v>0.65164</v>
      </c>
      <c r="J1111" s="12" t="n">
        <f aca="false">I1111*G1111/1000</f>
        <v>0.1172952</v>
      </c>
      <c r="K1111" s="11" t="s">
        <v>217</v>
      </c>
      <c r="L1111" s="11" t="s">
        <v>19</v>
      </c>
      <c r="M1111" s="11" t="s">
        <v>145</v>
      </c>
    </row>
    <row r="1112" customFormat="false" ht="15" hidden="false" customHeight="false" outlineLevel="0" collapsed="false">
      <c r="A1112" s="11" t="s">
        <v>109</v>
      </c>
      <c r="B1112" s="11" t="s">
        <v>129</v>
      </c>
      <c r="C1112" s="11" t="n">
        <v>17</v>
      </c>
      <c r="D1112" s="11" t="s">
        <v>166</v>
      </c>
      <c r="E1112" s="11" t="s">
        <v>171</v>
      </c>
      <c r="F1112" s="11" t="s">
        <v>80</v>
      </c>
      <c r="G1112" s="12" t="n">
        <v>180</v>
      </c>
      <c r="H1112" s="12" t="n">
        <f aca="false">SUMPRODUCT(ПОТОКИ!B13:G13,ЧАСОВЫЕ_ПРОФИЛИ!B16:G16,КОЭФФИЦИЕНТЫ_ВЫБОРА!F27:K27)</f>
        <v>0.408</v>
      </c>
      <c r="I1112" s="12" t="n">
        <f aca="false">SUMPRODUCT(ПОТОКИ!B13:G13,ЧАСОВЫЕ_ПРОФИЛИ!B16:G16,КОЭФФИЦИЕНТЫ_ВЫБОРА!F27:K27,ПАРАМЕТРЫ!$B$17:$G$17)</f>
        <v>0.4488</v>
      </c>
      <c r="J1112" s="12" t="n">
        <f aca="false">I1112*G1112/1000</f>
        <v>0.080784</v>
      </c>
      <c r="K1112" s="11" t="s">
        <v>217</v>
      </c>
      <c r="L1112" s="11" t="s">
        <v>19</v>
      </c>
      <c r="M1112" s="11" t="s">
        <v>145</v>
      </c>
    </row>
    <row r="1113" customFormat="false" ht="15" hidden="false" customHeight="false" outlineLevel="0" collapsed="false">
      <c r="A1113" s="11" t="s">
        <v>109</v>
      </c>
      <c r="B1113" s="11" t="s">
        <v>129</v>
      </c>
      <c r="C1113" s="11" t="n">
        <v>18</v>
      </c>
      <c r="D1113" s="11" t="s">
        <v>172</v>
      </c>
      <c r="E1113" s="11" t="s">
        <v>173</v>
      </c>
      <c r="F1113" s="11" t="s">
        <v>83</v>
      </c>
      <c r="G1113" s="12" t="n">
        <v>400</v>
      </c>
      <c r="H1113" s="12" t="n">
        <f aca="false">SUMPRODUCT(ПОТОКИ!B13:G13,ЧАСОВЫЕ_ПРОФИЛИ!B16:G16,КОЭФФИЦИЕНТЫ_ВЫБОРА!F28:K28)</f>
        <v>5.156</v>
      </c>
      <c r="I1113" s="12" t="n">
        <f aca="false">SUMPRODUCT(ПОТОКИ!B13:G13,ЧАСОВЫЕ_ПРОФИЛИ!B16:G16,КОЭФФИЦИЕНТЫ_ВЫБОРА!F28:K28,ПАРАМЕТРЫ!$B$17:$G$17)</f>
        <v>5.6716</v>
      </c>
      <c r="J1113" s="12" t="n">
        <f aca="false">I1113*G1113/1000</f>
        <v>2.26864</v>
      </c>
      <c r="K1113" s="11" t="s">
        <v>217</v>
      </c>
      <c r="L1113" s="11" t="s">
        <v>19</v>
      </c>
      <c r="M1113" s="11" t="s">
        <v>145</v>
      </c>
    </row>
    <row r="1114" customFormat="false" ht="23.85" hidden="false" customHeight="false" outlineLevel="0" collapsed="false">
      <c r="A1114" s="11" t="s">
        <v>109</v>
      </c>
      <c r="B1114" s="11" t="s">
        <v>129</v>
      </c>
      <c r="C1114" s="11" t="n">
        <v>19</v>
      </c>
      <c r="D1114" s="11" t="s">
        <v>174</v>
      </c>
      <c r="E1114" s="11" t="s">
        <v>175</v>
      </c>
      <c r="F1114" s="11" t="s">
        <v>83</v>
      </c>
      <c r="G1114" s="12" t="n">
        <v>300</v>
      </c>
      <c r="H1114" s="12" t="n">
        <f aca="false">SUMPRODUCT(ПОТОКИ!B13:G13,ЧАСОВЫЕ_ПРОФИЛИ!B16:G16,КОЭФФИЦИЕНТЫ_ВЫБОРА!F29:K29)</f>
        <v>3.806</v>
      </c>
      <c r="I1114" s="12" t="n">
        <f aca="false">SUMPRODUCT(ПОТОКИ!B13:G13,ЧАСОВЫЕ_ПРОФИЛИ!B16:G16,КОЭФФИЦИЕНТЫ_ВЫБОРА!F29:K29,ПАРАМЕТРЫ!$B$17:$G$17)</f>
        <v>4.1866</v>
      </c>
      <c r="J1114" s="12" t="n">
        <f aca="false">I1114*G1114/1000</f>
        <v>1.25598</v>
      </c>
      <c r="K1114" s="11" t="s">
        <v>217</v>
      </c>
      <c r="L1114" s="11" t="s">
        <v>19</v>
      </c>
      <c r="M1114" s="11" t="s">
        <v>145</v>
      </c>
    </row>
    <row r="1115" customFormat="false" ht="15" hidden="false" customHeight="false" outlineLevel="0" collapsed="false">
      <c r="A1115" s="11" t="s">
        <v>109</v>
      </c>
      <c r="B1115" s="11" t="s">
        <v>129</v>
      </c>
      <c r="C1115" s="11" t="n">
        <v>20</v>
      </c>
      <c r="D1115" s="11" t="s">
        <v>174</v>
      </c>
      <c r="E1115" s="11" t="s">
        <v>176</v>
      </c>
      <c r="F1115" s="11" t="s">
        <v>83</v>
      </c>
      <c r="G1115" s="12" t="n">
        <v>360</v>
      </c>
      <c r="H1115" s="12" t="n">
        <f aca="false">SUMPRODUCT(ПОТОКИ!B13:G13,ЧАСОВЫЕ_ПРОФИЛИ!B16:G16,КОЭФФИЦИЕНТЫ_ВЫБОРА!F30:K30)</f>
        <v>2.7328</v>
      </c>
      <c r="I1115" s="12" t="n">
        <f aca="false">SUMPRODUCT(ПОТОКИ!B13:G13,ЧАСОВЫЕ_ПРОФИЛИ!B16:G16,КОЭФФИЦИЕНТЫ_ВЫБОРА!F30:K30,ПАРАМЕТРЫ!$B$17:$G$17)</f>
        <v>3.00608</v>
      </c>
      <c r="J1115" s="12" t="n">
        <f aca="false">I1115*G1115/1000</f>
        <v>1.0821888</v>
      </c>
      <c r="K1115" s="11" t="s">
        <v>217</v>
      </c>
      <c r="L1115" s="11" t="s">
        <v>19</v>
      </c>
      <c r="M1115" s="11" t="s">
        <v>145</v>
      </c>
    </row>
    <row r="1116" customFormat="false" ht="15" hidden="false" customHeight="false" outlineLevel="0" collapsed="false">
      <c r="A1116" s="11" t="s">
        <v>109</v>
      </c>
      <c r="B1116" s="11" t="s">
        <v>129</v>
      </c>
      <c r="C1116" s="11" t="n">
        <v>21</v>
      </c>
      <c r="D1116" s="11" t="s">
        <v>174</v>
      </c>
      <c r="E1116" s="11" t="s">
        <v>177</v>
      </c>
      <c r="F1116" s="11" t="s">
        <v>83</v>
      </c>
      <c r="G1116" s="12" t="n">
        <v>350</v>
      </c>
      <c r="H1116" s="12" t="n">
        <f aca="false">SUMPRODUCT(ПОТОКИ!B13:G13,ЧАСОВЫЕ_ПРОФИЛИ!B16:G16,КОЭФФИЦИЕНТЫ_ВЫБОРА!F31:K31)</f>
        <v>4.6542</v>
      </c>
      <c r="I1116" s="12" t="n">
        <f aca="false">SUMPRODUCT(ПОТОКИ!B13:G13,ЧАСОВЫЕ_ПРОФИЛИ!B16:G16,КОЭФФИЦИЕНТЫ_ВЫБОРА!F31:K31,ПАРАМЕТРЫ!$B$17:$G$17)</f>
        <v>5.11962</v>
      </c>
      <c r="J1116" s="12" t="n">
        <f aca="false">I1116*G1116/1000</f>
        <v>1.791867</v>
      </c>
      <c r="K1116" s="11" t="s">
        <v>217</v>
      </c>
      <c r="L1116" s="11" t="s">
        <v>19</v>
      </c>
      <c r="M1116" s="11" t="s">
        <v>145</v>
      </c>
    </row>
    <row r="1117" customFormat="false" ht="15" hidden="false" customHeight="false" outlineLevel="0" collapsed="false">
      <c r="A1117" s="11" t="s">
        <v>109</v>
      </c>
      <c r="B1117" s="11" t="s">
        <v>129</v>
      </c>
      <c r="C1117" s="11" t="n">
        <v>22</v>
      </c>
      <c r="D1117" s="11" t="s">
        <v>174</v>
      </c>
      <c r="E1117" s="11" t="s">
        <v>178</v>
      </c>
      <c r="F1117" s="11" t="s">
        <v>83</v>
      </c>
      <c r="G1117" s="12" t="n">
        <v>300</v>
      </c>
      <c r="H1117" s="12" t="n">
        <f aca="false">SUMPRODUCT(ПОТОКИ!B13:G13,ЧАСОВЫЕ_ПРОФИЛИ!B16:G16,КОЭФФИЦИЕНТЫ_ВЫБОРА!F32:K32)</f>
        <v>2.171</v>
      </c>
      <c r="I1117" s="12" t="n">
        <f aca="false">SUMPRODUCT(ПОТОКИ!B13:G13,ЧАСОВЫЕ_ПРОФИЛИ!B16:G16,КОЭФФИЦИЕНТЫ_ВЫБОРА!F32:K32,ПАРАМЕТРЫ!$B$17:$G$17)</f>
        <v>2.3881</v>
      </c>
      <c r="J1117" s="12" t="n">
        <f aca="false">I1117*G1117/1000</f>
        <v>0.71643</v>
      </c>
      <c r="K1117" s="11" t="s">
        <v>217</v>
      </c>
      <c r="L1117" s="11" t="s">
        <v>19</v>
      </c>
      <c r="M1117" s="11" t="s">
        <v>145</v>
      </c>
    </row>
    <row r="1118" customFormat="false" ht="15" hidden="false" customHeight="false" outlineLevel="0" collapsed="false">
      <c r="A1118" s="11" t="s">
        <v>109</v>
      </c>
      <c r="B1118" s="11" t="s">
        <v>129</v>
      </c>
      <c r="C1118" s="11" t="n">
        <v>23</v>
      </c>
      <c r="D1118" s="11" t="s">
        <v>86</v>
      </c>
      <c r="E1118" s="11" t="s">
        <v>179</v>
      </c>
      <c r="F1118" s="11" t="s">
        <v>85</v>
      </c>
      <c r="G1118" s="12" t="n">
        <v>150</v>
      </c>
      <c r="H1118" s="12" t="n">
        <f aca="false">SUMPRODUCT(ПОТОКИ!B13:G13,ЧАСОВЫЕ_ПРОФИЛИ!B16:G16,КОЭФФИЦИЕНТЫ_ВЫБОРА!F33:K33)</f>
        <v>3.682402</v>
      </c>
      <c r="I1118" s="12" t="n">
        <f aca="false">SUMPRODUCT(ПОТОКИ!B13:G13,ЧАСОВЫЕ_ПРОФИЛИ!B16:G16,КОЭФФИЦИЕНТЫ_ВЫБОРА!F33:K33,ПАРАМЕТРЫ!$B$17:$G$17)</f>
        <v>4.0506422</v>
      </c>
      <c r="J1118" s="12" t="n">
        <f aca="false">I1118*G1118/1000</f>
        <v>0.60759633</v>
      </c>
      <c r="K1118" s="11" t="s">
        <v>217</v>
      </c>
      <c r="L1118" s="11" t="s">
        <v>19</v>
      </c>
      <c r="M1118" s="11" t="s">
        <v>147</v>
      </c>
    </row>
    <row r="1119" customFormat="false" ht="15" hidden="false" customHeight="false" outlineLevel="0" collapsed="false">
      <c r="A1119" s="11" t="s">
        <v>109</v>
      </c>
      <c r="B1119" s="11" t="s">
        <v>129</v>
      </c>
      <c r="C1119" s="11" t="n">
        <v>24</v>
      </c>
      <c r="D1119" s="11" t="s">
        <v>86</v>
      </c>
      <c r="E1119" s="11" t="s">
        <v>180</v>
      </c>
      <c r="F1119" s="11" t="s">
        <v>85</v>
      </c>
      <c r="G1119" s="12" t="n">
        <v>150</v>
      </c>
      <c r="H1119" s="12" t="n">
        <f aca="false">SUMPRODUCT(ПОТОКИ!B13:G13,ЧАСОВЫЕ_ПРОФИЛИ!B16:G16,КОЭФФИЦИЕНТЫ_ВЫБОРА!F34:K34)</f>
        <v>1.513076</v>
      </c>
      <c r="I1119" s="12" t="n">
        <f aca="false">SUMPRODUCT(ПОТОКИ!B13:G13,ЧАСОВЫЕ_ПРОФИЛИ!B16:G16,КОЭФФИЦИЕНТЫ_ВЫБОРА!F34:K34,ПАРАМЕТРЫ!$B$17:$G$17)</f>
        <v>1.6643836</v>
      </c>
      <c r="J1119" s="12" t="n">
        <f aca="false">I1119*G1119/1000</f>
        <v>0.24965754</v>
      </c>
      <c r="K1119" s="11" t="s">
        <v>217</v>
      </c>
      <c r="L1119" s="11" t="s">
        <v>19</v>
      </c>
      <c r="M1119" s="11" t="s">
        <v>147</v>
      </c>
    </row>
    <row r="1120" customFormat="false" ht="15" hidden="false" customHeight="false" outlineLevel="0" collapsed="false">
      <c r="A1120" s="11" t="s">
        <v>109</v>
      </c>
      <c r="B1120" s="11" t="s">
        <v>129</v>
      </c>
      <c r="C1120" s="11" t="n">
        <v>25</v>
      </c>
      <c r="D1120" s="11" t="s">
        <v>86</v>
      </c>
      <c r="E1120" s="11" t="s">
        <v>181</v>
      </c>
      <c r="F1120" s="11" t="s">
        <v>85</v>
      </c>
      <c r="G1120" s="12" t="n">
        <v>150</v>
      </c>
      <c r="H1120" s="12" t="n">
        <f aca="false">SUMPRODUCT(ПОТОКИ!B13:G13,ЧАСОВЫЕ_ПРОФИЛИ!B16:G16,КОЭФФИЦИЕНТЫ_ВЫБОРА!F35:K35)</f>
        <v>2.369902</v>
      </c>
      <c r="I1120" s="12" t="n">
        <f aca="false">SUMPRODUCT(ПОТОКИ!B13:G13,ЧАСОВЫЕ_ПРОФИЛИ!B16:G16,КОЭФФИЦИЕНТЫ_ВЫБОРА!F35:K35,ПАРАМЕТРЫ!$B$17:$G$17)</f>
        <v>2.6068922</v>
      </c>
      <c r="J1120" s="12" t="n">
        <f aca="false">I1120*G1120/1000</f>
        <v>0.39103383</v>
      </c>
      <c r="K1120" s="11" t="s">
        <v>217</v>
      </c>
      <c r="L1120" s="11" t="s">
        <v>19</v>
      </c>
      <c r="M1120" s="11" t="s">
        <v>147</v>
      </c>
    </row>
    <row r="1121" customFormat="false" ht="23.85" hidden="false" customHeight="false" outlineLevel="0" collapsed="false">
      <c r="A1121" s="11" t="s">
        <v>109</v>
      </c>
      <c r="B1121" s="11" t="s">
        <v>129</v>
      </c>
      <c r="C1121" s="11" t="n">
        <v>26</v>
      </c>
      <c r="D1121" s="11" t="s">
        <v>89</v>
      </c>
      <c r="E1121" s="11" t="s">
        <v>182</v>
      </c>
      <c r="F1121" s="11" t="s">
        <v>88</v>
      </c>
      <c r="G1121" s="12" t="n">
        <v>225</v>
      </c>
      <c r="H1121" s="12" t="n">
        <f aca="false">SUMPRODUCT(ПОТОКИ!B13:G13,ЧАСОВЫЕ_ПРОФИЛИ!B16:G16,КОЭФФИЦИЕНТЫ_ВЫБОРА!F36:K36)</f>
        <v>0</v>
      </c>
      <c r="I1121" s="12" t="n">
        <f aca="false">SUMPRODUCT(ПОТОКИ!B13:G13,ЧАСОВЫЕ_ПРОФИЛИ!B16:G16,КОЭФФИЦИЕНТЫ_ВЫБОРА!F36:K36,ПАРАМЕТРЫ!$B$17:$G$17)</f>
        <v>0</v>
      </c>
      <c r="J1121" s="12" t="n">
        <f aca="false">I1121*G1121/1000</f>
        <v>0</v>
      </c>
      <c r="K1121" s="11" t="s">
        <v>217</v>
      </c>
      <c r="L1121" s="11" t="s">
        <v>19</v>
      </c>
      <c r="M1121" s="11" t="s">
        <v>145</v>
      </c>
    </row>
    <row r="1122" customFormat="false" ht="23.85" hidden="false" customHeight="false" outlineLevel="0" collapsed="false">
      <c r="A1122" s="11" t="s">
        <v>109</v>
      </c>
      <c r="B1122" s="11" t="s">
        <v>129</v>
      </c>
      <c r="C1122" s="11" t="n">
        <v>27</v>
      </c>
      <c r="D1122" s="11" t="s">
        <v>89</v>
      </c>
      <c r="E1122" s="11" t="s">
        <v>183</v>
      </c>
      <c r="F1122" s="11" t="s">
        <v>88</v>
      </c>
      <c r="G1122" s="12" t="n">
        <v>265</v>
      </c>
      <c r="H1122" s="12" t="n">
        <f aca="false">SUMPRODUCT(ПОТОКИ!B13:G13,ЧАСОВЫЕ_ПРОФИЛИ!B16:G16,КОЭФФИЦИЕНТЫ_ВЫБОРА!F37:K37)</f>
        <v>0</v>
      </c>
      <c r="I1122" s="12" t="n">
        <f aca="false">SUMPRODUCT(ПОТОКИ!B13:G13,ЧАСОВЫЕ_ПРОФИЛИ!B16:G16,КОЭФФИЦИЕНТЫ_ВЫБОРА!F37:K37,ПАРАМЕТРЫ!$B$17:$G$17)</f>
        <v>0</v>
      </c>
      <c r="J1122" s="12" t="n">
        <f aca="false">I1122*G1122/1000</f>
        <v>0</v>
      </c>
      <c r="K1122" s="11" t="s">
        <v>217</v>
      </c>
      <c r="L1122" s="11" t="s">
        <v>19</v>
      </c>
      <c r="M1122" s="11" t="s">
        <v>145</v>
      </c>
    </row>
    <row r="1123" customFormat="false" ht="23.85" hidden="false" customHeight="false" outlineLevel="0" collapsed="false">
      <c r="A1123" s="11" t="s">
        <v>109</v>
      </c>
      <c r="B1123" s="11" t="s">
        <v>129</v>
      </c>
      <c r="C1123" s="11" t="n">
        <v>28</v>
      </c>
      <c r="D1123" s="11" t="s">
        <v>89</v>
      </c>
      <c r="E1123" s="11" t="s">
        <v>184</v>
      </c>
      <c r="F1123" s="11" t="s">
        <v>88</v>
      </c>
      <c r="G1123" s="12" t="n">
        <v>355</v>
      </c>
      <c r="H1123" s="12" t="n">
        <f aca="false">SUMPRODUCT(ПОТОКИ!B13:G13,ЧАСОВЫЕ_ПРОФИЛИ!B16:G16,КОЭФФИЦИЕНТЫ_ВЫБОРА!F38:K38)</f>
        <v>0</v>
      </c>
      <c r="I1123" s="12" t="n">
        <f aca="false">SUMPRODUCT(ПОТОКИ!B13:G13,ЧАСОВЫЕ_ПРОФИЛИ!B16:G16,КОЭФФИЦИЕНТЫ_ВЫБОРА!F38:K38,ПАРАМЕТРЫ!$B$17:$G$17)</f>
        <v>0</v>
      </c>
      <c r="J1123" s="12" t="n">
        <f aca="false">I1123*G1123/1000</f>
        <v>0</v>
      </c>
      <c r="K1123" s="11" t="s">
        <v>217</v>
      </c>
      <c r="L1123" s="11" t="s">
        <v>19</v>
      </c>
      <c r="M1123" s="11" t="s">
        <v>145</v>
      </c>
    </row>
    <row r="1124" customFormat="false" ht="15" hidden="false" customHeight="false" outlineLevel="0" collapsed="false">
      <c r="A1124" s="11" t="s">
        <v>109</v>
      </c>
      <c r="B1124" s="11" t="s">
        <v>129</v>
      </c>
      <c r="C1124" s="11" t="n">
        <v>29</v>
      </c>
      <c r="D1124" s="11" t="s">
        <v>92</v>
      </c>
      <c r="E1124" s="11" t="s">
        <v>185</v>
      </c>
      <c r="F1124" s="11" t="s">
        <v>91</v>
      </c>
      <c r="G1124" s="12" t="n">
        <v>150</v>
      </c>
      <c r="H1124" s="12" t="n">
        <f aca="false">SUMPRODUCT(ПОТОКИ!B13:G13,ЧАСОВЫЕ_ПРОФИЛИ!B16:G16,КОЭФФИЦИЕНТЫ_ВЫБОРА!F39:K39)</f>
        <v>0.2976</v>
      </c>
      <c r="I1124" s="12" t="n">
        <f aca="false">SUMPRODUCT(ПОТОКИ!B13:G13,ЧАСОВЫЕ_ПРОФИЛИ!B16:G16,КОЭФФИЦИЕНТЫ_ВЫБОРА!F39:K39,ПАРАМЕТРЫ!$B$17:$G$17)</f>
        <v>0.32736</v>
      </c>
      <c r="J1124" s="12" t="n">
        <f aca="false">I1124*G1124/1000</f>
        <v>0.049104</v>
      </c>
      <c r="K1124" s="11" t="s">
        <v>217</v>
      </c>
      <c r="L1124" s="11" t="s">
        <v>19</v>
      </c>
      <c r="M1124" s="11" t="s">
        <v>145</v>
      </c>
    </row>
    <row r="1125" customFormat="false" ht="15" hidden="false" customHeight="false" outlineLevel="0" collapsed="false">
      <c r="A1125" s="11" t="s">
        <v>109</v>
      </c>
      <c r="B1125" s="11" t="s">
        <v>129</v>
      </c>
      <c r="C1125" s="11" t="n">
        <v>30</v>
      </c>
      <c r="D1125" s="11" t="s">
        <v>92</v>
      </c>
      <c r="E1125" s="11" t="s">
        <v>186</v>
      </c>
      <c r="F1125" s="11" t="s">
        <v>91</v>
      </c>
      <c r="G1125" s="12" t="n">
        <v>120</v>
      </c>
      <c r="H1125" s="12" t="n">
        <f aca="false">SUMPRODUCT(ПОТОКИ!B13:G13,ЧАСОВЫЕ_ПРОФИЛИ!B16:G16,КОЭФФИЦИЕНТЫ_ВЫБОРА!F40:K40)</f>
        <v>0.2976</v>
      </c>
      <c r="I1125" s="12" t="n">
        <f aca="false">SUMPRODUCT(ПОТОКИ!B13:G13,ЧАСОВЫЕ_ПРОФИЛИ!B16:G16,КОЭФФИЦИЕНТЫ_ВЫБОРА!F40:K40,ПАРАМЕТРЫ!$B$17:$G$17)</f>
        <v>0.32736</v>
      </c>
      <c r="J1125" s="12" t="n">
        <f aca="false">I1125*G1125/1000</f>
        <v>0.0392832</v>
      </c>
      <c r="K1125" s="11" t="s">
        <v>217</v>
      </c>
      <c r="L1125" s="11" t="s">
        <v>19</v>
      </c>
      <c r="M1125" s="11" t="s">
        <v>145</v>
      </c>
    </row>
    <row r="1126" customFormat="false" ht="15" hidden="false" customHeight="false" outlineLevel="0" collapsed="false">
      <c r="A1126" s="11" t="s">
        <v>109</v>
      </c>
      <c r="B1126" s="11" t="s">
        <v>129</v>
      </c>
      <c r="C1126" s="11" t="n">
        <v>31</v>
      </c>
      <c r="D1126" s="11" t="s">
        <v>92</v>
      </c>
      <c r="E1126" s="11" t="s">
        <v>187</v>
      </c>
      <c r="F1126" s="11" t="s">
        <v>91</v>
      </c>
      <c r="G1126" s="12" t="n">
        <v>60</v>
      </c>
      <c r="H1126" s="12" t="n">
        <f aca="false">SUMPRODUCT(ПОТОКИ!B13:G13,ЧАСОВЫЕ_ПРОФИЛИ!B16:G16,КОЭФФИЦИЕНТЫ_ВЫБОРА!F41:K41)</f>
        <v>0.2688</v>
      </c>
      <c r="I1126" s="12" t="n">
        <f aca="false">SUMPRODUCT(ПОТОКИ!B13:G13,ЧАСОВЫЕ_ПРОФИЛИ!B16:G16,КОЭФФИЦИЕНТЫ_ВЫБОРА!F41:K41,ПАРАМЕТРЫ!$B$17:$G$17)</f>
        <v>0.29568</v>
      </c>
      <c r="J1126" s="12" t="n">
        <f aca="false">I1126*G1126/1000</f>
        <v>0.0177408</v>
      </c>
      <c r="K1126" s="11" t="s">
        <v>217</v>
      </c>
      <c r="L1126" s="11" t="s">
        <v>19</v>
      </c>
      <c r="M1126" s="11" t="s">
        <v>145</v>
      </c>
    </row>
    <row r="1127" customFormat="false" ht="15" hidden="false" customHeight="false" outlineLevel="0" collapsed="false">
      <c r="A1127" s="11" t="s">
        <v>109</v>
      </c>
      <c r="B1127" s="11" t="s">
        <v>130</v>
      </c>
      <c r="C1127" s="11" t="n">
        <v>1</v>
      </c>
      <c r="D1127" s="11" t="s">
        <v>74</v>
      </c>
      <c r="E1127" s="11" t="s">
        <v>153</v>
      </c>
      <c r="F1127" s="11" t="s">
        <v>73</v>
      </c>
      <c r="G1127" s="12" t="n">
        <v>450</v>
      </c>
      <c r="H1127" s="12" t="n">
        <f aca="false">SUMPRODUCT(ПОТОКИ!B13:G13,ЧАСОВЫЕ_ПРОФИЛИ!B17:G17,КОЭФФИЦИЕНТЫ_ВЫБОРА!F11:K11)</f>
        <v>0.651</v>
      </c>
      <c r="I1127" s="12" t="n">
        <f aca="false">SUMPRODUCT(ПОТОКИ!B13:G13,ЧАСОВЫЕ_ПРОФИЛИ!B17:G17,КОЭФФИЦИЕНТЫ_ВЫБОРА!F11:K11,ПАРАМЕТРЫ!$B$17:$G$17)</f>
        <v>0.7161</v>
      </c>
      <c r="J1127" s="12" t="n">
        <f aca="false">I1127*G1127/1000</f>
        <v>0.322245</v>
      </c>
      <c r="K1127" s="11" t="s">
        <v>217</v>
      </c>
      <c r="L1127" s="11" t="s">
        <v>19</v>
      </c>
      <c r="M1127" s="11" t="s">
        <v>145</v>
      </c>
    </row>
    <row r="1128" customFormat="false" ht="15" hidden="false" customHeight="false" outlineLevel="0" collapsed="false">
      <c r="A1128" s="11" t="s">
        <v>109</v>
      </c>
      <c r="B1128" s="11" t="s">
        <v>130</v>
      </c>
      <c r="C1128" s="11" t="n">
        <v>2</v>
      </c>
      <c r="D1128" s="11" t="s">
        <v>74</v>
      </c>
      <c r="E1128" s="11" t="s">
        <v>154</v>
      </c>
      <c r="F1128" s="11" t="s">
        <v>73</v>
      </c>
      <c r="G1128" s="12" t="n">
        <v>480</v>
      </c>
      <c r="H1128" s="12" t="n">
        <f aca="false">SUMPRODUCT(ПОТОКИ!B13:G13,ЧАСОВЫЕ_ПРОФИЛИ!B17:G17,КОЭФФИЦИЕНТЫ_ВЫБОРА!F12:K12)</f>
        <v>0.713</v>
      </c>
      <c r="I1128" s="12" t="n">
        <f aca="false">SUMPRODUCT(ПОТОКИ!B13:G13,ЧАСОВЫЕ_ПРОФИЛИ!B17:G17,КОЭФФИЦИЕНТЫ_ВЫБОРА!F12:K12,ПАРАМЕТРЫ!$B$17:$G$17)</f>
        <v>0.7843</v>
      </c>
      <c r="J1128" s="12" t="n">
        <f aca="false">I1128*G1128/1000</f>
        <v>0.376464</v>
      </c>
      <c r="K1128" s="11" t="s">
        <v>217</v>
      </c>
      <c r="L1128" s="11" t="s">
        <v>19</v>
      </c>
      <c r="M1128" s="11" t="s">
        <v>145</v>
      </c>
    </row>
    <row r="1129" customFormat="false" ht="15" hidden="false" customHeight="false" outlineLevel="0" collapsed="false">
      <c r="A1129" s="11" t="s">
        <v>109</v>
      </c>
      <c r="B1129" s="11" t="s">
        <v>130</v>
      </c>
      <c r="C1129" s="11" t="n">
        <v>3</v>
      </c>
      <c r="D1129" s="11" t="s">
        <v>74</v>
      </c>
      <c r="E1129" s="11" t="s">
        <v>155</v>
      </c>
      <c r="F1129" s="11" t="s">
        <v>73</v>
      </c>
      <c r="G1129" s="12" t="n">
        <v>500</v>
      </c>
      <c r="H1129" s="12" t="n">
        <f aca="false">SUMPRODUCT(ПОТОКИ!B13:G13,ЧАСОВЫЕ_ПРОФИЛИ!B17:G17,КОЭФФИЦИЕНТЫ_ВЫБОРА!F13:K13)</f>
        <v>1.332</v>
      </c>
      <c r="I1129" s="12" t="n">
        <f aca="false">SUMPRODUCT(ПОТОКИ!B13:G13,ЧАСОВЫЕ_ПРОФИЛИ!B17:G17,КОЭФФИЦИЕНТЫ_ВЫБОРА!F13:K13,ПАРАМЕТРЫ!$B$17:$G$17)</f>
        <v>1.4652</v>
      </c>
      <c r="J1129" s="12" t="n">
        <f aca="false">I1129*G1129/1000</f>
        <v>0.7326</v>
      </c>
      <c r="K1129" s="11" t="s">
        <v>217</v>
      </c>
      <c r="L1129" s="11" t="s">
        <v>19</v>
      </c>
      <c r="M1129" s="11" t="s">
        <v>145</v>
      </c>
    </row>
    <row r="1130" customFormat="false" ht="15" hidden="false" customHeight="false" outlineLevel="0" collapsed="false">
      <c r="A1130" s="11" t="s">
        <v>109</v>
      </c>
      <c r="B1130" s="11" t="s">
        <v>130</v>
      </c>
      <c r="C1130" s="11" t="n">
        <v>4</v>
      </c>
      <c r="D1130" s="11" t="s">
        <v>74</v>
      </c>
      <c r="E1130" s="11" t="s">
        <v>156</v>
      </c>
      <c r="F1130" s="11" t="s">
        <v>73</v>
      </c>
      <c r="G1130" s="12" t="n">
        <v>500</v>
      </c>
      <c r="H1130" s="12" t="n">
        <f aca="false">SUMPRODUCT(ПОТОКИ!B13:G13,ЧАСОВЫЕ_ПРОФИЛИ!B17:G17,КОЭФФИЦИЕНТЫ_ВЫБОРА!F14:K14)</f>
        <v>1.394</v>
      </c>
      <c r="I1130" s="12" t="n">
        <f aca="false">SUMPRODUCT(ПОТОКИ!B13:G13,ЧАСОВЫЕ_ПРОФИЛИ!B17:G17,КОЭФФИЦИЕНТЫ_ВЫБОРА!F14:K14,ПАРАМЕТРЫ!$B$17:$G$17)</f>
        <v>1.5334</v>
      </c>
      <c r="J1130" s="12" t="n">
        <f aca="false">I1130*G1130/1000</f>
        <v>0.7667</v>
      </c>
      <c r="K1130" s="11" t="s">
        <v>217</v>
      </c>
      <c r="L1130" s="11" t="s">
        <v>19</v>
      </c>
      <c r="M1130" s="11" t="s">
        <v>145</v>
      </c>
    </row>
    <row r="1131" customFormat="false" ht="15" hidden="false" customHeight="false" outlineLevel="0" collapsed="false">
      <c r="A1131" s="11" t="s">
        <v>109</v>
      </c>
      <c r="B1131" s="11" t="s">
        <v>130</v>
      </c>
      <c r="C1131" s="11" t="n">
        <v>5</v>
      </c>
      <c r="D1131" s="11" t="s">
        <v>78</v>
      </c>
      <c r="E1131" s="11" t="s">
        <v>157</v>
      </c>
      <c r="F1131" s="11" t="s">
        <v>77</v>
      </c>
      <c r="G1131" s="12" t="n">
        <v>100</v>
      </c>
      <c r="H1131" s="12" t="n">
        <f aca="false">SUMPRODUCT(ПОТОКИ!B13:G13,ЧАСОВЫЕ_ПРОФИЛИ!B17:G17,КОЭФФИЦИЕНТЫ_ВЫБОРА!F15:K15)</f>
        <v>0.741</v>
      </c>
      <c r="I1131" s="12" t="n">
        <f aca="false">SUMPRODUCT(ПОТОКИ!B13:G13,ЧАСОВЫЕ_ПРОФИЛИ!B17:G17,КОЭФФИЦИЕНТЫ_ВЫБОРА!F15:K15,ПАРАМЕТРЫ!$B$17:$G$17)</f>
        <v>0.8151</v>
      </c>
      <c r="J1131" s="12" t="n">
        <f aca="false">I1131*G1131/1000</f>
        <v>0.08151</v>
      </c>
      <c r="K1131" s="11" t="s">
        <v>217</v>
      </c>
      <c r="L1131" s="11" t="s">
        <v>19</v>
      </c>
      <c r="M1131" s="11" t="s">
        <v>147</v>
      </c>
    </row>
    <row r="1132" customFormat="false" ht="15" hidden="false" customHeight="false" outlineLevel="0" collapsed="false">
      <c r="A1132" s="11" t="s">
        <v>109</v>
      </c>
      <c r="B1132" s="11" t="s">
        <v>130</v>
      </c>
      <c r="C1132" s="11" t="n">
        <v>6</v>
      </c>
      <c r="D1132" s="11" t="s">
        <v>78</v>
      </c>
      <c r="E1132" s="11" t="s">
        <v>158</v>
      </c>
      <c r="F1132" s="11" t="s">
        <v>77</v>
      </c>
      <c r="G1132" s="12" t="n">
        <v>100</v>
      </c>
      <c r="H1132" s="12" t="n">
        <f aca="false">SUMPRODUCT(ПОТОКИ!B13:G13,ЧАСОВЫЕ_ПРОФИЛИ!B17:G17,КОЭФФИЦИЕНТЫ_ВЫБОРА!F16:K16)</f>
        <v>0.639</v>
      </c>
      <c r="I1132" s="12" t="n">
        <f aca="false">SUMPRODUCT(ПОТОКИ!B13:G13,ЧАСОВЫЕ_ПРОФИЛИ!B17:G17,КОЭФФИЦИЕНТЫ_ВЫБОРА!F16:K16,ПАРАМЕТРЫ!$B$17:$G$17)</f>
        <v>0.7029</v>
      </c>
      <c r="J1132" s="12" t="n">
        <f aca="false">I1132*G1132/1000</f>
        <v>0.07029</v>
      </c>
      <c r="K1132" s="11" t="s">
        <v>217</v>
      </c>
      <c r="L1132" s="11" t="s">
        <v>19</v>
      </c>
      <c r="M1132" s="11" t="s">
        <v>147</v>
      </c>
    </row>
    <row r="1133" customFormat="false" ht="15" hidden="false" customHeight="false" outlineLevel="0" collapsed="false">
      <c r="A1133" s="11" t="s">
        <v>109</v>
      </c>
      <c r="B1133" s="11" t="s">
        <v>130</v>
      </c>
      <c r="C1133" s="11" t="n">
        <v>7</v>
      </c>
      <c r="D1133" s="11" t="s">
        <v>78</v>
      </c>
      <c r="E1133" s="11" t="s">
        <v>159</v>
      </c>
      <c r="F1133" s="11" t="s">
        <v>77</v>
      </c>
      <c r="G1133" s="12" t="n">
        <v>350</v>
      </c>
      <c r="H1133" s="12" t="n">
        <f aca="false">SUMPRODUCT(ПОТОКИ!B13:G13,ЧАСОВЫЕ_ПРОФИЛИ!B17:G17,КОЭФФИЦИЕНТЫ_ВЫБОРА!F17:K17)</f>
        <v>0.5835</v>
      </c>
      <c r="I1133" s="12" t="n">
        <f aca="false">SUMPRODUCT(ПОТОКИ!B13:G13,ЧАСОВЫЕ_ПРОФИЛИ!B17:G17,КОЭФФИЦИЕНТЫ_ВЫБОРА!F17:K17,ПАРАМЕТРЫ!$B$17:$G$17)</f>
        <v>0.64185</v>
      </c>
      <c r="J1133" s="12" t="n">
        <f aca="false">I1133*G1133/1000</f>
        <v>0.2246475</v>
      </c>
      <c r="K1133" s="11" t="s">
        <v>217</v>
      </c>
      <c r="L1133" s="11" t="s">
        <v>19</v>
      </c>
      <c r="M1133" s="11" t="s">
        <v>147</v>
      </c>
    </row>
    <row r="1134" customFormat="false" ht="15" hidden="false" customHeight="false" outlineLevel="0" collapsed="false">
      <c r="A1134" s="11" t="s">
        <v>109</v>
      </c>
      <c r="B1134" s="11" t="s">
        <v>130</v>
      </c>
      <c r="C1134" s="11" t="n">
        <v>8</v>
      </c>
      <c r="D1134" s="11" t="s">
        <v>78</v>
      </c>
      <c r="E1134" s="11" t="s">
        <v>160</v>
      </c>
      <c r="F1134" s="11" t="s">
        <v>77</v>
      </c>
      <c r="G1134" s="12" t="n">
        <v>85</v>
      </c>
      <c r="H1134" s="12" t="n">
        <f aca="false">SUMPRODUCT(ПОТОКИ!B13:G13,ЧАСОВЫЕ_ПРОФИЛИ!B17:G17,КОЭФФИЦИЕНТЫ_ВЫБОРА!F18:K18)</f>
        <v>0.3705</v>
      </c>
      <c r="I1134" s="12" t="n">
        <f aca="false">SUMPRODUCT(ПОТОКИ!B13:G13,ЧАСОВЫЕ_ПРОФИЛИ!B17:G17,КОЭФФИЦИЕНТЫ_ВЫБОРА!F18:K18,ПАРАМЕТРЫ!$B$17:$G$17)</f>
        <v>0.40755</v>
      </c>
      <c r="J1134" s="12" t="n">
        <f aca="false">I1134*G1134/1000</f>
        <v>0.03464175</v>
      </c>
      <c r="K1134" s="11" t="s">
        <v>217</v>
      </c>
      <c r="L1134" s="11" t="s">
        <v>19</v>
      </c>
      <c r="M1134" s="11" t="s">
        <v>147</v>
      </c>
    </row>
    <row r="1135" customFormat="false" ht="15" hidden="false" customHeight="false" outlineLevel="0" collapsed="false">
      <c r="A1135" s="11" t="s">
        <v>109</v>
      </c>
      <c r="B1135" s="11" t="s">
        <v>130</v>
      </c>
      <c r="C1135" s="11" t="n">
        <v>9</v>
      </c>
      <c r="D1135" s="11" t="s">
        <v>161</v>
      </c>
      <c r="E1135" s="11" t="s">
        <v>162</v>
      </c>
      <c r="F1135" s="11" t="s">
        <v>80</v>
      </c>
      <c r="G1135" s="12" t="n">
        <v>300</v>
      </c>
      <c r="H1135" s="12" t="n">
        <f aca="false">SUMPRODUCT(ПОТОКИ!B13:G13,ЧАСОВЫЕ_ПРОФИЛИ!B17:G17,КОЭФФИЦИЕНТЫ_ВЫБОРА!F19:K19)</f>
        <v>0.635</v>
      </c>
      <c r="I1135" s="12" t="n">
        <f aca="false">SUMPRODUCT(ПОТОКИ!B13:G13,ЧАСОВЫЕ_ПРОФИЛИ!B17:G17,КОЭФФИЦИЕНТЫ_ВЫБОРА!F19:K19,ПАРАМЕТРЫ!$B$17:$G$17)</f>
        <v>0.6985</v>
      </c>
      <c r="J1135" s="12" t="n">
        <f aca="false">I1135*G1135/1000</f>
        <v>0.20955</v>
      </c>
      <c r="K1135" s="11" t="s">
        <v>217</v>
      </c>
      <c r="L1135" s="11" t="s">
        <v>19</v>
      </c>
      <c r="M1135" s="11" t="s">
        <v>145</v>
      </c>
    </row>
    <row r="1136" customFormat="false" ht="15" hidden="false" customHeight="false" outlineLevel="0" collapsed="false">
      <c r="A1136" s="11" t="s">
        <v>109</v>
      </c>
      <c r="B1136" s="11" t="s">
        <v>130</v>
      </c>
      <c r="C1136" s="11" t="n">
        <v>10</v>
      </c>
      <c r="D1136" s="11" t="s">
        <v>161</v>
      </c>
      <c r="E1136" s="11" t="s">
        <v>163</v>
      </c>
      <c r="F1136" s="11" t="s">
        <v>80</v>
      </c>
      <c r="G1136" s="12" t="n">
        <v>280</v>
      </c>
      <c r="H1136" s="12" t="n">
        <f aca="false">SUMPRODUCT(ПОТОКИ!B13:G13,ЧАСОВЫЕ_ПРОФИЛИ!B17:G17,КОЭФФИЦИЕНТЫ_ВЫБОРА!F20:K20)</f>
        <v>1.03</v>
      </c>
      <c r="I1136" s="12" t="n">
        <f aca="false">SUMPRODUCT(ПОТОКИ!B13:G13,ЧАСОВЫЕ_ПРОФИЛИ!B17:G17,КОЭФФИЦИЕНТЫ_ВЫБОРА!F20:K20,ПАРАМЕТРЫ!$B$17:$G$17)</f>
        <v>1.133</v>
      </c>
      <c r="J1136" s="12" t="n">
        <f aca="false">I1136*G1136/1000</f>
        <v>0.31724</v>
      </c>
      <c r="K1136" s="11" t="s">
        <v>217</v>
      </c>
      <c r="L1136" s="11" t="s">
        <v>19</v>
      </c>
      <c r="M1136" s="11" t="s">
        <v>145</v>
      </c>
    </row>
    <row r="1137" customFormat="false" ht="15" hidden="false" customHeight="false" outlineLevel="0" collapsed="false">
      <c r="A1137" s="11" t="s">
        <v>109</v>
      </c>
      <c r="B1137" s="11" t="s">
        <v>130</v>
      </c>
      <c r="C1137" s="11" t="n">
        <v>11</v>
      </c>
      <c r="D1137" s="11" t="s">
        <v>161</v>
      </c>
      <c r="E1137" s="11" t="s">
        <v>164</v>
      </c>
      <c r="F1137" s="11" t="s">
        <v>80</v>
      </c>
      <c r="G1137" s="12" t="n">
        <v>270</v>
      </c>
      <c r="H1137" s="12" t="n">
        <f aca="false">SUMPRODUCT(ПОТОКИ!B13:G13,ЧАСОВЫЕ_ПРОФИЛИ!B17:G17,КОЭФФИЦИЕНТЫ_ВЫБОРА!F21:K21)</f>
        <v>1.9385</v>
      </c>
      <c r="I1137" s="12" t="n">
        <f aca="false">SUMPRODUCT(ПОТОКИ!B13:G13,ЧАСОВЫЕ_ПРОФИЛИ!B17:G17,КОЭФФИЦИЕНТЫ_ВЫБОРА!F21:K21,ПАРАМЕТРЫ!$B$17:$G$17)</f>
        <v>2.13235</v>
      </c>
      <c r="J1137" s="12" t="n">
        <f aca="false">I1137*G1137/1000</f>
        <v>0.5757345</v>
      </c>
      <c r="K1137" s="11" t="s">
        <v>217</v>
      </c>
      <c r="L1137" s="11" t="s">
        <v>19</v>
      </c>
      <c r="M1137" s="11" t="s">
        <v>145</v>
      </c>
    </row>
    <row r="1138" customFormat="false" ht="15" hidden="false" customHeight="false" outlineLevel="0" collapsed="false">
      <c r="A1138" s="11" t="s">
        <v>109</v>
      </c>
      <c r="B1138" s="11" t="s">
        <v>130</v>
      </c>
      <c r="C1138" s="11" t="n">
        <v>12</v>
      </c>
      <c r="D1138" s="11" t="s">
        <v>161</v>
      </c>
      <c r="E1138" s="11" t="s">
        <v>165</v>
      </c>
      <c r="F1138" s="11" t="s">
        <v>80</v>
      </c>
      <c r="G1138" s="12" t="n">
        <v>240</v>
      </c>
      <c r="H1138" s="12" t="n">
        <f aca="false">SUMPRODUCT(ПОТОКИ!B13:G13,ЧАСОВЫЕ_ПРОФИЛИ!B17:G17,КОЭФФИЦИЕНТЫ_ВЫБОРА!F22:K22)</f>
        <v>1.3065</v>
      </c>
      <c r="I1138" s="12" t="n">
        <f aca="false">SUMPRODUCT(ПОТОКИ!B13:G13,ЧАСОВЫЕ_ПРОФИЛИ!B17:G17,КОЭФФИЦИЕНТЫ_ВЫБОРА!F22:K22,ПАРАМЕТРЫ!$B$17:$G$17)</f>
        <v>1.43715</v>
      </c>
      <c r="J1138" s="12" t="n">
        <f aca="false">I1138*G1138/1000</f>
        <v>0.344916</v>
      </c>
      <c r="K1138" s="11" t="s">
        <v>217</v>
      </c>
      <c r="L1138" s="11" t="s">
        <v>19</v>
      </c>
      <c r="M1138" s="11" t="s">
        <v>145</v>
      </c>
    </row>
    <row r="1139" customFormat="false" ht="15" hidden="false" customHeight="false" outlineLevel="0" collapsed="false">
      <c r="A1139" s="11" t="s">
        <v>109</v>
      </c>
      <c r="B1139" s="11" t="s">
        <v>130</v>
      </c>
      <c r="C1139" s="11" t="n">
        <v>13</v>
      </c>
      <c r="D1139" s="11" t="s">
        <v>166</v>
      </c>
      <c r="E1139" s="11" t="s">
        <v>167</v>
      </c>
      <c r="F1139" s="11" t="s">
        <v>80</v>
      </c>
      <c r="G1139" s="12" t="n">
        <v>130</v>
      </c>
      <c r="H1139" s="12" t="n">
        <f aca="false">SUMPRODUCT(ПОТОКИ!B13:G13,ЧАСОВЫЕ_ПРОФИЛИ!B17:G17,КОЭФФИЦИЕНТЫ_ВЫБОРА!F23:K23)</f>
        <v>0.3</v>
      </c>
      <c r="I1139" s="12" t="n">
        <f aca="false">SUMPRODUCT(ПОТОКИ!B13:G13,ЧАСОВЫЕ_ПРОФИЛИ!B17:G17,КОЭФФИЦИЕНТЫ_ВЫБОРА!F23:K23,ПАРАМЕТРЫ!$B$17:$G$17)</f>
        <v>0.33</v>
      </c>
      <c r="J1139" s="12" t="n">
        <f aca="false">I1139*G1139/1000</f>
        <v>0.0429</v>
      </c>
      <c r="K1139" s="11" t="s">
        <v>217</v>
      </c>
      <c r="L1139" s="11" t="s">
        <v>19</v>
      </c>
      <c r="M1139" s="11" t="s">
        <v>145</v>
      </c>
    </row>
    <row r="1140" customFormat="false" ht="15" hidden="false" customHeight="false" outlineLevel="0" collapsed="false">
      <c r="A1140" s="11" t="s">
        <v>109</v>
      </c>
      <c r="B1140" s="11" t="s">
        <v>130</v>
      </c>
      <c r="C1140" s="11" t="n">
        <v>14</v>
      </c>
      <c r="D1140" s="11" t="s">
        <v>166</v>
      </c>
      <c r="E1140" s="11" t="s">
        <v>168</v>
      </c>
      <c r="F1140" s="11" t="s">
        <v>80</v>
      </c>
      <c r="G1140" s="12" t="n">
        <v>250</v>
      </c>
      <c r="H1140" s="12" t="n">
        <f aca="false">SUMPRODUCT(ПОТОКИ!B13:G13,ЧАСОВЫЕ_ПРОФИЛИ!B17:G17,КОЭФФИЦИЕНТЫ_ВЫБОРА!F24:K24)</f>
        <v>0.446</v>
      </c>
      <c r="I1140" s="12" t="n">
        <f aca="false">SUMPRODUCT(ПОТОКИ!B13:G13,ЧАСОВЫЕ_ПРОФИЛИ!B17:G17,КОЭФФИЦИЕНТЫ_ВЫБОРА!F24:K24,ПАРАМЕТРЫ!$B$17:$G$17)</f>
        <v>0.4906</v>
      </c>
      <c r="J1140" s="12" t="n">
        <f aca="false">I1140*G1140/1000</f>
        <v>0.12265</v>
      </c>
      <c r="K1140" s="11" t="s">
        <v>217</v>
      </c>
      <c r="L1140" s="11" t="s">
        <v>19</v>
      </c>
      <c r="M1140" s="11" t="s">
        <v>145</v>
      </c>
    </row>
    <row r="1141" customFormat="false" ht="15" hidden="false" customHeight="false" outlineLevel="0" collapsed="false">
      <c r="A1141" s="11" t="s">
        <v>109</v>
      </c>
      <c r="B1141" s="11" t="s">
        <v>130</v>
      </c>
      <c r="C1141" s="11" t="n">
        <v>15</v>
      </c>
      <c r="D1141" s="11" t="s">
        <v>166</v>
      </c>
      <c r="E1141" s="11" t="s">
        <v>169</v>
      </c>
      <c r="F1141" s="11" t="s">
        <v>80</v>
      </c>
      <c r="G1141" s="12" t="n">
        <v>120</v>
      </c>
      <c r="H1141" s="12" t="n">
        <f aca="false">SUMPRODUCT(ПОТОКИ!B13:G13,ЧАСОВЫЕ_ПРОФИЛИ!B17:G17,КОЭФФИЦИЕНТЫ_ВЫБОРА!F25:K25)</f>
        <v>0.236</v>
      </c>
      <c r="I1141" s="12" t="n">
        <f aca="false">SUMPRODUCT(ПОТОКИ!B13:G13,ЧАСОВЫЕ_ПРОФИЛИ!B17:G17,КОЭФФИЦИЕНТЫ_ВЫБОРА!F25:K25,ПАРАМЕТРЫ!$B$17:$G$17)</f>
        <v>0.2596</v>
      </c>
      <c r="J1141" s="12" t="n">
        <f aca="false">I1141*G1141/1000</f>
        <v>0.031152</v>
      </c>
      <c r="K1141" s="11" t="s">
        <v>217</v>
      </c>
      <c r="L1141" s="11" t="s">
        <v>19</v>
      </c>
      <c r="M1141" s="11" t="s">
        <v>145</v>
      </c>
    </row>
    <row r="1142" customFormat="false" ht="15" hidden="false" customHeight="false" outlineLevel="0" collapsed="false">
      <c r="A1142" s="11" t="s">
        <v>109</v>
      </c>
      <c r="B1142" s="11" t="s">
        <v>130</v>
      </c>
      <c r="C1142" s="11" t="n">
        <v>16</v>
      </c>
      <c r="D1142" s="11" t="s">
        <v>166</v>
      </c>
      <c r="E1142" s="11" t="s">
        <v>170</v>
      </c>
      <c r="F1142" s="11" t="s">
        <v>80</v>
      </c>
      <c r="G1142" s="12" t="n">
        <v>180</v>
      </c>
      <c r="H1142" s="12" t="n">
        <f aca="false">SUMPRODUCT(ПОТОКИ!B13:G13,ЧАСОВЫЕ_ПРОФИЛИ!B17:G17,КОЭФФИЦИЕНТЫ_ВЫБОРА!F26:K26)</f>
        <v>0.618</v>
      </c>
      <c r="I1142" s="12" t="n">
        <f aca="false">SUMPRODUCT(ПОТОКИ!B13:G13,ЧАСОВЫЕ_ПРОФИЛИ!B17:G17,КОЭФФИЦИЕНТЫ_ВЫБОРА!F26:K26,ПАРАМЕТРЫ!$B$17:$G$17)</f>
        <v>0.6798</v>
      </c>
      <c r="J1142" s="12" t="n">
        <f aca="false">I1142*G1142/1000</f>
        <v>0.122364</v>
      </c>
      <c r="K1142" s="11" t="s">
        <v>217</v>
      </c>
      <c r="L1142" s="11" t="s">
        <v>19</v>
      </c>
      <c r="M1142" s="11" t="s">
        <v>145</v>
      </c>
    </row>
    <row r="1143" customFormat="false" ht="15" hidden="false" customHeight="false" outlineLevel="0" collapsed="false">
      <c r="A1143" s="11" t="s">
        <v>109</v>
      </c>
      <c r="B1143" s="11" t="s">
        <v>130</v>
      </c>
      <c r="C1143" s="11" t="n">
        <v>17</v>
      </c>
      <c r="D1143" s="11" t="s">
        <v>166</v>
      </c>
      <c r="E1143" s="11" t="s">
        <v>171</v>
      </c>
      <c r="F1143" s="11" t="s">
        <v>80</v>
      </c>
      <c r="G1143" s="12" t="n">
        <v>180</v>
      </c>
      <c r="H1143" s="12" t="n">
        <f aca="false">SUMPRODUCT(ПОТОКИ!B13:G13,ЧАСОВЫЕ_ПРОФИЛИ!B17:G17,КОЭФФИЦИЕНТЫ_ВЫБОРА!F27:K27)</f>
        <v>0.44</v>
      </c>
      <c r="I1143" s="12" t="n">
        <f aca="false">SUMPRODUCT(ПОТОКИ!B13:G13,ЧАСОВЫЕ_ПРОФИЛИ!B17:G17,КОЭФФИЦИЕНТЫ_ВЫБОРА!F27:K27,ПАРАМЕТРЫ!$B$17:$G$17)</f>
        <v>0.484</v>
      </c>
      <c r="J1143" s="12" t="n">
        <f aca="false">I1143*G1143/1000</f>
        <v>0.08712</v>
      </c>
      <c r="K1143" s="11" t="s">
        <v>217</v>
      </c>
      <c r="L1143" s="11" t="s">
        <v>19</v>
      </c>
      <c r="M1143" s="11" t="s">
        <v>145</v>
      </c>
    </row>
    <row r="1144" customFormat="false" ht="15" hidden="false" customHeight="false" outlineLevel="0" collapsed="false">
      <c r="A1144" s="11" t="s">
        <v>109</v>
      </c>
      <c r="B1144" s="11" t="s">
        <v>130</v>
      </c>
      <c r="C1144" s="11" t="n">
        <v>18</v>
      </c>
      <c r="D1144" s="11" t="s">
        <v>172</v>
      </c>
      <c r="E1144" s="11" t="s">
        <v>173</v>
      </c>
      <c r="F1144" s="11" t="s">
        <v>83</v>
      </c>
      <c r="G1144" s="12" t="n">
        <v>400</v>
      </c>
      <c r="H1144" s="12" t="n">
        <f aca="false">SUMPRODUCT(ПОТОКИ!B13:G13,ЧАСОВЫЕ_ПРОФИЛИ!B17:G17,КОЭФФИЦИЕНТЫ_ВЫБОРА!F28:K28)</f>
        <v>5.22</v>
      </c>
      <c r="I1144" s="12" t="n">
        <f aca="false">SUMPRODUCT(ПОТОКИ!B13:G13,ЧАСОВЫЕ_ПРОФИЛИ!B17:G17,КОЭФФИЦИЕНТЫ_ВЫБОРА!F28:K28,ПАРАМЕТРЫ!$B$17:$G$17)</f>
        <v>5.742</v>
      </c>
      <c r="J1144" s="12" t="n">
        <f aca="false">I1144*G1144/1000</f>
        <v>2.2968</v>
      </c>
      <c r="K1144" s="11" t="s">
        <v>217</v>
      </c>
      <c r="L1144" s="11" t="s">
        <v>19</v>
      </c>
      <c r="M1144" s="11" t="s">
        <v>145</v>
      </c>
    </row>
    <row r="1145" customFormat="false" ht="23.85" hidden="false" customHeight="false" outlineLevel="0" collapsed="false">
      <c r="A1145" s="11" t="s">
        <v>109</v>
      </c>
      <c r="B1145" s="11" t="s">
        <v>130</v>
      </c>
      <c r="C1145" s="11" t="n">
        <v>19</v>
      </c>
      <c r="D1145" s="11" t="s">
        <v>174</v>
      </c>
      <c r="E1145" s="11" t="s">
        <v>175</v>
      </c>
      <c r="F1145" s="11" t="s">
        <v>83</v>
      </c>
      <c r="G1145" s="12" t="n">
        <v>300</v>
      </c>
      <c r="H1145" s="12" t="n">
        <f aca="false">SUMPRODUCT(ПОТОКИ!B13:G13,ЧАСОВЫЕ_ПРОФИЛИ!B17:G17,КОЭФФИЦИЕНТЫ_ВЫБОРА!F29:K29)</f>
        <v>3.91</v>
      </c>
      <c r="I1145" s="12" t="n">
        <f aca="false">SUMPRODUCT(ПОТОКИ!B13:G13,ЧАСОВЫЕ_ПРОФИЛИ!B17:G17,КОЭФФИЦИЕНТЫ_ВЫБОРА!F29:K29,ПАРАМЕТРЫ!$B$17:$G$17)</f>
        <v>4.301</v>
      </c>
      <c r="J1145" s="12" t="n">
        <f aca="false">I1145*G1145/1000</f>
        <v>1.2903</v>
      </c>
      <c r="K1145" s="11" t="s">
        <v>217</v>
      </c>
      <c r="L1145" s="11" t="s">
        <v>19</v>
      </c>
      <c r="M1145" s="11" t="s">
        <v>145</v>
      </c>
    </row>
    <row r="1146" customFormat="false" ht="15" hidden="false" customHeight="false" outlineLevel="0" collapsed="false">
      <c r="A1146" s="11" t="s">
        <v>109</v>
      </c>
      <c r="B1146" s="11" t="s">
        <v>130</v>
      </c>
      <c r="C1146" s="11" t="n">
        <v>20</v>
      </c>
      <c r="D1146" s="11" t="s">
        <v>174</v>
      </c>
      <c r="E1146" s="11" t="s">
        <v>176</v>
      </c>
      <c r="F1146" s="11" t="s">
        <v>83</v>
      </c>
      <c r="G1146" s="12" t="n">
        <v>360</v>
      </c>
      <c r="H1146" s="12" t="n">
        <f aca="false">SUMPRODUCT(ПОТОКИ!B13:G13,ЧАСОВЫЕ_ПРОФИЛИ!B17:G17,КОЭФФИЦИЕНТЫ_ВЫБОРА!F30:K30)</f>
        <v>2.816</v>
      </c>
      <c r="I1146" s="12" t="n">
        <f aca="false">SUMPRODUCT(ПОТОКИ!B13:G13,ЧАСОВЫЕ_ПРОФИЛИ!B17:G17,КОЭФФИЦИЕНТЫ_ВЫБОРА!F30:K30,ПАРАМЕТРЫ!$B$17:$G$17)</f>
        <v>3.0976</v>
      </c>
      <c r="J1146" s="12" t="n">
        <f aca="false">I1146*G1146/1000</f>
        <v>1.115136</v>
      </c>
      <c r="K1146" s="11" t="s">
        <v>217</v>
      </c>
      <c r="L1146" s="11" t="s">
        <v>19</v>
      </c>
      <c r="M1146" s="11" t="s">
        <v>145</v>
      </c>
    </row>
    <row r="1147" customFormat="false" ht="15" hidden="false" customHeight="false" outlineLevel="0" collapsed="false">
      <c r="A1147" s="11" t="s">
        <v>109</v>
      </c>
      <c r="B1147" s="11" t="s">
        <v>130</v>
      </c>
      <c r="C1147" s="11" t="n">
        <v>21</v>
      </c>
      <c r="D1147" s="11" t="s">
        <v>174</v>
      </c>
      <c r="E1147" s="11" t="s">
        <v>177</v>
      </c>
      <c r="F1147" s="11" t="s">
        <v>83</v>
      </c>
      <c r="G1147" s="12" t="n">
        <v>350</v>
      </c>
      <c r="H1147" s="12" t="n">
        <f aca="false">SUMPRODUCT(ПОТОКИ!B13:G13,ЧАСОВЫЕ_ПРОФИЛИ!B17:G17,КОЭФФИЦИЕНТЫ_ВЫБОРА!F31:K31)</f>
        <v>4.779</v>
      </c>
      <c r="I1147" s="12" t="n">
        <f aca="false">SUMPRODUCT(ПОТОКИ!B13:G13,ЧАСОВЫЕ_ПРОФИЛИ!B17:G17,КОЭФФИЦИЕНТЫ_ВЫБОРА!F31:K31,ПАРАМЕТРЫ!$B$17:$G$17)</f>
        <v>5.2569</v>
      </c>
      <c r="J1147" s="12" t="n">
        <f aca="false">I1147*G1147/1000</f>
        <v>1.839915</v>
      </c>
      <c r="K1147" s="11" t="s">
        <v>217</v>
      </c>
      <c r="L1147" s="11" t="s">
        <v>19</v>
      </c>
      <c r="M1147" s="11" t="s">
        <v>145</v>
      </c>
    </row>
    <row r="1148" customFormat="false" ht="15" hidden="false" customHeight="false" outlineLevel="0" collapsed="false">
      <c r="A1148" s="11" t="s">
        <v>109</v>
      </c>
      <c r="B1148" s="11" t="s">
        <v>130</v>
      </c>
      <c r="C1148" s="11" t="n">
        <v>22</v>
      </c>
      <c r="D1148" s="11" t="s">
        <v>174</v>
      </c>
      <c r="E1148" s="11" t="s">
        <v>178</v>
      </c>
      <c r="F1148" s="11" t="s">
        <v>83</v>
      </c>
      <c r="G1148" s="12" t="n">
        <v>300</v>
      </c>
      <c r="H1148" s="12" t="n">
        <f aca="false">SUMPRODUCT(ПОТОКИ!B13:G13,ЧАСОВЫЕ_ПРОФИЛИ!B17:G17,КОЭФФИЦИЕНТЫ_ВЫБОРА!F32:K32)</f>
        <v>2.275</v>
      </c>
      <c r="I1148" s="12" t="n">
        <f aca="false">SUMPRODUCT(ПОТОКИ!B13:G13,ЧАСОВЫЕ_ПРОФИЛИ!B17:G17,КОЭФФИЦИЕНТЫ_ВЫБОРА!F32:K32,ПАРАМЕТРЫ!$B$17:$G$17)</f>
        <v>2.5025</v>
      </c>
      <c r="J1148" s="12" t="n">
        <f aca="false">I1148*G1148/1000</f>
        <v>0.75075</v>
      </c>
      <c r="K1148" s="11" t="s">
        <v>217</v>
      </c>
      <c r="L1148" s="11" t="s">
        <v>19</v>
      </c>
      <c r="M1148" s="11" t="s">
        <v>145</v>
      </c>
    </row>
    <row r="1149" customFormat="false" ht="15" hidden="false" customHeight="false" outlineLevel="0" collapsed="false">
      <c r="A1149" s="11" t="s">
        <v>109</v>
      </c>
      <c r="B1149" s="11" t="s">
        <v>130</v>
      </c>
      <c r="C1149" s="11" t="n">
        <v>23</v>
      </c>
      <c r="D1149" s="11" t="s">
        <v>86</v>
      </c>
      <c r="E1149" s="11" t="s">
        <v>179</v>
      </c>
      <c r="F1149" s="11" t="s">
        <v>85</v>
      </c>
      <c r="G1149" s="12" t="n">
        <v>150</v>
      </c>
      <c r="H1149" s="12" t="n">
        <f aca="false">SUMPRODUCT(ПОТОКИ!B13:G13,ЧАСОВЫЕ_ПРОФИЛИ!B17:G17,КОЭФФИЦИЕНТЫ_ВЫБОРА!F33:K33)</f>
        <v>3.78269</v>
      </c>
      <c r="I1149" s="12" t="n">
        <f aca="false">SUMPRODUCT(ПОТОКИ!B13:G13,ЧАСОВЫЕ_ПРОФИЛИ!B17:G17,КОЭФФИЦИЕНТЫ_ВЫБОРА!F33:K33,ПАРАМЕТРЫ!$B$17:$G$17)</f>
        <v>4.160959</v>
      </c>
      <c r="J1149" s="12" t="n">
        <f aca="false">I1149*G1149/1000</f>
        <v>0.62414385</v>
      </c>
      <c r="K1149" s="11" t="s">
        <v>217</v>
      </c>
      <c r="L1149" s="11" t="s">
        <v>19</v>
      </c>
      <c r="M1149" s="11" t="s">
        <v>147</v>
      </c>
    </row>
    <row r="1150" customFormat="false" ht="15" hidden="false" customHeight="false" outlineLevel="0" collapsed="false">
      <c r="A1150" s="11" t="s">
        <v>109</v>
      </c>
      <c r="B1150" s="11" t="s">
        <v>130</v>
      </c>
      <c r="C1150" s="11" t="n">
        <v>24</v>
      </c>
      <c r="D1150" s="11" t="s">
        <v>86</v>
      </c>
      <c r="E1150" s="11" t="s">
        <v>180</v>
      </c>
      <c r="F1150" s="11" t="s">
        <v>85</v>
      </c>
      <c r="G1150" s="12" t="n">
        <v>150</v>
      </c>
      <c r="H1150" s="12" t="n">
        <f aca="false">SUMPRODUCT(ПОТОКИ!B13:G13,ЧАСОВЫЕ_ПРОФИЛИ!B17:G17,КОЭФФИЦИЕНТЫ_ВЫБОРА!F34:K34)</f>
        <v>1.56322</v>
      </c>
      <c r="I1150" s="12" t="n">
        <f aca="false">SUMPRODUCT(ПОТОКИ!B13:G13,ЧАСОВЫЕ_ПРОФИЛИ!B17:G17,КОЭФФИЦИЕНТЫ_ВЫБОРА!F34:K34,ПАРАМЕТРЫ!$B$17:$G$17)</f>
        <v>1.719542</v>
      </c>
      <c r="J1150" s="12" t="n">
        <f aca="false">I1150*G1150/1000</f>
        <v>0.2579313</v>
      </c>
      <c r="K1150" s="11" t="s">
        <v>217</v>
      </c>
      <c r="L1150" s="11" t="s">
        <v>19</v>
      </c>
      <c r="M1150" s="11" t="s">
        <v>147</v>
      </c>
    </row>
    <row r="1151" customFormat="false" ht="15" hidden="false" customHeight="false" outlineLevel="0" collapsed="false">
      <c r="A1151" s="11" t="s">
        <v>109</v>
      </c>
      <c r="B1151" s="11" t="s">
        <v>130</v>
      </c>
      <c r="C1151" s="11" t="n">
        <v>25</v>
      </c>
      <c r="D1151" s="11" t="s">
        <v>86</v>
      </c>
      <c r="E1151" s="11" t="s">
        <v>181</v>
      </c>
      <c r="F1151" s="11" t="s">
        <v>85</v>
      </c>
      <c r="G1151" s="12" t="n">
        <v>150</v>
      </c>
      <c r="H1151" s="12" t="n">
        <f aca="false">SUMPRODUCT(ПОТОКИ!B13:G13,ЧАСОВЫЕ_ПРОФИЛИ!B17:G17,КОЭФФИЦИЕНТЫ_ВЫБОРА!F35:K35)</f>
        <v>2.47019</v>
      </c>
      <c r="I1151" s="12" t="n">
        <f aca="false">SUMPRODUCT(ПОТОКИ!B13:G13,ЧАСОВЫЕ_ПРОФИЛИ!B17:G17,КОЭФФИЦИЕНТЫ_ВЫБОРА!F35:K35,ПАРАМЕТРЫ!$B$17:$G$17)</f>
        <v>2.717209</v>
      </c>
      <c r="J1151" s="12" t="n">
        <f aca="false">I1151*G1151/1000</f>
        <v>0.40758135</v>
      </c>
      <c r="K1151" s="11" t="s">
        <v>217</v>
      </c>
      <c r="L1151" s="11" t="s">
        <v>19</v>
      </c>
      <c r="M1151" s="11" t="s">
        <v>147</v>
      </c>
    </row>
    <row r="1152" customFormat="false" ht="23.85" hidden="false" customHeight="false" outlineLevel="0" collapsed="false">
      <c r="A1152" s="11" t="s">
        <v>109</v>
      </c>
      <c r="B1152" s="11" t="s">
        <v>130</v>
      </c>
      <c r="C1152" s="11" t="n">
        <v>26</v>
      </c>
      <c r="D1152" s="11" t="s">
        <v>89</v>
      </c>
      <c r="E1152" s="11" t="s">
        <v>182</v>
      </c>
      <c r="F1152" s="11" t="s">
        <v>88</v>
      </c>
      <c r="G1152" s="12" t="n">
        <v>225</v>
      </c>
      <c r="H1152" s="12" t="n">
        <f aca="false">SUMPRODUCT(ПОТОКИ!B13:G13,ЧАСОВЫЕ_ПРОФИЛИ!B17:G17,КОЭФФИЦИЕНТЫ_ВЫБОРА!F36:K36)</f>
        <v>0</v>
      </c>
      <c r="I1152" s="12" t="n">
        <f aca="false">SUMPRODUCT(ПОТОКИ!B13:G13,ЧАСОВЫЕ_ПРОФИЛИ!B17:G17,КОЭФФИЦИЕНТЫ_ВЫБОРА!F36:K36,ПАРАМЕТРЫ!$B$17:$G$17)</f>
        <v>0</v>
      </c>
      <c r="J1152" s="12" t="n">
        <f aca="false">I1152*G1152/1000</f>
        <v>0</v>
      </c>
      <c r="K1152" s="11" t="s">
        <v>217</v>
      </c>
      <c r="L1152" s="11" t="s">
        <v>19</v>
      </c>
      <c r="M1152" s="11" t="s">
        <v>145</v>
      </c>
    </row>
    <row r="1153" customFormat="false" ht="23.85" hidden="false" customHeight="false" outlineLevel="0" collapsed="false">
      <c r="A1153" s="11" t="s">
        <v>109</v>
      </c>
      <c r="B1153" s="11" t="s">
        <v>130</v>
      </c>
      <c r="C1153" s="11" t="n">
        <v>27</v>
      </c>
      <c r="D1153" s="11" t="s">
        <v>89</v>
      </c>
      <c r="E1153" s="11" t="s">
        <v>183</v>
      </c>
      <c r="F1153" s="11" t="s">
        <v>88</v>
      </c>
      <c r="G1153" s="12" t="n">
        <v>265</v>
      </c>
      <c r="H1153" s="12" t="n">
        <f aca="false">SUMPRODUCT(ПОТОКИ!B13:G13,ЧАСОВЫЕ_ПРОФИЛИ!B17:G17,КОЭФФИЦИЕНТЫ_ВЫБОРА!F37:K37)</f>
        <v>0</v>
      </c>
      <c r="I1153" s="12" t="n">
        <f aca="false">SUMPRODUCT(ПОТОКИ!B13:G13,ЧАСОВЫЕ_ПРОФИЛИ!B17:G17,КОЭФФИЦИЕНТЫ_ВЫБОРА!F37:K37,ПАРАМЕТРЫ!$B$17:$G$17)</f>
        <v>0</v>
      </c>
      <c r="J1153" s="12" t="n">
        <f aca="false">I1153*G1153/1000</f>
        <v>0</v>
      </c>
      <c r="K1153" s="11" t="s">
        <v>217</v>
      </c>
      <c r="L1153" s="11" t="s">
        <v>19</v>
      </c>
      <c r="M1153" s="11" t="s">
        <v>145</v>
      </c>
    </row>
    <row r="1154" customFormat="false" ht="23.85" hidden="false" customHeight="false" outlineLevel="0" collapsed="false">
      <c r="A1154" s="11" t="s">
        <v>109</v>
      </c>
      <c r="B1154" s="11" t="s">
        <v>130</v>
      </c>
      <c r="C1154" s="11" t="n">
        <v>28</v>
      </c>
      <c r="D1154" s="11" t="s">
        <v>89</v>
      </c>
      <c r="E1154" s="11" t="s">
        <v>184</v>
      </c>
      <c r="F1154" s="11" t="s">
        <v>88</v>
      </c>
      <c r="G1154" s="12" t="n">
        <v>355</v>
      </c>
      <c r="H1154" s="12" t="n">
        <f aca="false">SUMPRODUCT(ПОТОКИ!B13:G13,ЧАСОВЫЕ_ПРОФИЛИ!B17:G17,КОЭФФИЦИЕНТЫ_ВЫБОРА!F38:K38)</f>
        <v>0</v>
      </c>
      <c r="I1154" s="12" t="n">
        <f aca="false">SUMPRODUCT(ПОТОКИ!B13:G13,ЧАСОВЫЕ_ПРОФИЛИ!B17:G17,КОЭФФИЦИЕНТЫ_ВЫБОРА!F38:K38,ПАРАМЕТРЫ!$B$17:$G$17)</f>
        <v>0</v>
      </c>
      <c r="J1154" s="12" t="n">
        <f aca="false">I1154*G1154/1000</f>
        <v>0</v>
      </c>
      <c r="K1154" s="11" t="s">
        <v>217</v>
      </c>
      <c r="L1154" s="11" t="s">
        <v>19</v>
      </c>
      <c r="M1154" s="11" t="s">
        <v>145</v>
      </c>
    </row>
    <row r="1155" customFormat="false" ht="15" hidden="false" customHeight="false" outlineLevel="0" collapsed="false">
      <c r="A1155" s="11" t="s">
        <v>109</v>
      </c>
      <c r="B1155" s="11" t="s">
        <v>130</v>
      </c>
      <c r="C1155" s="11" t="n">
        <v>29</v>
      </c>
      <c r="D1155" s="11" t="s">
        <v>92</v>
      </c>
      <c r="E1155" s="11" t="s">
        <v>185</v>
      </c>
      <c r="F1155" s="11" t="s">
        <v>91</v>
      </c>
      <c r="G1155" s="12" t="n">
        <v>150</v>
      </c>
      <c r="H1155" s="12" t="n">
        <f aca="false">SUMPRODUCT(ПОТОКИ!B13:G13,ЧАСОВЫЕ_ПРОФИЛИ!B17:G17,КОЭФФИЦИЕНТЫ_ВЫБОРА!F39:K39)</f>
        <v>0.336</v>
      </c>
      <c r="I1155" s="12" t="n">
        <f aca="false">SUMPRODUCT(ПОТОКИ!B13:G13,ЧАСОВЫЕ_ПРОФИЛИ!B17:G17,КОЭФФИЦИЕНТЫ_ВЫБОРА!F39:K39,ПАРАМЕТРЫ!$B$17:$G$17)</f>
        <v>0.3696</v>
      </c>
      <c r="J1155" s="12" t="n">
        <f aca="false">I1155*G1155/1000</f>
        <v>0.05544</v>
      </c>
      <c r="K1155" s="11" t="s">
        <v>217</v>
      </c>
      <c r="L1155" s="11" t="s">
        <v>19</v>
      </c>
      <c r="M1155" s="11" t="s">
        <v>145</v>
      </c>
    </row>
    <row r="1156" customFormat="false" ht="15" hidden="false" customHeight="false" outlineLevel="0" collapsed="false">
      <c r="A1156" s="11" t="s">
        <v>109</v>
      </c>
      <c r="B1156" s="11" t="s">
        <v>130</v>
      </c>
      <c r="C1156" s="11" t="n">
        <v>30</v>
      </c>
      <c r="D1156" s="11" t="s">
        <v>92</v>
      </c>
      <c r="E1156" s="11" t="s">
        <v>186</v>
      </c>
      <c r="F1156" s="11" t="s">
        <v>91</v>
      </c>
      <c r="G1156" s="12" t="n">
        <v>120</v>
      </c>
      <c r="H1156" s="12" t="n">
        <f aca="false">SUMPRODUCT(ПОТОКИ!B13:G13,ЧАСОВЫЕ_ПРОФИЛИ!B17:G17,КОЭФФИЦИЕНТЫ_ВЫБОРА!F40:K40)</f>
        <v>0.336</v>
      </c>
      <c r="I1156" s="12" t="n">
        <f aca="false">SUMPRODUCT(ПОТОКИ!B13:G13,ЧАСОВЫЕ_ПРОФИЛИ!B17:G17,КОЭФФИЦИЕНТЫ_ВЫБОРА!F40:K40,ПАРАМЕТРЫ!$B$17:$G$17)</f>
        <v>0.3696</v>
      </c>
      <c r="J1156" s="12" t="n">
        <f aca="false">I1156*G1156/1000</f>
        <v>0.044352</v>
      </c>
      <c r="K1156" s="11" t="s">
        <v>217</v>
      </c>
      <c r="L1156" s="11" t="s">
        <v>19</v>
      </c>
      <c r="M1156" s="11" t="s">
        <v>145</v>
      </c>
    </row>
    <row r="1157" customFormat="false" ht="15" hidden="false" customHeight="false" outlineLevel="0" collapsed="false">
      <c r="A1157" s="11" t="s">
        <v>109</v>
      </c>
      <c r="B1157" s="11" t="s">
        <v>130</v>
      </c>
      <c r="C1157" s="11" t="n">
        <v>31</v>
      </c>
      <c r="D1157" s="11" t="s">
        <v>92</v>
      </c>
      <c r="E1157" s="11" t="s">
        <v>187</v>
      </c>
      <c r="F1157" s="11" t="s">
        <v>91</v>
      </c>
      <c r="G1157" s="12" t="n">
        <v>60</v>
      </c>
      <c r="H1157" s="12" t="n">
        <f aca="false">SUMPRODUCT(ПОТОКИ!B13:G13,ЧАСОВЫЕ_ПРОФИЛИ!B17:G17,КОЭФФИЦИЕНТЫ_ВЫБОРА!F41:K41)</f>
        <v>0.288</v>
      </c>
      <c r="I1157" s="12" t="n">
        <f aca="false">SUMPRODUCT(ПОТОКИ!B13:G13,ЧАСОВЫЕ_ПРОФИЛИ!B17:G17,КОЭФФИЦИЕНТЫ_ВЫБОРА!F41:K41,ПАРАМЕТРЫ!$B$17:$G$17)</f>
        <v>0.3168</v>
      </c>
      <c r="J1157" s="12" t="n">
        <f aca="false">I1157*G1157/1000</f>
        <v>0.019008</v>
      </c>
      <c r="K1157" s="11" t="s">
        <v>217</v>
      </c>
      <c r="L1157" s="11" t="s">
        <v>19</v>
      </c>
      <c r="M1157" s="11" t="s">
        <v>145</v>
      </c>
    </row>
    <row r="1158" customFormat="false" ht="15" hidden="false" customHeight="false" outlineLevel="0" collapsed="false">
      <c r="A1158" s="11" t="s">
        <v>109</v>
      </c>
      <c r="B1158" s="11" t="s">
        <v>131</v>
      </c>
      <c r="C1158" s="11" t="n">
        <v>1</v>
      </c>
      <c r="D1158" s="11" t="s">
        <v>74</v>
      </c>
      <c r="E1158" s="11" t="s">
        <v>153</v>
      </c>
      <c r="F1158" s="11" t="s">
        <v>73</v>
      </c>
      <c r="G1158" s="12" t="n">
        <v>450</v>
      </c>
      <c r="H1158" s="12" t="n">
        <f aca="false">SUMPRODUCT(ПОТОКИ!B13:G13,ЧАСОВЫЕ_ПРОФИЛИ!B18:G18,КОЭФФИЦИЕНТЫ_ВЫБОРА!F11:K11)</f>
        <v>0.3147</v>
      </c>
      <c r="I1158" s="12" t="n">
        <f aca="false">SUMPRODUCT(ПОТОКИ!B13:G13,ЧАСОВЫЕ_ПРОФИЛИ!B18:G18,КОЭФФИЦИЕНТЫ_ВЫБОРА!F11:K11,ПАРАМЕТРЫ!$B$17:$G$17)</f>
        <v>0.34617</v>
      </c>
      <c r="J1158" s="12" t="n">
        <f aca="false">I1158*G1158/1000</f>
        <v>0.1557765</v>
      </c>
      <c r="K1158" s="11" t="s">
        <v>217</v>
      </c>
      <c r="L1158" s="11" t="s">
        <v>19</v>
      </c>
      <c r="M1158" s="11" t="s">
        <v>145</v>
      </c>
    </row>
    <row r="1159" customFormat="false" ht="15" hidden="false" customHeight="false" outlineLevel="0" collapsed="false">
      <c r="A1159" s="11" t="s">
        <v>109</v>
      </c>
      <c r="B1159" s="11" t="s">
        <v>131</v>
      </c>
      <c r="C1159" s="11" t="n">
        <v>2</v>
      </c>
      <c r="D1159" s="11" t="s">
        <v>74</v>
      </c>
      <c r="E1159" s="11" t="s">
        <v>154</v>
      </c>
      <c r="F1159" s="11" t="s">
        <v>73</v>
      </c>
      <c r="G1159" s="12" t="n">
        <v>480</v>
      </c>
      <c r="H1159" s="12" t="n">
        <f aca="false">SUMPRODUCT(ПОТОКИ!B13:G13,ЧАСОВЫЕ_ПРОФИЛИ!B18:G18,КОЭФФИЦИЕНТЫ_ВЫБОРА!F12:K12)</f>
        <v>0.3596</v>
      </c>
      <c r="I1159" s="12" t="n">
        <f aca="false">SUMPRODUCT(ПОТОКИ!B13:G13,ЧАСОВЫЕ_ПРОФИЛИ!B18:G18,КОЭФФИЦИЕНТЫ_ВЫБОРА!F12:K12,ПАРАМЕТРЫ!$B$17:$G$17)</f>
        <v>0.39556</v>
      </c>
      <c r="J1159" s="12" t="n">
        <f aca="false">I1159*G1159/1000</f>
        <v>0.1898688</v>
      </c>
      <c r="K1159" s="11" t="s">
        <v>217</v>
      </c>
      <c r="L1159" s="11" t="s">
        <v>19</v>
      </c>
      <c r="M1159" s="11" t="s">
        <v>145</v>
      </c>
    </row>
    <row r="1160" customFormat="false" ht="15" hidden="false" customHeight="false" outlineLevel="0" collapsed="false">
      <c r="A1160" s="11" t="s">
        <v>109</v>
      </c>
      <c r="B1160" s="11" t="s">
        <v>131</v>
      </c>
      <c r="C1160" s="11" t="n">
        <v>3</v>
      </c>
      <c r="D1160" s="11" t="s">
        <v>74</v>
      </c>
      <c r="E1160" s="11" t="s">
        <v>155</v>
      </c>
      <c r="F1160" s="11" t="s">
        <v>73</v>
      </c>
      <c r="G1160" s="12" t="n">
        <v>500</v>
      </c>
      <c r="H1160" s="12" t="n">
        <f aca="false">SUMPRODUCT(ПОТОКИ!B13:G13,ЧАСОВЫЕ_ПРОФИЛИ!B18:G18,КОЭФФИЦИЕНТЫ_ВЫБОРА!F13:K13)</f>
        <v>0.6519</v>
      </c>
      <c r="I1160" s="12" t="n">
        <f aca="false">SUMPRODUCT(ПОТОКИ!B13:G13,ЧАСОВЫЕ_ПРОФИЛИ!B18:G18,КОЭФФИЦИЕНТЫ_ВЫБОРА!F13:K13,ПАРАМЕТРЫ!$B$17:$G$17)</f>
        <v>0.71709</v>
      </c>
      <c r="J1160" s="12" t="n">
        <f aca="false">I1160*G1160/1000</f>
        <v>0.358545</v>
      </c>
      <c r="K1160" s="11" t="s">
        <v>217</v>
      </c>
      <c r="L1160" s="11" t="s">
        <v>19</v>
      </c>
      <c r="M1160" s="11" t="s">
        <v>145</v>
      </c>
    </row>
    <row r="1161" customFormat="false" ht="15" hidden="false" customHeight="false" outlineLevel="0" collapsed="false">
      <c r="A1161" s="11" t="s">
        <v>109</v>
      </c>
      <c r="B1161" s="11" t="s">
        <v>131</v>
      </c>
      <c r="C1161" s="11" t="n">
        <v>4</v>
      </c>
      <c r="D1161" s="11" t="s">
        <v>74</v>
      </c>
      <c r="E1161" s="11" t="s">
        <v>156</v>
      </c>
      <c r="F1161" s="11" t="s">
        <v>73</v>
      </c>
      <c r="G1161" s="12" t="n">
        <v>500</v>
      </c>
      <c r="H1161" s="12" t="n">
        <f aca="false">SUMPRODUCT(ПОТОКИ!B13:G13,ЧАСОВЫЕ_ПРОФИЛИ!B18:G18,КОЭФФИЦИЕНТЫ_ВЫБОРА!F14:K14)</f>
        <v>0.6968</v>
      </c>
      <c r="I1161" s="12" t="n">
        <f aca="false">SUMPRODUCT(ПОТОКИ!B13:G13,ЧАСОВЫЕ_ПРОФИЛИ!B18:G18,КОЭФФИЦИЕНТЫ_ВЫБОРА!F14:K14,ПАРАМЕТРЫ!$B$17:$G$17)</f>
        <v>0.76648</v>
      </c>
      <c r="J1161" s="12" t="n">
        <f aca="false">I1161*G1161/1000</f>
        <v>0.38324</v>
      </c>
      <c r="K1161" s="11" t="s">
        <v>217</v>
      </c>
      <c r="L1161" s="11" t="s">
        <v>19</v>
      </c>
      <c r="M1161" s="11" t="s">
        <v>145</v>
      </c>
    </row>
    <row r="1162" customFormat="false" ht="15" hidden="false" customHeight="false" outlineLevel="0" collapsed="false">
      <c r="A1162" s="11" t="s">
        <v>109</v>
      </c>
      <c r="B1162" s="11" t="s">
        <v>131</v>
      </c>
      <c r="C1162" s="11" t="n">
        <v>5</v>
      </c>
      <c r="D1162" s="11" t="s">
        <v>78</v>
      </c>
      <c r="E1162" s="11" t="s">
        <v>157</v>
      </c>
      <c r="F1162" s="11" t="s">
        <v>77</v>
      </c>
      <c r="G1162" s="12" t="n">
        <v>100</v>
      </c>
      <c r="H1162" s="12" t="n">
        <f aca="false">SUMPRODUCT(ПОТОКИ!B13:G13,ЧАСОВЫЕ_ПРОФИЛИ!B18:G18,КОЭФФИЦИЕНТЫ_ВЫБОРА!F15:K15)</f>
        <v>0.5201</v>
      </c>
      <c r="I1162" s="12" t="n">
        <f aca="false">SUMPRODUCT(ПОТОКИ!B13:G13,ЧАСОВЫЕ_ПРОФИЛИ!B18:G18,КОЭФФИЦИЕНТЫ_ВЫБОРА!F15:K15,ПАРАМЕТРЫ!$B$17:$G$17)</f>
        <v>0.57211</v>
      </c>
      <c r="J1162" s="12" t="n">
        <f aca="false">I1162*G1162/1000</f>
        <v>0.057211</v>
      </c>
      <c r="K1162" s="11" t="s">
        <v>217</v>
      </c>
      <c r="L1162" s="11" t="s">
        <v>19</v>
      </c>
      <c r="M1162" s="11" t="s">
        <v>147</v>
      </c>
    </row>
    <row r="1163" customFormat="false" ht="15" hidden="false" customHeight="false" outlineLevel="0" collapsed="false">
      <c r="A1163" s="11" t="s">
        <v>109</v>
      </c>
      <c r="B1163" s="11" t="s">
        <v>131</v>
      </c>
      <c r="C1163" s="11" t="n">
        <v>6</v>
      </c>
      <c r="D1163" s="11" t="s">
        <v>78</v>
      </c>
      <c r="E1163" s="11" t="s">
        <v>158</v>
      </c>
      <c r="F1163" s="11" t="s">
        <v>77</v>
      </c>
      <c r="G1163" s="12" t="n">
        <v>100</v>
      </c>
      <c r="H1163" s="12" t="n">
        <f aca="false">SUMPRODUCT(ПОТОКИ!B13:G13,ЧАСОВЫЕ_ПРОФИЛИ!B18:G18,КОЭФФИЦИЕНТЫ_ВЫБОРА!F16:K16)</f>
        <v>0.4677</v>
      </c>
      <c r="I1163" s="12" t="n">
        <f aca="false">SUMPRODUCT(ПОТОКИ!B13:G13,ЧАСОВЫЕ_ПРОФИЛИ!B18:G18,КОЭФФИЦИЕНТЫ_ВЫБОРА!F16:K16,ПАРАМЕТРЫ!$B$17:$G$17)</f>
        <v>0.51447</v>
      </c>
      <c r="J1163" s="12" t="n">
        <f aca="false">I1163*G1163/1000</f>
        <v>0.051447</v>
      </c>
      <c r="K1163" s="11" t="s">
        <v>217</v>
      </c>
      <c r="L1163" s="11" t="s">
        <v>19</v>
      </c>
      <c r="M1163" s="11" t="s">
        <v>147</v>
      </c>
    </row>
    <row r="1164" customFormat="false" ht="15" hidden="false" customHeight="false" outlineLevel="0" collapsed="false">
      <c r="A1164" s="11" t="s">
        <v>109</v>
      </c>
      <c r="B1164" s="11" t="s">
        <v>131</v>
      </c>
      <c r="C1164" s="11" t="n">
        <v>7</v>
      </c>
      <c r="D1164" s="11" t="s">
        <v>78</v>
      </c>
      <c r="E1164" s="11" t="s">
        <v>159</v>
      </c>
      <c r="F1164" s="11" t="s">
        <v>77</v>
      </c>
      <c r="G1164" s="12" t="n">
        <v>350</v>
      </c>
      <c r="H1164" s="12" t="n">
        <f aca="false">SUMPRODUCT(ПОТОКИ!B13:G13,ЧАСОВЫЕ_ПРОФИЛИ!B18:G18,КОЭФФИЦИЕНТЫ_ВЫБОРА!F17:K17)</f>
        <v>0.41595</v>
      </c>
      <c r="I1164" s="12" t="n">
        <f aca="false">SUMPRODUCT(ПОТОКИ!B13:G13,ЧАСОВЫЕ_ПРОФИЛИ!B18:G18,КОЭФФИЦИЕНТЫ_ВЫБОРА!F17:K17,ПАРАМЕТРЫ!$B$17:$G$17)</f>
        <v>0.457545</v>
      </c>
      <c r="J1164" s="12" t="n">
        <f aca="false">I1164*G1164/1000</f>
        <v>0.16014075</v>
      </c>
      <c r="K1164" s="11" t="s">
        <v>217</v>
      </c>
      <c r="L1164" s="11" t="s">
        <v>19</v>
      </c>
      <c r="M1164" s="11" t="s">
        <v>147</v>
      </c>
    </row>
    <row r="1165" customFormat="false" ht="15" hidden="false" customHeight="false" outlineLevel="0" collapsed="false">
      <c r="A1165" s="11" t="s">
        <v>109</v>
      </c>
      <c r="B1165" s="11" t="s">
        <v>131</v>
      </c>
      <c r="C1165" s="11" t="n">
        <v>8</v>
      </c>
      <c r="D1165" s="11" t="s">
        <v>78</v>
      </c>
      <c r="E1165" s="11" t="s">
        <v>160</v>
      </c>
      <c r="F1165" s="11" t="s">
        <v>77</v>
      </c>
      <c r="G1165" s="12" t="n">
        <v>85</v>
      </c>
      <c r="H1165" s="12" t="n">
        <f aca="false">SUMPRODUCT(ПОТОКИ!B13:G13,ЧАСОВЫЕ_ПРОФИЛИ!B18:G18,КОЭФФИЦИЕНТЫ_ВЫБОРА!F18:K18)</f>
        <v>0.26005</v>
      </c>
      <c r="I1165" s="12" t="n">
        <f aca="false">SUMPRODUCT(ПОТОКИ!B13:G13,ЧАСОВЫЕ_ПРОФИЛИ!B18:G18,КОЭФФИЦИЕНТЫ_ВЫБОРА!F18:K18,ПАРАМЕТРЫ!$B$17:$G$17)</f>
        <v>0.286055</v>
      </c>
      <c r="J1165" s="12" t="n">
        <f aca="false">I1165*G1165/1000</f>
        <v>0.024314675</v>
      </c>
      <c r="K1165" s="11" t="s">
        <v>217</v>
      </c>
      <c r="L1165" s="11" t="s">
        <v>19</v>
      </c>
      <c r="M1165" s="11" t="s">
        <v>147</v>
      </c>
    </row>
    <row r="1166" customFormat="false" ht="15" hidden="false" customHeight="false" outlineLevel="0" collapsed="false">
      <c r="A1166" s="11" t="s">
        <v>109</v>
      </c>
      <c r="B1166" s="11" t="s">
        <v>131</v>
      </c>
      <c r="C1166" s="11" t="n">
        <v>9</v>
      </c>
      <c r="D1166" s="11" t="s">
        <v>161</v>
      </c>
      <c r="E1166" s="11" t="s">
        <v>162</v>
      </c>
      <c r="F1166" s="11" t="s">
        <v>80</v>
      </c>
      <c r="G1166" s="12" t="n">
        <v>300</v>
      </c>
      <c r="H1166" s="12" t="n">
        <f aca="false">SUMPRODUCT(ПОТОКИ!B13:G13,ЧАСОВЫЕ_ПРОФИЛИ!B18:G18,КОЭФФИЦИЕНТЫ_ВЫБОРА!F19:K19)</f>
        <v>0.3405</v>
      </c>
      <c r="I1166" s="12" t="n">
        <f aca="false">SUMPRODUCT(ПОТОКИ!B13:G13,ЧАСОВЫЕ_ПРОФИЛИ!B18:G18,КОЭФФИЦИЕНТЫ_ВЫБОРА!F19:K19,ПАРАМЕТРЫ!$B$17:$G$17)</f>
        <v>0.37455</v>
      </c>
      <c r="J1166" s="12" t="n">
        <f aca="false">I1166*G1166/1000</f>
        <v>0.112365</v>
      </c>
      <c r="K1166" s="11" t="s">
        <v>217</v>
      </c>
      <c r="L1166" s="11" t="s">
        <v>19</v>
      </c>
      <c r="M1166" s="11" t="s">
        <v>145</v>
      </c>
    </row>
    <row r="1167" customFormat="false" ht="15" hidden="false" customHeight="false" outlineLevel="0" collapsed="false">
      <c r="A1167" s="11" t="s">
        <v>109</v>
      </c>
      <c r="B1167" s="11" t="s">
        <v>131</v>
      </c>
      <c r="C1167" s="11" t="n">
        <v>10</v>
      </c>
      <c r="D1167" s="11" t="s">
        <v>161</v>
      </c>
      <c r="E1167" s="11" t="s">
        <v>163</v>
      </c>
      <c r="F1167" s="11" t="s">
        <v>80</v>
      </c>
      <c r="G1167" s="12" t="n">
        <v>280</v>
      </c>
      <c r="H1167" s="12" t="n">
        <f aca="false">SUMPRODUCT(ПОТОКИ!B13:G13,ЧАСОВЫЕ_ПРОФИЛИ!B18:G18,КОЭФФИЦИЕНТЫ_ВЫБОРА!F20:K20)</f>
        <v>0.513</v>
      </c>
      <c r="I1167" s="12" t="n">
        <f aca="false">SUMPRODUCT(ПОТОКИ!B13:G13,ЧАСОВЫЕ_ПРОФИЛИ!B18:G18,КОЭФФИЦИЕНТЫ_ВЫБОРА!F20:K20,ПАРАМЕТРЫ!$B$17:$G$17)</f>
        <v>0.5643</v>
      </c>
      <c r="J1167" s="12" t="n">
        <f aca="false">I1167*G1167/1000</f>
        <v>0.158004</v>
      </c>
      <c r="K1167" s="11" t="s">
        <v>217</v>
      </c>
      <c r="L1167" s="11" t="s">
        <v>19</v>
      </c>
      <c r="M1167" s="11" t="s">
        <v>145</v>
      </c>
    </row>
    <row r="1168" customFormat="false" ht="15" hidden="false" customHeight="false" outlineLevel="0" collapsed="false">
      <c r="A1168" s="11" t="s">
        <v>109</v>
      </c>
      <c r="B1168" s="11" t="s">
        <v>131</v>
      </c>
      <c r="C1168" s="11" t="n">
        <v>11</v>
      </c>
      <c r="D1168" s="11" t="s">
        <v>161</v>
      </c>
      <c r="E1168" s="11" t="s">
        <v>164</v>
      </c>
      <c r="F1168" s="11" t="s">
        <v>80</v>
      </c>
      <c r="G1168" s="12" t="n">
        <v>270</v>
      </c>
      <c r="H1168" s="12" t="n">
        <f aca="false">SUMPRODUCT(ПОТОКИ!B13:G13,ЧАСОВЫЕ_ПРОФИЛИ!B18:G18,КОЭФФИЦИЕНТЫ_ВЫБОРА!F21:K21)</f>
        <v>0.93645</v>
      </c>
      <c r="I1168" s="12" t="n">
        <f aca="false">SUMPRODUCT(ПОТОКИ!B13:G13,ЧАСОВЫЕ_ПРОФИЛИ!B18:G18,КОЭФФИЦИЕНТЫ_ВЫБОРА!F21:K21,ПАРАМЕТРЫ!$B$17:$G$17)</f>
        <v>1.030095</v>
      </c>
      <c r="J1168" s="12" t="n">
        <f aca="false">I1168*G1168/1000</f>
        <v>0.27812565</v>
      </c>
      <c r="K1168" s="11" t="s">
        <v>217</v>
      </c>
      <c r="L1168" s="11" t="s">
        <v>19</v>
      </c>
      <c r="M1168" s="11" t="s">
        <v>145</v>
      </c>
    </row>
    <row r="1169" customFormat="false" ht="15" hidden="false" customHeight="false" outlineLevel="0" collapsed="false">
      <c r="A1169" s="11" t="s">
        <v>109</v>
      </c>
      <c r="B1169" s="11" t="s">
        <v>131</v>
      </c>
      <c r="C1169" s="11" t="n">
        <v>12</v>
      </c>
      <c r="D1169" s="11" t="s">
        <v>161</v>
      </c>
      <c r="E1169" s="11" t="s">
        <v>165</v>
      </c>
      <c r="F1169" s="11" t="s">
        <v>80</v>
      </c>
      <c r="G1169" s="12" t="n">
        <v>240</v>
      </c>
      <c r="H1169" s="12" t="n">
        <f aca="false">SUMPRODUCT(ПОТОКИ!B13:G13,ЧАСОВЫЕ_ПРОФИЛИ!B18:G18,КОЭФФИЦИЕНТЫ_ВЫБОРА!F22:K22)</f>
        <v>0.60705</v>
      </c>
      <c r="I1169" s="12" t="n">
        <f aca="false">SUMPRODUCT(ПОТОКИ!B13:G13,ЧАСОВЫЕ_ПРОФИЛИ!B18:G18,КОЭФФИЦИЕНТЫ_ВЫБОРА!F22:K22,ПАРАМЕТРЫ!$B$17:$G$17)</f>
        <v>0.667755</v>
      </c>
      <c r="J1169" s="12" t="n">
        <f aca="false">I1169*G1169/1000</f>
        <v>0.1602612</v>
      </c>
      <c r="K1169" s="11" t="s">
        <v>217</v>
      </c>
      <c r="L1169" s="11" t="s">
        <v>19</v>
      </c>
      <c r="M1169" s="11" t="s">
        <v>145</v>
      </c>
    </row>
    <row r="1170" customFormat="false" ht="15" hidden="false" customHeight="false" outlineLevel="0" collapsed="false">
      <c r="A1170" s="11" t="s">
        <v>109</v>
      </c>
      <c r="B1170" s="11" t="s">
        <v>131</v>
      </c>
      <c r="C1170" s="11" t="n">
        <v>13</v>
      </c>
      <c r="D1170" s="11" t="s">
        <v>166</v>
      </c>
      <c r="E1170" s="11" t="s">
        <v>167</v>
      </c>
      <c r="F1170" s="11" t="s">
        <v>80</v>
      </c>
      <c r="G1170" s="12" t="n">
        <v>130</v>
      </c>
      <c r="H1170" s="12" t="n">
        <f aca="false">SUMPRODUCT(ПОТОКИ!B13:G13,ЧАСОВЫЕ_ПРОФИЛИ!B18:G18,КОЭФФИЦИЕНТЫ_ВЫБОРА!F23:K23)</f>
        <v>0.172</v>
      </c>
      <c r="I1170" s="12" t="n">
        <f aca="false">SUMPRODUCT(ПОТОКИ!B13:G13,ЧАСОВЫЕ_ПРОФИЛИ!B18:G18,КОЭФФИЦИЕНТЫ_ВЫБОРА!F23:K23,ПАРАМЕТРЫ!$B$17:$G$17)</f>
        <v>0.1892</v>
      </c>
      <c r="J1170" s="12" t="n">
        <f aca="false">I1170*G1170/1000</f>
        <v>0.024596</v>
      </c>
      <c r="K1170" s="11" t="s">
        <v>217</v>
      </c>
      <c r="L1170" s="11" t="s">
        <v>19</v>
      </c>
      <c r="M1170" s="11" t="s">
        <v>145</v>
      </c>
    </row>
    <row r="1171" customFormat="false" ht="15" hidden="false" customHeight="false" outlineLevel="0" collapsed="false">
      <c r="A1171" s="11" t="s">
        <v>109</v>
      </c>
      <c r="B1171" s="11" t="s">
        <v>131</v>
      </c>
      <c r="C1171" s="11" t="n">
        <v>14</v>
      </c>
      <c r="D1171" s="11" t="s">
        <v>166</v>
      </c>
      <c r="E1171" s="11" t="s">
        <v>168</v>
      </c>
      <c r="F1171" s="11" t="s">
        <v>80</v>
      </c>
      <c r="G1171" s="12" t="n">
        <v>250</v>
      </c>
      <c r="H1171" s="12" t="n">
        <f aca="false">SUMPRODUCT(ПОТОКИ!B13:G13,ЧАСОВЫЕ_ПРОФИЛИ!B18:G18,КОЭФФИЦИЕНТЫ_ВЫБОРА!F24:K24)</f>
        <v>0.2172</v>
      </c>
      <c r="I1171" s="12" t="n">
        <f aca="false">SUMPRODUCT(ПОТОКИ!B13:G13,ЧАСОВЫЕ_ПРОФИЛИ!B18:G18,КОЭФФИЦИЕНТЫ_ВЫБОРА!F24:K24,ПАРАМЕТРЫ!$B$17:$G$17)</f>
        <v>0.23892</v>
      </c>
      <c r="J1171" s="12" t="n">
        <f aca="false">I1171*G1171/1000</f>
        <v>0.05973</v>
      </c>
      <c r="K1171" s="11" t="s">
        <v>217</v>
      </c>
      <c r="L1171" s="11" t="s">
        <v>19</v>
      </c>
      <c r="M1171" s="11" t="s">
        <v>145</v>
      </c>
    </row>
    <row r="1172" customFormat="false" ht="15" hidden="false" customHeight="false" outlineLevel="0" collapsed="false">
      <c r="A1172" s="11" t="s">
        <v>109</v>
      </c>
      <c r="B1172" s="11" t="s">
        <v>131</v>
      </c>
      <c r="C1172" s="11" t="n">
        <v>15</v>
      </c>
      <c r="D1172" s="11" t="s">
        <v>166</v>
      </c>
      <c r="E1172" s="11" t="s">
        <v>169</v>
      </c>
      <c r="F1172" s="11" t="s">
        <v>80</v>
      </c>
      <c r="G1172" s="12" t="n">
        <v>120</v>
      </c>
      <c r="H1172" s="12" t="n">
        <f aca="false">SUMPRODUCT(ПОТОКИ!B13:G13,ЧАСОВЫЕ_ПРОФИЛИ!B18:G18,КОЭФФИЦИЕНТЫ_ВЫБОРА!F25:K25)</f>
        <v>0.1272</v>
      </c>
      <c r="I1172" s="12" t="n">
        <f aca="false">SUMPRODUCT(ПОТОКИ!B13:G13,ЧАСОВЫЕ_ПРОФИЛИ!B18:G18,КОЭФФИЦИЕНТЫ_ВЫБОРА!F25:K25,ПАРАМЕТРЫ!$B$17:$G$17)</f>
        <v>0.13992</v>
      </c>
      <c r="J1172" s="12" t="n">
        <f aca="false">I1172*G1172/1000</f>
        <v>0.0167904</v>
      </c>
      <c r="K1172" s="11" t="s">
        <v>217</v>
      </c>
      <c r="L1172" s="11" t="s">
        <v>19</v>
      </c>
      <c r="M1172" s="11" t="s">
        <v>145</v>
      </c>
    </row>
    <row r="1173" customFormat="false" ht="15" hidden="false" customHeight="false" outlineLevel="0" collapsed="false">
      <c r="A1173" s="11" t="s">
        <v>109</v>
      </c>
      <c r="B1173" s="11" t="s">
        <v>131</v>
      </c>
      <c r="C1173" s="11" t="n">
        <v>16</v>
      </c>
      <c r="D1173" s="11" t="s">
        <v>166</v>
      </c>
      <c r="E1173" s="11" t="s">
        <v>170</v>
      </c>
      <c r="F1173" s="11" t="s">
        <v>80</v>
      </c>
      <c r="G1173" s="12" t="n">
        <v>180</v>
      </c>
      <c r="H1173" s="12" t="n">
        <f aca="false">SUMPRODUCT(ПОТОКИ!B13:G13,ЧАСОВЫЕ_ПРОФИЛИ!B18:G18,КОЭФФИЦИЕНТЫ_ВЫБОРА!F26:K26)</f>
        <v>0.2996</v>
      </c>
      <c r="I1173" s="12" t="n">
        <f aca="false">SUMPRODUCT(ПОТОКИ!B13:G13,ЧАСОВЫЕ_ПРОФИЛИ!B18:G18,КОЭФФИЦИЕНТЫ_ВЫБОРА!F26:K26,ПАРАМЕТРЫ!$B$17:$G$17)</f>
        <v>0.32956</v>
      </c>
      <c r="J1173" s="12" t="n">
        <f aca="false">I1173*G1173/1000</f>
        <v>0.0593208</v>
      </c>
      <c r="K1173" s="11" t="s">
        <v>217</v>
      </c>
      <c r="L1173" s="11" t="s">
        <v>19</v>
      </c>
      <c r="M1173" s="11" t="s">
        <v>145</v>
      </c>
    </row>
    <row r="1174" customFormat="false" ht="15" hidden="false" customHeight="false" outlineLevel="0" collapsed="false">
      <c r="A1174" s="11" t="s">
        <v>109</v>
      </c>
      <c r="B1174" s="11" t="s">
        <v>131</v>
      </c>
      <c r="C1174" s="11" t="n">
        <v>17</v>
      </c>
      <c r="D1174" s="11" t="s">
        <v>166</v>
      </c>
      <c r="E1174" s="11" t="s">
        <v>171</v>
      </c>
      <c r="F1174" s="11" t="s">
        <v>80</v>
      </c>
      <c r="G1174" s="12" t="n">
        <v>180</v>
      </c>
      <c r="H1174" s="12" t="n">
        <f aca="false">SUMPRODUCT(ПОТОКИ!B13:G13,ЧАСОВЫЕ_ПРОФИЛИ!B18:G18,КОЭФФИЦИЕНТЫ_ВЫБОРА!F27:K27)</f>
        <v>0.232</v>
      </c>
      <c r="I1174" s="12" t="n">
        <f aca="false">SUMPRODUCT(ПОТОКИ!B13:G13,ЧАСОВЫЕ_ПРОФИЛИ!B18:G18,КОЭФФИЦИЕНТЫ_ВЫБОРА!F27:K27,ПАРАМЕТРЫ!$B$17:$G$17)</f>
        <v>0.2552</v>
      </c>
      <c r="J1174" s="12" t="n">
        <f aca="false">I1174*G1174/1000</f>
        <v>0.045936</v>
      </c>
      <c r="K1174" s="11" t="s">
        <v>217</v>
      </c>
      <c r="L1174" s="11" t="s">
        <v>19</v>
      </c>
      <c r="M1174" s="11" t="s">
        <v>145</v>
      </c>
    </row>
    <row r="1175" customFormat="false" ht="15" hidden="false" customHeight="false" outlineLevel="0" collapsed="false">
      <c r="A1175" s="11" t="s">
        <v>109</v>
      </c>
      <c r="B1175" s="11" t="s">
        <v>131</v>
      </c>
      <c r="C1175" s="11" t="n">
        <v>18</v>
      </c>
      <c r="D1175" s="11" t="s">
        <v>172</v>
      </c>
      <c r="E1175" s="11" t="s">
        <v>173</v>
      </c>
      <c r="F1175" s="11" t="s">
        <v>83</v>
      </c>
      <c r="G1175" s="12" t="n">
        <v>400</v>
      </c>
      <c r="H1175" s="12" t="n">
        <f aca="false">SUMPRODUCT(ПОТОКИ!B13:G13,ЧАСОВЫЕ_ПРОФИЛИ!B18:G18,КОЭФФИЦИЕНТЫ_ВЫБОРА!F28:K28)</f>
        <v>2.324</v>
      </c>
      <c r="I1175" s="12" t="n">
        <f aca="false">SUMPRODUCT(ПОТОКИ!B13:G13,ЧАСОВЫЕ_ПРОФИЛИ!B18:G18,КОЭФФИЦИЕНТЫ_ВЫБОРА!F28:K28,ПАРАМЕТРЫ!$B$17:$G$17)</f>
        <v>2.5564</v>
      </c>
      <c r="J1175" s="12" t="n">
        <f aca="false">I1175*G1175/1000</f>
        <v>1.02256</v>
      </c>
      <c r="K1175" s="11" t="s">
        <v>217</v>
      </c>
      <c r="L1175" s="11" t="s">
        <v>19</v>
      </c>
      <c r="M1175" s="11" t="s">
        <v>145</v>
      </c>
    </row>
    <row r="1176" customFormat="false" ht="23.85" hidden="false" customHeight="false" outlineLevel="0" collapsed="false">
      <c r="A1176" s="11" t="s">
        <v>109</v>
      </c>
      <c r="B1176" s="11" t="s">
        <v>131</v>
      </c>
      <c r="C1176" s="11" t="n">
        <v>19</v>
      </c>
      <c r="D1176" s="11" t="s">
        <v>174</v>
      </c>
      <c r="E1176" s="11" t="s">
        <v>175</v>
      </c>
      <c r="F1176" s="11" t="s">
        <v>83</v>
      </c>
      <c r="G1176" s="12" t="n">
        <v>300</v>
      </c>
      <c r="H1176" s="12" t="n">
        <f aca="false">SUMPRODUCT(ПОТОКИ!B13:G13,ЧАСОВЫЕ_ПРОФИЛИ!B18:G18,КОЭФФИЦИЕНТЫ_ВЫБОРА!F29:K29)</f>
        <v>1.834</v>
      </c>
      <c r="I1176" s="12" t="n">
        <f aca="false">SUMPRODUCT(ПОТОКИ!B13:G13,ЧАСОВЫЕ_ПРОФИЛИ!B18:G18,КОЭФФИЦИЕНТЫ_ВЫБОРА!F29:K29,ПАРАМЕТРЫ!$B$17:$G$17)</f>
        <v>2.0174</v>
      </c>
      <c r="J1176" s="12" t="n">
        <f aca="false">I1176*G1176/1000</f>
        <v>0.60522</v>
      </c>
      <c r="K1176" s="11" t="s">
        <v>217</v>
      </c>
      <c r="L1176" s="11" t="s">
        <v>19</v>
      </c>
      <c r="M1176" s="11" t="s">
        <v>145</v>
      </c>
    </row>
    <row r="1177" customFormat="false" ht="15" hidden="false" customHeight="false" outlineLevel="0" collapsed="false">
      <c r="A1177" s="11" t="s">
        <v>109</v>
      </c>
      <c r="B1177" s="11" t="s">
        <v>131</v>
      </c>
      <c r="C1177" s="11" t="n">
        <v>20</v>
      </c>
      <c r="D1177" s="11" t="s">
        <v>174</v>
      </c>
      <c r="E1177" s="11" t="s">
        <v>176</v>
      </c>
      <c r="F1177" s="11" t="s">
        <v>83</v>
      </c>
      <c r="G1177" s="12" t="n">
        <v>360</v>
      </c>
      <c r="H1177" s="12" t="n">
        <f aca="false">SUMPRODUCT(ПОТОКИ!B13:G13,ЧАСОВЫЕ_ПРОФИЛИ!B18:G18,КОЭФФИЦИЕНТЫ_ВЫБОРА!F30:K30)</f>
        <v>1.3412</v>
      </c>
      <c r="I1177" s="12" t="n">
        <f aca="false">SUMPRODUCT(ПОТОКИ!B13:G13,ЧАСОВЫЕ_ПРОФИЛИ!B18:G18,КОЭФФИЦИЕНТЫ_ВЫБОРА!F30:K30,ПАРАМЕТРЫ!$B$17:$G$17)</f>
        <v>1.47532</v>
      </c>
      <c r="J1177" s="12" t="n">
        <f aca="false">I1177*G1177/1000</f>
        <v>0.5311152</v>
      </c>
      <c r="K1177" s="11" t="s">
        <v>217</v>
      </c>
      <c r="L1177" s="11" t="s">
        <v>19</v>
      </c>
      <c r="M1177" s="11" t="s">
        <v>145</v>
      </c>
    </row>
    <row r="1178" customFormat="false" ht="15" hidden="false" customHeight="false" outlineLevel="0" collapsed="false">
      <c r="A1178" s="11" t="s">
        <v>109</v>
      </c>
      <c r="B1178" s="11" t="s">
        <v>131</v>
      </c>
      <c r="C1178" s="11" t="n">
        <v>21</v>
      </c>
      <c r="D1178" s="11" t="s">
        <v>174</v>
      </c>
      <c r="E1178" s="11" t="s">
        <v>177</v>
      </c>
      <c r="F1178" s="11" t="s">
        <v>83</v>
      </c>
      <c r="G1178" s="12" t="n">
        <v>350</v>
      </c>
      <c r="H1178" s="12" t="n">
        <f aca="false">SUMPRODUCT(ПОТОКИ!B13:G13,ЧАСОВЫЕ_ПРОФИЛИ!B18:G18,КОЭФФИЦИЕНТЫ_ВЫБОРА!F31:K31)</f>
        <v>2.2518</v>
      </c>
      <c r="I1178" s="12" t="n">
        <f aca="false">SUMPRODUCT(ПОТОКИ!B13:G13,ЧАСОВЫЕ_ПРОФИЛИ!B18:G18,КОЭФФИЦИЕНТЫ_ВЫБОРА!F31:K31,ПАРАМЕТРЫ!$B$17:$G$17)</f>
        <v>2.47698</v>
      </c>
      <c r="J1178" s="12" t="n">
        <f aca="false">I1178*G1178/1000</f>
        <v>0.866943</v>
      </c>
      <c r="K1178" s="11" t="s">
        <v>217</v>
      </c>
      <c r="L1178" s="11" t="s">
        <v>19</v>
      </c>
      <c r="M1178" s="11" t="s">
        <v>145</v>
      </c>
    </row>
    <row r="1179" customFormat="false" ht="15" hidden="false" customHeight="false" outlineLevel="0" collapsed="false">
      <c r="A1179" s="11" t="s">
        <v>109</v>
      </c>
      <c r="B1179" s="11" t="s">
        <v>131</v>
      </c>
      <c r="C1179" s="11" t="n">
        <v>22</v>
      </c>
      <c r="D1179" s="11" t="s">
        <v>174</v>
      </c>
      <c r="E1179" s="11" t="s">
        <v>178</v>
      </c>
      <c r="F1179" s="11" t="s">
        <v>83</v>
      </c>
      <c r="G1179" s="12" t="n">
        <v>300</v>
      </c>
      <c r="H1179" s="12" t="n">
        <f aca="false">SUMPRODUCT(ПОТОКИ!B13:G13,ЧАСОВЫЕ_ПРОФИЛИ!B18:G18,КОЭФФИЦИЕНТЫ_ВЫБОРА!F32:K32)</f>
        <v>1.129</v>
      </c>
      <c r="I1179" s="12" t="n">
        <f aca="false">SUMPRODUCT(ПОТОКИ!B13:G13,ЧАСОВЫЕ_ПРОФИЛИ!B18:G18,КОЭФФИЦИЕНТЫ_ВЫБОРА!F32:K32,ПАРАМЕТРЫ!$B$17:$G$17)</f>
        <v>1.2419</v>
      </c>
      <c r="J1179" s="12" t="n">
        <f aca="false">I1179*G1179/1000</f>
        <v>0.37257</v>
      </c>
      <c r="K1179" s="11" t="s">
        <v>217</v>
      </c>
      <c r="L1179" s="11" t="s">
        <v>19</v>
      </c>
      <c r="M1179" s="11" t="s">
        <v>145</v>
      </c>
    </row>
    <row r="1180" customFormat="false" ht="15" hidden="false" customHeight="false" outlineLevel="0" collapsed="false">
      <c r="A1180" s="11" t="s">
        <v>109</v>
      </c>
      <c r="B1180" s="11" t="s">
        <v>131</v>
      </c>
      <c r="C1180" s="11" t="n">
        <v>23</v>
      </c>
      <c r="D1180" s="11" t="s">
        <v>86</v>
      </c>
      <c r="E1180" s="11" t="s">
        <v>179</v>
      </c>
      <c r="F1180" s="11" t="s">
        <v>85</v>
      </c>
      <c r="G1180" s="12" t="n">
        <v>150</v>
      </c>
      <c r="H1180" s="12" t="n">
        <f aca="false">SUMPRODUCT(ПОТОКИ!B13:G13,ЧАСОВЫЕ_ПРОФИЛИ!B18:G18,КОЭФФИЦИЕНТЫ_ВЫБОРА!F33:K33)</f>
        <v>1.757258</v>
      </c>
      <c r="I1180" s="12" t="n">
        <f aca="false">SUMPRODUCT(ПОТОКИ!B13:G13,ЧАСОВЫЕ_ПРОФИЛИ!B18:G18,КОЭФФИЦИЕНТЫ_ВЫБОРА!F33:K33,ПАРАМЕТРЫ!$B$17:$G$17)</f>
        <v>1.9329838</v>
      </c>
      <c r="J1180" s="12" t="n">
        <f aca="false">I1180*G1180/1000</f>
        <v>0.28994757</v>
      </c>
      <c r="K1180" s="11" t="s">
        <v>217</v>
      </c>
      <c r="L1180" s="11" t="s">
        <v>19</v>
      </c>
      <c r="M1180" s="11" t="s">
        <v>147</v>
      </c>
    </row>
    <row r="1181" customFormat="false" ht="15" hidden="false" customHeight="false" outlineLevel="0" collapsed="false">
      <c r="A1181" s="11" t="s">
        <v>109</v>
      </c>
      <c r="B1181" s="11" t="s">
        <v>131</v>
      </c>
      <c r="C1181" s="11" t="n">
        <v>24</v>
      </c>
      <c r="D1181" s="11" t="s">
        <v>86</v>
      </c>
      <c r="E1181" s="11" t="s">
        <v>180</v>
      </c>
      <c r="F1181" s="11" t="s">
        <v>85</v>
      </c>
      <c r="G1181" s="12" t="n">
        <v>150</v>
      </c>
      <c r="H1181" s="12" t="n">
        <f aca="false">SUMPRODUCT(ПОТОКИ!B13:G13,ЧАСОВЫЕ_ПРОФИЛИ!B18:G18,КОЭФФИЦИЕНТЫ_ВЫБОРА!F34:K34)</f>
        <v>0.738004</v>
      </c>
      <c r="I1181" s="12" t="n">
        <f aca="false">SUMPRODUCT(ПОТОКИ!B13:G13,ЧАСОВЫЕ_ПРОФИЛИ!B18:G18,КОЭФФИЦИЕНТЫ_ВЫБОРА!F34:K34,ПАРАМЕТРЫ!$B$17:$G$17)</f>
        <v>0.8118044</v>
      </c>
      <c r="J1181" s="12" t="n">
        <f aca="false">I1181*G1181/1000</f>
        <v>0.12177066</v>
      </c>
      <c r="K1181" s="11" t="s">
        <v>217</v>
      </c>
      <c r="L1181" s="11" t="s">
        <v>19</v>
      </c>
      <c r="M1181" s="11" t="s">
        <v>147</v>
      </c>
    </row>
    <row r="1182" customFormat="false" ht="15" hidden="false" customHeight="false" outlineLevel="0" collapsed="false">
      <c r="A1182" s="11" t="s">
        <v>109</v>
      </c>
      <c r="B1182" s="11" t="s">
        <v>131</v>
      </c>
      <c r="C1182" s="11" t="n">
        <v>25</v>
      </c>
      <c r="D1182" s="11" t="s">
        <v>86</v>
      </c>
      <c r="E1182" s="11" t="s">
        <v>181</v>
      </c>
      <c r="F1182" s="11" t="s">
        <v>85</v>
      </c>
      <c r="G1182" s="12" t="n">
        <v>150</v>
      </c>
      <c r="H1182" s="12" t="n">
        <f aca="false">SUMPRODUCT(ПОТОКИ!B13:G13,ЧАСОВЫЕ_ПРОФИЛИ!B18:G18,КОЭФФИЦИЕНТЫ_ВЫБОРА!F35:K35)</f>
        <v>1.194758</v>
      </c>
      <c r="I1182" s="12" t="n">
        <f aca="false">SUMPRODUCT(ПОТОКИ!B13:G13,ЧАСОВЫЕ_ПРОФИЛИ!B18:G18,КОЭФФИЦИЕНТЫ_ВЫБОРА!F35:K35,ПАРАМЕТРЫ!$B$17:$G$17)</f>
        <v>1.3142338</v>
      </c>
      <c r="J1182" s="12" t="n">
        <f aca="false">I1182*G1182/1000</f>
        <v>0.19713507</v>
      </c>
      <c r="K1182" s="11" t="s">
        <v>217</v>
      </c>
      <c r="L1182" s="11" t="s">
        <v>19</v>
      </c>
      <c r="M1182" s="11" t="s">
        <v>147</v>
      </c>
    </row>
    <row r="1183" customFormat="false" ht="23.85" hidden="false" customHeight="false" outlineLevel="0" collapsed="false">
      <c r="A1183" s="11" t="s">
        <v>109</v>
      </c>
      <c r="B1183" s="11" t="s">
        <v>131</v>
      </c>
      <c r="C1183" s="11" t="n">
        <v>26</v>
      </c>
      <c r="D1183" s="11" t="s">
        <v>89</v>
      </c>
      <c r="E1183" s="11" t="s">
        <v>182</v>
      </c>
      <c r="F1183" s="11" t="s">
        <v>88</v>
      </c>
      <c r="G1183" s="12" t="n">
        <v>225</v>
      </c>
      <c r="H1183" s="12" t="n">
        <f aca="false">SUMPRODUCT(ПОТОКИ!B13:G13,ЧАСОВЫЕ_ПРОФИЛИ!B18:G18,КОЭФФИЦИЕНТЫ_ВЫБОРА!F36:K36)</f>
        <v>0</v>
      </c>
      <c r="I1183" s="12" t="n">
        <f aca="false">SUMPRODUCT(ПОТОКИ!B13:G13,ЧАСОВЫЕ_ПРОФИЛИ!B18:G18,КОЭФФИЦИЕНТЫ_ВЫБОРА!F36:K36,ПАРАМЕТРЫ!$B$17:$G$17)</f>
        <v>0</v>
      </c>
      <c r="J1183" s="12" t="n">
        <f aca="false">I1183*G1183/1000</f>
        <v>0</v>
      </c>
      <c r="K1183" s="11" t="s">
        <v>217</v>
      </c>
      <c r="L1183" s="11" t="s">
        <v>19</v>
      </c>
      <c r="M1183" s="11" t="s">
        <v>145</v>
      </c>
    </row>
    <row r="1184" customFormat="false" ht="23.85" hidden="false" customHeight="false" outlineLevel="0" collapsed="false">
      <c r="A1184" s="11" t="s">
        <v>109</v>
      </c>
      <c r="B1184" s="11" t="s">
        <v>131</v>
      </c>
      <c r="C1184" s="11" t="n">
        <v>27</v>
      </c>
      <c r="D1184" s="11" t="s">
        <v>89</v>
      </c>
      <c r="E1184" s="11" t="s">
        <v>183</v>
      </c>
      <c r="F1184" s="11" t="s">
        <v>88</v>
      </c>
      <c r="G1184" s="12" t="n">
        <v>265</v>
      </c>
      <c r="H1184" s="12" t="n">
        <f aca="false">SUMPRODUCT(ПОТОКИ!B13:G13,ЧАСОВЫЕ_ПРОФИЛИ!B18:G18,КОЭФФИЦИЕНТЫ_ВЫБОРА!F37:K37)</f>
        <v>0</v>
      </c>
      <c r="I1184" s="12" t="n">
        <f aca="false">SUMPRODUCT(ПОТОКИ!B13:G13,ЧАСОВЫЕ_ПРОФИЛИ!B18:G18,КОЭФФИЦИЕНТЫ_ВЫБОРА!F37:K37,ПАРАМЕТРЫ!$B$17:$G$17)</f>
        <v>0</v>
      </c>
      <c r="J1184" s="12" t="n">
        <f aca="false">I1184*G1184/1000</f>
        <v>0</v>
      </c>
      <c r="K1184" s="11" t="s">
        <v>217</v>
      </c>
      <c r="L1184" s="11" t="s">
        <v>19</v>
      </c>
      <c r="M1184" s="11" t="s">
        <v>145</v>
      </c>
    </row>
    <row r="1185" customFormat="false" ht="23.85" hidden="false" customHeight="false" outlineLevel="0" collapsed="false">
      <c r="A1185" s="11" t="s">
        <v>109</v>
      </c>
      <c r="B1185" s="11" t="s">
        <v>131</v>
      </c>
      <c r="C1185" s="11" t="n">
        <v>28</v>
      </c>
      <c r="D1185" s="11" t="s">
        <v>89</v>
      </c>
      <c r="E1185" s="11" t="s">
        <v>184</v>
      </c>
      <c r="F1185" s="11" t="s">
        <v>88</v>
      </c>
      <c r="G1185" s="12" t="n">
        <v>355</v>
      </c>
      <c r="H1185" s="12" t="n">
        <f aca="false">SUMPRODUCT(ПОТОКИ!B13:G13,ЧАСОВЫЕ_ПРОФИЛИ!B18:G18,КОЭФФИЦИЕНТЫ_ВЫБОРА!F38:K38)</f>
        <v>0</v>
      </c>
      <c r="I1185" s="12" t="n">
        <f aca="false">SUMPRODUCT(ПОТОКИ!B13:G13,ЧАСОВЫЕ_ПРОФИЛИ!B18:G18,КОЭФФИЦИЕНТЫ_ВЫБОРА!F38:K38,ПАРАМЕТРЫ!$B$17:$G$17)</f>
        <v>0</v>
      </c>
      <c r="J1185" s="12" t="n">
        <f aca="false">I1185*G1185/1000</f>
        <v>0</v>
      </c>
      <c r="K1185" s="11" t="s">
        <v>217</v>
      </c>
      <c r="L1185" s="11" t="s">
        <v>19</v>
      </c>
      <c r="M1185" s="11" t="s">
        <v>145</v>
      </c>
    </row>
    <row r="1186" customFormat="false" ht="15" hidden="false" customHeight="false" outlineLevel="0" collapsed="false">
      <c r="A1186" s="11" t="s">
        <v>109</v>
      </c>
      <c r="B1186" s="11" t="s">
        <v>131</v>
      </c>
      <c r="C1186" s="11" t="n">
        <v>29</v>
      </c>
      <c r="D1186" s="11" t="s">
        <v>92</v>
      </c>
      <c r="E1186" s="11" t="s">
        <v>185</v>
      </c>
      <c r="F1186" s="11" t="s">
        <v>91</v>
      </c>
      <c r="G1186" s="12" t="n">
        <v>150</v>
      </c>
      <c r="H1186" s="12" t="n">
        <f aca="false">SUMPRODUCT(ПОТОКИ!B13:G13,ЧАСОВЫЕ_ПРОФИЛИ!B18:G18,КОЭФФИЦИЕНТЫ_ВЫБОРА!F39:K39)</f>
        <v>0.2784</v>
      </c>
      <c r="I1186" s="12" t="n">
        <f aca="false">SUMPRODUCT(ПОТОКИ!B13:G13,ЧАСОВЫЕ_ПРОФИЛИ!B18:G18,КОЭФФИЦИЕНТЫ_ВЫБОРА!F39:K39,ПАРАМЕТРЫ!$B$17:$G$17)</f>
        <v>0.30624</v>
      </c>
      <c r="J1186" s="12" t="n">
        <f aca="false">I1186*G1186/1000</f>
        <v>0.045936</v>
      </c>
      <c r="K1186" s="11" t="s">
        <v>217</v>
      </c>
      <c r="L1186" s="11" t="s">
        <v>19</v>
      </c>
      <c r="M1186" s="11" t="s">
        <v>145</v>
      </c>
    </row>
    <row r="1187" customFormat="false" ht="15" hidden="false" customHeight="false" outlineLevel="0" collapsed="false">
      <c r="A1187" s="11" t="s">
        <v>109</v>
      </c>
      <c r="B1187" s="11" t="s">
        <v>131</v>
      </c>
      <c r="C1187" s="11" t="n">
        <v>30</v>
      </c>
      <c r="D1187" s="11" t="s">
        <v>92</v>
      </c>
      <c r="E1187" s="11" t="s">
        <v>186</v>
      </c>
      <c r="F1187" s="11" t="s">
        <v>91</v>
      </c>
      <c r="G1187" s="12" t="n">
        <v>120</v>
      </c>
      <c r="H1187" s="12" t="n">
        <f aca="false">SUMPRODUCT(ПОТОКИ!B13:G13,ЧАСОВЫЕ_ПРОФИЛИ!B18:G18,КОЭФФИЦИЕНТЫ_ВЫБОРА!F40:K40)</f>
        <v>0.2784</v>
      </c>
      <c r="I1187" s="12" t="n">
        <f aca="false">SUMPRODUCT(ПОТОКИ!B13:G13,ЧАСОВЫЕ_ПРОФИЛИ!B18:G18,КОЭФФИЦИЕНТЫ_ВЫБОРА!F40:K40,ПАРАМЕТРЫ!$B$17:$G$17)</f>
        <v>0.30624</v>
      </c>
      <c r="J1187" s="12" t="n">
        <f aca="false">I1187*G1187/1000</f>
        <v>0.0367488</v>
      </c>
      <c r="K1187" s="11" t="s">
        <v>217</v>
      </c>
      <c r="L1187" s="11" t="s">
        <v>19</v>
      </c>
      <c r="M1187" s="11" t="s">
        <v>145</v>
      </c>
    </row>
    <row r="1188" customFormat="false" ht="15" hidden="false" customHeight="false" outlineLevel="0" collapsed="false">
      <c r="A1188" s="11" t="s">
        <v>109</v>
      </c>
      <c r="B1188" s="11" t="s">
        <v>131</v>
      </c>
      <c r="C1188" s="11" t="n">
        <v>31</v>
      </c>
      <c r="D1188" s="11" t="s">
        <v>92</v>
      </c>
      <c r="E1188" s="11" t="s">
        <v>187</v>
      </c>
      <c r="F1188" s="11" t="s">
        <v>91</v>
      </c>
      <c r="G1188" s="12" t="n">
        <v>60</v>
      </c>
      <c r="H1188" s="12" t="n">
        <f aca="false">SUMPRODUCT(ПОТОКИ!B13:G13,ЧАСОВЫЕ_ПРОФИЛИ!B18:G18,КОЭФФИЦИЕНТЫ_ВЫБОРА!F41:K41)</f>
        <v>0.2592</v>
      </c>
      <c r="I1188" s="12" t="n">
        <f aca="false">SUMPRODUCT(ПОТОКИ!B13:G13,ЧАСОВЫЕ_ПРОФИЛИ!B18:G18,КОЭФФИЦИЕНТЫ_ВЫБОРА!F41:K41,ПАРАМЕТРЫ!$B$17:$G$17)</f>
        <v>0.28512</v>
      </c>
      <c r="J1188" s="12" t="n">
        <f aca="false">I1188*G1188/1000</f>
        <v>0.0171072</v>
      </c>
      <c r="K1188" s="11" t="s">
        <v>217</v>
      </c>
      <c r="L1188" s="11" t="s">
        <v>19</v>
      </c>
      <c r="M1188" s="11" t="s">
        <v>145</v>
      </c>
    </row>
    <row r="1189" customFormat="false" ht="15" hidden="false" customHeight="false" outlineLevel="0" collapsed="false">
      <c r="A1189" s="11" t="s">
        <v>109</v>
      </c>
      <c r="B1189" s="11" t="s">
        <v>132</v>
      </c>
      <c r="C1189" s="11" t="n">
        <v>1</v>
      </c>
      <c r="D1189" s="11" t="s">
        <v>74</v>
      </c>
      <c r="E1189" s="11" t="s">
        <v>153</v>
      </c>
      <c r="F1189" s="11" t="s">
        <v>73</v>
      </c>
      <c r="G1189" s="12" t="n">
        <v>450</v>
      </c>
      <c r="H1189" s="12" t="n">
        <f aca="false">SUMPRODUCT(ПОТОКИ!B13:G13,ЧАСОВЫЕ_ПРОФИЛИ!B19:G19,КОЭФФИЦИЕНТЫ_ВЫБОРА!F11:K11)</f>
        <v>0.1524</v>
      </c>
      <c r="I1189" s="12" t="n">
        <f aca="false">SUMPRODUCT(ПОТОКИ!B13:G13,ЧАСОВЫЕ_ПРОФИЛИ!B19:G19,КОЭФФИЦИЕНТЫ_ВЫБОРА!F11:K11,ПАРАМЕТРЫ!$B$17:$G$17)</f>
        <v>0.16764</v>
      </c>
      <c r="J1189" s="12" t="n">
        <f aca="false">I1189*G1189/1000</f>
        <v>0.075438</v>
      </c>
      <c r="K1189" s="11" t="s">
        <v>217</v>
      </c>
      <c r="L1189" s="11" t="s">
        <v>19</v>
      </c>
      <c r="M1189" s="11" t="s">
        <v>145</v>
      </c>
    </row>
    <row r="1190" customFormat="false" ht="15" hidden="false" customHeight="false" outlineLevel="0" collapsed="false">
      <c r="A1190" s="11" t="s">
        <v>109</v>
      </c>
      <c r="B1190" s="11" t="s">
        <v>132</v>
      </c>
      <c r="C1190" s="11" t="n">
        <v>2</v>
      </c>
      <c r="D1190" s="11" t="s">
        <v>74</v>
      </c>
      <c r="E1190" s="11" t="s">
        <v>154</v>
      </c>
      <c r="F1190" s="11" t="s">
        <v>73</v>
      </c>
      <c r="G1190" s="12" t="n">
        <v>480</v>
      </c>
      <c r="H1190" s="12" t="n">
        <f aca="false">SUMPRODUCT(ПОТОКИ!B13:G13,ЧАСОВЫЕ_ПРОФИЛИ!B19:G19,КОЭФФИЦИЕНТЫ_ВЫБОРА!F12:K12)</f>
        <v>0.2042</v>
      </c>
      <c r="I1190" s="12" t="n">
        <f aca="false">SUMPRODUCT(ПОТОКИ!B13:G13,ЧАСОВЫЕ_ПРОФИЛИ!B19:G19,КОЭФФИЦИЕНТЫ_ВЫБОРА!F12:K12,ПАРАМЕТРЫ!$B$17:$G$17)</f>
        <v>0.22462</v>
      </c>
      <c r="J1190" s="12" t="n">
        <f aca="false">I1190*G1190/1000</f>
        <v>0.1078176</v>
      </c>
      <c r="K1190" s="11" t="s">
        <v>217</v>
      </c>
      <c r="L1190" s="11" t="s">
        <v>19</v>
      </c>
      <c r="M1190" s="11" t="s">
        <v>145</v>
      </c>
    </row>
    <row r="1191" customFormat="false" ht="15" hidden="false" customHeight="false" outlineLevel="0" collapsed="false">
      <c r="A1191" s="11" t="s">
        <v>109</v>
      </c>
      <c r="B1191" s="11" t="s">
        <v>132</v>
      </c>
      <c r="C1191" s="11" t="n">
        <v>3</v>
      </c>
      <c r="D1191" s="11" t="s">
        <v>74</v>
      </c>
      <c r="E1191" s="11" t="s">
        <v>155</v>
      </c>
      <c r="F1191" s="11" t="s">
        <v>73</v>
      </c>
      <c r="G1191" s="12" t="n">
        <v>500</v>
      </c>
      <c r="H1191" s="12" t="n">
        <f aca="false">SUMPRODUCT(ПОТОКИ!B13:G13,ЧАСОВЫЕ_ПРОФИЛИ!B19:G19,КОЭФФИЦИЕНТЫ_ВЫБОРА!F13:K13)</f>
        <v>0.3438</v>
      </c>
      <c r="I1191" s="12" t="n">
        <f aca="false">SUMPRODUCT(ПОТОКИ!B13:G13,ЧАСОВЫЕ_ПРОФИЛИ!B19:G19,КОЭФФИЦИЕНТЫ_ВЫБОРА!F13:K13,ПАРАМЕТРЫ!$B$17:$G$17)</f>
        <v>0.37818</v>
      </c>
      <c r="J1191" s="12" t="n">
        <f aca="false">I1191*G1191/1000</f>
        <v>0.18909</v>
      </c>
      <c r="K1191" s="11" t="s">
        <v>217</v>
      </c>
      <c r="L1191" s="11" t="s">
        <v>19</v>
      </c>
      <c r="M1191" s="11" t="s">
        <v>145</v>
      </c>
    </row>
    <row r="1192" customFormat="false" ht="15" hidden="false" customHeight="false" outlineLevel="0" collapsed="false">
      <c r="A1192" s="11" t="s">
        <v>109</v>
      </c>
      <c r="B1192" s="11" t="s">
        <v>132</v>
      </c>
      <c r="C1192" s="11" t="n">
        <v>4</v>
      </c>
      <c r="D1192" s="11" t="s">
        <v>74</v>
      </c>
      <c r="E1192" s="11" t="s">
        <v>156</v>
      </c>
      <c r="F1192" s="11" t="s">
        <v>73</v>
      </c>
      <c r="G1192" s="12" t="n">
        <v>500</v>
      </c>
      <c r="H1192" s="12" t="n">
        <f aca="false">SUMPRODUCT(ПОТОКИ!B13:G13,ЧАСОВЫЕ_ПРОФИЛИ!B19:G19,КОЭФФИЦИЕНТЫ_ВЫБОРА!F14:K14)</f>
        <v>0.3956</v>
      </c>
      <c r="I1192" s="12" t="n">
        <f aca="false">SUMPRODUCT(ПОТОКИ!B13:G13,ЧАСОВЫЕ_ПРОФИЛИ!B19:G19,КОЭФФИЦИЕНТЫ_ВЫБОРА!F14:K14,ПАРАМЕТРЫ!$B$17:$G$17)</f>
        <v>0.43516</v>
      </c>
      <c r="J1192" s="12" t="n">
        <f aca="false">I1192*G1192/1000</f>
        <v>0.21758</v>
      </c>
      <c r="K1192" s="11" t="s">
        <v>217</v>
      </c>
      <c r="L1192" s="11" t="s">
        <v>19</v>
      </c>
      <c r="M1192" s="11" t="s">
        <v>145</v>
      </c>
    </row>
    <row r="1193" customFormat="false" ht="15" hidden="false" customHeight="false" outlineLevel="0" collapsed="false">
      <c r="A1193" s="11" t="s">
        <v>109</v>
      </c>
      <c r="B1193" s="11" t="s">
        <v>132</v>
      </c>
      <c r="C1193" s="11" t="n">
        <v>5</v>
      </c>
      <c r="D1193" s="11" t="s">
        <v>78</v>
      </c>
      <c r="E1193" s="11" t="s">
        <v>157</v>
      </c>
      <c r="F1193" s="11" t="s">
        <v>77</v>
      </c>
      <c r="G1193" s="12" t="n">
        <v>100</v>
      </c>
      <c r="H1193" s="12" t="n">
        <f aca="false">SUMPRODUCT(ПОТОКИ!B13:G13,ЧАСОВЫЕ_ПРОФИЛИ!B19:G19,КОЭФФИЦИЕНТЫ_ВЫБОРА!F15:K15)</f>
        <v>0.4332</v>
      </c>
      <c r="I1193" s="12" t="n">
        <f aca="false">SUMPRODUCT(ПОТОКИ!B13:G13,ЧАСОВЫЕ_ПРОФИЛИ!B19:G19,КОЭФФИЦИЕНТЫ_ВЫБОРА!F15:K15,ПАРАМЕТРЫ!$B$17:$G$17)</f>
        <v>0.47652</v>
      </c>
      <c r="J1193" s="12" t="n">
        <f aca="false">I1193*G1193/1000</f>
        <v>0.047652</v>
      </c>
      <c r="K1193" s="11" t="s">
        <v>217</v>
      </c>
      <c r="L1193" s="11" t="s">
        <v>19</v>
      </c>
      <c r="M1193" s="11" t="s">
        <v>147</v>
      </c>
    </row>
    <row r="1194" customFormat="false" ht="15" hidden="false" customHeight="false" outlineLevel="0" collapsed="false">
      <c r="A1194" s="11" t="s">
        <v>109</v>
      </c>
      <c r="B1194" s="11" t="s">
        <v>132</v>
      </c>
      <c r="C1194" s="11" t="n">
        <v>6</v>
      </c>
      <c r="D1194" s="11" t="s">
        <v>78</v>
      </c>
      <c r="E1194" s="11" t="s">
        <v>158</v>
      </c>
      <c r="F1194" s="11" t="s">
        <v>77</v>
      </c>
      <c r="G1194" s="12" t="n">
        <v>100</v>
      </c>
      <c r="H1194" s="12" t="n">
        <f aca="false">SUMPRODUCT(ПОТОКИ!B13:G13,ЧАСОВЫЕ_ПРОФИЛИ!B19:G19,КОЭФФИЦИЕНТЫ_ВЫБОРА!F16:K16)</f>
        <v>0.4104</v>
      </c>
      <c r="I1194" s="12" t="n">
        <f aca="false">SUMPRODUCT(ПОТОКИ!B13:G13,ЧАСОВЫЕ_ПРОФИЛИ!B19:G19,КОЭФФИЦИЕНТЫ_ВЫБОРА!F16:K16,ПАРАМЕТРЫ!$B$17:$G$17)</f>
        <v>0.45144</v>
      </c>
      <c r="J1194" s="12" t="n">
        <f aca="false">I1194*G1194/1000</f>
        <v>0.045144</v>
      </c>
      <c r="K1194" s="11" t="s">
        <v>217</v>
      </c>
      <c r="L1194" s="11" t="s">
        <v>19</v>
      </c>
      <c r="M1194" s="11" t="s">
        <v>147</v>
      </c>
    </row>
    <row r="1195" customFormat="false" ht="15" hidden="false" customHeight="false" outlineLevel="0" collapsed="false">
      <c r="A1195" s="11" t="s">
        <v>109</v>
      </c>
      <c r="B1195" s="11" t="s">
        <v>132</v>
      </c>
      <c r="C1195" s="11" t="n">
        <v>7</v>
      </c>
      <c r="D1195" s="11" t="s">
        <v>78</v>
      </c>
      <c r="E1195" s="11" t="s">
        <v>159</v>
      </c>
      <c r="F1195" s="11" t="s">
        <v>77</v>
      </c>
      <c r="G1195" s="12" t="n">
        <v>350</v>
      </c>
      <c r="H1195" s="12" t="n">
        <f aca="false">SUMPRODUCT(ПОТОКИ!B13:G13,ЧАСОВЫЕ_ПРОФИЛИ!B19:G19,КОЭФФИЦИЕНТЫ_ВЫБОРА!F17:K17)</f>
        <v>0.3534</v>
      </c>
      <c r="I1195" s="12" t="n">
        <f aca="false">SUMPRODUCT(ПОТОКИ!B13:G13,ЧАСОВЫЕ_ПРОФИЛИ!B19:G19,КОЭФФИЦИЕНТЫ_ВЫБОРА!F17:K17,ПАРАМЕТРЫ!$B$17:$G$17)</f>
        <v>0.38874</v>
      </c>
      <c r="J1195" s="12" t="n">
        <f aca="false">I1195*G1195/1000</f>
        <v>0.136059</v>
      </c>
      <c r="K1195" s="11" t="s">
        <v>217</v>
      </c>
      <c r="L1195" s="11" t="s">
        <v>19</v>
      </c>
      <c r="M1195" s="11" t="s">
        <v>147</v>
      </c>
    </row>
    <row r="1196" customFormat="false" ht="15" hidden="false" customHeight="false" outlineLevel="0" collapsed="false">
      <c r="A1196" s="11" t="s">
        <v>109</v>
      </c>
      <c r="B1196" s="11" t="s">
        <v>132</v>
      </c>
      <c r="C1196" s="11" t="n">
        <v>8</v>
      </c>
      <c r="D1196" s="11" t="s">
        <v>78</v>
      </c>
      <c r="E1196" s="11" t="s">
        <v>160</v>
      </c>
      <c r="F1196" s="11" t="s">
        <v>77</v>
      </c>
      <c r="G1196" s="12" t="n">
        <v>85</v>
      </c>
      <c r="H1196" s="12" t="n">
        <f aca="false">SUMPRODUCT(ПОТОКИ!B13:G13,ЧАСОВЫЕ_ПРОФИЛИ!B19:G19,КОЭФФИЦИЕНТЫ_ВЫБОРА!F18:K18)</f>
        <v>0.2166</v>
      </c>
      <c r="I1196" s="12" t="n">
        <f aca="false">SUMPRODUCT(ПОТОКИ!B13:G13,ЧАСОВЫЕ_ПРОФИЛИ!B19:G19,КОЭФФИЦИЕНТЫ_ВЫБОРА!F18:K18,ПАРАМЕТРЫ!$B$17:$G$17)</f>
        <v>0.23826</v>
      </c>
      <c r="J1196" s="12" t="n">
        <f aca="false">I1196*G1196/1000</f>
        <v>0.0202521</v>
      </c>
      <c r="K1196" s="11" t="s">
        <v>217</v>
      </c>
      <c r="L1196" s="11" t="s">
        <v>19</v>
      </c>
      <c r="M1196" s="11" t="s">
        <v>147</v>
      </c>
    </row>
    <row r="1197" customFormat="false" ht="15" hidden="false" customHeight="false" outlineLevel="0" collapsed="false">
      <c r="A1197" s="11" t="s">
        <v>109</v>
      </c>
      <c r="B1197" s="11" t="s">
        <v>132</v>
      </c>
      <c r="C1197" s="11" t="n">
        <v>9</v>
      </c>
      <c r="D1197" s="11" t="s">
        <v>161</v>
      </c>
      <c r="E1197" s="11" t="s">
        <v>162</v>
      </c>
      <c r="F1197" s="11" t="s">
        <v>80</v>
      </c>
      <c r="G1197" s="12" t="n">
        <v>300</v>
      </c>
      <c r="H1197" s="12" t="n">
        <f aca="false">SUMPRODUCT(ПОТОКИ!B13:G13,ЧАСОВЫЕ_ПРОФИЛИ!B19:G19,КОЭФФИЦИЕНТЫ_ВЫБОРА!F19:K19)</f>
        <v>0.164</v>
      </c>
      <c r="I1197" s="12" t="n">
        <f aca="false">SUMPRODUCT(ПОТОКИ!B13:G13,ЧАСОВЫЕ_ПРОФИЛИ!B19:G19,КОЭФФИЦИЕНТЫ_ВЫБОРА!F19:K19,ПАРАМЕТРЫ!$B$17:$G$17)</f>
        <v>0.1804</v>
      </c>
      <c r="J1197" s="12" t="n">
        <f aca="false">I1197*G1197/1000</f>
        <v>0.05412</v>
      </c>
      <c r="K1197" s="11" t="s">
        <v>217</v>
      </c>
      <c r="L1197" s="11" t="s">
        <v>19</v>
      </c>
      <c r="M1197" s="11" t="s">
        <v>145</v>
      </c>
    </row>
    <row r="1198" customFormat="false" ht="15" hidden="false" customHeight="false" outlineLevel="0" collapsed="false">
      <c r="A1198" s="11" t="s">
        <v>109</v>
      </c>
      <c r="B1198" s="11" t="s">
        <v>132</v>
      </c>
      <c r="C1198" s="11" t="n">
        <v>10</v>
      </c>
      <c r="D1198" s="11" t="s">
        <v>161</v>
      </c>
      <c r="E1198" s="11" t="s">
        <v>163</v>
      </c>
      <c r="F1198" s="11" t="s">
        <v>80</v>
      </c>
      <c r="G1198" s="12" t="n">
        <v>280</v>
      </c>
      <c r="H1198" s="12" t="n">
        <f aca="false">SUMPRODUCT(ПОТОКИ!B13:G13,ЧАСОВЫЕ_ПРОФИЛИ!B19:G19,КОЭФФИЦИЕНТЫ_ВЫБОРА!F20:K20)</f>
        <v>0.232</v>
      </c>
      <c r="I1198" s="12" t="n">
        <f aca="false">SUMPRODUCT(ПОТОКИ!B13:G13,ЧАСОВЫЕ_ПРОФИЛИ!B19:G19,КОЭФФИЦИЕНТЫ_ВЫБОРА!F20:K20,ПАРАМЕТРЫ!$B$17:$G$17)</f>
        <v>0.2552</v>
      </c>
      <c r="J1198" s="12" t="n">
        <f aca="false">I1198*G1198/1000</f>
        <v>0.071456</v>
      </c>
      <c r="K1198" s="11" t="s">
        <v>217</v>
      </c>
      <c r="L1198" s="11" t="s">
        <v>19</v>
      </c>
      <c r="M1198" s="11" t="s">
        <v>145</v>
      </c>
    </row>
    <row r="1199" customFormat="false" ht="15" hidden="false" customHeight="false" outlineLevel="0" collapsed="false">
      <c r="A1199" s="11" t="s">
        <v>109</v>
      </c>
      <c r="B1199" s="11" t="s">
        <v>132</v>
      </c>
      <c r="C1199" s="11" t="n">
        <v>11</v>
      </c>
      <c r="D1199" s="11" t="s">
        <v>161</v>
      </c>
      <c r="E1199" s="11" t="s">
        <v>164</v>
      </c>
      <c r="F1199" s="11" t="s">
        <v>80</v>
      </c>
      <c r="G1199" s="12" t="n">
        <v>270</v>
      </c>
      <c r="H1199" s="12" t="n">
        <f aca="false">SUMPRODUCT(ПОТОКИ!B13:G13,ЧАСОВЫЕ_ПРОФИЛИ!B19:G19,КОЭФФИЦИЕНТЫ_ВЫБОРА!F21:K21)</f>
        <v>0.4154</v>
      </c>
      <c r="I1199" s="12" t="n">
        <f aca="false">SUMPRODUCT(ПОТОКИ!B13:G13,ЧАСОВЫЕ_ПРОФИЛИ!B19:G19,КОЭФФИЦИЕНТЫ_ВЫБОРА!F21:K21,ПАРАМЕТРЫ!$B$17:$G$17)</f>
        <v>0.45694</v>
      </c>
      <c r="J1199" s="12" t="n">
        <f aca="false">I1199*G1199/1000</f>
        <v>0.1233738</v>
      </c>
      <c r="K1199" s="11" t="s">
        <v>217</v>
      </c>
      <c r="L1199" s="11" t="s">
        <v>19</v>
      </c>
      <c r="M1199" s="11" t="s">
        <v>145</v>
      </c>
    </row>
    <row r="1200" customFormat="false" ht="15" hidden="false" customHeight="false" outlineLevel="0" collapsed="false">
      <c r="A1200" s="11" t="s">
        <v>109</v>
      </c>
      <c r="B1200" s="11" t="s">
        <v>132</v>
      </c>
      <c r="C1200" s="11" t="n">
        <v>12</v>
      </c>
      <c r="D1200" s="11" t="s">
        <v>161</v>
      </c>
      <c r="E1200" s="11" t="s">
        <v>165</v>
      </c>
      <c r="F1200" s="11" t="s">
        <v>80</v>
      </c>
      <c r="G1200" s="12" t="n">
        <v>240</v>
      </c>
      <c r="H1200" s="12" t="n">
        <f aca="false">SUMPRODUCT(ПОТОКИ!B13:G13,ЧАСОВЫЕ_ПРОФИЛИ!B19:G19,КОЭФФИЦИЕНТЫ_ВЫБОРА!F22:K22)</f>
        <v>0.2526</v>
      </c>
      <c r="I1200" s="12" t="n">
        <f aca="false">SUMPRODUCT(ПОТОКИ!B13:G13,ЧАСОВЫЕ_ПРОФИЛИ!B19:G19,КОЭФФИЦИЕНТЫ_ВЫБОРА!F22:K22,ПАРАМЕТРЫ!$B$17:$G$17)</f>
        <v>0.27786</v>
      </c>
      <c r="J1200" s="12" t="n">
        <f aca="false">I1200*G1200/1000</f>
        <v>0.0666864</v>
      </c>
      <c r="K1200" s="11" t="s">
        <v>217</v>
      </c>
      <c r="L1200" s="11" t="s">
        <v>19</v>
      </c>
      <c r="M1200" s="11" t="s">
        <v>145</v>
      </c>
    </row>
    <row r="1201" customFormat="false" ht="15" hidden="false" customHeight="false" outlineLevel="0" collapsed="false">
      <c r="A1201" s="11" t="s">
        <v>109</v>
      </c>
      <c r="B1201" s="11" t="s">
        <v>132</v>
      </c>
      <c r="C1201" s="11" t="n">
        <v>13</v>
      </c>
      <c r="D1201" s="11" t="s">
        <v>166</v>
      </c>
      <c r="E1201" s="11" t="s">
        <v>167</v>
      </c>
      <c r="F1201" s="11" t="s">
        <v>80</v>
      </c>
      <c r="G1201" s="12" t="n">
        <v>130</v>
      </c>
      <c r="H1201" s="12" t="n">
        <f aca="false">SUMPRODUCT(ПОТОКИ!B13:G13,ЧАСОВЫЕ_ПРОФИЛИ!B19:G19,КОЭФФИЦИЕНТЫ_ВЫБОРА!F23:K23)</f>
        <v>0.084</v>
      </c>
      <c r="I1201" s="12" t="n">
        <f aca="false">SUMPRODUCT(ПОТОКИ!B13:G13,ЧАСОВЫЕ_ПРОФИЛИ!B19:G19,КОЭФФИЦИЕНТЫ_ВЫБОРА!F23:K23,ПАРАМЕТРЫ!$B$17:$G$17)</f>
        <v>0.0924</v>
      </c>
      <c r="J1201" s="12" t="n">
        <f aca="false">I1201*G1201/1000</f>
        <v>0.012012</v>
      </c>
      <c r="K1201" s="11" t="s">
        <v>217</v>
      </c>
      <c r="L1201" s="11" t="s">
        <v>19</v>
      </c>
      <c r="M1201" s="11" t="s">
        <v>145</v>
      </c>
    </row>
    <row r="1202" customFormat="false" ht="15" hidden="false" customHeight="false" outlineLevel="0" collapsed="false">
      <c r="A1202" s="11" t="s">
        <v>109</v>
      </c>
      <c r="B1202" s="11" t="s">
        <v>132</v>
      </c>
      <c r="C1202" s="11" t="n">
        <v>14</v>
      </c>
      <c r="D1202" s="11" t="s">
        <v>166</v>
      </c>
      <c r="E1202" s="11" t="s">
        <v>168</v>
      </c>
      <c r="F1202" s="11" t="s">
        <v>80</v>
      </c>
      <c r="G1202" s="12" t="n">
        <v>250</v>
      </c>
      <c r="H1202" s="12" t="n">
        <f aca="false">SUMPRODUCT(ПОТОКИ!B13:G13,ЧАСОВЫЕ_ПРОФИЛИ!B19:G19,КОЭФФИЦИЕНТЫ_ВЫБОРА!F24:K24)</f>
        <v>0.0884</v>
      </c>
      <c r="I1202" s="12" t="n">
        <f aca="false">SUMPRODUCT(ПОТОКИ!B13:G13,ЧАСОВЫЕ_ПРОФИЛИ!B19:G19,КОЭФФИЦИЕНТЫ_ВЫБОРА!F24:K24,ПАРАМЕТРЫ!$B$17:$G$17)</f>
        <v>0.09724</v>
      </c>
      <c r="J1202" s="12" t="n">
        <f aca="false">I1202*G1202/1000</f>
        <v>0.02431</v>
      </c>
      <c r="K1202" s="11" t="s">
        <v>217</v>
      </c>
      <c r="L1202" s="11" t="s">
        <v>19</v>
      </c>
      <c r="M1202" s="11" t="s">
        <v>145</v>
      </c>
    </row>
    <row r="1203" customFormat="false" ht="15" hidden="false" customHeight="false" outlineLevel="0" collapsed="false">
      <c r="A1203" s="11" t="s">
        <v>109</v>
      </c>
      <c r="B1203" s="11" t="s">
        <v>132</v>
      </c>
      <c r="C1203" s="11" t="n">
        <v>15</v>
      </c>
      <c r="D1203" s="11" t="s">
        <v>166</v>
      </c>
      <c r="E1203" s="11" t="s">
        <v>169</v>
      </c>
      <c r="F1203" s="11" t="s">
        <v>80</v>
      </c>
      <c r="G1203" s="12" t="n">
        <v>120</v>
      </c>
      <c r="H1203" s="12" t="n">
        <f aca="false">SUMPRODUCT(ПОТОКИ!B13:G13,ЧАСОВЫЕ_ПРОФИЛИ!B19:G19,КОЭФФИЦИЕНТЫ_ВЫБОРА!F25:K25)</f>
        <v>0.0584</v>
      </c>
      <c r="I1203" s="12" t="n">
        <f aca="false">SUMPRODUCT(ПОТОКИ!B13:G13,ЧАСОВЫЕ_ПРОФИЛИ!B19:G19,КОЭФФИЦИЕНТЫ_ВЫБОРА!F25:K25,ПАРАМЕТРЫ!$B$17:$G$17)</f>
        <v>0.06424</v>
      </c>
      <c r="J1203" s="12" t="n">
        <f aca="false">I1203*G1203/1000</f>
        <v>0.0077088</v>
      </c>
      <c r="K1203" s="11" t="s">
        <v>217</v>
      </c>
      <c r="L1203" s="11" t="s">
        <v>19</v>
      </c>
      <c r="M1203" s="11" t="s">
        <v>145</v>
      </c>
    </row>
    <row r="1204" customFormat="false" ht="15" hidden="false" customHeight="false" outlineLevel="0" collapsed="false">
      <c r="A1204" s="11" t="s">
        <v>109</v>
      </c>
      <c r="B1204" s="11" t="s">
        <v>132</v>
      </c>
      <c r="C1204" s="11" t="n">
        <v>16</v>
      </c>
      <c r="D1204" s="11" t="s">
        <v>166</v>
      </c>
      <c r="E1204" s="11" t="s">
        <v>170</v>
      </c>
      <c r="F1204" s="11" t="s">
        <v>80</v>
      </c>
      <c r="G1204" s="12" t="n">
        <v>180</v>
      </c>
      <c r="H1204" s="12" t="n">
        <f aca="false">SUMPRODUCT(ПОТОКИ!B13:G13,ЧАСОВЫЕ_ПРОФИЛИ!B19:G19,КОЭФФИЦИЕНТЫ_ВЫБОРА!F26:K26)</f>
        <v>0.1212</v>
      </c>
      <c r="I1204" s="12" t="n">
        <f aca="false">SUMPRODUCT(ПОТОКИ!B13:G13,ЧАСОВЫЕ_ПРОФИЛИ!B19:G19,КОЭФФИЦИЕНТЫ_ВЫБОРА!F26:K26,ПАРАМЕТРЫ!$B$17:$G$17)</f>
        <v>0.13332</v>
      </c>
      <c r="J1204" s="12" t="n">
        <f aca="false">I1204*G1204/1000</f>
        <v>0.0239976</v>
      </c>
      <c r="K1204" s="11" t="s">
        <v>217</v>
      </c>
      <c r="L1204" s="11" t="s">
        <v>19</v>
      </c>
      <c r="M1204" s="11" t="s">
        <v>145</v>
      </c>
    </row>
    <row r="1205" customFormat="false" ht="15" hidden="false" customHeight="false" outlineLevel="0" collapsed="false">
      <c r="A1205" s="11" t="s">
        <v>109</v>
      </c>
      <c r="B1205" s="11" t="s">
        <v>132</v>
      </c>
      <c r="C1205" s="11" t="n">
        <v>17</v>
      </c>
      <c r="D1205" s="11" t="s">
        <v>166</v>
      </c>
      <c r="E1205" s="11" t="s">
        <v>171</v>
      </c>
      <c r="F1205" s="11" t="s">
        <v>80</v>
      </c>
      <c r="G1205" s="12" t="n">
        <v>180</v>
      </c>
      <c r="H1205" s="12" t="n">
        <f aca="false">SUMPRODUCT(ПОТОКИ!B13:G13,ЧАСОВЫЕ_ПРОФИЛИ!B19:G19,КОЭФФИЦИЕНТЫ_ВЫБОРА!F27:K27)</f>
        <v>0.104</v>
      </c>
      <c r="I1205" s="12" t="n">
        <f aca="false">SUMPRODUCT(ПОТОКИ!B13:G13,ЧАСОВЫЕ_ПРОФИЛИ!B19:G19,КОЭФФИЦИЕНТЫ_ВЫБОРА!F27:K27,ПАРАМЕТРЫ!$B$17:$G$17)</f>
        <v>0.1144</v>
      </c>
      <c r="J1205" s="12" t="n">
        <f aca="false">I1205*G1205/1000</f>
        <v>0.020592</v>
      </c>
      <c r="K1205" s="11" t="s">
        <v>217</v>
      </c>
      <c r="L1205" s="11" t="s">
        <v>19</v>
      </c>
      <c r="M1205" s="11" t="s">
        <v>145</v>
      </c>
    </row>
    <row r="1206" customFormat="false" ht="15" hidden="false" customHeight="false" outlineLevel="0" collapsed="false">
      <c r="A1206" s="11" t="s">
        <v>109</v>
      </c>
      <c r="B1206" s="11" t="s">
        <v>132</v>
      </c>
      <c r="C1206" s="11" t="n">
        <v>18</v>
      </c>
      <c r="D1206" s="11" t="s">
        <v>172</v>
      </c>
      <c r="E1206" s="11" t="s">
        <v>173</v>
      </c>
      <c r="F1206" s="11" t="s">
        <v>83</v>
      </c>
      <c r="G1206" s="12" t="n">
        <v>400</v>
      </c>
      <c r="H1206" s="12" t="n">
        <f aca="false">SUMPRODUCT(ПОТОКИ!B13:G13,ЧАСОВЫЕ_ПРОФИЛИ!B19:G19,КОЭФФИЦИЕНТЫ_ВЫБОРА!F28:K28)</f>
        <v>0.828</v>
      </c>
      <c r="I1206" s="12" t="n">
        <f aca="false">SUMPRODUCT(ПОТОКИ!B13:G13,ЧАСОВЫЕ_ПРОФИЛИ!B19:G19,КОЭФФИЦИЕНТЫ_ВЫБОРА!F28:K28,ПАРАМЕТРЫ!$B$17:$G$17)</f>
        <v>0.9108</v>
      </c>
      <c r="J1206" s="12" t="n">
        <f aca="false">I1206*G1206/1000</f>
        <v>0.36432</v>
      </c>
      <c r="K1206" s="11" t="s">
        <v>217</v>
      </c>
      <c r="L1206" s="11" t="s">
        <v>19</v>
      </c>
      <c r="M1206" s="11" t="s">
        <v>145</v>
      </c>
    </row>
    <row r="1207" customFormat="false" ht="23.85" hidden="false" customHeight="false" outlineLevel="0" collapsed="false">
      <c r="A1207" s="11" t="s">
        <v>109</v>
      </c>
      <c r="B1207" s="11" t="s">
        <v>132</v>
      </c>
      <c r="C1207" s="11" t="n">
        <v>19</v>
      </c>
      <c r="D1207" s="11" t="s">
        <v>174</v>
      </c>
      <c r="E1207" s="11" t="s">
        <v>175</v>
      </c>
      <c r="F1207" s="11" t="s">
        <v>83</v>
      </c>
      <c r="G1207" s="12" t="n">
        <v>300</v>
      </c>
      <c r="H1207" s="12" t="n">
        <f aca="false">SUMPRODUCT(ПОТОКИ!B13:G13,ЧАСОВЫЕ_ПРОФИЛИ!B19:G19,КОЭФФИЦИЕНТЫ_ВЫБОРА!F29:K29)</f>
        <v>0.754</v>
      </c>
      <c r="I1207" s="12" t="n">
        <f aca="false">SUMPRODUCT(ПОТОКИ!B13:G13,ЧАСОВЫЕ_ПРОФИЛИ!B19:G19,КОЭФФИЦИЕНТЫ_ВЫБОРА!F29:K29,ПАРАМЕТРЫ!$B$17:$G$17)</f>
        <v>0.8294</v>
      </c>
      <c r="J1207" s="12" t="n">
        <f aca="false">I1207*G1207/1000</f>
        <v>0.24882</v>
      </c>
      <c r="K1207" s="11" t="s">
        <v>217</v>
      </c>
      <c r="L1207" s="11" t="s">
        <v>19</v>
      </c>
      <c r="M1207" s="11" t="s">
        <v>145</v>
      </c>
    </row>
    <row r="1208" customFormat="false" ht="15" hidden="false" customHeight="false" outlineLevel="0" collapsed="false">
      <c r="A1208" s="11" t="s">
        <v>109</v>
      </c>
      <c r="B1208" s="11" t="s">
        <v>132</v>
      </c>
      <c r="C1208" s="11" t="n">
        <v>20</v>
      </c>
      <c r="D1208" s="11" t="s">
        <v>174</v>
      </c>
      <c r="E1208" s="11" t="s">
        <v>176</v>
      </c>
      <c r="F1208" s="11" t="s">
        <v>83</v>
      </c>
      <c r="G1208" s="12" t="n">
        <v>360</v>
      </c>
      <c r="H1208" s="12" t="n">
        <f aca="false">SUMPRODUCT(ПОТОКИ!B13:G13,ЧАСОВЫЕ_ПРОФИЛИ!B19:G19,КОЭФФИЦИЕНТЫ_ВЫБОРА!F30:K30)</f>
        <v>0.5864</v>
      </c>
      <c r="I1208" s="12" t="n">
        <f aca="false">SUMPRODUCT(ПОТОКИ!B13:G13,ЧАСОВЫЕ_ПРОФИЛИ!B19:G19,КОЭФФИЦИЕНТЫ_ВЫБОРА!F30:K30,ПАРАМЕТРЫ!$B$17:$G$17)</f>
        <v>0.64504</v>
      </c>
      <c r="J1208" s="12" t="n">
        <f aca="false">I1208*G1208/1000</f>
        <v>0.2322144</v>
      </c>
      <c r="K1208" s="11" t="s">
        <v>217</v>
      </c>
      <c r="L1208" s="11" t="s">
        <v>19</v>
      </c>
      <c r="M1208" s="11" t="s">
        <v>145</v>
      </c>
    </row>
    <row r="1209" customFormat="false" ht="15" hidden="false" customHeight="false" outlineLevel="0" collapsed="false">
      <c r="A1209" s="11" t="s">
        <v>109</v>
      </c>
      <c r="B1209" s="11" t="s">
        <v>132</v>
      </c>
      <c r="C1209" s="11" t="n">
        <v>21</v>
      </c>
      <c r="D1209" s="11" t="s">
        <v>174</v>
      </c>
      <c r="E1209" s="11" t="s">
        <v>177</v>
      </c>
      <c r="F1209" s="11" t="s">
        <v>83</v>
      </c>
      <c r="G1209" s="12" t="n">
        <v>350</v>
      </c>
      <c r="H1209" s="12" t="n">
        <f aca="false">SUMPRODUCT(ПОТОКИ!B13:G13,ЧАСОВЫЕ_ПРОФИЛИ!B19:G19,КОЭФФИЦИЕНТЫ_ВЫБОРА!F31:K31)</f>
        <v>0.9666</v>
      </c>
      <c r="I1209" s="12" t="n">
        <f aca="false">SUMPRODUCT(ПОТОКИ!B13:G13,ЧАСОВЫЕ_ПРОФИЛИ!B19:G19,КОЭФФИЦИЕНТЫ_ВЫБОРА!F31:K31,ПАРАМЕТРЫ!$B$17:$G$17)</f>
        <v>1.06326</v>
      </c>
      <c r="J1209" s="12" t="n">
        <f aca="false">I1209*G1209/1000</f>
        <v>0.372141</v>
      </c>
      <c r="K1209" s="11" t="s">
        <v>217</v>
      </c>
      <c r="L1209" s="11" t="s">
        <v>19</v>
      </c>
      <c r="M1209" s="11" t="s">
        <v>145</v>
      </c>
    </row>
    <row r="1210" customFormat="false" ht="15" hidden="false" customHeight="false" outlineLevel="0" collapsed="false">
      <c r="A1210" s="11" t="s">
        <v>109</v>
      </c>
      <c r="B1210" s="11" t="s">
        <v>132</v>
      </c>
      <c r="C1210" s="11" t="n">
        <v>22</v>
      </c>
      <c r="D1210" s="11" t="s">
        <v>174</v>
      </c>
      <c r="E1210" s="11" t="s">
        <v>178</v>
      </c>
      <c r="F1210" s="11" t="s">
        <v>83</v>
      </c>
      <c r="G1210" s="12" t="n">
        <v>300</v>
      </c>
      <c r="H1210" s="12" t="n">
        <f aca="false">SUMPRODUCT(ПОТОКИ!B13:G13,ЧАСОВЫЕ_ПРОФИЛИ!B19:G19,КОЭФФИЦИЕНТЫ_ВЫБОРА!F32:K32)</f>
        <v>0.505</v>
      </c>
      <c r="I1210" s="12" t="n">
        <f aca="false">SUMPRODUCT(ПОТОКИ!B13:G13,ЧАСОВЫЕ_ПРОФИЛИ!B19:G19,КОЭФФИЦИЕНТЫ_ВЫБОРА!F32:K32,ПАРАМЕТРЫ!$B$17:$G$17)</f>
        <v>0.5555</v>
      </c>
      <c r="J1210" s="12" t="n">
        <f aca="false">I1210*G1210/1000</f>
        <v>0.16665</v>
      </c>
      <c r="K1210" s="11" t="s">
        <v>217</v>
      </c>
      <c r="L1210" s="11" t="s">
        <v>19</v>
      </c>
      <c r="M1210" s="11" t="s">
        <v>145</v>
      </c>
    </row>
    <row r="1211" customFormat="false" ht="15" hidden="false" customHeight="false" outlineLevel="0" collapsed="false">
      <c r="A1211" s="11" t="s">
        <v>109</v>
      </c>
      <c r="B1211" s="11" t="s">
        <v>132</v>
      </c>
      <c r="C1211" s="11" t="n">
        <v>23</v>
      </c>
      <c r="D1211" s="11" t="s">
        <v>86</v>
      </c>
      <c r="E1211" s="11" t="s">
        <v>179</v>
      </c>
      <c r="F1211" s="11" t="s">
        <v>85</v>
      </c>
      <c r="G1211" s="12" t="n">
        <v>150</v>
      </c>
      <c r="H1211" s="12" t="n">
        <f aca="false">SUMPRODUCT(ПОТОКИ!B13:G13,ЧАСОВЫЕ_ПРОФИЛИ!B19:G19,КОЭФФИЦИЕНТЫ_ВЫБОРА!F33:K33)</f>
        <v>0.669326</v>
      </c>
      <c r="I1211" s="12" t="n">
        <f aca="false">SUMPRODUCT(ПОТОКИ!B13:G13,ЧАСОВЫЕ_ПРОФИЛИ!B19:G19,КОЭФФИЦИЕНТЫ_ВЫБОРА!F33:K33,ПАРАМЕТРЫ!$B$17:$G$17)</f>
        <v>0.7362586</v>
      </c>
      <c r="J1211" s="12" t="n">
        <f aca="false">I1211*G1211/1000</f>
        <v>0.11043879</v>
      </c>
      <c r="K1211" s="11" t="s">
        <v>217</v>
      </c>
      <c r="L1211" s="11" t="s">
        <v>19</v>
      </c>
      <c r="M1211" s="11" t="s">
        <v>147</v>
      </c>
    </row>
    <row r="1212" customFormat="false" ht="15" hidden="false" customHeight="false" outlineLevel="0" collapsed="false">
      <c r="A1212" s="11" t="s">
        <v>109</v>
      </c>
      <c r="B1212" s="11" t="s">
        <v>132</v>
      </c>
      <c r="C1212" s="11" t="n">
        <v>24</v>
      </c>
      <c r="D1212" s="11" t="s">
        <v>86</v>
      </c>
      <c r="E1212" s="11" t="s">
        <v>180</v>
      </c>
      <c r="F1212" s="11" t="s">
        <v>85</v>
      </c>
      <c r="G1212" s="12" t="n">
        <v>150</v>
      </c>
      <c r="H1212" s="12" t="n">
        <f aca="false">SUMPRODUCT(ПОТОКИ!B13:G13,ЧАСОВЫЕ_ПРОФИЛИ!B19:G19,КОЭФФИЦИЕНТЫ_ВЫБОРА!F34:K34)</f>
        <v>0.287788</v>
      </c>
      <c r="I1212" s="12" t="n">
        <f aca="false">SUMPRODUCT(ПОТОКИ!B13:G13,ЧАСОВЫЕ_ПРОФИЛИ!B19:G19,КОЭФФИЦИЕНТЫ_ВЫБОРА!F34:K34,ПАРАМЕТРЫ!$B$17:$G$17)</f>
        <v>0.3165668</v>
      </c>
      <c r="J1212" s="12" t="n">
        <f aca="false">I1212*G1212/1000</f>
        <v>0.04748502</v>
      </c>
      <c r="K1212" s="11" t="s">
        <v>217</v>
      </c>
      <c r="L1212" s="11" t="s">
        <v>19</v>
      </c>
      <c r="M1212" s="11" t="s">
        <v>147</v>
      </c>
    </row>
    <row r="1213" customFormat="false" ht="15" hidden="false" customHeight="false" outlineLevel="0" collapsed="false">
      <c r="A1213" s="11" t="s">
        <v>109</v>
      </c>
      <c r="B1213" s="11" t="s">
        <v>132</v>
      </c>
      <c r="C1213" s="11" t="n">
        <v>25</v>
      </c>
      <c r="D1213" s="11" t="s">
        <v>86</v>
      </c>
      <c r="E1213" s="11" t="s">
        <v>181</v>
      </c>
      <c r="F1213" s="11" t="s">
        <v>85</v>
      </c>
      <c r="G1213" s="12" t="n">
        <v>150</v>
      </c>
      <c r="H1213" s="12" t="n">
        <f aca="false">SUMPRODUCT(ПОТОКИ!B13:G13,ЧАСОВЫЕ_ПРОФИЛИ!B19:G19,КОЭФФИЦИЕНТЫ_ВЫБОРА!F35:K35)</f>
        <v>0.481826</v>
      </c>
      <c r="I1213" s="12" t="n">
        <f aca="false">SUMPRODUCT(ПОТОКИ!B13:G13,ЧАСОВЫЕ_ПРОФИЛИ!B19:G19,КОЭФФИЦИЕНТЫ_ВЫБОРА!F35:K35,ПАРАМЕТРЫ!$B$17:$G$17)</f>
        <v>0.5300086</v>
      </c>
      <c r="J1213" s="12" t="n">
        <f aca="false">I1213*G1213/1000</f>
        <v>0.07950129</v>
      </c>
      <c r="K1213" s="11" t="s">
        <v>217</v>
      </c>
      <c r="L1213" s="11" t="s">
        <v>19</v>
      </c>
      <c r="M1213" s="11" t="s">
        <v>147</v>
      </c>
    </row>
    <row r="1214" customFormat="false" ht="23.85" hidden="false" customHeight="false" outlineLevel="0" collapsed="false">
      <c r="A1214" s="11" t="s">
        <v>109</v>
      </c>
      <c r="B1214" s="11" t="s">
        <v>132</v>
      </c>
      <c r="C1214" s="11" t="n">
        <v>26</v>
      </c>
      <c r="D1214" s="11" t="s">
        <v>89</v>
      </c>
      <c r="E1214" s="11" t="s">
        <v>182</v>
      </c>
      <c r="F1214" s="11" t="s">
        <v>88</v>
      </c>
      <c r="G1214" s="12" t="n">
        <v>225</v>
      </c>
      <c r="H1214" s="12" t="n">
        <f aca="false">SUMPRODUCT(ПОТОКИ!B13:G13,ЧАСОВЫЕ_ПРОФИЛИ!B19:G19,КОЭФФИЦИЕНТЫ_ВЫБОРА!F36:K36)</f>
        <v>0</v>
      </c>
      <c r="I1214" s="12" t="n">
        <f aca="false">SUMPRODUCT(ПОТОКИ!B13:G13,ЧАСОВЫЕ_ПРОФИЛИ!B19:G19,КОЭФФИЦИЕНТЫ_ВЫБОРА!F36:K36,ПАРАМЕТРЫ!$B$17:$G$17)</f>
        <v>0</v>
      </c>
      <c r="J1214" s="12" t="n">
        <f aca="false">I1214*G1214/1000</f>
        <v>0</v>
      </c>
      <c r="K1214" s="11" t="s">
        <v>217</v>
      </c>
      <c r="L1214" s="11" t="s">
        <v>19</v>
      </c>
      <c r="M1214" s="11" t="s">
        <v>145</v>
      </c>
    </row>
    <row r="1215" customFormat="false" ht="23.85" hidden="false" customHeight="false" outlineLevel="0" collapsed="false">
      <c r="A1215" s="11" t="s">
        <v>109</v>
      </c>
      <c r="B1215" s="11" t="s">
        <v>132</v>
      </c>
      <c r="C1215" s="11" t="n">
        <v>27</v>
      </c>
      <c r="D1215" s="11" t="s">
        <v>89</v>
      </c>
      <c r="E1215" s="11" t="s">
        <v>183</v>
      </c>
      <c r="F1215" s="11" t="s">
        <v>88</v>
      </c>
      <c r="G1215" s="12" t="n">
        <v>265</v>
      </c>
      <c r="H1215" s="12" t="n">
        <f aca="false">SUMPRODUCT(ПОТОКИ!B13:G13,ЧАСОВЫЕ_ПРОФИЛИ!B19:G19,КОЭФФИЦИЕНТЫ_ВЫБОРА!F37:K37)</f>
        <v>0</v>
      </c>
      <c r="I1215" s="12" t="n">
        <f aca="false">SUMPRODUCT(ПОТОКИ!B13:G13,ЧАСОВЫЕ_ПРОФИЛИ!B19:G19,КОЭФФИЦИЕНТЫ_ВЫБОРА!F37:K37,ПАРАМЕТРЫ!$B$17:$G$17)</f>
        <v>0</v>
      </c>
      <c r="J1215" s="12" t="n">
        <f aca="false">I1215*G1215/1000</f>
        <v>0</v>
      </c>
      <c r="K1215" s="11" t="s">
        <v>217</v>
      </c>
      <c r="L1215" s="11" t="s">
        <v>19</v>
      </c>
      <c r="M1215" s="11" t="s">
        <v>145</v>
      </c>
    </row>
    <row r="1216" customFormat="false" ht="23.85" hidden="false" customHeight="false" outlineLevel="0" collapsed="false">
      <c r="A1216" s="11" t="s">
        <v>109</v>
      </c>
      <c r="B1216" s="11" t="s">
        <v>132</v>
      </c>
      <c r="C1216" s="11" t="n">
        <v>28</v>
      </c>
      <c r="D1216" s="11" t="s">
        <v>89</v>
      </c>
      <c r="E1216" s="11" t="s">
        <v>184</v>
      </c>
      <c r="F1216" s="11" t="s">
        <v>88</v>
      </c>
      <c r="G1216" s="12" t="n">
        <v>355</v>
      </c>
      <c r="H1216" s="12" t="n">
        <f aca="false">SUMPRODUCT(ПОТОКИ!B13:G13,ЧАСОВЫЕ_ПРОФИЛИ!B19:G19,КОЭФФИЦИЕНТЫ_ВЫБОРА!F38:K38)</f>
        <v>0</v>
      </c>
      <c r="I1216" s="12" t="n">
        <f aca="false">SUMPRODUCT(ПОТОКИ!B13:G13,ЧАСОВЫЕ_ПРОФИЛИ!B19:G19,КОЭФФИЦИЕНТЫ_ВЫБОРА!F38:K38,ПАРАМЕТРЫ!$B$17:$G$17)</f>
        <v>0</v>
      </c>
      <c r="J1216" s="12" t="n">
        <f aca="false">I1216*G1216/1000</f>
        <v>0</v>
      </c>
      <c r="K1216" s="11" t="s">
        <v>217</v>
      </c>
      <c r="L1216" s="11" t="s">
        <v>19</v>
      </c>
      <c r="M1216" s="11" t="s">
        <v>145</v>
      </c>
    </row>
    <row r="1217" customFormat="false" ht="15" hidden="false" customHeight="false" outlineLevel="0" collapsed="false">
      <c r="A1217" s="11" t="s">
        <v>109</v>
      </c>
      <c r="B1217" s="11" t="s">
        <v>132</v>
      </c>
      <c r="C1217" s="11" t="n">
        <v>29</v>
      </c>
      <c r="D1217" s="11" t="s">
        <v>92</v>
      </c>
      <c r="E1217" s="11" t="s">
        <v>185</v>
      </c>
      <c r="F1217" s="11" t="s">
        <v>91</v>
      </c>
      <c r="G1217" s="12" t="n">
        <v>150</v>
      </c>
      <c r="H1217" s="12" t="n">
        <f aca="false">SUMPRODUCT(ПОТОКИ!B13:G13,ЧАСОВЫЕ_ПРОФИЛИ!B19:G19,КОЭФФИЦИЕНТЫ_ВЫБОРА!F39:K39)</f>
        <v>0.2388</v>
      </c>
      <c r="I1217" s="12" t="n">
        <f aca="false">SUMPRODUCT(ПОТОКИ!B13:G13,ЧАСОВЫЕ_ПРОФИЛИ!B19:G19,КОЭФФИЦИЕНТЫ_ВЫБОРА!F39:K39,ПАРАМЕТРЫ!$B$17:$G$17)</f>
        <v>0.26268</v>
      </c>
      <c r="J1217" s="12" t="n">
        <f aca="false">I1217*G1217/1000</f>
        <v>0.039402</v>
      </c>
      <c r="K1217" s="11" t="s">
        <v>217</v>
      </c>
      <c r="L1217" s="11" t="s">
        <v>19</v>
      </c>
      <c r="M1217" s="11" t="s">
        <v>145</v>
      </c>
    </row>
    <row r="1218" customFormat="false" ht="15" hidden="false" customHeight="false" outlineLevel="0" collapsed="false">
      <c r="A1218" s="11" t="s">
        <v>109</v>
      </c>
      <c r="B1218" s="11" t="s">
        <v>132</v>
      </c>
      <c r="C1218" s="11" t="n">
        <v>30</v>
      </c>
      <c r="D1218" s="11" t="s">
        <v>92</v>
      </c>
      <c r="E1218" s="11" t="s">
        <v>186</v>
      </c>
      <c r="F1218" s="11" t="s">
        <v>91</v>
      </c>
      <c r="G1218" s="12" t="n">
        <v>120</v>
      </c>
      <c r="H1218" s="12" t="n">
        <f aca="false">SUMPRODUCT(ПОТОКИ!B13:G13,ЧАСОВЫЕ_ПРОФИЛИ!B19:G19,КОЭФФИЦИЕНТЫ_ВЫБОРА!F40:K40)</f>
        <v>0.2388</v>
      </c>
      <c r="I1218" s="12" t="n">
        <f aca="false">SUMPRODUCT(ПОТОКИ!B13:G13,ЧАСОВЫЕ_ПРОФИЛИ!B19:G19,КОЭФФИЦИЕНТЫ_ВЫБОРА!F40:K40,ПАРАМЕТРЫ!$B$17:$G$17)</f>
        <v>0.26268</v>
      </c>
      <c r="J1218" s="12" t="n">
        <f aca="false">I1218*G1218/1000</f>
        <v>0.0315216</v>
      </c>
      <c r="K1218" s="11" t="s">
        <v>217</v>
      </c>
      <c r="L1218" s="11" t="s">
        <v>19</v>
      </c>
      <c r="M1218" s="11" t="s">
        <v>145</v>
      </c>
    </row>
    <row r="1219" customFormat="false" ht="15" hidden="false" customHeight="false" outlineLevel="0" collapsed="false">
      <c r="A1219" s="11" t="s">
        <v>109</v>
      </c>
      <c r="B1219" s="11" t="s">
        <v>132</v>
      </c>
      <c r="C1219" s="11" t="n">
        <v>31</v>
      </c>
      <c r="D1219" s="11" t="s">
        <v>92</v>
      </c>
      <c r="E1219" s="11" t="s">
        <v>187</v>
      </c>
      <c r="F1219" s="11" t="s">
        <v>91</v>
      </c>
      <c r="G1219" s="12" t="n">
        <v>60</v>
      </c>
      <c r="H1219" s="12" t="n">
        <f aca="false">SUMPRODUCT(ПОТОКИ!B13:G13,ЧАСОВЫЕ_ПРОФИЛИ!B19:G19,КОЭФФИЦИЕНТЫ_ВЫБОРА!F41:K41)</f>
        <v>0.2544</v>
      </c>
      <c r="I1219" s="12" t="n">
        <f aca="false">SUMPRODUCT(ПОТОКИ!B13:G13,ЧАСОВЫЕ_ПРОФИЛИ!B19:G19,КОЭФФИЦИЕНТЫ_ВЫБОРА!F41:K41,ПАРАМЕТРЫ!$B$17:$G$17)</f>
        <v>0.27984</v>
      </c>
      <c r="J1219" s="12" t="n">
        <f aca="false">I1219*G1219/1000</f>
        <v>0.0167904</v>
      </c>
      <c r="K1219" s="11" t="s">
        <v>217</v>
      </c>
      <c r="L1219" s="11" t="s">
        <v>19</v>
      </c>
      <c r="M1219" s="11" t="s">
        <v>145</v>
      </c>
    </row>
    <row r="1220" customFormat="false" ht="15" hidden="false" customHeight="false" outlineLevel="0" collapsed="false">
      <c r="A1220" s="11" t="s">
        <v>109</v>
      </c>
      <c r="B1220" s="11" t="s">
        <v>133</v>
      </c>
      <c r="C1220" s="11" t="n">
        <v>1</v>
      </c>
      <c r="D1220" s="11" t="s">
        <v>74</v>
      </c>
      <c r="E1220" s="11" t="s">
        <v>153</v>
      </c>
      <c r="F1220" s="11" t="s">
        <v>73</v>
      </c>
      <c r="G1220" s="12" t="n">
        <v>450</v>
      </c>
      <c r="H1220" s="12" t="n">
        <f aca="false">SUMPRODUCT(ПОТОКИ!B13:G13,ЧАСОВЫЕ_ПРОФИЛИ!B20:G20,КОЭФФИЦИЕНТЫ_ВЫБОРА!F11:K11)</f>
        <v>0.0924</v>
      </c>
      <c r="I1220" s="12" t="n">
        <f aca="false">SUMPRODUCT(ПОТОКИ!B13:G13,ЧАСОВЫЕ_ПРОФИЛИ!B20:G20,КОЭФФИЦИЕНТЫ_ВЫБОРА!F11:K11,ПАРАМЕТРЫ!$B$17:$G$17)</f>
        <v>0.10164</v>
      </c>
      <c r="J1220" s="12" t="n">
        <f aca="false">I1220*G1220/1000</f>
        <v>0.045738</v>
      </c>
      <c r="K1220" s="11" t="s">
        <v>217</v>
      </c>
      <c r="L1220" s="11" t="s">
        <v>19</v>
      </c>
      <c r="M1220" s="11" t="s">
        <v>145</v>
      </c>
    </row>
    <row r="1221" customFormat="false" ht="15" hidden="false" customHeight="false" outlineLevel="0" collapsed="false">
      <c r="A1221" s="11" t="s">
        <v>109</v>
      </c>
      <c r="B1221" s="11" t="s">
        <v>133</v>
      </c>
      <c r="C1221" s="11" t="n">
        <v>2</v>
      </c>
      <c r="D1221" s="11" t="s">
        <v>74</v>
      </c>
      <c r="E1221" s="11" t="s">
        <v>154</v>
      </c>
      <c r="F1221" s="11" t="s">
        <v>73</v>
      </c>
      <c r="G1221" s="12" t="n">
        <v>480</v>
      </c>
      <c r="H1221" s="12" t="n">
        <f aca="false">SUMPRODUCT(ПОТОКИ!B13:G13,ЧАСОВЫЕ_ПРОФИЛИ!B20:G20,КОЭФФИЦИЕНТЫ_ВЫБОРА!F12:K12)</f>
        <v>0.1592</v>
      </c>
      <c r="I1221" s="12" t="n">
        <f aca="false">SUMPRODUCT(ПОТОКИ!B13:G13,ЧАСОВЫЕ_ПРОФИЛИ!B20:G20,КОЭФФИЦИЕНТЫ_ВЫБОРА!F12:K12,ПАРАМЕТРЫ!$B$17:$G$17)</f>
        <v>0.17512</v>
      </c>
      <c r="J1221" s="12" t="n">
        <f aca="false">I1221*G1221/1000</f>
        <v>0.0840576</v>
      </c>
      <c r="K1221" s="11" t="s">
        <v>217</v>
      </c>
      <c r="L1221" s="11" t="s">
        <v>19</v>
      </c>
      <c r="M1221" s="11" t="s">
        <v>145</v>
      </c>
    </row>
    <row r="1222" customFormat="false" ht="15" hidden="false" customHeight="false" outlineLevel="0" collapsed="false">
      <c r="A1222" s="11" t="s">
        <v>109</v>
      </c>
      <c r="B1222" s="11" t="s">
        <v>133</v>
      </c>
      <c r="C1222" s="11" t="n">
        <v>3</v>
      </c>
      <c r="D1222" s="11" t="s">
        <v>74</v>
      </c>
      <c r="E1222" s="11" t="s">
        <v>155</v>
      </c>
      <c r="F1222" s="11" t="s">
        <v>73</v>
      </c>
      <c r="G1222" s="12" t="n">
        <v>500</v>
      </c>
      <c r="H1222" s="12" t="n">
        <f aca="false">SUMPRODUCT(ПОТОКИ!B13:G13,ЧАСОВЫЕ_ПРОФИЛИ!B20:G20,КОЭФФИЦИЕНТЫ_ВЫБОРА!F13:K13)</f>
        <v>0.2388</v>
      </c>
      <c r="I1222" s="12" t="n">
        <f aca="false">SUMPRODUCT(ПОТОКИ!B13:G13,ЧАСОВЫЕ_ПРОФИЛИ!B20:G20,КОЭФФИЦИЕНТЫ_ВЫБОРА!F13:K13,ПАРАМЕТРЫ!$B$17:$G$17)</f>
        <v>0.26268</v>
      </c>
      <c r="J1222" s="12" t="n">
        <f aca="false">I1222*G1222/1000</f>
        <v>0.13134</v>
      </c>
      <c r="K1222" s="11" t="s">
        <v>217</v>
      </c>
      <c r="L1222" s="11" t="s">
        <v>19</v>
      </c>
      <c r="M1222" s="11" t="s">
        <v>145</v>
      </c>
    </row>
    <row r="1223" customFormat="false" ht="15" hidden="false" customHeight="false" outlineLevel="0" collapsed="false">
      <c r="A1223" s="11" t="s">
        <v>109</v>
      </c>
      <c r="B1223" s="11" t="s">
        <v>133</v>
      </c>
      <c r="C1223" s="11" t="n">
        <v>4</v>
      </c>
      <c r="D1223" s="11" t="s">
        <v>74</v>
      </c>
      <c r="E1223" s="11" t="s">
        <v>156</v>
      </c>
      <c r="F1223" s="11" t="s">
        <v>73</v>
      </c>
      <c r="G1223" s="12" t="n">
        <v>500</v>
      </c>
      <c r="H1223" s="12" t="n">
        <f aca="false">SUMPRODUCT(ПОТОКИ!B13:G13,ЧАСОВЫЕ_ПРОФИЛИ!B20:G20,КОЭФФИЦИЕНТЫ_ВЫБОРА!F14:K14)</f>
        <v>0.3056</v>
      </c>
      <c r="I1223" s="12" t="n">
        <f aca="false">SUMPRODUCT(ПОТОКИ!B13:G13,ЧАСОВЫЕ_ПРОФИЛИ!B20:G20,КОЭФФИЦИЕНТЫ_ВЫБОРА!F14:K14,ПАРАМЕТРЫ!$B$17:$G$17)</f>
        <v>0.33616</v>
      </c>
      <c r="J1223" s="12" t="n">
        <f aca="false">I1223*G1223/1000</f>
        <v>0.16808</v>
      </c>
      <c r="K1223" s="11" t="s">
        <v>217</v>
      </c>
      <c r="L1223" s="11" t="s">
        <v>19</v>
      </c>
      <c r="M1223" s="11" t="s">
        <v>145</v>
      </c>
    </row>
    <row r="1224" customFormat="false" ht="15" hidden="false" customHeight="false" outlineLevel="0" collapsed="false">
      <c r="A1224" s="11" t="s">
        <v>109</v>
      </c>
      <c r="B1224" s="11" t="s">
        <v>133</v>
      </c>
      <c r="C1224" s="11" t="n">
        <v>5</v>
      </c>
      <c r="D1224" s="11" t="s">
        <v>78</v>
      </c>
      <c r="E1224" s="11" t="s">
        <v>157</v>
      </c>
      <c r="F1224" s="11" t="s">
        <v>77</v>
      </c>
      <c r="G1224" s="12" t="n">
        <v>100</v>
      </c>
      <c r="H1224" s="12" t="n">
        <f aca="false">SUMPRODUCT(ПОТОКИ!B13:G13,ЧАСОВЫЕ_ПРОФИЛИ!B20:G20,КОЭФФИЦИЕНТЫ_ВЫБОРА!F15:K15)</f>
        <v>0.3932</v>
      </c>
      <c r="I1224" s="12" t="n">
        <f aca="false">SUMPRODUCT(ПОТОКИ!B13:G13,ЧАСОВЫЕ_ПРОФИЛИ!B20:G20,КОЭФФИЦИЕНТЫ_ВЫБОРА!F15:K15,ПАРАМЕТРЫ!$B$17:$G$17)</f>
        <v>0.43252</v>
      </c>
      <c r="J1224" s="12" t="n">
        <f aca="false">I1224*G1224/1000</f>
        <v>0.043252</v>
      </c>
      <c r="K1224" s="11" t="s">
        <v>217</v>
      </c>
      <c r="L1224" s="11" t="s">
        <v>19</v>
      </c>
      <c r="M1224" s="11" t="s">
        <v>147</v>
      </c>
    </row>
    <row r="1225" customFormat="false" ht="15" hidden="false" customHeight="false" outlineLevel="0" collapsed="false">
      <c r="A1225" s="11" t="s">
        <v>109</v>
      </c>
      <c r="B1225" s="11" t="s">
        <v>133</v>
      </c>
      <c r="C1225" s="11" t="n">
        <v>6</v>
      </c>
      <c r="D1225" s="11" t="s">
        <v>78</v>
      </c>
      <c r="E1225" s="11" t="s">
        <v>158</v>
      </c>
      <c r="F1225" s="11" t="s">
        <v>77</v>
      </c>
      <c r="G1225" s="12" t="n">
        <v>100</v>
      </c>
      <c r="H1225" s="12" t="n">
        <f aca="false">SUMPRODUCT(ПОТОКИ!B13:G13,ЧАСОВЫЕ_ПРОФИЛИ!B20:G20,КОЭФФИЦИЕНТЫ_ВЫБОРА!F16:K16)</f>
        <v>0.3804</v>
      </c>
      <c r="I1225" s="12" t="n">
        <f aca="false">SUMPRODUCT(ПОТОКИ!B13:G13,ЧАСОВЫЕ_ПРОФИЛИ!B20:G20,КОЭФФИЦИЕНТЫ_ВЫБОРА!F16:K16,ПАРАМЕТРЫ!$B$17:$G$17)</f>
        <v>0.41844</v>
      </c>
      <c r="J1225" s="12" t="n">
        <f aca="false">I1225*G1225/1000</f>
        <v>0.041844</v>
      </c>
      <c r="K1225" s="11" t="s">
        <v>217</v>
      </c>
      <c r="L1225" s="11" t="s">
        <v>19</v>
      </c>
      <c r="M1225" s="11" t="s">
        <v>147</v>
      </c>
    </row>
    <row r="1226" customFormat="false" ht="15" hidden="false" customHeight="false" outlineLevel="0" collapsed="false">
      <c r="A1226" s="11" t="s">
        <v>109</v>
      </c>
      <c r="B1226" s="11" t="s">
        <v>133</v>
      </c>
      <c r="C1226" s="11" t="n">
        <v>7</v>
      </c>
      <c r="D1226" s="11" t="s">
        <v>78</v>
      </c>
      <c r="E1226" s="11" t="s">
        <v>159</v>
      </c>
      <c r="F1226" s="11" t="s">
        <v>77</v>
      </c>
      <c r="G1226" s="12" t="n">
        <v>350</v>
      </c>
      <c r="H1226" s="12" t="n">
        <f aca="false">SUMPRODUCT(ПОТОКИ!B13:G13,ЧАСОВЫЕ_ПРОФИЛИ!B20:G20,КОЭФФИЦИЕНТЫ_ВЫБОРА!F17:K17)</f>
        <v>0.3234</v>
      </c>
      <c r="I1226" s="12" t="n">
        <f aca="false">SUMPRODUCT(ПОТОКИ!B13:G13,ЧАСОВЫЕ_ПРОФИЛИ!B20:G20,КОЭФФИЦИЕНТЫ_ВЫБОРА!F17:K17,ПАРАМЕТРЫ!$B$17:$G$17)</f>
        <v>0.35574</v>
      </c>
      <c r="J1226" s="12" t="n">
        <f aca="false">I1226*G1226/1000</f>
        <v>0.124509</v>
      </c>
      <c r="K1226" s="11" t="s">
        <v>217</v>
      </c>
      <c r="L1226" s="11" t="s">
        <v>19</v>
      </c>
      <c r="M1226" s="11" t="s">
        <v>147</v>
      </c>
    </row>
    <row r="1227" customFormat="false" ht="15" hidden="false" customHeight="false" outlineLevel="0" collapsed="false">
      <c r="A1227" s="11" t="s">
        <v>109</v>
      </c>
      <c r="B1227" s="11" t="s">
        <v>133</v>
      </c>
      <c r="C1227" s="11" t="n">
        <v>8</v>
      </c>
      <c r="D1227" s="11" t="s">
        <v>78</v>
      </c>
      <c r="E1227" s="11" t="s">
        <v>160</v>
      </c>
      <c r="F1227" s="11" t="s">
        <v>77</v>
      </c>
      <c r="G1227" s="12" t="n">
        <v>85</v>
      </c>
      <c r="H1227" s="12" t="n">
        <f aca="false">SUMPRODUCT(ПОТОКИ!B13:G13,ЧАСОВЫЕ_ПРОФИЛИ!B20:G20,КОЭФФИЦИЕНТЫ_ВЫБОРА!F18:K18)</f>
        <v>0.1966</v>
      </c>
      <c r="I1227" s="12" t="n">
        <f aca="false">SUMPRODUCT(ПОТОКИ!B13:G13,ЧАСОВЫЕ_ПРОФИЛИ!B20:G20,КОЭФФИЦИЕНТЫ_ВЫБОРА!F18:K18,ПАРАМЕТРЫ!$B$17:$G$17)</f>
        <v>0.21626</v>
      </c>
      <c r="J1227" s="12" t="n">
        <f aca="false">I1227*G1227/1000</f>
        <v>0.0183821</v>
      </c>
      <c r="K1227" s="11" t="s">
        <v>217</v>
      </c>
      <c r="L1227" s="11" t="s">
        <v>19</v>
      </c>
      <c r="M1227" s="11" t="s">
        <v>147</v>
      </c>
    </row>
    <row r="1228" customFormat="false" ht="15" hidden="false" customHeight="false" outlineLevel="0" collapsed="false">
      <c r="A1228" s="11" t="s">
        <v>109</v>
      </c>
      <c r="B1228" s="11" t="s">
        <v>133</v>
      </c>
      <c r="C1228" s="11" t="n">
        <v>9</v>
      </c>
      <c r="D1228" s="11" t="s">
        <v>161</v>
      </c>
      <c r="E1228" s="11" t="s">
        <v>162</v>
      </c>
      <c r="F1228" s="11" t="s">
        <v>80</v>
      </c>
      <c r="G1228" s="12" t="n">
        <v>300</v>
      </c>
      <c r="H1228" s="12" t="n">
        <f aca="false">SUMPRODUCT(ПОТОКИ!B13:G13,ЧАСОВЫЕ_ПРОФИЛИ!B20:G20,КОЭФФИЦИЕНТЫ_ВЫБОРА!F19:K19)</f>
        <v>0.114</v>
      </c>
      <c r="I1228" s="12" t="n">
        <f aca="false">SUMPRODUCT(ПОТОКИ!B13:G13,ЧАСОВЫЕ_ПРОФИЛИ!B20:G20,КОЭФФИЦИЕНТЫ_ВЫБОРА!F19:K19,ПАРАМЕТРЫ!$B$17:$G$17)</f>
        <v>0.1254</v>
      </c>
      <c r="J1228" s="12" t="n">
        <f aca="false">I1228*G1228/1000</f>
        <v>0.03762</v>
      </c>
      <c r="K1228" s="11" t="s">
        <v>217</v>
      </c>
      <c r="L1228" s="11" t="s">
        <v>19</v>
      </c>
      <c r="M1228" s="11" t="s">
        <v>145</v>
      </c>
    </row>
    <row r="1229" customFormat="false" ht="15" hidden="false" customHeight="false" outlineLevel="0" collapsed="false">
      <c r="A1229" s="11" t="s">
        <v>109</v>
      </c>
      <c r="B1229" s="11" t="s">
        <v>133</v>
      </c>
      <c r="C1229" s="11" t="n">
        <v>10</v>
      </c>
      <c r="D1229" s="11" t="s">
        <v>161</v>
      </c>
      <c r="E1229" s="11" t="s">
        <v>163</v>
      </c>
      <c r="F1229" s="11" t="s">
        <v>80</v>
      </c>
      <c r="G1229" s="12" t="n">
        <v>280</v>
      </c>
      <c r="H1229" s="12" t="n">
        <f aca="false">SUMPRODUCT(ПОТОКИ!B13:G13,ЧАСОВЫЕ_ПРОФИЛИ!B20:G20,КОЭФФИЦИЕНТЫ_ВЫБОРА!F20:K20)</f>
        <v>0.132</v>
      </c>
      <c r="I1229" s="12" t="n">
        <f aca="false">SUMPRODUCT(ПОТОКИ!B13:G13,ЧАСОВЫЕ_ПРОФИЛИ!B20:G20,КОЭФФИЦИЕНТЫ_ВЫБОРА!F20:K20,ПАРАМЕТРЫ!$B$17:$G$17)</f>
        <v>0.1452</v>
      </c>
      <c r="J1229" s="12" t="n">
        <f aca="false">I1229*G1229/1000</f>
        <v>0.040656</v>
      </c>
      <c r="K1229" s="11" t="s">
        <v>217</v>
      </c>
      <c r="L1229" s="11" t="s">
        <v>19</v>
      </c>
      <c r="M1229" s="11" t="s">
        <v>145</v>
      </c>
    </row>
    <row r="1230" customFormat="false" ht="15" hidden="false" customHeight="false" outlineLevel="0" collapsed="false">
      <c r="A1230" s="11" t="s">
        <v>109</v>
      </c>
      <c r="B1230" s="11" t="s">
        <v>133</v>
      </c>
      <c r="C1230" s="11" t="n">
        <v>11</v>
      </c>
      <c r="D1230" s="11" t="s">
        <v>161</v>
      </c>
      <c r="E1230" s="11" t="s">
        <v>164</v>
      </c>
      <c r="F1230" s="11" t="s">
        <v>80</v>
      </c>
      <c r="G1230" s="12" t="n">
        <v>270</v>
      </c>
      <c r="H1230" s="12" t="n">
        <f aca="false">SUMPRODUCT(ПОТОКИ!B13:G13,ЧАСОВЫЕ_ПРОФИЛИ!B20:G20,КОЭФФИЦИЕНТЫ_ВЫБОРА!F21:K21)</f>
        <v>0.2154</v>
      </c>
      <c r="I1230" s="12" t="n">
        <f aca="false">SUMPRODUCT(ПОТОКИ!B13:G13,ЧАСОВЫЕ_ПРОФИЛИ!B20:G20,КОЭФФИЦИЕНТЫ_ВЫБОРА!F21:K21,ПАРАМЕТРЫ!$B$17:$G$17)</f>
        <v>0.23694</v>
      </c>
      <c r="J1230" s="12" t="n">
        <f aca="false">I1230*G1230/1000</f>
        <v>0.0639738</v>
      </c>
      <c r="K1230" s="11" t="s">
        <v>217</v>
      </c>
      <c r="L1230" s="11" t="s">
        <v>19</v>
      </c>
      <c r="M1230" s="11" t="s">
        <v>145</v>
      </c>
    </row>
    <row r="1231" customFormat="false" ht="15" hidden="false" customHeight="false" outlineLevel="0" collapsed="false">
      <c r="A1231" s="11" t="s">
        <v>109</v>
      </c>
      <c r="B1231" s="11" t="s">
        <v>133</v>
      </c>
      <c r="C1231" s="11" t="n">
        <v>12</v>
      </c>
      <c r="D1231" s="11" t="s">
        <v>161</v>
      </c>
      <c r="E1231" s="11" t="s">
        <v>165</v>
      </c>
      <c r="F1231" s="11" t="s">
        <v>80</v>
      </c>
      <c r="G1231" s="12" t="n">
        <v>240</v>
      </c>
      <c r="H1231" s="12" t="n">
        <f aca="false">SUMPRODUCT(ПОТОКИ!B13:G13,ЧАСОВЫЕ_ПРОФИЛИ!B20:G20,КОЭФФИЦИЕНТЫ_ВЫБОРА!F22:K22)</f>
        <v>0.1026</v>
      </c>
      <c r="I1231" s="12" t="n">
        <f aca="false">SUMPRODUCT(ПОТОКИ!B13:G13,ЧАСОВЫЕ_ПРОФИЛИ!B20:G20,КОЭФФИЦИЕНТЫ_ВЫБОРА!F22:K22,ПАРАМЕТРЫ!$B$17:$G$17)</f>
        <v>0.11286</v>
      </c>
      <c r="J1231" s="12" t="n">
        <f aca="false">I1231*G1231/1000</f>
        <v>0.0270864</v>
      </c>
      <c r="K1231" s="11" t="s">
        <v>217</v>
      </c>
      <c r="L1231" s="11" t="s">
        <v>19</v>
      </c>
      <c r="M1231" s="11" t="s">
        <v>145</v>
      </c>
    </row>
    <row r="1232" customFormat="false" ht="15" hidden="false" customHeight="false" outlineLevel="0" collapsed="false">
      <c r="A1232" s="11" t="s">
        <v>109</v>
      </c>
      <c r="B1232" s="11" t="s">
        <v>133</v>
      </c>
      <c r="C1232" s="11" t="n">
        <v>13</v>
      </c>
      <c r="D1232" s="11" t="s">
        <v>166</v>
      </c>
      <c r="E1232" s="11" t="s">
        <v>167</v>
      </c>
      <c r="F1232" s="11" t="s">
        <v>80</v>
      </c>
      <c r="G1232" s="12" t="n">
        <v>130</v>
      </c>
      <c r="H1232" s="12" t="n">
        <f aca="false">SUMPRODUCT(ПОТОКИ!B13:G13,ЧАСОВЫЕ_ПРОФИЛИ!B20:G20,КОЭФФИЦИЕНТЫ_ВЫБОРА!F23:K23)</f>
        <v>0.064</v>
      </c>
      <c r="I1232" s="12" t="n">
        <f aca="false">SUMPRODUCT(ПОТОКИ!B13:G13,ЧАСОВЫЕ_ПРОФИЛИ!B20:G20,КОЭФФИЦИЕНТЫ_ВЫБОРА!F23:K23,ПАРАМЕТРЫ!$B$17:$G$17)</f>
        <v>0.0704</v>
      </c>
      <c r="J1232" s="12" t="n">
        <f aca="false">I1232*G1232/1000</f>
        <v>0.009152</v>
      </c>
      <c r="K1232" s="11" t="s">
        <v>217</v>
      </c>
      <c r="L1232" s="11" t="s">
        <v>19</v>
      </c>
      <c r="M1232" s="11" t="s">
        <v>145</v>
      </c>
    </row>
    <row r="1233" customFormat="false" ht="15" hidden="false" customHeight="false" outlineLevel="0" collapsed="false">
      <c r="A1233" s="11" t="s">
        <v>109</v>
      </c>
      <c r="B1233" s="11" t="s">
        <v>133</v>
      </c>
      <c r="C1233" s="11" t="n">
        <v>14</v>
      </c>
      <c r="D1233" s="11" t="s">
        <v>166</v>
      </c>
      <c r="E1233" s="11" t="s">
        <v>168</v>
      </c>
      <c r="F1233" s="11" t="s">
        <v>80</v>
      </c>
      <c r="G1233" s="12" t="n">
        <v>250</v>
      </c>
      <c r="H1233" s="12" t="n">
        <f aca="false">SUMPRODUCT(ПОТОКИ!B13:G13,ЧАСОВЫЕ_ПРОФИЛИ!B20:G20,КОЭФФИЦИЕНТЫ_ВЫБОРА!F24:K24)</f>
        <v>0.0384</v>
      </c>
      <c r="I1233" s="12" t="n">
        <f aca="false">SUMPRODUCT(ПОТОКИ!B13:G13,ЧАСОВЫЕ_ПРОФИЛИ!B20:G20,КОЭФФИЦИЕНТЫ_ВЫБОРА!F24:K24,ПАРАМЕТРЫ!$B$17:$G$17)</f>
        <v>0.04224</v>
      </c>
      <c r="J1233" s="12" t="n">
        <f aca="false">I1233*G1233/1000</f>
        <v>0.01056</v>
      </c>
      <c r="K1233" s="11" t="s">
        <v>217</v>
      </c>
      <c r="L1233" s="11" t="s">
        <v>19</v>
      </c>
      <c r="M1233" s="11" t="s">
        <v>145</v>
      </c>
    </row>
    <row r="1234" customFormat="false" ht="15" hidden="false" customHeight="false" outlineLevel="0" collapsed="false">
      <c r="A1234" s="11" t="s">
        <v>109</v>
      </c>
      <c r="B1234" s="11" t="s">
        <v>133</v>
      </c>
      <c r="C1234" s="11" t="n">
        <v>15</v>
      </c>
      <c r="D1234" s="11" t="s">
        <v>166</v>
      </c>
      <c r="E1234" s="11" t="s">
        <v>169</v>
      </c>
      <c r="F1234" s="11" t="s">
        <v>80</v>
      </c>
      <c r="G1234" s="12" t="n">
        <v>120</v>
      </c>
      <c r="H1234" s="12" t="n">
        <f aca="false">SUMPRODUCT(ПОТОКИ!B13:G13,ЧАСОВЫЕ_ПРОФИЛИ!B20:G20,КОЭФФИЦИЕНТЫ_ВЫБОРА!F25:K25)</f>
        <v>0.0384</v>
      </c>
      <c r="I1234" s="12" t="n">
        <f aca="false">SUMPRODUCT(ПОТОКИ!B13:G13,ЧАСОВЫЕ_ПРОФИЛИ!B20:G20,КОЭФФИЦИЕНТЫ_ВЫБОРА!F25:K25,ПАРАМЕТРЫ!$B$17:$G$17)</f>
        <v>0.04224</v>
      </c>
      <c r="J1234" s="12" t="n">
        <f aca="false">I1234*G1234/1000</f>
        <v>0.0050688</v>
      </c>
      <c r="K1234" s="11" t="s">
        <v>217</v>
      </c>
      <c r="L1234" s="11" t="s">
        <v>19</v>
      </c>
      <c r="M1234" s="11" t="s">
        <v>145</v>
      </c>
    </row>
    <row r="1235" customFormat="false" ht="15" hidden="false" customHeight="false" outlineLevel="0" collapsed="false">
      <c r="A1235" s="11" t="s">
        <v>109</v>
      </c>
      <c r="B1235" s="11" t="s">
        <v>133</v>
      </c>
      <c r="C1235" s="11" t="n">
        <v>16</v>
      </c>
      <c r="D1235" s="11" t="s">
        <v>166</v>
      </c>
      <c r="E1235" s="11" t="s">
        <v>170</v>
      </c>
      <c r="F1235" s="11" t="s">
        <v>80</v>
      </c>
      <c r="G1235" s="12" t="n">
        <v>180</v>
      </c>
      <c r="H1235" s="12" t="n">
        <f aca="false">SUMPRODUCT(ПОТОКИ!B13:G13,ЧАСОВЫЕ_ПРОФИЛИ!B20:G20,КОЭФФИЦИЕНТЫ_ВЫБОРА!F26:K26)</f>
        <v>0.0512</v>
      </c>
      <c r="I1235" s="12" t="n">
        <f aca="false">SUMPRODUCT(ПОТОКИ!B13:G13,ЧАСОВЫЕ_ПРОФИЛИ!B20:G20,КОЭФФИЦИЕНТЫ_ВЫБОРА!F26:K26,ПАРАМЕТРЫ!$B$17:$G$17)</f>
        <v>0.05632</v>
      </c>
      <c r="J1235" s="12" t="n">
        <f aca="false">I1235*G1235/1000</f>
        <v>0.0101376</v>
      </c>
      <c r="K1235" s="11" t="s">
        <v>217</v>
      </c>
      <c r="L1235" s="11" t="s">
        <v>19</v>
      </c>
      <c r="M1235" s="11" t="s">
        <v>145</v>
      </c>
    </row>
    <row r="1236" customFormat="false" ht="15" hidden="false" customHeight="false" outlineLevel="0" collapsed="false">
      <c r="A1236" s="11" t="s">
        <v>109</v>
      </c>
      <c r="B1236" s="11" t="s">
        <v>133</v>
      </c>
      <c r="C1236" s="11" t="n">
        <v>17</v>
      </c>
      <c r="D1236" s="11" t="s">
        <v>166</v>
      </c>
      <c r="E1236" s="11" t="s">
        <v>171</v>
      </c>
      <c r="F1236" s="11" t="s">
        <v>80</v>
      </c>
      <c r="G1236" s="12" t="n">
        <v>180</v>
      </c>
      <c r="H1236" s="12" t="n">
        <f aca="false">SUMPRODUCT(ПОТОКИ!B13:G13,ЧАСОВЫЕ_ПРОФИЛИ!B20:G20,КОЭФФИЦИЕНТЫ_ВЫБОРА!F27:K27)</f>
        <v>0.064</v>
      </c>
      <c r="I1236" s="12" t="n">
        <f aca="false">SUMPRODUCT(ПОТОКИ!B13:G13,ЧАСОВЫЕ_ПРОФИЛИ!B20:G20,КОЭФФИЦИЕНТЫ_ВЫБОРА!F27:K27,ПАРАМЕТРЫ!$B$17:$G$17)</f>
        <v>0.0704</v>
      </c>
      <c r="J1236" s="12" t="n">
        <f aca="false">I1236*G1236/1000</f>
        <v>0.012672</v>
      </c>
      <c r="K1236" s="11" t="s">
        <v>217</v>
      </c>
      <c r="L1236" s="11" t="s">
        <v>19</v>
      </c>
      <c r="M1236" s="11" t="s">
        <v>145</v>
      </c>
    </row>
    <row r="1237" customFormat="false" ht="15" hidden="false" customHeight="false" outlineLevel="0" collapsed="false">
      <c r="A1237" s="11" t="s">
        <v>109</v>
      </c>
      <c r="B1237" s="11" t="s">
        <v>133</v>
      </c>
      <c r="C1237" s="11" t="n">
        <v>18</v>
      </c>
      <c r="D1237" s="11" t="s">
        <v>172</v>
      </c>
      <c r="E1237" s="11" t="s">
        <v>173</v>
      </c>
      <c r="F1237" s="11" t="s">
        <v>83</v>
      </c>
      <c r="G1237" s="12" t="n">
        <v>400</v>
      </c>
      <c r="H1237" s="12" t="n">
        <f aca="false">SUMPRODUCT(ПОТОКИ!B13:G13,ЧАСОВЫЕ_ПРОФИЛИ!B20:G20,КОЭФФИЦИЕНТЫ_ВЫБОРА!F28:K28)</f>
        <v>0.128</v>
      </c>
      <c r="I1237" s="12" t="n">
        <f aca="false">SUMPRODUCT(ПОТОКИ!B13:G13,ЧАСОВЫЕ_ПРОФИЛИ!B20:G20,КОЭФФИЦИЕНТЫ_ВЫБОРА!F28:K28,ПАРАМЕТРЫ!$B$17:$G$17)</f>
        <v>0.1408</v>
      </c>
      <c r="J1237" s="12" t="n">
        <f aca="false">I1237*G1237/1000</f>
        <v>0.05632</v>
      </c>
      <c r="K1237" s="11" t="s">
        <v>217</v>
      </c>
      <c r="L1237" s="11" t="s">
        <v>19</v>
      </c>
      <c r="M1237" s="11" t="s">
        <v>145</v>
      </c>
    </row>
    <row r="1238" customFormat="false" ht="23.85" hidden="false" customHeight="false" outlineLevel="0" collapsed="false">
      <c r="A1238" s="11" t="s">
        <v>109</v>
      </c>
      <c r="B1238" s="11" t="s">
        <v>133</v>
      </c>
      <c r="C1238" s="11" t="n">
        <v>19</v>
      </c>
      <c r="D1238" s="11" t="s">
        <v>174</v>
      </c>
      <c r="E1238" s="11" t="s">
        <v>175</v>
      </c>
      <c r="F1238" s="11" t="s">
        <v>83</v>
      </c>
      <c r="G1238" s="12" t="n">
        <v>300</v>
      </c>
      <c r="H1238" s="12" t="n">
        <f aca="false">SUMPRODUCT(ПОТОКИ!B13:G13,ЧАСОВЫЕ_ПРОФИЛИ!B20:G20,КОЭФФИЦИЕНТЫ_ВЫБОРА!F29:K29)</f>
        <v>0.304</v>
      </c>
      <c r="I1238" s="12" t="n">
        <f aca="false">SUMPRODUCT(ПОТОКИ!B13:G13,ЧАСОВЫЕ_ПРОФИЛИ!B20:G20,КОЭФФИЦИЕНТЫ_ВЫБОРА!F29:K29,ПАРАМЕТРЫ!$B$17:$G$17)</f>
        <v>0.3344</v>
      </c>
      <c r="J1238" s="12" t="n">
        <f aca="false">I1238*G1238/1000</f>
        <v>0.10032</v>
      </c>
      <c r="K1238" s="11" t="s">
        <v>217</v>
      </c>
      <c r="L1238" s="11" t="s">
        <v>19</v>
      </c>
      <c r="M1238" s="11" t="s">
        <v>145</v>
      </c>
    </row>
    <row r="1239" customFormat="false" ht="15" hidden="false" customHeight="false" outlineLevel="0" collapsed="false">
      <c r="A1239" s="11" t="s">
        <v>109</v>
      </c>
      <c r="B1239" s="11" t="s">
        <v>133</v>
      </c>
      <c r="C1239" s="11" t="n">
        <v>20</v>
      </c>
      <c r="D1239" s="11" t="s">
        <v>174</v>
      </c>
      <c r="E1239" s="11" t="s">
        <v>176</v>
      </c>
      <c r="F1239" s="11" t="s">
        <v>83</v>
      </c>
      <c r="G1239" s="12" t="n">
        <v>360</v>
      </c>
      <c r="H1239" s="12" t="n">
        <f aca="false">SUMPRODUCT(ПОТОКИ!B13:G13,ЧАСОВЫЕ_ПРОФИЛИ!B20:G20,КОЭФФИЦИЕНТЫ_ВЫБОРА!F30:K30)</f>
        <v>0.2864</v>
      </c>
      <c r="I1239" s="12" t="n">
        <f aca="false">SUMPRODUCT(ПОТОКИ!B13:G13,ЧАСОВЫЕ_ПРОФИЛИ!B20:G20,КОЭФФИЦИЕНТЫ_ВЫБОРА!F30:K30,ПАРАМЕТРЫ!$B$17:$G$17)</f>
        <v>0.31504</v>
      </c>
      <c r="J1239" s="12" t="n">
        <f aca="false">I1239*G1239/1000</f>
        <v>0.1134144</v>
      </c>
      <c r="K1239" s="11" t="s">
        <v>217</v>
      </c>
      <c r="L1239" s="11" t="s">
        <v>19</v>
      </c>
      <c r="M1239" s="11" t="s">
        <v>145</v>
      </c>
    </row>
    <row r="1240" customFormat="false" ht="15" hidden="false" customHeight="false" outlineLevel="0" collapsed="false">
      <c r="A1240" s="11" t="s">
        <v>109</v>
      </c>
      <c r="B1240" s="11" t="s">
        <v>133</v>
      </c>
      <c r="C1240" s="11" t="n">
        <v>21</v>
      </c>
      <c r="D1240" s="11" t="s">
        <v>174</v>
      </c>
      <c r="E1240" s="11" t="s">
        <v>177</v>
      </c>
      <c r="F1240" s="11" t="s">
        <v>83</v>
      </c>
      <c r="G1240" s="12" t="n">
        <v>350</v>
      </c>
      <c r="H1240" s="12" t="n">
        <f aca="false">SUMPRODUCT(ПОТОКИ!B13:G13,ЧАСОВЫЕ_ПРОФИЛИ!B20:G20,КОЭФФИЦИЕНТЫ_ВЫБОРА!F31:K31)</f>
        <v>0.4416</v>
      </c>
      <c r="I1240" s="12" t="n">
        <f aca="false">SUMPRODUCT(ПОТОКИ!B13:G13,ЧАСОВЫЕ_ПРОФИЛИ!B20:G20,КОЭФФИЦИЕНТЫ_ВЫБОРА!F31:K31,ПАРАМЕТРЫ!$B$17:$G$17)</f>
        <v>0.48576</v>
      </c>
      <c r="J1240" s="12" t="n">
        <f aca="false">I1240*G1240/1000</f>
        <v>0.170016</v>
      </c>
      <c r="K1240" s="11" t="s">
        <v>217</v>
      </c>
      <c r="L1240" s="11" t="s">
        <v>19</v>
      </c>
      <c r="M1240" s="11" t="s">
        <v>145</v>
      </c>
    </row>
    <row r="1241" customFormat="false" ht="15" hidden="false" customHeight="false" outlineLevel="0" collapsed="false">
      <c r="A1241" s="11" t="s">
        <v>109</v>
      </c>
      <c r="B1241" s="11" t="s">
        <v>133</v>
      </c>
      <c r="C1241" s="11" t="n">
        <v>22</v>
      </c>
      <c r="D1241" s="11" t="s">
        <v>174</v>
      </c>
      <c r="E1241" s="11" t="s">
        <v>178</v>
      </c>
      <c r="F1241" s="11" t="s">
        <v>83</v>
      </c>
      <c r="G1241" s="12" t="n">
        <v>300</v>
      </c>
      <c r="H1241" s="12" t="n">
        <f aca="false">SUMPRODUCT(ПОТОКИ!B13:G13,ЧАСОВЫЕ_ПРОФИЛИ!B20:G20,КОЭФФИЦИЕНТЫ_ВЫБОРА!F32:K32)</f>
        <v>0.28</v>
      </c>
      <c r="I1241" s="12" t="n">
        <f aca="false">SUMPRODUCT(ПОТОКИ!B13:G13,ЧАСОВЫЕ_ПРОФИЛИ!B20:G20,КОЭФФИЦИЕНТЫ_ВЫБОРА!F32:K32,ПАРАМЕТРЫ!$B$17:$G$17)</f>
        <v>0.308</v>
      </c>
      <c r="J1241" s="12" t="n">
        <f aca="false">I1241*G1241/1000</f>
        <v>0.0924</v>
      </c>
      <c r="K1241" s="11" t="s">
        <v>217</v>
      </c>
      <c r="L1241" s="11" t="s">
        <v>19</v>
      </c>
      <c r="M1241" s="11" t="s">
        <v>145</v>
      </c>
    </row>
    <row r="1242" customFormat="false" ht="15" hidden="false" customHeight="false" outlineLevel="0" collapsed="false">
      <c r="A1242" s="11" t="s">
        <v>109</v>
      </c>
      <c r="B1242" s="11" t="s">
        <v>133</v>
      </c>
      <c r="C1242" s="11" t="n">
        <v>23</v>
      </c>
      <c r="D1242" s="11" t="s">
        <v>86</v>
      </c>
      <c r="E1242" s="11" t="s">
        <v>179</v>
      </c>
      <c r="F1242" s="11" t="s">
        <v>85</v>
      </c>
      <c r="G1242" s="12" t="n">
        <v>150</v>
      </c>
      <c r="H1242" s="12" t="n">
        <f aca="false">SUMPRODUCT(ПОТОКИ!B13:G13,ЧАСОВЫЕ_ПРОФИЛИ!B20:G20,КОЭФФИЦИЕНТЫ_ВЫБОРА!F33:K33)</f>
        <v>0.200576</v>
      </c>
      <c r="I1242" s="12" t="n">
        <f aca="false">SUMPRODUCT(ПОТОКИ!B13:G13,ЧАСОВЫЕ_ПРОФИЛИ!B20:G20,КОЭФФИЦИЕНТЫ_ВЫБОРА!F33:K33,ПАРАМЕТРЫ!$B$17:$G$17)</f>
        <v>0.2206336</v>
      </c>
      <c r="J1242" s="12" t="n">
        <f aca="false">I1242*G1242/1000</f>
        <v>0.03309504</v>
      </c>
      <c r="K1242" s="11" t="s">
        <v>217</v>
      </c>
      <c r="L1242" s="11" t="s">
        <v>19</v>
      </c>
      <c r="M1242" s="11" t="s">
        <v>147</v>
      </c>
    </row>
    <row r="1243" customFormat="false" ht="15" hidden="false" customHeight="false" outlineLevel="0" collapsed="false">
      <c r="A1243" s="11" t="s">
        <v>109</v>
      </c>
      <c r="B1243" s="11" t="s">
        <v>133</v>
      </c>
      <c r="C1243" s="11" t="n">
        <v>24</v>
      </c>
      <c r="D1243" s="11" t="s">
        <v>86</v>
      </c>
      <c r="E1243" s="11" t="s">
        <v>180</v>
      </c>
      <c r="F1243" s="11" t="s">
        <v>85</v>
      </c>
      <c r="G1243" s="12" t="n">
        <v>150</v>
      </c>
      <c r="H1243" s="12" t="n">
        <f aca="false">SUMPRODUCT(ПОТОКИ!B13:G13,ЧАСОВЫЕ_ПРОФИЛИ!B20:G20,КОЭФФИЦИЕНТЫ_ВЫБОРА!F34:K34)</f>
        <v>0.100288</v>
      </c>
      <c r="I1243" s="12" t="n">
        <f aca="false">SUMPRODUCT(ПОТОКИ!B13:G13,ЧАСОВЫЕ_ПРОФИЛИ!B20:G20,КОЭФФИЦИЕНТЫ_ВЫБОРА!F34:K34,ПАРАМЕТРЫ!$B$17:$G$17)</f>
        <v>0.1103168</v>
      </c>
      <c r="J1243" s="12" t="n">
        <f aca="false">I1243*G1243/1000</f>
        <v>0.01654752</v>
      </c>
      <c r="K1243" s="11" t="s">
        <v>217</v>
      </c>
      <c r="L1243" s="11" t="s">
        <v>19</v>
      </c>
      <c r="M1243" s="11" t="s">
        <v>147</v>
      </c>
    </row>
    <row r="1244" customFormat="false" ht="15" hidden="false" customHeight="false" outlineLevel="0" collapsed="false">
      <c r="A1244" s="11" t="s">
        <v>109</v>
      </c>
      <c r="B1244" s="11" t="s">
        <v>133</v>
      </c>
      <c r="C1244" s="11" t="n">
        <v>25</v>
      </c>
      <c r="D1244" s="11" t="s">
        <v>86</v>
      </c>
      <c r="E1244" s="11" t="s">
        <v>181</v>
      </c>
      <c r="F1244" s="11" t="s">
        <v>85</v>
      </c>
      <c r="G1244" s="12" t="n">
        <v>150</v>
      </c>
      <c r="H1244" s="12" t="n">
        <f aca="false">SUMPRODUCT(ПОТОКИ!B13:G13,ЧАСОВЫЕ_ПРОФИЛИ!B20:G20,КОЭФФИЦИЕНТЫ_ВЫБОРА!F35:K35)</f>
        <v>0.200576</v>
      </c>
      <c r="I1244" s="12" t="n">
        <f aca="false">SUMPRODUCT(ПОТОКИ!B13:G13,ЧАСОВЫЕ_ПРОФИЛИ!B20:G20,КОЭФФИЦИЕНТЫ_ВЫБОРА!F35:K35,ПАРАМЕТРЫ!$B$17:$G$17)</f>
        <v>0.2206336</v>
      </c>
      <c r="J1244" s="12" t="n">
        <f aca="false">I1244*G1244/1000</f>
        <v>0.03309504</v>
      </c>
      <c r="K1244" s="11" t="s">
        <v>217</v>
      </c>
      <c r="L1244" s="11" t="s">
        <v>19</v>
      </c>
      <c r="M1244" s="11" t="s">
        <v>147</v>
      </c>
    </row>
    <row r="1245" customFormat="false" ht="23.85" hidden="false" customHeight="false" outlineLevel="0" collapsed="false">
      <c r="A1245" s="11" t="s">
        <v>109</v>
      </c>
      <c r="B1245" s="11" t="s">
        <v>133</v>
      </c>
      <c r="C1245" s="11" t="n">
        <v>26</v>
      </c>
      <c r="D1245" s="11" t="s">
        <v>89</v>
      </c>
      <c r="E1245" s="11" t="s">
        <v>182</v>
      </c>
      <c r="F1245" s="11" t="s">
        <v>88</v>
      </c>
      <c r="G1245" s="12" t="n">
        <v>225</v>
      </c>
      <c r="H1245" s="12" t="n">
        <f aca="false">SUMPRODUCT(ПОТОКИ!B13:G13,ЧАСОВЫЕ_ПРОФИЛИ!B20:G20,КОЭФФИЦИЕНТЫ_ВЫБОРА!F36:K36)</f>
        <v>0</v>
      </c>
      <c r="I1245" s="12" t="n">
        <f aca="false">SUMPRODUCT(ПОТОКИ!B13:G13,ЧАСОВЫЕ_ПРОФИЛИ!B20:G20,КОЭФФИЦИЕНТЫ_ВЫБОРА!F36:K36,ПАРАМЕТРЫ!$B$17:$G$17)</f>
        <v>0</v>
      </c>
      <c r="J1245" s="12" t="n">
        <f aca="false">I1245*G1245/1000</f>
        <v>0</v>
      </c>
      <c r="K1245" s="11" t="s">
        <v>217</v>
      </c>
      <c r="L1245" s="11" t="s">
        <v>19</v>
      </c>
      <c r="M1245" s="11" t="s">
        <v>145</v>
      </c>
    </row>
    <row r="1246" customFormat="false" ht="23.85" hidden="false" customHeight="false" outlineLevel="0" collapsed="false">
      <c r="A1246" s="11" t="s">
        <v>109</v>
      </c>
      <c r="B1246" s="11" t="s">
        <v>133</v>
      </c>
      <c r="C1246" s="11" t="n">
        <v>27</v>
      </c>
      <c r="D1246" s="11" t="s">
        <v>89</v>
      </c>
      <c r="E1246" s="11" t="s">
        <v>183</v>
      </c>
      <c r="F1246" s="11" t="s">
        <v>88</v>
      </c>
      <c r="G1246" s="12" t="n">
        <v>265</v>
      </c>
      <c r="H1246" s="12" t="n">
        <f aca="false">SUMPRODUCT(ПОТОКИ!B13:G13,ЧАСОВЫЕ_ПРОФИЛИ!B20:G20,КОЭФФИЦИЕНТЫ_ВЫБОРА!F37:K37)</f>
        <v>0</v>
      </c>
      <c r="I1246" s="12" t="n">
        <f aca="false">SUMPRODUCT(ПОТОКИ!B13:G13,ЧАСОВЫЕ_ПРОФИЛИ!B20:G20,КОЭФФИЦИЕНТЫ_ВЫБОРА!F37:K37,ПАРАМЕТРЫ!$B$17:$G$17)</f>
        <v>0</v>
      </c>
      <c r="J1246" s="12" t="n">
        <f aca="false">I1246*G1246/1000</f>
        <v>0</v>
      </c>
      <c r="K1246" s="11" t="s">
        <v>217</v>
      </c>
      <c r="L1246" s="11" t="s">
        <v>19</v>
      </c>
      <c r="M1246" s="11" t="s">
        <v>145</v>
      </c>
    </row>
    <row r="1247" customFormat="false" ht="23.85" hidden="false" customHeight="false" outlineLevel="0" collapsed="false">
      <c r="A1247" s="11" t="s">
        <v>109</v>
      </c>
      <c r="B1247" s="11" t="s">
        <v>133</v>
      </c>
      <c r="C1247" s="11" t="n">
        <v>28</v>
      </c>
      <c r="D1247" s="11" t="s">
        <v>89</v>
      </c>
      <c r="E1247" s="11" t="s">
        <v>184</v>
      </c>
      <c r="F1247" s="11" t="s">
        <v>88</v>
      </c>
      <c r="G1247" s="12" t="n">
        <v>355</v>
      </c>
      <c r="H1247" s="12" t="n">
        <f aca="false">SUMPRODUCT(ПОТОКИ!B13:G13,ЧАСОВЫЕ_ПРОФИЛИ!B20:G20,КОЭФФИЦИЕНТЫ_ВЫБОРА!F38:K38)</f>
        <v>0</v>
      </c>
      <c r="I1247" s="12" t="n">
        <f aca="false">SUMPRODUCT(ПОТОКИ!B13:G13,ЧАСОВЫЕ_ПРОФИЛИ!B20:G20,КОЭФФИЦИЕНТЫ_ВЫБОРА!F38:K38,ПАРАМЕТРЫ!$B$17:$G$17)</f>
        <v>0</v>
      </c>
      <c r="J1247" s="12" t="n">
        <f aca="false">I1247*G1247/1000</f>
        <v>0</v>
      </c>
      <c r="K1247" s="11" t="s">
        <v>217</v>
      </c>
      <c r="L1247" s="11" t="s">
        <v>19</v>
      </c>
      <c r="M1247" s="11" t="s">
        <v>145</v>
      </c>
    </row>
    <row r="1248" customFormat="false" ht="15" hidden="false" customHeight="false" outlineLevel="0" collapsed="false">
      <c r="A1248" s="11" t="s">
        <v>109</v>
      </c>
      <c r="B1248" s="11" t="s">
        <v>133</v>
      </c>
      <c r="C1248" s="11" t="n">
        <v>29</v>
      </c>
      <c r="D1248" s="11" t="s">
        <v>92</v>
      </c>
      <c r="E1248" s="11" t="s">
        <v>185</v>
      </c>
      <c r="F1248" s="11" t="s">
        <v>91</v>
      </c>
      <c r="G1248" s="12" t="n">
        <v>150</v>
      </c>
      <c r="H1248" s="12" t="n">
        <f aca="false">SUMPRODUCT(ПОТОКИ!B13:G13,ЧАСОВЫЕ_ПРОФИЛИ!B20:G20,КОЭФФИЦИЕНТЫ_ВЫБОРА!F39:K39)</f>
        <v>0.2388</v>
      </c>
      <c r="I1248" s="12" t="n">
        <f aca="false">SUMPRODUCT(ПОТОКИ!B13:G13,ЧАСОВЫЕ_ПРОФИЛИ!B20:G20,КОЭФФИЦИЕНТЫ_ВЫБОРА!F39:K39,ПАРАМЕТРЫ!$B$17:$G$17)</f>
        <v>0.26268</v>
      </c>
      <c r="J1248" s="12" t="n">
        <f aca="false">I1248*G1248/1000</f>
        <v>0.039402</v>
      </c>
      <c r="K1248" s="11" t="s">
        <v>217</v>
      </c>
      <c r="L1248" s="11" t="s">
        <v>19</v>
      </c>
      <c r="M1248" s="11" t="s">
        <v>145</v>
      </c>
    </row>
    <row r="1249" customFormat="false" ht="15" hidden="false" customHeight="false" outlineLevel="0" collapsed="false">
      <c r="A1249" s="11" t="s">
        <v>109</v>
      </c>
      <c r="B1249" s="11" t="s">
        <v>133</v>
      </c>
      <c r="C1249" s="11" t="n">
        <v>30</v>
      </c>
      <c r="D1249" s="11" t="s">
        <v>92</v>
      </c>
      <c r="E1249" s="11" t="s">
        <v>186</v>
      </c>
      <c r="F1249" s="11" t="s">
        <v>91</v>
      </c>
      <c r="G1249" s="12" t="n">
        <v>120</v>
      </c>
      <c r="H1249" s="12" t="n">
        <f aca="false">SUMPRODUCT(ПОТОКИ!B13:G13,ЧАСОВЫЕ_ПРОФИЛИ!B20:G20,КОЭФФИЦИЕНТЫ_ВЫБОРА!F40:K40)</f>
        <v>0.2388</v>
      </c>
      <c r="I1249" s="12" t="n">
        <f aca="false">SUMPRODUCT(ПОТОКИ!B13:G13,ЧАСОВЫЕ_ПРОФИЛИ!B20:G20,КОЭФФИЦИЕНТЫ_ВЫБОРА!F40:K40,ПАРАМЕТРЫ!$B$17:$G$17)</f>
        <v>0.26268</v>
      </c>
      <c r="J1249" s="12" t="n">
        <f aca="false">I1249*G1249/1000</f>
        <v>0.0315216</v>
      </c>
      <c r="K1249" s="11" t="s">
        <v>217</v>
      </c>
      <c r="L1249" s="11" t="s">
        <v>19</v>
      </c>
      <c r="M1249" s="11" t="s">
        <v>145</v>
      </c>
    </row>
    <row r="1250" customFormat="false" ht="15" hidden="false" customHeight="false" outlineLevel="0" collapsed="false">
      <c r="A1250" s="11" t="s">
        <v>109</v>
      </c>
      <c r="B1250" s="11" t="s">
        <v>133</v>
      </c>
      <c r="C1250" s="11" t="n">
        <v>31</v>
      </c>
      <c r="D1250" s="11" t="s">
        <v>92</v>
      </c>
      <c r="E1250" s="11" t="s">
        <v>187</v>
      </c>
      <c r="F1250" s="11" t="s">
        <v>91</v>
      </c>
      <c r="G1250" s="12" t="n">
        <v>60</v>
      </c>
      <c r="H1250" s="12" t="n">
        <f aca="false">SUMPRODUCT(ПОТОКИ!B13:G13,ЧАСОВЫЕ_ПРОФИЛИ!B20:G20,КОЭФФИЦИЕНТЫ_ВЫБОРА!F41:K41)</f>
        <v>0.2544</v>
      </c>
      <c r="I1250" s="12" t="n">
        <f aca="false">SUMPRODUCT(ПОТОКИ!B13:G13,ЧАСОВЫЕ_ПРОФИЛИ!B20:G20,КОЭФФИЦИЕНТЫ_ВЫБОРА!F41:K41,ПАРАМЕТРЫ!$B$17:$G$17)</f>
        <v>0.27984</v>
      </c>
      <c r="J1250" s="12" t="n">
        <f aca="false">I1250*G1250/1000</f>
        <v>0.0167904</v>
      </c>
      <c r="K1250" s="11" t="s">
        <v>217</v>
      </c>
      <c r="L1250" s="11" t="s">
        <v>19</v>
      </c>
      <c r="M1250" s="11" t="s">
        <v>145</v>
      </c>
    </row>
    <row r="1251" customFormat="false" ht="15" hidden="false" customHeight="false" outlineLevel="0" collapsed="false">
      <c r="A1251" s="11" t="s">
        <v>109</v>
      </c>
      <c r="B1251" s="11" t="s">
        <v>134</v>
      </c>
      <c r="C1251" s="11" t="n">
        <v>1</v>
      </c>
      <c r="D1251" s="11" t="s">
        <v>74</v>
      </c>
      <c r="E1251" s="11" t="s">
        <v>153</v>
      </c>
      <c r="F1251" s="11" t="s">
        <v>73</v>
      </c>
      <c r="G1251" s="12" t="n">
        <v>450</v>
      </c>
      <c r="H1251" s="12" t="n">
        <f aca="false">SUMPRODUCT(ПОТОКИ!B13:G13,ЧАСОВЫЕ_ПРОФИЛИ!B21:G21,КОЭФФИЦИЕНТЫ_ВЫБОРА!F11:K11)</f>
        <v>0.1756</v>
      </c>
      <c r="I1251" s="12" t="n">
        <f aca="false">SUMPRODUCT(ПОТОКИ!B13:G13,ЧАСОВЫЕ_ПРОФИЛИ!B21:G21,КОЭФФИЦИЕНТЫ_ВЫБОРА!F11:K11,ПАРАМЕТРЫ!$B$17:$G$17)</f>
        <v>0.19316</v>
      </c>
      <c r="J1251" s="12" t="n">
        <f aca="false">I1251*G1251/1000</f>
        <v>0.086922</v>
      </c>
      <c r="K1251" s="11" t="s">
        <v>217</v>
      </c>
      <c r="L1251" s="11" t="s">
        <v>19</v>
      </c>
      <c r="M1251" s="11" t="s">
        <v>145</v>
      </c>
    </row>
    <row r="1252" customFormat="false" ht="15" hidden="false" customHeight="false" outlineLevel="0" collapsed="false">
      <c r="A1252" s="11" t="s">
        <v>109</v>
      </c>
      <c r="B1252" s="11" t="s">
        <v>134</v>
      </c>
      <c r="C1252" s="11" t="n">
        <v>2</v>
      </c>
      <c r="D1252" s="11" t="s">
        <v>74</v>
      </c>
      <c r="E1252" s="11" t="s">
        <v>154</v>
      </c>
      <c r="F1252" s="11" t="s">
        <v>73</v>
      </c>
      <c r="G1252" s="12" t="n">
        <v>480</v>
      </c>
      <c r="H1252" s="12" t="n">
        <f aca="false">SUMPRODUCT(ПОТОКИ!B13:G13,ЧАСОВЫЕ_ПРОФИЛИ!B21:G21,КОЭФФИЦИЕНТЫ_ВЫБОРА!F12:K12)</f>
        <v>0.3053</v>
      </c>
      <c r="I1252" s="12" t="n">
        <f aca="false">SUMPRODUCT(ПОТОКИ!B13:G13,ЧАСОВЫЕ_ПРОФИЛИ!B21:G21,КОЭФФИЦИЕНТЫ_ВЫБОРА!F12:K12,ПАРАМЕТРЫ!$B$17:$G$17)</f>
        <v>0.33583</v>
      </c>
      <c r="J1252" s="12" t="n">
        <f aca="false">I1252*G1252/1000</f>
        <v>0.1611984</v>
      </c>
      <c r="K1252" s="11" t="s">
        <v>217</v>
      </c>
      <c r="L1252" s="11" t="s">
        <v>19</v>
      </c>
      <c r="M1252" s="11" t="s">
        <v>145</v>
      </c>
    </row>
    <row r="1253" customFormat="false" ht="15" hidden="false" customHeight="false" outlineLevel="0" collapsed="false">
      <c r="A1253" s="11" t="s">
        <v>109</v>
      </c>
      <c r="B1253" s="11" t="s">
        <v>134</v>
      </c>
      <c r="C1253" s="11" t="n">
        <v>3</v>
      </c>
      <c r="D1253" s="11" t="s">
        <v>74</v>
      </c>
      <c r="E1253" s="11" t="s">
        <v>155</v>
      </c>
      <c r="F1253" s="11" t="s">
        <v>73</v>
      </c>
      <c r="G1253" s="12" t="n">
        <v>500</v>
      </c>
      <c r="H1253" s="12" t="n">
        <f aca="false">SUMPRODUCT(ПОТОКИ!B13:G13,ЧАСОВЫЕ_ПРОФИЛИ!B21:G21,КОЭФФИЦИЕНТЫ_ВЫБОРА!F13:K13)</f>
        <v>0.4517</v>
      </c>
      <c r="I1253" s="12" t="n">
        <f aca="false">SUMPRODUCT(ПОТОКИ!B13:G13,ЧАСОВЫЕ_ПРОФИЛИ!B21:G21,КОЭФФИЦИЕНТЫ_ВЫБОРА!F13:K13,ПАРАМЕТРЫ!$B$17:$G$17)</f>
        <v>0.49687</v>
      </c>
      <c r="J1253" s="12" t="n">
        <f aca="false">I1253*G1253/1000</f>
        <v>0.248435</v>
      </c>
      <c r="K1253" s="11" t="s">
        <v>217</v>
      </c>
      <c r="L1253" s="11" t="s">
        <v>19</v>
      </c>
      <c r="M1253" s="11" t="s">
        <v>145</v>
      </c>
    </row>
    <row r="1254" customFormat="false" ht="15" hidden="false" customHeight="false" outlineLevel="0" collapsed="false">
      <c r="A1254" s="11" t="s">
        <v>109</v>
      </c>
      <c r="B1254" s="11" t="s">
        <v>134</v>
      </c>
      <c r="C1254" s="11" t="n">
        <v>4</v>
      </c>
      <c r="D1254" s="11" t="s">
        <v>74</v>
      </c>
      <c r="E1254" s="11" t="s">
        <v>156</v>
      </c>
      <c r="F1254" s="11" t="s">
        <v>73</v>
      </c>
      <c r="G1254" s="12" t="n">
        <v>500</v>
      </c>
      <c r="H1254" s="12" t="n">
        <f aca="false">SUMPRODUCT(ПОТОКИ!B13:G13,ЧАСОВЫЕ_ПРОФИЛИ!B21:G21,КОЭФФИЦИЕНТЫ_ВЫБОРА!F14:K14)</f>
        <v>0.5814</v>
      </c>
      <c r="I1254" s="12" t="n">
        <f aca="false">SUMPRODUCT(ПОТОКИ!B13:G13,ЧАСОВЫЕ_ПРОФИЛИ!B21:G21,КОЭФФИЦИЕНТЫ_ВЫБОРА!F14:K14,ПАРАМЕТРЫ!$B$17:$G$17)</f>
        <v>0.63954</v>
      </c>
      <c r="J1254" s="12" t="n">
        <f aca="false">I1254*G1254/1000</f>
        <v>0.31977</v>
      </c>
      <c r="K1254" s="11" t="s">
        <v>217</v>
      </c>
      <c r="L1254" s="11" t="s">
        <v>19</v>
      </c>
      <c r="M1254" s="11" t="s">
        <v>145</v>
      </c>
    </row>
    <row r="1255" customFormat="false" ht="15" hidden="false" customHeight="false" outlineLevel="0" collapsed="false">
      <c r="A1255" s="11" t="s">
        <v>109</v>
      </c>
      <c r="B1255" s="11" t="s">
        <v>134</v>
      </c>
      <c r="C1255" s="11" t="n">
        <v>5</v>
      </c>
      <c r="D1255" s="11" t="s">
        <v>78</v>
      </c>
      <c r="E1255" s="11" t="s">
        <v>157</v>
      </c>
      <c r="F1255" s="11" t="s">
        <v>77</v>
      </c>
      <c r="G1255" s="12" t="n">
        <v>100</v>
      </c>
      <c r="H1255" s="12" t="n">
        <f aca="false">SUMPRODUCT(ПОТОКИ!B13:G13,ЧАСОВЫЕ_ПРОФИЛИ!B21:G21,КОЭФФИЦИЕНТЫ_ВЫБОРА!F15:K15)</f>
        <v>0.4518</v>
      </c>
      <c r="I1255" s="12" t="n">
        <f aca="false">SUMPRODUCT(ПОТОКИ!B13:G13,ЧАСОВЫЕ_ПРОФИЛИ!B21:G21,КОЭФФИЦИЕНТЫ_ВЫБОРА!F15:K15,ПАРАМЕТРЫ!$B$17:$G$17)</f>
        <v>0.49698</v>
      </c>
      <c r="J1255" s="12" t="n">
        <f aca="false">I1255*G1255/1000</f>
        <v>0.049698</v>
      </c>
      <c r="K1255" s="11" t="s">
        <v>217</v>
      </c>
      <c r="L1255" s="11" t="s">
        <v>19</v>
      </c>
      <c r="M1255" s="11" t="s">
        <v>147</v>
      </c>
    </row>
    <row r="1256" customFormat="false" ht="15" hidden="false" customHeight="false" outlineLevel="0" collapsed="false">
      <c r="A1256" s="11" t="s">
        <v>109</v>
      </c>
      <c r="B1256" s="11" t="s">
        <v>134</v>
      </c>
      <c r="C1256" s="11" t="n">
        <v>6</v>
      </c>
      <c r="D1256" s="11" t="s">
        <v>78</v>
      </c>
      <c r="E1256" s="11" t="s">
        <v>158</v>
      </c>
      <c r="F1256" s="11" t="s">
        <v>77</v>
      </c>
      <c r="G1256" s="12" t="n">
        <v>100</v>
      </c>
      <c r="H1256" s="12" t="n">
        <f aca="false">SUMPRODUCT(ПОТОКИ!B13:G13,ЧАСОВЫЕ_ПРОФИЛИ!B21:G21,КОЭФФИЦИЕНТЫ_ВЫБОРА!F16:K16)</f>
        <v>0.4301</v>
      </c>
      <c r="I1256" s="12" t="n">
        <f aca="false">SUMPRODUCT(ПОТОКИ!B13:G13,ЧАСОВЫЕ_ПРОФИЛИ!B21:G21,КОЭФФИЦИЕНТЫ_ВЫБОРА!F16:K16,ПАРАМЕТРЫ!$B$17:$G$17)</f>
        <v>0.47311</v>
      </c>
      <c r="J1256" s="12" t="n">
        <f aca="false">I1256*G1256/1000</f>
        <v>0.047311</v>
      </c>
      <c r="K1256" s="11" t="s">
        <v>217</v>
      </c>
      <c r="L1256" s="11" t="s">
        <v>19</v>
      </c>
      <c r="M1256" s="11" t="s">
        <v>147</v>
      </c>
    </row>
    <row r="1257" customFormat="false" ht="15" hidden="false" customHeight="false" outlineLevel="0" collapsed="false">
      <c r="A1257" s="11" t="s">
        <v>109</v>
      </c>
      <c r="B1257" s="11" t="s">
        <v>134</v>
      </c>
      <c r="C1257" s="11" t="n">
        <v>7</v>
      </c>
      <c r="D1257" s="11" t="s">
        <v>78</v>
      </c>
      <c r="E1257" s="11" t="s">
        <v>159</v>
      </c>
      <c r="F1257" s="11" t="s">
        <v>77</v>
      </c>
      <c r="G1257" s="12" t="n">
        <v>350</v>
      </c>
      <c r="H1257" s="12" t="n">
        <f aca="false">SUMPRODUCT(ПОТОКИ!B13:G13,ЧАСОВЫЕ_ПРОФИЛИ!B21:G21,КОЭФФИЦИЕНТЫ_ВЫБОРА!F17:K17)</f>
        <v>0.3701</v>
      </c>
      <c r="I1257" s="12" t="n">
        <f aca="false">SUMPRODUCT(ПОТОКИ!B13:G13,ЧАСОВЫЕ_ПРОФИЛИ!B21:G21,КОЭФФИЦИЕНТЫ_ВЫБОРА!F17:K17,ПАРАМЕТРЫ!$B$17:$G$17)</f>
        <v>0.40711</v>
      </c>
      <c r="J1257" s="12" t="n">
        <f aca="false">I1257*G1257/1000</f>
        <v>0.1424885</v>
      </c>
      <c r="K1257" s="11" t="s">
        <v>217</v>
      </c>
      <c r="L1257" s="11" t="s">
        <v>19</v>
      </c>
      <c r="M1257" s="11" t="s">
        <v>147</v>
      </c>
    </row>
    <row r="1258" customFormat="false" ht="15" hidden="false" customHeight="false" outlineLevel="0" collapsed="false">
      <c r="A1258" s="11" t="s">
        <v>109</v>
      </c>
      <c r="B1258" s="11" t="s">
        <v>134</v>
      </c>
      <c r="C1258" s="11" t="n">
        <v>8</v>
      </c>
      <c r="D1258" s="11" t="s">
        <v>78</v>
      </c>
      <c r="E1258" s="11" t="s">
        <v>160</v>
      </c>
      <c r="F1258" s="11" t="s">
        <v>77</v>
      </c>
      <c r="G1258" s="12" t="n">
        <v>85</v>
      </c>
      <c r="H1258" s="12" t="n">
        <f aca="false">SUMPRODUCT(ПОТОКИ!B13:G13,ЧАСОВЫЕ_ПРОФИЛИ!B21:G21,КОЭФФИЦИЕНТЫ_ВЫБОРА!F18:K18)</f>
        <v>0.2284</v>
      </c>
      <c r="I1258" s="12" t="n">
        <f aca="false">SUMPRODUCT(ПОТОКИ!B13:G13,ЧАСОВЫЕ_ПРОФИЛИ!B21:G21,КОЭФФИЦИЕНТЫ_ВЫБОРА!F18:K18,ПАРАМЕТРЫ!$B$17:$G$17)</f>
        <v>0.25124</v>
      </c>
      <c r="J1258" s="12" t="n">
        <f aca="false">I1258*G1258/1000</f>
        <v>0.0213554</v>
      </c>
      <c r="K1258" s="11" t="s">
        <v>217</v>
      </c>
      <c r="L1258" s="11" t="s">
        <v>19</v>
      </c>
      <c r="M1258" s="11" t="s">
        <v>147</v>
      </c>
    </row>
    <row r="1259" customFormat="false" ht="15" hidden="false" customHeight="false" outlineLevel="0" collapsed="false">
      <c r="A1259" s="11" t="s">
        <v>109</v>
      </c>
      <c r="B1259" s="11" t="s">
        <v>134</v>
      </c>
      <c r="C1259" s="11" t="n">
        <v>9</v>
      </c>
      <c r="D1259" s="11" t="s">
        <v>161</v>
      </c>
      <c r="E1259" s="11" t="s">
        <v>162</v>
      </c>
      <c r="F1259" s="11" t="s">
        <v>80</v>
      </c>
      <c r="G1259" s="12" t="n">
        <v>300</v>
      </c>
      <c r="H1259" s="12" t="n">
        <f aca="false">SUMPRODUCT(ПОТОКИ!B13:G13,ЧАСОВЫЕ_ПРОФИЛИ!B21:G21,КОЭФФИЦИЕНТЫ_ВЫБОРА!F19:K19)</f>
        <v>0.215</v>
      </c>
      <c r="I1259" s="12" t="n">
        <f aca="false">SUMPRODUCT(ПОТОКИ!B13:G13,ЧАСОВЫЕ_ПРОФИЛИ!B21:G21,КОЭФФИЦИЕНТЫ_ВЫБОРА!F19:K19,ПАРАМЕТРЫ!$B$17:$G$17)</f>
        <v>0.2365</v>
      </c>
      <c r="J1259" s="12" t="n">
        <f aca="false">I1259*G1259/1000</f>
        <v>0.07095</v>
      </c>
      <c r="K1259" s="11" t="s">
        <v>217</v>
      </c>
      <c r="L1259" s="11" t="s">
        <v>19</v>
      </c>
      <c r="M1259" s="11" t="s">
        <v>145</v>
      </c>
    </row>
    <row r="1260" customFormat="false" ht="15" hidden="false" customHeight="false" outlineLevel="0" collapsed="false">
      <c r="A1260" s="11" t="s">
        <v>109</v>
      </c>
      <c r="B1260" s="11" t="s">
        <v>134</v>
      </c>
      <c r="C1260" s="11" t="n">
        <v>10</v>
      </c>
      <c r="D1260" s="11" t="s">
        <v>161</v>
      </c>
      <c r="E1260" s="11" t="s">
        <v>163</v>
      </c>
      <c r="F1260" s="11" t="s">
        <v>80</v>
      </c>
      <c r="G1260" s="12" t="n">
        <v>280</v>
      </c>
      <c r="H1260" s="12" t="n">
        <f aca="false">SUMPRODUCT(ПОТОКИ!B13:G13,ЧАСОВЫЕ_ПРОФИЛИ!B21:G21,КОЭФФИЦИЕНТЫ_ВЫБОРА!F20:K20)</f>
        <v>0.251</v>
      </c>
      <c r="I1260" s="12" t="n">
        <f aca="false">SUMPRODUCT(ПОТОКИ!B13:G13,ЧАСОВЫЕ_ПРОФИЛИ!B21:G21,КОЭФФИЦИЕНТЫ_ВЫБОРА!F20:K20,ПАРАМЕТРЫ!$B$17:$G$17)</f>
        <v>0.2761</v>
      </c>
      <c r="J1260" s="12" t="n">
        <f aca="false">I1260*G1260/1000</f>
        <v>0.077308</v>
      </c>
      <c r="K1260" s="11" t="s">
        <v>217</v>
      </c>
      <c r="L1260" s="11" t="s">
        <v>19</v>
      </c>
      <c r="M1260" s="11" t="s">
        <v>145</v>
      </c>
    </row>
    <row r="1261" customFormat="false" ht="15" hidden="false" customHeight="false" outlineLevel="0" collapsed="false">
      <c r="A1261" s="11" t="s">
        <v>109</v>
      </c>
      <c r="B1261" s="11" t="s">
        <v>134</v>
      </c>
      <c r="C1261" s="11" t="n">
        <v>11</v>
      </c>
      <c r="D1261" s="11" t="s">
        <v>161</v>
      </c>
      <c r="E1261" s="11" t="s">
        <v>164</v>
      </c>
      <c r="F1261" s="11" t="s">
        <v>80</v>
      </c>
      <c r="G1261" s="12" t="n">
        <v>270</v>
      </c>
      <c r="H1261" s="12" t="n">
        <f aca="false">SUMPRODUCT(ПОТОКИ!B13:G13,ЧАСОВЫЕ_ПРОФИЛИ!B21:G21,КОЭФФИЦИЕНТЫ_ВЫБОРА!F21:K21)</f>
        <v>0.42485</v>
      </c>
      <c r="I1261" s="12" t="n">
        <f aca="false">SUMPRODUCT(ПОТОКИ!B13:G13,ЧАСОВЫЕ_ПРОФИЛИ!B21:G21,КОЭФФИЦИЕНТЫ_ВЫБОРА!F21:K21,ПАРАМЕТРЫ!$B$17:$G$17)</f>
        <v>0.467335</v>
      </c>
      <c r="J1261" s="12" t="n">
        <f aca="false">I1261*G1261/1000</f>
        <v>0.12618045</v>
      </c>
      <c r="K1261" s="11" t="s">
        <v>217</v>
      </c>
      <c r="L1261" s="11" t="s">
        <v>19</v>
      </c>
      <c r="M1261" s="11" t="s">
        <v>145</v>
      </c>
    </row>
    <row r="1262" customFormat="false" ht="15" hidden="false" customHeight="false" outlineLevel="0" collapsed="false">
      <c r="A1262" s="11" t="s">
        <v>109</v>
      </c>
      <c r="B1262" s="11" t="s">
        <v>134</v>
      </c>
      <c r="C1262" s="11" t="n">
        <v>12</v>
      </c>
      <c r="D1262" s="11" t="s">
        <v>161</v>
      </c>
      <c r="E1262" s="11" t="s">
        <v>165</v>
      </c>
      <c r="F1262" s="11" t="s">
        <v>80</v>
      </c>
      <c r="G1262" s="12" t="n">
        <v>240</v>
      </c>
      <c r="H1262" s="12" t="n">
        <f aca="false">SUMPRODUCT(ПОТОКИ!B13:G13,ЧАСОВЫЕ_ПРОФИЛИ!B21:G21,КОЭФФИЦИЕНТЫ_ВЫБОРА!F22:K22)</f>
        <v>0.22015</v>
      </c>
      <c r="I1262" s="12" t="n">
        <f aca="false">SUMPRODUCT(ПОТОКИ!B13:G13,ЧАСОВЫЕ_ПРОФИЛИ!B21:G21,КОЭФФИЦИЕНТЫ_ВЫБОРА!F22:K22,ПАРАМЕТРЫ!$B$17:$G$17)</f>
        <v>0.242165</v>
      </c>
      <c r="J1262" s="12" t="n">
        <f aca="false">I1262*G1262/1000</f>
        <v>0.0581196</v>
      </c>
      <c r="K1262" s="11" t="s">
        <v>217</v>
      </c>
      <c r="L1262" s="11" t="s">
        <v>19</v>
      </c>
      <c r="M1262" s="11" t="s">
        <v>145</v>
      </c>
    </row>
    <row r="1263" customFormat="false" ht="15" hidden="false" customHeight="false" outlineLevel="0" collapsed="false">
      <c r="A1263" s="11" t="s">
        <v>109</v>
      </c>
      <c r="B1263" s="11" t="s">
        <v>134</v>
      </c>
      <c r="C1263" s="11" t="n">
        <v>13</v>
      </c>
      <c r="D1263" s="11" t="s">
        <v>166</v>
      </c>
      <c r="E1263" s="11" t="s">
        <v>167</v>
      </c>
      <c r="F1263" s="11" t="s">
        <v>80</v>
      </c>
      <c r="G1263" s="12" t="n">
        <v>130</v>
      </c>
      <c r="H1263" s="12" t="n">
        <f aca="false">SUMPRODUCT(ПОТОКИ!B13:G13,ЧАСОВЫЕ_ПРОФИЛИ!B21:G21,КОЭФФИЦИЕНТЫ_ВЫБОРА!F23:K23)</f>
        <v>0.116</v>
      </c>
      <c r="I1263" s="12" t="n">
        <f aca="false">SUMPRODUCT(ПОТОКИ!B13:G13,ЧАСОВЫЕ_ПРОФИЛИ!B21:G21,КОЭФФИЦИЕНТЫ_ВЫБОРА!F23:K23,ПАРАМЕТРЫ!$B$17:$G$17)</f>
        <v>0.1276</v>
      </c>
      <c r="J1263" s="12" t="n">
        <f aca="false">I1263*G1263/1000</f>
        <v>0.016588</v>
      </c>
      <c r="K1263" s="11" t="s">
        <v>217</v>
      </c>
      <c r="L1263" s="11" t="s">
        <v>19</v>
      </c>
      <c r="M1263" s="11" t="s">
        <v>145</v>
      </c>
    </row>
    <row r="1264" customFormat="false" ht="15" hidden="false" customHeight="false" outlineLevel="0" collapsed="false">
      <c r="A1264" s="11" t="s">
        <v>109</v>
      </c>
      <c r="B1264" s="11" t="s">
        <v>134</v>
      </c>
      <c r="C1264" s="11" t="n">
        <v>14</v>
      </c>
      <c r="D1264" s="11" t="s">
        <v>166</v>
      </c>
      <c r="E1264" s="11" t="s">
        <v>168</v>
      </c>
      <c r="F1264" s="11" t="s">
        <v>80</v>
      </c>
      <c r="G1264" s="12" t="n">
        <v>250</v>
      </c>
      <c r="H1264" s="12" t="n">
        <f aca="false">SUMPRODUCT(ПОТОКИ!B13:G13,ЧАСОВЫЕ_ПРОФИЛИ!B21:G21,КОЭФФИЦИЕНТЫ_ВЫБОРА!F24:K24)</f>
        <v>0.0826</v>
      </c>
      <c r="I1264" s="12" t="n">
        <f aca="false">SUMPRODUCT(ПОТОКИ!B13:G13,ЧАСОВЫЕ_ПРОФИЛИ!B21:G21,КОЭФФИЦИЕНТЫ_ВЫБОРА!F24:K24,ПАРАМЕТРЫ!$B$17:$G$17)</f>
        <v>0.09086</v>
      </c>
      <c r="J1264" s="12" t="n">
        <f aca="false">I1264*G1264/1000</f>
        <v>0.022715</v>
      </c>
      <c r="K1264" s="11" t="s">
        <v>217</v>
      </c>
      <c r="L1264" s="11" t="s">
        <v>19</v>
      </c>
      <c r="M1264" s="11" t="s">
        <v>145</v>
      </c>
    </row>
    <row r="1265" customFormat="false" ht="15" hidden="false" customHeight="false" outlineLevel="0" collapsed="false">
      <c r="A1265" s="11" t="s">
        <v>109</v>
      </c>
      <c r="B1265" s="11" t="s">
        <v>134</v>
      </c>
      <c r="C1265" s="11" t="n">
        <v>15</v>
      </c>
      <c r="D1265" s="11" t="s">
        <v>166</v>
      </c>
      <c r="E1265" s="11" t="s">
        <v>169</v>
      </c>
      <c r="F1265" s="11" t="s">
        <v>80</v>
      </c>
      <c r="G1265" s="12" t="n">
        <v>120</v>
      </c>
      <c r="H1265" s="12" t="n">
        <f aca="false">SUMPRODUCT(ПОТОКИ!B13:G13,ЧАСОВЫЕ_ПРОФИЛИ!B21:G21,КОЭФФИЦИЕНТЫ_ВЫБОРА!F25:K25)</f>
        <v>0.0676</v>
      </c>
      <c r="I1265" s="12" t="n">
        <f aca="false">SUMPRODUCT(ПОТОКИ!B13:G13,ЧАСОВЫЕ_ПРОФИЛИ!B21:G21,КОЭФФИЦИЕНТЫ_ВЫБОРА!F25:K25,ПАРАМЕТРЫ!$B$17:$G$17)</f>
        <v>0.07436</v>
      </c>
      <c r="J1265" s="12" t="n">
        <f aca="false">I1265*G1265/1000</f>
        <v>0.0089232</v>
      </c>
      <c r="K1265" s="11" t="s">
        <v>217</v>
      </c>
      <c r="L1265" s="11" t="s">
        <v>19</v>
      </c>
      <c r="M1265" s="11" t="s">
        <v>145</v>
      </c>
    </row>
    <row r="1266" customFormat="false" ht="15" hidden="false" customHeight="false" outlineLevel="0" collapsed="false">
      <c r="A1266" s="11" t="s">
        <v>109</v>
      </c>
      <c r="B1266" s="11" t="s">
        <v>134</v>
      </c>
      <c r="C1266" s="11" t="n">
        <v>16</v>
      </c>
      <c r="D1266" s="11" t="s">
        <v>166</v>
      </c>
      <c r="E1266" s="11" t="s">
        <v>170</v>
      </c>
      <c r="F1266" s="11" t="s">
        <v>80</v>
      </c>
      <c r="G1266" s="12" t="n">
        <v>180</v>
      </c>
      <c r="H1266" s="12" t="n">
        <f aca="false">SUMPRODUCT(ПОТОКИ!B13:G13,ЧАСОВЫЕ_ПРОФИЛИ!B21:G21,КОЭФФИЦИЕНТЫ_ВЫБОРА!F26:K26)</f>
        <v>0.1018</v>
      </c>
      <c r="I1266" s="12" t="n">
        <f aca="false">SUMPRODUCT(ПОТОКИ!B13:G13,ЧАСОВЫЕ_ПРОФИЛИ!B21:G21,КОЭФФИЦИЕНТЫ_ВЫБОРА!F26:K26,ПАРАМЕТРЫ!$B$17:$G$17)</f>
        <v>0.11198</v>
      </c>
      <c r="J1266" s="12" t="n">
        <f aca="false">I1266*G1266/1000</f>
        <v>0.0201564</v>
      </c>
      <c r="K1266" s="11" t="s">
        <v>217</v>
      </c>
      <c r="L1266" s="11" t="s">
        <v>19</v>
      </c>
      <c r="M1266" s="11" t="s">
        <v>145</v>
      </c>
    </row>
    <row r="1267" customFormat="false" ht="15" hidden="false" customHeight="false" outlineLevel="0" collapsed="false">
      <c r="A1267" s="11" t="s">
        <v>109</v>
      </c>
      <c r="B1267" s="11" t="s">
        <v>134</v>
      </c>
      <c r="C1267" s="11" t="n">
        <v>17</v>
      </c>
      <c r="D1267" s="11" t="s">
        <v>166</v>
      </c>
      <c r="E1267" s="11" t="s">
        <v>171</v>
      </c>
      <c r="F1267" s="11" t="s">
        <v>80</v>
      </c>
      <c r="G1267" s="12" t="n">
        <v>180</v>
      </c>
      <c r="H1267" s="12" t="n">
        <f aca="false">SUMPRODUCT(ПОТОКИ!B13:G13,ЧАСОВЫЕ_ПРОФИЛИ!B21:G21,КОЭФФИЦИЕНТЫ_ВЫБОРА!F27:K27)</f>
        <v>0.116</v>
      </c>
      <c r="I1267" s="12" t="n">
        <f aca="false">SUMPRODUCT(ПОТОКИ!B13:G13,ЧАСОВЫЕ_ПРОФИЛИ!B21:G21,КОЭФФИЦИЕНТЫ_ВЫБОРА!F27:K27,ПАРАМЕТРЫ!$B$17:$G$17)</f>
        <v>0.1276</v>
      </c>
      <c r="J1267" s="12" t="n">
        <f aca="false">I1267*G1267/1000</f>
        <v>0.022968</v>
      </c>
      <c r="K1267" s="11" t="s">
        <v>217</v>
      </c>
      <c r="L1267" s="11" t="s">
        <v>19</v>
      </c>
      <c r="M1267" s="11" t="s">
        <v>145</v>
      </c>
    </row>
    <row r="1268" customFormat="false" ht="15" hidden="false" customHeight="false" outlineLevel="0" collapsed="false">
      <c r="A1268" s="11" t="s">
        <v>109</v>
      </c>
      <c r="B1268" s="11" t="s">
        <v>134</v>
      </c>
      <c r="C1268" s="11" t="n">
        <v>18</v>
      </c>
      <c r="D1268" s="11" t="s">
        <v>172</v>
      </c>
      <c r="E1268" s="11" t="s">
        <v>173</v>
      </c>
      <c r="F1268" s="11" t="s">
        <v>83</v>
      </c>
      <c r="G1268" s="12" t="n">
        <v>400</v>
      </c>
      <c r="H1268" s="12" t="n">
        <f aca="false">SUMPRODUCT(ПОТОКИ!B13:G13,ЧАСОВЫЕ_ПРОФИЛИ!B21:G21,КОЭФФИЦИЕНТЫ_ВЫБОРА!F28:K28)</f>
        <v>0.192</v>
      </c>
      <c r="I1268" s="12" t="n">
        <f aca="false">SUMPRODUCT(ПОТОКИ!B13:G13,ЧАСОВЫЕ_ПРОФИЛИ!B21:G21,КОЭФФИЦИЕНТЫ_ВЫБОРА!F28:K28,ПАРАМЕТРЫ!$B$17:$G$17)</f>
        <v>0.2112</v>
      </c>
      <c r="J1268" s="12" t="n">
        <f aca="false">I1268*G1268/1000</f>
        <v>0.08448</v>
      </c>
      <c r="K1268" s="11" t="s">
        <v>217</v>
      </c>
      <c r="L1268" s="11" t="s">
        <v>19</v>
      </c>
      <c r="M1268" s="11" t="s">
        <v>145</v>
      </c>
    </row>
    <row r="1269" customFormat="false" ht="23.85" hidden="false" customHeight="false" outlineLevel="0" collapsed="false">
      <c r="A1269" s="11" t="s">
        <v>109</v>
      </c>
      <c r="B1269" s="11" t="s">
        <v>134</v>
      </c>
      <c r="C1269" s="11" t="n">
        <v>19</v>
      </c>
      <c r="D1269" s="11" t="s">
        <v>174</v>
      </c>
      <c r="E1269" s="11" t="s">
        <v>175</v>
      </c>
      <c r="F1269" s="11" t="s">
        <v>83</v>
      </c>
      <c r="G1269" s="12" t="n">
        <v>300</v>
      </c>
      <c r="H1269" s="12" t="n">
        <f aca="false">SUMPRODUCT(ПОТОКИ!B13:G13,ЧАСОВЫЕ_ПРОФИЛИ!B21:G21,КОЭФФИЦИЕНТЫ_ВЫБОРА!F29:K29)</f>
        <v>0.6315</v>
      </c>
      <c r="I1269" s="12" t="n">
        <f aca="false">SUMPRODUCT(ПОТОКИ!B13:G13,ЧАСОВЫЕ_ПРОФИЛИ!B21:G21,КОЭФФИЦИЕНТЫ_ВЫБОРА!F29:K29,ПАРАМЕТРЫ!$B$17:$G$17)</f>
        <v>0.69465</v>
      </c>
      <c r="J1269" s="12" t="n">
        <f aca="false">I1269*G1269/1000</f>
        <v>0.208395</v>
      </c>
      <c r="K1269" s="11" t="s">
        <v>217</v>
      </c>
      <c r="L1269" s="11" t="s">
        <v>19</v>
      </c>
      <c r="M1269" s="11" t="s">
        <v>145</v>
      </c>
    </row>
    <row r="1270" customFormat="false" ht="15" hidden="false" customHeight="false" outlineLevel="0" collapsed="false">
      <c r="A1270" s="11" t="s">
        <v>109</v>
      </c>
      <c r="B1270" s="11" t="s">
        <v>134</v>
      </c>
      <c r="C1270" s="11" t="n">
        <v>20</v>
      </c>
      <c r="D1270" s="11" t="s">
        <v>174</v>
      </c>
      <c r="E1270" s="11" t="s">
        <v>176</v>
      </c>
      <c r="F1270" s="11" t="s">
        <v>83</v>
      </c>
      <c r="G1270" s="12" t="n">
        <v>360</v>
      </c>
      <c r="H1270" s="12" t="n">
        <f aca="false">SUMPRODUCT(ПОТОКИ!B13:G13,ЧАСОВЫЕ_ПРОФИЛИ!B21:G21,КОЭФФИЦИЕНТЫ_ВЫБОРА!F30:K30)</f>
        <v>0.5746</v>
      </c>
      <c r="I1270" s="12" t="n">
        <f aca="false">SUMPRODUCT(ПОТОКИ!B13:G13,ЧАСОВЫЕ_ПРОФИЛИ!B21:G21,КОЭФФИЦИЕНТЫ_ВЫБОРА!F30:K30,ПАРАМЕТРЫ!$B$17:$G$17)</f>
        <v>0.63206</v>
      </c>
      <c r="J1270" s="12" t="n">
        <f aca="false">I1270*G1270/1000</f>
        <v>0.2275416</v>
      </c>
      <c r="K1270" s="11" t="s">
        <v>217</v>
      </c>
      <c r="L1270" s="11" t="s">
        <v>19</v>
      </c>
      <c r="M1270" s="11" t="s">
        <v>145</v>
      </c>
    </row>
    <row r="1271" customFormat="false" ht="15" hidden="false" customHeight="false" outlineLevel="0" collapsed="false">
      <c r="A1271" s="11" t="s">
        <v>109</v>
      </c>
      <c r="B1271" s="11" t="s">
        <v>134</v>
      </c>
      <c r="C1271" s="11" t="n">
        <v>21</v>
      </c>
      <c r="D1271" s="11" t="s">
        <v>174</v>
      </c>
      <c r="E1271" s="11" t="s">
        <v>177</v>
      </c>
      <c r="F1271" s="11" t="s">
        <v>83</v>
      </c>
      <c r="G1271" s="12" t="n">
        <v>350</v>
      </c>
      <c r="H1271" s="12" t="n">
        <f aca="false">SUMPRODUCT(ПОТОКИ!B13:G13,ЧАСОВЫЕ_ПРОФИЛИ!B21:G21,КОЭФФИЦИЕНТЫ_ВЫБОРА!F31:K31)</f>
        <v>0.86465</v>
      </c>
      <c r="I1271" s="12" t="n">
        <f aca="false">SUMPRODUCT(ПОТОКИ!B13:G13,ЧАСОВЫЕ_ПРОФИЛИ!B21:G21,КОЭФФИЦИЕНТЫ_ВЫБОРА!F31:K31,ПАРАМЕТРЫ!$B$17:$G$17)</f>
        <v>0.951115</v>
      </c>
      <c r="J1271" s="12" t="n">
        <f aca="false">I1271*G1271/1000</f>
        <v>0.33289025</v>
      </c>
      <c r="K1271" s="11" t="s">
        <v>217</v>
      </c>
      <c r="L1271" s="11" t="s">
        <v>19</v>
      </c>
      <c r="M1271" s="11" t="s">
        <v>145</v>
      </c>
    </row>
    <row r="1272" customFormat="false" ht="15" hidden="false" customHeight="false" outlineLevel="0" collapsed="false">
      <c r="A1272" s="11" t="s">
        <v>109</v>
      </c>
      <c r="B1272" s="11" t="s">
        <v>134</v>
      </c>
      <c r="C1272" s="11" t="n">
        <v>22</v>
      </c>
      <c r="D1272" s="11" t="s">
        <v>174</v>
      </c>
      <c r="E1272" s="11" t="s">
        <v>178</v>
      </c>
      <c r="F1272" s="11" t="s">
        <v>83</v>
      </c>
      <c r="G1272" s="12" t="n">
        <v>300</v>
      </c>
      <c r="H1272" s="12" t="n">
        <f aca="false">SUMPRODUCT(ПОТОКИ!B13:G13,ЧАСОВЫЕ_ПРОФИЛИ!B21:G21,КОЭФФИЦИЕНТЫ_ВЫБОРА!F32:K32)</f>
        <v>0.56225</v>
      </c>
      <c r="I1272" s="12" t="n">
        <f aca="false">SUMPRODUCT(ПОТОКИ!B13:G13,ЧАСОВЫЕ_ПРОФИЛИ!B21:G21,КОЭФФИЦИЕНТЫ_ВЫБОРА!F32:K32,ПАРАМЕТРЫ!$B$17:$G$17)</f>
        <v>0.618475</v>
      </c>
      <c r="J1272" s="12" t="n">
        <f aca="false">I1272*G1272/1000</f>
        <v>0.1855425</v>
      </c>
      <c r="K1272" s="11" t="s">
        <v>217</v>
      </c>
      <c r="L1272" s="11" t="s">
        <v>19</v>
      </c>
      <c r="M1272" s="11" t="s">
        <v>145</v>
      </c>
    </row>
    <row r="1273" customFormat="false" ht="15" hidden="false" customHeight="false" outlineLevel="0" collapsed="false">
      <c r="A1273" s="11" t="s">
        <v>109</v>
      </c>
      <c r="B1273" s="11" t="s">
        <v>134</v>
      </c>
      <c r="C1273" s="11" t="n">
        <v>23</v>
      </c>
      <c r="D1273" s="11" t="s">
        <v>86</v>
      </c>
      <c r="E1273" s="11" t="s">
        <v>179</v>
      </c>
      <c r="F1273" s="11" t="s">
        <v>85</v>
      </c>
      <c r="G1273" s="12" t="n">
        <v>150</v>
      </c>
      <c r="H1273" s="12" t="n">
        <f aca="false">SUMPRODUCT(ПОТОКИ!B13:G13,ЧАСОВЫЕ_ПРОФИЛИ!B21:G21,КОЭФФИЦИЕНТЫ_ВЫБОРА!F33:K33)</f>
        <v>0.41465775</v>
      </c>
      <c r="I1273" s="12" t="n">
        <f aca="false">SUMPRODUCT(ПОТОКИ!B13:G13,ЧАСОВЫЕ_ПРОФИЛИ!B21:G21,КОЭФФИЦИЕНТЫ_ВЫБОРА!F33:K33,ПАРАМЕТРЫ!$B$17:$G$17)</f>
        <v>0.456123525</v>
      </c>
      <c r="J1273" s="12" t="n">
        <f aca="false">I1273*G1273/1000</f>
        <v>0.06841852875</v>
      </c>
      <c r="K1273" s="11" t="s">
        <v>217</v>
      </c>
      <c r="L1273" s="11" t="s">
        <v>19</v>
      </c>
      <c r="M1273" s="11" t="s">
        <v>147</v>
      </c>
    </row>
    <row r="1274" customFormat="false" ht="15" hidden="false" customHeight="false" outlineLevel="0" collapsed="false">
      <c r="A1274" s="11" t="s">
        <v>109</v>
      </c>
      <c r="B1274" s="11" t="s">
        <v>134</v>
      </c>
      <c r="C1274" s="11" t="n">
        <v>24</v>
      </c>
      <c r="D1274" s="11" t="s">
        <v>86</v>
      </c>
      <c r="E1274" s="11" t="s">
        <v>180</v>
      </c>
      <c r="F1274" s="11" t="s">
        <v>85</v>
      </c>
      <c r="G1274" s="12" t="n">
        <v>150</v>
      </c>
      <c r="H1274" s="12" t="n">
        <f aca="false">SUMPRODUCT(ПОТОКИ!B13:G13,ЧАСОВЫЕ_ПРОФИЛИ!B21:G21,КОЭФФИЦИЕНТЫ_ВЫБОРА!F34:K34)</f>
        <v>0.215457</v>
      </c>
      <c r="I1274" s="12" t="n">
        <f aca="false">SUMPRODUCT(ПОТОКИ!B13:G13,ЧАСОВЫЕ_ПРОФИЛИ!B21:G21,КОЭФФИЦИЕНТЫ_ВЫБОРА!F34:K34,ПАРАМЕТРЫ!$B$17:$G$17)</f>
        <v>0.2370027</v>
      </c>
      <c r="J1274" s="12" t="n">
        <f aca="false">I1274*G1274/1000</f>
        <v>0.035550405</v>
      </c>
      <c r="K1274" s="11" t="s">
        <v>217</v>
      </c>
      <c r="L1274" s="11" t="s">
        <v>19</v>
      </c>
      <c r="M1274" s="11" t="s">
        <v>147</v>
      </c>
    </row>
    <row r="1275" customFormat="false" ht="15" hidden="false" customHeight="false" outlineLevel="0" collapsed="false">
      <c r="A1275" s="11" t="s">
        <v>109</v>
      </c>
      <c r="B1275" s="11" t="s">
        <v>134</v>
      </c>
      <c r="C1275" s="11" t="n">
        <v>25</v>
      </c>
      <c r="D1275" s="11" t="s">
        <v>86</v>
      </c>
      <c r="E1275" s="11" t="s">
        <v>181</v>
      </c>
      <c r="F1275" s="11" t="s">
        <v>85</v>
      </c>
      <c r="G1275" s="12" t="n">
        <v>150</v>
      </c>
      <c r="H1275" s="12" t="n">
        <f aca="false">SUMPRODUCT(ПОТОКИ!B13:G13,ЧАСОВЫЕ_ПРОФИЛИ!B21:G21,КОЭФФИЦИЕНТЫ_ВЫБОРА!F35:K35)</f>
        <v>0.44717025</v>
      </c>
      <c r="I1275" s="12" t="n">
        <f aca="false">SUMPRODUCT(ПОТОКИ!B13:G13,ЧАСОВЫЕ_ПРОФИЛИ!B21:G21,КОЭФФИЦИЕНТЫ_ВЫБОРА!F35:K35,ПАРАМЕТРЫ!$B$17:$G$17)</f>
        <v>0.491887275</v>
      </c>
      <c r="J1275" s="12" t="n">
        <f aca="false">I1275*G1275/1000</f>
        <v>0.07378309125</v>
      </c>
      <c r="K1275" s="11" t="s">
        <v>217</v>
      </c>
      <c r="L1275" s="11" t="s">
        <v>19</v>
      </c>
      <c r="M1275" s="11" t="s">
        <v>147</v>
      </c>
    </row>
    <row r="1276" customFormat="false" ht="23.85" hidden="false" customHeight="false" outlineLevel="0" collapsed="false">
      <c r="A1276" s="11" t="s">
        <v>109</v>
      </c>
      <c r="B1276" s="11" t="s">
        <v>134</v>
      </c>
      <c r="C1276" s="11" t="n">
        <v>26</v>
      </c>
      <c r="D1276" s="11" t="s">
        <v>89</v>
      </c>
      <c r="E1276" s="11" t="s">
        <v>182</v>
      </c>
      <c r="F1276" s="11" t="s">
        <v>88</v>
      </c>
      <c r="G1276" s="12" t="n">
        <v>225</v>
      </c>
      <c r="H1276" s="12" t="n">
        <f aca="false">SUMPRODUCT(ПОТОКИ!B13:G13,ЧАСОВЫЕ_ПРОФИЛИ!B21:G21,КОЭФФИЦИЕНТЫ_ВЫБОРА!F36:K36)</f>
        <v>0</v>
      </c>
      <c r="I1276" s="12" t="n">
        <f aca="false">SUMPRODUCT(ПОТОКИ!B13:G13,ЧАСОВЫЕ_ПРОФИЛИ!B21:G21,КОЭФФИЦИЕНТЫ_ВЫБОРА!F36:K36,ПАРАМЕТРЫ!$B$17:$G$17)</f>
        <v>0</v>
      </c>
      <c r="J1276" s="12" t="n">
        <f aca="false">I1276*G1276/1000</f>
        <v>0</v>
      </c>
      <c r="K1276" s="11" t="s">
        <v>217</v>
      </c>
      <c r="L1276" s="11" t="s">
        <v>19</v>
      </c>
      <c r="M1276" s="11" t="s">
        <v>145</v>
      </c>
    </row>
    <row r="1277" customFormat="false" ht="23.85" hidden="false" customHeight="false" outlineLevel="0" collapsed="false">
      <c r="A1277" s="11" t="s">
        <v>109</v>
      </c>
      <c r="B1277" s="11" t="s">
        <v>134</v>
      </c>
      <c r="C1277" s="11" t="n">
        <v>27</v>
      </c>
      <c r="D1277" s="11" t="s">
        <v>89</v>
      </c>
      <c r="E1277" s="11" t="s">
        <v>183</v>
      </c>
      <c r="F1277" s="11" t="s">
        <v>88</v>
      </c>
      <c r="G1277" s="12" t="n">
        <v>265</v>
      </c>
      <c r="H1277" s="12" t="n">
        <f aca="false">SUMPRODUCT(ПОТОКИ!B13:G13,ЧАСОВЫЕ_ПРОФИЛИ!B21:G21,КОЭФФИЦИЕНТЫ_ВЫБОРА!F37:K37)</f>
        <v>0</v>
      </c>
      <c r="I1277" s="12" t="n">
        <f aca="false">SUMPRODUCT(ПОТОКИ!B13:G13,ЧАСОВЫЕ_ПРОФИЛИ!B21:G21,КОЭФФИЦИЕНТЫ_ВЫБОРА!F37:K37,ПАРАМЕТРЫ!$B$17:$G$17)</f>
        <v>0</v>
      </c>
      <c r="J1277" s="12" t="n">
        <f aca="false">I1277*G1277/1000</f>
        <v>0</v>
      </c>
      <c r="K1277" s="11" t="s">
        <v>217</v>
      </c>
      <c r="L1277" s="11" t="s">
        <v>19</v>
      </c>
      <c r="M1277" s="11" t="s">
        <v>145</v>
      </c>
    </row>
    <row r="1278" customFormat="false" ht="23.85" hidden="false" customHeight="false" outlineLevel="0" collapsed="false">
      <c r="A1278" s="11" t="s">
        <v>109</v>
      </c>
      <c r="B1278" s="11" t="s">
        <v>134</v>
      </c>
      <c r="C1278" s="11" t="n">
        <v>28</v>
      </c>
      <c r="D1278" s="11" t="s">
        <v>89</v>
      </c>
      <c r="E1278" s="11" t="s">
        <v>184</v>
      </c>
      <c r="F1278" s="11" t="s">
        <v>88</v>
      </c>
      <c r="G1278" s="12" t="n">
        <v>355</v>
      </c>
      <c r="H1278" s="12" t="n">
        <f aca="false">SUMPRODUCT(ПОТОКИ!B13:G13,ЧАСОВЫЕ_ПРОФИЛИ!B21:G21,КОЭФФИЦИЕНТЫ_ВЫБОРА!F38:K38)</f>
        <v>0</v>
      </c>
      <c r="I1278" s="12" t="n">
        <f aca="false">SUMPRODUCT(ПОТОКИ!B13:G13,ЧАСОВЫЕ_ПРОФИЛИ!B21:G21,КОЭФФИЦИЕНТЫ_ВЫБОРА!F38:K38,ПАРАМЕТРЫ!$B$17:$G$17)</f>
        <v>0</v>
      </c>
      <c r="J1278" s="12" t="n">
        <f aca="false">I1278*G1278/1000</f>
        <v>0</v>
      </c>
      <c r="K1278" s="11" t="s">
        <v>217</v>
      </c>
      <c r="L1278" s="11" t="s">
        <v>19</v>
      </c>
      <c r="M1278" s="11" t="s">
        <v>145</v>
      </c>
    </row>
    <row r="1279" customFormat="false" ht="15" hidden="false" customHeight="false" outlineLevel="0" collapsed="false">
      <c r="A1279" s="11" t="s">
        <v>109</v>
      </c>
      <c r="B1279" s="11" t="s">
        <v>134</v>
      </c>
      <c r="C1279" s="11" t="n">
        <v>29</v>
      </c>
      <c r="D1279" s="11" t="s">
        <v>92</v>
      </c>
      <c r="E1279" s="11" t="s">
        <v>185</v>
      </c>
      <c r="F1279" s="11" t="s">
        <v>91</v>
      </c>
      <c r="G1279" s="12" t="n">
        <v>150</v>
      </c>
      <c r="H1279" s="12" t="n">
        <f aca="false">SUMPRODUCT(ПОТОКИ!B13:G13,ЧАСОВЫЕ_ПРОФИЛИ!B21:G21,КОЭФФИЦИЕНТЫ_ВЫБОРА!F39:K39)</f>
        <v>0.2772</v>
      </c>
      <c r="I1279" s="12" t="n">
        <f aca="false">SUMPRODUCT(ПОТОКИ!B13:G13,ЧАСОВЫЕ_ПРОФИЛИ!B21:G21,КОЭФФИЦИЕНТЫ_ВЫБОРА!F39:K39,ПАРАМЕТРЫ!$B$17:$G$17)</f>
        <v>0.30492</v>
      </c>
      <c r="J1279" s="12" t="n">
        <f aca="false">I1279*G1279/1000</f>
        <v>0.045738</v>
      </c>
      <c r="K1279" s="11" t="s">
        <v>217</v>
      </c>
      <c r="L1279" s="11" t="s">
        <v>19</v>
      </c>
      <c r="M1279" s="11" t="s">
        <v>145</v>
      </c>
    </row>
    <row r="1280" customFormat="false" ht="15" hidden="false" customHeight="false" outlineLevel="0" collapsed="false">
      <c r="A1280" s="11" t="s">
        <v>109</v>
      </c>
      <c r="B1280" s="11" t="s">
        <v>134</v>
      </c>
      <c r="C1280" s="11" t="n">
        <v>30</v>
      </c>
      <c r="D1280" s="11" t="s">
        <v>92</v>
      </c>
      <c r="E1280" s="11" t="s">
        <v>186</v>
      </c>
      <c r="F1280" s="11" t="s">
        <v>91</v>
      </c>
      <c r="G1280" s="12" t="n">
        <v>120</v>
      </c>
      <c r="H1280" s="12" t="n">
        <f aca="false">SUMPRODUCT(ПОТОКИ!B13:G13,ЧАСОВЫЕ_ПРОФИЛИ!B21:G21,КОЭФФИЦИЕНТЫ_ВЫБОРА!F40:K40)</f>
        <v>0.3272</v>
      </c>
      <c r="I1280" s="12" t="n">
        <f aca="false">SUMPRODUCT(ПОТОКИ!B13:G13,ЧАСОВЫЕ_ПРОФИЛИ!B21:G21,КОЭФФИЦИЕНТЫ_ВЫБОРА!F40:K40,ПАРАМЕТРЫ!$B$17:$G$17)</f>
        <v>0.35992</v>
      </c>
      <c r="J1280" s="12" t="n">
        <f aca="false">I1280*G1280/1000</f>
        <v>0.0431904</v>
      </c>
      <c r="K1280" s="11" t="s">
        <v>217</v>
      </c>
      <c r="L1280" s="11" t="s">
        <v>19</v>
      </c>
      <c r="M1280" s="11" t="s">
        <v>145</v>
      </c>
    </row>
    <row r="1281" customFormat="false" ht="15" hidden="false" customHeight="false" outlineLevel="0" collapsed="false">
      <c r="A1281" s="11" t="s">
        <v>109</v>
      </c>
      <c r="B1281" s="11" t="s">
        <v>134</v>
      </c>
      <c r="C1281" s="11" t="n">
        <v>31</v>
      </c>
      <c r="D1281" s="11" t="s">
        <v>92</v>
      </c>
      <c r="E1281" s="11" t="s">
        <v>187</v>
      </c>
      <c r="F1281" s="11" t="s">
        <v>91</v>
      </c>
      <c r="G1281" s="12" t="n">
        <v>60</v>
      </c>
      <c r="H1281" s="12" t="n">
        <f aca="false">SUMPRODUCT(ПОТОКИ!B13:G13,ЧАСОВЫЕ_ПРОФИЛИ!B21:G21,КОЭФФИЦИЕНТЫ_ВЫБОРА!F41:K41)</f>
        <v>0.2736</v>
      </c>
      <c r="I1281" s="12" t="n">
        <f aca="false">SUMPRODUCT(ПОТОКИ!B13:G13,ЧАСОВЫЕ_ПРОФИЛИ!B21:G21,КОЭФФИЦИЕНТЫ_ВЫБОРА!F41:K41,ПАРАМЕТРЫ!$B$17:$G$17)</f>
        <v>0.30096</v>
      </c>
      <c r="J1281" s="12" t="n">
        <f aca="false">I1281*G1281/1000</f>
        <v>0.0180576</v>
      </c>
      <c r="K1281" s="11" t="s">
        <v>217</v>
      </c>
      <c r="L1281" s="11" t="s">
        <v>19</v>
      </c>
      <c r="M1281" s="11" t="s">
        <v>145</v>
      </c>
    </row>
    <row r="1282" customFormat="false" ht="15" hidden="false" customHeight="false" outlineLevel="0" collapsed="false">
      <c r="A1282" s="11" t="s">
        <v>109</v>
      </c>
      <c r="B1282" s="11" t="s">
        <v>135</v>
      </c>
      <c r="C1282" s="11" t="n">
        <v>1</v>
      </c>
      <c r="D1282" s="11" t="s">
        <v>74</v>
      </c>
      <c r="E1282" s="11" t="s">
        <v>153</v>
      </c>
      <c r="F1282" s="11" t="s">
        <v>73</v>
      </c>
      <c r="G1282" s="12" t="n">
        <v>450</v>
      </c>
      <c r="H1282" s="12" t="n">
        <f aca="false">SUMPRODUCT(ПОТОКИ!B13:G13,ЧАСОВЫЕ_ПРОФИЛИ!B22:G22,КОЭФФИЦИЕНТЫ_ВЫБОРА!F11:K11)</f>
        <v>0.3207</v>
      </c>
      <c r="I1282" s="12" t="n">
        <f aca="false">SUMPRODUCT(ПОТОКИ!B13:G13,ЧАСОВЫЕ_ПРОФИЛИ!B22:G22,КОЭФФИЦИЕНТЫ_ВЫБОРА!F11:K11,ПАРАМЕТРЫ!$B$17:$G$17)</f>
        <v>0.35277</v>
      </c>
      <c r="J1282" s="12" t="n">
        <f aca="false">I1282*G1282/1000</f>
        <v>0.1587465</v>
      </c>
      <c r="K1282" s="11" t="s">
        <v>217</v>
      </c>
      <c r="L1282" s="11" t="s">
        <v>19</v>
      </c>
      <c r="M1282" s="11" t="s">
        <v>145</v>
      </c>
    </row>
    <row r="1283" customFormat="false" ht="15" hidden="false" customHeight="false" outlineLevel="0" collapsed="false">
      <c r="A1283" s="11" t="s">
        <v>109</v>
      </c>
      <c r="B1283" s="11" t="s">
        <v>135</v>
      </c>
      <c r="C1283" s="11" t="n">
        <v>2</v>
      </c>
      <c r="D1283" s="11" t="s">
        <v>74</v>
      </c>
      <c r="E1283" s="11" t="s">
        <v>154</v>
      </c>
      <c r="F1283" s="11" t="s">
        <v>73</v>
      </c>
      <c r="G1283" s="12" t="n">
        <v>480</v>
      </c>
      <c r="H1283" s="12" t="n">
        <f aca="false">SUMPRODUCT(ПОТОКИ!B13:G13,ЧАСОВЫЕ_ПРОФИЛИ!B22:G22,КОЭФФИЦИЕНТЫ_ВЫБОРА!F12:K12)</f>
        <v>0.5421</v>
      </c>
      <c r="I1283" s="12" t="n">
        <f aca="false">SUMPRODUCT(ПОТОКИ!B13:G13,ЧАСОВЫЕ_ПРОФИЛИ!B22:G22,КОЭФФИЦИЕНТЫ_ВЫБОРА!F12:K12,ПАРАМЕТРЫ!$B$17:$G$17)</f>
        <v>0.59631</v>
      </c>
      <c r="J1283" s="12" t="n">
        <f aca="false">I1283*G1283/1000</f>
        <v>0.2862288</v>
      </c>
      <c r="K1283" s="11" t="s">
        <v>217</v>
      </c>
      <c r="L1283" s="11" t="s">
        <v>19</v>
      </c>
      <c r="M1283" s="11" t="s">
        <v>145</v>
      </c>
    </row>
    <row r="1284" customFormat="false" ht="15" hidden="false" customHeight="false" outlineLevel="0" collapsed="false">
      <c r="A1284" s="11" t="s">
        <v>109</v>
      </c>
      <c r="B1284" s="11" t="s">
        <v>135</v>
      </c>
      <c r="C1284" s="11" t="n">
        <v>3</v>
      </c>
      <c r="D1284" s="11" t="s">
        <v>74</v>
      </c>
      <c r="E1284" s="11" t="s">
        <v>155</v>
      </c>
      <c r="F1284" s="11" t="s">
        <v>73</v>
      </c>
      <c r="G1284" s="12" t="n">
        <v>500</v>
      </c>
      <c r="H1284" s="12" t="n">
        <f aca="false">SUMPRODUCT(ПОТОКИ!B13:G13,ЧАСОВЫЕ_ПРОФИЛИ!B22:G22,КОЭФФИЦИЕНТЫ_ВЫБОРА!F13:K13)</f>
        <v>0.7944</v>
      </c>
      <c r="I1284" s="12" t="n">
        <f aca="false">SUMPRODUCT(ПОТОКИ!B13:G13,ЧАСОВЫЕ_ПРОФИЛИ!B22:G22,КОЭФФИЦИЕНТЫ_ВЫБОРА!F13:K13,ПАРАМЕТРЫ!$B$17:$G$17)</f>
        <v>0.87384</v>
      </c>
      <c r="J1284" s="12" t="n">
        <f aca="false">I1284*G1284/1000</f>
        <v>0.43692</v>
      </c>
      <c r="K1284" s="11" t="s">
        <v>217</v>
      </c>
      <c r="L1284" s="11" t="s">
        <v>19</v>
      </c>
      <c r="M1284" s="11" t="s">
        <v>145</v>
      </c>
    </row>
    <row r="1285" customFormat="false" ht="15" hidden="false" customHeight="false" outlineLevel="0" collapsed="false">
      <c r="A1285" s="11" t="s">
        <v>109</v>
      </c>
      <c r="B1285" s="11" t="s">
        <v>135</v>
      </c>
      <c r="C1285" s="11" t="n">
        <v>4</v>
      </c>
      <c r="D1285" s="11" t="s">
        <v>74</v>
      </c>
      <c r="E1285" s="11" t="s">
        <v>156</v>
      </c>
      <c r="F1285" s="11" t="s">
        <v>73</v>
      </c>
      <c r="G1285" s="12" t="n">
        <v>500</v>
      </c>
      <c r="H1285" s="12" t="n">
        <f aca="false">SUMPRODUCT(ПОТОКИ!B13:G13,ЧАСОВЫЕ_ПРОФИЛИ!B22:G22,КОЭФФИЦИЕНТЫ_ВЫБОРА!F14:K14)</f>
        <v>1.0158</v>
      </c>
      <c r="I1285" s="12" t="n">
        <f aca="false">SUMPRODUCT(ПОТОКИ!B13:G13,ЧАСОВЫЕ_ПРОФИЛИ!B22:G22,КОЭФФИЦИЕНТЫ_ВЫБОРА!F14:K14,ПАРАМЕТРЫ!$B$17:$G$17)</f>
        <v>1.11738</v>
      </c>
      <c r="J1285" s="12" t="n">
        <f aca="false">I1285*G1285/1000</f>
        <v>0.55869</v>
      </c>
      <c r="K1285" s="11" t="s">
        <v>217</v>
      </c>
      <c r="L1285" s="11" t="s">
        <v>19</v>
      </c>
      <c r="M1285" s="11" t="s">
        <v>145</v>
      </c>
    </row>
    <row r="1286" customFormat="false" ht="15" hidden="false" customHeight="false" outlineLevel="0" collapsed="false">
      <c r="A1286" s="11" t="s">
        <v>109</v>
      </c>
      <c r="B1286" s="11" t="s">
        <v>135</v>
      </c>
      <c r="C1286" s="11" t="n">
        <v>5</v>
      </c>
      <c r="D1286" s="11" t="s">
        <v>78</v>
      </c>
      <c r="E1286" s="11" t="s">
        <v>157</v>
      </c>
      <c r="F1286" s="11" t="s">
        <v>77</v>
      </c>
      <c r="G1286" s="12" t="n">
        <v>100</v>
      </c>
      <c r="H1286" s="12" t="n">
        <f aca="false">SUMPRODUCT(ПОТОКИ!B13:G13,ЧАСОВЫЕ_ПРОФИЛИ!B22:G22,КОЭФФИЦИЕНТЫ_ВЫБОРА!F15:K15)</f>
        <v>0.5451</v>
      </c>
      <c r="I1286" s="12" t="n">
        <f aca="false">SUMPRODUCT(ПОТОКИ!B13:G13,ЧАСОВЫЕ_ПРОФИЛИ!B22:G22,КОЭФФИЦИЕНТЫ_ВЫБОРА!F15:K15,ПАРАМЕТРЫ!$B$17:$G$17)</f>
        <v>0.59961</v>
      </c>
      <c r="J1286" s="12" t="n">
        <f aca="false">I1286*G1286/1000</f>
        <v>0.059961</v>
      </c>
      <c r="K1286" s="11" t="s">
        <v>217</v>
      </c>
      <c r="L1286" s="11" t="s">
        <v>19</v>
      </c>
      <c r="M1286" s="11" t="s">
        <v>147</v>
      </c>
    </row>
    <row r="1287" customFormat="false" ht="15" hidden="false" customHeight="false" outlineLevel="0" collapsed="false">
      <c r="A1287" s="11" t="s">
        <v>109</v>
      </c>
      <c r="B1287" s="11" t="s">
        <v>135</v>
      </c>
      <c r="C1287" s="11" t="n">
        <v>6</v>
      </c>
      <c r="D1287" s="11" t="s">
        <v>78</v>
      </c>
      <c r="E1287" s="11" t="s">
        <v>158</v>
      </c>
      <c r="F1287" s="11" t="s">
        <v>77</v>
      </c>
      <c r="G1287" s="12" t="n">
        <v>100</v>
      </c>
      <c r="H1287" s="12" t="n">
        <f aca="false">SUMPRODUCT(ПОТОКИ!B13:G13,ЧАСОВЫЕ_ПРОФИЛИ!B22:G22,КОЭФФИЦИЕНТЫ_ВЫБОРА!F16:K16)</f>
        <v>0.4992</v>
      </c>
      <c r="I1287" s="12" t="n">
        <f aca="false">SUMPRODUCT(ПОТОКИ!B13:G13,ЧАСОВЫЕ_ПРОФИЛИ!B22:G22,КОЭФФИЦИЕНТЫ_ВЫБОРА!F16:K16,ПАРАМЕТРЫ!$B$17:$G$17)</f>
        <v>0.54912</v>
      </c>
      <c r="J1287" s="12" t="n">
        <f aca="false">I1287*G1287/1000</f>
        <v>0.054912</v>
      </c>
      <c r="K1287" s="11" t="s">
        <v>217</v>
      </c>
      <c r="L1287" s="11" t="s">
        <v>19</v>
      </c>
      <c r="M1287" s="11" t="s">
        <v>147</v>
      </c>
    </row>
    <row r="1288" customFormat="false" ht="15" hidden="false" customHeight="false" outlineLevel="0" collapsed="false">
      <c r="A1288" s="11" t="s">
        <v>109</v>
      </c>
      <c r="B1288" s="11" t="s">
        <v>135</v>
      </c>
      <c r="C1288" s="11" t="n">
        <v>7</v>
      </c>
      <c r="D1288" s="11" t="s">
        <v>78</v>
      </c>
      <c r="E1288" s="11" t="s">
        <v>159</v>
      </c>
      <c r="F1288" s="11" t="s">
        <v>77</v>
      </c>
      <c r="G1288" s="12" t="n">
        <v>350</v>
      </c>
      <c r="H1288" s="12" t="n">
        <f aca="false">SUMPRODUCT(ПОТОКИ!B13:G13,ЧАСОВЫЕ_ПРОФИЛИ!B22:G22,КОЭФФИЦИЕНТЫ_ВЫБОРА!F17:K17)</f>
        <v>0.44145</v>
      </c>
      <c r="I1288" s="12" t="n">
        <f aca="false">SUMPRODUCT(ПОТОКИ!B13:G13,ЧАСОВЫЕ_ПРОФИЛИ!B22:G22,КОЭФФИЦИЕНТЫ_ВЫБОРА!F17:K17,ПАРАМЕТРЫ!$B$17:$G$17)</f>
        <v>0.485595</v>
      </c>
      <c r="J1288" s="12" t="n">
        <f aca="false">I1288*G1288/1000</f>
        <v>0.16995825</v>
      </c>
      <c r="K1288" s="11" t="s">
        <v>217</v>
      </c>
      <c r="L1288" s="11" t="s">
        <v>19</v>
      </c>
      <c r="M1288" s="11" t="s">
        <v>147</v>
      </c>
    </row>
    <row r="1289" customFormat="false" ht="15" hidden="false" customHeight="false" outlineLevel="0" collapsed="false">
      <c r="A1289" s="11" t="s">
        <v>109</v>
      </c>
      <c r="B1289" s="11" t="s">
        <v>135</v>
      </c>
      <c r="C1289" s="11" t="n">
        <v>8</v>
      </c>
      <c r="D1289" s="11" t="s">
        <v>78</v>
      </c>
      <c r="E1289" s="11" t="s">
        <v>160</v>
      </c>
      <c r="F1289" s="11" t="s">
        <v>77</v>
      </c>
      <c r="G1289" s="12" t="n">
        <v>85</v>
      </c>
      <c r="H1289" s="12" t="n">
        <f aca="false">SUMPRODUCT(ПОТОКИ!B13:G13,ЧАСОВЫЕ_ПРОФИЛИ!B22:G22,КОЭФФИЦИЕНТЫ_ВЫБОРА!F18:K18)</f>
        <v>0.28005</v>
      </c>
      <c r="I1289" s="12" t="n">
        <f aca="false">SUMPRODUCT(ПОТОКИ!B13:G13,ЧАСОВЫЕ_ПРОФИЛИ!B22:G22,КОЭФФИЦИЕНТЫ_ВЫБОРА!F18:K18,ПАРАМЕТРЫ!$B$17:$G$17)</f>
        <v>0.308055</v>
      </c>
      <c r="J1289" s="12" t="n">
        <f aca="false">I1289*G1289/1000</f>
        <v>0.026184675</v>
      </c>
      <c r="K1289" s="11" t="s">
        <v>217</v>
      </c>
      <c r="L1289" s="11" t="s">
        <v>19</v>
      </c>
      <c r="M1289" s="11" t="s">
        <v>147</v>
      </c>
    </row>
    <row r="1290" customFormat="false" ht="15" hidden="false" customHeight="false" outlineLevel="0" collapsed="false">
      <c r="A1290" s="11" t="s">
        <v>109</v>
      </c>
      <c r="B1290" s="11" t="s">
        <v>135</v>
      </c>
      <c r="C1290" s="11" t="n">
        <v>9</v>
      </c>
      <c r="D1290" s="11" t="s">
        <v>161</v>
      </c>
      <c r="E1290" s="11" t="s">
        <v>162</v>
      </c>
      <c r="F1290" s="11" t="s">
        <v>80</v>
      </c>
      <c r="G1290" s="12" t="n">
        <v>300</v>
      </c>
      <c r="H1290" s="12" t="n">
        <f aca="false">SUMPRODUCT(ПОТОКИ!B13:G13,ЧАСОВЫЕ_ПРОФИЛИ!B22:G22,КОЭФФИЦИЕНТЫ_ВЫБОРА!F19:K19)</f>
        <v>0.4515</v>
      </c>
      <c r="I1290" s="12" t="n">
        <f aca="false">SUMPRODUCT(ПОТОКИ!B13:G13,ЧАСОВЫЕ_ПРОФИЛИ!B22:G22,КОЭФФИЦИЕНТЫ_ВЫБОРА!F19:K19,ПАРАМЕТРЫ!$B$17:$G$17)</f>
        <v>0.49665</v>
      </c>
      <c r="J1290" s="12" t="n">
        <f aca="false">I1290*G1290/1000</f>
        <v>0.148995</v>
      </c>
      <c r="K1290" s="11" t="s">
        <v>217</v>
      </c>
      <c r="L1290" s="11" t="s">
        <v>19</v>
      </c>
      <c r="M1290" s="11" t="s">
        <v>145</v>
      </c>
    </row>
    <row r="1291" customFormat="false" ht="15" hidden="false" customHeight="false" outlineLevel="0" collapsed="false">
      <c r="A1291" s="11" t="s">
        <v>109</v>
      </c>
      <c r="B1291" s="11" t="s">
        <v>135</v>
      </c>
      <c r="C1291" s="11" t="n">
        <v>10</v>
      </c>
      <c r="D1291" s="11" t="s">
        <v>161</v>
      </c>
      <c r="E1291" s="11" t="s">
        <v>163</v>
      </c>
      <c r="F1291" s="11" t="s">
        <v>80</v>
      </c>
      <c r="G1291" s="12" t="n">
        <v>280</v>
      </c>
      <c r="H1291" s="12" t="n">
        <f aca="false">SUMPRODUCT(ПОТОКИ!B13:G13,ЧАСОВЫЕ_ПРОФИЛИ!B22:G22,КОЭФФИЦИЕНТЫ_ВЫБОРА!F20:K20)</f>
        <v>0.51</v>
      </c>
      <c r="I1291" s="12" t="n">
        <f aca="false">SUMPRODUCT(ПОТОКИ!B13:G13,ЧАСОВЫЕ_ПРОФИЛИ!B22:G22,КОЭФФИЦИЕНТЫ_ВЫБОРА!F20:K20,ПАРАМЕТРЫ!$B$17:$G$17)</f>
        <v>0.561</v>
      </c>
      <c r="J1291" s="12" t="n">
        <f aca="false">I1291*G1291/1000</f>
        <v>0.15708</v>
      </c>
      <c r="K1291" s="11" t="s">
        <v>217</v>
      </c>
      <c r="L1291" s="11" t="s">
        <v>19</v>
      </c>
      <c r="M1291" s="11" t="s">
        <v>145</v>
      </c>
    </row>
    <row r="1292" customFormat="false" ht="15" hidden="false" customHeight="false" outlineLevel="0" collapsed="false">
      <c r="A1292" s="11" t="s">
        <v>109</v>
      </c>
      <c r="B1292" s="11" t="s">
        <v>135</v>
      </c>
      <c r="C1292" s="11" t="n">
        <v>11</v>
      </c>
      <c r="D1292" s="11" t="s">
        <v>161</v>
      </c>
      <c r="E1292" s="11" t="s">
        <v>164</v>
      </c>
      <c r="F1292" s="11" t="s">
        <v>80</v>
      </c>
      <c r="G1292" s="12" t="n">
        <v>270</v>
      </c>
      <c r="H1292" s="12" t="n">
        <f aca="false">SUMPRODUCT(ПОТОКИ!B13:G13,ЧАСОВЫЕ_ПРОФИЛИ!B22:G22,КОЭФФИЦИЕНТЫ_ВЫБОРА!F21:K21)</f>
        <v>0.8502</v>
      </c>
      <c r="I1292" s="12" t="n">
        <f aca="false">SUMPRODUCT(ПОТОКИ!B13:G13,ЧАСОВЫЕ_ПРОФИЛИ!B22:G22,КОЭФФИЦИЕНТЫ_ВЫБОРА!F21:K21,ПАРАМЕТРЫ!$B$17:$G$17)</f>
        <v>0.93522</v>
      </c>
      <c r="J1292" s="12" t="n">
        <f aca="false">I1292*G1292/1000</f>
        <v>0.2525094</v>
      </c>
      <c r="K1292" s="11" t="s">
        <v>217</v>
      </c>
      <c r="L1292" s="11" t="s">
        <v>19</v>
      </c>
      <c r="M1292" s="11" t="s">
        <v>145</v>
      </c>
    </row>
    <row r="1293" customFormat="false" ht="15" hidden="false" customHeight="false" outlineLevel="0" collapsed="false">
      <c r="A1293" s="11" t="s">
        <v>109</v>
      </c>
      <c r="B1293" s="11" t="s">
        <v>135</v>
      </c>
      <c r="C1293" s="11" t="n">
        <v>12</v>
      </c>
      <c r="D1293" s="11" t="s">
        <v>161</v>
      </c>
      <c r="E1293" s="11" t="s">
        <v>165</v>
      </c>
      <c r="F1293" s="11" t="s">
        <v>80</v>
      </c>
      <c r="G1293" s="12" t="n">
        <v>240</v>
      </c>
      <c r="H1293" s="12" t="n">
        <f aca="false">SUMPRODUCT(ПОТОКИ!B13:G13,ЧАСОВЫЕ_ПРОФИЛИ!B22:G22,КОЭФФИЦИЕНТЫ_ВЫБОРА!F22:K22)</f>
        <v>0.4503</v>
      </c>
      <c r="I1293" s="12" t="n">
        <f aca="false">SUMPRODUCT(ПОТОКИ!B13:G13,ЧАСОВЫЕ_ПРОФИЛИ!B22:G22,КОЭФФИЦИЕНТЫ_ВЫБОРА!F22:K22,ПАРАМЕТРЫ!$B$17:$G$17)</f>
        <v>0.49533</v>
      </c>
      <c r="J1293" s="12" t="n">
        <f aca="false">I1293*G1293/1000</f>
        <v>0.1188792</v>
      </c>
      <c r="K1293" s="11" t="s">
        <v>217</v>
      </c>
      <c r="L1293" s="11" t="s">
        <v>19</v>
      </c>
      <c r="M1293" s="11" t="s">
        <v>145</v>
      </c>
    </row>
    <row r="1294" customFormat="false" ht="15" hidden="false" customHeight="false" outlineLevel="0" collapsed="false">
      <c r="A1294" s="11" t="s">
        <v>109</v>
      </c>
      <c r="B1294" s="11" t="s">
        <v>135</v>
      </c>
      <c r="C1294" s="11" t="n">
        <v>13</v>
      </c>
      <c r="D1294" s="11" t="s">
        <v>166</v>
      </c>
      <c r="E1294" s="11" t="s">
        <v>167</v>
      </c>
      <c r="F1294" s="11" t="s">
        <v>80</v>
      </c>
      <c r="G1294" s="12" t="n">
        <v>130</v>
      </c>
      <c r="H1294" s="12" t="n">
        <f aca="false">SUMPRODUCT(ПОТОКИ!B13:G13,ЧАСОВЫЕ_ПРОФИЛИ!B22:G22,КОЭФФИЦИЕНТЫ_ВЫБОРА!F23:K23)</f>
        <v>0.252</v>
      </c>
      <c r="I1294" s="12" t="n">
        <f aca="false">SUMPRODUCT(ПОТОКИ!B13:G13,ЧАСОВЫЕ_ПРОФИЛИ!B22:G22,КОЭФФИЦИЕНТЫ_ВЫБОРА!F23:K23,ПАРАМЕТРЫ!$B$17:$G$17)</f>
        <v>0.2772</v>
      </c>
      <c r="J1294" s="12" t="n">
        <f aca="false">I1294*G1294/1000</f>
        <v>0.036036</v>
      </c>
      <c r="K1294" s="11" t="s">
        <v>217</v>
      </c>
      <c r="L1294" s="11" t="s">
        <v>19</v>
      </c>
      <c r="M1294" s="11" t="s">
        <v>145</v>
      </c>
    </row>
    <row r="1295" customFormat="false" ht="15" hidden="false" customHeight="false" outlineLevel="0" collapsed="false">
      <c r="A1295" s="11" t="s">
        <v>109</v>
      </c>
      <c r="B1295" s="11" t="s">
        <v>135</v>
      </c>
      <c r="C1295" s="11" t="n">
        <v>14</v>
      </c>
      <c r="D1295" s="11" t="s">
        <v>166</v>
      </c>
      <c r="E1295" s="11" t="s">
        <v>168</v>
      </c>
      <c r="F1295" s="11" t="s">
        <v>80</v>
      </c>
      <c r="G1295" s="12" t="n">
        <v>250</v>
      </c>
      <c r="H1295" s="12" t="n">
        <f aca="false">SUMPRODUCT(ПОТОКИ!B13:G13,ЧАСОВЫЕ_ПРОФИЛИ!B22:G22,КОЭФФИЦИЕНТЫ_ВЫБОРА!F24:K24)</f>
        <v>0.1902</v>
      </c>
      <c r="I1295" s="12" t="n">
        <f aca="false">SUMPRODUCT(ПОТОКИ!B13:G13,ЧАСОВЫЕ_ПРОФИЛИ!B22:G22,КОЭФФИЦИЕНТЫ_ВЫБОРА!F24:K24,ПАРАМЕТРЫ!$B$17:$G$17)</f>
        <v>0.20922</v>
      </c>
      <c r="J1295" s="12" t="n">
        <f aca="false">I1295*G1295/1000</f>
        <v>0.052305</v>
      </c>
      <c r="K1295" s="11" t="s">
        <v>217</v>
      </c>
      <c r="L1295" s="11" t="s">
        <v>19</v>
      </c>
      <c r="M1295" s="11" t="s">
        <v>145</v>
      </c>
    </row>
    <row r="1296" customFormat="false" ht="15" hidden="false" customHeight="false" outlineLevel="0" collapsed="false">
      <c r="A1296" s="11" t="s">
        <v>109</v>
      </c>
      <c r="B1296" s="11" t="s">
        <v>135</v>
      </c>
      <c r="C1296" s="11" t="n">
        <v>15</v>
      </c>
      <c r="D1296" s="11" t="s">
        <v>166</v>
      </c>
      <c r="E1296" s="11" t="s">
        <v>169</v>
      </c>
      <c r="F1296" s="11" t="s">
        <v>80</v>
      </c>
      <c r="G1296" s="12" t="n">
        <v>120</v>
      </c>
      <c r="H1296" s="12" t="n">
        <f aca="false">SUMPRODUCT(ПОТОКИ!B13:G13,ЧАСОВЫЕ_ПРОФИЛИ!B22:G22,КОЭФФИЦИЕНТЫ_ВЫБОРА!F25:K25)</f>
        <v>0.1452</v>
      </c>
      <c r="I1296" s="12" t="n">
        <f aca="false">SUMPRODUCT(ПОТОКИ!B13:G13,ЧАСОВЫЕ_ПРОФИЛИ!B22:G22,КОЭФФИЦИЕНТЫ_ВЫБОРА!F25:K25,ПАРАМЕТРЫ!$B$17:$G$17)</f>
        <v>0.15972</v>
      </c>
      <c r="J1296" s="12" t="n">
        <f aca="false">I1296*G1296/1000</f>
        <v>0.0191664</v>
      </c>
      <c r="K1296" s="11" t="s">
        <v>217</v>
      </c>
      <c r="L1296" s="11" t="s">
        <v>19</v>
      </c>
      <c r="M1296" s="11" t="s">
        <v>145</v>
      </c>
    </row>
    <row r="1297" customFormat="false" ht="15" hidden="false" customHeight="false" outlineLevel="0" collapsed="false">
      <c r="A1297" s="11" t="s">
        <v>109</v>
      </c>
      <c r="B1297" s="11" t="s">
        <v>135</v>
      </c>
      <c r="C1297" s="11" t="n">
        <v>16</v>
      </c>
      <c r="D1297" s="11" t="s">
        <v>166</v>
      </c>
      <c r="E1297" s="11" t="s">
        <v>170</v>
      </c>
      <c r="F1297" s="11" t="s">
        <v>80</v>
      </c>
      <c r="G1297" s="12" t="n">
        <v>180</v>
      </c>
      <c r="H1297" s="12" t="n">
        <f aca="false">SUMPRODUCT(ПОТОКИ!B13:G13,ЧАСОВЫЕ_ПРОФИЛИ!B22:G22,КОЭФФИЦИЕНТЫ_ВЫБОРА!F26:K26)</f>
        <v>0.2286</v>
      </c>
      <c r="I1297" s="12" t="n">
        <f aca="false">SUMPRODUCT(ПОТОКИ!B13:G13,ЧАСОВЫЕ_ПРОФИЛИ!B22:G22,КОЭФФИЦИЕНТЫ_ВЫБОРА!F26:K26,ПАРАМЕТРЫ!$B$17:$G$17)</f>
        <v>0.25146</v>
      </c>
      <c r="J1297" s="12" t="n">
        <f aca="false">I1297*G1297/1000</f>
        <v>0.0452628</v>
      </c>
      <c r="K1297" s="11" t="s">
        <v>217</v>
      </c>
      <c r="L1297" s="11" t="s">
        <v>19</v>
      </c>
      <c r="M1297" s="11" t="s">
        <v>145</v>
      </c>
    </row>
    <row r="1298" customFormat="false" ht="15" hidden="false" customHeight="false" outlineLevel="0" collapsed="false">
      <c r="A1298" s="11" t="s">
        <v>109</v>
      </c>
      <c r="B1298" s="11" t="s">
        <v>135</v>
      </c>
      <c r="C1298" s="11" t="n">
        <v>17</v>
      </c>
      <c r="D1298" s="11" t="s">
        <v>166</v>
      </c>
      <c r="E1298" s="11" t="s">
        <v>171</v>
      </c>
      <c r="F1298" s="11" t="s">
        <v>80</v>
      </c>
      <c r="G1298" s="12" t="n">
        <v>180</v>
      </c>
      <c r="H1298" s="12" t="n">
        <f aca="false">SUMPRODUCT(ПОТОКИ!B13:G13,ЧАСОВЫЕ_ПРОФИЛИ!B22:G22,КОЭФФИЦИЕНТЫ_ВЫБОРА!F27:K27)</f>
        <v>0.252</v>
      </c>
      <c r="I1298" s="12" t="n">
        <f aca="false">SUMPRODUCT(ПОТОКИ!B13:G13,ЧАСОВЫЕ_ПРОФИЛИ!B22:G22,КОЭФФИЦИЕНТЫ_ВЫБОРА!F27:K27,ПАРАМЕТРЫ!$B$17:$G$17)</f>
        <v>0.2772</v>
      </c>
      <c r="J1298" s="12" t="n">
        <f aca="false">I1298*G1298/1000</f>
        <v>0.049896</v>
      </c>
      <c r="K1298" s="11" t="s">
        <v>217</v>
      </c>
      <c r="L1298" s="11" t="s">
        <v>19</v>
      </c>
      <c r="M1298" s="11" t="s">
        <v>145</v>
      </c>
    </row>
    <row r="1299" customFormat="false" ht="15" hidden="false" customHeight="false" outlineLevel="0" collapsed="false">
      <c r="A1299" s="11" t="s">
        <v>109</v>
      </c>
      <c r="B1299" s="11" t="s">
        <v>135</v>
      </c>
      <c r="C1299" s="11" t="n">
        <v>18</v>
      </c>
      <c r="D1299" s="11" t="s">
        <v>172</v>
      </c>
      <c r="E1299" s="11" t="s">
        <v>173</v>
      </c>
      <c r="F1299" s="11" t="s">
        <v>83</v>
      </c>
      <c r="G1299" s="12" t="n">
        <v>400</v>
      </c>
      <c r="H1299" s="12" t="n">
        <f aca="false">SUMPRODUCT(ПОТОКИ!B13:G13,ЧАСОВЫЕ_ПРОФИЛИ!B22:G22,КОЭФФИЦИЕНТЫ_ВЫБОРА!F28:K28)</f>
        <v>0.384</v>
      </c>
      <c r="I1299" s="12" t="n">
        <f aca="false">SUMPRODUCT(ПОТОКИ!B13:G13,ЧАСОВЫЕ_ПРОФИЛИ!B22:G22,КОЭФФИЦИЕНТЫ_ВЫБОРА!F28:K28,ПАРАМЕТРЫ!$B$17:$G$17)</f>
        <v>0.4224</v>
      </c>
      <c r="J1299" s="12" t="n">
        <f aca="false">I1299*G1299/1000</f>
        <v>0.16896</v>
      </c>
      <c r="K1299" s="11" t="s">
        <v>217</v>
      </c>
      <c r="L1299" s="11" t="s">
        <v>19</v>
      </c>
      <c r="M1299" s="11" t="s">
        <v>145</v>
      </c>
    </row>
    <row r="1300" customFormat="false" ht="23.85" hidden="false" customHeight="false" outlineLevel="0" collapsed="false">
      <c r="A1300" s="11" t="s">
        <v>109</v>
      </c>
      <c r="B1300" s="11" t="s">
        <v>135</v>
      </c>
      <c r="C1300" s="11" t="n">
        <v>19</v>
      </c>
      <c r="D1300" s="11" t="s">
        <v>174</v>
      </c>
      <c r="E1300" s="11" t="s">
        <v>175</v>
      </c>
      <c r="F1300" s="11" t="s">
        <v>83</v>
      </c>
      <c r="G1300" s="12" t="n">
        <v>300</v>
      </c>
      <c r="H1300" s="12" t="n">
        <f aca="false">SUMPRODUCT(ПОТОКИ!B13:G13,ЧАСОВЫЕ_ПРОФИЛИ!B22:G22,КОЭФФИЦИЕНТЫ_ВЫБОРА!F29:K29)</f>
        <v>1.3185</v>
      </c>
      <c r="I1300" s="12" t="n">
        <f aca="false">SUMPRODUCT(ПОТОКИ!B13:G13,ЧАСОВЫЕ_ПРОФИЛИ!B22:G22,КОЭФФИЦИЕНТЫ_ВЫБОРА!F29:K29,ПАРАМЕТРЫ!$B$17:$G$17)</f>
        <v>1.45035</v>
      </c>
      <c r="J1300" s="12" t="n">
        <f aca="false">I1300*G1300/1000</f>
        <v>0.435105</v>
      </c>
      <c r="K1300" s="11" t="s">
        <v>217</v>
      </c>
      <c r="L1300" s="11" t="s">
        <v>19</v>
      </c>
      <c r="M1300" s="11" t="s">
        <v>145</v>
      </c>
    </row>
    <row r="1301" customFormat="false" ht="15" hidden="false" customHeight="false" outlineLevel="0" collapsed="false">
      <c r="A1301" s="11" t="s">
        <v>109</v>
      </c>
      <c r="B1301" s="11" t="s">
        <v>135</v>
      </c>
      <c r="C1301" s="11" t="n">
        <v>20</v>
      </c>
      <c r="D1301" s="11" t="s">
        <v>174</v>
      </c>
      <c r="E1301" s="11" t="s">
        <v>176</v>
      </c>
      <c r="F1301" s="11" t="s">
        <v>83</v>
      </c>
      <c r="G1301" s="12" t="n">
        <v>360</v>
      </c>
      <c r="H1301" s="12" t="n">
        <f aca="false">SUMPRODUCT(ПОТОКИ!B13:G13,ЧАСОВЫЕ_ПРОФИЛИ!B22:G22,КОЭФФИЦИЕНТЫ_ВЫБОРА!F30:K30)</f>
        <v>1.1442</v>
      </c>
      <c r="I1301" s="12" t="n">
        <f aca="false">SUMPRODUCT(ПОТОКИ!B13:G13,ЧАСОВЫЕ_ПРОФИЛИ!B22:G22,КОЭФФИЦИЕНТЫ_ВЫБОРА!F30:K30,ПАРАМЕТРЫ!$B$17:$G$17)</f>
        <v>1.25862</v>
      </c>
      <c r="J1301" s="12" t="n">
        <f aca="false">I1301*G1301/1000</f>
        <v>0.4531032</v>
      </c>
      <c r="K1301" s="11" t="s">
        <v>217</v>
      </c>
      <c r="L1301" s="11" t="s">
        <v>19</v>
      </c>
      <c r="M1301" s="11" t="s">
        <v>145</v>
      </c>
    </row>
    <row r="1302" customFormat="false" ht="15" hidden="false" customHeight="false" outlineLevel="0" collapsed="false">
      <c r="A1302" s="11" t="s">
        <v>109</v>
      </c>
      <c r="B1302" s="11" t="s">
        <v>135</v>
      </c>
      <c r="C1302" s="11" t="n">
        <v>21</v>
      </c>
      <c r="D1302" s="11" t="s">
        <v>174</v>
      </c>
      <c r="E1302" s="11" t="s">
        <v>177</v>
      </c>
      <c r="F1302" s="11" t="s">
        <v>83</v>
      </c>
      <c r="G1302" s="12" t="n">
        <v>350</v>
      </c>
      <c r="H1302" s="12" t="n">
        <f aca="false">SUMPRODUCT(ПОТОКИ!B13:G13,ЧАСОВЫЕ_ПРОФИЛИ!B22:G22,КОЭФФИЦИЕНТЫ_ВЫБОРА!F31:K31)</f>
        <v>1.69155</v>
      </c>
      <c r="I1302" s="12" t="n">
        <f aca="false">SUMPRODUCT(ПОТОКИ!B13:G13,ЧАСОВЫЕ_ПРОФИЛИ!B22:G22,КОЭФФИЦИЕНТЫ_ВЫБОРА!F31:K31,ПАРАМЕТРЫ!$B$17:$G$17)</f>
        <v>1.860705</v>
      </c>
      <c r="J1302" s="12" t="n">
        <f aca="false">I1302*G1302/1000</f>
        <v>0.65124675</v>
      </c>
      <c r="K1302" s="11" t="s">
        <v>217</v>
      </c>
      <c r="L1302" s="11" t="s">
        <v>19</v>
      </c>
      <c r="M1302" s="11" t="s">
        <v>145</v>
      </c>
    </row>
    <row r="1303" customFormat="false" ht="15" hidden="false" customHeight="false" outlineLevel="0" collapsed="false">
      <c r="A1303" s="11" t="s">
        <v>109</v>
      </c>
      <c r="B1303" s="11" t="s">
        <v>135</v>
      </c>
      <c r="C1303" s="11" t="n">
        <v>22</v>
      </c>
      <c r="D1303" s="11" t="s">
        <v>174</v>
      </c>
      <c r="E1303" s="11" t="s">
        <v>178</v>
      </c>
      <c r="F1303" s="11" t="s">
        <v>83</v>
      </c>
      <c r="G1303" s="12" t="n">
        <v>300</v>
      </c>
      <c r="H1303" s="12" t="n">
        <f aca="false">SUMPRODUCT(ПОТОКИ!B13:G13,ЧАСОВЫЕ_ПРОФИЛИ!B22:G22,КОЭФФИЦИЕНТЫ_ВЫБОРА!F32:K32)</f>
        <v>1.17675</v>
      </c>
      <c r="I1303" s="12" t="n">
        <f aca="false">SUMPRODUCT(ПОТОКИ!B13:G13,ЧАСОВЫЕ_ПРОФИЛИ!B22:G22,КОЭФФИЦИЕНТЫ_ВЫБОРА!F32:K32,ПАРАМЕТРЫ!$B$17:$G$17)</f>
        <v>1.294425</v>
      </c>
      <c r="J1303" s="12" t="n">
        <f aca="false">I1303*G1303/1000</f>
        <v>0.3883275</v>
      </c>
      <c r="K1303" s="11" t="s">
        <v>217</v>
      </c>
      <c r="L1303" s="11" t="s">
        <v>19</v>
      </c>
      <c r="M1303" s="11" t="s">
        <v>145</v>
      </c>
    </row>
    <row r="1304" customFormat="false" ht="15" hidden="false" customHeight="false" outlineLevel="0" collapsed="false">
      <c r="A1304" s="11" t="s">
        <v>109</v>
      </c>
      <c r="B1304" s="11" t="s">
        <v>135</v>
      </c>
      <c r="C1304" s="11" t="n">
        <v>23</v>
      </c>
      <c r="D1304" s="11" t="s">
        <v>86</v>
      </c>
      <c r="E1304" s="11" t="s">
        <v>179</v>
      </c>
      <c r="F1304" s="11" t="s">
        <v>85</v>
      </c>
      <c r="G1304" s="12" t="n">
        <v>150</v>
      </c>
      <c r="H1304" s="12" t="n">
        <f aca="false">SUMPRODUCT(ПОТОКИ!B13:G13,ЧАСОВЫЕ_ПРОФИЛИ!B22:G22,КОЭФФИЦИЕНТЫ_ВЫБОРА!F33:K33)</f>
        <v>0.94310925</v>
      </c>
      <c r="I1304" s="12" t="n">
        <f aca="false">SUMPRODUCT(ПОТОКИ!B13:G13,ЧАСОВЫЕ_ПРОФИЛИ!B22:G22,КОЭФФИЦИЕНТЫ_ВЫБОРА!F33:K33,ПАРАМЕТРЫ!$B$17:$G$17)</f>
        <v>1.037420175</v>
      </c>
      <c r="J1304" s="12" t="n">
        <f aca="false">I1304*G1304/1000</f>
        <v>0.15561302625</v>
      </c>
      <c r="K1304" s="11" t="s">
        <v>217</v>
      </c>
      <c r="L1304" s="11" t="s">
        <v>19</v>
      </c>
      <c r="M1304" s="11" t="s">
        <v>147</v>
      </c>
    </row>
    <row r="1305" customFormat="false" ht="15" hidden="false" customHeight="false" outlineLevel="0" collapsed="false">
      <c r="A1305" s="11" t="s">
        <v>109</v>
      </c>
      <c r="B1305" s="11" t="s">
        <v>135</v>
      </c>
      <c r="C1305" s="11" t="n">
        <v>24</v>
      </c>
      <c r="D1305" s="11" t="s">
        <v>86</v>
      </c>
      <c r="E1305" s="11" t="s">
        <v>180</v>
      </c>
      <c r="F1305" s="11" t="s">
        <v>85</v>
      </c>
      <c r="G1305" s="12" t="n">
        <v>150</v>
      </c>
      <c r="H1305" s="12" t="n">
        <f aca="false">SUMPRODUCT(ПОТОКИ!B13:G13,ЧАСОВЫЕ_ПРОФИЛИ!B22:G22,КОЭФФИЦИЕНТЫ_ВЫБОРА!F34:K34)</f>
        <v>0.495939</v>
      </c>
      <c r="I1305" s="12" t="n">
        <f aca="false">SUMPRODUCT(ПОТОКИ!B13:G13,ЧАСОВЫЕ_ПРОФИЛИ!B22:G22,КОЭФФИЦИЕНТЫ_ВЫБОРА!F34:K34,ПАРАМЕТРЫ!$B$17:$G$17)</f>
        <v>0.5455329</v>
      </c>
      <c r="J1305" s="12" t="n">
        <f aca="false">I1305*G1305/1000</f>
        <v>0.081829935</v>
      </c>
      <c r="K1305" s="11" t="s">
        <v>217</v>
      </c>
      <c r="L1305" s="11" t="s">
        <v>19</v>
      </c>
      <c r="M1305" s="11" t="s">
        <v>147</v>
      </c>
    </row>
    <row r="1306" customFormat="false" ht="15" hidden="false" customHeight="false" outlineLevel="0" collapsed="false">
      <c r="A1306" s="11" t="s">
        <v>109</v>
      </c>
      <c r="B1306" s="11" t="s">
        <v>135</v>
      </c>
      <c r="C1306" s="11" t="n">
        <v>25</v>
      </c>
      <c r="D1306" s="11" t="s">
        <v>86</v>
      </c>
      <c r="E1306" s="11" t="s">
        <v>181</v>
      </c>
      <c r="F1306" s="11" t="s">
        <v>85</v>
      </c>
      <c r="G1306" s="12" t="n">
        <v>150</v>
      </c>
      <c r="H1306" s="12" t="n">
        <f aca="false">SUMPRODUCT(ПОТОКИ!B13:G13,ЧАСОВЫЕ_ПРОФИЛИ!B22:G22,КОЭФФИЦИЕНТЫ_ВЫБОРА!F35:K35)</f>
        <v>1.04064675</v>
      </c>
      <c r="I1306" s="12" t="n">
        <f aca="false">SUMPRODUCT(ПОТОКИ!B13:G13,ЧАСОВЫЕ_ПРОФИЛИ!B22:G22,КОЭФФИЦИЕНТЫ_ВЫБОРА!F35:K35,ПАРАМЕТРЫ!$B$17:$G$17)</f>
        <v>1.144711425</v>
      </c>
      <c r="J1306" s="12" t="n">
        <f aca="false">I1306*G1306/1000</f>
        <v>0.17170671375</v>
      </c>
      <c r="K1306" s="11" t="s">
        <v>217</v>
      </c>
      <c r="L1306" s="11" t="s">
        <v>19</v>
      </c>
      <c r="M1306" s="11" t="s">
        <v>147</v>
      </c>
    </row>
    <row r="1307" customFormat="false" ht="23.85" hidden="false" customHeight="false" outlineLevel="0" collapsed="false">
      <c r="A1307" s="11" t="s">
        <v>109</v>
      </c>
      <c r="B1307" s="11" t="s">
        <v>135</v>
      </c>
      <c r="C1307" s="11" t="n">
        <v>26</v>
      </c>
      <c r="D1307" s="11" t="s">
        <v>89</v>
      </c>
      <c r="E1307" s="11" t="s">
        <v>182</v>
      </c>
      <c r="F1307" s="11" t="s">
        <v>88</v>
      </c>
      <c r="G1307" s="12" t="n">
        <v>225</v>
      </c>
      <c r="H1307" s="12" t="n">
        <f aca="false">SUMPRODUCT(ПОТОКИ!B13:G13,ЧАСОВЫЕ_ПРОФИЛИ!B22:G22,КОЭФФИЦИЕНТЫ_ВЫБОРА!F36:K36)</f>
        <v>0</v>
      </c>
      <c r="I1307" s="12" t="n">
        <f aca="false">SUMPRODUCT(ПОТОКИ!B13:G13,ЧАСОВЫЕ_ПРОФИЛИ!B22:G22,КОЭФФИЦИЕНТЫ_ВЫБОРА!F36:K36,ПАРАМЕТРЫ!$B$17:$G$17)</f>
        <v>0</v>
      </c>
      <c r="J1307" s="12" t="n">
        <f aca="false">I1307*G1307/1000</f>
        <v>0</v>
      </c>
      <c r="K1307" s="11" t="s">
        <v>217</v>
      </c>
      <c r="L1307" s="11" t="s">
        <v>19</v>
      </c>
      <c r="M1307" s="11" t="s">
        <v>145</v>
      </c>
    </row>
    <row r="1308" customFormat="false" ht="23.85" hidden="false" customHeight="false" outlineLevel="0" collapsed="false">
      <c r="A1308" s="11" t="s">
        <v>109</v>
      </c>
      <c r="B1308" s="11" t="s">
        <v>135</v>
      </c>
      <c r="C1308" s="11" t="n">
        <v>27</v>
      </c>
      <c r="D1308" s="11" t="s">
        <v>89</v>
      </c>
      <c r="E1308" s="11" t="s">
        <v>183</v>
      </c>
      <c r="F1308" s="11" t="s">
        <v>88</v>
      </c>
      <c r="G1308" s="12" t="n">
        <v>265</v>
      </c>
      <c r="H1308" s="12" t="n">
        <f aca="false">SUMPRODUCT(ПОТОКИ!B13:G13,ЧАСОВЫЕ_ПРОФИЛИ!B22:G22,КОЭФФИЦИЕНТЫ_ВЫБОРА!F37:K37)</f>
        <v>0</v>
      </c>
      <c r="I1308" s="12" t="n">
        <f aca="false">SUMPRODUCT(ПОТОКИ!B13:G13,ЧАСОВЫЕ_ПРОФИЛИ!B22:G22,КОЭФФИЦИЕНТЫ_ВЫБОРА!F37:K37,ПАРАМЕТРЫ!$B$17:$G$17)</f>
        <v>0</v>
      </c>
      <c r="J1308" s="12" t="n">
        <f aca="false">I1308*G1308/1000</f>
        <v>0</v>
      </c>
      <c r="K1308" s="11" t="s">
        <v>217</v>
      </c>
      <c r="L1308" s="11" t="s">
        <v>19</v>
      </c>
      <c r="M1308" s="11" t="s">
        <v>145</v>
      </c>
    </row>
    <row r="1309" customFormat="false" ht="23.85" hidden="false" customHeight="false" outlineLevel="0" collapsed="false">
      <c r="A1309" s="11" t="s">
        <v>109</v>
      </c>
      <c r="B1309" s="11" t="s">
        <v>135</v>
      </c>
      <c r="C1309" s="11" t="n">
        <v>28</v>
      </c>
      <c r="D1309" s="11" t="s">
        <v>89</v>
      </c>
      <c r="E1309" s="11" t="s">
        <v>184</v>
      </c>
      <c r="F1309" s="11" t="s">
        <v>88</v>
      </c>
      <c r="G1309" s="12" t="n">
        <v>355</v>
      </c>
      <c r="H1309" s="12" t="n">
        <f aca="false">SUMPRODUCT(ПОТОКИ!B13:G13,ЧАСОВЫЕ_ПРОФИЛИ!B22:G22,КОЭФФИЦИЕНТЫ_ВЫБОРА!F38:K38)</f>
        <v>0</v>
      </c>
      <c r="I1309" s="12" t="n">
        <f aca="false">SUMPRODUCT(ПОТОКИ!B13:G13,ЧАСОВЫЕ_ПРОФИЛИ!B22:G22,КОЭФФИЦИЕНТЫ_ВЫБОРА!F38:K38,ПАРАМЕТРЫ!$B$17:$G$17)</f>
        <v>0</v>
      </c>
      <c r="J1309" s="12" t="n">
        <f aca="false">I1309*G1309/1000</f>
        <v>0</v>
      </c>
      <c r="K1309" s="11" t="s">
        <v>217</v>
      </c>
      <c r="L1309" s="11" t="s">
        <v>19</v>
      </c>
      <c r="M1309" s="11" t="s">
        <v>145</v>
      </c>
    </row>
    <row r="1310" customFormat="false" ht="15" hidden="false" customHeight="false" outlineLevel="0" collapsed="false">
      <c r="A1310" s="11" t="s">
        <v>109</v>
      </c>
      <c r="B1310" s="11" t="s">
        <v>135</v>
      </c>
      <c r="C1310" s="11" t="n">
        <v>29</v>
      </c>
      <c r="D1310" s="11" t="s">
        <v>92</v>
      </c>
      <c r="E1310" s="11" t="s">
        <v>185</v>
      </c>
      <c r="F1310" s="11" t="s">
        <v>91</v>
      </c>
      <c r="G1310" s="12" t="n">
        <v>150</v>
      </c>
      <c r="H1310" s="12" t="n">
        <f aca="false">SUMPRODUCT(ПОТОКИ!B13:G13,ЧАСОВЫЕ_ПРОФИЛИ!B22:G22,КОЭФФИЦИЕНТЫ_ВЫБОРА!F39:K39)</f>
        <v>0.3744</v>
      </c>
      <c r="I1310" s="12" t="n">
        <f aca="false">SUMPRODUCT(ПОТОКИ!B13:G13,ЧАСОВЫЕ_ПРОФИЛИ!B22:G22,КОЭФФИЦИЕНТЫ_ВЫБОРА!F39:K39,ПАРАМЕТРЫ!$B$17:$G$17)</f>
        <v>0.41184</v>
      </c>
      <c r="J1310" s="12" t="n">
        <f aca="false">I1310*G1310/1000</f>
        <v>0.061776</v>
      </c>
      <c r="K1310" s="11" t="s">
        <v>217</v>
      </c>
      <c r="L1310" s="11" t="s">
        <v>19</v>
      </c>
      <c r="M1310" s="11" t="s">
        <v>145</v>
      </c>
    </row>
    <row r="1311" customFormat="false" ht="15" hidden="false" customHeight="false" outlineLevel="0" collapsed="false">
      <c r="A1311" s="11" t="s">
        <v>109</v>
      </c>
      <c r="B1311" s="11" t="s">
        <v>135</v>
      </c>
      <c r="C1311" s="11" t="n">
        <v>30</v>
      </c>
      <c r="D1311" s="11" t="s">
        <v>92</v>
      </c>
      <c r="E1311" s="11" t="s">
        <v>186</v>
      </c>
      <c r="F1311" s="11" t="s">
        <v>91</v>
      </c>
      <c r="G1311" s="12" t="n">
        <v>120</v>
      </c>
      <c r="H1311" s="12" t="n">
        <f aca="false">SUMPRODUCT(ПОТОКИ!B13:G13,ЧАСОВЫЕ_ПРОФИЛИ!B22:G22,КОЭФФИЦИЕНТЫ_ВЫБОРА!F40:K40)</f>
        <v>0.5244</v>
      </c>
      <c r="I1311" s="12" t="n">
        <f aca="false">SUMPRODUCT(ПОТОКИ!B13:G13,ЧАСОВЫЕ_ПРОФИЛИ!B22:G22,КОЭФФИЦИЕНТЫ_ВЫБОРА!F40:K40,ПАРАМЕТРЫ!$B$17:$G$17)</f>
        <v>0.57684</v>
      </c>
      <c r="J1311" s="12" t="n">
        <f aca="false">I1311*G1311/1000</f>
        <v>0.0692208</v>
      </c>
      <c r="K1311" s="11" t="s">
        <v>217</v>
      </c>
      <c r="L1311" s="11" t="s">
        <v>19</v>
      </c>
      <c r="M1311" s="11" t="s">
        <v>145</v>
      </c>
    </row>
    <row r="1312" customFormat="false" ht="15" hidden="false" customHeight="false" outlineLevel="0" collapsed="false">
      <c r="A1312" s="11" t="s">
        <v>109</v>
      </c>
      <c r="B1312" s="11" t="s">
        <v>135</v>
      </c>
      <c r="C1312" s="11" t="n">
        <v>31</v>
      </c>
      <c r="D1312" s="11" t="s">
        <v>92</v>
      </c>
      <c r="E1312" s="11" t="s">
        <v>187</v>
      </c>
      <c r="F1312" s="11" t="s">
        <v>91</v>
      </c>
      <c r="G1312" s="12" t="n">
        <v>60</v>
      </c>
      <c r="H1312" s="12" t="n">
        <f aca="false">SUMPRODUCT(ПОТОКИ!B13:G13,ЧАСОВЫЕ_ПРОФИЛИ!B22:G22,КОЭФФИЦИЕНТЫ_ВЫБОРА!F41:K41)</f>
        <v>0.3072</v>
      </c>
      <c r="I1312" s="12" t="n">
        <f aca="false">SUMPRODUCT(ПОТОКИ!B13:G13,ЧАСОВЫЕ_ПРОФИЛИ!B22:G22,КОЭФФИЦИЕНТЫ_ВЫБОРА!F41:K41,ПАРАМЕТРЫ!$B$17:$G$17)</f>
        <v>0.33792</v>
      </c>
      <c r="J1312" s="12" t="n">
        <f aca="false">I1312*G1312/1000</f>
        <v>0.0202752</v>
      </c>
      <c r="K1312" s="11" t="s">
        <v>217</v>
      </c>
      <c r="L1312" s="11" t="s">
        <v>19</v>
      </c>
      <c r="M1312" s="11" t="s">
        <v>145</v>
      </c>
    </row>
    <row r="1313" customFormat="false" ht="15" hidden="false" customHeight="false" outlineLevel="0" collapsed="false">
      <c r="A1313" s="11" t="s">
        <v>109</v>
      </c>
      <c r="B1313" s="11" t="s">
        <v>136</v>
      </c>
      <c r="C1313" s="11" t="n">
        <v>1</v>
      </c>
      <c r="D1313" s="11" t="s">
        <v>74</v>
      </c>
      <c r="E1313" s="11" t="s">
        <v>153</v>
      </c>
      <c r="F1313" s="11" t="s">
        <v>73</v>
      </c>
      <c r="G1313" s="12" t="n">
        <v>450</v>
      </c>
      <c r="H1313" s="12" t="n">
        <f aca="false">SUMPRODUCT(ПОТОКИ!B13:G13,ЧАСОВЫЕ_ПРОФИЛИ!B23:G23,КОЭФФИЦИЕНТЫ_ВЫБОРА!F11:K11)</f>
        <v>0.4061</v>
      </c>
      <c r="I1313" s="12" t="n">
        <f aca="false">SUMPRODUCT(ПОТОКИ!B13:G13,ЧАСОВЫЕ_ПРОФИЛИ!B23:G23,КОЭФФИЦИЕНТЫ_ВЫБОРА!F11:K11,ПАРАМЕТРЫ!$B$17:$G$17)</f>
        <v>0.44671</v>
      </c>
      <c r="J1313" s="12" t="n">
        <f aca="false">I1313*G1313/1000</f>
        <v>0.2010195</v>
      </c>
      <c r="K1313" s="11" t="s">
        <v>217</v>
      </c>
      <c r="L1313" s="11" t="s">
        <v>19</v>
      </c>
      <c r="M1313" s="11" t="s">
        <v>145</v>
      </c>
    </row>
    <row r="1314" customFormat="false" ht="15" hidden="false" customHeight="false" outlineLevel="0" collapsed="false">
      <c r="A1314" s="11" t="s">
        <v>109</v>
      </c>
      <c r="B1314" s="11" t="s">
        <v>136</v>
      </c>
      <c r="C1314" s="11" t="n">
        <v>2</v>
      </c>
      <c r="D1314" s="11" t="s">
        <v>74</v>
      </c>
      <c r="E1314" s="11" t="s">
        <v>154</v>
      </c>
      <c r="F1314" s="11" t="s">
        <v>73</v>
      </c>
      <c r="G1314" s="12" t="n">
        <v>480</v>
      </c>
      <c r="H1314" s="12" t="n">
        <f aca="false">SUMPRODUCT(ПОТОКИ!B13:G13,ЧАСОВЫЕ_ПРОФИЛИ!B23:G23,КОЭФФИЦИЕНТЫ_ВЫБОРА!F12:K12)</f>
        <v>0.6723</v>
      </c>
      <c r="I1314" s="12" t="n">
        <f aca="false">SUMPRODUCT(ПОТОКИ!B13:G13,ЧАСОВЫЕ_ПРОФИЛИ!B23:G23,КОЭФФИЦИЕНТЫ_ВЫБОРА!F12:K12,ПАРАМЕТРЫ!$B$17:$G$17)</f>
        <v>0.73953</v>
      </c>
      <c r="J1314" s="12" t="n">
        <f aca="false">I1314*G1314/1000</f>
        <v>0.3549744</v>
      </c>
      <c r="K1314" s="11" t="s">
        <v>217</v>
      </c>
      <c r="L1314" s="11" t="s">
        <v>19</v>
      </c>
      <c r="M1314" s="11" t="s">
        <v>145</v>
      </c>
    </row>
    <row r="1315" customFormat="false" ht="15" hidden="false" customHeight="false" outlineLevel="0" collapsed="false">
      <c r="A1315" s="11" t="s">
        <v>109</v>
      </c>
      <c r="B1315" s="11" t="s">
        <v>136</v>
      </c>
      <c r="C1315" s="11" t="n">
        <v>3</v>
      </c>
      <c r="D1315" s="11" t="s">
        <v>74</v>
      </c>
      <c r="E1315" s="11" t="s">
        <v>155</v>
      </c>
      <c r="F1315" s="11" t="s">
        <v>73</v>
      </c>
      <c r="G1315" s="12" t="n">
        <v>500</v>
      </c>
      <c r="H1315" s="12" t="n">
        <f aca="false">SUMPRODUCT(ПОТОКИ!B13:G13,ЧАСОВЫЕ_ПРОФИЛИ!B23:G23,КОЭФФИЦИЕНТЫ_ВЫБОРА!F13:K13)</f>
        <v>0.9772</v>
      </c>
      <c r="I1315" s="12" t="n">
        <f aca="false">SUMPRODUCT(ПОТОКИ!B13:G13,ЧАСОВЫЕ_ПРОФИЛИ!B23:G23,КОЭФФИЦИЕНТЫ_ВЫБОРА!F13:K13,ПАРАМЕТРЫ!$B$17:$G$17)</f>
        <v>1.07492</v>
      </c>
      <c r="J1315" s="12" t="n">
        <f aca="false">I1315*G1315/1000</f>
        <v>0.53746</v>
      </c>
      <c r="K1315" s="11" t="s">
        <v>217</v>
      </c>
      <c r="L1315" s="11" t="s">
        <v>19</v>
      </c>
      <c r="M1315" s="11" t="s">
        <v>145</v>
      </c>
    </row>
    <row r="1316" customFormat="false" ht="15" hidden="false" customHeight="false" outlineLevel="0" collapsed="false">
      <c r="A1316" s="11" t="s">
        <v>109</v>
      </c>
      <c r="B1316" s="11" t="s">
        <v>136</v>
      </c>
      <c r="C1316" s="11" t="n">
        <v>4</v>
      </c>
      <c r="D1316" s="11" t="s">
        <v>74</v>
      </c>
      <c r="E1316" s="11" t="s">
        <v>156</v>
      </c>
      <c r="F1316" s="11" t="s">
        <v>73</v>
      </c>
      <c r="G1316" s="12" t="n">
        <v>500</v>
      </c>
      <c r="H1316" s="12" t="n">
        <f aca="false">SUMPRODUCT(ПОТОКИ!B13:G13,ЧАСОВЫЕ_ПРОФИЛИ!B23:G23,КОЭФФИЦИЕНТЫ_ВЫБОРА!F14:K14)</f>
        <v>1.2434</v>
      </c>
      <c r="I1316" s="12" t="n">
        <f aca="false">SUMPRODUCT(ПОТОКИ!B13:G13,ЧАСОВЫЕ_ПРОФИЛИ!B23:G23,КОЭФФИЦИЕНТЫ_ВЫБОРА!F14:K14,ПАРАМЕТРЫ!$B$17:$G$17)</f>
        <v>1.36774</v>
      </c>
      <c r="J1316" s="12" t="n">
        <f aca="false">I1316*G1316/1000</f>
        <v>0.68387</v>
      </c>
      <c r="K1316" s="11" t="s">
        <v>217</v>
      </c>
      <c r="L1316" s="11" t="s">
        <v>19</v>
      </c>
      <c r="M1316" s="11" t="s">
        <v>145</v>
      </c>
    </row>
    <row r="1317" customFormat="false" ht="15" hidden="false" customHeight="false" outlineLevel="0" collapsed="false">
      <c r="A1317" s="11" t="s">
        <v>109</v>
      </c>
      <c r="B1317" s="11" t="s">
        <v>136</v>
      </c>
      <c r="C1317" s="11" t="n">
        <v>5</v>
      </c>
      <c r="D1317" s="11" t="s">
        <v>78</v>
      </c>
      <c r="E1317" s="11" t="s">
        <v>157</v>
      </c>
      <c r="F1317" s="11" t="s">
        <v>77</v>
      </c>
      <c r="G1317" s="12" t="n">
        <v>100</v>
      </c>
      <c r="H1317" s="12" t="n">
        <f aca="false">SUMPRODUCT(ПОТОКИ!B13:G13,ЧАСОВЫЕ_ПРОФИЛИ!B23:G23,КОЭФФИЦИЕНТЫ_ВЫБОРА!F15:K15)</f>
        <v>0.5993</v>
      </c>
      <c r="I1317" s="12" t="n">
        <f aca="false">SUMPRODUCT(ПОТОКИ!B13:G13,ЧАСОВЫЕ_ПРОФИЛИ!B23:G23,КОЭФФИЦИЕНТЫ_ВЫБОРА!F15:K15,ПАРАМЕТРЫ!$B$17:$G$17)</f>
        <v>0.65923</v>
      </c>
      <c r="J1317" s="12" t="n">
        <f aca="false">I1317*G1317/1000</f>
        <v>0.065923</v>
      </c>
      <c r="K1317" s="11" t="s">
        <v>217</v>
      </c>
      <c r="L1317" s="11" t="s">
        <v>19</v>
      </c>
      <c r="M1317" s="11" t="s">
        <v>147</v>
      </c>
    </row>
    <row r="1318" customFormat="false" ht="15" hidden="false" customHeight="false" outlineLevel="0" collapsed="false">
      <c r="A1318" s="11" t="s">
        <v>109</v>
      </c>
      <c r="B1318" s="11" t="s">
        <v>136</v>
      </c>
      <c r="C1318" s="11" t="n">
        <v>6</v>
      </c>
      <c r="D1318" s="11" t="s">
        <v>78</v>
      </c>
      <c r="E1318" s="11" t="s">
        <v>158</v>
      </c>
      <c r="F1318" s="11" t="s">
        <v>77</v>
      </c>
      <c r="G1318" s="12" t="n">
        <v>100</v>
      </c>
      <c r="H1318" s="12" t="n">
        <f aca="false">SUMPRODUCT(ПОТОКИ!B13:G13,ЧАСОВЫЕ_ПРОФИЛИ!B23:G23,КОЭФФИЦИЕНТЫ_ВЫБОРА!F16:K16)</f>
        <v>0.5356</v>
      </c>
      <c r="I1318" s="12" t="n">
        <f aca="false">SUMPRODUCT(ПОТОКИ!B13:G13,ЧАСОВЫЕ_ПРОФИЛИ!B23:G23,КОЭФФИЦИЕНТЫ_ВЫБОРА!F16:K16,ПАРАМЕТРЫ!$B$17:$G$17)</f>
        <v>0.58916</v>
      </c>
      <c r="J1318" s="12" t="n">
        <f aca="false">I1318*G1318/1000</f>
        <v>0.058916</v>
      </c>
      <c r="K1318" s="11" t="s">
        <v>217</v>
      </c>
      <c r="L1318" s="11" t="s">
        <v>19</v>
      </c>
      <c r="M1318" s="11" t="s">
        <v>147</v>
      </c>
    </row>
    <row r="1319" customFormat="false" ht="15" hidden="false" customHeight="false" outlineLevel="0" collapsed="false">
      <c r="A1319" s="11" t="s">
        <v>109</v>
      </c>
      <c r="B1319" s="11" t="s">
        <v>136</v>
      </c>
      <c r="C1319" s="11" t="n">
        <v>7</v>
      </c>
      <c r="D1319" s="11" t="s">
        <v>78</v>
      </c>
      <c r="E1319" s="11" t="s">
        <v>159</v>
      </c>
      <c r="F1319" s="11" t="s">
        <v>77</v>
      </c>
      <c r="G1319" s="12" t="n">
        <v>350</v>
      </c>
      <c r="H1319" s="12" t="n">
        <f aca="false">SUMPRODUCT(ПОТОКИ!B13:G13,ЧАСОВЫЕ_ПРОФИЛИ!B23:G23,КОЭФФИЦИЕНТЫ_ВЫБОРА!F17:K17)</f>
        <v>0.48235</v>
      </c>
      <c r="I1319" s="12" t="n">
        <f aca="false">SUMPRODUCT(ПОТОКИ!B13:G13,ЧАСОВЫЕ_ПРОФИЛИ!B23:G23,КОЭФФИЦИЕНТЫ_ВЫБОРА!F17:K17,ПАРАМЕТРЫ!$B$17:$G$17)</f>
        <v>0.530585</v>
      </c>
      <c r="J1319" s="12" t="n">
        <f aca="false">I1319*G1319/1000</f>
        <v>0.18570475</v>
      </c>
      <c r="K1319" s="11" t="s">
        <v>217</v>
      </c>
      <c r="L1319" s="11" t="s">
        <v>19</v>
      </c>
      <c r="M1319" s="11" t="s">
        <v>147</v>
      </c>
    </row>
    <row r="1320" customFormat="false" ht="15" hidden="false" customHeight="false" outlineLevel="0" collapsed="false">
      <c r="A1320" s="11" t="s">
        <v>109</v>
      </c>
      <c r="B1320" s="11" t="s">
        <v>136</v>
      </c>
      <c r="C1320" s="11" t="n">
        <v>8</v>
      </c>
      <c r="D1320" s="11" t="s">
        <v>78</v>
      </c>
      <c r="E1320" s="11" t="s">
        <v>160</v>
      </c>
      <c r="F1320" s="11" t="s">
        <v>77</v>
      </c>
      <c r="G1320" s="12" t="n">
        <v>85</v>
      </c>
      <c r="H1320" s="12" t="n">
        <f aca="false">SUMPRODUCT(ПОТОКИ!B13:G13,ЧАСОВЫЕ_ПРОФИЛИ!B23:G23,КОЭФФИЦИЕНТЫ_ВЫБОРА!F18:K18)</f>
        <v>0.31215</v>
      </c>
      <c r="I1320" s="12" t="n">
        <f aca="false">SUMPRODUCT(ПОТОКИ!B13:G13,ЧАСОВЫЕ_ПРОФИЛИ!B23:G23,КОЭФФИЦИЕНТЫ_ВЫБОРА!F18:K18,ПАРАМЕТРЫ!$B$17:$G$17)</f>
        <v>0.343365</v>
      </c>
      <c r="J1320" s="12" t="n">
        <f aca="false">I1320*G1320/1000</f>
        <v>0.029186025</v>
      </c>
      <c r="K1320" s="11" t="s">
        <v>217</v>
      </c>
      <c r="L1320" s="11" t="s">
        <v>19</v>
      </c>
      <c r="M1320" s="11" t="s">
        <v>147</v>
      </c>
    </row>
    <row r="1321" customFormat="false" ht="15" hidden="false" customHeight="false" outlineLevel="0" collapsed="false">
      <c r="A1321" s="11" t="s">
        <v>109</v>
      </c>
      <c r="B1321" s="11" t="s">
        <v>136</v>
      </c>
      <c r="C1321" s="11" t="n">
        <v>9</v>
      </c>
      <c r="D1321" s="11" t="s">
        <v>161</v>
      </c>
      <c r="E1321" s="11" t="s">
        <v>162</v>
      </c>
      <c r="F1321" s="11" t="s">
        <v>80</v>
      </c>
      <c r="G1321" s="12" t="n">
        <v>300</v>
      </c>
      <c r="H1321" s="12" t="n">
        <f aca="false">SUMPRODUCT(ПОТОКИ!B13:G13,ЧАСОВЫЕ_ПРОФИЛИ!B23:G23,КОЭФФИЦИЕНТЫ_ВЫБОРА!F19:K19)</f>
        <v>0.6265</v>
      </c>
      <c r="I1321" s="12" t="n">
        <f aca="false">SUMPRODUCT(ПОТОКИ!B13:G13,ЧАСОВЫЕ_ПРОФИЛИ!B23:G23,КОЭФФИЦИЕНТЫ_ВЫБОРА!F19:K19,ПАРАМЕТРЫ!$B$17:$G$17)</f>
        <v>0.68915</v>
      </c>
      <c r="J1321" s="12" t="n">
        <f aca="false">I1321*G1321/1000</f>
        <v>0.206745</v>
      </c>
      <c r="K1321" s="11" t="s">
        <v>217</v>
      </c>
      <c r="L1321" s="11" t="s">
        <v>19</v>
      </c>
      <c r="M1321" s="11" t="s">
        <v>145</v>
      </c>
    </row>
    <row r="1322" customFormat="false" ht="15" hidden="false" customHeight="false" outlineLevel="0" collapsed="false">
      <c r="A1322" s="11" t="s">
        <v>109</v>
      </c>
      <c r="B1322" s="11" t="s">
        <v>136</v>
      </c>
      <c r="C1322" s="11" t="n">
        <v>10</v>
      </c>
      <c r="D1322" s="11" t="s">
        <v>161</v>
      </c>
      <c r="E1322" s="11" t="s">
        <v>163</v>
      </c>
      <c r="F1322" s="11" t="s">
        <v>80</v>
      </c>
      <c r="G1322" s="12" t="n">
        <v>280</v>
      </c>
      <c r="H1322" s="12" t="n">
        <f aca="false">SUMPRODUCT(ПОТОКИ!B13:G13,ЧАСОВЫЕ_ПРОФИЛИ!B23:G23,КОЭФФИЦИЕНТЫ_ВЫБОРА!F20:K20)</f>
        <v>0.694</v>
      </c>
      <c r="I1322" s="12" t="n">
        <f aca="false">SUMPRODUCT(ПОТОКИ!B13:G13,ЧАСОВЫЕ_ПРОФИЛИ!B23:G23,КОЭФФИЦИЕНТЫ_ВЫБОРА!F20:K20,ПАРАМЕТРЫ!$B$17:$G$17)</f>
        <v>0.7634</v>
      </c>
      <c r="J1322" s="12" t="n">
        <f aca="false">I1322*G1322/1000</f>
        <v>0.213752</v>
      </c>
      <c r="K1322" s="11" t="s">
        <v>217</v>
      </c>
      <c r="L1322" s="11" t="s">
        <v>19</v>
      </c>
      <c r="M1322" s="11" t="s">
        <v>145</v>
      </c>
    </row>
    <row r="1323" customFormat="false" ht="15" hidden="false" customHeight="false" outlineLevel="0" collapsed="false">
      <c r="A1323" s="11" t="s">
        <v>109</v>
      </c>
      <c r="B1323" s="11" t="s">
        <v>136</v>
      </c>
      <c r="C1323" s="11" t="n">
        <v>11</v>
      </c>
      <c r="D1323" s="11" t="s">
        <v>161</v>
      </c>
      <c r="E1323" s="11" t="s">
        <v>164</v>
      </c>
      <c r="F1323" s="11" t="s">
        <v>80</v>
      </c>
      <c r="G1323" s="12" t="n">
        <v>270</v>
      </c>
      <c r="H1323" s="12" t="n">
        <f aca="false">SUMPRODUCT(ПОТОКИ!B13:G13,ЧАСОВЫЕ_ПРОФИЛИ!B23:G23,КОЭФФИЦИЕНТЫ_ВЫБОРА!F21:K21)</f>
        <v>1.1476</v>
      </c>
      <c r="I1323" s="12" t="n">
        <f aca="false">SUMPRODUCT(ПОТОКИ!B13:G13,ЧАСОВЫЕ_ПРОФИЛИ!B23:G23,КОЭФФИЦИЕНТЫ_ВЫБОРА!F21:K21,ПАРАМЕТРЫ!$B$17:$G$17)</f>
        <v>1.26236</v>
      </c>
      <c r="J1323" s="12" t="n">
        <f aca="false">I1323*G1323/1000</f>
        <v>0.3408372</v>
      </c>
      <c r="K1323" s="11" t="s">
        <v>217</v>
      </c>
      <c r="L1323" s="11" t="s">
        <v>19</v>
      </c>
      <c r="M1323" s="11" t="s">
        <v>145</v>
      </c>
    </row>
    <row r="1324" customFormat="false" ht="15" hidden="false" customHeight="false" outlineLevel="0" collapsed="false">
      <c r="A1324" s="11" t="s">
        <v>109</v>
      </c>
      <c r="B1324" s="11" t="s">
        <v>136</v>
      </c>
      <c r="C1324" s="11" t="n">
        <v>12</v>
      </c>
      <c r="D1324" s="11" t="s">
        <v>161</v>
      </c>
      <c r="E1324" s="11" t="s">
        <v>165</v>
      </c>
      <c r="F1324" s="11" t="s">
        <v>80</v>
      </c>
      <c r="G1324" s="12" t="n">
        <v>240</v>
      </c>
      <c r="H1324" s="12" t="n">
        <f aca="false">SUMPRODUCT(ПОТОКИ!B13:G13,ЧАСОВЫЕ_ПРОФИЛИ!B23:G23,КОЭФФИЦИЕНТЫ_ВЫБОРА!F22:K22)</f>
        <v>0.6179</v>
      </c>
      <c r="I1324" s="12" t="n">
        <f aca="false">SUMPRODUCT(ПОТОКИ!B13:G13,ЧАСОВЫЕ_ПРОФИЛИ!B23:G23,КОЭФФИЦИЕНТЫ_ВЫБОРА!F22:K22,ПАРАМЕТРЫ!$B$17:$G$17)</f>
        <v>0.67969</v>
      </c>
      <c r="J1324" s="12" t="n">
        <f aca="false">I1324*G1324/1000</f>
        <v>0.1631256</v>
      </c>
      <c r="K1324" s="11" t="s">
        <v>217</v>
      </c>
      <c r="L1324" s="11" t="s">
        <v>19</v>
      </c>
      <c r="M1324" s="11" t="s">
        <v>145</v>
      </c>
    </row>
    <row r="1325" customFormat="false" ht="15" hidden="false" customHeight="false" outlineLevel="0" collapsed="false">
      <c r="A1325" s="11" t="s">
        <v>109</v>
      </c>
      <c r="B1325" s="11" t="s">
        <v>136</v>
      </c>
      <c r="C1325" s="11" t="n">
        <v>13</v>
      </c>
      <c r="D1325" s="11" t="s">
        <v>166</v>
      </c>
      <c r="E1325" s="11" t="s">
        <v>167</v>
      </c>
      <c r="F1325" s="11" t="s">
        <v>80</v>
      </c>
      <c r="G1325" s="12" t="n">
        <v>130</v>
      </c>
      <c r="H1325" s="12" t="n">
        <f aca="false">SUMPRODUCT(ПОТОКИ!B13:G13,ЧАСОВЫЕ_ПРОФИЛИ!B23:G23,КОЭФФИЦИЕНТЫ_ВЫБОРА!F23:K23)</f>
        <v>0.356</v>
      </c>
      <c r="I1325" s="12" t="n">
        <f aca="false">SUMPRODUCT(ПОТОКИ!B13:G13,ЧАСОВЫЕ_ПРОФИЛИ!B23:G23,КОЭФФИЦИЕНТЫ_ВЫБОРА!F23:K23,ПАРАМЕТРЫ!$B$17:$G$17)</f>
        <v>0.3916</v>
      </c>
      <c r="J1325" s="12" t="n">
        <f aca="false">I1325*G1325/1000</f>
        <v>0.050908</v>
      </c>
      <c r="K1325" s="11" t="s">
        <v>217</v>
      </c>
      <c r="L1325" s="11" t="s">
        <v>19</v>
      </c>
      <c r="M1325" s="11" t="s">
        <v>145</v>
      </c>
    </row>
    <row r="1326" customFormat="false" ht="15" hidden="false" customHeight="false" outlineLevel="0" collapsed="false">
      <c r="A1326" s="11" t="s">
        <v>109</v>
      </c>
      <c r="B1326" s="11" t="s">
        <v>136</v>
      </c>
      <c r="C1326" s="11" t="n">
        <v>14</v>
      </c>
      <c r="D1326" s="11" t="s">
        <v>166</v>
      </c>
      <c r="E1326" s="11" t="s">
        <v>168</v>
      </c>
      <c r="F1326" s="11" t="s">
        <v>80</v>
      </c>
      <c r="G1326" s="12" t="n">
        <v>250</v>
      </c>
      <c r="H1326" s="12" t="n">
        <f aca="false">SUMPRODUCT(ПОТОКИ!B13:G13,ЧАСОВЫЕ_ПРОФИЛИ!B23:G23,КОЭФФИЦИЕНТЫ_ВЫБОРА!F24:K24)</f>
        <v>0.2786</v>
      </c>
      <c r="I1326" s="12" t="n">
        <f aca="false">SUMPRODUCT(ПОТОКИ!B13:G13,ЧАСОВЫЕ_ПРОФИЛИ!B23:G23,КОЭФФИЦИЕНТЫ_ВЫБОРА!F24:K24,ПАРАМЕТРЫ!$B$17:$G$17)</f>
        <v>0.30646</v>
      </c>
      <c r="J1326" s="12" t="n">
        <f aca="false">I1326*G1326/1000</f>
        <v>0.076615</v>
      </c>
      <c r="K1326" s="11" t="s">
        <v>217</v>
      </c>
      <c r="L1326" s="11" t="s">
        <v>19</v>
      </c>
      <c r="M1326" s="11" t="s">
        <v>145</v>
      </c>
    </row>
    <row r="1327" customFormat="false" ht="15" hidden="false" customHeight="false" outlineLevel="0" collapsed="false">
      <c r="A1327" s="11" t="s">
        <v>109</v>
      </c>
      <c r="B1327" s="11" t="s">
        <v>136</v>
      </c>
      <c r="C1327" s="11" t="n">
        <v>15</v>
      </c>
      <c r="D1327" s="11" t="s">
        <v>166</v>
      </c>
      <c r="E1327" s="11" t="s">
        <v>169</v>
      </c>
      <c r="F1327" s="11" t="s">
        <v>80</v>
      </c>
      <c r="G1327" s="12" t="n">
        <v>120</v>
      </c>
      <c r="H1327" s="12" t="n">
        <f aca="false">SUMPRODUCT(ПОТОКИ!B13:G13,ЧАСОВЫЕ_ПРОФИЛИ!B23:G23,КОЭФФИЦИЕНТЫ_ВЫБОРА!F25:K25)</f>
        <v>0.2036</v>
      </c>
      <c r="I1327" s="12" t="n">
        <f aca="false">SUMPRODUCT(ПОТОКИ!B13:G13,ЧАСОВЫЕ_ПРОФИЛИ!B23:G23,КОЭФФИЦИЕНТЫ_ВЫБОРА!F25:K25,ПАРАМЕТРЫ!$B$17:$G$17)</f>
        <v>0.22396</v>
      </c>
      <c r="J1327" s="12" t="n">
        <f aca="false">I1327*G1327/1000</f>
        <v>0.0268752</v>
      </c>
      <c r="K1327" s="11" t="s">
        <v>217</v>
      </c>
      <c r="L1327" s="11" t="s">
        <v>19</v>
      </c>
      <c r="M1327" s="11" t="s">
        <v>145</v>
      </c>
    </row>
    <row r="1328" customFormat="false" ht="15" hidden="false" customHeight="false" outlineLevel="0" collapsed="false">
      <c r="A1328" s="11" t="s">
        <v>109</v>
      </c>
      <c r="B1328" s="11" t="s">
        <v>136</v>
      </c>
      <c r="C1328" s="11" t="n">
        <v>16</v>
      </c>
      <c r="D1328" s="11" t="s">
        <v>166</v>
      </c>
      <c r="E1328" s="11" t="s">
        <v>170</v>
      </c>
      <c r="F1328" s="11" t="s">
        <v>80</v>
      </c>
      <c r="G1328" s="12" t="n">
        <v>180</v>
      </c>
      <c r="H1328" s="12" t="n">
        <f aca="false">SUMPRODUCT(ПОТОКИ!B13:G13,ЧАСОВЫЕ_ПРОФИЛИ!B23:G23,КОЭФФИЦИЕНТЫ_ВЫБОРА!F26:K26)</f>
        <v>0.3298</v>
      </c>
      <c r="I1328" s="12" t="n">
        <f aca="false">SUMPRODUCT(ПОТОКИ!B13:G13,ЧАСОВЫЕ_ПРОФИЛИ!B23:G23,КОЭФФИЦИЕНТЫ_ВЫБОРА!F26:K26,ПАРАМЕТРЫ!$B$17:$G$17)</f>
        <v>0.36278</v>
      </c>
      <c r="J1328" s="12" t="n">
        <f aca="false">I1328*G1328/1000</f>
        <v>0.0653004</v>
      </c>
      <c r="K1328" s="11" t="s">
        <v>217</v>
      </c>
      <c r="L1328" s="11" t="s">
        <v>19</v>
      </c>
      <c r="M1328" s="11" t="s">
        <v>145</v>
      </c>
    </row>
    <row r="1329" customFormat="false" ht="15" hidden="false" customHeight="false" outlineLevel="0" collapsed="false">
      <c r="A1329" s="11" t="s">
        <v>109</v>
      </c>
      <c r="B1329" s="11" t="s">
        <v>136</v>
      </c>
      <c r="C1329" s="11" t="n">
        <v>17</v>
      </c>
      <c r="D1329" s="11" t="s">
        <v>166</v>
      </c>
      <c r="E1329" s="11" t="s">
        <v>171</v>
      </c>
      <c r="F1329" s="11" t="s">
        <v>80</v>
      </c>
      <c r="G1329" s="12" t="n">
        <v>180</v>
      </c>
      <c r="H1329" s="12" t="n">
        <f aca="false">SUMPRODUCT(ПОТОКИ!B13:G13,ЧАСОВЫЕ_ПРОФИЛИ!B23:G23,КОЭФФИЦИЕНТЫ_ВЫБОРА!F27:K27)</f>
        <v>0.356</v>
      </c>
      <c r="I1329" s="12" t="n">
        <f aca="false">SUMPRODUCT(ПОТОКИ!B13:G13,ЧАСОВЫЕ_ПРОФИЛИ!B23:G23,КОЭФФИЦИЕНТЫ_ВЫБОРА!F27:K27,ПАРАМЕТРЫ!$B$17:$G$17)</f>
        <v>0.3916</v>
      </c>
      <c r="J1329" s="12" t="n">
        <f aca="false">I1329*G1329/1000</f>
        <v>0.070488</v>
      </c>
      <c r="K1329" s="11" t="s">
        <v>217</v>
      </c>
      <c r="L1329" s="11" t="s">
        <v>19</v>
      </c>
      <c r="M1329" s="11" t="s">
        <v>145</v>
      </c>
    </row>
    <row r="1330" customFormat="false" ht="15" hidden="false" customHeight="false" outlineLevel="0" collapsed="false">
      <c r="A1330" s="11" t="s">
        <v>109</v>
      </c>
      <c r="B1330" s="11" t="s">
        <v>136</v>
      </c>
      <c r="C1330" s="11" t="n">
        <v>18</v>
      </c>
      <c r="D1330" s="11" t="s">
        <v>172</v>
      </c>
      <c r="E1330" s="11" t="s">
        <v>173</v>
      </c>
      <c r="F1330" s="11" t="s">
        <v>83</v>
      </c>
      <c r="G1330" s="12" t="n">
        <v>400</v>
      </c>
      <c r="H1330" s="12" t="n">
        <f aca="false">SUMPRODUCT(ПОТОКИ!B13:G13,ЧАСОВЫЕ_ПРОФИЛИ!B23:G23,КОЭФФИЦИЕНТЫ_ВЫБОРА!F28:K28)</f>
        <v>0.512</v>
      </c>
      <c r="I1330" s="12" t="n">
        <f aca="false">SUMPRODUCT(ПОТОКИ!B13:G13,ЧАСОВЫЕ_ПРОФИЛИ!B23:G23,КОЭФФИЦИЕНТЫ_ВЫБОРА!F28:K28,ПАРАМЕТРЫ!$B$17:$G$17)</f>
        <v>0.5632</v>
      </c>
      <c r="J1330" s="12" t="n">
        <f aca="false">I1330*G1330/1000</f>
        <v>0.22528</v>
      </c>
      <c r="K1330" s="11" t="s">
        <v>217</v>
      </c>
      <c r="L1330" s="11" t="s">
        <v>19</v>
      </c>
      <c r="M1330" s="11" t="s">
        <v>145</v>
      </c>
    </row>
    <row r="1331" customFormat="false" ht="23.85" hidden="false" customHeight="false" outlineLevel="0" collapsed="false">
      <c r="A1331" s="11" t="s">
        <v>109</v>
      </c>
      <c r="B1331" s="11" t="s">
        <v>136</v>
      </c>
      <c r="C1331" s="11" t="n">
        <v>19</v>
      </c>
      <c r="D1331" s="11" t="s">
        <v>174</v>
      </c>
      <c r="E1331" s="11" t="s">
        <v>175</v>
      </c>
      <c r="F1331" s="11" t="s">
        <v>83</v>
      </c>
      <c r="G1331" s="12" t="n">
        <v>300</v>
      </c>
      <c r="H1331" s="12" t="n">
        <f aca="false">SUMPRODUCT(ПОТОКИ!B13:G13,ЧАСОВЫЕ_ПРОФИЛИ!B23:G23,КОЭФФИЦИЕНТЫ_ВЫБОРА!F29:K29)</f>
        <v>1.8295</v>
      </c>
      <c r="I1331" s="12" t="n">
        <f aca="false">SUMPRODUCT(ПОТОКИ!B13:G13,ЧАСОВЫЕ_ПРОФИЛИ!B23:G23,КОЭФФИЦИЕНТЫ_ВЫБОРА!F29:K29,ПАРАМЕТРЫ!$B$17:$G$17)</f>
        <v>2.01245</v>
      </c>
      <c r="J1331" s="12" t="n">
        <f aca="false">I1331*G1331/1000</f>
        <v>0.603735</v>
      </c>
      <c r="K1331" s="11" t="s">
        <v>217</v>
      </c>
      <c r="L1331" s="11" t="s">
        <v>19</v>
      </c>
      <c r="M1331" s="11" t="s">
        <v>145</v>
      </c>
    </row>
    <row r="1332" customFormat="false" ht="15" hidden="false" customHeight="false" outlineLevel="0" collapsed="false">
      <c r="A1332" s="11" t="s">
        <v>109</v>
      </c>
      <c r="B1332" s="11" t="s">
        <v>136</v>
      </c>
      <c r="C1332" s="11" t="n">
        <v>20</v>
      </c>
      <c r="D1332" s="11" t="s">
        <v>174</v>
      </c>
      <c r="E1332" s="11" t="s">
        <v>176</v>
      </c>
      <c r="F1332" s="11" t="s">
        <v>83</v>
      </c>
      <c r="G1332" s="12" t="n">
        <v>360</v>
      </c>
      <c r="H1332" s="12" t="n">
        <f aca="false">SUMPRODUCT(ПОТОКИ!B13:G13,ЧАСОВЫЕ_ПРОФИЛИ!B23:G23,КОЭФФИЦИЕНТЫ_ВЫБОРА!F30:K30)</f>
        <v>1.5406</v>
      </c>
      <c r="I1332" s="12" t="n">
        <f aca="false">SUMPRODUCT(ПОТОКИ!B13:G13,ЧАСОВЫЕ_ПРОФИЛИ!B23:G23,КОЭФФИЦИЕНТЫ_ВЫБОРА!F30:K30,ПАРАМЕТРЫ!$B$17:$G$17)</f>
        <v>1.69466</v>
      </c>
      <c r="J1332" s="12" t="n">
        <f aca="false">I1332*G1332/1000</f>
        <v>0.6100776</v>
      </c>
      <c r="K1332" s="11" t="s">
        <v>217</v>
      </c>
      <c r="L1332" s="11" t="s">
        <v>19</v>
      </c>
      <c r="M1332" s="11" t="s">
        <v>145</v>
      </c>
    </row>
    <row r="1333" customFormat="false" ht="15" hidden="false" customHeight="false" outlineLevel="0" collapsed="false">
      <c r="A1333" s="11" t="s">
        <v>109</v>
      </c>
      <c r="B1333" s="11" t="s">
        <v>136</v>
      </c>
      <c r="C1333" s="11" t="n">
        <v>21</v>
      </c>
      <c r="D1333" s="11" t="s">
        <v>174</v>
      </c>
      <c r="E1333" s="11" t="s">
        <v>177</v>
      </c>
      <c r="F1333" s="11" t="s">
        <v>83</v>
      </c>
      <c r="G1333" s="12" t="n">
        <v>350</v>
      </c>
      <c r="H1333" s="12" t="n">
        <f aca="false">SUMPRODUCT(ПОТОКИ!B13:G13,ЧАСОВЫЕ_ПРОФИЛИ!B23:G23,КОЭФФИЦИЕНТЫ_ВЫБОРА!F31:K31)</f>
        <v>2.24965</v>
      </c>
      <c r="I1333" s="12" t="n">
        <f aca="false">SUMPRODUCT(ПОТОКИ!B13:G13,ЧАСОВЫЕ_ПРОФИЛИ!B23:G23,КОЭФФИЦИЕНТЫ_ВЫБОРА!F31:K31,ПАРАМЕТРЫ!$B$17:$G$17)</f>
        <v>2.474615</v>
      </c>
      <c r="J1333" s="12" t="n">
        <f aca="false">I1333*G1333/1000</f>
        <v>0.86611525</v>
      </c>
      <c r="K1333" s="11" t="s">
        <v>217</v>
      </c>
      <c r="L1333" s="11" t="s">
        <v>19</v>
      </c>
      <c r="M1333" s="11" t="s">
        <v>145</v>
      </c>
    </row>
    <row r="1334" customFormat="false" ht="15" hidden="false" customHeight="false" outlineLevel="0" collapsed="false">
      <c r="A1334" s="11" t="s">
        <v>109</v>
      </c>
      <c r="B1334" s="11" t="s">
        <v>136</v>
      </c>
      <c r="C1334" s="11" t="n">
        <v>22</v>
      </c>
      <c r="D1334" s="11" t="s">
        <v>174</v>
      </c>
      <c r="E1334" s="11" t="s">
        <v>178</v>
      </c>
      <c r="F1334" s="11" t="s">
        <v>83</v>
      </c>
      <c r="G1334" s="12" t="n">
        <v>300</v>
      </c>
      <c r="H1334" s="12" t="n">
        <f aca="false">SUMPRODUCT(ПОТОКИ!B13:G13,ЧАСОВЫЕ_ПРОФИЛИ!B23:G23,КОЭФФИЦИЕНТЫ_ВЫБОРА!F32:K32)</f>
        <v>1.63325</v>
      </c>
      <c r="I1334" s="12" t="n">
        <f aca="false">SUMPRODUCT(ПОТОКИ!B13:G13,ЧАСОВЫЕ_ПРОФИЛИ!B23:G23,КОЭФФИЦИЕНТЫ_ВЫБОРА!F32:K32,ПАРАМЕТРЫ!$B$17:$G$17)</f>
        <v>1.796575</v>
      </c>
      <c r="J1334" s="12" t="n">
        <f aca="false">I1334*G1334/1000</f>
        <v>0.5389725</v>
      </c>
      <c r="K1334" s="11" t="s">
        <v>217</v>
      </c>
      <c r="L1334" s="11" t="s">
        <v>19</v>
      </c>
      <c r="M1334" s="11" t="s">
        <v>145</v>
      </c>
    </row>
    <row r="1335" customFormat="false" ht="15" hidden="false" customHeight="false" outlineLevel="0" collapsed="false">
      <c r="A1335" s="11" t="s">
        <v>109</v>
      </c>
      <c r="B1335" s="11" t="s">
        <v>136</v>
      </c>
      <c r="C1335" s="11" t="n">
        <v>23</v>
      </c>
      <c r="D1335" s="11" t="s">
        <v>86</v>
      </c>
      <c r="E1335" s="11" t="s">
        <v>179</v>
      </c>
      <c r="F1335" s="11" t="s">
        <v>85</v>
      </c>
      <c r="G1335" s="12" t="n">
        <v>150</v>
      </c>
      <c r="H1335" s="12" t="n">
        <f aca="false">SUMPRODUCT(ПОТОКИ!B13:G13,ЧАСОВЫЕ_ПРОФИЛИ!B23:G23,КОЭФФИЦИЕНТЫ_ВЫБОРА!F33:K33)</f>
        <v>1.37127275</v>
      </c>
      <c r="I1335" s="12" t="n">
        <f aca="false">SUMPRODUCT(ПОТОКИ!B13:G13,ЧАСОВЫЕ_ПРОФИЛИ!B23:G23,КОЭФФИЦИЕНТЫ_ВЫБОРА!F33:K33,ПАРАМЕТРЫ!$B$17:$G$17)</f>
        <v>1.508400025</v>
      </c>
      <c r="J1335" s="12" t="n">
        <f aca="false">I1335*G1335/1000</f>
        <v>0.22626000375</v>
      </c>
      <c r="K1335" s="11" t="s">
        <v>217</v>
      </c>
      <c r="L1335" s="11" t="s">
        <v>19</v>
      </c>
      <c r="M1335" s="11" t="s">
        <v>147</v>
      </c>
    </row>
    <row r="1336" customFormat="false" ht="15" hidden="false" customHeight="false" outlineLevel="0" collapsed="false">
      <c r="A1336" s="11" t="s">
        <v>109</v>
      </c>
      <c r="B1336" s="11" t="s">
        <v>136</v>
      </c>
      <c r="C1336" s="11" t="n">
        <v>24</v>
      </c>
      <c r="D1336" s="11" t="s">
        <v>86</v>
      </c>
      <c r="E1336" s="11" t="s">
        <v>180</v>
      </c>
      <c r="F1336" s="11" t="s">
        <v>85</v>
      </c>
      <c r="G1336" s="12" t="n">
        <v>150</v>
      </c>
      <c r="H1336" s="12" t="n">
        <f aca="false">SUMPRODUCT(ПОТОКИ!B13:G13,ЧАСОВЫЕ_ПРОФИЛИ!B23:G23,КОЭФФИЦИЕНТЫ_ВЫБОРА!F34:K34)</f>
        <v>0.726277</v>
      </c>
      <c r="I1336" s="12" t="n">
        <f aca="false">SUMPRODUCT(ПОТОКИ!B13:G13,ЧАСОВЫЕ_ПРОФИЛИ!B23:G23,КОЭФФИЦИЕНТЫ_ВЫБОРА!F34:K34,ПАРАМЕТРЫ!$B$17:$G$17)</f>
        <v>0.7989047</v>
      </c>
      <c r="J1336" s="12" t="n">
        <f aca="false">I1336*G1336/1000</f>
        <v>0.119835705</v>
      </c>
      <c r="K1336" s="11" t="s">
        <v>217</v>
      </c>
      <c r="L1336" s="11" t="s">
        <v>19</v>
      </c>
      <c r="M1336" s="11" t="s">
        <v>147</v>
      </c>
    </row>
    <row r="1337" customFormat="false" ht="15" hidden="false" customHeight="false" outlineLevel="0" collapsed="false">
      <c r="A1337" s="11" t="s">
        <v>109</v>
      </c>
      <c r="B1337" s="11" t="s">
        <v>136</v>
      </c>
      <c r="C1337" s="11" t="n">
        <v>25</v>
      </c>
      <c r="D1337" s="11" t="s">
        <v>86</v>
      </c>
      <c r="E1337" s="11" t="s">
        <v>181</v>
      </c>
      <c r="F1337" s="11" t="s">
        <v>85</v>
      </c>
      <c r="G1337" s="12" t="n">
        <v>150</v>
      </c>
      <c r="H1337" s="12" t="n">
        <f aca="false">SUMPRODUCT(ПОТОКИ!B13:G13,ЧАСОВЫЕ_ПРОФИЛИ!B23:G23,КОЭФФИЦИЕНТЫ_ВЫБОРА!F35:K35)</f>
        <v>1.53383525</v>
      </c>
      <c r="I1337" s="12" t="n">
        <f aca="false">SUMPRODUCT(ПОТОКИ!B13:G13,ЧАСОВЫЕ_ПРОФИЛИ!B23:G23,КОЭФФИЦИЕНТЫ_ВЫБОРА!F35:K35,ПАРАМЕТРЫ!$B$17:$G$17)</f>
        <v>1.687218775</v>
      </c>
      <c r="J1337" s="12" t="n">
        <f aca="false">I1337*G1337/1000</f>
        <v>0.25308281625</v>
      </c>
      <c r="K1337" s="11" t="s">
        <v>217</v>
      </c>
      <c r="L1337" s="11" t="s">
        <v>19</v>
      </c>
      <c r="M1337" s="11" t="s">
        <v>147</v>
      </c>
    </row>
    <row r="1338" customFormat="false" ht="23.85" hidden="false" customHeight="false" outlineLevel="0" collapsed="false">
      <c r="A1338" s="11" t="s">
        <v>109</v>
      </c>
      <c r="B1338" s="11" t="s">
        <v>136</v>
      </c>
      <c r="C1338" s="11" t="n">
        <v>26</v>
      </c>
      <c r="D1338" s="11" t="s">
        <v>89</v>
      </c>
      <c r="E1338" s="11" t="s">
        <v>182</v>
      </c>
      <c r="F1338" s="11" t="s">
        <v>88</v>
      </c>
      <c r="G1338" s="12" t="n">
        <v>225</v>
      </c>
      <c r="H1338" s="12" t="n">
        <f aca="false">SUMPRODUCT(ПОТОКИ!B13:G13,ЧАСОВЫЕ_ПРОФИЛИ!B23:G23,КОЭФФИЦИЕНТЫ_ВЫБОРА!F36:K36)</f>
        <v>0</v>
      </c>
      <c r="I1338" s="12" t="n">
        <f aca="false">SUMPRODUCT(ПОТОКИ!B13:G13,ЧАСОВЫЕ_ПРОФИЛИ!B23:G23,КОЭФФИЦИЕНТЫ_ВЫБОРА!F36:K36,ПАРАМЕТРЫ!$B$17:$G$17)</f>
        <v>0</v>
      </c>
      <c r="J1338" s="12" t="n">
        <f aca="false">I1338*G1338/1000</f>
        <v>0</v>
      </c>
      <c r="K1338" s="11" t="s">
        <v>217</v>
      </c>
      <c r="L1338" s="11" t="s">
        <v>19</v>
      </c>
      <c r="M1338" s="11" t="s">
        <v>145</v>
      </c>
    </row>
    <row r="1339" customFormat="false" ht="23.85" hidden="false" customHeight="false" outlineLevel="0" collapsed="false">
      <c r="A1339" s="11" t="s">
        <v>109</v>
      </c>
      <c r="B1339" s="11" t="s">
        <v>136</v>
      </c>
      <c r="C1339" s="11" t="n">
        <v>27</v>
      </c>
      <c r="D1339" s="11" t="s">
        <v>89</v>
      </c>
      <c r="E1339" s="11" t="s">
        <v>183</v>
      </c>
      <c r="F1339" s="11" t="s">
        <v>88</v>
      </c>
      <c r="G1339" s="12" t="n">
        <v>265</v>
      </c>
      <c r="H1339" s="12" t="n">
        <f aca="false">SUMPRODUCT(ПОТОКИ!B13:G13,ЧАСОВЫЕ_ПРОФИЛИ!B23:G23,КОЭФФИЦИЕНТЫ_ВЫБОРА!F37:K37)</f>
        <v>0</v>
      </c>
      <c r="I1339" s="12" t="n">
        <f aca="false">SUMPRODUCT(ПОТОКИ!B13:G13,ЧАСОВЫЕ_ПРОФИЛИ!B23:G23,КОЭФФИЦИЕНТЫ_ВЫБОРА!F37:K37,ПАРАМЕТРЫ!$B$17:$G$17)</f>
        <v>0</v>
      </c>
      <c r="J1339" s="12" t="n">
        <f aca="false">I1339*G1339/1000</f>
        <v>0</v>
      </c>
      <c r="K1339" s="11" t="s">
        <v>217</v>
      </c>
      <c r="L1339" s="11" t="s">
        <v>19</v>
      </c>
      <c r="M1339" s="11" t="s">
        <v>145</v>
      </c>
    </row>
    <row r="1340" customFormat="false" ht="23.85" hidden="false" customHeight="false" outlineLevel="0" collapsed="false">
      <c r="A1340" s="11" t="s">
        <v>109</v>
      </c>
      <c r="B1340" s="11" t="s">
        <v>136</v>
      </c>
      <c r="C1340" s="11" t="n">
        <v>28</v>
      </c>
      <c r="D1340" s="11" t="s">
        <v>89</v>
      </c>
      <c r="E1340" s="11" t="s">
        <v>184</v>
      </c>
      <c r="F1340" s="11" t="s">
        <v>88</v>
      </c>
      <c r="G1340" s="12" t="n">
        <v>355</v>
      </c>
      <c r="H1340" s="12" t="n">
        <f aca="false">SUMPRODUCT(ПОТОКИ!B13:G13,ЧАСОВЫЕ_ПРОФИЛИ!B23:G23,КОЭФФИЦИЕНТЫ_ВЫБОРА!F38:K38)</f>
        <v>0</v>
      </c>
      <c r="I1340" s="12" t="n">
        <f aca="false">SUMPRODUCT(ПОТОКИ!B13:G13,ЧАСОВЫЕ_ПРОФИЛИ!B23:G23,КОЭФФИЦИЕНТЫ_ВЫБОРА!F38:K38,ПАРАМЕТРЫ!$B$17:$G$17)</f>
        <v>0</v>
      </c>
      <c r="J1340" s="12" t="n">
        <f aca="false">I1340*G1340/1000</f>
        <v>0</v>
      </c>
      <c r="K1340" s="11" t="s">
        <v>217</v>
      </c>
      <c r="L1340" s="11" t="s">
        <v>19</v>
      </c>
      <c r="M1340" s="11" t="s">
        <v>145</v>
      </c>
    </row>
    <row r="1341" customFormat="false" ht="15" hidden="false" customHeight="false" outlineLevel="0" collapsed="false">
      <c r="A1341" s="11" t="s">
        <v>109</v>
      </c>
      <c r="B1341" s="11" t="s">
        <v>136</v>
      </c>
      <c r="C1341" s="11" t="n">
        <v>29</v>
      </c>
      <c r="D1341" s="11" t="s">
        <v>92</v>
      </c>
      <c r="E1341" s="11" t="s">
        <v>185</v>
      </c>
      <c r="F1341" s="11" t="s">
        <v>91</v>
      </c>
      <c r="G1341" s="12" t="n">
        <v>150</v>
      </c>
      <c r="H1341" s="12" t="n">
        <f aca="false">SUMPRODUCT(ПОТОКИ!B13:G13,ЧАСОВЫЕ_ПРОФИЛИ!B23:G23,КОЭФФИЦИЕНТЫ_ВЫБОРА!F39:K39)</f>
        <v>0.4332</v>
      </c>
      <c r="I1341" s="12" t="n">
        <f aca="false">SUMPRODUCT(ПОТОКИ!B13:G13,ЧАСОВЫЕ_ПРОФИЛИ!B23:G23,КОЭФФИЦИЕНТЫ_ВЫБОРА!F39:K39,ПАРАМЕТРЫ!$B$17:$G$17)</f>
        <v>0.47652</v>
      </c>
      <c r="J1341" s="12" t="n">
        <f aca="false">I1341*G1341/1000</f>
        <v>0.071478</v>
      </c>
      <c r="K1341" s="11" t="s">
        <v>217</v>
      </c>
      <c r="L1341" s="11" t="s">
        <v>19</v>
      </c>
      <c r="M1341" s="11" t="s">
        <v>145</v>
      </c>
    </row>
    <row r="1342" customFormat="false" ht="15" hidden="false" customHeight="false" outlineLevel="0" collapsed="false">
      <c r="A1342" s="11" t="s">
        <v>109</v>
      </c>
      <c r="B1342" s="11" t="s">
        <v>136</v>
      </c>
      <c r="C1342" s="11" t="n">
        <v>30</v>
      </c>
      <c r="D1342" s="11" t="s">
        <v>92</v>
      </c>
      <c r="E1342" s="11" t="s">
        <v>186</v>
      </c>
      <c r="F1342" s="11" t="s">
        <v>91</v>
      </c>
      <c r="G1342" s="12" t="n">
        <v>120</v>
      </c>
      <c r="H1342" s="12" t="n">
        <f aca="false">SUMPRODUCT(ПОТОКИ!B13:G13,ЧАСОВЫЕ_ПРОФИЛИ!B23:G23,КОЭФФИЦИЕНТЫ_ВЫБОРА!F40:K40)</f>
        <v>0.6832</v>
      </c>
      <c r="I1342" s="12" t="n">
        <f aca="false">SUMPRODUCT(ПОТОКИ!B13:G13,ЧАСОВЫЕ_ПРОФИЛИ!B23:G23,КОЭФФИЦИЕНТЫ_ВЫБОРА!F40:K40,ПАРАМЕТРЫ!$B$17:$G$17)</f>
        <v>0.75152</v>
      </c>
      <c r="J1342" s="12" t="n">
        <f aca="false">I1342*G1342/1000</f>
        <v>0.0901824</v>
      </c>
      <c r="K1342" s="11" t="s">
        <v>217</v>
      </c>
      <c r="L1342" s="11" t="s">
        <v>19</v>
      </c>
      <c r="M1342" s="11" t="s">
        <v>145</v>
      </c>
    </row>
    <row r="1343" customFormat="false" ht="15" hidden="false" customHeight="false" outlineLevel="0" collapsed="false">
      <c r="A1343" s="11" t="s">
        <v>109</v>
      </c>
      <c r="B1343" s="11" t="s">
        <v>136</v>
      </c>
      <c r="C1343" s="11" t="n">
        <v>31</v>
      </c>
      <c r="D1343" s="11" t="s">
        <v>92</v>
      </c>
      <c r="E1343" s="11" t="s">
        <v>187</v>
      </c>
      <c r="F1343" s="11" t="s">
        <v>91</v>
      </c>
      <c r="G1343" s="12" t="n">
        <v>60</v>
      </c>
      <c r="H1343" s="12" t="n">
        <f aca="false">SUMPRODUCT(ПОТОКИ!B13:G13,ЧАСОВЫЕ_ПРОФИЛИ!B23:G23,КОЭФФИЦИЕНТЫ_ВЫБОРА!F41:K41)</f>
        <v>0.3216</v>
      </c>
      <c r="I1343" s="12" t="n">
        <f aca="false">SUMPRODUCT(ПОТОКИ!B13:G13,ЧАСОВЫЕ_ПРОФИЛИ!B23:G23,КОЭФФИЦИЕНТЫ_ВЫБОРА!F41:K41,ПАРАМЕТРЫ!$B$17:$G$17)</f>
        <v>0.35376</v>
      </c>
      <c r="J1343" s="12" t="n">
        <f aca="false">I1343*G1343/1000</f>
        <v>0.0212256</v>
      </c>
      <c r="K1343" s="11" t="s">
        <v>217</v>
      </c>
      <c r="L1343" s="11" t="s">
        <v>19</v>
      </c>
      <c r="M1343" s="11" t="s">
        <v>145</v>
      </c>
    </row>
    <row r="1344" customFormat="false" ht="15" hidden="false" customHeight="false" outlineLevel="0" collapsed="false">
      <c r="A1344" s="11" t="s">
        <v>109</v>
      </c>
      <c r="B1344" s="11" t="s">
        <v>137</v>
      </c>
      <c r="C1344" s="11" t="n">
        <v>1</v>
      </c>
      <c r="D1344" s="11" t="s">
        <v>74</v>
      </c>
      <c r="E1344" s="11" t="s">
        <v>153</v>
      </c>
      <c r="F1344" s="11" t="s">
        <v>73</v>
      </c>
      <c r="G1344" s="12" t="n">
        <v>450</v>
      </c>
      <c r="H1344" s="12" t="n">
        <f aca="false">SUMPRODUCT(ПОТОКИ!B13:G13,ЧАСОВЫЕ_ПРОФИЛИ!B24:G24,КОЭФФИЦИЕНТЫ_ВЫБОРА!F11:K11)</f>
        <v>0.4815</v>
      </c>
      <c r="I1344" s="12" t="n">
        <f aca="false">SUMPRODUCT(ПОТОКИ!B13:G13,ЧАСОВЫЕ_ПРОФИЛИ!B24:G24,КОЭФФИЦИЕНТЫ_ВЫБОРА!F11:K11,ПАРАМЕТРЫ!$B$17:$G$17)</f>
        <v>0.52965</v>
      </c>
      <c r="J1344" s="12" t="n">
        <f aca="false">I1344*G1344/1000</f>
        <v>0.2383425</v>
      </c>
      <c r="K1344" s="11" t="s">
        <v>217</v>
      </c>
      <c r="L1344" s="11" t="s">
        <v>19</v>
      </c>
      <c r="M1344" s="11" t="s">
        <v>145</v>
      </c>
    </row>
    <row r="1345" customFormat="false" ht="15" hidden="false" customHeight="false" outlineLevel="0" collapsed="false">
      <c r="A1345" s="11" t="s">
        <v>109</v>
      </c>
      <c r="B1345" s="11" t="s">
        <v>137</v>
      </c>
      <c r="C1345" s="11" t="n">
        <v>2</v>
      </c>
      <c r="D1345" s="11" t="s">
        <v>74</v>
      </c>
      <c r="E1345" s="11" t="s">
        <v>154</v>
      </c>
      <c r="F1345" s="11" t="s">
        <v>73</v>
      </c>
      <c r="G1345" s="12" t="n">
        <v>480</v>
      </c>
      <c r="H1345" s="12" t="n">
        <f aca="false">SUMPRODUCT(ПОТОКИ!B13:G13,ЧАСОВЫЕ_ПРОФИЛИ!B24:G24,КОЭФФИЦИЕНТЫ_ВЫБОРА!F12:K12)</f>
        <v>0.79</v>
      </c>
      <c r="I1345" s="12" t="n">
        <f aca="false">SUMPRODUCT(ПОТОКИ!B13:G13,ЧАСОВЫЕ_ПРОФИЛИ!B24:G24,КОЭФФИЦИЕНТЫ_ВЫБОРА!F12:K12,ПАРАМЕТРЫ!$B$17:$G$17)</f>
        <v>0.869</v>
      </c>
      <c r="J1345" s="12" t="n">
        <f aca="false">I1345*G1345/1000</f>
        <v>0.41712</v>
      </c>
      <c r="K1345" s="11" t="s">
        <v>217</v>
      </c>
      <c r="L1345" s="11" t="s">
        <v>19</v>
      </c>
      <c r="M1345" s="11" t="s">
        <v>145</v>
      </c>
    </row>
    <row r="1346" customFormat="false" ht="15" hidden="false" customHeight="false" outlineLevel="0" collapsed="false">
      <c r="A1346" s="11" t="s">
        <v>109</v>
      </c>
      <c r="B1346" s="11" t="s">
        <v>137</v>
      </c>
      <c r="C1346" s="11" t="n">
        <v>3</v>
      </c>
      <c r="D1346" s="11" t="s">
        <v>74</v>
      </c>
      <c r="E1346" s="11" t="s">
        <v>155</v>
      </c>
      <c r="F1346" s="11" t="s">
        <v>73</v>
      </c>
      <c r="G1346" s="12" t="n">
        <v>500</v>
      </c>
      <c r="H1346" s="12" t="n">
        <f aca="false">SUMPRODUCT(ПОТОКИ!B13:G13,ЧАСОВЫЕ_ПРОФИЛИ!B24:G24,КОЭФФИЦИЕНТЫ_ВЫБОРА!F13:K13)</f>
        <v>1.1475</v>
      </c>
      <c r="I1346" s="12" t="n">
        <f aca="false">SUMPRODUCT(ПОТОКИ!B13:G13,ЧАСОВЫЕ_ПРОФИЛИ!B24:G24,КОЭФФИЦИЕНТЫ_ВЫБОРА!F13:K13,ПАРАМЕТРЫ!$B$17:$G$17)</f>
        <v>1.26225</v>
      </c>
      <c r="J1346" s="12" t="n">
        <f aca="false">I1346*G1346/1000</f>
        <v>0.631125</v>
      </c>
      <c r="K1346" s="11" t="s">
        <v>217</v>
      </c>
      <c r="L1346" s="11" t="s">
        <v>19</v>
      </c>
      <c r="M1346" s="11" t="s">
        <v>145</v>
      </c>
    </row>
    <row r="1347" customFormat="false" ht="15" hidden="false" customHeight="false" outlineLevel="0" collapsed="false">
      <c r="A1347" s="11" t="s">
        <v>109</v>
      </c>
      <c r="B1347" s="11" t="s">
        <v>137</v>
      </c>
      <c r="C1347" s="11" t="n">
        <v>4</v>
      </c>
      <c r="D1347" s="11" t="s">
        <v>74</v>
      </c>
      <c r="E1347" s="11" t="s">
        <v>156</v>
      </c>
      <c r="F1347" s="11" t="s">
        <v>73</v>
      </c>
      <c r="G1347" s="12" t="n">
        <v>500</v>
      </c>
      <c r="H1347" s="12" t="n">
        <f aca="false">SUMPRODUCT(ПОТОКИ!B13:G13,ЧАСОВЫЕ_ПРОФИЛИ!B24:G24,КОЭФФИЦИЕНТЫ_ВЫБОРА!F14:K14)</f>
        <v>1.456</v>
      </c>
      <c r="I1347" s="12" t="n">
        <f aca="false">SUMPRODUCT(ПОТОКИ!B13:G13,ЧАСОВЫЕ_ПРОФИЛИ!B24:G24,КОЭФФИЦИЕНТЫ_ВЫБОРА!F14:K14,ПАРАМЕТРЫ!$B$17:$G$17)</f>
        <v>1.6016</v>
      </c>
      <c r="J1347" s="12" t="n">
        <f aca="false">I1347*G1347/1000</f>
        <v>0.8008</v>
      </c>
      <c r="K1347" s="11" t="s">
        <v>217</v>
      </c>
      <c r="L1347" s="11" t="s">
        <v>19</v>
      </c>
      <c r="M1347" s="11" t="s">
        <v>145</v>
      </c>
    </row>
    <row r="1348" customFormat="false" ht="15" hidden="false" customHeight="false" outlineLevel="0" collapsed="false">
      <c r="A1348" s="11" t="s">
        <v>109</v>
      </c>
      <c r="B1348" s="11" t="s">
        <v>137</v>
      </c>
      <c r="C1348" s="11" t="n">
        <v>5</v>
      </c>
      <c r="D1348" s="11" t="s">
        <v>78</v>
      </c>
      <c r="E1348" s="11" t="s">
        <v>157</v>
      </c>
      <c r="F1348" s="11" t="s">
        <v>77</v>
      </c>
      <c r="G1348" s="12" t="n">
        <v>100</v>
      </c>
      <c r="H1348" s="12" t="n">
        <f aca="false">SUMPRODUCT(ПОТОКИ!B13:G13,ЧАСОВЫЕ_ПРОФИЛИ!B24:G24,КОЭФФИЦИЕНТЫ_ВЫБОРА!F15:K15)</f>
        <v>0.5665</v>
      </c>
      <c r="I1348" s="12" t="n">
        <f aca="false">SUMPRODUCT(ПОТОКИ!B13:G13,ЧАСОВЫЕ_ПРОФИЛИ!B24:G24,КОЭФФИЦИЕНТЫ_ВЫБОРА!F15:K15,ПАРАМЕТРЫ!$B$17:$G$17)</f>
        <v>0.62315</v>
      </c>
      <c r="J1348" s="12" t="n">
        <f aca="false">I1348*G1348/1000</f>
        <v>0.062315</v>
      </c>
      <c r="K1348" s="11" t="s">
        <v>217</v>
      </c>
      <c r="L1348" s="11" t="s">
        <v>19</v>
      </c>
      <c r="M1348" s="11" t="s">
        <v>147</v>
      </c>
    </row>
    <row r="1349" customFormat="false" ht="15" hidden="false" customHeight="false" outlineLevel="0" collapsed="false">
      <c r="A1349" s="11" t="s">
        <v>109</v>
      </c>
      <c r="B1349" s="11" t="s">
        <v>137</v>
      </c>
      <c r="C1349" s="11" t="n">
        <v>6</v>
      </c>
      <c r="D1349" s="11" t="s">
        <v>78</v>
      </c>
      <c r="E1349" s="11" t="s">
        <v>158</v>
      </c>
      <c r="F1349" s="11" t="s">
        <v>77</v>
      </c>
      <c r="G1349" s="12" t="n">
        <v>100</v>
      </c>
      <c r="H1349" s="12" t="n">
        <f aca="false">SUMPRODUCT(ПОТОКИ!B13:G13,ЧАСОВЫЕ_ПРОФИЛИ!B24:G24,КОЭФФИЦИЕНТЫ_ВЫБОРА!F16:K16)</f>
        <v>0.4875</v>
      </c>
      <c r="I1349" s="12" t="n">
        <f aca="false">SUMPRODUCT(ПОТОКИ!B13:G13,ЧАСОВЫЕ_ПРОФИЛИ!B24:G24,КОЭФФИЦИЕНТЫ_ВЫБОРА!F16:K16,ПАРАМЕТРЫ!$B$17:$G$17)</f>
        <v>0.53625</v>
      </c>
      <c r="J1349" s="12" t="n">
        <f aca="false">I1349*G1349/1000</f>
        <v>0.053625</v>
      </c>
      <c r="K1349" s="11" t="s">
        <v>217</v>
      </c>
      <c r="L1349" s="11" t="s">
        <v>19</v>
      </c>
      <c r="M1349" s="11" t="s">
        <v>147</v>
      </c>
    </row>
    <row r="1350" customFormat="false" ht="15" hidden="false" customHeight="false" outlineLevel="0" collapsed="false">
      <c r="A1350" s="11" t="s">
        <v>109</v>
      </c>
      <c r="B1350" s="11" t="s">
        <v>137</v>
      </c>
      <c r="C1350" s="11" t="n">
        <v>7</v>
      </c>
      <c r="D1350" s="11" t="s">
        <v>78</v>
      </c>
      <c r="E1350" s="11" t="s">
        <v>159</v>
      </c>
      <c r="F1350" s="11" t="s">
        <v>77</v>
      </c>
      <c r="G1350" s="12" t="n">
        <v>350</v>
      </c>
      <c r="H1350" s="12" t="n">
        <f aca="false">SUMPRODUCT(ПОТОКИ!B13:G13,ЧАСОВЫЕ_ПРОФИЛИ!B24:G24,КОЭФФИЦИЕНТЫ_ВЫБОРА!F17:K17)</f>
        <v>0.45075</v>
      </c>
      <c r="I1350" s="12" t="n">
        <f aca="false">SUMPRODUCT(ПОТОКИ!B13:G13,ЧАСОВЫЕ_ПРОФИЛИ!B24:G24,КОЭФФИЦИЕНТЫ_ВЫБОРА!F17:K17,ПАРАМЕТРЫ!$B$17:$G$17)</f>
        <v>0.495825</v>
      </c>
      <c r="J1350" s="12" t="n">
        <f aca="false">I1350*G1350/1000</f>
        <v>0.17353875</v>
      </c>
      <c r="K1350" s="11" t="s">
        <v>217</v>
      </c>
      <c r="L1350" s="11" t="s">
        <v>19</v>
      </c>
      <c r="M1350" s="11" t="s">
        <v>147</v>
      </c>
    </row>
    <row r="1351" customFormat="false" ht="15" hidden="false" customHeight="false" outlineLevel="0" collapsed="false">
      <c r="A1351" s="11" t="s">
        <v>109</v>
      </c>
      <c r="B1351" s="11" t="s">
        <v>137</v>
      </c>
      <c r="C1351" s="11" t="n">
        <v>8</v>
      </c>
      <c r="D1351" s="11" t="s">
        <v>78</v>
      </c>
      <c r="E1351" s="11" t="s">
        <v>160</v>
      </c>
      <c r="F1351" s="11" t="s">
        <v>77</v>
      </c>
      <c r="G1351" s="12" t="n">
        <v>85</v>
      </c>
      <c r="H1351" s="12" t="n">
        <f aca="false">SUMPRODUCT(ПОТОКИ!B13:G13,ЧАСОВЫЕ_ПРОФИЛИ!B24:G24,КОЭФФИЦИЕНТЫ_ВЫБОРА!F18:K18)</f>
        <v>0.29825</v>
      </c>
      <c r="I1351" s="12" t="n">
        <f aca="false">SUMPRODUCT(ПОТОКИ!B13:G13,ЧАСОВЫЕ_ПРОФИЛИ!B24:G24,КОЭФФИЦИЕНТЫ_ВЫБОРА!F18:K18,ПАРАМЕТРЫ!$B$17:$G$17)</f>
        <v>0.328075</v>
      </c>
      <c r="J1351" s="12" t="n">
        <f aca="false">I1351*G1351/1000</f>
        <v>0.027886375</v>
      </c>
      <c r="K1351" s="11" t="s">
        <v>217</v>
      </c>
      <c r="L1351" s="11" t="s">
        <v>19</v>
      </c>
      <c r="M1351" s="11" t="s">
        <v>147</v>
      </c>
    </row>
    <row r="1352" customFormat="false" ht="15" hidden="false" customHeight="false" outlineLevel="0" collapsed="false">
      <c r="A1352" s="11" t="s">
        <v>109</v>
      </c>
      <c r="B1352" s="11" t="s">
        <v>137</v>
      </c>
      <c r="C1352" s="11" t="n">
        <v>9</v>
      </c>
      <c r="D1352" s="11" t="s">
        <v>161</v>
      </c>
      <c r="E1352" s="11" t="s">
        <v>162</v>
      </c>
      <c r="F1352" s="11" t="s">
        <v>80</v>
      </c>
      <c r="G1352" s="12" t="n">
        <v>300</v>
      </c>
      <c r="H1352" s="12" t="n">
        <f aca="false">SUMPRODUCT(ПОТОКИ!B13:G13,ЧАСОВЫЕ_ПРОФИЛИ!B24:G24,КОЭФФИЦИЕНТЫ_ВЫБОРА!F19:K19)</f>
        <v>0.7665</v>
      </c>
      <c r="I1352" s="12" t="n">
        <f aca="false">SUMPRODUCT(ПОТОКИ!B13:G13,ЧАСОВЫЕ_ПРОФИЛИ!B24:G24,КОЭФФИЦИЕНТЫ_ВЫБОРА!F19:K19,ПАРАМЕТРЫ!$B$17:$G$17)</f>
        <v>0.84315</v>
      </c>
      <c r="J1352" s="12" t="n">
        <f aca="false">I1352*G1352/1000</f>
        <v>0.252945</v>
      </c>
      <c r="K1352" s="11" t="s">
        <v>217</v>
      </c>
      <c r="L1352" s="11" t="s">
        <v>19</v>
      </c>
      <c r="M1352" s="11" t="s">
        <v>145</v>
      </c>
    </row>
    <row r="1353" customFormat="false" ht="15" hidden="false" customHeight="false" outlineLevel="0" collapsed="false">
      <c r="A1353" s="11" t="s">
        <v>109</v>
      </c>
      <c r="B1353" s="11" t="s">
        <v>137</v>
      </c>
      <c r="C1353" s="11" t="n">
        <v>10</v>
      </c>
      <c r="D1353" s="11" t="s">
        <v>161</v>
      </c>
      <c r="E1353" s="11" t="s">
        <v>163</v>
      </c>
      <c r="F1353" s="11" t="s">
        <v>80</v>
      </c>
      <c r="G1353" s="12" t="n">
        <v>280</v>
      </c>
      <c r="H1353" s="12" t="n">
        <f aca="false">SUMPRODUCT(ПОТОКИ!B13:G13,ЧАСОВЫЕ_ПРОФИЛИ!B24:G24,КОЭФФИЦИЕНТЫ_ВЫБОРА!F20:K20)</f>
        <v>0.843</v>
      </c>
      <c r="I1353" s="12" t="n">
        <f aca="false">SUMPRODUCT(ПОТОКИ!B13:G13,ЧАСОВЫЕ_ПРОФИЛИ!B24:G24,КОЭФФИЦИЕНТЫ_ВЫБОРА!F20:K20,ПАРАМЕТРЫ!$B$17:$G$17)</f>
        <v>0.9273</v>
      </c>
      <c r="J1353" s="12" t="n">
        <f aca="false">I1353*G1353/1000</f>
        <v>0.259644</v>
      </c>
      <c r="K1353" s="11" t="s">
        <v>217</v>
      </c>
      <c r="L1353" s="11" t="s">
        <v>19</v>
      </c>
      <c r="M1353" s="11" t="s">
        <v>145</v>
      </c>
    </row>
    <row r="1354" customFormat="false" ht="15" hidden="false" customHeight="false" outlineLevel="0" collapsed="false">
      <c r="A1354" s="11" t="s">
        <v>109</v>
      </c>
      <c r="B1354" s="11" t="s">
        <v>137</v>
      </c>
      <c r="C1354" s="11" t="n">
        <v>11</v>
      </c>
      <c r="D1354" s="11" t="s">
        <v>161</v>
      </c>
      <c r="E1354" s="11" t="s">
        <v>164</v>
      </c>
      <c r="F1354" s="11" t="s">
        <v>80</v>
      </c>
      <c r="G1354" s="12" t="n">
        <v>270</v>
      </c>
      <c r="H1354" s="12" t="n">
        <f aca="false">SUMPRODUCT(ПОТОКИ!B13:G13,ЧАСОВЫЕ_ПРОФИЛИ!B24:G24,КОЭФФИЦИЕНТЫ_ВЫБОРА!F21:K21)</f>
        <v>1.38375</v>
      </c>
      <c r="I1354" s="12" t="n">
        <f aca="false">SUMPRODUCT(ПОТОКИ!B13:G13,ЧАСОВЫЕ_ПРОФИЛИ!B24:G24,КОЭФФИЦИЕНТЫ_ВЫБОРА!F21:K21,ПАРАМЕТРЫ!$B$17:$G$17)</f>
        <v>1.522125</v>
      </c>
      <c r="J1354" s="12" t="n">
        <f aca="false">I1354*G1354/1000</f>
        <v>0.41097375</v>
      </c>
      <c r="K1354" s="11" t="s">
        <v>217</v>
      </c>
      <c r="L1354" s="11" t="s">
        <v>19</v>
      </c>
      <c r="M1354" s="11" t="s">
        <v>145</v>
      </c>
    </row>
    <row r="1355" customFormat="false" ht="15" hidden="false" customHeight="false" outlineLevel="0" collapsed="false">
      <c r="A1355" s="11" t="s">
        <v>109</v>
      </c>
      <c r="B1355" s="11" t="s">
        <v>137</v>
      </c>
      <c r="C1355" s="11" t="n">
        <v>12</v>
      </c>
      <c r="D1355" s="11" t="s">
        <v>161</v>
      </c>
      <c r="E1355" s="11" t="s">
        <v>165</v>
      </c>
      <c r="F1355" s="11" t="s">
        <v>80</v>
      </c>
      <c r="G1355" s="12" t="n">
        <v>240</v>
      </c>
      <c r="H1355" s="12" t="n">
        <f aca="false">SUMPRODUCT(ПОТОКИ!B13:G13,ЧАСОВЫЕ_ПРОФИЛИ!B24:G24,КОЭФФИЦИЕНТЫ_ВЫБОРА!F22:K22)</f>
        <v>0.74175</v>
      </c>
      <c r="I1355" s="12" t="n">
        <f aca="false">SUMPRODUCT(ПОТОКИ!B13:G13,ЧАСОВЫЕ_ПРОФИЛИ!B24:G24,КОЭФФИЦИЕНТЫ_ВЫБОРА!F22:K22,ПАРАМЕТРЫ!$B$17:$G$17)</f>
        <v>0.815925</v>
      </c>
      <c r="J1355" s="12" t="n">
        <f aca="false">I1355*G1355/1000</f>
        <v>0.195822</v>
      </c>
      <c r="K1355" s="11" t="s">
        <v>217</v>
      </c>
      <c r="L1355" s="11" t="s">
        <v>19</v>
      </c>
      <c r="M1355" s="11" t="s">
        <v>145</v>
      </c>
    </row>
    <row r="1356" customFormat="false" ht="15" hidden="false" customHeight="false" outlineLevel="0" collapsed="false">
      <c r="A1356" s="11" t="s">
        <v>109</v>
      </c>
      <c r="B1356" s="11" t="s">
        <v>137</v>
      </c>
      <c r="C1356" s="11" t="n">
        <v>13</v>
      </c>
      <c r="D1356" s="11" t="s">
        <v>166</v>
      </c>
      <c r="E1356" s="11" t="s">
        <v>167</v>
      </c>
      <c r="F1356" s="11" t="s">
        <v>80</v>
      </c>
      <c r="G1356" s="12" t="n">
        <v>130</v>
      </c>
      <c r="H1356" s="12" t="n">
        <f aca="false">SUMPRODUCT(ПОТОКИ!B13:G13,ЧАСОВЫЕ_ПРОФИЛИ!B24:G24,КОЭФФИЦИЕНТЫ_ВЫБОРА!F23:K23)</f>
        <v>0.44</v>
      </c>
      <c r="I1356" s="12" t="n">
        <f aca="false">SUMPRODUCT(ПОТОКИ!B13:G13,ЧАСОВЫЕ_ПРОФИЛИ!B24:G24,КОЭФФИЦИЕНТЫ_ВЫБОРА!F23:K23,ПАРАМЕТРЫ!$B$17:$G$17)</f>
        <v>0.484</v>
      </c>
      <c r="J1356" s="12" t="n">
        <f aca="false">I1356*G1356/1000</f>
        <v>0.06292</v>
      </c>
      <c r="K1356" s="11" t="s">
        <v>217</v>
      </c>
      <c r="L1356" s="11" t="s">
        <v>19</v>
      </c>
      <c r="M1356" s="11" t="s">
        <v>145</v>
      </c>
    </row>
    <row r="1357" customFormat="false" ht="15" hidden="false" customHeight="false" outlineLevel="0" collapsed="false">
      <c r="A1357" s="11" t="s">
        <v>109</v>
      </c>
      <c r="B1357" s="11" t="s">
        <v>137</v>
      </c>
      <c r="C1357" s="11" t="n">
        <v>14</v>
      </c>
      <c r="D1357" s="11" t="s">
        <v>166</v>
      </c>
      <c r="E1357" s="11" t="s">
        <v>168</v>
      </c>
      <c r="F1357" s="11" t="s">
        <v>80</v>
      </c>
      <c r="G1357" s="12" t="n">
        <v>250</v>
      </c>
      <c r="H1357" s="12" t="n">
        <f aca="false">SUMPRODUCT(ПОТОКИ!B13:G13,ЧАСОВЫЕ_ПРОФИЛИ!B24:G24,КОЭФФИЦИЕНТЫ_ВЫБОРА!F24:K24)</f>
        <v>0.342</v>
      </c>
      <c r="I1357" s="12" t="n">
        <f aca="false">SUMPRODUCT(ПОТОКИ!B13:G13,ЧАСОВЫЕ_ПРОФИЛИ!B24:G24,КОЭФФИЦИЕНТЫ_ВЫБОРА!F24:K24,ПАРАМЕТРЫ!$B$17:$G$17)</f>
        <v>0.3762</v>
      </c>
      <c r="J1357" s="12" t="n">
        <f aca="false">I1357*G1357/1000</f>
        <v>0.09405</v>
      </c>
      <c r="K1357" s="11" t="s">
        <v>217</v>
      </c>
      <c r="L1357" s="11" t="s">
        <v>19</v>
      </c>
      <c r="M1357" s="11" t="s">
        <v>145</v>
      </c>
    </row>
    <row r="1358" customFormat="false" ht="15" hidden="false" customHeight="false" outlineLevel="0" collapsed="false">
      <c r="A1358" s="11" t="s">
        <v>109</v>
      </c>
      <c r="B1358" s="11" t="s">
        <v>137</v>
      </c>
      <c r="C1358" s="11" t="n">
        <v>15</v>
      </c>
      <c r="D1358" s="11" t="s">
        <v>166</v>
      </c>
      <c r="E1358" s="11" t="s">
        <v>169</v>
      </c>
      <c r="F1358" s="11" t="s">
        <v>80</v>
      </c>
      <c r="G1358" s="12" t="n">
        <v>120</v>
      </c>
      <c r="H1358" s="12" t="n">
        <f aca="false">SUMPRODUCT(ПОТОКИ!B13:G13,ЧАСОВЫЕ_ПРОФИЛИ!B24:G24,КОЭФФИЦИЕНТЫ_ВЫБОРА!F25:K25)</f>
        <v>0.252</v>
      </c>
      <c r="I1358" s="12" t="n">
        <f aca="false">SUMPRODUCT(ПОТОКИ!B13:G13,ЧАСОВЫЕ_ПРОФИЛИ!B24:G24,КОЭФФИЦИЕНТЫ_ВЫБОРА!F25:K25,ПАРАМЕТРЫ!$B$17:$G$17)</f>
        <v>0.2772</v>
      </c>
      <c r="J1358" s="12" t="n">
        <f aca="false">I1358*G1358/1000</f>
        <v>0.033264</v>
      </c>
      <c r="K1358" s="11" t="s">
        <v>217</v>
      </c>
      <c r="L1358" s="11" t="s">
        <v>19</v>
      </c>
      <c r="M1358" s="11" t="s">
        <v>145</v>
      </c>
    </row>
    <row r="1359" customFormat="false" ht="15" hidden="false" customHeight="false" outlineLevel="0" collapsed="false">
      <c r="A1359" s="11" t="s">
        <v>109</v>
      </c>
      <c r="B1359" s="11" t="s">
        <v>137</v>
      </c>
      <c r="C1359" s="11" t="n">
        <v>16</v>
      </c>
      <c r="D1359" s="11" t="s">
        <v>166</v>
      </c>
      <c r="E1359" s="11" t="s">
        <v>170</v>
      </c>
      <c r="F1359" s="11" t="s">
        <v>80</v>
      </c>
      <c r="G1359" s="12" t="n">
        <v>180</v>
      </c>
      <c r="H1359" s="12" t="n">
        <f aca="false">SUMPRODUCT(ПОТОКИ!B13:G13,ЧАСОВЫЕ_ПРОФИЛИ!B24:G24,КОЭФФИЦИЕНТЫ_ВЫБОРА!F26:K26)</f>
        <v>0.406</v>
      </c>
      <c r="I1359" s="12" t="n">
        <f aca="false">SUMPRODUCT(ПОТОКИ!B13:G13,ЧАСОВЫЕ_ПРОФИЛИ!B24:G24,КОЭФФИЦИЕНТЫ_ВЫБОРА!F26:K26,ПАРАМЕТРЫ!$B$17:$G$17)</f>
        <v>0.4466</v>
      </c>
      <c r="J1359" s="12" t="n">
        <f aca="false">I1359*G1359/1000</f>
        <v>0.080388</v>
      </c>
      <c r="K1359" s="11" t="s">
        <v>217</v>
      </c>
      <c r="L1359" s="11" t="s">
        <v>19</v>
      </c>
      <c r="M1359" s="11" t="s">
        <v>145</v>
      </c>
    </row>
    <row r="1360" customFormat="false" ht="15" hidden="false" customHeight="false" outlineLevel="0" collapsed="false">
      <c r="A1360" s="11" t="s">
        <v>109</v>
      </c>
      <c r="B1360" s="11" t="s">
        <v>137</v>
      </c>
      <c r="C1360" s="11" t="n">
        <v>17</v>
      </c>
      <c r="D1360" s="11" t="s">
        <v>166</v>
      </c>
      <c r="E1360" s="11" t="s">
        <v>171</v>
      </c>
      <c r="F1360" s="11" t="s">
        <v>80</v>
      </c>
      <c r="G1360" s="12" t="n">
        <v>180</v>
      </c>
      <c r="H1360" s="12" t="n">
        <f aca="false">SUMPRODUCT(ПОТОКИ!B13:G13,ЧАСОВЫЕ_ПРОФИЛИ!B24:G24,КОЭФФИЦИЕНТЫ_ВЫБОРА!F27:K27)</f>
        <v>0.44</v>
      </c>
      <c r="I1360" s="12" t="n">
        <f aca="false">SUMPRODUCT(ПОТОКИ!B13:G13,ЧАСОВЫЕ_ПРОФИЛИ!B24:G24,КОЭФФИЦИЕНТЫ_ВЫБОРА!F27:K27,ПАРАМЕТРЫ!$B$17:$G$17)</f>
        <v>0.484</v>
      </c>
      <c r="J1360" s="12" t="n">
        <f aca="false">I1360*G1360/1000</f>
        <v>0.08712</v>
      </c>
      <c r="K1360" s="11" t="s">
        <v>217</v>
      </c>
      <c r="L1360" s="11" t="s">
        <v>19</v>
      </c>
      <c r="M1360" s="11" t="s">
        <v>145</v>
      </c>
    </row>
    <row r="1361" customFormat="false" ht="15" hidden="false" customHeight="false" outlineLevel="0" collapsed="false">
      <c r="A1361" s="11" t="s">
        <v>109</v>
      </c>
      <c r="B1361" s="11" t="s">
        <v>137</v>
      </c>
      <c r="C1361" s="11" t="n">
        <v>18</v>
      </c>
      <c r="D1361" s="11" t="s">
        <v>172</v>
      </c>
      <c r="E1361" s="11" t="s">
        <v>173</v>
      </c>
      <c r="F1361" s="11" t="s">
        <v>83</v>
      </c>
      <c r="G1361" s="12" t="n">
        <v>400</v>
      </c>
      <c r="H1361" s="12" t="n">
        <f aca="false">SUMPRODUCT(ПОТОКИ!B13:G13,ЧАСОВЫЕ_ПРОФИЛИ!B24:G24,КОЭФФИЦИЕНТЫ_ВЫБОРА!F28:K28)</f>
        <v>0.64</v>
      </c>
      <c r="I1361" s="12" t="n">
        <f aca="false">SUMPRODUCT(ПОТОКИ!B13:G13,ЧАСОВЫЕ_ПРОФИЛИ!B24:G24,КОЭФФИЦИЕНТЫ_ВЫБОРА!F28:K28,ПАРАМЕТРЫ!$B$17:$G$17)</f>
        <v>0.704</v>
      </c>
      <c r="J1361" s="12" t="n">
        <f aca="false">I1361*G1361/1000</f>
        <v>0.2816</v>
      </c>
      <c r="K1361" s="11" t="s">
        <v>217</v>
      </c>
      <c r="L1361" s="11" t="s">
        <v>19</v>
      </c>
      <c r="M1361" s="11" t="s">
        <v>145</v>
      </c>
    </row>
    <row r="1362" customFormat="false" ht="23.85" hidden="false" customHeight="false" outlineLevel="0" collapsed="false">
      <c r="A1362" s="11" t="s">
        <v>109</v>
      </c>
      <c r="B1362" s="11" t="s">
        <v>137</v>
      </c>
      <c r="C1362" s="11" t="n">
        <v>19</v>
      </c>
      <c r="D1362" s="11" t="s">
        <v>174</v>
      </c>
      <c r="E1362" s="11" t="s">
        <v>175</v>
      </c>
      <c r="F1362" s="11" t="s">
        <v>83</v>
      </c>
      <c r="G1362" s="12" t="n">
        <v>300</v>
      </c>
      <c r="H1362" s="12" t="n">
        <f aca="false">SUMPRODUCT(ПОТОКИ!B13:G13,ЧАСОВЫЕ_ПРОФИЛИ!B24:G24,КОЭФФИЦИЕНТЫ_ВЫБОРА!F29:K29)</f>
        <v>2.213</v>
      </c>
      <c r="I1362" s="12" t="n">
        <f aca="false">SUMPRODUCT(ПОТОКИ!B13:G13,ЧАСОВЫЕ_ПРОФИЛИ!B24:G24,КОЭФФИЦИЕНТЫ_ВЫБОРА!F29:K29,ПАРАМЕТРЫ!$B$17:$G$17)</f>
        <v>2.4343</v>
      </c>
      <c r="J1362" s="12" t="n">
        <f aca="false">I1362*G1362/1000</f>
        <v>0.73029</v>
      </c>
      <c r="K1362" s="11" t="s">
        <v>217</v>
      </c>
      <c r="L1362" s="11" t="s">
        <v>19</v>
      </c>
      <c r="M1362" s="11" t="s">
        <v>145</v>
      </c>
    </row>
    <row r="1363" customFormat="false" ht="15" hidden="false" customHeight="false" outlineLevel="0" collapsed="false">
      <c r="A1363" s="11" t="s">
        <v>109</v>
      </c>
      <c r="B1363" s="11" t="s">
        <v>137</v>
      </c>
      <c r="C1363" s="11" t="n">
        <v>20</v>
      </c>
      <c r="D1363" s="11" t="s">
        <v>174</v>
      </c>
      <c r="E1363" s="11" t="s">
        <v>176</v>
      </c>
      <c r="F1363" s="11" t="s">
        <v>83</v>
      </c>
      <c r="G1363" s="12" t="n">
        <v>360</v>
      </c>
      <c r="H1363" s="12" t="n">
        <f aca="false">SUMPRODUCT(ПОТОКИ!B13:G13,ЧАСОВЫЕ_ПРОФИЛИ!B24:G24,КОЭФФИЦИЕНТЫ_ВЫБОРА!F30:K30)</f>
        <v>1.852</v>
      </c>
      <c r="I1363" s="12" t="n">
        <f aca="false">SUMPRODUCT(ПОТОКИ!B13:G13,ЧАСОВЫЕ_ПРОФИЛИ!B24:G24,КОЭФФИЦИЕНТЫ_ВЫБОРА!F30:K30,ПАРАМЕТРЫ!$B$17:$G$17)</f>
        <v>2.0372</v>
      </c>
      <c r="J1363" s="12" t="n">
        <f aca="false">I1363*G1363/1000</f>
        <v>0.733392</v>
      </c>
      <c r="K1363" s="11" t="s">
        <v>217</v>
      </c>
      <c r="L1363" s="11" t="s">
        <v>19</v>
      </c>
      <c r="M1363" s="11" t="s">
        <v>145</v>
      </c>
    </row>
    <row r="1364" customFormat="false" ht="15" hidden="false" customHeight="false" outlineLevel="0" collapsed="false">
      <c r="A1364" s="11" t="s">
        <v>109</v>
      </c>
      <c r="B1364" s="11" t="s">
        <v>137</v>
      </c>
      <c r="C1364" s="11" t="n">
        <v>21</v>
      </c>
      <c r="D1364" s="11" t="s">
        <v>174</v>
      </c>
      <c r="E1364" s="11" t="s">
        <v>177</v>
      </c>
      <c r="F1364" s="11" t="s">
        <v>83</v>
      </c>
      <c r="G1364" s="12" t="n">
        <v>350</v>
      </c>
      <c r="H1364" s="12" t="n">
        <f aca="false">SUMPRODUCT(ПОТОКИ!B13:G13,ЧАСОВЫЕ_ПРОФИЛИ!B24:G24,КОЭФФИЦИЕНТЫ_ВЫБОРА!F31:K31)</f>
        <v>2.7015</v>
      </c>
      <c r="I1364" s="12" t="n">
        <f aca="false">SUMPRODUCT(ПОТОКИ!B13:G13,ЧАСОВЫЕ_ПРОФИЛИ!B24:G24,КОЭФФИЦИЕНТЫ_ВЫБОРА!F31:K31,ПАРАМЕТРЫ!$B$17:$G$17)</f>
        <v>2.97165</v>
      </c>
      <c r="J1364" s="12" t="n">
        <f aca="false">I1364*G1364/1000</f>
        <v>1.0400775</v>
      </c>
      <c r="K1364" s="11" t="s">
        <v>217</v>
      </c>
      <c r="L1364" s="11" t="s">
        <v>19</v>
      </c>
      <c r="M1364" s="11" t="s">
        <v>145</v>
      </c>
    </row>
    <row r="1365" customFormat="false" ht="15" hidden="false" customHeight="false" outlineLevel="0" collapsed="false">
      <c r="A1365" s="11" t="s">
        <v>109</v>
      </c>
      <c r="B1365" s="11" t="s">
        <v>137</v>
      </c>
      <c r="C1365" s="11" t="n">
        <v>22</v>
      </c>
      <c r="D1365" s="11" t="s">
        <v>174</v>
      </c>
      <c r="E1365" s="11" t="s">
        <v>178</v>
      </c>
      <c r="F1365" s="11" t="s">
        <v>83</v>
      </c>
      <c r="G1365" s="12" t="n">
        <v>300</v>
      </c>
      <c r="H1365" s="12" t="n">
        <f aca="false">SUMPRODUCT(ПОТОКИ!B13:G13,ЧАСОВЫЕ_ПРОФИЛИ!B24:G24,КОЭФФИЦИЕНТЫ_ВЫБОРА!F32:K32)</f>
        <v>1.9835</v>
      </c>
      <c r="I1365" s="12" t="n">
        <f aca="false">SUMPRODUCT(ПОТОКИ!B13:G13,ЧАСОВЫЕ_ПРОФИЛИ!B24:G24,КОЭФФИЦИЕНТЫ_ВЫБОРА!F32:K32,ПАРАМЕТРЫ!$B$17:$G$17)</f>
        <v>2.18185</v>
      </c>
      <c r="J1365" s="12" t="n">
        <f aca="false">I1365*G1365/1000</f>
        <v>0.654555</v>
      </c>
      <c r="K1365" s="11" t="s">
        <v>217</v>
      </c>
      <c r="L1365" s="11" t="s">
        <v>19</v>
      </c>
      <c r="M1365" s="11" t="s">
        <v>145</v>
      </c>
    </row>
    <row r="1366" customFormat="false" ht="15" hidden="false" customHeight="false" outlineLevel="0" collapsed="false">
      <c r="A1366" s="11" t="s">
        <v>109</v>
      </c>
      <c r="B1366" s="11" t="s">
        <v>137</v>
      </c>
      <c r="C1366" s="11" t="n">
        <v>23</v>
      </c>
      <c r="D1366" s="11" t="s">
        <v>86</v>
      </c>
      <c r="E1366" s="11" t="s">
        <v>179</v>
      </c>
      <c r="F1366" s="11" t="s">
        <v>85</v>
      </c>
      <c r="G1366" s="12" t="n">
        <v>150</v>
      </c>
      <c r="H1366" s="12" t="n">
        <f aca="false">SUMPRODUCT(ПОТОКИ!B13:G13,ЧАСОВЫЕ_ПРОФИЛИ!B24:G24,КОЭФФИЦИЕНТЫ_ВЫБОРА!F33:K33)</f>
        <v>1.6856425</v>
      </c>
      <c r="I1366" s="12" t="n">
        <f aca="false">SUMPRODUCT(ПОТОКИ!B13:G13,ЧАСОВЫЕ_ПРОФИЛИ!B24:G24,КОЭФФИЦИЕНТЫ_ВЫБОРА!F33:K33,ПАРАМЕТРЫ!$B$17:$G$17)</f>
        <v>1.85420675</v>
      </c>
      <c r="J1366" s="12" t="n">
        <f aca="false">I1366*G1366/1000</f>
        <v>0.2781310125</v>
      </c>
      <c r="K1366" s="11" t="s">
        <v>217</v>
      </c>
      <c r="L1366" s="11" t="s">
        <v>19</v>
      </c>
      <c r="M1366" s="11" t="s">
        <v>147</v>
      </c>
    </row>
    <row r="1367" customFormat="false" ht="15" hidden="false" customHeight="false" outlineLevel="0" collapsed="false">
      <c r="A1367" s="11" t="s">
        <v>109</v>
      </c>
      <c r="B1367" s="11" t="s">
        <v>137</v>
      </c>
      <c r="C1367" s="11" t="n">
        <v>24</v>
      </c>
      <c r="D1367" s="11" t="s">
        <v>86</v>
      </c>
      <c r="E1367" s="11" t="s">
        <v>180</v>
      </c>
      <c r="F1367" s="11" t="s">
        <v>85</v>
      </c>
      <c r="G1367" s="12" t="n">
        <v>150</v>
      </c>
      <c r="H1367" s="12" t="n">
        <f aca="false">SUMPRODUCT(ПОТОКИ!B13:G13,ЧАСОВЫЕ_ПРОФИЛИ!B24:G24,КОЭФФИЦИЕНТЫ_ВЫБОРА!F34:K34)</f>
        <v>0.89159</v>
      </c>
      <c r="I1367" s="12" t="n">
        <f aca="false">SUMPRODUCT(ПОТОКИ!B13:G13,ЧАСОВЫЕ_ПРОФИЛИ!B24:G24,КОЭФФИЦИЕНТЫ_ВЫБОРА!F34:K34,ПАРАМЕТРЫ!$B$17:$G$17)</f>
        <v>0.980749</v>
      </c>
      <c r="J1367" s="12" t="n">
        <f aca="false">I1367*G1367/1000</f>
        <v>0.14711235</v>
      </c>
      <c r="K1367" s="11" t="s">
        <v>217</v>
      </c>
      <c r="L1367" s="11" t="s">
        <v>19</v>
      </c>
      <c r="M1367" s="11" t="s">
        <v>147</v>
      </c>
    </row>
    <row r="1368" customFormat="false" ht="15" hidden="false" customHeight="false" outlineLevel="0" collapsed="false">
      <c r="A1368" s="11" t="s">
        <v>109</v>
      </c>
      <c r="B1368" s="11" t="s">
        <v>137</v>
      </c>
      <c r="C1368" s="11" t="n">
        <v>25</v>
      </c>
      <c r="D1368" s="11" t="s">
        <v>86</v>
      </c>
      <c r="E1368" s="11" t="s">
        <v>181</v>
      </c>
      <c r="F1368" s="11" t="s">
        <v>85</v>
      </c>
      <c r="G1368" s="12" t="n">
        <v>150</v>
      </c>
      <c r="H1368" s="12" t="n">
        <f aca="false">SUMPRODUCT(ПОТОКИ!B13:G13,ЧАСОВЫЕ_ПРОФИЛИ!B24:G24,КОЭФФИЦИЕНТЫ_ВЫБОРА!F35:K35)</f>
        <v>1.8807175</v>
      </c>
      <c r="I1368" s="12" t="n">
        <f aca="false">SUMPRODUCT(ПОТОКИ!B13:G13,ЧАСОВЫЕ_ПРОФИЛИ!B24:G24,КОЭФФИЦИЕНТЫ_ВЫБОРА!F35:K35,ПАРАМЕТРЫ!$B$17:$G$17)</f>
        <v>2.06878925</v>
      </c>
      <c r="J1368" s="12" t="n">
        <f aca="false">I1368*G1368/1000</f>
        <v>0.3103183875</v>
      </c>
      <c r="K1368" s="11" t="s">
        <v>217</v>
      </c>
      <c r="L1368" s="11" t="s">
        <v>19</v>
      </c>
      <c r="M1368" s="11" t="s">
        <v>147</v>
      </c>
    </row>
    <row r="1369" customFormat="false" ht="23.85" hidden="false" customHeight="false" outlineLevel="0" collapsed="false">
      <c r="A1369" s="11" t="s">
        <v>109</v>
      </c>
      <c r="B1369" s="11" t="s">
        <v>137</v>
      </c>
      <c r="C1369" s="11" t="n">
        <v>26</v>
      </c>
      <c r="D1369" s="11" t="s">
        <v>89</v>
      </c>
      <c r="E1369" s="11" t="s">
        <v>182</v>
      </c>
      <c r="F1369" s="11" t="s">
        <v>88</v>
      </c>
      <c r="G1369" s="12" t="n">
        <v>225</v>
      </c>
      <c r="H1369" s="12" t="n">
        <f aca="false">SUMPRODUCT(ПОТОКИ!B13:G13,ЧАСОВЫЕ_ПРОФИЛИ!B24:G24,КОЭФФИЦИЕНТЫ_ВЫБОРА!F36:K36)</f>
        <v>0</v>
      </c>
      <c r="I1369" s="12" t="n">
        <f aca="false">SUMPRODUCT(ПОТОКИ!B13:G13,ЧАСОВЫЕ_ПРОФИЛИ!B24:G24,КОЭФФИЦИЕНТЫ_ВЫБОРА!F36:K36,ПАРАМЕТРЫ!$B$17:$G$17)</f>
        <v>0</v>
      </c>
      <c r="J1369" s="12" t="n">
        <f aca="false">I1369*G1369/1000</f>
        <v>0</v>
      </c>
      <c r="K1369" s="11" t="s">
        <v>217</v>
      </c>
      <c r="L1369" s="11" t="s">
        <v>19</v>
      </c>
      <c r="M1369" s="11" t="s">
        <v>145</v>
      </c>
    </row>
    <row r="1370" customFormat="false" ht="23.85" hidden="false" customHeight="false" outlineLevel="0" collapsed="false">
      <c r="A1370" s="11" t="s">
        <v>109</v>
      </c>
      <c r="B1370" s="11" t="s">
        <v>137</v>
      </c>
      <c r="C1370" s="11" t="n">
        <v>27</v>
      </c>
      <c r="D1370" s="11" t="s">
        <v>89</v>
      </c>
      <c r="E1370" s="11" t="s">
        <v>183</v>
      </c>
      <c r="F1370" s="11" t="s">
        <v>88</v>
      </c>
      <c r="G1370" s="12" t="n">
        <v>265</v>
      </c>
      <c r="H1370" s="12" t="n">
        <f aca="false">SUMPRODUCT(ПОТОКИ!B13:G13,ЧАСОВЫЕ_ПРОФИЛИ!B24:G24,КОЭФФИЦИЕНТЫ_ВЫБОРА!F37:K37)</f>
        <v>0</v>
      </c>
      <c r="I1370" s="12" t="n">
        <f aca="false">SUMPRODUCT(ПОТОКИ!B13:G13,ЧАСОВЫЕ_ПРОФИЛИ!B24:G24,КОЭФФИЦИЕНТЫ_ВЫБОРА!F37:K37,ПАРАМЕТРЫ!$B$17:$G$17)</f>
        <v>0</v>
      </c>
      <c r="J1370" s="12" t="n">
        <f aca="false">I1370*G1370/1000</f>
        <v>0</v>
      </c>
      <c r="K1370" s="11" t="s">
        <v>217</v>
      </c>
      <c r="L1370" s="11" t="s">
        <v>19</v>
      </c>
      <c r="M1370" s="11" t="s">
        <v>145</v>
      </c>
    </row>
    <row r="1371" customFormat="false" ht="23.85" hidden="false" customHeight="false" outlineLevel="0" collapsed="false">
      <c r="A1371" s="11" t="s">
        <v>109</v>
      </c>
      <c r="B1371" s="11" t="s">
        <v>137</v>
      </c>
      <c r="C1371" s="11" t="n">
        <v>28</v>
      </c>
      <c r="D1371" s="11" t="s">
        <v>89</v>
      </c>
      <c r="E1371" s="11" t="s">
        <v>184</v>
      </c>
      <c r="F1371" s="11" t="s">
        <v>88</v>
      </c>
      <c r="G1371" s="12" t="n">
        <v>355</v>
      </c>
      <c r="H1371" s="12" t="n">
        <f aca="false">SUMPRODUCT(ПОТОКИ!B13:G13,ЧАСОВЫЕ_ПРОФИЛИ!B24:G24,КОЭФФИЦИЕНТЫ_ВЫБОРА!F38:K38)</f>
        <v>0</v>
      </c>
      <c r="I1371" s="12" t="n">
        <f aca="false">SUMPRODUCT(ПОТОКИ!B13:G13,ЧАСОВЫЕ_ПРОФИЛИ!B24:G24,КОЭФФИЦИЕНТЫ_ВЫБОРА!F38:K38,ПАРАМЕТРЫ!$B$17:$G$17)</f>
        <v>0</v>
      </c>
      <c r="J1371" s="12" t="n">
        <f aca="false">I1371*G1371/1000</f>
        <v>0</v>
      </c>
      <c r="K1371" s="11" t="s">
        <v>217</v>
      </c>
      <c r="L1371" s="11" t="s">
        <v>19</v>
      </c>
      <c r="M1371" s="11" t="s">
        <v>145</v>
      </c>
    </row>
    <row r="1372" customFormat="false" ht="15" hidden="false" customHeight="false" outlineLevel="0" collapsed="false">
      <c r="A1372" s="11" t="s">
        <v>109</v>
      </c>
      <c r="B1372" s="11" t="s">
        <v>137</v>
      </c>
      <c r="C1372" s="11" t="n">
        <v>29</v>
      </c>
      <c r="D1372" s="11" t="s">
        <v>92</v>
      </c>
      <c r="E1372" s="11" t="s">
        <v>185</v>
      </c>
      <c r="F1372" s="11" t="s">
        <v>91</v>
      </c>
      <c r="G1372" s="12" t="n">
        <v>150</v>
      </c>
      <c r="H1372" s="12" t="n">
        <f aca="false">SUMPRODUCT(ПОТОКИ!B13:G13,ЧАСОВЫЕ_ПРОФИЛИ!B24:G24,КОЭФФИЦИЕНТЫ_ВЫБОРА!F39:K39)</f>
        <v>0.456</v>
      </c>
      <c r="I1372" s="12" t="n">
        <f aca="false">SUMPRODUCT(ПОТОКИ!B13:G13,ЧАСОВЫЕ_ПРОФИЛИ!B24:G24,КОЭФФИЦИЕНТЫ_ВЫБОРА!F39:K39,ПАРАМЕТРЫ!$B$17:$G$17)</f>
        <v>0.5016</v>
      </c>
      <c r="J1372" s="12" t="n">
        <f aca="false">I1372*G1372/1000</f>
        <v>0.07524</v>
      </c>
      <c r="K1372" s="11" t="s">
        <v>217</v>
      </c>
      <c r="L1372" s="11" t="s">
        <v>19</v>
      </c>
      <c r="M1372" s="11" t="s">
        <v>145</v>
      </c>
    </row>
    <row r="1373" customFormat="false" ht="15" hidden="false" customHeight="false" outlineLevel="0" collapsed="false">
      <c r="A1373" s="11" t="s">
        <v>109</v>
      </c>
      <c r="B1373" s="11" t="s">
        <v>137</v>
      </c>
      <c r="C1373" s="11" t="n">
        <v>30</v>
      </c>
      <c r="D1373" s="11" t="s">
        <v>92</v>
      </c>
      <c r="E1373" s="11" t="s">
        <v>186</v>
      </c>
      <c r="F1373" s="11" t="s">
        <v>91</v>
      </c>
      <c r="G1373" s="12" t="n">
        <v>120</v>
      </c>
      <c r="H1373" s="12" t="n">
        <f aca="false">SUMPRODUCT(ПОТОКИ!B13:G13,ЧАСОВЫЕ_ПРОФИЛИ!B24:G24,КОЭФФИЦИЕНТЫ_ВЫБОРА!F40:K40)</f>
        <v>0.756</v>
      </c>
      <c r="I1373" s="12" t="n">
        <f aca="false">SUMPRODUCT(ПОТОКИ!B13:G13,ЧАСОВЫЕ_ПРОФИЛИ!B24:G24,КОЭФФИЦИЕНТЫ_ВЫБОРА!F40:K40,ПАРАМЕТРЫ!$B$17:$G$17)</f>
        <v>0.8316</v>
      </c>
      <c r="J1373" s="12" t="n">
        <f aca="false">I1373*G1373/1000</f>
        <v>0.099792</v>
      </c>
      <c r="K1373" s="11" t="s">
        <v>217</v>
      </c>
      <c r="L1373" s="11" t="s">
        <v>19</v>
      </c>
      <c r="M1373" s="11" t="s">
        <v>145</v>
      </c>
    </row>
    <row r="1374" customFormat="false" ht="15" hidden="false" customHeight="false" outlineLevel="0" collapsed="false">
      <c r="A1374" s="11" t="s">
        <v>109</v>
      </c>
      <c r="B1374" s="11" t="s">
        <v>137</v>
      </c>
      <c r="C1374" s="11" t="n">
        <v>31</v>
      </c>
      <c r="D1374" s="11" t="s">
        <v>92</v>
      </c>
      <c r="E1374" s="11" t="s">
        <v>187</v>
      </c>
      <c r="F1374" s="11" t="s">
        <v>91</v>
      </c>
      <c r="G1374" s="12" t="n">
        <v>60</v>
      </c>
      <c r="H1374" s="12" t="n">
        <f aca="false">SUMPRODUCT(ПОТОКИ!B13:G13,ЧАСОВЫЕ_ПРОФИЛИ!B24:G24,КОЭФФИЦИЕНТЫ_ВЫБОРА!F41:K41)</f>
        <v>0.288</v>
      </c>
      <c r="I1374" s="12" t="n">
        <f aca="false">SUMPRODUCT(ПОТОКИ!B13:G13,ЧАСОВЫЕ_ПРОФИЛИ!B24:G24,КОЭФФИЦИЕНТЫ_ВЫБОРА!F41:K41,ПАРАМЕТРЫ!$B$17:$G$17)</f>
        <v>0.3168</v>
      </c>
      <c r="J1374" s="12" t="n">
        <f aca="false">I1374*G1374/1000</f>
        <v>0.019008</v>
      </c>
      <c r="K1374" s="11" t="s">
        <v>217</v>
      </c>
      <c r="L1374" s="11" t="s">
        <v>19</v>
      </c>
      <c r="M1374" s="11" t="s">
        <v>145</v>
      </c>
    </row>
    <row r="1375" customFormat="false" ht="15" hidden="false" customHeight="false" outlineLevel="0" collapsed="false">
      <c r="A1375" s="11" t="s">
        <v>109</v>
      </c>
      <c r="B1375" s="11" t="s">
        <v>138</v>
      </c>
      <c r="C1375" s="11" t="n">
        <v>1</v>
      </c>
      <c r="D1375" s="11" t="s">
        <v>74</v>
      </c>
      <c r="E1375" s="11" t="s">
        <v>153</v>
      </c>
      <c r="F1375" s="11" t="s">
        <v>73</v>
      </c>
      <c r="G1375" s="12" t="n">
        <v>450</v>
      </c>
      <c r="H1375" s="12" t="n">
        <f aca="false">SUMPRODUCT(ПОТОКИ!B13:G13,ЧАСОВЫЕ_ПРОФИЛИ!B25:G25,КОЭФФИЦИЕНТЫ_ВЫБОРА!F11:K11)</f>
        <v>0.281</v>
      </c>
      <c r="I1375" s="12" t="n">
        <f aca="false">SUMPRODUCT(ПОТОКИ!B13:G13,ЧАСОВЫЕ_ПРОФИЛИ!B25:G25,КОЭФФИЦИЕНТЫ_ВЫБОРА!F11:K11,ПАРАМЕТРЫ!$B$17:$G$17)</f>
        <v>0.3091</v>
      </c>
      <c r="J1375" s="12" t="n">
        <f aca="false">I1375*G1375/1000</f>
        <v>0.139095</v>
      </c>
      <c r="K1375" s="11" t="s">
        <v>217</v>
      </c>
      <c r="L1375" s="11" t="s">
        <v>19</v>
      </c>
      <c r="M1375" s="11" t="s">
        <v>145</v>
      </c>
    </row>
    <row r="1376" customFormat="false" ht="15" hidden="false" customHeight="false" outlineLevel="0" collapsed="false">
      <c r="A1376" s="11" t="s">
        <v>109</v>
      </c>
      <c r="B1376" s="11" t="s">
        <v>138</v>
      </c>
      <c r="C1376" s="11" t="n">
        <v>2</v>
      </c>
      <c r="D1376" s="11" t="s">
        <v>74</v>
      </c>
      <c r="E1376" s="11" t="s">
        <v>154</v>
      </c>
      <c r="F1376" s="11" t="s">
        <v>73</v>
      </c>
      <c r="G1376" s="12" t="n">
        <v>480</v>
      </c>
      <c r="H1376" s="12" t="n">
        <f aca="false">SUMPRODUCT(ПОТОКИ!B13:G13,ЧАСОВЫЕ_ПРОФИЛИ!B25:G25,КОЭФФИЦИЕНТЫ_ВЫБОРА!F12:K12)</f>
        <v>0.4605</v>
      </c>
      <c r="I1376" s="12" t="n">
        <f aca="false">SUMPRODUCT(ПОТОКИ!B13:G13,ЧАСОВЫЕ_ПРОФИЛИ!B25:G25,КОЭФФИЦИЕНТЫ_ВЫБОРА!F12:K12,ПАРАМЕТРЫ!$B$17:$G$17)</f>
        <v>0.50655</v>
      </c>
      <c r="J1376" s="12" t="n">
        <f aca="false">I1376*G1376/1000</f>
        <v>0.243144</v>
      </c>
      <c r="K1376" s="11" t="s">
        <v>217</v>
      </c>
      <c r="L1376" s="11" t="s">
        <v>19</v>
      </c>
      <c r="M1376" s="11" t="s">
        <v>145</v>
      </c>
    </row>
    <row r="1377" customFormat="false" ht="15" hidden="false" customHeight="false" outlineLevel="0" collapsed="false">
      <c r="A1377" s="11" t="s">
        <v>109</v>
      </c>
      <c r="B1377" s="11" t="s">
        <v>138</v>
      </c>
      <c r="C1377" s="11" t="n">
        <v>3</v>
      </c>
      <c r="D1377" s="11" t="s">
        <v>74</v>
      </c>
      <c r="E1377" s="11" t="s">
        <v>155</v>
      </c>
      <c r="F1377" s="11" t="s">
        <v>73</v>
      </c>
      <c r="G1377" s="12" t="n">
        <v>500</v>
      </c>
      <c r="H1377" s="12" t="n">
        <f aca="false">SUMPRODUCT(ПОТОКИ!B13:G13,ЧАСОВЫЕ_ПРОФИЛИ!B25:G25,КОЭФФИЦИЕНТЫ_ВЫБОРА!F13:K13)</f>
        <v>0.6595</v>
      </c>
      <c r="I1377" s="12" t="n">
        <f aca="false">SUMPRODUCT(ПОТОКИ!B13:G13,ЧАСОВЫЕ_ПРОФИЛИ!B25:G25,КОЭФФИЦИЕНТЫ_ВЫБОРА!F13:K13,ПАРАМЕТРЫ!$B$17:$G$17)</f>
        <v>0.72545</v>
      </c>
      <c r="J1377" s="12" t="n">
        <f aca="false">I1377*G1377/1000</f>
        <v>0.362725</v>
      </c>
      <c r="K1377" s="11" t="s">
        <v>217</v>
      </c>
      <c r="L1377" s="11" t="s">
        <v>19</v>
      </c>
      <c r="M1377" s="11" t="s">
        <v>145</v>
      </c>
    </row>
    <row r="1378" customFormat="false" ht="15" hidden="false" customHeight="false" outlineLevel="0" collapsed="false">
      <c r="A1378" s="11" t="s">
        <v>109</v>
      </c>
      <c r="B1378" s="11" t="s">
        <v>138</v>
      </c>
      <c r="C1378" s="11" t="n">
        <v>4</v>
      </c>
      <c r="D1378" s="11" t="s">
        <v>74</v>
      </c>
      <c r="E1378" s="11" t="s">
        <v>156</v>
      </c>
      <c r="F1378" s="11" t="s">
        <v>73</v>
      </c>
      <c r="G1378" s="12" t="n">
        <v>500</v>
      </c>
      <c r="H1378" s="12" t="n">
        <f aca="false">SUMPRODUCT(ПОТОКИ!B13:G13,ЧАСОВЫЕ_ПРОФИЛИ!B25:G25,КОЭФФИЦИЕНТЫ_ВЫБОРА!F14:K14)</f>
        <v>0.839</v>
      </c>
      <c r="I1378" s="12" t="n">
        <f aca="false">SUMPRODUCT(ПОТОКИ!B13:G13,ЧАСОВЫЕ_ПРОФИЛИ!B25:G25,КОЭФФИЦИЕНТЫ_ВЫБОРА!F14:K14,ПАРАМЕТРЫ!$B$17:$G$17)</f>
        <v>0.9229</v>
      </c>
      <c r="J1378" s="12" t="n">
        <f aca="false">I1378*G1378/1000</f>
        <v>0.46145</v>
      </c>
      <c r="K1378" s="11" t="s">
        <v>217</v>
      </c>
      <c r="L1378" s="11" t="s">
        <v>19</v>
      </c>
      <c r="M1378" s="11" t="s">
        <v>145</v>
      </c>
    </row>
    <row r="1379" customFormat="false" ht="15" hidden="false" customHeight="false" outlineLevel="0" collapsed="false">
      <c r="A1379" s="11" t="s">
        <v>109</v>
      </c>
      <c r="B1379" s="11" t="s">
        <v>138</v>
      </c>
      <c r="C1379" s="11" t="n">
        <v>5</v>
      </c>
      <c r="D1379" s="11" t="s">
        <v>78</v>
      </c>
      <c r="E1379" s="11" t="s">
        <v>157</v>
      </c>
      <c r="F1379" s="11" t="s">
        <v>77</v>
      </c>
      <c r="G1379" s="12" t="n">
        <v>100</v>
      </c>
      <c r="H1379" s="12" t="n">
        <f aca="false">SUMPRODUCT(ПОТОКИ!B13:G13,ЧАСОВЫЕ_ПРОФИЛИ!B25:G25,КОЭФФИЦИЕНТЫ_ВЫБОРА!F15:K15)</f>
        <v>0.32</v>
      </c>
      <c r="I1379" s="12" t="n">
        <f aca="false">SUMPRODUCT(ПОТОКИ!B13:G13,ЧАСОВЫЕ_ПРОФИЛИ!B25:G25,КОЭФФИЦИЕНТЫ_ВЫБОРА!F15:K15,ПАРАМЕТРЫ!$B$17:$G$17)</f>
        <v>0.352</v>
      </c>
      <c r="J1379" s="12" t="n">
        <f aca="false">I1379*G1379/1000</f>
        <v>0.0352</v>
      </c>
      <c r="K1379" s="11" t="s">
        <v>217</v>
      </c>
      <c r="L1379" s="11" t="s">
        <v>19</v>
      </c>
      <c r="M1379" s="11" t="s">
        <v>147</v>
      </c>
    </row>
    <row r="1380" customFormat="false" ht="15" hidden="false" customHeight="false" outlineLevel="0" collapsed="false">
      <c r="A1380" s="11" t="s">
        <v>109</v>
      </c>
      <c r="B1380" s="11" t="s">
        <v>138</v>
      </c>
      <c r="C1380" s="11" t="n">
        <v>6</v>
      </c>
      <c r="D1380" s="11" t="s">
        <v>78</v>
      </c>
      <c r="E1380" s="11" t="s">
        <v>158</v>
      </c>
      <c r="F1380" s="11" t="s">
        <v>77</v>
      </c>
      <c r="G1380" s="12" t="n">
        <v>100</v>
      </c>
      <c r="H1380" s="12" t="n">
        <f aca="false">SUMPRODUCT(ПОТОКИ!B13:G13,ЧАСОВЫЕ_ПРОФИЛИ!B25:G25,КОЭФФИЦИЕНТЫ_ВЫБОРА!F16:K16)</f>
        <v>0.2755</v>
      </c>
      <c r="I1380" s="12" t="n">
        <f aca="false">SUMPRODUCT(ПОТОКИ!B13:G13,ЧАСОВЫЕ_ПРОФИЛИ!B25:G25,КОЭФФИЦИЕНТЫ_ВЫБОРА!F16:K16,ПАРАМЕТРЫ!$B$17:$G$17)</f>
        <v>0.30305</v>
      </c>
      <c r="J1380" s="12" t="n">
        <f aca="false">I1380*G1380/1000</f>
        <v>0.030305</v>
      </c>
      <c r="K1380" s="11" t="s">
        <v>217</v>
      </c>
      <c r="L1380" s="11" t="s">
        <v>19</v>
      </c>
      <c r="M1380" s="11" t="s">
        <v>147</v>
      </c>
    </row>
    <row r="1381" customFormat="false" ht="15" hidden="false" customHeight="false" outlineLevel="0" collapsed="false">
      <c r="A1381" s="11" t="s">
        <v>109</v>
      </c>
      <c r="B1381" s="11" t="s">
        <v>138</v>
      </c>
      <c r="C1381" s="11" t="n">
        <v>7</v>
      </c>
      <c r="D1381" s="11" t="s">
        <v>78</v>
      </c>
      <c r="E1381" s="11" t="s">
        <v>159</v>
      </c>
      <c r="F1381" s="11" t="s">
        <v>77</v>
      </c>
      <c r="G1381" s="12" t="n">
        <v>350</v>
      </c>
      <c r="H1381" s="12" t="n">
        <f aca="false">SUMPRODUCT(ПОТОКИ!B13:G13,ЧАСОВЫЕ_ПРОФИЛИ!B25:G25,КОЭФФИЦИЕНТЫ_ВЫБОРА!F17:K17)</f>
        <v>0.256</v>
      </c>
      <c r="I1381" s="12" t="n">
        <f aca="false">SUMPRODUCT(ПОТОКИ!B13:G13,ЧАСОВЫЕ_ПРОФИЛИ!B25:G25,КОЭФФИЦИЕНТЫ_ВЫБОРА!F17:K17,ПАРАМЕТРЫ!$B$17:$G$17)</f>
        <v>0.2816</v>
      </c>
      <c r="J1381" s="12" t="n">
        <f aca="false">I1381*G1381/1000</f>
        <v>0.09856</v>
      </c>
      <c r="K1381" s="11" t="s">
        <v>217</v>
      </c>
      <c r="L1381" s="11" t="s">
        <v>19</v>
      </c>
      <c r="M1381" s="11" t="s">
        <v>147</v>
      </c>
    </row>
    <row r="1382" customFormat="false" ht="15" hidden="false" customHeight="false" outlineLevel="0" collapsed="false">
      <c r="A1382" s="11" t="s">
        <v>109</v>
      </c>
      <c r="B1382" s="11" t="s">
        <v>138</v>
      </c>
      <c r="C1382" s="11" t="n">
        <v>8</v>
      </c>
      <c r="D1382" s="11" t="s">
        <v>78</v>
      </c>
      <c r="E1382" s="11" t="s">
        <v>160</v>
      </c>
      <c r="F1382" s="11" t="s">
        <v>77</v>
      </c>
      <c r="G1382" s="12" t="n">
        <v>85</v>
      </c>
      <c r="H1382" s="12" t="n">
        <f aca="false">SUMPRODUCT(ПОТОКИ!B13:G13,ЧАСОВЫЕ_ПРОФИЛИ!B25:G25,КОЭФФИЦИЕНТЫ_ВЫБОРА!F18:K18)</f>
        <v>0.1725</v>
      </c>
      <c r="I1382" s="12" t="n">
        <f aca="false">SUMPRODUCT(ПОТОКИ!B13:G13,ЧАСОВЫЕ_ПРОФИЛИ!B25:G25,КОЭФФИЦИЕНТЫ_ВЫБОРА!F18:K18,ПАРАМЕТРЫ!$B$17:$G$17)</f>
        <v>0.18975</v>
      </c>
      <c r="J1382" s="12" t="n">
        <f aca="false">I1382*G1382/1000</f>
        <v>0.01612875</v>
      </c>
      <c r="K1382" s="11" t="s">
        <v>217</v>
      </c>
      <c r="L1382" s="11" t="s">
        <v>19</v>
      </c>
      <c r="M1382" s="11" t="s">
        <v>147</v>
      </c>
    </row>
    <row r="1383" customFormat="false" ht="15" hidden="false" customHeight="false" outlineLevel="0" collapsed="false">
      <c r="A1383" s="11" t="s">
        <v>109</v>
      </c>
      <c r="B1383" s="11" t="s">
        <v>138</v>
      </c>
      <c r="C1383" s="11" t="n">
        <v>9</v>
      </c>
      <c r="D1383" s="11" t="s">
        <v>161</v>
      </c>
      <c r="E1383" s="11" t="s">
        <v>162</v>
      </c>
      <c r="F1383" s="11" t="s">
        <v>80</v>
      </c>
      <c r="G1383" s="12" t="n">
        <v>300</v>
      </c>
      <c r="H1383" s="12" t="n">
        <f aca="false">SUMPRODUCT(ПОТОКИ!B13:G13,ЧАСОВЫЕ_ПРОФИЛИ!B25:G25,КОЭФФИЦИЕНТЫ_ВЫБОРА!F19:K19)</f>
        <v>0.46</v>
      </c>
      <c r="I1383" s="12" t="n">
        <f aca="false">SUMPRODUCT(ПОТОКИ!B13:G13,ЧАСОВЫЕ_ПРОФИЛИ!B25:G25,КОЭФФИЦИЕНТЫ_ВЫБОРА!F19:K19,ПАРАМЕТРЫ!$B$17:$G$17)</f>
        <v>0.506</v>
      </c>
      <c r="J1383" s="12" t="n">
        <f aca="false">I1383*G1383/1000</f>
        <v>0.1518</v>
      </c>
      <c r="K1383" s="11" t="s">
        <v>217</v>
      </c>
      <c r="L1383" s="11" t="s">
        <v>19</v>
      </c>
      <c r="M1383" s="11" t="s">
        <v>145</v>
      </c>
    </row>
    <row r="1384" customFormat="false" ht="15" hidden="false" customHeight="false" outlineLevel="0" collapsed="false">
      <c r="A1384" s="11" t="s">
        <v>109</v>
      </c>
      <c r="B1384" s="11" t="s">
        <v>138</v>
      </c>
      <c r="C1384" s="11" t="n">
        <v>10</v>
      </c>
      <c r="D1384" s="11" t="s">
        <v>161</v>
      </c>
      <c r="E1384" s="11" t="s">
        <v>163</v>
      </c>
      <c r="F1384" s="11" t="s">
        <v>80</v>
      </c>
      <c r="G1384" s="12" t="n">
        <v>280</v>
      </c>
      <c r="H1384" s="12" t="n">
        <f aca="false">SUMPRODUCT(ПОТОКИ!B13:G13,ЧАСОВЫЕ_ПРОФИЛИ!B25:G25,КОЭФФИЦИЕНТЫ_ВЫБОРА!F20:K20)</f>
        <v>0.505</v>
      </c>
      <c r="I1384" s="12" t="n">
        <f aca="false">SUMPRODUCT(ПОТОКИ!B13:G13,ЧАСОВЫЕ_ПРОФИЛИ!B25:G25,КОЭФФИЦИЕНТЫ_ВЫБОРА!F20:K20,ПАРАМЕТРЫ!$B$17:$G$17)</f>
        <v>0.5555</v>
      </c>
      <c r="J1384" s="12" t="n">
        <f aca="false">I1384*G1384/1000</f>
        <v>0.15554</v>
      </c>
      <c r="K1384" s="11" t="s">
        <v>217</v>
      </c>
      <c r="L1384" s="11" t="s">
        <v>19</v>
      </c>
      <c r="M1384" s="11" t="s">
        <v>145</v>
      </c>
    </row>
    <row r="1385" customFormat="false" ht="15" hidden="false" customHeight="false" outlineLevel="0" collapsed="false">
      <c r="A1385" s="11" t="s">
        <v>109</v>
      </c>
      <c r="B1385" s="11" t="s">
        <v>138</v>
      </c>
      <c r="C1385" s="11" t="n">
        <v>11</v>
      </c>
      <c r="D1385" s="11" t="s">
        <v>161</v>
      </c>
      <c r="E1385" s="11" t="s">
        <v>164</v>
      </c>
      <c r="F1385" s="11" t="s">
        <v>80</v>
      </c>
      <c r="G1385" s="12" t="n">
        <v>270</v>
      </c>
      <c r="H1385" s="12" t="n">
        <f aca="false">SUMPRODUCT(ПОТОКИ!B13:G13,ЧАСОВЫЕ_ПРОФИЛИ!B25:G25,КОЭФФИЦИЕНТЫ_ВЫБОРА!F21:K21)</f>
        <v>0.84475</v>
      </c>
      <c r="I1385" s="12" t="n">
        <f aca="false">SUMPRODUCT(ПОТОКИ!B13:G13,ЧАСОВЫЕ_ПРОФИЛИ!B25:G25,КОЭФФИЦИЕНТЫ_ВЫБОРА!F21:K21,ПАРАМЕТРЫ!$B$17:$G$17)</f>
        <v>0.929225</v>
      </c>
      <c r="J1385" s="12" t="n">
        <f aca="false">I1385*G1385/1000</f>
        <v>0.25089075</v>
      </c>
      <c r="K1385" s="11" t="s">
        <v>217</v>
      </c>
      <c r="L1385" s="11" t="s">
        <v>19</v>
      </c>
      <c r="M1385" s="11" t="s">
        <v>145</v>
      </c>
    </row>
    <row r="1386" customFormat="false" ht="15" hidden="false" customHeight="false" outlineLevel="0" collapsed="false">
      <c r="A1386" s="11" t="s">
        <v>109</v>
      </c>
      <c r="B1386" s="11" t="s">
        <v>138</v>
      </c>
      <c r="C1386" s="11" t="n">
        <v>12</v>
      </c>
      <c r="D1386" s="11" t="s">
        <v>161</v>
      </c>
      <c r="E1386" s="11" t="s">
        <v>165</v>
      </c>
      <c r="F1386" s="11" t="s">
        <v>80</v>
      </c>
      <c r="G1386" s="12" t="n">
        <v>240</v>
      </c>
      <c r="H1386" s="12" t="n">
        <f aca="false">SUMPRODUCT(ПОТОКИ!B13:G13,ЧАСОВЫЕ_ПРОФИЛИ!B25:G25,КОЭФФИЦИЕНТЫ_ВЫБОРА!F22:K22)</f>
        <v>0.47525</v>
      </c>
      <c r="I1386" s="12" t="n">
        <f aca="false">SUMPRODUCT(ПОТОКИ!B13:G13,ЧАСОВЫЕ_ПРОФИЛИ!B25:G25,КОЭФФИЦИЕНТЫ_ВЫБОРА!F22:K22,ПАРАМЕТРЫ!$B$17:$G$17)</f>
        <v>0.522775</v>
      </c>
      <c r="J1386" s="12" t="n">
        <f aca="false">I1386*G1386/1000</f>
        <v>0.125466</v>
      </c>
      <c r="K1386" s="11" t="s">
        <v>217</v>
      </c>
      <c r="L1386" s="11" t="s">
        <v>19</v>
      </c>
      <c r="M1386" s="11" t="s">
        <v>145</v>
      </c>
    </row>
    <row r="1387" customFormat="false" ht="15" hidden="false" customHeight="false" outlineLevel="0" collapsed="false">
      <c r="A1387" s="11" t="s">
        <v>109</v>
      </c>
      <c r="B1387" s="11" t="s">
        <v>138</v>
      </c>
      <c r="C1387" s="11" t="n">
        <v>13</v>
      </c>
      <c r="D1387" s="11" t="s">
        <v>166</v>
      </c>
      <c r="E1387" s="11" t="s">
        <v>167</v>
      </c>
      <c r="F1387" s="11" t="s">
        <v>80</v>
      </c>
      <c r="G1387" s="12" t="n">
        <v>130</v>
      </c>
      <c r="H1387" s="12" t="n">
        <f aca="false">SUMPRODUCT(ПОТОКИ!B13:G13,ЧАСОВЫЕ_ПРОФИЛИ!B25:G25,КОЭФФИЦИЕНТЫ_ВЫБОРА!F23:K23)</f>
        <v>0.26</v>
      </c>
      <c r="I1387" s="12" t="n">
        <f aca="false">SUMPRODUCT(ПОТОКИ!B13:G13,ЧАСОВЫЕ_ПРОФИЛИ!B25:G25,КОЭФФИЦИЕНТЫ_ВЫБОРА!F23:K23,ПАРАМЕТРЫ!$B$17:$G$17)</f>
        <v>0.286</v>
      </c>
      <c r="J1387" s="12" t="n">
        <f aca="false">I1387*G1387/1000</f>
        <v>0.03718</v>
      </c>
      <c r="K1387" s="11" t="s">
        <v>217</v>
      </c>
      <c r="L1387" s="11" t="s">
        <v>19</v>
      </c>
      <c r="M1387" s="11" t="s">
        <v>145</v>
      </c>
    </row>
    <row r="1388" customFormat="false" ht="15" hidden="false" customHeight="false" outlineLevel="0" collapsed="false">
      <c r="A1388" s="11" t="s">
        <v>109</v>
      </c>
      <c r="B1388" s="11" t="s">
        <v>138</v>
      </c>
      <c r="C1388" s="11" t="n">
        <v>14</v>
      </c>
      <c r="D1388" s="11" t="s">
        <v>166</v>
      </c>
      <c r="E1388" s="11" t="s">
        <v>168</v>
      </c>
      <c r="F1388" s="11" t="s">
        <v>80</v>
      </c>
      <c r="G1388" s="12" t="n">
        <v>250</v>
      </c>
      <c r="H1388" s="12" t="n">
        <f aca="false">SUMPRODUCT(ПОТОКИ!B13:G13,ЧАСОВЫЕ_ПРОФИЛИ!B25:G25,КОЭФФИЦИЕНТЫ_ВЫБОРА!F24:K24)</f>
        <v>0.221</v>
      </c>
      <c r="I1388" s="12" t="n">
        <f aca="false">SUMPRODUCT(ПОТОКИ!B13:G13,ЧАСОВЫЕ_ПРОФИЛИ!B25:G25,КОЭФФИЦИЕНТЫ_ВЫБОРА!F24:K24,ПАРАМЕТРЫ!$B$17:$G$17)</f>
        <v>0.2431</v>
      </c>
      <c r="J1388" s="12" t="n">
        <f aca="false">I1388*G1388/1000</f>
        <v>0.060775</v>
      </c>
      <c r="K1388" s="11" t="s">
        <v>217</v>
      </c>
      <c r="L1388" s="11" t="s">
        <v>19</v>
      </c>
      <c r="M1388" s="11" t="s">
        <v>145</v>
      </c>
    </row>
    <row r="1389" customFormat="false" ht="15" hidden="false" customHeight="false" outlineLevel="0" collapsed="false">
      <c r="A1389" s="11" t="s">
        <v>109</v>
      </c>
      <c r="B1389" s="11" t="s">
        <v>138</v>
      </c>
      <c r="C1389" s="11" t="n">
        <v>15</v>
      </c>
      <c r="D1389" s="11" t="s">
        <v>166</v>
      </c>
      <c r="E1389" s="11" t="s">
        <v>169</v>
      </c>
      <c r="F1389" s="11" t="s">
        <v>80</v>
      </c>
      <c r="G1389" s="12" t="n">
        <v>120</v>
      </c>
      <c r="H1389" s="12" t="n">
        <f aca="false">SUMPRODUCT(ПОТОКИ!B13:G13,ЧАСОВЫЕ_ПРОФИЛИ!B25:G25,КОЭФФИЦИЕНТЫ_ВЫБОРА!F25:K25)</f>
        <v>0.146</v>
      </c>
      <c r="I1389" s="12" t="n">
        <f aca="false">SUMPRODUCT(ПОТОКИ!B13:G13,ЧАСОВЫЕ_ПРОФИЛИ!B25:G25,КОЭФФИЦИЕНТЫ_ВЫБОРА!F25:K25,ПАРАМЕТРЫ!$B$17:$G$17)</f>
        <v>0.1606</v>
      </c>
      <c r="J1389" s="12" t="n">
        <f aca="false">I1389*G1389/1000</f>
        <v>0.019272</v>
      </c>
      <c r="K1389" s="11" t="s">
        <v>217</v>
      </c>
      <c r="L1389" s="11" t="s">
        <v>19</v>
      </c>
      <c r="M1389" s="11" t="s">
        <v>145</v>
      </c>
    </row>
    <row r="1390" customFormat="false" ht="15" hidden="false" customHeight="false" outlineLevel="0" collapsed="false">
      <c r="A1390" s="11" t="s">
        <v>109</v>
      </c>
      <c r="B1390" s="11" t="s">
        <v>138</v>
      </c>
      <c r="C1390" s="11" t="n">
        <v>16</v>
      </c>
      <c r="D1390" s="11" t="s">
        <v>166</v>
      </c>
      <c r="E1390" s="11" t="s">
        <v>170</v>
      </c>
      <c r="F1390" s="11" t="s">
        <v>80</v>
      </c>
      <c r="G1390" s="12" t="n">
        <v>180</v>
      </c>
      <c r="H1390" s="12" t="n">
        <f aca="false">SUMPRODUCT(ПОТОКИ!B13:G13,ЧАСОВЫЕ_ПРОФИЛИ!B25:G25,КОЭФФИЦИЕНТЫ_ВЫБОРА!F26:K26)</f>
        <v>0.253</v>
      </c>
      <c r="I1390" s="12" t="n">
        <f aca="false">SUMPRODUCT(ПОТОКИ!B13:G13,ЧАСОВЫЕ_ПРОФИЛИ!B25:G25,КОЭФФИЦИЕНТЫ_ВЫБОРА!F26:K26,ПАРАМЕТРЫ!$B$17:$G$17)</f>
        <v>0.2783</v>
      </c>
      <c r="J1390" s="12" t="n">
        <f aca="false">I1390*G1390/1000</f>
        <v>0.050094</v>
      </c>
      <c r="K1390" s="11" t="s">
        <v>217</v>
      </c>
      <c r="L1390" s="11" t="s">
        <v>19</v>
      </c>
      <c r="M1390" s="11" t="s">
        <v>145</v>
      </c>
    </row>
    <row r="1391" customFormat="false" ht="15" hidden="false" customHeight="false" outlineLevel="0" collapsed="false">
      <c r="A1391" s="11" t="s">
        <v>109</v>
      </c>
      <c r="B1391" s="11" t="s">
        <v>138</v>
      </c>
      <c r="C1391" s="11" t="n">
        <v>17</v>
      </c>
      <c r="D1391" s="11" t="s">
        <v>166</v>
      </c>
      <c r="E1391" s="11" t="s">
        <v>171</v>
      </c>
      <c r="F1391" s="11" t="s">
        <v>80</v>
      </c>
      <c r="G1391" s="12" t="n">
        <v>180</v>
      </c>
      <c r="H1391" s="12" t="n">
        <f aca="false">SUMPRODUCT(ПОТОКИ!B13:G13,ЧАСОВЫЕ_ПРОФИЛИ!B25:G25,КОЭФФИЦИЕНТЫ_ВЫБОРА!F27:K27)</f>
        <v>0.26</v>
      </c>
      <c r="I1391" s="12" t="n">
        <f aca="false">SUMPRODUCT(ПОТОКИ!B13:G13,ЧАСОВЫЕ_ПРОФИЛИ!B25:G25,КОЭФФИЦИЕНТЫ_ВЫБОРА!F27:K27,ПАРАМЕТРЫ!$B$17:$G$17)</f>
        <v>0.286</v>
      </c>
      <c r="J1391" s="12" t="n">
        <f aca="false">I1391*G1391/1000</f>
        <v>0.05148</v>
      </c>
      <c r="K1391" s="11" t="s">
        <v>217</v>
      </c>
      <c r="L1391" s="11" t="s">
        <v>19</v>
      </c>
      <c r="M1391" s="11" t="s">
        <v>145</v>
      </c>
    </row>
    <row r="1392" customFormat="false" ht="15" hidden="false" customHeight="false" outlineLevel="0" collapsed="false">
      <c r="A1392" s="11" t="s">
        <v>109</v>
      </c>
      <c r="B1392" s="11" t="s">
        <v>138</v>
      </c>
      <c r="C1392" s="11" t="n">
        <v>18</v>
      </c>
      <c r="D1392" s="11" t="s">
        <v>172</v>
      </c>
      <c r="E1392" s="11" t="s">
        <v>173</v>
      </c>
      <c r="F1392" s="11" t="s">
        <v>83</v>
      </c>
      <c r="G1392" s="12" t="n">
        <v>400</v>
      </c>
      <c r="H1392" s="12" t="n">
        <f aca="false">SUMPRODUCT(ПОТОКИ!B13:G13,ЧАСОВЫЕ_ПРОФИЛИ!B25:G25,КОЭФФИЦИЕНТЫ_ВЫБОРА!F28:K28)</f>
        <v>0.32</v>
      </c>
      <c r="I1392" s="12" t="n">
        <f aca="false">SUMPRODUCT(ПОТОКИ!B13:G13,ЧАСОВЫЕ_ПРОФИЛИ!B25:G25,КОЭФФИЦИЕНТЫ_ВЫБОРА!F28:K28,ПАРАМЕТРЫ!$B$17:$G$17)</f>
        <v>0.352</v>
      </c>
      <c r="J1392" s="12" t="n">
        <f aca="false">I1392*G1392/1000</f>
        <v>0.1408</v>
      </c>
      <c r="K1392" s="11" t="s">
        <v>217</v>
      </c>
      <c r="L1392" s="11" t="s">
        <v>19</v>
      </c>
      <c r="M1392" s="11" t="s">
        <v>145</v>
      </c>
    </row>
    <row r="1393" customFormat="false" ht="23.85" hidden="false" customHeight="false" outlineLevel="0" collapsed="false">
      <c r="A1393" s="11" t="s">
        <v>109</v>
      </c>
      <c r="B1393" s="11" t="s">
        <v>138</v>
      </c>
      <c r="C1393" s="11" t="n">
        <v>19</v>
      </c>
      <c r="D1393" s="11" t="s">
        <v>174</v>
      </c>
      <c r="E1393" s="11" t="s">
        <v>175</v>
      </c>
      <c r="F1393" s="11" t="s">
        <v>83</v>
      </c>
      <c r="G1393" s="12" t="n">
        <v>300</v>
      </c>
      <c r="H1393" s="12" t="n">
        <f aca="false">SUMPRODUCT(ПОТОКИ!B13:G13,ЧАСОВЫЕ_ПРОФИЛИ!B25:G25,КОЭФФИЦИЕНТЫ_ВЫБОРА!F29:K29)</f>
        <v>1.3975</v>
      </c>
      <c r="I1393" s="12" t="n">
        <f aca="false">SUMPRODUCT(ПОТОКИ!B13:G13,ЧАСОВЫЕ_ПРОФИЛИ!B25:G25,КОЭФФИЦИЕНТЫ_ВЫБОРА!F29:K29,ПАРАМЕТРЫ!$B$17:$G$17)</f>
        <v>1.53725</v>
      </c>
      <c r="J1393" s="12" t="n">
        <f aca="false">I1393*G1393/1000</f>
        <v>0.461175</v>
      </c>
      <c r="K1393" s="11" t="s">
        <v>217</v>
      </c>
      <c r="L1393" s="11" t="s">
        <v>19</v>
      </c>
      <c r="M1393" s="11" t="s">
        <v>145</v>
      </c>
    </row>
    <row r="1394" customFormat="false" ht="15" hidden="false" customHeight="false" outlineLevel="0" collapsed="false">
      <c r="A1394" s="11" t="s">
        <v>109</v>
      </c>
      <c r="B1394" s="11" t="s">
        <v>138</v>
      </c>
      <c r="C1394" s="11" t="n">
        <v>20</v>
      </c>
      <c r="D1394" s="11" t="s">
        <v>174</v>
      </c>
      <c r="E1394" s="11" t="s">
        <v>176</v>
      </c>
      <c r="F1394" s="11" t="s">
        <v>83</v>
      </c>
      <c r="G1394" s="12" t="n">
        <v>360</v>
      </c>
      <c r="H1394" s="12" t="n">
        <f aca="false">SUMPRODUCT(ПОТОКИ!B13:G13,ЧАСОВЫЕ_ПРОФИЛИ!B25:G25,КОЭФФИЦИЕНТЫ_ВЫБОРА!F30:K30)</f>
        <v>1.141</v>
      </c>
      <c r="I1394" s="12" t="n">
        <f aca="false">SUMPRODUCT(ПОТОКИ!B13:G13,ЧАСОВЫЕ_ПРОФИЛИ!B25:G25,КОЭФФИЦИЕНТЫ_ВЫБОРА!F30:K30,ПАРАМЕТРЫ!$B$17:$G$17)</f>
        <v>1.2551</v>
      </c>
      <c r="J1394" s="12" t="n">
        <f aca="false">I1394*G1394/1000</f>
        <v>0.451836</v>
      </c>
      <c r="K1394" s="11" t="s">
        <v>217</v>
      </c>
      <c r="L1394" s="11" t="s">
        <v>19</v>
      </c>
      <c r="M1394" s="11" t="s">
        <v>145</v>
      </c>
    </row>
    <row r="1395" customFormat="false" ht="15" hidden="false" customHeight="false" outlineLevel="0" collapsed="false">
      <c r="A1395" s="11" t="s">
        <v>109</v>
      </c>
      <c r="B1395" s="11" t="s">
        <v>138</v>
      </c>
      <c r="C1395" s="11" t="n">
        <v>21</v>
      </c>
      <c r="D1395" s="11" t="s">
        <v>174</v>
      </c>
      <c r="E1395" s="11" t="s">
        <v>177</v>
      </c>
      <c r="F1395" s="11" t="s">
        <v>83</v>
      </c>
      <c r="G1395" s="12" t="n">
        <v>350</v>
      </c>
      <c r="H1395" s="12" t="n">
        <f aca="false">SUMPRODUCT(ПОТОКИ!B13:G13,ЧАСОВЫЕ_ПРОФИЛИ!B25:G25,КОЭФФИЦИЕНТЫ_ВЫБОРА!F31:K31)</f>
        <v>1.63525</v>
      </c>
      <c r="I1395" s="12" t="n">
        <f aca="false">SUMPRODUCT(ПОТОКИ!B13:G13,ЧАСОВЫЕ_ПРОФИЛИ!B25:G25,КОЭФФИЦИЕНТЫ_ВЫБОРА!F31:K31,ПАРАМЕТРЫ!$B$17:$G$17)</f>
        <v>1.798775</v>
      </c>
      <c r="J1395" s="12" t="n">
        <f aca="false">I1395*G1395/1000</f>
        <v>0.62957125</v>
      </c>
      <c r="K1395" s="11" t="s">
        <v>217</v>
      </c>
      <c r="L1395" s="11" t="s">
        <v>19</v>
      </c>
      <c r="M1395" s="11" t="s">
        <v>145</v>
      </c>
    </row>
    <row r="1396" customFormat="false" ht="15" hidden="false" customHeight="false" outlineLevel="0" collapsed="false">
      <c r="A1396" s="11" t="s">
        <v>109</v>
      </c>
      <c r="B1396" s="11" t="s">
        <v>138</v>
      </c>
      <c r="C1396" s="11" t="n">
        <v>22</v>
      </c>
      <c r="D1396" s="11" t="s">
        <v>174</v>
      </c>
      <c r="E1396" s="11" t="s">
        <v>178</v>
      </c>
      <c r="F1396" s="11" t="s">
        <v>83</v>
      </c>
      <c r="G1396" s="12" t="n">
        <v>300</v>
      </c>
      <c r="H1396" s="12" t="n">
        <f aca="false">SUMPRODUCT(ПОТОКИ!B13:G13,ЧАСОВЫЕ_ПРОФИЛИ!B25:G25,КОЭФФИЦИЕНТЫ_ВЫБОРА!F32:K32)</f>
        <v>1.23125</v>
      </c>
      <c r="I1396" s="12" t="n">
        <f aca="false">SUMPRODUCT(ПОТОКИ!B13:G13,ЧАСОВЫЕ_ПРОФИЛИ!B25:G25,КОЭФФИЦИЕНТЫ_ВЫБОРА!F32:K32,ПАРАМЕТРЫ!$B$17:$G$17)</f>
        <v>1.354375</v>
      </c>
      <c r="J1396" s="12" t="n">
        <f aca="false">I1396*G1396/1000</f>
        <v>0.4063125</v>
      </c>
      <c r="K1396" s="11" t="s">
        <v>217</v>
      </c>
      <c r="L1396" s="11" t="s">
        <v>19</v>
      </c>
      <c r="M1396" s="11" t="s">
        <v>145</v>
      </c>
    </row>
    <row r="1397" customFormat="false" ht="15" hidden="false" customHeight="false" outlineLevel="0" collapsed="false">
      <c r="A1397" s="11" t="s">
        <v>109</v>
      </c>
      <c r="B1397" s="11" t="s">
        <v>138</v>
      </c>
      <c r="C1397" s="11" t="n">
        <v>23</v>
      </c>
      <c r="D1397" s="11" t="s">
        <v>86</v>
      </c>
      <c r="E1397" s="11" t="s">
        <v>179</v>
      </c>
      <c r="F1397" s="11" t="s">
        <v>85</v>
      </c>
      <c r="G1397" s="12" t="n">
        <v>150</v>
      </c>
      <c r="H1397" s="12" t="n">
        <f aca="false">SUMPRODUCT(ПОТОКИ!B13:G13,ЧАСОВЫЕ_ПРОФИЛИ!B25:G25,КОЭФФИЦИЕНТЫ_ВЫБОРА!F33:K33)</f>
        <v>1.07040875</v>
      </c>
      <c r="I1397" s="12" t="n">
        <f aca="false">SUMPRODUCT(ПОТОКИ!B13:G13,ЧАСОВЫЕ_ПРОФИЛИ!B25:G25,КОЭФФИЦИЕНТЫ_ВЫБОРА!F33:K33,ПАРАМЕТРЫ!$B$17:$G$17)</f>
        <v>1.177449625</v>
      </c>
      <c r="J1397" s="12" t="n">
        <f aca="false">I1397*G1397/1000</f>
        <v>0.17661744375</v>
      </c>
      <c r="K1397" s="11" t="s">
        <v>217</v>
      </c>
      <c r="L1397" s="11" t="s">
        <v>19</v>
      </c>
      <c r="M1397" s="11" t="s">
        <v>147</v>
      </c>
    </row>
    <row r="1398" customFormat="false" ht="15" hidden="false" customHeight="false" outlineLevel="0" collapsed="false">
      <c r="A1398" s="11" t="s">
        <v>109</v>
      </c>
      <c r="B1398" s="11" t="s">
        <v>138</v>
      </c>
      <c r="C1398" s="11" t="n">
        <v>24</v>
      </c>
      <c r="D1398" s="11" t="s">
        <v>86</v>
      </c>
      <c r="E1398" s="11" t="s">
        <v>180</v>
      </c>
      <c r="F1398" s="11" t="s">
        <v>85</v>
      </c>
      <c r="G1398" s="12" t="n">
        <v>150</v>
      </c>
      <c r="H1398" s="12" t="n">
        <f aca="false">SUMPRODUCT(ПОТОКИ!B13:G13,ЧАСОВЫЕ_ПРОФИЛИ!B25:G25,КОЭФФИЦИЕНТЫ_ВЫБОРА!F34:K34)</f>
        <v>0.575845</v>
      </c>
      <c r="I1398" s="12" t="n">
        <f aca="false">SUMPRODUCT(ПОТОКИ!B13:G13,ЧАСОВЫЕ_ПРОФИЛИ!B25:G25,КОЭФФИЦИЕНТЫ_ВЫБОРА!F34:K34,ПАРАМЕТРЫ!$B$17:$G$17)</f>
        <v>0.6334295</v>
      </c>
      <c r="J1398" s="12" t="n">
        <f aca="false">I1398*G1398/1000</f>
        <v>0.095014425</v>
      </c>
      <c r="K1398" s="11" t="s">
        <v>217</v>
      </c>
      <c r="L1398" s="11" t="s">
        <v>19</v>
      </c>
      <c r="M1398" s="11" t="s">
        <v>147</v>
      </c>
    </row>
    <row r="1399" customFormat="false" ht="15" hidden="false" customHeight="false" outlineLevel="0" collapsed="false">
      <c r="A1399" s="11" t="s">
        <v>109</v>
      </c>
      <c r="B1399" s="11" t="s">
        <v>138</v>
      </c>
      <c r="C1399" s="11" t="n">
        <v>25</v>
      </c>
      <c r="D1399" s="11" t="s">
        <v>86</v>
      </c>
      <c r="E1399" s="11" t="s">
        <v>181</v>
      </c>
      <c r="F1399" s="11" t="s">
        <v>85</v>
      </c>
      <c r="G1399" s="12" t="n">
        <v>150</v>
      </c>
      <c r="H1399" s="12" t="n">
        <f aca="false">SUMPRODUCT(ПОТОКИ!B13:G13,ЧАСОВЫЕ_ПРОФИЛИ!B25:G25,КОЭФФИЦИЕНТЫ_ВЫБОРА!F35:K35)</f>
        <v>1.23297125</v>
      </c>
      <c r="I1399" s="12" t="n">
        <f aca="false">SUMPRODUCT(ПОТОКИ!B13:G13,ЧАСОВЫЕ_ПРОФИЛИ!B25:G25,КОЭФФИЦИЕНТЫ_ВЫБОРА!F35:K35,ПАРАМЕТРЫ!$B$17:$G$17)</f>
        <v>1.356268375</v>
      </c>
      <c r="J1399" s="12" t="n">
        <f aca="false">I1399*G1399/1000</f>
        <v>0.20344025625</v>
      </c>
      <c r="K1399" s="11" t="s">
        <v>217</v>
      </c>
      <c r="L1399" s="11" t="s">
        <v>19</v>
      </c>
      <c r="M1399" s="11" t="s">
        <v>147</v>
      </c>
    </row>
    <row r="1400" customFormat="false" ht="23.85" hidden="false" customHeight="false" outlineLevel="0" collapsed="false">
      <c r="A1400" s="11" t="s">
        <v>109</v>
      </c>
      <c r="B1400" s="11" t="s">
        <v>138</v>
      </c>
      <c r="C1400" s="11" t="n">
        <v>26</v>
      </c>
      <c r="D1400" s="11" t="s">
        <v>89</v>
      </c>
      <c r="E1400" s="11" t="s">
        <v>182</v>
      </c>
      <c r="F1400" s="11" t="s">
        <v>88</v>
      </c>
      <c r="G1400" s="12" t="n">
        <v>225</v>
      </c>
      <c r="H1400" s="12" t="n">
        <f aca="false">SUMPRODUCT(ПОТОКИ!B13:G13,ЧАСОВЫЕ_ПРОФИЛИ!B25:G25,КОЭФФИЦИЕНТЫ_ВЫБОРА!F36:K36)</f>
        <v>0</v>
      </c>
      <c r="I1400" s="12" t="n">
        <f aca="false">SUMPRODUCT(ПОТОКИ!B13:G13,ЧАСОВЫЕ_ПРОФИЛИ!B25:G25,КОЭФФИЦИЕНТЫ_ВЫБОРА!F36:K36,ПАРАМЕТРЫ!$B$17:$G$17)</f>
        <v>0</v>
      </c>
      <c r="J1400" s="12" t="n">
        <f aca="false">I1400*G1400/1000</f>
        <v>0</v>
      </c>
      <c r="K1400" s="11" t="s">
        <v>217</v>
      </c>
      <c r="L1400" s="11" t="s">
        <v>19</v>
      </c>
      <c r="M1400" s="11" t="s">
        <v>145</v>
      </c>
    </row>
    <row r="1401" customFormat="false" ht="23.85" hidden="false" customHeight="false" outlineLevel="0" collapsed="false">
      <c r="A1401" s="11" t="s">
        <v>109</v>
      </c>
      <c r="B1401" s="11" t="s">
        <v>138</v>
      </c>
      <c r="C1401" s="11" t="n">
        <v>27</v>
      </c>
      <c r="D1401" s="11" t="s">
        <v>89</v>
      </c>
      <c r="E1401" s="11" t="s">
        <v>183</v>
      </c>
      <c r="F1401" s="11" t="s">
        <v>88</v>
      </c>
      <c r="G1401" s="12" t="n">
        <v>265</v>
      </c>
      <c r="H1401" s="12" t="n">
        <f aca="false">SUMPRODUCT(ПОТОКИ!B13:G13,ЧАСОВЫЕ_ПРОФИЛИ!B25:G25,КОЭФФИЦИЕНТЫ_ВЫБОРА!F37:K37)</f>
        <v>0</v>
      </c>
      <c r="I1401" s="12" t="n">
        <f aca="false">SUMPRODUCT(ПОТОКИ!B13:G13,ЧАСОВЫЕ_ПРОФИЛИ!B25:G25,КОЭФФИЦИЕНТЫ_ВЫБОРА!F37:K37,ПАРАМЕТРЫ!$B$17:$G$17)</f>
        <v>0</v>
      </c>
      <c r="J1401" s="12" t="n">
        <f aca="false">I1401*G1401/1000</f>
        <v>0</v>
      </c>
      <c r="K1401" s="11" t="s">
        <v>217</v>
      </c>
      <c r="L1401" s="11" t="s">
        <v>19</v>
      </c>
      <c r="M1401" s="11" t="s">
        <v>145</v>
      </c>
    </row>
    <row r="1402" customFormat="false" ht="23.85" hidden="false" customHeight="false" outlineLevel="0" collapsed="false">
      <c r="A1402" s="11" t="s">
        <v>109</v>
      </c>
      <c r="B1402" s="11" t="s">
        <v>138</v>
      </c>
      <c r="C1402" s="11" t="n">
        <v>28</v>
      </c>
      <c r="D1402" s="11" t="s">
        <v>89</v>
      </c>
      <c r="E1402" s="11" t="s">
        <v>184</v>
      </c>
      <c r="F1402" s="11" t="s">
        <v>88</v>
      </c>
      <c r="G1402" s="12" t="n">
        <v>355</v>
      </c>
      <c r="H1402" s="12" t="n">
        <f aca="false">SUMPRODUCT(ПОТОКИ!B13:G13,ЧАСОВЫЕ_ПРОФИЛИ!B25:G25,КОЭФФИЦИЕНТЫ_ВЫБОРА!F38:K38)</f>
        <v>0</v>
      </c>
      <c r="I1402" s="12" t="n">
        <f aca="false">SUMPRODUCT(ПОТОКИ!B13:G13,ЧАСОВЫЕ_ПРОФИЛИ!B25:G25,КОЭФФИЦИЕНТЫ_ВЫБОРА!F38:K38,ПАРАМЕТРЫ!$B$17:$G$17)</f>
        <v>0</v>
      </c>
      <c r="J1402" s="12" t="n">
        <f aca="false">I1402*G1402/1000</f>
        <v>0</v>
      </c>
      <c r="K1402" s="11" t="s">
        <v>217</v>
      </c>
      <c r="L1402" s="11" t="s">
        <v>19</v>
      </c>
      <c r="M1402" s="11" t="s">
        <v>145</v>
      </c>
    </row>
    <row r="1403" customFormat="false" ht="15" hidden="false" customHeight="false" outlineLevel="0" collapsed="false">
      <c r="A1403" s="11" t="s">
        <v>109</v>
      </c>
      <c r="B1403" s="11" t="s">
        <v>138</v>
      </c>
      <c r="C1403" s="11" t="n">
        <v>29</v>
      </c>
      <c r="D1403" s="11" t="s">
        <v>92</v>
      </c>
      <c r="E1403" s="11" t="s">
        <v>185</v>
      </c>
      <c r="F1403" s="11" t="s">
        <v>91</v>
      </c>
      <c r="G1403" s="12" t="n">
        <v>150</v>
      </c>
      <c r="H1403" s="12" t="n">
        <f aca="false">SUMPRODUCT(ПОТОКИ!B13:G13,ЧАСОВЫЕ_ПРОФИЛИ!B25:G25,КОЭФФИЦИЕНТЫ_ВЫБОРА!F39:K39)</f>
        <v>0.228</v>
      </c>
      <c r="I1403" s="12" t="n">
        <f aca="false">SUMPRODUCT(ПОТОКИ!B13:G13,ЧАСОВЫЕ_ПРОФИЛИ!B25:G25,КОЭФФИЦИЕНТЫ_ВЫБОРА!F39:K39,ПАРАМЕТРЫ!$B$17:$G$17)</f>
        <v>0.2508</v>
      </c>
      <c r="J1403" s="12" t="n">
        <f aca="false">I1403*G1403/1000</f>
        <v>0.03762</v>
      </c>
      <c r="K1403" s="11" t="s">
        <v>217</v>
      </c>
      <c r="L1403" s="11" t="s">
        <v>19</v>
      </c>
      <c r="M1403" s="11" t="s">
        <v>145</v>
      </c>
    </row>
    <row r="1404" customFormat="false" ht="15" hidden="false" customHeight="false" outlineLevel="0" collapsed="false">
      <c r="A1404" s="11" t="s">
        <v>109</v>
      </c>
      <c r="B1404" s="11" t="s">
        <v>138</v>
      </c>
      <c r="C1404" s="11" t="n">
        <v>30</v>
      </c>
      <c r="D1404" s="11" t="s">
        <v>92</v>
      </c>
      <c r="E1404" s="11" t="s">
        <v>186</v>
      </c>
      <c r="F1404" s="11" t="s">
        <v>91</v>
      </c>
      <c r="G1404" s="12" t="n">
        <v>120</v>
      </c>
      <c r="H1404" s="12" t="n">
        <f aca="false">SUMPRODUCT(ПОТОКИ!B13:G13,ЧАСОВЫЕ_ПРОФИЛИ!B25:G25,КОЭФФИЦИЕНТЫ_ВЫБОРА!F40:K40)</f>
        <v>0.478</v>
      </c>
      <c r="I1404" s="12" t="n">
        <f aca="false">SUMPRODUCT(ПОТОКИ!B13:G13,ЧАСОВЫЕ_ПРОФИЛИ!B25:G25,КОЭФФИЦИЕНТЫ_ВЫБОРА!F40:K40,ПАРАМЕТРЫ!$B$17:$G$17)</f>
        <v>0.5258</v>
      </c>
      <c r="J1404" s="12" t="n">
        <f aca="false">I1404*G1404/1000</f>
        <v>0.063096</v>
      </c>
      <c r="K1404" s="11" t="s">
        <v>217</v>
      </c>
      <c r="L1404" s="11" t="s">
        <v>19</v>
      </c>
      <c r="M1404" s="11" t="s">
        <v>145</v>
      </c>
    </row>
    <row r="1405" customFormat="false" ht="15" hidden="false" customHeight="false" outlineLevel="0" collapsed="false">
      <c r="A1405" s="11" t="s">
        <v>109</v>
      </c>
      <c r="B1405" s="11" t="s">
        <v>138</v>
      </c>
      <c r="C1405" s="11" t="n">
        <v>31</v>
      </c>
      <c r="D1405" s="11" t="s">
        <v>92</v>
      </c>
      <c r="E1405" s="11" t="s">
        <v>187</v>
      </c>
      <c r="F1405" s="11" t="s">
        <v>91</v>
      </c>
      <c r="G1405" s="12" t="n">
        <v>60</v>
      </c>
      <c r="H1405" s="12" t="n">
        <f aca="false">SUMPRODUCT(ПОТОКИ!B13:G13,ЧАСОВЫЕ_ПРОФИЛИ!B25:G25,КОЭФФИЦИЕНТЫ_ВЫБОРА!F41:K41)</f>
        <v>0.144</v>
      </c>
      <c r="I1405" s="12" t="n">
        <f aca="false">SUMPRODUCT(ПОТОКИ!B13:G13,ЧАСОВЫЕ_ПРОФИЛИ!B25:G25,КОЭФФИЦИЕНТЫ_ВЫБОРА!F41:K41,ПАРАМЕТРЫ!$B$17:$G$17)</f>
        <v>0.1584</v>
      </c>
      <c r="J1405" s="12" t="n">
        <f aca="false">I1405*G1405/1000</f>
        <v>0.009504</v>
      </c>
      <c r="K1405" s="11" t="s">
        <v>217</v>
      </c>
      <c r="L1405" s="11" t="s">
        <v>19</v>
      </c>
      <c r="M1405" s="11" t="s">
        <v>145</v>
      </c>
    </row>
    <row r="1406" customFormat="false" ht="15" hidden="false" customHeight="false" outlineLevel="0" collapsed="false">
      <c r="A1406" s="11" t="s">
        <v>110</v>
      </c>
      <c r="B1406" s="11" t="s">
        <v>124</v>
      </c>
      <c r="C1406" s="11" t="n">
        <v>1</v>
      </c>
      <c r="D1406" s="11" t="s">
        <v>74</v>
      </c>
      <c r="E1406" s="11" t="s">
        <v>153</v>
      </c>
      <c r="F1406" s="11" t="s">
        <v>73</v>
      </c>
      <c r="G1406" s="12" t="n">
        <v>450</v>
      </c>
      <c r="H1406" s="12" t="n">
        <f aca="false">SUMPRODUCT(ПОТОКИ!B14:G14,ЧАСОВЫЕ_ПРОФИЛИ!B11:G11,КОЭФФИЦИЕНТЫ_ВЫБОРА!F11:K11)</f>
        <v>0</v>
      </c>
      <c r="I1406" s="12" t="n">
        <f aca="false">SUMPRODUCT(ПОТОКИ!B14:G14,ЧАСОВЫЕ_ПРОФИЛИ!B11:G11,КОЭФФИЦИЕНТЫ_ВЫБОРА!F11:K11,ПАРАМЕТРЫ!$B$17:$G$17)</f>
        <v>0</v>
      </c>
      <c r="J1406" s="12" t="n">
        <f aca="false">I1406*G1406/1000</f>
        <v>0</v>
      </c>
      <c r="K1406" s="11" t="s">
        <v>217</v>
      </c>
      <c r="L1406" s="11" t="s">
        <v>19</v>
      </c>
      <c r="M1406" s="11" t="s">
        <v>145</v>
      </c>
    </row>
    <row r="1407" customFormat="false" ht="15" hidden="false" customHeight="false" outlineLevel="0" collapsed="false">
      <c r="A1407" s="11" t="s">
        <v>110</v>
      </c>
      <c r="B1407" s="11" t="s">
        <v>124</v>
      </c>
      <c r="C1407" s="11" t="n">
        <v>2</v>
      </c>
      <c r="D1407" s="11" t="s">
        <v>74</v>
      </c>
      <c r="E1407" s="11" t="s">
        <v>154</v>
      </c>
      <c r="F1407" s="11" t="s">
        <v>73</v>
      </c>
      <c r="G1407" s="12" t="n">
        <v>480</v>
      </c>
      <c r="H1407" s="12" t="n">
        <f aca="false">SUMPRODUCT(ПОТОКИ!B14:G14,ЧАСОВЫЕ_ПРОФИЛИ!B11:G11,КОЭФФИЦИЕНТЫ_ВЫБОРА!F12:K12)</f>
        <v>0</v>
      </c>
      <c r="I1407" s="12" t="n">
        <f aca="false">SUMPRODUCT(ПОТОКИ!B14:G14,ЧАСОВЫЕ_ПРОФИЛИ!B11:G11,КОЭФФИЦИЕНТЫ_ВЫБОРА!F12:K12,ПАРАМЕТРЫ!$B$17:$G$17)</f>
        <v>0</v>
      </c>
      <c r="J1407" s="12" t="n">
        <f aca="false">I1407*G1407/1000</f>
        <v>0</v>
      </c>
      <c r="K1407" s="11" t="s">
        <v>217</v>
      </c>
      <c r="L1407" s="11" t="s">
        <v>19</v>
      </c>
      <c r="M1407" s="11" t="s">
        <v>145</v>
      </c>
    </row>
    <row r="1408" customFormat="false" ht="15" hidden="false" customHeight="false" outlineLevel="0" collapsed="false">
      <c r="A1408" s="11" t="s">
        <v>110</v>
      </c>
      <c r="B1408" s="11" t="s">
        <v>124</v>
      </c>
      <c r="C1408" s="11" t="n">
        <v>3</v>
      </c>
      <c r="D1408" s="11" t="s">
        <v>74</v>
      </c>
      <c r="E1408" s="11" t="s">
        <v>155</v>
      </c>
      <c r="F1408" s="11" t="s">
        <v>73</v>
      </c>
      <c r="G1408" s="12" t="n">
        <v>500</v>
      </c>
      <c r="H1408" s="12" t="n">
        <f aca="false">SUMPRODUCT(ПОТОКИ!B14:G14,ЧАСОВЫЕ_ПРОФИЛИ!B11:G11,КОЭФФИЦИЕНТЫ_ВЫБОРА!F13:K13)</f>
        <v>0</v>
      </c>
      <c r="I1408" s="12" t="n">
        <f aca="false">SUMPRODUCT(ПОТОКИ!B14:G14,ЧАСОВЫЕ_ПРОФИЛИ!B11:G11,КОЭФФИЦИЕНТЫ_ВЫБОРА!F13:K13,ПАРАМЕТРЫ!$B$17:$G$17)</f>
        <v>0</v>
      </c>
      <c r="J1408" s="12" t="n">
        <f aca="false">I1408*G1408/1000</f>
        <v>0</v>
      </c>
      <c r="K1408" s="11" t="s">
        <v>217</v>
      </c>
      <c r="L1408" s="11" t="s">
        <v>19</v>
      </c>
      <c r="M1408" s="11" t="s">
        <v>145</v>
      </c>
    </row>
    <row r="1409" customFormat="false" ht="15" hidden="false" customHeight="false" outlineLevel="0" collapsed="false">
      <c r="A1409" s="11" t="s">
        <v>110</v>
      </c>
      <c r="B1409" s="11" t="s">
        <v>124</v>
      </c>
      <c r="C1409" s="11" t="n">
        <v>4</v>
      </c>
      <c r="D1409" s="11" t="s">
        <v>74</v>
      </c>
      <c r="E1409" s="11" t="s">
        <v>156</v>
      </c>
      <c r="F1409" s="11" t="s">
        <v>73</v>
      </c>
      <c r="G1409" s="12" t="n">
        <v>500</v>
      </c>
      <c r="H1409" s="12" t="n">
        <f aca="false">SUMPRODUCT(ПОТОКИ!B14:G14,ЧАСОВЫЕ_ПРОФИЛИ!B11:G11,КОЭФФИЦИЕНТЫ_ВЫБОРА!F14:K14)</f>
        <v>0</v>
      </c>
      <c r="I1409" s="12" t="n">
        <f aca="false">SUMPRODUCT(ПОТОКИ!B14:G14,ЧАСОВЫЕ_ПРОФИЛИ!B11:G11,КОЭФФИЦИЕНТЫ_ВЫБОРА!F14:K14,ПАРАМЕТРЫ!$B$17:$G$17)</f>
        <v>0</v>
      </c>
      <c r="J1409" s="12" t="n">
        <f aca="false">I1409*G1409/1000</f>
        <v>0</v>
      </c>
      <c r="K1409" s="11" t="s">
        <v>217</v>
      </c>
      <c r="L1409" s="11" t="s">
        <v>19</v>
      </c>
      <c r="M1409" s="11" t="s">
        <v>145</v>
      </c>
    </row>
    <row r="1410" customFormat="false" ht="15" hidden="false" customHeight="false" outlineLevel="0" collapsed="false">
      <c r="A1410" s="11" t="s">
        <v>110</v>
      </c>
      <c r="B1410" s="11" t="s">
        <v>124</v>
      </c>
      <c r="C1410" s="11" t="n">
        <v>5</v>
      </c>
      <c r="D1410" s="11" t="s">
        <v>78</v>
      </c>
      <c r="E1410" s="11" t="s">
        <v>157</v>
      </c>
      <c r="F1410" s="11" t="s">
        <v>77</v>
      </c>
      <c r="G1410" s="12" t="n">
        <v>100</v>
      </c>
      <c r="H1410" s="12" t="n">
        <f aca="false">SUMPRODUCT(ПОТОКИ!B14:G14,ЧАСОВЫЕ_ПРОФИЛИ!B11:G11,КОЭФФИЦИЕНТЫ_ВЫБОРА!F15:K15)</f>
        <v>0.108</v>
      </c>
      <c r="I1410" s="12" t="n">
        <f aca="false">SUMPRODUCT(ПОТОКИ!B14:G14,ЧАСОВЫЕ_ПРОФИЛИ!B11:G11,КОЭФФИЦИЕНТЫ_ВЫБОРА!F15:K15,ПАРАМЕТРЫ!$B$17:$G$17)</f>
        <v>0.1188</v>
      </c>
      <c r="J1410" s="12" t="n">
        <f aca="false">I1410*G1410/1000</f>
        <v>0.01188</v>
      </c>
      <c r="K1410" s="11" t="s">
        <v>217</v>
      </c>
      <c r="L1410" s="11" t="s">
        <v>19</v>
      </c>
      <c r="M1410" s="11" t="s">
        <v>147</v>
      </c>
    </row>
    <row r="1411" customFormat="false" ht="15" hidden="false" customHeight="false" outlineLevel="0" collapsed="false">
      <c r="A1411" s="11" t="s">
        <v>110</v>
      </c>
      <c r="B1411" s="11" t="s">
        <v>124</v>
      </c>
      <c r="C1411" s="11" t="n">
        <v>6</v>
      </c>
      <c r="D1411" s="11" t="s">
        <v>78</v>
      </c>
      <c r="E1411" s="11" t="s">
        <v>158</v>
      </c>
      <c r="F1411" s="11" t="s">
        <v>77</v>
      </c>
      <c r="G1411" s="12" t="n">
        <v>100</v>
      </c>
      <c r="H1411" s="12" t="n">
        <f aca="false">SUMPRODUCT(ПОТОКИ!B14:G14,ЧАСОВЫЕ_ПРОФИЛИ!B11:G11,КОЭФФИЦИЕНТЫ_ВЫБОРА!F16:K16)</f>
        <v>0.108</v>
      </c>
      <c r="I1411" s="12" t="n">
        <f aca="false">SUMPRODUCT(ПОТОКИ!B14:G14,ЧАСОВЫЕ_ПРОФИЛИ!B11:G11,КОЭФФИЦИЕНТЫ_ВЫБОРА!F16:K16,ПАРАМЕТРЫ!$B$17:$G$17)</f>
        <v>0.1188</v>
      </c>
      <c r="J1411" s="12" t="n">
        <f aca="false">I1411*G1411/1000</f>
        <v>0.01188</v>
      </c>
      <c r="K1411" s="11" t="s">
        <v>217</v>
      </c>
      <c r="L1411" s="11" t="s">
        <v>19</v>
      </c>
      <c r="M1411" s="11" t="s">
        <v>147</v>
      </c>
    </row>
    <row r="1412" customFormat="false" ht="15" hidden="false" customHeight="false" outlineLevel="0" collapsed="false">
      <c r="A1412" s="11" t="s">
        <v>110</v>
      </c>
      <c r="B1412" s="11" t="s">
        <v>124</v>
      </c>
      <c r="C1412" s="11" t="n">
        <v>7</v>
      </c>
      <c r="D1412" s="11" t="s">
        <v>78</v>
      </c>
      <c r="E1412" s="11" t="s">
        <v>159</v>
      </c>
      <c r="F1412" s="11" t="s">
        <v>77</v>
      </c>
      <c r="G1412" s="12" t="n">
        <v>350</v>
      </c>
      <c r="H1412" s="12" t="n">
        <f aca="false">SUMPRODUCT(ПОТОКИ!B14:G14,ЧАСОВЫЕ_ПРОФИЛИ!B11:G11,КОЭФФИЦИЕНТЫ_ВЫБОРА!F17:K17)</f>
        <v>0.09</v>
      </c>
      <c r="I1412" s="12" t="n">
        <f aca="false">SUMPRODUCT(ПОТОКИ!B14:G14,ЧАСОВЫЕ_ПРОФИЛИ!B11:G11,КОЭФФИЦИЕНТЫ_ВЫБОРА!F17:K17,ПАРАМЕТРЫ!$B$17:$G$17)</f>
        <v>0.099</v>
      </c>
      <c r="J1412" s="12" t="n">
        <f aca="false">I1412*G1412/1000</f>
        <v>0.03465</v>
      </c>
      <c r="K1412" s="11" t="s">
        <v>217</v>
      </c>
      <c r="L1412" s="11" t="s">
        <v>19</v>
      </c>
      <c r="M1412" s="11" t="s">
        <v>147</v>
      </c>
    </row>
    <row r="1413" customFormat="false" ht="15" hidden="false" customHeight="false" outlineLevel="0" collapsed="false">
      <c r="A1413" s="11" t="s">
        <v>110</v>
      </c>
      <c r="B1413" s="11" t="s">
        <v>124</v>
      </c>
      <c r="C1413" s="11" t="n">
        <v>8</v>
      </c>
      <c r="D1413" s="11" t="s">
        <v>78</v>
      </c>
      <c r="E1413" s="11" t="s">
        <v>160</v>
      </c>
      <c r="F1413" s="11" t="s">
        <v>77</v>
      </c>
      <c r="G1413" s="12" t="n">
        <v>85</v>
      </c>
      <c r="H1413" s="12" t="n">
        <f aca="false">SUMPRODUCT(ПОТОКИ!B14:G14,ЧАСОВЫЕ_ПРОФИЛИ!B11:G11,КОЭФФИЦИЕНТЫ_ВЫБОРА!F18:K18)</f>
        <v>0.054</v>
      </c>
      <c r="I1413" s="12" t="n">
        <f aca="false">SUMPRODUCT(ПОТОКИ!B14:G14,ЧАСОВЫЕ_ПРОФИЛИ!B11:G11,КОЭФФИЦИЕНТЫ_ВЫБОРА!F18:K18,ПАРАМЕТРЫ!$B$17:$G$17)</f>
        <v>0.0594</v>
      </c>
      <c r="J1413" s="12" t="n">
        <f aca="false">I1413*G1413/1000</f>
        <v>0.005049</v>
      </c>
      <c r="K1413" s="11" t="s">
        <v>217</v>
      </c>
      <c r="L1413" s="11" t="s">
        <v>19</v>
      </c>
      <c r="M1413" s="11" t="s">
        <v>147</v>
      </c>
    </row>
    <row r="1414" customFormat="false" ht="15" hidden="false" customHeight="false" outlineLevel="0" collapsed="false">
      <c r="A1414" s="11" t="s">
        <v>110</v>
      </c>
      <c r="B1414" s="11" t="s">
        <v>124</v>
      </c>
      <c r="C1414" s="11" t="n">
        <v>9</v>
      </c>
      <c r="D1414" s="11" t="s">
        <v>161</v>
      </c>
      <c r="E1414" s="11" t="s">
        <v>162</v>
      </c>
      <c r="F1414" s="11" t="s">
        <v>80</v>
      </c>
      <c r="G1414" s="12" t="n">
        <v>300</v>
      </c>
      <c r="H1414" s="12" t="n">
        <f aca="false">SUMPRODUCT(ПОТОКИ!B14:G14,ЧАСОВЫЕ_ПРОФИЛИ!B11:G11,КОЭФФИЦИЕНТЫ_ВЫБОРА!F19:K19)</f>
        <v>0</v>
      </c>
      <c r="I1414" s="12" t="n">
        <f aca="false">SUMPRODUCT(ПОТОКИ!B14:G14,ЧАСОВЫЕ_ПРОФИЛИ!B11:G11,КОЭФФИЦИЕНТЫ_ВЫБОРА!F19:K19,ПАРАМЕТРЫ!$B$17:$G$17)</f>
        <v>0</v>
      </c>
      <c r="J1414" s="12" t="n">
        <f aca="false">I1414*G1414/1000</f>
        <v>0</v>
      </c>
      <c r="K1414" s="11" t="s">
        <v>217</v>
      </c>
      <c r="L1414" s="11" t="s">
        <v>19</v>
      </c>
      <c r="M1414" s="11" t="s">
        <v>145</v>
      </c>
    </row>
    <row r="1415" customFormat="false" ht="15" hidden="false" customHeight="false" outlineLevel="0" collapsed="false">
      <c r="A1415" s="11" t="s">
        <v>110</v>
      </c>
      <c r="B1415" s="11" t="s">
        <v>124</v>
      </c>
      <c r="C1415" s="11" t="n">
        <v>10</v>
      </c>
      <c r="D1415" s="11" t="s">
        <v>161</v>
      </c>
      <c r="E1415" s="11" t="s">
        <v>163</v>
      </c>
      <c r="F1415" s="11" t="s">
        <v>80</v>
      </c>
      <c r="G1415" s="12" t="n">
        <v>280</v>
      </c>
      <c r="H1415" s="12" t="n">
        <f aca="false">SUMPRODUCT(ПОТОКИ!B14:G14,ЧАСОВЫЕ_ПРОФИЛИ!B11:G11,КОЭФФИЦИЕНТЫ_ВЫБОРА!F20:K20)</f>
        <v>0</v>
      </c>
      <c r="I1415" s="12" t="n">
        <f aca="false">SUMPRODUCT(ПОТОКИ!B14:G14,ЧАСОВЫЕ_ПРОФИЛИ!B11:G11,КОЭФФИЦИЕНТЫ_ВЫБОРА!F20:K20,ПАРАМЕТРЫ!$B$17:$G$17)</f>
        <v>0</v>
      </c>
      <c r="J1415" s="12" t="n">
        <f aca="false">I1415*G1415/1000</f>
        <v>0</v>
      </c>
      <c r="K1415" s="11" t="s">
        <v>217</v>
      </c>
      <c r="L1415" s="11" t="s">
        <v>19</v>
      </c>
      <c r="M1415" s="11" t="s">
        <v>145</v>
      </c>
    </row>
    <row r="1416" customFormat="false" ht="15" hidden="false" customHeight="false" outlineLevel="0" collapsed="false">
      <c r="A1416" s="11" t="s">
        <v>110</v>
      </c>
      <c r="B1416" s="11" t="s">
        <v>124</v>
      </c>
      <c r="C1416" s="11" t="n">
        <v>11</v>
      </c>
      <c r="D1416" s="11" t="s">
        <v>161</v>
      </c>
      <c r="E1416" s="11" t="s">
        <v>164</v>
      </c>
      <c r="F1416" s="11" t="s">
        <v>80</v>
      </c>
      <c r="G1416" s="12" t="n">
        <v>270</v>
      </c>
      <c r="H1416" s="12" t="n">
        <f aca="false">SUMPRODUCT(ПОТОКИ!B14:G14,ЧАСОВЫЕ_ПРОФИЛИ!B11:G11,КОЭФФИЦИЕНТЫ_ВЫБОРА!F21:K21)</f>
        <v>0</v>
      </c>
      <c r="I1416" s="12" t="n">
        <f aca="false">SUMPRODUCT(ПОТОКИ!B14:G14,ЧАСОВЫЕ_ПРОФИЛИ!B11:G11,КОЭФФИЦИЕНТЫ_ВЫБОРА!F21:K21,ПАРАМЕТРЫ!$B$17:$G$17)</f>
        <v>0</v>
      </c>
      <c r="J1416" s="12" t="n">
        <f aca="false">I1416*G1416/1000</f>
        <v>0</v>
      </c>
      <c r="K1416" s="11" t="s">
        <v>217</v>
      </c>
      <c r="L1416" s="11" t="s">
        <v>19</v>
      </c>
      <c r="M1416" s="11" t="s">
        <v>145</v>
      </c>
    </row>
    <row r="1417" customFormat="false" ht="15" hidden="false" customHeight="false" outlineLevel="0" collapsed="false">
      <c r="A1417" s="11" t="s">
        <v>110</v>
      </c>
      <c r="B1417" s="11" t="s">
        <v>124</v>
      </c>
      <c r="C1417" s="11" t="n">
        <v>12</v>
      </c>
      <c r="D1417" s="11" t="s">
        <v>161</v>
      </c>
      <c r="E1417" s="11" t="s">
        <v>165</v>
      </c>
      <c r="F1417" s="11" t="s">
        <v>80</v>
      </c>
      <c r="G1417" s="12" t="n">
        <v>240</v>
      </c>
      <c r="H1417" s="12" t="n">
        <f aca="false">SUMPRODUCT(ПОТОКИ!B14:G14,ЧАСОВЫЕ_ПРОФИЛИ!B11:G11,КОЭФФИЦИЕНТЫ_ВЫБОРА!F22:K22)</f>
        <v>0</v>
      </c>
      <c r="I1417" s="12" t="n">
        <f aca="false">SUMPRODUCT(ПОТОКИ!B14:G14,ЧАСОВЫЕ_ПРОФИЛИ!B11:G11,КОЭФФИЦИЕНТЫ_ВЫБОРА!F22:K22,ПАРАМЕТРЫ!$B$17:$G$17)</f>
        <v>0</v>
      </c>
      <c r="J1417" s="12" t="n">
        <f aca="false">I1417*G1417/1000</f>
        <v>0</v>
      </c>
      <c r="K1417" s="11" t="s">
        <v>217</v>
      </c>
      <c r="L1417" s="11" t="s">
        <v>19</v>
      </c>
      <c r="M1417" s="11" t="s">
        <v>145</v>
      </c>
    </row>
    <row r="1418" customFormat="false" ht="15" hidden="false" customHeight="false" outlineLevel="0" collapsed="false">
      <c r="A1418" s="11" t="s">
        <v>110</v>
      </c>
      <c r="B1418" s="11" t="s">
        <v>124</v>
      </c>
      <c r="C1418" s="11" t="n">
        <v>13</v>
      </c>
      <c r="D1418" s="11" t="s">
        <v>166</v>
      </c>
      <c r="E1418" s="11" t="s">
        <v>167</v>
      </c>
      <c r="F1418" s="11" t="s">
        <v>80</v>
      </c>
      <c r="G1418" s="12" t="n">
        <v>130</v>
      </c>
      <c r="H1418" s="12" t="n">
        <f aca="false">SUMPRODUCT(ПОТОКИ!B14:G14,ЧАСОВЫЕ_ПРОФИЛИ!B11:G11,КОЭФФИЦИЕНТЫ_ВЫБОРА!F23:K23)</f>
        <v>0</v>
      </c>
      <c r="I1418" s="12" t="n">
        <f aca="false">SUMPRODUCT(ПОТОКИ!B14:G14,ЧАСОВЫЕ_ПРОФИЛИ!B11:G11,КОЭФФИЦИЕНТЫ_ВЫБОРА!F23:K23,ПАРАМЕТРЫ!$B$17:$G$17)</f>
        <v>0</v>
      </c>
      <c r="J1418" s="12" t="n">
        <f aca="false">I1418*G1418/1000</f>
        <v>0</v>
      </c>
      <c r="K1418" s="11" t="s">
        <v>217</v>
      </c>
      <c r="L1418" s="11" t="s">
        <v>19</v>
      </c>
      <c r="M1418" s="11" t="s">
        <v>145</v>
      </c>
    </row>
    <row r="1419" customFormat="false" ht="15" hidden="false" customHeight="false" outlineLevel="0" collapsed="false">
      <c r="A1419" s="11" t="s">
        <v>110</v>
      </c>
      <c r="B1419" s="11" t="s">
        <v>124</v>
      </c>
      <c r="C1419" s="11" t="n">
        <v>14</v>
      </c>
      <c r="D1419" s="11" t="s">
        <v>166</v>
      </c>
      <c r="E1419" s="11" t="s">
        <v>168</v>
      </c>
      <c r="F1419" s="11" t="s">
        <v>80</v>
      </c>
      <c r="G1419" s="12" t="n">
        <v>250</v>
      </c>
      <c r="H1419" s="12" t="n">
        <f aca="false">SUMPRODUCT(ПОТОКИ!B14:G14,ЧАСОВЫЕ_ПРОФИЛИ!B11:G11,КОЭФФИЦИЕНТЫ_ВЫБОРА!F24:K24)</f>
        <v>0</v>
      </c>
      <c r="I1419" s="12" t="n">
        <f aca="false">SUMPRODUCT(ПОТОКИ!B14:G14,ЧАСОВЫЕ_ПРОФИЛИ!B11:G11,КОЭФФИЦИЕНТЫ_ВЫБОРА!F24:K24,ПАРАМЕТРЫ!$B$17:$G$17)</f>
        <v>0</v>
      </c>
      <c r="J1419" s="12" t="n">
        <f aca="false">I1419*G1419/1000</f>
        <v>0</v>
      </c>
      <c r="K1419" s="11" t="s">
        <v>217</v>
      </c>
      <c r="L1419" s="11" t="s">
        <v>19</v>
      </c>
      <c r="M1419" s="11" t="s">
        <v>145</v>
      </c>
    </row>
    <row r="1420" customFormat="false" ht="15" hidden="false" customHeight="false" outlineLevel="0" collapsed="false">
      <c r="A1420" s="11" t="s">
        <v>110</v>
      </c>
      <c r="B1420" s="11" t="s">
        <v>124</v>
      </c>
      <c r="C1420" s="11" t="n">
        <v>15</v>
      </c>
      <c r="D1420" s="11" t="s">
        <v>166</v>
      </c>
      <c r="E1420" s="11" t="s">
        <v>169</v>
      </c>
      <c r="F1420" s="11" t="s">
        <v>80</v>
      </c>
      <c r="G1420" s="12" t="n">
        <v>120</v>
      </c>
      <c r="H1420" s="12" t="n">
        <f aca="false">SUMPRODUCT(ПОТОКИ!B14:G14,ЧАСОВЫЕ_ПРОФИЛИ!B11:G11,КОЭФФИЦИЕНТЫ_ВЫБОРА!F25:K25)</f>
        <v>0</v>
      </c>
      <c r="I1420" s="12" t="n">
        <f aca="false">SUMPRODUCT(ПОТОКИ!B14:G14,ЧАСОВЫЕ_ПРОФИЛИ!B11:G11,КОЭФФИЦИЕНТЫ_ВЫБОРА!F25:K25,ПАРАМЕТРЫ!$B$17:$G$17)</f>
        <v>0</v>
      </c>
      <c r="J1420" s="12" t="n">
        <f aca="false">I1420*G1420/1000</f>
        <v>0</v>
      </c>
      <c r="K1420" s="11" t="s">
        <v>217</v>
      </c>
      <c r="L1420" s="11" t="s">
        <v>19</v>
      </c>
      <c r="M1420" s="11" t="s">
        <v>145</v>
      </c>
    </row>
    <row r="1421" customFormat="false" ht="15" hidden="false" customHeight="false" outlineLevel="0" collapsed="false">
      <c r="A1421" s="11" t="s">
        <v>110</v>
      </c>
      <c r="B1421" s="11" t="s">
        <v>124</v>
      </c>
      <c r="C1421" s="11" t="n">
        <v>16</v>
      </c>
      <c r="D1421" s="11" t="s">
        <v>166</v>
      </c>
      <c r="E1421" s="11" t="s">
        <v>170</v>
      </c>
      <c r="F1421" s="11" t="s">
        <v>80</v>
      </c>
      <c r="G1421" s="12" t="n">
        <v>180</v>
      </c>
      <c r="H1421" s="12" t="n">
        <f aca="false">SUMPRODUCT(ПОТОКИ!B14:G14,ЧАСОВЫЕ_ПРОФИЛИ!B11:G11,КОЭФФИЦИЕНТЫ_ВЫБОРА!F26:K26)</f>
        <v>0</v>
      </c>
      <c r="I1421" s="12" t="n">
        <f aca="false">SUMPRODUCT(ПОТОКИ!B14:G14,ЧАСОВЫЕ_ПРОФИЛИ!B11:G11,КОЭФФИЦИЕНТЫ_ВЫБОРА!F26:K26,ПАРАМЕТРЫ!$B$17:$G$17)</f>
        <v>0</v>
      </c>
      <c r="J1421" s="12" t="n">
        <f aca="false">I1421*G1421/1000</f>
        <v>0</v>
      </c>
      <c r="K1421" s="11" t="s">
        <v>217</v>
      </c>
      <c r="L1421" s="11" t="s">
        <v>19</v>
      </c>
      <c r="M1421" s="11" t="s">
        <v>145</v>
      </c>
    </row>
    <row r="1422" customFormat="false" ht="15" hidden="false" customHeight="false" outlineLevel="0" collapsed="false">
      <c r="A1422" s="11" t="s">
        <v>110</v>
      </c>
      <c r="B1422" s="11" t="s">
        <v>124</v>
      </c>
      <c r="C1422" s="11" t="n">
        <v>17</v>
      </c>
      <c r="D1422" s="11" t="s">
        <v>166</v>
      </c>
      <c r="E1422" s="11" t="s">
        <v>171</v>
      </c>
      <c r="F1422" s="11" t="s">
        <v>80</v>
      </c>
      <c r="G1422" s="12" t="n">
        <v>180</v>
      </c>
      <c r="H1422" s="12" t="n">
        <f aca="false">SUMPRODUCT(ПОТОКИ!B14:G14,ЧАСОВЫЕ_ПРОФИЛИ!B11:G11,КОЭФФИЦИЕНТЫ_ВЫБОРА!F27:K27)</f>
        <v>0</v>
      </c>
      <c r="I1422" s="12" t="n">
        <f aca="false">SUMPRODUCT(ПОТОКИ!B14:G14,ЧАСОВЫЕ_ПРОФИЛИ!B11:G11,КОЭФФИЦИЕНТЫ_ВЫБОРА!F27:K27,ПАРАМЕТРЫ!$B$17:$G$17)</f>
        <v>0</v>
      </c>
      <c r="J1422" s="12" t="n">
        <f aca="false">I1422*G1422/1000</f>
        <v>0</v>
      </c>
      <c r="K1422" s="11" t="s">
        <v>217</v>
      </c>
      <c r="L1422" s="11" t="s">
        <v>19</v>
      </c>
      <c r="M1422" s="11" t="s">
        <v>145</v>
      </c>
    </row>
    <row r="1423" customFormat="false" ht="15" hidden="false" customHeight="false" outlineLevel="0" collapsed="false">
      <c r="A1423" s="11" t="s">
        <v>110</v>
      </c>
      <c r="B1423" s="11" t="s">
        <v>124</v>
      </c>
      <c r="C1423" s="11" t="n">
        <v>18</v>
      </c>
      <c r="D1423" s="11" t="s">
        <v>172</v>
      </c>
      <c r="E1423" s="11" t="s">
        <v>173</v>
      </c>
      <c r="F1423" s="11" t="s">
        <v>83</v>
      </c>
      <c r="G1423" s="12" t="n">
        <v>400</v>
      </c>
      <c r="H1423" s="12" t="n">
        <f aca="false">SUMPRODUCT(ПОТОКИ!B14:G14,ЧАСОВЫЕ_ПРОФИЛИ!B11:G11,КОЭФФИЦИЕНТЫ_ВЫБОРА!F28:K28)</f>
        <v>0</v>
      </c>
      <c r="I1423" s="12" t="n">
        <f aca="false">SUMPRODUCT(ПОТОКИ!B14:G14,ЧАСОВЫЕ_ПРОФИЛИ!B11:G11,КОЭФФИЦИЕНТЫ_ВЫБОРА!F28:K28,ПАРАМЕТРЫ!$B$17:$G$17)</f>
        <v>0</v>
      </c>
      <c r="J1423" s="12" t="n">
        <f aca="false">I1423*G1423/1000</f>
        <v>0</v>
      </c>
      <c r="K1423" s="11" t="s">
        <v>217</v>
      </c>
      <c r="L1423" s="11" t="s">
        <v>19</v>
      </c>
      <c r="M1423" s="11" t="s">
        <v>145</v>
      </c>
    </row>
    <row r="1424" customFormat="false" ht="23.85" hidden="false" customHeight="false" outlineLevel="0" collapsed="false">
      <c r="A1424" s="11" t="s">
        <v>110</v>
      </c>
      <c r="B1424" s="11" t="s">
        <v>124</v>
      </c>
      <c r="C1424" s="11" t="n">
        <v>19</v>
      </c>
      <c r="D1424" s="11" t="s">
        <v>174</v>
      </c>
      <c r="E1424" s="11" t="s">
        <v>175</v>
      </c>
      <c r="F1424" s="11" t="s">
        <v>83</v>
      </c>
      <c r="G1424" s="12" t="n">
        <v>300</v>
      </c>
      <c r="H1424" s="12" t="n">
        <f aca="false">SUMPRODUCT(ПОТОКИ!B14:G14,ЧАСОВЫЕ_ПРОФИЛИ!B11:G11,КОЭФФИЦИЕНТЫ_ВЫБОРА!F29:K29)</f>
        <v>0</v>
      </c>
      <c r="I1424" s="12" t="n">
        <f aca="false">SUMPRODUCT(ПОТОКИ!B14:G14,ЧАСОВЫЕ_ПРОФИЛИ!B11:G11,КОЭФФИЦИЕНТЫ_ВЫБОРА!F29:K29,ПАРАМЕТРЫ!$B$17:$G$17)</f>
        <v>0</v>
      </c>
      <c r="J1424" s="12" t="n">
        <f aca="false">I1424*G1424/1000</f>
        <v>0</v>
      </c>
      <c r="K1424" s="11" t="s">
        <v>217</v>
      </c>
      <c r="L1424" s="11" t="s">
        <v>19</v>
      </c>
      <c r="M1424" s="11" t="s">
        <v>145</v>
      </c>
    </row>
    <row r="1425" customFormat="false" ht="15" hidden="false" customHeight="false" outlineLevel="0" collapsed="false">
      <c r="A1425" s="11" t="s">
        <v>110</v>
      </c>
      <c r="B1425" s="11" t="s">
        <v>124</v>
      </c>
      <c r="C1425" s="11" t="n">
        <v>20</v>
      </c>
      <c r="D1425" s="11" t="s">
        <v>174</v>
      </c>
      <c r="E1425" s="11" t="s">
        <v>176</v>
      </c>
      <c r="F1425" s="11" t="s">
        <v>83</v>
      </c>
      <c r="G1425" s="12" t="n">
        <v>360</v>
      </c>
      <c r="H1425" s="12" t="n">
        <f aca="false">SUMPRODUCT(ПОТОКИ!B14:G14,ЧАСОВЫЕ_ПРОФИЛИ!B11:G11,КОЭФФИЦИЕНТЫ_ВЫБОРА!F30:K30)</f>
        <v>0</v>
      </c>
      <c r="I1425" s="12" t="n">
        <f aca="false">SUMPRODUCT(ПОТОКИ!B14:G14,ЧАСОВЫЕ_ПРОФИЛИ!B11:G11,КОЭФФИЦИЕНТЫ_ВЫБОРА!F30:K30,ПАРАМЕТРЫ!$B$17:$G$17)</f>
        <v>0</v>
      </c>
      <c r="J1425" s="12" t="n">
        <f aca="false">I1425*G1425/1000</f>
        <v>0</v>
      </c>
      <c r="K1425" s="11" t="s">
        <v>217</v>
      </c>
      <c r="L1425" s="11" t="s">
        <v>19</v>
      </c>
      <c r="M1425" s="11" t="s">
        <v>145</v>
      </c>
    </row>
    <row r="1426" customFormat="false" ht="15" hidden="false" customHeight="false" outlineLevel="0" collapsed="false">
      <c r="A1426" s="11" t="s">
        <v>110</v>
      </c>
      <c r="B1426" s="11" t="s">
        <v>124</v>
      </c>
      <c r="C1426" s="11" t="n">
        <v>21</v>
      </c>
      <c r="D1426" s="11" t="s">
        <v>174</v>
      </c>
      <c r="E1426" s="11" t="s">
        <v>177</v>
      </c>
      <c r="F1426" s="11" t="s">
        <v>83</v>
      </c>
      <c r="G1426" s="12" t="n">
        <v>350</v>
      </c>
      <c r="H1426" s="12" t="n">
        <f aca="false">SUMPRODUCT(ПОТОКИ!B14:G14,ЧАСОВЫЕ_ПРОФИЛИ!B11:G11,КОЭФФИЦИЕНТЫ_ВЫБОРА!F31:K31)</f>
        <v>0</v>
      </c>
      <c r="I1426" s="12" t="n">
        <f aca="false">SUMPRODUCT(ПОТОКИ!B14:G14,ЧАСОВЫЕ_ПРОФИЛИ!B11:G11,КОЭФФИЦИЕНТЫ_ВЫБОРА!F31:K31,ПАРАМЕТРЫ!$B$17:$G$17)</f>
        <v>0</v>
      </c>
      <c r="J1426" s="12" t="n">
        <f aca="false">I1426*G1426/1000</f>
        <v>0</v>
      </c>
      <c r="K1426" s="11" t="s">
        <v>217</v>
      </c>
      <c r="L1426" s="11" t="s">
        <v>19</v>
      </c>
      <c r="M1426" s="11" t="s">
        <v>145</v>
      </c>
    </row>
    <row r="1427" customFormat="false" ht="15" hidden="false" customHeight="false" outlineLevel="0" collapsed="false">
      <c r="A1427" s="11" t="s">
        <v>110</v>
      </c>
      <c r="B1427" s="11" t="s">
        <v>124</v>
      </c>
      <c r="C1427" s="11" t="n">
        <v>22</v>
      </c>
      <c r="D1427" s="11" t="s">
        <v>174</v>
      </c>
      <c r="E1427" s="11" t="s">
        <v>178</v>
      </c>
      <c r="F1427" s="11" t="s">
        <v>83</v>
      </c>
      <c r="G1427" s="12" t="n">
        <v>300</v>
      </c>
      <c r="H1427" s="12" t="n">
        <f aca="false">SUMPRODUCT(ПОТОКИ!B14:G14,ЧАСОВЫЕ_ПРОФИЛИ!B11:G11,КОЭФФИЦИЕНТЫ_ВЫБОРА!F32:K32)</f>
        <v>0</v>
      </c>
      <c r="I1427" s="12" t="n">
        <f aca="false">SUMPRODUCT(ПОТОКИ!B14:G14,ЧАСОВЫЕ_ПРОФИЛИ!B11:G11,КОЭФФИЦИЕНТЫ_ВЫБОРА!F32:K32,ПАРАМЕТРЫ!$B$17:$G$17)</f>
        <v>0</v>
      </c>
      <c r="J1427" s="12" t="n">
        <f aca="false">I1427*G1427/1000</f>
        <v>0</v>
      </c>
      <c r="K1427" s="11" t="s">
        <v>217</v>
      </c>
      <c r="L1427" s="11" t="s">
        <v>19</v>
      </c>
      <c r="M1427" s="11" t="s">
        <v>145</v>
      </c>
    </row>
    <row r="1428" customFormat="false" ht="15" hidden="false" customHeight="false" outlineLevel="0" collapsed="false">
      <c r="A1428" s="11" t="s">
        <v>110</v>
      </c>
      <c r="B1428" s="11" t="s">
        <v>124</v>
      </c>
      <c r="C1428" s="11" t="n">
        <v>23</v>
      </c>
      <c r="D1428" s="11" t="s">
        <v>86</v>
      </c>
      <c r="E1428" s="11" t="s">
        <v>179</v>
      </c>
      <c r="F1428" s="11" t="s">
        <v>85</v>
      </c>
      <c r="G1428" s="12" t="n">
        <v>150</v>
      </c>
      <c r="H1428" s="12" t="n">
        <f aca="false">SUMPRODUCT(ПОТОКИ!B14:G14,ЧАСОВЫЕ_ПРОФИЛИ!B11:G11,КОЭФФИЦИЕНТЫ_ВЫБОРА!F33:K33)</f>
        <v>0</v>
      </c>
      <c r="I1428" s="12" t="n">
        <f aca="false">SUMPRODUCT(ПОТОКИ!B14:G14,ЧАСОВЫЕ_ПРОФИЛИ!B11:G11,КОЭФФИЦИЕНТЫ_ВЫБОРА!F33:K33,ПАРАМЕТРЫ!$B$17:$G$17)</f>
        <v>0</v>
      </c>
      <c r="J1428" s="12" t="n">
        <f aca="false">I1428*G1428/1000</f>
        <v>0</v>
      </c>
      <c r="K1428" s="11" t="s">
        <v>217</v>
      </c>
      <c r="L1428" s="11" t="s">
        <v>19</v>
      </c>
      <c r="M1428" s="11" t="s">
        <v>147</v>
      </c>
    </row>
    <row r="1429" customFormat="false" ht="15" hidden="false" customHeight="false" outlineLevel="0" collapsed="false">
      <c r="A1429" s="11" t="s">
        <v>110</v>
      </c>
      <c r="B1429" s="11" t="s">
        <v>124</v>
      </c>
      <c r="C1429" s="11" t="n">
        <v>24</v>
      </c>
      <c r="D1429" s="11" t="s">
        <v>86</v>
      </c>
      <c r="E1429" s="11" t="s">
        <v>180</v>
      </c>
      <c r="F1429" s="11" t="s">
        <v>85</v>
      </c>
      <c r="G1429" s="12" t="n">
        <v>150</v>
      </c>
      <c r="H1429" s="12" t="n">
        <f aca="false">SUMPRODUCT(ПОТОКИ!B14:G14,ЧАСОВЫЕ_ПРОФИЛИ!B11:G11,КОЭФФИЦИЕНТЫ_ВЫБОРА!F34:K34)</f>
        <v>0</v>
      </c>
      <c r="I1429" s="12" t="n">
        <f aca="false">SUMPRODUCT(ПОТОКИ!B14:G14,ЧАСОВЫЕ_ПРОФИЛИ!B11:G11,КОЭФФИЦИЕНТЫ_ВЫБОРА!F34:K34,ПАРАМЕТРЫ!$B$17:$G$17)</f>
        <v>0</v>
      </c>
      <c r="J1429" s="12" t="n">
        <f aca="false">I1429*G1429/1000</f>
        <v>0</v>
      </c>
      <c r="K1429" s="11" t="s">
        <v>217</v>
      </c>
      <c r="L1429" s="11" t="s">
        <v>19</v>
      </c>
      <c r="M1429" s="11" t="s">
        <v>147</v>
      </c>
    </row>
    <row r="1430" customFormat="false" ht="15" hidden="false" customHeight="false" outlineLevel="0" collapsed="false">
      <c r="A1430" s="11" t="s">
        <v>110</v>
      </c>
      <c r="B1430" s="11" t="s">
        <v>124</v>
      </c>
      <c r="C1430" s="11" t="n">
        <v>25</v>
      </c>
      <c r="D1430" s="11" t="s">
        <v>86</v>
      </c>
      <c r="E1430" s="11" t="s">
        <v>181</v>
      </c>
      <c r="F1430" s="11" t="s">
        <v>85</v>
      </c>
      <c r="G1430" s="12" t="n">
        <v>150</v>
      </c>
      <c r="H1430" s="12" t="n">
        <f aca="false">SUMPRODUCT(ПОТОКИ!B14:G14,ЧАСОВЫЕ_ПРОФИЛИ!B11:G11,КОЭФФИЦИЕНТЫ_ВЫБОРА!F35:K35)</f>
        <v>0</v>
      </c>
      <c r="I1430" s="12" t="n">
        <f aca="false">SUMPRODUCT(ПОТОКИ!B14:G14,ЧАСОВЫЕ_ПРОФИЛИ!B11:G11,КОЭФФИЦИЕНТЫ_ВЫБОРА!F35:K35,ПАРАМЕТРЫ!$B$17:$G$17)</f>
        <v>0</v>
      </c>
      <c r="J1430" s="12" t="n">
        <f aca="false">I1430*G1430/1000</f>
        <v>0</v>
      </c>
      <c r="K1430" s="11" t="s">
        <v>217</v>
      </c>
      <c r="L1430" s="11" t="s">
        <v>19</v>
      </c>
      <c r="M1430" s="11" t="s">
        <v>147</v>
      </c>
    </row>
    <row r="1431" customFormat="false" ht="23.85" hidden="false" customHeight="false" outlineLevel="0" collapsed="false">
      <c r="A1431" s="11" t="s">
        <v>110</v>
      </c>
      <c r="B1431" s="11" t="s">
        <v>124</v>
      </c>
      <c r="C1431" s="11" t="n">
        <v>26</v>
      </c>
      <c r="D1431" s="11" t="s">
        <v>89</v>
      </c>
      <c r="E1431" s="11" t="s">
        <v>182</v>
      </c>
      <c r="F1431" s="11" t="s">
        <v>88</v>
      </c>
      <c r="G1431" s="12" t="n">
        <v>225</v>
      </c>
      <c r="H1431" s="12" t="n">
        <f aca="false">SUMPRODUCT(ПОТОКИ!B14:G14,ЧАСОВЫЕ_ПРОФИЛИ!B11:G11,КОЭФФИЦИЕНТЫ_ВЫБОРА!F36:K36)</f>
        <v>1.2375</v>
      </c>
      <c r="I1431" s="12" t="n">
        <f aca="false">SUMPRODUCT(ПОТОКИ!B14:G14,ЧАСОВЫЕ_ПРОФИЛИ!B11:G11,КОЭФФИЦИЕНТЫ_ВЫБОРА!F36:K36,ПАРАМЕТРЫ!$B$17:$G$17)</f>
        <v>1.2375</v>
      </c>
      <c r="J1431" s="12" t="n">
        <f aca="false">I1431*G1431/1000</f>
        <v>0.2784375</v>
      </c>
      <c r="K1431" s="11" t="s">
        <v>217</v>
      </c>
      <c r="L1431" s="11" t="s">
        <v>19</v>
      </c>
      <c r="M1431" s="11" t="s">
        <v>145</v>
      </c>
    </row>
    <row r="1432" customFormat="false" ht="23.85" hidden="false" customHeight="false" outlineLevel="0" collapsed="false">
      <c r="A1432" s="11" t="s">
        <v>110</v>
      </c>
      <c r="B1432" s="11" t="s">
        <v>124</v>
      </c>
      <c r="C1432" s="11" t="n">
        <v>27</v>
      </c>
      <c r="D1432" s="11" t="s">
        <v>89</v>
      </c>
      <c r="E1432" s="11" t="s">
        <v>183</v>
      </c>
      <c r="F1432" s="11" t="s">
        <v>88</v>
      </c>
      <c r="G1432" s="12" t="n">
        <v>265</v>
      </c>
      <c r="H1432" s="12" t="n">
        <f aca="false">SUMPRODUCT(ПОТОКИ!B14:G14,ЧАСОВЫЕ_ПРОФИЛИ!B11:G11,КОЭФФИЦИЕНТЫ_ВЫБОРА!F37:K37)</f>
        <v>1.2375</v>
      </c>
      <c r="I1432" s="12" t="n">
        <f aca="false">SUMPRODUCT(ПОТОКИ!B14:G14,ЧАСОВЫЕ_ПРОФИЛИ!B11:G11,КОЭФФИЦИЕНТЫ_ВЫБОРА!F37:K37,ПАРАМЕТРЫ!$B$17:$G$17)</f>
        <v>1.2375</v>
      </c>
      <c r="J1432" s="12" t="n">
        <f aca="false">I1432*G1432/1000</f>
        <v>0.3279375</v>
      </c>
      <c r="K1432" s="11" t="s">
        <v>217</v>
      </c>
      <c r="L1432" s="11" t="s">
        <v>19</v>
      </c>
      <c r="M1432" s="11" t="s">
        <v>145</v>
      </c>
    </row>
    <row r="1433" customFormat="false" ht="23.85" hidden="false" customHeight="false" outlineLevel="0" collapsed="false">
      <c r="A1433" s="11" t="s">
        <v>110</v>
      </c>
      <c r="B1433" s="11" t="s">
        <v>124</v>
      </c>
      <c r="C1433" s="11" t="n">
        <v>28</v>
      </c>
      <c r="D1433" s="11" t="s">
        <v>89</v>
      </c>
      <c r="E1433" s="11" t="s">
        <v>184</v>
      </c>
      <c r="F1433" s="11" t="s">
        <v>88</v>
      </c>
      <c r="G1433" s="12" t="n">
        <v>355</v>
      </c>
      <c r="H1433" s="12" t="n">
        <f aca="false">SUMPRODUCT(ПОТОКИ!B14:G14,ЧАСОВЫЕ_ПРОФИЛИ!B11:G11,КОЭФФИЦИЕНТЫ_ВЫБОРА!F38:K38)</f>
        <v>0.825</v>
      </c>
      <c r="I1433" s="12" t="n">
        <f aca="false">SUMPRODUCT(ПОТОКИ!B14:G14,ЧАСОВЫЕ_ПРОФИЛИ!B11:G11,КОЭФФИЦИЕНТЫ_ВЫБОРА!F38:K38,ПАРАМЕТРЫ!$B$17:$G$17)</f>
        <v>0.825</v>
      </c>
      <c r="J1433" s="12" t="n">
        <f aca="false">I1433*G1433/1000</f>
        <v>0.292875</v>
      </c>
      <c r="K1433" s="11" t="s">
        <v>217</v>
      </c>
      <c r="L1433" s="11" t="s">
        <v>19</v>
      </c>
      <c r="M1433" s="11" t="s">
        <v>145</v>
      </c>
    </row>
    <row r="1434" customFormat="false" ht="15" hidden="false" customHeight="false" outlineLevel="0" collapsed="false">
      <c r="A1434" s="11" t="s">
        <v>110</v>
      </c>
      <c r="B1434" s="11" t="s">
        <v>124</v>
      </c>
      <c r="C1434" s="11" t="n">
        <v>29</v>
      </c>
      <c r="D1434" s="11" t="s">
        <v>92</v>
      </c>
      <c r="E1434" s="11" t="s">
        <v>185</v>
      </c>
      <c r="F1434" s="11" t="s">
        <v>91</v>
      </c>
      <c r="G1434" s="12" t="n">
        <v>150</v>
      </c>
      <c r="H1434" s="12" t="n">
        <f aca="false">SUMPRODUCT(ПОТОКИ!B14:G14,ЧАСОВЫЕ_ПРОФИЛИ!B11:G11,КОЭФФИЦИЕНТЫ_ВЫБОРА!F39:K39)</f>
        <v>0.054</v>
      </c>
      <c r="I1434" s="12" t="n">
        <f aca="false">SUMPRODUCT(ПОТОКИ!B14:G14,ЧАСОВЫЕ_ПРОФИЛИ!B11:G11,КОЭФФИЦИЕНТЫ_ВЫБОРА!F39:K39,ПАРАМЕТРЫ!$B$17:$G$17)</f>
        <v>0.0594</v>
      </c>
      <c r="J1434" s="12" t="n">
        <f aca="false">I1434*G1434/1000</f>
        <v>0.00891</v>
      </c>
      <c r="K1434" s="11" t="s">
        <v>217</v>
      </c>
      <c r="L1434" s="11" t="s">
        <v>19</v>
      </c>
      <c r="M1434" s="11" t="s">
        <v>145</v>
      </c>
    </row>
    <row r="1435" customFormat="false" ht="15" hidden="false" customHeight="false" outlineLevel="0" collapsed="false">
      <c r="A1435" s="11" t="s">
        <v>110</v>
      </c>
      <c r="B1435" s="11" t="s">
        <v>124</v>
      </c>
      <c r="C1435" s="11" t="n">
        <v>30</v>
      </c>
      <c r="D1435" s="11" t="s">
        <v>92</v>
      </c>
      <c r="E1435" s="11" t="s">
        <v>186</v>
      </c>
      <c r="F1435" s="11" t="s">
        <v>91</v>
      </c>
      <c r="G1435" s="12" t="n">
        <v>120</v>
      </c>
      <c r="H1435" s="12" t="n">
        <f aca="false">SUMPRODUCT(ПОТОКИ!B14:G14,ЧАСОВЫЕ_ПРОФИЛИ!B11:G11,КОЭФФИЦИЕНТЫ_ВЫБОРА!F40:K40)</f>
        <v>0.054</v>
      </c>
      <c r="I1435" s="12" t="n">
        <f aca="false">SUMPRODUCT(ПОТОКИ!B14:G14,ЧАСОВЫЕ_ПРОФИЛИ!B11:G11,КОЭФФИЦИЕНТЫ_ВЫБОРА!F40:K40,ПАРАМЕТРЫ!$B$17:$G$17)</f>
        <v>0.0594</v>
      </c>
      <c r="J1435" s="12" t="n">
        <f aca="false">I1435*G1435/1000</f>
        <v>0.007128</v>
      </c>
      <c r="K1435" s="11" t="s">
        <v>217</v>
      </c>
      <c r="L1435" s="11" t="s">
        <v>19</v>
      </c>
      <c r="M1435" s="11" t="s">
        <v>145</v>
      </c>
    </row>
    <row r="1436" customFormat="false" ht="15" hidden="false" customHeight="false" outlineLevel="0" collapsed="false">
      <c r="A1436" s="11" t="s">
        <v>110</v>
      </c>
      <c r="B1436" s="11" t="s">
        <v>124</v>
      </c>
      <c r="C1436" s="11" t="n">
        <v>31</v>
      </c>
      <c r="D1436" s="11" t="s">
        <v>92</v>
      </c>
      <c r="E1436" s="11" t="s">
        <v>187</v>
      </c>
      <c r="F1436" s="11" t="s">
        <v>91</v>
      </c>
      <c r="G1436" s="12" t="n">
        <v>60</v>
      </c>
      <c r="H1436" s="12" t="n">
        <f aca="false">SUMPRODUCT(ПОТОКИ!B14:G14,ЧАСОВЫЕ_ПРОФИЛИ!B11:G11,КОЭФФИЦИЕНТЫ_ВЫБОРА!F41:K41)</f>
        <v>0.072</v>
      </c>
      <c r="I1436" s="12" t="n">
        <f aca="false">SUMPRODUCT(ПОТОКИ!B14:G14,ЧАСОВЫЕ_ПРОФИЛИ!B11:G11,КОЭФФИЦИЕНТЫ_ВЫБОРА!F41:K41,ПАРАМЕТРЫ!$B$17:$G$17)</f>
        <v>0.0792</v>
      </c>
      <c r="J1436" s="12" t="n">
        <f aca="false">I1436*G1436/1000</f>
        <v>0.004752</v>
      </c>
      <c r="K1436" s="11" t="s">
        <v>217</v>
      </c>
      <c r="L1436" s="11" t="s">
        <v>19</v>
      </c>
      <c r="M1436" s="11" t="s">
        <v>145</v>
      </c>
    </row>
    <row r="1437" customFormat="false" ht="15" hidden="false" customHeight="false" outlineLevel="0" collapsed="false">
      <c r="A1437" s="11" t="s">
        <v>110</v>
      </c>
      <c r="B1437" s="11" t="s">
        <v>125</v>
      </c>
      <c r="C1437" s="11" t="n">
        <v>1</v>
      </c>
      <c r="D1437" s="11" t="s">
        <v>74</v>
      </c>
      <c r="E1437" s="11" t="s">
        <v>153</v>
      </c>
      <c r="F1437" s="11" t="s">
        <v>73</v>
      </c>
      <c r="G1437" s="12" t="n">
        <v>450</v>
      </c>
      <c r="H1437" s="12" t="n">
        <f aca="false">SUMPRODUCT(ПОТОКИ!B14:G14,ЧАСОВЫЕ_ПРОФИЛИ!B12:G12,КОЭФФИЦИЕНТЫ_ВЫБОРА!F11:K11)</f>
        <v>0</v>
      </c>
      <c r="I1437" s="12" t="n">
        <f aca="false">SUMPRODUCT(ПОТОКИ!B14:G14,ЧАСОВЫЕ_ПРОФИЛИ!B12:G12,КОЭФФИЦИЕНТЫ_ВЫБОРА!F11:K11,ПАРАМЕТРЫ!$B$17:$G$17)</f>
        <v>0</v>
      </c>
      <c r="J1437" s="12" t="n">
        <f aca="false">I1437*G1437/1000</f>
        <v>0</v>
      </c>
      <c r="K1437" s="11" t="s">
        <v>217</v>
      </c>
      <c r="L1437" s="11" t="s">
        <v>19</v>
      </c>
      <c r="M1437" s="11" t="s">
        <v>145</v>
      </c>
    </row>
    <row r="1438" customFormat="false" ht="15" hidden="false" customHeight="false" outlineLevel="0" collapsed="false">
      <c r="A1438" s="11" t="s">
        <v>110</v>
      </c>
      <c r="B1438" s="11" t="s">
        <v>125</v>
      </c>
      <c r="C1438" s="11" t="n">
        <v>2</v>
      </c>
      <c r="D1438" s="11" t="s">
        <v>74</v>
      </c>
      <c r="E1438" s="11" t="s">
        <v>154</v>
      </c>
      <c r="F1438" s="11" t="s">
        <v>73</v>
      </c>
      <c r="G1438" s="12" t="n">
        <v>480</v>
      </c>
      <c r="H1438" s="12" t="n">
        <f aca="false">SUMPRODUCT(ПОТОКИ!B14:G14,ЧАСОВЫЕ_ПРОФИЛИ!B12:G12,КОЭФФИЦИЕНТЫ_ВЫБОРА!F12:K12)</f>
        <v>0</v>
      </c>
      <c r="I1438" s="12" t="n">
        <f aca="false">SUMPRODUCT(ПОТОКИ!B14:G14,ЧАСОВЫЕ_ПРОФИЛИ!B12:G12,КОЭФФИЦИЕНТЫ_ВЫБОРА!F12:K12,ПАРАМЕТРЫ!$B$17:$G$17)</f>
        <v>0</v>
      </c>
      <c r="J1438" s="12" t="n">
        <f aca="false">I1438*G1438/1000</f>
        <v>0</v>
      </c>
      <c r="K1438" s="11" t="s">
        <v>217</v>
      </c>
      <c r="L1438" s="11" t="s">
        <v>19</v>
      </c>
      <c r="M1438" s="11" t="s">
        <v>145</v>
      </c>
    </row>
    <row r="1439" customFormat="false" ht="15" hidden="false" customHeight="false" outlineLevel="0" collapsed="false">
      <c r="A1439" s="11" t="s">
        <v>110</v>
      </c>
      <c r="B1439" s="11" t="s">
        <v>125</v>
      </c>
      <c r="C1439" s="11" t="n">
        <v>3</v>
      </c>
      <c r="D1439" s="11" t="s">
        <v>74</v>
      </c>
      <c r="E1439" s="11" t="s">
        <v>155</v>
      </c>
      <c r="F1439" s="11" t="s">
        <v>73</v>
      </c>
      <c r="G1439" s="12" t="n">
        <v>500</v>
      </c>
      <c r="H1439" s="12" t="n">
        <f aca="false">SUMPRODUCT(ПОТОКИ!B14:G14,ЧАСОВЫЕ_ПРОФИЛИ!B12:G12,КОЭФФИЦИЕНТЫ_ВЫБОРА!F13:K13)</f>
        <v>0</v>
      </c>
      <c r="I1439" s="12" t="n">
        <f aca="false">SUMPRODUCT(ПОТОКИ!B14:G14,ЧАСОВЫЕ_ПРОФИЛИ!B12:G12,КОЭФФИЦИЕНТЫ_ВЫБОРА!F13:K13,ПАРАМЕТРЫ!$B$17:$G$17)</f>
        <v>0</v>
      </c>
      <c r="J1439" s="12" t="n">
        <f aca="false">I1439*G1439/1000</f>
        <v>0</v>
      </c>
      <c r="K1439" s="11" t="s">
        <v>217</v>
      </c>
      <c r="L1439" s="11" t="s">
        <v>19</v>
      </c>
      <c r="M1439" s="11" t="s">
        <v>145</v>
      </c>
    </row>
    <row r="1440" customFormat="false" ht="15" hidden="false" customHeight="false" outlineLevel="0" collapsed="false">
      <c r="A1440" s="11" t="s">
        <v>110</v>
      </c>
      <c r="B1440" s="11" t="s">
        <v>125</v>
      </c>
      <c r="C1440" s="11" t="n">
        <v>4</v>
      </c>
      <c r="D1440" s="11" t="s">
        <v>74</v>
      </c>
      <c r="E1440" s="11" t="s">
        <v>156</v>
      </c>
      <c r="F1440" s="11" t="s">
        <v>73</v>
      </c>
      <c r="G1440" s="12" t="n">
        <v>500</v>
      </c>
      <c r="H1440" s="12" t="n">
        <f aca="false">SUMPRODUCT(ПОТОКИ!B14:G14,ЧАСОВЫЕ_ПРОФИЛИ!B12:G12,КОЭФФИЦИЕНТЫ_ВЫБОРА!F14:K14)</f>
        <v>0</v>
      </c>
      <c r="I1440" s="12" t="n">
        <f aca="false">SUMPRODUCT(ПОТОКИ!B14:G14,ЧАСОВЫЕ_ПРОФИЛИ!B12:G12,КОЭФФИЦИЕНТЫ_ВЫБОРА!F14:K14,ПАРАМЕТРЫ!$B$17:$G$17)</f>
        <v>0</v>
      </c>
      <c r="J1440" s="12" t="n">
        <f aca="false">I1440*G1440/1000</f>
        <v>0</v>
      </c>
      <c r="K1440" s="11" t="s">
        <v>217</v>
      </c>
      <c r="L1440" s="11" t="s">
        <v>19</v>
      </c>
      <c r="M1440" s="11" t="s">
        <v>145</v>
      </c>
    </row>
    <row r="1441" customFormat="false" ht="15" hidden="false" customHeight="false" outlineLevel="0" collapsed="false">
      <c r="A1441" s="11" t="s">
        <v>110</v>
      </c>
      <c r="B1441" s="11" t="s">
        <v>125</v>
      </c>
      <c r="C1441" s="11" t="n">
        <v>5</v>
      </c>
      <c r="D1441" s="11" t="s">
        <v>78</v>
      </c>
      <c r="E1441" s="11" t="s">
        <v>157</v>
      </c>
      <c r="F1441" s="11" t="s">
        <v>77</v>
      </c>
      <c r="G1441" s="12" t="n">
        <v>100</v>
      </c>
      <c r="H1441" s="12" t="n">
        <f aca="false">SUMPRODUCT(ПОТОКИ!B14:G14,ЧАСОВЫЕ_ПРОФИЛИ!B12:G12,КОЭФФИЦИЕНТЫ_ВЫБОРА!F15:K15)</f>
        <v>0.18</v>
      </c>
      <c r="I1441" s="12" t="n">
        <f aca="false">SUMPRODUCT(ПОТОКИ!B14:G14,ЧАСОВЫЕ_ПРОФИЛИ!B12:G12,КОЭФФИЦИЕНТЫ_ВЫБОРА!F15:K15,ПАРАМЕТРЫ!$B$17:$G$17)</f>
        <v>0.198</v>
      </c>
      <c r="J1441" s="12" t="n">
        <f aca="false">I1441*G1441/1000</f>
        <v>0.0198</v>
      </c>
      <c r="K1441" s="11" t="s">
        <v>217</v>
      </c>
      <c r="L1441" s="11" t="s">
        <v>19</v>
      </c>
      <c r="M1441" s="11" t="s">
        <v>147</v>
      </c>
    </row>
    <row r="1442" customFormat="false" ht="15" hidden="false" customHeight="false" outlineLevel="0" collapsed="false">
      <c r="A1442" s="11" t="s">
        <v>110</v>
      </c>
      <c r="B1442" s="11" t="s">
        <v>125</v>
      </c>
      <c r="C1442" s="11" t="n">
        <v>6</v>
      </c>
      <c r="D1442" s="11" t="s">
        <v>78</v>
      </c>
      <c r="E1442" s="11" t="s">
        <v>158</v>
      </c>
      <c r="F1442" s="11" t="s">
        <v>77</v>
      </c>
      <c r="G1442" s="12" t="n">
        <v>100</v>
      </c>
      <c r="H1442" s="12" t="n">
        <f aca="false">SUMPRODUCT(ПОТОКИ!B14:G14,ЧАСОВЫЕ_ПРОФИЛИ!B12:G12,КОЭФФИЦИЕНТЫ_ВЫБОРА!F16:K16)</f>
        <v>0.18</v>
      </c>
      <c r="I1442" s="12" t="n">
        <f aca="false">SUMPRODUCT(ПОТОКИ!B14:G14,ЧАСОВЫЕ_ПРОФИЛИ!B12:G12,КОЭФФИЦИЕНТЫ_ВЫБОРА!F16:K16,ПАРАМЕТРЫ!$B$17:$G$17)</f>
        <v>0.198</v>
      </c>
      <c r="J1442" s="12" t="n">
        <f aca="false">I1442*G1442/1000</f>
        <v>0.0198</v>
      </c>
      <c r="K1442" s="11" t="s">
        <v>217</v>
      </c>
      <c r="L1442" s="11" t="s">
        <v>19</v>
      </c>
      <c r="M1442" s="11" t="s">
        <v>147</v>
      </c>
    </row>
    <row r="1443" customFormat="false" ht="15" hidden="false" customHeight="false" outlineLevel="0" collapsed="false">
      <c r="A1443" s="11" t="s">
        <v>110</v>
      </c>
      <c r="B1443" s="11" t="s">
        <v>125</v>
      </c>
      <c r="C1443" s="11" t="n">
        <v>7</v>
      </c>
      <c r="D1443" s="11" t="s">
        <v>78</v>
      </c>
      <c r="E1443" s="11" t="s">
        <v>159</v>
      </c>
      <c r="F1443" s="11" t="s">
        <v>77</v>
      </c>
      <c r="G1443" s="12" t="n">
        <v>350</v>
      </c>
      <c r="H1443" s="12" t="n">
        <f aca="false">SUMPRODUCT(ПОТОКИ!B14:G14,ЧАСОВЫЕ_ПРОФИЛИ!B12:G12,КОЭФФИЦИЕНТЫ_ВЫБОРА!F17:K17)</f>
        <v>0.15</v>
      </c>
      <c r="I1443" s="12" t="n">
        <f aca="false">SUMPRODUCT(ПОТОКИ!B14:G14,ЧАСОВЫЕ_ПРОФИЛИ!B12:G12,КОЭФФИЦИЕНТЫ_ВЫБОРА!F17:K17,ПАРАМЕТРЫ!$B$17:$G$17)</f>
        <v>0.165</v>
      </c>
      <c r="J1443" s="12" t="n">
        <f aca="false">I1443*G1443/1000</f>
        <v>0.05775</v>
      </c>
      <c r="K1443" s="11" t="s">
        <v>217</v>
      </c>
      <c r="L1443" s="11" t="s">
        <v>19</v>
      </c>
      <c r="M1443" s="11" t="s">
        <v>147</v>
      </c>
    </row>
    <row r="1444" customFormat="false" ht="15" hidden="false" customHeight="false" outlineLevel="0" collapsed="false">
      <c r="A1444" s="11" t="s">
        <v>110</v>
      </c>
      <c r="B1444" s="11" t="s">
        <v>125</v>
      </c>
      <c r="C1444" s="11" t="n">
        <v>8</v>
      </c>
      <c r="D1444" s="11" t="s">
        <v>78</v>
      </c>
      <c r="E1444" s="11" t="s">
        <v>160</v>
      </c>
      <c r="F1444" s="11" t="s">
        <v>77</v>
      </c>
      <c r="G1444" s="12" t="n">
        <v>85</v>
      </c>
      <c r="H1444" s="12" t="n">
        <f aca="false">SUMPRODUCT(ПОТОКИ!B14:G14,ЧАСОВЫЕ_ПРОФИЛИ!B12:G12,КОЭФФИЦИЕНТЫ_ВЫБОРА!F18:K18)</f>
        <v>0.09</v>
      </c>
      <c r="I1444" s="12" t="n">
        <f aca="false">SUMPRODUCT(ПОТОКИ!B14:G14,ЧАСОВЫЕ_ПРОФИЛИ!B12:G12,КОЭФФИЦИЕНТЫ_ВЫБОРА!F18:K18,ПАРАМЕТРЫ!$B$17:$G$17)</f>
        <v>0.099</v>
      </c>
      <c r="J1444" s="12" t="n">
        <f aca="false">I1444*G1444/1000</f>
        <v>0.008415</v>
      </c>
      <c r="K1444" s="11" t="s">
        <v>217</v>
      </c>
      <c r="L1444" s="11" t="s">
        <v>19</v>
      </c>
      <c r="M1444" s="11" t="s">
        <v>147</v>
      </c>
    </row>
    <row r="1445" customFormat="false" ht="15" hidden="false" customHeight="false" outlineLevel="0" collapsed="false">
      <c r="A1445" s="11" t="s">
        <v>110</v>
      </c>
      <c r="B1445" s="11" t="s">
        <v>125</v>
      </c>
      <c r="C1445" s="11" t="n">
        <v>9</v>
      </c>
      <c r="D1445" s="11" t="s">
        <v>161</v>
      </c>
      <c r="E1445" s="11" t="s">
        <v>162</v>
      </c>
      <c r="F1445" s="11" t="s">
        <v>80</v>
      </c>
      <c r="G1445" s="12" t="n">
        <v>300</v>
      </c>
      <c r="H1445" s="12" t="n">
        <f aca="false">SUMPRODUCT(ПОТОКИ!B14:G14,ЧАСОВЫЕ_ПРОФИЛИ!B12:G12,КОЭФФИЦИЕНТЫ_ВЫБОРА!F19:K19)</f>
        <v>0</v>
      </c>
      <c r="I1445" s="12" t="n">
        <f aca="false">SUMPRODUCT(ПОТОКИ!B14:G14,ЧАСОВЫЕ_ПРОФИЛИ!B12:G12,КОЭФФИЦИЕНТЫ_ВЫБОРА!F19:K19,ПАРАМЕТРЫ!$B$17:$G$17)</f>
        <v>0</v>
      </c>
      <c r="J1445" s="12" t="n">
        <f aca="false">I1445*G1445/1000</f>
        <v>0</v>
      </c>
      <c r="K1445" s="11" t="s">
        <v>217</v>
      </c>
      <c r="L1445" s="11" t="s">
        <v>19</v>
      </c>
      <c r="M1445" s="11" t="s">
        <v>145</v>
      </c>
    </row>
    <row r="1446" customFormat="false" ht="15" hidden="false" customHeight="false" outlineLevel="0" collapsed="false">
      <c r="A1446" s="11" t="s">
        <v>110</v>
      </c>
      <c r="B1446" s="11" t="s">
        <v>125</v>
      </c>
      <c r="C1446" s="11" t="n">
        <v>10</v>
      </c>
      <c r="D1446" s="11" t="s">
        <v>161</v>
      </c>
      <c r="E1446" s="11" t="s">
        <v>163</v>
      </c>
      <c r="F1446" s="11" t="s">
        <v>80</v>
      </c>
      <c r="G1446" s="12" t="n">
        <v>280</v>
      </c>
      <c r="H1446" s="12" t="n">
        <f aca="false">SUMPRODUCT(ПОТОКИ!B14:G14,ЧАСОВЫЕ_ПРОФИЛИ!B12:G12,КОЭФФИЦИЕНТЫ_ВЫБОРА!F20:K20)</f>
        <v>0</v>
      </c>
      <c r="I1446" s="12" t="n">
        <f aca="false">SUMPRODUCT(ПОТОКИ!B14:G14,ЧАСОВЫЕ_ПРОФИЛИ!B12:G12,КОЭФФИЦИЕНТЫ_ВЫБОРА!F20:K20,ПАРАМЕТРЫ!$B$17:$G$17)</f>
        <v>0</v>
      </c>
      <c r="J1446" s="12" t="n">
        <f aca="false">I1446*G1446/1000</f>
        <v>0</v>
      </c>
      <c r="K1446" s="11" t="s">
        <v>217</v>
      </c>
      <c r="L1446" s="11" t="s">
        <v>19</v>
      </c>
      <c r="M1446" s="11" t="s">
        <v>145</v>
      </c>
    </row>
    <row r="1447" customFormat="false" ht="15" hidden="false" customHeight="false" outlineLevel="0" collapsed="false">
      <c r="A1447" s="11" t="s">
        <v>110</v>
      </c>
      <c r="B1447" s="11" t="s">
        <v>125</v>
      </c>
      <c r="C1447" s="11" t="n">
        <v>11</v>
      </c>
      <c r="D1447" s="11" t="s">
        <v>161</v>
      </c>
      <c r="E1447" s="11" t="s">
        <v>164</v>
      </c>
      <c r="F1447" s="11" t="s">
        <v>80</v>
      </c>
      <c r="G1447" s="12" t="n">
        <v>270</v>
      </c>
      <c r="H1447" s="12" t="n">
        <f aca="false">SUMPRODUCT(ПОТОКИ!B14:G14,ЧАСОВЫЕ_ПРОФИЛИ!B12:G12,КОЭФФИЦИЕНТЫ_ВЫБОРА!F21:K21)</f>
        <v>0</v>
      </c>
      <c r="I1447" s="12" t="n">
        <f aca="false">SUMPRODUCT(ПОТОКИ!B14:G14,ЧАСОВЫЕ_ПРОФИЛИ!B12:G12,КОЭФФИЦИЕНТЫ_ВЫБОРА!F21:K21,ПАРАМЕТРЫ!$B$17:$G$17)</f>
        <v>0</v>
      </c>
      <c r="J1447" s="12" t="n">
        <f aca="false">I1447*G1447/1000</f>
        <v>0</v>
      </c>
      <c r="K1447" s="11" t="s">
        <v>217</v>
      </c>
      <c r="L1447" s="11" t="s">
        <v>19</v>
      </c>
      <c r="M1447" s="11" t="s">
        <v>145</v>
      </c>
    </row>
    <row r="1448" customFormat="false" ht="15" hidden="false" customHeight="false" outlineLevel="0" collapsed="false">
      <c r="A1448" s="11" t="s">
        <v>110</v>
      </c>
      <c r="B1448" s="11" t="s">
        <v>125</v>
      </c>
      <c r="C1448" s="11" t="n">
        <v>12</v>
      </c>
      <c r="D1448" s="11" t="s">
        <v>161</v>
      </c>
      <c r="E1448" s="11" t="s">
        <v>165</v>
      </c>
      <c r="F1448" s="11" t="s">
        <v>80</v>
      </c>
      <c r="G1448" s="12" t="n">
        <v>240</v>
      </c>
      <c r="H1448" s="12" t="n">
        <f aca="false">SUMPRODUCT(ПОТОКИ!B14:G14,ЧАСОВЫЕ_ПРОФИЛИ!B12:G12,КОЭФФИЦИЕНТЫ_ВЫБОРА!F22:K22)</f>
        <v>0</v>
      </c>
      <c r="I1448" s="12" t="n">
        <f aca="false">SUMPRODUCT(ПОТОКИ!B14:G14,ЧАСОВЫЕ_ПРОФИЛИ!B12:G12,КОЭФФИЦИЕНТЫ_ВЫБОРА!F22:K22,ПАРАМЕТРЫ!$B$17:$G$17)</f>
        <v>0</v>
      </c>
      <c r="J1448" s="12" t="n">
        <f aca="false">I1448*G1448/1000</f>
        <v>0</v>
      </c>
      <c r="K1448" s="11" t="s">
        <v>217</v>
      </c>
      <c r="L1448" s="11" t="s">
        <v>19</v>
      </c>
      <c r="M1448" s="11" t="s">
        <v>145</v>
      </c>
    </row>
    <row r="1449" customFormat="false" ht="15" hidden="false" customHeight="false" outlineLevel="0" collapsed="false">
      <c r="A1449" s="11" t="s">
        <v>110</v>
      </c>
      <c r="B1449" s="11" t="s">
        <v>125</v>
      </c>
      <c r="C1449" s="11" t="n">
        <v>13</v>
      </c>
      <c r="D1449" s="11" t="s">
        <v>166</v>
      </c>
      <c r="E1449" s="11" t="s">
        <v>167</v>
      </c>
      <c r="F1449" s="11" t="s">
        <v>80</v>
      </c>
      <c r="G1449" s="12" t="n">
        <v>130</v>
      </c>
      <c r="H1449" s="12" t="n">
        <f aca="false">SUMPRODUCT(ПОТОКИ!B14:G14,ЧАСОВЫЕ_ПРОФИЛИ!B12:G12,КОЭФФИЦИЕНТЫ_ВЫБОРА!F23:K23)</f>
        <v>0</v>
      </c>
      <c r="I1449" s="12" t="n">
        <f aca="false">SUMPRODUCT(ПОТОКИ!B14:G14,ЧАСОВЫЕ_ПРОФИЛИ!B12:G12,КОЭФФИЦИЕНТЫ_ВЫБОРА!F23:K23,ПАРАМЕТРЫ!$B$17:$G$17)</f>
        <v>0</v>
      </c>
      <c r="J1449" s="12" t="n">
        <f aca="false">I1449*G1449/1000</f>
        <v>0</v>
      </c>
      <c r="K1449" s="11" t="s">
        <v>217</v>
      </c>
      <c r="L1449" s="11" t="s">
        <v>19</v>
      </c>
      <c r="M1449" s="11" t="s">
        <v>145</v>
      </c>
    </row>
    <row r="1450" customFormat="false" ht="15" hidden="false" customHeight="false" outlineLevel="0" collapsed="false">
      <c r="A1450" s="11" t="s">
        <v>110</v>
      </c>
      <c r="B1450" s="11" t="s">
        <v>125</v>
      </c>
      <c r="C1450" s="11" t="n">
        <v>14</v>
      </c>
      <c r="D1450" s="11" t="s">
        <v>166</v>
      </c>
      <c r="E1450" s="11" t="s">
        <v>168</v>
      </c>
      <c r="F1450" s="11" t="s">
        <v>80</v>
      </c>
      <c r="G1450" s="12" t="n">
        <v>250</v>
      </c>
      <c r="H1450" s="12" t="n">
        <f aca="false">SUMPRODUCT(ПОТОКИ!B14:G14,ЧАСОВЫЕ_ПРОФИЛИ!B12:G12,КОЭФФИЦИЕНТЫ_ВЫБОРА!F24:K24)</f>
        <v>0</v>
      </c>
      <c r="I1450" s="12" t="n">
        <f aca="false">SUMPRODUCT(ПОТОКИ!B14:G14,ЧАСОВЫЕ_ПРОФИЛИ!B12:G12,КОЭФФИЦИЕНТЫ_ВЫБОРА!F24:K24,ПАРАМЕТРЫ!$B$17:$G$17)</f>
        <v>0</v>
      </c>
      <c r="J1450" s="12" t="n">
        <f aca="false">I1450*G1450/1000</f>
        <v>0</v>
      </c>
      <c r="K1450" s="11" t="s">
        <v>217</v>
      </c>
      <c r="L1450" s="11" t="s">
        <v>19</v>
      </c>
      <c r="M1450" s="11" t="s">
        <v>145</v>
      </c>
    </row>
    <row r="1451" customFormat="false" ht="15" hidden="false" customHeight="false" outlineLevel="0" collapsed="false">
      <c r="A1451" s="11" t="s">
        <v>110</v>
      </c>
      <c r="B1451" s="11" t="s">
        <v>125</v>
      </c>
      <c r="C1451" s="11" t="n">
        <v>15</v>
      </c>
      <c r="D1451" s="11" t="s">
        <v>166</v>
      </c>
      <c r="E1451" s="11" t="s">
        <v>169</v>
      </c>
      <c r="F1451" s="11" t="s">
        <v>80</v>
      </c>
      <c r="G1451" s="12" t="n">
        <v>120</v>
      </c>
      <c r="H1451" s="12" t="n">
        <f aca="false">SUMPRODUCT(ПОТОКИ!B14:G14,ЧАСОВЫЕ_ПРОФИЛИ!B12:G12,КОЭФФИЦИЕНТЫ_ВЫБОРА!F25:K25)</f>
        <v>0</v>
      </c>
      <c r="I1451" s="12" t="n">
        <f aca="false">SUMPRODUCT(ПОТОКИ!B14:G14,ЧАСОВЫЕ_ПРОФИЛИ!B12:G12,КОЭФФИЦИЕНТЫ_ВЫБОРА!F25:K25,ПАРАМЕТРЫ!$B$17:$G$17)</f>
        <v>0</v>
      </c>
      <c r="J1451" s="12" t="n">
        <f aca="false">I1451*G1451/1000</f>
        <v>0</v>
      </c>
      <c r="K1451" s="11" t="s">
        <v>217</v>
      </c>
      <c r="L1451" s="11" t="s">
        <v>19</v>
      </c>
      <c r="M1451" s="11" t="s">
        <v>145</v>
      </c>
    </row>
    <row r="1452" customFormat="false" ht="15" hidden="false" customHeight="false" outlineLevel="0" collapsed="false">
      <c r="A1452" s="11" t="s">
        <v>110</v>
      </c>
      <c r="B1452" s="11" t="s">
        <v>125</v>
      </c>
      <c r="C1452" s="11" t="n">
        <v>16</v>
      </c>
      <c r="D1452" s="11" t="s">
        <v>166</v>
      </c>
      <c r="E1452" s="11" t="s">
        <v>170</v>
      </c>
      <c r="F1452" s="11" t="s">
        <v>80</v>
      </c>
      <c r="G1452" s="12" t="n">
        <v>180</v>
      </c>
      <c r="H1452" s="12" t="n">
        <f aca="false">SUMPRODUCT(ПОТОКИ!B14:G14,ЧАСОВЫЕ_ПРОФИЛИ!B12:G12,КОЭФФИЦИЕНТЫ_ВЫБОРА!F26:K26)</f>
        <v>0</v>
      </c>
      <c r="I1452" s="12" t="n">
        <f aca="false">SUMPRODUCT(ПОТОКИ!B14:G14,ЧАСОВЫЕ_ПРОФИЛИ!B12:G12,КОЭФФИЦИЕНТЫ_ВЫБОРА!F26:K26,ПАРАМЕТРЫ!$B$17:$G$17)</f>
        <v>0</v>
      </c>
      <c r="J1452" s="12" t="n">
        <f aca="false">I1452*G1452/1000</f>
        <v>0</v>
      </c>
      <c r="K1452" s="11" t="s">
        <v>217</v>
      </c>
      <c r="L1452" s="11" t="s">
        <v>19</v>
      </c>
      <c r="M1452" s="11" t="s">
        <v>145</v>
      </c>
    </row>
    <row r="1453" customFormat="false" ht="15" hidden="false" customHeight="false" outlineLevel="0" collapsed="false">
      <c r="A1453" s="11" t="s">
        <v>110</v>
      </c>
      <c r="B1453" s="11" t="s">
        <v>125</v>
      </c>
      <c r="C1453" s="11" t="n">
        <v>17</v>
      </c>
      <c r="D1453" s="11" t="s">
        <v>166</v>
      </c>
      <c r="E1453" s="11" t="s">
        <v>171</v>
      </c>
      <c r="F1453" s="11" t="s">
        <v>80</v>
      </c>
      <c r="G1453" s="12" t="n">
        <v>180</v>
      </c>
      <c r="H1453" s="12" t="n">
        <f aca="false">SUMPRODUCT(ПОТОКИ!B14:G14,ЧАСОВЫЕ_ПРОФИЛИ!B12:G12,КОЭФФИЦИЕНТЫ_ВЫБОРА!F27:K27)</f>
        <v>0</v>
      </c>
      <c r="I1453" s="12" t="n">
        <f aca="false">SUMPRODUCT(ПОТОКИ!B14:G14,ЧАСОВЫЕ_ПРОФИЛИ!B12:G12,КОЭФФИЦИЕНТЫ_ВЫБОРА!F27:K27,ПАРАМЕТРЫ!$B$17:$G$17)</f>
        <v>0</v>
      </c>
      <c r="J1453" s="12" t="n">
        <f aca="false">I1453*G1453/1000</f>
        <v>0</v>
      </c>
      <c r="K1453" s="11" t="s">
        <v>217</v>
      </c>
      <c r="L1453" s="11" t="s">
        <v>19</v>
      </c>
      <c r="M1453" s="11" t="s">
        <v>145</v>
      </c>
    </row>
    <row r="1454" customFormat="false" ht="15" hidden="false" customHeight="false" outlineLevel="0" collapsed="false">
      <c r="A1454" s="11" t="s">
        <v>110</v>
      </c>
      <c r="B1454" s="11" t="s">
        <v>125</v>
      </c>
      <c r="C1454" s="11" t="n">
        <v>18</v>
      </c>
      <c r="D1454" s="11" t="s">
        <v>172</v>
      </c>
      <c r="E1454" s="11" t="s">
        <v>173</v>
      </c>
      <c r="F1454" s="11" t="s">
        <v>83</v>
      </c>
      <c r="G1454" s="12" t="n">
        <v>400</v>
      </c>
      <c r="H1454" s="12" t="n">
        <f aca="false">SUMPRODUCT(ПОТОКИ!B14:G14,ЧАСОВЫЕ_ПРОФИЛИ!B12:G12,КОЭФФИЦИЕНТЫ_ВЫБОРА!F28:K28)</f>
        <v>0</v>
      </c>
      <c r="I1454" s="12" t="n">
        <f aca="false">SUMPRODUCT(ПОТОКИ!B14:G14,ЧАСОВЫЕ_ПРОФИЛИ!B12:G12,КОЭФФИЦИЕНТЫ_ВЫБОРА!F28:K28,ПАРАМЕТРЫ!$B$17:$G$17)</f>
        <v>0</v>
      </c>
      <c r="J1454" s="12" t="n">
        <f aca="false">I1454*G1454/1000</f>
        <v>0</v>
      </c>
      <c r="K1454" s="11" t="s">
        <v>217</v>
      </c>
      <c r="L1454" s="11" t="s">
        <v>19</v>
      </c>
      <c r="M1454" s="11" t="s">
        <v>145</v>
      </c>
    </row>
    <row r="1455" customFormat="false" ht="23.85" hidden="false" customHeight="false" outlineLevel="0" collapsed="false">
      <c r="A1455" s="11" t="s">
        <v>110</v>
      </c>
      <c r="B1455" s="11" t="s">
        <v>125</v>
      </c>
      <c r="C1455" s="11" t="n">
        <v>19</v>
      </c>
      <c r="D1455" s="11" t="s">
        <v>174</v>
      </c>
      <c r="E1455" s="11" t="s">
        <v>175</v>
      </c>
      <c r="F1455" s="11" t="s">
        <v>83</v>
      </c>
      <c r="G1455" s="12" t="n">
        <v>300</v>
      </c>
      <c r="H1455" s="12" t="n">
        <f aca="false">SUMPRODUCT(ПОТОКИ!B14:G14,ЧАСОВЫЕ_ПРОФИЛИ!B12:G12,КОЭФФИЦИЕНТЫ_ВЫБОРА!F29:K29)</f>
        <v>0</v>
      </c>
      <c r="I1455" s="12" t="n">
        <f aca="false">SUMPRODUCT(ПОТОКИ!B14:G14,ЧАСОВЫЕ_ПРОФИЛИ!B12:G12,КОЭФФИЦИЕНТЫ_ВЫБОРА!F29:K29,ПАРАМЕТРЫ!$B$17:$G$17)</f>
        <v>0</v>
      </c>
      <c r="J1455" s="12" t="n">
        <f aca="false">I1455*G1455/1000</f>
        <v>0</v>
      </c>
      <c r="K1455" s="11" t="s">
        <v>217</v>
      </c>
      <c r="L1455" s="11" t="s">
        <v>19</v>
      </c>
      <c r="M1455" s="11" t="s">
        <v>145</v>
      </c>
    </row>
    <row r="1456" customFormat="false" ht="15" hidden="false" customHeight="false" outlineLevel="0" collapsed="false">
      <c r="A1456" s="11" t="s">
        <v>110</v>
      </c>
      <c r="B1456" s="11" t="s">
        <v>125</v>
      </c>
      <c r="C1456" s="11" t="n">
        <v>20</v>
      </c>
      <c r="D1456" s="11" t="s">
        <v>174</v>
      </c>
      <c r="E1456" s="11" t="s">
        <v>176</v>
      </c>
      <c r="F1456" s="11" t="s">
        <v>83</v>
      </c>
      <c r="G1456" s="12" t="n">
        <v>360</v>
      </c>
      <c r="H1456" s="12" t="n">
        <f aca="false">SUMPRODUCT(ПОТОКИ!B14:G14,ЧАСОВЫЕ_ПРОФИЛИ!B12:G12,КОЭФФИЦИЕНТЫ_ВЫБОРА!F30:K30)</f>
        <v>0</v>
      </c>
      <c r="I1456" s="12" t="n">
        <f aca="false">SUMPRODUCT(ПОТОКИ!B14:G14,ЧАСОВЫЕ_ПРОФИЛИ!B12:G12,КОЭФФИЦИЕНТЫ_ВЫБОРА!F30:K30,ПАРАМЕТРЫ!$B$17:$G$17)</f>
        <v>0</v>
      </c>
      <c r="J1456" s="12" t="n">
        <f aca="false">I1456*G1456/1000</f>
        <v>0</v>
      </c>
      <c r="K1456" s="11" t="s">
        <v>217</v>
      </c>
      <c r="L1456" s="11" t="s">
        <v>19</v>
      </c>
      <c r="M1456" s="11" t="s">
        <v>145</v>
      </c>
    </row>
    <row r="1457" customFormat="false" ht="15" hidden="false" customHeight="false" outlineLevel="0" collapsed="false">
      <c r="A1457" s="11" t="s">
        <v>110</v>
      </c>
      <c r="B1457" s="11" t="s">
        <v>125</v>
      </c>
      <c r="C1457" s="11" t="n">
        <v>21</v>
      </c>
      <c r="D1457" s="11" t="s">
        <v>174</v>
      </c>
      <c r="E1457" s="11" t="s">
        <v>177</v>
      </c>
      <c r="F1457" s="11" t="s">
        <v>83</v>
      </c>
      <c r="G1457" s="12" t="n">
        <v>350</v>
      </c>
      <c r="H1457" s="12" t="n">
        <f aca="false">SUMPRODUCT(ПОТОКИ!B14:G14,ЧАСОВЫЕ_ПРОФИЛИ!B12:G12,КОЭФФИЦИЕНТЫ_ВЫБОРА!F31:K31)</f>
        <v>0</v>
      </c>
      <c r="I1457" s="12" t="n">
        <f aca="false">SUMPRODUCT(ПОТОКИ!B14:G14,ЧАСОВЫЕ_ПРОФИЛИ!B12:G12,КОЭФФИЦИЕНТЫ_ВЫБОРА!F31:K31,ПАРАМЕТРЫ!$B$17:$G$17)</f>
        <v>0</v>
      </c>
      <c r="J1457" s="12" t="n">
        <f aca="false">I1457*G1457/1000</f>
        <v>0</v>
      </c>
      <c r="K1457" s="11" t="s">
        <v>217</v>
      </c>
      <c r="L1457" s="11" t="s">
        <v>19</v>
      </c>
      <c r="M1457" s="11" t="s">
        <v>145</v>
      </c>
    </row>
    <row r="1458" customFormat="false" ht="15" hidden="false" customHeight="false" outlineLevel="0" collapsed="false">
      <c r="A1458" s="11" t="s">
        <v>110</v>
      </c>
      <c r="B1458" s="11" t="s">
        <v>125</v>
      </c>
      <c r="C1458" s="11" t="n">
        <v>22</v>
      </c>
      <c r="D1458" s="11" t="s">
        <v>174</v>
      </c>
      <c r="E1458" s="11" t="s">
        <v>178</v>
      </c>
      <c r="F1458" s="11" t="s">
        <v>83</v>
      </c>
      <c r="G1458" s="12" t="n">
        <v>300</v>
      </c>
      <c r="H1458" s="12" t="n">
        <f aca="false">SUMPRODUCT(ПОТОКИ!B14:G14,ЧАСОВЫЕ_ПРОФИЛИ!B12:G12,КОЭФФИЦИЕНТЫ_ВЫБОРА!F32:K32)</f>
        <v>0</v>
      </c>
      <c r="I1458" s="12" t="n">
        <f aca="false">SUMPRODUCT(ПОТОКИ!B14:G14,ЧАСОВЫЕ_ПРОФИЛИ!B12:G12,КОЭФФИЦИЕНТЫ_ВЫБОРА!F32:K32,ПАРАМЕТРЫ!$B$17:$G$17)</f>
        <v>0</v>
      </c>
      <c r="J1458" s="12" t="n">
        <f aca="false">I1458*G1458/1000</f>
        <v>0</v>
      </c>
      <c r="K1458" s="11" t="s">
        <v>217</v>
      </c>
      <c r="L1458" s="11" t="s">
        <v>19</v>
      </c>
      <c r="M1458" s="11" t="s">
        <v>145</v>
      </c>
    </row>
    <row r="1459" customFormat="false" ht="15" hidden="false" customHeight="false" outlineLevel="0" collapsed="false">
      <c r="A1459" s="11" t="s">
        <v>110</v>
      </c>
      <c r="B1459" s="11" t="s">
        <v>125</v>
      </c>
      <c r="C1459" s="11" t="n">
        <v>23</v>
      </c>
      <c r="D1459" s="11" t="s">
        <v>86</v>
      </c>
      <c r="E1459" s="11" t="s">
        <v>179</v>
      </c>
      <c r="F1459" s="11" t="s">
        <v>85</v>
      </c>
      <c r="G1459" s="12" t="n">
        <v>150</v>
      </c>
      <c r="H1459" s="12" t="n">
        <f aca="false">SUMPRODUCT(ПОТОКИ!B14:G14,ЧАСОВЫЕ_ПРОФИЛИ!B12:G12,КОЭФФИЦИЕНТЫ_ВЫБОРА!F33:K33)</f>
        <v>0</v>
      </c>
      <c r="I1459" s="12" t="n">
        <f aca="false">SUMPRODUCT(ПОТОКИ!B14:G14,ЧАСОВЫЕ_ПРОФИЛИ!B12:G12,КОЭФФИЦИЕНТЫ_ВЫБОРА!F33:K33,ПАРАМЕТРЫ!$B$17:$G$17)</f>
        <v>0</v>
      </c>
      <c r="J1459" s="12" t="n">
        <f aca="false">I1459*G1459/1000</f>
        <v>0</v>
      </c>
      <c r="K1459" s="11" t="s">
        <v>217</v>
      </c>
      <c r="L1459" s="11" t="s">
        <v>19</v>
      </c>
      <c r="M1459" s="11" t="s">
        <v>147</v>
      </c>
    </row>
    <row r="1460" customFormat="false" ht="15" hidden="false" customHeight="false" outlineLevel="0" collapsed="false">
      <c r="A1460" s="11" t="s">
        <v>110</v>
      </c>
      <c r="B1460" s="11" t="s">
        <v>125</v>
      </c>
      <c r="C1460" s="11" t="n">
        <v>24</v>
      </c>
      <c r="D1460" s="11" t="s">
        <v>86</v>
      </c>
      <c r="E1460" s="11" t="s">
        <v>180</v>
      </c>
      <c r="F1460" s="11" t="s">
        <v>85</v>
      </c>
      <c r="G1460" s="12" t="n">
        <v>150</v>
      </c>
      <c r="H1460" s="12" t="n">
        <f aca="false">SUMPRODUCT(ПОТОКИ!B14:G14,ЧАСОВЫЕ_ПРОФИЛИ!B12:G12,КОЭФФИЦИЕНТЫ_ВЫБОРА!F34:K34)</f>
        <v>0</v>
      </c>
      <c r="I1460" s="12" t="n">
        <f aca="false">SUMPRODUCT(ПОТОКИ!B14:G14,ЧАСОВЫЕ_ПРОФИЛИ!B12:G12,КОЭФФИЦИЕНТЫ_ВЫБОРА!F34:K34,ПАРАМЕТРЫ!$B$17:$G$17)</f>
        <v>0</v>
      </c>
      <c r="J1460" s="12" t="n">
        <f aca="false">I1460*G1460/1000</f>
        <v>0</v>
      </c>
      <c r="K1460" s="11" t="s">
        <v>217</v>
      </c>
      <c r="L1460" s="11" t="s">
        <v>19</v>
      </c>
      <c r="M1460" s="11" t="s">
        <v>147</v>
      </c>
    </row>
    <row r="1461" customFormat="false" ht="15" hidden="false" customHeight="false" outlineLevel="0" collapsed="false">
      <c r="A1461" s="11" t="s">
        <v>110</v>
      </c>
      <c r="B1461" s="11" t="s">
        <v>125</v>
      </c>
      <c r="C1461" s="11" t="n">
        <v>25</v>
      </c>
      <c r="D1461" s="11" t="s">
        <v>86</v>
      </c>
      <c r="E1461" s="11" t="s">
        <v>181</v>
      </c>
      <c r="F1461" s="11" t="s">
        <v>85</v>
      </c>
      <c r="G1461" s="12" t="n">
        <v>150</v>
      </c>
      <c r="H1461" s="12" t="n">
        <f aca="false">SUMPRODUCT(ПОТОКИ!B14:G14,ЧАСОВЫЕ_ПРОФИЛИ!B12:G12,КОЭФФИЦИЕНТЫ_ВЫБОРА!F35:K35)</f>
        <v>0</v>
      </c>
      <c r="I1461" s="12" t="n">
        <f aca="false">SUMPRODUCT(ПОТОКИ!B14:G14,ЧАСОВЫЕ_ПРОФИЛИ!B12:G12,КОЭФФИЦИЕНТЫ_ВЫБОРА!F35:K35,ПАРАМЕТРЫ!$B$17:$G$17)</f>
        <v>0</v>
      </c>
      <c r="J1461" s="12" t="n">
        <f aca="false">I1461*G1461/1000</f>
        <v>0</v>
      </c>
      <c r="K1461" s="11" t="s">
        <v>217</v>
      </c>
      <c r="L1461" s="11" t="s">
        <v>19</v>
      </c>
      <c r="M1461" s="11" t="s">
        <v>147</v>
      </c>
    </row>
    <row r="1462" customFormat="false" ht="23.85" hidden="false" customHeight="false" outlineLevel="0" collapsed="false">
      <c r="A1462" s="11" t="s">
        <v>110</v>
      </c>
      <c r="B1462" s="11" t="s">
        <v>125</v>
      </c>
      <c r="C1462" s="11" t="n">
        <v>26</v>
      </c>
      <c r="D1462" s="11" t="s">
        <v>89</v>
      </c>
      <c r="E1462" s="11" t="s">
        <v>182</v>
      </c>
      <c r="F1462" s="11" t="s">
        <v>88</v>
      </c>
      <c r="G1462" s="12" t="n">
        <v>225</v>
      </c>
      <c r="H1462" s="12" t="n">
        <f aca="false">SUMPRODUCT(ПОТОКИ!B14:G14,ЧАСОВЫЕ_ПРОФИЛИ!B12:G12,КОЭФФИЦИЕНТЫ_ВЫБОРА!F36:K36)</f>
        <v>2.8875</v>
      </c>
      <c r="I1462" s="12" t="n">
        <f aca="false">SUMPRODUCT(ПОТОКИ!B14:G14,ЧАСОВЫЕ_ПРОФИЛИ!B12:G12,КОЭФФИЦИЕНТЫ_ВЫБОРА!F36:K36,ПАРАМЕТРЫ!$B$17:$G$17)</f>
        <v>2.8875</v>
      </c>
      <c r="J1462" s="12" t="n">
        <f aca="false">I1462*G1462/1000</f>
        <v>0.6496875</v>
      </c>
      <c r="K1462" s="11" t="s">
        <v>217</v>
      </c>
      <c r="L1462" s="11" t="s">
        <v>19</v>
      </c>
      <c r="M1462" s="11" t="s">
        <v>145</v>
      </c>
    </row>
    <row r="1463" customFormat="false" ht="23.85" hidden="false" customHeight="false" outlineLevel="0" collapsed="false">
      <c r="A1463" s="11" t="s">
        <v>110</v>
      </c>
      <c r="B1463" s="11" t="s">
        <v>125</v>
      </c>
      <c r="C1463" s="11" t="n">
        <v>27</v>
      </c>
      <c r="D1463" s="11" t="s">
        <v>89</v>
      </c>
      <c r="E1463" s="11" t="s">
        <v>183</v>
      </c>
      <c r="F1463" s="11" t="s">
        <v>88</v>
      </c>
      <c r="G1463" s="12" t="n">
        <v>265</v>
      </c>
      <c r="H1463" s="12" t="n">
        <f aca="false">SUMPRODUCT(ПОТОКИ!B14:G14,ЧАСОВЫЕ_ПРОФИЛИ!B12:G12,КОЭФФИЦИЕНТЫ_ВЫБОРА!F37:K37)</f>
        <v>2.8875</v>
      </c>
      <c r="I1463" s="12" t="n">
        <f aca="false">SUMPRODUCT(ПОТОКИ!B14:G14,ЧАСОВЫЕ_ПРОФИЛИ!B12:G12,КОЭФФИЦИЕНТЫ_ВЫБОРА!F37:K37,ПАРАМЕТРЫ!$B$17:$G$17)</f>
        <v>2.8875</v>
      </c>
      <c r="J1463" s="12" t="n">
        <f aca="false">I1463*G1463/1000</f>
        <v>0.7651875</v>
      </c>
      <c r="K1463" s="11" t="s">
        <v>217</v>
      </c>
      <c r="L1463" s="11" t="s">
        <v>19</v>
      </c>
      <c r="M1463" s="11" t="s">
        <v>145</v>
      </c>
    </row>
    <row r="1464" customFormat="false" ht="23.85" hidden="false" customHeight="false" outlineLevel="0" collapsed="false">
      <c r="A1464" s="11" t="s">
        <v>110</v>
      </c>
      <c r="B1464" s="11" t="s">
        <v>125</v>
      </c>
      <c r="C1464" s="11" t="n">
        <v>28</v>
      </c>
      <c r="D1464" s="11" t="s">
        <v>89</v>
      </c>
      <c r="E1464" s="11" t="s">
        <v>184</v>
      </c>
      <c r="F1464" s="11" t="s">
        <v>88</v>
      </c>
      <c r="G1464" s="12" t="n">
        <v>355</v>
      </c>
      <c r="H1464" s="12" t="n">
        <f aca="false">SUMPRODUCT(ПОТОКИ!B14:G14,ЧАСОВЫЕ_ПРОФИЛИ!B12:G12,КОЭФФИЦИЕНТЫ_ВЫБОРА!F38:K38)</f>
        <v>1.925</v>
      </c>
      <c r="I1464" s="12" t="n">
        <f aca="false">SUMPRODUCT(ПОТОКИ!B14:G14,ЧАСОВЫЕ_ПРОФИЛИ!B12:G12,КОЭФФИЦИЕНТЫ_ВЫБОРА!F38:K38,ПАРАМЕТРЫ!$B$17:$G$17)</f>
        <v>1.925</v>
      </c>
      <c r="J1464" s="12" t="n">
        <f aca="false">I1464*G1464/1000</f>
        <v>0.683375</v>
      </c>
      <c r="K1464" s="11" t="s">
        <v>217</v>
      </c>
      <c r="L1464" s="11" t="s">
        <v>19</v>
      </c>
      <c r="M1464" s="11" t="s">
        <v>145</v>
      </c>
    </row>
    <row r="1465" customFormat="false" ht="15" hidden="false" customHeight="false" outlineLevel="0" collapsed="false">
      <c r="A1465" s="11" t="s">
        <v>110</v>
      </c>
      <c r="B1465" s="11" t="s">
        <v>125</v>
      </c>
      <c r="C1465" s="11" t="n">
        <v>29</v>
      </c>
      <c r="D1465" s="11" t="s">
        <v>92</v>
      </c>
      <c r="E1465" s="11" t="s">
        <v>185</v>
      </c>
      <c r="F1465" s="11" t="s">
        <v>91</v>
      </c>
      <c r="G1465" s="12" t="n">
        <v>150</v>
      </c>
      <c r="H1465" s="12" t="n">
        <f aca="false">SUMPRODUCT(ПОТОКИ!B14:G14,ЧАСОВЫЕ_ПРОФИЛИ!B12:G12,КОЭФФИЦИЕНТЫ_ВЫБОРА!F39:K39)</f>
        <v>0.09</v>
      </c>
      <c r="I1465" s="12" t="n">
        <f aca="false">SUMPRODUCT(ПОТОКИ!B14:G14,ЧАСОВЫЕ_ПРОФИЛИ!B12:G12,КОЭФФИЦИЕНТЫ_ВЫБОРА!F39:K39,ПАРАМЕТРЫ!$B$17:$G$17)</f>
        <v>0.099</v>
      </c>
      <c r="J1465" s="12" t="n">
        <f aca="false">I1465*G1465/1000</f>
        <v>0.01485</v>
      </c>
      <c r="K1465" s="11" t="s">
        <v>217</v>
      </c>
      <c r="L1465" s="11" t="s">
        <v>19</v>
      </c>
      <c r="M1465" s="11" t="s">
        <v>145</v>
      </c>
    </row>
    <row r="1466" customFormat="false" ht="15" hidden="false" customHeight="false" outlineLevel="0" collapsed="false">
      <c r="A1466" s="11" t="s">
        <v>110</v>
      </c>
      <c r="B1466" s="11" t="s">
        <v>125</v>
      </c>
      <c r="C1466" s="11" t="n">
        <v>30</v>
      </c>
      <c r="D1466" s="11" t="s">
        <v>92</v>
      </c>
      <c r="E1466" s="11" t="s">
        <v>186</v>
      </c>
      <c r="F1466" s="11" t="s">
        <v>91</v>
      </c>
      <c r="G1466" s="12" t="n">
        <v>120</v>
      </c>
      <c r="H1466" s="12" t="n">
        <f aca="false">SUMPRODUCT(ПОТОКИ!B14:G14,ЧАСОВЫЕ_ПРОФИЛИ!B12:G12,КОЭФФИЦИЕНТЫ_ВЫБОРА!F40:K40)</f>
        <v>0.09</v>
      </c>
      <c r="I1466" s="12" t="n">
        <f aca="false">SUMPRODUCT(ПОТОКИ!B14:G14,ЧАСОВЫЕ_ПРОФИЛИ!B12:G12,КОЭФФИЦИЕНТЫ_ВЫБОРА!F40:K40,ПАРАМЕТРЫ!$B$17:$G$17)</f>
        <v>0.099</v>
      </c>
      <c r="J1466" s="12" t="n">
        <f aca="false">I1466*G1466/1000</f>
        <v>0.01188</v>
      </c>
      <c r="K1466" s="11" t="s">
        <v>217</v>
      </c>
      <c r="L1466" s="11" t="s">
        <v>19</v>
      </c>
      <c r="M1466" s="11" t="s">
        <v>145</v>
      </c>
    </row>
    <row r="1467" customFormat="false" ht="15" hidden="false" customHeight="false" outlineLevel="0" collapsed="false">
      <c r="A1467" s="11" t="s">
        <v>110</v>
      </c>
      <c r="B1467" s="11" t="s">
        <v>125</v>
      </c>
      <c r="C1467" s="11" t="n">
        <v>31</v>
      </c>
      <c r="D1467" s="11" t="s">
        <v>92</v>
      </c>
      <c r="E1467" s="11" t="s">
        <v>187</v>
      </c>
      <c r="F1467" s="11" t="s">
        <v>91</v>
      </c>
      <c r="G1467" s="12" t="n">
        <v>60</v>
      </c>
      <c r="H1467" s="12" t="n">
        <f aca="false">SUMPRODUCT(ПОТОКИ!B14:G14,ЧАСОВЫЕ_ПРОФИЛИ!B12:G12,КОЭФФИЦИЕНТЫ_ВЫБОРА!F41:K41)</f>
        <v>0.12</v>
      </c>
      <c r="I1467" s="12" t="n">
        <f aca="false">SUMPRODUCT(ПОТОКИ!B14:G14,ЧАСОВЫЕ_ПРОФИЛИ!B12:G12,КОЭФФИЦИЕНТЫ_ВЫБОРА!F41:K41,ПАРАМЕТРЫ!$B$17:$G$17)</f>
        <v>0.132</v>
      </c>
      <c r="J1467" s="12" t="n">
        <f aca="false">I1467*G1467/1000</f>
        <v>0.00792</v>
      </c>
      <c r="K1467" s="11" t="s">
        <v>217</v>
      </c>
      <c r="L1467" s="11" t="s">
        <v>19</v>
      </c>
      <c r="M1467" s="11" t="s">
        <v>145</v>
      </c>
    </row>
    <row r="1468" customFormat="false" ht="15" hidden="false" customHeight="false" outlineLevel="0" collapsed="false">
      <c r="A1468" s="11" t="s">
        <v>110</v>
      </c>
      <c r="B1468" s="11" t="s">
        <v>126</v>
      </c>
      <c r="C1468" s="11" t="n">
        <v>1</v>
      </c>
      <c r="D1468" s="11" t="s">
        <v>74</v>
      </c>
      <c r="E1468" s="11" t="s">
        <v>153</v>
      </c>
      <c r="F1468" s="11" t="s">
        <v>73</v>
      </c>
      <c r="G1468" s="12" t="n">
        <v>450</v>
      </c>
      <c r="H1468" s="12" t="n">
        <f aca="false">SUMPRODUCT(ПОТОКИ!B14:G14,ЧАСОВЫЕ_ПРОФИЛИ!B13:G13,КОЭФФИЦИЕНТЫ_ВЫБОРА!F11:K11)</f>
        <v>0</v>
      </c>
      <c r="I1468" s="12" t="n">
        <f aca="false">SUMPRODUCT(ПОТОКИ!B14:G14,ЧАСОВЫЕ_ПРОФИЛИ!B13:G13,КОЭФФИЦИЕНТЫ_ВЫБОРА!F11:K11,ПАРАМЕТРЫ!$B$17:$G$17)</f>
        <v>0</v>
      </c>
      <c r="J1468" s="12" t="n">
        <f aca="false">I1468*G1468/1000</f>
        <v>0</v>
      </c>
      <c r="K1468" s="11" t="s">
        <v>217</v>
      </c>
      <c r="L1468" s="11" t="s">
        <v>19</v>
      </c>
      <c r="M1468" s="11" t="s">
        <v>145</v>
      </c>
    </row>
    <row r="1469" customFormat="false" ht="15" hidden="false" customHeight="false" outlineLevel="0" collapsed="false">
      <c r="A1469" s="11" t="s">
        <v>110</v>
      </c>
      <c r="B1469" s="11" t="s">
        <v>126</v>
      </c>
      <c r="C1469" s="11" t="n">
        <v>2</v>
      </c>
      <c r="D1469" s="11" t="s">
        <v>74</v>
      </c>
      <c r="E1469" s="11" t="s">
        <v>154</v>
      </c>
      <c r="F1469" s="11" t="s">
        <v>73</v>
      </c>
      <c r="G1469" s="12" t="n">
        <v>480</v>
      </c>
      <c r="H1469" s="12" t="n">
        <f aca="false">SUMPRODUCT(ПОТОКИ!B14:G14,ЧАСОВЫЕ_ПРОФИЛИ!B13:G13,КОЭФФИЦИЕНТЫ_ВЫБОРА!F12:K12)</f>
        <v>0</v>
      </c>
      <c r="I1469" s="12" t="n">
        <f aca="false">SUMPRODUCT(ПОТОКИ!B14:G14,ЧАСОВЫЕ_ПРОФИЛИ!B13:G13,КОЭФФИЦИЕНТЫ_ВЫБОРА!F12:K12,ПАРАМЕТРЫ!$B$17:$G$17)</f>
        <v>0</v>
      </c>
      <c r="J1469" s="12" t="n">
        <f aca="false">I1469*G1469/1000</f>
        <v>0</v>
      </c>
      <c r="K1469" s="11" t="s">
        <v>217</v>
      </c>
      <c r="L1469" s="11" t="s">
        <v>19</v>
      </c>
      <c r="M1469" s="11" t="s">
        <v>145</v>
      </c>
    </row>
    <row r="1470" customFormat="false" ht="15" hidden="false" customHeight="false" outlineLevel="0" collapsed="false">
      <c r="A1470" s="11" t="s">
        <v>110</v>
      </c>
      <c r="B1470" s="11" t="s">
        <v>126</v>
      </c>
      <c r="C1470" s="11" t="n">
        <v>3</v>
      </c>
      <c r="D1470" s="11" t="s">
        <v>74</v>
      </c>
      <c r="E1470" s="11" t="s">
        <v>155</v>
      </c>
      <c r="F1470" s="11" t="s">
        <v>73</v>
      </c>
      <c r="G1470" s="12" t="n">
        <v>500</v>
      </c>
      <c r="H1470" s="12" t="n">
        <f aca="false">SUMPRODUCT(ПОТОКИ!B14:G14,ЧАСОВЫЕ_ПРОФИЛИ!B13:G13,КОЭФФИЦИЕНТЫ_ВЫБОРА!F13:K13)</f>
        <v>0</v>
      </c>
      <c r="I1470" s="12" t="n">
        <f aca="false">SUMPRODUCT(ПОТОКИ!B14:G14,ЧАСОВЫЕ_ПРОФИЛИ!B13:G13,КОЭФФИЦИЕНТЫ_ВЫБОРА!F13:K13,ПАРАМЕТРЫ!$B$17:$G$17)</f>
        <v>0</v>
      </c>
      <c r="J1470" s="12" t="n">
        <f aca="false">I1470*G1470/1000</f>
        <v>0</v>
      </c>
      <c r="K1470" s="11" t="s">
        <v>217</v>
      </c>
      <c r="L1470" s="11" t="s">
        <v>19</v>
      </c>
      <c r="M1470" s="11" t="s">
        <v>145</v>
      </c>
    </row>
    <row r="1471" customFormat="false" ht="15" hidden="false" customHeight="false" outlineLevel="0" collapsed="false">
      <c r="A1471" s="11" t="s">
        <v>110</v>
      </c>
      <c r="B1471" s="11" t="s">
        <v>126</v>
      </c>
      <c r="C1471" s="11" t="n">
        <v>4</v>
      </c>
      <c r="D1471" s="11" t="s">
        <v>74</v>
      </c>
      <c r="E1471" s="11" t="s">
        <v>156</v>
      </c>
      <c r="F1471" s="11" t="s">
        <v>73</v>
      </c>
      <c r="G1471" s="12" t="n">
        <v>500</v>
      </c>
      <c r="H1471" s="12" t="n">
        <f aca="false">SUMPRODUCT(ПОТОКИ!B14:G14,ЧАСОВЫЕ_ПРОФИЛИ!B13:G13,КОЭФФИЦИЕНТЫ_ВЫБОРА!F14:K14)</f>
        <v>0</v>
      </c>
      <c r="I1471" s="12" t="n">
        <f aca="false">SUMPRODUCT(ПОТОКИ!B14:G14,ЧАСОВЫЕ_ПРОФИЛИ!B13:G13,КОЭФФИЦИЕНТЫ_ВЫБОРА!F14:K14,ПАРАМЕТРЫ!$B$17:$G$17)</f>
        <v>0</v>
      </c>
      <c r="J1471" s="12" t="n">
        <f aca="false">I1471*G1471/1000</f>
        <v>0</v>
      </c>
      <c r="K1471" s="11" t="s">
        <v>217</v>
      </c>
      <c r="L1471" s="11" t="s">
        <v>19</v>
      </c>
      <c r="M1471" s="11" t="s">
        <v>145</v>
      </c>
    </row>
    <row r="1472" customFormat="false" ht="15" hidden="false" customHeight="false" outlineLevel="0" collapsed="false">
      <c r="A1472" s="11" t="s">
        <v>110</v>
      </c>
      <c r="B1472" s="11" t="s">
        <v>126</v>
      </c>
      <c r="C1472" s="11" t="n">
        <v>5</v>
      </c>
      <c r="D1472" s="11" t="s">
        <v>78</v>
      </c>
      <c r="E1472" s="11" t="s">
        <v>157</v>
      </c>
      <c r="F1472" s="11" t="s">
        <v>77</v>
      </c>
      <c r="G1472" s="12" t="n">
        <v>100</v>
      </c>
      <c r="H1472" s="12" t="n">
        <f aca="false">SUMPRODUCT(ПОТОКИ!B14:G14,ЧАСОВЫЕ_ПРОФИЛИ!B13:G13,КОЭФФИЦИЕНТЫ_ВЫБОРА!F15:K15)</f>
        <v>0.216</v>
      </c>
      <c r="I1472" s="12" t="n">
        <f aca="false">SUMPRODUCT(ПОТОКИ!B14:G14,ЧАСОВЫЕ_ПРОФИЛИ!B13:G13,КОЭФФИЦИЕНТЫ_ВЫБОРА!F15:K15,ПАРАМЕТРЫ!$B$17:$G$17)</f>
        <v>0.2376</v>
      </c>
      <c r="J1472" s="12" t="n">
        <f aca="false">I1472*G1472/1000</f>
        <v>0.02376</v>
      </c>
      <c r="K1472" s="11" t="s">
        <v>217</v>
      </c>
      <c r="L1472" s="11" t="s">
        <v>19</v>
      </c>
      <c r="M1472" s="11" t="s">
        <v>147</v>
      </c>
    </row>
    <row r="1473" customFormat="false" ht="15" hidden="false" customHeight="false" outlineLevel="0" collapsed="false">
      <c r="A1473" s="11" t="s">
        <v>110</v>
      </c>
      <c r="B1473" s="11" t="s">
        <v>126</v>
      </c>
      <c r="C1473" s="11" t="n">
        <v>6</v>
      </c>
      <c r="D1473" s="11" t="s">
        <v>78</v>
      </c>
      <c r="E1473" s="11" t="s">
        <v>158</v>
      </c>
      <c r="F1473" s="11" t="s">
        <v>77</v>
      </c>
      <c r="G1473" s="12" t="n">
        <v>100</v>
      </c>
      <c r="H1473" s="12" t="n">
        <f aca="false">SUMPRODUCT(ПОТОКИ!B14:G14,ЧАСОВЫЕ_ПРОФИЛИ!B13:G13,КОЭФФИЦИЕНТЫ_ВЫБОРА!F16:K16)</f>
        <v>0.216</v>
      </c>
      <c r="I1473" s="12" t="n">
        <f aca="false">SUMPRODUCT(ПОТОКИ!B14:G14,ЧАСОВЫЕ_ПРОФИЛИ!B13:G13,КОЭФФИЦИЕНТЫ_ВЫБОРА!F16:K16,ПАРАМЕТРЫ!$B$17:$G$17)</f>
        <v>0.2376</v>
      </c>
      <c r="J1473" s="12" t="n">
        <f aca="false">I1473*G1473/1000</f>
        <v>0.02376</v>
      </c>
      <c r="K1473" s="11" t="s">
        <v>217</v>
      </c>
      <c r="L1473" s="11" t="s">
        <v>19</v>
      </c>
      <c r="M1473" s="11" t="s">
        <v>147</v>
      </c>
    </row>
    <row r="1474" customFormat="false" ht="15" hidden="false" customHeight="false" outlineLevel="0" collapsed="false">
      <c r="A1474" s="11" t="s">
        <v>110</v>
      </c>
      <c r="B1474" s="11" t="s">
        <v>126</v>
      </c>
      <c r="C1474" s="11" t="n">
        <v>7</v>
      </c>
      <c r="D1474" s="11" t="s">
        <v>78</v>
      </c>
      <c r="E1474" s="11" t="s">
        <v>159</v>
      </c>
      <c r="F1474" s="11" t="s">
        <v>77</v>
      </c>
      <c r="G1474" s="12" t="n">
        <v>350</v>
      </c>
      <c r="H1474" s="12" t="n">
        <f aca="false">SUMPRODUCT(ПОТОКИ!B14:G14,ЧАСОВЫЕ_ПРОФИЛИ!B13:G13,КОЭФФИЦИЕНТЫ_ВЫБОРА!F17:K17)</f>
        <v>0.18</v>
      </c>
      <c r="I1474" s="12" t="n">
        <f aca="false">SUMPRODUCT(ПОТОКИ!B14:G14,ЧАСОВЫЕ_ПРОФИЛИ!B13:G13,КОЭФФИЦИЕНТЫ_ВЫБОРА!F17:K17,ПАРАМЕТРЫ!$B$17:$G$17)</f>
        <v>0.198</v>
      </c>
      <c r="J1474" s="12" t="n">
        <f aca="false">I1474*G1474/1000</f>
        <v>0.0693</v>
      </c>
      <c r="K1474" s="11" t="s">
        <v>217</v>
      </c>
      <c r="L1474" s="11" t="s">
        <v>19</v>
      </c>
      <c r="M1474" s="11" t="s">
        <v>147</v>
      </c>
    </row>
    <row r="1475" customFormat="false" ht="15" hidden="false" customHeight="false" outlineLevel="0" collapsed="false">
      <c r="A1475" s="11" t="s">
        <v>110</v>
      </c>
      <c r="B1475" s="11" t="s">
        <v>126</v>
      </c>
      <c r="C1475" s="11" t="n">
        <v>8</v>
      </c>
      <c r="D1475" s="11" t="s">
        <v>78</v>
      </c>
      <c r="E1475" s="11" t="s">
        <v>160</v>
      </c>
      <c r="F1475" s="11" t="s">
        <v>77</v>
      </c>
      <c r="G1475" s="12" t="n">
        <v>85</v>
      </c>
      <c r="H1475" s="12" t="n">
        <f aca="false">SUMPRODUCT(ПОТОКИ!B14:G14,ЧАСОВЫЕ_ПРОФИЛИ!B13:G13,КОЭФФИЦИЕНТЫ_ВЫБОРА!F18:K18)</f>
        <v>0.108</v>
      </c>
      <c r="I1475" s="12" t="n">
        <f aca="false">SUMPRODUCT(ПОТОКИ!B14:G14,ЧАСОВЫЕ_ПРОФИЛИ!B13:G13,КОЭФФИЦИЕНТЫ_ВЫБОРА!F18:K18,ПАРАМЕТРЫ!$B$17:$G$17)</f>
        <v>0.1188</v>
      </c>
      <c r="J1475" s="12" t="n">
        <f aca="false">I1475*G1475/1000</f>
        <v>0.010098</v>
      </c>
      <c r="K1475" s="11" t="s">
        <v>217</v>
      </c>
      <c r="L1475" s="11" t="s">
        <v>19</v>
      </c>
      <c r="M1475" s="11" t="s">
        <v>147</v>
      </c>
    </row>
    <row r="1476" customFormat="false" ht="15" hidden="false" customHeight="false" outlineLevel="0" collapsed="false">
      <c r="A1476" s="11" t="s">
        <v>110</v>
      </c>
      <c r="B1476" s="11" t="s">
        <v>126</v>
      </c>
      <c r="C1476" s="11" t="n">
        <v>9</v>
      </c>
      <c r="D1476" s="11" t="s">
        <v>161</v>
      </c>
      <c r="E1476" s="11" t="s">
        <v>162</v>
      </c>
      <c r="F1476" s="11" t="s">
        <v>80</v>
      </c>
      <c r="G1476" s="12" t="n">
        <v>300</v>
      </c>
      <c r="H1476" s="12" t="n">
        <f aca="false">SUMPRODUCT(ПОТОКИ!B14:G14,ЧАСОВЫЕ_ПРОФИЛИ!B13:G13,КОЭФФИЦИЕНТЫ_ВЫБОРА!F19:K19)</f>
        <v>0</v>
      </c>
      <c r="I1476" s="12" t="n">
        <f aca="false">SUMPRODUCT(ПОТОКИ!B14:G14,ЧАСОВЫЕ_ПРОФИЛИ!B13:G13,КОЭФФИЦИЕНТЫ_ВЫБОРА!F19:K19,ПАРАМЕТРЫ!$B$17:$G$17)</f>
        <v>0</v>
      </c>
      <c r="J1476" s="12" t="n">
        <f aca="false">I1476*G1476/1000</f>
        <v>0</v>
      </c>
      <c r="K1476" s="11" t="s">
        <v>217</v>
      </c>
      <c r="L1476" s="11" t="s">
        <v>19</v>
      </c>
      <c r="M1476" s="11" t="s">
        <v>145</v>
      </c>
    </row>
    <row r="1477" customFormat="false" ht="15" hidden="false" customHeight="false" outlineLevel="0" collapsed="false">
      <c r="A1477" s="11" t="s">
        <v>110</v>
      </c>
      <c r="B1477" s="11" t="s">
        <v>126</v>
      </c>
      <c r="C1477" s="11" t="n">
        <v>10</v>
      </c>
      <c r="D1477" s="11" t="s">
        <v>161</v>
      </c>
      <c r="E1477" s="11" t="s">
        <v>163</v>
      </c>
      <c r="F1477" s="11" t="s">
        <v>80</v>
      </c>
      <c r="G1477" s="12" t="n">
        <v>280</v>
      </c>
      <c r="H1477" s="12" t="n">
        <f aca="false">SUMPRODUCT(ПОТОКИ!B14:G14,ЧАСОВЫЕ_ПРОФИЛИ!B13:G13,КОЭФФИЦИЕНТЫ_ВЫБОРА!F20:K20)</f>
        <v>0</v>
      </c>
      <c r="I1477" s="12" t="n">
        <f aca="false">SUMPRODUCT(ПОТОКИ!B14:G14,ЧАСОВЫЕ_ПРОФИЛИ!B13:G13,КОЭФФИЦИЕНТЫ_ВЫБОРА!F20:K20,ПАРАМЕТРЫ!$B$17:$G$17)</f>
        <v>0</v>
      </c>
      <c r="J1477" s="12" t="n">
        <f aca="false">I1477*G1477/1000</f>
        <v>0</v>
      </c>
      <c r="K1477" s="11" t="s">
        <v>217</v>
      </c>
      <c r="L1477" s="11" t="s">
        <v>19</v>
      </c>
      <c r="M1477" s="11" t="s">
        <v>145</v>
      </c>
    </row>
    <row r="1478" customFormat="false" ht="15" hidden="false" customHeight="false" outlineLevel="0" collapsed="false">
      <c r="A1478" s="11" t="s">
        <v>110</v>
      </c>
      <c r="B1478" s="11" t="s">
        <v>126</v>
      </c>
      <c r="C1478" s="11" t="n">
        <v>11</v>
      </c>
      <c r="D1478" s="11" t="s">
        <v>161</v>
      </c>
      <c r="E1478" s="11" t="s">
        <v>164</v>
      </c>
      <c r="F1478" s="11" t="s">
        <v>80</v>
      </c>
      <c r="G1478" s="12" t="n">
        <v>270</v>
      </c>
      <c r="H1478" s="12" t="n">
        <f aca="false">SUMPRODUCT(ПОТОКИ!B14:G14,ЧАСОВЫЕ_ПРОФИЛИ!B13:G13,КОЭФФИЦИЕНТЫ_ВЫБОРА!F21:K21)</f>
        <v>0</v>
      </c>
      <c r="I1478" s="12" t="n">
        <f aca="false">SUMPRODUCT(ПОТОКИ!B14:G14,ЧАСОВЫЕ_ПРОФИЛИ!B13:G13,КОЭФФИЦИЕНТЫ_ВЫБОРА!F21:K21,ПАРАМЕТРЫ!$B$17:$G$17)</f>
        <v>0</v>
      </c>
      <c r="J1478" s="12" t="n">
        <f aca="false">I1478*G1478/1000</f>
        <v>0</v>
      </c>
      <c r="K1478" s="11" t="s">
        <v>217</v>
      </c>
      <c r="L1478" s="11" t="s">
        <v>19</v>
      </c>
      <c r="M1478" s="11" t="s">
        <v>145</v>
      </c>
    </row>
    <row r="1479" customFormat="false" ht="15" hidden="false" customHeight="false" outlineLevel="0" collapsed="false">
      <c r="A1479" s="11" t="s">
        <v>110</v>
      </c>
      <c r="B1479" s="11" t="s">
        <v>126</v>
      </c>
      <c r="C1479" s="11" t="n">
        <v>12</v>
      </c>
      <c r="D1479" s="11" t="s">
        <v>161</v>
      </c>
      <c r="E1479" s="11" t="s">
        <v>165</v>
      </c>
      <c r="F1479" s="11" t="s">
        <v>80</v>
      </c>
      <c r="G1479" s="12" t="n">
        <v>240</v>
      </c>
      <c r="H1479" s="12" t="n">
        <f aca="false">SUMPRODUCT(ПОТОКИ!B14:G14,ЧАСОВЫЕ_ПРОФИЛИ!B13:G13,КОЭФФИЦИЕНТЫ_ВЫБОРА!F22:K22)</f>
        <v>0</v>
      </c>
      <c r="I1479" s="12" t="n">
        <f aca="false">SUMPRODUCT(ПОТОКИ!B14:G14,ЧАСОВЫЕ_ПРОФИЛИ!B13:G13,КОЭФФИЦИЕНТЫ_ВЫБОРА!F22:K22,ПАРАМЕТРЫ!$B$17:$G$17)</f>
        <v>0</v>
      </c>
      <c r="J1479" s="12" t="n">
        <f aca="false">I1479*G1479/1000</f>
        <v>0</v>
      </c>
      <c r="K1479" s="11" t="s">
        <v>217</v>
      </c>
      <c r="L1479" s="11" t="s">
        <v>19</v>
      </c>
      <c r="M1479" s="11" t="s">
        <v>145</v>
      </c>
    </row>
    <row r="1480" customFormat="false" ht="15" hidden="false" customHeight="false" outlineLevel="0" collapsed="false">
      <c r="A1480" s="11" t="s">
        <v>110</v>
      </c>
      <c r="B1480" s="11" t="s">
        <v>126</v>
      </c>
      <c r="C1480" s="11" t="n">
        <v>13</v>
      </c>
      <c r="D1480" s="11" t="s">
        <v>166</v>
      </c>
      <c r="E1480" s="11" t="s">
        <v>167</v>
      </c>
      <c r="F1480" s="11" t="s">
        <v>80</v>
      </c>
      <c r="G1480" s="12" t="n">
        <v>130</v>
      </c>
      <c r="H1480" s="12" t="n">
        <f aca="false">SUMPRODUCT(ПОТОКИ!B14:G14,ЧАСОВЫЕ_ПРОФИЛИ!B13:G13,КОЭФФИЦИЕНТЫ_ВЫБОРА!F23:K23)</f>
        <v>0</v>
      </c>
      <c r="I1480" s="12" t="n">
        <f aca="false">SUMPRODUCT(ПОТОКИ!B14:G14,ЧАСОВЫЕ_ПРОФИЛИ!B13:G13,КОЭФФИЦИЕНТЫ_ВЫБОРА!F23:K23,ПАРАМЕТРЫ!$B$17:$G$17)</f>
        <v>0</v>
      </c>
      <c r="J1480" s="12" t="n">
        <f aca="false">I1480*G1480/1000</f>
        <v>0</v>
      </c>
      <c r="K1480" s="11" t="s">
        <v>217</v>
      </c>
      <c r="L1480" s="11" t="s">
        <v>19</v>
      </c>
      <c r="M1480" s="11" t="s">
        <v>145</v>
      </c>
    </row>
    <row r="1481" customFormat="false" ht="15" hidden="false" customHeight="false" outlineLevel="0" collapsed="false">
      <c r="A1481" s="11" t="s">
        <v>110</v>
      </c>
      <c r="B1481" s="11" t="s">
        <v>126</v>
      </c>
      <c r="C1481" s="11" t="n">
        <v>14</v>
      </c>
      <c r="D1481" s="11" t="s">
        <v>166</v>
      </c>
      <c r="E1481" s="11" t="s">
        <v>168</v>
      </c>
      <c r="F1481" s="11" t="s">
        <v>80</v>
      </c>
      <c r="G1481" s="12" t="n">
        <v>250</v>
      </c>
      <c r="H1481" s="12" t="n">
        <f aca="false">SUMPRODUCT(ПОТОКИ!B14:G14,ЧАСОВЫЕ_ПРОФИЛИ!B13:G13,КОЭФФИЦИЕНТЫ_ВЫБОРА!F24:K24)</f>
        <v>0</v>
      </c>
      <c r="I1481" s="12" t="n">
        <f aca="false">SUMPRODUCT(ПОТОКИ!B14:G14,ЧАСОВЫЕ_ПРОФИЛИ!B13:G13,КОЭФФИЦИЕНТЫ_ВЫБОРА!F24:K24,ПАРАМЕТРЫ!$B$17:$G$17)</f>
        <v>0</v>
      </c>
      <c r="J1481" s="12" t="n">
        <f aca="false">I1481*G1481/1000</f>
        <v>0</v>
      </c>
      <c r="K1481" s="11" t="s">
        <v>217</v>
      </c>
      <c r="L1481" s="11" t="s">
        <v>19</v>
      </c>
      <c r="M1481" s="11" t="s">
        <v>145</v>
      </c>
    </row>
    <row r="1482" customFormat="false" ht="15" hidden="false" customHeight="false" outlineLevel="0" collapsed="false">
      <c r="A1482" s="11" t="s">
        <v>110</v>
      </c>
      <c r="B1482" s="11" t="s">
        <v>126</v>
      </c>
      <c r="C1482" s="11" t="n">
        <v>15</v>
      </c>
      <c r="D1482" s="11" t="s">
        <v>166</v>
      </c>
      <c r="E1482" s="11" t="s">
        <v>169</v>
      </c>
      <c r="F1482" s="11" t="s">
        <v>80</v>
      </c>
      <c r="G1482" s="12" t="n">
        <v>120</v>
      </c>
      <c r="H1482" s="12" t="n">
        <f aca="false">SUMPRODUCT(ПОТОКИ!B14:G14,ЧАСОВЫЕ_ПРОФИЛИ!B13:G13,КОЭФФИЦИЕНТЫ_ВЫБОРА!F25:K25)</f>
        <v>0</v>
      </c>
      <c r="I1482" s="12" t="n">
        <f aca="false">SUMPRODUCT(ПОТОКИ!B14:G14,ЧАСОВЫЕ_ПРОФИЛИ!B13:G13,КОЭФФИЦИЕНТЫ_ВЫБОРА!F25:K25,ПАРАМЕТРЫ!$B$17:$G$17)</f>
        <v>0</v>
      </c>
      <c r="J1482" s="12" t="n">
        <f aca="false">I1482*G1482/1000</f>
        <v>0</v>
      </c>
      <c r="K1482" s="11" t="s">
        <v>217</v>
      </c>
      <c r="L1482" s="11" t="s">
        <v>19</v>
      </c>
      <c r="M1482" s="11" t="s">
        <v>145</v>
      </c>
    </row>
    <row r="1483" customFormat="false" ht="15" hidden="false" customHeight="false" outlineLevel="0" collapsed="false">
      <c r="A1483" s="11" t="s">
        <v>110</v>
      </c>
      <c r="B1483" s="11" t="s">
        <v>126</v>
      </c>
      <c r="C1483" s="11" t="n">
        <v>16</v>
      </c>
      <c r="D1483" s="11" t="s">
        <v>166</v>
      </c>
      <c r="E1483" s="11" t="s">
        <v>170</v>
      </c>
      <c r="F1483" s="11" t="s">
        <v>80</v>
      </c>
      <c r="G1483" s="12" t="n">
        <v>180</v>
      </c>
      <c r="H1483" s="12" t="n">
        <f aca="false">SUMPRODUCT(ПОТОКИ!B14:G14,ЧАСОВЫЕ_ПРОФИЛИ!B13:G13,КОЭФФИЦИЕНТЫ_ВЫБОРА!F26:K26)</f>
        <v>0</v>
      </c>
      <c r="I1483" s="12" t="n">
        <f aca="false">SUMPRODUCT(ПОТОКИ!B14:G14,ЧАСОВЫЕ_ПРОФИЛИ!B13:G13,КОЭФФИЦИЕНТЫ_ВЫБОРА!F26:K26,ПАРАМЕТРЫ!$B$17:$G$17)</f>
        <v>0</v>
      </c>
      <c r="J1483" s="12" t="n">
        <f aca="false">I1483*G1483/1000</f>
        <v>0</v>
      </c>
      <c r="K1483" s="11" t="s">
        <v>217</v>
      </c>
      <c r="L1483" s="11" t="s">
        <v>19</v>
      </c>
      <c r="M1483" s="11" t="s">
        <v>145</v>
      </c>
    </row>
    <row r="1484" customFormat="false" ht="15" hidden="false" customHeight="false" outlineLevel="0" collapsed="false">
      <c r="A1484" s="11" t="s">
        <v>110</v>
      </c>
      <c r="B1484" s="11" t="s">
        <v>126</v>
      </c>
      <c r="C1484" s="11" t="n">
        <v>17</v>
      </c>
      <c r="D1484" s="11" t="s">
        <v>166</v>
      </c>
      <c r="E1484" s="11" t="s">
        <v>171</v>
      </c>
      <c r="F1484" s="11" t="s">
        <v>80</v>
      </c>
      <c r="G1484" s="12" t="n">
        <v>180</v>
      </c>
      <c r="H1484" s="12" t="n">
        <f aca="false">SUMPRODUCT(ПОТОКИ!B14:G14,ЧАСОВЫЕ_ПРОФИЛИ!B13:G13,КОЭФФИЦИЕНТЫ_ВЫБОРА!F27:K27)</f>
        <v>0</v>
      </c>
      <c r="I1484" s="12" t="n">
        <f aca="false">SUMPRODUCT(ПОТОКИ!B14:G14,ЧАСОВЫЕ_ПРОФИЛИ!B13:G13,КОЭФФИЦИЕНТЫ_ВЫБОРА!F27:K27,ПАРАМЕТРЫ!$B$17:$G$17)</f>
        <v>0</v>
      </c>
      <c r="J1484" s="12" t="n">
        <f aca="false">I1484*G1484/1000</f>
        <v>0</v>
      </c>
      <c r="K1484" s="11" t="s">
        <v>217</v>
      </c>
      <c r="L1484" s="11" t="s">
        <v>19</v>
      </c>
      <c r="M1484" s="11" t="s">
        <v>145</v>
      </c>
    </row>
    <row r="1485" customFormat="false" ht="15" hidden="false" customHeight="false" outlineLevel="0" collapsed="false">
      <c r="A1485" s="11" t="s">
        <v>110</v>
      </c>
      <c r="B1485" s="11" t="s">
        <v>126</v>
      </c>
      <c r="C1485" s="11" t="n">
        <v>18</v>
      </c>
      <c r="D1485" s="11" t="s">
        <v>172</v>
      </c>
      <c r="E1485" s="11" t="s">
        <v>173</v>
      </c>
      <c r="F1485" s="11" t="s">
        <v>83</v>
      </c>
      <c r="G1485" s="12" t="n">
        <v>400</v>
      </c>
      <c r="H1485" s="12" t="n">
        <f aca="false">SUMPRODUCT(ПОТОКИ!B14:G14,ЧАСОВЫЕ_ПРОФИЛИ!B13:G13,КОЭФФИЦИЕНТЫ_ВЫБОРА!F28:K28)</f>
        <v>0</v>
      </c>
      <c r="I1485" s="12" t="n">
        <f aca="false">SUMPRODUCT(ПОТОКИ!B14:G14,ЧАСОВЫЕ_ПРОФИЛИ!B13:G13,КОЭФФИЦИЕНТЫ_ВЫБОРА!F28:K28,ПАРАМЕТРЫ!$B$17:$G$17)</f>
        <v>0</v>
      </c>
      <c r="J1485" s="12" t="n">
        <f aca="false">I1485*G1485/1000</f>
        <v>0</v>
      </c>
      <c r="K1485" s="11" t="s">
        <v>217</v>
      </c>
      <c r="L1485" s="11" t="s">
        <v>19</v>
      </c>
      <c r="M1485" s="11" t="s">
        <v>145</v>
      </c>
    </row>
    <row r="1486" customFormat="false" ht="23.85" hidden="false" customHeight="false" outlineLevel="0" collapsed="false">
      <c r="A1486" s="11" t="s">
        <v>110</v>
      </c>
      <c r="B1486" s="11" t="s">
        <v>126</v>
      </c>
      <c r="C1486" s="11" t="n">
        <v>19</v>
      </c>
      <c r="D1486" s="11" t="s">
        <v>174</v>
      </c>
      <c r="E1486" s="11" t="s">
        <v>175</v>
      </c>
      <c r="F1486" s="11" t="s">
        <v>83</v>
      </c>
      <c r="G1486" s="12" t="n">
        <v>300</v>
      </c>
      <c r="H1486" s="12" t="n">
        <f aca="false">SUMPRODUCT(ПОТОКИ!B14:G14,ЧАСОВЫЕ_ПРОФИЛИ!B13:G13,КОЭФФИЦИЕНТЫ_ВЫБОРА!F29:K29)</f>
        <v>0</v>
      </c>
      <c r="I1486" s="12" t="n">
        <f aca="false">SUMPRODUCT(ПОТОКИ!B14:G14,ЧАСОВЫЕ_ПРОФИЛИ!B13:G13,КОЭФФИЦИЕНТЫ_ВЫБОРА!F29:K29,ПАРАМЕТРЫ!$B$17:$G$17)</f>
        <v>0</v>
      </c>
      <c r="J1486" s="12" t="n">
        <f aca="false">I1486*G1486/1000</f>
        <v>0</v>
      </c>
      <c r="K1486" s="11" t="s">
        <v>217</v>
      </c>
      <c r="L1486" s="11" t="s">
        <v>19</v>
      </c>
      <c r="M1486" s="11" t="s">
        <v>145</v>
      </c>
    </row>
    <row r="1487" customFormat="false" ht="15" hidden="false" customHeight="false" outlineLevel="0" collapsed="false">
      <c r="A1487" s="11" t="s">
        <v>110</v>
      </c>
      <c r="B1487" s="11" t="s">
        <v>126</v>
      </c>
      <c r="C1487" s="11" t="n">
        <v>20</v>
      </c>
      <c r="D1487" s="11" t="s">
        <v>174</v>
      </c>
      <c r="E1487" s="11" t="s">
        <v>176</v>
      </c>
      <c r="F1487" s="11" t="s">
        <v>83</v>
      </c>
      <c r="G1487" s="12" t="n">
        <v>360</v>
      </c>
      <c r="H1487" s="12" t="n">
        <f aca="false">SUMPRODUCT(ПОТОКИ!B14:G14,ЧАСОВЫЕ_ПРОФИЛИ!B13:G13,КОЭФФИЦИЕНТЫ_ВЫБОРА!F30:K30)</f>
        <v>0</v>
      </c>
      <c r="I1487" s="12" t="n">
        <f aca="false">SUMPRODUCT(ПОТОКИ!B14:G14,ЧАСОВЫЕ_ПРОФИЛИ!B13:G13,КОЭФФИЦИЕНТЫ_ВЫБОРА!F30:K30,ПАРАМЕТРЫ!$B$17:$G$17)</f>
        <v>0</v>
      </c>
      <c r="J1487" s="12" t="n">
        <f aca="false">I1487*G1487/1000</f>
        <v>0</v>
      </c>
      <c r="K1487" s="11" t="s">
        <v>217</v>
      </c>
      <c r="L1487" s="11" t="s">
        <v>19</v>
      </c>
      <c r="M1487" s="11" t="s">
        <v>145</v>
      </c>
    </row>
    <row r="1488" customFormat="false" ht="15" hidden="false" customHeight="false" outlineLevel="0" collapsed="false">
      <c r="A1488" s="11" t="s">
        <v>110</v>
      </c>
      <c r="B1488" s="11" t="s">
        <v>126</v>
      </c>
      <c r="C1488" s="11" t="n">
        <v>21</v>
      </c>
      <c r="D1488" s="11" t="s">
        <v>174</v>
      </c>
      <c r="E1488" s="11" t="s">
        <v>177</v>
      </c>
      <c r="F1488" s="11" t="s">
        <v>83</v>
      </c>
      <c r="G1488" s="12" t="n">
        <v>350</v>
      </c>
      <c r="H1488" s="12" t="n">
        <f aca="false">SUMPRODUCT(ПОТОКИ!B14:G14,ЧАСОВЫЕ_ПРОФИЛИ!B13:G13,КОЭФФИЦИЕНТЫ_ВЫБОРА!F31:K31)</f>
        <v>0</v>
      </c>
      <c r="I1488" s="12" t="n">
        <f aca="false">SUMPRODUCT(ПОТОКИ!B14:G14,ЧАСОВЫЕ_ПРОФИЛИ!B13:G13,КОЭФФИЦИЕНТЫ_ВЫБОРА!F31:K31,ПАРАМЕТРЫ!$B$17:$G$17)</f>
        <v>0</v>
      </c>
      <c r="J1488" s="12" t="n">
        <f aca="false">I1488*G1488/1000</f>
        <v>0</v>
      </c>
      <c r="K1488" s="11" t="s">
        <v>217</v>
      </c>
      <c r="L1488" s="11" t="s">
        <v>19</v>
      </c>
      <c r="M1488" s="11" t="s">
        <v>145</v>
      </c>
    </row>
    <row r="1489" customFormat="false" ht="15" hidden="false" customHeight="false" outlineLevel="0" collapsed="false">
      <c r="A1489" s="11" t="s">
        <v>110</v>
      </c>
      <c r="B1489" s="11" t="s">
        <v>126</v>
      </c>
      <c r="C1489" s="11" t="n">
        <v>22</v>
      </c>
      <c r="D1489" s="11" t="s">
        <v>174</v>
      </c>
      <c r="E1489" s="11" t="s">
        <v>178</v>
      </c>
      <c r="F1489" s="11" t="s">
        <v>83</v>
      </c>
      <c r="G1489" s="12" t="n">
        <v>300</v>
      </c>
      <c r="H1489" s="12" t="n">
        <f aca="false">SUMPRODUCT(ПОТОКИ!B14:G14,ЧАСОВЫЕ_ПРОФИЛИ!B13:G13,КОЭФФИЦИЕНТЫ_ВЫБОРА!F32:K32)</f>
        <v>0</v>
      </c>
      <c r="I1489" s="12" t="n">
        <f aca="false">SUMPRODUCT(ПОТОКИ!B14:G14,ЧАСОВЫЕ_ПРОФИЛИ!B13:G13,КОЭФФИЦИЕНТЫ_ВЫБОРА!F32:K32,ПАРАМЕТРЫ!$B$17:$G$17)</f>
        <v>0</v>
      </c>
      <c r="J1489" s="12" t="n">
        <f aca="false">I1489*G1489/1000</f>
        <v>0</v>
      </c>
      <c r="K1489" s="11" t="s">
        <v>217</v>
      </c>
      <c r="L1489" s="11" t="s">
        <v>19</v>
      </c>
      <c r="M1489" s="11" t="s">
        <v>145</v>
      </c>
    </row>
    <row r="1490" customFormat="false" ht="15" hidden="false" customHeight="false" outlineLevel="0" collapsed="false">
      <c r="A1490" s="11" t="s">
        <v>110</v>
      </c>
      <c r="B1490" s="11" t="s">
        <v>126</v>
      </c>
      <c r="C1490" s="11" t="n">
        <v>23</v>
      </c>
      <c r="D1490" s="11" t="s">
        <v>86</v>
      </c>
      <c r="E1490" s="11" t="s">
        <v>179</v>
      </c>
      <c r="F1490" s="11" t="s">
        <v>85</v>
      </c>
      <c r="G1490" s="12" t="n">
        <v>150</v>
      </c>
      <c r="H1490" s="12" t="n">
        <f aca="false">SUMPRODUCT(ПОТОКИ!B14:G14,ЧАСОВЫЕ_ПРОФИЛИ!B13:G13,КОЭФФИЦИЕНТЫ_ВЫБОРА!F33:K33)</f>
        <v>0</v>
      </c>
      <c r="I1490" s="12" t="n">
        <f aca="false">SUMPRODUCT(ПОТОКИ!B14:G14,ЧАСОВЫЕ_ПРОФИЛИ!B13:G13,КОЭФФИЦИЕНТЫ_ВЫБОРА!F33:K33,ПАРАМЕТРЫ!$B$17:$G$17)</f>
        <v>0</v>
      </c>
      <c r="J1490" s="12" t="n">
        <f aca="false">I1490*G1490/1000</f>
        <v>0</v>
      </c>
      <c r="K1490" s="11" t="s">
        <v>217</v>
      </c>
      <c r="L1490" s="11" t="s">
        <v>19</v>
      </c>
      <c r="M1490" s="11" t="s">
        <v>147</v>
      </c>
    </row>
    <row r="1491" customFormat="false" ht="15" hidden="false" customHeight="false" outlineLevel="0" collapsed="false">
      <c r="A1491" s="11" t="s">
        <v>110</v>
      </c>
      <c r="B1491" s="11" t="s">
        <v>126</v>
      </c>
      <c r="C1491" s="11" t="n">
        <v>24</v>
      </c>
      <c r="D1491" s="11" t="s">
        <v>86</v>
      </c>
      <c r="E1491" s="11" t="s">
        <v>180</v>
      </c>
      <c r="F1491" s="11" t="s">
        <v>85</v>
      </c>
      <c r="G1491" s="12" t="n">
        <v>150</v>
      </c>
      <c r="H1491" s="12" t="n">
        <f aca="false">SUMPRODUCT(ПОТОКИ!B14:G14,ЧАСОВЫЕ_ПРОФИЛИ!B13:G13,КОЭФФИЦИЕНТЫ_ВЫБОРА!F34:K34)</f>
        <v>0</v>
      </c>
      <c r="I1491" s="12" t="n">
        <f aca="false">SUMPRODUCT(ПОТОКИ!B14:G14,ЧАСОВЫЕ_ПРОФИЛИ!B13:G13,КОЭФФИЦИЕНТЫ_ВЫБОРА!F34:K34,ПАРАМЕТРЫ!$B$17:$G$17)</f>
        <v>0</v>
      </c>
      <c r="J1491" s="12" t="n">
        <f aca="false">I1491*G1491/1000</f>
        <v>0</v>
      </c>
      <c r="K1491" s="11" t="s">
        <v>217</v>
      </c>
      <c r="L1491" s="11" t="s">
        <v>19</v>
      </c>
      <c r="M1491" s="11" t="s">
        <v>147</v>
      </c>
    </row>
    <row r="1492" customFormat="false" ht="15" hidden="false" customHeight="false" outlineLevel="0" collapsed="false">
      <c r="A1492" s="11" t="s">
        <v>110</v>
      </c>
      <c r="B1492" s="11" t="s">
        <v>126</v>
      </c>
      <c r="C1492" s="11" t="n">
        <v>25</v>
      </c>
      <c r="D1492" s="11" t="s">
        <v>86</v>
      </c>
      <c r="E1492" s="11" t="s">
        <v>181</v>
      </c>
      <c r="F1492" s="11" t="s">
        <v>85</v>
      </c>
      <c r="G1492" s="12" t="n">
        <v>150</v>
      </c>
      <c r="H1492" s="12" t="n">
        <f aca="false">SUMPRODUCT(ПОТОКИ!B14:G14,ЧАСОВЫЕ_ПРОФИЛИ!B13:G13,КОЭФФИЦИЕНТЫ_ВЫБОРА!F35:K35)</f>
        <v>0</v>
      </c>
      <c r="I1492" s="12" t="n">
        <f aca="false">SUMPRODUCT(ПОТОКИ!B14:G14,ЧАСОВЫЕ_ПРОФИЛИ!B13:G13,КОЭФФИЦИЕНТЫ_ВЫБОРА!F35:K35,ПАРАМЕТРЫ!$B$17:$G$17)</f>
        <v>0</v>
      </c>
      <c r="J1492" s="12" t="n">
        <f aca="false">I1492*G1492/1000</f>
        <v>0</v>
      </c>
      <c r="K1492" s="11" t="s">
        <v>217</v>
      </c>
      <c r="L1492" s="11" t="s">
        <v>19</v>
      </c>
      <c r="M1492" s="11" t="s">
        <v>147</v>
      </c>
    </row>
    <row r="1493" customFormat="false" ht="23.85" hidden="false" customHeight="false" outlineLevel="0" collapsed="false">
      <c r="A1493" s="11" t="s">
        <v>110</v>
      </c>
      <c r="B1493" s="11" t="s">
        <v>126</v>
      </c>
      <c r="C1493" s="11" t="n">
        <v>26</v>
      </c>
      <c r="D1493" s="11" t="s">
        <v>89</v>
      </c>
      <c r="E1493" s="11" t="s">
        <v>182</v>
      </c>
      <c r="F1493" s="11" t="s">
        <v>88</v>
      </c>
      <c r="G1493" s="12" t="n">
        <v>225</v>
      </c>
      <c r="H1493" s="12" t="n">
        <f aca="false">SUMPRODUCT(ПОТОКИ!B14:G14,ЧАСОВЫЕ_ПРОФИЛИ!B13:G13,КОЭФФИЦИЕНТЫ_ВЫБОРА!F36:K36)</f>
        <v>2.475</v>
      </c>
      <c r="I1493" s="12" t="n">
        <f aca="false">SUMPRODUCT(ПОТОКИ!B14:G14,ЧАСОВЫЕ_ПРОФИЛИ!B13:G13,КОЭФФИЦИЕНТЫ_ВЫБОРА!F36:K36,ПАРАМЕТРЫ!$B$17:$G$17)</f>
        <v>2.475</v>
      </c>
      <c r="J1493" s="12" t="n">
        <f aca="false">I1493*G1493/1000</f>
        <v>0.556875</v>
      </c>
      <c r="K1493" s="11" t="s">
        <v>217</v>
      </c>
      <c r="L1493" s="11" t="s">
        <v>19</v>
      </c>
      <c r="M1493" s="11" t="s">
        <v>145</v>
      </c>
    </row>
    <row r="1494" customFormat="false" ht="23.85" hidden="false" customHeight="false" outlineLevel="0" collapsed="false">
      <c r="A1494" s="11" t="s">
        <v>110</v>
      </c>
      <c r="B1494" s="11" t="s">
        <v>126</v>
      </c>
      <c r="C1494" s="11" t="n">
        <v>27</v>
      </c>
      <c r="D1494" s="11" t="s">
        <v>89</v>
      </c>
      <c r="E1494" s="11" t="s">
        <v>183</v>
      </c>
      <c r="F1494" s="11" t="s">
        <v>88</v>
      </c>
      <c r="G1494" s="12" t="n">
        <v>265</v>
      </c>
      <c r="H1494" s="12" t="n">
        <f aca="false">SUMPRODUCT(ПОТОКИ!B14:G14,ЧАСОВЫЕ_ПРОФИЛИ!B13:G13,КОЭФФИЦИЕНТЫ_ВЫБОРА!F37:K37)</f>
        <v>2.475</v>
      </c>
      <c r="I1494" s="12" t="n">
        <f aca="false">SUMPRODUCT(ПОТОКИ!B14:G14,ЧАСОВЫЕ_ПРОФИЛИ!B13:G13,КОЭФФИЦИЕНТЫ_ВЫБОРА!F37:K37,ПАРАМЕТРЫ!$B$17:$G$17)</f>
        <v>2.475</v>
      </c>
      <c r="J1494" s="12" t="n">
        <f aca="false">I1494*G1494/1000</f>
        <v>0.655875</v>
      </c>
      <c r="K1494" s="11" t="s">
        <v>217</v>
      </c>
      <c r="L1494" s="11" t="s">
        <v>19</v>
      </c>
      <c r="M1494" s="11" t="s">
        <v>145</v>
      </c>
    </row>
    <row r="1495" customFormat="false" ht="23.85" hidden="false" customHeight="false" outlineLevel="0" collapsed="false">
      <c r="A1495" s="11" t="s">
        <v>110</v>
      </c>
      <c r="B1495" s="11" t="s">
        <v>126</v>
      </c>
      <c r="C1495" s="11" t="n">
        <v>28</v>
      </c>
      <c r="D1495" s="11" t="s">
        <v>89</v>
      </c>
      <c r="E1495" s="11" t="s">
        <v>184</v>
      </c>
      <c r="F1495" s="11" t="s">
        <v>88</v>
      </c>
      <c r="G1495" s="12" t="n">
        <v>355</v>
      </c>
      <c r="H1495" s="12" t="n">
        <f aca="false">SUMPRODUCT(ПОТОКИ!B14:G14,ЧАСОВЫЕ_ПРОФИЛИ!B13:G13,КОЭФФИЦИЕНТЫ_ВЫБОРА!F38:K38)</f>
        <v>1.65</v>
      </c>
      <c r="I1495" s="12" t="n">
        <f aca="false">SUMPRODUCT(ПОТОКИ!B14:G14,ЧАСОВЫЕ_ПРОФИЛИ!B13:G13,КОЭФФИЦИЕНТЫ_ВЫБОРА!F38:K38,ПАРАМЕТРЫ!$B$17:$G$17)</f>
        <v>1.65</v>
      </c>
      <c r="J1495" s="12" t="n">
        <f aca="false">I1495*G1495/1000</f>
        <v>0.58575</v>
      </c>
      <c r="K1495" s="11" t="s">
        <v>217</v>
      </c>
      <c r="L1495" s="11" t="s">
        <v>19</v>
      </c>
      <c r="M1495" s="11" t="s">
        <v>145</v>
      </c>
    </row>
    <row r="1496" customFormat="false" ht="15" hidden="false" customHeight="false" outlineLevel="0" collapsed="false">
      <c r="A1496" s="11" t="s">
        <v>110</v>
      </c>
      <c r="B1496" s="11" t="s">
        <v>126</v>
      </c>
      <c r="C1496" s="11" t="n">
        <v>29</v>
      </c>
      <c r="D1496" s="11" t="s">
        <v>92</v>
      </c>
      <c r="E1496" s="11" t="s">
        <v>185</v>
      </c>
      <c r="F1496" s="11" t="s">
        <v>91</v>
      </c>
      <c r="G1496" s="12" t="n">
        <v>150</v>
      </c>
      <c r="H1496" s="12" t="n">
        <f aca="false">SUMPRODUCT(ПОТОКИ!B14:G14,ЧАСОВЫЕ_ПРОФИЛИ!B13:G13,КОЭФФИЦИЕНТЫ_ВЫБОРА!F39:K39)</f>
        <v>0.108</v>
      </c>
      <c r="I1496" s="12" t="n">
        <f aca="false">SUMPRODUCT(ПОТОКИ!B14:G14,ЧАСОВЫЕ_ПРОФИЛИ!B13:G13,КОЭФФИЦИЕНТЫ_ВЫБОРА!F39:K39,ПАРАМЕТРЫ!$B$17:$G$17)</f>
        <v>0.1188</v>
      </c>
      <c r="J1496" s="12" t="n">
        <f aca="false">I1496*G1496/1000</f>
        <v>0.01782</v>
      </c>
      <c r="K1496" s="11" t="s">
        <v>217</v>
      </c>
      <c r="L1496" s="11" t="s">
        <v>19</v>
      </c>
      <c r="M1496" s="11" t="s">
        <v>145</v>
      </c>
    </row>
    <row r="1497" customFormat="false" ht="15" hidden="false" customHeight="false" outlineLevel="0" collapsed="false">
      <c r="A1497" s="11" t="s">
        <v>110</v>
      </c>
      <c r="B1497" s="11" t="s">
        <v>126</v>
      </c>
      <c r="C1497" s="11" t="n">
        <v>30</v>
      </c>
      <c r="D1497" s="11" t="s">
        <v>92</v>
      </c>
      <c r="E1497" s="11" t="s">
        <v>186</v>
      </c>
      <c r="F1497" s="11" t="s">
        <v>91</v>
      </c>
      <c r="G1497" s="12" t="n">
        <v>120</v>
      </c>
      <c r="H1497" s="12" t="n">
        <f aca="false">SUMPRODUCT(ПОТОКИ!B14:G14,ЧАСОВЫЕ_ПРОФИЛИ!B13:G13,КОЭФФИЦИЕНТЫ_ВЫБОРА!F40:K40)</f>
        <v>0.108</v>
      </c>
      <c r="I1497" s="12" t="n">
        <f aca="false">SUMPRODUCT(ПОТОКИ!B14:G14,ЧАСОВЫЕ_ПРОФИЛИ!B13:G13,КОЭФФИЦИЕНТЫ_ВЫБОРА!F40:K40,ПАРАМЕТРЫ!$B$17:$G$17)</f>
        <v>0.1188</v>
      </c>
      <c r="J1497" s="12" t="n">
        <f aca="false">I1497*G1497/1000</f>
        <v>0.014256</v>
      </c>
      <c r="K1497" s="11" t="s">
        <v>217</v>
      </c>
      <c r="L1497" s="11" t="s">
        <v>19</v>
      </c>
      <c r="M1497" s="11" t="s">
        <v>145</v>
      </c>
    </row>
    <row r="1498" customFormat="false" ht="15" hidden="false" customHeight="false" outlineLevel="0" collapsed="false">
      <c r="A1498" s="11" t="s">
        <v>110</v>
      </c>
      <c r="B1498" s="11" t="s">
        <v>126</v>
      </c>
      <c r="C1498" s="11" t="n">
        <v>31</v>
      </c>
      <c r="D1498" s="11" t="s">
        <v>92</v>
      </c>
      <c r="E1498" s="11" t="s">
        <v>187</v>
      </c>
      <c r="F1498" s="11" t="s">
        <v>91</v>
      </c>
      <c r="G1498" s="12" t="n">
        <v>60</v>
      </c>
      <c r="H1498" s="12" t="n">
        <f aca="false">SUMPRODUCT(ПОТОКИ!B14:G14,ЧАСОВЫЕ_ПРОФИЛИ!B13:G13,КОЭФФИЦИЕНТЫ_ВЫБОРА!F41:K41)</f>
        <v>0.144</v>
      </c>
      <c r="I1498" s="12" t="n">
        <f aca="false">SUMPRODUCT(ПОТОКИ!B14:G14,ЧАСОВЫЕ_ПРОФИЛИ!B13:G13,КОЭФФИЦИЕНТЫ_ВЫБОРА!F41:K41,ПАРАМЕТРЫ!$B$17:$G$17)</f>
        <v>0.1584</v>
      </c>
      <c r="J1498" s="12" t="n">
        <f aca="false">I1498*G1498/1000</f>
        <v>0.009504</v>
      </c>
      <c r="K1498" s="11" t="s">
        <v>217</v>
      </c>
      <c r="L1498" s="11" t="s">
        <v>19</v>
      </c>
      <c r="M1498" s="11" t="s">
        <v>145</v>
      </c>
    </row>
    <row r="1499" customFormat="false" ht="15" hidden="false" customHeight="false" outlineLevel="0" collapsed="false">
      <c r="A1499" s="11" t="s">
        <v>110</v>
      </c>
      <c r="B1499" s="11" t="s">
        <v>127</v>
      </c>
      <c r="C1499" s="11" t="n">
        <v>1</v>
      </c>
      <c r="D1499" s="11" t="s">
        <v>74</v>
      </c>
      <c r="E1499" s="11" t="s">
        <v>153</v>
      </c>
      <c r="F1499" s="11" t="s">
        <v>73</v>
      </c>
      <c r="G1499" s="12" t="n">
        <v>450</v>
      </c>
      <c r="H1499" s="12" t="n">
        <f aca="false">SUMPRODUCT(ПОТОКИ!B14:G14,ЧАСОВЫЕ_ПРОФИЛИ!B14:G14,КОЭФФИЦИЕНТЫ_ВЫБОРА!F11:K11)</f>
        <v>0</v>
      </c>
      <c r="I1499" s="12" t="n">
        <f aca="false">SUMPRODUCT(ПОТОКИ!B14:G14,ЧАСОВЫЕ_ПРОФИЛИ!B14:G14,КОЭФФИЦИЕНТЫ_ВЫБОРА!F11:K11,ПАРАМЕТРЫ!$B$17:$G$17)</f>
        <v>0</v>
      </c>
      <c r="J1499" s="12" t="n">
        <f aca="false">I1499*G1499/1000</f>
        <v>0</v>
      </c>
      <c r="K1499" s="11" t="s">
        <v>217</v>
      </c>
      <c r="L1499" s="11" t="s">
        <v>19</v>
      </c>
      <c r="M1499" s="11" t="s">
        <v>145</v>
      </c>
    </row>
    <row r="1500" customFormat="false" ht="15" hidden="false" customHeight="false" outlineLevel="0" collapsed="false">
      <c r="A1500" s="11" t="s">
        <v>110</v>
      </c>
      <c r="B1500" s="11" t="s">
        <v>127</v>
      </c>
      <c r="C1500" s="11" t="n">
        <v>2</v>
      </c>
      <c r="D1500" s="11" t="s">
        <v>74</v>
      </c>
      <c r="E1500" s="11" t="s">
        <v>154</v>
      </c>
      <c r="F1500" s="11" t="s">
        <v>73</v>
      </c>
      <c r="G1500" s="12" t="n">
        <v>480</v>
      </c>
      <c r="H1500" s="12" t="n">
        <f aca="false">SUMPRODUCT(ПОТОКИ!B14:G14,ЧАСОВЫЕ_ПРОФИЛИ!B14:G14,КОЭФФИЦИЕНТЫ_ВЫБОРА!F12:K12)</f>
        <v>0</v>
      </c>
      <c r="I1500" s="12" t="n">
        <f aca="false">SUMPRODUCT(ПОТОКИ!B14:G14,ЧАСОВЫЕ_ПРОФИЛИ!B14:G14,КОЭФФИЦИЕНТЫ_ВЫБОРА!F12:K12,ПАРАМЕТРЫ!$B$17:$G$17)</f>
        <v>0</v>
      </c>
      <c r="J1500" s="12" t="n">
        <f aca="false">I1500*G1500/1000</f>
        <v>0</v>
      </c>
      <c r="K1500" s="11" t="s">
        <v>217</v>
      </c>
      <c r="L1500" s="11" t="s">
        <v>19</v>
      </c>
      <c r="M1500" s="11" t="s">
        <v>145</v>
      </c>
    </row>
    <row r="1501" customFormat="false" ht="15" hidden="false" customHeight="false" outlineLevel="0" collapsed="false">
      <c r="A1501" s="11" t="s">
        <v>110</v>
      </c>
      <c r="B1501" s="11" t="s">
        <v>127</v>
      </c>
      <c r="C1501" s="11" t="n">
        <v>3</v>
      </c>
      <c r="D1501" s="11" t="s">
        <v>74</v>
      </c>
      <c r="E1501" s="11" t="s">
        <v>155</v>
      </c>
      <c r="F1501" s="11" t="s">
        <v>73</v>
      </c>
      <c r="G1501" s="12" t="n">
        <v>500</v>
      </c>
      <c r="H1501" s="12" t="n">
        <f aca="false">SUMPRODUCT(ПОТОКИ!B14:G14,ЧАСОВЫЕ_ПРОФИЛИ!B14:G14,КОЭФФИЦИЕНТЫ_ВЫБОРА!F13:K13)</f>
        <v>0</v>
      </c>
      <c r="I1501" s="12" t="n">
        <f aca="false">SUMPRODUCT(ПОТОКИ!B14:G14,ЧАСОВЫЕ_ПРОФИЛИ!B14:G14,КОЭФФИЦИЕНТЫ_ВЫБОРА!F13:K13,ПАРАМЕТРЫ!$B$17:$G$17)</f>
        <v>0</v>
      </c>
      <c r="J1501" s="12" t="n">
        <f aca="false">I1501*G1501/1000</f>
        <v>0</v>
      </c>
      <c r="K1501" s="11" t="s">
        <v>217</v>
      </c>
      <c r="L1501" s="11" t="s">
        <v>19</v>
      </c>
      <c r="M1501" s="11" t="s">
        <v>145</v>
      </c>
    </row>
    <row r="1502" customFormat="false" ht="15" hidden="false" customHeight="false" outlineLevel="0" collapsed="false">
      <c r="A1502" s="11" t="s">
        <v>110</v>
      </c>
      <c r="B1502" s="11" t="s">
        <v>127</v>
      </c>
      <c r="C1502" s="11" t="n">
        <v>4</v>
      </c>
      <c r="D1502" s="11" t="s">
        <v>74</v>
      </c>
      <c r="E1502" s="11" t="s">
        <v>156</v>
      </c>
      <c r="F1502" s="11" t="s">
        <v>73</v>
      </c>
      <c r="G1502" s="12" t="n">
        <v>500</v>
      </c>
      <c r="H1502" s="12" t="n">
        <f aca="false">SUMPRODUCT(ПОТОКИ!B14:G14,ЧАСОВЫЕ_ПРОФИЛИ!B14:G14,КОЭФФИЦИЕНТЫ_ВЫБОРА!F14:K14)</f>
        <v>0</v>
      </c>
      <c r="I1502" s="12" t="n">
        <f aca="false">SUMPRODUCT(ПОТОКИ!B14:G14,ЧАСОВЫЕ_ПРОФИЛИ!B14:G14,КОЭФФИЦИЕНТЫ_ВЫБОРА!F14:K14,ПАРАМЕТРЫ!$B$17:$G$17)</f>
        <v>0</v>
      </c>
      <c r="J1502" s="12" t="n">
        <f aca="false">I1502*G1502/1000</f>
        <v>0</v>
      </c>
      <c r="K1502" s="11" t="s">
        <v>217</v>
      </c>
      <c r="L1502" s="11" t="s">
        <v>19</v>
      </c>
      <c r="M1502" s="11" t="s">
        <v>145</v>
      </c>
    </row>
    <row r="1503" customFormat="false" ht="15" hidden="false" customHeight="false" outlineLevel="0" collapsed="false">
      <c r="A1503" s="11" t="s">
        <v>110</v>
      </c>
      <c r="B1503" s="11" t="s">
        <v>127</v>
      </c>
      <c r="C1503" s="11" t="n">
        <v>5</v>
      </c>
      <c r="D1503" s="11" t="s">
        <v>78</v>
      </c>
      <c r="E1503" s="11" t="s">
        <v>157</v>
      </c>
      <c r="F1503" s="11" t="s">
        <v>77</v>
      </c>
      <c r="G1503" s="12" t="n">
        <v>100</v>
      </c>
      <c r="H1503" s="12" t="n">
        <f aca="false">SUMPRODUCT(ПОТОКИ!B14:G14,ЧАСОВЫЕ_ПРОФИЛИ!B14:G14,КОЭФФИЦИЕНТЫ_ВЫБОРА!F15:K15)</f>
        <v>0.216</v>
      </c>
      <c r="I1503" s="12" t="n">
        <f aca="false">SUMPRODUCT(ПОТОКИ!B14:G14,ЧАСОВЫЕ_ПРОФИЛИ!B14:G14,КОЭФФИЦИЕНТЫ_ВЫБОРА!F15:K15,ПАРАМЕТРЫ!$B$17:$G$17)</f>
        <v>0.2376</v>
      </c>
      <c r="J1503" s="12" t="n">
        <f aca="false">I1503*G1503/1000</f>
        <v>0.02376</v>
      </c>
      <c r="K1503" s="11" t="s">
        <v>217</v>
      </c>
      <c r="L1503" s="11" t="s">
        <v>19</v>
      </c>
      <c r="M1503" s="11" t="s">
        <v>147</v>
      </c>
    </row>
    <row r="1504" customFormat="false" ht="15" hidden="false" customHeight="false" outlineLevel="0" collapsed="false">
      <c r="A1504" s="11" t="s">
        <v>110</v>
      </c>
      <c r="B1504" s="11" t="s">
        <v>127</v>
      </c>
      <c r="C1504" s="11" t="n">
        <v>6</v>
      </c>
      <c r="D1504" s="11" t="s">
        <v>78</v>
      </c>
      <c r="E1504" s="11" t="s">
        <v>158</v>
      </c>
      <c r="F1504" s="11" t="s">
        <v>77</v>
      </c>
      <c r="G1504" s="12" t="n">
        <v>100</v>
      </c>
      <c r="H1504" s="12" t="n">
        <f aca="false">SUMPRODUCT(ПОТОКИ!B14:G14,ЧАСОВЫЕ_ПРОФИЛИ!B14:G14,КОЭФФИЦИЕНТЫ_ВЫБОРА!F16:K16)</f>
        <v>0.216</v>
      </c>
      <c r="I1504" s="12" t="n">
        <f aca="false">SUMPRODUCT(ПОТОКИ!B14:G14,ЧАСОВЫЕ_ПРОФИЛИ!B14:G14,КОЭФФИЦИЕНТЫ_ВЫБОРА!F16:K16,ПАРАМЕТРЫ!$B$17:$G$17)</f>
        <v>0.2376</v>
      </c>
      <c r="J1504" s="12" t="n">
        <f aca="false">I1504*G1504/1000</f>
        <v>0.02376</v>
      </c>
      <c r="K1504" s="11" t="s">
        <v>217</v>
      </c>
      <c r="L1504" s="11" t="s">
        <v>19</v>
      </c>
      <c r="M1504" s="11" t="s">
        <v>147</v>
      </c>
    </row>
    <row r="1505" customFormat="false" ht="15" hidden="false" customHeight="false" outlineLevel="0" collapsed="false">
      <c r="A1505" s="11" t="s">
        <v>110</v>
      </c>
      <c r="B1505" s="11" t="s">
        <v>127</v>
      </c>
      <c r="C1505" s="11" t="n">
        <v>7</v>
      </c>
      <c r="D1505" s="11" t="s">
        <v>78</v>
      </c>
      <c r="E1505" s="11" t="s">
        <v>159</v>
      </c>
      <c r="F1505" s="11" t="s">
        <v>77</v>
      </c>
      <c r="G1505" s="12" t="n">
        <v>350</v>
      </c>
      <c r="H1505" s="12" t="n">
        <f aca="false">SUMPRODUCT(ПОТОКИ!B14:G14,ЧАСОВЫЕ_ПРОФИЛИ!B14:G14,КОЭФФИЦИЕНТЫ_ВЫБОРА!F17:K17)</f>
        <v>0.18</v>
      </c>
      <c r="I1505" s="12" t="n">
        <f aca="false">SUMPRODUCT(ПОТОКИ!B14:G14,ЧАСОВЫЕ_ПРОФИЛИ!B14:G14,КОЭФФИЦИЕНТЫ_ВЫБОРА!F17:K17,ПАРАМЕТРЫ!$B$17:$G$17)</f>
        <v>0.198</v>
      </c>
      <c r="J1505" s="12" t="n">
        <f aca="false">I1505*G1505/1000</f>
        <v>0.0693</v>
      </c>
      <c r="K1505" s="11" t="s">
        <v>217</v>
      </c>
      <c r="L1505" s="11" t="s">
        <v>19</v>
      </c>
      <c r="M1505" s="11" t="s">
        <v>147</v>
      </c>
    </row>
    <row r="1506" customFormat="false" ht="15" hidden="false" customHeight="false" outlineLevel="0" collapsed="false">
      <c r="A1506" s="11" t="s">
        <v>110</v>
      </c>
      <c r="B1506" s="11" t="s">
        <v>127</v>
      </c>
      <c r="C1506" s="11" t="n">
        <v>8</v>
      </c>
      <c r="D1506" s="11" t="s">
        <v>78</v>
      </c>
      <c r="E1506" s="11" t="s">
        <v>160</v>
      </c>
      <c r="F1506" s="11" t="s">
        <v>77</v>
      </c>
      <c r="G1506" s="12" t="n">
        <v>85</v>
      </c>
      <c r="H1506" s="12" t="n">
        <f aca="false">SUMPRODUCT(ПОТОКИ!B14:G14,ЧАСОВЫЕ_ПРОФИЛИ!B14:G14,КОЭФФИЦИЕНТЫ_ВЫБОРА!F18:K18)</f>
        <v>0.108</v>
      </c>
      <c r="I1506" s="12" t="n">
        <f aca="false">SUMPRODUCT(ПОТОКИ!B14:G14,ЧАСОВЫЕ_ПРОФИЛИ!B14:G14,КОЭФФИЦИЕНТЫ_ВЫБОРА!F18:K18,ПАРАМЕТРЫ!$B$17:$G$17)</f>
        <v>0.1188</v>
      </c>
      <c r="J1506" s="12" t="n">
        <f aca="false">I1506*G1506/1000</f>
        <v>0.010098</v>
      </c>
      <c r="K1506" s="11" t="s">
        <v>217</v>
      </c>
      <c r="L1506" s="11" t="s">
        <v>19</v>
      </c>
      <c r="M1506" s="11" t="s">
        <v>147</v>
      </c>
    </row>
    <row r="1507" customFormat="false" ht="15" hidden="false" customHeight="false" outlineLevel="0" collapsed="false">
      <c r="A1507" s="11" t="s">
        <v>110</v>
      </c>
      <c r="B1507" s="11" t="s">
        <v>127</v>
      </c>
      <c r="C1507" s="11" t="n">
        <v>9</v>
      </c>
      <c r="D1507" s="11" t="s">
        <v>161</v>
      </c>
      <c r="E1507" s="11" t="s">
        <v>162</v>
      </c>
      <c r="F1507" s="11" t="s">
        <v>80</v>
      </c>
      <c r="G1507" s="12" t="n">
        <v>300</v>
      </c>
      <c r="H1507" s="12" t="n">
        <f aca="false">SUMPRODUCT(ПОТОКИ!B14:G14,ЧАСОВЫЕ_ПРОФИЛИ!B14:G14,КОЭФФИЦИЕНТЫ_ВЫБОРА!F19:K19)</f>
        <v>0</v>
      </c>
      <c r="I1507" s="12" t="n">
        <f aca="false">SUMPRODUCT(ПОТОКИ!B14:G14,ЧАСОВЫЕ_ПРОФИЛИ!B14:G14,КОЭФФИЦИЕНТЫ_ВЫБОРА!F19:K19,ПАРАМЕТРЫ!$B$17:$G$17)</f>
        <v>0</v>
      </c>
      <c r="J1507" s="12" t="n">
        <f aca="false">I1507*G1507/1000</f>
        <v>0</v>
      </c>
      <c r="K1507" s="11" t="s">
        <v>217</v>
      </c>
      <c r="L1507" s="11" t="s">
        <v>19</v>
      </c>
      <c r="M1507" s="11" t="s">
        <v>145</v>
      </c>
    </row>
    <row r="1508" customFormat="false" ht="15" hidden="false" customHeight="false" outlineLevel="0" collapsed="false">
      <c r="A1508" s="11" t="s">
        <v>110</v>
      </c>
      <c r="B1508" s="11" t="s">
        <v>127</v>
      </c>
      <c r="C1508" s="11" t="n">
        <v>10</v>
      </c>
      <c r="D1508" s="11" t="s">
        <v>161</v>
      </c>
      <c r="E1508" s="11" t="s">
        <v>163</v>
      </c>
      <c r="F1508" s="11" t="s">
        <v>80</v>
      </c>
      <c r="G1508" s="12" t="n">
        <v>280</v>
      </c>
      <c r="H1508" s="12" t="n">
        <f aca="false">SUMPRODUCT(ПОТОКИ!B14:G14,ЧАСОВЫЕ_ПРОФИЛИ!B14:G14,КОЭФФИЦИЕНТЫ_ВЫБОРА!F20:K20)</f>
        <v>0</v>
      </c>
      <c r="I1508" s="12" t="n">
        <f aca="false">SUMPRODUCT(ПОТОКИ!B14:G14,ЧАСОВЫЕ_ПРОФИЛИ!B14:G14,КОЭФФИЦИЕНТЫ_ВЫБОРА!F20:K20,ПАРАМЕТРЫ!$B$17:$G$17)</f>
        <v>0</v>
      </c>
      <c r="J1508" s="12" t="n">
        <f aca="false">I1508*G1508/1000</f>
        <v>0</v>
      </c>
      <c r="K1508" s="11" t="s">
        <v>217</v>
      </c>
      <c r="L1508" s="11" t="s">
        <v>19</v>
      </c>
      <c r="M1508" s="11" t="s">
        <v>145</v>
      </c>
    </row>
    <row r="1509" customFormat="false" ht="15" hidden="false" customHeight="false" outlineLevel="0" collapsed="false">
      <c r="A1509" s="11" t="s">
        <v>110</v>
      </c>
      <c r="B1509" s="11" t="s">
        <v>127</v>
      </c>
      <c r="C1509" s="11" t="n">
        <v>11</v>
      </c>
      <c r="D1509" s="11" t="s">
        <v>161</v>
      </c>
      <c r="E1509" s="11" t="s">
        <v>164</v>
      </c>
      <c r="F1509" s="11" t="s">
        <v>80</v>
      </c>
      <c r="G1509" s="12" t="n">
        <v>270</v>
      </c>
      <c r="H1509" s="12" t="n">
        <f aca="false">SUMPRODUCT(ПОТОКИ!B14:G14,ЧАСОВЫЕ_ПРОФИЛИ!B14:G14,КОЭФФИЦИЕНТЫ_ВЫБОРА!F21:K21)</f>
        <v>0</v>
      </c>
      <c r="I1509" s="12" t="n">
        <f aca="false">SUMPRODUCT(ПОТОКИ!B14:G14,ЧАСОВЫЕ_ПРОФИЛИ!B14:G14,КОЭФФИЦИЕНТЫ_ВЫБОРА!F21:K21,ПАРАМЕТРЫ!$B$17:$G$17)</f>
        <v>0</v>
      </c>
      <c r="J1509" s="12" t="n">
        <f aca="false">I1509*G1509/1000</f>
        <v>0</v>
      </c>
      <c r="K1509" s="11" t="s">
        <v>217</v>
      </c>
      <c r="L1509" s="11" t="s">
        <v>19</v>
      </c>
      <c r="M1509" s="11" t="s">
        <v>145</v>
      </c>
    </row>
    <row r="1510" customFormat="false" ht="15" hidden="false" customHeight="false" outlineLevel="0" collapsed="false">
      <c r="A1510" s="11" t="s">
        <v>110</v>
      </c>
      <c r="B1510" s="11" t="s">
        <v>127</v>
      </c>
      <c r="C1510" s="11" t="n">
        <v>12</v>
      </c>
      <c r="D1510" s="11" t="s">
        <v>161</v>
      </c>
      <c r="E1510" s="11" t="s">
        <v>165</v>
      </c>
      <c r="F1510" s="11" t="s">
        <v>80</v>
      </c>
      <c r="G1510" s="12" t="n">
        <v>240</v>
      </c>
      <c r="H1510" s="12" t="n">
        <f aca="false">SUMPRODUCT(ПОТОКИ!B14:G14,ЧАСОВЫЕ_ПРОФИЛИ!B14:G14,КОЭФФИЦИЕНТЫ_ВЫБОРА!F22:K22)</f>
        <v>0</v>
      </c>
      <c r="I1510" s="12" t="n">
        <f aca="false">SUMPRODUCT(ПОТОКИ!B14:G14,ЧАСОВЫЕ_ПРОФИЛИ!B14:G14,КОЭФФИЦИЕНТЫ_ВЫБОРА!F22:K22,ПАРАМЕТРЫ!$B$17:$G$17)</f>
        <v>0</v>
      </c>
      <c r="J1510" s="12" t="n">
        <f aca="false">I1510*G1510/1000</f>
        <v>0</v>
      </c>
      <c r="K1510" s="11" t="s">
        <v>217</v>
      </c>
      <c r="L1510" s="11" t="s">
        <v>19</v>
      </c>
      <c r="M1510" s="11" t="s">
        <v>145</v>
      </c>
    </row>
    <row r="1511" customFormat="false" ht="15" hidden="false" customHeight="false" outlineLevel="0" collapsed="false">
      <c r="A1511" s="11" t="s">
        <v>110</v>
      </c>
      <c r="B1511" s="11" t="s">
        <v>127</v>
      </c>
      <c r="C1511" s="11" t="n">
        <v>13</v>
      </c>
      <c r="D1511" s="11" t="s">
        <v>166</v>
      </c>
      <c r="E1511" s="11" t="s">
        <v>167</v>
      </c>
      <c r="F1511" s="11" t="s">
        <v>80</v>
      </c>
      <c r="G1511" s="12" t="n">
        <v>130</v>
      </c>
      <c r="H1511" s="12" t="n">
        <f aca="false">SUMPRODUCT(ПОТОКИ!B14:G14,ЧАСОВЫЕ_ПРОФИЛИ!B14:G14,КОЭФФИЦИЕНТЫ_ВЫБОРА!F23:K23)</f>
        <v>0</v>
      </c>
      <c r="I1511" s="12" t="n">
        <f aca="false">SUMPRODUCT(ПОТОКИ!B14:G14,ЧАСОВЫЕ_ПРОФИЛИ!B14:G14,КОЭФФИЦИЕНТЫ_ВЫБОРА!F23:K23,ПАРАМЕТРЫ!$B$17:$G$17)</f>
        <v>0</v>
      </c>
      <c r="J1511" s="12" t="n">
        <f aca="false">I1511*G1511/1000</f>
        <v>0</v>
      </c>
      <c r="K1511" s="11" t="s">
        <v>217</v>
      </c>
      <c r="L1511" s="11" t="s">
        <v>19</v>
      </c>
      <c r="M1511" s="11" t="s">
        <v>145</v>
      </c>
    </row>
    <row r="1512" customFormat="false" ht="15" hidden="false" customHeight="false" outlineLevel="0" collapsed="false">
      <c r="A1512" s="11" t="s">
        <v>110</v>
      </c>
      <c r="B1512" s="11" t="s">
        <v>127</v>
      </c>
      <c r="C1512" s="11" t="n">
        <v>14</v>
      </c>
      <c r="D1512" s="11" t="s">
        <v>166</v>
      </c>
      <c r="E1512" s="11" t="s">
        <v>168</v>
      </c>
      <c r="F1512" s="11" t="s">
        <v>80</v>
      </c>
      <c r="G1512" s="12" t="n">
        <v>250</v>
      </c>
      <c r="H1512" s="12" t="n">
        <f aca="false">SUMPRODUCT(ПОТОКИ!B14:G14,ЧАСОВЫЕ_ПРОФИЛИ!B14:G14,КОЭФФИЦИЕНТЫ_ВЫБОРА!F24:K24)</f>
        <v>0</v>
      </c>
      <c r="I1512" s="12" t="n">
        <f aca="false">SUMPRODUCT(ПОТОКИ!B14:G14,ЧАСОВЫЕ_ПРОФИЛИ!B14:G14,КОЭФФИЦИЕНТЫ_ВЫБОРА!F24:K24,ПАРАМЕТРЫ!$B$17:$G$17)</f>
        <v>0</v>
      </c>
      <c r="J1512" s="12" t="n">
        <f aca="false">I1512*G1512/1000</f>
        <v>0</v>
      </c>
      <c r="K1512" s="11" t="s">
        <v>217</v>
      </c>
      <c r="L1512" s="11" t="s">
        <v>19</v>
      </c>
      <c r="M1512" s="11" t="s">
        <v>145</v>
      </c>
    </row>
    <row r="1513" customFormat="false" ht="15" hidden="false" customHeight="false" outlineLevel="0" collapsed="false">
      <c r="A1513" s="11" t="s">
        <v>110</v>
      </c>
      <c r="B1513" s="11" t="s">
        <v>127</v>
      </c>
      <c r="C1513" s="11" t="n">
        <v>15</v>
      </c>
      <c r="D1513" s="11" t="s">
        <v>166</v>
      </c>
      <c r="E1513" s="11" t="s">
        <v>169</v>
      </c>
      <c r="F1513" s="11" t="s">
        <v>80</v>
      </c>
      <c r="G1513" s="12" t="n">
        <v>120</v>
      </c>
      <c r="H1513" s="12" t="n">
        <f aca="false">SUMPRODUCT(ПОТОКИ!B14:G14,ЧАСОВЫЕ_ПРОФИЛИ!B14:G14,КОЭФФИЦИЕНТЫ_ВЫБОРА!F25:K25)</f>
        <v>0</v>
      </c>
      <c r="I1513" s="12" t="n">
        <f aca="false">SUMPRODUCT(ПОТОКИ!B14:G14,ЧАСОВЫЕ_ПРОФИЛИ!B14:G14,КОЭФФИЦИЕНТЫ_ВЫБОРА!F25:K25,ПАРАМЕТРЫ!$B$17:$G$17)</f>
        <v>0</v>
      </c>
      <c r="J1513" s="12" t="n">
        <f aca="false">I1513*G1513/1000</f>
        <v>0</v>
      </c>
      <c r="K1513" s="11" t="s">
        <v>217</v>
      </c>
      <c r="L1513" s="11" t="s">
        <v>19</v>
      </c>
      <c r="M1513" s="11" t="s">
        <v>145</v>
      </c>
    </row>
    <row r="1514" customFormat="false" ht="15" hidden="false" customHeight="false" outlineLevel="0" collapsed="false">
      <c r="A1514" s="11" t="s">
        <v>110</v>
      </c>
      <c r="B1514" s="11" t="s">
        <v>127</v>
      </c>
      <c r="C1514" s="11" t="n">
        <v>16</v>
      </c>
      <c r="D1514" s="11" t="s">
        <v>166</v>
      </c>
      <c r="E1514" s="11" t="s">
        <v>170</v>
      </c>
      <c r="F1514" s="11" t="s">
        <v>80</v>
      </c>
      <c r="G1514" s="12" t="n">
        <v>180</v>
      </c>
      <c r="H1514" s="12" t="n">
        <f aca="false">SUMPRODUCT(ПОТОКИ!B14:G14,ЧАСОВЫЕ_ПРОФИЛИ!B14:G14,КОЭФФИЦИЕНТЫ_ВЫБОРА!F26:K26)</f>
        <v>0</v>
      </c>
      <c r="I1514" s="12" t="n">
        <f aca="false">SUMPRODUCT(ПОТОКИ!B14:G14,ЧАСОВЫЕ_ПРОФИЛИ!B14:G14,КОЭФФИЦИЕНТЫ_ВЫБОРА!F26:K26,ПАРАМЕТРЫ!$B$17:$G$17)</f>
        <v>0</v>
      </c>
      <c r="J1514" s="12" t="n">
        <f aca="false">I1514*G1514/1000</f>
        <v>0</v>
      </c>
      <c r="K1514" s="11" t="s">
        <v>217</v>
      </c>
      <c r="L1514" s="11" t="s">
        <v>19</v>
      </c>
      <c r="M1514" s="11" t="s">
        <v>145</v>
      </c>
    </row>
    <row r="1515" customFormat="false" ht="15" hidden="false" customHeight="false" outlineLevel="0" collapsed="false">
      <c r="A1515" s="11" t="s">
        <v>110</v>
      </c>
      <c r="B1515" s="11" t="s">
        <v>127</v>
      </c>
      <c r="C1515" s="11" t="n">
        <v>17</v>
      </c>
      <c r="D1515" s="11" t="s">
        <v>166</v>
      </c>
      <c r="E1515" s="11" t="s">
        <v>171</v>
      </c>
      <c r="F1515" s="11" t="s">
        <v>80</v>
      </c>
      <c r="G1515" s="12" t="n">
        <v>180</v>
      </c>
      <c r="H1515" s="12" t="n">
        <f aca="false">SUMPRODUCT(ПОТОКИ!B14:G14,ЧАСОВЫЕ_ПРОФИЛИ!B14:G14,КОЭФФИЦИЕНТЫ_ВЫБОРА!F27:K27)</f>
        <v>0</v>
      </c>
      <c r="I1515" s="12" t="n">
        <f aca="false">SUMPRODUCT(ПОТОКИ!B14:G14,ЧАСОВЫЕ_ПРОФИЛИ!B14:G14,КОЭФФИЦИЕНТЫ_ВЫБОРА!F27:K27,ПАРАМЕТРЫ!$B$17:$G$17)</f>
        <v>0</v>
      </c>
      <c r="J1515" s="12" t="n">
        <f aca="false">I1515*G1515/1000</f>
        <v>0</v>
      </c>
      <c r="K1515" s="11" t="s">
        <v>217</v>
      </c>
      <c r="L1515" s="11" t="s">
        <v>19</v>
      </c>
      <c r="M1515" s="11" t="s">
        <v>145</v>
      </c>
    </row>
    <row r="1516" customFormat="false" ht="15" hidden="false" customHeight="false" outlineLevel="0" collapsed="false">
      <c r="A1516" s="11" t="s">
        <v>110</v>
      </c>
      <c r="B1516" s="11" t="s">
        <v>127</v>
      </c>
      <c r="C1516" s="11" t="n">
        <v>18</v>
      </c>
      <c r="D1516" s="11" t="s">
        <v>172</v>
      </c>
      <c r="E1516" s="11" t="s">
        <v>173</v>
      </c>
      <c r="F1516" s="11" t="s">
        <v>83</v>
      </c>
      <c r="G1516" s="12" t="n">
        <v>400</v>
      </c>
      <c r="H1516" s="12" t="n">
        <f aca="false">SUMPRODUCT(ПОТОКИ!B14:G14,ЧАСОВЫЕ_ПРОФИЛИ!B14:G14,КОЭФФИЦИЕНТЫ_ВЫБОРА!F28:K28)</f>
        <v>0</v>
      </c>
      <c r="I1516" s="12" t="n">
        <f aca="false">SUMPRODUCT(ПОТОКИ!B14:G14,ЧАСОВЫЕ_ПРОФИЛИ!B14:G14,КОЭФФИЦИЕНТЫ_ВЫБОРА!F28:K28,ПАРАМЕТРЫ!$B$17:$G$17)</f>
        <v>0</v>
      </c>
      <c r="J1516" s="12" t="n">
        <f aca="false">I1516*G1516/1000</f>
        <v>0</v>
      </c>
      <c r="K1516" s="11" t="s">
        <v>217</v>
      </c>
      <c r="L1516" s="11" t="s">
        <v>19</v>
      </c>
      <c r="M1516" s="11" t="s">
        <v>145</v>
      </c>
    </row>
    <row r="1517" customFormat="false" ht="23.85" hidden="false" customHeight="false" outlineLevel="0" collapsed="false">
      <c r="A1517" s="11" t="s">
        <v>110</v>
      </c>
      <c r="B1517" s="11" t="s">
        <v>127</v>
      </c>
      <c r="C1517" s="11" t="n">
        <v>19</v>
      </c>
      <c r="D1517" s="11" t="s">
        <v>174</v>
      </c>
      <c r="E1517" s="11" t="s">
        <v>175</v>
      </c>
      <c r="F1517" s="11" t="s">
        <v>83</v>
      </c>
      <c r="G1517" s="12" t="n">
        <v>300</v>
      </c>
      <c r="H1517" s="12" t="n">
        <f aca="false">SUMPRODUCT(ПОТОКИ!B14:G14,ЧАСОВЫЕ_ПРОФИЛИ!B14:G14,КОЭФФИЦИЕНТЫ_ВЫБОРА!F29:K29)</f>
        <v>0</v>
      </c>
      <c r="I1517" s="12" t="n">
        <f aca="false">SUMPRODUCT(ПОТОКИ!B14:G14,ЧАСОВЫЕ_ПРОФИЛИ!B14:G14,КОЭФФИЦИЕНТЫ_ВЫБОРА!F29:K29,ПАРАМЕТРЫ!$B$17:$G$17)</f>
        <v>0</v>
      </c>
      <c r="J1517" s="12" t="n">
        <f aca="false">I1517*G1517/1000</f>
        <v>0</v>
      </c>
      <c r="K1517" s="11" t="s">
        <v>217</v>
      </c>
      <c r="L1517" s="11" t="s">
        <v>19</v>
      </c>
      <c r="M1517" s="11" t="s">
        <v>145</v>
      </c>
    </row>
    <row r="1518" customFormat="false" ht="15" hidden="false" customHeight="false" outlineLevel="0" collapsed="false">
      <c r="A1518" s="11" t="s">
        <v>110</v>
      </c>
      <c r="B1518" s="11" t="s">
        <v>127</v>
      </c>
      <c r="C1518" s="11" t="n">
        <v>20</v>
      </c>
      <c r="D1518" s="11" t="s">
        <v>174</v>
      </c>
      <c r="E1518" s="11" t="s">
        <v>176</v>
      </c>
      <c r="F1518" s="11" t="s">
        <v>83</v>
      </c>
      <c r="G1518" s="12" t="n">
        <v>360</v>
      </c>
      <c r="H1518" s="12" t="n">
        <f aca="false">SUMPRODUCT(ПОТОКИ!B14:G14,ЧАСОВЫЕ_ПРОФИЛИ!B14:G14,КОЭФФИЦИЕНТЫ_ВЫБОРА!F30:K30)</f>
        <v>0</v>
      </c>
      <c r="I1518" s="12" t="n">
        <f aca="false">SUMPRODUCT(ПОТОКИ!B14:G14,ЧАСОВЫЕ_ПРОФИЛИ!B14:G14,КОЭФФИЦИЕНТЫ_ВЫБОРА!F30:K30,ПАРАМЕТРЫ!$B$17:$G$17)</f>
        <v>0</v>
      </c>
      <c r="J1518" s="12" t="n">
        <f aca="false">I1518*G1518/1000</f>
        <v>0</v>
      </c>
      <c r="K1518" s="11" t="s">
        <v>217</v>
      </c>
      <c r="L1518" s="11" t="s">
        <v>19</v>
      </c>
      <c r="M1518" s="11" t="s">
        <v>145</v>
      </c>
    </row>
    <row r="1519" customFormat="false" ht="15" hidden="false" customHeight="false" outlineLevel="0" collapsed="false">
      <c r="A1519" s="11" t="s">
        <v>110</v>
      </c>
      <c r="B1519" s="11" t="s">
        <v>127</v>
      </c>
      <c r="C1519" s="11" t="n">
        <v>21</v>
      </c>
      <c r="D1519" s="11" t="s">
        <v>174</v>
      </c>
      <c r="E1519" s="11" t="s">
        <v>177</v>
      </c>
      <c r="F1519" s="11" t="s">
        <v>83</v>
      </c>
      <c r="G1519" s="12" t="n">
        <v>350</v>
      </c>
      <c r="H1519" s="12" t="n">
        <f aca="false">SUMPRODUCT(ПОТОКИ!B14:G14,ЧАСОВЫЕ_ПРОФИЛИ!B14:G14,КОЭФФИЦИЕНТЫ_ВЫБОРА!F31:K31)</f>
        <v>0</v>
      </c>
      <c r="I1519" s="12" t="n">
        <f aca="false">SUMPRODUCT(ПОТОКИ!B14:G14,ЧАСОВЫЕ_ПРОФИЛИ!B14:G14,КОЭФФИЦИЕНТЫ_ВЫБОРА!F31:K31,ПАРАМЕТРЫ!$B$17:$G$17)</f>
        <v>0</v>
      </c>
      <c r="J1519" s="12" t="n">
        <f aca="false">I1519*G1519/1000</f>
        <v>0</v>
      </c>
      <c r="K1519" s="11" t="s">
        <v>217</v>
      </c>
      <c r="L1519" s="11" t="s">
        <v>19</v>
      </c>
      <c r="M1519" s="11" t="s">
        <v>145</v>
      </c>
    </row>
    <row r="1520" customFormat="false" ht="15" hidden="false" customHeight="false" outlineLevel="0" collapsed="false">
      <c r="A1520" s="11" t="s">
        <v>110</v>
      </c>
      <c r="B1520" s="11" t="s">
        <v>127</v>
      </c>
      <c r="C1520" s="11" t="n">
        <v>22</v>
      </c>
      <c r="D1520" s="11" t="s">
        <v>174</v>
      </c>
      <c r="E1520" s="11" t="s">
        <v>178</v>
      </c>
      <c r="F1520" s="11" t="s">
        <v>83</v>
      </c>
      <c r="G1520" s="12" t="n">
        <v>300</v>
      </c>
      <c r="H1520" s="12" t="n">
        <f aca="false">SUMPRODUCT(ПОТОКИ!B14:G14,ЧАСОВЫЕ_ПРОФИЛИ!B14:G14,КОЭФФИЦИЕНТЫ_ВЫБОРА!F32:K32)</f>
        <v>0</v>
      </c>
      <c r="I1520" s="12" t="n">
        <f aca="false">SUMPRODUCT(ПОТОКИ!B14:G14,ЧАСОВЫЕ_ПРОФИЛИ!B14:G14,КОЭФФИЦИЕНТЫ_ВЫБОРА!F32:K32,ПАРАМЕТРЫ!$B$17:$G$17)</f>
        <v>0</v>
      </c>
      <c r="J1520" s="12" t="n">
        <f aca="false">I1520*G1520/1000</f>
        <v>0</v>
      </c>
      <c r="K1520" s="11" t="s">
        <v>217</v>
      </c>
      <c r="L1520" s="11" t="s">
        <v>19</v>
      </c>
      <c r="M1520" s="11" t="s">
        <v>145</v>
      </c>
    </row>
    <row r="1521" customFormat="false" ht="15" hidden="false" customHeight="false" outlineLevel="0" collapsed="false">
      <c r="A1521" s="11" t="s">
        <v>110</v>
      </c>
      <c r="B1521" s="11" t="s">
        <v>127</v>
      </c>
      <c r="C1521" s="11" t="n">
        <v>23</v>
      </c>
      <c r="D1521" s="11" t="s">
        <v>86</v>
      </c>
      <c r="E1521" s="11" t="s">
        <v>179</v>
      </c>
      <c r="F1521" s="11" t="s">
        <v>85</v>
      </c>
      <c r="G1521" s="12" t="n">
        <v>150</v>
      </c>
      <c r="H1521" s="12" t="n">
        <f aca="false">SUMPRODUCT(ПОТОКИ!B14:G14,ЧАСОВЫЕ_ПРОФИЛИ!B14:G14,КОЭФФИЦИЕНТЫ_ВЫБОРА!F33:K33)</f>
        <v>0</v>
      </c>
      <c r="I1521" s="12" t="n">
        <f aca="false">SUMPRODUCT(ПОТОКИ!B14:G14,ЧАСОВЫЕ_ПРОФИЛИ!B14:G14,КОЭФФИЦИЕНТЫ_ВЫБОРА!F33:K33,ПАРАМЕТРЫ!$B$17:$G$17)</f>
        <v>0</v>
      </c>
      <c r="J1521" s="12" t="n">
        <f aca="false">I1521*G1521/1000</f>
        <v>0</v>
      </c>
      <c r="K1521" s="11" t="s">
        <v>217</v>
      </c>
      <c r="L1521" s="11" t="s">
        <v>19</v>
      </c>
      <c r="M1521" s="11" t="s">
        <v>147</v>
      </c>
    </row>
    <row r="1522" customFormat="false" ht="15" hidden="false" customHeight="false" outlineLevel="0" collapsed="false">
      <c r="A1522" s="11" t="s">
        <v>110</v>
      </c>
      <c r="B1522" s="11" t="s">
        <v>127</v>
      </c>
      <c r="C1522" s="11" t="n">
        <v>24</v>
      </c>
      <c r="D1522" s="11" t="s">
        <v>86</v>
      </c>
      <c r="E1522" s="11" t="s">
        <v>180</v>
      </c>
      <c r="F1522" s="11" t="s">
        <v>85</v>
      </c>
      <c r="G1522" s="12" t="n">
        <v>150</v>
      </c>
      <c r="H1522" s="12" t="n">
        <f aca="false">SUMPRODUCT(ПОТОКИ!B14:G14,ЧАСОВЫЕ_ПРОФИЛИ!B14:G14,КОЭФФИЦИЕНТЫ_ВЫБОРА!F34:K34)</f>
        <v>0</v>
      </c>
      <c r="I1522" s="12" t="n">
        <f aca="false">SUMPRODUCT(ПОТОКИ!B14:G14,ЧАСОВЫЕ_ПРОФИЛИ!B14:G14,КОЭФФИЦИЕНТЫ_ВЫБОРА!F34:K34,ПАРАМЕТРЫ!$B$17:$G$17)</f>
        <v>0</v>
      </c>
      <c r="J1522" s="12" t="n">
        <f aca="false">I1522*G1522/1000</f>
        <v>0</v>
      </c>
      <c r="K1522" s="11" t="s">
        <v>217</v>
      </c>
      <c r="L1522" s="11" t="s">
        <v>19</v>
      </c>
      <c r="M1522" s="11" t="s">
        <v>147</v>
      </c>
    </row>
    <row r="1523" customFormat="false" ht="15" hidden="false" customHeight="false" outlineLevel="0" collapsed="false">
      <c r="A1523" s="11" t="s">
        <v>110</v>
      </c>
      <c r="B1523" s="11" t="s">
        <v>127</v>
      </c>
      <c r="C1523" s="11" t="n">
        <v>25</v>
      </c>
      <c r="D1523" s="11" t="s">
        <v>86</v>
      </c>
      <c r="E1523" s="11" t="s">
        <v>181</v>
      </c>
      <c r="F1523" s="11" t="s">
        <v>85</v>
      </c>
      <c r="G1523" s="12" t="n">
        <v>150</v>
      </c>
      <c r="H1523" s="12" t="n">
        <f aca="false">SUMPRODUCT(ПОТОКИ!B14:G14,ЧАСОВЫЕ_ПРОФИЛИ!B14:G14,КОЭФФИЦИЕНТЫ_ВЫБОРА!F35:K35)</f>
        <v>0</v>
      </c>
      <c r="I1523" s="12" t="n">
        <f aca="false">SUMPRODUCT(ПОТОКИ!B14:G14,ЧАСОВЫЕ_ПРОФИЛИ!B14:G14,КОЭФФИЦИЕНТЫ_ВЫБОРА!F35:K35,ПАРАМЕТРЫ!$B$17:$G$17)</f>
        <v>0</v>
      </c>
      <c r="J1523" s="12" t="n">
        <f aca="false">I1523*G1523/1000</f>
        <v>0</v>
      </c>
      <c r="K1523" s="11" t="s">
        <v>217</v>
      </c>
      <c r="L1523" s="11" t="s">
        <v>19</v>
      </c>
      <c r="M1523" s="11" t="s">
        <v>147</v>
      </c>
    </row>
    <row r="1524" customFormat="false" ht="23.85" hidden="false" customHeight="false" outlineLevel="0" collapsed="false">
      <c r="A1524" s="11" t="s">
        <v>110</v>
      </c>
      <c r="B1524" s="11" t="s">
        <v>127</v>
      </c>
      <c r="C1524" s="11" t="n">
        <v>26</v>
      </c>
      <c r="D1524" s="11" t="s">
        <v>89</v>
      </c>
      <c r="E1524" s="11" t="s">
        <v>182</v>
      </c>
      <c r="F1524" s="11" t="s">
        <v>88</v>
      </c>
      <c r="G1524" s="12" t="n">
        <v>225</v>
      </c>
      <c r="H1524" s="12" t="n">
        <f aca="false">SUMPRODUCT(ПОТОКИ!B14:G14,ЧАСОВЫЕ_ПРОФИЛИ!B14:G14,КОЭФФИЦИЕНТЫ_ВЫБОРА!F36:K36)</f>
        <v>1.2375</v>
      </c>
      <c r="I1524" s="12" t="n">
        <f aca="false">SUMPRODUCT(ПОТОКИ!B14:G14,ЧАСОВЫЕ_ПРОФИЛИ!B14:G14,КОЭФФИЦИЕНТЫ_ВЫБОРА!F36:K36,ПАРАМЕТРЫ!$B$17:$G$17)</f>
        <v>1.2375</v>
      </c>
      <c r="J1524" s="12" t="n">
        <f aca="false">I1524*G1524/1000</f>
        <v>0.2784375</v>
      </c>
      <c r="K1524" s="11" t="s">
        <v>217</v>
      </c>
      <c r="L1524" s="11" t="s">
        <v>19</v>
      </c>
      <c r="M1524" s="11" t="s">
        <v>145</v>
      </c>
    </row>
    <row r="1525" customFormat="false" ht="23.85" hidden="false" customHeight="false" outlineLevel="0" collapsed="false">
      <c r="A1525" s="11" t="s">
        <v>110</v>
      </c>
      <c r="B1525" s="11" t="s">
        <v>127</v>
      </c>
      <c r="C1525" s="11" t="n">
        <v>27</v>
      </c>
      <c r="D1525" s="11" t="s">
        <v>89</v>
      </c>
      <c r="E1525" s="11" t="s">
        <v>183</v>
      </c>
      <c r="F1525" s="11" t="s">
        <v>88</v>
      </c>
      <c r="G1525" s="12" t="n">
        <v>265</v>
      </c>
      <c r="H1525" s="12" t="n">
        <f aca="false">SUMPRODUCT(ПОТОКИ!B14:G14,ЧАСОВЫЕ_ПРОФИЛИ!B14:G14,КОЭФФИЦИЕНТЫ_ВЫБОРА!F37:K37)</f>
        <v>1.2375</v>
      </c>
      <c r="I1525" s="12" t="n">
        <f aca="false">SUMPRODUCT(ПОТОКИ!B14:G14,ЧАСОВЫЕ_ПРОФИЛИ!B14:G14,КОЭФФИЦИЕНТЫ_ВЫБОРА!F37:K37,ПАРАМЕТРЫ!$B$17:$G$17)</f>
        <v>1.2375</v>
      </c>
      <c r="J1525" s="12" t="n">
        <f aca="false">I1525*G1525/1000</f>
        <v>0.3279375</v>
      </c>
      <c r="K1525" s="11" t="s">
        <v>217</v>
      </c>
      <c r="L1525" s="11" t="s">
        <v>19</v>
      </c>
      <c r="M1525" s="11" t="s">
        <v>145</v>
      </c>
    </row>
    <row r="1526" customFormat="false" ht="23.85" hidden="false" customHeight="false" outlineLevel="0" collapsed="false">
      <c r="A1526" s="11" t="s">
        <v>110</v>
      </c>
      <c r="B1526" s="11" t="s">
        <v>127</v>
      </c>
      <c r="C1526" s="11" t="n">
        <v>28</v>
      </c>
      <c r="D1526" s="11" t="s">
        <v>89</v>
      </c>
      <c r="E1526" s="11" t="s">
        <v>184</v>
      </c>
      <c r="F1526" s="11" t="s">
        <v>88</v>
      </c>
      <c r="G1526" s="12" t="n">
        <v>355</v>
      </c>
      <c r="H1526" s="12" t="n">
        <f aca="false">SUMPRODUCT(ПОТОКИ!B14:G14,ЧАСОВЫЕ_ПРОФИЛИ!B14:G14,КОЭФФИЦИЕНТЫ_ВЫБОРА!F38:K38)</f>
        <v>0.825</v>
      </c>
      <c r="I1526" s="12" t="n">
        <f aca="false">SUMPRODUCT(ПОТОКИ!B14:G14,ЧАСОВЫЕ_ПРОФИЛИ!B14:G14,КОЭФФИЦИЕНТЫ_ВЫБОРА!F38:K38,ПАРАМЕТРЫ!$B$17:$G$17)</f>
        <v>0.825</v>
      </c>
      <c r="J1526" s="12" t="n">
        <f aca="false">I1526*G1526/1000</f>
        <v>0.292875</v>
      </c>
      <c r="K1526" s="11" t="s">
        <v>217</v>
      </c>
      <c r="L1526" s="11" t="s">
        <v>19</v>
      </c>
      <c r="M1526" s="11" t="s">
        <v>145</v>
      </c>
    </row>
    <row r="1527" customFormat="false" ht="15" hidden="false" customHeight="false" outlineLevel="0" collapsed="false">
      <c r="A1527" s="11" t="s">
        <v>110</v>
      </c>
      <c r="B1527" s="11" t="s">
        <v>127</v>
      </c>
      <c r="C1527" s="11" t="n">
        <v>29</v>
      </c>
      <c r="D1527" s="11" t="s">
        <v>92</v>
      </c>
      <c r="E1527" s="11" t="s">
        <v>185</v>
      </c>
      <c r="F1527" s="11" t="s">
        <v>91</v>
      </c>
      <c r="G1527" s="12" t="n">
        <v>150</v>
      </c>
      <c r="H1527" s="12" t="n">
        <f aca="false">SUMPRODUCT(ПОТОКИ!B14:G14,ЧАСОВЫЕ_ПРОФИЛИ!B14:G14,КОЭФФИЦИЕНТЫ_ВЫБОРА!F39:K39)</f>
        <v>0.108</v>
      </c>
      <c r="I1527" s="12" t="n">
        <f aca="false">SUMPRODUCT(ПОТОКИ!B14:G14,ЧАСОВЫЕ_ПРОФИЛИ!B14:G14,КОЭФФИЦИЕНТЫ_ВЫБОРА!F39:K39,ПАРАМЕТРЫ!$B$17:$G$17)</f>
        <v>0.1188</v>
      </c>
      <c r="J1527" s="12" t="n">
        <f aca="false">I1527*G1527/1000</f>
        <v>0.01782</v>
      </c>
      <c r="K1527" s="11" t="s">
        <v>217</v>
      </c>
      <c r="L1527" s="11" t="s">
        <v>19</v>
      </c>
      <c r="M1527" s="11" t="s">
        <v>145</v>
      </c>
    </row>
    <row r="1528" customFormat="false" ht="15" hidden="false" customHeight="false" outlineLevel="0" collapsed="false">
      <c r="A1528" s="11" t="s">
        <v>110</v>
      </c>
      <c r="B1528" s="11" t="s">
        <v>127</v>
      </c>
      <c r="C1528" s="11" t="n">
        <v>30</v>
      </c>
      <c r="D1528" s="11" t="s">
        <v>92</v>
      </c>
      <c r="E1528" s="11" t="s">
        <v>186</v>
      </c>
      <c r="F1528" s="11" t="s">
        <v>91</v>
      </c>
      <c r="G1528" s="12" t="n">
        <v>120</v>
      </c>
      <c r="H1528" s="12" t="n">
        <f aca="false">SUMPRODUCT(ПОТОКИ!B14:G14,ЧАСОВЫЕ_ПРОФИЛИ!B14:G14,КОЭФФИЦИЕНТЫ_ВЫБОРА!F40:K40)</f>
        <v>0.108</v>
      </c>
      <c r="I1528" s="12" t="n">
        <f aca="false">SUMPRODUCT(ПОТОКИ!B14:G14,ЧАСОВЫЕ_ПРОФИЛИ!B14:G14,КОЭФФИЦИЕНТЫ_ВЫБОРА!F40:K40,ПАРАМЕТРЫ!$B$17:$G$17)</f>
        <v>0.1188</v>
      </c>
      <c r="J1528" s="12" t="n">
        <f aca="false">I1528*G1528/1000</f>
        <v>0.014256</v>
      </c>
      <c r="K1528" s="11" t="s">
        <v>217</v>
      </c>
      <c r="L1528" s="11" t="s">
        <v>19</v>
      </c>
      <c r="M1528" s="11" t="s">
        <v>145</v>
      </c>
    </row>
    <row r="1529" customFormat="false" ht="15" hidden="false" customHeight="false" outlineLevel="0" collapsed="false">
      <c r="A1529" s="11" t="s">
        <v>110</v>
      </c>
      <c r="B1529" s="11" t="s">
        <v>127</v>
      </c>
      <c r="C1529" s="11" t="n">
        <v>31</v>
      </c>
      <c r="D1529" s="11" t="s">
        <v>92</v>
      </c>
      <c r="E1529" s="11" t="s">
        <v>187</v>
      </c>
      <c r="F1529" s="11" t="s">
        <v>91</v>
      </c>
      <c r="G1529" s="12" t="n">
        <v>60</v>
      </c>
      <c r="H1529" s="12" t="n">
        <f aca="false">SUMPRODUCT(ПОТОКИ!B14:G14,ЧАСОВЫЕ_ПРОФИЛИ!B14:G14,КОЭФФИЦИЕНТЫ_ВЫБОРА!F41:K41)</f>
        <v>0.144</v>
      </c>
      <c r="I1529" s="12" t="n">
        <f aca="false">SUMPRODUCT(ПОТОКИ!B14:G14,ЧАСОВЫЕ_ПРОФИЛИ!B14:G14,КОЭФФИЦИЕНТЫ_ВЫБОРА!F41:K41,ПАРАМЕТРЫ!$B$17:$G$17)</f>
        <v>0.1584</v>
      </c>
      <c r="J1529" s="12" t="n">
        <f aca="false">I1529*G1529/1000</f>
        <v>0.009504</v>
      </c>
      <c r="K1529" s="11" t="s">
        <v>217</v>
      </c>
      <c r="L1529" s="11" t="s">
        <v>19</v>
      </c>
      <c r="M1529" s="11" t="s">
        <v>145</v>
      </c>
    </row>
    <row r="1530" customFormat="false" ht="15" hidden="false" customHeight="false" outlineLevel="0" collapsed="false">
      <c r="A1530" s="11" t="s">
        <v>110</v>
      </c>
      <c r="B1530" s="11" t="s">
        <v>128</v>
      </c>
      <c r="C1530" s="11" t="n">
        <v>1</v>
      </c>
      <c r="D1530" s="11" t="s">
        <v>74</v>
      </c>
      <c r="E1530" s="11" t="s">
        <v>153</v>
      </c>
      <c r="F1530" s="11" t="s">
        <v>73</v>
      </c>
      <c r="G1530" s="12" t="n">
        <v>450</v>
      </c>
      <c r="H1530" s="12" t="n">
        <f aca="false">SUMPRODUCT(ПОТОКИ!B14:G14,ЧАСОВЫЕ_ПРОФИЛИ!B15:G15,КОЭФФИЦИЕНТЫ_ВЫБОРА!F11:K11)</f>
        <v>0.2028</v>
      </c>
      <c r="I1530" s="12" t="n">
        <f aca="false">SUMPRODUCT(ПОТОКИ!B14:G14,ЧАСОВЫЕ_ПРОФИЛИ!B15:G15,КОЭФФИЦИЕНТЫ_ВЫБОРА!F11:K11,ПАРАМЕТРЫ!$B$17:$G$17)</f>
        <v>0.22308</v>
      </c>
      <c r="J1530" s="12" t="n">
        <f aca="false">I1530*G1530/1000</f>
        <v>0.100386</v>
      </c>
      <c r="K1530" s="11" t="s">
        <v>217</v>
      </c>
      <c r="L1530" s="11" t="s">
        <v>19</v>
      </c>
      <c r="M1530" s="11" t="s">
        <v>145</v>
      </c>
    </row>
    <row r="1531" customFormat="false" ht="15" hidden="false" customHeight="false" outlineLevel="0" collapsed="false">
      <c r="A1531" s="11" t="s">
        <v>110</v>
      </c>
      <c r="B1531" s="11" t="s">
        <v>128</v>
      </c>
      <c r="C1531" s="11" t="n">
        <v>2</v>
      </c>
      <c r="D1531" s="11" t="s">
        <v>74</v>
      </c>
      <c r="E1531" s="11" t="s">
        <v>154</v>
      </c>
      <c r="F1531" s="11" t="s">
        <v>73</v>
      </c>
      <c r="G1531" s="12" t="n">
        <v>480</v>
      </c>
      <c r="H1531" s="12" t="n">
        <f aca="false">SUMPRODUCT(ПОТОКИ!B14:G14,ЧАСОВЫЕ_ПРОФИЛИ!B15:G15,КОЭФФИЦИЕНТЫ_ВЫБОРА!F12:K12)</f>
        <v>0.2364</v>
      </c>
      <c r="I1531" s="12" t="n">
        <f aca="false">SUMPRODUCT(ПОТОКИ!B14:G14,ЧАСОВЫЕ_ПРОФИЛИ!B15:G15,КОЭФФИЦИЕНТЫ_ВЫБОРА!F12:K12,ПАРАМЕТРЫ!$B$17:$G$17)</f>
        <v>0.26004</v>
      </c>
      <c r="J1531" s="12" t="n">
        <f aca="false">I1531*G1531/1000</f>
        <v>0.1248192</v>
      </c>
      <c r="K1531" s="11" t="s">
        <v>217</v>
      </c>
      <c r="L1531" s="11" t="s">
        <v>19</v>
      </c>
      <c r="M1531" s="11" t="s">
        <v>145</v>
      </c>
    </row>
    <row r="1532" customFormat="false" ht="15" hidden="false" customHeight="false" outlineLevel="0" collapsed="false">
      <c r="A1532" s="11" t="s">
        <v>110</v>
      </c>
      <c r="B1532" s="11" t="s">
        <v>128</v>
      </c>
      <c r="C1532" s="11" t="n">
        <v>3</v>
      </c>
      <c r="D1532" s="11" t="s">
        <v>74</v>
      </c>
      <c r="E1532" s="11" t="s">
        <v>155</v>
      </c>
      <c r="F1532" s="11" t="s">
        <v>73</v>
      </c>
      <c r="G1532" s="12" t="n">
        <v>500</v>
      </c>
      <c r="H1532" s="12" t="n">
        <f aca="false">SUMPRODUCT(ПОТОКИ!B14:G14,ЧАСОВЫЕ_ПРОФИЛИ!B15:G15,КОЭФФИЦИЕНТЫ_ВЫБОРА!F13:K13)</f>
        <v>0.4296</v>
      </c>
      <c r="I1532" s="12" t="n">
        <f aca="false">SUMPRODUCT(ПОТОКИ!B14:G14,ЧАСОВЫЕ_ПРОФИЛИ!B15:G15,КОЭФФИЦИЕНТЫ_ВЫБОРА!F13:K13,ПАРАМЕТРЫ!$B$17:$G$17)</f>
        <v>0.47256</v>
      </c>
      <c r="J1532" s="12" t="n">
        <f aca="false">I1532*G1532/1000</f>
        <v>0.23628</v>
      </c>
      <c r="K1532" s="11" t="s">
        <v>217</v>
      </c>
      <c r="L1532" s="11" t="s">
        <v>19</v>
      </c>
      <c r="M1532" s="11" t="s">
        <v>145</v>
      </c>
    </row>
    <row r="1533" customFormat="false" ht="15" hidden="false" customHeight="false" outlineLevel="0" collapsed="false">
      <c r="A1533" s="11" t="s">
        <v>110</v>
      </c>
      <c r="B1533" s="11" t="s">
        <v>128</v>
      </c>
      <c r="C1533" s="11" t="n">
        <v>4</v>
      </c>
      <c r="D1533" s="11" t="s">
        <v>74</v>
      </c>
      <c r="E1533" s="11" t="s">
        <v>156</v>
      </c>
      <c r="F1533" s="11" t="s">
        <v>73</v>
      </c>
      <c r="G1533" s="12" t="n">
        <v>500</v>
      </c>
      <c r="H1533" s="12" t="n">
        <f aca="false">SUMPRODUCT(ПОТОКИ!B14:G14,ЧАСОВЫЕ_ПРОФИЛИ!B15:G15,КОЭФФИЦИЕНТЫ_ВЫБОРА!F14:K14)</f>
        <v>0.4632</v>
      </c>
      <c r="I1533" s="12" t="n">
        <f aca="false">SUMPRODUCT(ПОТОКИ!B14:G14,ЧАСОВЫЕ_ПРОФИЛИ!B15:G15,КОЭФФИЦИЕНТЫ_ВЫБОРА!F14:K14,ПАРАМЕТРЫ!$B$17:$G$17)</f>
        <v>0.50952</v>
      </c>
      <c r="J1533" s="12" t="n">
        <f aca="false">I1533*G1533/1000</f>
        <v>0.25476</v>
      </c>
      <c r="K1533" s="11" t="s">
        <v>217</v>
      </c>
      <c r="L1533" s="11" t="s">
        <v>19</v>
      </c>
      <c r="M1533" s="11" t="s">
        <v>145</v>
      </c>
    </row>
    <row r="1534" customFormat="false" ht="15" hidden="false" customHeight="false" outlineLevel="0" collapsed="false">
      <c r="A1534" s="11" t="s">
        <v>110</v>
      </c>
      <c r="B1534" s="11" t="s">
        <v>128</v>
      </c>
      <c r="C1534" s="11" t="n">
        <v>5</v>
      </c>
      <c r="D1534" s="11" t="s">
        <v>78</v>
      </c>
      <c r="E1534" s="11" t="s">
        <v>157</v>
      </c>
      <c r="F1534" s="11" t="s">
        <v>77</v>
      </c>
      <c r="G1534" s="12" t="n">
        <v>100</v>
      </c>
      <c r="H1534" s="12" t="n">
        <f aca="false">SUMPRODUCT(ПОТОКИ!B14:G14,ЧАСОВЫЕ_ПРОФИЛИ!B15:G15,КОЭФФИЦИЕНТЫ_ВЫБОРА!F15:K15)</f>
        <v>0.4244</v>
      </c>
      <c r="I1534" s="12" t="n">
        <f aca="false">SUMPRODUCT(ПОТОКИ!B14:G14,ЧАСОВЫЕ_ПРОФИЛИ!B15:G15,КОЭФФИЦИЕНТЫ_ВЫБОРА!F15:K15,ПАРАМЕТРЫ!$B$17:$G$17)</f>
        <v>0.46684</v>
      </c>
      <c r="J1534" s="12" t="n">
        <f aca="false">I1534*G1534/1000</f>
        <v>0.046684</v>
      </c>
      <c r="K1534" s="11" t="s">
        <v>217</v>
      </c>
      <c r="L1534" s="11" t="s">
        <v>19</v>
      </c>
      <c r="M1534" s="11" t="s">
        <v>147</v>
      </c>
    </row>
    <row r="1535" customFormat="false" ht="15" hidden="false" customHeight="false" outlineLevel="0" collapsed="false">
      <c r="A1535" s="11" t="s">
        <v>110</v>
      </c>
      <c r="B1535" s="11" t="s">
        <v>128</v>
      </c>
      <c r="C1535" s="11" t="n">
        <v>6</v>
      </c>
      <c r="D1535" s="11" t="s">
        <v>78</v>
      </c>
      <c r="E1535" s="11" t="s">
        <v>158</v>
      </c>
      <c r="F1535" s="11" t="s">
        <v>77</v>
      </c>
      <c r="G1535" s="12" t="n">
        <v>100</v>
      </c>
      <c r="H1535" s="12" t="n">
        <f aca="false">SUMPRODUCT(ПОТОКИ!B14:G14,ЧАСОВЫЕ_ПРОФИЛИ!B15:G15,КОЭФФИЦИЕНТЫ_ВЫБОРА!F16:K16)</f>
        <v>0.3948</v>
      </c>
      <c r="I1535" s="12" t="n">
        <f aca="false">SUMPRODUCT(ПОТОКИ!B14:G14,ЧАСОВЫЕ_ПРОФИЛИ!B15:G15,КОЭФФИЦИЕНТЫ_ВЫБОРА!F16:K16,ПАРАМЕТРЫ!$B$17:$G$17)</f>
        <v>0.43428</v>
      </c>
      <c r="J1535" s="12" t="n">
        <f aca="false">I1535*G1535/1000</f>
        <v>0.043428</v>
      </c>
      <c r="K1535" s="11" t="s">
        <v>217</v>
      </c>
      <c r="L1535" s="11" t="s">
        <v>19</v>
      </c>
      <c r="M1535" s="11" t="s">
        <v>147</v>
      </c>
    </row>
    <row r="1536" customFormat="false" ht="15" hidden="false" customHeight="false" outlineLevel="0" collapsed="false">
      <c r="A1536" s="11" t="s">
        <v>110</v>
      </c>
      <c r="B1536" s="11" t="s">
        <v>128</v>
      </c>
      <c r="C1536" s="11" t="n">
        <v>7</v>
      </c>
      <c r="D1536" s="11" t="s">
        <v>78</v>
      </c>
      <c r="E1536" s="11" t="s">
        <v>159</v>
      </c>
      <c r="F1536" s="11" t="s">
        <v>77</v>
      </c>
      <c r="G1536" s="12" t="n">
        <v>350</v>
      </c>
      <c r="H1536" s="12" t="n">
        <f aca="false">SUMPRODUCT(ПОТОКИ!B14:G14,ЧАСОВЫЕ_ПРОФИЛИ!B15:G15,КОЭФФИЦИЕНТЫ_ВЫБОРА!F17:K17)</f>
        <v>0.3438</v>
      </c>
      <c r="I1536" s="12" t="n">
        <f aca="false">SUMPRODUCT(ПОТОКИ!B14:G14,ЧАСОВЫЕ_ПРОФИЛИ!B15:G15,КОЭФФИЦИЕНТЫ_ВЫБОРА!F17:K17,ПАРАМЕТРЫ!$B$17:$G$17)</f>
        <v>0.37818</v>
      </c>
      <c r="J1536" s="12" t="n">
        <f aca="false">I1536*G1536/1000</f>
        <v>0.132363</v>
      </c>
      <c r="K1536" s="11" t="s">
        <v>217</v>
      </c>
      <c r="L1536" s="11" t="s">
        <v>19</v>
      </c>
      <c r="M1536" s="11" t="s">
        <v>147</v>
      </c>
    </row>
    <row r="1537" customFormat="false" ht="15" hidden="false" customHeight="false" outlineLevel="0" collapsed="false">
      <c r="A1537" s="11" t="s">
        <v>110</v>
      </c>
      <c r="B1537" s="11" t="s">
        <v>128</v>
      </c>
      <c r="C1537" s="11" t="n">
        <v>8</v>
      </c>
      <c r="D1537" s="11" t="s">
        <v>78</v>
      </c>
      <c r="E1537" s="11" t="s">
        <v>160</v>
      </c>
      <c r="F1537" s="11" t="s">
        <v>77</v>
      </c>
      <c r="G1537" s="12" t="n">
        <v>85</v>
      </c>
      <c r="H1537" s="12" t="n">
        <f aca="false">SUMPRODUCT(ПОТОКИ!B14:G14,ЧАСОВЫЕ_ПРОФИЛИ!B15:G15,КОЭФФИЦИЕНТЫ_ВЫБОРА!F18:K18)</f>
        <v>0.2122</v>
      </c>
      <c r="I1537" s="12" t="n">
        <f aca="false">SUMPRODUCT(ПОТОКИ!B14:G14,ЧАСОВЫЕ_ПРОФИЛИ!B15:G15,КОЭФФИЦИЕНТЫ_ВЫБОРА!F18:K18,ПАРАМЕТРЫ!$B$17:$G$17)</f>
        <v>0.23342</v>
      </c>
      <c r="J1537" s="12" t="n">
        <f aca="false">I1537*G1537/1000</f>
        <v>0.0198407</v>
      </c>
      <c r="K1537" s="11" t="s">
        <v>217</v>
      </c>
      <c r="L1537" s="11" t="s">
        <v>19</v>
      </c>
      <c r="M1537" s="11" t="s">
        <v>147</v>
      </c>
    </row>
    <row r="1538" customFormat="false" ht="15" hidden="false" customHeight="false" outlineLevel="0" collapsed="false">
      <c r="A1538" s="11" t="s">
        <v>110</v>
      </c>
      <c r="B1538" s="11" t="s">
        <v>128</v>
      </c>
      <c r="C1538" s="11" t="n">
        <v>9</v>
      </c>
      <c r="D1538" s="11" t="s">
        <v>161</v>
      </c>
      <c r="E1538" s="11" t="s">
        <v>162</v>
      </c>
      <c r="F1538" s="11" t="s">
        <v>80</v>
      </c>
      <c r="G1538" s="12" t="n">
        <v>300</v>
      </c>
      <c r="H1538" s="12" t="n">
        <f aca="false">SUMPRODUCT(ПОТОКИ!B14:G14,ЧАСОВЫЕ_ПРОФИЛИ!B15:G15,КОЭФФИЦИЕНТЫ_ВЫБОРА!F19:K19)</f>
        <v>0.19</v>
      </c>
      <c r="I1538" s="12" t="n">
        <f aca="false">SUMPRODUCT(ПОТОКИ!B14:G14,ЧАСОВЫЕ_ПРОФИЛИ!B15:G15,КОЭФФИЦИЕНТЫ_ВЫБОРА!F19:K19,ПАРАМЕТРЫ!$B$17:$G$17)</f>
        <v>0.209</v>
      </c>
      <c r="J1538" s="12" t="n">
        <f aca="false">I1538*G1538/1000</f>
        <v>0.0627</v>
      </c>
      <c r="K1538" s="11" t="s">
        <v>217</v>
      </c>
      <c r="L1538" s="11" t="s">
        <v>19</v>
      </c>
      <c r="M1538" s="11" t="s">
        <v>145</v>
      </c>
    </row>
    <row r="1539" customFormat="false" ht="15" hidden="false" customHeight="false" outlineLevel="0" collapsed="false">
      <c r="A1539" s="11" t="s">
        <v>110</v>
      </c>
      <c r="B1539" s="11" t="s">
        <v>128</v>
      </c>
      <c r="C1539" s="11" t="n">
        <v>10</v>
      </c>
      <c r="D1539" s="11" t="s">
        <v>161</v>
      </c>
      <c r="E1539" s="11" t="s">
        <v>163</v>
      </c>
      <c r="F1539" s="11" t="s">
        <v>80</v>
      </c>
      <c r="G1539" s="12" t="n">
        <v>280</v>
      </c>
      <c r="H1539" s="12" t="n">
        <f aca="false">SUMPRODUCT(ПОТОКИ!B14:G14,ЧАСОВЫЕ_ПРОФИЛИ!B15:G15,КОЭФФИЦИЕНТЫ_ВЫБОРА!F20:K20)</f>
        <v>0.308</v>
      </c>
      <c r="I1539" s="12" t="n">
        <f aca="false">SUMPRODUCT(ПОТОКИ!B14:G14,ЧАСОВЫЕ_ПРОФИЛИ!B15:G15,КОЭФФИЦИЕНТЫ_ВЫБОРА!F20:K20,ПАРАМЕТРЫ!$B$17:$G$17)</f>
        <v>0.3388</v>
      </c>
      <c r="J1539" s="12" t="n">
        <f aca="false">I1539*G1539/1000</f>
        <v>0.094864</v>
      </c>
      <c r="K1539" s="11" t="s">
        <v>217</v>
      </c>
      <c r="L1539" s="11" t="s">
        <v>19</v>
      </c>
      <c r="M1539" s="11" t="s">
        <v>145</v>
      </c>
    </row>
    <row r="1540" customFormat="false" ht="15" hidden="false" customHeight="false" outlineLevel="0" collapsed="false">
      <c r="A1540" s="11" t="s">
        <v>110</v>
      </c>
      <c r="B1540" s="11" t="s">
        <v>128</v>
      </c>
      <c r="C1540" s="11" t="n">
        <v>11</v>
      </c>
      <c r="D1540" s="11" t="s">
        <v>161</v>
      </c>
      <c r="E1540" s="11" t="s">
        <v>164</v>
      </c>
      <c r="F1540" s="11" t="s">
        <v>80</v>
      </c>
      <c r="G1540" s="12" t="n">
        <v>270</v>
      </c>
      <c r="H1540" s="12" t="n">
        <f aca="false">SUMPRODUCT(ПОТОКИ!B14:G14,ЧАСОВЫЕ_ПРОФИЛИ!B15:G15,КОЭФФИЦИЕНТЫ_ВЫБОРА!F21:K21)</f>
        <v>0.5818</v>
      </c>
      <c r="I1540" s="12" t="n">
        <f aca="false">SUMPRODUCT(ПОТОКИ!B14:G14,ЧАСОВЫЕ_ПРОФИЛИ!B15:G15,КОЭФФИЦИЕНТЫ_ВЫБОРА!F21:K21,ПАРАМЕТРЫ!$B$17:$G$17)</f>
        <v>0.63998</v>
      </c>
      <c r="J1540" s="12" t="n">
        <f aca="false">I1540*G1540/1000</f>
        <v>0.1727946</v>
      </c>
      <c r="K1540" s="11" t="s">
        <v>217</v>
      </c>
      <c r="L1540" s="11" t="s">
        <v>19</v>
      </c>
      <c r="M1540" s="11" t="s">
        <v>145</v>
      </c>
    </row>
    <row r="1541" customFormat="false" ht="15" hidden="false" customHeight="false" outlineLevel="0" collapsed="false">
      <c r="A1541" s="11" t="s">
        <v>110</v>
      </c>
      <c r="B1541" s="11" t="s">
        <v>128</v>
      </c>
      <c r="C1541" s="11" t="n">
        <v>12</v>
      </c>
      <c r="D1541" s="11" t="s">
        <v>161</v>
      </c>
      <c r="E1541" s="11" t="s">
        <v>165</v>
      </c>
      <c r="F1541" s="11" t="s">
        <v>80</v>
      </c>
      <c r="G1541" s="12" t="n">
        <v>240</v>
      </c>
      <c r="H1541" s="12" t="n">
        <f aca="false">SUMPRODUCT(ПОТОКИ!B14:G14,ЧАСОВЫЕ_ПРОФИЛИ!B15:G15,КОЭФФИЦИЕНТЫ_ВЫБОРА!F22:K22)</f>
        <v>0.3882</v>
      </c>
      <c r="I1541" s="12" t="n">
        <f aca="false">SUMPRODUCT(ПОТОКИ!B14:G14,ЧАСОВЫЕ_ПРОФИЛИ!B15:G15,КОЭФФИЦИЕНТЫ_ВЫБОРА!F22:K22,ПАРАМЕТРЫ!$B$17:$G$17)</f>
        <v>0.42702</v>
      </c>
      <c r="J1541" s="12" t="n">
        <f aca="false">I1541*G1541/1000</f>
        <v>0.1024848</v>
      </c>
      <c r="K1541" s="11" t="s">
        <v>217</v>
      </c>
      <c r="L1541" s="11" t="s">
        <v>19</v>
      </c>
      <c r="M1541" s="11" t="s">
        <v>145</v>
      </c>
    </row>
    <row r="1542" customFormat="false" ht="15" hidden="false" customHeight="false" outlineLevel="0" collapsed="false">
      <c r="A1542" s="11" t="s">
        <v>110</v>
      </c>
      <c r="B1542" s="11" t="s">
        <v>128</v>
      </c>
      <c r="C1542" s="11" t="n">
        <v>13</v>
      </c>
      <c r="D1542" s="11" t="s">
        <v>166</v>
      </c>
      <c r="E1542" s="11" t="s">
        <v>167</v>
      </c>
      <c r="F1542" s="11" t="s">
        <v>80</v>
      </c>
      <c r="G1542" s="12" t="n">
        <v>130</v>
      </c>
      <c r="H1542" s="12" t="n">
        <f aca="false">SUMPRODUCT(ПОТОКИ!B14:G14,ЧАСОВЫЕ_ПРОФИЛИ!B15:G15,КОЭФФИЦИЕНТЫ_ВЫБОРА!F23:K23)</f>
        <v>0.088</v>
      </c>
      <c r="I1542" s="12" t="n">
        <f aca="false">SUMPRODUCT(ПОТОКИ!B14:G14,ЧАСОВЫЕ_ПРОФИЛИ!B15:G15,КОЭФФИЦИЕНТЫ_ВЫБОРА!F23:K23,ПАРАМЕТРЫ!$B$17:$G$17)</f>
        <v>0.0968</v>
      </c>
      <c r="J1542" s="12" t="n">
        <f aca="false">I1542*G1542/1000</f>
        <v>0.012584</v>
      </c>
      <c r="K1542" s="11" t="s">
        <v>217</v>
      </c>
      <c r="L1542" s="11" t="s">
        <v>19</v>
      </c>
      <c r="M1542" s="11" t="s">
        <v>145</v>
      </c>
    </row>
    <row r="1543" customFormat="false" ht="15" hidden="false" customHeight="false" outlineLevel="0" collapsed="false">
      <c r="A1543" s="11" t="s">
        <v>110</v>
      </c>
      <c r="B1543" s="11" t="s">
        <v>128</v>
      </c>
      <c r="C1543" s="11" t="n">
        <v>14</v>
      </c>
      <c r="D1543" s="11" t="s">
        <v>166</v>
      </c>
      <c r="E1543" s="11" t="s">
        <v>168</v>
      </c>
      <c r="F1543" s="11" t="s">
        <v>80</v>
      </c>
      <c r="G1543" s="12" t="n">
        <v>250</v>
      </c>
      <c r="H1543" s="12" t="n">
        <f aca="false">SUMPRODUCT(ПОТОКИ!B14:G14,ЧАСОВЫЕ_ПРОФИЛИ!B15:G15,КОЭФФИЦИЕНТЫ_ВЫБОРА!F24:K24)</f>
        <v>0.1288</v>
      </c>
      <c r="I1543" s="12" t="n">
        <f aca="false">SUMPRODUCT(ПОТОКИ!B14:G14,ЧАСОВЫЕ_ПРОФИЛИ!B15:G15,КОЭФФИЦИЕНТЫ_ВЫБОРА!F24:K24,ПАРАМЕТРЫ!$B$17:$G$17)</f>
        <v>0.14168</v>
      </c>
      <c r="J1543" s="12" t="n">
        <f aca="false">I1543*G1543/1000</f>
        <v>0.03542</v>
      </c>
      <c r="K1543" s="11" t="s">
        <v>217</v>
      </c>
      <c r="L1543" s="11" t="s">
        <v>19</v>
      </c>
      <c r="M1543" s="11" t="s">
        <v>145</v>
      </c>
    </row>
    <row r="1544" customFormat="false" ht="15" hidden="false" customHeight="false" outlineLevel="0" collapsed="false">
      <c r="A1544" s="11" t="s">
        <v>110</v>
      </c>
      <c r="B1544" s="11" t="s">
        <v>128</v>
      </c>
      <c r="C1544" s="11" t="n">
        <v>15</v>
      </c>
      <c r="D1544" s="11" t="s">
        <v>166</v>
      </c>
      <c r="E1544" s="11" t="s">
        <v>169</v>
      </c>
      <c r="F1544" s="11" t="s">
        <v>80</v>
      </c>
      <c r="G1544" s="12" t="n">
        <v>120</v>
      </c>
      <c r="H1544" s="12" t="n">
        <f aca="false">SUMPRODUCT(ПОТОКИ!B14:G14,ЧАСОВЫЕ_ПРОФИЛИ!B15:G15,КОЭФФИЦИЕНТЫ_ВЫБОРА!F25:K25)</f>
        <v>0.0688</v>
      </c>
      <c r="I1544" s="12" t="n">
        <f aca="false">SUMPRODUCT(ПОТОКИ!B14:G14,ЧАСОВЫЕ_ПРОФИЛИ!B15:G15,КОЭФФИЦИЕНТЫ_ВЫБОРА!F25:K25,ПАРАМЕТРЫ!$B$17:$G$17)</f>
        <v>0.07568</v>
      </c>
      <c r="J1544" s="12" t="n">
        <f aca="false">I1544*G1544/1000</f>
        <v>0.0090816</v>
      </c>
      <c r="K1544" s="11" t="s">
        <v>217</v>
      </c>
      <c r="L1544" s="11" t="s">
        <v>19</v>
      </c>
      <c r="M1544" s="11" t="s">
        <v>145</v>
      </c>
    </row>
    <row r="1545" customFormat="false" ht="15" hidden="false" customHeight="false" outlineLevel="0" collapsed="false">
      <c r="A1545" s="11" t="s">
        <v>110</v>
      </c>
      <c r="B1545" s="11" t="s">
        <v>128</v>
      </c>
      <c r="C1545" s="11" t="n">
        <v>16</v>
      </c>
      <c r="D1545" s="11" t="s">
        <v>166</v>
      </c>
      <c r="E1545" s="11" t="s">
        <v>170</v>
      </c>
      <c r="F1545" s="11" t="s">
        <v>80</v>
      </c>
      <c r="G1545" s="12" t="n">
        <v>180</v>
      </c>
      <c r="H1545" s="12" t="n">
        <f aca="false">SUMPRODUCT(ПОТОКИ!B14:G14,ЧАСОВЫЕ_ПРОФИЛИ!B15:G15,КОЭФФИЦИЕНТЫ_ВЫБОРА!F26:K26)</f>
        <v>0.1784</v>
      </c>
      <c r="I1545" s="12" t="n">
        <f aca="false">SUMPRODUCT(ПОТОКИ!B14:G14,ЧАСОВЫЕ_ПРОФИЛИ!B15:G15,КОЭФФИЦИЕНТЫ_ВЫБОРА!F26:K26,ПАРАМЕТРЫ!$B$17:$G$17)</f>
        <v>0.19624</v>
      </c>
      <c r="J1545" s="12" t="n">
        <f aca="false">I1545*G1545/1000</f>
        <v>0.0353232</v>
      </c>
      <c r="K1545" s="11" t="s">
        <v>217</v>
      </c>
      <c r="L1545" s="11" t="s">
        <v>19</v>
      </c>
      <c r="M1545" s="11" t="s">
        <v>145</v>
      </c>
    </row>
    <row r="1546" customFormat="false" ht="15" hidden="false" customHeight="false" outlineLevel="0" collapsed="false">
      <c r="A1546" s="11" t="s">
        <v>110</v>
      </c>
      <c r="B1546" s="11" t="s">
        <v>128</v>
      </c>
      <c r="C1546" s="11" t="n">
        <v>17</v>
      </c>
      <c r="D1546" s="11" t="s">
        <v>166</v>
      </c>
      <c r="E1546" s="11" t="s">
        <v>171</v>
      </c>
      <c r="F1546" s="11" t="s">
        <v>80</v>
      </c>
      <c r="G1546" s="12" t="n">
        <v>180</v>
      </c>
      <c r="H1546" s="12" t="n">
        <f aca="false">SUMPRODUCT(ПОТОКИ!B14:G14,ЧАСОВЫЕ_ПРОФИЛИ!B15:G15,КОЭФФИЦИЕНТЫ_ВЫБОРА!F27:K27)</f>
        <v>0.128</v>
      </c>
      <c r="I1546" s="12" t="n">
        <f aca="false">SUMPRODUCT(ПОТОКИ!B14:G14,ЧАСОВЫЕ_ПРОФИЛИ!B15:G15,КОЭФФИЦИЕНТЫ_ВЫБОРА!F27:K27,ПАРАМЕТРЫ!$B$17:$G$17)</f>
        <v>0.1408</v>
      </c>
      <c r="J1546" s="12" t="n">
        <f aca="false">I1546*G1546/1000</f>
        <v>0.025344</v>
      </c>
      <c r="K1546" s="11" t="s">
        <v>217</v>
      </c>
      <c r="L1546" s="11" t="s">
        <v>19</v>
      </c>
      <c r="M1546" s="11" t="s">
        <v>145</v>
      </c>
    </row>
    <row r="1547" customFormat="false" ht="15" hidden="false" customHeight="false" outlineLevel="0" collapsed="false">
      <c r="A1547" s="11" t="s">
        <v>110</v>
      </c>
      <c r="B1547" s="11" t="s">
        <v>128</v>
      </c>
      <c r="C1547" s="11" t="n">
        <v>18</v>
      </c>
      <c r="D1547" s="11" t="s">
        <v>172</v>
      </c>
      <c r="E1547" s="11" t="s">
        <v>173</v>
      </c>
      <c r="F1547" s="11" t="s">
        <v>83</v>
      </c>
      <c r="G1547" s="12" t="n">
        <v>400</v>
      </c>
      <c r="H1547" s="12" t="n">
        <f aca="false">SUMPRODUCT(ПОТОКИ!B14:G14,ЧАСОВЫЕ_ПРОФИЛИ!B15:G15,КОЭФФИЦИЕНТЫ_ВЫБОРА!F28:K28)</f>
        <v>1.496</v>
      </c>
      <c r="I1547" s="12" t="n">
        <f aca="false">SUMPRODUCT(ПОТОКИ!B14:G14,ЧАСОВЫЕ_ПРОФИЛИ!B15:G15,КОЭФФИЦИЕНТЫ_ВЫБОРА!F28:K28,ПАРАМЕТРЫ!$B$17:$G$17)</f>
        <v>1.6456</v>
      </c>
      <c r="J1547" s="12" t="n">
        <f aca="false">I1547*G1547/1000</f>
        <v>0.65824</v>
      </c>
      <c r="K1547" s="11" t="s">
        <v>217</v>
      </c>
      <c r="L1547" s="11" t="s">
        <v>19</v>
      </c>
      <c r="M1547" s="11" t="s">
        <v>145</v>
      </c>
    </row>
    <row r="1548" customFormat="false" ht="23.85" hidden="false" customHeight="false" outlineLevel="0" collapsed="false">
      <c r="A1548" s="11" t="s">
        <v>110</v>
      </c>
      <c r="B1548" s="11" t="s">
        <v>128</v>
      </c>
      <c r="C1548" s="11" t="n">
        <v>19</v>
      </c>
      <c r="D1548" s="11" t="s">
        <v>174</v>
      </c>
      <c r="E1548" s="11" t="s">
        <v>175</v>
      </c>
      <c r="F1548" s="11" t="s">
        <v>83</v>
      </c>
      <c r="G1548" s="12" t="n">
        <v>300</v>
      </c>
      <c r="H1548" s="12" t="n">
        <f aca="false">SUMPRODUCT(ПОТОКИ!B14:G14,ЧАСОВЫЕ_ПРОФИЛИ!B15:G15,КОЭФФИЦИЕНТЫ_ВЫБОРА!F29:K29)</f>
        <v>1.152</v>
      </c>
      <c r="I1548" s="12" t="n">
        <f aca="false">SUMPRODUCT(ПОТОКИ!B14:G14,ЧАСОВЫЕ_ПРОФИЛИ!B15:G15,КОЭФФИЦИЕНТЫ_ВЫБОРА!F29:K29,ПАРАМЕТРЫ!$B$17:$G$17)</f>
        <v>1.2672</v>
      </c>
      <c r="J1548" s="12" t="n">
        <f aca="false">I1548*G1548/1000</f>
        <v>0.38016</v>
      </c>
      <c r="K1548" s="11" t="s">
        <v>217</v>
      </c>
      <c r="L1548" s="11" t="s">
        <v>19</v>
      </c>
      <c r="M1548" s="11" t="s">
        <v>145</v>
      </c>
    </row>
    <row r="1549" customFormat="false" ht="15" hidden="false" customHeight="false" outlineLevel="0" collapsed="false">
      <c r="A1549" s="11" t="s">
        <v>110</v>
      </c>
      <c r="B1549" s="11" t="s">
        <v>128</v>
      </c>
      <c r="C1549" s="11" t="n">
        <v>20</v>
      </c>
      <c r="D1549" s="11" t="s">
        <v>174</v>
      </c>
      <c r="E1549" s="11" t="s">
        <v>176</v>
      </c>
      <c r="F1549" s="11" t="s">
        <v>83</v>
      </c>
      <c r="G1549" s="12" t="n">
        <v>360</v>
      </c>
      <c r="H1549" s="12" t="n">
        <f aca="false">SUMPRODUCT(ПОТОКИ!B14:G14,ЧАСОВЫЕ_ПРОФИЛИ!B15:G15,КОЭФФИЦИЕНТЫ_ВЫБОРА!F30:K30)</f>
        <v>0.8448</v>
      </c>
      <c r="I1549" s="12" t="n">
        <f aca="false">SUMPRODUCT(ПОТОКИ!B14:G14,ЧАСОВЫЕ_ПРОФИЛИ!B15:G15,КОЭФФИЦИЕНТЫ_ВЫБОРА!F30:K30,ПАРАМЕТРЫ!$B$17:$G$17)</f>
        <v>0.92928</v>
      </c>
      <c r="J1549" s="12" t="n">
        <f aca="false">I1549*G1549/1000</f>
        <v>0.3345408</v>
      </c>
      <c r="K1549" s="11" t="s">
        <v>217</v>
      </c>
      <c r="L1549" s="11" t="s">
        <v>19</v>
      </c>
      <c r="M1549" s="11" t="s">
        <v>145</v>
      </c>
    </row>
    <row r="1550" customFormat="false" ht="15" hidden="false" customHeight="false" outlineLevel="0" collapsed="false">
      <c r="A1550" s="11" t="s">
        <v>110</v>
      </c>
      <c r="B1550" s="11" t="s">
        <v>128</v>
      </c>
      <c r="C1550" s="11" t="n">
        <v>21</v>
      </c>
      <c r="D1550" s="11" t="s">
        <v>174</v>
      </c>
      <c r="E1550" s="11" t="s">
        <v>177</v>
      </c>
      <c r="F1550" s="11" t="s">
        <v>83</v>
      </c>
      <c r="G1550" s="12" t="n">
        <v>350</v>
      </c>
      <c r="H1550" s="12" t="n">
        <f aca="false">SUMPRODUCT(ПОТОКИ!B14:G14,ЧАСОВЫЕ_ПРОФИЛИ!B15:G15,КОЭФФИЦИЕНТЫ_ВЫБОРА!F31:K31)</f>
        <v>1.4292</v>
      </c>
      <c r="I1550" s="12" t="n">
        <f aca="false">SUMPRODUCT(ПОТОКИ!B14:G14,ЧАСОВЫЕ_ПРОФИЛИ!B15:G15,КОЭФФИЦИЕНТЫ_ВЫБОРА!F31:K31,ПАРАМЕТРЫ!$B$17:$G$17)</f>
        <v>1.57212</v>
      </c>
      <c r="J1550" s="12" t="n">
        <f aca="false">I1550*G1550/1000</f>
        <v>0.550242</v>
      </c>
      <c r="K1550" s="11" t="s">
        <v>217</v>
      </c>
      <c r="L1550" s="11" t="s">
        <v>19</v>
      </c>
      <c r="M1550" s="11" t="s">
        <v>145</v>
      </c>
    </row>
    <row r="1551" customFormat="false" ht="15" hidden="false" customHeight="false" outlineLevel="0" collapsed="false">
      <c r="A1551" s="11" t="s">
        <v>110</v>
      </c>
      <c r="B1551" s="11" t="s">
        <v>128</v>
      </c>
      <c r="C1551" s="11" t="n">
        <v>22</v>
      </c>
      <c r="D1551" s="11" t="s">
        <v>174</v>
      </c>
      <c r="E1551" s="11" t="s">
        <v>178</v>
      </c>
      <c r="F1551" s="11" t="s">
        <v>83</v>
      </c>
      <c r="G1551" s="12" t="n">
        <v>300</v>
      </c>
      <c r="H1551" s="12" t="n">
        <f aca="false">SUMPRODUCT(ПОТОКИ!B14:G14,ЧАСОВЫЕ_ПРОФИЛИ!B15:G15,КОЭФФИЦИЕНТЫ_ВЫБОРА!F32:K32)</f>
        <v>0.678</v>
      </c>
      <c r="I1551" s="12" t="n">
        <f aca="false">SUMPRODUCT(ПОТОКИ!B14:G14,ЧАСОВЫЕ_ПРОФИЛИ!B15:G15,КОЭФФИЦИЕНТЫ_ВЫБОРА!F32:K32,ПАРАМЕТРЫ!$B$17:$G$17)</f>
        <v>0.7458</v>
      </c>
      <c r="J1551" s="12" t="n">
        <f aca="false">I1551*G1551/1000</f>
        <v>0.22374</v>
      </c>
      <c r="K1551" s="11" t="s">
        <v>217</v>
      </c>
      <c r="L1551" s="11" t="s">
        <v>19</v>
      </c>
      <c r="M1551" s="11" t="s">
        <v>145</v>
      </c>
    </row>
    <row r="1552" customFormat="false" ht="15" hidden="false" customHeight="false" outlineLevel="0" collapsed="false">
      <c r="A1552" s="11" t="s">
        <v>110</v>
      </c>
      <c r="B1552" s="11" t="s">
        <v>128</v>
      </c>
      <c r="C1552" s="11" t="n">
        <v>23</v>
      </c>
      <c r="D1552" s="11" t="s">
        <v>86</v>
      </c>
      <c r="E1552" s="11" t="s">
        <v>179</v>
      </c>
      <c r="F1552" s="11" t="s">
        <v>85</v>
      </c>
      <c r="G1552" s="12" t="n">
        <v>150</v>
      </c>
      <c r="H1552" s="12" t="n">
        <f aca="false">SUMPRODUCT(ПОТОКИ!B14:G14,ЧАСОВЫЕ_ПРОФИЛИ!B15:G15,КОЭФФИЦИЕНТЫ_ВЫБОРА!F33:K33)</f>
        <v>1.087932</v>
      </c>
      <c r="I1552" s="12" t="n">
        <f aca="false">SUMPRODUCT(ПОТОКИ!B14:G14,ЧАСОВЫЕ_ПРОФИЛИ!B15:G15,КОЭФФИЦИЕНТЫ_ВЫБОРА!F33:K33,ПАРАМЕТРЫ!$B$17:$G$17)</f>
        <v>1.1967252</v>
      </c>
      <c r="J1552" s="12" t="n">
        <f aca="false">I1552*G1552/1000</f>
        <v>0.17950878</v>
      </c>
      <c r="K1552" s="11" t="s">
        <v>217</v>
      </c>
      <c r="L1552" s="11" t="s">
        <v>19</v>
      </c>
      <c r="M1552" s="11" t="s">
        <v>147</v>
      </c>
    </row>
    <row r="1553" customFormat="false" ht="15" hidden="false" customHeight="false" outlineLevel="0" collapsed="false">
      <c r="A1553" s="11" t="s">
        <v>110</v>
      </c>
      <c r="B1553" s="11" t="s">
        <v>128</v>
      </c>
      <c r="C1553" s="11" t="n">
        <v>24</v>
      </c>
      <c r="D1553" s="11" t="s">
        <v>86</v>
      </c>
      <c r="E1553" s="11" t="s">
        <v>180</v>
      </c>
      <c r="F1553" s="11" t="s">
        <v>85</v>
      </c>
      <c r="G1553" s="12" t="n">
        <v>150</v>
      </c>
      <c r="H1553" s="12" t="n">
        <f aca="false">SUMPRODUCT(ПОТОКИ!B14:G14,ЧАСОВЫЕ_ПРОФИЛИ!B15:G15,КОЭФФИЦИЕНТЫ_ВЫБОРА!F34:K34)</f>
        <v>0.450216</v>
      </c>
      <c r="I1553" s="12" t="n">
        <f aca="false">SUMPRODUCT(ПОТОКИ!B14:G14,ЧАСОВЫЕ_ПРОФИЛИ!B15:G15,КОЭФФИЦИЕНТЫ_ВЫБОРА!F34:K34,ПАРАМЕТРЫ!$B$17:$G$17)</f>
        <v>0.4952376</v>
      </c>
      <c r="J1553" s="12" t="n">
        <f aca="false">I1553*G1553/1000</f>
        <v>0.07428564</v>
      </c>
      <c r="K1553" s="11" t="s">
        <v>217</v>
      </c>
      <c r="L1553" s="11" t="s">
        <v>19</v>
      </c>
      <c r="M1553" s="11" t="s">
        <v>147</v>
      </c>
    </row>
    <row r="1554" customFormat="false" ht="15" hidden="false" customHeight="false" outlineLevel="0" collapsed="false">
      <c r="A1554" s="11" t="s">
        <v>110</v>
      </c>
      <c r="B1554" s="11" t="s">
        <v>128</v>
      </c>
      <c r="C1554" s="11" t="n">
        <v>25</v>
      </c>
      <c r="D1554" s="11" t="s">
        <v>86</v>
      </c>
      <c r="E1554" s="11" t="s">
        <v>181</v>
      </c>
      <c r="F1554" s="11" t="s">
        <v>85</v>
      </c>
      <c r="G1554" s="12" t="n">
        <v>150</v>
      </c>
      <c r="H1554" s="12" t="n">
        <f aca="false">SUMPRODUCT(ПОТОКИ!B14:G14,ЧАСОВЫЕ_ПРОФИЛИ!B15:G15,КОЭФФИЦИЕНТЫ_ВЫБОРА!F35:K35)</f>
        <v>0.712932</v>
      </c>
      <c r="I1554" s="12" t="n">
        <f aca="false">SUMPRODUCT(ПОТОКИ!B14:G14,ЧАСОВЫЕ_ПРОФИЛИ!B15:G15,КОЭФФИЦИЕНТЫ_ВЫБОРА!F35:K35,ПАРАМЕТРЫ!$B$17:$G$17)</f>
        <v>0.7842252</v>
      </c>
      <c r="J1554" s="12" t="n">
        <f aca="false">I1554*G1554/1000</f>
        <v>0.11763378</v>
      </c>
      <c r="K1554" s="11" t="s">
        <v>217</v>
      </c>
      <c r="L1554" s="11" t="s">
        <v>19</v>
      </c>
      <c r="M1554" s="11" t="s">
        <v>147</v>
      </c>
    </row>
    <row r="1555" customFormat="false" ht="23.85" hidden="false" customHeight="false" outlineLevel="0" collapsed="false">
      <c r="A1555" s="11" t="s">
        <v>110</v>
      </c>
      <c r="B1555" s="11" t="s">
        <v>128</v>
      </c>
      <c r="C1555" s="11" t="n">
        <v>26</v>
      </c>
      <c r="D1555" s="11" t="s">
        <v>89</v>
      </c>
      <c r="E1555" s="11" t="s">
        <v>182</v>
      </c>
      <c r="F1555" s="11" t="s">
        <v>88</v>
      </c>
      <c r="G1555" s="12" t="n">
        <v>225</v>
      </c>
      <c r="H1555" s="12" t="n">
        <f aca="false">SUMPRODUCT(ПОТОКИ!B14:G14,ЧАСОВЫЕ_ПРОФИЛИ!B15:G15,КОЭФФИЦИЕНТЫ_ВЫБОРА!F36:K36)</f>
        <v>0.4125</v>
      </c>
      <c r="I1555" s="12" t="n">
        <f aca="false">SUMPRODUCT(ПОТОКИ!B14:G14,ЧАСОВЫЕ_ПРОФИЛИ!B15:G15,КОЭФФИЦИЕНТЫ_ВЫБОРА!F36:K36,ПАРАМЕТРЫ!$B$17:$G$17)</f>
        <v>0.4125</v>
      </c>
      <c r="J1555" s="12" t="n">
        <f aca="false">I1555*G1555/1000</f>
        <v>0.0928125</v>
      </c>
      <c r="K1555" s="11" t="s">
        <v>217</v>
      </c>
      <c r="L1555" s="11" t="s">
        <v>19</v>
      </c>
      <c r="M1555" s="11" t="s">
        <v>145</v>
      </c>
    </row>
    <row r="1556" customFormat="false" ht="23.85" hidden="false" customHeight="false" outlineLevel="0" collapsed="false">
      <c r="A1556" s="11" t="s">
        <v>110</v>
      </c>
      <c r="B1556" s="11" t="s">
        <v>128</v>
      </c>
      <c r="C1556" s="11" t="n">
        <v>27</v>
      </c>
      <c r="D1556" s="11" t="s">
        <v>89</v>
      </c>
      <c r="E1556" s="11" t="s">
        <v>183</v>
      </c>
      <c r="F1556" s="11" t="s">
        <v>88</v>
      </c>
      <c r="G1556" s="12" t="n">
        <v>265</v>
      </c>
      <c r="H1556" s="12" t="n">
        <f aca="false">SUMPRODUCT(ПОТОКИ!B14:G14,ЧАСОВЫЕ_ПРОФИЛИ!B15:G15,КОЭФФИЦИЕНТЫ_ВЫБОРА!F37:K37)</f>
        <v>0.4125</v>
      </c>
      <c r="I1556" s="12" t="n">
        <f aca="false">SUMPRODUCT(ПОТОКИ!B14:G14,ЧАСОВЫЕ_ПРОФИЛИ!B15:G15,КОЭФФИЦИЕНТЫ_ВЫБОРА!F37:K37,ПАРАМЕТРЫ!$B$17:$G$17)</f>
        <v>0.4125</v>
      </c>
      <c r="J1556" s="12" t="n">
        <f aca="false">I1556*G1556/1000</f>
        <v>0.1093125</v>
      </c>
      <c r="K1556" s="11" t="s">
        <v>217</v>
      </c>
      <c r="L1556" s="11" t="s">
        <v>19</v>
      </c>
      <c r="M1556" s="11" t="s">
        <v>145</v>
      </c>
    </row>
    <row r="1557" customFormat="false" ht="23.85" hidden="false" customHeight="false" outlineLevel="0" collapsed="false">
      <c r="A1557" s="11" t="s">
        <v>110</v>
      </c>
      <c r="B1557" s="11" t="s">
        <v>128</v>
      </c>
      <c r="C1557" s="11" t="n">
        <v>28</v>
      </c>
      <c r="D1557" s="11" t="s">
        <v>89</v>
      </c>
      <c r="E1557" s="11" t="s">
        <v>184</v>
      </c>
      <c r="F1557" s="11" t="s">
        <v>88</v>
      </c>
      <c r="G1557" s="12" t="n">
        <v>355</v>
      </c>
      <c r="H1557" s="12" t="n">
        <f aca="false">SUMPRODUCT(ПОТОКИ!B14:G14,ЧАСОВЫЕ_ПРОФИЛИ!B15:G15,КОЭФФИЦИЕНТЫ_ВЫБОРА!F38:K38)</f>
        <v>0.275</v>
      </c>
      <c r="I1557" s="12" t="n">
        <f aca="false">SUMPRODUCT(ПОТОКИ!B14:G14,ЧАСОВЫЕ_ПРОФИЛИ!B15:G15,КОЭФФИЦИЕНТЫ_ВЫБОРА!F38:K38,ПАРАМЕТРЫ!$B$17:$G$17)</f>
        <v>0.275</v>
      </c>
      <c r="J1557" s="12" t="n">
        <f aca="false">I1557*G1557/1000</f>
        <v>0.097625</v>
      </c>
      <c r="K1557" s="11" t="s">
        <v>217</v>
      </c>
      <c r="L1557" s="11" t="s">
        <v>19</v>
      </c>
      <c r="M1557" s="11" t="s">
        <v>145</v>
      </c>
    </row>
    <row r="1558" customFormat="false" ht="15" hidden="false" customHeight="false" outlineLevel="0" collapsed="false">
      <c r="A1558" s="11" t="s">
        <v>110</v>
      </c>
      <c r="B1558" s="11" t="s">
        <v>128</v>
      </c>
      <c r="C1558" s="11" t="n">
        <v>29</v>
      </c>
      <c r="D1558" s="11" t="s">
        <v>92</v>
      </c>
      <c r="E1558" s="11" t="s">
        <v>185</v>
      </c>
      <c r="F1558" s="11" t="s">
        <v>91</v>
      </c>
      <c r="G1558" s="12" t="n">
        <v>150</v>
      </c>
      <c r="H1558" s="12" t="n">
        <f aca="false">SUMPRODUCT(ПОТОКИ!B14:G14,ЧАСОВЫЕ_ПРОФИЛИ!B15:G15,КОЭФФИЦИЕНТЫ_ВЫБОРА!F39:K39)</f>
        <v>0.2016</v>
      </c>
      <c r="I1558" s="12" t="n">
        <f aca="false">SUMPRODUCT(ПОТОКИ!B14:G14,ЧАСОВЫЕ_ПРОФИЛИ!B15:G15,КОЭФФИЦИЕНТЫ_ВЫБОРА!F39:K39,ПАРАМЕТРЫ!$B$17:$G$17)</f>
        <v>0.22176</v>
      </c>
      <c r="J1558" s="12" t="n">
        <f aca="false">I1558*G1558/1000</f>
        <v>0.033264</v>
      </c>
      <c r="K1558" s="11" t="s">
        <v>217</v>
      </c>
      <c r="L1558" s="11" t="s">
        <v>19</v>
      </c>
      <c r="M1558" s="11" t="s">
        <v>145</v>
      </c>
    </row>
    <row r="1559" customFormat="false" ht="15" hidden="false" customHeight="false" outlineLevel="0" collapsed="false">
      <c r="A1559" s="11" t="s">
        <v>110</v>
      </c>
      <c r="B1559" s="11" t="s">
        <v>128</v>
      </c>
      <c r="C1559" s="11" t="n">
        <v>30</v>
      </c>
      <c r="D1559" s="11" t="s">
        <v>92</v>
      </c>
      <c r="E1559" s="11" t="s">
        <v>186</v>
      </c>
      <c r="F1559" s="11" t="s">
        <v>91</v>
      </c>
      <c r="G1559" s="12" t="n">
        <v>120</v>
      </c>
      <c r="H1559" s="12" t="n">
        <f aca="false">SUMPRODUCT(ПОТОКИ!B14:G14,ЧАСОВЫЕ_ПРОФИЛИ!B15:G15,КОЭФФИЦИЕНТЫ_ВЫБОРА!F40:K40)</f>
        <v>0.2016</v>
      </c>
      <c r="I1559" s="12" t="n">
        <f aca="false">SUMPRODUCT(ПОТОКИ!B14:G14,ЧАСОВЫЕ_ПРОФИЛИ!B15:G15,КОЭФФИЦИЕНТЫ_ВЫБОРА!F40:K40,ПАРАМЕТРЫ!$B$17:$G$17)</f>
        <v>0.22176</v>
      </c>
      <c r="J1559" s="12" t="n">
        <f aca="false">I1559*G1559/1000</f>
        <v>0.0266112</v>
      </c>
      <c r="K1559" s="11" t="s">
        <v>217</v>
      </c>
      <c r="L1559" s="11" t="s">
        <v>19</v>
      </c>
      <c r="M1559" s="11" t="s">
        <v>145</v>
      </c>
    </row>
    <row r="1560" customFormat="false" ht="15" hidden="false" customHeight="false" outlineLevel="0" collapsed="false">
      <c r="A1560" s="11" t="s">
        <v>110</v>
      </c>
      <c r="B1560" s="11" t="s">
        <v>128</v>
      </c>
      <c r="C1560" s="11" t="n">
        <v>31</v>
      </c>
      <c r="D1560" s="11" t="s">
        <v>92</v>
      </c>
      <c r="E1560" s="11" t="s">
        <v>187</v>
      </c>
      <c r="F1560" s="11" t="s">
        <v>91</v>
      </c>
      <c r="G1560" s="12" t="n">
        <v>60</v>
      </c>
      <c r="H1560" s="12" t="n">
        <f aca="false">SUMPRODUCT(ПОТОКИ!B14:G14,ЧАСОВЫЕ_ПРОФИЛИ!B15:G15,КОЭФФИЦИЕНТЫ_ВЫБОРА!F41:K41)</f>
        <v>0.2208</v>
      </c>
      <c r="I1560" s="12" t="n">
        <f aca="false">SUMPRODUCT(ПОТОКИ!B14:G14,ЧАСОВЫЕ_ПРОФИЛИ!B15:G15,КОЭФФИЦИЕНТЫ_ВЫБОРА!F41:K41,ПАРАМЕТРЫ!$B$17:$G$17)</f>
        <v>0.24288</v>
      </c>
      <c r="J1560" s="12" t="n">
        <f aca="false">I1560*G1560/1000</f>
        <v>0.0145728</v>
      </c>
      <c r="K1560" s="11" t="s">
        <v>217</v>
      </c>
      <c r="L1560" s="11" t="s">
        <v>19</v>
      </c>
      <c r="M1560" s="11" t="s">
        <v>145</v>
      </c>
    </row>
    <row r="1561" customFormat="false" ht="15" hidden="false" customHeight="false" outlineLevel="0" collapsed="false">
      <c r="A1561" s="11" t="s">
        <v>110</v>
      </c>
      <c r="B1561" s="11" t="s">
        <v>129</v>
      </c>
      <c r="C1561" s="11" t="n">
        <v>1</v>
      </c>
      <c r="D1561" s="11" t="s">
        <v>74</v>
      </c>
      <c r="E1561" s="11" t="s">
        <v>153</v>
      </c>
      <c r="F1561" s="11" t="s">
        <v>73</v>
      </c>
      <c r="G1561" s="12" t="n">
        <v>450</v>
      </c>
      <c r="H1561" s="12" t="n">
        <f aca="false">SUMPRODUCT(ПОТОКИ!B14:G14,ЧАСОВЫЕ_ПРОФИЛИ!B16:G16,КОЭФФИЦИЕНТЫ_ВЫБОРА!F11:K11)</f>
        <v>0.6318</v>
      </c>
      <c r="I1561" s="12" t="n">
        <f aca="false">SUMPRODUCT(ПОТОКИ!B14:G14,ЧАСОВЫЕ_ПРОФИЛИ!B16:G16,КОЭФФИЦИЕНТЫ_ВЫБОРА!F11:K11,ПАРАМЕТРЫ!$B$17:$G$17)</f>
        <v>0.69498</v>
      </c>
      <c r="J1561" s="12" t="n">
        <f aca="false">I1561*G1561/1000</f>
        <v>0.312741</v>
      </c>
      <c r="K1561" s="11" t="s">
        <v>217</v>
      </c>
      <c r="L1561" s="11" t="s">
        <v>19</v>
      </c>
      <c r="M1561" s="11" t="s">
        <v>145</v>
      </c>
    </row>
    <row r="1562" customFormat="false" ht="15" hidden="false" customHeight="false" outlineLevel="0" collapsed="false">
      <c r="A1562" s="11" t="s">
        <v>110</v>
      </c>
      <c r="B1562" s="11" t="s">
        <v>129</v>
      </c>
      <c r="C1562" s="11" t="n">
        <v>2</v>
      </c>
      <c r="D1562" s="11" t="s">
        <v>74</v>
      </c>
      <c r="E1562" s="11" t="s">
        <v>154</v>
      </c>
      <c r="F1562" s="11" t="s">
        <v>73</v>
      </c>
      <c r="G1562" s="12" t="n">
        <v>480</v>
      </c>
      <c r="H1562" s="12" t="n">
        <f aca="false">SUMPRODUCT(ПОТОКИ!B14:G14,ЧАСОВЫЕ_ПРОФИЛИ!B16:G16,КОЭФФИЦИЕНТЫ_ВЫБОРА!F12:K12)</f>
        <v>0.6874</v>
      </c>
      <c r="I1562" s="12" t="n">
        <f aca="false">SUMPRODUCT(ПОТОКИ!B14:G14,ЧАСОВЫЕ_ПРОФИЛИ!B16:G16,КОЭФФИЦИЕНТЫ_ВЫБОРА!F12:K12,ПАРАМЕТРЫ!$B$17:$G$17)</f>
        <v>0.75614</v>
      </c>
      <c r="J1562" s="12" t="n">
        <f aca="false">I1562*G1562/1000</f>
        <v>0.3629472</v>
      </c>
      <c r="K1562" s="11" t="s">
        <v>217</v>
      </c>
      <c r="L1562" s="11" t="s">
        <v>19</v>
      </c>
      <c r="M1562" s="11" t="s">
        <v>145</v>
      </c>
    </row>
    <row r="1563" customFormat="false" ht="15" hidden="false" customHeight="false" outlineLevel="0" collapsed="false">
      <c r="A1563" s="11" t="s">
        <v>110</v>
      </c>
      <c r="B1563" s="11" t="s">
        <v>129</v>
      </c>
      <c r="C1563" s="11" t="n">
        <v>3</v>
      </c>
      <c r="D1563" s="11" t="s">
        <v>74</v>
      </c>
      <c r="E1563" s="11" t="s">
        <v>155</v>
      </c>
      <c r="F1563" s="11" t="s">
        <v>73</v>
      </c>
      <c r="G1563" s="12" t="n">
        <v>500</v>
      </c>
      <c r="H1563" s="12" t="n">
        <f aca="false">SUMPRODUCT(ПОТОКИ!B14:G14,ЧАСОВЫЕ_ПРОФИЛИ!B16:G16,КОЭФФИЦИЕНТЫ_ВЫБОРА!F13:K13)</f>
        <v>1.2936</v>
      </c>
      <c r="I1563" s="12" t="n">
        <f aca="false">SUMPRODUCT(ПОТОКИ!B14:G14,ЧАСОВЫЕ_ПРОФИЛИ!B16:G16,КОЭФФИЦИЕНТЫ_ВЫБОРА!F13:K13,ПАРАМЕТРЫ!$B$17:$G$17)</f>
        <v>1.42296</v>
      </c>
      <c r="J1563" s="12" t="n">
        <f aca="false">I1563*G1563/1000</f>
        <v>0.71148</v>
      </c>
      <c r="K1563" s="11" t="s">
        <v>217</v>
      </c>
      <c r="L1563" s="11" t="s">
        <v>19</v>
      </c>
      <c r="M1563" s="11" t="s">
        <v>145</v>
      </c>
    </row>
    <row r="1564" customFormat="false" ht="15" hidden="false" customHeight="false" outlineLevel="0" collapsed="false">
      <c r="A1564" s="11" t="s">
        <v>110</v>
      </c>
      <c r="B1564" s="11" t="s">
        <v>129</v>
      </c>
      <c r="C1564" s="11" t="n">
        <v>4</v>
      </c>
      <c r="D1564" s="11" t="s">
        <v>74</v>
      </c>
      <c r="E1564" s="11" t="s">
        <v>156</v>
      </c>
      <c r="F1564" s="11" t="s">
        <v>73</v>
      </c>
      <c r="G1564" s="12" t="n">
        <v>500</v>
      </c>
      <c r="H1564" s="12" t="n">
        <f aca="false">SUMPRODUCT(ПОТОКИ!B14:G14,ЧАСОВЫЕ_ПРОФИЛИ!B16:G16,КОЭФФИЦИЕНТЫ_ВЫБОРА!F14:K14)</f>
        <v>1.3492</v>
      </c>
      <c r="I1564" s="12" t="n">
        <f aca="false">SUMPRODUCT(ПОТОКИ!B14:G14,ЧАСОВЫЕ_ПРОФИЛИ!B16:G16,КОЭФФИЦИЕНТЫ_ВЫБОРА!F14:K14,ПАРАМЕТРЫ!$B$17:$G$17)</f>
        <v>1.48412</v>
      </c>
      <c r="J1564" s="12" t="n">
        <f aca="false">I1564*G1564/1000</f>
        <v>0.74206</v>
      </c>
      <c r="K1564" s="11" t="s">
        <v>217</v>
      </c>
      <c r="L1564" s="11" t="s">
        <v>19</v>
      </c>
      <c r="M1564" s="11" t="s">
        <v>145</v>
      </c>
    </row>
    <row r="1565" customFormat="false" ht="15" hidden="false" customHeight="false" outlineLevel="0" collapsed="false">
      <c r="A1565" s="11" t="s">
        <v>110</v>
      </c>
      <c r="B1565" s="11" t="s">
        <v>129</v>
      </c>
      <c r="C1565" s="11" t="n">
        <v>5</v>
      </c>
      <c r="D1565" s="11" t="s">
        <v>78</v>
      </c>
      <c r="E1565" s="11" t="s">
        <v>157</v>
      </c>
      <c r="F1565" s="11" t="s">
        <v>77</v>
      </c>
      <c r="G1565" s="12" t="n">
        <v>100</v>
      </c>
      <c r="H1565" s="12" t="n">
        <f aca="false">SUMPRODUCT(ПОТОКИ!B14:G14,ЧАСОВЫЕ_ПРОФИЛИ!B16:G16,КОЭФФИЦИЕНТЫ_ВЫБОРА!F15:K15)</f>
        <v>0.7154</v>
      </c>
      <c r="I1565" s="12" t="n">
        <f aca="false">SUMPRODUCT(ПОТОКИ!B14:G14,ЧАСОВЫЕ_ПРОФИЛИ!B16:G16,КОЭФФИЦИЕНТЫ_ВЫБОРА!F15:K15,ПАРАМЕТРЫ!$B$17:$G$17)</f>
        <v>0.78694</v>
      </c>
      <c r="J1565" s="12" t="n">
        <f aca="false">I1565*G1565/1000</f>
        <v>0.078694</v>
      </c>
      <c r="K1565" s="11" t="s">
        <v>217</v>
      </c>
      <c r="L1565" s="11" t="s">
        <v>19</v>
      </c>
      <c r="M1565" s="11" t="s">
        <v>147</v>
      </c>
    </row>
    <row r="1566" customFormat="false" ht="15" hidden="false" customHeight="false" outlineLevel="0" collapsed="false">
      <c r="A1566" s="11" t="s">
        <v>110</v>
      </c>
      <c r="B1566" s="11" t="s">
        <v>129</v>
      </c>
      <c r="C1566" s="11" t="n">
        <v>6</v>
      </c>
      <c r="D1566" s="11" t="s">
        <v>78</v>
      </c>
      <c r="E1566" s="11" t="s">
        <v>158</v>
      </c>
      <c r="F1566" s="11" t="s">
        <v>77</v>
      </c>
      <c r="G1566" s="12" t="n">
        <v>100</v>
      </c>
      <c r="H1566" s="12" t="n">
        <f aca="false">SUMPRODUCT(ПОТОКИ!B14:G14,ЧАСОВЫЕ_ПРОФИЛИ!B16:G16,КОЭФФИЦИЕНТЫ_ВЫБОРА!F16:K16)</f>
        <v>0.6198</v>
      </c>
      <c r="I1566" s="12" t="n">
        <f aca="false">SUMPRODUCT(ПОТОКИ!B14:G14,ЧАСОВЫЕ_ПРОФИЛИ!B16:G16,КОЭФФИЦИЕНТЫ_ВЫБОРА!F16:K16,ПАРАМЕТРЫ!$B$17:$G$17)</f>
        <v>0.68178</v>
      </c>
      <c r="J1566" s="12" t="n">
        <f aca="false">I1566*G1566/1000</f>
        <v>0.068178</v>
      </c>
      <c r="K1566" s="11" t="s">
        <v>217</v>
      </c>
      <c r="L1566" s="11" t="s">
        <v>19</v>
      </c>
      <c r="M1566" s="11" t="s">
        <v>147</v>
      </c>
    </row>
    <row r="1567" customFormat="false" ht="15" hidden="false" customHeight="false" outlineLevel="0" collapsed="false">
      <c r="A1567" s="11" t="s">
        <v>110</v>
      </c>
      <c r="B1567" s="11" t="s">
        <v>129</v>
      </c>
      <c r="C1567" s="11" t="n">
        <v>7</v>
      </c>
      <c r="D1567" s="11" t="s">
        <v>78</v>
      </c>
      <c r="E1567" s="11" t="s">
        <v>159</v>
      </c>
      <c r="F1567" s="11" t="s">
        <v>77</v>
      </c>
      <c r="G1567" s="12" t="n">
        <v>350</v>
      </c>
      <c r="H1567" s="12" t="n">
        <f aca="false">SUMPRODUCT(ПОТОКИ!B14:G14,ЧАСОВЫЕ_ПРОФИЛИ!B16:G16,КОЭФФИЦИЕНТЫ_ВЫБОРА!F17:K17)</f>
        <v>0.5643</v>
      </c>
      <c r="I1567" s="12" t="n">
        <f aca="false">SUMPRODUCT(ПОТОКИ!B14:G14,ЧАСОВЫЕ_ПРОФИЛИ!B16:G16,КОЭФФИЦИЕНТЫ_ВЫБОРА!F17:K17,ПАРАМЕТРЫ!$B$17:$G$17)</f>
        <v>0.62073</v>
      </c>
      <c r="J1567" s="12" t="n">
        <f aca="false">I1567*G1567/1000</f>
        <v>0.2172555</v>
      </c>
      <c r="K1567" s="11" t="s">
        <v>217</v>
      </c>
      <c r="L1567" s="11" t="s">
        <v>19</v>
      </c>
      <c r="M1567" s="11" t="s">
        <v>147</v>
      </c>
    </row>
    <row r="1568" customFormat="false" ht="15" hidden="false" customHeight="false" outlineLevel="0" collapsed="false">
      <c r="A1568" s="11" t="s">
        <v>110</v>
      </c>
      <c r="B1568" s="11" t="s">
        <v>129</v>
      </c>
      <c r="C1568" s="11" t="n">
        <v>8</v>
      </c>
      <c r="D1568" s="11" t="s">
        <v>78</v>
      </c>
      <c r="E1568" s="11" t="s">
        <v>160</v>
      </c>
      <c r="F1568" s="11" t="s">
        <v>77</v>
      </c>
      <c r="G1568" s="12" t="n">
        <v>85</v>
      </c>
      <c r="H1568" s="12" t="n">
        <f aca="false">SUMPRODUCT(ПОТОКИ!B14:G14,ЧАСОВЫЕ_ПРОФИЛИ!B16:G16,КОЭФФИЦИЕНТЫ_ВЫБОРА!F18:K18)</f>
        <v>0.3577</v>
      </c>
      <c r="I1568" s="12" t="n">
        <f aca="false">SUMPRODUCT(ПОТОКИ!B14:G14,ЧАСОВЫЕ_ПРОФИЛИ!B16:G16,КОЭФФИЦИЕНТЫ_ВЫБОРА!F18:K18,ПАРАМЕТРЫ!$B$17:$G$17)</f>
        <v>0.39347</v>
      </c>
      <c r="J1568" s="12" t="n">
        <f aca="false">I1568*G1568/1000</f>
        <v>0.03344495</v>
      </c>
      <c r="K1568" s="11" t="s">
        <v>217</v>
      </c>
      <c r="L1568" s="11" t="s">
        <v>19</v>
      </c>
      <c r="M1568" s="11" t="s">
        <v>147</v>
      </c>
    </row>
    <row r="1569" customFormat="false" ht="15" hidden="false" customHeight="false" outlineLevel="0" collapsed="false">
      <c r="A1569" s="11" t="s">
        <v>110</v>
      </c>
      <c r="B1569" s="11" t="s">
        <v>129</v>
      </c>
      <c r="C1569" s="11" t="n">
        <v>9</v>
      </c>
      <c r="D1569" s="11" t="s">
        <v>161</v>
      </c>
      <c r="E1569" s="11" t="s">
        <v>162</v>
      </c>
      <c r="F1569" s="11" t="s">
        <v>80</v>
      </c>
      <c r="G1569" s="12" t="n">
        <v>300</v>
      </c>
      <c r="H1569" s="12" t="n">
        <f aca="false">SUMPRODUCT(ПОТОКИ!B14:G14,ЧАСОВЫЕ_ПРОФИЛИ!B16:G16,КОЭФФИЦИЕНТЫ_ВЫБОРА!F19:K19)</f>
        <v>0.587</v>
      </c>
      <c r="I1569" s="12" t="n">
        <f aca="false">SUMPRODUCT(ПОТОКИ!B14:G14,ЧАСОВЫЕ_ПРОФИЛИ!B16:G16,КОЭФФИЦИЕНТЫ_ВЫБОРА!F19:K19,ПАРАМЕТРЫ!$B$17:$G$17)</f>
        <v>0.6457</v>
      </c>
      <c r="J1569" s="12" t="n">
        <f aca="false">I1569*G1569/1000</f>
        <v>0.19371</v>
      </c>
      <c r="K1569" s="11" t="s">
        <v>217</v>
      </c>
      <c r="L1569" s="11" t="s">
        <v>19</v>
      </c>
      <c r="M1569" s="11" t="s">
        <v>145</v>
      </c>
    </row>
    <row r="1570" customFormat="false" ht="15" hidden="false" customHeight="false" outlineLevel="0" collapsed="false">
      <c r="A1570" s="11" t="s">
        <v>110</v>
      </c>
      <c r="B1570" s="11" t="s">
        <v>129</v>
      </c>
      <c r="C1570" s="11" t="n">
        <v>10</v>
      </c>
      <c r="D1570" s="11" t="s">
        <v>161</v>
      </c>
      <c r="E1570" s="11" t="s">
        <v>163</v>
      </c>
      <c r="F1570" s="11" t="s">
        <v>80</v>
      </c>
      <c r="G1570" s="12" t="n">
        <v>280</v>
      </c>
      <c r="H1570" s="12" t="n">
        <f aca="false">SUMPRODUCT(ПОТОКИ!B14:G14,ЧАСОВЫЕ_ПРОФИЛИ!B16:G16,КОЭФФИЦИЕНТЫ_ВЫБОРА!F20:K20)</f>
        <v>0.982</v>
      </c>
      <c r="I1570" s="12" t="n">
        <f aca="false">SUMPRODUCT(ПОТОКИ!B14:G14,ЧАСОВЫЕ_ПРОФИЛИ!B16:G16,КОЭФФИЦИЕНТЫ_ВЫБОРА!F20:K20,ПАРАМЕТРЫ!$B$17:$G$17)</f>
        <v>1.0802</v>
      </c>
      <c r="J1570" s="12" t="n">
        <f aca="false">I1570*G1570/1000</f>
        <v>0.302456</v>
      </c>
      <c r="K1570" s="11" t="s">
        <v>217</v>
      </c>
      <c r="L1570" s="11" t="s">
        <v>19</v>
      </c>
      <c r="M1570" s="11" t="s">
        <v>145</v>
      </c>
    </row>
    <row r="1571" customFormat="false" ht="15" hidden="false" customHeight="false" outlineLevel="0" collapsed="false">
      <c r="A1571" s="11" t="s">
        <v>110</v>
      </c>
      <c r="B1571" s="11" t="s">
        <v>129</v>
      </c>
      <c r="C1571" s="11" t="n">
        <v>11</v>
      </c>
      <c r="D1571" s="11" t="s">
        <v>161</v>
      </c>
      <c r="E1571" s="11" t="s">
        <v>164</v>
      </c>
      <c r="F1571" s="11" t="s">
        <v>80</v>
      </c>
      <c r="G1571" s="12" t="n">
        <v>270</v>
      </c>
      <c r="H1571" s="12" t="n">
        <f aca="false">SUMPRODUCT(ПОТОКИ!B14:G14,ЧАСОВЫЕ_ПРОФИЛИ!B16:G16,КОЭФФИЦИЕНТЫ_ВЫБОРА!F21:K21)</f>
        <v>1.8713</v>
      </c>
      <c r="I1571" s="12" t="n">
        <f aca="false">SUMPRODUCT(ПОТОКИ!B14:G14,ЧАСОВЫЕ_ПРОФИЛИ!B16:G16,КОЭФФИЦИЕНТЫ_ВЫБОРА!F21:K21,ПАРАМЕТРЫ!$B$17:$G$17)</f>
        <v>2.05843</v>
      </c>
      <c r="J1571" s="12" t="n">
        <f aca="false">I1571*G1571/1000</f>
        <v>0.5557761</v>
      </c>
      <c r="K1571" s="11" t="s">
        <v>217</v>
      </c>
      <c r="L1571" s="11" t="s">
        <v>19</v>
      </c>
      <c r="M1571" s="11" t="s">
        <v>145</v>
      </c>
    </row>
    <row r="1572" customFormat="false" ht="15" hidden="false" customHeight="false" outlineLevel="0" collapsed="false">
      <c r="A1572" s="11" t="s">
        <v>110</v>
      </c>
      <c r="B1572" s="11" t="s">
        <v>129</v>
      </c>
      <c r="C1572" s="11" t="n">
        <v>12</v>
      </c>
      <c r="D1572" s="11" t="s">
        <v>161</v>
      </c>
      <c r="E1572" s="11" t="s">
        <v>165</v>
      </c>
      <c r="F1572" s="11" t="s">
        <v>80</v>
      </c>
      <c r="G1572" s="12" t="n">
        <v>240</v>
      </c>
      <c r="H1572" s="12" t="n">
        <f aca="false">SUMPRODUCT(ПОТОКИ!B14:G14,ЧАСОВЫЕ_ПРОФИЛИ!B16:G16,КОЭФФИЦИЕНТЫ_ВЫБОРА!F22:K22)</f>
        <v>1.2777</v>
      </c>
      <c r="I1572" s="12" t="n">
        <f aca="false">SUMPRODUCT(ПОТОКИ!B14:G14,ЧАСОВЫЕ_ПРОФИЛИ!B16:G16,КОЭФФИЦИЕНТЫ_ВЫБОРА!F22:K22,ПАРАМЕТРЫ!$B$17:$G$17)</f>
        <v>1.40547</v>
      </c>
      <c r="J1572" s="12" t="n">
        <f aca="false">I1572*G1572/1000</f>
        <v>0.3373128</v>
      </c>
      <c r="K1572" s="11" t="s">
        <v>217</v>
      </c>
      <c r="L1572" s="11" t="s">
        <v>19</v>
      </c>
      <c r="M1572" s="11" t="s">
        <v>145</v>
      </c>
    </row>
    <row r="1573" customFormat="false" ht="15" hidden="false" customHeight="false" outlineLevel="0" collapsed="false">
      <c r="A1573" s="11" t="s">
        <v>110</v>
      </c>
      <c r="B1573" s="11" t="s">
        <v>129</v>
      </c>
      <c r="C1573" s="11" t="n">
        <v>13</v>
      </c>
      <c r="D1573" s="11" t="s">
        <v>166</v>
      </c>
      <c r="E1573" s="11" t="s">
        <v>167</v>
      </c>
      <c r="F1573" s="11" t="s">
        <v>80</v>
      </c>
      <c r="G1573" s="12" t="n">
        <v>130</v>
      </c>
      <c r="H1573" s="12" t="n">
        <f aca="false">SUMPRODUCT(ПОТОКИ!B14:G14,ЧАСОВЫЕ_ПРОФИЛИ!B16:G16,КОЭФФИЦИЕНТЫ_ВЫБОРА!F23:K23)</f>
        <v>0.268</v>
      </c>
      <c r="I1573" s="12" t="n">
        <f aca="false">SUMPRODUCT(ПОТОКИ!B14:G14,ЧАСОВЫЕ_ПРОФИЛИ!B16:G16,КОЭФФИЦИЕНТЫ_ВЫБОРА!F23:K23,ПАРАМЕТРЫ!$B$17:$G$17)</f>
        <v>0.2948</v>
      </c>
      <c r="J1573" s="12" t="n">
        <f aca="false">I1573*G1573/1000</f>
        <v>0.038324</v>
      </c>
      <c r="K1573" s="11" t="s">
        <v>217</v>
      </c>
      <c r="L1573" s="11" t="s">
        <v>19</v>
      </c>
      <c r="M1573" s="11" t="s">
        <v>145</v>
      </c>
    </row>
    <row r="1574" customFormat="false" ht="15" hidden="false" customHeight="false" outlineLevel="0" collapsed="false">
      <c r="A1574" s="11" t="s">
        <v>110</v>
      </c>
      <c r="B1574" s="11" t="s">
        <v>129</v>
      </c>
      <c r="C1574" s="11" t="n">
        <v>14</v>
      </c>
      <c r="D1574" s="11" t="s">
        <v>166</v>
      </c>
      <c r="E1574" s="11" t="s">
        <v>168</v>
      </c>
      <c r="F1574" s="11" t="s">
        <v>80</v>
      </c>
      <c r="G1574" s="12" t="n">
        <v>250</v>
      </c>
      <c r="H1574" s="12" t="n">
        <f aca="false">SUMPRODUCT(ПОТОКИ!B14:G14,ЧАСОВЫЕ_ПРОФИЛИ!B16:G16,КОЭФФИЦИЕНТЫ_ВЫБОРА!F24:K24)</f>
        <v>0.4268</v>
      </c>
      <c r="I1574" s="12" t="n">
        <f aca="false">SUMPRODUCT(ПОТОКИ!B14:G14,ЧАСОВЫЕ_ПРОФИЛИ!B16:G16,КОЭФФИЦИЕНТЫ_ВЫБОРА!F24:K24,ПАРАМЕТРЫ!$B$17:$G$17)</f>
        <v>0.46948</v>
      </c>
      <c r="J1574" s="12" t="n">
        <f aca="false">I1574*G1574/1000</f>
        <v>0.11737</v>
      </c>
      <c r="K1574" s="11" t="s">
        <v>217</v>
      </c>
      <c r="L1574" s="11" t="s">
        <v>19</v>
      </c>
      <c r="M1574" s="11" t="s">
        <v>145</v>
      </c>
    </row>
    <row r="1575" customFormat="false" ht="15" hidden="false" customHeight="false" outlineLevel="0" collapsed="false">
      <c r="A1575" s="11" t="s">
        <v>110</v>
      </c>
      <c r="B1575" s="11" t="s">
        <v>129</v>
      </c>
      <c r="C1575" s="11" t="n">
        <v>15</v>
      </c>
      <c r="D1575" s="11" t="s">
        <v>166</v>
      </c>
      <c r="E1575" s="11" t="s">
        <v>169</v>
      </c>
      <c r="F1575" s="11" t="s">
        <v>80</v>
      </c>
      <c r="G1575" s="12" t="n">
        <v>120</v>
      </c>
      <c r="H1575" s="12" t="n">
        <f aca="false">SUMPRODUCT(ПОТОКИ!B14:G14,ЧАСОВЫЕ_ПРОФИЛИ!B16:G16,КОЭФФИЦИЕНТЫ_ВЫБОРА!F25:K25)</f>
        <v>0.2168</v>
      </c>
      <c r="I1575" s="12" t="n">
        <f aca="false">SUMPRODUCT(ПОТОКИ!B14:G14,ЧАСОВЫЕ_ПРОФИЛИ!B16:G16,КОЭФФИЦИЕНТЫ_ВЫБОРА!F25:K25,ПАРАМЕТРЫ!$B$17:$G$17)</f>
        <v>0.23848</v>
      </c>
      <c r="J1575" s="12" t="n">
        <f aca="false">I1575*G1575/1000</f>
        <v>0.0286176</v>
      </c>
      <c r="K1575" s="11" t="s">
        <v>217</v>
      </c>
      <c r="L1575" s="11" t="s">
        <v>19</v>
      </c>
      <c r="M1575" s="11" t="s">
        <v>145</v>
      </c>
    </row>
    <row r="1576" customFormat="false" ht="15" hidden="false" customHeight="false" outlineLevel="0" collapsed="false">
      <c r="A1576" s="11" t="s">
        <v>110</v>
      </c>
      <c r="B1576" s="11" t="s">
        <v>129</v>
      </c>
      <c r="C1576" s="11" t="n">
        <v>16</v>
      </c>
      <c r="D1576" s="11" t="s">
        <v>166</v>
      </c>
      <c r="E1576" s="11" t="s">
        <v>170</v>
      </c>
      <c r="F1576" s="11" t="s">
        <v>80</v>
      </c>
      <c r="G1576" s="12" t="n">
        <v>180</v>
      </c>
      <c r="H1576" s="12" t="n">
        <f aca="false">SUMPRODUCT(ПОТОКИ!B14:G14,ЧАСОВЫЕ_ПРОФИЛИ!B16:G16,КОЭФФИЦИЕНТЫ_ВЫБОРА!F26:K26)</f>
        <v>0.5924</v>
      </c>
      <c r="I1576" s="12" t="n">
        <f aca="false">SUMPRODUCT(ПОТОКИ!B14:G14,ЧАСОВЫЕ_ПРОФИЛИ!B16:G16,КОЭФФИЦИЕНТЫ_ВЫБОРА!F26:K26,ПАРАМЕТРЫ!$B$17:$G$17)</f>
        <v>0.65164</v>
      </c>
      <c r="J1576" s="12" t="n">
        <f aca="false">I1576*G1576/1000</f>
        <v>0.1172952</v>
      </c>
      <c r="K1576" s="11" t="s">
        <v>217</v>
      </c>
      <c r="L1576" s="11" t="s">
        <v>19</v>
      </c>
      <c r="M1576" s="11" t="s">
        <v>145</v>
      </c>
    </row>
    <row r="1577" customFormat="false" ht="15" hidden="false" customHeight="false" outlineLevel="0" collapsed="false">
      <c r="A1577" s="11" t="s">
        <v>110</v>
      </c>
      <c r="B1577" s="11" t="s">
        <v>129</v>
      </c>
      <c r="C1577" s="11" t="n">
        <v>17</v>
      </c>
      <c r="D1577" s="11" t="s">
        <v>166</v>
      </c>
      <c r="E1577" s="11" t="s">
        <v>171</v>
      </c>
      <c r="F1577" s="11" t="s">
        <v>80</v>
      </c>
      <c r="G1577" s="12" t="n">
        <v>180</v>
      </c>
      <c r="H1577" s="12" t="n">
        <f aca="false">SUMPRODUCT(ПОТОКИ!B14:G14,ЧАСОВЫЕ_ПРОФИЛИ!B16:G16,КОЭФФИЦИЕНТЫ_ВЫБОРА!F27:K27)</f>
        <v>0.408</v>
      </c>
      <c r="I1577" s="12" t="n">
        <f aca="false">SUMPRODUCT(ПОТОКИ!B14:G14,ЧАСОВЫЕ_ПРОФИЛИ!B16:G16,КОЭФФИЦИЕНТЫ_ВЫБОРА!F27:K27,ПАРАМЕТРЫ!$B$17:$G$17)</f>
        <v>0.4488</v>
      </c>
      <c r="J1577" s="12" t="n">
        <f aca="false">I1577*G1577/1000</f>
        <v>0.080784</v>
      </c>
      <c r="K1577" s="11" t="s">
        <v>217</v>
      </c>
      <c r="L1577" s="11" t="s">
        <v>19</v>
      </c>
      <c r="M1577" s="11" t="s">
        <v>145</v>
      </c>
    </row>
    <row r="1578" customFormat="false" ht="15" hidden="false" customHeight="false" outlineLevel="0" collapsed="false">
      <c r="A1578" s="11" t="s">
        <v>110</v>
      </c>
      <c r="B1578" s="11" t="s">
        <v>129</v>
      </c>
      <c r="C1578" s="11" t="n">
        <v>18</v>
      </c>
      <c r="D1578" s="11" t="s">
        <v>172</v>
      </c>
      <c r="E1578" s="11" t="s">
        <v>173</v>
      </c>
      <c r="F1578" s="11" t="s">
        <v>83</v>
      </c>
      <c r="G1578" s="12" t="n">
        <v>400</v>
      </c>
      <c r="H1578" s="12" t="n">
        <f aca="false">SUMPRODUCT(ПОТОКИ!B14:G14,ЧАСОВЫЕ_ПРОФИЛИ!B16:G16,КОЭФФИЦИЕНТЫ_ВЫБОРА!F28:K28)</f>
        <v>5.156</v>
      </c>
      <c r="I1578" s="12" t="n">
        <f aca="false">SUMPRODUCT(ПОТОКИ!B14:G14,ЧАСОВЫЕ_ПРОФИЛИ!B16:G16,КОЭФФИЦИЕНТЫ_ВЫБОРА!F28:K28,ПАРАМЕТРЫ!$B$17:$G$17)</f>
        <v>5.6716</v>
      </c>
      <c r="J1578" s="12" t="n">
        <f aca="false">I1578*G1578/1000</f>
        <v>2.26864</v>
      </c>
      <c r="K1578" s="11" t="s">
        <v>217</v>
      </c>
      <c r="L1578" s="11" t="s">
        <v>19</v>
      </c>
      <c r="M1578" s="11" t="s">
        <v>145</v>
      </c>
    </row>
    <row r="1579" customFormat="false" ht="23.85" hidden="false" customHeight="false" outlineLevel="0" collapsed="false">
      <c r="A1579" s="11" t="s">
        <v>110</v>
      </c>
      <c r="B1579" s="11" t="s">
        <v>129</v>
      </c>
      <c r="C1579" s="11" t="n">
        <v>19</v>
      </c>
      <c r="D1579" s="11" t="s">
        <v>174</v>
      </c>
      <c r="E1579" s="11" t="s">
        <v>175</v>
      </c>
      <c r="F1579" s="11" t="s">
        <v>83</v>
      </c>
      <c r="G1579" s="12" t="n">
        <v>300</v>
      </c>
      <c r="H1579" s="12" t="n">
        <f aca="false">SUMPRODUCT(ПОТОКИ!B14:G14,ЧАСОВЫЕ_ПРОФИЛИ!B16:G16,КОЭФФИЦИЕНТЫ_ВЫБОРА!F29:K29)</f>
        <v>3.806</v>
      </c>
      <c r="I1579" s="12" t="n">
        <f aca="false">SUMPRODUCT(ПОТОКИ!B14:G14,ЧАСОВЫЕ_ПРОФИЛИ!B16:G16,КОЭФФИЦИЕНТЫ_ВЫБОРА!F29:K29,ПАРАМЕТРЫ!$B$17:$G$17)</f>
        <v>4.1866</v>
      </c>
      <c r="J1579" s="12" t="n">
        <f aca="false">I1579*G1579/1000</f>
        <v>1.25598</v>
      </c>
      <c r="K1579" s="11" t="s">
        <v>217</v>
      </c>
      <c r="L1579" s="11" t="s">
        <v>19</v>
      </c>
      <c r="M1579" s="11" t="s">
        <v>145</v>
      </c>
    </row>
    <row r="1580" customFormat="false" ht="15" hidden="false" customHeight="false" outlineLevel="0" collapsed="false">
      <c r="A1580" s="11" t="s">
        <v>110</v>
      </c>
      <c r="B1580" s="11" t="s">
        <v>129</v>
      </c>
      <c r="C1580" s="11" t="n">
        <v>20</v>
      </c>
      <c r="D1580" s="11" t="s">
        <v>174</v>
      </c>
      <c r="E1580" s="11" t="s">
        <v>176</v>
      </c>
      <c r="F1580" s="11" t="s">
        <v>83</v>
      </c>
      <c r="G1580" s="12" t="n">
        <v>360</v>
      </c>
      <c r="H1580" s="12" t="n">
        <f aca="false">SUMPRODUCT(ПОТОКИ!B14:G14,ЧАСОВЫЕ_ПРОФИЛИ!B16:G16,КОЭФФИЦИЕНТЫ_ВЫБОРА!F30:K30)</f>
        <v>2.7328</v>
      </c>
      <c r="I1580" s="12" t="n">
        <f aca="false">SUMPRODUCT(ПОТОКИ!B14:G14,ЧАСОВЫЕ_ПРОФИЛИ!B16:G16,КОЭФФИЦИЕНТЫ_ВЫБОРА!F30:K30,ПАРАМЕТРЫ!$B$17:$G$17)</f>
        <v>3.00608</v>
      </c>
      <c r="J1580" s="12" t="n">
        <f aca="false">I1580*G1580/1000</f>
        <v>1.0821888</v>
      </c>
      <c r="K1580" s="11" t="s">
        <v>217</v>
      </c>
      <c r="L1580" s="11" t="s">
        <v>19</v>
      </c>
      <c r="M1580" s="11" t="s">
        <v>145</v>
      </c>
    </row>
    <row r="1581" customFormat="false" ht="15" hidden="false" customHeight="false" outlineLevel="0" collapsed="false">
      <c r="A1581" s="11" t="s">
        <v>110</v>
      </c>
      <c r="B1581" s="11" t="s">
        <v>129</v>
      </c>
      <c r="C1581" s="11" t="n">
        <v>21</v>
      </c>
      <c r="D1581" s="11" t="s">
        <v>174</v>
      </c>
      <c r="E1581" s="11" t="s">
        <v>177</v>
      </c>
      <c r="F1581" s="11" t="s">
        <v>83</v>
      </c>
      <c r="G1581" s="12" t="n">
        <v>350</v>
      </c>
      <c r="H1581" s="12" t="n">
        <f aca="false">SUMPRODUCT(ПОТОКИ!B14:G14,ЧАСОВЫЕ_ПРОФИЛИ!B16:G16,КОЭФФИЦИЕНТЫ_ВЫБОРА!F31:K31)</f>
        <v>4.6542</v>
      </c>
      <c r="I1581" s="12" t="n">
        <f aca="false">SUMPRODUCT(ПОТОКИ!B14:G14,ЧАСОВЫЕ_ПРОФИЛИ!B16:G16,КОЭФФИЦИЕНТЫ_ВЫБОРА!F31:K31,ПАРАМЕТРЫ!$B$17:$G$17)</f>
        <v>5.11962</v>
      </c>
      <c r="J1581" s="12" t="n">
        <f aca="false">I1581*G1581/1000</f>
        <v>1.791867</v>
      </c>
      <c r="K1581" s="11" t="s">
        <v>217</v>
      </c>
      <c r="L1581" s="11" t="s">
        <v>19</v>
      </c>
      <c r="M1581" s="11" t="s">
        <v>145</v>
      </c>
    </row>
    <row r="1582" customFormat="false" ht="15" hidden="false" customHeight="false" outlineLevel="0" collapsed="false">
      <c r="A1582" s="11" t="s">
        <v>110</v>
      </c>
      <c r="B1582" s="11" t="s">
        <v>129</v>
      </c>
      <c r="C1582" s="11" t="n">
        <v>22</v>
      </c>
      <c r="D1582" s="11" t="s">
        <v>174</v>
      </c>
      <c r="E1582" s="11" t="s">
        <v>178</v>
      </c>
      <c r="F1582" s="11" t="s">
        <v>83</v>
      </c>
      <c r="G1582" s="12" t="n">
        <v>300</v>
      </c>
      <c r="H1582" s="12" t="n">
        <f aca="false">SUMPRODUCT(ПОТОКИ!B14:G14,ЧАСОВЫЕ_ПРОФИЛИ!B16:G16,КОЭФФИЦИЕНТЫ_ВЫБОРА!F32:K32)</f>
        <v>2.171</v>
      </c>
      <c r="I1582" s="12" t="n">
        <f aca="false">SUMPRODUCT(ПОТОКИ!B14:G14,ЧАСОВЫЕ_ПРОФИЛИ!B16:G16,КОЭФФИЦИЕНТЫ_ВЫБОРА!F32:K32,ПАРАМЕТРЫ!$B$17:$G$17)</f>
        <v>2.3881</v>
      </c>
      <c r="J1582" s="12" t="n">
        <f aca="false">I1582*G1582/1000</f>
        <v>0.71643</v>
      </c>
      <c r="K1582" s="11" t="s">
        <v>217</v>
      </c>
      <c r="L1582" s="11" t="s">
        <v>19</v>
      </c>
      <c r="M1582" s="11" t="s">
        <v>145</v>
      </c>
    </row>
    <row r="1583" customFormat="false" ht="15" hidden="false" customHeight="false" outlineLevel="0" collapsed="false">
      <c r="A1583" s="11" t="s">
        <v>110</v>
      </c>
      <c r="B1583" s="11" t="s">
        <v>129</v>
      </c>
      <c r="C1583" s="11" t="n">
        <v>23</v>
      </c>
      <c r="D1583" s="11" t="s">
        <v>86</v>
      </c>
      <c r="E1583" s="11" t="s">
        <v>179</v>
      </c>
      <c r="F1583" s="11" t="s">
        <v>85</v>
      </c>
      <c r="G1583" s="12" t="n">
        <v>150</v>
      </c>
      <c r="H1583" s="12" t="n">
        <f aca="false">SUMPRODUCT(ПОТОКИ!B14:G14,ЧАСОВЫЕ_ПРОФИЛИ!B16:G16,КОЭФФИЦИЕНТЫ_ВЫБОРА!F33:K33)</f>
        <v>3.682402</v>
      </c>
      <c r="I1583" s="12" t="n">
        <f aca="false">SUMPRODUCT(ПОТОКИ!B14:G14,ЧАСОВЫЕ_ПРОФИЛИ!B16:G16,КОЭФФИЦИЕНТЫ_ВЫБОРА!F33:K33,ПАРАМЕТРЫ!$B$17:$G$17)</f>
        <v>4.0506422</v>
      </c>
      <c r="J1583" s="12" t="n">
        <f aca="false">I1583*G1583/1000</f>
        <v>0.60759633</v>
      </c>
      <c r="K1583" s="11" t="s">
        <v>217</v>
      </c>
      <c r="L1583" s="11" t="s">
        <v>19</v>
      </c>
      <c r="M1583" s="11" t="s">
        <v>147</v>
      </c>
    </row>
    <row r="1584" customFormat="false" ht="15" hidden="false" customHeight="false" outlineLevel="0" collapsed="false">
      <c r="A1584" s="11" t="s">
        <v>110</v>
      </c>
      <c r="B1584" s="11" t="s">
        <v>129</v>
      </c>
      <c r="C1584" s="11" t="n">
        <v>24</v>
      </c>
      <c r="D1584" s="11" t="s">
        <v>86</v>
      </c>
      <c r="E1584" s="11" t="s">
        <v>180</v>
      </c>
      <c r="F1584" s="11" t="s">
        <v>85</v>
      </c>
      <c r="G1584" s="12" t="n">
        <v>150</v>
      </c>
      <c r="H1584" s="12" t="n">
        <f aca="false">SUMPRODUCT(ПОТОКИ!B14:G14,ЧАСОВЫЕ_ПРОФИЛИ!B16:G16,КОЭФФИЦИЕНТЫ_ВЫБОРА!F34:K34)</f>
        <v>1.513076</v>
      </c>
      <c r="I1584" s="12" t="n">
        <f aca="false">SUMPRODUCT(ПОТОКИ!B14:G14,ЧАСОВЫЕ_ПРОФИЛИ!B16:G16,КОЭФФИЦИЕНТЫ_ВЫБОРА!F34:K34,ПАРАМЕТРЫ!$B$17:$G$17)</f>
        <v>1.6643836</v>
      </c>
      <c r="J1584" s="12" t="n">
        <f aca="false">I1584*G1584/1000</f>
        <v>0.24965754</v>
      </c>
      <c r="K1584" s="11" t="s">
        <v>217</v>
      </c>
      <c r="L1584" s="11" t="s">
        <v>19</v>
      </c>
      <c r="M1584" s="11" t="s">
        <v>147</v>
      </c>
    </row>
    <row r="1585" customFormat="false" ht="15" hidden="false" customHeight="false" outlineLevel="0" collapsed="false">
      <c r="A1585" s="11" t="s">
        <v>110</v>
      </c>
      <c r="B1585" s="11" t="s">
        <v>129</v>
      </c>
      <c r="C1585" s="11" t="n">
        <v>25</v>
      </c>
      <c r="D1585" s="11" t="s">
        <v>86</v>
      </c>
      <c r="E1585" s="11" t="s">
        <v>181</v>
      </c>
      <c r="F1585" s="11" t="s">
        <v>85</v>
      </c>
      <c r="G1585" s="12" t="n">
        <v>150</v>
      </c>
      <c r="H1585" s="12" t="n">
        <f aca="false">SUMPRODUCT(ПОТОКИ!B14:G14,ЧАСОВЫЕ_ПРОФИЛИ!B16:G16,КОЭФФИЦИЕНТЫ_ВЫБОРА!F35:K35)</f>
        <v>2.369902</v>
      </c>
      <c r="I1585" s="12" t="n">
        <f aca="false">SUMPRODUCT(ПОТОКИ!B14:G14,ЧАСОВЫЕ_ПРОФИЛИ!B16:G16,КОЭФФИЦИЕНТЫ_ВЫБОРА!F35:K35,ПАРАМЕТРЫ!$B$17:$G$17)</f>
        <v>2.6068922</v>
      </c>
      <c r="J1585" s="12" t="n">
        <f aca="false">I1585*G1585/1000</f>
        <v>0.39103383</v>
      </c>
      <c r="K1585" s="11" t="s">
        <v>217</v>
      </c>
      <c r="L1585" s="11" t="s">
        <v>19</v>
      </c>
      <c r="M1585" s="11" t="s">
        <v>147</v>
      </c>
    </row>
    <row r="1586" customFormat="false" ht="23.85" hidden="false" customHeight="false" outlineLevel="0" collapsed="false">
      <c r="A1586" s="11" t="s">
        <v>110</v>
      </c>
      <c r="B1586" s="11" t="s">
        <v>129</v>
      </c>
      <c r="C1586" s="11" t="n">
        <v>26</v>
      </c>
      <c r="D1586" s="11" t="s">
        <v>89</v>
      </c>
      <c r="E1586" s="11" t="s">
        <v>182</v>
      </c>
      <c r="F1586" s="11" t="s">
        <v>88</v>
      </c>
      <c r="G1586" s="12" t="n">
        <v>225</v>
      </c>
      <c r="H1586" s="12" t="n">
        <f aca="false">SUMPRODUCT(ПОТОКИ!B14:G14,ЧАСОВЫЕ_ПРОФИЛИ!B16:G16,КОЭФФИЦИЕНТЫ_ВЫБОРА!F36:K36)</f>
        <v>0</v>
      </c>
      <c r="I1586" s="12" t="n">
        <f aca="false">SUMPRODUCT(ПОТОКИ!B14:G14,ЧАСОВЫЕ_ПРОФИЛИ!B16:G16,КОЭФФИЦИЕНТЫ_ВЫБОРА!F36:K36,ПАРАМЕТРЫ!$B$17:$G$17)</f>
        <v>0</v>
      </c>
      <c r="J1586" s="12" t="n">
        <f aca="false">I1586*G1586/1000</f>
        <v>0</v>
      </c>
      <c r="K1586" s="11" t="s">
        <v>217</v>
      </c>
      <c r="L1586" s="11" t="s">
        <v>19</v>
      </c>
      <c r="M1586" s="11" t="s">
        <v>145</v>
      </c>
    </row>
    <row r="1587" customFormat="false" ht="23.85" hidden="false" customHeight="false" outlineLevel="0" collapsed="false">
      <c r="A1587" s="11" t="s">
        <v>110</v>
      </c>
      <c r="B1587" s="11" t="s">
        <v>129</v>
      </c>
      <c r="C1587" s="11" t="n">
        <v>27</v>
      </c>
      <c r="D1587" s="11" t="s">
        <v>89</v>
      </c>
      <c r="E1587" s="11" t="s">
        <v>183</v>
      </c>
      <c r="F1587" s="11" t="s">
        <v>88</v>
      </c>
      <c r="G1587" s="12" t="n">
        <v>265</v>
      </c>
      <c r="H1587" s="12" t="n">
        <f aca="false">SUMPRODUCT(ПОТОКИ!B14:G14,ЧАСОВЫЕ_ПРОФИЛИ!B16:G16,КОЭФФИЦИЕНТЫ_ВЫБОРА!F37:K37)</f>
        <v>0</v>
      </c>
      <c r="I1587" s="12" t="n">
        <f aca="false">SUMPRODUCT(ПОТОКИ!B14:G14,ЧАСОВЫЕ_ПРОФИЛИ!B16:G16,КОЭФФИЦИЕНТЫ_ВЫБОРА!F37:K37,ПАРАМЕТРЫ!$B$17:$G$17)</f>
        <v>0</v>
      </c>
      <c r="J1587" s="12" t="n">
        <f aca="false">I1587*G1587/1000</f>
        <v>0</v>
      </c>
      <c r="K1587" s="11" t="s">
        <v>217</v>
      </c>
      <c r="L1587" s="11" t="s">
        <v>19</v>
      </c>
      <c r="M1587" s="11" t="s">
        <v>145</v>
      </c>
    </row>
    <row r="1588" customFormat="false" ht="23.85" hidden="false" customHeight="false" outlineLevel="0" collapsed="false">
      <c r="A1588" s="11" t="s">
        <v>110</v>
      </c>
      <c r="B1588" s="11" t="s">
        <v>129</v>
      </c>
      <c r="C1588" s="11" t="n">
        <v>28</v>
      </c>
      <c r="D1588" s="11" t="s">
        <v>89</v>
      </c>
      <c r="E1588" s="11" t="s">
        <v>184</v>
      </c>
      <c r="F1588" s="11" t="s">
        <v>88</v>
      </c>
      <c r="G1588" s="12" t="n">
        <v>355</v>
      </c>
      <c r="H1588" s="12" t="n">
        <f aca="false">SUMPRODUCT(ПОТОКИ!B14:G14,ЧАСОВЫЕ_ПРОФИЛИ!B16:G16,КОЭФФИЦИЕНТЫ_ВЫБОРА!F38:K38)</f>
        <v>0</v>
      </c>
      <c r="I1588" s="12" t="n">
        <f aca="false">SUMPRODUCT(ПОТОКИ!B14:G14,ЧАСОВЫЕ_ПРОФИЛИ!B16:G16,КОЭФФИЦИЕНТЫ_ВЫБОРА!F38:K38,ПАРАМЕТРЫ!$B$17:$G$17)</f>
        <v>0</v>
      </c>
      <c r="J1588" s="12" t="n">
        <f aca="false">I1588*G1588/1000</f>
        <v>0</v>
      </c>
      <c r="K1588" s="11" t="s">
        <v>217</v>
      </c>
      <c r="L1588" s="11" t="s">
        <v>19</v>
      </c>
      <c r="M1588" s="11" t="s">
        <v>145</v>
      </c>
    </row>
    <row r="1589" customFormat="false" ht="15" hidden="false" customHeight="false" outlineLevel="0" collapsed="false">
      <c r="A1589" s="11" t="s">
        <v>110</v>
      </c>
      <c r="B1589" s="11" t="s">
        <v>129</v>
      </c>
      <c r="C1589" s="11" t="n">
        <v>29</v>
      </c>
      <c r="D1589" s="11" t="s">
        <v>92</v>
      </c>
      <c r="E1589" s="11" t="s">
        <v>185</v>
      </c>
      <c r="F1589" s="11" t="s">
        <v>91</v>
      </c>
      <c r="G1589" s="12" t="n">
        <v>150</v>
      </c>
      <c r="H1589" s="12" t="n">
        <f aca="false">SUMPRODUCT(ПОТОКИ!B14:G14,ЧАСОВЫЕ_ПРОФИЛИ!B16:G16,КОЭФФИЦИЕНТЫ_ВЫБОРА!F39:K39)</f>
        <v>0.2976</v>
      </c>
      <c r="I1589" s="12" t="n">
        <f aca="false">SUMPRODUCT(ПОТОКИ!B14:G14,ЧАСОВЫЕ_ПРОФИЛИ!B16:G16,КОЭФФИЦИЕНТЫ_ВЫБОРА!F39:K39,ПАРАМЕТРЫ!$B$17:$G$17)</f>
        <v>0.32736</v>
      </c>
      <c r="J1589" s="12" t="n">
        <f aca="false">I1589*G1589/1000</f>
        <v>0.049104</v>
      </c>
      <c r="K1589" s="11" t="s">
        <v>217</v>
      </c>
      <c r="L1589" s="11" t="s">
        <v>19</v>
      </c>
      <c r="M1589" s="11" t="s">
        <v>145</v>
      </c>
    </row>
    <row r="1590" customFormat="false" ht="15" hidden="false" customHeight="false" outlineLevel="0" collapsed="false">
      <c r="A1590" s="11" t="s">
        <v>110</v>
      </c>
      <c r="B1590" s="11" t="s">
        <v>129</v>
      </c>
      <c r="C1590" s="11" t="n">
        <v>30</v>
      </c>
      <c r="D1590" s="11" t="s">
        <v>92</v>
      </c>
      <c r="E1590" s="11" t="s">
        <v>186</v>
      </c>
      <c r="F1590" s="11" t="s">
        <v>91</v>
      </c>
      <c r="G1590" s="12" t="n">
        <v>120</v>
      </c>
      <c r="H1590" s="12" t="n">
        <f aca="false">SUMPRODUCT(ПОТОКИ!B14:G14,ЧАСОВЫЕ_ПРОФИЛИ!B16:G16,КОЭФФИЦИЕНТЫ_ВЫБОРА!F40:K40)</f>
        <v>0.2976</v>
      </c>
      <c r="I1590" s="12" t="n">
        <f aca="false">SUMPRODUCT(ПОТОКИ!B14:G14,ЧАСОВЫЕ_ПРОФИЛИ!B16:G16,КОЭФФИЦИЕНТЫ_ВЫБОРА!F40:K40,ПАРАМЕТРЫ!$B$17:$G$17)</f>
        <v>0.32736</v>
      </c>
      <c r="J1590" s="12" t="n">
        <f aca="false">I1590*G1590/1000</f>
        <v>0.0392832</v>
      </c>
      <c r="K1590" s="11" t="s">
        <v>217</v>
      </c>
      <c r="L1590" s="11" t="s">
        <v>19</v>
      </c>
      <c r="M1590" s="11" t="s">
        <v>145</v>
      </c>
    </row>
    <row r="1591" customFormat="false" ht="15" hidden="false" customHeight="false" outlineLevel="0" collapsed="false">
      <c r="A1591" s="11" t="s">
        <v>110</v>
      </c>
      <c r="B1591" s="11" t="s">
        <v>129</v>
      </c>
      <c r="C1591" s="11" t="n">
        <v>31</v>
      </c>
      <c r="D1591" s="11" t="s">
        <v>92</v>
      </c>
      <c r="E1591" s="11" t="s">
        <v>187</v>
      </c>
      <c r="F1591" s="11" t="s">
        <v>91</v>
      </c>
      <c r="G1591" s="12" t="n">
        <v>60</v>
      </c>
      <c r="H1591" s="12" t="n">
        <f aca="false">SUMPRODUCT(ПОТОКИ!B14:G14,ЧАСОВЫЕ_ПРОФИЛИ!B16:G16,КОЭФФИЦИЕНТЫ_ВЫБОРА!F41:K41)</f>
        <v>0.2688</v>
      </c>
      <c r="I1591" s="12" t="n">
        <f aca="false">SUMPRODUCT(ПОТОКИ!B14:G14,ЧАСОВЫЕ_ПРОФИЛИ!B16:G16,КОЭФФИЦИЕНТЫ_ВЫБОРА!F41:K41,ПАРАМЕТРЫ!$B$17:$G$17)</f>
        <v>0.29568</v>
      </c>
      <c r="J1591" s="12" t="n">
        <f aca="false">I1591*G1591/1000</f>
        <v>0.0177408</v>
      </c>
      <c r="K1591" s="11" t="s">
        <v>217</v>
      </c>
      <c r="L1591" s="11" t="s">
        <v>19</v>
      </c>
      <c r="M1591" s="11" t="s">
        <v>145</v>
      </c>
    </row>
    <row r="1592" customFormat="false" ht="15" hidden="false" customHeight="false" outlineLevel="0" collapsed="false">
      <c r="A1592" s="11" t="s">
        <v>110</v>
      </c>
      <c r="B1592" s="11" t="s">
        <v>130</v>
      </c>
      <c r="C1592" s="11" t="n">
        <v>1</v>
      </c>
      <c r="D1592" s="11" t="s">
        <v>74</v>
      </c>
      <c r="E1592" s="11" t="s">
        <v>153</v>
      </c>
      <c r="F1592" s="11" t="s">
        <v>73</v>
      </c>
      <c r="G1592" s="12" t="n">
        <v>450</v>
      </c>
      <c r="H1592" s="12" t="n">
        <f aca="false">SUMPRODUCT(ПОТОКИ!B14:G14,ЧАСОВЫЕ_ПРОФИЛИ!B17:G17,КОЭФФИЦИЕНТЫ_ВЫБОРА!F11:K11)</f>
        <v>0.651</v>
      </c>
      <c r="I1592" s="12" t="n">
        <f aca="false">SUMPRODUCT(ПОТОКИ!B14:G14,ЧАСОВЫЕ_ПРОФИЛИ!B17:G17,КОЭФФИЦИЕНТЫ_ВЫБОРА!F11:K11,ПАРАМЕТРЫ!$B$17:$G$17)</f>
        <v>0.7161</v>
      </c>
      <c r="J1592" s="12" t="n">
        <f aca="false">I1592*G1592/1000</f>
        <v>0.322245</v>
      </c>
      <c r="K1592" s="11" t="s">
        <v>217</v>
      </c>
      <c r="L1592" s="11" t="s">
        <v>19</v>
      </c>
      <c r="M1592" s="11" t="s">
        <v>145</v>
      </c>
    </row>
    <row r="1593" customFormat="false" ht="15" hidden="false" customHeight="false" outlineLevel="0" collapsed="false">
      <c r="A1593" s="11" t="s">
        <v>110</v>
      </c>
      <c r="B1593" s="11" t="s">
        <v>130</v>
      </c>
      <c r="C1593" s="11" t="n">
        <v>2</v>
      </c>
      <c r="D1593" s="11" t="s">
        <v>74</v>
      </c>
      <c r="E1593" s="11" t="s">
        <v>154</v>
      </c>
      <c r="F1593" s="11" t="s">
        <v>73</v>
      </c>
      <c r="G1593" s="12" t="n">
        <v>480</v>
      </c>
      <c r="H1593" s="12" t="n">
        <f aca="false">SUMPRODUCT(ПОТОКИ!B14:G14,ЧАСОВЫЕ_ПРОФИЛИ!B17:G17,КОЭФФИЦИЕНТЫ_ВЫБОРА!F12:K12)</f>
        <v>0.713</v>
      </c>
      <c r="I1593" s="12" t="n">
        <f aca="false">SUMPRODUCT(ПОТОКИ!B14:G14,ЧАСОВЫЕ_ПРОФИЛИ!B17:G17,КОЭФФИЦИЕНТЫ_ВЫБОРА!F12:K12,ПАРАМЕТРЫ!$B$17:$G$17)</f>
        <v>0.7843</v>
      </c>
      <c r="J1593" s="12" t="n">
        <f aca="false">I1593*G1593/1000</f>
        <v>0.376464</v>
      </c>
      <c r="K1593" s="11" t="s">
        <v>217</v>
      </c>
      <c r="L1593" s="11" t="s">
        <v>19</v>
      </c>
      <c r="M1593" s="11" t="s">
        <v>145</v>
      </c>
    </row>
    <row r="1594" customFormat="false" ht="15" hidden="false" customHeight="false" outlineLevel="0" collapsed="false">
      <c r="A1594" s="11" t="s">
        <v>110</v>
      </c>
      <c r="B1594" s="11" t="s">
        <v>130</v>
      </c>
      <c r="C1594" s="11" t="n">
        <v>3</v>
      </c>
      <c r="D1594" s="11" t="s">
        <v>74</v>
      </c>
      <c r="E1594" s="11" t="s">
        <v>155</v>
      </c>
      <c r="F1594" s="11" t="s">
        <v>73</v>
      </c>
      <c r="G1594" s="12" t="n">
        <v>500</v>
      </c>
      <c r="H1594" s="12" t="n">
        <f aca="false">SUMPRODUCT(ПОТОКИ!B14:G14,ЧАСОВЫЕ_ПРОФИЛИ!B17:G17,КОЭФФИЦИЕНТЫ_ВЫБОРА!F13:K13)</f>
        <v>1.332</v>
      </c>
      <c r="I1594" s="12" t="n">
        <f aca="false">SUMPRODUCT(ПОТОКИ!B14:G14,ЧАСОВЫЕ_ПРОФИЛИ!B17:G17,КОЭФФИЦИЕНТЫ_ВЫБОРА!F13:K13,ПАРАМЕТРЫ!$B$17:$G$17)</f>
        <v>1.4652</v>
      </c>
      <c r="J1594" s="12" t="n">
        <f aca="false">I1594*G1594/1000</f>
        <v>0.7326</v>
      </c>
      <c r="K1594" s="11" t="s">
        <v>217</v>
      </c>
      <c r="L1594" s="11" t="s">
        <v>19</v>
      </c>
      <c r="M1594" s="11" t="s">
        <v>145</v>
      </c>
    </row>
    <row r="1595" customFormat="false" ht="15" hidden="false" customHeight="false" outlineLevel="0" collapsed="false">
      <c r="A1595" s="11" t="s">
        <v>110</v>
      </c>
      <c r="B1595" s="11" t="s">
        <v>130</v>
      </c>
      <c r="C1595" s="11" t="n">
        <v>4</v>
      </c>
      <c r="D1595" s="11" t="s">
        <v>74</v>
      </c>
      <c r="E1595" s="11" t="s">
        <v>156</v>
      </c>
      <c r="F1595" s="11" t="s">
        <v>73</v>
      </c>
      <c r="G1595" s="12" t="n">
        <v>500</v>
      </c>
      <c r="H1595" s="12" t="n">
        <f aca="false">SUMPRODUCT(ПОТОКИ!B14:G14,ЧАСОВЫЕ_ПРОФИЛИ!B17:G17,КОЭФФИЦИЕНТЫ_ВЫБОРА!F14:K14)</f>
        <v>1.394</v>
      </c>
      <c r="I1595" s="12" t="n">
        <f aca="false">SUMPRODUCT(ПОТОКИ!B14:G14,ЧАСОВЫЕ_ПРОФИЛИ!B17:G17,КОЭФФИЦИЕНТЫ_ВЫБОРА!F14:K14,ПАРАМЕТРЫ!$B$17:$G$17)</f>
        <v>1.5334</v>
      </c>
      <c r="J1595" s="12" t="n">
        <f aca="false">I1595*G1595/1000</f>
        <v>0.7667</v>
      </c>
      <c r="K1595" s="11" t="s">
        <v>217</v>
      </c>
      <c r="L1595" s="11" t="s">
        <v>19</v>
      </c>
      <c r="M1595" s="11" t="s">
        <v>145</v>
      </c>
    </row>
    <row r="1596" customFormat="false" ht="15" hidden="false" customHeight="false" outlineLevel="0" collapsed="false">
      <c r="A1596" s="11" t="s">
        <v>110</v>
      </c>
      <c r="B1596" s="11" t="s">
        <v>130</v>
      </c>
      <c r="C1596" s="11" t="n">
        <v>5</v>
      </c>
      <c r="D1596" s="11" t="s">
        <v>78</v>
      </c>
      <c r="E1596" s="11" t="s">
        <v>157</v>
      </c>
      <c r="F1596" s="11" t="s">
        <v>77</v>
      </c>
      <c r="G1596" s="12" t="n">
        <v>100</v>
      </c>
      <c r="H1596" s="12" t="n">
        <f aca="false">SUMPRODUCT(ПОТОКИ!B14:G14,ЧАСОВЫЕ_ПРОФИЛИ!B17:G17,КОЭФФИЦИЕНТЫ_ВЫБОРА!F15:K15)</f>
        <v>0.741</v>
      </c>
      <c r="I1596" s="12" t="n">
        <f aca="false">SUMPRODUCT(ПОТОКИ!B14:G14,ЧАСОВЫЕ_ПРОФИЛИ!B17:G17,КОЭФФИЦИЕНТЫ_ВЫБОРА!F15:K15,ПАРАМЕТРЫ!$B$17:$G$17)</f>
        <v>0.8151</v>
      </c>
      <c r="J1596" s="12" t="n">
        <f aca="false">I1596*G1596/1000</f>
        <v>0.08151</v>
      </c>
      <c r="K1596" s="11" t="s">
        <v>217</v>
      </c>
      <c r="L1596" s="11" t="s">
        <v>19</v>
      </c>
      <c r="M1596" s="11" t="s">
        <v>147</v>
      </c>
    </row>
    <row r="1597" customFormat="false" ht="15" hidden="false" customHeight="false" outlineLevel="0" collapsed="false">
      <c r="A1597" s="11" t="s">
        <v>110</v>
      </c>
      <c r="B1597" s="11" t="s">
        <v>130</v>
      </c>
      <c r="C1597" s="11" t="n">
        <v>6</v>
      </c>
      <c r="D1597" s="11" t="s">
        <v>78</v>
      </c>
      <c r="E1597" s="11" t="s">
        <v>158</v>
      </c>
      <c r="F1597" s="11" t="s">
        <v>77</v>
      </c>
      <c r="G1597" s="12" t="n">
        <v>100</v>
      </c>
      <c r="H1597" s="12" t="n">
        <f aca="false">SUMPRODUCT(ПОТОКИ!B14:G14,ЧАСОВЫЕ_ПРОФИЛИ!B17:G17,КОЭФФИЦИЕНТЫ_ВЫБОРА!F16:K16)</f>
        <v>0.639</v>
      </c>
      <c r="I1597" s="12" t="n">
        <f aca="false">SUMPRODUCT(ПОТОКИ!B14:G14,ЧАСОВЫЕ_ПРОФИЛИ!B17:G17,КОЭФФИЦИЕНТЫ_ВЫБОРА!F16:K16,ПАРАМЕТРЫ!$B$17:$G$17)</f>
        <v>0.7029</v>
      </c>
      <c r="J1597" s="12" t="n">
        <f aca="false">I1597*G1597/1000</f>
        <v>0.07029</v>
      </c>
      <c r="K1597" s="11" t="s">
        <v>217</v>
      </c>
      <c r="L1597" s="11" t="s">
        <v>19</v>
      </c>
      <c r="M1597" s="11" t="s">
        <v>147</v>
      </c>
    </row>
    <row r="1598" customFormat="false" ht="15" hidden="false" customHeight="false" outlineLevel="0" collapsed="false">
      <c r="A1598" s="11" t="s">
        <v>110</v>
      </c>
      <c r="B1598" s="11" t="s">
        <v>130</v>
      </c>
      <c r="C1598" s="11" t="n">
        <v>7</v>
      </c>
      <c r="D1598" s="11" t="s">
        <v>78</v>
      </c>
      <c r="E1598" s="11" t="s">
        <v>159</v>
      </c>
      <c r="F1598" s="11" t="s">
        <v>77</v>
      </c>
      <c r="G1598" s="12" t="n">
        <v>350</v>
      </c>
      <c r="H1598" s="12" t="n">
        <f aca="false">SUMPRODUCT(ПОТОКИ!B14:G14,ЧАСОВЫЕ_ПРОФИЛИ!B17:G17,КОЭФФИЦИЕНТЫ_ВЫБОРА!F17:K17)</f>
        <v>0.5835</v>
      </c>
      <c r="I1598" s="12" t="n">
        <f aca="false">SUMPRODUCT(ПОТОКИ!B14:G14,ЧАСОВЫЕ_ПРОФИЛИ!B17:G17,КОЭФФИЦИЕНТЫ_ВЫБОРА!F17:K17,ПАРАМЕТРЫ!$B$17:$G$17)</f>
        <v>0.64185</v>
      </c>
      <c r="J1598" s="12" t="n">
        <f aca="false">I1598*G1598/1000</f>
        <v>0.2246475</v>
      </c>
      <c r="K1598" s="11" t="s">
        <v>217</v>
      </c>
      <c r="L1598" s="11" t="s">
        <v>19</v>
      </c>
      <c r="M1598" s="11" t="s">
        <v>147</v>
      </c>
    </row>
    <row r="1599" customFormat="false" ht="15" hidden="false" customHeight="false" outlineLevel="0" collapsed="false">
      <c r="A1599" s="11" t="s">
        <v>110</v>
      </c>
      <c r="B1599" s="11" t="s">
        <v>130</v>
      </c>
      <c r="C1599" s="11" t="n">
        <v>8</v>
      </c>
      <c r="D1599" s="11" t="s">
        <v>78</v>
      </c>
      <c r="E1599" s="11" t="s">
        <v>160</v>
      </c>
      <c r="F1599" s="11" t="s">
        <v>77</v>
      </c>
      <c r="G1599" s="12" t="n">
        <v>85</v>
      </c>
      <c r="H1599" s="12" t="n">
        <f aca="false">SUMPRODUCT(ПОТОКИ!B14:G14,ЧАСОВЫЕ_ПРОФИЛИ!B17:G17,КОЭФФИЦИЕНТЫ_ВЫБОРА!F18:K18)</f>
        <v>0.3705</v>
      </c>
      <c r="I1599" s="12" t="n">
        <f aca="false">SUMPRODUCT(ПОТОКИ!B14:G14,ЧАСОВЫЕ_ПРОФИЛИ!B17:G17,КОЭФФИЦИЕНТЫ_ВЫБОРА!F18:K18,ПАРАМЕТРЫ!$B$17:$G$17)</f>
        <v>0.40755</v>
      </c>
      <c r="J1599" s="12" t="n">
        <f aca="false">I1599*G1599/1000</f>
        <v>0.03464175</v>
      </c>
      <c r="K1599" s="11" t="s">
        <v>217</v>
      </c>
      <c r="L1599" s="11" t="s">
        <v>19</v>
      </c>
      <c r="M1599" s="11" t="s">
        <v>147</v>
      </c>
    </row>
    <row r="1600" customFormat="false" ht="15" hidden="false" customHeight="false" outlineLevel="0" collapsed="false">
      <c r="A1600" s="11" t="s">
        <v>110</v>
      </c>
      <c r="B1600" s="11" t="s">
        <v>130</v>
      </c>
      <c r="C1600" s="11" t="n">
        <v>9</v>
      </c>
      <c r="D1600" s="11" t="s">
        <v>161</v>
      </c>
      <c r="E1600" s="11" t="s">
        <v>162</v>
      </c>
      <c r="F1600" s="11" t="s">
        <v>80</v>
      </c>
      <c r="G1600" s="12" t="n">
        <v>300</v>
      </c>
      <c r="H1600" s="12" t="n">
        <f aca="false">SUMPRODUCT(ПОТОКИ!B14:G14,ЧАСОВЫЕ_ПРОФИЛИ!B17:G17,КОЭФФИЦИЕНТЫ_ВЫБОРА!F19:K19)</f>
        <v>0.635</v>
      </c>
      <c r="I1600" s="12" t="n">
        <f aca="false">SUMPRODUCT(ПОТОКИ!B14:G14,ЧАСОВЫЕ_ПРОФИЛИ!B17:G17,КОЭФФИЦИЕНТЫ_ВЫБОРА!F19:K19,ПАРАМЕТРЫ!$B$17:$G$17)</f>
        <v>0.6985</v>
      </c>
      <c r="J1600" s="12" t="n">
        <f aca="false">I1600*G1600/1000</f>
        <v>0.20955</v>
      </c>
      <c r="K1600" s="11" t="s">
        <v>217</v>
      </c>
      <c r="L1600" s="11" t="s">
        <v>19</v>
      </c>
      <c r="M1600" s="11" t="s">
        <v>145</v>
      </c>
    </row>
    <row r="1601" customFormat="false" ht="15" hidden="false" customHeight="false" outlineLevel="0" collapsed="false">
      <c r="A1601" s="11" t="s">
        <v>110</v>
      </c>
      <c r="B1601" s="11" t="s">
        <v>130</v>
      </c>
      <c r="C1601" s="11" t="n">
        <v>10</v>
      </c>
      <c r="D1601" s="11" t="s">
        <v>161</v>
      </c>
      <c r="E1601" s="11" t="s">
        <v>163</v>
      </c>
      <c r="F1601" s="11" t="s">
        <v>80</v>
      </c>
      <c r="G1601" s="12" t="n">
        <v>280</v>
      </c>
      <c r="H1601" s="12" t="n">
        <f aca="false">SUMPRODUCT(ПОТОКИ!B14:G14,ЧАСОВЫЕ_ПРОФИЛИ!B17:G17,КОЭФФИЦИЕНТЫ_ВЫБОРА!F20:K20)</f>
        <v>1.03</v>
      </c>
      <c r="I1601" s="12" t="n">
        <f aca="false">SUMPRODUCT(ПОТОКИ!B14:G14,ЧАСОВЫЕ_ПРОФИЛИ!B17:G17,КОЭФФИЦИЕНТЫ_ВЫБОРА!F20:K20,ПАРАМЕТРЫ!$B$17:$G$17)</f>
        <v>1.133</v>
      </c>
      <c r="J1601" s="12" t="n">
        <f aca="false">I1601*G1601/1000</f>
        <v>0.31724</v>
      </c>
      <c r="K1601" s="11" t="s">
        <v>217</v>
      </c>
      <c r="L1601" s="11" t="s">
        <v>19</v>
      </c>
      <c r="M1601" s="11" t="s">
        <v>145</v>
      </c>
    </row>
    <row r="1602" customFormat="false" ht="15" hidden="false" customHeight="false" outlineLevel="0" collapsed="false">
      <c r="A1602" s="11" t="s">
        <v>110</v>
      </c>
      <c r="B1602" s="11" t="s">
        <v>130</v>
      </c>
      <c r="C1602" s="11" t="n">
        <v>11</v>
      </c>
      <c r="D1602" s="11" t="s">
        <v>161</v>
      </c>
      <c r="E1602" s="11" t="s">
        <v>164</v>
      </c>
      <c r="F1602" s="11" t="s">
        <v>80</v>
      </c>
      <c r="G1602" s="12" t="n">
        <v>270</v>
      </c>
      <c r="H1602" s="12" t="n">
        <f aca="false">SUMPRODUCT(ПОТОКИ!B14:G14,ЧАСОВЫЕ_ПРОФИЛИ!B17:G17,КОЭФФИЦИЕНТЫ_ВЫБОРА!F21:K21)</f>
        <v>1.9385</v>
      </c>
      <c r="I1602" s="12" t="n">
        <f aca="false">SUMPRODUCT(ПОТОКИ!B14:G14,ЧАСОВЫЕ_ПРОФИЛИ!B17:G17,КОЭФФИЦИЕНТЫ_ВЫБОРА!F21:K21,ПАРАМЕТРЫ!$B$17:$G$17)</f>
        <v>2.13235</v>
      </c>
      <c r="J1602" s="12" t="n">
        <f aca="false">I1602*G1602/1000</f>
        <v>0.5757345</v>
      </c>
      <c r="K1602" s="11" t="s">
        <v>217</v>
      </c>
      <c r="L1602" s="11" t="s">
        <v>19</v>
      </c>
      <c r="M1602" s="11" t="s">
        <v>145</v>
      </c>
    </row>
    <row r="1603" customFormat="false" ht="15" hidden="false" customHeight="false" outlineLevel="0" collapsed="false">
      <c r="A1603" s="11" t="s">
        <v>110</v>
      </c>
      <c r="B1603" s="11" t="s">
        <v>130</v>
      </c>
      <c r="C1603" s="11" t="n">
        <v>12</v>
      </c>
      <c r="D1603" s="11" t="s">
        <v>161</v>
      </c>
      <c r="E1603" s="11" t="s">
        <v>165</v>
      </c>
      <c r="F1603" s="11" t="s">
        <v>80</v>
      </c>
      <c r="G1603" s="12" t="n">
        <v>240</v>
      </c>
      <c r="H1603" s="12" t="n">
        <f aca="false">SUMPRODUCT(ПОТОКИ!B14:G14,ЧАСОВЫЕ_ПРОФИЛИ!B17:G17,КОЭФФИЦИЕНТЫ_ВЫБОРА!F22:K22)</f>
        <v>1.3065</v>
      </c>
      <c r="I1603" s="12" t="n">
        <f aca="false">SUMPRODUCT(ПОТОКИ!B14:G14,ЧАСОВЫЕ_ПРОФИЛИ!B17:G17,КОЭФФИЦИЕНТЫ_ВЫБОРА!F22:K22,ПАРАМЕТРЫ!$B$17:$G$17)</f>
        <v>1.43715</v>
      </c>
      <c r="J1603" s="12" t="n">
        <f aca="false">I1603*G1603/1000</f>
        <v>0.344916</v>
      </c>
      <c r="K1603" s="11" t="s">
        <v>217</v>
      </c>
      <c r="L1603" s="11" t="s">
        <v>19</v>
      </c>
      <c r="M1603" s="11" t="s">
        <v>145</v>
      </c>
    </row>
    <row r="1604" customFormat="false" ht="15" hidden="false" customHeight="false" outlineLevel="0" collapsed="false">
      <c r="A1604" s="11" t="s">
        <v>110</v>
      </c>
      <c r="B1604" s="11" t="s">
        <v>130</v>
      </c>
      <c r="C1604" s="11" t="n">
        <v>13</v>
      </c>
      <c r="D1604" s="11" t="s">
        <v>166</v>
      </c>
      <c r="E1604" s="11" t="s">
        <v>167</v>
      </c>
      <c r="F1604" s="11" t="s">
        <v>80</v>
      </c>
      <c r="G1604" s="12" t="n">
        <v>130</v>
      </c>
      <c r="H1604" s="12" t="n">
        <f aca="false">SUMPRODUCT(ПОТОКИ!B14:G14,ЧАСОВЫЕ_ПРОФИЛИ!B17:G17,КОЭФФИЦИЕНТЫ_ВЫБОРА!F23:K23)</f>
        <v>0.3</v>
      </c>
      <c r="I1604" s="12" t="n">
        <f aca="false">SUMPRODUCT(ПОТОКИ!B14:G14,ЧАСОВЫЕ_ПРОФИЛИ!B17:G17,КОЭФФИЦИЕНТЫ_ВЫБОРА!F23:K23,ПАРАМЕТРЫ!$B$17:$G$17)</f>
        <v>0.33</v>
      </c>
      <c r="J1604" s="12" t="n">
        <f aca="false">I1604*G1604/1000</f>
        <v>0.0429</v>
      </c>
      <c r="K1604" s="11" t="s">
        <v>217</v>
      </c>
      <c r="L1604" s="11" t="s">
        <v>19</v>
      </c>
      <c r="M1604" s="11" t="s">
        <v>145</v>
      </c>
    </row>
    <row r="1605" customFormat="false" ht="15" hidden="false" customHeight="false" outlineLevel="0" collapsed="false">
      <c r="A1605" s="11" t="s">
        <v>110</v>
      </c>
      <c r="B1605" s="11" t="s">
        <v>130</v>
      </c>
      <c r="C1605" s="11" t="n">
        <v>14</v>
      </c>
      <c r="D1605" s="11" t="s">
        <v>166</v>
      </c>
      <c r="E1605" s="11" t="s">
        <v>168</v>
      </c>
      <c r="F1605" s="11" t="s">
        <v>80</v>
      </c>
      <c r="G1605" s="12" t="n">
        <v>250</v>
      </c>
      <c r="H1605" s="12" t="n">
        <f aca="false">SUMPRODUCT(ПОТОКИ!B14:G14,ЧАСОВЫЕ_ПРОФИЛИ!B17:G17,КОЭФФИЦИЕНТЫ_ВЫБОРА!F24:K24)</f>
        <v>0.446</v>
      </c>
      <c r="I1605" s="12" t="n">
        <f aca="false">SUMPRODUCT(ПОТОКИ!B14:G14,ЧАСОВЫЕ_ПРОФИЛИ!B17:G17,КОЭФФИЦИЕНТЫ_ВЫБОРА!F24:K24,ПАРАМЕТРЫ!$B$17:$G$17)</f>
        <v>0.4906</v>
      </c>
      <c r="J1605" s="12" t="n">
        <f aca="false">I1605*G1605/1000</f>
        <v>0.12265</v>
      </c>
      <c r="K1605" s="11" t="s">
        <v>217</v>
      </c>
      <c r="L1605" s="11" t="s">
        <v>19</v>
      </c>
      <c r="M1605" s="11" t="s">
        <v>145</v>
      </c>
    </row>
    <row r="1606" customFormat="false" ht="15" hidden="false" customHeight="false" outlineLevel="0" collapsed="false">
      <c r="A1606" s="11" t="s">
        <v>110</v>
      </c>
      <c r="B1606" s="11" t="s">
        <v>130</v>
      </c>
      <c r="C1606" s="11" t="n">
        <v>15</v>
      </c>
      <c r="D1606" s="11" t="s">
        <v>166</v>
      </c>
      <c r="E1606" s="11" t="s">
        <v>169</v>
      </c>
      <c r="F1606" s="11" t="s">
        <v>80</v>
      </c>
      <c r="G1606" s="12" t="n">
        <v>120</v>
      </c>
      <c r="H1606" s="12" t="n">
        <f aca="false">SUMPRODUCT(ПОТОКИ!B14:G14,ЧАСОВЫЕ_ПРОФИЛИ!B17:G17,КОЭФФИЦИЕНТЫ_ВЫБОРА!F25:K25)</f>
        <v>0.236</v>
      </c>
      <c r="I1606" s="12" t="n">
        <f aca="false">SUMPRODUCT(ПОТОКИ!B14:G14,ЧАСОВЫЕ_ПРОФИЛИ!B17:G17,КОЭФФИЦИЕНТЫ_ВЫБОРА!F25:K25,ПАРАМЕТРЫ!$B$17:$G$17)</f>
        <v>0.2596</v>
      </c>
      <c r="J1606" s="12" t="n">
        <f aca="false">I1606*G1606/1000</f>
        <v>0.031152</v>
      </c>
      <c r="K1606" s="11" t="s">
        <v>217</v>
      </c>
      <c r="L1606" s="11" t="s">
        <v>19</v>
      </c>
      <c r="M1606" s="11" t="s">
        <v>145</v>
      </c>
    </row>
    <row r="1607" customFormat="false" ht="15" hidden="false" customHeight="false" outlineLevel="0" collapsed="false">
      <c r="A1607" s="11" t="s">
        <v>110</v>
      </c>
      <c r="B1607" s="11" t="s">
        <v>130</v>
      </c>
      <c r="C1607" s="11" t="n">
        <v>16</v>
      </c>
      <c r="D1607" s="11" t="s">
        <v>166</v>
      </c>
      <c r="E1607" s="11" t="s">
        <v>170</v>
      </c>
      <c r="F1607" s="11" t="s">
        <v>80</v>
      </c>
      <c r="G1607" s="12" t="n">
        <v>180</v>
      </c>
      <c r="H1607" s="12" t="n">
        <f aca="false">SUMPRODUCT(ПОТОКИ!B14:G14,ЧАСОВЫЕ_ПРОФИЛИ!B17:G17,КОЭФФИЦИЕНТЫ_ВЫБОРА!F26:K26)</f>
        <v>0.618</v>
      </c>
      <c r="I1607" s="12" t="n">
        <f aca="false">SUMPRODUCT(ПОТОКИ!B14:G14,ЧАСОВЫЕ_ПРОФИЛИ!B17:G17,КОЭФФИЦИЕНТЫ_ВЫБОРА!F26:K26,ПАРАМЕТРЫ!$B$17:$G$17)</f>
        <v>0.6798</v>
      </c>
      <c r="J1607" s="12" t="n">
        <f aca="false">I1607*G1607/1000</f>
        <v>0.122364</v>
      </c>
      <c r="K1607" s="11" t="s">
        <v>217</v>
      </c>
      <c r="L1607" s="11" t="s">
        <v>19</v>
      </c>
      <c r="M1607" s="11" t="s">
        <v>145</v>
      </c>
    </row>
    <row r="1608" customFormat="false" ht="15" hidden="false" customHeight="false" outlineLevel="0" collapsed="false">
      <c r="A1608" s="11" t="s">
        <v>110</v>
      </c>
      <c r="B1608" s="11" t="s">
        <v>130</v>
      </c>
      <c r="C1608" s="11" t="n">
        <v>17</v>
      </c>
      <c r="D1608" s="11" t="s">
        <v>166</v>
      </c>
      <c r="E1608" s="11" t="s">
        <v>171</v>
      </c>
      <c r="F1608" s="11" t="s">
        <v>80</v>
      </c>
      <c r="G1608" s="12" t="n">
        <v>180</v>
      </c>
      <c r="H1608" s="12" t="n">
        <f aca="false">SUMPRODUCT(ПОТОКИ!B14:G14,ЧАСОВЫЕ_ПРОФИЛИ!B17:G17,КОЭФФИЦИЕНТЫ_ВЫБОРА!F27:K27)</f>
        <v>0.44</v>
      </c>
      <c r="I1608" s="12" t="n">
        <f aca="false">SUMPRODUCT(ПОТОКИ!B14:G14,ЧАСОВЫЕ_ПРОФИЛИ!B17:G17,КОЭФФИЦИЕНТЫ_ВЫБОРА!F27:K27,ПАРАМЕТРЫ!$B$17:$G$17)</f>
        <v>0.484</v>
      </c>
      <c r="J1608" s="12" t="n">
        <f aca="false">I1608*G1608/1000</f>
        <v>0.08712</v>
      </c>
      <c r="K1608" s="11" t="s">
        <v>217</v>
      </c>
      <c r="L1608" s="11" t="s">
        <v>19</v>
      </c>
      <c r="M1608" s="11" t="s">
        <v>145</v>
      </c>
    </row>
    <row r="1609" customFormat="false" ht="15" hidden="false" customHeight="false" outlineLevel="0" collapsed="false">
      <c r="A1609" s="11" t="s">
        <v>110</v>
      </c>
      <c r="B1609" s="11" t="s">
        <v>130</v>
      </c>
      <c r="C1609" s="11" t="n">
        <v>18</v>
      </c>
      <c r="D1609" s="11" t="s">
        <v>172</v>
      </c>
      <c r="E1609" s="11" t="s">
        <v>173</v>
      </c>
      <c r="F1609" s="11" t="s">
        <v>83</v>
      </c>
      <c r="G1609" s="12" t="n">
        <v>400</v>
      </c>
      <c r="H1609" s="12" t="n">
        <f aca="false">SUMPRODUCT(ПОТОКИ!B14:G14,ЧАСОВЫЕ_ПРОФИЛИ!B17:G17,КОЭФФИЦИЕНТЫ_ВЫБОРА!F28:K28)</f>
        <v>5.22</v>
      </c>
      <c r="I1609" s="12" t="n">
        <f aca="false">SUMPRODUCT(ПОТОКИ!B14:G14,ЧАСОВЫЕ_ПРОФИЛИ!B17:G17,КОЭФФИЦИЕНТЫ_ВЫБОРА!F28:K28,ПАРАМЕТРЫ!$B$17:$G$17)</f>
        <v>5.742</v>
      </c>
      <c r="J1609" s="12" t="n">
        <f aca="false">I1609*G1609/1000</f>
        <v>2.2968</v>
      </c>
      <c r="K1609" s="11" t="s">
        <v>217</v>
      </c>
      <c r="L1609" s="11" t="s">
        <v>19</v>
      </c>
      <c r="M1609" s="11" t="s">
        <v>145</v>
      </c>
    </row>
    <row r="1610" customFormat="false" ht="23.85" hidden="false" customHeight="false" outlineLevel="0" collapsed="false">
      <c r="A1610" s="11" t="s">
        <v>110</v>
      </c>
      <c r="B1610" s="11" t="s">
        <v>130</v>
      </c>
      <c r="C1610" s="11" t="n">
        <v>19</v>
      </c>
      <c r="D1610" s="11" t="s">
        <v>174</v>
      </c>
      <c r="E1610" s="11" t="s">
        <v>175</v>
      </c>
      <c r="F1610" s="11" t="s">
        <v>83</v>
      </c>
      <c r="G1610" s="12" t="n">
        <v>300</v>
      </c>
      <c r="H1610" s="12" t="n">
        <f aca="false">SUMPRODUCT(ПОТОКИ!B14:G14,ЧАСОВЫЕ_ПРОФИЛИ!B17:G17,КОЭФФИЦИЕНТЫ_ВЫБОРА!F29:K29)</f>
        <v>3.91</v>
      </c>
      <c r="I1610" s="12" t="n">
        <f aca="false">SUMPRODUCT(ПОТОКИ!B14:G14,ЧАСОВЫЕ_ПРОФИЛИ!B17:G17,КОЭФФИЦИЕНТЫ_ВЫБОРА!F29:K29,ПАРАМЕТРЫ!$B$17:$G$17)</f>
        <v>4.301</v>
      </c>
      <c r="J1610" s="12" t="n">
        <f aca="false">I1610*G1610/1000</f>
        <v>1.2903</v>
      </c>
      <c r="K1610" s="11" t="s">
        <v>217</v>
      </c>
      <c r="L1610" s="11" t="s">
        <v>19</v>
      </c>
      <c r="M1610" s="11" t="s">
        <v>145</v>
      </c>
    </row>
    <row r="1611" customFormat="false" ht="15" hidden="false" customHeight="false" outlineLevel="0" collapsed="false">
      <c r="A1611" s="11" t="s">
        <v>110</v>
      </c>
      <c r="B1611" s="11" t="s">
        <v>130</v>
      </c>
      <c r="C1611" s="11" t="n">
        <v>20</v>
      </c>
      <c r="D1611" s="11" t="s">
        <v>174</v>
      </c>
      <c r="E1611" s="11" t="s">
        <v>176</v>
      </c>
      <c r="F1611" s="11" t="s">
        <v>83</v>
      </c>
      <c r="G1611" s="12" t="n">
        <v>360</v>
      </c>
      <c r="H1611" s="12" t="n">
        <f aca="false">SUMPRODUCT(ПОТОКИ!B14:G14,ЧАСОВЫЕ_ПРОФИЛИ!B17:G17,КОЭФФИЦИЕНТЫ_ВЫБОРА!F30:K30)</f>
        <v>2.816</v>
      </c>
      <c r="I1611" s="12" t="n">
        <f aca="false">SUMPRODUCT(ПОТОКИ!B14:G14,ЧАСОВЫЕ_ПРОФИЛИ!B17:G17,КОЭФФИЦИЕНТЫ_ВЫБОРА!F30:K30,ПАРАМЕТРЫ!$B$17:$G$17)</f>
        <v>3.0976</v>
      </c>
      <c r="J1611" s="12" t="n">
        <f aca="false">I1611*G1611/1000</f>
        <v>1.115136</v>
      </c>
      <c r="K1611" s="11" t="s">
        <v>217</v>
      </c>
      <c r="L1611" s="11" t="s">
        <v>19</v>
      </c>
      <c r="M1611" s="11" t="s">
        <v>145</v>
      </c>
    </row>
    <row r="1612" customFormat="false" ht="15" hidden="false" customHeight="false" outlineLevel="0" collapsed="false">
      <c r="A1612" s="11" t="s">
        <v>110</v>
      </c>
      <c r="B1612" s="11" t="s">
        <v>130</v>
      </c>
      <c r="C1612" s="11" t="n">
        <v>21</v>
      </c>
      <c r="D1612" s="11" t="s">
        <v>174</v>
      </c>
      <c r="E1612" s="11" t="s">
        <v>177</v>
      </c>
      <c r="F1612" s="11" t="s">
        <v>83</v>
      </c>
      <c r="G1612" s="12" t="n">
        <v>350</v>
      </c>
      <c r="H1612" s="12" t="n">
        <f aca="false">SUMPRODUCT(ПОТОКИ!B14:G14,ЧАСОВЫЕ_ПРОФИЛИ!B17:G17,КОЭФФИЦИЕНТЫ_ВЫБОРА!F31:K31)</f>
        <v>4.779</v>
      </c>
      <c r="I1612" s="12" t="n">
        <f aca="false">SUMPRODUCT(ПОТОКИ!B14:G14,ЧАСОВЫЕ_ПРОФИЛИ!B17:G17,КОЭФФИЦИЕНТЫ_ВЫБОРА!F31:K31,ПАРАМЕТРЫ!$B$17:$G$17)</f>
        <v>5.2569</v>
      </c>
      <c r="J1612" s="12" t="n">
        <f aca="false">I1612*G1612/1000</f>
        <v>1.839915</v>
      </c>
      <c r="K1612" s="11" t="s">
        <v>217</v>
      </c>
      <c r="L1612" s="11" t="s">
        <v>19</v>
      </c>
      <c r="M1612" s="11" t="s">
        <v>145</v>
      </c>
    </row>
    <row r="1613" customFormat="false" ht="15" hidden="false" customHeight="false" outlineLevel="0" collapsed="false">
      <c r="A1613" s="11" t="s">
        <v>110</v>
      </c>
      <c r="B1613" s="11" t="s">
        <v>130</v>
      </c>
      <c r="C1613" s="11" t="n">
        <v>22</v>
      </c>
      <c r="D1613" s="11" t="s">
        <v>174</v>
      </c>
      <c r="E1613" s="11" t="s">
        <v>178</v>
      </c>
      <c r="F1613" s="11" t="s">
        <v>83</v>
      </c>
      <c r="G1613" s="12" t="n">
        <v>300</v>
      </c>
      <c r="H1613" s="12" t="n">
        <f aca="false">SUMPRODUCT(ПОТОКИ!B14:G14,ЧАСОВЫЕ_ПРОФИЛИ!B17:G17,КОЭФФИЦИЕНТЫ_ВЫБОРА!F32:K32)</f>
        <v>2.275</v>
      </c>
      <c r="I1613" s="12" t="n">
        <f aca="false">SUMPRODUCT(ПОТОКИ!B14:G14,ЧАСОВЫЕ_ПРОФИЛИ!B17:G17,КОЭФФИЦИЕНТЫ_ВЫБОРА!F32:K32,ПАРАМЕТРЫ!$B$17:$G$17)</f>
        <v>2.5025</v>
      </c>
      <c r="J1613" s="12" t="n">
        <f aca="false">I1613*G1613/1000</f>
        <v>0.75075</v>
      </c>
      <c r="K1613" s="11" t="s">
        <v>217</v>
      </c>
      <c r="L1613" s="11" t="s">
        <v>19</v>
      </c>
      <c r="M1613" s="11" t="s">
        <v>145</v>
      </c>
    </row>
    <row r="1614" customFormat="false" ht="15" hidden="false" customHeight="false" outlineLevel="0" collapsed="false">
      <c r="A1614" s="11" t="s">
        <v>110</v>
      </c>
      <c r="B1614" s="11" t="s">
        <v>130</v>
      </c>
      <c r="C1614" s="11" t="n">
        <v>23</v>
      </c>
      <c r="D1614" s="11" t="s">
        <v>86</v>
      </c>
      <c r="E1614" s="11" t="s">
        <v>179</v>
      </c>
      <c r="F1614" s="11" t="s">
        <v>85</v>
      </c>
      <c r="G1614" s="12" t="n">
        <v>150</v>
      </c>
      <c r="H1614" s="12" t="n">
        <f aca="false">SUMPRODUCT(ПОТОКИ!B14:G14,ЧАСОВЫЕ_ПРОФИЛИ!B17:G17,КОЭФФИЦИЕНТЫ_ВЫБОРА!F33:K33)</f>
        <v>3.78269</v>
      </c>
      <c r="I1614" s="12" t="n">
        <f aca="false">SUMPRODUCT(ПОТОКИ!B14:G14,ЧАСОВЫЕ_ПРОФИЛИ!B17:G17,КОЭФФИЦИЕНТЫ_ВЫБОРА!F33:K33,ПАРАМЕТРЫ!$B$17:$G$17)</f>
        <v>4.160959</v>
      </c>
      <c r="J1614" s="12" t="n">
        <f aca="false">I1614*G1614/1000</f>
        <v>0.62414385</v>
      </c>
      <c r="K1614" s="11" t="s">
        <v>217</v>
      </c>
      <c r="L1614" s="11" t="s">
        <v>19</v>
      </c>
      <c r="M1614" s="11" t="s">
        <v>147</v>
      </c>
    </row>
    <row r="1615" customFormat="false" ht="15" hidden="false" customHeight="false" outlineLevel="0" collapsed="false">
      <c r="A1615" s="11" t="s">
        <v>110</v>
      </c>
      <c r="B1615" s="11" t="s">
        <v>130</v>
      </c>
      <c r="C1615" s="11" t="n">
        <v>24</v>
      </c>
      <c r="D1615" s="11" t="s">
        <v>86</v>
      </c>
      <c r="E1615" s="11" t="s">
        <v>180</v>
      </c>
      <c r="F1615" s="11" t="s">
        <v>85</v>
      </c>
      <c r="G1615" s="12" t="n">
        <v>150</v>
      </c>
      <c r="H1615" s="12" t="n">
        <f aca="false">SUMPRODUCT(ПОТОКИ!B14:G14,ЧАСОВЫЕ_ПРОФИЛИ!B17:G17,КОЭФФИЦИЕНТЫ_ВЫБОРА!F34:K34)</f>
        <v>1.56322</v>
      </c>
      <c r="I1615" s="12" t="n">
        <f aca="false">SUMPRODUCT(ПОТОКИ!B14:G14,ЧАСОВЫЕ_ПРОФИЛИ!B17:G17,КОЭФФИЦИЕНТЫ_ВЫБОРА!F34:K34,ПАРАМЕТРЫ!$B$17:$G$17)</f>
        <v>1.719542</v>
      </c>
      <c r="J1615" s="12" t="n">
        <f aca="false">I1615*G1615/1000</f>
        <v>0.2579313</v>
      </c>
      <c r="K1615" s="11" t="s">
        <v>217</v>
      </c>
      <c r="L1615" s="11" t="s">
        <v>19</v>
      </c>
      <c r="M1615" s="11" t="s">
        <v>147</v>
      </c>
    </row>
    <row r="1616" customFormat="false" ht="15" hidden="false" customHeight="false" outlineLevel="0" collapsed="false">
      <c r="A1616" s="11" t="s">
        <v>110</v>
      </c>
      <c r="B1616" s="11" t="s">
        <v>130</v>
      </c>
      <c r="C1616" s="11" t="n">
        <v>25</v>
      </c>
      <c r="D1616" s="11" t="s">
        <v>86</v>
      </c>
      <c r="E1616" s="11" t="s">
        <v>181</v>
      </c>
      <c r="F1616" s="11" t="s">
        <v>85</v>
      </c>
      <c r="G1616" s="12" t="n">
        <v>150</v>
      </c>
      <c r="H1616" s="12" t="n">
        <f aca="false">SUMPRODUCT(ПОТОКИ!B14:G14,ЧАСОВЫЕ_ПРОФИЛИ!B17:G17,КОЭФФИЦИЕНТЫ_ВЫБОРА!F35:K35)</f>
        <v>2.47019</v>
      </c>
      <c r="I1616" s="12" t="n">
        <f aca="false">SUMPRODUCT(ПОТОКИ!B14:G14,ЧАСОВЫЕ_ПРОФИЛИ!B17:G17,КОЭФФИЦИЕНТЫ_ВЫБОРА!F35:K35,ПАРАМЕТРЫ!$B$17:$G$17)</f>
        <v>2.717209</v>
      </c>
      <c r="J1616" s="12" t="n">
        <f aca="false">I1616*G1616/1000</f>
        <v>0.40758135</v>
      </c>
      <c r="K1616" s="11" t="s">
        <v>217</v>
      </c>
      <c r="L1616" s="11" t="s">
        <v>19</v>
      </c>
      <c r="M1616" s="11" t="s">
        <v>147</v>
      </c>
    </row>
    <row r="1617" customFormat="false" ht="23.85" hidden="false" customHeight="false" outlineLevel="0" collapsed="false">
      <c r="A1617" s="11" t="s">
        <v>110</v>
      </c>
      <c r="B1617" s="11" t="s">
        <v>130</v>
      </c>
      <c r="C1617" s="11" t="n">
        <v>26</v>
      </c>
      <c r="D1617" s="11" t="s">
        <v>89</v>
      </c>
      <c r="E1617" s="11" t="s">
        <v>182</v>
      </c>
      <c r="F1617" s="11" t="s">
        <v>88</v>
      </c>
      <c r="G1617" s="12" t="n">
        <v>225</v>
      </c>
      <c r="H1617" s="12" t="n">
        <f aca="false">SUMPRODUCT(ПОТОКИ!B14:G14,ЧАСОВЫЕ_ПРОФИЛИ!B17:G17,КОЭФФИЦИЕНТЫ_ВЫБОРА!F36:K36)</f>
        <v>0</v>
      </c>
      <c r="I1617" s="12" t="n">
        <f aca="false">SUMPRODUCT(ПОТОКИ!B14:G14,ЧАСОВЫЕ_ПРОФИЛИ!B17:G17,КОЭФФИЦИЕНТЫ_ВЫБОРА!F36:K36,ПАРАМЕТРЫ!$B$17:$G$17)</f>
        <v>0</v>
      </c>
      <c r="J1617" s="12" t="n">
        <f aca="false">I1617*G1617/1000</f>
        <v>0</v>
      </c>
      <c r="K1617" s="11" t="s">
        <v>217</v>
      </c>
      <c r="L1617" s="11" t="s">
        <v>19</v>
      </c>
      <c r="M1617" s="11" t="s">
        <v>145</v>
      </c>
    </row>
    <row r="1618" customFormat="false" ht="23.85" hidden="false" customHeight="false" outlineLevel="0" collapsed="false">
      <c r="A1618" s="11" t="s">
        <v>110</v>
      </c>
      <c r="B1618" s="11" t="s">
        <v>130</v>
      </c>
      <c r="C1618" s="11" t="n">
        <v>27</v>
      </c>
      <c r="D1618" s="11" t="s">
        <v>89</v>
      </c>
      <c r="E1618" s="11" t="s">
        <v>183</v>
      </c>
      <c r="F1618" s="11" t="s">
        <v>88</v>
      </c>
      <c r="G1618" s="12" t="n">
        <v>265</v>
      </c>
      <c r="H1618" s="12" t="n">
        <f aca="false">SUMPRODUCT(ПОТОКИ!B14:G14,ЧАСОВЫЕ_ПРОФИЛИ!B17:G17,КОЭФФИЦИЕНТЫ_ВЫБОРА!F37:K37)</f>
        <v>0</v>
      </c>
      <c r="I1618" s="12" t="n">
        <f aca="false">SUMPRODUCT(ПОТОКИ!B14:G14,ЧАСОВЫЕ_ПРОФИЛИ!B17:G17,КОЭФФИЦИЕНТЫ_ВЫБОРА!F37:K37,ПАРАМЕТРЫ!$B$17:$G$17)</f>
        <v>0</v>
      </c>
      <c r="J1618" s="12" t="n">
        <f aca="false">I1618*G1618/1000</f>
        <v>0</v>
      </c>
      <c r="K1618" s="11" t="s">
        <v>217</v>
      </c>
      <c r="L1618" s="11" t="s">
        <v>19</v>
      </c>
      <c r="M1618" s="11" t="s">
        <v>145</v>
      </c>
    </row>
    <row r="1619" customFormat="false" ht="23.85" hidden="false" customHeight="false" outlineLevel="0" collapsed="false">
      <c r="A1619" s="11" t="s">
        <v>110</v>
      </c>
      <c r="B1619" s="11" t="s">
        <v>130</v>
      </c>
      <c r="C1619" s="11" t="n">
        <v>28</v>
      </c>
      <c r="D1619" s="11" t="s">
        <v>89</v>
      </c>
      <c r="E1619" s="11" t="s">
        <v>184</v>
      </c>
      <c r="F1619" s="11" t="s">
        <v>88</v>
      </c>
      <c r="G1619" s="12" t="n">
        <v>355</v>
      </c>
      <c r="H1619" s="12" t="n">
        <f aca="false">SUMPRODUCT(ПОТОКИ!B14:G14,ЧАСОВЫЕ_ПРОФИЛИ!B17:G17,КОЭФФИЦИЕНТЫ_ВЫБОРА!F38:K38)</f>
        <v>0</v>
      </c>
      <c r="I1619" s="12" t="n">
        <f aca="false">SUMPRODUCT(ПОТОКИ!B14:G14,ЧАСОВЫЕ_ПРОФИЛИ!B17:G17,КОЭФФИЦИЕНТЫ_ВЫБОРА!F38:K38,ПАРАМЕТРЫ!$B$17:$G$17)</f>
        <v>0</v>
      </c>
      <c r="J1619" s="12" t="n">
        <f aca="false">I1619*G1619/1000</f>
        <v>0</v>
      </c>
      <c r="K1619" s="11" t="s">
        <v>217</v>
      </c>
      <c r="L1619" s="11" t="s">
        <v>19</v>
      </c>
      <c r="M1619" s="11" t="s">
        <v>145</v>
      </c>
    </row>
    <row r="1620" customFormat="false" ht="15" hidden="false" customHeight="false" outlineLevel="0" collapsed="false">
      <c r="A1620" s="11" t="s">
        <v>110</v>
      </c>
      <c r="B1620" s="11" t="s">
        <v>130</v>
      </c>
      <c r="C1620" s="11" t="n">
        <v>29</v>
      </c>
      <c r="D1620" s="11" t="s">
        <v>92</v>
      </c>
      <c r="E1620" s="11" t="s">
        <v>185</v>
      </c>
      <c r="F1620" s="11" t="s">
        <v>91</v>
      </c>
      <c r="G1620" s="12" t="n">
        <v>150</v>
      </c>
      <c r="H1620" s="12" t="n">
        <f aca="false">SUMPRODUCT(ПОТОКИ!B14:G14,ЧАСОВЫЕ_ПРОФИЛИ!B17:G17,КОЭФФИЦИЕНТЫ_ВЫБОРА!F39:K39)</f>
        <v>0.336</v>
      </c>
      <c r="I1620" s="12" t="n">
        <f aca="false">SUMPRODUCT(ПОТОКИ!B14:G14,ЧАСОВЫЕ_ПРОФИЛИ!B17:G17,КОЭФФИЦИЕНТЫ_ВЫБОРА!F39:K39,ПАРАМЕТРЫ!$B$17:$G$17)</f>
        <v>0.3696</v>
      </c>
      <c r="J1620" s="12" t="n">
        <f aca="false">I1620*G1620/1000</f>
        <v>0.05544</v>
      </c>
      <c r="K1620" s="11" t="s">
        <v>217</v>
      </c>
      <c r="L1620" s="11" t="s">
        <v>19</v>
      </c>
      <c r="M1620" s="11" t="s">
        <v>145</v>
      </c>
    </row>
    <row r="1621" customFormat="false" ht="15" hidden="false" customHeight="false" outlineLevel="0" collapsed="false">
      <c r="A1621" s="11" t="s">
        <v>110</v>
      </c>
      <c r="B1621" s="11" t="s">
        <v>130</v>
      </c>
      <c r="C1621" s="11" t="n">
        <v>30</v>
      </c>
      <c r="D1621" s="11" t="s">
        <v>92</v>
      </c>
      <c r="E1621" s="11" t="s">
        <v>186</v>
      </c>
      <c r="F1621" s="11" t="s">
        <v>91</v>
      </c>
      <c r="G1621" s="12" t="n">
        <v>120</v>
      </c>
      <c r="H1621" s="12" t="n">
        <f aca="false">SUMPRODUCT(ПОТОКИ!B14:G14,ЧАСОВЫЕ_ПРОФИЛИ!B17:G17,КОЭФФИЦИЕНТЫ_ВЫБОРА!F40:K40)</f>
        <v>0.336</v>
      </c>
      <c r="I1621" s="12" t="n">
        <f aca="false">SUMPRODUCT(ПОТОКИ!B14:G14,ЧАСОВЫЕ_ПРОФИЛИ!B17:G17,КОЭФФИЦИЕНТЫ_ВЫБОРА!F40:K40,ПАРАМЕТРЫ!$B$17:$G$17)</f>
        <v>0.3696</v>
      </c>
      <c r="J1621" s="12" t="n">
        <f aca="false">I1621*G1621/1000</f>
        <v>0.044352</v>
      </c>
      <c r="K1621" s="11" t="s">
        <v>217</v>
      </c>
      <c r="L1621" s="11" t="s">
        <v>19</v>
      </c>
      <c r="M1621" s="11" t="s">
        <v>145</v>
      </c>
    </row>
    <row r="1622" customFormat="false" ht="15" hidden="false" customHeight="false" outlineLevel="0" collapsed="false">
      <c r="A1622" s="11" t="s">
        <v>110</v>
      </c>
      <c r="B1622" s="11" t="s">
        <v>130</v>
      </c>
      <c r="C1622" s="11" t="n">
        <v>31</v>
      </c>
      <c r="D1622" s="11" t="s">
        <v>92</v>
      </c>
      <c r="E1622" s="11" t="s">
        <v>187</v>
      </c>
      <c r="F1622" s="11" t="s">
        <v>91</v>
      </c>
      <c r="G1622" s="12" t="n">
        <v>60</v>
      </c>
      <c r="H1622" s="12" t="n">
        <f aca="false">SUMPRODUCT(ПОТОКИ!B14:G14,ЧАСОВЫЕ_ПРОФИЛИ!B17:G17,КОЭФФИЦИЕНТЫ_ВЫБОРА!F41:K41)</f>
        <v>0.288</v>
      </c>
      <c r="I1622" s="12" t="n">
        <f aca="false">SUMPRODUCT(ПОТОКИ!B14:G14,ЧАСОВЫЕ_ПРОФИЛИ!B17:G17,КОЭФФИЦИЕНТЫ_ВЫБОРА!F41:K41,ПАРАМЕТРЫ!$B$17:$G$17)</f>
        <v>0.3168</v>
      </c>
      <c r="J1622" s="12" t="n">
        <f aca="false">I1622*G1622/1000</f>
        <v>0.019008</v>
      </c>
      <c r="K1622" s="11" t="s">
        <v>217</v>
      </c>
      <c r="L1622" s="11" t="s">
        <v>19</v>
      </c>
      <c r="M1622" s="11" t="s">
        <v>145</v>
      </c>
    </row>
    <row r="1623" customFormat="false" ht="15" hidden="false" customHeight="false" outlineLevel="0" collapsed="false">
      <c r="A1623" s="11" t="s">
        <v>110</v>
      </c>
      <c r="B1623" s="11" t="s">
        <v>131</v>
      </c>
      <c r="C1623" s="11" t="n">
        <v>1</v>
      </c>
      <c r="D1623" s="11" t="s">
        <v>74</v>
      </c>
      <c r="E1623" s="11" t="s">
        <v>153</v>
      </c>
      <c r="F1623" s="11" t="s">
        <v>73</v>
      </c>
      <c r="G1623" s="12" t="n">
        <v>450</v>
      </c>
      <c r="H1623" s="12" t="n">
        <f aca="false">SUMPRODUCT(ПОТОКИ!B14:G14,ЧАСОВЫЕ_ПРОФИЛИ!B18:G18,КОЭФФИЦИЕНТЫ_ВЫБОРА!F11:K11)</f>
        <v>0.3147</v>
      </c>
      <c r="I1623" s="12" t="n">
        <f aca="false">SUMPRODUCT(ПОТОКИ!B14:G14,ЧАСОВЫЕ_ПРОФИЛИ!B18:G18,КОЭФФИЦИЕНТЫ_ВЫБОРА!F11:K11,ПАРАМЕТРЫ!$B$17:$G$17)</f>
        <v>0.34617</v>
      </c>
      <c r="J1623" s="12" t="n">
        <f aca="false">I1623*G1623/1000</f>
        <v>0.1557765</v>
      </c>
      <c r="K1623" s="11" t="s">
        <v>217</v>
      </c>
      <c r="L1623" s="11" t="s">
        <v>19</v>
      </c>
      <c r="M1623" s="11" t="s">
        <v>145</v>
      </c>
    </row>
    <row r="1624" customFormat="false" ht="15" hidden="false" customHeight="false" outlineLevel="0" collapsed="false">
      <c r="A1624" s="11" t="s">
        <v>110</v>
      </c>
      <c r="B1624" s="11" t="s">
        <v>131</v>
      </c>
      <c r="C1624" s="11" t="n">
        <v>2</v>
      </c>
      <c r="D1624" s="11" t="s">
        <v>74</v>
      </c>
      <c r="E1624" s="11" t="s">
        <v>154</v>
      </c>
      <c r="F1624" s="11" t="s">
        <v>73</v>
      </c>
      <c r="G1624" s="12" t="n">
        <v>480</v>
      </c>
      <c r="H1624" s="12" t="n">
        <f aca="false">SUMPRODUCT(ПОТОКИ!B14:G14,ЧАСОВЫЕ_ПРОФИЛИ!B18:G18,КОЭФФИЦИЕНТЫ_ВЫБОРА!F12:K12)</f>
        <v>0.3596</v>
      </c>
      <c r="I1624" s="12" t="n">
        <f aca="false">SUMPRODUCT(ПОТОКИ!B14:G14,ЧАСОВЫЕ_ПРОФИЛИ!B18:G18,КОЭФФИЦИЕНТЫ_ВЫБОРА!F12:K12,ПАРАМЕТРЫ!$B$17:$G$17)</f>
        <v>0.39556</v>
      </c>
      <c r="J1624" s="12" t="n">
        <f aca="false">I1624*G1624/1000</f>
        <v>0.1898688</v>
      </c>
      <c r="K1624" s="11" t="s">
        <v>217</v>
      </c>
      <c r="L1624" s="11" t="s">
        <v>19</v>
      </c>
      <c r="M1624" s="11" t="s">
        <v>145</v>
      </c>
    </row>
    <row r="1625" customFormat="false" ht="15" hidden="false" customHeight="false" outlineLevel="0" collapsed="false">
      <c r="A1625" s="11" t="s">
        <v>110</v>
      </c>
      <c r="B1625" s="11" t="s">
        <v>131</v>
      </c>
      <c r="C1625" s="11" t="n">
        <v>3</v>
      </c>
      <c r="D1625" s="11" t="s">
        <v>74</v>
      </c>
      <c r="E1625" s="11" t="s">
        <v>155</v>
      </c>
      <c r="F1625" s="11" t="s">
        <v>73</v>
      </c>
      <c r="G1625" s="12" t="n">
        <v>500</v>
      </c>
      <c r="H1625" s="12" t="n">
        <f aca="false">SUMPRODUCT(ПОТОКИ!B14:G14,ЧАСОВЫЕ_ПРОФИЛИ!B18:G18,КОЭФФИЦИЕНТЫ_ВЫБОРА!F13:K13)</f>
        <v>0.6519</v>
      </c>
      <c r="I1625" s="12" t="n">
        <f aca="false">SUMPRODUCT(ПОТОКИ!B14:G14,ЧАСОВЫЕ_ПРОФИЛИ!B18:G18,КОЭФФИЦИЕНТЫ_ВЫБОРА!F13:K13,ПАРАМЕТРЫ!$B$17:$G$17)</f>
        <v>0.71709</v>
      </c>
      <c r="J1625" s="12" t="n">
        <f aca="false">I1625*G1625/1000</f>
        <v>0.358545</v>
      </c>
      <c r="K1625" s="11" t="s">
        <v>217</v>
      </c>
      <c r="L1625" s="11" t="s">
        <v>19</v>
      </c>
      <c r="M1625" s="11" t="s">
        <v>145</v>
      </c>
    </row>
    <row r="1626" customFormat="false" ht="15" hidden="false" customHeight="false" outlineLevel="0" collapsed="false">
      <c r="A1626" s="11" t="s">
        <v>110</v>
      </c>
      <c r="B1626" s="11" t="s">
        <v>131</v>
      </c>
      <c r="C1626" s="11" t="n">
        <v>4</v>
      </c>
      <c r="D1626" s="11" t="s">
        <v>74</v>
      </c>
      <c r="E1626" s="11" t="s">
        <v>156</v>
      </c>
      <c r="F1626" s="11" t="s">
        <v>73</v>
      </c>
      <c r="G1626" s="12" t="n">
        <v>500</v>
      </c>
      <c r="H1626" s="12" t="n">
        <f aca="false">SUMPRODUCT(ПОТОКИ!B14:G14,ЧАСОВЫЕ_ПРОФИЛИ!B18:G18,КОЭФФИЦИЕНТЫ_ВЫБОРА!F14:K14)</f>
        <v>0.6968</v>
      </c>
      <c r="I1626" s="12" t="n">
        <f aca="false">SUMPRODUCT(ПОТОКИ!B14:G14,ЧАСОВЫЕ_ПРОФИЛИ!B18:G18,КОЭФФИЦИЕНТЫ_ВЫБОРА!F14:K14,ПАРАМЕТРЫ!$B$17:$G$17)</f>
        <v>0.76648</v>
      </c>
      <c r="J1626" s="12" t="n">
        <f aca="false">I1626*G1626/1000</f>
        <v>0.38324</v>
      </c>
      <c r="K1626" s="11" t="s">
        <v>217</v>
      </c>
      <c r="L1626" s="11" t="s">
        <v>19</v>
      </c>
      <c r="M1626" s="11" t="s">
        <v>145</v>
      </c>
    </row>
    <row r="1627" customFormat="false" ht="15" hidden="false" customHeight="false" outlineLevel="0" collapsed="false">
      <c r="A1627" s="11" t="s">
        <v>110</v>
      </c>
      <c r="B1627" s="11" t="s">
        <v>131</v>
      </c>
      <c r="C1627" s="11" t="n">
        <v>5</v>
      </c>
      <c r="D1627" s="11" t="s">
        <v>78</v>
      </c>
      <c r="E1627" s="11" t="s">
        <v>157</v>
      </c>
      <c r="F1627" s="11" t="s">
        <v>77</v>
      </c>
      <c r="G1627" s="12" t="n">
        <v>100</v>
      </c>
      <c r="H1627" s="12" t="n">
        <f aca="false">SUMPRODUCT(ПОТОКИ!B14:G14,ЧАСОВЫЕ_ПРОФИЛИ!B18:G18,КОЭФФИЦИЕНТЫ_ВЫБОРА!F15:K15)</f>
        <v>0.5201</v>
      </c>
      <c r="I1627" s="12" t="n">
        <f aca="false">SUMPRODUCT(ПОТОКИ!B14:G14,ЧАСОВЫЕ_ПРОФИЛИ!B18:G18,КОЭФФИЦИЕНТЫ_ВЫБОРА!F15:K15,ПАРАМЕТРЫ!$B$17:$G$17)</f>
        <v>0.57211</v>
      </c>
      <c r="J1627" s="12" t="n">
        <f aca="false">I1627*G1627/1000</f>
        <v>0.057211</v>
      </c>
      <c r="K1627" s="11" t="s">
        <v>217</v>
      </c>
      <c r="L1627" s="11" t="s">
        <v>19</v>
      </c>
      <c r="M1627" s="11" t="s">
        <v>147</v>
      </c>
    </row>
    <row r="1628" customFormat="false" ht="15" hidden="false" customHeight="false" outlineLevel="0" collapsed="false">
      <c r="A1628" s="11" t="s">
        <v>110</v>
      </c>
      <c r="B1628" s="11" t="s">
        <v>131</v>
      </c>
      <c r="C1628" s="11" t="n">
        <v>6</v>
      </c>
      <c r="D1628" s="11" t="s">
        <v>78</v>
      </c>
      <c r="E1628" s="11" t="s">
        <v>158</v>
      </c>
      <c r="F1628" s="11" t="s">
        <v>77</v>
      </c>
      <c r="G1628" s="12" t="n">
        <v>100</v>
      </c>
      <c r="H1628" s="12" t="n">
        <f aca="false">SUMPRODUCT(ПОТОКИ!B14:G14,ЧАСОВЫЕ_ПРОФИЛИ!B18:G18,КОЭФФИЦИЕНТЫ_ВЫБОРА!F16:K16)</f>
        <v>0.4677</v>
      </c>
      <c r="I1628" s="12" t="n">
        <f aca="false">SUMPRODUCT(ПОТОКИ!B14:G14,ЧАСОВЫЕ_ПРОФИЛИ!B18:G18,КОЭФФИЦИЕНТЫ_ВЫБОРА!F16:K16,ПАРАМЕТРЫ!$B$17:$G$17)</f>
        <v>0.51447</v>
      </c>
      <c r="J1628" s="12" t="n">
        <f aca="false">I1628*G1628/1000</f>
        <v>0.051447</v>
      </c>
      <c r="K1628" s="11" t="s">
        <v>217</v>
      </c>
      <c r="L1628" s="11" t="s">
        <v>19</v>
      </c>
      <c r="M1628" s="11" t="s">
        <v>147</v>
      </c>
    </row>
    <row r="1629" customFormat="false" ht="15" hidden="false" customHeight="false" outlineLevel="0" collapsed="false">
      <c r="A1629" s="11" t="s">
        <v>110</v>
      </c>
      <c r="B1629" s="11" t="s">
        <v>131</v>
      </c>
      <c r="C1629" s="11" t="n">
        <v>7</v>
      </c>
      <c r="D1629" s="11" t="s">
        <v>78</v>
      </c>
      <c r="E1629" s="11" t="s">
        <v>159</v>
      </c>
      <c r="F1629" s="11" t="s">
        <v>77</v>
      </c>
      <c r="G1629" s="12" t="n">
        <v>350</v>
      </c>
      <c r="H1629" s="12" t="n">
        <f aca="false">SUMPRODUCT(ПОТОКИ!B14:G14,ЧАСОВЫЕ_ПРОФИЛИ!B18:G18,КОЭФФИЦИЕНТЫ_ВЫБОРА!F17:K17)</f>
        <v>0.41595</v>
      </c>
      <c r="I1629" s="12" t="n">
        <f aca="false">SUMPRODUCT(ПОТОКИ!B14:G14,ЧАСОВЫЕ_ПРОФИЛИ!B18:G18,КОЭФФИЦИЕНТЫ_ВЫБОРА!F17:K17,ПАРАМЕТРЫ!$B$17:$G$17)</f>
        <v>0.457545</v>
      </c>
      <c r="J1629" s="12" t="n">
        <f aca="false">I1629*G1629/1000</f>
        <v>0.16014075</v>
      </c>
      <c r="K1629" s="11" t="s">
        <v>217</v>
      </c>
      <c r="L1629" s="11" t="s">
        <v>19</v>
      </c>
      <c r="M1629" s="11" t="s">
        <v>147</v>
      </c>
    </row>
    <row r="1630" customFormat="false" ht="15" hidden="false" customHeight="false" outlineLevel="0" collapsed="false">
      <c r="A1630" s="11" t="s">
        <v>110</v>
      </c>
      <c r="B1630" s="11" t="s">
        <v>131</v>
      </c>
      <c r="C1630" s="11" t="n">
        <v>8</v>
      </c>
      <c r="D1630" s="11" t="s">
        <v>78</v>
      </c>
      <c r="E1630" s="11" t="s">
        <v>160</v>
      </c>
      <c r="F1630" s="11" t="s">
        <v>77</v>
      </c>
      <c r="G1630" s="12" t="n">
        <v>85</v>
      </c>
      <c r="H1630" s="12" t="n">
        <f aca="false">SUMPRODUCT(ПОТОКИ!B14:G14,ЧАСОВЫЕ_ПРОФИЛИ!B18:G18,КОЭФФИЦИЕНТЫ_ВЫБОРА!F18:K18)</f>
        <v>0.26005</v>
      </c>
      <c r="I1630" s="12" t="n">
        <f aca="false">SUMPRODUCT(ПОТОКИ!B14:G14,ЧАСОВЫЕ_ПРОФИЛИ!B18:G18,КОЭФФИЦИЕНТЫ_ВЫБОРА!F18:K18,ПАРАМЕТРЫ!$B$17:$G$17)</f>
        <v>0.286055</v>
      </c>
      <c r="J1630" s="12" t="n">
        <f aca="false">I1630*G1630/1000</f>
        <v>0.024314675</v>
      </c>
      <c r="K1630" s="11" t="s">
        <v>217</v>
      </c>
      <c r="L1630" s="11" t="s">
        <v>19</v>
      </c>
      <c r="M1630" s="11" t="s">
        <v>147</v>
      </c>
    </row>
    <row r="1631" customFormat="false" ht="15" hidden="false" customHeight="false" outlineLevel="0" collapsed="false">
      <c r="A1631" s="11" t="s">
        <v>110</v>
      </c>
      <c r="B1631" s="11" t="s">
        <v>131</v>
      </c>
      <c r="C1631" s="11" t="n">
        <v>9</v>
      </c>
      <c r="D1631" s="11" t="s">
        <v>161</v>
      </c>
      <c r="E1631" s="11" t="s">
        <v>162</v>
      </c>
      <c r="F1631" s="11" t="s">
        <v>80</v>
      </c>
      <c r="G1631" s="12" t="n">
        <v>300</v>
      </c>
      <c r="H1631" s="12" t="n">
        <f aca="false">SUMPRODUCT(ПОТОКИ!B14:G14,ЧАСОВЫЕ_ПРОФИЛИ!B18:G18,КОЭФФИЦИЕНТЫ_ВЫБОРА!F19:K19)</f>
        <v>0.3405</v>
      </c>
      <c r="I1631" s="12" t="n">
        <f aca="false">SUMPRODUCT(ПОТОКИ!B14:G14,ЧАСОВЫЕ_ПРОФИЛИ!B18:G18,КОЭФФИЦИЕНТЫ_ВЫБОРА!F19:K19,ПАРАМЕТРЫ!$B$17:$G$17)</f>
        <v>0.37455</v>
      </c>
      <c r="J1631" s="12" t="n">
        <f aca="false">I1631*G1631/1000</f>
        <v>0.112365</v>
      </c>
      <c r="K1631" s="11" t="s">
        <v>217</v>
      </c>
      <c r="L1631" s="11" t="s">
        <v>19</v>
      </c>
      <c r="M1631" s="11" t="s">
        <v>145</v>
      </c>
    </row>
    <row r="1632" customFormat="false" ht="15" hidden="false" customHeight="false" outlineLevel="0" collapsed="false">
      <c r="A1632" s="11" t="s">
        <v>110</v>
      </c>
      <c r="B1632" s="11" t="s">
        <v>131</v>
      </c>
      <c r="C1632" s="11" t="n">
        <v>10</v>
      </c>
      <c r="D1632" s="11" t="s">
        <v>161</v>
      </c>
      <c r="E1632" s="11" t="s">
        <v>163</v>
      </c>
      <c r="F1632" s="11" t="s">
        <v>80</v>
      </c>
      <c r="G1632" s="12" t="n">
        <v>280</v>
      </c>
      <c r="H1632" s="12" t="n">
        <f aca="false">SUMPRODUCT(ПОТОКИ!B14:G14,ЧАСОВЫЕ_ПРОФИЛИ!B18:G18,КОЭФФИЦИЕНТЫ_ВЫБОРА!F20:K20)</f>
        <v>0.513</v>
      </c>
      <c r="I1632" s="12" t="n">
        <f aca="false">SUMPRODUCT(ПОТОКИ!B14:G14,ЧАСОВЫЕ_ПРОФИЛИ!B18:G18,КОЭФФИЦИЕНТЫ_ВЫБОРА!F20:K20,ПАРАМЕТРЫ!$B$17:$G$17)</f>
        <v>0.5643</v>
      </c>
      <c r="J1632" s="12" t="n">
        <f aca="false">I1632*G1632/1000</f>
        <v>0.158004</v>
      </c>
      <c r="K1632" s="11" t="s">
        <v>217</v>
      </c>
      <c r="L1632" s="11" t="s">
        <v>19</v>
      </c>
      <c r="M1632" s="11" t="s">
        <v>145</v>
      </c>
    </row>
    <row r="1633" customFormat="false" ht="15" hidden="false" customHeight="false" outlineLevel="0" collapsed="false">
      <c r="A1633" s="11" t="s">
        <v>110</v>
      </c>
      <c r="B1633" s="11" t="s">
        <v>131</v>
      </c>
      <c r="C1633" s="11" t="n">
        <v>11</v>
      </c>
      <c r="D1633" s="11" t="s">
        <v>161</v>
      </c>
      <c r="E1633" s="11" t="s">
        <v>164</v>
      </c>
      <c r="F1633" s="11" t="s">
        <v>80</v>
      </c>
      <c r="G1633" s="12" t="n">
        <v>270</v>
      </c>
      <c r="H1633" s="12" t="n">
        <f aca="false">SUMPRODUCT(ПОТОКИ!B14:G14,ЧАСОВЫЕ_ПРОФИЛИ!B18:G18,КОЭФФИЦИЕНТЫ_ВЫБОРА!F21:K21)</f>
        <v>0.93645</v>
      </c>
      <c r="I1633" s="12" t="n">
        <f aca="false">SUMPRODUCT(ПОТОКИ!B14:G14,ЧАСОВЫЕ_ПРОФИЛИ!B18:G18,КОЭФФИЦИЕНТЫ_ВЫБОРА!F21:K21,ПАРАМЕТРЫ!$B$17:$G$17)</f>
        <v>1.030095</v>
      </c>
      <c r="J1633" s="12" t="n">
        <f aca="false">I1633*G1633/1000</f>
        <v>0.27812565</v>
      </c>
      <c r="K1633" s="11" t="s">
        <v>217</v>
      </c>
      <c r="L1633" s="11" t="s">
        <v>19</v>
      </c>
      <c r="M1633" s="11" t="s">
        <v>145</v>
      </c>
    </row>
    <row r="1634" customFormat="false" ht="15" hidden="false" customHeight="false" outlineLevel="0" collapsed="false">
      <c r="A1634" s="11" t="s">
        <v>110</v>
      </c>
      <c r="B1634" s="11" t="s">
        <v>131</v>
      </c>
      <c r="C1634" s="11" t="n">
        <v>12</v>
      </c>
      <c r="D1634" s="11" t="s">
        <v>161</v>
      </c>
      <c r="E1634" s="11" t="s">
        <v>165</v>
      </c>
      <c r="F1634" s="11" t="s">
        <v>80</v>
      </c>
      <c r="G1634" s="12" t="n">
        <v>240</v>
      </c>
      <c r="H1634" s="12" t="n">
        <f aca="false">SUMPRODUCT(ПОТОКИ!B14:G14,ЧАСОВЫЕ_ПРОФИЛИ!B18:G18,КОЭФФИЦИЕНТЫ_ВЫБОРА!F22:K22)</f>
        <v>0.60705</v>
      </c>
      <c r="I1634" s="12" t="n">
        <f aca="false">SUMPRODUCT(ПОТОКИ!B14:G14,ЧАСОВЫЕ_ПРОФИЛИ!B18:G18,КОЭФФИЦИЕНТЫ_ВЫБОРА!F22:K22,ПАРАМЕТРЫ!$B$17:$G$17)</f>
        <v>0.667755</v>
      </c>
      <c r="J1634" s="12" t="n">
        <f aca="false">I1634*G1634/1000</f>
        <v>0.1602612</v>
      </c>
      <c r="K1634" s="11" t="s">
        <v>217</v>
      </c>
      <c r="L1634" s="11" t="s">
        <v>19</v>
      </c>
      <c r="M1634" s="11" t="s">
        <v>145</v>
      </c>
    </row>
    <row r="1635" customFormat="false" ht="15" hidden="false" customHeight="false" outlineLevel="0" collapsed="false">
      <c r="A1635" s="11" t="s">
        <v>110</v>
      </c>
      <c r="B1635" s="11" t="s">
        <v>131</v>
      </c>
      <c r="C1635" s="11" t="n">
        <v>13</v>
      </c>
      <c r="D1635" s="11" t="s">
        <v>166</v>
      </c>
      <c r="E1635" s="11" t="s">
        <v>167</v>
      </c>
      <c r="F1635" s="11" t="s">
        <v>80</v>
      </c>
      <c r="G1635" s="12" t="n">
        <v>130</v>
      </c>
      <c r="H1635" s="12" t="n">
        <f aca="false">SUMPRODUCT(ПОТОКИ!B14:G14,ЧАСОВЫЕ_ПРОФИЛИ!B18:G18,КОЭФФИЦИЕНТЫ_ВЫБОРА!F23:K23)</f>
        <v>0.172</v>
      </c>
      <c r="I1635" s="12" t="n">
        <f aca="false">SUMPRODUCT(ПОТОКИ!B14:G14,ЧАСОВЫЕ_ПРОФИЛИ!B18:G18,КОЭФФИЦИЕНТЫ_ВЫБОРА!F23:K23,ПАРАМЕТРЫ!$B$17:$G$17)</f>
        <v>0.1892</v>
      </c>
      <c r="J1635" s="12" t="n">
        <f aca="false">I1635*G1635/1000</f>
        <v>0.024596</v>
      </c>
      <c r="K1635" s="11" t="s">
        <v>217</v>
      </c>
      <c r="L1635" s="11" t="s">
        <v>19</v>
      </c>
      <c r="M1635" s="11" t="s">
        <v>145</v>
      </c>
    </row>
    <row r="1636" customFormat="false" ht="15" hidden="false" customHeight="false" outlineLevel="0" collapsed="false">
      <c r="A1636" s="11" t="s">
        <v>110</v>
      </c>
      <c r="B1636" s="11" t="s">
        <v>131</v>
      </c>
      <c r="C1636" s="11" t="n">
        <v>14</v>
      </c>
      <c r="D1636" s="11" t="s">
        <v>166</v>
      </c>
      <c r="E1636" s="11" t="s">
        <v>168</v>
      </c>
      <c r="F1636" s="11" t="s">
        <v>80</v>
      </c>
      <c r="G1636" s="12" t="n">
        <v>250</v>
      </c>
      <c r="H1636" s="12" t="n">
        <f aca="false">SUMPRODUCT(ПОТОКИ!B14:G14,ЧАСОВЫЕ_ПРОФИЛИ!B18:G18,КОЭФФИЦИЕНТЫ_ВЫБОРА!F24:K24)</f>
        <v>0.2172</v>
      </c>
      <c r="I1636" s="12" t="n">
        <f aca="false">SUMPRODUCT(ПОТОКИ!B14:G14,ЧАСОВЫЕ_ПРОФИЛИ!B18:G18,КОЭФФИЦИЕНТЫ_ВЫБОРА!F24:K24,ПАРАМЕТРЫ!$B$17:$G$17)</f>
        <v>0.23892</v>
      </c>
      <c r="J1636" s="12" t="n">
        <f aca="false">I1636*G1636/1000</f>
        <v>0.05973</v>
      </c>
      <c r="K1636" s="11" t="s">
        <v>217</v>
      </c>
      <c r="L1636" s="11" t="s">
        <v>19</v>
      </c>
      <c r="M1636" s="11" t="s">
        <v>145</v>
      </c>
    </row>
    <row r="1637" customFormat="false" ht="15" hidden="false" customHeight="false" outlineLevel="0" collapsed="false">
      <c r="A1637" s="11" t="s">
        <v>110</v>
      </c>
      <c r="B1637" s="11" t="s">
        <v>131</v>
      </c>
      <c r="C1637" s="11" t="n">
        <v>15</v>
      </c>
      <c r="D1637" s="11" t="s">
        <v>166</v>
      </c>
      <c r="E1637" s="11" t="s">
        <v>169</v>
      </c>
      <c r="F1637" s="11" t="s">
        <v>80</v>
      </c>
      <c r="G1637" s="12" t="n">
        <v>120</v>
      </c>
      <c r="H1637" s="12" t="n">
        <f aca="false">SUMPRODUCT(ПОТОКИ!B14:G14,ЧАСОВЫЕ_ПРОФИЛИ!B18:G18,КОЭФФИЦИЕНТЫ_ВЫБОРА!F25:K25)</f>
        <v>0.1272</v>
      </c>
      <c r="I1637" s="12" t="n">
        <f aca="false">SUMPRODUCT(ПОТОКИ!B14:G14,ЧАСОВЫЕ_ПРОФИЛИ!B18:G18,КОЭФФИЦИЕНТЫ_ВЫБОРА!F25:K25,ПАРАМЕТРЫ!$B$17:$G$17)</f>
        <v>0.13992</v>
      </c>
      <c r="J1637" s="12" t="n">
        <f aca="false">I1637*G1637/1000</f>
        <v>0.0167904</v>
      </c>
      <c r="K1637" s="11" t="s">
        <v>217</v>
      </c>
      <c r="L1637" s="11" t="s">
        <v>19</v>
      </c>
      <c r="M1637" s="11" t="s">
        <v>145</v>
      </c>
    </row>
    <row r="1638" customFormat="false" ht="15" hidden="false" customHeight="false" outlineLevel="0" collapsed="false">
      <c r="A1638" s="11" t="s">
        <v>110</v>
      </c>
      <c r="B1638" s="11" t="s">
        <v>131</v>
      </c>
      <c r="C1638" s="11" t="n">
        <v>16</v>
      </c>
      <c r="D1638" s="11" t="s">
        <v>166</v>
      </c>
      <c r="E1638" s="11" t="s">
        <v>170</v>
      </c>
      <c r="F1638" s="11" t="s">
        <v>80</v>
      </c>
      <c r="G1638" s="12" t="n">
        <v>180</v>
      </c>
      <c r="H1638" s="12" t="n">
        <f aca="false">SUMPRODUCT(ПОТОКИ!B14:G14,ЧАСОВЫЕ_ПРОФИЛИ!B18:G18,КОЭФФИЦИЕНТЫ_ВЫБОРА!F26:K26)</f>
        <v>0.2996</v>
      </c>
      <c r="I1638" s="12" t="n">
        <f aca="false">SUMPRODUCT(ПОТОКИ!B14:G14,ЧАСОВЫЕ_ПРОФИЛИ!B18:G18,КОЭФФИЦИЕНТЫ_ВЫБОРА!F26:K26,ПАРАМЕТРЫ!$B$17:$G$17)</f>
        <v>0.32956</v>
      </c>
      <c r="J1638" s="12" t="n">
        <f aca="false">I1638*G1638/1000</f>
        <v>0.0593208</v>
      </c>
      <c r="K1638" s="11" t="s">
        <v>217</v>
      </c>
      <c r="L1638" s="11" t="s">
        <v>19</v>
      </c>
      <c r="M1638" s="11" t="s">
        <v>145</v>
      </c>
    </row>
    <row r="1639" customFormat="false" ht="15" hidden="false" customHeight="false" outlineLevel="0" collapsed="false">
      <c r="A1639" s="11" t="s">
        <v>110</v>
      </c>
      <c r="B1639" s="11" t="s">
        <v>131</v>
      </c>
      <c r="C1639" s="11" t="n">
        <v>17</v>
      </c>
      <c r="D1639" s="11" t="s">
        <v>166</v>
      </c>
      <c r="E1639" s="11" t="s">
        <v>171</v>
      </c>
      <c r="F1639" s="11" t="s">
        <v>80</v>
      </c>
      <c r="G1639" s="12" t="n">
        <v>180</v>
      </c>
      <c r="H1639" s="12" t="n">
        <f aca="false">SUMPRODUCT(ПОТОКИ!B14:G14,ЧАСОВЫЕ_ПРОФИЛИ!B18:G18,КОЭФФИЦИЕНТЫ_ВЫБОРА!F27:K27)</f>
        <v>0.232</v>
      </c>
      <c r="I1639" s="12" t="n">
        <f aca="false">SUMPRODUCT(ПОТОКИ!B14:G14,ЧАСОВЫЕ_ПРОФИЛИ!B18:G18,КОЭФФИЦИЕНТЫ_ВЫБОРА!F27:K27,ПАРАМЕТРЫ!$B$17:$G$17)</f>
        <v>0.2552</v>
      </c>
      <c r="J1639" s="12" t="n">
        <f aca="false">I1639*G1639/1000</f>
        <v>0.045936</v>
      </c>
      <c r="K1639" s="11" t="s">
        <v>217</v>
      </c>
      <c r="L1639" s="11" t="s">
        <v>19</v>
      </c>
      <c r="M1639" s="11" t="s">
        <v>145</v>
      </c>
    </row>
    <row r="1640" customFormat="false" ht="15" hidden="false" customHeight="false" outlineLevel="0" collapsed="false">
      <c r="A1640" s="11" t="s">
        <v>110</v>
      </c>
      <c r="B1640" s="11" t="s">
        <v>131</v>
      </c>
      <c r="C1640" s="11" t="n">
        <v>18</v>
      </c>
      <c r="D1640" s="11" t="s">
        <v>172</v>
      </c>
      <c r="E1640" s="11" t="s">
        <v>173</v>
      </c>
      <c r="F1640" s="11" t="s">
        <v>83</v>
      </c>
      <c r="G1640" s="12" t="n">
        <v>400</v>
      </c>
      <c r="H1640" s="12" t="n">
        <f aca="false">SUMPRODUCT(ПОТОКИ!B14:G14,ЧАСОВЫЕ_ПРОФИЛИ!B18:G18,КОЭФФИЦИЕНТЫ_ВЫБОРА!F28:K28)</f>
        <v>2.324</v>
      </c>
      <c r="I1640" s="12" t="n">
        <f aca="false">SUMPRODUCT(ПОТОКИ!B14:G14,ЧАСОВЫЕ_ПРОФИЛИ!B18:G18,КОЭФФИЦИЕНТЫ_ВЫБОРА!F28:K28,ПАРАМЕТРЫ!$B$17:$G$17)</f>
        <v>2.5564</v>
      </c>
      <c r="J1640" s="12" t="n">
        <f aca="false">I1640*G1640/1000</f>
        <v>1.02256</v>
      </c>
      <c r="K1640" s="11" t="s">
        <v>217</v>
      </c>
      <c r="L1640" s="11" t="s">
        <v>19</v>
      </c>
      <c r="M1640" s="11" t="s">
        <v>145</v>
      </c>
    </row>
    <row r="1641" customFormat="false" ht="23.85" hidden="false" customHeight="false" outlineLevel="0" collapsed="false">
      <c r="A1641" s="11" t="s">
        <v>110</v>
      </c>
      <c r="B1641" s="11" t="s">
        <v>131</v>
      </c>
      <c r="C1641" s="11" t="n">
        <v>19</v>
      </c>
      <c r="D1641" s="11" t="s">
        <v>174</v>
      </c>
      <c r="E1641" s="11" t="s">
        <v>175</v>
      </c>
      <c r="F1641" s="11" t="s">
        <v>83</v>
      </c>
      <c r="G1641" s="12" t="n">
        <v>300</v>
      </c>
      <c r="H1641" s="12" t="n">
        <f aca="false">SUMPRODUCT(ПОТОКИ!B14:G14,ЧАСОВЫЕ_ПРОФИЛИ!B18:G18,КОЭФФИЦИЕНТЫ_ВЫБОРА!F29:K29)</f>
        <v>1.834</v>
      </c>
      <c r="I1641" s="12" t="n">
        <f aca="false">SUMPRODUCT(ПОТОКИ!B14:G14,ЧАСОВЫЕ_ПРОФИЛИ!B18:G18,КОЭФФИЦИЕНТЫ_ВЫБОРА!F29:K29,ПАРАМЕТРЫ!$B$17:$G$17)</f>
        <v>2.0174</v>
      </c>
      <c r="J1641" s="12" t="n">
        <f aca="false">I1641*G1641/1000</f>
        <v>0.60522</v>
      </c>
      <c r="K1641" s="11" t="s">
        <v>217</v>
      </c>
      <c r="L1641" s="11" t="s">
        <v>19</v>
      </c>
      <c r="M1641" s="11" t="s">
        <v>145</v>
      </c>
    </row>
    <row r="1642" customFormat="false" ht="15" hidden="false" customHeight="false" outlineLevel="0" collapsed="false">
      <c r="A1642" s="11" t="s">
        <v>110</v>
      </c>
      <c r="B1642" s="11" t="s">
        <v>131</v>
      </c>
      <c r="C1642" s="11" t="n">
        <v>20</v>
      </c>
      <c r="D1642" s="11" t="s">
        <v>174</v>
      </c>
      <c r="E1642" s="11" t="s">
        <v>176</v>
      </c>
      <c r="F1642" s="11" t="s">
        <v>83</v>
      </c>
      <c r="G1642" s="12" t="n">
        <v>360</v>
      </c>
      <c r="H1642" s="12" t="n">
        <f aca="false">SUMPRODUCT(ПОТОКИ!B14:G14,ЧАСОВЫЕ_ПРОФИЛИ!B18:G18,КОЭФФИЦИЕНТЫ_ВЫБОРА!F30:K30)</f>
        <v>1.3412</v>
      </c>
      <c r="I1642" s="12" t="n">
        <f aca="false">SUMPRODUCT(ПОТОКИ!B14:G14,ЧАСОВЫЕ_ПРОФИЛИ!B18:G18,КОЭФФИЦИЕНТЫ_ВЫБОРА!F30:K30,ПАРАМЕТРЫ!$B$17:$G$17)</f>
        <v>1.47532</v>
      </c>
      <c r="J1642" s="12" t="n">
        <f aca="false">I1642*G1642/1000</f>
        <v>0.5311152</v>
      </c>
      <c r="K1642" s="11" t="s">
        <v>217</v>
      </c>
      <c r="L1642" s="11" t="s">
        <v>19</v>
      </c>
      <c r="M1642" s="11" t="s">
        <v>145</v>
      </c>
    </row>
    <row r="1643" customFormat="false" ht="15" hidden="false" customHeight="false" outlineLevel="0" collapsed="false">
      <c r="A1643" s="11" t="s">
        <v>110</v>
      </c>
      <c r="B1643" s="11" t="s">
        <v>131</v>
      </c>
      <c r="C1643" s="11" t="n">
        <v>21</v>
      </c>
      <c r="D1643" s="11" t="s">
        <v>174</v>
      </c>
      <c r="E1643" s="11" t="s">
        <v>177</v>
      </c>
      <c r="F1643" s="11" t="s">
        <v>83</v>
      </c>
      <c r="G1643" s="12" t="n">
        <v>350</v>
      </c>
      <c r="H1643" s="12" t="n">
        <f aca="false">SUMPRODUCT(ПОТОКИ!B14:G14,ЧАСОВЫЕ_ПРОФИЛИ!B18:G18,КОЭФФИЦИЕНТЫ_ВЫБОРА!F31:K31)</f>
        <v>2.2518</v>
      </c>
      <c r="I1643" s="12" t="n">
        <f aca="false">SUMPRODUCT(ПОТОКИ!B14:G14,ЧАСОВЫЕ_ПРОФИЛИ!B18:G18,КОЭФФИЦИЕНТЫ_ВЫБОРА!F31:K31,ПАРАМЕТРЫ!$B$17:$G$17)</f>
        <v>2.47698</v>
      </c>
      <c r="J1643" s="12" t="n">
        <f aca="false">I1643*G1643/1000</f>
        <v>0.866943</v>
      </c>
      <c r="K1643" s="11" t="s">
        <v>217</v>
      </c>
      <c r="L1643" s="11" t="s">
        <v>19</v>
      </c>
      <c r="M1643" s="11" t="s">
        <v>145</v>
      </c>
    </row>
    <row r="1644" customFormat="false" ht="15" hidden="false" customHeight="false" outlineLevel="0" collapsed="false">
      <c r="A1644" s="11" t="s">
        <v>110</v>
      </c>
      <c r="B1644" s="11" t="s">
        <v>131</v>
      </c>
      <c r="C1644" s="11" t="n">
        <v>22</v>
      </c>
      <c r="D1644" s="11" t="s">
        <v>174</v>
      </c>
      <c r="E1644" s="11" t="s">
        <v>178</v>
      </c>
      <c r="F1644" s="11" t="s">
        <v>83</v>
      </c>
      <c r="G1644" s="12" t="n">
        <v>300</v>
      </c>
      <c r="H1644" s="12" t="n">
        <f aca="false">SUMPRODUCT(ПОТОКИ!B14:G14,ЧАСОВЫЕ_ПРОФИЛИ!B18:G18,КОЭФФИЦИЕНТЫ_ВЫБОРА!F32:K32)</f>
        <v>1.129</v>
      </c>
      <c r="I1644" s="12" t="n">
        <f aca="false">SUMPRODUCT(ПОТОКИ!B14:G14,ЧАСОВЫЕ_ПРОФИЛИ!B18:G18,КОЭФФИЦИЕНТЫ_ВЫБОРА!F32:K32,ПАРАМЕТРЫ!$B$17:$G$17)</f>
        <v>1.2419</v>
      </c>
      <c r="J1644" s="12" t="n">
        <f aca="false">I1644*G1644/1000</f>
        <v>0.37257</v>
      </c>
      <c r="K1644" s="11" t="s">
        <v>217</v>
      </c>
      <c r="L1644" s="11" t="s">
        <v>19</v>
      </c>
      <c r="M1644" s="11" t="s">
        <v>145</v>
      </c>
    </row>
    <row r="1645" customFormat="false" ht="15" hidden="false" customHeight="false" outlineLevel="0" collapsed="false">
      <c r="A1645" s="11" t="s">
        <v>110</v>
      </c>
      <c r="B1645" s="11" t="s">
        <v>131</v>
      </c>
      <c r="C1645" s="11" t="n">
        <v>23</v>
      </c>
      <c r="D1645" s="11" t="s">
        <v>86</v>
      </c>
      <c r="E1645" s="11" t="s">
        <v>179</v>
      </c>
      <c r="F1645" s="11" t="s">
        <v>85</v>
      </c>
      <c r="G1645" s="12" t="n">
        <v>150</v>
      </c>
      <c r="H1645" s="12" t="n">
        <f aca="false">SUMPRODUCT(ПОТОКИ!B14:G14,ЧАСОВЫЕ_ПРОФИЛИ!B18:G18,КОЭФФИЦИЕНТЫ_ВЫБОРА!F33:K33)</f>
        <v>1.757258</v>
      </c>
      <c r="I1645" s="12" t="n">
        <f aca="false">SUMPRODUCT(ПОТОКИ!B14:G14,ЧАСОВЫЕ_ПРОФИЛИ!B18:G18,КОЭФФИЦИЕНТЫ_ВЫБОРА!F33:K33,ПАРАМЕТРЫ!$B$17:$G$17)</f>
        <v>1.9329838</v>
      </c>
      <c r="J1645" s="12" t="n">
        <f aca="false">I1645*G1645/1000</f>
        <v>0.28994757</v>
      </c>
      <c r="K1645" s="11" t="s">
        <v>217</v>
      </c>
      <c r="L1645" s="11" t="s">
        <v>19</v>
      </c>
      <c r="M1645" s="11" t="s">
        <v>147</v>
      </c>
    </row>
    <row r="1646" customFormat="false" ht="15" hidden="false" customHeight="false" outlineLevel="0" collapsed="false">
      <c r="A1646" s="11" t="s">
        <v>110</v>
      </c>
      <c r="B1646" s="11" t="s">
        <v>131</v>
      </c>
      <c r="C1646" s="11" t="n">
        <v>24</v>
      </c>
      <c r="D1646" s="11" t="s">
        <v>86</v>
      </c>
      <c r="E1646" s="11" t="s">
        <v>180</v>
      </c>
      <c r="F1646" s="11" t="s">
        <v>85</v>
      </c>
      <c r="G1646" s="12" t="n">
        <v>150</v>
      </c>
      <c r="H1646" s="12" t="n">
        <f aca="false">SUMPRODUCT(ПОТОКИ!B14:G14,ЧАСОВЫЕ_ПРОФИЛИ!B18:G18,КОЭФФИЦИЕНТЫ_ВЫБОРА!F34:K34)</f>
        <v>0.738004</v>
      </c>
      <c r="I1646" s="12" t="n">
        <f aca="false">SUMPRODUCT(ПОТОКИ!B14:G14,ЧАСОВЫЕ_ПРОФИЛИ!B18:G18,КОЭФФИЦИЕНТЫ_ВЫБОРА!F34:K34,ПАРАМЕТРЫ!$B$17:$G$17)</f>
        <v>0.8118044</v>
      </c>
      <c r="J1646" s="12" t="n">
        <f aca="false">I1646*G1646/1000</f>
        <v>0.12177066</v>
      </c>
      <c r="K1646" s="11" t="s">
        <v>217</v>
      </c>
      <c r="L1646" s="11" t="s">
        <v>19</v>
      </c>
      <c r="M1646" s="11" t="s">
        <v>147</v>
      </c>
    </row>
    <row r="1647" customFormat="false" ht="15" hidden="false" customHeight="false" outlineLevel="0" collapsed="false">
      <c r="A1647" s="11" t="s">
        <v>110</v>
      </c>
      <c r="B1647" s="11" t="s">
        <v>131</v>
      </c>
      <c r="C1647" s="11" t="n">
        <v>25</v>
      </c>
      <c r="D1647" s="11" t="s">
        <v>86</v>
      </c>
      <c r="E1647" s="11" t="s">
        <v>181</v>
      </c>
      <c r="F1647" s="11" t="s">
        <v>85</v>
      </c>
      <c r="G1647" s="12" t="n">
        <v>150</v>
      </c>
      <c r="H1647" s="12" t="n">
        <f aca="false">SUMPRODUCT(ПОТОКИ!B14:G14,ЧАСОВЫЕ_ПРОФИЛИ!B18:G18,КОЭФФИЦИЕНТЫ_ВЫБОРА!F35:K35)</f>
        <v>1.194758</v>
      </c>
      <c r="I1647" s="12" t="n">
        <f aca="false">SUMPRODUCT(ПОТОКИ!B14:G14,ЧАСОВЫЕ_ПРОФИЛИ!B18:G18,КОЭФФИЦИЕНТЫ_ВЫБОРА!F35:K35,ПАРАМЕТРЫ!$B$17:$G$17)</f>
        <v>1.3142338</v>
      </c>
      <c r="J1647" s="12" t="n">
        <f aca="false">I1647*G1647/1000</f>
        <v>0.19713507</v>
      </c>
      <c r="K1647" s="11" t="s">
        <v>217</v>
      </c>
      <c r="L1647" s="11" t="s">
        <v>19</v>
      </c>
      <c r="M1647" s="11" t="s">
        <v>147</v>
      </c>
    </row>
    <row r="1648" customFormat="false" ht="23.85" hidden="false" customHeight="false" outlineLevel="0" collapsed="false">
      <c r="A1648" s="11" t="s">
        <v>110</v>
      </c>
      <c r="B1648" s="11" t="s">
        <v>131</v>
      </c>
      <c r="C1648" s="11" t="n">
        <v>26</v>
      </c>
      <c r="D1648" s="11" t="s">
        <v>89</v>
      </c>
      <c r="E1648" s="11" t="s">
        <v>182</v>
      </c>
      <c r="F1648" s="11" t="s">
        <v>88</v>
      </c>
      <c r="G1648" s="12" t="n">
        <v>225</v>
      </c>
      <c r="H1648" s="12" t="n">
        <f aca="false">SUMPRODUCT(ПОТОКИ!B14:G14,ЧАСОВЫЕ_ПРОФИЛИ!B18:G18,КОЭФФИЦИЕНТЫ_ВЫБОРА!F36:K36)</f>
        <v>0</v>
      </c>
      <c r="I1648" s="12" t="n">
        <f aca="false">SUMPRODUCT(ПОТОКИ!B14:G14,ЧАСОВЫЕ_ПРОФИЛИ!B18:G18,КОЭФФИЦИЕНТЫ_ВЫБОРА!F36:K36,ПАРАМЕТРЫ!$B$17:$G$17)</f>
        <v>0</v>
      </c>
      <c r="J1648" s="12" t="n">
        <f aca="false">I1648*G1648/1000</f>
        <v>0</v>
      </c>
      <c r="K1648" s="11" t="s">
        <v>217</v>
      </c>
      <c r="L1648" s="11" t="s">
        <v>19</v>
      </c>
      <c r="M1648" s="11" t="s">
        <v>145</v>
      </c>
    </row>
    <row r="1649" customFormat="false" ht="23.85" hidden="false" customHeight="false" outlineLevel="0" collapsed="false">
      <c r="A1649" s="11" t="s">
        <v>110</v>
      </c>
      <c r="B1649" s="11" t="s">
        <v>131</v>
      </c>
      <c r="C1649" s="11" t="n">
        <v>27</v>
      </c>
      <c r="D1649" s="11" t="s">
        <v>89</v>
      </c>
      <c r="E1649" s="11" t="s">
        <v>183</v>
      </c>
      <c r="F1649" s="11" t="s">
        <v>88</v>
      </c>
      <c r="G1649" s="12" t="n">
        <v>265</v>
      </c>
      <c r="H1649" s="12" t="n">
        <f aca="false">SUMPRODUCT(ПОТОКИ!B14:G14,ЧАСОВЫЕ_ПРОФИЛИ!B18:G18,КОЭФФИЦИЕНТЫ_ВЫБОРА!F37:K37)</f>
        <v>0</v>
      </c>
      <c r="I1649" s="12" t="n">
        <f aca="false">SUMPRODUCT(ПОТОКИ!B14:G14,ЧАСОВЫЕ_ПРОФИЛИ!B18:G18,КОЭФФИЦИЕНТЫ_ВЫБОРА!F37:K37,ПАРАМЕТРЫ!$B$17:$G$17)</f>
        <v>0</v>
      </c>
      <c r="J1649" s="12" t="n">
        <f aca="false">I1649*G1649/1000</f>
        <v>0</v>
      </c>
      <c r="K1649" s="11" t="s">
        <v>217</v>
      </c>
      <c r="L1649" s="11" t="s">
        <v>19</v>
      </c>
      <c r="M1649" s="11" t="s">
        <v>145</v>
      </c>
    </row>
    <row r="1650" customFormat="false" ht="23.85" hidden="false" customHeight="false" outlineLevel="0" collapsed="false">
      <c r="A1650" s="11" t="s">
        <v>110</v>
      </c>
      <c r="B1650" s="11" t="s">
        <v>131</v>
      </c>
      <c r="C1650" s="11" t="n">
        <v>28</v>
      </c>
      <c r="D1650" s="11" t="s">
        <v>89</v>
      </c>
      <c r="E1650" s="11" t="s">
        <v>184</v>
      </c>
      <c r="F1650" s="11" t="s">
        <v>88</v>
      </c>
      <c r="G1650" s="12" t="n">
        <v>355</v>
      </c>
      <c r="H1650" s="12" t="n">
        <f aca="false">SUMPRODUCT(ПОТОКИ!B14:G14,ЧАСОВЫЕ_ПРОФИЛИ!B18:G18,КОЭФФИЦИЕНТЫ_ВЫБОРА!F38:K38)</f>
        <v>0</v>
      </c>
      <c r="I1650" s="12" t="n">
        <f aca="false">SUMPRODUCT(ПОТОКИ!B14:G14,ЧАСОВЫЕ_ПРОФИЛИ!B18:G18,КОЭФФИЦИЕНТЫ_ВЫБОРА!F38:K38,ПАРАМЕТРЫ!$B$17:$G$17)</f>
        <v>0</v>
      </c>
      <c r="J1650" s="12" t="n">
        <f aca="false">I1650*G1650/1000</f>
        <v>0</v>
      </c>
      <c r="K1650" s="11" t="s">
        <v>217</v>
      </c>
      <c r="L1650" s="11" t="s">
        <v>19</v>
      </c>
      <c r="M1650" s="11" t="s">
        <v>145</v>
      </c>
    </row>
    <row r="1651" customFormat="false" ht="15" hidden="false" customHeight="false" outlineLevel="0" collapsed="false">
      <c r="A1651" s="11" t="s">
        <v>110</v>
      </c>
      <c r="B1651" s="11" t="s">
        <v>131</v>
      </c>
      <c r="C1651" s="11" t="n">
        <v>29</v>
      </c>
      <c r="D1651" s="11" t="s">
        <v>92</v>
      </c>
      <c r="E1651" s="11" t="s">
        <v>185</v>
      </c>
      <c r="F1651" s="11" t="s">
        <v>91</v>
      </c>
      <c r="G1651" s="12" t="n">
        <v>150</v>
      </c>
      <c r="H1651" s="12" t="n">
        <f aca="false">SUMPRODUCT(ПОТОКИ!B14:G14,ЧАСОВЫЕ_ПРОФИЛИ!B18:G18,КОЭФФИЦИЕНТЫ_ВЫБОРА!F39:K39)</f>
        <v>0.2784</v>
      </c>
      <c r="I1651" s="12" t="n">
        <f aca="false">SUMPRODUCT(ПОТОКИ!B14:G14,ЧАСОВЫЕ_ПРОФИЛИ!B18:G18,КОЭФФИЦИЕНТЫ_ВЫБОРА!F39:K39,ПАРАМЕТРЫ!$B$17:$G$17)</f>
        <v>0.30624</v>
      </c>
      <c r="J1651" s="12" t="n">
        <f aca="false">I1651*G1651/1000</f>
        <v>0.045936</v>
      </c>
      <c r="K1651" s="11" t="s">
        <v>217</v>
      </c>
      <c r="L1651" s="11" t="s">
        <v>19</v>
      </c>
      <c r="M1651" s="11" t="s">
        <v>145</v>
      </c>
    </row>
    <row r="1652" customFormat="false" ht="15" hidden="false" customHeight="false" outlineLevel="0" collapsed="false">
      <c r="A1652" s="11" t="s">
        <v>110</v>
      </c>
      <c r="B1652" s="11" t="s">
        <v>131</v>
      </c>
      <c r="C1652" s="11" t="n">
        <v>30</v>
      </c>
      <c r="D1652" s="11" t="s">
        <v>92</v>
      </c>
      <c r="E1652" s="11" t="s">
        <v>186</v>
      </c>
      <c r="F1652" s="11" t="s">
        <v>91</v>
      </c>
      <c r="G1652" s="12" t="n">
        <v>120</v>
      </c>
      <c r="H1652" s="12" t="n">
        <f aca="false">SUMPRODUCT(ПОТОКИ!B14:G14,ЧАСОВЫЕ_ПРОФИЛИ!B18:G18,КОЭФФИЦИЕНТЫ_ВЫБОРА!F40:K40)</f>
        <v>0.2784</v>
      </c>
      <c r="I1652" s="12" t="n">
        <f aca="false">SUMPRODUCT(ПОТОКИ!B14:G14,ЧАСОВЫЕ_ПРОФИЛИ!B18:G18,КОЭФФИЦИЕНТЫ_ВЫБОРА!F40:K40,ПАРАМЕТРЫ!$B$17:$G$17)</f>
        <v>0.30624</v>
      </c>
      <c r="J1652" s="12" t="n">
        <f aca="false">I1652*G1652/1000</f>
        <v>0.0367488</v>
      </c>
      <c r="K1652" s="11" t="s">
        <v>217</v>
      </c>
      <c r="L1652" s="11" t="s">
        <v>19</v>
      </c>
      <c r="M1652" s="11" t="s">
        <v>145</v>
      </c>
    </row>
    <row r="1653" customFormat="false" ht="15" hidden="false" customHeight="false" outlineLevel="0" collapsed="false">
      <c r="A1653" s="11" t="s">
        <v>110</v>
      </c>
      <c r="B1653" s="11" t="s">
        <v>131</v>
      </c>
      <c r="C1653" s="11" t="n">
        <v>31</v>
      </c>
      <c r="D1653" s="11" t="s">
        <v>92</v>
      </c>
      <c r="E1653" s="11" t="s">
        <v>187</v>
      </c>
      <c r="F1653" s="11" t="s">
        <v>91</v>
      </c>
      <c r="G1653" s="12" t="n">
        <v>60</v>
      </c>
      <c r="H1653" s="12" t="n">
        <f aca="false">SUMPRODUCT(ПОТОКИ!B14:G14,ЧАСОВЫЕ_ПРОФИЛИ!B18:G18,КОЭФФИЦИЕНТЫ_ВЫБОРА!F41:K41)</f>
        <v>0.2592</v>
      </c>
      <c r="I1653" s="12" t="n">
        <f aca="false">SUMPRODUCT(ПОТОКИ!B14:G14,ЧАСОВЫЕ_ПРОФИЛИ!B18:G18,КОЭФФИЦИЕНТЫ_ВЫБОРА!F41:K41,ПАРАМЕТРЫ!$B$17:$G$17)</f>
        <v>0.28512</v>
      </c>
      <c r="J1653" s="12" t="n">
        <f aca="false">I1653*G1653/1000</f>
        <v>0.0171072</v>
      </c>
      <c r="K1653" s="11" t="s">
        <v>217</v>
      </c>
      <c r="L1653" s="11" t="s">
        <v>19</v>
      </c>
      <c r="M1653" s="11" t="s">
        <v>145</v>
      </c>
    </row>
    <row r="1654" customFormat="false" ht="15" hidden="false" customHeight="false" outlineLevel="0" collapsed="false">
      <c r="A1654" s="11" t="s">
        <v>110</v>
      </c>
      <c r="B1654" s="11" t="s">
        <v>132</v>
      </c>
      <c r="C1654" s="11" t="n">
        <v>1</v>
      </c>
      <c r="D1654" s="11" t="s">
        <v>74</v>
      </c>
      <c r="E1654" s="11" t="s">
        <v>153</v>
      </c>
      <c r="F1654" s="11" t="s">
        <v>73</v>
      </c>
      <c r="G1654" s="12" t="n">
        <v>450</v>
      </c>
      <c r="H1654" s="12" t="n">
        <f aca="false">SUMPRODUCT(ПОТОКИ!B14:G14,ЧАСОВЫЕ_ПРОФИЛИ!B19:G19,КОЭФФИЦИЕНТЫ_ВЫБОРА!F11:K11)</f>
        <v>0.1524</v>
      </c>
      <c r="I1654" s="12" t="n">
        <f aca="false">SUMPRODUCT(ПОТОКИ!B14:G14,ЧАСОВЫЕ_ПРОФИЛИ!B19:G19,КОЭФФИЦИЕНТЫ_ВЫБОРА!F11:K11,ПАРАМЕТРЫ!$B$17:$G$17)</f>
        <v>0.16764</v>
      </c>
      <c r="J1654" s="12" t="n">
        <f aca="false">I1654*G1654/1000</f>
        <v>0.075438</v>
      </c>
      <c r="K1654" s="11" t="s">
        <v>217</v>
      </c>
      <c r="L1654" s="11" t="s">
        <v>19</v>
      </c>
      <c r="M1654" s="11" t="s">
        <v>145</v>
      </c>
    </row>
    <row r="1655" customFormat="false" ht="15" hidden="false" customHeight="false" outlineLevel="0" collapsed="false">
      <c r="A1655" s="11" t="s">
        <v>110</v>
      </c>
      <c r="B1655" s="11" t="s">
        <v>132</v>
      </c>
      <c r="C1655" s="11" t="n">
        <v>2</v>
      </c>
      <c r="D1655" s="11" t="s">
        <v>74</v>
      </c>
      <c r="E1655" s="11" t="s">
        <v>154</v>
      </c>
      <c r="F1655" s="11" t="s">
        <v>73</v>
      </c>
      <c r="G1655" s="12" t="n">
        <v>480</v>
      </c>
      <c r="H1655" s="12" t="n">
        <f aca="false">SUMPRODUCT(ПОТОКИ!B14:G14,ЧАСОВЫЕ_ПРОФИЛИ!B19:G19,КОЭФФИЦИЕНТЫ_ВЫБОРА!F12:K12)</f>
        <v>0.2042</v>
      </c>
      <c r="I1655" s="12" t="n">
        <f aca="false">SUMPRODUCT(ПОТОКИ!B14:G14,ЧАСОВЫЕ_ПРОФИЛИ!B19:G19,КОЭФФИЦИЕНТЫ_ВЫБОРА!F12:K12,ПАРАМЕТРЫ!$B$17:$G$17)</f>
        <v>0.22462</v>
      </c>
      <c r="J1655" s="12" t="n">
        <f aca="false">I1655*G1655/1000</f>
        <v>0.1078176</v>
      </c>
      <c r="K1655" s="11" t="s">
        <v>217</v>
      </c>
      <c r="L1655" s="11" t="s">
        <v>19</v>
      </c>
      <c r="M1655" s="11" t="s">
        <v>145</v>
      </c>
    </row>
    <row r="1656" customFormat="false" ht="15" hidden="false" customHeight="false" outlineLevel="0" collapsed="false">
      <c r="A1656" s="11" t="s">
        <v>110</v>
      </c>
      <c r="B1656" s="11" t="s">
        <v>132</v>
      </c>
      <c r="C1656" s="11" t="n">
        <v>3</v>
      </c>
      <c r="D1656" s="11" t="s">
        <v>74</v>
      </c>
      <c r="E1656" s="11" t="s">
        <v>155</v>
      </c>
      <c r="F1656" s="11" t="s">
        <v>73</v>
      </c>
      <c r="G1656" s="12" t="n">
        <v>500</v>
      </c>
      <c r="H1656" s="12" t="n">
        <f aca="false">SUMPRODUCT(ПОТОКИ!B14:G14,ЧАСОВЫЕ_ПРОФИЛИ!B19:G19,КОЭФФИЦИЕНТЫ_ВЫБОРА!F13:K13)</f>
        <v>0.3438</v>
      </c>
      <c r="I1656" s="12" t="n">
        <f aca="false">SUMPRODUCT(ПОТОКИ!B14:G14,ЧАСОВЫЕ_ПРОФИЛИ!B19:G19,КОЭФФИЦИЕНТЫ_ВЫБОРА!F13:K13,ПАРАМЕТРЫ!$B$17:$G$17)</f>
        <v>0.37818</v>
      </c>
      <c r="J1656" s="12" t="n">
        <f aca="false">I1656*G1656/1000</f>
        <v>0.18909</v>
      </c>
      <c r="K1656" s="11" t="s">
        <v>217</v>
      </c>
      <c r="L1656" s="11" t="s">
        <v>19</v>
      </c>
      <c r="M1656" s="11" t="s">
        <v>145</v>
      </c>
    </row>
    <row r="1657" customFormat="false" ht="15" hidden="false" customHeight="false" outlineLevel="0" collapsed="false">
      <c r="A1657" s="11" t="s">
        <v>110</v>
      </c>
      <c r="B1657" s="11" t="s">
        <v>132</v>
      </c>
      <c r="C1657" s="11" t="n">
        <v>4</v>
      </c>
      <c r="D1657" s="11" t="s">
        <v>74</v>
      </c>
      <c r="E1657" s="11" t="s">
        <v>156</v>
      </c>
      <c r="F1657" s="11" t="s">
        <v>73</v>
      </c>
      <c r="G1657" s="12" t="n">
        <v>500</v>
      </c>
      <c r="H1657" s="12" t="n">
        <f aca="false">SUMPRODUCT(ПОТОКИ!B14:G14,ЧАСОВЫЕ_ПРОФИЛИ!B19:G19,КОЭФФИЦИЕНТЫ_ВЫБОРА!F14:K14)</f>
        <v>0.3956</v>
      </c>
      <c r="I1657" s="12" t="n">
        <f aca="false">SUMPRODUCT(ПОТОКИ!B14:G14,ЧАСОВЫЕ_ПРОФИЛИ!B19:G19,КОЭФФИЦИЕНТЫ_ВЫБОРА!F14:K14,ПАРАМЕТРЫ!$B$17:$G$17)</f>
        <v>0.43516</v>
      </c>
      <c r="J1657" s="12" t="n">
        <f aca="false">I1657*G1657/1000</f>
        <v>0.21758</v>
      </c>
      <c r="K1657" s="11" t="s">
        <v>217</v>
      </c>
      <c r="L1657" s="11" t="s">
        <v>19</v>
      </c>
      <c r="M1657" s="11" t="s">
        <v>145</v>
      </c>
    </row>
    <row r="1658" customFormat="false" ht="15" hidden="false" customHeight="false" outlineLevel="0" collapsed="false">
      <c r="A1658" s="11" t="s">
        <v>110</v>
      </c>
      <c r="B1658" s="11" t="s">
        <v>132</v>
      </c>
      <c r="C1658" s="11" t="n">
        <v>5</v>
      </c>
      <c r="D1658" s="11" t="s">
        <v>78</v>
      </c>
      <c r="E1658" s="11" t="s">
        <v>157</v>
      </c>
      <c r="F1658" s="11" t="s">
        <v>77</v>
      </c>
      <c r="G1658" s="12" t="n">
        <v>100</v>
      </c>
      <c r="H1658" s="12" t="n">
        <f aca="false">SUMPRODUCT(ПОТОКИ!B14:G14,ЧАСОВЫЕ_ПРОФИЛИ!B19:G19,КОЭФФИЦИЕНТЫ_ВЫБОРА!F15:K15)</f>
        <v>0.4332</v>
      </c>
      <c r="I1658" s="12" t="n">
        <f aca="false">SUMPRODUCT(ПОТОКИ!B14:G14,ЧАСОВЫЕ_ПРОФИЛИ!B19:G19,КОЭФФИЦИЕНТЫ_ВЫБОРА!F15:K15,ПАРАМЕТРЫ!$B$17:$G$17)</f>
        <v>0.47652</v>
      </c>
      <c r="J1658" s="12" t="n">
        <f aca="false">I1658*G1658/1000</f>
        <v>0.047652</v>
      </c>
      <c r="K1658" s="11" t="s">
        <v>217</v>
      </c>
      <c r="L1658" s="11" t="s">
        <v>19</v>
      </c>
      <c r="M1658" s="11" t="s">
        <v>147</v>
      </c>
    </row>
    <row r="1659" customFormat="false" ht="15" hidden="false" customHeight="false" outlineLevel="0" collapsed="false">
      <c r="A1659" s="11" t="s">
        <v>110</v>
      </c>
      <c r="B1659" s="11" t="s">
        <v>132</v>
      </c>
      <c r="C1659" s="11" t="n">
        <v>6</v>
      </c>
      <c r="D1659" s="11" t="s">
        <v>78</v>
      </c>
      <c r="E1659" s="11" t="s">
        <v>158</v>
      </c>
      <c r="F1659" s="11" t="s">
        <v>77</v>
      </c>
      <c r="G1659" s="12" t="n">
        <v>100</v>
      </c>
      <c r="H1659" s="12" t="n">
        <f aca="false">SUMPRODUCT(ПОТОКИ!B14:G14,ЧАСОВЫЕ_ПРОФИЛИ!B19:G19,КОЭФФИЦИЕНТЫ_ВЫБОРА!F16:K16)</f>
        <v>0.4104</v>
      </c>
      <c r="I1659" s="12" t="n">
        <f aca="false">SUMPRODUCT(ПОТОКИ!B14:G14,ЧАСОВЫЕ_ПРОФИЛИ!B19:G19,КОЭФФИЦИЕНТЫ_ВЫБОРА!F16:K16,ПАРАМЕТРЫ!$B$17:$G$17)</f>
        <v>0.45144</v>
      </c>
      <c r="J1659" s="12" t="n">
        <f aca="false">I1659*G1659/1000</f>
        <v>0.045144</v>
      </c>
      <c r="K1659" s="11" t="s">
        <v>217</v>
      </c>
      <c r="L1659" s="11" t="s">
        <v>19</v>
      </c>
      <c r="M1659" s="11" t="s">
        <v>147</v>
      </c>
    </row>
    <row r="1660" customFormat="false" ht="15" hidden="false" customHeight="false" outlineLevel="0" collapsed="false">
      <c r="A1660" s="11" t="s">
        <v>110</v>
      </c>
      <c r="B1660" s="11" t="s">
        <v>132</v>
      </c>
      <c r="C1660" s="11" t="n">
        <v>7</v>
      </c>
      <c r="D1660" s="11" t="s">
        <v>78</v>
      </c>
      <c r="E1660" s="11" t="s">
        <v>159</v>
      </c>
      <c r="F1660" s="11" t="s">
        <v>77</v>
      </c>
      <c r="G1660" s="12" t="n">
        <v>350</v>
      </c>
      <c r="H1660" s="12" t="n">
        <f aca="false">SUMPRODUCT(ПОТОКИ!B14:G14,ЧАСОВЫЕ_ПРОФИЛИ!B19:G19,КОЭФФИЦИЕНТЫ_ВЫБОРА!F17:K17)</f>
        <v>0.3534</v>
      </c>
      <c r="I1660" s="12" t="n">
        <f aca="false">SUMPRODUCT(ПОТОКИ!B14:G14,ЧАСОВЫЕ_ПРОФИЛИ!B19:G19,КОЭФФИЦИЕНТЫ_ВЫБОРА!F17:K17,ПАРАМЕТРЫ!$B$17:$G$17)</f>
        <v>0.38874</v>
      </c>
      <c r="J1660" s="12" t="n">
        <f aca="false">I1660*G1660/1000</f>
        <v>0.136059</v>
      </c>
      <c r="K1660" s="11" t="s">
        <v>217</v>
      </c>
      <c r="L1660" s="11" t="s">
        <v>19</v>
      </c>
      <c r="M1660" s="11" t="s">
        <v>147</v>
      </c>
    </row>
    <row r="1661" customFormat="false" ht="15" hidden="false" customHeight="false" outlineLevel="0" collapsed="false">
      <c r="A1661" s="11" t="s">
        <v>110</v>
      </c>
      <c r="B1661" s="11" t="s">
        <v>132</v>
      </c>
      <c r="C1661" s="11" t="n">
        <v>8</v>
      </c>
      <c r="D1661" s="11" t="s">
        <v>78</v>
      </c>
      <c r="E1661" s="11" t="s">
        <v>160</v>
      </c>
      <c r="F1661" s="11" t="s">
        <v>77</v>
      </c>
      <c r="G1661" s="12" t="n">
        <v>85</v>
      </c>
      <c r="H1661" s="12" t="n">
        <f aca="false">SUMPRODUCT(ПОТОКИ!B14:G14,ЧАСОВЫЕ_ПРОФИЛИ!B19:G19,КОЭФФИЦИЕНТЫ_ВЫБОРА!F18:K18)</f>
        <v>0.2166</v>
      </c>
      <c r="I1661" s="12" t="n">
        <f aca="false">SUMPRODUCT(ПОТОКИ!B14:G14,ЧАСОВЫЕ_ПРОФИЛИ!B19:G19,КОЭФФИЦИЕНТЫ_ВЫБОРА!F18:K18,ПАРАМЕТРЫ!$B$17:$G$17)</f>
        <v>0.23826</v>
      </c>
      <c r="J1661" s="12" t="n">
        <f aca="false">I1661*G1661/1000</f>
        <v>0.0202521</v>
      </c>
      <c r="K1661" s="11" t="s">
        <v>217</v>
      </c>
      <c r="L1661" s="11" t="s">
        <v>19</v>
      </c>
      <c r="M1661" s="11" t="s">
        <v>147</v>
      </c>
    </row>
    <row r="1662" customFormat="false" ht="15" hidden="false" customHeight="false" outlineLevel="0" collapsed="false">
      <c r="A1662" s="11" t="s">
        <v>110</v>
      </c>
      <c r="B1662" s="11" t="s">
        <v>132</v>
      </c>
      <c r="C1662" s="11" t="n">
        <v>9</v>
      </c>
      <c r="D1662" s="11" t="s">
        <v>161</v>
      </c>
      <c r="E1662" s="11" t="s">
        <v>162</v>
      </c>
      <c r="F1662" s="11" t="s">
        <v>80</v>
      </c>
      <c r="G1662" s="12" t="n">
        <v>300</v>
      </c>
      <c r="H1662" s="12" t="n">
        <f aca="false">SUMPRODUCT(ПОТОКИ!B14:G14,ЧАСОВЫЕ_ПРОФИЛИ!B19:G19,КОЭФФИЦИЕНТЫ_ВЫБОРА!F19:K19)</f>
        <v>0.164</v>
      </c>
      <c r="I1662" s="12" t="n">
        <f aca="false">SUMPRODUCT(ПОТОКИ!B14:G14,ЧАСОВЫЕ_ПРОФИЛИ!B19:G19,КОЭФФИЦИЕНТЫ_ВЫБОРА!F19:K19,ПАРАМЕТРЫ!$B$17:$G$17)</f>
        <v>0.1804</v>
      </c>
      <c r="J1662" s="12" t="n">
        <f aca="false">I1662*G1662/1000</f>
        <v>0.05412</v>
      </c>
      <c r="K1662" s="11" t="s">
        <v>217</v>
      </c>
      <c r="L1662" s="11" t="s">
        <v>19</v>
      </c>
      <c r="M1662" s="11" t="s">
        <v>145</v>
      </c>
    </row>
    <row r="1663" customFormat="false" ht="15" hidden="false" customHeight="false" outlineLevel="0" collapsed="false">
      <c r="A1663" s="11" t="s">
        <v>110</v>
      </c>
      <c r="B1663" s="11" t="s">
        <v>132</v>
      </c>
      <c r="C1663" s="11" t="n">
        <v>10</v>
      </c>
      <c r="D1663" s="11" t="s">
        <v>161</v>
      </c>
      <c r="E1663" s="11" t="s">
        <v>163</v>
      </c>
      <c r="F1663" s="11" t="s">
        <v>80</v>
      </c>
      <c r="G1663" s="12" t="n">
        <v>280</v>
      </c>
      <c r="H1663" s="12" t="n">
        <f aca="false">SUMPRODUCT(ПОТОКИ!B14:G14,ЧАСОВЫЕ_ПРОФИЛИ!B19:G19,КОЭФФИЦИЕНТЫ_ВЫБОРА!F20:K20)</f>
        <v>0.232</v>
      </c>
      <c r="I1663" s="12" t="n">
        <f aca="false">SUMPRODUCT(ПОТОКИ!B14:G14,ЧАСОВЫЕ_ПРОФИЛИ!B19:G19,КОЭФФИЦИЕНТЫ_ВЫБОРА!F20:K20,ПАРАМЕТРЫ!$B$17:$G$17)</f>
        <v>0.2552</v>
      </c>
      <c r="J1663" s="12" t="n">
        <f aca="false">I1663*G1663/1000</f>
        <v>0.071456</v>
      </c>
      <c r="K1663" s="11" t="s">
        <v>217</v>
      </c>
      <c r="L1663" s="11" t="s">
        <v>19</v>
      </c>
      <c r="M1663" s="11" t="s">
        <v>145</v>
      </c>
    </row>
    <row r="1664" customFormat="false" ht="15" hidden="false" customHeight="false" outlineLevel="0" collapsed="false">
      <c r="A1664" s="11" t="s">
        <v>110</v>
      </c>
      <c r="B1664" s="11" t="s">
        <v>132</v>
      </c>
      <c r="C1664" s="11" t="n">
        <v>11</v>
      </c>
      <c r="D1664" s="11" t="s">
        <v>161</v>
      </c>
      <c r="E1664" s="11" t="s">
        <v>164</v>
      </c>
      <c r="F1664" s="11" t="s">
        <v>80</v>
      </c>
      <c r="G1664" s="12" t="n">
        <v>270</v>
      </c>
      <c r="H1664" s="12" t="n">
        <f aca="false">SUMPRODUCT(ПОТОКИ!B14:G14,ЧАСОВЫЕ_ПРОФИЛИ!B19:G19,КОЭФФИЦИЕНТЫ_ВЫБОРА!F21:K21)</f>
        <v>0.4154</v>
      </c>
      <c r="I1664" s="12" t="n">
        <f aca="false">SUMPRODUCT(ПОТОКИ!B14:G14,ЧАСОВЫЕ_ПРОФИЛИ!B19:G19,КОЭФФИЦИЕНТЫ_ВЫБОРА!F21:K21,ПАРАМЕТРЫ!$B$17:$G$17)</f>
        <v>0.45694</v>
      </c>
      <c r="J1664" s="12" t="n">
        <f aca="false">I1664*G1664/1000</f>
        <v>0.1233738</v>
      </c>
      <c r="K1664" s="11" t="s">
        <v>217</v>
      </c>
      <c r="L1664" s="11" t="s">
        <v>19</v>
      </c>
      <c r="M1664" s="11" t="s">
        <v>145</v>
      </c>
    </row>
    <row r="1665" customFormat="false" ht="15" hidden="false" customHeight="false" outlineLevel="0" collapsed="false">
      <c r="A1665" s="11" t="s">
        <v>110</v>
      </c>
      <c r="B1665" s="11" t="s">
        <v>132</v>
      </c>
      <c r="C1665" s="11" t="n">
        <v>12</v>
      </c>
      <c r="D1665" s="11" t="s">
        <v>161</v>
      </c>
      <c r="E1665" s="11" t="s">
        <v>165</v>
      </c>
      <c r="F1665" s="11" t="s">
        <v>80</v>
      </c>
      <c r="G1665" s="12" t="n">
        <v>240</v>
      </c>
      <c r="H1665" s="12" t="n">
        <f aca="false">SUMPRODUCT(ПОТОКИ!B14:G14,ЧАСОВЫЕ_ПРОФИЛИ!B19:G19,КОЭФФИЦИЕНТЫ_ВЫБОРА!F22:K22)</f>
        <v>0.2526</v>
      </c>
      <c r="I1665" s="12" t="n">
        <f aca="false">SUMPRODUCT(ПОТОКИ!B14:G14,ЧАСОВЫЕ_ПРОФИЛИ!B19:G19,КОЭФФИЦИЕНТЫ_ВЫБОРА!F22:K22,ПАРАМЕТРЫ!$B$17:$G$17)</f>
        <v>0.27786</v>
      </c>
      <c r="J1665" s="12" t="n">
        <f aca="false">I1665*G1665/1000</f>
        <v>0.0666864</v>
      </c>
      <c r="K1665" s="11" t="s">
        <v>217</v>
      </c>
      <c r="L1665" s="11" t="s">
        <v>19</v>
      </c>
      <c r="M1665" s="11" t="s">
        <v>145</v>
      </c>
    </row>
    <row r="1666" customFormat="false" ht="15" hidden="false" customHeight="false" outlineLevel="0" collapsed="false">
      <c r="A1666" s="11" t="s">
        <v>110</v>
      </c>
      <c r="B1666" s="11" t="s">
        <v>132</v>
      </c>
      <c r="C1666" s="11" t="n">
        <v>13</v>
      </c>
      <c r="D1666" s="11" t="s">
        <v>166</v>
      </c>
      <c r="E1666" s="11" t="s">
        <v>167</v>
      </c>
      <c r="F1666" s="11" t="s">
        <v>80</v>
      </c>
      <c r="G1666" s="12" t="n">
        <v>130</v>
      </c>
      <c r="H1666" s="12" t="n">
        <f aca="false">SUMPRODUCT(ПОТОКИ!B14:G14,ЧАСОВЫЕ_ПРОФИЛИ!B19:G19,КОЭФФИЦИЕНТЫ_ВЫБОРА!F23:K23)</f>
        <v>0.084</v>
      </c>
      <c r="I1666" s="12" t="n">
        <f aca="false">SUMPRODUCT(ПОТОКИ!B14:G14,ЧАСОВЫЕ_ПРОФИЛИ!B19:G19,КОЭФФИЦИЕНТЫ_ВЫБОРА!F23:K23,ПАРАМЕТРЫ!$B$17:$G$17)</f>
        <v>0.0924</v>
      </c>
      <c r="J1666" s="12" t="n">
        <f aca="false">I1666*G1666/1000</f>
        <v>0.012012</v>
      </c>
      <c r="K1666" s="11" t="s">
        <v>217</v>
      </c>
      <c r="L1666" s="11" t="s">
        <v>19</v>
      </c>
      <c r="M1666" s="11" t="s">
        <v>145</v>
      </c>
    </row>
    <row r="1667" customFormat="false" ht="15" hidden="false" customHeight="false" outlineLevel="0" collapsed="false">
      <c r="A1667" s="11" t="s">
        <v>110</v>
      </c>
      <c r="B1667" s="11" t="s">
        <v>132</v>
      </c>
      <c r="C1667" s="11" t="n">
        <v>14</v>
      </c>
      <c r="D1667" s="11" t="s">
        <v>166</v>
      </c>
      <c r="E1667" s="11" t="s">
        <v>168</v>
      </c>
      <c r="F1667" s="11" t="s">
        <v>80</v>
      </c>
      <c r="G1667" s="12" t="n">
        <v>250</v>
      </c>
      <c r="H1667" s="12" t="n">
        <f aca="false">SUMPRODUCT(ПОТОКИ!B14:G14,ЧАСОВЫЕ_ПРОФИЛИ!B19:G19,КОЭФФИЦИЕНТЫ_ВЫБОРА!F24:K24)</f>
        <v>0.0884</v>
      </c>
      <c r="I1667" s="12" t="n">
        <f aca="false">SUMPRODUCT(ПОТОКИ!B14:G14,ЧАСОВЫЕ_ПРОФИЛИ!B19:G19,КОЭФФИЦИЕНТЫ_ВЫБОРА!F24:K24,ПАРАМЕТРЫ!$B$17:$G$17)</f>
        <v>0.09724</v>
      </c>
      <c r="J1667" s="12" t="n">
        <f aca="false">I1667*G1667/1000</f>
        <v>0.02431</v>
      </c>
      <c r="K1667" s="11" t="s">
        <v>217</v>
      </c>
      <c r="L1667" s="11" t="s">
        <v>19</v>
      </c>
      <c r="M1667" s="11" t="s">
        <v>145</v>
      </c>
    </row>
    <row r="1668" customFormat="false" ht="15" hidden="false" customHeight="false" outlineLevel="0" collapsed="false">
      <c r="A1668" s="11" t="s">
        <v>110</v>
      </c>
      <c r="B1668" s="11" t="s">
        <v>132</v>
      </c>
      <c r="C1668" s="11" t="n">
        <v>15</v>
      </c>
      <c r="D1668" s="11" t="s">
        <v>166</v>
      </c>
      <c r="E1668" s="11" t="s">
        <v>169</v>
      </c>
      <c r="F1668" s="11" t="s">
        <v>80</v>
      </c>
      <c r="G1668" s="12" t="n">
        <v>120</v>
      </c>
      <c r="H1668" s="12" t="n">
        <f aca="false">SUMPRODUCT(ПОТОКИ!B14:G14,ЧАСОВЫЕ_ПРОФИЛИ!B19:G19,КОЭФФИЦИЕНТЫ_ВЫБОРА!F25:K25)</f>
        <v>0.0584</v>
      </c>
      <c r="I1668" s="12" t="n">
        <f aca="false">SUMPRODUCT(ПОТОКИ!B14:G14,ЧАСОВЫЕ_ПРОФИЛИ!B19:G19,КОЭФФИЦИЕНТЫ_ВЫБОРА!F25:K25,ПАРАМЕТРЫ!$B$17:$G$17)</f>
        <v>0.06424</v>
      </c>
      <c r="J1668" s="12" t="n">
        <f aca="false">I1668*G1668/1000</f>
        <v>0.0077088</v>
      </c>
      <c r="K1668" s="11" t="s">
        <v>217</v>
      </c>
      <c r="L1668" s="11" t="s">
        <v>19</v>
      </c>
      <c r="M1668" s="11" t="s">
        <v>145</v>
      </c>
    </row>
    <row r="1669" customFormat="false" ht="15" hidden="false" customHeight="false" outlineLevel="0" collapsed="false">
      <c r="A1669" s="11" t="s">
        <v>110</v>
      </c>
      <c r="B1669" s="11" t="s">
        <v>132</v>
      </c>
      <c r="C1669" s="11" t="n">
        <v>16</v>
      </c>
      <c r="D1669" s="11" t="s">
        <v>166</v>
      </c>
      <c r="E1669" s="11" t="s">
        <v>170</v>
      </c>
      <c r="F1669" s="11" t="s">
        <v>80</v>
      </c>
      <c r="G1669" s="12" t="n">
        <v>180</v>
      </c>
      <c r="H1669" s="12" t="n">
        <f aca="false">SUMPRODUCT(ПОТОКИ!B14:G14,ЧАСОВЫЕ_ПРОФИЛИ!B19:G19,КОЭФФИЦИЕНТЫ_ВЫБОРА!F26:K26)</f>
        <v>0.1212</v>
      </c>
      <c r="I1669" s="12" t="n">
        <f aca="false">SUMPRODUCT(ПОТОКИ!B14:G14,ЧАСОВЫЕ_ПРОФИЛИ!B19:G19,КОЭФФИЦИЕНТЫ_ВЫБОРА!F26:K26,ПАРАМЕТРЫ!$B$17:$G$17)</f>
        <v>0.13332</v>
      </c>
      <c r="J1669" s="12" t="n">
        <f aca="false">I1669*G1669/1000</f>
        <v>0.0239976</v>
      </c>
      <c r="K1669" s="11" t="s">
        <v>217</v>
      </c>
      <c r="L1669" s="11" t="s">
        <v>19</v>
      </c>
      <c r="M1669" s="11" t="s">
        <v>145</v>
      </c>
    </row>
    <row r="1670" customFormat="false" ht="15" hidden="false" customHeight="false" outlineLevel="0" collapsed="false">
      <c r="A1670" s="11" t="s">
        <v>110</v>
      </c>
      <c r="B1670" s="11" t="s">
        <v>132</v>
      </c>
      <c r="C1670" s="11" t="n">
        <v>17</v>
      </c>
      <c r="D1670" s="11" t="s">
        <v>166</v>
      </c>
      <c r="E1670" s="11" t="s">
        <v>171</v>
      </c>
      <c r="F1670" s="11" t="s">
        <v>80</v>
      </c>
      <c r="G1670" s="12" t="n">
        <v>180</v>
      </c>
      <c r="H1670" s="12" t="n">
        <f aca="false">SUMPRODUCT(ПОТОКИ!B14:G14,ЧАСОВЫЕ_ПРОФИЛИ!B19:G19,КОЭФФИЦИЕНТЫ_ВЫБОРА!F27:K27)</f>
        <v>0.104</v>
      </c>
      <c r="I1670" s="12" t="n">
        <f aca="false">SUMPRODUCT(ПОТОКИ!B14:G14,ЧАСОВЫЕ_ПРОФИЛИ!B19:G19,КОЭФФИЦИЕНТЫ_ВЫБОРА!F27:K27,ПАРАМЕТРЫ!$B$17:$G$17)</f>
        <v>0.1144</v>
      </c>
      <c r="J1670" s="12" t="n">
        <f aca="false">I1670*G1670/1000</f>
        <v>0.020592</v>
      </c>
      <c r="K1670" s="11" t="s">
        <v>217</v>
      </c>
      <c r="L1670" s="11" t="s">
        <v>19</v>
      </c>
      <c r="M1670" s="11" t="s">
        <v>145</v>
      </c>
    </row>
    <row r="1671" customFormat="false" ht="15" hidden="false" customHeight="false" outlineLevel="0" collapsed="false">
      <c r="A1671" s="11" t="s">
        <v>110</v>
      </c>
      <c r="B1671" s="11" t="s">
        <v>132</v>
      </c>
      <c r="C1671" s="11" t="n">
        <v>18</v>
      </c>
      <c r="D1671" s="11" t="s">
        <v>172</v>
      </c>
      <c r="E1671" s="11" t="s">
        <v>173</v>
      </c>
      <c r="F1671" s="11" t="s">
        <v>83</v>
      </c>
      <c r="G1671" s="12" t="n">
        <v>400</v>
      </c>
      <c r="H1671" s="12" t="n">
        <f aca="false">SUMPRODUCT(ПОТОКИ!B14:G14,ЧАСОВЫЕ_ПРОФИЛИ!B19:G19,КОЭФФИЦИЕНТЫ_ВЫБОРА!F28:K28)</f>
        <v>0.828</v>
      </c>
      <c r="I1671" s="12" t="n">
        <f aca="false">SUMPRODUCT(ПОТОКИ!B14:G14,ЧАСОВЫЕ_ПРОФИЛИ!B19:G19,КОЭФФИЦИЕНТЫ_ВЫБОРА!F28:K28,ПАРАМЕТРЫ!$B$17:$G$17)</f>
        <v>0.9108</v>
      </c>
      <c r="J1671" s="12" t="n">
        <f aca="false">I1671*G1671/1000</f>
        <v>0.36432</v>
      </c>
      <c r="K1671" s="11" t="s">
        <v>217</v>
      </c>
      <c r="L1671" s="11" t="s">
        <v>19</v>
      </c>
      <c r="M1671" s="11" t="s">
        <v>145</v>
      </c>
    </row>
    <row r="1672" customFormat="false" ht="23.85" hidden="false" customHeight="false" outlineLevel="0" collapsed="false">
      <c r="A1672" s="11" t="s">
        <v>110</v>
      </c>
      <c r="B1672" s="11" t="s">
        <v>132</v>
      </c>
      <c r="C1672" s="11" t="n">
        <v>19</v>
      </c>
      <c r="D1672" s="11" t="s">
        <v>174</v>
      </c>
      <c r="E1672" s="11" t="s">
        <v>175</v>
      </c>
      <c r="F1672" s="11" t="s">
        <v>83</v>
      </c>
      <c r="G1672" s="12" t="n">
        <v>300</v>
      </c>
      <c r="H1672" s="12" t="n">
        <f aca="false">SUMPRODUCT(ПОТОКИ!B14:G14,ЧАСОВЫЕ_ПРОФИЛИ!B19:G19,КОЭФФИЦИЕНТЫ_ВЫБОРА!F29:K29)</f>
        <v>0.754</v>
      </c>
      <c r="I1672" s="12" t="n">
        <f aca="false">SUMPRODUCT(ПОТОКИ!B14:G14,ЧАСОВЫЕ_ПРОФИЛИ!B19:G19,КОЭФФИЦИЕНТЫ_ВЫБОРА!F29:K29,ПАРАМЕТРЫ!$B$17:$G$17)</f>
        <v>0.8294</v>
      </c>
      <c r="J1672" s="12" t="n">
        <f aca="false">I1672*G1672/1000</f>
        <v>0.24882</v>
      </c>
      <c r="K1672" s="11" t="s">
        <v>217</v>
      </c>
      <c r="L1672" s="11" t="s">
        <v>19</v>
      </c>
      <c r="M1672" s="11" t="s">
        <v>145</v>
      </c>
    </row>
    <row r="1673" customFormat="false" ht="15" hidden="false" customHeight="false" outlineLevel="0" collapsed="false">
      <c r="A1673" s="11" t="s">
        <v>110</v>
      </c>
      <c r="B1673" s="11" t="s">
        <v>132</v>
      </c>
      <c r="C1673" s="11" t="n">
        <v>20</v>
      </c>
      <c r="D1673" s="11" t="s">
        <v>174</v>
      </c>
      <c r="E1673" s="11" t="s">
        <v>176</v>
      </c>
      <c r="F1673" s="11" t="s">
        <v>83</v>
      </c>
      <c r="G1673" s="12" t="n">
        <v>360</v>
      </c>
      <c r="H1673" s="12" t="n">
        <f aca="false">SUMPRODUCT(ПОТОКИ!B14:G14,ЧАСОВЫЕ_ПРОФИЛИ!B19:G19,КОЭФФИЦИЕНТЫ_ВЫБОРА!F30:K30)</f>
        <v>0.5864</v>
      </c>
      <c r="I1673" s="12" t="n">
        <f aca="false">SUMPRODUCT(ПОТОКИ!B14:G14,ЧАСОВЫЕ_ПРОФИЛИ!B19:G19,КОЭФФИЦИЕНТЫ_ВЫБОРА!F30:K30,ПАРАМЕТРЫ!$B$17:$G$17)</f>
        <v>0.64504</v>
      </c>
      <c r="J1673" s="12" t="n">
        <f aca="false">I1673*G1673/1000</f>
        <v>0.2322144</v>
      </c>
      <c r="K1673" s="11" t="s">
        <v>217</v>
      </c>
      <c r="L1673" s="11" t="s">
        <v>19</v>
      </c>
      <c r="M1673" s="11" t="s">
        <v>145</v>
      </c>
    </row>
    <row r="1674" customFormat="false" ht="15" hidden="false" customHeight="false" outlineLevel="0" collapsed="false">
      <c r="A1674" s="11" t="s">
        <v>110</v>
      </c>
      <c r="B1674" s="11" t="s">
        <v>132</v>
      </c>
      <c r="C1674" s="11" t="n">
        <v>21</v>
      </c>
      <c r="D1674" s="11" t="s">
        <v>174</v>
      </c>
      <c r="E1674" s="11" t="s">
        <v>177</v>
      </c>
      <c r="F1674" s="11" t="s">
        <v>83</v>
      </c>
      <c r="G1674" s="12" t="n">
        <v>350</v>
      </c>
      <c r="H1674" s="12" t="n">
        <f aca="false">SUMPRODUCT(ПОТОКИ!B14:G14,ЧАСОВЫЕ_ПРОФИЛИ!B19:G19,КОЭФФИЦИЕНТЫ_ВЫБОРА!F31:K31)</f>
        <v>0.9666</v>
      </c>
      <c r="I1674" s="12" t="n">
        <f aca="false">SUMPRODUCT(ПОТОКИ!B14:G14,ЧАСОВЫЕ_ПРОФИЛИ!B19:G19,КОЭФФИЦИЕНТЫ_ВЫБОРА!F31:K31,ПАРАМЕТРЫ!$B$17:$G$17)</f>
        <v>1.06326</v>
      </c>
      <c r="J1674" s="12" t="n">
        <f aca="false">I1674*G1674/1000</f>
        <v>0.372141</v>
      </c>
      <c r="K1674" s="11" t="s">
        <v>217</v>
      </c>
      <c r="L1674" s="11" t="s">
        <v>19</v>
      </c>
      <c r="M1674" s="11" t="s">
        <v>145</v>
      </c>
    </row>
    <row r="1675" customFormat="false" ht="15" hidden="false" customHeight="false" outlineLevel="0" collapsed="false">
      <c r="A1675" s="11" t="s">
        <v>110</v>
      </c>
      <c r="B1675" s="11" t="s">
        <v>132</v>
      </c>
      <c r="C1675" s="11" t="n">
        <v>22</v>
      </c>
      <c r="D1675" s="11" t="s">
        <v>174</v>
      </c>
      <c r="E1675" s="11" t="s">
        <v>178</v>
      </c>
      <c r="F1675" s="11" t="s">
        <v>83</v>
      </c>
      <c r="G1675" s="12" t="n">
        <v>300</v>
      </c>
      <c r="H1675" s="12" t="n">
        <f aca="false">SUMPRODUCT(ПОТОКИ!B14:G14,ЧАСОВЫЕ_ПРОФИЛИ!B19:G19,КОЭФФИЦИЕНТЫ_ВЫБОРА!F32:K32)</f>
        <v>0.505</v>
      </c>
      <c r="I1675" s="12" t="n">
        <f aca="false">SUMPRODUCT(ПОТОКИ!B14:G14,ЧАСОВЫЕ_ПРОФИЛИ!B19:G19,КОЭФФИЦИЕНТЫ_ВЫБОРА!F32:K32,ПАРАМЕТРЫ!$B$17:$G$17)</f>
        <v>0.5555</v>
      </c>
      <c r="J1675" s="12" t="n">
        <f aca="false">I1675*G1675/1000</f>
        <v>0.16665</v>
      </c>
      <c r="K1675" s="11" t="s">
        <v>217</v>
      </c>
      <c r="L1675" s="11" t="s">
        <v>19</v>
      </c>
      <c r="M1675" s="11" t="s">
        <v>145</v>
      </c>
    </row>
    <row r="1676" customFormat="false" ht="15" hidden="false" customHeight="false" outlineLevel="0" collapsed="false">
      <c r="A1676" s="11" t="s">
        <v>110</v>
      </c>
      <c r="B1676" s="11" t="s">
        <v>132</v>
      </c>
      <c r="C1676" s="11" t="n">
        <v>23</v>
      </c>
      <c r="D1676" s="11" t="s">
        <v>86</v>
      </c>
      <c r="E1676" s="11" t="s">
        <v>179</v>
      </c>
      <c r="F1676" s="11" t="s">
        <v>85</v>
      </c>
      <c r="G1676" s="12" t="n">
        <v>150</v>
      </c>
      <c r="H1676" s="12" t="n">
        <f aca="false">SUMPRODUCT(ПОТОКИ!B14:G14,ЧАСОВЫЕ_ПРОФИЛИ!B19:G19,КОЭФФИЦИЕНТЫ_ВЫБОРА!F33:K33)</f>
        <v>0.669326</v>
      </c>
      <c r="I1676" s="12" t="n">
        <f aca="false">SUMPRODUCT(ПОТОКИ!B14:G14,ЧАСОВЫЕ_ПРОФИЛИ!B19:G19,КОЭФФИЦИЕНТЫ_ВЫБОРА!F33:K33,ПАРАМЕТРЫ!$B$17:$G$17)</f>
        <v>0.7362586</v>
      </c>
      <c r="J1676" s="12" t="n">
        <f aca="false">I1676*G1676/1000</f>
        <v>0.11043879</v>
      </c>
      <c r="K1676" s="11" t="s">
        <v>217</v>
      </c>
      <c r="L1676" s="11" t="s">
        <v>19</v>
      </c>
      <c r="M1676" s="11" t="s">
        <v>147</v>
      </c>
    </row>
    <row r="1677" customFormat="false" ht="15" hidden="false" customHeight="false" outlineLevel="0" collapsed="false">
      <c r="A1677" s="11" t="s">
        <v>110</v>
      </c>
      <c r="B1677" s="11" t="s">
        <v>132</v>
      </c>
      <c r="C1677" s="11" t="n">
        <v>24</v>
      </c>
      <c r="D1677" s="11" t="s">
        <v>86</v>
      </c>
      <c r="E1677" s="11" t="s">
        <v>180</v>
      </c>
      <c r="F1677" s="11" t="s">
        <v>85</v>
      </c>
      <c r="G1677" s="12" t="n">
        <v>150</v>
      </c>
      <c r="H1677" s="12" t="n">
        <f aca="false">SUMPRODUCT(ПОТОКИ!B14:G14,ЧАСОВЫЕ_ПРОФИЛИ!B19:G19,КОЭФФИЦИЕНТЫ_ВЫБОРА!F34:K34)</f>
        <v>0.287788</v>
      </c>
      <c r="I1677" s="12" t="n">
        <f aca="false">SUMPRODUCT(ПОТОКИ!B14:G14,ЧАСОВЫЕ_ПРОФИЛИ!B19:G19,КОЭФФИЦИЕНТЫ_ВЫБОРА!F34:K34,ПАРАМЕТРЫ!$B$17:$G$17)</f>
        <v>0.3165668</v>
      </c>
      <c r="J1677" s="12" t="n">
        <f aca="false">I1677*G1677/1000</f>
        <v>0.04748502</v>
      </c>
      <c r="K1677" s="11" t="s">
        <v>217</v>
      </c>
      <c r="L1677" s="11" t="s">
        <v>19</v>
      </c>
      <c r="M1677" s="11" t="s">
        <v>147</v>
      </c>
    </row>
    <row r="1678" customFormat="false" ht="15" hidden="false" customHeight="false" outlineLevel="0" collapsed="false">
      <c r="A1678" s="11" t="s">
        <v>110</v>
      </c>
      <c r="B1678" s="11" t="s">
        <v>132</v>
      </c>
      <c r="C1678" s="11" t="n">
        <v>25</v>
      </c>
      <c r="D1678" s="11" t="s">
        <v>86</v>
      </c>
      <c r="E1678" s="11" t="s">
        <v>181</v>
      </c>
      <c r="F1678" s="11" t="s">
        <v>85</v>
      </c>
      <c r="G1678" s="12" t="n">
        <v>150</v>
      </c>
      <c r="H1678" s="12" t="n">
        <f aca="false">SUMPRODUCT(ПОТОКИ!B14:G14,ЧАСОВЫЕ_ПРОФИЛИ!B19:G19,КОЭФФИЦИЕНТЫ_ВЫБОРА!F35:K35)</f>
        <v>0.481826</v>
      </c>
      <c r="I1678" s="12" t="n">
        <f aca="false">SUMPRODUCT(ПОТОКИ!B14:G14,ЧАСОВЫЕ_ПРОФИЛИ!B19:G19,КОЭФФИЦИЕНТЫ_ВЫБОРА!F35:K35,ПАРАМЕТРЫ!$B$17:$G$17)</f>
        <v>0.5300086</v>
      </c>
      <c r="J1678" s="12" t="n">
        <f aca="false">I1678*G1678/1000</f>
        <v>0.07950129</v>
      </c>
      <c r="K1678" s="11" t="s">
        <v>217</v>
      </c>
      <c r="L1678" s="11" t="s">
        <v>19</v>
      </c>
      <c r="M1678" s="11" t="s">
        <v>147</v>
      </c>
    </row>
    <row r="1679" customFormat="false" ht="23.85" hidden="false" customHeight="false" outlineLevel="0" collapsed="false">
      <c r="A1679" s="11" t="s">
        <v>110</v>
      </c>
      <c r="B1679" s="11" t="s">
        <v>132</v>
      </c>
      <c r="C1679" s="11" t="n">
        <v>26</v>
      </c>
      <c r="D1679" s="11" t="s">
        <v>89</v>
      </c>
      <c r="E1679" s="11" t="s">
        <v>182</v>
      </c>
      <c r="F1679" s="11" t="s">
        <v>88</v>
      </c>
      <c r="G1679" s="12" t="n">
        <v>225</v>
      </c>
      <c r="H1679" s="12" t="n">
        <f aca="false">SUMPRODUCT(ПОТОКИ!B14:G14,ЧАСОВЫЕ_ПРОФИЛИ!B19:G19,КОЭФФИЦИЕНТЫ_ВЫБОРА!F36:K36)</f>
        <v>0</v>
      </c>
      <c r="I1679" s="12" t="n">
        <f aca="false">SUMPRODUCT(ПОТОКИ!B14:G14,ЧАСОВЫЕ_ПРОФИЛИ!B19:G19,КОЭФФИЦИЕНТЫ_ВЫБОРА!F36:K36,ПАРАМЕТРЫ!$B$17:$G$17)</f>
        <v>0</v>
      </c>
      <c r="J1679" s="12" t="n">
        <f aca="false">I1679*G1679/1000</f>
        <v>0</v>
      </c>
      <c r="K1679" s="11" t="s">
        <v>217</v>
      </c>
      <c r="L1679" s="11" t="s">
        <v>19</v>
      </c>
      <c r="M1679" s="11" t="s">
        <v>145</v>
      </c>
    </row>
    <row r="1680" customFormat="false" ht="23.85" hidden="false" customHeight="false" outlineLevel="0" collapsed="false">
      <c r="A1680" s="11" t="s">
        <v>110</v>
      </c>
      <c r="B1680" s="11" t="s">
        <v>132</v>
      </c>
      <c r="C1680" s="11" t="n">
        <v>27</v>
      </c>
      <c r="D1680" s="11" t="s">
        <v>89</v>
      </c>
      <c r="E1680" s="11" t="s">
        <v>183</v>
      </c>
      <c r="F1680" s="11" t="s">
        <v>88</v>
      </c>
      <c r="G1680" s="12" t="n">
        <v>265</v>
      </c>
      <c r="H1680" s="12" t="n">
        <f aca="false">SUMPRODUCT(ПОТОКИ!B14:G14,ЧАСОВЫЕ_ПРОФИЛИ!B19:G19,КОЭФФИЦИЕНТЫ_ВЫБОРА!F37:K37)</f>
        <v>0</v>
      </c>
      <c r="I1680" s="12" t="n">
        <f aca="false">SUMPRODUCT(ПОТОКИ!B14:G14,ЧАСОВЫЕ_ПРОФИЛИ!B19:G19,КОЭФФИЦИЕНТЫ_ВЫБОРА!F37:K37,ПАРАМЕТРЫ!$B$17:$G$17)</f>
        <v>0</v>
      </c>
      <c r="J1680" s="12" t="n">
        <f aca="false">I1680*G1680/1000</f>
        <v>0</v>
      </c>
      <c r="K1680" s="11" t="s">
        <v>217</v>
      </c>
      <c r="L1680" s="11" t="s">
        <v>19</v>
      </c>
      <c r="M1680" s="11" t="s">
        <v>145</v>
      </c>
    </row>
    <row r="1681" customFormat="false" ht="23.85" hidden="false" customHeight="false" outlineLevel="0" collapsed="false">
      <c r="A1681" s="11" t="s">
        <v>110</v>
      </c>
      <c r="B1681" s="11" t="s">
        <v>132</v>
      </c>
      <c r="C1681" s="11" t="n">
        <v>28</v>
      </c>
      <c r="D1681" s="11" t="s">
        <v>89</v>
      </c>
      <c r="E1681" s="11" t="s">
        <v>184</v>
      </c>
      <c r="F1681" s="11" t="s">
        <v>88</v>
      </c>
      <c r="G1681" s="12" t="n">
        <v>355</v>
      </c>
      <c r="H1681" s="12" t="n">
        <f aca="false">SUMPRODUCT(ПОТОКИ!B14:G14,ЧАСОВЫЕ_ПРОФИЛИ!B19:G19,КОЭФФИЦИЕНТЫ_ВЫБОРА!F38:K38)</f>
        <v>0</v>
      </c>
      <c r="I1681" s="12" t="n">
        <f aca="false">SUMPRODUCT(ПОТОКИ!B14:G14,ЧАСОВЫЕ_ПРОФИЛИ!B19:G19,КОЭФФИЦИЕНТЫ_ВЫБОРА!F38:K38,ПАРАМЕТРЫ!$B$17:$G$17)</f>
        <v>0</v>
      </c>
      <c r="J1681" s="12" t="n">
        <f aca="false">I1681*G1681/1000</f>
        <v>0</v>
      </c>
      <c r="K1681" s="11" t="s">
        <v>217</v>
      </c>
      <c r="L1681" s="11" t="s">
        <v>19</v>
      </c>
      <c r="M1681" s="11" t="s">
        <v>145</v>
      </c>
    </row>
    <row r="1682" customFormat="false" ht="15" hidden="false" customHeight="false" outlineLevel="0" collapsed="false">
      <c r="A1682" s="11" t="s">
        <v>110</v>
      </c>
      <c r="B1682" s="11" t="s">
        <v>132</v>
      </c>
      <c r="C1682" s="11" t="n">
        <v>29</v>
      </c>
      <c r="D1682" s="11" t="s">
        <v>92</v>
      </c>
      <c r="E1682" s="11" t="s">
        <v>185</v>
      </c>
      <c r="F1682" s="11" t="s">
        <v>91</v>
      </c>
      <c r="G1682" s="12" t="n">
        <v>150</v>
      </c>
      <c r="H1682" s="12" t="n">
        <f aca="false">SUMPRODUCT(ПОТОКИ!B14:G14,ЧАСОВЫЕ_ПРОФИЛИ!B19:G19,КОЭФФИЦИЕНТЫ_ВЫБОРА!F39:K39)</f>
        <v>0.2388</v>
      </c>
      <c r="I1682" s="12" t="n">
        <f aca="false">SUMPRODUCT(ПОТОКИ!B14:G14,ЧАСОВЫЕ_ПРОФИЛИ!B19:G19,КОЭФФИЦИЕНТЫ_ВЫБОРА!F39:K39,ПАРАМЕТРЫ!$B$17:$G$17)</f>
        <v>0.26268</v>
      </c>
      <c r="J1682" s="12" t="n">
        <f aca="false">I1682*G1682/1000</f>
        <v>0.039402</v>
      </c>
      <c r="K1682" s="11" t="s">
        <v>217</v>
      </c>
      <c r="L1682" s="11" t="s">
        <v>19</v>
      </c>
      <c r="M1682" s="11" t="s">
        <v>145</v>
      </c>
    </row>
    <row r="1683" customFormat="false" ht="15" hidden="false" customHeight="false" outlineLevel="0" collapsed="false">
      <c r="A1683" s="11" t="s">
        <v>110</v>
      </c>
      <c r="B1683" s="11" t="s">
        <v>132</v>
      </c>
      <c r="C1683" s="11" t="n">
        <v>30</v>
      </c>
      <c r="D1683" s="11" t="s">
        <v>92</v>
      </c>
      <c r="E1683" s="11" t="s">
        <v>186</v>
      </c>
      <c r="F1683" s="11" t="s">
        <v>91</v>
      </c>
      <c r="G1683" s="12" t="n">
        <v>120</v>
      </c>
      <c r="H1683" s="12" t="n">
        <f aca="false">SUMPRODUCT(ПОТОКИ!B14:G14,ЧАСОВЫЕ_ПРОФИЛИ!B19:G19,КОЭФФИЦИЕНТЫ_ВЫБОРА!F40:K40)</f>
        <v>0.2388</v>
      </c>
      <c r="I1683" s="12" t="n">
        <f aca="false">SUMPRODUCT(ПОТОКИ!B14:G14,ЧАСОВЫЕ_ПРОФИЛИ!B19:G19,КОЭФФИЦИЕНТЫ_ВЫБОРА!F40:K40,ПАРАМЕТРЫ!$B$17:$G$17)</f>
        <v>0.26268</v>
      </c>
      <c r="J1683" s="12" t="n">
        <f aca="false">I1683*G1683/1000</f>
        <v>0.0315216</v>
      </c>
      <c r="K1683" s="11" t="s">
        <v>217</v>
      </c>
      <c r="L1683" s="11" t="s">
        <v>19</v>
      </c>
      <c r="M1683" s="11" t="s">
        <v>145</v>
      </c>
    </row>
    <row r="1684" customFormat="false" ht="15" hidden="false" customHeight="false" outlineLevel="0" collapsed="false">
      <c r="A1684" s="11" t="s">
        <v>110</v>
      </c>
      <c r="B1684" s="11" t="s">
        <v>132</v>
      </c>
      <c r="C1684" s="11" t="n">
        <v>31</v>
      </c>
      <c r="D1684" s="11" t="s">
        <v>92</v>
      </c>
      <c r="E1684" s="11" t="s">
        <v>187</v>
      </c>
      <c r="F1684" s="11" t="s">
        <v>91</v>
      </c>
      <c r="G1684" s="12" t="n">
        <v>60</v>
      </c>
      <c r="H1684" s="12" t="n">
        <f aca="false">SUMPRODUCT(ПОТОКИ!B14:G14,ЧАСОВЫЕ_ПРОФИЛИ!B19:G19,КОЭФФИЦИЕНТЫ_ВЫБОРА!F41:K41)</f>
        <v>0.2544</v>
      </c>
      <c r="I1684" s="12" t="n">
        <f aca="false">SUMPRODUCT(ПОТОКИ!B14:G14,ЧАСОВЫЕ_ПРОФИЛИ!B19:G19,КОЭФФИЦИЕНТЫ_ВЫБОРА!F41:K41,ПАРАМЕТРЫ!$B$17:$G$17)</f>
        <v>0.27984</v>
      </c>
      <c r="J1684" s="12" t="n">
        <f aca="false">I1684*G1684/1000</f>
        <v>0.0167904</v>
      </c>
      <c r="K1684" s="11" t="s">
        <v>217</v>
      </c>
      <c r="L1684" s="11" t="s">
        <v>19</v>
      </c>
      <c r="M1684" s="11" t="s">
        <v>145</v>
      </c>
    </row>
    <row r="1685" customFormat="false" ht="15" hidden="false" customHeight="false" outlineLevel="0" collapsed="false">
      <c r="A1685" s="11" t="s">
        <v>110</v>
      </c>
      <c r="B1685" s="11" t="s">
        <v>133</v>
      </c>
      <c r="C1685" s="11" t="n">
        <v>1</v>
      </c>
      <c r="D1685" s="11" t="s">
        <v>74</v>
      </c>
      <c r="E1685" s="11" t="s">
        <v>153</v>
      </c>
      <c r="F1685" s="11" t="s">
        <v>73</v>
      </c>
      <c r="G1685" s="12" t="n">
        <v>450</v>
      </c>
      <c r="H1685" s="12" t="n">
        <f aca="false">SUMPRODUCT(ПОТОКИ!B14:G14,ЧАСОВЫЕ_ПРОФИЛИ!B20:G20,КОЭФФИЦИЕНТЫ_ВЫБОРА!F11:K11)</f>
        <v>0.0924</v>
      </c>
      <c r="I1685" s="12" t="n">
        <f aca="false">SUMPRODUCT(ПОТОКИ!B14:G14,ЧАСОВЫЕ_ПРОФИЛИ!B20:G20,КОЭФФИЦИЕНТЫ_ВЫБОРА!F11:K11,ПАРАМЕТРЫ!$B$17:$G$17)</f>
        <v>0.10164</v>
      </c>
      <c r="J1685" s="12" t="n">
        <f aca="false">I1685*G1685/1000</f>
        <v>0.045738</v>
      </c>
      <c r="K1685" s="11" t="s">
        <v>217</v>
      </c>
      <c r="L1685" s="11" t="s">
        <v>19</v>
      </c>
      <c r="M1685" s="11" t="s">
        <v>145</v>
      </c>
    </row>
    <row r="1686" customFormat="false" ht="15" hidden="false" customHeight="false" outlineLevel="0" collapsed="false">
      <c r="A1686" s="11" t="s">
        <v>110</v>
      </c>
      <c r="B1686" s="11" t="s">
        <v>133</v>
      </c>
      <c r="C1686" s="11" t="n">
        <v>2</v>
      </c>
      <c r="D1686" s="11" t="s">
        <v>74</v>
      </c>
      <c r="E1686" s="11" t="s">
        <v>154</v>
      </c>
      <c r="F1686" s="11" t="s">
        <v>73</v>
      </c>
      <c r="G1686" s="12" t="n">
        <v>480</v>
      </c>
      <c r="H1686" s="12" t="n">
        <f aca="false">SUMPRODUCT(ПОТОКИ!B14:G14,ЧАСОВЫЕ_ПРОФИЛИ!B20:G20,КОЭФФИЦИЕНТЫ_ВЫБОРА!F12:K12)</f>
        <v>0.1592</v>
      </c>
      <c r="I1686" s="12" t="n">
        <f aca="false">SUMPRODUCT(ПОТОКИ!B14:G14,ЧАСОВЫЕ_ПРОФИЛИ!B20:G20,КОЭФФИЦИЕНТЫ_ВЫБОРА!F12:K12,ПАРАМЕТРЫ!$B$17:$G$17)</f>
        <v>0.17512</v>
      </c>
      <c r="J1686" s="12" t="n">
        <f aca="false">I1686*G1686/1000</f>
        <v>0.0840576</v>
      </c>
      <c r="K1686" s="11" t="s">
        <v>217</v>
      </c>
      <c r="L1686" s="11" t="s">
        <v>19</v>
      </c>
      <c r="M1686" s="11" t="s">
        <v>145</v>
      </c>
    </row>
    <row r="1687" customFormat="false" ht="15" hidden="false" customHeight="false" outlineLevel="0" collapsed="false">
      <c r="A1687" s="11" t="s">
        <v>110</v>
      </c>
      <c r="B1687" s="11" t="s">
        <v>133</v>
      </c>
      <c r="C1687" s="11" t="n">
        <v>3</v>
      </c>
      <c r="D1687" s="11" t="s">
        <v>74</v>
      </c>
      <c r="E1687" s="11" t="s">
        <v>155</v>
      </c>
      <c r="F1687" s="11" t="s">
        <v>73</v>
      </c>
      <c r="G1687" s="12" t="n">
        <v>500</v>
      </c>
      <c r="H1687" s="12" t="n">
        <f aca="false">SUMPRODUCT(ПОТОКИ!B14:G14,ЧАСОВЫЕ_ПРОФИЛИ!B20:G20,КОЭФФИЦИЕНТЫ_ВЫБОРА!F13:K13)</f>
        <v>0.2388</v>
      </c>
      <c r="I1687" s="12" t="n">
        <f aca="false">SUMPRODUCT(ПОТОКИ!B14:G14,ЧАСОВЫЕ_ПРОФИЛИ!B20:G20,КОЭФФИЦИЕНТЫ_ВЫБОРА!F13:K13,ПАРАМЕТРЫ!$B$17:$G$17)</f>
        <v>0.26268</v>
      </c>
      <c r="J1687" s="12" t="n">
        <f aca="false">I1687*G1687/1000</f>
        <v>0.13134</v>
      </c>
      <c r="K1687" s="11" t="s">
        <v>217</v>
      </c>
      <c r="L1687" s="11" t="s">
        <v>19</v>
      </c>
      <c r="M1687" s="11" t="s">
        <v>145</v>
      </c>
    </row>
    <row r="1688" customFormat="false" ht="15" hidden="false" customHeight="false" outlineLevel="0" collapsed="false">
      <c r="A1688" s="11" t="s">
        <v>110</v>
      </c>
      <c r="B1688" s="11" t="s">
        <v>133</v>
      </c>
      <c r="C1688" s="11" t="n">
        <v>4</v>
      </c>
      <c r="D1688" s="11" t="s">
        <v>74</v>
      </c>
      <c r="E1688" s="11" t="s">
        <v>156</v>
      </c>
      <c r="F1688" s="11" t="s">
        <v>73</v>
      </c>
      <c r="G1688" s="12" t="n">
        <v>500</v>
      </c>
      <c r="H1688" s="12" t="n">
        <f aca="false">SUMPRODUCT(ПОТОКИ!B14:G14,ЧАСОВЫЕ_ПРОФИЛИ!B20:G20,КОЭФФИЦИЕНТЫ_ВЫБОРА!F14:K14)</f>
        <v>0.3056</v>
      </c>
      <c r="I1688" s="12" t="n">
        <f aca="false">SUMPRODUCT(ПОТОКИ!B14:G14,ЧАСОВЫЕ_ПРОФИЛИ!B20:G20,КОЭФФИЦИЕНТЫ_ВЫБОРА!F14:K14,ПАРАМЕТРЫ!$B$17:$G$17)</f>
        <v>0.33616</v>
      </c>
      <c r="J1688" s="12" t="n">
        <f aca="false">I1688*G1688/1000</f>
        <v>0.16808</v>
      </c>
      <c r="K1688" s="11" t="s">
        <v>217</v>
      </c>
      <c r="L1688" s="11" t="s">
        <v>19</v>
      </c>
      <c r="M1688" s="11" t="s">
        <v>145</v>
      </c>
    </row>
    <row r="1689" customFormat="false" ht="15" hidden="false" customHeight="false" outlineLevel="0" collapsed="false">
      <c r="A1689" s="11" t="s">
        <v>110</v>
      </c>
      <c r="B1689" s="11" t="s">
        <v>133</v>
      </c>
      <c r="C1689" s="11" t="n">
        <v>5</v>
      </c>
      <c r="D1689" s="11" t="s">
        <v>78</v>
      </c>
      <c r="E1689" s="11" t="s">
        <v>157</v>
      </c>
      <c r="F1689" s="11" t="s">
        <v>77</v>
      </c>
      <c r="G1689" s="12" t="n">
        <v>100</v>
      </c>
      <c r="H1689" s="12" t="n">
        <f aca="false">SUMPRODUCT(ПОТОКИ!B14:G14,ЧАСОВЫЕ_ПРОФИЛИ!B20:G20,КОЭФФИЦИЕНТЫ_ВЫБОРА!F15:K15)</f>
        <v>0.3932</v>
      </c>
      <c r="I1689" s="12" t="n">
        <f aca="false">SUMPRODUCT(ПОТОКИ!B14:G14,ЧАСОВЫЕ_ПРОФИЛИ!B20:G20,КОЭФФИЦИЕНТЫ_ВЫБОРА!F15:K15,ПАРАМЕТРЫ!$B$17:$G$17)</f>
        <v>0.43252</v>
      </c>
      <c r="J1689" s="12" t="n">
        <f aca="false">I1689*G1689/1000</f>
        <v>0.043252</v>
      </c>
      <c r="K1689" s="11" t="s">
        <v>217</v>
      </c>
      <c r="L1689" s="11" t="s">
        <v>19</v>
      </c>
      <c r="M1689" s="11" t="s">
        <v>147</v>
      </c>
    </row>
    <row r="1690" customFormat="false" ht="15" hidden="false" customHeight="false" outlineLevel="0" collapsed="false">
      <c r="A1690" s="11" t="s">
        <v>110</v>
      </c>
      <c r="B1690" s="11" t="s">
        <v>133</v>
      </c>
      <c r="C1690" s="11" t="n">
        <v>6</v>
      </c>
      <c r="D1690" s="11" t="s">
        <v>78</v>
      </c>
      <c r="E1690" s="11" t="s">
        <v>158</v>
      </c>
      <c r="F1690" s="11" t="s">
        <v>77</v>
      </c>
      <c r="G1690" s="12" t="n">
        <v>100</v>
      </c>
      <c r="H1690" s="12" t="n">
        <f aca="false">SUMPRODUCT(ПОТОКИ!B14:G14,ЧАСОВЫЕ_ПРОФИЛИ!B20:G20,КОЭФФИЦИЕНТЫ_ВЫБОРА!F16:K16)</f>
        <v>0.3804</v>
      </c>
      <c r="I1690" s="12" t="n">
        <f aca="false">SUMPRODUCT(ПОТОКИ!B14:G14,ЧАСОВЫЕ_ПРОФИЛИ!B20:G20,КОЭФФИЦИЕНТЫ_ВЫБОРА!F16:K16,ПАРАМЕТРЫ!$B$17:$G$17)</f>
        <v>0.41844</v>
      </c>
      <c r="J1690" s="12" t="n">
        <f aca="false">I1690*G1690/1000</f>
        <v>0.041844</v>
      </c>
      <c r="K1690" s="11" t="s">
        <v>217</v>
      </c>
      <c r="L1690" s="11" t="s">
        <v>19</v>
      </c>
      <c r="M1690" s="11" t="s">
        <v>147</v>
      </c>
    </row>
    <row r="1691" customFormat="false" ht="15" hidden="false" customHeight="false" outlineLevel="0" collapsed="false">
      <c r="A1691" s="11" t="s">
        <v>110</v>
      </c>
      <c r="B1691" s="11" t="s">
        <v>133</v>
      </c>
      <c r="C1691" s="11" t="n">
        <v>7</v>
      </c>
      <c r="D1691" s="11" t="s">
        <v>78</v>
      </c>
      <c r="E1691" s="11" t="s">
        <v>159</v>
      </c>
      <c r="F1691" s="11" t="s">
        <v>77</v>
      </c>
      <c r="G1691" s="12" t="n">
        <v>350</v>
      </c>
      <c r="H1691" s="12" t="n">
        <f aca="false">SUMPRODUCT(ПОТОКИ!B14:G14,ЧАСОВЫЕ_ПРОФИЛИ!B20:G20,КОЭФФИЦИЕНТЫ_ВЫБОРА!F17:K17)</f>
        <v>0.3234</v>
      </c>
      <c r="I1691" s="12" t="n">
        <f aca="false">SUMPRODUCT(ПОТОКИ!B14:G14,ЧАСОВЫЕ_ПРОФИЛИ!B20:G20,КОЭФФИЦИЕНТЫ_ВЫБОРА!F17:K17,ПАРАМЕТРЫ!$B$17:$G$17)</f>
        <v>0.35574</v>
      </c>
      <c r="J1691" s="12" t="n">
        <f aca="false">I1691*G1691/1000</f>
        <v>0.124509</v>
      </c>
      <c r="K1691" s="11" t="s">
        <v>217</v>
      </c>
      <c r="L1691" s="11" t="s">
        <v>19</v>
      </c>
      <c r="M1691" s="11" t="s">
        <v>147</v>
      </c>
    </row>
    <row r="1692" customFormat="false" ht="15" hidden="false" customHeight="false" outlineLevel="0" collapsed="false">
      <c r="A1692" s="11" t="s">
        <v>110</v>
      </c>
      <c r="B1692" s="11" t="s">
        <v>133</v>
      </c>
      <c r="C1692" s="11" t="n">
        <v>8</v>
      </c>
      <c r="D1692" s="11" t="s">
        <v>78</v>
      </c>
      <c r="E1692" s="11" t="s">
        <v>160</v>
      </c>
      <c r="F1692" s="11" t="s">
        <v>77</v>
      </c>
      <c r="G1692" s="12" t="n">
        <v>85</v>
      </c>
      <c r="H1692" s="12" t="n">
        <f aca="false">SUMPRODUCT(ПОТОКИ!B14:G14,ЧАСОВЫЕ_ПРОФИЛИ!B20:G20,КОЭФФИЦИЕНТЫ_ВЫБОРА!F18:K18)</f>
        <v>0.1966</v>
      </c>
      <c r="I1692" s="12" t="n">
        <f aca="false">SUMPRODUCT(ПОТОКИ!B14:G14,ЧАСОВЫЕ_ПРОФИЛИ!B20:G20,КОЭФФИЦИЕНТЫ_ВЫБОРА!F18:K18,ПАРАМЕТРЫ!$B$17:$G$17)</f>
        <v>0.21626</v>
      </c>
      <c r="J1692" s="12" t="n">
        <f aca="false">I1692*G1692/1000</f>
        <v>0.0183821</v>
      </c>
      <c r="K1692" s="11" t="s">
        <v>217</v>
      </c>
      <c r="L1692" s="11" t="s">
        <v>19</v>
      </c>
      <c r="M1692" s="11" t="s">
        <v>147</v>
      </c>
    </row>
    <row r="1693" customFormat="false" ht="15" hidden="false" customHeight="false" outlineLevel="0" collapsed="false">
      <c r="A1693" s="11" t="s">
        <v>110</v>
      </c>
      <c r="B1693" s="11" t="s">
        <v>133</v>
      </c>
      <c r="C1693" s="11" t="n">
        <v>9</v>
      </c>
      <c r="D1693" s="11" t="s">
        <v>161</v>
      </c>
      <c r="E1693" s="11" t="s">
        <v>162</v>
      </c>
      <c r="F1693" s="11" t="s">
        <v>80</v>
      </c>
      <c r="G1693" s="12" t="n">
        <v>300</v>
      </c>
      <c r="H1693" s="12" t="n">
        <f aca="false">SUMPRODUCT(ПОТОКИ!B14:G14,ЧАСОВЫЕ_ПРОФИЛИ!B20:G20,КОЭФФИЦИЕНТЫ_ВЫБОРА!F19:K19)</f>
        <v>0.114</v>
      </c>
      <c r="I1693" s="12" t="n">
        <f aca="false">SUMPRODUCT(ПОТОКИ!B14:G14,ЧАСОВЫЕ_ПРОФИЛИ!B20:G20,КОЭФФИЦИЕНТЫ_ВЫБОРА!F19:K19,ПАРАМЕТРЫ!$B$17:$G$17)</f>
        <v>0.1254</v>
      </c>
      <c r="J1693" s="12" t="n">
        <f aca="false">I1693*G1693/1000</f>
        <v>0.03762</v>
      </c>
      <c r="K1693" s="11" t="s">
        <v>217</v>
      </c>
      <c r="L1693" s="11" t="s">
        <v>19</v>
      </c>
      <c r="M1693" s="11" t="s">
        <v>145</v>
      </c>
    </row>
    <row r="1694" customFormat="false" ht="15" hidden="false" customHeight="false" outlineLevel="0" collapsed="false">
      <c r="A1694" s="11" t="s">
        <v>110</v>
      </c>
      <c r="B1694" s="11" t="s">
        <v>133</v>
      </c>
      <c r="C1694" s="11" t="n">
        <v>10</v>
      </c>
      <c r="D1694" s="11" t="s">
        <v>161</v>
      </c>
      <c r="E1694" s="11" t="s">
        <v>163</v>
      </c>
      <c r="F1694" s="11" t="s">
        <v>80</v>
      </c>
      <c r="G1694" s="12" t="n">
        <v>280</v>
      </c>
      <c r="H1694" s="12" t="n">
        <f aca="false">SUMPRODUCT(ПОТОКИ!B14:G14,ЧАСОВЫЕ_ПРОФИЛИ!B20:G20,КОЭФФИЦИЕНТЫ_ВЫБОРА!F20:K20)</f>
        <v>0.132</v>
      </c>
      <c r="I1694" s="12" t="n">
        <f aca="false">SUMPRODUCT(ПОТОКИ!B14:G14,ЧАСОВЫЕ_ПРОФИЛИ!B20:G20,КОЭФФИЦИЕНТЫ_ВЫБОРА!F20:K20,ПАРАМЕТРЫ!$B$17:$G$17)</f>
        <v>0.1452</v>
      </c>
      <c r="J1694" s="12" t="n">
        <f aca="false">I1694*G1694/1000</f>
        <v>0.040656</v>
      </c>
      <c r="K1694" s="11" t="s">
        <v>217</v>
      </c>
      <c r="L1694" s="11" t="s">
        <v>19</v>
      </c>
      <c r="M1694" s="11" t="s">
        <v>145</v>
      </c>
    </row>
    <row r="1695" customFormat="false" ht="15" hidden="false" customHeight="false" outlineLevel="0" collapsed="false">
      <c r="A1695" s="11" t="s">
        <v>110</v>
      </c>
      <c r="B1695" s="11" t="s">
        <v>133</v>
      </c>
      <c r="C1695" s="11" t="n">
        <v>11</v>
      </c>
      <c r="D1695" s="11" t="s">
        <v>161</v>
      </c>
      <c r="E1695" s="11" t="s">
        <v>164</v>
      </c>
      <c r="F1695" s="11" t="s">
        <v>80</v>
      </c>
      <c r="G1695" s="12" t="n">
        <v>270</v>
      </c>
      <c r="H1695" s="12" t="n">
        <f aca="false">SUMPRODUCT(ПОТОКИ!B14:G14,ЧАСОВЫЕ_ПРОФИЛИ!B20:G20,КОЭФФИЦИЕНТЫ_ВЫБОРА!F21:K21)</f>
        <v>0.2154</v>
      </c>
      <c r="I1695" s="12" t="n">
        <f aca="false">SUMPRODUCT(ПОТОКИ!B14:G14,ЧАСОВЫЕ_ПРОФИЛИ!B20:G20,КОЭФФИЦИЕНТЫ_ВЫБОРА!F21:K21,ПАРАМЕТРЫ!$B$17:$G$17)</f>
        <v>0.23694</v>
      </c>
      <c r="J1695" s="12" t="n">
        <f aca="false">I1695*G1695/1000</f>
        <v>0.0639738</v>
      </c>
      <c r="K1695" s="11" t="s">
        <v>217</v>
      </c>
      <c r="L1695" s="11" t="s">
        <v>19</v>
      </c>
      <c r="M1695" s="11" t="s">
        <v>145</v>
      </c>
    </row>
    <row r="1696" customFormat="false" ht="15" hidden="false" customHeight="false" outlineLevel="0" collapsed="false">
      <c r="A1696" s="11" t="s">
        <v>110</v>
      </c>
      <c r="B1696" s="11" t="s">
        <v>133</v>
      </c>
      <c r="C1696" s="11" t="n">
        <v>12</v>
      </c>
      <c r="D1696" s="11" t="s">
        <v>161</v>
      </c>
      <c r="E1696" s="11" t="s">
        <v>165</v>
      </c>
      <c r="F1696" s="11" t="s">
        <v>80</v>
      </c>
      <c r="G1696" s="12" t="n">
        <v>240</v>
      </c>
      <c r="H1696" s="12" t="n">
        <f aca="false">SUMPRODUCT(ПОТОКИ!B14:G14,ЧАСОВЫЕ_ПРОФИЛИ!B20:G20,КОЭФФИЦИЕНТЫ_ВЫБОРА!F22:K22)</f>
        <v>0.1026</v>
      </c>
      <c r="I1696" s="12" t="n">
        <f aca="false">SUMPRODUCT(ПОТОКИ!B14:G14,ЧАСОВЫЕ_ПРОФИЛИ!B20:G20,КОЭФФИЦИЕНТЫ_ВЫБОРА!F22:K22,ПАРАМЕТРЫ!$B$17:$G$17)</f>
        <v>0.11286</v>
      </c>
      <c r="J1696" s="12" t="n">
        <f aca="false">I1696*G1696/1000</f>
        <v>0.0270864</v>
      </c>
      <c r="K1696" s="11" t="s">
        <v>217</v>
      </c>
      <c r="L1696" s="11" t="s">
        <v>19</v>
      </c>
      <c r="M1696" s="11" t="s">
        <v>145</v>
      </c>
    </row>
    <row r="1697" customFormat="false" ht="15" hidden="false" customHeight="false" outlineLevel="0" collapsed="false">
      <c r="A1697" s="11" t="s">
        <v>110</v>
      </c>
      <c r="B1697" s="11" t="s">
        <v>133</v>
      </c>
      <c r="C1697" s="11" t="n">
        <v>13</v>
      </c>
      <c r="D1697" s="11" t="s">
        <v>166</v>
      </c>
      <c r="E1697" s="11" t="s">
        <v>167</v>
      </c>
      <c r="F1697" s="11" t="s">
        <v>80</v>
      </c>
      <c r="G1697" s="12" t="n">
        <v>130</v>
      </c>
      <c r="H1697" s="12" t="n">
        <f aca="false">SUMPRODUCT(ПОТОКИ!B14:G14,ЧАСОВЫЕ_ПРОФИЛИ!B20:G20,КОЭФФИЦИЕНТЫ_ВЫБОРА!F23:K23)</f>
        <v>0.064</v>
      </c>
      <c r="I1697" s="12" t="n">
        <f aca="false">SUMPRODUCT(ПОТОКИ!B14:G14,ЧАСОВЫЕ_ПРОФИЛИ!B20:G20,КОЭФФИЦИЕНТЫ_ВЫБОРА!F23:K23,ПАРАМЕТРЫ!$B$17:$G$17)</f>
        <v>0.0704</v>
      </c>
      <c r="J1697" s="12" t="n">
        <f aca="false">I1697*G1697/1000</f>
        <v>0.009152</v>
      </c>
      <c r="K1697" s="11" t="s">
        <v>217</v>
      </c>
      <c r="L1697" s="11" t="s">
        <v>19</v>
      </c>
      <c r="M1697" s="11" t="s">
        <v>145</v>
      </c>
    </row>
    <row r="1698" customFormat="false" ht="15" hidden="false" customHeight="false" outlineLevel="0" collapsed="false">
      <c r="A1698" s="11" t="s">
        <v>110</v>
      </c>
      <c r="B1698" s="11" t="s">
        <v>133</v>
      </c>
      <c r="C1698" s="11" t="n">
        <v>14</v>
      </c>
      <c r="D1698" s="11" t="s">
        <v>166</v>
      </c>
      <c r="E1698" s="11" t="s">
        <v>168</v>
      </c>
      <c r="F1698" s="11" t="s">
        <v>80</v>
      </c>
      <c r="G1698" s="12" t="n">
        <v>250</v>
      </c>
      <c r="H1698" s="12" t="n">
        <f aca="false">SUMPRODUCT(ПОТОКИ!B14:G14,ЧАСОВЫЕ_ПРОФИЛИ!B20:G20,КОЭФФИЦИЕНТЫ_ВЫБОРА!F24:K24)</f>
        <v>0.0384</v>
      </c>
      <c r="I1698" s="12" t="n">
        <f aca="false">SUMPRODUCT(ПОТОКИ!B14:G14,ЧАСОВЫЕ_ПРОФИЛИ!B20:G20,КОЭФФИЦИЕНТЫ_ВЫБОРА!F24:K24,ПАРАМЕТРЫ!$B$17:$G$17)</f>
        <v>0.04224</v>
      </c>
      <c r="J1698" s="12" t="n">
        <f aca="false">I1698*G1698/1000</f>
        <v>0.01056</v>
      </c>
      <c r="K1698" s="11" t="s">
        <v>217</v>
      </c>
      <c r="L1698" s="11" t="s">
        <v>19</v>
      </c>
      <c r="M1698" s="11" t="s">
        <v>145</v>
      </c>
    </row>
    <row r="1699" customFormat="false" ht="15" hidden="false" customHeight="false" outlineLevel="0" collapsed="false">
      <c r="A1699" s="11" t="s">
        <v>110</v>
      </c>
      <c r="B1699" s="11" t="s">
        <v>133</v>
      </c>
      <c r="C1699" s="11" t="n">
        <v>15</v>
      </c>
      <c r="D1699" s="11" t="s">
        <v>166</v>
      </c>
      <c r="E1699" s="11" t="s">
        <v>169</v>
      </c>
      <c r="F1699" s="11" t="s">
        <v>80</v>
      </c>
      <c r="G1699" s="12" t="n">
        <v>120</v>
      </c>
      <c r="H1699" s="12" t="n">
        <f aca="false">SUMPRODUCT(ПОТОКИ!B14:G14,ЧАСОВЫЕ_ПРОФИЛИ!B20:G20,КОЭФФИЦИЕНТЫ_ВЫБОРА!F25:K25)</f>
        <v>0.0384</v>
      </c>
      <c r="I1699" s="12" t="n">
        <f aca="false">SUMPRODUCT(ПОТОКИ!B14:G14,ЧАСОВЫЕ_ПРОФИЛИ!B20:G20,КОЭФФИЦИЕНТЫ_ВЫБОРА!F25:K25,ПАРАМЕТРЫ!$B$17:$G$17)</f>
        <v>0.04224</v>
      </c>
      <c r="J1699" s="12" t="n">
        <f aca="false">I1699*G1699/1000</f>
        <v>0.0050688</v>
      </c>
      <c r="K1699" s="11" t="s">
        <v>217</v>
      </c>
      <c r="L1699" s="11" t="s">
        <v>19</v>
      </c>
      <c r="M1699" s="11" t="s">
        <v>145</v>
      </c>
    </row>
    <row r="1700" customFormat="false" ht="15" hidden="false" customHeight="false" outlineLevel="0" collapsed="false">
      <c r="A1700" s="11" t="s">
        <v>110</v>
      </c>
      <c r="B1700" s="11" t="s">
        <v>133</v>
      </c>
      <c r="C1700" s="11" t="n">
        <v>16</v>
      </c>
      <c r="D1700" s="11" t="s">
        <v>166</v>
      </c>
      <c r="E1700" s="11" t="s">
        <v>170</v>
      </c>
      <c r="F1700" s="11" t="s">
        <v>80</v>
      </c>
      <c r="G1700" s="12" t="n">
        <v>180</v>
      </c>
      <c r="H1700" s="12" t="n">
        <f aca="false">SUMPRODUCT(ПОТОКИ!B14:G14,ЧАСОВЫЕ_ПРОФИЛИ!B20:G20,КОЭФФИЦИЕНТЫ_ВЫБОРА!F26:K26)</f>
        <v>0.0512</v>
      </c>
      <c r="I1700" s="12" t="n">
        <f aca="false">SUMPRODUCT(ПОТОКИ!B14:G14,ЧАСОВЫЕ_ПРОФИЛИ!B20:G20,КОЭФФИЦИЕНТЫ_ВЫБОРА!F26:K26,ПАРАМЕТРЫ!$B$17:$G$17)</f>
        <v>0.05632</v>
      </c>
      <c r="J1700" s="12" t="n">
        <f aca="false">I1700*G1700/1000</f>
        <v>0.0101376</v>
      </c>
      <c r="K1700" s="11" t="s">
        <v>217</v>
      </c>
      <c r="L1700" s="11" t="s">
        <v>19</v>
      </c>
      <c r="M1700" s="11" t="s">
        <v>145</v>
      </c>
    </row>
    <row r="1701" customFormat="false" ht="15" hidden="false" customHeight="false" outlineLevel="0" collapsed="false">
      <c r="A1701" s="11" t="s">
        <v>110</v>
      </c>
      <c r="B1701" s="11" t="s">
        <v>133</v>
      </c>
      <c r="C1701" s="11" t="n">
        <v>17</v>
      </c>
      <c r="D1701" s="11" t="s">
        <v>166</v>
      </c>
      <c r="E1701" s="11" t="s">
        <v>171</v>
      </c>
      <c r="F1701" s="11" t="s">
        <v>80</v>
      </c>
      <c r="G1701" s="12" t="n">
        <v>180</v>
      </c>
      <c r="H1701" s="12" t="n">
        <f aca="false">SUMPRODUCT(ПОТОКИ!B14:G14,ЧАСОВЫЕ_ПРОФИЛИ!B20:G20,КОЭФФИЦИЕНТЫ_ВЫБОРА!F27:K27)</f>
        <v>0.064</v>
      </c>
      <c r="I1701" s="12" t="n">
        <f aca="false">SUMPRODUCT(ПОТОКИ!B14:G14,ЧАСОВЫЕ_ПРОФИЛИ!B20:G20,КОЭФФИЦИЕНТЫ_ВЫБОРА!F27:K27,ПАРАМЕТРЫ!$B$17:$G$17)</f>
        <v>0.0704</v>
      </c>
      <c r="J1701" s="12" t="n">
        <f aca="false">I1701*G1701/1000</f>
        <v>0.012672</v>
      </c>
      <c r="K1701" s="11" t="s">
        <v>217</v>
      </c>
      <c r="L1701" s="11" t="s">
        <v>19</v>
      </c>
      <c r="M1701" s="11" t="s">
        <v>145</v>
      </c>
    </row>
    <row r="1702" customFormat="false" ht="15" hidden="false" customHeight="false" outlineLevel="0" collapsed="false">
      <c r="A1702" s="11" t="s">
        <v>110</v>
      </c>
      <c r="B1702" s="11" t="s">
        <v>133</v>
      </c>
      <c r="C1702" s="11" t="n">
        <v>18</v>
      </c>
      <c r="D1702" s="11" t="s">
        <v>172</v>
      </c>
      <c r="E1702" s="11" t="s">
        <v>173</v>
      </c>
      <c r="F1702" s="11" t="s">
        <v>83</v>
      </c>
      <c r="G1702" s="12" t="n">
        <v>400</v>
      </c>
      <c r="H1702" s="12" t="n">
        <f aca="false">SUMPRODUCT(ПОТОКИ!B14:G14,ЧАСОВЫЕ_ПРОФИЛИ!B20:G20,КОЭФФИЦИЕНТЫ_ВЫБОРА!F28:K28)</f>
        <v>0.128</v>
      </c>
      <c r="I1702" s="12" t="n">
        <f aca="false">SUMPRODUCT(ПОТОКИ!B14:G14,ЧАСОВЫЕ_ПРОФИЛИ!B20:G20,КОЭФФИЦИЕНТЫ_ВЫБОРА!F28:K28,ПАРАМЕТРЫ!$B$17:$G$17)</f>
        <v>0.1408</v>
      </c>
      <c r="J1702" s="12" t="n">
        <f aca="false">I1702*G1702/1000</f>
        <v>0.05632</v>
      </c>
      <c r="K1702" s="11" t="s">
        <v>217</v>
      </c>
      <c r="L1702" s="11" t="s">
        <v>19</v>
      </c>
      <c r="M1702" s="11" t="s">
        <v>145</v>
      </c>
    </row>
    <row r="1703" customFormat="false" ht="23.85" hidden="false" customHeight="false" outlineLevel="0" collapsed="false">
      <c r="A1703" s="11" t="s">
        <v>110</v>
      </c>
      <c r="B1703" s="11" t="s">
        <v>133</v>
      </c>
      <c r="C1703" s="11" t="n">
        <v>19</v>
      </c>
      <c r="D1703" s="11" t="s">
        <v>174</v>
      </c>
      <c r="E1703" s="11" t="s">
        <v>175</v>
      </c>
      <c r="F1703" s="11" t="s">
        <v>83</v>
      </c>
      <c r="G1703" s="12" t="n">
        <v>300</v>
      </c>
      <c r="H1703" s="12" t="n">
        <f aca="false">SUMPRODUCT(ПОТОКИ!B14:G14,ЧАСОВЫЕ_ПРОФИЛИ!B20:G20,КОЭФФИЦИЕНТЫ_ВЫБОРА!F29:K29)</f>
        <v>0.304</v>
      </c>
      <c r="I1703" s="12" t="n">
        <f aca="false">SUMPRODUCT(ПОТОКИ!B14:G14,ЧАСОВЫЕ_ПРОФИЛИ!B20:G20,КОЭФФИЦИЕНТЫ_ВЫБОРА!F29:K29,ПАРАМЕТРЫ!$B$17:$G$17)</f>
        <v>0.3344</v>
      </c>
      <c r="J1703" s="12" t="n">
        <f aca="false">I1703*G1703/1000</f>
        <v>0.10032</v>
      </c>
      <c r="K1703" s="11" t="s">
        <v>217</v>
      </c>
      <c r="L1703" s="11" t="s">
        <v>19</v>
      </c>
      <c r="M1703" s="11" t="s">
        <v>145</v>
      </c>
    </row>
    <row r="1704" customFormat="false" ht="15" hidden="false" customHeight="false" outlineLevel="0" collapsed="false">
      <c r="A1704" s="11" t="s">
        <v>110</v>
      </c>
      <c r="B1704" s="11" t="s">
        <v>133</v>
      </c>
      <c r="C1704" s="11" t="n">
        <v>20</v>
      </c>
      <c r="D1704" s="11" t="s">
        <v>174</v>
      </c>
      <c r="E1704" s="11" t="s">
        <v>176</v>
      </c>
      <c r="F1704" s="11" t="s">
        <v>83</v>
      </c>
      <c r="G1704" s="12" t="n">
        <v>360</v>
      </c>
      <c r="H1704" s="12" t="n">
        <f aca="false">SUMPRODUCT(ПОТОКИ!B14:G14,ЧАСОВЫЕ_ПРОФИЛИ!B20:G20,КОЭФФИЦИЕНТЫ_ВЫБОРА!F30:K30)</f>
        <v>0.2864</v>
      </c>
      <c r="I1704" s="12" t="n">
        <f aca="false">SUMPRODUCT(ПОТОКИ!B14:G14,ЧАСОВЫЕ_ПРОФИЛИ!B20:G20,КОЭФФИЦИЕНТЫ_ВЫБОРА!F30:K30,ПАРАМЕТРЫ!$B$17:$G$17)</f>
        <v>0.31504</v>
      </c>
      <c r="J1704" s="12" t="n">
        <f aca="false">I1704*G1704/1000</f>
        <v>0.1134144</v>
      </c>
      <c r="K1704" s="11" t="s">
        <v>217</v>
      </c>
      <c r="L1704" s="11" t="s">
        <v>19</v>
      </c>
      <c r="M1704" s="11" t="s">
        <v>145</v>
      </c>
    </row>
    <row r="1705" customFormat="false" ht="15" hidden="false" customHeight="false" outlineLevel="0" collapsed="false">
      <c r="A1705" s="11" t="s">
        <v>110</v>
      </c>
      <c r="B1705" s="11" t="s">
        <v>133</v>
      </c>
      <c r="C1705" s="11" t="n">
        <v>21</v>
      </c>
      <c r="D1705" s="11" t="s">
        <v>174</v>
      </c>
      <c r="E1705" s="11" t="s">
        <v>177</v>
      </c>
      <c r="F1705" s="11" t="s">
        <v>83</v>
      </c>
      <c r="G1705" s="12" t="n">
        <v>350</v>
      </c>
      <c r="H1705" s="12" t="n">
        <f aca="false">SUMPRODUCT(ПОТОКИ!B14:G14,ЧАСОВЫЕ_ПРОФИЛИ!B20:G20,КОЭФФИЦИЕНТЫ_ВЫБОРА!F31:K31)</f>
        <v>0.4416</v>
      </c>
      <c r="I1705" s="12" t="n">
        <f aca="false">SUMPRODUCT(ПОТОКИ!B14:G14,ЧАСОВЫЕ_ПРОФИЛИ!B20:G20,КОЭФФИЦИЕНТЫ_ВЫБОРА!F31:K31,ПАРАМЕТРЫ!$B$17:$G$17)</f>
        <v>0.48576</v>
      </c>
      <c r="J1705" s="12" t="n">
        <f aca="false">I1705*G1705/1000</f>
        <v>0.170016</v>
      </c>
      <c r="K1705" s="11" t="s">
        <v>217</v>
      </c>
      <c r="L1705" s="11" t="s">
        <v>19</v>
      </c>
      <c r="M1705" s="11" t="s">
        <v>145</v>
      </c>
    </row>
    <row r="1706" customFormat="false" ht="15" hidden="false" customHeight="false" outlineLevel="0" collapsed="false">
      <c r="A1706" s="11" t="s">
        <v>110</v>
      </c>
      <c r="B1706" s="11" t="s">
        <v>133</v>
      </c>
      <c r="C1706" s="11" t="n">
        <v>22</v>
      </c>
      <c r="D1706" s="11" t="s">
        <v>174</v>
      </c>
      <c r="E1706" s="11" t="s">
        <v>178</v>
      </c>
      <c r="F1706" s="11" t="s">
        <v>83</v>
      </c>
      <c r="G1706" s="12" t="n">
        <v>300</v>
      </c>
      <c r="H1706" s="12" t="n">
        <f aca="false">SUMPRODUCT(ПОТОКИ!B14:G14,ЧАСОВЫЕ_ПРОФИЛИ!B20:G20,КОЭФФИЦИЕНТЫ_ВЫБОРА!F32:K32)</f>
        <v>0.28</v>
      </c>
      <c r="I1706" s="12" t="n">
        <f aca="false">SUMPRODUCT(ПОТОКИ!B14:G14,ЧАСОВЫЕ_ПРОФИЛИ!B20:G20,КОЭФФИЦИЕНТЫ_ВЫБОРА!F32:K32,ПАРАМЕТРЫ!$B$17:$G$17)</f>
        <v>0.308</v>
      </c>
      <c r="J1706" s="12" t="n">
        <f aca="false">I1706*G1706/1000</f>
        <v>0.0924</v>
      </c>
      <c r="K1706" s="11" t="s">
        <v>217</v>
      </c>
      <c r="L1706" s="11" t="s">
        <v>19</v>
      </c>
      <c r="M1706" s="11" t="s">
        <v>145</v>
      </c>
    </row>
    <row r="1707" customFormat="false" ht="15" hidden="false" customHeight="false" outlineLevel="0" collapsed="false">
      <c r="A1707" s="11" t="s">
        <v>110</v>
      </c>
      <c r="B1707" s="11" t="s">
        <v>133</v>
      </c>
      <c r="C1707" s="11" t="n">
        <v>23</v>
      </c>
      <c r="D1707" s="11" t="s">
        <v>86</v>
      </c>
      <c r="E1707" s="11" t="s">
        <v>179</v>
      </c>
      <c r="F1707" s="11" t="s">
        <v>85</v>
      </c>
      <c r="G1707" s="12" t="n">
        <v>150</v>
      </c>
      <c r="H1707" s="12" t="n">
        <f aca="false">SUMPRODUCT(ПОТОКИ!B14:G14,ЧАСОВЫЕ_ПРОФИЛИ!B20:G20,КОЭФФИЦИЕНТЫ_ВЫБОРА!F33:K33)</f>
        <v>0.200576</v>
      </c>
      <c r="I1707" s="12" t="n">
        <f aca="false">SUMPRODUCT(ПОТОКИ!B14:G14,ЧАСОВЫЕ_ПРОФИЛИ!B20:G20,КОЭФФИЦИЕНТЫ_ВЫБОРА!F33:K33,ПАРАМЕТРЫ!$B$17:$G$17)</f>
        <v>0.2206336</v>
      </c>
      <c r="J1707" s="12" t="n">
        <f aca="false">I1707*G1707/1000</f>
        <v>0.03309504</v>
      </c>
      <c r="K1707" s="11" t="s">
        <v>217</v>
      </c>
      <c r="L1707" s="11" t="s">
        <v>19</v>
      </c>
      <c r="M1707" s="11" t="s">
        <v>147</v>
      </c>
    </row>
    <row r="1708" customFormat="false" ht="15" hidden="false" customHeight="false" outlineLevel="0" collapsed="false">
      <c r="A1708" s="11" t="s">
        <v>110</v>
      </c>
      <c r="B1708" s="11" t="s">
        <v>133</v>
      </c>
      <c r="C1708" s="11" t="n">
        <v>24</v>
      </c>
      <c r="D1708" s="11" t="s">
        <v>86</v>
      </c>
      <c r="E1708" s="11" t="s">
        <v>180</v>
      </c>
      <c r="F1708" s="11" t="s">
        <v>85</v>
      </c>
      <c r="G1708" s="12" t="n">
        <v>150</v>
      </c>
      <c r="H1708" s="12" t="n">
        <f aca="false">SUMPRODUCT(ПОТОКИ!B14:G14,ЧАСОВЫЕ_ПРОФИЛИ!B20:G20,КОЭФФИЦИЕНТЫ_ВЫБОРА!F34:K34)</f>
        <v>0.100288</v>
      </c>
      <c r="I1708" s="12" t="n">
        <f aca="false">SUMPRODUCT(ПОТОКИ!B14:G14,ЧАСОВЫЕ_ПРОФИЛИ!B20:G20,КОЭФФИЦИЕНТЫ_ВЫБОРА!F34:K34,ПАРАМЕТРЫ!$B$17:$G$17)</f>
        <v>0.1103168</v>
      </c>
      <c r="J1708" s="12" t="n">
        <f aca="false">I1708*G1708/1000</f>
        <v>0.01654752</v>
      </c>
      <c r="K1708" s="11" t="s">
        <v>217</v>
      </c>
      <c r="L1708" s="11" t="s">
        <v>19</v>
      </c>
      <c r="M1708" s="11" t="s">
        <v>147</v>
      </c>
    </row>
    <row r="1709" customFormat="false" ht="15" hidden="false" customHeight="false" outlineLevel="0" collapsed="false">
      <c r="A1709" s="11" t="s">
        <v>110</v>
      </c>
      <c r="B1709" s="11" t="s">
        <v>133</v>
      </c>
      <c r="C1709" s="11" t="n">
        <v>25</v>
      </c>
      <c r="D1709" s="11" t="s">
        <v>86</v>
      </c>
      <c r="E1709" s="11" t="s">
        <v>181</v>
      </c>
      <c r="F1709" s="11" t="s">
        <v>85</v>
      </c>
      <c r="G1709" s="12" t="n">
        <v>150</v>
      </c>
      <c r="H1709" s="12" t="n">
        <f aca="false">SUMPRODUCT(ПОТОКИ!B14:G14,ЧАСОВЫЕ_ПРОФИЛИ!B20:G20,КОЭФФИЦИЕНТЫ_ВЫБОРА!F35:K35)</f>
        <v>0.200576</v>
      </c>
      <c r="I1709" s="12" t="n">
        <f aca="false">SUMPRODUCT(ПОТОКИ!B14:G14,ЧАСОВЫЕ_ПРОФИЛИ!B20:G20,КОЭФФИЦИЕНТЫ_ВЫБОРА!F35:K35,ПАРАМЕТРЫ!$B$17:$G$17)</f>
        <v>0.2206336</v>
      </c>
      <c r="J1709" s="12" t="n">
        <f aca="false">I1709*G1709/1000</f>
        <v>0.03309504</v>
      </c>
      <c r="K1709" s="11" t="s">
        <v>217</v>
      </c>
      <c r="L1709" s="11" t="s">
        <v>19</v>
      </c>
      <c r="M1709" s="11" t="s">
        <v>147</v>
      </c>
    </row>
    <row r="1710" customFormat="false" ht="23.85" hidden="false" customHeight="false" outlineLevel="0" collapsed="false">
      <c r="A1710" s="11" t="s">
        <v>110</v>
      </c>
      <c r="B1710" s="11" t="s">
        <v>133</v>
      </c>
      <c r="C1710" s="11" t="n">
        <v>26</v>
      </c>
      <c r="D1710" s="11" t="s">
        <v>89</v>
      </c>
      <c r="E1710" s="11" t="s">
        <v>182</v>
      </c>
      <c r="F1710" s="11" t="s">
        <v>88</v>
      </c>
      <c r="G1710" s="12" t="n">
        <v>225</v>
      </c>
      <c r="H1710" s="12" t="n">
        <f aca="false">SUMPRODUCT(ПОТОКИ!B14:G14,ЧАСОВЫЕ_ПРОФИЛИ!B20:G20,КОЭФФИЦИЕНТЫ_ВЫБОРА!F36:K36)</f>
        <v>0</v>
      </c>
      <c r="I1710" s="12" t="n">
        <f aca="false">SUMPRODUCT(ПОТОКИ!B14:G14,ЧАСОВЫЕ_ПРОФИЛИ!B20:G20,КОЭФФИЦИЕНТЫ_ВЫБОРА!F36:K36,ПАРАМЕТРЫ!$B$17:$G$17)</f>
        <v>0</v>
      </c>
      <c r="J1710" s="12" t="n">
        <f aca="false">I1710*G1710/1000</f>
        <v>0</v>
      </c>
      <c r="K1710" s="11" t="s">
        <v>217</v>
      </c>
      <c r="L1710" s="11" t="s">
        <v>19</v>
      </c>
      <c r="M1710" s="11" t="s">
        <v>145</v>
      </c>
    </row>
    <row r="1711" customFormat="false" ht="23.85" hidden="false" customHeight="false" outlineLevel="0" collapsed="false">
      <c r="A1711" s="11" t="s">
        <v>110</v>
      </c>
      <c r="B1711" s="11" t="s">
        <v>133</v>
      </c>
      <c r="C1711" s="11" t="n">
        <v>27</v>
      </c>
      <c r="D1711" s="11" t="s">
        <v>89</v>
      </c>
      <c r="E1711" s="11" t="s">
        <v>183</v>
      </c>
      <c r="F1711" s="11" t="s">
        <v>88</v>
      </c>
      <c r="G1711" s="12" t="n">
        <v>265</v>
      </c>
      <c r="H1711" s="12" t="n">
        <f aca="false">SUMPRODUCT(ПОТОКИ!B14:G14,ЧАСОВЫЕ_ПРОФИЛИ!B20:G20,КОЭФФИЦИЕНТЫ_ВЫБОРА!F37:K37)</f>
        <v>0</v>
      </c>
      <c r="I1711" s="12" t="n">
        <f aca="false">SUMPRODUCT(ПОТОКИ!B14:G14,ЧАСОВЫЕ_ПРОФИЛИ!B20:G20,КОЭФФИЦИЕНТЫ_ВЫБОРА!F37:K37,ПАРАМЕТРЫ!$B$17:$G$17)</f>
        <v>0</v>
      </c>
      <c r="J1711" s="12" t="n">
        <f aca="false">I1711*G1711/1000</f>
        <v>0</v>
      </c>
      <c r="K1711" s="11" t="s">
        <v>217</v>
      </c>
      <c r="L1711" s="11" t="s">
        <v>19</v>
      </c>
      <c r="M1711" s="11" t="s">
        <v>145</v>
      </c>
    </row>
    <row r="1712" customFormat="false" ht="23.85" hidden="false" customHeight="false" outlineLevel="0" collapsed="false">
      <c r="A1712" s="11" t="s">
        <v>110</v>
      </c>
      <c r="B1712" s="11" t="s">
        <v>133</v>
      </c>
      <c r="C1712" s="11" t="n">
        <v>28</v>
      </c>
      <c r="D1712" s="11" t="s">
        <v>89</v>
      </c>
      <c r="E1712" s="11" t="s">
        <v>184</v>
      </c>
      <c r="F1712" s="11" t="s">
        <v>88</v>
      </c>
      <c r="G1712" s="12" t="n">
        <v>355</v>
      </c>
      <c r="H1712" s="12" t="n">
        <f aca="false">SUMPRODUCT(ПОТОКИ!B14:G14,ЧАСОВЫЕ_ПРОФИЛИ!B20:G20,КОЭФФИЦИЕНТЫ_ВЫБОРА!F38:K38)</f>
        <v>0</v>
      </c>
      <c r="I1712" s="12" t="n">
        <f aca="false">SUMPRODUCT(ПОТОКИ!B14:G14,ЧАСОВЫЕ_ПРОФИЛИ!B20:G20,КОЭФФИЦИЕНТЫ_ВЫБОРА!F38:K38,ПАРАМЕТРЫ!$B$17:$G$17)</f>
        <v>0</v>
      </c>
      <c r="J1712" s="12" t="n">
        <f aca="false">I1712*G1712/1000</f>
        <v>0</v>
      </c>
      <c r="K1712" s="11" t="s">
        <v>217</v>
      </c>
      <c r="L1712" s="11" t="s">
        <v>19</v>
      </c>
      <c r="M1712" s="11" t="s">
        <v>145</v>
      </c>
    </row>
    <row r="1713" customFormat="false" ht="15" hidden="false" customHeight="false" outlineLevel="0" collapsed="false">
      <c r="A1713" s="11" t="s">
        <v>110</v>
      </c>
      <c r="B1713" s="11" t="s">
        <v>133</v>
      </c>
      <c r="C1713" s="11" t="n">
        <v>29</v>
      </c>
      <c r="D1713" s="11" t="s">
        <v>92</v>
      </c>
      <c r="E1713" s="11" t="s">
        <v>185</v>
      </c>
      <c r="F1713" s="11" t="s">
        <v>91</v>
      </c>
      <c r="G1713" s="12" t="n">
        <v>150</v>
      </c>
      <c r="H1713" s="12" t="n">
        <f aca="false">SUMPRODUCT(ПОТОКИ!B14:G14,ЧАСОВЫЕ_ПРОФИЛИ!B20:G20,КОЭФФИЦИЕНТЫ_ВЫБОРА!F39:K39)</f>
        <v>0.2388</v>
      </c>
      <c r="I1713" s="12" t="n">
        <f aca="false">SUMPRODUCT(ПОТОКИ!B14:G14,ЧАСОВЫЕ_ПРОФИЛИ!B20:G20,КОЭФФИЦИЕНТЫ_ВЫБОРА!F39:K39,ПАРАМЕТРЫ!$B$17:$G$17)</f>
        <v>0.26268</v>
      </c>
      <c r="J1713" s="12" t="n">
        <f aca="false">I1713*G1713/1000</f>
        <v>0.039402</v>
      </c>
      <c r="K1713" s="11" t="s">
        <v>217</v>
      </c>
      <c r="L1713" s="11" t="s">
        <v>19</v>
      </c>
      <c r="M1713" s="11" t="s">
        <v>145</v>
      </c>
    </row>
    <row r="1714" customFormat="false" ht="15" hidden="false" customHeight="false" outlineLevel="0" collapsed="false">
      <c r="A1714" s="11" t="s">
        <v>110</v>
      </c>
      <c r="B1714" s="11" t="s">
        <v>133</v>
      </c>
      <c r="C1714" s="11" t="n">
        <v>30</v>
      </c>
      <c r="D1714" s="11" t="s">
        <v>92</v>
      </c>
      <c r="E1714" s="11" t="s">
        <v>186</v>
      </c>
      <c r="F1714" s="11" t="s">
        <v>91</v>
      </c>
      <c r="G1714" s="12" t="n">
        <v>120</v>
      </c>
      <c r="H1714" s="12" t="n">
        <f aca="false">SUMPRODUCT(ПОТОКИ!B14:G14,ЧАСОВЫЕ_ПРОФИЛИ!B20:G20,КОЭФФИЦИЕНТЫ_ВЫБОРА!F40:K40)</f>
        <v>0.2388</v>
      </c>
      <c r="I1714" s="12" t="n">
        <f aca="false">SUMPRODUCT(ПОТОКИ!B14:G14,ЧАСОВЫЕ_ПРОФИЛИ!B20:G20,КОЭФФИЦИЕНТЫ_ВЫБОРА!F40:K40,ПАРАМЕТРЫ!$B$17:$G$17)</f>
        <v>0.26268</v>
      </c>
      <c r="J1714" s="12" t="n">
        <f aca="false">I1714*G1714/1000</f>
        <v>0.0315216</v>
      </c>
      <c r="K1714" s="11" t="s">
        <v>217</v>
      </c>
      <c r="L1714" s="11" t="s">
        <v>19</v>
      </c>
      <c r="M1714" s="11" t="s">
        <v>145</v>
      </c>
    </row>
    <row r="1715" customFormat="false" ht="15" hidden="false" customHeight="false" outlineLevel="0" collapsed="false">
      <c r="A1715" s="11" t="s">
        <v>110</v>
      </c>
      <c r="B1715" s="11" t="s">
        <v>133</v>
      </c>
      <c r="C1715" s="11" t="n">
        <v>31</v>
      </c>
      <c r="D1715" s="11" t="s">
        <v>92</v>
      </c>
      <c r="E1715" s="11" t="s">
        <v>187</v>
      </c>
      <c r="F1715" s="11" t="s">
        <v>91</v>
      </c>
      <c r="G1715" s="12" t="n">
        <v>60</v>
      </c>
      <c r="H1715" s="12" t="n">
        <f aca="false">SUMPRODUCT(ПОТОКИ!B14:G14,ЧАСОВЫЕ_ПРОФИЛИ!B20:G20,КОЭФФИЦИЕНТЫ_ВЫБОРА!F41:K41)</f>
        <v>0.2544</v>
      </c>
      <c r="I1715" s="12" t="n">
        <f aca="false">SUMPRODUCT(ПОТОКИ!B14:G14,ЧАСОВЫЕ_ПРОФИЛИ!B20:G20,КОЭФФИЦИЕНТЫ_ВЫБОРА!F41:K41,ПАРАМЕТРЫ!$B$17:$G$17)</f>
        <v>0.27984</v>
      </c>
      <c r="J1715" s="12" t="n">
        <f aca="false">I1715*G1715/1000</f>
        <v>0.0167904</v>
      </c>
      <c r="K1715" s="11" t="s">
        <v>217</v>
      </c>
      <c r="L1715" s="11" t="s">
        <v>19</v>
      </c>
      <c r="M1715" s="11" t="s">
        <v>145</v>
      </c>
    </row>
    <row r="1716" customFormat="false" ht="15" hidden="false" customHeight="false" outlineLevel="0" collapsed="false">
      <c r="A1716" s="11" t="s">
        <v>110</v>
      </c>
      <c r="B1716" s="11" t="s">
        <v>134</v>
      </c>
      <c r="C1716" s="11" t="n">
        <v>1</v>
      </c>
      <c r="D1716" s="11" t="s">
        <v>74</v>
      </c>
      <c r="E1716" s="11" t="s">
        <v>153</v>
      </c>
      <c r="F1716" s="11" t="s">
        <v>73</v>
      </c>
      <c r="G1716" s="12" t="n">
        <v>450</v>
      </c>
      <c r="H1716" s="12" t="n">
        <f aca="false">SUMPRODUCT(ПОТОКИ!B14:G14,ЧАСОВЫЕ_ПРОФИЛИ!B21:G21,КОЭФФИЦИЕНТЫ_ВЫБОРА!F11:K11)</f>
        <v>0.1756</v>
      </c>
      <c r="I1716" s="12" t="n">
        <f aca="false">SUMPRODUCT(ПОТОКИ!B14:G14,ЧАСОВЫЕ_ПРОФИЛИ!B21:G21,КОЭФФИЦИЕНТЫ_ВЫБОРА!F11:K11,ПАРАМЕТРЫ!$B$17:$G$17)</f>
        <v>0.19316</v>
      </c>
      <c r="J1716" s="12" t="n">
        <f aca="false">I1716*G1716/1000</f>
        <v>0.086922</v>
      </c>
      <c r="K1716" s="11" t="s">
        <v>217</v>
      </c>
      <c r="L1716" s="11" t="s">
        <v>19</v>
      </c>
      <c r="M1716" s="11" t="s">
        <v>145</v>
      </c>
    </row>
    <row r="1717" customFormat="false" ht="15" hidden="false" customHeight="false" outlineLevel="0" collapsed="false">
      <c r="A1717" s="11" t="s">
        <v>110</v>
      </c>
      <c r="B1717" s="11" t="s">
        <v>134</v>
      </c>
      <c r="C1717" s="11" t="n">
        <v>2</v>
      </c>
      <c r="D1717" s="11" t="s">
        <v>74</v>
      </c>
      <c r="E1717" s="11" t="s">
        <v>154</v>
      </c>
      <c r="F1717" s="11" t="s">
        <v>73</v>
      </c>
      <c r="G1717" s="12" t="n">
        <v>480</v>
      </c>
      <c r="H1717" s="12" t="n">
        <f aca="false">SUMPRODUCT(ПОТОКИ!B14:G14,ЧАСОВЫЕ_ПРОФИЛИ!B21:G21,КОЭФФИЦИЕНТЫ_ВЫБОРА!F12:K12)</f>
        <v>0.3053</v>
      </c>
      <c r="I1717" s="12" t="n">
        <f aca="false">SUMPRODUCT(ПОТОКИ!B14:G14,ЧАСОВЫЕ_ПРОФИЛИ!B21:G21,КОЭФФИЦИЕНТЫ_ВЫБОРА!F12:K12,ПАРАМЕТРЫ!$B$17:$G$17)</f>
        <v>0.33583</v>
      </c>
      <c r="J1717" s="12" t="n">
        <f aca="false">I1717*G1717/1000</f>
        <v>0.1611984</v>
      </c>
      <c r="K1717" s="11" t="s">
        <v>217</v>
      </c>
      <c r="L1717" s="11" t="s">
        <v>19</v>
      </c>
      <c r="M1717" s="11" t="s">
        <v>145</v>
      </c>
    </row>
    <row r="1718" customFormat="false" ht="15" hidden="false" customHeight="false" outlineLevel="0" collapsed="false">
      <c r="A1718" s="11" t="s">
        <v>110</v>
      </c>
      <c r="B1718" s="11" t="s">
        <v>134</v>
      </c>
      <c r="C1718" s="11" t="n">
        <v>3</v>
      </c>
      <c r="D1718" s="11" t="s">
        <v>74</v>
      </c>
      <c r="E1718" s="11" t="s">
        <v>155</v>
      </c>
      <c r="F1718" s="11" t="s">
        <v>73</v>
      </c>
      <c r="G1718" s="12" t="n">
        <v>500</v>
      </c>
      <c r="H1718" s="12" t="n">
        <f aca="false">SUMPRODUCT(ПОТОКИ!B14:G14,ЧАСОВЫЕ_ПРОФИЛИ!B21:G21,КОЭФФИЦИЕНТЫ_ВЫБОРА!F13:K13)</f>
        <v>0.4517</v>
      </c>
      <c r="I1718" s="12" t="n">
        <f aca="false">SUMPRODUCT(ПОТОКИ!B14:G14,ЧАСОВЫЕ_ПРОФИЛИ!B21:G21,КОЭФФИЦИЕНТЫ_ВЫБОРА!F13:K13,ПАРАМЕТРЫ!$B$17:$G$17)</f>
        <v>0.49687</v>
      </c>
      <c r="J1718" s="12" t="n">
        <f aca="false">I1718*G1718/1000</f>
        <v>0.248435</v>
      </c>
      <c r="K1718" s="11" t="s">
        <v>217</v>
      </c>
      <c r="L1718" s="11" t="s">
        <v>19</v>
      </c>
      <c r="M1718" s="11" t="s">
        <v>145</v>
      </c>
    </row>
    <row r="1719" customFormat="false" ht="15" hidden="false" customHeight="false" outlineLevel="0" collapsed="false">
      <c r="A1719" s="11" t="s">
        <v>110</v>
      </c>
      <c r="B1719" s="11" t="s">
        <v>134</v>
      </c>
      <c r="C1719" s="11" t="n">
        <v>4</v>
      </c>
      <c r="D1719" s="11" t="s">
        <v>74</v>
      </c>
      <c r="E1719" s="11" t="s">
        <v>156</v>
      </c>
      <c r="F1719" s="11" t="s">
        <v>73</v>
      </c>
      <c r="G1719" s="12" t="n">
        <v>500</v>
      </c>
      <c r="H1719" s="12" t="n">
        <f aca="false">SUMPRODUCT(ПОТОКИ!B14:G14,ЧАСОВЫЕ_ПРОФИЛИ!B21:G21,КОЭФФИЦИЕНТЫ_ВЫБОРА!F14:K14)</f>
        <v>0.5814</v>
      </c>
      <c r="I1719" s="12" t="n">
        <f aca="false">SUMPRODUCT(ПОТОКИ!B14:G14,ЧАСОВЫЕ_ПРОФИЛИ!B21:G21,КОЭФФИЦИЕНТЫ_ВЫБОРА!F14:K14,ПАРАМЕТРЫ!$B$17:$G$17)</f>
        <v>0.63954</v>
      </c>
      <c r="J1719" s="12" t="n">
        <f aca="false">I1719*G1719/1000</f>
        <v>0.31977</v>
      </c>
      <c r="K1719" s="11" t="s">
        <v>217</v>
      </c>
      <c r="L1719" s="11" t="s">
        <v>19</v>
      </c>
      <c r="M1719" s="11" t="s">
        <v>145</v>
      </c>
    </row>
    <row r="1720" customFormat="false" ht="15" hidden="false" customHeight="false" outlineLevel="0" collapsed="false">
      <c r="A1720" s="11" t="s">
        <v>110</v>
      </c>
      <c r="B1720" s="11" t="s">
        <v>134</v>
      </c>
      <c r="C1720" s="11" t="n">
        <v>5</v>
      </c>
      <c r="D1720" s="11" t="s">
        <v>78</v>
      </c>
      <c r="E1720" s="11" t="s">
        <v>157</v>
      </c>
      <c r="F1720" s="11" t="s">
        <v>77</v>
      </c>
      <c r="G1720" s="12" t="n">
        <v>100</v>
      </c>
      <c r="H1720" s="12" t="n">
        <f aca="false">SUMPRODUCT(ПОТОКИ!B14:G14,ЧАСОВЫЕ_ПРОФИЛИ!B21:G21,КОЭФФИЦИЕНТЫ_ВЫБОРА!F15:K15)</f>
        <v>0.4518</v>
      </c>
      <c r="I1720" s="12" t="n">
        <f aca="false">SUMPRODUCT(ПОТОКИ!B14:G14,ЧАСОВЫЕ_ПРОФИЛИ!B21:G21,КОЭФФИЦИЕНТЫ_ВЫБОРА!F15:K15,ПАРАМЕТРЫ!$B$17:$G$17)</f>
        <v>0.49698</v>
      </c>
      <c r="J1720" s="12" t="n">
        <f aca="false">I1720*G1720/1000</f>
        <v>0.049698</v>
      </c>
      <c r="K1720" s="11" t="s">
        <v>217</v>
      </c>
      <c r="L1720" s="11" t="s">
        <v>19</v>
      </c>
      <c r="M1720" s="11" t="s">
        <v>147</v>
      </c>
    </row>
    <row r="1721" customFormat="false" ht="15" hidden="false" customHeight="false" outlineLevel="0" collapsed="false">
      <c r="A1721" s="11" t="s">
        <v>110</v>
      </c>
      <c r="B1721" s="11" t="s">
        <v>134</v>
      </c>
      <c r="C1721" s="11" t="n">
        <v>6</v>
      </c>
      <c r="D1721" s="11" t="s">
        <v>78</v>
      </c>
      <c r="E1721" s="11" t="s">
        <v>158</v>
      </c>
      <c r="F1721" s="11" t="s">
        <v>77</v>
      </c>
      <c r="G1721" s="12" t="n">
        <v>100</v>
      </c>
      <c r="H1721" s="12" t="n">
        <f aca="false">SUMPRODUCT(ПОТОКИ!B14:G14,ЧАСОВЫЕ_ПРОФИЛИ!B21:G21,КОЭФФИЦИЕНТЫ_ВЫБОРА!F16:K16)</f>
        <v>0.4301</v>
      </c>
      <c r="I1721" s="12" t="n">
        <f aca="false">SUMPRODUCT(ПОТОКИ!B14:G14,ЧАСОВЫЕ_ПРОФИЛИ!B21:G21,КОЭФФИЦИЕНТЫ_ВЫБОРА!F16:K16,ПАРАМЕТРЫ!$B$17:$G$17)</f>
        <v>0.47311</v>
      </c>
      <c r="J1721" s="12" t="n">
        <f aca="false">I1721*G1721/1000</f>
        <v>0.047311</v>
      </c>
      <c r="K1721" s="11" t="s">
        <v>217</v>
      </c>
      <c r="L1721" s="11" t="s">
        <v>19</v>
      </c>
      <c r="M1721" s="11" t="s">
        <v>147</v>
      </c>
    </row>
    <row r="1722" customFormat="false" ht="15" hidden="false" customHeight="false" outlineLevel="0" collapsed="false">
      <c r="A1722" s="11" t="s">
        <v>110</v>
      </c>
      <c r="B1722" s="11" t="s">
        <v>134</v>
      </c>
      <c r="C1722" s="11" t="n">
        <v>7</v>
      </c>
      <c r="D1722" s="11" t="s">
        <v>78</v>
      </c>
      <c r="E1722" s="11" t="s">
        <v>159</v>
      </c>
      <c r="F1722" s="11" t="s">
        <v>77</v>
      </c>
      <c r="G1722" s="12" t="n">
        <v>350</v>
      </c>
      <c r="H1722" s="12" t="n">
        <f aca="false">SUMPRODUCT(ПОТОКИ!B14:G14,ЧАСОВЫЕ_ПРОФИЛИ!B21:G21,КОЭФФИЦИЕНТЫ_ВЫБОРА!F17:K17)</f>
        <v>0.3701</v>
      </c>
      <c r="I1722" s="12" t="n">
        <f aca="false">SUMPRODUCT(ПОТОКИ!B14:G14,ЧАСОВЫЕ_ПРОФИЛИ!B21:G21,КОЭФФИЦИЕНТЫ_ВЫБОРА!F17:K17,ПАРАМЕТРЫ!$B$17:$G$17)</f>
        <v>0.40711</v>
      </c>
      <c r="J1722" s="12" t="n">
        <f aca="false">I1722*G1722/1000</f>
        <v>0.1424885</v>
      </c>
      <c r="K1722" s="11" t="s">
        <v>217</v>
      </c>
      <c r="L1722" s="11" t="s">
        <v>19</v>
      </c>
      <c r="M1722" s="11" t="s">
        <v>147</v>
      </c>
    </row>
    <row r="1723" customFormat="false" ht="15" hidden="false" customHeight="false" outlineLevel="0" collapsed="false">
      <c r="A1723" s="11" t="s">
        <v>110</v>
      </c>
      <c r="B1723" s="11" t="s">
        <v>134</v>
      </c>
      <c r="C1723" s="11" t="n">
        <v>8</v>
      </c>
      <c r="D1723" s="11" t="s">
        <v>78</v>
      </c>
      <c r="E1723" s="11" t="s">
        <v>160</v>
      </c>
      <c r="F1723" s="11" t="s">
        <v>77</v>
      </c>
      <c r="G1723" s="12" t="n">
        <v>85</v>
      </c>
      <c r="H1723" s="12" t="n">
        <f aca="false">SUMPRODUCT(ПОТОКИ!B14:G14,ЧАСОВЫЕ_ПРОФИЛИ!B21:G21,КОЭФФИЦИЕНТЫ_ВЫБОРА!F18:K18)</f>
        <v>0.2284</v>
      </c>
      <c r="I1723" s="12" t="n">
        <f aca="false">SUMPRODUCT(ПОТОКИ!B14:G14,ЧАСОВЫЕ_ПРОФИЛИ!B21:G21,КОЭФФИЦИЕНТЫ_ВЫБОРА!F18:K18,ПАРАМЕТРЫ!$B$17:$G$17)</f>
        <v>0.25124</v>
      </c>
      <c r="J1723" s="12" t="n">
        <f aca="false">I1723*G1723/1000</f>
        <v>0.0213554</v>
      </c>
      <c r="K1723" s="11" t="s">
        <v>217</v>
      </c>
      <c r="L1723" s="11" t="s">
        <v>19</v>
      </c>
      <c r="M1723" s="11" t="s">
        <v>147</v>
      </c>
    </row>
    <row r="1724" customFormat="false" ht="15" hidden="false" customHeight="false" outlineLevel="0" collapsed="false">
      <c r="A1724" s="11" t="s">
        <v>110</v>
      </c>
      <c r="B1724" s="11" t="s">
        <v>134</v>
      </c>
      <c r="C1724" s="11" t="n">
        <v>9</v>
      </c>
      <c r="D1724" s="11" t="s">
        <v>161</v>
      </c>
      <c r="E1724" s="11" t="s">
        <v>162</v>
      </c>
      <c r="F1724" s="11" t="s">
        <v>80</v>
      </c>
      <c r="G1724" s="12" t="n">
        <v>300</v>
      </c>
      <c r="H1724" s="12" t="n">
        <f aca="false">SUMPRODUCT(ПОТОКИ!B14:G14,ЧАСОВЫЕ_ПРОФИЛИ!B21:G21,КОЭФФИЦИЕНТЫ_ВЫБОРА!F19:K19)</f>
        <v>0.215</v>
      </c>
      <c r="I1724" s="12" t="n">
        <f aca="false">SUMPRODUCT(ПОТОКИ!B14:G14,ЧАСОВЫЕ_ПРОФИЛИ!B21:G21,КОЭФФИЦИЕНТЫ_ВЫБОРА!F19:K19,ПАРАМЕТРЫ!$B$17:$G$17)</f>
        <v>0.2365</v>
      </c>
      <c r="J1724" s="12" t="n">
        <f aca="false">I1724*G1724/1000</f>
        <v>0.07095</v>
      </c>
      <c r="K1724" s="11" t="s">
        <v>217</v>
      </c>
      <c r="L1724" s="11" t="s">
        <v>19</v>
      </c>
      <c r="M1724" s="11" t="s">
        <v>145</v>
      </c>
    </row>
    <row r="1725" customFormat="false" ht="15" hidden="false" customHeight="false" outlineLevel="0" collapsed="false">
      <c r="A1725" s="11" t="s">
        <v>110</v>
      </c>
      <c r="B1725" s="11" t="s">
        <v>134</v>
      </c>
      <c r="C1725" s="11" t="n">
        <v>10</v>
      </c>
      <c r="D1725" s="11" t="s">
        <v>161</v>
      </c>
      <c r="E1725" s="11" t="s">
        <v>163</v>
      </c>
      <c r="F1725" s="11" t="s">
        <v>80</v>
      </c>
      <c r="G1725" s="12" t="n">
        <v>280</v>
      </c>
      <c r="H1725" s="12" t="n">
        <f aca="false">SUMPRODUCT(ПОТОКИ!B14:G14,ЧАСОВЫЕ_ПРОФИЛИ!B21:G21,КОЭФФИЦИЕНТЫ_ВЫБОРА!F20:K20)</f>
        <v>0.251</v>
      </c>
      <c r="I1725" s="12" t="n">
        <f aca="false">SUMPRODUCT(ПОТОКИ!B14:G14,ЧАСОВЫЕ_ПРОФИЛИ!B21:G21,КОЭФФИЦИЕНТЫ_ВЫБОРА!F20:K20,ПАРАМЕТРЫ!$B$17:$G$17)</f>
        <v>0.2761</v>
      </c>
      <c r="J1725" s="12" t="n">
        <f aca="false">I1725*G1725/1000</f>
        <v>0.077308</v>
      </c>
      <c r="K1725" s="11" t="s">
        <v>217</v>
      </c>
      <c r="L1725" s="11" t="s">
        <v>19</v>
      </c>
      <c r="M1725" s="11" t="s">
        <v>145</v>
      </c>
    </row>
    <row r="1726" customFormat="false" ht="15" hidden="false" customHeight="false" outlineLevel="0" collapsed="false">
      <c r="A1726" s="11" t="s">
        <v>110</v>
      </c>
      <c r="B1726" s="11" t="s">
        <v>134</v>
      </c>
      <c r="C1726" s="11" t="n">
        <v>11</v>
      </c>
      <c r="D1726" s="11" t="s">
        <v>161</v>
      </c>
      <c r="E1726" s="11" t="s">
        <v>164</v>
      </c>
      <c r="F1726" s="11" t="s">
        <v>80</v>
      </c>
      <c r="G1726" s="12" t="n">
        <v>270</v>
      </c>
      <c r="H1726" s="12" t="n">
        <f aca="false">SUMPRODUCT(ПОТОКИ!B14:G14,ЧАСОВЫЕ_ПРОФИЛИ!B21:G21,КОЭФФИЦИЕНТЫ_ВЫБОРА!F21:K21)</f>
        <v>0.42485</v>
      </c>
      <c r="I1726" s="12" t="n">
        <f aca="false">SUMPRODUCT(ПОТОКИ!B14:G14,ЧАСОВЫЕ_ПРОФИЛИ!B21:G21,КОЭФФИЦИЕНТЫ_ВЫБОРА!F21:K21,ПАРАМЕТРЫ!$B$17:$G$17)</f>
        <v>0.467335</v>
      </c>
      <c r="J1726" s="12" t="n">
        <f aca="false">I1726*G1726/1000</f>
        <v>0.12618045</v>
      </c>
      <c r="K1726" s="11" t="s">
        <v>217</v>
      </c>
      <c r="L1726" s="11" t="s">
        <v>19</v>
      </c>
      <c r="M1726" s="11" t="s">
        <v>145</v>
      </c>
    </row>
    <row r="1727" customFormat="false" ht="15" hidden="false" customHeight="false" outlineLevel="0" collapsed="false">
      <c r="A1727" s="11" t="s">
        <v>110</v>
      </c>
      <c r="B1727" s="11" t="s">
        <v>134</v>
      </c>
      <c r="C1727" s="11" t="n">
        <v>12</v>
      </c>
      <c r="D1727" s="11" t="s">
        <v>161</v>
      </c>
      <c r="E1727" s="11" t="s">
        <v>165</v>
      </c>
      <c r="F1727" s="11" t="s">
        <v>80</v>
      </c>
      <c r="G1727" s="12" t="n">
        <v>240</v>
      </c>
      <c r="H1727" s="12" t="n">
        <f aca="false">SUMPRODUCT(ПОТОКИ!B14:G14,ЧАСОВЫЕ_ПРОФИЛИ!B21:G21,КОЭФФИЦИЕНТЫ_ВЫБОРА!F22:K22)</f>
        <v>0.22015</v>
      </c>
      <c r="I1727" s="12" t="n">
        <f aca="false">SUMPRODUCT(ПОТОКИ!B14:G14,ЧАСОВЫЕ_ПРОФИЛИ!B21:G21,КОЭФФИЦИЕНТЫ_ВЫБОРА!F22:K22,ПАРАМЕТРЫ!$B$17:$G$17)</f>
        <v>0.242165</v>
      </c>
      <c r="J1727" s="12" t="n">
        <f aca="false">I1727*G1727/1000</f>
        <v>0.0581196</v>
      </c>
      <c r="K1727" s="11" t="s">
        <v>217</v>
      </c>
      <c r="L1727" s="11" t="s">
        <v>19</v>
      </c>
      <c r="M1727" s="11" t="s">
        <v>145</v>
      </c>
    </row>
    <row r="1728" customFormat="false" ht="15" hidden="false" customHeight="false" outlineLevel="0" collapsed="false">
      <c r="A1728" s="11" t="s">
        <v>110</v>
      </c>
      <c r="B1728" s="11" t="s">
        <v>134</v>
      </c>
      <c r="C1728" s="11" t="n">
        <v>13</v>
      </c>
      <c r="D1728" s="11" t="s">
        <v>166</v>
      </c>
      <c r="E1728" s="11" t="s">
        <v>167</v>
      </c>
      <c r="F1728" s="11" t="s">
        <v>80</v>
      </c>
      <c r="G1728" s="12" t="n">
        <v>130</v>
      </c>
      <c r="H1728" s="12" t="n">
        <f aca="false">SUMPRODUCT(ПОТОКИ!B14:G14,ЧАСОВЫЕ_ПРОФИЛИ!B21:G21,КОЭФФИЦИЕНТЫ_ВЫБОРА!F23:K23)</f>
        <v>0.116</v>
      </c>
      <c r="I1728" s="12" t="n">
        <f aca="false">SUMPRODUCT(ПОТОКИ!B14:G14,ЧАСОВЫЕ_ПРОФИЛИ!B21:G21,КОЭФФИЦИЕНТЫ_ВЫБОРА!F23:K23,ПАРАМЕТРЫ!$B$17:$G$17)</f>
        <v>0.1276</v>
      </c>
      <c r="J1728" s="12" t="n">
        <f aca="false">I1728*G1728/1000</f>
        <v>0.016588</v>
      </c>
      <c r="K1728" s="11" t="s">
        <v>217</v>
      </c>
      <c r="L1728" s="11" t="s">
        <v>19</v>
      </c>
      <c r="M1728" s="11" t="s">
        <v>145</v>
      </c>
    </row>
    <row r="1729" customFormat="false" ht="15" hidden="false" customHeight="false" outlineLevel="0" collapsed="false">
      <c r="A1729" s="11" t="s">
        <v>110</v>
      </c>
      <c r="B1729" s="11" t="s">
        <v>134</v>
      </c>
      <c r="C1729" s="11" t="n">
        <v>14</v>
      </c>
      <c r="D1729" s="11" t="s">
        <v>166</v>
      </c>
      <c r="E1729" s="11" t="s">
        <v>168</v>
      </c>
      <c r="F1729" s="11" t="s">
        <v>80</v>
      </c>
      <c r="G1729" s="12" t="n">
        <v>250</v>
      </c>
      <c r="H1729" s="12" t="n">
        <f aca="false">SUMPRODUCT(ПОТОКИ!B14:G14,ЧАСОВЫЕ_ПРОФИЛИ!B21:G21,КОЭФФИЦИЕНТЫ_ВЫБОРА!F24:K24)</f>
        <v>0.0826</v>
      </c>
      <c r="I1729" s="12" t="n">
        <f aca="false">SUMPRODUCT(ПОТОКИ!B14:G14,ЧАСОВЫЕ_ПРОФИЛИ!B21:G21,КОЭФФИЦИЕНТЫ_ВЫБОРА!F24:K24,ПАРАМЕТРЫ!$B$17:$G$17)</f>
        <v>0.09086</v>
      </c>
      <c r="J1729" s="12" t="n">
        <f aca="false">I1729*G1729/1000</f>
        <v>0.022715</v>
      </c>
      <c r="K1729" s="11" t="s">
        <v>217</v>
      </c>
      <c r="L1729" s="11" t="s">
        <v>19</v>
      </c>
      <c r="M1729" s="11" t="s">
        <v>145</v>
      </c>
    </row>
    <row r="1730" customFormat="false" ht="15" hidden="false" customHeight="false" outlineLevel="0" collapsed="false">
      <c r="A1730" s="11" t="s">
        <v>110</v>
      </c>
      <c r="B1730" s="11" t="s">
        <v>134</v>
      </c>
      <c r="C1730" s="11" t="n">
        <v>15</v>
      </c>
      <c r="D1730" s="11" t="s">
        <v>166</v>
      </c>
      <c r="E1730" s="11" t="s">
        <v>169</v>
      </c>
      <c r="F1730" s="11" t="s">
        <v>80</v>
      </c>
      <c r="G1730" s="12" t="n">
        <v>120</v>
      </c>
      <c r="H1730" s="12" t="n">
        <f aca="false">SUMPRODUCT(ПОТОКИ!B14:G14,ЧАСОВЫЕ_ПРОФИЛИ!B21:G21,КОЭФФИЦИЕНТЫ_ВЫБОРА!F25:K25)</f>
        <v>0.0676</v>
      </c>
      <c r="I1730" s="12" t="n">
        <f aca="false">SUMPRODUCT(ПОТОКИ!B14:G14,ЧАСОВЫЕ_ПРОФИЛИ!B21:G21,КОЭФФИЦИЕНТЫ_ВЫБОРА!F25:K25,ПАРАМЕТРЫ!$B$17:$G$17)</f>
        <v>0.07436</v>
      </c>
      <c r="J1730" s="12" t="n">
        <f aca="false">I1730*G1730/1000</f>
        <v>0.0089232</v>
      </c>
      <c r="K1730" s="11" t="s">
        <v>217</v>
      </c>
      <c r="L1730" s="11" t="s">
        <v>19</v>
      </c>
      <c r="M1730" s="11" t="s">
        <v>145</v>
      </c>
    </row>
    <row r="1731" customFormat="false" ht="15" hidden="false" customHeight="false" outlineLevel="0" collapsed="false">
      <c r="A1731" s="11" t="s">
        <v>110</v>
      </c>
      <c r="B1731" s="11" t="s">
        <v>134</v>
      </c>
      <c r="C1731" s="11" t="n">
        <v>16</v>
      </c>
      <c r="D1731" s="11" t="s">
        <v>166</v>
      </c>
      <c r="E1731" s="11" t="s">
        <v>170</v>
      </c>
      <c r="F1731" s="11" t="s">
        <v>80</v>
      </c>
      <c r="G1731" s="12" t="n">
        <v>180</v>
      </c>
      <c r="H1731" s="12" t="n">
        <f aca="false">SUMPRODUCT(ПОТОКИ!B14:G14,ЧАСОВЫЕ_ПРОФИЛИ!B21:G21,КОЭФФИЦИЕНТЫ_ВЫБОРА!F26:K26)</f>
        <v>0.1018</v>
      </c>
      <c r="I1731" s="12" t="n">
        <f aca="false">SUMPRODUCT(ПОТОКИ!B14:G14,ЧАСОВЫЕ_ПРОФИЛИ!B21:G21,КОЭФФИЦИЕНТЫ_ВЫБОРА!F26:K26,ПАРАМЕТРЫ!$B$17:$G$17)</f>
        <v>0.11198</v>
      </c>
      <c r="J1731" s="12" t="n">
        <f aca="false">I1731*G1731/1000</f>
        <v>0.0201564</v>
      </c>
      <c r="K1731" s="11" t="s">
        <v>217</v>
      </c>
      <c r="L1731" s="11" t="s">
        <v>19</v>
      </c>
      <c r="M1731" s="11" t="s">
        <v>145</v>
      </c>
    </row>
    <row r="1732" customFormat="false" ht="15" hidden="false" customHeight="false" outlineLevel="0" collapsed="false">
      <c r="A1732" s="11" t="s">
        <v>110</v>
      </c>
      <c r="B1732" s="11" t="s">
        <v>134</v>
      </c>
      <c r="C1732" s="11" t="n">
        <v>17</v>
      </c>
      <c r="D1732" s="11" t="s">
        <v>166</v>
      </c>
      <c r="E1732" s="11" t="s">
        <v>171</v>
      </c>
      <c r="F1732" s="11" t="s">
        <v>80</v>
      </c>
      <c r="G1732" s="12" t="n">
        <v>180</v>
      </c>
      <c r="H1732" s="12" t="n">
        <f aca="false">SUMPRODUCT(ПОТОКИ!B14:G14,ЧАСОВЫЕ_ПРОФИЛИ!B21:G21,КОЭФФИЦИЕНТЫ_ВЫБОРА!F27:K27)</f>
        <v>0.116</v>
      </c>
      <c r="I1732" s="12" t="n">
        <f aca="false">SUMPRODUCT(ПОТОКИ!B14:G14,ЧАСОВЫЕ_ПРОФИЛИ!B21:G21,КОЭФФИЦИЕНТЫ_ВЫБОРА!F27:K27,ПАРАМЕТРЫ!$B$17:$G$17)</f>
        <v>0.1276</v>
      </c>
      <c r="J1732" s="12" t="n">
        <f aca="false">I1732*G1732/1000</f>
        <v>0.022968</v>
      </c>
      <c r="K1732" s="11" t="s">
        <v>217</v>
      </c>
      <c r="L1732" s="11" t="s">
        <v>19</v>
      </c>
      <c r="M1732" s="11" t="s">
        <v>145</v>
      </c>
    </row>
    <row r="1733" customFormat="false" ht="15" hidden="false" customHeight="false" outlineLevel="0" collapsed="false">
      <c r="A1733" s="11" t="s">
        <v>110</v>
      </c>
      <c r="B1733" s="11" t="s">
        <v>134</v>
      </c>
      <c r="C1733" s="11" t="n">
        <v>18</v>
      </c>
      <c r="D1733" s="11" t="s">
        <v>172</v>
      </c>
      <c r="E1733" s="11" t="s">
        <v>173</v>
      </c>
      <c r="F1733" s="11" t="s">
        <v>83</v>
      </c>
      <c r="G1733" s="12" t="n">
        <v>400</v>
      </c>
      <c r="H1733" s="12" t="n">
        <f aca="false">SUMPRODUCT(ПОТОКИ!B14:G14,ЧАСОВЫЕ_ПРОФИЛИ!B21:G21,КОЭФФИЦИЕНТЫ_ВЫБОРА!F28:K28)</f>
        <v>0.192</v>
      </c>
      <c r="I1733" s="12" t="n">
        <f aca="false">SUMPRODUCT(ПОТОКИ!B14:G14,ЧАСОВЫЕ_ПРОФИЛИ!B21:G21,КОЭФФИЦИЕНТЫ_ВЫБОРА!F28:K28,ПАРАМЕТРЫ!$B$17:$G$17)</f>
        <v>0.2112</v>
      </c>
      <c r="J1733" s="12" t="n">
        <f aca="false">I1733*G1733/1000</f>
        <v>0.08448</v>
      </c>
      <c r="K1733" s="11" t="s">
        <v>217</v>
      </c>
      <c r="L1733" s="11" t="s">
        <v>19</v>
      </c>
      <c r="M1733" s="11" t="s">
        <v>145</v>
      </c>
    </row>
    <row r="1734" customFormat="false" ht="23.85" hidden="false" customHeight="false" outlineLevel="0" collapsed="false">
      <c r="A1734" s="11" t="s">
        <v>110</v>
      </c>
      <c r="B1734" s="11" t="s">
        <v>134</v>
      </c>
      <c r="C1734" s="11" t="n">
        <v>19</v>
      </c>
      <c r="D1734" s="11" t="s">
        <v>174</v>
      </c>
      <c r="E1734" s="11" t="s">
        <v>175</v>
      </c>
      <c r="F1734" s="11" t="s">
        <v>83</v>
      </c>
      <c r="G1734" s="12" t="n">
        <v>300</v>
      </c>
      <c r="H1734" s="12" t="n">
        <f aca="false">SUMPRODUCT(ПОТОКИ!B14:G14,ЧАСОВЫЕ_ПРОФИЛИ!B21:G21,КОЭФФИЦИЕНТЫ_ВЫБОРА!F29:K29)</f>
        <v>0.6315</v>
      </c>
      <c r="I1734" s="12" t="n">
        <f aca="false">SUMPRODUCT(ПОТОКИ!B14:G14,ЧАСОВЫЕ_ПРОФИЛИ!B21:G21,КОЭФФИЦИЕНТЫ_ВЫБОРА!F29:K29,ПАРАМЕТРЫ!$B$17:$G$17)</f>
        <v>0.69465</v>
      </c>
      <c r="J1734" s="12" t="n">
        <f aca="false">I1734*G1734/1000</f>
        <v>0.208395</v>
      </c>
      <c r="K1734" s="11" t="s">
        <v>217</v>
      </c>
      <c r="L1734" s="11" t="s">
        <v>19</v>
      </c>
      <c r="M1734" s="11" t="s">
        <v>145</v>
      </c>
    </row>
    <row r="1735" customFormat="false" ht="15" hidden="false" customHeight="false" outlineLevel="0" collapsed="false">
      <c r="A1735" s="11" t="s">
        <v>110</v>
      </c>
      <c r="B1735" s="11" t="s">
        <v>134</v>
      </c>
      <c r="C1735" s="11" t="n">
        <v>20</v>
      </c>
      <c r="D1735" s="11" t="s">
        <v>174</v>
      </c>
      <c r="E1735" s="11" t="s">
        <v>176</v>
      </c>
      <c r="F1735" s="11" t="s">
        <v>83</v>
      </c>
      <c r="G1735" s="12" t="n">
        <v>360</v>
      </c>
      <c r="H1735" s="12" t="n">
        <f aca="false">SUMPRODUCT(ПОТОКИ!B14:G14,ЧАСОВЫЕ_ПРОФИЛИ!B21:G21,КОЭФФИЦИЕНТЫ_ВЫБОРА!F30:K30)</f>
        <v>0.5746</v>
      </c>
      <c r="I1735" s="12" t="n">
        <f aca="false">SUMPRODUCT(ПОТОКИ!B14:G14,ЧАСОВЫЕ_ПРОФИЛИ!B21:G21,КОЭФФИЦИЕНТЫ_ВЫБОРА!F30:K30,ПАРАМЕТРЫ!$B$17:$G$17)</f>
        <v>0.63206</v>
      </c>
      <c r="J1735" s="12" t="n">
        <f aca="false">I1735*G1735/1000</f>
        <v>0.2275416</v>
      </c>
      <c r="K1735" s="11" t="s">
        <v>217</v>
      </c>
      <c r="L1735" s="11" t="s">
        <v>19</v>
      </c>
      <c r="M1735" s="11" t="s">
        <v>145</v>
      </c>
    </row>
    <row r="1736" customFormat="false" ht="15" hidden="false" customHeight="false" outlineLevel="0" collapsed="false">
      <c r="A1736" s="11" t="s">
        <v>110</v>
      </c>
      <c r="B1736" s="11" t="s">
        <v>134</v>
      </c>
      <c r="C1736" s="11" t="n">
        <v>21</v>
      </c>
      <c r="D1736" s="11" t="s">
        <v>174</v>
      </c>
      <c r="E1736" s="11" t="s">
        <v>177</v>
      </c>
      <c r="F1736" s="11" t="s">
        <v>83</v>
      </c>
      <c r="G1736" s="12" t="n">
        <v>350</v>
      </c>
      <c r="H1736" s="12" t="n">
        <f aca="false">SUMPRODUCT(ПОТОКИ!B14:G14,ЧАСОВЫЕ_ПРОФИЛИ!B21:G21,КОЭФФИЦИЕНТЫ_ВЫБОРА!F31:K31)</f>
        <v>0.86465</v>
      </c>
      <c r="I1736" s="12" t="n">
        <f aca="false">SUMPRODUCT(ПОТОКИ!B14:G14,ЧАСОВЫЕ_ПРОФИЛИ!B21:G21,КОЭФФИЦИЕНТЫ_ВЫБОРА!F31:K31,ПАРАМЕТРЫ!$B$17:$G$17)</f>
        <v>0.951115</v>
      </c>
      <c r="J1736" s="12" t="n">
        <f aca="false">I1736*G1736/1000</f>
        <v>0.33289025</v>
      </c>
      <c r="K1736" s="11" t="s">
        <v>217</v>
      </c>
      <c r="L1736" s="11" t="s">
        <v>19</v>
      </c>
      <c r="M1736" s="11" t="s">
        <v>145</v>
      </c>
    </row>
    <row r="1737" customFormat="false" ht="15" hidden="false" customHeight="false" outlineLevel="0" collapsed="false">
      <c r="A1737" s="11" t="s">
        <v>110</v>
      </c>
      <c r="B1737" s="11" t="s">
        <v>134</v>
      </c>
      <c r="C1737" s="11" t="n">
        <v>22</v>
      </c>
      <c r="D1737" s="11" t="s">
        <v>174</v>
      </c>
      <c r="E1737" s="11" t="s">
        <v>178</v>
      </c>
      <c r="F1737" s="11" t="s">
        <v>83</v>
      </c>
      <c r="G1737" s="12" t="n">
        <v>300</v>
      </c>
      <c r="H1737" s="12" t="n">
        <f aca="false">SUMPRODUCT(ПОТОКИ!B14:G14,ЧАСОВЫЕ_ПРОФИЛИ!B21:G21,КОЭФФИЦИЕНТЫ_ВЫБОРА!F32:K32)</f>
        <v>0.56225</v>
      </c>
      <c r="I1737" s="12" t="n">
        <f aca="false">SUMPRODUCT(ПОТОКИ!B14:G14,ЧАСОВЫЕ_ПРОФИЛИ!B21:G21,КОЭФФИЦИЕНТЫ_ВЫБОРА!F32:K32,ПАРАМЕТРЫ!$B$17:$G$17)</f>
        <v>0.618475</v>
      </c>
      <c r="J1737" s="12" t="n">
        <f aca="false">I1737*G1737/1000</f>
        <v>0.1855425</v>
      </c>
      <c r="K1737" s="11" t="s">
        <v>217</v>
      </c>
      <c r="L1737" s="11" t="s">
        <v>19</v>
      </c>
      <c r="M1737" s="11" t="s">
        <v>145</v>
      </c>
    </row>
    <row r="1738" customFormat="false" ht="15" hidden="false" customHeight="false" outlineLevel="0" collapsed="false">
      <c r="A1738" s="11" t="s">
        <v>110</v>
      </c>
      <c r="B1738" s="11" t="s">
        <v>134</v>
      </c>
      <c r="C1738" s="11" t="n">
        <v>23</v>
      </c>
      <c r="D1738" s="11" t="s">
        <v>86</v>
      </c>
      <c r="E1738" s="11" t="s">
        <v>179</v>
      </c>
      <c r="F1738" s="11" t="s">
        <v>85</v>
      </c>
      <c r="G1738" s="12" t="n">
        <v>150</v>
      </c>
      <c r="H1738" s="12" t="n">
        <f aca="false">SUMPRODUCT(ПОТОКИ!B14:G14,ЧАСОВЫЕ_ПРОФИЛИ!B21:G21,КОЭФФИЦИЕНТЫ_ВЫБОРА!F33:K33)</f>
        <v>0.41465775</v>
      </c>
      <c r="I1738" s="12" t="n">
        <f aca="false">SUMPRODUCT(ПОТОКИ!B14:G14,ЧАСОВЫЕ_ПРОФИЛИ!B21:G21,КОЭФФИЦИЕНТЫ_ВЫБОРА!F33:K33,ПАРАМЕТРЫ!$B$17:$G$17)</f>
        <v>0.456123525</v>
      </c>
      <c r="J1738" s="12" t="n">
        <f aca="false">I1738*G1738/1000</f>
        <v>0.06841852875</v>
      </c>
      <c r="K1738" s="11" t="s">
        <v>217</v>
      </c>
      <c r="L1738" s="11" t="s">
        <v>19</v>
      </c>
      <c r="M1738" s="11" t="s">
        <v>147</v>
      </c>
    </row>
    <row r="1739" customFormat="false" ht="15" hidden="false" customHeight="false" outlineLevel="0" collapsed="false">
      <c r="A1739" s="11" t="s">
        <v>110</v>
      </c>
      <c r="B1739" s="11" t="s">
        <v>134</v>
      </c>
      <c r="C1739" s="11" t="n">
        <v>24</v>
      </c>
      <c r="D1739" s="11" t="s">
        <v>86</v>
      </c>
      <c r="E1739" s="11" t="s">
        <v>180</v>
      </c>
      <c r="F1739" s="11" t="s">
        <v>85</v>
      </c>
      <c r="G1739" s="12" t="n">
        <v>150</v>
      </c>
      <c r="H1739" s="12" t="n">
        <f aca="false">SUMPRODUCT(ПОТОКИ!B14:G14,ЧАСОВЫЕ_ПРОФИЛИ!B21:G21,КОЭФФИЦИЕНТЫ_ВЫБОРА!F34:K34)</f>
        <v>0.215457</v>
      </c>
      <c r="I1739" s="12" t="n">
        <f aca="false">SUMPRODUCT(ПОТОКИ!B14:G14,ЧАСОВЫЕ_ПРОФИЛИ!B21:G21,КОЭФФИЦИЕНТЫ_ВЫБОРА!F34:K34,ПАРАМЕТРЫ!$B$17:$G$17)</f>
        <v>0.2370027</v>
      </c>
      <c r="J1739" s="12" t="n">
        <f aca="false">I1739*G1739/1000</f>
        <v>0.035550405</v>
      </c>
      <c r="K1739" s="11" t="s">
        <v>217</v>
      </c>
      <c r="L1739" s="11" t="s">
        <v>19</v>
      </c>
      <c r="M1739" s="11" t="s">
        <v>147</v>
      </c>
    </row>
    <row r="1740" customFormat="false" ht="15" hidden="false" customHeight="false" outlineLevel="0" collapsed="false">
      <c r="A1740" s="11" t="s">
        <v>110</v>
      </c>
      <c r="B1740" s="11" t="s">
        <v>134</v>
      </c>
      <c r="C1740" s="11" t="n">
        <v>25</v>
      </c>
      <c r="D1740" s="11" t="s">
        <v>86</v>
      </c>
      <c r="E1740" s="11" t="s">
        <v>181</v>
      </c>
      <c r="F1740" s="11" t="s">
        <v>85</v>
      </c>
      <c r="G1740" s="12" t="n">
        <v>150</v>
      </c>
      <c r="H1740" s="12" t="n">
        <f aca="false">SUMPRODUCT(ПОТОКИ!B14:G14,ЧАСОВЫЕ_ПРОФИЛИ!B21:G21,КОЭФФИЦИЕНТЫ_ВЫБОРА!F35:K35)</f>
        <v>0.44717025</v>
      </c>
      <c r="I1740" s="12" t="n">
        <f aca="false">SUMPRODUCT(ПОТОКИ!B14:G14,ЧАСОВЫЕ_ПРОФИЛИ!B21:G21,КОЭФФИЦИЕНТЫ_ВЫБОРА!F35:K35,ПАРАМЕТРЫ!$B$17:$G$17)</f>
        <v>0.491887275</v>
      </c>
      <c r="J1740" s="12" t="n">
        <f aca="false">I1740*G1740/1000</f>
        <v>0.07378309125</v>
      </c>
      <c r="K1740" s="11" t="s">
        <v>217</v>
      </c>
      <c r="L1740" s="11" t="s">
        <v>19</v>
      </c>
      <c r="M1740" s="11" t="s">
        <v>147</v>
      </c>
    </row>
    <row r="1741" customFormat="false" ht="23.85" hidden="false" customHeight="false" outlineLevel="0" collapsed="false">
      <c r="A1741" s="11" t="s">
        <v>110</v>
      </c>
      <c r="B1741" s="11" t="s">
        <v>134</v>
      </c>
      <c r="C1741" s="11" t="n">
        <v>26</v>
      </c>
      <c r="D1741" s="11" t="s">
        <v>89</v>
      </c>
      <c r="E1741" s="11" t="s">
        <v>182</v>
      </c>
      <c r="F1741" s="11" t="s">
        <v>88</v>
      </c>
      <c r="G1741" s="12" t="n">
        <v>225</v>
      </c>
      <c r="H1741" s="12" t="n">
        <f aca="false">SUMPRODUCT(ПОТОКИ!B14:G14,ЧАСОВЫЕ_ПРОФИЛИ!B21:G21,КОЭФФИЦИЕНТЫ_ВЫБОРА!F36:K36)</f>
        <v>0</v>
      </c>
      <c r="I1741" s="12" t="n">
        <f aca="false">SUMPRODUCT(ПОТОКИ!B14:G14,ЧАСОВЫЕ_ПРОФИЛИ!B21:G21,КОЭФФИЦИЕНТЫ_ВЫБОРА!F36:K36,ПАРАМЕТРЫ!$B$17:$G$17)</f>
        <v>0</v>
      </c>
      <c r="J1741" s="12" t="n">
        <f aca="false">I1741*G1741/1000</f>
        <v>0</v>
      </c>
      <c r="K1741" s="11" t="s">
        <v>217</v>
      </c>
      <c r="L1741" s="11" t="s">
        <v>19</v>
      </c>
      <c r="M1741" s="11" t="s">
        <v>145</v>
      </c>
    </row>
    <row r="1742" customFormat="false" ht="23.85" hidden="false" customHeight="false" outlineLevel="0" collapsed="false">
      <c r="A1742" s="11" t="s">
        <v>110</v>
      </c>
      <c r="B1742" s="11" t="s">
        <v>134</v>
      </c>
      <c r="C1742" s="11" t="n">
        <v>27</v>
      </c>
      <c r="D1742" s="11" t="s">
        <v>89</v>
      </c>
      <c r="E1742" s="11" t="s">
        <v>183</v>
      </c>
      <c r="F1742" s="11" t="s">
        <v>88</v>
      </c>
      <c r="G1742" s="12" t="n">
        <v>265</v>
      </c>
      <c r="H1742" s="12" t="n">
        <f aca="false">SUMPRODUCT(ПОТОКИ!B14:G14,ЧАСОВЫЕ_ПРОФИЛИ!B21:G21,КОЭФФИЦИЕНТЫ_ВЫБОРА!F37:K37)</f>
        <v>0</v>
      </c>
      <c r="I1742" s="12" t="n">
        <f aca="false">SUMPRODUCT(ПОТОКИ!B14:G14,ЧАСОВЫЕ_ПРОФИЛИ!B21:G21,КОЭФФИЦИЕНТЫ_ВЫБОРА!F37:K37,ПАРАМЕТРЫ!$B$17:$G$17)</f>
        <v>0</v>
      </c>
      <c r="J1742" s="12" t="n">
        <f aca="false">I1742*G1742/1000</f>
        <v>0</v>
      </c>
      <c r="K1742" s="11" t="s">
        <v>217</v>
      </c>
      <c r="L1742" s="11" t="s">
        <v>19</v>
      </c>
      <c r="M1742" s="11" t="s">
        <v>145</v>
      </c>
    </row>
    <row r="1743" customFormat="false" ht="23.85" hidden="false" customHeight="false" outlineLevel="0" collapsed="false">
      <c r="A1743" s="11" t="s">
        <v>110</v>
      </c>
      <c r="B1743" s="11" t="s">
        <v>134</v>
      </c>
      <c r="C1743" s="11" t="n">
        <v>28</v>
      </c>
      <c r="D1743" s="11" t="s">
        <v>89</v>
      </c>
      <c r="E1743" s="11" t="s">
        <v>184</v>
      </c>
      <c r="F1743" s="11" t="s">
        <v>88</v>
      </c>
      <c r="G1743" s="12" t="n">
        <v>355</v>
      </c>
      <c r="H1743" s="12" t="n">
        <f aca="false">SUMPRODUCT(ПОТОКИ!B14:G14,ЧАСОВЫЕ_ПРОФИЛИ!B21:G21,КОЭФФИЦИЕНТЫ_ВЫБОРА!F38:K38)</f>
        <v>0</v>
      </c>
      <c r="I1743" s="12" t="n">
        <f aca="false">SUMPRODUCT(ПОТОКИ!B14:G14,ЧАСОВЫЕ_ПРОФИЛИ!B21:G21,КОЭФФИЦИЕНТЫ_ВЫБОРА!F38:K38,ПАРАМЕТРЫ!$B$17:$G$17)</f>
        <v>0</v>
      </c>
      <c r="J1743" s="12" t="n">
        <f aca="false">I1743*G1743/1000</f>
        <v>0</v>
      </c>
      <c r="K1743" s="11" t="s">
        <v>217</v>
      </c>
      <c r="L1743" s="11" t="s">
        <v>19</v>
      </c>
      <c r="M1743" s="11" t="s">
        <v>145</v>
      </c>
    </row>
    <row r="1744" customFormat="false" ht="15" hidden="false" customHeight="false" outlineLevel="0" collapsed="false">
      <c r="A1744" s="11" t="s">
        <v>110</v>
      </c>
      <c r="B1744" s="11" t="s">
        <v>134</v>
      </c>
      <c r="C1744" s="11" t="n">
        <v>29</v>
      </c>
      <c r="D1744" s="11" t="s">
        <v>92</v>
      </c>
      <c r="E1744" s="11" t="s">
        <v>185</v>
      </c>
      <c r="F1744" s="11" t="s">
        <v>91</v>
      </c>
      <c r="G1744" s="12" t="n">
        <v>150</v>
      </c>
      <c r="H1744" s="12" t="n">
        <f aca="false">SUMPRODUCT(ПОТОКИ!B14:G14,ЧАСОВЫЕ_ПРОФИЛИ!B21:G21,КОЭФФИЦИЕНТЫ_ВЫБОРА!F39:K39)</f>
        <v>0.2772</v>
      </c>
      <c r="I1744" s="12" t="n">
        <f aca="false">SUMPRODUCT(ПОТОКИ!B14:G14,ЧАСОВЫЕ_ПРОФИЛИ!B21:G21,КОЭФФИЦИЕНТЫ_ВЫБОРА!F39:K39,ПАРАМЕТРЫ!$B$17:$G$17)</f>
        <v>0.30492</v>
      </c>
      <c r="J1744" s="12" t="n">
        <f aca="false">I1744*G1744/1000</f>
        <v>0.045738</v>
      </c>
      <c r="K1744" s="11" t="s">
        <v>217</v>
      </c>
      <c r="L1744" s="11" t="s">
        <v>19</v>
      </c>
      <c r="M1744" s="11" t="s">
        <v>145</v>
      </c>
    </row>
    <row r="1745" customFormat="false" ht="15" hidden="false" customHeight="false" outlineLevel="0" collapsed="false">
      <c r="A1745" s="11" t="s">
        <v>110</v>
      </c>
      <c r="B1745" s="11" t="s">
        <v>134</v>
      </c>
      <c r="C1745" s="11" t="n">
        <v>30</v>
      </c>
      <c r="D1745" s="11" t="s">
        <v>92</v>
      </c>
      <c r="E1745" s="11" t="s">
        <v>186</v>
      </c>
      <c r="F1745" s="11" t="s">
        <v>91</v>
      </c>
      <c r="G1745" s="12" t="n">
        <v>120</v>
      </c>
      <c r="H1745" s="12" t="n">
        <f aca="false">SUMPRODUCT(ПОТОКИ!B14:G14,ЧАСОВЫЕ_ПРОФИЛИ!B21:G21,КОЭФФИЦИЕНТЫ_ВЫБОРА!F40:K40)</f>
        <v>0.3272</v>
      </c>
      <c r="I1745" s="12" t="n">
        <f aca="false">SUMPRODUCT(ПОТОКИ!B14:G14,ЧАСОВЫЕ_ПРОФИЛИ!B21:G21,КОЭФФИЦИЕНТЫ_ВЫБОРА!F40:K40,ПАРАМЕТРЫ!$B$17:$G$17)</f>
        <v>0.35992</v>
      </c>
      <c r="J1745" s="12" t="n">
        <f aca="false">I1745*G1745/1000</f>
        <v>0.0431904</v>
      </c>
      <c r="K1745" s="11" t="s">
        <v>217</v>
      </c>
      <c r="L1745" s="11" t="s">
        <v>19</v>
      </c>
      <c r="M1745" s="11" t="s">
        <v>145</v>
      </c>
    </row>
    <row r="1746" customFormat="false" ht="15" hidden="false" customHeight="false" outlineLevel="0" collapsed="false">
      <c r="A1746" s="11" t="s">
        <v>110</v>
      </c>
      <c r="B1746" s="11" t="s">
        <v>134</v>
      </c>
      <c r="C1746" s="11" t="n">
        <v>31</v>
      </c>
      <c r="D1746" s="11" t="s">
        <v>92</v>
      </c>
      <c r="E1746" s="11" t="s">
        <v>187</v>
      </c>
      <c r="F1746" s="11" t="s">
        <v>91</v>
      </c>
      <c r="G1746" s="12" t="n">
        <v>60</v>
      </c>
      <c r="H1746" s="12" t="n">
        <f aca="false">SUMPRODUCT(ПОТОКИ!B14:G14,ЧАСОВЫЕ_ПРОФИЛИ!B21:G21,КОЭФФИЦИЕНТЫ_ВЫБОРА!F41:K41)</f>
        <v>0.2736</v>
      </c>
      <c r="I1746" s="12" t="n">
        <f aca="false">SUMPRODUCT(ПОТОКИ!B14:G14,ЧАСОВЫЕ_ПРОФИЛИ!B21:G21,КОЭФФИЦИЕНТЫ_ВЫБОРА!F41:K41,ПАРАМЕТРЫ!$B$17:$G$17)</f>
        <v>0.30096</v>
      </c>
      <c r="J1746" s="12" t="n">
        <f aca="false">I1746*G1746/1000</f>
        <v>0.0180576</v>
      </c>
      <c r="K1746" s="11" t="s">
        <v>217</v>
      </c>
      <c r="L1746" s="11" t="s">
        <v>19</v>
      </c>
      <c r="M1746" s="11" t="s">
        <v>145</v>
      </c>
    </row>
    <row r="1747" customFormat="false" ht="15" hidden="false" customHeight="false" outlineLevel="0" collapsed="false">
      <c r="A1747" s="11" t="s">
        <v>110</v>
      </c>
      <c r="B1747" s="11" t="s">
        <v>135</v>
      </c>
      <c r="C1747" s="11" t="n">
        <v>1</v>
      </c>
      <c r="D1747" s="11" t="s">
        <v>74</v>
      </c>
      <c r="E1747" s="11" t="s">
        <v>153</v>
      </c>
      <c r="F1747" s="11" t="s">
        <v>73</v>
      </c>
      <c r="G1747" s="12" t="n">
        <v>450</v>
      </c>
      <c r="H1747" s="12" t="n">
        <f aca="false">SUMPRODUCT(ПОТОКИ!B14:G14,ЧАСОВЫЕ_ПРОФИЛИ!B22:G22,КОЭФФИЦИЕНТЫ_ВЫБОРА!F11:K11)</f>
        <v>0.3207</v>
      </c>
      <c r="I1747" s="12" t="n">
        <f aca="false">SUMPRODUCT(ПОТОКИ!B14:G14,ЧАСОВЫЕ_ПРОФИЛИ!B22:G22,КОЭФФИЦИЕНТЫ_ВЫБОРА!F11:K11,ПАРАМЕТРЫ!$B$17:$G$17)</f>
        <v>0.35277</v>
      </c>
      <c r="J1747" s="12" t="n">
        <f aca="false">I1747*G1747/1000</f>
        <v>0.1587465</v>
      </c>
      <c r="K1747" s="11" t="s">
        <v>217</v>
      </c>
      <c r="L1747" s="11" t="s">
        <v>19</v>
      </c>
      <c r="M1747" s="11" t="s">
        <v>145</v>
      </c>
    </row>
    <row r="1748" customFormat="false" ht="15" hidden="false" customHeight="false" outlineLevel="0" collapsed="false">
      <c r="A1748" s="11" t="s">
        <v>110</v>
      </c>
      <c r="B1748" s="11" t="s">
        <v>135</v>
      </c>
      <c r="C1748" s="11" t="n">
        <v>2</v>
      </c>
      <c r="D1748" s="11" t="s">
        <v>74</v>
      </c>
      <c r="E1748" s="11" t="s">
        <v>154</v>
      </c>
      <c r="F1748" s="11" t="s">
        <v>73</v>
      </c>
      <c r="G1748" s="12" t="n">
        <v>480</v>
      </c>
      <c r="H1748" s="12" t="n">
        <f aca="false">SUMPRODUCT(ПОТОКИ!B14:G14,ЧАСОВЫЕ_ПРОФИЛИ!B22:G22,КОЭФФИЦИЕНТЫ_ВЫБОРА!F12:K12)</f>
        <v>0.5421</v>
      </c>
      <c r="I1748" s="12" t="n">
        <f aca="false">SUMPRODUCT(ПОТОКИ!B14:G14,ЧАСОВЫЕ_ПРОФИЛИ!B22:G22,КОЭФФИЦИЕНТЫ_ВЫБОРА!F12:K12,ПАРАМЕТРЫ!$B$17:$G$17)</f>
        <v>0.59631</v>
      </c>
      <c r="J1748" s="12" t="n">
        <f aca="false">I1748*G1748/1000</f>
        <v>0.2862288</v>
      </c>
      <c r="K1748" s="11" t="s">
        <v>217</v>
      </c>
      <c r="L1748" s="11" t="s">
        <v>19</v>
      </c>
      <c r="M1748" s="11" t="s">
        <v>145</v>
      </c>
    </row>
    <row r="1749" customFormat="false" ht="15" hidden="false" customHeight="false" outlineLevel="0" collapsed="false">
      <c r="A1749" s="11" t="s">
        <v>110</v>
      </c>
      <c r="B1749" s="11" t="s">
        <v>135</v>
      </c>
      <c r="C1749" s="11" t="n">
        <v>3</v>
      </c>
      <c r="D1749" s="11" t="s">
        <v>74</v>
      </c>
      <c r="E1749" s="11" t="s">
        <v>155</v>
      </c>
      <c r="F1749" s="11" t="s">
        <v>73</v>
      </c>
      <c r="G1749" s="12" t="n">
        <v>500</v>
      </c>
      <c r="H1749" s="12" t="n">
        <f aca="false">SUMPRODUCT(ПОТОКИ!B14:G14,ЧАСОВЫЕ_ПРОФИЛИ!B22:G22,КОЭФФИЦИЕНТЫ_ВЫБОРА!F13:K13)</f>
        <v>0.7944</v>
      </c>
      <c r="I1749" s="12" t="n">
        <f aca="false">SUMPRODUCT(ПОТОКИ!B14:G14,ЧАСОВЫЕ_ПРОФИЛИ!B22:G22,КОЭФФИЦИЕНТЫ_ВЫБОРА!F13:K13,ПАРАМЕТРЫ!$B$17:$G$17)</f>
        <v>0.87384</v>
      </c>
      <c r="J1749" s="12" t="n">
        <f aca="false">I1749*G1749/1000</f>
        <v>0.43692</v>
      </c>
      <c r="K1749" s="11" t="s">
        <v>217</v>
      </c>
      <c r="L1749" s="11" t="s">
        <v>19</v>
      </c>
      <c r="M1749" s="11" t="s">
        <v>145</v>
      </c>
    </row>
    <row r="1750" customFormat="false" ht="15" hidden="false" customHeight="false" outlineLevel="0" collapsed="false">
      <c r="A1750" s="11" t="s">
        <v>110</v>
      </c>
      <c r="B1750" s="11" t="s">
        <v>135</v>
      </c>
      <c r="C1750" s="11" t="n">
        <v>4</v>
      </c>
      <c r="D1750" s="11" t="s">
        <v>74</v>
      </c>
      <c r="E1750" s="11" t="s">
        <v>156</v>
      </c>
      <c r="F1750" s="11" t="s">
        <v>73</v>
      </c>
      <c r="G1750" s="12" t="n">
        <v>500</v>
      </c>
      <c r="H1750" s="12" t="n">
        <f aca="false">SUMPRODUCT(ПОТОКИ!B14:G14,ЧАСОВЫЕ_ПРОФИЛИ!B22:G22,КОЭФФИЦИЕНТЫ_ВЫБОРА!F14:K14)</f>
        <v>1.0158</v>
      </c>
      <c r="I1750" s="12" t="n">
        <f aca="false">SUMPRODUCT(ПОТОКИ!B14:G14,ЧАСОВЫЕ_ПРОФИЛИ!B22:G22,КОЭФФИЦИЕНТЫ_ВЫБОРА!F14:K14,ПАРАМЕТРЫ!$B$17:$G$17)</f>
        <v>1.11738</v>
      </c>
      <c r="J1750" s="12" t="n">
        <f aca="false">I1750*G1750/1000</f>
        <v>0.55869</v>
      </c>
      <c r="K1750" s="11" t="s">
        <v>217</v>
      </c>
      <c r="L1750" s="11" t="s">
        <v>19</v>
      </c>
      <c r="M1750" s="11" t="s">
        <v>145</v>
      </c>
    </row>
    <row r="1751" customFormat="false" ht="15" hidden="false" customHeight="false" outlineLevel="0" collapsed="false">
      <c r="A1751" s="11" t="s">
        <v>110</v>
      </c>
      <c r="B1751" s="11" t="s">
        <v>135</v>
      </c>
      <c r="C1751" s="11" t="n">
        <v>5</v>
      </c>
      <c r="D1751" s="11" t="s">
        <v>78</v>
      </c>
      <c r="E1751" s="11" t="s">
        <v>157</v>
      </c>
      <c r="F1751" s="11" t="s">
        <v>77</v>
      </c>
      <c r="G1751" s="12" t="n">
        <v>100</v>
      </c>
      <c r="H1751" s="12" t="n">
        <f aca="false">SUMPRODUCT(ПОТОКИ!B14:G14,ЧАСОВЫЕ_ПРОФИЛИ!B22:G22,КОЭФФИЦИЕНТЫ_ВЫБОРА!F15:K15)</f>
        <v>0.5451</v>
      </c>
      <c r="I1751" s="12" t="n">
        <f aca="false">SUMPRODUCT(ПОТОКИ!B14:G14,ЧАСОВЫЕ_ПРОФИЛИ!B22:G22,КОЭФФИЦИЕНТЫ_ВЫБОРА!F15:K15,ПАРАМЕТРЫ!$B$17:$G$17)</f>
        <v>0.59961</v>
      </c>
      <c r="J1751" s="12" t="n">
        <f aca="false">I1751*G1751/1000</f>
        <v>0.059961</v>
      </c>
      <c r="K1751" s="11" t="s">
        <v>217</v>
      </c>
      <c r="L1751" s="11" t="s">
        <v>19</v>
      </c>
      <c r="M1751" s="11" t="s">
        <v>147</v>
      </c>
    </row>
    <row r="1752" customFormat="false" ht="15" hidden="false" customHeight="false" outlineLevel="0" collapsed="false">
      <c r="A1752" s="11" t="s">
        <v>110</v>
      </c>
      <c r="B1752" s="11" t="s">
        <v>135</v>
      </c>
      <c r="C1752" s="11" t="n">
        <v>6</v>
      </c>
      <c r="D1752" s="11" t="s">
        <v>78</v>
      </c>
      <c r="E1752" s="11" t="s">
        <v>158</v>
      </c>
      <c r="F1752" s="11" t="s">
        <v>77</v>
      </c>
      <c r="G1752" s="12" t="n">
        <v>100</v>
      </c>
      <c r="H1752" s="12" t="n">
        <f aca="false">SUMPRODUCT(ПОТОКИ!B14:G14,ЧАСОВЫЕ_ПРОФИЛИ!B22:G22,КОЭФФИЦИЕНТЫ_ВЫБОРА!F16:K16)</f>
        <v>0.4992</v>
      </c>
      <c r="I1752" s="12" t="n">
        <f aca="false">SUMPRODUCT(ПОТОКИ!B14:G14,ЧАСОВЫЕ_ПРОФИЛИ!B22:G22,КОЭФФИЦИЕНТЫ_ВЫБОРА!F16:K16,ПАРАМЕТРЫ!$B$17:$G$17)</f>
        <v>0.54912</v>
      </c>
      <c r="J1752" s="12" t="n">
        <f aca="false">I1752*G1752/1000</f>
        <v>0.054912</v>
      </c>
      <c r="K1752" s="11" t="s">
        <v>217</v>
      </c>
      <c r="L1752" s="11" t="s">
        <v>19</v>
      </c>
      <c r="M1752" s="11" t="s">
        <v>147</v>
      </c>
    </row>
    <row r="1753" customFormat="false" ht="15" hidden="false" customHeight="false" outlineLevel="0" collapsed="false">
      <c r="A1753" s="11" t="s">
        <v>110</v>
      </c>
      <c r="B1753" s="11" t="s">
        <v>135</v>
      </c>
      <c r="C1753" s="11" t="n">
        <v>7</v>
      </c>
      <c r="D1753" s="11" t="s">
        <v>78</v>
      </c>
      <c r="E1753" s="11" t="s">
        <v>159</v>
      </c>
      <c r="F1753" s="11" t="s">
        <v>77</v>
      </c>
      <c r="G1753" s="12" t="n">
        <v>350</v>
      </c>
      <c r="H1753" s="12" t="n">
        <f aca="false">SUMPRODUCT(ПОТОКИ!B14:G14,ЧАСОВЫЕ_ПРОФИЛИ!B22:G22,КОЭФФИЦИЕНТЫ_ВЫБОРА!F17:K17)</f>
        <v>0.44145</v>
      </c>
      <c r="I1753" s="12" t="n">
        <f aca="false">SUMPRODUCT(ПОТОКИ!B14:G14,ЧАСОВЫЕ_ПРОФИЛИ!B22:G22,КОЭФФИЦИЕНТЫ_ВЫБОРА!F17:K17,ПАРАМЕТРЫ!$B$17:$G$17)</f>
        <v>0.485595</v>
      </c>
      <c r="J1753" s="12" t="n">
        <f aca="false">I1753*G1753/1000</f>
        <v>0.16995825</v>
      </c>
      <c r="K1753" s="11" t="s">
        <v>217</v>
      </c>
      <c r="L1753" s="11" t="s">
        <v>19</v>
      </c>
      <c r="M1753" s="11" t="s">
        <v>147</v>
      </c>
    </row>
    <row r="1754" customFormat="false" ht="15" hidden="false" customHeight="false" outlineLevel="0" collapsed="false">
      <c r="A1754" s="11" t="s">
        <v>110</v>
      </c>
      <c r="B1754" s="11" t="s">
        <v>135</v>
      </c>
      <c r="C1754" s="11" t="n">
        <v>8</v>
      </c>
      <c r="D1754" s="11" t="s">
        <v>78</v>
      </c>
      <c r="E1754" s="11" t="s">
        <v>160</v>
      </c>
      <c r="F1754" s="11" t="s">
        <v>77</v>
      </c>
      <c r="G1754" s="12" t="n">
        <v>85</v>
      </c>
      <c r="H1754" s="12" t="n">
        <f aca="false">SUMPRODUCT(ПОТОКИ!B14:G14,ЧАСОВЫЕ_ПРОФИЛИ!B22:G22,КОЭФФИЦИЕНТЫ_ВЫБОРА!F18:K18)</f>
        <v>0.28005</v>
      </c>
      <c r="I1754" s="12" t="n">
        <f aca="false">SUMPRODUCT(ПОТОКИ!B14:G14,ЧАСОВЫЕ_ПРОФИЛИ!B22:G22,КОЭФФИЦИЕНТЫ_ВЫБОРА!F18:K18,ПАРАМЕТРЫ!$B$17:$G$17)</f>
        <v>0.308055</v>
      </c>
      <c r="J1754" s="12" t="n">
        <f aca="false">I1754*G1754/1000</f>
        <v>0.026184675</v>
      </c>
      <c r="K1754" s="11" t="s">
        <v>217</v>
      </c>
      <c r="L1754" s="11" t="s">
        <v>19</v>
      </c>
      <c r="M1754" s="11" t="s">
        <v>147</v>
      </c>
    </row>
    <row r="1755" customFormat="false" ht="15" hidden="false" customHeight="false" outlineLevel="0" collapsed="false">
      <c r="A1755" s="11" t="s">
        <v>110</v>
      </c>
      <c r="B1755" s="11" t="s">
        <v>135</v>
      </c>
      <c r="C1755" s="11" t="n">
        <v>9</v>
      </c>
      <c r="D1755" s="11" t="s">
        <v>161</v>
      </c>
      <c r="E1755" s="11" t="s">
        <v>162</v>
      </c>
      <c r="F1755" s="11" t="s">
        <v>80</v>
      </c>
      <c r="G1755" s="12" t="n">
        <v>300</v>
      </c>
      <c r="H1755" s="12" t="n">
        <f aca="false">SUMPRODUCT(ПОТОКИ!B14:G14,ЧАСОВЫЕ_ПРОФИЛИ!B22:G22,КОЭФФИЦИЕНТЫ_ВЫБОРА!F19:K19)</f>
        <v>0.4515</v>
      </c>
      <c r="I1755" s="12" t="n">
        <f aca="false">SUMPRODUCT(ПОТОКИ!B14:G14,ЧАСОВЫЕ_ПРОФИЛИ!B22:G22,КОЭФФИЦИЕНТЫ_ВЫБОРА!F19:K19,ПАРАМЕТРЫ!$B$17:$G$17)</f>
        <v>0.49665</v>
      </c>
      <c r="J1755" s="12" t="n">
        <f aca="false">I1755*G1755/1000</f>
        <v>0.148995</v>
      </c>
      <c r="K1755" s="11" t="s">
        <v>217</v>
      </c>
      <c r="L1755" s="11" t="s">
        <v>19</v>
      </c>
      <c r="M1755" s="11" t="s">
        <v>145</v>
      </c>
    </row>
    <row r="1756" customFormat="false" ht="15" hidden="false" customHeight="false" outlineLevel="0" collapsed="false">
      <c r="A1756" s="11" t="s">
        <v>110</v>
      </c>
      <c r="B1756" s="11" t="s">
        <v>135</v>
      </c>
      <c r="C1756" s="11" t="n">
        <v>10</v>
      </c>
      <c r="D1756" s="11" t="s">
        <v>161</v>
      </c>
      <c r="E1756" s="11" t="s">
        <v>163</v>
      </c>
      <c r="F1756" s="11" t="s">
        <v>80</v>
      </c>
      <c r="G1756" s="12" t="n">
        <v>280</v>
      </c>
      <c r="H1756" s="12" t="n">
        <f aca="false">SUMPRODUCT(ПОТОКИ!B14:G14,ЧАСОВЫЕ_ПРОФИЛИ!B22:G22,КОЭФФИЦИЕНТЫ_ВЫБОРА!F20:K20)</f>
        <v>0.51</v>
      </c>
      <c r="I1756" s="12" t="n">
        <f aca="false">SUMPRODUCT(ПОТОКИ!B14:G14,ЧАСОВЫЕ_ПРОФИЛИ!B22:G22,КОЭФФИЦИЕНТЫ_ВЫБОРА!F20:K20,ПАРАМЕТРЫ!$B$17:$G$17)</f>
        <v>0.561</v>
      </c>
      <c r="J1756" s="12" t="n">
        <f aca="false">I1756*G1756/1000</f>
        <v>0.15708</v>
      </c>
      <c r="K1756" s="11" t="s">
        <v>217</v>
      </c>
      <c r="L1756" s="11" t="s">
        <v>19</v>
      </c>
      <c r="M1756" s="11" t="s">
        <v>145</v>
      </c>
    </row>
    <row r="1757" customFormat="false" ht="15" hidden="false" customHeight="false" outlineLevel="0" collapsed="false">
      <c r="A1757" s="11" t="s">
        <v>110</v>
      </c>
      <c r="B1757" s="11" t="s">
        <v>135</v>
      </c>
      <c r="C1757" s="11" t="n">
        <v>11</v>
      </c>
      <c r="D1757" s="11" t="s">
        <v>161</v>
      </c>
      <c r="E1757" s="11" t="s">
        <v>164</v>
      </c>
      <c r="F1757" s="11" t="s">
        <v>80</v>
      </c>
      <c r="G1757" s="12" t="n">
        <v>270</v>
      </c>
      <c r="H1757" s="12" t="n">
        <f aca="false">SUMPRODUCT(ПОТОКИ!B14:G14,ЧАСОВЫЕ_ПРОФИЛИ!B22:G22,КОЭФФИЦИЕНТЫ_ВЫБОРА!F21:K21)</f>
        <v>0.8502</v>
      </c>
      <c r="I1757" s="12" t="n">
        <f aca="false">SUMPRODUCT(ПОТОКИ!B14:G14,ЧАСОВЫЕ_ПРОФИЛИ!B22:G22,КОЭФФИЦИЕНТЫ_ВЫБОРА!F21:K21,ПАРАМЕТРЫ!$B$17:$G$17)</f>
        <v>0.93522</v>
      </c>
      <c r="J1757" s="12" t="n">
        <f aca="false">I1757*G1757/1000</f>
        <v>0.2525094</v>
      </c>
      <c r="K1757" s="11" t="s">
        <v>217</v>
      </c>
      <c r="L1757" s="11" t="s">
        <v>19</v>
      </c>
      <c r="M1757" s="11" t="s">
        <v>145</v>
      </c>
    </row>
    <row r="1758" customFormat="false" ht="15" hidden="false" customHeight="false" outlineLevel="0" collapsed="false">
      <c r="A1758" s="11" t="s">
        <v>110</v>
      </c>
      <c r="B1758" s="11" t="s">
        <v>135</v>
      </c>
      <c r="C1758" s="11" t="n">
        <v>12</v>
      </c>
      <c r="D1758" s="11" t="s">
        <v>161</v>
      </c>
      <c r="E1758" s="11" t="s">
        <v>165</v>
      </c>
      <c r="F1758" s="11" t="s">
        <v>80</v>
      </c>
      <c r="G1758" s="12" t="n">
        <v>240</v>
      </c>
      <c r="H1758" s="12" t="n">
        <f aca="false">SUMPRODUCT(ПОТОКИ!B14:G14,ЧАСОВЫЕ_ПРОФИЛИ!B22:G22,КОЭФФИЦИЕНТЫ_ВЫБОРА!F22:K22)</f>
        <v>0.4503</v>
      </c>
      <c r="I1758" s="12" t="n">
        <f aca="false">SUMPRODUCT(ПОТОКИ!B14:G14,ЧАСОВЫЕ_ПРОФИЛИ!B22:G22,КОЭФФИЦИЕНТЫ_ВЫБОРА!F22:K22,ПАРАМЕТРЫ!$B$17:$G$17)</f>
        <v>0.49533</v>
      </c>
      <c r="J1758" s="12" t="n">
        <f aca="false">I1758*G1758/1000</f>
        <v>0.1188792</v>
      </c>
      <c r="K1758" s="11" t="s">
        <v>217</v>
      </c>
      <c r="L1758" s="11" t="s">
        <v>19</v>
      </c>
      <c r="M1758" s="11" t="s">
        <v>145</v>
      </c>
    </row>
    <row r="1759" customFormat="false" ht="15" hidden="false" customHeight="false" outlineLevel="0" collapsed="false">
      <c r="A1759" s="11" t="s">
        <v>110</v>
      </c>
      <c r="B1759" s="11" t="s">
        <v>135</v>
      </c>
      <c r="C1759" s="11" t="n">
        <v>13</v>
      </c>
      <c r="D1759" s="11" t="s">
        <v>166</v>
      </c>
      <c r="E1759" s="11" t="s">
        <v>167</v>
      </c>
      <c r="F1759" s="11" t="s">
        <v>80</v>
      </c>
      <c r="G1759" s="12" t="n">
        <v>130</v>
      </c>
      <c r="H1759" s="12" t="n">
        <f aca="false">SUMPRODUCT(ПОТОКИ!B14:G14,ЧАСОВЫЕ_ПРОФИЛИ!B22:G22,КОЭФФИЦИЕНТЫ_ВЫБОРА!F23:K23)</f>
        <v>0.252</v>
      </c>
      <c r="I1759" s="12" t="n">
        <f aca="false">SUMPRODUCT(ПОТОКИ!B14:G14,ЧАСОВЫЕ_ПРОФИЛИ!B22:G22,КОЭФФИЦИЕНТЫ_ВЫБОРА!F23:K23,ПАРАМЕТРЫ!$B$17:$G$17)</f>
        <v>0.2772</v>
      </c>
      <c r="J1759" s="12" t="n">
        <f aca="false">I1759*G1759/1000</f>
        <v>0.036036</v>
      </c>
      <c r="K1759" s="11" t="s">
        <v>217</v>
      </c>
      <c r="L1759" s="11" t="s">
        <v>19</v>
      </c>
      <c r="M1759" s="11" t="s">
        <v>145</v>
      </c>
    </row>
    <row r="1760" customFormat="false" ht="15" hidden="false" customHeight="false" outlineLevel="0" collapsed="false">
      <c r="A1760" s="11" t="s">
        <v>110</v>
      </c>
      <c r="B1760" s="11" t="s">
        <v>135</v>
      </c>
      <c r="C1760" s="11" t="n">
        <v>14</v>
      </c>
      <c r="D1760" s="11" t="s">
        <v>166</v>
      </c>
      <c r="E1760" s="11" t="s">
        <v>168</v>
      </c>
      <c r="F1760" s="11" t="s">
        <v>80</v>
      </c>
      <c r="G1760" s="12" t="n">
        <v>250</v>
      </c>
      <c r="H1760" s="12" t="n">
        <f aca="false">SUMPRODUCT(ПОТОКИ!B14:G14,ЧАСОВЫЕ_ПРОФИЛИ!B22:G22,КОЭФФИЦИЕНТЫ_ВЫБОРА!F24:K24)</f>
        <v>0.1902</v>
      </c>
      <c r="I1760" s="12" t="n">
        <f aca="false">SUMPRODUCT(ПОТОКИ!B14:G14,ЧАСОВЫЕ_ПРОФИЛИ!B22:G22,КОЭФФИЦИЕНТЫ_ВЫБОРА!F24:K24,ПАРАМЕТРЫ!$B$17:$G$17)</f>
        <v>0.20922</v>
      </c>
      <c r="J1760" s="12" t="n">
        <f aca="false">I1760*G1760/1000</f>
        <v>0.052305</v>
      </c>
      <c r="K1760" s="11" t="s">
        <v>217</v>
      </c>
      <c r="L1760" s="11" t="s">
        <v>19</v>
      </c>
      <c r="M1760" s="11" t="s">
        <v>145</v>
      </c>
    </row>
    <row r="1761" customFormat="false" ht="15" hidden="false" customHeight="false" outlineLevel="0" collapsed="false">
      <c r="A1761" s="11" t="s">
        <v>110</v>
      </c>
      <c r="B1761" s="11" t="s">
        <v>135</v>
      </c>
      <c r="C1761" s="11" t="n">
        <v>15</v>
      </c>
      <c r="D1761" s="11" t="s">
        <v>166</v>
      </c>
      <c r="E1761" s="11" t="s">
        <v>169</v>
      </c>
      <c r="F1761" s="11" t="s">
        <v>80</v>
      </c>
      <c r="G1761" s="12" t="n">
        <v>120</v>
      </c>
      <c r="H1761" s="12" t="n">
        <f aca="false">SUMPRODUCT(ПОТОКИ!B14:G14,ЧАСОВЫЕ_ПРОФИЛИ!B22:G22,КОЭФФИЦИЕНТЫ_ВЫБОРА!F25:K25)</f>
        <v>0.1452</v>
      </c>
      <c r="I1761" s="12" t="n">
        <f aca="false">SUMPRODUCT(ПОТОКИ!B14:G14,ЧАСОВЫЕ_ПРОФИЛИ!B22:G22,КОЭФФИЦИЕНТЫ_ВЫБОРА!F25:K25,ПАРАМЕТРЫ!$B$17:$G$17)</f>
        <v>0.15972</v>
      </c>
      <c r="J1761" s="12" t="n">
        <f aca="false">I1761*G1761/1000</f>
        <v>0.0191664</v>
      </c>
      <c r="K1761" s="11" t="s">
        <v>217</v>
      </c>
      <c r="L1761" s="11" t="s">
        <v>19</v>
      </c>
      <c r="M1761" s="11" t="s">
        <v>145</v>
      </c>
    </row>
    <row r="1762" customFormat="false" ht="15" hidden="false" customHeight="false" outlineLevel="0" collapsed="false">
      <c r="A1762" s="11" t="s">
        <v>110</v>
      </c>
      <c r="B1762" s="11" t="s">
        <v>135</v>
      </c>
      <c r="C1762" s="11" t="n">
        <v>16</v>
      </c>
      <c r="D1762" s="11" t="s">
        <v>166</v>
      </c>
      <c r="E1762" s="11" t="s">
        <v>170</v>
      </c>
      <c r="F1762" s="11" t="s">
        <v>80</v>
      </c>
      <c r="G1762" s="12" t="n">
        <v>180</v>
      </c>
      <c r="H1762" s="12" t="n">
        <f aca="false">SUMPRODUCT(ПОТОКИ!B14:G14,ЧАСОВЫЕ_ПРОФИЛИ!B22:G22,КОЭФФИЦИЕНТЫ_ВЫБОРА!F26:K26)</f>
        <v>0.2286</v>
      </c>
      <c r="I1762" s="12" t="n">
        <f aca="false">SUMPRODUCT(ПОТОКИ!B14:G14,ЧАСОВЫЕ_ПРОФИЛИ!B22:G22,КОЭФФИЦИЕНТЫ_ВЫБОРА!F26:K26,ПАРАМЕТРЫ!$B$17:$G$17)</f>
        <v>0.25146</v>
      </c>
      <c r="J1762" s="12" t="n">
        <f aca="false">I1762*G1762/1000</f>
        <v>0.0452628</v>
      </c>
      <c r="K1762" s="11" t="s">
        <v>217</v>
      </c>
      <c r="L1762" s="11" t="s">
        <v>19</v>
      </c>
      <c r="M1762" s="11" t="s">
        <v>145</v>
      </c>
    </row>
    <row r="1763" customFormat="false" ht="15" hidden="false" customHeight="false" outlineLevel="0" collapsed="false">
      <c r="A1763" s="11" t="s">
        <v>110</v>
      </c>
      <c r="B1763" s="11" t="s">
        <v>135</v>
      </c>
      <c r="C1763" s="11" t="n">
        <v>17</v>
      </c>
      <c r="D1763" s="11" t="s">
        <v>166</v>
      </c>
      <c r="E1763" s="11" t="s">
        <v>171</v>
      </c>
      <c r="F1763" s="11" t="s">
        <v>80</v>
      </c>
      <c r="G1763" s="12" t="n">
        <v>180</v>
      </c>
      <c r="H1763" s="12" t="n">
        <f aca="false">SUMPRODUCT(ПОТОКИ!B14:G14,ЧАСОВЫЕ_ПРОФИЛИ!B22:G22,КОЭФФИЦИЕНТЫ_ВЫБОРА!F27:K27)</f>
        <v>0.252</v>
      </c>
      <c r="I1763" s="12" t="n">
        <f aca="false">SUMPRODUCT(ПОТОКИ!B14:G14,ЧАСОВЫЕ_ПРОФИЛИ!B22:G22,КОЭФФИЦИЕНТЫ_ВЫБОРА!F27:K27,ПАРАМЕТРЫ!$B$17:$G$17)</f>
        <v>0.2772</v>
      </c>
      <c r="J1763" s="12" t="n">
        <f aca="false">I1763*G1763/1000</f>
        <v>0.049896</v>
      </c>
      <c r="K1763" s="11" t="s">
        <v>217</v>
      </c>
      <c r="L1763" s="11" t="s">
        <v>19</v>
      </c>
      <c r="M1763" s="11" t="s">
        <v>145</v>
      </c>
    </row>
    <row r="1764" customFormat="false" ht="15" hidden="false" customHeight="false" outlineLevel="0" collapsed="false">
      <c r="A1764" s="11" t="s">
        <v>110</v>
      </c>
      <c r="B1764" s="11" t="s">
        <v>135</v>
      </c>
      <c r="C1764" s="11" t="n">
        <v>18</v>
      </c>
      <c r="D1764" s="11" t="s">
        <v>172</v>
      </c>
      <c r="E1764" s="11" t="s">
        <v>173</v>
      </c>
      <c r="F1764" s="11" t="s">
        <v>83</v>
      </c>
      <c r="G1764" s="12" t="n">
        <v>400</v>
      </c>
      <c r="H1764" s="12" t="n">
        <f aca="false">SUMPRODUCT(ПОТОКИ!B14:G14,ЧАСОВЫЕ_ПРОФИЛИ!B22:G22,КОЭФФИЦИЕНТЫ_ВЫБОРА!F28:K28)</f>
        <v>0.384</v>
      </c>
      <c r="I1764" s="12" t="n">
        <f aca="false">SUMPRODUCT(ПОТОКИ!B14:G14,ЧАСОВЫЕ_ПРОФИЛИ!B22:G22,КОЭФФИЦИЕНТЫ_ВЫБОРА!F28:K28,ПАРАМЕТРЫ!$B$17:$G$17)</f>
        <v>0.4224</v>
      </c>
      <c r="J1764" s="12" t="n">
        <f aca="false">I1764*G1764/1000</f>
        <v>0.16896</v>
      </c>
      <c r="K1764" s="11" t="s">
        <v>217</v>
      </c>
      <c r="L1764" s="11" t="s">
        <v>19</v>
      </c>
      <c r="M1764" s="11" t="s">
        <v>145</v>
      </c>
    </row>
    <row r="1765" customFormat="false" ht="23.85" hidden="false" customHeight="false" outlineLevel="0" collapsed="false">
      <c r="A1765" s="11" t="s">
        <v>110</v>
      </c>
      <c r="B1765" s="11" t="s">
        <v>135</v>
      </c>
      <c r="C1765" s="11" t="n">
        <v>19</v>
      </c>
      <c r="D1765" s="11" t="s">
        <v>174</v>
      </c>
      <c r="E1765" s="11" t="s">
        <v>175</v>
      </c>
      <c r="F1765" s="11" t="s">
        <v>83</v>
      </c>
      <c r="G1765" s="12" t="n">
        <v>300</v>
      </c>
      <c r="H1765" s="12" t="n">
        <f aca="false">SUMPRODUCT(ПОТОКИ!B14:G14,ЧАСОВЫЕ_ПРОФИЛИ!B22:G22,КОЭФФИЦИЕНТЫ_ВЫБОРА!F29:K29)</f>
        <v>1.3185</v>
      </c>
      <c r="I1765" s="12" t="n">
        <f aca="false">SUMPRODUCT(ПОТОКИ!B14:G14,ЧАСОВЫЕ_ПРОФИЛИ!B22:G22,КОЭФФИЦИЕНТЫ_ВЫБОРА!F29:K29,ПАРАМЕТРЫ!$B$17:$G$17)</f>
        <v>1.45035</v>
      </c>
      <c r="J1765" s="12" t="n">
        <f aca="false">I1765*G1765/1000</f>
        <v>0.435105</v>
      </c>
      <c r="K1765" s="11" t="s">
        <v>217</v>
      </c>
      <c r="L1765" s="11" t="s">
        <v>19</v>
      </c>
      <c r="M1765" s="11" t="s">
        <v>145</v>
      </c>
    </row>
    <row r="1766" customFormat="false" ht="15" hidden="false" customHeight="false" outlineLevel="0" collapsed="false">
      <c r="A1766" s="11" t="s">
        <v>110</v>
      </c>
      <c r="B1766" s="11" t="s">
        <v>135</v>
      </c>
      <c r="C1766" s="11" t="n">
        <v>20</v>
      </c>
      <c r="D1766" s="11" t="s">
        <v>174</v>
      </c>
      <c r="E1766" s="11" t="s">
        <v>176</v>
      </c>
      <c r="F1766" s="11" t="s">
        <v>83</v>
      </c>
      <c r="G1766" s="12" t="n">
        <v>360</v>
      </c>
      <c r="H1766" s="12" t="n">
        <f aca="false">SUMPRODUCT(ПОТОКИ!B14:G14,ЧАСОВЫЕ_ПРОФИЛИ!B22:G22,КОЭФФИЦИЕНТЫ_ВЫБОРА!F30:K30)</f>
        <v>1.1442</v>
      </c>
      <c r="I1766" s="12" t="n">
        <f aca="false">SUMPRODUCT(ПОТОКИ!B14:G14,ЧАСОВЫЕ_ПРОФИЛИ!B22:G22,КОЭФФИЦИЕНТЫ_ВЫБОРА!F30:K30,ПАРАМЕТРЫ!$B$17:$G$17)</f>
        <v>1.25862</v>
      </c>
      <c r="J1766" s="12" t="n">
        <f aca="false">I1766*G1766/1000</f>
        <v>0.4531032</v>
      </c>
      <c r="K1766" s="11" t="s">
        <v>217</v>
      </c>
      <c r="L1766" s="11" t="s">
        <v>19</v>
      </c>
      <c r="M1766" s="11" t="s">
        <v>145</v>
      </c>
    </row>
    <row r="1767" customFormat="false" ht="15" hidden="false" customHeight="false" outlineLevel="0" collapsed="false">
      <c r="A1767" s="11" t="s">
        <v>110</v>
      </c>
      <c r="B1767" s="11" t="s">
        <v>135</v>
      </c>
      <c r="C1767" s="11" t="n">
        <v>21</v>
      </c>
      <c r="D1767" s="11" t="s">
        <v>174</v>
      </c>
      <c r="E1767" s="11" t="s">
        <v>177</v>
      </c>
      <c r="F1767" s="11" t="s">
        <v>83</v>
      </c>
      <c r="G1767" s="12" t="n">
        <v>350</v>
      </c>
      <c r="H1767" s="12" t="n">
        <f aca="false">SUMPRODUCT(ПОТОКИ!B14:G14,ЧАСОВЫЕ_ПРОФИЛИ!B22:G22,КОЭФФИЦИЕНТЫ_ВЫБОРА!F31:K31)</f>
        <v>1.69155</v>
      </c>
      <c r="I1767" s="12" t="n">
        <f aca="false">SUMPRODUCT(ПОТОКИ!B14:G14,ЧАСОВЫЕ_ПРОФИЛИ!B22:G22,КОЭФФИЦИЕНТЫ_ВЫБОРА!F31:K31,ПАРАМЕТРЫ!$B$17:$G$17)</f>
        <v>1.860705</v>
      </c>
      <c r="J1767" s="12" t="n">
        <f aca="false">I1767*G1767/1000</f>
        <v>0.65124675</v>
      </c>
      <c r="K1767" s="11" t="s">
        <v>217</v>
      </c>
      <c r="L1767" s="11" t="s">
        <v>19</v>
      </c>
      <c r="M1767" s="11" t="s">
        <v>145</v>
      </c>
    </row>
    <row r="1768" customFormat="false" ht="15" hidden="false" customHeight="false" outlineLevel="0" collapsed="false">
      <c r="A1768" s="11" t="s">
        <v>110</v>
      </c>
      <c r="B1768" s="11" t="s">
        <v>135</v>
      </c>
      <c r="C1768" s="11" t="n">
        <v>22</v>
      </c>
      <c r="D1768" s="11" t="s">
        <v>174</v>
      </c>
      <c r="E1768" s="11" t="s">
        <v>178</v>
      </c>
      <c r="F1768" s="11" t="s">
        <v>83</v>
      </c>
      <c r="G1768" s="12" t="n">
        <v>300</v>
      </c>
      <c r="H1768" s="12" t="n">
        <f aca="false">SUMPRODUCT(ПОТОКИ!B14:G14,ЧАСОВЫЕ_ПРОФИЛИ!B22:G22,КОЭФФИЦИЕНТЫ_ВЫБОРА!F32:K32)</f>
        <v>1.17675</v>
      </c>
      <c r="I1768" s="12" t="n">
        <f aca="false">SUMPRODUCT(ПОТОКИ!B14:G14,ЧАСОВЫЕ_ПРОФИЛИ!B22:G22,КОЭФФИЦИЕНТЫ_ВЫБОРА!F32:K32,ПАРАМЕТРЫ!$B$17:$G$17)</f>
        <v>1.294425</v>
      </c>
      <c r="J1768" s="12" t="n">
        <f aca="false">I1768*G1768/1000</f>
        <v>0.3883275</v>
      </c>
      <c r="K1768" s="11" t="s">
        <v>217</v>
      </c>
      <c r="L1768" s="11" t="s">
        <v>19</v>
      </c>
      <c r="M1768" s="11" t="s">
        <v>145</v>
      </c>
    </row>
    <row r="1769" customFormat="false" ht="15" hidden="false" customHeight="false" outlineLevel="0" collapsed="false">
      <c r="A1769" s="11" t="s">
        <v>110</v>
      </c>
      <c r="B1769" s="11" t="s">
        <v>135</v>
      </c>
      <c r="C1769" s="11" t="n">
        <v>23</v>
      </c>
      <c r="D1769" s="11" t="s">
        <v>86</v>
      </c>
      <c r="E1769" s="11" t="s">
        <v>179</v>
      </c>
      <c r="F1769" s="11" t="s">
        <v>85</v>
      </c>
      <c r="G1769" s="12" t="n">
        <v>150</v>
      </c>
      <c r="H1769" s="12" t="n">
        <f aca="false">SUMPRODUCT(ПОТОКИ!B14:G14,ЧАСОВЫЕ_ПРОФИЛИ!B22:G22,КОЭФФИЦИЕНТЫ_ВЫБОРА!F33:K33)</f>
        <v>0.94310925</v>
      </c>
      <c r="I1769" s="12" t="n">
        <f aca="false">SUMPRODUCT(ПОТОКИ!B14:G14,ЧАСОВЫЕ_ПРОФИЛИ!B22:G22,КОЭФФИЦИЕНТЫ_ВЫБОРА!F33:K33,ПАРАМЕТРЫ!$B$17:$G$17)</f>
        <v>1.037420175</v>
      </c>
      <c r="J1769" s="12" t="n">
        <f aca="false">I1769*G1769/1000</f>
        <v>0.15561302625</v>
      </c>
      <c r="K1769" s="11" t="s">
        <v>217</v>
      </c>
      <c r="L1769" s="11" t="s">
        <v>19</v>
      </c>
      <c r="M1769" s="11" t="s">
        <v>147</v>
      </c>
    </row>
    <row r="1770" customFormat="false" ht="15" hidden="false" customHeight="false" outlineLevel="0" collapsed="false">
      <c r="A1770" s="11" t="s">
        <v>110</v>
      </c>
      <c r="B1770" s="11" t="s">
        <v>135</v>
      </c>
      <c r="C1770" s="11" t="n">
        <v>24</v>
      </c>
      <c r="D1770" s="11" t="s">
        <v>86</v>
      </c>
      <c r="E1770" s="11" t="s">
        <v>180</v>
      </c>
      <c r="F1770" s="11" t="s">
        <v>85</v>
      </c>
      <c r="G1770" s="12" t="n">
        <v>150</v>
      </c>
      <c r="H1770" s="12" t="n">
        <f aca="false">SUMPRODUCT(ПОТОКИ!B14:G14,ЧАСОВЫЕ_ПРОФИЛИ!B22:G22,КОЭФФИЦИЕНТЫ_ВЫБОРА!F34:K34)</f>
        <v>0.495939</v>
      </c>
      <c r="I1770" s="12" t="n">
        <f aca="false">SUMPRODUCT(ПОТОКИ!B14:G14,ЧАСОВЫЕ_ПРОФИЛИ!B22:G22,КОЭФФИЦИЕНТЫ_ВЫБОРА!F34:K34,ПАРАМЕТРЫ!$B$17:$G$17)</f>
        <v>0.5455329</v>
      </c>
      <c r="J1770" s="12" t="n">
        <f aca="false">I1770*G1770/1000</f>
        <v>0.081829935</v>
      </c>
      <c r="K1770" s="11" t="s">
        <v>217</v>
      </c>
      <c r="L1770" s="11" t="s">
        <v>19</v>
      </c>
      <c r="M1770" s="11" t="s">
        <v>147</v>
      </c>
    </row>
    <row r="1771" customFormat="false" ht="15" hidden="false" customHeight="false" outlineLevel="0" collapsed="false">
      <c r="A1771" s="11" t="s">
        <v>110</v>
      </c>
      <c r="B1771" s="11" t="s">
        <v>135</v>
      </c>
      <c r="C1771" s="11" t="n">
        <v>25</v>
      </c>
      <c r="D1771" s="11" t="s">
        <v>86</v>
      </c>
      <c r="E1771" s="11" t="s">
        <v>181</v>
      </c>
      <c r="F1771" s="11" t="s">
        <v>85</v>
      </c>
      <c r="G1771" s="12" t="n">
        <v>150</v>
      </c>
      <c r="H1771" s="12" t="n">
        <f aca="false">SUMPRODUCT(ПОТОКИ!B14:G14,ЧАСОВЫЕ_ПРОФИЛИ!B22:G22,КОЭФФИЦИЕНТЫ_ВЫБОРА!F35:K35)</f>
        <v>1.04064675</v>
      </c>
      <c r="I1771" s="12" t="n">
        <f aca="false">SUMPRODUCT(ПОТОКИ!B14:G14,ЧАСОВЫЕ_ПРОФИЛИ!B22:G22,КОЭФФИЦИЕНТЫ_ВЫБОРА!F35:K35,ПАРАМЕТРЫ!$B$17:$G$17)</f>
        <v>1.144711425</v>
      </c>
      <c r="J1771" s="12" t="n">
        <f aca="false">I1771*G1771/1000</f>
        <v>0.17170671375</v>
      </c>
      <c r="K1771" s="11" t="s">
        <v>217</v>
      </c>
      <c r="L1771" s="11" t="s">
        <v>19</v>
      </c>
      <c r="M1771" s="11" t="s">
        <v>147</v>
      </c>
    </row>
    <row r="1772" customFormat="false" ht="23.85" hidden="false" customHeight="false" outlineLevel="0" collapsed="false">
      <c r="A1772" s="11" t="s">
        <v>110</v>
      </c>
      <c r="B1772" s="11" t="s">
        <v>135</v>
      </c>
      <c r="C1772" s="11" t="n">
        <v>26</v>
      </c>
      <c r="D1772" s="11" t="s">
        <v>89</v>
      </c>
      <c r="E1772" s="11" t="s">
        <v>182</v>
      </c>
      <c r="F1772" s="11" t="s">
        <v>88</v>
      </c>
      <c r="G1772" s="12" t="n">
        <v>225</v>
      </c>
      <c r="H1772" s="12" t="n">
        <f aca="false">SUMPRODUCT(ПОТОКИ!B14:G14,ЧАСОВЫЕ_ПРОФИЛИ!B22:G22,КОЭФФИЦИЕНТЫ_ВЫБОРА!F36:K36)</f>
        <v>0</v>
      </c>
      <c r="I1772" s="12" t="n">
        <f aca="false">SUMPRODUCT(ПОТОКИ!B14:G14,ЧАСОВЫЕ_ПРОФИЛИ!B22:G22,КОЭФФИЦИЕНТЫ_ВЫБОРА!F36:K36,ПАРАМЕТРЫ!$B$17:$G$17)</f>
        <v>0</v>
      </c>
      <c r="J1772" s="12" t="n">
        <f aca="false">I1772*G1772/1000</f>
        <v>0</v>
      </c>
      <c r="K1772" s="11" t="s">
        <v>217</v>
      </c>
      <c r="L1772" s="11" t="s">
        <v>19</v>
      </c>
      <c r="M1772" s="11" t="s">
        <v>145</v>
      </c>
    </row>
    <row r="1773" customFormat="false" ht="23.85" hidden="false" customHeight="false" outlineLevel="0" collapsed="false">
      <c r="A1773" s="11" t="s">
        <v>110</v>
      </c>
      <c r="B1773" s="11" t="s">
        <v>135</v>
      </c>
      <c r="C1773" s="11" t="n">
        <v>27</v>
      </c>
      <c r="D1773" s="11" t="s">
        <v>89</v>
      </c>
      <c r="E1773" s="11" t="s">
        <v>183</v>
      </c>
      <c r="F1773" s="11" t="s">
        <v>88</v>
      </c>
      <c r="G1773" s="12" t="n">
        <v>265</v>
      </c>
      <c r="H1773" s="12" t="n">
        <f aca="false">SUMPRODUCT(ПОТОКИ!B14:G14,ЧАСОВЫЕ_ПРОФИЛИ!B22:G22,КОЭФФИЦИЕНТЫ_ВЫБОРА!F37:K37)</f>
        <v>0</v>
      </c>
      <c r="I1773" s="12" t="n">
        <f aca="false">SUMPRODUCT(ПОТОКИ!B14:G14,ЧАСОВЫЕ_ПРОФИЛИ!B22:G22,КОЭФФИЦИЕНТЫ_ВЫБОРА!F37:K37,ПАРАМЕТРЫ!$B$17:$G$17)</f>
        <v>0</v>
      </c>
      <c r="J1773" s="12" t="n">
        <f aca="false">I1773*G1773/1000</f>
        <v>0</v>
      </c>
      <c r="K1773" s="11" t="s">
        <v>217</v>
      </c>
      <c r="L1773" s="11" t="s">
        <v>19</v>
      </c>
      <c r="M1773" s="11" t="s">
        <v>145</v>
      </c>
    </row>
    <row r="1774" customFormat="false" ht="23.85" hidden="false" customHeight="false" outlineLevel="0" collapsed="false">
      <c r="A1774" s="11" t="s">
        <v>110</v>
      </c>
      <c r="B1774" s="11" t="s">
        <v>135</v>
      </c>
      <c r="C1774" s="11" t="n">
        <v>28</v>
      </c>
      <c r="D1774" s="11" t="s">
        <v>89</v>
      </c>
      <c r="E1774" s="11" t="s">
        <v>184</v>
      </c>
      <c r="F1774" s="11" t="s">
        <v>88</v>
      </c>
      <c r="G1774" s="12" t="n">
        <v>355</v>
      </c>
      <c r="H1774" s="12" t="n">
        <f aca="false">SUMPRODUCT(ПОТОКИ!B14:G14,ЧАСОВЫЕ_ПРОФИЛИ!B22:G22,КОЭФФИЦИЕНТЫ_ВЫБОРА!F38:K38)</f>
        <v>0</v>
      </c>
      <c r="I1774" s="12" t="n">
        <f aca="false">SUMPRODUCT(ПОТОКИ!B14:G14,ЧАСОВЫЕ_ПРОФИЛИ!B22:G22,КОЭФФИЦИЕНТЫ_ВЫБОРА!F38:K38,ПАРАМЕТРЫ!$B$17:$G$17)</f>
        <v>0</v>
      </c>
      <c r="J1774" s="12" t="n">
        <f aca="false">I1774*G1774/1000</f>
        <v>0</v>
      </c>
      <c r="K1774" s="11" t="s">
        <v>217</v>
      </c>
      <c r="L1774" s="11" t="s">
        <v>19</v>
      </c>
      <c r="M1774" s="11" t="s">
        <v>145</v>
      </c>
    </row>
    <row r="1775" customFormat="false" ht="15" hidden="false" customHeight="false" outlineLevel="0" collapsed="false">
      <c r="A1775" s="11" t="s">
        <v>110</v>
      </c>
      <c r="B1775" s="11" t="s">
        <v>135</v>
      </c>
      <c r="C1775" s="11" t="n">
        <v>29</v>
      </c>
      <c r="D1775" s="11" t="s">
        <v>92</v>
      </c>
      <c r="E1775" s="11" t="s">
        <v>185</v>
      </c>
      <c r="F1775" s="11" t="s">
        <v>91</v>
      </c>
      <c r="G1775" s="12" t="n">
        <v>150</v>
      </c>
      <c r="H1775" s="12" t="n">
        <f aca="false">SUMPRODUCT(ПОТОКИ!B14:G14,ЧАСОВЫЕ_ПРОФИЛИ!B22:G22,КОЭФФИЦИЕНТЫ_ВЫБОРА!F39:K39)</f>
        <v>0.3744</v>
      </c>
      <c r="I1775" s="12" t="n">
        <f aca="false">SUMPRODUCT(ПОТОКИ!B14:G14,ЧАСОВЫЕ_ПРОФИЛИ!B22:G22,КОЭФФИЦИЕНТЫ_ВЫБОРА!F39:K39,ПАРАМЕТРЫ!$B$17:$G$17)</f>
        <v>0.41184</v>
      </c>
      <c r="J1775" s="12" t="n">
        <f aca="false">I1775*G1775/1000</f>
        <v>0.061776</v>
      </c>
      <c r="K1775" s="11" t="s">
        <v>217</v>
      </c>
      <c r="L1775" s="11" t="s">
        <v>19</v>
      </c>
      <c r="M1775" s="11" t="s">
        <v>145</v>
      </c>
    </row>
    <row r="1776" customFormat="false" ht="15" hidden="false" customHeight="false" outlineLevel="0" collapsed="false">
      <c r="A1776" s="11" t="s">
        <v>110</v>
      </c>
      <c r="B1776" s="11" t="s">
        <v>135</v>
      </c>
      <c r="C1776" s="11" t="n">
        <v>30</v>
      </c>
      <c r="D1776" s="11" t="s">
        <v>92</v>
      </c>
      <c r="E1776" s="11" t="s">
        <v>186</v>
      </c>
      <c r="F1776" s="11" t="s">
        <v>91</v>
      </c>
      <c r="G1776" s="12" t="n">
        <v>120</v>
      </c>
      <c r="H1776" s="12" t="n">
        <f aca="false">SUMPRODUCT(ПОТОКИ!B14:G14,ЧАСОВЫЕ_ПРОФИЛИ!B22:G22,КОЭФФИЦИЕНТЫ_ВЫБОРА!F40:K40)</f>
        <v>0.5244</v>
      </c>
      <c r="I1776" s="12" t="n">
        <f aca="false">SUMPRODUCT(ПОТОКИ!B14:G14,ЧАСОВЫЕ_ПРОФИЛИ!B22:G22,КОЭФФИЦИЕНТЫ_ВЫБОРА!F40:K40,ПАРАМЕТРЫ!$B$17:$G$17)</f>
        <v>0.57684</v>
      </c>
      <c r="J1776" s="12" t="n">
        <f aca="false">I1776*G1776/1000</f>
        <v>0.0692208</v>
      </c>
      <c r="K1776" s="11" t="s">
        <v>217</v>
      </c>
      <c r="L1776" s="11" t="s">
        <v>19</v>
      </c>
      <c r="M1776" s="11" t="s">
        <v>145</v>
      </c>
    </row>
    <row r="1777" customFormat="false" ht="15" hidden="false" customHeight="false" outlineLevel="0" collapsed="false">
      <c r="A1777" s="11" t="s">
        <v>110</v>
      </c>
      <c r="B1777" s="11" t="s">
        <v>135</v>
      </c>
      <c r="C1777" s="11" t="n">
        <v>31</v>
      </c>
      <c r="D1777" s="11" t="s">
        <v>92</v>
      </c>
      <c r="E1777" s="11" t="s">
        <v>187</v>
      </c>
      <c r="F1777" s="11" t="s">
        <v>91</v>
      </c>
      <c r="G1777" s="12" t="n">
        <v>60</v>
      </c>
      <c r="H1777" s="12" t="n">
        <f aca="false">SUMPRODUCT(ПОТОКИ!B14:G14,ЧАСОВЫЕ_ПРОФИЛИ!B22:G22,КОЭФФИЦИЕНТЫ_ВЫБОРА!F41:K41)</f>
        <v>0.3072</v>
      </c>
      <c r="I1777" s="12" t="n">
        <f aca="false">SUMPRODUCT(ПОТОКИ!B14:G14,ЧАСОВЫЕ_ПРОФИЛИ!B22:G22,КОЭФФИЦИЕНТЫ_ВЫБОРА!F41:K41,ПАРАМЕТРЫ!$B$17:$G$17)</f>
        <v>0.33792</v>
      </c>
      <c r="J1777" s="12" t="n">
        <f aca="false">I1777*G1777/1000</f>
        <v>0.0202752</v>
      </c>
      <c r="K1777" s="11" t="s">
        <v>217</v>
      </c>
      <c r="L1777" s="11" t="s">
        <v>19</v>
      </c>
      <c r="M1777" s="11" t="s">
        <v>145</v>
      </c>
    </row>
    <row r="1778" customFormat="false" ht="15" hidden="false" customHeight="false" outlineLevel="0" collapsed="false">
      <c r="A1778" s="11" t="s">
        <v>110</v>
      </c>
      <c r="B1778" s="11" t="s">
        <v>136</v>
      </c>
      <c r="C1778" s="11" t="n">
        <v>1</v>
      </c>
      <c r="D1778" s="11" t="s">
        <v>74</v>
      </c>
      <c r="E1778" s="11" t="s">
        <v>153</v>
      </c>
      <c r="F1778" s="11" t="s">
        <v>73</v>
      </c>
      <c r="G1778" s="12" t="n">
        <v>450</v>
      </c>
      <c r="H1778" s="12" t="n">
        <f aca="false">SUMPRODUCT(ПОТОКИ!B14:G14,ЧАСОВЫЕ_ПРОФИЛИ!B23:G23,КОЭФФИЦИЕНТЫ_ВЫБОРА!F11:K11)</f>
        <v>0.4061</v>
      </c>
      <c r="I1778" s="12" t="n">
        <f aca="false">SUMPRODUCT(ПОТОКИ!B14:G14,ЧАСОВЫЕ_ПРОФИЛИ!B23:G23,КОЭФФИЦИЕНТЫ_ВЫБОРА!F11:K11,ПАРАМЕТРЫ!$B$17:$G$17)</f>
        <v>0.44671</v>
      </c>
      <c r="J1778" s="12" t="n">
        <f aca="false">I1778*G1778/1000</f>
        <v>0.2010195</v>
      </c>
      <c r="K1778" s="11" t="s">
        <v>217</v>
      </c>
      <c r="L1778" s="11" t="s">
        <v>19</v>
      </c>
      <c r="M1778" s="11" t="s">
        <v>145</v>
      </c>
    </row>
    <row r="1779" customFormat="false" ht="15" hidden="false" customHeight="false" outlineLevel="0" collapsed="false">
      <c r="A1779" s="11" t="s">
        <v>110</v>
      </c>
      <c r="B1779" s="11" t="s">
        <v>136</v>
      </c>
      <c r="C1779" s="11" t="n">
        <v>2</v>
      </c>
      <c r="D1779" s="11" t="s">
        <v>74</v>
      </c>
      <c r="E1779" s="11" t="s">
        <v>154</v>
      </c>
      <c r="F1779" s="11" t="s">
        <v>73</v>
      </c>
      <c r="G1779" s="12" t="n">
        <v>480</v>
      </c>
      <c r="H1779" s="12" t="n">
        <f aca="false">SUMPRODUCT(ПОТОКИ!B14:G14,ЧАСОВЫЕ_ПРОФИЛИ!B23:G23,КОЭФФИЦИЕНТЫ_ВЫБОРА!F12:K12)</f>
        <v>0.6723</v>
      </c>
      <c r="I1779" s="12" t="n">
        <f aca="false">SUMPRODUCT(ПОТОКИ!B14:G14,ЧАСОВЫЕ_ПРОФИЛИ!B23:G23,КОЭФФИЦИЕНТЫ_ВЫБОРА!F12:K12,ПАРАМЕТРЫ!$B$17:$G$17)</f>
        <v>0.73953</v>
      </c>
      <c r="J1779" s="12" t="n">
        <f aca="false">I1779*G1779/1000</f>
        <v>0.3549744</v>
      </c>
      <c r="K1779" s="11" t="s">
        <v>217</v>
      </c>
      <c r="L1779" s="11" t="s">
        <v>19</v>
      </c>
      <c r="M1779" s="11" t="s">
        <v>145</v>
      </c>
    </row>
    <row r="1780" customFormat="false" ht="15" hidden="false" customHeight="false" outlineLevel="0" collapsed="false">
      <c r="A1780" s="11" t="s">
        <v>110</v>
      </c>
      <c r="B1780" s="11" t="s">
        <v>136</v>
      </c>
      <c r="C1780" s="11" t="n">
        <v>3</v>
      </c>
      <c r="D1780" s="11" t="s">
        <v>74</v>
      </c>
      <c r="E1780" s="11" t="s">
        <v>155</v>
      </c>
      <c r="F1780" s="11" t="s">
        <v>73</v>
      </c>
      <c r="G1780" s="12" t="n">
        <v>500</v>
      </c>
      <c r="H1780" s="12" t="n">
        <f aca="false">SUMPRODUCT(ПОТОКИ!B14:G14,ЧАСОВЫЕ_ПРОФИЛИ!B23:G23,КОЭФФИЦИЕНТЫ_ВЫБОРА!F13:K13)</f>
        <v>0.9772</v>
      </c>
      <c r="I1780" s="12" t="n">
        <f aca="false">SUMPRODUCT(ПОТОКИ!B14:G14,ЧАСОВЫЕ_ПРОФИЛИ!B23:G23,КОЭФФИЦИЕНТЫ_ВЫБОРА!F13:K13,ПАРАМЕТРЫ!$B$17:$G$17)</f>
        <v>1.07492</v>
      </c>
      <c r="J1780" s="12" t="n">
        <f aca="false">I1780*G1780/1000</f>
        <v>0.53746</v>
      </c>
      <c r="K1780" s="11" t="s">
        <v>217</v>
      </c>
      <c r="L1780" s="11" t="s">
        <v>19</v>
      </c>
      <c r="M1780" s="11" t="s">
        <v>145</v>
      </c>
    </row>
    <row r="1781" customFormat="false" ht="15" hidden="false" customHeight="false" outlineLevel="0" collapsed="false">
      <c r="A1781" s="11" t="s">
        <v>110</v>
      </c>
      <c r="B1781" s="11" t="s">
        <v>136</v>
      </c>
      <c r="C1781" s="11" t="n">
        <v>4</v>
      </c>
      <c r="D1781" s="11" t="s">
        <v>74</v>
      </c>
      <c r="E1781" s="11" t="s">
        <v>156</v>
      </c>
      <c r="F1781" s="11" t="s">
        <v>73</v>
      </c>
      <c r="G1781" s="12" t="n">
        <v>500</v>
      </c>
      <c r="H1781" s="12" t="n">
        <f aca="false">SUMPRODUCT(ПОТОКИ!B14:G14,ЧАСОВЫЕ_ПРОФИЛИ!B23:G23,КОЭФФИЦИЕНТЫ_ВЫБОРА!F14:K14)</f>
        <v>1.2434</v>
      </c>
      <c r="I1781" s="12" t="n">
        <f aca="false">SUMPRODUCT(ПОТОКИ!B14:G14,ЧАСОВЫЕ_ПРОФИЛИ!B23:G23,КОЭФФИЦИЕНТЫ_ВЫБОРА!F14:K14,ПАРАМЕТРЫ!$B$17:$G$17)</f>
        <v>1.36774</v>
      </c>
      <c r="J1781" s="12" t="n">
        <f aca="false">I1781*G1781/1000</f>
        <v>0.68387</v>
      </c>
      <c r="K1781" s="11" t="s">
        <v>217</v>
      </c>
      <c r="L1781" s="11" t="s">
        <v>19</v>
      </c>
      <c r="M1781" s="11" t="s">
        <v>145</v>
      </c>
    </row>
    <row r="1782" customFormat="false" ht="15" hidden="false" customHeight="false" outlineLevel="0" collapsed="false">
      <c r="A1782" s="11" t="s">
        <v>110</v>
      </c>
      <c r="B1782" s="11" t="s">
        <v>136</v>
      </c>
      <c r="C1782" s="11" t="n">
        <v>5</v>
      </c>
      <c r="D1782" s="11" t="s">
        <v>78</v>
      </c>
      <c r="E1782" s="11" t="s">
        <v>157</v>
      </c>
      <c r="F1782" s="11" t="s">
        <v>77</v>
      </c>
      <c r="G1782" s="12" t="n">
        <v>100</v>
      </c>
      <c r="H1782" s="12" t="n">
        <f aca="false">SUMPRODUCT(ПОТОКИ!B14:G14,ЧАСОВЫЕ_ПРОФИЛИ!B23:G23,КОЭФФИЦИЕНТЫ_ВЫБОРА!F15:K15)</f>
        <v>0.5993</v>
      </c>
      <c r="I1782" s="12" t="n">
        <f aca="false">SUMPRODUCT(ПОТОКИ!B14:G14,ЧАСОВЫЕ_ПРОФИЛИ!B23:G23,КОЭФФИЦИЕНТЫ_ВЫБОРА!F15:K15,ПАРАМЕТРЫ!$B$17:$G$17)</f>
        <v>0.65923</v>
      </c>
      <c r="J1782" s="12" t="n">
        <f aca="false">I1782*G1782/1000</f>
        <v>0.065923</v>
      </c>
      <c r="K1782" s="11" t="s">
        <v>217</v>
      </c>
      <c r="L1782" s="11" t="s">
        <v>19</v>
      </c>
      <c r="M1782" s="11" t="s">
        <v>147</v>
      </c>
    </row>
    <row r="1783" customFormat="false" ht="15" hidden="false" customHeight="false" outlineLevel="0" collapsed="false">
      <c r="A1783" s="11" t="s">
        <v>110</v>
      </c>
      <c r="B1783" s="11" t="s">
        <v>136</v>
      </c>
      <c r="C1783" s="11" t="n">
        <v>6</v>
      </c>
      <c r="D1783" s="11" t="s">
        <v>78</v>
      </c>
      <c r="E1783" s="11" t="s">
        <v>158</v>
      </c>
      <c r="F1783" s="11" t="s">
        <v>77</v>
      </c>
      <c r="G1783" s="12" t="n">
        <v>100</v>
      </c>
      <c r="H1783" s="12" t="n">
        <f aca="false">SUMPRODUCT(ПОТОКИ!B14:G14,ЧАСОВЫЕ_ПРОФИЛИ!B23:G23,КОЭФФИЦИЕНТЫ_ВЫБОРА!F16:K16)</f>
        <v>0.5356</v>
      </c>
      <c r="I1783" s="12" t="n">
        <f aca="false">SUMPRODUCT(ПОТОКИ!B14:G14,ЧАСОВЫЕ_ПРОФИЛИ!B23:G23,КОЭФФИЦИЕНТЫ_ВЫБОРА!F16:K16,ПАРАМЕТРЫ!$B$17:$G$17)</f>
        <v>0.58916</v>
      </c>
      <c r="J1783" s="12" t="n">
        <f aca="false">I1783*G1783/1000</f>
        <v>0.058916</v>
      </c>
      <c r="K1783" s="11" t="s">
        <v>217</v>
      </c>
      <c r="L1783" s="11" t="s">
        <v>19</v>
      </c>
      <c r="M1783" s="11" t="s">
        <v>147</v>
      </c>
    </row>
    <row r="1784" customFormat="false" ht="15" hidden="false" customHeight="false" outlineLevel="0" collapsed="false">
      <c r="A1784" s="11" t="s">
        <v>110</v>
      </c>
      <c r="B1784" s="11" t="s">
        <v>136</v>
      </c>
      <c r="C1784" s="11" t="n">
        <v>7</v>
      </c>
      <c r="D1784" s="11" t="s">
        <v>78</v>
      </c>
      <c r="E1784" s="11" t="s">
        <v>159</v>
      </c>
      <c r="F1784" s="11" t="s">
        <v>77</v>
      </c>
      <c r="G1784" s="12" t="n">
        <v>350</v>
      </c>
      <c r="H1784" s="12" t="n">
        <f aca="false">SUMPRODUCT(ПОТОКИ!B14:G14,ЧАСОВЫЕ_ПРОФИЛИ!B23:G23,КОЭФФИЦИЕНТЫ_ВЫБОРА!F17:K17)</f>
        <v>0.48235</v>
      </c>
      <c r="I1784" s="12" t="n">
        <f aca="false">SUMPRODUCT(ПОТОКИ!B14:G14,ЧАСОВЫЕ_ПРОФИЛИ!B23:G23,КОЭФФИЦИЕНТЫ_ВЫБОРА!F17:K17,ПАРАМЕТРЫ!$B$17:$G$17)</f>
        <v>0.530585</v>
      </c>
      <c r="J1784" s="12" t="n">
        <f aca="false">I1784*G1784/1000</f>
        <v>0.18570475</v>
      </c>
      <c r="K1784" s="11" t="s">
        <v>217</v>
      </c>
      <c r="L1784" s="11" t="s">
        <v>19</v>
      </c>
      <c r="M1784" s="11" t="s">
        <v>147</v>
      </c>
    </row>
    <row r="1785" customFormat="false" ht="15" hidden="false" customHeight="false" outlineLevel="0" collapsed="false">
      <c r="A1785" s="11" t="s">
        <v>110</v>
      </c>
      <c r="B1785" s="11" t="s">
        <v>136</v>
      </c>
      <c r="C1785" s="11" t="n">
        <v>8</v>
      </c>
      <c r="D1785" s="11" t="s">
        <v>78</v>
      </c>
      <c r="E1785" s="11" t="s">
        <v>160</v>
      </c>
      <c r="F1785" s="11" t="s">
        <v>77</v>
      </c>
      <c r="G1785" s="12" t="n">
        <v>85</v>
      </c>
      <c r="H1785" s="12" t="n">
        <f aca="false">SUMPRODUCT(ПОТОКИ!B14:G14,ЧАСОВЫЕ_ПРОФИЛИ!B23:G23,КОЭФФИЦИЕНТЫ_ВЫБОРА!F18:K18)</f>
        <v>0.31215</v>
      </c>
      <c r="I1785" s="12" t="n">
        <f aca="false">SUMPRODUCT(ПОТОКИ!B14:G14,ЧАСОВЫЕ_ПРОФИЛИ!B23:G23,КОЭФФИЦИЕНТЫ_ВЫБОРА!F18:K18,ПАРАМЕТРЫ!$B$17:$G$17)</f>
        <v>0.343365</v>
      </c>
      <c r="J1785" s="12" t="n">
        <f aca="false">I1785*G1785/1000</f>
        <v>0.029186025</v>
      </c>
      <c r="K1785" s="11" t="s">
        <v>217</v>
      </c>
      <c r="L1785" s="11" t="s">
        <v>19</v>
      </c>
      <c r="M1785" s="11" t="s">
        <v>147</v>
      </c>
    </row>
    <row r="1786" customFormat="false" ht="15" hidden="false" customHeight="false" outlineLevel="0" collapsed="false">
      <c r="A1786" s="11" t="s">
        <v>110</v>
      </c>
      <c r="B1786" s="11" t="s">
        <v>136</v>
      </c>
      <c r="C1786" s="11" t="n">
        <v>9</v>
      </c>
      <c r="D1786" s="11" t="s">
        <v>161</v>
      </c>
      <c r="E1786" s="11" t="s">
        <v>162</v>
      </c>
      <c r="F1786" s="11" t="s">
        <v>80</v>
      </c>
      <c r="G1786" s="12" t="n">
        <v>300</v>
      </c>
      <c r="H1786" s="12" t="n">
        <f aca="false">SUMPRODUCT(ПОТОКИ!B14:G14,ЧАСОВЫЕ_ПРОФИЛИ!B23:G23,КОЭФФИЦИЕНТЫ_ВЫБОРА!F19:K19)</f>
        <v>0.6265</v>
      </c>
      <c r="I1786" s="12" t="n">
        <f aca="false">SUMPRODUCT(ПОТОКИ!B14:G14,ЧАСОВЫЕ_ПРОФИЛИ!B23:G23,КОЭФФИЦИЕНТЫ_ВЫБОРА!F19:K19,ПАРАМЕТРЫ!$B$17:$G$17)</f>
        <v>0.68915</v>
      </c>
      <c r="J1786" s="12" t="n">
        <f aca="false">I1786*G1786/1000</f>
        <v>0.206745</v>
      </c>
      <c r="K1786" s="11" t="s">
        <v>217</v>
      </c>
      <c r="L1786" s="11" t="s">
        <v>19</v>
      </c>
      <c r="M1786" s="11" t="s">
        <v>145</v>
      </c>
    </row>
    <row r="1787" customFormat="false" ht="15" hidden="false" customHeight="false" outlineLevel="0" collapsed="false">
      <c r="A1787" s="11" t="s">
        <v>110</v>
      </c>
      <c r="B1787" s="11" t="s">
        <v>136</v>
      </c>
      <c r="C1787" s="11" t="n">
        <v>10</v>
      </c>
      <c r="D1787" s="11" t="s">
        <v>161</v>
      </c>
      <c r="E1787" s="11" t="s">
        <v>163</v>
      </c>
      <c r="F1787" s="11" t="s">
        <v>80</v>
      </c>
      <c r="G1787" s="12" t="n">
        <v>280</v>
      </c>
      <c r="H1787" s="12" t="n">
        <f aca="false">SUMPRODUCT(ПОТОКИ!B14:G14,ЧАСОВЫЕ_ПРОФИЛИ!B23:G23,КОЭФФИЦИЕНТЫ_ВЫБОРА!F20:K20)</f>
        <v>0.694</v>
      </c>
      <c r="I1787" s="12" t="n">
        <f aca="false">SUMPRODUCT(ПОТОКИ!B14:G14,ЧАСОВЫЕ_ПРОФИЛИ!B23:G23,КОЭФФИЦИЕНТЫ_ВЫБОРА!F20:K20,ПАРАМЕТРЫ!$B$17:$G$17)</f>
        <v>0.7634</v>
      </c>
      <c r="J1787" s="12" t="n">
        <f aca="false">I1787*G1787/1000</f>
        <v>0.213752</v>
      </c>
      <c r="K1787" s="11" t="s">
        <v>217</v>
      </c>
      <c r="L1787" s="11" t="s">
        <v>19</v>
      </c>
      <c r="M1787" s="11" t="s">
        <v>145</v>
      </c>
    </row>
    <row r="1788" customFormat="false" ht="15" hidden="false" customHeight="false" outlineLevel="0" collapsed="false">
      <c r="A1788" s="11" t="s">
        <v>110</v>
      </c>
      <c r="B1788" s="11" t="s">
        <v>136</v>
      </c>
      <c r="C1788" s="11" t="n">
        <v>11</v>
      </c>
      <c r="D1788" s="11" t="s">
        <v>161</v>
      </c>
      <c r="E1788" s="11" t="s">
        <v>164</v>
      </c>
      <c r="F1788" s="11" t="s">
        <v>80</v>
      </c>
      <c r="G1788" s="12" t="n">
        <v>270</v>
      </c>
      <c r="H1788" s="12" t="n">
        <f aca="false">SUMPRODUCT(ПОТОКИ!B14:G14,ЧАСОВЫЕ_ПРОФИЛИ!B23:G23,КОЭФФИЦИЕНТЫ_ВЫБОРА!F21:K21)</f>
        <v>1.1476</v>
      </c>
      <c r="I1788" s="12" t="n">
        <f aca="false">SUMPRODUCT(ПОТОКИ!B14:G14,ЧАСОВЫЕ_ПРОФИЛИ!B23:G23,КОЭФФИЦИЕНТЫ_ВЫБОРА!F21:K21,ПАРАМЕТРЫ!$B$17:$G$17)</f>
        <v>1.26236</v>
      </c>
      <c r="J1788" s="12" t="n">
        <f aca="false">I1788*G1788/1000</f>
        <v>0.3408372</v>
      </c>
      <c r="K1788" s="11" t="s">
        <v>217</v>
      </c>
      <c r="L1788" s="11" t="s">
        <v>19</v>
      </c>
      <c r="M1788" s="11" t="s">
        <v>145</v>
      </c>
    </row>
    <row r="1789" customFormat="false" ht="15" hidden="false" customHeight="false" outlineLevel="0" collapsed="false">
      <c r="A1789" s="11" t="s">
        <v>110</v>
      </c>
      <c r="B1789" s="11" t="s">
        <v>136</v>
      </c>
      <c r="C1789" s="11" t="n">
        <v>12</v>
      </c>
      <c r="D1789" s="11" t="s">
        <v>161</v>
      </c>
      <c r="E1789" s="11" t="s">
        <v>165</v>
      </c>
      <c r="F1789" s="11" t="s">
        <v>80</v>
      </c>
      <c r="G1789" s="12" t="n">
        <v>240</v>
      </c>
      <c r="H1789" s="12" t="n">
        <f aca="false">SUMPRODUCT(ПОТОКИ!B14:G14,ЧАСОВЫЕ_ПРОФИЛИ!B23:G23,КОЭФФИЦИЕНТЫ_ВЫБОРА!F22:K22)</f>
        <v>0.6179</v>
      </c>
      <c r="I1789" s="12" t="n">
        <f aca="false">SUMPRODUCT(ПОТОКИ!B14:G14,ЧАСОВЫЕ_ПРОФИЛИ!B23:G23,КОЭФФИЦИЕНТЫ_ВЫБОРА!F22:K22,ПАРАМЕТРЫ!$B$17:$G$17)</f>
        <v>0.67969</v>
      </c>
      <c r="J1789" s="12" t="n">
        <f aca="false">I1789*G1789/1000</f>
        <v>0.1631256</v>
      </c>
      <c r="K1789" s="11" t="s">
        <v>217</v>
      </c>
      <c r="L1789" s="11" t="s">
        <v>19</v>
      </c>
      <c r="M1789" s="11" t="s">
        <v>145</v>
      </c>
    </row>
    <row r="1790" customFormat="false" ht="15" hidden="false" customHeight="false" outlineLevel="0" collapsed="false">
      <c r="A1790" s="11" t="s">
        <v>110</v>
      </c>
      <c r="B1790" s="11" t="s">
        <v>136</v>
      </c>
      <c r="C1790" s="11" t="n">
        <v>13</v>
      </c>
      <c r="D1790" s="11" t="s">
        <v>166</v>
      </c>
      <c r="E1790" s="11" t="s">
        <v>167</v>
      </c>
      <c r="F1790" s="11" t="s">
        <v>80</v>
      </c>
      <c r="G1790" s="12" t="n">
        <v>130</v>
      </c>
      <c r="H1790" s="12" t="n">
        <f aca="false">SUMPRODUCT(ПОТОКИ!B14:G14,ЧАСОВЫЕ_ПРОФИЛИ!B23:G23,КОЭФФИЦИЕНТЫ_ВЫБОРА!F23:K23)</f>
        <v>0.356</v>
      </c>
      <c r="I1790" s="12" t="n">
        <f aca="false">SUMPRODUCT(ПОТОКИ!B14:G14,ЧАСОВЫЕ_ПРОФИЛИ!B23:G23,КОЭФФИЦИЕНТЫ_ВЫБОРА!F23:K23,ПАРАМЕТРЫ!$B$17:$G$17)</f>
        <v>0.3916</v>
      </c>
      <c r="J1790" s="12" t="n">
        <f aca="false">I1790*G1790/1000</f>
        <v>0.050908</v>
      </c>
      <c r="K1790" s="11" t="s">
        <v>217</v>
      </c>
      <c r="L1790" s="11" t="s">
        <v>19</v>
      </c>
      <c r="M1790" s="11" t="s">
        <v>145</v>
      </c>
    </row>
    <row r="1791" customFormat="false" ht="15" hidden="false" customHeight="false" outlineLevel="0" collapsed="false">
      <c r="A1791" s="11" t="s">
        <v>110</v>
      </c>
      <c r="B1791" s="11" t="s">
        <v>136</v>
      </c>
      <c r="C1791" s="11" t="n">
        <v>14</v>
      </c>
      <c r="D1791" s="11" t="s">
        <v>166</v>
      </c>
      <c r="E1791" s="11" t="s">
        <v>168</v>
      </c>
      <c r="F1791" s="11" t="s">
        <v>80</v>
      </c>
      <c r="G1791" s="12" t="n">
        <v>250</v>
      </c>
      <c r="H1791" s="12" t="n">
        <f aca="false">SUMPRODUCT(ПОТОКИ!B14:G14,ЧАСОВЫЕ_ПРОФИЛИ!B23:G23,КОЭФФИЦИЕНТЫ_ВЫБОРА!F24:K24)</f>
        <v>0.2786</v>
      </c>
      <c r="I1791" s="12" t="n">
        <f aca="false">SUMPRODUCT(ПОТОКИ!B14:G14,ЧАСОВЫЕ_ПРОФИЛИ!B23:G23,КОЭФФИЦИЕНТЫ_ВЫБОРА!F24:K24,ПАРАМЕТРЫ!$B$17:$G$17)</f>
        <v>0.30646</v>
      </c>
      <c r="J1791" s="12" t="n">
        <f aca="false">I1791*G1791/1000</f>
        <v>0.076615</v>
      </c>
      <c r="K1791" s="11" t="s">
        <v>217</v>
      </c>
      <c r="L1791" s="11" t="s">
        <v>19</v>
      </c>
      <c r="M1791" s="11" t="s">
        <v>145</v>
      </c>
    </row>
    <row r="1792" customFormat="false" ht="15" hidden="false" customHeight="false" outlineLevel="0" collapsed="false">
      <c r="A1792" s="11" t="s">
        <v>110</v>
      </c>
      <c r="B1792" s="11" t="s">
        <v>136</v>
      </c>
      <c r="C1792" s="11" t="n">
        <v>15</v>
      </c>
      <c r="D1792" s="11" t="s">
        <v>166</v>
      </c>
      <c r="E1792" s="11" t="s">
        <v>169</v>
      </c>
      <c r="F1792" s="11" t="s">
        <v>80</v>
      </c>
      <c r="G1792" s="12" t="n">
        <v>120</v>
      </c>
      <c r="H1792" s="12" t="n">
        <f aca="false">SUMPRODUCT(ПОТОКИ!B14:G14,ЧАСОВЫЕ_ПРОФИЛИ!B23:G23,КОЭФФИЦИЕНТЫ_ВЫБОРА!F25:K25)</f>
        <v>0.2036</v>
      </c>
      <c r="I1792" s="12" t="n">
        <f aca="false">SUMPRODUCT(ПОТОКИ!B14:G14,ЧАСОВЫЕ_ПРОФИЛИ!B23:G23,КОЭФФИЦИЕНТЫ_ВЫБОРА!F25:K25,ПАРАМЕТРЫ!$B$17:$G$17)</f>
        <v>0.22396</v>
      </c>
      <c r="J1792" s="12" t="n">
        <f aca="false">I1792*G1792/1000</f>
        <v>0.0268752</v>
      </c>
      <c r="K1792" s="11" t="s">
        <v>217</v>
      </c>
      <c r="L1792" s="11" t="s">
        <v>19</v>
      </c>
      <c r="M1792" s="11" t="s">
        <v>145</v>
      </c>
    </row>
    <row r="1793" customFormat="false" ht="15" hidden="false" customHeight="false" outlineLevel="0" collapsed="false">
      <c r="A1793" s="11" t="s">
        <v>110</v>
      </c>
      <c r="B1793" s="11" t="s">
        <v>136</v>
      </c>
      <c r="C1793" s="11" t="n">
        <v>16</v>
      </c>
      <c r="D1793" s="11" t="s">
        <v>166</v>
      </c>
      <c r="E1793" s="11" t="s">
        <v>170</v>
      </c>
      <c r="F1793" s="11" t="s">
        <v>80</v>
      </c>
      <c r="G1793" s="12" t="n">
        <v>180</v>
      </c>
      <c r="H1793" s="12" t="n">
        <f aca="false">SUMPRODUCT(ПОТОКИ!B14:G14,ЧАСОВЫЕ_ПРОФИЛИ!B23:G23,КОЭФФИЦИЕНТЫ_ВЫБОРА!F26:K26)</f>
        <v>0.3298</v>
      </c>
      <c r="I1793" s="12" t="n">
        <f aca="false">SUMPRODUCT(ПОТОКИ!B14:G14,ЧАСОВЫЕ_ПРОФИЛИ!B23:G23,КОЭФФИЦИЕНТЫ_ВЫБОРА!F26:K26,ПАРАМЕТРЫ!$B$17:$G$17)</f>
        <v>0.36278</v>
      </c>
      <c r="J1793" s="12" t="n">
        <f aca="false">I1793*G1793/1000</f>
        <v>0.0653004</v>
      </c>
      <c r="K1793" s="11" t="s">
        <v>217</v>
      </c>
      <c r="L1793" s="11" t="s">
        <v>19</v>
      </c>
      <c r="M1793" s="11" t="s">
        <v>145</v>
      </c>
    </row>
    <row r="1794" customFormat="false" ht="15" hidden="false" customHeight="false" outlineLevel="0" collapsed="false">
      <c r="A1794" s="11" t="s">
        <v>110</v>
      </c>
      <c r="B1794" s="11" t="s">
        <v>136</v>
      </c>
      <c r="C1794" s="11" t="n">
        <v>17</v>
      </c>
      <c r="D1794" s="11" t="s">
        <v>166</v>
      </c>
      <c r="E1794" s="11" t="s">
        <v>171</v>
      </c>
      <c r="F1794" s="11" t="s">
        <v>80</v>
      </c>
      <c r="G1794" s="12" t="n">
        <v>180</v>
      </c>
      <c r="H1794" s="12" t="n">
        <f aca="false">SUMPRODUCT(ПОТОКИ!B14:G14,ЧАСОВЫЕ_ПРОФИЛИ!B23:G23,КОЭФФИЦИЕНТЫ_ВЫБОРА!F27:K27)</f>
        <v>0.356</v>
      </c>
      <c r="I1794" s="12" t="n">
        <f aca="false">SUMPRODUCT(ПОТОКИ!B14:G14,ЧАСОВЫЕ_ПРОФИЛИ!B23:G23,КОЭФФИЦИЕНТЫ_ВЫБОРА!F27:K27,ПАРАМЕТРЫ!$B$17:$G$17)</f>
        <v>0.3916</v>
      </c>
      <c r="J1794" s="12" t="n">
        <f aca="false">I1794*G1794/1000</f>
        <v>0.070488</v>
      </c>
      <c r="K1794" s="11" t="s">
        <v>217</v>
      </c>
      <c r="L1794" s="11" t="s">
        <v>19</v>
      </c>
      <c r="M1794" s="11" t="s">
        <v>145</v>
      </c>
    </row>
    <row r="1795" customFormat="false" ht="15" hidden="false" customHeight="false" outlineLevel="0" collapsed="false">
      <c r="A1795" s="11" t="s">
        <v>110</v>
      </c>
      <c r="B1795" s="11" t="s">
        <v>136</v>
      </c>
      <c r="C1795" s="11" t="n">
        <v>18</v>
      </c>
      <c r="D1795" s="11" t="s">
        <v>172</v>
      </c>
      <c r="E1795" s="11" t="s">
        <v>173</v>
      </c>
      <c r="F1795" s="11" t="s">
        <v>83</v>
      </c>
      <c r="G1795" s="12" t="n">
        <v>400</v>
      </c>
      <c r="H1795" s="12" t="n">
        <f aca="false">SUMPRODUCT(ПОТОКИ!B14:G14,ЧАСОВЫЕ_ПРОФИЛИ!B23:G23,КОЭФФИЦИЕНТЫ_ВЫБОРА!F28:K28)</f>
        <v>0.512</v>
      </c>
      <c r="I1795" s="12" t="n">
        <f aca="false">SUMPRODUCT(ПОТОКИ!B14:G14,ЧАСОВЫЕ_ПРОФИЛИ!B23:G23,КОЭФФИЦИЕНТЫ_ВЫБОРА!F28:K28,ПАРАМЕТРЫ!$B$17:$G$17)</f>
        <v>0.5632</v>
      </c>
      <c r="J1795" s="12" t="n">
        <f aca="false">I1795*G1795/1000</f>
        <v>0.22528</v>
      </c>
      <c r="K1795" s="11" t="s">
        <v>217</v>
      </c>
      <c r="L1795" s="11" t="s">
        <v>19</v>
      </c>
      <c r="M1795" s="11" t="s">
        <v>145</v>
      </c>
    </row>
    <row r="1796" customFormat="false" ht="23.85" hidden="false" customHeight="false" outlineLevel="0" collapsed="false">
      <c r="A1796" s="11" t="s">
        <v>110</v>
      </c>
      <c r="B1796" s="11" t="s">
        <v>136</v>
      </c>
      <c r="C1796" s="11" t="n">
        <v>19</v>
      </c>
      <c r="D1796" s="11" t="s">
        <v>174</v>
      </c>
      <c r="E1796" s="11" t="s">
        <v>175</v>
      </c>
      <c r="F1796" s="11" t="s">
        <v>83</v>
      </c>
      <c r="G1796" s="12" t="n">
        <v>300</v>
      </c>
      <c r="H1796" s="12" t="n">
        <f aca="false">SUMPRODUCT(ПОТОКИ!B14:G14,ЧАСОВЫЕ_ПРОФИЛИ!B23:G23,КОЭФФИЦИЕНТЫ_ВЫБОРА!F29:K29)</f>
        <v>1.8295</v>
      </c>
      <c r="I1796" s="12" t="n">
        <f aca="false">SUMPRODUCT(ПОТОКИ!B14:G14,ЧАСОВЫЕ_ПРОФИЛИ!B23:G23,КОЭФФИЦИЕНТЫ_ВЫБОРА!F29:K29,ПАРАМЕТРЫ!$B$17:$G$17)</f>
        <v>2.01245</v>
      </c>
      <c r="J1796" s="12" t="n">
        <f aca="false">I1796*G1796/1000</f>
        <v>0.603735</v>
      </c>
      <c r="K1796" s="11" t="s">
        <v>217</v>
      </c>
      <c r="L1796" s="11" t="s">
        <v>19</v>
      </c>
      <c r="M1796" s="11" t="s">
        <v>145</v>
      </c>
    </row>
    <row r="1797" customFormat="false" ht="15" hidden="false" customHeight="false" outlineLevel="0" collapsed="false">
      <c r="A1797" s="11" t="s">
        <v>110</v>
      </c>
      <c r="B1797" s="11" t="s">
        <v>136</v>
      </c>
      <c r="C1797" s="11" t="n">
        <v>20</v>
      </c>
      <c r="D1797" s="11" t="s">
        <v>174</v>
      </c>
      <c r="E1797" s="11" t="s">
        <v>176</v>
      </c>
      <c r="F1797" s="11" t="s">
        <v>83</v>
      </c>
      <c r="G1797" s="12" t="n">
        <v>360</v>
      </c>
      <c r="H1797" s="12" t="n">
        <f aca="false">SUMPRODUCT(ПОТОКИ!B14:G14,ЧАСОВЫЕ_ПРОФИЛИ!B23:G23,КОЭФФИЦИЕНТЫ_ВЫБОРА!F30:K30)</f>
        <v>1.5406</v>
      </c>
      <c r="I1797" s="12" t="n">
        <f aca="false">SUMPRODUCT(ПОТОКИ!B14:G14,ЧАСОВЫЕ_ПРОФИЛИ!B23:G23,КОЭФФИЦИЕНТЫ_ВЫБОРА!F30:K30,ПАРАМЕТРЫ!$B$17:$G$17)</f>
        <v>1.69466</v>
      </c>
      <c r="J1797" s="12" t="n">
        <f aca="false">I1797*G1797/1000</f>
        <v>0.6100776</v>
      </c>
      <c r="K1797" s="11" t="s">
        <v>217</v>
      </c>
      <c r="L1797" s="11" t="s">
        <v>19</v>
      </c>
      <c r="M1797" s="11" t="s">
        <v>145</v>
      </c>
    </row>
    <row r="1798" customFormat="false" ht="15" hidden="false" customHeight="false" outlineLevel="0" collapsed="false">
      <c r="A1798" s="11" t="s">
        <v>110</v>
      </c>
      <c r="B1798" s="11" t="s">
        <v>136</v>
      </c>
      <c r="C1798" s="11" t="n">
        <v>21</v>
      </c>
      <c r="D1798" s="11" t="s">
        <v>174</v>
      </c>
      <c r="E1798" s="11" t="s">
        <v>177</v>
      </c>
      <c r="F1798" s="11" t="s">
        <v>83</v>
      </c>
      <c r="G1798" s="12" t="n">
        <v>350</v>
      </c>
      <c r="H1798" s="12" t="n">
        <f aca="false">SUMPRODUCT(ПОТОКИ!B14:G14,ЧАСОВЫЕ_ПРОФИЛИ!B23:G23,КОЭФФИЦИЕНТЫ_ВЫБОРА!F31:K31)</f>
        <v>2.24965</v>
      </c>
      <c r="I1798" s="12" t="n">
        <f aca="false">SUMPRODUCT(ПОТОКИ!B14:G14,ЧАСОВЫЕ_ПРОФИЛИ!B23:G23,КОЭФФИЦИЕНТЫ_ВЫБОРА!F31:K31,ПАРАМЕТРЫ!$B$17:$G$17)</f>
        <v>2.474615</v>
      </c>
      <c r="J1798" s="12" t="n">
        <f aca="false">I1798*G1798/1000</f>
        <v>0.86611525</v>
      </c>
      <c r="K1798" s="11" t="s">
        <v>217</v>
      </c>
      <c r="L1798" s="11" t="s">
        <v>19</v>
      </c>
      <c r="M1798" s="11" t="s">
        <v>145</v>
      </c>
    </row>
    <row r="1799" customFormat="false" ht="15" hidden="false" customHeight="false" outlineLevel="0" collapsed="false">
      <c r="A1799" s="11" t="s">
        <v>110</v>
      </c>
      <c r="B1799" s="11" t="s">
        <v>136</v>
      </c>
      <c r="C1799" s="11" t="n">
        <v>22</v>
      </c>
      <c r="D1799" s="11" t="s">
        <v>174</v>
      </c>
      <c r="E1799" s="11" t="s">
        <v>178</v>
      </c>
      <c r="F1799" s="11" t="s">
        <v>83</v>
      </c>
      <c r="G1799" s="12" t="n">
        <v>300</v>
      </c>
      <c r="H1799" s="12" t="n">
        <f aca="false">SUMPRODUCT(ПОТОКИ!B14:G14,ЧАСОВЫЕ_ПРОФИЛИ!B23:G23,КОЭФФИЦИЕНТЫ_ВЫБОРА!F32:K32)</f>
        <v>1.63325</v>
      </c>
      <c r="I1799" s="12" t="n">
        <f aca="false">SUMPRODUCT(ПОТОКИ!B14:G14,ЧАСОВЫЕ_ПРОФИЛИ!B23:G23,КОЭФФИЦИЕНТЫ_ВЫБОРА!F32:K32,ПАРАМЕТРЫ!$B$17:$G$17)</f>
        <v>1.796575</v>
      </c>
      <c r="J1799" s="12" t="n">
        <f aca="false">I1799*G1799/1000</f>
        <v>0.5389725</v>
      </c>
      <c r="K1799" s="11" t="s">
        <v>217</v>
      </c>
      <c r="L1799" s="11" t="s">
        <v>19</v>
      </c>
      <c r="M1799" s="11" t="s">
        <v>145</v>
      </c>
    </row>
    <row r="1800" customFormat="false" ht="15" hidden="false" customHeight="false" outlineLevel="0" collapsed="false">
      <c r="A1800" s="11" t="s">
        <v>110</v>
      </c>
      <c r="B1800" s="11" t="s">
        <v>136</v>
      </c>
      <c r="C1800" s="11" t="n">
        <v>23</v>
      </c>
      <c r="D1800" s="11" t="s">
        <v>86</v>
      </c>
      <c r="E1800" s="11" t="s">
        <v>179</v>
      </c>
      <c r="F1800" s="11" t="s">
        <v>85</v>
      </c>
      <c r="G1800" s="12" t="n">
        <v>150</v>
      </c>
      <c r="H1800" s="12" t="n">
        <f aca="false">SUMPRODUCT(ПОТОКИ!B14:G14,ЧАСОВЫЕ_ПРОФИЛИ!B23:G23,КОЭФФИЦИЕНТЫ_ВЫБОРА!F33:K33)</f>
        <v>1.37127275</v>
      </c>
      <c r="I1800" s="12" t="n">
        <f aca="false">SUMPRODUCT(ПОТОКИ!B14:G14,ЧАСОВЫЕ_ПРОФИЛИ!B23:G23,КОЭФФИЦИЕНТЫ_ВЫБОРА!F33:K33,ПАРАМЕТРЫ!$B$17:$G$17)</f>
        <v>1.508400025</v>
      </c>
      <c r="J1800" s="12" t="n">
        <f aca="false">I1800*G1800/1000</f>
        <v>0.22626000375</v>
      </c>
      <c r="K1800" s="11" t="s">
        <v>217</v>
      </c>
      <c r="L1800" s="11" t="s">
        <v>19</v>
      </c>
      <c r="M1800" s="11" t="s">
        <v>147</v>
      </c>
    </row>
    <row r="1801" customFormat="false" ht="15" hidden="false" customHeight="false" outlineLevel="0" collapsed="false">
      <c r="A1801" s="11" t="s">
        <v>110</v>
      </c>
      <c r="B1801" s="11" t="s">
        <v>136</v>
      </c>
      <c r="C1801" s="11" t="n">
        <v>24</v>
      </c>
      <c r="D1801" s="11" t="s">
        <v>86</v>
      </c>
      <c r="E1801" s="11" t="s">
        <v>180</v>
      </c>
      <c r="F1801" s="11" t="s">
        <v>85</v>
      </c>
      <c r="G1801" s="12" t="n">
        <v>150</v>
      </c>
      <c r="H1801" s="12" t="n">
        <f aca="false">SUMPRODUCT(ПОТОКИ!B14:G14,ЧАСОВЫЕ_ПРОФИЛИ!B23:G23,КОЭФФИЦИЕНТЫ_ВЫБОРА!F34:K34)</f>
        <v>0.726277</v>
      </c>
      <c r="I1801" s="12" t="n">
        <f aca="false">SUMPRODUCT(ПОТОКИ!B14:G14,ЧАСОВЫЕ_ПРОФИЛИ!B23:G23,КОЭФФИЦИЕНТЫ_ВЫБОРА!F34:K34,ПАРАМЕТРЫ!$B$17:$G$17)</f>
        <v>0.7989047</v>
      </c>
      <c r="J1801" s="12" t="n">
        <f aca="false">I1801*G1801/1000</f>
        <v>0.119835705</v>
      </c>
      <c r="K1801" s="11" t="s">
        <v>217</v>
      </c>
      <c r="L1801" s="11" t="s">
        <v>19</v>
      </c>
      <c r="M1801" s="11" t="s">
        <v>147</v>
      </c>
    </row>
    <row r="1802" customFormat="false" ht="15" hidden="false" customHeight="false" outlineLevel="0" collapsed="false">
      <c r="A1802" s="11" t="s">
        <v>110</v>
      </c>
      <c r="B1802" s="11" t="s">
        <v>136</v>
      </c>
      <c r="C1802" s="11" t="n">
        <v>25</v>
      </c>
      <c r="D1802" s="11" t="s">
        <v>86</v>
      </c>
      <c r="E1802" s="11" t="s">
        <v>181</v>
      </c>
      <c r="F1802" s="11" t="s">
        <v>85</v>
      </c>
      <c r="G1802" s="12" t="n">
        <v>150</v>
      </c>
      <c r="H1802" s="12" t="n">
        <f aca="false">SUMPRODUCT(ПОТОКИ!B14:G14,ЧАСОВЫЕ_ПРОФИЛИ!B23:G23,КОЭФФИЦИЕНТЫ_ВЫБОРА!F35:K35)</f>
        <v>1.53383525</v>
      </c>
      <c r="I1802" s="12" t="n">
        <f aca="false">SUMPRODUCT(ПОТОКИ!B14:G14,ЧАСОВЫЕ_ПРОФИЛИ!B23:G23,КОЭФФИЦИЕНТЫ_ВЫБОРА!F35:K35,ПАРАМЕТРЫ!$B$17:$G$17)</f>
        <v>1.687218775</v>
      </c>
      <c r="J1802" s="12" t="n">
        <f aca="false">I1802*G1802/1000</f>
        <v>0.25308281625</v>
      </c>
      <c r="K1802" s="11" t="s">
        <v>217</v>
      </c>
      <c r="L1802" s="11" t="s">
        <v>19</v>
      </c>
      <c r="M1802" s="11" t="s">
        <v>147</v>
      </c>
    </row>
    <row r="1803" customFormat="false" ht="23.85" hidden="false" customHeight="false" outlineLevel="0" collapsed="false">
      <c r="A1803" s="11" t="s">
        <v>110</v>
      </c>
      <c r="B1803" s="11" t="s">
        <v>136</v>
      </c>
      <c r="C1803" s="11" t="n">
        <v>26</v>
      </c>
      <c r="D1803" s="11" t="s">
        <v>89</v>
      </c>
      <c r="E1803" s="11" t="s">
        <v>182</v>
      </c>
      <c r="F1803" s="11" t="s">
        <v>88</v>
      </c>
      <c r="G1803" s="12" t="n">
        <v>225</v>
      </c>
      <c r="H1803" s="12" t="n">
        <f aca="false">SUMPRODUCT(ПОТОКИ!B14:G14,ЧАСОВЫЕ_ПРОФИЛИ!B23:G23,КОЭФФИЦИЕНТЫ_ВЫБОРА!F36:K36)</f>
        <v>0</v>
      </c>
      <c r="I1803" s="12" t="n">
        <f aca="false">SUMPRODUCT(ПОТОКИ!B14:G14,ЧАСОВЫЕ_ПРОФИЛИ!B23:G23,КОЭФФИЦИЕНТЫ_ВЫБОРА!F36:K36,ПАРАМЕТРЫ!$B$17:$G$17)</f>
        <v>0</v>
      </c>
      <c r="J1803" s="12" t="n">
        <f aca="false">I1803*G1803/1000</f>
        <v>0</v>
      </c>
      <c r="K1803" s="11" t="s">
        <v>217</v>
      </c>
      <c r="L1803" s="11" t="s">
        <v>19</v>
      </c>
      <c r="M1803" s="11" t="s">
        <v>145</v>
      </c>
    </row>
    <row r="1804" customFormat="false" ht="23.85" hidden="false" customHeight="false" outlineLevel="0" collapsed="false">
      <c r="A1804" s="11" t="s">
        <v>110</v>
      </c>
      <c r="B1804" s="11" t="s">
        <v>136</v>
      </c>
      <c r="C1804" s="11" t="n">
        <v>27</v>
      </c>
      <c r="D1804" s="11" t="s">
        <v>89</v>
      </c>
      <c r="E1804" s="11" t="s">
        <v>183</v>
      </c>
      <c r="F1804" s="11" t="s">
        <v>88</v>
      </c>
      <c r="G1804" s="12" t="n">
        <v>265</v>
      </c>
      <c r="H1804" s="12" t="n">
        <f aca="false">SUMPRODUCT(ПОТОКИ!B14:G14,ЧАСОВЫЕ_ПРОФИЛИ!B23:G23,КОЭФФИЦИЕНТЫ_ВЫБОРА!F37:K37)</f>
        <v>0</v>
      </c>
      <c r="I1804" s="12" t="n">
        <f aca="false">SUMPRODUCT(ПОТОКИ!B14:G14,ЧАСОВЫЕ_ПРОФИЛИ!B23:G23,КОЭФФИЦИЕНТЫ_ВЫБОРА!F37:K37,ПАРАМЕТРЫ!$B$17:$G$17)</f>
        <v>0</v>
      </c>
      <c r="J1804" s="12" t="n">
        <f aca="false">I1804*G1804/1000</f>
        <v>0</v>
      </c>
      <c r="K1804" s="11" t="s">
        <v>217</v>
      </c>
      <c r="L1804" s="11" t="s">
        <v>19</v>
      </c>
      <c r="M1804" s="11" t="s">
        <v>145</v>
      </c>
    </row>
    <row r="1805" customFormat="false" ht="23.85" hidden="false" customHeight="false" outlineLevel="0" collapsed="false">
      <c r="A1805" s="11" t="s">
        <v>110</v>
      </c>
      <c r="B1805" s="11" t="s">
        <v>136</v>
      </c>
      <c r="C1805" s="11" t="n">
        <v>28</v>
      </c>
      <c r="D1805" s="11" t="s">
        <v>89</v>
      </c>
      <c r="E1805" s="11" t="s">
        <v>184</v>
      </c>
      <c r="F1805" s="11" t="s">
        <v>88</v>
      </c>
      <c r="G1805" s="12" t="n">
        <v>355</v>
      </c>
      <c r="H1805" s="12" t="n">
        <f aca="false">SUMPRODUCT(ПОТОКИ!B14:G14,ЧАСОВЫЕ_ПРОФИЛИ!B23:G23,КОЭФФИЦИЕНТЫ_ВЫБОРА!F38:K38)</f>
        <v>0</v>
      </c>
      <c r="I1805" s="12" t="n">
        <f aca="false">SUMPRODUCT(ПОТОКИ!B14:G14,ЧАСОВЫЕ_ПРОФИЛИ!B23:G23,КОЭФФИЦИЕНТЫ_ВЫБОРА!F38:K38,ПАРАМЕТРЫ!$B$17:$G$17)</f>
        <v>0</v>
      </c>
      <c r="J1805" s="12" t="n">
        <f aca="false">I1805*G1805/1000</f>
        <v>0</v>
      </c>
      <c r="K1805" s="11" t="s">
        <v>217</v>
      </c>
      <c r="L1805" s="11" t="s">
        <v>19</v>
      </c>
      <c r="M1805" s="11" t="s">
        <v>145</v>
      </c>
    </row>
    <row r="1806" customFormat="false" ht="15" hidden="false" customHeight="false" outlineLevel="0" collapsed="false">
      <c r="A1806" s="11" t="s">
        <v>110</v>
      </c>
      <c r="B1806" s="11" t="s">
        <v>136</v>
      </c>
      <c r="C1806" s="11" t="n">
        <v>29</v>
      </c>
      <c r="D1806" s="11" t="s">
        <v>92</v>
      </c>
      <c r="E1806" s="11" t="s">
        <v>185</v>
      </c>
      <c r="F1806" s="11" t="s">
        <v>91</v>
      </c>
      <c r="G1806" s="12" t="n">
        <v>150</v>
      </c>
      <c r="H1806" s="12" t="n">
        <f aca="false">SUMPRODUCT(ПОТОКИ!B14:G14,ЧАСОВЫЕ_ПРОФИЛИ!B23:G23,КОЭФФИЦИЕНТЫ_ВЫБОРА!F39:K39)</f>
        <v>0.4332</v>
      </c>
      <c r="I1806" s="12" t="n">
        <f aca="false">SUMPRODUCT(ПОТОКИ!B14:G14,ЧАСОВЫЕ_ПРОФИЛИ!B23:G23,КОЭФФИЦИЕНТЫ_ВЫБОРА!F39:K39,ПАРАМЕТРЫ!$B$17:$G$17)</f>
        <v>0.47652</v>
      </c>
      <c r="J1806" s="12" t="n">
        <f aca="false">I1806*G1806/1000</f>
        <v>0.071478</v>
      </c>
      <c r="K1806" s="11" t="s">
        <v>217</v>
      </c>
      <c r="L1806" s="11" t="s">
        <v>19</v>
      </c>
      <c r="M1806" s="11" t="s">
        <v>145</v>
      </c>
    </row>
    <row r="1807" customFormat="false" ht="15" hidden="false" customHeight="false" outlineLevel="0" collapsed="false">
      <c r="A1807" s="11" t="s">
        <v>110</v>
      </c>
      <c r="B1807" s="11" t="s">
        <v>136</v>
      </c>
      <c r="C1807" s="11" t="n">
        <v>30</v>
      </c>
      <c r="D1807" s="11" t="s">
        <v>92</v>
      </c>
      <c r="E1807" s="11" t="s">
        <v>186</v>
      </c>
      <c r="F1807" s="11" t="s">
        <v>91</v>
      </c>
      <c r="G1807" s="12" t="n">
        <v>120</v>
      </c>
      <c r="H1807" s="12" t="n">
        <f aca="false">SUMPRODUCT(ПОТОКИ!B14:G14,ЧАСОВЫЕ_ПРОФИЛИ!B23:G23,КОЭФФИЦИЕНТЫ_ВЫБОРА!F40:K40)</f>
        <v>0.6832</v>
      </c>
      <c r="I1807" s="12" t="n">
        <f aca="false">SUMPRODUCT(ПОТОКИ!B14:G14,ЧАСОВЫЕ_ПРОФИЛИ!B23:G23,КОЭФФИЦИЕНТЫ_ВЫБОРА!F40:K40,ПАРАМЕТРЫ!$B$17:$G$17)</f>
        <v>0.75152</v>
      </c>
      <c r="J1807" s="12" t="n">
        <f aca="false">I1807*G1807/1000</f>
        <v>0.0901824</v>
      </c>
      <c r="K1807" s="11" t="s">
        <v>217</v>
      </c>
      <c r="L1807" s="11" t="s">
        <v>19</v>
      </c>
      <c r="M1807" s="11" t="s">
        <v>145</v>
      </c>
    </row>
    <row r="1808" customFormat="false" ht="15" hidden="false" customHeight="false" outlineLevel="0" collapsed="false">
      <c r="A1808" s="11" t="s">
        <v>110</v>
      </c>
      <c r="B1808" s="11" t="s">
        <v>136</v>
      </c>
      <c r="C1808" s="11" t="n">
        <v>31</v>
      </c>
      <c r="D1808" s="11" t="s">
        <v>92</v>
      </c>
      <c r="E1808" s="11" t="s">
        <v>187</v>
      </c>
      <c r="F1808" s="11" t="s">
        <v>91</v>
      </c>
      <c r="G1808" s="12" t="n">
        <v>60</v>
      </c>
      <c r="H1808" s="12" t="n">
        <f aca="false">SUMPRODUCT(ПОТОКИ!B14:G14,ЧАСОВЫЕ_ПРОФИЛИ!B23:G23,КОЭФФИЦИЕНТЫ_ВЫБОРА!F41:K41)</f>
        <v>0.3216</v>
      </c>
      <c r="I1808" s="12" t="n">
        <f aca="false">SUMPRODUCT(ПОТОКИ!B14:G14,ЧАСОВЫЕ_ПРОФИЛИ!B23:G23,КОЭФФИЦИЕНТЫ_ВЫБОРА!F41:K41,ПАРАМЕТРЫ!$B$17:$G$17)</f>
        <v>0.35376</v>
      </c>
      <c r="J1808" s="12" t="n">
        <f aca="false">I1808*G1808/1000</f>
        <v>0.0212256</v>
      </c>
      <c r="K1808" s="11" t="s">
        <v>217</v>
      </c>
      <c r="L1808" s="11" t="s">
        <v>19</v>
      </c>
      <c r="M1808" s="11" t="s">
        <v>145</v>
      </c>
    </row>
    <row r="1809" customFormat="false" ht="15" hidden="false" customHeight="false" outlineLevel="0" collapsed="false">
      <c r="A1809" s="11" t="s">
        <v>110</v>
      </c>
      <c r="B1809" s="11" t="s">
        <v>137</v>
      </c>
      <c r="C1809" s="11" t="n">
        <v>1</v>
      </c>
      <c r="D1809" s="11" t="s">
        <v>74</v>
      </c>
      <c r="E1809" s="11" t="s">
        <v>153</v>
      </c>
      <c r="F1809" s="11" t="s">
        <v>73</v>
      </c>
      <c r="G1809" s="12" t="n">
        <v>450</v>
      </c>
      <c r="H1809" s="12" t="n">
        <f aca="false">SUMPRODUCT(ПОТОКИ!B14:G14,ЧАСОВЫЕ_ПРОФИЛИ!B24:G24,КОЭФФИЦИЕНТЫ_ВЫБОРА!F11:K11)</f>
        <v>0.4815</v>
      </c>
      <c r="I1809" s="12" t="n">
        <f aca="false">SUMPRODUCT(ПОТОКИ!B14:G14,ЧАСОВЫЕ_ПРОФИЛИ!B24:G24,КОЭФФИЦИЕНТЫ_ВЫБОРА!F11:K11,ПАРАМЕТРЫ!$B$17:$G$17)</f>
        <v>0.52965</v>
      </c>
      <c r="J1809" s="12" t="n">
        <f aca="false">I1809*G1809/1000</f>
        <v>0.2383425</v>
      </c>
      <c r="K1809" s="11" t="s">
        <v>217</v>
      </c>
      <c r="L1809" s="11" t="s">
        <v>19</v>
      </c>
      <c r="M1809" s="11" t="s">
        <v>145</v>
      </c>
    </row>
    <row r="1810" customFormat="false" ht="15" hidden="false" customHeight="false" outlineLevel="0" collapsed="false">
      <c r="A1810" s="11" t="s">
        <v>110</v>
      </c>
      <c r="B1810" s="11" t="s">
        <v>137</v>
      </c>
      <c r="C1810" s="11" t="n">
        <v>2</v>
      </c>
      <c r="D1810" s="11" t="s">
        <v>74</v>
      </c>
      <c r="E1810" s="11" t="s">
        <v>154</v>
      </c>
      <c r="F1810" s="11" t="s">
        <v>73</v>
      </c>
      <c r="G1810" s="12" t="n">
        <v>480</v>
      </c>
      <c r="H1810" s="12" t="n">
        <f aca="false">SUMPRODUCT(ПОТОКИ!B14:G14,ЧАСОВЫЕ_ПРОФИЛИ!B24:G24,КОЭФФИЦИЕНТЫ_ВЫБОРА!F12:K12)</f>
        <v>0.79</v>
      </c>
      <c r="I1810" s="12" t="n">
        <f aca="false">SUMPRODUCT(ПОТОКИ!B14:G14,ЧАСОВЫЕ_ПРОФИЛИ!B24:G24,КОЭФФИЦИЕНТЫ_ВЫБОРА!F12:K12,ПАРАМЕТРЫ!$B$17:$G$17)</f>
        <v>0.869</v>
      </c>
      <c r="J1810" s="12" t="n">
        <f aca="false">I1810*G1810/1000</f>
        <v>0.41712</v>
      </c>
      <c r="K1810" s="11" t="s">
        <v>217</v>
      </c>
      <c r="L1810" s="11" t="s">
        <v>19</v>
      </c>
      <c r="M1810" s="11" t="s">
        <v>145</v>
      </c>
    </row>
    <row r="1811" customFormat="false" ht="15" hidden="false" customHeight="false" outlineLevel="0" collapsed="false">
      <c r="A1811" s="11" t="s">
        <v>110</v>
      </c>
      <c r="B1811" s="11" t="s">
        <v>137</v>
      </c>
      <c r="C1811" s="11" t="n">
        <v>3</v>
      </c>
      <c r="D1811" s="11" t="s">
        <v>74</v>
      </c>
      <c r="E1811" s="11" t="s">
        <v>155</v>
      </c>
      <c r="F1811" s="11" t="s">
        <v>73</v>
      </c>
      <c r="G1811" s="12" t="n">
        <v>500</v>
      </c>
      <c r="H1811" s="12" t="n">
        <f aca="false">SUMPRODUCT(ПОТОКИ!B14:G14,ЧАСОВЫЕ_ПРОФИЛИ!B24:G24,КОЭФФИЦИЕНТЫ_ВЫБОРА!F13:K13)</f>
        <v>1.1475</v>
      </c>
      <c r="I1811" s="12" t="n">
        <f aca="false">SUMPRODUCT(ПОТОКИ!B14:G14,ЧАСОВЫЕ_ПРОФИЛИ!B24:G24,КОЭФФИЦИЕНТЫ_ВЫБОРА!F13:K13,ПАРАМЕТРЫ!$B$17:$G$17)</f>
        <v>1.26225</v>
      </c>
      <c r="J1811" s="12" t="n">
        <f aca="false">I1811*G1811/1000</f>
        <v>0.631125</v>
      </c>
      <c r="K1811" s="11" t="s">
        <v>217</v>
      </c>
      <c r="L1811" s="11" t="s">
        <v>19</v>
      </c>
      <c r="M1811" s="11" t="s">
        <v>145</v>
      </c>
    </row>
    <row r="1812" customFormat="false" ht="15" hidden="false" customHeight="false" outlineLevel="0" collapsed="false">
      <c r="A1812" s="11" t="s">
        <v>110</v>
      </c>
      <c r="B1812" s="11" t="s">
        <v>137</v>
      </c>
      <c r="C1812" s="11" t="n">
        <v>4</v>
      </c>
      <c r="D1812" s="11" t="s">
        <v>74</v>
      </c>
      <c r="E1812" s="11" t="s">
        <v>156</v>
      </c>
      <c r="F1812" s="11" t="s">
        <v>73</v>
      </c>
      <c r="G1812" s="12" t="n">
        <v>500</v>
      </c>
      <c r="H1812" s="12" t="n">
        <f aca="false">SUMPRODUCT(ПОТОКИ!B14:G14,ЧАСОВЫЕ_ПРОФИЛИ!B24:G24,КОЭФФИЦИЕНТЫ_ВЫБОРА!F14:K14)</f>
        <v>1.456</v>
      </c>
      <c r="I1812" s="12" t="n">
        <f aca="false">SUMPRODUCT(ПОТОКИ!B14:G14,ЧАСОВЫЕ_ПРОФИЛИ!B24:G24,КОЭФФИЦИЕНТЫ_ВЫБОРА!F14:K14,ПАРАМЕТРЫ!$B$17:$G$17)</f>
        <v>1.6016</v>
      </c>
      <c r="J1812" s="12" t="n">
        <f aca="false">I1812*G1812/1000</f>
        <v>0.8008</v>
      </c>
      <c r="K1812" s="11" t="s">
        <v>217</v>
      </c>
      <c r="L1812" s="11" t="s">
        <v>19</v>
      </c>
      <c r="M1812" s="11" t="s">
        <v>145</v>
      </c>
    </row>
    <row r="1813" customFormat="false" ht="15" hidden="false" customHeight="false" outlineLevel="0" collapsed="false">
      <c r="A1813" s="11" t="s">
        <v>110</v>
      </c>
      <c r="B1813" s="11" t="s">
        <v>137</v>
      </c>
      <c r="C1813" s="11" t="n">
        <v>5</v>
      </c>
      <c r="D1813" s="11" t="s">
        <v>78</v>
      </c>
      <c r="E1813" s="11" t="s">
        <v>157</v>
      </c>
      <c r="F1813" s="11" t="s">
        <v>77</v>
      </c>
      <c r="G1813" s="12" t="n">
        <v>100</v>
      </c>
      <c r="H1813" s="12" t="n">
        <f aca="false">SUMPRODUCT(ПОТОКИ!B14:G14,ЧАСОВЫЕ_ПРОФИЛИ!B24:G24,КОЭФФИЦИЕНТЫ_ВЫБОРА!F15:K15)</f>
        <v>0.5665</v>
      </c>
      <c r="I1813" s="12" t="n">
        <f aca="false">SUMPRODUCT(ПОТОКИ!B14:G14,ЧАСОВЫЕ_ПРОФИЛИ!B24:G24,КОЭФФИЦИЕНТЫ_ВЫБОРА!F15:K15,ПАРАМЕТРЫ!$B$17:$G$17)</f>
        <v>0.62315</v>
      </c>
      <c r="J1813" s="12" t="n">
        <f aca="false">I1813*G1813/1000</f>
        <v>0.062315</v>
      </c>
      <c r="K1813" s="11" t="s">
        <v>217</v>
      </c>
      <c r="L1813" s="11" t="s">
        <v>19</v>
      </c>
      <c r="M1813" s="11" t="s">
        <v>147</v>
      </c>
    </row>
    <row r="1814" customFormat="false" ht="15" hidden="false" customHeight="false" outlineLevel="0" collapsed="false">
      <c r="A1814" s="11" t="s">
        <v>110</v>
      </c>
      <c r="B1814" s="11" t="s">
        <v>137</v>
      </c>
      <c r="C1814" s="11" t="n">
        <v>6</v>
      </c>
      <c r="D1814" s="11" t="s">
        <v>78</v>
      </c>
      <c r="E1814" s="11" t="s">
        <v>158</v>
      </c>
      <c r="F1814" s="11" t="s">
        <v>77</v>
      </c>
      <c r="G1814" s="12" t="n">
        <v>100</v>
      </c>
      <c r="H1814" s="12" t="n">
        <f aca="false">SUMPRODUCT(ПОТОКИ!B14:G14,ЧАСОВЫЕ_ПРОФИЛИ!B24:G24,КОЭФФИЦИЕНТЫ_ВЫБОРА!F16:K16)</f>
        <v>0.4875</v>
      </c>
      <c r="I1814" s="12" t="n">
        <f aca="false">SUMPRODUCT(ПОТОКИ!B14:G14,ЧАСОВЫЕ_ПРОФИЛИ!B24:G24,КОЭФФИЦИЕНТЫ_ВЫБОРА!F16:K16,ПАРАМЕТРЫ!$B$17:$G$17)</f>
        <v>0.53625</v>
      </c>
      <c r="J1814" s="12" t="n">
        <f aca="false">I1814*G1814/1000</f>
        <v>0.053625</v>
      </c>
      <c r="K1814" s="11" t="s">
        <v>217</v>
      </c>
      <c r="L1814" s="11" t="s">
        <v>19</v>
      </c>
      <c r="M1814" s="11" t="s">
        <v>147</v>
      </c>
    </row>
    <row r="1815" customFormat="false" ht="15" hidden="false" customHeight="false" outlineLevel="0" collapsed="false">
      <c r="A1815" s="11" t="s">
        <v>110</v>
      </c>
      <c r="B1815" s="11" t="s">
        <v>137</v>
      </c>
      <c r="C1815" s="11" t="n">
        <v>7</v>
      </c>
      <c r="D1815" s="11" t="s">
        <v>78</v>
      </c>
      <c r="E1815" s="11" t="s">
        <v>159</v>
      </c>
      <c r="F1815" s="11" t="s">
        <v>77</v>
      </c>
      <c r="G1815" s="12" t="n">
        <v>350</v>
      </c>
      <c r="H1815" s="12" t="n">
        <f aca="false">SUMPRODUCT(ПОТОКИ!B14:G14,ЧАСОВЫЕ_ПРОФИЛИ!B24:G24,КОЭФФИЦИЕНТЫ_ВЫБОРА!F17:K17)</f>
        <v>0.45075</v>
      </c>
      <c r="I1815" s="12" t="n">
        <f aca="false">SUMPRODUCT(ПОТОКИ!B14:G14,ЧАСОВЫЕ_ПРОФИЛИ!B24:G24,КОЭФФИЦИЕНТЫ_ВЫБОРА!F17:K17,ПАРАМЕТРЫ!$B$17:$G$17)</f>
        <v>0.495825</v>
      </c>
      <c r="J1815" s="12" t="n">
        <f aca="false">I1815*G1815/1000</f>
        <v>0.17353875</v>
      </c>
      <c r="K1815" s="11" t="s">
        <v>217</v>
      </c>
      <c r="L1815" s="11" t="s">
        <v>19</v>
      </c>
      <c r="M1815" s="11" t="s">
        <v>147</v>
      </c>
    </row>
    <row r="1816" customFormat="false" ht="15" hidden="false" customHeight="false" outlineLevel="0" collapsed="false">
      <c r="A1816" s="11" t="s">
        <v>110</v>
      </c>
      <c r="B1816" s="11" t="s">
        <v>137</v>
      </c>
      <c r="C1816" s="11" t="n">
        <v>8</v>
      </c>
      <c r="D1816" s="11" t="s">
        <v>78</v>
      </c>
      <c r="E1816" s="11" t="s">
        <v>160</v>
      </c>
      <c r="F1816" s="11" t="s">
        <v>77</v>
      </c>
      <c r="G1816" s="12" t="n">
        <v>85</v>
      </c>
      <c r="H1816" s="12" t="n">
        <f aca="false">SUMPRODUCT(ПОТОКИ!B14:G14,ЧАСОВЫЕ_ПРОФИЛИ!B24:G24,КОЭФФИЦИЕНТЫ_ВЫБОРА!F18:K18)</f>
        <v>0.29825</v>
      </c>
      <c r="I1816" s="12" t="n">
        <f aca="false">SUMPRODUCT(ПОТОКИ!B14:G14,ЧАСОВЫЕ_ПРОФИЛИ!B24:G24,КОЭФФИЦИЕНТЫ_ВЫБОРА!F18:K18,ПАРАМЕТРЫ!$B$17:$G$17)</f>
        <v>0.328075</v>
      </c>
      <c r="J1816" s="12" t="n">
        <f aca="false">I1816*G1816/1000</f>
        <v>0.027886375</v>
      </c>
      <c r="K1816" s="11" t="s">
        <v>217</v>
      </c>
      <c r="L1816" s="11" t="s">
        <v>19</v>
      </c>
      <c r="M1816" s="11" t="s">
        <v>147</v>
      </c>
    </row>
    <row r="1817" customFormat="false" ht="15" hidden="false" customHeight="false" outlineLevel="0" collapsed="false">
      <c r="A1817" s="11" t="s">
        <v>110</v>
      </c>
      <c r="B1817" s="11" t="s">
        <v>137</v>
      </c>
      <c r="C1817" s="11" t="n">
        <v>9</v>
      </c>
      <c r="D1817" s="11" t="s">
        <v>161</v>
      </c>
      <c r="E1817" s="11" t="s">
        <v>162</v>
      </c>
      <c r="F1817" s="11" t="s">
        <v>80</v>
      </c>
      <c r="G1817" s="12" t="n">
        <v>300</v>
      </c>
      <c r="H1817" s="12" t="n">
        <f aca="false">SUMPRODUCT(ПОТОКИ!B14:G14,ЧАСОВЫЕ_ПРОФИЛИ!B24:G24,КОЭФФИЦИЕНТЫ_ВЫБОРА!F19:K19)</f>
        <v>0.7665</v>
      </c>
      <c r="I1817" s="12" t="n">
        <f aca="false">SUMPRODUCT(ПОТОКИ!B14:G14,ЧАСОВЫЕ_ПРОФИЛИ!B24:G24,КОЭФФИЦИЕНТЫ_ВЫБОРА!F19:K19,ПАРАМЕТРЫ!$B$17:$G$17)</f>
        <v>0.84315</v>
      </c>
      <c r="J1817" s="12" t="n">
        <f aca="false">I1817*G1817/1000</f>
        <v>0.252945</v>
      </c>
      <c r="K1817" s="11" t="s">
        <v>217</v>
      </c>
      <c r="L1817" s="11" t="s">
        <v>19</v>
      </c>
      <c r="M1817" s="11" t="s">
        <v>145</v>
      </c>
    </row>
    <row r="1818" customFormat="false" ht="15" hidden="false" customHeight="false" outlineLevel="0" collapsed="false">
      <c r="A1818" s="11" t="s">
        <v>110</v>
      </c>
      <c r="B1818" s="11" t="s">
        <v>137</v>
      </c>
      <c r="C1818" s="11" t="n">
        <v>10</v>
      </c>
      <c r="D1818" s="11" t="s">
        <v>161</v>
      </c>
      <c r="E1818" s="11" t="s">
        <v>163</v>
      </c>
      <c r="F1818" s="11" t="s">
        <v>80</v>
      </c>
      <c r="G1818" s="12" t="n">
        <v>280</v>
      </c>
      <c r="H1818" s="12" t="n">
        <f aca="false">SUMPRODUCT(ПОТОКИ!B14:G14,ЧАСОВЫЕ_ПРОФИЛИ!B24:G24,КОЭФФИЦИЕНТЫ_ВЫБОРА!F20:K20)</f>
        <v>0.843</v>
      </c>
      <c r="I1818" s="12" t="n">
        <f aca="false">SUMPRODUCT(ПОТОКИ!B14:G14,ЧАСОВЫЕ_ПРОФИЛИ!B24:G24,КОЭФФИЦИЕНТЫ_ВЫБОРА!F20:K20,ПАРАМЕТРЫ!$B$17:$G$17)</f>
        <v>0.9273</v>
      </c>
      <c r="J1818" s="12" t="n">
        <f aca="false">I1818*G1818/1000</f>
        <v>0.259644</v>
      </c>
      <c r="K1818" s="11" t="s">
        <v>217</v>
      </c>
      <c r="L1818" s="11" t="s">
        <v>19</v>
      </c>
      <c r="M1818" s="11" t="s">
        <v>145</v>
      </c>
    </row>
    <row r="1819" customFormat="false" ht="15" hidden="false" customHeight="false" outlineLevel="0" collapsed="false">
      <c r="A1819" s="11" t="s">
        <v>110</v>
      </c>
      <c r="B1819" s="11" t="s">
        <v>137</v>
      </c>
      <c r="C1819" s="11" t="n">
        <v>11</v>
      </c>
      <c r="D1819" s="11" t="s">
        <v>161</v>
      </c>
      <c r="E1819" s="11" t="s">
        <v>164</v>
      </c>
      <c r="F1819" s="11" t="s">
        <v>80</v>
      </c>
      <c r="G1819" s="12" t="n">
        <v>270</v>
      </c>
      <c r="H1819" s="12" t="n">
        <f aca="false">SUMPRODUCT(ПОТОКИ!B14:G14,ЧАСОВЫЕ_ПРОФИЛИ!B24:G24,КОЭФФИЦИЕНТЫ_ВЫБОРА!F21:K21)</f>
        <v>1.38375</v>
      </c>
      <c r="I1819" s="12" t="n">
        <f aca="false">SUMPRODUCT(ПОТОКИ!B14:G14,ЧАСОВЫЕ_ПРОФИЛИ!B24:G24,КОЭФФИЦИЕНТЫ_ВЫБОРА!F21:K21,ПАРАМЕТРЫ!$B$17:$G$17)</f>
        <v>1.522125</v>
      </c>
      <c r="J1819" s="12" t="n">
        <f aca="false">I1819*G1819/1000</f>
        <v>0.41097375</v>
      </c>
      <c r="K1819" s="11" t="s">
        <v>217</v>
      </c>
      <c r="L1819" s="11" t="s">
        <v>19</v>
      </c>
      <c r="M1819" s="11" t="s">
        <v>145</v>
      </c>
    </row>
    <row r="1820" customFormat="false" ht="15" hidden="false" customHeight="false" outlineLevel="0" collapsed="false">
      <c r="A1820" s="11" t="s">
        <v>110</v>
      </c>
      <c r="B1820" s="11" t="s">
        <v>137</v>
      </c>
      <c r="C1820" s="11" t="n">
        <v>12</v>
      </c>
      <c r="D1820" s="11" t="s">
        <v>161</v>
      </c>
      <c r="E1820" s="11" t="s">
        <v>165</v>
      </c>
      <c r="F1820" s="11" t="s">
        <v>80</v>
      </c>
      <c r="G1820" s="12" t="n">
        <v>240</v>
      </c>
      <c r="H1820" s="12" t="n">
        <f aca="false">SUMPRODUCT(ПОТОКИ!B14:G14,ЧАСОВЫЕ_ПРОФИЛИ!B24:G24,КОЭФФИЦИЕНТЫ_ВЫБОРА!F22:K22)</f>
        <v>0.74175</v>
      </c>
      <c r="I1820" s="12" t="n">
        <f aca="false">SUMPRODUCT(ПОТОКИ!B14:G14,ЧАСОВЫЕ_ПРОФИЛИ!B24:G24,КОЭФФИЦИЕНТЫ_ВЫБОРА!F22:K22,ПАРАМЕТРЫ!$B$17:$G$17)</f>
        <v>0.815925</v>
      </c>
      <c r="J1820" s="12" t="n">
        <f aca="false">I1820*G1820/1000</f>
        <v>0.195822</v>
      </c>
      <c r="K1820" s="11" t="s">
        <v>217</v>
      </c>
      <c r="L1820" s="11" t="s">
        <v>19</v>
      </c>
      <c r="M1820" s="11" t="s">
        <v>145</v>
      </c>
    </row>
    <row r="1821" customFormat="false" ht="15" hidden="false" customHeight="false" outlineLevel="0" collapsed="false">
      <c r="A1821" s="11" t="s">
        <v>110</v>
      </c>
      <c r="B1821" s="11" t="s">
        <v>137</v>
      </c>
      <c r="C1821" s="11" t="n">
        <v>13</v>
      </c>
      <c r="D1821" s="11" t="s">
        <v>166</v>
      </c>
      <c r="E1821" s="11" t="s">
        <v>167</v>
      </c>
      <c r="F1821" s="11" t="s">
        <v>80</v>
      </c>
      <c r="G1821" s="12" t="n">
        <v>130</v>
      </c>
      <c r="H1821" s="12" t="n">
        <f aca="false">SUMPRODUCT(ПОТОКИ!B14:G14,ЧАСОВЫЕ_ПРОФИЛИ!B24:G24,КОЭФФИЦИЕНТЫ_ВЫБОРА!F23:K23)</f>
        <v>0.44</v>
      </c>
      <c r="I1821" s="12" t="n">
        <f aca="false">SUMPRODUCT(ПОТОКИ!B14:G14,ЧАСОВЫЕ_ПРОФИЛИ!B24:G24,КОЭФФИЦИЕНТЫ_ВЫБОРА!F23:K23,ПАРАМЕТРЫ!$B$17:$G$17)</f>
        <v>0.484</v>
      </c>
      <c r="J1821" s="12" t="n">
        <f aca="false">I1821*G1821/1000</f>
        <v>0.06292</v>
      </c>
      <c r="K1821" s="11" t="s">
        <v>217</v>
      </c>
      <c r="L1821" s="11" t="s">
        <v>19</v>
      </c>
      <c r="M1821" s="11" t="s">
        <v>145</v>
      </c>
    </row>
    <row r="1822" customFormat="false" ht="15" hidden="false" customHeight="false" outlineLevel="0" collapsed="false">
      <c r="A1822" s="11" t="s">
        <v>110</v>
      </c>
      <c r="B1822" s="11" t="s">
        <v>137</v>
      </c>
      <c r="C1822" s="11" t="n">
        <v>14</v>
      </c>
      <c r="D1822" s="11" t="s">
        <v>166</v>
      </c>
      <c r="E1822" s="11" t="s">
        <v>168</v>
      </c>
      <c r="F1822" s="11" t="s">
        <v>80</v>
      </c>
      <c r="G1822" s="12" t="n">
        <v>250</v>
      </c>
      <c r="H1822" s="12" t="n">
        <f aca="false">SUMPRODUCT(ПОТОКИ!B14:G14,ЧАСОВЫЕ_ПРОФИЛИ!B24:G24,КОЭФФИЦИЕНТЫ_ВЫБОРА!F24:K24)</f>
        <v>0.342</v>
      </c>
      <c r="I1822" s="12" t="n">
        <f aca="false">SUMPRODUCT(ПОТОКИ!B14:G14,ЧАСОВЫЕ_ПРОФИЛИ!B24:G24,КОЭФФИЦИЕНТЫ_ВЫБОРА!F24:K24,ПАРАМЕТРЫ!$B$17:$G$17)</f>
        <v>0.3762</v>
      </c>
      <c r="J1822" s="12" t="n">
        <f aca="false">I1822*G1822/1000</f>
        <v>0.09405</v>
      </c>
      <c r="K1822" s="11" t="s">
        <v>217</v>
      </c>
      <c r="L1822" s="11" t="s">
        <v>19</v>
      </c>
      <c r="M1822" s="11" t="s">
        <v>145</v>
      </c>
    </row>
    <row r="1823" customFormat="false" ht="15" hidden="false" customHeight="false" outlineLevel="0" collapsed="false">
      <c r="A1823" s="11" t="s">
        <v>110</v>
      </c>
      <c r="B1823" s="11" t="s">
        <v>137</v>
      </c>
      <c r="C1823" s="11" t="n">
        <v>15</v>
      </c>
      <c r="D1823" s="11" t="s">
        <v>166</v>
      </c>
      <c r="E1823" s="11" t="s">
        <v>169</v>
      </c>
      <c r="F1823" s="11" t="s">
        <v>80</v>
      </c>
      <c r="G1823" s="12" t="n">
        <v>120</v>
      </c>
      <c r="H1823" s="12" t="n">
        <f aca="false">SUMPRODUCT(ПОТОКИ!B14:G14,ЧАСОВЫЕ_ПРОФИЛИ!B24:G24,КОЭФФИЦИЕНТЫ_ВЫБОРА!F25:K25)</f>
        <v>0.252</v>
      </c>
      <c r="I1823" s="12" t="n">
        <f aca="false">SUMPRODUCT(ПОТОКИ!B14:G14,ЧАСОВЫЕ_ПРОФИЛИ!B24:G24,КОЭФФИЦИЕНТЫ_ВЫБОРА!F25:K25,ПАРАМЕТРЫ!$B$17:$G$17)</f>
        <v>0.2772</v>
      </c>
      <c r="J1823" s="12" t="n">
        <f aca="false">I1823*G1823/1000</f>
        <v>0.033264</v>
      </c>
      <c r="K1823" s="11" t="s">
        <v>217</v>
      </c>
      <c r="L1823" s="11" t="s">
        <v>19</v>
      </c>
      <c r="M1823" s="11" t="s">
        <v>145</v>
      </c>
    </row>
    <row r="1824" customFormat="false" ht="15" hidden="false" customHeight="false" outlineLevel="0" collapsed="false">
      <c r="A1824" s="11" t="s">
        <v>110</v>
      </c>
      <c r="B1824" s="11" t="s">
        <v>137</v>
      </c>
      <c r="C1824" s="11" t="n">
        <v>16</v>
      </c>
      <c r="D1824" s="11" t="s">
        <v>166</v>
      </c>
      <c r="E1824" s="11" t="s">
        <v>170</v>
      </c>
      <c r="F1824" s="11" t="s">
        <v>80</v>
      </c>
      <c r="G1824" s="12" t="n">
        <v>180</v>
      </c>
      <c r="H1824" s="12" t="n">
        <f aca="false">SUMPRODUCT(ПОТОКИ!B14:G14,ЧАСОВЫЕ_ПРОФИЛИ!B24:G24,КОЭФФИЦИЕНТЫ_ВЫБОРА!F26:K26)</f>
        <v>0.406</v>
      </c>
      <c r="I1824" s="12" t="n">
        <f aca="false">SUMPRODUCT(ПОТОКИ!B14:G14,ЧАСОВЫЕ_ПРОФИЛИ!B24:G24,КОЭФФИЦИЕНТЫ_ВЫБОРА!F26:K26,ПАРАМЕТРЫ!$B$17:$G$17)</f>
        <v>0.4466</v>
      </c>
      <c r="J1824" s="12" t="n">
        <f aca="false">I1824*G1824/1000</f>
        <v>0.080388</v>
      </c>
      <c r="K1824" s="11" t="s">
        <v>217</v>
      </c>
      <c r="L1824" s="11" t="s">
        <v>19</v>
      </c>
      <c r="M1824" s="11" t="s">
        <v>145</v>
      </c>
    </row>
    <row r="1825" customFormat="false" ht="15" hidden="false" customHeight="false" outlineLevel="0" collapsed="false">
      <c r="A1825" s="11" t="s">
        <v>110</v>
      </c>
      <c r="B1825" s="11" t="s">
        <v>137</v>
      </c>
      <c r="C1825" s="11" t="n">
        <v>17</v>
      </c>
      <c r="D1825" s="11" t="s">
        <v>166</v>
      </c>
      <c r="E1825" s="11" t="s">
        <v>171</v>
      </c>
      <c r="F1825" s="11" t="s">
        <v>80</v>
      </c>
      <c r="G1825" s="12" t="n">
        <v>180</v>
      </c>
      <c r="H1825" s="12" t="n">
        <f aca="false">SUMPRODUCT(ПОТОКИ!B14:G14,ЧАСОВЫЕ_ПРОФИЛИ!B24:G24,КОЭФФИЦИЕНТЫ_ВЫБОРА!F27:K27)</f>
        <v>0.44</v>
      </c>
      <c r="I1825" s="12" t="n">
        <f aca="false">SUMPRODUCT(ПОТОКИ!B14:G14,ЧАСОВЫЕ_ПРОФИЛИ!B24:G24,КОЭФФИЦИЕНТЫ_ВЫБОРА!F27:K27,ПАРАМЕТРЫ!$B$17:$G$17)</f>
        <v>0.484</v>
      </c>
      <c r="J1825" s="12" t="n">
        <f aca="false">I1825*G1825/1000</f>
        <v>0.08712</v>
      </c>
      <c r="K1825" s="11" t="s">
        <v>217</v>
      </c>
      <c r="L1825" s="11" t="s">
        <v>19</v>
      </c>
      <c r="M1825" s="11" t="s">
        <v>145</v>
      </c>
    </row>
    <row r="1826" customFormat="false" ht="15" hidden="false" customHeight="false" outlineLevel="0" collapsed="false">
      <c r="A1826" s="11" t="s">
        <v>110</v>
      </c>
      <c r="B1826" s="11" t="s">
        <v>137</v>
      </c>
      <c r="C1826" s="11" t="n">
        <v>18</v>
      </c>
      <c r="D1826" s="11" t="s">
        <v>172</v>
      </c>
      <c r="E1826" s="11" t="s">
        <v>173</v>
      </c>
      <c r="F1826" s="11" t="s">
        <v>83</v>
      </c>
      <c r="G1826" s="12" t="n">
        <v>400</v>
      </c>
      <c r="H1826" s="12" t="n">
        <f aca="false">SUMPRODUCT(ПОТОКИ!B14:G14,ЧАСОВЫЕ_ПРОФИЛИ!B24:G24,КОЭФФИЦИЕНТЫ_ВЫБОРА!F28:K28)</f>
        <v>0.64</v>
      </c>
      <c r="I1826" s="12" t="n">
        <f aca="false">SUMPRODUCT(ПОТОКИ!B14:G14,ЧАСОВЫЕ_ПРОФИЛИ!B24:G24,КОЭФФИЦИЕНТЫ_ВЫБОРА!F28:K28,ПАРАМЕТРЫ!$B$17:$G$17)</f>
        <v>0.704</v>
      </c>
      <c r="J1826" s="12" t="n">
        <f aca="false">I1826*G1826/1000</f>
        <v>0.2816</v>
      </c>
      <c r="K1826" s="11" t="s">
        <v>217</v>
      </c>
      <c r="L1826" s="11" t="s">
        <v>19</v>
      </c>
      <c r="M1826" s="11" t="s">
        <v>145</v>
      </c>
    </row>
    <row r="1827" customFormat="false" ht="23.85" hidden="false" customHeight="false" outlineLevel="0" collapsed="false">
      <c r="A1827" s="11" t="s">
        <v>110</v>
      </c>
      <c r="B1827" s="11" t="s">
        <v>137</v>
      </c>
      <c r="C1827" s="11" t="n">
        <v>19</v>
      </c>
      <c r="D1827" s="11" t="s">
        <v>174</v>
      </c>
      <c r="E1827" s="11" t="s">
        <v>175</v>
      </c>
      <c r="F1827" s="11" t="s">
        <v>83</v>
      </c>
      <c r="G1827" s="12" t="n">
        <v>300</v>
      </c>
      <c r="H1827" s="12" t="n">
        <f aca="false">SUMPRODUCT(ПОТОКИ!B14:G14,ЧАСОВЫЕ_ПРОФИЛИ!B24:G24,КОЭФФИЦИЕНТЫ_ВЫБОРА!F29:K29)</f>
        <v>2.213</v>
      </c>
      <c r="I1827" s="12" t="n">
        <f aca="false">SUMPRODUCT(ПОТОКИ!B14:G14,ЧАСОВЫЕ_ПРОФИЛИ!B24:G24,КОЭФФИЦИЕНТЫ_ВЫБОРА!F29:K29,ПАРАМЕТРЫ!$B$17:$G$17)</f>
        <v>2.4343</v>
      </c>
      <c r="J1827" s="12" t="n">
        <f aca="false">I1827*G1827/1000</f>
        <v>0.73029</v>
      </c>
      <c r="K1827" s="11" t="s">
        <v>217</v>
      </c>
      <c r="L1827" s="11" t="s">
        <v>19</v>
      </c>
      <c r="M1827" s="11" t="s">
        <v>145</v>
      </c>
    </row>
    <row r="1828" customFormat="false" ht="15" hidden="false" customHeight="false" outlineLevel="0" collapsed="false">
      <c r="A1828" s="11" t="s">
        <v>110</v>
      </c>
      <c r="B1828" s="11" t="s">
        <v>137</v>
      </c>
      <c r="C1828" s="11" t="n">
        <v>20</v>
      </c>
      <c r="D1828" s="11" t="s">
        <v>174</v>
      </c>
      <c r="E1828" s="11" t="s">
        <v>176</v>
      </c>
      <c r="F1828" s="11" t="s">
        <v>83</v>
      </c>
      <c r="G1828" s="12" t="n">
        <v>360</v>
      </c>
      <c r="H1828" s="12" t="n">
        <f aca="false">SUMPRODUCT(ПОТОКИ!B14:G14,ЧАСОВЫЕ_ПРОФИЛИ!B24:G24,КОЭФФИЦИЕНТЫ_ВЫБОРА!F30:K30)</f>
        <v>1.852</v>
      </c>
      <c r="I1828" s="12" t="n">
        <f aca="false">SUMPRODUCT(ПОТОКИ!B14:G14,ЧАСОВЫЕ_ПРОФИЛИ!B24:G24,КОЭФФИЦИЕНТЫ_ВЫБОРА!F30:K30,ПАРАМЕТРЫ!$B$17:$G$17)</f>
        <v>2.0372</v>
      </c>
      <c r="J1828" s="12" t="n">
        <f aca="false">I1828*G1828/1000</f>
        <v>0.733392</v>
      </c>
      <c r="K1828" s="11" t="s">
        <v>217</v>
      </c>
      <c r="L1828" s="11" t="s">
        <v>19</v>
      </c>
      <c r="M1828" s="11" t="s">
        <v>145</v>
      </c>
    </row>
    <row r="1829" customFormat="false" ht="15" hidden="false" customHeight="false" outlineLevel="0" collapsed="false">
      <c r="A1829" s="11" t="s">
        <v>110</v>
      </c>
      <c r="B1829" s="11" t="s">
        <v>137</v>
      </c>
      <c r="C1829" s="11" t="n">
        <v>21</v>
      </c>
      <c r="D1829" s="11" t="s">
        <v>174</v>
      </c>
      <c r="E1829" s="11" t="s">
        <v>177</v>
      </c>
      <c r="F1829" s="11" t="s">
        <v>83</v>
      </c>
      <c r="G1829" s="12" t="n">
        <v>350</v>
      </c>
      <c r="H1829" s="12" t="n">
        <f aca="false">SUMPRODUCT(ПОТОКИ!B14:G14,ЧАСОВЫЕ_ПРОФИЛИ!B24:G24,КОЭФФИЦИЕНТЫ_ВЫБОРА!F31:K31)</f>
        <v>2.7015</v>
      </c>
      <c r="I1829" s="12" t="n">
        <f aca="false">SUMPRODUCT(ПОТОКИ!B14:G14,ЧАСОВЫЕ_ПРОФИЛИ!B24:G24,КОЭФФИЦИЕНТЫ_ВЫБОРА!F31:K31,ПАРАМЕТРЫ!$B$17:$G$17)</f>
        <v>2.97165</v>
      </c>
      <c r="J1829" s="12" t="n">
        <f aca="false">I1829*G1829/1000</f>
        <v>1.0400775</v>
      </c>
      <c r="K1829" s="11" t="s">
        <v>217</v>
      </c>
      <c r="L1829" s="11" t="s">
        <v>19</v>
      </c>
      <c r="M1829" s="11" t="s">
        <v>145</v>
      </c>
    </row>
    <row r="1830" customFormat="false" ht="15" hidden="false" customHeight="false" outlineLevel="0" collapsed="false">
      <c r="A1830" s="11" t="s">
        <v>110</v>
      </c>
      <c r="B1830" s="11" t="s">
        <v>137</v>
      </c>
      <c r="C1830" s="11" t="n">
        <v>22</v>
      </c>
      <c r="D1830" s="11" t="s">
        <v>174</v>
      </c>
      <c r="E1830" s="11" t="s">
        <v>178</v>
      </c>
      <c r="F1830" s="11" t="s">
        <v>83</v>
      </c>
      <c r="G1830" s="12" t="n">
        <v>300</v>
      </c>
      <c r="H1830" s="12" t="n">
        <f aca="false">SUMPRODUCT(ПОТОКИ!B14:G14,ЧАСОВЫЕ_ПРОФИЛИ!B24:G24,КОЭФФИЦИЕНТЫ_ВЫБОРА!F32:K32)</f>
        <v>1.9835</v>
      </c>
      <c r="I1830" s="12" t="n">
        <f aca="false">SUMPRODUCT(ПОТОКИ!B14:G14,ЧАСОВЫЕ_ПРОФИЛИ!B24:G24,КОЭФФИЦИЕНТЫ_ВЫБОРА!F32:K32,ПАРАМЕТРЫ!$B$17:$G$17)</f>
        <v>2.18185</v>
      </c>
      <c r="J1830" s="12" t="n">
        <f aca="false">I1830*G1830/1000</f>
        <v>0.654555</v>
      </c>
      <c r="K1830" s="11" t="s">
        <v>217</v>
      </c>
      <c r="L1830" s="11" t="s">
        <v>19</v>
      </c>
      <c r="M1830" s="11" t="s">
        <v>145</v>
      </c>
    </row>
    <row r="1831" customFormat="false" ht="15" hidden="false" customHeight="false" outlineLevel="0" collapsed="false">
      <c r="A1831" s="11" t="s">
        <v>110</v>
      </c>
      <c r="B1831" s="11" t="s">
        <v>137</v>
      </c>
      <c r="C1831" s="11" t="n">
        <v>23</v>
      </c>
      <c r="D1831" s="11" t="s">
        <v>86</v>
      </c>
      <c r="E1831" s="11" t="s">
        <v>179</v>
      </c>
      <c r="F1831" s="11" t="s">
        <v>85</v>
      </c>
      <c r="G1831" s="12" t="n">
        <v>150</v>
      </c>
      <c r="H1831" s="12" t="n">
        <f aca="false">SUMPRODUCT(ПОТОКИ!B14:G14,ЧАСОВЫЕ_ПРОФИЛИ!B24:G24,КОЭФФИЦИЕНТЫ_ВЫБОРА!F33:K33)</f>
        <v>1.6856425</v>
      </c>
      <c r="I1831" s="12" t="n">
        <f aca="false">SUMPRODUCT(ПОТОКИ!B14:G14,ЧАСОВЫЕ_ПРОФИЛИ!B24:G24,КОЭФФИЦИЕНТЫ_ВЫБОРА!F33:K33,ПАРАМЕТРЫ!$B$17:$G$17)</f>
        <v>1.85420675</v>
      </c>
      <c r="J1831" s="12" t="n">
        <f aca="false">I1831*G1831/1000</f>
        <v>0.2781310125</v>
      </c>
      <c r="K1831" s="11" t="s">
        <v>217</v>
      </c>
      <c r="L1831" s="11" t="s">
        <v>19</v>
      </c>
      <c r="M1831" s="11" t="s">
        <v>147</v>
      </c>
    </row>
    <row r="1832" customFormat="false" ht="15" hidden="false" customHeight="false" outlineLevel="0" collapsed="false">
      <c r="A1832" s="11" t="s">
        <v>110</v>
      </c>
      <c r="B1832" s="11" t="s">
        <v>137</v>
      </c>
      <c r="C1832" s="11" t="n">
        <v>24</v>
      </c>
      <c r="D1832" s="11" t="s">
        <v>86</v>
      </c>
      <c r="E1832" s="11" t="s">
        <v>180</v>
      </c>
      <c r="F1832" s="11" t="s">
        <v>85</v>
      </c>
      <c r="G1832" s="12" t="n">
        <v>150</v>
      </c>
      <c r="H1832" s="12" t="n">
        <f aca="false">SUMPRODUCT(ПОТОКИ!B14:G14,ЧАСОВЫЕ_ПРОФИЛИ!B24:G24,КОЭФФИЦИЕНТЫ_ВЫБОРА!F34:K34)</f>
        <v>0.89159</v>
      </c>
      <c r="I1832" s="12" t="n">
        <f aca="false">SUMPRODUCT(ПОТОКИ!B14:G14,ЧАСОВЫЕ_ПРОФИЛИ!B24:G24,КОЭФФИЦИЕНТЫ_ВЫБОРА!F34:K34,ПАРАМЕТРЫ!$B$17:$G$17)</f>
        <v>0.980749</v>
      </c>
      <c r="J1832" s="12" t="n">
        <f aca="false">I1832*G1832/1000</f>
        <v>0.14711235</v>
      </c>
      <c r="K1832" s="11" t="s">
        <v>217</v>
      </c>
      <c r="L1832" s="11" t="s">
        <v>19</v>
      </c>
      <c r="M1832" s="11" t="s">
        <v>147</v>
      </c>
    </row>
    <row r="1833" customFormat="false" ht="15" hidden="false" customHeight="false" outlineLevel="0" collapsed="false">
      <c r="A1833" s="11" t="s">
        <v>110</v>
      </c>
      <c r="B1833" s="11" t="s">
        <v>137</v>
      </c>
      <c r="C1833" s="11" t="n">
        <v>25</v>
      </c>
      <c r="D1833" s="11" t="s">
        <v>86</v>
      </c>
      <c r="E1833" s="11" t="s">
        <v>181</v>
      </c>
      <c r="F1833" s="11" t="s">
        <v>85</v>
      </c>
      <c r="G1833" s="12" t="n">
        <v>150</v>
      </c>
      <c r="H1833" s="12" t="n">
        <f aca="false">SUMPRODUCT(ПОТОКИ!B14:G14,ЧАСОВЫЕ_ПРОФИЛИ!B24:G24,КОЭФФИЦИЕНТЫ_ВЫБОРА!F35:K35)</f>
        <v>1.8807175</v>
      </c>
      <c r="I1833" s="12" t="n">
        <f aca="false">SUMPRODUCT(ПОТОКИ!B14:G14,ЧАСОВЫЕ_ПРОФИЛИ!B24:G24,КОЭФФИЦИЕНТЫ_ВЫБОРА!F35:K35,ПАРАМЕТРЫ!$B$17:$G$17)</f>
        <v>2.06878925</v>
      </c>
      <c r="J1833" s="12" t="n">
        <f aca="false">I1833*G1833/1000</f>
        <v>0.3103183875</v>
      </c>
      <c r="K1833" s="11" t="s">
        <v>217</v>
      </c>
      <c r="L1833" s="11" t="s">
        <v>19</v>
      </c>
      <c r="M1833" s="11" t="s">
        <v>147</v>
      </c>
    </row>
    <row r="1834" customFormat="false" ht="23.85" hidden="false" customHeight="false" outlineLevel="0" collapsed="false">
      <c r="A1834" s="11" t="s">
        <v>110</v>
      </c>
      <c r="B1834" s="11" t="s">
        <v>137</v>
      </c>
      <c r="C1834" s="11" t="n">
        <v>26</v>
      </c>
      <c r="D1834" s="11" t="s">
        <v>89</v>
      </c>
      <c r="E1834" s="11" t="s">
        <v>182</v>
      </c>
      <c r="F1834" s="11" t="s">
        <v>88</v>
      </c>
      <c r="G1834" s="12" t="n">
        <v>225</v>
      </c>
      <c r="H1834" s="12" t="n">
        <f aca="false">SUMPRODUCT(ПОТОКИ!B14:G14,ЧАСОВЫЕ_ПРОФИЛИ!B24:G24,КОЭФФИЦИЕНТЫ_ВЫБОРА!F36:K36)</f>
        <v>0</v>
      </c>
      <c r="I1834" s="12" t="n">
        <f aca="false">SUMPRODUCT(ПОТОКИ!B14:G14,ЧАСОВЫЕ_ПРОФИЛИ!B24:G24,КОЭФФИЦИЕНТЫ_ВЫБОРА!F36:K36,ПАРАМЕТРЫ!$B$17:$G$17)</f>
        <v>0</v>
      </c>
      <c r="J1834" s="12" t="n">
        <f aca="false">I1834*G1834/1000</f>
        <v>0</v>
      </c>
      <c r="K1834" s="11" t="s">
        <v>217</v>
      </c>
      <c r="L1834" s="11" t="s">
        <v>19</v>
      </c>
      <c r="M1834" s="11" t="s">
        <v>145</v>
      </c>
    </row>
    <row r="1835" customFormat="false" ht="23.85" hidden="false" customHeight="false" outlineLevel="0" collapsed="false">
      <c r="A1835" s="11" t="s">
        <v>110</v>
      </c>
      <c r="B1835" s="11" t="s">
        <v>137</v>
      </c>
      <c r="C1835" s="11" t="n">
        <v>27</v>
      </c>
      <c r="D1835" s="11" t="s">
        <v>89</v>
      </c>
      <c r="E1835" s="11" t="s">
        <v>183</v>
      </c>
      <c r="F1835" s="11" t="s">
        <v>88</v>
      </c>
      <c r="G1835" s="12" t="n">
        <v>265</v>
      </c>
      <c r="H1835" s="12" t="n">
        <f aca="false">SUMPRODUCT(ПОТОКИ!B14:G14,ЧАСОВЫЕ_ПРОФИЛИ!B24:G24,КОЭФФИЦИЕНТЫ_ВЫБОРА!F37:K37)</f>
        <v>0</v>
      </c>
      <c r="I1835" s="12" t="n">
        <f aca="false">SUMPRODUCT(ПОТОКИ!B14:G14,ЧАСОВЫЕ_ПРОФИЛИ!B24:G24,КОЭФФИЦИЕНТЫ_ВЫБОРА!F37:K37,ПАРАМЕТРЫ!$B$17:$G$17)</f>
        <v>0</v>
      </c>
      <c r="J1835" s="12" t="n">
        <f aca="false">I1835*G1835/1000</f>
        <v>0</v>
      </c>
      <c r="K1835" s="11" t="s">
        <v>217</v>
      </c>
      <c r="L1835" s="11" t="s">
        <v>19</v>
      </c>
      <c r="M1835" s="11" t="s">
        <v>145</v>
      </c>
    </row>
    <row r="1836" customFormat="false" ht="23.85" hidden="false" customHeight="false" outlineLevel="0" collapsed="false">
      <c r="A1836" s="11" t="s">
        <v>110</v>
      </c>
      <c r="B1836" s="11" t="s">
        <v>137</v>
      </c>
      <c r="C1836" s="11" t="n">
        <v>28</v>
      </c>
      <c r="D1836" s="11" t="s">
        <v>89</v>
      </c>
      <c r="E1836" s="11" t="s">
        <v>184</v>
      </c>
      <c r="F1836" s="11" t="s">
        <v>88</v>
      </c>
      <c r="G1836" s="12" t="n">
        <v>355</v>
      </c>
      <c r="H1836" s="12" t="n">
        <f aca="false">SUMPRODUCT(ПОТОКИ!B14:G14,ЧАСОВЫЕ_ПРОФИЛИ!B24:G24,КОЭФФИЦИЕНТЫ_ВЫБОРА!F38:K38)</f>
        <v>0</v>
      </c>
      <c r="I1836" s="12" t="n">
        <f aca="false">SUMPRODUCT(ПОТОКИ!B14:G14,ЧАСОВЫЕ_ПРОФИЛИ!B24:G24,КОЭФФИЦИЕНТЫ_ВЫБОРА!F38:K38,ПАРАМЕТРЫ!$B$17:$G$17)</f>
        <v>0</v>
      </c>
      <c r="J1836" s="12" t="n">
        <f aca="false">I1836*G1836/1000</f>
        <v>0</v>
      </c>
      <c r="K1836" s="11" t="s">
        <v>217</v>
      </c>
      <c r="L1836" s="11" t="s">
        <v>19</v>
      </c>
      <c r="M1836" s="11" t="s">
        <v>145</v>
      </c>
    </row>
    <row r="1837" customFormat="false" ht="15" hidden="false" customHeight="false" outlineLevel="0" collapsed="false">
      <c r="A1837" s="11" t="s">
        <v>110</v>
      </c>
      <c r="B1837" s="11" t="s">
        <v>137</v>
      </c>
      <c r="C1837" s="11" t="n">
        <v>29</v>
      </c>
      <c r="D1837" s="11" t="s">
        <v>92</v>
      </c>
      <c r="E1837" s="11" t="s">
        <v>185</v>
      </c>
      <c r="F1837" s="11" t="s">
        <v>91</v>
      </c>
      <c r="G1837" s="12" t="n">
        <v>150</v>
      </c>
      <c r="H1837" s="12" t="n">
        <f aca="false">SUMPRODUCT(ПОТОКИ!B14:G14,ЧАСОВЫЕ_ПРОФИЛИ!B24:G24,КОЭФФИЦИЕНТЫ_ВЫБОРА!F39:K39)</f>
        <v>0.456</v>
      </c>
      <c r="I1837" s="12" t="n">
        <f aca="false">SUMPRODUCT(ПОТОКИ!B14:G14,ЧАСОВЫЕ_ПРОФИЛИ!B24:G24,КОЭФФИЦИЕНТЫ_ВЫБОРА!F39:K39,ПАРАМЕТРЫ!$B$17:$G$17)</f>
        <v>0.5016</v>
      </c>
      <c r="J1837" s="12" t="n">
        <f aca="false">I1837*G1837/1000</f>
        <v>0.07524</v>
      </c>
      <c r="K1837" s="11" t="s">
        <v>217</v>
      </c>
      <c r="L1837" s="11" t="s">
        <v>19</v>
      </c>
      <c r="M1837" s="11" t="s">
        <v>145</v>
      </c>
    </row>
    <row r="1838" customFormat="false" ht="15" hidden="false" customHeight="false" outlineLevel="0" collapsed="false">
      <c r="A1838" s="11" t="s">
        <v>110</v>
      </c>
      <c r="B1838" s="11" t="s">
        <v>137</v>
      </c>
      <c r="C1838" s="11" t="n">
        <v>30</v>
      </c>
      <c r="D1838" s="11" t="s">
        <v>92</v>
      </c>
      <c r="E1838" s="11" t="s">
        <v>186</v>
      </c>
      <c r="F1838" s="11" t="s">
        <v>91</v>
      </c>
      <c r="G1838" s="12" t="n">
        <v>120</v>
      </c>
      <c r="H1838" s="12" t="n">
        <f aca="false">SUMPRODUCT(ПОТОКИ!B14:G14,ЧАСОВЫЕ_ПРОФИЛИ!B24:G24,КОЭФФИЦИЕНТЫ_ВЫБОРА!F40:K40)</f>
        <v>0.756</v>
      </c>
      <c r="I1838" s="12" t="n">
        <f aca="false">SUMPRODUCT(ПОТОКИ!B14:G14,ЧАСОВЫЕ_ПРОФИЛИ!B24:G24,КОЭФФИЦИЕНТЫ_ВЫБОРА!F40:K40,ПАРАМЕТРЫ!$B$17:$G$17)</f>
        <v>0.8316</v>
      </c>
      <c r="J1838" s="12" t="n">
        <f aca="false">I1838*G1838/1000</f>
        <v>0.099792</v>
      </c>
      <c r="K1838" s="11" t="s">
        <v>217</v>
      </c>
      <c r="L1838" s="11" t="s">
        <v>19</v>
      </c>
      <c r="M1838" s="11" t="s">
        <v>145</v>
      </c>
    </row>
    <row r="1839" customFormat="false" ht="15" hidden="false" customHeight="false" outlineLevel="0" collapsed="false">
      <c r="A1839" s="11" t="s">
        <v>110</v>
      </c>
      <c r="B1839" s="11" t="s">
        <v>137</v>
      </c>
      <c r="C1839" s="11" t="n">
        <v>31</v>
      </c>
      <c r="D1839" s="11" t="s">
        <v>92</v>
      </c>
      <c r="E1839" s="11" t="s">
        <v>187</v>
      </c>
      <c r="F1839" s="11" t="s">
        <v>91</v>
      </c>
      <c r="G1839" s="12" t="n">
        <v>60</v>
      </c>
      <c r="H1839" s="12" t="n">
        <f aca="false">SUMPRODUCT(ПОТОКИ!B14:G14,ЧАСОВЫЕ_ПРОФИЛИ!B24:G24,КОЭФФИЦИЕНТЫ_ВЫБОРА!F41:K41)</f>
        <v>0.288</v>
      </c>
      <c r="I1839" s="12" t="n">
        <f aca="false">SUMPRODUCT(ПОТОКИ!B14:G14,ЧАСОВЫЕ_ПРОФИЛИ!B24:G24,КОЭФФИЦИЕНТЫ_ВЫБОРА!F41:K41,ПАРАМЕТРЫ!$B$17:$G$17)</f>
        <v>0.3168</v>
      </c>
      <c r="J1839" s="12" t="n">
        <f aca="false">I1839*G1839/1000</f>
        <v>0.019008</v>
      </c>
      <c r="K1839" s="11" t="s">
        <v>217</v>
      </c>
      <c r="L1839" s="11" t="s">
        <v>19</v>
      </c>
      <c r="M1839" s="11" t="s">
        <v>145</v>
      </c>
    </row>
    <row r="1840" customFormat="false" ht="15" hidden="false" customHeight="false" outlineLevel="0" collapsed="false">
      <c r="A1840" s="11" t="s">
        <v>110</v>
      </c>
      <c r="B1840" s="11" t="s">
        <v>138</v>
      </c>
      <c r="C1840" s="11" t="n">
        <v>1</v>
      </c>
      <c r="D1840" s="11" t="s">
        <v>74</v>
      </c>
      <c r="E1840" s="11" t="s">
        <v>153</v>
      </c>
      <c r="F1840" s="11" t="s">
        <v>73</v>
      </c>
      <c r="G1840" s="12" t="n">
        <v>450</v>
      </c>
      <c r="H1840" s="12" t="n">
        <f aca="false">SUMPRODUCT(ПОТОКИ!B14:G14,ЧАСОВЫЕ_ПРОФИЛИ!B25:G25,КОЭФФИЦИЕНТЫ_ВЫБОРА!F11:K11)</f>
        <v>0.281</v>
      </c>
      <c r="I1840" s="12" t="n">
        <f aca="false">SUMPRODUCT(ПОТОКИ!B14:G14,ЧАСОВЫЕ_ПРОФИЛИ!B25:G25,КОЭФФИЦИЕНТЫ_ВЫБОРА!F11:K11,ПАРАМЕТРЫ!$B$17:$G$17)</f>
        <v>0.3091</v>
      </c>
      <c r="J1840" s="12" t="n">
        <f aca="false">I1840*G1840/1000</f>
        <v>0.139095</v>
      </c>
      <c r="K1840" s="11" t="s">
        <v>217</v>
      </c>
      <c r="L1840" s="11" t="s">
        <v>19</v>
      </c>
      <c r="M1840" s="11" t="s">
        <v>145</v>
      </c>
    </row>
    <row r="1841" customFormat="false" ht="15" hidden="false" customHeight="false" outlineLevel="0" collapsed="false">
      <c r="A1841" s="11" t="s">
        <v>110</v>
      </c>
      <c r="B1841" s="11" t="s">
        <v>138</v>
      </c>
      <c r="C1841" s="11" t="n">
        <v>2</v>
      </c>
      <c r="D1841" s="11" t="s">
        <v>74</v>
      </c>
      <c r="E1841" s="11" t="s">
        <v>154</v>
      </c>
      <c r="F1841" s="11" t="s">
        <v>73</v>
      </c>
      <c r="G1841" s="12" t="n">
        <v>480</v>
      </c>
      <c r="H1841" s="12" t="n">
        <f aca="false">SUMPRODUCT(ПОТОКИ!B14:G14,ЧАСОВЫЕ_ПРОФИЛИ!B25:G25,КОЭФФИЦИЕНТЫ_ВЫБОРА!F12:K12)</f>
        <v>0.4605</v>
      </c>
      <c r="I1841" s="12" t="n">
        <f aca="false">SUMPRODUCT(ПОТОКИ!B14:G14,ЧАСОВЫЕ_ПРОФИЛИ!B25:G25,КОЭФФИЦИЕНТЫ_ВЫБОРА!F12:K12,ПАРАМЕТРЫ!$B$17:$G$17)</f>
        <v>0.50655</v>
      </c>
      <c r="J1841" s="12" t="n">
        <f aca="false">I1841*G1841/1000</f>
        <v>0.243144</v>
      </c>
      <c r="K1841" s="11" t="s">
        <v>217</v>
      </c>
      <c r="L1841" s="11" t="s">
        <v>19</v>
      </c>
      <c r="M1841" s="11" t="s">
        <v>145</v>
      </c>
    </row>
    <row r="1842" customFormat="false" ht="15" hidden="false" customHeight="false" outlineLevel="0" collapsed="false">
      <c r="A1842" s="11" t="s">
        <v>110</v>
      </c>
      <c r="B1842" s="11" t="s">
        <v>138</v>
      </c>
      <c r="C1842" s="11" t="n">
        <v>3</v>
      </c>
      <c r="D1842" s="11" t="s">
        <v>74</v>
      </c>
      <c r="E1842" s="11" t="s">
        <v>155</v>
      </c>
      <c r="F1842" s="11" t="s">
        <v>73</v>
      </c>
      <c r="G1842" s="12" t="n">
        <v>500</v>
      </c>
      <c r="H1842" s="12" t="n">
        <f aca="false">SUMPRODUCT(ПОТОКИ!B14:G14,ЧАСОВЫЕ_ПРОФИЛИ!B25:G25,КОЭФФИЦИЕНТЫ_ВЫБОРА!F13:K13)</f>
        <v>0.6595</v>
      </c>
      <c r="I1842" s="12" t="n">
        <f aca="false">SUMPRODUCT(ПОТОКИ!B14:G14,ЧАСОВЫЕ_ПРОФИЛИ!B25:G25,КОЭФФИЦИЕНТЫ_ВЫБОРА!F13:K13,ПАРАМЕТРЫ!$B$17:$G$17)</f>
        <v>0.72545</v>
      </c>
      <c r="J1842" s="12" t="n">
        <f aca="false">I1842*G1842/1000</f>
        <v>0.362725</v>
      </c>
      <c r="K1842" s="11" t="s">
        <v>217</v>
      </c>
      <c r="L1842" s="11" t="s">
        <v>19</v>
      </c>
      <c r="M1842" s="11" t="s">
        <v>145</v>
      </c>
    </row>
    <row r="1843" customFormat="false" ht="15" hidden="false" customHeight="false" outlineLevel="0" collapsed="false">
      <c r="A1843" s="11" t="s">
        <v>110</v>
      </c>
      <c r="B1843" s="11" t="s">
        <v>138</v>
      </c>
      <c r="C1843" s="11" t="n">
        <v>4</v>
      </c>
      <c r="D1843" s="11" t="s">
        <v>74</v>
      </c>
      <c r="E1843" s="11" t="s">
        <v>156</v>
      </c>
      <c r="F1843" s="11" t="s">
        <v>73</v>
      </c>
      <c r="G1843" s="12" t="n">
        <v>500</v>
      </c>
      <c r="H1843" s="12" t="n">
        <f aca="false">SUMPRODUCT(ПОТОКИ!B14:G14,ЧАСОВЫЕ_ПРОФИЛИ!B25:G25,КОЭФФИЦИЕНТЫ_ВЫБОРА!F14:K14)</f>
        <v>0.839</v>
      </c>
      <c r="I1843" s="12" t="n">
        <f aca="false">SUMPRODUCT(ПОТОКИ!B14:G14,ЧАСОВЫЕ_ПРОФИЛИ!B25:G25,КОЭФФИЦИЕНТЫ_ВЫБОРА!F14:K14,ПАРАМЕТРЫ!$B$17:$G$17)</f>
        <v>0.9229</v>
      </c>
      <c r="J1843" s="12" t="n">
        <f aca="false">I1843*G1843/1000</f>
        <v>0.46145</v>
      </c>
      <c r="K1843" s="11" t="s">
        <v>217</v>
      </c>
      <c r="L1843" s="11" t="s">
        <v>19</v>
      </c>
      <c r="M1843" s="11" t="s">
        <v>145</v>
      </c>
    </row>
    <row r="1844" customFormat="false" ht="15" hidden="false" customHeight="false" outlineLevel="0" collapsed="false">
      <c r="A1844" s="11" t="s">
        <v>110</v>
      </c>
      <c r="B1844" s="11" t="s">
        <v>138</v>
      </c>
      <c r="C1844" s="11" t="n">
        <v>5</v>
      </c>
      <c r="D1844" s="11" t="s">
        <v>78</v>
      </c>
      <c r="E1844" s="11" t="s">
        <v>157</v>
      </c>
      <c r="F1844" s="11" t="s">
        <v>77</v>
      </c>
      <c r="G1844" s="12" t="n">
        <v>100</v>
      </c>
      <c r="H1844" s="12" t="n">
        <f aca="false">SUMPRODUCT(ПОТОКИ!B14:G14,ЧАСОВЫЕ_ПРОФИЛИ!B25:G25,КОЭФФИЦИЕНТЫ_ВЫБОРА!F15:K15)</f>
        <v>0.32</v>
      </c>
      <c r="I1844" s="12" t="n">
        <f aca="false">SUMPRODUCT(ПОТОКИ!B14:G14,ЧАСОВЫЕ_ПРОФИЛИ!B25:G25,КОЭФФИЦИЕНТЫ_ВЫБОРА!F15:K15,ПАРАМЕТРЫ!$B$17:$G$17)</f>
        <v>0.352</v>
      </c>
      <c r="J1844" s="12" t="n">
        <f aca="false">I1844*G1844/1000</f>
        <v>0.0352</v>
      </c>
      <c r="K1844" s="11" t="s">
        <v>217</v>
      </c>
      <c r="L1844" s="11" t="s">
        <v>19</v>
      </c>
      <c r="M1844" s="11" t="s">
        <v>147</v>
      </c>
    </row>
    <row r="1845" customFormat="false" ht="15" hidden="false" customHeight="false" outlineLevel="0" collapsed="false">
      <c r="A1845" s="11" t="s">
        <v>110</v>
      </c>
      <c r="B1845" s="11" t="s">
        <v>138</v>
      </c>
      <c r="C1845" s="11" t="n">
        <v>6</v>
      </c>
      <c r="D1845" s="11" t="s">
        <v>78</v>
      </c>
      <c r="E1845" s="11" t="s">
        <v>158</v>
      </c>
      <c r="F1845" s="11" t="s">
        <v>77</v>
      </c>
      <c r="G1845" s="12" t="n">
        <v>100</v>
      </c>
      <c r="H1845" s="12" t="n">
        <f aca="false">SUMPRODUCT(ПОТОКИ!B14:G14,ЧАСОВЫЕ_ПРОФИЛИ!B25:G25,КОЭФФИЦИЕНТЫ_ВЫБОРА!F16:K16)</f>
        <v>0.2755</v>
      </c>
      <c r="I1845" s="12" t="n">
        <f aca="false">SUMPRODUCT(ПОТОКИ!B14:G14,ЧАСОВЫЕ_ПРОФИЛИ!B25:G25,КОЭФФИЦИЕНТЫ_ВЫБОРА!F16:K16,ПАРАМЕТРЫ!$B$17:$G$17)</f>
        <v>0.30305</v>
      </c>
      <c r="J1845" s="12" t="n">
        <f aca="false">I1845*G1845/1000</f>
        <v>0.030305</v>
      </c>
      <c r="K1845" s="11" t="s">
        <v>217</v>
      </c>
      <c r="L1845" s="11" t="s">
        <v>19</v>
      </c>
      <c r="M1845" s="11" t="s">
        <v>147</v>
      </c>
    </row>
    <row r="1846" customFormat="false" ht="15" hidden="false" customHeight="false" outlineLevel="0" collapsed="false">
      <c r="A1846" s="11" t="s">
        <v>110</v>
      </c>
      <c r="B1846" s="11" t="s">
        <v>138</v>
      </c>
      <c r="C1846" s="11" t="n">
        <v>7</v>
      </c>
      <c r="D1846" s="11" t="s">
        <v>78</v>
      </c>
      <c r="E1846" s="11" t="s">
        <v>159</v>
      </c>
      <c r="F1846" s="11" t="s">
        <v>77</v>
      </c>
      <c r="G1846" s="12" t="n">
        <v>350</v>
      </c>
      <c r="H1846" s="12" t="n">
        <f aca="false">SUMPRODUCT(ПОТОКИ!B14:G14,ЧАСОВЫЕ_ПРОФИЛИ!B25:G25,КОЭФФИЦИЕНТЫ_ВЫБОРА!F17:K17)</f>
        <v>0.256</v>
      </c>
      <c r="I1846" s="12" t="n">
        <f aca="false">SUMPRODUCT(ПОТОКИ!B14:G14,ЧАСОВЫЕ_ПРОФИЛИ!B25:G25,КОЭФФИЦИЕНТЫ_ВЫБОРА!F17:K17,ПАРАМЕТРЫ!$B$17:$G$17)</f>
        <v>0.2816</v>
      </c>
      <c r="J1846" s="12" t="n">
        <f aca="false">I1846*G1846/1000</f>
        <v>0.09856</v>
      </c>
      <c r="K1846" s="11" t="s">
        <v>217</v>
      </c>
      <c r="L1846" s="11" t="s">
        <v>19</v>
      </c>
      <c r="M1846" s="11" t="s">
        <v>147</v>
      </c>
    </row>
    <row r="1847" customFormat="false" ht="15" hidden="false" customHeight="false" outlineLevel="0" collapsed="false">
      <c r="A1847" s="11" t="s">
        <v>110</v>
      </c>
      <c r="B1847" s="11" t="s">
        <v>138</v>
      </c>
      <c r="C1847" s="11" t="n">
        <v>8</v>
      </c>
      <c r="D1847" s="11" t="s">
        <v>78</v>
      </c>
      <c r="E1847" s="11" t="s">
        <v>160</v>
      </c>
      <c r="F1847" s="11" t="s">
        <v>77</v>
      </c>
      <c r="G1847" s="12" t="n">
        <v>85</v>
      </c>
      <c r="H1847" s="12" t="n">
        <f aca="false">SUMPRODUCT(ПОТОКИ!B14:G14,ЧАСОВЫЕ_ПРОФИЛИ!B25:G25,КОЭФФИЦИЕНТЫ_ВЫБОРА!F18:K18)</f>
        <v>0.1725</v>
      </c>
      <c r="I1847" s="12" t="n">
        <f aca="false">SUMPRODUCT(ПОТОКИ!B14:G14,ЧАСОВЫЕ_ПРОФИЛИ!B25:G25,КОЭФФИЦИЕНТЫ_ВЫБОРА!F18:K18,ПАРАМЕТРЫ!$B$17:$G$17)</f>
        <v>0.18975</v>
      </c>
      <c r="J1847" s="12" t="n">
        <f aca="false">I1847*G1847/1000</f>
        <v>0.01612875</v>
      </c>
      <c r="K1847" s="11" t="s">
        <v>217</v>
      </c>
      <c r="L1847" s="11" t="s">
        <v>19</v>
      </c>
      <c r="M1847" s="11" t="s">
        <v>147</v>
      </c>
    </row>
    <row r="1848" customFormat="false" ht="15" hidden="false" customHeight="false" outlineLevel="0" collapsed="false">
      <c r="A1848" s="11" t="s">
        <v>110</v>
      </c>
      <c r="B1848" s="11" t="s">
        <v>138</v>
      </c>
      <c r="C1848" s="11" t="n">
        <v>9</v>
      </c>
      <c r="D1848" s="11" t="s">
        <v>161</v>
      </c>
      <c r="E1848" s="11" t="s">
        <v>162</v>
      </c>
      <c r="F1848" s="11" t="s">
        <v>80</v>
      </c>
      <c r="G1848" s="12" t="n">
        <v>300</v>
      </c>
      <c r="H1848" s="12" t="n">
        <f aca="false">SUMPRODUCT(ПОТОКИ!B14:G14,ЧАСОВЫЕ_ПРОФИЛИ!B25:G25,КОЭФФИЦИЕНТЫ_ВЫБОРА!F19:K19)</f>
        <v>0.46</v>
      </c>
      <c r="I1848" s="12" t="n">
        <f aca="false">SUMPRODUCT(ПОТОКИ!B14:G14,ЧАСОВЫЕ_ПРОФИЛИ!B25:G25,КОЭФФИЦИЕНТЫ_ВЫБОРА!F19:K19,ПАРАМЕТРЫ!$B$17:$G$17)</f>
        <v>0.506</v>
      </c>
      <c r="J1848" s="12" t="n">
        <f aca="false">I1848*G1848/1000</f>
        <v>0.1518</v>
      </c>
      <c r="K1848" s="11" t="s">
        <v>217</v>
      </c>
      <c r="L1848" s="11" t="s">
        <v>19</v>
      </c>
      <c r="M1848" s="11" t="s">
        <v>145</v>
      </c>
    </row>
    <row r="1849" customFormat="false" ht="15" hidden="false" customHeight="false" outlineLevel="0" collapsed="false">
      <c r="A1849" s="11" t="s">
        <v>110</v>
      </c>
      <c r="B1849" s="11" t="s">
        <v>138</v>
      </c>
      <c r="C1849" s="11" t="n">
        <v>10</v>
      </c>
      <c r="D1849" s="11" t="s">
        <v>161</v>
      </c>
      <c r="E1849" s="11" t="s">
        <v>163</v>
      </c>
      <c r="F1849" s="11" t="s">
        <v>80</v>
      </c>
      <c r="G1849" s="12" t="n">
        <v>280</v>
      </c>
      <c r="H1849" s="12" t="n">
        <f aca="false">SUMPRODUCT(ПОТОКИ!B14:G14,ЧАСОВЫЕ_ПРОФИЛИ!B25:G25,КОЭФФИЦИЕНТЫ_ВЫБОРА!F20:K20)</f>
        <v>0.505</v>
      </c>
      <c r="I1849" s="12" t="n">
        <f aca="false">SUMPRODUCT(ПОТОКИ!B14:G14,ЧАСОВЫЕ_ПРОФИЛИ!B25:G25,КОЭФФИЦИЕНТЫ_ВЫБОРА!F20:K20,ПАРАМЕТРЫ!$B$17:$G$17)</f>
        <v>0.5555</v>
      </c>
      <c r="J1849" s="12" t="n">
        <f aca="false">I1849*G1849/1000</f>
        <v>0.15554</v>
      </c>
      <c r="K1849" s="11" t="s">
        <v>217</v>
      </c>
      <c r="L1849" s="11" t="s">
        <v>19</v>
      </c>
      <c r="M1849" s="11" t="s">
        <v>145</v>
      </c>
    </row>
    <row r="1850" customFormat="false" ht="15" hidden="false" customHeight="false" outlineLevel="0" collapsed="false">
      <c r="A1850" s="11" t="s">
        <v>110</v>
      </c>
      <c r="B1850" s="11" t="s">
        <v>138</v>
      </c>
      <c r="C1850" s="11" t="n">
        <v>11</v>
      </c>
      <c r="D1850" s="11" t="s">
        <v>161</v>
      </c>
      <c r="E1850" s="11" t="s">
        <v>164</v>
      </c>
      <c r="F1850" s="11" t="s">
        <v>80</v>
      </c>
      <c r="G1850" s="12" t="n">
        <v>270</v>
      </c>
      <c r="H1850" s="12" t="n">
        <f aca="false">SUMPRODUCT(ПОТОКИ!B14:G14,ЧАСОВЫЕ_ПРОФИЛИ!B25:G25,КОЭФФИЦИЕНТЫ_ВЫБОРА!F21:K21)</f>
        <v>0.84475</v>
      </c>
      <c r="I1850" s="12" t="n">
        <f aca="false">SUMPRODUCT(ПОТОКИ!B14:G14,ЧАСОВЫЕ_ПРОФИЛИ!B25:G25,КОЭФФИЦИЕНТЫ_ВЫБОРА!F21:K21,ПАРАМЕТРЫ!$B$17:$G$17)</f>
        <v>0.929225</v>
      </c>
      <c r="J1850" s="12" t="n">
        <f aca="false">I1850*G1850/1000</f>
        <v>0.25089075</v>
      </c>
      <c r="K1850" s="11" t="s">
        <v>217</v>
      </c>
      <c r="L1850" s="11" t="s">
        <v>19</v>
      </c>
      <c r="M1850" s="11" t="s">
        <v>145</v>
      </c>
    </row>
    <row r="1851" customFormat="false" ht="15" hidden="false" customHeight="false" outlineLevel="0" collapsed="false">
      <c r="A1851" s="11" t="s">
        <v>110</v>
      </c>
      <c r="B1851" s="11" t="s">
        <v>138</v>
      </c>
      <c r="C1851" s="11" t="n">
        <v>12</v>
      </c>
      <c r="D1851" s="11" t="s">
        <v>161</v>
      </c>
      <c r="E1851" s="11" t="s">
        <v>165</v>
      </c>
      <c r="F1851" s="11" t="s">
        <v>80</v>
      </c>
      <c r="G1851" s="12" t="n">
        <v>240</v>
      </c>
      <c r="H1851" s="12" t="n">
        <f aca="false">SUMPRODUCT(ПОТОКИ!B14:G14,ЧАСОВЫЕ_ПРОФИЛИ!B25:G25,КОЭФФИЦИЕНТЫ_ВЫБОРА!F22:K22)</f>
        <v>0.47525</v>
      </c>
      <c r="I1851" s="12" t="n">
        <f aca="false">SUMPRODUCT(ПОТОКИ!B14:G14,ЧАСОВЫЕ_ПРОФИЛИ!B25:G25,КОЭФФИЦИЕНТЫ_ВЫБОРА!F22:K22,ПАРАМЕТРЫ!$B$17:$G$17)</f>
        <v>0.522775</v>
      </c>
      <c r="J1851" s="12" t="n">
        <f aca="false">I1851*G1851/1000</f>
        <v>0.125466</v>
      </c>
      <c r="K1851" s="11" t="s">
        <v>217</v>
      </c>
      <c r="L1851" s="11" t="s">
        <v>19</v>
      </c>
      <c r="M1851" s="11" t="s">
        <v>145</v>
      </c>
    </row>
    <row r="1852" customFormat="false" ht="15" hidden="false" customHeight="false" outlineLevel="0" collapsed="false">
      <c r="A1852" s="11" t="s">
        <v>110</v>
      </c>
      <c r="B1852" s="11" t="s">
        <v>138</v>
      </c>
      <c r="C1852" s="11" t="n">
        <v>13</v>
      </c>
      <c r="D1852" s="11" t="s">
        <v>166</v>
      </c>
      <c r="E1852" s="11" t="s">
        <v>167</v>
      </c>
      <c r="F1852" s="11" t="s">
        <v>80</v>
      </c>
      <c r="G1852" s="12" t="n">
        <v>130</v>
      </c>
      <c r="H1852" s="12" t="n">
        <f aca="false">SUMPRODUCT(ПОТОКИ!B14:G14,ЧАСОВЫЕ_ПРОФИЛИ!B25:G25,КОЭФФИЦИЕНТЫ_ВЫБОРА!F23:K23)</f>
        <v>0.26</v>
      </c>
      <c r="I1852" s="12" t="n">
        <f aca="false">SUMPRODUCT(ПОТОКИ!B14:G14,ЧАСОВЫЕ_ПРОФИЛИ!B25:G25,КОЭФФИЦИЕНТЫ_ВЫБОРА!F23:K23,ПАРАМЕТРЫ!$B$17:$G$17)</f>
        <v>0.286</v>
      </c>
      <c r="J1852" s="12" t="n">
        <f aca="false">I1852*G1852/1000</f>
        <v>0.03718</v>
      </c>
      <c r="K1852" s="11" t="s">
        <v>217</v>
      </c>
      <c r="L1852" s="11" t="s">
        <v>19</v>
      </c>
      <c r="M1852" s="11" t="s">
        <v>145</v>
      </c>
    </row>
    <row r="1853" customFormat="false" ht="15" hidden="false" customHeight="false" outlineLevel="0" collapsed="false">
      <c r="A1853" s="11" t="s">
        <v>110</v>
      </c>
      <c r="B1853" s="11" t="s">
        <v>138</v>
      </c>
      <c r="C1853" s="11" t="n">
        <v>14</v>
      </c>
      <c r="D1853" s="11" t="s">
        <v>166</v>
      </c>
      <c r="E1853" s="11" t="s">
        <v>168</v>
      </c>
      <c r="F1853" s="11" t="s">
        <v>80</v>
      </c>
      <c r="G1853" s="12" t="n">
        <v>250</v>
      </c>
      <c r="H1853" s="12" t="n">
        <f aca="false">SUMPRODUCT(ПОТОКИ!B14:G14,ЧАСОВЫЕ_ПРОФИЛИ!B25:G25,КОЭФФИЦИЕНТЫ_ВЫБОРА!F24:K24)</f>
        <v>0.221</v>
      </c>
      <c r="I1853" s="12" t="n">
        <f aca="false">SUMPRODUCT(ПОТОКИ!B14:G14,ЧАСОВЫЕ_ПРОФИЛИ!B25:G25,КОЭФФИЦИЕНТЫ_ВЫБОРА!F24:K24,ПАРАМЕТРЫ!$B$17:$G$17)</f>
        <v>0.2431</v>
      </c>
      <c r="J1853" s="12" t="n">
        <f aca="false">I1853*G1853/1000</f>
        <v>0.060775</v>
      </c>
      <c r="K1853" s="11" t="s">
        <v>217</v>
      </c>
      <c r="L1853" s="11" t="s">
        <v>19</v>
      </c>
      <c r="M1853" s="11" t="s">
        <v>145</v>
      </c>
    </row>
    <row r="1854" customFormat="false" ht="15" hidden="false" customHeight="false" outlineLevel="0" collapsed="false">
      <c r="A1854" s="11" t="s">
        <v>110</v>
      </c>
      <c r="B1854" s="11" t="s">
        <v>138</v>
      </c>
      <c r="C1854" s="11" t="n">
        <v>15</v>
      </c>
      <c r="D1854" s="11" t="s">
        <v>166</v>
      </c>
      <c r="E1854" s="11" t="s">
        <v>169</v>
      </c>
      <c r="F1854" s="11" t="s">
        <v>80</v>
      </c>
      <c r="G1854" s="12" t="n">
        <v>120</v>
      </c>
      <c r="H1854" s="12" t="n">
        <f aca="false">SUMPRODUCT(ПОТОКИ!B14:G14,ЧАСОВЫЕ_ПРОФИЛИ!B25:G25,КОЭФФИЦИЕНТЫ_ВЫБОРА!F25:K25)</f>
        <v>0.146</v>
      </c>
      <c r="I1854" s="12" t="n">
        <f aca="false">SUMPRODUCT(ПОТОКИ!B14:G14,ЧАСОВЫЕ_ПРОФИЛИ!B25:G25,КОЭФФИЦИЕНТЫ_ВЫБОРА!F25:K25,ПАРАМЕТРЫ!$B$17:$G$17)</f>
        <v>0.1606</v>
      </c>
      <c r="J1854" s="12" t="n">
        <f aca="false">I1854*G1854/1000</f>
        <v>0.019272</v>
      </c>
      <c r="K1854" s="11" t="s">
        <v>217</v>
      </c>
      <c r="L1854" s="11" t="s">
        <v>19</v>
      </c>
      <c r="M1854" s="11" t="s">
        <v>145</v>
      </c>
    </row>
    <row r="1855" customFormat="false" ht="15" hidden="false" customHeight="false" outlineLevel="0" collapsed="false">
      <c r="A1855" s="11" t="s">
        <v>110</v>
      </c>
      <c r="B1855" s="11" t="s">
        <v>138</v>
      </c>
      <c r="C1855" s="11" t="n">
        <v>16</v>
      </c>
      <c r="D1855" s="11" t="s">
        <v>166</v>
      </c>
      <c r="E1855" s="11" t="s">
        <v>170</v>
      </c>
      <c r="F1855" s="11" t="s">
        <v>80</v>
      </c>
      <c r="G1855" s="12" t="n">
        <v>180</v>
      </c>
      <c r="H1855" s="12" t="n">
        <f aca="false">SUMPRODUCT(ПОТОКИ!B14:G14,ЧАСОВЫЕ_ПРОФИЛИ!B25:G25,КОЭФФИЦИЕНТЫ_ВЫБОРА!F26:K26)</f>
        <v>0.253</v>
      </c>
      <c r="I1855" s="12" t="n">
        <f aca="false">SUMPRODUCT(ПОТОКИ!B14:G14,ЧАСОВЫЕ_ПРОФИЛИ!B25:G25,КОЭФФИЦИЕНТЫ_ВЫБОРА!F26:K26,ПАРАМЕТРЫ!$B$17:$G$17)</f>
        <v>0.2783</v>
      </c>
      <c r="J1855" s="12" t="n">
        <f aca="false">I1855*G1855/1000</f>
        <v>0.050094</v>
      </c>
      <c r="K1855" s="11" t="s">
        <v>217</v>
      </c>
      <c r="L1855" s="11" t="s">
        <v>19</v>
      </c>
      <c r="M1855" s="11" t="s">
        <v>145</v>
      </c>
    </row>
    <row r="1856" customFormat="false" ht="15" hidden="false" customHeight="false" outlineLevel="0" collapsed="false">
      <c r="A1856" s="11" t="s">
        <v>110</v>
      </c>
      <c r="B1856" s="11" t="s">
        <v>138</v>
      </c>
      <c r="C1856" s="11" t="n">
        <v>17</v>
      </c>
      <c r="D1856" s="11" t="s">
        <v>166</v>
      </c>
      <c r="E1856" s="11" t="s">
        <v>171</v>
      </c>
      <c r="F1856" s="11" t="s">
        <v>80</v>
      </c>
      <c r="G1856" s="12" t="n">
        <v>180</v>
      </c>
      <c r="H1856" s="12" t="n">
        <f aca="false">SUMPRODUCT(ПОТОКИ!B14:G14,ЧАСОВЫЕ_ПРОФИЛИ!B25:G25,КОЭФФИЦИЕНТЫ_ВЫБОРА!F27:K27)</f>
        <v>0.26</v>
      </c>
      <c r="I1856" s="12" t="n">
        <f aca="false">SUMPRODUCT(ПОТОКИ!B14:G14,ЧАСОВЫЕ_ПРОФИЛИ!B25:G25,КОЭФФИЦИЕНТЫ_ВЫБОРА!F27:K27,ПАРАМЕТРЫ!$B$17:$G$17)</f>
        <v>0.286</v>
      </c>
      <c r="J1856" s="12" t="n">
        <f aca="false">I1856*G1856/1000</f>
        <v>0.05148</v>
      </c>
      <c r="K1856" s="11" t="s">
        <v>217</v>
      </c>
      <c r="L1856" s="11" t="s">
        <v>19</v>
      </c>
      <c r="M1856" s="11" t="s">
        <v>145</v>
      </c>
    </row>
    <row r="1857" customFormat="false" ht="15" hidden="false" customHeight="false" outlineLevel="0" collapsed="false">
      <c r="A1857" s="11" t="s">
        <v>110</v>
      </c>
      <c r="B1857" s="11" t="s">
        <v>138</v>
      </c>
      <c r="C1857" s="11" t="n">
        <v>18</v>
      </c>
      <c r="D1857" s="11" t="s">
        <v>172</v>
      </c>
      <c r="E1857" s="11" t="s">
        <v>173</v>
      </c>
      <c r="F1857" s="11" t="s">
        <v>83</v>
      </c>
      <c r="G1857" s="12" t="n">
        <v>400</v>
      </c>
      <c r="H1857" s="12" t="n">
        <f aca="false">SUMPRODUCT(ПОТОКИ!B14:G14,ЧАСОВЫЕ_ПРОФИЛИ!B25:G25,КОЭФФИЦИЕНТЫ_ВЫБОРА!F28:K28)</f>
        <v>0.32</v>
      </c>
      <c r="I1857" s="12" t="n">
        <f aca="false">SUMPRODUCT(ПОТОКИ!B14:G14,ЧАСОВЫЕ_ПРОФИЛИ!B25:G25,КОЭФФИЦИЕНТЫ_ВЫБОРА!F28:K28,ПАРАМЕТРЫ!$B$17:$G$17)</f>
        <v>0.352</v>
      </c>
      <c r="J1857" s="12" t="n">
        <f aca="false">I1857*G1857/1000</f>
        <v>0.1408</v>
      </c>
      <c r="K1857" s="11" t="s">
        <v>217</v>
      </c>
      <c r="L1857" s="11" t="s">
        <v>19</v>
      </c>
      <c r="M1857" s="11" t="s">
        <v>145</v>
      </c>
    </row>
    <row r="1858" customFormat="false" ht="23.85" hidden="false" customHeight="false" outlineLevel="0" collapsed="false">
      <c r="A1858" s="11" t="s">
        <v>110</v>
      </c>
      <c r="B1858" s="11" t="s">
        <v>138</v>
      </c>
      <c r="C1858" s="11" t="n">
        <v>19</v>
      </c>
      <c r="D1858" s="11" t="s">
        <v>174</v>
      </c>
      <c r="E1858" s="11" t="s">
        <v>175</v>
      </c>
      <c r="F1858" s="11" t="s">
        <v>83</v>
      </c>
      <c r="G1858" s="12" t="n">
        <v>300</v>
      </c>
      <c r="H1858" s="12" t="n">
        <f aca="false">SUMPRODUCT(ПОТОКИ!B14:G14,ЧАСОВЫЕ_ПРОФИЛИ!B25:G25,КОЭФФИЦИЕНТЫ_ВЫБОРА!F29:K29)</f>
        <v>1.3975</v>
      </c>
      <c r="I1858" s="12" t="n">
        <f aca="false">SUMPRODUCT(ПОТОКИ!B14:G14,ЧАСОВЫЕ_ПРОФИЛИ!B25:G25,КОЭФФИЦИЕНТЫ_ВЫБОРА!F29:K29,ПАРАМЕТРЫ!$B$17:$G$17)</f>
        <v>1.53725</v>
      </c>
      <c r="J1858" s="12" t="n">
        <f aca="false">I1858*G1858/1000</f>
        <v>0.461175</v>
      </c>
      <c r="K1858" s="11" t="s">
        <v>217</v>
      </c>
      <c r="L1858" s="11" t="s">
        <v>19</v>
      </c>
      <c r="M1858" s="11" t="s">
        <v>145</v>
      </c>
    </row>
    <row r="1859" customFormat="false" ht="15" hidden="false" customHeight="false" outlineLevel="0" collapsed="false">
      <c r="A1859" s="11" t="s">
        <v>110</v>
      </c>
      <c r="B1859" s="11" t="s">
        <v>138</v>
      </c>
      <c r="C1859" s="11" t="n">
        <v>20</v>
      </c>
      <c r="D1859" s="11" t="s">
        <v>174</v>
      </c>
      <c r="E1859" s="11" t="s">
        <v>176</v>
      </c>
      <c r="F1859" s="11" t="s">
        <v>83</v>
      </c>
      <c r="G1859" s="12" t="n">
        <v>360</v>
      </c>
      <c r="H1859" s="12" t="n">
        <f aca="false">SUMPRODUCT(ПОТОКИ!B14:G14,ЧАСОВЫЕ_ПРОФИЛИ!B25:G25,КОЭФФИЦИЕНТЫ_ВЫБОРА!F30:K30)</f>
        <v>1.141</v>
      </c>
      <c r="I1859" s="12" t="n">
        <f aca="false">SUMPRODUCT(ПОТОКИ!B14:G14,ЧАСОВЫЕ_ПРОФИЛИ!B25:G25,КОЭФФИЦИЕНТЫ_ВЫБОРА!F30:K30,ПАРАМЕТРЫ!$B$17:$G$17)</f>
        <v>1.2551</v>
      </c>
      <c r="J1859" s="12" t="n">
        <f aca="false">I1859*G1859/1000</f>
        <v>0.451836</v>
      </c>
      <c r="K1859" s="11" t="s">
        <v>217</v>
      </c>
      <c r="L1859" s="11" t="s">
        <v>19</v>
      </c>
      <c r="M1859" s="11" t="s">
        <v>145</v>
      </c>
    </row>
    <row r="1860" customFormat="false" ht="15" hidden="false" customHeight="false" outlineLevel="0" collapsed="false">
      <c r="A1860" s="11" t="s">
        <v>110</v>
      </c>
      <c r="B1860" s="11" t="s">
        <v>138</v>
      </c>
      <c r="C1860" s="11" t="n">
        <v>21</v>
      </c>
      <c r="D1860" s="11" t="s">
        <v>174</v>
      </c>
      <c r="E1860" s="11" t="s">
        <v>177</v>
      </c>
      <c r="F1860" s="11" t="s">
        <v>83</v>
      </c>
      <c r="G1860" s="12" t="n">
        <v>350</v>
      </c>
      <c r="H1860" s="12" t="n">
        <f aca="false">SUMPRODUCT(ПОТОКИ!B14:G14,ЧАСОВЫЕ_ПРОФИЛИ!B25:G25,КОЭФФИЦИЕНТЫ_ВЫБОРА!F31:K31)</f>
        <v>1.63525</v>
      </c>
      <c r="I1860" s="12" t="n">
        <f aca="false">SUMPRODUCT(ПОТОКИ!B14:G14,ЧАСОВЫЕ_ПРОФИЛИ!B25:G25,КОЭФФИЦИЕНТЫ_ВЫБОРА!F31:K31,ПАРАМЕТРЫ!$B$17:$G$17)</f>
        <v>1.798775</v>
      </c>
      <c r="J1860" s="12" t="n">
        <f aca="false">I1860*G1860/1000</f>
        <v>0.62957125</v>
      </c>
      <c r="K1860" s="11" t="s">
        <v>217</v>
      </c>
      <c r="L1860" s="11" t="s">
        <v>19</v>
      </c>
      <c r="M1860" s="11" t="s">
        <v>145</v>
      </c>
    </row>
    <row r="1861" customFormat="false" ht="15" hidden="false" customHeight="false" outlineLevel="0" collapsed="false">
      <c r="A1861" s="11" t="s">
        <v>110</v>
      </c>
      <c r="B1861" s="11" t="s">
        <v>138</v>
      </c>
      <c r="C1861" s="11" t="n">
        <v>22</v>
      </c>
      <c r="D1861" s="11" t="s">
        <v>174</v>
      </c>
      <c r="E1861" s="11" t="s">
        <v>178</v>
      </c>
      <c r="F1861" s="11" t="s">
        <v>83</v>
      </c>
      <c r="G1861" s="12" t="n">
        <v>300</v>
      </c>
      <c r="H1861" s="12" t="n">
        <f aca="false">SUMPRODUCT(ПОТОКИ!B14:G14,ЧАСОВЫЕ_ПРОФИЛИ!B25:G25,КОЭФФИЦИЕНТЫ_ВЫБОРА!F32:K32)</f>
        <v>1.23125</v>
      </c>
      <c r="I1861" s="12" t="n">
        <f aca="false">SUMPRODUCT(ПОТОКИ!B14:G14,ЧАСОВЫЕ_ПРОФИЛИ!B25:G25,КОЭФФИЦИЕНТЫ_ВЫБОРА!F32:K32,ПАРАМЕТРЫ!$B$17:$G$17)</f>
        <v>1.354375</v>
      </c>
      <c r="J1861" s="12" t="n">
        <f aca="false">I1861*G1861/1000</f>
        <v>0.4063125</v>
      </c>
      <c r="K1861" s="11" t="s">
        <v>217</v>
      </c>
      <c r="L1861" s="11" t="s">
        <v>19</v>
      </c>
      <c r="M1861" s="11" t="s">
        <v>145</v>
      </c>
    </row>
    <row r="1862" customFormat="false" ht="15" hidden="false" customHeight="false" outlineLevel="0" collapsed="false">
      <c r="A1862" s="11" t="s">
        <v>110</v>
      </c>
      <c r="B1862" s="11" t="s">
        <v>138</v>
      </c>
      <c r="C1862" s="11" t="n">
        <v>23</v>
      </c>
      <c r="D1862" s="11" t="s">
        <v>86</v>
      </c>
      <c r="E1862" s="11" t="s">
        <v>179</v>
      </c>
      <c r="F1862" s="11" t="s">
        <v>85</v>
      </c>
      <c r="G1862" s="12" t="n">
        <v>150</v>
      </c>
      <c r="H1862" s="12" t="n">
        <f aca="false">SUMPRODUCT(ПОТОКИ!B14:G14,ЧАСОВЫЕ_ПРОФИЛИ!B25:G25,КОЭФФИЦИЕНТЫ_ВЫБОРА!F33:K33)</f>
        <v>1.07040875</v>
      </c>
      <c r="I1862" s="12" t="n">
        <f aca="false">SUMPRODUCT(ПОТОКИ!B14:G14,ЧАСОВЫЕ_ПРОФИЛИ!B25:G25,КОЭФФИЦИЕНТЫ_ВЫБОРА!F33:K33,ПАРАМЕТРЫ!$B$17:$G$17)</f>
        <v>1.177449625</v>
      </c>
      <c r="J1862" s="12" t="n">
        <f aca="false">I1862*G1862/1000</f>
        <v>0.17661744375</v>
      </c>
      <c r="K1862" s="11" t="s">
        <v>217</v>
      </c>
      <c r="L1862" s="11" t="s">
        <v>19</v>
      </c>
      <c r="M1862" s="11" t="s">
        <v>147</v>
      </c>
    </row>
    <row r="1863" customFormat="false" ht="15" hidden="false" customHeight="false" outlineLevel="0" collapsed="false">
      <c r="A1863" s="11" t="s">
        <v>110</v>
      </c>
      <c r="B1863" s="11" t="s">
        <v>138</v>
      </c>
      <c r="C1863" s="11" t="n">
        <v>24</v>
      </c>
      <c r="D1863" s="11" t="s">
        <v>86</v>
      </c>
      <c r="E1863" s="11" t="s">
        <v>180</v>
      </c>
      <c r="F1863" s="11" t="s">
        <v>85</v>
      </c>
      <c r="G1863" s="12" t="n">
        <v>150</v>
      </c>
      <c r="H1863" s="12" t="n">
        <f aca="false">SUMPRODUCT(ПОТОКИ!B14:G14,ЧАСОВЫЕ_ПРОФИЛИ!B25:G25,КОЭФФИЦИЕНТЫ_ВЫБОРА!F34:K34)</f>
        <v>0.575845</v>
      </c>
      <c r="I1863" s="12" t="n">
        <f aca="false">SUMPRODUCT(ПОТОКИ!B14:G14,ЧАСОВЫЕ_ПРОФИЛИ!B25:G25,КОЭФФИЦИЕНТЫ_ВЫБОРА!F34:K34,ПАРАМЕТРЫ!$B$17:$G$17)</f>
        <v>0.6334295</v>
      </c>
      <c r="J1863" s="12" t="n">
        <f aca="false">I1863*G1863/1000</f>
        <v>0.095014425</v>
      </c>
      <c r="K1863" s="11" t="s">
        <v>217</v>
      </c>
      <c r="L1863" s="11" t="s">
        <v>19</v>
      </c>
      <c r="M1863" s="11" t="s">
        <v>147</v>
      </c>
    </row>
    <row r="1864" customFormat="false" ht="15" hidden="false" customHeight="false" outlineLevel="0" collapsed="false">
      <c r="A1864" s="11" t="s">
        <v>110</v>
      </c>
      <c r="B1864" s="11" t="s">
        <v>138</v>
      </c>
      <c r="C1864" s="11" t="n">
        <v>25</v>
      </c>
      <c r="D1864" s="11" t="s">
        <v>86</v>
      </c>
      <c r="E1864" s="11" t="s">
        <v>181</v>
      </c>
      <c r="F1864" s="11" t="s">
        <v>85</v>
      </c>
      <c r="G1864" s="12" t="n">
        <v>150</v>
      </c>
      <c r="H1864" s="12" t="n">
        <f aca="false">SUMPRODUCT(ПОТОКИ!B14:G14,ЧАСОВЫЕ_ПРОФИЛИ!B25:G25,КОЭФФИЦИЕНТЫ_ВЫБОРА!F35:K35)</f>
        <v>1.23297125</v>
      </c>
      <c r="I1864" s="12" t="n">
        <f aca="false">SUMPRODUCT(ПОТОКИ!B14:G14,ЧАСОВЫЕ_ПРОФИЛИ!B25:G25,КОЭФФИЦИЕНТЫ_ВЫБОРА!F35:K35,ПАРАМЕТРЫ!$B$17:$G$17)</f>
        <v>1.356268375</v>
      </c>
      <c r="J1864" s="12" t="n">
        <f aca="false">I1864*G1864/1000</f>
        <v>0.20344025625</v>
      </c>
      <c r="K1864" s="11" t="s">
        <v>217</v>
      </c>
      <c r="L1864" s="11" t="s">
        <v>19</v>
      </c>
      <c r="M1864" s="11" t="s">
        <v>147</v>
      </c>
    </row>
    <row r="1865" customFormat="false" ht="23.85" hidden="false" customHeight="false" outlineLevel="0" collapsed="false">
      <c r="A1865" s="11" t="s">
        <v>110</v>
      </c>
      <c r="B1865" s="11" t="s">
        <v>138</v>
      </c>
      <c r="C1865" s="11" t="n">
        <v>26</v>
      </c>
      <c r="D1865" s="11" t="s">
        <v>89</v>
      </c>
      <c r="E1865" s="11" t="s">
        <v>182</v>
      </c>
      <c r="F1865" s="11" t="s">
        <v>88</v>
      </c>
      <c r="G1865" s="12" t="n">
        <v>225</v>
      </c>
      <c r="H1865" s="12" t="n">
        <f aca="false">SUMPRODUCT(ПОТОКИ!B14:G14,ЧАСОВЫЕ_ПРОФИЛИ!B25:G25,КОЭФФИЦИЕНТЫ_ВЫБОРА!F36:K36)</f>
        <v>0</v>
      </c>
      <c r="I1865" s="12" t="n">
        <f aca="false">SUMPRODUCT(ПОТОКИ!B14:G14,ЧАСОВЫЕ_ПРОФИЛИ!B25:G25,КОЭФФИЦИЕНТЫ_ВЫБОРА!F36:K36,ПАРАМЕТРЫ!$B$17:$G$17)</f>
        <v>0</v>
      </c>
      <c r="J1865" s="12" t="n">
        <f aca="false">I1865*G1865/1000</f>
        <v>0</v>
      </c>
      <c r="K1865" s="11" t="s">
        <v>217</v>
      </c>
      <c r="L1865" s="11" t="s">
        <v>19</v>
      </c>
      <c r="M1865" s="11" t="s">
        <v>145</v>
      </c>
    </row>
    <row r="1866" customFormat="false" ht="23.85" hidden="false" customHeight="false" outlineLevel="0" collapsed="false">
      <c r="A1866" s="11" t="s">
        <v>110</v>
      </c>
      <c r="B1866" s="11" t="s">
        <v>138</v>
      </c>
      <c r="C1866" s="11" t="n">
        <v>27</v>
      </c>
      <c r="D1866" s="11" t="s">
        <v>89</v>
      </c>
      <c r="E1866" s="11" t="s">
        <v>183</v>
      </c>
      <c r="F1866" s="11" t="s">
        <v>88</v>
      </c>
      <c r="G1866" s="12" t="n">
        <v>265</v>
      </c>
      <c r="H1866" s="12" t="n">
        <f aca="false">SUMPRODUCT(ПОТОКИ!B14:G14,ЧАСОВЫЕ_ПРОФИЛИ!B25:G25,КОЭФФИЦИЕНТЫ_ВЫБОРА!F37:K37)</f>
        <v>0</v>
      </c>
      <c r="I1866" s="12" t="n">
        <f aca="false">SUMPRODUCT(ПОТОКИ!B14:G14,ЧАСОВЫЕ_ПРОФИЛИ!B25:G25,КОЭФФИЦИЕНТЫ_ВЫБОРА!F37:K37,ПАРАМЕТРЫ!$B$17:$G$17)</f>
        <v>0</v>
      </c>
      <c r="J1866" s="12" t="n">
        <f aca="false">I1866*G1866/1000</f>
        <v>0</v>
      </c>
      <c r="K1866" s="11" t="s">
        <v>217</v>
      </c>
      <c r="L1866" s="11" t="s">
        <v>19</v>
      </c>
      <c r="M1866" s="11" t="s">
        <v>145</v>
      </c>
    </row>
    <row r="1867" customFormat="false" ht="23.85" hidden="false" customHeight="false" outlineLevel="0" collapsed="false">
      <c r="A1867" s="11" t="s">
        <v>110</v>
      </c>
      <c r="B1867" s="11" t="s">
        <v>138</v>
      </c>
      <c r="C1867" s="11" t="n">
        <v>28</v>
      </c>
      <c r="D1867" s="11" t="s">
        <v>89</v>
      </c>
      <c r="E1867" s="11" t="s">
        <v>184</v>
      </c>
      <c r="F1867" s="11" t="s">
        <v>88</v>
      </c>
      <c r="G1867" s="12" t="n">
        <v>355</v>
      </c>
      <c r="H1867" s="12" t="n">
        <f aca="false">SUMPRODUCT(ПОТОКИ!B14:G14,ЧАСОВЫЕ_ПРОФИЛИ!B25:G25,КОЭФФИЦИЕНТЫ_ВЫБОРА!F38:K38)</f>
        <v>0</v>
      </c>
      <c r="I1867" s="12" t="n">
        <f aca="false">SUMPRODUCT(ПОТОКИ!B14:G14,ЧАСОВЫЕ_ПРОФИЛИ!B25:G25,КОЭФФИЦИЕНТЫ_ВЫБОРА!F38:K38,ПАРАМЕТРЫ!$B$17:$G$17)</f>
        <v>0</v>
      </c>
      <c r="J1867" s="12" t="n">
        <f aca="false">I1867*G1867/1000</f>
        <v>0</v>
      </c>
      <c r="K1867" s="11" t="s">
        <v>217</v>
      </c>
      <c r="L1867" s="11" t="s">
        <v>19</v>
      </c>
      <c r="M1867" s="11" t="s">
        <v>145</v>
      </c>
    </row>
    <row r="1868" customFormat="false" ht="15" hidden="false" customHeight="false" outlineLevel="0" collapsed="false">
      <c r="A1868" s="11" t="s">
        <v>110</v>
      </c>
      <c r="B1868" s="11" t="s">
        <v>138</v>
      </c>
      <c r="C1868" s="11" t="n">
        <v>29</v>
      </c>
      <c r="D1868" s="11" t="s">
        <v>92</v>
      </c>
      <c r="E1868" s="11" t="s">
        <v>185</v>
      </c>
      <c r="F1868" s="11" t="s">
        <v>91</v>
      </c>
      <c r="G1868" s="12" t="n">
        <v>150</v>
      </c>
      <c r="H1868" s="12" t="n">
        <f aca="false">SUMPRODUCT(ПОТОКИ!B14:G14,ЧАСОВЫЕ_ПРОФИЛИ!B25:G25,КОЭФФИЦИЕНТЫ_ВЫБОРА!F39:K39)</f>
        <v>0.228</v>
      </c>
      <c r="I1868" s="12" t="n">
        <f aca="false">SUMPRODUCT(ПОТОКИ!B14:G14,ЧАСОВЫЕ_ПРОФИЛИ!B25:G25,КОЭФФИЦИЕНТЫ_ВЫБОРА!F39:K39,ПАРАМЕТРЫ!$B$17:$G$17)</f>
        <v>0.2508</v>
      </c>
      <c r="J1868" s="12" t="n">
        <f aca="false">I1868*G1868/1000</f>
        <v>0.03762</v>
      </c>
      <c r="K1868" s="11" t="s">
        <v>217</v>
      </c>
      <c r="L1868" s="11" t="s">
        <v>19</v>
      </c>
      <c r="M1868" s="11" t="s">
        <v>145</v>
      </c>
    </row>
    <row r="1869" customFormat="false" ht="15" hidden="false" customHeight="false" outlineLevel="0" collapsed="false">
      <c r="A1869" s="11" t="s">
        <v>110</v>
      </c>
      <c r="B1869" s="11" t="s">
        <v>138</v>
      </c>
      <c r="C1869" s="11" t="n">
        <v>30</v>
      </c>
      <c r="D1869" s="11" t="s">
        <v>92</v>
      </c>
      <c r="E1869" s="11" t="s">
        <v>186</v>
      </c>
      <c r="F1869" s="11" t="s">
        <v>91</v>
      </c>
      <c r="G1869" s="12" t="n">
        <v>120</v>
      </c>
      <c r="H1869" s="12" t="n">
        <f aca="false">SUMPRODUCT(ПОТОКИ!B14:G14,ЧАСОВЫЕ_ПРОФИЛИ!B25:G25,КОЭФФИЦИЕНТЫ_ВЫБОРА!F40:K40)</f>
        <v>0.478</v>
      </c>
      <c r="I1869" s="12" t="n">
        <f aca="false">SUMPRODUCT(ПОТОКИ!B14:G14,ЧАСОВЫЕ_ПРОФИЛИ!B25:G25,КОЭФФИЦИЕНТЫ_ВЫБОРА!F40:K40,ПАРАМЕТРЫ!$B$17:$G$17)</f>
        <v>0.5258</v>
      </c>
      <c r="J1869" s="12" t="n">
        <f aca="false">I1869*G1869/1000</f>
        <v>0.063096</v>
      </c>
      <c r="K1869" s="11" t="s">
        <v>217</v>
      </c>
      <c r="L1869" s="11" t="s">
        <v>19</v>
      </c>
      <c r="M1869" s="11" t="s">
        <v>145</v>
      </c>
    </row>
    <row r="1870" customFormat="false" ht="15" hidden="false" customHeight="false" outlineLevel="0" collapsed="false">
      <c r="A1870" s="11" t="s">
        <v>110</v>
      </c>
      <c r="B1870" s="11" t="s">
        <v>138</v>
      </c>
      <c r="C1870" s="11" t="n">
        <v>31</v>
      </c>
      <c r="D1870" s="11" t="s">
        <v>92</v>
      </c>
      <c r="E1870" s="11" t="s">
        <v>187</v>
      </c>
      <c r="F1870" s="11" t="s">
        <v>91</v>
      </c>
      <c r="G1870" s="12" t="n">
        <v>60</v>
      </c>
      <c r="H1870" s="12" t="n">
        <f aca="false">SUMPRODUCT(ПОТОКИ!B14:G14,ЧАСОВЫЕ_ПРОФИЛИ!B25:G25,КОЭФФИЦИЕНТЫ_ВЫБОРА!F41:K41)</f>
        <v>0.144</v>
      </c>
      <c r="I1870" s="12" t="n">
        <f aca="false">SUMPRODUCT(ПОТОКИ!B14:G14,ЧАСОВЫЕ_ПРОФИЛИ!B25:G25,КОЭФФИЦИЕНТЫ_ВЫБОРА!F41:K41,ПАРАМЕТРЫ!$B$17:$G$17)</f>
        <v>0.1584</v>
      </c>
      <c r="J1870" s="12" t="n">
        <f aca="false">I1870*G1870/1000</f>
        <v>0.009504</v>
      </c>
      <c r="K1870" s="11" t="s">
        <v>217</v>
      </c>
      <c r="L1870" s="11" t="s">
        <v>19</v>
      </c>
      <c r="M1870" s="11" t="s">
        <v>145</v>
      </c>
    </row>
    <row r="1871" customFormat="false" ht="15" hidden="false" customHeight="false" outlineLevel="0" collapsed="false">
      <c r="A1871" s="11" t="s">
        <v>111</v>
      </c>
      <c r="B1871" s="11" t="s">
        <v>124</v>
      </c>
      <c r="C1871" s="11" t="n">
        <v>1</v>
      </c>
      <c r="D1871" s="11" t="s">
        <v>74</v>
      </c>
      <c r="E1871" s="11" t="s">
        <v>153</v>
      </c>
      <c r="F1871" s="11" t="s">
        <v>73</v>
      </c>
      <c r="G1871" s="12" t="n">
        <v>450</v>
      </c>
      <c r="H1871" s="12" t="n">
        <f aca="false">SUMPRODUCT(ПОТОКИ!B15:G15,ЧАСОВЫЕ_ПРОФИЛИ!B11:G11,КОЭФФИЦИЕНТЫ_ВЫБОРА!F11:K11)</f>
        <v>0</v>
      </c>
      <c r="I1871" s="12" t="n">
        <f aca="false">SUMPRODUCT(ПОТОКИ!B15:G15,ЧАСОВЫЕ_ПРОФИЛИ!B11:G11,КОЭФФИЦИЕНТЫ_ВЫБОРА!F11:K11,ПАРАМЕТРЫ!$B$17:$G$17)</f>
        <v>0</v>
      </c>
      <c r="J1871" s="12" t="n">
        <f aca="false">I1871*G1871/1000</f>
        <v>0</v>
      </c>
      <c r="K1871" s="11" t="s">
        <v>217</v>
      </c>
      <c r="L1871" s="11" t="s">
        <v>19</v>
      </c>
      <c r="M1871" s="11" t="s">
        <v>145</v>
      </c>
    </row>
    <row r="1872" customFormat="false" ht="15" hidden="false" customHeight="false" outlineLevel="0" collapsed="false">
      <c r="A1872" s="11" t="s">
        <v>111</v>
      </c>
      <c r="B1872" s="11" t="s">
        <v>124</v>
      </c>
      <c r="C1872" s="11" t="n">
        <v>2</v>
      </c>
      <c r="D1872" s="11" t="s">
        <v>74</v>
      </c>
      <c r="E1872" s="11" t="s">
        <v>154</v>
      </c>
      <c r="F1872" s="11" t="s">
        <v>73</v>
      </c>
      <c r="G1872" s="12" t="n">
        <v>480</v>
      </c>
      <c r="H1872" s="12" t="n">
        <f aca="false">SUMPRODUCT(ПОТОКИ!B15:G15,ЧАСОВЫЕ_ПРОФИЛИ!B11:G11,КОЭФФИЦИЕНТЫ_ВЫБОРА!F12:K12)</f>
        <v>0</v>
      </c>
      <c r="I1872" s="12" t="n">
        <f aca="false">SUMPRODUCT(ПОТОКИ!B15:G15,ЧАСОВЫЕ_ПРОФИЛИ!B11:G11,КОЭФФИЦИЕНТЫ_ВЫБОРА!F12:K12,ПАРАМЕТРЫ!$B$17:$G$17)</f>
        <v>0</v>
      </c>
      <c r="J1872" s="12" t="n">
        <f aca="false">I1872*G1872/1000</f>
        <v>0</v>
      </c>
      <c r="K1872" s="11" t="s">
        <v>217</v>
      </c>
      <c r="L1872" s="11" t="s">
        <v>19</v>
      </c>
      <c r="M1872" s="11" t="s">
        <v>145</v>
      </c>
    </row>
    <row r="1873" customFormat="false" ht="15" hidden="false" customHeight="false" outlineLevel="0" collapsed="false">
      <c r="A1873" s="11" t="s">
        <v>111</v>
      </c>
      <c r="B1873" s="11" t="s">
        <v>124</v>
      </c>
      <c r="C1873" s="11" t="n">
        <v>3</v>
      </c>
      <c r="D1873" s="11" t="s">
        <v>74</v>
      </c>
      <c r="E1873" s="11" t="s">
        <v>155</v>
      </c>
      <c r="F1873" s="11" t="s">
        <v>73</v>
      </c>
      <c r="G1873" s="12" t="n">
        <v>500</v>
      </c>
      <c r="H1873" s="12" t="n">
        <f aca="false">SUMPRODUCT(ПОТОКИ!B15:G15,ЧАСОВЫЕ_ПРОФИЛИ!B11:G11,КОЭФФИЦИЕНТЫ_ВЫБОРА!F13:K13)</f>
        <v>0</v>
      </c>
      <c r="I1873" s="12" t="n">
        <f aca="false">SUMPRODUCT(ПОТОКИ!B15:G15,ЧАСОВЫЕ_ПРОФИЛИ!B11:G11,КОЭФФИЦИЕНТЫ_ВЫБОРА!F13:K13,ПАРАМЕТРЫ!$B$17:$G$17)</f>
        <v>0</v>
      </c>
      <c r="J1873" s="12" t="n">
        <f aca="false">I1873*G1873/1000</f>
        <v>0</v>
      </c>
      <c r="K1873" s="11" t="s">
        <v>217</v>
      </c>
      <c r="L1873" s="11" t="s">
        <v>19</v>
      </c>
      <c r="M1873" s="11" t="s">
        <v>145</v>
      </c>
    </row>
    <row r="1874" customFormat="false" ht="15" hidden="false" customHeight="false" outlineLevel="0" collapsed="false">
      <c r="A1874" s="11" t="s">
        <v>111</v>
      </c>
      <c r="B1874" s="11" t="s">
        <v>124</v>
      </c>
      <c r="C1874" s="11" t="n">
        <v>4</v>
      </c>
      <c r="D1874" s="11" t="s">
        <v>74</v>
      </c>
      <c r="E1874" s="11" t="s">
        <v>156</v>
      </c>
      <c r="F1874" s="11" t="s">
        <v>73</v>
      </c>
      <c r="G1874" s="12" t="n">
        <v>500</v>
      </c>
      <c r="H1874" s="12" t="n">
        <f aca="false">SUMPRODUCT(ПОТОКИ!B15:G15,ЧАСОВЫЕ_ПРОФИЛИ!B11:G11,КОЭФФИЦИЕНТЫ_ВЫБОРА!F14:K14)</f>
        <v>0</v>
      </c>
      <c r="I1874" s="12" t="n">
        <f aca="false">SUMPRODUCT(ПОТОКИ!B15:G15,ЧАСОВЫЕ_ПРОФИЛИ!B11:G11,КОЭФФИЦИЕНТЫ_ВЫБОРА!F14:K14,ПАРАМЕТРЫ!$B$17:$G$17)</f>
        <v>0</v>
      </c>
      <c r="J1874" s="12" t="n">
        <f aca="false">I1874*G1874/1000</f>
        <v>0</v>
      </c>
      <c r="K1874" s="11" t="s">
        <v>217</v>
      </c>
      <c r="L1874" s="11" t="s">
        <v>19</v>
      </c>
      <c r="M1874" s="11" t="s">
        <v>145</v>
      </c>
    </row>
    <row r="1875" customFormat="false" ht="15" hidden="false" customHeight="false" outlineLevel="0" collapsed="false">
      <c r="A1875" s="11" t="s">
        <v>111</v>
      </c>
      <c r="B1875" s="11" t="s">
        <v>124</v>
      </c>
      <c r="C1875" s="11" t="n">
        <v>5</v>
      </c>
      <c r="D1875" s="11" t="s">
        <v>78</v>
      </c>
      <c r="E1875" s="11" t="s">
        <v>157</v>
      </c>
      <c r="F1875" s="11" t="s">
        <v>77</v>
      </c>
      <c r="G1875" s="12" t="n">
        <v>100</v>
      </c>
      <c r="H1875" s="12" t="n">
        <f aca="false">SUMPRODUCT(ПОТОКИ!B15:G15,ЧАСОВЫЕ_ПРОФИЛИ!B11:G11,КОЭФФИЦИЕНТЫ_ВЫБОРА!F15:K15)</f>
        <v>0.108</v>
      </c>
      <c r="I1875" s="12" t="n">
        <f aca="false">SUMPRODUCT(ПОТОКИ!B15:G15,ЧАСОВЫЕ_ПРОФИЛИ!B11:G11,КОЭФФИЦИЕНТЫ_ВЫБОРА!F15:K15,ПАРАМЕТРЫ!$B$17:$G$17)</f>
        <v>0.1188</v>
      </c>
      <c r="J1875" s="12" t="n">
        <f aca="false">I1875*G1875/1000</f>
        <v>0.01188</v>
      </c>
      <c r="K1875" s="11" t="s">
        <v>217</v>
      </c>
      <c r="L1875" s="11" t="s">
        <v>19</v>
      </c>
      <c r="M1875" s="11" t="s">
        <v>147</v>
      </c>
    </row>
    <row r="1876" customFormat="false" ht="15" hidden="false" customHeight="false" outlineLevel="0" collapsed="false">
      <c r="A1876" s="11" t="s">
        <v>111</v>
      </c>
      <c r="B1876" s="11" t="s">
        <v>124</v>
      </c>
      <c r="C1876" s="11" t="n">
        <v>6</v>
      </c>
      <c r="D1876" s="11" t="s">
        <v>78</v>
      </c>
      <c r="E1876" s="11" t="s">
        <v>158</v>
      </c>
      <c r="F1876" s="11" t="s">
        <v>77</v>
      </c>
      <c r="G1876" s="12" t="n">
        <v>100</v>
      </c>
      <c r="H1876" s="12" t="n">
        <f aca="false">SUMPRODUCT(ПОТОКИ!B15:G15,ЧАСОВЫЕ_ПРОФИЛИ!B11:G11,КОЭФФИЦИЕНТЫ_ВЫБОРА!F16:K16)</f>
        <v>0.108</v>
      </c>
      <c r="I1876" s="12" t="n">
        <f aca="false">SUMPRODUCT(ПОТОКИ!B15:G15,ЧАСОВЫЕ_ПРОФИЛИ!B11:G11,КОЭФФИЦИЕНТЫ_ВЫБОРА!F16:K16,ПАРАМЕТРЫ!$B$17:$G$17)</f>
        <v>0.1188</v>
      </c>
      <c r="J1876" s="12" t="n">
        <f aca="false">I1876*G1876/1000</f>
        <v>0.01188</v>
      </c>
      <c r="K1876" s="11" t="s">
        <v>217</v>
      </c>
      <c r="L1876" s="11" t="s">
        <v>19</v>
      </c>
      <c r="M1876" s="11" t="s">
        <v>147</v>
      </c>
    </row>
    <row r="1877" customFormat="false" ht="15" hidden="false" customHeight="false" outlineLevel="0" collapsed="false">
      <c r="A1877" s="11" t="s">
        <v>111</v>
      </c>
      <c r="B1877" s="11" t="s">
        <v>124</v>
      </c>
      <c r="C1877" s="11" t="n">
        <v>7</v>
      </c>
      <c r="D1877" s="11" t="s">
        <v>78</v>
      </c>
      <c r="E1877" s="11" t="s">
        <v>159</v>
      </c>
      <c r="F1877" s="11" t="s">
        <v>77</v>
      </c>
      <c r="G1877" s="12" t="n">
        <v>350</v>
      </c>
      <c r="H1877" s="12" t="n">
        <f aca="false">SUMPRODUCT(ПОТОКИ!B15:G15,ЧАСОВЫЕ_ПРОФИЛИ!B11:G11,КОЭФФИЦИЕНТЫ_ВЫБОРА!F17:K17)</f>
        <v>0.09</v>
      </c>
      <c r="I1877" s="12" t="n">
        <f aca="false">SUMPRODUCT(ПОТОКИ!B15:G15,ЧАСОВЫЕ_ПРОФИЛИ!B11:G11,КОЭФФИЦИЕНТЫ_ВЫБОРА!F17:K17,ПАРАМЕТРЫ!$B$17:$G$17)</f>
        <v>0.099</v>
      </c>
      <c r="J1877" s="12" t="n">
        <f aca="false">I1877*G1877/1000</f>
        <v>0.03465</v>
      </c>
      <c r="K1877" s="11" t="s">
        <v>217</v>
      </c>
      <c r="L1877" s="11" t="s">
        <v>19</v>
      </c>
      <c r="M1877" s="11" t="s">
        <v>147</v>
      </c>
    </row>
    <row r="1878" customFormat="false" ht="15" hidden="false" customHeight="false" outlineLevel="0" collapsed="false">
      <c r="A1878" s="11" t="s">
        <v>111</v>
      </c>
      <c r="B1878" s="11" t="s">
        <v>124</v>
      </c>
      <c r="C1878" s="11" t="n">
        <v>8</v>
      </c>
      <c r="D1878" s="11" t="s">
        <v>78</v>
      </c>
      <c r="E1878" s="11" t="s">
        <v>160</v>
      </c>
      <c r="F1878" s="11" t="s">
        <v>77</v>
      </c>
      <c r="G1878" s="12" t="n">
        <v>85</v>
      </c>
      <c r="H1878" s="12" t="n">
        <f aca="false">SUMPRODUCT(ПОТОКИ!B15:G15,ЧАСОВЫЕ_ПРОФИЛИ!B11:G11,КОЭФФИЦИЕНТЫ_ВЫБОРА!F18:K18)</f>
        <v>0.054</v>
      </c>
      <c r="I1878" s="12" t="n">
        <f aca="false">SUMPRODUCT(ПОТОКИ!B15:G15,ЧАСОВЫЕ_ПРОФИЛИ!B11:G11,КОЭФФИЦИЕНТЫ_ВЫБОРА!F18:K18,ПАРАМЕТРЫ!$B$17:$G$17)</f>
        <v>0.0594</v>
      </c>
      <c r="J1878" s="12" t="n">
        <f aca="false">I1878*G1878/1000</f>
        <v>0.005049</v>
      </c>
      <c r="K1878" s="11" t="s">
        <v>217</v>
      </c>
      <c r="L1878" s="11" t="s">
        <v>19</v>
      </c>
      <c r="M1878" s="11" t="s">
        <v>147</v>
      </c>
    </row>
    <row r="1879" customFormat="false" ht="15" hidden="false" customHeight="false" outlineLevel="0" collapsed="false">
      <c r="A1879" s="11" t="s">
        <v>111</v>
      </c>
      <c r="B1879" s="11" t="s">
        <v>124</v>
      </c>
      <c r="C1879" s="11" t="n">
        <v>9</v>
      </c>
      <c r="D1879" s="11" t="s">
        <v>161</v>
      </c>
      <c r="E1879" s="11" t="s">
        <v>162</v>
      </c>
      <c r="F1879" s="11" t="s">
        <v>80</v>
      </c>
      <c r="G1879" s="12" t="n">
        <v>300</v>
      </c>
      <c r="H1879" s="12" t="n">
        <f aca="false">SUMPRODUCT(ПОТОКИ!B15:G15,ЧАСОВЫЕ_ПРОФИЛИ!B11:G11,КОЭФФИЦИЕНТЫ_ВЫБОРА!F19:K19)</f>
        <v>0</v>
      </c>
      <c r="I1879" s="12" t="n">
        <f aca="false">SUMPRODUCT(ПОТОКИ!B15:G15,ЧАСОВЫЕ_ПРОФИЛИ!B11:G11,КОЭФФИЦИЕНТЫ_ВЫБОРА!F19:K19,ПАРАМЕТРЫ!$B$17:$G$17)</f>
        <v>0</v>
      </c>
      <c r="J1879" s="12" t="n">
        <f aca="false">I1879*G1879/1000</f>
        <v>0</v>
      </c>
      <c r="K1879" s="11" t="s">
        <v>217</v>
      </c>
      <c r="L1879" s="11" t="s">
        <v>19</v>
      </c>
      <c r="M1879" s="11" t="s">
        <v>145</v>
      </c>
    </row>
    <row r="1880" customFormat="false" ht="15" hidden="false" customHeight="false" outlineLevel="0" collapsed="false">
      <c r="A1880" s="11" t="s">
        <v>111</v>
      </c>
      <c r="B1880" s="11" t="s">
        <v>124</v>
      </c>
      <c r="C1880" s="11" t="n">
        <v>10</v>
      </c>
      <c r="D1880" s="11" t="s">
        <v>161</v>
      </c>
      <c r="E1880" s="11" t="s">
        <v>163</v>
      </c>
      <c r="F1880" s="11" t="s">
        <v>80</v>
      </c>
      <c r="G1880" s="12" t="n">
        <v>280</v>
      </c>
      <c r="H1880" s="12" t="n">
        <f aca="false">SUMPRODUCT(ПОТОКИ!B15:G15,ЧАСОВЫЕ_ПРОФИЛИ!B11:G11,КОЭФФИЦИЕНТЫ_ВЫБОРА!F20:K20)</f>
        <v>0</v>
      </c>
      <c r="I1880" s="12" t="n">
        <f aca="false">SUMPRODUCT(ПОТОКИ!B15:G15,ЧАСОВЫЕ_ПРОФИЛИ!B11:G11,КОЭФФИЦИЕНТЫ_ВЫБОРА!F20:K20,ПАРАМЕТРЫ!$B$17:$G$17)</f>
        <v>0</v>
      </c>
      <c r="J1880" s="12" t="n">
        <f aca="false">I1880*G1880/1000</f>
        <v>0</v>
      </c>
      <c r="K1880" s="11" t="s">
        <v>217</v>
      </c>
      <c r="L1880" s="11" t="s">
        <v>19</v>
      </c>
      <c r="M1880" s="11" t="s">
        <v>145</v>
      </c>
    </row>
    <row r="1881" customFormat="false" ht="15" hidden="false" customHeight="false" outlineLevel="0" collapsed="false">
      <c r="A1881" s="11" t="s">
        <v>111</v>
      </c>
      <c r="B1881" s="11" t="s">
        <v>124</v>
      </c>
      <c r="C1881" s="11" t="n">
        <v>11</v>
      </c>
      <c r="D1881" s="11" t="s">
        <v>161</v>
      </c>
      <c r="E1881" s="11" t="s">
        <v>164</v>
      </c>
      <c r="F1881" s="11" t="s">
        <v>80</v>
      </c>
      <c r="G1881" s="12" t="n">
        <v>270</v>
      </c>
      <c r="H1881" s="12" t="n">
        <f aca="false">SUMPRODUCT(ПОТОКИ!B15:G15,ЧАСОВЫЕ_ПРОФИЛИ!B11:G11,КОЭФФИЦИЕНТЫ_ВЫБОРА!F21:K21)</f>
        <v>0</v>
      </c>
      <c r="I1881" s="12" t="n">
        <f aca="false">SUMPRODUCT(ПОТОКИ!B15:G15,ЧАСОВЫЕ_ПРОФИЛИ!B11:G11,КОЭФФИЦИЕНТЫ_ВЫБОРА!F21:K21,ПАРАМЕТРЫ!$B$17:$G$17)</f>
        <v>0</v>
      </c>
      <c r="J1881" s="12" t="n">
        <f aca="false">I1881*G1881/1000</f>
        <v>0</v>
      </c>
      <c r="K1881" s="11" t="s">
        <v>217</v>
      </c>
      <c r="L1881" s="11" t="s">
        <v>19</v>
      </c>
      <c r="M1881" s="11" t="s">
        <v>145</v>
      </c>
    </row>
    <row r="1882" customFormat="false" ht="15" hidden="false" customHeight="false" outlineLevel="0" collapsed="false">
      <c r="A1882" s="11" t="s">
        <v>111</v>
      </c>
      <c r="B1882" s="11" t="s">
        <v>124</v>
      </c>
      <c r="C1882" s="11" t="n">
        <v>12</v>
      </c>
      <c r="D1882" s="11" t="s">
        <v>161</v>
      </c>
      <c r="E1882" s="11" t="s">
        <v>165</v>
      </c>
      <c r="F1882" s="11" t="s">
        <v>80</v>
      </c>
      <c r="G1882" s="12" t="n">
        <v>240</v>
      </c>
      <c r="H1882" s="12" t="n">
        <f aca="false">SUMPRODUCT(ПОТОКИ!B15:G15,ЧАСОВЫЕ_ПРОФИЛИ!B11:G11,КОЭФФИЦИЕНТЫ_ВЫБОРА!F22:K22)</f>
        <v>0</v>
      </c>
      <c r="I1882" s="12" t="n">
        <f aca="false">SUMPRODUCT(ПОТОКИ!B15:G15,ЧАСОВЫЕ_ПРОФИЛИ!B11:G11,КОЭФФИЦИЕНТЫ_ВЫБОРА!F22:K22,ПАРАМЕТРЫ!$B$17:$G$17)</f>
        <v>0</v>
      </c>
      <c r="J1882" s="12" t="n">
        <f aca="false">I1882*G1882/1000</f>
        <v>0</v>
      </c>
      <c r="K1882" s="11" t="s">
        <v>217</v>
      </c>
      <c r="L1882" s="11" t="s">
        <v>19</v>
      </c>
      <c r="M1882" s="11" t="s">
        <v>145</v>
      </c>
    </row>
    <row r="1883" customFormat="false" ht="15" hidden="false" customHeight="false" outlineLevel="0" collapsed="false">
      <c r="A1883" s="11" t="s">
        <v>111</v>
      </c>
      <c r="B1883" s="11" t="s">
        <v>124</v>
      </c>
      <c r="C1883" s="11" t="n">
        <v>13</v>
      </c>
      <c r="D1883" s="11" t="s">
        <v>166</v>
      </c>
      <c r="E1883" s="11" t="s">
        <v>167</v>
      </c>
      <c r="F1883" s="11" t="s">
        <v>80</v>
      </c>
      <c r="G1883" s="12" t="n">
        <v>130</v>
      </c>
      <c r="H1883" s="12" t="n">
        <f aca="false">SUMPRODUCT(ПОТОКИ!B15:G15,ЧАСОВЫЕ_ПРОФИЛИ!B11:G11,КОЭФФИЦИЕНТЫ_ВЫБОРА!F23:K23)</f>
        <v>0</v>
      </c>
      <c r="I1883" s="12" t="n">
        <f aca="false">SUMPRODUCT(ПОТОКИ!B15:G15,ЧАСОВЫЕ_ПРОФИЛИ!B11:G11,КОЭФФИЦИЕНТЫ_ВЫБОРА!F23:K23,ПАРАМЕТРЫ!$B$17:$G$17)</f>
        <v>0</v>
      </c>
      <c r="J1883" s="12" t="n">
        <f aca="false">I1883*G1883/1000</f>
        <v>0</v>
      </c>
      <c r="K1883" s="11" t="s">
        <v>217</v>
      </c>
      <c r="L1883" s="11" t="s">
        <v>19</v>
      </c>
      <c r="M1883" s="11" t="s">
        <v>145</v>
      </c>
    </row>
    <row r="1884" customFormat="false" ht="15" hidden="false" customHeight="false" outlineLevel="0" collapsed="false">
      <c r="A1884" s="11" t="s">
        <v>111</v>
      </c>
      <c r="B1884" s="11" t="s">
        <v>124</v>
      </c>
      <c r="C1884" s="11" t="n">
        <v>14</v>
      </c>
      <c r="D1884" s="11" t="s">
        <v>166</v>
      </c>
      <c r="E1884" s="11" t="s">
        <v>168</v>
      </c>
      <c r="F1884" s="11" t="s">
        <v>80</v>
      </c>
      <c r="G1884" s="12" t="n">
        <v>250</v>
      </c>
      <c r="H1884" s="12" t="n">
        <f aca="false">SUMPRODUCT(ПОТОКИ!B15:G15,ЧАСОВЫЕ_ПРОФИЛИ!B11:G11,КОЭФФИЦИЕНТЫ_ВЫБОРА!F24:K24)</f>
        <v>0</v>
      </c>
      <c r="I1884" s="12" t="n">
        <f aca="false">SUMPRODUCT(ПОТОКИ!B15:G15,ЧАСОВЫЕ_ПРОФИЛИ!B11:G11,КОЭФФИЦИЕНТЫ_ВЫБОРА!F24:K24,ПАРАМЕТРЫ!$B$17:$G$17)</f>
        <v>0</v>
      </c>
      <c r="J1884" s="12" t="n">
        <f aca="false">I1884*G1884/1000</f>
        <v>0</v>
      </c>
      <c r="K1884" s="11" t="s">
        <v>217</v>
      </c>
      <c r="L1884" s="11" t="s">
        <v>19</v>
      </c>
      <c r="M1884" s="11" t="s">
        <v>145</v>
      </c>
    </row>
    <row r="1885" customFormat="false" ht="15" hidden="false" customHeight="false" outlineLevel="0" collapsed="false">
      <c r="A1885" s="11" t="s">
        <v>111</v>
      </c>
      <c r="B1885" s="11" t="s">
        <v>124</v>
      </c>
      <c r="C1885" s="11" t="n">
        <v>15</v>
      </c>
      <c r="D1885" s="11" t="s">
        <v>166</v>
      </c>
      <c r="E1885" s="11" t="s">
        <v>169</v>
      </c>
      <c r="F1885" s="11" t="s">
        <v>80</v>
      </c>
      <c r="G1885" s="12" t="n">
        <v>120</v>
      </c>
      <c r="H1885" s="12" t="n">
        <f aca="false">SUMPRODUCT(ПОТОКИ!B15:G15,ЧАСОВЫЕ_ПРОФИЛИ!B11:G11,КОЭФФИЦИЕНТЫ_ВЫБОРА!F25:K25)</f>
        <v>0</v>
      </c>
      <c r="I1885" s="12" t="n">
        <f aca="false">SUMPRODUCT(ПОТОКИ!B15:G15,ЧАСОВЫЕ_ПРОФИЛИ!B11:G11,КОЭФФИЦИЕНТЫ_ВЫБОРА!F25:K25,ПАРАМЕТРЫ!$B$17:$G$17)</f>
        <v>0</v>
      </c>
      <c r="J1885" s="12" t="n">
        <f aca="false">I1885*G1885/1000</f>
        <v>0</v>
      </c>
      <c r="K1885" s="11" t="s">
        <v>217</v>
      </c>
      <c r="L1885" s="11" t="s">
        <v>19</v>
      </c>
      <c r="M1885" s="11" t="s">
        <v>145</v>
      </c>
    </row>
    <row r="1886" customFormat="false" ht="15" hidden="false" customHeight="false" outlineLevel="0" collapsed="false">
      <c r="A1886" s="11" t="s">
        <v>111</v>
      </c>
      <c r="B1886" s="11" t="s">
        <v>124</v>
      </c>
      <c r="C1886" s="11" t="n">
        <v>16</v>
      </c>
      <c r="D1886" s="11" t="s">
        <v>166</v>
      </c>
      <c r="E1886" s="11" t="s">
        <v>170</v>
      </c>
      <c r="F1886" s="11" t="s">
        <v>80</v>
      </c>
      <c r="G1886" s="12" t="n">
        <v>180</v>
      </c>
      <c r="H1886" s="12" t="n">
        <f aca="false">SUMPRODUCT(ПОТОКИ!B15:G15,ЧАСОВЫЕ_ПРОФИЛИ!B11:G11,КОЭФФИЦИЕНТЫ_ВЫБОРА!F26:K26)</f>
        <v>0</v>
      </c>
      <c r="I1886" s="12" t="n">
        <f aca="false">SUMPRODUCT(ПОТОКИ!B15:G15,ЧАСОВЫЕ_ПРОФИЛИ!B11:G11,КОЭФФИЦИЕНТЫ_ВЫБОРА!F26:K26,ПАРАМЕТРЫ!$B$17:$G$17)</f>
        <v>0</v>
      </c>
      <c r="J1886" s="12" t="n">
        <f aca="false">I1886*G1886/1000</f>
        <v>0</v>
      </c>
      <c r="K1886" s="11" t="s">
        <v>217</v>
      </c>
      <c r="L1886" s="11" t="s">
        <v>19</v>
      </c>
      <c r="M1886" s="11" t="s">
        <v>145</v>
      </c>
    </row>
    <row r="1887" customFormat="false" ht="15" hidden="false" customHeight="false" outlineLevel="0" collapsed="false">
      <c r="A1887" s="11" t="s">
        <v>111</v>
      </c>
      <c r="B1887" s="11" t="s">
        <v>124</v>
      </c>
      <c r="C1887" s="11" t="n">
        <v>17</v>
      </c>
      <c r="D1887" s="11" t="s">
        <v>166</v>
      </c>
      <c r="E1887" s="11" t="s">
        <v>171</v>
      </c>
      <c r="F1887" s="11" t="s">
        <v>80</v>
      </c>
      <c r="G1887" s="12" t="n">
        <v>180</v>
      </c>
      <c r="H1887" s="12" t="n">
        <f aca="false">SUMPRODUCT(ПОТОКИ!B15:G15,ЧАСОВЫЕ_ПРОФИЛИ!B11:G11,КОЭФФИЦИЕНТЫ_ВЫБОРА!F27:K27)</f>
        <v>0</v>
      </c>
      <c r="I1887" s="12" t="n">
        <f aca="false">SUMPRODUCT(ПОТОКИ!B15:G15,ЧАСОВЫЕ_ПРОФИЛИ!B11:G11,КОЭФФИЦИЕНТЫ_ВЫБОРА!F27:K27,ПАРАМЕТРЫ!$B$17:$G$17)</f>
        <v>0</v>
      </c>
      <c r="J1887" s="12" t="n">
        <f aca="false">I1887*G1887/1000</f>
        <v>0</v>
      </c>
      <c r="K1887" s="11" t="s">
        <v>217</v>
      </c>
      <c r="L1887" s="11" t="s">
        <v>19</v>
      </c>
      <c r="M1887" s="11" t="s">
        <v>145</v>
      </c>
    </row>
    <row r="1888" customFormat="false" ht="15" hidden="false" customHeight="false" outlineLevel="0" collapsed="false">
      <c r="A1888" s="11" t="s">
        <v>111</v>
      </c>
      <c r="B1888" s="11" t="s">
        <v>124</v>
      </c>
      <c r="C1888" s="11" t="n">
        <v>18</v>
      </c>
      <c r="D1888" s="11" t="s">
        <v>172</v>
      </c>
      <c r="E1888" s="11" t="s">
        <v>173</v>
      </c>
      <c r="F1888" s="11" t="s">
        <v>83</v>
      </c>
      <c r="G1888" s="12" t="n">
        <v>400</v>
      </c>
      <c r="H1888" s="12" t="n">
        <f aca="false">SUMPRODUCT(ПОТОКИ!B15:G15,ЧАСОВЫЕ_ПРОФИЛИ!B11:G11,КОЭФФИЦИЕНТЫ_ВЫБОРА!F28:K28)</f>
        <v>0</v>
      </c>
      <c r="I1888" s="12" t="n">
        <f aca="false">SUMPRODUCT(ПОТОКИ!B15:G15,ЧАСОВЫЕ_ПРОФИЛИ!B11:G11,КОЭФФИЦИЕНТЫ_ВЫБОРА!F28:K28,ПАРАМЕТРЫ!$B$17:$G$17)</f>
        <v>0</v>
      </c>
      <c r="J1888" s="12" t="n">
        <f aca="false">I1888*G1888/1000</f>
        <v>0</v>
      </c>
      <c r="K1888" s="11" t="s">
        <v>217</v>
      </c>
      <c r="L1888" s="11" t="s">
        <v>19</v>
      </c>
      <c r="M1888" s="11" t="s">
        <v>145</v>
      </c>
    </row>
    <row r="1889" customFormat="false" ht="23.85" hidden="false" customHeight="false" outlineLevel="0" collapsed="false">
      <c r="A1889" s="11" t="s">
        <v>111</v>
      </c>
      <c r="B1889" s="11" t="s">
        <v>124</v>
      </c>
      <c r="C1889" s="11" t="n">
        <v>19</v>
      </c>
      <c r="D1889" s="11" t="s">
        <v>174</v>
      </c>
      <c r="E1889" s="11" t="s">
        <v>175</v>
      </c>
      <c r="F1889" s="11" t="s">
        <v>83</v>
      </c>
      <c r="G1889" s="12" t="n">
        <v>300</v>
      </c>
      <c r="H1889" s="12" t="n">
        <f aca="false">SUMPRODUCT(ПОТОКИ!B15:G15,ЧАСОВЫЕ_ПРОФИЛИ!B11:G11,КОЭФФИЦИЕНТЫ_ВЫБОРА!F29:K29)</f>
        <v>0</v>
      </c>
      <c r="I1889" s="12" t="n">
        <f aca="false">SUMPRODUCT(ПОТОКИ!B15:G15,ЧАСОВЫЕ_ПРОФИЛИ!B11:G11,КОЭФФИЦИЕНТЫ_ВЫБОРА!F29:K29,ПАРАМЕТРЫ!$B$17:$G$17)</f>
        <v>0</v>
      </c>
      <c r="J1889" s="12" t="n">
        <f aca="false">I1889*G1889/1000</f>
        <v>0</v>
      </c>
      <c r="K1889" s="11" t="s">
        <v>217</v>
      </c>
      <c r="L1889" s="11" t="s">
        <v>19</v>
      </c>
      <c r="M1889" s="11" t="s">
        <v>145</v>
      </c>
    </row>
    <row r="1890" customFormat="false" ht="15" hidden="false" customHeight="false" outlineLevel="0" collapsed="false">
      <c r="A1890" s="11" t="s">
        <v>111</v>
      </c>
      <c r="B1890" s="11" t="s">
        <v>124</v>
      </c>
      <c r="C1890" s="11" t="n">
        <v>20</v>
      </c>
      <c r="D1890" s="11" t="s">
        <v>174</v>
      </c>
      <c r="E1890" s="11" t="s">
        <v>176</v>
      </c>
      <c r="F1890" s="11" t="s">
        <v>83</v>
      </c>
      <c r="G1890" s="12" t="n">
        <v>360</v>
      </c>
      <c r="H1890" s="12" t="n">
        <f aca="false">SUMPRODUCT(ПОТОКИ!B15:G15,ЧАСОВЫЕ_ПРОФИЛИ!B11:G11,КОЭФФИЦИЕНТЫ_ВЫБОРА!F30:K30)</f>
        <v>0</v>
      </c>
      <c r="I1890" s="12" t="n">
        <f aca="false">SUMPRODUCT(ПОТОКИ!B15:G15,ЧАСОВЫЕ_ПРОФИЛИ!B11:G11,КОЭФФИЦИЕНТЫ_ВЫБОРА!F30:K30,ПАРАМЕТРЫ!$B$17:$G$17)</f>
        <v>0</v>
      </c>
      <c r="J1890" s="12" t="n">
        <f aca="false">I1890*G1890/1000</f>
        <v>0</v>
      </c>
      <c r="K1890" s="11" t="s">
        <v>217</v>
      </c>
      <c r="L1890" s="11" t="s">
        <v>19</v>
      </c>
      <c r="M1890" s="11" t="s">
        <v>145</v>
      </c>
    </row>
    <row r="1891" customFormat="false" ht="15" hidden="false" customHeight="false" outlineLevel="0" collapsed="false">
      <c r="A1891" s="11" t="s">
        <v>111</v>
      </c>
      <c r="B1891" s="11" t="s">
        <v>124</v>
      </c>
      <c r="C1891" s="11" t="n">
        <v>21</v>
      </c>
      <c r="D1891" s="11" t="s">
        <v>174</v>
      </c>
      <c r="E1891" s="11" t="s">
        <v>177</v>
      </c>
      <c r="F1891" s="11" t="s">
        <v>83</v>
      </c>
      <c r="G1891" s="12" t="n">
        <v>350</v>
      </c>
      <c r="H1891" s="12" t="n">
        <f aca="false">SUMPRODUCT(ПОТОКИ!B15:G15,ЧАСОВЫЕ_ПРОФИЛИ!B11:G11,КОЭФФИЦИЕНТЫ_ВЫБОРА!F31:K31)</f>
        <v>0</v>
      </c>
      <c r="I1891" s="12" t="n">
        <f aca="false">SUMPRODUCT(ПОТОКИ!B15:G15,ЧАСОВЫЕ_ПРОФИЛИ!B11:G11,КОЭФФИЦИЕНТЫ_ВЫБОРА!F31:K31,ПАРАМЕТРЫ!$B$17:$G$17)</f>
        <v>0</v>
      </c>
      <c r="J1891" s="12" t="n">
        <f aca="false">I1891*G1891/1000</f>
        <v>0</v>
      </c>
      <c r="K1891" s="11" t="s">
        <v>217</v>
      </c>
      <c r="L1891" s="11" t="s">
        <v>19</v>
      </c>
      <c r="M1891" s="11" t="s">
        <v>145</v>
      </c>
    </row>
    <row r="1892" customFormat="false" ht="15" hidden="false" customHeight="false" outlineLevel="0" collapsed="false">
      <c r="A1892" s="11" t="s">
        <v>111</v>
      </c>
      <c r="B1892" s="11" t="s">
        <v>124</v>
      </c>
      <c r="C1892" s="11" t="n">
        <v>22</v>
      </c>
      <c r="D1892" s="11" t="s">
        <v>174</v>
      </c>
      <c r="E1892" s="11" t="s">
        <v>178</v>
      </c>
      <c r="F1892" s="11" t="s">
        <v>83</v>
      </c>
      <c r="G1892" s="12" t="n">
        <v>300</v>
      </c>
      <c r="H1892" s="12" t="n">
        <f aca="false">SUMPRODUCT(ПОТОКИ!B15:G15,ЧАСОВЫЕ_ПРОФИЛИ!B11:G11,КОЭФФИЦИЕНТЫ_ВЫБОРА!F32:K32)</f>
        <v>0</v>
      </c>
      <c r="I1892" s="12" t="n">
        <f aca="false">SUMPRODUCT(ПОТОКИ!B15:G15,ЧАСОВЫЕ_ПРОФИЛИ!B11:G11,КОЭФФИЦИЕНТЫ_ВЫБОРА!F32:K32,ПАРАМЕТРЫ!$B$17:$G$17)</f>
        <v>0</v>
      </c>
      <c r="J1892" s="12" t="n">
        <f aca="false">I1892*G1892/1000</f>
        <v>0</v>
      </c>
      <c r="K1892" s="11" t="s">
        <v>217</v>
      </c>
      <c r="L1892" s="11" t="s">
        <v>19</v>
      </c>
      <c r="M1892" s="11" t="s">
        <v>145</v>
      </c>
    </row>
    <row r="1893" customFormat="false" ht="15" hidden="false" customHeight="false" outlineLevel="0" collapsed="false">
      <c r="A1893" s="11" t="s">
        <v>111</v>
      </c>
      <c r="B1893" s="11" t="s">
        <v>124</v>
      </c>
      <c r="C1893" s="11" t="n">
        <v>23</v>
      </c>
      <c r="D1893" s="11" t="s">
        <v>86</v>
      </c>
      <c r="E1893" s="11" t="s">
        <v>179</v>
      </c>
      <c r="F1893" s="11" t="s">
        <v>85</v>
      </c>
      <c r="G1893" s="12" t="n">
        <v>150</v>
      </c>
      <c r="H1893" s="12" t="n">
        <f aca="false">SUMPRODUCT(ПОТОКИ!B15:G15,ЧАСОВЫЕ_ПРОФИЛИ!B11:G11,КОЭФФИЦИЕНТЫ_ВЫБОРА!F33:K33)</f>
        <v>0</v>
      </c>
      <c r="I1893" s="12" t="n">
        <f aca="false">SUMPRODUCT(ПОТОКИ!B15:G15,ЧАСОВЫЕ_ПРОФИЛИ!B11:G11,КОЭФФИЦИЕНТЫ_ВЫБОРА!F33:K33,ПАРАМЕТРЫ!$B$17:$G$17)</f>
        <v>0</v>
      </c>
      <c r="J1893" s="12" t="n">
        <f aca="false">I1893*G1893/1000</f>
        <v>0</v>
      </c>
      <c r="K1893" s="11" t="s">
        <v>217</v>
      </c>
      <c r="L1893" s="11" t="s">
        <v>19</v>
      </c>
      <c r="M1893" s="11" t="s">
        <v>147</v>
      </c>
    </row>
    <row r="1894" customFormat="false" ht="15" hidden="false" customHeight="false" outlineLevel="0" collapsed="false">
      <c r="A1894" s="11" t="s">
        <v>111</v>
      </c>
      <c r="B1894" s="11" t="s">
        <v>124</v>
      </c>
      <c r="C1894" s="11" t="n">
        <v>24</v>
      </c>
      <c r="D1894" s="11" t="s">
        <v>86</v>
      </c>
      <c r="E1894" s="11" t="s">
        <v>180</v>
      </c>
      <c r="F1894" s="11" t="s">
        <v>85</v>
      </c>
      <c r="G1894" s="12" t="n">
        <v>150</v>
      </c>
      <c r="H1894" s="12" t="n">
        <f aca="false">SUMPRODUCT(ПОТОКИ!B15:G15,ЧАСОВЫЕ_ПРОФИЛИ!B11:G11,КОЭФФИЦИЕНТЫ_ВЫБОРА!F34:K34)</f>
        <v>0</v>
      </c>
      <c r="I1894" s="12" t="n">
        <f aca="false">SUMPRODUCT(ПОТОКИ!B15:G15,ЧАСОВЫЕ_ПРОФИЛИ!B11:G11,КОЭФФИЦИЕНТЫ_ВЫБОРА!F34:K34,ПАРАМЕТРЫ!$B$17:$G$17)</f>
        <v>0</v>
      </c>
      <c r="J1894" s="12" t="n">
        <f aca="false">I1894*G1894/1000</f>
        <v>0</v>
      </c>
      <c r="K1894" s="11" t="s">
        <v>217</v>
      </c>
      <c r="L1894" s="11" t="s">
        <v>19</v>
      </c>
      <c r="M1894" s="11" t="s">
        <v>147</v>
      </c>
    </row>
    <row r="1895" customFormat="false" ht="15" hidden="false" customHeight="false" outlineLevel="0" collapsed="false">
      <c r="A1895" s="11" t="s">
        <v>111</v>
      </c>
      <c r="B1895" s="11" t="s">
        <v>124</v>
      </c>
      <c r="C1895" s="11" t="n">
        <v>25</v>
      </c>
      <c r="D1895" s="11" t="s">
        <v>86</v>
      </c>
      <c r="E1895" s="11" t="s">
        <v>181</v>
      </c>
      <c r="F1895" s="11" t="s">
        <v>85</v>
      </c>
      <c r="G1895" s="12" t="n">
        <v>150</v>
      </c>
      <c r="H1895" s="12" t="n">
        <f aca="false">SUMPRODUCT(ПОТОКИ!B15:G15,ЧАСОВЫЕ_ПРОФИЛИ!B11:G11,КОЭФФИЦИЕНТЫ_ВЫБОРА!F35:K35)</f>
        <v>0</v>
      </c>
      <c r="I1895" s="12" t="n">
        <f aca="false">SUMPRODUCT(ПОТОКИ!B15:G15,ЧАСОВЫЕ_ПРОФИЛИ!B11:G11,КОЭФФИЦИЕНТЫ_ВЫБОРА!F35:K35,ПАРАМЕТРЫ!$B$17:$G$17)</f>
        <v>0</v>
      </c>
      <c r="J1895" s="12" t="n">
        <f aca="false">I1895*G1895/1000</f>
        <v>0</v>
      </c>
      <c r="K1895" s="11" t="s">
        <v>217</v>
      </c>
      <c r="L1895" s="11" t="s">
        <v>19</v>
      </c>
      <c r="M1895" s="11" t="s">
        <v>147</v>
      </c>
    </row>
    <row r="1896" customFormat="false" ht="23.85" hidden="false" customHeight="false" outlineLevel="0" collapsed="false">
      <c r="A1896" s="11" t="s">
        <v>111</v>
      </c>
      <c r="B1896" s="11" t="s">
        <v>124</v>
      </c>
      <c r="C1896" s="11" t="n">
        <v>26</v>
      </c>
      <c r="D1896" s="11" t="s">
        <v>89</v>
      </c>
      <c r="E1896" s="11" t="s">
        <v>182</v>
      </c>
      <c r="F1896" s="11" t="s">
        <v>88</v>
      </c>
      <c r="G1896" s="12" t="n">
        <v>225</v>
      </c>
      <c r="H1896" s="12" t="n">
        <f aca="false">SUMPRODUCT(ПОТОКИ!B15:G15,ЧАСОВЫЕ_ПРОФИЛИ!B11:G11,КОЭФФИЦИЕНТЫ_ВЫБОРА!F36:K36)</f>
        <v>1.2375</v>
      </c>
      <c r="I1896" s="12" t="n">
        <f aca="false">SUMPRODUCT(ПОТОКИ!B15:G15,ЧАСОВЫЕ_ПРОФИЛИ!B11:G11,КОЭФФИЦИЕНТЫ_ВЫБОРА!F36:K36,ПАРАМЕТРЫ!$B$17:$G$17)</f>
        <v>1.2375</v>
      </c>
      <c r="J1896" s="12" t="n">
        <f aca="false">I1896*G1896/1000</f>
        <v>0.2784375</v>
      </c>
      <c r="K1896" s="11" t="s">
        <v>217</v>
      </c>
      <c r="L1896" s="11" t="s">
        <v>19</v>
      </c>
      <c r="M1896" s="11" t="s">
        <v>145</v>
      </c>
    </row>
    <row r="1897" customFormat="false" ht="23.85" hidden="false" customHeight="false" outlineLevel="0" collapsed="false">
      <c r="A1897" s="11" t="s">
        <v>111</v>
      </c>
      <c r="B1897" s="11" t="s">
        <v>124</v>
      </c>
      <c r="C1897" s="11" t="n">
        <v>27</v>
      </c>
      <c r="D1897" s="11" t="s">
        <v>89</v>
      </c>
      <c r="E1897" s="11" t="s">
        <v>183</v>
      </c>
      <c r="F1897" s="11" t="s">
        <v>88</v>
      </c>
      <c r="G1897" s="12" t="n">
        <v>265</v>
      </c>
      <c r="H1897" s="12" t="n">
        <f aca="false">SUMPRODUCT(ПОТОКИ!B15:G15,ЧАСОВЫЕ_ПРОФИЛИ!B11:G11,КОЭФФИЦИЕНТЫ_ВЫБОРА!F37:K37)</f>
        <v>1.2375</v>
      </c>
      <c r="I1897" s="12" t="n">
        <f aca="false">SUMPRODUCT(ПОТОКИ!B15:G15,ЧАСОВЫЕ_ПРОФИЛИ!B11:G11,КОЭФФИЦИЕНТЫ_ВЫБОРА!F37:K37,ПАРАМЕТРЫ!$B$17:$G$17)</f>
        <v>1.2375</v>
      </c>
      <c r="J1897" s="12" t="n">
        <f aca="false">I1897*G1897/1000</f>
        <v>0.3279375</v>
      </c>
      <c r="K1897" s="11" t="s">
        <v>217</v>
      </c>
      <c r="L1897" s="11" t="s">
        <v>19</v>
      </c>
      <c r="M1897" s="11" t="s">
        <v>145</v>
      </c>
    </row>
    <row r="1898" customFormat="false" ht="23.85" hidden="false" customHeight="false" outlineLevel="0" collapsed="false">
      <c r="A1898" s="11" t="s">
        <v>111</v>
      </c>
      <c r="B1898" s="11" t="s">
        <v>124</v>
      </c>
      <c r="C1898" s="11" t="n">
        <v>28</v>
      </c>
      <c r="D1898" s="11" t="s">
        <v>89</v>
      </c>
      <c r="E1898" s="11" t="s">
        <v>184</v>
      </c>
      <c r="F1898" s="11" t="s">
        <v>88</v>
      </c>
      <c r="G1898" s="12" t="n">
        <v>355</v>
      </c>
      <c r="H1898" s="12" t="n">
        <f aca="false">SUMPRODUCT(ПОТОКИ!B15:G15,ЧАСОВЫЕ_ПРОФИЛИ!B11:G11,КОЭФФИЦИЕНТЫ_ВЫБОРА!F38:K38)</f>
        <v>0.825</v>
      </c>
      <c r="I1898" s="12" t="n">
        <f aca="false">SUMPRODUCT(ПОТОКИ!B15:G15,ЧАСОВЫЕ_ПРОФИЛИ!B11:G11,КОЭФФИЦИЕНТЫ_ВЫБОРА!F38:K38,ПАРАМЕТРЫ!$B$17:$G$17)</f>
        <v>0.825</v>
      </c>
      <c r="J1898" s="12" t="n">
        <f aca="false">I1898*G1898/1000</f>
        <v>0.292875</v>
      </c>
      <c r="K1898" s="11" t="s">
        <v>217</v>
      </c>
      <c r="L1898" s="11" t="s">
        <v>19</v>
      </c>
      <c r="M1898" s="11" t="s">
        <v>145</v>
      </c>
    </row>
    <row r="1899" customFormat="false" ht="15" hidden="false" customHeight="false" outlineLevel="0" collapsed="false">
      <c r="A1899" s="11" t="s">
        <v>111</v>
      </c>
      <c r="B1899" s="11" t="s">
        <v>124</v>
      </c>
      <c r="C1899" s="11" t="n">
        <v>29</v>
      </c>
      <c r="D1899" s="11" t="s">
        <v>92</v>
      </c>
      <c r="E1899" s="11" t="s">
        <v>185</v>
      </c>
      <c r="F1899" s="11" t="s">
        <v>91</v>
      </c>
      <c r="G1899" s="12" t="n">
        <v>150</v>
      </c>
      <c r="H1899" s="12" t="n">
        <f aca="false">SUMPRODUCT(ПОТОКИ!B15:G15,ЧАСОВЫЕ_ПРОФИЛИ!B11:G11,КОЭФФИЦИЕНТЫ_ВЫБОРА!F39:K39)</f>
        <v>0.054</v>
      </c>
      <c r="I1899" s="12" t="n">
        <f aca="false">SUMPRODUCT(ПОТОКИ!B15:G15,ЧАСОВЫЕ_ПРОФИЛИ!B11:G11,КОЭФФИЦИЕНТЫ_ВЫБОРА!F39:K39,ПАРАМЕТРЫ!$B$17:$G$17)</f>
        <v>0.0594</v>
      </c>
      <c r="J1899" s="12" t="n">
        <f aca="false">I1899*G1899/1000</f>
        <v>0.00891</v>
      </c>
      <c r="K1899" s="11" t="s">
        <v>217</v>
      </c>
      <c r="L1899" s="11" t="s">
        <v>19</v>
      </c>
      <c r="M1899" s="11" t="s">
        <v>145</v>
      </c>
    </row>
    <row r="1900" customFormat="false" ht="15" hidden="false" customHeight="false" outlineLevel="0" collapsed="false">
      <c r="A1900" s="11" t="s">
        <v>111</v>
      </c>
      <c r="B1900" s="11" t="s">
        <v>124</v>
      </c>
      <c r="C1900" s="11" t="n">
        <v>30</v>
      </c>
      <c r="D1900" s="11" t="s">
        <v>92</v>
      </c>
      <c r="E1900" s="11" t="s">
        <v>186</v>
      </c>
      <c r="F1900" s="11" t="s">
        <v>91</v>
      </c>
      <c r="G1900" s="12" t="n">
        <v>120</v>
      </c>
      <c r="H1900" s="12" t="n">
        <f aca="false">SUMPRODUCT(ПОТОКИ!B15:G15,ЧАСОВЫЕ_ПРОФИЛИ!B11:G11,КОЭФФИЦИЕНТЫ_ВЫБОРА!F40:K40)</f>
        <v>0.054</v>
      </c>
      <c r="I1900" s="12" t="n">
        <f aca="false">SUMPRODUCT(ПОТОКИ!B15:G15,ЧАСОВЫЕ_ПРОФИЛИ!B11:G11,КОЭФФИЦИЕНТЫ_ВЫБОРА!F40:K40,ПАРАМЕТРЫ!$B$17:$G$17)</f>
        <v>0.0594</v>
      </c>
      <c r="J1900" s="12" t="n">
        <f aca="false">I1900*G1900/1000</f>
        <v>0.007128</v>
      </c>
      <c r="K1900" s="11" t="s">
        <v>217</v>
      </c>
      <c r="L1900" s="11" t="s">
        <v>19</v>
      </c>
      <c r="M1900" s="11" t="s">
        <v>145</v>
      </c>
    </row>
    <row r="1901" customFormat="false" ht="15" hidden="false" customHeight="false" outlineLevel="0" collapsed="false">
      <c r="A1901" s="11" t="s">
        <v>111</v>
      </c>
      <c r="B1901" s="11" t="s">
        <v>124</v>
      </c>
      <c r="C1901" s="11" t="n">
        <v>31</v>
      </c>
      <c r="D1901" s="11" t="s">
        <v>92</v>
      </c>
      <c r="E1901" s="11" t="s">
        <v>187</v>
      </c>
      <c r="F1901" s="11" t="s">
        <v>91</v>
      </c>
      <c r="G1901" s="12" t="n">
        <v>60</v>
      </c>
      <c r="H1901" s="12" t="n">
        <f aca="false">SUMPRODUCT(ПОТОКИ!B15:G15,ЧАСОВЫЕ_ПРОФИЛИ!B11:G11,КОЭФФИЦИЕНТЫ_ВЫБОРА!F41:K41)</f>
        <v>0.072</v>
      </c>
      <c r="I1901" s="12" t="n">
        <f aca="false">SUMPRODUCT(ПОТОКИ!B15:G15,ЧАСОВЫЕ_ПРОФИЛИ!B11:G11,КОЭФФИЦИЕНТЫ_ВЫБОРА!F41:K41,ПАРАМЕТРЫ!$B$17:$G$17)</f>
        <v>0.0792</v>
      </c>
      <c r="J1901" s="12" t="n">
        <f aca="false">I1901*G1901/1000</f>
        <v>0.004752</v>
      </c>
      <c r="K1901" s="11" t="s">
        <v>217</v>
      </c>
      <c r="L1901" s="11" t="s">
        <v>19</v>
      </c>
      <c r="M1901" s="11" t="s">
        <v>145</v>
      </c>
    </row>
    <row r="1902" customFormat="false" ht="15" hidden="false" customHeight="false" outlineLevel="0" collapsed="false">
      <c r="A1902" s="11" t="s">
        <v>111</v>
      </c>
      <c r="B1902" s="11" t="s">
        <v>125</v>
      </c>
      <c r="C1902" s="11" t="n">
        <v>1</v>
      </c>
      <c r="D1902" s="11" t="s">
        <v>74</v>
      </c>
      <c r="E1902" s="11" t="s">
        <v>153</v>
      </c>
      <c r="F1902" s="11" t="s">
        <v>73</v>
      </c>
      <c r="G1902" s="12" t="n">
        <v>450</v>
      </c>
      <c r="H1902" s="12" t="n">
        <f aca="false">SUMPRODUCT(ПОТОКИ!B15:G15,ЧАСОВЫЕ_ПРОФИЛИ!B12:G12,КОЭФФИЦИЕНТЫ_ВЫБОРА!F11:K11)</f>
        <v>0</v>
      </c>
      <c r="I1902" s="12" t="n">
        <f aca="false">SUMPRODUCT(ПОТОКИ!B15:G15,ЧАСОВЫЕ_ПРОФИЛИ!B12:G12,КОЭФФИЦИЕНТЫ_ВЫБОРА!F11:K11,ПАРАМЕТРЫ!$B$17:$G$17)</f>
        <v>0</v>
      </c>
      <c r="J1902" s="12" t="n">
        <f aca="false">I1902*G1902/1000</f>
        <v>0</v>
      </c>
      <c r="K1902" s="11" t="s">
        <v>217</v>
      </c>
      <c r="L1902" s="11" t="s">
        <v>19</v>
      </c>
      <c r="M1902" s="11" t="s">
        <v>145</v>
      </c>
    </row>
    <row r="1903" customFormat="false" ht="15" hidden="false" customHeight="false" outlineLevel="0" collapsed="false">
      <c r="A1903" s="11" t="s">
        <v>111</v>
      </c>
      <c r="B1903" s="11" t="s">
        <v>125</v>
      </c>
      <c r="C1903" s="11" t="n">
        <v>2</v>
      </c>
      <c r="D1903" s="11" t="s">
        <v>74</v>
      </c>
      <c r="E1903" s="11" t="s">
        <v>154</v>
      </c>
      <c r="F1903" s="11" t="s">
        <v>73</v>
      </c>
      <c r="G1903" s="12" t="n">
        <v>480</v>
      </c>
      <c r="H1903" s="12" t="n">
        <f aca="false">SUMPRODUCT(ПОТОКИ!B15:G15,ЧАСОВЫЕ_ПРОФИЛИ!B12:G12,КОЭФФИЦИЕНТЫ_ВЫБОРА!F12:K12)</f>
        <v>0</v>
      </c>
      <c r="I1903" s="12" t="n">
        <f aca="false">SUMPRODUCT(ПОТОКИ!B15:G15,ЧАСОВЫЕ_ПРОФИЛИ!B12:G12,КОЭФФИЦИЕНТЫ_ВЫБОРА!F12:K12,ПАРАМЕТРЫ!$B$17:$G$17)</f>
        <v>0</v>
      </c>
      <c r="J1903" s="12" t="n">
        <f aca="false">I1903*G1903/1000</f>
        <v>0</v>
      </c>
      <c r="K1903" s="11" t="s">
        <v>217</v>
      </c>
      <c r="L1903" s="11" t="s">
        <v>19</v>
      </c>
      <c r="M1903" s="11" t="s">
        <v>145</v>
      </c>
    </row>
    <row r="1904" customFormat="false" ht="15" hidden="false" customHeight="false" outlineLevel="0" collapsed="false">
      <c r="A1904" s="11" t="s">
        <v>111</v>
      </c>
      <c r="B1904" s="11" t="s">
        <v>125</v>
      </c>
      <c r="C1904" s="11" t="n">
        <v>3</v>
      </c>
      <c r="D1904" s="11" t="s">
        <v>74</v>
      </c>
      <c r="E1904" s="11" t="s">
        <v>155</v>
      </c>
      <c r="F1904" s="11" t="s">
        <v>73</v>
      </c>
      <c r="G1904" s="12" t="n">
        <v>500</v>
      </c>
      <c r="H1904" s="12" t="n">
        <f aca="false">SUMPRODUCT(ПОТОКИ!B15:G15,ЧАСОВЫЕ_ПРОФИЛИ!B12:G12,КОЭФФИЦИЕНТЫ_ВЫБОРА!F13:K13)</f>
        <v>0</v>
      </c>
      <c r="I1904" s="12" t="n">
        <f aca="false">SUMPRODUCT(ПОТОКИ!B15:G15,ЧАСОВЫЕ_ПРОФИЛИ!B12:G12,КОЭФФИЦИЕНТЫ_ВЫБОРА!F13:K13,ПАРАМЕТРЫ!$B$17:$G$17)</f>
        <v>0</v>
      </c>
      <c r="J1904" s="12" t="n">
        <f aca="false">I1904*G1904/1000</f>
        <v>0</v>
      </c>
      <c r="K1904" s="11" t="s">
        <v>217</v>
      </c>
      <c r="L1904" s="11" t="s">
        <v>19</v>
      </c>
      <c r="M1904" s="11" t="s">
        <v>145</v>
      </c>
    </row>
    <row r="1905" customFormat="false" ht="15" hidden="false" customHeight="false" outlineLevel="0" collapsed="false">
      <c r="A1905" s="11" t="s">
        <v>111</v>
      </c>
      <c r="B1905" s="11" t="s">
        <v>125</v>
      </c>
      <c r="C1905" s="11" t="n">
        <v>4</v>
      </c>
      <c r="D1905" s="11" t="s">
        <v>74</v>
      </c>
      <c r="E1905" s="11" t="s">
        <v>156</v>
      </c>
      <c r="F1905" s="11" t="s">
        <v>73</v>
      </c>
      <c r="G1905" s="12" t="n">
        <v>500</v>
      </c>
      <c r="H1905" s="12" t="n">
        <f aca="false">SUMPRODUCT(ПОТОКИ!B15:G15,ЧАСОВЫЕ_ПРОФИЛИ!B12:G12,КОЭФФИЦИЕНТЫ_ВЫБОРА!F14:K14)</f>
        <v>0</v>
      </c>
      <c r="I1905" s="12" t="n">
        <f aca="false">SUMPRODUCT(ПОТОКИ!B15:G15,ЧАСОВЫЕ_ПРОФИЛИ!B12:G12,КОЭФФИЦИЕНТЫ_ВЫБОРА!F14:K14,ПАРАМЕТРЫ!$B$17:$G$17)</f>
        <v>0</v>
      </c>
      <c r="J1905" s="12" t="n">
        <f aca="false">I1905*G1905/1000</f>
        <v>0</v>
      </c>
      <c r="K1905" s="11" t="s">
        <v>217</v>
      </c>
      <c r="L1905" s="11" t="s">
        <v>19</v>
      </c>
      <c r="M1905" s="11" t="s">
        <v>145</v>
      </c>
    </row>
    <row r="1906" customFormat="false" ht="15" hidden="false" customHeight="false" outlineLevel="0" collapsed="false">
      <c r="A1906" s="11" t="s">
        <v>111</v>
      </c>
      <c r="B1906" s="11" t="s">
        <v>125</v>
      </c>
      <c r="C1906" s="11" t="n">
        <v>5</v>
      </c>
      <c r="D1906" s="11" t="s">
        <v>78</v>
      </c>
      <c r="E1906" s="11" t="s">
        <v>157</v>
      </c>
      <c r="F1906" s="11" t="s">
        <v>77</v>
      </c>
      <c r="G1906" s="12" t="n">
        <v>100</v>
      </c>
      <c r="H1906" s="12" t="n">
        <f aca="false">SUMPRODUCT(ПОТОКИ!B15:G15,ЧАСОВЫЕ_ПРОФИЛИ!B12:G12,КОЭФФИЦИЕНТЫ_ВЫБОРА!F15:K15)</f>
        <v>0.18</v>
      </c>
      <c r="I1906" s="12" t="n">
        <f aca="false">SUMPRODUCT(ПОТОКИ!B15:G15,ЧАСОВЫЕ_ПРОФИЛИ!B12:G12,КОЭФФИЦИЕНТЫ_ВЫБОРА!F15:K15,ПАРАМЕТРЫ!$B$17:$G$17)</f>
        <v>0.198</v>
      </c>
      <c r="J1906" s="12" t="n">
        <f aca="false">I1906*G1906/1000</f>
        <v>0.0198</v>
      </c>
      <c r="K1906" s="11" t="s">
        <v>217</v>
      </c>
      <c r="L1906" s="11" t="s">
        <v>19</v>
      </c>
      <c r="M1906" s="11" t="s">
        <v>147</v>
      </c>
    </row>
    <row r="1907" customFormat="false" ht="15" hidden="false" customHeight="false" outlineLevel="0" collapsed="false">
      <c r="A1907" s="11" t="s">
        <v>111</v>
      </c>
      <c r="B1907" s="11" t="s">
        <v>125</v>
      </c>
      <c r="C1907" s="11" t="n">
        <v>6</v>
      </c>
      <c r="D1907" s="11" t="s">
        <v>78</v>
      </c>
      <c r="E1907" s="11" t="s">
        <v>158</v>
      </c>
      <c r="F1907" s="11" t="s">
        <v>77</v>
      </c>
      <c r="G1907" s="12" t="n">
        <v>100</v>
      </c>
      <c r="H1907" s="12" t="n">
        <f aca="false">SUMPRODUCT(ПОТОКИ!B15:G15,ЧАСОВЫЕ_ПРОФИЛИ!B12:G12,КОЭФФИЦИЕНТЫ_ВЫБОРА!F16:K16)</f>
        <v>0.18</v>
      </c>
      <c r="I1907" s="12" t="n">
        <f aca="false">SUMPRODUCT(ПОТОКИ!B15:G15,ЧАСОВЫЕ_ПРОФИЛИ!B12:G12,КОЭФФИЦИЕНТЫ_ВЫБОРА!F16:K16,ПАРАМЕТРЫ!$B$17:$G$17)</f>
        <v>0.198</v>
      </c>
      <c r="J1907" s="12" t="n">
        <f aca="false">I1907*G1907/1000</f>
        <v>0.0198</v>
      </c>
      <c r="K1907" s="11" t="s">
        <v>217</v>
      </c>
      <c r="L1907" s="11" t="s">
        <v>19</v>
      </c>
      <c r="M1907" s="11" t="s">
        <v>147</v>
      </c>
    </row>
    <row r="1908" customFormat="false" ht="15" hidden="false" customHeight="false" outlineLevel="0" collapsed="false">
      <c r="A1908" s="11" t="s">
        <v>111</v>
      </c>
      <c r="B1908" s="11" t="s">
        <v>125</v>
      </c>
      <c r="C1908" s="11" t="n">
        <v>7</v>
      </c>
      <c r="D1908" s="11" t="s">
        <v>78</v>
      </c>
      <c r="E1908" s="11" t="s">
        <v>159</v>
      </c>
      <c r="F1908" s="11" t="s">
        <v>77</v>
      </c>
      <c r="G1908" s="12" t="n">
        <v>350</v>
      </c>
      <c r="H1908" s="12" t="n">
        <f aca="false">SUMPRODUCT(ПОТОКИ!B15:G15,ЧАСОВЫЕ_ПРОФИЛИ!B12:G12,КОЭФФИЦИЕНТЫ_ВЫБОРА!F17:K17)</f>
        <v>0.15</v>
      </c>
      <c r="I1908" s="12" t="n">
        <f aca="false">SUMPRODUCT(ПОТОКИ!B15:G15,ЧАСОВЫЕ_ПРОФИЛИ!B12:G12,КОЭФФИЦИЕНТЫ_ВЫБОРА!F17:K17,ПАРАМЕТРЫ!$B$17:$G$17)</f>
        <v>0.165</v>
      </c>
      <c r="J1908" s="12" t="n">
        <f aca="false">I1908*G1908/1000</f>
        <v>0.05775</v>
      </c>
      <c r="K1908" s="11" t="s">
        <v>217</v>
      </c>
      <c r="L1908" s="11" t="s">
        <v>19</v>
      </c>
      <c r="M1908" s="11" t="s">
        <v>147</v>
      </c>
    </row>
    <row r="1909" customFormat="false" ht="15" hidden="false" customHeight="false" outlineLevel="0" collapsed="false">
      <c r="A1909" s="11" t="s">
        <v>111</v>
      </c>
      <c r="B1909" s="11" t="s">
        <v>125</v>
      </c>
      <c r="C1909" s="11" t="n">
        <v>8</v>
      </c>
      <c r="D1909" s="11" t="s">
        <v>78</v>
      </c>
      <c r="E1909" s="11" t="s">
        <v>160</v>
      </c>
      <c r="F1909" s="11" t="s">
        <v>77</v>
      </c>
      <c r="G1909" s="12" t="n">
        <v>85</v>
      </c>
      <c r="H1909" s="12" t="n">
        <f aca="false">SUMPRODUCT(ПОТОКИ!B15:G15,ЧАСОВЫЕ_ПРОФИЛИ!B12:G12,КОЭФФИЦИЕНТЫ_ВЫБОРА!F18:K18)</f>
        <v>0.09</v>
      </c>
      <c r="I1909" s="12" t="n">
        <f aca="false">SUMPRODUCT(ПОТОКИ!B15:G15,ЧАСОВЫЕ_ПРОФИЛИ!B12:G12,КОЭФФИЦИЕНТЫ_ВЫБОРА!F18:K18,ПАРАМЕТРЫ!$B$17:$G$17)</f>
        <v>0.099</v>
      </c>
      <c r="J1909" s="12" t="n">
        <f aca="false">I1909*G1909/1000</f>
        <v>0.008415</v>
      </c>
      <c r="K1909" s="11" t="s">
        <v>217</v>
      </c>
      <c r="L1909" s="11" t="s">
        <v>19</v>
      </c>
      <c r="M1909" s="11" t="s">
        <v>147</v>
      </c>
    </row>
    <row r="1910" customFormat="false" ht="15" hidden="false" customHeight="false" outlineLevel="0" collapsed="false">
      <c r="A1910" s="11" t="s">
        <v>111</v>
      </c>
      <c r="B1910" s="11" t="s">
        <v>125</v>
      </c>
      <c r="C1910" s="11" t="n">
        <v>9</v>
      </c>
      <c r="D1910" s="11" t="s">
        <v>161</v>
      </c>
      <c r="E1910" s="11" t="s">
        <v>162</v>
      </c>
      <c r="F1910" s="11" t="s">
        <v>80</v>
      </c>
      <c r="G1910" s="12" t="n">
        <v>300</v>
      </c>
      <c r="H1910" s="12" t="n">
        <f aca="false">SUMPRODUCT(ПОТОКИ!B15:G15,ЧАСОВЫЕ_ПРОФИЛИ!B12:G12,КОЭФФИЦИЕНТЫ_ВЫБОРА!F19:K19)</f>
        <v>0</v>
      </c>
      <c r="I1910" s="12" t="n">
        <f aca="false">SUMPRODUCT(ПОТОКИ!B15:G15,ЧАСОВЫЕ_ПРОФИЛИ!B12:G12,КОЭФФИЦИЕНТЫ_ВЫБОРА!F19:K19,ПАРАМЕТРЫ!$B$17:$G$17)</f>
        <v>0</v>
      </c>
      <c r="J1910" s="12" t="n">
        <f aca="false">I1910*G1910/1000</f>
        <v>0</v>
      </c>
      <c r="K1910" s="11" t="s">
        <v>217</v>
      </c>
      <c r="L1910" s="11" t="s">
        <v>19</v>
      </c>
      <c r="M1910" s="11" t="s">
        <v>145</v>
      </c>
    </row>
    <row r="1911" customFormat="false" ht="15" hidden="false" customHeight="false" outlineLevel="0" collapsed="false">
      <c r="A1911" s="11" t="s">
        <v>111</v>
      </c>
      <c r="B1911" s="11" t="s">
        <v>125</v>
      </c>
      <c r="C1911" s="11" t="n">
        <v>10</v>
      </c>
      <c r="D1911" s="11" t="s">
        <v>161</v>
      </c>
      <c r="E1911" s="11" t="s">
        <v>163</v>
      </c>
      <c r="F1911" s="11" t="s">
        <v>80</v>
      </c>
      <c r="G1911" s="12" t="n">
        <v>280</v>
      </c>
      <c r="H1911" s="12" t="n">
        <f aca="false">SUMPRODUCT(ПОТОКИ!B15:G15,ЧАСОВЫЕ_ПРОФИЛИ!B12:G12,КОЭФФИЦИЕНТЫ_ВЫБОРА!F20:K20)</f>
        <v>0</v>
      </c>
      <c r="I1911" s="12" t="n">
        <f aca="false">SUMPRODUCT(ПОТОКИ!B15:G15,ЧАСОВЫЕ_ПРОФИЛИ!B12:G12,КОЭФФИЦИЕНТЫ_ВЫБОРА!F20:K20,ПАРАМЕТРЫ!$B$17:$G$17)</f>
        <v>0</v>
      </c>
      <c r="J1911" s="12" t="n">
        <f aca="false">I1911*G1911/1000</f>
        <v>0</v>
      </c>
      <c r="K1911" s="11" t="s">
        <v>217</v>
      </c>
      <c r="L1911" s="11" t="s">
        <v>19</v>
      </c>
      <c r="M1911" s="11" t="s">
        <v>145</v>
      </c>
    </row>
    <row r="1912" customFormat="false" ht="15" hidden="false" customHeight="false" outlineLevel="0" collapsed="false">
      <c r="A1912" s="11" t="s">
        <v>111</v>
      </c>
      <c r="B1912" s="11" t="s">
        <v>125</v>
      </c>
      <c r="C1912" s="11" t="n">
        <v>11</v>
      </c>
      <c r="D1912" s="11" t="s">
        <v>161</v>
      </c>
      <c r="E1912" s="11" t="s">
        <v>164</v>
      </c>
      <c r="F1912" s="11" t="s">
        <v>80</v>
      </c>
      <c r="G1912" s="12" t="n">
        <v>270</v>
      </c>
      <c r="H1912" s="12" t="n">
        <f aca="false">SUMPRODUCT(ПОТОКИ!B15:G15,ЧАСОВЫЕ_ПРОФИЛИ!B12:G12,КОЭФФИЦИЕНТЫ_ВЫБОРА!F21:K21)</f>
        <v>0</v>
      </c>
      <c r="I1912" s="12" t="n">
        <f aca="false">SUMPRODUCT(ПОТОКИ!B15:G15,ЧАСОВЫЕ_ПРОФИЛИ!B12:G12,КОЭФФИЦИЕНТЫ_ВЫБОРА!F21:K21,ПАРАМЕТРЫ!$B$17:$G$17)</f>
        <v>0</v>
      </c>
      <c r="J1912" s="12" t="n">
        <f aca="false">I1912*G1912/1000</f>
        <v>0</v>
      </c>
      <c r="K1912" s="11" t="s">
        <v>217</v>
      </c>
      <c r="L1912" s="11" t="s">
        <v>19</v>
      </c>
      <c r="M1912" s="11" t="s">
        <v>145</v>
      </c>
    </row>
    <row r="1913" customFormat="false" ht="15" hidden="false" customHeight="false" outlineLevel="0" collapsed="false">
      <c r="A1913" s="11" t="s">
        <v>111</v>
      </c>
      <c r="B1913" s="11" t="s">
        <v>125</v>
      </c>
      <c r="C1913" s="11" t="n">
        <v>12</v>
      </c>
      <c r="D1913" s="11" t="s">
        <v>161</v>
      </c>
      <c r="E1913" s="11" t="s">
        <v>165</v>
      </c>
      <c r="F1913" s="11" t="s">
        <v>80</v>
      </c>
      <c r="G1913" s="12" t="n">
        <v>240</v>
      </c>
      <c r="H1913" s="12" t="n">
        <f aca="false">SUMPRODUCT(ПОТОКИ!B15:G15,ЧАСОВЫЕ_ПРОФИЛИ!B12:G12,КОЭФФИЦИЕНТЫ_ВЫБОРА!F22:K22)</f>
        <v>0</v>
      </c>
      <c r="I1913" s="12" t="n">
        <f aca="false">SUMPRODUCT(ПОТОКИ!B15:G15,ЧАСОВЫЕ_ПРОФИЛИ!B12:G12,КОЭФФИЦИЕНТЫ_ВЫБОРА!F22:K22,ПАРАМЕТРЫ!$B$17:$G$17)</f>
        <v>0</v>
      </c>
      <c r="J1913" s="12" t="n">
        <f aca="false">I1913*G1913/1000</f>
        <v>0</v>
      </c>
      <c r="K1913" s="11" t="s">
        <v>217</v>
      </c>
      <c r="L1913" s="11" t="s">
        <v>19</v>
      </c>
      <c r="M1913" s="11" t="s">
        <v>145</v>
      </c>
    </row>
    <row r="1914" customFormat="false" ht="15" hidden="false" customHeight="false" outlineLevel="0" collapsed="false">
      <c r="A1914" s="11" t="s">
        <v>111</v>
      </c>
      <c r="B1914" s="11" t="s">
        <v>125</v>
      </c>
      <c r="C1914" s="11" t="n">
        <v>13</v>
      </c>
      <c r="D1914" s="11" t="s">
        <v>166</v>
      </c>
      <c r="E1914" s="11" t="s">
        <v>167</v>
      </c>
      <c r="F1914" s="11" t="s">
        <v>80</v>
      </c>
      <c r="G1914" s="12" t="n">
        <v>130</v>
      </c>
      <c r="H1914" s="12" t="n">
        <f aca="false">SUMPRODUCT(ПОТОКИ!B15:G15,ЧАСОВЫЕ_ПРОФИЛИ!B12:G12,КОЭФФИЦИЕНТЫ_ВЫБОРА!F23:K23)</f>
        <v>0</v>
      </c>
      <c r="I1914" s="12" t="n">
        <f aca="false">SUMPRODUCT(ПОТОКИ!B15:G15,ЧАСОВЫЕ_ПРОФИЛИ!B12:G12,КОЭФФИЦИЕНТЫ_ВЫБОРА!F23:K23,ПАРАМЕТРЫ!$B$17:$G$17)</f>
        <v>0</v>
      </c>
      <c r="J1914" s="12" t="n">
        <f aca="false">I1914*G1914/1000</f>
        <v>0</v>
      </c>
      <c r="K1914" s="11" t="s">
        <v>217</v>
      </c>
      <c r="L1914" s="11" t="s">
        <v>19</v>
      </c>
      <c r="M1914" s="11" t="s">
        <v>145</v>
      </c>
    </row>
    <row r="1915" customFormat="false" ht="15" hidden="false" customHeight="false" outlineLevel="0" collapsed="false">
      <c r="A1915" s="11" t="s">
        <v>111</v>
      </c>
      <c r="B1915" s="11" t="s">
        <v>125</v>
      </c>
      <c r="C1915" s="11" t="n">
        <v>14</v>
      </c>
      <c r="D1915" s="11" t="s">
        <v>166</v>
      </c>
      <c r="E1915" s="11" t="s">
        <v>168</v>
      </c>
      <c r="F1915" s="11" t="s">
        <v>80</v>
      </c>
      <c r="G1915" s="12" t="n">
        <v>250</v>
      </c>
      <c r="H1915" s="12" t="n">
        <f aca="false">SUMPRODUCT(ПОТОКИ!B15:G15,ЧАСОВЫЕ_ПРОФИЛИ!B12:G12,КОЭФФИЦИЕНТЫ_ВЫБОРА!F24:K24)</f>
        <v>0</v>
      </c>
      <c r="I1915" s="12" t="n">
        <f aca="false">SUMPRODUCT(ПОТОКИ!B15:G15,ЧАСОВЫЕ_ПРОФИЛИ!B12:G12,КОЭФФИЦИЕНТЫ_ВЫБОРА!F24:K24,ПАРАМЕТРЫ!$B$17:$G$17)</f>
        <v>0</v>
      </c>
      <c r="J1915" s="12" t="n">
        <f aca="false">I1915*G1915/1000</f>
        <v>0</v>
      </c>
      <c r="K1915" s="11" t="s">
        <v>217</v>
      </c>
      <c r="L1915" s="11" t="s">
        <v>19</v>
      </c>
      <c r="M1915" s="11" t="s">
        <v>145</v>
      </c>
    </row>
    <row r="1916" customFormat="false" ht="15" hidden="false" customHeight="false" outlineLevel="0" collapsed="false">
      <c r="A1916" s="11" t="s">
        <v>111</v>
      </c>
      <c r="B1916" s="11" t="s">
        <v>125</v>
      </c>
      <c r="C1916" s="11" t="n">
        <v>15</v>
      </c>
      <c r="D1916" s="11" t="s">
        <v>166</v>
      </c>
      <c r="E1916" s="11" t="s">
        <v>169</v>
      </c>
      <c r="F1916" s="11" t="s">
        <v>80</v>
      </c>
      <c r="G1916" s="12" t="n">
        <v>120</v>
      </c>
      <c r="H1916" s="12" t="n">
        <f aca="false">SUMPRODUCT(ПОТОКИ!B15:G15,ЧАСОВЫЕ_ПРОФИЛИ!B12:G12,КОЭФФИЦИЕНТЫ_ВЫБОРА!F25:K25)</f>
        <v>0</v>
      </c>
      <c r="I1916" s="12" t="n">
        <f aca="false">SUMPRODUCT(ПОТОКИ!B15:G15,ЧАСОВЫЕ_ПРОФИЛИ!B12:G12,КОЭФФИЦИЕНТЫ_ВЫБОРА!F25:K25,ПАРАМЕТРЫ!$B$17:$G$17)</f>
        <v>0</v>
      </c>
      <c r="J1916" s="12" t="n">
        <f aca="false">I1916*G1916/1000</f>
        <v>0</v>
      </c>
      <c r="K1916" s="11" t="s">
        <v>217</v>
      </c>
      <c r="L1916" s="11" t="s">
        <v>19</v>
      </c>
      <c r="M1916" s="11" t="s">
        <v>145</v>
      </c>
    </row>
    <row r="1917" customFormat="false" ht="15" hidden="false" customHeight="false" outlineLevel="0" collapsed="false">
      <c r="A1917" s="11" t="s">
        <v>111</v>
      </c>
      <c r="B1917" s="11" t="s">
        <v>125</v>
      </c>
      <c r="C1917" s="11" t="n">
        <v>16</v>
      </c>
      <c r="D1917" s="11" t="s">
        <v>166</v>
      </c>
      <c r="E1917" s="11" t="s">
        <v>170</v>
      </c>
      <c r="F1917" s="11" t="s">
        <v>80</v>
      </c>
      <c r="G1917" s="12" t="n">
        <v>180</v>
      </c>
      <c r="H1917" s="12" t="n">
        <f aca="false">SUMPRODUCT(ПОТОКИ!B15:G15,ЧАСОВЫЕ_ПРОФИЛИ!B12:G12,КОЭФФИЦИЕНТЫ_ВЫБОРА!F26:K26)</f>
        <v>0</v>
      </c>
      <c r="I1917" s="12" t="n">
        <f aca="false">SUMPRODUCT(ПОТОКИ!B15:G15,ЧАСОВЫЕ_ПРОФИЛИ!B12:G12,КОЭФФИЦИЕНТЫ_ВЫБОРА!F26:K26,ПАРАМЕТРЫ!$B$17:$G$17)</f>
        <v>0</v>
      </c>
      <c r="J1917" s="12" t="n">
        <f aca="false">I1917*G1917/1000</f>
        <v>0</v>
      </c>
      <c r="K1917" s="11" t="s">
        <v>217</v>
      </c>
      <c r="L1917" s="11" t="s">
        <v>19</v>
      </c>
      <c r="M1917" s="11" t="s">
        <v>145</v>
      </c>
    </row>
    <row r="1918" customFormat="false" ht="15" hidden="false" customHeight="false" outlineLevel="0" collapsed="false">
      <c r="A1918" s="11" t="s">
        <v>111</v>
      </c>
      <c r="B1918" s="11" t="s">
        <v>125</v>
      </c>
      <c r="C1918" s="11" t="n">
        <v>17</v>
      </c>
      <c r="D1918" s="11" t="s">
        <v>166</v>
      </c>
      <c r="E1918" s="11" t="s">
        <v>171</v>
      </c>
      <c r="F1918" s="11" t="s">
        <v>80</v>
      </c>
      <c r="G1918" s="12" t="n">
        <v>180</v>
      </c>
      <c r="H1918" s="12" t="n">
        <f aca="false">SUMPRODUCT(ПОТОКИ!B15:G15,ЧАСОВЫЕ_ПРОФИЛИ!B12:G12,КОЭФФИЦИЕНТЫ_ВЫБОРА!F27:K27)</f>
        <v>0</v>
      </c>
      <c r="I1918" s="12" t="n">
        <f aca="false">SUMPRODUCT(ПОТОКИ!B15:G15,ЧАСОВЫЕ_ПРОФИЛИ!B12:G12,КОЭФФИЦИЕНТЫ_ВЫБОРА!F27:K27,ПАРАМЕТРЫ!$B$17:$G$17)</f>
        <v>0</v>
      </c>
      <c r="J1918" s="12" t="n">
        <f aca="false">I1918*G1918/1000</f>
        <v>0</v>
      </c>
      <c r="K1918" s="11" t="s">
        <v>217</v>
      </c>
      <c r="L1918" s="11" t="s">
        <v>19</v>
      </c>
      <c r="M1918" s="11" t="s">
        <v>145</v>
      </c>
    </row>
    <row r="1919" customFormat="false" ht="15" hidden="false" customHeight="false" outlineLevel="0" collapsed="false">
      <c r="A1919" s="11" t="s">
        <v>111</v>
      </c>
      <c r="B1919" s="11" t="s">
        <v>125</v>
      </c>
      <c r="C1919" s="11" t="n">
        <v>18</v>
      </c>
      <c r="D1919" s="11" t="s">
        <v>172</v>
      </c>
      <c r="E1919" s="11" t="s">
        <v>173</v>
      </c>
      <c r="F1919" s="11" t="s">
        <v>83</v>
      </c>
      <c r="G1919" s="12" t="n">
        <v>400</v>
      </c>
      <c r="H1919" s="12" t="n">
        <f aca="false">SUMPRODUCT(ПОТОКИ!B15:G15,ЧАСОВЫЕ_ПРОФИЛИ!B12:G12,КОЭФФИЦИЕНТЫ_ВЫБОРА!F28:K28)</f>
        <v>0</v>
      </c>
      <c r="I1919" s="12" t="n">
        <f aca="false">SUMPRODUCT(ПОТОКИ!B15:G15,ЧАСОВЫЕ_ПРОФИЛИ!B12:G12,КОЭФФИЦИЕНТЫ_ВЫБОРА!F28:K28,ПАРАМЕТРЫ!$B$17:$G$17)</f>
        <v>0</v>
      </c>
      <c r="J1919" s="12" t="n">
        <f aca="false">I1919*G1919/1000</f>
        <v>0</v>
      </c>
      <c r="K1919" s="11" t="s">
        <v>217</v>
      </c>
      <c r="L1919" s="11" t="s">
        <v>19</v>
      </c>
      <c r="M1919" s="11" t="s">
        <v>145</v>
      </c>
    </row>
    <row r="1920" customFormat="false" ht="23.85" hidden="false" customHeight="false" outlineLevel="0" collapsed="false">
      <c r="A1920" s="11" t="s">
        <v>111</v>
      </c>
      <c r="B1920" s="11" t="s">
        <v>125</v>
      </c>
      <c r="C1920" s="11" t="n">
        <v>19</v>
      </c>
      <c r="D1920" s="11" t="s">
        <v>174</v>
      </c>
      <c r="E1920" s="11" t="s">
        <v>175</v>
      </c>
      <c r="F1920" s="11" t="s">
        <v>83</v>
      </c>
      <c r="G1920" s="12" t="n">
        <v>300</v>
      </c>
      <c r="H1920" s="12" t="n">
        <f aca="false">SUMPRODUCT(ПОТОКИ!B15:G15,ЧАСОВЫЕ_ПРОФИЛИ!B12:G12,КОЭФФИЦИЕНТЫ_ВЫБОРА!F29:K29)</f>
        <v>0</v>
      </c>
      <c r="I1920" s="12" t="n">
        <f aca="false">SUMPRODUCT(ПОТОКИ!B15:G15,ЧАСОВЫЕ_ПРОФИЛИ!B12:G12,КОЭФФИЦИЕНТЫ_ВЫБОРА!F29:K29,ПАРАМЕТРЫ!$B$17:$G$17)</f>
        <v>0</v>
      </c>
      <c r="J1920" s="12" t="n">
        <f aca="false">I1920*G1920/1000</f>
        <v>0</v>
      </c>
      <c r="K1920" s="11" t="s">
        <v>217</v>
      </c>
      <c r="L1920" s="11" t="s">
        <v>19</v>
      </c>
      <c r="M1920" s="11" t="s">
        <v>145</v>
      </c>
    </row>
    <row r="1921" customFormat="false" ht="15" hidden="false" customHeight="false" outlineLevel="0" collapsed="false">
      <c r="A1921" s="11" t="s">
        <v>111</v>
      </c>
      <c r="B1921" s="11" t="s">
        <v>125</v>
      </c>
      <c r="C1921" s="11" t="n">
        <v>20</v>
      </c>
      <c r="D1921" s="11" t="s">
        <v>174</v>
      </c>
      <c r="E1921" s="11" t="s">
        <v>176</v>
      </c>
      <c r="F1921" s="11" t="s">
        <v>83</v>
      </c>
      <c r="G1921" s="12" t="n">
        <v>360</v>
      </c>
      <c r="H1921" s="12" t="n">
        <f aca="false">SUMPRODUCT(ПОТОКИ!B15:G15,ЧАСОВЫЕ_ПРОФИЛИ!B12:G12,КОЭФФИЦИЕНТЫ_ВЫБОРА!F30:K30)</f>
        <v>0</v>
      </c>
      <c r="I1921" s="12" t="n">
        <f aca="false">SUMPRODUCT(ПОТОКИ!B15:G15,ЧАСОВЫЕ_ПРОФИЛИ!B12:G12,КОЭФФИЦИЕНТЫ_ВЫБОРА!F30:K30,ПАРАМЕТРЫ!$B$17:$G$17)</f>
        <v>0</v>
      </c>
      <c r="J1921" s="12" t="n">
        <f aca="false">I1921*G1921/1000</f>
        <v>0</v>
      </c>
      <c r="K1921" s="11" t="s">
        <v>217</v>
      </c>
      <c r="L1921" s="11" t="s">
        <v>19</v>
      </c>
      <c r="M1921" s="11" t="s">
        <v>145</v>
      </c>
    </row>
    <row r="1922" customFormat="false" ht="15" hidden="false" customHeight="false" outlineLevel="0" collapsed="false">
      <c r="A1922" s="11" t="s">
        <v>111</v>
      </c>
      <c r="B1922" s="11" t="s">
        <v>125</v>
      </c>
      <c r="C1922" s="11" t="n">
        <v>21</v>
      </c>
      <c r="D1922" s="11" t="s">
        <v>174</v>
      </c>
      <c r="E1922" s="11" t="s">
        <v>177</v>
      </c>
      <c r="F1922" s="11" t="s">
        <v>83</v>
      </c>
      <c r="G1922" s="12" t="n">
        <v>350</v>
      </c>
      <c r="H1922" s="12" t="n">
        <f aca="false">SUMPRODUCT(ПОТОКИ!B15:G15,ЧАСОВЫЕ_ПРОФИЛИ!B12:G12,КОЭФФИЦИЕНТЫ_ВЫБОРА!F31:K31)</f>
        <v>0</v>
      </c>
      <c r="I1922" s="12" t="n">
        <f aca="false">SUMPRODUCT(ПОТОКИ!B15:G15,ЧАСОВЫЕ_ПРОФИЛИ!B12:G12,КОЭФФИЦИЕНТЫ_ВЫБОРА!F31:K31,ПАРАМЕТРЫ!$B$17:$G$17)</f>
        <v>0</v>
      </c>
      <c r="J1922" s="12" t="n">
        <f aca="false">I1922*G1922/1000</f>
        <v>0</v>
      </c>
      <c r="K1922" s="11" t="s">
        <v>217</v>
      </c>
      <c r="L1922" s="11" t="s">
        <v>19</v>
      </c>
      <c r="M1922" s="11" t="s">
        <v>145</v>
      </c>
    </row>
    <row r="1923" customFormat="false" ht="15" hidden="false" customHeight="false" outlineLevel="0" collapsed="false">
      <c r="A1923" s="11" t="s">
        <v>111</v>
      </c>
      <c r="B1923" s="11" t="s">
        <v>125</v>
      </c>
      <c r="C1923" s="11" t="n">
        <v>22</v>
      </c>
      <c r="D1923" s="11" t="s">
        <v>174</v>
      </c>
      <c r="E1923" s="11" t="s">
        <v>178</v>
      </c>
      <c r="F1923" s="11" t="s">
        <v>83</v>
      </c>
      <c r="G1923" s="12" t="n">
        <v>300</v>
      </c>
      <c r="H1923" s="12" t="n">
        <f aca="false">SUMPRODUCT(ПОТОКИ!B15:G15,ЧАСОВЫЕ_ПРОФИЛИ!B12:G12,КОЭФФИЦИЕНТЫ_ВЫБОРА!F32:K32)</f>
        <v>0</v>
      </c>
      <c r="I1923" s="12" t="n">
        <f aca="false">SUMPRODUCT(ПОТОКИ!B15:G15,ЧАСОВЫЕ_ПРОФИЛИ!B12:G12,КОЭФФИЦИЕНТЫ_ВЫБОРА!F32:K32,ПАРАМЕТРЫ!$B$17:$G$17)</f>
        <v>0</v>
      </c>
      <c r="J1923" s="12" t="n">
        <f aca="false">I1923*G1923/1000</f>
        <v>0</v>
      </c>
      <c r="K1923" s="11" t="s">
        <v>217</v>
      </c>
      <c r="L1923" s="11" t="s">
        <v>19</v>
      </c>
      <c r="M1923" s="11" t="s">
        <v>145</v>
      </c>
    </row>
    <row r="1924" customFormat="false" ht="15" hidden="false" customHeight="false" outlineLevel="0" collapsed="false">
      <c r="A1924" s="11" t="s">
        <v>111</v>
      </c>
      <c r="B1924" s="11" t="s">
        <v>125</v>
      </c>
      <c r="C1924" s="11" t="n">
        <v>23</v>
      </c>
      <c r="D1924" s="11" t="s">
        <v>86</v>
      </c>
      <c r="E1924" s="11" t="s">
        <v>179</v>
      </c>
      <c r="F1924" s="11" t="s">
        <v>85</v>
      </c>
      <c r="G1924" s="12" t="n">
        <v>150</v>
      </c>
      <c r="H1924" s="12" t="n">
        <f aca="false">SUMPRODUCT(ПОТОКИ!B15:G15,ЧАСОВЫЕ_ПРОФИЛИ!B12:G12,КОЭФФИЦИЕНТЫ_ВЫБОРА!F33:K33)</f>
        <v>0</v>
      </c>
      <c r="I1924" s="12" t="n">
        <f aca="false">SUMPRODUCT(ПОТОКИ!B15:G15,ЧАСОВЫЕ_ПРОФИЛИ!B12:G12,КОЭФФИЦИЕНТЫ_ВЫБОРА!F33:K33,ПАРАМЕТРЫ!$B$17:$G$17)</f>
        <v>0</v>
      </c>
      <c r="J1924" s="12" t="n">
        <f aca="false">I1924*G1924/1000</f>
        <v>0</v>
      </c>
      <c r="K1924" s="11" t="s">
        <v>217</v>
      </c>
      <c r="L1924" s="11" t="s">
        <v>19</v>
      </c>
      <c r="M1924" s="11" t="s">
        <v>147</v>
      </c>
    </row>
    <row r="1925" customFormat="false" ht="15" hidden="false" customHeight="false" outlineLevel="0" collapsed="false">
      <c r="A1925" s="11" t="s">
        <v>111</v>
      </c>
      <c r="B1925" s="11" t="s">
        <v>125</v>
      </c>
      <c r="C1925" s="11" t="n">
        <v>24</v>
      </c>
      <c r="D1925" s="11" t="s">
        <v>86</v>
      </c>
      <c r="E1925" s="11" t="s">
        <v>180</v>
      </c>
      <c r="F1925" s="11" t="s">
        <v>85</v>
      </c>
      <c r="G1925" s="12" t="n">
        <v>150</v>
      </c>
      <c r="H1925" s="12" t="n">
        <f aca="false">SUMPRODUCT(ПОТОКИ!B15:G15,ЧАСОВЫЕ_ПРОФИЛИ!B12:G12,КОЭФФИЦИЕНТЫ_ВЫБОРА!F34:K34)</f>
        <v>0</v>
      </c>
      <c r="I1925" s="12" t="n">
        <f aca="false">SUMPRODUCT(ПОТОКИ!B15:G15,ЧАСОВЫЕ_ПРОФИЛИ!B12:G12,КОЭФФИЦИЕНТЫ_ВЫБОРА!F34:K34,ПАРАМЕТРЫ!$B$17:$G$17)</f>
        <v>0</v>
      </c>
      <c r="J1925" s="12" t="n">
        <f aca="false">I1925*G1925/1000</f>
        <v>0</v>
      </c>
      <c r="K1925" s="11" t="s">
        <v>217</v>
      </c>
      <c r="L1925" s="11" t="s">
        <v>19</v>
      </c>
      <c r="M1925" s="11" t="s">
        <v>147</v>
      </c>
    </row>
    <row r="1926" customFormat="false" ht="15" hidden="false" customHeight="false" outlineLevel="0" collapsed="false">
      <c r="A1926" s="11" t="s">
        <v>111</v>
      </c>
      <c r="B1926" s="11" t="s">
        <v>125</v>
      </c>
      <c r="C1926" s="11" t="n">
        <v>25</v>
      </c>
      <c r="D1926" s="11" t="s">
        <v>86</v>
      </c>
      <c r="E1926" s="11" t="s">
        <v>181</v>
      </c>
      <c r="F1926" s="11" t="s">
        <v>85</v>
      </c>
      <c r="G1926" s="12" t="n">
        <v>150</v>
      </c>
      <c r="H1926" s="12" t="n">
        <f aca="false">SUMPRODUCT(ПОТОКИ!B15:G15,ЧАСОВЫЕ_ПРОФИЛИ!B12:G12,КОЭФФИЦИЕНТЫ_ВЫБОРА!F35:K35)</f>
        <v>0</v>
      </c>
      <c r="I1926" s="12" t="n">
        <f aca="false">SUMPRODUCT(ПОТОКИ!B15:G15,ЧАСОВЫЕ_ПРОФИЛИ!B12:G12,КОЭФФИЦИЕНТЫ_ВЫБОРА!F35:K35,ПАРАМЕТРЫ!$B$17:$G$17)</f>
        <v>0</v>
      </c>
      <c r="J1926" s="12" t="n">
        <f aca="false">I1926*G1926/1000</f>
        <v>0</v>
      </c>
      <c r="K1926" s="11" t="s">
        <v>217</v>
      </c>
      <c r="L1926" s="11" t="s">
        <v>19</v>
      </c>
      <c r="M1926" s="11" t="s">
        <v>147</v>
      </c>
    </row>
    <row r="1927" customFormat="false" ht="23.85" hidden="false" customHeight="false" outlineLevel="0" collapsed="false">
      <c r="A1927" s="11" t="s">
        <v>111</v>
      </c>
      <c r="B1927" s="11" t="s">
        <v>125</v>
      </c>
      <c r="C1927" s="11" t="n">
        <v>26</v>
      </c>
      <c r="D1927" s="11" t="s">
        <v>89</v>
      </c>
      <c r="E1927" s="11" t="s">
        <v>182</v>
      </c>
      <c r="F1927" s="11" t="s">
        <v>88</v>
      </c>
      <c r="G1927" s="12" t="n">
        <v>225</v>
      </c>
      <c r="H1927" s="12" t="n">
        <f aca="false">SUMPRODUCT(ПОТОКИ!B15:G15,ЧАСОВЫЕ_ПРОФИЛИ!B12:G12,КОЭФФИЦИЕНТЫ_ВЫБОРА!F36:K36)</f>
        <v>2.8875</v>
      </c>
      <c r="I1927" s="12" t="n">
        <f aca="false">SUMPRODUCT(ПОТОКИ!B15:G15,ЧАСОВЫЕ_ПРОФИЛИ!B12:G12,КОЭФФИЦИЕНТЫ_ВЫБОРА!F36:K36,ПАРАМЕТРЫ!$B$17:$G$17)</f>
        <v>2.8875</v>
      </c>
      <c r="J1927" s="12" t="n">
        <f aca="false">I1927*G1927/1000</f>
        <v>0.6496875</v>
      </c>
      <c r="K1927" s="11" t="s">
        <v>217</v>
      </c>
      <c r="L1927" s="11" t="s">
        <v>19</v>
      </c>
      <c r="M1927" s="11" t="s">
        <v>145</v>
      </c>
    </row>
    <row r="1928" customFormat="false" ht="23.85" hidden="false" customHeight="false" outlineLevel="0" collapsed="false">
      <c r="A1928" s="11" t="s">
        <v>111</v>
      </c>
      <c r="B1928" s="11" t="s">
        <v>125</v>
      </c>
      <c r="C1928" s="11" t="n">
        <v>27</v>
      </c>
      <c r="D1928" s="11" t="s">
        <v>89</v>
      </c>
      <c r="E1928" s="11" t="s">
        <v>183</v>
      </c>
      <c r="F1928" s="11" t="s">
        <v>88</v>
      </c>
      <c r="G1928" s="12" t="n">
        <v>265</v>
      </c>
      <c r="H1928" s="12" t="n">
        <f aca="false">SUMPRODUCT(ПОТОКИ!B15:G15,ЧАСОВЫЕ_ПРОФИЛИ!B12:G12,КОЭФФИЦИЕНТЫ_ВЫБОРА!F37:K37)</f>
        <v>2.8875</v>
      </c>
      <c r="I1928" s="12" t="n">
        <f aca="false">SUMPRODUCT(ПОТОКИ!B15:G15,ЧАСОВЫЕ_ПРОФИЛИ!B12:G12,КОЭФФИЦИЕНТЫ_ВЫБОРА!F37:K37,ПАРАМЕТРЫ!$B$17:$G$17)</f>
        <v>2.8875</v>
      </c>
      <c r="J1928" s="12" t="n">
        <f aca="false">I1928*G1928/1000</f>
        <v>0.7651875</v>
      </c>
      <c r="K1928" s="11" t="s">
        <v>217</v>
      </c>
      <c r="L1928" s="11" t="s">
        <v>19</v>
      </c>
      <c r="M1928" s="11" t="s">
        <v>145</v>
      </c>
    </row>
    <row r="1929" customFormat="false" ht="23.85" hidden="false" customHeight="false" outlineLevel="0" collapsed="false">
      <c r="A1929" s="11" t="s">
        <v>111</v>
      </c>
      <c r="B1929" s="11" t="s">
        <v>125</v>
      </c>
      <c r="C1929" s="11" t="n">
        <v>28</v>
      </c>
      <c r="D1929" s="11" t="s">
        <v>89</v>
      </c>
      <c r="E1929" s="11" t="s">
        <v>184</v>
      </c>
      <c r="F1929" s="11" t="s">
        <v>88</v>
      </c>
      <c r="G1929" s="12" t="n">
        <v>355</v>
      </c>
      <c r="H1929" s="12" t="n">
        <f aca="false">SUMPRODUCT(ПОТОКИ!B15:G15,ЧАСОВЫЕ_ПРОФИЛИ!B12:G12,КОЭФФИЦИЕНТЫ_ВЫБОРА!F38:K38)</f>
        <v>1.925</v>
      </c>
      <c r="I1929" s="12" t="n">
        <f aca="false">SUMPRODUCT(ПОТОКИ!B15:G15,ЧАСОВЫЕ_ПРОФИЛИ!B12:G12,КОЭФФИЦИЕНТЫ_ВЫБОРА!F38:K38,ПАРАМЕТРЫ!$B$17:$G$17)</f>
        <v>1.925</v>
      </c>
      <c r="J1929" s="12" t="n">
        <f aca="false">I1929*G1929/1000</f>
        <v>0.683375</v>
      </c>
      <c r="K1929" s="11" t="s">
        <v>217</v>
      </c>
      <c r="L1929" s="11" t="s">
        <v>19</v>
      </c>
      <c r="M1929" s="11" t="s">
        <v>145</v>
      </c>
    </row>
    <row r="1930" customFormat="false" ht="15" hidden="false" customHeight="false" outlineLevel="0" collapsed="false">
      <c r="A1930" s="11" t="s">
        <v>111</v>
      </c>
      <c r="B1930" s="11" t="s">
        <v>125</v>
      </c>
      <c r="C1930" s="11" t="n">
        <v>29</v>
      </c>
      <c r="D1930" s="11" t="s">
        <v>92</v>
      </c>
      <c r="E1930" s="11" t="s">
        <v>185</v>
      </c>
      <c r="F1930" s="11" t="s">
        <v>91</v>
      </c>
      <c r="G1930" s="12" t="n">
        <v>150</v>
      </c>
      <c r="H1930" s="12" t="n">
        <f aca="false">SUMPRODUCT(ПОТОКИ!B15:G15,ЧАСОВЫЕ_ПРОФИЛИ!B12:G12,КОЭФФИЦИЕНТЫ_ВЫБОРА!F39:K39)</f>
        <v>0.09</v>
      </c>
      <c r="I1930" s="12" t="n">
        <f aca="false">SUMPRODUCT(ПОТОКИ!B15:G15,ЧАСОВЫЕ_ПРОФИЛИ!B12:G12,КОЭФФИЦИЕНТЫ_ВЫБОРА!F39:K39,ПАРАМЕТРЫ!$B$17:$G$17)</f>
        <v>0.099</v>
      </c>
      <c r="J1930" s="12" t="n">
        <f aca="false">I1930*G1930/1000</f>
        <v>0.01485</v>
      </c>
      <c r="K1930" s="11" t="s">
        <v>217</v>
      </c>
      <c r="L1930" s="11" t="s">
        <v>19</v>
      </c>
      <c r="M1930" s="11" t="s">
        <v>145</v>
      </c>
    </row>
    <row r="1931" customFormat="false" ht="15" hidden="false" customHeight="false" outlineLevel="0" collapsed="false">
      <c r="A1931" s="11" t="s">
        <v>111</v>
      </c>
      <c r="B1931" s="11" t="s">
        <v>125</v>
      </c>
      <c r="C1931" s="11" t="n">
        <v>30</v>
      </c>
      <c r="D1931" s="11" t="s">
        <v>92</v>
      </c>
      <c r="E1931" s="11" t="s">
        <v>186</v>
      </c>
      <c r="F1931" s="11" t="s">
        <v>91</v>
      </c>
      <c r="G1931" s="12" t="n">
        <v>120</v>
      </c>
      <c r="H1931" s="12" t="n">
        <f aca="false">SUMPRODUCT(ПОТОКИ!B15:G15,ЧАСОВЫЕ_ПРОФИЛИ!B12:G12,КОЭФФИЦИЕНТЫ_ВЫБОРА!F40:K40)</f>
        <v>0.09</v>
      </c>
      <c r="I1931" s="12" t="n">
        <f aca="false">SUMPRODUCT(ПОТОКИ!B15:G15,ЧАСОВЫЕ_ПРОФИЛИ!B12:G12,КОЭФФИЦИЕНТЫ_ВЫБОРА!F40:K40,ПАРАМЕТРЫ!$B$17:$G$17)</f>
        <v>0.099</v>
      </c>
      <c r="J1931" s="12" t="n">
        <f aca="false">I1931*G1931/1000</f>
        <v>0.01188</v>
      </c>
      <c r="K1931" s="11" t="s">
        <v>217</v>
      </c>
      <c r="L1931" s="11" t="s">
        <v>19</v>
      </c>
      <c r="M1931" s="11" t="s">
        <v>145</v>
      </c>
    </row>
    <row r="1932" customFormat="false" ht="15" hidden="false" customHeight="false" outlineLevel="0" collapsed="false">
      <c r="A1932" s="11" t="s">
        <v>111</v>
      </c>
      <c r="B1932" s="11" t="s">
        <v>125</v>
      </c>
      <c r="C1932" s="11" t="n">
        <v>31</v>
      </c>
      <c r="D1932" s="11" t="s">
        <v>92</v>
      </c>
      <c r="E1932" s="11" t="s">
        <v>187</v>
      </c>
      <c r="F1932" s="11" t="s">
        <v>91</v>
      </c>
      <c r="G1932" s="12" t="n">
        <v>60</v>
      </c>
      <c r="H1932" s="12" t="n">
        <f aca="false">SUMPRODUCT(ПОТОКИ!B15:G15,ЧАСОВЫЕ_ПРОФИЛИ!B12:G12,КОЭФФИЦИЕНТЫ_ВЫБОРА!F41:K41)</f>
        <v>0.12</v>
      </c>
      <c r="I1932" s="12" t="n">
        <f aca="false">SUMPRODUCT(ПОТОКИ!B15:G15,ЧАСОВЫЕ_ПРОФИЛИ!B12:G12,КОЭФФИЦИЕНТЫ_ВЫБОРА!F41:K41,ПАРАМЕТРЫ!$B$17:$G$17)</f>
        <v>0.132</v>
      </c>
      <c r="J1932" s="12" t="n">
        <f aca="false">I1932*G1932/1000</f>
        <v>0.00792</v>
      </c>
      <c r="K1932" s="11" t="s">
        <v>217</v>
      </c>
      <c r="L1932" s="11" t="s">
        <v>19</v>
      </c>
      <c r="M1932" s="11" t="s">
        <v>145</v>
      </c>
    </row>
    <row r="1933" customFormat="false" ht="15" hidden="false" customHeight="false" outlineLevel="0" collapsed="false">
      <c r="A1933" s="11" t="s">
        <v>111</v>
      </c>
      <c r="B1933" s="11" t="s">
        <v>126</v>
      </c>
      <c r="C1933" s="11" t="n">
        <v>1</v>
      </c>
      <c r="D1933" s="11" t="s">
        <v>74</v>
      </c>
      <c r="E1933" s="11" t="s">
        <v>153</v>
      </c>
      <c r="F1933" s="11" t="s">
        <v>73</v>
      </c>
      <c r="G1933" s="12" t="n">
        <v>450</v>
      </c>
      <c r="H1933" s="12" t="n">
        <f aca="false">SUMPRODUCT(ПОТОКИ!B15:G15,ЧАСОВЫЕ_ПРОФИЛИ!B13:G13,КОЭФФИЦИЕНТЫ_ВЫБОРА!F11:K11)</f>
        <v>0</v>
      </c>
      <c r="I1933" s="12" t="n">
        <f aca="false">SUMPRODUCT(ПОТОКИ!B15:G15,ЧАСОВЫЕ_ПРОФИЛИ!B13:G13,КОЭФФИЦИЕНТЫ_ВЫБОРА!F11:K11,ПАРАМЕТРЫ!$B$17:$G$17)</f>
        <v>0</v>
      </c>
      <c r="J1933" s="12" t="n">
        <f aca="false">I1933*G1933/1000</f>
        <v>0</v>
      </c>
      <c r="K1933" s="11" t="s">
        <v>217</v>
      </c>
      <c r="L1933" s="11" t="s">
        <v>19</v>
      </c>
      <c r="M1933" s="11" t="s">
        <v>145</v>
      </c>
    </row>
    <row r="1934" customFormat="false" ht="15" hidden="false" customHeight="false" outlineLevel="0" collapsed="false">
      <c r="A1934" s="11" t="s">
        <v>111</v>
      </c>
      <c r="B1934" s="11" t="s">
        <v>126</v>
      </c>
      <c r="C1934" s="11" t="n">
        <v>2</v>
      </c>
      <c r="D1934" s="11" t="s">
        <v>74</v>
      </c>
      <c r="E1934" s="11" t="s">
        <v>154</v>
      </c>
      <c r="F1934" s="11" t="s">
        <v>73</v>
      </c>
      <c r="G1934" s="12" t="n">
        <v>480</v>
      </c>
      <c r="H1934" s="12" t="n">
        <f aca="false">SUMPRODUCT(ПОТОКИ!B15:G15,ЧАСОВЫЕ_ПРОФИЛИ!B13:G13,КОЭФФИЦИЕНТЫ_ВЫБОРА!F12:K12)</f>
        <v>0</v>
      </c>
      <c r="I1934" s="12" t="n">
        <f aca="false">SUMPRODUCT(ПОТОКИ!B15:G15,ЧАСОВЫЕ_ПРОФИЛИ!B13:G13,КОЭФФИЦИЕНТЫ_ВЫБОРА!F12:K12,ПАРАМЕТРЫ!$B$17:$G$17)</f>
        <v>0</v>
      </c>
      <c r="J1934" s="12" t="n">
        <f aca="false">I1934*G1934/1000</f>
        <v>0</v>
      </c>
      <c r="K1934" s="11" t="s">
        <v>217</v>
      </c>
      <c r="L1934" s="11" t="s">
        <v>19</v>
      </c>
      <c r="M1934" s="11" t="s">
        <v>145</v>
      </c>
    </row>
    <row r="1935" customFormat="false" ht="15" hidden="false" customHeight="false" outlineLevel="0" collapsed="false">
      <c r="A1935" s="11" t="s">
        <v>111</v>
      </c>
      <c r="B1935" s="11" t="s">
        <v>126</v>
      </c>
      <c r="C1935" s="11" t="n">
        <v>3</v>
      </c>
      <c r="D1935" s="11" t="s">
        <v>74</v>
      </c>
      <c r="E1935" s="11" t="s">
        <v>155</v>
      </c>
      <c r="F1935" s="11" t="s">
        <v>73</v>
      </c>
      <c r="G1935" s="12" t="n">
        <v>500</v>
      </c>
      <c r="H1935" s="12" t="n">
        <f aca="false">SUMPRODUCT(ПОТОКИ!B15:G15,ЧАСОВЫЕ_ПРОФИЛИ!B13:G13,КОЭФФИЦИЕНТЫ_ВЫБОРА!F13:K13)</f>
        <v>0</v>
      </c>
      <c r="I1935" s="12" t="n">
        <f aca="false">SUMPRODUCT(ПОТОКИ!B15:G15,ЧАСОВЫЕ_ПРОФИЛИ!B13:G13,КОЭФФИЦИЕНТЫ_ВЫБОРА!F13:K13,ПАРАМЕТРЫ!$B$17:$G$17)</f>
        <v>0</v>
      </c>
      <c r="J1935" s="12" t="n">
        <f aca="false">I1935*G1935/1000</f>
        <v>0</v>
      </c>
      <c r="K1935" s="11" t="s">
        <v>217</v>
      </c>
      <c r="L1935" s="11" t="s">
        <v>19</v>
      </c>
      <c r="M1935" s="11" t="s">
        <v>145</v>
      </c>
    </row>
    <row r="1936" customFormat="false" ht="15" hidden="false" customHeight="false" outlineLevel="0" collapsed="false">
      <c r="A1936" s="11" t="s">
        <v>111</v>
      </c>
      <c r="B1936" s="11" t="s">
        <v>126</v>
      </c>
      <c r="C1936" s="11" t="n">
        <v>4</v>
      </c>
      <c r="D1936" s="11" t="s">
        <v>74</v>
      </c>
      <c r="E1936" s="11" t="s">
        <v>156</v>
      </c>
      <c r="F1936" s="11" t="s">
        <v>73</v>
      </c>
      <c r="G1936" s="12" t="n">
        <v>500</v>
      </c>
      <c r="H1936" s="12" t="n">
        <f aca="false">SUMPRODUCT(ПОТОКИ!B15:G15,ЧАСОВЫЕ_ПРОФИЛИ!B13:G13,КОЭФФИЦИЕНТЫ_ВЫБОРА!F14:K14)</f>
        <v>0</v>
      </c>
      <c r="I1936" s="12" t="n">
        <f aca="false">SUMPRODUCT(ПОТОКИ!B15:G15,ЧАСОВЫЕ_ПРОФИЛИ!B13:G13,КОЭФФИЦИЕНТЫ_ВЫБОРА!F14:K14,ПАРАМЕТРЫ!$B$17:$G$17)</f>
        <v>0</v>
      </c>
      <c r="J1936" s="12" t="n">
        <f aca="false">I1936*G1936/1000</f>
        <v>0</v>
      </c>
      <c r="K1936" s="11" t="s">
        <v>217</v>
      </c>
      <c r="L1936" s="11" t="s">
        <v>19</v>
      </c>
      <c r="M1936" s="11" t="s">
        <v>145</v>
      </c>
    </row>
    <row r="1937" customFormat="false" ht="15" hidden="false" customHeight="false" outlineLevel="0" collapsed="false">
      <c r="A1937" s="11" t="s">
        <v>111</v>
      </c>
      <c r="B1937" s="11" t="s">
        <v>126</v>
      </c>
      <c r="C1937" s="11" t="n">
        <v>5</v>
      </c>
      <c r="D1937" s="11" t="s">
        <v>78</v>
      </c>
      <c r="E1937" s="11" t="s">
        <v>157</v>
      </c>
      <c r="F1937" s="11" t="s">
        <v>77</v>
      </c>
      <c r="G1937" s="12" t="n">
        <v>100</v>
      </c>
      <c r="H1937" s="12" t="n">
        <f aca="false">SUMPRODUCT(ПОТОКИ!B15:G15,ЧАСОВЫЕ_ПРОФИЛИ!B13:G13,КОЭФФИЦИЕНТЫ_ВЫБОРА!F15:K15)</f>
        <v>0.216</v>
      </c>
      <c r="I1937" s="12" t="n">
        <f aca="false">SUMPRODUCT(ПОТОКИ!B15:G15,ЧАСОВЫЕ_ПРОФИЛИ!B13:G13,КОЭФФИЦИЕНТЫ_ВЫБОРА!F15:K15,ПАРАМЕТРЫ!$B$17:$G$17)</f>
        <v>0.2376</v>
      </c>
      <c r="J1937" s="12" t="n">
        <f aca="false">I1937*G1937/1000</f>
        <v>0.02376</v>
      </c>
      <c r="K1937" s="11" t="s">
        <v>217</v>
      </c>
      <c r="L1937" s="11" t="s">
        <v>19</v>
      </c>
      <c r="M1937" s="11" t="s">
        <v>147</v>
      </c>
    </row>
    <row r="1938" customFormat="false" ht="15" hidden="false" customHeight="false" outlineLevel="0" collapsed="false">
      <c r="A1938" s="11" t="s">
        <v>111</v>
      </c>
      <c r="B1938" s="11" t="s">
        <v>126</v>
      </c>
      <c r="C1938" s="11" t="n">
        <v>6</v>
      </c>
      <c r="D1938" s="11" t="s">
        <v>78</v>
      </c>
      <c r="E1938" s="11" t="s">
        <v>158</v>
      </c>
      <c r="F1938" s="11" t="s">
        <v>77</v>
      </c>
      <c r="G1938" s="12" t="n">
        <v>100</v>
      </c>
      <c r="H1938" s="12" t="n">
        <f aca="false">SUMPRODUCT(ПОТОКИ!B15:G15,ЧАСОВЫЕ_ПРОФИЛИ!B13:G13,КОЭФФИЦИЕНТЫ_ВЫБОРА!F16:K16)</f>
        <v>0.216</v>
      </c>
      <c r="I1938" s="12" t="n">
        <f aca="false">SUMPRODUCT(ПОТОКИ!B15:G15,ЧАСОВЫЕ_ПРОФИЛИ!B13:G13,КОЭФФИЦИЕНТЫ_ВЫБОРА!F16:K16,ПАРАМЕТРЫ!$B$17:$G$17)</f>
        <v>0.2376</v>
      </c>
      <c r="J1938" s="12" t="n">
        <f aca="false">I1938*G1938/1000</f>
        <v>0.02376</v>
      </c>
      <c r="K1938" s="11" t="s">
        <v>217</v>
      </c>
      <c r="L1938" s="11" t="s">
        <v>19</v>
      </c>
      <c r="M1938" s="11" t="s">
        <v>147</v>
      </c>
    </row>
    <row r="1939" customFormat="false" ht="15" hidden="false" customHeight="false" outlineLevel="0" collapsed="false">
      <c r="A1939" s="11" t="s">
        <v>111</v>
      </c>
      <c r="B1939" s="11" t="s">
        <v>126</v>
      </c>
      <c r="C1939" s="11" t="n">
        <v>7</v>
      </c>
      <c r="D1939" s="11" t="s">
        <v>78</v>
      </c>
      <c r="E1939" s="11" t="s">
        <v>159</v>
      </c>
      <c r="F1939" s="11" t="s">
        <v>77</v>
      </c>
      <c r="G1939" s="12" t="n">
        <v>350</v>
      </c>
      <c r="H1939" s="12" t="n">
        <f aca="false">SUMPRODUCT(ПОТОКИ!B15:G15,ЧАСОВЫЕ_ПРОФИЛИ!B13:G13,КОЭФФИЦИЕНТЫ_ВЫБОРА!F17:K17)</f>
        <v>0.18</v>
      </c>
      <c r="I1939" s="12" t="n">
        <f aca="false">SUMPRODUCT(ПОТОКИ!B15:G15,ЧАСОВЫЕ_ПРОФИЛИ!B13:G13,КОЭФФИЦИЕНТЫ_ВЫБОРА!F17:K17,ПАРАМЕТРЫ!$B$17:$G$17)</f>
        <v>0.198</v>
      </c>
      <c r="J1939" s="12" t="n">
        <f aca="false">I1939*G1939/1000</f>
        <v>0.0693</v>
      </c>
      <c r="K1939" s="11" t="s">
        <v>217</v>
      </c>
      <c r="L1939" s="11" t="s">
        <v>19</v>
      </c>
      <c r="M1939" s="11" t="s">
        <v>147</v>
      </c>
    </row>
    <row r="1940" customFormat="false" ht="15" hidden="false" customHeight="false" outlineLevel="0" collapsed="false">
      <c r="A1940" s="11" t="s">
        <v>111</v>
      </c>
      <c r="B1940" s="11" t="s">
        <v>126</v>
      </c>
      <c r="C1940" s="11" t="n">
        <v>8</v>
      </c>
      <c r="D1940" s="11" t="s">
        <v>78</v>
      </c>
      <c r="E1940" s="11" t="s">
        <v>160</v>
      </c>
      <c r="F1940" s="11" t="s">
        <v>77</v>
      </c>
      <c r="G1940" s="12" t="n">
        <v>85</v>
      </c>
      <c r="H1940" s="12" t="n">
        <f aca="false">SUMPRODUCT(ПОТОКИ!B15:G15,ЧАСОВЫЕ_ПРОФИЛИ!B13:G13,КОЭФФИЦИЕНТЫ_ВЫБОРА!F18:K18)</f>
        <v>0.108</v>
      </c>
      <c r="I1940" s="12" t="n">
        <f aca="false">SUMPRODUCT(ПОТОКИ!B15:G15,ЧАСОВЫЕ_ПРОФИЛИ!B13:G13,КОЭФФИЦИЕНТЫ_ВЫБОРА!F18:K18,ПАРАМЕТРЫ!$B$17:$G$17)</f>
        <v>0.1188</v>
      </c>
      <c r="J1940" s="12" t="n">
        <f aca="false">I1940*G1940/1000</f>
        <v>0.010098</v>
      </c>
      <c r="K1940" s="11" t="s">
        <v>217</v>
      </c>
      <c r="L1940" s="11" t="s">
        <v>19</v>
      </c>
      <c r="M1940" s="11" t="s">
        <v>147</v>
      </c>
    </row>
    <row r="1941" customFormat="false" ht="15" hidden="false" customHeight="false" outlineLevel="0" collapsed="false">
      <c r="A1941" s="11" t="s">
        <v>111</v>
      </c>
      <c r="B1941" s="11" t="s">
        <v>126</v>
      </c>
      <c r="C1941" s="11" t="n">
        <v>9</v>
      </c>
      <c r="D1941" s="11" t="s">
        <v>161</v>
      </c>
      <c r="E1941" s="11" t="s">
        <v>162</v>
      </c>
      <c r="F1941" s="11" t="s">
        <v>80</v>
      </c>
      <c r="G1941" s="12" t="n">
        <v>300</v>
      </c>
      <c r="H1941" s="12" t="n">
        <f aca="false">SUMPRODUCT(ПОТОКИ!B15:G15,ЧАСОВЫЕ_ПРОФИЛИ!B13:G13,КОЭФФИЦИЕНТЫ_ВЫБОРА!F19:K19)</f>
        <v>0</v>
      </c>
      <c r="I1941" s="12" t="n">
        <f aca="false">SUMPRODUCT(ПОТОКИ!B15:G15,ЧАСОВЫЕ_ПРОФИЛИ!B13:G13,КОЭФФИЦИЕНТЫ_ВЫБОРА!F19:K19,ПАРАМЕТРЫ!$B$17:$G$17)</f>
        <v>0</v>
      </c>
      <c r="J1941" s="12" t="n">
        <f aca="false">I1941*G1941/1000</f>
        <v>0</v>
      </c>
      <c r="K1941" s="11" t="s">
        <v>217</v>
      </c>
      <c r="L1941" s="11" t="s">
        <v>19</v>
      </c>
      <c r="M1941" s="11" t="s">
        <v>145</v>
      </c>
    </row>
    <row r="1942" customFormat="false" ht="15" hidden="false" customHeight="false" outlineLevel="0" collapsed="false">
      <c r="A1942" s="11" t="s">
        <v>111</v>
      </c>
      <c r="B1942" s="11" t="s">
        <v>126</v>
      </c>
      <c r="C1942" s="11" t="n">
        <v>10</v>
      </c>
      <c r="D1942" s="11" t="s">
        <v>161</v>
      </c>
      <c r="E1942" s="11" t="s">
        <v>163</v>
      </c>
      <c r="F1942" s="11" t="s">
        <v>80</v>
      </c>
      <c r="G1942" s="12" t="n">
        <v>280</v>
      </c>
      <c r="H1942" s="12" t="n">
        <f aca="false">SUMPRODUCT(ПОТОКИ!B15:G15,ЧАСОВЫЕ_ПРОФИЛИ!B13:G13,КОЭФФИЦИЕНТЫ_ВЫБОРА!F20:K20)</f>
        <v>0</v>
      </c>
      <c r="I1942" s="12" t="n">
        <f aca="false">SUMPRODUCT(ПОТОКИ!B15:G15,ЧАСОВЫЕ_ПРОФИЛИ!B13:G13,КОЭФФИЦИЕНТЫ_ВЫБОРА!F20:K20,ПАРАМЕТРЫ!$B$17:$G$17)</f>
        <v>0</v>
      </c>
      <c r="J1942" s="12" t="n">
        <f aca="false">I1942*G1942/1000</f>
        <v>0</v>
      </c>
      <c r="K1942" s="11" t="s">
        <v>217</v>
      </c>
      <c r="L1942" s="11" t="s">
        <v>19</v>
      </c>
      <c r="M1942" s="11" t="s">
        <v>145</v>
      </c>
    </row>
    <row r="1943" customFormat="false" ht="15" hidden="false" customHeight="false" outlineLevel="0" collapsed="false">
      <c r="A1943" s="11" t="s">
        <v>111</v>
      </c>
      <c r="B1943" s="11" t="s">
        <v>126</v>
      </c>
      <c r="C1943" s="11" t="n">
        <v>11</v>
      </c>
      <c r="D1943" s="11" t="s">
        <v>161</v>
      </c>
      <c r="E1943" s="11" t="s">
        <v>164</v>
      </c>
      <c r="F1943" s="11" t="s">
        <v>80</v>
      </c>
      <c r="G1943" s="12" t="n">
        <v>270</v>
      </c>
      <c r="H1943" s="12" t="n">
        <f aca="false">SUMPRODUCT(ПОТОКИ!B15:G15,ЧАСОВЫЕ_ПРОФИЛИ!B13:G13,КОЭФФИЦИЕНТЫ_ВЫБОРА!F21:K21)</f>
        <v>0</v>
      </c>
      <c r="I1943" s="12" t="n">
        <f aca="false">SUMPRODUCT(ПОТОКИ!B15:G15,ЧАСОВЫЕ_ПРОФИЛИ!B13:G13,КОЭФФИЦИЕНТЫ_ВЫБОРА!F21:K21,ПАРАМЕТРЫ!$B$17:$G$17)</f>
        <v>0</v>
      </c>
      <c r="J1943" s="12" t="n">
        <f aca="false">I1943*G1943/1000</f>
        <v>0</v>
      </c>
      <c r="K1943" s="11" t="s">
        <v>217</v>
      </c>
      <c r="L1943" s="11" t="s">
        <v>19</v>
      </c>
      <c r="M1943" s="11" t="s">
        <v>145</v>
      </c>
    </row>
    <row r="1944" customFormat="false" ht="15" hidden="false" customHeight="false" outlineLevel="0" collapsed="false">
      <c r="A1944" s="11" t="s">
        <v>111</v>
      </c>
      <c r="B1944" s="11" t="s">
        <v>126</v>
      </c>
      <c r="C1944" s="11" t="n">
        <v>12</v>
      </c>
      <c r="D1944" s="11" t="s">
        <v>161</v>
      </c>
      <c r="E1944" s="11" t="s">
        <v>165</v>
      </c>
      <c r="F1944" s="11" t="s">
        <v>80</v>
      </c>
      <c r="G1944" s="12" t="n">
        <v>240</v>
      </c>
      <c r="H1944" s="12" t="n">
        <f aca="false">SUMPRODUCT(ПОТОКИ!B15:G15,ЧАСОВЫЕ_ПРОФИЛИ!B13:G13,КОЭФФИЦИЕНТЫ_ВЫБОРА!F22:K22)</f>
        <v>0</v>
      </c>
      <c r="I1944" s="12" t="n">
        <f aca="false">SUMPRODUCT(ПОТОКИ!B15:G15,ЧАСОВЫЕ_ПРОФИЛИ!B13:G13,КОЭФФИЦИЕНТЫ_ВЫБОРА!F22:K22,ПАРАМЕТРЫ!$B$17:$G$17)</f>
        <v>0</v>
      </c>
      <c r="J1944" s="12" t="n">
        <f aca="false">I1944*G1944/1000</f>
        <v>0</v>
      </c>
      <c r="K1944" s="11" t="s">
        <v>217</v>
      </c>
      <c r="L1944" s="11" t="s">
        <v>19</v>
      </c>
      <c r="M1944" s="11" t="s">
        <v>145</v>
      </c>
    </row>
    <row r="1945" customFormat="false" ht="15" hidden="false" customHeight="false" outlineLevel="0" collapsed="false">
      <c r="A1945" s="11" t="s">
        <v>111</v>
      </c>
      <c r="B1945" s="11" t="s">
        <v>126</v>
      </c>
      <c r="C1945" s="11" t="n">
        <v>13</v>
      </c>
      <c r="D1945" s="11" t="s">
        <v>166</v>
      </c>
      <c r="E1945" s="11" t="s">
        <v>167</v>
      </c>
      <c r="F1945" s="11" t="s">
        <v>80</v>
      </c>
      <c r="G1945" s="12" t="n">
        <v>130</v>
      </c>
      <c r="H1945" s="12" t="n">
        <f aca="false">SUMPRODUCT(ПОТОКИ!B15:G15,ЧАСОВЫЕ_ПРОФИЛИ!B13:G13,КОЭФФИЦИЕНТЫ_ВЫБОРА!F23:K23)</f>
        <v>0</v>
      </c>
      <c r="I1945" s="12" t="n">
        <f aca="false">SUMPRODUCT(ПОТОКИ!B15:G15,ЧАСОВЫЕ_ПРОФИЛИ!B13:G13,КОЭФФИЦИЕНТЫ_ВЫБОРА!F23:K23,ПАРАМЕТРЫ!$B$17:$G$17)</f>
        <v>0</v>
      </c>
      <c r="J1945" s="12" t="n">
        <f aca="false">I1945*G1945/1000</f>
        <v>0</v>
      </c>
      <c r="K1945" s="11" t="s">
        <v>217</v>
      </c>
      <c r="L1945" s="11" t="s">
        <v>19</v>
      </c>
      <c r="M1945" s="11" t="s">
        <v>145</v>
      </c>
    </row>
    <row r="1946" customFormat="false" ht="15" hidden="false" customHeight="false" outlineLevel="0" collapsed="false">
      <c r="A1946" s="11" t="s">
        <v>111</v>
      </c>
      <c r="B1946" s="11" t="s">
        <v>126</v>
      </c>
      <c r="C1946" s="11" t="n">
        <v>14</v>
      </c>
      <c r="D1946" s="11" t="s">
        <v>166</v>
      </c>
      <c r="E1946" s="11" t="s">
        <v>168</v>
      </c>
      <c r="F1946" s="11" t="s">
        <v>80</v>
      </c>
      <c r="G1946" s="12" t="n">
        <v>250</v>
      </c>
      <c r="H1946" s="12" t="n">
        <f aca="false">SUMPRODUCT(ПОТОКИ!B15:G15,ЧАСОВЫЕ_ПРОФИЛИ!B13:G13,КОЭФФИЦИЕНТЫ_ВЫБОРА!F24:K24)</f>
        <v>0</v>
      </c>
      <c r="I1946" s="12" t="n">
        <f aca="false">SUMPRODUCT(ПОТОКИ!B15:G15,ЧАСОВЫЕ_ПРОФИЛИ!B13:G13,КОЭФФИЦИЕНТЫ_ВЫБОРА!F24:K24,ПАРАМЕТРЫ!$B$17:$G$17)</f>
        <v>0</v>
      </c>
      <c r="J1946" s="12" t="n">
        <f aca="false">I1946*G1946/1000</f>
        <v>0</v>
      </c>
      <c r="K1946" s="11" t="s">
        <v>217</v>
      </c>
      <c r="L1946" s="11" t="s">
        <v>19</v>
      </c>
      <c r="M1946" s="11" t="s">
        <v>145</v>
      </c>
    </row>
    <row r="1947" customFormat="false" ht="15" hidden="false" customHeight="false" outlineLevel="0" collapsed="false">
      <c r="A1947" s="11" t="s">
        <v>111</v>
      </c>
      <c r="B1947" s="11" t="s">
        <v>126</v>
      </c>
      <c r="C1947" s="11" t="n">
        <v>15</v>
      </c>
      <c r="D1947" s="11" t="s">
        <v>166</v>
      </c>
      <c r="E1947" s="11" t="s">
        <v>169</v>
      </c>
      <c r="F1947" s="11" t="s">
        <v>80</v>
      </c>
      <c r="G1947" s="12" t="n">
        <v>120</v>
      </c>
      <c r="H1947" s="12" t="n">
        <f aca="false">SUMPRODUCT(ПОТОКИ!B15:G15,ЧАСОВЫЕ_ПРОФИЛИ!B13:G13,КОЭФФИЦИЕНТЫ_ВЫБОРА!F25:K25)</f>
        <v>0</v>
      </c>
      <c r="I1947" s="12" t="n">
        <f aca="false">SUMPRODUCT(ПОТОКИ!B15:G15,ЧАСОВЫЕ_ПРОФИЛИ!B13:G13,КОЭФФИЦИЕНТЫ_ВЫБОРА!F25:K25,ПАРАМЕТРЫ!$B$17:$G$17)</f>
        <v>0</v>
      </c>
      <c r="J1947" s="12" t="n">
        <f aca="false">I1947*G1947/1000</f>
        <v>0</v>
      </c>
      <c r="K1947" s="11" t="s">
        <v>217</v>
      </c>
      <c r="L1947" s="11" t="s">
        <v>19</v>
      </c>
      <c r="M1947" s="11" t="s">
        <v>145</v>
      </c>
    </row>
    <row r="1948" customFormat="false" ht="15" hidden="false" customHeight="false" outlineLevel="0" collapsed="false">
      <c r="A1948" s="11" t="s">
        <v>111</v>
      </c>
      <c r="B1948" s="11" t="s">
        <v>126</v>
      </c>
      <c r="C1948" s="11" t="n">
        <v>16</v>
      </c>
      <c r="D1948" s="11" t="s">
        <v>166</v>
      </c>
      <c r="E1948" s="11" t="s">
        <v>170</v>
      </c>
      <c r="F1948" s="11" t="s">
        <v>80</v>
      </c>
      <c r="G1948" s="12" t="n">
        <v>180</v>
      </c>
      <c r="H1948" s="12" t="n">
        <f aca="false">SUMPRODUCT(ПОТОКИ!B15:G15,ЧАСОВЫЕ_ПРОФИЛИ!B13:G13,КОЭФФИЦИЕНТЫ_ВЫБОРА!F26:K26)</f>
        <v>0</v>
      </c>
      <c r="I1948" s="12" t="n">
        <f aca="false">SUMPRODUCT(ПОТОКИ!B15:G15,ЧАСОВЫЕ_ПРОФИЛИ!B13:G13,КОЭФФИЦИЕНТЫ_ВЫБОРА!F26:K26,ПАРАМЕТРЫ!$B$17:$G$17)</f>
        <v>0</v>
      </c>
      <c r="J1948" s="12" t="n">
        <f aca="false">I1948*G1948/1000</f>
        <v>0</v>
      </c>
      <c r="K1948" s="11" t="s">
        <v>217</v>
      </c>
      <c r="L1948" s="11" t="s">
        <v>19</v>
      </c>
      <c r="M1948" s="11" t="s">
        <v>145</v>
      </c>
    </row>
    <row r="1949" customFormat="false" ht="15" hidden="false" customHeight="false" outlineLevel="0" collapsed="false">
      <c r="A1949" s="11" t="s">
        <v>111</v>
      </c>
      <c r="B1949" s="11" t="s">
        <v>126</v>
      </c>
      <c r="C1949" s="11" t="n">
        <v>17</v>
      </c>
      <c r="D1949" s="11" t="s">
        <v>166</v>
      </c>
      <c r="E1949" s="11" t="s">
        <v>171</v>
      </c>
      <c r="F1949" s="11" t="s">
        <v>80</v>
      </c>
      <c r="G1949" s="12" t="n">
        <v>180</v>
      </c>
      <c r="H1949" s="12" t="n">
        <f aca="false">SUMPRODUCT(ПОТОКИ!B15:G15,ЧАСОВЫЕ_ПРОФИЛИ!B13:G13,КОЭФФИЦИЕНТЫ_ВЫБОРА!F27:K27)</f>
        <v>0</v>
      </c>
      <c r="I1949" s="12" t="n">
        <f aca="false">SUMPRODUCT(ПОТОКИ!B15:G15,ЧАСОВЫЕ_ПРОФИЛИ!B13:G13,КОЭФФИЦИЕНТЫ_ВЫБОРА!F27:K27,ПАРАМЕТРЫ!$B$17:$G$17)</f>
        <v>0</v>
      </c>
      <c r="J1949" s="12" t="n">
        <f aca="false">I1949*G1949/1000</f>
        <v>0</v>
      </c>
      <c r="K1949" s="11" t="s">
        <v>217</v>
      </c>
      <c r="L1949" s="11" t="s">
        <v>19</v>
      </c>
      <c r="M1949" s="11" t="s">
        <v>145</v>
      </c>
    </row>
    <row r="1950" customFormat="false" ht="15" hidden="false" customHeight="false" outlineLevel="0" collapsed="false">
      <c r="A1950" s="11" t="s">
        <v>111</v>
      </c>
      <c r="B1950" s="11" t="s">
        <v>126</v>
      </c>
      <c r="C1950" s="11" t="n">
        <v>18</v>
      </c>
      <c r="D1950" s="11" t="s">
        <v>172</v>
      </c>
      <c r="E1950" s="11" t="s">
        <v>173</v>
      </c>
      <c r="F1950" s="11" t="s">
        <v>83</v>
      </c>
      <c r="G1950" s="12" t="n">
        <v>400</v>
      </c>
      <c r="H1950" s="12" t="n">
        <f aca="false">SUMPRODUCT(ПОТОКИ!B15:G15,ЧАСОВЫЕ_ПРОФИЛИ!B13:G13,КОЭФФИЦИЕНТЫ_ВЫБОРА!F28:K28)</f>
        <v>0</v>
      </c>
      <c r="I1950" s="12" t="n">
        <f aca="false">SUMPRODUCT(ПОТОКИ!B15:G15,ЧАСОВЫЕ_ПРОФИЛИ!B13:G13,КОЭФФИЦИЕНТЫ_ВЫБОРА!F28:K28,ПАРАМЕТРЫ!$B$17:$G$17)</f>
        <v>0</v>
      </c>
      <c r="J1950" s="12" t="n">
        <f aca="false">I1950*G1950/1000</f>
        <v>0</v>
      </c>
      <c r="K1950" s="11" t="s">
        <v>217</v>
      </c>
      <c r="L1950" s="11" t="s">
        <v>19</v>
      </c>
      <c r="M1950" s="11" t="s">
        <v>145</v>
      </c>
    </row>
    <row r="1951" customFormat="false" ht="23.85" hidden="false" customHeight="false" outlineLevel="0" collapsed="false">
      <c r="A1951" s="11" t="s">
        <v>111</v>
      </c>
      <c r="B1951" s="11" t="s">
        <v>126</v>
      </c>
      <c r="C1951" s="11" t="n">
        <v>19</v>
      </c>
      <c r="D1951" s="11" t="s">
        <v>174</v>
      </c>
      <c r="E1951" s="11" t="s">
        <v>175</v>
      </c>
      <c r="F1951" s="11" t="s">
        <v>83</v>
      </c>
      <c r="G1951" s="12" t="n">
        <v>300</v>
      </c>
      <c r="H1951" s="12" t="n">
        <f aca="false">SUMPRODUCT(ПОТОКИ!B15:G15,ЧАСОВЫЕ_ПРОФИЛИ!B13:G13,КОЭФФИЦИЕНТЫ_ВЫБОРА!F29:K29)</f>
        <v>0</v>
      </c>
      <c r="I1951" s="12" t="n">
        <f aca="false">SUMPRODUCT(ПОТОКИ!B15:G15,ЧАСОВЫЕ_ПРОФИЛИ!B13:G13,КОЭФФИЦИЕНТЫ_ВЫБОРА!F29:K29,ПАРАМЕТРЫ!$B$17:$G$17)</f>
        <v>0</v>
      </c>
      <c r="J1951" s="12" t="n">
        <f aca="false">I1951*G1951/1000</f>
        <v>0</v>
      </c>
      <c r="K1951" s="11" t="s">
        <v>217</v>
      </c>
      <c r="L1951" s="11" t="s">
        <v>19</v>
      </c>
      <c r="M1951" s="11" t="s">
        <v>145</v>
      </c>
    </row>
    <row r="1952" customFormat="false" ht="15" hidden="false" customHeight="false" outlineLevel="0" collapsed="false">
      <c r="A1952" s="11" t="s">
        <v>111</v>
      </c>
      <c r="B1952" s="11" t="s">
        <v>126</v>
      </c>
      <c r="C1952" s="11" t="n">
        <v>20</v>
      </c>
      <c r="D1952" s="11" t="s">
        <v>174</v>
      </c>
      <c r="E1952" s="11" t="s">
        <v>176</v>
      </c>
      <c r="F1952" s="11" t="s">
        <v>83</v>
      </c>
      <c r="G1952" s="12" t="n">
        <v>360</v>
      </c>
      <c r="H1952" s="12" t="n">
        <f aca="false">SUMPRODUCT(ПОТОКИ!B15:G15,ЧАСОВЫЕ_ПРОФИЛИ!B13:G13,КОЭФФИЦИЕНТЫ_ВЫБОРА!F30:K30)</f>
        <v>0</v>
      </c>
      <c r="I1952" s="12" t="n">
        <f aca="false">SUMPRODUCT(ПОТОКИ!B15:G15,ЧАСОВЫЕ_ПРОФИЛИ!B13:G13,КОЭФФИЦИЕНТЫ_ВЫБОРА!F30:K30,ПАРАМЕТРЫ!$B$17:$G$17)</f>
        <v>0</v>
      </c>
      <c r="J1952" s="12" t="n">
        <f aca="false">I1952*G1952/1000</f>
        <v>0</v>
      </c>
      <c r="K1952" s="11" t="s">
        <v>217</v>
      </c>
      <c r="L1952" s="11" t="s">
        <v>19</v>
      </c>
      <c r="M1952" s="11" t="s">
        <v>145</v>
      </c>
    </row>
    <row r="1953" customFormat="false" ht="15" hidden="false" customHeight="false" outlineLevel="0" collapsed="false">
      <c r="A1953" s="11" t="s">
        <v>111</v>
      </c>
      <c r="B1953" s="11" t="s">
        <v>126</v>
      </c>
      <c r="C1953" s="11" t="n">
        <v>21</v>
      </c>
      <c r="D1953" s="11" t="s">
        <v>174</v>
      </c>
      <c r="E1953" s="11" t="s">
        <v>177</v>
      </c>
      <c r="F1953" s="11" t="s">
        <v>83</v>
      </c>
      <c r="G1953" s="12" t="n">
        <v>350</v>
      </c>
      <c r="H1953" s="12" t="n">
        <f aca="false">SUMPRODUCT(ПОТОКИ!B15:G15,ЧАСОВЫЕ_ПРОФИЛИ!B13:G13,КОЭФФИЦИЕНТЫ_ВЫБОРА!F31:K31)</f>
        <v>0</v>
      </c>
      <c r="I1953" s="12" t="n">
        <f aca="false">SUMPRODUCT(ПОТОКИ!B15:G15,ЧАСОВЫЕ_ПРОФИЛИ!B13:G13,КОЭФФИЦИЕНТЫ_ВЫБОРА!F31:K31,ПАРАМЕТРЫ!$B$17:$G$17)</f>
        <v>0</v>
      </c>
      <c r="J1953" s="12" t="n">
        <f aca="false">I1953*G1953/1000</f>
        <v>0</v>
      </c>
      <c r="K1953" s="11" t="s">
        <v>217</v>
      </c>
      <c r="L1953" s="11" t="s">
        <v>19</v>
      </c>
      <c r="M1953" s="11" t="s">
        <v>145</v>
      </c>
    </row>
    <row r="1954" customFormat="false" ht="15" hidden="false" customHeight="false" outlineLevel="0" collapsed="false">
      <c r="A1954" s="11" t="s">
        <v>111</v>
      </c>
      <c r="B1954" s="11" t="s">
        <v>126</v>
      </c>
      <c r="C1954" s="11" t="n">
        <v>22</v>
      </c>
      <c r="D1954" s="11" t="s">
        <v>174</v>
      </c>
      <c r="E1954" s="11" t="s">
        <v>178</v>
      </c>
      <c r="F1954" s="11" t="s">
        <v>83</v>
      </c>
      <c r="G1954" s="12" t="n">
        <v>300</v>
      </c>
      <c r="H1954" s="12" t="n">
        <f aca="false">SUMPRODUCT(ПОТОКИ!B15:G15,ЧАСОВЫЕ_ПРОФИЛИ!B13:G13,КОЭФФИЦИЕНТЫ_ВЫБОРА!F32:K32)</f>
        <v>0</v>
      </c>
      <c r="I1954" s="12" t="n">
        <f aca="false">SUMPRODUCT(ПОТОКИ!B15:G15,ЧАСОВЫЕ_ПРОФИЛИ!B13:G13,КОЭФФИЦИЕНТЫ_ВЫБОРА!F32:K32,ПАРАМЕТРЫ!$B$17:$G$17)</f>
        <v>0</v>
      </c>
      <c r="J1954" s="12" t="n">
        <f aca="false">I1954*G1954/1000</f>
        <v>0</v>
      </c>
      <c r="K1954" s="11" t="s">
        <v>217</v>
      </c>
      <c r="L1954" s="11" t="s">
        <v>19</v>
      </c>
      <c r="M1954" s="11" t="s">
        <v>145</v>
      </c>
    </row>
    <row r="1955" customFormat="false" ht="15" hidden="false" customHeight="false" outlineLevel="0" collapsed="false">
      <c r="A1955" s="11" t="s">
        <v>111</v>
      </c>
      <c r="B1955" s="11" t="s">
        <v>126</v>
      </c>
      <c r="C1955" s="11" t="n">
        <v>23</v>
      </c>
      <c r="D1955" s="11" t="s">
        <v>86</v>
      </c>
      <c r="E1955" s="11" t="s">
        <v>179</v>
      </c>
      <c r="F1955" s="11" t="s">
        <v>85</v>
      </c>
      <c r="G1955" s="12" t="n">
        <v>150</v>
      </c>
      <c r="H1955" s="12" t="n">
        <f aca="false">SUMPRODUCT(ПОТОКИ!B15:G15,ЧАСОВЫЕ_ПРОФИЛИ!B13:G13,КОЭФФИЦИЕНТЫ_ВЫБОРА!F33:K33)</f>
        <v>0</v>
      </c>
      <c r="I1955" s="12" t="n">
        <f aca="false">SUMPRODUCT(ПОТОКИ!B15:G15,ЧАСОВЫЕ_ПРОФИЛИ!B13:G13,КОЭФФИЦИЕНТЫ_ВЫБОРА!F33:K33,ПАРАМЕТРЫ!$B$17:$G$17)</f>
        <v>0</v>
      </c>
      <c r="J1955" s="12" t="n">
        <f aca="false">I1955*G1955/1000</f>
        <v>0</v>
      </c>
      <c r="K1955" s="11" t="s">
        <v>217</v>
      </c>
      <c r="L1955" s="11" t="s">
        <v>19</v>
      </c>
      <c r="M1955" s="11" t="s">
        <v>147</v>
      </c>
    </row>
    <row r="1956" customFormat="false" ht="15" hidden="false" customHeight="false" outlineLevel="0" collapsed="false">
      <c r="A1956" s="11" t="s">
        <v>111</v>
      </c>
      <c r="B1956" s="11" t="s">
        <v>126</v>
      </c>
      <c r="C1956" s="11" t="n">
        <v>24</v>
      </c>
      <c r="D1956" s="11" t="s">
        <v>86</v>
      </c>
      <c r="E1956" s="11" t="s">
        <v>180</v>
      </c>
      <c r="F1956" s="11" t="s">
        <v>85</v>
      </c>
      <c r="G1956" s="12" t="n">
        <v>150</v>
      </c>
      <c r="H1956" s="12" t="n">
        <f aca="false">SUMPRODUCT(ПОТОКИ!B15:G15,ЧАСОВЫЕ_ПРОФИЛИ!B13:G13,КОЭФФИЦИЕНТЫ_ВЫБОРА!F34:K34)</f>
        <v>0</v>
      </c>
      <c r="I1956" s="12" t="n">
        <f aca="false">SUMPRODUCT(ПОТОКИ!B15:G15,ЧАСОВЫЕ_ПРОФИЛИ!B13:G13,КОЭФФИЦИЕНТЫ_ВЫБОРА!F34:K34,ПАРАМЕТРЫ!$B$17:$G$17)</f>
        <v>0</v>
      </c>
      <c r="J1956" s="12" t="n">
        <f aca="false">I1956*G1956/1000</f>
        <v>0</v>
      </c>
      <c r="K1956" s="11" t="s">
        <v>217</v>
      </c>
      <c r="L1956" s="11" t="s">
        <v>19</v>
      </c>
      <c r="M1956" s="11" t="s">
        <v>147</v>
      </c>
    </row>
    <row r="1957" customFormat="false" ht="15" hidden="false" customHeight="false" outlineLevel="0" collapsed="false">
      <c r="A1957" s="11" t="s">
        <v>111</v>
      </c>
      <c r="B1957" s="11" t="s">
        <v>126</v>
      </c>
      <c r="C1957" s="11" t="n">
        <v>25</v>
      </c>
      <c r="D1957" s="11" t="s">
        <v>86</v>
      </c>
      <c r="E1957" s="11" t="s">
        <v>181</v>
      </c>
      <c r="F1957" s="11" t="s">
        <v>85</v>
      </c>
      <c r="G1957" s="12" t="n">
        <v>150</v>
      </c>
      <c r="H1957" s="12" t="n">
        <f aca="false">SUMPRODUCT(ПОТОКИ!B15:G15,ЧАСОВЫЕ_ПРОФИЛИ!B13:G13,КОЭФФИЦИЕНТЫ_ВЫБОРА!F35:K35)</f>
        <v>0</v>
      </c>
      <c r="I1957" s="12" t="n">
        <f aca="false">SUMPRODUCT(ПОТОКИ!B15:G15,ЧАСОВЫЕ_ПРОФИЛИ!B13:G13,КОЭФФИЦИЕНТЫ_ВЫБОРА!F35:K35,ПАРАМЕТРЫ!$B$17:$G$17)</f>
        <v>0</v>
      </c>
      <c r="J1957" s="12" t="n">
        <f aca="false">I1957*G1957/1000</f>
        <v>0</v>
      </c>
      <c r="K1957" s="11" t="s">
        <v>217</v>
      </c>
      <c r="L1957" s="11" t="s">
        <v>19</v>
      </c>
      <c r="M1957" s="11" t="s">
        <v>147</v>
      </c>
    </row>
    <row r="1958" customFormat="false" ht="23.85" hidden="false" customHeight="false" outlineLevel="0" collapsed="false">
      <c r="A1958" s="11" t="s">
        <v>111</v>
      </c>
      <c r="B1958" s="11" t="s">
        <v>126</v>
      </c>
      <c r="C1958" s="11" t="n">
        <v>26</v>
      </c>
      <c r="D1958" s="11" t="s">
        <v>89</v>
      </c>
      <c r="E1958" s="11" t="s">
        <v>182</v>
      </c>
      <c r="F1958" s="11" t="s">
        <v>88</v>
      </c>
      <c r="G1958" s="12" t="n">
        <v>225</v>
      </c>
      <c r="H1958" s="12" t="n">
        <f aca="false">SUMPRODUCT(ПОТОКИ!B15:G15,ЧАСОВЫЕ_ПРОФИЛИ!B13:G13,КОЭФФИЦИЕНТЫ_ВЫБОРА!F36:K36)</f>
        <v>2.475</v>
      </c>
      <c r="I1958" s="12" t="n">
        <f aca="false">SUMPRODUCT(ПОТОКИ!B15:G15,ЧАСОВЫЕ_ПРОФИЛИ!B13:G13,КОЭФФИЦИЕНТЫ_ВЫБОРА!F36:K36,ПАРАМЕТРЫ!$B$17:$G$17)</f>
        <v>2.475</v>
      </c>
      <c r="J1958" s="12" t="n">
        <f aca="false">I1958*G1958/1000</f>
        <v>0.556875</v>
      </c>
      <c r="K1958" s="11" t="s">
        <v>217</v>
      </c>
      <c r="L1958" s="11" t="s">
        <v>19</v>
      </c>
      <c r="M1958" s="11" t="s">
        <v>145</v>
      </c>
    </row>
    <row r="1959" customFormat="false" ht="23.85" hidden="false" customHeight="false" outlineLevel="0" collapsed="false">
      <c r="A1959" s="11" t="s">
        <v>111</v>
      </c>
      <c r="B1959" s="11" t="s">
        <v>126</v>
      </c>
      <c r="C1959" s="11" t="n">
        <v>27</v>
      </c>
      <c r="D1959" s="11" t="s">
        <v>89</v>
      </c>
      <c r="E1959" s="11" t="s">
        <v>183</v>
      </c>
      <c r="F1959" s="11" t="s">
        <v>88</v>
      </c>
      <c r="G1959" s="12" t="n">
        <v>265</v>
      </c>
      <c r="H1959" s="12" t="n">
        <f aca="false">SUMPRODUCT(ПОТОКИ!B15:G15,ЧАСОВЫЕ_ПРОФИЛИ!B13:G13,КОЭФФИЦИЕНТЫ_ВЫБОРА!F37:K37)</f>
        <v>2.475</v>
      </c>
      <c r="I1959" s="12" t="n">
        <f aca="false">SUMPRODUCT(ПОТОКИ!B15:G15,ЧАСОВЫЕ_ПРОФИЛИ!B13:G13,КОЭФФИЦИЕНТЫ_ВЫБОРА!F37:K37,ПАРАМЕТРЫ!$B$17:$G$17)</f>
        <v>2.475</v>
      </c>
      <c r="J1959" s="12" t="n">
        <f aca="false">I1959*G1959/1000</f>
        <v>0.655875</v>
      </c>
      <c r="K1959" s="11" t="s">
        <v>217</v>
      </c>
      <c r="L1959" s="11" t="s">
        <v>19</v>
      </c>
      <c r="M1959" s="11" t="s">
        <v>145</v>
      </c>
    </row>
    <row r="1960" customFormat="false" ht="23.85" hidden="false" customHeight="false" outlineLevel="0" collapsed="false">
      <c r="A1960" s="11" t="s">
        <v>111</v>
      </c>
      <c r="B1960" s="11" t="s">
        <v>126</v>
      </c>
      <c r="C1960" s="11" t="n">
        <v>28</v>
      </c>
      <c r="D1960" s="11" t="s">
        <v>89</v>
      </c>
      <c r="E1960" s="11" t="s">
        <v>184</v>
      </c>
      <c r="F1960" s="11" t="s">
        <v>88</v>
      </c>
      <c r="G1960" s="12" t="n">
        <v>355</v>
      </c>
      <c r="H1960" s="12" t="n">
        <f aca="false">SUMPRODUCT(ПОТОКИ!B15:G15,ЧАСОВЫЕ_ПРОФИЛИ!B13:G13,КОЭФФИЦИЕНТЫ_ВЫБОРА!F38:K38)</f>
        <v>1.65</v>
      </c>
      <c r="I1960" s="12" t="n">
        <f aca="false">SUMPRODUCT(ПОТОКИ!B15:G15,ЧАСОВЫЕ_ПРОФИЛИ!B13:G13,КОЭФФИЦИЕНТЫ_ВЫБОРА!F38:K38,ПАРАМЕТРЫ!$B$17:$G$17)</f>
        <v>1.65</v>
      </c>
      <c r="J1960" s="12" t="n">
        <f aca="false">I1960*G1960/1000</f>
        <v>0.58575</v>
      </c>
      <c r="K1960" s="11" t="s">
        <v>217</v>
      </c>
      <c r="L1960" s="11" t="s">
        <v>19</v>
      </c>
      <c r="M1960" s="11" t="s">
        <v>145</v>
      </c>
    </row>
    <row r="1961" customFormat="false" ht="15" hidden="false" customHeight="false" outlineLevel="0" collapsed="false">
      <c r="A1961" s="11" t="s">
        <v>111</v>
      </c>
      <c r="B1961" s="11" t="s">
        <v>126</v>
      </c>
      <c r="C1961" s="11" t="n">
        <v>29</v>
      </c>
      <c r="D1961" s="11" t="s">
        <v>92</v>
      </c>
      <c r="E1961" s="11" t="s">
        <v>185</v>
      </c>
      <c r="F1961" s="11" t="s">
        <v>91</v>
      </c>
      <c r="G1961" s="12" t="n">
        <v>150</v>
      </c>
      <c r="H1961" s="12" t="n">
        <f aca="false">SUMPRODUCT(ПОТОКИ!B15:G15,ЧАСОВЫЕ_ПРОФИЛИ!B13:G13,КОЭФФИЦИЕНТЫ_ВЫБОРА!F39:K39)</f>
        <v>0.108</v>
      </c>
      <c r="I1961" s="12" t="n">
        <f aca="false">SUMPRODUCT(ПОТОКИ!B15:G15,ЧАСОВЫЕ_ПРОФИЛИ!B13:G13,КОЭФФИЦИЕНТЫ_ВЫБОРА!F39:K39,ПАРАМЕТРЫ!$B$17:$G$17)</f>
        <v>0.1188</v>
      </c>
      <c r="J1961" s="12" t="n">
        <f aca="false">I1961*G1961/1000</f>
        <v>0.01782</v>
      </c>
      <c r="K1961" s="11" t="s">
        <v>217</v>
      </c>
      <c r="L1961" s="11" t="s">
        <v>19</v>
      </c>
      <c r="M1961" s="11" t="s">
        <v>145</v>
      </c>
    </row>
    <row r="1962" customFormat="false" ht="15" hidden="false" customHeight="false" outlineLevel="0" collapsed="false">
      <c r="A1962" s="11" t="s">
        <v>111</v>
      </c>
      <c r="B1962" s="11" t="s">
        <v>126</v>
      </c>
      <c r="C1962" s="11" t="n">
        <v>30</v>
      </c>
      <c r="D1962" s="11" t="s">
        <v>92</v>
      </c>
      <c r="E1962" s="11" t="s">
        <v>186</v>
      </c>
      <c r="F1962" s="11" t="s">
        <v>91</v>
      </c>
      <c r="G1962" s="12" t="n">
        <v>120</v>
      </c>
      <c r="H1962" s="12" t="n">
        <f aca="false">SUMPRODUCT(ПОТОКИ!B15:G15,ЧАСОВЫЕ_ПРОФИЛИ!B13:G13,КОЭФФИЦИЕНТЫ_ВЫБОРА!F40:K40)</f>
        <v>0.108</v>
      </c>
      <c r="I1962" s="12" t="n">
        <f aca="false">SUMPRODUCT(ПОТОКИ!B15:G15,ЧАСОВЫЕ_ПРОФИЛИ!B13:G13,КОЭФФИЦИЕНТЫ_ВЫБОРА!F40:K40,ПАРАМЕТРЫ!$B$17:$G$17)</f>
        <v>0.1188</v>
      </c>
      <c r="J1962" s="12" t="n">
        <f aca="false">I1962*G1962/1000</f>
        <v>0.014256</v>
      </c>
      <c r="K1962" s="11" t="s">
        <v>217</v>
      </c>
      <c r="L1962" s="11" t="s">
        <v>19</v>
      </c>
      <c r="M1962" s="11" t="s">
        <v>145</v>
      </c>
    </row>
    <row r="1963" customFormat="false" ht="15" hidden="false" customHeight="false" outlineLevel="0" collapsed="false">
      <c r="A1963" s="11" t="s">
        <v>111</v>
      </c>
      <c r="B1963" s="11" t="s">
        <v>126</v>
      </c>
      <c r="C1963" s="11" t="n">
        <v>31</v>
      </c>
      <c r="D1963" s="11" t="s">
        <v>92</v>
      </c>
      <c r="E1963" s="11" t="s">
        <v>187</v>
      </c>
      <c r="F1963" s="11" t="s">
        <v>91</v>
      </c>
      <c r="G1963" s="12" t="n">
        <v>60</v>
      </c>
      <c r="H1963" s="12" t="n">
        <f aca="false">SUMPRODUCT(ПОТОКИ!B15:G15,ЧАСОВЫЕ_ПРОФИЛИ!B13:G13,КОЭФФИЦИЕНТЫ_ВЫБОРА!F41:K41)</f>
        <v>0.144</v>
      </c>
      <c r="I1963" s="12" t="n">
        <f aca="false">SUMPRODUCT(ПОТОКИ!B15:G15,ЧАСОВЫЕ_ПРОФИЛИ!B13:G13,КОЭФФИЦИЕНТЫ_ВЫБОРА!F41:K41,ПАРАМЕТРЫ!$B$17:$G$17)</f>
        <v>0.1584</v>
      </c>
      <c r="J1963" s="12" t="n">
        <f aca="false">I1963*G1963/1000</f>
        <v>0.009504</v>
      </c>
      <c r="K1963" s="11" t="s">
        <v>217</v>
      </c>
      <c r="L1963" s="11" t="s">
        <v>19</v>
      </c>
      <c r="M1963" s="11" t="s">
        <v>145</v>
      </c>
    </row>
    <row r="1964" customFormat="false" ht="15" hidden="false" customHeight="false" outlineLevel="0" collapsed="false">
      <c r="A1964" s="11" t="s">
        <v>111</v>
      </c>
      <c r="B1964" s="11" t="s">
        <v>127</v>
      </c>
      <c r="C1964" s="11" t="n">
        <v>1</v>
      </c>
      <c r="D1964" s="11" t="s">
        <v>74</v>
      </c>
      <c r="E1964" s="11" t="s">
        <v>153</v>
      </c>
      <c r="F1964" s="11" t="s">
        <v>73</v>
      </c>
      <c r="G1964" s="12" t="n">
        <v>450</v>
      </c>
      <c r="H1964" s="12" t="n">
        <f aca="false">SUMPRODUCT(ПОТОКИ!B15:G15,ЧАСОВЫЕ_ПРОФИЛИ!B14:G14,КОЭФФИЦИЕНТЫ_ВЫБОРА!F11:K11)</f>
        <v>0</v>
      </c>
      <c r="I1964" s="12" t="n">
        <f aca="false">SUMPRODUCT(ПОТОКИ!B15:G15,ЧАСОВЫЕ_ПРОФИЛИ!B14:G14,КОЭФФИЦИЕНТЫ_ВЫБОРА!F11:K11,ПАРАМЕТРЫ!$B$17:$G$17)</f>
        <v>0</v>
      </c>
      <c r="J1964" s="12" t="n">
        <f aca="false">I1964*G1964/1000</f>
        <v>0</v>
      </c>
      <c r="K1964" s="11" t="s">
        <v>217</v>
      </c>
      <c r="L1964" s="11" t="s">
        <v>19</v>
      </c>
      <c r="M1964" s="11" t="s">
        <v>145</v>
      </c>
    </row>
    <row r="1965" customFormat="false" ht="15" hidden="false" customHeight="false" outlineLevel="0" collapsed="false">
      <c r="A1965" s="11" t="s">
        <v>111</v>
      </c>
      <c r="B1965" s="11" t="s">
        <v>127</v>
      </c>
      <c r="C1965" s="11" t="n">
        <v>2</v>
      </c>
      <c r="D1965" s="11" t="s">
        <v>74</v>
      </c>
      <c r="E1965" s="11" t="s">
        <v>154</v>
      </c>
      <c r="F1965" s="11" t="s">
        <v>73</v>
      </c>
      <c r="G1965" s="12" t="n">
        <v>480</v>
      </c>
      <c r="H1965" s="12" t="n">
        <f aca="false">SUMPRODUCT(ПОТОКИ!B15:G15,ЧАСОВЫЕ_ПРОФИЛИ!B14:G14,КОЭФФИЦИЕНТЫ_ВЫБОРА!F12:K12)</f>
        <v>0</v>
      </c>
      <c r="I1965" s="12" t="n">
        <f aca="false">SUMPRODUCT(ПОТОКИ!B15:G15,ЧАСОВЫЕ_ПРОФИЛИ!B14:G14,КОЭФФИЦИЕНТЫ_ВЫБОРА!F12:K12,ПАРАМЕТРЫ!$B$17:$G$17)</f>
        <v>0</v>
      </c>
      <c r="J1965" s="12" t="n">
        <f aca="false">I1965*G1965/1000</f>
        <v>0</v>
      </c>
      <c r="K1965" s="11" t="s">
        <v>217</v>
      </c>
      <c r="L1965" s="11" t="s">
        <v>19</v>
      </c>
      <c r="M1965" s="11" t="s">
        <v>145</v>
      </c>
    </row>
    <row r="1966" customFormat="false" ht="15" hidden="false" customHeight="false" outlineLevel="0" collapsed="false">
      <c r="A1966" s="11" t="s">
        <v>111</v>
      </c>
      <c r="B1966" s="11" t="s">
        <v>127</v>
      </c>
      <c r="C1966" s="11" t="n">
        <v>3</v>
      </c>
      <c r="D1966" s="11" t="s">
        <v>74</v>
      </c>
      <c r="E1966" s="11" t="s">
        <v>155</v>
      </c>
      <c r="F1966" s="11" t="s">
        <v>73</v>
      </c>
      <c r="G1966" s="12" t="n">
        <v>500</v>
      </c>
      <c r="H1966" s="12" t="n">
        <f aca="false">SUMPRODUCT(ПОТОКИ!B15:G15,ЧАСОВЫЕ_ПРОФИЛИ!B14:G14,КОЭФФИЦИЕНТЫ_ВЫБОРА!F13:K13)</f>
        <v>0</v>
      </c>
      <c r="I1966" s="12" t="n">
        <f aca="false">SUMPRODUCT(ПОТОКИ!B15:G15,ЧАСОВЫЕ_ПРОФИЛИ!B14:G14,КОЭФФИЦИЕНТЫ_ВЫБОРА!F13:K13,ПАРАМЕТРЫ!$B$17:$G$17)</f>
        <v>0</v>
      </c>
      <c r="J1966" s="12" t="n">
        <f aca="false">I1966*G1966/1000</f>
        <v>0</v>
      </c>
      <c r="K1966" s="11" t="s">
        <v>217</v>
      </c>
      <c r="L1966" s="11" t="s">
        <v>19</v>
      </c>
      <c r="M1966" s="11" t="s">
        <v>145</v>
      </c>
    </row>
    <row r="1967" customFormat="false" ht="15" hidden="false" customHeight="false" outlineLevel="0" collapsed="false">
      <c r="A1967" s="11" t="s">
        <v>111</v>
      </c>
      <c r="B1967" s="11" t="s">
        <v>127</v>
      </c>
      <c r="C1967" s="11" t="n">
        <v>4</v>
      </c>
      <c r="D1967" s="11" t="s">
        <v>74</v>
      </c>
      <c r="E1967" s="11" t="s">
        <v>156</v>
      </c>
      <c r="F1967" s="11" t="s">
        <v>73</v>
      </c>
      <c r="G1967" s="12" t="n">
        <v>500</v>
      </c>
      <c r="H1967" s="12" t="n">
        <f aca="false">SUMPRODUCT(ПОТОКИ!B15:G15,ЧАСОВЫЕ_ПРОФИЛИ!B14:G14,КОЭФФИЦИЕНТЫ_ВЫБОРА!F14:K14)</f>
        <v>0</v>
      </c>
      <c r="I1967" s="12" t="n">
        <f aca="false">SUMPRODUCT(ПОТОКИ!B15:G15,ЧАСОВЫЕ_ПРОФИЛИ!B14:G14,КОЭФФИЦИЕНТЫ_ВЫБОРА!F14:K14,ПАРАМЕТРЫ!$B$17:$G$17)</f>
        <v>0</v>
      </c>
      <c r="J1967" s="12" t="n">
        <f aca="false">I1967*G1967/1000</f>
        <v>0</v>
      </c>
      <c r="K1967" s="11" t="s">
        <v>217</v>
      </c>
      <c r="L1967" s="11" t="s">
        <v>19</v>
      </c>
      <c r="M1967" s="11" t="s">
        <v>145</v>
      </c>
    </row>
    <row r="1968" customFormat="false" ht="15" hidden="false" customHeight="false" outlineLevel="0" collapsed="false">
      <c r="A1968" s="11" t="s">
        <v>111</v>
      </c>
      <c r="B1968" s="11" t="s">
        <v>127</v>
      </c>
      <c r="C1968" s="11" t="n">
        <v>5</v>
      </c>
      <c r="D1968" s="11" t="s">
        <v>78</v>
      </c>
      <c r="E1968" s="11" t="s">
        <v>157</v>
      </c>
      <c r="F1968" s="11" t="s">
        <v>77</v>
      </c>
      <c r="G1968" s="12" t="n">
        <v>100</v>
      </c>
      <c r="H1968" s="12" t="n">
        <f aca="false">SUMPRODUCT(ПОТОКИ!B15:G15,ЧАСОВЫЕ_ПРОФИЛИ!B14:G14,КОЭФФИЦИЕНТЫ_ВЫБОРА!F15:K15)</f>
        <v>0.216</v>
      </c>
      <c r="I1968" s="12" t="n">
        <f aca="false">SUMPRODUCT(ПОТОКИ!B15:G15,ЧАСОВЫЕ_ПРОФИЛИ!B14:G14,КОЭФФИЦИЕНТЫ_ВЫБОРА!F15:K15,ПАРАМЕТРЫ!$B$17:$G$17)</f>
        <v>0.2376</v>
      </c>
      <c r="J1968" s="12" t="n">
        <f aca="false">I1968*G1968/1000</f>
        <v>0.02376</v>
      </c>
      <c r="K1968" s="11" t="s">
        <v>217</v>
      </c>
      <c r="L1968" s="11" t="s">
        <v>19</v>
      </c>
      <c r="M1968" s="11" t="s">
        <v>147</v>
      </c>
    </row>
    <row r="1969" customFormat="false" ht="15" hidden="false" customHeight="false" outlineLevel="0" collapsed="false">
      <c r="A1969" s="11" t="s">
        <v>111</v>
      </c>
      <c r="B1969" s="11" t="s">
        <v>127</v>
      </c>
      <c r="C1969" s="11" t="n">
        <v>6</v>
      </c>
      <c r="D1969" s="11" t="s">
        <v>78</v>
      </c>
      <c r="E1969" s="11" t="s">
        <v>158</v>
      </c>
      <c r="F1969" s="11" t="s">
        <v>77</v>
      </c>
      <c r="G1969" s="12" t="n">
        <v>100</v>
      </c>
      <c r="H1969" s="12" t="n">
        <f aca="false">SUMPRODUCT(ПОТОКИ!B15:G15,ЧАСОВЫЕ_ПРОФИЛИ!B14:G14,КОЭФФИЦИЕНТЫ_ВЫБОРА!F16:K16)</f>
        <v>0.216</v>
      </c>
      <c r="I1969" s="12" t="n">
        <f aca="false">SUMPRODUCT(ПОТОКИ!B15:G15,ЧАСОВЫЕ_ПРОФИЛИ!B14:G14,КОЭФФИЦИЕНТЫ_ВЫБОРА!F16:K16,ПАРАМЕТРЫ!$B$17:$G$17)</f>
        <v>0.2376</v>
      </c>
      <c r="J1969" s="12" t="n">
        <f aca="false">I1969*G1969/1000</f>
        <v>0.02376</v>
      </c>
      <c r="K1969" s="11" t="s">
        <v>217</v>
      </c>
      <c r="L1969" s="11" t="s">
        <v>19</v>
      </c>
      <c r="M1969" s="11" t="s">
        <v>147</v>
      </c>
    </row>
    <row r="1970" customFormat="false" ht="15" hidden="false" customHeight="false" outlineLevel="0" collapsed="false">
      <c r="A1970" s="11" t="s">
        <v>111</v>
      </c>
      <c r="B1970" s="11" t="s">
        <v>127</v>
      </c>
      <c r="C1970" s="11" t="n">
        <v>7</v>
      </c>
      <c r="D1970" s="11" t="s">
        <v>78</v>
      </c>
      <c r="E1970" s="11" t="s">
        <v>159</v>
      </c>
      <c r="F1970" s="11" t="s">
        <v>77</v>
      </c>
      <c r="G1970" s="12" t="n">
        <v>350</v>
      </c>
      <c r="H1970" s="12" t="n">
        <f aca="false">SUMPRODUCT(ПОТОКИ!B15:G15,ЧАСОВЫЕ_ПРОФИЛИ!B14:G14,КОЭФФИЦИЕНТЫ_ВЫБОРА!F17:K17)</f>
        <v>0.18</v>
      </c>
      <c r="I1970" s="12" t="n">
        <f aca="false">SUMPRODUCT(ПОТОКИ!B15:G15,ЧАСОВЫЕ_ПРОФИЛИ!B14:G14,КОЭФФИЦИЕНТЫ_ВЫБОРА!F17:K17,ПАРАМЕТРЫ!$B$17:$G$17)</f>
        <v>0.198</v>
      </c>
      <c r="J1970" s="12" t="n">
        <f aca="false">I1970*G1970/1000</f>
        <v>0.0693</v>
      </c>
      <c r="K1970" s="11" t="s">
        <v>217</v>
      </c>
      <c r="L1970" s="11" t="s">
        <v>19</v>
      </c>
      <c r="M1970" s="11" t="s">
        <v>147</v>
      </c>
    </row>
    <row r="1971" customFormat="false" ht="15" hidden="false" customHeight="false" outlineLevel="0" collapsed="false">
      <c r="A1971" s="11" t="s">
        <v>111</v>
      </c>
      <c r="B1971" s="11" t="s">
        <v>127</v>
      </c>
      <c r="C1971" s="11" t="n">
        <v>8</v>
      </c>
      <c r="D1971" s="11" t="s">
        <v>78</v>
      </c>
      <c r="E1971" s="11" t="s">
        <v>160</v>
      </c>
      <c r="F1971" s="11" t="s">
        <v>77</v>
      </c>
      <c r="G1971" s="12" t="n">
        <v>85</v>
      </c>
      <c r="H1971" s="12" t="n">
        <f aca="false">SUMPRODUCT(ПОТОКИ!B15:G15,ЧАСОВЫЕ_ПРОФИЛИ!B14:G14,КОЭФФИЦИЕНТЫ_ВЫБОРА!F18:K18)</f>
        <v>0.108</v>
      </c>
      <c r="I1971" s="12" t="n">
        <f aca="false">SUMPRODUCT(ПОТОКИ!B15:G15,ЧАСОВЫЕ_ПРОФИЛИ!B14:G14,КОЭФФИЦИЕНТЫ_ВЫБОРА!F18:K18,ПАРАМЕТРЫ!$B$17:$G$17)</f>
        <v>0.1188</v>
      </c>
      <c r="J1971" s="12" t="n">
        <f aca="false">I1971*G1971/1000</f>
        <v>0.010098</v>
      </c>
      <c r="K1971" s="11" t="s">
        <v>217</v>
      </c>
      <c r="L1971" s="11" t="s">
        <v>19</v>
      </c>
      <c r="M1971" s="11" t="s">
        <v>147</v>
      </c>
    </row>
    <row r="1972" customFormat="false" ht="15" hidden="false" customHeight="false" outlineLevel="0" collapsed="false">
      <c r="A1972" s="11" t="s">
        <v>111</v>
      </c>
      <c r="B1972" s="11" t="s">
        <v>127</v>
      </c>
      <c r="C1972" s="11" t="n">
        <v>9</v>
      </c>
      <c r="D1972" s="11" t="s">
        <v>161</v>
      </c>
      <c r="E1972" s="11" t="s">
        <v>162</v>
      </c>
      <c r="F1972" s="11" t="s">
        <v>80</v>
      </c>
      <c r="G1972" s="12" t="n">
        <v>300</v>
      </c>
      <c r="H1972" s="12" t="n">
        <f aca="false">SUMPRODUCT(ПОТОКИ!B15:G15,ЧАСОВЫЕ_ПРОФИЛИ!B14:G14,КОЭФФИЦИЕНТЫ_ВЫБОРА!F19:K19)</f>
        <v>0</v>
      </c>
      <c r="I1972" s="12" t="n">
        <f aca="false">SUMPRODUCT(ПОТОКИ!B15:G15,ЧАСОВЫЕ_ПРОФИЛИ!B14:G14,КОЭФФИЦИЕНТЫ_ВЫБОРА!F19:K19,ПАРАМЕТРЫ!$B$17:$G$17)</f>
        <v>0</v>
      </c>
      <c r="J1972" s="12" t="n">
        <f aca="false">I1972*G1972/1000</f>
        <v>0</v>
      </c>
      <c r="K1972" s="11" t="s">
        <v>217</v>
      </c>
      <c r="L1972" s="11" t="s">
        <v>19</v>
      </c>
      <c r="M1972" s="11" t="s">
        <v>145</v>
      </c>
    </row>
    <row r="1973" customFormat="false" ht="15" hidden="false" customHeight="false" outlineLevel="0" collapsed="false">
      <c r="A1973" s="11" t="s">
        <v>111</v>
      </c>
      <c r="B1973" s="11" t="s">
        <v>127</v>
      </c>
      <c r="C1973" s="11" t="n">
        <v>10</v>
      </c>
      <c r="D1973" s="11" t="s">
        <v>161</v>
      </c>
      <c r="E1973" s="11" t="s">
        <v>163</v>
      </c>
      <c r="F1973" s="11" t="s">
        <v>80</v>
      </c>
      <c r="G1973" s="12" t="n">
        <v>280</v>
      </c>
      <c r="H1973" s="12" t="n">
        <f aca="false">SUMPRODUCT(ПОТОКИ!B15:G15,ЧАСОВЫЕ_ПРОФИЛИ!B14:G14,КОЭФФИЦИЕНТЫ_ВЫБОРА!F20:K20)</f>
        <v>0</v>
      </c>
      <c r="I1973" s="12" t="n">
        <f aca="false">SUMPRODUCT(ПОТОКИ!B15:G15,ЧАСОВЫЕ_ПРОФИЛИ!B14:G14,КОЭФФИЦИЕНТЫ_ВЫБОРА!F20:K20,ПАРАМЕТРЫ!$B$17:$G$17)</f>
        <v>0</v>
      </c>
      <c r="J1973" s="12" t="n">
        <f aca="false">I1973*G1973/1000</f>
        <v>0</v>
      </c>
      <c r="K1973" s="11" t="s">
        <v>217</v>
      </c>
      <c r="L1973" s="11" t="s">
        <v>19</v>
      </c>
      <c r="M1973" s="11" t="s">
        <v>145</v>
      </c>
    </row>
    <row r="1974" customFormat="false" ht="15" hidden="false" customHeight="false" outlineLevel="0" collapsed="false">
      <c r="A1974" s="11" t="s">
        <v>111</v>
      </c>
      <c r="B1974" s="11" t="s">
        <v>127</v>
      </c>
      <c r="C1974" s="11" t="n">
        <v>11</v>
      </c>
      <c r="D1974" s="11" t="s">
        <v>161</v>
      </c>
      <c r="E1974" s="11" t="s">
        <v>164</v>
      </c>
      <c r="F1974" s="11" t="s">
        <v>80</v>
      </c>
      <c r="G1974" s="12" t="n">
        <v>270</v>
      </c>
      <c r="H1974" s="12" t="n">
        <f aca="false">SUMPRODUCT(ПОТОКИ!B15:G15,ЧАСОВЫЕ_ПРОФИЛИ!B14:G14,КОЭФФИЦИЕНТЫ_ВЫБОРА!F21:K21)</f>
        <v>0</v>
      </c>
      <c r="I1974" s="12" t="n">
        <f aca="false">SUMPRODUCT(ПОТОКИ!B15:G15,ЧАСОВЫЕ_ПРОФИЛИ!B14:G14,КОЭФФИЦИЕНТЫ_ВЫБОРА!F21:K21,ПАРАМЕТРЫ!$B$17:$G$17)</f>
        <v>0</v>
      </c>
      <c r="J1974" s="12" t="n">
        <f aca="false">I1974*G1974/1000</f>
        <v>0</v>
      </c>
      <c r="K1974" s="11" t="s">
        <v>217</v>
      </c>
      <c r="L1974" s="11" t="s">
        <v>19</v>
      </c>
      <c r="M1974" s="11" t="s">
        <v>145</v>
      </c>
    </row>
    <row r="1975" customFormat="false" ht="15" hidden="false" customHeight="false" outlineLevel="0" collapsed="false">
      <c r="A1975" s="11" t="s">
        <v>111</v>
      </c>
      <c r="B1975" s="11" t="s">
        <v>127</v>
      </c>
      <c r="C1975" s="11" t="n">
        <v>12</v>
      </c>
      <c r="D1975" s="11" t="s">
        <v>161</v>
      </c>
      <c r="E1975" s="11" t="s">
        <v>165</v>
      </c>
      <c r="F1975" s="11" t="s">
        <v>80</v>
      </c>
      <c r="G1975" s="12" t="n">
        <v>240</v>
      </c>
      <c r="H1975" s="12" t="n">
        <f aca="false">SUMPRODUCT(ПОТОКИ!B15:G15,ЧАСОВЫЕ_ПРОФИЛИ!B14:G14,КОЭФФИЦИЕНТЫ_ВЫБОРА!F22:K22)</f>
        <v>0</v>
      </c>
      <c r="I1975" s="12" t="n">
        <f aca="false">SUMPRODUCT(ПОТОКИ!B15:G15,ЧАСОВЫЕ_ПРОФИЛИ!B14:G14,КОЭФФИЦИЕНТЫ_ВЫБОРА!F22:K22,ПАРАМЕТРЫ!$B$17:$G$17)</f>
        <v>0</v>
      </c>
      <c r="J1975" s="12" t="n">
        <f aca="false">I1975*G1975/1000</f>
        <v>0</v>
      </c>
      <c r="K1975" s="11" t="s">
        <v>217</v>
      </c>
      <c r="L1975" s="11" t="s">
        <v>19</v>
      </c>
      <c r="M1975" s="11" t="s">
        <v>145</v>
      </c>
    </row>
    <row r="1976" customFormat="false" ht="15" hidden="false" customHeight="false" outlineLevel="0" collapsed="false">
      <c r="A1976" s="11" t="s">
        <v>111</v>
      </c>
      <c r="B1976" s="11" t="s">
        <v>127</v>
      </c>
      <c r="C1976" s="11" t="n">
        <v>13</v>
      </c>
      <c r="D1976" s="11" t="s">
        <v>166</v>
      </c>
      <c r="E1976" s="11" t="s">
        <v>167</v>
      </c>
      <c r="F1976" s="11" t="s">
        <v>80</v>
      </c>
      <c r="G1976" s="12" t="n">
        <v>130</v>
      </c>
      <c r="H1976" s="12" t="n">
        <f aca="false">SUMPRODUCT(ПОТОКИ!B15:G15,ЧАСОВЫЕ_ПРОФИЛИ!B14:G14,КОЭФФИЦИЕНТЫ_ВЫБОРА!F23:K23)</f>
        <v>0</v>
      </c>
      <c r="I1976" s="12" t="n">
        <f aca="false">SUMPRODUCT(ПОТОКИ!B15:G15,ЧАСОВЫЕ_ПРОФИЛИ!B14:G14,КОЭФФИЦИЕНТЫ_ВЫБОРА!F23:K23,ПАРАМЕТРЫ!$B$17:$G$17)</f>
        <v>0</v>
      </c>
      <c r="J1976" s="12" t="n">
        <f aca="false">I1976*G1976/1000</f>
        <v>0</v>
      </c>
      <c r="K1976" s="11" t="s">
        <v>217</v>
      </c>
      <c r="L1976" s="11" t="s">
        <v>19</v>
      </c>
      <c r="M1976" s="11" t="s">
        <v>145</v>
      </c>
    </row>
    <row r="1977" customFormat="false" ht="15" hidden="false" customHeight="false" outlineLevel="0" collapsed="false">
      <c r="A1977" s="11" t="s">
        <v>111</v>
      </c>
      <c r="B1977" s="11" t="s">
        <v>127</v>
      </c>
      <c r="C1977" s="11" t="n">
        <v>14</v>
      </c>
      <c r="D1977" s="11" t="s">
        <v>166</v>
      </c>
      <c r="E1977" s="11" t="s">
        <v>168</v>
      </c>
      <c r="F1977" s="11" t="s">
        <v>80</v>
      </c>
      <c r="G1977" s="12" t="n">
        <v>250</v>
      </c>
      <c r="H1977" s="12" t="n">
        <f aca="false">SUMPRODUCT(ПОТОКИ!B15:G15,ЧАСОВЫЕ_ПРОФИЛИ!B14:G14,КОЭФФИЦИЕНТЫ_ВЫБОРА!F24:K24)</f>
        <v>0</v>
      </c>
      <c r="I1977" s="12" t="n">
        <f aca="false">SUMPRODUCT(ПОТОКИ!B15:G15,ЧАСОВЫЕ_ПРОФИЛИ!B14:G14,КОЭФФИЦИЕНТЫ_ВЫБОРА!F24:K24,ПАРАМЕТРЫ!$B$17:$G$17)</f>
        <v>0</v>
      </c>
      <c r="J1977" s="12" t="n">
        <f aca="false">I1977*G1977/1000</f>
        <v>0</v>
      </c>
      <c r="K1977" s="11" t="s">
        <v>217</v>
      </c>
      <c r="L1977" s="11" t="s">
        <v>19</v>
      </c>
      <c r="M1977" s="11" t="s">
        <v>145</v>
      </c>
    </row>
    <row r="1978" customFormat="false" ht="15" hidden="false" customHeight="false" outlineLevel="0" collapsed="false">
      <c r="A1978" s="11" t="s">
        <v>111</v>
      </c>
      <c r="B1978" s="11" t="s">
        <v>127</v>
      </c>
      <c r="C1978" s="11" t="n">
        <v>15</v>
      </c>
      <c r="D1978" s="11" t="s">
        <v>166</v>
      </c>
      <c r="E1978" s="11" t="s">
        <v>169</v>
      </c>
      <c r="F1978" s="11" t="s">
        <v>80</v>
      </c>
      <c r="G1978" s="12" t="n">
        <v>120</v>
      </c>
      <c r="H1978" s="12" t="n">
        <f aca="false">SUMPRODUCT(ПОТОКИ!B15:G15,ЧАСОВЫЕ_ПРОФИЛИ!B14:G14,КОЭФФИЦИЕНТЫ_ВЫБОРА!F25:K25)</f>
        <v>0</v>
      </c>
      <c r="I1978" s="12" t="n">
        <f aca="false">SUMPRODUCT(ПОТОКИ!B15:G15,ЧАСОВЫЕ_ПРОФИЛИ!B14:G14,КОЭФФИЦИЕНТЫ_ВЫБОРА!F25:K25,ПАРАМЕТРЫ!$B$17:$G$17)</f>
        <v>0</v>
      </c>
      <c r="J1978" s="12" t="n">
        <f aca="false">I1978*G1978/1000</f>
        <v>0</v>
      </c>
      <c r="K1978" s="11" t="s">
        <v>217</v>
      </c>
      <c r="L1978" s="11" t="s">
        <v>19</v>
      </c>
      <c r="M1978" s="11" t="s">
        <v>145</v>
      </c>
    </row>
    <row r="1979" customFormat="false" ht="15" hidden="false" customHeight="false" outlineLevel="0" collapsed="false">
      <c r="A1979" s="11" t="s">
        <v>111</v>
      </c>
      <c r="B1979" s="11" t="s">
        <v>127</v>
      </c>
      <c r="C1979" s="11" t="n">
        <v>16</v>
      </c>
      <c r="D1979" s="11" t="s">
        <v>166</v>
      </c>
      <c r="E1979" s="11" t="s">
        <v>170</v>
      </c>
      <c r="F1979" s="11" t="s">
        <v>80</v>
      </c>
      <c r="G1979" s="12" t="n">
        <v>180</v>
      </c>
      <c r="H1979" s="12" t="n">
        <f aca="false">SUMPRODUCT(ПОТОКИ!B15:G15,ЧАСОВЫЕ_ПРОФИЛИ!B14:G14,КОЭФФИЦИЕНТЫ_ВЫБОРА!F26:K26)</f>
        <v>0</v>
      </c>
      <c r="I1979" s="12" t="n">
        <f aca="false">SUMPRODUCT(ПОТОКИ!B15:G15,ЧАСОВЫЕ_ПРОФИЛИ!B14:G14,КОЭФФИЦИЕНТЫ_ВЫБОРА!F26:K26,ПАРАМЕТРЫ!$B$17:$G$17)</f>
        <v>0</v>
      </c>
      <c r="J1979" s="12" t="n">
        <f aca="false">I1979*G1979/1000</f>
        <v>0</v>
      </c>
      <c r="K1979" s="11" t="s">
        <v>217</v>
      </c>
      <c r="L1979" s="11" t="s">
        <v>19</v>
      </c>
      <c r="M1979" s="11" t="s">
        <v>145</v>
      </c>
    </row>
    <row r="1980" customFormat="false" ht="15" hidden="false" customHeight="false" outlineLevel="0" collapsed="false">
      <c r="A1980" s="11" t="s">
        <v>111</v>
      </c>
      <c r="B1980" s="11" t="s">
        <v>127</v>
      </c>
      <c r="C1980" s="11" t="n">
        <v>17</v>
      </c>
      <c r="D1980" s="11" t="s">
        <v>166</v>
      </c>
      <c r="E1980" s="11" t="s">
        <v>171</v>
      </c>
      <c r="F1980" s="11" t="s">
        <v>80</v>
      </c>
      <c r="G1980" s="12" t="n">
        <v>180</v>
      </c>
      <c r="H1980" s="12" t="n">
        <f aca="false">SUMPRODUCT(ПОТОКИ!B15:G15,ЧАСОВЫЕ_ПРОФИЛИ!B14:G14,КОЭФФИЦИЕНТЫ_ВЫБОРА!F27:K27)</f>
        <v>0</v>
      </c>
      <c r="I1980" s="12" t="n">
        <f aca="false">SUMPRODUCT(ПОТОКИ!B15:G15,ЧАСОВЫЕ_ПРОФИЛИ!B14:G14,КОЭФФИЦИЕНТЫ_ВЫБОРА!F27:K27,ПАРАМЕТРЫ!$B$17:$G$17)</f>
        <v>0</v>
      </c>
      <c r="J1980" s="12" t="n">
        <f aca="false">I1980*G1980/1000</f>
        <v>0</v>
      </c>
      <c r="K1980" s="11" t="s">
        <v>217</v>
      </c>
      <c r="L1980" s="11" t="s">
        <v>19</v>
      </c>
      <c r="M1980" s="11" t="s">
        <v>145</v>
      </c>
    </row>
    <row r="1981" customFormat="false" ht="15" hidden="false" customHeight="false" outlineLevel="0" collapsed="false">
      <c r="A1981" s="11" t="s">
        <v>111</v>
      </c>
      <c r="B1981" s="11" t="s">
        <v>127</v>
      </c>
      <c r="C1981" s="11" t="n">
        <v>18</v>
      </c>
      <c r="D1981" s="11" t="s">
        <v>172</v>
      </c>
      <c r="E1981" s="11" t="s">
        <v>173</v>
      </c>
      <c r="F1981" s="11" t="s">
        <v>83</v>
      </c>
      <c r="G1981" s="12" t="n">
        <v>400</v>
      </c>
      <c r="H1981" s="12" t="n">
        <f aca="false">SUMPRODUCT(ПОТОКИ!B15:G15,ЧАСОВЫЕ_ПРОФИЛИ!B14:G14,КОЭФФИЦИЕНТЫ_ВЫБОРА!F28:K28)</f>
        <v>0</v>
      </c>
      <c r="I1981" s="12" t="n">
        <f aca="false">SUMPRODUCT(ПОТОКИ!B15:G15,ЧАСОВЫЕ_ПРОФИЛИ!B14:G14,КОЭФФИЦИЕНТЫ_ВЫБОРА!F28:K28,ПАРАМЕТРЫ!$B$17:$G$17)</f>
        <v>0</v>
      </c>
      <c r="J1981" s="12" t="n">
        <f aca="false">I1981*G1981/1000</f>
        <v>0</v>
      </c>
      <c r="K1981" s="11" t="s">
        <v>217</v>
      </c>
      <c r="L1981" s="11" t="s">
        <v>19</v>
      </c>
      <c r="M1981" s="11" t="s">
        <v>145</v>
      </c>
    </row>
    <row r="1982" customFormat="false" ht="23.85" hidden="false" customHeight="false" outlineLevel="0" collapsed="false">
      <c r="A1982" s="11" t="s">
        <v>111</v>
      </c>
      <c r="B1982" s="11" t="s">
        <v>127</v>
      </c>
      <c r="C1982" s="11" t="n">
        <v>19</v>
      </c>
      <c r="D1982" s="11" t="s">
        <v>174</v>
      </c>
      <c r="E1982" s="11" t="s">
        <v>175</v>
      </c>
      <c r="F1982" s="11" t="s">
        <v>83</v>
      </c>
      <c r="G1982" s="12" t="n">
        <v>300</v>
      </c>
      <c r="H1982" s="12" t="n">
        <f aca="false">SUMPRODUCT(ПОТОКИ!B15:G15,ЧАСОВЫЕ_ПРОФИЛИ!B14:G14,КОЭФФИЦИЕНТЫ_ВЫБОРА!F29:K29)</f>
        <v>0</v>
      </c>
      <c r="I1982" s="12" t="n">
        <f aca="false">SUMPRODUCT(ПОТОКИ!B15:G15,ЧАСОВЫЕ_ПРОФИЛИ!B14:G14,КОЭФФИЦИЕНТЫ_ВЫБОРА!F29:K29,ПАРАМЕТРЫ!$B$17:$G$17)</f>
        <v>0</v>
      </c>
      <c r="J1982" s="12" t="n">
        <f aca="false">I1982*G1982/1000</f>
        <v>0</v>
      </c>
      <c r="K1982" s="11" t="s">
        <v>217</v>
      </c>
      <c r="L1982" s="11" t="s">
        <v>19</v>
      </c>
      <c r="M1982" s="11" t="s">
        <v>145</v>
      </c>
    </row>
    <row r="1983" customFormat="false" ht="15" hidden="false" customHeight="false" outlineLevel="0" collapsed="false">
      <c r="A1983" s="11" t="s">
        <v>111</v>
      </c>
      <c r="B1983" s="11" t="s">
        <v>127</v>
      </c>
      <c r="C1983" s="11" t="n">
        <v>20</v>
      </c>
      <c r="D1983" s="11" t="s">
        <v>174</v>
      </c>
      <c r="E1983" s="11" t="s">
        <v>176</v>
      </c>
      <c r="F1983" s="11" t="s">
        <v>83</v>
      </c>
      <c r="G1983" s="12" t="n">
        <v>360</v>
      </c>
      <c r="H1983" s="12" t="n">
        <f aca="false">SUMPRODUCT(ПОТОКИ!B15:G15,ЧАСОВЫЕ_ПРОФИЛИ!B14:G14,КОЭФФИЦИЕНТЫ_ВЫБОРА!F30:K30)</f>
        <v>0</v>
      </c>
      <c r="I1983" s="12" t="n">
        <f aca="false">SUMPRODUCT(ПОТОКИ!B15:G15,ЧАСОВЫЕ_ПРОФИЛИ!B14:G14,КОЭФФИЦИЕНТЫ_ВЫБОРА!F30:K30,ПАРАМЕТРЫ!$B$17:$G$17)</f>
        <v>0</v>
      </c>
      <c r="J1983" s="12" t="n">
        <f aca="false">I1983*G1983/1000</f>
        <v>0</v>
      </c>
      <c r="K1983" s="11" t="s">
        <v>217</v>
      </c>
      <c r="L1983" s="11" t="s">
        <v>19</v>
      </c>
      <c r="M1983" s="11" t="s">
        <v>145</v>
      </c>
    </row>
    <row r="1984" customFormat="false" ht="15" hidden="false" customHeight="false" outlineLevel="0" collapsed="false">
      <c r="A1984" s="11" t="s">
        <v>111</v>
      </c>
      <c r="B1984" s="11" t="s">
        <v>127</v>
      </c>
      <c r="C1984" s="11" t="n">
        <v>21</v>
      </c>
      <c r="D1984" s="11" t="s">
        <v>174</v>
      </c>
      <c r="E1984" s="11" t="s">
        <v>177</v>
      </c>
      <c r="F1984" s="11" t="s">
        <v>83</v>
      </c>
      <c r="G1984" s="12" t="n">
        <v>350</v>
      </c>
      <c r="H1984" s="12" t="n">
        <f aca="false">SUMPRODUCT(ПОТОКИ!B15:G15,ЧАСОВЫЕ_ПРОФИЛИ!B14:G14,КОЭФФИЦИЕНТЫ_ВЫБОРА!F31:K31)</f>
        <v>0</v>
      </c>
      <c r="I1984" s="12" t="n">
        <f aca="false">SUMPRODUCT(ПОТОКИ!B15:G15,ЧАСОВЫЕ_ПРОФИЛИ!B14:G14,КОЭФФИЦИЕНТЫ_ВЫБОРА!F31:K31,ПАРАМЕТРЫ!$B$17:$G$17)</f>
        <v>0</v>
      </c>
      <c r="J1984" s="12" t="n">
        <f aca="false">I1984*G1984/1000</f>
        <v>0</v>
      </c>
      <c r="K1984" s="11" t="s">
        <v>217</v>
      </c>
      <c r="L1984" s="11" t="s">
        <v>19</v>
      </c>
      <c r="M1984" s="11" t="s">
        <v>145</v>
      </c>
    </row>
    <row r="1985" customFormat="false" ht="15" hidden="false" customHeight="false" outlineLevel="0" collapsed="false">
      <c r="A1985" s="11" t="s">
        <v>111</v>
      </c>
      <c r="B1985" s="11" t="s">
        <v>127</v>
      </c>
      <c r="C1985" s="11" t="n">
        <v>22</v>
      </c>
      <c r="D1985" s="11" t="s">
        <v>174</v>
      </c>
      <c r="E1985" s="11" t="s">
        <v>178</v>
      </c>
      <c r="F1985" s="11" t="s">
        <v>83</v>
      </c>
      <c r="G1985" s="12" t="n">
        <v>300</v>
      </c>
      <c r="H1985" s="12" t="n">
        <f aca="false">SUMPRODUCT(ПОТОКИ!B15:G15,ЧАСОВЫЕ_ПРОФИЛИ!B14:G14,КОЭФФИЦИЕНТЫ_ВЫБОРА!F32:K32)</f>
        <v>0</v>
      </c>
      <c r="I1985" s="12" t="n">
        <f aca="false">SUMPRODUCT(ПОТОКИ!B15:G15,ЧАСОВЫЕ_ПРОФИЛИ!B14:G14,КОЭФФИЦИЕНТЫ_ВЫБОРА!F32:K32,ПАРАМЕТРЫ!$B$17:$G$17)</f>
        <v>0</v>
      </c>
      <c r="J1985" s="12" t="n">
        <f aca="false">I1985*G1985/1000</f>
        <v>0</v>
      </c>
      <c r="K1985" s="11" t="s">
        <v>217</v>
      </c>
      <c r="L1985" s="11" t="s">
        <v>19</v>
      </c>
      <c r="M1985" s="11" t="s">
        <v>145</v>
      </c>
    </row>
    <row r="1986" customFormat="false" ht="15" hidden="false" customHeight="false" outlineLevel="0" collapsed="false">
      <c r="A1986" s="11" t="s">
        <v>111</v>
      </c>
      <c r="B1986" s="11" t="s">
        <v>127</v>
      </c>
      <c r="C1986" s="11" t="n">
        <v>23</v>
      </c>
      <c r="D1986" s="11" t="s">
        <v>86</v>
      </c>
      <c r="E1986" s="11" t="s">
        <v>179</v>
      </c>
      <c r="F1986" s="11" t="s">
        <v>85</v>
      </c>
      <c r="G1986" s="12" t="n">
        <v>150</v>
      </c>
      <c r="H1986" s="12" t="n">
        <f aca="false">SUMPRODUCT(ПОТОКИ!B15:G15,ЧАСОВЫЕ_ПРОФИЛИ!B14:G14,КОЭФФИЦИЕНТЫ_ВЫБОРА!F33:K33)</f>
        <v>0</v>
      </c>
      <c r="I1986" s="12" t="n">
        <f aca="false">SUMPRODUCT(ПОТОКИ!B15:G15,ЧАСОВЫЕ_ПРОФИЛИ!B14:G14,КОЭФФИЦИЕНТЫ_ВЫБОРА!F33:K33,ПАРАМЕТРЫ!$B$17:$G$17)</f>
        <v>0</v>
      </c>
      <c r="J1986" s="12" t="n">
        <f aca="false">I1986*G1986/1000</f>
        <v>0</v>
      </c>
      <c r="K1986" s="11" t="s">
        <v>217</v>
      </c>
      <c r="L1986" s="11" t="s">
        <v>19</v>
      </c>
      <c r="M1986" s="11" t="s">
        <v>147</v>
      </c>
    </row>
    <row r="1987" customFormat="false" ht="15" hidden="false" customHeight="false" outlineLevel="0" collapsed="false">
      <c r="A1987" s="11" t="s">
        <v>111</v>
      </c>
      <c r="B1987" s="11" t="s">
        <v>127</v>
      </c>
      <c r="C1987" s="11" t="n">
        <v>24</v>
      </c>
      <c r="D1987" s="11" t="s">
        <v>86</v>
      </c>
      <c r="E1987" s="11" t="s">
        <v>180</v>
      </c>
      <c r="F1987" s="11" t="s">
        <v>85</v>
      </c>
      <c r="G1987" s="12" t="n">
        <v>150</v>
      </c>
      <c r="H1987" s="12" t="n">
        <f aca="false">SUMPRODUCT(ПОТОКИ!B15:G15,ЧАСОВЫЕ_ПРОФИЛИ!B14:G14,КОЭФФИЦИЕНТЫ_ВЫБОРА!F34:K34)</f>
        <v>0</v>
      </c>
      <c r="I1987" s="12" t="n">
        <f aca="false">SUMPRODUCT(ПОТОКИ!B15:G15,ЧАСОВЫЕ_ПРОФИЛИ!B14:G14,КОЭФФИЦИЕНТЫ_ВЫБОРА!F34:K34,ПАРАМЕТРЫ!$B$17:$G$17)</f>
        <v>0</v>
      </c>
      <c r="J1987" s="12" t="n">
        <f aca="false">I1987*G1987/1000</f>
        <v>0</v>
      </c>
      <c r="K1987" s="11" t="s">
        <v>217</v>
      </c>
      <c r="L1987" s="11" t="s">
        <v>19</v>
      </c>
      <c r="M1987" s="11" t="s">
        <v>147</v>
      </c>
    </row>
    <row r="1988" customFormat="false" ht="15" hidden="false" customHeight="false" outlineLevel="0" collapsed="false">
      <c r="A1988" s="11" t="s">
        <v>111</v>
      </c>
      <c r="B1988" s="11" t="s">
        <v>127</v>
      </c>
      <c r="C1988" s="11" t="n">
        <v>25</v>
      </c>
      <c r="D1988" s="11" t="s">
        <v>86</v>
      </c>
      <c r="E1988" s="11" t="s">
        <v>181</v>
      </c>
      <c r="F1988" s="11" t="s">
        <v>85</v>
      </c>
      <c r="G1988" s="12" t="n">
        <v>150</v>
      </c>
      <c r="H1988" s="12" t="n">
        <f aca="false">SUMPRODUCT(ПОТОКИ!B15:G15,ЧАСОВЫЕ_ПРОФИЛИ!B14:G14,КОЭФФИЦИЕНТЫ_ВЫБОРА!F35:K35)</f>
        <v>0</v>
      </c>
      <c r="I1988" s="12" t="n">
        <f aca="false">SUMPRODUCT(ПОТОКИ!B15:G15,ЧАСОВЫЕ_ПРОФИЛИ!B14:G14,КОЭФФИЦИЕНТЫ_ВЫБОРА!F35:K35,ПАРАМЕТРЫ!$B$17:$G$17)</f>
        <v>0</v>
      </c>
      <c r="J1988" s="12" t="n">
        <f aca="false">I1988*G1988/1000</f>
        <v>0</v>
      </c>
      <c r="K1988" s="11" t="s">
        <v>217</v>
      </c>
      <c r="L1988" s="11" t="s">
        <v>19</v>
      </c>
      <c r="M1988" s="11" t="s">
        <v>147</v>
      </c>
    </row>
    <row r="1989" customFormat="false" ht="23.85" hidden="false" customHeight="false" outlineLevel="0" collapsed="false">
      <c r="A1989" s="11" t="s">
        <v>111</v>
      </c>
      <c r="B1989" s="11" t="s">
        <v>127</v>
      </c>
      <c r="C1989" s="11" t="n">
        <v>26</v>
      </c>
      <c r="D1989" s="11" t="s">
        <v>89</v>
      </c>
      <c r="E1989" s="11" t="s">
        <v>182</v>
      </c>
      <c r="F1989" s="11" t="s">
        <v>88</v>
      </c>
      <c r="G1989" s="12" t="n">
        <v>225</v>
      </c>
      <c r="H1989" s="12" t="n">
        <f aca="false">SUMPRODUCT(ПОТОКИ!B15:G15,ЧАСОВЫЕ_ПРОФИЛИ!B14:G14,КОЭФФИЦИЕНТЫ_ВЫБОРА!F36:K36)</f>
        <v>1.2375</v>
      </c>
      <c r="I1989" s="12" t="n">
        <f aca="false">SUMPRODUCT(ПОТОКИ!B15:G15,ЧАСОВЫЕ_ПРОФИЛИ!B14:G14,КОЭФФИЦИЕНТЫ_ВЫБОРА!F36:K36,ПАРАМЕТРЫ!$B$17:$G$17)</f>
        <v>1.2375</v>
      </c>
      <c r="J1989" s="12" t="n">
        <f aca="false">I1989*G1989/1000</f>
        <v>0.2784375</v>
      </c>
      <c r="K1989" s="11" t="s">
        <v>217</v>
      </c>
      <c r="L1989" s="11" t="s">
        <v>19</v>
      </c>
      <c r="M1989" s="11" t="s">
        <v>145</v>
      </c>
    </row>
    <row r="1990" customFormat="false" ht="23.85" hidden="false" customHeight="false" outlineLevel="0" collapsed="false">
      <c r="A1990" s="11" t="s">
        <v>111</v>
      </c>
      <c r="B1990" s="11" t="s">
        <v>127</v>
      </c>
      <c r="C1990" s="11" t="n">
        <v>27</v>
      </c>
      <c r="D1990" s="11" t="s">
        <v>89</v>
      </c>
      <c r="E1990" s="11" t="s">
        <v>183</v>
      </c>
      <c r="F1990" s="11" t="s">
        <v>88</v>
      </c>
      <c r="G1990" s="12" t="n">
        <v>265</v>
      </c>
      <c r="H1990" s="12" t="n">
        <f aca="false">SUMPRODUCT(ПОТОКИ!B15:G15,ЧАСОВЫЕ_ПРОФИЛИ!B14:G14,КОЭФФИЦИЕНТЫ_ВЫБОРА!F37:K37)</f>
        <v>1.2375</v>
      </c>
      <c r="I1990" s="12" t="n">
        <f aca="false">SUMPRODUCT(ПОТОКИ!B15:G15,ЧАСОВЫЕ_ПРОФИЛИ!B14:G14,КОЭФФИЦИЕНТЫ_ВЫБОРА!F37:K37,ПАРАМЕТРЫ!$B$17:$G$17)</f>
        <v>1.2375</v>
      </c>
      <c r="J1990" s="12" t="n">
        <f aca="false">I1990*G1990/1000</f>
        <v>0.3279375</v>
      </c>
      <c r="K1990" s="11" t="s">
        <v>217</v>
      </c>
      <c r="L1990" s="11" t="s">
        <v>19</v>
      </c>
      <c r="M1990" s="11" t="s">
        <v>145</v>
      </c>
    </row>
    <row r="1991" customFormat="false" ht="23.85" hidden="false" customHeight="false" outlineLevel="0" collapsed="false">
      <c r="A1991" s="11" t="s">
        <v>111</v>
      </c>
      <c r="B1991" s="11" t="s">
        <v>127</v>
      </c>
      <c r="C1991" s="11" t="n">
        <v>28</v>
      </c>
      <c r="D1991" s="11" t="s">
        <v>89</v>
      </c>
      <c r="E1991" s="11" t="s">
        <v>184</v>
      </c>
      <c r="F1991" s="11" t="s">
        <v>88</v>
      </c>
      <c r="G1991" s="12" t="n">
        <v>355</v>
      </c>
      <c r="H1991" s="12" t="n">
        <f aca="false">SUMPRODUCT(ПОТОКИ!B15:G15,ЧАСОВЫЕ_ПРОФИЛИ!B14:G14,КОЭФФИЦИЕНТЫ_ВЫБОРА!F38:K38)</f>
        <v>0.825</v>
      </c>
      <c r="I1991" s="12" t="n">
        <f aca="false">SUMPRODUCT(ПОТОКИ!B15:G15,ЧАСОВЫЕ_ПРОФИЛИ!B14:G14,КОЭФФИЦИЕНТЫ_ВЫБОРА!F38:K38,ПАРАМЕТРЫ!$B$17:$G$17)</f>
        <v>0.825</v>
      </c>
      <c r="J1991" s="12" t="n">
        <f aca="false">I1991*G1991/1000</f>
        <v>0.292875</v>
      </c>
      <c r="K1991" s="11" t="s">
        <v>217</v>
      </c>
      <c r="L1991" s="11" t="s">
        <v>19</v>
      </c>
      <c r="M1991" s="11" t="s">
        <v>145</v>
      </c>
    </row>
    <row r="1992" customFormat="false" ht="15" hidden="false" customHeight="false" outlineLevel="0" collapsed="false">
      <c r="A1992" s="11" t="s">
        <v>111</v>
      </c>
      <c r="B1992" s="11" t="s">
        <v>127</v>
      </c>
      <c r="C1992" s="11" t="n">
        <v>29</v>
      </c>
      <c r="D1992" s="11" t="s">
        <v>92</v>
      </c>
      <c r="E1992" s="11" t="s">
        <v>185</v>
      </c>
      <c r="F1992" s="11" t="s">
        <v>91</v>
      </c>
      <c r="G1992" s="12" t="n">
        <v>150</v>
      </c>
      <c r="H1992" s="12" t="n">
        <f aca="false">SUMPRODUCT(ПОТОКИ!B15:G15,ЧАСОВЫЕ_ПРОФИЛИ!B14:G14,КОЭФФИЦИЕНТЫ_ВЫБОРА!F39:K39)</f>
        <v>0.108</v>
      </c>
      <c r="I1992" s="12" t="n">
        <f aca="false">SUMPRODUCT(ПОТОКИ!B15:G15,ЧАСОВЫЕ_ПРОФИЛИ!B14:G14,КОЭФФИЦИЕНТЫ_ВЫБОРА!F39:K39,ПАРАМЕТРЫ!$B$17:$G$17)</f>
        <v>0.1188</v>
      </c>
      <c r="J1992" s="12" t="n">
        <f aca="false">I1992*G1992/1000</f>
        <v>0.01782</v>
      </c>
      <c r="K1992" s="11" t="s">
        <v>217</v>
      </c>
      <c r="L1992" s="11" t="s">
        <v>19</v>
      </c>
      <c r="M1992" s="11" t="s">
        <v>145</v>
      </c>
    </row>
    <row r="1993" customFormat="false" ht="15" hidden="false" customHeight="false" outlineLevel="0" collapsed="false">
      <c r="A1993" s="11" t="s">
        <v>111</v>
      </c>
      <c r="B1993" s="11" t="s">
        <v>127</v>
      </c>
      <c r="C1993" s="11" t="n">
        <v>30</v>
      </c>
      <c r="D1993" s="11" t="s">
        <v>92</v>
      </c>
      <c r="E1993" s="11" t="s">
        <v>186</v>
      </c>
      <c r="F1993" s="11" t="s">
        <v>91</v>
      </c>
      <c r="G1993" s="12" t="n">
        <v>120</v>
      </c>
      <c r="H1993" s="12" t="n">
        <f aca="false">SUMPRODUCT(ПОТОКИ!B15:G15,ЧАСОВЫЕ_ПРОФИЛИ!B14:G14,КОЭФФИЦИЕНТЫ_ВЫБОРА!F40:K40)</f>
        <v>0.108</v>
      </c>
      <c r="I1993" s="12" t="n">
        <f aca="false">SUMPRODUCT(ПОТОКИ!B15:G15,ЧАСОВЫЕ_ПРОФИЛИ!B14:G14,КОЭФФИЦИЕНТЫ_ВЫБОРА!F40:K40,ПАРАМЕТРЫ!$B$17:$G$17)</f>
        <v>0.1188</v>
      </c>
      <c r="J1993" s="12" t="n">
        <f aca="false">I1993*G1993/1000</f>
        <v>0.014256</v>
      </c>
      <c r="K1993" s="11" t="s">
        <v>217</v>
      </c>
      <c r="L1993" s="11" t="s">
        <v>19</v>
      </c>
      <c r="M1993" s="11" t="s">
        <v>145</v>
      </c>
    </row>
    <row r="1994" customFormat="false" ht="15" hidden="false" customHeight="false" outlineLevel="0" collapsed="false">
      <c r="A1994" s="11" t="s">
        <v>111</v>
      </c>
      <c r="B1994" s="11" t="s">
        <v>127</v>
      </c>
      <c r="C1994" s="11" t="n">
        <v>31</v>
      </c>
      <c r="D1994" s="11" t="s">
        <v>92</v>
      </c>
      <c r="E1994" s="11" t="s">
        <v>187</v>
      </c>
      <c r="F1994" s="11" t="s">
        <v>91</v>
      </c>
      <c r="G1994" s="12" t="n">
        <v>60</v>
      </c>
      <c r="H1994" s="12" t="n">
        <f aca="false">SUMPRODUCT(ПОТОКИ!B15:G15,ЧАСОВЫЕ_ПРОФИЛИ!B14:G14,КОЭФФИЦИЕНТЫ_ВЫБОРА!F41:K41)</f>
        <v>0.144</v>
      </c>
      <c r="I1994" s="12" t="n">
        <f aca="false">SUMPRODUCT(ПОТОКИ!B15:G15,ЧАСОВЫЕ_ПРОФИЛИ!B14:G14,КОЭФФИЦИЕНТЫ_ВЫБОРА!F41:K41,ПАРАМЕТРЫ!$B$17:$G$17)</f>
        <v>0.1584</v>
      </c>
      <c r="J1994" s="12" t="n">
        <f aca="false">I1994*G1994/1000</f>
        <v>0.009504</v>
      </c>
      <c r="K1994" s="11" t="s">
        <v>217</v>
      </c>
      <c r="L1994" s="11" t="s">
        <v>19</v>
      </c>
      <c r="M1994" s="11" t="s">
        <v>145</v>
      </c>
    </row>
    <row r="1995" customFormat="false" ht="15" hidden="false" customHeight="false" outlineLevel="0" collapsed="false">
      <c r="A1995" s="11" t="s">
        <v>111</v>
      </c>
      <c r="B1995" s="11" t="s">
        <v>128</v>
      </c>
      <c r="C1995" s="11" t="n">
        <v>1</v>
      </c>
      <c r="D1995" s="11" t="s">
        <v>74</v>
      </c>
      <c r="E1995" s="11" t="s">
        <v>153</v>
      </c>
      <c r="F1995" s="11" t="s">
        <v>73</v>
      </c>
      <c r="G1995" s="12" t="n">
        <v>450</v>
      </c>
      <c r="H1995" s="12" t="n">
        <f aca="false">SUMPRODUCT(ПОТОКИ!B15:G15,ЧАСОВЫЕ_ПРОФИЛИ!B15:G15,КОЭФФИЦИЕНТЫ_ВЫБОРА!F11:K11)</f>
        <v>0.2145</v>
      </c>
      <c r="I1995" s="12" t="n">
        <f aca="false">SUMPRODUCT(ПОТОКИ!B15:G15,ЧАСОВЫЕ_ПРОФИЛИ!B15:G15,КОЭФФИЦИЕНТЫ_ВЫБОРА!F11:K11,ПАРАМЕТРЫ!$B$17:$G$17)</f>
        <v>0.23595</v>
      </c>
      <c r="J1995" s="12" t="n">
        <f aca="false">I1995*G1995/1000</f>
        <v>0.1061775</v>
      </c>
      <c r="K1995" s="11" t="s">
        <v>217</v>
      </c>
      <c r="L1995" s="11" t="s">
        <v>19</v>
      </c>
      <c r="M1995" s="11" t="s">
        <v>145</v>
      </c>
    </row>
    <row r="1996" customFormat="false" ht="15" hidden="false" customHeight="false" outlineLevel="0" collapsed="false">
      <c r="A1996" s="11" t="s">
        <v>111</v>
      </c>
      <c r="B1996" s="11" t="s">
        <v>128</v>
      </c>
      <c r="C1996" s="11" t="n">
        <v>2</v>
      </c>
      <c r="D1996" s="11" t="s">
        <v>74</v>
      </c>
      <c r="E1996" s="11" t="s">
        <v>154</v>
      </c>
      <c r="F1996" s="11" t="s">
        <v>73</v>
      </c>
      <c r="G1996" s="12" t="n">
        <v>480</v>
      </c>
      <c r="H1996" s="12" t="n">
        <f aca="false">SUMPRODUCT(ПОТОКИ!B15:G15,ЧАСОВЫЕ_ПРОФИЛИ!B15:G15,КОЭФФИЦИЕНТЫ_ВЫБОРА!F12:K12)</f>
        <v>0.252</v>
      </c>
      <c r="I1996" s="12" t="n">
        <f aca="false">SUMPRODUCT(ПОТОКИ!B15:G15,ЧАСОВЫЕ_ПРОФИЛИ!B15:G15,КОЭФФИЦИЕНТЫ_ВЫБОРА!F12:K12,ПАРАМЕТРЫ!$B$17:$G$17)</f>
        <v>0.2772</v>
      </c>
      <c r="J1996" s="12" t="n">
        <f aca="false">I1996*G1996/1000</f>
        <v>0.133056</v>
      </c>
      <c r="K1996" s="11" t="s">
        <v>217</v>
      </c>
      <c r="L1996" s="11" t="s">
        <v>19</v>
      </c>
      <c r="M1996" s="11" t="s">
        <v>145</v>
      </c>
    </row>
    <row r="1997" customFormat="false" ht="15" hidden="false" customHeight="false" outlineLevel="0" collapsed="false">
      <c r="A1997" s="11" t="s">
        <v>111</v>
      </c>
      <c r="B1997" s="11" t="s">
        <v>128</v>
      </c>
      <c r="C1997" s="11" t="n">
        <v>3</v>
      </c>
      <c r="D1997" s="11" t="s">
        <v>74</v>
      </c>
      <c r="E1997" s="11" t="s">
        <v>155</v>
      </c>
      <c r="F1997" s="11" t="s">
        <v>73</v>
      </c>
      <c r="G1997" s="12" t="n">
        <v>500</v>
      </c>
      <c r="H1997" s="12" t="n">
        <f aca="false">SUMPRODUCT(ПОТОКИ!B15:G15,ЧАСОВЫЕ_ПРОФИЛИ!B15:G15,КОЭФФИЦИЕНТЫ_ВЫБОРА!F13:K13)</f>
        <v>0.453</v>
      </c>
      <c r="I1997" s="12" t="n">
        <f aca="false">SUMPRODUCT(ПОТОКИ!B15:G15,ЧАСОВЫЕ_ПРОФИЛИ!B15:G15,КОЭФФИЦИЕНТЫ_ВЫБОРА!F13:K13,ПАРАМЕТРЫ!$B$17:$G$17)</f>
        <v>0.4983</v>
      </c>
      <c r="J1997" s="12" t="n">
        <f aca="false">I1997*G1997/1000</f>
        <v>0.24915</v>
      </c>
      <c r="K1997" s="11" t="s">
        <v>217</v>
      </c>
      <c r="L1997" s="11" t="s">
        <v>19</v>
      </c>
      <c r="M1997" s="11" t="s">
        <v>145</v>
      </c>
    </row>
    <row r="1998" customFormat="false" ht="15" hidden="false" customHeight="false" outlineLevel="0" collapsed="false">
      <c r="A1998" s="11" t="s">
        <v>111</v>
      </c>
      <c r="B1998" s="11" t="s">
        <v>128</v>
      </c>
      <c r="C1998" s="11" t="n">
        <v>4</v>
      </c>
      <c r="D1998" s="11" t="s">
        <v>74</v>
      </c>
      <c r="E1998" s="11" t="s">
        <v>156</v>
      </c>
      <c r="F1998" s="11" t="s">
        <v>73</v>
      </c>
      <c r="G1998" s="12" t="n">
        <v>500</v>
      </c>
      <c r="H1998" s="12" t="n">
        <f aca="false">SUMPRODUCT(ПОТОКИ!B15:G15,ЧАСОВЫЕ_ПРОФИЛИ!B15:G15,КОЭФФИЦИЕНТЫ_ВЫБОРА!F14:K14)</f>
        <v>0.4905</v>
      </c>
      <c r="I1998" s="12" t="n">
        <f aca="false">SUMPRODUCT(ПОТОКИ!B15:G15,ЧАСОВЫЕ_ПРОФИЛИ!B15:G15,КОЭФФИЦИЕНТЫ_ВЫБОРА!F14:K14,ПАРАМЕТРЫ!$B$17:$G$17)</f>
        <v>0.53955</v>
      </c>
      <c r="J1998" s="12" t="n">
        <f aca="false">I1998*G1998/1000</f>
        <v>0.269775</v>
      </c>
      <c r="K1998" s="11" t="s">
        <v>217</v>
      </c>
      <c r="L1998" s="11" t="s">
        <v>19</v>
      </c>
      <c r="M1998" s="11" t="s">
        <v>145</v>
      </c>
    </row>
    <row r="1999" customFormat="false" ht="15" hidden="false" customHeight="false" outlineLevel="0" collapsed="false">
      <c r="A1999" s="11" t="s">
        <v>111</v>
      </c>
      <c r="B1999" s="11" t="s">
        <v>128</v>
      </c>
      <c r="C1999" s="11" t="n">
        <v>5</v>
      </c>
      <c r="D1999" s="11" t="s">
        <v>78</v>
      </c>
      <c r="E1999" s="11" t="s">
        <v>157</v>
      </c>
      <c r="F1999" s="11" t="s">
        <v>77</v>
      </c>
      <c r="G1999" s="12" t="n">
        <v>100</v>
      </c>
      <c r="H1999" s="12" t="n">
        <f aca="false">SUMPRODUCT(ПОТОКИ!B15:G15,ЧАСОВЫЕ_ПРОФИЛИ!B15:G15,КОЭФФИЦИЕНТЫ_ВЫБОРА!F15:K15)</f>
        <v>0.44</v>
      </c>
      <c r="I1999" s="12" t="n">
        <f aca="false">SUMPRODUCT(ПОТОКИ!B15:G15,ЧАСОВЫЕ_ПРОФИЛИ!B15:G15,КОЭФФИЦИЕНТЫ_ВЫБОРА!F15:K15,ПАРАМЕТРЫ!$B$17:$G$17)</f>
        <v>0.484</v>
      </c>
      <c r="J1999" s="12" t="n">
        <f aca="false">I1999*G1999/1000</f>
        <v>0.0484</v>
      </c>
      <c r="K1999" s="11" t="s">
        <v>217</v>
      </c>
      <c r="L1999" s="11" t="s">
        <v>19</v>
      </c>
      <c r="M1999" s="11" t="s">
        <v>147</v>
      </c>
    </row>
    <row r="2000" customFormat="false" ht="15" hidden="false" customHeight="false" outlineLevel="0" collapsed="false">
      <c r="A2000" s="11" t="s">
        <v>111</v>
      </c>
      <c r="B2000" s="11" t="s">
        <v>128</v>
      </c>
      <c r="C2000" s="11" t="n">
        <v>6</v>
      </c>
      <c r="D2000" s="11" t="s">
        <v>78</v>
      </c>
      <c r="E2000" s="11" t="s">
        <v>158</v>
      </c>
      <c r="F2000" s="11" t="s">
        <v>77</v>
      </c>
      <c r="G2000" s="12" t="n">
        <v>100</v>
      </c>
      <c r="H2000" s="12" t="n">
        <f aca="false">SUMPRODUCT(ПОТОКИ!B15:G15,ЧАСОВЫЕ_ПРОФИЛИ!B15:G15,КОЭФФИЦИЕНТЫ_ВЫБОРА!F16:K16)</f>
        <v>0.4065</v>
      </c>
      <c r="I2000" s="12" t="n">
        <f aca="false">SUMPRODUCT(ПОТОКИ!B15:G15,ЧАСОВЫЕ_ПРОФИЛИ!B15:G15,КОЭФФИЦИЕНТЫ_ВЫБОРА!F16:K16,ПАРАМЕТРЫ!$B$17:$G$17)</f>
        <v>0.44715</v>
      </c>
      <c r="J2000" s="12" t="n">
        <f aca="false">I2000*G2000/1000</f>
        <v>0.044715</v>
      </c>
      <c r="K2000" s="11" t="s">
        <v>217</v>
      </c>
      <c r="L2000" s="11" t="s">
        <v>19</v>
      </c>
      <c r="M2000" s="11" t="s">
        <v>147</v>
      </c>
    </row>
    <row r="2001" customFormat="false" ht="15" hidden="false" customHeight="false" outlineLevel="0" collapsed="false">
      <c r="A2001" s="11" t="s">
        <v>111</v>
      </c>
      <c r="B2001" s="11" t="s">
        <v>128</v>
      </c>
      <c r="C2001" s="11" t="n">
        <v>7</v>
      </c>
      <c r="D2001" s="11" t="s">
        <v>78</v>
      </c>
      <c r="E2001" s="11" t="s">
        <v>159</v>
      </c>
      <c r="F2001" s="11" t="s">
        <v>77</v>
      </c>
      <c r="G2001" s="12" t="n">
        <v>350</v>
      </c>
      <c r="H2001" s="12" t="n">
        <f aca="false">SUMPRODUCT(ПОТОКИ!B15:G15,ЧАСОВЫЕ_ПРОФИЛИ!B15:G15,КОЭФФИЦИЕНТЫ_ВЫБОРА!F17:K17)</f>
        <v>0.3555</v>
      </c>
      <c r="I2001" s="12" t="n">
        <f aca="false">SUMPRODUCT(ПОТОКИ!B15:G15,ЧАСОВЫЕ_ПРОФИЛИ!B15:G15,КОЭФФИЦИЕНТЫ_ВЫБОРА!F17:K17,ПАРАМЕТРЫ!$B$17:$G$17)</f>
        <v>0.39105</v>
      </c>
      <c r="J2001" s="12" t="n">
        <f aca="false">I2001*G2001/1000</f>
        <v>0.1368675</v>
      </c>
      <c r="K2001" s="11" t="s">
        <v>217</v>
      </c>
      <c r="L2001" s="11" t="s">
        <v>19</v>
      </c>
      <c r="M2001" s="11" t="s">
        <v>147</v>
      </c>
    </row>
    <row r="2002" customFormat="false" ht="15" hidden="false" customHeight="false" outlineLevel="0" collapsed="false">
      <c r="A2002" s="11" t="s">
        <v>111</v>
      </c>
      <c r="B2002" s="11" t="s">
        <v>128</v>
      </c>
      <c r="C2002" s="11" t="n">
        <v>8</v>
      </c>
      <c r="D2002" s="11" t="s">
        <v>78</v>
      </c>
      <c r="E2002" s="11" t="s">
        <v>160</v>
      </c>
      <c r="F2002" s="11" t="s">
        <v>77</v>
      </c>
      <c r="G2002" s="12" t="n">
        <v>85</v>
      </c>
      <c r="H2002" s="12" t="n">
        <f aca="false">SUMPRODUCT(ПОТОКИ!B15:G15,ЧАСОВЫЕ_ПРОФИЛИ!B15:G15,КОЭФФИЦИЕНТЫ_ВЫБОРА!F18:K18)</f>
        <v>0.22</v>
      </c>
      <c r="I2002" s="12" t="n">
        <f aca="false">SUMPRODUCT(ПОТОКИ!B15:G15,ЧАСОВЫЕ_ПРОФИЛИ!B15:G15,КОЭФФИЦИЕНТЫ_ВЫБОРА!F18:K18,ПАРАМЕТРЫ!$B$17:$G$17)</f>
        <v>0.242</v>
      </c>
      <c r="J2002" s="12" t="n">
        <f aca="false">I2002*G2002/1000</f>
        <v>0.02057</v>
      </c>
      <c r="K2002" s="11" t="s">
        <v>217</v>
      </c>
      <c r="L2002" s="11" t="s">
        <v>19</v>
      </c>
      <c r="M2002" s="11" t="s">
        <v>147</v>
      </c>
    </row>
    <row r="2003" customFormat="false" ht="15" hidden="false" customHeight="false" outlineLevel="0" collapsed="false">
      <c r="A2003" s="11" t="s">
        <v>111</v>
      </c>
      <c r="B2003" s="11" t="s">
        <v>128</v>
      </c>
      <c r="C2003" s="11" t="n">
        <v>9</v>
      </c>
      <c r="D2003" s="11" t="s">
        <v>161</v>
      </c>
      <c r="E2003" s="11" t="s">
        <v>162</v>
      </c>
      <c r="F2003" s="11" t="s">
        <v>80</v>
      </c>
      <c r="G2003" s="12" t="n">
        <v>300</v>
      </c>
      <c r="H2003" s="12" t="n">
        <f aca="false">SUMPRODUCT(ПОТОКИ!B15:G15,ЧАСОВЫЕ_ПРОФИЛИ!B15:G15,КОЭФФИЦИЕНТЫ_ВЫБОРА!F19:K19)</f>
        <v>0.21925</v>
      </c>
      <c r="I2003" s="12" t="n">
        <f aca="false">SUMPRODUCT(ПОТОКИ!B15:G15,ЧАСОВЫЕ_ПРОФИЛИ!B15:G15,КОЭФФИЦИЕНТЫ_ВЫБОРА!F19:K19,ПАРАМЕТРЫ!$B$17:$G$17)</f>
        <v>0.241175</v>
      </c>
      <c r="J2003" s="12" t="n">
        <f aca="false">I2003*G2003/1000</f>
        <v>0.0723525</v>
      </c>
      <c r="K2003" s="11" t="s">
        <v>217</v>
      </c>
      <c r="L2003" s="11" t="s">
        <v>19</v>
      </c>
      <c r="M2003" s="11" t="s">
        <v>145</v>
      </c>
    </row>
    <row r="2004" customFormat="false" ht="15" hidden="false" customHeight="false" outlineLevel="0" collapsed="false">
      <c r="A2004" s="11" t="s">
        <v>111</v>
      </c>
      <c r="B2004" s="11" t="s">
        <v>128</v>
      </c>
      <c r="C2004" s="11" t="n">
        <v>10</v>
      </c>
      <c r="D2004" s="11" t="s">
        <v>161</v>
      </c>
      <c r="E2004" s="11" t="s">
        <v>163</v>
      </c>
      <c r="F2004" s="11" t="s">
        <v>80</v>
      </c>
      <c r="G2004" s="12" t="n">
        <v>280</v>
      </c>
      <c r="H2004" s="12" t="n">
        <f aca="false">SUMPRODUCT(ПОТОКИ!B15:G15,ЧАСОВЫЕ_ПРОФИЛИ!B15:G15,КОЭФФИЦИЕНТЫ_ВЫБОРА!F20:K20)</f>
        <v>0.33725</v>
      </c>
      <c r="I2004" s="12" t="n">
        <f aca="false">SUMPRODUCT(ПОТОКИ!B15:G15,ЧАСОВЫЕ_ПРОФИЛИ!B15:G15,КОЭФФИЦИЕНТЫ_ВЫБОРА!F20:K20,ПАРАМЕТРЫ!$B$17:$G$17)</f>
        <v>0.370975</v>
      </c>
      <c r="J2004" s="12" t="n">
        <f aca="false">I2004*G2004/1000</f>
        <v>0.103873</v>
      </c>
      <c r="K2004" s="11" t="s">
        <v>217</v>
      </c>
      <c r="L2004" s="11" t="s">
        <v>19</v>
      </c>
      <c r="M2004" s="11" t="s">
        <v>145</v>
      </c>
    </row>
    <row r="2005" customFormat="false" ht="15" hidden="false" customHeight="false" outlineLevel="0" collapsed="false">
      <c r="A2005" s="11" t="s">
        <v>111</v>
      </c>
      <c r="B2005" s="11" t="s">
        <v>128</v>
      </c>
      <c r="C2005" s="11" t="n">
        <v>11</v>
      </c>
      <c r="D2005" s="11" t="s">
        <v>161</v>
      </c>
      <c r="E2005" s="11" t="s">
        <v>164</v>
      </c>
      <c r="F2005" s="11" t="s">
        <v>80</v>
      </c>
      <c r="G2005" s="12" t="n">
        <v>270</v>
      </c>
      <c r="H2005" s="12" t="n">
        <f aca="false">SUMPRODUCT(ПОТОКИ!B15:G15,ЧАСОВЫЕ_ПРОФИЛИ!B15:G15,КОЭФФИЦИЕНТЫ_ВЫБОРА!F21:K21)</f>
        <v>0.62275</v>
      </c>
      <c r="I2005" s="12" t="n">
        <f aca="false">SUMPRODUCT(ПОТОКИ!B15:G15,ЧАСОВЫЕ_ПРОФИЛИ!B15:G15,КОЭФФИЦИЕНТЫ_ВЫБОРА!F21:K21,ПАРАМЕТРЫ!$B$17:$G$17)</f>
        <v>0.685025</v>
      </c>
      <c r="J2005" s="12" t="n">
        <f aca="false">I2005*G2005/1000</f>
        <v>0.18495675</v>
      </c>
      <c r="K2005" s="11" t="s">
        <v>217</v>
      </c>
      <c r="L2005" s="11" t="s">
        <v>19</v>
      </c>
      <c r="M2005" s="11" t="s">
        <v>145</v>
      </c>
    </row>
    <row r="2006" customFormat="false" ht="15" hidden="false" customHeight="false" outlineLevel="0" collapsed="false">
      <c r="A2006" s="11" t="s">
        <v>111</v>
      </c>
      <c r="B2006" s="11" t="s">
        <v>128</v>
      </c>
      <c r="C2006" s="11" t="n">
        <v>12</v>
      </c>
      <c r="D2006" s="11" t="s">
        <v>161</v>
      </c>
      <c r="E2006" s="11" t="s">
        <v>165</v>
      </c>
      <c r="F2006" s="11" t="s">
        <v>80</v>
      </c>
      <c r="G2006" s="12" t="n">
        <v>240</v>
      </c>
      <c r="H2006" s="12" t="n">
        <f aca="false">SUMPRODUCT(ПОТОКИ!B15:G15,ЧАСОВЫЕ_ПРОФИЛИ!B15:G15,КОЭФФИЦИЕНТЫ_ВЫБОРА!F22:K22)</f>
        <v>0.40575</v>
      </c>
      <c r="I2006" s="12" t="n">
        <f aca="false">SUMPRODUCT(ПОТОКИ!B15:G15,ЧАСОВЫЕ_ПРОФИЛИ!B15:G15,КОЭФФИЦИЕНТЫ_ВЫБОРА!F22:K22,ПАРАМЕТРЫ!$B$17:$G$17)</f>
        <v>0.446325</v>
      </c>
      <c r="J2006" s="12" t="n">
        <f aca="false">I2006*G2006/1000</f>
        <v>0.107118</v>
      </c>
      <c r="K2006" s="11" t="s">
        <v>217</v>
      </c>
      <c r="L2006" s="11" t="s">
        <v>19</v>
      </c>
      <c r="M2006" s="11" t="s">
        <v>145</v>
      </c>
    </row>
    <row r="2007" customFormat="false" ht="15" hidden="false" customHeight="false" outlineLevel="0" collapsed="false">
      <c r="A2007" s="11" t="s">
        <v>111</v>
      </c>
      <c r="B2007" s="11" t="s">
        <v>128</v>
      </c>
      <c r="C2007" s="11" t="n">
        <v>13</v>
      </c>
      <c r="D2007" s="11" t="s">
        <v>166</v>
      </c>
      <c r="E2007" s="11" t="s">
        <v>167</v>
      </c>
      <c r="F2007" s="11" t="s">
        <v>80</v>
      </c>
      <c r="G2007" s="12" t="n">
        <v>130</v>
      </c>
      <c r="H2007" s="12" t="n">
        <f aca="false">SUMPRODUCT(ПОТОКИ!B15:G15,ЧАСОВЫЕ_ПРОФИЛИ!B15:G15,КОЭФФИЦИЕНТЫ_ВЫБОРА!F23:K23)</f>
        <v>0.1075</v>
      </c>
      <c r="I2007" s="12" t="n">
        <f aca="false">SUMPRODUCT(ПОТОКИ!B15:G15,ЧАСОВЫЕ_ПРОФИЛИ!B15:G15,КОЭФФИЦИЕНТЫ_ВЫБОРА!F23:K23,ПАРАМЕТРЫ!$B$17:$G$17)</f>
        <v>0.11825</v>
      </c>
      <c r="J2007" s="12" t="n">
        <f aca="false">I2007*G2007/1000</f>
        <v>0.0153725</v>
      </c>
      <c r="K2007" s="11" t="s">
        <v>217</v>
      </c>
      <c r="L2007" s="11" t="s">
        <v>19</v>
      </c>
      <c r="M2007" s="11" t="s">
        <v>145</v>
      </c>
    </row>
    <row r="2008" customFormat="false" ht="15" hidden="false" customHeight="false" outlineLevel="0" collapsed="false">
      <c r="A2008" s="11" t="s">
        <v>111</v>
      </c>
      <c r="B2008" s="11" t="s">
        <v>128</v>
      </c>
      <c r="C2008" s="11" t="n">
        <v>14</v>
      </c>
      <c r="D2008" s="11" t="s">
        <v>166</v>
      </c>
      <c r="E2008" s="11" t="s">
        <v>168</v>
      </c>
      <c r="F2008" s="11" t="s">
        <v>80</v>
      </c>
      <c r="G2008" s="12" t="n">
        <v>250</v>
      </c>
      <c r="H2008" s="12" t="n">
        <f aca="false">SUMPRODUCT(ПОТОКИ!B15:G15,ЧАСОВЫЕ_ПРОФИЛИ!B15:G15,КОЭФФИЦИЕНТЫ_ВЫБОРА!F24:K24)</f>
        <v>0.1405</v>
      </c>
      <c r="I2008" s="12" t="n">
        <f aca="false">SUMPRODUCT(ПОТОКИ!B15:G15,ЧАСОВЫЕ_ПРОФИЛИ!B15:G15,КОЭФФИЦИЕНТЫ_ВЫБОРА!F24:K24,ПАРАМЕТРЫ!$B$17:$G$17)</f>
        <v>0.15455</v>
      </c>
      <c r="J2008" s="12" t="n">
        <f aca="false">I2008*G2008/1000</f>
        <v>0.0386375</v>
      </c>
      <c r="K2008" s="11" t="s">
        <v>217</v>
      </c>
      <c r="L2008" s="11" t="s">
        <v>19</v>
      </c>
      <c r="M2008" s="11" t="s">
        <v>145</v>
      </c>
    </row>
    <row r="2009" customFormat="false" ht="15" hidden="false" customHeight="false" outlineLevel="0" collapsed="false">
      <c r="A2009" s="11" t="s">
        <v>111</v>
      </c>
      <c r="B2009" s="11" t="s">
        <v>128</v>
      </c>
      <c r="C2009" s="11" t="n">
        <v>15</v>
      </c>
      <c r="D2009" s="11" t="s">
        <v>166</v>
      </c>
      <c r="E2009" s="11" t="s">
        <v>169</v>
      </c>
      <c r="F2009" s="11" t="s">
        <v>80</v>
      </c>
      <c r="G2009" s="12" t="n">
        <v>120</v>
      </c>
      <c r="H2009" s="12" t="n">
        <f aca="false">SUMPRODUCT(ПОТОКИ!B15:G15,ЧАСОВЫЕ_ПРОФИЛИ!B15:G15,КОЭФФИЦИЕНТЫ_ВЫБОРА!F25:K25)</f>
        <v>0.0805</v>
      </c>
      <c r="I2009" s="12" t="n">
        <f aca="false">SUMPRODUCT(ПОТОКИ!B15:G15,ЧАСОВЫЕ_ПРОФИЛИ!B15:G15,КОЭФФИЦИЕНТЫ_ВЫБОРА!F25:K25,ПАРАМЕТРЫ!$B$17:$G$17)</f>
        <v>0.08855</v>
      </c>
      <c r="J2009" s="12" t="n">
        <f aca="false">I2009*G2009/1000</f>
        <v>0.010626</v>
      </c>
      <c r="K2009" s="11" t="s">
        <v>217</v>
      </c>
      <c r="L2009" s="11" t="s">
        <v>19</v>
      </c>
      <c r="M2009" s="11" t="s">
        <v>145</v>
      </c>
    </row>
    <row r="2010" customFormat="false" ht="15" hidden="false" customHeight="false" outlineLevel="0" collapsed="false">
      <c r="A2010" s="11" t="s">
        <v>111</v>
      </c>
      <c r="B2010" s="11" t="s">
        <v>128</v>
      </c>
      <c r="C2010" s="11" t="n">
        <v>16</v>
      </c>
      <c r="D2010" s="11" t="s">
        <v>166</v>
      </c>
      <c r="E2010" s="11" t="s">
        <v>170</v>
      </c>
      <c r="F2010" s="11" t="s">
        <v>80</v>
      </c>
      <c r="G2010" s="12" t="n">
        <v>180</v>
      </c>
      <c r="H2010" s="12" t="n">
        <f aca="false">SUMPRODUCT(ПОТОКИ!B15:G15,ЧАСОВЫЕ_ПРОФИЛИ!B15:G15,КОЭФФИЦИЕНТЫ_ВЫБОРА!F26:K26)</f>
        <v>0.194</v>
      </c>
      <c r="I2010" s="12" t="n">
        <f aca="false">SUMPRODUCT(ПОТОКИ!B15:G15,ЧАСОВЫЕ_ПРОФИЛИ!B15:G15,КОЭФФИЦИЕНТЫ_ВЫБОРА!F26:K26,ПАРАМЕТРЫ!$B$17:$G$17)</f>
        <v>0.2134</v>
      </c>
      <c r="J2010" s="12" t="n">
        <f aca="false">I2010*G2010/1000</f>
        <v>0.038412</v>
      </c>
      <c r="K2010" s="11" t="s">
        <v>217</v>
      </c>
      <c r="L2010" s="11" t="s">
        <v>19</v>
      </c>
      <c r="M2010" s="11" t="s">
        <v>145</v>
      </c>
    </row>
    <row r="2011" customFormat="false" ht="15" hidden="false" customHeight="false" outlineLevel="0" collapsed="false">
      <c r="A2011" s="11" t="s">
        <v>111</v>
      </c>
      <c r="B2011" s="11" t="s">
        <v>128</v>
      </c>
      <c r="C2011" s="11" t="n">
        <v>17</v>
      </c>
      <c r="D2011" s="11" t="s">
        <v>166</v>
      </c>
      <c r="E2011" s="11" t="s">
        <v>171</v>
      </c>
      <c r="F2011" s="11" t="s">
        <v>80</v>
      </c>
      <c r="G2011" s="12" t="n">
        <v>180</v>
      </c>
      <c r="H2011" s="12" t="n">
        <f aca="false">SUMPRODUCT(ПОТОКИ!B15:G15,ЧАСОВЫЕ_ПРОФИЛИ!B15:G15,КОЭФФИЦИЕНТЫ_ВЫБОРА!F27:K27)</f>
        <v>0.1475</v>
      </c>
      <c r="I2011" s="12" t="n">
        <f aca="false">SUMPRODUCT(ПОТОКИ!B15:G15,ЧАСОВЫЕ_ПРОФИЛИ!B15:G15,КОЭФФИЦИЕНТЫ_ВЫБОРА!F27:K27,ПАРАМЕТРЫ!$B$17:$G$17)</f>
        <v>0.16225</v>
      </c>
      <c r="J2011" s="12" t="n">
        <f aca="false">I2011*G2011/1000</f>
        <v>0.029205</v>
      </c>
      <c r="K2011" s="11" t="s">
        <v>217</v>
      </c>
      <c r="L2011" s="11" t="s">
        <v>19</v>
      </c>
      <c r="M2011" s="11" t="s">
        <v>145</v>
      </c>
    </row>
    <row r="2012" customFormat="false" ht="15" hidden="false" customHeight="false" outlineLevel="0" collapsed="false">
      <c r="A2012" s="11" t="s">
        <v>111</v>
      </c>
      <c r="B2012" s="11" t="s">
        <v>128</v>
      </c>
      <c r="C2012" s="11" t="n">
        <v>18</v>
      </c>
      <c r="D2012" s="11" t="s">
        <v>172</v>
      </c>
      <c r="E2012" s="11" t="s">
        <v>173</v>
      </c>
      <c r="F2012" s="11" t="s">
        <v>83</v>
      </c>
      <c r="G2012" s="12" t="n">
        <v>400</v>
      </c>
      <c r="H2012" s="12" t="n">
        <f aca="false">SUMPRODUCT(ПОТОКИ!B15:G15,ЧАСОВЫЕ_ПРОФИЛИ!B15:G15,КОЭФФИЦИЕНТЫ_ВЫБОРА!F28:K28)</f>
        <v>1.535</v>
      </c>
      <c r="I2012" s="12" t="n">
        <f aca="false">SUMPRODUCT(ПОТОКИ!B15:G15,ЧАСОВЫЕ_ПРОФИЛИ!B15:G15,КОЭФФИЦИЕНТЫ_ВЫБОРА!F28:K28,ПАРАМЕТРЫ!$B$17:$G$17)</f>
        <v>1.6885</v>
      </c>
      <c r="J2012" s="12" t="n">
        <f aca="false">I2012*G2012/1000</f>
        <v>0.6754</v>
      </c>
      <c r="K2012" s="11" t="s">
        <v>217</v>
      </c>
      <c r="L2012" s="11" t="s">
        <v>19</v>
      </c>
      <c r="M2012" s="11" t="s">
        <v>145</v>
      </c>
    </row>
    <row r="2013" customFormat="false" ht="23.85" hidden="false" customHeight="false" outlineLevel="0" collapsed="false">
      <c r="A2013" s="11" t="s">
        <v>111</v>
      </c>
      <c r="B2013" s="11" t="s">
        <v>128</v>
      </c>
      <c r="C2013" s="11" t="n">
        <v>19</v>
      </c>
      <c r="D2013" s="11" t="s">
        <v>174</v>
      </c>
      <c r="E2013" s="11" t="s">
        <v>175</v>
      </c>
      <c r="F2013" s="11" t="s">
        <v>83</v>
      </c>
      <c r="G2013" s="12" t="n">
        <v>300</v>
      </c>
      <c r="H2013" s="12" t="n">
        <f aca="false">SUMPRODUCT(ПОТОКИ!B15:G15,ЧАСОВЫЕ_ПРОФИЛИ!B15:G15,КОЭФФИЦИЕНТЫ_ВЫБОРА!F29:K29)</f>
        <v>1.215375</v>
      </c>
      <c r="I2013" s="12" t="n">
        <f aca="false">SUMPRODUCT(ПОТОКИ!B15:G15,ЧАСОВЫЕ_ПРОФИЛИ!B15:G15,КОЭФФИЦИЕНТЫ_ВЫБОРА!F29:K29,ПАРАМЕТРЫ!$B$17:$G$17)</f>
        <v>1.3369125</v>
      </c>
      <c r="J2013" s="12" t="n">
        <f aca="false">I2013*G2013/1000</f>
        <v>0.40107375</v>
      </c>
      <c r="K2013" s="11" t="s">
        <v>217</v>
      </c>
      <c r="L2013" s="11" t="s">
        <v>19</v>
      </c>
      <c r="M2013" s="11" t="s">
        <v>145</v>
      </c>
    </row>
    <row r="2014" customFormat="false" ht="15" hidden="false" customHeight="false" outlineLevel="0" collapsed="false">
      <c r="A2014" s="11" t="s">
        <v>111</v>
      </c>
      <c r="B2014" s="11" t="s">
        <v>128</v>
      </c>
      <c r="C2014" s="11" t="n">
        <v>20</v>
      </c>
      <c r="D2014" s="11" t="s">
        <v>174</v>
      </c>
      <c r="E2014" s="11" t="s">
        <v>176</v>
      </c>
      <c r="F2014" s="11" t="s">
        <v>83</v>
      </c>
      <c r="G2014" s="12" t="n">
        <v>360</v>
      </c>
      <c r="H2014" s="12" t="n">
        <f aca="false">SUMPRODUCT(ПОТОКИ!B15:G15,ЧАСОВЫЕ_ПРОФИЛИ!B15:G15,КОЭФФИЦИЕНТЫ_ВЫБОРА!F30:K30)</f>
        <v>0.8955</v>
      </c>
      <c r="I2014" s="12" t="n">
        <f aca="false">SUMPRODUCT(ПОТОКИ!B15:G15,ЧАСОВЫЕ_ПРОФИЛИ!B15:G15,КОЭФФИЦИЕНТЫ_ВЫБОРА!F30:K30,ПАРАМЕТРЫ!$B$17:$G$17)</f>
        <v>0.98505</v>
      </c>
      <c r="J2014" s="12" t="n">
        <f aca="false">I2014*G2014/1000</f>
        <v>0.354618</v>
      </c>
      <c r="K2014" s="11" t="s">
        <v>217</v>
      </c>
      <c r="L2014" s="11" t="s">
        <v>19</v>
      </c>
      <c r="M2014" s="11" t="s">
        <v>145</v>
      </c>
    </row>
    <row r="2015" customFormat="false" ht="15" hidden="false" customHeight="false" outlineLevel="0" collapsed="false">
      <c r="A2015" s="11" t="s">
        <v>111</v>
      </c>
      <c r="B2015" s="11" t="s">
        <v>128</v>
      </c>
      <c r="C2015" s="11" t="n">
        <v>21</v>
      </c>
      <c r="D2015" s="11" t="s">
        <v>174</v>
      </c>
      <c r="E2015" s="11" t="s">
        <v>177</v>
      </c>
      <c r="F2015" s="11" t="s">
        <v>83</v>
      </c>
      <c r="G2015" s="12" t="n">
        <v>350</v>
      </c>
      <c r="H2015" s="12" t="n">
        <f aca="false">SUMPRODUCT(ПОТОКИ!B15:G15,ЧАСОВЫЕ_ПРОФИЛИ!B15:G15,КОЭФФИЦИЕНТЫ_ВЫБОРА!F31:K31)</f>
        <v>1.50525</v>
      </c>
      <c r="I2015" s="12" t="n">
        <f aca="false">SUMPRODUCT(ПОТОКИ!B15:G15,ЧАСОВЫЕ_ПРОФИЛИ!B15:G15,КОЭФФИЦИЕНТЫ_ВЫБОРА!F31:K31,ПАРАМЕТРЫ!$B$17:$G$17)</f>
        <v>1.655775</v>
      </c>
      <c r="J2015" s="12" t="n">
        <f aca="false">I2015*G2015/1000</f>
        <v>0.57952125</v>
      </c>
      <c r="K2015" s="11" t="s">
        <v>217</v>
      </c>
      <c r="L2015" s="11" t="s">
        <v>19</v>
      </c>
      <c r="M2015" s="11" t="s">
        <v>145</v>
      </c>
    </row>
    <row r="2016" customFormat="false" ht="15" hidden="false" customHeight="false" outlineLevel="0" collapsed="false">
      <c r="A2016" s="11" t="s">
        <v>111</v>
      </c>
      <c r="B2016" s="11" t="s">
        <v>128</v>
      </c>
      <c r="C2016" s="11" t="n">
        <v>22</v>
      </c>
      <c r="D2016" s="11" t="s">
        <v>174</v>
      </c>
      <c r="E2016" s="11" t="s">
        <v>178</v>
      </c>
      <c r="F2016" s="11" t="s">
        <v>83</v>
      </c>
      <c r="G2016" s="12" t="n">
        <v>300</v>
      </c>
      <c r="H2016" s="12" t="n">
        <f aca="false">SUMPRODUCT(ПОТОКИ!B15:G15,ЧАСОВЫЕ_ПРОФИЛИ!B15:G15,КОЭФФИЦИЕНТЫ_ВЫБОРА!F32:K32)</f>
        <v>0.741375</v>
      </c>
      <c r="I2016" s="12" t="n">
        <f aca="false">SUMPRODUCT(ПОТОКИ!B15:G15,ЧАСОВЫЕ_ПРОФИЛИ!B15:G15,КОЭФФИЦИЕНТЫ_ВЫБОРА!F32:K32,ПАРАМЕТРЫ!$B$17:$G$17)</f>
        <v>0.8155125</v>
      </c>
      <c r="J2016" s="12" t="n">
        <f aca="false">I2016*G2016/1000</f>
        <v>0.24465375</v>
      </c>
      <c r="K2016" s="11" t="s">
        <v>217</v>
      </c>
      <c r="L2016" s="11" t="s">
        <v>19</v>
      </c>
      <c r="M2016" s="11" t="s">
        <v>145</v>
      </c>
    </row>
    <row r="2017" customFormat="false" ht="15" hidden="false" customHeight="false" outlineLevel="0" collapsed="false">
      <c r="A2017" s="11" t="s">
        <v>111</v>
      </c>
      <c r="B2017" s="11" t="s">
        <v>128</v>
      </c>
      <c r="C2017" s="11" t="n">
        <v>23</v>
      </c>
      <c r="D2017" s="11" t="s">
        <v>86</v>
      </c>
      <c r="E2017" s="11" t="s">
        <v>179</v>
      </c>
      <c r="F2017" s="11" t="s">
        <v>85</v>
      </c>
      <c r="G2017" s="12" t="n">
        <v>150</v>
      </c>
      <c r="H2017" s="12" t="n">
        <f aca="false">SUMPRODUCT(ПОТОКИ!B15:G15,ЧАСОВЫЕ_ПРОФИЛИ!B15:G15,КОЭФФИЦИЕНТЫ_ВЫБОРА!F33:K33)</f>
        <v>1.149045</v>
      </c>
      <c r="I2017" s="12" t="n">
        <f aca="false">SUMPRODUCT(ПОТОКИ!B15:G15,ЧАСОВЫЕ_ПРОФИЛИ!B15:G15,КОЭФФИЦИЕНТЫ_ВЫБОРА!F33:K33,ПАРАМЕТРЫ!$B$17:$G$17)</f>
        <v>1.2639495</v>
      </c>
      <c r="J2017" s="12" t="n">
        <f aca="false">I2017*G2017/1000</f>
        <v>0.189592425</v>
      </c>
      <c r="K2017" s="11" t="s">
        <v>217</v>
      </c>
      <c r="L2017" s="11" t="s">
        <v>19</v>
      </c>
      <c r="M2017" s="11" t="s">
        <v>147</v>
      </c>
    </row>
    <row r="2018" customFormat="false" ht="15" hidden="false" customHeight="false" outlineLevel="0" collapsed="false">
      <c r="A2018" s="11" t="s">
        <v>111</v>
      </c>
      <c r="B2018" s="11" t="s">
        <v>128</v>
      </c>
      <c r="C2018" s="11" t="n">
        <v>24</v>
      </c>
      <c r="D2018" s="11" t="s">
        <v>86</v>
      </c>
      <c r="E2018" s="11" t="s">
        <v>180</v>
      </c>
      <c r="F2018" s="11" t="s">
        <v>85</v>
      </c>
      <c r="G2018" s="12" t="n">
        <v>150</v>
      </c>
      <c r="H2018" s="12" t="n">
        <f aca="false">SUMPRODUCT(ПОТОКИ!B15:G15,ЧАСОВЫЕ_ПРОФИЛИ!B15:G15,КОЭФФИЦИЕНТЫ_ВЫБОРА!F34:K34)</f>
        <v>0.4807725</v>
      </c>
      <c r="I2018" s="12" t="n">
        <f aca="false">SUMPRODUCT(ПОТОКИ!B15:G15,ЧАСОВЫЕ_ПРОФИЛИ!B15:G15,КОЭФФИЦИЕНТЫ_ВЫБОРА!F34:K34,ПАРАМЕТРЫ!$B$17:$G$17)</f>
        <v>0.52884975</v>
      </c>
      <c r="J2018" s="12" t="n">
        <f aca="false">I2018*G2018/1000</f>
        <v>0.0793274625</v>
      </c>
      <c r="K2018" s="11" t="s">
        <v>217</v>
      </c>
      <c r="L2018" s="11" t="s">
        <v>19</v>
      </c>
      <c r="M2018" s="11" t="s">
        <v>147</v>
      </c>
    </row>
    <row r="2019" customFormat="false" ht="15" hidden="false" customHeight="false" outlineLevel="0" collapsed="false">
      <c r="A2019" s="11" t="s">
        <v>111</v>
      </c>
      <c r="B2019" s="11" t="s">
        <v>128</v>
      </c>
      <c r="C2019" s="11" t="n">
        <v>25</v>
      </c>
      <c r="D2019" s="11" t="s">
        <v>86</v>
      </c>
      <c r="E2019" s="11" t="s">
        <v>181</v>
      </c>
      <c r="F2019" s="11" t="s">
        <v>85</v>
      </c>
      <c r="G2019" s="12" t="n">
        <v>150</v>
      </c>
      <c r="H2019" s="12" t="n">
        <f aca="false">SUMPRODUCT(ПОТОКИ!B15:G15,ЧАСОВЫЕ_ПРОФИЛИ!B15:G15,КОЭФФИЦИЕНТЫ_ВЫБОРА!F35:K35)</f>
        <v>0.774045</v>
      </c>
      <c r="I2019" s="12" t="n">
        <f aca="false">SUMPRODUCT(ПОТОКИ!B15:G15,ЧАСОВЫЕ_ПРОФИЛИ!B15:G15,КОЭФФИЦИЕНТЫ_ВЫБОРА!F35:K35,ПАРАМЕТРЫ!$B$17:$G$17)</f>
        <v>0.8514495</v>
      </c>
      <c r="J2019" s="12" t="n">
        <f aca="false">I2019*G2019/1000</f>
        <v>0.127717425</v>
      </c>
      <c r="K2019" s="11" t="s">
        <v>217</v>
      </c>
      <c r="L2019" s="11" t="s">
        <v>19</v>
      </c>
      <c r="M2019" s="11" t="s">
        <v>147</v>
      </c>
    </row>
    <row r="2020" customFormat="false" ht="23.85" hidden="false" customHeight="false" outlineLevel="0" collapsed="false">
      <c r="A2020" s="11" t="s">
        <v>111</v>
      </c>
      <c r="B2020" s="11" t="s">
        <v>128</v>
      </c>
      <c r="C2020" s="11" t="n">
        <v>26</v>
      </c>
      <c r="D2020" s="11" t="s">
        <v>89</v>
      </c>
      <c r="E2020" s="11" t="s">
        <v>182</v>
      </c>
      <c r="F2020" s="11" t="s">
        <v>88</v>
      </c>
      <c r="G2020" s="12" t="n">
        <v>225</v>
      </c>
      <c r="H2020" s="12" t="n">
        <f aca="false">SUMPRODUCT(ПОТОКИ!B15:G15,ЧАСОВЫЕ_ПРОФИЛИ!B15:G15,КОЭФФИЦИЕНТЫ_ВЫБОРА!F36:K36)</f>
        <v>0.4125</v>
      </c>
      <c r="I2020" s="12" t="n">
        <f aca="false">SUMPRODUCT(ПОТОКИ!B15:G15,ЧАСОВЫЕ_ПРОФИЛИ!B15:G15,КОЭФФИЦИЕНТЫ_ВЫБОРА!F36:K36,ПАРАМЕТРЫ!$B$17:$G$17)</f>
        <v>0.4125</v>
      </c>
      <c r="J2020" s="12" t="n">
        <f aca="false">I2020*G2020/1000</f>
        <v>0.0928125</v>
      </c>
      <c r="K2020" s="11" t="s">
        <v>217</v>
      </c>
      <c r="L2020" s="11" t="s">
        <v>19</v>
      </c>
      <c r="M2020" s="11" t="s">
        <v>145</v>
      </c>
    </row>
    <row r="2021" customFormat="false" ht="23.85" hidden="false" customHeight="false" outlineLevel="0" collapsed="false">
      <c r="A2021" s="11" t="s">
        <v>111</v>
      </c>
      <c r="B2021" s="11" t="s">
        <v>128</v>
      </c>
      <c r="C2021" s="11" t="n">
        <v>27</v>
      </c>
      <c r="D2021" s="11" t="s">
        <v>89</v>
      </c>
      <c r="E2021" s="11" t="s">
        <v>183</v>
      </c>
      <c r="F2021" s="11" t="s">
        <v>88</v>
      </c>
      <c r="G2021" s="12" t="n">
        <v>265</v>
      </c>
      <c r="H2021" s="12" t="n">
        <f aca="false">SUMPRODUCT(ПОТОКИ!B15:G15,ЧАСОВЫЕ_ПРОФИЛИ!B15:G15,КОЭФФИЦИЕНТЫ_ВЫБОРА!F37:K37)</f>
        <v>0.4125</v>
      </c>
      <c r="I2021" s="12" t="n">
        <f aca="false">SUMPRODUCT(ПОТОКИ!B15:G15,ЧАСОВЫЕ_ПРОФИЛИ!B15:G15,КОЭФФИЦИЕНТЫ_ВЫБОРА!F37:K37,ПАРАМЕТРЫ!$B$17:$G$17)</f>
        <v>0.4125</v>
      </c>
      <c r="J2021" s="12" t="n">
        <f aca="false">I2021*G2021/1000</f>
        <v>0.1093125</v>
      </c>
      <c r="K2021" s="11" t="s">
        <v>217</v>
      </c>
      <c r="L2021" s="11" t="s">
        <v>19</v>
      </c>
      <c r="M2021" s="11" t="s">
        <v>145</v>
      </c>
    </row>
    <row r="2022" customFormat="false" ht="23.85" hidden="false" customHeight="false" outlineLevel="0" collapsed="false">
      <c r="A2022" s="11" t="s">
        <v>111</v>
      </c>
      <c r="B2022" s="11" t="s">
        <v>128</v>
      </c>
      <c r="C2022" s="11" t="n">
        <v>28</v>
      </c>
      <c r="D2022" s="11" t="s">
        <v>89</v>
      </c>
      <c r="E2022" s="11" t="s">
        <v>184</v>
      </c>
      <c r="F2022" s="11" t="s">
        <v>88</v>
      </c>
      <c r="G2022" s="12" t="n">
        <v>355</v>
      </c>
      <c r="H2022" s="12" t="n">
        <f aca="false">SUMPRODUCT(ПОТОКИ!B15:G15,ЧАСОВЫЕ_ПРОФИЛИ!B15:G15,КОЭФФИЦИЕНТЫ_ВЫБОРА!F38:K38)</f>
        <v>0.275</v>
      </c>
      <c r="I2022" s="12" t="n">
        <f aca="false">SUMPRODUCT(ПОТОКИ!B15:G15,ЧАСОВЫЕ_ПРОФИЛИ!B15:G15,КОЭФФИЦИЕНТЫ_ВЫБОРА!F38:K38,ПАРАМЕТРЫ!$B$17:$G$17)</f>
        <v>0.275</v>
      </c>
      <c r="J2022" s="12" t="n">
        <f aca="false">I2022*G2022/1000</f>
        <v>0.097625</v>
      </c>
      <c r="K2022" s="11" t="s">
        <v>217</v>
      </c>
      <c r="L2022" s="11" t="s">
        <v>19</v>
      </c>
      <c r="M2022" s="11" t="s">
        <v>145</v>
      </c>
    </row>
    <row r="2023" customFormat="false" ht="15" hidden="false" customHeight="false" outlineLevel="0" collapsed="false">
      <c r="A2023" s="11" t="s">
        <v>111</v>
      </c>
      <c r="B2023" s="11" t="s">
        <v>128</v>
      </c>
      <c r="C2023" s="11" t="n">
        <v>29</v>
      </c>
      <c r="D2023" s="11" t="s">
        <v>92</v>
      </c>
      <c r="E2023" s="11" t="s">
        <v>185</v>
      </c>
      <c r="F2023" s="11" t="s">
        <v>91</v>
      </c>
      <c r="G2023" s="12" t="n">
        <v>150</v>
      </c>
      <c r="H2023" s="12" t="n">
        <f aca="false">SUMPRODUCT(ПОТОКИ!B15:G15,ЧАСОВЫЕ_ПРОФИЛИ!B15:G15,КОЭФФИЦИЕНТЫ_ВЫБОРА!F39:K39)</f>
        <v>0.225</v>
      </c>
      <c r="I2023" s="12" t="n">
        <f aca="false">SUMPRODUCT(ПОТОКИ!B15:G15,ЧАСОВЫЕ_ПРОФИЛИ!B15:G15,КОЭФФИЦИЕНТЫ_ВЫБОРА!F39:K39,ПАРАМЕТРЫ!$B$17:$G$17)</f>
        <v>0.2475</v>
      </c>
      <c r="J2023" s="12" t="n">
        <f aca="false">I2023*G2023/1000</f>
        <v>0.037125</v>
      </c>
      <c r="K2023" s="11" t="s">
        <v>217</v>
      </c>
      <c r="L2023" s="11" t="s">
        <v>19</v>
      </c>
      <c r="M2023" s="11" t="s">
        <v>145</v>
      </c>
    </row>
    <row r="2024" customFormat="false" ht="15" hidden="false" customHeight="false" outlineLevel="0" collapsed="false">
      <c r="A2024" s="11" t="s">
        <v>111</v>
      </c>
      <c r="B2024" s="11" t="s">
        <v>128</v>
      </c>
      <c r="C2024" s="11" t="n">
        <v>30</v>
      </c>
      <c r="D2024" s="11" t="s">
        <v>92</v>
      </c>
      <c r="E2024" s="11" t="s">
        <v>186</v>
      </c>
      <c r="F2024" s="11" t="s">
        <v>91</v>
      </c>
      <c r="G2024" s="12" t="n">
        <v>120</v>
      </c>
      <c r="H2024" s="12" t="n">
        <f aca="false">SUMPRODUCT(ПОТОКИ!B15:G15,ЧАСОВЫЕ_ПРОФИЛИ!B15:G15,КОЭФФИЦИЕНТЫ_ВЫБОРА!F40:K40)</f>
        <v>0.225</v>
      </c>
      <c r="I2024" s="12" t="n">
        <f aca="false">SUMPRODUCT(ПОТОКИ!B15:G15,ЧАСОВЫЕ_ПРОФИЛИ!B15:G15,КОЭФФИЦИЕНТЫ_ВЫБОРА!F40:K40,ПАРАМЕТРЫ!$B$17:$G$17)</f>
        <v>0.2475</v>
      </c>
      <c r="J2024" s="12" t="n">
        <f aca="false">I2024*G2024/1000</f>
        <v>0.0297</v>
      </c>
      <c r="K2024" s="11" t="s">
        <v>217</v>
      </c>
      <c r="L2024" s="11" t="s">
        <v>19</v>
      </c>
      <c r="M2024" s="11" t="s">
        <v>145</v>
      </c>
    </row>
    <row r="2025" customFormat="false" ht="15" hidden="false" customHeight="false" outlineLevel="0" collapsed="false">
      <c r="A2025" s="11" t="s">
        <v>111</v>
      </c>
      <c r="B2025" s="11" t="s">
        <v>128</v>
      </c>
      <c r="C2025" s="11" t="n">
        <v>31</v>
      </c>
      <c r="D2025" s="11" t="s">
        <v>92</v>
      </c>
      <c r="E2025" s="11" t="s">
        <v>187</v>
      </c>
      <c r="F2025" s="11" t="s">
        <v>91</v>
      </c>
      <c r="G2025" s="12" t="n">
        <v>60</v>
      </c>
      <c r="H2025" s="12" t="n">
        <f aca="false">SUMPRODUCT(ПОТОКИ!B15:G15,ЧАСОВЫЕ_ПРОФИЛИ!B15:G15,КОЭФФИЦИЕНТЫ_ВЫБОРА!F41:K41)</f>
        <v>0.2325</v>
      </c>
      <c r="I2025" s="12" t="n">
        <f aca="false">SUMPRODUCT(ПОТОКИ!B15:G15,ЧАСОВЫЕ_ПРОФИЛИ!B15:G15,КОЭФФИЦИЕНТЫ_ВЫБОРА!F41:K41,ПАРАМЕТРЫ!$B$17:$G$17)</f>
        <v>0.25575</v>
      </c>
      <c r="J2025" s="12" t="n">
        <f aca="false">I2025*G2025/1000</f>
        <v>0.015345</v>
      </c>
      <c r="K2025" s="11" t="s">
        <v>217</v>
      </c>
      <c r="L2025" s="11" t="s">
        <v>19</v>
      </c>
      <c r="M2025" s="11" t="s">
        <v>145</v>
      </c>
    </row>
    <row r="2026" customFormat="false" ht="15" hidden="false" customHeight="false" outlineLevel="0" collapsed="false">
      <c r="A2026" s="11" t="s">
        <v>111</v>
      </c>
      <c r="B2026" s="11" t="s">
        <v>129</v>
      </c>
      <c r="C2026" s="11" t="n">
        <v>1</v>
      </c>
      <c r="D2026" s="11" t="s">
        <v>74</v>
      </c>
      <c r="E2026" s="11" t="s">
        <v>153</v>
      </c>
      <c r="F2026" s="11" t="s">
        <v>73</v>
      </c>
      <c r="G2026" s="12" t="n">
        <v>450</v>
      </c>
      <c r="H2026" s="12" t="n">
        <f aca="false">SUMPRODUCT(ПОТОКИ!B15:G15,ЧАСОВЫЕ_ПРОФИЛИ!B16:G16,КОЭФФИЦИЕНТЫ_ВЫБОРА!F11:K11)</f>
        <v>0.663</v>
      </c>
      <c r="I2026" s="12" t="n">
        <f aca="false">SUMPRODUCT(ПОТОКИ!B15:G15,ЧАСОВЫЕ_ПРОФИЛИ!B16:G16,КОЭФФИЦИЕНТЫ_ВЫБОРА!F11:K11,ПАРАМЕТРЫ!$B$17:$G$17)</f>
        <v>0.7293</v>
      </c>
      <c r="J2026" s="12" t="n">
        <f aca="false">I2026*G2026/1000</f>
        <v>0.328185</v>
      </c>
      <c r="K2026" s="11" t="s">
        <v>217</v>
      </c>
      <c r="L2026" s="11" t="s">
        <v>19</v>
      </c>
      <c r="M2026" s="11" t="s">
        <v>145</v>
      </c>
    </row>
    <row r="2027" customFormat="false" ht="15" hidden="false" customHeight="false" outlineLevel="0" collapsed="false">
      <c r="A2027" s="11" t="s">
        <v>111</v>
      </c>
      <c r="B2027" s="11" t="s">
        <v>129</v>
      </c>
      <c r="C2027" s="11" t="n">
        <v>2</v>
      </c>
      <c r="D2027" s="11" t="s">
        <v>74</v>
      </c>
      <c r="E2027" s="11" t="s">
        <v>154</v>
      </c>
      <c r="F2027" s="11" t="s">
        <v>73</v>
      </c>
      <c r="G2027" s="12" t="n">
        <v>480</v>
      </c>
      <c r="H2027" s="12" t="n">
        <f aca="false">SUMPRODUCT(ПОТОКИ!B15:G15,ЧАСОВЫЕ_ПРОФИЛИ!B16:G16,КОЭФФИЦИЕНТЫ_ВЫБОРА!F12:K12)</f>
        <v>0.729</v>
      </c>
      <c r="I2027" s="12" t="n">
        <f aca="false">SUMPRODUCT(ПОТОКИ!B15:G15,ЧАСОВЫЕ_ПРОФИЛИ!B16:G16,КОЭФФИЦИЕНТЫ_ВЫБОРА!F12:K12,ПАРАМЕТРЫ!$B$17:$G$17)</f>
        <v>0.8019</v>
      </c>
      <c r="J2027" s="12" t="n">
        <f aca="false">I2027*G2027/1000</f>
        <v>0.384912</v>
      </c>
      <c r="K2027" s="11" t="s">
        <v>217</v>
      </c>
      <c r="L2027" s="11" t="s">
        <v>19</v>
      </c>
      <c r="M2027" s="11" t="s">
        <v>145</v>
      </c>
    </row>
    <row r="2028" customFormat="false" ht="15" hidden="false" customHeight="false" outlineLevel="0" collapsed="false">
      <c r="A2028" s="11" t="s">
        <v>111</v>
      </c>
      <c r="B2028" s="11" t="s">
        <v>129</v>
      </c>
      <c r="C2028" s="11" t="n">
        <v>3</v>
      </c>
      <c r="D2028" s="11" t="s">
        <v>74</v>
      </c>
      <c r="E2028" s="11" t="s">
        <v>155</v>
      </c>
      <c r="F2028" s="11" t="s">
        <v>73</v>
      </c>
      <c r="G2028" s="12" t="n">
        <v>500</v>
      </c>
      <c r="H2028" s="12" t="n">
        <f aca="false">SUMPRODUCT(ПОТОКИ!B15:G15,ЧАСОВЫЕ_ПРОФИЛИ!B16:G16,КОЭФФИЦИЕНТЫ_ВЫБОРА!F13:K13)</f>
        <v>1.356</v>
      </c>
      <c r="I2028" s="12" t="n">
        <f aca="false">SUMPRODUCT(ПОТОКИ!B15:G15,ЧАСОВЫЕ_ПРОФИЛИ!B16:G16,КОЭФФИЦИЕНТЫ_ВЫБОРА!F13:K13,ПАРАМЕТРЫ!$B$17:$G$17)</f>
        <v>1.4916</v>
      </c>
      <c r="J2028" s="12" t="n">
        <f aca="false">I2028*G2028/1000</f>
        <v>0.7458</v>
      </c>
      <c r="K2028" s="11" t="s">
        <v>217</v>
      </c>
      <c r="L2028" s="11" t="s">
        <v>19</v>
      </c>
      <c r="M2028" s="11" t="s">
        <v>145</v>
      </c>
    </row>
    <row r="2029" customFormat="false" ht="15" hidden="false" customHeight="false" outlineLevel="0" collapsed="false">
      <c r="A2029" s="11" t="s">
        <v>111</v>
      </c>
      <c r="B2029" s="11" t="s">
        <v>129</v>
      </c>
      <c r="C2029" s="11" t="n">
        <v>4</v>
      </c>
      <c r="D2029" s="11" t="s">
        <v>74</v>
      </c>
      <c r="E2029" s="11" t="s">
        <v>156</v>
      </c>
      <c r="F2029" s="11" t="s">
        <v>73</v>
      </c>
      <c r="G2029" s="12" t="n">
        <v>500</v>
      </c>
      <c r="H2029" s="12" t="n">
        <f aca="false">SUMPRODUCT(ПОТОКИ!B15:G15,ЧАСОВЫЕ_ПРОФИЛИ!B16:G16,КОЭФФИЦИЕНТЫ_ВЫБОРА!F14:K14)</f>
        <v>1.422</v>
      </c>
      <c r="I2029" s="12" t="n">
        <f aca="false">SUMPRODUCT(ПОТОКИ!B15:G15,ЧАСОВЫЕ_ПРОФИЛИ!B16:G16,КОЭФФИЦИЕНТЫ_ВЫБОРА!F14:K14,ПАРАМЕТРЫ!$B$17:$G$17)</f>
        <v>1.5642</v>
      </c>
      <c r="J2029" s="12" t="n">
        <f aca="false">I2029*G2029/1000</f>
        <v>0.7821</v>
      </c>
      <c r="K2029" s="11" t="s">
        <v>217</v>
      </c>
      <c r="L2029" s="11" t="s">
        <v>19</v>
      </c>
      <c r="M2029" s="11" t="s">
        <v>145</v>
      </c>
    </row>
    <row r="2030" customFormat="false" ht="15" hidden="false" customHeight="false" outlineLevel="0" collapsed="false">
      <c r="A2030" s="11" t="s">
        <v>111</v>
      </c>
      <c r="B2030" s="11" t="s">
        <v>129</v>
      </c>
      <c r="C2030" s="11" t="n">
        <v>5</v>
      </c>
      <c r="D2030" s="11" t="s">
        <v>78</v>
      </c>
      <c r="E2030" s="11" t="s">
        <v>157</v>
      </c>
      <c r="F2030" s="11" t="s">
        <v>77</v>
      </c>
      <c r="G2030" s="12" t="n">
        <v>100</v>
      </c>
      <c r="H2030" s="12" t="n">
        <f aca="false">SUMPRODUCT(ПОТОКИ!B15:G15,ЧАСОВЫЕ_ПРОФИЛИ!B16:G16,КОЭФФИЦИЕНТЫ_ВЫБОРА!F15:K15)</f>
        <v>0.757</v>
      </c>
      <c r="I2030" s="12" t="n">
        <f aca="false">SUMPRODUCT(ПОТОКИ!B15:G15,ЧАСОВЫЕ_ПРОФИЛИ!B16:G16,КОЭФФИЦИЕНТЫ_ВЫБОРА!F15:K15,ПАРАМЕТРЫ!$B$17:$G$17)</f>
        <v>0.8327</v>
      </c>
      <c r="J2030" s="12" t="n">
        <f aca="false">I2030*G2030/1000</f>
        <v>0.08327</v>
      </c>
      <c r="K2030" s="11" t="s">
        <v>217</v>
      </c>
      <c r="L2030" s="11" t="s">
        <v>19</v>
      </c>
      <c r="M2030" s="11" t="s">
        <v>147</v>
      </c>
    </row>
    <row r="2031" customFormat="false" ht="15" hidden="false" customHeight="false" outlineLevel="0" collapsed="false">
      <c r="A2031" s="11" t="s">
        <v>111</v>
      </c>
      <c r="B2031" s="11" t="s">
        <v>129</v>
      </c>
      <c r="C2031" s="11" t="n">
        <v>6</v>
      </c>
      <c r="D2031" s="11" t="s">
        <v>78</v>
      </c>
      <c r="E2031" s="11" t="s">
        <v>158</v>
      </c>
      <c r="F2031" s="11" t="s">
        <v>77</v>
      </c>
      <c r="G2031" s="12" t="n">
        <v>100</v>
      </c>
      <c r="H2031" s="12" t="n">
        <f aca="false">SUMPRODUCT(ПОТОКИ!B15:G15,ЧАСОВЫЕ_ПРОФИЛИ!B16:G16,КОЭФФИЦИЕНТЫ_ВЫБОРА!F16:K16)</f>
        <v>0.651</v>
      </c>
      <c r="I2031" s="12" t="n">
        <f aca="false">SUMPRODUCT(ПОТОКИ!B15:G15,ЧАСОВЫЕ_ПРОФИЛИ!B16:G16,КОЭФФИЦИЕНТЫ_ВЫБОРА!F16:K16,ПАРАМЕТРЫ!$B$17:$G$17)</f>
        <v>0.7161</v>
      </c>
      <c r="J2031" s="12" t="n">
        <f aca="false">I2031*G2031/1000</f>
        <v>0.07161</v>
      </c>
      <c r="K2031" s="11" t="s">
        <v>217</v>
      </c>
      <c r="L2031" s="11" t="s">
        <v>19</v>
      </c>
      <c r="M2031" s="11" t="s">
        <v>147</v>
      </c>
    </row>
    <row r="2032" customFormat="false" ht="15" hidden="false" customHeight="false" outlineLevel="0" collapsed="false">
      <c r="A2032" s="11" t="s">
        <v>111</v>
      </c>
      <c r="B2032" s="11" t="s">
        <v>129</v>
      </c>
      <c r="C2032" s="11" t="n">
        <v>7</v>
      </c>
      <c r="D2032" s="11" t="s">
        <v>78</v>
      </c>
      <c r="E2032" s="11" t="s">
        <v>159</v>
      </c>
      <c r="F2032" s="11" t="s">
        <v>77</v>
      </c>
      <c r="G2032" s="12" t="n">
        <v>350</v>
      </c>
      <c r="H2032" s="12" t="n">
        <f aca="false">SUMPRODUCT(ПОТОКИ!B15:G15,ЧАСОВЫЕ_ПРОФИЛИ!B16:G16,КОЭФФИЦИЕНТЫ_ВЫБОРА!F17:K17)</f>
        <v>0.5955</v>
      </c>
      <c r="I2032" s="12" t="n">
        <f aca="false">SUMPRODUCT(ПОТОКИ!B15:G15,ЧАСОВЫЕ_ПРОФИЛИ!B16:G16,КОЭФФИЦИЕНТЫ_ВЫБОРА!F17:K17,ПАРАМЕТРЫ!$B$17:$G$17)</f>
        <v>0.65505</v>
      </c>
      <c r="J2032" s="12" t="n">
        <f aca="false">I2032*G2032/1000</f>
        <v>0.2292675</v>
      </c>
      <c r="K2032" s="11" t="s">
        <v>217</v>
      </c>
      <c r="L2032" s="11" t="s">
        <v>19</v>
      </c>
      <c r="M2032" s="11" t="s">
        <v>147</v>
      </c>
    </row>
    <row r="2033" customFormat="false" ht="15" hidden="false" customHeight="false" outlineLevel="0" collapsed="false">
      <c r="A2033" s="11" t="s">
        <v>111</v>
      </c>
      <c r="B2033" s="11" t="s">
        <v>129</v>
      </c>
      <c r="C2033" s="11" t="n">
        <v>8</v>
      </c>
      <c r="D2033" s="11" t="s">
        <v>78</v>
      </c>
      <c r="E2033" s="11" t="s">
        <v>160</v>
      </c>
      <c r="F2033" s="11" t="s">
        <v>77</v>
      </c>
      <c r="G2033" s="12" t="n">
        <v>85</v>
      </c>
      <c r="H2033" s="12" t="n">
        <f aca="false">SUMPRODUCT(ПОТОКИ!B15:G15,ЧАСОВЫЕ_ПРОФИЛИ!B16:G16,КОЭФФИЦИЕНТЫ_ВЫБОРА!F18:K18)</f>
        <v>0.3785</v>
      </c>
      <c r="I2033" s="12" t="n">
        <f aca="false">SUMPRODUCT(ПОТОКИ!B15:G15,ЧАСОВЫЕ_ПРОФИЛИ!B16:G16,КОЭФФИЦИЕНТЫ_ВЫБОРА!F18:K18,ПАРАМЕТРЫ!$B$17:$G$17)</f>
        <v>0.41635</v>
      </c>
      <c r="J2033" s="12" t="n">
        <f aca="false">I2033*G2033/1000</f>
        <v>0.03538975</v>
      </c>
      <c r="K2033" s="11" t="s">
        <v>217</v>
      </c>
      <c r="L2033" s="11" t="s">
        <v>19</v>
      </c>
      <c r="M2033" s="11" t="s">
        <v>147</v>
      </c>
    </row>
    <row r="2034" customFormat="false" ht="15" hidden="false" customHeight="false" outlineLevel="0" collapsed="false">
      <c r="A2034" s="11" t="s">
        <v>111</v>
      </c>
      <c r="B2034" s="11" t="s">
        <v>129</v>
      </c>
      <c r="C2034" s="11" t="n">
        <v>9</v>
      </c>
      <c r="D2034" s="11" t="s">
        <v>161</v>
      </c>
      <c r="E2034" s="11" t="s">
        <v>162</v>
      </c>
      <c r="F2034" s="11" t="s">
        <v>80</v>
      </c>
      <c r="G2034" s="12" t="n">
        <v>300</v>
      </c>
      <c r="H2034" s="12" t="n">
        <f aca="false">SUMPRODUCT(ПОТОКИ!B15:G15,ЧАСОВЫЕ_ПРОФИЛИ!B16:G16,КОЭФФИЦИЕНТЫ_ВЫБОРА!F19:K19)</f>
        <v>0.665</v>
      </c>
      <c r="I2034" s="12" t="n">
        <f aca="false">SUMPRODUCT(ПОТОКИ!B15:G15,ЧАСОВЫЕ_ПРОФИЛИ!B16:G16,КОЭФФИЦИЕНТЫ_ВЫБОРА!F19:K19,ПАРАМЕТРЫ!$B$17:$G$17)</f>
        <v>0.7315</v>
      </c>
      <c r="J2034" s="12" t="n">
        <f aca="false">I2034*G2034/1000</f>
        <v>0.21945</v>
      </c>
      <c r="K2034" s="11" t="s">
        <v>217</v>
      </c>
      <c r="L2034" s="11" t="s">
        <v>19</v>
      </c>
      <c r="M2034" s="11" t="s">
        <v>145</v>
      </c>
    </row>
    <row r="2035" customFormat="false" ht="15" hidden="false" customHeight="false" outlineLevel="0" collapsed="false">
      <c r="A2035" s="11" t="s">
        <v>111</v>
      </c>
      <c r="B2035" s="11" t="s">
        <v>129</v>
      </c>
      <c r="C2035" s="11" t="n">
        <v>10</v>
      </c>
      <c r="D2035" s="11" t="s">
        <v>161</v>
      </c>
      <c r="E2035" s="11" t="s">
        <v>163</v>
      </c>
      <c r="F2035" s="11" t="s">
        <v>80</v>
      </c>
      <c r="G2035" s="12" t="n">
        <v>280</v>
      </c>
      <c r="H2035" s="12" t="n">
        <f aca="false">SUMPRODUCT(ПОТОКИ!B15:G15,ЧАСОВЫЕ_ПРОФИЛИ!B16:G16,КОЭФФИЦИЕНТЫ_ВЫБОРА!F20:K20)</f>
        <v>1.06</v>
      </c>
      <c r="I2035" s="12" t="n">
        <f aca="false">SUMPRODUCT(ПОТОКИ!B15:G15,ЧАСОВЫЕ_ПРОФИЛИ!B16:G16,КОЭФФИЦИЕНТЫ_ВЫБОРА!F20:K20,ПАРАМЕТРЫ!$B$17:$G$17)</f>
        <v>1.166</v>
      </c>
      <c r="J2035" s="12" t="n">
        <f aca="false">I2035*G2035/1000</f>
        <v>0.32648</v>
      </c>
      <c r="K2035" s="11" t="s">
        <v>217</v>
      </c>
      <c r="L2035" s="11" t="s">
        <v>19</v>
      </c>
      <c r="M2035" s="11" t="s">
        <v>145</v>
      </c>
    </row>
    <row r="2036" customFormat="false" ht="15" hidden="false" customHeight="false" outlineLevel="0" collapsed="false">
      <c r="A2036" s="11" t="s">
        <v>111</v>
      </c>
      <c r="B2036" s="11" t="s">
        <v>129</v>
      </c>
      <c r="C2036" s="11" t="n">
        <v>11</v>
      </c>
      <c r="D2036" s="11" t="s">
        <v>161</v>
      </c>
      <c r="E2036" s="11" t="s">
        <v>164</v>
      </c>
      <c r="F2036" s="11" t="s">
        <v>80</v>
      </c>
      <c r="G2036" s="12" t="n">
        <v>270</v>
      </c>
      <c r="H2036" s="12" t="n">
        <f aca="false">SUMPRODUCT(ПОТОКИ!B15:G15,ЧАСОВЫЕ_ПРОФИЛИ!B16:G16,КОЭФФИЦИЕНТЫ_ВЫБОРА!F21:K21)</f>
        <v>1.9805</v>
      </c>
      <c r="I2036" s="12" t="n">
        <f aca="false">SUMPRODUCT(ПОТОКИ!B15:G15,ЧАСОВЫЕ_ПРОФИЛИ!B16:G16,КОЭФФИЦИЕНТЫ_ВЫБОРА!F21:K21,ПАРАМЕТРЫ!$B$17:$G$17)</f>
        <v>2.17855</v>
      </c>
      <c r="J2036" s="12" t="n">
        <f aca="false">I2036*G2036/1000</f>
        <v>0.5882085</v>
      </c>
      <c r="K2036" s="11" t="s">
        <v>217</v>
      </c>
      <c r="L2036" s="11" t="s">
        <v>19</v>
      </c>
      <c r="M2036" s="11" t="s">
        <v>145</v>
      </c>
    </row>
    <row r="2037" customFormat="false" ht="15" hidden="false" customHeight="false" outlineLevel="0" collapsed="false">
      <c r="A2037" s="11" t="s">
        <v>111</v>
      </c>
      <c r="B2037" s="11" t="s">
        <v>129</v>
      </c>
      <c r="C2037" s="11" t="n">
        <v>12</v>
      </c>
      <c r="D2037" s="11" t="s">
        <v>161</v>
      </c>
      <c r="E2037" s="11" t="s">
        <v>165</v>
      </c>
      <c r="F2037" s="11" t="s">
        <v>80</v>
      </c>
      <c r="G2037" s="12" t="n">
        <v>240</v>
      </c>
      <c r="H2037" s="12" t="n">
        <f aca="false">SUMPRODUCT(ПОТОКИ!B15:G15,ЧАСОВЫЕ_ПРОФИЛИ!B16:G16,КОЭФФИЦИЕНТЫ_ВЫБОРА!F22:K22)</f>
        <v>1.3245</v>
      </c>
      <c r="I2037" s="12" t="n">
        <f aca="false">SUMPRODUCT(ПОТОКИ!B15:G15,ЧАСОВЫЕ_ПРОФИЛИ!B16:G16,КОЭФФИЦИЕНТЫ_ВЫБОРА!F22:K22,ПАРАМЕТРЫ!$B$17:$G$17)</f>
        <v>1.45695</v>
      </c>
      <c r="J2037" s="12" t="n">
        <f aca="false">I2037*G2037/1000</f>
        <v>0.349668</v>
      </c>
      <c r="K2037" s="11" t="s">
        <v>217</v>
      </c>
      <c r="L2037" s="11" t="s">
        <v>19</v>
      </c>
      <c r="M2037" s="11" t="s">
        <v>145</v>
      </c>
    </row>
    <row r="2038" customFormat="false" ht="15" hidden="false" customHeight="false" outlineLevel="0" collapsed="false">
      <c r="A2038" s="11" t="s">
        <v>111</v>
      </c>
      <c r="B2038" s="11" t="s">
        <v>129</v>
      </c>
      <c r="C2038" s="11" t="n">
        <v>13</v>
      </c>
      <c r="D2038" s="11" t="s">
        <v>166</v>
      </c>
      <c r="E2038" s="11" t="s">
        <v>167</v>
      </c>
      <c r="F2038" s="11" t="s">
        <v>80</v>
      </c>
      <c r="G2038" s="12" t="n">
        <v>130</v>
      </c>
      <c r="H2038" s="12" t="n">
        <f aca="false">SUMPRODUCT(ПОТОКИ!B15:G15,ЧАСОВЫЕ_ПРОФИЛИ!B16:G16,КОЭФФИЦИЕНТЫ_ВЫБОРА!F23:K23)</f>
        <v>0.32</v>
      </c>
      <c r="I2038" s="12" t="n">
        <f aca="false">SUMPRODUCT(ПОТОКИ!B15:G15,ЧАСОВЫЕ_ПРОФИЛИ!B16:G16,КОЭФФИЦИЕНТЫ_ВЫБОРА!F23:K23,ПАРАМЕТРЫ!$B$17:$G$17)</f>
        <v>0.352</v>
      </c>
      <c r="J2038" s="12" t="n">
        <f aca="false">I2038*G2038/1000</f>
        <v>0.04576</v>
      </c>
      <c r="K2038" s="11" t="s">
        <v>217</v>
      </c>
      <c r="L2038" s="11" t="s">
        <v>19</v>
      </c>
      <c r="M2038" s="11" t="s">
        <v>145</v>
      </c>
    </row>
    <row r="2039" customFormat="false" ht="15" hidden="false" customHeight="false" outlineLevel="0" collapsed="false">
      <c r="A2039" s="11" t="s">
        <v>111</v>
      </c>
      <c r="B2039" s="11" t="s">
        <v>129</v>
      </c>
      <c r="C2039" s="11" t="n">
        <v>14</v>
      </c>
      <c r="D2039" s="11" t="s">
        <v>166</v>
      </c>
      <c r="E2039" s="11" t="s">
        <v>168</v>
      </c>
      <c r="F2039" s="11" t="s">
        <v>80</v>
      </c>
      <c r="G2039" s="12" t="n">
        <v>250</v>
      </c>
      <c r="H2039" s="12" t="n">
        <f aca="false">SUMPRODUCT(ПОТОКИ!B15:G15,ЧАСОВЫЕ_ПРОФИЛИ!B16:G16,КОЭФФИЦИЕНТЫ_ВЫБОРА!F24:K24)</f>
        <v>0.458</v>
      </c>
      <c r="I2039" s="12" t="n">
        <f aca="false">SUMPRODUCT(ПОТОКИ!B15:G15,ЧАСОВЫЕ_ПРОФИЛИ!B16:G16,КОЭФФИЦИЕНТЫ_ВЫБОРА!F24:K24,ПАРАМЕТРЫ!$B$17:$G$17)</f>
        <v>0.5038</v>
      </c>
      <c r="J2039" s="12" t="n">
        <f aca="false">I2039*G2039/1000</f>
        <v>0.12595</v>
      </c>
      <c r="K2039" s="11" t="s">
        <v>217</v>
      </c>
      <c r="L2039" s="11" t="s">
        <v>19</v>
      </c>
      <c r="M2039" s="11" t="s">
        <v>145</v>
      </c>
    </row>
    <row r="2040" customFormat="false" ht="15" hidden="false" customHeight="false" outlineLevel="0" collapsed="false">
      <c r="A2040" s="11" t="s">
        <v>111</v>
      </c>
      <c r="B2040" s="11" t="s">
        <v>129</v>
      </c>
      <c r="C2040" s="11" t="n">
        <v>15</v>
      </c>
      <c r="D2040" s="11" t="s">
        <v>166</v>
      </c>
      <c r="E2040" s="11" t="s">
        <v>169</v>
      </c>
      <c r="F2040" s="11" t="s">
        <v>80</v>
      </c>
      <c r="G2040" s="12" t="n">
        <v>120</v>
      </c>
      <c r="H2040" s="12" t="n">
        <f aca="false">SUMPRODUCT(ПОТОКИ!B15:G15,ЧАСОВЫЕ_ПРОФИЛИ!B16:G16,КОЭФФИЦИЕНТЫ_ВЫБОРА!F25:K25)</f>
        <v>0.248</v>
      </c>
      <c r="I2040" s="12" t="n">
        <f aca="false">SUMPRODUCT(ПОТОКИ!B15:G15,ЧАСОВЫЕ_ПРОФИЛИ!B16:G16,КОЭФФИЦИЕНТЫ_ВЫБОРА!F25:K25,ПАРАМЕТРЫ!$B$17:$G$17)</f>
        <v>0.2728</v>
      </c>
      <c r="J2040" s="12" t="n">
        <f aca="false">I2040*G2040/1000</f>
        <v>0.032736</v>
      </c>
      <c r="K2040" s="11" t="s">
        <v>217</v>
      </c>
      <c r="L2040" s="11" t="s">
        <v>19</v>
      </c>
      <c r="M2040" s="11" t="s">
        <v>145</v>
      </c>
    </row>
    <row r="2041" customFormat="false" ht="15" hidden="false" customHeight="false" outlineLevel="0" collapsed="false">
      <c r="A2041" s="11" t="s">
        <v>111</v>
      </c>
      <c r="B2041" s="11" t="s">
        <v>129</v>
      </c>
      <c r="C2041" s="11" t="n">
        <v>16</v>
      </c>
      <c r="D2041" s="11" t="s">
        <v>166</v>
      </c>
      <c r="E2041" s="11" t="s">
        <v>170</v>
      </c>
      <c r="F2041" s="11" t="s">
        <v>80</v>
      </c>
      <c r="G2041" s="12" t="n">
        <v>180</v>
      </c>
      <c r="H2041" s="12" t="n">
        <f aca="false">SUMPRODUCT(ПОТОКИ!B15:G15,ЧАСОВЫЕ_ПРОФИЛИ!B16:G16,КОЭФФИЦИЕНТЫ_ВЫБОРА!F26:K26)</f>
        <v>0.634</v>
      </c>
      <c r="I2041" s="12" t="n">
        <f aca="false">SUMPRODUCT(ПОТОКИ!B15:G15,ЧАСОВЫЕ_ПРОФИЛИ!B16:G16,КОЭФФИЦИЕНТЫ_ВЫБОРА!F26:K26,ПАРАМЕТРЫ!$B$17:$G$17)</f>
        <v>0.6974</v>
      </c>
      <c r="J2041" s="12" t="n">
        <f aca="false">I2041*G2041/1000</f>
        <v>0.125532</v>
      </c>
      <c r="K2041" s="11" t="s">
        <v>217</v>
      </c>
      <c r="L2041" s="11" t="s">
        <v>19</v>
      </c>
      <c r="M2041" s="11" t="s">
        <v>145</v>
      </c>
    </row>
    <row r="2042" customFormat="false" ht="15" hidden="false" customHeight="false" outlineLevel="0" collapsed="false">
      <c r="A2042" s="11" t="s">
        <v>111</v>
      </c>
      <c r="B2042" s="11" t="s">
        <v>129</v>
      </c>
      <c r="C2042" s="11" t="n">
        <v>17</v>
      </c>
      <c r="D2042" s="11" t="s">
        <v>166</v>
      </c>
      <c r="E2042" s="11" t="s">
        <v>171</v>
      </c>
      <c r="F2042" s="11" t="s">
        <v>80</v>
      </c>
      <c r="G2042" s="12" t="n">
        <v>180</v>
      </c>
      <c r="H2042" s="12" t="n">
        <f aca="false">SUMPRODUCT(ПОТОКИ!B15:G15,ЧАСОВЫЕ_ПРОФИЛИ!B16:G16,КОЭФФИЦИЕНТЫ_ВЫБОРА!F27:K27)</f>
        <v>0.46</v>
      </c>
      <c r="I2042" s="12" t="n">
        <f aca="false">SUMPRODUCT(ПОТОКИ!B15:G15,ЧАСОВЫЕ_ПРОФИЛИ!B16:G16,КОЭФФИЦИЕНТЫ_ВЫБОРА!F27:K27,ПАРАМЕТРЫ!$B$17:$G$17)</f>
        <v>0.506</v>
      </c>
      <c r="J2042" s="12" t="n">
        <f aca="false">I2042*G2042/1000</f>
        <v>0.09108</v>
      </c>
      <c r="K2042" s="11" t="s">
        <v>217</v>
      </c>
      <c r="L2042" s="11" t="s">
        <v>19</v>
      </c>
      <c r="M2042" s="11" t="s">
        <v>145</v>
      </c>
    </row>
    <row r="2043" customFormat="false" ht="15" hidden="false" customHeight="false" outlineLevel="0" collapsed="false">
      <c r="A2043" s="11" t="s">
        <v>111</v>
      </c>
      <c r="B2043" s="11" t="s">
        <v>129</v>
      </c>
      <c r="C2043" s="11" t="n">
        <v>18</v>
      </c>
      <c r="D2043" s="11" t="s">
        <v>172</v>
      </c>
      <c r="E2043" s="11" t="s">
        <v>173</v>
      </c>
      <c r="F2043" s="11" t="s">
        <v>83</v>
      </c>
      <c r="G2043" s="12" t="n">
        <v>400</v>
      </c>
      <c r="H2043" s="12" t="n">
        <f aca="false">SUMPRODUCT(ПОТОКИ!B15:G15,ЧАСОВЫЕ_ПРОФИЛИ!B16:G16,КОЭФФИЦИЕНТЫ_ВЫБОРА!F28:K28)</f>
        <v>5.26</v>
      </c>
      <c r="I2043" s="12" t="n">
        <f aca="false">SUMPRODUCT(ПОТОКИ!B15:G15,ЧАСОВЫЕ_ПРОФИЛИ!B16:G16,КОЭФФИЦИЕНТЫ_ВЫБОРА!F28:K28,ПАРАМЕТРЫ!$B$17:$G$17)</f>
        <v>5.786</v>
      </c>
      <c r="J2043" s="12" t="n">
        <f aca="false">I2043*G2043/1000</f>
        <v>2.3144</v>
      </c>
      <c r="K2043" s="11" t="s">
        <v>217</v>
      </c>
      <c r="L2043" s="11" t="s">
        <v>19</v>
      </c>
      <c r="M2043" s="11" t="s">
        <v>145</v>
      </c>
    </row>
    <row r="2044" customFormat="false" ht="23.85" hidden="false" customHeight="false" outlineLevel="0" collapsed="false">
      <c r="A2044" s="11" t="s">
        <v>111</v>
      </c>
      <c r="B2044" s="11" t="s">
        <v>129</v>
      </c>
      <c r="C2044" s="11" t="n">
        <v>19</v>
      </c>
      <c r="D2044" s="11" t="s">
        <v>174</v>
      </c>
      <c r="E2044" s="11" t="s">
        <v>175</v>
      </c>
      <c r="F2044" s="11" t="s">
        <v>83</v>
      </c>
      <c r="G2044" s="12" t="n">
        <v>300</v>
      </c>
      <c r="H2044" s="12" t="n">
        <f aca="false">SUMPRODUCT(ПОТОКИ!B15:G15,ЧАСОВЫЕ_ПРОФИЛИ!B16:G16,КОЭФФИЦИЕНТЫ_ВЫБОРА!F29:K29)</f>
        <v>3.975</v>
      </c>
      <c r="I2044" s="12" t="n">
        <f aca="false">SUMPRODUCT(ПОТОКИ!B15:G15,ЧАСОВЫЕ_ПРОФИЛИ!B16:G16,КОЭФФИЦИЕНТЫ_ВЫБОРА!F29:K29,ПАРАМЕТРЫ!$B$17:$G$17)</f>
        <v>4.3725</v>
      </c>
      <c r="J2044" s="12" t="n">
        <f aca="false">I2044*G2044/1000</f>
        <v>1.31175</v>
      </c>
      <c r="K2044" s="11" t="s">
        <v>217</v>
      </c>
      <c r="L2044" s="11" t="s">
        <v>19</v>
      </c>
      <c r="M2044" s="11" t="s">
        <v>145</v>
      </c>
    </row>
    <row r="2045" customFormat="false" ht="15" hidden="false" customHeight="false" outlineLevel="0" collapsed="false">
      <c r="A2045" s="11" t="s">
        <v>111</v>
      </c>
      <c r="B2045" s="11" t="s">
        <v>129</v>
      </c>
      <c r="C2045" s="11" t="n">
        <v>20</v>
      </c>
      <c r="D2045" s="11" t="s">
        <v>174</v>
      </c>
      <c r="E2045" s="11" t="s">
        <v>176</v>
      </c>
      <c r="F2045" s="11" t="s">
        <v>83</v>
      </c>
      <c r="G2045" s="12" t="n">
        <v>360</v>
      </c>
      <c r="H2045" s="12" t="n">
        <f aca="false">SUMPRODUCT(ПОТОКИ!B15:G15,ЧАСОВЫЕ_ПРОФИЛИ!B16:G16,КОЭФФИЦИЕНТЫ_ВЫБОРА!F30:K30)</f>
        <v>2.868</v>
      </c>
      <c r="I2045" s="12" t="n">
        <f aca="false">SUMPRODUCT(ПОТОКИ!B15:G15,ЧАСОВЫЕ_ПРОФИЛИ!B16:G16,КОЭФФИЦИЕНТЫ_ВЫБОРА!F30:K30,ПАРАМЕТРЫ!$B$17:$G$17)</f>
        <v>3.1548</v>
      </c>
      <c r="J2045" s="12" t="n">
        <f aca="false">I2045*G2045/1000</f>
        <v>1.135728</v>
      </c>
      <c r="K2045" s="11" t="s">
        <v>217</v>
      </c>
      <c r="L2045" s="11" t="s">
        <v>19</v>
      </c>
      <c r="M2045" s="11" t="s">
        <v>145</v>
      </c>
    </row>
    <row r="2046" customFormat="false" ht="15" hidden="false" customHeight="false" outlineLevel="0" collapsed="false">
      <c r="A2046" s="11" t="s">
        <v>111</v>
      </c>
      <c r="B2046" s="11" t="s">
        <v>129</v>
      </c>
      <c r="C2046" s="11" t="n">
        <v>21</v>
      </c>
      <c r="D2046" s="11" t="s">
        <v>174</v>
      </c>
      <c r="E2046" s="11" t="s">
        <v>177</v>
      </c>
      <c r="F2046" s="11" t="s">
        <v>83</v>
      </c>
      <c r="G2046" s="12" t="n">
        <v>350</v>
      </c>
      <c r="H2046" s="12" t="n">
        <f aca="false">SUMPRODUCT(ПОТОКИ!B15:G15,ЧАСОВЫЕ_ПРОФИЛИ!B16:G16,КОЭФФИЦИЕНТЫ_ВЫБОРА!F31:K31)</f>
        <v>4.857</v>
      </c>
      <c r="I2046" s="12" t="n">
        <f aca="false">SUMPRODUCT(ПОТОКИ!B15:G15,ЧАСОВЫЕ_ПРОФИЛИ!B16:G16,КОЭФФИЦИЕНТЫ_ВЫБОРА!F31:K31,ПАРАМЕТРЫ!$B$17:$G$17)</f>
        <v>5.3427</v>
      </c>
      <c r="J2046" s="12" t="n">
        <f aca="false">I2046*G2046/1000</f>
        <v>1.869945</v>
      </c>
      <c r="K2046" s="11" t="s">
        <v>217</v>
      </c>
      <c r="L2046" s="11" t="s">
        <v>19</v>
      </c>
      <c r="M2046" s="11" t="s">
        <v>145</v>
      </c>
    </row>
    <row r="2047" customFormat="false" ht="15" hidden="false" customHeight="false" outlineLevel="0" collapsed="false">
      <c r="A2047" s="11" t="s">
        <v>111</v>
      </c>
      <c r="B2047" s="11" t="s">
        <v>129</v>
      </c>
      <c r="C2047" s="11" t="n">
        <v>22</v>
      </c>
      <c r="D2047" s="11" t="s">
        <v>174</v>
      </c>
      <c r="E2047" s="11" t="s">
        <v>178</v>
      </c>
      <c r="F2047" s="11" t="s">
        <v>83</v>
      </c>
      <c r="G2047" s="12" t="n">
        <v>300</v>
      </c>
      <c r="H2047" s="12" t="n">
        <f aca="false">SUMPRODUCT(ПОТОКИ!B15:G15,ЧАСОВЫЕ_ПРОФИЛИ!B16:G16,КОЭФФИЦИЕНТЫ_ВЫБОРА!F32:K32)</f>
        <v>2.34</v>
      </c>
      <c r="I2047" s="12" t="n">
        <f aca="false">SUMPRODUCT(ПОТОКИ!B15:G15,ЧАСОВЫЕ_ПРОФИЛИ!B16:G16,КОЭФФИЦИЕНТЫ_ВЫБОРА!F32:K32,ПАРАМЕТРЫ!$B$17:$G$17)</f>
        <v>2.574</v>
      </c>
      <c r="J2047" s="12" t="n">
        <f aca="false">I2047*G2047/1000</f>
        <v>0.7722</v>
      </c>
      <c r="K2047" s="11" t="s">
        <v>217</v>
      </c>
      <c r="L2047" s="11" t="s">
        <v>19</v>
      </c>
      <c r="M2047" s="11" t="s">
        <v>145</v>
      </c>
    </row>
    <row r="2048" customFormat="false" ht="15" hidden="false" customHeight="false" outlineLevel="0" collapsed="false">
      <c r="A2048" s="11" t="s">
        <v>111</v>
      </c>
      <c r="B2048" s="11" t="s">
        <v>129</v>
      </c>
      <c r="C2048" s="11" t="n">
        <v>23</v>
      </c>
      <c r="D2048" s="11" t="s">
        <v>86</v>
      </c>
      <c r="E2048" s="11" t="s">
        <v>179</v>
      </c>
      <c r="F2048" s="11" t="s">
        <v>85</v>
      </c>
      <c r="G2048" s="12" t="n">
        <v>150</v>
      </c>
      <c r="H2048" s="12" t="n">
        <f aca="false">SUMPRODUCT(ПОТОКИ!B15:G15,ЧАСОВЫЕ_ПРОФИЛИ!B16:G16,КОЭФФИЦИЕНТЫ_ВЫБОРА!F33:K33)</f>
        <v>3.84537</v>
      </c>
      <c r="I2048" s="12" t="n">
        <f aca="false">SUMPRODUCT(ПОТОКИ!B15:G15,ЧАСОВЫЕ_ПРОФИЛИ!B16:G16,КОЭФФИЦИЕНТЫ_ВЫБОРА!F33:K33,ПАРАМЕТРЫ!$B$17:$G$17)</f>
        <v>4.229907</v>
      </c>
      <c r="J2048" s="12" t="n">
        <f aca="false">I2048*G2048/1000</f>
        <v>0.63448605</v>
      </c>
      <c r="K2048" s="11" t="s">
        <v>217</v>
      </c>
      <c r="L2048" s="11" t="s">
        <v>19</v>
      </c>
      <c r="M2048" s="11" t="s">
        <v>147</v>
      </c>
    </row>
    <row r="2049" customFormat="false" ht="15" hidden="false" customHeight="false" outlineLevel="0" collapsed="false">
      <c r="A2049" s="11" t="s">
        <v>111</v>
      </c>
      <c r="B2049" s="11" t="s">
        <v>129</v>
      </c>
      <c r="C2049" s="11" t="n">
        <v>24</v>
      </c>
      <c r="D2049" s="11" t="s">
        <v>86</v>
      </c>
      <c r="E2049" s="11" t="s">
        <v>180</v>
      </c>
      <c r="F2049" s="11" t="s">
        <v>85</v>
      </c>
      <c r="G2049" s="12" t="n">
        <v>150</v>
      </c>
      <c r="H2049" s="12" t="n">
        <f aca="false">SUMPRODUCT(ПОТОКИ!B15:G15,ЧАСОВЫЕ_ПРОФИЛИ!B16:G16,КОЭФФИЦИЕНТЫ_ВЫБОРА!F34:K34)</f>
        <v>1.59456</v>
      </c>
      <c r="I2049" s="12" t="n">
        <f aca="false">SUMPRODUCT(ПОТОКИ!B15:G15,ЧАСОВЫЕ_ПРОФИЛИ!B16:G16,КОЭФФИЦИЕНТЫ_ВЫБОРА!F34:K34,ПАРАМЕТРЫ!$B$17:$G$17)</f>
        <v>1.754016</v>
      </c>
      <c r="J2049" s="12" t="n">
        <f aca="false">I2049*G2049/1000</f>
        <v>0.2631024</v>
      </c>
      <c r="K2049" s="11" t="s">
        <v>217</v>
      </c>
      <c r="L2049" s="11" t="s">
        <v>19</v>
      </c>
      <c r="M2049" s="11" t="s">
        <v>147</v>
      </c>
    </row>
    <row r="2050" customFormat="false" ht="15" hidden="false" customHeight="false" outlineLevel="0" collapsed="false">
      <c r="A2050" s="11" t="s">
        <v>111</v>
      </c>
      <c r="B2050" s="11" t="s">
        <v>129</v>
      </c>
      <c r="C2050" s="11" t="n">
        <v>25</v>
      </c>
      <c r="D2050" s="11" t="s">
        <v>86</v>
      </c>
      <c r="E2050" s="11" t="s">
        <v>181</v>
      </c>
      <c r="F2050" s="11" t="s">
        <v>85</v>
      </c>
      <c r="G2050" s="12" t="n">
        <v>150</v>
      </c>
      <c r="H2050" s="12" t="n">
        <f aca="false">SUMPRODUCT(ПОТОКИ!B15:G15,ЧАСОВЫЕ_ПРОФИЛИ!B16:G16,КОЭФФИЦИЕНТЫ_ВЫБОРА!F35:K35)</f>
        <v>2.53287</v>
      </c>
      <c r="I2050" s="12" t="n">
        <f aca="false">SUMPRODUCT(ПОТОКИ!B15:G15,ЧАСОВЫЕ_ПРОФИЛИ!B16:G16,КОЭФФИЦИЕНТЫ_ВЫБОРА!F35:K35,ПАРАМЕТРЫ!$B$17:$G$17)</f>
        <v>2.786157</v>
      </c>
      <c r="J2050" s="12" t="n">
        <f aca="false">I2050*G2050/1000</f>
        <v>0.41792355</v>
      </c>
      <c r="K2050" s="11" t="s">
        <v>217</v>
      </c>
      <c r="L2050" s="11" t="s">
        <v>19</v>
      </c>
      <c r="M2050" s="11" t="s">
        <v>147</v>
      </c>
    </row>
    <row r="2051" customFormat="false" ht="23.85" hidden="false" customHeight="false" outlineLevel="0" collapsed="false">
      <c r="A2051" s="11" t="s">
        <v>111</v>
      </c>
      <c r="B2051" s="11" t="s">
        <v>129</v>
      </c>
      <c r="C2051" s="11" t="n">
        <v>26</v>
      </c>
      <c r="D2051" s="11" t="s">
        <v>89</v>
      </c>
      <c r="E2051" s="11" t="s">
        <v>182</v>
      </c>
      <c r="F2051" s="11" t="s">
        <v>88</v>
      </c>
      <c r="G2051" s="12" t="n">
        <v>225</v>
      </c>
      <c r="H2051" s="12" t="n">
        <f aca="false">SUMPRODUCT(ПОТОКИ!B15:G15,ЧАСОВЫЕ_ПРОФИЛИ!B16:G16,КОЭФФИЦИЕНТЫ_ВЫБОРА!F36:K36)</f>
        <v>0</v>
      </c>
      <c r="I2051" s="12" t="n">
        <f aca="false">SUMPRODUCT(ПОТОКИ!B15:G15,ЧАСОВЫЕ_ПРОФИЛИ!B16:G16,КОЭФФИЦИЕНТЫ_ВЫБОРА!F36:K36,ПАРАМЕТРЫ!$B$17:$G$17)</f>
        <v>0</v>
      </c>
      <c r="J2051" s="12" t="n">
        <f aca="false">I2051*G2051/1000</f>
        <v>0</v>
      </c>
      <c r="K2051" s="11" t="s">
        <v>217</v>
      </c>
      <c r="L2051" s="11" t="s">
        <v>19</v>
      </c>
      <c r="M2051" s="11" t="s">
        <v>145</v>
      </c>
    </row>
    <row r="2052" customFormat="false" ht="23.85" hidden="false" customHeight="false" outlineLevel="0" collapsed="false">
      <c r="A2052" s="11" t="s">
        <v>111</v>
      </c>
      <c r="B2052" s="11" t="s">
        <v>129</v>
      </c>
      <c r="C2052" s="11" t="n">
        <v>27</v>
      </c>
      <c r="D2052" s="11" t="s">
        <v>89</v>
      </c>
      <c r="E2052" s="11" t="s">
        <v>183</v>
      </c>
      <c r="F2052" s="11" t="s">
        <v>88</v>
      </c>
      <c r="G2052" s="12" t="n">
        <v>265</v>
      </c>
      <c r="H2052" s="12" t="n">
        <f aca="false">SUMPRODUCT(ПОТОКИ!B15:G15,ЧАСОВЫЕ_ПРОФИЛИ!B16:G16,КОЭФФИЦИЕНТЫ_ВЫБОРА!F37:K37)</f>
        <v>0</v>
      </c>
      <c r="I2052" s="12" t="n">
        <f aca="false">SUMPRODUCT(ПОТОКИ!B15:G15,ЧАСОВЫЕ_ПРОФИЛИ!B16:G16,КОЭФФИЦИЕНТЫ_ВЫБОРА!F37:K37,ПАРАМЕТРЫ!$B$17:$G$17)</f>
        <v>0</v>
      </c>
      <c r="J2052" s="12" t="n">
        <f aca="false">I2052*G2052/1000</f>
        <v>0</v>
      </c>
      <c r="K2052" s="11" t="s">
        <v>217</v>
      </c>
      <c r="L2052" s="11" t="s">
        <v>19</v>
      </c>
      <c r="M2052" s="11" t="s">
        <v>145</v>
      </c>
    </row>
    <row r="2053" customFormat="false" ht="23.85" hidden="false" customHeight="false" outlineLevel="0" collapsed="false">
      <c r="A2053" s="11" t="s">
        <v>111</v>
      </c>
      <c r="B2053" s="11" t="s">
        <v>129</v>
      </c>
      <c r="C2053" s="11" t="n">
        <v>28</v>
      </c>
      <c r="D2053" s="11" t="s">
        <v>89</v>
      </c>
      <c r="E2053" s="11" t="s">
        <v>184</v>
      </c>
      <c r="F2053" s="11" t="s">
        <v>88</v>
      </c>
      <c r="G2053" s="12" t="n">
        <v>355</v>
      </c>
      <c r="H2053" s="12" t="n">
        <f aca="false">SUMPRODUCT(ПОТОКИ!B15:G15,ЧАСОВЫЕ_ПРОФИЛИ!B16:G16,КОЭФФИЦИЕНТЫ_ВЫБОРА!F38:K38)</f>
        <v>0</v>
      </c>
      <c r="I2053" s="12" t="n">
        <f aca="false">SUMPRODUCT(ПОТОКИ!B15:G15,ЧАСОВЫЕ_ПРОФИЛИ!B16:G16,КОЭФФИЦИЕНТЫ_ВЫБОРА!F38:K38,ПАРАМЕТРЫ!$B$17:$G$17)</f>
        <v>0</v>
      </c>
      <c r="J2053" s="12" t="n">
        <f aca="false">I2053*G2053/1000</f>
        <v>0</v>
      </c>
      <c r="K2053" s="11" t="s">
        <v>217</v>
      </c>
      <c r="L2053" s="11" t="s">
        <v>19</v>
      </c>
      <c r="M2053" s="11" t="s">
        <v>145</v>
      </c>
    </row>
    <row r="2054" customFormat="false" ht="15" hidden="false" customHeight="false" outlineLevel="0" collapsed="false">
      <c r="A2054" s="11" t="s">
        <v>111</v>
      </c>
      <c r="B2054" s="11" t="s">
        <v>129</v>
      </c>
      <c r="C2054" s="11" t="n">
        <v>29</v>
      </c>
      <c r="D2054" s="11" t="s">
        <v>92</v>
      </c>
      <c r="E2054" s="11" t="s">
        <v>185</v>
      </c>
      <c r="F2054" s="11" t="s">
        <v>91</v>
      </c>
      <c r="G2054" s="12" t="n">
        <v>150</v>
      </c>
      <c r="H2054" s="12" t="n">
        <f aca="false">SUMPRODUCT(ПОТОКИ!B15:G15,ЧАСОВЫЕ_ПРОФИЛИ!B16:G16,КОЭФФИЦИЕНТЫ_ВЫБОРА!F39:K39)</f>
        <v>0.36</v>
      </c>
      <c r="I2054" s="12" t="n">
        <f aca="false">SUMPRODUCT(ПОТОКИ!B15:G15,ЧАСОВЫЕ_ПРОФИЛИ!B16:G16,КОЭФФИЦИЕНТЫ_ВЫБОРА!F39:K39,ПАРАМЕТРЫ!$B$17:$G$17)</f>
        <v>0.396</v>
      </c>
      <c r="J2054" s="12" t="n">
        <f aca="false">I2054*G2054/1000</f>
        <v>0.0594</v>
      </c>
      <c r="K2054" s="11" t="s">
        <v>217</v>
      </c>
      <c r="L2054" s="11" t="s">
        <v>19</v>
      </c>
      <c r="M2054" s="11" t="s">
        <v>145</v>
      </c>
    </row>
    <row r="2055" customFormat="false" ht="15" hidden="false" customHeight="false" outlineLevel="0" collapsed="false">
      <c r="A2055" s="11" t="s">
        <v>111</v>
      </c>
      <c r="B2055" s="11" t="s">
        <v>129</v>
      </c>
      <c r="C2055" s="11" t="n">
        <v>30</v>
      </c>
      <c r="D2055" s="11" t="s">
        <v>92</v>
      </c>
      <c r="E2055" s="11" t="s">
        <v>186</v>
      </c>
      <c r="F2055" s="11" t="s">
        <v>91</v>
      </c>
      <c r="G2055" s="12" t="n">
        <v>120</v>
      </c>
      <c r="H2055" s="12" t="n">
        <f aca="false">SUMPRODUCT(ПОТОКИ!B15:G15,ЧАСОВЫЕ_ПРОФИЛИ!B16:G16,КОЭФФИЦИЕНТЫ_ВЫБОРА!F40:K40)</f>
        <v>0.36</v>
      </c>
      <c r="I2055" s="12" t="n">
        <f aca="false">SUMPRODUCT(ПОТОКИ!B15:G15,ЧАСОВЫЕ_ПРОФИЛИ!B16:G16,КОЭФФИЦИЕНТЫ_ВЫБОРА!F40:K40,ПАРАМЕТРЫ!$B$17:$G$17)</f>
        <v>0.396</v>
      </c>
      <c r="J2055" s="12" t="n">
        <f aca="false">I2055*G2055/1000</f>
        <v>0.04752</v>
      </c>
      <c r="K2055" s="11" t="s">
        <v>217</v>
      </c>
      <c r="L2055" s="11" t="s">
        <v>19</v>
      </c>
      <c r="M2055" s="11" t="s">
        <v>145</v>
      </c>
    </row>
    <row r="2056" customFormat="false" ht="15" hidden="false" customHeight="false" outlineLevel="0" collapsed="false">
      <c r="A2056" s="11" t="s">
        <v>111</v>
      </c>
      <c r="B2056" s="11" t="s">
        <v>129</v>
      </c>
      <c r="C2056" s="11" t="n">
        <v>31</v>
      </c>
      <c r="D2056" s="11" t="s">
        <v>92</v>
      </c>
      <c r="E2056" s="11" t="s">
        <v>187</v>
      </c>
      <c r="F2056" s="11" t="s">
        <v>91</v>
      </c>
      <c r="G2056" s="12" t="n">
        <v>60</v>
      </c>
      <c r="H2056" s="12" t="n">
        <f aca="false">SUMPRODUCT(ПОТОКИ!B15:G15,ЧАСОВЫЕ_ПРОФИЛИ!B16:G16,КОЭФФИЦИЕНТЫ_ВЫБОРА!F41:K41)</f>
        <v>0.3</v>
      </c>
      <c r="I2056" s="12" t="n">
        <f aca="false">SUMPRODUCT(ПОТОКИ!B15:G15,ЧАСОВЫЕ_ПРОФИЛИ!B16:G16,КОЭФФИЦИЕНТЫ_ВЫБОРА!F41:K41,ПАРАМЕТРЫ!$B$17:$G$17)</f>
        <v>0.33</v>
      </c>
      <c r="J2056" s="12" t="n">
        <f aca="false">I2056*G2056/1000</f>
        <v>0.0198</v>
      </c>
      <c r="K2056" s="11" t="s">
        <v>217</v>
      </c>
      <c r="L2056" s="11" t="s">
        <v>19</v>
      </c>
      <c r="M2056" s="11" t="s">
        <v>145</v>
      </c>
    </row>
    <row r="2057" customFormat="false" ht="15" hidden="false" customHeight="false" outlineLevel="0" collapsed="false">
      <c r="A2057" s="11" t="s">
        <v>111</v>
      </c>
      <c r="B2057" s="11" t="s">
        <v>130</v>
      </c>
      <c r="C2057" s="11" t="n">
        <v>1</v>
      </c>
      <c r="D2057" s="11" t="s">
        <v>74</v>
      </c>
      <c r="E2057" s="11" t="s">
        <v>153</v>
      </c>
      <c r="F2057" s="11" t="s">
        <v>73</v>
      </c>
      <c r="G2057" s="12" t="n">
        <v>450</v>
      </c>
      <c r="H2057" s="12" t="n">
        <f aca="false">SUMPRODUCT(ПОТОКИ!B15:G15,ЧАСОВЫЕ_ПРОФИЛИ!B17:G17,КОЭФФИЦИЕНТЫ_ВЫБОРА!F11:K11)</f>
        <v>0.69</v>
      </c>
      <c r="I2057" s="12" t="n">
        <f aca="false">SUMPRODUCT(ПОТОКИ!B15:G15,ЧАСОВЫЕ_ПРОФИЛИ!B17:G17,КОЭФФИЦИЕНТЫ_ВЫБОРА!F11:K11,ПАРАМЕТРЫ!$B$17:$G$17)</f>
        <v>0.759</v>
      </c>
      <c r="J2057" s="12" t="n">
        <f aca="false">I2057*G2057/1000</f>
        <v>0.34155</v>
      </c>
      <c r="K2057" s="11" t="s">
        <v>217</v>
      </c>
      <c r="L2057" s="11" t="s">
        <v>19</v>
      </c>
      <c r="M2057" s="11" t="s">
        <v>145</v>
      </c>
    </row>
    <row r="2058" customFormat="false" ht="15" hidden="false" customHeight="false" outlineLevel="0" collapsed="false">
      <c r="A2058" s="11" t="s">
        <v>111</v>
      </c>
      <c r="B2058" s="11" t="s">
        <v>130</v>
      </c>
      <c r="C2058" s="11" t="n">
        <v>2</v>
      </c>
      <c r="D2058" s="11" t="s">
        <v>74</v>
      </c>
      <c r="E2058" s="11" t="s">
        <v>154</v>
      </c>
      <c r="F2058" s="11" t="s">
        <v>73</v>
      </c>
      <c r="G2058" s="12" t="n">
        <v>480</v>
      </c>
      <c r="H2058" s="12" t="n">
        <f aca="false">SUMPRODUCT(ПОТОКИ!B15:G15,ЧАСОВЫЕ_ПРОФИЛИ!B17:G17,КОЭФФИЦИЕНТЫ_ВЫБОРА!F12:K12)</f>
        <v>0.765</v>
      </c>
      <c r="I2058" s="12" t="n">
        <f aca="false">SUMPRODUCT(ПОТОКИ!B15:G15,ЧАСОВЫЕ_ПРОФИЛИ!B17:G17,КОЭФФИЦИЕНТЫ_ВЫБОРА!F12:K12,ПАРАМЕТРЫ!$B$17:$G$17)</f>
        <v>0.8415</v>
      </c>
      <c r="J2058" s="12" t="n">
        <f aca="false">I2058*G2058/1000</f>
        <v>0.40392</v>
      </c>
      <c r="K2058" s="11" t="s">
        <v>217</v>
      </c>
      <c r="L2058" s="11" t="s">
        <v>19</v>
      </c>
      <c r="M2058" s="11" t="s">
        <v>145</v>
      </c>
    </row>
    <row r="2059" customFormat="false" ht="15" hidden="false" customHeight="false" outlineLevel="0" collapsed="false">
      <c r="A2059" s="11" t="s">
        <v>111</v>
      </c>
      <c r="B2059" s="11" t="s">
        <v>130</v>
      </c>
      <c r="C2059" s="11" t="n">
        <v>3</v>
      </c>
      <c r="D2059" s="11" t="s">
        <v>74</v>
      </c>
      <c r="E2059" s="11" t="s">
        <v>155</v>
      </c>
      <c r="F2059" s="11" t="s">
        <v>73</v>
      </c>
      <c r="G2059" s="12" t="n">
        <v>500</v>
      </c>
      <c r="H2059" s="12" t="n">
        <f aca="false">SUMPRODUCT(ПОТОКИ!B15:G15,ЧАСОВЫЕ_ПРОФИЛИ!B17:G17,КОЭФФИЦИЕНТЫ_ВЫБОРА!F13:K13)</f>
        <v>1.41</v>
      </c>
      <c r="I2059" s="12" t="n">
        <f aca="false">SUMPRODUCT(ПОТОКИ!B15:G15,ЧАСОВЫЕ_ПРОФИЛИ!B17:G17,КОЭФФИЦИЕНТЫ_ВЫБОРА!F13:K13,ПАРАМЕТРЫ!$B$17:$G$17)</f>
        <v>1.551</v>
      </c>
      <c r="J2059" s="12" t="n">
        <f aca="false">I2059*G2059/1000</f>
        <v>0.7755</v>
      </c>
      <c r="K2059" s="11" t="s">
        <v>217</v>
      </c>
      <c r="L2059" s="11" t="s">
        <v>19</v>
      </c>
      <c r="M2059" s="11" t="s">
        <v>145</v>
      </c>
    </row>
    <row r="2060" customFormat="false" ht="15" hidden="false" customHeight="false" outlineLevel="0" collapsed="false">
      <c r="A2060" s="11" t="s">
        <v>111</v>
      </c>
      <c r="B2060" s="11" t="s">
        <v>130</v>
      </c>
      <c r="C2060" s="11" t="n">
        <v>4</v>
      </c>
      <c r="D2060" s="11" t="s">
        <v>74</v>
      </c>
      <c r="E2060" s="11" t="s">
        <v>156</v>
      </c>
      <c r="F2060" s="11" t="s">
        <v>73</v>
      </c>
      <c r="G2060" s="12" t="n">
        <v>500</v>
      </c>
      <c r="H2060" s="12" t="n">
        <f aca="false">SUMPRODUCT(ПОТОКИ!B15:G15,ЧАСОВЫЕ_ПРОФИЛИ!B17:G17,КОЭФФИЦИЕНТЫ_ВЫБОРА!F14:K14)</f>
        <v>1.485</v>
      </c>
      <c r="I2060" s="12" t="n">
        <f aca="false">SUMPRODUCT(ПОТОКИ!B15:G15,ЧАСОВЫЕ_ПРОФИЛИ!B17:G17,КОЭФФИЦИЕНТЫ_ВЫБОРА!F14:K14,ПАРАМЕТРЫ!$B$17:$G$17)</f>
        <v>1.6335</v>
      </c>
      <c r="J2060" s="12" t="n">
        <f aca="false">I2060*G2060/1000</f>
        <v>0.81675</v>
      </c>
      <c r="K2060" s="11" t="s">
        <v>217</v>
      </c>
      <c r="L2060" s="11" t="s">
        <v>19</v>
      </c>
      <c r="M2060" s="11" t="s">
        <v>145</v>
      </c>
    </row>
    <row r="2061" customFormat="false" ht="15" hidden="false" customHeight="false" outlineLevel="0" collapsed="false">
      <c r="A2061" s="11" t="s">
        <v>111</v>
      </c>
      <c r="B2061" s="11" t="s">
        <v>130</v>
      </c>
      <c r="C2061" s="11" t="n">
        <v>5</v>
      </c>
      <c r="D2061" s="11" t="s">
        <v>78</v>
      </c>
      <c r="E2061" s="11" t="s">
        <v>157</v>
      </c>
      <c r="F2061" s="11" t="s">
        <v>77</v>
      </c>
      <c r="G2061" s="12" t="n">
        <v>100</v>
      </c>
      <c r="H2061" s="12" t="n">
        <f aca="false">SUMPRODUCT(ПОТОКИ!B15:G15,ЧАСОВЫЕ_ПРОФИЛИ!B17:G17,КОЭФФИЦИЕНТЫ_ВЫБОРА!F15:K15)</f>
        <v>0.793</v>
      </c>
      <c r="I2061" s="12" t="n">
        <f aca="false">SUMPRODUCT(ПОТОКИ!B15:G15,ЧАСОВЫЕ_ПРОФИЛИ!B17:G17,КОЭФФИЦИЕНТЫ_ВЫБОРА!F15:K15,ПАРАМЕТРЫ!$B$17:$G$17)</f>
        <v>0.8723</v>
      </c>
      <c r="J2061" s="12" t="n">
        <f aca="false">I2061*G2061/1000</f>
        <v>0.08723</v>
      </c>
      <c r="K2061" s="11" t="s">
        <v>217</v>
      </c>
      <c r="L2061" s="11" t="s">
        <v>19</v>
      </c>
      <c r="M2061" s="11" t="s">
        <v>147</v>
      </c>
    </row>
    <row r="2062" customFormat="false" ht="15" hidden="false" customHeight="false" outlineLevel="0" collapsed="false">
      <c r="A2062" s="11" t="s">
        <v>111</v>
      </c>
      <c r="B2062" s="11" t="s">
        <v>130</v>
      </c>
      <c r="C2062" s="11" t="n">
        <v>6</v>
      </c>
      <c r="D2062" s="11" t="s">
        <v>78</v>
      </c>
      <c r="E2062" s="11" t="s">
        <v>158</v>
      </c>
      <c r="F2062" s="11" t="s">
        <v>77</v>
      </c>
      <c r="G2062" s="12" t="n">
        <v>100</v>
      </c>
      <c r="H2062" s="12" t="n">
        <f aca="false">SUMPRODUCT(ПОТОКИ!B15:G15,ЧАСОВЫЕ_ПРОФИЛИ!B17:G17,КОЭФФИЦИЕНТЫ_ВЫБОРА!F16:K16)</f>
        <v>0.678</v>
      </c>
      <c r="I2062" s="12" t="n">
        <f aca="false">SUMPRODUCT(ПОТОКИ!B15:G15,ЧАСОВЫЕ_ПРОФИЛИ!B17:G17,КОЭФФИЦИЕНТЫ_ВЫБОРА!F16:K16,ПАРАМЕТРЫ!$B$17:$G$17)</f>
        <v>0.7458</v>
      </c>
      <c r="J2062" s="12" t="n">
        <f aca="false">I2062*G2062/1000</f>
        <v>0.07458</v>
      </c>
      <c r="K2062" s="11" t="s">
        <v>217</v>
      </c>
      <c r="L2062" s="11" t="s">
        <v>19</v>
      </c>
      <c r="M2062" s="11" t="s">
        <v>147</v>
      </c>
    </row>
    <row r="2063" customFormat="false" ht="15" hidden="false" customHeight="false" outlineLevel="0" collapsed="false">
      <c r="A2063" s="11" t="s">
        <v>111</v>
      </c>
      <c r="B2063" s="11" t="s">
        <v>130</v>
      </c>
      <c r="C2063" s="11" t="n">
        <v>7</v>
      </c>
      <c r="D2063" s="11" t="s">
        <v>78</v>
      </c>
      <c r="E2063" s="11" t="s">
        <v>159</v>
      </c>
      <c r="F2063" s="11" t="s">
        <v>77</v>
      </c>
      <c r="G2063" s="12" t="n">
        <v>350</v>
      </c>
      <c r="H2063" s="12" t="n">
        <f aca="false">SUMPRODUCT(ПОТОКИ!B15:G15,ЧАСОВЫЕ_ПРОФИЛИ!B17:G17,КОЭФФИЦИЕНТЫ_ВЫБОРА!F17:K17)</f>
        <v>0.6225</v>
      </c>
      <c r="I2063" s="12" t="n">
        <f aca="false">SUMPRODUCT(ПОТОКИ!B15:G15,ЧАСОВЫЕ_ПРОФИЛИ!B17:G17,КОЭФФИЦИЕНТЫ_ВЫБОРА!F17:K17,ПАРАМЕТРЫ!$B$17:$G$17)</f>
        <v>0.68475</v>
      </c>
      <c r="J2063" s="12" t="n">
        <f aca="false">I2063*G2063/1000</f>
        <v>0.2396625</v>
      </c>
      <c r="K2063" s="11" t="s">
        <v>217</v>
      </c>
      <c r="L2063" s="11" t="s">
        <v>19</v>
      </c>
      <c r="M2063" s="11" t="s">
        <v>147</v>
      </c>
    </row>
    <row r="2064" customFormat="false" ht="15" hidden="false" customHeight="false" outlineLevel="0" collapsed="false">
      <c r="A2064" s="11" t="s">
        <v>111</v>
      </c>
      <c r="B2064" s="11" t="s">
        <v>130</v>
      </c>
      <c r="C2064" s="11" t="n">
        <v>8</v>
      </c>
      <c r="D2064" s="11" t="s">
        <v>78</v>
      </c>
      <c r="E2064" s="11" t="s">
        <v>160</v>
      </c>
      <c r="F2064" s="11" t="s">
        <v>77</v>
      </c>
      <c r="G2064" s="12" t="n">
        <v>85</v>
      </c>
      <c r="H2064" s="12" t="n">
        <f aca="false">SUMPRODUCT(ПОТОКИ!B15:G15,ЧАСОВЫЕ_ПРОФИЛИ!B17:G17,КОЭФФИЦИЕНТЫ_ВЫБОРА!F18:K18)</f>
        <v>0.3965</v>
      </c>
      <c r="I2064" s="12" t="n">
        <f aca="false">SUMPRODUCT(ПОТОКИ!B15:G15,ЧАСОВЫЕ_ПРОФИЛИ!B17:G17,КОЭФФИЦИЕНТЫ_ВЫБОРА!F18:K18,ПАРАМЕТРЫ!$B$17:$G$17)</f>
        <v>0.43615</v>
      </c>
      <c r="J2064" s="12" t="n">
        <f aca="false">I2064*G2064/1000</f>
        <v>0.03707275</v>
      </c>
      <c r="K2064" s="11" t="s">
        <v>217</v>
      </c>
      <c r="L2064" s="11" t="s">
        <v>19</v>
      </c>
      <c r="M2064" s="11" t="s">
        <v>147</v>
      </c>
    </row>
    <row r="2065" customFormat="false" ht="15" hidden="false" customHeight="false" outlineLevel="0" collapsed="false">
      <c r="A2065" s="11" t="s">
        <v>111</v>
      </c>
      <c r="B2065" s="11" t="s">
        <v>130</v>
      </c>
      <c r="C2065" s="11" t="n">
        <v>9</v>
      </c>
      <c r="D2065" s="11" t="s">
        <v>161</v>
      </c>
      <c r="E2065" s="11" t="s">
        <v>162</v>
      </c>
      <c r="F2065" s="11" t="s">
        <v>80</v>
      </c>
      <c r="G2065" s="12" t="n">
        <v>300</v>
      </c>
      <c r="H2065" s="12" t="n">
        <f aca="false">SUMPRODUCT(ПОТОКИ!B15:G15,ЧАСОВЫЕ_ПРОФИЛИ!B17:G17,КОЭФФИЦИЕНТЫ_ВЫБОРА!F19:K19)</f>
        <v>0.7325</v>
      </c>
      <c r="I2065" s="12" t="n">
        <f aca="false">SUMPRODUCT(ПОТОКИ!B15:G15,ЧАСОВЫЕ_ПРОФИЛИ!B17:G17,КОЭФФИЦИЕНТЫ_ВЫБОРА!F19:K19,ПАРАМЕТРЫ!$B$17:$G$17)</f>
        <v>0.80575</v>
      </c>
      <c r="J2065" s="12" t="n">
        <f aca="false">I2065*G2065/1000</f>
        <v>0.241725</v>
      </c>
      <c r="K2065" s="11" t="s">
        <v>217</v>
      </c>
      <c r="L2065" s="11" t="s">
        <v>19</v>
      </c>
      <c r="M2065" s="11" t="s">
        <v>145</v>
      </c>
    </row>
    <row r="2066" customFormat="false" ht="15" hidden="false" customHeight="false" outlineLevel="0" collapsed="false">
      <c r="A2066" s="11" t="s">
        <v>111</v>
      </c>
      <c r="B2066" s="11" t="s">
        <v>130</v>
      </c>
      <c r="C2066" s="11" t="n">
        <v>10</v>
      </c>
      <c r="D2066" s="11" t="s">
        <v>161</v>
      </c>
      <c r="E2066" s="11" t="s">
        <v>163</v>
      </c>
      <c r="F2066" s="11" t="s">
        <v>80</v>
      </c>
      <c r="G2066" s="12" t="n">
        <v>280</v>
      </c>
      <c r="H2066" s="12" t="n">
        <f aca="false">SUMPRODUCT(ПОТОКИ!B15:G15,ЧАСОВЫЕ_ПРОФИЛИ!B17:G17,КОЭФФИЦИЕНТЫ_ВЫБОРА!F20:K20)</f>
        <v>1.1275</v>
      </c>
      <c r="I2066" s="12" t="n">
        <f aca="false">SUMPRODUCT(ПОТОКИ!B15:G15,ЧАСОВЫЕ_ПРОФИЛИ!B17:G17,КОЭФФИЦИЕНТЫ_ВЫБОРА!F20:K20,ПАРАМЕТРЫ!$B$17:$G$17)</f>
        <v>1.24025</v>
      </c>
      <c r="J2066" s="12" t="n">
        <f aca="false">I2066*G2066/1000</f>
        <v>0.34727</v>
      </c>
      <c r="K2066" s="11" t="s">
        <v>217</v>
      </c>
      <c r="L2066" s="11" t="s">
        <v>19</v>
      </c>
      <c r="M2066" s="11" t="s">
        <v>145</v>
      </c>
    </row>
    <row r="2067" customFormat="false" ht="15" hidden="false" customHeight="false" outlineLevel="0" collapsed="false">
      <c r="A2067" s="11" t="s">
        <v>111</v>
      </c>
      <c r="B2067" s="11" t="s">
        <v>130</v>
      </c>
      <c r="C2067" s="11" t="n">
        <v>11</v>
      </c>
      <c r="D2067" s="11" t="s">
        <v>161</v>
      </c>
      <c r="E2067" s="11" t="s">
        <v>164</v>
      </c>
      <c r="F2067" s="11" t="s">
        <v>80</v>
      </c>
      <c r="G2067" s="12" t="n">
        <v>270</v>
      </c>
      <c r="H2067" s="12" t="n">
        <f aca="false">SUMPRODUCT(ПОТОКИ!B15:G15,ЧАСОВЫЕ_ПРОФИЛИ!B17:G17,КОЭФФИЦИЕНТЫ_ВЫБОРА!F21:K21)</f>
        <v>2.075</v>
      </c>
      <c r="I2067" s="12" t="n">
        <f aca="false">SUMPRODUCT(ПОТОКИ!B15:G15,ЧАСОВЫЕ_ПРОФИЛИ!B17:G17,КОЭФФИЦИЕНТЫ_ВЫБОРА!F21:K21,ПАРАМЕТРЫ!$B$17:$G$17)</f>
        <v>2.2825</v>
      </c>
      <c r="J2067" s="12" t="n">
        <f aca="false">I2067*G2067/1000</f>
        <v>0.616275</v>
      </c>
      <c r="K2067" s="11" t="s">
        <v>217</v>
      </c>
      <c r="L2067" s="11" t="s">
        <v>19</v>
      </c>
      <c r="M2067" s="11" t="s">
        <v>145</v>
      </c>
    </row>
    <row r="2068" customFormat="false" ht="15" hidden="false" customHeight="false" outlineLevel="0" collapsed="false">
      <c r="A2068" s="11" t="s">
        <v>111</v>
      </c>
      <c r="B2068" s="11" t="s">
        <v>130</v>
      </c>
      <c r="C2068" s="11" t="n">
        <v>12</v>
      </c>
      <c r="D2068" s="11" t="s">
        <v>161</v>
      </c>
      <c r="E2068" s="11" t="s">
        <v>165</v>
      </c>
      <c r="F2068" s="11" t="s">
        <v>80</v>
      </c>
      <c r="G2068" s="12" t="n">
        <v>240</v>
      </c>
      <c r="H2068" s="12" t="n">
        <f aca="false">SUMPRODUCT(ПОТОКИ!B15:G15,ЧАСОВЫЕ_ПРОФИЛИ!B17:G17,КОЭФФИЦИЕНТЫ_ВЫБОРА!F22:K22)</f>
        <v>1.365</v>
      </c>
      <c r="I2068" s="12" t="n">
        <f aca="false">SUMPRODUCT(ПОТОКИ!B15:G15,ЧАСОВЫЕ_ПРОФИЛИ!B17:G17,КОЭФФИЦИЕНТЫ_ВЫБОРА!F22:K22,ПАРАМЕТРЫ!$B$17:$G$17)</f>
        <v>1.5015</v>
      </c>
      <c r="J2068" s="12" t="n">
        <f aca="false">I2068*G2068/1000</f>
        <v>0.36036</v>
      </c>
      <c r="K2068" s="11" t="s">
        <v>217</v>
      </c>
      <c r="L2068" s="11" t="s">
        <v>19</v>
      </c>
      <c r="M2068" s="11" t="s">
        <v>145</v>
      </c>
    </row>
    <row r="2069" customFormat="false" ht="15" hidden="false" customHeight="false" outlineLevel="0" collapsed="false">
      <c r="A2069" s="11" t="s">
        <v>111</v>
      </c>
      <c r="B2069" s="11" t="s">
        <v>130</v>
      </c>
      <c r="C2069" s="11" t="n">
        <v>13</v>
      </c>
      <c r="D2069" s="11" t="s">
        <v>166</v>
      </c>
      <c r="E2069" s="11" t="s">
        <v>167</v>
      </c>
      <c r="F2069" s="11" t="s">
        <v>80</v>
      </c>
      <c r="G2069" s="12" t="n">
        <v>130</v>
      </c>
      <c r="H2069" s="12" t="n">
        <f aca="false">SUMPRODUCT(ПОТОКИ!B15:G15,ЧАСОВЫЕ_ПРОФИЛИ!B17:G17,КОЭФФИЦИЕНТЫ_ВЫБОРА!F23:K23)</f>
        <v>0.365</v>
      </c>
      <c r="I2069" s="12" t="n">
        <f aca="false">SUMPRODUCT(ПОТОКИ!B15:G15,ЧАСОВЫЕ_ПРОФИЛИ!B17:G17,КОЭФФИЦИЕНТЫ_ВЫБОРА!F23:K23,ПАРАМЕТРЫ!$B$17:$G$17)</f>
        <v>0.4015</v>
      </c>
      <c r="J2069" s="12" t="n">
        <f aca="false">I2069*G2069/1000</f>
        <v>0.052195</v>
      </c>
      <c r="K2069" s="11" t="s">
        <v>217</v>
      </c>
      <c r="L2069" s="11" t="s">
        <v>19</v>
      </c>
      <c r="M2069" s="11" t="s">
        <v>145</v>
      </c>
    </row>
    <row r="2070" customFormat="false" ht="15" hidden="false" customHeight="false" outlineLevel="0" collapsed="false">
      <c r="A2070" s="11" t="s">
        <v>111</v>
      </c>
      <c r="B2070" s="11" t="s">
        <v>130</v>
      </c>
      <c r="C2070" s="11" t="n">
        <v>14</v>
      </c>
      <c r="D2070" s="11" t="s">
        <v>166</v>
      </c>
      <c r="E2070" s="11" t="s">
        <v>168</v>
      </c>
      <c r="F2070" s="11" t="s">
        <v>80</v>
      </c>
      <c r="G2070" s="12" t="n">
        <v>250</v>
      </c>
      <c r="H2070" s="12" t="n">
        <f aca="false">SUMPRODUCT(ПОТОКИ!B15:G15,ЧАСОВЫЕ_ПРОФИЛИ!B17:G17,КОЭФФИЦИЕНТЫ_ВЫБОРА!F24:K24)</f>
        <v>0.485</v>
      </c>
      <c r="I2070" s="12" t="n">
        <f aca="false">SUMPRODUCT(ПОТОКИ!B15:G15,ЧАСОВЫЕ_ПРОФИЛИ!B17:G17,КОЭФФИЦИЕНТЫ_ВЫБОРА!F24:K24,ПАРАМЕТРЫ!$B$17:$G$17)</f>
        <v>0.5335</v>
      </c>
      <c r="J2070" s="12" t="n">
        <f aca="false">I2070*G2070/1000</f>
        <v>0.133375</v>
      </c>
      <c r="K2070" s="11" t="s">
        <v>217</v>
      </c>
      <c r="L2070" s="11" t="s">
        <v>19</v>
      </c>
      <c r="M2070" s="11" t="s">
        <v>145</v>
      </c>
    </row>
    <row r="2071" customFormat="false" ht="15" hidden="false" customHeight="false" outlineLevel="0" collapsed="false">
      <c r="A2071" s="11" t="s">
        <v>111</v>
      </c>
      <c r="B2071" s="11" t="s">
        <v>130</v>
      </c>
      <c r="C2071" s="11" t="n">
        <v>15</v>
      </c>
      <c r="D2071" s="11" t="s">
        <v>166</v>
      </c>
      <c r="E2071" s="11" t="s">
        <v>169</v>
      </c>
      <c r="F2071" s="11" t="s">
        <v>80</v>
      </c>
      <c r="G2071" s="12" t="n">
        <v>120</v>
      </c>
      <c r="H2071" s="12" t="n">
        <f aca="false">SUMPRODUCT(ПОТОКИ!B15:G15,ЧАСОВЫЕ_ПРОФИЛИ!B17:G17,КОЭФФИЦИЕНТЫ_ВЫБОРА!F25:K25)</f>
        <v>0.275</v>
      </c>
      <c r="I2071" s="12" t="n">
        <f aca="false">SUMPRODUCT(ПОТОКИ!B15:G15,ЧАСОВЫЕ_ПРОФИЛИ!B17:G17,КОЭФФИЦИЕНТЫ_ВЫБОРА!F25:K25,ПАРАМЕТРЫ!$B$17:$G$17)</f>
        <v>0.3025</v>
      </c>
      <c r="J2071" s="12" t="n">
        <f aca="false">I2071*G2071/1000</f>
        <v>0.0363</v>
      </c>
      <c r="K2071" s="11" t="s">
        <v>217</v>
      </c>
      <c r="L2071" s="11" t="s">
        <v>19</v>
      </c>
      <c r="M2071" s="11" t="s">
        <v>145</v>
      </c>
    </row>
    <row r="2072" customFormat="false" ht="15" hidden="false" customHeight="false" outlineLevel="0" collapsed="false">
      <c r="A2072" s="11" t="s">
        <v>111</v>
      </c>
      <c r="B2072" s="11" t="s">
        <v>130</v>
      </c>
      <c r="C2072" s="11" t="n">
        <v>16</v>
      </c>
      <c r="D2072" s="11" t="s">
        <v>166</v>
      </c>
      <c r="E2072" s="11" t="s">
        <v>170</v>
      </c>
      <c r="F2072" s="11" t="s">
        <v>80</v>
      </c>
      <c r="G2072" s="12" t="n">
        <v>180</v>
      </c>
      <c r="H2072" s="12" t="n">
        <f aca="false">SUMPRODUCT(ПОТОКИ!B15:G15,ЧАСОВЫЕ_ПРОФИЛИ!B17:G17,КОЭФФИЦИЕНТЫ_ВЫБОРА!F26:K26)</f>
        <v>0.67</v>
      </c>
      <c r="I2072" s="12" t="n">
        <f aca="false">SUMPRODUCT(ПОТОКИ!B15:G15,ЧАСОВЫЕ_ПРОФИЛИ!B17:G17,КОЭФФИЦИЕНТЫ_ВЫБОРА!F26:K26,ПАРАМЕТРЫ!$B$17:$G$17)</f>
        <v>0.737</v>
      </c>
      <c r="J2072" s="12" t="n">
        <f aca="false">I2072*G2072/1000</f>
        <v>0.13266</v>
      </c>
      <c r="K2072" s="11" t="s">
        <v>217</v>
      </c>
      <c r="L2072" s="11" t="s">
        <v>19</v>
      </c>
      <c r="M2072" s="11" t="s">
        <v>145</v>
      </c>
    </row>
    <row r="2073" customFormat="false" ht="15" hidden="false" customHeight="false" outlineLevel="0" collapsed="false">
      <c r="A2073" s="11" t="s">
        <v>111</v>
      </c>
      <c r="B2073" s="11" t="s">
        <v>130</v>
      </c>
      <c r="C2073" s="11" t="n">
        <v>17</v>
      </c>
      <c r="D2073" s="11" t="s">
        <v>166</v>
      </c>
      <c r="E2073" s="11" t="s">
        <v>171</v>
      </c>
      <c r="F2073" s="11" t="s">
        <v>80</v>
      </c>
      <c r="G2073" s="12" t="n">
        <v>180</v>
      </c>
      <c r="H2073" s="12" t="n">
        <f aca="false">SUMPRODUCT(ПОТОКИ!B15:G15,ЧАСОВЫЕ_ПРОФИЛИ!B17:G17,КОЭФФИЦИЕНТЫ_ВЫБОРА!F27:K27)</f>
        <v>0.505</v>
      </c>
      <c r="I2073" s="12" t="n">
        <f aca="false">SUMPRODUCT(ПОТОКИ!B15:G15,ЧАСОВЫЕ_ПРОФИЛИ!B17:G17,КОЭФФИЦИЕНТЫ_ВЫБОРА!F27:K27,ПАРАМЕТРЫ!$B$17:$G$17)</f>
        <v>0.5555</v>
      </c>
      <c r="J2073" s="12" t="n">
        <f aca="false">I2073*G2073/1000</f>
        <v>0.09999</v>
      </c>
      <c r="K2073" s="11" t="s">
        <v>217</v>
      </c>
      <c r="L2073" s="11" t="s">
        <v>19</v>
      </c>
      <c r="M2073" s="11" t="s">
        <v>145</v>
      </c>
    </row>
    <row r="2074" customFormat="false" ht="15" hidden="false" customHeight="false" outlineLevel="0" collapsed="false">
      <c r="A2074" s="11" t="s">
        <v>111</v>
      </c>
      <c r="B2074" s="11" t="s">
        <v>130</v>
      </c>
      <c r="C2074" s="11" t="n">
        <v>18</v>
      </c>
      <c r="D2074" s="11" t="s">
        <v>172</v>
      </c>
      <c r="E2074" s="11" t="s">
        <v>173</v>
      </c>
      <c r="F2074" s="11" t="s">
        <v>83</v>
      </c>
      <c r="G2074" s="12" t="n">
        <v>400</v>
      </c>
      <c r="H2074" s="12" t="n">
        <f aca="false">SUMPRODUCT(ПОТОКИ!B15:G15,ЧАСОВЫЕ_ПРОФИЛИ!B17:G17,КОЭФФИЦИЕНТЫ_ВЫБОРА!F28:K28)</f>
        <v>5.35</v>
      </c>
      <c r="I2074" s="12" t="n">
        <f aca="false">SUMPRODUCT(ПОТОКИ!B15:G15,ЧАСОВЫЕ_ПРОФИЛИ!B17:G17,КОЭФФИЦИЕНТЫ_ВЫБОРА!F28:K28,ПАРАМЕТРЫ!$B$17:$G$17)</f>
        <v>5.885</v>
      </c>
      <c r="J2074" s="12" t="n">
        <f aca="false">I2074*G2074/1000</f>
        <v>2.354</v>
      </c>
      <c r="K2074" s="11" t="s">
        <v>217</v>
      </c>
      <c r="L2074" s="11" t="s">
        <v>19</v>
      </c>
      <c r="M2074" s="11" t="s">
        <v>145</v>
      </c>
    </row>
    <row r="2075" customFormat="false" ht="23.85" hidden="false" customHeight="false" outlineLevel="0" collapsed="false">
      <c r="A2075" s="11" t="s">
        <v>111</v>
      </c>
      <c r="B2075" s="11" t="s">
        <v>130</v>
      </c>
      <c r="C2075" s="11" t="n">
        <v>19</v>
      </c>
      <c r="D2075" s="11" t="s">
        <v>174</v>
      </c>
      <c r="E2075" s="11" t="s">
        <v>175</v>
      </c>
      <c r="F2075" s="11" t="s">
        <v>83</v>
      </c>
      <c r="G2075" s="12" t="n">
        <v>300</v>
      </c>
      <c r="H2075" s="12" t="n">
        <f aca="false">SUMPRODUCT(ПОТОКИ!B15:G15,ЧАСОВЫЕ_ПРОФИЛИ!B17:G17,КОЭФФИЦИЕНТЫ_ВЫБОРА!F29:K29)</f>
        <v>4.12125</v>
      </c>
      <c r="I2075" s="12" t="n">
        <f aca="false">SUMPRODUCT(ПОТОКИ!B15:G15,ЧАСОВЫЕ_ПРОФИЛИ!B17:G17,КОЭФФИЦИЕНТЫ_ВЫБОРА!F29:K29,ПАРАМЕТРЫ!$B$17:$G$17)</f>
        <v>4.533375</v>
      </c>
      <c r="J2075" s="12" t="n">
        <f aca="false">I2075*G2075/1000</f>
        <v>1.3600125</v>
      </c>
      <c r="K2075" s="11" t="s">
        <v>217</v>
      </c>
      <c r="L2075" s="11" t="s">
        <v>19</v>
      </c>
      <c r="M2075" s="11" t="s">
        <v>145</v>
      </c>
    </row>
    <row r="2076" customFormat="false" ht="15" hidden="false" customHeight="false" outlineLevel="0" collapsed="false">
      <c r="A2076" s="11" t="s">
        <v>111</v>
      </c>
      <c r="B2076" s="11" t="s">
        <v>130</v>
      </c>
      <c r="C2076" s="11" t="n">
        <v>20</v>
      </c>
      <c r="D2076" s="11" t="s">
        <v>174</v>
      </c>
      <c r="E2076" s="11" t="s">
        <v>176</v>
      </c>
      <c r="F2076" s="11" t="s">
        <v>83</v>
      </c>
      <c r="G2076" s="12" t="n">
        <v>360</v>
      </c>
      <c r="H2076" s="12" t="n">
        <f aca="false">SUMPRODUCT(ПОТОКИ!B15:G15,ЧАСОВЫЕ_ПРОФИЛИ!B17:G17,КОЭФФИЦИЕНТЫ_ВЫБОРА!F30:K30)</f>
        <v>2.985</v>
      </c>
      <c r="I2076" s="12" t="n">
        <f aca="false">SUMPRODUCT(ПОТОКИ!B15:G15,ЧАСОВЫЕ_ПРОФИЛИ!B17:G17,КОЭФФИЦИЕНТЫ_ВЫБОРА!F30:K30,ПАРАМЕТРЫ!$B$17:$G$17)</f>
        <v>3.2835</v>
      </c>
      <c r="J2076" s="12" t="n">
        <f aca="false">I2076*G2076/1000</f>
        <v>1.18206</v>
      </c>
      <c r="K2076" s="11" t="s">
        <v>217</v>
      </c>
      <c r="L2076" s="11" t="s">
        <v>19</v>
      </c>
      <c r="M2076" s="11" t="s">
        <v>145</v>
      </c>
    </row>
    <row r="2077" customFormat="false" ht="15" hidden="false" customHeight="false" outlineLevel="0" collapsed="false">
      <c r="A2077" s="11" t="s">
        <v>111</v>
      </c>
      <c r="B2077" s="11" t="s">
        <v>130</v>
      </c>
      <c r="C2077" s="11" t="n">
        <v>21</v>
      </c>
      <c r="D2077" s="11" t="s">
        <v>174</v>
      </c>
      <c r="E2077" s="11" t="s">
        <v>177</v>
      </c>
      <c r="F2077" s="11" t="s">
        <v>83</v>
      </c>
      <c r="G2077" s="12" t="n">
        <v>350</v>
      </c>
      <c r="H2077" s="12" t="n">
        <f aca="false">SUMPRODUCT(ПОТОКИ!B15:G15,ЧАСОВЫЕ_ПРОФИЛИ!B17:G17,КОЭФФИЦИЕНТЫ_ВЫБОРА!F31:K31)</f>
        <v>5.0325</v>
      </c>
      <c r="I2077" s="12" t="n">
        <f aca="false">SUMPRODUCT(ПОТОКИ!B15:G15,ЧАСОВЫЕ_ПРОФИЛИ!B17:G17,КОЭФФИЦИЕНТЫ_ВЫБОРА!F31:K31,ПАРАМЕТРЫ!$B$17:$G$17)</f>
        <v>5.53575</v>
      </c>
      <c r="J2077" s="12" t="n">
        <f aca="false">I2077*G2077/1000</f>
        <v>1.9375125</v>
      </c>
      <c r="K2077" s="11" t="s">
        <v>217</v>
      </c>
      <c r="L2077" s="11" t="s">
        <v>19</v>
      </c>
      <c r="M2077" s="11" t="s">
        <v>145</v>
      </c>
    </row>
    <row r="2078" customFormat="false" ht="15" hidden="false" customHeight="false" outlineLevel="0" collapsed="false">
      <c r="A2078" s="11" t="s">
        <v>111</v>
      </c>
      <c r="B2078" s="11" t="s">
        <v>130</v>
      </c>
      <c r="C2078" s="11" t="n">
        <v>22</v>
      </c>
      <c r="D2078" s="11" t="s">
        <v>174</v>
      </c>
      <c r="E2078" s="11" t="s">
        <v>178</v>
      </c>
      <c r="F2078" s="11" t="s">
        <v>83</v>
      </c>
      <c r="G2078" s="12" t="n">
        <v>300</v>
      </c>
      <c r="H2078" s="12" t="n">
        <f aca="false">SUMPRODUCT(ПОТОКИ!B15:G15,ЧАСОВЫЕ_ПРОФИЛИ!B17:G17,КОЭФФИЦИЕНТЫ_ВЫБОРА!F32:K32)</f>
        <v>2.48625</v>
      </c>
      <c r="I2078" s="12" t="n">
        <f aca="false">SUMPRODUCT(ПОТОКИ!B15:G15,ЧАСОВЫЕ_ПРОФИЛИ!B17:G17,КОЭФФИЦИЕНТЫ_ВЫБОРА!F32:K32,ПАРАМЕТРЫ!$B$17:$G$17)</f>
        <v>2.734875</v>
      </c>
      <c r="J2078" s="12" t="n">
        <f aca="false">I2078*G2078/1000</f>
        <v>0.8204625</v>
      </c>
      <c r="K2078" s="11" t="s">
        <v>217</v>
      </c>
      <c r="L2078" s="11" t="s">
        <v>19</v>
      </c>
      <c r="M2078" s="11" t="s">
        <v>145</v>
      </c>
    </row>
    <row r="2079" customFormat="false" ht="15" hidden="false" customHeight="false" outlineLevel="0" collapsed="false">
      <c r="A2079" s="11" t="s">
        <v>111</v>
      </c>
      <c r="B2079" s="11" t="s">
        <v>130</v>
      </c>
      <c r="C2079" s="11" t="n">
        <v>23</v>
      </c>
      <c r="D2079" s="11" t="s">
        <v>86</v>
      </c>
      <c r="E2079" s="11" t="s">
        <v>179</v>
      </c>
      <c r="F2079" s="11" t="s">
        <v>85</v>
      </c>
      <c r="G2079" s="12" t="n">
        <v>150</v>
      </c>
      <c r="H2079" s="12" t="n">
        <f aca="false">SUMPRODUCT(ПОТОКИ!B15:G15,ЧАСОВЫЕ_ПРОФИЛИ!B17:G17,КОЭФФИЦИЕНТЫ_ВЫБОРА!F33:K33)</f>
        <v>3.9864</v>
      </c>
      <c r="I2079" s="12" t="n">
        <f aca="false">SUMPRODUCT(ПОТОКИ!B15:G15,ЧАСОВЫЕ_ПРОФИЛИ!B17:G17,КОЭФФИЦИЕНТЫ_ВЫБОРА!F33:K33,ПАРАМЕТРЫ!$B$17:$G$17)</f>
        <v>4.38504</v>
      </c>
      <c r="J2079" s="12" t="n">
        <f aca="false">I2079*G2079/1000</f>
        <v>0.657756</v>
      </c>
      <c r="K2079" s="11" t="s">
        <v>217</v>
      </c>
      <c r="L2079" s="11" t="s">
        <v>19</v>
      </c>
      <c r="M2079" s="11" t="s">
        <v>147</v>
      </c>
    </row>
    <row r="2080" customFormat="false" ht="15" hidden="false" customHeight="false" outlineLevel="0" collapsed="false">
      <c r="A2080" s="11" t="s">
        <v>111</v>
      </c>
      <c r="B2080" s="11" t="s">
        <v>130</v>
      </c>
      <c r="C2080" s="11" t="n">
        <v>24</v>
      </c>
      <c r="D2080" s="11" t="s">
        <v>86</v>
      </c>
      <c r="E2080" s="11" t="s">
        <v>180</v>
      </c>
      <c r="F2080" s="11" t="s">
        <v>85</v>
      </c>
      <c r="G2080" s="12" t="n">
        <v>150</v>
      </c>
      <c r="H2080" s="12" t="n">
        <f aca="false">SUMPRODUCT(ПОТОКИ!B15:G15,ЧАСОВЫЕ_ПРОФИЛИ!B17:G17,КОЭФФИЦИЕНТЫ_ВЫБОРА!F34:K34)</f>
        <v>1.665075</v>
      </c>
      <c r="I2080" s="12" t="n">
        <f aca="false">SUMPRODUCT(ПОТОКИ!B15:G15,ЧАСОВЫЕ_ПРОФИЛИ!B17:G17,КОЭФФИЦИЕНТЫ_ВЫБОРА!F34:K34,ПАРАМЕТРЫ!$B$17:$G$17)</f>
        <v>1.8315825</v>
      </c>
      <c r="J2080" s="12" t="n">
        <f aca="false">I2080*G2080/1000</f>
        <v>0.274737375</v>
      </c>
      <c r="K2080" s="11" t="s">
        <v>217</v>
      </c>
      <c r="L2080" s="11" t="s">
        <v>19</v>
      </c>
      <c r="M2080" s="11" t="s">
        <v>147</v>
      </c>
    </row>
    <row r="2081" customFormat="false" ht="15" hidden="false" customHeight="false" outlineLevel="0" collapsed="false">
      <c r="A2081" s="11" t="s">
        <v>111</v>
      </c>
      <c r="B2081" s="11" t="s">
        <v>130</v>
      </c>
      <c r="C2081" s="11" t="n">
        <v>25</v>
      </c>
      <c r="D2081" s="11" t="s">
        <v>86</v>
      </c>
      <c r="E2081" s="11" t="s">
        <v>181</v>
      </c>
      <c r="F2081" s="11" t="s">
        <v>85</v>
      </c>
      <c r="G2081" s="12" t="n">
        <v>150</v>
      </c>
      <c r="H2081" s="12" t="n">
        <f aca="false">SUMPRODUCT(ПОТОКИ!B15:G15,ЧАСОВЫЕ_ПРОФИЛИ!B17:G17,КОЭФФИЦИЕНТЫ_ВЫБОРА!F35:K35)</f>
        <v>2.6739</v>
      </c>
      <c r="I2081" s="12" t="n">
        <f aca="false">SUMPRODUCT(ПОТОКИ!B15:G15,ЧАСОВЫЕ_ПРОФИЛИ!B17:G17,КОЭФФИЦИЕНТЫ_ВЫБОРА!F35:K35,ПАРАМЕТРЫ!$B$17:$G$17)</f>
        <v>2.94129</v>
      </c>
      <c r="J2081" s="12" t="n">
        <f aca="false">I2081*G2081/1000</f>
        <v>0.4411935</v>
      </c>
      <c r="K2081" s="11" t="s">
        <v>217</v>
      </c>
      <c r="L2081" s="11" t="s">
        <v>19</v>
      </c>
      <c r="M2081" s="11" t="s">
        <v>147</v>
      </c>
    </row>
    <row r="2082" customFormat="false" ht="23.85" hidden="false" customHeight="false" outlineLevel="0" collapsed="false">
      <c r="A2082" s="11" t="s">
        <v>111</v>
      </c>
      <c r="B2082" s="11" t="s">
        <v>130</v>
      </c>
      <c r="C2082" s="11" t="n">
        <v>26</v>
      </c>
      <c r="D2082" s="11" t="s">
        <v>89</v>
      </c>
      <c r="E2082" s="11" t="s">
        <v>182</v>
      </c>
      <c r="F2082" s="11" t="s">
        <v>88</v>
      </c>
      <c r="G2082" s="12" t="n">
        <v>225</v>
      </c>
      <c r="H2082" s="12" t="n">
        <f aca="false">SUMPRODUCT(ПОТОКИ!B15:G15,ЧАСОВЫЕ_ПРОФИЛИ!B17:G17,КОЭФФИЦИЕНТЫ_ВЫБОРА!F36:K36)</f>
        <v>0</v>
      </c>
      <c r="I2082" s="12" t="n">
        <f aca="false">SUMPRODUCT(ПОТОКИ!B15:G15,ЧАСОВЫЕ_ПРОФИЛИ!B17:G17,КОЭФФИЦИЕНТЫ_ВЫБОРА!F36:K36,ПАРАМЕТРЫ!$B$17:$G$17)</f>
        <v>0</v>
      </c>
      <c r="J2082" s="12" t="n">
        <f aca="false">I2082*G2082/1000</f>
        <v>0</v>
      </c>
      <c r="K2082" s="11" t="s">
        <v>217</v>
      </c>
      <c r="L2082" s="11" t="s">
        <v>19</v>
      </c>
      <c r="M2082" s="11" t="s">
        <v>145</v>
      </c>
    </row>
    <row r="2083" customFormat="false" ht="23.85" hidden="false" customHeight="false" outlineLevel="0" collapsed="false">
      <c r="A2083" s="11" t="s">
        <v>111</v>
      </c>
      <c r="B2083" s="11" t="s">
        <v>130</v>
      </c>
      <c r="C2083" s="11" t="n">
        <v>27</v>
      </c>
      <c r="D2083" s="11" t="s">
        <v>89</v>
      </c>
      <c r="E2083" s="11" t="s">
        <v>183</v>
      </c>
      <c r="F2083" s="11" t="s">
        <v>88</v>
      </c>
      <c r="G2083" s="12" t="n">
        <v>265</v>
      </c>
      <c r="H2083" s="12" t="n">
        <f aca="false">SUMPRODUCT(ПОТОКИ!B15:G15,ЧАСОВЫЕ_ПРОФИЛИ!B17:G17,КОЭФФИЦИЕНТЫ_ВЫБОРА!F37:K37)</f>
        <v>0</v>
      </c>
      <c r="I2083" s="12" t="n">
        <f aca="false">SUMPRODUCT(ПОТОКИ!B15:G15,ЧАСОВЫЕ_ПРОФИЛИ!B17:G17,КОЭФФИЦИЕНТЫ_ВЫБОРА!F37:K37,ПАРАМЕТРЫ!$B$17:$G$17)</f>
        <v>0</v>
      </c>
      <c r="J2083" s="12" t="n">
        <f aca="false">I2083*G2083/1000</f>
        <v>0</v>
      </c>
      <c r="K2083" s="11" t="s">
        <v>217</v>
      </c>
      <c r="L2083" s="11" t="s">
        <v>19</v>
      </c>
      <c r="M2083" s="11" t="s">
        <v>145</v>
      </c>
    </row>
    <row r="2084" customFormat="false" ht="23.85" hidden="false" customHeight="false" outlineLevel="0" collapsed="false">
      <c r="A2084" s="11" t="s">
        <v>111</v>
      </c>
      <c r="B2084" s="11" t="s">
        <v>130</v>
      </c>
      <c r="C2084" s="11" t="n">
        <v>28</v>
      </c>
      <c r="D2084" s="11" t="s">
        <v>89</v>
      </c>
      <c r="E2084" s="11" t="s">
        <v>184</v>
      </c>
      <c r="F2084" s="11" t="s">
        <v>88</v>
      </c>
      <c r="G2084" s="12" t="n">
        <v>355</v>
      </c>
      <c r="H2084" s="12" t="n">
        <f aca="false">SUMPRODUCT(ПОТОКИ!B15:G15,ЧАСОВЫЕ_ПРОФИЛИ!B17:G17,КОЭФФИЦИЕНТЫ_ВЫБОРА!F38:K38)</f>
        <v>0</v>
      </c>
      <c r="I2084" s="12" t="n">
        <f aca="false">SUMPRODUCT(ПОТОКИ!B15:G15,ЧАСОВЫЕ_ПРОФИЛИ!B17:G17,КОЭФФИЦИЕНТЫ_ВЫБОРА!F38:K38,ПАРАМЕТРЫ!$B$17:$G$17)</f>
        <v>0</v>
      </c>
      <c r="J2084" s="12" t="n">
        <f aca="false">I2084*G2084/1000</f>
        <v>0</v>
      </c>
      <c r="K2084" s="11" t="s">
        <v>217</v>
      </c>
      <c r="L2084" s="11" t="s">
        <v>19</v>
      </c>
      <c r="M2084" s="11" t="s">
        <v>145</v>
      </c>
    </row>
    <row r="2085" customFormat="false" ht="15" hidden="false" customHeight="false" outlineLevel="0" collapsed="false">
      <c r="A2085" s="11" t="s">
        <v>111</v>
      </c>
      <c r="B2085" s="11" t="s">
        <v>130</v>
      </c>
      <c r="C2085" s="11" t="n">
        <v>29</v>
      </c>
      <c r="D2085" s="11" t="s">
        <v>92</v>
      </c>
      <c r="E2085" s="11" t="s">
        <v>185</v>
      </c>
      <c r="F2085" s="11" t="s">
        <v>91</v>
      </c>
      <c r="G2085" s="12" t="n">
        <v>150</v>
      </c>
      <c r="H2085" s="12" t="n">
        <f aca="false">SUMPRODUCT(ПОТОКИ!B15:G15,ЧАСОВЫЕ_ПРОФИЛИ!B17:G17,КОЭФФИЦИЕНТЫ_ВЫБОРА!F39:K39)</f>
        <v>0.414</v>
      </c>
      <c r="I2085" s="12" t="n">
        <f aca="false">SUMPRODUCT(ПОТОКИ!B15:G15,ЧАСОВЫЕ_ПРОФИЛИ!B17:G17,КОЭФФИЦИЕНТЫ_ВЫБОРА!F39:K39,ПАРАМЕТРЫ!$B$17:$G$17)</f>
        <v>0.4554</v>
      </c>
      <c r="J2085" s="12" t="n">
        <f aca="false">I2085*G2085/1000</f>
        <v>0.06831</v>
      </c>
      <c r="K2085" s="11" t="s">
        <v>217</v>
      </c>
      <c r="L2085" s="11" t="s">
        <v>19</v>
      </c>
      <c r="M2085" s="11" t="s">
        <v>145</v>
      </c>
    </row>
    <row r="2086" customFormat="false" ht="15" hidden="false" customHeight="false" outlineLevel="0" collapsed="false">
      <c r="A2086" s="11" t="s">
        <v>111</v>
      </c>
      <c r="B2086" s="11" t="s">
        <v>130</v>
      </c>
      <c r="C2086" s="11" t="n">
        <v>30</v>
      </c>
      <c r="D2086" s="11" t="s">
        <v>92</v>
      </c>
      <c r="E2086" s="11" t="s">
        <v>186</v>
      </c>
      <c r="F2086" s="11" t="s">
        <v>91</v>
      </c>
      <c r="G2086" s="12" t="n">
        <v>120</v>
      </c>
      <c r="H2086" s="12" t="n">
        <f aca="false">SUMPRODUCT(ПОТОКИ!B15:G15,ЧАСОВЫЕ_ПРОФИЛИ!B17:G17,КОЭФФИЦИЕНТЫ_ВЫБОРА!F40:K40)</f>
        <v>0.414</v>
      </c>
      <c r="I2086" s="12" t="n">
        <f aca="false">SUMPRODUCT(ПОТОКИ!B15:G15,ЧАСОВЫЕ_ПРОФИЛИ!B17:G17,КОЭФФИЦИЕНТЫ_ВЫБОРА!F40:K40,ПАРАМЕТРЫ!$B$17:$G$17)</f>
        <v>0.4554</v>
      </c>
      <c r="J2086" s="12" t="n">
        <f aca="false">I2086*G2086/1000</f>
        <v>0.054648</v>
      </c>
      <c r="K2086" s="11" t="s">
        <v>217</v>
      </c>
      <c r="L2086" s="11" t="s">
        <v>19</v>
      </c>
      <c r="M2086" s="11" t="s">
        <v>145</v>
      </c>
    </row>
    <row r="2087" customFormat="false" ht="15" hidden="false" customHeight="false" outlineLevel="0" collapsed="false">
      <c r="A2087" s="11" t="s">
        <v>111</v>
      </c>
      <c r="B2087" s="11" t="s">
        <v>130</v>
      </c>
      <c r="C2087" s="11" t="n">
        <v>31</v>
      </c>
      <c r="D2087" s="11" t="s">
        <v>92</v>
      </c>
      <c r="E2087" s="11" t="s">
        <v>187</v>
      </c>
      <c r="F2087" s="11" t="s">
        <v>91</v>
      </c>
      <c r="G2087" s="12" t="n">
        <v>60</v>
      </c>
      <c r="H2087" s="12" t="n">
        <f aca="false">SUMPRODUCT(ПОТОКИ!B15:G15,ЧАСОВЫЕ_ПРОФИЛИ!B17:G17,КОЭФФИЦИЕНТЫ_ВЫБОРА!F41:K41)</f>
        <v>0.327</v>
      </c>
      <c r="I2087" s="12" t="n">
        <f aca="false">SUMPRODUCT(ПОТОКИ!B15:G15,ЧАСОВЫЕ_ПРОФИЛИ!B17:G17,КОЭФФИЦИЕНТЫ_ВЫБОРА!F41:K41,ПАРАМЕТРЫ!$B$17:$G$17)</f>
        <v>0.3597</v>
      </c>
      <c r="J2087" s="12" t="n">
        <f aca="false">I2087*G2087/1000</f>
        <v>0.021582</v>
      </c>
      <c r="K2087" s="11" t="s">
        <v>217</v>
      </c>
      <c r="L2087" s="11" t="s">
        <v>19</v>
      </c>
      <c r="M2087" s="11" t="s">
        <v>145</v>
      </c>
    </row>
    <row r="2088" customFormat="false" ht="15" hidden="false" customHeight="false" outlineLevel="0" collapsed="false">
      <c r="A2088" s="11" t="s">
        <v>111</v>
      </c>
      <c r="B2088" s="11" t="s">
        <v>131</v>
      </c>
      <c r="C2088" s="11" t="n">
        <v>1</v>
      </c>
      <c r="D2088" s="11" t="s">
        <v>74</v>
      </c>
      <c r="E2088" s="11" t="s">
        <v>153</v>
      </c>
      <c r="F2088" s="11" t="s">
        <v>73</v>
      </c>
      <c r="G2088" s="12" t="n">
        <v>450</v>
      </c>
      <c r="H2088" s="12" t="n">
        <f aca="false">SUMPRODUCT(ПОТОКИ!B15:G15,ЧАСОВЫЕ_ПРОФИЛИ!B18:G18,КОЭФФИЦИЕНТЫ_ВЫБОРА!F11:K11)</f>
        <v>0.342</v>
      </c>
      <c r="I2088" s="12" t="n">
        <f aca="false">SUMPRODUCT(ПОТОКИ!B15:G15,ЧАСОВЫЕ_ПРОФИЛИ!B18:G18,КОЭФФИЦИЕНТЫ_ВЫБОРА!F11:K11,ПАРАМЕТРЫ!$B$17:$G$17)</f>
        <v>0.3762</v>
      </c>
      <c r="J2088" s="12" t="n">
        <f aca="false">I2088*G2088/1000</f>
        <v>0.16929</v>
      </c>
      <c r="K2088" s="11" t="s">
        <v>217</v>
      </c>
      <c r="L2088" s="11" t="s">
        <v>19</v>
      </c>
      <c r="M2088" s="11" t="s">
        <v>145</v>
      </c>
    </row>
    <row r="2089" customFormat="false" ht="15" hidden="false" customHeight="false" outlineLevel="0" collapsed="false">
      <c r="A2089" s="11" t="s">
        <v>111</v>
      </c>
      <c r="B2089" s="11" t="s">
        <v>131</v>
      </c>
      <c r="C2089" s="11" t="n">
        <v>2</v>
      </c>
      <c r="D2089" s="11" t="s">
        <v>74</v>
      </c>
      <c r="E2089" s="11" t="s">
        <v>154</v>
      </c>
      <c r="F2089" s="11" t="s">
        <v>73</v>
      </c>
      <c r="G2089" s="12" t="n">
        <v>480</v>
      </c>
      <c r="H2089" s="12" t="n">
        <f aca="false">SUMPRODUCT(ПОТОКИ!B15:G15,ЧАСОВЫЕ_ПРОФИЛИ!B18:G18,КОЭФФИЦИЕНТЫ_ВЫБОРА!F12:K12)</f>
        <v>0.396</v>
      </c>
      <c r="I2089" s="12" t="n">
        <f aca="false">SUMPRODUCT(ПОТОКИ!B15:G15,ЧАСОВЫЕ_ПРОФИЛИ!B18:G18,КОЭФФИЦИЕНТЫ_ВЫБОРА!F12:K12,ПАРАМЕТРЫ!$B$17:$G$17)</f>
        <v>0.4356</v>
      </c>
      <c r="J2089" s="12" t="n">
        <f aca="false">I2089*G2089/1000</f>
        <v>0.209088</v>
      </c>
      <c r="K2089" s="11" t="s">
        <v>217</v>
      </c>
      <c r="L2089" s="11" t="s">
        <v>19</v>
      </c>
      <c r="M2089" s="11" t="s">
        <v>145</v>
      </c>
    </row>
    <row r="2090" customFormat="false" ht="15" hidden="false" customHeight="false" outlineLevel="0" collapsed="false">
      <c r="A2090" s="11" t="s">
        <v>111</v>
      </c>
      <c r="B2090" s="11" t="s">
        <v>131</v>
      </c>
      <c r="C2090" s="11" t="n">
        <v>3</v>
      </c>
      <c r="D2090" s="11" t="s">
        <v>74</v>
      </c>
      <c r="E2090" s="11" t="s">
        <v>155</v>
      </c>
      <c r="F2090" s="11" t="s">
        <v>73</v>
      </c>
      <c r="G2090" s="12" t="n">
        <v>500</v>
      </c>
      <c r="H2090" s="12" t="n">
        <f aca="false">SUMPRODUCT(ПОТОКИ!B15:G15,ЧАСОВЫЕ_ПРОФИЛИ!B18:G18,КОЭФФИЦИЕНТЫ_ВЫБОРА!F13:K13)</f>
        <v>0.7065</v>
      </c>
      <c r="I2090" s="12" t="n">
        <f aca="false">SUMPRODUCT(ПОТОКИ!B15:G15,ЧАСОВЫЕ_ПРОФИЛИ!B18:G18,КОЭФФИЦИЕНТЫ_ВЫБОРА!F13:K13,ПАРАМЕТРЫ!$B$17:$G$17)</f>
        <v>0.77715</v>
      </c>
      <c r="J2090" s="12" t="n">
        <f aca="false">I2090*G2090/1000</f>
        <v>0.388575</v>
      </c>
      <c r="K2090" s="11" t="s">
        <v>217</v>
      </c>
      <c r="L2090" s="11" t="s">
        <v>19</v>
      </c>
      <c r="M2090" s="11" t="s">
        <v>145</v>
      </c>
    </row>
    <row r="2091" customFormat="false" ht="15" hidden="false" customHeight="false" outlineLevel="0" collapsed="false">
      <c r="A2091" s="11" t="s">
        <v>111</v>
      </c>
      <c r="B2091" s="11" t="s">
        <v>131</v>
      </c>
      <c r="C2091" s="11" t="n">
        <v>4</v>
      </c>
      <c r="D2091" s="11" t="s">
        <v>74</v>
      </c>
      <c r="E2091" s="11" t="s">
        <v>156</v>
      </c>
      <c r="F2091" s="11" t="s">
        <v>73</v>
      </c>
      <c r="G2091" s="12" t="n">
        <v>500</v>
      </c>
      <c r="H2091" s="12" t="n">
        <f aca="false">SUMPRODUCT(ПОТОКИ!B15:G15,ЧАСОВЫЕ_ПРОФИЛИ!B18:G18,КОЭФФИЦИЕНТЫ_ВЫБОРА!F14:K14)</f>
        <v>0.7605</v>
      </c>
      <c r="I2091" s="12" t="n">
        <f aca="false">SUMPRODUCT(ПОТОКИ!B15:G15,ЧАСОВЫЕ_ПРОФИЛИ!B18:G18,КОЭФФИЦИЕНТЫ_ВЫБОРА!F14:K14,ПАРАМЕТРЫ!$B$17:$G$17)</f>
        <v>0.83655</v>
      </c>
      <c r="J2091" s="12" t="n">
        <f aca="false">I2091*G2091/1000</f>
        <v>0.418275</v>
      </c>
      <c r="K2091" s="11" t="s">
        <v>217</v>
      </c>
      <c r="L2091" s="11" t="s">
        <v>19</v>
      </c>
      <c r="M2091" s="11" t="s">
        <v>145</v>
      </c>
    </row>
    <row r="2092" customFormat="false" ht="15" hidden="false" customHeight="false" outlineLevel="0" collapsed="false">
      <c r="A2092" s="11" t="s">
        <v>111</v>
      </c>
      <c r="B2092" s="11" t="s">
        <v>131</v>
      </c>
      <c r="C2092" s="11" t="n">
        <v>5</v>
      </c>
      <c r="D2092" s="11" t="s">
        <v>78</v>
      </c>
      <c r="E2092" s="11" t="s">
        <v>157</v>
      </c>
      <c r="F2092" s="11" t="s">
        <v>77</v>
      </c>
      <c r="G2092" s="12" t="n">
        <v>100</v>
      </c>
      <c r="H2092" s="12" t="n">
        <f aca="false">SUMPRODUCT(ПОТОКИ!B15:G15,ЧАСОВЫЕ_ПРОФИЛИ!B18:G18,КОЭФФИЦИЕНТЫ_ВЫБОРА!F15:K15)</f>
        <v>0.5565</v>
      </c>
      <c r="I2092" s="12" t="n">
        <f aca="false">SUMPRODUCT(ПОТОКИ!B15:G15,ЧАСОВЫЕ_ПРОФИЛИ!B18:G18,КОЭФФИЦИЕНТЫ_ВЫБОРА!F15:K15,ПАРАМЕТРЫ!$B$17:$G$17)</f>
        <v>0.61215</v>
      </c>
      <c r="J2092" s="12" t="n">
        <f aca="false">I2092*G2092/1000</f>
        <v>0.061215</v>
      </c>
      <c r="K2092" s="11" t="s">
        <v>217</v>
      </c>
      <c r="L2092" s="11" t="s">
        <v>19</v>
      </c>
      <c r="M2092" s="11" t="s">
        <v>147</v>
      </c>
    </row>
    <row r="2093" customFormat="false" ht="15" hidden="false" customHeight="false" outlineLevel="0" collapsed="false">
      <c r="A2093" s="11" t="s">
        <v>111</v>
      </c>
      <c r="B2093" s="11" t="s">
        <v>131</v>
      </c>
      <c r="C2093" s="11" t="n">
        <v>6</v>
      </c>
      <c r="D2093" s="11" t="s">
        <v>78</v>
      </c>
      <c r="E2093" s="11" t="s">
        <v>158</v>
      </c>
      <c r="F2093" s="11" t="s">
        <v>77</v>
      </c>
      <c r="G2093" s="12" t="n">
        <v>100</v>
      </c>
      <c r="H2093" s="12" t="n">
        <f aca="false">SUMPRODUCT(ПОТОКИ!B15:G15,ЧАСОВЫЕ_ПРОФИЛИ!B18:G18,КОЭФФИЦИЕНТЫ_ВЫБОРА!F16:K16)</f>
        <v>0.495</v>
      </c>
      <c r="I2093" s="12" t="n">
        <f aca="false">SUMPRODUCT(ПОТОКИ!B15:G15,ЧАСОВЫЕ_ПРОФИЛИ!B18:G18,КОЭФФИЦИЕНТЫ_ВЫБОРА!F16:K16,ПАРАМЕТРЫ!$B$17:$G$17)</f>
        <v>0.5445</v>
      </c>
      <c r="J2093" s="12" t="n">
        <f aca="false">I2093*G2093/1000</f>
        <v>0.05445</v>
      </c>
      <c r="K2093" s="11" t="s">
        <v>217</v>
      </c>
      <c r="L2093" s="11" t="s">
        <v>19</v>
      </c>
      <c r="M2093" s="11" t="s">
        <v>147</v>
      </c>
    </row>
    <row r="2094" customFormat="false" ht="15" hidden="false" customHeight="false" outlineLevel="0" collapsed="false">
      <c r="A2094" s="11" t="s">
        <v>111</v>
      </c>
      <c r="B2094" s="11" t="s">
        <v>131</v>
      </c>
      <c r="C2094" s="11" t="n">
        <v>7</v>
      </c>
      <c r="D2094" s="11" t="s">
        <v>78</v>
      </c>
      <c r="E2094" s="11" t="s">
        <v>159</v>
      </c>
      <c r="F2094" s="11" t="s">
        <v>77</v>
      </c>
      <c r="G2094" s="12" t="n">
        <v>350</v>
      </c>
      <c r="H2094" s="12" t="n">
        <f aca="false">SUMPRODUCT(ПОТОКИ!B15:G15,ЧАСОВЫЕ_ПРОФИЛИ!B18:G18,КОЭФФИЦИЕНТЫ_ВЫБОРА!F17:K17)</f>
        <v>0.44325</v>
      </c>
      <c r="I2094" s="12" t="n">
        <f aca="false">SUMPRODUCT(ПОТОКИ!B15:G15,ЧАСОВЫЕ_ПРОФИЛИ!B18:G18,КОЭФФИЦИЕНТЫ_ВЫБОРА!F17:K17,ПАРАМЕТРЫ!$B$17:$G$17)</f>
        <v>0.487575</v>
      </c>
      <c r="J2094" s="12" t="n">
        <f aca="false">I2094*G2094/1000</f>
        <v>0.17065125</v>
      </c>
      <c r="K2094" s="11" t="s">
        <v>217</v>
      </c>
      <c r="L2094" s="11" t="s">
        <v>19</v>
      </c>
      <c r="M2094" s="11" t="s">
        <v>147</v>
      </c>
    </row>
    <row r="2095" customFormat="false" ht="15" hidden="false" customHeight="false" outlineLevel="0" collapsed="false">
      <c r="A2095" s="11" t="s">
        <v>111</v>
      </c>
      <c r="B2095" s="11" t="s">
        <v>131</v>
      </c>
      <c r="C2095" s="11" t="n">
        <v>8</v>
      </c>
      <c r="D2095" s="11" t="s">
        <v>78</v>
      </c>
      <c r="E2095" s="11" t="s">
        <v>160</v>
      </c>
      <c r="F2095" s="11" t="s">
        <v>77</v>
      </c>
      <c r="G2095" s="12" t="n">
        <v>85</v>
      </c>
      <c r="H2095" s="12" t="n">
        <f aca="false">SUMPRODUCT(ПОТОКИ!B15:G15,ЧАСОВЫЕ_ПРОФИЛИ!B18:G18,КОЭФФИЦИЕНТЫ_ВЫБОРА!F18:K18)</f>
        <v>0.27825</v>
      </c>
      <c r="I2095" s="12" t="n">
        <f aca="false">SUMPRODUCT(ПОТОКИ!B15:G15,ЧАСОВЫЕ_ПРОФИЛИ!B18:G18,КОЭФФИЦИЕНТЫ_ВЫБОРА!F18:K18,ПАРАМЕТРЫ!$B$17:$G$17)</f>
        <v>0.306075</v>
      </c>
      <c r="J2095" s="12" t="n">
        <f aca="false">I2095*G2095/1000</f>
        <v>0.026016375</v>
      </c>
      <c r="K2095" s="11" t="s">
        <v>217</v>
      </c>
      <c r="L2095" s="11" t="s">
        <v>19</v>
      </c>
      <c r="M2095" s="11" t="s">
        <v>147</v>
      </c>
    </row>
    <row r="2096" customFormat="false" ht="15" hidden="false" customHeight="false" outlineLevel="0" collapsed="false">
      <c r="A2096" s="11" t="s">
        <v>111</v>
      </c>
      <c r="B2096" s="11" t="s">
        <v>131</v>
      </c>
      <c r="C2096" s="11" t="n">
        <v>9</v>
      </c>
      <c r="D2096" s="11" t="s">
        <v>161</v>
      </c>
      <c r="E2096" s="11" t="s">
        <v>162</v>
      </c>
      <c r="F2096" s="11" t="s">
        <v>80</v>
      </c>
      <c r="G2096" s="12" t="n">
        <v>300</v>
      </c>
      <c r="H2096" s="12" t="n">
        <f aca="false">SUMPRODUCT(ПОТОКИ!B15:G15,ЧАСОВЫЕ_ПРОФИЛИ!B18:G18,КОЭФФИЦИЕНТЫ_ВЫБОРА!F19:K19)</f>
        <v>0.40875</v>
      </c>
      <c r="I2096" s="12" t="n">
        <f aca="false">SUMPRODUCT(ПОТОКИ!B15:G15,ЧАСОВЫЕ_ПРОФИЛИ!B18:G18,КОЭФФИЦИЕНТЫ_ВЫБОРА!F19:K19,ПАРАМЕТРЫ!$B$17:$G$17)</f>
        <v>0.449625</v>
      </c>
      <c r="J2096" s="12" t="n">
        <f aca="false">I2096*G2096/1000</f>
        <v>0.1348875</v>
      </c>
      <c r="K2096" s="11" t="s">
        <v>217</v>
      </c>
      <c r="L2096" s="11" t="s">
        <v>19</v>
      </c>
      <c r="M2096" s="11" t="s">
        <v>145</v>
      </c>
    </row>
    <row r="2097" customFormat="false" ht="15" hidden="false" customHeight="false" outlineLevel="0" collapsed="false">
      <c r="A2097" s="11" t="s">
        <v>111</v>
      </c>
      <c r="B2097" s="11" t="s">
        <v>131</v>
      </c>
      <c r="C2097" s="11" t="n">
        <v>10</v>
      </c>
      <c r="D2097" s="11" t="s">
        <v>161</v>
      </c>
      <c r="E2097" s="11" t="s">
        <v>163</v>
      </c>
      <c r="F2097" s="11" t="s">
        <v>80</v>
      </c>
      <c r="G2097" s="12" t="n">
        <v>280</v>
      </c>
      <c r="H2097" s="12" t="n">
        <f aca="false">SUMPRODUCT(ПОТОКИ!B15:G15,ЧАСОВЫЕ_ПРОФИЛИ!B18:G18,КОЭФФИЦИЕНТЫ_ВЫБОРА!F20:K20)</f>
        <v>0.58125</v>
      </c>
      <c r="I2097" s="12" t="n">
        <f aca="false">SUMPRODUCT(ПОТОКИ!B15:G15,ЧАСОВЫЕ_ПРОФИЛИ!B18:G18,КОЭФФИЦИЕНТЫ_ВЫБОРА!F20:K20,ПАРАМЕТРЫ!$B$17:$G$17)</f>
        <v>0.639375</v>
      </c>
      <c r="J2097" s="12" t="n">
        <f aca="false">I2097*G2097/1000</f>
        <v>0.179025</v>
      </c>
      <c r="K2097" s="11" t="s">
        <v>217</v>
      </c>
      <c r="L2097" s="11" t="s">
        <v>19</v>
      </c>
      <c r="M2097" s="11" t="s">
        <v>145</v>
      </c>
    </row>
    <row r="2098" customFormat="false" ht="15" hidden="false" customHeight="false" outlineLevel="0" collapsed="false">
      <c r="A2098" s="11" t="s">
        <v>111</v>
      </c>
      <c r="B2098" s="11" t="s">
        <v>131</v>
      </c>
      <c r="C2098" s="11" t="n">
        <v>11</v>
      </c>
      <c r="D2098" s="11" t="s">
        <v>161</v>
      </c>
      <c r="E2098" s="11" t="s">
        <v>164</v>
      </c>
      <c r="F2098" s="11" t="s">
        <v>80</v>
      </c>
      <c r="G2098" s="12" t="n">
        <v>270</v>
      </c>
      <c r="H2098" s="12" t="n">
        <f aca="false">SUMPRODUCT(ПОТОКИ!B15:G15,ЧАСОВЫЕ_ПРОФИЛИ!B18:G18,КОЭФФИЦИЕНТЫ_ВЫБОРА!F21:K21)</f>
        <v>1.032</v>
      </c>
      <c r="I2098" s="12" t="n">
        <f aca="false">SUMPRODUCT(ПОТОКИ!B15:G15,ЧАСОВЫЕ_ПРОФИЛИ!B18:G18,КОЭФФИЦИЕНТЫ_ВЫБОРА!F21:K21,ПАРАМЕТРЫ!$B$17:$G$17)</f>
        <v>1.1352</v>
      </c>
      <c r="J2098" s="12" t="n">
        <f aca="false">I2098*G2098/1000</f>
        <v>0.306504</v>
      </c>
      <c r="K2098" s="11" t="s">
        <v>217</v>
      </c>
      <c r="L2098" s="11" t="s">
        <v>19</v>
      </c>
      <c r="M2098" s="11" t="s">
        <v>145</v>
      </c>
    </row>
    <row r="2099" customFormat="false" ht="15" hidden="false" customHeight="false" outlineLevel="0" collapsed="false">
      <c r="A2099" s="11" t="s">
        <v>111</v>
      </c>
      <c r="B2099" s="11" t="s">
        <v>131</v>
      </c>
      <c r="C2099" s="11" t="n">
        <v>12</v>
      </c>
      <c r="D2099" s="11" t="s">
        <v>161</v>
      </c>
      <c r="E2099" s="11" t="s">
        <v>165</v>
      </c>
      <c r="F2099" s="11" t="s">
        <v>80</v>
      </c>
      <c r="G2099" s="12" t="n">
        <v>240</v>
      </c>
      <c r="H2099" s="12" t="n">
        <f aca="false">SUMPRODUCT(ПОТОКИ!B15:G15,ЧАСОВЫЕ_ПРОФИЛИ!B18:G18,КОЭФФИЦИЕНТЫ_ВЫБОРА!F22:K22)</f>
        <v>0.648</v>
      </c>
      <c r="I2099" s="12" t="n">
        <f aca="false">SUMPRODUCT(ПОТОКИ!B15:G15,ЧАСОВЫЕ_ПРОФИЛИ!B18:G18,КОЭФФИЦИЕНТЫ_ВЫБОРА!F22:K22,ПАРАМЕТРЫ!$B$17:$G$17)</f>
        <v>0.7128</v>
      </c>
      <c r="J2099" s="12" t="n">
        <f aca="false">I2099*G2099/1000</f>
        <v>0.171072</v>
      </c>
      <c r="K2099" s="11" t="s">
        <v>217</v>
      </c>
      <c r="L2099" s="11" t="s">
        <v>19</v>
      </c>
      <c r="M2099" s="11" t="s">
        <v>145</v>
      </c>
    </row>
    <row r="2100" customFormat="false" ht="15" hidden="false" customHeight="false" outlineLevel="0" collapsed="false">
      <c r="A2100" s="11" t="s">
        <v>111</v>
      </c>
      <c r="B2100" s="11" t="s">
        <v>131</v>
      </c>
      <c r="C2100" s="11" t="n">
        <v>13</v>
      </c>
      <c r="D2100" s="11" t="s">
        <v>166</v>
      </c>
      <c r="E2100" s="11" t="s">
        <v>167</v>
      </c>
      <c r="F2100" s="11" t="s">
        <v>80</v>
      </c>
      <c r="G2100" s="12" t="n">
        <v>130</v>
      </c>
      <c r="H2100" s="12" t="n">
        <f aca="false">SUMPRODUCT(ПОТОКИ!B15:G15,ЧАСОВЫЕ_ПРОФИЛИ!B18:G18,КОЭФФИЦИЕНТЫ_ВЫБОРА!F23:K23)</f>
        <v>0.2175</v>
      </c>
      <c r="I2100" s="12" t="n">
        <f aca="false">SUMPRODUCT(ПОТОКИ!B15:G15,ЧАСОВЫЕ_ПРОФИЛИ!B18:G18,КОЭФФИЦИЕНТЫ_ВЫБОРА!F23:K23,ПАРАМЕТРЫ!$B$17:$G$17)</f>
        <v>0.23925</v>
      </c>
      <c r="J2100" s="12" t="n">
        <f aca="false">I2100*G2100/1000</f>
        <v>0.0311025</v>
      </c>
      <c r="K2100" s="11" t="s">
        <v>217</v>
      </c>
      <c r="L2100" s="11" t="s">
        <v>19</v>
      </c>
      <c r="M2100" s="11" t="s">
        <v>145</v>
      </c>
    </row>
    <row r="2101" customFormat="false" ht="15" hidden="false" customHeight="false" outlineLevel="0" collapsed="false">
      <c r="A2101" s="11" t="s">
        <v>111</v>
      </c>
      <c r="B2101" s="11" t="s">
        <v>131</v>
      </c>
      <c r="C2101" s="11" t="n">
        <v>14</v>
      </c>
      <c r="D2101" s="11" t="s">
        <v>166</v>
      </c>
      <c r="E2101" s="11" t="s">
        <v>168</v>
      </c>
      <c r="F2101" s="11" t="s">
        <v>80</v>
      </c>
      <c r="G2101" s="12" t="n">
        <v>250</v>
      </c>
      <c r="H2101" s="12" t="n">
        <f aca="false">SUMPRODUCT(ПОТОКИ!B15:G15,ЧАСОВЫЕ_ПРОФИЛИ!B18:G18,КОЭФФИЦИЕНТЫ_ВЫБОРА!F24:K24)</f>
        <v>0.2445</v>
      </c>
      <c r="I2101" s="12" t="n">
        <f aca="false">SUMPRODUCT(ПОТОКИ!B15:G15,ЧАСОВЫЕ_ПРОФИЛИ!B18:G18,КОЭФФИЦИЕНТЫ_ВЫБОРА!F24:K24,ПАРАМЕТРЫ!$B$17:$G$17)</f>
        <v>0.26895</v>
      </c>
      <c r="J2101" s="12" t="n">
        <f aca="false">I2101*G2101/1000</f>
        <v>0.0672375</v>
      </c>
      <c r="K2101" s="11" t="s">
        <v>217</v>
      </c>
      <c r="L2101" s="11" t="s">
        <v>19</v>
      </c>
      <c r="M2101" s="11" t="s">
        <v>145</v>
      </c>
    </row>
    <row r="2102" customFormat="false" ht="15" hidden="false" customHeight="false" outlineLevel="0" collapsed="false">
      <c r="A2102" s="11" t="s">
        <v>111</v>
      </c>
      <c r="B2102" s="11" t="s">
        <v>131</v>
      </c>
      <c r="C2102" s="11" t="n">
        <v>15</v>
      </c>
      <c r="D2102" s="11" t="s">
        <v>166</v>
      </c>
      <c r="E2102" s="11" t="s">
        <v>169</v>
      </c>
      <c r="F2102" s="11" t="s">
        <v>80</v>
      </c>
      <c r="G2102" s="12" t="n">
        <v>120</v>
      </c>
      <c r="H2102" s="12" t="n">
        <f aca="false">SUMPRODUCT(ПОТОКИ!B15:G15,ЧАСОВЫЕ_ПРОФИЛИ!B18:G18,КОЭФФИЦИЕНТЫ_ВЫБОРА!F25:K25)</f>
        <v>0.1545</v>
      </c>
      <c r="I2102" s="12" t="n">
        <f aca="false">SUMPRODUCT(ПОТОКИ!B15:G15,ЧАСОВЫЕ_ПРОФИЛИ!B18:G18,КОЭФФИЦИЕНТЫ_ВЫБОРА!F25:K25,ПАРАМЕТРЫ!$B$17:$G$17)</f>
        <v>0.16995</v>
      </c>
      <c r="J2102" s="12" t="n">
        <f aca="false">I2102*G2102/1000</f>
        <v>0.020394</v>
      </c>
      <c r="K2102" s="11" t="s">
        <v>217</v>
      </c>
      <c r="L2102" s="11" t="s">
        <v>19</v>
      </c>
      <c r="M2102" s="11" t="s">
        <v>145</v>
      </c>
    </row>
    <row r="2103" customFormat="false" ht="15" hidden="false" customHeight="false" outlineLevel="0" collapsed="false">
      <c r="A2103" s="11" t="s">
        <v>111</v>
      </c>
      <c r="B2103" s="11" t="s">
        <v>131</v>
      </c>
      <c r="C2103" s="11" t="n">
        <v>16</v>
      </c>
      <c r="D2103" s="11" t="s">
        <v>166</v>
      </c>
      <c r="E2103" s="11" t="s">
        <v>170</v>
      </c>
      <c r="F2103" s="11" t="s">
        <v>80</v>
      </c>
      <c r="G2103" s="12" t="n">
        <v>180</v>
      </c>
      <c r="H2103" s="12" t="n">
        <f aca="false">SUMPRODUCT(ПОТОКИ!B15:G15,ЧАСОВЫЕ_ПРОФИЛИ!B18:G18,КОЭФФИЦИЕНТЫ_ВЫБОРА!F26:K26)</f>
        <v>0.336</v>
      </c>
      <c r="I2103" s="12" t="n">
        <f aca="false">SUMPRODUCT(ПОТОКИ!B15:G15,ЧАСОВЫЕ_ПРОФИЛИ!B18:G18,КОЭФФИЦИЕНТЫ_ВЫБОРА!F26:K26,ПАРАМЕТРЫ!$B$17:$G$17)</f>
        <v>0.3696</v>
      </c>
      <c r="J2103" s="12" t="n">
        <f aca="false">I2103*G2103/1000</f>
        <v>0.066528</v>
      </c>
      <c r="K2103" s="11" t="s">
        <v>217</v>
      </c>
      <c r="L2103" s="11" t="s">
        <v>19</v>
      </c>
      <c r="M2103" s="11" t="s">
        <v>145</v>
      </c>
    </row>
    <row r="2104" customFormat="false" ht="15" hidden="false" customHeight="false" outlineLevel="0" collapsed="false">
      <c r="A2104" s="11" t="s">
        <v>111</v>
      </c>
      <c r="B2104" s="11" t="s">
        <v>131</v>
      </c>
      <c r="C2104" s="11" t="n">
        <v>17</v>
      </c>
      <c r="D2104" s="11" t="s">
        <v>166</v>
      </c>
      <c r="E2104" s="11" t="s">
        <v>171</v>
      </c>
      <c r="F2104" s="11" t="s">
        <v>80</v>
      </c>
      <c r="G2104" s="12" t="n">
        <v>180</v>
      </c>
      <c r="H2104" s="12" t="n">
        <f aca="false">SUMPRODUCT(ПОТОКИ!B15:G15,ЧАСОВЫЕ_ПРОФИЛИ!B18:G18,КОЭФФИЦИЕНТЫ_ВЫБОРА!F27:K27)</f>
        <v>0.2775</v>
      </c>
      <c r="I2104" s="12" t="n">
        <f aca="false">SUMPRODUCT(ПОТОКИ!B15:G15,ЧАСОВЫЕ_ПРОФИЛИ!B18:G18,КОЭФФИЦИЕНТЫ_ВЫБОРА!F27:K27,ПАРАМЕТРЫ!$B$17:$G$17)</f>
        <v>0.30525</v>
      </c>
      <c r="J2104" s="12" t="n">
        <f aca="false">I2104*G2104/1000</f>
        <v>0.054945</v>
      </c>
      <c r="K2104" s="11" t="s">
        <v>217</v>
      </c>
      <c r="L2104" s="11" t="s">
        <v>19</v>
      </c>
      <c r="M2104" s="11" t="s">
        <v>145</v>
      </c>
    </row>
    <row r="2105" customFormat="false" ht="15" hidden="false" customHeight="false" outlineLevel="0" collapsed="false">
      <c r="A2105" s="11" t="s">
        <v>111</v>
      </c>
      <c r="B2105" s="11" t="s">
        <v>131</v>
      </c>
      <c r="C2105" s="11" t="n">
        <v>18</v>
      </c>
      <c r="D2105" s="11" t="s">
        <v>172</v>
      </c>
      <c r="E2105" s="11" t="s">
        <v>173</v>
      </c>
      <c r="F2105" s="11" t="s">
        <v>83</v>
      </c>
      <c r="G2105" s="12" t="n">
        <v>400</v>
      </c>
      <c r="H2105" s="12" t="n">
        <f aca="false">SUMPRODUCT(ПОТОКИ!B15:G15,ЧАСОВЫЕ_ПРОФИЛИ!B18:G18,КОЭФФИЦИЕНТЫ_ВЫБОРА!F28:K28)</f>
        <v>2.415</v>
      </c>
      <c r="I2105" s="12" t="n">
        <f aca="false">SUMPRODUCT(ПОТОКИ!B15:G15,ЧАСОВЫЕ_ПРОФИЛИ!B18:G18,КОЭФФИЦИЕНТЫ_ВЫБОРА!F28:K28,ПАРАМЕТРЫ!$B$17:$G$17)</f>
        <v>2.6565</v>
      </c>
      <c r="J2105" s="12" t="n">
        <f aca="false">I2105*G2105/1000</f>
        <v>1.0626</v>
      </c>
      <c r="K2105" s="11" t="s">
        <v>217</v>
      </c>
      <c r="L2105" s="11" t="s">
        <v>19</v>
      </c>
      <c r="M2105" s="11" t="s">
        <v>145</v>
      </c>
    </row>
    <row r="2106" customFormat="false" ht="23.85" hidden="false" customHeight="false" outlineLevel="0" collapsed="false">
      <c r="A2106" s="11" t="s">
        <v>111</v>
      </c>
      <c r="B2106" s="11" t="s">
        <v>131</v>
      </c>
      <c r="C2106" s="11" t="n">
        <v>19</v>
      </c>
      <c r="D2106" s="11" t="s">
        <v>174</v>
      </c>
      <c r="E2106" s="11" t="s">
        <v>175</v>
      </c>
      <c r="F2106" s="11" t="s">
        <v>83</v>
      </c>
      <c r="G2106" s="12" t="n">
        <v>300</v>
      </c>
      <c r="H2106" s="12" t="n">
        <f aca="false">SUMPRODUCT(ПОТОКИ!B15:G15,ЧАСОВЫЕ_ПРОФИЛИ!B18:G18,КОЭФФИЦИЕНТЫ_ВЫБОРА!F29:K29)</f>
        <v>1.981875</v>
      </c>
      <c r="I2106" s="12" t="n">
        <f aca="false">SUMPRODUCT(ПОТОКИ!B15:G15,ЧАСОВЫЕ_ПРОФИЛИ!B18:G18,КОЭФФИЦИЕНТЫ_ВЫБОРА!F29:K29,ПАРАМЕТРЫ!$B$17:$G$17)</f>
        <v>2.1800625</v>
      </c>
      <c r="J2106" s="12" t="n">
        <f aca="false">I2106*G2106/1000</f>
        <v>0.65401875</v>
      </c>
      <c r="K2106" s="11" t="s">
        <v>217</v>
      </c>
      <c r="L2106" s="11" t="s">
        <v>19</v>
      </c>
      <c r="M2106" s="11" t="s">
        <v>145</v>
      </c>
    </row>
    <row r="2107" customFormat="false" ht="15" hidden="false" customHeight="false" outlineLevel="0" collapsed="false">
      <c r="A2107" s="11" t="s">
        <v>111</v>
      </c>
      <c r="B2107" s="11" t="s">
        <v>131</v>
      </c>
      <c r="C2107" s="11" t="n">
        <v>20</v>
      </c>
      <c r="D2107" s="11" t="s">
        <v>174</v>
      </c>
      <c r="E2107" s="11" t="s">
        <v>176</v>
      </c>
      <c r="F2107" s="11" t="s">
        <v>83</v>
      </c>
      <c r="G2107" s="12" t="n">
        <v>360</v>
      </c>
      <c r="H2107" s="12" t="n">
        <f aca="false">SUMPRODUCT(ПОТОКИ!B15:G15,ЧАСОВЫЕ_ПРОФИЛИ!B18:G18,КОЭФФИЦИЕНТЫ_ВЫБОРА!F30:K30)</f>
        <v>1.4595</v>
      </c>
      <c r="I2107" s="12" t="n">
        <f aca="false">SUMPRODUCT(ПОТОКИ!B15:G15,ЧАСОВЫЕ_ПРОФИЛИ!B18:G18,КОЭФФИЦИЕНТЫ_ВЫБОРА!F30:K30,ПАРАМЕТРЫ!$B$17:$G$17)</f>
        <v>1.60545</v>
      </c>
      <c r="J2107" s="12" t="n">
        <f aca="false">I2107*G2107/1000</f>
        <v>0.577962</v>
      </c>
      <c r="K2107" s="11" t="s">
        <v>217</v>
      </c>
      <c r="L2107" s="11" t="s">
        <v>19</v>
      </c>
      <c r="M2107" s="11" t="s">
        <v>145</v>
      </c>
    </row>
    <row r="2108" customFormat="false" ht="15" hidden="false" customHeight="false" outlineLevel="0" collapsed="false">
      <c r="A2108" s="11" t="s">
        <v>111</v>
      </c>
      <c r="B2108" s="11" t="s">
        <v>131</v>
      </c>
      <c r="C2108" s="11" t="n">
        <v>21</v>
      </c>
      <c r="D2108" s="11" t="s">
        <v>174</v>
      </c>
      <c r="E2108" s="11" t="s">
        <v>177</v>
      </c>
      <c r="F2108" s="11" t="s">
        <v>83</v>
      </c>
      <c r="G2108" s="12" t="n">
        <v>350</v>
      </c>
      <c r="H2108" s="12" t="n">
        <f aca="false">SUMPRODUCT(ПОТОКИ!B15:G15,ЧАСОВЫЕ_ПРОФИЛИ!B18:G18,КОЭФФИЦИЕНТЫ_ВЫБОРА!F31:K31)</f>
        <v>2.42925</v>
      </c>
      <c r="I2108" s="12" t="n">
        <f aca="false">SUMPRODUCT(ПОТОКИ!B15:G15,ЧАСОВЫЕ_ПРОФИЛИ!B18:G18,КОЭФФИЦИЕНТЫ_ВЫБОРА!F31:K31,ПАРАМЕТРЫ!$B$17:$G$17)</f>
        <v>2.672175</v>
      </c>
      <c r="J2108" s="12" t="n">
        <f aca="false">I2108*G2108/1000</f>
        <v>0.93526125</v>
      </c>
      <c r="K2108" s="11" t="s">
        <v>217</v>
      </c>
      <c r="L2108" s="11" t="s">
        <v>19</v>
      </c>
      <c r="M2108" s="11" t="s">
        <v>145</v>
      </c>
    </row>
    <row r="2109" customFormat="false" ht="15" hidden="false" customHeight="false" outlineLevel="0" collapsed="false">
      <c r="A2109" s="11" t="s">
        <v>111</v>
      </c>
      <c r="B2109" s="11" t="s">
        <v>131</v>
      </c>
      <c r="C2109" s="11" t="n">
        <v>22</v>
      </c>
      <c r="D2109" s="11" t="s">
        <v>174</v>
      </c>
      <c r="E2109" s="11" t="s">
        <v>178</v>
      </c>
      <c r="F2109" s="11" t="s">
        <v>83</v>
      </c>
      <c r="G2109" s="12" t="n">
        <v>300</v>
      </c>
      <c r="H2109" s="12" t="n">
        <f aca="false">SUMPRODUCT(ПОТОКИ!B15:G15,ЧАСОВЫЕ_ПРОФИЛИ!B18:G18,КОЭФФИЦИЕНТЫ_ВЫБОРА!F32:K32)</f>
        <v>1.276875</v>
      </c>
      <c r="I2109" s="12" t="n">
        <f aca="false">SUMPRODUCT(ПОТОКИ!B15:G15,ЧАСОВЫЕ_ПРОФИЛИ!B18:G18,КОЭФФИЦИЕНТЫ_ВЫБОРА!F32:K32,ПАРАМЕТРЫ!$B$17:$G$17)</f>
        <v>1.4045625</v>
      </c>
      <c r="J2109" s="12" t="n">
        <f aca="false">I2109*G2109/1000</f>
        <v>0.42136875</v>
      </c>
      <c r="K2109" s="11" t="s">
        <v>217</v>
      </c>
      <c r="L2109" s="11" t="s">
        <v>19</v>
      </c>
      <c r="M2109" s="11" t="s">
        <v>145</v>
      </c>
    </row>
    <row r="2110" customFormat="false" ht="15" hidden="false" customHeight="false" outlineLevel="0" collapsed="false">
      <c r="A2110" s="11" t="s">
        <v>111</v>
      </c>
      <c r="B2110" s="11" t="s">
        <v>131</v>
      </c>
      <c r="C2110" s="11" t="n">
        <v>23</v>
      </c>
      <c r="D2110" s="11" t="s">
        <v>86</v>
      </c>
      <c r="E2110" s="11" t="s">
        <v>179</v>
      </c>
      <c r="F2110" s="11" t="s">
        <v>85</v>
      </c>
      <c r="G2110" s="12" t="n">
        <v>150</v>
      </c>
      <c r="H2110" s="12" t="n">
        <f aca="false">SUMPRODUCT(ПОТОКИ!B15:G15,ЧАСОВЫЕ_ПРОФИЛИ!B18:G18,КОЭФФИЦИЕНТЫ_ВЫБОРА!F33:K33)</f>
        <v>1.899855</v>
      </c>
      <c r="I2110" s="12" t="n">
        <f aca="false">SUMPRODUCT(ПОТОКИ!B15:G15,ЧАСОВЫЕ_ПРОФИЛИ!B18:G18,КОЭФФИЦИЕНТЫ_ВЫБОРА!F33:K33,ПАРАМЕТРЫ!$B$17:$G$17)</f>
        <v>2.0898405</v>
      </c>
      <c r="J2110" s="12" t="n">
        <f aca="false">I2110*G2110/1000</f>
        <v>0.313476075</v>
      </c>
      <c r="K2110" s="11" t="s">
        <v>217</v>
      </c>
      <c r="L2110" s="11" t="s">
        <v>19</v>
      </c>
      <c r="M2110" s="11" t="s">
        <v>147</v>
      </c>
    </row>
    <row r="2111" customFormat="false" ht="15" hidden="false" customHeight="false" outlineLevel="0" collapsed="false">
      <c r="A2111" s="11" t="s">
        <v>111</v>
      </c>
      <c r="B2111" s="11" t="s">
        <v>131</v>
      </c>
      <c r="C2111" s="11" t="n">
        <v>24</v>
      </c>
      <c r="D2111" s="11" t="s">
        <v>86</v>
      </c>
      <c r="E2111" s="11" t="s">
        <v>180</v>
      </c>
      <c r="F2111" s="11" t="s">
        <v>85</v>
      </c>
      <c r="G2111" s="12" t="n">
        <v>150</v>
      </c>
      <c r="H2111" s="12" t="n">
        <f aca="false">SUMPRODUCT(ПОТОКИ!B15:G15,ЧАСОВЫЕ_ПРОФИЛИ!B18:G18,КОЭФФИЦИЕНТЫ_ВЫБОРА!F34:K34)</f>
        <v>0.8093025</v>
      </c>
      <c r="I2111" s="12" t="n">
        <f aca="false">SUMPRODUCT(ПОТОКИ!B15:G15,ЧАСОВЫЕ_ПРОФИЛИ!B18:G18,КОЭФФИЦИЕНТЫ_ВЫБОРА!F34:K34,ПАРАМЕТРЫ!$B$17:$G$17)</f>
        <v>0.89023275</v>
      </c>
      <c r="J2111" s="12" t="n">
        <f aca="false">I2111*G2111/1000</f>
        <v>0.1335349125</v>
      </c>
      <c r="K2111" s="11" t="s">
        <v>217</v>
      </c>
      <c r="L2111" s="11" t="s">
        <v>19</v>
      </c>
      <c r="M2111" s="11" t="s">
        <v>147</v>
      </c>
    </row>
    <row r="2112" customFormat="false" ht="15" hidden="false" customHeight="false" outlineLevel="0" collapsed="false">
      <c r="A2112" s="11" t="s">
        <v>111</v>
      </c>
      <c r="B2112" s="11" t="s">
        <v>131</v>
      </c>
      <c r="C2112" s="11" t="n">
        <v>25</v>
      </c>
      <c r="D2112" s="11" t="s">
        <v>86</v>
      </c>
      <c r="E2112" s="11" t="s">
        <v>181</v>
      </c>
      <c r="F2112" s="11" t="s">
        <v>85</v>
      </c>
      <c r="G2112" s="12" t="n">
        <v>150</v>
      </c>
      <c r="H2112" s="12" t="n">
        <f aca="false">SUMPRODUCT(ПОТОКИ!B15:G15,ЧАСОВЫЕ_ПРОФИЛИ!B18:G18,КОЭФФИЦИЕНТЫ_ВЫБОРА!F35:K35)</f>
        <v>1.337355</v>
      </c>
      <c r="I2112" s="12" t="n">
        <f aca="false">SUMPRODUCT(ПОТОКИ!B15:G15,ЧАСОВЫЕ_ПРОФИЛИ!B18:G18,КОЭФФИЦИЕНТЫ_ВЫБОРА!F35:K35,ПАРАМЕТРЫ!$B$17:$G$17)</f>
        <v>1.4710905</v>
      </c>
      <c r="J2112" s="12" t="n">
        <f aca="false">I2112*G2112/1000</f>
        <v>0.220663575</v>
      </c>
      <c r="K2112" s="11" t="s">
        <v>217</v>
      </c>
      <c r="L2112" s="11" t="s">
        <v>19</v>
      </c>
      <c r="M2112" s="11" t="s">
        <v>147</v>
      </c>
    </row>
    <row r="2113" customFormat="false" ht="23.85" hidden="false" customHeight="false" outlineLevel="0" collapsed="false">
      <c r="A2113" s="11" t="s">
        <v>111</v>
      </c>
      <c r="B2113" s="11" t="s">
        <v>131</v>
      </c>
      <c r="C2113" s="11" t="n">
        <v>26</v>
      </c>
      <c r="D2113" s="11" t="s">
        <v>89</v>
      </c>
      <c r="E2113" s="11" t="s">
        <v>182</v>
      </c>
      <c r="F2113" s="11" t="s">
        <v>88</v>
      </c>
      <c r="G2113" s="12" t="n">
        <v>225</v>
      </c>
      <c r="H2113" s="12" t="n">
        <f aca="false">SUMPRODUCT(ПОТОКИ!B15:G15,ЧАСОВЫЕ_ПРОФИЛИ!B18:G18,КОЭФФИЦИЕНТЫ_ВЫБОРА!F36:K36)</f>
        <v>0</v>
      </c>
      <c r="I2113" s="12" t="n">
        <f aca="false">SUMPRODUCT(ПОТОКИ!B15:G15,ЧАСОВЫЕ_ПРОФИЛИ!B18:G18,КОЭФФИЦИЕНТЫ_ВЫБОРА!F36:K36,ПАРАМЕТРЫ!$B$17:$G$17)</f>
        <v>0</v>
      </c>
      <c r="J2113" s="12" t="n">
        <f aca="false">I2113*G2113/1000</f>
        <v>0</v>
      </c>
      <c r="K2113" s="11" t="s">
        <v>217</v>
      </c>
      <c r="L2113" s="11" t="s">
        <v>19</v>
      </c>
      <c r="M2113" s="11" t="s">
        <v>145</v>
      </c>
    </row>
    <row r="2114" customFormat="false" ht="23.85" hidden="false" customHeight="false" outlineLevel="0" collapsed="false">
      <c r="A2114" s="11" t="s">
        <v>111</v>
      </c>
      <c r="B2114" s="11" t="s">
        <v>131</v>
      </c>
      <c r="C2114" s="11" t="n">
        <v>27</v>
      </c>
      <c r="D2114" s="11" t="s">
        <v>89</v>
      </c>
      <c r="E2114" s="11" t="s">
        <v>183</v>
      </c>
      <c r="F2114" s="11" t="s">
        <v>88</v>
      </c>
      <c r="G2114" s="12" t="n">
        <v>265</v>
      </c>
      <c r="H2114" s="12" t="n">
        <f aca="false">SUMPRODUCT(ПОТОКИ!B15:G15,ЧАСОВЫЕ_ПРОФИЛИ!B18:G18,КОЭФФИЦИЕНТЫ_ВЫБОРА!F37:K37)</f>
        <v>0</v>
      </c>
      <c r="I2114" s="12" t="n">
        <f aca="false">SUMPRODUCT(ПОТОКИ!B15:G15,ЧАСОВЫЕ_ПРОФИЛИ!B18:G18,КОЭФФИЦИЕНТЫ_ВЫБОРА!F37:K37,ПАРАМЕТРЫ!$B$17:$G$17)</f>
        <v>0</v>
      </c>
      <c r="J2114" s="12" t="n">
        <f aca="false">I2114*G2114/1000</f>
        <v>0</v>
      </c>
      <c r="K2114" s="11" t="s">
        <v>217</v>
      </c>
      <c r="L2114" s="11" t="s">
        <v>19</v>
      </c>
      <c r="M2114" s="11" t="s">
        <v>145</v>
      </c>
    </row>
    <row r="2115" customFormat="false" ht="23.85" hidden="false" customHeight="false" outlineLevel="0" collapsed="false">
      <c r="A2115" s="11" t="s">
        <v>111</v>
      </c>
      <c r="B2115" s="11" t="s">
        <v>131</v>
      </c>
      <c r="C2115" s="11" t="n">
        <v>28</v>
      </c>
      <c r="D2115" s="11" t="s">
        <v>89</v>
      </c>
      <c r="E2115" s="11" t="s">
        <v>184</v>
      </c>
      <c r="F2115" s="11" t="s">
        <v>88</v>
      </c>
      <c r="G2115" s="12" t="n">
        <v>355</v>
      </c>
      <c r="H2115" s="12" t="n">
        <f aca="false">SUMPRODUCT(ПОТОКИ!B15:G15,ЧАСОВЫЕ_ПРОФИЛИ!B18:G18,КОЭФФИЦИЕНТЫ_ВЫБОРА!F38:K38)</f>
        <v>0</v>
      </c>
      <c r="I2115" s="12" t="n">
        <f aca="false">SUMPRODUCT(ПОТОКИ!B15:G15,ЧАСОВЫЕ_ПРОФИЛИ!B18:G18,КОЭФФИЦИЕНТЫ_ВЫБОРА!F38:K38,ПАРАМЕТРЫ!$B$17:$G$17)</f>
        <v>0</v>
      </c>
      <c r="J2115" s="12" t="n">
        <f aca="false">I2115*G2115/1000</f>
        <v>0</v>
      </c>
      <c r="K2115" s="11" t="s">
        <v>217</v>
      </c>
      <c r="L2115" s="11" t="s">
        <v>19</v>
      </c>
      <c r="M2115" s="11" t="s">
        <v>145</v>
      </c>
    </row>
    <row r="2116" customFormat="false" ht="15" hidden="false" customHeight="false" outlineLevel="0" collapsed="false">
      <c r="A2116" s="11" t="s">
        <v>111</v>
      </c>
      <c r="B2116" s="11" t="s">
        <v>131</v>
      </c>
      <c r="C2116" s="11" t="n">
        <v>29</v>
      </c>
      <c r="D2116" s="11" t="s">
        <v>92</v>
      </c>
      <c r="E2116" s="11" t="s">
        <v>185</v>
      </c>
      <c r="F2116" s="11" t="s">
        <v>91</v>
      </c>
      <c r="G2116" s="12" t="n">
        <v>150</v>
      </c>
      <c r="H2116" s="12" t="n">
        <f aca="false">SUMPRODUCT(ПОТОКИ!B15:G15,ЧАСОВЫЕ_ПРОФИЛИ!B18:G18,КОЭФФИЦИЕНТЫ_ВЫБОРА!F39:K39)</f>
        <v>0.333</v>
      </c>
      <c r="I2116" s="12" t="n">
        <f aca="false">SUMPRODUCT(ПОТОКИ!B15:G15,ЧАСОВЫЕ_ПРОФИЛИ!B18:G18,КОЭФФИЦИЕНТЫ_ВЫБОРА!F39:K39,ПАРАМЕТРЫ!$B$17:$G$17)</f>
        <v>0.3663</v>
      </c>
      <c r="J2116" s="12" t="n">
        <f aca="false">I2116*G2116/1000</f>
        <v>0.054945</v>
      </c>
      <c r="K2116" s="11" t="s">
        <v>217</v>
      </c>
      <c r="L2116" s="11" t="s">
        <v>19</v>
      </c>
      <c r="M2116" s="11" t="s">
        <v>145</v>
      </c>
    </row>
    <row r="2117" customFormat="false" ht="15" hidden="false" customHeight="false" outlineLevel="0" collapsed="false">
      <c r="A2117" s="11" t="s">
        <v>111</v>
      </c>
      <c r="B2117" s="11" t="s">
        <v>131</v>
      </c>
      <c r="C2117" s="11" t="n">
        <v>30</v>
      </c>
      <c r="D2117" s="11" t="s">
        <v>92</v>
      </c>
      <c r="E2117" s="11" t="s">
        <v>186</v>
      </c>
      <c r="F2117" s="11" t="s">
        <v>91</v>
      </c>
      <c r="G2117" s="12" t="n">
        <v>120</v>
      </c>
      <c r="H2117" s="12" t="n">
        <f aca="false">SUMPRODUCT(ПОТОКИ!B15:G15,ЧАСОВЫЕ_ПРОФИЛИ!B18:G18,КОЭФФИЦИЕНТЫ_ВЫБОРА!F40:K40)</f>
        <v>0.333</v>
      </c>
      <c r="I2117" s="12" t="n">
        <f aca="false">SUMPRODUCT(ПОТОКИ!B15:G15,ЧАСОВЫЕ_ПРОФИЛИ!B18:G18,КОЭФФИЦИЕНТЫ_ВЫБОРА!F40:K40,ПАРАМЕТРЫ!$B$17:$G$17)</f>
        <v>0.3663</v>
      </c>
      <c r="J2117" s="12" t="n">
        <f aca="false">I2117*G2117/1000</f>
        <v>0.043956</v>
      </c>
      <c r="K2117" s="11" t="s">
        <v>217</v>
      </c>
      <c r="L2117" s="11" t="s">
        <v>19</v>
      </c>
      <c r="M2117" s="11" t="s">
        <v>145</v>
      </c>
    </row>
    <row r="2118" customFormat="false" ht="15" hidden="false" customHeight="false" outlineLevel="0" collapsed="false">
      <c r="A2118" s="11" t="s">
        <v>111</v>
      </c>
      <c r="B2118" s="11" t="s">
        <v>131</v>
      </c>
      <c r="C2118" s="11" t="n">
        <v>31</v>
      </c>
      <c r="D2118" s="11" t="s">
        <v>92</v>
      </c>
      <c r="E2118" s="11" t="s">
        <v>187</v>
      </c>
      <c r="F2118" s="11" t="s">
        <v>91</v>
      </c>
      <c r="G2118" s="12" t="n">
        <v>60</v>
      </c>
      <c r="H2118" s="12" t="n">
        <f aca="false">SUMPRODUCT(ПОТОКИ!B15:G15,ЧАСОВЫЕ_ПРОФИЛИ!B18:G18,КОЭФФИЦИЕНТЫ_ВЫБОРА!F41:K41)</f>
        <v>0.2865</v>
      </c>
      <c r="I2118" s="12" t="n">
        <f aca="false">SUMPRODUCT(ПОТОКИ!B15:G15,ЧАСОВЫЕ_ПРОФИЛИ!B18:G18,КОЭФФИЦИЕНТЫ_ВЫБОРА!F41:K41,ПАРАМЕТРЫ!$B$17:$G$17)</f>
        <v>0.31515</v>
      </c>
      <c r="J2118" s="12" t="n">
        <f aca="false">I2118*G2118/1000</f>
        <v>0.018909</v>
      </c>
      <c r="K2118" s="11" t="s">
        <v>217</v>
      </c>
      <c r="L2118" s="11" t="s">
        <v>19</v>
      </c>
      <c r="M2118" s="11" t="s">
        <v>145</v>
      </c>
    </row>
    <row r="2119" customFormat="false" ht="15" hidden="false" customHeight="false" outlineLevel="0" collapsed="false">
      <c r="A2119" s="11" t="s">
        <v>111</v>
      </c>
      <c r="B2119" s="11" t="s">
        <v>132</v>
      </c>
      <c r="C2119" s="11" t="n">
        <v>1</v>
      </c>
      <c r="D2119" s="11" t="s">
        <v>74</v>
      </c>
      <c r="E2119" s="11" t="s">
        <v>153</v>
      </c>
      <c r="F2119" s="11" t="s">
        <v>73</v>
      </c>
      <c r="G2119" s="12" t="n">
        <v>450</v>
      </c>
      <c r="H2119" s="12" t="n">
        <f aca="false">SUMPRODUCT(ПОТОКИ!B15:G15,ЧАСОВЫЕ_ПРОФИЛИ!B19:G19,КОЭФФИЦИЕНТЫ_ВЫБОРА!F11:K11)</f>
        <v>0.168</v>
      </c>
      <c r="I2119" s="12" t="n">
        <f aca="false">SUMPRODUCT(ПОТОКИ!B15:G15,ЧАСОВЫЕ_ПРОФИЛИ!B19:G19,КОЭФФИЦИЕНТЫ_ВЫБОРА!F11:K11,ПАРАМЕТРЫ!$B$17:$G$17)</f>
        <v>0.1848</v>
      </c>
      <c r="J2119" s="12" t="n">
        <f aca="false">I2119*G2119/1000</f>
        <v>0.08316</v>
      </c>
      <c r="K2119" s="11" t="s">
        <v>217</v>
      </c>
      <c r="L2119" s="11" t="s">
        <v>19</v>
      </c>
      <c r="M2119" s="11" t="s">
        <v>145</v>
      </c>
    </row>
    <row r="2120" customFormat="false" ht="15" hidden="false" customHeight="false" outlineLevel="0" collapsed="false">
      <c r="A2120" s="11" t="s">
        <v>111</v>
      </c>
      <c r="B2120" s="11" t="s">
        <v>132</v>
      </c>
      <c r="C2120" s="11" t="n">
        <v>2</v>
      </c>
      <c r="D2120" s="11" t="s">
        <v>74</v>
      </c>
      <c r="E2120" s="11" t="s">
        <v>154</v>
      </c>
      <c r="F2120" s="11" t="s">
        <v>73</v>
      </c>
      <c r="G2120" s="12" t="n">
        <v>480</v>
      </c>
      <c r="H2120" s="12" t="n">
        <f aca="false">SUMPRODUCT(ПОТОКИ!B15:G15,ЧАСОВЫЕ_ПРОФИЛИ!B19:G19,КОЭФФИЦИЕНТЫ_ВЫБОРА!F12:K12)</f>
        <v>0.225</v>
      </c>
      <c r="I2120" s="12" t="n">
        <f aca="false">SUMPRODUCT(ПОТОКИ!B15:G15,ЧАСОВЫЕ_ПРОФИЛИ!B19:G19,КОЭФФИЦИЕНТЫ_ВЫБОРА!F12:K12,ПАРАМЕТРЫ!$B$17:$G$17)</f>
        <v>0.2475</v>
      </c>
      <c r="J2120" s="12" t="n">
        <f aca="false">I2120*G2120/1000</f>
        <v>0.1188</v>
      </c>
      <c r="K2120" s="11" t="s">
        <v>217</v>
      </c>
      <c r="L2120" s="11" t="s">
        <v>19</v>
      </c>
      <c r="M2120" s="11" t="s">
        <v>145</v>
      </c>
    </row>
    <row r="2121" customFormat="false" ht="15" hidden="false" customHeight="false" outlineLevel="0" collapsed="false">
      <c r="A2121" s="11" t="s">
        <v>111</v>
      </c>
      <c r="B2121" s="11" t="s">
        <v>132</v>
      </c>
      <c r="C2121" s="11" t="n">
        <v>3</v>
      </c>
      <c r="D2121" s="11" t="s">
        <v>74</v>
      </c>
      <c r="E2121" s="11" t="s">
        <v>155</v>
      </c>
      <c r="F2121" s="11" t="s">
        <v>73</v>
      </c>
      <c r="G2121" s="12" t="n">
        <v>500</v>
      </c>
      <c r="H2121" s="12" t="n">
        <f aca="false">SUMPRODUCT(ПОТОКИ!B15:G15,ЧАСОВЫЕ_ПРОФИЛИ!B19:G19,КОЭФФИЦИЕНТЫ_ВЫБОРА!F13:K13)</f>
        <v>0.375</v>
      </c>
      <c r="I2121" s="12" t="n">
        <f aca="false">SUMPRODUCT(ПОТОКИ!B15:G15,ЧАСОВЫЕ_ПРОФИЛИ!B19:G19,КОЭФФИЦИЕНТЫ_ВЫБОРА!F13:K13,ПАРАМЕТРЫ!$B$17:$G$17)</f>
        <v>0.4125</v>
      </c>
      <c r="J2121" s="12" t="n">
        <f aca="false">I2121*G2121/1000</f>
        <v>0.20625</v>
      </c>
      <c r="K2121" s="11" t="s">
        <v>217</v>
      </c>
      <c r="L2121" s="11" t="s">
        <v>19</v>
      </c>
      <c r="M2121" s="11" t="s">
        <v>145</v>
      </c>
    </row>
    <row r="2122" customFormat="false" ht="15" hidden="false" customHeight="false" outlineLevel="0" collapsed="false">
      <c r="A2122" s="11" t="s">
        <v>111</v>
      </c>
      <c r="B2122" s="11" t="s">
        <v>132</v>
      </c>
      <c r="C2122" s="11" t="n">
        <v>4</v>
      </c>
      <c r="D2122" s="11" t="s">
        <v>74</v>
      </c>
      <c r="E2122" s="11" t="s">
        <v>156</v>
      </c>
      <c r="F2122" s="11" t="s">
        <v>73</v>
      </c>
      <c r="G2122" s="12" t="n">
        <v>500</v>
      </c>
      <c r="H2122" s="12" t="n">
        <f aca="false">SUMPRODUCT(ПОТОКИ!B15:G15,ЧАСОВЫЕ_ПРОФИЛИ!B19:G19,КОЭФФИЦИЕНТЫ_ВЫБОРА!F14:K14)</f>
        <v>0.432</v>
      </c>
      <c r="I2122" s="12" t="n">
        <f aca="false">SUMPRODUCT(ПОТОКИ!B15:G15,ЧАСОВЫЕ_ПРОФИЛИ!B19:G19,КОЭФФИЦИЕНТЫ_ВЫБОРА!F14:K14,ПАРАМЕТРЫ!$B$17:$G$17)</f>
        <v>0.4752</v>
      </c>
      <c r="J2122" s="12" t="n">
        <f aca="false">I2122*G2122/1000</f>
        <v>0.2376</v>
      </c>
      <c r="K2122" s="11" t="s">
        <v>217</v>
      </c>
      <c r="L2122" s="11" t="s">
        <v>19</v>
      </c>
      <c r="M2122" s="11" t="s">
        <v>145</v>
      </c>
    </row>
    <row r="2123" customFormat="false" ht="15" hidden="false" customHeight="false" outlineLevel="0" collapsed="false">
      <c r="A2123" s="11" t="s">
        <v>111</v>
      </c>
      <c r="B2123" s="11" t="s">
        <v>132</v>
      </c>
      <c r="C2123" s="11" t="n">
        <v>5</v>
      </c>
      <c r="D2123" s="11" t="s">
        <v>78</v>
      </c>
      <c r="E2123" s="11" t="s">
        <v>157</v>
      </c>
      <c r="F2123" s="11" t="s">
        <v>77</v>
      </c>
      <c r="G2123" s="12" t="n">
        <v>100</v>
      </c>
      <c r="H2123" s="12" t="n">
        <f aca="false">SUMPRODUCT(ПОТОКИ!B15:G15,ЧАСОВЫЕ_ПРОФИЛИ!B19:G19,КОЭФФИЦИЕНТЫ_ВЫБОРА!F15:K15)</f>
        <v>0.454</v>
      </c>
      <c r="I2123" s="12" t="n">
        <f aca="false">SUMPRODUCT(ПОТОКИ!B15:G15,ЧАСОВЫЕ_ПРОФИЛИ!B19:G19,КОЭФФИЦИЕНТЫ_ВЫБОРА!F15:K15,ПАРАМЕТРЫ!$B$17:$G$17)</f>
        <v>0.4994</v>
      </c>
      <c r="J2123" s="12" t="n">
        <f aca="false">I2123*G2123/1000</f>
        <v>0.04994</v>
      </c>
      <c r="K2123" s="11" t="s">
        <v>217</v>
      </c>
      <c r="L2123" s="11" t="s">
        <v>19</v>
      </c>
      <c r="M2123" s="11" t="s">
        <v>147</v>
      </c>
    </row>
    <row r="2124" customFormat="false" ht="15" hidden="false" customHeight="false" outlineLevel="0" collapsed="false">
      <c r="A2124" s="11" t="s">
        <v>111</v>
      </c>
      <c r="B2124" s="11" t="s">
        <v>132</v>
      </c>
      <c r="C2124" s="11" t="n">
        <v>6</v>
      </c>
      <c r="D2124" s="11" t="s">
        <v>78</v>
      </c>
      <c r="E2124" s="11" t="s">
        <v>158</v>
      </c>
      <c r="F2124" s="11" t="s">
        <v>77</v>
      </c>
      <c r="G2124" s="12" t="n">
        <v>100</v>
      </c>
      <c r="H2124" s="12" t="n">
        <f aca="false">SUMPRODUCT(ПОТОКИ!B15:G15,ЧАСОВЫЕ_ПРОФИЛИ!B19:G19,КОЭФФИЦИЕНТЫ_ВЫБОРА!F16:K16)</f>
        <v>0.426</v>
      </c>
      <c r="I2124" s="12" t="n">
        <f aca="false">SUMPRODUCT(ПОТОКИ!B15:G15,ЧАСОВЫЕ_ПРОФИЛИ!B19:G19,КОЭФФИЦИЕНТЫ_ВЫБОРА!F16:K16,ПАРАМЕТРЫ!$B$17:$G$17)</f>
        <v>0.4686</v>
      </c>
      <c r="J2124" s="12" t="n">
        <f aca="false">I2124*G2124/1000</f>
        <v>0.04686</v>
      </c>
      <c r="K2124" s="11" t="s">
        <v>217</v>
      </c>
      <c r="L2124" s="11" t="s">
        <v>19</v>
      </c>
      <c r="M2124" s="11" t="s">
        <v>147</v>
      </c>
    </row>
    <row r="2125" customFormat="false" ht="15" hidden="false" customHeight="false" outlineLevel="0" collapsed="false">
      <c r="A2125" s="11" t="s">
        <v>111</v>
      </c>
      <c r="B2125" s="11" t="s">
        <v>132</v>
      </c>
      <c r="C2125" s="11" t="n">
        <v>7</v>
      </c>
      <c r="D2125" s="11" t="s">
        <v>78</v>
      </c>
      <c r="E2125" s="11" t="s">
        <v>159</v>
      </c>
      <c r="F2125" s="11" t="s">
        <v>77</v>
      </c>
      <c r="G2125" s="12" t="n">
        <v>350</v>
      </c>
      <c r="H2125" s="12" t="n">
        <f aca="false">SUMPRODUCT(ПОТОКИ!B15:G15,ЧАСОВЫЕ_ПРОФИЛИ!B19:G19,КОЭФФИЦИЕНТЫ_ВЫБОРА!F17:K17)</f>
        <v>0.369</v>
      </c>
      <c r="I2125" s="12" t="n">
        <f aca="false">SUMPRODUCT(ПОТОКИ!B15:G15,ЧАСОВЫЕ_ПРОФИЛИ!B19:G19,КОЭФФИЦИЕНТЫ_ВЫБОРА!F17:K17,ПАРАМЕТРЫ!$B$17:$G$17)</f>
        <v>0.4059</v>
      </c>
      <c r="J2125" s="12" t="n">
        <f aca="false">I2125*G2125/1000</f>
        <v>0.142065</v>
      </c>
      <c r="K2125" s="11" t="s">
        <v>217</v>
      </c>
      <c r="L2125" s="11" t="s">
        <v>19</v>
      </c>
      <c r="M2125" s="11" t="s">
        <v>147</v>
      </c>
    </row>
    <row r="2126" customFormat="false" ht="15" hidden="false" customHeight="false" outlineLevel="0" collapsed="false">
      <c r="A2126" s="11" t="s">
        <v>111</v>
      </c>
      <c r="B2126" s="11" t="s">
        <v>132</v>
      </c>
      <c r="C2126" s="11" t="n">
        <v>8</v>
      </c>
      <c r="D2126" s="11" t="s">
        <v>78</v>
      </c>
      <c r="E2126" s="11" t="s">
        <v>160</v>
      </c>
      <c r="F2126" s="11" t="s">
        <v>77</v>
      </c>
      <c r="G2126" s="12" t="n">
        <v>85</v>
      </c>
      <c r="H2126" s="12" t="n">
        <f aca="false">SUMPRODUCT(ПОТОКИ!B15:G15,ЧАСОВЫЕ_ПРОФИЛИ!B19:G19,КОЭФФИЦИЕНТЫ_ВЫБОРА!F18:K18)</f>
        <v>0.227</v>
      </c>
      <c r="I2126" s="12" t="n">
        <f aca="false">SUMPRODUCT(ПОТОКИ!B15:G15,ЧАСОВЫЕ_ПРОФИЛИ!B19:G19,КОЭФФИЦИЕНТЫ_ВЫБОРА!F18:K18,ПАРАМЕТРЫ!$B$17:$G$17)</f>
        <v>0.2497</v>
      </c>
      <c r="J2126" s="12" t="n">
        <f aca="false">I2126*G2126/1000</f>
        <v>0.0212245</v>
      </c>
      <c r="K2126" s="11" t="s">
        <v>217</v>
      </c>
      <c r="L2126" s="11" t="s">
        <v>19</v>
      </c>
      <c r="M2126" s="11" t="s">
        <v>147</v>
      </c>
    </row>
    <row r="2127" customFormat="false" ht="15" hidden="false" customHeight="false" outlineLevel="0" collapsed="false">
      <c r="A2127" s="11" t="s">
        <v>111</v>
      </c>
      <c r="B2127" s="11" t="s">
        <v>132</v>
      </c>
      <c r="C2127" s="11" t="n">
        <v>9</v>
      </c>
      <c r="D2127" s="11" t="s">
        <v>161</v>
      </c>
      <c r="E2127" s="11" t="s">
        <v>162</v>
      </c>
      <c r="F2127" s="11" t="s">
        <v>80</v>
      </c>
      <c r="G2127" s="12" t="n">
        <v>300</v>
      </c>
      <c r="H2127" s="12" t="n">
        <f aca="false">SUMPRODUCT(ПОТОКИ!B15:G15,ЧАСОВЫЕ_ПРОФИЛИ!B19:G19,КОЭФФИЦИЕНТЫ_ВЫБОРА!F19:K19)</f>
        <v>0.203</v>
      </c>
      <c r="I2127" s="12" t="n">
        <f aca="false">SUMPRODUCT(ПОТОКИ!B15:G15,ЧАСОВЫЕ_ПРОФИЛИ!B19:G19,КОЭФФИЦИЕНТЫ_ВЫБОРА!F19:K19,ПАРАМЕТРЫ!$B$17:$G$17)</f>
        <v>0.2233</v>
      </c>
      <c r="J2127" s="12" t="n">
        <f aca="false">I2127*G2127/1000</f>
        <v>0.06699</v>
      </c>
      <c r="K2127" s="11" t="s">
        <v>217</v>
      </c>
      <c r="L2127" s="11" t="s">
        <v>19</v>
      </c>
      <c r="M2127" s="11" t="s">
        <v>145</v>
      </c>
    </row>
    <row r="2128" customFormat="false" ht="15" hidden="false" customHeight="false" outlineLevel="0" collapsed="false">
      <c r="A2128" s="11" t="s">
        <v>111</v>
      </c>
      <c r="B2128" s="11" t="s">
        <v>132</v>
      </c>
      <c r="C2128" s="11" t="n">
        <v>10</v>
      </c>
      <c r="D2128" s="11" t="s">
        <v>161</v>
      </c>
      <c r="E2128" s="11" t="s">
        <v>163</v>
      </c>
      <c r="F2128" s="11" t="s">
        <v>80</v>
      </c>
      <c r="G2128" s="12" t="n">
        <v>280</v>
      </c>
      <c r="H2128" s="12" t="n">
        <f aca="false">SUMPRODUCT(ПОТОКИ!B15:G15,ЧАСОВЫЕ_ПРОФИЛИ!B19:G19,КОЭФФИЦИЕНТЫ_ВЫБОРА!F20:K20)</f>
        <v>0.271</v>
      </c>
      <c r="I2128" s="12" t="n">
        <f aca="false">SUMPRODUCT(ПОТОКИ!B15:G15,ЧАСОВЫЕ_ПРОФИЛИ!B19:G19,КОЭФФИЦИЕНТЫ_ВЫБОРА!F20:K20,ПАРАМЕТРЫ!$B$17:$G$17)</f>
        <v>0.2981</v>
      </c>
      <c r="J2128" s="12" t="n">
        <f aca="false">I2128*G2128/1000</f>
        <v>0.083468</v>
      </c>
      <c r="K2128" s="11" t="s">
        <v>217</v>
      </c>
      <c r="L2128" s="11" t="s">
        <v>19</v>
      </c>
      <c r="M2128" s="11" t="s">
        <v>145</v>
      </c>
    </row>
    <row r="2129" customFormat="false" ht="15" hidden="false" customHeight="false" outlineLevel="0" collapsed="false">
      <c r="A2129" s="11" t="s">
        <v>111</v>
      </c>
      <c r="B2129" s="11" t="s">
        <v>132</v>
      </c>
      <c r="C2129" s="11" t="n">
        <v>11</v>
      </c>
      <c r="D2129" s="11" t="s">
        <v>161</v>
      </c>
      <c r="E2129" s="11" t="s">
        <v>164</v>
      </c>
      <c r="F2129" s="11" t="s">
        <v>80</v>
      </c>
      <c r="G2129" s="12" t="n">
        <v>270</v>
      </c>
      <c r="H2129" s="12" t="n">
        <f aca="false">SUMPRODUCT(ПОТОКИ!B15:G15,ЧАСОВЫЕ_ПРОФИЛИ!B19:G19,КОЭФФИЦИЕНТЫ_ВЫБОРА!F21:K21)</f>
        <v>0.47</v>
      </c>
      <c r="I2129" s="12" t="n">
        <f aca="false">SUMPRODUCT(ПОТОКИ!B15:G15,ЧАСОВЫЕ_ПРОФИЛИ!B19:G19,КОЭФФИЦИЕНТЫ_ВЫБОРА!F21:K21,ПАРАМЕТРЫ!$B$17:$G$17)</f>
        <v>0.517</v>
      </c>
      <c r="J2129" s="12" t="n">
        <f aca="false">I2129*G2129/1000</f>
        <v>0.13959</v>
      </c>
      <c r="K2129" s="11" t="s">
        <v>217</v>
      </c>
      <c r="L2129" s="11" t="s">
        <v>19</v>
      </c>
      <c r="M2129" s="11" t="s">
        <v>145</v>
      </c>
    </row>
    <row r="2130" customFormat="false" ht="15" hidden="false" customHeight="false" outlineLevel="0" collapsed="false">
      <c r="A2130" s="11" t="s">
        <v>111</v>
      </c>
      <c r="B2130" s="11" t="s">
        <v>132</v>
      </c>
      <c r="C2130" s="11" t="n">
        <v>12</v>
      </c>
      <c r="D2130" s="11" t="s">
        <v>161</v>
      </c>
      <c r="E2130" s="11" t="s">
        <v>165</v>
      </c>
      <c r="F2130" s="11" t="s">
        <v>80</v>
      </c>
      <c r="G2130" s="12" t="n">
        <v>240</v>
      </c>
      <c r="H2130" s="12" t="n">
        <f aca="false">SUMPRODUCT(ПОТОКИ!B15:G15,ЧАСОВЫЕ_ПРОФИЛИ!B19:G19,КОЭФФИЦИЕНТЫ_ВЫБОРА!F22:K22)</f>
        <v>0.276</v>
      </c>
      <c r="I2130" s="12" t="n">
        <f aca="false">SUMPRODUCT(ПОТОКИ!B15:G15,ЧАСОВЫЕ_ПРОФИЛИ!B19:G19,КОЭФФИЦИЕНТЫ_ВЫБОРА!F22:K22,ПАРАМЕТРЫ!$B$17:$G$17)</f>
        <v>0.3036</v>
      </c>
      <c r="J2130" s="12" t="n">
        <f aca="false">I2130*G2130/1000</f>
        <v>0.072864</v>
      </c>
      <c r="K2130" s="11" t="s">
        <v>217</v>
      </c>
      <c r="L2130" s="11" t="s">
        <v>19</v>
      </c>
      <c r="M2130" s="11" t="s">
        <v>145</v>
      </c>
    </row>
    <row r="2131" customFormat="false" ht="15" hidden="false" customHeight="false" outlineLevel="0" collapsed="false">
      <c r="A2131" s="11" t="s">
        <v>111</v>
      </c>
      <c r="B2131" s="11" t="s">
        <v>132</v>
      </c>
      <c r="C2131" s="11" t="n">
        <v>13</v>
      </c>
      <c r="D2131" s="11" t="s">
        <v>166</v>
      </c>
      <c r="E2131" s="11" t="s">
        <v>167</v>
      </c>
      <c r="F2131" s="11" t="s">
        <v>80</v>
      </c>
      <c r="G2131" s="12" t="n">
        <v>130</v>
      </c>
      <c r="H2131" s="12" t="n">
        <f aca="false">SUMPRODUCT(ПОТОКИ!B15:G15,ЧАСОВЫЕ_ПРОФИЛИ!B19:G19,КОЭФФИЦИЕНТЫ_ВЫБОРА!F23:K23)</f>
        <v>0.11</v>
      </c>
      <c r="I2131" s="12" t="n">
        <f aca="false">SUMPRODUCT(ПОТОКИ!B15:G15,ЧАСОВЫЕ_ПРОФИЛИ!B19:G19,КОЭФФИЦИЕНТЫ_ВЫБОРА!F23:K23,ПАРАМЕТРЫ!$B$17:$G$17)</f>
        <v>0.121</v>
      </c>
      <c r="J2131" s="12" t="n">
        <f aca="false">I2131*G2131/1000</f>
        <v>0.01573</v>
      </c>
      <c r="K2131" s="11" t="s">
        <v>217</v>
      </c>
      <c r="L2131" s="11" t="s">
        <v>19</v>
      </c>
      <c r="M2131" s="11" t="s">
        <v>145</v>
      </c>
    </row>
    <row r="2132" customFormat="false" ht="15" hidden="false" customHeight="false" outlineLevel="0" collapsed="false">
      <c r="A2132" s="11" t="s">
        <v>111</v>
      </c>
      <c r="B2132" s="11" t="s">
        <v>132</v>
      </c>
      <c r="C2132" s="11" t="n">
        <v>14</v>
      </c>
      <c r="D2132" s="11" t="s">
        <v>166</v>
      </c>
      <c r="E2132" s="11" t="s">
        <v>168</v>
      </c>
      <c r="F2132" s="11" t="s">
        <v>80</v>
      </c>
      <c r="G2132" s="12" t="n">
        <v>250</v>
      </c>
      <c r="H2132" s="12" t="n">
        <f aca="false">SUMPRODUCT(ПОТОКИ!B15:G15,ЧАСОВЫЕ_ПРОФИЛИ!B19:G19,КОЭФФИЦИЕНТЫ_ВЫБОРА!F24:K24)</f>
        <v>0.104</v>
      </c>
      <c r="I2132" s="12" t="n">
        <f aca="false">SUMPRODUCT(ПОТОКИ!B15:G15,ЧАСОВЫЕ_ПРОФИЛИ!B19:G19,КОЭФФИЦИЕНТЫ_ВЫБОРА!F24:K24,ПАРАМЕТРЫ!$B$17:$G$17)</f>
        <v>0.1144</v>
      </c>
      <c r="J2132" s="12" t="n">
        <f aca="false">I2132*G2132/1000</f>
        <v>0.0286</v>
      </c>
      <c r="K2132" s="11" t="s">
        <v>217</v>
      </c>
      <c r="L2132" s="11" t="s">
        <v>19</v>
      </c>
      <c r="M2132" s="11" t="s">
        <v>145</v>
      </c>
    </row>
    <row r="2133" customFormat="false" ht="15" hidden="false" customHeight="false" outlineLevel="0" collapsed="false">
      <c r="A2133" s="11" t="s">
        <v>111</v>
      </c>
      <c r="B2133" s="11" t="s">
        <v>132</v>
      </c>
      <c r="C2133" s="11" t="n">
        <v>15</v>
      </c>
      <c r="D2133" s="11" t="s">
        <v>166</v>
      </c>
      <c r="E2133" s="11" t="s">
        <v>169</v>
      </c>
      <c r="F2133" s="11" t="s">
        <v>80</v>
      </c>
      <c r="G2133" s="12" t="n">
        <v>120</v>
      </c>
      <c r="H2133" s="12" t="n">
        <f aca="false">SUMPRODUCT(ПОТОКИ!B15:G15,ЧАСОВЫЕ_ПРОФИЛИ!B19:G19,КОЭФФИЦИЕНТЫ_ВЫБОРА!F25:K25)</f>
        <v>0.074</v>
      </c>
      <c r="I2133" s="12" t="n">
        <f aca="false">SUMPRODUCT(ПОТОКИ!B15:G15,ЧАСОВЫЕ_ПРОФИЛИ!B19:G19,КОЭФФИЦИЕНТЫ_ВЫБОРА!F25:K25,ПАРАМЕТРЫ!$B$17:$G$17)</f>
        <v>0.0814</v>
      </c>
      <c r="J2133" s="12" t="n">
        <f aca="false">I2133*G2133/1000</f>
        <v>0.009768</v>
      </c>
      <c r="K2133" s="11" t="s">
        <v>217</v>
      </c>
      <c r="L2133" s="11" t="s">
        <v>19</v>
      </c>
      <c r="M2133" s="11" t="s">
        <v>145</v>
      </c>
    </row>
    <row r="2134" customFormat="false" ht="15" hidden="false" customHeight="false" outlineLevel="0" collapsed="false">
      <c r="A2134" s="11" t="s">
        <v>111</v>
      </c>
      <c r="B2134" s="11" t="s">
        <v>132</v>
      </c>
      <c r="C2134" s="11" t="n">
        <v>16</v>
      </c>
      <c r="D2134" s="11" t="s">
        <v>166</v>
      </c>
      <c r="E2134" s="11" t="s">
        <v>170</v>
      </c>
      <c r="F2134" s="11" t="s">
        <v>80</v>
      </c>
      <c r="G2134" s="12" t="n">
        <v>180</v>
      </c>
      <c r="H2134" s="12" t="n">
        <f aca="false">SUMPRODUCT(ПОТОКИ!B15:G15,ЧАСОВЫЕ_ПРОФИЛИ!B19:G19,КОЭФФИЦИЕНТЫ_ВЫБОРА!F26:K26)</f>
        <v>0.142</v>
      </c>
      <c r="I2134" s="12" t="n">
        <f aca="false">SUMPRODUCT(ПОТОКИ!B15:G15,ЧАСОВЫЕ_ПРОФИЛИ!B19:G19,КОЭФФИЦИЕНТЫ_ВЫБОРА!F26:K26,ПАРАМЕТРЫ!$B$17:$G$17)</f>
        <v>0.1562</v>
      </c>
      <c r="J2134" s="12" t="n">
        <f aca="false">I2134*G2134/1000</f>
        <v>0.028116</v>
      </c>
      <c r="K2134" s="11" t="s">
        <v>217</v>
      </c>
      <c r="L2134" s="11" t="s">
        <v>19</v>
      </c>
      <c r="M2134" s="11" t="s">
        <v>145</v>
      </c>
    </row>
    <row r="2135" customFormat="false" ht="15" hidden="false" customHeight="false" outlineLevel="0" collapsed="false">
      <c r="A2135" s="11" t="s">
        <v>111</v>
      </c>
      <c r="B2135" s="11" t="s">
        <v>132</v>
      </c>
      <c r="C2135" s="11" t="n">
        <v>17</v>
      </c>
      <c r="D2135" s="11" t="s">
        <v>166</v>
      </c>
      <c r="E2135" s="11" t="s">
        <v>171</v>
      </c>
      <c r="F2135" s="11" t="s">
        <v>80</v>
      </c>
      <c r="G2135" s="12" t="n">
        <v>180</v>
      </c>
      <c r="H2135" s="12" t="n">
        <f aca="false">SUMPRODUCT(ПОТОКИ!B15:G15,ЧАСОВЫЕ_ПРОФИЛИ!B19:G19,КОЭФФИЦИЕНТЫ_ВЫБОРА!F27:K27)</f>
        <v>0.13</v>
      </c>
      <c r="I2135" s="12" t="n">
        <f aca="false">SUMPRODUCT(ПОТОКИ!B15:G15,ЧАСОВЫЕ_ПРОФИЛИ!B19:G19,КОЭФФИЦИЕНТЫ_ВЫБОРА!F27:K27,ПАРАМЕТРЫ!$B$17:$G$17)</f>
        <v>0.143</v>
      </c>
      <c r="J2135" s="12" t="n">
        <f aca="false">I2135*G2135/1000</f>
        <v>0.02574</v>
      </c>
      <c r="K2135" s="11" t="s">
        <v>217</v>
      </c>
      <c r="L2135" s="11" t="s">
        <v>19</v>
      </c>
      <c r="M2135" s="11" t="s">
        <v>145</v>
      </c>
    </row>
    <row r="2136" customFormat="false" ht="15" hidden="false" customHeight="false" outlineLevel="0" collapsed="false">
      <c r="A2136" s="11" t="s">
        <v>111</v>
      </c>
      <c r="B2136" s="11" t="s">
        <v>132</v>
      </c>
      <c r="C2136" s="11" t="n">
        <v>18</v>
      </c>
      <c r="D2136" s="11" t="s">
        <v>172</v>
      </c>
      <c r="E2136" s="11" t="s">
        <v>173</v>
      </c>
      <c r="F2136" s="11" t="s">
        <v>83</v>
      </c>
      <c r="G2136" s="12" t="n">
        <v>400</v>
      </c>
      <c r="H2136" s="12" t="n">
        <f aca="false">SUMPRODUCT(ПОТОКИ!B15:G15,ЧАСОВЫЕ_ПРОФИЛИ!B19:G19,КОЭФФИЦИЕНТЫ_ВЫБОРА!F28:K28)</f>
        <v>0.88</v>
      </c>
      <c r="I2136" s="12" t="n">
        <f aca="false">SUMPRODUCT(ПОТОКИ!B15:G15,ЧАСОВЫЕ_ПРОФИЛИ!B19:G19,КОЭФФИЦИЕНТЫ_ВЫБОРА!F28:K28,ПАРАМЕТРЫ!$B$17:$G$17)</f>
        <v>0.968</v>
      </c>
      <c r="J2136" s="12" t="n">
        <f aca="false">I2136*G2136/1000</f>
        <v>0.3872</v>
      </c>
      <c r="K2136" s="11" t="s">
        <v>217</v>
      </c>
      <c r="L2136" s="11" t="s">
        <v>19</v>
      </c>
      <c r="M2136" s="11" t="s">
        <v>145</v>
      </c>
    </row>
    <row r="2137" customFormat="false" ht="23.85" hidden="false" customHeight="false" outlineLevel="0" collapsed="false">
      <c r="A2137" s="11" t="s">
        <v>111</v>
      </c>
      <c r="B2137" s="11" t="s">
        <v>132</v>
      </c>
      <c r="C2137" s="11" t="n">
        <v>19</v>
      </c>
      <c r="D2137" s="11" t="s">
        <v>174</v>
      </c>
      <c r="E2137" s="11" t="s">
        <v>175</v>
      </c>
      <c r="F2137" s="11" t="s">
        <v>83</v>
      </c>
      <c r="G2137" s="12" t="n">
        <v>300</v>
      </c>
      <c r="H2137" s="12" t="n">
        <f aca="false">SUMPRODUCT(ПОТОКИ!B15:G15,ЧАСОВЫЕ_ПРОФИЛИ!B19:G19,КОЭФФИЦИЕНТЫ_ВЫБОРА!F29:K29)</f>
        <v>0.8385</v>
      </c>
      <c r="I2137" s="12" t="n">
        <f aca="false">SUMPRODUCT(ПОТОКИ!B15:G15,ЧАСОВЫЕ_ПРОФИЛИ!B19:G19,КОЭФФИЦИЕНТЫ_ВЫБОРА!F29:K29,ПАРАМЕТРЫ!$B$17:$G$17)</f>
        <v>0.92235</v>
      </c>
      <c r="J2137" s="12" t="n">
        <f aca="false">I2137*G2137/1000</f>
        <v>0.276705</v>
      </c>
      <c r="K2137" s="11" t="s">
        <v>217</v>
      </c>
      <c r="L2137" s="11" t="s">
        <v>19</v>
      </c>
      <c r="M2137" s="11" t="s">
        <v>145</v>
      </c>
    </row>
    <row r="2138" customFormat="false" ht="15" hidden="false" customHeight="false" outlineLevel="0" collapsed="false">
      <c r="A2138" s="11" t="s">
        <v>111</v>
      </c>
      <c r="B2138" s="11" t="s">
        <v>132</v>
      </c>
      <c r="C2138" s="11" t="n">
        <v>20</v>
      </c>
      <c r="D2138" s="11" t="s">
        <v>174</v>
      </c>
      <c r="E2138" s="11" t="s">
        <v>176</v>
      </c>
      <c r="F2138" s="11" t="s">
        <v>83</v>
      </c>
      <c r="G2138" s="12" t="n">
        <v>360</v>
      </c>
      <c r="H2138" s="12" t="n">
        <f aca="false">SUMPRODUCT(ПОТОКИ!B15:G15,ЧАСОВЫЕ_ПРОФИЛИ!B19:G19,КОЭФФИЦИЕНТЫ_ВЫБОРА!F30:K30)</f>
        <v>0.654</v>
      </c>
      <c r="I2138" s="12" t="n">
        <f aca="false">SUMPRODUCT(ПОТОКИ!B15:G15,ЧАСОВЫЕ_ПРОФИЛИ!B19:G19,КОЭФФИЦИЕНТЫ_ВЫБОРА!F30:K30,ПАРАМЕТРЫ!$B$17:$G$17)</f>
        <v>0.7194</v>
      </c>
      <c r="J2138" s="12" t="n">
        <f aca="false">I2138*G2138/1000</f>
        <v>0.258984</v>
      </c>
      <c r="K2138" s="11" t="s">
        <v>217</v>
      </c>
      <c r="L2138" s="11" t="s">
        <v>19</v>
      </c>
      <c r="M2138" s="11" t="s">
        <v>145</v>
      </c>
    </row>
    <row r="2139" customFormat="false" ht="15" hidden="false" customHeight="false" outlineLevel="0" collapsed="false">
      <c r="A2139" s="11" t="s">
        <v>111</v>
      </c>
      <c r="B2139" s="11" t="s">
        <v>132</v>
      </c>
      <c r="C2139" s="11" t="n">
        <v>21</v>
      </c>
      <c r="D2139" s="11" t="s">
        <v>174</v>
      </c>
      <c r="E2139" s="11" t="s">
        <v>177</v>
      </c>
      <c r="F2139" s="11" t="s">
        <v>83</v>
      </c>
      <c r="G2139" s="12" t="n">
        <v>350</v>
      </c>
      <c r="H2139" s="12" t="n">
        <f aca="false">SUMPRODUCT(ПОТОКИ!B15:G15,ЧАСОВЫЕ_ПРОФИЛИ!B19:G19,КОЭФФИЦИЕНТЫ_ВЫБОРА!F31:K31)</f>
        <v>1.068</v>
      </c>
      <c r="I2139" s="12" t="n">
        <f aca="false">SUMPRODUCT(ПОТОКИ!B15:G15,ЧАСОВЫЕ_ПРОФИЛИ!B19:G19,КОЭФФИЦИЕНТЫ_ВЫБОРА!F31:K31,ПАРАМЕТРЫ!$B$17:$G$17)</f>
        <v>1.1748</v>
      </c>
      <c r="J2139" s="12" t="n">
        <f aca="false">I2139*G2139/1000</f>
        <v>0.41118</v>
      </c>
      <c r="K2139" s="11" t="s">
        <v>217</v>
      </c>
      <c r="L2139" s="11" t="s">
        <v>19</v>
      </c>
      <c r="M2139" s="11" t="s">
        <v>145</v>
      </c>
    </row>
    <row r="2140" customFormat="false" ht="15" hidden="false" customHeight="false" outlineLevel="0" collapsed="false">
      <c r="A2140" s="11" t="s">
        <v>111</v>
      </c>
      <c r="B2140" s="11" t="s">
        <v>132</v>
      </c>
      <c r="C2140" s="11" t="n">
        <v>22</v>
      </c>
      <c r="D2140" s="11" t="s">
        <v>174</v>
      </c>
      <c r="E2140" s="11" t="s">
        <v>178</v>
      </c>
      <c r="F2140" s="11" t="s">
        <v>83</v>
      </c>
      <c r="G2140" s="12" t="n">
        <v>300</v>
      </c>
      <c r="H2140" s="12" t="n">
        <f aca="false">SUMPRODUCT(ПОТОКИ!B15:G15,ЧАСОВЫЕ_ПРОФИЛИ!B19:G19,КОЭФФИЦИЕНТЫ_ВЫБОРА!F32:K32)</f>
        <v>0.5895</v>
      </c>
      <c r="I2140" s="12" t="n">
        <f aca="false">SUMPRODUCT(ПОТОКИ!B15:G15,ЧАСОВЫЕ_ПРОФИЛИ!B19:G19,КОЭФФИЦИЕНТЫ_ВЫБОРА!F32:K32,ПАРАМЕТРЫ!$B$17:$G$17)</f>
        <v>0.64845</v>
      </c>
      <c r="J2140" s="12" t="n">
        <f aca="false">I2140*G2140/1000</f>
        <v>0.194535</v>
      </c>
      <c r="K2140" s="11" t="s">
        <v>217</v>
      </c>
      <c r="L2140" s="11" t="s">
        <v>19</v>
      </c>
      <c r="M2140" s="11" t="s">
        <v>145</v>
      </c>
    </row>
    <row r="2141" customFormat="false" ht="15" hidden="false" customHeight="false" outlineLevel="0" collapsed="false">
      <c r="A2141" s="11" t="s">
        <v>111</v>
      </c>
      <c r="B2141" s="11" t="s">
        <v>132</v>
      </c>
      <c r="C2141" s="11" t="n">
        <v>23</v>
      </c>
      <c r="D2141" s="11" t="s">
        <v>86</v>
      </c>
      <c r="E2141" s="11" t="s">
        <v>179</v>
      </c>
      <c r="F2141" s="11" t="s">
        <v>85</v>
      </c>
      <c r="G2141" s="12" t="n">
        <v>150</v>
      </c>
      <c r="H2141" s="12" t="n">
        <f aca="false">SUMPRODUCT(ПОТОКИ!B15:G15,ЧАСОВЫЕ_ПРОФИЛИ!B19:G19,КОЭФФИЦИЕНТЫ_ВЫБОРА!F33:K33)</f>
        <v>0.75081</v>
      </c>
      <c r="I2141" s="12" t="n">
        <f aca="false">SUMPRODUCT(ПОТОКИ!B15:G15,ЧАСОВЫЕ_ПРОФИЛИ!B19:G19,КОЭФФИЦИЕНТЫ_ВЫБОРА!F33:K33,ПАРАМЕТРЫ!$B$17:$G$17)</f>
        <v>0.825891</v>
      </c>
      <c r="J2141" s="12" t="n">
        <f aca="false">I2141*G2141/1000</f>
        <v>0.12388365</v>
      </c>
      <c r="K2141" s="11" t="s">
        <v>217</v>
      </c>
      <c r="L2141" s="11" t="s">
        <v>19</v>
      </c>
      <c r="M2141" s="11" t="s">
        <v>147</v>
      </c>
    </row>
    <row r="2142" customFormat="false" ht="15" hidden="false" customHeight="false" outlineLevel="0" collapsed="false">
      <c r="A2142" s="11" t="s">
        <v>111</v>
      </c>
      <c r="B2142" s="11" t="s">
        <v>132</v>
      </c>
      <c r="C2142" s="11" t="n">
        <v>24</v>
      </c>
      <c r="D2142" s="11" t="s">
        <v>86</v>
      </c>
      <c r="E2142" s="11" t="s">
        <v>180</v>
      </c>
      <c r="F2142" s="11" t="s">
        <v>85</v>
      </c>
      <c r="G2142" s="12" t="n">
        <v>150</v>
      </c>
      <c r="H2142" s="12" t="n">
        <f aca="false">SUMPRODUCT(ПОТОКИ!B15:G15,ЧАСОВЫЕ_ПРОФИЛИ!B19:G19,КОЭФФИЦИЕНТЫ_ВЫБОРА!F34:K34)</f>
        <v>0.32853</v>
      </c>
      <c r="I2142" s="12" t="n">
        <f aca="false">SUMPRODUCT(ПОТОКИ!B15:G15,ЧАСОВЫЕ_ПРОФИЛИ!B19:G19,КОЭФФИЦИЕНТЫ_ВЫБОРА!F34:K34,ПАРАМЕТРЫ!$B$17:$G$17)</f>
        <v>0.361383</v>
      </c>
      <c r="J2142" s="12" t="n">
        <f aca="false">I2142*G2142/1000</f>
        <v>0.05420745</v>
      </c>
      <c r="K2142" s="11" t="s">
        <v>217</v>
      </c>
      <c r="L2142" s="11" t="s">
        <v>19</v>
      </c>
      <c r="M2142" s="11" t="s">
        <v>147</v>
      </c>
    </row>
    <row r="2143" customFormat="false" ht="15" hidden="false" customHeight="false" outlineLevel="0" collapsed="false">
      <c r="A2143" s="11" t="s">
        <v>111</v>
      </c>
      <c r="B2143" s="11" t="s">
        <v>132</v>
      </c>
      <c r="C2143" s="11" t="n">
        <v>25</v>
      </c>
      <c r="D2143" s="11" t="s">
        <v>86</v>
      </c>
      <c r="E2143" s="11" t="s">
        <v>181</v>
      </c>
      <c r="F2143" s="11" t="s">
        <v>85</v>
      </c>
      <c r="G2143" s="12" t="n">
        <v>150</v>
      </c>
      <c r="H2143" s="12" t="n">
        <f aca="false">SUMPRODUCT(ПОТОКИ!B15:G15,ЧАСОВЫЕ_ПРОФИЛИ!B19:G19,КОЭФФИЦИЕНТЫ_ВЫБОРА!F35:K35)</f>
        <v>0.56331</v>
      </c>
      <c r="I2143" s="12" t="n">
        <f aca="false">SUMPRODUCT(ПОТОКИ!B15:G15,ЧАСОВЫЕ_ПРОФИЛИ!B19:G19,КОЭФФИЦИЕНТЫ_ВЫБОРА!F35:K35,ПАРАМЕТРЫ!$B$17:$G$17)</f>
        <v>0.619641</v>
      </c>
      <c r="J2143" s="12" t="n">
        <f aca="false">I2143*G2143/1000</f>
        <v>0.09294615</v>
      </c>
      <c r="K2143" s="11" t="s">
        <v>217</v>
      </c>
      <c r="L2143" s="11" t="s">
        <v>19</v>
      </c>
      <c r="M2143" s="11" t="s">
        <v>147</v>
      </c>
    </row>
    <row r="2144" customFormat="false" ht="23.85" hidden="false" customHeight="false" outlineLevel="0" collapsed="false">
      <c r="A2144" s="11" t="s">
        <v>111</v>
      </c>
      <c r="B2144" s="11" t="s">
        <v>132</v>
      </c>
      <c r="C2144" s="11" t="n">
        <v>26</v>
      </c>
      <c r="D2144" s="11" t="s">
        <v>89</v>
      </c>
      <c r="E2144" s="11" t="s">
        <v>182</v>
      </c>
      <c r="F2144" s="11" t="s">
        <v>88</v>
      </c>
      <c r="G2144" s="12" t="n">
        <v>225</v>
      </c>
      <c r="H2144" s="12" t="n">
        <f aca="false">SUMPRODUCT(ПОТОКИ!B15:G15,ЧАСОВЫЕ_ПРОФИЛИ!B19:G19,КОЭФФИЦИЕНТЫ_ВЫБОРА!F36:K36)</f>
        <v>0</v>
      </c>
      <c r="I2144" s="12" t="n">
        <f aca="false">SUMPRODUCT(ПОТОКИ!B15:G15,ЧАСОВЫЕ_ПРОФИЛИ!B19:G19,КОЭФФИЦИЕНТЫ_ВЫБОРА!F36:K36,ПАРАМЕТРЫ!$B$17:$G$17)</f>
        <v>0</v>
      </c>
      <c r="J2144" s="12" t="n">
        <f aca="false">I2144*G2144/1000</f>
        <v>0</v>
      </c>
      <c r="K2144" s="11" t="s">
        <v>217</v>
      </c>
      <c r="L2144" s="11" t="s">
        <v>19</v>
      </c>
      <c r="M2144" s="11" t="s">
        <v>145</v>
      </c>
    </row>
    <row r="2145" customFormat="false" ht="23.85" hidden="false" customHeight="false" outlineLevel="0" collapsed="false">
      <c r="A2145" s="11" t="s">
        <v>111</v>
      </c>
      <c r="B2145" s="11" t="s">
        <v>132</v>
      </c>
      <c r="C2145" s="11" t="n">
        <v>27</v>
      </c>
      <c r="D2145" s="11" t="s">
        <v>89</v>
      </c>
      <c r="E2145" s="11" t="s">
        <v>183</v>
      </c>
      <c r="F2145" s="11" t="s">
        <v>88</v>
      </c>
      <c r="G2145" s="12" t="n">
        <v>265</v>
      </c>
      <c r="H2145" s="12" t="n">
        <f aca="false">SUMPRODUCT(ПОТОКИ!B15:G15,ЧАСОВЫЕ_ПРОФИЛИ!B19:G19,КОЭФФИЦИЕНТЫ_ВЫБОРА!F37:K37)</f>
        <v>0</v>
      </c>
      <c r="I2145" s="12" t="n">
        <f aca="false">SUMPRODUCT(ПОТОКИ!B15:G15,ЧАСОВЫЕ_ПРОФИЛИ!B19:G19,КОЭФФИЦИЕНТЫ_ВЫБОРА!F37:K37,ПАРАМЕТРЫ!$B$17:$G$17)</f>
        <v>0</v>
      </c>
      <c r="J2145" s="12" t="n">
        <f aca="false">I2145*G2145/1000</f>
        <v>0</v>
      </c>
      <c r="K2145" s="11" t="s">
        <v>217</v>
      </c>
      <c r="L2145" s="11" t="s">
        <v>19</v>
      </c>
      <c r="M2145" s="11" t="s">
        <v>145</v>
      </c>
    </row>
    <row r="2146" customFormat="false" ht="23.85" hidden="false" customHeight="false" outlineLevel="0" collapsed="false">
      <c r="A2146" s="11" t="s">
        <v>111</v>
      </c>
      <c r="B2146" s="11" t="s">
        <v>132</v>
      </c>
      <c r="C2146" s="11" t="n">
        <v>28</v>
      </c>
      <c r="D2146" s="11" t="s">
        <v>89</v>
      </c>
      <c r="E2146" s="11" t="s">
        <v>184</v>
      </c>
      <c r="F2146" s="11" t="s">
        <v>88</v>
      </c>
      <c r="G2146" s="12" t="n">
        <v>355</v>
      </c>
      <c r="H2146" s="12" t="n">
        <f aca="false">SUMPRODUCT(ПОТОКИ!B15:G15,ЧАСОВЫЕ_ПРОФИЛИ!B19:G19,КОЭФФИЦИЕНТЫ_ВЫБОРА!F38:K38)</f>
        <v>0</v>
      </c>
      <c r="I2146" s="12" t="n">
        <f aca="false">SUMPRODUCT(ПОТОКИ!B15:G15,ЧАСОВЫЕ_ПРОФИЛИ!B19:G19,КОЭФФИЦИЕНТЫ_ВЫБОРА!F38:K38,ПАРАМЕТРЫ!$B$17:$G$17)</f>
        <v>0</v>
      </c>
      <c r="J2146" s="12" t="n">
        <f aca="false">I2146*G2146/1000</f>
        <v>0</v>
      </c>
      <c r="K2146" s="11" t="s">
        <v>217</v>
      </c>
      <c r="L2146" s="11" t="s">
        <v>19</v>
      </c>
      <c r="M2146" s="11" t="s">
        <v>145</v>
      </c>
    </row>
    <row r="2147" customFormat="false" ht="15" hidden="false" customHeight="false" outlineLevel="0" collapsed="false">
      <c r="A2147" s="11" t="s">
        <v>111</v>
      </c>
      <c r="B2147" s="11" t="s">
        <v>132</v>
      </c>
      <c r="C2147" s="11" t="n">
        <v>29</v>
      </c>
      <c r="D2147" s="11" t="s">
        <v>92</v>
      </c>
      <c r="E2147" s="11" t="s">
        <v>185</v>
      </c>
      <c r="F2147" s="11" t="s">
        <v>91</v>
      </c>
      <c r="G2147" s="12" t="n">
        <v>150</v>
      </c>
      <c r="H2147" s="12" t="n">
        <f aca="false">SUMPRODUCT(ПОТОКИ!B15:G15,ЧАСОВЫЕ_ПРОФИЛИ!B19:G19,КОЭФФИЦИЕНТЫ_ВЫБОРА!F39:K39)</f>
        <v>0.27</v>
      </c>
      <c r="I2147" s="12" t="n">
        <f aca="false">SUMPRODUCT(ПОТОКИ!B15:G15,ЧАСОВЫЕ_ПРОФИЛИ!B19:G19,КОЭФФИЦИЕНТЫ_ВЫБОРА!F39:K39,ПАРАМЕТРЫ!$B$17:$G$17)</f>
        <v>0.297</v>
      </c>
      <c r="J2147" s="12" t="n">
        <f aca="false">I2147*G2147/1000</f>
        <v>0.04455</v>
      </c>
      <c r="K2147" s="11" t="s">
        <v>217</v>
      </c>
      <c r="L2147" s="11" t="s">
        <v>19</v>
      </c>
      <c r="M2147" s="11" t="s">
        <v>145</v>
      </c>
    </row>
    <row r="2148" customFormat="false" ht="15" hidden="false" customHeight="false" outlineLevel="0" collapsed="false">
      <c r="A2148" s="11" t="s">
        <v>111</v>
      </c>
      <c r="B2148" s="11" t="s">
        <v>132</v>
      </c>
      <c r="C2148" s="11" t="n">
        <v>30</v>
      </c>
      <c r="D2148" s="11" t="s">
        <v>92</v>
      </c>
      <c r="E2148" s="11" t="s">
        <v>186</v>
      </c>
      <c r="F2148" s="11" t="s">
        <v>91</v>
      </c>
      <c r="G2148" s="12" t="n">
        <v>120</v>
      </c>
      <c r="H2148" s="12" t="n">
        <f aca="false">SUMPRODUCT(ПОТОКИ!B15:G15,ЧАСОВЫЕ_ПРОФИЛИ!B19:G19,КОЭФФИЦИЕНТЫ_ВЫБОРА!F40:K40)</f>
        <v>0.27</v>
      </c>
      <c r="I2148" s="12" t="n">
        <f aca="false">SUMPRODUCT(ПОТОКИ!B15:G15,ЧАСОВЫЕ_ПРОФИЛИ!B19:G19,КОЭФФИЦИЕНТЫ_ВЫБОРА!F40:K40,ПАРАМЕТРЫ!$B$17:$G$17)</f>
        <v>0.297</v>
      </c>
      <c r="J2148" s="12" t="n">
        <f aca="false">I2148*G2148/1000</f>
        <v>0.03564</v>
      </c>
      <c r="K2148" s="11" t="s">
        <v>217</v>
      </c>
      <c r="L2148" s="11" t="s">
        <v>19</v>
      </c>
      <c r="M2148" s="11" t="s">
        <v>145</v>
      </c>
    </row>
    <row r="2149" customFormat="false" ht="15" hidden="false" customHeight="false" outlineLevel="0" collapsed="false">
      <c r="A2149" s="11" t="s">
        <v>111</v>
      </c>
      <c r="B2149" s="11" t="s">
        <v>132</v>
      </c>
      <c r="C2149" s="11" t="n">
        <v>31</v>
      </c>
      <c r="D2149" s="11" t="s">
        <v>92</v>
      </c>
      <c r="E2149" s="11" t="s">
        <v>187</v>
      </c>
      <c r="F2149" s="11" t="s">
        <v>91</v>
      </c>
      <c r="G2149" s="12" t="n">
        <v>60</v>
      </c>
      <c r="H2149" s="12" t="n">
        <f aca="false">SUMPRODUCT(ПОТОКИ!B15:G15,ЧАСОВЫЕ_ПРОФИЛИ!B19:G19,КОЭФФИЦИЕНТЫ_ВЫБОРА!F41:K41)</f>
        <v>0.27</v>
      </c>
      <c r="I2149" s="12" t="n">
        <f aca="false">SUMPRODUCT(ПОТОКИ!B15:G15,ЧАСОВЫЕ_ПРОФИЛИ!B19:G19,КОЭФФИЦИЕНТЫ_ВЫБОРА!F41:K41,ПАРАМЕТРЫ!$B$17:$G$17)</f>
        <v>0.297</v>
      </c>
      <c r="J2149" s="12" t="n">
        <f aca="false">I2149*G2149/1000</f>
        <v>0.01782</v>
      </c>
      <c r="K2149" s="11" t="s">
        <v>217</v>
      </c>
      <c r="L2149" s="11" t="s">
        <v>19</v>
      </c>
      <c r="M2149" s="11" t="s">
        <v>145</v>
      </c>
    </row>
    <row r="2150" customFormat="false" ht="15" hidden="false" customHeight="false" outlineLevel="0" collapsed="false">
      <c r="A2150" s="11" t="s">
        <v>111</v>
      </c>
      <c r="B2150" s="11" t="s">
        <v>133</v>
      </c>
      <c r="C2150" s="11" t="n">
        <v>1</v>
      </c>
      <c r="D2150" s="11" t="s">
        <v>74</v>
      </c>
      <c r="E2150" s="11" t="s">
        <v>153</v>
      </c>
      <c r="F2150" s="11" t="s">
        <v>73</v>
      </c>
      <c r="G2150" s="12" t="n">
        <v>450</v>
      </c>
      <c r="H2150" s="12" t="n">
        <f aca="false">SUMPRODUCT(ПОТОКИ!B15:G15,ЧАСОВЫЕ_ПРОФИЛИ!B20:G20,КОЭФФИЦИЕНТЫ_ВЫБОРА!F11:K11)</f>
        <v>0.108</v>
      </c>
      <c r="I2150" s="12" t="n">
        <f aca="false">SUMPRODUCT(ПОТОКИ!B15:G15,ЧАСОВЫЕ_ПРОФИЛИ!B20:G20,КОЭФФИЦИЕНТЫ_ВЫБОРА!F11:K11,ПАРАМЕТРЫ!$B$17:$G$17)</f>
        <v>0.1188</v>
      </c>
      <c r="J2150" s="12" t="n">
        <f aca="false">I2150*G2150/1000</f>
        <v>0.05346</v>
      </c>
      <c r="K2150" s="11" t="s">
        <v>217</v>
      </c>
      <c r="L2150" s="11" t="s">
        <v>19</v>
      </c>
      <c r="M2150" s="11" t="s">
        <v>145</v>
      </c>
    </row>
    <row r="2151" customFormat="false" ht="15" hidden="false" customHeight="false" outlineLevel="0" collapsed="false">
      <c r="A2151" s="11" t="s">
        <v>111</v>
      </c>
      <c r="B2151" s="11" t="s">
        <v>133</v>
      </c>
      <c r="C2151" s="11" t="n">
        <v>2</v>
      </c>
      <c r="D2151" s="11" t="s">
        <v>74</v>
      </c>
      <c r="E2151" s="11" t="s">
        <v>154</v>
      </c>
      <c r="F2151" s="11" t="s">
        <v>73</v>
      </c>
      <c r="G2151" s="12" t="n">
        <v>480</v>
      </c>
      <c r="H2151" s="12" t="n">
        <f aca="false">SUMPRODUCT(ПОТОКИ!B15:G15,ЧАСОВЫЕ_ПРОФИЛИ!B20:G20,КОЭФФИЦИЕНТЫ_ВЫБОРА!F12:K12)</f>
        <v>0.18</v>
      </c>
      <c r="I2151" s="12" t="n">
        <f aca="false">SUMPRODUCT(ПОТОКИ!B15:G15,ЧАСОВЫЕ_ПРОФИЛИ!B20:G20,КОЭФФИЦИЕНТЫ_ВЫБОРА!F12:K12,ПАРАМЕТРЫ!$B$17:$G$17)</f>
        <v>0.198</v>
      </c>
      <c r="J2151" s="12" t="n">
        <f aca="false">I2151*G2151/1000</f>
        <v>0.09504</v>
      </c>
      <c r="K2151" s="11" t="s">
        <v>217</v>
      </c>
      <c r="L2151" s="11" t="s">
        <v>19</v>
      </c>
      <c r="M2151" s="11" t="s">
        <v>145</v>
      </c>
    </row>
    <row r="2152" customFormat="false" ht="15" hidden="false" customHeight="false" outlineLevel="0" collapsed="false">
      <c r="A2152" s="11" t="s">
        <v>111</v>
      </c>
      <c r="B2152" s="11" t="s">
        <v>133</v>
      </c>
      <c r="C2152" s="11" t="n">
        <v>3</v>
      </c>
      <c r="D2152" s="11" t="s">
        <v>74</v>
      </c>
      <c r="E2152" s="11" t="s">
        <v>155</v>
      </c>
      <c r="F2152" s="11" t="s">
        <v>73</v>
      </c>
      <c r="G2152" s="12" t="n">
        <v>500</v>
      </c>
      <c r="H2152" s="12" t="n">
        <f aca="false">SUMPRODUCT(ПОТОКИ!B15:G15,ЧАСОВЫЕ_ПРОФИЛИ!B20:G20,КОЭФФИЦИЕНТЫ_ВЫБОРА!F13:K13)</f>
        <v>0.27</v>
      </c>
      <c r="I2152" s="12" t="n">
        <f aca="false">SUMPRODUCT(ПОТОКИ!B15:G15,ЧАСОВЫЕ_ПРОФИЛИ!B20:G20,КОЭФФИЦИЕНТЫ_ВЫБОРА!F13:K13,ПАРАМЕТРЫ!$B$17:$G$17)</f>
        <v>0.297</v>
      </c>
      <c r="J2152" s="12" t="n">
        <f aca="false">I2152*G2152/1000</f>
        <v>0.1485</v>
      </c>
      <c r="K2152" s="11" t="s">
        <v>217</v>
      </c>
      <c r="L2152" s="11" t="s">
        <v>19</v>
      </c>
      <c r="M2152" s="11" t="s">
        <v>145</v>
      </c>
    </row>
    <row r="2153" customFormat="false" ht="15" hidden="false" customHeight="false" outlineLevel="0" collapsed="false">
      <c r="A2153" s="11" t="s">
        <v>111</v>
      </c>
      <c r="B2153" s="11" t="s">
        <v>133</v>
      </c>
      <c r="C2153" s="11" t="n">
        <v>4</v>
      </c>
      <c r="D2153" s="11" t="s">
        <v>74</v>
      </c>
      <c r="E2153" s="11" t="s">
        <v>156</v>
      </c>
      <c r="F2153" s="11" t="s">
        <v>73</v>
      </c>
      <c r="G2153" s="12" t="n">
        <v>500</v>
      </c>
      <c r="H2153" s="12" t="n">
        <f aca="false">SUMPRODUCT(ПОТОКИ!B15:G15,ЧАСОВЫЕ_ПРОФИЛИ!B20:G20,КОЭФФИЦИЕНТЫ_ВЫБОРА!F14:K14)</f>
        <v>0.342</v>
      </c>
      <c r="I2153" s="12" t="n">
        <f aca="false">SUMPRODUCT(ПОТОКИ!B15:G15,ЧАСОВЫЕ_ПРОФИЛИ!B20:G20,КОЭФФИЦИЕНТЫ_ВЫБОРА!F14:K14,ПАРАМЕТРЫ!$B$17:$G$17)</f>
        <v>0.3762</v>
      </c>
      <c r="J2153" s="12" t="n">
        <f aca="false">I2153*G2153/1000</f>
        <v>0.1881</v>
      </c>
      <c r="K2153" s="11" t="s">
        <v>217</v>
      </c>
      <c r="L2153" s="11" t="s">
        <v>19</v>
      </c>
      <c r="M2153" s="11" t="s">
        <v>145</v>
      </c>
    </row>
    <row r="2154" customFormat="false" ht="15" hidden="false" customHeight="false" outlineLevel="0" collapsed="false">
      <c r="A2154" s="11" t="s">
        <v>111</v>
      </c>
      <c r="B2154" s="11" t="s">
        <v>133</v>
      </c>
      <c r="C2154" s="11" t="n">
        <v>5</v>
      </c>
      <c r="D2154" s="11" t="s">
        <v>78</v>
      </c>
      <c r="E2154" s="11" t="s">
        <v>157</v>
      </c>
      <c r="F2154" s="11" t="s">
        <v>77</v>
      </c>
      <c r="G2154" s="12" t="n">
        <v>100</v>
      </c>
      <c r="H2154" s="12" t="n">
        <f aca="false">SUMPRODUCT(ПОТОКИ!B15:G15,ЧАСОВЫЕ_ПРОФИЛИ!B20:G20,КОЭФФИЦИЕНТЫ_ВЫБОРА!F15:K15)</f>
        <v>0.414</v>
      </c>
      <c r="I2154" s="12" t="n">
        <f aca="false">SUMPRODUCT(ПОТОКИ!B15:G15,ЧАСОВЫЕ_ПРОФИЛИ!B20:G20,КОЭФФИЦИЕНТЫ_ВЫБОРА!F15:K15,ПАРАМЕТРЫ!$B$17:$G$17)</f>
        <v>0.4554</v>
      </c>
      <c r="J2154" s="12" t="n">
        <f aca="false">I2154*G2154/1000</f>
        <v>0.04554</v>
      </c>
      <c r="K2154" s="11" t="s">
        <v>217</v>
      </c>
      <c r="L2154" s="11" t="s">
        <v>19</v>
      </c>
      <c r="M2154" s="11" t="s">
        <v>147</v>
      </c>
    </row>
    <row r="2155" customFormat="false" ht="15" hidden="false" customHeight="false" outlineLevel="0" collapsed="false">
      <c r="A2155" s="11" t="s">
        <v>111</v>
      </c>
      <c r="B2155" s="11" t="s">
        <v>133</v>
      </c>
      <c r="C2155" s="11" t="n">
        <v>6</v>
      </c>
      <c r="D2155" s="11" t="s">
        <v>78</v>
      </c>
      <c r="E2155" s="11" t="s">
        <v>158</v>
      </c>
      <c r="F2155" s="11" t="s">
        <v>77</v>
      </c>
      <c r="G2155" s="12" t="n">
        <v>100</v>
      </c>
      <c r="H2155" s="12" t="n">
        <f aca="false">SUMPRODUCT(ПОТОКИ!B15:G15,ЧАСОВЫЕ_ПРОФИЛИ!B20:G20,КОЭФФИЦИЕНТЫ_ВЫБОРА!F16:K16)</f>
        <v>0.396</v>
      </c>
      <c r="I2155" s="12" t="n">
        <f aca="false">SUMPRODUCT(ПОТОКИ!B15:G15,ЧАСОВЫЕ_ПРОФИЛИ!B20:G20,КОЭФФИЦИЕНТЫ_ВЫБОРА!F16:K16,ПАРАМЕТРЫ!$B$17:$G$17)</f>
        <v>0.4356</v>
      </c>
      <c r="J2155" s="12" t="n">
        <f aca="false">I2155*G2155/1000</f>
        <v>0.04356</v>
      </c>
      <c r="K2155" s="11" t="s">
        <v>217</v>
      </c>
      <c r="L2155" s="11" t="s">
        <v>19</v>
      </c>
      <c r="M2155" s="11" t="s">
        <v>147</v>
      </c>
    </row>
    <row r="2156" customFormat="false" ht="15" hidden="false" customHeight="false" outlineLevel="0" collapsed="false">
      <c r="A2156" s="11" t="s">
        <v>111</v>
      </c>
      <c r="B2156" s="11" t="s">
        <v>133</v>
      </c>
      <c r="C2156" s="11" t="n">
        <v>7</v>
      </c>
      <c r="D2156" s="11" t="s">
        <v>78</v>
      </c>
      <c r="E2156" s="11" t="s">
        <v>159</v>
      </c>
      <c r="F2156" s="11" t="s">
        <v>77</v>
      </c>
      <c r="G2156" s="12" t="n">
        <v>350</v>
      </c>
      <c r="H2156" s="12" t="n">
        <f aca="false">SUMPRODUCT(ПОТОКИ!B15:G15,ЧАСОВЫЕ_ПРОФИЛИ!B20:G20,КОЭФФИЦИЕНТЫ_ВЫБОРА!F17:K17)</f>
        <v>0.339</v>
      </c>
      <c r="I2156" s="12" t="n">
        <f aca="false">SUMPRODUCT(ПОТОКИ!B15:G15,ЧАСОВЫЕ_ПРОФИЛИ!B20:G20,КОЭФФИЦИЕНТЫ_ВЫБОРА!F17:K17,ПАРАМЕТРЫ!$B$17:$G$17)</f>
        <v>0.3729</v>
      </c>
      <c r="J2156" s="12" t="n">
        <f aca="false">I2156*G2156/1000</f>
        <v>0.130515</v>
      </c>
      <c r="K2156" s="11" t="s">
        <v>217</v>
      </c>
      <c r="L2156" s="11" t="s">
        <v>19</v>
      </c>
      <c r="M2156" s="11" t="s">
        <v>147</v>
      </c>
    </row>
    <row r="2157" customFormat="false" ht="15" hidden="false" customHeight="false" outlineLevel="0" collapsed="false">
      <c r="A2157" s="11" t="s">
        <v>111</v>
      </c>
      <c r="B2157" s="11" t="s">
        <v>133</v>
      </c>
      <c r="C2157" s="11" t="n">
        <v>8</v>
      </c>
      <c r="D2157" s="11" t="s">
        <v>78</v>
      </c>
      <c r="E2157" s="11" t="s">
        <v>160</v>
      </c>
      <c r="F2157" s="11" t="s">
        <v>77</v>
      </c>
      <c r="G2157" s="12" t="n">
        <v>85</v>
      </c>
      <c r="H2157" s="12" t="n">
        <f aca="false">SUMPRODUCT(ПОТОКИ!B15:G15,ЧАСОВЫЕ_ПРОФИЛИ!B20:G20,КОЭФФИЦИЕНТЫ_ВЫБОРА!F18:K18)</f>
        <v>0.207</v>
      </c>
      <c r="I2157" s="12" t="n">
        <f aca="false">SUMPRODUCT(ПОТОКИ!B15:G15,ЧАСОВЫЕ_ПРОФИЛИ!B20:G20,КОЭФФИЦИЕНТЫ_ВЫБОРА!F18:K18,ПАРАМЕТРЫ!$B$17:$G$17)</f>
        <v>0.2277</v>
      </c>
      <c r="J2157" s="12" t="n">
        <f aca="false">I2157*G2157/1000</f>
        <v>0.0193545</v>
      </c>
      <c r="K2157" s="11" t="s">
        <v>217</v>
      </c>
      <c r="L2157" s="11" t="s">
        <v>19</v>
      </c>
      <c r="M2157" s="11" t="s">
        <v>147</v>
      </c>
    </row>
    <row r="2158" customFormat="false" ht="15" hidden="false" customHeight="false" outlineLevel="0" collapsed="false">
      <c r="A2158" s="11" t="s">
        <v>111</v>
      </c>
      <c r="B2158" s="11" t="s">
        <v>133</v>
      </c>
      <c r="C2158" s="11" t="n">
        <v>9</v>
      </c>
      <c r="D2158" s="11" t="s">
        <v>161</v>
      </c>
      <c r="E2158" s="11" t="s">
        <v>162</v>
      </c>
      <c r="F2158" s="11" t="s">
        <v>80</v>
      </c>
      <c r="G2158" s="12" t="n">
        <v>300</v>
      </c>
      <c r="H2158" s="12" t="n">
        <f aca="false">SUMPRODUCT(ПОТОКИ!B15:G15,ЧАСОВЫЕ_ПРОФИЛИ!B20:G20,КОЭФФИЦИЕНТЫ_ВЫБОРА!F19:K19)</f>
        <v>0.153</v>
      </c>
      <c r="I2158" s="12" t="n">
        <f aca="false">SUMPRODUCT(ПОТОКИ!B15:G15,ЧАСОВЫЕ_ПРОФИЛИ!B20:G20,КОЭФФИЦИЕНТЫ_ВЫБОРА!F19:K19,ПАРАМЕТРЫ!$B$17:$G$17)</f>
        <v>0.1683</v>
      </c>
      <c r="J2158" s="12" t="n">
        <f aca="false">I2158*G2158/1000</f>
        <v>0.05049</v>
      </c>
      <c r="K2158" s="11" t="s">
        <v>217</v>
      </c>
      <c r="L2158" s="11" t="s">
        <v>19</v>
      </c>
      <c r="M2158" s="11" t="s">
        <v>145</v>
      </c>
    </row>
    <row r="2159" customFormat="false" ht="15" hidden="false" customHeight="false" outlineLevel="0" collapsed="false">
      <c r="A2159" s="11" t="s">
        <v>111</v>
      </c>
      <c r="B2159" s="11" t="s">
        <v>133</v>
      </c>
      <c r="C2159" s="11" t="n">
        <v>10</v>
      </c>
      <c r="D2159" s="11" t="s">
        <v>161</v>
      </c>
      <c r="E2159" s="11" t="s">
        <v>163</v>
      </c>
      <c r="F2159" s="11" t="s">
        <v>80</v>
      </c>
      <c r="G2159" s="12" t="n">
        <v>280</v>
      </c>
      <c r="H2159" s="12" t="n">
        <f aca="false">SUMPRODUCT(ПОТОКИ!B15:G15,ЧАСОВЫЕ_ПРОФИЛИ!B20:G20,КОЭФФИЦИЕНТЫ_ВЫБОРА!F20:K20)</f>
        <v>0.171</v>
      </c>
      <c r="I2159" s="12" t="n">
        <f aca="false">SUMPRODUCT(ПОТОКИ!B15:G15,ЧАСОВЫЕ_ПРОФИЛИ!B20:G20,КОЭФФИЦИЕНТЫ_ВЫБОРА!F20:K20,ПАРАМЕТРЫ!$B$17:$G$17)</f>
        <v>0.1881</v>
      </c>
      <c r="J2159" s="12" t="n">
        <f aca="false">I2159*G2159/1000</f>
        <v>0.052668</v>
      </c>
      <c r="K2159" s="11" t="s">
        <v>217</v>
      </c>
      <c r="L2159" s="11" t="s">
        <v>19</v>
      </c>
      <c r="M2159" s="11" t="s">
        <v>145</v>
      </c>
    </row>
    <row r="2160" customFormat="false" ht="15" hidden="false" customHeight="false" outlineLevel="0" collapsed="false">
      <c r="A2160" s="11" t="s">
        <v>111</v>
      </c>
      <c r="B2160" s="11" t="s">
        <v>133</v>
      </c>
      <c r="C2160" s="11" t="n">
        <v>11</v>
      </c>
      <c r="D2160" s="11" t="s">
        <v>161</v>
      </c>
      <c r="E2160" s="11" t="s">
        <v>164</v>
      </c>
      <c r="F2160" s="11" t="s">
        <v>80</v>
      </c>
      <c r="G2160" s="12" t="n">
        <v>270</v>
      </c>
      <c r="H2160" s="12" t="n">
        <f aca="false">SUMPRODUCT(ПОТОКИ!B15:G15,ЧАСОВЫЕ_ПРОФИЛИ!B20:G20,КОЭФФИЦИЕНТЫ_ВЫБОРА!F21:K21)</f>
        <v>0.27</v>
      </c>
      <c r="I2160" s="12" t="n">
        <f aca="false">SUMPRODUCT(ПОТОКИ!B15:G15,ЧАСОВЫЕ_ПРОФИЛИ!B20:G20,КОЭФФИЦИЕНТЫ_ВЫБОРА!F21:K21,ПАРАМЕТРЫ!$B$17:$G$17)</f>
        <v>0.297</v>
      </c>
      <c r="J2160" s="12" t="n">
        <f aca="false">I2160*G2160/1000</f>
        <v>0.08019</v>
      </c>
      <c r="K2160" s="11" t="s">
        <v>217</v>
      </c>
      <c r="L2160" s="11" t="s">
        <v>19</v>
      </c>
      <c r="M2160" s="11" t="s">
        <v>145</v>
      </c>
    </row>
    <row r="2161" customFormat="false" ht="15" hidden="false" customHeight="false" outlineLevel="0" collapsed="false">
      <c r="A2161" s="11" t="s">
        <v>111</v>
      </c>
      <c r="B2161" s="11" t="s">
        <v>133</v>
      </c>
      <c r="C2161" s="11" t="n">
        <v>12</v>
      </c>
      <c r="D2161" s="11" t="s">
        <v>161</v>
      </c>
      <c r="E2161" s="11" t="s">
        <v>165</v>
      </c>
      <c r="F2161" s="11" t="s">
        <v>80</v>
      </c>
      <c r="G2161" s="12" t="n">
        <v>240</v>
      </c>
      <c r="H2161" s="12" t="n">
        <f aca="false">SUMPRODUCT(ПОТОКИ!B15:G15,ЧАСОВЫЕ_ПРОФИЛИ!B20:G20,КОЭФФИЦИЕНТЫ_ВЫБОРА!F22:K22)</f>
        <v>0.126</v>
      </c>
      <c r="I2161" s="12" t="n">
        <f aca="false">SUMPRODUCT(ПОТОКИ!B15:G15,ЧАСОВЫЕ_ПРОФИЛИ!B20:G20,КОЭФФИЦИЕНТЫ_ВЫБОРА!F22:K22,ПАРАМЕТРЫ!$B$17:$G$17)</f>
        <v>0.1386</v>
      </c>
      <c r="J2161" s="12" t="n">
        <f aca="false">I2161*G2161/1000</f>
        <v>0.033264</v>
      </c>
      <c r="K2161" s="11" t="s">
        <v>217</v>
      </c>
      <c r="L2161" s="11" t="s">
        <v>19</v>
      </c>
      <c r="M2161" s="11" t="s">
        <v>145</v>
      </c>
    </row>
    <row r="2162" customFormat="false" ht="15" hidden="false" customHeight="false" outlineLevel="0" collapsed="false">
      <c r="A2162" s="11" t="s">
        <v>111</v>
      </c>
      <c r="B2162" s="11" t="s">
        <v>133</v>
      </c>
      <c r="C2162" s="11" t="n">
        <v>13</v>
      </c>
      <c r="D2162" s="11" t="s">
        <v>166</v>
      </c>
      <c r="E2162" s="11" t="s">
        <v>167</v>
      </c>
      <c r="F2162" s="11" t="s">
        <v>80</v>
      </c>
      <c r="G2162" s="12" t="n">
        <v>130</v>
      </c>
      <c r="H2162" s="12" t="n">
        <f aca="false">SUMPRODUCT(ПОТОКИ!B15:G15,ЧАСОВЫЕ_ПРОФИЛИ!B20:G20,КОЭФФИЦИЕНТЫ_ВЫБОРА!F23:K23)</f>
        <v>0.09</v>
      </c>
      <c r="I2162" s="12" t="n">
        <f aca="false">SUMPRODUCT(ПОТОКИ!B15:G15,ЧАСОВЫЕ_ПРОФИЛИ!B20:G20,КОЭФФИЦИЕНТЫ_ВЫБОРА!F23:K23,ПАРАМЕТРЫ!$B$17:$G$17)</f>
        <v>0.099</v>
      </c>
      <c r="J2162" s="12" t="n">
        <f aca="false">I2162*G2162/1000</f>
        <v>0.01287</v>
      </c>
      <c r="K2162" s="11" t="s">
        <v>217</v>
      </c>
      <c r="L2162" s="11" t="s">
        <v>19</v>
      </c>
      <c r="M2162" s="11" t="s">
        <v>145</v>
      </c>
    </row>
    <row r="2163" customFormat="false" ht="15" hidden="false" customHeight="false" outlineLevel="0" collapsed="false">
      <c r="A2163" s="11" t="s">
        <v>111</v>
      </c>
      <c r="B2163" s="11" t="s">
        <v>133</v>
      </c>
      <c r="C2163" s="11" t="n">
        <v>14</v>
      </c>
      <c r="D2163" s="11" t="s">
        <v>166</v>
      </c>
      <c r="E2163" s="11" t="s">
        <v>168</v>
      </c>
      <c r="F2163" s="11" t="s">
        <v>80</v>
      </c>
      <c r="G2163" s="12" t="n">
        <v>250</v>
      </c>
      <c r="H2163" s="12" t="n">
        <f aca="false">SUMPRODUCT(ПОТОКИ!B15:G15,ЧАСОВЫЕ_ПРОФИЛИ!B20:G20,КОЭФФИЦИЕНТЫ_ВЫБОРА!F24:K24)</f>
        <v>0.054</v>
      </c>
      <c r="I2163" s="12" t="n">
        <f aca="false">SUMPRODUCT(ПОТОКИ!B15:G15,ЧАСОВЫЕ_ПРОФИЛИ!B20:G20,КОЭФФИЦИЕНТЫ_ВЫБОРА!F24:K24,ПАРАМЕТРЫ!$B$17:$G$17)</f>
        <v>0.0594</v>
      </c>
      <c r="J2163" s="12" t="n">
        <f aca="false">I2163*G2163/1000</f>
        <v>0.01485</v>
      </c>
      <c r="K2163" s="11" t="s">
        <v>217</v>
      </c>
      <c r="L2163" s="11" t="s">
        <v>19</v>
      </c>
      <c r="M2163" s="11" t="s">
        <v>145</v>
      </c>
    </row>
    <row r="2164" customFormat="false" ht="15" hidden="false" customHeight="false" outlineLevel="0" collapsed="false">
      <c r="A2164" s="11" t="s">
        <v>111</v>
      </c>
      <c r="B2164" s="11" t="s">
        <v>133</v>
      </c>
      <c r="C2164" s="11" t="n">
        <v>15</v>
      </c>
      <c r="D2164" s="11" t="s">
        <v>166</v>
      </c>
      <c r="E2164" s="11" t="s">
        <v>169</v>
      </c>
      <c r="F2164" s="11" t="s">
        <v>80</v>
      </c>
      <c r="G2164" s="12" t="n">
        <v>120</v>
      </c>
      <c r="H2164" s="12" t="n">
        <f aca="false">SUMPRODUCT(ПОТОКИ!B15:G15,ЧАСОВЫЕ_ПРОФИЛИ!B20:G20,КОЭФФИЦИЕНТЫ_ВЫБОРА!F25:K25)</f>
        <v>0.054</v>
      </c>
      <c r="I2164" s="12" t="n">
        <f aca="false">SUMPRODUCT(ПОТОКИ!B15:G15,ЧАСОВЫЕ_ПРОФИЛИ!B20:G20,КОЭФФИЦИЕНТЫ_ВЫБОРА!F25:K25,ПАРАМЕТРЫ!$B$17:$G$17)</f>
        <v>0.0594</v>
      </c>
      <c r="J2164" s="12" t="n">
        <f aca="false">I2164*G2164/1000</f>
        <v>0.007128</v>
      </c>
      <c r="K2164" s="11" t="s">
        <v>217</v>
      </c>
      <c r="L2164" s="11" t="s">
        <v>19</v>
      </c>
      <c r="M2164" s="11" t="s">
        <v>145</v>
      </c>
    </row>
    <row r="2165" customFormat="false" ht="15" hidden="false" customHeight="false" outlineLevel="0" collapsed="false">
      <c r="A2165" s="11" t="s">
        <v>111</v>
      </c>
      <c r="B2165" s="11" t="s">
        <v>133</v>
      </c>
      <c r="C2165" s="11" t="n">
        <v>16</v>
      </c>
      <c r="D2165" s="11" t="s">
        <v>166</v>
      </c>
      <c r="E2165" s="11" t="s">
        <v>170</v>
      </c>
      <c r="F2165" s="11" t="s">
        <v>80</v>
      </c>
      <c r="G2165" s="12" t="n">
        <v>180</v>
      </c>
      <c r="H2165" s="12" t="n">
        <f aca="false">SUMPRODUCT(ПОТОКИ!B15:G15,ЧАСОВЫЕ_ПРОФИЛИ!B20:G20,КОЭФФИЦИЕНТЫ_ВЫБОРА!F26:K26)</f>
        <v>0.072</v>
      </c>
      <c r="I2165" s="12" t="n">
        <f aca="false">SUMPRODUCT(ПОТОКИ!B15:G15,ЧАСОВЫЕ_ПРОФИЛИ!B20:G20,КОЭФФИЦИЕНТЫ_ВЫБОРА!F26:K26,ПАРАМЕТРЫ!$B$17:$G$17)</f>
        <v>0.0792</v>
      </c>
      <c r="J2165" s="12" t="n">
        <f aca="false">I2165*G2165/1000</f>
        <v>0.014256</v>
      </c>
      <c r="K2165" s="11" t="s">
        <v>217</v>
      </c>
      <c r="L2165" s="11" t="s">
        <v>19</v>
      </c>
      <c r="M2165" s="11" t="s">
        <v>145</v>
      </c>
    </row>
    <row r="2166" customFormat="false" ht="15" hidden="false" customHeight="false" outlineLevel="0" collapsed="false">
      <c r="A2166" s="11" t="s">
        <v>111</v>
      </c>
      <c r="B2166" s="11" t="s">
        <v>133</v>
      </c>
      <c r="C2166" s="11" t="n">
        <v>17</v>
      </c>
      <c r="D2166" s="11" t="s">
        <v>166</v>
      </c>
      <c r="E2166" s="11" t="s">
        <v>171</v>
      </c>
      <c r="F2166" s="11" t="s">
        <v>80</v>
      </c>
      <c r="G2166" s="12" t="n">
        <v>180</v>
      </c>
      <c r="H2166" s="12" t="n">
        <f aca="false">SUMPRODUCT(ПОТОКИ!B15:G15,ЧАСОВЫЕ_ПРОФИЛИ!B20:G20,КОЭФФИЦИЕНТЫ_ВЫБОРА!F27:K27)</f>
        <v>0.09</v>
      </c>
      <c r="I2166" s="12" t="n">
        <f aca="false">SUMPRODUCT(ПОТОКИ!B15:G15,ЧАСОВЫЕ_ПРОФИЛИ!B20:G20,КОЭФФИЦИЕНТЫ_ВЫБОРА!F27:K27,ПАРАМЕТРЫ!$B$17:$G$17)</f>
        <v>0.099</v>
      </c>
      <c r="J2166" s="12" t="n">
        <f aca="false">I2166*G2166/1000</f>
        <v>0.01782</v>
      </c>
      <c r="K2166" s="11" t="s">
        <v>217</v>
      </c>
      <c r="L2166" s="11" t="s">
        <v>19</v>
      </c>
      <c r="M2166" s="11" t="s">
        <v>145</v>
      </c>
    </row>
    <row r="2167" customFormat="false" ht="15" hidden="false" customHeight="false" outlineLevel="0" collapsed="false">
      <c r="A2167" s="11" t="s">
        <v>111</v>
      </c>
      <c r="B2167" s="11" t="s">
        <v>133</v>
      </c>
      <c r="C2167" s="11" t="n">
        <v>18</v>
      </c>
      <c r="D2167" s="11" t="s">
        <v>172</v>
      </c>
      <c r="E2167" s="11" t="s">
        <v>173</v>
      </c>
      <c r="F2167" s="11" t="s">
        <v>83</v>
      </c>
      <c r="G2167" s="12" t="n">
        <v>400</v>
      </c>
      <c r="H2167" s="12" t="n">
        <f aca="false">SUMPRODUCT(ПОТОКИ!B15:G15,ЧАСОВЫЕ_ПРОФИЛИ!B20:G20,КОЭФФИЦИЕНТЫ_ВЫБОРА!F28:K28)</f>
        <v>0.18</v>
      </c>
      <c r="I2167" s="12" t="n">
        <f aca="false">SUMPRODUCT(ПОТОКИ!B15:G15,ЧАСОВЫЕ_ПРОФИЛИ!B20:G20,КОЭФФИЦИЕНТЫ_ВЫБОРА!F28:K28,ПАРАМЕТРЫ!$B$17:$G$17)</f>
        <v>0.198</v>
      </c>
      <c r="J2167" s="12" t="n">
        <f aca="false">I2167*G2167/1000</f>
        <v>0.0792</v>
      </c>
      <c r="K2167" s="11" t="s">
        <v>217</v>
      </c>
      <c r="L2167" s="11" t="s">
        <v>19</v>
      </c>
      <c r="M2167" s="11" t="s">
        <v>145</v>
      </c>
    </row>
    <row r="2168" customFormat="false" ht="23.85" hidden="false" customHeight="false" outlineLevel="0" collapsed="false">
      <c r="A2168" s="11" t="s">
        <v>111</v>
      </c>
      <c r="B2168" s="11" t="s">
        <v>133</v>
      </c>
      <c r="C2168" s="11" t="n">
        <v>19</v>
      </c>
      <c r="D2168" s="11" t="s">
        <v>174</v>
      </c>
      <c r="E2168" s="11" t="s">
        <v>175</v>
      </c>
      <c r="F2168" s="11" t="s">
        <v>83</v>
      </c>
      <c r="G2168" s="12" t="n">
        <v>300</v>
      </c>
      <c r="H2168" s="12" t="n">
        <f aca="false">SUMPRODUCT(ПОТОКИ!B15:G15,ЧАСОВЫЕ_ПРОФИЛИ!B20:G20,КОЭФФИЦИЕНТЫ_ВЫБОРА!F29:K29)</f>
        <v>0.3885</v>
      </c>
      <c r="I2168" s="12" t="n">
        <f aca="false">SUMPRODUCT(ПОТОКИ!B15:G15,ЧАСОВЫЕ_ПРОФИЛИ!B20:G20,КОЭФФИЦИЕНТЫ_ВЫБОРА!F29:K29,ПАРАМЕТРЫ!$B$17:$G$17)</f>
        <v>0.42735</v>
      </c>
      <c r="J2168" s="12" t="n">
        <f aca="false">I2168*G2168/1000</f>
        <v>0.128205</v>
      </c>
      <c r="K2168" s="11" t="s">
        <v>217</v>
      </c>
      <c r="L2168" s="11" t="s">
        <v>19</v>
      </c>
      <c r="M2168" s="11" t="s">
        <v>145</v>
      </c>
    </row>
    <row r="2169" customFormat="false" ht="15" hidden="false" customHeight="false" outlineLevel="0" collapsed="false">
      <c r="A2169" s="11" t="s">
        <v>111</v>
      </c>
      <c r="B2169" s="11" t="s">
        <v>133</v>
      </c>
      <c r="C2169" s="11" t="n">
        <v>20</v>
      </c>
      <c r="D2169" s="11" t="s">
        <v>174</v>
      </c>
      <c r="E2169" s="11" t="s">
        <v>176</v>
      </c>
      <c r="F2169" s="11" t="s">
        <v>83</v>
      </c>
      <c r="G2169" s="12" t="n">
        <v>360</v>
      </c>
      <c r="H2169" s="12" t="n">
        <f aca="false">SUMPRODUCT(ПОТОКИ!B15:G15,ЧАСОВЫЕ_ПРОФИЛИ!B20:G20,КОЭФФИЦИЕНТЫ_ВЫБОРА!F30:K30)</f>
        <v>0.354</v>
      </c>
      <c r="I2169" s="12" t="n">
        <f aca="false">SUMPRODUCT(ПОТОКИ!B15:G15,ЧАСОВЫЕ_ПРОФИЛИ!B20:G20,КОЭФФИЦИЕНТЫ_ВЫБОРА!F30:K30,ПАРАМЕТРЫ!$B$17:$G$17)</f>
        <v>0.3894</v>
      </c>
      <c r="J2169" s="12" t="n">
        <f aca="false">I2169*G2169/1000</f>
        <v>0.140184</v>
      </c>
      <c r="K2169" s="11" t="s">
        <v>217</v>
      </c>
      <c r="L2169" s="11" t="s">
        <v>19</v>
      </c>
      <c r="M2169" s="11" t="s">
        <v>145</v>
      </c>
    </row>
    <row r="2170" customFormat="false" ht="15" hidden="false" customHeight="false" outlineLevel="0" collapsed="false">
      <c r="A2170" s="11" t="s">
        <v>111</v>
      </c>
      <c r="B2170" s="11" t="s">
        <v>133</v>
      </c>
      <c r="C2170" s="11" t="n">
        <v>21</v>
      </c>
      <c r="D2170" s="11" t="s">
        <v>174</v>
      </c>
      <c r="E2170" s="11" t="s">
        <v>177</v>
      </c>
      <c r="F2170" s="11" t="s">
        <v>83</v>
      </c>
      <c r="G2170" s="12" t="n">
        <v>350</v>
      </c>
      <c r="H2170" s="12" t="n">
        <f aca="false">SUMPRODUCT(ПОТОКИ!B15:G15,ЧАСОВЫЕ_ПРОФИЛИ!B20:G20,КОЭФФИЦИЕНТЫ_ВЫБОРА!F31:K31)</f>
        <v>0.543</v>
      </c>
      <c r="I2170" s="12" t="n">
        <f aca="false">SUMPRODUCT(ПОТОКИ!B15:G15,ЧАСОВЫЕ_ПРОФИЛИ!B20:G20,КОЭФФИЦИЕНТЫ_ВЫБОРА!F31:K31,ПАРАМЕТРЫ!$B$17:$G$17)</f>
        <v>0.5973</v>
      </c>
      <c r="J2170" s="12" t="n">
        <f aca="false">I2170*G2170/1000</f>
        <v>0.209055</v>
      </c>
      <c r="K2170" s="11" t="s">
        <v>217</v>
      </c>
      <c r="L2170" s="11" t="s">
        <v>19</v>
      </c>
      <c r="M2170" s="11" t="s">
        <v>145</v>
      </c>
    </row>
    <row r="2171" customFormat="false" ht="15" hidden="false" customHeight="false" outlineLevel="0" collapsed="false">
      <c r="A2171" s="11" t="s">
        <v>111</v>
      </c>
      <c r="B2171" s="11" t="s">
        <v>133</v>
      </c>
      <c r="C2171" s="11" t="n">
        <v>22</v>
      </c>
      <c r="D2171" s="11" t="s">
        <v>174</v>
      </c>
      <c r="E2171" s="11" t="s">
        <v>178</v>
      </c>
      <c r="F2171" s="11" t="s">
        <v>83</v>
      </c>
      <c r="G2171" s="12" t="n">
        <v>300</v>
      </c>
      <c r="H2171" s="12" t="n">
        <f aca="false">SUMPRODUCT(ПОТОКИ!B15:G15,ЧАСОВЫЕ_ПРОФИЛИ!B20:G20,КОЭФФИЦИЕНТЫ_ВЫБОРА!F32:K32)</f>
        <v>0.3645</v>
      </c>
      <c r="I2171" s="12" t="n">
        <f aca="false">SUMPRODUCT(ПОТОКИ!B15:G15,ЧАСОВЫЕ_ПРОФИЛИ!B20:G20,КОЭФФИЦИЕНТЫ_ВЫБОРА!F32:K32,ПАРАМЕТРЫ!$B$17:$G$17)</f>
        <v>0.40095</v>
      </c>
      <c r="J2171" s="12" t="n">
        <f aca="false">I2171*G2171/1000</f>
        <v>0.120285</v>
      </c>
      <c r="K2171" s="11" t="s">
        <v>217</v>
      </c>
      <c r="L2171" s="11" t="s">
        <v>19</v>
      </c>
      <c r="M2171" s="11" t="s">
        <v>145</v>
      </c>
    </row>
    <row r="2172" customFormat="false" ht="15" hidden="false" customHeight="false" outlineLevel="0" collapsed="false">
      <c r="A2172" s="11" t="s">
        <v>111</v>
      </c>
      <c r="B2172" s="11" t="s">
        <v>133</v>
      </c>
      <c r="C2172" s="11" t="n">
        <v>23</v>
      </c>
      <c r="D2172" s="11" t="s">
        <v>86</v>
      </c>
      <c r="E2172" s="11" t="s">
        <v>179</v>
      </c>
      <c r="F2172" s="11" t="s">
        <v>85</v>
      </c>
      <c r="G2172" s="12" t="n">
        <v>150</v>
      </c>
      <c r="H2172" s="12" t="n">
        <f aca="false">SUMPRODUCT(ПОТОКИ!B15:G15,ЧАСОВЫЕ_ПРОФИЛИ!B20:G20,КОЭФФИЦИЕНТЫ_ВЫБОРА!F33:K33)</f>
        <v>0.28206</v>
      </c>
      <c r="I2172" s="12" t="n">
        <f aca="false">SUMPRODUCT(ПОТОКИ!B15:G15,ЧАСОВЫЕ_ПРОФИЛИ!B20:G20,КОЭФФИЦИЕНТЫ_ВЫБОРА!F33:K33,ПАРАМЕТРЫ!$B$17:$G$17)</f>
        <v>0.310266</v>
      </c>
      <c r="J2172" s="12" t="n">
        <f aca="false">I2172*G2172/1000</f>
        <v>0.0465399</v>
      </c>
      <c r="K2172" s="11" t="s">
        <v>217</v>
      </c>
      <c r="L2172" s="11" t="s">
        <v>19</v>
      </c>
      <c r="M2172" s="11" t="s">
        <v>147</v>
      </c>
    </row>
    <row r="2173" customFormat="false" ht="15" hidden="false" customHeight="false" outlineLevel="0" collapsed="false">
      <c r="A2173" s="11" t="s">
        <v>111</v>
      </c>
      <c r="B2173" s="11" t="s">
        <v>133</v>
      </c>
      <c r="C2173" s="11" t="n">
        <v>24</v>
      </c>
      <c r="D2173" s="11" t="s">
        <v>86</v>
      </c>
      <c r="E2173" s="11" t="s">
        <v>180</v>
      </c>
      <c r="F2173" s="11" t="s">
        <v>85</v>
      </c>
      <c r="G2173" s="12" t="n">
        <v>150</v>
      </c>
      <c r="H2173" s="12" t="n">
        <f aca="false">SUMPRODUCT(ПОТОКИ!B15:G15,ЧАСОВЫЕ_ПРОФИЛИ!B20:G20,КОЭФФИЦИЕНТЫ_ВЫБОРА!F34:K34)</f>
        <v>0.14103</v>
      </c>
      <c r="I2173" s="12" t="n">
        <f aca="false">SUMPRODUCT(ПОТОКИ!B15:G15,ЧАСОВЫЕ_ПРОФИЛИ!B20:G20,КОЭФФИЦИЕНТЫ_ВЫБОРА!F34:K34,ПАРАМЕТРЫ!$B$17:$G$17)</f>
        <v>0.155133</v>
      </c>
      <c r="J2173" s="12" t="n">
        <f aca="false">I2173*G2173/1000</f>
        <v>0.02326995</v>
      </c>
      <c r="K2173" s="11" t="s">
        <v>217</v>
      </c>
      <c r="L2173" s="11" t="s">
        <v>19</v>
      </c>
      <c r="M2173" s="11" t="s">
        <v>147</v>
      </c>
    </row>
    <row r="2174" customFormat="false" ht="15" hidden="false" customHeight="false" outlineLevel="0" collapsed="false">
      <c r="A2174" s="11" t="s">
        <v>111</v>
      </c>
      <c r="B2174" s="11" t="s">
        <v>133</v>
      </c>
      <c r="C2174" s="11" t="n">
        <v>25</v>
      </c>
      <c r="D2174" s="11" t="s">
        <v>86</v>
      </c>
      <c r="E2174" s="11" t="s">
        <v>181</v>
      </c>
      <c r="F2174" s="11" t="s">
        <v>85</v>
      </c>
      <c r="G2174" s="12" t="n">
        <v>150</v>
      </c>
      <c r="H2174" s="12" t="n">
        <f aca="false">SUMPRODUCT(ПОТОКИ!B15:G15,ЧАСОВЫЕ_ПРОФИЛИ!B20:G20,КОЭФФИЦИЕНТЫ_ВЫБОРА!F35:K35)</f>
        <v>0.28206</v>
      </c>
      <c r="I2174" s="12" t="n">
        <f aca="false">SUMPRODUCT(ПОТОКИ!B15:G15,ЧАСОВЫЕ_ПРОФИЛИ!B20:G20,КОЭФФИЦИЕНТЫ_ВЫБОРА!F35:K35,ПАРАМЕТРЫ!$B$17:$G$17)</f>
        <v>0.310266</v>
      </c>
      <c r="J2174" s="12" t="n">
        <f aca="false">I2174*G2174/1000</f>
        <v>0.0465399</v>
      </c>
      <c r="K2174" s="11" t="s">
        <v>217</v>
      </c>
      <c r="L2174" s="11" t="s">
        <v>19</v>
      </c>
      <c r="M2174" s="11" t="s">
        <v>147</v>
      </c>
    </row>
    <row r="2175" customFormat="false" ht="23.85" hidden="false" customHeight="false" outlineLevel="0" collapsed="false">
      <c r="A2175" s="11" t="s">
        <v>111</v>
      </c>
      <c r="B2175" s="11" t="s">
        <v>133</v>
      </c>
      <c r="C2175" s="11" t="n">
        <v>26</v>
      </c>
      <c r="D2175" s="11" t="s">
        <v>89</v>
      </c>
      <c r="E2175" s="11" t="s">
        <v>182</v>
      </c>
      <c r="F2175" s="11" t="s">
        <v>88</v>
      </c>
      <c r="G2175" s="12" t="n">
        <v>225</v>
      </c>
      <c r="H2175" s="12" t="n">
        <f aca="false">SUMPRODUCT(ПОТОКИ!B15:G15,ЧАСОВЫЕ_ПРОФИЛИ!B20:G20,КОЭФФИЦИЕНТЫ_ВЫБОРА!F36:K36)</f>
        <v>0</v>
      </c>
      <c r="I2175" s="12" t="n">
        <f aca="false">SUMPRODUCT(ПОТОКИ!B15:G15,ЧАСОВЫЕ_ПРОФИЛИ!B20:G20,КОЭФФИЦИЕНТЫ_ВЫБОРА!F36:K36,ПАРАМЕТРЫ!$B$17:$G$17)</f>
        <v>0</v>
      </c>
      <c r="J2175" s="12" t="n">
        <f aca="false">I2175*G2175/1000</f>
        <v>0</v>
      </c>
      <c r="K2175" s="11" t="s">
        <v>217</v>
      </c>
      <c r="L2175" s="11" t="s">
        <v>19</v>
      </c>
      <c r="M2175" s="11" t="s">
        <v>145</v>
      </c>
    </row>
    <row r="2176" customFormat="false" ht="23.85" hidden="false" customHeight="false" outlineLevel="0" collapsed="false">
      <c r="A2176" s="11" t="s">
        <v>111</v>
      </c>
      <c r="B2176" s="11" t="s">
        <v>133</v>
      </c>
      <c r="C2176" s="11" t="n">
        <v>27</v>
      </c>
      <c r="D2176" s="11" t="s">
        <v>89</v>
      </c>
      <c r="E2176" s="11" t="s">
        <v>183</v>
      </c>
      <c r="F2176" s="11" t="s">
        <v>88</v>
      </c>
      <c r="G2176" s="12" t="n">
        <v>265</v>
      </c>
      <c r="H2176" s="12" t="n">
        <f aca="false">SUMPRODUCT(ПОТОКИ!B15:G15,ЧАСОВЫЕ_ПРОФИЛИ!B20:G20,КОЭФФИЦИЕНТЫ_ВЫБОРА!F37:K37)</f>
        <v>0</v>
      </c>
      <c r="I2176" s="12" t="n">
        <f aca="false">SUMPRODUCT(ПОТОКИ!B15:G15,ЧАСОВЫЕ_ПРОФИЛИ!B20:G20,КОЭФФИЦИЕНТЫ_ВЫБОРА!F37:K37,ПАРАМЕТРЫ!$B$17:$G$17)</f>
        <v>0</v>
      </c>
      <c r="J2176" s="12" t="n">
        <f aca="false">I2176*G2176/1000</f>
        <v>0</v>
      </c>
      <c r="K2176" s="11" t="s">
        <v>217</v>
      </c>
      <c r="L2176" s="11" t="s">
        <v>19</v>
      </c>
      <c r="M2176" s="11" t="s">
        <v>145</v>
      </c>
    </row>
    <row r="2177" customFormat="false" ht="23.85" hidden="false" customHeight="false" outlineLevel="0" collapsed="false">
      <c r="A2177" s="11" t="s">
        <v>111</v>
      </c>
      <c r="B2177" s="11" t="s">
        <v>133</v>
      </c>
      <c r="C2177" s="11" t="n">
        <v>28</v>
      </c>
      <c r="D2177" s="11" t="s">
        <v>89</v>
      </c>
      <c r="E2177" s="11" t="s">
        <v>184</v>
      </c>
      <c r="F2177" s="11" t="s">
        <v>88</v>
      </c>
      <c r="G2177" s="12" t="n">
        <v>355</v>
      </c>
      <c r="H2177" s="12" t="n">
        <f aca="false">SUMPRODUCT(ПОТОКИ!B15:G15,ЧАСОВЫЕ_ПРОФИЛИ!B20:G20,КОЭФФИЦИЕНТЫ_ВЫБОРА!F38:K38)</f>
        <v>0</v>
      </c>
      <c r="I2177" s="12" t="n">
        <f aca="false">SUMPRODUCT(ПОТОКИ!B15:G15,ЧАСОВЫЕ_ПРОФИЛИ!B20:G20,КОЭФФИЦИЕНТЫ_ВЫБОРА!F38:K38,ПАРАМЕТРЫ!$B$17:$G$17)</f>
        <v>0</v>
      </c>
      <c r="J2177" s="12" t="n">
        <f aca="false">I2177*G2177/1000</f>
        <v>0</v>
      </c>
      <c r="K2177" s="11" t="s">
        <v>217</v>
      </c>
      <c r="L2177" s="11" t="s">
        <v>19</v>
      </c>
      <c r="M2177" s="11" t="s">
        <v>145</v>
      </c>
    </row>
    <row r="2178" customFormat="false" ht="15" hidden="false" customHeight="false" outlineLevel="0" collapsed="false">
      <c r="A2178" s="11" t="s">
        <v>111</v>
      </c>
      <c r="B2178" s="11" t="s">
        <v>133</v>
      </c>
      <c r="C2178" s="11" t="n">
        <v>29</v>
      </c>
      <c r="D2178" s="11" t="s">
        <v>92</v>
      </c>
      <c r="E2178" s="11" t="s">
        <v>185</v>
      </c>
      <c r="F2178" s="11" t="s">
        <v>91</v>
      </c>
      <c r="G2178" s="12" t="n">
        <v>150</v>
      </c>
      <c r="H2178" s="12" t="n">
        <f aca="false">SUMPRODUCT(ПОТОКИ!B15:G15,ЧАСОВЫЕ_ПРОФИЛИ!B20:G20,КОЭФФИЦИЕНТЫ_ВЫБОРА!F39:K39)</f>
        <v>0.27</v>
      </c>
      <c r="I2178" s="12" t="n">
        <f aca="false">SUMPRODUCT(ПОТОКИ!B15:G15,ЧАСОВЫЕ_ПРОФИЛИ!B20:G20,КОЭФФИЦИЕНТЫ_ВЫБОРА!F39:K39,ПАРАМЕТРЫ!$B$17:$G$17)</f>
        <v>0.297</v>
      </c>
      <c r="J2178" s="12" t="n">
        <f aca="false">I2178*G2178/1000</f>
        <v>0.04455</v>
      </c>
      <c r="K2178" s="11" t="s">
        <v>217</v>
      </c>
      <c r="L2178" s="11" t="s">
        <v>19</v>
      </c>
      <c r="M2178" s="11" t="s">
        <v>145</v>
      </c>
    </row>
    <row r="2179" customFormat="false" ht="15" hidden="false" customHeight="false" outlineLevel="0" collapsed="false">
      <c r="A2179" s="11" t="s">
        <v>111</v>
      </c>
      <c r="B2179" s="11" t="s">
        <v>133</v>
      </c>
      <c r="C2179" s="11" t="n">
        <v>30</v>
      </c>
      <c r="D2179" s="11" t="s">
        <v>92</v>
      </c>
      <c r="E2179" s="11" t="s">
        <v>186</v>
      </c>
      <c r="F2179" s="11" t="s">
        <v>91</v>
      </c>
      <c r="G2179" s="12" t="n">
        <v>120</v>
      </c>
      <c r="H2179" s="12" t="n">
        <f aca="false">SUMPRODUCT(ПОТОКИ!B15:G15,ЧАСОВЫЕ_ПРОФИЛИ!B20:G20,КОЭФФИЦИЕНТЫ_ВЫБОРА!F40:K40)</f>
        <v>0.27</v>
      </c>
      <c r="I2179" s="12" t="n">
        <f aca="false">SUMPRODUCT(ПОТОКИ!B15:G15,ЧАСОВЫЕ_ПРОФИЛИ!B20:G20,КОЭФФИЦИЕНТЫ_ВЫБОРА!F40:K40,ПАРАМЕТРЫ!$B$17:$G$17)</f>
        <v>0.297</v>
      </c>
      <c r="J2179" s="12" t="n">
        <f aca="false">I2179*G2179/1000</f>
        <v>0.03564</v>
      </c>
      <c r="K2179" s="11" t="s">
        <v>217</v>
      </c>
      <c r="L2179" s="11" t="s">
        <v>19</v>
      </c>
      <c r="M2179" s="11" t="s">
        <v>145</v>
      </c>
    </row>
    <row r="2180" customFormat="false" ht="15" hidden="false" customHeight="false" outlineLevel="0" collapsed="false">
      <c r="A2180" s="11" t="s">
        <v>111</v>
      </c>
      <c r="B2180" s="11" t="s">
        <v>133</v>
      </c>
      <c r="C2180" s="11" t="n">
        <v>31</v>
      </c>
      <c r="D2180" s="11" t="s">
        <v>92</v>
      </c>
      <c r="E2180" s="11" t="s">
        <v>187</v>
      </c>
      <c r="F2180" s="11" t="s">
        <v>91</v>
      </c>
      <c r="G2180" s="12" t="n">
        <v>60</v>
      </c>
      <c r="H2180" s="12" t="n">
        <f aca="false">SUMPRODUCT(ПОТОКИ!B15:G15,ЧАСОВЫЕ_ПРОФИЛИ!B20:G20,КОЭФФИЦИЕНТЫ_ВЫБОРА!F41:K41)</f>
        <v>0.27</v>
      </c>
      <c r="I2180" s="12" t="n">
        <f aca="false">SUMPRODUCT(ПОТОКИ!B15:G15,ЧАСОВЫЕ_ПРОФИЛИ!B20:G20,КОЭФФИЦИЕНТЫ_ВЫБОРА!F41:K41,ПАРАМЕТРЫ!$B$17:$G$17)</f>
        <v>0.297</v>
      </c>
      <c r="J2180" s="12" t="n">
        <f aca="false">I2180*G2180/1000</f>
        <v>0.01782</v>
      </c>
      <c r="K2180" s="11" t="s">
        <v>217</v>
      </c>
      <c r="L2180" s="11" t="s">
        <v>19</v>
      </c>
      <c r="M2180" s="11" t="s">
        <v>145</v>
      </c>
    </row>
    <row r="2181" customFormat="false" ht="15" hidden="false" customHeight="false" outlineLevel="0" collapsed="false">
      <c r="A2181" s="11" t="s">
        <v>111</v>
      </c>
      <c r="B2181" s="11" t="s">
        <v>134</v>
      </c>
      <c r="C2181" s="11" t="n">
        <v>1</v>
      </c>
      <c r="D2181" s="11" t="s">
        <v>74</v>
      </c>
      <c r="E2181" s="11" t="s">
        <v>153</v>
      </c>
      <c r="F2181" s="11" t="s">
        <v>73</v>
      </c>
      <c r="G2181" s="12" t="n">
        <v>450</v>
      </c>
      <c r="H2181" s="12" t="n">
        <f aca="false">SUMPRODUCT(ПОТОКИ!B15:G15,ЧАСОВЫЕ_ПРОФИЛИ!B21:G21,КОЭФФИЦИЕНТЫ_ВЫБОРА!F11:K11)</f>
        <v>0.199</v>
      </c>
      <c r="I2181" s="12" t="n">
        <f aca="false">SUMPRODUCT(ПОТОКИ!B15:G15,ЧАСОВЫЕ_ПРОФИЛИ!B21:G21,КОЭФФИЦИЕНТЫ_ВЫБОРА!F11:K11,ПАРАМЕТРЫ!$B$17:$G$17)</f>
        <v>0.2189</v>
      </c>
      <c r="J2181" s="12" t="n">
        <f aca="false">I2181*G2181/1000</f>
        <v>0.098505</v>
      </c>
      <c r="K2181" s="11" t="s">
        <v>217</v>
      </c>
      <c r="L2181" s="11" t="s">
        <v>19</v>
      </c>
      <c r="M2181" s="11" t="s">
        <v>145</v>
      </c>
    </row>
    <row r="2182" customFormat="false" ht="15" hidden="false" customHeight="false" outlineLevel="0" collapsed="false">
      <c r="A2182" s="11" t="s">
        <v>111</v>
      </c>
      <c r="B2182" s="11" t="s">
        <v>134</v>
      </c>
      <c r="C2182" s="11" t="n">
        <v>2</v>
      </c>
      <c r="D2182" s="11" t="s">
        <v>74</v>
      </c>
      <c r="E2182" s="11" t="s">
        <v>154</v>
      </c>
      <c r="F2182" s="11" t="s">
        <v>73</v>
      </c>
      <c r="G2182" s="12" t="n">
        <v>480</v>
      </c>
      <c r="H2182" s="12" t="n">
        <f aca="false">SUMPRODUCT(ПОТОКИ!B15:G15,ЧАСОВЫЕ_ПРОФИЛИ!B21:G21,КОЭФФИЦИЕНТЫ_ВЫБОРА!F12:K12)</f>
        <v>0.3365</v>
      </c>
      <c r="I2182" s="12" t="n">
        <f aca="false">SUMPRODUCT(ПОТОКИ!B15:G15,ЧАСОВЫЕ_ПРОФИЛИ!B21:G21,КОЭФФИЦИЕНТЫ_ВЫБОРА!F12:K12,ПАРАМЕТРЫ!$B$17:$G$17)</f>
        <v>0.37015</v>
      </c>
      <c r="J2182" s="12" t="n">
        <f aca="false">I2182*G2182/1000</f>
        <v>0.177672</v>
      </c>
      <c r="K2182" s="11" t="s">
        <v>217</v>
      </c>
      <c r="L2182" s="11" t="s">
        <v>19</v>
      </c>
      <c r="M2182" s="11" t="s">
        <v>145</v>
      </c>
    </row>
    <row r="2183" customFormat="false" ht="15" hidden="false" customHeight="false" outlineLevel="0" collapsed="false">
      <c r="A2183" s="11" t="s">
        <v>111</v>
      </c>
      <c r="B2183" s="11" t="s">
        <v>134</v>
      </c>
      <c r="C2183" s="11" t="n">
        <v>3</v>
      </c>
      <c r="D2183" s="11" t="s">
        <v>74</v>
      </c>
      <c r="E2183" s="11" t="s">
        <v>155</v>
      </c>
      <c r="F2183" s="11" t="s">
        <v>73</v>
      </c>
      <c r="G2183" s="12" t="n">
        <v>500</v>
      </c>
      <c r="H2183" s="12" t="n">
        <f aca="false">SUMPRODUCT(ПОТОКИ!B15:G15,ЧАСОВЫЕ_ПРОФИЛИ!B21:G21,КОЭФФИЦИЕНТЫ_ВЫБОРА!F13:K13)</f>
        <v>0.4985</v>
      </c>
      <c r="I2183" s="12" t="n">
        <f aca="false">SUMPRODUCT(ПОТОКИ!B15:G15,ЧАСОВЫЕ_ПРОФИЛИ!B21:G21,КОЭФФИЦИЕНТЫ_ВЫБОРА!F13:K13,ПАРАМЕТРЫ!$B$17:$G$17)</f>
        <v>0.54835</v>
      </c>
      <c r="J2183" s="12" t="n">
        <f aca="false">I2183*G2183/1000</f>
        <v>0.274175</v>
      </c>
      <c r="K2183" s="11" t="s">
        <v>217</v>
      </c>
      <c r="L2183" s="11" t="s">
        <v>19</v>
      </c>
      <c r="M2183" s="11" t="s">
        <v>145</v>
      </c>
    </row>
    <row r="2184" customFormat="false" ht="15" hidden="false" customHeight="false" outlineLevel="0" collapsed="false">
      <c r="A2184" s="11" t="s">
        <v>111</v>
      </c>
      <c r="B2184" s="11" t="s">
        <v>134</v>
      </c>
      <c r="C2184" s="11" t="n">
        <v>4</v>
      </c>
      <c r="D2184" s="11" t="s">
        <v>74</v>
      </c>
      <c r="E2184" s="11" t="s">
        <v>156</v>
      </c>
      <c r="F2184" s="11" t="s">
        <v>73</v>
      </c>
      <c r="G2184" s="12" t="n">
        <v>500</v>
      </c>
      <c r="H2184" s="12" t="n">
        <f aca="false">SUMPRODUCT(ПОТОКИ!B15:G15,ЧАСОВЫЕ_ПРОФИЛИ!B21:G21,КОЭФФИЦИЕНТЫ_ВЫБОРА!F14:K14)</f>
        <v>0.636</v>
      </c>
      <c r="I2184" s="12" t="n">
        <f aca="false">SUMPRODUCT(ПОТОКИ!B15:G15,ЧАСОВЫЕ_ПРОФИЛИ!B21:G21,КОЭФФИЦИЕНТЫ_ВЫБОРА!F14:K14,ПАРАМЕТРЫ!$B$17:$G$17)</f>
        <v>0.6996</v>
      </c>
      <c r="J2184" s="12" t="n">
        <f aca="false">I2184*G2184/1000</f>
        <v>0.3498</v>
      </c>
      <c r="K2184" s="11" t="s">
        <v>217</v>
      </c>
      <c r="L2184" s="11" t="s">
        <v>19</v>
      </c>
      <c r="M2184" s="11" t="s">
        <v>145</v>
      </c>
    </row>
    <row r="2185" customFormat="false" ht="15" hidden="false" customHeight="false" outlineLevel="0" collapsed="false">
      <c r="A2185" s="11" t="s">
        <v>111</v>
      </c>
      <c r="B2185" s="11" t="s">
        <v>134</v>
      </c>
      <c r="C2185" s="11" t="n">
        <v>5</v>
      </c>
      <c r="D2185" s="11" t="s">
        <v>78</v>
      </c>
      <c r="E2185" s="11" t="s">
        <v>157</v>
      </c>
      <c r="F2185" s="11" t="s">
        <v>77</v>
      </c>
      <c r="G2185" s="12" t="n">
        <v>100</v>
      </c>
      <c r="H2185" s="12" t="n">
        <f aca="false">SUMPRODUCT(ПОТОКИ!B15:G15,ЧАСОВЫЕ_ПРОФИЛИ!B21:G21,КОЭФФИЦИЕНТЫ_ВЫБОРА!F15:K15)</f>
        <v>0.483</v>
      </c>
      <c r="I2185" s="12" t="n">
        <f aca="false">SUMPRODUCT(ПОТОКИ!B15:G15,ЧАСОВЫЕ_ПРОФИЛИ!B21:G21,КОЭФФИЦИЕНТЫ_ВЫБОРА!F15:K15,ПАРАМЕТРЫ!$B$17:$G$17)</f>
        <v>0.5313</v>
      </c>
      <c r="J2185" s="12" t="n">
        <f aca="false">I2185*G2185/1000</f>
        <v>0.05313</v>
      </c>
      <c r="K2185" s="11" t="s">
        <v>217</v>
      </c>
      <c r="L2185" s="11" t="s">
        <v>19</v>
      </c>
      <c r="M2185" s="11" t="s">
        <v>147</v>
      </c>
    </row>
    <row r="2186" customFormat="false" ht="15" hidden="false" customHeight="false" outlineLevel="0" collapsed="false">
      <c r="A2186" s="11" t="s">
        <v>111</v>
      </c>
      <c r="B2186" s="11" t="s">
        <v>134</v>
      </c>
      <c r="C2186" s="11" t="n">
        <v>6</v>
      </c>
      <c r="D2186" s="11" t="s">
        <v>78</v>
      </c>
      <c r="E2186" s="11" t="s">
        <v>158</v>
      </c>
      <c r="F2186" s="11" t="s">
        <v>77</v>
      </c>
      <c r="G2186" s="12" t="n">
        <v>100</v>
      </c>
      <c r="H2186" s="12" t="n">
        <f aca="false">SUMPRODUCT(ПОТОКИ!B15:G15,ЧАСОВЫЕ_ПРОФИЛИ!B21:G21,КОЭФФИЦИЕНТЫ_ВЫБОРА!F16:K16)</f>
        <v>0.4535</v>
      </c>
      <c r="I2186" s="12" t="n">
        <f aca="false">SUMPRODUCT(ПОТОКИ!B15:G15,ЧАСОВЫЕ_ПРОФИЛИ!B21:G21,КОЭФФИЦИЕНТЫ_ВЫБОРА!F16:K16,ПАРАМЕТРЫ!$B$17:$G$17)</f>
        <v>0.49885</v>
      </c>
      <c r="J2186" s="12" t="n">
        <f aca="false">I2186*G2186/1000</f>
        <v>0.049885</v>
      </c>
      <c r="K2186" s="11" t="s">
        <v>217</v>
      </c>
      <c r="L2186" s="11" t="s">
        <v>19</v>
      </c>
      <c r="M2186" s="11" t="s">
        <v>147</v>
      </c>
    </row>
    <row r="2187" customFormat="false" ht="15" hidden="false" customHeight="false" outlineLevel="0" collapsed="false">
      <c r="A2187" s="11" t="s">
        <v>111</v>
      </c>
      <c r="B2187" s="11" t="s">
        <v>134</v>
      </c>
      <c r="C2187" s="11" t="n">
        <v>7</v>
      </c>
      <c r="D2187" s="11" t="s">
        <v>78</v>
      </c>
      <c r="E2187" s="11" t="s">
        <v>159</v>
      </c>
      <c r="F2187" s="11" t="s">
        <v>77</v>
      </c>
      <c r="G2187" s="12" t="n">
        <v>350</v>
      </c>
      <c r="H2187" s="12" t="n">
        <f aca="false">SUMPRODUCT(ПОТОКИ!B15:G15,ЧАСОВЫЕ_ПРОФИЛИ!B21:G21,КОЭФФИЦИЕНТЫ_ВЫБОРА!F17:K17)</f>
        <v>0.3935</v>
      </c>
      <c r="I2187" s="12" t="n">
        <f aca="false">SUMPRODUCT(ПОТОКИ!B15:G15,ЧАСОВЫЕ_ПРОФИЛИ!B21:G21,КОЭФФИЦИЕНТЫ_ВЫБОРА!F17:K17,ПАРАМЕТРЫ!$B$17:$G$17)</f>
        <v>0.43285</v>
      </c>
      <c r="J2187" s="12" t="n">
        <f aca="false">I2187*G2187/1000</f>
        <v>0.1514975</v>
      </c>
      <c r="K2187" s="11" t="s">
        <v>217</v>
      </c>
      <c r="L2187" s="11" t="s">
        <v>19</v>
      </c>
      <c r="M2187" s="11" t="s">
        <v>147</v>
      </c>
    </row>
    <row r="2188" customFormat="false" ht="15" hidden="false" customHeight="false" outlineLevel="0" collapsed="false">
      <c r="A2188" s="11" t="s">
        <v>111</v>
      </c>
      <c r="B2188" s="11" t="s">
        <v>134</v>
      </c>
      <c r="C2188" s="11" t="n">
        <v>8</v>
      </c>
      <c r="D2188" s="11" t="s">
        <v>78</v>
      </c>
      <c r="E2188" s="11" t="s">
        <v>160</v>
      </c>
      <c r="F2188" s="11" t="s">
        <v>77</v>
      </c>
      <c r="G2188" s="12" t="n">
        <v>85</v>
      </c>
      <c r="H2188" s="12" t="n">
        <f aca="false">SUMPRODUCT(ПОТОКИ!B15:G15,ЧАСОВЫЕ_ПРОФИЛИ!B21:G21,КОЭФФИЦИЕНТЫ_ВЫБОРА!F18:K18)</f>
        <v>0.244</v>
      </c>
      <c r="I2188" s="12" t="n">
        <f aca="false">SUMPRODUCT(ПОТОКИ!B15:G15,ЧАСОВЫЕ_ПРОФИЛИ!B21:G21,КОЭФФИЦИЕНТЫ_ВЫБОРА!F18:K18,ПАРАМЕТРЫ!$B$17:$G$17)</f>
        <v>0.2684</v>
      </c>
      <c r="J2188" s="12" t="n">
        <f aca="false">I2188*G2188/1000</f>
        <v>0.022814</v>
      </c>
      <c r="K2188" s="11" t="s">
        <v>217</v>
      </c>
      <c r="L2188" s="11" t="s">
        <v>19</v>
      </c>
      <c r="M2188" s="11" t="s">
        <v>147</v>
      </c>
    </row>
    <row r="2189" customFormat="false" ht="15" hidden="false" customHeight="false" outlineLevel="0" collapsed="false">
      <c r="A2189" s="11" t="s">
        <v>111</v>
      </c>
      <c r="B2189" s="11" t="s">
        <v>134</v>
      </c>
      <c r="C2189" s="11" t="n">
        <v>9</v>
      </c>
      <c r="D2189" s="11" t="s">
        <v>161</v>
      </c>
      <c r="E2189" s="11" t="s">
        <v>162</v>
      </c>
      <c r="F2189" s="11" t="s">
        <v>80</v>
      </c>
      <c r="G2189" s="12" t="n">
        <v>300</v>
      </c>
      <c r="H2189" s="12" t="n">
        <f aca="false">SUMPRODUCT(ПОТОКИ!B15:G15,ЧАСОВЫЕ_ПРОФИЛИ!B21:G21,КОЭФФИЦИЕНТЫ_ВЫБОРА!F19:K19)</f>
        <v>0.2735</v>
      </c>
      <c r="I2189" s="12" t="n">
        <f aca="false">SUMPRODUCT(ПОТОКИ!B15:G15,ЧАСОВЫЕ_ПРОФИЛИ!B21:G21,КОЭФФИЦИЕНТЫ_ВЫБОРА!F19:K19,ПАРАМЕТРЫ!$B$17:$G$17)</f>
        <v>0.30085</v>
      </c>
      <c r="J2189" s="12" t="n">
        <f aca="false">I2189*G2189/1000</f>
        <v>0.090255</v>
      </c>
      <c r="K2189" s="11" t="s">
        <v>217</v>
      </c>
      <c r="L2189" s="11" t="s">
        <v>19</v>
      </c>
      <c r="M2189" s="11" t="s">
        <v>145</v>
      </c>
    </row>
    <row r="2190" customFormat="false" ht="15" hidden="false" customHeight="false" outlineLevel="0" collapsed="false">
      <c r="A2190" s="11" t="s">
        <v>111</v>
      </c>
      <c r="B2190" s="11" t="s">
        <v>134</v>
      </c>
      <c r="C2190" s="11" t="n">
        <v>10</v>
      </c>
      <c r="D2190" s="11" t="s">
        <v>161</v>
      </c>
      <c r="E2190" s="11" t="s">
        <v>163</v>
      </c>
      <c r="F2190" s="11" t="s">
        <v>80</v>
      </c>
      <c r="G2190" s="12" t="n">
        <v>280</v>
      </c>
      <c r="H2190" s="12" t="n">
        <f aca="false">SUMPRODUCT(ПОТОКИ!B15:G15,ЧАСОВЫЕ_ПРОФИЛИ!B21:G21,КОЭФФИЦИЕНТЫ_ВЫБОРА!F20:K20)</f>
        <v>0.3095</v>
      </c>
      <c r="I2190" s="12" t="n">
        <f aca="false">SUMPRODUCT(ПОТОКИ!B15:G15,ЧАСОВЫЕ_ПРОФИЛИ!B21:G21,КОЭФФИЦИЕНТЫ_ВЫБОРА!F20:K20,ПАРАМЕТРЫ!$B$17:$G$17)</f>
        <v>0.34045</v>
      </c>
      <c r="J2190" s="12" t="n">
        <f aca="false">I2190*G2190/1000</f>
        <v>0.095326</v>
      </c>
      <c r="K2190" s="11" t="s">
        <v>217</v>
      </c>
      <c r="L2190" s="11" t="s">
        <v>19</v>
      </c>
      <c r="M2190" s="11" t="s">
        <v>145</v>
      </c>
    </row>
    <row r="2191" customFormat="false" ht="15" hidden="false" customHeight="false" outlineLevel="0" collapsed="false">
      <c r="A2191" s="11" t="s">
        <v>111</v>
      </c>
      <c r="B2191" s="11" t="s">
        <v>134</v>
      </c>
      <c r="C2191" s="11" t="n">
        <v>11</v>
      </c>
      <c r="D2191" s="11" t="s">
        <v>161</v>
      </c>
      <c r="E2191" s="11" t="s">
        <v>164</v>
      </c>
      <c r="F2191" s="11" t="s">
        <v>80</v>
      </c>
      <c r="G2191" s="12" t="n">
        <v>270</v>
      </c>
      <c r="H2191" s="12" t="n">
        <f aca="false">SUMPRODUCT(ПОТОКИ!B15:G15,ЧАСОВЫЕ_ПРОФИЛИ!B21:G21,КОЭФФИЦИЕНТЫ_ВЫБОРА!F21:K21)</f>
        <v>0.50675</v>
      </c>
      <c r="I2191" s="12" t="n">
        <f aca="false">SUMPRODUCT(ПОТОКИ!B15:G15,ЧАСОВЫЕ_ПРОФИЛИ!B21:G21,КОЭФФИЦИЕНТЫ_ВЫБОРА!F21:K21,ПАРАМЕТРЫ!$B$17:$G$17)</f>
        <v>0.557425</v>
      </c>
      <c r="J2191" s="12" t="n">
        <f aca="false">I2191*G2191/1000</f>
        <v>0.15050475</v>
      </c>
      <c r="K2191" s="11" t="s">
        <v>217</v>
      </c>
      <c r="L2191" s="11" t="s">
        <v>19</v>
      </c>
      <c r="M2191" s="11" t="s">
        <v>145</v>
      </c>
    </row>
    <row r="2192" customFormat="false" ht="15" hidden="false" customHeight="false" outlineLevel="0" collapsed="false">
      <c r="A2192" s="11" t="s">
        <v>111</v>
      </c>
      <c r="B2192" s="11" t="s">
        <v>134</v>
      </c>
      <c r="C2192" s="11" t="n">
        <v>12</v>
      </c>
      <c r="D2192" s="11" t="s">
        <v>161</v>
      </c>
      <c r="E2192" s="11" t="s">
        <v>165</v>
      </c>
      <c r="F2192" s="11" t="s">
        <v>80</v>
      </c>
      <c r="G2192" s="12" t="n">
        <v>240</v>
      </c>
      <c r="H2192" s="12" t="n">
        <f aca="false">SUMPRODUCT(ПОТОКИ!B15:G15,ЧАСОВЫЕ_ПРОФИЛИ!B21:G21,КОЭФФИЦИЕНТЫ_ВЫБОРА!F22:K22)</f>
        <v>0.25525</v>
      </c>
      <c r="I2192" s="12" t="n">
        <f aca="false">SUMPRODUCT(ПОТОКИ!B15:G15,ЧАСОВЫЕ_ПРОФИЛИ!B21:G21,КОЭФФИЦИЕНТЫ_ВЫБОРА!F22:K22,ПАРАМЕТРЫ!$B$17:$G$17)</f>
        <v>0.280775</v>
      </c>
      <c r="J2192" s="12" t="n">
        <f aca="false">I2192*G2192/1000</f>
        <v>0.067386</v>
      </c>
      <c r="K2192" s="11" t="s">
        <v>217</v>
      </c>
      <c r="L2192" s="11" t="s">
        <v>19</v>
      </c>
      <c r="M2192" s="11" t="s">
        <v>145</v>
      </c>
    </row>
    <row r="2193" customFormat="false" ht="15" hidden="false" customHeight="false" outlineLevel="0" collapsed="false">
      <c r="A2193" s="11" t="s">
        <v>111</v>
      </c>
      <c r="B2193" s="11" t="s">
        <v>134</v>
      </c>
      <c r="C2193" s="11" t="n">
        <v>13</v>
      </c>
      <c r="D2193" s="11" t="s">
        <v>166</v>
      </c>
      <c r="E2193" s="11" t="s">
        <v>167</v>
      </c>
      <c r="F2193" s="11" t="s">
        <v>80</v>
      </c>
      <c r="G2193" s="12" t="n">
        <v>130</v>
      </c>
      <c r="H2193" s="12" t="n">
        <f aca="false">SUMPRODUCT(ПОТОКИ!B15:G15,ЧАСОВЫЕ_ПРОФИЛИ!B21:G21,КОЭФФИЦИЕНТЫ_ВЫБОРА!F23:K23)</f>
        <v>0.155</v>
      </c>
      <c r="I2193" s="12" t="n">
        <f aca="false">SUMPRODUCT(ПОТОКИ!B15:G15,ЧАСОВЫЕ_ПРОФИЛИ!B21:G21,КОЭФФИЦИЕНТЫ_ВЫБОРА!F23:K23,ПАРАМЕТРЫ!$B$17:$G$17)</f>
        <v>0.1705</v>
      </c>
      <c r="J2193" s="12" t="n">
        <f aca="false">I2193*G2193/1000</f>
        <v>0.022165</v>
      </c>
      <c r="K2193" s="11" t="s">
        <v>217</v>
      </c>
      <c r="L2193" s="11" t="s">
        <v>19</v>
      </c>
      <c r="M2193" s="11" t="s">
        <v>145</v>
      </c>
    </row>
    <row r="2194" customFormat="false" ht="15" hidden="false" customHeight="false" outlineLevel="0" collapsed="false">
      <c r="A2194" s="11" t="s">
        <v>111</v>
      </c>
      <c r="B2194" s="11" t="s">
        <v>134</v>
      </c>
      <c r="C2194" s="11" t="n">
        <v>14</v>
      </c>
      <c r="D2194" s="11" t="s">
        <v>166</v>
      </c>
      <c r="E2194" s="11" t="s">
        <v>168</v>
      </c>
      <c r="F2194" s="11" t="s">
        <v>80</v>
      </c>
      <c r="G2194" s="12" t="n">
        <v>250</v>
      </c>
      <c r="H2194" s="12" t="n">
        <f aca="false">SUMPRODUCT(ПОТОКИ!B15:G15,ЧАСОВЫЕ_ПРОФИЛИ!B21:G21,КОЭФФИЦИЕНТЫ_ВЫБОРА!F24:K24)</f>
        <v>0.106</v>
      </c>
      <c r="I2194" s="12" t="n">
        <f aca="false">SUMPRODUCT(ПОТОКИ!B15:G15,ЧАСОВЫЕ_ПРОФИЛИ!B21:G21,КОЭФФИЦИЕНТЫ_ВЫБОРА!F24:K24,ПАРАМЕТРЫ!$B$17:$G$17)</f>
        <v>0.1166</v>
      </c>
      <c r="J2194" s="12" t="n">
        <f aca="false">I2194*G2194/1000</f>
        <v>0.02915</v>
      </c>
      <c r="K2194" s="11" t="s">
        <v>217</v>
      </c>
      <c r="L2194" s="11" t="s">
        <v>19</v>
      </c>
      <c r="M2194" s="11" t="s">
        <v>145</v>
      </c>
    </row>
    <row r="2195" customFormat="false" ht="15" hidden="false" customHeight="false" outlineLevel="0" collapsed="false">
      <c r="A2195" s="11" t="s">
        <v>111</v>
      </c>
      <c r="B2195" s="11" t="s">
        <v>134</v>
      </c>
      <c r="C2195" s="11" t="n">
        <v>15</v>
      </c>
      <c r="D2195" s="11" t="s">
        <v>166</v>
      </c>
      <c r="E2195" s="11" t="s">
        <v>169</v>
      </c>
      <c r="F2195" s="11" t="s">
        <v>80</v>
      </c>
      <c r="G2195" s="12" t="n">
        <v>120</v>
      </c>
      <c r="H2195" s="12" t="n">
        <f aca="false">SUMPRODUCT(ПОТОКИ!B15:G15,ЧАСОВЫЕ_ПРОФИЛИ!B21:G21,КОЭФФИЦИЕНТЫ_ВЫБОРА!F25:K25)</f>
        <v>0.091</v>
      </c>
      <c r="I2195" s="12" t="n">
        <f aca="false">SUMPRODUCT(ПОТОКИ!B15:G15,ЧАСОВЫЕ_ПРОФИЛИ!B21:G21,КОЭФФИЦИЕНТЫ_ВЫБОРА!F25:K25,ПАРАМЕТРЫ!$B$17:$G$17)</f>
        <v>0.1001</v>
      </c>
      <c r="J2195" s="12" t="n">
        <f aca="false">I2195*G2195/1000</f>
        <v>0.012012</v>
      </c>
      <c r="K2195" s="11" t="s">
        <v>217</v>
      </c>
      <c r="L2195" s="11" t="s">
        <v>19</v>
      </c>
      <c r="M2195" s="11" t="s">
        <v>145</v>
      </c>
    </row>
    <row r="2196" customFormat="false" ht="15" hidden="false" customHeight="false" outlineLevel="0" collapsed="false">
      <c r="A2196" s="11" t="s">
        <v>111</v>
      </c>
      <c r="B2196" s="11" t="s">
        <v>134</v>
      </c>
      <c r="C2196" s="11" t="n">
        <v>16</v>
      </c>
      <c r="D2196" s="11" t="s">
        <v>166</v>
      </c>
      <c r="E2196" s="11" t="s">
        <v>170</v>
      </c>
      <c r="F2196" s="11" t="s">
        <v>80</v>
      </c>
      <c r="G2196" s="12" t="n">
        <v>180</v>
      </c>
      <c r="H2196" s="12" t="n">
        <f aca="false">SUMPRODUCT(ПОТОКИ!B15:G15,ЧАСОВЫЕ_ПРОФИЛИ!B21:G21,КОЭФФИЦИЕНТЫ_ВЫБОРА!F26:K26)</f>
        <v>0.133</v>
      </c>
      <c r="I2196" s="12" t="n">
        <f aca="false">SUMPRODUCT(ПОТОКИ!B15:G15,ЧАСОВЫЕ_ПРОФИЛИ!B21:G21,КОЭФФИЦИЕНТЫ_ВЫБОРА!F26:K26,ПАРАМЕТРЫ!$B$17:$G$17)</f>
        <v>0.1463</v>
      </c>
      <c r="J2196" s="12" t="n">
        <f aca="false">I2196*G2196/1000</f>
        <v>0.026334</v>
      </c>
      <c r="K2196" s="11" t="s">
        <v>217</v>
      </c>
      <c r="L2196" s="11" t="s">
        <v>19</v>
      </c>
      <c r="M2196" s="11" t="s">
        <v>145</v>
      </c>
    </row>
    <row r="2197" customFormat="false" ht="15" hidden="false" customHeight="false" outlineLevel="0" collapsed="false">
      <c r="A2197" s="11" t="s">
        <v>111</v>
      </c>
      <c r="B2197" s="11" t="s">
        <v>134</v>
      </c>
      <c r="C2197" s="11" t="n">
        <v>17</v>
      </c>
      <c r="D2197" s="11" t="s">
        <v>166</v>
      </c>
      <c r="E2197" s="11" t="s">
        <v>171</v>
      </c>
      <c r="F2197" s="11" t="s">
        <v>80</v>
      </c>
      <c r="G2197" s="12" t="n">
        <v>180</v>
      </c>
      <c r="H2197" s="12" t="n">
        <f aca="false">SUMPRODUCT(ПОТОКИ!B15:G15,ЧАСОВЫЕ_ПРОФИЛИ!B21:G21,КОЭФФИЦИЕНТЫ_ВЫБОРА!F27:K27)</f>
        <v>0.155</v>
      </c>
      <c r="I2197" s="12" t="n">
        <f aca="false">SUMPRODUCT(ПОТОКИ!B15:G15,ЧАСОВЫЕ_ПРОФИЛИ!B21:G21,КОЭФФИЦИЕНТЫ_ВЫБОРА!F27:K27,ПАРАМЕТРЫ!$B$17:$G$17)</f>
        <v>0.1705</v>
      </c>
      <c r="J2197" s="12" t="n">
        <f aca="false">I2197*G2197/1000</f>
        <v>0.03069</v>
      </c>
      <c r="K2197" s="11" t="s">
        <v>217</v>
      </c>
      <c r="L2197" s="11" t="s">
        <v>19</v>
      </c>
      <c r="M2197" s="11" t="s">
        <v>145</v>
      </c>
    </row>
    <row r="2198" customFormat="false" ht="15" hidden="false" customHeight="false" outlineLevel="0" collapsed="false">
      <c r="A2198" s="11" t="s">
        <v>111</v>
      </c>
      <c r="B2198" s="11" t="s">
        <v>134</v>
      </c>
      <c r="C2198" s="11" t="n">
        <v>18</v>
      </c>
      <c r="D2198" s="11" t="s">
        <v>172</v>
      </c>
      <c r="E2198" s="11" t="s">
        <v>173</v>
      </c>
      <c r="F2198" s="11" t="s">
        <v>83</v>
      </c>
      <c r="G2198" s="12" t="n">
        <v>400</v>
      </c>
      <c r="H2198" s="12" t="n">
        <f aca="false">SUMPRODUCT(ПОТОКИ!B15:G15,ЧАСОВЫЕ_ПРОФИЛИ!B21:G21,КОЭФФИЦИЕНТЫ_ВЫБОРА!F28:K28)</f>
        <v>0.27</v>
      </c>
      <c r="I2198" s="12" t="n">
        <f aca="false">SUMPRODUCT(ПОТОКИ!B15:G15,ЧАСОВЫЕ_ПРОФИЛИ!B21:G21,КОЭФФИЦИЕНТЫ_ВЫБОРА!F28:K28,ПАРАМЕТРЫ!$B$17:$G$17)</f>
        <v>0.297</v>
      </c>
      <c r="J2198" s="12" t="n">
        <f aca="false">I2198*G2198/1000</f>
        <v>0.1188</v>
      </c>
      <c r="K2198" s="11" t="s">
        <v>217</v>
      </c>
      <c r="L2198" s="11" t="s">
        <v>19</v>
      </c>
      <c r="M2198" s="11" t="s">
        <v>145</v>
      </c>
    </row>
    <row r="2199" customFormat="false" ht="23.85" hidden="false" customHeight="false" outlineLevel="0" collapsed="false">
      <c r="A2199" s="11" t="s">
        <v>111</v>
      </c>
      <c r="B2199" s="11" t="s">
        <v>134</v>
      </c>
      <c r="C2199" s="11" t="n">
        <v>19</v>
      </c>
      <c r="D2199" s="11" t="s">
        <v>174</v>
      </c>
      <c r="E2199" s="11" t="s">
        <v>175</v>
      </c>
      <c r="F2199" s="11" t="s">
        <v>83</v>
      </c>
      <c r="G2199" s="12" t="n">
        <v>300</v>
      </c>
      <c r="H2199" s="12" t="n">
        <f aca="false">SUMPRODUCT(ПОТОКИ!B15:G15,ЧАСОВЫЕ_ПРОФИЛИ!B21:G21,КОЭФФИЦИЕНТЫ_ВЫБОРА!F29:K29)</f>
        <v>0.75825</v>
      </c>
      <c r="I2199" s="12" t="n">
        <f aca="false">SUMPRODUCT(ПОТОКИ!B15:G15,ЧАСОВЫЕ_ПРОФИЛИ!B21:G21,КОЭФФИЦИЕНТЫ_ВЫБОРА!F29:K29,ПАРАМЕТРЫ!$B$17:$G$17)</f>
        <v>0.834075</v>
      </c>
      <c r="J2199" s="12" t="n">
        <f aca="false">I2199*G2199/1000</f>
        <v>0.2502225</v>
      </c>
      <c r="K2199" s="11" t="s">
        <v>217</v>
      </c>
      <c r="L2199" s="11" t="s">
        <v>19</v>
      </c>
      <c r="M2199" s="11" t="s">
        <v>145</v>
      </c>
    </row>
    <row r="2200" customFormat="false" ht="15" hidden="false" customHeight="false" outlineLevel="0" collapsed="false">
      <c r="A2200" s="11" t="s">
        <v>111</v>
      </c>
      <c r="B2200" s="11" t="s">
        <v>134</v>
      </c>
      <c r="C2200" s="11" t="n">
        <v>20</v>
      </c>
      <c r="D2200" s="11" t="s">
        <v>174</v>
      </c>
      <c r="E2200" s="11" t="s">
        <v>176</v>
      </c>
      <c r="F2200" s="11" t="s">
        <v>83</v>
      </c>
      <c r="G2200" s="12" t="n">
        <v>360</v>
      </c>
      <c r="H2200" s="12" t="n">
        <f aca="false">SUMPRODUCT(ПОТОКИ!B15:G15,ЧАСОВЫЕ_ПРОФИЛИ!B21:G21,КОЭФФИЦИЕНТЫ_ВЫБОРА!F30:K30)</f>
        <v>0.676</v>
      </c>
      <c r="I2200" s="12" t="n">
        <f aca="false">SUMPRODUCT(ПОТОКИ!B15:G15,ЧАСОВЫЕ_ПРОФИЛИ!B21:G21,КОЭФФИЦИЕНТЫ_ВЫБОРА!F30:K30,ПАРАМЕТРЫ!$B$17:$G$17)</f>
        <v>0.7436</v>
      </c>
      <c r="J2200" s="12" t="n">
        <f aca="false">I2200*G2200/1000</f>
        <v>0.267696</v>
      </c>
      <c r="K2200" s="11" t="s">
        <v>217</v>
      </c>
      <c r="L2200" s="11" t="s">
        <v>19</v>
      </c>
      <c r="M2200" s="11" t="s">
        <v>145</v>
      </c>
    </row>
    <row r="2201" customFormat="false" ht="15" hidden="false" customHeight="false" outlineLevel="0" collapsed="false">
      <c r="A2201" s="11" t="s">
        <v>111</v>
      </c>
      <c r="B2201" s="11" t="s">
        <v>134</v>
      </c>
      <c r="C2201" s="11" t="n">
        <v>21</v>
      </c>
      <c r="D2201" s="11" t="s">
        <v>174</v>
      </c>
      <c r="E2201" s="11" t="s">
        <v>177</v>
      </c>
      <c r="F2201" s="11" t="s">
        <v>83</v>
      </c>
      <c r="G2201" s="12" t="n">
        <v>350</v>
      </c>
      <c r="H2201" s="12" t="n">
        <f aca="false">SUMPRODUCT(ПОТОКИ!B15:G15,ЧАСОВЫЕ_ПРОФИЛИ!B21:G21,КОЭФФИЦИЕНТЫ_ВЫБОРА!F31:K31)</f>
        <v>1.01675</v>
      </c>
      <c r="I2201" s="12" t="n">
        <f aca="false">SUMPRODUCT(ПОТОКИ!B15:G15,ЧАСОВЫЕ_ПРОФИЛИ!B21:G21,КОЭФФИЦИЕНТЫ_ВЫБОРА!F31:K31,ПАРАМЕТРЫ!$B$17:$G$17)</f>
        <v>1.118425</v>
      </c>
      <c r="J2201" s="12" t="n">
        <f aca="false">I2201*G2201/1000</f>
        <v>0.39144875</v>
      </c>
      <c r="K2201" s="11" t="s">
        <v>217</v>
      </c>
      <c r="L2201" s="11" t="s">
        <v>19</v>
      </c>
      <c r="M2201" s="11" t="s">
        <v>145</v>
      </c>
    </row>
    <row r="2202" customFormat="false" ht="15" hidden="false" customHeight="false" outlineLevel="0" collapsed="false">
      <c r="A2202" s="11" t="s">
        <v>111</v>
      </c>
      <c r="B2202" s="11" t="s">
        <v>134</v>
      </c>
      <c r="C2202" s="11" t="n">
        <v>22</v>
      </c>
      <c r="D2202" s="11" t="s">
        <v>174</v>
      </c>
      <c r="E2202" s="11" t="s">
        <v>178</v>
      </c>
      <c r="F2202" s="11" t="s">
        <v>83</v>
      </c>
      <c r="G2202" s="12" t="n">
        <v>300</v>
      </c>
      <c r="H2202" s="12" t="n">
        <f aca="false">SUMPRODUCT(ПОТОКИ!B15:G15,ЧАСОВЫЕ_ПРОФИЛИ!B21:G21,КОЭФФИЦИЕНТЫ_ВЫБОРА!F32:K32)</f>
        <v>0.689</v>
      </c>
      <c r="I2202" s="12" t="n">
        <f aca="false">SUMPRODUCT(ПОТОКИ!B15:G15,ЧАСОВЫЕ_ПРОФИЛИ!B21:G21,КОЭФФИЦИЕНТЫ_ВЫБОРА!F32:K32,ПАРАМЕТРЫ!$B$17:$G$17)</f>
        <v>0.7579</v>
      </c>
      <c r="J2202" s="12" t="n">
        <f aca="false">I2202*G2202/1000</f>
        <v>0.22737</v>
      </c>
      <c r="K2202" s="11" t="s">
        <v>217</v>
      </c>
      <c r="L2202" s="11" t="s">
        <v>19</v>
      </c>
      <c r="M2202" s="11" t="s">
        <v>145</v>
      </c>
    </row>
    <row r="2203" customFormat="false" ht="15" hidden="false" customHeight="false" outlineLevel="0" collapsed="false">
      <c r="A2203" s="11" t="s">
        <v>111</v>
      </c>
      <c r="B2203" s="11" t="s">
        <v>134</v>
      </c>
      <c r="C2203" s="11" t="n">
        <v>23</v>
      </c>
      <c r="D2203" s="11" t="s">
        <v>86</v>
      </c>
      <c r="E2203" s="11" t="s">
        <v>179</v>
      </c>
      <c r="F2203" s="11" t="s">
        <v>85</v>
      </c>
      <c r="G2203" s="12" t="n">
        <v>150</v>
      </c>
      <c r="H2203" s="12" t="n">
        <f aca="false">SUMPRODUCT(ПОТОКИ!B15:G15,ЧАСОВЫЕ_ПРОФИЛИ!B21:G21,КОЭФФИЦИЕНТЫ_ВЫБОРА!F33:K33)</f>
        <v>0.53688375</v>
      </c>
      <c r="I2203" s="12" t="n">
        <f aca="false">SUMPRODUCT(ПОТОКИ!B15:G15,ЧАСОВЫЕ_ПРОФИЛИ!B21:G21,КОЭФФИЦИЕНТЫ_ВЫБОРА!F33:K33,ПАРАМЕТРЫ!$B$17:$G$17)</f>
        <v>0.590572125</v>
      </c>
      <c r="J2203" s="12" t="n">
        <f aca="false">I2203*G2203/1000</f>
        <v>0.08858581875</v>
      </c>
      <c r="K2203" s="11" t="s">
        <v>217</v>
      </c>
      <c r="L2203" s="11" t="s">
        <v>19</v>
      </c>
      <c r="M2203" s="11" t="s">
        <v>147</v>
      </c>
    </row>
    <row r="2204" customFormat="false" ht="15" hidden="false" customHeight="false" outlineLevel="0" collapsed="false">
      <c r="A2204" s="11" t="s">
        <v>111</v>
      </c>
      <c r="B2204" s="11" t="s">
        <v>134</v>
      </c>
      <c r="C2204" s="11" t="n">
        <v>24</v>
      </c>
      <c r="D2204" s="11" t="s">
        <v>86</v>
      </c>
      <c r="E2204" s="11" t="s">
        <v>180</v>
      </c>
      <c r="F2204" s="11" t="s">
        <v>85</v>
      </c>
      <c r="G2204" s="12" t="n">
        <v>150</v>
      </c>
      <c r="H2204" s="12" t="n">
        <f aca="false">SUMPRODUCT(ПОТОКИ!B15:G15,ЧАСОВЫЕ_ПРОФИЛИ!B21:G21,КОЭФФИЦИЕНТЫ_ВЫБОРА!F34:K34)</f>
        <v>0.27657</v>
      </c>
      <c r="I2204" s="12" t="n">
        <f aca="false">SUMPRODUCT(ПОТОКИ!B15:G15,ЧАСОВЫЕ_ПРОФИЛИ!B21:G21,КОЭФФИЦИЕНТЫ_ВЫБОРА!F34:K34,ПАРАМЕТРЫ!$B$17:$G$17)</f>
        <v>0.304227</v>
      </c>
      <c r="J2204" s="12" t="n">
        <f aca="false">I2204*G2204/1000</f>
        <v>0.04563405</v>
      </c>
      <c r="K2204" s="11" t="s">
        <v>217</v>
      </c>
      <c r="L2204" s="11" t="s">
        <v>19</v>
      </c>
      <c r="M2204" s="11" t="s">
        <v>147</v>
      </c>
    </row>
    <row r="2205" customFormat="false" ht="15" hidden="false" customHeight="false" outlineLevel="0" collapsed="false">
      <c r="A2205" s="11" t="s">
        <v>111</v>
      </c>
      <c r="B2205" s="11" t="s">
        <v>134</v>
      </c>
      <c r="C2205" s="11" t="n">
        <v>25</v>
      </c>
      <c r="D2205" s="11" t="s">
        <v>86</v>
      </c>
      <c r="E2205" s="11" t="s">
        <v>181</v>
      </c>
      <c r="F2205" s="11" t="s">
        <v>85</v>
      </c>
      <c r="G2205" s="12" t="n">
        <v>150</v>
      </c>
      <c r="H2205" s="12" t="n">
        <f aca="false">SUMPRODUCT(ПОТОКИ!B15:G15,ЧАСОВЫЕ_ПРОФИЛИ!B21:G21,КОЭФФИЦИЕНТЫ_ВЫБОРА!F35:K35)</f>
        <v>0.56939625</v>
      </c>
      <c r="I2205" s="12" t="n">
        <f aca="false">SUMPRODUCT(ПОТОКИ!B15:G15,ЧАСОВЫЕ_ПРОФИЛИ!B21:G21,КОЭФФИЦИЕНТЫ_ВЫБОРА!F35:K35,ПАРАМЕТРЫ!$B$17:$G$17)</f>
        <v>0.626335875</v>
      </c>
      <c r="J2205" s="12" t="n">
        <f aca="false">I2205*G2205/1000</f>
        <v>0.09395038125</v>
      </c>
      <c r="K2205" s="11" t="s">
        <v>217</v>
      </c>
      <c r="L2205" s="11" t="s">
        <v>19</v>
      </c>
      <c r="M2205" s="11" t="s">
        <v>147</v>
      </c>
    </row>
    <row r="2206" customFormat="false" ht="23.85" hidden="false" customHeight="false" outlineLevel="0" collapsed="false">
      <c r="A2206" s="11" t="s">
        <v>111</v>
      </c>
      <c r="B2206" s="11" t="s">
        <v>134</v>
      </c>
      <c r="C2206" s="11" t="n">
        <v>26</v>
      </c>
      <c r="D2206" s="11" t="s">
        <v>89</v>
      </c>
      <c r="E2206" s="11" t="s">
        <v>182</v>
      </c>
      <c r="F2206" s="11" t="s">
        <v>88</v>
      </c>
      <c r="G2206" s="12" t="n">
        <v>225</v>
      </c>
      <c r="H2206" s="12" t="n">
        <f aca="false">SUMPRODUCT(ПОТОКИ!B15:G15,ЧАСОВЫЕ_ПРОФИЛИ!B21:G21,КОЭФФИЦИЕНТЫ_ВЫБОРА!F36:K36)</f>
        <v>0</v>
      </c>
      <c r="I2206" s="12" t="n">
        <f aca="false">SUMPRODUCT(ПОТОКИ!B15:G15,ЧАСОВЫЕ_ПРОФИЛИ!B21:G21,КОЭФФИЦИЕНТЫ_ВЫБОРА!F36:K36,ПАРАМЕТРЫ!$B$17:$G$17)</f>
        <v>0</v>
      </c>
      <c r="J2206" s="12" t="n">
        <f aca="false">I2206*G2206/1000</f>
        <v>0</v>
      </c>
      <c r="K2206" s="11" t="s">
        <v>217</v>
      </c>
      <c r="L2206" s="11" t="s">
        <v>19</v>
      </c>
      <c r="M2206" s="11" t="s">
        <v>145</v>
      </c>
    </row>
    <row r="2207" customFormat="false" ht="23.85" hidden="false" customHeight="false" outlineLevel="0" collapsed="false">
      <c r="A2207" s="11" t="s">
        <v>111</v>
      </c>
      <c r="B2207" s="11" t="s">
        <v>134</v>
      </c>
      <c r="C2207" s="11" t="n">
        <v>27</v>
      </c>
      <c r="D2207" s="11" t="s">
        <v>89</v>
      </c>
      <c r="E2207" s="11" t="s">
        <v>183</v>
      </c>
      <c r="F2207" s="11" t="s">
        <v>88</v>
      </c>
      <c r="G2207" s="12" t="n">
        <v>265</v>
      </c>
      <c r="H2207" s="12" t="n">
        <f aca="false">SUMPRODUCT(ПОТОКИ!B15:G15,ЧАСОВЫЕ_ПРОФИЛИ!B21:G21,КОЭФФИЦИЕНТЫ_ВЫБОРА!F37:K37)</f>
        <v>0</v>
      </c>
      <c r="I2207" s="12" t="n">
        <f aca="false">SUMPRODUCT(ПОТОКИ!B15:G15,ЧАСОВЫЕ_ПРОФИЛИ!B21:G21,КОЭФФИЦИЕНТЫ_ВЫБОРА!F37:K37,ПАРАМЕТРЫ!$B$17:$G$17)</f>
        <v>0</v>
      </c>
      <c r="J2207" s="12" t="n">
        <f aca="false">I2207*G2207/1000</f>
        <v>0</v>
      </c>
      <c r="K2207" s="11" t="s">
        <v>217</v>
      </c>
      <c r="L2207" s="11" t="s">
        <v>19</v>
      </c>
      <c r="M2207" s="11" t="s">
        <v>145</v>
      </c>
    </row>
    <row r="2208" customFormat="false" ht="23.85" hidden="false" customHeight="false" outlineLevel="0" collapsed="false">
      <c r="A2208" s="11" t="s">
        <v>111</v>
      </c>
      <c r="B2208" s="11" t="s">
        <v>134</v>
      </c>
      <c r="C2208" s="11" t="n">
        <v>28</v>
      </c>
      <c r="D2208" s="11" t="s">
        <v>89</v>
      </c>
      <c r="E2208" s="11" t="s">
        <v>184</v>
      </c>
      <c r="F2208" s="11" t="s">
        <v>88</v>
      </c>
      <c r="G2208" s="12" t="n">
        <v>355</v>
      </c>
      <c r="H2208" s="12" t="n">
        <f aca="false">SUMPRODUCT(ПОТОКИ!B15:G15,ЧАСОВЫЕ_ПРОФИЛИ!B21:G21,КОЭФФИЦИЕНТЫ_ВЫБОРА!F38:K38)</f>
        <v>0</v>
      </c>
      <c r="I2208" s="12" t="n">
        <f aca="false">SUMPRODUCT(ПОТОКИ!B15:G15,ЧАСОВЫЕ_ПРОФИЛИ!B21:G21,КОЭФФИЦИЕНТЫ_ВЫБОРА!F38:K38,ПАРАМЕТРЫ!$B$17:$G$17)</f>
        <v>0</v>
      </c>
      <c r="J2208" s="12" t="n">
        <f aca="false">I2208*G2208/1000</f>
        <v>0</v>
      </c>
      <c r="K2208" s="11" t="s">
        <v>217</v>
      </c>
      <c r="L2208" s="11" t="s">
        <v>19</v>
      </c>
      <c r="M2208" s="11" t="s">
        <v>145</v>
      </c>
    </row>
    <row r="2209" customFormat="false" ht="15" hidden="false" customHeight="false" outlineLevel="0" collapsed="false">
      <c r="A2209" s="11" t="s">
        <v>111</v>
      </c>
      <c r="B2209" s="11" t="s">
        <v>134</v>
      </c>
      <c r="C2209" s="11" t="n">
        <v>29</v>
      </c>
      <c r="D2209" s="11" t="s">
        <v>92</v>
      </c>
      <c r="E2209" s="11" t="s">
        <v>185</v>
      </c>
      <c r="F2209" s="11" t="s">
        <v>91</v>
      </c>
      <c r="G2209" s="12" t="n">
        <v>150</v>
      </c>
      <c r="H2209" s="12" t="n">
        <f aca="false">SUMPRODUCT(ПОТОКИ!B15:G15,ЧАСОВЫЕ_ПРОФИЛИ!B21:G21,КОЭФФИЦИЕНТЫ_ВЫБОРА!F39:K39)</f>
        <v>0.324</v>
      </c>
      <c r="I2209" s="12" t="n">
        <f aca="false">SUMPRODUCT(ПОТОКИ!B15:G15,ЧАСОВЫЕ_ПРОФИЛИ!B21:G21,КОЭФФИЦИЕНТЫ_ВЫБОРА!F39:K39,ПАРАМЕТРЫ!$B$17:$G$17)</f>
        <v>0.3564</v>
      </c>
      <c r="J2209" s="12" t="n">
        <f aca="false">I2209*G2209/1000</f>
        <v>0.05346</v>
      </c>
      <c r="K2209" s="11" t="s">
        <v>217</v>
      </c>
      <c r="L2209" s="11" t="s">
        <v>19</v>
      </c>
      <c r="M2209" s="11" t="s">
        <v>145</v>
      </c>
    </row>
    <row r="2210" customFormat="false" ht="15" hidden="false" customHeight="false" outlineLevel="0" collapsed="false">
      <c r="A2210" s="11" t="s">
        <v>111</v>
      </c>
      <c r="B2210" s="11" t="s">
        <v>134</v>
      </c>
      <c r="C2210" s="11" t="n">
        <v>30</v>
      </c>
      <c r="D2210" s="11" t="s">
        <v>92</v>
      </c>
      <c r="E2210" s="11" t="s">
        <v>186</v>
      </c>
      <c r="F2210" s="11" t="s">
        <v>91</v>
      </c>
      <c r="G2210" s="12" t="n">
        <v>120</v>
      </c>
      <c r="H2210" s="12" t="n">
        <f aca="false">SUMPRODUCT(ПОТОКИ!B15:G15,ЧАСОВЫЕ_ПРОФИЛИ!B21:G21,КОЭФФИЦИЕНТЫ_ВЫБОРА!F40:K40)</f>
        <v>0.374</v>
      </c>
      <c r="I2210" s="12" t="n">
        <f aca="false">SUMPRODUCT(ПОТОКИ!B15:G15,ЧАСОВЫЕ_ПРОФИЛИ!B21:G21,КОЭФФИЦИЕНТЫ_ВЫБОРА!F40:K40,ПАРАМЕТРЫ!$B$17:$G$17)</f>
        <v>0.4114</v>
      </c>
      <c r="J2210" s="12" t="n">
        <f aca="false">I2210*G2210/1000</f>
        <v>0.049368</v>
      </c>
      <c r="K2210" s="11" t="s">
        <v>217</v>
      </c>
      <c r="L2210" s="11" t="s">
        <v>19</v>
      </c>
      <c r="M2210" s="11" t="s">
        <v>145</v>
      </c>
    </row>
    <row r="2211" customFormat="false" ht="15" hidden="false" customHeight="false" outlineLevel="0" collapsed="false">
      <c r="A2211" s="11" t="s">
        <v>111</v>
      </c>
      <c r="B2211" s="11" t="s">
        <v>134</v>
      </c>
      <c r="C2211" s="11" t="n">
        <v>31</v>
      </c>
      <c r="D2211" s="11" t="s">
        <v>92</v>
      </c>
      <c r="E2211" s="11" t="s">
        <v>187</v>
      </c>
      <c r="F2211" s="11" t="s">
        <v>91</v>
      </c>
      <c r="G2211" s="12" t="n">
        <v>60</v>
      </c>
      <c r="H2211" s="12" t="n">
        <f aca="false">SUMPRODUCT(ПОТОКИ!B15:G15,ЧАСОВЫЕ_ПРОФИЛИ!B21:G21,КОЭФФИЦИЕНТЫ_ВЫБОРА!F41:K41)</f>
        <v>0.297</v>
      </c>
      <c r="I2211" s="12" t="n">
        <f aca="false">SUMPRODUCT(ПОТОКИ!B15:G15,ЧАСОВЫЕ_ПРОФИЛИ!B21:G21,КОЭФФИЦИЕНТЫ_ВЫБОРА!F41:K41,ПАРАМЕТРЫ!$B$17:$G$17)</f>
        <v>0.3267</v>
      </c>
      <c r="J2211" s="12" t="n">
        <f aca="false">I2211*G2211/1000</f>
        <v>0.019602</v>
      </c>
      <c r="K2211" s="11" t="s">
        <v>217</v>
      </c>
      <c r="L2211" s="11" t="s">
        <v>19</v>
      </c>
      <c r="M2211" s="11" t="s">
        <v>145</v>
      </c>
    </row>
    <row r="2212" customFormat="false" ht="15" hidden="false" customHeight="false" outlineLevel="0" collapsed="false">
      <c r="A2212" s="11" t="s">
        <v>111</v>
      </c>
      <c r="B2212" s="11" t="s">
        <v>135</v>
      </c>
      <c r="C2212" s="11" t="n">
        <v>1</v>
      </c>
      <c r="D2212" s="11" t="s">
        <v>74</v>
      </c>
      <c r="E2212" s="11" t="s">
        <v>153</v>
      </c>
      <c r="F2212" s="11" t="s">
        <v>73</v>
      </c>
      <c r="G2212" s="12" t="n">
        <v>450</v>
      </c>
      <c r="H2212" s="12" t="n">
        <f aca="false">SUMPRODUCT(ПОТОКИ!B15:G15,ЧАСОВЫЕ_ПРОФИЛИ!B22:G22,КОЭФФИЦИЕНТЫ_ВЫБОРА!F11:K11)</f>
        <v>0.3675</v>
      </c>
      <c r="I2212" s="12" t="n">
        <f aca="false">SUMPRODUCT(ПОТОКИ!B15:G15,ЧАСОВЫЕ_ПРОФИЛИ!B22:G22,КОЭФФИЦИЕНТЫ_ВЫБОРА!F11:K11,ПАРАМЕТРЫ!$B$17:$G$17)</f>
        <v>0.40425</v>
      </c>
      <c r="J2212" s="12" t="n">
        <f aca="false">I2212*G2212/1000</f>
        <v>0.1819125</v>
      </c>
      <c r="K2212" s="11" t="s">
        <v>217</v>
      </c>
      <c r="L2212" s="11" t="s">
        <v>19</v>
      </c>
      <c r="M2212" s="11" t="s">
        <v>145</v>
      </c>
    </row>
    <row r="2213" customFormat="false" ht="15" hidden="false" customHeight="false" outlineLevel="0" collapsed="false">
      <c r="A2213" s="11" t="s">
        <v>111</v>
      </c>
      <c r="B2213" s="11" t="s">
        <v>135</v>
      </c>
      <c r="C2213" s="11" t="n">
        <v>2</v>
      </c>
      <c r="D2213" s="11" t="s">
        <v>74</v>
      </c>
      <c r="E2213" s="11" t="s">
        <v>154</v>
      </c>
      <c r="F2213" s="11" t="s">
        <v>73</v>
      </c>
      <c r="G2213" s="12" t="n">
        <v>480</v>
      </c>
      <c r="H2213" s="12" t="n">
        <f aca="false">SUMPRODUCT(ПОТОКИ!B15:G15,ЧАСОВЫЕ_ПРОФИЛИ!B22:G22,КОЭФФИЦИЕНТЫ_ВЫБОРА!F12:K12)</f>
        <v>0.6045</v>
      </c>
      <c r="I2213" s="12" t="n">
        <f aca="false">SUMPRODUCT(ПОТОКИ!B15:G15,ЧАСОВЫЕ_ПРОФИЛИ!B22:G22,КОЭФФИЦИЕНТЫ_ВЫБОРА!F12:K12,ПАРАМЕТРЫ!$B$17:$G$17)</f>
        <v>0.66495</v>
      </c>
      <c r="J2213" s="12" t="n">
        <f aca="false">I2213*G2213/1000</f>
        <v>0.319176</v>
      </c>
      <c r="K2213" s="11" t="s">
        <v>217</v>
      </c>
      <c r="L2213" s="11" t="s">
        <v>19</v>
      </c>
      <c r="M2213" s="11" t="s">
        <v>145</v>
      </c>
    </row>
    <row r="2214" customFormat="false" ht="15" hidden="false" customHeight="false" outlineLevel="0" collapsed="false">
      <c r="A2214" s="11" t="s">
        <v>111</v>
      </c>
      <c r="B2214" s="11" t="s">
        <v>135</v>
      </c>
      <c r="C2214" s="11" t="n">
        <v>3</v>
      </c>
      <c r="D2214" s="11" t="s">
        <v>74</v>
      </c>
      <c r="E2214" s="11" t="s">
        <v>155</v>
      </c>
      <c r="F2214" s="11" t="s">
        <v>73</v>
      </c>
      <c r="G2214" s="12" t="n">
        <v>500</v>
      </c>
      <c r="H2214" s="12" t="n">
        <f aca="false">SUMPRODUCT(ПОТОКИ!B15:G15,ЧАСОВЫЕ_ПРОФИЛИ!B22:G22,КОЭФФИЦИЕНТЫ_ВЫБОРА!F13:K13)</f>
        <v>0.888</v>
      </c>
      <c r="I2214" s="12" t="n">
        <f aca="false">SUMPRODUCT(ПОТОКИ!B15:G15,ЧАСОВЫЕ_ПРОФИЛИ!B22:G22,КОЭФФИЦИЕНТЫ_ВЫБОРА!F13:K13,ПАРАМЕТРЫ!$B$17:$G$17)</f>
        <v>0.9768</v>
      </c>
      <c r="J2214" s="12" t="n">
        <f aca="false">I2214*G2214/1000</f>
        <v>0.4884</v>
      </c>
      <c r="K2214" s="11" t="s">
        <v>217</v>
      </c>
      <c r="L2214" s="11" t="s">
        <v>19</v>
      </c>
      <c r="M2214" s="11" t="s">
        <v>145</v>
      </c>
    </row>
    <row r="2215" customFormat="false" ht="15" hidden="false" customHeight="false" outlineLevel="0" collapsed="false">
      <c r="A2215" s="11" t="s">
        <v>111</v>
      </c>
      <c r="B2215" s="11" t="s">
        <v>135</v>
      </c>
      <c r="C2215" s="11" t="n">
        <v>4</v>
      </c>
      <c r="D2215" s="11" t="s">
        <v>74</v>
      </c>
      <c r="E2215" s="11" t="s">
        <v>156</v>
      </c>
      <c r="F2215" s="11" t="s">
        <v>73</v>
      </c>
      <c r="G2215" s="12" t="n">
        <v>500</v>
      </c>
      <c r="H2215" s="12" t="n">
        <f aca="false">SUMPRODUCT(ПОТОКИ!B15:G15,ЧАСОВЫЕ_ПРОФИЛИ!B22:G22,КОЭФФИЦИЕНТЫ_ВЫБОРА!F14:K14)</f>
        <v>1.125</v>
      </c>
      <c r="I2215" s="12" t="n">
        <f aca="false">SUMPRODUCT(ПОТОКИ!B15:G15,ЧАСОВЫЕ_ПРОФИЛИ!B22:G22,КОЭФФИЦИЕНТЫ_ВЫБОРА!F14:K14,ПАРАМЕТРЫ!$B$17:$G$17)</f>
        <v>1.2375</v>
      </c>
      <c r="J2215" s="12" t="n">
        <f aca="false">I2215*G2215/1000</f>
        <v>0.61875</v>
      </c>
      <c r="K2215" s="11" t="s">
        <v>217</v>
      </c>
      <c r="L2215" s="11" t="s">
        <v>19</v>
      </c>
      <c r="M2215" s="11" t="s">
        <v>145</v>
      </c>
    </row>
    <row r="2216" customFormat="false" ht="15" hidden="false" customHeight="false" outlineLevel="0" collapsed="false">
      <c r="A2216" s="11" t="s">
        <v>111</v>
      </c>
      <c r="B2216" s="11" t="s">
        <v>135</v>
      </c>
      <c r="C2216" s="11" t="n">
        <v>5</v>
      </c>
      <c r="D2216" s="11" t="s">
        <v>78</v>
      </c>
      <c r="E2216" s="11" t="s">
        <v>157</v>
      </c>
      <c r="F2216" s="11" t="s">
        <v>77</v>
      </c>
      <c r="G2216" s="12" t="n">
        <v>100</v>
      </c>
      <c r="H2216" s="12" t="n">
        <f aca="false">SUMPRODUCT(ПОТОКИ!B15:G15,ЧАСОВЫЕ_ПРОФИЛИ!B22:G22,КОЭФФИЦИЕНТЫ_ВЫБОРА!F15:K15)</f>
        <v>0.6075</v>
      </c>
      <c r="I2216" s="12" t="n">
        <f aca="false">SUMPRODUCT(ПОТОКИ!B15:G15,ЧАСОВЫЕ_ПРОФИЛИ!B22:G22,КОЭФФИЦИЕНТЫ_ВЫБОРА!F15:K15,ПАРАМЕТРЫ!$B$17:$G$17)</f>
        <v>0.66825</v>
      </c>
      <c r="J2216" s="12" t="n">
        <f aca="false">I2216*G2216/1000</f>
        <v>0.066825</v>
      </c>
      <c r="K2216" s="11" t="s">
        <v>217</v>
      </c>
      <c r="L2216" s="11" t="s">
        <v>19</v>
      </c>
      <c r="M2216" s="11" t="s">
        <v>147</v>
      </c>
    </row>
    <row r="2217" customFormat="false" ht="15" hidden="false" customHeight="false" outlineLevel="0" collapsed="false">
      <c r="A2217" s="11" t="s">
        <v>111</v>
      </c>
      <c r="B2217" s="11" t="s">
        <v>135</v>
      </c>
      <c r="C2217" s="11" t="n">
        <v>6</v>
      </c>
      <c r="D2217" s="11" t="s">
        <v>78</v>
      </c>
      <c r="E2217" s="11" t="s">
        <v>158</v>
      </c>
      <c r="F2217" s="11" t="s">
        <v>77</v>
      </c>
      <c r="G2217" s="12" t="n">
        <v>100</v>
      </c>
      <c r="H2217" s="12" t="n">
        <f aca="false">SUMPRODUCT(ПОТОКИ!B15:G15,ЧАСОВЫЕ_ПРОФИЛИ!B22:G22,КОЭФФИЦИЕНТЫ_ВЫБОРА!F16:K16)</f>
        <v>0.546</v>
      </c>
      <c r="I2217" s="12" t="n">
        <f aca="false">SUMPRODUCT(ПОТОКИ!B15:G15,ЧАСОВЫЕ_ПРОФИЛИ!B22:G22,КОЭФФИЦИЕНТЫ_ВЫБОРА!F16:K16,ПАРАМЕТРЫ!$B$17:$G$17)</f>
        <v>0.6006</v>
      </c>
      <c r="J2217" s="12" t="n">
        <f aca="false">I2217*G2217/1000</f>
        <v>0.06006</v>
      </c>
      <c r="K2217" s="11" t="s">
        <v>217</v>
      </c>
      <c r="L2217" s="11" t="s">
        <v>19</v>
      </c>
      <c r="M2217" s="11" t="s">
        <v>147</v>
      </c>
    </row>
    <row r="2218" customFormat="false" ht="15" hidden="false" customHeight="false" outlineLevel="0" collapsed="false">
      <c r="A2218" s="11" t="s">
        <v>111</v>
      </c>
      <c r="B2218" s="11" t="s">
        <v>135</v>
      </c>
      <c r="C2218" s="11" t="n">
        <v>7</v>
      </c>
      <c r="D2218" s="11" t="s">
        <v>78</v>
      </c>
      <c r="E2218" s="11" t="s">
        <v>159</v>
      </c>
      <c r="F2218" s="11" t="s">
        <v>77</v>
      </c>
      <c r="G2218" s="12" t="n">
        <v>350</v>
      </c>
      <c r="H2218" s="12" t="n">
        <f aca="false">SUMPRODUCT(ПОТОКИ!B15:G15,ЧАСОВЫЕ_ПРОФИЛИ!B22:G22,КОЭФФИЦИЕНТЫ_ВЫБОРА!F17:K17)</f>
        <v>0.48825</v>
      </c>
      <c r="I2218" s="12" t="n">
        <f aca="false">SUMPRODUCT(ПОТОКИ!B15:G15,ЧАСОВЫЕ_ПРОФИЛИ!B22:G22,КОЭФФИЦИЕНТЫ_ВЫБОРА!F17:K17,ПАРАМЕТРЫ!$B$17:$G$17)</f>
        <v>0.537075</v>
      </c>
      <c r="J2218" s="12" t="n">
        <f aca="false">I2218*G2218/1000</f>
        <v>0.18797625</v>
      </c>
      <c r="K2218" s="11" t="s">
        <v>217</v>
      </c>
      <c r="L2218" s="11" t="s">
        <v>19</v>
      </c>
      <c r="M2218" s="11" t="s">
        <v>147</v>
      </c>
    </row>
    <row r="2219" customFormat="false" ht="15" hidden="false" customHeight="false" outlineLevel="0" collapsed="false">
      <c r="A2219" s="11" t="s">
        <v>111</v>
      </c>
      <c r="B2219" s="11" t="s">
        <v>135</v>
      </c>
      <c r="C2219" s="11" t="n">
        <v>8</v>
      </c>
      <c r="D2219" s="11" t="s">
        <v>78</v>
      </c>
      <c r="E2219" s="11" t="s">
        <v>160</v>
      </c>
      <c r="F2219" s="11" t="s">
        <v>77</v>
      </c>
      <c r="G2219" s="12" t="n">
        <v>85</v>
      </c>
      <c r="H2219" s="12" t="n">
        <f aca="false">SUMPRODUCT(ПОТОКИ!B15:G15,ЧАСОВЫЕ_ПРОФИЛИ!B22:G22,КОЭФФИЦИЕНТЫ_ВЫБОРА!F18:K18)</f>
        <v>0.31125</v>
      </c>
      <c r="I2219" s="12" t="n">
        <f aca="false">SUMPRODUCT(ПОТОКИ!B15:G15,ЧАСОВЫЕ_ПРОФИЛИ!B22:G22,КОЭФФИЦИЕНТЫ_ВЫБОРА!F18:K18,ПАРАМЕТРЫ!$B$17:$G$17)</f>
        <v>0.342375</v>
      </c>
      <c r="J2219" s="12" t="n">
        <f aca="false">I2219*G2219/1000</f>
        <v>0.029101875</v>
      </c>
      <c r="K2219" s="11" t="s">
        <v>217</v>
      </c>
      <c r="L2219" s="11" t="s">
        <v>19</v>
      </c>
      <c r="M2219" s="11" t="s">
        <v>147</v>
      </c>
    </row>
    <row r="2220" customFormat="false" ht="15" hidden="false" customHeight="false" outlineLevel="0" collapsed="false">
      <c r="A2220" s="11" t="s">
        <v>111</v>
      </c>
      <c r="B2220" s="11" t="s">
        <v>135</v>
      </c>
      <c r="C2220" s="11" t="n">
        <v>9</v>
      </c>
      <c r="D2220" s="11" t="s">
        <v>161</v>
      </c>
      <c r="E2220" s="11" t="s">
        <v>162</v>
      </c>
      <c r="F2220" s="11" t="s">
        <v>80</v>
      </c>
      <c r="G2220" s="12" t="n">
        <v>300</v>
      </c>
      <c r="H2220" s="12" t="n">
        <f aca="false">SUMPRODUCT(ПОТОКИ!B15:G15,ЧАСОВЫЕ_ПРОФИЛИ!B22:G22,КОЭФФИЦИЕНТЫ_ВЫБОРА!F19:K19)</f>
        <v>0.5685</v>
      </c>
      <c r="I2220" s="12" t="n">
        <f aca="false">SUMPRODUCT(ПОТОКИ!B15:G15,ЧАСОВЫЕ_ПРОФИЛИ!B22:G22,КОЭФФИЦИЕНТЫ_ВЫБОРА!F19:K19,ПАРАМЕТРЫ!$B$17:$G$17)</f>
        <v>0.62535</v>
      </c>
      <c r="J2220" s="12" t="n">
        <f aca="false">I2220*G2220/1000</f>
        <v>0.187605</v>
      </c>
      <c r="K2220" s="11" t="s">
        <v>217</v>
      </c>
      <c r="L2220" s="11" t="s">
        <v>19</v>
      </c>
      <c r="M2220" s="11" t="s">
        <v>145</v>
      </c>
    </row>
    <row r="2221" customFormat="false" ht="15" hidden="false" customHeight="false" outlineLevel="0" collapsed="false">
      <c r="A2221" s="11" t="s">
        <v>111</v>
      </c>
      <c r="B2221" s="11" t="s">
        <v>135</v>
      </c>
      <c r="C2221" s="11" t="n">
        <v>10</v>
      </c>
      <c r="D2221" s="11" t="s">
        <v>161</v>
      </c>
      <c r="E2221" s="11" t="s">
        <v>163</v>
      </c>
      <c r="F2221" s="11" t="s">
        <v>80</v>
      </c>
      <c r="G2221" s="12" t="n">
        <v>280</v>
      </c>
      <c r="H2221" s="12" t="n">
        <f aca="false">SUMPRODUCT(ПОТОКИ!B15:G15,ЧАСОВЫЕ_ПРОФИЛИ!B22:G22,КОЭФФИЦИЕНТЫ_ВЫБОРА!F20:K20)</f>
        <v>0.627</v>
      </c>
      <c r="I2221" s="12" t="n">
        <f aca="false">SUMPRODUCT(ПОТОКИ!B15:G15,ЧАСОВЫЕ_ПРОФИЛИ!B22:G22,КОЭФФИЦИЕНТЫ_ВЫБОРА!F20:K20,ПАРАМЕТРЫ!$B$17:$G$17)</f>
        <v>0.6897</v>
      </c>
      <c r="J2221" s="12" t="n">
        <f aca="false">I2221*G2221/1000</f>
        <v>0.193116</v>
      </c>
      <c r="K2221" s="11" t="s">
        <v>217</v>
      </c>
      <c r="L2221" s="11" t="s">
        <v>19</v>
      </c>
      <c r="M2221" s="11" t="s">
        <v>145</v>
      </c>
    </row>
    <row r="2222" customFormat="false" ht="15" hidden="false" customHeight="false" outlineLevel="0" collapsed="false">
      <c r="A2222" s="11" t="s">
        <v>111</v>
      </c>
      <c r="B2222" s="11" t="s">
        <v>135</v>
      </c>
      <c r="C2222" s="11" t="n">
        <v>11</v>
      </c>
      <c r="D2222" s="11" t="s">
        <v>161</v>
      </c>
      <c r="E2222" s="11" t="s">
        <v>164</v>
      </c>
      <c r="F2222" s="11" t="s">
        <v>80</v>
      </c>
      <c r="G2222" s="12" t="n">
        <v>270</v>
      </c>
      <c r="H2222" s="12" t="n">
        <f aca="false">SUMPRODUCT(ПОТОКИ!B15:G15,ЧАСОВЫЕ_ПРОФИЛИ!B22:G22,КОЭФФИЦИЕНТЫ_ВЫБОРА!F21:K21)</f>
        <v>1.014</v>
      </c>
      <c r="I2222" s="12" t="n">
        <f aca="false">SUMPRODUCT(ПОТОКИ!B15:G15,ЧАСОВЫЕ_ПРОФИЛИ!B22:G22,КОЭФФИЦИЕНТЫ_ВЫБОРА!F21:K21,ПАРАМЕТРЫ!$B$17:$G$17)</f>
        <v>1.1154</v>
      </c>
      <c r="J2222" s="12" t="n">
        <f aca="false">I2222*G2222/1000</f>
        <v>0.301158</v>
      </c>
      <c r="K2222" s="11" t="s">
        <v>217</v>
      </c>
      <c r="L2222" s="11" t="s">
        <v>19</v>
      </c>
      <c r="M2222" s="11" t="s">
        <v>145</v>
      </c>
    </row>
    <row r="2223" customFormat="false" ht="15" hidden="false" customHeight="false" outlineLevel="0" collapsed="false">
      <c r="A2223" s="11" t="s">
        <v>111</v>
      </c>
      <c r="B2223" s="11" t="s">
        <v>135</v>
      </c>
      <c r="C2223" s="11" t="n">
        <v>12</v>
      </c>
      <c r="D2223" s="11" t="s">
        <v>161</v>
      </c>
      <c r="E2223" s="11" t="s">
        <v>165</v>
      </c>
      <c r="F2223" s="11" t="s">
        <v>80</v>
      </c>
      <c r="G2223" s="12" t="n">
        <v>240</v>
      </c>
      <c r="H2223" s="12" t="n">
        <f aca="false">SUMPRODUCT(ПОТОКИ!B15:G15,ЧАСОВЫЕ_ПРОФИЛИ!B22:G22,КОЭФФИЦИЕНТЫ_ВЫБОРА!F22:K22)</f>
        <v>0.5205</v>
      </c>
      <c r="I2223" s="12" t="n">
        <f aca="false">SUMPRODUCT(ПОТОКИ!B15:G15,ЧАСОВЫЕ_ПРОФИЛИ!B22:G22,КОЭФФИЦИЕНТЫ_ВЫБОРА!F22:K22,ПАРАМЕТРЫ!$B$17:$G$17)</f>
        <v>0.57255</v>
      </c>
      <c r="J2223" s="12" t="n">
        <f aca="false">I2223*G2223/1000</f>
        <v>0.137412</v>
      </c>
      <c r="K2223" s="11" t="s">
        <v>217</v>
      </c>
      <c r="L2223" s="11" t="s">
        <v>19</v>
      </c>
      <c r="M2223" s="11" t="s">
        <v>145</v>
      </c>
    </row>
    <row r="2224" customFormat="false" ht="15" hidden="false" customHeight="false" outlineLevel="0" collapsed="false">
      <c r="A2224" s="11" t="s">
        <v>111</v>
      </c>
      <c r="B2224" s="11" t="s">
        <v>135</v>
      </c>
      <c r="C2224" s="11" t="n">
        <v>13</v>
      </c>
      <c r="D2224" s="11" t="s">
        <v>166</v>
      </c>
      <c r="E2224" s="11" t="s">
        <v>167</v>
      </c>
      <c r="F2224" s="11" t="s">
        <v>80</v>
      </c>
      <c r="G2224" s="12" t="n">
        <v>130</v>
      </c>
      <c r="H2224" s="12" t="n">
        <f aca="false">SUMPRODUCT(ПОТОКИ!B15:G15,ЧАСОВЫЕ_ПРОФИЛИ!B22:G22,КОЭФФИЦИЕНТЫ_ВЫБОРА!F23:K23)</f>
        <v>0.33</v>
      </c>
      <c r="I2224" s="12" t="n">
        <f aca="false">SUMPRODUCT(ПОТОКИ!B15:G15,ЧАСОВЫЕ_ПРОФИЛИ!B22:G22,КОЭФФИЦИЕНТЫ_ВЫБОРА!F23:K23,ПАРАМЕТРЫ!$B$17:$G$17)</f>
        <v>0.363</v>
      </c>
      <c r="J2224" s="12" t="n">
        <f aca="false">I2224*G2224/1000</f>
        <v>0.04719</v>
      </c>
      <c r="K2224" s="11" t="s">
        <v>217</v>
      </c>
      <c r="L2224" s="11" t="s">
        <v>19</v>
      </c>
      <c r="M2224" s="11" t="s">
        <v>145</v>
      </c>
    </row>
    <row r="2225" customFormat="false" ht="15" hidden="false" customHeight="false" outlineLevel="0" collapsed="false">
      <c r="A2225" s="11" t="s">
        <v>111</v>
      </c>
      <c r="B2225" s="11" t="s">
        <v>135</v>
      </c>
      <c r="C2225" s="11" t="n">
        <v>14</v>
      </c>
      <c r="D2225" s="11" t="s">
        <v>166</v>
      </c>
      <c r="E2225" s="11" t="s">
        <v>168</v>
      </c>
      <c r="F2225" s="11" t="s">
        <v>80</v>
      </c>
      <c r="G2225" s="12" t="n">
        <v>250</v>
      </c>
      <c r="H2225" s="12" t="n">
        <f aca="false">SUMPRODUCT(ПОТОКИ!B15:G15,ЧАСОВЫЕ_ПРОФИЛИ!B22:G22,КОЭФФИЦИЕНТЫ_ВЫБОРА!F24:K24)</f>
        <v>0.237</v>
      </c>
      <c r="I2225" s="12" t="n">
        <f aca="false">SUMPRODUCT(ПОТОКИ!B15:G15,ЧАСОВЫЕ_ПРОФИЛИ!B22:G22,КОЭФФИЦИЕНТЫ_ВЫБОРА!F24:K24,ПАРАМЕТРЫ!$B$17:$G$17)</f>
        <v>0.2607</v>
      </c>
      <c r="J2225" s="12" t="n">
        <f aca="false">I2225*G2225/1000</f>
        <v>0.065175</v>
      </c>
      <c r="K2225" s="11" t="s">
        <v>217</v>
      </c>
      <c r="L2225" s="11" t="s">
        <v>19</v>
      </c>
      <c r="M2225" s="11" t="s">
        <v>145</v>
      </c>
    </row>
    <row r="2226" customFormat="false" ht="15" hidden="false" customHeight="false" outlineLevel="0" collapsed="false">
      <c r="A2226" s="11" t="s">
        <v>111</v>
      </c>
      <c r="B2226" s="11" t="s">
        <v>135</v>
      </c>
      <c r="C2226" s="11" t="n">
        <v>15</v>
      </c>
      <c r="D2226" s="11" t="s">
        <v>166</v>
      </c>
      <c r="E2226" s="11" t="s">
        <v>169</v>
      </c>
      <c r="F2226" s="11" t="s">
        <v>80</v>
      </c>
      <c r="G2226" s="12" t="n">
        <v>120</v>
      </c>
      <c r="H2226" s="12" t="n">
        <f aca="false">SUMPRODUCT(ПОТОКИ!B15:G15,ЧАСОВЫЕ_ПРОФИЛИ!B22:G22,КОЭФФИЦИЕНТЫ_ВЫБОРА!F25:K25)</f>
        <v>0.192</v>
      </c>
      <c r="I2226" s="12" t="n">
        <f aca="false">SUMPRODUCT(ПОТОКИ!B15:G15,ЧАСОВЫЕ_ПРОФИЛИ!B22:G22,КОЭФФИЦИЕНТЫ_ВЫБОРА!F25:K25,ПАРАМЕТРЫ!$B$17:$G$17)</f>
        <v>0.2112</v>
      </c>
      <c r="J2226" s="12" t="n">
        <f aca="false">I2226*G2226/1000</f>
        <v>0.025344</v>
      </c>
      <c r="K2226" s="11" t="s">
        <v>217</v>
      </c>
      <c r="L2226" s="11" t="s">
        <v>19</v>
      </c>
      <c r="M2226" s="11" t="s">
        <v>145</v>
      </c>
    </row>
    <row r="2227" customFormat="false" ht="15" hidden="false" customHeight="false" outlineLevel="0" collapsed="false">
      <c r="A2227" s="11" t="s">
        <v>111</v>
      </c>
      <c r="B2227" s="11" t="s">
        <v>135</v>
      </c>
      <c r="C2227" s="11" t="n">
        <v>16</v>
      </c>
      <c r="D2227" s="11" t="s">
        <v>166</v>
      </c>
      <c r="E2227" s="11" t="s">
        <v>170</v>
      </c>
      <c r="F2227" s="11" t="s">
        <v>80</v>
      </c>
      <c r="G2227" s="12" t="n">
        <v>180</v>
      </c>
      <c r="H2227" s="12" t="n">
        <f aca="false">SUMPRODUCT(ПОТОКИ!B15:G15,ЧАСОВЫЕ_ПРОФИЛИ!B22:G22,КОЭФФИЦИЕНТЫ_ВЫБОРА!F26:K26)</f>
        <v>0.291</v>
      </c>
      <c r="I2227" s="12" t="n">
        <f aca="false">SUMPRODUCT(ПОТОКИ!B15:G15,ЧАСОВЫЕ_ПРОФИЛИ!B22:G22,КОЭФФИЦИЕНТЫ_ВЫБОРА!F26:K26,ПАРАМЕТРЫ!$B$17:$G$17)</f>
        <v>0.3201</v>
      </c>
      <c r="J2227" s="12" t="n">
        <f aca="false">I2227*G2227/1000</f>
        <v>0.057618</v>
      </c>
      <c r="K2227" s="11" t="s">
        <v>217</v>
      </c>
      <c r="L2227" s="11" t="s">
        <v>19</v>
      </c>
      <c r="M2227" s="11" t="s">
        <v>145</v>
      </c>
    </row>
    <row r="2228" customFormat="false" ht="15" hidden="false" customHeight="false" outlineLevel="0" collapsed="false">
      <c r="A2228" s="11" t="s">
        <v>111</v>
      </c>
      <c r="B2228" s="11" t="s">
        <v>135</v>
      </c>
      <c r="C2228" s="11" t="n">
        <v>17</v>
      </c>
      <c r="D2228" s="11" t="s">
        <v>166</v>
      </c>
      <c r="E2228" s="11" t="s">
        <v>171</v>
      </c>
      <c r="F2228" s="11" t="s">
        <v>80</v>
      </c>
      <c r="G2228" s="12" t="n">
        <v>180</v>
      </c>
      <c r="H2228" s="12" t="n">
        <f aca="false">SUMPRODUCT(ПОТОКИ!B15:G15,ЧАСОВЫЕ_ПРОФИЛИ!B22:G22,КОЭФФИЦИЕНТЫ_ВЫБОРА!F27:K27)</f>
        <v>0.33</v>
      </c>
      <c r="I2228" s="12" t="n">
        <f aca="false">SUMPRODUCT(ПОТОКИ!B15:G15,ЧАСОВЫЕ_ПРОФИЛИ!B22:G22,КОЭФФИЦИЕНТЫ_ВЫБОРА!F27:K27,ПАРАМЕТРЫ!$B$17:$G$17)</f>
        <v>0.363</v>
      </c>
      <c r="J2228" s="12" t="n">
        <f aca="false">I2228*G2228/1000</f>
        <v>0.06534</v>
      </c>
      <c r="K2228" s="11" t="s">
        <v>217</v>
      </c>
      <c r="L2228" s="11" t="s">
        <v>19</v>
      </c>
      <c r="M2228" s="11" t="s">
        <v>145</v>
      </c>
    </row>
    <row r="2229" customFormat="false" ht="15" hidden="false" customHeight="false" outlineLevel="0" collapsed="false">
      <c r="A2229" s="11" t="s">
        <v>111</v>
      </c>
      <c r="B2229" s="11" t="s">
        <v>135</v>
      </c>
      <c r="C2229" s="11" t="n">
        <v>18</v>
      </c>
      <c r="D2229" s="11" t="s">
        <v>172</v>
      </c>
      <c r="E2229" s="11" t="s">
        <v>173</v>
      </c>
      <c r="F2229" s="11" t="s">
        <v>83</v>
      </c>
      <c r="G2229" s="12" t="n">
        <v>400</v>
      </c>
      <c r="H2229" s="12" t="n">
        <f aca="false">SUMPRODUCT(ПОТОКИ!B15:G15,ЧАСОВЫЕ_ПРОФИЛИ!B22:G22,КОЭФФИЦИЕНТЫ_ВЫБОРА!F28:K28)</f>
        <v>0.54</v>
      </c>
      <c r="I2229" s="12" t="n">
        <f aca="false">SUMPRODUCT(ПОТОКИ!B15:G15,ЧАСОВЫЕ_ПРОФИЛИ!B22:G22,КОЭФФИЦИЕНТЫ_ВЫБОРА!F28:K28,ПАРАМЕТРЫ!$B$17:$G$17)</f>
        <v>0.594</v>
      </c>
      <c r="J2229" s="12" t="n">
        <f aca="false">I2229*G2229/1000</f>
        <v>0.2376</v>
      </c>
      <c r="K2229" s="11" t="s">
        <v>217</v>
      </c>
      <c r="L2229" s="11" t="s">
        <v>19</v>
      </c>
      <c r="M2229" s="11" t="s">
        <v>145</v>
      </c>
    </row>
    <row r="2230" customFormat="false" ht="23.85" hidden="false" customHeight="false" outlineLevel="0" collapsed="false">
      <c r="A2230" s="11" t="s">
        <v>111</v>
      </c>
      <c r="B2230" s="11" t="s">
        <v>135</v>
      </c>
      <c r="C2230" s="11" t="n">
        <v>19</v>
      </c>
      <c r="D2230" s="11" t="s">
        <v>174</v>
      </c>
      <c r="E2230" s="11" t="s">
        <v>175</v>
      </c>
      <c r="F2230" s="11" t="s">
        <v>83</v>
      </c>
      <c r="G2230" s="12" t="n">
        <v>300</v>
      </c>
      <c r="H2230" s="12" t="n">
        <f aca="false">SUMPRODUCT(ПОТОКИ!B15:G15,ЧАСОВЫЕ_ПРОФИЛИ!B22:G22,КОЭФФИЦИЕНТЫ_ВЫБОРА!F29:K29)</f>
        <v>1.572</v>
      </c>
      <c r="I2230" s="12" t="n">
        <f aca="false">SUMPRODUCT(ПОТОКИ!B15:G15,ЧАСОВЫЕ_ПРОФИЛИ!B22:G22,КОЭФФИЦИЕНТЫ_ВЫБОРА!F29:K29,ПАРАМЕТРЫ!$B$17:$G$17)</f>
        <v>1.7292</v>
      </c>
      <c r="J2230" s="12" t="n">
        <f aca="false">I2230*G2230/1000</f>
        <v>0.51876</v>
      </c>
      <c r="K2230" s="11" t="s">
        <v>217</v>
      </c>
      <c r="L2230" s="11" t="s">
        <v>19</v>
      </c>
      <c r="M2230" s="11" t="s">
        <v>145</v>
      </c>
    </row>
    <row r="2231" customFormat="false" ht="15" hidden="false" customHeight="false" outlineLevel="0" collapsed="false">
      <c r="A2231" s="11" t="s">
        <v>111</v>
      </c>
      <c r="B2231" s="11" t="s">
        <v>135</v>
      </c>
      <c r="C2231" s="11" t="n">
        <v>20</v>
      </c>
      <c r="D2231" s="11" t="s">
        <v>174</v>
      </c>
      <c r="E2231" s="11" t="s">
        <v>176</v>
      </c>
      <c r="F2231" s="11" t="s">
        <v>83</v>
      </c>
      <c r="G2231" s="12" t="n">
        <v>360</v>
      </c>
      <c r="H2231" s="12" t="n">
        <f aca="false">SUMPRODUCT(ПОТОКИ!B15:G15,ЧАСОВЫЕ_ПРОФИЛИ!B22:G22,КОЭФФИЦИЕНТЫ_ВЫБОРА!F30:K30)</f>
        <v>1.347</v>
      </c>
      <c r="I2231" s="12" t="n">
        <f aca="false">SUMPRODUCT(ПОТОКИ!B15:G15,ЧАСОВЫЕ_ПРОФИЛИ!B22:G22,КОЭФФИЦИЕНТЫ_ВЫБОРА!F30:K30,ПАРАМЕТРЫ!$B$17:$G$17)</f>
        <v>1.4817</v>
      </c>
      <c r="J2231" s="12" t="n">
        <f aca="false">I2231*G2231/1000</f>
        <v>0.533412</v>
      </c>
      <c r="K2231" s="11" t="s">
        <v>217</v>
      </c>
      <c r="L2231" s="11" t="s">
        <v>19</v>
      </c>
      <c r="M2231" s="11" t="s">
        <v>145</v>
      </c>
    </row>
    <row r="2232" customFormat="false" ht="15" hidden="false" customHeight="false" outlineLevel="0" collapsed="false">
      <c r="A2232" s="11" t="s">
        <v>111</v>
      </c>
      <c r="B2232" s="11" t="s">
        <v>135</v>
      </c>
      <c r="C2232" s="11" t="n">
        <v>21</v>
      </c>
      <c r="D2232" s="11" t="s">
        <v>174</v>
      </c>
      <c r="E2232" s="11" t="s">
        <v>177</v>
      </c>
      <c r="F2232" s="11" t="s">
        <v>83</v>
      </c>
      <c r="G2232" s="12" t="n">
        <v>350</v>
      </c>
      <c r="H2232" s="12" t="n">
        <f aca="false">SUMPRODUCT(ПОТОКИ!B15:G15,ЧАСОВЫЕ_ПРОФИЛИ!B22:G22,КОЭФФИЦИЕНТЫ_ВЫБОРА!F31:K31)</f>
        <v>1.99575</v>
      </c>
      <c r="I2232" s="12" t="n">
        <f aca="false">SUMPRODUCT(ПОТОКИ!B15:G15,ЧАСОВЫЕ_ПРОФИЛИ!B22:G22,КОЭФФИЦИЕНТЫ_ВЫБОРА!F31:K31,ПАРАМЕТРЫ!$B$17:$G$17)</f>
        <v>2.195325</v>
      </c>
      <c r="J2232" s="12" t="n">
        <f aca="false">I2232*G2232/1000</f>
        <v>0.76836375</v>
      </c>
      <c r="K2232" s="11" t="s">
        <v>217</v>
      </c>
      <c r="L2232" s="11" t="s">
        <v>19</v>
      </c>
      <c r="M2232" s="11" t="s">
        <v>145</v>
      </c>
    </row>
    <row r="2233" customFormat="false" ht="15" hidden="false" customHeight="false" outlineLevel="0" collapsed="false">
      <c r="A2233" s="11" t="s">
        <v>111</v>
      </c>
      <c r="B2233" s="11" t="s">
        <v>135</v>
      </c>
      <c r="C2233" s="11" t="n">
        <v>22</v>
      </c>
      <c r="D2233" s="11" t="s">
        <v>174</v>
      </c>
      <c r="E2233" s="11" t="s">
        <v>178</v>
      </c>
      <c r="F2233" s="11" t="s">
        <v>83</v>
      </c>
      <c r="G2233" s="12" t="n">
        <v>300</v>
      </c>
      <c r="H2233" s="12" t="n">
        <f aca="false">SUMPRODUCT(ПОТОКИ!B15:G15,ЧАСОВЫЕ_ПРОФИЛИ!B22:G22,КОЭФФИЦИЕНТЫ_ВЫБОРА!F32:K32)</f>
        <v>1.43025</v>
      </c>
      <c r="I2233" s="12" t="n">
        <f aca="false">SUMPRODUCT(ПОТОКИ!B15:G15,ЧАСОВЫЕ_ПРОФИЛИ!B22:G22,КОЭФФИЦИЕНТЫ_ВЫБОРА!F32:K32,ПАРАМЕТРЫ!$B$17:$G$17)</f>
        <v>1.573275</v>
      </c>
      <c r="J2233" s="12" t="n">
        <f aca="false">I2233*G2233/1000</f>
        <v>0.4719825</v>
      </c>
      <c r="K2233" s="11" t="s">
        <v>217</v>
      </c>
      <c r="L2233" s="11" t="s">
        <v>19</v>
      </c>
      <c r="M2233" s="11" t="s">
        <v>145</v>
      </c>
    </row>
    <row r="2234" customFormat="false" ht="15" hidden="false" customHeight="false" outlineLevel="0" collapsed="false">
      <c r="A2234" s="11" t="s">
        <v>111</v>
      </c>
      <c r="B2234" s="11" t="s">
        <v>135</v>
      </c>
      <c r="C2234" s="11" t="n">
        <v>23</v>
      </c>
      <c r="D2234" s="11" t="s">
        <v>86</v>
      </c>
      <c r="E2234" s="11" t="s">
        <v>179</v>
      </c>
      <c r="F2234" s="11" t="s">
        <v>85</v>
      </c>
      <c r="G2234" s="12" t="n">
        <v>150</v>
      </c>
      <c r="H2234" s="12" t="n">
        <f aca="false">SUMPRODUCT(ПОТОКИ!B15:G15,ЧАСОВЫЕ_ПРОФИЛИ!B22:G22,КОЭФФИЦИЕНТЫ_ВЫБОРА!F33:K33)</f>
        <v>1.18756125</v>
      </c>
      <c r="I2234" s="12" t="n">
        <f aca="false">SUMPRODUCT(ПОТОКИ!B15:G15,ЧАСОВЫЕ_ПРОФИЛИ!B22:G22,КОЭФФИЦИЕНТЫ_ВЫБОРА!F33:K33,ПАРАМЕТРЫ!$B$17:$G$17)</f>
        <v>1.306317375</v>
      </c>
      <c r="J2234" s="12" t="n">
        <f aca="false">I2234*G2234/1000</f>
        <v>0.19594760625</v>
      </c>
      <c r="K2234" s="11" t="s">
        <v>217</v>
      </c>
      <c r="L2234" s="11" t="s">
        <v>19</v>
      </c>
      <c r="M2234" s="11" t="s">
        <v>147</v>
      </c>
    </row>
    <row r="2235" customFormat="false" ht="15" hidden="false" customHeight="false" outlineLevel="0" collapsed="false">
      <c r="A2235" s="11" t="s">
        <v>111</v>
      </c>
      <c r="B2235" s="11" t="s">
        <v>135</v>
      </c>
      <c r="C2235" s="11" t="n">
        <v>24</v>
      </c>
      <c r="D2235" s="11" t="s">
        <v>86</v>
      </c>
      <c r="E2235" s="11" t="s">
        <v>180</v>
      </c>
      <c r="F2235" s="11" t="s">
        <v>85</v>
      </c>
      <c r="G2235" s="12" t="n">
        <v>150</v>
      </c>
      <c r="H2235" s="12" t="n">
        <f aca="false">SUMPRODUCT(ПОТОКИ!B15:G15,ЧАСОВЫЕ_ПРОФИЛИ!B22:G22,КОЭФФИЦИЕНТЫ_ВЫБОРА!F34:K34)</f>
        <v>0.618165</v>
      </c>
      <c r="I2235" s="12" t="n">
        <f aca="false">SUMPRODUCT(ПОТОКИ!B15:G15,ЧАСОВЫЕ_ПРОФИЛИ!B22:G22,КОЭФФИЦИЕНТЫ_ВЫБОРА!F34:K34,ПАРАМЕТРЫ!$B$17:$G$17)</f>
        <v>0.6799815</v>
      </c>
      <c r="J2235" s="12" t="n">
        <f aca="false">I2235*G2235/1000</f>
        <v>0.101997225</v>
      </c>
      <c r="K2235" s="11" t="s">
        <v>217</v>
      </c>
      <c r="L2235" s="11" t="s">
        <v>19</v>
      </c>
      <c r="M2235" s="11" t="s">
        <v>147</v>
      </c>
    </row>
    <row r="2236" customFormat="false" ht="15" hidden="false" customHeight="false" outlineLevel="0" collapsed="false">
      <c r="A2236" s="11" t="s">
        <v>111</v>
      </c>
      <c r="B2236" s="11" t="s">
        <v>135</v>
      </c>
      <c r="C2236" s="11" t="n">
        <v>25</v>
      </c>
      <c r="D2236" s="11" t="s">
        <v>86</v>
      </c>
      <c r="E2236" s="11" t="s">
        <v>181</v>
      </c>
      <c r="F2236" s="11" t="s">
        <v>85</v>
      </c>
      <c r="G2236" s="12" t="n">
        <v>150</v>
      </c>
      <c r="H2236" s="12" t="n">
        <f aca="false">SUMPRODUCT(ПОТОКИ!B15:G15,ЧАСОВЫЕ_ПРОФИЛИ!B22:G22,КОЭФФИЦИЕНТЫ_ВЫБОРА!F35:K35)</f>
        <v>1.28509875</v>
      </c>
      <c r="I2236" s="12" t="n">
        <f aca="false">SUMPRODUCT(ПОТОКИ!B15:G15,ЧАСОВЫЕ_ПРОФИЛИ!B22:G22,КОЭФФИЦИЕНТЫ_ВЫБОРА!F35:K35,ПАРАМЕТРЫ!$B$17:$G$17)</f>
        <v>1.413608625</v>
      </c>
      <c r="J2236" s="12" t="n">
        <f aca="false">I2236*G2236/1000</f>
        <v>0.21204129375</v>
      </c>
      <c r="K2236" s="11" t="s">
        <v>217</v>
      </c>
      <c r="L2236" s="11" t="s">
        <v>19</v>
      </c>
      <c r="M2236" s="11" t="s">
        <v>147</v>
      </c>
    </row>
    <row r="2237" customFormat="false" ht="23.85" hidden="false" customHeight="false" outlineLevel="0" collapsed="false">
      <c r="A2237" s="11" t="s">
        <v>111</v>
      </c>
      <c r="B2237" s="11" t="s">
        <v>135</v>
      </c>
      <c r="C2237" s="11" t="n">
        <v>26</v>
      </c>
      <c r="D2237" s="11" t="s">
        <v>89</v>
      </c>
      <c r="E2237" s="11" t="s">
        <v>182</v>
      </c>
      <c r="F2237" s="11" t="s">
        <v>88</v>
      </c>
      <c r="G2237" s="12" t="n">
        <v>225</v>
      </c>
      <c r="H2237" s="12" t="n">
        <f aca="false">SUMPRODUCT(ПОТОКИ!B15:G15,ЧАСОВЫЕ_ПРОФИЛИ!B22:G22,КОЭФФИЦИЕНТЫ_ВЫБОРА!F36:K36)</f>
        <v>0</v>
      </c>
      <c r="I2237" s="12" t="n">
        <f aca="false">SUMPRODUCT(ПОТОКИ!B15:G15,ЧАСОВЫЕ_ПРОФИЛИ!B22:G22,КОЭФФИЦИЕНТЫ_ВЫБОРА!F36:K36,ПАРАМЕТРЫ!$B$17:$G$17)</f>
        <v>0</v>
      </c>
      <c r="J2237" s="12" t="n">
        <f aca="false">I2237*G2237/1000</f>
        <v>0</v>
      </c>
      <c r="K2237" s="11" t="s">
        <v>217</v>
      </c>
      <c r="L2237" s="11" t="s">
        <v>19</v>
      </c>
      <c r="M2237" s="11" t="s">
        <v>145</v>
      </c>
    </row>
    <row r="2238" customFormat="false" ht="23.85" hidden="false" customHeight="false" outlineLevel="0" collapsed="false">
      <c r="A2238" s="11" t="s">
        <v>111</v>
      </c>
      <c r="B2238" s="11" t="s">
        <v>135</v>
      </c>
      <c r="C2238" s="11" t="n">
        <v>27</v>
      </c>
      <c r="D2238" s="11" t="s">
        <v>89</v>
      </c>
      <c r="E2238" s="11" t="s">
        <v>183</v>
      </c>
      <c r="F2238" s="11" t="s">
        <v>88</v>
      </c>
      <c r="G2238" s="12" t="n">
        <v>265</v>
      </c>
      <c r="H2238" s="12" t="n">
        <f aca="false">SUMPRODUCT(ПОТОКИ!B15:G15,ЧАСОВЫЕ_ПРОФИЛИ!B22:G22,КОЭФФИЦИЕНТЫ_ВЫБОРА!F37:K37)</f>
        <v>0</v>
      </c>
      <c r="I2238" s="12" t="n">
        <f aca="false">SUMPRODUCT(ПОТОКИ!B15:G15,ЧАСОВЫЕ_ПРОФИЛИ!B22:G22,КОЭФФИЦИЕНТЫ_ВЫБОРА!F37:K37,ПАРАМЕТРЫ!$B$17:$G$17)</f>
        <v>0</v>
      </c>
      <c r="J2238" s="12" t="n">
        <f aca="false">I2238*G2238/1000</f>
        <v>0</v>
      </c>
      <c r="K2238" s="11" t="s">
        <v>217</v>
      </c>
      <c r="L2238" s="11" t="s">
        <v>19</v>
      </c>
      <c r="M2238" s="11" t="s">
        <v>145</v>
      </c>
    </row>
    <row r="2239" customFormat="false" ht="23.85" hidden="false" customHeight="false" outlineLevel="0" collapsed="false">
      <c r="A2239" s="11" t="s">
        <v>111</v>
      </c>
      <c r="B2239" s="11" t="s">
        <v>135</v>
      </c>
      <c r="C2239" s="11" t="n">
        <v>28</v>
      </c>
      <c r="D2239" s="11" t="s">
        <v>89</v>
      </c>
      <c r="E2239" s="11" t="s">
        <v>184</v>
      </c>
      <c r="F2239" s="11" t="s">
        <v>88</v>
      </c>
      <c r="G2239" s="12" t="n">
        <v>355</v>
      </c>
      <c r="H2239" s="12" t="n">
        <f aca="false">SUMPRODUCT(ПОТОКИ!B15:G15,ЧАСОВЫЕ_ПРОФИЛИ!B22:G22,КОЭФФИЦИЕНТЫ_ВЫБОРА!F38:K38)</f>
        <v>0</v>
      </c>
      <c r="I2239" s="12" t="n">
        <f aca="false">SUMPRODUCT(ПОТОКИ!B15:G15,ЧАСОВЫЕ_ПРОФИЛИ!B22:G22,КОЭФФИЦИЕНТЫ_ВЫБОРА!F38:K38,ПАРАМЕТРЫ!$B$17:$G$17)</f>
        <v>0</v>
      </c>
      <c r="J2239" s="12" t="n">
        <f aca="false">I2239*G2239/1000</f>
        <v>0</v>
      </c>
      <c r="K2239" s="11" t="s">
        <v>217</v>
      </c>
      <c r="L2239" s="11" t="s">
        <v>19</v>
      </c>
      <c r="M2239" s="11" t="s">
        <v>145</v>
      </c>
    </row>
    <row r="2240" customFormat="false" ht="15" hidden="false" customHeight="false" outlineLevel="0" collapsed="false">
      <c r="A2240" s="11" t="s">
        <v>111</v>
      </c>
      <c r="B2240" s="11" t="s">
        <v>135</v>
      </c>
      <c r="C2240" s="11" t="n">
        <v>29</v>
      </c>
      <c r="D2240" s="11" t="s">
        <v>92</v>
      </c>
      <c r="E2240" s="11" t="s">
        <v>185</v>
      </c>
      <c r="F2240" s="11" t="s">
        <v>91</v>
      </c>
      <c r="G2240" s="12" t="n">
        <v>150</v>
      </c>
      <c r="H2240" s="12" t="n">
        <f aca="false">SUMPRODUCT(ПОТОКИ!B15:G15,ЧАСОВЫЕ_ПРОФИЛИ!B22:G22,КОЭФФИЦИЕНТЫ_ВЫБОРА!F39:K39)</f>
        <v>0.468</v>
      </c>
      <c r="I2240" s="12" t="n">
        <f aca="false">SUMPRODUCT(ПОТОКИ!B15:G15,ЧАСОВЫЕ_ПРОФИЛИ!B22:G22,КОЭФФИЦИЕНТЫ_ВЫБОРА!F39:K39,ПАРАМЕТРЫ!$B$17:$G$17)</f>
        <v>0.5148</v>
      </c>
      <c r="J2240" s="12" t="n">
        <f aca="false">I2240*G2240/1000</f>
        <v>0.07722</v>
      </c>
      <c r="K2240" s="11" t="s">
        <v>217</v>
      </c>
      <c r="L2240" s="11" t="s">
        <v>19</v>
      </c>
      <c r="M2240" s="11" t="s">
        <v>145</v>
      </c>
    </row>
    <row r="2241" customFormat="false" ht="15" hidden="false" customHeight="false" outlineLevel="0" collapsed="false">
      <c r="A2241" s="11" t="s">
        <v>111</v>
      </c>
      <c r="B2241" s="11" t="s">
        <v>135</v>
      </c>
      <c r="C2241" s="11" t="n">
        <v>30</v>
      </c>
      <c r="D2241" s="11" t="s">
        <v>92</v>
      </c>
      <c r="E2241" s="11" t="s">
        <v>186</v>
      </c>
      <c r="F2241" s="11" t="s">
        <v>91</v>
      </c>
      <c r="G2241" s="12" t="n">
        <v>120</v>
      </c>
      <c r="H2241" s="12" t="n">
        <f aca="false">SUMPRODUCT(ПОТОКИ!B15:G15,ЧАСОВЫЕ_ПРОФИЛИ!B22:G22,КОЭФФИЦИЕНТЫ_ВЫБОРА!F40:K40)</f>
        <v>0.618</v>
      </c>
      <c r="I2241" s="12" t="n">
        <f aca="false">SUMPRODUCT(ПОТОКИ!B15:G15,ЧАСОВЫЕ_ПРОФИЛИ!B22:G22,КОЭФФИЦИЕНТЫ_ВЫБОРА!F40:K40,ПАРАМЕТРЫ!$B$17:$G$17)</f>
        <v>0.6798</v>
      </c>
      <c r="J2241" s="12" t="n">
        <f aca="false">I2241*G2241/1000</f>
        <v>0.081576</v>
      </c>
      <c r="K2241" s="11" t="s">
        <v>217</v>
      </c>
      <c r="L2241" s="11" t="s">
        <v>19</v>
      </c>
      <c r="M2241" s="11" t="s">
        <v>145</v>
      </c>
    </row>
    <row r="2242" customFormat="false" ht="15" hidden="false" customHeight="false" outlineLevel="0" collapsed="false">
      <c r="A2242" s="11" t="s">
        <v>111</v>
      </c>
      <c r="B2242" s="11" t="s">
        <v>135</v>
      </c>
      <c r="C2242" s="11" t="n">
        <v>31</v>
      </c>
      <c r="D2242" s="11" t="s">
        <v>92</v>
      </c>
      <c r="E2242" s="11" t="s">
        <v>187</v>
      </c>
      <c r="F2242" s="11" t="s">
        <v>91</v>
      </c>
      <c r="G2242" s="12" t="n">
        <v>60</v>
      </c>
      <c r="H2242" s="12" t="n">
        <f aca="false">SUMPRODUCT(ПОТОКИ!B15:G15,ЧАСОВЫЕ_ПРОФИЛИ!B22:G22,КОЭФФИЦИЕНТЫ_ВЫБОРА!F41:K41)</f>
        <v>0.354</v>
      </c>
      <c r="I2242" s="12" t="n">
        <f aca="false">SUMPRODUCT(ПОТОКИ!B15:G15,ЧАСОВЫЕ_ПРОФИЛИ!B22:G22,КОЭФФИЦИЕНТЫ_ВЫБОРА!F41:K41,ПАРАМЕТРЫ!$B$17:$G$17)</f>
        <v>0.3894</v>
      </c>
      <c r="J2242" s="12" t="n">
        <f aca="false">I2242*G2242/1000</f>
        <v>0.023364</v>
      </c>
      <c r="K2242" s="11" t="s">
        <v>217</v>
      </c>
      <c r="L2242" s="11" t="s">
        <v>19</v>
      </c>
      <c r="M2242" s="11" t="s">
        <v>145</v>
      </c>
    </row>
    <row r="2243" customFormat="false" ht="15" hidden="false" customHeight="false" outlineLevel="0" collapsed="false">
      <c r="A2243" s="11" t="s">
        <v>111</v>
      </c>
      <c r="B2243" s="11" t="s">
        <v>136</v>
      </c>
      <c r="C2243" s="11" t="n">
        <v>1</v>
      </c>
      <c r="D2243" s="11" t="s">
        <v>74</v>
      </c>
      <c r="E2243" s="11" t="s">
        <v>153</v>
      </c>
      <c r="F2243" s="11" t="s">
        <v>73</v>
      </c>
      <c r="G2243" s="12" t="n">
        <v>450</v>
      </c>
      <c r="H2243" s="12" t="n">
        <f aca="false">SUMPRODUCT(ПОТОКИ!B15:G15,ЧАСОВЫЕ_ПРОФИЛИ!B23:G23,КОЭФФИЦИЕНТЫ_ВЫБОРА!F11:K11)</f>
        <v>0.4685</v>
      </c>
      <c r="I2243" s="12" t="n">
        <f aca="false">SUMPRODUCT(ПОТОКИ!B15:G15,ЧАСОВЫЕ_ПРОФИЛИ!B23:G23,КОЭФФИЦИЕНТЫ_ВЫБОРА!F11:K11,ПАРАМЕТРЫ!$B$17:$G$17)</f>
        <v>0.51535</v>
      </c>
      <c r="J2243" s="12" t="n">
        <f aca="false">I2243*G2243/1000</f>
        <v>0.2319075</v>
      </c>
      <c r="K2243" s="11" t="s">
        <v>217</v>
      </c>
      <c r="L2243" s="11" t="s">
        <v>19</v>
      </c>
      <c r="M2243" s="11" t="s">
        <v>145</v>
      </c>
    </row>
    <row r="2244" customFormat="false" ht="15" hidden="false" customHeight="false" outlineLevel="0" collapsed="false">
      <c r="A2244" s="11" t="s">
        <v>111</v>
      </c>
      <c r="B2244" s="11" t="s">
        <v>136</v>
      </c>
      <c r="C2244" s="11" t="n">
        <v>2</v>
      </c>
      <c r="D2244" s="11" t="s">
        <v>74</v>
      </c>
      <c r="E2244" s="11" t="s">
        <v>154</v>
      </c>
      <c r="F2244" s="11" t="s">
        <v>73</v>
      </c>
      <c r="G2244" s="12" t="n">
        <v>480</v>
      </c>
      <c r="H2244" s="12" t="n">
        <f aca="false">SUMPRODUCT(ПОТОКИ!B15:G15,ЧАСОВЫЕ_ПРОФИЛИ!B23:G23,КОЭФФИЦИЕНТЫ_ВЫБОРА!F12:K12)</f>
        <v>0.7555</v>
      </c>
      <c r="I2244" s="12" t="n">
        <f aca="false">SUMPRODUCT(ПОТОКИ!B15:G15,ЧАСОВЫЕ_ПРОФИЛИ!B23:G23,КОЭФФИЦИЕНТЫ_ВЫБОРА!F12:K12,ПАРАМЕТРЫ!$B$17:$G$17)</f>
        <v>0.83105</v>
      </c>
      <c r="J2244" s="12" t="n">
        <f aca="false">I2244*G2244/1000</f>
        <v>0.398904</v>
      </c>
      <c r="K2244" s="11" t="s">
        <v>217</v>
      </c>
      <c r="L2244" s="11" t="s">
        <v>19</v>
      </c>
      <c r="M2244" s="11" t="s">
        <v>145</v>
      </c>
    </row>
    <row r="2245" customFormat="false" ht="15" hidden="false" customHeight="false" outlineLevel="0" collapsed="false">
      <c r="A2245" s="11" t="s">
        <v>111</v>
      </c>
      <c r="B2245" s="11" t="s">
        <v>136</v>
      </c>
      <c r="C2245" s="11" t="n">
        <v>3</v>
      </c>
      <c r="D2245" s="11" t="s">
        <v>74</v>
      </c>
      <c r="E2245" s="11" t="s">
        <v>155</v>
      </c>
      <c r="F2245" s="11" t="s">
        <v>73</v>
      </c>
      <c r="G2245" s="12" t="n">
        <v>500</v>
      </c>
      <c r="H2245" s="12" t="n">
        <f aca="false">SUMPRODUCT(ПОТОКИ!B15:G15,ЧАСОВЫЕ_ПРОФИЛИ!B23:G23,КОЭФФИЦИЕНТЫ_ВЫБОРА!F13:K13)</f>
        <v>1.102</v>
      </c>
      <c r="I2245" s="12" t="n">
        <f aca="false">SUMPRODUCT(ПОТОКИ!B15:G15,ЧАСОВЫЕ_ПРОФИЛИ!B23:G23,КОЭФФИЦИЕНТЫ_ВЫБОРА!F13:K13,ПАРАМЕТРЫ!$B$17:$G$17)</f>
        <v>1.2122</v>
      </c>
      <c r="J2245" s="12" t="n">
        <f aca="false">I2245*G2245/1000</f>
        <v>0.6061</v>
      </c>
      <c r="K2245" s="11" t="s">
        <v>217</v>
      </c>
      <c r="L2245" s="11" t="s">
        <v>19</v>
      </c>
      <c r="M2245" s="11" t="s">
        <v>145</v>
      </c>
    </row>
    <row r="2246" customFormat="false" ht="15" hidden="false" customHeight="false" outlineLevel="0" collapsed="false">
      <c r="A2246" s="11" t="s">
        <v>111</v>
      </c>
      <c r="B2246" s="11" t="s">
        <v>136</v>
      </c>
      <c r="C2246" s="11" t="n">
        <v>4</v>
      </c>
      <c r="D2246" s="11" t="s">
        <v>74</v>
      </c>
      <c r="E2246" s="11" t="s">
        <v>156</v>
      </c>
      <c r="F2246" s="11" t="s">
        <v>73</v>
      </c>
      <c r="G2246" s="12" t="n">
        <v>500</v>
      </c>
      <c r="H2246" s="12" t="n">
        <f aca="false">SUMPRODUCT(ПОТОКИ!B15:G15,ЧАСОВЫЕ_ПРОФИЛИ!B23:G23,КОЭФФИЦИЕНТЫ_ВЫБОРА!F14:K14)</f>
        <v>1.389</v>
      </c>
      <c r="I2246" s="12" t="n">
        <f aca="false">SUMPRODUCT(ПОТОКИ!B15:G15,ЧАСОВЫЕ_ПРОФИЛИ!B23:G23,КОЭФФИЦИЕНТЫ_ВЫБОРА!F14:K14,ПАРАМЕТРЫ!$B$17:$G$17)</f>
        <v>1.5279</v>
      </c>
      <c r="J2246" s="12" t="n">
        <f aca="false">I2246*G2246/1000</f>
        <v>0.76395</v>
      </c>
      <c r="K2246" s="11" t="s">
        <v>217</v>
      </c>
      <c r="L2246" s="11" t="s">
        <v>19</v>
      </c>
      <c r="M2246" s="11" t="s">
        <v>145</v>
      </c>
    </row>
    <row r="2247" customFormat="false" ht="15" hidden="false" customHeight="false" outlineLevel="0" collapsed="false">
      <c r="A2247" s="11" t="s">
        <v>111</v>
      </c>
      <c r="B2247" s="11" t="s">
        <v>136</v>
      </c>
      <c r="C2247" s="11" t="n">
        <v>5</v>
      </c>
      <c r="D2247" s="11" t="s">
        <v>78</v>
      </c>
      <c r="E2247" s="11" t="s">
        <v>157</v>
      </c>
      <c r="F2247" s="11" t="s">
        <v>77</v>
      </c>
      <c r="G2247" s="12" t="n">
        <v>100</v>
      </c>
      <c r="H2247" s="12" t="n">
        <f aca="false">SUMPRODUCT(ПОТОКИ!B15:G15,ЧАСОВЫЕ_ПРОФИЛИ!B23:G23,КОЭФФИЦИЕНТЫ_ВЫБОРА!F15:K15)</f>
        <v>0.6825</v>
      </c>
      <c r="I2247" s="12" t="n">
        <f aca="false">SUMPRODUCT(ПОТОКИ!B15:G15,ЧАСОВЫЕ_ПРОФИЛИ!B23:G23,КОЭФФИЦИЕНТЫ_ВЫБОРА!F15:K15,ПАРАМЕТРЫ!$B$17:$G$17)</f>
        <v>0.75075</v>
      </c>
      <c r="J2247" s="12" t="n">
        <f aca="false">I2247*G2247/1000</f>
        <v>0.075075</v>
      </c>
      <c r="K2247" s="11" t="s">
        <v>217</v>
      </c>
      <c r="L2247" s="11" t="s">
        <v>19</v>
      </c>
      <c r="M2247" s="11" t="s">
        <v>147</v>
      </c>
    </row>
    <row r="2248" customFormat="false" ht="15" hidden="false" customHeight="false" outlineLevel="0" collapsed="false">
      <c r="A2248" s="11" t="s">
        <v>111</v>
      </c>
      <c r="B2248" s="11" t="s">
        <v>136</v>
      </c>
      <c r="C2248" s="11" t="n">
        <v>6</v>
      </c>
      <c r="D2248" s="11" t="s">
        <v>78</v>
      </c>
      <c r="E2248" s="11" t="s">
        <v>158</v>
      </c>
      <c r="F2248" s="11" t="s">
        <v>77</v>
      </c>
      <c r="G2248" s="12" t="n">
        <v>100</v>
      </c>
      <c r="H2248" s="12" t="n">
        <f aca="false">SUMPRODUCT(ПОТОКИ!B15:G15,ЧАСОВЫЕ_ПРОФИЛИ!B23:G23,КОЭФФИЦИЕНТЫ_ВЫБОРА!F16:K16)</f>
        <v>0.598</v>
      </c>
      <c r="I2248" s="12" t="n">
        <f aca="false">SUMPRODUCT(ПОТОКИ!B15:G15,ЧАСОВЫЕ_ПРОФИЛИ!B23:G23,КОЭФФИЦИЕНТЫ_ВЫБОРА!F16:K16,ПАРАМЕТРЫ!$B$17:$G$17)</f>
        <v>0.6578</v>
      </c>
      <c r="J2248" s="12" t="n">
        <f aca="false">I2248*G2248/1000</f>
        <v>0.06578</v>
      </c>
      <c r="K2248" s="11" t="s">
        <v>217</v>
      </c>
      <c r="L2248" s="11" t="s">
        <v>19</v>
      </c>
      <c r="M2248" s="11" t="s">
        <v>147</v>
      </c>
    </row>
    <row r="2249" customFormat="false" ht="15" hidden="false" customHeight="false" outlineLevel="0" collapsed="false">
      <c r="A2249" s="11" t="s">
        <v>111</v>
      </c>
      <c r="B2249" s="11" t="s">
        <v>136</v>
      </c>
      <c r="C2249" s="11" t="n">
        <v>7</v>
      </c>
      <c r="D2249" s="11" t="s">
        <v>78</v>
      </c>
      <c r="E2249" s="11" t="s">
        <v>159</v>
      </c>
      <c r="F2249" s="11" t="s">
        <v>77</v>
      </c>
      <c r="G2249" s="12" t="n">
        <v>350</v>
      </c>
      <c r="H2249" s="12" t="n">
        <f aca="false">SUMPRODUCT(ПОТОКИ!B15:G15,ЧАСОВЫЕ_ПРОФИЛИ!B23:G23,КОЭФФИЦИЕНТЫ_ВЫБОРА!F17:K17)</f>
        <v>0.54475</v>
      </c>
      <c r="I2249" s="12" t="n">
        <f aca="false">SUMPRODUCT(ПОТОКИ!B15:G15,ЧАСОВЫЕ_ПРОФИЛИ!B23:G23,КОЭФФИЦИЕНТЫ_ВЫБОРА!F17:K17,ПАРАМЕТРЫ!$B$17:$G$17)</f>
        <v>0.599225</v>
      </c>
      <c r="J2249" s="12" t="n">
        <f aca="false">I2249*G2249/1000</f>
        <v>0.20972875</v>
      </c>
      <c r="K2249" s="11" t="s">
        <v>217</v>
      </c>
      <c r="L2249" s="11" t="s">
        <v>19</v>
      </c>
      <c r="M2249" s="11" t="s">
        <v>147</v>
      </c>
    </row>
    <row r="2250" customFormat="false" ht="15" hidden="false" customHeight="false" outlineLevel="0" collapsed="false">
      <c r="A2250" s="11" t="s">
        <v>111</v>
      </c>
      <c r="B2250" s="11" t="s">
        <v>136</v>
      </c>
      <c r="C2250" s="11" t="n">
        <v>8</v>
      </c>
      <c r="D2250" s="11" t="s">
        <v>78</v>
      </c>
      <c r="E2250" s="11" t="s">
        <v>160</v>
      </c>
      <c r="F2250" s="11" t="s">
        <v>77</v>
      </c>
      <c r="G2250" s="12" t="n">
        <v>85</v>
      </c>
      <c r="H2250" s="12" t="n">
        <f aca="false">SUMPRODUCT(ПОТОКИ!B15:G15,ЧАСОВЫЕ_ПРОФИЛИ!B23:G23,КОЭФФИЦИЕНТЫ_ВЫБОРА!F18:K18)</f>
        <v>0.35375</v>
      </c>
      <c r="I2250" s="12" t="n">
        <f aca="false">SUMPRODUCT(ПОТОКИ!B15:G15,ЧАСОВЫЕ_ПРОФИЛИ!B23:G23,КОЭФФИЦИЕНТЫ_ВЫБОРА!F18:K18,ПАРАМЕТРЫ!$B$17:$G$17)</f>
        <v>0.389125</v>
      </c>
      <c r="J2250" s="12" t="n">
        <f aca="false">I2250*G2250/1000</f>
        <v>0.033075625</v>
      </c>
      <c r="K2250" s="11" t="s">
        <v>217</v>
      </c>
      <c r="L2250" s="11" t="s">
        <v>19</v>
      </c>
      <c r="M2250" s="11" t="s">
        <v>147</v>
      </c>
    </row>
    <row r="2251" customFormat="false" ht="15" hidden="false" customHeight="false" outlineLevel="0" collapsed="false">
      <c r="A2251" s="11" t="s">
        <v>111</v>
      </c>
      <c r="B2251" s="11" t="s">
        <v>136</v>
      </c>
      <c r="C2251" s="11" t="n">
        <v>9</v>
      </c>
      <c r="D2251" s="11" t="s">
        <v>161</v>
      </c>
      <c r="E2251" s="11" t="s">
        <v>162</v>
      </c>
      <c r="F2251" s="11" t="s">
        <v>80</v>
      </c>
      <c r="G2251" s="12" t="n">
        <v>300</v>
      </c>
      <c r="H2251" s="12" t="n">
        <f aca="false">SUMPRODUCT(ПОТОКИ!B15:G15,ЧАСОВЫЕ_ПРОФИЛИ!B23:G23,КОЭФФИЦИЕНТЫ_ВЫБОРА!F19:K19)</f>
        <v>0.7825</v>
      </c>
      <c r="I2251" s="12" t="n">
        <f aca="false">SUMPRODUCT(ПОТОКИ!B15:G15,ЧАСОВЫЕ_ПРОФИЛИ!B23:G23,КОЭФФИЦИЕНТЫ_ВЫБОРА!F19:K19,ПАРАМЕТРЫ!$B$17:$G$17)</f>
        <v>0.86075</v>
      </c>
      <c r="J2251" s="12" t="n">
        <f aca="false">I2251*G2251/1000</f>
        <v>0.258225</v>
      </c>
      <c r="K2251" s="11" t="s">
        <v>217</v>
      </c>
      <c r="L2251" s="11" t="s">
        <v>19</v>
      </c>
      <c r="M2251" s="11" t="s">
        <v>145</v>
      </c>
    </row>
    <row r="2252" customFormat="false" ht="15" hidden="false" customHeight="false" outlineLevel="0" collapsed="false">
      <c r="A2252" s="11" t="s">
        <v>111</v>
      </c>
      <c r="B2252" s="11" t="s">
        <v>136</v>
      </c>
      <c r="C2252" s="11" t="n">
        <v>10</v>
      </c>
      <c r="D2252" s="11" t="s">
        <v>161</v>
      </c>
      <c r="E2252" s="11" t="s">
        <v>163</v>
      </c>
      <c r="F2252" s="11" t="s">
        <v>80</v>
      </c>
      <c r="G2252" s="12" t="n">
        <v>280</v>
      </c>
      <c r="H2252" s="12" t="n">
        <f aca="false">SUMPRODUCT(ПОТОКИ!B15:G15,ЧАСОВЫЕ_ПРОФИЛИ!B23:G23,КОЭФФИЦИЕНТЫ_ВЫБОРА!F20:K20)</f>
        <v>0.85</v>
      </c>
      <c r="I2252" s="12" t="n">
        <f aca="false">SUMPRODUCT(ПОТОКИ!B15:G15,ЧАСОВЫЕ_ПРОФИЛИ!B23:G23,КОЭФФИЦИЕНТЫ_ВЫБОРА!F20:K20,ПАРАМЕТРЫ!$B$17:$G$17)</f>
        <v>0.935</v>
      </c>
      <c r="J2252" s="12" t="n">
        <f aca="false">I2252*G2252/1000</f>
        <v>0.2618</v>
      </c>
      <c r="K2252" s="11" t="s">
        <v>217</v>
      </c>
      <c r="L2252" s="11" t="s">
        <v>19</v>
      </c>
      <c r="M2252" s="11" t="s">
        <v>145</v>
      </c>
    </row>
    <row r="2253" customFormat="false" ht="15" hidden="false" customHeight="false" outlineLevel="0" collapsed="false">
      <c r="A2253" s="11" t="s">
        <v>111</v>
      </c>
      <c r="B2253" s="11" t="s">
        <v>136</v>
      </c>
      <c r="C2253" s="11" t="n">
        <v>11</v>
      </c>
      <c r="D2253" s="11" t="s">
        <v>161</v>
      </c>
      <c r="E2253" s="11" t="s">
        <v>164</v>
      </c>
      <c r="F2253" s="11" t="s">
        <v>80</v>
      </c>
      <c r="G2253" s="12" t="n">
        <v>270</v>
      </c>
      <c r="H2253" s="12" t="n">
        <f aca="false">SUMPRODUCT(ПОТОКИ!B15:G15,ЧАСОВЫЕ_ПРОФИЛИ!B23:G23,КОЭФФИЦИЕНТЫ_ВЫБОРА!F21:K21)</f>
        <v>1.366</v>
      </c>
      <c r="I2253" s="12" t="n">
        <f aca="false">SUMPRODUCT(ПОТОКИ!B15:G15,ЧАСОВЫЕ_ПРОФИЛИ!B23:G23,КОЭФФИЦИЕНТЫ_ВЫБОРА!F21:K21,ПАРАМЕТРЫ!$B$17:$G$17)</f>
        <v>1.5026</v>
      </c>
      <c r="J2253" s="12" t="n">
        <f aca="false">I2253*G2253/1000</f>
        <v>0.405702</v>
      </c>
      <c r="K2253" s="11" t="s">
        <v>217</v>
      </c>
      <c r="L2253" s="11" t="s">
        <v>19</v>
      </c>
      <c r="M2253" s="11" t="s">
        <v>145</v>
      </c>
    </row>
    <row r="2254" customFormat="false" ht="15" hidden="false" customHeight="false" outlineLevel="0" collapsed="false">
      <c r="A2254" s="11" t="s">
        <v>111</v>
      </c>
      <c r="B2254" s="11" t="s">
        <v>136</v>
      </c>
      <c r="C2254" s="11" t="n">
        <v>12</v>
      </c>
      <c r="D2254" s="11" t="s">
        <v>161</v>
      </c>
      <c r="E2254" s="11" t="s">
        <v>165</v>
      </c>
      <c r="F2254" s="11" t="s">
        <v>80</v>
      </c>
      <c r="G2254" s="12" t="n">
        <v>240</v>
      </c>
      <c r="H2254" s="12" t="n">
        <f aca="false">SUMPRODUCT(ПОТОКИ!B15:G15,ЧАСОВЫЕ_ПРОФИЛИ!B23:G23,КОЭФФИЦИЕНТЫ_ВЫБОРА!F22:K22)</f>
        <v>0.7115</v>
      </c>
      <c r="I2254" s="12" t="n">
        <f aca="false">SUMPRODUCT(ПОТОКИ!B15:G15,ЧАСОВЫЕ_ПРОФИЛИ!B23:G23,КОЭФФИЦИЕНТЫ_ВЫБОРА!F22:K22,ПАРАМЕТРЫ!$B$17:$G$17)</f>
        <v>0.78265</v>
      </c>
      <c r="J2254" s="12" t="n">
        <f aca="false">I2254*G2254/1000</f>
        <v>0.187836</v>
      </c>
      <c r="K2254" s="11" t="s">
        <v>217</v>
      </c>
      <c r="L2254" s="11" t="s">
        <v>19</v>
      </c>
      <c r="M2254" s="11" t="s">
        <v>145</v>
      </c>
    </row>
    <row r="2255" customFormat="false" ht="15" hidden="false" customHeight="false" outlineLevel="0" collapsed="false">
      <c r="A2255" s="11" t="s">
        <v>111</v>
      </c>
      <c r="B2255" s="11" t="s">
        <v>136</v>
      </c>
      <c r="C2255" s="11" t="n">
        <v>13</v>
      </c>
      <c r="D2255" s="11" t="s">
        <v>166</v>
      </c>
      <c r="E2255" s="11" t="s">
        <v>167</v>
      </c>
      <c r="F2255" s="11" t="s">
        <v>80</v>
      </c>
      <c r="G2255" s="12" t="n">
        <v>130</v>
      </c>
      <c r="H2255" s="12" t="n">
        <f aca="false">SUMPRODUCT(ПОТОКИ!B15:G15,ЧАСОВЫЕ_ПРОФИЛИ!B23:G23,КОЭФФИЦИЕНТЫ_ВЫБОРА!F23:K23)</f>
        <v>0.46</v>
      </c>
      <c r="I2255" s="12" t="n">
        <f aca="false">SUMPRODUCT(ПОТОКИ!B15:G15,ЧАСОВЫЕ_ПРОФИЛИ!B23:G23,КОЭФФИЦИЕНТЫ_ВЫБОРА!F23:K23,ПАРАМЕТРЫ!$B$17:$G$17)</f>
        <v>0.506</v>
      </c>
      <c r="J2255" s="12" t="n">
        <f aca="false">I2255*G2255/1000</f>
        <v>0.06578</v>
      </c>
      <c r="K2255" s="11" t="s">
        <v>217</v>
      </c>
      <c r="L2255" s="11" t="s">
        <v>19</v>
      </c>
      <c r="M2255" s="11" t="s">
        <v>145</v>
      </c>
    </row>
    <row r="2256" customFormat="false" ht="15" hidden="false" customHeight="false" outlineLevel="0" collapsed="false">
      <c r="A2256" s="11" t="s">
        <v>111</v>
      </c>
      <c r="B2256" s="11" t="s">
        <v>136</v>
      </c>
      <c r="C2256" s="11" t="n">
        <v>14</v>
      </c>
      <c r="D2256" s="11" t="s">
        <v>166</v>
      </c>
      <c r="E2256" s="11" t="s">
        <v>168</v>
      </c>
      <c r="F2256" s="11" t="s">
        <v>80</v>
      </c>
      <c r="G2256" s="12" t="n">
        <v>250</v>
      </c>
      <c r="H2256" s="12" t="n">
        <f aca="false">SUMPRODUCT(ПОТОКИ!B15:G15,ЧАСОВЫЕ_ПРОФИЛИ!B23:G23,КОЭФФИЦИЕНТЫ_ВЫБОРА!F24:K24)</f>
        <v>0.341</v>
      </c>
      <c r="I2256" s="12" t="n">
        <f aca="false">SUMPRODUCT(ПОТОКИ!B15:G15,ЧАСОВЫЕ_ПРОФИЛИ!B23:G23,КОЭФФИЦИЕНТЫ_ВЫБОРА!F24:K24,ПАРАМЕТРЫ!$B$17:$G$17)</f>
        <v>0.3751</v>
      </c>
      <c r="J2256" s="12" t="n">
        <f aca="false">I2256*G2256/1000</f>
        <v>0.093775</v>
      </c>
      <c r="K2256" s="11" t="s">
        <v>217</v>
      </c>
      <c r="L2256" s="11" t="s">
        <v>19</v>
      </c>
      <c r="M2256" s="11" t="s">
        <v>145</v>
      </c>
    </row>
    <row r="2257" customFormat="false" ht="15" hidden="false" customHeight="false" outlineLevel="0" collapsed="false">
      <c r="A2257" s="11" t="s">
        <v>111</v>
      </c>
      <c r="B2257" s="11" t="s">
        <v>136</v>
      </c>
      <c r="C2257" s="11" t="n">
        <v>15</v>
      </c>
      <c r="D2257" s="11" t="s">
        <v>166</v>
      </c>
      <c r="E2257" s="11" t="s">
        <v>169</v>
      </c>
      <c r="F2257" s="11" t="s">
        <v>80</v>
      </c>
      <c r="G2257" s="12" t="n">
        <v>120</v>
      </c>
      <c r="H2257" s="12" t="n">
        <f aca="false">SUMPRODUCT(ПОТОКИ!B15:G15,ЧАСОВЫЕ_ПРОФИЛИ!B23:G23,КОЭФФИЦИЕНТЫ_ВЫБОРА!F25:K25)</f>
        <v>0.266</v>
      </c>
      <c r="I2257" s="12" t="n">
        <f aca="false">SUMPRODUCT(ПОТОКИ!B15:G15,ЧАСОВЫЕ_ПРОФИЛИ!B23:G23,КОЭФФИЦИЕНТЫ_ВЫБОРА!F25:K25,ПАРАМЕТРЫ!$B$17:$G$17)</f>
        <v>0.2926</v>
      </c>
      <c r="J2257" s="12" t="n">
        <f aca="false">I2257*G2257/1000</f>
        <v>0.035112</v>
      </c>
      <c r="K2257" s="11" t="s">
        <v>217</v>
      </c>
      <c r="L2257" s="11" t="s">
        <v>19</v>
      </c>
      <c r="M2257" s="11" t="s">
        <v>145</v>
      </c>
    </row>
    <row r="2258" customFormat="false" ht="15" hidden="false" customHeight="false" outlineLevel="0" collapsed="false">
      <c r="A2258" s="11" t="s">
        <v>111</v>
      </c>
      <c r="B2258" s="11" t="s">
        <v>136</v>
      </c>
      <c r="C2258" s="11" t="n">
        <v>16</v>
      </c>
      <c r="D2258" s="11" t="s">
        <v>166</v>
      </c>
      <c r="E2258" s="11" t="s">
        <v>170</v>
      </c>
      <c r="F2258" s="11" t="s">
        <v>80</v>
      </c>
      <c r="G2258" s="12" t="n">
        <v>180</v>
      </c>
      <c r="H2258" s="12" t="n">
        <f aca="false">SUMPRODUCT(ПОТОКИ!B15:G15,ЧАСОВЫЕ_ПРОФИЛИ!B23:G23,КОЭФФИЦИЕНТЫ_ВЫБОРА!F26:K26)</f>
        <v>0.413</v>
      </c>
      <c r="I2258" s="12" t="n">
        <f aca="false">SUMPRODUCT(ПОТОКИ!B15:G15,ЧАСОВЫЕ_ПРОФИЛИ!B23:G23,КОЭФФИЦИЕНТЫ_ВЫБОРА!F26:K26,ПАРАМЕТРЫ!$B$17:$G$17)</f>
        <v>0.4543</v>
      </c>
      <c r="J2258" s="12" t="n">
        <f aca="false">I2258*G2258/1000</f>
        <v>0.081774</v>
      </c>
      <c r="K2258" s="11" t="s">
        <v>217</v>
      </c>
      <c r="L2258" s="11" t="s">
        <v>19</v>
      </c>
      <c r="M2258" s="11" t="s">
        <v>145</v>
      </c>
    </row>
    <row r="2259" customFormat="false" ht="15" hidden="false" customHeight="false" outlineLevel="0" collapsed="false">
      <c r="A2259" s="11" t="s">
        <v>111</v>
      </c>
      <c r="B2259" s="11" t="s">
        <v>136</v>
      </c>
      <c r="C2259" s="11" t="n">
        <v>17</v>
      </c>
      <c r="D2259" s="11" t="s">
        <v>166</v>
      </c>
      <c r="E2259" s="11" t="s">
        <v>171</v>
      </c>
      <c r="F2259" s="11" t="s">
        <v>80</v>
      </c>
      <c r="G2259" s="12" t="n">
        <v>180</v>
      </c>
      <c r="H2259" s="12" t="n">
        <f aca="false">SUMPRODUCT(ПОТОКИ!B15:G15,ЧАСОВЫЕ_ПРОФИЛИ!B23:G23,КОЭФФИЦИЕНТЫ_ВЫБОРА!F27:K27)</f>
        <v>0.46</v>
      </c>
      <c r="I2259" s="12" t="n">
        <f aca="false">SUMPRODUCT(ПОТОКИ!B15:G15,ЧАСОВЫЕ_ПРОФИЛИ!B23:G23,КОЭФФИЦИЕНТЫ_ВЫБОРА!F27:K27,ПАРАМЕТРЫ!$B$17:$G$17)</f>
        <v>0.506</v>
      </c>
      <c r="J2259" s="12" t="n">
        <f aca="false">I2259*G2259/1000</f>
        <v>0.09108</v>
      </c>
      <c r="K2259" s="11" t="s">
        <v>217</v>
      </c>
      <c r="L2259" s="11" t="s">
        <v>19</v>
      </c>
      <c r="M2259" s="11" t="s">
        <v>145</v>
      </c>
    </row>
    <row r="2260" customFormat="false" ht="15" hidden="false" customHeight="false" outlineLevel="0" collapsed="false">
      <c r="A2260" s="11" t="s">
        <v>111</v>
      </c>
      <c r="B2260" s="11" t="s">
        <v>136</v>
      </c>
      <c r="C2260" s="11" t="n">
        <v>18</v>
      </c>
      <c r="D2260" s="11" t="s">
        <v>172</v>
      </c>
      <c r="E2260" s="11" t="s">
        <v>173</v>
      </c>
      <c r="F2260" s="11" t="s">
        <v>83</v>
      </c>
      <c r="G2260" s="12" t="n">
        <v>400</v>
      </c>
      <c r="H2260" s="12" t="n">
        <f aca="false">SUMPRODUCT(ПОТОКИ!B15:G15,ЧАСОВЫЕ_ПРОФИЛИ!B23:G23,КОЭФФИЦИЕНТЫ_ВЫБОРА!F28:K28)</f>
        <v>0.72</v>
      </c>
      <c r="I2260" s="12" t="n">
        <f aca="false">SUMPRODUCT(ПОТОКИ!B15:G15,ЧАСОВЫЕ_ПРОФИЛИ!B23:G23,КОЭФФИЦИЕНТЫ_ВЫБОРА!F28:K28,ПАРАМЕТРЫ!$B$17:$G$17)</f>
        <v>0.792</v>
      </c>
      <c r="J2260" s="12" t="n">
        <f aca="false">I2260*G2260/1000</f>
        <v>0.3168</v>
      </c>
      <c r="K2260" s="11" t="s">
        <v>217</v>
      </c>
      <c r="L2260" s="11" t="s">
        <v>19</v>
      </c>
      <c r="M2260" s="11" t="s">
        <v>145</v>
      </c>
    </row>
    <row r="2261" customFormat="false" ht="23.85" hidden="false" customHeight="false" outlineLevel="0" collapsed="false">
      <c r="A2261" s="11" t="s">
        <v>111</v>
      </c>
      <c r="B2261" s="11" t="s">
        <v>136</v>
      </c>
      <c r="C2261" s="11" t="n">
        <v>19</v>
      </c>
      <c r="D2261" s="11" t="s">
        <v>174</v>
      </c>
      <c r="E2261" s="11" t="s">
        <v>175</v>
      </c>
      <c r="F2261" s="11" t="s">
        <v>83</v>
      </c>
      <c r="G2261" s="12" t="n">
        <v>300</v>
      </c>
      <c r="H2261" s="12" t="n">
        <f aca="false">SUMPRODUCT(ПОТОКИ!B15:G15,ЧАСОВЫЕ_ПРОФИЛИ!B23:G23,КОЭФФИЦИЕНТЫ_ВЫБОРА!F29:K29)</f>
        <v>2.1675</v>
      </c>
      <c r="I2261" s="12" t="n">
        <f aca="false">SUMPRODUCT(ПОТОКИ!B15:G15,ЧАСОВЫЕ_ПРОФИЛИ!B23:G23,КОЭФФИЦИЕНТЫ_ВЫБОРА!F29:K29,ПАРАМЕТРЫ!$B$17:$G$17)</f>
        <v>2.38425</v>
      </c>
      <c r="J2261" s="12" t="n">
        <f aca="false">I2261*G2261/1000</f>
        <v>0.715275</v>
      </c>
      <c r="K2261" s="11" t="s">
        <v>217</v>
      </c>
      <c r="L2261" s="11" t="s">
        <v>19</v>
      </c>
      <c r="M2261" s="11" t="s">
        <v>145</v>
      </c>
    </row>
    <row r="2262" customFormat="false" ht="15" hidden="false" customHeight="false" outlineLevel="0" collapsed="false">
      <c r="A2262" s="11" t="s">
        <v>111</v>
      </c>
      <c r="B2262" s="11" t="s">
        <v>136</v>
      </c>
      <c r="C2262" s="11" t="n">
        <v>20</v>
      </c>
      <c r="D2262" s="11" t="s">
        <v>174</v>
      </c>
      <c r="E2262" s="11" t="s">
        <v>176</v>
      </c>
      <c r="F2262" s="11" t="s">
        <v>83</v>
      </c>
      <c r="G2262" s="12" t="n">
        <v>360</v>
      </c>
      <c r="H2262" s="12" t="n">
        <f aca="false">SUMPRODUCT(ПОТОКИ!B15:G15,ЧАСОВЫЕ_ПРОФИЛИ!B23:G23,КОЭФФИЦИЕНТЫ_ВЫБОРА!F30:K30)</f>
        <v>1.811</v>
      </c>
      <c r="I2262" s="12" t="n">
        <f aca="false">SUMPRODUCT(ПОТОКИ!B15:G15,ЧАСОВЫЕ_ПРОФИЛИ!B23:G23,КОЭФФИЦИЕНТЫ_ВЫБОРА!F30:K30,ПАРАМЕТРЫ!$B$17:$G$17)</f>
        <v>1.9921</v>
      </c>
      <c r="J2262" s="12" t="n">
        <f aca="false">I2262*G2262/1000</f>
        <v>0.717156</v>
      </c>
      <c r="K2262" s="11" t="s">
        <v>217</v>
      </c>
      <c r="L2262" s="11" t="s">
        <v>19</v>
      </c>
      <c r="M2262" s="11" t="s">
        <v>145</v>
      </c>
    </row>
    <row r="2263" customFormat="false" ht="15" hidden="false" customHeight="false" outlineLevel="0" collapsed="false">
      <c r="A2263" s="11" t="s">
        <v>111</v>
      </c>
      <c r="B2263" s="11" t="s">
        <v>136</v>
      </c>
      <c r="C2263" s="11" t="n">
        <v>21</v>
      </c>
      <c r="D2263" s="11" t="s">
        <v>174</v>
      </c>
      <c r="E2263" s="11" t="s">
        <v>177</v>
      </c>
      <c r="F2263" s="11" t="s">
        <v>83</v>
      </c>
      <c r="G2263" s="12" t="n">
        <v>350</v>
      </c>
      <c r="H2263" s="12" t="n">
        <f aca="false">SUMPRODUCT(ПОТОКИ!B15:G15,ЧАСОВЫЕ_ПРОФИЛИ!B23:G23,КОЭФФИЦИЕНТЫ_ВЫБОРА!F31:K31)</f>
        <v>2.65525</v>
      </c>
      <c r="I2263" s="12" t="n">
        <f aca="false">SUMPRODUCT(ПОТОКИ!B15:G15,ЧАСОВЫЕ_ПРОФИЛИ!B23:G23,КОЭФФИЦИЕНТЫ_ВЫБОРА!F31:K31,ПАРАМЕТРЫ!$B$17:$G$17)</f>
        <v>2.920775</v>
      </c>
      <c r="J2263" s="12" t="n">
        <f aca="false">I2263*G2263/1000</f>
        <v>1.02227125</v>
      </c>
      <c r="K2263" s="11" t="s">
        <v>217</v>
      </c>
      <c r="L2263" s="11" t="s">
        <v>19</v>
      </c>
      <c r="M2263" s="11" t="s">
        <v>145</v>
      </c>
    </row>
    <row r="2264" customFormat="false" ht="15" hidden="false" customHeight="false" outlineLevel="0" collapsed="false">
      <c r="A2264" s="11" t="s">
        <v>111</v>
      </c>
      <c r="B2264" s="11" t="s">
        <v>136</v>
      </c>
      <c r="C2264" s="11" t="n">
        <v>22</v>
      </c>
      <c r="D2264" s="11" t="s">
        <v>174</v>
      </c>
      <c r="E2264" s="11" t="s">
        <v>178</v>
      </c>
      <c r="F2264" s="11" t="s">
        <v>83</v>
      </c>
      <c r="G2264" s="12" t="n">
        <v>300</v>
      </c>
      <c r="H2264" s="12" t="n">
        <f aca="false">SUMPRODUCT(ПОТОКИ!B15:G15,ЧАСОВЫЕ_ПРОФИЛИ!B23:G23,КОЭФФИЦИЕНТЫ_ВЫБОРА!F32:K32)</f>
        <v>1.97125</v>
      </c>
      <c r="I2264" s="12" t="n">
        <f aca="false">SUMPRODUCT(ПОТОКИ!B15:G15,ЧАСОВЫЕ_ПРОФИЛИ!B23:G23,КОЭФФИЦИЕНТЫ_ВЫБОРА!F32:K32,ПАРАМЕТРЫ!$B$17:$G$17)</f>
        <v>2.168375</v>
      </c>
      <c r="J2264" s="12" t="n">
        <f aca="false">I2264*G2264/1000</f>
        <v>0.6505125</v>
      </c>
      <c r="K2264" s="11" t="s">
        <v>217</v>
      </c>
      <c r="L2264" s="11" t="s">
        <v>19</v>
      </c>
      <c r="M2264" s="11" t="s">
        <v>145</v>
      </c>
    </row>
    <row r="2265" customFormat="false" ht="15" hidden="false" customHeight="false" outlineLevel="0" collapsed="false">
      <c r="A2265" s="11" t="s">
        <v>111</v>
      </c>
      <c r="B2265" s="11" t="s">
        <v>136</v>
      </c>
      <c r="C2265" s="11" t="n">
        <v>23</v>
      </c>
      <c r="D2265" s="11" t="s">
        <v>86</v>
      </c>
      <c r="E2265" s="11" t="s">
        <v>179</v>
      </c>
      <c r="F2265" s="11" t="s">
        <v>85</v>
      </c>
      <c r="G2265" s="12" t="n">
        <v>150</v>
      </c>
      <c r="H2265" s="12" t="n">
        <f aca="false">SUMPRODUCT(ПОТОКИ!B15:G15,ЧАСОВЫЕ_ПРОФИЛИ!B23:G23,КОЭФФИЦИЕНТЫ_ВЫБОРА!F33:K33)</f>
        <v>1.69720875</v>
      </c>
      <c r="I2265" s="12" t="n">
        <f aca="false">SUMPRODUCT(ПОТОКИ!B15:G15,ЧАСОВЫЕ_ПРОФИЛИ!B23:G23,КОЭФФИЦИЕНТЫ_ВЫБОРА!F33:K33,ПАРАМЕТРЫ!$B$17:$G$17)</f>
        <v>1.866929625</v>
      </c>
      <c r="J2265" s="12" t="n">
        <f aca="false">I2265*G2265/1000</f>
        <v>0.28003944375</v>
      </c>
      <c r="K2265" s="11" t="s">
        <v>217</v>
      </c>
      <c r="L2265" s="11" t="s">
        <v>19</v>
      </c>
      <c r="M2265" s="11" t="s">
        <v>147</v>
      </c>
    </row>
    <row r="2266" customFormat="false" ht="15" hidden="false" customHeight="false" outlineLevel="0" collapsed="false">
      <c r="A2266" s="11" t="s">
        <v>111</v>
      </c>
      <c r="B2266" s="11" t="s">
        <v>136</v>
      </c>
      <c r="C2266" s="11" t="n">
        <v>24</v>
      </c>
      <c r="D2266" s="11" t="s">
        <v>86</v>
      </c>
      <c r="E2266" s="11" t="s">
        <v>180</v>
      </c>
      <c r="F2266" s="11" t="s">
        <v>85</v>
      </c>
      <c r="G2266" s="12" t="n">
        <v>150</v>
      </c>
      <c r="H2266" s="12" t="n">
        <f aca="false">SUMPRODUCT(ПОТОКИ!B15:G15,ЧАСОВЫЕ_ПРОФИЛИ!B23:G23,КОЭФФИЦИЕНТЫ_ВЫБОРА!F34:K34)</f>
        <v>0.889245</v>
      </c>
      <c r="I2266" s="12" t="n">
        <f aca="false">SUMPRODUCT(ПОТОКИ!B15:G15,ЧАСОВЫЕ_ПРОФИЛИ!B23:G23,КОЭФФИЦИЕНТЫ_ВЫБОРА!F34:K34,ПАРАМЕТРЫ!$B$17:$G$17)</f>
        <v>0.9781695</v>
      </c>
      <c r="J2266" s="12" t="n">
        <f aca="false">I2266*G2266/1000</f>
        <v>0.146725425</v>
      </c>
      <c r="K2266" s="11" t="s">
        <v>217</v>
      </c>
      <c r="L2266" s="11" t="s">
        <v>19</v>
      </c>
      <c r="M2266" s="11" t="s">
        <v>147</v>
      </c>
    </row>
    <row r="2267" customFormat="false" ht="15" hidden="false" customHeight="false" outlineLevel="0" collapsed="false">
      <c r="A2267" s="11" t="s">
        <v>111</v>
      </c>
      <c r="B2267" s="11" t="s">
        <v>136</v>
      </c>
      <c r="C2267" s="11" t="n">
        <v>25</v>
      </c>
      <c r="D2267" s="11" t="s">
        <v>86</v>
      </c>
      <c r="E2267" s="11" t="s">
        <v>181</v>
      </c>
      <c r="F2267" s="11" t="s">
        <v>85</v>
      </c>
      <c r="G2267" s="12" t="n">
        <v>150</v>
      </c>
      <c r="H2267" s="12" t="n">
        <f aca="false">SUMPRODUCT(ПОТОКИ!B15:G15,ЧАСОВЫЕ_ПРОФИЛИ!B23:G23,КОЭФФИЦИЕНТЫ_ВЫБОРА!F35:K35)</f>
        <v>1.85977125</v>
      </c>
      <c r="I2267" s="12" t="n">
        <f aca="false">SUMPRODUCT(ПОТОКИ!B15:G15,ЧАСОВЫЕ_ПРОФИЛИ!B23:G23,КОЭФФИЦИЕНТЫ_ВЫБОРА!F35:K35,ПАРАМЕТРЫ!$B$17:$G$17)</f>
        <v>2.045748375</v>
      </c>
      <c r="J2267" s="12" t="n">
        <f aca="false">I2267*G2267/1000</f>
        <v>0.30686225625</v>
      </c>
      <c r="K2267" s="11" t="s">
        <v>217</v>
      </c>
      <c r="L2267" s="11" t="s">
        <v>19</v>
      </c>
      <c r="M2267" s="11" t="s">
        <v>147</v>
      </c>
    </row>
    <row r="2268" customFormat="false" ht="23.85" hidden="false" customHeight="false" outlineLevel="0" collapsed="false">
      <c r="A2268" s="11" t="s">
        <v>111</v>
      </c>
      <c r="B2268" s="11" t="s">
        <v>136</v>
      </c>
      <c r="C2268" s="11" t="n">
        <v>26</v>
      </c>
      <c r="D2268" s="11" t="s">
        <v>89</v>
      </c>
      <c r="E2268" s="11" t="s">
        <v>182</v>
      </c>
      <c r="F2268" s="11" t="s">
        <v>88</v>
      </c>
      <c r="G2268" s="12" t="n">
        <v>225</v>
      </c>
      <c r="H2268" s="12" t="n">
        <f aca="false">SUMPRODUCT(ПОТОКИ!B15:G15,ЧАСОВЫЕ_ПРОФИЛИ!B23:G23,КОЭФФИЦИЕНТЫ_ВЫБОРА!F36:K36)</f>
        <v>0</v>
      </c>
      <c r="I2268" s="12" t="n">
        <f aca="false">SUMPRODUCT(ПОТОКИ!B15:G15,ЧАСОВЫЕ_ПРОФИЛИ!B23:G23,КОЭФФИЦИЕНТЫ_ВЫБОРА!F36:K36,ПАРАМЕТРЫ!$B$17:$G$17)</f>
        <v>0</v>
      </c>
      <c r="J2268" s="12" t="n">
        <f aca="false">I2268*G2268/1000</f>
        <v>0</v>
      </c>
      <c r="K2268" s="11" t="s">
        <v>217</v>
      </c>
      <c r="L2268" s="11" t="s">
        <v>19</v>
      </c>
      <c r="M2268" s="11" t="s">
        <v>145</v>
      </c>
    </row>
    <row r="2269" customFormat="false" ht="23.85" hidden="false" customHeight="false" outlineLevel="0" collapsed="false">
      <c r="A2269" s="11" t="s">
        <v>111</v>
      </c>
      <c r="B2269" s="11" t="s">
        <v>136</v>
      </c>
      <c r="C2269" s="11" t="n">
        <v>27</v>
      </c>
      <c r="D2269" s="11" t="s">
        <v>89</v>
      </c>
      <c r="E2269" s="11" t="s">
        <v>183</v>
      </c>
      <c r="F2269" s="11" t="s">
        <v>88</v>
      </c>
      <c r="G2269" s="12" t="n">
        <v>265</v>
      </c>
      <c r="H2269" s="12" t="n">
        <f aca="false">SUMPRODUCT(ПОТОКИ!B15:G15,ЧАСОВЫЕ_ПРОФИЛИ!B23:G23,КОЭФФИЦИЕНТЫ_ВЫБОРА!F37:K37)</f>
        <v>0</v>
      </c>
      <c r="I2269" s="12" t="n">
        <f aca="false">SUMPRODUCT(ПОТОКИ!B15:G15,ЧАСОВЫЕ_ПРОФИЛИ!B23:G23,КОЭФФИЦИЕНТЫ_ВЫБОРА!F37:K37,ПАРАМЕТРЫ!$B$17:$G$17)</f>
        <v>0</v>
      </c>
      <c r="J2269" s="12" t="n">
        <f aca="false">I2269*G2269/1000</f>
        <v>0</v>
      </c>
      <c r="K2269" s="11" t="s">
        <v>217</v>
      </c>
      <c r="L2269" s="11" t="s">
        <v>19</v>
      </c>
      <c r="M2269" s="11" t="s">
        <v>145</v>
      </c>
    </row>
    <row r="2270" customFormat="false" ht="23.85" hidden="false" customHeight="false" outlineLevel="0" collapsed="false">
      <c r="A2270" s="11" t="s">
        <v>111</v>
      </c>
      <c r="B2270" s="11" t="s">
        <v>136</v>
      </c>
      <c r="C2270" s="11" t="n">
        <v>28</v>
      </c>
      <c r="D2270" s="11" t="s">
        <v>89</v>
      </c>
      <c r="E2270" s="11" t="s">
        <v>184</v>
      </c>
      <c r="F2270" s="11" t="s">
        <v>88</v>
      </c>
      <c r="G2270" s="12" t="n">
        <v>355</v>
      </c>
      <c r="H2270" s="12" t="n">
        <f aca="false">SUMPRODUCT(ПОТОКИ!B15:G15,ЧАСОВЫЕ_ПРОФИЛИ!B23:G23,КОЭФФИЦИЕНТЫ_ВЫБОРА!F38:K38)</f>
        <v>0</v>
      </c>
      <c r="I2270" s="12" t="n">
        <f aca="false">SUMPRODUCT(ПОТОКИ!B15:G15,ЧАСОВЫЕ_ПРОФИЛИ!B23:G23,КОЭФФИЦИЕНТЫ_ВЫБОРА!F38:K38,ПАРАМЕТРЫ!$B$17:$G$17)</f>
        <v>0</v>
      </c>
      <c r="J2270" s="12" t="n">
        <f aca="false">I2270*G2270/1000</f>
        <v>0</v>
      </c>
      <c r="K2270" s="11" t="s">
        <v>217</v>
      </c>
      <c r="L2270" s="11" t="s">
        <v>19</v>
      </c>
      <c r="M2270" s="11" t="s">
        <v>145</v>
      </c>
    </row>
    <row r="2271" customFormat="false" ht="15" hidden="false" customHeight="false" outlineLevel="0" collapsed="false">
      <c r="A2271" s="11" t="s">
        <v>111</v>
      </c>
      <c r="B2271" s="11" t="s">
        <v>136</v>
      </c>
      <c r="C2271" s="11" t="n">
        <v>29</v>
      </c>
      <c r="D2271" s="11" t="s">
        <v>92</v>
      </c>
      <c r="E2271" s="11" t="s">
        <v>185</v>
      </c>
      <c r="F2271" s="11" t="s">
        <v>91</v>
      </c>
      <c r="G2271" s="12" t="n">
        <v>150</v>
      </c>
      <c r="H2271" s="12" t="n">
        <f aca="false">SUMPRODUCT(ПОТОКИ!B15:G15,ЧАСОВЫЕ_ПРОФИЛИ!B23:G23,КОЭФФИЦИЕНТЫ_ВЫБОРА!F39:K39)</f>
        <v>0.558</v>
      </c>
      <c r="I2271" s="12" t="n">
        <f aca="false">SUMPRODUCT(ПОТОКИ!B15:G15,ЧАСОВЫЕ_ПРОФИЛИ!B23:G23,КОЭФФИЦИЕНТЫ_ВЫБОРА!F39:K39,ПАРАМЕТРЫ!$B$17:$G$17)</f>
        <v>0.6138</v>
      </c>
      <c r="J2271" s="12" t="n">
        <f aca="false">I2271*G2271/1000</f>
        <v>0.09207</v>
      </c>
      <c r="K2271" s="11" t="s">
        <v>217</v>
      </c>
      <c r="L2271" s="11" t="s">
        <v>19</v>
      </c>
      <c r="M2271" s="11" t="s">
        <v>145</v>
      </c>
    </row>
    <row r="2272" customFormat="false" ht="15" hidden="false" customHeight="false" outlineLevel="0" collapsed="false">
      <c r="A2272" s="11" t="s">
        <v>111</v>
      </c>
      <c r="B2272" s="11" t="s">
        <v>136</v>
      </c>
      <c r="C2272" s="11" t="n">
        <v>30</v>
      </c>
      <c r="D2272" s="11" t="s">
        <v>92</v>
      </c>
      <c r="E2272" s="11" t="s">
        <v>186</v>
      </c>
      <c r="F2272" s="11" t="s">
        <v>91</v>
      </c>
      <c r="G2272" s="12" t="n">
        <v>120</v>
      </c>
      <c r="H2272" s="12" t="n">
        <f aca="false">SUMPRODUCT(ПОТОКИ!B15:G15,ЧАСОВЫЕ_ПРОФИЛИ!B23:G23,КОЭФФИЦИЕНТЫ_ВЫБОРА!F40:K40)</f>
        <v>0.808</v>
      </c>
      <c r="I2272" s="12" t="n">
        <f aca="false">SUMPRODUCT(ПОТОКИ!B15:G15,ЧАСОВЫЕ_ПРОФИЛИ!B23:G23,КОЭФФИЦИЕНТЫ_ВЫБОРА!F40:K40,ПАРАМЕТРЫ!$B$17:$G$17)</f>
        <v>0.8888</v>
      </c>
      <c r="J2272" s="12" t="n">
        <f aca="false">I2272*G2272/1000</f>
        <v>0.106656</v>
      </c>
      <c r="K2272" s="11" t="s">
        <v>217</v>
      </c>
      <c r="L2272" s="11" t="s">
        <v>19</v>
      </c>
      <c r="M2272" s="11" t="s">
        <v>145</v>
      </c>
    </row>
    <row r="2273" customFormat="false" ht="15" hidden="false" customHeight="false" outlineLevel="0" collapsed="false">
      <c r="A2273" s="11" t="s">
        <v>111</v>
      </c>
      <c r="B2273" s="11" t="s">
        <v>136</v>
      </c>
      <c r="C2273" s="11" t="n">
        <v>31</v>
      </c>
      <c r="D2273" s="11" t="s">
        <v>92</v>
      </c>
      <c r="E2273" s="11" t="s">
        <v>187</v>
      </c>
      <c r="F2273" s="11" t="s">
        <v>91</v>
      </c>
      <c r="G2273" s="12" t="n">
        <v>60</v>
      </c>
      <c r="H2273" s="12" t="n">
        <f aca="false">SUMPRODUCT(ПОТОКИ!B15:G15,ЧАСОВЫЕ_ПРОФИЛИ!B23:G23,КОЭФФИЦИЕНТЫ_ВЫБОРА!F41:K41)</f>
        <v>0.384</v>
      </c>
      <c r="I2273" s="12" t="n">
        <f aca="false">SUMPRODUCT(ПОТОКИ!B15:G15,ЧАСОВЫЕ_ПРОФИЛИ!B23:G23,КОЭФФИЦИЕНТЫ_ВЫБОРА!F41:K41,ПАРАМЕТРЫ!$B$17:$G$17)</f>
        <v>0.4224</v>
      </c>
      <c r="J2273" s="12" t="n">
        <f aca="false">I2273*G2273/1000</f>
        <v>0.025344</v>
      </c>
      <c r="K2273" s="11" t="s">
        <v>217</v>
      </c>
      <c r="L2273" s="11" t="s">
        <v>19</v>
      </c>
      <c r="M2273" s="11" t="s">
        <v>145</v>
      </c>
    </row>
    <row r="2274" customFormat="false" ht="15" hidden="false" customHeight="false" outlineLevel="0" collapsed="false">
      <c r="A2274" s="11" t="s">
        <v>111</v>
      </c>
      <c r="B2274" s="11" t="s">
        <v>137</v>
      </c>
      <c r="C2274" s="11" t="n">
        <v>1</v>
      </c>
      <c r="D2274" s="11" t="s">
        <v>74</v>
      </c>
      <c r="E2274" s="11" t="s">
        <v>153</v>
      </c>
      <c r="F2274" s="11" t="s">
        <v>73</v>
      </c>
      <c r="G2274" s="12" t="n">
        <v>450</v>
      </c>
      <c r="H2274" s="12" t="n">
        <f aca="false">SUMPRODUCT(ПОТОКИ!B15:G15,ЧАСОВЫЕ_ПРОФИЛИ!B24:G24,КОЭФФИЦИЕНТЫ_ВЫБОРА!F11:K11)</f>
        <v>0.5595</v>
      </c>
      <c r="I2274" s="12" t="n">
        <f aca="false">SUMPRODUCT(ПОТОКИ!B15:G15,ЧАСОВЫЕ_ПРОФИЛИ!B24:G24,КОЭФФИЦИЕНТЫ_ВЫБОРА!F11:K11,ПАРАМЕТРЫ!$B$17:$G$17)</f>
        <v>0.61545</v>
      </c>
      <c r="J2274" s="12" t="n">
        <f aca="false">I2274*G2274/1000</f>
        <v>0.2769525</v>
      </c>
      <c r="K2274" s="11" t="s">
        <v>217</v>
      </c>
      <c r="L2274" s="11" t="s">
        <v>19</v>
      </c>
      <c r="M2274" s="11" t="s">
        <v>145</v>
      </c>
    </row>
    <row r="2275" customFormat="false" ht="15" hidden="false" customHeight="false" outlineLevel="0" collapsed="false">
      <c r="A2275" s="11" t="s">
        <v>111</v>
      </c>
      <c r="B2275" s="11" t="s">
        <v>137</v>
      </c>
      <c r="C2275" s="11" t="n">
        <v>2</v>
      </c>
      <c r="D2275" s="11" t="s">
        <v>74</v>
      </c>
      <c r="E2275" s="11" t="s">
        <v>154</v>
      </c>
      <c r="F2275" s="11" t="s">
        <v>73</v>
      </c>
      <c r="G2275" s="12" t="n">
        <v>480</v>
      </c>
      <c r="H2275" s="12" t="n">
        <f aca="false">SUMPRODUCT(ПОТОКИ!B15:G15,ЧАСОВЫЕ_ПРОФИЛИ!B24:G24,КОЭФФИЦИЕНТЫ_ВЫБОРА!F12:K12)</f>
        <v>0.894</v>
      </c>
      <c r="I2275" s="12" t="n">
        <f aca="false">SUMPRODUCT(ПОТОКИ!B15:G15,ЧАСОВЫЕ_ПРОФИЛИ!B24:G24,КОЭФФИЦИЕНТЫ_ВЫБОРА!F12:K12,ПАРАМЕТРЫ!$B$17:$G$17)</f>
        <v>0.9834</v>
      </c>
      <c r="J2275" s="12" t="n">
        <f aca="false">I2275*G2275/1000</f>
        <v>0.472032</v>
      </c>
      <c r="K2275" s="11" t="s">
        <v>217</v>
      </c>
      <c r="L2275" s="11" t="s">
        <v>19</v>
      </c>
      <c r="M2275" s="11" t="s">
        <v>145</v>
      </c>
    </row>
    <row r="2276" customFormat="false" ht="15" hidden="false" customHeight="false" outlineLevel="0" collapsed="false">
      <c r="A2276" s="11" t="s">
        <v>111</v>
      </c>
      <c r="B2276" s="11" t="s">
        <v>137</v>
      </c>
      <c r="C2276" s="11" t="n">
        <v>3</v>
      </c>
      <c r="D2276" s="11" t="s">
        <v>74</v>
      </c>
      <c r="E2276" s="11" t="s">
        <v>155</v>
      </c>
      <c r="F2276" s="11" t="s">
        <v>73</v>
      </c>
      <c r="G2276" s="12" t="n">
        <v>500</v>
      </c>
      <c r="H2276" s="12" t="n">
        <f aca="false">SUMPRODUCT(ПОТОКИ!B15:G15,ЧАСОВЫЕ_ПРОФИЛИ!B24:G24,КОЭФФИЦИЕНТЫ_ВЫБОРА!F13:K13)</f>
        <v>1.3035</v>
      </c>
      <c r="I2276" s="12" t="n">
        <f aca="false">SUMPRODUCT(ПОТОКИ!B15:G15,ЧАСОВЫЕ_ПРОФИЛИ!B24:G24,КОЭФФИЦИЕНТЫ_ВЫБОРА!F13:K13,ПАРАМЕТРЫ!$B$17:$G$17)</f>
        <v>1.43385</v>
      </c>
      <c r="J2276" s="12" t="n">
        <f aca="false">I2276*G2276/1000</f>
        <v>0.716925</v>
      </c>
      <c r="K2276" s="11" t="s">
        <v>217</v>
      </c>
      <c r="L2276" s="11" t="s">
        <v>19</v>
      </c>
      <c r="M2276" s="11" t="s">
        <v>145</v>
      </c>
    </row>
    <row r="2277" customFormat="false" ht="15" hidden="false" customHeight="false" outlineLevel="0" collapsed="false">
      <c r="A2277" s="11" t="s">
        <v>111</v>
      </c>
      <c r="B2277" s="11" t="s">
        <v>137</v>
      </c>
      <c r="C2277" s="11" t="n">
        <v>4</v>
      </c>
      <c r="D2277" s="11" t="s">
        <v>74</v>
      </c>
      <c r="E2277" s="11" t="s">
        <v>156</v>
      </c>
      <c r="F2277" s="11" t="s">
        <v>73</v>
      </c>
      <c r="G2277" s="12" t="n">
        <v>500</v>
      </c>
      <c r="H2277" s="12" t="n">
        <f aca="false">SUMPRODUCT(ПОТОКИ!B15:G15,ЧАСОВЫЕ_ПРОФИЛИ!B24:G24,КОЭФФИЦИЕНТЫ_ВЫБОРА!F14:K14)</f>
        <v>1.638</v>
      </c>
      <c r="I2277" s="12" t="n">
        <f aca="false">SUMPRODUCT(ПОТОКИ!B15:G15,ЧАСОВЫЕ_ПРОФИЛИ!B24:G24,КОЭФФИЦИЕНТЫ_ВЫБОРА!F14:K14,ПАРАМЕТРЫ!$B$17:$G$17)</f>
        <v>1.8018</v>
      </c>
      <c r="J2277" s="12" t="n">
        <f aca="false">I2277*G2277/1000</f>
        <v>0.9009</v>
      </c>
      <c r="K2277" s="11" t="s">
        <v>217</v>
      </c>
      <c r="L2277" s="11" t="s">
        <v>19</v>
      </c>
      <c r="M2277" s="11" t="s">
        <v>145</v>
      </c>
    </row>
    <row r="2278" customFormat="false" ht="15" hidden="false" customHeight="false" outlineLevel="0" collapsed="false">
      <c r="A2278" s="11" t="s">
        <v>111</v>
      </c>
      <c r="B2278" s="11" t="s">
        <v>137</v>
      </c>
      <c r="C2278" s="11" t="n">
        <v>5</v>
      </c>
      <c r="D2278" s="11" t="s">
        <v>78</v>
      </c>
      <c r="E2278" s="11" t="s">
        <v>157</v>
      </c>
      <c r="F2278" s="11" t="s">
        <v>77</v>
      </c>
      <c r="G2278" s="12" t="n">
        <v>100</v>
      </c>
      <c r="H2278" s="12" t="n">
        <f aca="false">SUMPRODUCT(ПОТОКИ!B15:G15,ЧАСОВЫЕ_ПРОФИЛИ!B24:G24,КОЭФФИЦИЕНТЫ_ВЫБОРА!F15:K15)</f>
        <v>0.6705</v>
      </c>
      <c r="I2278" s="12" t="n">
        <f aca="false">SUMPRODUCT(ПОТОКИ!B15:G15,ЧАСОВЫЕ_ПРОФИЛИ!B24:G24,КОЭФФИЦИЕНТЫ_ВЫБОРА!F15:K15,ПАРАМЕТРЫ!$B$17:$G$17)</f>
        <v>0.73755</v>
      </c>
      <c r="J2278" s="12" t="n">
        <f aca="false">I2278*G2278/1000</f>
        <v>0.073755</v>
      </c>
      <c r="K2278" s="11" t="s">
        <v>217</v>
      </c>
      <c r="L2278" s="11" t="s">
        <v>19</v>
      </c>
      <c r="M2278" s="11" t="s">
        <v>147</v>
      </c>
    </row>
    <row r="2279" customFormat="false" ht="15" hidden="false" customHeight="false" outlineLevel="0" collapsed="false">
      <c r="A2279" s="11" t="s">
        <v>111</v>
      </c>
      <c r="B2279" s="11" t="s">
        <v>137</v>
      </c>
      <c r="C2279" s="11" t="n">
        <v>6</v>
      </c>
      <c r="D2279" s="11" t="s">
        <v>78</v>
      </c>
      <c r="E2279" s="11" t="s">
        <v>158</v>
      </c>
      <c r="F2279" s="11" t="s">
        <v>77</v>
      </c>
      <c r="G2279" s="12" t="n">
        <v>100</v>
      </c>
      <c r="H2279" s="12" t="n">
        <f aca="false">SUMPRODUCT(ПОТОКИ!B15:G15,ЧАСОВЫЕ_ПРОФИЛИ!B24:G24,КОЭФФИЦИЕНТЫ_ВЫБОРА!F16:K16)</f>
        <v>0.5655</v>
      </c>
      <c r="I2279" s="12" t="n">
        <f aca="false">SUMPRODUCT(ПОТОКИ!B15:G15,ЧАСОВЫЕ_ПРОФИЛИ!B24:G24,КОЭФФИЦИЕНТЫ_ВЫБОРА!F16:K16,ПАРАМЕТРЫ!$B$17:$G$17)</f>
        <v>0.62205</v>
      </c>
      <c r="J2279" s="12" t="n">
        <f aca="false">I2279*G2279/1000</f>
        <v>0.062205</v>
      </c>
      <c r="K2279" s="11" t="s">
        <v>217</v>
      </c>
      <c r="L2279" s="11" t="s">
        <v>19</v>
      </c>
      <c r="M2279" s="11" t="s">
        <v>147</v>
      </c>
    </row>
    <row r="2280" customFormat="false" ht="15" hidden="false" customHeight="false" outlineLevel="0" collapsed="false">
      <c r="A2280" s="11" t="s">
        <v>111</v>
      </c>
      <c r="B2280" s="11" t="s">
        <v>137</v>
      </c>
      <c r="C2280" s="11" t="n">
        <v>7</v>
      </c>
      <c r="D2280" s="11" t="s">
        <v>78</v>
      </c>
      <c r="E2280" s="11" t="s">
        <v>159</v>
      </c>
      <c r="F2280" s="11" t="s">
        <v>77</v>
      </c>
      <c r="G2280" s="12" t="n">
        <v>350</v>
      </c>
      <c r="H2280" s="12" t="n">
        <f aca="false">SUMPRODUCT(ПОТОКИ!B15:G15,ЧАСОВЫЕ_ПРОФИЛИ!B24:G24,КОЭФФИЦИЕНТЫ_ВЫБОРА!F17:K17)</f>
        <v>0.52875</v>
      </c>
      <c r="I2280" s="12" t="n">
        <f aca="false">SUMPRODUCT(ПОТОКИ!B15:G15,ЧАСОВЫЕ_ПРОФИЛИ!B24:G24,КОЭФФИЦИЕНТЫ_ВЫБОРА!F17:K17,ПАРАМЕТРЫ!$B$17:$G$17)</f>
        <v>0.581625</v>
      </c>
      <c r="J2280" s="12" t="n">
        <f aca="false">I2280*G2280/1000</f>
        <v>0.20356875</v>
      </c>
      <c r="K2280" s="11" t="s">
        <v>217</v>
      </c>
      <c r="L2280" s="11" t="s">
        <v>19</v>
      </c>
      <c r="M2280" s="11" t="s">
        <v>147</v>
      </c>
    </row>
    <row r="2281" customFormat="false" ht="15" hidden="false" customHeight="false" outlineLevel="0" collapsed="false">
      <c r="A2281" s="11" t="s">
        <v>111</v>
      </c>
      <c r="B2281" s="11" t="s">
        <v>137</v>
      </c>
      <c r="C2281" s="11" t="n">
        <v>8</v>
      </c>
      <c r="D2281" s="11" t="s">
        <v>78</v>
      </c>
      <c r="E2281" s="11" t="s">
        <v>160</v>
      </c>
      <c r="F2281" s="11" t="s">
        <v>77</v>
      </c>
      <c r="G2281" s="12" t="n">
        <v>85</v>
      </c>
      <c r="H2281" s="12" t="n">
        <f aca="false">SUMPRODUCT(ПОТОКИ!B15:G15,ЧАСОВЫЕ_ПРОФИЛИ!B24:G24,КОЭФФИЦИЕНТЫ_ВЫБОРА!F18:K18)</f>
        <v>0.35025</v>
      </c>
      <c r="I2281" s="12" t="n">
        <f aca="false">SUMPRODUCT(ПОТОКИ!B15:G15,ЧАСОВЫЕ_ПРОФИЛИ!B24:G24,КОЭФФИЦИЕНТЫ_ВЫБОРА!F18:K18,ПАРАМЕТРЫ!$B$17:$G$17)</f>
        <v>0.385275</v>
      </c>
      <c r="J2281" s="12" t="n">
        <f aca="false">I2281*G2281/1000</f>
        <v>0.032748375</v>
      </c>
      <c r="K2281" s="11" t="s">
        <v>217</v>
      </c>
      <c r="L2281" s="11" t="s">
        <v>19</v>
      </c>
      <c r="M2281" s="11" t="s">
        <v>147</v>
      </c>
    </row>
    <row r="2282" customFormat="false" ht="15" hidden="false" customHeight="false" outlineLevel="0" collapsed="false">
      <c r="A2282" s="11" t="s">
        <v>111</v>
      </c>
      <c r="B2282" s="11" t="s">
        <v>137</v>
      </c>
      <c r="C2282" s="11" t="n">
        <v>9</v>
      </c>
      <c r="D2282" s="11" t="s">
        <v>161</v>
      </c>
      <c r="E2282" s="11" t="s">
        <v>162</v>
      </c>
      <c r="F2282" s="11" t="s">
        <v>80</v>
      </c>
      <c r="G2282" s="12" t="n">
        <v>300</v>
      </c>
      <c r="H2282" s="12" t="n">
        <f aca="false">SUMPRODUCT(ПОТОКИ!B15:G15,ЧАСОВЫЕ_ПРОФИЛИ!B24:G24,КОЭФФИЦИЕНТЫ_ВЫБОРА!F19:K19)</f>
        <v>0.9615</v>
      </c>
      <c r="I2282" s="12" t="n">
        <f aca="false">SUMPRODUCT(ПОТОКИ!B15:G15,ЧАСОВЫЕ_ПРОФИЛИ!B24:G24,КОЭФФИЦИЕНТЫ_ВЫБОРА!F19:K19,ПАРАМЕТРЫ!$B$17:$G$17)</f>
        <v>1.05765</v>
      </c>
      <c r="J2282" s="12" t="n">
        <f aca="false">I2282*G2282/1000</f>
        <v>0.317295</v>
      </c>
      <c r="K2282" s="11" t="s">
        <v>217</v>
      </c>
      <c r="L2282" s="11" t="s">
        <v>19</v>
      </c>
      <c r="M2282" s="11" t="s">
        <v>145</v>
      </c>
    </row>
    <row r="2283" customFormat="false" ht="15" hidden="false" customHeight="false" outlineLevel="0" collapsed="false">
      <c r="A2283" s="11" t="s">
        <v>111</v>
      </c>
      <c r="B2283" s="11" t="s">
        <v>137</v>
      </c>
      <c r="C2283" s="11" t="n">
        <v>10</v>
      </c>
      <c r="D2283" s="11" t="s">
        <v>161</v>
      </c>
      <c r="E2283" s="11" t="s">
        <v>163</v>
      </c>
      <c r="F2283" s="11" t="s">
        <v>80</v>
      </c>
      <c r="G2283" s="12" t="n">
        <v>280</v>
      </c>
      <c r="H2283" s="12" t="n">
        <f aca="false">SUMPRODUCT(ПОТОКИ!B15:G15,ЧАСОВЫЕ_ПРОФИЛИ!B24:G24,КОЭФФИЦИЕНТЫ_ВЫБОРА!F20:K20)</f>
        <v>1.038</v>
      </c>
      <c r="I2283" s="12" t="n">
        <f aca="false">SUMPRODUCT(ПОТОКИ!B15:G15,ЧАСОВЫЕ_ПРОФИЛИ!B24:G24,КОЭФФИЦИЕНТЫ_ВЫБОРА!F20:K20,ПАРАМЕТРЫ!$B$17:$G$17)</f>
        <v>1.1418</v>
      </c>
      <c r="J2283" s="12" t="n">
        <f aca="false">I2283*G2283/1000</f>
        <v>0.319704</v>
      </c>
      <c r="K2283" s="11" t="s">
        <v>217</v>
      </c>
      <c r="L2283" s="11" t="s">
        <v>19</v>
      </c>
      <c r="M2283" s="11" t="s">
        <v>145</v>
      </c>
    </row>
    <row r="2284" customFormat="false" ht="15" hidden="false" customHeight="false" outlineLevel="0" collapsed="false">
      <c r="A2284" s="11" t="s">
        <v>111</v>
      </c>
      <c r="B2284" s="11" t="s">
        <v>137</v>
      </c>
      <c r="C2284" s="11" t="n">
        <v>11</v>
      </c>
      <c r="D2284" s="11" t="s">
        <v>161</v>
      </c>
      <c r="E2284" s="11" t="s">
        <v>164</v>
      </c>
      <c r="F2284" s="11" t="s">
        <v>80</v>
      </c>
      <c r="G2284" s="12" t="n">
        <v>270</v>
      </c>
      <c r="H2284" s="12" t="n">
        <f aca="false">SUMPRODUCT(ПОТОКИ!B15:G15,ЧАСОВЫЕ_ПРОФИЛИ!B24:G24,КОЭФФИЦИЕНТЫ_ВЫБОРА!F21:K21)</f>
        <v>1.65675</v>
      </c>
      <c r="I2284" s="12" t="n">
        <f aca="false">SUMPRODUCT(ПОТОКИ!B15:G15,ЧАСОВЫЕ_ПРОФИЛИ!B24:G24,КОЭФФИЦИЕНТЫ_ВЫБОРА!F21:K21,ПАРАМЕТРЫ!$B$17:$G$17)</f>
        <v>1.822425</v>
      </c>
      <c r="J2284" s="12" t="n">
        <f aca="false">I2284*G2284/1000</f>
        <v>0.49205475</v>
      </c>
      <c r="K2284" s="11" t="s">
        <v>217</v>
      </c>
      <c r="L2284" s="11" t="s">
        <v>19</v>
      </c>
      <c r="M2284" s="11" t="s">
        <v>145</v>
      </c>
    </row>
    <row r="2285" customFormat="false" ht="15" hidden="false" customHeight="false" outlineLevel="0" collapsed="false">
      <c r="A2285" s="11" t="s">
        <v>111</v>
      </c>
      <c r="B2285" s="11" t="s">
        <v>137</v>
      </c>
      <c r="C2285" s="11" t="n">
        <v>12</v>
      </c>
      <c r="D2285" s="11" t="s">
        <v>161</v>
      </c>
      <c r="E2285" s="11" t="s">
        <v>165</v>
      </c>
      <c r="F2285" s="11" t="s">
        <v>80</v>
      </c>
      <c r="G2285" s="12" t="n">
        <v>240</v>
      </c>
      <c r="H2285" s="12" t="n">
        <f aca="false">SUMPRODUCT(ПОТОКИ!B15:G15,ЧАСОВЫЕ_ПРОФИЛИ!B24:G24,КОЭФФИЦИЕНТЫ_ВЫБОРА!F22:K22)</f>
        <v>0.85875</v>
      </c>
      <c r="I2285" s="12" t="n">
        <f aca="false">SUMPRODUCT(ПОТОКИ!B15:G15,ЧАСОВЫЕ_ПРОФИЛИ!B24:G24,КОЭФФИЦИЕНТЫ_ВЫБОРА!F22:K22,ПАРАМЕТРЫ!$B$17:$G$17)</f>
        <v>0.944625</v>
      </c>
      <c r="J2285" s="12" t="n">
        <f aca="false">I2285*G2285/1000</f>
        <v>0.22671</v>
      </c>
      <c r="K2285" s="11" t="s">
        <v>217</v>
      </c>
      <c r="L2285" s="11" t="s">
        <v>19</v>
      </c>
      <c r="M2285" s="11" t="s">
        <v>145</v>
      </c>
    </row>
    <row r="2286" customFormat="false" ht="15" hidden="false" customHeight="false" outlineLevel="0" collapsed="false">
      <c r="A2286" s="11" t="s">
        <v>111</v>
      </c>
      <c r="B2286" s="11" t="s">
        <v>137</v>
      </c>
      <c r="C2286" s="11" t="n">
        <v>13</v>
      </c>
      <c r="D2286" s="11" t="s">
        <v>166</v>
      </c>
      <c r="E2286" s="11" t="s">
        <v>167</v>
      </c>
      <c r="F2286" s="11" t="s">
        <v>80</v>
      </c>
      <c r="G2286" s="12" t="n">
        <v>130</v>
      </c>
      <c r="H2286" s="12" t="n">
        <f aca="false">SUMPRODUCT(ПОТОКИ!B15:G15,ЧАСОВЫЕ_ПРОФИЛИ!B24:G24,КОЭФФИЦИЕНТЫ_ВЫБОРА!F23:K23)</f>
        <v>0.57</v>
      </c>
      <c r="I2286" s="12" t="n">
        <f aca="false">SUMPRODUCT(ПОТОКИ!B15:G15,ЧАСОВЫЕ_ПРОФИЛИ!B24:G24,КОЭФФИЦИЕНТЫ_ВЫБОРА!F23:K23,ПАРАМЕТРЫ!$B$17:$G$17)</f>
        <v>0.627</v>
      </c>
      <c r="J2286" s="12" t="n">
        <f aca="false">I2286*G2286/1000</f>
        <v>0.08151</v>
      </c>
      <c r="K2286" s="11" t="s">
        <v>217</v>
      </c>
      <c r="L2286" s="11" t="s">
        <v>19</v>
      </c>
      <c r="M2286" s="11" t="s">
        <v>145</v>
      </c>
    </row>
    <row r="2287" customFormat="false" ht="15" hidden="false" customHeight="false" outlineLevel="0" collapsed="false">
      <c r="A2287" s="11" t="s">
        <v>111</v>
      </c>
      <c r="B2287" s="11" t="s">
        <v>137</v>
      </c>
      <c r="C2287" s="11" t="n">
        <v>14</v>
      </c>
      <c r="D2287" s="11" t="s">
        <v>166</v>
      </c>
      <c r="E2287" s="11" t="s">
        <v>168</v>
      </c>
      <c r="F2287" s="11" t="s">
        <v>80</v>
      </c>
      <c r="G2287" s="12" t="n">
        <v>250</v>
      </c>
      <c r="H2287" s="12" t="n">
        <f aca="false">SUMPRODUCT(ПОТОКИ!B15:G15,ЧАСОВЫЕ_ПРОФИЛИ!B24:G24,КОЭФФИЦИЕНТЫ_ВЫБОРА!F24:K24)</f>
        <v>0.42</v>
      </c>
      <c r="I2287" s="12" t="n">
        <f aca="false">SUMPRODUCT(ПОТОКИ!B15:G15,ЧАСОВЫЕ_ПРОФИЛИ!B24:G24,КОЭФФИЦИЕНТЫ_ВЫБОРА!F24:K24,ПАРАМЕТРЫ!$B$17:$G$17)</f>
        <v>0.462</v>
      </c>
      <c r="J2287" s="12" t="n">
        <f aca="false">I2287*G2287/1000</f>
        <v>0.1155</v>
      </c>
      <c r="K2287" s="11" t="s">
        <v>217</v>
      </c>
      <c r="L2287" s="11" t="s">
        <v>19</v>
      </c>
      <c r="M2287" s="11" t="s">
        <v>145</v>
      </c>
    </row>
    <row r="2288" customFormat="false" ht="15" hidden="false" customHeight="false" outlineLevel="0" collapsed="false">
      <c r="A2288" s="11" t="s">
        <v>111</v>
      </c>
      <c r="B2288" s="11" t="s">
        <v>137</v>
      </c>
      <c r="C2288" s="11" t="n">
        <v>15</v>
      </c>
      <c r="D2288" s="11" t="s">
        <v>166</v>
      </c>
      <c r="E2288" s="11" t="s">
        <v>169</v>
      </c>
      <c r="F2288" s="11" t="s">
        <v>80</v>
      </c>
      <c r="G2288" s="12" t="n">
        <v>120</v>
      </c>
      <c r="H2288" s="12" t="n">
        <f aca="false">SUMPRODUCT(ПОТОКИ!B15:G15,ЧАСОВЫЕ_ПРОФИЛИ!B24:G24,КОЭФФИЦИЕНТЫ_ВЫБОРА!F25:K25)</f>
        <v>0.33</v>
      </c>
      <c r="I2288" s="12" t="n">
        <f aca="false">SUMPRODUCT(ПОТОКИ!B15:G15,ЧАСОВЫЕ_ПРОФИЛИ!B24:G24,КОЭФФИЦИЕНТЫ_ВЫБОРА!F25:K25,ПАРАМЕТРЫ!$B$17:$G$17)</f>
        <v>0.363</v>
      </c>
      <c r="J2288" s="12" t="n">
        <f aca="false">I2288*G2288/1000</f>
        <v>0.04356</v>
      </c>
      <c r="K2288" s="11" t="s">
        <v>217</v>
      </c>
      <c r="L2288" s="11" t="s">
        <v>19</v>
      </c>
      <c r="M2288" s="11" t="s">
        <v>145</v>
      </c>
    </row>
    <row r="2289" customFormat="false" ht="15" hidden="false" customHeight="false" outlineLevel="0" collapsed="false">
      <c r="A2289" s="11" t="s">
        <v>111</v>
      </c>
      <c r="B2289" s="11" t="s">
        <v>137</v>
      </c>
      <c r="C2289" s="11" t="n">
        <v>16</v>
      </c>
      <c r="D2289" s="11" t="s">
        <v>166</v>
      </c>
      <c r="E2289" s="11" t="s">
        <v>170</v>
      </c>
      <c r="F2289" s="11" t="s">
        <v>80</v>
      </c>
      <c r="G2289" s="12" t="n">
        <v>180</v>
      </c>
      <c r="H2289" s="12" t="n">
        <f aca="false">SUMPRODUCT(ПОТОКИ!B15:G15,ЧАСОВЫЕ_ПРОФИЛИ!B24:G24,КОЭФФИЦИЕНТЫ_ВЫБОРА!F26:K26)</f>
        <v>0.51</v>
      </c>
      <c r="I2289" s="12" t="n">
        <f aca="false">SUMPRODUCT(ПОТОКИ!B15:G15,ЧАСОВЫЕ_ПРОФИЛИ!B24:G24,КОЭФФИЦИЕНТЫ_ВЫБОРА!F26:K26,ПАРАМЕТРЫ!$B$17:$G$17)</f>
        <v>0.561</v>
      </c>
      <c r="J2289" s="12" t="n">
        <f aca="false">I2289*G2289/1000</f>
        <v>0.10098</v>
      </c>
      <c r="K2289" s="11" t="s">
        <v>217</v>
      </c>
      <c r="L2289" s="11" t="s">
        <v>19</v>
      </c>
      <c r="M2289" s="11" t="s">
        <v>145</v>
      </c>
    </row>
    <row r="2290" customFormat="false" ht="15" hidden="false" customHeight="false" outlineLevel="0" collapsed="false">
      <c r="A2290" s="11" t="s">
        <v>111</v>
      </c>
      <c r="B2290" s="11" t="s">
        <v>137</v>
      </c>
      <c r="C2290" s="11" t="n">
        <v>17</v>
      </c>
      <c r="D2290" s="11" t="s">
        <v>166</v>
      </c>
      <c r="E2290" s="11" t="s">
        <v>171</v>
      </c>
      <c r="F2290" s="11" t="s">
        <v>80</v>
      </c>
      <c r="G2290" s="12" t="n">
        <v>180</v>
      </c>
      <c r="H2290" s="12" t="n">
        <f aca="false">SUMPRODUCT(ПОТОКИ!B15:G15,ЧАСОВЫЕ_ПРОФИЛИ!B24:G24,КОЭФФИЦИЕНТЫ_ВЫБОРА!F27:K27)</f>
        <v>0.57</v>
      </c>
      <c r="I2290" s="12" t="n">
        <f aca="false">SUMPRODUCT(ПОТОКИ!B15:G15,ЧАСОВЫЕ_ПРОФИЛИ!B24:G24,КОЭФФИЦИЕНТЫ_ВЫБОРА!F27:K27,ПАРАМЕТРЫ!$B$17:$G$17)</f>
        <v>0.627</v>
      </c>
      <c r="J2290" s="12" t="n">
        <f aca="false">I2290*G2290/1000</f>
        <v>0.11286</v>
      </c>
      <c r="K2290" s="11" t="s">
        <v>217</v>
      </c>
      <c r="L2290" s="11" t="s">
        <v>19</v>
      </c>
      <c r="M2290" s="11" t="s">
        <v>145</v>
      </c>
    </row>
    <row r="2291" customFormat="false" ht="15" hidden="false" customHeight="false" outlineLevel="0" collapsed="false">
      <c r="A2291" s="11" t="s">
        <v>111</v>
      </c>
      <c r="B2291" s="11" t="s">
        <v>137</v>
      </c>
      <c r="C2291" s="11" t="n">
        <v>18</v>
      </c>
      <c r="D2291" s="11" t="s">
        <v>172</v>
      </c>
      <c r="E2291" s="11" t="s">
        <v>173</v>
      </c>
      <c r="F2291" s="11" t="s">
        <v>83</v>
      </c>
      <c r="G2291" s="12" t="n">
        <v>400</v>
      </c>
      <c r="H2291" s="12" t="n">
        <f aca="false">SUMPRODUCT(ПОТОКИ!B15:G15,ЧАСОВЫЕ_ПРОФИЛИ!B24:G24,КОЭФФИЦИЕНТЫ_ВЫБОРА!F28:K28)</f>
        <v>0.9</v>
      </c>
      <c r="I2291" s="12" t="n">
        <f aca="false">SUMPRODUCT(ПОТОКИ!B15:G15,ЧАСОВЫЕ_ПРОФИЛИ!B24:G24,КОЭФФИЦИЕНТЫ_ВЫБОРА!F28:K28,ПАРАМЕТРЫ!$B$17:$G$17)</f>
        <v>0.99</v>
      </c>
      <c r="J2291" s="12" t="n">
        <f aca="false">I2291*G2291/1000</f>
        <v>0.396</v>
      </c>
      <c r="K2291" s="11" t="s">
        <v>217</v>
      </c>
      <c r="L2291" s="11" t="s">
        <v>19</v>
      </c>
      <c r="M2291" s="11" t="s">
        <v>145</v>
      </c>
    </row>
    <row r="2292" customFormat="false" ht="23.85" hidden="false" customHeight="false" outlineLevel="0" collapsed="false">
      <c r="A2292" s="11" t="s">
        <v>111</v>
      </c>
      <c r="B2292" s="11" t="s">
        <v>137</v>
      </c>
      <c r="C2292" s="11" t="n">
        <v>19</v>
      </c>
      <c r="D2292" s="11" t="s">
        <v>174</v>
      </c>
      <c r="E2292" s="11" t="s">
        <v>175</v>
      </c>
      <c r="F2292" s="11" t="s">
        <v>83</v>
      </c>
      <c r="G2292" s="12" t="n">
        <v>300</v>
      </c>
      <c r="H2292" s="12" t="n">
        <f aca="false">SUMPRODUCT(ПОТОКИ!B15:G15,ЧАСОВЫЕ_ПРОФИЛИ!B24:G24,КОЭФФИЦИЕНТЫ_ВЫБОРА!F29:K29)</f>
        <v>2.6355</v>
      </c>
      <c r="I2292" s="12" t="n">
        <f aca="false">SUMPRODUCT(ПОТОКИ!B15:G15,ЧАСОВЫЕ_ПРОФИЛИ!B24:G24,КОЭФФИЦИЕНТЫ_ВЫБОРА!F29:K29,ПАРАМЕТРЫ!$B$17:$G$17)</f>
        <v>2.89905</v>
      </c>
      <c r="J2292" s="12" t="n">
        <f aca="false">I2292*G2292/1000</f>
        <v>0.869715</v>
      </c>
      <c r="K2292" s="11" t="s">
        <v>217</v>
      </c>
      <c r="L2292" s="11" t="s">
        <v>19</v>
      </c>
      <c r="M2292" s="11" t="s">
        <v>145</v>
      </c>
    </row>
    <row r="2293" customFormat="false" ht="15" hidden="false" customHeight="false" outlineLevel="0" collapsed="false">
      <c r="A2293" s="11" t="s">
        <v>111</v>
      </c>
      <c r="B2293" s="11" t="s">
        <v>137</v>
      </c>
      <c r="C2293" s="11" t="n">
        <v>20</v>
      </c>
      <c r="D2293" s="11" t="s">
        <v>174</v>
      </c>
      <c r="E2293" s="11" t="s">
        <v>176</v>
      </c>
      <c r="F2293" s="11" t="s">
        <v>83</v>
      </c>
      <c r="G2293" s="12" t="n">
        <v>360</v>
      </c>
      <c r="H2293" s="12" t="n">
        <f aca="false">SUMPRODUCT(ПОТОКИ!B15:G15,ЧАСОВЫЕ_ПРОФИЛИ!B24:G24,КОЭФФИЦИЕНТЫ_ВЫБОРА!F30:K30)</f>
        <v>2.19</v>
      </c>
      <c r="I2293" s="12" t="n">
        <f aca="false">SUMPRODUCT(ПОТОКИ!B15:G15,ЧАСОВЫЕ_ПРОФИЛИ!B24:G24,КОЭФФИЦИЕНТЫ_ВЫБОРА!F30:K30,ПАРАМЕТРЫ!$B$17:$G$17)</f>
        <v>2.409</v>
      </c>
      <c r="J2293" s="12" t="n">
        <f aca="false">I2293*G2293/1000</f>
        <v>0.86724</v>
      </c>
      <c r="K2293" s="11" t="s">
        <v>217</v>
      </c>
      <c r="L2293" s="11" t="s">
        <v>19</v>
      </c>
      <c r="M2293" s="11" t="s">
        <v>145</v>
      </c>
    </row>
    <row r="2294" customFormat="false" ht="15" hidden="false" customHeight="false" outlineLevel="0" collapsed="false">
      <c r="A2294" s="11" t="s">
        <v>111</v>
      </c>
      <c r="B2294" s="11" t="s">
        <v>137</v>
      </c>
      <c r="C2294" s="11" t="n">
        <v>21</v>
      </c>
      <c r="D2294" s="11" t="s">
        <v>174</v>
      </c>
      <c r="E2294" s="11" t="s">
        <v>177</v>
      </c>
      <c r="F2294" s="11" t="s">
        <v>83</v>
      </c>
      <c r="G2294" s="12" t="n">
        <v>350</v>
      </c>
      <c r="H2294" s="12" t="n">
        <f aca="false">SUMPRODUCT(ПОТОКИ!B15:G15,ЧАСОВЫЕ_ПРОФИЛИ!B24:G24,КОЭФФИЦИЕНТЫ_ВЫБОРА!F31:K31)</f>
        <v>3.2085</v>
      </c>
      <c r="I2294" s="12" t="n">
        <f aca="false">SUMPRODUCT(ПОТОКИ!B15:G15,ЧАСОВЫЕ_ПРОФИЛИ!B24:G24,КОЭФФИЦИЕНТЫ_ВЫБОРА!F31:K31,ПАРАМЕТРЫ!$B$17:$G$17)</f>
        <v>3.52935</v>
      </c>
      <c r="J2294" s="12" t="n">
        <f aca="false">I2294*G2294/1000</f>
        <v>1.2352725</v>
      </c>
      <c r="K2294" s="11" t="s">
        <v>217</v>
      </c>
      <c r="L2294" s="11" t="s">
        <v>19</v>
      </c>
      <c r="M2294" s="11" t="s">
        <v>145</v>
      </c>
    </row>
    <row r="2295" customFormat="false" ht="15" hidden="false" customHeight="false" outlineLevel="0" collapsed="false">
      <c r="A2295" s="11" t="s">
        <v>111</v>
      </c>
      <c r="B2295" s="11" t="s">
        <v>137</v>
      </c>
      <c r="C2295" s="11" t="n">
        <v>22</v>
      </c>
      <c r="D2295" s="11" t="s">
        <v>174</v>
      </c>
      <c r="E2295" s="11" t="s">
        <v>178</v>
      </c>
      <c r="F2295" s="11" t="s">
        <v>83</v>
      </c>
      <c r="G2295" s="12" t="n">
        <v>300</v>
      </c>
      <c r="H2295" s="12" t="n">
        <f aca="false">SUMPRODUCT(ПОТОКИ!B15:G15,ЧАСОВЫЕ_ПРОФИЛИ!B24:G24,КОЭФФИЦИЕНТЫ_ВЫБОРА!F32:K32)</f>
        <v>2.406</v>
      </c>
      <c r="I2295" s="12" t="n">
        <f aca="false">SUMPRODUCT(ПОТОКИ!B15:G15,ЧАСОВЫЕ_ПРОФИЛИ!B24:G24,КОЭФФИЦИЕНТЫ_ВЫБОРА!F32:K32,ПАРАМЕТРЫ!$B$17:$G$17)</f>
        <v>2.6466</v>
      </c>
      <c r="J2295" s="12" t="n">
        <f aca="false">I2295*G2295/1000</f>
        <v>0.79398</v>
      </c>
      <c r="K2295" s="11" t="s">
        <v>217</v>
      </c>
      <c r="L2295" s="11" t="s">
        <v>19</v>
      </c>
      <c r="M2295" s="11" t="s">
        <v>145</v>
      </c>
    </row>
    <row r="2296" customFormat="false" ht="15" hidden="false" customHeight="false" outlineLevel="0" collapsed="false">
      <c r="A2296" s="11" t="s">
        <v>111</v>
      </c>
      <c r="B2296" s="11" t="s">
        <v>137</v>
      </c>
      <c r="C2296" s="11" t="n">
        <v>23</v>
      </c>
      <c r="D2296" s="11" t="s">
        <v>86</v>
      </c>
      <c r="E2296" s="11" t="s">
        <v>179</v>
      </c>
      <c r="F2296" s="11" t="s">
        <v>85</v>
      </c>
      <c r="G2296" s="12" t="n">
        <v>150</v>
      </c>
      <c r="H2296" s="12" t="n">
        <f aca="false">SUMPRODUCT(ПОТОКИ!B15:G15,ЧАСОВЫЕ_ПРОФИЛИ!B24:G24,КОЭФФИЦИЕНТЫ_ВЫБОРА!F33:K33)</f>
        <v>2.0930625</v>
      </c>
      <c r="I2296" s="12" t="n">
        <f aca="false">SUMPRODUCT(ПОТОКИ!B15:G15,ЧАСОВЫЕ_ПРОФИЛИ!B24:G24,КОЭФФИЦИЕНТЫ_ВЫБОРА!F33:K33,ПАРАМЕТРЫ!$B$17:$G$17)</f>
        <v>2.30236875</v>
      </c>
      <c r="J2296" s="12" t="n">
        <f aca="false">I2296*G2296/1000</f>
        <v>0.3453553125</v>
      </c>
      <c r="K2296" s="11" t="s">
        <v>217</v>
      </c>
      <c r="L2296" s="11" t="s">
        <v>19</v>
      </c>
      <c r="M2296" s="11" t="s">
        <v>147</v>
      </c>
    </row>
    <row r="2297" customFormat="false" ht="15" hidden="false" customHeight="false" outlineLevel="0" collapsed="false">
      <c r="A2297" s="11" t="s">
        <v>111</v>
      </c>
      <c r="B2297" s="11" t="s">
        <v>137</v>
      </c>
      <c r="C2297" s="11" t="n">
        <v>24</v>
      </c>
      <c r="D2297" s="11" t="s">
        <v>86</v>
      </c>
      <c r="E2297" s="11" t="s">
        <v>180</v>
      </c>
      <c r="F2297" s="11" t="s">
        <v>85</v>
      </c>
      <c r="G2297" s="12" t="n">
        <v>150</v>
      </c>
      <c r="H2297" s="12" t="n">
        <f aca="false">SUMPRODUCT(ПОТОКИ!B15:G15,ЧАСОВЫЕ_ПРОФИЛИ!B24:G24,КОЭФФИЦИЕНТЫ_ВЫБОРА!F34:K34)</f>
        <v>1.0953</v>
      </c>
      <c r="I2297" s="12" t="n">
        <f aca="false">SUMPRODUCT(ПОТОКИ!B15:G15,ЧАСОВЫЕ_ПРОФИЛИ!B24:G24,КОЭФФИЦИЕНТЫ_ВЫБОРА!F34:K34,ПАРАМЕТРЫ!$B$17:$G$17)</f>
        <v>1.20483</v>
      </c>
      <c r="J2297" s="12" t="n">
        <f aca="false">I2297*G2297/1000</f>
        <v>0.1807245</v>
      </c>
      <c r="K2297" s="11" t="s">
        <v>217</v>
      </c>
      <c r="L2297" s="11" t="s">
        <v>19</v>
      </c>
      <c r="M2297" s="11" t="s">
        <v>147</v>
      </c>
    </row>
    <row r="2298" customFormat="false" ht="15" hidden="false" customHeight="false" outlineLevel="0" collapsed="false">
      <c r="A2298" s="11" t="s">
        <v>111</v>
      </c>
      <c r="B2298" s="11" t="s">
        <v>137</v>
      </c>
      <c r="C2298" s="11" t="n">
        <v>25</v>
      </c>
      <c r="D2298" s="11" t="s">
        <v>86</v>
      </c>
      <c r="E2298" s="11" t="s">
        <v>181</v>
      </c>
      <c r="F2298" s="11" t="s">
        <v>85</v>
      </c>
      <c r="G2298" s="12" t="n">
        <v>150</v>
      </c>
      <c r="H2298" s="12" t="n">
        <f aca="false">SUMPRODUCT(ПОТОКИ!B15:G15,ЧАСОВЫЕ_ПРОФИЛИ!B24:G24,КОЭФФИЦИЕНТЫ_ВЫБОРА!F35:K35)</f>
        <v>2.2881375</v>
      </c>
      <c r="I2298" s="12" t="n">
        <f aca="false">SUMPRODUCT(ПОТОКИ!B15:G15,ЧАСОВЫЕ_ПРОФИЛИ!B24:G24,КОЭФФИЦИЕНТЫ_ВЫБОРА!F35:K35,ПАРАМЕТРЫ!$B$17:$G$17)</f>
        <v>2.51695125</v>
      </c>
      <c r="J2298" s="12" t="n">
        <f aca="false">I2298*G2298/1000</f>
        <v>0.3775426875</v>
      </c>
      <c r="K2298" s="11" t="s">
        <v>217</v>
      </c>
      <c r="L2298" s="11" t="s">
        <v>19</v>
      </c>
      <c r="M2298" s="11" t="s">
        <v>147</v>
      </c>
    </row>
    <row r="2299" customFormat="false" ht="23.85" hidden="false" customHeight="false" outlineLevel="0" collapsed="false">
      <c r="A2299" s="11" t="s">
        <v>111</v>
      </c>
      <c r="B2299" s="11" t="s">
        <v>137</v>
      </c>
      <c r="C2299" s="11" t="n">
        <v>26</v>
      </c>
      <c r="D2299" s="11" t="s">
        <v>89</v>
      </c>
      <c r="E2299" s="11" t="s">
        <v>182</v>
      </c>
      <c r="F2299" s="11" t="s">
        <v>88</v>
      </c>
      <c r="G2299" s="12" t="n">
        <v>225</v>
      </c>
      <c r="H2299" s="12" t="n">
        <f aca="false">SUMPRODUCT(ПОТОКИ!B15:G15,ЧАСОВЫЕ_ПРОФИЛИ!B24:G24,КОЭФФИЦИЕНТЫ_ВЫБОРА!F36:K36)</f>
        <v>0</v>
      </c>
      <c r="I2299" s="12" t="n">
        <f aca="false">SUMPRODUCT(ПОТОКИ!B15:G15,ЧАСОВЫЕ_ПРОФИЛИ!B24:G24,КОЭФФИЦИЕНТЫ_ВЫБОРА!F36:K36,ПАРАМЕТРЫ!$B$17:$G$17)</f>
        <v>0</v>
      </c>
      <c r="J2299" s="12" t="n">
        <f aca="false">I2299*G2299/1000</f>
        <v>0</v>
      </c>
      <c r="K2299" s="11" t="s">
        <v>217</v>
      </c>
      <c r="L2299" s="11" t="s">
        <v>19</v>
      </c>
      <c r="M2299" s="11" t="s">
        <v>145</v>
      </c>
    </row>
    <row r="2300" customFormat="false" ht="23.85" hidden="false" customHeight="false" outlineLevel="0" collapsed="false">
      <c r="A2300" s="11" t="s">
        <v>111</v>
      </c>
      <c r="B2300" s="11" t="s">
        <v>137</v>
      </c>
      <c r="C2300" s="11" t="n">
        <v>27</v>
      </c>
      <c r="D2300" s="11" t="s">
        <v>89</v>
      </c>
      <c r="E2300" s="11" t="s">
        <v>183</v>
      </c>
      <c r="F2300" s="11" t="s">
        <v>88</v>
      </c>
      <c r="G2300" s="12" t="n">
        <v>265</v>
      </c>
      <c r="H2300" s="12" t="n">
        <f aca="false">SUMPRODUCT(ПОТОКИ!B15:G15,ЧАСОВЫЕ_ПРОФИЛИ!B24:G24,КОЭФФИЦИЕНТЫ_ВЫБОРА!F37:K37)</f>
        <v>0</v>
      </c>
      <c r="I2300" s="12" t="n">
        <f aca="false">SUMPRODUCT(ПОТОКИ!B15:G15,ЧАСОВЫЕ_ПРОФИЛИ!B24:G24,КОЭФФИЦИЕНТЫ_ВЫБОРА!F37:K37,ПАРАМЕТРЫ!$B$17:$G$17)</f>
        <v>0</v>
      </c>
      <c r="J2300" s="12" t="n">
        <f aca="false">I2300*G2300/1000</f>
        <v>0</v>
      </c>
      <c r="K2300" s="11" t="s">
        <v>217</v>
      </c>
      <c r="L2300" s="11" t="s">
        <v>19</v>
      </c>
      <c r="M2300" s="11" t="s">
        <v>145</v>
      </c>
    </row>
    <row r="2301" customFormat="false" ht="23.85" hidden="false" customHeight="false" outlineLevel="0" collapsed="false">
      <c r="A2301" s="11" t="s">
        <v>111</v>
      </c>
      <c r="B2301" s="11" t="s">
        <v>137</v>
      </c>
      <c r="C2301" s="11" t="n">
        <v>28</v>
      </c>
      <c r="D2301" s="11" t="s">
        <v>89</v>
      </c>
      <c r="E2301" s="11" t="s">
        <v>184</v>
      </c>
      <c r="F2301" s="11" t="s">
        <v>88</v>
      </c>
      <c r="G2301" s="12" t="n">
        <v>355</v>
      </c>
      <c r="H2301" s="12" t="n">
        <f aca="false">SUMPRODUCT(ПОТОКИ!B15:G15,ЧАСОВЫЕ_ПРОФИЛИ!B24:G24,КОЭФФИЦИЕНТЫ_ВЫБОРА!F38:K38)</f>
        <v>0</v>
      </c>
      <c r="I2301" s="12" t="n">
        <f aca="false">SUMPRODUCT(ПОТОКИ!B15:G15,ЧАСОВЫЕ_ПРОФИЛИ!B24:G24,КОЭФФИЦИЕНТЫ_ВЫБОРА!F38:K38,ПАРАМЕТРЫ!$B$17:$G$17)</f>
        <v>0</v>
      </c>
      <c r="J2301" s="12" t="n">
        <f aca="false">I2301*G2301/1000</f>
        <v>0</v>
      </c>
      <c r="K2301" s="11" t="s">
        <v>217</v>
      </c>
      <c r="L2301" s="11" t="s">
        <v>19</v>
      </c>
      <c r="M2301" s="11" t="s">
        <v>145</v>
      </c>
    </row>
    <row r="2302" customFormat="false" ht="15" hidden="false" customHeight="false" outlineLevel="0" collapsed="false">
      <c r="A2302" s="11" t="s">
        <v>111</v>
      </c>
      <c r="B2302" s="11" t="s">
        <v>137</v>
      </c>
      <c r="C2302" s="11" t="n">
        <v>29</v>
      </c>
      <c r="D2302" s="11" t="s">
        <v>92</v>
      </c>
      <c r="E2302" s="11" t="s">
        <v>185</v>
      </c>
      <c r="F2302" s="11" t="s">
        <v>91</v>
      </c>
      <c r="G2302" s="12" t="n">
        <v>150</v>
      </c>
      <c r="H2302" s="12" t="n">
        <f aca="false">SUMPRODUCT(ПОТОКИ!B15:G15,ЧАСОВЫЕ_ПРОФИЛИ!B24:G24,КОЭФФИЦИЕНТЫ_ВЫБОРА!F39:K39)</f>
        <v>0.612</v>
      </c>
      <c r="I2302" s="12" t="n">
        <f aca="false">SUMPRODUCT(ПОТОКИ!B15:G15,ЧАСОВЫЕ_ПРОФИЛИ!B24:G24,КОЭФФИЦИЕНТЫ_ВЫБОРА!F39:K39,ПАРАМЕТРЫ!$B$17:$G$17)</f>
        <v>0.6732</v>
      </c>
      <c r="J2302" s="12" t="n">
        <f aca="false">I2302*G2302/1000</f>
        <v>0.10098</v>
      </c>
      <c r="K2302" s="11" t="s">
        <v>217</v>
      </c>
      <c r="L2302" s="11" t="s">
        <v>19</v>
      </c>
      <c r="M2302" s="11" t="s">
        <v>145</v>
      </c>
    </row>
    <row r="2303" customFormat="false" ht="15" hidden="false" customHeight="false" outlineLevel="0" collapsed="false">
      <c r="A2303" s="11" t="s">
        <v>111</v>
      </c>
      <c r="B2303" s="11" t="s">
        <v>137</v>
      </c>
      <c r="C2303" s="11" t="n">
        <v>30</v>
      </c>
      <c r="D2303" s="11" t="s">
        <v>92</v>
      </c>
      <c r="E2303" s="11" t="s">
        <v>186</v>
      </c>
      <c r="F2303" s="11" t="s">
        <v>91</v>
      </c>
      <c r="G2303" s="12" t="n">
        <v>120</v>
      </c>
      <c r="H2303" s="12" t="n">
        <f aca="false">SUMPRODUCT(ПОТОКИ!B15:G15,ЧАСОВЫЕ_ПРОФИЛИ!B24:G24,КОЭФФИЦИЕНТЫ_ВЫБОРА!F40:K40)</f>
        <v>0.912</v>
      </c>
      <c r="I2303" s="12" t="n">
        <f aca="false">SUMPRODUCT(ПОТОКИ!B15:G15,ЧАСОВЫЕ_ПРОФИЛИ!B24:G24,КОЭФФИЦИЕНТЫ_ВЫБОРА!F40:K40,ПАРАМЕТРЫ!$B$17:$G$17)</f>
        <v>1.0032</v>
      </c>
      <c r="J2303" s="12" t="n">
        <f aca="false">I2303*G2303/1000</f>
        <v>0.120384</v>
      </c>
      <c r="K2303" s="11" t="s">
        <v>217</v>
      </c>
      <c r="L2303" s="11" t="s">
        <v>19</v>
      </c>
      <c r="M2303" s="11" t="s">
        <v>145</v>
      </c>
    </row>
    <row r="2304" customFormat="false" ht="15" hidden="false" customHeight="false" outlineLevel="0" collapsed="false">
      <c r="A2304" s="11" t="s">
        <v>111</v>
      </c>
      <c r="B2304" s="11" t="s">
        <v>137</v>
      </c>
      <c r="C2304" s="11" t="n">
        <v>31</v>
      </c>
      <c r="D2304" s="11" t="s">
        <v>92</v>
      </c>
      <c r="E2304" s="11" t="s">
        <v>187</v>
      </c>
      <c r="F2304" s="11" t="s">
        <v>91</v>
      </c>
      <c r="G2304" s="12" t="n">
        <v>60</v>
      </c>
      <c r="H2304" s="12" t="n">
        <f aca="false">SUMPRODUCT(ПОТОКИ!B15:G15,ЧАСОВЫЕ_ПРОФИЛИ!B24:G24,КОЭФФИЦИЕНТЫ_ВЫБОРА!F41:K41)</f>
        <v>0.366</v>
      </c>
      <c r="I2304" s="12" t="n">
        <f aca="false">SUMPRODUCT(ПОТОКИ!B15:G15,ЧАСОВЫЕ_ПРОФИЛИ!B24:G24,КОЭФФИЦИЕНТЫ_ВЫБОРА!F41:K41,ПАРАМЕТРЫ!$B$17:$G$17)</f>
        <v>0.4026</v>
      </c>
      <c r="J2304" s="12" t="n">
        <f aca="false">I2304*G2304/1000</f>
        <v>0.024156</v>
      </c>
      <c r="K2304" s="11" t="s">
        <v>217</v>
      </c>
      <c r="L2304" s="11" t="s">
        <v>19</v>
      </c>
      <c r="M2304" s="11" t="s">
        <v>145</v>
      </c>
    </row>
    <row r="2305" customFormat="false" ht="15" hidden="false" customHeight="false" outlineLevel="0" collapsed="false">
      <c r="A2305" s="11" t="s">
        <v>111</v>
      </c>
      <c r="B2305" s="11" t="s">
        <v>138</v>
      </c>
      <c r="C2305" s="11" t="n">
        <v>1</v>
      </c>
      <c r="D2305" s="11" t="s">
        <v>74</v>
      </c>
      <c r="E2305" s="11" t="s">
        <v>153</v>
      </c>
      <c r="F2305" s="11" t="s">
        <v>73</v>
      </c>
      <c r="G2305" s="12" t="n">
        <v>450</v>
      </c>
      <c r="H2305" s="12" t="n">
        <f aca="false">SUMPRODUCT(ПОТОКИ!B15:G15,ЧАСОВЫЕ_ПРОФИЛИ!B25:G25,КОЭФФИЦИЕНТЫ_ВЫБОРА!F11:K11)</f>
        <v>0.32</v>
      </c>
      <c r="I2305" s="12" t="n">
        <f aca="false">SUMPRODUCT(ПОТОКИ!B15:G15,ЧАСОВЫЕ_ПРОФИЛИ!B25:G25,КОЭФФИЦИЕНТЫ_ВЫБОРА!F11:K11,ПАРАМЕТРЫ!$B$17:$G$17)</f>
        <v>0.352</v>
      </c>
      <c r="J2305" s="12" t="n">
        <f aca="false">I2305*G2305/1000</f>
        <v>0.1584</v>
      </c>
      <c r="K2305" s="11" t="s">
        <v>217</v>
      </c>
      <c r="L2305" s="11" t="s">
        <v>19</v>
      </c>
      <c r="M2305" s="11" t="s">
        <v>145</v>
      </c>
    </row>
    <row r="2306" customFormat="false" ht="15" hidden="false" customHeight="false" outlineLevel="0" collapsed="false">
      <c r="A2306" s="11" t="s">
        <v>111</v>
      </c>
      <c r="B2306" s="11" t="s">
        <v>138</v>
      </c>
      <c r="C2306" s="11" t="n">
        <v>2</v>
      </c>
      <c r="D2306" s="11" t="s">
        <v>74</v>
      </c>
      <c r="E2306" s="11" t="s">
        <v>154</v>
      </c>
      <c r="F2306" s="11" t="s">
        <v>73</v>
      </c>
      <c r="G2306" s="12" t="n">
        <v>480</v>
      </c>
      <c r="H2306" s="12" t="n">
        <f aca="false">SUMPRODUCT(ПОТОКИ!B15:G15,ЧАСОВЫЕ_ПРОФИЛИ!B25:G25,КОЭФФИЦИЕНТЫ_ВЫБОРА!F12:K12)</f>
        <v>0.5125</v>
      </c>
      <c r="I2306" s="12" t="n">
        <f aca="false">SUMPRODUCT(ПОТОКИ!B15:G15,ЧАСОВЫЕ_ПРОФИЛИ!B25:G25,КОЭФФИЦИЕНТЫ_ВЫБОРА!F12:K12,ПАРАМЕТРЫ!$B$17:$G$17)</f>
        <v>0.56375</v>
      </c>
      <c r="J2306" s="12" t="n">
        <f aca="false">I2306*G2306/1000</f>
        <v>0.2706</v>
      </c>
      <c r="K2306" s="11" t="s">
        <v>217</v>
      </c>
      <c r="L2306" s="11" t="s">
        <v>19</v>
      </c>
      <c r="M2306" s="11" t="s">
        <v>145</v>
      </c>
    </row>
    <row r="2307" customFormat="false" ht="15" hidden="false" customHeight="false" outlineLevel="0" collapsed="false">
      <c r="A2307" s="11" t="s">
        <v>111</v>
      </c>
      <c r="B2307" s="11" t="s">
        <v>138</v>
      </c>
      <c r="C2307" s="11" t="n">
        <v>3</v>
      </c>
      <c r="D2307" s="11" t="s">
        <v>74</v>
      </c>
      <c r="E2307" s="11" t="s">
        <v>155</v>
      </c>
      <c r="F2307" s="11" t="s">
        <v>73</v>
      </c>
      <c r="G2307" s="12" t="n">
        <v>500</v>
      </c>
      <c r="H2307" s="12" t="n">
        <f aca="false">SUMPRODUCT(ПОТОКИ!B15:G15,ЧАСОВЫЕ_ПРОФИЛИ!B25:G25,КОЭФФИЦИЕНТЫ_ВЫБОРА!F13:K13)</f>
        <v>0.7375</v>
      </c>
      <c r="I2307" s="12" t="n">
        <f aca="false">SUMPRODUCT(ПОТОКИ!B15:G15,ЧАСОВЫЕ_ПРОФИЛИ!B25:G25,КОЭФФИЦИЕНТЫ_ВЫБОРА!F13:K13,ПАРАМЕТРЫ!$B$17:$G$17)</f>
        <v>0.81125</v>
      </c>
      <c r="J2307" s="12" t="n">
        <f aca="false">I2307*G2307/1000</f>
        <v>0.405625</v>
      </c>
      <c r="K2307" s="11" t="s">
        <v>217</v>
      </c>
      <c r="L2307" s="11" t="s">
        <v>19</v>
      </c>
      <c r="M2307" s="11" t="s">
        <v>145</v>
      </c>
    </row>
    <row r="2308" customFormat="false" ht="15" hidden="false" customHeight="false" outlineLevel="0" collapsed="false">
      <c r="A2308" s="11" t="s">
        <v>111</v>
      </c>
      <c r="B2308" s="11" t="s">
        <v>138</v>
      </c>
      <c r="C2308" s="11" t="n">
        <v>4</v>
      </c>
      <c r="D2308" s="11" t="s">
        <v>74</v>
      </c>
      <c r="E2308" s="11" t="s">
        <v>156</v>
      </c>
      <c r="F2308" s="11" t="s">
        <v>73</v>
      </c>
      <c r="G2308" s="12" t="n">
        <v>500</v>
      </c>
      <c r="H2308" s="12" t="n">
        <f aca="false">SUMPRODUCT(ПОТОКИ!B15:G15,ЧАСОВЫЕ_ПРОФИЛИ!B25:G25,КОЭФФИЦИЕНТЫ_ВЫБОРА!F14:K14)</f>
        <v>0.93</v>
      </c>
      <c r="I2308" s="12" t="n">
        <f aca="false">SUMPRODUCT(ПОТОКИ!B15:G15,ЧАСОВЫЕ_ПРОФИЛИ!B25:G25,КОЭФФИЦИЕНТЫ_ВЫБОРА!F14:K14,ПАРАМЕТРЫ!$B$17:$G$17)</f>
        <v>1.023</v>
      </c>
      <c r="J2308" s="12" t="n">
        <f aca="false">I2308*G2308/1000</f>
        <v>0.5115</v>
      </c>
      <c r="K2308" s="11" t="s">
        <v>217</v>
      </c>
      <c r="L2308" s="11" t="s">
        <v>19</v>
      </c>
      <c r="M2308" s="11" t="s">
        <v>145</v>
      </c>
    </row>
    <row r="2309" customFormat="false" ht="15" hidden="false" customHeight="false" outlineLevel="0" collapsed="false">
      <c r="A2309" s="11" t="s">
        <v>111</v>
      </c>
      <c r="B2309" s="11" t="s">
        <v>138</v>
      </c>
      <c r="C2309" s="11" t="n">
        <v>5</v>
      </c>
      <c r="D2309" s="11" t="s">
        <v>78</v>
      </c>
      <c r="E2309" s="11" t="s">
        <v>157</v>
      </c>
      <c r="F2309" s="11" t="s">
        <v>77</v>
      </c>
      <c r="G2309" s="12" t="n">
        <v>100</v>
      </c>
      <c r="H2309" s="12" t="n">
        <f aca="false">SUMPRODUCT(ПОТОКИ!B15:G15,ЧАСОВЫЕ_ПРОФИЛИ!B25:G25,КОЭФФИЦИЕНТЫ_ВЫБОРА!F15:K15)</f>
        <v>0.372</v>
      </c>
      <c r="I2309" s="12" t="n">
        <f aca="false">SUMPRODUCT(ПОТОКИ!B15:G15,ЧАСОВЫЕ_ПРОФИЛИ!B25:G25,КОЭФФИЦИЕНТЫ_ВЫБОРА!F15:K15,ПАРАМЕТРЫ!$B$17:$G$17)</f>
        <v>0.4092</v>
      </c>
      <c r="J2309" s="12" t="n">
        <f aca="false">I2309*G2309/1000</f>
        <v>0.04092</v>
      </c>
      <c r="K2309" s="11" t="s">
        <v>217</v>
      </c>
      <c r="L2309" s="11" t="s">
        <v>19</v>
      </c>
      <c r="M2309" s="11" t="s">
        <v>147</v>
      </c>
    </row>
    <row r="2310" customFormat="false" ht="15" hidden="false" customHeight="false" outlineLevel="0" collapsed="false">
      <c r="A2310" s="11" t="s">
        <v>111</v>
      </c>
      <c r="B2310" s="11" t="s">
        <v>138</v>
      </c>
      <c r="C2310" s="11" t="n">
        <v>6</v>
      </c>
      <c r="D2310" s="11" t="s">
        <v>78</v>
      </c>
      <c r="E2310" s="11" t="s">
        <v>158</v>
      </c>
      <c r="F2310" s="11" t="s">
        <v>77</v>
      </c>
      <c r="G2310" s="12" t="n">
        <v>100</v>
      </c>
      <c r="H2310" s="12" t="n">
        <f aca="false">SUMPRODUCT(ПОТОКИ!B15:G15,ЧАСОВЫЕ_ПРОФИЛИ!B25:G25,КОЭФФИЦИЕНТЫ_ВЫБОРА!F16:K16)</f>
        <v>0.3145</v>
      </c>
      <c r="I2310" s="12" t="n">
        <f aca="false">SUMPRODUCT(ПОТОКИ!B15:G15,ЧАСОВЫЕ_ПРОФИЛИ!B25:G25,КОЭФФИЦИЕНТЫ_ВЫБОРА!F16:K16,ПАРАМЕТРЫ!$B$17:$G$17)</f>
        <v>0.34595</v>
      </c>
      <c r="J2310" s="12" t="n">
        <f aca="false">I2310*G2310/1000</f>
        <v>0.034595</v>
      </c>
      <c r="K2310" s="11" t="s">
        <v>217</v>
      </c>
      <c r="L2310" s="11" t="s">
        <v>19</v>
      </c>
      <c r="M2310" s="11" t="s">
        <v>147</v>
      </c>
    </row>
    <row r="2311" customFormat="false" ht="15" hidden="false" customHeight="false" outlineLevel="0" collapsed="false">
      <c r="A2311" s="11" t="s">
        <v>111</v>
      </c>
      <c r="B2311" s="11" t="s">
        <v>138</v>
      </c>
      <c r="C2311" s="11" t="n">
        <v>7</v>
      </c>
      <c r="D2311" s="11" t="s">
        <v>78</v>
      </c>
      <c r="E2311" s="11" t="s">
        <v>159</v>
      </c>
      <c r="F2311" s="11" t="s">
        <v>77</v>
      </c>
      <c r="G2311" s="12" t="n">
        <v>350</v>
      </c>
      <c r="H2311" s="12" t="n">
        <f aca="false">SUMPRODUCT(ПОТОКИ!B15:G15,ЧАСОВЫЕ_ПРОФИЛИ!B25:G25,КОЭФФИЦИЕНТЫ_ВЫБОРА!F17:K17)</f>
        <v>0.295</v>
      </c>
      <c r="I2311" s="12" t="n">
        <f aca="false">SUMPRODUCT(ПОТОКИ!B15:G15,ЧАСОВЫЕ_ПРОФИЛИ!B25:G25,КОЭФФИЦИЕНТЫ_ВЫБОРА!F17:K17,ПАРАМЕТРЫ!$B$17:$G$17)</f>
        <v>0.3245</v>
      </c>
      <c r="J2311" s="12" t="n">
        <f aca="false">I2311*G2311/1000</f>
        <v>0.113575</v>
      </c>
      <c r="K2311" s="11" t="s">
        <v>217</v>
      </c>
      <c r="L2311" s="11" t="s">
        <v>19</v>
      </c>
      <c r="M2311" s="11" t="s">
        <v>147</v>
      </c>
    </row>
    <row r="2312" customFormat="false" ht="15" hidden="false" customHeight="false" outlineLevel="0" collapsed="false">
      <c r="A2312" s="11" t="s">
        <v>111</v>
      </c>
      <c r="B2312" s="11" t="s">
        <v>138</v>
      </c>
      <c r="C2312" s="11" t="n">
        <v>8</v>
      </c>
      <c r="D2312" s="11" t="s">
        <v>78</v>
      </c>
      <c r="E2312" s="11" t="s">
        <v>160</v>
      </c>
      <c r="F2312" s="11" t="s">
        <v>77</v>
      </c>
      <c r="G2312" s="12" t="n">
        <v>85</v>
      </c>
      <c r="H2312" s="12" t="n">
        <f aca="false">SUMPRODUCT(ПОТОКИ!B15:G15,ЧАСОВЫЕ_ПРОФИЛИ!B25:G25,КОЭФФИЦИЕНТЫ_ВЫБОРА!F18:K18)</f>
        <v>0.1985</v>
      </c>
      <c r="I2312" s="12" t="n">
        <f aca="false">SUMPRODUCT(ПОТОКИ!B15:G15,ЧАСОВЫЕ_ПРОФИЛИ!B25:G25,КОЭФФИЦИЕНТЫ_ВЫБОРА!F18:K18,ПАРАМЕТРЫ!$B$17:$G$17)</f>
        <v>0.21835</v>
      </c>
      <c r="J2312" s="12" t="n">
        <f aca="false">I2312*G2312/1000</f>
        <v>0.01855975</v>
      </c>
      <c r="K2312" s="11" t="s">
        <v>217</v>
      </c>
      <c r="L2312" s="11" t="s">
        <v>19</v>
      </c>
      <c r="M2312" s="11" t="s">
        <v>147</v>
      </c>
    </row>
    <row r="2313" customFormat="false" ht="15" hidden="false" customHeight="false" outlineLevel="0" collapsed="false">
      <c r="A2313" s="11" t="s">
        <v>111</v>
      </c>
      <c r="B2313" s="11" t="s">
        <v>138</v>
      </c>
      <c r="C2313" s="11" t="n">
        <v>9</v>
      </c>
      <c r="D2313" s="11" t="s">
        <v>161</v>
      </c>
      <c r="E2313" s="11" t="s">
        <v>162</v>
      </c>
      <c r="F2313" s="11" t="s">
        <v>80</v>
      </c>
      <c r="G2313" s="12" t="n">
        <v>300</v>
      </c>
      <c r="H2313" s="12" t="n">
        <f aca="false">SUMPRODUCT(ПОТОКИ!B15:G15,ЧАСОВЫЕ_ПРОФИЛИ!B25:G25,КОЭФФИЦИЕНТЫ_ВЫБОРА!F19:K19)</f>
        <v>0.5575</v>
      </c>
      <c r="I2313" s="12" t="n">
        <f aca="false">SUMPRODUCT(ПОТОКИ!B15:G15,ЧАСОВЫЕ_ПРОФИЛИ!B25:G25,КОЭФФИЦИЕНТЫ_ВЫБОРА!F19:K19,ПАРАМЕТРЫ!$B$17:$G$17)</f>
        <v>0.61325</v>
      </c>
      <c r="J2313" s="12" t="n">
        <f aca="false">I2313*G2313/1000</f>
        <v>0.183975</v>
      </c>
      <c r="K2313" s="11" t="s">
        <v>217</v>
      </c>
      <c r="L2313" s="11" t="s">
        <v>19</v>
      </c>
      <c r="M2313" s="11" t="s">
        <v>145</v>
      </c>
    </row>
    <row r="2314" customFormat="false" ht="15" hidden="false" customHeight="false" outlineLevel="0" collapsed="false">
      <c r="A2314" s="11" t="s">
        <v>111</v>
      </c>
      <c r="B2314" s="11" t="s">
        <v>138</v>
      </c>
      <c r="C2314" s="11" t="n">
        <v>10</v>
      </c>
      <c r="D2314" s="11" t="s">
        <v>161</v>
      </c>
      <c r="E2314" s="11" t="s">
        <v>163</v>
      </c>
      <c r="F2314" s="11" t="s">
        <v>80</v>
      </c>
      <c r="G2314" s="12" t="n">
        <v>280</v>
      </c>
      <c r="H2314" s="12" t="n">
        <f aca="false">SUMPRODUCT(ПОТОКИ!B15:G15,ЧАСОВЫЕ_ПРОФИЛИ!B25:G25,КОЭФФИЦИЕНТЫ_ВЫБОРА!F20:K20)</f>
        <v>0.6025</v>
      </c>
      <c r="I2314" s="12" t="n">
        <f aca="false">SUMPRODUCT(ПОТОКИ!B15:G15,ЧАСОВЫЕ_ПРОФИЛИ!B25:G25,КОЭФФИЦИЕНТЫ_ВЫБОРА!F20:K20,ПАРАМЕТРЫ!$B$17:$G$17)</f>
        <v>0.66275</v>
      </c>
      <c r="J2314" s="12" t="n">
        <f aca="false">I2314*G2314/1000</f>
        <v>0.18557</v>
      </c>
      <c r="K2314" s="11" t="s">
        <v>217</v>
      </c>
      <c r="L2314" s="11" t="s">
        <v>19</v>
      </c>
      <c r="M2314" s="11" t="s">
        <v>145</v>
      </c>
    </row>
    <row r="2315" customFormat="false" ht="15" hidden="false" customHeight="false" outlineLevel="0" collapsed="false">
      <c r="A2315" s="11" t="s">
        <v>111</v>
      </c>
      <c r="B2315" s="11" t="s">
        <v>138</v>
      </c>
      <c r="C2315" s="11" t="n">
        <v>11</v>
      </c>
      <c r="D2315" s="11" t="s">
        <v>161</v>
      </c>
      <c r="E2315" s="11" t="s">
        <v>164</v>
      </c>
      <c r="F2315" s="11" t="s">
        <v>80</v>
      </c>
      <c r="G2315" s="12" t="n">
        <v>270</v>
      </c>
      <c r="H2315" s="12" t="n">
        <f aca="false">SUMPRODUCT(ПОТОКИ!B15:G15,ЧАСОВЫЕ_ПРОФИЛИ!B25:G25,КОЭФФИЦИЕНТЫ_ВЫБОРА!F21:K21)</f>
        <v>0.98125</v>
      </c>
      <c r="I2315" s="12" t="n">
        <f aca="false">SUMPRODUCT(ПОТОКИ!B15:G15,ЧАСОВЫЕ_ПРОФИЛИ!B25:G25,КОЭФФИЦИЕНТЫ_ВЫБОРА!F21:K21,ПАРАМЕТРЫ!$B$17:$G$17)</f>
        <v>1.079375</v>
      </c>
      <c r="J2315" s="12" t="n">
        <f aca="false">I2315*G2315/1000</f>
        <v>0.29143125</v>
      </c>
      <c r="K2315" s="11" t="s">
        <v>217</v>
      </c>
      <c r="L2315" s="11" t="s">
        <v>19</v>
      </c>
      <c r="M2315" s="11" t="s">
        <v>145</v>
      </c>
    </row>
    <row r="2316" customFormat="false" ht="15" hidden="false" customHeight="false" outlineLevel="0" collapsed="false">
      <c r="A2316" s="11" t="s">
        <v>111</v>
      </c>
      <c r="B2316" s="11" t="s">
        <v>138</v>
      </c>
      <c r="C2316" s="11" t="n">
        <v>12</v>
      </c>
      <c r="D2316" s="11" t="s">
        <v>161</v>
      </c>
      <c r="E2316" s="11" t="s">
        <v>165</v>
      </c>
      <c r="F2316" s="11" t="s">
        <v>80</v>
      </c>
      <c r="G2316" s="12" t="n">
        <v>240</v>
      </c>
      <c r="H2316" s="12" t="n">
        <f aca="false">SUMPRODUCT(ПОТОКИ!B15:G15,ЧАСОВЫЕ_ПРОФИЛИ!B25:G25,КОЭФФИЦИЕНТЫ_ВЫБОРА!F22:K22)</f>
        <v>0.53375</v>
      </c>
      <c r="I2316" s="12" t="n">
        <f aca="false">SUMPRODUCT(ПОТОКИ!B15:G15,ЧАСОВЫЕ_ПРОФИЛИ!B25:G25,КОЭФФИЦИЕНТЫ_ВЫБОРА!F22:K22,ПАРАМЕТРЫ!$B$17:$G$17)</f>
        <v>0.587125</v>
      </c>
      <c r="J2316" s="12" t="n">
        <f aca="false">I2316*G2316/1000</f>
        <v>0.14091</v>
      </c>
      <c r="K2316" s="11" t="s">
        <v>217</v>
      </c>
      <c r="L2316" s="11" t="s">
        <v>19</v>
      </c>
      <c r="M2316" s="11" t="s">
        <v>145</v>
      </c>
    </row>
    <row r="2317" customFormat="false" ht="15" hidden="false" customHeight="false" outlineLevel="0" collapsed="false">
      <c r="A2317" s="11" t="s">
        <v>111</v>
      </c>
      <c r="B2317" s="11" t="s">
        <v>138</v>
      </c>
      <c r="C2317" s="11" t="n">
        <v>13</v>
      </c>
      <c r="D2317" s="11" t="s">
        <v>166</v>
      </c>
      <c r="E2317" s="11" t="s">
        <v>167</v>
      </c>
      <c r="F2317" s="11" t="s">
        <v>80</v>
      </c>
      <c r="G2317" s="12" t="n">
        <v>130</v>
      </c>
      <c r="H2317" s="12" t="n">
        <f aca="false">SUMPRODUCT(ПОТОКИ!B15:G15,ЧАСОВЫЕ_ПРОФИЛИ!B25:G25,КОЭФФИЦИЕНТЫ_ВЫБОРА!F23:K23)</f>
        <v>0.325</v>
      </c>
      <c r="I2317" s="12" t="n">
        <f aca="false">SUMPRODUCT(ПОТОКИ!B15:G15,ЧАСОВЫЕ_ПРОФИЛИ!B25:G25,КОЭФФИЦИЕНТЫ_ВЫБОРА!F23:K23,ПАРАМЕТРЫ!$B$17:$G$17)</f>
        <v>0.3575</v>
      </c>
      <c r="J2317" s="12" t="n">
        <f aca="false">I2317*G2317/1000</f>
        <v>0.046475</v>
      </c>
      <c r="K2317" s="11" t="s">
        <v>217</v>
      </c>
      <c r="L2317" s="11" t="s">
        <v>19</v>
      </c>
      <c r="M2317" s="11" t="s">
        <v>145</v>
      </c>
    </row>
    <row r="2318" customFormat="false" ht="15" hidden="false" customHeight="false" outlineLevel="0" collapsed="false">
      <c r="A2318" s="11" t="s">
        <v>111</v>
      </c>
      <c r="B2318" s="11" t="s">
        <v>138</v>
      </c>
      <c r="C2318" s="11" t="n">
        <v>14</v>
      </c>
      <c r="D2318" s="11" t="s">
        <v>166</v>
      </c>
      <c r="E2318" s="11" t="s">
        <v>168</v>
      </c>
      <c r="F2318" s="11" t="s">
        <v>80</v>
      </c>
      <c r="G2318" s="12" t="n">
        <v>250</v>
      </c>
      <c r="H2318" s="12" t="n">
        <f aca="false">SUMPRODUCT(ПОТОКИ!B15:G15,ЧАСОВЫЕ_ПРОФИЛИ!B25:G25,КОЭФФИЦИЕНТЫ_ВЫБОРА!F24:K24)</f>
        <v>0.26</v>
      </c>
      <c r="I2318" s="12" t="n">
        <f aca="false">SUMPRODUCT(ПОТОКИ!B15:G15,ЧАСОВЫЕ_ПРОФИЛИ!B25:G25,КОЭФФИЦИЕНТЫ_ВЫБОРА!F24:K24,ПАРАМЕТРЫ!$B$17:$G$17)</f>
        <v>0.286</v>
      </c>
      <c r="J2318" s="12" t="n">
        <f aca="false">I2318*G2318/1000</f>
        <v>0.0715</v>
      </c>
      <c r="K2318" s="11" t="s">
        <v>217</v>
      </c>
      <c r="L2318" s="11" t="s">
        <v>19</v>
      </c>
      <c r="M2318" s="11" t="s">
        <v>145</v>
      </c>
    </row>
    <row r="2319" customFormat="false" ht="15" hidden="false" customHeight="false" outlineLevel="0" collapsed="false">
      <c r="A2319" s="11" t="s">
        <v>111</v>
      </c>
      <c r="B2319" s="11" t="s">
        <v>138</v>
      </c>
      <c r="C2319" s="11" t="n">
        <v>15</v>
      </c>
      <c r="D2319" s="11" t="s">
        <v>166</v>
      </c>
      <c r="E2319" s="11" t="s">
        <v>169</v>
      </c>
      <c r="F2319" s="11" t="s">
        <v>80</v>
      </c>
      <c r="G2319" s="12" t="n">
        <v>120</v>
      </c>
      <c r="H2319" s="12" t="n">
        <f aca="false">SUMPRODUCT(ПОТОКИ!B15:G15,ЧАСОВЫЕ_ПРОФИЛИ!B25:G25,КОЭФФИЦИЕНТЫ_ВЫБОРА!F25:K25)</f>
        <v>0.185</v>
      </c>
      <c r="I2319" s="12" t="n">
        <f aca="false">SUMPRODUCT(ПОТОКИ!B15:G15,ЧАСОВЫЕ_ПРОФИЛИ!B25:G25,КОЭФФИЦИЕНТЫ_ВЫБОРА!F25:K25,ПАРАМЕТРЫ!$B$17:$G$17)</f>
        <v>0.2035</v>
      </c>
      <c r="J2319" s="12" t="n">
        <f aca="false">I2319*G2319/1000</f>
        <v>0.02442</v>
      </c>
      <c r="K2319" s="11" t="s">
        <v>217</v>
      </c>
      <c r="L2319" s="11" t="s">
        <v>19</v>
      </c>
      <c r="M2319" s="11" t="s">
        <v>145</v>
      </c>
    </row>
    <row r="2320" customFormat="false" ht="15" hidden="false" customHeight="false" outlineLevel="0" collapsed="false">
      <c r="A2320" s="11" t="s">
        <v>111</v>
      </c>
      <c r="B2320" s="11" t="s">
        <v>138</v>
      </c>
      <c r="C2320" s="11" t="n">
        <v>16</v>
      </c>
      <c r="D2320" s="11" t="s">
        <v>166</v>
      </c>
      <c r="E2320" s="11" t="s">
        <v>170</v>
      </c>
      <c r="F2320" s="11" t="s">
        <v>80</v>
      </c>
      <c r="G2320" s="12" t="n">
        <v>180</v>
      </c>
      <c r="H2320" s="12" t="n">
        <f aca="false">SUMPRODUCT(ПОТОКИ!B15:G15,ЧАСОВЫЕ_ПРОФИЛИ!B25:G25,КОЭФФИЦИЕНТЫ_ВЫБОРА!F26:K26)</f>
        <v>0.305</v>
      </c>
      <c r="I2320" s="12" t="n">
        <f aca="false">SUMPRODUCT(ПОТОКИ!B15:G15,ЧАСОВЫЕ_ПРОФИЛИ!B25:G25,КОЭФФИЦИЕНТЫ_ВЫБОРА!F26:K26,ПАРАМЕТРЫ!$B$17:$G$17)</f>
        <v>0.3355</v>
      </c>
      <c r="J2320" s="12" t="n">
        <f aca="false">I2320*G2320/1000</f>
        <v>0.06039</v>
      </c>
      <c r="K2320" s="11" t="s">
        <v>217</v>
      </c>
      <c r="L2320" s="11" t="s">
        <v>19</v>
      </c>
      <c r="M2320" s="11" t="s">
        <v>145</v>
      </c>
    </row>
    <row r="2321" customFormat="false" ht="15" hidden="false" customHeight="false" outlineLevel="0" collapsed="false">
      <c r="A2321" s="11" t="s">
        <v>111</v>
      </c>
      <c r="B2321" s="11" t="s">
        <v>138</v>
      </c>
      <c r="C2321" s="11" t="n">
        <v>17</v>
      </c>
      <c r="D2321" s="11" t="s">
        <v>166</v>
      </c>
      <c r="E2321" s="11" t="s">
        <v>171</v>
      </c>
      <c r="F2321" s="11" t="s">
        <v>80</v>
      </c>
      <c r="G2321" s="12" t="n">
        <v>180</v>
      </c>
      <c r="H2321" s="12" t="n">
        <f aca="false">SUMPRODUCT(ПОТОКИ!B15:G15,ЧАСОВЫЕ_ПРОФИЛИ!B25:G25,КОЭФФИЦИЕНТЫ_ВЫБОРА!F27:K27)</f>
        <v>0.325</v>
      </c>
      <c r="I2321" s="12" t="n">
        <f aca="false">SUMPRODUCT(ПОТОКИ!B15:G15,ЧАСОВЫЕ_ПРОФИЛИ!B25:G25,КОЭФФИЦИЕНТЫ_ВЫБОРА!F27:K27,ПАРАМЕТРЫ!$B$17:$G$17)</f>
        <v>0.3575</v>
      </c>
      <c r="J2321" s="12" t="n">
        <f aca="false">I2321*G2321/1000</f>
        <v>0.06435</v>
      </c>
      <c r="K2321" s="11" t="s">
        <v>217</v>
      </c>
      <c r="L2321" s="11" t="s">
        <v>19</v>
      </c>
      <c r="M2321" s="11" t="s">
        <v>145</v>
      </c>
    </row>
    <row r="2322" customFormat="false" ht="15" hidden="false" customHeight="false" outlineLevel="0" collapsed="false">
      <c r="A2322" s="11" t="s">
        <v>111</v>
      </c>
      <c r="B2322" s="11" t="s">
        <v>138</v>
      </c>
      <c r="C2322" s="11" t="n">
        <v>18</v>
      </c>
      <c r="D2322" s="11" t="s">
        <v>172</v>
      </c>
      <c r="E2322" s="11" t="s">
        <v>173</v>
      </c>
      <c r="F2322" s="11" t="s">
        <v>83</v>
      </c>
      <c r="G2322" s="12" t="n">
        <v>400</v>
      </c>
      <c r="H2322" s="12" t="n">
        <f aca="false">SUMPRODUCT(ПОТОКИ!B15:G15,ЧАСОВЫЕ_ПРОФИЛИ!B25:G25,КОЭФФИЦИЕНТЫ_ВЫБОРА!F28:K28)</f>
        <v>0.45</v>
      </c>
      <c r="I2322" s="12" t="n">
        <f aca="false">SUMPRODUCT(ПОТОКИ!B15:G15,ЧАСОВЫЕ_ПРОФИЛИ!B25:G25,КОЭФФИЦИЕНТЫ_ВЫБОРА!F28:K28,ПАРАМЕТРЫ!$B$17:$G$17)</f>
        <v>0.495</v>
      </c>
      <c r="J2322" s="12" t="n">
        <f aca="false">I2322*G2322/1000</f>
        <v>0.198</v>
      </c>
      <c r="K2322" s="11" t="s">
        <v>217</v>
      </c>
      <c r="L2322" s="11" t="s">
        <v>19</v>
      </c>
      <c r="M2322" s="11" t="s">
        <v>145</v>
      </c>
    </row>
    <row r="2323" customFormat="false" ht="23.85" hidden="false" customHeight="false" outlineLevel="0" collapsed="false">
      <c r="A2323" s="11" t="s">
        <v>111</v>
      </c>
      <c r="B2323" s="11" t="s">
        <v>138</v>
      </c>
      <c r="C2323" s="11" t="n">
        <v>19</v>
      </c>
      <c r="D2323" s="11" t="s">
        <v>174</v>
      </c>
      <c r="E2323" s="11" t="s">
        <v>175</v>
      </c>
      <c r="F2323" s="11" t="s">
        <v>83</v>
      </c>
      <c r="G2323" s="12" t="n">
        <v>300</v>
      </c>
      <c r="H2323" s="12" t="n">
        <f aca="false">SUMPRODUCT(ПОТОКИ!B15:G15,ЧАСОВЫЕ_ПРОФИЛИ!B25:G25,КОЭФФИЦИЕНТЫ_ВЫБОРА!F29:K29)</f>
        <v>1.60875</v>
      </c>
      <c r="I2323" s="12" t="n">
        <f aca="false">SUMPRODUCT(ПОТОКИ!B15:G15,ЧАСОВЫЕ_ПРОФИЛИ!B25:G25,КОЭФФИЦИЕНТЫ_ВЫБОРА!F29:K29,ПАРАМЕТРЫ!$B$17:$G$17)</f>
        <v>1.769625</v>
      </c>
      <c r="J2323" s="12" t="n">
        <f aca="false">I2323*G2323/1000</f>
        <v>0.5308875</v>
      </c>
      <c r="K2323" s="11" t="s">
        <v>217</v>
      </c>
      <c r="L2323" s="11" t="s">
        <v>19</v>
      </c>
      <c r="M2323" s="11" t="s">
        <v>145</v>
      </c>
    </row>
    <row r="2324" customFormat="false" ht="15" hidden="false" customHeight="false" outlineLevel="0" collapsed="false">
      <c r="A2324" s="11" t="s">
        <v>111</v>
      </c>
      <c r="B2324" s="11" t="s">
        <v>138</v>
      </c>
      <c r="C2324" s="11" t="n">
        <v>20</v>
      </c>
      <c r="D2324" s="11" t="s">
        <v>174</v>
      </c>
      <c r="E2324" s="11" t="s">
        <v>176</v>
      </c>
      <c r="F2324" s="11" t="s">
        <v>83</v>
      </c>
      <c r="G2324" s="12" t="n">
        <v>360</v>
      </c>
      <c r="H2324" s="12" t="n">
        <f aca="false">SUMPRODUCT(ПОТОКИ!B15:G15,ЧАСОВЫЕ_ПРОФИЛИ!B25:G25,КОЭФФИЦИЕНТЫ_ВЫБОРА!F30:K30)</f>
        <v>1.31</v>
      </c>
      <c r="I2324" s="12" t="n">
        <f aca="false">SUMPRODUCT(ПОТОКИ!B15:G15,ЧАСОВЫЕ_ПРОФИЛИ!B25:G25,КОЭФФИЦИЕНТЫ_ВЫБОРА!F30:K30,ПАРАМЕТРЫ!$B$17:$G$17)</f>
        <v>1.441</v>
      </c>
      <c r="J2324" s="12" t="n">
        <f aca="false">I2324*G2324/1000</f>
        <v>0.51876</v>
      </c>
      <c r="K2324" s="11" t="s">
        <v>217</v>
      </c>
      <c r="L2324" s="11" t="s">
        <v>19</v>
      </c>
      <c r="M2324" s="11" t="s">
        <v>145</v>
      </c>
    </row>
    <row r="2325" customFormat="false" ht="15" hidden="false" customHeight="false" outlineLevel="0" collapsed="false">
      <c r="A2325" s="11" t="s">
        <v>111</v>
      </c>
      <c r="B2325" s="11" t="s">
        <v>138</v>
      </c>
      <c r="C2325" s="11" t="n">
        <v>21</v>
      </c>
      <c r="D2325" s="11" t="s">
        <v>174</v>
      </c>
      <c r="E2325" s="11" t="s">
        <v>177</v>
      </c>
      <c r="F2325" s="11" t="s">
        <v>83</v>
      </c>
      <c r="G2325" s="12" t="n">
        <v>350</v>
      </c>
      <c r="H2325" s="12" t="n">
        <f aca="false">SUMPRODUCT(ПОТОКИ!B15:G15,ЧАСОВЫЕ_ПРОФИЛИ!B25:G25,КОЭФФИЦИЕНТЫ_ВЫБОРА!F31:K31)</f>
        <v>1.88875</v>
      </c>
      <c r="I2325" s="12" t="n">
        <f aca="false">SUMPRODUCT(ПОТОКИ!B15:G15,ЧАСОВЫЕ_ПРОФИЛИ!B25:G25,КОЭФФИЦИЕНТЫ_ВЫБОРА!F31:K31,ПАРАМЕТРЫ!$B$17:$G$17)</f>
        <v>2.077625</v>
      </c>
      <c r="J2325" s="12" t="n">
        <f aca="false">I2325*G2325/1000</f>
        <v>0.72716875</v>
      </c>
      <c r="K2325" s="11" t="s">
        <v>217</v>
      </c>
      <c r="L2325" s="11" t="s">
        <v>19</v>
      </c>
      <c r="M2325" s="11" t="s">
        <v>145</v>
      </c>
    </row>
    <row r="2326" customFormat="false" ht="15" hidden="false" customHeight="false" outlineLevel="0" collapsed="false">
      <c r="A2326" s="11" t="s">
        <v>111</v>
      </c>
      <c r="B2326" s="11" t="s">
        <v>138</v>
      </c>
      <c r="C2326" s="11" t="n">
        <v>22</v>
      </c>
      <c r="D2326" s="11" t="s">
        <v>174</v>
      </c>
      <c r="E2326" s="11" t="s">
        <v>178</v>
      </c>
      <c r="F2326" s="11" t="s">
        <v>83</v>
      </c>
      <c r="G2326" s="12" t="n">
        <v>300</v>
      </c>
      <c r="H2326" s="12" t="n">
        <f aca="false">SUMPRODUCT(ПОТОКИ!B15:G15,ЧАСОВЫЕ_ПРОФИЛИ!B25:G25,КОЭФФИЦИЕНТЫ_ВЫБОРА!F32:K32)</f>
        <v>1.4425</v>
      </c>
      <c r="I2326" s="12" t="n">
        <f aca="false">SUMPRODUCT(ПОТОКИ!B15:G15,ЧАСОВЫЕ_ПРОФИЛИ!B25:G25,КОЭФФИЦИЕНТЫ_ВЫБОРА!F32:K32,ПАРАМЕТРЫ!$B$17:$G$17)</f>
        <v>1.58675</v>
      </c>
      <c r="J2326" s="12" t="n">
        <f aca="false">I2326*G2326/1000</f>
        <v>0.476025</v>
      </c>
      <c r="K2326" s="11" t="s">
        <v>217</v>
      </c>
      <c r="L2326" s="11" t="s">
        <v>19</v>
      </c>
      <c r="M2326" s="11" t="s">
        <v>145</v>
      </c>
    </row>
    <row r="2327" customFormat="false" ht="15" hidden="false" customHeight="false" outlineLevel="0" collapsed="false">
      <c r="A2327" s="11" t="s">
        <v>111</v>
      </c>
      <c r="B2327" s="11" t="s">
        <v>138</v>
      </c>
      <c r="C2327" s="11" t="n">
        <v>23</v>
      </c>
      <c r="D2327" s="11" t="s">
        <v>86</v>
      </c>
      <c r="E2327" s="11" t="s">
        <v>179</v>
      </c>
      <c r="F2327" s="11" t="s">
        <v>85</v>
      </c>
      <c r="G2327" s="12" t="n">
        <v>150</v>
      </c>
      <c r="H2327" s="12" t="n">
        <f aca="false">SUMPRODUCT(ПОТОКИ!B15:G15,ЧАСОВЫЕ_ПРОФИЛИ!B25:G25,КОЭФФИЦИЕНТЫ_ВЫБОРА!F33:K33)</f>
        <v>1.27411875</v>
      </c>
      <c r="I2327" s="12" t="n">
        <f aca="false">SUMPRODUCT(ПОТОКИ!B15:G15,ЧАСОВЫЕ_ПРОФИЛИ!B25:G25,КОЭФФИЦИЕНТЫ_ВЫБОРА!F33:K33,ПАРАМЕТРЫ!$B$17:$G$17)</f>
        <v>1.401530625</v>
      </c>
      <c r="J2327" s="12" t="n">
        <f aca="false">I2327*G2327/1000</f>
        <v>0.21022959375</v>
      </c>
      <c r="K2327" s="11" t="s">
        <v>217</v>
      </c>
      <c r="L2327" s="11" t="s">
        <v>19</v>
      </c>
      <c r="M2327" s="11" t="s">
        <v>147</v>
      </c>
    </row>
    <row r="2328" customFormat="false" ht="15" hidden="false" customHeight="false" outlineLevel="0" collapsed="false">
      <c r="A2328" s="11" t="s">
        <v>111</v>
      </c>
      <c r="B2328" s="11" t="s">
        <v>138</v>
      </c>
      <c r="C2328" s="11" t="n">
        <v>24</v>
      </c>
      <c r="D2328" s="11" t="s">
        <v>86</v>
      </c>
      <c r="E2328" s="11" t="s">
        <v>180</v>
      </c>
      <c r="F2328" s="11" t="s">
        <v>85</v>
      </c>
      <c r="G2328" s="12" t="n">
        <v>150</v>
      </c>
      <c r="H2328" s="12" t="n">
        <f aca="false">SUMPRODUCT(ПОТОКИ!B15:G15,ЧАСОВЫЕ_ПРОФИЛИ!B25:G25,КОЭФФИЦИЕНТЫ_ВЫБОРА!F34:K34)</f>
        <v>0.6777</v>
      </c>
      <c r="I2328" s="12" t="n">
        <f aca="false">SUMPRODUCT(ПОТОКИ!B15:G15,ЧАСОВЫЕ_ПРОФИЛИ!B25:G25,КОЭФФИЦИЕНТЫ_ВЫБОРА!F34:K34,ПАРАМЕТРЫ!$B$17:$G$17)</f>
        <v>0.74547</v>
      </c>
      <c r="J2328" s="12" t="n">
        <f aca="false">I2328*G2328/1000</f>
        <v>0.1118205</v>
      </c>
      <c r="K2328" s="11" t="s">
        <v>217</v>
      </c>
      <c r="L2328" s="11" t="s">
        <v>19</v>
      </c>
      <c r="M2328" s="11" t="s">
        <v>147</v>
      </c>
    </row>
    <row r="2329" customFormat="false" ht="15" hidden="false" customHeight="false" outlineLevel="0" collapsed="false">
      <c r="A2329" s="11" t="s">
        <v>111</v>
      </c>
      <c r="B2329" s="11" t="s">
        <v>138</v>
      </c>
      <c r="C2329" s="11" t="n">
        <v>25</v>
      </c>
      <c r="D2329" s="11" t="s">
        <v>86</v>
      </c>
      <c r="E2329" s="11" t="s">
        <v>181</v>
      </c>
      <c r="F2329" s="11" t="s">
        <v>85</v>
      </c>
      <c r="G2329" s="12" t="n">
        <v>150</v>
      </c>
      <c r="H2329" s="12" t="n">
        <f aca="false">SUMPRODUCT(ПОТОКИ!B15:G15,ЧАСОВЫЕ_ПРОФИЛИ!B25:G25,КОЭФФИЦИЕНТЫ_ВЫБОРА!F35:K35)</f>
        <v>1.43668125</v>
      </c>
      <c r="I2329" s="12" t="n">
        <f aca="false">SUMPRODUCT(ПОТОКИ!B15:G15,ЧАСОВЫЕ_ПРОФИЛИ!B25:G25,КОЭФФИЦИЕНТЫ_ВЫБОРА!F35:K35,ПАРАМЕТРЫ!$B$17:$G$17)</f>
        <v>1.580349375</v>
      </c>
      <c r="J2329" s="12" t="n">
        <f aca="false">I2329*G2329/1000</f>
        <v>0.23705240625</v>
      </c>
      <c r="K2329" s="11" t="s">
        <v>217</v>
      </c>
      <c r="L2329" s="11" t="s">
        <v>19</v>
      </c>
      <c r="M2329" s="11" t="s">
        <v>147</v>
      </c>
    </row>
    <row r="2330" customFormat="false" ht="23.85" hidden="false" customHeight="false" outlineLevel="0" collapsed="false">
      <c r="A2330" s="11" t="s">
        <v>111</v>
      </c>
      <c r="B2330" s="11" t="s">
        <v>138</v>
      </c>
      <c r="C2330" s="11" t="n">
        <v>26</v>
      </c>
      <c r="D2330" s="11" t="s">
        <v>89</v>
      </c>
      <c r="E2330" s="11" t="s">
        <v>182</v>
      </c>
      <c r="F2330" s="11" t="s">
        <v>88</v>
      </c>
      <c r="G2330" s="12" t="n">
        <v>225</v>
      </c>
      <c r="H2330" s="12" t="n">
        <f aca="false">SUMPRODUCT(ПОТОКИ!B15:G15,ЧАСОВЫЕ_ПРОФИЛИ!B25:G25,КОЭФФИЦИЕНТЫ_ВЫБОРА!F36:K36)</f>
        <v>0</v>
      </c>
      <c r="I2330" s="12" t="n">
        <f aca="false">SUMPRODUCT(ПОТОКИ!B15:G15,ЧАСОВЫЕ_ПРОФИЛИ!B25:G25,КОЭФФИЦИЕНТЫ_ВЫБОРА!F36:K36,ПАРАМЕТРЫ!$B$17:$G$17)</f>
        <v>0</v>
      </c>
      <c r="J2330" s="12" t="n">
        <f aca="false">I2330*G2330/1000</f>
        <v>0</v>
      </c>
      <c r="K2330" s="11" t="s">
        <v>217</v>
      </c>
      <c r="L2330" s="11" t="s">
        <v>19</v>
      </c>
      <c r="M2330" s="11" t="s">
        <v>145</v>
      </c>
    </row>
    <row r="2331" customFormat="false" ht="23.85" hidden="false" customHeight="false" outlineLevel="0" collapsed="false">
      <c r="A2331" s="11" t="s">
        <v>111</v>
      </c>
      <c r="B2331" s="11" t="s">
        <v>138</v>
      </c>
      <c r="C2331" s="11" t="n">
        <v>27</v>
      </c>
      <c r="D2331" s="11" t="s">
        <v>89</v>
      </c>
      <c r="E2331" s="11" t="s">
        <v>183</v>
      </c>
      <c r="F2331" s="11" t="s">
        <v>88</v>
      </c>
      <c r="G2331" s="12" t="n">
        <v>265</v>
      </c>
      <c r="H2331" s="12" t="n">
        <f aca="false">SUMPRODUCT(ПОТОКИ!B15:G15,ЧАСОВЫЕ_ПРОФИЛИ!B25:G25,КОЭФФИЦИЕНТЫ_ВЫБОРА!F37:K37)</f>
        <v>0</v>
      </c>
      <c r="I2331" s="12" t="n">
        <f aca="false">SUMPRODUCT(ПОТОКИ!B15:G15,ЧАСОВЫЕ_ПРОФИЛИ!B25:G25,КОЭФФИЦИЕНТЫ_ВЫБОРА!F37:K37,ПАРАМЕТРЫ!$B$17:$G$17)</f>
        <v>0</v>
      </c>
      <c r="J2331" s="12" t="n">
        <f aca="false">I2331*G2331/1000</f>
        <v>0</v>
      </c>
      <c r="K2331" s="11" t="s">
        <v>217</v>
      </c>
      <c r="L2331" s="11" t="s">
        <v>19</v>
      </c>
      <c r="M2331" s="11" t="s">
        <v>145</v>
      </c>
    </row>
    <row r="2332" customFormat="false" ht="23.85" hidden="false" customHeight="false" outlineLevel="0" collapsed="false">
      <c r="A2332" s="11" t="s">
        <v>111</v>
      </c>
      <c r="B2332" s="11" t="s">
        <v>138</v>
      </c>
      <c r="C2332" s="11" t="n">
        <v>28</v>
      </c>
      <c r="D2332" s="11" t="s">
        <v>89</v>
      </c>
      <c r="E2332" s="11" t="s">
        <v>184</v>
      </c>
      <c r="F2332" s="11" t="s">
        <v>88</v>
      </c>
      <c r="G2332" s="12" t="n">
        <v>355</v>
      </c>
      <c r="H2332" s="12" t="n">
        <f aca="false">SUMPRODUCT(ПОТОКИ!B15:G15,ЧАСОВЫЕ_ПРОФИЛИ!B25:G25,КОЭФФИЦИЕНТЫ_ВЫБОРА!F38:K38)</f>
        <v>0</v>
      </c>
      <c r="I2332" s="12" t="n">
        <f aca="false">SUMPRODUCT(ПОТОКИ!B15:G15,ЧАСОВЫЕ_ПРОФИЛИ!B25:G25,КОЭФФИЦИЕНТЫ_ВЫБОРА!F38:K38,ПАРАМЕТРЫ!$B$17:$G$17)</f>
        <v>0</v>
      </c>
      <c r="J2332" s="12" t="n">
        <f aca="false">I2332*G2332/1000</f>
        <v>0</v>
      </c>
      <c r="K2332" s="11" t="s">
        <v>217</v>
      </c>
      <c r="L2332" s="11" t="s">
        <v>19</v>
      </c>
      <c r="M2332" s="11" t="s">
        <v>145</v>
      </c>
    </row>
    <row r="2333" customFormat="false" ht="15" hidden="false" customHeight="false" outlineLevel="0" collapsed="false">
      <c r="A2333" s="11" t="s">
        <v>111</v>
      </c>
      <c r="B2333" s="11" t="s">
        <v>138</v>
      </c>
      <c r="C2333" s="11" t="n">
        <v>29</v>
      </c>
      <c r="D2333" s="11" t="s">
        <v>92</v>
      </c>
      <c r="E2333" s="11" t="s">
        <v>185</v>
      </c>
      <c r="F2333" s="11" t="s">
        <v>91</v>
      </c>
      <c r="G2333" s="12" t="n">
        <v>150</v>
      </c>
      <c r="H2333" s="12" t="n">
        <f aca="false">SUMPRODUCT(ПОТОКИ!B15:G15,ЧАСОВЫЕ_ПРОФИЛИ!B25:G25,КОЭФФИЦИЕНТЫ_ВЫБОРА!F39:K39)</f>
        <v>0.306</v>
      </c>
      <c r="I2333" s="12" t="n">
        <f aca="false">SUMPRODUCT(ПОТОКИ!B15:G15,ЧАСОВЫЕ_ПРОФИЛИ!B25:G25,КОЭФФИЦИЕНТЫ_ВЫБОРА!F39:K39,ПАРАМЕТРЫ!$B$17:$G$17)</f>
        <v>0.3366</v>
      </c>
      <c r="J2333" s="12" t="n">
        <f aca="false">I2333*G2333/1000</f>
        <v>0.05049</v>
      </c>
      <c r="K2333" s="11" t="s">
        <v>217</v>
      </c>
      <c r="L2333" s="11" t="s">
        <v>19</v>
      </c>
      <c r="M2333" s="11" t="s">
        <v>145</v>
      </c>
    </row>
    <row r="2334" customFormat="false" ht="15" hidden="false" customHeight="false" outlineLevel="0" collapsed="false">
      <c r="A2334" s="11" t="s">
        <v>111</v>
      </c>
      <c r="B2334" s="11" t="s">
        <v>138</v>
      </c>
      <c r="C2334" s="11" t="n">
        <v>30</v>
      </c>
      <c r="D2334" s="11" t="s">
        <v>92</v>
      </c>
      <c r="E2334" s="11" t="s">
        <v>186</v>
      </c>
      <c r="F2334" s="11" t="s">
        <v>91</v>
      </c>
      <c r="G2334" s="12" t="n">
        <v>120</v>
      </c>
      <c r="H2334" s="12" t="n">
        <f aca="false">SUMPRODUCT(ПОТОКИ!B15:G15,ЧАСОВЫЕ_ПРОФИЛИ!B25:G25,КОЭФФИЦИЕНТЫ_ВЫБОРА!F40:K40)</f>
        <v>0.556</v>
      </c>
      <c r="I2334" s="12" t="n">
        <f aca="false">SUMPRODUCT(ПОТОКИ!B15:G15,ЧАСОВЫЕ_ПРОФИЛИ!B25:G25,КОЭФФИЦИЕНТЫ_ВЫБОРА!F40:K40,ПАРАМЕТРЫ!$B$17:$G$17)</f>
        <v>0.6116</v>
      </c>
      <c r="J2334" s="12" t="n">
        <f aca="false">I2334*G2334/1000</f>
        <v>0.073392</v>
      </c>
      <c r="K2334" s="11" t="s">
        <v>217</v>
      </c>
      <c r="L2334" s="11" t="s">
        <v>19</v>
      </c>
      <c r="M2334" s="11" t="s">
        <v>145</v>
      </c>
    </row>
    <row r="2335" customFormat="false" ht="15" hidden="false" customHeight="false" outlineLevel="0" collapsed="false">
      <c r="A2335" s="11" t="s">
        <v>111</v>
      </c>
      <c r="B2335" s="11" t="s">
        <v>138</v>
      </c>
      <c r="C2335" s="11" t="n">
        <v>31</v>
      </c>
      <c r="D2335" s="11" t="s">
        <v>92</v>
      </c>
      <c r="E2335" s="11" t="s">
        <v>187</v>
      </c>
      <c r="F2335" s="11" t="s">
        <v>91</v>
      </c>
      <c r="G2335" s="12" t="n">
        <v>60</v>
      </c>
      <c r="H2335" s="12" t="n">
        <f aca="false">SUMPRODUCT(ПОТОКИ!B15:G15,ЧАСОВЫЕ_ПРОФИЛИ!B25:G25,КОЭФФИЦИЕНТЫ_ВЫБОРА!F41:K41)</f>
        <v>0.183</v>
      </c>
      <c r="I2335" s="12" t="n">
        <f aca="false">SUMPRODUCT(ПОТОКИ!B15:G15,ЧАСОВЫЕ_ПРОФИЛИ!B25:G25,КОЭФФИЦИЕНТЫ_ВЫБОРА!F41:K41,ПАРАМЕТРЫ!$B$17:$G$17)</f>
        <v>0.2013</v>
      </c>
      <c r="J2335" s="12" t="n">
        <f aca="false">I2335*G2335/1000</f>
        <v>0.012078</v>
      </c>
      <c r="K2335" s="11" t="s">
        <v>217</v>
      </c>
      <c r="L2335" s="11" t="s">
        <v>19</v>
      </c>
      <c r="M2335" s="11" t="s">
        <v>145</v>
      </c>
    </row>
    <row r="2336" customFormat="false" ht="15" hidden="false" customHeight="false" outlineLevel="0" collapsed="false">
      <c r="A2336" s="11" t="s">
        <v>112</v>
      </c>
      <c r="B2336" s="11" t="s">
        <v>124</v>
      </c>
      <c r="C2336" s="11" t="n">
        <v>1</v>
      </c>
      <c r="D2336" s="11" t="s">
        <v>74</v>
      </c>
      <c r="E2336" s="11" t="s">
        <v>153</v>
      </c>
      <c r="F2336" s="11" t="s">
        <v>73</v>
      </c>
      <c r="G2336" s="12" t="n">
        <v>450</v>
      </c>
      <c r="H2336" s="12" t="n">
        <f aca="false">SUMPRODUCT(ПОТОКИ!B16:G16,ЧАСОВЫЕ_ПРОФИЛИ!B11:G11,КОЭФФИЦИЕНТЫ_ВЫБОРА!F11:K11)</f>
        <v>0</v>
      </c>
      <c r="I2336" s="12" t="n">
        <f aca="false">SUMPRODUCT(ПОТОКИ!B16:G16,ЧАСОВЫЕ_ПРОФИЛИ!B11:G11,КОЭФФИЦИЕНТЫ_ВЫБОРА!F11:K11,ПАРАМЕТРЫ!$B$17:$G$17)</f>
        <v>0</v>
      </c>
      <c r="J2336" s="12" t="n">
        <f aca="false">I2336*G2336/1000</f>
        <v>0</v>
      </c>
      <c r="K2336" s="11" t="s">
        <v>217</v>
      </c>
      <c r="L2336" s="11" t="s">
        <v>19</v>
      </c>
      <c r="M2336" s="11" t="s">
        <v>145</v>
      </c>
    </row>
    <row r="2337" customFormat="false" ht="15" hidden="false" customHeight="false" outlineLevel="0" collapsed="false">
      <c r="A2337" s="11" t="s">
        <v>112</v>
      </c>
      <c r="B2337" s="11" t="s">
        <v>124</v>
      </c>
      <c r="C2337" s="11" t="n">
        <v>2</v>
      </c>
      <c r="D2337" s="11" t="s">
        <v>74</v>
      </c>
      <c r="E2337" s="11" t="s">
        <v>154</v>
      </c>
      <c r="F2337" s="11" t="s">
        <v>73</v>
      </c>
      <c r="G2337" s="12" t="n">
        <v>480</v>
      </c>
      <c r="H2337" s="12" t="n">
        <f aca="false">SUMPRODUCT(ПОТОКИ!B16:G16,ЧАСОВЫЕ_ПРОФИЛИ!B11:G11,КОЭФФИЦИЕНТЫ_ВЫБОРА!F12:K12)</f>
        <v>0</v>
      </c>
      <c r="I2337" s="12" t="n">
        <f aca="false">SUMPRODUCT(ПОТОКИ!B16:G16,ЧАСОВЫЕ_ПРОФИЛИ!B11:G11,КОЭФФИЦИЕНТЫ_ВЫБОРА!F12:K12,ПАРАМЕТРЫ!$B$17:$G$17)</f>
        <v>0</v>
      </c>
      <c r="J2337" s="12" t="n">
        <f aca="false">I2337*G2337/1000</f>
        <v>0</v>
      </c>
      <c r="K2337" s="11" t="s">
        <v>217</v>
      </c>
      <c r="L2337" s="11" t="s">
        <v>19</v>
      </c>
      <c r="M2337" s="11" t="s">
        <v>145</v>
      </c>
    </row>
    <row r="2338" customFormat="false" ht="15" hidden="false" customHeight="false" outlineLevel="0" collapsed="false">
      <c r="A2338" s="11" t="s">
        <v>112</v>
      </c>
      <c r="B2338" s="11" t="s">
        <v>124</v>
      </c>
      <c r="C2338" s="11" t="n">
        <v>3</v>
      </c>
      <c r="D2338" s="11" t="s">
        <v>74</v>
      </c>
      <c r="E2338" s="11" t="s">
        <v>155</v>
      </c>
      <c r="F2338" s="11" t="s">
        <v>73</v>
      </c>
      <c r="G2338" s="12" t="n">
        <v>500</v>
      </c>
      <c r="H2338" s="12" t="n">
        <f aca="false">SUMPRODUCT(ПОТОКИ!B16:G16,ЧАСОВЫЕ_ПРОФИЛИ!B11:G11,КОЭФФИЦИЕНТЫ_ВЫБОРА!F13:K13)</f>
        <v>0</v>
      </c>
      <c r="I2338" s="12" t="n">
        <f aca="false">SUMPRODUCT(ПОТОКИ!B16:G16,ЧАСОВЫЕ_ПРОФИЛИ!B11:G11,КОЭФФИЦИЕНТЫ_ВЫБОРА!F13:K13,ПАРАМЕТРЫ!$B$17:$G$17)</f>
        <v>0</v>
      </c>
      <c r="J2338" s="12" t="n">
        <f aca="false">I2338*G2338/1000</f>
        <v>0</v>
      </c>
      <c r="K2338" s="11" t="s">
        <v>217</v>
      </c>
      <c r="L2338" s="11" t="s">
        <v>19</v>
      </c>
      <c r="M2338" s="11" t="s">
        <v>145</v>
      </c>
    </row>
    <row r="2339" customFormat="false" ht="15" hidden="false" customHeight="false" outlineLevel="0" collapsed="false">
      <c r="A2339" s="11" t="s">
        <v>112</v>
      </c>
      <c r="B2339" s="11" t="s">
        <v>124</v>
      </c>
      <c r="C2339" s="11" t="n">
        <v>4</v>
      </c>
      <c r="D2339" s="11" t="s">
        <v>74</v>
      </c>
      <c r="E2339" s="11" t="s">
        <v>156</v>
      </c>
      <c r="F2339" s="11" t="s">
        <v>73</v>
      </c>
      <c r="G2339" s="12" t="n">
        <v>500</v>
      </c>
      <c r="H2339" s="12" t="n">
        <f aca="false">SUMPRODUCT(ПОТОКИ!B16:G16,ЧАСОВЫЕ_ПРОФИЛИ!B11:G11,КОЭФФИЦИЕНТЫ_ВЫБОРА!F14:K14)</f>
        <v>0</v>
      </c>
      <c r="I2339" s="12" t="n">
        <f aca="false">SUMPRODUCT(ПОТОКИ!B16:G16,ЧАСОВЫЕ_ПРОФИЛИ!B11:G11,КОЭФФИЦИЕНТЫ_ВЫБОРА!F14:K14,ПАРАМЕТРЫ!$B$17:$G$17)</f>
        <v>0</v>
      </c>
      <c r="J2339" s="12" t="n">
        <f aca="false">I2339*G2339/1000</f>
        <v>0</v>
      </c>
      <c r="K2339" s="11" t="s">
        <v>217</v>
      </c>
      <c r="L2339" s="11" t="s">
        <v>19</v>
      </c>
      <c r="M2339" s="11" t="s">
        <v>145</v>
      </c>
    </row>
    <row r="2340" customFormat="false" ht="15" hidden="false" customHeight="false" outlineLevel="0" collapsed="false">
      <c r="A2340" s="11" t="s">
        <v>112</v>
      </c>
      <c r="B2340" s="11" t="s">
        <v>124</v>
      </c>
      <c r="C2340" s="11" t="n">
        <v>5</v>
      </c>
      <c r="D2340" s="11" t="s">
        <v>78</v>
      </c>
      <c r="E2340" s="11" t="s">
        <v>157</v>
      </c>
      <c r="F2340" s="11" t="s">
        <v>77</v>
      </c>
      <c r="G2340" s="12" t="n">
        <v>100</v>
      </c>
      <c r="H2340" s="12" t="n">
        <f aca="false">SUMPRODUCT(ПОТОКИ!B16:G16,ЧАСОВЫЕ_ПРОФИЛИ!B11:G11,КОЭФФИЦИЕНТЫ_ВЫБОРА!F15:K15)</f>
        <v>0.108</v>
      </c>
      <c r="I2340" s="12" t="n">
        <f aca="false">SUMPRODUCT(ПОТОКИ!B16:G16,ЧАСОВЫЕ_ПРОФИЛИ!B11:G11,КОЭФФИЦИЕНТЫ_ВЫБОРА!F15:K15,ПАРАМЕТРЫ!$B$17:$G$17)</f>
        <v>0.1188</v>
      </c>
      <c r="J2340" s="12" t="n">
        <f aca="false">I2340*G2340/1000</f>
        <v>0.01188</v>
      </c>
      <c r="K2340" s="11" t="s">
        <v>217</v>
      </c>
      <c r="L2340" s="11" t="s">
        <v>19</v>
      </c>
      <c r="M2340" s="11" t="s">
        <v>147</v>
      </c>
    </row>
    <row r="2341" customFormat="false" ht="15" hidden="false" customHeight="false" outlineLevel="0" collapsed="false">
      <c r="A2341" s="11" t="s">
        <v>112</v>
      </c>
      <c r="B2341" s="11" t="s">
        <v>124</v>
      </c>
      <c r="C2341" s="11" t="n">
        <v>6</v>
      </c>
      <c r="D2341" s="11" t="s">
        <v>78</v>
      </c>
      <c r="E2341" s="11" t="s">
        <v>158</v>
      </c>
      <c r="F2341" s="11" t="s">
        <v>77</v>
      </c>
      <c r="G2341" s="12" t="n">
        <v>100</v>
      </c>
      <c r="H2341" s="12" t="n">
        <f aca="false">SUMPRODUCT(ПОТОКИ!B16:G16,ЧАСОВЫЕ_ПРОФИЛИ!B11:G11,КОЭФФИЦИЕНТЫ_ВЫБОРА!F16:K16)</f>
        <v>0.108</v>
      </c>
      <c r="I2341" s="12" t="n">
        <f aca="false">SUMPRODUCT(ПОТОКИ!B16:G16,ЧАСОВЫЕ_ПРОФИЛИ!B11:G11,КОЭФФИЦИЕНТЫ_ВЫБОРА!F16:K16,ПАРАМЕТРЫ!$B$17:$G$17)</f>
        <v>0.1188</v>
      </c>
      <c r="J2341" s="12" t="n">
        <f aca="false">I2341*G2341/1000</f>
        <v>0.01188</v>
      </c>
      <c r="K2341" s="11" t="s">
        <v>217</v>
      </c>
      <c r="L2341" s="11" t="s">
        <v>19</v>
      </c>
      <c r="M2341" s="11" t="s">
        <v>147</v>
      </c>
    </row>
    <row r="2342" customFormat="false" ht="15" hidden="false" customHeight="false" outlineLevel="0" collapsed="false">
      <c r="A2342" s="11" t="s">
        <v>112</v>
      </c>
      <c r="B2342" s="11" t="s">
        <v>124</v>
      </c>
      <c r="C2342" s="11" t="n">
        <v>7</v>
      </c>
      <c r="D2342" s="11" t="s">
        <v>78</v>
      </c>
      <c r="E2342" s="11" t="s">
        <v>159</v>
      </c>
      <c r="F2342" s="11" t="s">
        <v>77</v>
      </c>
      <c r="G2342" s="12" t="n">
        <v>350</v>
      </c>
      <c r="H2342" s="12" t="n">
        <f aca="false">SUMPRODUCT(ПОТОКИ!B16:G16,ЧАСОВЫЕ_ПРОФИЛИ!B11:G11,КОЭФФИЦИЕНТЫ_ВЫБОРА!F17:K17)</f>
        <v>0.09</v>
      </c>
      <c r="I2342" s="12" t="n">
        <f aca="false">SUMPRODUCT(ПОТОКИ!B16:G16,ЧАСОВЫЕ_ПРОФИЛИ!B11:G11,КОЭФФИЦИЕНТЫ_ВЫБОРА!F17:K17,ПАРАМЕТРЫ!$B$17:$G$17)</f>
        <v>0.099</v>
      </c>
      <c r="J2342" s="12" t="n">
        <f aca="false">I2342*G2342/1000</f>
        <v>0.03465</v>
      </c>
      <c r="K2342" s="11" t="s">
        <v>217</v>
      </c>
      <c r="L2342" s="11" t="s">
        <v>19</v>
      </c>
      <c r="M2342" s="11" t="s">
        <v>147</v>
      </c>
    </row>
    <row r="2343" customFormat="false" ht="15" hidden="false" customHeight="false" outlineLevel="0" collapsed="false">
      <c r="A2343" s="11" t="s">
        <v>112</v>
      </c>
      <c r="B2343" s="11" t="s">
        <v>124</v>
      </c>
      <c r="C2343" s="11" t="n">
        <v>8</v>
      </c>
      <c r="D2343" s="11" t="s">
        <v>78</v>
      </c>
      <c r="E2343" s="11" t="s">
        <v>160</v>
      </c>
      <c r="F2343" s="11" t="s">
        <v>77</v>
      </c>
      <c r="G2343" s="12" t="n">
        <v>85</v>
      </c>
      <c r="H2343" s="12" t="n">
        <f aca="false">SUMPRODUCT(ПОТОКИ!B16:G16,ЧАСОВЫЕ_ПРОФИЛИ!B11:G11,КОЭФФИЦИЕНТЫ_ВЫБОРА!F18:K18)</f>
        <v>0.054</v>
      </c>
      <c r="I2343" s="12" t="n">
        <f aca="false">SUMPRODUCT(ПОТОКИ!B16:G16,ЧАСОВЫЕ_ПРОФИЛИ!B11:G11,КОЭФФИЦИЕНТЫ_ВЫБОРА!F18:K18,ПАРАМЕТРЫ!$B$17:$G$17)</f>
        <v>0.0594</v>
      </c>
      <c r="J2343" s="12" t="n">
        <f aca="false">I2343*G2343/1000</f>
        <v>0.005049</v>
      </c>
      <c r="K2343" s="11" t="s">
        <v>217</v>
      </c>
      <c r="L2343" s="11" t="s">
        <v>19</v>
      </c>
      <c r="M2343" s="11" t="s">
        <v>147</v>
      </c>
    </row>
    <row r="2344" customFormat="false" ht="15" hidden="false" customHeight="false" outlineLevel="0" collapsed="false">
      <c r="A2344" s="11" t="s">
        <v>112</v>
      </c>
      <c r="B2344" s="11" t="s">
        <v>124</v>
      </c>
      <c r="C2344" s="11" t="n">
        <v>9</v>
      </c>
      <c r="D2344" s="11" t="s">
        <v>161</v>
      </c>
      <c r="E2344" s="11" t="s">
        <v>162</v>
      </c>
      <c r="F2344" s="11" t="s">
        <v>80</v>
      </c>
      <c r="G2344" s="12" t="n">
        <v>300</v>
      </c>
      <c r="H2344" s="12" t="n">
        <f aca="false">SUMPRODUCT(ПОТОКИ!B16:G16,ЧАСОВЫЕ_ПРОФИЛИ!B11:G11,КОЭФФИЦИЕНТЫ_ВЫБОРА!F19:K19)</f>
        <v>0</v>
      </c>
      <c r="I2344" s="12" t="n">
        <f aca="false">SUMPRODUCT(ПОТОКИ!B16:G16,ЧАСОВЫЕ_ПРОФИЛИ!B11:G11,КОЭФФИЦИЕНТЫ_ВЫБОРА!F19:K19,ПАРАМЕТРЫ!$B$17:$G$17)</f>
        <v>0</v>
      </c>
      <c r="J2344" s="12" t="n">
        <f aca="false">I2344*G2344/1000</f>
        <v>0</v>
      </c>
      <c r="K2344" s="11" t="s">
        <v>217</v>
      </c>
      <c r="L2344" s="11" t="s">
        <v>19</v>
      </c>
      <c r="M2344" s="11" t="s">
        <v>145</v>
      </c>
    </row>
    <row r="2345" customFormat="false" ht="15" hidden="false" customHeight="false" outlineLevel="0" collapsed="false">
      <c r="A2345" s="11" t="s">
        <v>112</v>
      </c>
      <c r="B2345" s="11" t="s">
        <v>124</v>
      </c>
      <c r="C2345" s="11" t="n">
        <v>10</v>
      </c>
      <c r="D2345" s="11" t="s">
        <v>161</v>
      </c>
      <c r="E2345" s="11" t="s">
        <v>163</v>
      </c>
      <c r="F2345" s="11" t="s">
        <v>80</v>
      </c>
      <c r="G2345" s="12" t="n">
        <v>280</v>
      </c>
      <c r="H2345" s="12" t="n">
        <f aca="false">SUMPRODUCT(ПОТОКИ!B16:G16,ЧАСОВЫЕ_ПРОФИЛИ!B11:G11,КОЭФФИЦИЕНТЫ_ВЫБОРА!F20:K20)</f>
        <v>0</v>
      </c>
      <c r="I2345" s="12" t="n">
        <f aca="false">SUMPRODUCT(ПОТОКИ!B16:G16,ЧАСОВЫЕ_ПРОФИЛИ!B11:G11,КОЭФФИЦИЕНТЫ_ВЫБОРА!F20:K20,ПАРАМЕТРЫ!$B$17:$G$17)</f>
        <v>0</v>
      </c>
      <c r="J2345" s="12" t="n">
        <f aca="false">I2345*G2345/1000</f>
        <v>0</v>
      </c>
      <c r="K2345" s="11" t="s">
        <v>217</v>
      </c>
      <c r="L2345" s="11" t="s">
        <v>19</v>
      </c>
      <c r="M2345" s="11" t="s">
        <v>145</v>
      </c>
    </row>
    <row r="2346" customFormat="false" ht="15" hidden="false" customHeight="false" outlineLevel="0" collapsed="false">
      <c r="A2346" s="11" t="s">
        <v>112</v>
      </c>
      <c r="B2346" s="11" t="s">
        <v>124</v>
      </c>
      <c r="C2346" s="11" t="n">
        <v>11</v>
      </c>
      <c r="D2346" s="11" t="s">
        <v>161</v>
      </c>
      <c r="E2346" s="11" t="s">
        <v>164</v>
      </c>
      <c r="F2346" s="11" t="s">
        <v>80</v>
      </c>
      <c r="G2346" s="12" t="n">
        <v>270</v>
      </c>
      <c r="H2346" s="12" t="n">
        <f aca="false">SUMPRODUCT(ПОТОКИ!B16:G16,ЧАСОВЫЕ_ПРОФИЛИ!B11:G11,КОЭФФИЦИЕНТЫ_ВЫБОРА!F21:K21)</f>
        <v>0</v>
      </c>
      <c r="I2346" s="12" t="n">
        <f aca="false">SUMPRODUCT(ПОТОКИ!B16:G16,ЧАСОВЫЕ_ПРОФИЛИ!B11:G11,КОЭФФИЦИЕНТЫ_ВЫБОРА!F21:K21,ПАРАМЕТРЫ!$B$17:$G$17)</f>
        <v>0</v>
      </c>
      <c r="J2346" s="12" t="n">
        <f aca="false">I2346*G2346/1000</f>
        <v>0</v>
      </c>
      <c r="K2346" s="11" t="s">
        <v>217</v>
      </c>
      <c r="L2346" s="11" t="s">
        <v>19</v>
      </c>
      <c r="M2346" s="11" t="s">
        <v>145</v>
      </c>
    </row>
    <row r="2347" customFormat="false" ht="15" hidden="false" customHeight="false" outlineLevel="0" collapsed="false">
      <c r="A2347" s="11" t="s">
        <v>112</v>
      </c>
      <c r="B2347" s="11" t="s">
        <v>124</v>
      </c>
      <c r="C2347" s="11" t="n">
        <v>12</v>
      </c>
      <c r="D2347" s="11" t="s">
        <v>161</v>
      </c>
      <c r="E2347" s="11" t="s">
        <v>165</v>
      </c>
      <c r="F2347" s="11" t="s">
        <v>80</v>
      </c>
      <c r="G2347" s="12" t="n">
        <v>240</v>
      </c>
      <c r="H2347" s="12" t="n">
        <f aca="false">SUMPRODUCT(ПОТОКИ!B16:G16,ЧАСОВЫЕ_ПРОФИЛИ!B11:G11,КОЭФФИЦИЕНТЫ_ВЫБОРА!F22:K22)</f>
        <v>0</v>
      </c>
      <c r="I2347" s="12" t="n">
        <f aca="false">SUMPRODUCT(ПОТОКИ!B16:G16,ЧАСОВЫЕ_ПРОФИЛИ!B11:G11,КОЭФФИЦИЕНТЫ_ВЫБОРА!F22:K22,ПАРАМЕТРЫ!$B$17:$G$17)</f>
        <v>0</v>
      </c>
      <c r="J2347" s="12" t="n">
        <f aca="false">I2347*G2347/1000</f>
        <v>0</v>
      </c>
      <c r="K2347" s="11" t="s">
        <v>217</v>
      </c>
      <c r="L2347" s="11" t="s">
        <v>19</v>
      </c>
      <c r="M2347" s="11" t="s">
        <v>145</v>
      </c>
    </row>
    <row r="2348" customFormat="false" ht="15" hidden="false" customHeight="false" outlineLevel="0" collapsed="false">
      <c r="A2348" s="11" t="s">
        <v>112</v>
      </c>
      <c r="B2348" s="11" t="s">
        <v>124</v>
      </c>
      <c r="C2348" s="11" t="n">
        <v>13</v>
      </c>
      <c r="D2348" s="11" t="s">
        <v>166</v>
      </c>
      <c r="E2348" s="11" t="s">
        <v>167</v>
      </c>
      <c r="F2348" s="11" t="s">
        <v>80</v>
      </c>
      <c r="G2348" s="12" t="n">
        <v>130</v>
      </c>
      <c r="H2348" s="12" t="n">
        <f aca="false">SUMPRODUCT(ПОТОКИ!B16:G16,ЧАСОВЫЕ_ПРОФИЛИ!B11:G11,КОЭФФИЦИЕНТЫ_ВЫБОРА!F23:K23)</f>
        <v>0</v>
      </c>
      <c r="I2348" s="12" t="n">
        <f aca="false">SUMPRODUCT(ПОТОКИ!B16:G16,ЧАСОВЫЕ_ПРОФИЛИ!B11:G11,КОЭФФИЦИЕНТЫ_ВЫБОРА!F23:K23,ПАРАМЕТРЫ!$B$17:$G$17)</f>
        <v>0</v>
      </c>
      <c r="J2348" s="12" t="n">
        <f aca="false">I2348*G2348/1000</f>
        <v>0</v>
      </c>
      <c r="K2348" s="11" t="s">
        <v>217</v>
      </c>
      <c r="L2348" s="11" t="s">
        <v>19</v>
      </c>
      <c r="M2348" s="11" t="s">
        <v>145</v>
      </c>
    </row>
    <row r="2349" customFormat="false" ht="15" hidden="false" customHeight="false" outlineLevel="0" collapsed="false">
      <c r="A2349" s="11" t="s">
        <v>112</v>
      </c>
      <c r="B2349" s="11" t="s">
        <v>124</v>
      </c>
      <c r="C2349" s="11" t="n">
        <v>14</v>
      </c>
      <c r="D2349" s="11" t="s">
        <v>166</v>
      </c>
      <c r="E2349" s="11" t="s">
        <v>168</v>
      </c>
      <c r="F2349" s="11" t="s">
        <v>80</v>
      </c>
      <c r="G2349" s="12" t="n">
        <v>250</v>
      </c>
      <c r="H2349" s="12" t="n">
        <f aca="false">SUMPRODUCT(ПОТОКИ!B16:G16,ЧАСОВЫЕ_ПРОФИЛИ!B11:G11,КОЭФФИЦИЕНТЫ_ВЫБОРА!F24:K24)</f>
        <v>0</v>
      </c>
      <c r="I2349" s="12" t="n">
        <f aca="false">SUMPRODUCT(ПОТОКИ!B16:G16,ЧАСОВЫЕ_ПРОФИЛИ!B11:G11,КОЭФФИЦИЕНТЫ_ВЫБОРА!F24:K24,ПАРАМЕТРЫ!$B$17:$G$17)</f>
        <v>0</v>
      </c>
      <c r="J2349" s="12" t="n">
        <f aca="false">I2349*G2349/1000</f>
        <v>0</v>
      </c>
      <c r="K2349" s="11" t="s">
        <v>217</v>
      </c>
      <c r="L2349" s="11" t="s">
        <v>19</v>
      </c>
      <c r="M2349" s="11" t="s">
        <v>145</v>
      </c>
    </row>
    <row r="2350" customFormat="false" ht="15" hidden="false" customHeight="false" outlineLevel="0" collapsed="false">
      <c r="A2350" s="11" t="s">
        <v>112</v>
      </c>
      <c r="B2350" s="11" t="s">
        <v>124</v>
      </c>
      <c r="C2350" s="11" t="n">
        <v>15</v>
      </c>
      <c r="D2350" s="11" t="s">
        <v>166</v>
      </c>
      <c r="E2350" s="11" t="s">
        <v>169</v>
      </c>
      <c r="F2350" s="11" t="s">
        <v>80</v>
      </c>
      <c r="G2350" s="12" t="n">
        <v>120</v>
      </c>
      <c r="H2350" s="12" t="n">
        <f aca="false">SUMPRODUCT(ПОТОКИ!B16:G16,ЧАСОВЫЕ_ПРОФИЛИ!B11:G11,КОЭФФИЦИЕНТЫ_ВЫБОРА!F25:K25)</f>
        <v>0</v>
      </c>
      <c r="I2350" s="12" t="n">
        <f aca="false">SUMPRODUCT(ПОТОКИ!B16:G16,ЧАСОВЫЕ_ПРОФИЛИ!B11:G11,КОЭФФИЦИЕНТЫ_ВЫБОРА!F25:K25,ПАРАМЕТРЫ!$B$17:$G$17)</f>
        <v>0</v>
      </c>
      <c r="J2350" s="12" t="n">
        <f aca="false">I2350*G2350/1000</f>
        <v>0</v>
      </c>
      <c r="K2350" s="11" t="s">
        <v>217</v>
      </c>
      <c r="L2350" s="11" t="s">
        <v>19</v>
      </c>
      <c r="M2350" s="11" t="s">
        <v>145</v>
      </c>
    </row>
    <row r="2351" customFormat="false" ht="15" hidden="false" customHeight="false" outlineLevel="0" collapsed="false">
      <c r="A2351" s="11" t="s">
        <v>112</v>
      </c>
      <c r="B2351" s="11" t="s">
        <v>124</v>
      </c>
      <c r="C2351" s="11" t="n">
        <v>16</v>
      </c>
      <c r="D2351" s="11" t="s">
        <v>166</v>
      </c>
      <c r="E2351" s="11" t="s">
        <v>170</v>
      </c>
      <c r="F2351" s="11" t="s">
        <v>80</v>
      </c>
      <c r="G2351" s="12" t="n">
        <v>180</v>
      </c>
      <c r="H2351" s="12" t="n">
        <f aca="false">SUMPRODUCT(ПОТОКИ!B16:G16,ЧАСОВЫЕ_ПРОФИЛИ!B11:G11,КОЭФФИЦИЕНТЫ_ВЫБОРА!F26:K26)</f>
        <v>0</v>
      </c>
      <c r="I2351" s="12" t="n">
        <f aca="false">SUMPRODUCT(ПОТОКИ!B16:G16,ЧАСОВЫЕ_ПРОФИЛИ!B11:G11,КОЭФФИЦИЕНТЫ_ВЫБОРА!F26:K26,ПАРАМЕТРЫ!$B$17:$G$17)</f>
        <v>0</v>
      </c>
      <c r="J2351" s="12" t="n">
        <f aca="false">I2351*G2351/1000</f>
        <v>0</v>
      </c>
      <c r="K2351" s="11" t="s">
        <v>217</v>
      </c>
      <c r="L2351" s="11" t="s">
        <v>19</v>
      </c>
      <c r="M2351" s="11" t="s">
        <v>145</v>
      </c>
    </row>
    <row r="2352" customFormat="false" ht="15" hidden="false" customHeight="false" outlineLevel="0" collapsed="false">
      <c r="A2352" s="11" t="s">
        <v>112</v>
      </c>
      <c r="B2352" s="11" t="s">
        <v>124</v>
      </c>
      <c r="C2352" s="11" t="n">
        <v>17</v>
      </c>
      <c r="D2352" s="11" t="s">
        <v>166</v>
      </c>
      <c r="E2352" s="11" t="s">
        <v>171</v>
      </c>
      <c r="F2352" s="11" t="s">
        <v>80</v>
      </c>
      <c r="G2352" s="12" t="n">
        <v>180</v>
      </c>
      <c r="H2352" s="12" t="n">
        <f aca="false">SUMPRODUCT(ПОТОКИ!B16:G16,ЧАСОВЫЕ_ПРОФИЛИ!B11:G11,КОЭФФИЦИЕНТЫ_ВЫБОРА!F27:K27)</f>
        <v>0</v>
      </c>
      <c r="I2352" s="12" t="n">
        <f aca="false">SUMPRODUCT(ПОТОКИ!B16:G16,ЧАСОВЫЕ_ПРОФИЛИ!B11:G11,КОЭФФИЦИЕНТЫ_ВЫБОРА!F27:K27,ПАРАМЕТРЫ!$B$17:$G$17)</f>
        <v>0</v>
      </c>
      <c r="J2352" s="12" t="n">
        <f aca="false">I2352*G2352/1000</f>
        <v>0</v>
      </c>
      <c r="K2352" s="11" t="s">
        <v>217</v>
      </c>
      <c r="L2352" s="11" t="s">
        <v>19</v>
      </c>
      <c r="M2352" s="11" t="s">
        <v>145</v>
      </c>
    </row>
    <row r="2353" customFormat="false" ht="15" hidden="false" customHeight="false" outlineLevel="0" collapsed="false">
      <c r="A2353" s="11" t="s">
        <v>112</v>
      </c>
      <c r="B2353" s="11" t="s">
        <v>124</v>
      </c>
      <c r="C2353" s="11" t="n">
        <v>18</v>
      </c>
      <c r="D2353" s="11" t="s">
        <v>172</v>
      </c>
      <c r="E2353" s="11" t="s">
        <v>173</v>
      </c>
      <c r="F2353" s="11" t="s">
        <v>83</v>
      </c>
      <c r="G2353" s="12" t="n">
        <v>400</v>
      </c>
      <c r="H2353" s="12" t="n">
        <f aca="false">SUMPRODUCT(ПОТОКИ!B16:G16,ЧАСОВЫЕ_ПРОФИЛИ!B11:G11,КОЭФФИЦИЕНТЫ_ВЫБОРА!F28:K28)</f>
        <v>0</v>
      </c>
      <c r="I2353" s="12" t="n">
        <f aca="false">SUMPRODUCT(ПОТОКИ!B16:G16,ЧАСОВЫЕ_ПРОФИЛИ!B11:G11,КОЭФФИЦИЕНТЫ_ВЫБОРА!F28:K28,ПАРАМЕТРЫ!$B$17:$G$17)</f>
        <v>0</v>
      </c>
      <c r="J2353" s="12" t="n">
        <f aca="false">I2353*G2353/1000</f>
        <v>0</v>
      </c>
      <c r="K2353" s="11" t="s">
        <v>217</v>
      </c>
      <c r="L2353" s="11" t="s">
        <v>19</v>
      </c>
      <c r="M2353" s="11" t="s">
        <v>145</v>
      </c>
    </row>
    <row r="2354" customFormat="false" ht="23.85" hidden="false" customHeight="false" outlineLevel="0" collapsed="false">
      <c r="A2354" s="11" t="s">
        <v>112</v>
      </c>
      <c r="B2354" s="11" t="s">
        <v>124</v>
      </c>
      <c r="C2354" s="11" t="n">
        <v>19</v>
      </c>
      <c r="D2354" s="11" t="s">
        <v>174</v>
      </c>
      <c r="E2354" s="11" t="s">
        <v>175</v>
      </c>
      <c r="F2354" s="11" t="s">
        <v>83</v>
      </c>
      <c r="G2354" s="12" t="n">
        <v>300</v>
      </c>
      <c r="H2354" s="12" t="n">
        <f aca="false">SUMPRODUCT(ПОТОКИ!B16:G16,ЧАСОВЫЕ_ПРОФИЛИ!B11:G11,КОЭФФИЦИЕНТЫ_ВЫБОРА!F29:K29)</f>
        <v>0</v>
      </c>
      <c r="I2354" s="12" t="n">
        <f aca="false">SUMPRODUCT(ПОТОКИ!B16:G16,ЧАСОВЫЕ_ПРОФИЛИ!B11:G11,КОЭФФИЦИЕНТЫ_ВЫБОРА!F29:K29,ПАРАМЕТРЫ!$B$17:$G$17)</f>
        <v>0</v>
      </c>
      <c r="J2354" s="12" t="n">
        <f aca="false">I2354*G2354/1000</f>
        <v>0</v>
      </c>
      <c r="K2354" s="11" t="s">
        <v>217</v>
      </c>
      <c r="L2354" s="11" t="s">
        <v>19</v>
      </c>
      <c r="M2354" s="11" t="s">
        <v>145</v>
      </c>
    </row>
    <row r="2355" customFormat="false" ht="15" hidden="false" customHeight="false" outlineLevel="0" collapsed="false">
      <c r="A2355" s="11" t="s">
        <v>112</v>
      </c>
      <c r="B2355" s="11" t="s">
        <v>124</v>
      </c>
      <c r="C2355" s="11" t="n">
        <v>20</v>
      </c>
      <c r="D2355" s="11" t="s">
        <v>174</v>
      </c>
      <c r="E2355" s="11" t="s">
        <v>176</v>
      </c>
      <c r="F2355" s="11" t="s">
        <v>83</v>
      </c>
      <c r="G2355" s="12" t="n">
        <v>360</v>
      </c>
      <c r="H2355" s="12" t="n">
        <f aca="false">SUMPRODUCT(ПОТОКИ!B16:G16,ЧАСОВЫЕ_ПРОФИЛИ!B11:G11,КОЭФФИЦИЕНТЫ_ВЫБОРА!F30:K30)</f>
        <v>0</v>
      </c>
      <c r="I2355" s="12" t="n">
        <f aca="false">SUMPRODUCT(ПОТОКИ!B16:G16,ЧАСОВЫЕ_ПРОФИЛИ!B11:G11,КОЭФФИЦИЕНТЫ_ВЫБОРА!F30:K30,ПАРАМЕТРЫ!$B$17:$G$17)</f>
        <v>0</v>
      </c>
      <c r="J2355" s="12" t="n">
        <f aca="false">I2355*G2355/1000</f>
        <v>0</v>
      </c>
      <c r="K2355" s="11" t="s">
        <v>217</v>
      </c>
      <c r="L2355" s="11" t="s">
        <v>19</v>
      </c>
      <c r="M2355" s="11" t="s">
        <v>145</v>
      </c>
    </row>
    <row r="2356" customFormat="false" ht="15" hidden="false" customHeight="false" outlineLevel="0" collapsed="false">
      <c r="A2356" s="11" t="s">
        <v>112</v>
      </c>
      <c r="B2356" s="11" t="s">
        <v>124</v>
      </c>
      <c r="C2356" s="11" t="n">
        <v>21</v>
      </c>
      <c r="D2356" s="11" t="s">
        <v>174</v>
      </c>
      <c r="E2356" s="11" t="s">
        <v>177</v>
      </c>
      <c r="F2356" s="11" t="s">
        <v>83</v>
      </c>
      <c r="G2356" s="12" t="n">
        <v>350</v>
      </c>
      <c r="H2356" s="12" t="n">
        <f aca="false">SUMPRODUCT(ПОТОКИ!B16:G16,ЧАСОВЫЕ_ПРОФИЛИ!B11:G11,КОЭФФИЦИЕНТЫ_ВЫБОРА!F31:K31)</f>
        <v>0</v>
      </c>
      <c r="I2356" s="12" t="n">
        <f aca="false">SUMPRODUCT(ПОТОКИ!B16:G16,ЧАСОВЫЕ_ПРОФИЛИ!B11:G11,КОЭФФИЦИЕНТЫ_ВЫБОРА!F31:K31,ПАРАМЕТРЫ!$B$17:$G$17)</f>
        <v>0</v>
      </c>
      <c r="J2356" s="12" t="n">
        <f aca="false">I2356*G2356/1000</f>
        <v>0</v>
      </c>
      <c r="K2356" s="11" t="s">
        <v>217</v>
      </c>
      <c r="L2356" s="11" t="s">
        <v>19</v>
      </c>
      <c r="M2356" s="11" t="s">
        <v>145</v>
      </c>
    </row>
    <row r="2357" customFormat="false" ht="15" hidden="false" customHeight="false" outlineLevel="0" collapsed="false">
      <c r="A2357" s="11" t="s">
        <v>112</v>
      </c>
      <c r="B2357" s="11" t="s">
        <v>124</v>
      </c>
      <c r="C2357" s="11" t="n">
        <v>22</v>
      </c>
      <c r="D2357" s="11" t="s">
        <v>174</v>
      </c>
      <c r="E2357" s="11" t="s">
        <v>178</v>
      </c>
      <c r="F2357" s="11" t="s">
        <v>83</v>
      </c>
      <c r="G2357" s="12" t="n">
        <v>300</v>
      </c>
      <c r="H2357" s="12" t="n">
        <f aca="false">SUMPRODUCT(ПОТОКИ!B16:G16,ЧАСОВЫЕ_ПРОФИЛИ!B11:G11,КОЭФФИЦИЕНТЫ_ВЫБОРА!F32:K32)</f>
        <v>0</v>
      </c>
      <c r="I2357" s="12" t="n">
        <f aca="false">SUMPRODUCT(ПОТОКИ!B16:G16,ЧАСОВЫЕ_ПРОФИЛИ!B11:G11,КОЭФФИЦИЕНТЫ_ВЫБОРА!F32:K32,ПАРАМЕТРЫ!$B$17:$G$17)</f>
        <v>0</v>
      </c>
      <c r="J2357" s="12" t="n">
        <f aca="false">I2357*G2357/1000</f>
        <v>0</v>
      </c>
      <c r="K2357" s="11" t="s">
        <v>217</v>
      </c>
      <c r="L2357" s="11" t="s">
        <v>19</v>
      </c>
      <c r="M2357" s="11" t="s">
        <v>145</v>
      </c>
    </row>
    <row r="2358" customFormat="false" ht="15" hidden="false" customHeight="false" outlineLevel="0" collapsed="false">
      <c r="A2358" s="11" t="s">
        <v>112</v>
      </c>
      <c r="B2358" s="11" t="s">
        <v>124</v>
      </c>
      <c r="C2358" s="11" t="n">
        <v>23</v>
      </c>
      <c r="D2358" s="11" t="s">
        <v>86</v>
      </c>
      <c r="E2358" s="11" t="s">
        <v>179</v>
      </c>
      <c r="F2358" s="11" t="s">
        <v>85</v>
      </c>
      <c r="G2358" s="12" t="n">
        <v>150</v>
      </c>
      <c r="H2358" s="12" t="n">
        <f aca="false">SUMPRODUCT(ПОТОКИ!B16:G16,ЧАСОВЫЕ_ПРОФИЛИ!B11:G11,КОЭФФИЦИЕНТЫ_ВЫБОРА!F33:K33)</f>
        <v>0</v>
      </c>
      <c r="I2358" s="12" t="n">
        <f aca="false">SUMPRODUCT(ПОТОКИ!B16:G16,ЧАСОВЫЕ_ПРОФИЛИ!B11:G11,КОЭФФИЦИЕНТЫ_ВЫБОРА!F33:K33,ПАРАМЕТРЫ!$B$17:$G$17)</f>
        <v>0</v>
      </c>
      <c r="J2358" s="12" t="n">
        <f aca="false">I2358*G2358/1000</f>
        <v>0</v>
      </c>
      <c r="K2358" s="11" t="s">
        <v>217</v>
      </c>
      <c r="L2358" s="11" t="s">
        <v>19</v>
      </c>
      <c r="M2358" s="11" t="s">
        <v>147</v>
      </c>
    </row>
    <row r="2359" customFormat="false" ht="15" hidden="false" customHeight="false" outlineLevel="0" collapsed="false">
      <c r="A2359" s="11" t="s">
        <v>112</v>
      </c>
      <c r="B2359" s="11" t="s">
        <v>124</v>
      </c>
      <c r="C2359" s="11" t="n">
        <v>24</v>
      </c>
      <c r="D2359" s="11" t="s">
        <v>86</v>
      </c>
      <c r="E2359" s="11" t="s">
        <v>180</v>
      </c>
      <c r="F2359" s="11" t="s">
        <v>85</v>
      </c>
      <c r="G2359" s="12" t="n">
        <v>150</v>
      </c>
      <c r="H2359" s="12" t="n">
        <f aca="false">SUMPRODUCT(ПОТОКИ!B16:G16,ЧАСОВЫЕ_ПРОФИЛИ!B11:G11,КОЭФФИЦИЕНТЫ_ВЫБОРА!F34:K34)</f>
        <v>0</v>
      </c>
      <c r="I2359" s="12" t="n">
        <f aca="false">SUMPRODUCT(ПОТОКИ!B16:G16,ЧАСОВЫЕ_ПРОФИЛИ!B11:G11,КОЭФФИЦИЕНТЫ_ВЫБОРА!F34:K34,ПАРАМЕТРЫ!$B$17:$G$17)</f>
        <v>0</v>
      </c>
      <c r="J2359" s="12" t="n">
        <f aca="false">I2359*G2359/1000</f>
        <v>0</v>
      </c>
      <c r="K2359" s="11" t="s">
        <v>217</v>
      </c>
      <c r="L2359" s="11" t="s">
        <v>19</v>
      </c>
      <c r="M2359" s="11" t="s">
        <v>147</v>
      </c>
    </row>
    <row r="2360" customFormat="false" ht="15" hidden="false" customHeight="false" outlineLevel="0" collapsed="false">
      <c r="A2360" s="11" t="s">
        <v>112</v>
      </c>
      <c r="B2360" s="11" t="s">
        <v>124</v>
      </c>
      <c r="C2360" s="11" t="n">
        <v>25</v>
      </c>
      <c r="D2360" s="11" t="s">
        <v>86</v>
      </c>
      <c r="E2360" s="11" t="s">
        <v>181</v>
      </c>
      <c r="F2360" s="11" t="s">
        <v>85</v>
      </c>
      <c r="G2360" s="12" t="n">
        <v>150</v>
      </c>
      <c r="H2360" s="12" t="n">
        <f aca="false">SUMPRODUCT(ПОТОКИ!B16:G16,ЧАСОВЫЕ_ПРОФИЛИ!B11:G11,КОЭФФИЦИЕНТЫ_ВЫБОРА!F35:K35)</f>
        <v>0</v>
      </c>
      <c r="I2360" s="12" t="n">
        <f aca="false">SUMPRODUCT(ПОТОКИ!B16:G16,ЧАСОВЫЕ_ПРОФИЛИ!B11:G11,КОЭФФИЦИЕНТЫ_ВЫБОРА!F35:K35,ПАРАМЕТРЫ!$B$17:$G$17)</f>
        <v>0</v>
      </c>
      <c r="J2360" s="12" t="n">
        <f aca="false">I2360*G2360/1000</f>
        <v>0</v>
      </c>
      <c r="K2360" s="11" t="s">
        <v>217</v>
      </c>
      <c r="L2360" s="11" t="s">
        <v>19</v>
      </c>
      <c r="M2360" s="11" t="s">
        <v>147</v>
      </c>
    </row>
    <row r="2361" customFormat="false" ht="23.85" hidden="false" customHeight="false" outlineLevel="0" collapsed="false">
      <c r="A2361" s="11" t="s">
        <v>112</v>
      </c>
      <c r="B2361" s="11" t="s">
        <v>124</v>
      </c>
      <c r="C2361" s="11" t="n">
        <v>26</v>
      </c>
      <c r="D2361" s="11" t="s">
        <v>89</v>
      </c>
      <c r="E2361" s="11" t="s">
        <v>182</v>
      </c>
      <c r="F2361" s="11" t="s">
        <v>88</v>
      </c>
      <c r="G2361" s="12" t="n">
        <v>225</v>
      </c>
      <c r="H2361" s="12" t="n">
        <f aca="false">SUMPRODUCT(ПОТОКИ!B16:G16,ЧАСОВЫЕ_ПРОФИЛИ!B11:G11,КОЭФФИЦИЕНТЫ_ВЫБОРА!F36:K36)</f>
        <v>1.2375</v>
      </c>
      <c r="I2361" s="12" t="n">
        <f aca="false">SUMPRODUCT(ПОТОКИ!B16:G16,ЧАСОВЫЕ_ПРОФИЛИ!B11:G11,КОЭФФИЦИЕНТЫ_ВЫБОРА!F36:K36,ПАРАМЕТРЫ!$B$17:$G$17)</f>
        <v>1.2375</v>
      </c>
      <c r="J2361" s="12" t="n">
        <f aca="false">I2361*G2361/1000</f>
        <v>0.2784375</v>
      </c>
      <c r="K2361" s="11" t="s">
        <v>217</v>
      </c>
      <c r="L2361" s="11" t="s">
        <v>19</v>
      </c>
      <c r="M2361" s="11" t="s">
        <v>145</v>
      </c>
    </row>
    <row r="2362" customFormat="false" ht="23.85" hidden="false" customHeight="false" outlineLevel="0" collapsed="false">
      <c r="A2362" s="11" t="s">
        <v>112</v>
      </c>
      <c r="B2362" s="11" t="s">
        <v>124</v>
      </c>
      <c r="C2362" s="11" t="n">
        <v>27</v>
      </c>
      <c r="D2362" s="11" t="s">
        <v>89</v>
      </c>
      <c r="E2362" s="11" t="s">
        <v>183</v>
      </c>
      <c r="F2362" s="11" t="s">
        <v>88</v>
      </c>
      <c r="G2362" s="12" t="n">
        <v>265</v>
      </c>
      <c r="H2362" s="12" t="n">
        <f aca="false">SUMPRODUCT(ПОТОКИ!B16:G16,ЧАСОВЫЕ_ПРОФИЛИ!B11:G11,КОЭФФИЦИЕНТЫ_ВЫБОРА!F37:K37)</f>
        <v>1.2375</v>
      </c>
      <c r="I2362" s="12" t="n">
        <f aca="false">SUMPRODUCT(ПОТОКИ!B16:G16,ЧАСОВЫЕ_ПРОФИЛИ!B11:G11,КОЭФФИЦИЕНТЫ_ВЫБОРА!F37:K37,ПАРАМЕТРЫ!$B$17:$G$17)</f>
        <v>1.2375</v>
      </c>
      <c r="J2362" s="12" t="n">
        <f aca="false">I2362*G2362/1000</f>
        <v>0.3279375</v>
      </c>
      <c r="K2362" s="11" t="s">
        <v>217</v>
      </c>
      <c r="L2362" s="11" t="s">
        <v>19</v>
      </c>
      <c r="M2362" s="11" t="s">
        <v>145</v>
      </c>
    </row>
    <row r="2363" customFormat="false" ht="23.85" hidden="false" customHeight="false" outlineLevel="0" collapsed="false">
      <c r="A2363" s="11" t="s">
        <v>112</v>
      </c>
      <c r="B2363" s="11" t="s">
        <v>124</v>
      </c>
      <c r="C2363" s="11" t="n">
        <v>28</v>
      </c>
      <c r="D2363" s="11" t="s">
        <v>89</v>
      </c>
      <c r="E2363" s="11" t="s">
        <v>184</v>
      </c>
      <c r="F2363" s="11" t="s">
        <v>88</v>
      </c>
      <c r="G2363" s="12" t="n">
        <v>355</v>
      </c>
      <c r="H2363" s="12" t="n">
        <f aca="false">SUMPRODUCT(ПОТОКИ!B16:G16,ЧАСОВЫЕ_ПРОФИЛИ!B11:G11,КОЭФФИЦИЕНТЫ_ВЫБОРА!F38:K38)</f>
        <v>0.825</v>
      </c>
      <c r="I2363" s="12" t="n">
        <f aca="false">SUMPRODUCT(ПОТОКИ!B16:G16,ЧАСОВЫЕ_ПРОФИЛИ!B11:G11,КОЭФФИЦИЕНТЫ_ВЫБОРА!F38:K38,ПАРАМЕТРЫ!$B$17:$G$17)</f>
        <v>0.825</v>
      </c>
      <c r="J2363" s="12" t="n">
        <f aca="false">I2363*G2363/1000</f>
        <v>0.292875</v>
      </c>
      <c r="K2363" s="11" t="s">
        <v>217</v>
      </c>
      <c r="L2363" s="11" t="s">
        <v>19</v>
      </c>
      <c r="M2363" s="11" t="s">
        <v>145</v>
      </c>
    </row>
    <row r="2364" customFormat="false" ht="15" hidden="false" customHeight="false" outlineLevel="0" collapsed="false">
      <c r="A2364" s="11" t="s">
        <v>112</v>
      </c>
      <c r="B2364" s="11" t="s">
        <v>124</v>
      </c>
      <c r="C2364" s="11" t="n">
        <v>29</v>
      </c>
      <c r="D2364" s="11" t="s">
        <v>92</v>
      </c>
      <c r="E2364" s="11" t="s">
        <v>185</v>
      </c>
      <c r="F2364" s="11" t="s">
        <v>91</v>
      </c>
      <c r="G2364" s="12" t="n">
        <v>150</v>
      </c>
      <c r="H2364" s="12" t="n">
        <f aca="false">SUMPRODUCT(ПОТОКИ!B16:G16,ЧАСОВЫЕ_ПРОФИЛИ!B11:G11,КОЭФФИЦИЕНТЫ_ВЫБОРА!F39:K39)</f>
        <v>0.054</v>
      </c>
      <c r="I2364" s="12" t="n">
        <f aca="false">SUMPRODUCT(ПОТОКИ!B16:G16,ЧАСОВЫЕ_ПРОФИЛИ!B11:G11,КОЭФФИЦИЕНТЫ_ВЫБОРА!F39:K39,ПАРАМЕТРЫ!$B$17:$G$17)</f>
        <v>0.0594</v>
      </c>
      <c r="J2364" s="12" t="n">
        <f aca="false">I2364*G2364/1000</f>
        <v>0.00891</v>
      </c>
      <c r="K2364" s="11" t="s">
        <v>217</v>
      </c>
      <c r="L2364" s="11" t="s">
        <v>19</v>
      </c>
      <c r="M2364" s="11" t="s">
        <v>145</v>
      </c>
    </row>
    <row r="2365" customFormat="false" ht="15" hidden="false" customHeight="false" outlineLevel="0" collapsed="false">
      <c r="A2365" s="11" t="s">
        <v>112</v>
      </c>
      <c r="B2365" s="11" t="s">
        <v>124</v>
      </c>
      <c r="C2365" s="11" t="n">
        <v>30</v>
      </c>
      <c r="D2365" s="11" t="s">
        <v>92</v>
      </c>
      <c r="E2365" s="11" t="s">
        <v>186</v>
      </c>
      <c r="F2365" s="11" t="s">
        <v>91</v>
      </c>
      <c r="G2365" s="12" t="n">
        <v>120</v>
      </c>
      <c r="H2365" s="12" t="n">
        <f aca="false">SUMPRODUCT(ПОТОКИ!B16:G16,ЧАСОВЫЕ_ПРОФИЛИ!B11:G11,КОЭФФИЦИЕНТЫ_ВЫБОРА!F40:K40)</f>
        <v>0.054</v>
      </c>
      <c r="I2365" s="12" t="n">
        <f aca="false">SUMPRODUCT(ПОТОКИ!B16:G16,ЧАСОВЫЕ_ПРОФИЛИ!B11:G11,КОЭФФИЦИЕНТЫ_ВЫБОРА!F40:K40,ПАРАМЕТРЫ!$B$17:$G$17)</f>
        <v>0.0594</v>
      </c>
      <c r="J2365" s="12" t="n">
        <f aca="false">I2365*G2365/1000</f>
        <v>0.007128</v>
      </c>
      <c r="K2365" s="11" t="s">
        <v>217</v>
      </c>
      <c r="L2365" s="11" t="s">
        <v>19</v>
      </c>
      <c r="M2365" s="11" t="s">
        <v>145</v>
      </c>
    </row>
    <row r="2366" customFormat="false" ht="15" hidden="false" customHeight="false" outlineLevel="0" collapsed="false">
      <c r="A2366" s="11" t="s">
        <v>112</v>
      </c>
      <c r="B2366" s="11" t="s">
        <v>124</v>
      </c>
      <c r="C2366" s="11" t="n">
        <v>31</v>
      </c>
      <c r="D2366" s="11" t="s">
        <v>92</v>
      </c>
      <c r="E2366" s="11" t="s">
        <v>187</v>
      </c>
      <c r="F2366" s="11" t="s">
        <v>91</v>
      </c>
      <c r="G2366" s="12" t="n">
        <v>60</v>
      </c>
      <c r="H2366" s="12" t="n">
        <f aca="false">SUMPRODUCT(ПОТОКИ!B16:G16,ЧАСОВЫЕ_ПРОФИЛИ!B11:G11,КОЭФФИЦИЕНТЫ_ВЫБОРА!F41:K41)</f>
        <v>0.072</v>
      </c>
      <c r="I2366" s="12" t="n">
        <f aca="false">SUMPRODUCT(ПОТОКИ!B16:G16,ЧАСОВЫЕ_ПРОФИЛИ!B11:G11,КОЭФФИЦИЕНТЫ_ВЫБОРА!F41:K41,ПАРАМЕТРЫ!$B$17:$G$17)</f>
        <v>0.0792</v>
      </c>
      <c r="J2366" s="12" t="n">
        <f aca="false">I2366*G2366/1000</f>
        <v>0.004752</v>
      </c>
      <c r="K2366" s="11" t="s">
        <v>217</v>
      </c>
      <c r="L2366" s="11" t="s">
        <v>19</v>
      </c>
      <c r="M2366" s="11" t="s">
        <v>145</v>
      </c>
    </row>
    <row r="2367" customFormat="false" ht="15" hidden="false" customHeight="false" outlineLevel="0" collapsed="false">
      <c r="A2367" s="11" t="s">
        <v>112</v>
      </c>
      <c r="B2367" s="11" t="s">
        <v>125</v>
      </c>
      <c r="C2367" s="11" t="n">
        <v>1</v>
      </c>
      <c r="D2367" s="11" t="s">
        <v>74</v>
      </c>
      <c r="E2367" s="11" t="s">
        <v>153</v>
      </c>
      <c r="F2367" s="11" t="s">
        <v>73</v>
      </c>
      <c r="G2367" s="12" t="n">
        <v>450</v>
      </c>
      <c r="H2367" s="12" t="n">
        <f aca="false">SUMPRODUCT(ПОТОКИ!B16:G16,ЧАСОВЫЕ_ПРОФИЛИ!B12:G12,КОЭФФИЦИЕНТЫ_ВЫБОРА!F11:K11)</f>
        <v>0</v>
      </c>
      <c r="I2367" s="12" t="n">
        <f aca="false">SUMPRODUCT(ПОТОКИ!B16:G16,ЧАСОВЫЕ_ПРОФИЛИ!B12:G12,КОЭФФИЦИЕНТЫ_ВЫБОРА!F11:K11,ПАРАМЕТРЫ!$B$17:$G$17)</f>
        <v>0</v>
      </c>
      <c r="J2367" s="12" t="n">
        <f aca="false">I2367*G2367/1000</f>
        <v>0</v>
      </c>
      <c r="K2367" s="11" t="s">
        <v>217</v>
      </c>
      <c r="L2367" s="11" t="s">
        <v>19</v>
      </c>
      <c r="M2367" s="11" t="s">
        <v>145</v>
      </c>
    </row>
    <row r="2368" customFormat="false" ht="15" hidden="false" customHeight="false" outlineLevel="0" collapsed="false">
      <c r="A2368" s="11" t="s">
        <v>112</v>
      </c>
      <c r="B2368" s="11" t="s">
        <v>125</v>
      </c>
      <c r="C2368" s="11" t="n">
        <v>2</v>
      </c>
      <c r="D2368" s="11" t="s">
        <v>74</v>
      </c>
      <c r="E2368" s="11" t="s">
        <v>154</v>
      </c>
      <c r="F2368" s="11" t="s">
        <v>73</v>
      </c>
      <c r="G2368" s="12" t="n">
        <v>480</v>
      </c>
      <c r="H2368" s="12" t="n">
        <f aca="false">SUMPRODUCT(ПОТОКИ!B16:G16,ЧАСОВЫЕ_ПРОФИЛИ!B12:G12,КОЭФФИЦИЕНТЫ_ВЫБОРА!F12:K12)</f>
        <v>0</v>
      </c>
      <c r="I2368" s="12" t="n">
        <f aca="false">SUMPRODUCT(ПОТОКИ!B16:G16,ЧАСОВЫЕ_ПРОФИЛИ!B12:G12,КОЭФФИЦИЕНТЫ_ВЫБОРА!F12:K12,ПАРАМЕТРЫ!$B$17:$G$17)</f>
        <v>0</v>
      </c>
      <c r="J2368" s="12" t="n">
        <f aca="false">I2368*G2368/1000</f>
        <v>0</v>
      </c>
      <c r="K2368" s="11" t="s">
        <v>217</v>
      </c>
      <c r="L2368" s="11" t="s">
        <v>19</v>
      </c>
      <c r="M2368" s="11" t="s">
        <v>145</v>
      </c>
    </row>
    <row r="2369" customFormat="false" ht="15" hidden="false" customHeight="false" outlineLevel="0" collapsed="false">
      <c r="A2369" s="11" t="s">
        <v>112</v>
      </c>
      <c r="B2369" s="11" t="s">
        <v>125</v>
      </c>
      <c r="C2369" s="11" t="n">
        <v>3</v>
      </c>
      <c r="D2369" s="11" t="s">
        <v>74</v>
      </c>
      <c r="E2369" s="11" t="s">
        <v>155</v>
      </c>
      <c r="F2369" s="11" t="s">
        <v>73</v>
      </c>
      <c r="G2369" s="12" t="n">
        <v>500</v>
      </c>
      <c r="H2369" s="12" t="n">
        <f aca="false">SUMPRODUCT(ПОТОКИ!B16:G16,ЧАСОВЫЕ_ПРОФИЛИ!B12:G12,КОЭФФИЦИЕНТЫ_ВЫБОРА!F13:K13)</f>
        <v>0</v>
      </c>
      <c r="I2369" s="12" t="n">
        <f aca="false">SUMPRODUCT(ПОТОКИ!B16:G16,ЧАСОВЫЕ_ПРОФИЛИ!B12:G12,КОЭФФИЦИЕНТЫ_ВЫБОРА!F13:K13,ПАРАМЕТРЫ!$B$17:$G$17)</f>
        <v>0</v>
      </c>
      <c r="J2369" s="12" t="n">
        <f aca="false">I2369*G2369/1000</f>
        <v>0</v>
      </c>
      <c r="K2369" s="11" t="s">
        <v>217</v>
      </c>
      <c r="L2369" s="11" t="s">
        <v>19</v>
      </c>
      <c r="M2369" s="11" t="s">
        <v>145</v>
      </c>
    </row>
    <row r="2370" customFormat="false" ht="15" hidden="false" customHeight="false" outlineLevel="0" collapsed="false">
      <c r="A2370" s="11" t="s">
        <v>112</v>
      </c>
      <c r="B2370" s="11" t="s">
        <v>125</v>
      </c>
      <c r="C2370" s="11" t="n">
        <v>4</v>
      </c>
      <c r="D2370" s="11" t="s">
        <v>74</v>
      </c>
      <c r="E2370" s="11" t="s">
        <v>156</v>
      </c>
      <c r="F2370" s="11" t="s">
        <v>73</v>
      </c>
      <c r="G2370" s="12" t="n">
        <v>500</v>
      </c>
      <c r="H2370" s="12" t="n">
        <f aca="false">SUMPRODUCT(ПОТОКИ!B16:G16,ЧАСОВЫЕ_ПРОФИЛИ!B12:G12,КОЭФФИЦИЕНТЫ_ВЫБОРА!F14:K14)</f>
        <v>0</v>
      </c>
      <c r="I2370" s="12" t="n">
        <f aca="false">SUMPRODUCT(ПОТОКИ!B16:G16,ЧАСОВЫЕ_ПРОФИЛИ!B12:G12,КОЭФФИЦИЕНТЫ_ВЫБОРА!F14:K14,ПАРАМЕТРЫ!$B$17:$G$17)</f>
        <v>0</v>
      </c>
      <c r="J2370" s="12" t="n">
        <f aca="false">I2370*G2370/1000</f>
        <v>0</v>
      </c>
      <c r="K2370" s="11" t="s">
        <v>217</v>
      </c>
      <c r="L2370" s="11" t="s">
        <v>19</v>
      </c>
      <c r="M2370" s="11" t="s">
        <v>145</v>
      </c>
    </row>
    <row r="2371" customFormat="false" ht="15" hidden="false" customHeight="false" outlineLevel="0" collapsed="false">
      <c r="A2371" s="11" t="s">
        <v>112</v>
      </c>
      <c r="B2371" s="11" t="s">
        <v>125</v>
      </c>
      <c r="C2371" s="11" t="n">
        <v>5</v>
      </c>
      <c r="D2371" s="11" t="s">
        <v>78</v>
      </c>
      <c r="E2371" s="11" t="s">
        <v>157</v>
      </c>
      <c r="F2371" s="11" t="s">
        <v>77</v>
      </c>
      <c r="G2371" s="12" t="n">
        <v>100</v>
      </c>
      <c r="H2371" s="12" t="n">
        <f aca="false">SUMPRODUCT(ПОТОКИ!B16:G16,ЧАСОВЫЕ_ПРОФИЛИ!B12:G12,КОЭФФИЦИЕНТЫ_ВЫБОРА!F15:K15)</f>
        <v>0.18</v>
      </c>
      <c r="I2371" s="12" t="n">
        <f aca="false">SUMPRODUCT(ПОТОКИ!B16:G16,ЧАСОВЫЕ_ПРОФИЛИ!B12:G12,КОЭФФИЦИЕНТЫ_ВЫБОРА!F15:K15,ПАРАМЕТРЫ!$B$17:$G$17)</f>
        <v>0.198</v>
      </c>
      <c r="J2371" s="12" t="n">
        <f aca="false">I2371*G2371/1000</f>
        <v>0.0198</v>
      </c>
      <c r="K2371" s="11" t="s">
        <v>217</v>
      </c>
      <c r="L2371" s="11" t="s">
        <v>19</v>
      </c>
      <c r="M2371" s="11" t="s">
        <v>147</v>
      </c>
    </row>
    <row r="2372" customFormat="false" ht="15" hidden="false" customHeight="false" outlineLevel="0" collapsed="false">
      <c r="A2372" s="11" t="s">
        <v>112</v>
      </c>
      <c r="B2372" s="11" t="s">
        <v>125</v>
      </c>
      <c r="C2372" s="11" t="n">
        <v>6</v>
      </c>
      <c r="D2372" s="11" t="s">
        <v>78</v>
      </c>
      <c r="E2372" s="11" t="s">
        <v>158</v>
      </c>
      <c r="F2372" s="11" t="s">
        <v>77</v>
      </c>
      <c r="G2372" s="12" t="n">
        <v>100</v>
      </c>
      <c r="H2372" s="12" t="n">
        <f aca="false">SUMPRODUCT(ПОТОКИ!B16:G16,ЧАСОВЫЕ_ПРОФИЛИ!B12:G12,КОЭФФИЦИЕНТЫ_ВЫБОРА!F16:K16)</f>
        <v>0.18</v>
      </c>
      <c r="I2372" s="12" t="n">
        <f aca="false">SUMPRODUCT(ПОТОКИ!B16:G16,ЧАСОВЫЕ_ПРОФИЛИ!B12:G12,КОЭФФИЦИЕНТЫ_ВЫБОРА!F16:K16,ПАРАМЕТРЫ!$B$17:$G$17)</f>
        <v>0.198</v>
      </c>
      <c r="J2372" s="12" t="n">
        <f aca="false">I2372*G2372/1000</f>
        <v>0.0198</v>
      </c>
      <c r="K2372" s="11" t="s">
        <v>217</v>
      </c>
      <c r="L2372" s="11" t="s">
        <v>19</v>
      </c>
      <c r="M2372" s="11" t="s">
        <v>147</v>
      </c>
    </row>
    <row r="2373" customFormat="false" ht="15" hidden="false" customHeight="false" outlineLevel="0" collapsed="false">
      <c r="A2373" s="11" t="s">
        <v>112</v>
      </c>
      <c r="B2373" s="11" t="s">
        <v>125</v>
      </c>
      <c r="C2373" s="11" t="n">
        <v>7</v>
      </c>
      <c r="D2373" s="11" t="s">
        <v>78</v>
      </c>
      <c r="E2373" s="11" t="s">
        <v>159</v>
      </c>
      <c r="F2373" s="11" t="s">
        <v>77</v>
      </c>
      <c r="G2373" s="12" t="n">
        <v>350</v>
      </c>
      <c r="H2373" s="12" t="n">
        <f aca="false">SUMPRODUCT(ПОТОКИ!B16:G16,ЧАСОВЫЕ_ПРОФИЛИ!B12:G12,КОЭФФИЦИЕНТЫ_ВЫБОРА!F17:K17)</f>
        <v>0.15</v>
      </c>
      <c r="I2373" s="12" t="n">
        <f aca="false">SUMPRODUCT(ПОТОКИ!B16:G16,ЧАСОВЫЕ_ПРОФИЛИ!B12:G12,КОЭФФИЦИЕНТЫ_ВЫБОРА!F17:K17,ПАРАМЕТРЫ!$B$17:$G$17)</f>
        <v>0.165</v>
      </c>
      <c r="J2373" s="12" t="n">
        <f aca="false">I2373*G2373/1000</f>
        <v>0.05775</v>
      </c>
      <c r="K2373" s="11" t="s">
        <v>217</v>
      </c>
      <c r="L2373" s="11" t="s">
        <v>19</v>
      </c>
      <c r="M2373" s="11" t="s">
        <v>147</v>
      </c>
    </row>
    <row r="2374" customFormat="false" ht="15" hidden="false" customHeight="false" outlineLevel="0" collapsed="false">
      <c r="A2374" s="11" t="s">
        <v>112</v>
      </c>
      <c r="B2374" s="11" t="s">
        <v>125</v>
      </c>
      <c r="C2374" s="11" t="n">
        <v>8</v>
      </c>
      <c r="D2374" s="11" t="s">
        <v>78</v>
      </c>
      <c r="E2374" s="11" t="s">
        <v>160</v>
      </c>
      <c r="F2374" s="11" t="s">
        <v>77</v>
      </c>
      <c r="G2374" s="12" t="n">
        <v>85</v>
      </c>
      <c r="H2374" s="12" t="n">
        <f aca="false">SUMPRODUCT(ПОТОКИ!B16:G16,ЧАСОВЫЕ_ПРОФИЛИ!B12:G12,КОЭФФИЦИЕНТЫ_ВЫБОРА!F18:K18)</f>
        <v>0.09</v>
      </c>
      <c r="I2374" s="12" t="n">
        <f aca="false">SUMPRODUCT(ПОТОКИ!B16:G16,ЧАСОВЫЕ_ПРОФИЛИ!B12:G12,КОЭФФИЦИЕНТЫ_ВЫБОРА!F18:K18,ПАРАМЕТРЫ!$B$17:$G$17)</f>
        <v>0.099</v>
      </c>
      <c r="J2374" s="12" t="n">
        <f aca="false">I2374*G2374/1000</f>
        <v>0.008415</v>
      </c>
      <c r="K2374" s="11" t="s">
        <v>217</v>
      </c>
      <c r="L2374" s="11" t="s">
        <v>19</v>
      </c>
      <c r="M2374" s="11" t="s">
        <v>147</v>
      </c>
    </row>
    <row r="2375" customFormat="false" ht="15" hidden="false" customHeight="false" outlineLevel="0" collapsed="false">
      <c r="A2375" s="11" t="s">
        <v>112</v>
      </c>
      <c r="B2375" s="11" t="s">
        <v>125</v>
      </c>
      <c r="C2375" s="11" t="n">
        <v>9</v>
      </c>
      <c r="D2375" s="11" t="s">
        <v>161</v>
      </c>
      <c r="E2375" s="11" t="s">
        <v>162</v>
      </c>
      <c r="F2375" s="11" t="s">
        <v>80</v>
      </c>
      <c r="G2375" s="12" t="n">
        <v>300</v>
      </c>
      <c r="H2375" s="12" t="n">
        <f aca="false">SUMPRODUCT(ПОТОКИ!B16:G16,ЧАСОВЫЕ_ПРОФИЛИ!B12:G12,КОЭФФИЦИЕНТЫ_ВЫБОРА!F19:K19)</f>
        <v>0</v>
      </c>
      <c r="I2375" s="12" t="n">
        <f aca="false">SUMPRODUCT(ПОТОКИ!B16:G16,ЧАСОВЫЕ_ПРОФИЛИ!B12:G12,КОЭФФИЦИЕНТЫ_ВЫБОРА!F19:K19,ПАРАМЕТРЫ!$B$17:$G$17)</f>
        <v>0</v>
      </c>
      <c r="J2375" s="12" t="n">
        <f aca="false">I2375*G2375/1000</f>
        <v>0</v>
      </c>
      <c r="K2375" s="11" t="s">
        <v>217</v>
      </c>
      <c r="L2375" s="11" t="s">
        <v>19</v>
      </c>
      <c r="M2375" s="11" t="s">
        <v>145</v>
      </c>
    </row>
    <row r="2376" customFormat="false" ht="15" hidden="false" customHeight="false" outlineLevel="0" collapsed="false">
      <c r="A2376" s="11" t="s">
        <v>112</v>
      </c>
      <c r="B2376" s="11" t="s">
        <v>125</v>
      </c>
      <c r="C2376" s="11" t="n">
        <v>10</v>
      </c>
      <c r="D2376" s="11" t="s">
        <v>161</v>
      </c>
      <c r="E2376" s="11" t="s">
        <v>163</v>
      </c>
      <c r="F2376" s="11" t="s">
        <v>80</v>
      </c>
      <c r="G2376" s="12" t="n">
        <v>280</v>
      </c>
      <c r="H2376" s="12" t="n">
        <f aca="false">SUMPRODUCT(ПОТОКИ!B16:G16,ЧАСОВЫЕ_ПРОФИЛИ!B12:G12,КОЭФФИЦИЕНТЫ_ВЫБОРА!F20:K20)</f>
        <v>0</v>
      </c>
      <c r="I2376" s="12" t="n">
        <f aca="false">SUMPRODUCT(ПОТОКИ!B16:G16,ЧАСОВЫЕ_ПРОФИЛИ!B12:G12,КОЭФФИЦИЕНТЫ_ВЫБОРА!F20:K20,ПАРАМЕТРЫ!$B$17:$G$17)</f>
        <v>0</v>
      </c>
      <c r="J2376" s="12" t="n">
        <f aca="false">I2376*G2376/1000</f>
        <v>0</v>
      </c>
      <c r="K2376" s="11" t="s">
        <v>217</v>
      </c>
      <c r="L2376" s="11" t="s">
        <v>19</v>
      </c>
      <c r="M2376" s="11" t="s">
        <v>145</v>
      </c>
    </row>
    <row r="2377" customFormat="false" ht="15" hidden="false" customHeight="false" outlineLevel="0" collapsed="false">
      <c r="A2377" s="11" t="s">
        <v>112</v>
      </c>
      <c r="B2377" s="11" t="s">
        <v>125</v>
      </c>
      <c r="C2377" s="11" t="n">
        <v>11</v>
      </c>
      <c r="D2377" s="11" t="s">
        <v>161</v>
      </c>
      <c r="E2377" s="11" t="s">
        <v>164</v>
      </c>
      <c r="F2377" s="11" t="s">
        <v>80</v>
      </c>
      <c r="G2377" s="12" t="n">
        <v>270</v>
      </c>
      <c r="H2377" s="12" t="n">
        <f aca="false">SUMPRODUCT(ПОТОКИ!B16:G16,ЧАСОВЫЕ_ПРОФИЛИ!B12:G12,КОЭФФИЦИЕНТЫ_ВЫБОРА!F21:K21)</f>
        <v>0</v>
      </c>
      <c r="I2377" s="12" t="n">
        <f aca="false">SUMPRODUCT(ПОТОКИ!B16:G16,ЧАСОВЫЕ_ПРОФИЛИ!B12:G12,КОЭФФИЦИЕНТЫ_ВЫБОРА!F21:K21,ПАРАМЕТРЫ!$B$17:$G$17)</f>
        <v>0</v>
      </c>
      <c r="J2377" s="12" t="n">
        <f aca="false">I2377*G2377/1000</f>
        <v>0</v>
      </c>
      <c r="K2377" s="11" t="s">
        <v>217</v>
      </c>
      <c r="L2377" s="11" t="s">
        <v>19</v>
      </c>
      <c r="M2377" s="11" t="s">
        <v>145</v>
      </c>
    </row>
    <row r="2378" customFormat="false" ht="15" hidden="false" customHeight="false" outlineLevel="0" collapsed="false">
      <c r="A2378" s="11" t="s">
        <v>112</v>
      </c>
      <c r="B2378" s="11" t="s">
        <v>125</v>
      </c>
      <c r="C2378" s="11" t="n">
        <v>12</v>
      </c>
      <c r="D2378" s="11" t="s">
        <v>161</v>
      </c>
      <c r="E2378" s="11" t="s">
        <v>165</v>
      </c>
      <c r="F2378" s="11" t="s">
        <v>80</v>
      </c>
      <c r="G2378" s="12" t="n">
        <v>240</v>
      </c>
      <c r="H2378" s="12" t="n">
        <f aca="false">SUMPRODUCT(ПОТОКИ!B16:G16,ЧАСОВЫЕ_ПРОФИЛИ!B12:G12,КОЭФФИЦИЕНТЫ_ВЫБОРА!F22:K22)</f>
        <v>0</v>
      </c>
      <c r="I2378" s="12" t="n">
        <f aca="false">SUMPRODUCT(ПОТОКИ!B16:G16,ЧАСОВЫЕ_ПРОФИЛИ!B12:G12,КОЭФФИЦИЕНТЫ_ВЫБОРА!F22:K22,ПАРАМЕТРЫ!$B$17:$G$17)</f>
        <v>0</v>
      </c>
      <c r="J2378" s="12" t="n">
        <f aca="false">I2378*G2378/1000</f>
        <v>0</v>
      </c>
      <c r="K2378" s="11" t="s">
        <v>217</v>
      </c>
      <c r="L2378" s="11" t="s">
        <v>19</v>
      </c>
      <c r="M2378" s="11" t="s">
        <v>145</v>
      </c>
    </row>
    <row r="2379" customFormat="false" ht="15" hidden="false" customHeight="false" outlineLevel="0" collapsed="false">
      <c r="A2379" s="11" t="s">
        <v>112</v>
      </c>
      <c r="B2379" s="11" t="s">
        <v>125</v>
      </c>
      <c r="C2379" s="11" t="n">
        <v>13</v>
      </c>
      <c r="D2379" s="11" t="s">
        <v>166</v>
      </c>
      <c r="E2379" s="11" t="s">
        <v>167</v>
      </c>
      <c r="F2379" s="11" t="s">
        <v>80</v>
      </c>
      <c r="G2379" s="12" t="n">
        <v>130</v>
      </c>
      <c r="H2379" s="12" t="n">
        <f aca="false">SUMPRODUCT(ПОТОКИ!B16:G16,ЧАСОВЫЕ_ПРОФИЛИ!B12:G12,КОЭФФИЦИЕНТЫ_ВЫБОРА!F23:K23)</f>
        <v>0</v>
      </c>
      <c r="I2379" s="12" t="n">
        <f aca="false">SUMPRODUCT(ПОТОКИ!B16:G16,ЧАСОВЫЕ_ПРОФИЛИ!B12:G12,КОЭФФИЦИЕНТЫ_ВЫБОРА!F23:K23,ПАРАМЕТРЫ!$B$17:$G$17)</f>
        <v>0</v>
      </c>
      <c r="J2379" s="12" t="n">
        <f aca="false">I2379*G2379/1000</f>
        <v>0</v>
      </c>
      <c r="K2379" s="11" t="s">
        <v>217</v>
      </c>
      <c r="L2379" s="11" t="s">
        <v>19</v>
      </c>
      <c r="M2379" s="11" t="s">
        <v>145</v>
      </c>
    </row>
    <row r="2380" customFormat="false" ht="15" hidden="false" customHeight="false" outlineLevel="0" collapsed="false">
      <c r="A2380" s="11" t="s">
        <v>112</v>
      </c>
      <c r="B2380" s="11" t="s">
        <v>125</v>
      </c>
      <c r="C2380" s="11" t="n">
        <v>14</v>
      </c>
      <c r="D2380" s="11" t="s">
        <v>166</v>
      </c>
      <c r="E2380" s="11" t="s">
        <v>168</v>
      </c>
      <c r="F2380" s="11" t="s">
        <v>80</v>
      </c>
      <c r="G2380" s="12" t="n">
        <v>250</v>
      </c>
      <c r="H2380" s="12" t="n">
        <f aca="false">SUMPRODUCT(ПОТОКИ!B16:G16,ЧАСОВЫЕ_ПРОФИЛИ!B12:G12,КОЭФФИЦИЕНТЫ_ВЫБОРА!F24:K24)</f>
        <v>0</v>
      </c>
      <c r="I2380" s="12" t="n">
        <f aca="false">SUMPRODUCT(ПОТОКИ!B16:G16,ЧАСОВЫЕ_ПРОФИЛИ!B12:G12,КОЭФФИЦИЕНТЫ_ВЫБОРА!F24:K24,ПАРАМЕТРЫ!$B$17:$G$17)</f>
        <v>0</v>
      </c>
      <c r="J2380" s="12" t="n">
        <f aca="false">I2380*G2380/1000</f>
        <v>0</v>
      </c>
      <c r="K2380" s="11" t="s">
        <v>217</v>
      </c>
      <c r="L2380" s="11" t="s">
        <v>19</v>
      </c>
      <c r="M2380" s="11" t="s">
        <v>145</v>
      </c>
    </row>
    <row r="2381" customFormat="false" ht="15" hidden="false" customHeight="false" outlineLevel="0" collapsed="false">
      <c r="A2381" s="11" t="s">
        <v>112</v>
      </c>
      <c r="B2381" s="11" t="s">
        <v>125</v>
      </c>
      <c r="C2381" s="11" t="n">
        <v>15</v>
      </c>
      <c r="D2381" s="11" t="s">
        <v>166</v>
      </c>
      <c r="E2381" s="11" t="s">
        <v>169</v>
      </c>
      <c r="F2381" s="11" t="s">
        <v>80</v>
      </c>
      <c r="G2381" s="12" t="n">
        <v>120</v>
      </c>
      <c r="H2381" s="12" t="n">
        <f aca="false">SUMPRODUCT(ПОТОКИ!B16:G16,ЧАСОВЫЕ_ПРОФИЛИ!B12:G12,КОЭФФИЦИЕНТЫ_ВЫБОРА!F25:K25)</f>
        <v>0</v>
      </c>
      <c r="I2381" s="12" t="n">
        <f aca="false">SUMPRODUCT(ПОТОКИ!B16:G16,ЧАСОВЫЕ_ПРОФИЛИ!B12:G12,КОЭФФИЦИЕНТЫ_ВЫБОРА!F25:K25,ПАРАМЕТРЫ!$B$17:$G$17)</f>
        <v>0</v>
      </c>
      <c r="J2381" s="12" t="n">
        <f aca="false">I2381*G2381/1000</f>
        <v>0</v>
      </c>
      <c r="K2381" s="11" t="s">
        <v>217</v>
      </c>
      <c r="L2381" s="11" t="s">
        <v>19</v>
      </c>
      <c r="M2381" s="11" t="s">
        <v>145</v>
      </c>
    </row>
    <row r="2382" customFormat="false" ht="15" hidden="false" customHeight="false" outlineLevel="0" collapsed="false">
      <c r="A2382" s="11" t="s">
        <v>112</v>
      </c>
      <c r="B2382" s="11" t="s">
        <v>125</v>
      </c>
      <c r="C2382" s="11" t="n">
        <v>16</v>
      </c>
      <c r="D2382" s="11" t="s">
        <v>166</v>
      </c>
      <c r="E2382" s="11" t="s">
        <v>170</v>
      </c>
      <c r="F2382" s="11" t="s">
        <v>80</v>
      </c>
      <c r="G2382" s="12" t="n">
        <v>180</v>
      </c>
      <c r="H2382" s="12" t="n">
        <f aca="false">SUMPRODUCT(ПОТОКИ!B16:G16,ЧАСОВЫЕ_ПРОФИЛИ!B12:G12,КОЭФФИЦИЕНТЫ_ВЫБОРА!F26:K26)</f>
        <v>0</v>
      </c>
      <c r="I2382" s="12" t="n">
        <f aca="false">SUMPRODUCT(ПОТОКИ!B16:G16,ЧАСОВЫЕ_ПРОФИЛИ!B12:G12,КОЭФФИЦИЕНТЫ_ВЫБОРА!F26:K26,ПАРАМЕТРЫ!$B$17:$G$17)</f>
        <v>0</v>
      </c>
      <c r="J2382" s="12" t="n">
        <f aca="false">I2382*G2382/1000</f>
        <v>0</v>
      </c>
      <c r="K2382" s="11" t="s">
        <v>217</v>
      </c>
      <c r="L2382" s="11" t="s">
        <v>19</v>
      </c>
      <c r="M2382" s="11" t="s">
        <v>145</v>
      </c>
    </row>
    <row r="2383" customFormat="false" ht="15" hidden="false" customHeight="false" outlineLevel="0" collapsed="false">
      <c r="A2383" s="11" t="s">
        <v>112</v>
      </c>
      <c r="B2383" s="11" t="s">
        <v>125</v>
      </c>
      <c r="C2383" s="11" t="n">
        <v>17</v>
      </c>
      <c r="D2383" s="11" t="s">
        <v>166</v>
      </c>
      <c r="E2383" s="11" t="s">
        <v>171</v>
      </c>
      <c r="F2383" s="11" t="s">
        <v>80</v>
      </c>
      <c r="G2383" s="12" t="n">
        <v>180</v>
      </c>
      <c r="H2383" s="12" t="n">
        <f aca="false">SUMPRODUCT(ПОТОКИ!B16:G16,ЧАСОВЫЕ_ПРОФИЛИ!B12:G12,КОЭФФИЦИЕНТЫ_ВЫБОРА!F27:K27)</f>
        <v>0</v>
      </c>
      <c r="I2383" s="12" t="n">
        <f aca="false">SUMPRODUCT(ПОТОКИ!B16:G16,ЧАСОВЫЕ_ПРОФИЛИ!B12:G12,КОЭФФИЦИЕНТЫ_ВЫБОРА!F27:K27,ПАРАМЕТРЫ!$B$17:$G$17)</f>
        <v>0</v>
      </c>
      <c r="J2383" s="12" t="n">
        <f aca="false">I2383*G2383/1000</f>
        <v>0</v>
      </c>
      <c r="K2383" s="11" t="s">
        <v>217</v>
      </c>
      <c r="L2383" s="11" t="s">
        <v>19</v>
      </c>
      <c r="M2383" s="11" t="s">
        <v>145</v>
      </c>
    </row>
    <row r="2384" customFormat="false" ht="15" hidden="false" customHeight="false" outlineLevel="0" collapsed="false">
      <c r="A2384" s="11" t="s">
        <v>112</v>
      </c>
      <c r="B2384" s="11" t="s">
        <v>125</v>
      </c>
      <c r="C2384" s="11" t="n">
        <v>18</v>
      </c>
      <c r="D2384" s="11" t="s">
        <v>172</v>
      </c>
      <c r="E2384" s="11" t="s">
        <v>173</v>
      </c>
      <c r="F2384" s="11" t="s">
        <v>83</v>
      </c>
      <c r="G2384" s="12" t="n">
        <v>400</v>
      </c>
      <c r="H2384" s="12" t="n">
        <f aca="false">SUMPRODUCT(ПОТОКИ!B16:G16,ЧАСОВЫЕ_ПРОФИЛИ!B12:G12,КОЭФФИЦИЕНТЫ_ВЫБОРА!F28:K28)</f>
        <v>0</v>
      </c>
      <c r="I2384" s="12" t="n">
        <f aca="false">SUMPRODUCT(ПОТОКИ!B16:G16,ЧАСОВЫЕ_ПРОФИЛИ!B12:G12,КОЭФФИЦИЕНТЫ_ВЫБОРА!F28:K28,ПАРАМЕТРЫ!$B$17:$G$17)</f>
        <v>0</v>
      </c>
      <c r="J2384" s="12" t="n">
        <f aca="false">I2384*G2384/1000</f>
        <v>0</v>
      </c>
      <c r="K2384" s="11" t="s">
        <v>217</v>
      </c>
      <c r="L2384" s="11" t="s">
        <v>19</v>
      </c>
      <c r="M2384" s="11" t="s">
        <v>145</v>
      </c>
    </row>
    <row r="2385" customFormat="false" ht="23.85" hidden="false" customHeight="false" outlineLevel="0" collapsed="false">
      <c r="A2385" s="11" t="s">
        <v>112</v>
      </c>
      <c r="B2385" s="11" t="s">
        <v>125</v>
      </c>
      <c r="C2385" s="11" t="n">
        <v>19</v>
      </c>
      <c r="D2385" s="11" t="s">
        <v>174</v>
      </c>
      <c r="E2385" s="11" t="s">
        <v>175</v>
      </c>
      <c r="F2385" s="11" t="s">
        <v>83</v>
      </c>
      <c r="G2385" s="12" t="n">
        <v>300</v>
      </c>
      <c r="H2385" s="12" t="n">
        <f aca="false">SUMPRODUCT(ПОТОКИ!B16:G16,ЧАСОВЫЕ_ПРОФИЛИ!B12:G12,КОЭФФИЦИЕНТЫ_ВЫБОРА!F29:K29)</f>
        <v>0</v>
      </c>
      <c r="I2385" s="12" t="n">
        <f aca="false">SUMPRODUCT(ПОТОКИ!B16:G16,ЧАСОВЫЕ_ПРОФИЛИ!B12:G12,КОЭФФИЦИЕНТЫ_ВЫБОРА!F29:K29,ПАРАМЕТРЫ!$B$17:$G$17)</f>
        <v>0</v>
      </c>
      <c r="J2385" s="12" t="n">
        <f aca="false">I2385*G2385/1000</f>
        <v>0</v>
      </c>
      <c r="K2385" s="11" t="s">
        <v>217</v>
      </c>
      <c r="L2385" s="11" t="s">
        <v>19</v>
      </c>
      <c r="M2385" s="11" t="s">
        <v>145</v>
      </c>
    </row>
    <row r="2386" customFormat="false" ht="15" hidden="false" customHeight="false" outlineLevel="0" collapsed="false">
      <c r="A2386" s="11" t="s">
        <v>112</v>
      </c>
      <c r="B2386" s="11" t="s">
        <v>125</v>
      </c>
      <c r="C2386" s="11" t="n">
        <v>20</v>
      </c>
      <c r="D2386" s="11" t="s">
        <v>174</v>
      </c>
      <c r="E2386" s="11" t="s">
        <v>176</v>
      </c>
      <c r="F2386" s="11" t="s">
        <v>83</v>
      </c>
      <c r="G2386" s="12" t="n">
        <v>360</v>
      </c>
      <c r="H2386" s="12" t="n">
        <f aca="false">SUMPRODUCT(ПОТОКИ!B16:G16,ЧАСОВЫЕ_ПРОФИЛИ!B12:G12,КОЭФФИЦИЕНТЫ_ВЫБОРА!F30:K30)</f>
        <v>0</v>
      </c>
      <c r="I2386" s="12" t="n">
        <f aca="false">SUMPRODUCT(ПОТОКИ!B16:G16,ЧАСОВЫЕ_ПРОФИЛИ!B12:G12,КОЭФФИЦИЕНТЫ_ВЫБОРА!F30:K30,ПАРАМЕТРЫ!$B$17:$G$17)</f>
        <v>0</v>
      </c>
      <c r="J2386" s="12" t="n">
        <f aca="false">I2386*G2386/1000</f>
        <v>0</v>
      </c>
      <c r="K2386" s="11" t="s">
        <v>217</v>
      </c>
      <c r="L2386" s="11" t="s">
        <v>19</v>
      </c>
      <c r="M2386" s="11" t="s">
        <v>145</v>
      </c>
    </row>
    <row r="2387" customFormat="false" ht="15" hidden="false" customHeight="false" outlineLevel="0" collapsed="false">
      <c r="A2387" s="11" t="s">
        <v>112</v>
      </c>
      <c r="B2387" s="11" t="s">
        <v>125</v>
      </c>
      <c r="C2387" s="11" t="n">
        <v>21</v>
      </c>
      <c r="D2387" s="11" t="s">
        <v>174</v>
      </c>
      <c r="E2387" s="11" t="s">
        <v>177</v>
      </c>
      <c r="F2387" s="11" t="s">
        <v>83</v>
      </c>
      <c r="G2387" s="12" t="n">
        <v>350</v>
      </c>
      <c r="H2387" s="12" t="n">
        <f aca="false">SUMPRODUCT(ПОТОКИ!B16:G16,ЧАСОВЫЕ_ПРОФИЛИ!B12:G12,КОЭФФИЦИЕНТЫ_ВЫБОРА!F31:K31)</f>
        <v>0</v>
      </c>
      <c r="I2387" s="12" t="n">
        <f aca="false">SUMPRODUCT(ПОТОКИ!B16:G16,ЧАСОВЫЕ_ПРОФИЛИ!B12:G12,КОЭФФИЦИЕНТЫ_ВЫБОРА!F31:K31,ПАРАМЕТРЫ!$B$17:$G$17)</f>
        <v>0</v>
      </c>
      <c r="J2387" s="12" t="n">
        <f aca="false">I2387*G2387/1000</f>
        <v>0</v>
      </c>
      <c r="K2387" s="11" t="s">
        <v>217</v>
      </c>
      <c r="L2387" s="11" t="s">
        <v>19</v>
      </c>
      <c r="M2387" s="11" t="s">
        <v>145</v>
      </c>
    </row>
    <row r="2388" customFormat="false" ht="15" hidden="false" customHeight="false" outlineLevel="0" collapsed="false">
      <c r="A2388" s="11" t="s">
        <v>112</v>
      </c>
      <c r="B2388" s="11" t="s">
        <v>125</v>
      </c>
      <c r="C2388" s="11" t="n">
        <v>22</v>
      </c>
      <c r="D2388" s="11" t="s">
        <v>174</v>
      </c>
      <c r="E2388" s="11" t="s">
        <v>178</v>
      </c>
      <c r="F2388" s="11" t="s">
        <v>83</v>
      </c>
      <c r="G2388" s="12" t="n">
        <v>300</v>
      </c>
      <c r="H2388" s="12" t="n">
        <f aca="false">SUMPRODUCT(ПОТОКИ!B16:G16,ЧАСОВЫЕ_ПРОФИЛИ!B12:G12,КОЭФФИЦИЕНТЫ_ВЫБОРА!F32:K32)</f>
        <v>0</v>
      </c>
      <c r="I2388" s="12" t="n">
        <f aca="false">SUMPRODUCT(ПОТОКИ!B16:G16,ЧАСОВЫЕ_ПРОФИЛИ!B12:G12,КОЭФФИЦИЕНТЫ_ВЫБОРА!F32:K32,ПАРАМЕТРЫ!$B$17:$G$17)</f>
        <v>0</v>
      </c>
      <c r="J2388" s="12" t="n">
        <f aca="false">I2388*G2388/1000</f>
        <v>0</v>
      </c>
      <c r="K2388" s="11" t="s">
        <v>217</v>
      </c>
      <c r="L2388" s="11" t="s">
        <v>19</v>
      </c>
      <c r="M2388" s="11" t="s">
        <v>145</v>
      </c>
    </row>
    <row r="2389" customFormat="false" ht="15" hidden="false" customHeight="false" outlineLevel="0" collapsed="false">
      <c r="A2389" s="11" t="s">
        <v>112</v>
      </c>
      <c r="B2389" s="11" t="s">
        <v>125</v>
      </c>
      <c r="C2389" s="11" t="n">
        <v>23</v>
      </c>
      <c r="D2389" s="11" t="s">
        <v>86</v>
      </c>
      <c r="E2389" s="11" t="s">
        <v>179</v>
      </c>
      <c r="F2389" s="11" t="s">
        <v>85</v>
      </c>
      <c r="G2389" s="12" t="n">
        <v>150</v>
      </c>
      <c r="H2389" s="12" t="n">
        <f aca="false">SUMPRODUCT(ПОТОКИ!B16:G16,ЧАСОВЫЕ_ПРОФИЛИ!B12:G12,КОЭФФИЦИЕНТЫ_ВЫБОРА!F33:K33)</f>
        <v>0</v>
      </c>
      <c r="I2389" s="12" t="n">
        <f aca="false">SUMPRODUCT(ПОТОКИ!B16:G16,ЧАСОВЫЕ_ПРОФИЛИ!B12:G12,КОЭФФИЦИЕНТЫ_ВЫБОРА!F33:K33,ПАРАМЕТРЫ!$B$17:$G$17)</f>
        <v>0</v>
      </c>
      <c r="J2389" s="12" t="n">
        <f aca="false">I2389*G2389/1000</f>
        <v>0</v>
      </c>
      <c r="K2389" s="11" t="s">
        <v>217</v>
      </c>
      <c r="L2389" s="11" t="s">
        <v>19</v>
      </c>
      <c r="M2389" s="11" t="s">
        <v>147</v>
      </c>
    </row>
    <row r="2390" customFormat="false" ht="15" hidden="false" customHeight="false" outlineLevel="0" collapsed="false">
      <c r="A2390" s="11" t="s">
        <v>112</v>
      </c>
      <c r="B2390" s="11" t="s">
        <v>125</v>
      </c>
      <c r="C2390" s="11" t="n">
        <v>24</v>
      </c>
      <c r="D2390" s="11" t="s">
        <v>86</v>
      </c>
      <c r="E2390" s="11" t="s">
        <v>180</v>
      </c>
      <c r="F2390" s="11" t="s">
        <v>85</v>
      </c>
      <c r="G2390" s="12" t="n">
        <v>150</v>
      </c>
      <c r="H2390" s="12" t="n">
        <f aca="false">SUMPRODUCT(ПОТОКИ!B16:G16,ЧАСОВЫЕ_ПРОФИЛИ!B12:G12,КОЭФФИЦИЕНТЫ_ВЫБОРА!F34:K34)</f>
        <v>0</v>
      </c>
      <c r="I2390" s="12" t="n">
        <f aca="false">SUMPRODUCT(ПОТОКИ!B16:G16,ЧАСОВЫЕ_ПРОФИЛИ!B12:G12,КОЭФФИЦИЕНТЫ_ВЫБОРА!F34:K34,ПАРАМЕТРЫ!$B$17:$G$17)</f>
        <v>0</v>
      </c>
      <c r="J2390" s="12" t="n">
        <f aca="false">I2390*G2390/1000</f>
        <v>0</v>
      </c>
      <c r="K2390" s="11" t="s">
        <v>217</v>
      </c>
      <c r="L2390" s="11" t="s">
        <v>19</v>
      </c>
      <c r="M2390" s="11" t="s">
        <v>147</v>
      </c>
    </row>
    <row r="2391" customFormat="false" ht="15" hidden="false" customHeight="false" outlineLevel="0" collapsed="false">
      <c r="A2391" s="11" t="s">
        <v>112</v>
      </c>
      <c r="B2391" s="11" t="s">
        <v>125</v>
      </c>
      <c r="C2391" s="11" t="n">
        <v>25</v>
      </c>
      <c r="D2391" s="11" t="s">
        <v>86</v>
      </c>
      <c r="E2391" s="11" t="s">
        <v>181</v>
      </c>
      <c r="F2391" s="11" t="s">
        <v>85</v>
      </c>
      <c r="G2391" s="12" t="n">
        <v>150</v>
      </c>
      <c r="H2391" s="12" t="n">
        <f aca="false">SUMPRODUCT(ПОТОКИ!B16:G16,ЧАСОВЫЕ_ПРОФИЛИ!B12:G12,КОЭФФИЦИЕНТЫ_ВЫБОРА!F35:K35)</f>
        <v>0</v>
      </c>
      <c r="I2391" s="12" t="n">
        <f aca="false">SUMPRODUCT(ПОТОКИ!B16:G16,ЧАСОВЫЕ_ПРОФИЛИ!B12:G12,КОЭФФИЦИЕНТЫ_ВЫБОРА!F35:K35,ПАРАМЕТРЫ!$B$17:$G$17)</f>
        <v>0</v>
      </c>
      <c r="J2391" s="12" t="n">
        <f aca="false">I2391*G2391/1000</f>
        <v>0</v>
      </c>
      <c r="K2391" s="11" t="s">
        <v>217</v>
      </c>
      <c r="L2391" s="11" t="s">
        <v>19</v>
      </c>
      <c r="M2391" s="11" t="s">
        <v>147</v>
      </c>
    </row>
    <row r="2392" customFormat="false" ht="23.85" hidden="false" customHeight="false" outlineLevel="0" collapsed="false">
      <c r="A2392" s="11" t="s">
        <v>112</v>
      </c>
      <c r="B2392" s="11" t="s">
        <v>125</v>
      </c>
      <c r="C2392" s="11" t="n">
        <v>26</v>
      </c>
      <c r="D2392" s="11" t="s">
        <v>89</v>
      </c>
      <c r="E2392" s="11" t="s">
        <v>182</v>
      </c>
      <c r="F2392" s="11" t="s">
        <v>88</v>
      </c>
      <c r="G2392" s="12" t="n">
        <v>225</v>
      </c>
      <c r="H2392" s="12" t="n">
        <f aca="false">SUMPRODUCT(ПОТОКИ!B16:G16,ЧАСОВЫЕ_ПРОФИЛИ!B12:G12,КОЭФФИЦИЕНТЫ_ВЫБОРА!F36:K36)</f>
        <v>2.8875</v>
      </c>
      <c r="I2392" s="12" t="n">
        <f aca="false">SUMPRODUCT(ПОТОКИ!B16:G16,ЧАСОВЫЕ_ПРОФИЛИ!B12:G12,КОЭФФИЦИЕНТЫ_ВЫБОРА!F36:K36,ПАРАМЕТРЫ!$B$17:$G$17)</f>
        <v>2.8875</v>
      </c>
      <c r="J2392" s="12" t="n">
        <f aca="false">I2392*G2392/1000</f>
        <v>0.6496875</v>
      </c>
      <c r="K2392" s="11" t="s">
        <v>217</v>
      </c>
      <c r="L2392" s="11" t="s">
        <v>19</v>
      </c>
      <c r="M2392" s="11" t="s">
        <v>145</v>
      </c>
    </row>
    <row r="2393" customFormat="false" ht="23.85" hidden="false" customHeight="false" outlineLevel="0" collapsed="false">
      <c r="A2393" s="11" t="s">
        <v>112</v>
      </c>
      <c r="B2393" s="11" t="s">
        <v>125</v>
      </c>
      <c r="C2393" s="11" t="n">
        <v>27</v>
      </c>
      <c r="D2393" s="11" t="s">
        <v>89</v>
      </c>
      <c r="E2393" s="11" t="s">
        <v>183</v>
      </c>
      <c r="F2393" s="11" t="s">
        <v>88</v>
      </c>
      <c r="G2393" s="12" t="n">
        <v>265</v>
      </c>
      <c r="H2393" s="12" t="n">
        <f aca="false">SUMPRODUCT(ПОТОКИ!B16:G16,ЧАСОВЫЕ_ПРОФИЛИ!B12:G12,КОЭФФИЦИЕНТЫ_ВЫБОРА!F37:K37)</f>
        <v>2.8875</v>
      </c>
      <c r="I2393" s="12" t="n">
        <f aca="false">SUMPRODUCT(ПОТОКИ!B16:G16,ЧАСОВЫЕ_ПРОФИЛИ!B12:G12,КОЭФФИЦИЕНТЫ_ВЫБОРА!F37:K37,ПАРАМЕТРЫ!$B$17:$G$17)</f>
        <v>2.8875</v>
      </c>
      <c r="J2393" s="12" t="n">
        <f aca="false">I2393*G2393/1000</f>
        <v>0.7651875</v>
      </c>
      <c r="K2393" s="11" t="s">
        <v>217</v>
      </c>
      <c r="L2393" s="11" t="s">
        <v>19</v>
      </c>
      <c r="M2393" s="11" t="s">
        <v>145</v>
      </c>
    </row>
    <row r="2394" customFormat="false" ht="23.85" hidden="false" customHeight="false" outlineLevel="0" collapsed="false">
      <c r="A2394" s="11" t="s">
        <v>112</v>
      </c>
      <c r="B2394" s="11" t="s">
        <v>125</v>
      </c>
      <c r="C2394" s="11" t="n">
        <v>28</v>
      </c>
      <c r="D2394" s="11" t="s">
        <v>89</v>
      </c>
      <c r="E2394" s="11" t="s">
        <v>184</v>
      </c>
      <c r="F2394" s="11" t="s">
        <v>88</v>
      </c>
      <c r="G2394" s="12" t="n">
        <v>355</v>
      </c>
      <c r="H2394" s="12" t="n">
        <f aca="false">SUMPRODUCT(ПОТОКИ!B16:G16,ЧАСОВЫЕ_ПРОФИЛИ!B12:G12,КОЭФФИЦИЕНТЫ_ВЫБОРА!F38:K38)</f>
        <v>1.925</v>
      </c>
      <c r="I2394" s="12" t="n">
        <f aca="false">SUMPRODUCT(ПОТОКИ!B16:G16,ЧАСОВЫЕ_ПРОФИЛИ!B12:G12,КОЭФФИЦИЕНТЫ_ВЫБОРА!F38:K38,ПАРАМЕТРЫ!$B$17:$G$17)</f>
        <v>1.925</v>
      </c>
      <c r="J2394" s="12" t="n">
        <f aca="false">I2394*G2394/1000</f>
        <v>0.683375</v>
      </c>
      <c r="K2394" s="11" t="s">
        <v>217</v>
      </c>
      <c r="L2394" s="11" t="s">
        <v>19</v>
      </c>
      <c r="M2394" s="11" t="s">
        <v>145</v>
      </c>
    </row>
    <row r="2395" customFormat="false" ht="15" hidden="false" customHeight="false" outlineLevel="0" collapsed="false">
      <c r="A2395" s="11" t="s">
        <v>112</v>
      </c>
      <c r="B2395" s="11" t="s">
        <v>125</v>
      </c>
      <c r="C2395" s="11" t="n">
        <v>29</v>
      </c>
      <c r="D2395" s="11" t="s">
        <v>92</v>
      </c>
      <c r="E2395" s="11" t="s">
        <v>185</v>
      </c>
      <c r="F2395" s="11" t="s">
        <v>91</v>
      </c>
      <c r="G2395" s="12" t="n">
        <v>150</v>
      </c>
      <c r="H2395" s="12" t="n">
        <f aca="false">SUMPRODUCT(ПОТОКИ!B16:G16,ЧАСОВЫЕ_ПРОФИЛИ!B12:G12,КОЭФФИЦИЕНТЫ_ВЫБОРА!F39:K39)</f>
        <v>0.09</v>
      </c>
      <c r="I2395" s="12" t="n">
        <f aca="false">SUMPRODUCT(ПОТОКИ!B16:G16,ЧАСОВЫЕ_ПРОФИЛИ!B12:G12,КОЭФФИЦИЕНТЫ_ВЫБОРА!F39:K39,ПАРАМЕТРЫ!$B$17:$G$17)</f>
        <v>0.099</v>
      </c>
      <c r="J2395" s="12" t="n">
        <f aca="false">I2395*G2395/1000</f>
        <v>0.01485</v>
      </c>
      <c r="K2395" s="11" t="s">
        <v>217</v>
      </c>
      <c r="L2395" s="11" t="s">
        <v>19</v>
      </c>
      <c r="M2395" s="11" t="s">
        <v>145</v>
      </c>
    </row>
    <row r="2396" customFormat="false" ht="15" hidden="false" customHeight="false" outlineLevel="0" collapsed="false">
      <c r="A2396" s="11" t="s">
        <v>112</v>
      </c>
      <c r="B2396" s="11" t="s">
        <v>125</v>
      </c>
      <c r="C2396" s="11" t="n">
        <v>30</v>
      </c>
      <c r="D2396" s="11" t="s">
        <v>92</v>
      </c>
      <c r="E2396" s="11" t="s">
        <v>186</v>
      </c>
      <c r="F2396" s="11" t="s">
        <v>91</v>
      </c>
      <c r="G2396" s="12" t="n">
        <v>120</v>
      </c>
      <c r="H2396" s="12" t="n">
        <f aca="false">SUMPRODUCT(ПОТОКИ!B16:G16,ЧАСОВЫЕ_ПРОФИЛИ!B12:G12,КОЭФФИЦИЕНТЫ_ВЫБОРА!F40:K40)</f>
        <v>0.09</v>
      </c>
      <c r="I2396" s="12" t="n">
        <f aca="false">SUMPRODUCT(ПОТОКИ!B16:G16,ЧАСОВЫЕ_ПРОФИЛИ!B12:G12,КОЭФФИЦИЕНТЫ_ВЫБОРА!F40:K40,ПАРАМЕТРЫ!$B$17:$G$17)</f>
        <v>0.099</v>
      </c>
      <c r="J2396" s="12" t="n">
        <f aca="false">I2396*G2396/1000</f>
        <v>0.01188</v>
      </c>
      <c r="K2396" s="11" t="s">
        <v>217</v>
      </c>
      <c r="L2396" s="11" t="s">
        <v>19</v>
      </c>
      <c r="M2396" s="11" t="s">
        <v>145</v>
      </c>
    </row>
    <row r="2397" customFormat="false" ht="15" hidden="false" customHeight="false" outlineLevel="0" collapsed="false">
      <c r="A2397" s="11" t="s">
        <v>112</v>
      </c>
      <c r="B2397" s="11" t="s">
        <v>125</v>
      </c>
      <c r="C2397" s="11" t="n">
        <v>31</v>
      </c>
      <c r="D2397" s="11" t="s">
        <v>92</v>
      </c>
      <c r="E2397" s="11" t="s">
        <v>187</v>
      </c>
      <c r="F2397" s="11" t="s">
        <v>91</v>
      </c>
      <c r="G2397" s="12" t="n">
        <v>60</v>
      </c>
      <c r="H2397" s="12" t="n">
        <f aca="false">SUMPRODUCT(ПОТОКИ!B16:G16,ЧАСОВЫЕ_ПРОФИЛИ!B12:G12,КОЭФФИЦИЕНТЫ_ВЫБОРА!F41:K41)</f>
        <v>0.12</v>
      </c>
      <c r="I2397" s="12" t="n">
        <f aca="false">SUMPRODUCT(ПОТОКИ!B16:G16,ЧАСОВЫЕ_ПРОФИЛИ!B12:G12,КОЭФФИЦИЕНТЫ_ВЫБОРА!F41:K41,ПАРАМЕТРЫ!$B$17:$G$17)</f>
        <v>0.132</v>
      </c>
      <c r="J2397" s="12" t="n">
        <f aca="false">I2397*G2397/1000</f>
        <v>0.00792</v>
      </c>
      <c r="K2397" s="11" t="s">
        <v>217</v>
      </c>
      <c r="L2397" s="11" t="s">
        <v>19</v>
      </c>
      <c r="M2397" s="11" t="s">
        <v>145</v>
      </c>
    </row>
    <row r="2398" customFormat="false" ht="15" hidden="false" customHeight="false" outlineLevel="0" collapsed="false">
      <c r="A2398" s="11" t="s">
        <v>112</v>
      </c>
      <c r="B2398" s="11" t="s">
        <v>126</v>
      </c>
      <c r="C2398" s="11" t="n">
        <v>1</v>
      </c>
      <c r="D2398" s="11" t="s">
        <v>74</v>
      </c>
      <c r="E2398" s="11" t="s">
        <v>153</v>
      </c>
      <c r="F2398" s="11" t="s">
        <v>73</v>
      </c>
      <c r="G2398" s="12" t="n">
        <v>450</v>
      </c>
      <c r="H2398" s="12" t="n">
        <f aca="false">SUMPRODUCT(ПОТОКИ!B16:G16,ЧАСОВЫЕ_ПРОФИЛИ!B13:G13,КОЭФФИЦИЕНТЫ_ВЫБОРА!F11:K11)</f>
        <v>0</v>
      </c>
      <c r="I2398" s="12" t="n">
        <f aca="false">SUMPRODUCT(ПОТОКИ!B16:G16,ЧАСОВЫЕ_ПРОФИЛИ!B13:G13,КОЭФФИЦИЕНТЫ_ВЫБОРА!F11:K11,ПАРАМЕТРЫ!$B$17:$G$17)</f>
        <v>0</v>
      </c>
      <c r="J2398" s="12" t="n">
        <f aca="false">I2398*G2398/1000</f>
        <v>0</v>
      </c>
      <c r="K2398" s="11" t="s">
        <v>217</v>
      </c>
      <c r="L2398" s="11" t="s">
        <v>19</v>
      </c>
      <c r="M2398" s="11" t="s">
        <v>145</v>
      </c>
    </row>
    <row r="2399" customFormat="false" ht="15" hidden="false" customHeight="false" outlineLevel="0" collapsed="false">
      <c r="A2399" s="11" t="s">
        <v>112</v>
      </c>
      <c r="B2399" s="11" t="s">
        <v>126</v>
      </c>
      <c r="C2399" s="11" t="n">
        <v>2</v>
      </c>
      <c r="D2399" s="11" t="s">
        <v>74</v>
      </c>
      <c r="E2399" s="11" t="s">
        <v>154</v>
      </c>
      <c r="F2399" s="11" t="s">
        <v>73</v>
      </c>
      <c r="G2399" s="12" t="n">
        <v>480</v>
      </c>
      <c r="H2399" s="12" t="n">
        <f aca="false">SUMPRODUCT(ПОТОКИ!B16:G16,ЧАСОВЫЕ_ПРОФИЛИ!B13:G13,КОЭФФИЦИЕНТЫ_ВЫБОРА!F12:K12)</f>
        <v>0</v>
      </c>
      <c r="I2399" s="12" t="n">
        <f aca="false">SUMPRODUCT(ПОТОКИ!B16:G16,ЧАСОВЫЕ_ПРОФИЛИ!B13:G13,КОЭФФИЦИЕНТЫ_ВЫБОРА!F12:K12,ПАРАМЕТРЫ!$B$17:$G$17)</f>
        <v>0</v>
      </c>
      <c r="J2399" s="12" t="n">
        <f aca="false">I2399*G2399/1000</f>
        <v>0</v>
      </c>
      <c r="K2399" s="11" t="s">
        <v>217</v>
      </c>
      <c r="L2399" s="11" t="s">
        <v>19</v>
      </c>
      <c r="M2399" s="11" t="s">
        <v>145</v>
      </c>
    </row>
    <row r="2400" customFormat="false" ht="15" hidden="false" customHeight="false" outlineLevel="0" collapsed="false">
      <c r="A2400" s="11" t="s">
        <v>112</v>
      </c>
      <c r="B2400" s="11" t="s">
        <v>126</v>
      </c>
      <c r="C2400" s="11" t="n">
        <v>3</v>
      </c>
      <c r="D2400" s="11" t="s">
        <v>74</v>
      </c>
      <c r="E2400" s="11" t="s">
        <v>155</v>
      </c>
      <c r="F2400" s="11" t="s">
        <v>73</v>
      </c>
      <c r="G2400" s="12" t="n">
        <v>500</v>
      </c>
      <c r="H2400" s="12" t="n">
        <f aca="false">SUMPRODUCT(ПОТОКИ!B16:G16,ЧАСОВЫЕ_ПРОФИЛИ!B13:G13,КОЭФФИЦИЕНТЫ_ВЫБОРА!F13:K13)</f>
        <v>0</v>
      </c>
      <c r="I2400" s="12" t="n">
        <f aca="false">SUMPRODUCT(ПОТОКИ!B16:G16,ЧАСОВЫЕ_ПРОФИЛИ!B13:G13,КОЭФФИЦИЕНТЫ_ВЫБОРА!F13:K13,ПАРАМЕТРЫ!$B$17:$G$17)</f>
        <v>0</v>
      </c>
      <c r="J2400" s="12" t="n">
        <f aca="false">I2400*G2400/1000</f>
        <v>0</v>
      </c>
      <c r="K2400" s="11" t="s">
        <v>217</v>
      </c>
      <c r="L2400" s="11" t="s">
        <v>19</v>
      </c>
      <c r="M2400" s="11" t="s">
        <v>145</v>
      </c>
    </row>
    <row r="2401" customFormat="false" ht="15" hidden="false" customHeight="false" outlineLevel="0" collapsed="false">
      <c r="A2401" s="11" t="s">
        <v>112</v>
      </c>
      <c r="B2401" s="11" t="s">
        <v>126</v>
      </c>
      <c r="C2401" s="11" t="n">
        <v>4</v>
      </c>
      <c r="D2401" s="11" t="s">
        <v>74</v>
      </c>
      <c r="E2401" s="11" t="s">
        <v>156</v>
      </c>
      <c r="F2401" s="11" t="s">
        <v>73</v>
      </c>
      <c r="G2401" s="12" t="n">
        <v>500</v>
      </c>
      <c r="H2401" s="12" t="n">
        <f aca="false">SUMPRODUCT(ПОТОКИ!B16:G16,ЧАСОВЫЕ_ПРОФИЛИ!B13:G13,КОЭФФИЦИЕНТЫ_ВЫБОРА!F14:K14)</f>
        <v>0</v>
      </c>
      <c r="I2401" s="12" t="n">
        <f aca="false">SUMPRODUCT(ПОТОКИ!B16:G16,ЧАСОВЫЕ_ПРОФИЛИ!B13:G13,КОЭФФИЦИЕНТЫ_ВЫБОРА!F14:K14,ПАРАМЕТРЫ!$B$17:$G$17)</f>
        <v>0</v>
      </c>
      <c r="J2401" s="12" t="n">
        <f aca="false">I2401*G2401/1000</f>
        <v>0</v>
      </c>
      <c r="K2401" s="11" t="s">
        <v>217</v>
      </c>
      <c r="L2401" s="11" t="s">
        <v>19</v>
      </c>
      <c r="M2401" s="11" t="s">
        <v>145</v>
      </c>
    </row>
    <row r="2402" customFormat="false" ht="15" hidden="false" customHeight="false" outlineLevel="0" collapsed="false">
      <c r="A2402" s="11" t="s">
        <v>112</v>
      </c>
      <c r="B2402" s="11" t="s">
        <v>126</v>
      </c>
      <c r="C2402" s="11" t="n">
        <v>5</v>
      </c>
      <c r="D2402" s="11" t="s">
        <v>78</v>
      </c>
      <c r="E2402" s="11" t="s">
        <v>157</v>
      </c>
      <c r="F2402" s="11" t="s">
        <v>77</v>
      </c>
      <c r="G2402" s="12" t="n">
        <v>100</v>
      </c>
      <c r="H2402" s="12" t="n">
        <f aca="false">SUMPRODUCT(ПОТОКИ!B16:G16,ЧАСОВЫЕ_ПРОФИЛИ!B13:G13,КОЭФФИЦИЕНТЫ_ВЫБОРА!F15:K15)</f>
        <v>0.216</v>
      </c>
      <c r="I2402" s="12" t="n">
        <f aca="false">SUMPRODUCT(ПОТОКИ!B16:G16,ЧАСОВЫЕ_ПРОФИЛИ!B13:G13,КОЭФФИЦИЕНТЫ_ВЫБОРА!F15:K15,ПАРАМЕТРЫ!$B$17:$G$17)</f>
        <v>0.2376</v>
      </c>
      <c r="J2402" s="12" t="n">
        <f aca="false">I2402*G2402/1000</f>
        <v>0.02376</v>
      </c>
      <c r="K2402" s="11" t="s">
        <v>217</v>
      </c>
      <c r="L2402" s="11" t="s">
        <v>19</v>
      </c>
      <c r="M2402" s="11" t="s">
        <v>147</v>
      </c>
    </row>
    <row r="2403" customFormat="false" ht="15" hidden="false" customHeight="false" outlineLevel="0" collapsed="false">
      <c r="A2403" s="11" t="s">
        <v>112</v>
      </c>
      <c r="B2403" s="11" t="s">
        <v>126</v>
      </c>
      <c r="C2403" s="11" t="n">
        <v>6</v>
      </c>
      <c r="D2403" s="11" t="s">
        <v>78</v>
      </c>
      <c r="E2403" s="11" t="s">
        <v>158</v>
      </c>
      <c r="F2403" s="11" t="s">
        <v>77</v>
      </c>
      <c r="G2403" s="12" t="n">
        <v>100</v>
      </c>
      <c r="H2403" s="12" t="n">
        <f aca="false">SUMPRODUCT(ПОТОКИ!B16:G16,ЧАСОВЫЕ_ПРОФИЛИ!B13:G13,КОЭФФИЦИЕНТЫ_ВЫБОРА!F16:K16)</f>
        <v>0.216</v>
      </c>
      <c r="I2403" s="12" t="n">
        <f aca="false">SUMPRODUCT(ПОТОКИ!B16:G16,ЧАСОВЫЕ_ПРОФИЛИ!B13:G13,КОЭФФИЦИЕНТЫ_ВЫБОРА!F16:K16,ПАРАМЕТРЫ!$B$17:$G$17)</f>
        <v>0.2376</v>
      </c>
      <c r="J2403" s="12" t="n">
        <f aca="false">I2403*G2403/1000</f>
        <v>0.02376</v>
      </c>
      <c r="K2403" s="11" t="s">
        <v>217</v>
      </c>
      <c r="L2403" s="11" t="s">
        <v>19</v>
      </c>
      <c r="M2403" s="11" t="s">
        <v>147</v>
      </c>
    </row>
    <row r="2404" customFormat="false" ht="15" hidden="false" customHeight="false" outlineLevel="0" collapsed="false">
      <c r="A2404" s="11" t="s">
        <v>112</v>
      </c>
      <c r="B2404" s="11" t="s">
        <v>126</v>
      </c>
      <c r="C2404" s="11" t="n">
        <v>7</v>
      </c>
      <c r="D2404" s="11" t="s">
        <v>78</v>
      </c>
      <c r="E2404" s="11" t="s">
        <v>159</v>
      </c>
      <c r="F2404" s="11" t="s">
        <v>77</v>
      </c>
      <c r="G2404" s="12" t="n">
        <v>350</v>
      </c>
      <c r="H2404" s="12" t="n">
        <f aca="false">SUMPRODUCT(ПОТОКИ!B16:G16,ЧАСОВЫЕ_ПРОФИЛИ!B13:G13,КОЭФФИЦИЕНТЫ_ВЫБОРА!F17:K17)</f>
        <v>0.18</v>
      </c>
      <c r="I2404" s="12" t="n">
        <f aca="false">SUMPRODUCT(ПОТОКИ!B16:G16,ЧАСОВЫЕ_ПРОФИЛИ!B13:G13,КОЭФФИЦИЕНТЫ_ВЫБОРА!F17:K17,ПАРАМЕТРЫ!$B$17:$G$17)</f>
        <v>0.198</v>
      </c>
      <c r="J2404" s="12" t="n">
        <f aca="false">I2404*G2404/1000</f>
        <v>0.0693</v>
      </c>
      <c r="K2404" s="11" t="s">
        <v>217</v>
      </c>
      <c r="L2404" s="11" t="s">
        <v>19</v>
      </c>
      <c r="M2404" s="11" t="s">
        <v>147</v>
      </c>
    </row>
    <row r="2405" customFormat="false" ht="15" hidden="false" customHeight="false" outlineLevel="0" collapsed="false">
      <c r="A2405" s="11" t="s">
        <v>112</v>
      </c>
      <c r="B2405" s="11" t="s">
        <v>126</v>
      </c>
      <c r="C2405" s="11" t="n">
        <v>8</v>
      </c>
      <c r="D2405" s="11" t="s">
        <v>78</v>
      </c>
      <c r="E2405" s="11" t="s">
        <v>160</v>
      </c>
      <c r="F2405" s="11" t="s">
        <v>77</v>
      </c>
      <c r="G2405" s="12" t="n">
        <v>85</v>
      </c>
      <c r="H2405" s="12" t="n">
        <f aca="false">SUMPRODUCT(ПОТОКИ!B16:G16,ЧАСОВЫЕ_ПРОФИЛИ!B13:G13,КОЭФФИЦИЕНТЫ_ВЫБОРА!F18:K18)</f>
        <v>0.108</v>
      </c>
      <c r="I2405" s="12" t="n">
        <f aca="false">SUMPRODUCT(ПОТОКИ!B16:G16,ЧАСОВЫЕ_ПРОФИЛИ!B13:G13,КОЭФФИЦИЕНТЫ_ВЫБОРА!F18:K18,ПАРАМЕТРЫ!$B$17:$G$17)</f>
        <v>0.1188</v>
      </c>
      <c r="J2405" s="12" t="n">
        <f aca="false">I2405*G2405/1000</f>
        <v>0.010098</v>
      </c>
      <c r="K2405" s="11" t="s">
        <v>217</v>
      </c>
      <c r="L2405" s="11" t="s">
        <v>19</v>
      </c>
      <c r="M2405" s="11" t="s">
        <v>147</v>
      </c>
    </row>
    <row r="2406" customFormat="false" ht="15" hidden="false" customHeight="false" outlineLevel="0" collapsed="false">
      <c r="A2406" s="11" t="s">
        <v>112</v>
      </c>
      <c r="B2406" s="11" t="s">
        <v>126</v>
      </c>
      <c r="C2406" s="11" t="n">
        <v>9</v>
      </c>
      <c r="D2406" s="11" t="s">
        <v>161</v>
      </c>
      <c r="E2406" s="11" t="s">
        <v>162</v>
      </c>
      <c r="F2406" s="11" t="s">
        <v>80</v>
      </c>
      <c r="G2406" s="12" t="n">
        <v>300</v>
      </c>
      <c r="H2406" s="12" t="n">
        <f aca="false">SUMPRODUCT(ПОТОКИ!B16:G16,ЧАСОВЫЕ_ПРОФИЛИ!B13:G13,КОЭФФИЦИЕНТЫ_ВЫБОРА!F19:K19)</f>
        <v>0</v>
      </c>
      <c r="I2406" s="12" t="n">
        <f aca="false">SUMPRODUCT(ПОТОКИ!B16:G16,ЧАСОВЫЕ_ПРОФИЛИ!B13:G13,КОЭФФИЦИЕНТЫ_ВЫБОРА!F19:K19,ПАРАМЕТРЫ!$B$17:$G$17)</f>
        <v>0</v>
      </c>
      <c r="J2406" s="12" t="n">
        <f aca="false">I2406*G2406/1000</f>
        <v>0</v>
      </c>
      <c r="K2406" s="11" t="s">
        <v>217</v>
      </c>
      <c r="L2406" s="11" t="s">
        <v>19</v>
      </c>
      <c r="M2406" s="11" t="s">
        <v>145</v>
      </c>
    </row>
    <row r="2407" customFormat="false" ht="15" hidden="false" customHeight="false" outlineLevel="0" collapsed="false">
      <c r="A2407" s="11" t="s">
        <v>112</v>
      </c>
      <c r="B2407" s="11" t="s">
        <v>126</v>
      </c>
      <c r="C2407" s="11" t="n">
        <v>10</v>
      </c>
      <c r="D2407" s="11" t="s">
        <v>161</v>
      </c>
      <c r="E2407" s="11" t="s">
        <v>163</v>
      </c>
      <c r="F2407" s="11" t="s">
        <v>80</v>
      </c>
      <c r="G2407" s="12" t="n">
        <v>280</v>
      </c>
      <c r="H2407" s="12" t="n">
        <f aca="false">SUMPRODUCT(ПОТОКИ!B16:G16,ЧАСОВЫЕ_ПРОФИЛИ!B13:G13,КОЭФФИЦИЕНТЫ_ВЫБОРА!F20:K20)</f>
        <v>0</v>
      </c>
      <c r="I2407" s="12" t="n">
        <f aca="false">SUMPRODUCT(ПОТОКИ!B16:G16,ЧАСОВЫЕ_ПРОФИЛИ!B13:G13,КОЭФФИЦИЕНТЫ_ВЫБОРА!F20:K20,ПАРАМЕТРЫ!$B$17:$G$17)</f>
        <v>0</v>
      </c>
      <c r="J2407" s="12" t="n">
        <f aca="false">I2407*G2407/1000</f>
        <v>0</v>
      </c>
      <c r="K2407" s="11" t="s">
        <v>217</v>
      </c>
      <c r="L2407" s="11" t="s">
        <v>19</v>
      </c>
      <c r="M2407" s="11" t="s">
        <v>145</v>
      </c>
    </row>
    <row r="2408" customFormat="false" ht="15" hidden="false" customHeight="false" outlineLevel="0" collapsed="false">
      <c r="A2408" s="11" t="s">
        <v>112</v>
      </c>
      <c r="B2408" s="11" t="s">
        <v>126</v>
      </c>
      <c r="C2408" s="11" t="n">
        <v>11</v>
      </c>
      <c r="D2408" s="11" t="s">
        <v>161</v>
      </c>
      <c r="E2408" s="11" t="s">
        <v>164</v>
      </c>
      <c r="F2408" s="11" t="s">
        <v>80</v>
      </c>
      <c r="G2408" s="12" t="n">
        <v>270</v>
      </c>
      <c r="H2408" s="12" t="n">
        <f aca="false">SUMPRODUCT(ПОТОКИ!B16:G16,ЧАСОВЫЕ_ПРОФИЛИ!B13:G13,КОЭФФИЦИЕНТЫ_ВЫБОРА!F21:K21)</f>
        <v>0</v>
      </c>
      <c r="I2408" s="12" t="n">
        <f aca="false">SUMPRODUCT(ПОТОКИ!B16:G16,ЧАСОВЫЕ_ПРОФИЛИ!B13:G13,КОЭФФИЦИЕНТЫ_ВЫБОРА!F21:K21,ПАРАМЕТРЫ!$B$17:$G$17)</f>
        <v>0</v>
      </c>
      <c r="J2408" s="12" t="n">
        <f aca="false">I2408*G2408/1000</f>
        <v>0</v>
      </c>
      <c r="K2408" s="11" t="s">
        <v>217</v>
      </c>
      <c r="L2408" s="11" t="s">
        <v>19</v>
      </c>
      <c r="M2408" s="11" t="s">
        <v>145</v>
      </c>
    </row>
    <row r="2409" customFormat="false" ht="15" hidden="false" customHeight="false" outlineLevel="0" collapsed="false">
      <c r="A2409" s="11" t="s">
        <v>112</v>
      </c>
      <c r="B2409" s="11" t="s">
        <v>126</v>
      </c>
      <c r="C2409" s="11" t="n">
        <v>12</v>
      </c>
      <c r="D2409" s="11" t="s">
        <v>161</v>
      </c>
      <c r="E2409" s="11" t="s">
        <v>165</v>
      </c>
      <c r="F2409" s="11" t="s">
        <v>80</v>
      </c>
      <c r="G2409" s="12" t="n">
        <v>240</v>
      </c>
      <c r="H2409" s="12" t="n">
        <f aca="false">SUMPRODUCT(ПОТОКИ!B16:G16,ЧАСОВЫЕ_ПРОФИЛИ!B13:G13,КОЭФФИЦИЕНТЫ_ВЫБОРА!F22:K22)</f>
        <v>0</v>
      </c>
      <c r="I2409" s="12" t="n">
        <f aca="false">SUMPRODUCT(ПОТОКИ!B16:G16,ЧАСОВЫЕ_ПРОФИЛИ!B13:G13,КОЭФФИЦИЕНТЫ_ВЫБОРА!F22:K22,ПАРАМЕТРЫ!$B$17:$G$17)</f>
        <v>0</v>
      </c>
      <c r="J2409" s="12" t="n">
        <f aca="false">I2409*G2409/1000</f>
        <v>0</v>
      </c>
      <c r="K2409" s="11" t="s">
        <v>217</v>
      </c>
      <c r="L2409" s="11" t="s">
        <v>19</v>
      </c>
      <c r="M2409" s="11" t="s">
        <v>145</v>
      </c>
    </row>
    <row r="2410" customFormat="false" ht="15" hidden="false" customHeight="false" outlineLevel="0" collapsed="false">
      <c r="A2410" s="11" t="s">
        <v>112</v>
      </c>
      <c r="B2410" s="11" t="s">
        <v>126</v>
      </c>
      <c r="C2410" s="11" t="n">
        <v>13</v>
      </c>
      <c r="D2410" s="11" t="s">
        <v>166</v>
      </c>
      <c r="E2410" s="11" t="s">
        <v>167</v>
      </c>
      <c r="F2410" s="11" t="s">
        <v>80</v>
      </c>
      <c r="G2410" s="12" t="n">
        <v>130</v>
      </c>
      <c r="H2410" s="12" t="n">
        <f aca="false">SUMPRODUCT(ПОТОКИ!B16:G16,ЧАСОВЫЕ_ПРОФИЛИ!B13:G13,КОЭФФИЦИЕНТЫ_ВЫБОРА!F23:K23)</f>
        <v>0</v>
      </c>
      <c r="I2410" s="12" t="n">
        <f aca="false">SUMPRODUCT(ПОТОКИ!B16:G16,ЧАСОВЫЕ_ПРОФИЛИ!B13:G13,КОЭФФИЦИЕНТЫ_ВЫБОРА!F23:K23,ПАРАМЕТРЫ!$B$17:$G$17)</f>
        <v>0</v>
      </c>
      <c r="J2410" s="12" t="n">
        <f aca="false">I2410*G2410/1000</f>
        <v>0</v>
      </c>
      <c r="K2410" s="11" t="s">
        <v>217</v>
      </c>
      <c r="L2410" s="11" t="s">
        <v>19</v>
      </c>
      <c r="M2410" s="11" t="s">
        <v>145</v>
      </c>
    </row>
    <row r="2411" customFormat="false" ht="15" hidden="false" customHeight="false" outlineLevel="0" collapsed="false">
      <c r="A2411" s="11" t="s">
        <v>112</v>
      </c>
      <c r="B2411" s="11" t="s">
        <v>126</v>
      </c>
      <c r="C2411" s="11" t="n">
        <v>14</v>
      </c>
      <c r="D2411" s="11" t="s">
        <v>166</v>
      </c>
      <c r="E2411" s="11" t="s">
        <v>168</v>
      </c>
      <c r="F2411" s="11" t="s">
        <v>80</v>
      </c>
      <c r="G2411" s="12" t="n">
        <v>250</v>
      </c>
      <c r="H2411" s="12" t="n">
        <f aca="false">SUMPRODUCT(ПОТОКИ!B16:G16,ЧАСОВЫЕ_ПРОФИЛИ!B13:G13,КОЭФФИЦИЕНТЫ_ВЫБОРА!F24:K24)</f>
        <v>0</v>
      </c>
      <c r="I2411" s="12" t="n">
        <f aca="false">SUMPRODUCT(ПОТОКИ!B16:G16,ЧАСОВЫЕ_ПРОФИЛИ!B13:G13,КОЭФФИЦИЕНТЫ_ВЫБОРА!F24:K24,ПАРАМЕТРЫ!$B$17:$G$17)</f>
        <v>0</v>
      </c>
      <c r="J2411" s="12" t="n">
        <f aca="false">I2411*G2411/1000</f>
        <v>0</v>
      </c>
      <c r="K2411" s="11" t="s">
        <v>217</v>
      </c>
      <c r="L2411" s="11" t="s">
        <v>19</v>
      </c>
      <c r="M2411" s="11" t="s">
        <v>145</v>
      </c>
    </row>
    <row r="2412" customFormat="false" ht="15" hidden="false" customHeight="false" outlineLevel="0" collapsed="false">
      <c r="A2412" s="11" t="s">
        <v>112</v>
      </c>
      <c r="B2412" s="11" t="s">
        <v>126</v>
      </c>
      <c r="C2412" s="11" t="n">
        <v>15</v>
      </c>
      <c r="D2412" s="11" t="s">
        <v>166</v>
      </c>
      <c r="E2412" s="11" t="s">
        <v>169</v>
      </c>
      <c r="F2412" s="11" t="s">
        <v>80</v>
      </c>
      <c r="G2412" s="12" t="n">
        <v>120</v>
      </c>
      <c r="H2412" s="12" t="n">
        <f aca="false">SUMPRODUCT(ПОТОКИ!B16:G16,ЧАСОВЫЕ_ПРОФИЛИ!B13:G13,КОЭФФИЦИЕНТЫ_ВЫБОРА!F25:K25)</f>
        <v>0</v>
      </c>
      <c r="I2412" s="12" t="n">
        <f aca="false">SUMPRODUCT(ПОТОКИ!B16:G16,ЧАСОВЫЕ_ПРОФИЛИ!B13:G13,КОЭФФИЦИЕНТЫ_ВЫБОРА!F25:K25,ПАРАМЕТРЫ!$B$17:$G$17)</f>
        <v>0</v>
      </c>
      <c r="J2412" s="12" t="n">
        <f aca="false">I2412*G2412/1000</f>
        <v>0</v>
      </c>
      <c r="K2412" s="11" t="s">
        <v>217</v>
      </c>
      <c r="L2412" s="11" t="s">
        <v>19</v>
      </c>
      <c r="M2412" s="11" t="s">
        <v>145</v>
      </c>
    </row>
    <row r="2413" customFormat="false" ht="15" hidden="false" customHeight="false" outlineLevel="0" collapsed="false">
      <c r="A2413" s="11" t="s">
        <v>112</v>
      </c>
      <c r="B2413" s="11" t="s">
        <v>126</v>
      </c>
      <c r="C2413" s="11" t="n">
        <v>16</v>
      </c>
      <c r="D2413" s="11" t="s">
        <v>166</v>
      </c>
      <c r="E2413" s="11" t="s">
        <v>170</v>
      </c>
      <c r="F2413" s="11" t="s">
        <v>80</v>
      </c>
      <c r="G2413" s="12" t="n">
        <v>180</v>
      </c>
      <c r="H2413" s="12" t="n">
        <f aca="false">SUMPRODUCT(ПОТОКИ!B16:G16,ЧАСОВЫЕ_ПРОФИЛИ!B13:G13,КОЭФФИЦИЕНТЫ_ВЫБОРА!F26:K26)</f>
        <v>0</v>
      </c>
      <c r="I2413" s="12" t="n">
        <f aca="false">SUMPRODUCT(ПОТОКИ!B16:G16,ЧАСОВЫЕ_ПРОФИЛИ!B13:G13,КОЭФФИЦИЕНТЫ_ВЫБОРА!F26:K26,ПАРАМЕТРЫ!$B$17:$G$17)</f>
        <v>0</v>
      </c>
      <c r="J2413" s="12" t="n">
        <f aca="false">I2413*G2413/1000</f>
        <v>0</v>
      </c>
      <c r="K2413" s="11" t="s">
        <v>217</v>
      </c>
      <c r="L2413" s="11" t="s">
        <v>19</v>
      </c>
      <c r="M2413" s="11" t="s">
        <v>145</v>
      </c>
    </row>
    <row r="2414" customFormat="false" ht="15" hidden="false" customHeight="false" outlineLevel="0" collapsed="false">
      <c r="A2414" s="11" t="s">
        <v>112</v>
      </c>
      <c r="B2414" s="11" t="s">
        <v>126</v>
      </c>
      <c r="C2414" s="11" t="n">
        <v>17</v>
      </c>
      <c r="D2414" s="11" t="s">
        <v>166</v>
      </c>
      <c r="E2414" s="11" t="s">
        <v>171</v>
      </c>
      <c r="F2414" s="11" t="s">
        <v>80</v>
      </c>
      <c r="G2414" s="12" t="n">
        <v>180</v>
      </c>
      <c r="H2414" s="12" t="n">
        <f aca="false">SUMPRODUCT(ПОТОКИ!B16:G16,ЧАСОВЫЕ_ПРОФИЛИ!B13:G13,КОЭФФИЦИЕНТЫ_ВЫБОРА!F27:K27)</f>
        <v>0</v>
      </c>
      <c r="I2414" s="12" t="n">
        <f aca="false">SUMPRODUCT(ПОТОКИ!B16:G16,ЧАСОВЫЕ_ПРОФИЛИ!B13:G13,КОЭФФИЦИЕНТЫ_ВЫБОРА!F27:K27,ПАРАМЕТРЫ!$B$17:$G$17)</f>
        <v>0</v>
      </c>
      <c r="J2414" s="12" t="n">
        <f aca="false">I2414*G2414/1000</f>
        <v>0</v>
      </c>
      <c r="K2414" s="11" t="s">
        <v>217</v>
      </c>
      <c r="L2414" s="11" t="s">
        <v>19</v>
      </c>
      <c r="M2414" s="11" t="s">
        <v>145</v>
      </c>
    </row>
    <row r="2415" customFormat="false" ht="15" hidden="false" customHeight="false" outlineLevel="0" collapsed="false">
      <c r="A2415" s="11" t="s">
        <v>112</v>
      </c>
      <c r="B2415" s="11" t="s">
        <v>126</v>
      </c>
      <c r="C2415" s="11" t="n">
        <v>18</v>
      </c>
      <c r="D2415" s="11" t="s">
        <v>172</v>
      </c>
      <c r="E2415" s="11" t="s">
        <v>173</v>
      </c>
      <c r="F2415" s="11" t="s">
        <v>83</v>
      </c>
      <c r="G2415" s="12" t="n">
        <v>400</v>
      </c>
      <c r="H2415" s="12" t="n">
        <f aca="false">SUMPRODUCT(ПОТОКИ!B16:G16,ЧАСОВЫЕ_ПРОФИЛИ!B13:G13,КОЭФФИЦИЕНТЫ_ВЫБОРА!F28:K28)</f>
        <v>0</v>
      </c>
      <c r="I2415" s="12" t="n">
        <f aca="false">SUMPRODUCT(ПОТОКИ!B16:G16,ЧАСОВЫЕ_ПРОФИЛИ!B13:G13,КОЭФФИЦИЕНТЫ_ВЫБОРА!F28:K28,ПАРАМЕТРЫ!$B$17:$G$17)</f>
        <v>0</v>
      </c>
      <c r="J2415" s="12" t="n">
        <f aca="false">I2415*G2415/1000</f>
        <v>0</v>
      </c>
      <c r="K2415" s="11" t="s">
        <v>217</v>
      </c>
      <c r="L2415" s="11" t="s">
        <v>19</v>
      </c>
      <c r="M2415" s="11" t="s">
        <v>145</v>
      </c>
    </row>
    <row r="2416" customFormat="false" ht="23.85" hidden="false" customHeight="false" outlineLevel="0" collapsed="false">
      <c r="A2416" s="11" t="s">
        <v>112</v>
      </c>
      <c r="B2416" s="11" t="s">
        <v>126</v>
      </c>
      <c r="C2416" s="11" t="n">
        <v>19</v>
      </c>
      <c r="D2416" s="11" t="s">
        <v>174</v>
      </c>
      <c r="E2416" s="11" t="s">
        <v>175</v>
      </c>
      <c r="F2416" s="11" t="s">
        <v>83</v>
      </c>
      <c r="G2416" s="12" t="n">
        <v>300</v>
      </c>
      <c r="H2416" s="12" t="n">
        <f aca="false">SUMPRODUCT(ПОТОКИ!B16:G16,ЧАСОВЫЕ_ПРОФИЛИ!B13:G13,КОЭФФИЦИЕНТЫ_ВЫБОРА!F29:K29)</f>
        <v>0</v>
      </c>
      <c r="I2416" s="12" t="n">
        <f aca="false">SUMPRODUCT(ПОТОКИ!B16:G16,ЧАСОВЫЕ_ПРОФИЛИ!B13:G13,КОЭФФИЦИЕНТЫ_ВЫБОРА!F29:K29,ПАРАМЕТРЫ!$B$17:$G$17)</f>
        <v>0</v>
      </c>
      <c r="J2416" s="12" t="n">
        <f aca="false">I2416*G2416/1000</f>
        <v>0</v>
      </c>
      <c r="K2416" s="11" t="s">
        <v>217</v>
      </c>
      <c r="L2416" s="11" t="s">
        <v>19</v>
      </c>
      <c r="M2416" s="11" t="s">
        <v>145</v>
      </c>
    </row>
    <row r="2417" customFormat="false" ht="15" hidden="false" customHeight="false" outlineLevel="0" collapsed="false">
      <c r="A2417" s="11" t="s">
        <v>112</v>
      </c>
      <c r="B2417" s="11" t="s">
        <v>126</v>
      </c>
      <c r="C2417" s="11" t="n">
        <v>20</v>
      </c>
      <c r="D2417" s="11" t="s">
        <v>174</v>
      </c>
      <c r="E2417" s="11" t="s">
        <v>176</v>
      </c>
      <c r="F2417" s="11" t="s">
        <v>83</v>
      </c>
      <c r="G2417" s="12" t="n">
        <v>360</v>
      </c>
      <c r="H2417" s="12" t="n">
        <f aca="false">SUMPRODUCT(ПОТОКИ!B16:G16,ЧАСОВЫЕ_ПРОФИЛИ!B13:G13,КОЭФФИЦИЕНТЫ_ВЫБОРА!F30:K30)</f>
        <v>0</v>
      </c>
      <c r="I2417" s="12" t="n">
        <f aca="false">SUMPRODUCT(ПОТОКИ!B16:G16,ЧАСОВЫЕ_ПРОФИЛИ!B13:G13,КОЭФФИЦИЕНТЫ_ВЫБОРА!F30:K30,ПАРАМЕТРЫ!$B$17:$G$17)</f>
        <v>0</v>
      </c>
      <c r="J2417" s="12" t="n">
        <f aca="false">I2417*G2417/1000</f>
        <v>0</v>
      </c>
      <c r="K2417" s="11" t="s">
        <v>217</v>
      </c>
      <c r="L2417" s="11" t="s">
        <v>19</v>
      </c>
      <c r="M2417" s="11" t="s">
        <v>145</v>
      </c>
    </row>
    <row r="2418" customFormat="false" ht="15" hidden="false" customHeight="false" outlineLevel="0" collapsed="false">
      <c r="A2418" s="11" t="s">
        <v>112</v>
      </c>
      <c r="B2418" s="11" t="s">
        <v>126</v>
      </c>
      <c r="C2418" s="11" t="n">
        <v>21</v>
      </c>
      <c r="D2418" s="11" t="s">
        <v>174</v>
      </c>
      <c r="E2418" s="11" t="s">
        <v>177</v>
      </c>
      <c r="F2418" s="11" t="s">
        <v>83</v>
      </c>
      <c r="G2418" s="12" t="n">
        <v>350</v>
      </c>
      <c r="H2418" s="12" t="n">
        <f aca="false">SUMPRODUCT(ПОТОКИ!B16:G16,ЧАСОВЫЕ_ПРОФИЛИ!B13:G13,КОЭФФИЦИЕНТЫ_ВЫБОРА!F31:K31)</f>
        <v>0</v>
      </c>
      <c r="I2418" s="12" t="n">
        <f aca="false">SUMPRODUCT(ПОТОКИ!B16:G16,ЧАСОВЫЕ_ПРОФИЛИ!B13:G13,КОЭФФИЦИЕНТЫ_ВЫБОРА!F31:K31,ПАРАМЕТРЫ!$B$17:$G$17)</f>
        <v>0</v>
      </c>
      <c r="J2418" s="12" t="n">
        <f aca="false">I2418*G2418/1000</f>
        <v>0</v>
      </c>
      <c r="K2418" s="11" t="s">
        <v>217</v>
      </c>
      <c r="L2418" s="11" t="s">
        <v>19</v>
      </c>
      <c r="M2418" s="11" t="s">
        <v>145</v>
      </c>
    </row>
    <row r="2419" customFormat="false" ht="15" hidden="false" customHeight="false" outlineLevel="0" collapsed="false">
      <c r="A2419" s="11" t="s">
        <v>112</v>
      </c>
      <c r="B2419" s="11" t="s">
        <v>126</v>
      </c>
      <c r="C2419" s="11" t="n">
        <v>22</v>
      </c>
      <c r="D2419" s="11" t="s">
        <v>174</v>
      </c>
      <c r="E2419" s="11" t="s">
        <v>178</v>
      </c>
      <c r="F2419" s="11" t="s">
        <v>83</v>
      </c>
      <c r="G2419" s="12" t="n">
        <v>300</v>
      </c>
      <c r="H2419" s="12" t="n">
        <f aca="false">SUMPRODUCT(ПОТОКИ!B16:G16,ЧАСОВЫЕ_ПРОФИЛИ!B13:G13,КОЭФФИЦИЕНТЫ_ВЫБОРА!F32:K32)</f>
        <v>0</v>
      </c>
      <c r="I2419" s="12" t="n">
        <f aca="false">SUMPRODUCT(ПОТОКИ!B16:G16,ЧАСОВЫЕ_ПРОФИЛИ!B13:G13,КОЭФФИЦИЕНТЫ_ВЫБОРА!F32:K32,ПАРАМЕТРЫ!$B$17:$G$17)</f>
        <v>0</v>
      </c>
      <c r="J2419" s="12" t="n">
        <f aca="false">I2419*G2419/1000</f>
        <v>0</v>
      </c>
      <c r="K2419" s="11" t="s">
        <v>217</v>
      </c>
      <c r="L2419" s="11" t="s">
        <v>19</v>
      </c>
      <c r="M2419" s="11" t="s">
        <v>145</v>
      </c>
    </row>
    <row r="2420" customFormat="false" ht="15" hidden="false" customHeight="false" outlineLevel="0" collapsed="false">
      <c r="A2420" s="11" t="s">
        <v>112</v>
      </c>
      <c r="B2420" s="11" t="s">
        <v>126</v>
      </c>
      <c r="C2420" s="11" t="n">
        <v>23</v>
      </c>
      <c r="D2420" s="11" t="s">
        <v>86</v>
      </c>
      <c r="E2420" s="11" t="s">
        <v>179</v>
      </c>
      <c r="F2420" s="11" t="s">
        <v>85</v>
      </c>
      <c r="G2420" s="12" t="n">
        <v>150</v>
      </c>
      <c r="H2420" s="12" t="n">
        <f aca="false">SUMPRODUCT(ПОТОКИ!B16:G16,ЧАСОВЫЕ_ПРОФИЛИ!B13:G13,КОЭФФИЦИЕНТЫ_ВЫБОРА!F33:K33)</f>
        <v>0</v>
      </c>
      <c r="I2420" s="12" t="n">
        <f aca="false">SUMPRODUCT(ПОТОКИ!B16:G16,ЧАСОВЫЕ_ПРОФИЛИ!B13:G13,КОЭФФИЦИЕНТЫ_ВЫБОРА!F33:K33,ПАРАМЕТРЫ!$B$17:$G$17)</f>
        <v>0</v>
      </c>
      <c r="J2420" s="12" t="n">
        <f aca="false">I2420*G2420/1000</f>
        <v>0</v>
      </c>
      <c r="K2420" s="11" t="s">
        <v>217</v>
      </c>
      <c r="L2420" s="11" t="s">
        <v>19</v>
      </c>
      <c r="M2420" s="11" t="s">
        <v>147</v>
      </c>
    </row>
    <row r="2421" customFormat="false" ht="15" hidden="false" customHeight="false" outlineLevel="0" collapsed="false">
      <c r="A2421" s="11" t="s">
        <v>112</v>
      </c>
      <c r="B2421" s="11" t="s">
        <v>126</v>
      </c>
      <c r="C2421" s="11" t="n">
        <v>24</v>
      </c>
      <c r="D2421" s="11" t="s">
        <v>86</v>
      </c>
      <c r="E2421" s="11" t="s">
        <v>180</v>
      </c>
      <c r="F2421" s="11" t="s">
        <v>85</v>
      </c>
      <c r="G2421" s="12" t="n">
        <v>150</v>
      </c>
      <c r="H2421" s="12" t="n">
        <f aca="false">SUMPRODUCT(ПОТОКИ!B16:G16,ЧАСОВЫЕ_ПРОФИЛИ!B13:G13,КОЭФФИЦИЕНТЫ_ВЫБОРА!F34:K34)</f>
        <v>0</v>
      </c>
      <c r="I2421" s="12" t="n">
        <f aca="false">SUMPRODUCT(ПОТОКИ!B16:G16,ЧАСОВЫЕ_ПРОФИЛИ!B13:G13,КОЭФФИЦИЕНТЫ_ВЫБОРА!F34:K34,ПАРАМЕТРЫ!$B$17:$G$17)</f>
        <v>0</v>
      </c>
      <c r="J2421" s="12" t="n">
        <f aca="false">I2421*G2421/1000</f>
        <v>0</v>
      </c>
      <c r="K2421" s="11" t="s">
        <v>217</v>
      </c>
      <c r="L2421" s="11" t="s">
        <v>19</v>
      </c>
      <c r="M2421" s="11" t="s">
        <v>147</v>
      </c>
    </row>
    <row r="2422" customFormat="false" ht="15" hidden="false" customHeight="false" outlineLevel="0" collapsed="false">
      <c r="A2422" s="11" t="s">
        <v>112</v>
      </c>
      <c r="B2422" s="11" t="s">
        <v>126</v>
      </c>
      <c r="C2422" s="11" t="n">
        <v>25</v>
      </c>
      <c r="D2422" s="11" t="s">
        <v>86</v>
      </c>
      <c r="E2422" s="11" t="s">
        <v>181</v>
      </c>
      <c r="F2422" s="11" t="s">
        <v>85</v>
      </c>
      <c r="G2422" s="12" t="n">
        <v>150</v>
      </c>
      <c r="H2422" s="12" t="n">
        <f aca="false">SUMPRODUCT(ПОТОКИ!B16:G16,ЧАСОВЫЕ_ПРОФИЛИ!B13:G13,КОЭФФИЦИЕНТЫ_ВЫБОРА!F35:K35)</f>
        <v>0</v>
      </c>
      <c r="I2422" s="12" t="n">
        <f aca="false">SUMPRODUCT(ПОТОКИ!B16:G16,ЧАСОВЫЕ_ПРОФИЛИ!B13:G13,КОЭФФИЦИЕНТЫ_ВЫБОРА!F35:K35,ПАРАМЕТРЫ!$B$17:$G$17)</f>
        <v>0</v>
      </c>
      <c r="J2422" s="12" t="n">
        <f aca="false">I2422*G2422/1000</f>
        <v>0</v>
      </c>
      <c r="K2422" s="11" t="s">
        <v>217</v>
      </c>
      <c r="L2422" s="11" t="s">
        <v>19</v>
      </c>
      <c r="M2422" s="11" t="s">
        <v>147</v>
      </c>
    </row>
    <row r="2423" customFormat="false" ht="23.85" hidden="false" customHeight="false" outlineLevel="0" collapsed="false">
      <c r="A2423" s="11" t="s">
        <v>112</v>
      </c>
      <c r="B2423" s="11" t="s">
        <v>126</v>
      </c>
      <c r="C2423" s="11" t="n">
        <v>26</v>
      </c>
      <c r="D2423" s="11" t="s">
        <v>89</v>
      </c>
      <c r="E2423" s="11" t="s">
        <v>182</v>
      </c>
      <c r="F2423" s="11" t="s">
        <v>88</v>
      </c>
      <c r="G2423" s="12" t="n">
        <v>225</v>
      </c>
      <c r="H2423" s="12" t="n">
        <f aca="false">SUMPRODUCT(ПОТОКИ!B16:G16,ЧАСОВЫЕ_ПРОФИЛИ!B13:G13,КОЭФФИЦИЕНТЫ_ВЫБОРА!F36:K36)</f>
        <v>2.475</v>
      </c>
      <c r="I2423" s="12" t="n">
        <f aca="false">SUMPRODUCT(ПОТОКИ!B16:G16,ЧАСОВЫЕ_ПРОФИЛИ!B13:G13,КОЭФФИЦИЕНТЫ_ВЫБОРА!F36:K36,ПАРАМЕТРЫ!$B$17:$G$17)</f>
        <v>2.475</v>
      </c>
      <c r="J2423" s="12" t="n">
        <f aca="false">I2423*G2423/1000</f>
        <v>0.556875</v>
      </c>
      <c r="K2423" s="11" t="s">
        <v>217</v>
      </c>
      <c r="L2423" s="11" t="s">
        <v>19</v>
      </c>
      <c r="M2423" s="11" t="s">
        <v>145</v>
      </c>
    </row>
    <row r="2424" customFormat="false" ht="23.85" hidden="false" customHeight="false" outlineLevel="0" collapsed="false">
      <c r="A2424" s="11" t="s">
        <v>112</v>
      </c>
      <c r="B2424" s="11" t="s">
        <v>126</v>
      </c>
      <c r="C2424" s="11" t="n">
        <v>27</v>
      </c>
      <c r="D2424" s="11" t="s">
        <v>89</v>
      </c>
      <c r="E2424" s="11" t="s">
        <v>183</v>
      </c>
      <c r="F2424" s="11" t="s">
        <v>88</v>
      </c>
      <c r="G2424" s="12" t="n">
        <v>265</v>
      </c>
      <c r="H2424" s="12" t="n">
        <f aca="false">SUMPRODUCT(ПОТОКИ!B16:G16,ЧАСОВЫЕ_ПРОФИЛИ!B13:G13,КОЭФФИЦИЕНТЫ_ВЫБОРА!F37:K37)</f>
        <v>2.475</v>
      </c>
      <c r="I2424" s="12" t="n">
        <f aca="false">SUMPRODUCT(ПОТОКИ!B16:G16,ЧАСОВЫЕ_ПРОФИЛИ!B13:G13,КОЭФФИЦИЕНТЫ_ВЫБОРА!F37:K37,ПАРАМЕТРЫ!$B$17:$G$17)</f>
        <v>2.475</v>
      </c>
      <c r="J2424" s="12" t="n">
        <f aca="false">I2424*G2424/1000</f>
        <v>0.655875</v>
      </c>
      <c r="K2424" s="11" t="s">
        <v>217</v>
      </c>
      <c r="L2424" s="11" t="s">
        <v>19</v>
      </c>
      <c r="M2424" s="11" t="s">
        <v>145</v>
      </c>
    </row>
    <row r="2425" customFormat="false" ht="23.85" hidden="false" customHeight="false" outlineLevel="0" collapsed="false">
      <c r="A2425" s="11" t="s">
        <v>112</v>
      </c>
      <c r="B2425" s="11" t="s">
        <v>126</v>
      </c>
      <c r="C2425" s="11" t="n">
        <v>28</v>
      </c>
      <c r="D2425" s="11" t="s">
        <v>89</v>
      </c>
      <c r="E2425" s="11" t="s">
        <v>184</v>
      </c>
      <c r="F2425" s="11" t="s">
        <v>88</v>
      </c>
      <c r="G2425" s="12" t="n">
        <v>355</v>
      </c>
      <c r="H2425" s="12" t="n">
        <f aca="false">SUMPRODUCT(ПОТОКИ!B16:G16,ЧАСОВЫЕ_ПРОФИЛИ!B13:G13,КОЭФФИЦИЕНТЫ_ВЫБОРА!F38:K38)</f>
        <v>1.65</v>
      </c>
      <c r="I2425" s="12" t="n">
        <f aca="false">SUMPRODUCT(ПОТОКИ!B16:G16,ЧАСОВЫЕ_ПРОФИЛИ!B13:G13,КОЭФФИЦИЕНТЫ_ВЫБОРА!F38:K38,ПАРАМЕТРЫ!$B$17:$G$17)</f>
        <v>1.65</v>
      </c>
      <c r="J2425" s="12" t="n">
        <f aca="false">I2425*G2425/1000</f>
        <v>0.58575</v>
      </c>
      <c r="K2425" s="11" t="s">
        <v>217</v>
      </c>
      <c r="L2425" s="11" t="s">
        <v>19</v>
      </c>
      <c r="M2425" s="11" t="s">
        <v>145</v>
      </c>
    </row>
    <row r="2426" customFormat="false" ht="15" hidden="false" customHeight="false" outlineLevel="0" collapsed="false">
      <c r="A2426" s="11" t="s">
        <v>112</v>
      </c>
      <c r="B2426" s="11" t="s">
        <v>126</v>
      </c>
      <c r="C2426" s="11" t="n">
        <v>29</v>
      </c>
      <c r="D2426" s="11" t="s">
        <v>92</v>
      </c>
      <c r="E2426" s="11" t="s">
        <v>185</v>
      </c>
      <c r="F2426" s="11" t="s">
        <v>91</v>
      </c>
      <c r="G2426" s="12" t="n">
        <v>150</v>
      </c>
      <c r="H2426" s="12" t="n">
        <f aca="false">SUMPRODUCT(ПОТОКИ!B16:G16,ЧАСОВЫЕ_ПРОФИЛИ!B13:G13,КОЭФФИЦИЕНТЫ_ВЫБОРА!F39:K39)</f>
        <v>0.108</v>
      </c>
      <c r="I2426" s="12" t="n">
        <f aca="false">SUMPRODUCT(ПОТОКИ!B16:G16,ЧАСОВЫЕ_ПРОФИЛИ!B13:G13,КОЭФФИЦИЕНТЫ_ВЫБОРА!F39:K39,ПАРАМЕТРЫ!$B$17:$G$17)</f>
        <v>0.1188</v>
      </c>
      <c r="J2426" s="12" t="n">
        <f aca="false">I2426*G2426/1000</f>
        <v>0.01782</v>
      </c>
      <c r="K2426" s="11" t="s">
        <v>217</v>
      </c>
      <c r="L2426" s="11" t="s">
        <v>19</v>
      </c>
      <c r="M2426" s="11" t="s">
        <v>145</v>
      </c>
    </row>
    <row r="2427" customFormat="false" ht="15" hidden="false" customHeight="false" outlineLevel="0" collapsed="false">
      <c r="A2427" s="11" t="s">
        <v>112</v>
      </c>
      <c r="B2427" s="11" t="s">
        <v>126</v>
      </c>
      <c r="C2427" s="11" t="n">
        <v>30</v>
      </c>
      <c r="D2427" s="11" t="s">
        <v>92</v>
      </c>
      <c r="E2427" s="11" t="s">
        <v>186</v>
      </c>
      <c r="F2427" s="11" t="s">
        <v>91</v>
      </c>
      <c r="G2427" s="12" t="n">
        <v>120</v>
      </c>
      <c r="H2427" s="12" t="n">
        <f aca="false">SUMPRODUCT(ПОТОКИ!B16:G16,ЧАСОВЫЕ_ПРОФИЛИ!B13:G13,КОЭФФИЦИЕНТЫ_ВЫБОРА!F40:K40)</f>
        <v>0.108</v>
      </c>
      <c r="I2427" s="12" t="n">
        <f aca="false">SUMPRODUCT(ПОТОКИ!B16:G16,ЧАСОВЫЕ_ПРОФИЛИ!B13:G13,КОЭФФИЦИЕНТЫ_ВЫБОРА!F40:K40,ПАРАМЕТРЫ!$B$17:$G$17)</f>
        <v>0.1188</v>
      </c>
      <c r="J2427" s="12" t="n">
        <f aca="false">I2427*G2427/1000</f>
        <v>0.014256</v>
      </c>
      <c r="K2427" s="11" t="s">
        <v>217</v>
      </c>
      <c r="L2427" s="11" t="s">
        <v>19</v>
      </c>
      <c r="M2427" s="11" t="s">
        <v>145</v>
      </c>
    </row>
    <row r="2428" customFormat="false" ht="15" hidden="false" customHeight="false" outlineLevel="0" collapsed="false">
      <c r="A2428" s="11" t="s">
        <v>112</v>
      </c>
      <c r="B2428" s="11" t="s">
        <v>126</v>
      </c>
      <c r="C2428" s="11" t="n">
        <v>31</v>
      </c>
      <c r="D2428" s="11" t="s">
        <v>92</v>
      </c>
      <c r="E2428" s="11" t="s">
        <v>187</v>
      </c>
      <c r="F2428" s="11" t="s">
        <v>91</v>
      </c>
      <c r="G2428" s="12" t="n">
        <v>60</v>
      </c>
      <c r="H2428" s="12" t="n">
        <f aca="false">SUMPRODUCT(ПОТОКИ!B16:G16,ЧАСОВЫЕ_ПРОФИЛИ!B13:G13,КОЭФФИЦИЕНТЫ_ВЫБОРА!F41:K41)</f>
        <v>0.144</v>
      </c>
      <c r="I2428" s="12" t="n">
        <f aca="false">SUMPRODUCT(ПОТОКИ!B16:G16,ЧАСОВЫЕ_ПРОФИЛИ!B13:G13,КОЭФФИЦИЕНТЫ_ВЫБОРА!F41:K41,ПАРАМЕТРЫ!$B$17:$G$17)</f>
        <v>0.1584</v>
      </c>
      <c r="J2428" s="12" t="n">
        <f aca="false">I2428*G2428/1000</f>
        <v>0.009504</v>
      </c>
      <c r="K2428" s="11" t="s">
        <v>217</v>
      </c>
      <c r="L2428" s="11" t="s">
        <v>19</v>
      </c>
      <c r="M2428" s="11" t="s">
        <v>145</v>
      </c>
    </row>
    <row r="2429" customFormat="false" ht="15" hidden="false" customHeight="false" outlineLevel="0" collapsed="false">
      <c r="A2429" s="11" t="s">
        <v>112</v>
      </c>
      <c r="B2429" s="11" t="s">
        <v>127</v>
      </c>
      <c r="C2429" s="11" t="n">
        <v>1</v>
      </c>
      <c r="D2429" s="11" t="s">
        <v>74</v>
      </c>
      <c r="E2429" s="11" t="s">
        <v>153</v>
      </c>
      <c r="F2429" s="11" t="s">
        <v>73</v>
      </c>
      <c r="G2429" s="12" t="n">
        <v>450</v>
      </c>
      <c r="H2429" s="12" t="n">
        <f aca="false">SUMPRODUCT(ПОТОКИ!B16:G16,ЧАСОВЫЕ_ПРОФИЛИ!B14:G14,КОЭФФИЦИЕНТЫ_ВЫБОРА!F11:K11)</f>
        <v>0</v>
      </c>
      <c r="I2429" s="12" t="n">
        <f aca="false">SUMPRODUCT(ПОТОКИ!B16:G16,ЧАСОВЫЕ_ПРОФИЛИ!B14:G14,КОЭФФИЦИЕНТЫ_ВЫБОРА!F11:K11,ПАРАМЕТРЫ!$B$17:$G$17)</f>
        <v>0</v>
      </c>
      <c r="J2429" s="12" t="n">
        <f aca="false">I2429*G2429/1000</f>
        <v>0</v>
      </c>
      <c r="K2429" s="11" t="s">
        <v>217</v>
      </c>
      <c r="L2429" s="11" t="s">
        <v>19</v>
      </c>
      <c r="M2429" s="11" t="s">
        <v>145</v>
      </c>
    </row>
    <row r="2430" customFormat="false" ht="15" hidden="false" customHeight="false" outlineLevel="0" collapsed="false">
      <c r="A2430" s="11" t="s">
        <v>112</v>
      </c>
      <c r="B2430" s="11" t="s">
        <v>127</v>
      </c>
      <c r="C2430" s="11" t="n">
        <v>2</v>
      </c>
      <c r="D2430" s="11" t="s">
        <v>74</v>
      </c>
      <c r="E2430" s="11" t="s">
        <v>154</v>
      </c>
      <c r="F2430" s="11" t="s">
        <v>73</v>
      </c>
      <c r="G2430" s="12" t="n">
        <v>480</v>
      </c>
      <c r="H2430" s="12" t="n">
        <f aca="false">SUMPRODUCT(ПОТОКИ!B16:G16,ЧАСОВЫЕ_ПРОФИЛИ!B14:G14,КОЭФФИЦИЕНТЫ_ВЫБОРА!F12:K12)</f>
        <v>0</v>
      </c>
      <c r="I2430" s="12" t="n">
        <f aca="false">SUMPRODUCT(ПОТОКИ!B16:G16,ЧАСОВЫЕ_ПРОФИЛИ!B14:G14,КОЭФФИЦИЕНТЫ_ВЫБОРА!F12:K12,ПАРАМЕТРЫ!$B$17:$G$17)</f>
        <v>0</v>
      </c>
      <c r="J2430" s="12" t="n">
        <f aca="false">I2430*G2430/1000</f>
        <v>0</v>
      </c>
      <c r="K2430" s="11" t="s">
        <v>217</v>
      </c>
      <c r="L2430" s="11" t="s">
        <v>19</v>
      </c>
      <c r="M2430" s="11" t="s">
        <v>145</v>
      </c>
    </row>
    <row r="2431" customFormat="false" ht="15" hidden="false" customHeight="false" outlineLevel="0" collapsed="false">
      <c r="A2431" s="11" t="s">
        <v>112</v>
      </c>
      <c r="B2431" s="11" t="s">
        <v>127</v>
      </c>
      <c r="C2431" s="11" t="n">
        <v>3</v>
      </c>
      <c r="D2431" s="11" t="s">
        <v>74</v>
      </c>
      <c r="E2431" s="11" t="s">
        <v>155</v>
      </c>
      <c r="F2431" s="11" t="s">
        <v>73</v>
      </c>
      <c r="G2431" s="12" t="n">
        <v>500</v>
      </c>
      <c r="H2431" s="12" t="n">
        <f aca="false">SUMPRODUCT(ПОТОКИ!B16:G16,ЧАСОВЫЕ_ПРОФИЛИ!B14:G14,КОЭФФИЦИЕНТЫ_ВЫБОРА!F13:K13)</f>
        <v>0</v>
      </c>
      <c r="I2431" s="12" t="n">
        <f aca="false">SUMPRODUCT(ПОТОКИ!B16:G16,ЧАСОВЫЕ_ПРОФИЛИ!B14:G14,КОЭФФИЦИЕНТЫ_ВЫБОРА!F13:K13,ПАРАМЕТРЫ!$B$17:$G$17)</f>
        <v>0</v>
      </c>
      <c r="J2431" s="12" t="n">
        <f aca="false">I2431*G2431/1000</f>
        <v>0</v>
      </c>
      <c r="K2431" s="11" t="s">
        <v>217</v>
      </c>
      <c r="L2431" s="11" t="s">
        <v>19</v>
      </c>
      <c r="M2431" s="11" t="s">
        <v>145</v>
      </c>
    </row>
    <row r="2432" customFormat="false" ht="15" hidden="false" customHeight="false" outlineLevel="0" collapsed="false">
      <c r="A2432" s="11" t="s">
        <v>112</v>
      </c>
      <c r="B2432" s="11" t="s">
        <v>127</v>
      </c>
      <c r="C2432" s="11" t="n">
        <v>4</v>
      </c>
      <c r="D2432" s="11" t="s">
        <v>74</v>
      </c>
      <c r="E2432" s="11" t="s">
        <v>156</v>
      </c>
      <c r="F2432" s="11" t="s">
        <v>73</v>
      </c>
      <c r="G2432" s="12" t="n">
        <v>500</v>
      </c>
      <c r="H2432" s="12" t="n">
        <f aca="false">SUMPRODUCT(ПОТОКИ!B16:G16,ЧАСОВЫЕ_ПРОФИЛИ!B14:G14,КОЭФФИЦИЕНТЫ_ВЫБОРА!F14:K14)</f>
        <v>0</v>
      </c>
      <c r="I2432" s="12" t="n">
        <f aca="false">SUMPRODUCT(ПОТОКИ!B16:G16,ЧАСОВЫЕ_ПРОФИЛИ!B14:G14,КОЭФФИЦИЕНТЫ_ВЫБОРА!F14:K14,ПАРАМЕТРЫ!$B$17:$G$17)</f>
        <v>0</v>
      </c>
      <c r="J2432" s="12" t="n">
        <f aca="false">I2432*G2432/1000</f>
        <v>0</v>
      </c>
      <c r="K2432" s="11" t="s">
        <v>217</v>
      </c>
      <c r="L2432" s="11" t="s">
        <v>19</v>
      </c>
      <c r="M2432" s="11" t="s">
        <v>145</v>
      </c>
    </row>
    <row r="2433" customFormat="false" ht="15" hidden="false" customHeight="false" outlineLevel="0" collapsed="false">
      <c r="A2433" s="11" t="s">
        <v>112</v>
      </c>
      <c r="B2433" s="11" t="s">
        <v>127</v>
      </c>
      <c r="C2433" s="11" t="n">
        <v>5</v>
      </c>
      <c r="D2433" s="11" t="s">
        <v>78</v>
      </c>
      <c r="E2433" s="11" t="s">
        <v>157</v>
      </c>
      <c r="F2433" s="11" t="s">
        <v>77</v>
      </c>
      <c r="G2433" s="12" t="n">
        <v>100</v>
      </c>
      <c r="H2433" s="12" t="n">
        <f aca="false">SUMPRODUCT(ПОТОКИ!B16:G16,ЧАСОВЫЕ_ПРОФИЛИ!B14:G14,КОЭФФИЦИЕНТЫ_ВЫБОРА!F15:K15)</f>
        <v>0.216</v>
      </c>
      <c r="I2433" s="12" t="n">
        <f aca="false">SUMPRODUCT(ПОТОКИ!B16:G16,ЧАСОВЫЕ_ПРОФИЛИ!B14:G14,КОЭФФИЦИЕНТЫ_ВЫБОРА!F15:K15,ПАРАМЕТРЫ!$B$17:$G$17)</f>
        <v>0.2376</v>
      </c>
      <c r="J2433" s="12" t="n">
        <f aca="false">I2433*G2433/1000</f>
        <v>0.02376</v>
      </c>
      <c r="K2433" s="11" t="s">
        <v>217</v>
      </c>
      <c r="L2433" s="11" t="s">
        <v>19</v>
      </c>
      <c r="M2433" s="11" t="s">
        <v>147</v>
      </c>
    </row>
    <row r="2434" customFormat="false" ht="15" hidden="false" customHeight="false" outlineLevel="0" collapsed="false">
      <c r="A2434" s="11" t="s">
        <v>112</v>
      </c>
      <c r="B2434" s="11" t="s">
        <v>127</v>
      </c>
      <c r="C2434" s="11" t="n">
        <v>6</v>
      </c>
      <c r="D2434" s="11" t="s">
        <v>78</v>
      </c>
      <c r="E2434" s="11" t="s">
        <v>158</v>
      </c>
      <c r="F2434" s="11" t="s">
        <v>77</v>
      </c>
      <c r="G2434" s="12" t="n">
        <v>100</v>
      </c>
      <c r="H2434" s="12" t="n">
        <f aca="false">SUMPRODUCT(ПОТОКИ!B16:G16,ЧАСОВЫЕ_ПРОФИЛИ!B14:G14,КОЭФФИЦИЕНТЫ_ВЫБОРА!F16:K16)</f>
        <v>0.216</v>
      </c>
      <c r="I2434" s="12" t="n">
        <f aca="false">SUMPRODUCT(ПОТОКИ!B16:G16,ЧАСОВЫЕ_ПРОФИЛИ!B14:G14,КОЭФФИЦИЕНТЫ_ВЫБОРА!F16:K16,ПАРАМЕТРЫ!$B$17:$G$17)</f>
        <v>0.2376</v>
      </c>
      <c r="J2434" s="12" t="n">
        <f aca="false">I2434*G2434/1000</f>
        <v>0.02376</v>
      </c>
      <c r="K2434" s="11" t="s">
        <v>217</v>
      </c>
      <c r="L2434" s="11" t="s">
        <v>19</v>
      </c>
      <c r="M2434" s="11" t="s">
        <v>147</v>
      </c>
    </row>
    <row r="2435" customFormat="false" ht="15" hidden="false" customHeight="false" outlineLevel="0" collapsed="false">
      <c r="A2435" s="11" t="s">
        <v>112</v>
      </c>
      <c r="B2435" s="11" t="s">
        <v>127</v>
      </c>
      <c r="C2435" s="11" t="n">
        <v>7</v>
      </c>
      <c r="D2435" s="11" t="s">
        <v>78</v>
      </c>
      <c r="E2435" s="11" t="s">
        <v>159</v>
      </c>
      <c r="F2435" s="11" t="s">
        <v>77</v>
      </c>
      <c r="G2435" s="12" t="n">
        <v>350</v>
      </c>
      <c r="H2435" s="12" t="n">
        <f aca="false">SUMPRODUCT(ПОТОКИ!B16:G16,ЧАСОВЫЕ_ПРОФИЛИ!B14:G14,КОЭФФИЦИЕНТЫ_ВЫБОРА!F17:K17)</f>
        <v>0.18</v>
      </c>
      <c r="I2435" s="12" t="n">
        <f aca="false">SUMPRODUCT(ПОТОКИ!B16:G16,ЧАСОВЫЕ_ПРОФИЛИ!B14:G14,КОЭФФИЦИЕНТЫ_ВЫБОРА!F17:K17,ПАРАМЕТРЫ!$B$17:$G$17)</f>
        <v>0.198</v>
      </c>
      <c r="J2435" s="12" t="n">
        <f aca="false">I2435*G2435/1000</f>
        <v>0.0693</v>
      </c>
      <c r="K2435" s="11" t="s">
        <v>217</v>
      </c>
      <c r="L2435" s="11" t="s">
        <v>19</v>
      </c>
      <c r="M2435" s="11" t="s">
        <v>147</v>
      </c>
    </row>
    <row r="2436" customFormat="false" ht="15" hidden="false" customHeight="false" outlineLevel="0" collapsed="false">
      <c r="A2436" s="11" t="s">
        <v>112</v>
      </c>
      <c r="B2436" s="11" t="s">
        <v>127</v>
      </c>
      <c r="C2436" s="11" t="n">
        <v>8</v>
      </c>
      <c r="D2436" s="11" t="s">
        <v>78</v>
      </c>
      <c r="E2436" s="11" t="s">
        <v>160</v>
      </c>
      <c r="F2436" s="11" t="s">
        <v>77</v>
      </c>
      <c r="G2436" s="12" t="n">
        <v>85</v>
      </c>
      <c r="H2436" s="12" t="n">
        <f aca="false">SUMPRODUCT(ПОТОКИ!B16:G16,ЧАСОВЫЕ_ПРОФИЛИ!B14:G14,КОЭФФИЦИЕНТЫ_ВЫБОРА!F18:K18)</f>
        <v>0.108</v>
      </c>
      <c r="I2436" s="12" t="n">
        <f aca="false">SUMPRODUCT(ПОТОКИ!B16:G16,ЧАСОВЫЕ_ПРОФИЛИ!B14:G14,КОЭФФИЦИЕНТЫ_ВЫБОРА!F18:K18,ПАРАМЕТРЫ!$B$17:$G$17)</f>
        <v>0.1188</v>
      </c>
      <c r="J2436" s="12" t="n">
        <f aca="false">I2436*G2436/1000</f>
        <v>0.010098</v>
      </c>
      <c r="K2436" s="11" t="s">
        <v>217</v>
      </c>
      <c r="L2436" s="11" t="s">
        <v>19</v>
      </c>
      <c r="M2436" s="11" t="s">
        <v>147</v>
      </c>
    </row>
    <row r="2437" customFormat="false" ht="15" hidden="false" customHeight="false" outlineLevel="0" collapsed="false">
      <c r="A2437" s="11" t="s">
        <v>112</v>
      </c>
      <c r="B2437" s="11" t="s">
        <v>127</v>
      </c>
      <c r="C2437" s="11" t="n">
        <v>9</v>
      </c>
      <c r="D2437" s="11" t="s">
        <v>161</v>
      </c>
      <c r="E2437" s="11" t="s">
        <v>162</v>
      </c>
      <c r="F2437" s="11" t="s">
        <v>80</v>
      </c>
      <c r="G2437" s="12" t="n">
        <v>300</v>
      </c>
      <c r="H2437" s="12" t="n">
        <f aca="false">SUMPRODUCT(ПОТОКИ!B16:G16,ЧАСОВЫЕ_ПРОФИЛИ!B14:G14,КОЭФФИЦИЕНТЫ_ВЫБОРА!F19:K19)</f>
        <v>0</v>
      </c>
      <c r="I2437" s="12" t="n">
        <f aca="false">SUMPRODUCT(ПОТОКИ!B16:G16,ЧАСОВЫЕ_ПРОФИЛИ!B14:G14,КОЭФФИЦИЕНТЫ_ВЫБОРА!F19:K19,ПАРАМЕТРЫ!$B$17:$G$17)</f>
        <v>0</v>
      </c>
      <c r="J2437" s="12" t="n">
        <f aca="false">I2437*G2437/1000</f>
        <v>0</v>
      </c>
      <c r="K2437" s="11" t="s">
        <v>217</v>
      </c>
      <c r="L2437" s="11" t="s">
        <v>19</v>
      </c>
      <c r="M2437" s="11" t="s">
        <v>145</v>
      </c>
    </row>
    <row r="2438" customFormat="false" ht="15" hidden="false" customHeight="false" outlineLevel="0" collapsed="false">
      <c r="A2438" s="11" t="s">
        <v>112</v>
      </c>
      <c r="B2438" s="11" t="s">
        <v>127</v>
      </c>
      <c r="C2438" s="11" t="n">
        <v>10</v>
      </c>
      <c r="D2438" s="11" t="s">
        <v>161</v>
      </c>
      <c r="E2438" s="11" t="s">
        <v>163</v>
      </c>
      <c r="F2438" s="11" t="s">
        <v>80</v>
      </c>
      <c r="G2438" s="12" t="n">
        <v>280</v>
      </c>
      <c r="H2438" s="12" t="n">
        <f aca="false">SUMPRODUCT(ПОТОКИ!B16:G16,ЧАСОВЫЕ_ПРОФИЛИ!B14:G14,КОЭФФИЦИЕНТЫ_ВЫБОРА!F20:K20)</f>
        <v>0</v>
      </c>
      <c r="I2438" s="12" t="n">
        <f aca="false">SUMPRODUCT(ПОТОКИ!B16:G16,ЧАСОВЫЕ_ПРОФИЛИ!B14:G14,КОЭФФИЦИЕНТЫ_ВЫБОРА!F20:K20,ПАРАМЕТРЫ!$B$17:$G$17)</f>
        <v>0</v>
      </c>
      <c r="J2438" s="12" t="n">
        <f aca="false">I2438*G2438/1000</f>
        <v>0</v>
      </c>
      <c r="K2438" s="11" t="s">
        <v>217</v>
      </c>
      <c r="L2438" s="11" t="s">
        <v>19</v>
      </c>
      <c r="M2438" s="11" t="s">
        <v>145</v>
      </c>
    </row>
    <row r="2439" customFormat="false" ht="15" hidden="false" customHeight="false" outlineLevel="0" collapsed="false">
      <c r="A2439" s="11" t="s">
        <v>112</v>
      </c>
      <c r="B2439" s="11" t="s">
        <v>127</v>
      </c>
      <c r="C2439" s="11" t="n">
        <v>11</v>
      </c>
      <c r="D2439" s="11" t="s">
        <v>161</v>
      </c>
      <c r="E2439" s="11" t="s">
        <v>164</v>
      </c>
      <c r="F2439" s="11" t="s">
        <v>80</v>
      </c>
      <c r="G2439" s="12" t="n">
        <v>270</v>
      </c>
      <c r="H2439" s="12" t="n">
        <f aca="false">SUMPRODUCT(ПОТОКИ!B16:G16,ЧАСОВЫЕ_ПРОФИЛИ!B14:G14,КОЭФФИЦИЕНТЫ_ВЫБОРА!F21:K21)</f>
        <v>0</v>
      </c>
      <c r="I2439" s="12" t="n">
        <f aca="false">SUMPRODUCT(ПОТОКИ!B16:G16,ЧАСОВЫЕ_ПРОФИЛИ!B14:G14,КОЭФФИЦИЕНТЫ_ВЫБОРА!F21:K21,ПАРАМЕТРЫ!$B$17:$G$17)</f>
        <v>0</v>
      </c>
      <c r="J2439" s="12" t="n">
        <f aca="false">I2439*G2439/1000</f>
        <v>0</v>
      </c>
      <c r="K2439" s="11" t="s">
        <v>217</v>
      </c>
      <c r="L2439" s="11" t="s">
        <v>19</v>
      </c>
      <c r="M2439" s="11" t="s">
        <v>145</v>
      </c>
    </row>
    <row r="2440" customFormat="false" ht="15" hidden="false" customHeight="false" outlineLevel="0" collapsed="false">
      <c r="A2440" s="11" t="s">
        <v>112</v>
      </c>
      <c r="B2440" s="11" t="s">
        <v>127</v>
      </c>
      <c r="C2440" s="11" t="n">
        <v>12</v>
      </c>
      <c r="D2440" s="11" t="s">
        <v>161</v>
      </c>
      <c r="E2440" s="11" t="s">
        <v>165</v>
      </c>
      <c r="F2440" s="11" t="s">
        <v>80</v>
      </c>
      <c r="G2440" s="12" t="n">
        <v>240</v>
      </c>
      <c r="H2440" s="12" t="n">
        <f aca="false">SUMPRODUCT(ПОТОКИ!B16:G16,ЧАСОВЫЕ_ПРОФИЛИ!B14:G14,КОЭФФИЦИЕНТЫ_ВЫБОРА!F22:K22)</f>
        <v>0</v>
      </c>
      <c r="I2440" s="12" t="n">
        <f aca="false">SUMPRODUCT(ПОТОКИ!B16:G16,ЧАСОВЫЕ_ПРОФИЛИ!B14:G14,КОЭФФИЦИЕНТЫ_ВЫБОРА!F22:K22,ПАРАМЕТРЫ!$B$17:$G$17)</f>
        <v>0</v>
      </c>
      <c r="J2440" s="12" t="n">
        <f aca="false">I2440*G2440/1000</f>
        <v>0</v>
      </c>
      <c r="K2440" s="11" t="s">
        <v>217</v>
      </c>
      <c r="L2440" s="11" t="s">
        <v>19</v>
      </c>
      <c r="M2440" s="11" t="s">
        <v>145</v>
      </c>
    </row>
    <row r="2441" customFormat="false" ht="15" hidden="false" customHeight="false" outlineLevel="0" collapsed="false">
      <c r="A2441" s="11" t="s">
        <v>112</v>
      </c>
      <c r="B2441" s="11" t="s">
        <v>127</v>
      </c>
      <c r="C2441" s="11" t="n">
        <v>13</v>
      </c>
      <c r="D2441" s="11" t="s">
        <v>166</v>
      </c>
      <c r="E2441" s="11" t="s">
        <v>167</v>
      </c>
      <c r="F2441" s="11" t="s">
        <v>80</v>
      </c>
      <c r="G2441" s="12" t="n">
        <v>130</v>
      </c>
      <c r="H2441" s="12" t="n">
        <f aca="false">SUMPRODUCT(ПОТОКИ!B16:G16,ЧАСОВЫЕ_ПРОФИЛИ!B14:G14,КОЭФФИЦИЕНТЫ_ВЫБОРА!F23:K23)</f>
        <v>0</v>
      </c>
      <c r="I2441" s="12" t="n">
        <f aca="false">SUMPRODUCT(ПОТОКИ!B16:G16,ЧАСОВЫЕ_ПРОФИЛИ!B14:G14,КОЭФФИЦИЕНТЫ_ВЫБОРА!F23:K23,ПАРАМЕТРЫ!$B$17:$G$17)</f>
        <v>0</v>
      </c>
      <c r="J2441" s="12" t="n">
        <f aca="false">I2441*G2441/1000</f>
        <v>0</v>
      </c>
      <c r="K2441" s="11" t="s">
        <v>217</v>
      </c>
      <c r="L2441" s="11" t="s">
        <v>19</v>
      </c>
      <c r="M2441" s="11" t="s">
        <v>145</v>
      </c>
    </row>
    <row r="2442" customFormat="false" ht="15" hidden="false" customHeight="false" outlineLevel="0" collapsed="false">
      <c r="A2442" s="11" t="s">
        <v>112</v>
      </c>
      <c r="B2442" s="11" t="s">
        <v>127</v>
      </c>
      <c r="C2442" s="11" t="n">
        <v>14</v>
      </c>
      <c r="D2442" s="11" t="s">
        <v>166</v>
      </c>
      <c r="E2442" s="11" t="s">
        <v>168</v>
      </c>
      <c r="F2442" s="11" t="s">
        <v>80</v>
      </c>
      <c r="G2442" s="12" t="n">
        <v>250</v>
      </c>
      <c r="H2442" s="12" t="n">
        <f aca="false">SUMPRODUCT(ПОТОКИ!B16:G16,ЧАСОВЫЕ_ПРОФИЛИ!B14:G14,КОЭФФИЦИЕНТЫ_ВЫБОРА!F24:K24)</f>
        <v>0</v>
      </c>
      <c r="I2442" s="12" t="n">
        <f aca="false">SUMPRODUCT(ПОТОКИ!B16:G16,ЧАСОВЫЕ_ПРОФИЛИ!B14:G14,КОЭФФИЦИЕНТЫ_ВЫБОРА!F24:K24,ПАРАМЕТРЫ!$B$17:$G$17)</f>
        <v>0</v>
      </c>
      <c r="J2442" s="12" t="n">
        <f aca="false">I2442*G2442/1000</f>
        <v>0</v>
      </c>
      <c r="K2442" s="11" t="s">
        <v>217</v>
      </c>
      <c r="L2442" s="11" t="s">
        <v>19</v>
      </c>
      <c r="M2442" s="11" t="s">
        <v>145</v>
      </c>
    </row>
    <row r="2443" customFormat="false" ht="15" hidden="false" customHeight="false" outlineLevel="0" collapsed="false">
      <c r="A2443" s="11" t="s">
        <v>112</v>
      </c>
      <c r="B2443" s="11" t="s">
        <v>127</v>
      </c>
      <c r="C2443" s="11" t="n">
        <v>15</v>
      </c>
      <c r="D2443" s="11" t="s">
        <v>166</v>
      </c>
      <c r="E2443" s="11" t="s">
        <v>169</v>
      </c>
      <c r="F2443" s="11" t="s">
        <v>80</v>
      </c>
      <c r="G2443" s="12" t="n">
        <v>120</v>
      </c>
      <c r="H2443" s="12" t="n">
        <f aca="false">SUMPRODUCT(ПОТОКИ!B16:G16,ЧАСОВЫЕ_ПРОФИЛИ!B14:G14,КОЭФФИЦИЕНТЫ_ВЫБОРА!F25:K25)</f>
        <v>0</v>
      </c>
      <c r="I2443" s="12" t="n">
        <f aca="false">SUMPRODUCT(ПОТОКИ!B16:G16,ЧАСОВЫЕ_ПРОФИЛИ!B14:G14,КОЭФФИЦИЕНТЫ_ВЫБОРА!F25:K25,ПАРАМЕТРЫ!$B$17:$G$17)</f>
        <v>0</v>
      </c>
      <c r="J2443" s="12" t="n">
        <f aca="false">I2443*G2443/1000</f>
        <v>0</v>
      </c>
      <c r="K2443" s="11" t="s">
        <v>217</v>
      </c>
      <c r="L2443" s="11" t="s">
        <v>19</v>
      </c>
      <c r="M2443" s="11" t="s">
        <v>145</v>
      </c>
    </row>
    <row r="2444" customFormat="false" ht="15" hidden="false" customHeight="false" outlineLevel="0" collapsed="false">
      <c r="A2444" s="11" t="s">
        <v>112</v>
      </c>
      <c r="B2444" s="11" t="s">
        <v>127</v>
      </c>
      <c r="C2444" s="11" t="n">
        <v>16</v>
      </c>
      <c r="D2444" s="11" t="s">
        <v>166</v>
      </c>
      <c r="E2444" s="11" t="s">
        <v>170</v>
      </c>
      <c r="F2444" s="11" t="s">
        <v>80</v>
      </c>
      <c r="G2444" s="12" t="n">
        <v>180</v>
      </c>
      <c r="H2444" s="12" t="n">
        <f aca="false">SUMPRODUCT(ПОТОКИ!B16:G16,ЧАСОВЫЕ_ПРОФИЛИ!B14:G14,КОЭФФИЦИЕНТЫ_ВЫБОРА!F26:K26)</f>
        <v>0</v>
      </c>
      <c r="I2444" s="12" t="n">
        <f aca="false">SUMPRODUCT(ПОТОКИ!B16:G16,ЧАСОВЫЕ_ПРОФИЛИ!B14:G14,КОЭФФИЦИЕНТЫ_ВЫБОРА!F26:K26,ПАРАМЕТРЫ!$B$17:$G$17)</f>
        <v>0</v>
      </c>
      <c r="J2444" s="12" t="n">
        <f aca="false">I2444*G2444/1000</f>
        <v>0</v>
      </c>
      <c r="K2444" s="11" t="s">
        <v>217</v>
      </c>
      <c r="L2444" s="11" t="s">
        <v>19</v>
      </c>
      <c r="M2444" s="11" t="s">
        <v>145</v>
      </c>
    </row>
    <row r="2445" customFormat="false" ht="15" hidden="false" customHeight="false" outlineLevel="0" collapsed="false">
      <c r="A2445" s="11" t="s">
        <v>112</v>
      </c>
      <c r="B2445" s="11" t="s">
        <v>127</v>
      </c>
      <c r="C2445" s="11" t="n">
        <v>17</v>
      </c>
      <c r="D2445" s="11" t="s">
        <v>166</v>
      </c>
      <c r="E2445" s="11" t="s">
        <v>171</v>
      </c>
      <c r="F2445" s="11" t="s">
        <v>80</v>
      </c>
      <c r="G2445" s="12" t="n">
        <v>180</v>
      </c>
      <c r="H2445" s="12" t="n">
        <f aca="false">SUMPRODUCT(ПОТОКИ!B16:G16,ЧАСОВЫЕ_ПРОФИЛИ!B14:G14,КОЭФФИЦИЕНТЫ_ВЫБОРА!F27:K27)</f>
        <v>0</v>
      </c>
      <c r="I2445" s="12" t="n">
        <f aca="false">SUMPRODUCT(ПОТОКИ!B16:G16,ЧАСОВЫЕ_ПРОФИЛИ!B14:G14,КОЭФФИЦИЕНТЫ_ВЫБОРА!F27:K27,ПАРАМЕТРЫ!$B$17:$G$17)</f>
        <v>0</v>
      </c>
      <c r="J2445" s="12" t="n">
        <f aca="false">I2445*G2445/1000</f>
        <v>0</v>
      </c>
      <c r="K2445" s="11" t="s">
        <v>217</v>
      </c>
      <c r="L2445" s="11" t="s">
        <v>19</v>
      </c>
      <c r="M2445" s="11" t="s">
        <v>145</v>
      </c>
    </row>
    <row r="2446" customFormat="false" ht="15" hidden="false" customHeight="false" outlineLevel="0" collapsed="false">
      <c r="A2446" s="11" t="s">
        <v>112</v>
      </c>
      <c r="B2446" s="11" t="s">
        <v>127</v>
      </c>
      <c r="C2446" s="11" t="n">
        <v>18</v>
      </c>
      <c r="D2446" s="11" t="s">
        <v>172</v>
      </c>
      <c r="E2446" s="11" t="s">
        <v>173</v>
      </c>
      <c r="F2446" s="11" t="s">
        <v>83</v>
      </c>
      <c r="G2446" s="12" t="n">
        <v>400</v>
      </c>
      <c r="H2446" s="12" t="n">
        <f aca="false">SUMPRODUCT(ПОТОКИ!B16:G16,ЧАСОВЫЕ_ПРОФИЛИ!B14:G14,КОЭФФИЦИЕНТЫ_ВЫБОРА!F28:K28)</f>
        <v>0</v>
      </c>
      <c r="I2446" s="12" t="n">
        <f aca="false">SUMPRODUCT(ПОТОКИ!B16:G16,ЧАСОВЫЕ_ПРОФИЛИ!B14:G14,КОЭФФИЦИЕНТЫ_ВЫБОРА!F28:K28,ПАРАМЕТРЫ!$B$17:$G$17)</f>
        <v>0</v>
      </c>
      <c r="J2446" s="12" t="n">
        <f aca="false">I2446*G2446/1000</f>
        <v>0</v>
      </c>
      <c r="K2446" s="11" t="s">
        <v>217</v>
      </c>
      <c r="L2446" s="11" t="s">
        <v>19</v>
      </c>
      <c r="M2446" s="11" t="s">
        <v>145</v>
      </c>
    </row>
    <row r="2447" customFormat="false" ht="23.85" hidden="false" customHeight="false" outlineLevel="0" collapsed="false">
      <c r="A2447" s="11" t="s">
        <v>112</v>
      </c>
      <c r="B2447" s="11" t="s">
        <v>127</v>
      </c>
      <c r="C2447" s="11" t="n">
        <v>19</v>
      </c>
      <c r="D2447" s="11" t="s">
        <v>174</v>
      </c>
      <c r="E2447" s="11" t="s">
        <v>175</v>
      </c>
      <c r="F2447" s="11" t="s">
        <v>83</v>
      </c>
      <c r="G2447" s="12" t="n">
        <v>300</v>
      </c>
      <c r="H2447" s="12" t="n">
        <f aca="false">SUMPRODUCT(ПОТОКИ!B16:G16,ЧАСОВЫЕ_ПРОФИЛИ!B14:G14,КОЭФФИЦИЕНТЫ_ВЫБОРА!F29:K29)</f>
        <v>0</v>
      </c>
      <c r="I2447" s="12" t="n">
        <f aca="false">SUMPRODUCT(ПОТОКИ!B16:G16,ЧАСОВЫЕ_ПРОФИЛИ!B14:G14,КОЭФФИЦИЕНТЫ_ВЫБОРА!F29:K29,ПАРАМЕТРЫ!$B$17:$G$17)</f>
        <v>0</v>
      </c>
      <c r="J2447" s="12" t="n">
        <f aca="false">I2447*G2447/1000</f>
        <v>0</v>
      </c>
      <c r="K2447" s="11" t="s">
        <v>217</v>
      </c>
      <c r="L2447" s="11" t="s">
        <v>19</v>
      </c>
      <c r="M2447" s="11" t="s">
        <v>145</v>
      </c>
    </row>
    <row r="2448" customFormat="false" ht="15" hidden="false" customHeight="false" outlineLevel="0" collapsed="false">
      <c r="A2448" s="11" t="s">
        <v>112</v>
      </c>
      <c r="B2448" s="11" t="s">
        <v>127</v>
      </c>
      <c r="C2448" s="11" t="n">
        <v>20</v>
      </c>
      <c r="D2448" s="11" t="s">
        <v>174</v>
      </c>
      <c r="E2448" s="11" t="s">
        <v>176</v>
      </c>
      <c r="F2448" s="11" t="s">
        <v>83</v>
      </c>
      <c r="G2448" s="12" t="n">
        <v>360</v>
      </c>
      <c r="H2448" s="12" t="n">
        <f aca="false">SUMPRODUCT(ПОТОКИ!B16:G16,ЧАСОВЫЕ_ПРОФИЛИ!B14:G14,КОЭФФИЦИЕНТЫ_ВЫБОРА!F30:K30)</f>
        <v>0</v>
      </c>
      <c r="I2448" s="12" t="n">
        <f aca="false">SUMPRODUCT(ПОТОКИ!B16:G16,ЧАСОВЫЕ_ПРОФИЛИ!B14:G14,КОЭФФИЦИЕНТЫ_ВЫБОРА!F30:K30,ПАРАМЕТРЫ!$B$17:$G$17)</f>
        <v>0</v>
      </c>
      <c r="J2448" s="12" t="n">
        <f aca="false">I2448*G2448/1000</f>
        <v>0</v>
      </c>
      <c r="K2448" s="11" t="s">
        <v>217</v>
      </c>
      <c r="L2448" s="11" t="s">
        <v>19</v>
      </c>
      <c r="M2448" s="11" t="s">
        <v>145</v>
      </c>
    </row>
    <row r="2449" customFormat="false" ht="15" hidden="false" customHeight="false" outlineLevel="0" collapsed="false">
      <c r="A2449" s="11" t="s">
        <v>112</v>
      </c>
      <c r="B2449" s="11" t="s">
        <v>127</v>
      </c>
      <c r="C2449" s="11" t="n">
        <v>21</v>
      </c>
      <c r="D2449" s="11" t="s">
        <v>174</v>
      </c>
      <c r="E2449" s="11" t="s">
        <v>177</v>
      </c>
      <c r="F2449" s="11" t="s">
        <v>83</v>
      </c>
      <c r="G2449" s="12" t="n">
        <v>350</v>
      </c>
      <c r="H2449" s="12" t="n">
        <f aca="false">SUMPRODUCT(ПОТОКИ!B16:G16,ЧАСОВЫЕ_ПРОФИЛИ!B14:G14,КОЭФФИЦИЕНТЫ_ВЫБОРА!F31:K31)</f>
        <v>0</v>
      </c>
      <c r="I2449" s="12" t="n">
        <f aca="false">SUMPRODUCT(ПОТОКИ!B16:G16,ЧАСОВЫЕ_ПРОФИЛИ!B14:G14,КОЭФФИЦИЕНТЫ_ВЫБОРА!F31:K31,ПАРАМЕТРЫ!$B$17:$G$17)</f>
        <v>0</v>
      </c>
      <c r="J2449" s="12" t="n">
        <f aca="false">I2449*G2449/1000</f>
        <v>0</v>
      </c>
      <c r="K2449" s="11" t="s">
        <v>217</v>
      </c>
      <c r="L2449" s="11" t="s">
        <v>19</v>
      </c>
      <c r="M2449" s="11" t="s">
        <v>145</v>
      </c>
    </row>
    <row r="2450" customFormat="false" ht="15" hidden="false" customHeight="false" outlineLevel="0" collapsed="false">
      <c r="A2450" s="11" t="s">
        <v>112</v>
      </c>
      <c r="B2450" s="11" t="s">
        <v>127</v>
      </c>
      <c r="C2450" s="11" t="n">
        <v>22</v>
      </c>
      <c r="D2450" s="11" t="s">
        <v>174</v>
      </c>
      <c r="E2450" s="11" t="s">
        <v>178</v>
      </c>
      <c r="F2450" s="11" t="s">
        <v>83</v>
      </c>
      <c r="G2450" s="12" t="n">
        <v>300</v>
      </c>
      <c r="H2450" s="12" t="n">
        <f aca="false">SUMPRODUCT(ПОТОКИ!B16:G16,ЧАСОВЫЕ_ПРОФИЛИ!B14:G14,КОЭФФИЦИЕНТЫ_ВЫБОРА!F32:K32)</f>
        <v>0</v>
      </c>
      <c r="I2450" s="12" t="n">
        <f aca="false">SUMPRODUCT(ПОТОКИ!B16:G16,ЧАСОВЫЕ_ПРОФИЛИ!B14:G14,КОЭФФИЦИЕНТЫ_ВЫБОРА!F32:K32,ПАРАМЕТРЫ!$B$17:$G$17)</f>
        <v>0</v>
      </c>
      <c r="J2450" s="12" t="n">
        <f aca="false">I2450*G2450/1000</f>
        <v>0</v>
      </c>
      <c r="K2450" s="11" t="s">
        <v>217</v>
      </c>
      <c r="L2450" s="11" t="s">
        <v>19</v>
      </c>
      <c r="M2450" s="11" t="s">
        <v>145</v>
      </c>
    </row>
    <row r="2451" customFormat="false" ht="15" hidden="false" customHeight="false" outlineLevel="0" collapsed="false">
      <c r="A2451" s="11" t="s">
        <v>112</v>
      </c>
      <c r="B2451" s="11" t="s">
        <v>127</v>
      </c>
      <c r="C2451" s="11" t="n">
        <v>23</v>
      </c>
      <c r="D2451" s="11" t="s">
        <v>86</v>
      </c>
      <c r="E2451" s="11" t="s">
        <v>179</v>
      </c>
      <c r="F2451" s="11" t="s">
        <v>85</v>
      </c>
      <c r="G2451" s="12" t="n">
        <v>150</v>
      </c>
      <c r="H2451" s="12" t="n">
        <f aca="false">SUMPRODUCT(ПОТОКИ!B16:G16,ЧАСОВЫЕ_ПРОФИЛИ!B14:G14,КОЭФФИЦИЕНТЫ_ВЫБОРА!F33:K33)</f>
        <v>0</v>
      </c>
      <c r="I2451" s="12" t="n">
        <f aca="false">SUMPRODUCT(ПОТОКИ!B16:G16,ЧАСОВЫЕ_ПРОФИЛИ!B14:G14,КОЭФФИЦИЕНТЫ_ВЫБОРА!F33:K33,ПАРАМЕТРЫ!$B$17:$G$17)</f>
        <v>0</v>
      </c>
      <c r="J2451" s="12" t="n">
        <f aca="false">I2451*G2451/1000</f>
        <v>0</v>
      </c>
      <c r="K2451" s="11" t="s">
        <v>217</v>
      </c>
      <c r="L2451" s="11" t="s">
        <v>19</v>
      </c>
      <c r="M2451" s="11" t="s">
        <v>147</v>
      </c>
    </row>
    <row r="2452" customFormat="false" ht="15" hidden="false" customHeight="false" outlineLevel="0" collapsed="false">
      <c r="A2452" s="11" t="s">
        <v>112</v>
      </c>
      <c r="B2452" s="11" t="s">
        <v>127</v>
      </c>
      <c r="C2452" s="11" t="n">
        <v>24</v>
      </c>
      <c r="D2452" s="11" t="s">
        <v>86</v>
      </c>
      <c r="E2452" s="11" t="s">
        <v>180</v>
      </c>
      <c r="F2452" s="11" t="s">
        <v>85</v>
      </c>
      <c r="G2452" s="12" t="n">
        <v>150</v>
      </c>
      <c r="H2452" s="12" t="n">
        <f aca="false">SUMPRODUCT(ПОТОКИ!B16:G16,ЧАСОВЫЕ_ПРОФИЛИ!B14:G14,КОЭФФИЦИЕНТЫ_ВЫБОРА!F34:K34)</f>
        <v>0</v>
      </c>
      <c r="I2452" s="12" t="n">
        <f aca="false">SUMPRODUCT(ПОТОКИ!B16:G16,ЧАСОВЫЕ_ПРОФИЛИ!B14:G14,КОЭФФИЦИЕНТЫ_ВЫБОРА!F34:K34,ПАРАМЕТРЫ!$B$17:$G$17)</f>
        <v>0</v>
      </c>
      <c r="J2452" s="12" t="n">
        <f aca="false">I2452*G2452/1000</f>
        <v>0</v>
      </c>
      <c r="K2452" s="11" t="s">
        <v>217</v>
      </c>
      <c r="L2452" s="11" t="s">
        <v>19</v>
      </c>
      <c r="M2452" s="11" t="s">
        <v>147</v>
      </c>
    </row>
    <row r="2453" customFormat="false" ht="15" hidden="false" customHeight="false" outlineLevel="0" collapsed="false">
      <c r="A2453" s="11" t="s">
        <v>112</v>
      </c>
      <c r="B2453" s="11" t="s">
        <v>127</v>
      </c>
      <c r="C2453" s="11" t="n">
        <v>25</v>
      </c>
      <c r="D2453" s="11" t="s">
        <v>86</v>
      </c>
      <c r="E2453" s="11" t="s">
        <v>181</v>
      </c>
      <c r="F2453" s="11" t="s">
        <v>85</v>
      </c>
      <c r="G2453" s="12" t="n">
        <v>150</v>
      </c>
      <c r="H2453" s="12" t="n">
        <f aca="false">SUMPRODUCT(ПОТОКИ!B16:G16,ЧАСОВЫЕ_ПРОФИЛИ!B14:G14,КОЭФФИЦИЕНТЫ_ВЫБОРА!F35:K35)</f>
        <v>0</v>
      </c>
      <c r="I2453" s="12" t="n">
        <f aca="false">SUMPRODUCT(ПОТОКИ!B16:G16,ЧАСОВЫЕ_ПРОФИЛИ!B14:G14,КОЭФФИЦИЕНТЫ_ВЫБОРА!F35:K35,ПАРАМЕТРЫ!$B$17:$G$17)</f>
        <v>0</v>
      </c>
      <c r="J2453" s="12" t="n">
        <f aca="false">I2453*G2453/1000</f>
        <v>0</v>
      </c>
      <c r="K2453" s="11" t="s">
        <v>217</v>
      </c>
      <c r="L2453" s="11" t="s">
        <v>19</v>
      </c>
      <c r="M2453" s="11" t="s">
        <v>147</v>
      </c>
    </row>
    <row r="2454" customFormat="false" ht="23.85" hidden="false" customHeight="false" outlineLevel="0" collapsed="false">
      <c r="A2454" s="11" t="s">
        <v>112</v>
      </c>
      <c r="B2454" s="11" t="s">
        <v>127</v>
      </c>
      <c r="C2454" s="11" t="n">
        <v>26</v>
      </c>
      <c r="D2454" s="11" t="s">
        <v>89</v>
      </c>
      <c r="E2454" s="11" t="s">
        <v>182</v>
      </c>
      <c r="F2454" s="11" t="s">
        <v>88</v>
      </c>
      <c r="G2454" s="12" t="n">
        <v>225</v>
      </c>
      <c r="H2454" s="12" t="n">
        <f aca="false">SUMPRODUCT(ПОТОКИ!B16:G16,ЧАСОВЫЕ_ПРОФИЛИ!B14:G14,КОЭФФИЦИЕНТЫ_ВЫБОРА!F36:K36)</f>
        <v>1.2375</v>
      </c>
      <c r="I2454" s="12" t="n">
        <f aca="false">SUMPRODUCT(ПОТОКИ!B16:G16,ЧАСОВЫЕ_ПРОФИЛИ!B14:G14,КОЭФФИЦИЕНТЫ_ВЫБОРА!F36:K36,ПАРАМЕТРЫ!$B$17:$G$17)</f>
        <v>1.2375</v>
      </c>
      <c r="J2454" s="12" t="n">
        <f aca="false">I2454*G2454/1000</f>
        <v>0.2784375</v>
      </c>
      <c r="K2454" s="11" t="s">
        <v>217</v>
      </c>
      <c r="L2454" s="11" t="s">
        <v>19</v>
      </c>
      <c r="M2454" s="11" t="s">
        <v>145</v>
      </c>
    </row>
    <row r="2455" customFormat="false" ht="23.85" hidden="false" customHeight="false" outlineLevel="0" collapsed="false">
      <c r="A2455" s="11" t="s">
        <v>112</v>
      </c>
      <c r="B2455" s="11" t="s">
        <v>127</v>
      </c>
      <c r="C2455" s="11" t="n">
        <v>27</v>
      </c>
      <c r="D2455" s="11" t="s">
        <v>89</v>
      </c>
      <c r="E2455" s="11" t="s">
        <v>183</v>
      </c>
      <c r="F2455" s="11" t="s">
        <v>88</v>
      </c>
      <c r="G2455" s="12" t="n">
        <v>265</v>
      </c>
      <c r="H2455" s="12" t="n">
        <f aca="false">SUMPRODUCT(ПОТОКИ!B16:G16,ЧАСОВЫЕ_ПРОФИЛИ!B14:G14,КОЭФФИЦИЕНТЫ_ВЫБОРА!F37:K37)</f>
        <v>1.2375</v>
      </c>
      <c r="I2455" s="12" t="n">
        <f aca="false">SUMPRODUCT(ПОТОКИ!B16:G16,ЧАСОВЫЕ_ПРОФИЛИ!B14:G14,КОЭФФИЦИЕНТЫ_ВЫБОРА!F37:K37,ПАРАМЕТРЫ!$B$17:$G$17)</f>
        <v>1.2375</v>
      </c>
      <c r="J2455" s="12" t="n">
        <f aca="false">I2455*G2455/1000</f>
        <v>0.3279375</v>
      </c>
      <c r="K2455" s="11" t="s">
        <v>217</v>
      </c>
      <c r="L2455" s="11" t="s">
        <v>19</v>
      </c>
      <c r="M2455" s="11" t="s">
        <v>145</v>
      </c>
    </row>
    <row r="2456" customFormat="false" ht="23.85" hidden="false" customHeight="false" outlineLevel="0" collapsed="false">
      <c r="A2456" s="11" t="s">
        <v>112</v>
      </c>
      <c r="B2456" s="11" t="s">
        <v>127</v>
      </c>
      <c r="C2456" s="11" t="n">
        <v>28</v>
      </c>
      <c r="D2456" s="11" t="s">
        <v>89</v>
      </c>
      <c r="E2456" s="11" t="s">
        <v>184</v>
      </c>
      <c r="F2456" s="11" t="s">
        <v>88</v>
      </c>
      <c r="G2456" s="12" t="n">
        <v>355</v>
      </c>
      <c r="H2456" s="12" t="n">
        <f aca="false">SUMPRODUCT(ПОТОКИ!B16:G16,ЧАСОВЫЕ_ПРОФИЛИ!B14:G14,КОЭФФИЦИЕНТЫ_ВЫБОРА!F38:K38)</f>
        <v>0.825</v>
      </c>
      <c r="I2456" s="12" t="n">
        <f aca="false">SUMPRODUCT(ПОТОКИ!B16:G16,ЧАСОВЫЕ_ПРОФИЛИ!B14:G14,КОЭФФИЦИЕНТЫ_ВЫБОРА!F38:K38,ПАРАМЕТРЫ!$B$17:$G$17)</f>
        <v>0.825</v>
      </c>
      <c r="J2456" s="12" t="n">
        <f aca="false">I2456*G2456/1000</f>
        <v>0.292875</v>
      </c>
      <c r="K2456" s="11" t="s">
        <v>217</v>
      </c>
      <c r="L2456" s="11" t="s">
        <v>19</v>
      </c>
      <c r="M2456" s="11" t="s">
        <v>145</v>
      </c>
    </row>
    <row r="2457" customFormat="false" ht="15" hidden="false" customHeight="false" outlineLevel="0" collapsed="false">
      <c r="A2457" s="11" t="s">
        <v>112</v>
      </c>
      <c r="B2457" s="11" t="s">
        <v>127</v>
      </c>
      <c r="C2457" s="11" t="n">
        <v>29</v>
      </c>
      <c r="D2457" s="11" t="s">
        <v>92</v>
      </c>
      <c r="E2457" s="11" t="s">
        <v>185</v>
      </c>
      <c r="F2457" s="11" t="s">
        <v>91</v>
      </c>
      <c r="G2457" s="12" t="n">
        <v>150</v>
      </c>
      <c r="H2457" s="12" t="n">
        <f aca="false">SUMPRODUCT(ПОТОКИ!B16:G16,ЧАСОВЫЕ_ПРОФИЛИ!B14:G14,КОЭФФИЦИЕНТЫ_ВЫБОРА!F39:K39)</f>
        <v>0.108</v>
      </c>
      <c r="I2457" s="12" t="n">
        <f aca="false">SUMPRODUCT(ПОТОКИ!B16:G16,ЧАСОВЫЕ_ПРОФИЛИ!B14:G14,КОЭФФИЦИЕНТЫ_ВЫБОРА!F39:K39,ПАРАМЕТРЫ!$B$17:$G$17)</f>
        <v>0.1188</v>
      </c>
      <c r="J2457" s="12" t="n">
        <f aca="false">I2457*G2457/1000</f>
        <v>0.01782</v>
      </c>
      <c r="K2457" s="11" t="s">
        <v>217</v>
      </c>
      <c r="L2457" s="11" t="s">
        <v>19</v>
      </c>
      <c r="M2457" s="11" t="s">
        <v>145</v>
      </c>
    </row>
    <row r="2458" customFormat="false" ht="15" hidden="false" customHeight="false" outlineLevel="0" collapsed="false">
      <c r="A2458" s="11" t="s">
        <v>112</v>
      </c>
      <c r="B2458" s="11" t="s">
        <v>127</v>
      </c>
      <c r="C2458" s="11" t="n">
        <v>30</v>
      </c>
      <c r="D2458" s="11" t="s">
        <v>92</v>
      </c>
      <c r="E2458" s="11" t="s">
        <v>186</v>
      </c>
      <c r="F2458" s="11" t="s">
        <v>91</v>
      </c>
      <c r="G2458" s="12" t="n">
        <v>120</v>
      </c>
      <c r="H2458" s="12" t="n">
        <f aca="false">SUMPRODUCT(ПОТОКИ!B16:G16,ЧАСОВЫЕ_ПРОФИЛИ!B14:G14,КОЭФФИЦИЕНТЫ_ВЫБОРА!F40:K40)</f>
        <v>0.108</v>
      </c>
      <c r="I2458" s="12" t="n">
        <f aca="false">SUMPRODUCT(ПОТОКИ!B16:G16,ЧАСОВЫЕ_ПРОФИЛИ!B14:G14,КОЭФФИЦИЕНТЫ_ВЫБОРА!F40:K40,ПАРАМЕТРЫ!$B$17:$G$17)</f>
        <v>0.1188</v>
      </c>
      <c r="J2458" s="12" t="n">
        <f aca="false">I2458*G2458/1000</f>
        <v>0.014256</v>
      </c>
      <c r="K2458" s="11" t="s">
        <v>217</v>
      </c>
      <c r="L2458" s="11" t="s">
        <v>19</v>
      </c>
      <c r="M2458" s="11" t="s">
        <v>145</v>
      </c>
    </row>
    <row r="2459" customFormat="false" ht="15" hidden="false" customHeight="false" outlineLevel="0" collapsed="false">
      <c r="A2459" s="11" t="s">
        <v>112</v>
      </c>
      <c r="B2459" s="11" t="s">
        <v>127</v>
      </c>
      <c r="C2459" s="11" t="n">
        <v>31</v>
      </c>
      <c r="D2459" s="11" t="s">
        <v>92</v>
      </c>
      <c r="E2459" s="11" t="s">
        <v>187</v>
      </c>
      <c r="F2459" s="11" t="s">
        <v>91</v>
      </c>
      <c r="G2459" s="12" t="n">
        <v>60</v>
      </c>
      <c r="H2459" s="12" t="n">
        <f aca="false">SUMPRODUCT(ПОТОКИ!B16:G16,ЧАСОВЫЕ_ПРОФИЛИ!B14:G14,КОЭФФИЦИЕНТЫ_ВЫБОРА!F41:K41)</f>
        <v>0.144</v>
      </c>
      <c r="I2459" s="12" t="n">
        <f aca="false">SUMPRODUCT(ПОТОКИ!B16:G16,ЧАСОВЫЕ_ПРОФИЛИ!B14:G14,КОЭФФИЦИЕНТЫ_ВЫБОРА!F41:K41,ПАРАМЕТРЫ!$B$17:$G$17)</f>
        <v>0.1584</v>
      </c>
      <c r="J2459" s="12" t="n">
        <f aca="false">I2459*G2459/1000</f>
        <v>0.009504</v>
      </c>
      <c r="K2459" s="11" t="s">
        <v>217</v>
      </c>
      <c r="L2459" s="11" t="s">
        <v>19</v>
      </c>
      <c r="M2459" s="11" t="s">
        <v>145</v>
      </c>
    </row>
    <row r="2460" customFormat="false" ht="15" hidden="false" customHeight="false" outlineLevel="0" collapsed="false">
      <c r="A2460" s="11" t="s">
        <v>112</v>
      </c>
      <c r="B2460" s="11" t="s">
        <v>128</v>
      </c>
      <c r="C2460" s="11" t="n">
        <v>1</v>
      </c>
      <c r="D2460" s="11" t="s">
        <v>74</v>
      </c>
      <c r="E2460" s="11" t="s">
        <v>153</v>
      </c>
      <c r="F2460" s="11" t="s">
        <v>73</v>
      </c>
      <c r="G2460" s="12" t="n">
        <v>450</v>
      </c>
      <c r="H2460" s="12" t="n">
        <f aca="false">SUMPRODUCT(ПОТОКИ!B16:G16,ЧАСОВЫЕ_ПРОФИЛИ!B15:G15,КОЭФФИЦИЕНТЫ_ВЫБОРА!F11:K11)</f>
        <v>0.18</v>
      </c>
      <c r="I2460" s="12" t="n">
        <f aca="false">SUMPRODUCT(ПОТОКИ!B16:G16,ЧАСОВЫЕ_ПРОФИЛИ!B15:G15,КОЭФФИЦИЕНТЫ_ВЫБОРА!F11:K11,ПАРАМЕТРЫ!$B$17:$G$17)</f>
        <v>0.198</v>
      </c>
      <c r="J2460" s="12" t="n">
        <f aca="false">I2460*G2460/1000</f>
        <v>0.0891</v>
      </c>
      <c r="K2460" s="11" t="s">
        <v>217</v>
      </c>
      <c r="L2460" s="11" t="s">
        <v>19</v>
      </c>
      <c r="M2460" s="11" t="s">
        <v>145</v>
      </c>
    </row>
    <row r="2461" customFormat="false" ht="15" hidden="false" customHeight="false" outlineLevel="0" collapsed="false">
      <c r="A2461" s="11" t="s">
        <v>112</v>
      </c>
      <c r="B2461" s="11" t="s">
        <v>128</v>
      </c>
      <c r="C2461" s="11" t="n">
        <v>2</v>
      </c>
      <c r="D2461" s="11" t="s">
        <v>74</v>
      </c>
      <c r="E2461" s="11" t="s">
        <v>154</v>
      </c>
      <c r="F2461" s="11" t="s">
        <v>73</v>
      </c>
      <c r="G2461" s="12" t="n">
        <v>480</v>
      </c>
      <c r="H2461" s="12" t="n">
        <f aca="false">SUMPRODUCT(ПОТОКИ!B16:G16,ЧАСОВЫЕ_ПРОФИЛИ!B15:G15,КОЭФФИЦИЕНТЫ_ВЫБОРА!F12:K12)</f>
        <v>0.312</v>
      </c>
      <c r="I2461" s="12" t="n">
        <f aca="false">SUMPRODUCT(ПОТОКИ!B16:G16,ЧАСОВЫЕ_ПРОФИЛИ!B15:G15,КОЭФФИЦИЕНТЫ_ВЫБОРА!F12:K12,ПАРАМЕТРЫ!$B$17:$G$17)</f>
        <v>0.3432</v>
      </c>
      <c r="J2461" s="12" t="n">
        <f aca="false">I2461*G2461/1000</f>
        <v>0.164736</v>
      </c>
      <c r="K2461" s="11" t="s">
        <v>217</v>
      </c>
      <c r="L2461" s="11" t="s">
        <v>19</v>
      </c>
      <c r="M2461" s="11" t="s">
        <v>145</v>
      </c>
    </row>
    <row r="2462" customFormat="false" ht="15" hidden="false" customHeight="false" outlineLevel="0" collapsed="false">
      <c r="A2462" s="11" t="s">
        <v>112</v>
      </c>
      <c r="B2462" s="11" t="s">
        <v>128</v>
      </c>
      <c r="C2462" s="11" t="n">
        <v>3</v>
      </c>
      <c r="D2462" s="11" t="s">
        <v>74</v>
      </c>
      <c r="E2462" s="11" t="s">
        <v>155</v>
      </c>
      <c r="F2462" s="11" t="s">
        <v>73</v>
      </c>
      <c r="G2462" s="12" t="n">
        <v>500</v>
      </c>
      <c r="H2462" s="12" t="n">
        <f aca="false">SUMPRODUCT(ПОТОКИ!B16:G16,ЧАСОВЫЕ_ПРОФИЛИ!B15:G15,КОЭФФИЦИЕНТЫ_ВЫБОРА!F13:K13)</f>
        <v>0.468</v>
      </c>
      <c r="I2462" s="12" t="n">
        <f aca="false">SUMPRODUCT(ПОТОКИ!B16:G16,ЧАСОВЫЕ_ПРОФИЛИ!B15:G15,КОЭФФИЦИЕНТЫ_ВЫБОРА!F13:K13,ПАРАМЕТРЫ!$B$17:$G$17)</f>
        <v>0.5148</v>
      </c>
      <c r="J2462" s="12" t="n">
        <f aca="false">I2462*G2462/1000</f>
        <v>0.2574</v>
      </c>
      <c r="K2462" s="11" t="s">
        <v>217</v>
      </c>
      <c r="L2462" s="11" t="s">
        <v>19</v>
      </c>
      <c r="M2462" s="11" t="s">
        <v>145</v>
      </c>
    </row>
    <row r="2463" customFormat="false" ht="15" hidden="false" customHeight="false" outlineLevel="0" collapsed="false">
      <c r="A2463" s="11" t="s">
        <v>112</v>
      </c>
      <c r="B2463" s="11" t="s">
        <v>128</v>
      </c>
      <c r="C2463" s="11" t="n">
        <v>4</v>
      </c>
      <c r="D2463" s="11" t="s">
        <v>74</v>
      </c>
      <c r="E2463" s="11" t="s">
        <v>156</v>
      </c>
      <c r="F2463" s="11" t="s">
        <v>73</v>
      </c>
      <c r="G2463" s="12" t="n">
        <v>500</v>
      </c>
      <c r="H2463" s="12" t="n">
        <f aca="false">SUMPRODUCT(ПОТОКИ!B16:G16,ЧАСОВЫЕ_ПРОФИЛИ!B15:G15,КОЭФФИЦИЕНТЫ_ВЫБОРА!F14:K14)</f>
        <v>0.6</v>
      </c>
      <c r="I2463" s="12" t="n">
        <f aca="false">SUMPRODUCT(ПОТОКИ!B16:G16,ЧАСОВЫЕ_ПРОФИЛИ!B15:G15,КОЭФФИЦИЕНТЫ_ВЫБОРА!F14:K14,ПАРАМЕТРЫ!$B$17:$G$17)</f>
        <v>0.66</v>
      </c>
      <c r="J2463" s="12" t="n">
        <f aca="false">I2463*G2463/1000</f>
        <v>0.33</v>
      </c>
      <c r="K2463" s="11" t="s">
        <v>217</v>
      </c>
      <c r="L2463" s="11" t="s">
        <v>19</v>
      </c>
      <c r="M2463" s="11" t="s">
        <v>145</v>
      </c>
    </row>
    <row r="2464" customFormat="false" ht="15" hidden="false" customHeight="false" outlineLevel="0" collapsed="false">
      <c r="A2464" s="11" t="s">
        <v>112</v>
      </c>
      <c r="B2464" s="11" t="s">
        <v>128</v>
      </c>
      <c r="C2464" s="11" t="n">
        <v>5</v>
      </c>
      <c r="D2464" s="11" t="s">
        <v>78</v>
      </c>
      <c r="E2464" s="11" t="s">
        <v>157</v>
      </c>
      <c r="F2464" s="11" t="s">
        <v>77</v>
      </c>
      <c r="G2464" s="12" t="n">
        <v>100</v>
      </c>
      <c r="H2464" s="12" t="n">
        <f aca="false">SUMPRODUCT(ПОТОКИ!B16:G16,ЧАСОВЫЕ_ПРОФИЛИ!B15:G15,КОЭФФИЦИЕНТЫ_ВЫБОРА!F15:K15)</f>
        <v>0.42</v>
      </c>
      <c r="I2464" s="12" t="n">
        <f aca="false">SUMPRODUCT(ПОТОКИ!B16:G16,ЧАСОВЫЕ_ПРОФИЛИ!B15:G15,КОЭФФИЦИЕНТЫ_ВЫБОРА!F15:K15,ПАРАМЕТРЫ!$B$17:$G$17)</f>
        <v>0.462</v>
      </c>
      <c r="J2464" s="12" t="n">
        <f aca="false">I2464*G2464/1000</f>
        <v>0.0462</v>
      </c>
      <c r="K2464" s="11" t="s">
        <v>217</v>
      </c>
      <c r="L2464" s="11" t="s">
        <v>19</v>
      </c>
      <c r="M2464" s="11" t="s">
        <v>147</v>
      </c>
    </row>
    <row r="2465" customFormat="false" ht="15" hidden="false" customHeight="false" outlineLevel="0" collapsed="false">
      <c r="A2465" s="11" t="s">
        <v>112</v>
      </c>
      <c r="B2465" s="11" t="s">
        <v>128</v>
      </c>
      <c r="C2465" s="11" t="n">
        <v>6</v>
      </c>
      <c r="D2465" s="11" t="s">
        <v>78</v>
      </c>
      <c r="E2465" s="11" t="s">
        <v>158</v>
      </c>
      <c r="F2465" s="11" t="s">
        <v>77</v>
      </c>
      <c r="G2465" s="12" t="n">
        <v>100</v>
      </c>
      <c r="H2465" s="12" t="n">
        <f aca="false">SUMPRODUCT(ПОТОКИ!B16:G16,ЧАСОВЫЕ_ПРОФИЛИ!B15:G15,КОЭФФИЦИЕНТЫ_ВЫБОРА!F16:K16)</f>
        <v>0.396</v>
      </c>
      <c r="I2465" s="12" t="n">
        <f aca="false">SUMPRODUCT(ПОТОКИ!B16:G16,ЧАСОВЫЕ_ПРОФИЛИ!B15:G15,КОЭФФИЦИЕНТЫ_ВЫБОРА!F16:K16,ПАРАМЕТРЫ!$B$17:$G$17)</f>
        <v>0.4356</v>
      </c>
      <c r="J2465" s="12" t="n">
        <f aca="false">I2465*G2465/1000</f>
        <v>0.04356</v>
      </c>
      <c r="K2465" s="11" t="s">
        <v>217</v>
      </c>
      <c r="L2465" s="11" t="s">
        <v>19</v>
      </c>
      <c r="M2465" s="11" t="s">
        <v>147</v>
      </c>
    </row>
    <row r="2466" customFormat="false" ht="15" hidden="false" customHeight="false" outlineLevel="0" collapsed="false">
      <c r="A2466" s="11" t="s">
        <v>112</v>
      </c>
      <c r="B2466" s="11" t="s">
        <v>128</v>
      </c>
      <c r="C2466" s="11" t="n">
        <v>7</v>
      </c>
      <c r="D2466" s="11" t="s">
        <v>78</v>
      </c>
      <c r="E2466" s="11" t="s">
        <v>159</v>
      </c>
      <c r="F2466" s="11" t="s">
        <v>77</v>
      </c>
      <c r="G2466" s="12" t="n">
        <v>350</v>
      </c>
      <c r="H2466" s="12" t="n">
        <f aca="false">SUMPRODUCT(ПОТОКИ!B16:G16,ЧАСОВЫЕ_ПРОФИЛИ!B15:G15,КОЭФФИЦИЕНТЫ_ВЫБОРА!F17:K17)</f>
        <v>0.342</v>
      </c>
      <c r="I2466" s="12" t="n">
        <f aca="false">SUMPRODUCT(ПОТОКИ!B16:G16,ЧАСОВЫЕ_ПРОФИЛИ!B15:G15,КОЭФФИЦИЕНТЫ_ВЫБОРА!F17:K17,ПАРАМЕТРЫ!$B$17:$G$17)</f>
        <v>0.3762</v>
      </c>
      <c r="J2466" s="12" t="n">
        <f aca="false">I2466*G2466/1000</f>
        <v>0.13167</v>
      </c>
      <c r="K2466" s="11" t="s">
        <v>217</v>
      </c>
      <c r="L2466" s="11" t="s">
        <v>19</v>
      </c>
      <c r="M2466" s="11" t="s">
        <v>147</v>
      </c>
    </row>
    <row r="2467" customFormat="false" ht="15" hidden="false" customHeight="false" outlineLevel="0" collapsed="false">
      <c r="A2467" s="11" t="s">
        <v>112</v>
      </c>
      <c r="B2467" s="11" t="s">
        <v>128</v>
      </c>
      <c r="C2467" s="11" t="n">
        <v>8</v>
      </c>
      <c r="D2467" s="11" t="s">
        <v>78</v>
      </c>
      <c r="E2467" s="11" t="s">
        <v>160</v>
      </c>
      <c r="F2467" s="11" t="s">
        <v>77</v>
      </c>
      <c r="G2467" s="12" t="n">
        <v>85</v>
      </c>
      <c r="H2467" s="12" t="n">
        <f aca="false">SUMPRODUCT(ПОТОКИ!B16:G16,ЧАСОВЫЕ_ПРОФИЛИ!B15:G15,КОЭФФИЦИЕНТЫ_ВЫБОРА!F18:K18)</f>
        <v>0.21</v>
      </c>
      <c r="I2467" s="12" t="n">
        <f aca="false">SUMPRODUCT(ПОТОКИ!B16:G16,ЧАСОВЫЕ_ПРОФИЛИ!B15:G15,КОЭФФИЦИЕНТЫ_ВЫБОРА!F18:K18,ПАРАМЕТРЫ!$B$17:$G$17)</f>
        <v>0.231</v>
      </c>
      <c r="J2467" s="12" t="n">
        <f aca="false">I2467*G2467/1000</f>
        <v>0.019635</v>
      </c>
      <c r="K2467" s="11" t="s">
        <v>217</v>
      </c>
      <c r="L2467" s="11" t="s">
        <v>19</v>
      </c>
      <c r="M2467" s="11" t="s">
        <v>147</v>
      </c>
    </row>
    <row r="2468" customFormat="false" ht="15" hidden="false" customHeight="false" outlineLevel="0" collapsed="false">
      <c r="A2468" s="11" t="s">
        <v>112</v>
      </c>
      <c r="B2468" s="11" t="s">
        <v>128</v>
      </c>
      <c r="C2468" s="11" t="n">
        <v>9</v>
      </c>
      <c r="D2468" s="11" t="s">
        <v>161</v>
      </c>
      <c r="E2468" s="11" t="s">
        <v>162</v>
      </c>
      <c r="F2468" s="11" t="s">
        <v>80</v>
      </c>
      <c r="G2468" s="12" t="n">
        <v>300</v>
      </c>
      <c r="H2468" s="12" t="n">
        <f aca="false">SUMPRODUCT(ПОТОКИ!B16:G16,ЧАСОВЫЕ_ПРОФИЛИ!B15:G15,КОЭФФИЦИЕНТЫ_ВЫБОРА!F19:K19)</f>
        <v>0.216</v>
      </c>
      <c r="I2468" s="12" t="n">
        <f aca="false">SUMPRODUCT(ПОТОКИ!B16:G16,ЧАСОВЫЕ_ПРОФИЛИ!B15:G15,КОЭФФИЦИЕНТЫ_ВЫБОРА!F19:K19,ПАРАМЕТРЫ!$B$17:$G$17)</f>
        <v>0.2376</v>
      </c>
      <c r="J2468" s="12" t="n">
        <f aca="false">I2468*G2468/1000</f>
        <v>0.07128</v>
      </c>
      <c r="K2468" s="11" t="s">
        <v>217</v>
      </c>
      <c r="L2468" s="11" t="s">
        <v>19</v>
      </c>
      <c r="M2468" s="11" t="s">
        <v>145</v>
      </c>
    </row>
    <row r="2469" customFormat="false" ht="15" hidden="false" customHeight="false" outlineLevel="0" collapsed="false">
      <c r="A2469" s="11" t="s">
        <v>112</v>
      </c>
      <c r="B2469" s="11" t="s">
        <v>128</v>
      </c>
      <c r="C2469" s="11" t="n">
        <v>10</v>
      </c>
      <c r="D2469" s="11" t="s">
        <v>161</v>
      </c>
      <c r="E2469" s="11" t="s">
        <v>163</v>
      </c>
      <c r="F2469" s="11" t="s">
        <v>80</v>
      </c>
      <c r="G2469" s="12" t="n">
        <v>280</v>
      </c>
      <c r="H2469" s="12" t="n">
        <f aca="false">SUMPRODUCT(ПОТОКИ!B16:G16,ЧАСОВЫЕ_ПРОФИЛИ!B15:G15,КОЭФФИЦИЕНТЫ_ВЫБОРА!F20:K20)</f>
        <v>0.252</v>
      </c>
      <c r="I2469" s="12" t="n">
        <f aca="false">SUMPRODUCT(ПОТОКИ!B16:G16,ЧАСОВЫЕ_ПРОФИЛИ!B15:G15,КОЭФФИЦИЕНТЫ_ВЫБОРА!F20:K20,ПАРАМЕТРЫ!$B$17:$G$17)</f>
        <v>0.2772</v>
      </c>
      <c r="J2469" s="12" t="n">
        <f aca="false">I2469*G2469/1000</f>
        <v>0.077616</v>
      </c>
      <c r="K2469" s="11" t="s">
        <v>217</v>
      </c>
      <c r="L2469" s="11" t="s">
        <v>19</v>
      </c>
      <c r="M2469" s="11" t="s">
        <v>145</v>
      </c>
    </row>
    <row r="2470" customFormat="false" ht="15" hidden="false" customHeight="false" outlineLevel="0" collapsed="false">
      <c r="A2470" s="11" t="s">
        <v>112</v>
      </c>
      <c r="B2470" s="11" t="s">
        <v>128</v>
      </c>
      <c r="C2470" s="11" t="n">
        <v>11</v>
      </c>
      <c r="D2470" s="11" t="s">
        <v>161</v>
      </c>
      <c r="E2470" s="11" t="s">
        <v>164</v>
      </c>
      <c r="F2470" s="11" t="s">
        <v>80</v>
      </c>
      <c r="G2470" s="12" t="n">
        <v>270</v>
      </c>
      <c r="H2470" s="12" t="n">
        <f aca="false">SUMPRODUCT(ПОТОКИ!B16:G16,ЧАСОВЫЕ_ПРОФИЛИ!B15:G15,КОЭФФИЦИЕНТЫ_ВЫБОРА!F21:K21)</f>
        <v>0.414</v>
      </c>
      <c r="I2470" s="12" t="n">
        <f aca="false">SUMPRODUCT(ПОТОКИ!B16:G16,ЧАСОВЫЕ_ПРОФИЛИ!B15:G15,КОЭФФИЦИЕНТЫ_ВЫБОРА!F21:K21,ПАРАМЕТРЫ!$B$17:$G$17)</f>
        <v>0.4554</v>
      </c>
      <c r="J2470" s="12" t="n">
        <f aca="false">I2470*G2470/1000</f>
        <v>0.122958</v>
      </c>
      <c r="K2470" s="11" t="s">
        <v>217</v>
      </c>
      <c r="L2470" s="11" t="s">
        <v>19</v>
      </c>
      <c r="M2470" s="11" t="s">
        <v>145</v>
      </c>
    </row>
    <row r="2471" customFormat="false" ht="15" hidden="false" customHeight="false" outlineLevel="0" collapsed="false">
      <c r="A2471" s="11" t="s">
        <v>112</v>
      </c>
      <c r="B2471" s="11" t="s">
        <v>128</v>
      </c>
      <c r="C2471" s="11" t="n">
        <v>12</v>
      </c>
      <c r="D2471" s="11" t="s">
        <v>161</v>
      </c>
      <c r="E2471" s="11" t="s">
        <v>165</v>
      </c>
      <c r="F2471" s="11" t="s">
        <v>80</v>
      </c>
      <c r="G2471" s="12" t="n">
        <v>240</v>
      </c>
      <c r="H2471" s="12" t="n">
        <f aca="false">SUMPRODUCT(ПОТОКИ!B16:G16,ЧАСОВЫЕ_ПРОФИЛИ!B15:G15,КОЭФФИЦИЕНТЫ_ВЫБОРА!F22:K22)</f>
        <v>0.198</v>
      </c>
      <c r="I2471" s="12" t="n">
        <f aca="false">SUMPRODUCT(ПОТОКИ!B16:G16,ЧАСОВЫЕ_ПРОФИЛИ!B15:G15,КОЭФФИЦИЕНТЫ_ВЫБОРА!F22:K22,ПАРАМЕТРЫ!$B$17:$G$17)</f>
        <v>0.2178</v>
      </c>
      <c r="J2471" s="12" t="n">
        <f aca="false">I2471*G2471/1000</f>
        <v>0.052272</v>
      </c>
      <c r="K2471" s="11" t="s">
        <v>217</v>
      </c>
      <c r="L2471" s="11" t="s">
        <v>19</v>
      </c>
      <c r="M2471" s="11" t="s">
        <v>145</v>
      </c>
    </row>
    <row r="2472" customFormat="false" ht="15" hidden="false" customHeight="false" outlineLevel="0" collapsed="false">
      <c r="A2472" s="11" t="s">
        <v>112</v>
      </c>
      <c r="B2472" s="11" t="s">
        <v>128</v>
      </c>
      <c r="C2472" s="11" t="n">
        <v>13</v>
      </c>
      <c r="D2472" s="11" t="s">
        <v>166</v>
      </c>
      <c r="E2472" s="11" t="s">
        <v>167</v>
      </c>
      <c r="F2472" s="11" t="s">
        <v>80</v>
      </c>
      <c r="G2472" s="12" t="n">
        <v>130</v>
      </c>
      <c r="H2472" s="12" t="n">
        <f aca="false">SUMPRODUCT(ПОТОКИ!B16:G16,ЧАСОВЫЕ_ПРОФИЛИ!B15:G15,КОЭФФИЦИЕНТЫ_ВЫБОРА!F23:K23)</f>
        <v>0.12</v>
      </c>
      <c r="I2472" s="12" t="n">
        <f aca="false">SUMPRODUCT(ПОТОКИ!B16:G16,ЧАСОВЫЕ_ПРОФИЛИ!B15:G15,КОЭФФИЦИЕНТЫ_ВЫБОРА!F23:K23,ПАРАМЕТРЫ!$B$17:$G$17)</f>
        <v>0.132</v>
      </c>
      <c r="J2472" s="12" t="n">
        <f aca="false">I2472*G2472/1000</f>
        <v>0.01716</v>
      </c>
      <c r="K2472" s="11" t="s">
        <v>217</v>
      </c>
      <c r="L2472" s="11" t="s">
        <v>19</v>
      </c>
      <c r="M2472" s="11" t="s">
        <v>145</v>
      </c>
    </row>
    <row r="2473" customFormat="false" ht="15" hidden="false" customHeight="false" outlineLevel="0" collapsed="false">
      <c r="A2473" s="11" t="s">
        <v>112</v>
      </c>
      <c r="B2473" s="11" t="s">
        <v>128</v>
      </c>
      <c r="C2473" s="11" t="n">
        <v>14</v>
      </c>
      <c r="D2473" s="11" t="s">
        <v>166</v>
      </c>
      <c r="E2473" s="11" t="s">
        <v>168</v>
      </c>
      <c r="F2473" s="11" t="s">
        <v>80</v>
      </c>
      <c r="G2473" s="12" t="n">
        <v>250</v>
      </c>
      <c r="H2473" s="12" t="n">
        <f aca="false">SUMPRODUCT(ПОТОКИ!B16:G16,ЧАСОВЫЕ_ПРОФИЛИ!B15:G15,КОЭФФИЦИЕНТЫ_ВЫБОРА!F24:K24)</f>
        <v>0.072</v>
      </c>
      <c r="I2473" s="12" t="n">
        <f aca="false">SUMPRODUCT(ПОТОКИ!B16:G16,ЧАСОВЫЕ_ПРОФИЛИ!B15:G15,КОЭФФИЦИЕНТЫ_ВЫБОРА!F24:K24,ПАРАМЕТРЫ!$B$17:$G$17)</f>
        <v>0.0792</v>
      </c>
      <c r="J2473" s="12" t="n">
        <f aca="false">I2473*G2473/1000</f>
        <v>0.0198</v>
      </c>
      <c r="K2473" s="11" t="s">
        <v>217</v>
      </c>
      <c r="L2473" s="11" t="s">
        <v>19</v>
      </c>
      <c r="M2473" s="11" t="s">
        <v>145</v>
      </c>
    </row>
    <row r="2474" customFormat="false" ht="15" hidden="false" customHeight="false" outlineLevel="0" collapsed="false">
      <c r="A2474" s="11" t="s">
        <v>112</v>
      </c>
      <c r="B2474" s="11" t="s">
        <v>128</v>
      </c>
      <c r="C2474" s="11" t="n">
        <v>15</v>
      </c>
      <c r="D2474" s="11" t="s">
        <v>166</v>
      </c>
      <c r="E2474" s="11" t="s">
        <v>169</v>
      </c>
      <c r="F2474" s="11" t="s">
        <v>80</v>
      </c>
      <c r="G2474" s="12" t="n">
        <v>120</v>
      </c>
      <c r="H2474" s="12" t="n">
        <f aca="false">SUMPRODUCT(ПОТОКИ!B16:G16,ЧАСОВЫЕ_ПРОФИЛИ!B15:G15,КОЭФФИЦИЕНТЫ_ВЫБОРА!F25:K25)</f>
        <v>0.072</v>
      </c>
      <c r="I2474" s="12" t="n">
        <f aca="false">SUMPRODUCT(ПОТОКИ!B16:G16,ЧАСОВЫЕ_ПРОФИЛИ!B15:G15,КОЭФФИЦИЕНТЫ_ВЫБОРА!F25:K25,ПАРАМЕТРЫ!$B$17:$G$17)</f>
        <v>0.0792</v>
      </c>
      <c r="J2474" s="12" t="n">
        <f aca="false">I2474*G2474/1000</f>
        <v>0.009504</v>
      </c>
      <c r="K2474" s="11" t="s">
        <v>217</v>
      </c>
      <c r="L2474" s="11" t="s">
        <v>19</v>
      </c>
      <c r="M2474" s="11" t="s">
        <v>145</v>
      </c>
    </row>
    <row r="2475" customFormat="false" ht="15" hidden="false" customHeight="false" outlineLevel="0" collapsed="false">
      <c r="A2475" s="11" t="s">
        <v>112</v>
      </c>
      <c r="B2475" s="11" t="s">
        <v>128</v>
      </c>
      <c r="C2475" s="11" t="n">
        <v>16</v>
      </c>
      <c r="D2475" s="11" t="s">
        <v>166</v>
      </c>
      <c r="E2475" s="11" t="s">
        <v>170</v>
      </c>
      <c r="F2475" s="11" t="s">
        <v>80</v>
      </c>
      <c r="G2475" s="12" t="n">
        <v>180</v>
      </c>
      <c r="H2475" s="12" t="n">
        <f aca="false">SUMPRODUCT(ПОТОКИ!B16:G16,ЧАСОВЫЕ_ПРОФИЛИ!B15:G15,КОЭФФИЦИЕНТЫ_ВЫБОРА!F26:K26)</f>
        <v>0.096</v>
      </c>
      <c r="I2475" s="12" t="n">
        <f aca="false">SUMPRODUCT(ПОТОКИ!B16:G16,ЧАСОВЫЕ_ПРОФИЛИ!B15:G15,КОЭФФИЦИЕНТЫ_ВЫБОРА!F26:K26,ПАРАМЕТРЫ!$B$17:$G$17)</f>
        <v>0.1056</v>
      </c>
      <c r="J2475" s="12" t="n">
        <f aca="false">I2475*G2475/1000</f>
        <v>0.019008</v>
      </c>
      <c r="K2475" s="11" t="s">
        <v>217</v>
      </c>
      <c r="L2475" s="11" t="s">
        <v>19</v>
      </c>
      <c r="M2475" s="11" t="s">
        <v>145</v>
      </c>
    </row>
    <row r="2476" customFormat="false" ht="15" hidden="false" customHeight="false" outlineLevel="0" collapsed="false">
      <c r="A2476" s="11" t="s">
        <v>112</v>
      </c>
      <c r="B2476" s="11" t="s">
        <v>128</v>
      </c>
      <c r="C2476" s="11" t="n">
        <v>17</v>
      </c>
      <c r="D2476" s="11" t="s">
        <v>166</v>
      </c>
      <c r="E2476" s="11" t="s">
        <v>171</v>
      </c>
      <c r="F2476" s="11" t="s">
        <v>80</v>
      </c>
      <c r="G2476" s="12" t="n">
        <v>180</v>
      </c>
      <c r="H2476" s="12" t="n">
        <f aca="false">SUMPRODUCT(ПОТОКИ!B16:G16,ЧАСОВЫЕ_ПРОФИЛИ!B15:G15,КОЭФФИЦИЕНТЫ_ВЫБОРА!F27:K27)</f>
        <v>0.12</v>
      </c>
      <c r="I2476" s="12" t="n">
        <f aca="false">SUMPRODUCT(ПОТОКИ!B16:G16,ЧАСОВЫЕ_ПРОФИЛИ!B15:G15,КОЭФФИЦИЕНТЫ_ВЫБОРА!F27:K27,ПАРАМЕТРЫ!$B$17:$G$17)</f>
        <v>0.132</v>
      </c>
      <c r="J2476" s="12" t="n">
        <f aca="false">I2476*G2476/1000</f>
        <v>0.02376</v>
      </c>
      <c r="K2476" s="11" t="s">
        <v>217</v>
      </c>
      <c r="L2476" s="11" t="s">
        <v>19</v>
      </c>
      <c r="M2476" s="11" t="s">
        <v>145</v>
      </c>
    </row>
    <row r="2477" customFormat="false" ht="15" hidden="false" customHeight="false" outlineLevel="0" collapsed="false">
      <c r="A2477" s="11" t="s">
        <v>112</v>
      </c>
      <c r="B2477" s="11" t="s">
        <v>128</v>
      </c>
      <c r="C2477" s="11" t="n">
        <v>18</v>
      </c>
      <c r="D2477" s="11" t="s">
        <v>172</v>
      </c>
      <c r="E2477" s="11" t="s">
        <v>173</v>
      </c>
      <c r="F2477" s="11" t="s">
        <v>83</v>
      </c>
      <c r="G2477" s="12" t="n">
        <v>400</v>
      </c>
      <c r="H2477" s="12" t="n">
        <f aca="false">SUMPRODUCT(ПОТОКИ!B16:G16,ЧАСОВЫЕ_ПРОФИЛИ!B15:G15,КОЭФФИЦИЕНТЫ_ВЫБОРА!F28:K28)</f>
        <v>0.24</v>
      </c>
      <c r="I2477" s="12" t="n">
        <f aca="false">SUMPRODUCT(ПОТОКИ!B16:G16,ЧАСОВЫЕ_ПРОФИЛИ!B15:G15,КОЭФФИЦИЕНТЫ_ВЫБОРА!F28:K28,ПАРАМЕТРЫ!$B$17:$G$17)</f>
        <v>0.264</v>
      </c>
      <c r="J2477" s="12" t="n">
        <f aca="false">I2477*G2477/1000</f>
        <v>0.1056</v>
      </c>
      <c r="K2477" s="11" t="s">
        <v>217</v>
      </c>
      <c r="L2477" s="11" t="s">
        <v>19</v>
      </c>
      <c r="M2477" s="11" t="s">
        <v>145</v>
      </c>
    </row>
    <row r="2478" customFormat="false" ht="23.85" hidden="false" customHeight="false" outlineLevel="0" collapsed="false">
      <c r="A2478" s="11" t="s">
        <v>112</v>
      </c>
      <c r="B2478" s="11" t="s">
        <v>128</v>
      </c>
      <c r="C2478" s="11" t="n">
        <v>19</v>
      </c>
      <c r="D2478" s="11" t="s">
        <v>174</v>
      </c>
      <c r="E2478" s="11" t="s">
        <v>175</v>
      </c>
      <c r="F2478" s="11" t="s">
        <v>83</v>
      </c>
      <c r="G2478" s="12" t="n">
        <v>300</v>
      </c>
      <c r="H2478" s="12" t="n">
        <f aca="false">SUMPRODUCT(ПОТОКИ!B16:G16,ЧАСОВЫЕ_ПРОФИЛИ!B15:G15,КОЭФФИЦИЕНТЫ_ВЫБОРА!F29:K29)</f>
        <v>0.582</v>
      </c>
      <c r="I2478" s="12" t="n">
        <f aca="false">SUMPRODUCT(ПОТОКИ!B16:G16,ЧАСОВЫЕ_ПРОФИЛИ!B15:G15,КОЭФФИЦИЕНТЫ_ВЫБОРА!F29:K29,ПАРАМЕТРЫ!$B$17:$G$17)</f>
        <v>0.6402</v>
      </c>
      <c r="J2478" s="12" t="n">
        <f aca="false">I2478*G2478/1000</f>
        <v>0.19206</v>
      </c>
      <c r="K2478" s="11" t="s">
        <v>217</v>
      </c>
      <c r="L2478" s="11" t="s">
        <v>19</v>
      </c>
      <c r="M2478" s="11" t="s">
        <v>145</v>
      </c>
    </row>
    <row r="2479" customFormat="false" ht="15" hidden="false" customHeight="false" outlineLevel="0" collapsed="false">
      <c r="A2479" s="11" t="s">
        <v>112</v>
      </c>
      <c r="B2479" s="11" t="s">
        <v>128</v>
      </c>
      <c r="C2479" s="11" t="n">
        <v>20</v>
      </c>
      <c r="D2479" s="11" t="s">
        <v>174</v>
      </c>
      <c r="E2479" s="11" t="s">
        <v>176</v>
      </c>
      <c r="F2479" s="11" t="s">
        <v>83</v>
      </c>
      <c r="G2479" s="12" t="n">
        <v>360</v>
      </c>
      <c r="H2479" s="12" t="n">
        <f aca="false">SUMPRODUCT(ПОТОКИ!B16:G16,ЧАСОВЫЕ_ПРОФИЛИ!B15:G15,КОЭФФИЦИЕНТЫ_ВЫБОРА!F30:K30)</f>
        <v>0.552</v>
      </c>
      <c r="I2479" s="12" t="n">
        <f aca="false">SUMPRODUCT(ПОТОКИ!B16:G16,ЧАСОВЫЕ_ПРОФИЛИ!B15:G15,КОЭФФИЦИЕНТЫ_ВЫБОРА!F30:K30,ПАРАМЕТРЫ!$B$17:$G$17)</f>
        <v>0.6072</v>
      </c>
      <c r="J2479" s="12" t="n">
        <f aca="false">I2479*G2479/1000</f>
        <v>0.218592</v>
      </c>
      <c r="K2479" s="11" t="s">
        <v>217</v>
      </c>
      <c r="L2479" s="11" t="s">
        <v>19</v>
      </c>
      <c r="M2479" s="11" t="s">
        <v>145</v>
      </c>
    </row>
    <row r="2480" customFormat="false" ht="15" hidden="false" customHeight="false" outlineLevel="0" collapsed="false">
      <c r="A2480" s="11" t="s">
        <v>112</v>
      </c>
      <c r="B2480" s="11" t="s">
        <v>128</v>
      </c>
      <c r="C2480" s="11" t="n">
        <v>21</v>
      </c>
      <c r="D2480" s="11" t="s">
        <v>174</v>
      </c>
      <c r="E2480" s="11" t="s">
        <v>177</v>
      </c>
      <c r="F2480" s="11" t="s">
        <v>83</v>
      </c>
      <c r="G2480" s="12" t="n">
        <v>350</v>
      </c>
      <c r="H2480" s="12" t="n">
        <f aca="false">SUMPRODUCT(ПОТОКИ!B16:G16,ЧАСОВЫЕ_ПРОФИЛИ!B15:G15,КОЭФФИЦИЕНТЫ_ВЫБОРА!F31:K31)</f>
        <v>0.852</v>
      </c>
      <c r="I2480" s="12" t="n">
        <f aca="false">SUMPRODUCT(ПОТОКИ!B16:G16,ЧАСОВЫЕ_ПРОФИЛИ!B15:G15,КОЭФФИЦИЕНТЫ_ВЫБОРА!F31:K31,ПАРАМЕТРЫ!$B$17:$G$17)</f>
        <v>0.9372</v>
      </c>
      <c r="J2480" s="12" t="n">
        <f aca="false">I2480*G2480/1000</f>
        <v>0.32802</v>
      </c>
      <c r="K2480" s="11" t="s">
        <v>217</v>
      </c>
      <c r="L2480" s="11" t="s">
        <v>19</v>
      </c>
      <c r="M2480" s="11" t="s">
        <v>145</v>
      </c>
    </row>
    <row r="2481" customFormat="false" ht="15" hidden="false" customHeight="false" outlineLevel="0" collapsed="false">
      <c r="A2481" s="11" t="s">
        <v>112</v>
      </c>
      <c r="B2481" s="11" t="s">
        <v>128</v>
      </c>
      <c r="C2481" s="11" t="n">
        <v>22</v>
      </c>
      <c r="D2481" s="11" t="s">
        <v>174</v>
      </c>
      <c r="E2481" s="11" t="s">
        <v>178</v>
      </c>
      <c r="F2481" s="11" t="s">
        <v>83</v>
      </c>
      <c r="G2481" s="12" t="n">
        <v>300</v>
      </c>
      <c r="H2481" s="12" t="n">
        <f aca="false">SUMPRODUCT(ПОТОКИ!B16:G16,ЧАСОВЫЕ_ПРОФИЛИ!B15:G15,КОЭФФИЦИЕНТЫ_ВЫБОРА!F32:K32)</f>
        <v>0.534</v>
      </c>
      <c r="I2481" s="12" t="n">
        <f aca="false">SUMPRODUCT(ПОТОКИ!B16:G16,ЧАСОВЫЕ_ПРОФИЛИ!B15:G15,КОЭФФИЦИЕНТЫ_ВЫБОРА!F32:K32,ПАРАМЕТРЫ!$B$17:$G$17)</f>
        <v>0.5874</v>
      </c>
      <c r="J2481" s="12" t="n">
        <f aca="false">I2481*G2481/1000</f>
        <v>0.17622</v>
      </c>
      <c r="K2481" s="11" t="s">
        <v>217</v>
      </c>
      <c r="L2481" s="11" t="s">
        <v>19</v>
      </c>
      <c r="M2481" s="11" t="s">
        <v>145</v>
      </c>
    </row>
    <row r="2482" customFormat="false" ht="15" hidden="false" customHeight="false" outlineLevel="0" collapsed="false">
      <c r="A2482" s="11" t="s">
        <v>112</v>
      </c>
      <c r="B2482" s="11" t="s">
        <v>128</v>
      </c>
      <c r="C2482" s="11" t="n">
        <v>23</v>
      </c>
      <c r="D2482" s="11" t="s">
        <v>86</v>
      </c>
      <c r="E2482" s="11" t="s">
        <v>179</v>
      </c>
      <c r="F2482" s="11" t="s">
        <v>85</v>
      </c>
      <c r="G2482" s="12" t="n">
        <v>150</v>
      </c>
      <c r="H2482" s="12" t="n">
        <f aca="false">SUMPRODUCT(ПОТОКИ!B16:G16,ЧАСОВЫЕ_ПРОФИЛИ!B15:G15,КОЭФФИЦИЕНТЫ_ВЫБОРА!F33:K33)</f>
        <v>0.37608</v>
      </c>
      <c r="I2482" s="12" t="n">
        <f aca="false">SUMPRODUCT(ПОТОКИ!B16:G16,ЧАСОВЫЕ_ПРОФИЛИ!B15:G15,КОЭФФИЦИЕНТЫ_ВЫБОРА!F33:K33,ПАРАМЕТРЫ!$B$17:$G$17)</f>
        <v>0.413688</v>
      </c>
      <c r="J2482" s="12" t="n">
        <f aca="false">I2482*G2482/1000</f>
        <v>0.0620532</v>
      </c>
      <c r="K2482" s="11" t="s">
        <v>217</v>
      </c>
      <c r="L2482" s="11" t="s">
        <v>19</v>
      </c>
      <c r="M2482" s="11" t="s">
        <v>147</v>
      </c>
    </row>
    <row r="2483" customFormat="false" ht="15" hidden="false" customHeight="false" outlineLevel="0" collapsed="false">
      <c r="A2483" s="11" t="s">
        <v>112</v>
      </c>
      <c r="B2483" s="11" t="s">
        <v>128</v>
      </c>
      <c r="C2483" s="11" t="n">
        <v>24</v>
      </c>
      <c r="D2483" s="11" t="s">
        <v>86</v>
      </c>
      <c r="E2483" s="11" t="s">
        <v>180</v>
      </c>
      <c r="F2483" s="11" t="s">
        <v>85</v>
      </c>
      <c r="G2483" s="12" t="n">
        <v>150</v>
      </c>
      <c r="H2483" s="12" t="n">
        <f aca="false">SUMPRODUCT(ПОТОКИ!B16:G16,ЧАСОВЫЕ_ПРОФИЛИ!B15:G15,КОЭФФИЦИЕНТЫ_ВЫБОРА!F34:K34)</f>
        <v>0.18804</v>
      </c>
      <c r="I2483" s="12" t="n">
        <f aca="false">SUMPRODUCT(ПОТОКИ!B16:G16,ЧАСОВЫЕ_ПРОФИЛИ!B15:G15,КОЭФФИЦИЕНТЫ_ВЫБОРА!F34:K34,ПАРАМЕТРЫ!$B$17:$G$17)</f>
        <v>0.206844</v>
      </c>
      <c r="J2483" s="12" t="n">
        <f aca="false">I2483*G2483/1000</f>
        <v>0.0310266</v>
      </c>
      <c r="K2483" s="11" t="s">
        <v>217</v>
      </c>
      <c r="L2483" s="11" t="s">
        <v>19</v>
      </c>
      <c r="M2483" s="11" t="s">
        <v>147</v>
      </c>
    </row>
    <row r="2484" customFormat="false" ht="15" hidden="false" customHeight="false" outlineLevel="0" collapsed="false">
      <c r="A2484" s="11" t="s">
        <v>112</v>
      </c>
      <c r="B2484" s="11" t="s">
        <v>128</v>
      </c>
      <c r="C2484" s="11" t="n">
        <v>25</v>
      </c>
      <c r="D2484" s="11" t="s">
        <v>86</v>
      </c>
      <c r="E2484" s="11" t="s">
        <v>181</v>
      </c>
      <c r="F2484" s="11" t="s">
        <v>85</v>
      </c>
      <c r="G2484" s="12" t="n">
        <v>150</v>
      </c>
      <c r="H2484" s="12" t="n">
        <f aca="false">SUMPRODUCT(ПОТОКИ!B16:G16,ЧАСОВЫЕ_ПРОФИЛИ!B15:G15,КОЭФФИЦИЕНТЫ_ВЫБОРА!F35:K35)</f>
        <v>0.37608</v>
      </c>
      <c r="I2484" s="12" t="n">
        <f aca="false">SUMPRODUCT(ПОТОКИ!B16:G16,ЧАСОВЫЕ_ПРОФИЛИ!B15:G15,КОЭФФИЦИЕНТЫ_ВЫБОРА!F35:K35,ПАРАМЕТРЫ!$B$17:$G$17)</f>
        <v>0.413688</v>
      </c>
      <c r="J2484" s="12" t="n">
        <f aca="false">I2484*G2484/1000</f>
        <v>0.0620532</v>
      </c>
      <c r="K2484" s="11" t="s">
        <v>217</v>
      </c>
      <c r="L2484" s="11" t="s">
        <v>19</v>
      </c>
      <c r="M2484" s="11" t="s">
        <v>147</v>
      </c>
    </row>
    <row r="2485" customFormat="false" ht="23.85" hidden="false" customHeight="false" outlineLevel="0" collapsed="false">
      <c r="A2485" s="11" t="s">
        <v>112</v>
      </c>
      <c r="B2485" s="11" t="s">
        <v>128</v>
      </c>
      <c r="C2485" s="11" t="n">
        <v>26</v>
      </c>
      <c r="D2485" s="11" t="s">
        <v>89</v>
      </c>
      <c r="E2485" s="11" t="s">
        <v>182</v>
      </c>
      <c r="F2485" s="11" t="s">
        <v>88</v>
      </c>
      <c r="G2485" s="12" t="n">
        <v>225</v>
      </c>
      <c r="H2485" s="12" t="n">
        <f aca="false">SUMPRODUCT(ПОТОКИ!B16:G16,ЧАСОВЫЕ_ПРОФИЛИ!B15:G15,КОЭФФИЦИЕНТЫ_ВЫБОРА!F36:K36)</f>
        <v>0.4125</v>
      </c>
      <c r="I2485" s="12" t="n">
        <f aca="false">SUMPRODUCT(ПОТОКИ!B16:G16,ЧАСОВЫЕ_ПРОФИЛИ!B15:G15,КОЭФФИЦИЕНТЫ_ВЫБОРА!F36:K36,ПАРАМЕТРЫ!$B$17:$G$17)</f>
        <v>0.4125</v>
      </c>
      <c r="J2485" s="12" t="n">
        <f aca="false">I2485*G2485/1000</f>
        <v>0.0928125</v>
      </c>
      <c r="K2485" s="11" t="s">
        <v>217</v>
      </c>
      <c r="L2485" s="11" t="s">
        <v>19</v>
      </c>
      <c r="M2485" s="11" t="s">
        <v>145</v>
      </c>
    </row>
    <row r="2486" customFormat="false" ht="23.85" hidden="false" customHeight="false" outlineLevel="0" collapsed="false">
      <c r="A2486" s="11" t="s">
        <v>112</v>
      </c>
      <c r="B2486" s="11" t="s">
        <v>128</v>
      </c>
      <c r="C2486" s="11" t="n">
        <v>27</v>
      </c>
      <c r="D2486" s="11" t="s">
        <v>89</v>
      </c>
      <c r="E2486" s="11" t="s">
        <v>183</v>
      </c>
      <c r="F2486" s="11" t="s">
        <v>88</v>
      </c>
      <c r="G2486" s="12" t="n">
        <v>265</v>
      </c>
      <c r="H2486" s="12" t="n">
        <f aca="false">SUMPRODUCT(ПОТОКИ!B16:G16,ЧАСОВЫЕ_ПРОФИЛИ!B15:G15,КОЭФФИЦИЕНТЫ_ВЫБОРА!F37:K37)</f>
        <v>0.4125</v>
      </c>
      <c r="I2486" s="12" t="n">
        <f aca="false">SUMPRODUCT(ПОТОКИ!B16:G16,ЧАСОВЫЕ_ПРОФИЛИ!B15:G15,КОЭФФИЦИЕНТЫ_ВЫБОРА!F37:K37,ПАРАМЕТРЫ!$B$17:$G$17)</f>
        <v>0.4125</v>
      </c>
      <c r="J2486" s="12" t="n">
        <f aca="false">I2486*G2486/1000</f>
        <v>0.1093125</v>
      </c>
      <c r="K2486" s="11" t="s">
        <v>217</v>
      </c>
      <c r="L2486" s="11" t="s">
        <v>19</v>
      </c>
      <c r="M2486" s="11" t="s">
        <v>145</v>
      </c>
    </row>
    <row r="2487" customFormat="false" ht="23.85" hidden="false" customHeight="false" outlineLevel="0" collapsed="false">
      <c r="A2487" s="11" t="s">
        <v>112</v>
      </c>
      <c r="B2487" s="11" t="s">
        <v>128</v>
      </c>
      <c r="C2487" s="11" t="n">
        <v>28</v>
      </c>
      <c r="D2487" s="11" t="s">
        <v>89</v>
      </c>
      <c r="E2487" s="11" t="s">
        <v>184</v>
      </c>
      <c r="F2487" s="11" t="s">
        <v>88</v>
      </c>
      <c r="G2487" s="12" t="n">
        <v>355</v>
      </c>
      <c r="H2487" s="12" t="n">
        <f aca="false">SUMPRODUCT(ПОТОКИ!B16:G16,ЧАСОВЫЕ_ПРОФИЛИ!B15:G15,КОЭФФИЦИЕНТЫ_ВЫБОРА!F38:K38)</f>
        <v>0.275</v>
      </c>
      <c r="I2487" s="12" t="n">
        <f aca="false">SUMPRODUCT(ПОТОКИ!B16:G16,ЧАСОВЫЕ_ПРОФИЛИ!B15:G15,КОЭФФИЦИЕНТЫ_ВЫБОРА!F38:K38,ПАРАМЕТРЫ!$B$17:$G$17)</f>
        <v>0.275</v>
      </c>
      <c r="J2487" s="12" t="n">
        <f aca="false">I2487*G2487/1000</f>
        <v>0.097625</v>
      </c>
      <c r="K2487" s="11" t="s">
        <v>217</v>
      </c>
      <c r="L2487" s="11" t="s">
        <v>19</v>
      </c>
      <c r="M2487" s="11" t="s">
        <v>145</v>
      </c>
    </row>
    <row r="2488" customFormat="false" ht="15" hidden="false" customHeight="false" outlineLevel="0" collapsed="false">
      <c r="A2488" s="11" t="s">
        <v>112</v>
      </c>
      <c r="B2488" s="11" t="s">
        <v>128</v>
      </c>
      <c r="C2488" s="11" t="n">
        <v>29</v>
      </c>
      <c r="D2488" s="11" t="s">
        <v>92</v>
      </c>
      <c r="E2488" s="11" t="s">
        <v>185</v>
      </c>
      <c r="F2488" s="11" t="s">
        <v>91</v>
      </c>
      <c r="G2488" s="12" t="n">
        <v>150</v>
      </c>
      <c r="H2488" s="12" t="n">
        <f aca="false">SUMPRODUCT(ПОТОКИ!B16:G16,ЧАСОВЫЕ_ПРОФИЛИ!B15:G15,КОЭФФИЦИЕНТЫ_ВЫБОРА!F39:K39)</f>
        <v>0.288</v>
      </c>
      <c r="I2488" s="12" t="n">
        <f aca="false">SUMPRODUCT(ПОТОКИ!B16:G16,ЧАСОВЫЕ_ПРОФИЛИ!B15:G15,КОЭФФИЦИЕНТЫ_ВЫБОРА!F39:K39,ПАРАМЕТРЫ!$B$17:$G$17)</f>
        <v>0.3168</v>
      </c>
      <c r="J2488" s="12" t="n">
        <f aca="false">I2488*G2488/1000</f>
        <v>0.04752</v>
      </c>
      <c r="K2488" s="11" t="s">
        <v>217</v>
      </c>
      <c r="L2488" s="11" t="s">
        <v>19</v>
      </c>
      <c r="M2488" s="11" t="s">
        <v>145</v>
      </c>
    </row>
    <row r="2489" customFormat="false" ht="15" hidden="false" customHeight="false" outlineLevel="0" collapsed="false">
      <c r="A2489" s="11" t="s">
        <v>112</v>
      </c>
      <c r="B2489" s="11" t="s">
        <v>128</v>
      </c>
      <c r="C2489" s="11" t="n">
        <v>30</v>
      </c>
      <c r="D2489" s="11" t="s">
        <v>92</v>
      </c>
      <c r="E2489" s="11" t="s">
        <v>186</v>
      </c>
      <c r="F2489" s="11" t="s">
        <v>91</v>
      </c>
      <c r="G2489" s="12" t="n">
        <v>120</v>
      </c>
      <c r="H2489" s="12" t="n">
        <f aca="false">SUMPRODUCT(ПОТОКИ!B16:G16,ЧАСОВЫЕ_ПРОФИЛИ!B15:G15,КОЭФФИЦИЕНТЫ_ВЫБОРА!F40:K40)</f>
        <v>0.288</v>
      </c>
      <c r="I2489" s="12" t="n">
        <f aca="false">SUMPRODUCT(ПОТОКИ!B16:G16,ЧАСОВЫЕ_ПРОФИЛИ!B15:G15,КОЭФФИЦИЕНТЫ_ВЫБОРА!F40:K40,ПАРАМЕТРЫ!$B$17:$G$17)</f>
        <v>0.3168</v>
      </c>
      <c r="J2489" s="12" t="n">
        <f aca="false">I2489*G2489/1000</f>
        <v>0.038016</v>
      </c>
      <c r="K2489" s="11" t="s">
        <v>217</v>
      </c>
      <c r="L2489" s="11" t="s">
        <v>19</v>
      </c>
      <c r="M2489" s="11" t="s">
        <v>145</v>
      </c>
    </row>
    <row r="2490" customFormat="false" ht="15" hidden="false" customHeight="false" outlineLevel="0" collapsed="false">
      <c r="A2490" s="11" t="s">
        <v>112</v>
      </c>
      <c r="B2490" s="11" t="s">
        <v>128</v>
      </c>
      <c r="C2490" s="11" t="n">
        <v>31</v>
      </c>
      <c r="D2490" s="11" t="s">
        <v>92</v>
      </c>
      <c r="E2490" s="11" t="s">
        <v>187</v>
      </c>
      <c r="F2490" s="11" t="s">
        <v>91</v>
      </c>
      <c r="G2490" s="12" t="n">
        <v>60</v>
      </c>
      <c r="H2490" s="12" t="n">
        <f aca="false">SUMPRODUCT(ПОТОКИ!B16:G16,ЧАСОВЫЕ_ПРОФИЛИ!B15:G15,КОЭФФИЦИЕНТЫ_ВЫБОРА!F41:K41)</f>
        <v>0.264</v>
      </c>
      <c r="I2490" s="12" t="n">
        <f aca="false">SUMPRODUCT(ПОТОКИ!B16:G16,ЧАСОВЫЕ_ПРОФИЛИ!B15:G15,КОЭФФИЦИЕНТЫ_ВЫБОРА!F41:K41,ПАРАМЕТРЫ!$B$17:$G$17)</f>
        <v>0.2904</v>
      </c>
      <c r="J2490" s="12" t="n">
        <f aca="false">I2490*G2490/1000</f>
        <v>0.017424</v>
      </c>
      <c r="K2490" s="11" t="s">
        <v>217</v>
      </c>
      <c r="L2490" s="11" t="s">
        <v>19</v>
      </c>
      <c r="M2490" s="11" t="s">
        <v>145</v>
      </c>
    </row>
    <row r="2491" customFormat="false" ht="15" hidden="false" customHeight="false" outlineLevel="0" collapsed="false">
      <c r="A2491" s="11" t="s">
        <v>112</v>
      </c>
      <c r="B2491" s="11" t="s">
        <v>129</v>
      </c>
      <c r="C2491" s="11" t="n">
        <v>1</v>
      </c>
      <c r="D2491" s="11" t="s">
        <v>74</v>
      </c>
      <c r="E2491" s="11" t="s">
        <v>153</v>
      </c>
      <c r="F2491" s="11" t="s">
        <v>73</v>
      </c>
      <c r="G2491" s="12" t="n">
        <v>450</v>
      </c>
      <c r="H2491" s="12" t="n">
        <f aca="false">SUMPRODUCT(ПОТОКИ!B16:G16,ЧАСОВЫЕ_ПРОФИЛИ!B16:G16,КОЭФФИЦИЕНТЫ_ВЫБОРА!F11:K11)</f>
        <v>0.462</v>
      </c>
      <c r="I2491" s="12" t="n">
        <f aca="false">SUMPRODUCT(ПОТОКИ!B16:G16,ЧАСОВЫЕ_ПРОФИЛИ!B16:G16,КОЭФФИЦИЕНТЫ_ВЫБОРА!F11:K11,ПАРАМЕТРЫ!$B$17:$G$17)</f>
        <v>0.5082</v>
      </c>
      <c r="J2491" s="12" t="n">
        <f aca="false">I2491*G2491/1000</f>
        <v>0.22869</v>
      </c>
      <c r="K2491" s="11" t="s">
        <v>217</v>
      </c>
      <c r="L2491" s="11" t="s">
        <v>19</v>
      </c>
      <c r="M2491" s="11" t="s">
        <v>145</v>
      </c>
    </row>
    <row r="2492" customFormat="false" ht="15" hidden="false" customHeight="false" outlineLevel="0" collapsed="false">
      <c r="A2492" s="11" t="s">
        <v>112</v>
      </c>
      <c r="B2492" s="11" t="s">
        <v>129</v>
      </c>
      <c r="C2492" s="11" t="n">
        <v>2</v>
      </c>
      <c r="D2492" s="11" t="s">
        <v>74</v>
      </c>
      <c r="E2492" s="11" t="s">
        <v>154</v>
      </c>
      <c r="F2492" s="11" t="s">
        <v>73</v>
      </c>
      <c r="G2492" s="12" t="n">
        <v>480</v>
      </c>
      <c r="H2492" s="12" t="n">
        <f aca="false">SUMPRODUCT(ПОТОКИ!B16:G16,ЧАСОВЫЕ_ПРОФИЛИ!B16:G16,КОЭФФИЦИЕНТЫ_ВЫБОРА!F12:K12)</f>
        <v>0.796</v>
      </c>
      <c r="I2492" s="12" t="n">
        <f aca="false">SUMPRODUCT(ПОТОКИ!B16:G16,ЧАСОВЫЕ_ПРОФИЛИ!B16:G16,КОЭФФИЦИЕНТЫ_ВЫБОРА!F12:K12,ПАРАМЕТРЫ!$B$17:$G$17)</f>
        <v>0.8756</v>
      </c>
      <c r="J2492" s="12" t="n">
        <f aca="false">I2492*G2492/1000</f>
        <v>0.420288</v>
      </c>
      <c r="K2492" s="11" t="s">
        <v>217</v>
      </c>
      <c r="L2492" s="11" t="s">
        <v>19</v>
      </c>
      <c r="M2492" s="11" t="s">
        <v>145</v>
      </c>
    </row>
    <row r="2493" customFormat="false" ht="15" hidden="false" customHeight="false" outlineLevel="0" collapsed="false">
      <c r="A2493" s="11" t="s">
        <v>112</v>
      </c>
      <c r="B2493" s="11" t="s">
        <v>129</v>
      </c>
      <c r="C2493" s="11" t="n">
        <v>3</v>
      </c>
      <c r="D2493" s="11" t="s">
        <v>74</v>
      </c>
      <c r="E2493" s="11" t="s">
        <v>155</v>
      </c>
      <c r="F2493" s="11" t="s">
        <v>73</v>
      </c>
      <c r="G2493" s="12" t="n">
        <v>500</v>
      </c>
      <c r="H2493" s="12" t="n">
        <f aca="false">SUMPRODUCT(ПОТОКИ!B16:G16,ЧАСОВЫЕ_ПРОФИЛИ!B16:G16,КОЭФФИЦИЕНТЫ_ВЫБОРА!F13:K13)</f>
        <v>1.194</v>
      </c>
      <c r="I2493" s="12" t="n">
        <f aca="false">SUMPRODUCT(ПОТОКИ!B16:G16,ЧАСОВЫЕ_ПРОФИЛИ!B16:G16,КОЭФФИЦИЕНТЫ_ВЫБОРА!F13:K13,ПАРАМЕТРЫ!$B$17:$G$17)</f>
        <v>1.3134</v>
      </c>
      <c r="J2493" s="12" t="n">
        <f aca="false">I2493*G2493/1000</f>
        <v>0.6567</v>
      </c>
      <c r="K2493" s="11" t="s">
        <v>217</v>
      </c>
      <c r="L2493" s="11" t="s">
        <v>19</v>
      </c>
      <c r="M2493" s="11" t="s">
        <v>145</v>
      </c>
    </row>
    <row r="2494" customFormat="false" ht="15" hidden="false" customHeight="false" outlineLevel="0" collapsed="false">
      <c r="A2494" s="11" t="s">
        <v>112</v>
      </c>
      <c r="B2494" s="11" t="s">
        <v>129</v>
      </c>
      <c r="C2494" s="11" t="n">
        <v>4</v>
      </c>
      <c r="D2494" s="11" t="s">
        <v>74</v>
      </c>
      <c r="E2494" s="11" t="s">
        <v>156</v>
      </c>
      <c r="F2494" s="11" t="s">
        <v>73</v>
      </c>
      <c r="G2494" s="12" t="n">
        <v>500</v>
      </c>
      <c r="H2494" s="12" t="n">
        <f aca="false">SUMPRODUCT(ПОТОКИ!B16:G16,ЧАСОВЫЕ_ПРОФИЛИ!B16:G16,КОЭФФИЦИЕНТЫ_ВЫБОРА!F14:K14)</f>
        <v>1.528</v>
      </c>
      <c r="I2494" s="12" t="n">
        <f aca="false">SUMPRODUCT(ПОТОКИ!B16:G16,ЧАСОВЫЕ_ПРОФИЛИ!B16:G16,КОЭФФИЦИЕНТЫ_ВЫБОРА!F14:K14,ПАРАМЕТРЫ!$B$17:$G$17)</f>
        <v>1.6808</v>
      </c>
      <c r="J2494" s="12" t="n">
        <f aca="false">I2494*G2494/1000</f>
        <v>0.8404</v>
      </c>
      <c r="K2494" s="11" t="s">
        <v>217</v>
      </c>
      <c r="L2494" s="11" t="s">
        <v>19</v>
      </c>
      <c r="M2494" s="11" t="s">
        <v>145</v>
      </c>
    </row>
    <row r="2495" customFormat="false" ht="15" hidden="false" customHeight="false" outlineLevel="0" collapsed="false">
      <c r="A2495" s="11" t="s">
        <v>112</v>
      </c>
      <c r="B2495" s="11" t="s">
        <v>129</v>
      </c>
      <c r="C2495" s="11" t="n">
        <v>5</v>
      </c>
      <c r="D2495" s="11" t="s">
        <v>78</v>
      </c>
      <c r="E2495" s="11" t="s">
        <v>157</v>
      </c>
      <c r="F2495" s="11" t="s">
        <v>77</v>
      </c>
      <c r="G2495" s="12" t="n">
        <v>100</v>
      </c>
      <c r="H2495" s="12" t="n">
        <f aca="false">SUMPRODUCT(ПОТОКИ!B16:G16,ЧАСОВЫЕ_ПРОФИЛИ!B16:G16,КОЭФФИЦИЕНТЫ_ВЫБОРА!F15:K15)</f>
        <v>0.634</v>
      </c>
      <c r="I2495" s="12" t="n">
        <f aca="false">SUMPRODUCT(ПОТОКИ!B16:G16,ЧАСОВЫЕ_ПРОФИЛИ!B16:G16,КОЭФФИЦИЕНТЫ_ВЫБОРА!F15:K15,ПАРАМЕТРЫ!$B$17:$G$17)</f>
        <v>0.6974</v>
      </c>
      <c r="J2495" s="12" t="n">
        <f aca="false">I2495*G2495/1000</f>
        <v>0.06974</v>
      </c>
      <c r="K2495" s="11" t="s">
        <v>217</v>
      </c>
      <c r="L2495" s="11" t="s">
        <v>19</v>
      </c>
      <c r="M2495" s="11" t="s">
        <v>147</v>
      </c>
    </row>
    <row r="2496" customFormat="false" ht="15" hidden="false" customHeight="false" outlineLevel="0" collapsed="false">
      <c r="A2496" s="11" t="s">
        <v>112</v>
      </c>
      <c r="B2496" s="11" t="s">
        <v>129</v>
      </c>
      <c r="C2496" s="11" t="n">
        <v>6</v>
      </c>
      <c r="D2496" s="11" t="s">
        <v>78</v>
      </c>
      <c r="E2496" s="11" t="s">
        <v>158</v>
      </c>
      <c r="F2496" s="11" t="s">
        <v>77</v>
      </c>
      <c r="G2496" s="12" t="n">
        <v>100</v>
      </c>
      <c r="H2496" s="12" t="n">
        <f aca="false">SUMPRODUCT(ПОТОКИ!B16:G16,ЧАСОВЫЕ_ПРОФИЛИ!B16:G16,КОЭФФИЦИЕНТЫ_ВЫБОРА!F16:K16)</f>
        <v>0.57</v>
      </c>
      <c r="I2496" s="12" t="n">
        <f aca="false">SUMPRODUCT(ПОТОКИ!B16:G16,ЧАСОВЫЕ_ПРОФИЛИ!B16:G16,КОЭФФИЦИЕНТЫ_ВЫБОРА!F16:K16,ПАРАМЕТРЫ!$B$17:$G$17)</f>
        <v>0.627</v>
      </c>
      <c r="J2496" s="12" t="n">
        <f aca="false">I2496*G2496/1000</f>
        <v>0.0627</v>
      </c>
      <c r="K2496" s="11" t="s">
        <v>217</v>
      </c>
      <c r="L2496" s="11" t="s">
        <v>19</v>
      </c>
      <c r="M2496" s="11" t="s">
        <v>147</v>
      </c>
    </row>
    <row r="2497" customFormat="false" ht="15" hidden="false" customHeight="false" outlineLevel="0" collapsed="false">
      <c r="A2497" s="11" t="s">
        <v>112</v>
      </c>
      <c r="B2497" s="11" t="s">
        <v>129</v>
      </c>
      <c r="C2497" s="11" t="n">
        <v>7</v>
      </c>
      <c r="D2497" s="11" t="s">
        <v>78</v>
      </c>
      <c r="E2497" s="11" t="s">
        <v>159</v>
      </c>
      <c r="F2497" s="11" t="s">
        <v>77</v>
      </c>
      <c r="G2497" s="12" t="n">
        <v>350</v>
      </c>
      <c r="H2497" s="12" t="n">
        <f aca="false">SUMPRODUCT(ПОТОКИ!B16:G16,ЧАСОВЫЕ_ПРОФИЛИ!B16:G16,КОЭФФИЦИЕНТЫ_ВЫБОРА!F17:K17)</f>
        <v>0.507</v>
      </c>
      <c r="I2497" s="12" t="n">
        <f aca="false">SUMPRODUCT(ПОТОКИ!B16:G16,ЧАСОВЫЕ_ПРОФИЛИ!B16:G16,КОЭФФИЦИЕНТЫ_ВЫБОРА!F17:K17,ПАРАМЕТРЫ!$B$17:$G$17)</f>
        <v>0.5577</v>
      </c>
      <c r="J2497" s="12" t="n">
        <f aca="false">I2497*G2497/1000</f>
        <v>0.195195</v>
      </c>
      <c r="K2497" s="11" t="s">
        <v>217</v>
      </c>
      <c r="L2497" s="11" t="s">
        <v>19</v>
      </c>
      <c r="M2497" s="11" t="s">
        <v>147</v>
      </c>
    </row>
    <row r="2498" customFormat="false" ht="15" hidden="false" customHeight="false" outlineLevel="0" collapsed="false">
      <c r="A2498" s="11" t="s">
        <v>112</v>
      </c>
      <c r="B2498" s="11" t="s">
        <v>129</v>
      </c>
      <c r="C2498" s="11" t="n">
        <v>8</v>
      </c>
      <c r="D2498" s="11" t="s">
        <v>78</v>
      </c>
      <c r="E2498" s="11" t="s">
        <v>160</v>
      </c>
      <c r="F2498" s="11" t="s">
        <v>77</v>
      </c>
      <c r="G2498" s="12" t="n">
        <v>85</v>
      </c>
      <c r="H2498" s="12" t="n">
        <f aca="false">SUMPRODUCT(ПОТОКИ!B16:G16,ЧАСОВЫЕ_ПРОФИЛИ!B16:G16,КОЭФФИЦИЕНТЫ_ВЫБОРА!F18:K18)</f>
        <v>0.317</v>
      </c>
      <c r="I2498" s="12" t="n">
        <f aca="false">SUMPRODUCT(ПОТОКИ!B16:G16,ЧАСОВЫЕ_ПРОФИЛИ!B16:G16,КОЭФФИЦИЕНТЫ_ВЫБОРА!F18:K18,ПАРАМЕТРЫ!$B$17:$G$17)</f>
        <v>0.3487</v>
      </c>
      <c r="J2498" s="12" t="n">
        <f aca="false">I2498*G2498/1000</f>
        <v>0.0296395</v>
      </c>
      <c r="K2498" s="11" t="s">
        <v>217</v>
      </c>
      <c r="L2498" s="11" t="s">
        <v>19</v>
      </c>
      <c r="M2498" s="11" t="s">
        <v>147</v>
      </c>
    </row>
    <row r="2499" customFormat="false" ht="15" hidden="false" customHeight="false" outlineLevel="0" collapsed="false">
      <c r="A2499" s="11" t="s">
        <v>112</v>
      </c>
      <c r="B2499" s="11" t="s">
        <v>129</v>
      </c>
      <c r="C2499" s="11" t="n">
        <v>9</v>
      </c>
      <c r="D2499" s="11" t="s">
        <v>161</v>
      </c>
      <c r="E2499" s="11" t="s">
        <v>162</v>
      </c>
      <c r="F2499" s="11" t="s">
        <v>80</v>
      </c>
      <c r="G2499" s="12" t="n">
        <v>300</v>
      </c>
      <c r="H2499" s="12" t="n">
        <f aca="false">SUMPRODUCT(ПОТОКИ!B16:G16,ЧАСОВЫЕ_ПРОФИЛИ!B16:G16,КОЭФФИЦИЕНТЫ_ВЫБОРА!F19:K19)</f>
        <v>0.57</v>
      </c>
      <c r="I2499" s="12" t="n">
        <f aca="false">SUMPRODUCT(ПОТОКИ!B16:G16,ЧАСОВЫЕ_ПРОФИЛИ!B16:G16,КОЭФФИЦИЕНТЫ_ВЫБОРА!F19:K19,ПАРАМЕТРЫ!$B$17:$G$17)</f>
        <v>0.627</v>
      </c>
      <c r="J2499" s="12" t="n">
        <f aca="false">I2499*G2499/1000</f>
        <v>0.1881</v>
      </c>
      <c r="K2499" s="11" t="s">
        <v>217</v>
      </c>
      <c r="L2499" s="11" t="s">
        <v>19</v>
      </c>
      <c r="M2499" s="11" t="s">
        <v>145</v>
      </c>
    </row>
    <row r="2500" customFormat="false" ht="15" hidden="false" customHeight="false" outlineLevel="0" collapsed="false">
      <c r="A2500" s="11" t="s">
        <v>112</v>
      </c>
      <c r="B2500" s="11" t="s">
        <v>129</v>
      </c>
      <c r="C2500" s="11" t="n">
        <v>10</v>
      </c>
      <c r="D2500" s="11" t="s">
        <v>161</v>
      </c>
      <c r="E2500" s="11" t="s">
        <v>163</v>
      </c>
      <c r="F2500" s="11" t="s">
        <v>80</v>
      </c>
      <c r="G2500" s="12" t="n">
        <v>280</v>
      </c>
      <c r="H2500" s="12" t="n">
        <f aca="false">SUMPRODUCT(ПОТОКИ!B16:G16,ЧАСОВЫЕ_ПРОФИЛИ!B16:G16,КОЭФФИЦИЕНТЫ_ВЫБОРА!F20:K20)</f>
        <v>0.66</v>
      </c>
      <c r="I2500" s="12" t="n">
        <f aca="false">SUMPRODUCT(ПОТОКИ!B16:G16,ЧАСОВЫЕ_ПРОФИЛИ!B16:G16,КОЭФФИЦИЕНТЫ_ВЫБОРА!F20:K20,ПАРАМЕТРЫ!$B$17:$G$17)</f>
        <v>0.726</v>
      </c>
      <c r="J2500" s="12" t="n">
        <f aca="false">I2500*G2500/1000</f>
        <v>0.20328</v>
      </c>
      <c r="K2500" s="11" t="s">
        <v>217</v>
      </c>
      <c r="L2500" s="11" t="s">
        <v>19</v>
      </c>
      <c r="M2500" s="11" t="s">
        <v>145</v>
      </c>
    </row>
    <row r="2501" customFormat="false" ht="15" hidden="false" customHeight="false" outlineLevel="0" collapsed="false">
      <c r="A2501" s="11" t="s">
        <v>112</v>
      </c>
      <c r="B2501" s="11" t="s">
        <v>129</v>
      </c>
      <c r="C2501" s="11" t="n">
        <v>11</v>
      </c>
      <c r="D2501" s="11" t="s">
        <v>161</v>
      </c>
      <c r="E2501" s="11" t="s">
        <v>164</v>
      </c>
      <c r="F2501" s="11" t="s">
        <v>80</v>
      </c>
      <c r="G2501" s="12" t="n">
        <v>270</v>
      </c>
      <c r="H2501" s="12" t="n">
        <f aca="false">SUMPRODUCT(ПОТОКИ!B16:G16,ЧАСОВЫЕ_ПРОФИЛИ!B16:G16,КОЭФФИЦИЕНТЫ_ВЫБОРА!F21:K21)</f>
        <v>1.077</v>
      </c>
      <c r="I2501" s="12" t="n">
        <f aca="false">SUMPRODUCT(ПОТОКИ!B16:G16,ЧАСОВЫЕ_ПРОФИЛИ!B16:G16,КОЭФФИЦИЕНТЫ_ВЫБОРА!F21:K21,ПАРАМЕТРЫ!$B$17:$G$17)</f>
        <v>1.1847</v>
      </c>
      <c r="J2501" s="12" t="n">
        <f aca="false">I2501*G2501/1000</f>
        <v>0.319869</v>
      </c>
      <c r="K2501" s="11" t="s">
        <v>217</v>
      </c>
      <c r="L2501" s="11" t="s">
        <v>19</v>
      </c>
      <c r="M2501" s="11" t="s">
        <v>145</v>
      </c>
    </row>
    <row r="2502" customFormat="false" ht="15" hidden="false" customHeight="false" outlineLevel="0" collapsed="false">
      <c r="A2502" s="11" t="s">
        <v>112</v>
      </c>
      <c r="B2502" s="11" t="s">
        <v>129</v>
      </c>
      <c r="C2502" s="11" t="n">
        <v>12</v>
      </c>
      <c r="D2502" s="11" t="s">
        <v>161</v>
      </c>
      <c r="E2502" s="11" t="s">
        <v>165</v>
      </c>
      <c r="F2502" s="11" t="s">
        <v>80</v>
      </c>
      <c r="G2502" s="12" t="n">
        <v>240</v>
      </c>
      <c r="H2502" s="12" t="n">
        <f aca="false">SUMPRODUCT(ПОТОКИ!B16:G16,ЧАСОВЫЕ_ПРОФИЛИ!B16:G16,КОЭФФИЦИЕНТЫ_ВЫБОРА!F22:K22)</f>
        <v>0.513</v>
      </c>
      <c r="I2502" s="12" t="n">
        <f aca="false">SUMPRODUCT(ПОТОКИ!B16:G16,ЧАСОВЫЕ_ПРОФИЛИ!B16:G16,КОЭФФИЦИЕНТЫ_ВЫБОРА!F22:K22,ПАРАМЕТРЫ!$B$17:$G$17)</f>
        <v>0.5643</v>
      </c>
      <c r="J2502" s="12" t="n">
        <f aca="false">I2502*G2502/1000</f>
        <v>0.135432</v>
      </c>
      <c r="K2502" s="11" t="s">
        <v>217</v>
      </c>
      <c r="L2502" s="11" t="s">
        <v>19</v>
      </c>
      <c r="M2502" s="11" t="s">
        <v>145</v>
      </c>
    </row>
    <row r="2503" customFormat="false" ht="15" hidden="false" customHeight="false" outlineLevel="0" collapsed="false">
      <c r="A2503" s="11" t="s">
        <v>112</v>
      </c>
      <c r="B2503" s="11" t="s">
        <v>129</v>
      </c>
      <c r="C2503" s="11" t="n">
        <v>13</v>
      </c>
      <c r="D2503" s="11" t="s">
        <v>166</v>
      </c>
      <c r="E2503" s="11" t="s">
        <v>167</v>
      </c>
      <c r="F2503" s="11" t="s">
        <v>80</v>
      </c>
      <c r="G2503" s="12" t="n">
        <v>130</v>
      </c>
      <c r="H2503" s="12" t="n">
        <f aca="false">SUMPRODUCT(ПОТОКИ!B16:G16,ЧАСОВЫЕ_ПРОФИЛИ!B16:G16,КОЭФФИЦИЕНТЫ_ВЫБОРА!F23:K23)</f>
        <v>0.32</v>
      </c>
      <c r="I2503" s="12" t="n">
        <f aca="false">SUMPRODUCT(ПОТОКИ!B16:G16,ЧАСОВЫЕ_ПРОФИЛИ!B16:G16,КОЭФФИЦИЕНТЫ_ВЫБОРА!F23:K23,ПАРАМЕТРЫ!$B$17:$G$17)</f>
        <v>0.352</v>
      </c>
      <c r="J2503" s="12" t="n">
        <f aca="false">I2503*G2503/1000</f>
        <v>0.04576</v>
      </c>
      <c r="K2503" s="11" t="s">
        <v>217</v>
      </c>
      <c r="L2503" s="11" t="s">
        <v>19</v>
      </c>
      <c r="M2503" s="11" t="s">
        <v>145</v>
      </c>
    </row>
    <row r="2504" customFormat="false" ht="15" hidden="false" customHeight="false" outlineLevel="0" collapsed="false">
      <c r="A2504" s="11" t="s">
        <v>112</v>
      </c>
      <c r="B2504" s="11" t="s">
        <v>129</v>
      </c>
      <c r="C2504" s="11" t="n">
        <v>14</v>
      </c>
      <c r="D2504" s="11" t="s">
        <v>166</v>
      </c>
      <c r="E2504" s="11" t="s">
        <v>168</v>
      </c>
      <c r="F2504" s="11" t="s">
        <v>80</v>
      </c>
      <c r="G2504" s="12" t="n">
        <v>250</v>
      </c>
      <c r="H2504" s="12" t="n">
        <f aca="false">SUMPRODUCT(ПОТОКИ!B16:G16,ЧАСОВЫЕ_ПРОФИЛИ!B16:G16,КОЭФФИЦИЕНТЫ_ВЫБОРА!F24:K24)</f>
        <v>0.192</v>
      </c>
      <c r="I2504" s="12" t="n">
        <f aca="false">SUMPRODUCT(ПОТОКИ!B16:G16,ЧАСОВЫЕ_ПРОФИЛИ!B16:G16,КОЭФФИЦИЕНТЫ_ВЫБОРА!F24:K24,ПАРАМЕТРЫ!$B$17:$G$17)</f>
        <v>0.2112</v>
      </c>
      <c r="J2504" s="12" t="n">
        <f aca="false">I2504*G2504/1000</f>
        <v>0.0528</v>
      </c>
      <c r="K2504" s="11" t="s">
        <v>217</v>
      </c>
      <c r="L2504" s="11" t="s">
        <v>19</v>
      </c>
      <c r="M2504" s="11" t="s">
        <v>145</v>
      </c>
    </row>
    <row r="2505" customFormat="false" ht="15" hidden="false" customHeight="false" outlineLevel="0" collapsed="false">
      <c r="A2505" s="11" t="s">
        <v>112</v>
      </c>
      <c r="B2505" s="11" t="s">
        <v>129</v>
      </c>
      <c r="C2505" s="11" t="n">
        <v>15</v>
      </c>
      <c r="D2505" s="11" t="s">
        <v>166</v>
      </c>
      <c r="E2505" s="11" t="s">
        <v>169</v>
      </c>
      <c r="F2505" s="11" t="s">
        <v>80</v>
      </c>
      <c r="G2505" s="12" t="n">
        <v>120</v>
      </c>
      <c r="H2505" s="12" t="n">
        <f aca="false">SUMPRODUCT(ПОТОКИ!B16:G16,ЧАСОВЫЕ_ПРОФИЛИ!B16:G16,КОЭФФИЦИЕНТЫ_ВЫБОРА!F25:K25)</f>
        <v>0.192</v>
      </c>
      <c r="I2505" s="12" t="n">
        <f aca="false">SUMPRODUCT(ПОТОКИ!B16:G16,ЧАСОВЫЕ_ПРОФИЛИ!B16:G16,КОЭФФИЦИЕНТЫ_ВЫБОРА!F25:K25,ПАРАМЕТРЫ!$B$17:$G$17)</f>
        <v>0.2112</v>
      </c>
      <c r="J2505" s="12" t="n">
        <f aca="false">I2505*G2505/1000</f>
        <v>0.025344</v>
      </c>
      <c r="K2505" s="11" t="s">
        <v>217</v>
      </c>
      <c r="L2505" s="11" t="s">
        <v>19</v>
      </c>
      <c r="M2505" s="11" t="s">
        <v>145</v>
      </c>
    </row>
    <row r="2506" customFormat="false" ht="15" hidden="false" customHeight="false" outlineLevel="0" collapsed="false">
      <c r="A2506" s="11" t="s">
        <v>112</v>
      </c>
      <c r="B2506" s="11" t="s">
        <v>129</v>
      </c>
      <c r="C2506" s="11" t="n">
        <v>16</v>
      </c>
      <c r="D2506" s="11" t="s">
        <v>166</v>
      </c>
      <c r="E2506" s="11" t="s">
        <v>170</v>
      </c>
      <c r="F2506" s="11" t="s">
        <v>80</v>
      </c>
      <c r="G2506" s="12" t="n">
        <v>180</v>
      </c>
      <c r="H2506" s="12" t="n">
        <f aca="false">SUMPRODUCT(ПОТОКИ!B16:G16,ЧАСОВЫЕ_ПРОФИЛИ!B16:G16,КОЭФФИЦИЕНТЫ_ВЫБОРА!F26:K26)</f>
        <v>0.256</v>
      </c>
      <c r="I2506" s="12" t="n">
        <f aca="false">SUMPRODUCT(ПОТОКИ!B16:G16,ЧАСОВЫЕ_ПРОФИЛИ!B16:G16,КОЭФФИЦИЕНТЫ_ВЫБОРА!F26:K26,ПАРАМЕТРЫ!$B$17:$G$17)</f>
        <v>0.2816</v>
      </c>
      <c r="J2506" s="12" t="n">
        <f aca="false">I2506*G2506/1000</f>
        <v>0.050688</v>
      </c>
      <c r="K2506" s="11" t="s">
        <v>217</v>
      </c>
      <c r="L2506" s="11" t="s">
        <v>19</v>
      </c>
      <c r="M2506" s="11" t="s">
        <v>145</v>
      </c>
    </row>
    <row r="2507" customFormat="false" ht="15" hidden="false" customHeight="false" outlineLevel="0" collapsed="false">
      <c r="A2507" s="11" t="s">
        <v>112</v>
      </c>
      <c r="B2507" s="11" t="s">
        <v>129</v>
      </c>
      <c r="C2507" s="11" t="n">
        <v>17</v>
      </c>
      <c r="D2507" s="11" t="s">
        <v>166</v>
      </c>
      <c r="E2507" s="11" t="s">
        <v>171</v>
      </c>
      <c r="F2507" s="11" t="s">
        <v>80</v>
      </c>
      <c r="G2507" s="12" t="n">
        <v>180</v>
      </c>
      <c r="H2507" s="12" t="n">
        <f aca="false">SUMPRODUCT(ПОТОКИ!B16:G16,ЧАСОВЫЕ_ПРОФИЛИ!B16:G16,КОЭФФИЦИЕНТЫ_ВЫБОРА!F27:K27)</f>
        <v>0.32</v>
      </c>
      <c r="I2507" s="12" t="n">
        <f aca="false">SUMPRODUCT(ПОТОКИ!B16:G16,ЧАСОВЫЕ_ПРОФИЛИ!B16:G16,КОЭФФИЦИЕНТЫ_ВЫБОРА!F27:K27,ПАРАМЕТРЫ!$B$17:$G$17)</f>
        <v>0.352</v>
      </c>
      <c r="J2507" s="12" t="n">
        <f aca="false">I2507*G2507/1000</f>
        <v>0.06336</v>
      </c>
      <c r="K2507" s="11" t="s">
        <v>217</v>
      </c>
      <c r="L2507" s="11" t="s">
        <v>19</v>
      </c>
      <c r="M2507" s="11" t="s">
        <v>145</v>
      </c>
    </row>
    <row r="2508" customFormat="false" ht="15" hidden="false" customHeight="false" outlineLevel="0" collapsed="false">
      <c r="A2508" s="11" t="s">
        <v>112</v>
      </c>
      <c r="B2508" s="11" t="s">
        <v>129</v>
      </c>
      <c r="C2508" s="11" t="n">
        <v>18</v>
      </c>
      <c r="D2508" s="11" t="s">
        <v>172</v>
      </c>
      <c r="E2508" s="11" t="s">
        <v>173</v>
      </c>
      <c r="F2508" s="11" t="s">
        <v>83</v>
      </c>
      <c r="G2508" s="12" t="n">
        <v>400</v>
      </c>
      <c r="H2508" s="12" t="n">
        <f aca="false">SUMPRODUCT(ПОТОКИ!B16:G16,ЧАСОВЫЕ_ПРОФИЛИ!B16:G16,КОЭФФИЦИЕНТЫ_ВЫБОРА!F28:K28)</f>
        <v>0.64</v>
      </c>
      <c r="I2508" s="12" t="n">
        <f aca="false">SUMPRODUCT(ПОТОКИ!B16:G16,ЧАСОВЫЕ_ПРОФИЛИ!B16:G16,КОЭФФИЦИЕНТЫ_ВЫБОРА!F28:K28,ПАРАМЕТРЫ!$B$17:$G$17)</f>
        <v>0.704</v>
      </c>
      <c r="J2508" s="12" t="n">
        <f aca="false">I2508*G2508/1000</f>
        <v>0.2816</v>
      </c>
      <c r="K2508" s="11" t="s">
        <v>217</v>
      </c>
      <c r="L2508" s="11" t="s">
        <v>19</v>
      </c>
      <c r="M2508" s="11" t="s">
        <v>145</v>
      </c>
    </row>
    <row r="2509" customFormat="false" ht="23.85" hidden="false" customHeight="false" outlineLevel="0" collapsed="false">
      <c r="A2509" s="11" t="s">
        <v>112</v>
      </c>
      <c r="B2509" s="11" t="s">
        <v>129</v>
      </c>
      <c r="C2509" s="11" t="n">
        <v>19</v>
      </c>
      <c r="D2509" s="11" t="s">
        <v>174</v>
      </c>
      <c r="E2509" s="11" t="s">
        <v>175</v>
      </c>
      <c r="F2509" s="11" t="s">
        <v>83</v>
      </c>
      <c r="G2509" s="12" t="n">
        <v>300</v>
      </c>
      <c r="H2509" s="12" t="n">
        <f aca="false">SUMPRODUCT(ПОТОКИ!B16:G16,ЧАСОВЫЕ_ПРОФИЛИ!B16:G16,КОЭФФИЦИЕНТЫ_ВЫБОРА!F29:K29)</f>
        <v>1.52</v>
      </c>
      <c r="I2509" s="12" t="n">
        <f aca="false">SUMPRODUCT(ПОТОКИ!B16:G16,ЧАСОВЫЕ_ПРОФИЛИ!B16:G16,КОЭФФИЦИЕНТЫ_ВЫБОРА!F29:K29,ПАРАМЕТРЫ!$B$17:$G$17)</f>
        <v>1.672</v>
      </c>
      <c r="J2509" s="12" t="n">
        <f aca="false">I2509*G2509/1000</f>
        <v>0.5016</v>
      </c>
      <c r="K2509" s="11" t="s">
        <v>217</v>
      </c>
      <c r="L2509" s="11" t="s">
        <v>19</v>
      </c>
      <c r="M2509" s="11" t="s">
        <v>145</v>
      </c>
    </row>
    <row r="2510" customFormat="false" ht="15" hidden="false" customHeight="false" outlineLevel="0" collapsed="false">
      <c r="A2510" s="11" t="s">
        <v>112</v>
      </c>
      <c r="B2510" s="11" t="s">
        <v>129</v>
      </c>
      <c r="C2510" s="11" t="n">
        <v>20</v>
      </c>
      <c r="D2510" s="11" t="s">
        <v>174</v>
      </c>
      <c r="E2510" s="11" t="s">
        <v>176</v>
      </c>
      <c r="F2510" s="11" t="s">
        <v>83</v>
      </c>
      <c r="G2510" s="12" t="n">
        <v>360</v>
      </c>
      <c r="H2510" s="12" t="n">
        <f aca="false">SUMPRODUCT(ПОТОКИ!B16:G16,ЧАСОВЫЕ_ПРОФИЛИ!B16:G16,КОЭФФИЦИЕНТЫ_ВЫБОРА!F30:K30)</f>
        <v>1.432</v>
      </c>
      <c r="I2510" s="12" t="n">
        <f aca="false">SUMPRODUCT(ПОТОКИ!B16:G16,ЧАСОВЫЕ_ПРОФИЛИ!B16:G16,КОЭФФИЦИЕНТЫ_ВЫБОРА!F30:K30,ПАРАМЕТРЫ!$B$17:$G$17)</f>
        <v>1.5752</v>
      </c>
      <c r="J2510" s="12" t="n">
        <f aca="false">I2510*G2510/1000</f>
        <v>0.567072</v>
      </c>
      <c r="K2510" s="11" t="s">
        <v>217</v>
      </c>
      <c r="L2510" s="11" t="s">
        <v>19</v>
      </c>
      <c r="M2510" s="11" t="s">
        <v>145</v>
      </c>
    </row>
    <row r="2511" customFormat="false" ht="15" hidden="false" customHeight="false" outlineLevel="0" collapsed="false">
      <c r="A2511" s="11" t="s">
        <v>112</v>
      </c>
      <c r="B2511" s="11" t="s">
        <v>129</v>
      </c>
      <c r="C2511" s="11" t="n">
        <v>21</v>
      </c>
      <c r="D2511" s="11" t="s">
        <v>174</v>
      </c>
      <c r="E2511" s="11" t="s">
        <v>177</v>
      </c>
      <c r="F2511" s="11" t="s">
        <v>83</v>
      </c>
      <c r="G2511" s="12" t="n">
        <v>350</v>
      </c>
      <c r="H2511" s="12" t="n">
        <f aca="false">SUMPRODUCT(ПОТОКИ!B16:G16,ЧАСОВЫЕ_ПРОФИЛИ!B16:G16,КОЭФФИЦИЕНТЫ_ВЫБОРА!F31:K31)</f>
        <v>2.208</v>
      </c>
      <c r="I2511" s="12" t="n">
        <f aca="false">SUMPRODUCT(ПОТОКИ!B16:G16,ЧАСОВЫЕ_ПРОФИЛИ!B16:G16,КОЭФФИЦИЕНТЫ_ВЫБОРА!F31:K31,ПАРАМЕТРЫ!$B$17:$G$17)</f>
        <v>2.4288</v>
      </c>
      <c r="J2511" s="12" t="n">
        <f aca="false">I2511*G2511/1000</f>
        <v>0.85008</v>
      </c>
      <c r="K2511" s="11" t="s">
        <v>217</v>
      </c>
      <c r="L2511" s="11" t="s">
        <v>19</v>
      </c>
      <c r="M2511" s="11" t="s">
        <v>145</v>
      </c>
    </row>
    <row r="2512" customFormat="false" ht="15" hidden="false" customHeight="false" outlineLevel="0" collapsed="false">
      <c r="A2512" s="11" t="s">
        <v>112</v>
      </c>
      <c r="B2512" s="11" t="s">
        <v>129</v>
      </c>
      <c r="C2512" s="11" t="n">
        <v>22</v>
      </c>
      <c r="D2512" s="11" t="s">
        <v>174</v>
      </c>
      <c r="E2512" s="11" t="s">
        <v>178</v>
      </c>
      <c r="F2512" s="11" t="s">
        <v>83</v>
      </c>
      <c r="G2512" s="12" t="n">
        <v>300</v>
      </c>
      <c r="H2512" s="12" t="n">
        <f aca="false">SUMPRODUCT(ПОТОКИ!B16:G16,ЧАСОВЫЕ_ПРОФИЛИ!B16:G16,КОЭФФИЦИЕНТЫ_ВЫБОРА!F32:K32)</f>
        <v>1.4</v>
      </c>
      <c r="I2512" s="12" t="n">
        <f aca="false">SUMPRODUCT(ПОТОКИ!B16:G16,ЧАСОВЫЕ_ПРОФИЛИ!B16:G16,КОЭФФИЦИЕНТЫ_ВЫБОРА!F32:K32,ПАРАМЕТРЫ!$B$17:$G$17)</f>
        <v>1.54</v>
      </c>
      <c r="J2512" s="12" t="n">
        <f aca="false">I2512*G2512/1000</f>
        <v>0.462</v>
      </c>
      <c r="K2512" s="11" t="s">
        <v>217</v>
      </c>
      <c r="L2512" s="11" t="s">
        <v>19</v>
      </c>
      <c r="M2512" s="11" t="s">
        <v>145</v>
      </c>
    </row>
    <row r="2513" customFormat="false" ht="15" hidden="false" customHeight="false" outlineLevel="0" collapsed="false">
      <c r="A2513" s="11" t="s">
        <v>112</v>
      </c>
      <c r="B2513" s="11" t="s">
        <v>129</v>
      </c>
      <c r="C2513" s="11" t="n">
        <v>23</v>
      </c>
      <c r="D2513" s="11" t="s">
        <v>86</v>
      </c>
      <c r="E2513" s="11" t="s">
        <v>179</v>
      </c>
      <c r="F2513" s="11" t="s">
        <v>85</v>
      </c>
      <c r="G2513" s="12" t="n">
        <v>150</v>
      </c>
      <c r="H2513" s="12" t="n">
        <f aca="false">SUMPRODUCT(ПОТОКИ!B16:G16,ЧАСОВЫЕ_ПРОФИЛИ!B16:G16,КОЭФФИЦИЕНТЫ_ВЫБОРА!F33:K33)</f>
        <v>1.00288</v>
      </c>
      <c r="I2513" s="12" t="n">
        <f aca="false">SUMPRODUCT(ПОТОКИ!B16:G16,ЧАСОВЫЕ_ПРОФИЛИ!B16:G16,КОЭФФИЦИЕНТЫ_ВЫБОРА!F33:K33,ПАРАМЕТРЫ!$B$17:$G$17)</f>
        <v>1.103168</v>
      </c>
      <c r="J2513" s="12" t="n">
        <f aca="false">I2513*G2513/1000</f>
        <v>0.1654752</v>
      </c>
      <c r="K2513" s="11" t="s">
        <v>217</v>
      </c>
      <c r="L2513" s="11" t="s">
        <v>19</v>
      </c>
      <c r="M2513" s="11" t="s">
        <v>147</v>
      </c>
    </row>
    <row r="2514" customFormat="false" ht="15" hidden="false" customHeight="false" outlineLevel="0" collapsed="false">
      <c r="A2514" s="11" t="s">
        <v>112</v>
      </c>
      <c r="B2514" s="11" t="s">
        <v>129</v>
      </c>
      <c r="C2514" s="11" t="n">
        <v>24</v>
      </c>
      <c r="D2514" s="11" t="s">
        <v>86</v>
      </c>
      <c r="E2514" s="11" t="s">
        <v>180</v>
      </c>
      <c r="F2514" s="11" t="s">
        <v>85</v>
      </c>
      <c r="G2514" s="12" t="n">
        <v>150</v>
      </c>
      <c r="H2514" s="12" t="n">
        <f aca="false">SUMPRODUCT(ПОТОКИ!B16:G16,ЧАСОВЫЕ_ПРОФИЛИ!B16:G16,КОЭФФИЦИЕНТЫ_ВЫБОРА!F34:K34)</f>
        <v>0.50144</v>
      </c>
      <c r="I2514" s="12" t="n">
        <f aca="false">SUMPRODUCT(ПОТОКИ!B16:G16,ЧАСОВЫЕ_ПРОФИЛИ!B16:G16,КОЭФФИЦИЕНТЫ_ВЫБОРА!F34:K34,ПАРАМЕТРЫ!$B$17:$G$17)</f>
        <v>0.551584</v>
      </c>
      <c r="J2514" s="12" t="n">
        <f aca="false">I2514*G2514/1000</f>
        <v>0.0827376</v>
      </c>
      <c r="K2514" s="11" t="s">
        <v>217</v>
      </c>
      <c r="L2514" s="11" t="s">
        <v>19</v>
      </c>
      <c r="M2514" s="11" t="s">
        <v>147</v>
      </c>
    </row>
    <row r="2515" customFormat="false" ht="15" hidden="false" customHeight="false" outlineLevel="0" collapsed="false">
      <c r="A2515" s="11" t="s">
        <v>112</v>
      </c>
      <c r="B2515" s="11" t="s">
        <v>129</v>
      </c>
      <c r="C2515" s="11" t="n">
        <v>25</v>
      </c>
      <c r="D2515" s="11" t="s">
        <v>86</v>
      </c>
      <c r="E2515" s="11" t="s">
        <v>181</v>
      </c>
      <c r="F2515" s="11" t="s">
        <v>85</v>
      </c>
      <c r="G2515" s="12" t="n">
        <v>150</v>
      </c>
      <c r="H2515" s="12" t="n">
        <f aca="false">SUMPRODUCT(ПОТОКИ!B16:G16,ЧАСОВЫЕ_ПРОФИЛИ!B16:G16,КОЭФФИЦИЕНТЫ_ВЫБОРА!F35:K35)</f>
        <v>1.00288</v>
      </c>
      <c r="I2515" s="12" t="n">
        <f aca="false">SUMPRODUCT(ПОТОКИ!B16:G16,ЧАСОВЫЕ_ПРОФИЛИ!B16:G16,КОЭФФИЦИЕНТЫ_ВЫБОРА!F35:K35,ПАРАМЕТРЫ!$B$17:$G$17)</f>
        <v>1.103168</v>
      </c>
      <c r="J2515" s="12" t="n">
        <f aca="false">I2515*G2515/1000</f>
        <v>0.1654752</v>
      </c>
      <c r="K2515" s="11" t="s">
        <v>217</v>
      </c>
      <c r="L2515" s="11" t="s">
        <v>19</v>
      </c>
      <c r="M2515" s="11" t="s">
        <v>147</v>
      </c>
    </row>
    <row r="2516" customFormat="false" ht="23.85" hidden="false" customHeight="false" outlineLevel="0" collapsed="false">
      <c r="A2516" s="11" t="s">
        <v>112</v>
      </c>
      <c r="B2516" s="11" t="s">
        <v>129</v>
      </c>
      <c r="C2516" s="11" t="n">
        <v>26</v>
      </c>
      <c r="D2516" s="11" t="s">
        <v>89</v>
      </c>
      <c r="E2516" s="11" t="s">
        <v>182</v>
      </c>
      <c r="F2516" s="11" t="s">
        <v>88</v>
      </c>
      <c r="G2516" s="12" t="n">
        <v>225</v>
      </c>
      <c r="H2516" s="12" t="n">
        <f aca="false">SUMPRODUCT(ПОТОКИ!B16:G16,ЧАСОВЫЕ_ПРОФИЛИ!B16:G16,КОЭФФИЦИЕНТЫ_ВЫБОРА!F36:K36)</f>
        <v>0</v>
      </c>
      <c r="I2516" s="12" t="n">
        <f aca="false">SUMPRODUCT(ПОТОКИ!B16:G16,ЧАСОВЫЕ_ПРОФИЛИ!B16:G16,КОЭФФИЦИЕНТЫ_ВЫБОРА!F36:K36,ПАРАМЕТРЫ!$B$17:$G$17)</f>
        <v>0</v>
      </c>
      <c r="J2516" s="12" t="n">
        <f aca="false">I2516*G2516/1000</f>
        <v>0</v>
      </c>
      <c r="K2516" s="11" t="s">
        <v>217</v>
      </c>
      <c r="L2516" s="11" t="s">
        <v>19</v>
      </c>
      <c r="M2516" s="11" t="s">
        <v>145</v>
      </c>
    </row>
    <row r="2517" customFormat="false" ht="23.85" hidden="false" customHeight="false" outlineLevel="0" collapsed="false">
      <c r="A2517" s="11" t="s">
        <v>112</v>
      </c>
      <c r="B2517" s="11" t="s">
        <v>129</v>
      </c>
      <c r="C2517" s="11" t="n">
        <v>27</v>
      </c>
      <c r="D2517" s="11" t="s">
        <v>89</v>
      </c>
      <c r="E2517" s="11" t="s">
        <v>183</v>
      </c>
      <c r="F2517" s="11" t="s">
        <v>88</v>
      </c>
      <c r="G2517" s="12" t="n">
        <v>265</v>
      </c>
      <c r="H2517" s="12" t="n">
        <f aca="false">SUMPRODUCT(ПОТОКИ!B16:G16,ЧАСОВЫЕ_ПРОФИЛИ!B16:G16,КОЭФФИЦИЕНТЫ_ВЫБОРА!F37:K37)</f>
        <v>0</v>
      </c>
      <c r="I2517" s="12" t="n">
        <f aca="false">SUMPRODUCT(ПОТОКИ!B16:G16,ЧАСОВЫЕ_ПРОФИЛИ!B16:G16,КОЭФФИЦИЕНТЫ_ВЫБОРА!F37:K37,ПАРАМЕТРЫ!$B$17:$G$17)</f>
        <v>0</v>
      </c>
      <c r="J2517" s="12" t="n">
        <f aca="false">I2517*G2517/1000</f>
        <v>0</v>
      </c>
      <c r="K2517" s="11" t="s">
        <v>217</v>
      </c>
      <c r="L2517" s="11" t="s">
        <v>19</v>
      </c>
      <c r="M2517" s="11" t="s">
        <v>145</v>
      </c>
    </row>
    <row r="2518" customFormat="false" ht="23.85" hidden="false" customHeight="false" outlineLevel="0" collapsed="false">
      <c r="A2518" s="11" t="s">
        <v>112</v>
      </c>
      <c r="B2518" s="11" t="s">
        <v>129</v>
      </c>
      <c r="C2518" s="11" t="n">
        <v>28</v>
      </c>
      <c r="D2518" s="11" t="s">
        <v>89</v>
      </c>
      <c r="E2518" s="11" t="s">
        <v>184</v>
      </c>
      <c r="F2518" s="11" t="s">
        <v>88</v>
      </c>
      <c r="G2518" s="12" t="n">
        <v>355</v>
      </c>
      <c r="H2518" s="12" t="n">
        <f aca="false">SUMPRODUCT(ПОТОКИ!B16:G16,ЧАСОВЫЕ_ПРОФИЛИ!B16:G16,КОЭФФИЦИЕНТЫ_ВЫБОРА!F38:K38)</f>
        <v>0</v>
      </c>
      <c r="I2518" s="12" t="n">
        <f aca="false">SUMPRODUCT(ПОТОКИ!B16:G16,ЧАСОВЫЕ_ПРОФИЛИ!B16:G16,КОЭФФИЦИЕНТЫ_ВЫБОРА!F38:K38,ПАРАМЕТРЫ!$B$17:$G$17)</f>
        <v>0</v>
      </c>
      <c r="J2518" s="12" t="n">
        <f aca="false">I2518*G2518/1000</f>
        <v>0</v>
      </c>
      <c r="K2518" s="11" t="s">
        <v>217</v>
      </c>
      <c r="L2518" s="11" t="s">
        <v>19</v>
      </c>
      <c r="M2518" s="11" t="s">
        <v>145</v>
      </c>
    </row>
    <row r="2519" customFormat="false" ht="15" hidden="false" customHeight="false" outlineLevel="0" collapsed="false">
      <c r="A2519" s="11" t="s">
        <v>112</v>
      </c>
      <c r="B2519" s="11" t="s">
        <v>129</v>
      </c>
      <c r="C2519" s="11" t="n">
        <v>29</v>
      </c>
      <c r="D2519" s="11" t="s">
        <v>92</v>
      </c>
      <c r="E2519" s="11" t="s">
        <v>185</v>
      </c>
      <c r="F2519" s="11" t="s">
        <v>91</v>
      </c>
      <c r="G2519" s="12" t="n">
        <v>150</v>
      </c>
      <c r="H2519" s="12" t="n">
        <f aca="false">SUMPRODUCT(ПОТОКИ!B16:G16,ЧАСОВЫЕ_ПРОФИЛИ!B16:G16,КОЭФФИЦИЕНТЫ_ВЫБОРА!F39:K39)</f>
        <v>0.528</v>
      </c>
      <c r="I2519" s="12" t="n">
        <f aca="false">SUMPRODUCT(ПОТОКИ!B16:G16,ЧАСОВЫЕ_ПРОФИЛИ!B16:G16,КОЭФФИЦИЕНТЫ_ВЫБОРА!F39:K39,ПАРАМЕТРЫ!$B$17:$G$17)</f>
        <v>0.5808</v>
      </c>
      <c r="J2519" s="12" t="n">
        <f aca="false">I2519*G2519/1000</f>
        <v>0.08712</v>
      </c>
      <c r="K2519" s="11" t="s">
        <v>217</v>
      </c>
      <c r="L2519" s="11" t="s">
        <v>19</v>
      </c>
      <c r="M2519" s="11" t="s">
        <v>145</v>
      </c>
    </row>
    <row r="2520" customFormat="false" ht="15" hidden="false" customHeight="false" outlineLevel="0" collapsed="false">
      <c r="A2520" s="11" t="s">
        <v>112</v>
      </c>
      <c r="B2520" s="11" t="s">
        <v>129</v>
      </c>
      <c r="C2520" s="11" t="n">
        <v>30</v>
      </c>
      <c r="D2520" s="11" t="s">
        <v>92</v>
      </c>
      <c r="E2520" s="11" t="s">
        <v>186</v>
      </c>
      <c r="F2520" s="11" t="s">
        <v>91</v>
      </c>
      <c r="G2520" s="12" t="n">
        <v>120</v>
      </c>
      <c r="H2520" s="12" t="n">
        <f aca="false">SUMPRODUCT(ПОТОКИ!B16:G16,ЧАСОВЫЕ_ПРОФИЛИ!B16:G16,КОЭФФИЦИЕНТЫ_ВЫБОРА!F40:K40)</f>
        <v>0.528</v>
      </c>
      <c r="I2520" s="12" t="n">
        <f aca="false">SUMPRODUCT(ПОТОКИ!B16:G16,ЧАСОВЫЕ_ПРОФИЛИ!B16:G16,КОЭФФИЦИЕНТЫ_ВЫБОРА!F40:K40,ПАРАМЕТРЫ!$B$17:$G$17)</f>
        <v>0.5808</v>
      </c>
      <c r="J2520" s="12" t="n">
        <f aca="false">I2520*G2520/1000</f>
        <v>0.069696</v>
      </c>
      <c r="K2520" s="11" t="s">
        <v>217</v>
      </c>
      <c r="L2520" s="11" t="s">
        <v>19</v>
      </c>
      <c r="M2520" s="11" t="s">
        <v>145</v>
      </c>
    </row>
    <row r="2521" customFormat="false" ht="15" hidden="false" customHeight="false" outlineLevel="0" collapsed="false">
      <c r="A2521" s="11" t="s">
        <v>112</v>
      </c>
      <c r="B2521" s="11" t="s">
        <v>129</v>
      </c>
      <c r="C2521" s="11" t="n">
        <v>31</v>
      </c>
      <c r="D2521" s="11" t="s">
        <v>92</v>
      </c>
      <c r="E2521" s="11" t="s">
        <v>187</v>
      </c>
      <c r="F2521" s="11" t="s">
        <v>91</v>
      </c>
      <c r="G2521" s="12" t="n">
        <v>60</v>
      </c>
      <c r="H2521" s="12" t="n">
        <f aca="false">SUMPRODUCT(ПОТОКИ!B16:G16,ЧАСОВЫЕ_ПРОФИЛИ!B16:G16,КОЭФФИЦИЕНТЫ_ВЫБОРА!F41:K41)</f>
        <v>0.384</v>
      </c>
      <c r="I2521" s="12" t="n">
        <f aca="false">SUMPRODUCT(ПОТОКИ!B16:G16,ЧАСОВЫЕ_ПРОФИЛИ!B16:G16,КОЭФФИЦИЕНТЫ_ВЫБОРА!F41:K41,ПАРАМЕТРЫ!$B$17:$G$17)</f>
        <v>0.4224</v>
      </c>
      <c r="J2521" s="12" t="n">
        <f aca="false">I2521*G2521/1000</f>
        <v>0.025344</v>
      </c>
      <c r="K2521" s="11" t="s">
        <v>217</v>
      </c>
      <c r="L2521" s="11" t="s">
        <v>19</v>
      </c>
      <c r="M2521" s="11" t="s">
        <v>145</v>
      </c>
    </row>
    <row r="2522" customFormat="false" ht="15" hidden="false" customHeight="false" outlineLevel="0" collapsed="false">
      <c r="A2522" s="11" t="s">
        <v>112</v>
      </c>
      <c r="B2522" s="11" t="s">
        <v>130</v>
      </c>
      <c r="C2522" s="11" t="n">
        <v>1</v>
      </c>
      <c r="D2522" s="11" t="s">
        <v>74</v>
      </c>
      <c r="E2522" s="11" t="s">
        <v>153</v>
      </c>
      <c r="F2522" s="11" t="s">
        <v>73</v>
      </c>
      <c r="G2522" s="12" t="n">
        <v>450</v>
      </c>
      <c r="H2522" s="12" t="n">
        <f aca="false">SUMPRODUCT(ПОТОКИ!B16:G16,ЧАСОВЫЕ_ПРОФИЛИ!B17:G17,КОЭФФИЦИЕНТЫ_ВЫБОРА!F11:K11)</f>
        <v>0.51</v>
      </c>
      <c r="I2522" s="12" t="n">
        <f aca="false">SUMPRODUCT(ПОТОКИ!B16:G16,ЧАСОВЫЕ_ПРОФИЛИ!B17:G17,КОЭФФИЦИЕНТЫ_ВЫБОРА!F11:K11,ПАРАМЕТРЫ!$B$17:$G$17)</f>
        <v>0.561</v>
      </c>
      <c r="J2522" s="12" t="n">
        <f aca="false">I2522*G2522/1000</f>
        <v>0.25245</v>
      </c>
      <c r="K2522" s="11" t="s">
        <v>217</v>
      </c>
      <c r="L2522" s="11" t="s">
        <v>19</v>
      </c>
      <c r="M2522" s="11" t="s">
        <v>145</v>
      </c>
    </row>
    <row r="2523" customFormat="false" ht="15" hidden="false" customHeight="false" outlineLevel="0" collapsed="false">
      <c r="A2523" s="11" t="s">
        <v>112</v>
      </c>
      <c r="B2523" s="11" t="s">
        <v>130</v>
      </c>
      <c r="C2523" s="11" t="n">
        <v>2</v>
      </c>
      <c r="D2523" s="11" t="s">
        <v>74</v>
      </c>
      <c r="E2523" s="11" t="s">
        <v>154</v>
      </c>
      <c r="F2523" s="11" t="s">
        <v>73</v>
      </c>
      <c r="G2523" s="12" t="n">
        <v>480</v>
      </c>
      <c r="H2523" s="12" t="n">
        <f aca="false">SUMPRODUCT(ПОТОКИ!B16:G16,ЧАСОВЫЕ_ПРОФИЛИ!B17:G17,КОЭФФИЦИЕНТЫ_ВЫБОРА!F12:K12)</f>
        <v>0.86</v>
      </c>
      <c r="I2523" s="12" t="n">
        <f aca="false">SUMPRODUCT(ПОТОКИ!B16:G16,ЧАСОВЫЕ_ПРОФИЛИ!B17:G17,КОЭФФИЦИЕНТЫ_ВЫБОРА!F12:K12,ПАРАМЕТРЫ!$B$17:$G$17)</f>
        <v>0.946</v>
      </c>
      <c r="J2523" s="12" t="n">
        <f aca="false">I2523*G2523/1000</f>
        <v>0.45408</v>
      </c>
      <c r="K2523" s="11" t="s">
        <v>217</v>
      </c>
      <c r="L2523" s="11" t="s">
        <v>19</v>
      </c>
      <c r="M2523" s="11" t="s">
        <v>145</v>
      </c>
    </row>
    <row r="2524" customFormat="false" ht="15" hidden="false" customHeight="false" outlineLevel="0" collapsed="false">
      <c r="A2524" s="11" t="s">
        <v>112</v>
      </c>
      <c r="B2524" s="11" t="s">
        <v>130</v>
      </c>
      <c r="C2524" s="11" t="n">
        <v>3</v>
      </c>
      <c r="D2524" s="11" t="s">
        <v>74</v>
      </c>
      <c r="E2524" s="11" t="s">
        <v>155</v>
      </c>
      <c r="F2524" s="11" t="s">
        <v>73</v>
      </c>
      <c r="G2524" s="12" t="n">
        <v>500</v>
      </c>
      <c r="H2524" s="12" t="n">
        <f aca="false">SUMPRODUCT(ПОТОКИ!B16:G16,ЧАСОВЫЕ_ПРОФИЛИ!B17:G17,КОЭФФИЦИЕНТЫ_ВЫБОРА!F13:K13)</f>
        <v>1.29</v>
      </c>
      <c r="I2524" s="12" t="n">
        <f aca="false">SUMPRODUCT(ПОТОКИ!B16:G16,ЧАСОВЫЕ_ПРОФИЛИ!B17:G17,КОЭФФИЦИЕНТЫ_ВЫБОРА!F13:K13,ПАРАМЕТРЫ!$B$17:$G$17)</f>
        <v>1.419</v>
      </c>
      <c r="J2524" s="12" t="n">
        <f aca="false">I2524*G2524/1000</f>
        <v>0.7095</v>
      </c>
      <c r="K2524" s="11" t="s">
        <v>217</v>
      </c>
      <c r="L2524" s="11" t="s">
        <v>19</v>
      </c>
      <c r="M2524" s="11" t="s">
        <v>145</v>
      </c>
    </row>
    <row r="2525" customFormat="false" ht="15" hidden="false" customHeight="false" outlineLevel="0" collapsed="false">
      <c r="A2525" s="11" t="s">
        <v>112</v>
      </c>
      <c r="B2525" s="11" t="s">
        <v>130</v>
      </c>
      <c r="C2525" s="11" t="n">
        <v>4</v>
      </c>
      <c r="D2525" s="11" t="s">
        <v>74</v>
      </c>
      <c r="E2525" s="11" t="s">
        <v>156</v>
      </c>
      <c r="F2525" s="11" t="s">
        <v>73</v>
      </c>
      <c r="G2525" s="12" t="n">
        <v>500</v>
      </c>
      <c r="H2525" s="12" t="n">
        <f aca="false">SUMPRODUCT(ПОТОКИ!B16:G16,ЧАСОВЫЕ_ПРОФИЛИ!B17:G17,КОЭФФИЦИЕНТЫ_ВЫБОРА!F14:K14)</f>
        <v>1.64</v>
      </c>
      <c r="I2525" s="12" t="n">
        <f aca="false">SUMPRODUCT(ПОТОКИ!B16:G16,ЧАСОВЫЕ_ПРОФИЛИ!B17:G17,КОЭФФИЦИЕНТЫ_ВЫБОРА!F14:K14,ПАРАМЕТРЫ!$B$17:$G$17)</f>
        <v>1.804</v>
      </c>
      <c r="J2525" s="12" t="n">
        <f aca="false">I2525*G2525/1000</f>
        <v>0.902</v>
      </c>
      <c r="K2525" s="11" t="s">
        <v>217</v>
      </c>
      <c r="L2525" s="11" t="s">
        <v>19</v>
      </c>
      <c r="M2525" s="11" t="s">
        <v>145</v>
      </c>
    </row>
    <row r="2526" customFormat="false" ht="15" hidden="false" customHeight="false" outlineLevel="0" collapsed="false">
      <c r="A2526" s="11" t="s">
        <v>112</v>
      </c>
      <c r="B2526" s="11" t="s">
        <v>130</v>
      </c>
      <c r="C2526" s="11" t="n">
        <v>5</v>
      </c>
      <c r="D2526" s="11" t="s">
        <v>78</v>
      </c>
      <c r="E2526" s="11" t="s">
        <v>157</v>
      </c>
      <c r="F2526" s="11" t="s">
        <v>77</v>
      </c>
      <c r="G2526" s="12" t="n">
        <v>100</v>
      </c>
      <c r="H2526" s="12" t="n">
        <f aca="false">SUMPRODUCT(ПОТОКИ!B16:G16,ЧАСОВЫЕ_ПРОФИЛИ!B17:G17,КОЭФФИЦИЕНТЫ_ВЫБОРА!F15:K15)</f>
        <v>0.698</v>
      </c>
      <c r="I2526" s="12" t="n">
        <f aca="false">SUMPRODUCT(ПОТОКИ!B16:G16,ЧАСОВЫЕ_ПРОФИЛИ!B17:G17,КОЭФФИЦИЕНТЫ_ВЫБОРА!F15:K15,ПАРАМЕТРЫ!$B$17:$G$17)</f>
        <v>0.7678</v>
      </c>
      <c r="J2526" s="12" t="n">
        <f aca="false">I2526*G2526/1000</f>
        <v>0.07678</v>
      </c>
      <c r="K2526" s="11" t="s">
        <v>217</v>
      </c>
      <c r="L2526" s="11" t="s">
        <v>19</v>
      </c>
      <c r="M2526" s="11" t="s">
        <v>147</v>
      </c>
    </row>
    <row r="2527" customFormat="false" ht="15" hidden="false" customHeight="false" outlineLevel="0" collapsed="false">
      <c r="A2527" s="11" t="s">
        <v>112</v>
      </c>
      <c r="B2527" s="11" t="s">
        <v>130</v>
      </c>
      <c r="C2527" s="11" t="n">
        <v>6</v>
      </c>
      <c r="D2527" s="11" t="s">
        <v>78</v>
      </c>
      <c r="E2527" s="11" t="s">
        <v>158</v>
      </c>
      <c r="F2527" s="11" t="s">
        <v>77</v>
      </c>
      <c r="G2527" s="12" t="n">
        <v>100</v>
      </c>
      <c r="H2527" s="12" t="n">
        <f aca="false">SUMPRODUCT(ПОТОКИ!B16:G16,ЧАСОВЫЕ_ПРОФИЛИ!B17:G17,КОЭФФИЦИЕНТЫ_ВЫБОРА!F16:K16)</f>
        <v>0.618</v>
      </c>
      <c r="I2527" s="12" t="n">
        <f aca="false">SUMPRODUCT(ПОТОКИ!B16:G16,ЧАСОВЫЕ_ПРОФИЛИ!B17:G17,КОЭФФИЦИЕНТЫ_ВЫБОРА!F16:K16,ПАРАМЕТРЫ!$B$17:$G$17)</f>
        <v>0.6798</v>
      </c>
      <c r="J2527" s="12" t="n">
        <f aca="false">I2527*G2527/1000</f>
        <v>0.06798</v>
      </c>
      <c r="K2527" s="11" t="s">
        <v>217</v>
      </c>
      <c r="L2527" s="11" t="s">
        <v>19</v>
      </c>
      <c r="M2527" s="11" t="s">
        <v>147</v>
      </c>
    </row>
    <row r="2528" customFormat="false" ht="15" hidden="false" customHeight="false" outlineLevel="0" collapsed="false">
      <c r="A2528" s="11" t="s">
        <v>112</v>
      </c>
      <c r="B2528" s="11" t="s">
        <v>130</v>
      </c>
      <c r="C2528" s="11" t="n">
        <v>7</v>
      </c>
      <c r="D2528" s="11" t="s">
        <v>78</v>
      </c>
      <c r="E2528" s="11" t="s">
        <v>159</v>
      </c>
      <c r="F2528" s="11" t="s">
        <v>77</v>
      </c>
      <c r="G2528" s="12" t="n">
        <v>350</v>
      </c>
      <c r="H2528" s="12" t="n">
        <f aca="false">SUMPRODUCT(ПОТОКИ!B16:G16,ЧАСОВЫЕ_ПРОФИЛИ!B17:G17,КОЭФФИЦИЕНТЫ_ВЫБОРА!F17:K17)</f>
        <v>0.555</v>
      </c>
      <c r="I2528" s="12" t="n">
        <f aca="false">SUMPRODUCT(ПОТОКИ!B16:G16,ЧАСОВЫЕ_ПРОФИЛИ!B17:G17,КОЭФФИЦИЕНТЫ_ВЫБОРА!F17:K17,ПАРАМЕТРЫ!$B$17:$G$17)</f>
        <v>0.6105</v>
      </c>
      <c r="J2528" s="12" t="n">
        <f aca="false">I2528*G2528/1000</f>
        <v>0.213675</v>
      </c>
      <c r="K2528" s="11" t="s">
        <v>217</v>
      </c>
      <c r="L2528" s="11" t="s">
        <v>19</v>
      </c>
      <c r="M2528" s="11" t="s">
        <v>147</v>
      </c>
    </row>
    <row r="2529" customFormat="false" ht="15" hidden="false" customHeight="false" outlineLevel="0" collapsed="false">
      <c r="A2529" s="11" t="s">
        <v>112</v>
      </c>
      <c r="B2529" s="11" t="s">
        <v>130</v>
      </c>
      <c r="C2529" s="11" t="n">
        <v>8</v>
      </c>
      <c r="D2529" s="11" t="s">
        <v>78</v>
      </c>
      <c r="E2529" s="11" t="s">
        <v>160</v>
      </c>
      <c r="F2529" s="11" t="s">
        <v>77</v>
      </c>
      <c r="G2529" s="12" t="n">
        <v>85</v>
      </c>
      <c r="H2529" s="12" t="n">
        <f aca="false">SUMPRODUCT(ПОТОКИ!B16:G16,ЧАСОВЫЕ_ПРОФИЛИ!B17:G17,КОЭФФИЦИЕНТЫ_ВЫБОРА!F18:K18)</f>
        <v>0.349</v>
      </c>
      <c r="I2529" s="12" t="n">
        <f aca="false">SUMPRODUCT(ПОТОКИ!B16:G16,ЧАСОВЫЕ_ПРОФИЛИ!B17:G17,КОЭФФИЦИЕНТЫ_ВЫБОРА!F18:K18,ПАРАМЕТРЫ!$B$17:$G$17)</f>
        <v>0.3839</v>
      </c>
      <c r="J2529" s="12" t="n">
        <f aca="false">I2529*G2529/1000</f>
        <v>0.0326315</v>
      </c>
      <c r="K2529" s="11" t="s">
        <v>217</v>
      </c>
      <c r="L2529" s="11" t="s">
        <v>19</v>
      </c>
      <c r="M2529" s="11" t="s">
        <v>147</v>
      </c>
    </row>
    <row r="2530" customFormat="false" ht="15" hidden="false" customHeight="false" outlineLevel="0" collapsed="false">
      <c r="A2530" s="11" t="s">
        <v>112</v>
      </c>
      <c r="B2530" s="11" t="s">
        <v>130</v>
      </c>
      <c r="C2530" s="11" t="n">
        <v>9</v>
      </c>
      <c r="D2530" s="11" t="s">
        <v>161</v>
      </c>
      <c r="E2530" s="11" t="s">
        <v>162</v>
      </c>
      <c r="F2530" s="11" t="s">
        <v>80</v>
      </c>
      <c r="G2530" s="12" t="n">
        <v>300</v>
      </c>
      <c r="H2530" s="12" t="n">
        <f aca="false">SUMPRODUCT(ПОТОКИ!B16:G16,ЧАСОВЫЕ_ПРОФИЛИ!B17:G17,КОЭФФИЦИЕНТЫ_ВЫБОРА!F19:K19)</f>
        <v>0.69</v>
      </c>
      <c r="I2530" s="12" t="n">
        <f aca="false">SUMPRODUCT(ПОТОКИ!B16:G16,ЧАСОВЫЕ_ПРОФИЛИ!B17:G17,КОЭФФИЦИЕНТЫ_ВЫБОРА!F19:K19,ПАРАМЕТРЫ!$B$17:$G$17)</f>
        <v>0.759</v>
      </c>
      <c r="J2530" s="12" t="n">
        <f aca="false">I2530*G2530/1000</f>
        <v>0.2277</v>
      </c>
      <c r="K2530" s="11" t="s">
        <v>217</v>
      </c>
      <c r="L2530" s="11" t="s">
        <v>19</v>
      </c>
      <c r="M2530" s="11" t="s">
        <v>145</v>
      </c>
    </row>
    <row r="2531" customFormat="false" ht="15" hidden="false" customHeight="false" outlineLevel="0" collapsed="false">
      <c r="A2531" s="11" t="s">
        <v>112</v>
      </c>
      <c r="B2531" s="11" t="s">
        <v>130</v>
      </c>
      <c r="C2531" s="11" t="n">
        <v>10</v>
      </c>
      <c r="D2531" s="11" t="s">
        <v>161</v>
      </c>
      <c r="E2531" s="11" t="s">
        <v>163</v>
      </c>
      <c r="F2531" s="11" t="s">
        <v>80</v>
      </c>
      <c r="G2531" s="12" t="n">
        <v>280</v>
      </c>
      <c r="H2531" s="12" t="n">
        <f aca="false">SUMPRODUCT(ПОТОКИ!B16:G16,ЧАСОВЫЕ_ПРОФИЛИ!B17:G17,КОЭФФИЦИЕНТЫ_ВЫБОРА!F20:K20)</f>
        <v>0.78</v>
      </c>
      <c r="I2531" s="12" t="n">
        <f aca="false">SUMPRODUCT(ПОТОКИ!B16:G16,ЧАСОВЫЕ_ПРОФИЛИ!B17:G17,КОЭФФИЦИЕНТЫ_ВЫБОРА!F20:K20,ПАРАМЕТРЫ!$B$17:$G$17)</f>
        <v>0.858</v>
      </c>
      <c r="J2531" s="12" t="n">
        <f aca="false">I2531*G2531/1000</f>
        <v>0.24024</v>
      </c>
      <c r="K2531" s="11" t="s">
        <v>217</v>
      </c>
      <c r="L2531" s="11" t="s">
        <v>19</v>
      </c>
      <c r="M2531" s="11" t="s">
        <v>145</v>
      </c>
    </row>
    <row r="2532" customFormat="false" ht="15" hidden="false" customHeight="false" outlineLevel="0" collapsed="false">
      <c r="A2532" s="11" t="s">
        <v>112</v>
      </c>
      <c r="B2532" s="11" t="s">
        <v>130</v>
      </c>
      <c r="C2532" s="11" t="n">
        <v>11</v>
      </c>
      <c r="D2532" s="11" t="s">
        <v>161</v>
      </c>
      <c r="E2532" s="11" t="s">
        <v>164</v>
      </c>
      <c r="F2532" s="11" t="s">
        <v>80</v>
      </c>
      <c r="G2532" s="12" t="n">
        <v>270</v>
      </c>
      <c r="H2532" s="12" t="n">
        <f aca="false">SUMPRODUCT(ПОТОКИ!B16:G16,ЧАСОВЫЕ_ПРОФИЛИ!B17:G17,КОЭФФИЦИЕНТЫ_ВЫБОРА!F21:K21)</f>
        <v>1.245</v>
      </c>
      <c r="I2532" s="12" t="n">
        <f aca="false">SUMPRODUCT(ПОТОКИ!B16:G16,ЧАСОВЫЕ_ПРОФИЛИ!B17:G17,КОЭФФИЦИЕНТЫ_ВЫБОРА!F21:K21,ПАРАМЕТРЫ!$B$17:$G$17)</f>
        <v>1.3695</v>
      </c>
      <c r="J2532" s="12" t="n">
        <f aca="false">I2532*G2532/1000</f>
        <v>0.369765</v>
      </c>
      <c r="K2532" s="11" t="s">
        <v>217</v>
      </c>
      <c r="L2532" s="11" t="s">
        <v>19</v>
      </c>
      <c r="M2532" s="11" t="s">
        <v>145</v>
      </c>
    </row>
    <row r="2533" customFormat="false" ht="15" hidden="false" customHeight="false" outlineLevel="0" collapsed="false">
      <c r="A2533" s="11" t="s">
        <v>112</v>
      </c>
      <c r="B2533" s="11" t="s">
        <v>130</v>
      </c>
      <c r="C2533" s="11" t="n">
        <v>12</v>
      </c>
      <c r="D2533" s="11" t="s">
        <v>161</v>
      </c>
      <c r="E2533" s="11" t="s">
        <v>165</v>
      </c>
      <c r="F2533" s="11" t="s">
        <v>80</v>
      </c>
      <c r="G2533" s="12" t="n">
        <v>240</v>
      </c>
      <c r="H2533" s="12" t="n">
        <f aca="false">SUMPRODUCT(ПОТОКИ!B16:G16,ЧАСОВЫЕ_ПРОФИЛИ!B17:G17,КОЭФФИЦИЕНТЫ_ВЫБОРА!F22:K22)</f>
        <v>0.585</v>
      </c>
      <c r="I2533" s="12" t="n">
        <f aca="false">SUMPRODUCT(ПОТОКИ!B16:G16,ЧАСОВЫЕ_ПРОФИЛИ!B17:G17,КОЭФФИЦИЕНТЫ_ВЫБОРА!F22:K22,ПАРАМЕТРЫ!$B$17:$G$17)</f>
        <v>0.6435</v>
      </c>
      <c r="J2533" s="12" t="n">
        <f aca="false">I2533*G2533/1000</f>
        <v>0.15444</v>
      </c>
      <c r="K2533" s="11" t="s">
        <v>217</v>
      </c>
      <c r="L2533" s="11" t="s">
        <v>19</v>
      </c>
      <c r="M2533" s="11" t="s">
        <v>145</v>
      </c>
    </row>
    <row r="2534" customFormat="false" ht="15" hidden="false" customHeight="false" outlineLevel="0" collapsed="false">
      <c r="A2534" s="11" t="s">
        <v>112</v>
      </c>
      <c r="B2534" s="11" t="s">
        <v>130</v>
      </c>
      <c r="C2534" s="11" t="n">
        <v>13</v>
      </c>
      <c r="D2534" s="11" t="s">
        <v>166</v>
      </c>
      <c r="E2534" s="11" t="s">
        <v>167</v>
      </c>
      <c r="F2534" s="11" t="s">
        <v>80</v>
      </c>
      <c r="G2534" s="12" t="n">
        <v>130</v>
      </c>
      <c r="H2534" s="12" t="n">
        <f aca="false">SUMPRODUCT(ПОТОКИ!B16:G16,ЧАСОВЫЕ_ПРОФИЛИ!B17:G17,КОЭФФИЦИЕНТЫ_ВЫБОРА!F23:K23)</f>
        <v>0.4</v>
      </c>
      <c r="I2534" s="12" t="n">
        <f aca="false">SUMPRODUCT(ПОТОКИ!B16:G16,ЧАСОВЫЕ_ПРОФИЛИ!B17:G17,КОЭФФИЦИЕНТЫ_ВЫБОРА!F23:K23,ПАРАМЕТРЫ!$B$17:$G$17)</f>
        <v>0.44</v>
      </c>
      <c r="J2534" s="12" t="n">
        <f aca="false">I2534*G2534/1000</f>
        <v>0.0572</v>
      </c>
      <c r="K2534" s="11" t="s">
        <v>217</v>
      </c>
      <c r="L2534" s="11" t="s">
        <v>19</v>
      </c>
      <c r="M2534" s="11" t="s">
        <v>145</v>
      </c>
    </row>
    <row r="2535" customFormat="false" ht="15" hidden="false" customHeight="false" outlineLevel="0" collapsed="false">
      <c r="A2535" s="11" t="s">
        <v>112</v>
      </c>
      <c r="B2535" s="11" t="s">
        <v>130</v>
      </c>
      <c r="C2535" s="11" t="n">
        <v>14</v>
      </c>
      <c r="D2535" s="11" t="s">
        <v>166</v>
      </c>
      <c r="E2535" s="11" t="s">
        <v>168</v>
      </c>
      <c r="F2535" s="11" t="s">
        <v>80</v>
      </c>
      <c r="G2535" s="12" t="n">
        <v>250</v>
      </c>
      <c r="H2535" s="12" t="n">
        <f aca="false">SUMPRODUCT(ПОТОКИ!B16:G16,ЧАСОВЫЕ_ПРОФИЛИ!B17:G17,КОЭФФИЦИЕНТЫ_ВЫБОРА!F24:K24)</f>
        <v>0.24</v>
      </c>
      <c r="I2535" s="12" t="n">
        <f aca="false">SUMPRODUCT(ПОТОКИ!B16:G16,ЧАСОВЫЕ_ПРОФИЛИ!B17:G17,КОЭФФИЦИЕНТЫ_ВЫБОРА!F24:K24,ПАРАМЕТРЫ!$B$17:$G$17)</f>
        <v>0.264</v>
      </c>
      <c r="J2535" s="12" t="n">
        <f aca="false">I2535*G2535/1000</f>
        <v>0.066</v>
      </c>
      <c r="K2535" s="11" t="s">
        <v>217</v>
      </c>
      <c r="L2535" s="11" t="s">
        <v>19</v>
      </c>
      <c r="M2535" s="11" t="s">
        <v>145</v>
      </c>
    </row>
    <row r="2536" customFormat="false" ht="15" hidden="false" customHeight="false" outlineLevel="0" collapsed="false">
      <c r="A2536" s="11" t="s">
        <v>112</v>
      </c>
      <c r="B2536" s="11" t="s">
        <v>130</v>
      </c>
      <c r="C2536" s="11" t="n">
        <v>15</v>
      </c>
      <c r="D2536" s="11" t="s">
        <v>166</v>
      </c>
      <c r="E2536" s="11" t="s">
        <v>169</v>
      </c>
      <c r="F2536" s="11" t="s">
        <v>80</v>
      </c>
      <c r="G2536" s="12" t="n">
        <v>120</v>
      </c>
      <c r="H2536" s="12" t="n">
        <f aca="false">SUMPRODUCT(ПОТОКИ!B16:G16,ЧАСОВЫЕ_ПРОФИЛИ!B17:G17,КОЭФФИЦИЕНТЫ_ВЫБОРА!F25:K25)</f>
        <v>0.24</v>
      </c>
      <c r="I2536" s="12" t="n">
        <f aca="false">SUMPRODUCT(ПОТОКИ!B16:G16,ЧАСОВЫЕ_ПРОФИЛИ!B17:G17,КОЭФФИЦИЕНТЫ_ВЫБОРА!F25:K25,ПАРАМЕТРЫ!$B$17:$G$17)</f>
        <v>0.264</v>
      </c>
      <c r="J2536" s="12" t="n">
        <f aca="false">I2536*G2536/1000</f>
        <v>0.03168</v>
      </c>
      <c r="K2536" s="11" t="s">
        <v>217</v>
      </c>
      <c r="L2536" s="11" t="s">
        <v>19</v>
      </c>
      <c r="M2536" s="11" t="s">
        <v>145</v>
      </c>
    </row>
    <row r="2537" customFormat="false" ht="15" hidden="false" customHeight="false" outlineLevel="0" collapsed="false">
      <c r="A2537" s="11" t="s">
        <v>112</v>
      </c>
      <c r="B2537" s="11" t="s">
        <v>130</v>
      </c>
      <c r="C2537" s="11" t="n">
        <v>16</v>
      </c>
      <c r="D2537" s="11" t="s">
        <v>166</v>
      </c>
      <c r="E2537" s="11" t="s">
        <v>170</v>
      </c>
      <c r="F2537" s="11" t="s">
        <v>80</v>
      </c>
      <c r="G2537" s="12" t="n">
        <v>180</v>
      </c>
      <c r="H2537" s="12" t="n">
        <f aca="false">SUMPRODUCT(ПОТОКИ!B16:G16,ЧАСОВЫЕ_ПРОФИЛИ!B17:G17,КОЭФФИЦИЕНТЫ_ВЫБОРА!F26:K26)</f>
        <v>0.32</v>
      </c>
      <c r="I2537" s="12" t="n">
        <f aca="false">SUMPRODUCT(ПОТОКИ!B16:G16,ЧАСОВЫЕ_ПРОФИЛИ!B17:G17,КОЭФФИЦИЕНТЫ_ВЫБОРА!F26:K26,ПАРАМЕТРЫ!$B$17:$G$17)</f>
        <v>0.352</v>
      </c>
      <c r="J2537" s="12" t="n">
        <f aca="false">I2537*G2537/1000</f>
        <v>0.06336</v>
      </c>
      <c r="K2537" s="11" t="s">
        <v>217</v>
      </c>
      <c r="L2537" s="11" t="s">
        <v>19</v>
      </c>
      <c r="M2537" s="11" t="s">
        <v>145</v>
      </c>
    </row>
    <row r="2538" customFormat="false" ht="15" hidden="false" customHeight="false" outlineLevel="0" collapsed="false">
      <c r="A2538" s="11" t="s">
        <v>112</v>
      </c>
      <c r="B2538" s="11" t="s">
        <v>130</v>
      </c>
      <c r="C2538" s="11" t="n">
        <v>17</v>
      </c>
      <c r="D2538" s="11" t="s">
        <v>166</v>
      </c>
      <c r="E2538" s="11" t="s">
        <v>171</v>
      </c>
      <c r="F2538" s="11" t="s">
        <v>80</v>
      </c>
      <c r="G2538" s="12" t="n">
        <v>180</v>
      </c>
      <c r="H2538" s="12" t="n">
        <f aca="false">SUMPRODUCT(ПОТОКИ!B16:G16,ЧАСОВЫЕ_ПРОФИЛИ!B17:G17,КОЭФФИЦИЕНТЫ_ВЫБОРА!F27:K27)</f>
        <v>0.4</v>
      </c>
      <c r="I2538" s="12" t="n">
        <f aca="false">SUMPRODUCT(ПОТОКИ!B16:G16,ЧАСОВЫЕ_ПРОФИЛИ!B17:G17,КОЭФФИЦИЕНТЫ_ВЫБОРА!F27:K27,ПАРАМЕТРЫ!$B$17:$G$17)</f>
        <v>0.44</v>
      </c>
      <c r="J2538" s="12" t="n">
        <f aca="false">I2538*G2538/1000</f>
        <v>0.0792</v>
      </c>
      <c r="K2538" s="11" t="s">
        <v>217</v>
      </c>
      <c r="L2538" s="11" t="s">
        <v>19</v>
      </c>
      <c r="M2538" s="11" t="s">
        <v>145</v>
      </c>
    </row>
    <row r="2539" customFormat="false" ht="15" hidden="false" customHeight="false" outlineLevel="0" collapsed="false">
      <c r="A2539" s="11" t="s">
        <v>112</v>
      </c>
      <c r="B2539" s="11" t="s">
        <v>130</v>
      </c>
      <c r="C2539" s="11" t="n">
        <v>18</v>
      </c>
      <c r="D2539" s="11" t="s">
        <v>172</v>
      </c>
      <c r="E2539" s="11" t="s">
        <v>173</v>
      </c>
      <c r="F2539" s="11" t="s">
        <v>83</v>
      </c>
      <c r="G2539" s="12" t="n">
        <v>400</v>
      </c>
      <c r="H2539" s="12" t="n">
        <f aca="false">SUMPRODUCT(ПОТОКИ!B16:G16,ЧАСОВЫЕ_ПРОФИЛИ!B17:G17,КОЭФФИЦИЕНТЫ_ВЫБОРА!F28:K28)</f>
        <v>0.8</v>
      </c>
      <c r="I2539" s="12" t="n">
        <f aca="false">SUMPRODUCT(ПОТОКИ!B16:G16,ЧАСОВЫЕ_ПРОФИЛИ!B17:G17,КОЭФФИЦИЕНТЫ_ВЫБОРА!F28:K28,ПАРАМЕТРЫ!$B$17:$G$17)</f>
        <v>0.88</v>
      </c>
      <c r="J2539" s="12" t="n">
        <f aca="false">I2539*G2539/1000</f>
        <v>0.352</v>
      </c>
      <c r="K2539" s="11" t="s">
        <v>217</v>
      </c>
      <c r="L2539" s="11" t="s">
        <v>19</v>
      </c>
      <c r="M2539" s="11" t="s">
        <v>145</v>
      </c>
    </row>
    <row r="2540" customFormat="false" ht="23.85" hidden="false" customHeight="false" outlineLevel="0" collapsed="false">
      <c r="A2540" s="11" t="s">
        <v>112</v>
      </c>
      <c r="B2540" s="11" t="s">
        <v>130</v>
      </c>
      <c r="C2540" s="11" t="n">
        <v>19</v>
      </c>
      <c r="D2540" s="11" t="s">
        <v>174</v>
      </c>
      <c r="E2540" s="11" t="s">
        <v>175</v>
      </c>
      <c r="F2540" s="11" t="s">
        <v>83</v>
      </c>
      <c r="G2540" s="12" t="n">
        <v>300</v>
      </c>
      <c r="H2540" s="12" t="n">
        <f aca="false">SUMPRODUCT(ПОТОКИ!B16:G16,ЧАСОВЫЕ_ПРОФИЛИ!B17:G17,КОЭФФИЦИЕНТЫ_ВЫБОРА!F29:K29)</f>
        <v>1.78</v>
      </c>
      <c r="I2540" s="12" t="n">
        <f aca="false">SUMPRODUCT(ПОТОКИ!B16:G16,ЧАСОВЫЕ_ПРОФИЛИ!B17:G17,КОЭФФИЦИЕНТЫ_ВЫБОРА!F29:K29,ПАРАМЕТРЫ!$B$17:$G$17)</f>
        <v>1.958</v>
      </c>
      <c r="J2540" s="12" t="n">
        <f aca="false">I2540*G2540/1000</f>
        <v>0.5874</v>
      </c>
      <c r="K2540" s="11" t="s">
        <v>217</v>
      </c>
      <c r="L2540" s="11" t="s">
        <v>19</v>
      </c>
      <c r="M2540" s="11" t="s">
        <v>145</v>
      </c>
    </row>
    <row r="2541" customFormat="false" ht="15" hidden="false" customHeight="false" outlineLevel="0" collapsed="false">
      <c r="A2541" s="11" t="s">
        <v>112</v>
      </c>
      <c r="B2541" s="11" t="s">
        <v>130</v>
      </c>
      <c r="C2541" s="11" t="n">
        <v>20</v>
      </c>
      <c r="D2541" s="11" t="s">
        <v>174</v>
      </c>
      <c r="E2541" s="11" t="s">
        <v>176</v>
      </c>
      <c r="F2541" s="11" t="s">
        <v>83</v>
      </c>
      <c r="G2541" s="12" t="n">
        <v>360</v>
      </c>
      <c r="H2541" s="12" t="n">
        <f aca="false">SUMPRODUCT(ПОТОКИ!B16:G16,ЧАСОВЫЕ_ПРОФИЛИ!B17:G17,КОЭФФИЦИЕНТЫ_ВЫБОРА!F30:K30)</f>
        <v>1.64</v>
      </c>
      <c r="I2541" s="12" t="n">
        <f aca="false">SUMPRODUCT(ПОТОКИ!B16:G16,ЧАСОВЫЕ_ПРОФИЛИ!B17:G17,КОЭФФИЦИЕНТЫ_ВЫБОРА!F30:K30,ПАРАМЕТРЫ!$B$17:$G$17)</f>
        <v>1.804</v>
      </c>
      <c r="J2541" s="12" t="n">
        <f aca="false">I2541*G2541/1000</f>
        <v>0.64944</v>
      </c>
      <c r="K2541" s="11" t="s">
        <v>217</v>
      </c>
      <c r="L2541" s="11" t="s">
        <v>19</v>
      </c>
      <c r="M2541" s="11" t="s">
        <v>145</v>
      </c>
    </row>
    <row r="2542" customFormat="false" ht="15" hidden="false" customHeight="false" outlineLevel="0" collapsed="false">
      <c r="A2542" s="11" t="s">
        <v>112</v>
      </c>
      <c r="B2542" s="11" t="s">
        <v>130</v>
      </c>
      <c r="C2542" s="11" t="n">
        <v>21</v>
      </c>
      <c r="D2542" s="11" t="s">
        <v>174</v>
      </c>
      <c r="E2542" s="11" t="s">
        <v>177</v>
      </c>
      <c r="F2542" s="11" t="s">
        <v>83</v>
      </c>
      <c r="G2542" s="12" t="n">
        <v>350</v>
      </c>
      <c r="H2542" s="12" t="n">
        <f aca="false">SUMPRODUCT(ПОТОКИ!B16:G16,ЧАСОВЫЕ_ПРОФИЛИ!B17:G17,КОЭФФИЦИЕНТЫ_ВЫБОРА!F31:K31)</f>
        <v>2.52</v>
      </c>
      <c r="I2542" s="12" t="n">
        <f aca="false">SUMPRODUCT(ПОТОКИ!B16:G16,ЧАСОВЫЕ_ПРОФИЛИ!B17:G17,КОЭФФИЦИЕНТЫ_ВЫБОРА!F31:K31,ПАРАМЕТРЫ!$B$17:$G$17)</f>
        <v>2.772</v>
      </c>
      <c r="J2542" s="12" t="n">
        <f aca="false">I2542*G2542/1000</f>
        <v>0.9702</v>
      </c>
      <c r="K2542" s="11" t="s">
        <v>217</v>
      </c>
      <c r="L2542" s="11" t="s">
        <v>19</v>
      </c>
      <c r="M2542" s="11" t="s">
        <v>145</v>
      </c>
    </row>
    <row r="2543" customFormat="false" ht="15" hidden="false" customHeight="false" outlineLevel="0" collapsed="false">
      <c r="A2543" s="11" t="s">
        <v>112</v>
      </c>
      <c r="B2543" s="11" t="s">
        <v>130</v>
      </c>
      <c r="C2543" s="11" t="n">
        <v>22</v>
      </c>
      <c r="D2543" s="11" t="s">
        <v>174</v>
      </c>
      <c r="E2543" s="11" t="s">
        <v>178</v>
      </c>
      <c r="F2543" s="11" t="s">
        <v>83</v>
      </c>
      <c r="G2543" s="12" t="n">
        <v>300</v>
      </c>
      <c r="H2543" s="12" t="n">
        <f aca="false">SUMPRODUCT(ПОТОКИ!B16:G16,ЧАСОВЫЕ_ПРОФИЛИ!B17:G17,КОЭФФИЦИЕНТЫ_ВЫБОРА!F32:K32)</f>
        <v>1.66</v>
      </c>
      <c r="I2543" s="12" t="n">
        <f aca="false">SUMPRODUCT(ПОТОКИ!B16:G16,ЧАСОВЫЕ_ПРОФИЛИ!B17:G17,КОЭФФИЦИЕНТЫ_ВЫБОРА!F32:K32,ПАРАМЕТРЫ!$B$17:$G$17)</f>
        <v>1.826</v>
      </c>
      <c r="J2543" s="12" t="n">
        <f aca="false">I2543*G2543/1000</f>
        <v>0.5478</v>
      </c>
      <c r="K2543" s="11" t="s">
        <v>217</v>
      </c>
      <c r="L2543" s="11" t="s">
        <v>19</v>
      </c>
      <c r="M2543" s="11" t="s">
        <v>145</v>
      </c>
    </row>
    <row r="2544" customFormat="false" ht="15" hidden="false" customHeight="false" outlineLevel="0" collapsed="false">
      <c r="A2544" s="11" t="s">
        <v>112</v>
      </c>
      <c r="B2544" s="11" t="s">
        <v>130</v>
      </c>
      <c r="C2544" s="11" t="n">
        <v>23</v>
      </c>
      <c r="D2544" s="11" t="s">
        <v>86</v>
      </c>
      <c r="E2544" s="11" t="s">
        <v>179</v>
      </c>
      <c r="F2544" s="11" t="s">
        <v>85</v>
      </c>
      <c r="G2544" s="12" t="n">
        <v>150</v>
      </c>
      <c r="H2544" s="12" t="n">
        <f aca="false">SUMPRODUCT(ПОТОКИ!B16:G16,ЧАСОВЫЕ_ПРОФИЛИ!B17:G17,КОЭФФИЦИЕНТЫ_ВЫБОРА!F33:K33)</f>
        <v>1.2536</v>
      </c>
      <c r="I2544" s="12" t="n">
        <f aca="false">SUMPRODUCT(ПОТОКИ!B16:G16,ЧАСОВЫЕ_ПРОФИЛИ!B17:G17,КОЭФФИЦИЕНТЫ_ВЫБОРА!F33:K33,ПАРАМЕТРЫ!$B$17:$G$17)</f>
        <v>1.37896</v>
      </c>
      <c r="J2544" s="12" t="n">
        <f aca="false">I2544*G2544/1000</f>
        <v>0.206844</v>
      </c>
      <c r="K2544" s="11" t="s">
        <v>217</v>
      </c>
      <c r="L2544" s="11" t="s">
        <v>19</v>
      </c>
      <c r="M2544" s="11" t="s">
        <v>147</v>
      </c>
    </row>
    <row r="2545" customFormat="false" ht="15" hidden="false" customHeight="false" outlineLevel="0" collapsed="false">
      <c r="A2545" s="11" t="s">
        <v>112</v>
      </c>
      <c r="B2545" s="11" t="s">
        <v>130</v>
      </c>
      <c r="C2545" s="11" t="n">
        <v>24</v>
      </c>
      <c r="D2545" s="11" t="s">
        <v>86</v>
      </c>
      <c r="E2545" s="11" t="s">
        <v>180</v>
      </c>
      <c r="F2545" s="11" t="s">
        <v>85</v>
      </c>
      <c r="G2545" s="12" t="n">
        <v>150</v>
      </c>
      <c r="H2545" s="12" t="n">
        <f aca="false">SUMPRODUCT(ПОТОКИ!B16:G16,ЧАСОВЫЕ_ПРОФИЛИ!B17:G17,КОЭФФИЦИЕНТЫ_ВЫБОРА!F34:K34)</f>
        <v>0.6268</v>
      </c>
      <c r="I2545" s="12" t="n">
        <f aca="false">SUMPRODUCT(ПОТОКИ!B16:G16,ЧАСОВЫЕ_ПРОФИЛИ!B17:G17,КОЭФФИЦИЕНТЫ_ВЫБОРА!F34:K34,ПАРАМЕТРЫ!$B$17:$G$17)</f>
        <v>0.68948</v>
      </c>
      <c r="J2545" s="12" t="n">
        <f aca="false">I2545*G2545/1000</f>
        <v>0.103422</v>
      </c>
      <c r="K2545" s="11" t="s">
        <v>217</v>
      </c>
      <c r="L2545" s="11" t="s">
        <v>19</v>
      </c>
      <c r="M2545" s="11" t="s">
        <v>147</v>
      </c>
    </row>
    <row r="2546" customFormat="false" ht="15" hidden="false" customHeight="false" outlineLevel="0" collapsed="false">
      <c r="A2546" s="11" t="s">
        <v>112</v>
      </c>
      <c r="B2546" s="11" t="s">
        <v>130</v>
      </c>
      <c r="C2546" s="11" t="n">
        <v>25</v>
      </c>
      <c r="D2546" s="11" t="s">
        <v>86</v>
      </c>
      <c r="E2546" s="11" t="s">
        <v>181</v>
      </c>
      <c r="F2546" s="11" t="s">
        <v>85</v>
      </c>
      <c r="G2546" s="12" t="n">
        <v>150</v>
      </c>
      <c r="H2546" s="12" t="n">
        <f aca="false">SUMPRODUCT(ПОТОКИ!B16:G16,ЧАСОВЫЕ_ПРОФИЛИ!B17:G17,КОЭФФИЦИЕНТЫ_ВЫБОРА!F35:K35)</f>
        <v>1.2536</v>
      </c>
      <c r="I2546" s="12" t="n">
        <f aca="false">SUMPRODUCT(ПОТОКИ!B16:G16,ЧАСОВЫЕ_ПРОФИЛИ!B17:G17,КОЭФФИЦИЕНТЫ_ВЫБОРА!F35:K35,ПАРАМЕТРЫ!$B$17:$G$17)</f>
        <v>1.37896</v>
      </c>
      <c r="J2546" s="12" t="n">
        <f aca="false">I2546*G2546/1000</f>
        <v>0.206844</v>
      </c>
      <c r="K2546" s="11" t="s">
        <v>217</v>
      </c>
      <c r="L2546" s="11" t="s">
        <v>19</v>
      </c>
      <c r="M2546" s="11" t="s">
        <v>147</v>
      </c>
    </row>
    <row r="2547" customFormat="false" ht="23.85" hidden="false" customHeight="false" outlineLevel="0" collapsed="false">
      <c r="A2547" s="11" t="s">
        <v>112</v>
      </c>
      <c r="B2547" s="11" t="s">
        <v>130</v>
      </c>
      <c r="C2547" s="11" t="n">
        <v>26</v>
      </c>
      <c r="D2547" s="11" t="s">
        <v>89</v>
      </c>
      <c r="E2547" s="11" t="s">
        <v>182</v>
      </c>
      <c r="F2547" s="11" t="s">
        <v>88</v>
      </c>
      <c r="G2547" s="12" t="n">
        <v>225</v>
      </c>
      <c r="H2547" s="12" t="n">
        <f aca="false">SUMPRODUCT(ПОТОКИ!B16:G16,ЧАСОВЫЕ_ПРОФИЛИ!B17:G17,КОЭФФИЦИЕНТЫ_ВЫБОРА!F36:K36)</f>
        <v>0</v>
      </c>
      <c r="I2547" s="12" t="n">
        <f aca="false">SUMPRODUCT(ПОТОКИ!B16:G16,ЧАСОВЫЕ_ПРОФИЛИ!B17:G17,КОЭФФИЦИЕНТЫ_ВЫБОРА!F36:K36,ПАРАМЕТРЫ!$B$17:$G$17)</f>
        <v>0</v>
      </c>
      <c r="J2547" s="12" t="n">
        <f aca="false">I2547*G2547/1000</f>
        <v>0</v>
      </c>
      <c r="K2547" s="11" t="s">
        <v>217</v>
      </c>
      <c r="L2547" s="11" t="s">
        <v>19</v>
      </c>
      <c r="M2547" s="11" t="s">
        <v>145</v>
      </c>
    </row>
    <row r="2548" customFormat="false" ht="23.85" hidden="false" customHeight="false" outlineLevel="0" collapsed="false">
      <c r="A2548" s="11" t="s">
        <v>112</v>
      </c>
      <c r="B2548" s="11" t="s">
        <v>130</v>
      </c>
      <c r="C2548" s="11" t="n">
        <v>27</v>
      </c>
      <c r="D2548" s="11" t="s">
        <v>89</v>
      </c>
      <c r="E2548" s="11" t="s">
        <v>183</v>
      </c>
      <c r="F2548" s="11" t="s">
        <v>88</v>
      </c>
      <c r="G2548" s="12" t="n">
        <v>265</v>
      </c>
      <c r="H2548" s="12" t="n">
        <f aca="false">SUMPRODUCT(ПОТОКИ!B16:G16,ЧАСОВЫЕ_ПРОФИЛИ!B17:G17,КОЭФФИЦИЕНТЫ_ВЫБОРА!F37:K37)</f>
        <v>0</v>
      </c>
      <c r="I2548" s="12" t="n">
        <f aca="false">SUMPRODUCT(ПОТОКИ!B16:G16,ЧАСОВЫЕ_ПРОФИЛИ!B17:G17,КОЭФФИЦИЕНТЫ_ВЫБОРА!F37:K37,ПАРАМЕТРЫ!$B$17:$G$17)</f>
        <v>0</v>
      </c>
      <c r="J2548" s="12" t="n">
        <f aca="false">I2548*G2548/1000</f>
        <v>0</v>
      </c>
      <c r="K2548" s="11" t="s">
        <v>217</v>
      </c>
      <c r="L2548" s="11" t="s">
        <v>19</v>
      </c>
      <c r="M2548" s="11" t="s">
        <v>145</v>
      </c>
    </row>
    <row r="2549" customFormat="false" ht="23.85" hidden="false" customHeight="false" outlineLevel="0" collapsed="false">
      <c r="A2549" s="11" t="s">
        <v>112</v>
      </c>
      <c r="B2549" s="11" t="s">
        <v>130</v>
      </c>
      <c r="C2549" s="11" t="n">
        <v>28</v>
      </c>
      <c r="D2549" s="11" t="s">
        <v>89</v>
      </c>
      <c r="E2549" s="11" t="s">
        <v>184</v>
      </c>
      <c r="F2549" s="11" t="s">
        <v>88</v>
      </c>
      <c r="G2549" s="12" t="n">
        <v>355</v>
      </c>
      <c r="H2549" s="12" t="n">
        <f aca="false">SUMPRODUCT(ПОТОКИ!B16:G16,ЧАСОВЫЕ_ПРОФИЛИ!B17:G17,КОЭФФИЦИЕНТЫ_ВЫБОРА!F38:K38)</f>
        <v>0</v>
      </c>
      <c r="I2549" s="12" t="n">
        <f aca="false">SUMPRODUCT(ПОТОКИ!B16:G16,ЧАСОВЫЕ_ПРОФИЛИ!B17:G17,КОЭФФИЦИЕНТЫ_ВЫБОРА!F38:K38,ПАРАМЕТРЫ!$B$17:$G$17)</f>
        <v>0</v>
      </c>
      <c r="J2549" s="12" t="n">
        <f aca="false">I2549*G2549/1000</f>
        <v>0</v>
      </c>
      <c r="K2549" s="11" t="s">
        <v>217</v>
      </c>
      <c r="L2549" s="11" t="s">
        <v>19</v>
      </c>
      <c r="M2549" s="11" t="s">
        <v>145</v>
      </c>
    </row>
    <row r="2550" customFormat="false" ht="15" hidden="false" customHeight="false" outlineLevel="0" collapsed="false">
      <c r="A2550" s="11" t="s">
        <v>112</v>
      </c>
      <c r="B2550" s="11" t="s">
        <v>130</v>
      </c>
      <c r="C2550" s="11" t="n">
        <v>29</v>
      </c>
      <c r="D2550" s="11" t="s">
        <v>92</v>
      </c>
      <c r="E2550" s="11" t="s">
        <v>185</v>
      </c>
      <c r="F2550" s="11" t="s">
        <v>91</v>
      </c>
      <c r="G2550" s="12" t="n">
        <v>150</v>
      </c>
      <c r="H2550" s="12" t="n">
        <f aca="false">SUMPRODUCT(ПОТОКИ!B16:G16,ЧАСОВЫЕ_ПРОФИЛИ!B17:G17,КОЭФФИЦИЕНТЫ_ВЫБОРА!F39:K39)</f>
        <v>0.624</v>
      </c>
      <c r="I2550" s="12" t="n">
        <f aca="false">SUMPRODUCT(ПОТОКИ!B16:G16,ЧАСОВЫЕ_ПРОФИЛИ!B17:G17,КОЭФФИЦИЕНТЫ_ВЫБОРА!F39:K39,ПАРАМЕТРЫ!$B$17:$G$17)</f>
        <v>0.6864</v>
      </c>
      <c r="J2550" s="12" t="n">
        <f aca="false">I2550*G2550/1000</f>
        <v>0.10296</v>
      </c>
      <c r="K2550" s="11" t="s">
        <v>217</v>
      </c>
      <c r="L2550" s="11" t="s">
        <v>19</v>
      </c>
      <c r="M2550" s="11" t="s">
        <v>145</v>
      </c>
    </row>
    <row r="2551" customFormat="false" ht="15" hidden="false" customHeight="false" outlineLevel="0" collapsed="false">
      <c r="A2551" s="11" t="s">
        <v>112</v>
      </c>
      <c r="B2551" s="11" t="s">
        <v>130</v>
      </c>
      <c r="C2551" s="11" t="n">
        <v>30</v>
      </c>
      <c r="D2551" s="11" t="s">
        <v>92</v>
      </c>
      <c r="E2551" s="11" t="s">
        <v>186</v>
      </c>
      <c r="F2551" s="11" t="s">
        <v>91</v>
      </c>
      <c r="G2551" s="12" t="n">
        <v>120</v>
      </c>
      <c r="H2551" s="12" t="n">
        <f aca="false">SUMPRODUCT(ПОТОКИ!B16:G16,ЧАСОВЫЕ_ПРОФИЛИ!B17:G17,КОЭФФИЦИЕНТЫ_ВЫБОРА!F40:K40)</f>
        <v>0.624</v>
      </c>
      <c r="I2551" s="12" t="n">
        <f aca="false">SUMPRODUCT(ПОТОКИ!B16:G16,ЧАСОВЫЕ_ПРОФИЛИ!B17:G17,КОЭФФИЦИЕНТЫ_ВЫБОРА!F40:K40,ПАРАМЕТРЫ!$B$17:$G$17)</f>
        <v>0.6864</v>
      </c>
      <c r="J2551" s="12" t="n">
        <f aca="false">I2551*G2551/1000</f>
        <v>0.082368</v>
      </c>
      <c r="K2551" s="11" t="s">
        <v>217</v>
      </c>
      <c r="L2551" s="11" t="s">
        <v>19</v>
      </c>
      <c r="M2551" s="11" t="s">
        <v>145</v>
      </c>
    </row>
    <row r="2552" customFormat="false" ht="15" hidden="false" customHeight="false" outlineLevel="0" collapsed="false">
      <c r="A2552" s="11" t="s">
        <v>112</v>
      </c>
      <c r="B2552" s="11" t="s">
        <v>130</v>
      </c>
      <c r="C2552" s="11" t="n">
        <v>31</v>
      </c>
      <c r="D2552" s="11" t="s">
        <v>92</v>
      </c>
      <c r="E2552" s="11" t="s">
        <v>187</v>
      </c>
      <c r="F2552" s="11" t="s">
        <v>91</v>
      </c>
      <c r="G2552" s="12" t="n">
        <v>60</v>
      </c>
      <c r="H2552" s="12" t="n">
        <f aca="false">SUMPRODUCT(ПОТОКИ!B16:G16,ЧАСОВЫЕ_ПРОФИЛИ!B17:G17,КОЭФФИЦИЕНТЫ_ВЫБОРА!F41:K41)</f>
        <v>0.432</v>
      </c>
      <c r="I2552" s="12" t="n">
        <f aca="false">SUMPRODUCT(ПОТОКИ!B16:G16,ЧАСОВЫЕ_ПРОФИЛИ!B17:G17,КОЭФФИЦИЕНТЫ_ВЫБОРА!F41:K41,ПАРАМЕТРЫ!$B$17:$G$17)</f>
        <v>0.4752</v>
      </c>
      <c r="J2552" s="12" t="n">
        <f aca="false">I2552*G2552/1000</f>
        <v>0.028512</v>
      </c>
      <c r="K2552" s="11" t="s">
        <v>217</v>
      </c>
      <c r="L2552" s="11" t="s">
        <v>19</v>
      </c>
      <c r="M2552" s="11" t="s">
        <v>145</v>
      </c>
    </row>
    <row r="2553" customFormat="false" ht="15" hidden="false" customHeight="false" outlineLevel="0" collapsed="false">
      <c r="A2553" s="11" t="s">
        <v>112</v>
      </c>
      <c r="B2553" s="11" t="s">
        <v>131</v>
      </c>
      <c r="C2553" s="11" t="n">
        <v>1</v>
      </c>
      <c r="D2553" s="11" t="s">
        <v>74</v>
      </c>
      <c r="E2553" s="11" t="s">
        <v>153</v>
      </c>
      <c r="F2553" s="11" t="s">
        <v>73</v>
      </c>
      <c r="G2553" s="12" t="n">
        <v>450</v>
      </c>
      <c r="H2553" s="12" t="n">
        <f aca="false">SUMPRODUCT(ПОТОКИ!B16:G16,ЧАСОВЫЕ_ПРОФИЛИ!B18:G18,КОЭФФИЦИЕНТЫ_ВЫБОРА!F11:K11)</f>
        <v>0.303</v>
      </c>
      <c r="I2553" s="12" t="n">
        <f aca="false">SUMPRODUCT(ПОТОКИ!B16:G16,ЧАСОВЫЕ_ПРОФИЛИ!B18:G18,КОЭФФИЦИЕНТЫ_ВЫБОРА!F11:K11,ПАРАМЕТРЫ!$B$17:$G$17)</f>
        <v>0.3333</v>
      </c>
      <c r="J2553" s="12" t="n">
        <f aca="false">I2553*G2553/1000</f>
        <v>0.149985</v>
      </c>
      <c r="K2553" s="11" t="s">
        <v>217</v>
      </c>
      <c r="L2553" s="11" t="s">
        <v>19</v>
      </c>
      <c r="M2553" s="11" t="s">
        <v>145</v>
      </c>
    </row>
    <row r="2554" customFormat="false" ht="15" hidden="false" customHeight="false" outlineLevel="0" collapsed="false">
      <c r="A2554" s="11" t="s">
        <v>112</v>
      </c>
      <c r="B2554" s="11" t="s">
        <v>131</v>
      </c>
      <c r="C2554" s="11" t="n">
        <v>2</v>
      </c>
      <c r="D2554" s="11" t="s">
        <v>74</v>
      </c>
      <c r="E2554" s="11" t="s">
        <v>154</v>
      </c>
      <c r="F2554" s="11" t="s">
        <v>73</v>
      </c>
      <c r="G2554" s="12" t="n">
        <v>480</v>
      </c>
      <c r="H2554" s="12" t="n">
        <f aca="false">SUMPRODUCT(ПОТОКИ!B16:G16,ЧАСОВЫЕ_ПРОФИЛИ!B18:G18,КОЭФФИЦИЕНТЫ_ВЫБОРА!F12:K12)</f>
        <v>0.494</v>
      </c>
      <c r="I2554" s="12" t="n">
        <f aca="false">SUMPRODUCT(ПОТОКИ!B16:G16,ЧАСОВЫЕ_ПРОФИЛИ!B18:G18,КОЭФФИЦИЕНТЫ_ВЫБОРА!F12:K12,ПАРАМЕТРЫ!$B$17:$G$17)</f>
        <v>0.5434</v>
      </c>
      <c r="J2554" s="12" t="n">
        <f aca="false">I2554*G2554/1000</f>
        <v>0.260832</v>
      </c>
      <c r="K2554" s="11" t="s">
        <v>217</v>
      </c>
      <c r="L2554" s="11" t="s">
        <v>19</v>
      </c>
      <c r="M2554" s="11" t="s">
        <v>145</v>
      </c>
    </row>
    <row r="2555" customFormat="false" ht="15" hidden="false" customHeight="false" outlineLevel="0" collapsed="false">
      <c r="A2555" s="11" t="s">
        <v>112</v>
      </c>
      <c r="B2555" s="11" t="s">
        <v>131</v>
      </c>
      <c r="C2555" s="11" t="n">
        <v>3</v>
      </c>
      <c r="D2555" s="11" t="s">
        <v>74</v>
      </c>
      <c r="E2555" s="11" t="s">
        <v>155</v>
      </c>
      <c r="F2555" s="11" t="s">
        <v>73</v>
      </c>
      <c r="G2555" s="12" t="n">
        <v>500</v>
      </c>
      <c r="H2555" s="12" t="n">
        <f aca="false">SUMPRODUCT(ПОТОКИ!B16:G16,ЧАСОВЫЕ_ПРОФИЛИ!B18:G18,КОЭФФИЦИЕНТЫ_ВЫБОРА!F13:K13)</f>
        <v>0.741</v>
      </c>
      <c r="I2555" s="12" t="n">
        <f aca="false">SUMPRODUCT(ПОТОКИ!B16:G16,ЧАСОВЫЕ_ПРОФИЛИ!B18:G18,КОЭФФИЦИЕНТЫ_ВЫБОРА!F13:K13,ПАРАМЕТРЫ!$B$17:$G$17)</f>
        <v>0.8151</v>
      </c>
      <c r="J2555" s="12" t="n">
        <f aca="false">I2555*G2555/1000</f>
        <v>0.40755</v>
      </c>
      <c r="K2555" s="11" t="s">
        <v>217</v>
      </c>
      <c r="L2555" s="11" t="s">
        <v>19</v>
      </c>
      <c r="M2555" s="11" t="s">
        <v>145</v>
      </c>
    </row>
    <row r="2556" customFormat="false" ht="15" hidden="false" customHeight="false" outlineLevel="0" collapsed="false">
      <c r="A2556" s="11" t="s">
        <v>112</v>
      </c>
      <c r="B2556" s="11" t="s">
        <v>131</v>
      </c>
      <c r="C2556" s="11" t="n">
        <v>4</v>
      </c>
      <c r="D2556" s="11" t="s">
        <v>74</v>
      </c>
      <c r="E2556" s="11" t="s">
        <v>156</v>
      </c>
      <c r="F2556" s="11" t="s">
        <v>73</v>
      </c>
      <c r="G2556" s="12" t="n">
        <v>500</v>
      </c>
      <c r="H2556" s="12" t="n">
        <f aca="false">SUMPRODUCT(ПОТОКИ!B16:G16,ЧАСОВЫЕ_ПРОФИЛИ!B18:G18,КОЭФФИЦИЕНТЫ_ВЫБОРА!F14:K14)</f>
        <v>0.932</v>
      </c>
      <c r="I2556" s="12" t="n">
        <f aca="false">SUMPRODUCT(ПОТОКИ!B16:G16,ЧАСОВЫЕ_ПРОФИЛИ!B18:G18,КОЭФФИЦИЕНТЫ_ВЫБОРА!F14:K14,ПАРАМЕТРЫ!$B$17:$G$17)</f>
        <v>1.0252</v>
      </c>
      <c r="J2556" s="12" t="n">
        <f aca="false">I2556*G2556/1000</f>
        <v>0.5126</v>
      </c>
      <c r="K2556" s="11" t="s">
        <v>217</v>
      </c>
      <c r="L2556" s="11" t="s">
        <v>19</v>
      </c>
      <c r="M2556" s="11" t="s">
        <v>145</v>
      </c>
    </row>
    <row r="2557" customFormat="false" ht="15" hidden="false" customHeight="false" outlineLevel="0" collapsed="false">
      <c r="A2557" s="11" t="s">
        <v>112</v>
      </c>
      <c r="B2557" s="11" t="s">
        <v>131</v>
      </c>
      <c r="C2557" s="11" t="n">
        <v>5</v>
      </c>
      <c r="D2557" s="11" t="s">
        <v>78</v>
      </c>
      <c r="E2557" s="11" t="s">
        <v>157</v>
      </c>
      <c r="F2557" s="11" t="s">
        <v>77</v>
      </c>
      <c r="G2557" s="12" t="n">
        <v>100</v>
      </c>
      <c r="H2557" s="12" t="n">
        <f aca="false">SUMPRODUCT(ПОТОКИ!B16:G16,ЧАСОВЫЕ_ПРОФИЛИ!B18:G18,КОЭФФИЦИЕНТЫ_ВЫБОРА!F15:K15)</f>
        <v>0.557</v>
      </c>
      <c r="I2557" s="12" t="n">
        <f aca="false">SUMPRODUCT(ПОТОКИ!B16:G16,ЧАСОВЫЕ_ПРОФИЛИ!B18:G18,КОЭФФИЦИЕНТЫ_ВЫБОРА!F15:K15,ПАРАМЕТРЫ!$B$17:$G$17)</f>
        <v>0.6127</v>
      </c>
      <c r="J2557" s="12" t="n">
        <f aca="false">I2557*G2557/1000</f>
        <v>0.06127</v>
      </c>
      <c r="K2557" s="11" t="s">
        <v>217</v>
      </c>
      <c r="L2557" s="11" t="s">
        <v>19</v>
      </c>
      <c r="M2557" s="11" t="s">
        <v>147</v>
      </c>
    </row>
    <row r="2558" customFormat="false" ht="15" hidden="false" customHeight="false" outlineLevel="0" collapsed="false">
      <c r="A2558" s="11" t="s">
        <v>112</v>
      </c>
      <c r="B2558" s="11" t="s">
        <v>131</v>
      </c>
      <c r="C2558" s="11" t="n">
        <v>6</v>
      </c>
      <c r="D2558" s="11" t="s">
        <v>78</v>
      </c>
      <c r="E2558" s="11" t="s">
        <v>158</v>
      </c>
      <c r="F2558" s="11" t="s">
        <v>77</v>
      </c>
      <c r="G2558" s="12" t="n">
        <v>100</v>
      </c>
      <c r="H2558" s="12" t="n">
        <f aca="false">SUMPRODUCT(ПОТОКИ!B16:G16,ЧАСОВЫЕ_ПРОФИЛИ!B18:G18,КОЭФФИЦИЕНТЫ_ВЫБОРА!F16:K16)</f>
        <v>0.501</v>
      </c>
      <c r="I2558" s="12" t="n">
        <f aca="false">SUMPRODUCT(ПОТОКИ!B16:G16,ЧАСОВЫЕ_ПРОФИЛИ!B18:G18,КОЭФФИЦИЕНТЫ_ВЫБОРА!F16:K16,ПАРАМЕТРЫ!$B$17:$G$17)</f>
        <v>0.5511</v>
      </c>
      <c r="J2558" s="12" t="n">
        <f aca="false">I2558*G2558/1000</f>
        <v>0.05511</v>
      </c>
      <c r="K2558" s="11" t="s">
        <v>217</v>
      </c>
      <c r="L2558" s="11" t="s">
        <v>19</v>
      </c>
      <c r="M2558" s="11" t="s">
        <v>147</v>
      </c>
    </row>
    <row r="2559" customFormat="false" ht="15" hidden="false" customHeight="false" outlineLevel="0" collapsed="false">
      <c r="A2559" s="11" t="s">
        <v>112</v>
      </c>
      <c r="B2559" s="11" t="s">
        <v>131</v>
      </c>
      <c r="C2559" s="11" t="n">
        <v>7</v>
      </c>
      <c r="D2559" s="11" t="s">
        <v>78</v>
      </c>
      <c r="E2559" s="11" t="s">
        <v>159</v>
      </c>
      <c r="F2559" s="11" t="s">
        <v>77</v>
      </c>
      <c r="G2559" s="12" t="n">
        <v>350</v>
      </c>
      <c r="H2559" s="12" t="n">
        <f aca="false">SUMPRODUCT(ПОТОКИ!B16:G16,ЧАСОВЫЕ_ПРОФИЛИ!B18:G18,КОЭФФИЦИЕНТЫ_ВЫБОРА!F17:K17)</f>
        <v>0.4455</v>
      </c>
      <c r="I2559" s="12" t="n">
        <f aca="false">SUMPRODUCT(ПОТОКИ!B16:G16,ЧАСОВЫЕ_ПРОФИЛИ!B18:G18,КОЭФФИЦИЕНТЫ_ВЫБОРА!F17:K17,ПАРАМЕТРЫ!$B$17:$G$17)</f>
        <v>0.49005</v>
      </c>
      <c r="J2559" s="12" t="n">
        <f aca="false">I2559*G2559/1000</f>
        <v>0.1715175</v>
      </c>
      <c r="K2559" s="11" t="s">
        <v>217</v>
      </c>
      <c r="L2559" s="11" t="s">
        <v>19</v>
      </c>
      <c r="M2559" s="11" t="s">
        <v>147</v>
      </c>
    </row>
    <row r="2560" customFormat="false" ht="15" hidden="false" customHeight="false" outlineLevel="0" collapsed="false">
      <c r="A2560" s="11" t="s">
        <v>112</v>
      </c>
      <c r="B2560" s="11" t="s">
        <v>131</v>
      </c>
      <c r="C2560" s="11" t="n">
        <v>8</v>
      </c>
      <c r="D2560" s="11" t="s">
        <v>78</v>
      </c>
      <c r="E2560" s="11" t="s">
        <v>160</v>
      </c>
      <c r="F2560" s="11" t="s">
        <v>77</v>
      </c>
      <c r="G2560" s="12" t="n">
        <v>85</v>
      </c>
      <c r="H2560" s="12" t="n">
        <f aca="false">SUMPRODUCT(ПОТОКИ!B16:G16,ЧАСОВЫЕ_ПРОФИЛИ!B18:G18,КОЭФФИЦИЕНТЫ_ВЫБОРА!F18:K18)</f>
        <v>0.2785</v>
      </c>
      <c r="I2560" s="12" t="n">
        <f aca="false">SUMPRODUCT(ПОТОКИ!B16:G16,ЧАСОВЫЕ_ПРОФИЛИ!B18:G18,КОЭФФИЦИЕНТЫ_ВЫБОРА!F18:K18,ПАРАМЕТРЫ!$B$17:$G$17)</f>
        <v>0.30635</v>
      </c>
      <c r="J2560" s="12" t="n">
        <f aca="false">I2560*G2560/1000</f>
        <v>0.02603975</v>
      </c>
      <c r="K2560" s="11" t="s">
        <v>217</v>
      </c>
      <c r="L2560" s="11" t="s">
        <v>19</v>
      </c>
      <c r="M2560" s="11" t="s">
        <v>147</v>
      </c>
    </row>
    <row r="2561" customFormat="false" ht="15" hidden="false" customHeight="false" outlineLevel="0" collapsed="false">
      <c r="A2561" s="11" t="s">
        <v>112</v>
      </c>
      <c r="B2561" s="11" t="s">
        <v>131</v>
      </c>
      <c r="C2561" s="11" t="n">
        <v>9</v>
      </c>
      <c r="D2561" s="11" t="s">
        <v>161</v>
      </c>
      <c r="E2561" s="11" t="s">
        <v>162</v>
      </c>
      <c r="F2561" s="11" t="s">
        <v>80</v>
      </c>
      <c r="G2561" s="12" t="n">
        <v>300</v>
      </c>
      <c r="H2561" s="12" t="n">
        <f aca="false">SUMPRODUCT(ПОТОКИ!B16:G16,ЧАСОВЫЕ_ПРОФИЛИ!B18:G18,КОЭФФИЦИЕНТЫ_ВЫБОРА!F19:K19)</f>
        <v>0.465</v>
      </c>
      <c r="I2561" s="12" t="n">
        <f aca="false">SUMPRODUCT(ПОТОКИ!B16:G16,ЧАСОВЫЕ_ПРОФИЛИ!B18:G18,КОЭФФИЦИЕНТЫ_ВЫБОРА!F19:K19,ПАРАМЕТРЫ!$B$17:$G$17)</f>
        <v>0.5115</v>
      </c>
      <c r="J2561" s="12" t="n">
        <f aca="false">I2561*G2561/1000</f>
        <v>0.15345</v>
      </c>
      <c r="K2561" s="11" t="s">
        <v>217</v>
      </c>
      <c r="L2561" s="11" t="s">
        <v>19</v>
      </c>
      <c r="M2561" s="11" t="s">
        <v>145</v>
      </c>
    </row>
    <row r="2562" customFormat="false" ht="15" hidden="false" customHeight="false" outlineLevel="0" collapsed="false">
      <c r="A2562" s="11" t="s">
        <v>112</v>
      </c>
      <c r="B2562" s="11" t="s">
        <v>131</v>
      </c>
      <c r="C2562" s="11" t="n">
        <v>10</v>
      </c>
      <c r="D2562" s="11" t="s">
        <v>161</v>
      </c>
      <c r="E2562" s="11" t="s">
        <v>163</v>
      </c>
      <c r="F2562" s="11" t="s">
        <v>80</v>
      </c>
      <c r="G2562" s="12" t="n">
        <v>280</v>
      </c>
      <c r="H2562" s="12" t="n">
        <f aca="false">SUMPRODUCT(ПОТОКИ!B16:G16,ЧАСОВЫЕ_ПРОФИЛИ!B18:G18,КОЭФФИЦИЕНТЫ_ВЫБОРА!F20:K20)</f>
        <v>0.51</v>
      </c>
      <c r="I2562" s="12" t="n">
        <f aca="false">SUMPRODUCT(ПОТОКИ!B16:G16,ЧАСОВЫЕ_ПРОФИЛИ!B18:G18,КОЭФФИЦИЕНТЫ_ВЫБОРА!F20:K20,ПАРАМЕТРЫ!$B$17:$G$17)</f>
        <v>0.561</v>
      </c>
      <c r="J2562" s="12" t="n">
        <f aca="false">I2562*G2562/1000</f>
        <v>0.15708</v>
      </c>
      <c r="K2562" s="11" t="s">
        <v>217</v>
      </c>
      <c r="L2562" s="11" t="s">
        <v>19</v>
      </c>
      <c r="M2562" s="11" t="s">
        <v>145</v>
      </c>
    </row>
    <row r="2563" customFormat="false" ht="15" hidden="false" customHeight="false" outlineLevel="0" collapsed="false">
      <c r="A2563" s="11" t="s">
        <v>112</v>
      </c>
      <c r="B2563" s="11" t="s">
        <v>131</v>
      </c>
      <c r="C2563" s="11" t="n">
        <v>11</v>
      </c>
      <c r="D2563" s="11" t="s">
        <v>161</v>
      </c>
      <c r="E2563" s="11" t="s">
        <v>164</v>
      </c>
      <c r="F2563" s="11" t="s">
        <v>80</v>
      </c>
      <c r="G2563" s="12" t="n">
        <v>270</v>
      </c>
      <c r="H2563" s="12" t="n">
        <f aca="false">SUMPRODUCT(ПОТОКИ!B16:G16,ЧАСОВЫЕ_ПРОФИЛИ!B18:G18,КОЭФФИЦИЕНТЫ_ВЫБОРА!F21:K21)</f>
        <v>0.7905</v>
      </c>
      <c r="I2563" s="12" t="n">
        <f aca="false">SUMPRODUCT(ПОТОКИ!B16:G16,ЧАСОВЫЕ_ПРОФИЛИ!B18:G18,КОЭФФИЦИЕНТЫ_ВЫБОРА!F21:K21,ПАРАМЕТРЫ!$B$17:$G$17)</f>
        <v>0.86955</v>
      </c>
      <c r="J2563" s="12" t="n">
        <f aca="false">I2563*G2563/1000</f>
        <v>0.2347785</v>
      </c>
      <c r="K2563" s="11" t="s">
        <v>217</v>
      </c>
      <c r="L2563" s="11" t="s">
        <v>19</v>
      </c>
      <c r="M2563" s="11" t="s">
        <v>145</v>
      </c>
    </row>
    <row r="2564" customFormat="false" ht="15" hidden="false" customHeight="false" outlineLevel="0" collapsed="false">
      <c r="A2564" s="11" t="s">
        <v>112</v>
      </c>
      <c r="B2564" s="11" t="s">
        <v>131</v>
      </c>
      <c r="C2564" s="11" t="n">
        <v>12</v>
      </c>
      <c r="D2564" s="11" t="s">
        <v>161</v>
      </c>
      <c r="E2564" s="11" t="s">
        <v>165</v>
      </c>
      <c r="F2564" s="11" t="s">
        <v>80</v>
      </c>
      <c r="G2564" s="12" t="n">
        <v>240</v>
      </c>
      <c r="H2564" s="12" t="n">
        <f aca="false">SUMPRODUCT(ПОТОКИ!B16:G16,ЧАСОВЫЕ_ПРОФИЛИ!B18:G18,КОЭФФИЦИЕНТЫ_ВЫБОРА!F22:K22)</f>
        <v>0.3645</v>
      </c>
      <c r="I2564" s="12" t="n">
        <f aca="false">SUMPRODUCT(ПОТОКИ!B16:G16,ЧАСОВЫЕ_ПРОФИЛИ!B18:G18,КОЭФФИЦИЕНТЫ_ВЫБОРА!F22:K22,ПАРАМЕТРЫ!$B$17:$G$17)</f>
        <v>0.40095</v>
      </c>
      <c r="J2564" s="12" t="n">
        <f aca="false">I2564*G2564/1000</f>
        <v>0.096228</v>
      </c>
      <c r="K2564" s="11" t="s">
        <v>217</v>
      </c>
      <c r="L2564" s="11" t="s">
        <v>19</v>
      </c>
      <c r="M2564" s="11" t="s">
        <v>145</v>
      </c>
    </row>
    <row r="2565" customFormat="false" ht="15" hidden="false" customHeight="false" outlineLevel="0" collapsed="false">
      <c r="A2565" s="11" t="s">
        <v>112</v>
      </c>
      <c r="B2565" s="11" t="s">
        <v>131</v>
      </c>
      <c r="C2565" s="11" t="n">
        <v>13</v>
      </c>
      <c r="D2565" s="11" t="s">
        <v>166</v>
      </c>
      <c r="E2565" s="11" t="s">
        <v>167</v>
      </c>
      <c r="F2565" s="11" t="s">
        <v>80</v>
      </c>
      <c r="G2565" s="12" t="n">
        <v>130</v>
      </c>
      <c r="H2565" s="12" t="n">
        <f aca="false">SUMPRODUCT(ПОТОКИ!B16:G16,ЧАСОВЫЕ_ПРОФИЛИ!B18:G18,КОЭФФИЦИЕНТЫ_ВЫБОРА!F23:K23)</f>
        <v>0.28</v>
      </c>
      <c r="I2565" s="12" t="n">
        <f aca="false">SUMPRODUCT(ПОТОКИ!B16:G16,ЧАСОВЫЕ_ПРОФИЛИ!B18:G18,КОЭФФИЦИЕНТЫ_ВЫБОРА!F23:K23,ПАРАМЕТРЫ!$B$17:$G$17)</f>
        <v>0.308</v>
      </c>
      <c r="J2565" s="12" t="n">
        <f aca="false">I2565*G2565/1000</f>
        <v>0.04004</v>
      </c>
      <c r="K2565" s="11" t="s">
        <v>217</v>
      </c>
      <c r="L2565" s="11" t="s">
        <v>19</v>
      </c>
      <c r="M2565" s="11" t="s">
        <v>145</v>
      </c>
    </row>
    <row r="2566" customFormat="false" ht="15" hidden="false" customHeight="false" outlineLevel="0" collapsed="false">
      <c r="A2566" s="11" t="s">
        <v>112</v>
      </c>
      <c r="B2566" s="11" t="s">
        <v>131</v>
      </c>
      <c r="C2566" s="11" t="n">
        <v>14</v>
      </c>
      <c r="D2566" s="11" t="s">
        <v>166</v>
      </c>
      <c r="E2566" s="11" t="s">
        <v>168</v>
      </c>
      <c r="F2566" s="11" t="s">
        <v>80</v>
      </c>
      <c r="G2566" s="12" t="n">
        <v>250</v>
      </c>
      <c r="H2566" s="12" t="n">
        <f aca="false">SUMPRODUCT(ПОТОКИ!B16:G16,ЧАСОВЫЕ_ПРОФИЛИ!B18:G18,КОЭФФИЦИЕНТЫ_ВЫБОРА!F24:K24)</f>
        <v>0.168</v>
      </c>
      <c r="I2566" s="12" t="n">
        <f aca="false">SUMPRODUCT(ПОТОКИ!B16:G16,ЧАСОВЫЕ_ПРОФИЛИ!B18:G18,КОЭФФИЦИЕНТЫ_ВЫБОРА!F24:K24,ПАРАМЕТРЫ!$B$17:$G$17)</f>
        <v>0.1848</v>
      </c>
      <c r="J2566" s="12" t="n">
        <f aca="false">I2566*G2566/1000</f>
        <v>0.0462</v>
      </c>
      <c r="K2566" s="11" t="s">
        <v>217</v>
      </c>
      <c r="L2566" s="11" t="s">
        <v>19</v>
      </c>
      <c r="M2566" s="11" t="s">
        <v>145</v>
      </c>
    </row>
    <row r="2567" customFormat="false" ht="15" hidden="false" customHeight="false" outlineLevel="0" collapsed="false">
      <c r="A2567" s="11" t="s">
        <v>112</v>
      </c>
      <c r="B2567" s="11" t="s">
        <v>131</v>
      </c>
      <c r="C2567" s="11" t="n">
        <v>15</v>
      </c>
      <c r="D2567" s="11" t="s">
        <v>166</v>
      </c>
      <c r="E2567" s="11" t="s">
        <v>169</v>
      </c>
      <c r="F2567" s="11" t="s">
        <v>80</v>
      </c>
      <c r="G2567" s="12" t="n">
        <v>120</v>
      </c>
      <c r="H2567" s="12" t="n">
        <f aca="false">SUMPRODUCT(ПОТОКИ!B16:G16,ЧАСОВЫЕ_ПРОФИЛИ!B18:G18,КОЭФФИЦИЕНТЫ_ВЫБОРА!F25:K25)</f>
        <v>0.168</v>
      </c>
      <c r="I2567" s="12" t="n">
        <f aca="false">SUMPRODUCT(ПОТОКИ!B16:G16,ЧАСОВЫЕ_ПРОФИЛИ!B18:G18,КОЭФФИЦИЕНТЫ_ВЫБОРА!F25:K25,ПАРАМЕТРЫ!$B$17:$G$17)</f>
        <v>0.1848</v>
      </c>
      <c r="J2567" s="12" t="n">
        <f aca="false">I2567*G2567/1000</f>
        <v>0.022176</v>
      </c>
      <c r="K2567" s="11" t="s">
        <v>217</v>
      </c>
      <c r="L2567" s="11" t="s">
        <v>19</v>
      </c>
      <c r="M2567" s="11" t="s">
        <v>145</v>
      </c>
    </row>
    <row r="2568" customFormat="false" ht="15" hidden="false" customHeight="false" outlineLevel="0" collapsed="false">
      <c r="A2568" s="11" t="s">
        <v>112</v>
      </c>
      <c r="B2568" s="11" t="s">
        <v>131</v>
      </c>
      <c r="C2568" s="11" t="n">
        <v>16</v>
      </c>
      <c r="D2568" s="11" t="s">
        <v>166</v>
      </c>
      <c r="E2568" s="11" t="s">
        <v>170</v>
      </c>
      <c r="F2568" s="11" t="s">
        <v>80</v>
      </c>
      <c r="G2568" s="12" t="n">
        <v>180</v>
      </c>
      <c r="H2568" s="12" t="n">
        <f aca="false">SUMPRODUCT(ПОТОКИ!B16:G16,ЧАСОВЫЕ_ПРОФИЛИ!B18:G18,КОЭФФИЦИЕНТЫ_ВЫБОРА!F26:K26)</f>
        <v>0.224</v>
      </c>
      <c r="I2568" s="12" t="n">
        <f aca="false">SUMPRODUCT(ПОТОКИ!B16:G16,ЧАСОВЫЕ_ПРОФИЛИ!B18:G18,КОЭФФИЦИЕНТЫ_ВЫБОРА!F26:K26,ПАРАМЕТРЫ!$B$17:$G$17)</f>
        <v>0.2464</v>
      </c>
      <c r="J2568" s="12" t="n">
        <f aca="false">I2568*G2568/1000</f>
        <v>0.044352</v>
      </c>
      <c r="K2568" s="11" t="s">
        <v>217</v>
      </c>
      <c r="L2568" s="11" t="s">
        <v>19</v>
      </c>
      <c r="M2568" s="11" t="s">
        <v>145</v>
      </c>
    </row>
    <row r="2569" customFormat="false" ht="15" hidden="false" customHeight="false" outlineLevel="0" collapsed="false">
      <c r="A2569" s="11" t="s">
        <v>112</v>
      </c>
      <c r="B2569" s="11" t="s">
        <v>131</v>
      </c>
      <c r="C2569" s="11" t="n">
        <v>17</v>
      </c>
      <c r="D2569" s="11" t="s">
        <v>166</v>
      </c>
      <c r="E2569" s="11" t="s">
        <v>171</v>
      </c>
      <c r="F2569" s="11" t="s">
        <v>80</v>
      </c>
      <c r="G2569" s="12" t="n">
        <v>180</v>
      </c>
      <c r="H2569" s="12" t="n">
        <f aca="false">SUMPRODUCT(ПОТОКИ!B16:G16,ЧАСОВЫЕ_ПРОФИЛИ!B18:G18,КОЭФФИЦИЕНТЫ_ВЫБОРА!F27:K27)</f>
        <v>0.28</v>
      </c>
      <c r="I2569" s="12" t="n">
        <f aca="false">SUMPRODUCT(ПОТОКИ!B16:G16,ЧАСОВЫЕ_ПРОФИЛИ!B18:G18,КОЭФФИЦИЕНТЫ_ВЫБОРА!F27:K27,ПАРАМЕТРЫ!$B$17:$G$17)</f>
        <v>0.308</v>
      </c>
      <c r="J2569" s="12" t="n">
        <f aca="false">I2569*G2569/1000</f>
        <v>0.05544</v>
      </c>
      <c r="K2569" s="11" t="s">
        <v>217</v>
      </c>
      <c r="L2569" s="11" t="s">
        <v>19</v>
      </c>
      <c r="M2569" s="11" t="s">
        <v>145</v>
      </c>
    </row>
    <row r="2570" customFormat="false" ht="15" hidden="false" customHeight="false" outlineLevel="0" collapsed="false">
      <c r="A2570" s="11" t="s">
        <v>112</v>
      </c>
      <c r="B2570" s="11" t="s">
        <v>131</v>
      </c>
      <c r="C2570" s="11" t="n">
        <v>18</v>
      </c>
      <c r="D2570" s="11" t="s">
        <v>172</v>
      </c>
      <c r="E2570" s="11" t="s">
        <v>173</v>
      </c>
      <c r="F2570" s="11" t="s">
        <v>83</v>
      </c>
      <c r="G2570" s="12" t="n">
        <v>400</v>
      </c>
      <c r="H2570" s="12" t="n">
        <f aca="false">SUMPRODUCT(ПОТОКИ!B16:G16,ЧАСОВЫЕ_ПРОФИЛИ!B18:G18,КОЭФФИЦИЕНТЫ_ВЫБОРА!F28:K28)</f>
        <v>0.56</v>
      </c>
      <c r="I2570" s="12" t="n">
        <f aca="false">SUMPRODUCT(ПОТОКИ!B16:G16,ЧАСОВЫЕ_ПРОФИЛИ!B18:G18,КОЭФФИЦИЕНТЫ_ВЫБОРА!F28:K28,ПАРАМЕТРЫ!$B$17:$G$17)</f>
        <v>0.616</v>
      </c>
      <c r="J2570" s="12" t="n">
        <f aca="false">I2570*G2570/1000</f>
        <v>0.2464</v>
      </c>
      <c r="K2570" s="11" t="s">
        <v>217</v>
      </c>
      <c r="L2570" s="11" t="s">
        <v>19</v>
      </c>
      <c r="M2570" s="11" t="s">
        <v>145</v>
      </c>
    </row>
    <row r="2571" customFormat="false" ht="23.85" hidden="false" customHeight="false" outlineLevel="0" collapsed="false">
      <c r="A2571" s="11" t="s">
        <v>112</v>
      </c>
      <c r="B2571" s="11" t="s">
        <v>131</v>
      </c>
      <c r="C2571" s="11" t="n">
        <v>19</v>
      </c>
      <c r="D2571" s="11" t="s">
        <v>174</v>
      </c>
      <c r="E2571" s="11" t="s">
        <v>175</v>
      </c>
      <c r="F2571" s="11" t="s">
        <v>83</v>
      </c>
      <c r="G2571" s="12" t="n">
        <v>300</v>
      </c>
      <c r="H2571" s="12" t="n">
        <f aca="false">SUMPRODUCT(ПОТОКИ!B16:G16,ЧАСОВЫЕ_ПРОФИЛИ!B18:G18,КОЭФФИЦИЕНТЫ_ВЫБОРА!F29:K29)</f>
        <v>1.15</v>
      </c>
      <c r="I2571" s="12" t="n">
        <f aca="false">SUMPRODUCT(ПОТОКИ!B16:G16,ЧАСОВЫЕ_ПРОФИЛИ!B18:G18,КОЭФФИЦИЕНТЫ_ВЫБОРА!F29:K29,ПАРАМЕТРЫ!$B$17:$G$17)</f>
        <v>1.265</v>
      </c>
      <c r="J2571" s="12" t="n">
        <f aca="false">I2571*G2571/1000</f>
        <v>0.3795</v>
      </c>
      <c r="K2571" s="11" t="s">
        <v>217</v>
      </c>
      <c r="L2571" s="11" t="s">
        <v>19</v>
      </c>
      <c r="M2571" s="11" t="s">
        <v>145</v>
      </c>
    </row>
    <row r="2572" customFormat="false" ht="15" hidden="false" customHeight="false" outlineLevel="0" collapsed="false">
      <c r="A2572" s="11" t="s">
        <v>112</v>
      </c>
      <c r="B2572" s="11" t="s">
        <v>131</v>
      </c>
      <c r="C2572" s="11" t="n">
        <v>20</v>
      </c>
      <c r="D2572" s="11" t="s">
        <v>174</v>
      </c>
      <c r="E2572" s="11" t="s">
        <v>176</v>
      </c>
      <c r="F2572" s="11" t="s">
        <v>83</v>
      </c>
      <c r="G2572" s="12" t="n">
        <v>360</v>
      </c>
      <c r="H2572" s="12" t="n">
        <f aca="false">SUMPRODUCT(ПОТОКИ!B16:G16,ЧАСОВЫЕ_ПРОФИЛИ!B18:G18,КОЭФФИЦИЕНТЫ_ВЫБОРА!F30:K30)</f>
        <v>1.028</v>
      </c>
      <c r="I2572" s="12" t="n">
        <f aca="false">SUMPRODUCT(ПОТОКИ!B16:G16,ЧАСОВЫЕ_ПРОФИЛИ!B18:G18,КОЭФФИЦИЕНТЫ_ВЫБОРА!F30:K30,ПАРАМЕТРЫ!$B$17:$G$17)</f>
        <v>1.1308</v>
      </c>
      <c r="J2572" s="12" t="n">
        <f aca="false">I2572*G2572/1000</f>
        <v>0.407088</v>
      </c>
      <c r="K2572" s="11" t="s">
        <v>217</v>
      </c>
      <c r="L2572" s="11" t="s">
        <v>19</v>
      </c>
      <c r="M2572" s="11" t="s">
        <v>145</v>
      </c>
    </row>
    <row r="2573" customFormat="false" ht="15" hidden="false" customHeight="false" outlineLevel="0" collapsed="false">
      <c r="A2573" s="11" t="s">
        <v>112</v>
      </c>
      <c r="B2573" s="11" t="s">
        <v>131</v>
      </c>
      <c r="C2573" s="11" t="n">
        <v>21</v>
      </c>
      <c r="D2573" s="11" t="s">
        <v>174</v>
      </c>
      <c r="E2573" s="11" t="s">
        <v>177</v>
      </c>
      <c r="F2573" s="11" t="s">
        <v>83</v>
      </c>
      <c r="G2573" s="12" t="n">
        <v>350</v>
      </c>
      <c r="H2573" s="12" t="n">
        <f aca="false">SUMPRODUCT(ПОТОКИ!B16:G16,ЧАСОВЫЕ_ПРОФИЛИ!B18:G18,КОЭФФИЦИЕНТЫ_ВЫБОРА!F31:K31)</f>
        <v>1.572</v>
      </c>
      <c r="I2573" s="12" t="n">
        <f aca="false">SUMPRODUCT(ПОТОКИ!B16:G16,ЧАСОВЫЕ_ПРОФИЛИ!B18:G18,КОЭФФИЦИЕНТЫ_ВЫБОРА!F31:K31,ПАРАМЕТРЫ!$B$17:$G$17)</f>
        <v>1.7292</v>
      </c>
      <c r="J2573" s="12" t="n">
        <f aca="false">I2573*G2573/1000</f>
        <v>0.60522</v>
      </c>
      <c r="K2573" s="11" t="s">
        <v>217</v>
      </c>
      <c r="L2573" s="11" t="s">
        <v>19</v>
      </c>
      <c r="M2573" s="11" t="s">
        <v>145</v>
      </c>
    </row>
    <row r="2574" customFormat="false" ht="15" hidden="false" customHeight="false" outlineLevel="0" collapsed="false">
      <c r="A2574" s="11" t="s">
        <v>112</v>
      </c>
      <c r="B2574" s="11" t="s">
        <v>131</v>
      </c>
      <c r="C2574" s="11" t="n">
        <v>22</v>
      </c>
      <c r="D2574" s="11" t="s">
        <v>174</v>
      </c>
      <c r="E2574" s="11" t="s">
        <v>178</v>
      </c>
      <c r="F2574" s="11" t="s">
        <v>83</v>
      </c>
      <c r="G2574" s="12" t="n">
        <v>300</v>
      </c>
      <c r="H2574" s="12" t="n">
        <f aca="false">SUMPRODUCT(ПОТОКИ!B16:G16,ЧАСОВЫЕ_ПРОФИЛИ!B18:G18,КОЭФФИЦИЕНТЫ_ВЫБОРА!F32:K32)</f>
        <v>1.09</v>
      </c>
      <c r="I2574" s="12" t="n">
        <f aca="false">SUMPRODUCT(ПОТОКИ!B16:G16,ЧАСОВЫЕ_ПРОФИЛИ!B18:G18,КОЭФФИЦИЕНТЫ_ВЫБОРА!F32:K32,ПАРАМЕТРЫ!$B$17:$G$17)</f>
        <v>1.199</v>
      </c>
      <c r="J2574" s="12" t="n">
        <f aca="false">I2574*G2574/1000</f>
        <v>0.3597</v>
      </c>
      <c r="K2574" s="11" t="s">
        <v>217</v>
      </c>
      <c r="L2574" s="11" t="s">
        <v>19</v>
      </c>
      <c r="M2574" s="11" t="s">
        <v>145</v>
      </c>
    </row>
    <row r="2575" customFormat="false" ht="15" hidden="false" customHeight="false" outlineLevel="0" collapsed="false">
      <c r="A2575" s="11" t="s">
        <v>112</v>
      </c>
      <c r="B2575" s="11" t="s">
        <v>131</v>
      </c>
      <c r="C2575" s="11" t="n">
        <v>23</v>
      </c>
      <c r="D2575" s="11" t="s">
        <v>86</v>
      </c>
      <c r="E2575" s="11" t="s">
        <v>179</v>
      </c>
      <c r="F2575" s="11" t="s">
        <v>85</v>
      </c>
      <c r="G2575" s="12" t="n">
        <v>150</v>
      </c>
      <c r="H2575" s="12" t="n">
        <f aca="false">SUMPRODUCT(ПОТОКИ!B16:G16,ЧАСОВЫЕ_ПРОФИЛИ!B18:G18,КОЭФФИЦИЕНТЫ_ВЫБОРА!F33:K33)</f>
        <v>0.87752</v>
      </c>
      <c r="I2575" s="12" t="n">
        <f aca="false">SUMPRODUCT(ПОТОКИ!B16:G16,ЧАСОВЫЕ_ПРОФИЛИ!B18:G18,КОЭФФИЦИЕНТЫ_ВЫБОРА!F33:K33,ПАРАМЕТРЫ!$B$17:$G$17)</f>
        <v>0.965272</v>
      </c>
      <c r="J2575" s="12" t="n">
        <f aca="false">I2575*G2575/1000</f>
        <v>0.1447908</v>
      </c>
      <c r="K2575" s="11" t="s">
        <v>217</v>
      </c>
      <c r="L2575" s="11" t="s">
        <v>19</v>
      </c>
      <c r="M2575" s="11" t="s">
        <v>147</v>
      </c>
    </row>
    <row r="2576" customFormat="false" ht="15" hidden="false" customHeight="false" outlineLevel="0" collapsed="false">
      <c r="A2576" s="11" t="s">
        <v>112</v>
      </c>
      <c r="B2576" s="11" t="s">
        <v>131</v>
      </c>
      <c r="C2576" s="11" t="n">
        <v>24</v>
      </c>
      <c r="D2576" s="11" t="s">
        <v>86</v>
      </c>
      <c r="E2576" s="11" t="s">
        <v>180</v>
      </c>
      <c r="F2576" s="11" t="s">
        <v>85</v>
      </c>
      <c r="G2576" s="12" t="n">
        <v>150</v>
      </c>
      <c r="H2576" s="12" t="n">
        <f aca="false">SUMPRODUCT(ПОТОКИ!B16:G16,ЧАСОВЫЕ_ПРОФИЛИ!B18:G18,КОЭФФИЦИЕНТЫ_ВЫБОРА!F34:K34)</f>
        <v>0.43876</v>
      </c>
      <c r="I2576" s="12" t="n">
        <f aca="false">SUMPRODUCT(ПОТОКИ!B16:G16,ЧАСОВЫЕ_ПРОФИЛИ!B18:G18,КОЭФФИЦИЕНТЫ_ВЫБОРА!F34:K34,ПАРАМЕТРЫ!$B$17:$G$17)</f>
        <v>0.482636</v>
      </c>
      <c r="J2576" s="12" t="n">
        <f aca="false">I2576*G2576/1000</f>
        <v>0.0723954</v>
      </c>
      <c r="K2576" s="11" t="s">
        <v>217</v>
      </c>
      <c r="L2576" s="11" t="s">
        <v>19</v>
      </c>
      <c r="M2576" s="11" t="s">
        <v>147</v>
      </c>
    </row>
    <row r="2577" customFormat="false" ht="15" hidden="false" customHeight="false" outlineLevel="0" collapsed="false">
      <c r="A2577" s="11" t="s">
        <v>112</v>
      </c>
      <c r="B2577" s="11" t="s">
        <v>131</v>
      </c>
      <c r="C2577" s="11" t="n">
        <v>25</v>
      </c>
      <c r="D2577" s="11" t="s">
        <v>86</v>
      </c>
      <c r="E2577" s="11" t="s">
        <v>181</v>
      </c>
      <c r="F2577" s="11" t="s">
        <v>85</v>
      </c>
      <c r="G2577" s="12" t="n">
        <v>150</v>
      </c>
      <c r="H2577" s="12" t="n">
        <f aca="false">SUMPRODUCT(ПОТОКИ!B16:G16,ЧАСОВЫЕ_ПРОФИЛИ!B18:G18,КОЭФФИЦИЕНТЫ_ВЫБОРА!F35:K35)</f>
        <v>0.87752</v>
      </c>
      <c r="I2577" s="12" t="n">
        <f aca="false">SUMPRODUCT(ПОТОКИ!B16:G16,ЧАСОВЫЕ_ПРОФИЛИ!B18:G18,КОЭФФИЦИЕНТЫ_ВЫБОРА!F35:K35,ПАРАМЕТРЫ!$B$17:$G$17)</f>
        <v>0.965272</v>
      </c>
      <c r="J2577" s="12" t="n">
        <f aca="false">I2577*G2577/1000</f>
        <v>0.1447908</v>
      </c>
      <c r="K2577" s="11" t="s">
        <v>217</v>
      </c>
      <c r="L2577" s="11" t="s">
        <v>19</v>
      </c>
      <c r="M2577" s="11" t="s">
        <v>147</v>
      </c>
    </row>
    <row r="2578" customFormat="false" ht="23.85" hidden="false" customHeight="false" outlineLevel="0" collapsed="false">
      <c r="A2578" s="11" t="s">
        <v>112</v>
      </c>
      <c r="B2578" s="11" t="s">
        <v>131</v>
      </c>
      <c r="C2578" s="11" t="n">
        <v>26</v>
      </c>
      <c r="D2578" s="11" t="s">
        <v>89</v>
      </c>
      <c r="E2578" s="11" t="s">
        <v>182</v>
      </c>
      <c r="F2578" s="11" t="s">
        <v>88</v>
      </c>
      <c r="G2578" s="12" t="n">
        <v>225</v>
      </c>
      <c r="H2578" s="12" t="n">
        <f aca="false">SUMPRODUCT(ПОТОКИ!B16:G16,ЧАСОВЫЕ_ПРОФИЛИ!B18:G18,КОЭФФИЦИЕНТЫ_ВЫБОРА!F36:K36)</f>
        <v>0</v>
      </c>
      <c r="I2578" s="12" t="n">
        <f aca="false">SUMPRODUCT(ПОТОКИ!B16:G16,ЧАСОВЫЕ_ПРОФИЛИ!B18:G18,КОЭФФИЦИЕНТЫ_ВЫБОРА!F36:K36,ПАРАМЕТРЫ!$B$17:$G$17)</f>
        <v>0</v>
      </c>
      <c r="J2578" s="12" t="n">
        <f aca="false">I2578*G2578/1000</f>
        <v>0</v>
      </c>
      <c r="K2578" s="11" t="s">
        <v>217</v>
      </c>
      <c r="L2578" s="11" t="s">
        <v>19</v>
      </c>
      <c r="M2578" s="11" t="s">
        <v>145</v>
      </c>
    </row>
    <row r="2579" customFormat="false" ht="23.85" hidden="false" customHeight="false" outlineLevel="0" collapsed="false">
      <c r="A2579" s="11" t="s">
        <v>112</v>
      </c>
      <c r="B2579" s="11" t="s">
        <v>131</v>
      </c>
      <c r="C2579" s="11" t="n">
        <v>27</v>
      </c>
      <c r="D2579" s="11" t="s">
        <v>89</v>
      </c>
      <c r="E2579" s="11" t="s">
        <v>183</v>
      </c>
      <c r="F2579" s="11" t="s">
        <v>88</v>
      </c>
      <c r="G2579" s="12" t="n">
        <v>265</v>
      </c>
      <c r="H2579" s="12" t="n">
        <f aca="false">SUMPRODUCT(ПОТОКИ!B16:G16,ЧАСОВЫЕ_ПРОФИЛИ!B18:G18,КОЭФФИЦИЕНТЫ_ВЫБОРА!F37:K37)</f>
        <v>0</v>
      </c>
      <c r="I2579" s="12" t="n">
        <f aca="false">SUMPRODUCT(ПОТОКИ!B16:G16,ЧАСОВЫЕ_ПРОФИЛИ!B18:G18,КОЭФФИЦИЕНТЫ_ВЫБОРА!F37:K37,ПАРАМЕТРЫ!$B$17:$G$17)</f>
        <v>0</v>
      </c>
      <c r="J2579" s="12" t="n">
        <f aca="false">I2579*G2579/1000</f>
        <v>0</v>
      </c>
      <c r="K2579" s="11" t="s">
        <v>217</v>
      </c>
      <c r="L2579" s="11" t="s">
        <v>19</v>
      </c>
      <c r="M2579" s="11" t="s">
        <v>145</v>
      </c>
    </row>
    <row r="2580" customFormat="false" ht="23.85" hidden="false" customHeight="false" outlineLevel="0" collapsed="false">
      <c r="A2580" s="11" t="s">
        <v>112</v>
      </c>
      <c r="B2580" s="11" t="s">
        <v>131</v>
      </c>
      <c r="C2580" s="11" t="n">
        <v>28</v>
      </c>
      <c r="D2580" s="11" t="s">
        <v>89</v>
      </c>
      <c r="E2580" s="11" t="s">
        <v>184</v>
      </c>
      <c r="F2580" s="11" t="s">
        <v>88</v>
      </c>
      <c r="G2580" s="12" t="n">
        <v>355</v>
      </c>
      <c r="H2580" s="12" t="n">
        <f aca="false">SUMPRODUCT(ПОТОКИ!B16:G16,ЧАСОВЫЕ_ПРОФИЛИ!B18:G18,КОЭФФИЦИЕНТЫ_ВЫБОРА!F38:K38)</f>
        <v>0</v>
      </c>
      <c r="I2580" s="12" t="n">
        <f aca="false">SUMPRODUCT(ПОТОКИ!B16:G16,ЧАСОВЫЕ_ПРОФИЛИ!B18:G18,КОЭФФИЦИЕНТЫ_ВЫБОРА!F38:K38,ПАРАМЕТРЫ!$B$17:$G$17)</f>
        <v>0</v>
      </c>
      <c r="J2580" s="12" t="n">
        <f aca="false">I2580*G2580/1000</f>
        <v>0</v>
      </c>
      <c r="K2580" s="11" t="s">
        <v>217</v>
      </c>
      <c r="L2580" s="11" t="s">
        <v>19</v>
      </c>
      <c r="M2580" s="11" t="s">
        <v>145</v>
      </c>
    </row>
    <row r="2581" customFormat="false" ht="15" hidden="false" customHeight="false" outlineLevel="0" collapsed="false">
      <c r="A2581" s="11" t="s">
        <v>112</v>
      </c>
      <c r="B2581" s="11" t="s">
        <v>131</v>
      </c>
      <c r="C2581" s="11" t="n">
        <v>29</v>
      </c>
      <c r="D2581" s="11" t="s">
        <v>92</v>
      </c>
      <c r="E2581" s="11" t="s">
        <v>185</v>
      </c>
      <c r="F2581" s="11" t="s">
        <v>91</v>
      </c>
      <c r="G2581" s="12" t="n">
        <v>150</v>
      </c>
      <c r="H2581" s="12" t="n">
        <f aca="false">SUMPRODUCT(ПОТОКИ!B16:G16,ЧАСОВЫЕ_ПРОФИЛИ!B18:G18,КОЭФФИЦИЕНТЫ_ВЫБОРА!F39:K39)</f>
        <v>0.48</v>
      </c>
      <c r="I2581" s="12" t="n">
        <f aca="false">SUMPRODUCT(ПОТОКИ!B16:G16,ЧАСОВЫЕ_ПРОФИЛИ!B18:G18,КОЭФФИЦИЕНТЫ_ВЫБОРА!F39:K39,ПАРАМЕТРЫ!$B$17:$G$17)</f>
        <v>0.528</v>
      </c>
      <c r="J2581" s="12" t="n">
        <f aca="false">I2581*G2581/1000</f>
        <v>0.0792</v>
      </c>
      <c r="K2581" s="11" t="s">
        <v>217</v>
      </c>
      <c r="L2581" s="11" t="s">
        <v>19</v>
      </c>
      <c r="M2581" s="11" t="s">
        <v>145</v>
      </c>
    </row>
    <row r="2582" customFormat="false" ht="15" hidden="false" customHeight="false" outlineLevel="0" collapsed="false">
      <c r="A2582" s="11" t="s">
        <v>112</v>
      </c>
      <c r="B2582" s="11" t="s">
        <v>131</v>
      </c>
      <c r="C2582" s="11" t="n">
        <v>30</v>
      </c>
      <c r="D2582" s="11" t="s">
        <v>92</v>
      </c>
      <c r="E2582" s="11" t="s">
        <v>186</v>
      </c>
      <c r="F2582" s="11" t="s">
        <v>91</v>
      </c>
      <c r="G2582" s="12" t="n">
        <v>120</v>
      </c>
      <c r="H2582" s="12" t="n">
        <f aca="false">SUMPRODUCT(ПОТОКИ!B16:G16,ЧАСОВЫЕ_ПРОФИЛИ!B18:G18,КОЭФФИЦИЕНТЫ_ВЫБОРА!F40:K40)</f>
        <v>0.48</v>
      </c>
      <c r="I2582" s="12" t="n">
        <f aca="false">SUMPRODUCT(ПОТОКИ!B16:G16,ЧАСОВЫЕ_ПРОФИЛИ!B18:G18,КОЭФФИЦИЕНТЫ_ВЫБОРА!F40:K40,ПАРАМЕТРЫ!$B$17:$G$17)</f>
        <v>0.528</v>
      </c>
      <c r="J2582" s="12" t="n">
        <f aca="false">I2582*G2582/1000</f>
        <v>0.06336</v>
      </c>
      <c r="K2582" s="11" t="s">
        <v>217</v>
      </c>
      <c r="L2582" s="11" t="s">
        <v>19</v>
      </c>
      <c r="M2582" s="11" t="s">
        <v>145</v>
      </c>
    </row>
    <row r="2583" customFormat="false" ht="15" hidden="false" customHeight="false" outlineLevel="0" collapsed="false">
      <c r="A2583" s="11" t="s">
        <v>112</v>
      </c>
      <c r="B2583" s="11" t="s">
        <v>131</v>
      </c>
      <c r="C2583" s="11" t="n">
        <v>31</v>
      </c>
      <c r="D2583" s="11" t="s">
        <v>92</v>
      </c>
      <c r="E2583" s="11" t="s">
        <v>187</v>
      </c>
      <c r="F2583" s="11" t="s">
        <v>91</v>
      </c>
      <c r="G2583" s="12" t="n">
        <v>60</v>
      </c>
      <c r="H2583" s="12" t="n">
        <f aca="false">SUMPRODUCT(ПОТОКИ!B16:G16,ЧАСОВЫЕ_ПРОФИЛИ!B18:G18,КОЭФФИЦИЕНТЫ_ВЫБОРА!F41:K41)</f>
        <v>0.36</v>
      </c>
      <c r="I2583" s="12" t="n">
        <f aca="false">SUMPRODUCT(ПОТОКИ!B16:G16,ЧАСОВЫЕ_ПРОФИЛИ!B18:G18,КОЭФФИЦИЕНТЫ_ВЫБОРА!F41:K41,ПАРАМЕТРЫ!$B$17:$G$17)</f>
        <v>0.396</v>
      </c>
      <c r="J2583" s="12" t="n">
        <f aca="false">I2583*G2583/1000</f>
        <v>0.02376</v>
      </c>
      <c r="K2583" s="11" t="s">
        <v>217</v>
      </c>
      <c r="L2583" s="11" t="s">
        <v>19</v>
      </c>
      <c r="M2583" s="11" t="s">
        <v>145</v>
      </c>
    </row>
    <row r="2584" customFormat="false" ht="15" hidden="false" customHeight="false" outlineLevel="0" collapsed="false">
      <c r="A2584" s="11" t="s">
        <v>112</v>
      </c>
      <c r="B2584" s="11" t="s">
        <v>132</v>
      </c>
      <c r="C2584" s="11" t="n">
        <v>1</v>
      </c>
      <c r="D2584" s="11" t="s">
        <v>74</v>
      </c>
      <c r="E2584" s="11" t="s">
        <v>153</v>
      </c>
      <c r="F2584" s="11" t="s">
        <v>73</v>
      </c>
      <c r="G2584" s="12" t="n">
        <v>450</v>
      </c>
      <c r="H2584" s="12" t="n">
        <f aca="false">SUMPRODUCT(ПОТОКИ!B16:G16,ЧАСОВЫЕ_ПРОФИЛИ!B19:G19,КОЭФФИЦИЕНТЫ_ВЫБОРА!F11:K11)</f>
        <v>0.204</v>
      </c>
      <c r="I2584" s="12" t="n">
        <f aca="false">SUMPRODUCT(ПОТОКИ!B16:G16,ЧАСОВЫЕ_ПРОФИЛИ!B19:G19,КОЭФФИЦИЕНТЫ_ВЫБОРА!F11:K11,ПАРАМЕТРЫ!$B$17:$G$17)</f>
        <v>0.2244</v>
      </c>
      <c r="J2584" s="12" t="n">
        <f aca="false">I2584*G2584/1000</f>
        <v>0.10098</v>
      </c>
      <c r="K2584" s="11" t="s">
        <v>217</v>
      </c>
      <c r="L2584" s="11" t="s">
        <v>19</v>
      </c>
      <c r="M2584" s="11" t="s">
        <v>145</v>
      </c>
    </row>
    <row r="2585" customFormat="false" ht="15" hidden="false" customHeight="false" outlineLevel="0" collapsed="false">
      <c r="A2585" s="11" t="s">
        <v>112</v>
      </c>
      <c r="B2585" s="11" t="s">
        <v>132</v>
      </c>
      <c r="C2585" s="11" t="n">
        <v>2</v>
      </c>
      <c r="D2585" s="11" t="s">
        <v>74</v>
      </c>
      <c r="E2585" s="11" t="s">
        <v>154</v>
      </c>
      <c r="F2585" s="11" t="s">
        <v>73</v>
      </c>
      <c r="G2585" s="12" t="n">
        <v>480</v>
      </c>
      <c r="H2585" s="12" t="n">
        <f aca="false">SUMPRODUCT(ПОТОКИ!B16:G16,ЧАСОВЫЕ_ПРОФИЛИ!B19:G19,КОЭФФИЦИЕНТЫ_ВЫБОРА!F12:K12)</f>
        <v>0.344</v>
      </c>
      <c r="I2585" s="12" t="n">
        <f aca="false">SUMPRODUCT(ПОТОКИ!B16:G16,ЧАСОВЫЕ_ПРОФИЛИ!B19:G19,КОЭФФИЦИЕНТЫ_ВЫБОРА!F12:K12,ПАРАМЕТРЫ!$B$17:$G$17)</f>
        <v>0.3784</v>
      </c>
      <c r="J2585" s="12" t="n">
        <f aca="false">I2585*G2585/1000</f>
        <v>0.181632</v>
      </c>
      <c r="K2585" s="11" t="s">
        <v>217</v>
      </c>
      <c r="L2585" s="11" t="s">
        <v>19</v>
      </c>
      <c r="M2585" s="11" t="s">
        <v>145</v>
      </c>
    </row>
    <row r="2586" customFormat="false" ht="15" hidden="false" customHeight="false" outlineLevel="0" collapsed="false">
      <c r="A2586" s="11" t="s">
        <v>112</v>
      </c>
      <c r="B2586" s="11" t="s">
        <v>132</v>
      </c>
      <c r="C2586" s="11" t="n">
        <v>3</v>
      </c>
      <c r="D2586" s="11" t="s">
        <v>74</v>
      </c>
      <c r="E2586" s="11" t="s">
        <v>155</v>
      </c>
      <c r="F2586" s="11" t="s">
        <v>73</v>
      </c>
      <c r="G2586" s="12" t="n">
        <v>500</v>
      </c>
      <c r="H2586" s="12" t="n">
        <f aca="false">SUMPRODUCT(ПОТОКИ!B16:G16,ЧАСОВЫЕ_ПРОФИЛИ!B19:G19,КОЭФФИЦИЕНТЫ_ВЫБОРА!F13:K13)</f>
        <v>0.516</v>
      </c>
      <c r="I2586" s="12" t="n">
        <f aca="false">SUMPRODUCT(ПОТОКИ!B16:G16,ЧАСОВЫЕ_ПРОФИЛИ!B19:G19,КОЭФФИЦИЕНТЫ_ВЫБОРА!F13:K13,ПАРАМЕТРЫ!$B$17:$G$17)</f>
        <v>0.5676</v>
      </c>
      <c r="J2586" s="12" t="n">
        <f aca="false">I2586*G2586/1000</f>
        <v>0.2838</v>
      </c>
      <c r="K2586" s="11" t="s">
        <v>217</v>
      </c>
      <c r="L2586" s="11" t="s">
        <v>19</v>
      </c>
      <c r="M2586" s="11" t="s">
        <v>145</v>
      </c>
    </row>
    <row r="2587" customFormat="false" ht="15" hidden="false" customHeight="false" outlineLevel="0" collapsed="false">
      <c r="A2587" s="11" t="s">
        <v>112</v>
      </c>
      <c r="B2587" s="11" t="s">
        <v>132</v>
      </c>
      <c r="C2587" s="11" t="n">
        <v>4</v>
      </c>
      <c r="D2587" s="11" t="s">
        <v>74</v>
      </c>
      <c r="E2587" s="11" t="s">
        <v>156</v>
      </c>
      <c r="F2587" s="11" t="s">
        <v>73</v>
      </c>
      <c r="G2587" s="12" t="n">
        <v>500</v>
      </c>
      <c r="H2587" s="12" t="n">
        <f aca="false">SUMPRODUCT(ПОТОКИ!B16:G16,ЧАСОВЫЕ_ПРОФИЛИ!B19:G19,КОЭФФИЦИЕНТЫ_ВЫБОРА!F14:K14)</f>
        <v>0.656</v>
      </c>
      <c r="I2587" s="12" t="n">
        <f aca="false">SUMPRODUCT(ПОТОКИ!B16:G16,ЧАСОВЫЕ_ПРОФИЛИ!B19:G19,КОЭФФИЦИЕНТЫ_ВЫБОРА!F14:K14,ПАРАМЕТРЫ!$B$17:$G$17)</f>
        <v>0.7216</v>
      </c>
      <c r="J2587" s="12" t="n">
        <f aca="false">I2587*G2587/1000</f>
        <v>0.3608</v>
      </c>
      <c r="K2587" s="11" t="s">
        <v>217</v>
      </c>
      <c r="L2587" s="11" t="s">
        <v>19</v>
      </c>
      <c r="M2587" s="11" t="s">
        <v>145</v>
      </c>
    </row>
    <row r="2588" customFormat="false" ht="15" hidden="false" customHeight="false" outlineLevel="0" collapsed="false">
      <c r="A2588" s="11" t="s">
        <v>112</v>
      </c>
      <c r="B2588" s="11" t="s">
        <v>132</v>
      </c>
      <c r="C2588" s="11" t="n">
        <v>5</v>
      </c>
      <c r="D2588" s="11" t="s">
        <v>78</v>
      </c>
      <c r="E2588" s="11" t="s">
        <v>157</v>
      </c>
      <c r="F2588" s="11" t="s">
        <v>77</v>
      </c>
      <c r="G2588" s="12" t="n">
        <v>100</v>
      </c>
      <c r="H2588" s="12" t="n">
        <f aca="false">SUMPRODUCT(ПОТОКИ!B16:G16,ЧАСОВЫЕ_ПРОФИЛИ!B19:G19,КОЭФФИЦИЕНТЫ_ВЫБОРА!F15:K15)</f>
        <v>0.488</v>
      </c>
      <c r="I2588" s="12" t="n">
        <f aca="false">SUMPRODUCT(ПОТОКИ!B16:G16,ЧАСОВЫЕ_ПРОФИЛИ!B19:G19,КОЭФФИЦИЕНТЫ_ВЫБОРА!F15:K15,ПАРАМЕТРЫ!$B$17:$G$17)</f>
        <v>0.5368</v>
      </c>
      <c r="J2588" s="12" t="n">
        <f aca="false">I2588*G2588/1000</f>
        <v>0.05368</v>
      </c>
      <c r="K2588" s="11" t="s">
        <v>217</v>
      </c>
      <c r="L2588" s="11" t="s">
        <v>19</v>
      </c>
      <c r="M2588" s="11" t="s">
        <v>147</v>
      </c>
    </row>
    <row r="2589" customFormat="false" ht="15" hidden="false" customHeight="false" outlineLevel="0" collapsed="false">
      <c r="A2589" s="11" t="s">
        <v>112</v>
      </c>
      <c r="B2589" s="11" t="s">
        <v>132</v>
      </c>
      <c r="C2589" s="11" t="n">
        <v>6</v>
      </c>
      <c r="D2589" s="11" t="s">
        <v>78</v>
      </c>
      <c r="E2589" s="11" t="s">
        <v>158</v>
      </c>
      <c r="F2589" s="11" t="s">
        <v>77</v>
      </c>
      <c r="G2589" s="12" t="n">
        <v>100</v>
      </c>
      <c r="H2589" s="12" t="n">
        <f aca="false">SUMPRODUCT(ПОТОКИ!B16:G16,ЧАСОВЫЕ_ПРОФИЛИ!B19:G19,КОЭФФИЦИЕНТЫ_ВЫБОРА!F16:K16)</f>
        <v>0.456</v>
      </c>
      <c r="I2589" s="12" t="n">
        <f aca="false">SUMPRODUCT(ПОТОКИ!B16:G16,ЧАСОВЫЕ_ПРОФИЛИ!B19:G19,КОЭФФИЦИЕНТЫ_ВЫБОРА!F16:K16,ПАРАМЕТРЫ!$B$17:$G$17)</f>
        <v>0.5016</v>
      </c>
      <c r="J2589" s="12" t="n">
        <f aca="false">I2589*G2589/1000</f>
        <v>0.05016</v>
      </c>
      <c r="K2589" s="11" t="s">
        <v>217</v>
      </c>
      <c r="L2589" s="11" t="s">
        <v>19</v>
      </c>
      <c r="M2589" s="11" t="s">
        <v>147</v>
      </c>
    </row>
    <row r="2590" customFormat="false" ht="15" hidden="false" customHeight="false" outlineLevel="0" collapsed="false">
      <c r="A2590" s="11" t="s">
        <v>112</v>
      </c>
      <c r="B2590" s="11" t="s">
        <v>132</v>
      </c>
      <c r="C2590" s="11" t="n">
        <v>7</v>
      </c>
      <c r="D2590" s="11" t="s">
        <v>78</v>
      </c>
      <c r="E2590" s="11" t="s">
        <v>159</v>
      </c>
      <c r="F2590" s="11" t="s">
        <v>77</v>
      </c>
      <c r="G2590" s="12" t="n">
        <v>350</v>
      </c>
      <c r="H2590" s="12" t="n">
        <f aca="false">SUMPRODUCT(ПОТОКИ!B16:G16,ЧАСОВЫЕ_ПРОФИЛИ!B19:G19,КОЭФФИЦИЕНТЫ_ВЫБОРА!F17:K17)</f>
        <v>0.396</v>
      </c>
      <c r="I2590" s="12" t="n">
        <f aca="false">SUMPRODUCT(ПОТОКИ!B16:G16,ЧАСОВЫЕ_ПРОФИЛИ!B19:G19,КОЭФФИЦИЕНТЫ_ВЫБОРА!F17:K17,ПАРАМЕТРЫ!$B$17:$G$17)</f>
        <v>0.4356</v>
      </c>
      <c r="J2590" s="12" t="n">
        <f aca="false">I2590*G2590/1000</f>
        <v>0.15246</v>
      </c>
      <c r="K2590" s="11" t="s">
        <v>217</v>
      </c>
      <c r="L2590" s="11" t="s">
        <v>19</v>
      </c>
      <c r="M2590" s="11" t="s">
        <v>147</v>
      </c>
    </row>
    <row r="2591" customFormat="false" ht="15" hidden="false" customHeight="false" outlineLevel="0" collapsed="false">
      <c r="A2591" s="11" t="s">
        <v>112</v>
      </c>
      <c r="B2591" s="11" t="s">
        <v>132</v>
      </c>
      <c r="C2591" s="11" t="n">
        <v>8</v>
      </c>
      <c r="D2591" s="11" t="s">
        <v>78</v>
      </c>
      <c r="E2591" s="11" t="s">
        <v>160</v>
      </c>
      <c r="F2591" s="11" t="s">
        <v>77</v>
      </c>
      <c r="G2591" s="12" t="n">
        <v>85</v>
      </c>
      <c r="H2591" s="12" t="n">
        <f aca="false">SUMPRODUCT(ПОТОКИ!B16:G16,ЧАСОВЫЕ_ПРОФИЛИ!B19:G19,КОЭФФИЦИЕНТЫ_ВЫБОРА!F18:K18)</f>
        <v>0.244</v>
      </c>
      <c r="I2591" s="12" t="n">
        <f aca="false">SUMPRODUCT(ПОТОКИ!B16:G16,ЧАСОВЫЕ_ПРОФИЛИ!B19:G19,КОЭФФИЦИЕНТЫ_ВЫБОРА!F18:K18,ПАРАМЕТРЫ!$B$17:$G$17)</f>
        <v>0.2684</v>
      </c>
      <c r="J2591" s="12" t="n">
        <f aca="false">I2591*G2591/1000</f>
        <v>0.022814</v>
      </c>
      <c r="K2591" s="11" t="s">
        <v>217</v>
      </c>
      <c r="L2591" s="11" t="s">
        <v>19</v>
      </c>
      <c r="M2591" s="11" t="s">
        <v>147</v>
      </c>
    </row>
    <row r="2592" customFormat="false" ht="15" hidden="false" customHeight="false" outlineLevel="0" collapsed="false">
      <c r="A2592" s="11" t="s">
        <v>112</v>
      </c>
      <c r="B2592" s="11" t="s">
        <v>132</v>
      </c>
      <c r="C2592" s="11" t="n">
        <v>9</v>
      </c>
      <c r="D2592" s="11" t="s">
        <v>161</v>
      </c>
      <c r="E2592" s="11" t="s">
        <v>162</v>
      </c>
      <c r="F2592" s="11" t="s">
        <v>80</v>
      </c>
      <c r="G2592" s="12" t="n">
        <v>300</v>
      </c>
      <c r="H2592" s="12" t="n">
        <f aca="false">SUMPRODUCT(ПОТОКИ!B16:G16,ЧАСОВЫЕ_ПРОФИЛИ!B19:G19,КОЭФФИЦИЕНТЫ_ВЫБОРА!F19:K19)</f>
        <v>0.276</v>
      </c>
      <c r="I2592" s="12" t="n">
        <f aca="false">SUMPRODUCT(ПОТОКИ!B16:G16,ЧАСОВЫЕ_ПРОФИЛИ!B19:G19,КОЭФФИЦИЕНТЫ_ВЫБОРА!F19:K19,ПАРАМЕТРЫ!$B$17:$G$17)</f>
        <v>0.3036</v>
      </c>
      <c r="J2592" s="12" t="n">
        <f aca="false">I2592*G2592/1000</f>
        <v>0.09108</v>
      </c>
      <c r="K2592" s="11" t="s">
        <v>217</v>
      </c>
      <c r="L2592" s="11" t="s">
        <v>19</v>
      </c>
      <c r="M2592" s="11" t="s">
        <v>145</v>
      </c>
    </row>
    <row r="2593" customFormat="false" ht="15" hidden="false" customHeight="false" outlineLevel="0" collapsed="false">
      <c r="A2593" s="11" t="s">
        <v>112</v>
      </c>
      <c r="B2593" s="11" t="s">
        <v>132</v>
      </c>
      <c r="C2593" s="11" t="n">
        <v>10</v>
      </c>
      <c r="D2593" s="11" t="s">
        <v>161</v>
      </c>
      <c r="E2593" s="11" t="s">
        <v>163</v>
      </c>
      <c r="F2593" s="11" t="s">
        <v>80</v>
      </c>
      <c r="G2593" s="12" t="n">
        <v>280</v>
      </c>
      <c r="H2593" s="12" t="n">
        <f aca="false">SUMPRODUCT(ПОТОКИ!B16:G16,ЧАСОВЫЕ_ПРОФИЛИ!B19:G19,КОЭФФИЦИЕНТЫ_ВЫБОРА!F20:K20)</f>
        <v>0.312</v>
      </c>
      <c r="I2593" s="12" t="n">
        <f aca="false">SUMPRODUCT(ПОТОКИ!B16:G16,ЧАСОВЫЕ_ПРОФИЛИ!B19:G19,КОЭФФИЦИЕНТЫ_ВЫБОРА!F20:K20,ПАРАМЕТРЫ!$B$17:$G$17)</f>
        <v>0.3432</v>
      </c>
      <c r="J2593" s="12" t="n">
        <f aca="false">I2593*G2593/1000</f>
        <v>0.096096</v>
      </c>
      <c r="K2593" s="11" t="s">
        <v>217</v>
      </c>
      <c r="L2593" s="11" t="s">
        <v>19</v>
      </c>
      <c r="M2593" s="11" t="s">
        <v>145</v>
      </c>
    </row>
    <row r="2594" customFormat="false" ht="15" hidden="false" customHeight="false" outlineLevel="0" collapsed="false">
      <c r="A2594" s="11" t="s">
        <v>112</v>
      </c>
      <c r="B2594" s="11" t="s">
        <v>132</v>
      </c>
      <c r="C2594" s="11" t="n">
        <v>11</v>
      </c>
      <c r="D2594" s="11" t="s">
        <v>161</v>
      </c>
      <c r="E2594" s="11" t="s">
        <v>164</v>
      </c>
      <c r="F2594" s="11" t="s">
        <v>80</v>
      </c>
      <c r="G2594" s="12" t="n">
        <v>270</v>
      </c>
      <c r="H2594" s="12" t="n">
        <f aca="false">SUMPRODUCT(ПОТОКИ!B16:G16,ЧАСОВЫЕ_ПРОФИЛИ!B19:G19,КОЭФФИЦИЕНТЫ_ВЫБОРА!F21:K21)</f>
        <v>0.498</v>
      </c>
      <c r="I2594" s="12" t="n">
        <f aca="false">SUMPRODUCT(ПОТОКИ!B16:G16,ЧАСОВЫЕ_ПРОФИЛИ!B19:G19,КОЭФФИЦИЕНТЫ_ВЫБОРА!F21:K21,ПАРАМЕТРЫ!$B$17:$G$17)</f>
        <v>0.5478</v>
      </c>
      <c r="J2594" s="12" t="n">
        <f aca="false">I2594*G2594/1000</f>
        <v>0.147906</v>
      </c>
      <c r="K2594" s="11" t="s">
        <v>217</v>
      </c>
      <c r="L2594" s="11" t="s">
        <v>19</v>
      </c>
      <c r="M2594" s="11" t="s">
        <v>145</v>
      </c>
    </row>
    <row r="2595" customFormat="false" ht="15" hidden="false" customHeight="false" outlineLevel="0" collapsed="false">
      <c r="A2595" s="11" t="s">
        <v>112</v>
      </c>
      <c r="B2595" s="11" t="s">
        <v>132</v>
      </c>
      <c r="C2595" s="11" t="n">
        <v>12</v>
      </c>
      <c r="D2595" s="11" t="s">
        <v>161</v>
      </c>
      <c r="E2595" s="11" t="s">
        <v>165</v>
      </c>
      <c r="F2595" s="11" t="s">
        <v>80</v>
      </c>
      <c r="G2595" s="12" t="n">
        <v>240</v>
      </c>
      <c r="H2595" s="12" t="n">
        <f aca="false">SUMPRODUCT(ПОТОКИ!B16:G16,ЧАСОВЫЕ_ПРОФИЛИ!B19:G19,КОЭФФИЦИЕНТЫ_ВЫБОРА!F22:K22)</f>
        <v>0.234</v>
      </c>
      <c r="I2595" s="12" t="n">
        <f aca="false">SUMPRODUCT(ПОТОКИ!B16:G16,ЧАСОВЫЕ_ПРОФИЛИ!B19:G19,КОЭФФИЦИЕНТЫ_ВЫБОРА!F22:K22,ПАРАМЕТРЫ!$B$17:$G$17)</f>
        <v>0.2574</v>
      </c>
      <c r="J2595" s="12" t="n">
        <f aca="false">I2595*G2595/1000</f>
        <v>0.061776</v>
      </c>
      <c r="K2595" s="11" t="s">
        <v>217</v>
      </c>
      <c r="L2595" s="11" t="s">
        <v>19</v>
      </c>
      <c r="M2595" s="11" t="s">
        <v>145</v>
      </c>
    </row>
    <row r="2596" customFormat="false" ht="15" hidden="false" customHeight="false" outlineLevel="0" collapsed="false">
      <c r="A2596" s="11" t="s">
        <v>112</v>
      </c>
      <c r="B2596" s="11" t="s">
        <v>132</v>
      </c>
      <c r="C2596" s="11" t="n">
        <v>13</v>
      </c>
      <c r="D2596" s="11" t="s">
        <v>166</v>
      </c>
      <c r="E2596" s="11" t="s">
        <v>167</v>
      </c>
      <c r="F2596" s="11" t="s">
        <v>80</v>
      </c>
      <c r="G2596" s="12" t="n">
        <v>130</v>
      </c>
      <c r="H2596" s="12" t="n">
        <f aca="false">SUMPRODUCT(ПОТОКИ!B16:G16,ЧАСОВЫЕ_ПРОФИЛИ!B19:G19,КОЭФФИЦИЕНТЫ_ВЫБОРА!F23:K23)</f>
        <v>0.16</v>
      </c>
      <c r="I2596" s="12" t="n">
        <f aca="false">SUMPRODUCT(ПОТОКИ!B16:G16,ЧАСОВЫЕ_ПРОФИЛИ!B19:G19,КОЭФФИЦИЕНТЫ_ВЫБОРА!F23:K23,ПАРАМЕТРЫ!$B$17:$G$17)</f>
        <v>0.176</v>
      </c>
      <c r="J2596" s="12" t="n">
        <f aca="false">I2596*G2596/1000</f>
        <v>0.02288</v>
      </c>
      <c r="K2596" s="11" t="s">
        <v>217</v>
      </c>
      <c r="L2596" s="11" t="s">
        <v>19</v>
      </c>
      <c r="M2596" s="11" t="s">
        <v>145</v>
      </c>
    </row>
    <row r="2597" customFormat="false" ht="15" hidden="false" customHeight="false" outlineLevel="0" collapsed="false">
      <c r="A2597" s="11" t="s">
        <v>112</v>
      </c>
      <c r="B2597" s="11" t="s">
        <v>132</v>
      </c>
      <c r="C2597" s="11" t="n">
        <v>14</v>
      </c>
      <c r="D2597" s="11" t="s">
        <v>166</v>
      </c>
      <c r="E2597" s="11" t="s">
        <v>168</v>
      </c>
      <c r="F2597" s="11" t="s">
        <v>80</v>
      </c>
      <c r="G2597" s="12" t="n">
        <v>250</v>
      </c>
      <c r="H2597" s="12" t="n">
        <f aca="false">SUMPRODUCT(ПОТОКИ!B16:G16,ЧАСОВЫЕ_ПРОФИЛИ!B19:G19,КОЭФФИЦИЕНТЫ_ВЫБОРА!F24:K24)</f>
        <v>0.096</v>
      </c>
      <c r="I2597" s="12" t="n">
        <f aca="false">SUMPRODUCT(ПОТОКИ!B16:G16,ЧАСОВЫЕ_ПРОФИЛИ!B19:G19,КОЭФФИЦИЕНТЫ_ВЫБОРА!F24:K24,ПАРАМЕТРЫ!$B$17:$G$17)</f>
        <v>0.1056</v>
      </c>
      <c r="J2597" s="12" t="n">
        <f aca="false">I2597*G2597/1000</f>
        <v>0.0264</v>
      </c>
      <c r="K2597" s="11" t="s">
        <v>217</v>
      </c>
      <c r="L2597" s="11" t="s">
        <v>19</v>
      </c>
      <c r="M2597" s="11" t="s">
        <v>145</v>
      </c>
    </row>
    <row r="2598" customFormat="false" ht="15" hidden="false" customHeight="false" outlineLevel="0" collapsed="false">
      <c r="A2598" s="11" t="s">
        <v>112</v>
      </c>
      <c r="B2598" s="11" t="s">
        <v>132</v>
      </c>
      <c r="C2598" s="11" t="n">
        <v>15</v>
      </c>
      <c r="D2598" s="11" t="s">
        <v>166</v>
      </c>
      <c r="E2598" s="11" t="s">
        <v>169</v>
      </c>
      <c r="F2598" s="11" t="s">
        <v>80</v>
      </c>
      <c r="G2598" s="12" t="n">
        <v>120</v>
      </c>
      <c r="H2598" s="12" t="n">
        <f aca="false">SUMPRODUCT(ПОТОКИ!B16:G16,ЧАСОВЫЕ_ПРОФИЛИ!B19:G19,КОЭФФИЦИЕНТЫ_ВЫБОРА!F25:K25)</f>
        <v>0.096</v>
      </c>
      <c r="I2598" s="12" t="n">
        <f aca="false">SUMPRODUCT(ПОТОКИ!B16:G16,ЧАСОВЫЕ_ПРОФИЛИ!B19:G19,КОЭФФИЦИЕНТЫ_ВЫБОРА!F25:K25,ПАРАМЕТРЫ!$B$17:$G$17)</f>
        <v>0.1056</v>
      </c>
      <c r="J2598" s="12" t="n">
        <f aca="false">I2598*G2598/1000</f>
        <v>0.012672</v>
      </c>
      <c r="K2598" s="11" t="s">
        <v>217</v>
      </c>
      <c r="L2598" s="11" t="s">
        <v>19</v>
      </c>
      <c r="M2598" s="11" t="s">
        <v>145</v>
      </c>
    </row>
    <row r="2599" customFormat="false" ht="15" hidden="false" customHeight="false" outlineLevel="0" collapsed="false">
      <c r="A2599" s="11" t="s">
        <v>112</v>
      </c>
      <c r="B2599" s="11" t="s">
        <v>132</v>
      </c>
      <c r="C2599" s="11" t="n">
        <v>16</v>
      </c>
      <c r="D2599" s="11" t="s">
        <v>166</v>
      </c>
      <c r="E2599" s="11" t="s">
        <v>170</v>
      </c>
      <c r="F2599" s="11" t="s">
        <v>80</v>
      </c>
      <c r="G2599" s="12" t="n">
        <v>180</v>
      </c>
      <c r="H2599" s="12" t="n">
        <f aca="false">SUMPRODUCT(ПОТОКИ!B16:G16,ЧАСОВЫЕ_ПРОФИЛИ!B19:G19,КОЭФФИЦИЕНТЫ_ВЫБОРА!F26:K26)</f>
        <v>0.128</v>
      </c>
      <c r="I2599" s="12" t="n">
        <f aca="false">SUMPRODUCT(ПОТОКИ!B16:G16,ЧАСОВЫЕ_ПРОФИЛИ!B19:G19,КОЭФФИЦИЕНТЫ_ВЫБОРА!F26:K26,ПАРАМЕТРЫ!$B$17:$G$17)</f>
        <v>0.1408</v>
      </c>
      <c r="J2599" s="12" t="n">
        <f aca="false">I2599*G2599/1000</f>
        <v>0.025344</v>
      </c>
      <c r="K2599" s="11" t="s">
        <v>217</v>
      </c>
      <c r="L2599" s="11" t="s">
        <v>19</v>
      </c>
      <c r="M2599" s="11" t="s">
        <v>145</v>
      </c>
    </row>
    <row r="2600" customFormat="false" ht="15" hidden="false" customHeight="false" outlineLevel="0" collapsed="false">
      <c r="A2600" s="11" t="s">
        <v>112</v>
      </c>
      <c r="B2600" s="11" t="s">
        <v>132</v>
      </c>
      <c r="C2600" s="11" t="n">
        <v>17</v>
      </c>
      <c r="D2600" s="11" t="s">
        <v>166</v>
      </c>
      <c r="E2600" s="11" t="s">
        <v>171</v>
      </c>
      <c r="F2600" s="11" t="s">
        <v>80</v>
      </c>
      <c r="G2600" s="12" t="n">
        <v>180</v>
      </c>
      <c r="H2600" s="12" t="n">
        <f aca="false">SUMPRODUCT(ПОТОКИ!B16:G16,ЧАСОВЫЕ_ПРОФИЛИ!B19:G19,КОЭФФИЦИЕНТЫ_ВЫБОРА!F27:K27)</f>
        <v>0.16</v>
      </c>
      <c r="I2600" s="12" t="n">
        <f aca="false">SUMPRODUCT(ПОТОКИ!B16:G16,ЧАСОВЫЕ_ПРОФИЛИ!B19:G19,КОЭФФИЦИЕНТЫ_ВЫБОРА!F27:K27,ПАРАМЕТРЫ!$B$17:$G$17)</f>
        <v>0.176</v>
      </c>
      <c r="J2600" s="12" t="n">
        <f aca="false">I2600*G2600/1000</f>
        <v>0.03168</v>
      </c>
      <c r="K2600" s="11" t="s">
        <v>217</v>
      </c>
      <c r="L2600" s="11" t="s">
        <v>19</v>
      </c>
      <c r="M2600" s="11" t="s">
        <v>145</v>
      </c>
    </row>
    <row r="2601" customFormat="false" ht="15" hidden="false" customHeight="false" outlineLevel="0" collapsed="false">
      <c r="A2601" s="11" t="s">
        <v>112</v>
      </c>
      <c r="B2601" s="11" t="s">
        <v>132</v>
      </c>
      <c r="C2601" s="11" t="n">
        <v>18</v>
      </c>
      <c r="D2601" s="11" t="s">
        <v>172</v>
      </c>
      <c r="E2601" s="11" t="s">
        <v>173</v>
      </c>
      <c r="F2601" s="11" t="s">
        <v>83</v>
      </c>
      <c r="G2601" s="12" t="n">
        <v>400</v>
      </c>
      <c r="H2601" s="12" t="n">
        <f aca="false">SUMPRODUCT(ПОТОКИ!B16:G16,ЧАСОВЫЕ_ПРОФИЛИ!B19:G19,КОЭФФИЦИЕНТЫ_ВЫБОРА!F28:K28)</f>
        <v>0.32</v>
      </c>
      <c r="I2601" s="12" t="n">
        <f aca="false">SUMPRODUCT(ПОТОКИ!B16:G16,ЧАСОВЫЕ_ПРОФИЛИ!B19:G19,КОЭФФИЦИЕНТЫ_ВЫБОРА!F28:K28,ПАРАМЕТРЫ!$B$17:$G$17)</f>
        <v>0.352</v>
      </c>
      <c r="J2601" s="12" t="n">
        <f aca="false">I2601*G2601/1000</f>
        <v>0.1408</v>
      </c>
      <c r="K2601" s="11" t="s">
        <v>217</v>
      </c>
      <c r="L2601" s="11" t="s">
        <v>19</v>
      </c>
      <c r="M2601" s="11" t="s">
        <v>145</v>
      </c>
    </row>
    <row r="2602" customFormat="false" ht="23.85" hidden="false" customHeight="false" outlineLevel="0" collapsed="false">
      <c r="A2602" s="11" t="s">
        <v>112</v>
      </c>
      <c r="B2602" s="11" t="s">
        <v>132</v>
      </c>
      <c r="C2602" s="11" t="n">
        <v>19</v>
      </c>
      <c r="D2602" s="11" t="s">
        <v>174</v>
      </c>
      <c r="E2602" s="11" t="s">
        <v>175</v>
      </c>
      <c r="F2602" s="11" t="s">
        <v>83</v>
      </c>
      <c r="G2602" s="12" t="n">
        <v>300</v>
      </c>
      <c r="H2602" s="12" t="n">
        <f aca="false">SUMPRODUCT(ПОТОКИ!B16:G16,ЧАСОВЫЕ_ПРОФИЛИ!B19:G19,КОЭФФИЦИЕНТЫ_ВЫБОРА!F29:K29)</f>
        <v>0.712</v>
      </c>
      <c r="I2602" s="12" t="n">
        <f aca="false">SUMPRODUCT(ПОТОКИ!B16:G16,ЧАСОВЫЕ_ПРОФИЛИ!B19:G19,КОЭФФИЦИЕНТЫ_ВЫБОРА!F29:K29,ПАРАМЕТРЫ!$B$17:$G$17)</f>
        <v>0.7832</v>
      </c>
      <c r="J2602" s="12" t="n">
        <f aca="false">I2602*G2602/1000</f>
        <v>0.23496</v>
      </c>
      <c r="K2602" s="11" t="s">
        <v>217</v>
      </c>
      <c r="L2602" s="11" t="s">
        <v>19</v>
      </c>
      <c r="M2602" s="11" t="s">
        <v>145</v>
      </c>
    </row>
    <row r="2603" customFormat="false" ht="15" hidden="false" customHeight="false" outlineLevel="0" collapsed="false">
      <c r="A2603" s="11" t="s">
        <v>112</v>
      </c>
      <c r="B2603" s="11" t="s">
        <v>132</v>
      </c>
      <c r="C2603" s="11" t="n">
        <v>20</v>
      </c>
      <c r="D2603" s="11" t="s">
        <v>174</v>
      </c>
      <c r="E2603" s="11" t="s">
        <v>176</v>
      </c>
      <c r="F2603" s="11" t="s">
        <v>83</v>
      </c>
      <c r="G2603" s="12" t="n">
        <v>360</v>
      </c>
      <c r="H2603" s="12" t="n">
        <f aca="false">SUMPRODUCT(ПОТОКИ!B16:G16,ЧАСОВЫЕ_ПРОФИЛИ!B19:G19,КОЭФФИЦИЕНТЫ_ВЫБОРА!F30:K30)</f>
        <v>0.656</v>
      </c>
      <c r="I2603" s="12" t="n">
        <f aca="false">SUMPRODUCT(ПОТОКИ!B16:G16,ЧАСОВЫЕ_ПРОФИЛИ!B19:G19,КОЭФФИЦИЕНТЫ_ВЫБОРА!F30:K30,ПАРАМЕТРЫ!$B$17:$G$17)</f>
        <v>0.7216</v>
      </c>
      <c r="J2603" s="12" t="n">
        <f aca="false">I2603*G2603/1000</f>
        <v>0.259776</v>
      </c>
      <c r="K2603" s="11" t="s">
        <v>217</v>
      </c>
      <c r="L2603" s="11" t="s">
        <v>19</v>
      </c>
      <c r="M2603" s="11" t="s">
        <v>145</v>
      </c>
    </row>
    <row r="2604" customFormat="false" ht="15" hidden="false" customHeight="false" outlineLevel="0" collapsed="false">
      <c r="A2604" s="11" t="s">
        <v>112</v>
      </c>
      <c r="B2604" s="11" t="s">
        <v>132</v>
      </c>
      <c r="C2604" s="11" t="n">
        <v>21</v>
      </c>
      <c r="D2604" s="11" t="s">
        <v>174</v>
      </c>
      <c r="E2604" s="11" t="s">
        <v>177</v>
      </c>
      <c r="F2604" s="11" t="s">
        <v>83</v>
      </c>
      <c r="G2604" s="12" t="n">
        <v>350</v>
      </c>
      <c r="H2604" s="12" t="n">
        <f aca="false">SUMPRODUCT(ПОТОКИ!B16:G16,ЧАСОВЫЕ_ПРОФИЛИ!B19:G19,КОЭФФИЦИЕНТЫ_ВЫБОРА!F31:K31)</f>
        <v>1.008</v>
      </c>
      <c r="I2604" s="12" t="n">
        <f aca="false">SUMPRODUCT(ПОТОКИ!B16:G16,ЧАСОВЫЕ_ПРОФИЛИ!B19:G19,КОЭФФИЦИЕНТЫ_ВЫБОРА!F31:K31,ПАРАМЕТРЫ!$B$17:$G$17)</f>
        <v>1.1088</v>
      </c>
      <c r="J2604" s="12" t="n">
        <f aca="false">I2604*G2604/1000</f>
        <v>0.38808</v>
      </c>
      <c r="K2604" s="11" t="s">
        <v>217</v>
      </c>
      <c r="L2604" s="11" t="s">
        <v>19</v>
      </c>
      <c r="M2604" s="11" t="s">
        <v>145</v>
      </c>
    </row>
    <row r="2605" customFormat="false" ht="15" hidden="false" customHeight="false" outlineLevel="0" collapsed="false">
      <c r="A2605" s="11" t="s">
        <v>112</v>
      </c>
      <c r="B2605" s="11" t="s">
        <v>132</v>
      </c>
      <c r="C2605" s="11" t="n">
        <v>22</v>
      </c>
      <c r="D2605" s="11" t="s">
        <v>174</v>
      </c>
      <c r="E2605" s="11" t="s">
        <v>178</v>
      </c>
      <c r="F2605" s="11" t="s">
        <v>83</v>
      </c>
      <c r="G2605" s="12" t="n">
        <v>300</v>
      </c>
      <c r="H2605" s="12" t="n">
        <f aca="false">SUMPRODUCT(ПОТОКИ!B16:G16,ЧАСОВЫЕ_ПРОФИЛИ!B19:G19,КОЭФФИЦИЕНТЫ_ВЫБОРА!F32:K32)</f>
        <v>0.664</v>
      </c>
      <c r="I2605" s="12" t="n">
        <f aca="false">SUMPRODUCT(ПОТОКИ!B16:G16,ЧАСОВЫЕ_ПРОФИЛИ!B19:G19,КОЭФФИЦИЕНТЫ_ВЫБОРА!F32:K32,ПАРАМЕТРЫ!$B$17:$G$17)</f>
        <v>0.7304</v>
      </c>
      <c r="J2605" s="12" t="n">
        <f aca="false">I2605*G2605/1000</f>
        <v>0.21912</v>
      </c>
      <c r="K2605" s="11" t="s">
        <v>217</v>
      </c>
      <c r="L2605" s="11" t="s">
        <v>19</v>
      </c>
      <c r="M2605" s="11" t="s">
        <v>145</v>
      </c>
    </row>
    <row r="2606" customFormat="false" ht="15" hidden="false" customHeight="false" outlineLevel="0" collapsed="false">
      <c r="A2606" s="11" t="s">
        <v>112</v>
      </c>
      <c r="B2606" s="11" t="s">
        <v>132</v>
      </c>
      <c r="C2606" s="11" t="n">
        <v>23</v>
      </c>
      <c r="D2606" s="11" t="s">
        <v>86</v>
      </c>
      <c r="E2606" s="11" t="s">
        <v>179</v>
      </c>
      <c r="F2606" s="11" t="s">
        <v>85</v>
      </c>
      <c r="G2606" s="12" t="n">
        <v>150</v>
      </c>
      <c r="H2606" s="12" t="n">
        <f aca="false">SUMPRODUCT(ПОТОКИ!B16:G16,ЧАСОВЫЕ_ПРОФИЛИ!B19:G19,КОЭФФИЦИЕНТЫ_ВЫБОРА!F33:K33)</f>
        <v>0.50144</v>
      </c>
      <c r="I2606" s="12" t="n">
        <f aca="false">SUMPRODUCT(ПОТОКИ!B16:G16,ЧАСОВЫЕ_ПРОФИЛИ!B19:G19,КОЭФФИЦИЕНТЫ_ВЫБОРА!F33:K33,ПАРАМЕТРЫ!$B$17:$G$17)</f>
        <v>0.551584</v>
      </c>
      <c r="J2606" s="12" t="n">
        <f aca="false">I2606*G2606/1000</f>
        <v>0.0827376</v>
      </c>
      <c r="K2606" s="11" t="s">
        <v>217</v>
      </c>
      <c r="L2606" s="11" t="s">
        <v>19</v>
      </c>
      <c r="M2606" s="11" t="s">
        <v>147</v>
      </c>
    </row>
    <row r="2607" customFormat="false" ht="15" hidden="false" customHeight="false" outlineLevel="0" collapsed="false">
      <c r="A2607" s="11" t="s">
        <v>112</v>
      </c>
      <c r="B2607" s="11" t="s">
        <v>132</v>
      </c>
      <c r="C2607" s="11" t="n">
        <v>24</v>
      </c>
      <c r="D2607" s="11" t="s">
        <v>86</v>
      </c>
      <c r="E2607" s="11" t="s">
        <v>180</v>
      </c>
      <c r="F2607" s="11" t="s">
        <v>85</v>
      </c>
      <c r="G2607" s="12" t="n">
        <v>150</v>
      </c>
      <c r="H2607" s="12" t="n">
        <f aca="false">SUMPRODUCT(ПОТОКИ!B16:G16,ЧАСОВЫЕ_ПРОФИЛИ!B19:G19,КОЭФФИЦИЕНТЫ_ВЫБОРА!F34:K34)</f>
        <v>0.25072</v>
      </c>
      <c r="I2607" s="12" t="n">
        <f aca="false">SUMPRODUCT(ПОТОКИ!B16:G16,ЧАСОВЫЕ_ПРОФИЛИ!B19:G19,КОЭФФИЦИЕНТЫ_ВЫБОРА!F34:K34,ПАРАМЕТРЫ!$B$17:$G$17)</f>
        <v>0.275792</v>
      </c>
      <c r="J2607" s="12" t="n">
        <f aca="false">I2607*G2607/1000</f>
        <v>0.0413688</v>
      </c>
      <c r="K2607" s="11" t="s">
        <v>217</v>
      </c>
      <c r="L2607" s="11" t="s">
        <v>19</v>
      </c>
      <c r="M2607" s="11" t="s">
        <v>147</v>
      </c>
    </row>
    <row r="2608" customFormat="false" ht="15" hidden="false" customHeight="false" outlineLevel="0" collapsed="false">
      <c r="A2608" s="11" t="s">
        <v>112</v>
      </c>
      <c r="B2608" s="11" t="s">
        <v>132</v>
      </c>
      <c r="C2608" s="11" t="n">
        <v>25</v>
      </c>
      <c r="D2608" s="11" t="s">
        <v>86</v>
      </c>
      <c r="E2608" s="11" t="s">
        <v>181</v>
      </c>
      <c r="F2608" s="11" t="s">
        <v>85</v>
      </c>
      <c r="G2608" s="12" t="n">
        <v>150</v>
      </c>
      <c r="H2608" s="12" t="n">
        <f aca="false">SUMPRODUCT(ПОТОКИ!B16:G16,ЧАСОВЫЕ_ПРОФИЛИ!B19:G19,КОЭФФИЦИЕНТЫ_ВЫБОРА!F35:K35)</f>
        <v>0.50144</v>
      </c>
      <c r="I2608" s="12" t="n">
        <f aca="false">SUMPRODUCT(ПОТОКИ!B16:G16,ЧАСОВЫЕ_ПРОФИЛИ!B19:G19,КОЭФФИЦИЕНТЫ_ВЫБОРА!F35:K35,ПАРАМЕТРЫ!$B$17:$G$17)</f>
        <v>0.551584</v>
      </c>
      <c r="J2608" s="12" t="n">
        <f aca="false">I2608*G2608/1000</f>
        <v>0.0827376</v>
      </c>
      <c r="K2608" s="11" t="s">
        <v>217</v>
      </c>
      <c r="L2608" s="11" t="s">
        <v>19</v>
      </c>
      <c r="M2608" s="11" t="s">
        <v>147</v>
      </c>
    </row>
    <row r="2609" customFormat="false" ht="23.85" hidden="false" customHeight="false" outlineLevel="0" collapsed="false">
      <c r="A2609" s="11" t="s">
        <v>112</v>
      </c>
      <c r="B2609" s="11" t="s">
        <v>132</v>
      </c>
      <c r="C2609" s="11" t="n">
        <v>26</v>
      </c>
      <c r="D2609" s="11" t="s">
        <v>89</v>
      </c>
      <c r="E2609" s="11" t="s">
        <v>182</v>
      </c>
      <c r="F2609" s="11" t="s">
        <v>88</v>
      </c>
      <c r="G2609" s="12" t="n">
        <v>225</v>
      </c>
      <c r="H2609" s="12" t="n">
        <f aca="false">SUMPRODUCT(ПОТОКИ!B16:G16,ЧАСОВЫЕ_ПРОФИЛИ!B19:G19,КОЭФФИЦИЕНТЫ_ВЫБОРА!F36:K36)</f>
        <v>0</v>
      </c>
      <c r="I2609" s="12" t="n">
        <f aca="false">SUMPRODUCT(ПОТОКИ!B16:G16,ЧАСОВЫЕ_ПРОФИЛИ!B19:G19,КОЭФФИЦИЕНТЫ_ВЫБОРА!F36:K36,ПАРАМЕТРЫ!$B$17:$G$17)</f>
        <v>0</v>
      </c>
      <c r="J2609" s="12" t="n">
        <f aca="false">I2609*G2609/1000</f>
        <v>0</v>
      </c>
      <c r="K2609" s="11" t="s">
        <v>217</v>
      </c>
      <c r="L2609" s="11" t="s">
        <v>19</v>
      </c>
      <c r="M2609" s="11" t="s">
        <v>145</v>
      </c>
    </row>
    <row r="2610" customFormat="false" ht="23.85" hidden="false" customHeight="false" outlineLevel="0" collapsed="false">
      <c r="A2610" s="11" t="s">
        <v>112</v>
      </c>
      <c r="B2610" s="11" t="s">
        <v>132</v>
      </c>
      <c r="C2610" s="11" t="n">
        <v>27</v>
      </c>
      <c r="D2610" s="11" t="s">
        <v>89</v>
      </c>
      <c r="E2610" s="11" t="s">
        <v>183</v>
      </c>
      <c r="F2610" s="11" t="s">
        <v>88</v>
      </c>
      <c r="G2610" s="12" t="n">
        <v>265</v>
      </c>
      <c r="H2610" s="12" t="n">
        <f aca="false">SUMPRODUCT(ПОТОКИ!B16:G16,ЧАСОВЫЕ_ПРОФИЛИ!B19:G19,КОЭФФИЦИЕНТЫ_ВЫБОРА!F37:K37)</f>
        <v>0</v>
      </c>
      <c r="I2610" s="12" t="n">
        <f aca="false">SUMPRODUCT(ПОТОКИ!B16:G16,ЧАСОВЫЕ_ПРОФИЛИ!B19:G19,КОЭФФИЦИЕНТЫ_ВЫБОРА!F37:K37,ПАРАМЕТРЫ!$B$17:$G$17)</f>
        <v>0</v>
      </c>
      <c r="J2610" s="12" t="n">
        <f aca="false">I2610*G2610/1000</f>
        <v>0</v>
      </c>
      <c r="K2610" s="11" t="s">
        <v>217</v>
      </c>
      <c r="L2610" s="11" t="s">
        <v>19</v>
      </c>
      <c r="M2610" s="11" t="s">
        <v>145</v>
      </c>
    </row>
    <row r="2611" customFormat="false" ht="23.85" hidden="false" customHeight="false" outlineLevel="0" collapsed="false">
      <c r="A2611" s="11" t="s">
        <v>112</v>
      </c>
      <c r="B2611" s="11" t="s">
        <v>132</v>
      </c>
      <c r="C2611" s="11" t="n">
        <v>28</v>
      </c>
      <c r="D2611" s="11" t="s">
        <v>89</v>
      </c>
      <c r="E2611" s="11" t="s">
        <v>184</v>
      </c>
      <c r="F2611" s="11" t="s">
        <v>88</v>
      </c>
      <c r="G2611" s="12" t="n">
        <v>355</v>
      </c>
      <c r="H2611" s="12" t="n">
        <f aca="false">SUMPRODUCT(ПОТОКИ!B16:G16,ЧАСОВЫЕ_ПРОФИЛИ!B19:G19,КОЭФФИЦИЕНТЫ_ВЫБОРА!F38:K38)</f>
        <v>0</v>
      </c>
      <c r="I2611" s="12" t="n">
        <f aca="false">SUMPRODUCT(ПОТОКИ!B16:G16,ЧАСОВЫЕ_ПРОФИЛИ!B19:G19,КОЭФФИЦИЕНТЫ_ВЫБОРА!F38:K38,ПАРАМЕТРЫ!$B$17:$G$17)</f>
        <v>0</v>
      </c>
      <c r="J2611" s="12" t="n">
        <f aca="false">I2611*G2611/1000</f>
        <v>0</v>
      </c>
      <c r="K2611" s="11" t="s">
        <v>217</v>
      </c>
      <c r="L2611" s="11" t="s">
        <v>19</v>
      </c>
      <c r="M2611" s="11" t="s">
        <v>145</v>
      </c>
    </row>
    <row r="2612" customFormat="false" ht="15" hidden="false" customHeight="false" outlineLevel="0" collapsed="false">
      <c r="A2612" s="11" t="s">
        <v>112</v>
      </c>
      <c r="B2612" s="11" t="s">
        <v>132</v>
      </c>
      <c r="C2612" s="11" t="n">
        <v>29</v>
      </c>
      <c r="D2612" s="11" t="s">
        <v>92</v>
      </c>
      <c r="E2612" s="11" t="s">
        <v>185</v>
      </c>
      <c r="F2612" s="11" t="s">
        <v>91</v>
      </c>
      <c r="G2612" s="12" t="n">
        <v>150</v>
      </c>
      <c r="H2612" s="12" t="n">
        <f aca="false">SUMPRODUCT(ПОТОКИ!B16:G16,ЧАСОВЫЕ_ПРОФИЛИ!B19:G19,КОЭФФИЦИЕНТЫ_ВЫБОРА!F39:K39)</f>
        <v>0.354</v>
      </c>
      <c r="I2612" s="12" t="n">
        <f aca="false">SUMPRODUCT(ПОТОКИ!B16:G16,ЧАСОВЫЕ_ПРОФИЛИ!B19:G19,КОЭФФИЦИЕНТЫ_ВЫБОРА!F39:K39,ПАРАМЕТРЫ!$B$17:$G$17)</f>
        <v>0.3894</v>
      </c>
      <c r="J2612" s="12" t="n">
        <f aca="false">I2612*G2612/1000</f>
        <v>0.05841</v>
      </c>
      <c r="K2612" s="11" t="s">
        <v>217</v>
      </c>
      <c r="L2612" s="11" t="s">
        <v>19</v>
      </c>
      <c r="M2612" s="11" t="s">
        <v>145</v>
      </c>
    </row>
    <row r="2613" customFormat="false" ht="15" hidden="false" customHeight="false" outlineLevel="0" collapsed="false">
      <c r="A2613" s="11" t="s">
        <v>112</v>
      </c>
      <c r="B2613" s="11" t="s">
        <v>132</v>
      </c>
      <c r="C2613" s="11" t="n">
        <v>30</v>
      </c>
      <c r="D2613" s="11" t="s">
        <v>92</v>
      </c>
      <c r="E2613" s="11" t="s">
        <v>186</v>
      </c>
      <c r="F2613" s="11" t="s">
        <v>91</v>
      </c>
      <c r="G2613" s="12" t="n">
        <v>120</v>
      </c>
      <c r="H2613" s="12" t="n">
        <f aca="false">SUMPRODUCT(ПОТОКИ!B16:G16,ЧАСОВЫЕ_ПРОФИЛИ!B19:G19,КОЭФФИЦИЕНТЫ_ВЫБОРА!F40:K40)</f>
        <v>0.354</v>
      </c>
      <c r="I2613" s="12" t="n">
        <f aca="false">SUMPRODUCT(ПОТОКИ!B16:G16,ЧАСОВЫЕ_ПРОФИЛИ!B19:G19,КОЭФФИЦИЕНТЫ_ВЫБОРА!F40:K40,ПАРАМЕТРЫ!$B$17:$G$17)</f>
        <v>0.3894</v>
      </c>
      <c r="J2613" s="12" t="n">
        <f aca="false">I2613*G2613/1000</f>
        <v>0.046728</v>
      </c>
      <c r="K2613" s="11" t="s">
        <v>217</v>
      </c>
      <c r="L2613" s="11" t="s">
        <v>19</v>
      </c>
      <c r="M2613" s="11" t="s">
        <v>145</v>
      </c>
    </row>
    <row r="2614" customFormat="false" ht="15" hidden="false" customHeight="false" outlineLevel="0" collapsed="false">
      <c r="A2614" s="11" t="s">
        <v>112</v>
      </c>
      <c r="B2614" s="11" t="s">
        <v>132</v>
      </c>
      <c r="C2614" s="11" t="n">
        <v>31</v>
      </c>
      <c r="D2614" s="11" t="s">
        <v>92</v>
      </c>
      <c r="E2614" s="11" t="s">
        <v>187</v>
      </c>
      <c r="F2614" s="11" t="s">
        <v>91</v>
      </c>
      <c r="G2614" s="12" t="n">
        <v>60</v>
      </c>
      <c r="H2614" s="12" t="n">
        <f aca="false">SUMPRODUCT(ПОТОКИ!B16:G16,ЧАСОВЫЕ_ПРОФИЛИ!B19:G19,КОЭФФИЦИЕНТЫ_ВЫБОРА!F41:K41)</f>
        <v>0.312</v>
      </c>
      <c r="I2614" s="12" t="n">
        <f aca="false">SUMPRODUCT(ПОТОКИ!B16:G16,ЧАСОВЫЕ_ПРОФИЛИ!B19:G19,КОЭФФИЦИЕНТЫ_ВЫБОРА!F41:K41,ПАРАМЕТРЫ!$B$17:$G$17)</f>
        <v>0.3432</v>
      </c>
      <c r="J2614" s="12" t="n">
        <f aca="false">I2614*G2614/1000</f>
        <v>0.020592</v>
      </c>
      <c r="K2614" s="11" t="s">
        <v>217</v>
      </c>
      <c r="L2614" s="11" t="s">
        <v>19</v>
      </c>
      <c r="M2614" s="11" t="s">
        <v>145</v>
      </c>
    </row>
    <row r="2615" customFormat="false" ht="15" hidden="false" customHeight="false" outlineLevel="0" collapsed="false">
      <c r="A2615" s="11" t="s">
        <v>112</v>
      </c>
      <c r="B2615" s="11" t="s">
        <v>133</v>
      </c>
      <c r="C2615" s="11" t="n">
        <v>1</v>
      </c>
      <c r="D2615" s="11" t="s">
        <v>74</v>
      </c>
      <c r="E2615" s="11" t="s">
        <v>153</v>
      </c>
      <c r="F2615" s="11" t="s">
        <v>73</v>
      </c>
      <c r="G2615" s="12" t="n">
        <v>450</v>
      </c>
      <c r="H2615" s="12" t="n">
        <f aca="false">SUMPRODUCT(ПОТОКИ!B16:G16,ЧАСОВЫЕ_ПРОФИЛИ!B20:G20,КОЭФФИЦИЕНТЫ_ВЫБОРА!F11:K11)</f>
        <v>0.204</v>
      </c>
      <c r="I2615" s="12" t="n">
        <f aca="false">SUMPRODUCT(ПОТОКИ!B16:G16,ЧАСОВЫЕ_ПРОФИЛИ!B20:G20,КОЭФФИЦИЕНТЫ_ВЫБОРА!F11:K11,ПАРАМЕТРЫ!$B$17:$G$17)</f>
        <v>0.2244</v>
      </c>
      <c r="J2615" s="12" t="n">
        <f aca="false">I2615*G2615/1000</f>
        <v>0.10098</v>
      </c>
      <c r="K2615" s="11" t="s">
        <v>217</v>
      </c>
      <c r="L2615" s="11" t="s">
        <v>19</v>
      </c>
      <c r="M2615" s="11" t="s">
        <v>145</v>
      </c>
    </row>
    <row r="2616" customFormat="false" ht="15" hidden="false" customHeight="false" outlineLevel="0" collapsed="false">
      <c r="A2616" s="11" t="s">
        <v>112</v>
      </c>
      <c r="B2616" s="11" t="s">
        <v>133</v>
      </c>
      <c r="C2616" s="11" t="n">
        <v>2</v>
      </c>
      <c r="D2616" s="11" t="s">
        <v>74</v>
      </c>
      <c r="E2616" s="11" t="s">
        <v>154</v>
      </c>
      <c r="F2616" s="11" t="s">
        <v>73</v>
      </c>
      <c r="G2616" s="12" t="n">
        <v>480</v>
      </c>
      <c r="H2616" s="12" t="n">
        <f aca="false">SUMPRODUCT(ПОТОКИ!B16:G16,ЧАСОВЫЕ_ПРОФИЛИ!B20:G20,КОЭФФИЦИЕНТЫ_ВЫБОРА!F12:K12)</f>
        <v>0.344</v>
      </c>
      <c r="I2616" s="12" t="n">
        <f aca="false">SUMPRODUCT(ПОТОКИ!B16:G16,ЧАСОВЫЕ_ПРОФИЛИ!B20:G20,КОЭФФИЦИЕНТЫ_ВЫБОРА!F12:K12,ПАРАМЕТРЫ!$B$17:$G$17)</f>
        <v>0.3784</v>
      </c>
      <c r="J2616" s="12" t="n">
        <f aca="false">I2616*G2616/1000</f>
        <v>0.181632</v>
      </c>
      <c r="K2616" s="11" t="s">
        <v>217</v>
      </c>
      <c r="L2616" s="11" t="s">
        <v>19</v>
      </c>
      <c r="M2616" s="11" t="s">
        <v>145</v>
      </c>
    </row>
    <row r="2617" customFormat="false" ht="15" hidden="false" customHeight="false" outlineLevel="0" collapsed="false">
      <c r="A2617" s="11" t="s">
        <v>112</v>
      </c>
      <c r="B2617" s="11" t="s">
        <v>133</v>
      </c>
      <c r="C2617" s="11" t="n">
        <v>3</v>
      </c>
      <c r="D2617" s="11" t="s">
        <v>74</v>
      </c>
      <c r="E2617" s="11" t="s">
        <v>155</v>
      </c>
      <c r="F2617" s="11" t="s">
        <v>73</v>
      </c>
      <c r="G2617" s="12" t="n">
        <v>500</v>
      </c>
      <c r="H2617" s="12" t="n">
        <f aca="false">SUMPRODUCT(ПОТОКИ!B16:G16,ЧАСОВЫЕ_ПРОФИЛИ!B20:G20,КОЭФФИЦИЕНТЫ_ВЫБОРА!F13:K13)</f>
        <v>0.516</v>
      </c>
      <c r="I2617" s="12" t="n">
        <f aca="false">SUMPRODUCT(ПОТОКИ!B16:G16,ЧАСОВЫЕ_ПРОФИЛИ!B20:G20,КОЭФФИЦИЕНТЫ_ВЫБОРА!F13:K13,ПАРАМЕТРЫ!$B$17:$G$17)</f>
        <v>0.5676</v>
      </c>
      <c r="J2617" s="12" t="n">
        <f aca="false">I2617*G2617/1000</f>
        <v>0.2838</v>
      </c>
      <c r="K2617" s="11" t="s">
        <v>217</v>
      </c>
      <c r="L2617" s="11" t="s">
        <v>19</v>
      </c>
      <c r="M2617" s="11" t="s">
        <v>145</v>
      </c>
    </row>
    <row r="2618" customFormat="false" ht="15" hidden="false" customHeight="false" outlineLevel="0" collapsed="false">
      <c r="A2618" s="11" t="s">
        <v>112</v>
      </c>
      <c r="B2618" s="11" t="s">
        <v>133</v>
      </c>
      <c r="C2618" s="11" t="n">
        <v>4</v>
      </c>
      <c r="D2618" s="11" t="s">
        <v>74</v>
      </c>
      <c r="E2618" s="11" t="s">
        <v>156</v>
      </c>
      <c r="F2618" s="11" t="s">
        <v>73</v>
      </c>
      <c r="G2618" s="12" t="n">
        <v>500</v>
      </c>
      <c r="H2618" s="12" t="n">
        <f aca="false">SUMPRODUCT(ПОТОКИ!B16:G16,ЧАСОВЫЕ_ПРОФИЛИ!B20:G20,КОЭФФИЦИЕНТЫ_ВЫБОРА!F14:K14)</f>
        <v>0.656</v>
      </c>
      <c r="I2618" s="12" t="n">
        <f aca="false">SUMPRODUCT(ПОТОКИ!B16:G16,ЧАСОВЫЕ_ПРОФИЛИ!B20:G20,КОЭФФИЦИЕНТЫ_ВЫБОРА!F14:K14,ПАРАМЕТРЫ!$B$17:$G$17)</f>
        <v>0.7216</v>
      </c>
      <c r="J2618" s="12" t="n">
        <f aca="false">I2618*G2618/1000</f>
        <v>0.3608</v>
      </c>
      <c r="K2618" s="11" t="s">
        <v>217</v>
      </c>
      <c r="L2618" s="11" t="s">
        <v>19</v>
      </c>
      <c r="M2618" s="11" t="s">
        <v>145</v>
      </c>
    </row>
    <row r="2619" customFormat="false" ht="15" hidden="false" customHeight="false" outlineLevel="0" collapsed="false">
      <c r="A2619" s="11" t="s">
        <v>112</v>
      </c>
      <c r="B2619" s="11" t="s">
        <v>133</v>
      </c>
      <c r="C2619" s="11" t="n">
        <v>5</v>
      </c>
      <c r="D2619" s="11" t="s">
        <v>78</v>
      </c>
      <c r="E2619" s="11" t="s">
        <v>157</v>
      </c>
      <c r="F2619" s="11" t="s">
        <v>77</v>
      </c>
      <c r="G2619" s="12" t="n">
        <v>100</v>
      </c>
      <c r="H2619" s="12" t="n">
        <f aca="false">SUMPRODUCT(ПОТОКИ!B16:G16,ЧАСОВЫЕ_ПРОФИЛИ!B20:G20,КОЭФФИЦИЕНТЫ_ВЫБОРА!F15:K15)</f>
        <v>0.488</v>
      </c>
      <c r="I2619" s="12" t="n">
        <f aca="false">SUMPRODUCT(ПОТОКИ!B16:G16,ЧАСОВЫЕ_ПРОФИЛИ!B20:G20,КОЭФФИЦИЕНТЫ_ВЫБОРА!F15:K15,ПАРАМЕТРЫ!$B$17:$G$17)</f>
        <v>0.5368</v>
      </c>
      <c r="J2619" s="12" t="n">
        <f aca="false">I2619*G2619/1000</f>
        <v>0.05368</v>
      </c>
      <c r="K2619" s="11" t="s">
        <v>217</v>
      </c>
      <c r="L2619" s="11" t="s">
        <v>19</v>
      </c>
      <c r="M2619" s="11" t="s">
        <v>147</v>
      </c>
    </row>
    <row r="2620" customFormat="false" ht="15" hidden="false" customHeight="false" outlineLevel="0" collapsed="false">
      <c r="A2620" s="11" t="s">
        <v>112</v>
      </c>
      <c r="B2620" s="11" t="s">
        <v>133</v>
      </c>
      <c r="C2620" s="11" t="n">
        <v>6</v>
      </c>
      <c r="D2620" s="11" t="s">
        <v>78</v>
      </c>
      <c r="E2620" s="11" t="s">
        <v>158</v>
      </c>
      <c r="F2620" s="11" t="s">
        <v>77</v>
      </c>
      <c r="G2620" s="12" t="n">
        <v>100</v>
      </c>
      <c r="H2620" s="12" t="n">
        <f aca="false">SUMPRODUCT(ПОТОКИ!B16:G16,ЧАСОВЫЕ_ПРОФИЛИ!B20:G20,КОЭФФИЦИЕНТЫ_ВЫБОРА!F16:K16)</f>
        <v>0.456</v>
      </c>
      <c r="I2620" s="12" t="n">
        <f aca="false">SUMPRODUCT(ПОТОКИ!B16:G16,ЧАСОВЫЕ_ПРОФИЛИ!B20:G20,КОЭФФИЦИЕНТЫ_ВЫБОРА!F16:K16,ПАРАМЕТРЫ!$B$17:$G$17)</f>
        <v>0.5016</v>
      </c>
      <c r="J2620" s="12" t="n">
        <f aca="false">I2620*G2620/1000</f>
        <v>0.05016</v>
      </c>
      <c r="K2620" s="11" t="s">
        <v>217</v>
      </c>
      <c r="L2620" s="11" t="s">
        <v>19</v>
      </c>
      <c r="M2620" s="11" t="s">
        <v>147</v>
      </c>
    </row>
    <row r="2621" customFormat="false" ht="15" hidden="false" customHeight="false" outlineLevel="0" collapsed="false">
      <c r="A2621" s="11" t="s">
        <v>112</v>
      </c>
      <c r="B2621" s="11" t="s">
        <v>133</v>
      </c>
      <c r="C2621" s="11" t="n">
        <v>7</v>
      </c>
      <c r="D2621" s="11" t="s">
        <v>78</v>
      </c>
      <c r="E2621" s="11" t="s">
        <v>159</v>
      </c>
      <c r="F2621" s="11" t="s">
        <v>77</v>
      </c>
      <c r="G2621" s="12" t="n">
        <v>350</v>
      </c>
      <c r="H2621" s="12" t="n">
        <f aca="false">SUMPRODUCT(ПОТОКИ!B16:G16,ЧАСОВЫЕ_ПРОФИЛИ!B20:G20,КОЭФФИЦИЕНТЫ_ВЫБОРА!F17:K17)</f>
        <v>0.396</v>
      </c>
      <c r="I2621" s="12" t="n">
        <f aca="false">SUMPRODUCT(ПОТОКИ!B16:G16,ЧАСОВЫЕ_ПРОФИЛИ!B20:G20,КОЭФФИЦИЕНТЫ_ВЫБОРА!F17:K17,ПАРАМЕТРЫ!$B$17:$G$17)</f>
        <v>0.4356</v>
      </c>
      <c r="J2621" s="12" t="n">
        <f aca="false">I2621*G2621/1000</f>
        <v>0.15246</v>
      </c>
      <c r="K2621" s="11" t="s">
        <v>217</v>
      </c>
      <c r="L2621" s="11" t="s">
        <v>19</v>
      </c>
      <c r="M2621" s="11" t="s">
        <v>147</v>
      </c>
    </row>
    <row r="2622" customFormat="false" ht="15" hidden="false" customHeight="false" outlineLevel="0" collapsed="false">
      <c r="A2622" s="11" t="s">
        <v>112</v>
      </c>
      <c r="B2622" s="11" t="s">
        <v>133</v>
      </c>
      <c r="C2622" s="11" t="n">
        <v>8</v>
      </c>
      <c r="D2622" s="11" t="s">
        <v>78</v>
      </c>
      <c r="E2622" s="11" t="s">
        <v>160</v>
      </c>
      <c r="F2622" s="11" t="s">
        <v>77</v>
      </c>
      <c r="G2622" s="12" t="n">
        <v>85</v>
      </c>
      <c r="H2622" s="12" t="n">
        <f aca="false">SUMPRODUCT(ПОТОКИ!B16:G16,ЧАСОВЫЕ_ПРОФИЛИ!B20:G20,КОЭФФИЦИЕНТЫ_ВЫБОРА!F18:K18)</f>
        <v>0.244</v>
      </c>
      <c r="I2622" s="12" t="n">
        <f aca="false">SUMPRODUCT(ПОТОКИ!B16:G16,ЧАСОВЫЕ_ПРОФИЛИ!B20:G20,КОЭФФИЦИЕНТЫ_ВЫБОРА!F18:K18,ПАРАМЕТРЫ!$B$17:$G$17)</f>
        <v>0.2684</v>
      </c>
      <c r="J2622" s="12" t="n">
        <f aca="false">I2622*G2622/1000</f>
        <v>0.022814</v>
      </c>
      <c r="K2622" s="11" t="s">
        <v>217</v>
      </c>
      <c r="L2622" s="11" t="s">
        <v>19</v>
      </c>
      <c r="M2622" s="11" t="s">
        <v>147</v>
      </c>
    </row>
    <row r="2623" customFormat="false" ht="15" hidden="false" customHeight="false" outlineLevel="0" collapsed="false">
      <c r="A2623" s="11" t="s">
        <v>112</v>
      </c>
      <c r="B2623" s="11" t="s">
        <v>133</v>
      </c>
      <c r="C2623" s="11" t="n">
        <v>9</v>
      </c>
      <c r="D2623" s="11" t="s">
        <v>161</v>
      </c>
      <c r="E2623" s="11" t="s">
        <v>162</v>
      </c>
      <c r="F2623" s="11" t="s">
        <v>80</v>
      </c>
      <c r="G2623" s="12" t="n">
        <v>300</v>
      </c>
      <c r="H2623" s="12" t="n">
        <f aca="false">SUMPRODUCT(ПОТОКИ!B16:G16,ЧАСОВЫЕ_ПРОФИЛИ!B20:G20,КОЭФФИЦИЕНТЫ_ВЫБОРА!F19:K19)</f>
        <v>0.276</v>
      </c>
      <c r="I2623" s="12" t="n">
        <f aca="false">SUMPRODUCT(ПОТОКИ!B16:G16,ЧАСОВЫЕ_ПРОФИЛИ!B20:G20,КОЭФФИЦИЕНТЫ_ВЫБОРА!F19:K19,ПАРАМЕТРЫ!$B$17:$G$17)</f>
        <v>0.3036</v>
      </c>
      <c r="J2623" s="12" t="n">
        <f aca="false">I2623*G2623/1000</f>
        <v>0.09108</v>
      </c>
      <c r="K2623" s="11" t="s">
        <v>217</v>
      </c>
      <c r="L2623" s="11" t="s">
        <v>19</v>
      </c>
      <c r="M2623" s="11" t="s">
        <v>145</v>
      </c>
    </row>
    <row r="2624" customFormat="false" ht="15" hidden="false" customHeight="false" outlineLevel="0" collapsed="false">
      <c r="A2624" s="11" t="s">
        <v>112</v>
      </c>
      <c r="B2624" s="11" t="s">
        <v>133</v>
      </c>
      <c r="C2624" s="11" t="n">
        <v>10</v>
      </c>
      <c r="D2624" s="11" t="s">
        <v>161</v>
      </c>
      <c r="E2624" s="11" t="s">
        <v>163</v>
      </c>
      <c r="F2624" s="11" t="s">
        <v>80</v>
      </c>
      <c r="G2624" s="12" t="n">
        <v>280</v>
      </c>
      <c r="H2624" s="12" t="n">
        <f aca="false">SUMPRODUCT(ПОТОКИ!B16:G16,ЧАСОВЫЕ_ПРОФИЛИ!B20:G20,КОЭФФИЦИЕНТЫ_ВЫБОРА!F20:K20)</f>
        <v>0.312</v>
      </c>
      <c r="I2624" s="12" t="n">
        <f aca="false">SUMPRODUCT(ПОТОКИ!B16:G16,ЧАСОВЫЕ_ПРОФИЛИ!B20:G20,КОЭФФИЦИЕНТЫ_ВЫБОРА!F20:K20,ПАРАМЕТРЫ!$B$17:$G$17)</f>
        <v>0.3432</v>
      </c>
      <c r="J2624" s="12" t="n">
        <f aca="false">I2624*G2624/1000</f>
        <v>0.096096</v>
      </c>
      <c r="K2624" s="11" t="s">
        <v>217</v>
      </c>
      <c r="L2624" s="11" t="s">
        <v>19</v>
      </c>
      <c r="M2624" s="11" t="s">
        <v>145</v>
      </c>
    </row>
    <row r="2625" customFormat="false" ht="15" hidden="false" customHeight="false" outlineLevel="0" collapsed="false">
      <c r="A2625" s="11" t="s">
        <v>112</v>
      </c>
      <c r="B2625" s="11" t="s">
        <v>133</v>
      </c>
      <c r="C2625" s="11" t="n">
        <v>11</v>
      </c>
      <c r="D2625" s="11" t="s">
        <v>161</v>
      </c>
      <c r="E2625" s="11" t="s">
        <v>164</v>
      </c>
      <c r="F2625" s="11" t="s">
        <v>80</v>
      </c>
      <c r="G2625" s="12" t="n">
        <v>270</v>
      </c>
      <c r="H2625" s="12" t="n">
        <f aca="false">SUMPRODUCT(ПОТОКИ!B16:G16,ЧАСОВЫЕ_ПРОФИЛИ!B20:G20,КОЭФФИЦИЕНТЫ_ВЫБОРА!F21:K21)</f>
        <v>0.498</v>
      </c>
      <c r="I2625" s="12" t="n">
        <f aca="false">SUMPRODUCT(ПОТОКИ!B16:G16,ЧАСОВЫЕ_ПРОФИЛИ!B20:G20,КОЭФФИЦИЕНТЫ_ВЫБОРА!F21:K21,ПАРАМЕТРЫ!$B$17:$G$17)</f>
        <v>0.5478</v>
      </c>
      <c r="J2625" s="12" t="n">
        <f aca="false">I2625*G2625/1000</f>
        <v>0.147906</v>
      </c>
      <c r="K2625" s="11" t="s">
        <v>217</v>
      </c>
      <c r="L2625" s="11" t="s">
        <v>19</v>
      </c>
      <c r="M2625" s="11" t="s">
        <v>145</v>
      </c>
    </row>
    <row r="2626" customFormat="false" ht="15" hidden="false" customHeight="false" outlineLevel="0" collapsed="false">
      <c r="A2626" s="11" t="s">
        <v>112</v>
      </c>
      <c r="B2626" s="11" t="s">
        <v>133</v>
      </c>
      <c r="C2626" s="11" t="n">
        <v>12</v>
      </c>
      <c r="D2626" s="11" t="s">
        <v>161</v>
      </c>
      <c r="E2626" s="11" t="s">
        <v>165</v>
      </c>
      <c r="F2626" s="11" t="s">
        <v>80</v>
      </c>
      <c r="G2626" s="12" t="n">
        <v>240</v>
      </c>
      <c r="H2626" s="12" t="n">
        <f aca="false">SUMPRODUCT(ПОТОКИ!B16:G16,ЧАСОВЫЕ_ПРОФИЛИ!B20:G20,КОЭФФИЦИЕНТЫ_ВЫБОРА!F22:K22)</f>
        <v>0.234</v>
      </c>
      <c r="I2626" s="12" t="n">
        <f aca="false">SUMPRODUCT(ПОТОКИ!B16:G16,ЧАСОВЫЕ_ПРОФИЛИ!B20:G20,КОЭФФИЦИЕНТЫ_ВЫБОРА!F22:K22,ПАРАМЕТРЫ!$B$17:$G$17)</f>
        <v>0.2574</v>
      </c>
      <c r="J2626" s="12" t="n">
        <f aca="false">I2626*G2626/1000</f>
        <v>0.061776</v>
      </c>
      <c r="K2626" s="11" t="s">
        <v>217</v>
      </c>
      <c r="L2626" s="11" t="s">
        <v>19</v>
      </c>
      <c r="M2626" s="11" t="s">
        <v>145</v>
      </c>
    </row>
    <row r="2627" customFormat="false" ht="15" hidden="false" customHeight="false" outlineLevel="0" collapsed="false">
      <c r="A2627" s="11" t="s">
        <v>112</v>
      </c>
      <c r="B2627" s="11" t="s">
        <v>133</v>
      </c>
      <c r="C2627" s="11" t="n">
        <v>13</v>
      </c>
      <c r="D2627" s="11" t="s">
        <v>166</v>
      </c>
      <c r="E2627" s="11" t="s">
        <v>167</v>
      </c>
      <c r="F2627" s="11" t="s">
        <v>80</v>
      </c>
      <c r="G2627" s="12" t="n">
        <v>130</v>
      </c>
      <c r="H2627" s="12" t="n">
        <f aca="false">SUMPRODUCT(ПОТОКИ!B16:G16,ЧАСОВЫЕ_ПРОФИЛИ!B20:G20,КОЭФФИЦИЕНТЫ_ВЫБОРА!F23:K23)</f>
        <v>0.16</v>
      </c>
      <c r="I2627" s="12" t="n">
        <f aca="false">SUMPRODUCT(ПОТОКИ!B16:G16,ЧАСОВЫЕ_ПРОФИЛИ!B20:G20,КОЭФФИЦИЕНТЫ_ВЫБОРА!F23:K23,ПАРАМЕТРЫ!$B$17:$G$17)</f>
        <v>0.176</v>
      </c>
      <c r="J2627" s="12" t="n">
        <f aca="false">I2627*G2627/1000</f>
        <v>0.02288</v>
      </c>
      <c r="K2627" s="11" t="s">
        <v>217</v>
      </c>
      <c r="L2627" s="11" t="s">
        <v>19</v>
      </c>
      <c r="M2627" s="11" t="s">
        <v>145</v>
      </c>
    </row>
    <row r="2628" customFormat="false" ht="15" hidden="false" customHeight="false" outlineLevel="0" collapsed="false">
      <c r="A2628" s="11" t="s">
        <v>112</v>
      </c>
      <c r="B2628" s="11" t="s">
        <v>133</v>
      </c>
      <c r="C2628" s="11" t="n">
        <v>14</v>
      </c>
      <c r="D2628" s="11" t="s">
        <v>166</v>
      </c>
      <c r="E2628" s="11" t="s">
        <v>168</v>
      </c>
      <c r="F2628" s="11" t="s">
        <v>80</v>
      </c>
      <c r="G2628" s="12" t="n">
        <v>250</v>
      </c>
      <c r="H2628" s="12" t="n">
        <f aca="false">SUMPRODUCT(ПОТОКИ!B16:G16,ЧАСОВЫЕ_ПРОФИЛИ!B20:G20,КОЭФФИЦИЕНТЫ_ВЫБОРА!F24:K24)</f>
        <v>0.096</v>
      </c>
      <c r="I2628" s="12" t="n">
        <f aca="false">SUMPRODUCT(ПОТОКИ!B16:G16,ЧАСОВЫЕ_ПРОФИЛИ!B20:G20,КОЭФФИЦИЕНТЫ_ВЫБОРА!F24:K24,ПАРАМЕТРЫ!$B$17:$G$17)</f>
        <v>0.1056</v>
      </c>
      <c r="J2628" s="12" t="n">
        <f aca="false">I2628*G2628/1000</f>
        <v>0.0264</v>
      </c>
      <c r="K2628" s="11" t="s">
        <v>217</v>
      </c>
      <c r="L2628" s="11" t="s">
        <v>19</v>
      </c>
      <c r="M2628" s="11" t="s">
        <v>145</v>
      </c>
    </row>
    <row r="2629" customFormat="false" ht="15" hidden="false" customHeight="false" outlineLevel="0" collapsed="false">
      <c r="A2629" s="11" t="s">
        <v>112</v>
      </c>
      <c r="B2629" s="11" t="s">
        <v>133</v>
      </c>
      <c r="C2629" s="11" t="n">
        <v>15</v>
      </c>
      <c r="D2629" s="11" t="s">
        <v>166</v>
      </c>
      <c r="E2629" s="11" t="s">
        <v>169</v>
      </c>
      <c r="F2629" s="11" t="s">
        <v>80</v>
      </c>
      <c r="G2629" s="12" t="n">
        <v>120</v>
      </c>
      <c r="H2629" s="12" t="n">
        <f aca="false">SUMPRODUCT(ПОТОКИ!B16:G16,ЧАСОВЫЕ_ПРОФИЛИ!B20:G20,КОЭФФИЦИЕНТЫ_ВЫБОРА!F25:K25)</f>
        <v>0.096</v>
      </c>
      <c r="I2629" s="12" t="n">
        <f aca="false">SUMPRODUCT(ПОТОКИ!B16:G16,ЧАСОВЫЕ_ПРОФИЛИ!B20:G20,КОЭФФИЦИЕНТЫ_ВЫБОРА!F25:K25,ПАРАМЕТРЫ!$B$17:$G$17)</f>
        <v>0.1056</v>
      </c>
      <c r="J2629" s="12" t="n">
        <f aca="false">I2629*G2629/1000</f>
        <v>0.012672</v>
      </c>
      <c r="K2629" s="11" t="s">
        <v>217</v>
      </c>
      <c r="L2629" s="11" t="s">
        <v>19</v>
      </c>
      <c r="M2629" s="11" t="s">
        <v>145</v>
      </c>
    </row>
    <row r="2630" customFormat="false" ht="15" hidden="false" customHeight="false" outlineLevel="0" collapsed="false">
      <c r="A2630" s="11" t="s">
        <v>112</v>
      </c>
      <c r="B2630" s="11" t="s">
        <v>133</v>
      </c>
      <c r="C2630" s="11" t="n">
        <v>16</v>
      </c>
      <c r="D2630" s="11" t="s">
        <v>166</v>
      </c>
      <c r="E2630" s="11" t="s">
        <v>170</v>
      </c>
      <c r="F2630" s="11" t="s">
        <v>80</v>
      </c>
      <c r="G2630" s="12" t="n">
        <v>180</v>
      </c>
      <c r="H2630" s="12" t="n">
        <f aca="false">SUMPRODUCT(ПОТОКИ!B16:G16,ЧАСОВЫЕ_ПРОФИЛИ!B20:G20,КОЭФФИЦИЕНТЫ_ВЫБОРА!F26:K26)</f>
        <v>0.128</v>
      </c>
      <c r="I2630" s="12" t="n">
        <f aca="false">SUMPRODUCT(ПОТОКИ!B16:G16,ЧАСОВЫЕ_ПРОФИЛИ!B20:G20,КОЭФФИЦИЕНТЫ_ВЫБОРА!F26:K26,ПАРАМЕТРЫ!$B$17:$G$17)</f>
        <v>0.1408</v>
      </c>
      <c r="J2630" s="12" t="n">
        <f aca="false">I2630*G2630/1000</f>
        <v>0.025344</v>
      </c>
      <c r="K2630" s="11" t="s">
        <v>217</v>
      </c>
      <c r="L2630" s="11" t="s">
        <v>19</v>
      </c>
      <c r="M2630" s="11" t="s">
        <v>145</v>
      </c>
    </row>
    <row r="2631" customFormat="false" ht="15" hidden="false" customHeight="false" outlineLevel="0" collapsed="false">
      <c r="A2631" s="11" t="s">
        <v>112</v>
      </c>
      <c r="B2631" s="11" t="s">
        <v>133</v>
      </c>
      <c r="C2631" s="11" t="n">
        <v>17</v>
      </c>
      <c r="D2631" s="11" t="s">
        <v>166</v>
      </c>
      <c r="E2631" s="11" t="s">
        <v>171</v>
      </c>
      <c r="F2631" s="11" t="s">
        <v>80</v>
      </c>
      <c r="G2631" s="12" t="n">
        <v>180</v>
      </c>
      <c r="H2631" s="12" t="n">
        <f aca="false">SUMPRODUCT(ПОТОКИ!B16:G16,ЧАСОВЫЕ_ПРОФИЛИ!B20:G20,КОЭФФИЦИЕНТЫ_ВЫБОРА!F27:K27)</f>
        <v>0.16</v>
      </c>
      <c r="I2631" s="12" t="n">
        <f aca="false">SUMPRODUCT(ПОТОКИ!B16:G16,ЧАСОВЫЕ_ПРОФИЛИ!B20:G20,КОЭФФИЦИЕНТЫ_ВЫБОРА!F27:K27,ПАРАМЕТРЫ!$B$17:$G$17)</f>
        <v>0.176</v>
      </c>
      <c r="J2631" s="12" t="n">
        <f aca="false">I2631*G2631/1000</f>
        <v>0.03168</v>
      </c>
      <c r="K2631" s="11" t="s">
        <v>217</v>
      </c>
      <c r="L2631" s="11" t="s">
        <v>19</v>
      </c>
      <c r="M2631" s="11" t="s">
        <v>145</v>
      </c>
    </row>
    <row r="2632" customFormat="false" ht="15" hidden="false" customHeight="false" outlineLevel="0" collapsed="false">
      <c r="A2632" s="11" t="s">
        <v>112</v>
      </c>
      <c r="B2632" s="11" t="s">
        <v>133</v>
      </c>
      <c r="C2632" s="11" t="n">
        <v>18</v>
      </c>
      <c r="D2632" s="11" t="s">
        <v>172</v>
      </c>
      <c r="E2632" s="11" t="s">
        <v>173</v>
      </c>
      <c r="F2632" s="11" t="s">
        <v>83</v>
      </c>
      <c r="G2632" s="12" t="n">
        <v>400</v>
      </c>
      <c r="H2632" s="12" t="n">
        <f aca="false">SUMPRODUCT(ПОТОКИ!B16:G16,ЧАСОВЫЕ_ПРОФИЛИ!B20:G20,КОЭФФИЦИЕНТЫ_ВЫБОРА!F28:K28)</f>
        <v>0.32</v>
      </c>
      <c r="I2632" s="12" t="n">
        <f aca="false">SUMPRODUCT(ПОТОКИ!B16:G16,ЧАСОВЫЕ_ПРОФИЛИ!B20:G20,КОЭФФИЦИЕНТЫ_ВЫБОРА!F28:K28,ПАРАМЕТРЫ!$B$17:$G$17)</f>
        <v>0.352</v>
      </c>
      <c r="J2632" s="12" t="n">
        <f aca="false">I2632*G2632/1000</f>
        <v>0.1408</v>
      </c>
      <c r="K2632" s="11" t="s">
        <v>217</v>
      </c>
      <c r="L2632" s="11" t="s">
        <v>19</v>
      </c>
      <c r="M2632" s="11" t="s">
        <v>145</v>
      </c>
    </row>
    <row r="2633" customFormat="false" ht="23.85" hidden="false" customHeight="false" outlineLevel="0" collapsed="false">
      <c r="A2633" s="11" t="s">
        <v>112</v>
      </c>
      <c r="B2633" s="11" t="s">
        <v>133</v>
      </c>
      <c r="C2633" s="11" t="n">
        <v>19</v>
      </c>
      <c r="D2633" s="11" t="s">
        <v>174</v>
      </c>
      <c r="E2633" s="11" t="s">
        <v>175</v>
      </c>
      <c r="F2633" s="11" t="s">
        <v>83</v>
      </c>
      <c r="G2633" s="12" t="n">
        <v>300</v>
      </c>
      <c r="H2633" s="12" t="n">
        <f aca="false">SUMPRODUCT(ПОТОКИ!B16:G16,ЧАСОВЫЕ_ПРОФИЛИ!B20:G20,КОЭФФИЦИЕНТЫ_ВЫБОРА!F29:K29)</f>
        <v>0.712</v>
      </c>
      <c r="I2633" s="12" t="n">
        <f aca="false">SUMPRODUCT(ПОТОКИ!B16:G16,ЧАСОВЫЕ_ПРОФИЛИ!B20:G20,КОЭФФИЦИЕНТЫ_ВЫБОРА!F29:K29,ПАРАМЕТРЫ!$B$17:$G$17)</f>
        <v>0.7832</v>
      </c>
      <c r="J2633" s="12" t="n">
        <f aca="false">I2633*G2633/1000</f>
        <v>0.23496</v>
      </c>
      <c r="K2633" s="11" t="s">
        <v>217</v>
      </c>
      <c r="L2633" s="11" t="s">
        <v>19</v>
      </c>
      <c r="M2633" s="11" t="s">
        <v>145</v>
      </c>
    </row>
    <row r="2634" customFormat="false" ht="15" hidden="false" customHeight="false" outlineLevel="0" collapsed="false">
      <c r="A2634" s="11" t="s">
        <v>112</v>
      </c>
      <c r="B2634" s="11" t="s">
        <v>133</v>
      </c>
      <c r="C2634" s="11" t="n">
        <v>20</v>
      </c>
      <c r="D2634" s="11" t="s">
        <v>174</v>
      </c>
      <c r="E2634" s="11" t="s">
        <v>176</v>
      </c>
      <c r="F2634" s="11" t="s">
        <v>83</v>
      </c>
      <c r="G2634" s="12" t="n">
        <v>360</v>
      </c>
      <c r="H2634" s="12" t="n">
        <f aca="false">SUMPRODUCT(ПОТОКИ!B16:G16,ЧАСОВЫЕ_ПРОФИЛИ!B20:G20,КОЭФФИЦИЕНТЫ_ВЫБОРА!F30:K30)</f>
        <v>0.656</v>
      </c>
      <c r="I2634" s="12" t="n">
        <f aca="false">SUMPRODUCT(ПОТОКИ!B16:G16,ЧАСОВЫЕ_ПРОФИЛИ!B20:G20,КОЭФФИЦИЕНТЫ_ВЫБОРА!F30:K30,ПАРАМЕТРЫ!$B$17:$G$17)</f>
        <v>0.7216</v>
      </c>
      <c r="J2634" s="12" t="n">
        <f aca="false">I2634*G2634/1000</f>
        <v>0.259776</v>
      </c>
      <c r="K2634" s="11" t="s">
        <v>217</v>
      </c>
      <c r="L2634" s="11" t="s">
        <v>19</v>
      </c>
      <c r="M2634" s="11" t="s">
        <v>145</v>
      </c>
    </row>
    <row r="2635" customFormat="false" ht="15" hidden="false" customHeight="false" outlineLevel="0" collapsed="false">
      <c r="A2635" s="11" t="s">
        <v>112</v>
      </c>
      <c r="B2635" s="11" t="s">
        <v>133</v>
      </c>
      <c r="C2635" s="11" t="n">
        <v>21</v>
      </c>
      <c r="D2635" s="11" t="s">
        <v>174</v>
      </c>
      <c r="E2635" s="11" t="s">
        <v>177</v>
      </c>
      <c r="F2635" s="11" t="s">
        <v>83</v>
      </c>
      <c r="G2635" s="12" t="n">
        <v>350</v>
      </c>
      <c r="H2635" s="12" t="n">
        <f aca="false">SUMPRODUCT(ПОТОКИ!B16:G16,ЧАСОВЫЕ_ПРОФИЛИ!B20:G20,КОЭФФИЦИЕНТЫ_ВЫБОРА!F31:K31)</f>
        <v>1.008</v>
      </c>
      <c r="I2635" s="12" t="n">
        <f aca="false">SUMPRODUCT(ПОТОКИ!B16:G16,ЧАСОВЫЕ_ПРОФИЛИ!B20:G20,КОЭФФИЦИЕНТЫ_ВЫБОРА!F31:K31,ПАРАМЕТРЫ!$B$17:$G$17)</f>
        <v>1.1088</v>
      </c>
      <c r="J2635" s="12" t="n">
        <f aca="false">I2635*G2635/1000</f>
        <v>0.38808</v>
      </c>
      <c r="K2635" s="11" t="s">
        <v>217</v>
      </c>
      <c r="L2635" s="11" t="s">
        <v>19</v>
      </c>
      <c r="M2635" s="11" t="s">
        <v>145</v>
      </c>
    </row>
    <row r="2636" customFormat="false" ht="15" hidden="false" customHeight="false" outlineLevel="0" collapsed="false">
      <c r="A2636" s="11" t="s">
        <v>112</v>
      </c>
      <c r="B2636" s="11" t="s">
        <v>133</v>
      </c>
      <c r="C2636" s="11" t="n">
        <v>22</v>
      </c>
      <c r="D2636" s="11" t="s">
        <v>174</v>
      </c>
      <c r="E2636" s="11" t="s">
        <v>178</v>
      </c>
      <c r="F2636" s="11" t="s">
        <v>83</v>
      </c>
      <c r="G2636" s="12" t="n">
        <v>300</v>
      </c>
      <c r="H2636" s="12" t="n">
        <f aca="false">SUMPRODUCT(ПОТОКИ!B16:G16,ЧАСОВЫЕ_ПРОФИЛИ!B20:G20,КОЭФФИЦИЕНТЫ_ВЫБОРА!F32:K32)</f>
        <v>0.664</v>
      </c>
      <c r="I2636" s="12" t="n">
        <f aca="false">SUMPRODUCT(ПОТОКИ!B16:G16,ЧАСОВЫЕ_ПРОФИЛИ!B20:G20,КОЭФФИЦИЕНТЫ_ВЫБОРА!F32:K32,ПАРАМЕТРЫ!$B$17:$G$17)</f>
        <v>0.7304</v>
      </c>
      <c r="J2636" s="12" t="n">
        <f aca="false">I2636*G2636/1000</f>
        <v>0.21912</v>
      </c>
      <c r="K2636" s="11" t="s">
        <v>217</v>
      </c>
      <c r="L2636" s="11" t="s">
        <v>19</v>
      </c>
      <c r="M2636" s="11" t="s">
        <v>145</v>
      </c>
    </row>
    <row r="2637" customFormat="false" ht="15" hidden="false" customHeight="false" outlineLevel="0" collapsed="false">
      <c r="A2637" s="11" t="s">
        <v>112</v>
      </c>
      <c r="B2637" s="11" t="s">
        <v>133</v>
      </c>
      <c r="C2637" s="11" t="n">
        <v>23</v>
      </c>
      <c r="D2637" s="11" t="s">
        <v>86</v>
      </c>
      <c r="E2637" s="11" t="s">
        <v>179</v>
      </c>
      <c r="F2637" s="11" t="s">
        <v>85</v>
      </c>
      <c r="G2637" s="12" t="n">
        <v>150</v>
      </c>
      <c r="H2637" s="12" t="n">
        <f aca="false">SUMPRODUCT(ПОТОКИ!B16:G16,ЧАСОВЫЕ_ПРОФИЛИ!B20:G20,КОЭФФИЦИЕНТЫ_ВЫБОРА!F33:K33)</f>
        <v>0.50144</v>
      </c>
      <c r="I2637" s="12" t="n">
        <f aca="false">SUMPRODUCT(ПОТОКИ!B16:G16,ЧАСОВЫЕ_ПРОФИЛИ!B20:G20,КОЭФФИЦИЕНТЫ_ВЫБОРА!F33:K33,ПАРАМЕТРЫ!$B$17:$G$17)</f>
        <v>0.551584</v>
      </c>
      <c r="J2637" s="12" t="n">
        <f aca="false">I2637*G2637/1000</f>
        <v>0.0827376</v>
      </c>
      <c r="K2637" s="11" t="s">
        <v>217</v>
      </c>
      <c r="L2637" s="11" t="s">
        <v>19</v>
      </c>
      <c r="M2637" s="11" t="s">
        <v>147</v>
      </c>
    </row>
    <row r="2638" customFormat="false" ht="15" hidden="false" customHeight="false" outlineLevel="0" collapsed="false">
      <c r="A2638" s="11" t="s">
        <v>112</v>
      </c>
      <c r="B2638" s="11" t="s">
        <v>133</v>
      </c>
      <c r="C2638" s="11" t="n">
        <v>24</v>
      </c>
      <c r="D2638" s="11" t="s">
        <v>86</v>
      </c>
      <c r="E2638" s="11" t="s">
        <v>180</v>
      </c>
      <c r="F2638" s="11" t="s">
        <v>85</v>
      </c>
      <c r="G2638" s="12" t="n">
        <v>150</v>
      </c>
      <c r="H2638" s="12" t="n">
        <f aca="false">SUMPRODUCT(ПОТОКИ!B16:G16,ЧАСОВЫЕ_ПРОФИЛИ!B20:G20,КОЭФФИЦИЕНТЫ_ВЫБОРА!F34:K34)</f>
        <v>0.25072</v>
      </c>
      <c r="I2638" s="12" t="n">
        <f aca="false">SUMPRODUCT(ПОТОКИ!B16:G16,ЧАСОВЫЕ_ПРОФИЛИ!B20:G20,КОЭФФИЦИЕНТЫ_ВЫБОРА!F34:K34,ПАРАМЕТРЫ!$B$17:$G$17)</f>
        <v>0.275792</v>
      </c>
      <c r="J2638" s="12" t="n">
        <f aca="false">I2638*G2638/1000</f>
        <v>0.0413688</v>
      </c>
      <c r="K2638" s="11" t="s">
        <v>217</v>
      </c>
      <c r="L2638" s="11" t="s">
        <v>19</v>
      </c>
      <c r="M2638" s="11" t="s">
        <v>147</v>
      </c>
    </row>
    <row r="2639" customFormat="false" ht="15" hidden="false" customHeight="false" outlineLevel="0" collapsed="false">
      <c r="A2639" s="11" t="s">
        <v>112</v>
      </c>
      <c r="B2639" s="11" t="s">
        <v>133</v>
      </c>
      <c r="C2639" s="11" t="n">
        <v>25</v>
      </c>
      <c r="D2639" s="11" t="s">
        <v>86</v>
      </c>
      <c r="E2639" s="11" t="s">
        <v>181</v>
      </c>
      <c r="F2639" s="11" t="s">
        <v>85</v>
      </c>
      <c r="G2639" s="12" t="n">
        <v>150</v>
      </c>
      <c r="H2639" s="12" t="n">
        <f aca="false">SUMPRODUCT(ПОТОКИ!B16:G16,ЧАСОВЫЕ_ПРОФИЛИ!B20:G20,КОЭФФИЦИЕНТЫ_ВЫБОРА!F35:K35)</f>
        <v>0.50144</v>
      </c>
      <c r="I2639" s="12" t="n">
        <f aca="false">SUMPRODUCT(ПОТОКИ!B16:G16,ЧАСОВЫЕ_ПРОФИЛИ!B20:G20,КОЭФФИЦИЕНТЫ_ВЫБОРА!F35:K35,ПАРАМЕТРЫ!$B$17:$G$17)</f>
        <v>0.551584</v>
      </c>
      <c r="J2639" s="12" t="n">
        <f aca="false">I2639*G2639/1000</f>
        <v>0.0827376</v>
      </c>
      <c r="K2639" s="11" t="s">
        <v>217</v>
      </c>
      <c r="L2639" s="11" t="s">
        <v>19</v>
      </c>
      <c r="M2639" s="11" t="s">
        <v>147</v>
      </c>
    </row>
    <row r="2640" customFormat="false" ht="23.85" hidden="false" customHeight="false" outlineLevel="0" collapsed="false">
      <c r="A2640" s="11" t="s">
        <v>112</v>
      </c>
      <c r="B2640" s="11" t="s">
        <v>133</v>
      </c>
      <c r="C2640" s="11" t="n">
        <v>26</v>
      </c>
      <c r="D2640" s="11" t="s">
        <v>89</v>
      </c>
      <c r="E2640" s="11" t="s">
        <v>182</v>
      </c>
      <c r="F2640" s="11" t="s">
        <v>88</v>
      </c>
      <c r="G2640" s="12" t="n">
        <v>225</v>
      </c>
      <c r="H2640" s="12" t="n">
        <f aca="false">SUMPRODUCT(ПОТОКИ!B16:G16,ЧАСОВЫЕ_ПРОФИЛИ!B20:G20,КОЭФФИЦИЕНТЫ_ВЫБОРА!F36:K36)</f>
        <v>0</v>
      </c>
      <c r="I2640" s="12" t="n">
        <f aca="false">SUMPRODUCT(ПОТОКИ!B16:G16,ЧАСОВЫЕ_ПРОФИЛИ!B20:G20,КОЭФФИЦИЕНТЫ_ВЫБОРА!F36:K36,ПАРАМЕТРЫ!$B$17:$G$17)</f>
        <v>0</v>
      </c>
      <c r="J2640" s="12" t="n">
        <f aca="false">I2640*G2640/1000</f>
        <v>0</v>
      </c>
      <c r="K2640" s="11" t="s">
        <v>217</v>
      </c>
      <c r="L2640" s="11" t="s">
        <v>19</v>
      </c>
      <c r="M2640" s="11" t="s">
        <v>145</v>
      </c>
    </row>
    <row r="2641" customFormat="false" ht="23.85" hidden="false" customHeight="false" outlineLevel="0" collapsed="false">
      <c r="A2641" s="11" t="s">
        <v>112</v>
      </c>
      <c r="B2641" s="11" t="s">
        <v>133</v>
      </c>
      <c r="C2641" s="11" t="n">
        <v>27</v>
      </c>
      <c r="D2641" s="11" t="s">
        <v>89</v>
      </c>
      <c r="E2641" s="11" t="s">
        <v>183</v>
      </c>
      <c r="F2641" s="11" t="s">
        <v>88</v>
      </c>
      <c r="G2641" s="12" t="n">
        <v>265</v>
      </c>
      <c r="H2641" s="12" t="n">
        <f aca="false">SUMPRODUCT(ПОТОКИ!B16:G16,ЧАСОВЫЕ_ПРОФИЛИ!B20:G20,КОЭФФИЦИЕНТЫ_ВЫБОРА!F37:K37)</f>
        <v>0</v>
      </c>
      <c r="I2641" s="12" t="n">
        <f aca="false">SUMPRODUCT(ПОТОКИ!B16:G16,ЧАСОВЫЕ_ПРОФИЛИ!B20:G20,КОЭФФИЦИЕНТЫ_ВЫБОРА!F37:K37,ПАРАМЕТРЫ!$B$17:$G$17)</f>
        <v>0</v>
      </c>
      <c r="J2641" s="12" t="n">
        <f aca="false">I2641*G2641/1000</f>
        <v>0</v>
      </c>
      <c r="K2641" s="11" t="s">
        <v>217</v>
      </c>
      <c r="L2641" s="11" t="s">
        <v>19</v>
      </c>
      <c r="M2641" s="11" t="s">
        <v>145</v>
      </c>
    </row>
    <row r="2642" customFormat="false" ht="23.85" hidden="false" customHeight="false" outlineLevel="0" collapsed="false">
      <c r="A2642" s="11" t="s">
        <v>112</v>
      </c>
      <c r="B2642" s="11" t="s">
        <v>133</v>
      </c>
      <c r="C2642" s="11" t="n">
        <v>28</v>
      </c>
      <c r="D2642" s="11" t="s">
        <v>89</v>
      </c>
      <c r="E2642" s="11" t="s">
        <v>184</v>
      </c>
      <c r="F2642" s="11" t="s">
        <v>88</v>
      </c>
      <c r="G2642" s="12" t="n">
        <v>355</v>
      </c>
      <c r="H2642" s="12" t="n">
        <f aca="false">SUMPRODUCT(ПОТОКИ!B16:G16,ЧАСОВЫЕ_ПРОФИЛИ!B20:G20,КОЭФФИЦИЕНТЫ_ВЫБОРА!F38:K38)</f>
        <v>0</v>
      </c>
      <c r="I2642" s="12" t="n">
        <f aca="false">SUMPRODUCT(ПОТОКИ!B16:G16,ЧАСОВЫЕ_ПРОФИЛИ!B20:G20,КОЭФФИЦИЕНТЫ_ВЫБОРА!F38:K38,ПАРАМЕТРЫ!$B$17:$G$17)</f>
        <v>0</v>
      </c>
      <c r="J2642" s="12" t="n">
        <f aca="false">I2642*G2642/1000</f>
        <v>0</v>
      </c>
      <c r="K2642" s="11" t="s">
        <v>217</v>
      </c>
      <c r="L2642" s="11" t="s">
        <v>19</v>
      </c>
      <c r="M2642" s="11" t="s">
        <v>145</v>
      </c>
    </row>
    <row r="2643" customFormat="false" ht="15" hidden="false" customHeight="false" outlineLevel="0" collapsed="false">
      <c r="A2643" s="11" t="s">
        <v>112</v>
      </c>
      <c r="B2643" s="11" t="s">
        <v>133</v>
      </c>
      <c r="C2643" s="11" t="n">
        <v>29</v>
      </c>
      <c r="D2643" s="11" t="s">
        <v>92</v>
      </c>
      <c r="E2643" s="11" t="s">
        <v>185</v>
      </c>
      <c r="F2643" s="11" t="s">
        <v>91</v>
      </c>
      <c r="G2643" s="12" t="n">
        <v>150</v>
      </c>
      <c r="H2643" s="12" t="n">
        <f aca="false">SUMPRODUCT(ПОТОКИ!B16:G16,ЧАСОВЫЕ_ПРОФИЛИ!B20:G20,КОЭФФИЦИЕНТЫ_ВЫБОРА!F39:K39)</f>
        <v>0.354</v>
      </c>
      <c r="I2643" s="12" t="n">
        <f aca="false">SUMPRODUCT(ПОТОКИ!B16:G16,ЧАСОВЫЕ_ПРОФИЛИ!B20:G20,КОЭФФИЦИЕНТЫ_ВЫБОРА!F39:K39,ПАРАМЕТРЫ!$B$17:$G$17)</f>
        <v>0.3894</v>
      </c>
      <c r="J2643" s="12" t="n">
        <f aca="false">I2643*G2643/1000</f>
        <v>0.05841</v>
      </c>
      <c r="K2643" s="11" t="s">
        <v>217</v>
      </c>
      <c r="L2643" s="11" t="s">
        <v>19</v>
      </c>
      <c r="M2643" s="11" t="s">
        <v>145</v>
      </c>
    </row>
    <row r="2644" customFormat="false" ht="15" hidden="false" customHeight="false" outlineLevel="0" collapsed="false">
      <c r="A2644" s="11" t="s">
        <v>112</v>
      </c>
      <c r="B2644" s="11" t="s">
        <v>133</v>
      </c>
      <c r="C2644" s="11" t="n">
        <v>30</v>
      </c>
      <c r="D2644" s="11" t="s">
        <v>92</v>
      </c>
      <c r="E2644" s="11" t="s">
        <v>186</v>
      </c>
      <c r="F2644" s="11" t="s">
        <v>91</v>
      </c>
      <c r="G2644" s="12" t="n">
        <v>120</v>
      </c>
      <c r="H2644" s="12" t="n">
        <f aca="false">SUMPRODUCT(ПОТОКИ!B16:G16,ЧАСОВЫЕ_ПРОФИЛИ!B20:G20,КОЭФФИЦИЕНТЫ_ВЫБОРА!F40:K40)</f>
        <v>0.354</v>
      </c>
      <c r="I2644" s="12" t="n">
        <f aca="false">SUMPRODUCT(ПОТОКИ!B16:G16,ЧАСОВЫЕ_ПРОФИЛИ!B20:G20,КОЭФФИЦИЕНТЫ_ВЫБОРА!F40:K40,ПАРАМЕТРЫ!$B$17:$G$17)</f>
        <v>0.3894</v>
      </c>
      <c r="J2644" s="12" t="n">
        <f aca="false">I2644*G2644/1000</f>
        <v>0.046728</v>
      </c>
      <c r="K2644" s="11" t="s">
        <v>217</v>
      </c>
      <c r="L2644" s="11" t="s">
        <v>19</v>
      </c>
      <c r="M2644" s="11" t="s">
        <v>145</v>
      </c>
    </row>
    <row r="2645" customFormat="false" ht="15" hidden="false" customHeight="false" outlineLevel="0" collapsed="false">
      <c r="A2645" s="11" t="s">
        <v>112</v>
      </c>
      <c r="B2645" s="11" t="s">
        <v>133</v>
      </c>
      <c r="C2645" s="11" t="n">
        <v>31</v>
      </c>
      <c r="D2645" s="11" t="s">
        <v>92</v>
      </c>
      <c r="E2645" s="11" t="s">
        <v>187</v>
      </c>
      <c r="F2645" s="11" t="s">
        <v>91</v>
      </c>
      <c r="G2645" s="12" t="n">
        <v>60</v>
      </c>
      <c r="H2645" s="12" t="n">
        <f aca="false">SUMPRODUCT(ПОТОКИ!B16:G16,ЧАСОВЫЕ_ПРОФИЛИ!B20:G20,КОЭФФИЦИЕНТЫ_ВЫБОРА!F41:K41)</f>
        <v>0.312</v>
      </c>
      <c r="I2645" s="12" t="n">
        <f aca="false">SUMPRODUCT(ПОТОКИ!B16:G16,ЧАСОВЫЕ_ПРОФИЛИ!B20:G20,КОЭФФИЦИЕНТЫ_ВЫБОРА!F41:K41,ПАРАМЕТРЫ!$B$17:$G$17)</f>
        <v>0.3432</v>
      </c>
      <c r="J2645" s="12" t="n">
        <f aca="false">I2645*G2645/1000</f>
        <v>0.020592</v>
      </c>
      <c r="K2645" s="11" t="s">
        <v>217</v>
      </c>
      <c r="L2645" s="11" t="s">
        <v>19</v>
      </c>
      <c r="M2645" s="11" t="s">
        <v>145</v>
      </c>
    </row>
    <row r="2646" customFormat="false" ht="15" hidden="false" customHeight="false" outlineLevel="0" collapsed="false">
      <c r="A2646" s="11" t="s">
        <v>112</v>
      </c>
      <c r="B2646" s="11" t="s">
        <v>134</v>
      </c>
      <c r="C2646" s="11" t="n">
        <v>1</v>
      </c>
      <c r="D2646" s="11" t="s">
        <v>74</v>
      </c>
      <c r="E2646" s="11" t="s">
        <v>153</v>
      </c>
      <c r="F2646" s="11" t="s">
        <v>73</v>
      </c>
      <c r="G2646" s="12" t="n">
        <v>450</v>
      </c>
      <c r="H2646" s="12" t="n">
        <f aca="false">SUMPRODUCT(ПОТОКИ!B16:G16,ЧАСОВЫЕ_ПРОФИЛИ!B21:G21,КОЭФФИЦИЕНТЫ_ВЫБОРА!F11:K11)</f>
        <v>0.37</v>
      </c>
      <c r="I2646" s="12" t="n">
        <f aca="false">SUMPRODUCT(ПОТОКИ!B16:G16,ЧАСОВЫЕ_ПРОФИЛИ!B21:G21,КОЭФФИЦИЕНТЫ_ВЫБОРА!F11:K11,ПАРАМЕТРЫ!$B$17:$G$17)</f>
        <v>0.407</v>
      </c>
      <c r="J2646" s="12" t="n">
        <f aca="false">I2646*G2646/1000</f>
        <v>0.18315</v>
      </c>
      <c r="K2646" s="11" t="s">
        <v>217</v>
      </c>
      <c r="L2646" s="11" t="s">
        <v>19</v>
      </c>
      <c r="M2646" s="11" t="s">
        <v>145</v>
      </c>
    </row>
    <row r="2647" customFormat="false" ht="15" hidden="false" customHeight="false" outlineLevel="0" collapsed="false">
      <c r="A2647" s="11" t="s">
        <v>112</v>
      </c>
      <c r="B2647" s="11" t="s">
        <v>134</v>
      </c>
      <c r="C2647" s="11" t="n">
        <v>2</v>
      </c>
      <c r="D2647" s="11" t="s">
        <v>74</v>
      </c>
      <c r="E2647" s="11" t="s">
        <v>154</v>
      </c>
      <c r="F2647" s="11" t="s">
        <v>73</v>
      </c>
      <c r="G2647" s="12" t="n">
        <v>480</v>
      </c>
      <c r="H2647" s="12" t="n">
        <f aca="false">SUMPRODUCT(ПОТОКИ!B16:G16,ЧАСОВЫЕ_ПРОФИЛИ!B21:G21,КОЭФФИЦИЕНТЫ_ВЫБОРА!F12:K12)</f>
        <v>0.6365</v>
      </c>
      <c r="I2647" s="12" t="n">
        <f aca="false">SUMPRODUCT(ПОТОКИ!B16:G16,ЧАСОВЫЕ_ПРОФИЛИ!B21:G21,КОЭФФИЦИЕНТЫ_ВЫБОРА!F12:K12,ПАРАМЕТРЫ!$B$17:$G$17)</f>
        <v>0.70015</v>
      </c>
      <c r="J2647" s="12" t="n">
        <f aca="false">I2647*G2647/1000</f>
        <v>0.336072</v>
      </c>
      <c r="K2647" s="11" t="s">
        <v>217</v>
      </c>
      <c r="L2647" s="11" t="s">
        <v>19</v>
      </c>
      <c r="M2647" s="11" t="s">
        <v>145</v>
      </c>
    </row>
    <row r="2648" customFormat="false" ht="15" hidden="false" customHeight="false" outlineLevel="0" collapsed="false">
      <c r="A2648" s="11" t="s">
        <v>112</v>
      </c>
      <c r="B2648" s="11" t="s">
        <v>134</v>
      </c>
      <c r="C2648" s="11" t="n">
        <v>3</v>
      </c>
      <c r="D2648" s="11" t="s">
        <v>74</v>
      </c>
      <c r="E2648" s="11" t="s">
        <v>155</v>
      </c>
      <c r="F2648" s="11" t="s">
        <v>73</v>
      </c>
      <c r="G2648" s="12" t="n">
        <v>500</v>
      </c>
      <c r="H2648" s="12" t="n">
        <f aca="false">SUMPRODUCT(ПОТОКИ!B16:G16,ЧАСОВЫЕ_ПРОФИЛИ!B21:G21,КОЭФФИЦИЕНТЫ_ВЫБОРА!F13:K13)</f>
        <v>0.9485</v>
      </c>
      <c r="I2648" s="12" t="n">
        <f aca="false">SUMPRODUCT(ПОТОКИ!B16:G16,ЧАСОВЫЕ_ПРОФИЛИ!B21:G21,КОЭФФИЦИЕНТЫ_ВЫБОРА!F13:K13,ПАРАМЕТРЫ!$B$17:$G$17)</f>
        <v>1.04335</v>
      </c>
      <c r="J2648" s="12" t="n">
        <f aca="false">I2648*G2648/1000</f>
        <v>0.521675</v>
      </c>
      <c r="K2648" s="11" t="s">
        <v>217</v>
      </c>
      <c r="L2648" s="11" t="s">
        <v>19</v>
      </c>
      <c r="M2648" s="11" t="s">
        <v>145</v>
      </c>
    </row>
    <row r="2649" customFormat="false" ht="15" hidden="false" customHeight="false" outlineLevel="0" collapsed="false">
      <c r="A2649" s="11" t="s">
        <v>112</v>
      </c>
      <c r="B2649" s="11" t="s">
        <v>134</v>
      </c>
      <c r="C2649" s="11" t="n">
        <v>4</v>
      </c>
      <c r="D2649" s="11" t="s">
        <v>74</v>
      </c>
      <c r="E2649" s="11" t="s">
        <v>156</v>
      </c>
      <c r="F2649" s="11" t="s">
        <v>73</v>
      </c>
      <c r="G2649" s="12" t="n">
        <v>500</v>
      </c>
      <c r="H2649" s="12" t="n">
        <f aca="false">SUMPRODUCT(ПОТОКИ!B16:G16,ЧАСОВЫЕ_ПРОФИЛИ!B21:G21,КОЭФФИЦИЕНТЫ_ВЫБОРА!F14:K14)</f>
        <v>1.215</v>
      </c>
      <c r="I2649" s="12" t="n">
        <f aca="false">SUMPRODUCT(ПОТОКИ!B16:G16,ЧАСОВЫЕ_ПРОФИЛИ!B21:G21,КОЭФФИЦИЕНТЫ_ВЫБОРА!F14:K14,ПАРАМЕТРЫ!$B$17:$G$17)</f>
        <v>1.3365</v>
      </c>
      <c r="J2649" s="12" t="n">
        <f aca="false">I2649*G2649/1000</f>
        <v>0.66825</v>
      </c>
      <c r="K2649" s="11" t="s">
        <v>217</v>
      </c>
      <c r="L2649" s="11" t="s">
        <v>19</v>
      </c>
      <c r="M2649" s="11" t="s">
        <v>145</v>
      </c>
    </row>
    <row r="2650" customFormat="false" ht="15" hidden="false" customHeight="false" outlineLevel="0" collapsed="false">
      <c r="A2650" s="11" t="s">
        <v>112</v>
      </c>
      <c r="B2650" s="11" t="s">
        <v>134</v>
      </c>
      <c r="C2650" s="11" t="n">
        <v>5</v>
      </c>
      <c r="D2650" s="11" t="s">
        <v>78</v>
      </c>
      <c r="E2650" s="11" t="s">
        <v>157</v>
      </c>
      <c r="F2650" s="11" t="s">
        <v>77</v>
      </c>
      <c r="G2650" s="12" t="n">
        <v>100</v>
      </c>
      <c r="H2650" s="12" t="n">
        <f aca="false">SUMPRODUCT(ПОТОКИ!B16:G16,ЧАСОВЫЕ_ПРОФИЛИ!B21:G21,КОЭФФИЦИЕНТЫ_ВЫБОРА!F15:K15)</f>
        <v>0.603</v>
      </c>
      <c r="I2650" s="12" t="n">
        <f aca="false">SUMPRODUCT(ПОТОКИ!B16:G16,ЧАСОВЫЕ_ПРОФИЛИ!B21:G21,КОЭФФИЦИЕНТЫ_ВЫБОРА!F15:K15,ПАРАМЕТРЫ!$B$17:$G$17)</f>
        <v>0.6633</v>
      </c>
      <c r="J2650" s="12" t="n">
        <f aca="false">I2650*G2650/1000</f>
        <v>0.06633</v>
      </c>
      <c r="K2650" s="11" t="s">
        <v>217</v>
      </c>
      <c r="L2650" s="11" t="s">
        <v>19</v>
      </c>
      <c r="M2650" s="11" t="s">
        <v>147</v>
      </c>
    </row>
    <row r="2651" customFormat="false" ht="15" hidden="false" customHeight="false" outlineLevel="0" collapsed="false">
      <c r="A2651" s="11" t="s">
        <v>112</v>
      </c>
      <c r="B2651" s="11" t="s">
        <v>134</v>
      </c>
      <c r="C2651" s="11" t="n">
        <v>6</v>
      </c>
      <c r="D2651" s="11" t="s">
        <v>78</v>
      </c>
      <c r="E2651" s="11" t="s">
        <v>158</v>
      </c>
      <c r="F2651" s="11" t="s">
        <v>77</v>
      </c>
      <c r="G2651" s="12" t="n">
        <v>100</v>
      </c>
      <c r="H2651" s="12" t="n">
        <f aca="false">SUMPRODUCT(ПОТОКИ!B16:G16,ЧАСОВЫЕ_ПРОФИЛИ!B21:G21,КОЭФФИЦИЕНТЫ_ВЫБОРА!F16:K16)</f>
        <v>0.5525</v>
      </c>
      <c r="I2651" s="12" t="n">
        <f aca="false">SUMPRODUCT(ПОТОКИ!B16:G16,ЧАСОВЫЕ_ПРОФИЛИ!B21:G21,КОЭФФИЦИЕНТЫ_ВЫБОРА!F16:K16,ПАРАМЕТРЫ!$B$17:$G$17)</f>
        <v>0.60775</v>
      </c>
      <c r="J2651" s="12" t="n">
        <f aca="false">I2651*G2651/1000</f>
        <v>0.060775</v>
      </c>
      <c r="K2651" s="11" t="s">
        <v>217</v>
      </c>
      <c r="L2651" s="11" t="s">
        <v>19</v>
      </c>
      <c r="M2651" s="11" t="s">
        <v>147</v>
      </c>
    </row>
    <row r="2652" customFormat="false" ht="15" hidden="false" customHeight="false" outlineLevel="0" collapsed="false">
      <c r="A2652" s="11" t="s">
        <v>112</v>
      </c>
      <c r="B2652" s="11" t="s">
        <v>134</v>
      </c>
      <c r="C2652" s="11" t="n">
        <v>7</v>
      </c>
      <c r="D2652" s="11" t="s">
        <v>78</v>
      </c>
      <c r="E2652" s="11" t="s">
        <v>159</v>
      </c>
      <c r="F2652" s="11" t="s">
        <v>77</v>
      </c>
      <c r="G2652" s="12" t="n">
        <v>350</v>
      </c>
      <c r="H2652" s="12" t="n">
        <f aca="false">SUMPRODUCT(ПОТОКИ!B16:G16,ЧАСОВЫЕ_ПРОФИЛИ!B21:G21,КОЭФФИЦИЕНТЫ_ВЫБОРА!F17:K17)</f>
        <v>0.4865</v>
      </c>
      <c r="I2652" s="12" t="n">
        <f aca="false">SUMPRODUCT(ПОТОКИ!B16:G16,ЧАСОВЫЕ_ПРОФИЛИ!B21:G21,КОЭФФИЦИЕНТЫ_ВЫБОРА!F17:K17,ПАРАМЕТРЫ!$B$17:$G$17)</f>
        <v>0.53515</v>
      </c>
      <c r="J2652" s="12" t="n">
        <f aca="false">I2652*G2652/1000</f>
        <v>0.1873025</v>
      </c>
      <c r="K2652" s="11" t="s">
        <v>217</v>
      </c>
      <c r="L2652" s="11" t="s">
        <v>19</v>
      </c>
      <c r="M2652" s="11" t="s">
        <v>147</v>
      </c>
    </row>
    <row r="2653" customFormat="false" ht="15" hidden="false" customHeight="false" outlineLevel="0" collapsed="false">
      <c r="A2653" s="11" t="s">
        <v>112</v>
      </c>
      <c r="B2653" s="11" t="s">
        <v>134</v>
      </c>
      <c r="C2653" s="11" t="n">
        <v>8</v>
      </c>
      <c r="D2653" s="11" t="s">
        <v>78</v>
      </c>
      <c r="E2653" s="11" t="s">
        <v>160</v>
      </c>
      <c r="F2653" s="11" t="s">
        <v>77</v>
      </c>
      <c r="G2653" s="12" t="n">
        <v>85</v>
      </c>
      <c r="H2653" s="12" t="n">
        <f aca="false">SUMPRODUCT(ПОТОКИ!B16:G16,ЧАСОВЫЕ_ПРОФИЛИ!B21:G21,КОЭФФИЦИЕНТЫ_ВЫБОРА!F18:K18)</f>
        <v>0.304</v>
      </c>
      <c r="I2653" s="12" t="n">
        <f aca="false">SUMPRODUCT(ПОТОКИ!B16:G16,ЧАСОВЫЕ_ПРОФИЛИ!B21:G21,КОЭФФИЦИЕНТЫ_ВЫБОРА!F18:K18,ПАРАМЕТРЫ!$B$17:$G$17)</f>
        <v>0.3344</v>
      </c>
      <c r="J2653" s="12" t="n">
        <f aca="false">I2653*G2653/1000</f>
        <v>0.028424</v>
      </c>
      <c r="K2653" s="11" t="s">
        <v>217</v>
      </c>
      <c r="L2653" s="11" t="s">
        <v>19</v>
      </c>
      <c r="M2653" s="11" t="s">
        <v>147</v>
      </c>
    </row>
    <row r="2654" customFormat="false" ht="15" hidden="false" customHeight="false" outlineLevel="0" collapsed="false">
      <c r="A2654" s="11" t="s">
        <v>112</v>
      </c>
      <c r="B2654" s="11" t="s">
        <v>134</v>
      </c>
      <c r="C2654" s="11" t="n">
        <v>9</v>
      </c>
      <c r="D2654" s="11" t="s">
        <v>161</v>
      </c>
      <c r="E2654" s="11" t="s">
        <v>162</v>
      </c>
      <c r="F2654" s="11" t="s">
        <v>80</v>
      </c>
      <c r="G2654" s="12" t="n">
        <v>300</v>
      </c>
      <c r="H2654" s="12" t="n">
        <f aca="false">SUMPRODUCT(ПОТОКИ!B16:G16,ЧАСОВЫЕ_ПРОФИЛИ!B21:G21,КОЭФФИЦИЕНТЫ_ВЫБОРА!F19:K19)</f>
        <v>0.467</v>
      </c>
      <c r="I2654" s="12" t="n">
        <f aca="false">SUMPRODUCT(ПОТОКИ!B16:G16,ЧАСОВЫЕ_ПРОФИЛИ!B21:G21,КОЭФФИЦИЕНТЫ_ВЫБОРА!F19:K19,ПАРАМЕТРЫ!$B$17:$G$17)</f>
        <v>0.5137</v>
      </c>
      <c r="J2654" s="12" t="n">
        <f aca="false">I2654*G2654/1000</f>
        <v>0.15411</v>
      </c>
      <c r="K2654" s="11" t="s">
        <v>217</v>
      </c>
      <c r="L2654" s="11" t="s">
        <v>19</v>
      </c>
      <c r="M2654" s="11" t="s">
        <v>145</v>
      </c>
    </row>
    <row r="2655" customFormat="false" ht="15" hidden="false" customHeight="false" outlineLevel="0" collapsed="false">
      <c r="A2655" s="11" t="s">
        <v>112</v>
      </c>
      <c r="B2655" s="11" t="s">
        <v>134</v>
      </c>
      <c r="C2655" s="11" t="n">
        <v>10</v>
      </c>
      <c r="D2655" s="11" t="s">
        <v>161</v>
      </c>
      <c r="E2655" s="11" t="s">
        <v>163</v>
      </c>
      <c r="F2655" s="11" t="s">
        <v>80</v>
      </c>
      <c r="G2655" s="12" t="n">
        <v>280</v>
      </c>
      <c r="H2655" s="12" t="n">
        <f aca="false">SUMPRODUCT(ПОТОКИ!B16:G16,ЧАСОВЫЕ_ПРОФИЛИ!B21:G21,КОЭФФИЦИЕНТЫ_ВЫБОРА!F20:K20)</f>
        <v>0.539</v>
      </c>
      <c r="I2655" s="12" t="n">
        <f aca="false">SUMPRODUCT(ПОТОКИ!B16:G16,ЧАСОВЫЕ_ПРОФИЛИ!B21:G21,КОЭФФИЦИЕНТЫ_ВЫБОРА!F20:K20,ПАРАМЕТРЫ!$B$17:$G$17)</f>
        <v>0.5929</v>
      </c>
      <c r="J2655" s="12" t="n">
        <f aca="false">I2655*G2655/1000</f>
        <v>0.166012</v>
      </c>
      <c r="K2655" s="11" t="s">
        <v>217</v>
      </c>
      <c r="L2655" s="11" t="s">
        <v>19</v>
      </c>
      <c r="M2655" s="11" t="s">
        <v>145</v>
      </c>
    </row>
    <row r="2656" customFormat="false" ht="15" hidden="false" customHeight="false" outlineLevel="0" collapsed="false">
      <c r="A2656" s="11" t="s">
        <v>112</v>
      </c>
      <c r="B2656" s="11" t="s">
        <v>134</v>
      </c>
      <c r="C2656" s="11" t="n">
        <v>11</v>
      </c>
      <c r="D2656" s="11" t="s">
        <v>161</v>
      </c>
      <c r="E2656" s="11" t="s">
        <v>164</v>
      </c>
      <c r="F2656" s="11" t="s">
        <v>80</v>
      </c>
      <c r="G2656" s="12" t="n">
        <v>270</v>
      </c>
      <c r="H2656" s="12" t="n">
        <f aca="false">SUMPRODUCT(ПОТОКИ!B16:G16,ЧАСОВЫЕ_ПРОФИЛИ!B21:G21,КОЭФФИЦИЕНТЫ_ВЫБОРА!F21:K21)</f>
        <v>0.88925</v>
      </c>
      <c r="I2656" s="12" t="n">
        <f aca="false">SUMPRODUCT(ПОТОКИ!B16:G16,ЧАСОВЫЕ_ПРОФИЛИ!B21:G21,КОЭФФИЦИЕНТЫ_ВЫБОРА!F21:K21,ПАРАМЕТРЫ!$B$17:$G$17)</f>
        <v>0.978175</v>
      </c>
      <c r="J2656" s="12" t="n">
        <f aca="false">I2656*G2656/1000</f>
        <v>0.26410725</v>
      </c>
      <c r="K2656" s="11" t="s">
        <v>217</v>
      </c>
      <c r="L2656" s="11" t="s">
        <v>19</v>
      </c>
      <c r="M2656" s="11" t="s">
        <v>145</v>
      </c>
    </row>
    <row r="2657" customFormat="false" ht="15" hidden="false" customHeight="false" outlineLevel="0" collapsed="false">
      <c r="A2657" s="11" t="s">
        <v>112</v>
      </c>
      <c r="B2657" s="11" t="s">
        <v>134</v>
      </c>
      <c r="C2657" s="11" t="n">
        <v>12</v>
      </c>
      <c r="D2657" s="11" t="s">
        <v>161</v>
      </c>
      <c r="E2657" s="11" t="s">
        <v>165</v>
      </c>
      <c r="F2657" s="11" t="s">
        <v>80</v>
      </c>
      <c r="G2657" s="12" t="n">
        <v>240</v>
      </c>
      <c r="H2657" s="12" t="n">
        <f aca="false">SUMPRODUCT(ПОТОКИ!B16:G16,ЧАСОВЫЕ_ПРОФИЛИ!B21:G21,КОЭФФИЦИЕНТЫ_ВЫБОРА!F22:K22)</f>
        <v>0.43975</v>
      </c>
      <c r="I2657" s="12" t="n">
        <f aca="false">SUMPRODUCT(ПОТОКИ!B16:G16,ЧАСОВЫЕ_ПРОФИЛИ!B21:G21,КОЭФФИЦИЕНТЫ_ВЫБОРА!F22:K22,ПАРАМЕТРЫ!$B$17:$G$17)</f>
        <v>0.483725</v>
      </c>
      <c r="J2657" s="12" t="n">
        <f aca="false">I2657*G2657/1000</f>
        <v>0.116094</v>
      </c>
      <c r="K2657" s="11" t="s">
        <v>217</v>
      </c>
      <c r="L2657" s="11" t="s">
        <v>19</v>
      </c>
      <c r="M2657" s="11" t="s">
        <v>145</v>
      </c>
    </row>
    <row r="2658" customFormat="false" ht="15" hidden="false" customHeight="false" outlineLevel="0" collapsed="false">
      <c r="A2658" s="11" t="s">
        <v>112</v>
      </c>
      <c r="B2658" s="11" t="s">
        <v>134</v>
      </c>
      <c r="C2658" s="11" t="n">
        <v>13</v>
      </c>
      <c r="D2658" s="11" t="s">
        <v>166</v>
      </c>
      <c r="E2658" s="11" t="s">
        <v>167</v>
      </c>
      <c r="F2658" s="11" t="s">
        <v>80</v>
      </c>
      <c r="G2658" s="12" t="n">
        <v>130</v>
      </c>
      <c r="H2658" s="12" t="n">
        <f aca="false">SUMPRODUCT(ПОТОКИ!B16:G16,ЧАСОВЫЕ_ПРОФИЛИ!B21:G21,КОЭФФИЦИЕНТЫ_ВЫБОРА!F23:K23)</f>
        <v>0.26</v>
      </c>
      <c r="I2658" s="12" t="n">
        <f aca="false">SUMPRODUCT(ПОТОКИ!B16:G16,ЧАСОВЫЕ_ПРОФИЛИ!B21:G21,КОЭФФИЦИЕНТЫ_ВЫБОРА!F23:K23,ПАРАМЕТРЫ!$B$17:$G$17)</f>
        <v>0.286</v>
      </c>
      <c r="J2658" s="12" t="n">
        <f aca="false">I2658*G2658/1000</f>
        <v>0.03718</v>
      </c>
      <c r="K2658" s="11" t="s">
        <v>217</v>
      </c>
      <c r="L2658" s="11" t="s">
        <v>19</v>
      </c>
      <c r="M2658" s="11" t="s">
        <v>145</v>
      </c>
    </row>
    <row r="2659" customFormat="false" ht="15" hidden="false" customHeight="false" outlineLevel="0" collapsed="false">
      <c r="A2659" s="11" t="s">
        <v>112</v>
      </c>
      <c r="B2659" s="11" t="s">
        <v>134</v>
      </c>
      <c r="C2659" s="11" t="n">
        <v>14</v>
      </c>
      <c r="D2659" s="11" t="s">
        <v>166</v>
      </c>
      <c r="E2659" s="11" t="s">
        <v>168</v>
      </c>
      <c r="F2659" s="11" t="s">
        <v>80</v>
      </c>
      <c r="G2659" s="12" t="n">
        <v>250</v>
      </c>
      <c r="H2659" s="12" t="n">
        <f aca="false">SUMPRODUCT(ПОТОКИ!B16:G16,ЧАСОВЫЕ_ПРОФИЛИ!B21:G21,КОЭФФИЦИЕНТЫ_ВЫБОРА!F24:K24)</f>
        <v>0.169</v>
      </c>
      <c r="I2659" s="12" t="n">
        <f aca="false">SUMPRODUCT(ПОТОКИ!B16:G16,ЧАСОВЫЕ_ПРОФИЛИ!B21:G21,КОЭФФИЦИЕНТЫ_ВЫБОРА!F24:K24,ПАРАМЕТРЫ!$B$17:$G$17)</f>
        <v>0.1859</v>
      </c>
      <c r="J2659" s="12" t="n">
        <f aca="false">I2659*G2659/1000</f>
        <v>0.046475</v>
      </c>
      <c r="K2659" s="11" t="s">
        <v>217</v>
      </c>
      <c r="L2659" s="11" t="s">
        <v>19</v>
      </c>
      <c r="M2659" s="11" t="s">
        <v>145</v>
      </c>
    </row>
    <row r="2660" customFormat="false" ht="15" hidden="false" customHeight="false" outlineLevel="0" collapsed="false">
      <c r="A2660" s="11" t="s">
        <v>112</v>
      </c>
      <c r="B2660" s="11" t="s">
        <v>134</v>
      </c>
      <c r="C2660" s="11" t="n">
        <v>15</v>
      </c>
      <c r="D2660" s="11" t="s">
        <v>166</v>
      </c>
      <c r="E2660" s="11" t="s">
        <v>169</v>
      </c>
      <c r="F2660" s="11" t="s">
        <v>80</v>
      </c>
      <c r="G2660" s="12" t="n">
        <v>120</v>
      </c>
      <c r="H2660" s="12" t="n">
        <f aca="false">SUMPRODUCT(ПОТОКИ!B16:G16,ЧАСОВЫЕ_ПРОФИЛИ!B21:G21,КОЭФФИЦИЕНТЫ_ВЫБОРА!F25:K25)</f>
        <v>0.154</v>
      </c>
      <c r="I2660" s="12" t="n">
        <f aca="false">SUMPRODUCT(ПОТОКИ!B16:G16,ЧАСОВЫЕ_ПРОФИЛИ!B21:G21,КОЭФФИЦИЕНТЫ_ВЫБОРА!F25:K25,ПАРАМЕТРЫ!$B$17:$G$17)</f>
        <v>0.1694</v>
      </c>
      <c r="J2660" s="12" t="n">
        <f aca="false">I2660*G2660/1000</f>
        <v>0.020328</v>
      </c>
      <c r="K2660" s="11" t="s">
        <v>217</v>
      </c>
      <c r="L2660" s="11" t="s">
        <v>19</v>
      </c>
      <c r="M2660" s="11" t="s">
        <v>145</v>
      </c>
    </row>
    <row r="2661" customFormat="false" ht="15" hidden="false" customHeight="false" outlineLevel="0" collapsed="false">
      <c r="A2661" s="11" t="s">
        <v>112</v>
      </c>
      <c r="B2661" s="11" t="s">
        <v>134</v>
      </c>
      <c r="C2661" s="11" t="n">
        <v>16</v>
      </c>
      <c r="D2661" s="11" t="s">
        <v>166</v>
      </c>
      <c r="E2661" s="11" t="s">
        <v>170</v>
      </c>
      <c r="F2661" s="11" t="s">
        <v>80</v>
      </c>
      <c r="G2661" s="12" t="n">
        <v>180</v>
      </c>
      <c r="H2661" s="12" t="n">
        <f aca="false">SUMPRODUCT(ПОТОКИ!B16:G16,ЧАСОВЫЕ_ПРОФИЛИ!B21:G21,КОЭФФИЦИЕНТЫ_ВЫБОРА!F26:K26)</f>
        <v>0.217</v>
      </c>
      <c r="I2661" s="12" t="n">
        <f aca="false">SUMPRODUCT(ПОТОКИ!B16:G16,ЧАСОВЫЕ_ПРОФИЛИ!B21:G21,КОЭФФИЦИЕНТЫ_ВЫБОРА!F26:K26,ПАРАМЕТРЫ!$B$17:$G$17)</f>
        <v>0.2387</v>
      </c>
      <c r="J2661" s="12" t="n">
        <f aca="false">I2661*G2661/1000</f>
        <v>0.042966</v>
      </c>
      <c r="K2661" s="11" t="s">
        <v>217</v>
      </c>
      <c r="L2661" s="11" t="s">
        <v>19</v>
      </c>
      <c r="M2661" s="11" t="s">
        <v>145</v>
      </c>
    </row>
    <row r="2662" customFormat="false" ht="15" hidden="false" customHeight="false" outlineLevel="0" collapsed="false">
      <c r="A2662" s="11" t="s">
        <v>112</v>
      </c>
      <c r="B2662" s="11" t="s">
        <v>134</v>
      </c>
      <c r="C2662" s="11" t="n">
        <v>17</v>
      </c>
      <c r="D2662" s="11" t="s">
        <v>166</v>
      </c>
      <c r="E2662" s="11" t="s">
        <v>171</v>
      </c>
      <c r="F2662" s="11" t="s">
        <v>80</v>
      </c>
      <c r="G2662" s="12" t="n">
        <v>180</v>
      </c>
      <c r="H2662" s="12" t="n">
        <f aca="false">SUMPRODUCT(ПОТОКИ!B16:G16,ЧАСОВЫЕ_ПРОФИЛИ!B21:G21,КОЭФФИЦИЕНТЫ_ВЫБОРА!F27:K27)</f>
        <v>0.26</v>
      </c>
      <c r="I2662" s="12" t="n">
        <f aca="false">SUMPRODUCT(ПОТОКИ!B16:G16,ЧАСОВЫЕ_ПРОФИЛИ!B21:G21,КОЭФФИЦИЕНТЫ_ВЫБОРА!F27:K27,ПАРАМЕТРЫ!$B$17:$G$17)</f>
        <v>0.286</v>
      </c>
      <c r="J2662" s="12" t="n">
        <f aca="false">I2662*G2662/1000</f>
        <v>0.05148</v>
      </c>
      <c r="K2662" s="11" t="s">
        <v>217</v>
      </c>
      <c r="L2662" s="11" t="s">
        <v>19</v>
      </c>
      <c r="M2662" s="11" t="s">
        <v>145</v>
      </c>
    </row>
    <row r="2663" customFormat="false" ht="15" hidden="false" customHeight="false" outlineLevel="0" collapsed="false">
      <c r="A2663" s="11" t="s">
        <v>112</v>
      </c>
      <c r="B2663" s="11" t="s">
        <v>134</v>
      </c>
      <c r="C2663" s="11" t="n">
        <v>18</v>
      </c>
      <c r="D2663" s="11" t="s">
        <v>172</v>
      </c>
      <c r="E2663" s="11" t="s">
        <v>173</v>
      </c>
      <c r="F2663" s="11" t="s">
        <v>83</v>
      </c>
      <c r="G2663" s="12" t="n">
        <v>400</v>
      </c>
      <c r="H2663" s="12" t="n">
        <f aca="false">SUMPRODUCT(ПОТОКИ!B16:G16,ЧАСОВЫЕ_ПРОФИЛИ!B21:G21,КОЭФФИЦИЕНТЫ_ВЫБОРА!F28:K28)</f>
        <v>0.48</v>
      </c>
      <c r="I2663" s="12" t="n">
        <f aca="false">SUMPRODUCT(ПОТОКИ!B16:G16,ЧАСОВЫЕ_ПРОФИЛИ!B21:G21,КОЭФФИЦИЕНТЫ_ВЫБОРА!F28:K28,ПАРАМЕТРЫ!$B$17:$G$17)</f>
        <v>0.528</v>
      </c>
      <c r="J2663" s="12" t="n">
        <f aca="false">I2663*G2663/1000</f>
        <v>0.2112</v>
      </c>
      <c r="K2663" s="11" t="s">
        <v>217</v>
      </c>
      <c r="L2663" s="11" t="s">
        <v>19</v>
      </c>
      <c r="M2663" s="11" t="s">
        <v>145</v>
      </c>
    </row>
    <row r="2664" customFormat="false" ht="23.85" hidden="false" customHeight="false" outlineLevel="0" collapsed="false">
      <c r="A2664" s="11" t="s">
        <v>112</v>
      </c>
      <c r="B2664" s="11" t="s">
        <v>134</v>
      </c>
      <c r="C2664" s="11" t="n">
        <v>19</v>
      </c>
      <c r="D2664" s="11" t="s">
        <v>174</v>
      </c>
      <c r="E2664" s="11" t="s">
        <v>175</v>
      </c>
      <c r="F2664" s="11" t="s">
        <v>83</v>
      </c>
      <c r="G2664" s="12" t="n">
        <v>300</v>
      </c>
      <c r="H2664" s="12" t="n">
        <f aca="false">SUMPRODUCT(ПОТОКИ!B16:G16,ЧАСОВЫЕ_ПРОФИЛИ!B21:G21,КОЭФФИЦИЕНТЫ_ВЫБОРА!F29:K29)</f>
        <v>1.2915</v>
      </c>
      <c r="I2664" s="12" t="n">
        <f aca="false">SUMPRODUCT(ПОТОКИ!B16:G16,ЧАСОВЫЕ_ПРОФИЛИ!B21:G21,КОЭФФИЦИЕНТЫ_ВЫБОРА!F29:K29,ПАРАМЕТРЫ!$B$17:$G$17)</f>
        <v>1.42065</v>
      </c>
      <c r="J2664" s="12" t="n">
        <f aca="false">I2664*G2664/1000</f>
        <v>0.426195</v>
      </c>
      <c r="K2664" s="11" t="s">
        <v>217</v>
      </c>
      <c r="L2664" s="11" t="s">
        <v>19</v>
      </c>
      <c r="M2664" s="11" t="s">
        <v>145</v>
      </c>
    </row>
    <row r="2665" customFormat="false" ht="15" hidden="false" customHeight="false" outlineLevel="0" collapsed="false">
      <c r="A2665" s="11" t="s">
        <v>112</v>
      </c>
      <c r="B2665" s="11" t="s">
        <v>134</v>
      </c>
      <c r="C2665" s="11" t="n">
        <v>20</v>
      </c>
      <c r="D2665" s="11" t="s">
        <v>174</v>
      </c>
      <c r="E2665" s="11" t="s">
        <v>176</v>
      </c>
      <c r="F2665" s="11" t="s">
        <v>83</v>
      </c>
      <c r="G2665" s="12" t="n">
        <v>360</v>
      </c>
      <c r="H2665" s="12" t="n">
        <f aca="false">SUMPRODUCT(ПОТОКИ!B16:G16,ЧАСОВЫЕ_ПРОФИЛИ!B21:G21,КОЭФФИЦИЕНТЫ_ВЫБОРА!F30:K30)</f>
        <v>1.189</v>
      </c>
      <c r="I2665" s="12" t="n">
        <f aca="false">SUMPRODUCT(ПОТОКИ!B16:G16,ЧАСОВЫЕ_ПРОФИЛИ!B21:G21,КОЭФФИЦИЕНТЫ_ВЫБОРА!F30:K30,ПАРАМЕТРЫ!$B$17:$G$17)</f>
        <v>1.3079</v>
      </c>
      <c r="J2665" s="12" t="n">
        <f aca="false">I2665*G2665/1000</f>
        <v>0.470844</v>
      </c>
      <c r="K2665" s="11" t="s">
        <v>217</v>
      </c>
      <c r="L2665" s="11" t="s">
        <v>19</v>
      </c>
      <c r="M2665" s="11" t="s">
        <v>145</v>
      </c>
    </row>
    <row r="2666" customFormat="false" ht="15" hidden="false" customHeight="false" outlineLevel="0" collapsed="false">
      <c r="A2666" s="11" t="s">
        <v>112</v>
      </c>
      <c r="B2666" s="11" t="s">
        <v>134</v>
      </c>
      <c r="C2666" s="11" t="n">
        <v>21</v>
      </c>
      <c r="D2666" s="11" t="s">
        <v>174</v>
      </c>
      <c r="E2666" s="11" t="s">
        <v>177</v>
      </c>
      <c r="F2666" s="11" t="s">
        <v>83</v>
      </c>
      <c r="G2666" s="12" t="n">
        <v>350</v>
      </c>
      <c r="H2666" s="12" t="n">
        <f aca="false">SUMPRODUCT(ПОТОКИ!B16:G16,ЧАСОВЫЕ_ПРОФИЛИ!B21:G21,КОЭФФИЦИЕНТЫ_ВЫБОРА!F31:K31)</f>
        <v>1.81025</v>
      </c>
      <c r="I2666" s="12" t="n">
        <f aca="false">SUMPRODUCT(ПОТОКИ!B16:G16,ЧАСОВЫЕ_ПРОФИЛИ!B21:G21,КОЭФФИЦИЕНТЫ_ВЫБОРА!F31:K31,ПАРАМЕТРЫ!$B$17:$G$17)</f>
        <v>1.991275</v>
      </c>
      <c r="J2666" s="12" t="n">
        <f aca="false">I2666*G2666/1000</f>
        <v>0.69694625</v>
      </c>
      <c r="K2666" s="11" t="s">
        <v>217</v>
      </c>
      <c r="L2666" s="11" t="s">
        <v>19</v>
      </c>
      <c r="M2666" s="11" t="s">
        <v>145</v>
      </c>
    </row>
    <row r="2667" customFormat="false" ht="15" hidden="false" customHeight="false" outlineLevel="0" collapsed="false">
      <c r="A2667" s="11" t="s">
        <v>112</v>
      </c>
      <c r="B2667" s="11" t="s">
        <v>134</v>
      </c>
      <c r="C2667" s="11" t="n">
        <v>22</v>
      </c>
      <c r="D2667" s="11" t="s">
        <v>174</v>
      </c>
      <c r="E2667" s="11" t="s">
        <v>178</v>
      </c>
      <c r="F2667" s="11" t="s">
        <v>83</v>
      </c>
      <c r="G2667" s="12" t="n">
        <v>300</v>
      </c>
      <c r="H2667" s="12" t="n">
        <f aca="false">SUMPRODUCT(ПОТОКИ!B16:G16,ЧАСОВЫЕ_ПРОФИЛИ!B21:G21,КОЭФФИЦИЕНТЫ_ВЫБОРА!F32:K32)</f>
        <v>1.17425</v>
      </c>
      <c r="I2667" s="12" t="n">
        <f aca="false">SUMPRODUCT(ПОТОКИ!B16:G16,ЧАСОВЫЕ_ПРОФИЛИ!B21:G21,КОЭФФИЦИЕНТЫ_ВЫБОРА!F32:K32,ПАРАМЕТРЫ!$B$17:$G$17)</f>
        <v>1.291675</v>
      </c>
      <c r="J2667" s="12" t="n">
        <f aca="false">I2667*G2667/1000</f>
        <v>0.3875025</v>
      </c>
      <c r="K2667" s="11" t="s">
        <v>217</v>
      </c>
      <c r="L2667" s="11" t="s">
        <v>19</v>
      </c>
      <c r="M2667" s="11" t="s">
        <v>145</v>
      </c>
    </row>
    <row r="2668" customFormat="false" ht="15" hidden="false" customHeight="false" outlineLevel="0" collapsed="false">
      <c r="A2668" s="11" t="s">
        <v>112</v>
      </c>
      <c r="B2668" s="11" t="s">
        <v>134</v>
      </c>
      <c r="C2668" s="11" t="n">
        <v>23</v>
      </c>
      <c r="D2668" s="11" t="s">
        <v>86</v>
      </c>
      <c r="E2668" s="11" t="s">
        <v>179</v>
      </c>
      <c r="F2668" s="11" t="s">
        <v>85</v>
      </c>
      <c r="G2668" s="12" t="n">
        <v>150</v>
      </c>
      <c r="H2668" s="12" t="n">
        <f aca="false">SUMPRODUCT(ПОТОКИ!B16:G16,ЧАСОВЫЕ_ПРОФИЛИ!B21:G21,КОЭФФИЦИЕНТЫ_ВЫБОРА!F33:K33)</f>
        <v>0.86595375</v>
      </c>
      <c r="I2668" s="12" t="n">
        <f aca="false">SUMPRODUCT(ПОТОКИ!B16:G16,ЧАСОВЫЕ_ПРОФИЛИ!B21:G21,КОЭФФИЦИЕНТЫ_ВЫБОРА!F33:K33,ПАРАМЕТРЫ!$B$17:$G$17)</f>
        <v>0.952549125</v>
      </c>
      <c r="J2668" s="12" t="n">
        <f aca="false">I2668*G2668/1000</f>
        <v>0.14288236875</v>
      </c>
      <c r="K2668" s="11" t="s">
        <v>217</v>
      </c>
      <c r="L2668" s="11" t="s">
        <v>19</v>
      </c>
      <c r="M2668" s="11" t="s">
        <v>147</v>
      </c>
    </row>
    <row r="2669" customFormat="false" ht="15" hidden="false" customHeight="false" outlineLevel="0" collapsed="false">
      <c r="A2669" s="11" t="s">
        <v>112</v>
      </c>
      <c r="B2669" s="11" t="s">
        <v>134</v>
      </c>
      <c r="C2669" s="11" t="n">
        <v>24</v>
      </c>
      <c r="D2669" s="11" t="s">
        <v>86</v>
      </c>
      <c r="E2669" s="11" t="s">
        <v>180</v>
      </c>
      <c r="F2669" s="11" t="s">
        <v>85</v>
      </c>
      <c r="G2669" s="12" t="n">
        <v>150</v>
      </c>
      <c r="H2669" s="12" t="n">
        <f aca="false">SUMPRODUCT(ПОТОКИ!B16:G16,ЧАСОВЫЕ_ПРОФИЛИ!B21:G21,КОЭФФИЦИЕНТЫ_ВЫБОРА!F34:K34)</f>
        <v>0.441105</v>
      </c>
      <c r="I2669" s="12" t="n">
        <f aca="false">SUMPRODUCT(ПОТОКИ!B16:G16,ЧАСОВЫЕ_ПРОФИЛИ!B21:G21,КОЭФФИЦИЕНТЫ_ВЫБОРА!F34:K34,ПАРАМЕТРЫ!$B$17:$G$17)</f>
        <v>0.4852155</v>
      </c>
      <c r="J2669" s="12" t="n">
        <f aca="false">I2669*G2669/1000</f>
        <v>0.072782325</v>
      </c>
      <c r="K2669" s="11" t="s">
        <v>217</v>
      </c>
      <c r="L2669" s="11" t="s">
        <v>19</v>
      </c>
      <c r="M2669" s="11" t="s">
        <v>147</v>
      </c>
    </row>
    <row r="2670" customFormat="false" ht="15" hidden="false" customHeight="false" outlineLevel="0" collapsed="false">
      <c r="A2670" s="11" t="s">
        <v>112</v>
      </c>
      <c r="B2670" s="11" t="s">
        <v>134</v>
      </c>
      <c r="C2670" s="11" t="n">
        <v>25</v>
      </c>
      <c r="D2670" s="11" t="s">
        <v>86</v>
      </c>
      <c r="E2670" s="11" t="s">
        <v>181</v>
      </c>
      <c r="F2670" s="11" t="s">
        <v>85</v>
      </c>
      <c r="G2670" s="12" t="n">
        <v>150</v>
      </c>
      <c r="H2670" s="12" t="n">
        <f aca="false">SUMPRODUCT(ПОТОКИ!B16:G16,ЧАСОВЫЕ_ПРОФИЛИ!B21:G21,КОЭФФИЦИЕНТЫ_ВЫБОРА!F35:K35)</f>
        <v>0.89846625</v>
      </c>
      <c r="I2670" s="12" t="n">
        <f aca="false">SUMPRODUCT(ПОТОКИ!B16:G16,ЧАСОВЫЕ_ПРОФИЛИ!B21:G21,КОЭФФИЦИЕНТЫ_ВЫБОРА!F35:K35,ПАРАМЕТРЫ!$B$17:$G$17)</f>
        <v>0.988312875</v>
      </c>
      <c r="J2670" s="12" t="n">
        <f aca="false">I2670*G2670/1000</f>
        <v>0.14824693125</v>
      </c>
      <c r="K2670" s="11" t="s">
        <v>217</v>
      </c>
      <c r="L2670" s="11" t="s">
        <v>19</v>
      </c>
      <c r="M2670" s="11" t="s">
        <v>147</v>
      </c>
    </row>
    <row r="2671" customFormat="false" ht="23.85" hidden="false" customHeight="false" outlineLevel="0" collapsed="false">
      <c r="A2671" s="11" t="s">
        <v>112</v>
      </c>
      <c r="B2671" s="11" t="s">
        <v>134</v>
      </c>
      <c r="C2671" s="11" t="n">
        <v>26</v>
      </c>
      <c r="D2671" s="11" t="s">
        <v>89</v>
      </c>
      <c r="E2671" s="11" t="s">
        <v>182</v>
      </c>
      <c r="F2671" s="11" t="s">
        <v>88</v>
      </c>
      <c r="G2671" s="12" t="n">
        <v>225</v>
      </c>
      <c r="H2671" s="12" t="n">
        <f aca="false">SUMPRODUCT(ПОТОКИ!B16:G16,ЧАСОВЫЕ_ПРОФИЛИ!B21:G21,КОЭФФИЦИЕНТЫ_ВЫБОРА!F36:K36)</f>
        <v>0</v>
      </c>
      <c r="I2671" s="12" t="n">
        <f aca="false">SUMPRODUCT(ПОТОКИ!B16:G16,ЧАСОВЫЕ_ПРОФИЛИ!B21:G21,КОЭФФИЦИЕНТЫ_ВЫБОРА!F36:K36,ПАРАМЕТРЫ!$B$17:$G$17)</f>
        <v>0</v>
      </c>
      <c r="J2671" s="12" t="n">
        <f aca="false">I2671*G2671/1000</f>
        <v>0</v>
      </c>
      <c r="K2671" s="11" t="s">
        <v>217</v>
      </c>
      <c r="L2671" s="11" t="s">
        <v>19</v>
      </c>
      <c r="M2671" s="11" t="s">
        <v>145</v>
      </c>
    </row>
    <row r="2672" customFormat="false" ht="23.85" hidden="false" customHeight="false" outlineLevel="0" collapsed="false">
      <c r="A2672" s="11" t="s">
        <v>112</v>
      </c>
      <c r="B2672" s="11" t="s">
        <v>134</v>
      </c>
      <c r="C2672" s="11" t="n">
        <v>27</v>
      </c>
      <c r="D2672" s="11" t="s">
        <v>89</v>
      </c>
      <c r="E2672" s="11" t="s">
        <v>183</v>
      </c>
      <c r="F2672" s="11" t="s">
        <v>88</v>
      </c>
      <c r="G2672" s="12" t="n">
        <v>265</v>
      </c>
      <c r="H2672" s="12" t="n">
        <f aca="false">SUMPRODUCT(ПОТОКИ!B16:G16,ЧАСОВЫЕ_ПРОФИЛИ!B21:G21,КОЭФФИЦИЕНТЫ_ВЫБОРА!F37:K37)</f>
        <v>0</v>
      </c>
      <c r="I2672" s="12" t="n">
        <f aca="false">SUMPRODUCT(ПОТОКИ!B16:G16,ЧАСОВЫЕ_ПРОФИЛИ!B21:G21,КОЭФФИЦИЕНТЫ_ВЫБОРА!F37:K37,ПАРАМЕТРЫ!$B$17:$G$17)</f>
        <v>0</v>
      </c>
      <c r="J2672" s="12" t="n">
        <f aca="false">I2672*G2672/1000</f>
        <v>0</v>
      </c>
      <c r="K2672" s="11" t="s">
        <v>217</v>
      </c>
      <c r="L2672" s="11" t="s">
        <v>19</v>
      </c>
      <c r="M2672" s="11" t="s">
        <v>145</v>
      </c>
    </row>
    <row r="2673" customFormat="false" ht="23.85" hidden="false" customHeight="false" outlineLevel="0" collapsed="false">
      <c r="A2673" s="11" t="s">
        <v>112</v>
      </c>
      <c r="B2673" s="11" t="s">
        <v>134</v>
      </c>
      <c r="C2673" s="11" t="n">
        <v>28</v>
      </c>
      <c r="D2673" s="11" t="s">
        <v>89</v>
      </c>
      <c r="E2673" s="11" t="s">
        <v>184</v>
      </c>
      <c r="F2673" s="11" t="s">
        <v>88</v>
      </c>
      <c r="G2673" s="12" t="n">
        <v>355</v>
      </c>
      <c r="H2673" s="12" t="n">
        <f aca="false">SUMPRODUCT(ПОТОКИ!B16:G16,ЧАСОВЫЕ_ПРОФИЛИ!B21:G21,КОЭФФИЦИЕНТЫ_ВЫБОРА!F38:K38)</f>
        <v>0</v>
      </c>
      <c r="I2673" s="12" t="n">
        <f aca="false">SUMPRODUCT(ПОТОКИ!B16:G16,ЧАСОВЫЕ_ПРОФИЛИ!B21:G21,КОЭФФИЦИЕНТЫ_ВЫБОРА!F38:K38,ПАРАМЕТРЫ!$B$17:$G$17)</f>
        <v>0</v>
      </c>
      <c r="J2673" s="12" t="n">
        <f aca="false">I2673*G2673/1000</f>
        <v>0</v>
      </c>
      <c r="K2673" s="11" t="s">
        <v>217</v>
      </c>
      <c r="L2673" s="11" t="s">
        <v>19</v>
      </c>
      <c r="M2673" s="11" t="s">
        <v>145</v>
      </c>
    </row>
    <row r="2674" customFormat="false" ht="15" hidden="false" customHeight="false" outlineLevel="0" collapsed="false">
      <c r="A2674" s="11" t="s">
        <v>112</v>
      </c>
      <c r="B2674" s="11" t="s">
        <v>134</v>
      </c>
      <c r="C2674" s="11" t="n">
        <v>29</v>
      </c>
      <c r="D2674" s="11" t="s">
        <v>92</v>
      </c>
      <c r="E2674" s="11" t="s">
        <v>185</v>
      </c>
      <c r="F2674" s="11" t="s">
        <v>91</v>
      </c>
      <c r="G2674" s="12" t="n">
        <v>150</v>
      </c>
      <c r="H2674" s="12" t="n">
        <f aca="false">SUMPRODUCT(ПОТОКИ!B16:G16,ЧАСОВЫЕ_ПРОФИЛИ!B21:G21,КОЭФФИЦИЕНТЫ_ВЫБОРА!F39:K39)</f>
        <v>0.45</v>
      </c>
      <c r="I2674" s="12" t="n">
        <f aca="false">SUMPRODUCT(ПОТОКИ!B16:G16,ЧАСОВЫЕ_ПРОФИЛИ!B21:G21,КОЭФФИЦИЕНТЫ_ВЫБОРА!F39:K39,ПАРАМЕТРЫ!$B$17:$G$17)</f>
        <v>0.495</v>
      </c>
      <c r="J2674" s="12" t="n">
        <f aca="false">I2674*G2674/1000</f>
        <v>0.07425</v>
      </c>
      <c r="K2674" s="11" t="s">
        <v>217</v>
      </c>
      <c r="L2674" s="11" t="s">
        <v>19</v>
      </c>
      <c r="M2674" s="11" t="s">
        <v>145</v>
      </c>
    </row>
    <row r="2675" customFormat="false" ht="15" hidden="false" customHeight="false" outlineLevel="0" collapsed="false">
      <c r="A2675" s="11" t="s">
        <v>112</v>
      </c>
      <c r="B2675" s="11" t="s">
        <v>134</v>
      </c>
      <c r="C2675" s="11" t="n">
        <v>30</v>
      </c>
      <c r="D2675" s="11" t="s">
        <v>92</v>
      </c>
      <c r="E2675" s="11" t="s">
        <v>186</v>
      </c>
      <c r="F2675" s="11" t="s">
        <v>91</v>
      </c>
      <c r="G2675" s="12" t="n">
        <v>120</v>
      </c>
      <c r="H2675" s="12" t="n">
        <f aca="false">SUMPRODUCT(ПОТОКИ!B16:G16,ЧАСОВЫЕ_ПРОФИЛИ!B21:G21,КОЭФФИЦИЕНТЫ_ВЫБОРА!F40:K40)</f>
        <v>0.5</v>
      </c>
      <c r="I2675" s="12" t="n">
        <f aca="false">SUMPRODUCT(ПОТОКИ!B16:G16,ЧАСОВЫЕ_ПРОФИЛИ!B21:G21,КОЭФФИЦИЕНТЫ_ВЫБОРА!F40:K40,ПАРАМЕТРЫ!$B$17:$G$17)</f>
        <v>0.55</v>
      </c>
      <c r="J2675" s="12" t="n">
        <f aca="false">I2675*G2675/1000</f>
        <v>0.066</v>
      </c>
      <c r="K2675" s="11" t="s">
        <v>217</v>
      </c>
      <c r="L2675" s="11" t="s">
        <v>19</v>
      </c>
      <c r="M2675" s="11" t="s">
        <v>145</v>
      </c>
    </row>
    <row r="2676" customFormat="false" ht="15" hidden="false" customHeight="false" outlineLevel="0" collapsed="false">
      <c r="A2676" s="11" t="s">
        <v>112</v>
      </c>
      <c r="B2676" s="11" t="s">
        <v>134</v>
      </c>
      <c r="C2676" s="11" t="n">
        <v>31</v>
      </c>
      <c r="D2676" s="11" t="s">
        <v>92</v>
      </c>
      <c r="E2676" s="11" t="s">
        <v>187</v>
      </c>
      <c r="F2676" s="11" t="s">
        <v>91</v>
      </c>
      <c r="G2676" s="12" t="n">
        <v>60</v>
      </c>
      <c r="H2676" s="12" t="n">
        <f aca="false">SUMPRODUCT(ПОТОКИ!B16:G16,ЧАСОВЫЕ_ПРОФИЛИ!B21:G21,КОЭФФИЦИЕНТЫ_ВЫБОРА!F41:K41)</f>
        <v>0.36</v>
      </c>
      <c r="I2676" s="12" t="n">
        <f aca="false">SUMPRODUCT(ПОТОКИ!B16:G16,ЧАСОВЫЕ_ПРОФИЛИ!B21:G21,КОЭФФИЦИЕНТЫ_ВЫБОРА!F41:K41,ПАРАМЕТРЫ!$B$17:$G$17)</f>
        <v>0.396</v>
      </c>
      <c r="J2676" s="12" t="n">
        <f aca="false">I2676*G2676/1000</f>
        <v>0.02376</v>
      </c>
      <c r="K2676" s="11" t="s">
        <v>217</v>
      </c>
      <c r="L2676" s="11" t="s">
        <v>19</v>
      </c>
      <c r="M2676" s="11" t="s">
        <v>145</v>
      </c>
    </row>
    <row r="2677" customFormat="false" ht="15" hidden="false" customHeight="false" outlineLevel="0" collapsed="false">
      <c r="A2677" s="11" t="s">
        <v>112</v>
      </c>
      <c r="B2677" s="11" t="s">
        <v>135</v>
      </c>
      <c r="C2677" s="11" t="n">
        <v>1</v>
      </c>
      <c r="D2677" s="11" t="s">
        <v>74</v>
      </c>
      <c r="E2677" s="11" t="s">
        <v>153</v>
      </c>
      <c r="F2677" s="11" t="s">
        <v>73</v>
      </c>
      <c r="G2677" s="12" t="n">
        <v>450</v>
      </c>
      <c r="H2677" s="12" t="n">
        <f aca="false">SUMPRODUCT(ПОТОКИ!B16:G16,ЧАСОВЫЕ_ПРОФИЛИ!B22:G22,КОЭФФИЦИЕНТЫ_ВЫБОРА!F11:K11)</f>
        <v>0.669</v>
      </c>
      <c r="I2677" s="12" t="n">
        <f aca="false">SUMPRODUCT(ПОТОКИ!B16:G16,ЧАСОВЫЕ_ПРОФИЛИ!B22:G22,КОЭФФИЦИЕНТЫ_ВЫБОРА!F11:K11,ПАРАМЕТРЫ!$B$17:$G$17)</f>
        <v>0.7359</v>
      </c>
      <c r="J2677" s="12" t="n">
        <f aca="false">I2677*G2677/1000</f>
        <v>0.331155</v>
      </c>
      <c r="K2677" s="11" t="s">
        <v>217</v>
      </c>
      <c r="L2677" s="11" t="s">
        <v>19</v>
      </c>
      <c r="M2677" s="11" t="s">
        <v>145</v>
      </c>
    </row>
    <row r="2678" customFormat="false" ht="15" hidden="false" customHeight="false" outlineLevel="0" collapsed="false">
      <c r="A2678" s="11" t="s">
        <v>112</v>
      </c>
      <c r="B2678" s="11" t="s">
        <v>135</v>
      </c>
      <c r="C2678" s="11" t="n">
        <v>2</v>
      </c>
      <c r="D2678" s="11" t="s">
        <v>74</v>
      </c>
      <c r="E2678" s="11" t="s">
        <v>154</v>
      </c>
      <c r="F2678" s="11" t="s">
        <v>73</v>
      </c>
      <c r="G2678" s="12" t="n">
        <v>480</v>
      </c>
      <c r="H2678" s="12" t="n">
        <f aca="false">SUMPRODUCT(ПОТОКИ!B16:G16,ЧАСОВЫЕ_ПРОФИЛИ!B22:G22,КОЭФФИЦИЕНТЫ_ВЫБОРА!F12:K12)</f>
        <v>1.1235</v>
      </c>
      <c r="I2678" s="12" t="n">
        <f aca="false">SUMPRODUCT(ПОТОКИ!B16:G16,ЧАСОВЫЕ_ПРОФИЛИ!B22:G22,КОЭФФИЦИЕНТЫ_ВЫБОРА!F12:K12,ПАРАМЕТРЫ!$B$17:$G$17)</f>
        <v>1.23585</v>
      </c>
      <c r="J2678" s="12" t="n">
        <f aca="false">I2678*G2678/1000</f>
        <v>0.593208</v>
      </c>
      <c r="K2678" s="11" t="s">
        <v>217</v>
      </c>
      <c r="L2678" s="11" t="s">
        <v>19</v>
      </c>
      <c r="M2678" s="11" t="s">
        <v>145</v>
      </c>
    </row>
    <row r="2679" customFormat="false" ht="15" hidden="false" customHeight="false" outlineLevel="0" collapsed="false">
      <c r="A2679" s="11" t="s">
        <v>112</v>
      </c>
      <c r="B2679" s="11" t="s">
        <v>135</v>
      </c>
      <c r="C2679" s="11" t="n">
        <v>3</v>
      </c>
      <c r="D2679" s="11" t="s">
        <v>74</v>
      </c>
      <c r="E2679" s="11" t="s">
        <v>155</v>
      </c>
      <c r="F2679" s="11" t="s">
        <v>73</v>
      </c>
      <c r="G2679" s="12" t="n">
        <v>500</v>
      </c>
      <c r="H2679" s="12" t="n">
        <f aca="false">SUMPRODUCT(ПОТОКИ!B16:G16,ЧАСОВЫЕ_ПРОФИЛИ!B22:G22,КОЭФФИЦИЕНТЫ_ВЫБОРА!F13:K13)</f>
        <v>1.6665</v>
      </c>
      <c r="I2679" s="12" t="n">
        <f aca="false">SUMPRODUCT(ПОТОКИ!B16:G16,ЧАСОВЫЕ_ПРОФИЛИ!B22:G22,КОЭФФИЦИЕНТЫ_ВЫБОРА!F13:K13,ПАРАМЕТРЫ!$B$17:$G$17)</f>
        <v>1.83315</v>
      </c>
      <c r="J2679" s="12" t="n">
        <f aca="false">I2679*G2679/1000</f>
        <v>0.916575</v>
      </c>
      <c r="K2679" s="11" t="s">
        <v>217</v>
      </c>
      <c r="L2679" s="11" t="s">
        <v>19</v>
      </c>
      <c r="M2679" s="11" t="s">
        <v>145</v>
      </c>
    </row>
    <row r="2680" customFormat="false" ht="15" hidden="false" customHeight="false" outlineLevel="0" collapsed="false">
      <c r="A2680" s="11" t="s">
        <v>112</v>
      </c>
      <c r="B2680" s="11" t="s">
        <v>135</v>
      </c>
      <c r="C2680" s="11" t="n">
        <v>4</v>
      </c>
      <c r="D2680" s="11" t="s">
        <v>74</v>
      </c>
      <c r="E2680" s="11" t="s">
        <v>156</v>
      </c>
      <c r="F2680" s="11" t="s">
        <v>73</v>
      </c>
      <c r="G2680" s="12" t="n">
        <v>500</v>
      </c>
      <c r="H2680" s="12" t="n">
        <f aca="false">SUMPRODUCT(ПОТОКИ!B16:G16,ЧАСОВЫЕ_ПРОФИЛИ!B22:G22,КОЭФФИЦИЕНТЫ_ВЫБОРА!F14:K14)</f>
        <v>2.121</v>
      </c>
      <c r="I2680" s="12" t="n">
        <f aca="false">SUMPRODUCT(ПОТОКИ!B16:G16,ЧАСОВЫЕ_ПРОФИЛИ!B22:G22,КОЭФФИЦИЕНТЫ_ВЫБОРА!F14:K14,ПАРАМЕТРЫ!$B$17:$G$17)</f>
        <v>2.3331</v>
      </c>
      <c r="J2680" s="12" t="n">
        <f aca="false">I2680*G2680/1000</f>
        <v>1.16655</v>
      </c>
      <c r="K2680" s="11" t="s">
        <v>217</v>
      </c>
      <c r="L2680" s="11" t="s">
        <v>19</v>
      </c>
      <c r="M2680" s="11" t="s">
        <v>145</v>
      </c>
    </row>
    <row r="2681" customFormat="false" ht="15" hidden="false" customHeight="false" outlineLevel="0" collapsed="false">
      <c r="A2681" s="11" t="s">
        <v>112</v>
      </c>
      <c r="B2681" s="11" t="s">
        <v>135</v>
      </c>
      <c r="C2681" s="11" t="n">
        <v>5</v>
      </c>
      <c r="D2681" s="11" t="s">
        <v>78</v>
      </c>
      <c r="E2681" s="11" t="s">
        <v>157</v>
      </c>
      <c r="F2681" s="11" t="s">
        <v>77</v>
      </c>
      <c r="G2681" s="12" t="n">
        <v>100</v>
      </c>
      <c r="H2681" s="12" t="n">
        <f aca="false">SUMPRODUCT(ПОТОКИ!B16:G16,ЧАСОВЫЕ_ПРОФИЛИ!B22:G22,КОЭФФИЦИЕНТЫ_ВЫБОРА!F15:K15)</f>
        <v>0.834</v>
      </c>
      <c r="I2681" s="12" t="n">
        <f aca="false">SUMPRODUCT(ПОТОКИ!B16:G16,ЧАСОВЫЕ_ПРОФИЛИ!B22:G22,КОЭФФИЦИЕНТЫ_ВЫБОРА!F15:K15,ПАРАМЕТРЫ!$B$17:$G$17)</f>
        <v>0.9174</v>
      </c>
      <c r="J2681" s="12" t="n">
        <f aca="false">I2681*G2681/1000</f>
        <v>0.09174</v>
      </c>
      <c r="K2681" s="11" t="s">
        <v>217</v>
      </c>
      <c r="L2681" s="11" t="s">
        <v>19</v>
      </c>
      <c r="M2681" s="11" t="s">
        <v>147</v>
      </c>
    </row>
    <row r="2682" customFormat="false" ht="15" hidden="false" customHeight="false" outlineLevel="0" collapsed="false">
      <c r="A2682" s="11" t="s">
        <v>112</v>
      </c>
      <c r="B2682" s="11" t="s">
        <v>135</v>
      </c>
      <c r="C2682" s="11" t="n">
        <v>6</v>
      </c>
      <c r="D2682" s="11" t="s">
        <v>78</v>
      </c>
      <c r="E2682" s="11" t="s">
        <v>158</v>
      </c>
      <c r="F2682" s="11" t="s">
        <v>77</v>
      </c>
      <c r="G2682" s="12" t="n">
        <v>100</v>
      </c>
      <c r="H2682" s="12" t="n">
        <f aca="false">SUMPRODUCT(ПОТОКИ!B16:G16,ЧАСОВЫЕ_ПРОФИЛИ!B22:G22,КОЭФФИЦИЕНТЫ_ВЫБОРА!F16:K16)</f>
        <v>0.7305</v>
      </c>
      <c r="I2682" s="12" t="n">
        <f aca="false">SUMPRODUCT(ПОТОКИ!B16:G16,ЧАСОВЫЕ_ПРОФИЛИ!B22:G22,КОЭФФИЦИЕНТЫ_ВЫБОРА!F16:K16,ПАРАМЕТРЫ!$B$17:$G$17)</f>
        <v>0.80355</v>
      </c>
      <c r="J2682" s="12" t="n">
        <f aca="false">I2682*G2682/1000</f>
        <v>0.080355</v>
      </c>
      <c r="K2682" s="11" t="s">
        <v>217</v>
      </c>
      <c r="L2682" s="11" t="s">
        <v>19</v>
      </c>
      <c r="M2682" s="11" t="s">
        <v>147</v>
      </c>
    </row>
    <row r="2683" customFormat="false" ht="15" hidden="false" customHeight="false" outlineLevel="0" collapsed="false">
      <c r="A2683" s="11" t="s">
        <v>112</v>
      </c>
      <c r="B2683" s="11" t="s">
        <v>135</v>
      </c>
      <c r="C2683" s="11" t="n">
        <v>7</v>
      </c>
      <c r="D2683" s="11" t="s">
        <v>78</v>
      </c>
      <c r="E2683" s="11" t="s">
        <v>159</v>
      </c>
      <c r="F2683" s="11" t="s">
        <v>77</v>
      </c>
      <c r="G2683" s="12" t="n">
        <v>350</v>
      </c>
      <c r="H2683" s="12" t="n">
        <f aca="false">SUMPRODUCT(ПОТОКИ!B16:G16,ЧАСОВЫЕ_ПРОФИЛИ!B22:G22,КОЭФФИЦИЕНТЫ_ВЫБОРА!F17:K17)</f>
        <v>0.663</v>
      </c>
      <c r="I2683" s="12" t="n">
        <f aca="false">SUMPRODUCT(ПОТОКИ!B16:G16,ЧАСОВЫЕ_ПРОФИЛИ!B22:G22,КОЭФФИЦИЕНТЫ_ВЫБОРА!F17:K17,ПАРАМЕТРЫ!$B$17:$G$17)</f>
        <v>0.7293</v>
      </c>
      <c r="J2683" s="12" t="n">
        <f aca="false">I2683*G2683/1000</f>
        <v>0.255255</v>
      </c>
      <c r="K2683" s="11" t="s">
        <v>217</v>
      </c>
      <c r="L2683" s="11" t="s">
        <v>19</v>
      </c>
      <c r="M2683" s="11" t="s">
        <v>147</v>
      </c>
    </row>
    <row r="2684" customFormat="false" ht="15" hidden="false" customHeight="false" outlineLevel="0" collapsed="false">
      <c r="A2684" s="11" t="s">
        <v>112</v>
      </c>
      <c r="B2684" s="11" t="s">
        <v>135</v>
      </c>
      <c r="C2684" s="11" t="n">
        <v>8</v>
      </c>
      <c r="D2684" s="11" t="s">
        <v>78</v>
      </c>
      <c r="E2684" s="11" t="s">
        <v>160</v>
      </c>
      <c r="F2684" s="11" t="s">
        <v>77</v>
      </c>
      <c r="G2684" s="12" t="n">
        <v>85</v>
      </c>
      <c r="H2684" s="12" t="n">
        <f aca="false">SUMPRODUCT(ПОТОКИ!B16:G16,ЧАСОВЫЕ_ПРОФИЛИ!B22:G22,КОЭФФИЦИЕНТЫ_ВЫБОРА!F18:K18)</f>
        <v>0.4245</v>
      </c>
      <c r="I2684" s="12" t="n">
        <f aca="false">SUMPRODUCT(ПОТОКИ!B16:G16,ЧАСОВЫЕ_ПРОФИЛИ!B22:G22,КОЭФФИЦИЕНТЫ_ВЫБОРА!F18:K18,ПАРАМЕТРЫ!$B$17:$G$17)</f>
        <v>0.46695</v>
      </c>
      <c r="J2684" s="12" t="n">
        <f aca="false">I2684*G2684/1000</f>
        <v>0.03969075</v>
      </c>
      <c r="K2684" s="11" t="s">
        <v>217</v>
      </c>
      <c r="L2684" s="11" t="s">
        <v>19</v>
      </c>
      <c r="M2684" s="11" t="s">
        <v>147</v>
      </c>
    </row>
    <row r="2685" customFormat="false" ht="15" hidden="false" customHeight="false" outlineLevel="0" collapsed="false">
      <c r="A2685" s="11" t="s">
        <v>112</v>
      </c>
      <c r="B2685" s="11" t="s">
        <v>135</v>
      </c>
      <c r="C2685" s="11" t="n">
        <v>9</v>
      </c>
      <c r="D2685" s="11" t="s">
        <v>161</v>
      </c>
      <c r="E2685" s="11" t="s">
        <v>162</v>
      </c>
      <c r="F2685" s="11" t="s">
        <v>80</v>
      </c>
      <c r="G2685" s="12" t="n">
        <v>300</v>
      </c>
      <c r="H2685" s="12" t="n">
        <f aca="false">SUMPRODUCT(ПОТОКИ!B16:G16,ЧАСОВЫЕ_ПРОФИЛИ!B22:G22,КОЭФФИЦИЕНТЫ_ВЫБОРА!F19:K19)</f>
        <v>0.942</v>
      </c>
      <c r="I2685" s="12" t="n">
        <f aca="false">SUMPRODUCT(ПОТОКИ!B16:G16,ЧАСОВЫЕ_ПРОФИЛИ!B22:G22,КОЭФФИЦИЕНТЫ_ВЫБОРА!F19:K19,ПАРАМЕТРЫ!$B$17:$G$17)</f>
        <v>1.0362</v>
      </c>
      <c r="J2685" s="12" t="n">
        <f aca="false">I2685*G2685/1000</f>
        <v>0.31086</v>
      </c>
      <c r="K2685" s="11" t="s">
        <v>217</v>
      </c>
      <c r="L2685" s="11" t="s">
        <v>19</v>
      </c>
      <c r="M2685" s="11" t="s">
        <v>145</v>
      </c>
    </row>
    <row r="2686" customFormat="false" ht="15" hidden="false" customHeight="false" outlineLevel="0" collapsed="false">
      <c r="A2686" s="11" t="s">
        <v>112</v>
      </c>
      <c r="B2686" s="11" t="s">
        <v>135</v>
      </c>
      <c r="C2686" s="11" t="n">
        <v>10</v>
      </c>
      <c r="D2686" s="11" t="s">
        <v>161</v>
      </c>
      <c r="E2686" s="11" t="s">
        <v>163</v>
      </c>
      <c r="F2686" s="11" t="s">
        <v>80</v>
      </c>
      <c r="G2686" s="12" t="n">
        <v>280</v>
      </c>
      <c r="H2686" s="12" t="n">
        <f aca="false">SUMPRODUCT(ПОТОКИ!B16:G16,ЧАСОВЫЕ_ПРОФИЛИ!B22:G22,КОЭФФИЦИЕНТЫ_ВЫБОРА!F20:K20)</f>
        <v>1.059</v>
      </c>
      <c r="I2686" s="12" t="n">
        <f aca="false">SUMPRODUCT(ПОТОКИ!B16:G16,ЧАСОВЫЕ_ПРОФИЛИ!B22:G22,КОЭФФИЦИЕНТЫ_ВЫБОРА!F20:K20,ПАРАМЕТРЫ!$B$17:$G$17)</f>
        <v>1.1649</v>
      </c>
      <c r="J2686" s="12" t="n">
        <f aca="false">I2686*G2686/1000</f>
        <v>0.326172</v>
      </c>
      <c r="K2686" s="11" t="s">
        <v>217</v>
      </c>
      <c r="L2686" s="11" t="s">
        <v>19</v>
      </c>
      <c r="M2686" s="11" t="s">
        <v>145</v>
      </c>
    </row>
    <row r="2687" customFormat="false" ht="15" hidden="false" customHeight="false" outlineLevel="0" collapsed="false">
      <c r="A2687" s="11" t="s">
        <v>112</v>
      </c>
      <c r="B2687" s="11" t="s">
        <v>135</v>
      </c>
      <c r="C2687" s="11" t="n">
        <v>11</v>
      </c>
      <c r="D2687" s="11" t="s">
        <v>161</v>
      </c>
      <c r="E2687" s="11" t="s">
        <v>164</v>
      </c>
      <c r="F2687" s="11" t="s">
        <v>80</v>
      </c>
      <c r="G2687" s="12" t="n">
        <v>270</v>
      </c>
      <c r="H2687" s="12" t="n">
        <f aca="false">SUMPRODUCT(ПОТОКИ!B16:G16,ЧАСОВЫЕ_ПРОФИЛИ!B22:G22,КОЭФФИЦИЕНТЫ_ВЫБОРА!F21:K21)</f>
        <v>1.71825</v>
      </c>
      <c r="I2687" s="12" t="n">
        <f aca="false">SUMPRODUCT(ПОТОКИ!B16:G16,ЧАСОВЫЕ_ПРОФИЛИ!B22:G22,КОЭФФИЦИЕНТЫ_ВЫБОРА!F21:K21,ПАРАМЕТРЫ!$B$17:$G$17)</f>
        <v>1.890075</v>
      </c>
      <c r="J2687" s="12" t="n">
        <f aca="false">I2687*G2687/1000</f>
        <v>0.51032025</v>
      </c>
      <c r="K2687" s="11" t="s">
        <v>217</v>
      </c>
      <c r="L2687" s="11" t="s">
        <v>19</v>
      </c>
      <c r="M2687" s="11" t="s">
        <v>145</v>
      </c>
    </row>
    <row r="2688" customFormat="false" ht="15" hidden="false" customHeight="false" outlineLevel="0" collapsed="false">
      <c r="A2688" s="11" t="s">
        <v>112</v>
      </c>
      <c r="B2688" s="11" t="s">
        <v>135</v>
      </c>
      <c r="C2688" s="11" t="n">
        <v>12</v>
      </c>
      <c r="D2688" s="11" t="s">
        <v>161</v>
      </c>
      <c r="E2688" s="11" t="s">
        <v>165</v>
      </c>
      <c r="F2688" s="11" t="s">
        <v>80</v>
      </c>
      <c r="G2688" s="12" t="n">
        <v>240</v>
      </c>
      <c r="H2688" s="12" t="n">
        <f aca="false">SUMPRODUCT(ПОТОКИ!B16:G16,ЧАСОВЫЕ_ПРОФИЛИ!B22:G22,КОЭФФИЦИЕНТЫ_ВЫБОРА!F22:K22)</f>
        <v>0.85575</v>
      </c>
      <c r="I2688" s="12" t="n">
        <f aca="false">SUMPRODUCT(ПОТОКИ!B16:G16,ЧАСОВЫЕ_ПРОФИЛИ!B22:G22,КОЭФФИЦИЕНТЫ_ВЫБОРА!F22:K22,ПАРАМЕТРЫ!$B$17:$G$17)</f>
        <v>0.941325</v>
      </c>
      <c r="J2688" s="12" t="n">
        <f aca="false">I2688*G2688/1000</f>
        <v>0.225918</v>
      </c>
      <c r="K2688" s="11" t="s">
        <v>217</v>
      </c>
      <c r="L2688" s="11" t="s">
        <v>19</v>
      </c>
      <c r="M2688" s="11" t="s">
        <v>145</v>
      </c>
    </row>
    <row r="2689" customFormat="false" ht="15" hidden="false" customHeight="false" outlineLevel="0" collapsed="false">
      <c r="A2689" s="11" t="s">
        <v>112</v>
      </c>
      <c r="B2689" s="11" t="s">
        <v>135</v>
      </c>
      <c r="C2689" s="11" t="n">
        <v>13</v>
      </c>
      <c r="D2689" s="11" t="s">
        <v>166</v>
      </c>
      <c r="E2689" s="11" t="s">
        <v>167</v>
      </c>
      <c r="F2689" s="11" t="s">
        <v>80</v>
      </c>
      <c r="G2689" s="12" t="n">
        <v>130</v>
      </c>
      <c r="H2689" s="12" t="n">
        <f aca="false">SUMPRODUCT(ПОТОКИ!B16:G16,ЧАСОВЫЕ_ПРОФИЛИ!B22:G22,КОЭФФИЦИЕНТЫ_ВЫБОРА!F23:K23)</f>
        <v>0.54</v>
      </c>
      <c r="I2689" s="12" t="n">
        <f aca="false">SUMPRODUCT(ПОТОКИ!B16:G16,ЧАСОВЫЕ_ПРОФИЛИ!B22:G22,КОЭФФИЦИЕНТЫ_ВЫБОРА!F23:K23,ПАРАМЕТРЫ!$B$17:$G$17)</f>
        <v>0.594</v>
      </c>
      <c r="J2689" s="12" t="n">
        <f aca="false">I2689*G2689/1000</f>
        <v>0.07722</v>
      </c>
      <c r="K2689" s="11" t="s">
        <v>217</v>
      </c>
      <c r="L2689" s="11" t="s">
        <v>19</v>
      </c>
      <c r="M2689" s="11" t="s">
        <v>145</v>
      </c>
    </row>
    <row r="2690" customFormat="false" ht="15" hidden="false" customHeight="false" outlineLevel="0" collapsed="false">
      <c r="A2690" s="11" t="s">
        <v>112</v>
      </c>
      <c r="B2690" s="11" t="s">
        <v>135</v>
      </c>
      <c r="C2690" s="11" t="n">
        <v>14</v>
      </c>
      <c r="D2690" s="11" t="s">
        <v>166</v>
      </c>
      <c r="E2690" s="11" t="s">
        <v>168</v>
      </c>
      <c r="F2690" s="11" t="s">
        <v>80</v>
      </c>
      <c r="G2690" s="12" t="n">
        <v>250</v>
      </c>
      <c r="H2690" s="12" t="n">
        <f aca="false">SUMPRODUCT(ПОТОКИ!B16:G16,ЧАСОВЫЕ_ПРОФИЛИ!B22:G22,КОЭФФИЦИЕНТЫ_ВЫБОРА!F24:K24)</f>
        <v>0.363</v>
      </c>
      <c r="I2690" s="12" t="n">
        <f aca="false">SUMPRODUCT(ПОТОКИ!B16:G16,ЧАСОВЫЕ_ПРОФИЛИ!B22:G22,КОЭФФИЦИЕНТЫ_ВЫБОРА!F24:K24,ПАРАМЕТРЫ!$B$17:$G$17)</f>
        <v>0.3993</v>
      </c>
      <c r="J2690" s="12" t="n">
        <f aca="false">I2690*G2690/1000</f>
        <v>0.099825</v>
      </c>
      <c r="K2690" s="11" t="s">
        <v>217</v>
      </c>
      <c r="L2690" s="11" t="s">
        <v>19</v>
      </c>
      <c r="M2690" s="11" t="s">
        <v>145</v>
      </c>
    </row>
    <row r="2691" customFormat="false" ht="15" hidden="false" customHeight="false" outlineLevel="0" collapsed="false">
      <c r="A2691" s="11" t="s">
        <v>112</v>
      </c>
      <c r="B2691" s="11" t="s">
        <v>135</v>
      </c>
      <c r="C2691" s="11" t="n">
        <v>15</v>
      </c>
      <c r="D2691" s="11" t="s">
        <v>166</v>
      </c>
      <c r="E2691" s="11" t="s">
        <v>169</v>
      </c>
      <c r="F2691" s="11" t="s">
        <v>80</v>
      </c>
      <c r="G2691" s="12" t="n">
        <v>120</v>
      </c>
      <c r="H2691" s="12" t="n">
        <f aca="false">SUMPRODUCT(ПОТОКИ!B16:G16,ЧАСОВЫЕ_ПРОФИЛИ!B22:G22,КОЭФФИЦИЕНТЫ_ВЫБОРА!F25:K25)</f>
        <v>0.318</v>
      </c>
      <c r="I2691" s="12" t="n">
        <f aca="false">SUMPRODUCT(ПОТОКИ!B16:G16,ЧАСОВЫЕ_ПРОФИЛИ!B22:G22,КОЭФФИЦИЕНТЫ_ВЫБОРА!F25:K25,ПАРАМЕТРЫ!$B$17:$G$17)</f>
        <v>0.3498</v>
      </c>
      <c r="J2691" s="12" t="n">
        <f aca="false">I2691*G2691/1000</f>
        <v>0.041976</v>
      </c>
      <c r="K2691" s="11" t="s">
        <v>217</v>
      </c>
      <c r="L2691" s="11" t="s">
        <v>19</v>
      </c>
      <c r="M2691" s="11" t="s">
        <v>145</v>
      </c>
    </row>
    <row r="2692" customFormat="false" ht="15" hidden="false" customHeight="false" outlineLevel="0" collapsed="false">
      <c r="A2692" s="11" t="s">
        <v>112</v>
      </c>
      <c r="B2692" s="11" t="s">
        <v>135</v>
      </c>
      <c r="C2692" s="11" t="n">
        <v>16</v>
      </c>
      <c r="D2692" s="11" t="s">
        <v>166</v>
      </c>
      <c r="E2692" s="11" t="s">
        <v>170</v>
      </c>
      <c r="F2692" s="11" t="s">
        <v>80</v>
      </c>
      <c r="G2692" s="12" t="n">
        <v>180</v>
      </c>
      <c r="H2692" s="12" t="n">
        <f aca="false">SUMPRODUCT(ПОТОКИ!B16:G16,ЧАСОВЫЕ_ПРОФИЛИ!B22:G22,КОЭФФИЦИЕНТЫ_ВЫБОРА!F26:K26)</f>
        <v>0.459</v>
      </c>
      <c r="I2692" s="12" t="n">
        <f aca="false">SUMPRODUCT(ПОТОКИ!B16:G16,ЧАСОВЫЕ_ПРОФИЛИ!B22:G22,КОЭФФИЦИЕНТЫ_ВЫБОРА!F26:K26,ПАРАМЕТРЫ!$B$17:$G$17)</f>
        <v>0.5049</v>
      </c>
      <c r="J2692" s="12" t="n">
        <f aca="false">I2692*G2692/1000</f>
        <v>0.090882</v>
      </c>
      <c r="K2692" s="11" t="s">
        <v>217</v>
      </c>
      <c r="L2692" s="11" t="s">
        <v>19</v>
      </c>
      <c r="M2692" s="11" t="s">
        <v>145</v>
      </c>
    </row>
    <row r="2693" customFormat="false" ht="15" hidden="false" customHeight="false" outlineLevel="0" collapsed="false">
      <c r="A2693" s="11" t="s">
        <v>112</v>
      </c>
      <c r="B2693" s="11" t="s">
        <v>135</v>
      </c>
      <c r="C2693" s="11" t="n">
        <v>17</v>
      </c>
      <c r="D2693" s="11" t="s">
        <v>166</v>
      </c>
      <c r="E2693" s="11" t="s">
        <v>171</v>
      </c>
      <c r="F2693" s="11" t="s">
        <v>80</v>
      </c>
      <c r="G2693" s="12" t="n">
        <v>180</v>
      </c>
      <c r="H2693" s="12" t="n">
        <f aca="false">SUMPRODUCT(ПОТОКИ!B16:G16,ЧАСОВЫЕ_ПРОФИЛИ!B22:G22,КОЭФФИЦИЕНТЫ_ВЫБОРА!F27:K27)</f>
        <v>0.54</v>
      </c>
      <c r="I2693" s="12" t="n">
        <f aca="false">SUMPRODUCT(ПОТОКИ!B16:G16,ЧАСОВЫЕ_ПРОФИЛИ!B22:G22,КОЭФФИЦИЕНТЫ_ВЫБОРА!F27:K27,ПАРАМЕТРЫ!$B$17:$G$17)</f>
        <v>0.594</v>
      </c>
      <c r="J2693" s="12" t="n">
        <f aca="false">I2693*G2693/1000</f>
        <v>0.10692</v>
      </c>
      <c r="K2693" s="11" t="s">
        <v>217</v>
      </c>
      <c r="L2693" s="11" t="s">
        <v>19</v>
      </c>
      <c r="M2693" s="11" t="s">
        <v>145</v>
      </c>
    </row>
    <row r="2694" customFormat="false" ht="15" hidden="false" customHeight="false" outlineLevel="0" collapsed="false">
      <c r="A2694" s="11" t="s">
        <v>112</v>
      </c>
      <c r="B2694" s="11" t="s">
        <v>135</v>
      </c>
      <c r="C2694" s="11" t="n">
        <v>18</v>
      </c>
      <c r="D2694" s="11" t="s">
        <v>172</v>
      </c>
      <c r="E2694" s="11" t="s">
        <v>173</v>
      </c>
      <c r="F2694" s="11" t="s">
        <v>83</v>
      </c>
      <c r="G2694" s="12" t="n">
        <v>400</v>
      </c>
      <c r="H2694" s="12" t="n">
        <f aca="false">SUMPRODUCT(ПОТОКИ!B16:G16,ЧАСОВЫЕ_ПРОФИЛИ!B22:G22,КОЭФФИЦИЕНТЫ_ВЫБОРА!F28:K28)</f>
        <v>0.96</v>
      </c>
      <c r="I2694" s="12" t="n">
        <f aca="false">SUMPRODUCT(ПОТОКИ!B16:G16,ЧАСОВЫЕ_ПРОФИЛИ!B22:G22,КОЭФФИЦИЕНТЫ_ВЫБОРА!F28:K28,ПАРАМЕТРЫ!$B$17:$G$17)</f>
        <v>1.056</v>
      </c>
      <c r="J2694" s="12" t="n">
        <f aca="false">I2694*G2694/1000</f>
        <v>0.4224</v>
      </c>
      <c r="K2694" s="11" t="s">
        <v>217</v>
      </c>
      <c r="L2694" s="11" t="s">
        <v>19</v>
      </c>
      <c r="M2694" s="11" t="s">
        <v>145</v>
      </c>
    </row>
    <row r="2695" customFormat="false" ht="23.85" hidden="false" customHeight="false" outlineLevel="0" collapsed="false">
      <c r="A2695" s="11" t="s">
        <v>112</v>
      </c>
      <c r="B2695" s="11" t="s">
        <v>135</v>
      </c>
      <c r="C2695" s="11" t="n">
        <v>19</v>
      </c>
      <c r="D2695" s="11" t="s">
        <v>174</v>
      </c>
      <c r="E2695" s="11" t="s">
        <v>175</v>
      </c>
      <c r="F2695" s="11" t="s">
        <v>83</v>
      </c>
      <c r="G2695" s="12" t="n">
        <v>300</v>
      </c>
      <c r="H2695" s="12" t="n">
        <f aca="false">SUMPRODUCT(ПОТОКИ!B16:G16,ЧАСОВЫЕ_ПРОФИЛИ!B22:G22,КОЭФФИЦИЕНТЫ_ВЫБОРА!F29:K29)</f>
        <v>2.5665</v>
      </c>
      <c r="I2695" s="12" t="n">
        <f aca="false">SUMPRODUCT(ПОТОКИ!B16:G16,ЧАСОВЫЕ_ПРОФИЛИ!B22:G22,КОЭФФИЦИЕНТЫ_ВЫБОРА!F29:K29,ПАРАМЕТРЫ!$B$17:$G$17)</f>
        <v>2.82315</v>
      </c>
      <c r="J2695" s="12" t="n">
        <f aca="false">I2695*G2695/1000</f>
        <v>0.846945</v>
      </c>
      <c r="K2695" s="11" t="s">
        <v>217</v>
      </c>
      <c r="L2695" s="11" t="s">
        <v>19</v>
      </c>
      <c r="M2695" s="11" t="s">
        <v>145</v>
      </c>
    </row>
    <row r="2696" customFormat="false" ht="15" hidden="false" customHeight="false" outlineLevel="0" collapsed="false">
      <c r="A2696" s="11" t="s">
        <v>112</v>
      </c>
      <c r="B2696" s="11" t="s">
        <v>135</v>
      </c>
      <c r="C2696" s="11" t="n">
        <v>20</v>
      </c>
      <c r="D2696" s="11" t="s">
        <v>174</v>
      </c>
      <c r="E2696" s="11" t="s">
        <v>176</v>
      </c>
      <c r="F2696" s="11" t="s">
        <v>83</v>
      </c>
      <c r="G2696" s="12" t="n">
        <v>360</v>
      </c>
      <c r="H2696" s="12" t="n">
        <f aca="false">SUMPRODUCT(ПОТОКИ!B16:G16,ЧАСОВЫЕ_ПРОФИЛИ!B22:G22,КОЭФФИЦИЕНТЫ_ВЫБОРА!F30:K30)</f>
        <v>2.283</v>
      </c>
      <c r="I2696" s="12" t="n">
        <f aca="false">SUMPRODUCT(ПОТОКИ!B16:G16,ЧАСОВЫЕ_ПРОФИЛИ!B22:G22,КОЭФФИЦИЕНТЫ_ВЫБОРА!F30:K30,ПАРАМЕТРЫ!$B$17:$G$17)</f>
        <v>2.5113</v>
      </c>
      <c r="J2696" s="12" t="n">
        <f aca="false">I2696*G2696/1000</f>
        <v>0.904068</v>
      </c>
      <c r="K2696" s="11" t="s">
        <v>217</v>
      </c>
      <c r="L2696" s="11" t="s">
        <v>19</v>
      </c>
      <c r="M2696" s="11" t="s">
        <v>145</v>
      </c>
    </row>
    <row r="2697" customFormat="false" ht="15" hidden="false" customHeight="false" outlineLevel="0" collapsed="false">
      <c r="A2697" s="11" t="s">
        <v>112</v>
      </c>
      <c r="B2697" s="11" t="s">
        <v>135</v>
      </c>
      <c r="C2697" s="11" t="n">
        <v>21</v>
      </c>
      <c r="D2697" s="11" t="s">
        <v>174</v>
      </c>
      <c r="E2697" s="11" t="s">
        <v>177</v>
      </c>
      <c r="F2697" s="11" t="s">
        <v>83</v>
      </c>
      <c r="G2697" s="12" t="n">
        <v>350</v>
      </c>
      <c r="H2697" s="12" t="n">
        <f aca="false">SUMPRODUCT(ПОТОКИ!B16:G16,ЧАСОВЫЕ_ПРОФИЛИ!B22:G22,КОЭФФИЦИЕНТЫ_ВЫБОРА!F31:K31)</f>
        <v>3.43875</v>
      </c>
      <c r="I2697" s="12" t="n">
        <f aca="false">SUMPRODUCT(ПОТОКИ!B16:G16,ЧАСОВЫЕ_ПРОФИЛИ!B22:G22,КОЭФФИЦИЕНТЫ_ВЫБОРА!F31:K31,ПАРАМЕТРЫ!$B$17:$G$17)</f>
        <v>3.782625</v>
      </c>
      <c r="J2697" s="12" t="n">
        <f aca="false">I2697*G2697/1000</f>
        <v>1.32391875</v>
      </c>
      <c r="K2697" s="11" t="s">
        <v>217</v>
      </c>
      <c r="L2697" s="11" t="s">
        <v>19</v>
      </c>
      <c r="M2697" s="11" t="s">
        <v>145</v>
      </c>
    </row>
    <row r="2698" customFormat="false" ht="15" hidden="false" customHeight="false" outlineLevel="0" collapsed="false">
      <c r="A2698" s="11" t="s">
        <v>112</v>
      </c>
      <c r="B2698" s="11" t="s">
        <v>135</v>
      </c>
      <c r="C2698" s="11" t="n">
        <v>22</v>
      </c>
      <c r="D2698" s="11" t="s">
        <v>174</v>
      </c>
      <c r="E2698" s="11" t="s">
        <v>178</v>
      </c>
      <c r="F2698" s="11" t="s">
        <v>83</v>
      </c>
      <c r="G2698" s="12" t="n">
        <v>300</v>
      </c>
      <c r="H2698" s="12" t="n">
        <f aca="false">SUMPRODUCT(ПОТОКИ!B16:G16,ЧАСОВЫЕ_ПРОФИЛИ!B22:G22,КОЭФФИЦИЕНТЫ_ВЫБОРА!F32:K32)</f>
        <v>2.34675</v>
      </c>
      <c r="I2698" s="12" t="n">
        <f aca="false">SUMPRODUCT(ПОТОКИ!B16:G16,ЧАСОВЫЕ_ПРОФИЛИ!B22:G22,КОЭФФИЦИЕНТЫ_ВЫБОРА!F32:K32,ПАРАМЕТРЫ!$B$17:$G$17)</f>
        <v>2.581425</v>
      </c>
      <c r="J2698" s="12" t="n">
        <f aca="false">I2698*G2698/1000</f>
        <v>0.7744275</v>
      </c>
      <c r="K2698" s="11" t="s">
        <v>217</v>
      </c>
      <c r="L2698" s="11" t="s">
        <v>19</v>
      </c>
      <c r="M2698" s="11" t="s">
        <v>145</v>
      </c>
    </row>
    <row r="2699" customFormat="false" ht="15" hidden="false" customHeight="false" outlineLevel="0" collapsed="false">
      <c r="A2699" s="11" t="s">
        <v>112</v>
      </c>
      <c r="B2699" s="11" t="s">
        <v>135</v>
      </c>
      <c r="C2699" s="11" t="n">
        <v>23</v>
      </c>
      <c r="D2699" s="11" t="s">
        <v>86</v>
      </c>
      <c r="E2699" s="11" t="s">
        <v>179</v>
      </c>
      <c r="F2699" s="11" t="s">
        <v>85</v>
      </c>
      <c r="G2699" s="12" t="n">
        <v>150</v>
      </c>
      <c r="H2699" s="12" t="n">
        <f aca="false">SUMPRODUCT(ПОТОКИ!B16:G16,ЧАСОВЫЕ_ПРОФИЛИ!B22:G22,КОЭФФИЦИЕНТЫ_ВЫБОРА!F33:K33)</f>
        <v>1.84570125</v>
      </c>
      <c r="I2699" s="12" t="n">
        <f aca="false">SUMPRODUCT(ПОТОКИ!B16:G16,ЧАСОВЫЕ_ПРОФИЛИ!B22:G22,КОЭФФИЦИЕНТЫ_ВЫБОРА!F33:K33,ПАРАМЕТРЫ!$B$17:$G$17)</f>
        <v>2.030271375</v>
      </c>
      <c r="J2699" s="12" t="n">
        <f aca="false">I2699*G2699/1000</f>
        <v>0.30454070625</v>
      </c>
      <c r="K2699" s="11" t="s">
        <v>217</v>
      </c>
      <c r="L2699" s="11" t="s">
        <v>19</v>
      </c>
      <c r="M2699" s="11" t="s">
        <v>147</v>
      </c>
    </row>
    <row r="2700" customFormat="false" ht="15" hidden="false" customHeight="false" outlineLevel="0" collapsed="false">
      <c r="A2700" s="11" t="s">
        <v>112</v>
      </c>
      <c r="B2700" s="11" t="s">
        <v>135</v>
      </c>
      <c r="C2700" s="11" t="n">
        <v>24</v>
      </c>
      <c r="D2700" s="11" t="s">
        <v>86</v>
      </c>
      <c r="E2700" s="11" t="s">
        <v>180</v>
      </c>
      <c r="F2700" s="11" t="s">
        <v>85</v>
      </c>
      <c r="G2700" s="12" t="n">
        <v>150</v>
      </c>
      <c r="H2700" s="12" t="n">
        <f aca="false">SUMPRODUCT(ПОТОКИ!B16:G16,ЧАСОВЫЕ_ПРОФИЛИ!B22:G22,КОЭФФИЦИЕНТЫ_ВЫБОРА!F34:K34)</f>
        <v>0.947235</v>
      </c>
      <c r="I2700" s="12" t="n">
        <f aca="false">SUMPRODUCT(ПОТОКИ!B16:G16,ЧАСОВЫЕ_ПРОФИЛИ!B22:G22,КОЭФФИЦИЕНТЫ_ВЫБОРА!F34:K34,ПАРАМЕТРЫ!$B$17:$G$17)</f>
        <v>1.0419585</v>
      </c>
      <c r="J2700" s="12" t="n">
        <f aca="false">I2700*G2700/1000</f>
        <v>0.156293775</v>
      </c>
      <c r="K2700" s="11" t="s">
        <v>217</v>
      </c>
      <c r="L2700" s="11" t="s">
        <v>19</v>
      </c>
      <c r="M2700" s="11" t="s">
        <v>147</v>
      </c>
    </row>
    <row r="2701" customFormat="false" ht="15" hidden="false" customHeight="false" outlineLevel="0" collapsed="false">
      <c r="A2701" s="11" t="s">
        <v>112</v>
      </c>
      <c r="B2701" s="11" t="s">
        <v>135</v>
      </c>
      <c r="C2701" s="11" t="n">
        <v>25</v>
      </c>
      <c r="D2701" s="11" t="s">
        <v>86</v>
      </c>
      <c r="E2701" s="11" t="s">
        <v>181</v>
      </c>
      <c r="F2701" s="11" t="s">
        <v>85</v>
      </c>
      <c r="G2701" s="12" t="n">
        <v>150</v>
      </c>
      <c r="H2701" s="12" t="n">
        <f aca="false">SUMPRODUCT(ПОТОКИ!B16:G16,ЧАСОВЫЕ_ПРОФИЛИ!B22:G22,КОЭФФИЦИЕНТЫ_ВЫБОРА!F35:K35)</f>
        <v>1.94323875</v>
      </c>
      <c r="I2701" s="12" t="n">
        <f aca="false">SUMPRODUCT(ПОТОКИ!B16:G16,ЧАСОВЫЕ_ПРОФИЛИ!B22:G22,КОЭФФИЦИЕНТЫ_ВЫБОРА!F35:K35,ПАРАМЕТРЫ!$B$17:$G$17)</f>
        <v>2.137562625</v>
      </c>
      <c r="J2701" s="12" t="n">
        <f aca="false">I2701*G2701/1000</f>
        <v>0.32063439375</v>
      </c>
      <c r="K2701" s="11" t="s">
        <v>217</v>
      </c>
      <c r="L2701" s="11" t="s">
        <v>19</v>
      </c>
      <c r="M2701" s="11" t="s">
        <v>147</v>
      </c>
    </row>
    <row r="2702" customFormat="false" ht="23.85" hidden="false" customHeight="false" outlineLevel="0" collapsed="false">
      <c r="A2702" s="11" t="s">
        <v>112</v>
      </c>
      <c r="B2702" s="11" t="s">
        <v>135</v>
      </c>
      <c r="C2702" s="11" t="n">
        <v>26</v>
      </c>
      <c r="D2702" s="11" t="s">
        <v>89</v>
      </c>
      <c r="E2702" s="11" t="s">
        <v>182</v>
      </c>
      <c r="F2702" s="11" t="s">
        <v>88</v>
      </c>
      <c r="G2702" s="12" t="n">
        <v>225</v>
      </c>
      <c r="H2702" s="12" t="n">
        <f aca="false">SUMPRODUCT(ПОТОКИ!B16:G16,ЧАСОВЫЕ_ПРОФИЛИ!B22:G22,КОЭФФИЦИЕНТЫ_ВЫБОРА!F36:K36)</f>
        <v>0</v>
      </c>
      <c r="I2702" s="12" t="n">
        <f aca="false">SUMPRODUCT(ПОТОКИ!B16:G16,ЧАСОВЫЕ_ПРОФИЛИ!B22:G22,КОЭФФИЦИЕНТЫ_ВЫБОРА!F36:K36,ПАРАМЕТРЫ!$B$17:$G$17)</f>
        <v>0</v>
      </c>
      <c r="J2702" s="12" t="n">
        <f aca="false">I2702*G2702/1000</f>
        <v>0</v>
      </c>
      <c r="K2702" s="11" t="s">
        <v>217</v>
      </c>
      <c r="L2702" s="11" t="s">
        <v>19</v>
      </c>
      <c r="M2702" s="11" t="s">
        <v>145</v>
      </c>
    </row>
    <row r="2703" customFormat="false" ht="23.85" hidden="false" customHeight="false" outlineLevel="0" collapsed="false">
      <c r="A2703" s="11" t="s">
        <v>112</v>
      </c>
      <c r="B2703" s="11" t="s">
        <v>135</v>
      </c>
      <c r="C2703" s="11" t="n">
        <v>27</v>
      </c>
      <c r="D2703" s="11" t="s">
        <v>89</v>
      </c>
      <c r="E2703" s="11" t="s">
        <v>183</v>
      </c>
      <c r="F2703" s="11" t="s">
        <v>88</v>
      </c>
      <c r="G2703" s="12" t="n">
        <v>265</v>
      </c>
      <c r="H2703" s="12" t="n">
        <f aca="false">SUMPRODUCT(ПОТОКИ!B16:G16,ЧАСОВЫЕ_ПРОФИЛИ!B22:G22,КОЭФФИЦИЕНТЫ_ВЫБОРА!F37:K37)</f>
        <v>0</v>
      </c>
      <c r="I2703" s="12" t="n">
        <f aca="false">SUMPRODUCT(ПОТОКИ!B16:G16,ЧАСОВЫЕ_ПРОФИЛИ!B22:G22,КОЭФФИЦИЕНТЫ_ВЫБОРА!F37:K37,ПАРАМЕТРЫ!$B$17:$G$17)</f>
        <v>0</v>
      </c>
      <c r="J2703" s="12" t="n">
        <f aca="false">I2703*G2703/1000</f>
        <v>0</v>
      </c>
      <c r="K2703" s="11" t="s">
        <v>217</v>
      </c>
      <c r="L2703" s="11" t="s">
        <v>19</v>
      </c>
      <c r="M2703" s="11" t="s">
        <v>145</v>
      </c>
    </row>
    <row r="2704" customFormat="false" ht="23.85" hidden="false" customHeight="false" outlineLevel="0" collapsed="false">
      <c r="A2704" s="11" t="s">
        <v>112</v>
      </c>
      <c r="B2704" s="11" t="s">
        <v>135</v>
      </c>
      <c r="C2704" s="11" t="n">
        <v>28</v>
      </c>
      <c r="D2704" s="11" t="s">
        <v>89</v>
      </c>
      <c r="E2704" s="11" t="s">
        <v>184</v>
      </c>
      <c r="F2704" s="11" t="s">
        <v>88</v>
      </c>
      <c r="G2704" s="12" t="n">
        <v>355</v>
      </c>
      <c r="H2704" s="12" t="n">
        <f aca="false">SUMPRODUCT(ПОТОКИ!B16:G16,ЧАСОВЫЕ_ПРОФИЛИ!B22:G22,КОЭФФИЦИЕНТЫ_ВЫБОРА!F38:K38)</f>
        <v>0</v>
      </c>
      <c r="I2704" s="12" t="n">
        <f aca="false">SUMPRODUCT(ПОТОКИ!B16:G16,ЧАСОВЫЕ_ПРОФИЛИ!B22:G22,КОЭФФИЦИЕНТЫ_ВЫБОРА!F38:K38,ПАРАМЕТРЫ!$B$17:$G$17)</f>
        <v>0</v>
      </c>
      <c r="J2704" s="12" t="n">
        <f aca="false">I2704*G2704/1000</f>
        <v>0</v>
      </c>
      <c r="K2704" s="11" t="s">
        <v>217</v>
      </c>
      <c r="L2704" s="11" t="s">
        <v>19</v>
      </c>
      <c r="M2704" s="11" t="s">
        <v>145</v>
      </c>
    </row>
    <row r="2705" customFormat="false" ht="15" hidden="false" customHeight="false" outlineLevel="0" collapsed="false">
      <c r="A2705" s="11" t="s">
        <v>112</v>
      </c>
      <c r="B2705" s="11" t="s">
        <v>135</v>
      </c>
      <c r="C2705" s="11" t="n">
        <v>29</v>
      </c>
      <c r="D2705" s="11" t="s">
        <v>92</v>
      </c>
      <c r="E2705" s="11" t="s">
        <v>185</v>
      </c>
      <c r="F2705" s="11" t="s">
        <v>91</v>
      </c>
      <c r="G2705" s="12" t="n">
        <v>150</v>
      </c>
      <c r="H2705" s="12" t="n">
        <f aca="false">SUMPRODUCT(ПОТОКИ!B16:G16,ЧАСОВЫЕ_ПРОФИЛИ!B22:G22,КОЭФФИЦИЕНТЫ_ВЫБОРА!F39:K39)</f>
        <v>0.72</v>
      </c>
      <c r="I2705" s="12" t="n">
        <f aca="false">SUMPRODUCT(ПОТОКИ!B16:G16,ЧАСОВЫЕ_ПРОФИЛИ!B22:G22,КОЭФФИЦИЕНТЫ_ВЫБОРА!F39:K39,ПАРАМЕТРЫ!$B$17:$G$17)</f>
        <v>0.792</v>
      </c>
      <c r="J2705" s="12" t="n">
        <f aca="false">I2705*G2705/1000</f>
        <v>0.1188</v>
      </c>
      <c r="K2705" s="11" t="s">
        <v>217</v>
      </c>
      <c r="L2705" s="11" t="s">
        <v>19</v>
      </c>
      <c r="M2705" s="11" t="s">
        <v>145</v>
      </c>
    </row>
    <row r="2706" customFormat="false" ht="15" hidden="false" customHeight="false" outlineLevel="0" collapsed="false">
      <c r="A2706" s="11" t="s">
        <v>112</v>
      </c>
      <c r="B2706" s="11" t="s">
        <v>135</v>
      </c>
      <c r="C2706" s="11" t="n">
        <v>30</v>
      </c>
      <c r="D2706" s="11" t="s">
        <v>92</v>
      </c>
      <c r="E2706" s="11" t="s">
        <v>186</v>
      </c>
      <c r="F2706" s="11" t="s">
        <v>91</v>
      </c>
      <c r="G2706" s="12" t="n">
        <v>120</v>
      </c>
      <c r="H2706" s="12" t="n">
        <f aca="false">SUMPRODUCT(ПОТОКИ!B16:G16,ЧАСОВЫЕ_ПРОФИЛИ!B22:G22,КОЭФФИЦИЕНТЫ_ВЫБОРА!F40:K40)</f>
        <v>0.87</v>
      </c>
      <c r="I2706" s="12" t="n">
        <f aca="false">SUMPRODUCT(ПОТОКИ!B16:G16,ЧАСОВЫЕ_ПРОФИЛИ!B22:G22,КОЭФФИЦИЕНТЫ_ВЫБОРА!F40:K40,ПАРАМЕТРЫ!$B$17:$G$17)</f>
        <v>0.957</v>
      </c>
      <c r="J2706" s="12" t="n">
        <f aca="false">I2706*G2706/1000</f>
        <v>0.11484</v>
      </c>
      <c r="K2706" s="11" t="s">
        <v>217</v>
      </c>
      <c r="L2706" s="11" t="s">
        <v>19</v>
      </c>
      <c r="M2706" s="11" t="s">
        <v>145</v>
      </c>
    </row>
    <row r="2707" customFormat="false" ht="15" hidden="false" customHeight="false" outlineLevel="0" collapsed="false">
      <c r="A2707" s="11" t="s">
        <v>112</v>
      </c>
      <c r="B2707" s="11" t="s">
        <v>135</v>
      </c>
      <c r="C2707" s="11" t="n">
        <v>31</v>
      </c>
      <c r="D2707" s="11" t="s">
        <v>92</v>
      </c>
      <c r="E2707" s="11" t="s">
        <v>187</v>
      </c>
      <c r="F2707" s="11" t="s">
        <v>91</v>
      </c>
      <c r="G2707" s="12" t="n">
        <v>60</v>
      </c>
      <c r="H2707" s="12" t="n">
        <f aca="false">SUMPRODUCT(ПОТОКИ!B16:G16,ЧАСОВЫЕ_ПРОФИЛИ!B22:G22,КОЭФФИЦИЕНТЫ_ВЫБОРА!F41:K41)</f>
        <v>0.48</v>
      </c>
      <c r="I2707" s="12" t="n">
        <f aca="false">SUMPRODUCT(ПОТОКИ!B16:G16,ЧАСОВЫЕ_ПРОФИЛИ!B22:G22,КОЭФФИЦИЕНТЫ_ВЫБОРА!F41:K41,ПАРАМЕТРЫ!$B$17:$G$17)</f>
        <v>0.528</v>
      </c>
      <c r="J2707" s="12" t="n">
        <f aca="false">I2707*G2707/1000</f>
        <v>0.03168</v>
      </c>
      <c r="K2707" s="11" t="s">
        <v>217</v>
      </c>
      <c r="L2707" s="11" t="s">
        <v>19</v>
      </c>
      <c r="M2707" s="11" t="s">
        <v>145</v>
      </c>
    </row>
    <row r="2708" customFormat="false" ht="15" hidden="false" customHeight="false" outlineLevel="0" collapsed="false">
      <c r="A2708" s="11" t="s">
        <v>112</v>
      </c>
      <c r="B2708" s="11" t="s">
        <v>136</v>
      </c>
      <c r="C2708" s="11" t="n">
        <v>1</v>
      </c>
      <c r="D2708" s="11" t="s">
        <v>74</v>
      </c>
      <c r="E2708" s="11" t="s">
        <v>153</v>
      </c>
      <c r="F2708" s="11" t="s">
        <v>73</v>
      </c>
      <c r="G2708" s="12" t="n">
        <v>450</v>
      </c>
      <c r="H2708" s="12" t="n">
        <f aca="false">SUMPRODUCT(ПОТОКИ!B16:G16,ЧАСОВЫЕ_ПРОФИЛИ!B23:G23,КОЭФФИЦИЕНТЫ_ВЫБОРА!F11:K11)</f>
        <v>0.839</v>
      </c>
      <c r="I2708" s="12" t="n">
        <f aca="false">SUMPRODUCT(ПОТОКИ!B16:G16,ЧАСОВЫЕ_ПРОФИЛИ!B23:G23,КОЭФФИЦИЕНТЫ_ВЫБОРА!F11:K11,ПАРАМЕТРЫ!$B$17:$G$17)</f>
        <v>0.9229</v>
      </c>
      <c r="J2708" s="12" t="n">
        <f aca="false">I2708*G2708/1000</f>
        <v>0.415305</v>
      </c>
      <c r="K2708" s="11" t="s">
        <v>217</v>
      </c>
      <c r="L2708" s="11" t="s">
        <v>19</v>
      </c>
      <c r="M2708" s="11" t="s">
        <v>145</v>
      </c>
    </row>
    <row r="2709" customFormat="false" ht="15" hidden="false" customHeight="false" outlineLevel="0" collapsed="false">
      <c r="A2709" s="11" t="s">
        <v>112</v>
      </c>
      <c r="B2709" s="11" t="s">
        <v>136</v>
      </c>
      <c r="C2709" s="11" t="n">
        <v>2</v>
      </c>
      <c r="D2709" s="11" t="s">
        <v>74</v>
      </c>
      <c r="E2709" s="11" t="s">
        <v>154</v>
      </c>
      <c r="F2709" s="11" t="s">
        <v>73</v>
      </c>
      <c r="G2709" s="12" t="n">
        <v>480</v>
      </c>
      <c r="H2709" s="12" t="n">
        <f aca="false">SUMPRODUCT(ПОТОКИ!B16:G16,ЧАСОВЫЕ_ПРОФИЛИ!B23:G23,КОЭФФИЦИЕНТЫ_ВЫБОРА!F12:K12)</f>
        <v>1.3845</v>
      </c>
      <c r="I2709" s="12" t="n">
        <f aca="false">SUMPRODUCT(ПОТОКИ!B16:G16,ЧАСОВЫЕ_ПРОФИЛИ!B23:G23,КОЭФФИЦИЕНТЫ_ВЫБОРА!F12:K12,ПАРАМЕТРЫ!$B$17:$G$17)</f>
        <v>1.52295</v>
      </c>
      <c r="J2709" s="12" t="n">
        <f aca="false">I2709*G2709/1000</f>
        <v>0.731016</v>
      </c>
      <c r="K2709" s="11" t="s">
        <v>217</v>
      </c>
      <c r="L2709" s="11" t="s">
        <v>19</v>
      </c>
      <c r="M2709" s="11" t="s">
        <v>145</v>
      </c>
    </row>
    <row r="2710" customFormat="false" ht="15" hidden="false" customHeight="false" outlineLevel="0" collapsed="false">
      <c r="A2710" s="11" t="s">
        <v>112</v>
      </c>
      <c r="B2710" s="11" t="s">
        <v>136</v>
      </c>
      <c r="C2710" s="11" t="n">
        <v>3</v>
      </c>
      <c r="D2710" s="11" t="s">
        <v>74</v>
      </c>
      <c r="E2710" s="11" t="s">
        <v>155</v>
      </c>
      <c r="F2710" s="11" t="s">
        <v>73</v>
      </c>
      <c r="G2710" s="12" t="n">
        <v>500</v>
      </c>
      <c r="H2710" s="12" t="n">
        <f aca="false">SUMPRODUCT(ПОТОКИ!B16:G16,ЧАСОВЫЕ_ПРОФИЛИ!B23:G23,КОЭФФИЦИЕНТЫ_ВЫБОРА!F13:K13)</f>
        <v>2.0455</v>
      </c>
      <c r="I2710" s="12" t="n">
        <f aca="false">SUMPRODUCT(ПОТОКИ!B16:G16,ЧАСОВЫЕ_ПРОФИЛИ!B23:G23,КОЭФФИЦИЕНТЫ_ВЫБОРА!F13:K13,ПАРАМЕТРЫ!$B$17:$G$17)</f>
        <v>2.25005</v>
      </c>
      <c r="J2710" s="12" t="n">
        <f aca="false">I2710*G2710/1000</f>
        <v>1.125025</v>
      </c>
      <c r="K2710" s="11" t="s">
        <v>217</v>
      </c>
      <c r="L2710" s="11" t="s">
        <v>19</v>
      </c>
      <c r="M2710" s="11" t="s">
        <v>145</v>
      </c>
    </row>
    <row r="2711" customFormat="false" ht="15" hidden="false" customHeight="false" outlineLevel="0" collapsed="false">
      <c r="A2711" s="11" t="s">
        <v>112</v>
      </c>
      <c r="B2711" s="11" t="s">
        <v>136</v>
      </c>
      <c r="C2711" s="11" t="n">
        <v>4</v>
      </c>
      <c r="D2711" s="11" t="s">
        <v>74</v>
      </c>
      <c r="E2711" s="11" t="s">
        <v>156</v>
      </c>
      <c r="F2711" s="11" t="s">
        <v>73</v>
      </c>
      <c r="G2711" s="12" t="n">
        <v>500</v>
      </c>
      <c r="H2711" s="12" t="n">
        <f aca="false">SUMPRODUCT(ПОТОКИ!B16:G16,ЧАСОВЫЕ_ПРОФИЛИ!B23:G23,КОЭФФИЦИЕНТЫ_ВЫБОРА!F14:K14)</f>
        <v>2.591</v>
      </c>
      <c r="I2711" s="12" t="n">
        <f aca="false">SUMPRODUCT(ПОТОКИ!B16:G16,ЧАСОВЫЕ_ПРОФИЛИ!B23:G23,КОЭФФИЦИЕНТЫ_ВЫБОРА!F14:K14,ПАРАМЕТРЫ!$B$17:$G$17)</f>
        <v>2.8501</v>
      </c>
      <c r="J2711" s="12" t="n">
        <f aca="false">I2711*G2711/1000</f>
        <v>1.42505</v>
      </c>
      <c r="K2711" s="11" t="s">
        <v>217</v>
      </c>
      <c r="L2711" s="11" t="s">
        <v>19</v>
      </c>
      <c r="M2711" s="11" t="s">
        <v>145</v>
      </c>
    </row>
    <row r="2712" customFormat="false" ht="15" hidden="false" customHeight="false" outlineLevel="0" collapsed="false">
      <c r="A2712" s="11" t="s">
        <v>112</v>
      </c>
      <c r="B2712" s="11" t="s">
        <v>136</v>
      </c>
      <c r="C2712" s="11" t="n">
        <v>5</v>
      </c>
      <c r="D2712" s="11" t="s">
        <v>78</v>
      </c>
      <c r="E2712" s="11" t="s">
        <v>157</v>
      </c>
      <c r="F2712" s="11" t="s">
        <v>77</v>
      </c>
      <c r="G2712" s="12" t="n">
        <v>100</v>
      </c>
      <c r="H2712" s="12" t="n">
        <f aca="false">SUMPRODUCT(ПОТОКИ!B16:G16,ЧАСОВЫЕ_ПРОФИЛИ!B23:G23,КОЭФФИЦИЕНТЫ_ВЫБОРА!F15:K15)</f>
        <v>0.974</v>
      </c>
      <c r="I2712" s="12" t="n">
        <f aca="false">SUMPRODUCT(ПОТОКИ!B16:G16,ЧАСОВЫЕ_ПРОФИЛИ!B23:G23,КОЭФФИЦИЕНТЫ_ВЫБОРА!F15:K15,ПАРАМЕТРЫ!$B$17:$G$17)</f>
        <v>1.0714</v>
      </c>
      <c r="J2712" s="12" t="n">
        <f aca="false">I2712*G2712/1000</f>
        <v>0.10714</v>
      </c>
      <c r="K2712" s="11" t="s">
        <v>217</v>
      </c>
      <c r="L2712" s="11" t="s">
        <v>19</v>
      </c>
      <c r="M2712" s="11" t="s">
        <v>147</v>
      </c>
    </row>
    <row r="2713" customFormat="false" ht="15" hidden="false" customHeight="false" outlineLevel="0" collapsed="false">
      <c r="A2713" s="11" t="s">
        <v>112</v>
      </c>
      <c r="B2713" s="11" t="s">
        <v>136</v>
      </c>
      <c r="C2713" s="11" t="n">
        <v>6</v>
      </c>
      <c r="D2713" s="11" t="s">
        <v>78</v>
      </c>
      <c r="E2713" s="11" t="s">
        <v>158</v>
      </c>
      <c r="F2713" s="11" t="s">
        <v>77</v>
      </c>
      <c r="G2713" s="12" t="n">
        <v>100</v>
      </c>
      <c r="H2713" s="12" t="n">
        <f aca="false">SUMPRODUCT(ПОТОКИ!B16:G16,ЧАСОВЫЕ_ПРОФИЛИ!B23:G23,КОЭФФИЦИЕНТЫ_ВЫБОРА!F16:K16)</f>
        <v>0.8335</v>
      </c>
      <c r="I2713" s="12" t="n">
        <f aca="false">SUMPRODUCT(ПОТОКИ!B16:G16,ЧАСОВЫЕ_ПРОФИЛИ!B23:G23,КОЭФФИЦИЕНТЫ_ВЫБОРА!F16:K16,ПАРАМЕТРЫ!$B$17:$G$17)</f>
        <v>0.91685</v>
      </c>
      <c r="J2713" s="12" t="n">
        <f aca="false">I2713*G2713/1000</f>
        <v>0.091685</v>
      </c>
      <c r="K2713" s="11" t="s">
        <v>217</v>
      </c>
      <c r="L2713" s="11" t="s">
        <v>19</v>
      </c>
      <c r="M2713" s="11" t="s">
        <v>147</v>
      </c>
    </row>
    <row r="2714" customFormat="false" ht="15" hidden="false" customHeight="false" outlineLevel="0" collapsed="false">
      <c r="A2714" s="11" t="s">
        <v>112</v>
      </c>
      <c r="B2714" s="11" t="s">
        <v>136</v>
      </c>
      <c r="C2714" s="11" t="n">
        <v>7</v>
      </c>
      <c r="D2714" s="11" t="s">
        <v>78</v>
      </c>
      <c r="E2714" s="11" t="s">
        <v>159</v>
      </c>
      <c r="F2714" s="11" t="s">
        <v>77</v>
      </c>
      <c r="G2714" s="12" t="n">
        <v>350</v>
      </c>
      <c r="H2714" s="12" t="n">
        <f aca="false">SUMPRODUCT(ПОТОКИ!B16:G16,ЧАСОВЫЕ_ПРОФИЛИ!B23:G23,КОЭФФИЦИЕНТЫ_ВЫБОРА!F17:K17)</f>
        <v>0.769</v>
      </c>
      <c r="I2714" s="12" t="n">
        <f aca="false">SUMPRODUCT(ПОТОКИ!B16:G16,ЧАСОВЫЕ_ПРОФИЛИ!B23:G23,КОЭФФИЦИЕНТЫ_ВЫБОРА!F17:K17,ПАРАМЕТРЫ!$B$17:$G$17)</f>
        <v>0.8459</v>
      </c>
      <c r="J2714" s="12" t="n">
        <f aca="false">I2714*G2714/1000</f>
        <v>0.296065</v>
      </c>
      <c r="K2714" s="11" t="s">
        <v>217</v>
      </c>
      <c r="L2714" s="11" t="s">
        <v>19</v>
      </c>
      <c r="M2714" s="11" t="s">
        <v>147</v>
      </c>
    </row>
    <row r="2715" customFormat="false" ht="15" hidden="false" customHeight="false" outlineLevel="0" collapsed="false">
      <c r="A2715" s="11" t="s">
        <v>112</v>
      </c>
      <c r="B2715" s="11" t="s">
        <v>136</v>
      </c>
      <c r="C2715" s="11" t="n">
        <v>8</v>
      </c>
      <c r="D2715" s="11" t="s">
        <v>78</v>
      </c>
      <c r="E2715" s="11" t="s">
        <v>160</v>
      </c>
      <c r="F2715" s="11" t="s">
        <v>77</v>
      </c>
      <c r="G2715" s="12" t="n">
        <v>85</v>
      </c>
      <c r="H2715" s="12" t="n">
        <f aca="false">SUMPRODUCT(ПОТОКИ!B16:G16,ЧАСОВЫЕ_ПРОФИЛИ!B23:G23,КОЭФФИЦИЕНТЫ_ВЫБОРА!F18:K18)</f>
        <v>0.4995</v>
      </c>
      <c r="I2715" s="12" t="n">
        <f aca="false">SUMPRODUCT(ПОТОКИ!B16:G16,ЧАСОВЫЕ_ПРОФИЛИ!B23:G23,КОЭФФИЦИЕНТЫ_ВЫБОРА!F18:K18,ПАРАМЕТРЫ!$B$17:$G$17)</f>
        <v>0.54945</v>
      </c>
      <c r="J2715" s="12" t="n">
        <f aca="false">I2715*G2715/1000</f>
        <v>0.04670325</v>
      </c>
      <c r="K2715" s="11" t="s">
        <v>217</v>
      </c>
      <c r="L2715" s="11" t="s">
        <v>19</v>
      </c>
      <c r="M2715" s="11" t="s">
        <v>147</v>
      </c>
    </row>
    <row r="2716" customFormat="false" ht="15" hidden="false" customHeight="false" outlineLevel="0" collapsed="false">
      <c r="A2716" s="11" t="s">
        <v>112</v>
      </c>
      <c r="B2716" s="11" t="s">
        <v>136</v>
      </c>
      <c r="C2716" s="11" t="n">
        <v>9</v>
      </c>
      <c r="D2716" s="11" t="s">
        <v>161</v>
      </c>
      <c r="E2716" s="11" t="s">
        <v>162</v>
      </c>
      <c r="F2716" s="11" t="s">
        <v>80</v>
      </c>
      <c r="G2716" s="12" t="n">
        <v>300</v>
      </c>
      <c r="H2716" s="12" t="n">
        <f aca="false">SUMPRODUCT(ПОТОКИ!B16:G16,ЧАСОВЫЕ_ПРОФИЛИ!B23:G23,КОЭФФИЦИЕНТЫ_ВЫБОРА!F19:K19)</f>
        <v>1.27</v>
      </c>
      <c r="I2716" s="12" t="n">
        <f aca="false">SUMPRODUCT(ПОТОКИ!B16:G16,ЧАСОВЫЕ_ПРОФИЛИ!B23:G23,КОЭФФИЦИЕНТЫ_ВЫБОРА!F19:K19,ПАРАМЕТРЫ!$B$17:$G$17)</f>
        <v>1.397</v>
      </c>
      <c r="J2716" s="12" t="n">
        <f aca="false">I2716*G2716/1000</f>
        <v>0.4191</v>
      </c>
      <c r="K2716" s="11" t="s">
        <v>217</v>
      </c>
      <c r="L2716" s="11" t="s">
        <v>19</v>
      </c>
      <c r="M2716" s="11" t="s">
        <v>145</v>
      </c>
    </row>
    <row r="2717" customFormat="false" ht="15" hidden="false" customHeight="false" outlineLevel="0" collapsed="false">
      <c r="A2717" s="11" t="s">
        <v>112</v>
      </c>
      <c r="B2717" s="11" t="s">
        <v>136</v>
      </c>
      <c r="C2717" s="11" t="n">
        <v>10</v>
      </c>
      <c r="D2717" s="11" t="s">
        <v>161</v>
      </c>
      <c r="E2717" s="11" t="s">
        <v>163</v>
      </c>
      <c r="F2717" s="11" t="s">
        <v>80</v>
      </c>
      <c r="G2717" s="12" t="n">
        <v>280</v>
      </c>
      <c r="H2717" s="12" t="n">
        <f aca="false">SUMPRODUCT(ПОТОКИ!B16:G16,ЧАСОВЫЕ_ПРОФИЛИ!B23:G23,КОЭФФИЦИЕНТЫ_ВЫБОРА!F20:K20)</f>
        <v>1.405</v>
      </c>
      <c r="I2717" s="12" t="n">
        <f aca="false">SUMPRODUCT(ПОТОКИ!B16:G16,ЧАСОВЫЕ_ПРОФИЛИ!B23:G23,КОЭФФИЦИЕНТЫ_ВЫБОРА!F20:K20,ПАРАМЕТРЫ!$B$17:$G$17)</f>
        <v>1.5455</v>
      </c>
      <c r="J2717" s="12" t="n">
        <f aca="false">I2717*G2717/1000</f>
        <v>0.43274</v>
      </c>
      <c r="K2717" s="11" t="s">
        <v>217</v>
      </c>
      <c r="L2717" s="11" t="s">
        <v>19</v>
      </c>
      <c r="M2717" s="11" t="s">
        <v>145</v>
      </c>
    </row>
    <row r="2718" customFormat="false" ht="15" hidden="false" customHeight="false" outlineLevel="0" collapsed="false">
      <c r="A2718" s="11" t="s">
        <v>112</v>
      </c>
      <c r="B2718" s="11" t="s">
        <v>136</v>
      </c>
      <c r="C2718" s="11" t="n">
        <v>11</v>
      </c>
      <c r="D2718" s="11" t="s">
        <v>161</v>
      </c>
      <c r="E2718" s="11" t="s">
        <v>164</v>
      </c>
      <c r="F2718" s="11" t="s">
        <v>80</v>
      </c>
      <c r="G2718" s="12" t="n">
        <v>270</v>
      </c>
      <c r="H2718" s="12" t="n">
        <f aca="false">SUMPRODUCT(ПОТОКИ!B16:G16,ЧАСОВЫЕ_ПРОФИЛИ!B23:G23,КОЭФФИЦИЕНТЫ_ВЫБОРА!F21:K21)</f>
        <v>2.25775</v>
      </c>
      <c r="I2718" s="12" t="n">
        <f aca="false">SUMPRODUCT(ПОТОКИ!B16:G16,ЧАСОВЫЕ_ПРОФИЛИ!B23:G23,КОЭФФИЦИЕНТЫ_ВЫБОРА!F21:K21,ПАРАМЕТРЫ!$B$17:$G$17)</f>
        <v>2.483525</v>
      </c>
      <c r="J2718" s="12" t="n">
        <f aca="false">I2718*G2718/1000</f>
        <v>0.67055175</v>
      </c>
      <c r="K2718" s="11" t="s">
        <v>217</v>
      </c>
      <c r="L2718" s="11" t="s">
        <v>19</v>
      </c>
      <c r="M2718" s="11" t="s">
        <v>145</v>
      </c>
    </row>
    <row r="2719" customFormat="false" ht="15" hidden="false" customHeight="false" outlineLevel="0" collapsed="false">
      <c r="A2719" s="11" t="s">
        <v>112</v>
      </c>
      <c r="B2719" s="11" t="s">
        <v>136</v>
      </c>
      <c r="C2719" s="11" t="n">
        <v>12</v>
      </c>
      <c r="D2719" s="11" t="s">
        <v>161</v>
      </c>
      <c r="E2719" s="11" t="s">
        <v>165</v>
      </c>
      <c r="F2719" s="11" t="s">
        <v>80</v>
      </c>
      <c r="G2719" s="12" t="n">
        <v>240</v>
      </c>
      <c r="H2719" s="12" t="n">
        <f aca="false">SUMPRODUCT(ПОТОКИ!B16:G16,ЧАСОВЫЕ_ПРОФИЛИ!B23:G23,КОЭФФИЦИЕНТЫ_ВЫБОРА!F22:K22)</f>
        <v>1.13225</v>
      </c>
      <c r="I2719" s="12" t="n">
        <f aca="false">SUMPRODUCT(ПОТОКИ!B16:G16,ЧАСОВЫЕ_ПРОФИЛИ!B23:G23,КОЭФФИЦИЕНТЫ_ВЫБОРА!F22:K22,ПАРАМЕТРЫ!$B$17:$G$17)</f>
        <v>1.245475</v>
      </c>
      <c r="J2719" s="12" t="n">
        <f aca="false">I2719*G2719/1000</f>
        <v>0.298914</v>
      </c>
      <c r="K2719" s="11" t="s">
        <v>217</v>
      </c>
      <c r="L2719" s="11" t="s">
        <v>19</v>
      </c>
      <c r="M2719" s="11" t="s">
        <v>145</v>
      </c>
    </row>
    <row r="2720" customFormat="false" ht="15" hidden="false" customHeight="false" outlineLevel="0" collapsed="false">
      <c r="A2720" s="11" t="s">
        <v>112</v>
      </c>
      <c r="B2720" s="11" t="s">
        <v>136</v>
      </c>
      <c r="C2720" s="11" t="n">
        <v>13</v>
      </c>
      <c r="D2720" s="11" t="s">
        <v>166</v>
      </c>
      <c r="E2720" s="11" t="s">
        <v>167</v>
      </c>
      <c r="F2720" s="11" t="s">
        <v>80</v>
      </c>
      <c r="G2720" s="12" t="n">
        <v>130</v>
      </c>
      <c r="H2720" s="12" t="n">
        <f aca="false">SUMPRODUCT(ПОТОКИ!B16:G16,ЧАСОВЫЕ_ПРОФИЛИ!B23:G23,КОЭФФИЦИЕНТЫ_ВЫБОРА!F23:K23)</f>
        <v>0.74</v>
      </c>
      <c r="I2720" s="12" t="n">
        <f aca="false">SUMPRODUCT(ПОТОКИ!B16:G16,ЧАСОВЫЕ_ПРОФИЛИ!B23:G23,КОЭФФИЦИЕНТЫ_ВЫБОРА!F23:K23,ПАРАМЕТРЫ!$B$17:$G$17)</f>
        <v>0.814</v>
      </c>
      <c r="J2720" s="12" t="n">
        <f aca="false">I2720*G2720/1000</f>
        <v>0.10582</v>
      </c>
      <c r="K2720" s="11" t="s">
        <v>217</v>
      </c>
      <c r="L2720" s="11" t="s">
        <v>19</v>
      </c>
      <c r="M2720" s="11" t="s">
        <v>145</v>
      </c>
    </row>
    <row r="2721" customFormat="false" ht="15" hidden="false" customHeight="false" outlineLevel="0" collapsed="false">
      <c r="A2721" s="11" t="s">
        <v>112</v>
      </c>
      <c r="B2721" s="11" t="s">
        <v>136</v>
      </c>
      <c r="C2721" s="11" t="n">
        <v>14</v>
      </c>
      <c r="D2721" s="11" t="s">
        <v>166</v>
      </c>
      <c r="E2721" s="11" t="s">
        <v>168</v>
      </c>
      <c r="F2721" s="11" t="s">
        <v>80</v>
      </c>
      <c r="G2721" s="12" t="n">
        <v>250</v>
      </c>
      <c r="H2721" s="12" t="n">
        <f aca="false">SUMPRODUCT(ПОТОКИ!B16:G16,ЧАСОВЫЕ_ПРОФИЛИ!B23:G23,КОЭФФИЦИЕНТЫ_ВЫБОРА!F24:K24)</f>
        <v>0.509</v>
      </c>
      <c r="I2721" s="12" t="n">
        <f aca="false">SUMPRODUCT(ПОТОКИ!B16:G16,ЧАСОВЫЕ_ПРОФИЛИ!B23:G23,КОЭФФИЦИЕНТЫ_ВЫБОРА!F24:K24,ПАРАМЕТРЫ!$B$17:$G$17)</f>
        <v>0.5599</v>
      </c>
      <c r="J2721" s="12" t="n">
        <f aca="false">I2721*G2721/1000</f>
        <v>0.139975</v>
      </c>
      <c r="K2721" s="11" t="s">
        <v>217</v>
      </c>
      <c r="L2721" s="11" t="s">
        <v>19</v>
      </c>
      <c r="M2721" s="11" t="s">
        <v>145</v>
      </c>
    </row>
    <row r="2722" customFormat="false" ht="15" hidden="false" customHeight="false" outlineLevel="0" collapsed="false">
      <c r="A2722" s="11" t="s">
        <v>112</v>
      </c>
      <c r="B2722" s="11" t="s">
        <v>136</v>
      </c>
      <c r="C2722" s="11" t="n">
        <v>15</v>
      </c>
      <c r="D2722" s="11" t="s">
        <v>166</v>
      </c>
      <c r="E2722" s="11" t="s">
        <v>169</v>
      </c>
      <c r="F2722" s="11" t="s">
        <v>80</v>
      </c>
      <c r="G2722" s="12" t="n">
        <v>120</v>
      </c>
      <c r="H2722" s="12" t="n">
        <f aca="false">SUMPRODUCT(ПОТОКИ!B16:G16,ЧАСОВЫЕ_ПРОФИЛИ!B23:G23,КОЭФФИЦИЕНТЫ_ВЫБОРА!F25:K25)</f>
        <v>0.434</v>
      </c>
      <c r="I2722" s="12" t="n">
        <f aca="false">SUMPRODUCT(ПОТОКИ!B16:G16,ЧАСОВЫЕ_ПРОФИЛИ!B23:G23,КОЭФФИЦИЕНТЫ_ВЫБОРА!F25:K25,ПАРАМЕТРЫ!$B$17:$G$17)</f>
        <v>0.4774</v>
      </c>
      <c r="J2722" s="12" t="n">
        <f aca="false">I2722*G2722/1000</f>
        <v>0.057288</v>
      </c>
      <c r="K2722" s="11" t="s">
        <v>217</v>
      </c>
      <c r="L2722" s="11" t="s">
        <v>19</v>
      </c>
      <c r="M2722" s="11" t="s">
        <v>145</v>
      </c>
    </row>
    <row r="2723" customFormat="false" ht="15" hidden="false" customHeight="false" outlineLevel="0" collapsed="false">
      <c r="A2723" s="11" t="s">
        <v>112</v>
      </c>
      <c r="B2723" s="11" t="s">
        <v>136</v>
      </c>
      <c r="C2723" s="11" t="n">
        <v>16</v>
      </c>
      <c r="D2723" s="11" t="s">
        <v>166</v>
      </c>
      <c r="E2723" s="11" t="s">
        <v>170</v>
      </c>
      <c r="F2723" s="11" t="s">
        <v>80</v>
      </c>
      <c r="G2723" s="12" t="n">
        <v>180</v>
      </c>
      <c r="H2723" s="12" t="n">
        <f aca="false">SUMPRODUCT(ПОТОКИ!B16:G16,ЧАСОВЫЕ_ПРОФИЛИ!B23:G23,КОЭФФИЦИЕНТЫ_ВЫБОРА!F26:K26)</f>
        <v>0.637</v>
      </c>
      <c r="I2723" s="12" t="n">
        <f aca="false">SUMPRODUCT(ПОТОКИ!B16:G16,ЧАСОВЫЕ_ПРОФИЛИ!B23:G23,КОЭФФИЦИЕНТЫ_ВЫБОРА!F26:K26,ПАРАМЕТРЫ!$B$17:$G$17)</f>
        <v>0.7007</v>
      </c>
      <c r="J2723" s="12" t="n">
        <f aca="false">I2723*G2723/1000</f>
        <v>0.126126</v>
      </c>
      <c r="K2723" s="11" t="s">
        <v>217</v>
      </c>
      <c r="L2723" s="11" t="s">
        <v>19</v>
      </c>
      <c r="M2723" s="11" t="s">
        <v>145</v>
      </c>
    </row>
    <row r="2724" customFormat="false" ht="15" hidden="false" customHeight="false" outlineLevel="0" collapsed="false">
      <c r="A2724" s="11" t="s">
        <v>112</v>
      </c>
      <c r="B2724" s="11" t="s">
        <v>136</v>
      </c>
      <c r="C2724" s="11" t="n">
        <v>17</v>
      </c>
      <c r="D2724" s="11" t="s">
        <v>166</v>
      </c>
      <c r="E2724" s="11" t="s">
        <v>171</v>
      </c>
      <c r="F2724" s="11" t="s">
        <v>80</v>
      </c>
      <c r="G2724" s="12" t="n">
        <v>180</v>
      </c>
      <c r="H2724" s="12" t="n">
        <f aca="false">SUMPRODUCT(ПОТОКИ!B16:G16,ЧАСОВЫЕ_ПРОФИЛИ!B23:G23,КОЭФФИЦИЕНТЫ_ВЫБОРА!F27:K27)</f>
        <v>0.74</v>
      </c>
      <c r="I2724" s="12" t="n">
        <f aca="false">SUMPRODUCT(ПОТОКИ!B16:G16,ЧАСОВЫЕ_ПРОФИЛИ!B23:G23,КОЭФФИЦИЕНТЫ_ВЫБОРА!F27:K27,ПАРАМЕТРЫ!$B$17:$G$17)</f>
        <v>0.814</v>
      </c>
      <c r="J2724" s="12" t="n">
        <f aca="false">I2724*G2724/1000</f>
        <v>0.14652</v>
      </c>
      <c r="K2724" s="11" t="s">
        <v>217</v>
      </c>
      <c r="L2724" s="11" t="s">
        <v>19</v>
      </c>
      <c r="M2724" s="11" t="s">
        <v>145</v>
      </c>
    </row>
    <row r="2725" customFormat="false" ht="15" hidden="false" customHeight="false" outlineLevel="0" collapsed="false">
      <c r="A2725" s="11" t="s">
        <v>112</v>
      </c>
      <c r="B2725" s="11" t="s">
        <v>136</v>
      </c>
      <c r="C2725" s="11" t="n">
        <v>18</v>
      </c>
      <c r="D2725" s="11" t="s">
        <v>172</v>
      </c>
      <c r="E2725" s="11" t="s">
        <v>173</v>
      </c>
      <c r="F2725" s="11" t="s">
        <v>83</v>
      </c>
      <c r="G2725" s="12" t="n">
        <v>400</v>
      </c>
      <c r="H2725" s="12" t="n">
        <f aca="false">SUMPRODUCT(ПОТОКИ!B16:G16,ЧАСОВЫЕ_ПРОФИЛИ!B23:G23,КОЭФФИЦИЕНТЫ_ВЫБОРА!F28:K28)</f>
        <v>1.28</v>
      </c>
      <c r="I2725" s="12" t="n">
        <f aca="false">SUMPRODUCT(ПОТОКИ!B16:G16,ЧАСОВЫЕ_ПРОФИЛИ!B23:G23,КОЭФФИЦИЕНТЫ_ВЫБОРА!F28:K28,ПАРАМЕТРЫ!$B$17:$G$17)</f>
        <v>1.408</v>
      </c>
      <c r="J2725" s="12" t="n">
        <f aca="false">I2725*G2725/1000</f>
        <v>0.5632</v>
      </c>
      <c r="K2725" s="11" t="s">
        <v>217</v>
      </c>
      <c r="L2725" s="11" t="s">
        <v>19</v>
      </c>
      <c r="M2725" s="11" t="s">
        <v>145</v>
      </c>
    </row>
    <row r="2726" customFormat="false" ht="23.85" hidden="false" customHeight="false" outlineLevel="0" collapsed="false">
      <c r="A2726" s="11" t="s">
        <v>112</v>
      </c>
      <c r="B2726" s="11" t="s">
        <v>136</v>
      </c>
      <c r="C2726" s="11" t="n">
        <v>19</v>
      </c>
      <c r="D2726" s="11" t="s">
        <v>174</v>
      </c>
      <c r="E2726" s="11" t="s">
        <v>175</v>
      </c>
      <c r="F2726" s="11" t="s">
        <v>83</v>
      </c>
      <c r="G2726" s="12" t="n">
        <v>300</v>
      </c>
      <c r="H2726" s="12" t="n">
        <f aca="false">SUMPRODUCT(ПОТОКИ!B16:G16,ЧАСОВЫЕ_ПРОФИЛИ!B23:G23,КОЭФФИЦИЕНТЫ_ВЫБОРА!F29:K29)</f>
        <v>3.4375</v>
      </c>
      <c r="I2726" s="12" t="n">
        <f aca="false">SUMPRODUCT(ПОТОКИ!B16:G16,ЧАСОВЫЕ_ПРОФИЛИ!B23:G23,КОЭФФИЦИЕНТЫ_ВЫБОРА!F29:K29,ПАРАМЕТРЫ!$B$17:$G$17)</f>
        <v>3.78125</v>
      </c>
      <c r="J2726" s="12" t="n">
        <f aca="false">I2726*G2726/1000</f>
        <v>1.134375</v>
      </c>
      <c r="K2726" s="11" t="s">
        <v>217</v>
      </c>
      <c r="L2726" s="11" t="s">
        <v>19</v>
      </c>
      <c r="M2726" s="11" t="s">
        <v>145</v>
      </c>
    </row>
    <row r="2727" customFormat="false" ht="15" hidden="false" customHeight="false" outlineLevel="0" collapsed="false">
      <c r="A2727" s="11" t="s">
        <v>112</v>
      </c>
      <c r="B2727" s="11" t="s">
        <v>136</v>
      </c>
      <c r="C2727" s="11" t="n">
        <v>20</v>
      </c>
      <c r="D2727" s="11" t="s">
        <v>174</v>
      </c>
      <c r="E2727" s="11" t="s">
        <v>176</v>
      </c>
      <c r="F2727" s="11" t="s">
        <v>83</v>
      </c>
      <c r="G2727" s="12" t="n">
        <v>360</v>
      </c>
      <c r="H2727" s="12" t="n">
        <f aca="false">SUMPRODUCT(ПОТОКИ!B16:G16,ЧАСОВЫЕ_ПРОФИЛИ!B23:G23,КОЭФФИЦИЕНТЫ_ВЫБОРА!F30:K30)</f>
        <v>2.989</v>
      </c>
      <c r="I2727" s="12" t="n">
        <f aca="false">SUMPRODUCT(ПОТОКИ!B16:G16,ЧАСОВЫЕ_ПРОФИЛИ!B23:G23,КОЭФФИЦИЕНТЫ_ВЫБОРА!F30:K30,ПАРАМЕТРЫ!$B$17:$G$17)</f>
        <v>3.2879</v>
      </c>
      <c r="J2727" s="12" t="n">
        <f aca="false">I2727*G2727/1000</f>
        <v>1.183644</v>
      </c>
      <c r="K2727" s="11" t="s">
        <v>217</v>
      </c>
      <c r="L2727" s="11" t="s">
        <v>19</v>
      </c>
      <c r="M2727" s="11" t="s">
        <v>145</v>
      </c>
    </row>
    <row r="2728" customFormat="false" ht="15" hidden="false" customHeight="false" outlineLevel="0" collapsed="false">
      <c r="A2728" s="11" t="s">
        <v>112</v>
      </c>
      <c r="B2728" s="11" t="s">
        <v>136</v>
      </c>
      <c r="C2728" s="11" t="n">
        <v>21</v>
      </c>
      <c r="D2728" s="11" t="s">
        <v>174</v>
      </c>
      <c r="E2728" s="11" t="s">
        <v>177</v>
      </c>
      <c r="F2728" s="11" t="s">
        <v>83</v>
      </c>
      <c r="G2728" s="12" t="n">
        <v>350</v>
      </c>
      <c r="H2728" s="12" t="n">
        <f aca="false">SUMPRODUCT(ПОТОКИ!B16:G16,ЧАСОВЫЕ_ПРОФИЛИ!B23:G23,КОЭФФИЦИЕНТЫ_ВЫБОРА!F31:K31)</f>
        <v>4.46725</v>
      </c>
      <c r="I2728" s="12" t="n">
        <f aca="false">SUMPRODUCT(ПОТОКИ!B16:G16,ЧАСОВЫЕ_ПРОФИЛИ!B23:G23,КОЭФФИЦИЕНТЫ_ВЫБОРА!F31:K31,ПАРАМЕТРЫ!$B$17:$G$17)</f>
        <v>4.913975</v>
      </c>
      <c r="J2728" s="12" t="n">
        <f aca="false">I2728*G2728/1000</f>
        <v>1.71989125</v>
      </c>
      <c r="K2728" s="11" t="s">
        <v>217</v>
      </c>
      <c r="L2728" s="11" t="s">
        <v>19</v>
      </c>
      <c r="M2728" s="11" t="s">
        <v>145</v>
      </c>
    </row>
    <row r="2729" customFormat="false" ht="15" hidden="false" customHeight="false" outlineLevel="0" collapsed="false">
      <c r="A2729" s="11" t="s">
        <v>112</v>
      </c>
      <c r="B2729" s="11" t="s">
        <v>136</v>
      </c>
      <c r="C2729" s="11" t="n">
        <v>22</v>
      </c>
      <c r="D2729" s="11" t="s">
        <v>174</v>
      </c>
      <c r="E2729" s="11" t="s">
        <v>178</v>
      </c>
      <c r="F2729" s="11" t="s">
        <v>83</v>
      </c>
      <c r="G2729" s="12" t="n">
        <v>300</v>
      </c>
      <c r="H2729" s="12" t="n">
        <f aca="false">SUMPRODUCT(ПОТОКИ!B16:G16,ЧАСОВЫЕ_ПРОФИЛИ!B23:G23,КОЭФФИЦИЕНТЫ_ВЫБОРА!F32:K32)</f>
        <v>3.15125</v>
      </c>
      <c r="I2729" s="12" t="n">
        <f aca="false">SUMPRODUCT(ПОТОКИ!B16:G16,ЧАСОВЫЕ_ПРОФИЛИ!B23:G23,КОЭФФИЦИЕНТЫ_ВЫБОРА!F32:K32,ПАРАМЕТРЫ!$B$17:$G$17)</f>
        <v>3.466375</v>
      </c>
      <c r="J2729" s="12" t="n">
        <f aca="false">I2729*G2729/1000</f>
        <v>1.0399125</v>
      </c>
      <c r="K2729" s="11" t="s">
        <v>217</v>
      </c>
      <c r="L2729" s="11" t="s">
        <v>19</v>
      </c>
      <c r="M2729" s="11" t="s">
        <v>145</v>
      </c>
    </row>
    <row r="2730" customFormat="false" ht="15" hidden="false" customHeight="false" outlineLevel="0" collapsed="false">
      <c r="A2730" s="11" t="s">
        <v>112</v>
      </c>
      <c r="B2730" s="11" t="s">
        <v>136</v>
      </c>
      <c r="C2730" s="11" t="n">
        <v>23</v>
      </c>
      <c r="D2730" s="11" t="s">
        <v>86</v>
      </c>
      <c r="E2730" s="11" t="s">
        <v>179</v>
      </c>
      <c r="F2730" s="11" t="s">
        <v>85</v>
      </c>
      <c r="G2730" s="12" t="n">
        <v>150</v>
      </c>
      <c r="H2730" s="12" t="n">
        <f aca="false">SUMPRODUCT(ПОТОКИ!B16:G16,ЧАСОВЫЕ_ПРОФИЛИ!B23:G23,КОЭФФИЦИЕНТЫ_ВЫБОРА!F33:K33)</f>
        <v>2.57472875</v>
      </c>
      <c r="I2730" s="12" t="n">
        <f aca="false">SUMPRODUCT(ПОТОКИ!B16:G16,ЧАСОВЫЕ_ПРОФИЛИ!B23:G23,КОЭФФИЦИЕНТЫ_ВЫБОРА!F33:K33,ПАРАМЕТРЫ!$B$17:$G$17)</f>
        <v>2.832201625</v>
      </c>
      <c r="J2730" s="12" t="n">
        <f aca="false">I2730*G2730/1000</f>
        <v>0.42483024375</v>
      </c>
      <c r="K2730" s="11" t="s">
        <v>217</v>
      </c>
      <c r="L2730" s="11" t="s">
        <v>19</v>
      </c>
      <c r="M2730" s="11" t="s">
        <v>147</v>
      </c>
    </row>
    <row r="2731" customFormat="false" ht="15" hidden="false" customHeight="false" outlineLevel="0" collapsed="false">
      <c r="A2731" s="11" t="s">
        <v>112</v>
      </c>
      <c r="B2731" s="11" t="s">
        <v>136</v>
      </c>
      <c r="C2731" s="11" t="n">
        <v>24</v>
      </c>
      <c r="D2731" s="11" t="s">
        <v>86</v>
      </c>
      <c r="E2731" s="11" t="s">
        <v>180</v>
      </c>
      <c r="F2731" s="11" t="s">
        <v>85</v>
      </c>
      <c r="G2731" s="12" t="n">
        <v>150</v>
      </c>
      <c r="H2731" s="12" t="n">
        <f aca="false">SUMPRODUCT(ПОТОКИ!B16:G16,ЧАСОВЫЕ_ПРОФИЛИ!B23:G23,КОЭФФИЦИЕНТЫ_ВЫБОРА!F34:K34)</f>
        <v>1.328005</v>
      </c>
      <c r="I2731" s="12" t="n">
        <f aca="false">SUMPRODUCT(ПОТОКИ!B16:G16,ЧАСОВЫЕ_ПРОФИЛИ!B23:G23,КОЭФФИЦИЕНТЫ_ВЫБОРА!F34:K34,ПАРАМЕТРЫ!$B$17:$G$17)</f>
        <v>1.4608055</v>
      </c>
      <c r="J2731" s="12" t="n">
        <f aca="false">I2731*G2731/1000</f>
        <v>0.219120825</v>
      </c>
      <c r="K2731" s="11" t="s">
        <v>217</v>
      </c>
      <c r="L2731" s="11" t="s">
        <v>19</v>
      </c>
      <c r="M2731" s="11" t="s">
        <v>147</v>
      </c>
    </row>
    <row r="2732" customFormat="false" ht="15" hidden="false" customHeight="false" outlineLevel="0" collapsed="false">
      <c r="A2732" s="11" t="s">
        <v>112</v>
      </c>
      <c r="B2732" s="11" t="s">
        <v>136</v>
      </c>
      <c r="C2732" s="11" t="n">
        <v>25</v>
      </c>
      <c r="D2732" s="11" t="s">
        <v>86</v>
      </c>
      <c r="E2732" s="11" t="s">
        <v>181</v>
      </c>
      <c r="F2732" s="11" t="s">
        <v>85</v>
      </c>
      <c r="G2732" s="12" t="n">
        <v>150</v>
      </c>
      <c r="H2732" s="12" t="n">
        <f aca="false">SUMPRODUCT(ПОТОКИ!B16:G16,ЧАСОВЫЕ_ПРОФИЛИ!B23:G23,КОЭФФИЦИЕНТЫ_ВЫБОРА!F35:K35)</f>
        <v>2.73729125</v>
      </c>
      <c r="I2732" s="12" t="n">
        <f aca="false">SUMPRODUCT(ПОТОКИ!B16:G16,ЧАСОВЫЕ_ПРОФИЛИ!B23:G23,КОЭФФИЦИЕНТЫ_ВЫБОРА!F35:K35,ПАРАМЕТРЫ!$B$17:$G$17)</f>
        <v>3.011020375</v>
      </c>
      <c r="J2732" s="12" t="n">
        <f aca="false">I2732*G2732/1000</f>
        <v>0.45165305625</v>
      </c>
      <c r="K2732" s="11" t="s">
        <v>217</v>
      </c>
      <c r="L2732" s="11" t="s">
        <v>19</v>
      </c>
      <c r="M2732" s="11" t="s">
        <v>147</v>
      </c>
    </row>
    <row r="2733" customFormat="false" ht="23.85" hidden="false" customHeight="false" outlineLevel="0" collapsed="false">
      <c r="A2733" s="11" t="s">
        <v>112</v>
      </c>
      <c r="B2733" s="11" t="s">
        <v>136</v>
      </c>
      <c r="C2733" s="11" t="n">
        <v>26</v>
      </c>
      <c r="D2733" s="11" t="s">
        <v>89</v>
      </c>
      <c r="E2733" s="11" t="s">
        <v>182</v>
      </c>
      <c r="F2733" s="11" t="s">
        <v>88</v>
      </c>
      <c r="G2733" s="12" t="n">
        <v>225</v>
      </c>
      <c r="H2733" s="12" t="n">
        <f aca="false">SUMPRODUCT(ПОТОКИ!B16:G16,ЧАСОВЫЕ_ПРОФИЛИ!B23:G23,КОЭФФИЦИЕНТЫ_ВЫБОРА!F36:K36)</f>
        <v>0</v>
      </c>
      <c r="I2733" s="12" t="n">
        <f aca="false">SUMPRODUCT(ПОТОКИ!B16:G16,ЧАСОВЫЕ_ПРОФИЛИ!B23:G23,КОЭФФИЦИЕНТЫ_ВЫБОРА!F36:K36,ПАРАМЕТРЫ!$B$17:$G$17)</f>
        <v>0</v>
      </c>
      <c r="J2733" s="12" t="n">
        <f aca="false">I2733*G2733/1000</f>
        <v>0</v>
      </c>
      <c r="K2733" s="11" t="s">
        <v>217</v>
      </c>
      <c r="L2733" s="11" t="s">
        <v>19</v>
      </c>
      <c r="M2733" s="11" t="s">
        <v>145</v>
      </c>
    </row>
    <row r="2734" customFormat="false" ht="23.85" hidden="false" customHeight="false" outlineLevel="0" collapsed="false">
      <c r="A2734" s="11" t="s">
        <v>112</v>
      </c>
      <c r="B2734" s="11" t="s">
        <v>136</v>
      </c>
      <c r="C2734" s="11" t="n">
        <v>27</v>
      </c>
      <c r="D2734" s="11" t="s">
        <v>89</v>
      </c>
      <c r="E2734" s="11" t="s">
        <v>183</v>
      </c>
      <c r="F2734" s="11" t="s">
        <v>88</v>
      </c>
      <c r="G2734" s="12" t="n">
        <v>265</v>
      </c>
      <c r="H2734" s="12" t="n">
        <f aca="false">SUMPRODUCT(ПОТОКИ!B16:G16,ЧАСОВЫЕ_ПРОФИЛИ!B23:G23,КОЭФФИЦИЕНТЫ_ВЫБОРА!F37:K37)</f>
        <v>0</v>
      </c>
      <c r="I2734" s="12" t="n">
        <f aca="false">SUMPRODUCT(ПОТОКИ!B16:G16,ЧАСОВЫЕ_ПРОФИЛИ!B23:G23,КОЭФФИЦИЕНТЫ_ВЫБОРА!F37:K37,ПАРАМЕТРЫ!$B$17:$G$17)</f>
        <v>0</v>
      </c>
      <c r="J2734" s="12" t="n">
        <f aca="false">I2734*G2734/1000</f>
        <v>0</v>
      </c>
      <c r="K2734" s="11" t="s">
        <v>217</v>
      </c>
      <c r="L2734" s="11" t="s">
        <v>19</v>
      </c>
      <c r="M2734" s="11" t="s">
        <v>145</v>
      </c>
    </row>
    <row r="2735" customFormat="false" ht="23.85" hidden="false" customHeight="false" outlineLevel="0" collapsed="false">
      <c r="A2735" s="11" t="s">
        <v>112</v>
      </c>
      <c r="B2735" s="11" t="s">
        <v>136</v>
      </c>
      <c r="C2735" s="11" t="n">
        <v>28</v>
      </c>
      <c r="D2735" s="11" t="s">
        <v>89</v>
      </c>
      <c r="E2735" s="11" t="s">
        <v>184</v>
      </c>
      <c r="F2735" s="11" t="s">
        <v>88</v>
      </c>
      <c r="G2735" s="12" t="n">
        <v>355</v>
      </c>
      <c r="H2735" s="12" t="n">
        <f aca="false">SUMPRODUCT(ПОТОКИ!B16:G16,ЧАСОВЫЕ_ПРОФИЛИ!B23:G23,КОЭФФИЦИЕНТЫ_ВЫБОРА!F38:K38)</f>
        <v>0</v>
      </c>
      <c r="I2735" s="12" t="n">
        <f aca="false">SUMPRODUCT(ПОТОКИ!B16:G16,ЧАСОВЫЕ_ПРОФИЛИ!B23:G23,КОЭФФИЦИЕНТЫ_ВЫБОРА!F38:K38,ПАРАМЕТРЫ!$B$17:$G$17)</f>
        <v>0</v>
      </c>
      <c r="J2735" s="12" t="n">
        <f aca="false">I2735*G2735/1000</f>
        <v>0</v>
      </c>
      <c r="K2735" s="11" t="s">
        <v>217</v>
      </c>
      <c r="L2735" s="11" t="s">
        <v>19</v>
      </c>
      <c r="M2735" s="11" t="s">
        <v>145</v>
      </c>
    </row>
    <row r="2736" customFormat="false" ht="15" hidden="false" customHeight="false" outlineLevel="0" collapsed="false">
      <c r="A2736" s="11" t="s">
        <v>112</v>
      </c>
      <c r="B2736" s="11" t="s">
        <v>136</v>
      </c>
      <c r="C2736" s="11" t="n">
        <v>29</v>
      </c>
      <c r="D2736" s="11" t="s">
        <v>92</v>
      </c>
      <c r="E2736" s="11" t="s">
        <v>185</v>
      </c>
      <c r="F2736" s="11" t="s">
        <v>91</v>
      </c>
      <c r="G2736" s="12" t="n">
        <v>150</v>
      </c>
      <c r="H2736" s="12" t="n">
        <f aca="false">SUMPRODUCT(ПОТОКИ!B16:G16,ЧАСОВЫЕ_ПРОФИЛИ!B23:G23,КОЭФФИЦИЕНТЫ_ВЫБОРА!F39:K39)</f>
        <v>0.894</v>
      </c>
      <c r="I2736" s="12" t="n">
        <f aca="false">SUMPRODUCT(ПОТОКИ!B16:G16,ЧАСОВЫЕ_ПРОФИЛИ!B23:G23,КОЭФФИЦИЕНТЫ_ВЫБОРА!F39:K39,ПАРАМЕТРЫ!$B$17:$G$17)</f>
        <v>0.9834</v>
      </c>
      <c r="J2736" s="12" t="n">
        <f aca="false">I2736*G2736/1000</f>
        <v>0.14751</v>
      </c>
      <c r="K2736" s="11" t="s">
        <v>217</v>
      </c>
      <c r="L2736" s="11" t="s">
        <v>19</v>
      </c>
      <c r="M2736" s="11" t="s">
        <v>145</v>
      </c>
    </row>
    <row r="2737" customFormat="false" ht="15" hidden="false" customHeight="false" outlineLevel="0" collapsed="false">
      <c r="A2737" s="11" t="s">
        <v>112</v>
      </c>
      <c r="B2737" s="11" t="s">
        <v>136</v>
      </c>
      <c r="C2737" s="11" t="n">
        <v>30</v>
      </c>
      <c r="D2737" s="11" t="s">
        <v>92</v>
      </c>
      <c r="E2737" s="11" t="s">
        <v>186</v>
      </c>
      <c r="F2737" s="11" t="s">
        <v>91</v>
      </c>
      <c r="G2737" s="12" t="n">
        <v>120</v>
      </c>
      <c r="H2737" s="12" t="n">
        <f aca="false">SUMPRODUCT(ПОТОКИ!B16:G16,ЧАСОВЫЕ_ПРОФИЛИ!B23:G23,КОЭФФИЦИЕНТЫ_ВЫБОРА!F40:K40)</f>
        <v>1.144</v>
      </c>
      <c r="I2737" s="12" t="n">
        <f aca="false">SUMPRODUCT(ПОТОКИ!B16:G16,ЧАСОВЫЕ_ПРОФИЛИ!B23:G23,КОЭФФИЦИЕНТЫ_ВЫБОРА!F40:K40,ПАРАМЕТРЫ!$B$17:$G$17)</f>
        <v>1.2584</v>
      </c>
      <c r="J2737" s="12" t="n">
        <f aca="false">I2737*G2737/1000</f>
        <v>0.151008</v>
      </c>
      <c r="K2737" s="11" t="s">
        <v>217</v>
      </c>
      <c r="L2737" s="11" t="s">
        <v>19</v>
      </c>
      <c r="M2737" s="11" t="s">
        <v>145</v>
      </c>
    </row>
    <row r="2738" customFormat="false" ht="15" hidden="false" customHeight="false" outlineLevel="0" collapsed="false">
      <c r="A2738" s="11" t="s">
        <v>112</v>
      </c>
      <c r="B2738" s="11" t="s">
        <v>136</v>
      </c>
      <c r="C2738" s="11" t="n">
        <v>31</v>
      </c>
      <c r="D2738" s="11" t="s">
        <v>92</v>
      </c>
      <c r="E2738" s="11" t="s">
        <v>187</v>
      </c>
      <c r="F2738" s="11" t="s">
        <v>91</v>
      </c>
      <c r="G2738" s="12" t="n">
        <v>60</v>
      </c>
      <c r="H2738" s="12" t="n">
        <f aca="false">SUMPRODUCT(ПОТОКИ!B16:G16,ЧАСОВЫЕ_ПРОФИЛИ!B23:G23,КОЭФФИЦИЕНТЫ_ВЫБОРА!F41:K41)</f>
        <v>0.552</v>
      </c>
      <c r="I2738" s="12" t="n">
        <f aca="false">SUMPRODUCT(ПОТОКИ!B16:G16,ЧАСОВЫЕ_ПРОФИЛИ!B23:G23,КОЭФФИЦИЕНТЫ_ВЫБОРА!F41:K41,ПАРАМЕТРЫ!$B$17:$G$17)</f>
        <v>0.6072</v>
      </c>
      <c r="J2738" s="12" t="n">
        <f aca="false">I2738*G2738/1000</f>
        <v>0.036432</v>
      </c>
      <c r="K2738" s="11" t="s">
        <v>217</v>
      </c>
      <c r="L2738" s="11" t="s">
        <v>19</v>
      </c>
      <c r="M2738" s="11" t="s">
        <v>145</v>
      </c>
    </row>
    <row r="2739" customFormat="false" ht="15" hidden="false" customHeight="false" outlineLevel="0" collapsed="false">
      <c r="A2739" s="11" t="s">
        <v>112</v>
      </c>
      <c r="B2739" s="11" t="s">
        <v>137</v>
      </c>
      <c r="C2739" s="11" t="n">
        <v>1</v>
      </c>
      <c r="D2739" s="11" t="s">
        <v>74</v>
      </c>
      <c r="E2739" s="11" t="s">
        <v>153</v>
      </c>
      <c r="F2739" s="11" t="s">
        <v>73</v>
      </c>
      <c r="G2739" s="12" t="n">
        <v>450</v>
      </c>
      <c r="H2739" s="12" t="n">
        <f aca="false">SUMPRODUCT(ПОТОКИ!B16:G16,ЧАСОВЫЕ_ПРОФИЛИ!B24:G24,КОЭФФИЦИЕНТЫ_ВЫБОРА!F11:K11)</f>
        <v>0.999</v>
      </c>
      <c r="I2739" s="12" t="n">
        <f aca="false">SUMPRODUCT(ПОТОКИ!B16:G16,ЧАСОВЫЕ_ПРОФИЛИ!B24:G24,КОЭФФИЦИЕНТЫ_ВЫБОРА!F11:K11,ПАРАМЕТРЫ!$B$17:$G$17)</f>
        <v>1.0989</v>
      </c>
      <c r="J2739" s="12" t="n">
        <f aca="false">I2739*G2739/1000</f>
        <v>0.494505</v>
      </c>
      <c r="K2739" s="11" t="s">
        <v>217</v>
      </c>
      <c r="L2739" s="11" t="s">
        <v>19</v>
      </c>
      <c r="M2739" s="11" t="s">
        <v>145</v>
      </c>
    </row>
    <row r="2740" customFormat="false" ht="15" hidden="false" customHeight="false" outlineLevel="0" collapsed="false">
      <c r="A2740" s="11" t="s">
        <v>112</v>
      </c>
      <c r="B2740" s="11" t="s">
        <v>137</v>
      </c>
      <c r="C2740" s="11" t="n">
        <v>2</v>
      </c>
      <c r="D2740" s="11" t="s">
        <v>74</v>
      </c>
      <c r="E2740" s="11" t="s">
        <v>154</v>
      </c>
      <c r="F2740" s="11" t="s">
        <v>73</v>
      </c>
      <c r="G2740" s="12" t="n">
        <v>480</v>
      </c>
      <c r="H2740" s="12" t="n">
        <f aca="false">SUMPRODUCT(ПОТОКИ!B16:G16,ЧАСОВЫЕ_ПРОФИЛИ!B24:G24,КОЭФФИЦИЕНТЫ_ВЫБОРА!F12:K12)</f>
        <v>1.633</v>
      </c>
      <c r="I2740" s="12" t="n">
        <f aca="false">SUMPRODUCT(ПОТОКИ!B16:G16,ЧАСОВЫЕ_ПРОФИЛИ!B24:G24,КОЭФФИЦИЕНТЫ_ВЫБОРА!F12:K12,ПАРАМЕТРЫ!$B$17:$G$17)</f>
        <v>1.7963</v>
      </c>
      <c r="J2740" s="12" t="n">
        <f aca="false">I2740*G2740/1000</f>
        <v>0.862224</v>
      </c>
      <c r="K2740" s="11" t="s">
        <v>217</v>
      </c>
      <c r="L2740" s="11" t="s">
        <v>19</v>
      </c>
      <c r="M2740" s="11" t="s">
        <v>145</v>
      </c>
    </row>
    <row r="2741" customFormat="false" ht="15" hidden="false" customHeight="false" outlineLevel="0" collapsed="false">
      <c r="A2741" s="11" t="s">
        <v>112</v>
      </c>
      <c r="B2741" s="11" t="s">
        <v>137</v>
      </c>
      <c r="C2741" s="11" t="n">
        <v>3</v>
      </c>
      <c r="D2741" s="11" t="s">
        <v>74</v>
      </c>
      <c r="E2741" s="11" t="s">
        <v>155</v>
      </c>
      <c r="F2741" s="11" t="s">
        <v>73</v>
      </c>
      <c r="G2741" s="12" t="n">
        <v>500</v>
      </c>
      <c r="H2741" s="12" t="n">
        <f aca="false">SUMPRODUCT(ПОТОКИ!B16:G16,ЧАСОВЫЕ_ПРОФИЛИ!B24:G24,КОЭФФИЦИЕНТЫ_ВЫБОРА!F13:K13)</f>
        <v>2.412</v>
      </c>
      <c r="I2741" s="12" t="n">
        <f aca="false">SUMPRODUCT(ПОТОКИ!B16:G16,ЧАСОВЫЕ_ПРОФИЛИ!B24:G24,КОЭФФИЦИЕНТЫ_ВЫБОРА!F13:K13,ПАРАМЕТРЫ!$B$17:$G$17)</f>
        <v>2.6532</v>
      </c>
      <c r="J2741" s="12" t="n">
        <f aca="false">I2741*G2741/1000</f>
        <v>1.3266</v>
      </c>
      <c r="K2741" s="11" t="s">
        <v>217</v>
      </c>
      <c r="L2741" s="11" t="s">
        <v>19</v>
      </c>
      <c r="M2741" s="11" t="s">
        <v>145</v>
      </c>
    </row>
    <row r="2742" customFormat="false" ht="15" hidden="false" customHeight="false" outlineLevel="0" collapsed="false">
      <c r="A2742" s="11" t="s">
        <v>112</v>
      </c>
      <c r="B2742" s="11" t="s">
        <v>137</v>
      </c>
      <c r="C2742" s="11" t="n">
        <v>4</v>
      </c>
      <c r="D2742" s="11" t="s">
        <v>74</v>
      </c>
      <c r="E2742" s="11" t="s">
        <v>156</v>
      </c>
      <c r="F2742" s="11" t="s">
        <v>73</v>
      </c>
      <c r="G2742" s="12" t="n">
        <v>500</v>
      </c>
      <c r="H2742" s="12" t="n">
        <f aca="false">SUMPRODUCT(ПОТОКИ!B16:G16,ЧАСОВЫЕ_ПРОФИЛИ!B24:G24,КОЭФФИЦИЕНТЫ_ВЫБОРА!F14:K14)</f>
        <v>3.046</v>
      </c>
      <c r="I2742" s="12" t="n">
        <f aca="false">SUMPRODUCT(ПОТОКИ!B16:G16,ЧАСОВЫЕ_ПРОФИЛИ!B24:G24,КОЭФФИЦИЕНТЫ_ВЫБОРА!F14:K14,ПАРАМЕТРЫ!$B$17:$G$17)</f>
        <v>3.3506</v>
      </c>
      <c r="J2742" s="12" t="n">
        <f aca="false">I2742*G2742/1000</f>
        <v>1.6753</v>
      </c>
      <c r="K2742" s="11" t="s">
        <v>217</v>
      </c>
      <c r="L2742" s="11" t="s">
        <v>19</v>
      </c>
      <c r="M2742" s="11" t="s">
        <v>145</v>
      </c>
    </row>
    <row r="2743" customFormat="false" ht="15" hidden="false" customHeight="false" outlineLevel="0" collapsed="false">
      <c r="A2743" s="11" t="s">
        <v>112</v>
      </c>
      <c r="B2743" s="11" t="s">
        <v>137</v>
      </c>
      <c r="C2743" s="11" t="n">
        <v>5</v>
      </c>
      <c r="D2743" s="11" t="s">
        <v>78</v>
      </c>
      <c r="E2743" s="11" t="s">
        <v>157</v>
      </c>
      <c r="F2743" s="11" t="s">
        <v>77</v>
      </c>
      <c r="G2743" s="12" t="n">
        <v>100</v>
      </c>
      <c r="H2743" s="12" t="n">
        <f aca="false">SUMPRODUCT(ПОТОКИ!B16:G16,ЧАСОВЫЕ_ПРОФИЛИ!B24:G24,КОЭФФИЦИЕНТЫ_ВЫБОРА!F15:K15)</f>
        <v>1.027</v>
      </c>
      <c r="I2743" s="12" t="n">
        <f aca="false">SUMPRODUCT(ПОТОКИ!B16:G16,ЧАСОВЫЕ_ПРОФИЛИ!B24:G24,КОЭФФИЦИЕНТЫ_ВЫБОРА!F15:K15,ПАРАМЕТРЫ!$B$17:$G$17)</f>
        <v>1.1297</v>
      </c>
      <c r="J2743" s="12" t="n">
        <f aca="false">I2743*G2743/1000</f>
        <v>0.11297</v>
      </c>
      <c r="K2743" s="11" t="s">
        <v>217</v>
      </c>
      <c r="L2743" s="11" t="s">
        <v>19</v>
      </c>
      <c r="M2743" s="11" t="s">
        <v>147</v>
      </c>
    </row>
    <row r="2744" customFormat="false" ht="15" hidden="false" customHeight="false" outlineLevel="0" collapsed="false">
      <c r="A2744" s="11" t="s">
        <v>112</v>
      </c>
      <c r="B2744" s="11" t="s">
        <v>137</v>
      </c>
      <c r="C2744" s="11" t="n">
        <v>6</v>
      </c>
      <c r="D2744" s="11" t="s">
        <v>78</v>
      </c>
      <c r="E2744" s="11" t="s">
        <v>158</v>
      </c>
      <c r="F2744" s="11" t="s">
        <v>77</v>
      </c>
      <c r="G2744" s="12" t="n">
        <v>100</v>
      </c>
      <c r="H2744" s="12" t="n">
        <f aca="false">SUMPRODUCT(ПОТОКИ!B16:G16,ЧАСОВЫЕ_ПРОФИЛИ!B24:G24,КОЭФФИЦИЕНТЫ_ВЫБОРА!F16:K16)</f>
        <v>0.852</v>
      </c>
      <c r="I2744" s="12" t="n">
        <f aca="false">SUMPRODUCT(ПОТОКИ!B16:G16,ЧАСОВЫЕ_ПРОФИЛИ!B24:G24,КОЭФФИЦИЕНТЫ_ВЫБОРА!F16:K16,ПАРАМЕТРЫ!$B$17:$G$17)</f>
        <v>0.9372</v>
      </c>
      <c r="J2744" s="12" t="n">
        <f aca="false">I2744*G2744/1000</f>
        <v>0.09372</v>
      </c>
      <c r="K2744" s="11" t="s">
        <v>217</v>
      </c>
      <c r="L2744" s="11" t="s">
        <v>19</v>
      </c>
      <c r="M2744" s="11" t="s">
        <v>147</v>
      </c>
    </row>
    <row r="2745" customFormat="false" ht="15" hidden="false" customHeight="false" outlineLevel="0" collapsed="false">
      <c r="A2745" s="11" t="s">
        <v>112</v>
      </c>
      <c r="B2745" s="11" t="s">
        <v>137</v>
      </c>
      <c r="C2745" s="11" t="n">
        <v>7</v>
      </c>
      <c r="D2745" s="11" t="s">
        <v>78</v>
      </c>
      <c r="E2745" s="11" t="s">
        <v>159</v>
      </c>
      <c r="F2745" s="11" t="s">
        <v>77</v>
      </c>
      <c r="G2745" s="12" t="n">
        <v>350</v>
      </c>
      <c r="H2745" s="12" t="n">
        <f aca="false">SUMPRODUCT(ПОТОКИ!B16:G16,ЧАСОВЫЕ_ПРОФИЛИ!B24:G24,КОЭФФИЦИЕНТЫ_ВЫБОРА!F17:K17)</f>
        <v>0.8025</v>
      </c>
      <c r="I2745" s="12" t="n">
        <f aca="false">SUMPRODUCT(ПОТОКИ!B16:G16,ЧАСОВЫЕ_ПРОФИЛИ!B24:G24,КОЭФФИЦИЕНТЫ_ВЫБОРА!F17:K17,ПАРАМЕТРЫ!$B$17:$G$17)</f>
        <v>0.88275</v>
      </c>
      <c r="J2745" s="12" t="n">
        <f aca="false">I2745*G2745/1000</f>
        <v>0.3089625</v>
      </c>
      <c r="K2745" s="11" t="s">
        <v>217</v>
      </c>
      <c r="L2745" s="11" t="s">
        <v>19</v>
      </c>
      <c r="M2745" s="11" t="s">
        <v>147</v>
      </c>
    </row>
    <row r="2746" customFormat="false" ht="15" hidden="false" customHeight="false" outlineLevel="0" collapsed="false">
      <c r="A2746" s="11" t="s">
        <v>112</v>
      </c>
      <c r="B2746" s="11" t="s">
        <v>137</v>
      </c>
      <c r="C2746" s="11" t="n">
        <v>8</v>
      </c>
      <c r="D2746" s="11" t="s">
        <v>78</v>
      </c>
      <c r="E2746" s="11" t="s">
        <v>160</v>
      </c>
      <c r="F2746" s="11" t="s">
        <v>77</v>
      </c>
      <c r="G2746" s="12" t="n">
        <v>85</v>
      </c>
      <c r="H2746" s="12" t="n">
        <f aca="false">SUMPRODUCT(ПОТОКИ!B16:G16,ЧАСОВЫЕ_ПРОФИЛИ!B24:G24,КОЭФФИЦИЕНТЫ_ВЫБОРА!F18:K18)</f>
        <v>0.5285</v>
      </c>
      <c r="I2746" s="12" t="n">
        <f aca="false">SUMPRODUCT(ПОТОКИ!B16:G16,ЧАСОВЫЕ_ПРОФИЛИ!B24:G24,КОЭФФИЦИЕНТЫ_ВЫБОРА!F18:K18,ПАРАМЕТРЫ!$B$17:$G$17)</f>
        <v>0.58135</v>
      </c>
      <c r="J2746" s="12" t="n">
        <f aca="false">I2746*G2746/1000</f>
        <v>0.04941475</v>
      </c>
      <c r="K2746" s="11" t="s">
        <v>217</v>
      </c>
      <c r="L2746" s="11" t="s">
        <v>19</v>
      </c>
      <c r="M2746" s="11" t="s">
        <v>147</v>
      </c>
    </row>
    <row r="2747" customFormat="false" ht="15" hidden="false" customHeight="false" outlineLevel="0" collapsed="false">
      <c r="A2747" s="11" t="s">
        <v>112</v>
      </c>
      <c r="B2747" s="11" t="s">
        <v>137</v>
      </c>
      <c r="C2747" s="11" t="n">
        <v>9</v>
      </c>
      <c r="D2747" s="11" t="s">
        <v>161</v>
      </c>
      <c r="E2747" s="11" t="s">
        <v>162</v>
      </c>
      <c r="F2747" s="11" t="s">
        <v>80</v>
      </c>
      <c r="G2747" s="12" t="n">
        <v>300</v>
      </c>
      <c r="H2747" s="12" t="n">
        <f aca="false">SUMPRODUCT(ПОТОКИ!B16:G16,ЧАСОВЫЕ_ПРОФИЛИ!B24:G24,КОЭФФИЦИЕНТЫ_ВЫБОРА!F19:K19)</f>
        <v>1.563</v>
      </c>
      <c r="I2747" s="12" t="n">
        <f aca="false">SUMPRODUCT(ПОТОКИ!B16:G16,ЧАСОВЫЕ_ПРОФИЛИ!B24:G24,КОЭФФИЦИЕНТЫ_ВЫБОРА!F19:K19,ПАРАМЕТРЫ!$B$17:$G$17)</f>
        <v>1.7193</v>
      </c>
      <c r="J2747" s="12" t="n">
        <f aca="false">I2747*G2747/1000</f>
        <v>0.51579</v>
      </c>
      <c r="K2747" s="11" t="s">
        <v>217</v>
      </c>
      <c r="L2747" s="11" t="s">
        <v>19</v>
      </c>
      <c r="M2747" s="11" t="s">
        <v>145</v>
      </c>
    </row>
    <row r="2748" customFormat="false" ht="15" hidden="false" customHeight="false" outlineLevel="0" collapsed="false">
      <c r="A2748" s="11" t="s">
        <v>112</v>
      </c>
      <c r="B2748" s="11" t="s">
        <v>137</v>
      </c>
      <c r="C2748" s="11" t="n">
        <v>10</v>
      </c>
      <c r="D2748" s="11" t="s">
        <v>161</v>
      </c>
      <c r="E2748" s="11" t="s">
        <v>163</v>
      </c>
      <c r="F2748" s="11" t="s">
        <v>80</v>
      </c>
      <c r="G2748" s="12" t="n">
        <v>280</v>
      </c>
      <c r="H2748" s="12" t="n">
        <f aca="false">SUMPRODUCT(ПОТОКИ!B16:G16,ЧАСОВЫЕ_ПРОФИЛИ!B24:G24,КОЭФФИЦИЕНТЫ_ВЫБОРА!F20:K20)</f>
        <v>1.716</v>
      </c>
      <c r="I2748" s="12" t="n">
        <f aca="false">SUMPRODUCT(ПОТОКИ!B16:G16,ЧАСОВЫЕ_ПРОФИЛИ!B24:G24,КОЭФФИЦИЕНТЫ_ВЫБОРА!F20:K20,ПАРАМЕТРЫ!$B$17:$G$17)</f>
        <v>1.8876</v>
      </c>
      <c r="J2748" s="12" t="n">
        <f aca="false">I2748*G2748/1000</f>
        <v>0.528528</v>
      </c>
      <c r="K2748" s="11" t="s">
        <v>217</v>
      </c>
      <c r="L2748" s="11" t="s">
        <v>19</v>
      </c>
      <c r="M2748" s="11" t="s">
        <v>145</v>
      </c>
    </row>
    <row r="2749" customFormat="false" ht="15" hidden="false" customHeight="false" outlineLevel="0" collapsed="false">
      <c r="A2749" s="11" t="s">
        <v>112</v>
      </c>
      <c r="B2749" s="11" t="s">
        <v>137</v>
      </c>
      <c r="C2749" s="11" t="n">
        <v>11</v>
      </c>
      <c r="D2749" s="11" t="s">
        <v>161</v>
      </c>
      <c r="E2749" s="11" t="s">
        <v>164</v>
      </c>
      <c r="F2749" s="11" t="s">
        <v>80</v>
      </c>
      <c r="G2749" s="12" t="n">
        <v>270</v>
      </c>
      <c r="H2749" s="12" t="n">
        <f aca="false">SUMPRODUCT(ПОТОКИ!B16:G16,ЧАСОВЫЕ_ПРОФИЛИ!B24:G24,КОЭФФИЦИЕНТЫ_ВЫБОРА!F21:K21)</f>
        <v>2.736</v>
      </c>
      <c r="I2749" s="12" t="n">
        <f aca="false">SUMPRODUCT(ПОТОКИ!B16:G16,ЧАСОВЫЕ_ПРОФИЛИ!B24:G24,КОЭФФИЦИЕНТЫ_ВЫБОРА!F21:K21,ПАРАМЕТРЫ!$B$17:$G$17)</f>
        <v>3.0096</v>
      </c>
      <c r="J2749" s="12" t="n">
        <f aca="false">I2749*G2749/1000</f>
        <v>0.812592</v>
      </c>
      <c r="K2749" s="11" t="s">
        <v>217</v>
      </c>
      <c r="L2749" s="11" t="s">
        <v>19</v>
      </c>
      <c r="M2749" s="11" t="s">
        <v>145</v>
      </c>
    </row>
    <row r="2750" customFormat="false" ht="15" hidden="false" customHeight="false" outlineLevel="0" collapsed="false">
      <c r="A2750" s="11" t="s">
        <v>112</v>
      </c>
      <c r="B2750" s="11" t="s">
        <v>137</v>
      </c>
      <c r="C2750" s="11" t="n">
        <v>12</v>
      </c>
      <c r="D2750" s="11" t="s">
        <v>161</v>
      </c>
      <c r="E2750" s="11" t="s">
        <v>165</v>
      </c>
      <c r="F2750" s="11" t="s">
        <v>80</v>
      </c>
      <c r="G2750" s="12" t="n">
        <v>240</v>
      </c>
      <c r="H2750" s="12" t="n">
        <f aca="false">SUMPRODUCT(ПОТОКИ!B16:G16,ЧАСОВЫЕ_ПРОФИЛИ!B24:G24,КОЭФФИЦИЕНТЫ_ВЫБОРА!F22:K22)</f>
        <v>1.365</v>
      </c>
      <c r="I2750" s="12" t="n">
        <f aca="false">SUMPRODUCT(ПОТОКИ!B16:G16,ЧАСОВЫЕ_ПРОФИЛИ!B24:G24,КОЭФФИЦИЕНТЫ_ВЫБОРА!F22:K22,ПАРАМЕТРЫ!$B$17:$G$17)</f>
        <v>1.5015</v>
      </c>
      <c r="J2750" s="12" t="n">
        <f aca="false">I2750*G2750/1000</f>
        <v>0.36036</v>
      </c>
      <c r="K2750" s="11" t="s">
        <v>217</v>
      </c>
      <c r="L2750" s="11" t="s">
        <v>19</v>
      </c>
      <c r="M2750" s="11" t="s">
        <v>145</v>
      </c>
    </row>
    <row r="2751" customFormat="false" ht="15" hidden="false" customHeight="false" outlineLevel="0" collapsed="false">
      <c r="A2751" s="11" t="s">
        <v>112</v>
      </c>
      <c r="B2751" s="11" t="s">
        <v>137</v>
      </c>
      <c r="C2751" s="11" t="n">
        <v>13</v>
      </c>
      <c r="D2751" s="11" t="s">
        <v>166</v>
      </c>
      <c r="E2751" s="11" t="s">
        <v>167</v>
      </c>
      <c r="F2751" s="11" t="s">
        <v>80</v>
      </c>
      <c r="G2751" s="12" t="n">
        <v>130</v>
      </c>
      <c r="H2751" s="12" t="n">
        <f aca="false">SUMPRODUCT(ПОТОКИ!B16:G16,ЧАСОВЫЕ_ПРОФИЛИ!B24:G24,КОЭФФИЦИЕНТЫ_ВЫБОРА!F23:K23)</f>
        <v>0.92</v>
      </c>
      <c r="I2751" s="12" t="n">
        <f aca="false">SUMPRODUCT(ПОТОКИ!B16:G16,ЧАСОВЫЕ_ПРОФИЛИ!B24:G24,КОЭФФИЦИЕНТЫ_ВЫБОРА!F23:K23,ПАРАМЕТРЫ!$B$17:$G$17)</f>
        <v>1.012</v>
      </c>
      <c r="J2751" s="12" t="n">
        <f aca="false">I2751*G2751/1000</f>
        <v>0.13156</v>
      </c>
      <c r="K2751" s="11" t="s">
        <v>217</v>
      </c>
      <c r="L2751" s="11" t="s">
        <v>19</v>
      </c>
      <c r="M2751" s="11" t="s">
        <v>145</v>
      </c>
    </row>
    <row r="2752" customFormat="false" ht="15" hidden="false" customHeight="false" outlineLevel="0" collapsed="false">
      <c r="A2752" s="11" t="s">
        <v>112</v>
      </c>
      <c r="B2752" s="11" t="s">
        <v>137</v>
      </c>
      <c r="C2752" s="11" t="n">
        <v>14</v>
      </c>
      <c r="D2752" s="11" t="s">
        <v>166</v>
      </c>
      <c r="E2752" s="11" t="s">
        <v>168</v>
      </c>
      <c r="F2752" s="11" t="s">
        <v>80</v>
      </c>
      <c r="G2752" s="12" t="n">
        <v>250</v>
      </c>
      <c r="H2752" s="12" t="n">
        <f aca="false">SUMPRODUCT(ПОТОКИ!B16:G16,ЧАСОВЫЕ_ПРОФИЛИ!B24:G24,КОЭФФИЦИЕНТЫ_ВЫБОРА!F24:K24)</f>
        <v>0.63</v>
      </c>
      <c r="I2752" s="12" t="n">
        <f aca="false">SUMPRODUCT(ПОТОКИ!B16:G16,ЧАСОВЫЕ_ПРОФИЛИ!B24:G24,КОЭФФИЦИЕНТЫ_ВЫБОРА!F24:K24,ПАРАМЕТРЫ!$B$17:$G$17)</f>
        <v>0.693</v>
      </c>
      <c r="J2752" s="12" t="n">
        <f aca="false">I2752*G2752/1000</f>
        <v>0.17325</v>
      </c>
      <c r="K2752" s="11" t="s">
        <v>217</v>
      </c>
      <c r="L2752" s="11" t="s">
        <v>19</v>
      </c>
      <c r="M2752" s="11" t="s">
        <v>145</v>
      </c>
    </row>
    <row r="2753" customFormat="false" ht="15" hidden="false" customHeight="false" outlineLevel="0" collapsed="false">
      <c r="A2753" s="11" t="s">
        <v>112</v>
      </c>
      <c r="B2753" s="11" t="s">
        <v>137</v>
      </c>
      <c r="C2753" s="11" t="n">
        <v>15</v>
      </c>
      <c r="D2753" s="11" t="s">
        <v>166</v>
      </c>
      <c r="E2753" s="11" t="s">
        <v>169</v>
      </c>
      <c r="F2753" s="11" t="s">
        <v>80</v>
      </c>
      <c r="G2753" s="12" t="n">
        <v>120</v>
      </c>
      <c r="H2753" s="12" t="n">
        <f aca="false">SUMPRODUCT(ПОТОКИ!B16:G16,ЧАСОВЫЕ_ПРОФИЛИ!B24:G24,КОЭФФИЦИЕНТЫ_ВЫБОРА!F25:K25)</f>
        <v>0.54</v>
      </c>
      <c r="I2753" s="12" t="n">
        <f aca="false">SUMPRODUCT(ПОТОКИ!B16:G16,ЧАСОВЫЕ_ПРОФИЛИ!B24:G24,КОЭФФИЦИЕНТЫ_ВЫБОРА!F25:K25,ПАРАМЕТРЫ!$B$17:$G$17)</f>
        <v>0.594</v>
      </c>
      <c r="J2753" s="12" t="n">
        <f aca="false">I2753*G2753/1000</f>
        <v>0.07128</v>
      </c>
      <c r="K2753" s="11" t="s">
        <v>217</v>
      </c>
      <c r="L2753" s="11" t="s">
        <v>19</v>
      </c>
      <c r="M2753" s="11" t="s">
        <v>145</v>
      </c>
    </row>
    <row r="2754" customFormat="false" ht="15" hidden="false" customHeight="false" outlineLevel="0" collapsed="false">
      <c r="A2754" s="11" t="s">
        <v>112</v>
      </c>
      <c r="B2754" s="11" t="s">
        <v>137</v>
      </c>
      <c r="C2754" s="11" t="n">
        <v>16</v>
      </c>
      <c r="D2754" s="11" t="s">
        <v>166</v>
      </c>
      <c r="E2754" s="11" t="s">
        <v>170</v>
      </c>
      <c r="F2754" s="11" t="s">
        <v>80</v>
      </c>
      <c r="G2754" s="12" t="n">
        <v>180</v>
      </c>
      <c r="H2754" s="12" t="n">
        <f aca="false">SUMPRODUCT(ПОТОКИ!B16:G16,ЧАСОВЫЕ_ПРОФИЛИ!B24:G24,КОЭФФИЦИЕНТЫ_ВЫБОРА!F26:K26)</f>
        <v>0.79</v>
      </c>
      <c r="I2754" s="12" t="n">
        <f aca="false">SUMPRODUCT(ПОТОКИ!B16:G16,ЧАСОВЫЕ_ПРОФИЛИ!B24:G24,КОЭФФИЦИЕНТЫ_ВЫБОРА!F26:K26,ПАРАМЕТРЫ!$B$17:$G$17)</f>
        <v>0.869</v>
      </c>
      <c r="J2754" s="12" t="n">
        <f aca="false">I2754*G2754/1000</f>
        <v>0.15642</v>
      </c>
      <c r="K2754" s="11" t="s">
        <v>217</v>
      </c>
      <c r="L2754" s="11" t="s">
        <v>19</v>
      </c>
      <c r="M2754" s="11" t="s">
        <v>145</v>
      </c>
    </row>
    <row r="2755" customFormat="false" ht="15" hidden="false" customHeight="false" outlineLevel="0" collapsed="false">
      <c r="A2755" s="11" t="s">
        <v>112</v>
      </c>
      <c r="B2755" s="11" t="s">
        <v>137</v>
      </c>
      <c r="C2755" s="11" t="n">
        <v>17</v>
      </c>
      <c r="D2755" s="11" t="s">
        <v>166</v>
      </c>
      <c r="E2755" s="11" t="s">
        <v>171</v>
      </c>
      <c r="F2755" s="11" t="s">
        <v>80</v>
      </c>
      <c r="G2755" s="12" t="n">
        <v>180</v>
      </c>
      <c r="H2755" s="12" t="n">
        <f aca="false">SUMPRODUCT(ПОТОКИ!B16:G16,ЧАСОВЫЕ_ПРОФИЛИ!B24:G24,КОЭФФИЦИЕНТЫ_ВЫБОРА!F27:K27)</f>
        <v>0.92</v>
      </c>
      <c r="I2755" s="12" t="n">
        <f aca="false">SUMPRODUCT(ПОТОКИ!B16:G16,ЧАСОВЫЕ_ПРОФИЛИ!B24:G24,КОЭФФИЦИЕНТЫ_ВЫБОРА!F27:K27,ПАРАМЕТРЫ!$B$17:$G$17)</f>
        <v>1.012</v>
      </c>
      <c r="J2755" s="12" t="n">
        <f aca="false">I2755*G2755/1000</f>
        <v>0.18216</v>
      </c>
      <c r="K2755" s="11" t="s">
        <v>217</v>
      </c>
      <c r="L2755" s="11" t="s">
        <v>19</v>
      </c>
      <c r="M2755" s="11" t="s">
        <v>145</v>
      </c>
    </row>
    <row r="2756" customFormat="false" ht="15" hidden="false" customHeight="false" outlineLevel="0" collapsed="false">
      <c r="A2756" s="11" t="s">
        <v>112</v>
      </c>
      <c r="B2756" s="11" t="s">
        <v>137</v>
      </c>
      <c r="C2756" s="11" t="n">
        <v>18</v>
      </c>
      <c r="D2756" s="11" t="s">
        <v>172</v>
      </c>
      <c r="E2756" s="11" t="s">
        <v>173</v>
      </c>
      <c r="F2756" s="11" t="s">
        <v>83</v>
      </c>
      <c r="G2756" s="12" t="n">
        <v>400</v>
      </c>
      <c r="H2756" s="12" t="n">
        <f aca="false">SUMPRODUCT(ПОТОКИ!B16:G16,ЧАСОВЫЕ_ПРОФИЛИ!B24:G24,КОЭФФИЦИЕНТЫ_ВЫБОРА!F28:K28)</f>
        <v>1.6</v>
      </c>
      <c r="I2756" s="12" t="n">
        <f aca="false">SUMPRODUCT(ПОТОКИ!B16:G16,ЧАСОВЫЕ_ПРОФИЛИ!B24:G24,КОЭФФИЦИЕНТЫ_ВЫБОРА!F28:K28,ПАРАМЕТРЫ!$B$17:$G$17)</f>
        <v>1.76</v>
      </c>
      <c r="J2756" s="12" t="n">
        <f aca="false">I2756*G2756/1000</f>
        <v>0.704</v>
      </c>
      <c r="K2756" s="11" t="s">
        <v>217</v>
      </c>
      <c r="L2756" s="11" t="s">
        <v>19</v>
      </c>
      <c r="M2756" s="11" t="s">
        <v>145</v>
      </c>
    </row>
    <row r="2757" customFormat="false" ht="23.85" hidden="false" customHeight="false" outlineLevel="0" collapsed="false">
      <c r="A2757" s="11" t="s">
        <v>112</v>
      </c>
      <c r="B2757" s="11" t="s">
        <v>137</v>
      </c>
      <c r="C2757" s="11" t="n">
        <v>19</v>
      </c>
      <c r="D2757" s="11" t="s">
        <v>174</v>
      </c>
      <c r="E2757" s="11" t="s">
        <v>175</v>
      </c>
      <c r="F2757" s="11" t="s">
        <v>83</v>
      </c>
      <c r="G2757" s="12" t="n">
        <v>300</v>
      </c>
      <c r="H2757" s="12" t="n">
        <f aca="false">SUMPRODUCT(ПОТОКИ!B16:G16,ЧАСОВЫЕ_ПРОФИЛИ!B24:G24,КОЭФФИЦИЕНТЫ_ВЫБОРА!F29:K29)</f>
        <v>4.181</v>
      </c>
      <c r="I2757" s="12" t="n">
        <f aca="false">SUMPRODUCT(ПОТОКИ!B16:G16,ЧАСОВЫЕ_ПРОФИЛИ!B24:G24,КОЭФФИЦИЕНТЫ_ВЫБОРА!F29:K29,ПАРАМЕТРЫ!$B$17:$G$17)</f>
        <v>4.5991</v>
      </c>
      <c r="J2757" s="12" t="n">
        <f aca="false">I2757*G2757/1000</f>
        <v>1.37973</v>
      </c>
      <c r="K2757" s="11" t="s">
        <v>217</v>
      </c>
      <c r="L2757" s="11" t="s">
        <v>19</v>
      </c>
      <c r="M2757" s="11" t="s">
        <v>145</v>
      </c>
    </row>
    <row r="2758" customFormat="false" ht="15" hidden="false" customHeight="false" outlineLevel="0" collapsed="false">
      <c r="A2758" s="11" t="s">
        <v>112</v>
      </c>
      <c r="B2758" s="11" t="s">
        <v>137</v>
      </c>
      <c r="C2758" s="11" t="n">
        <v>20</v>
      </c>
      <c r="D2758" s="11" t="s">
        <v>174</v>
      </c>
      <c r="E2758" s="11" t="s">
        <v>176</v>
      </c>
      <c r="F2758" s="11" t="s">
        <v>83</v>
      </c>
      <c r="G2758" s="12" t="n">
        <v>360</v>
      </c>
      <c r="H2758" s="12" t="n">
        <f aca="false">SUMPRODUCT(ПОТОКИ!B16:G16,ЧАСОВЫЕ_ПРОФИЛИ!B24:G24,КОЭФФИЦИЕНТЫ_ВЫБОРА!F30:K30)</f>
        <v>3.61</v>
      </c>
      <c r="I2758" s="12" t="n">
        <f aca="false">SUMPRODUCT(ПОТОКИ!B16:G16,ЧАСОВЫЕ_ПРОФИЛИ!B24:G24,КОЭФФИЦИЕНТЫ_ВЫБОРА!F30:K30,ПАРАМЕТРЫ!$B$17:$G$17)</f>
        <v>3.971</v>
      </c>
      <c r="J2758" s="12" t="n">
        <f aca="false">I2758*G2758/1000</f>
        <v>1.42956</v>
      </c>
      <c r="K2758" s="11" t="s">
        <v>217</v>
      </c>
      <c r="L2758" s="11" t="s">
        <v>19</v>
      </c>
      <c r="M2758" s="11" t="s">
        <v>145</v>
      </c>
    </row>
    <row r="2759" customFormat="false" ht="15" hidden="false" customHeight="false" outlineLevel="0" collapsed="false">
      <c r="A2759" s="11" t="s">
        <v>112</v>
      </c>
      <c r="B2759" s="11" t="s">
        <v>137</v>
      </c>
      <c r="C2759" s="11" t="n">
        <v>21</v>
      </c>
      <c r="D2759" s="11" t="s">
        <v>174</v>
      </c>
      <c r="E2759" s="11" t="s">
        <v>177</v>
      </c>
      <c r="F2759" s="11" t="s">
        <v>83</v>
      </c>
      <c r="G2759" s="12" t="n">
        <v>350</v>
      </c>
      <c r="H2759" s="12" t="n">
        <f aca="false">SUMPRODUCT(ПОТОКИ!B16:G16,ЧАСОВЫЕ_ПРОФИЛИ!B24:G24,КОЭФФИЦИЕНТЫ_ВЫБОРА!F31:K31)</f>
        <v>5.3895</v>
      </c>
      <c r="I2759" s="12" t="n">
        <f aca="false">SUMPRODUCT(ПОТОКИ!B16:G16,ЧАСОВЫЕ_ПРОФИЛИ!B24:G24,КОЭФФИЦИЕНТЫ_ВЫБОРА!F31:K31,ПАРАМЕТРЫ!$B$17:$G$17)</f>
        <v>5.92845</v>
      </c>
      <c r="J2759" s="12" t="n">
        <f aca="false">I2759*G2759/1000</f>
        <v>2.0749575</v>
      </c>
      <c r="K2759" s="11" t="s">
        <v>217</v>
      </c>
      <c r="L2759" s="11" t="s">
        <v>19</v>
      </c>
      <c r="M2759" s="11" t="s">
        <v>145</v>
      </c>
    </row>
    <row r="2760" customFormat="false" ht="15" hidden="false" customHeight="false" outlineLevel="0" collapsed="false">
      <c r="A2760" s="11" t="s">
        <v>112</v>
      </c>
      <c r="B2760" s="11" t="s">
        <v>137</v>
      </c>
      <c r="C2760" s="11" t="n">
        <v>22</v>
      </c>
      <c r="D2760" s="11" t="s">
        <v>174</v>
      </c>
      <c r="E2760" s="11" t="s">
        <v>178</v>
      </c>
      <c r="F2760" s="11" t="s">
        <v>83</v>
      </c>
      <c r="G2760" s="12" t="n">
        <v>300</v>
      </c>
      <c r="H2760" s="12" t="n">
        <f aca="false">SUMPRODUCT(ПОТОКИ!B16:G16,ЧАСОВЫЕ_ПРОФИЛИ!B24:G24,КОЭФФИЦИЕНТЫ_ВЫБОРА!F32:K32)</f>
        <v>3.8495</v>
      </c>
      <c r="I2760" s="12" t="n">
        <f aca="false">SUMPRODUCT(ПОТОКИ!B16:G16,ЧАСОВЫЕ_ПРОФИЛИ!B24:G24,КОЭФФИЦИЕНТЫ_ВЫБОРА!F32:K32,ПАРАМЕТРЫ!$B$17:$G$17)</f>
        <v>4.23445</v>
      </c>
      <c r="J2760" s="12" t="n">
        <f aca="false">I2760*G2760/1000</f>
        <v>1.270335</v>
      </c>
      <c r="K2760" s="11" t="s">
        <v>217</v>
      </c>
      <c r="L2760" s="11" t="s">
        <v>19</v>
      </c>
      <c r="M2760" s="11" t="s">
        <v>145</v>
      </c>
    </row>
    <row r="2761" customFormat="false" ht="15" hidden="false" customHeight="false" outlineLevel="0" collapsed="false">
      <c r="A2761" s="11" t="s">
        <v>112</v>
      </c>
      <c r="B2761" s="11" t="s">
        <v>137</v>
      </c>
      <c r="C2761" s="11" t="n">
        <v>23</v>
      </c>
      <c r="D2761" s="11" t="s">
        <v>86</v>
      </c>
      <c r="E2761" s="11" t="s">
        <v>179</v>
      </c>
      <c r="F2761" s="11" t="s">
        <v>85</v>
      </c>
      <c r="G2761" s="12" t="n">
        <v>150</v>
      </c>
      <c r="H2761" s="12" t="n">
        <f aca="false">SUMPRODUCT(ПОТОКИ!B16:G16,ЧАСОВЫЕ_ПРОФИЛИ!B24:G24,КОЭФФИЦИЕНТЫ_ВЫБОРА!F33:K33)</f>
        <v>3.1899625</v>
      </c>
      <c r="I2761" s="12" t="n">
        <f aca="false">SUMPRODUCT(ПОТОКИ!B16:G16,ЧАСОВЫЕ_ПРОФИЛИ!B24:G24,КОЭФФИЦИЕНТЫ_ВЫБОРА!F33:K33,ПАРАМЕТРЫ!$B$17:$G$17)</f>
        <v>3.50895875</v>
      </c>
      <c r="J2761" s="12" t="n">
        <f aca="false">I2761*G2761/1000</f>
        <v>0.5263438125</v>
      </c>
      <c r="K2761" s="11" t="s">
        <v>217</v>
      </c>
      <c r="L2761" s="11" t="s">
        <v>19</v>
      </c>
      <c r="M2761" s="11" t="s">
        <v>147</v>
      </c>
    </row>
    <row r="2762" customFormat="false" ht="15" hidden="false" customHeight="false" outlineLevel="0" collapsed="false">
      <c r="A2762" s="11" t="s">
        <v>112</v>
      </c>
      <c r="B2762" s="11" t="s">
        <v>137</v>
      </c>
      <c r="C2762" s="11" t="n">
        <v>24</v>
      </c>
      <c r="D2762" s="11" t="s">
        <v>86</v>
      </c>
      <c r="E2762" s="11" t="s">
        <v>180</v>
      </c>
      <c r="F2762" s="11" t="s">
        <v>85</v>
      </c>
      <c r="G2762" s="12" t="n">
        <v>150</v>
      </c>
      <c r="H2762" s="12" t="n">
        <f aca="false">SUMPRODUCT(ПОТОКИ!B16:G16,ЧАСОВЫЕ_ПРОФИЛИ!B24:G24,КОЭФФИЦИЕНТЫ_ВЫБОРА!F34:K34)</f>
        <v>1.64375</v>
      </c>
      <c r="I2762" s="12" t="n">
        <f aca="false">SUMPRODUCT(ПОТОКИ!B16:G16,ЧАСОВЫЕ_ПРОФИЛИ!B24:G24,КОЭФФИЦИЕНТЫ_ВЫБОРА!F34:K34,ПАРАМЕТРЫ!$B$17:$G$17)</f>
        <v>1.808125</v>
      </c>
      <c r="J2762" s="12" t="n">
        <f aca="false">I2762*G2762/1000</f>
        <v>0.27121875</v>
      </c>
      <c r="K2762" s="11" t="s">
        <v>217</v>
      </c>
      <c r="L2762" s="11" t="s">
        <v>19</v>
      </c>
      <c r="M2762" s="11" t="s">
        <v>147</v>
      </c>
    </row>
    <row r="2763" customFormat="false" ht="15" hidden="false" customHeight="false" outlineLevel="0" collapsed="false">
      <c r="A2763" s="11" t="s">
        <v>112</v>
      </c>
      <c r="B2763" s="11" t="s">
        <v>137</v>
      </c>
      <c r="C2763" s="11" t="n">
        <v>25</v>
      </c>
      <c r="D2763" s="11" t="s">
        <v>86</v>
      </c>
      <c r="E2763" s="11" t="s">
        <v>181</v>
      </c>
      <c r="F2763" s="11" t="s">
        <v>85</v>
      </c>
      <c r="G2763" s="12" t="n">
        <v>150</v>
      </c>
      <c r="H2763" s="12" t="n">
        <f aca="false">SUMPRODUCT(ПОТОКИ!B16:G16,ЧАСОВЫЕ_ПРОФИЛИ!B24:G24,КОЭФФИЦИЕНТЫ_ВЫБОРА!F35:K35)</f>
        <v>3.3850375</v>
      </c>
      <c r="I2763" s="12" t="n">
        <f aca="false">SUMPRODUCT(ПОТОКИ!B16:G16,ЧАСОВЫЕ_ПРОФИЛИ!B24:G24,КОЭФФИЦИЕНТЫ_ВЫБОРА!F35:K35,ПАРАМЕТРЫ!$B$17:$G$17)</f>
        <v>3.72354125</v>
      </c>
      <c r="J2763" s="12" t="n">
        <f aca="false">I2763*G2763/1000</f>
        <v>0.5585311875</v>
      </c>
      <c r="K2763" s="11" t="s">
        <v>217</v>
      </c>
      <c r="L2763" s="11" t="s">
        <v>19</v>
      </c>
      <c r="M2763" s="11" t="s">
        <v>147</v>
      </c>
    </row>
    <row r="2764" customFormat="false" ht="23.85" hidden="false" customHeight="false" outlineLevel="0" collapsed="false">
      <c r="A2764" s="11" t="s">
        <v>112</v>
      </c>
      <c r="B2764" s="11" t="s">
        <v>137</v>
      </c>
      <c r="C2764" s="11" t="n">
        <v>26</v>
      </c>
      <c r="D2764" s="11" t="s">
        <v>89</v>
      </c>
      <c r="E2764" s="11" t="s">
        <v>182</v>
      </c>
      <c r="F2764" s="11" t="s">
        <v>88</v>
      </c>
      <c r="G2764" s="12" t="n">
        <v>225</v>
      </c>
      <c r="H2764" s="12" t="n">
        <f aca="false">SUMPRODUCT(ПОТОКИ!B16:G16,ЧАСОВЫЕ_ПРОФИЛИ!B24:G24,КОЭФФИЦИЕНТЫ_ВЫБОРА!F36:K36)</f>
        <v>0</v>
      </c>
      <c r="I2764" s="12" t="n">
        <f aca="false">SUMPRODUCT(ПОТОКИ!B16:G16,ЧАСОВЫЕ_ПРОФИЛИ!B24:G24,КОЭФФИЦИЕНТЫ_ВЫБОРА!F36:K36,ПАРАМЕТРЫ!$B$17:$G$17)</f>
        <v>0</v>
      </c>
      <c r="J2764" s="12" t="n">
        <f aca="false">I2764*G2764/1000</f>
        <v>0</v>
      </c>
      <c r="K2764" s="11" t="s">
        <v>217</v>
      </c>
      <c r="L2764" s="11" t="s">
        <v>19</v>
      </c>
      <c r="M2764" s="11" t="s">
        <v>145</v>
      </c>
    </row>
    <row r="2765" customFormat="false" ht="23.85" hidden="false" customHeight="false" outlineLevel="0" collapsed="false">
      <c r="A2765" s="11" t="s">
        <v>112</v>
      </c>
      <c r="B2765" s="11" t="s">
        <v>137</v>
      </c>
      <c r="C2765" s="11" t="n">
        <v>27</v>
      </c>
      <c r="D2765" s="11" t="s">
        <v>89</v>
      </c>
      <c r="E2765" s="11" t="s">
        <v>183</v>
      </c>
      <c r="F2765" s="11" t="s">
        <v>88</v>
      </c>
      <c r="G2765" s="12" t="n">
        <v>265</v>
      </c>
      <c r="H2765" s="12" t="n">
        <f aca="false">SUMPRODUCT(ПОТОКИ!B16:G16,ЧАСОВЫЕ_ПРОФИЛИ!B24:G24,КОЭФФИЦИЕНТЫ_ВЫБОРА!F37:K37)</f>
        <v>0</v>
      </c>
      <c r="I2765" s="12" t="n">
        <f aca="false">SUMPRODUCT(ПОТОКИ!B16:G16,ЧАСОВЫЕ_ПРОФИЛИ!B24:G24,КОЭФФИЦИЕНТЫ_ВЫБОРА!F37:K37,ПАРАМЕТРЫ!$B$17:$G$17)</f>
        <v>0</v>
      </c>
      <c r="J2765" s="12" t="n">
        <f aca="false">I2765*G2765/1000</f>
        <v>0</v>
      </c>
      <c r="K2765" s="11" t="s">
        <v>217</v>
      </c>
      <c r="L2765" s="11" t="s">
        <v>19</v>
      </c>
      <c r="M2765" s="11" t="s">
        <v>145</v>
      </c>
    </row>
    <row r="2766" customFormat="false" ht="23.85" hidden="false" customHeight="false" outlineLevel="0" collapsed="false">
      <c r="A2766" s="11" t="s">
        <v>112</v>
      </c>
      <c r="B2766" s="11" t="s">
        <v>137</v>
      </c>
      <c r="C2766" s="11" t="n">
        <v>28</v>
      </c>
      <c r="D2766" s="11" t="s">
        <v>89</v>
      </c>
      <c r="E2766" s="11" t="s">
        <v>184</v>
      </c>
      <c r="F2766" s="11" t="s">
        <v>88</v>
      </c>
      <c r="G2766" s="12" t="n">
        <v>355</v>
      </c>
      <c r="H2766" s="12" t="n">
        <f aca="false">SUMPRODUCT(ПОТОКИ!B16:G16,ЧАСОВЫЕ_ПРОФИЛИ!B24:G24,КОЭФФИЦИЕНТЫ_ВЫБОРА!F38:K38)</f>
        <v>0</v>
      </c>
      <c r="I2766" s="12" t="n">
        <f aca="false">SUMPRODUCT(ПОТОКИ!B16:G16,ЧАСОВЫЕ_ПРОФИЛИ!B24:G24,КОЭФФИЦИЕНТЫ_ВЫБОРА!F38:K38,ПАРАМЕТРЫ!$B$17:$G$17)</f>
        <v>0</v>
      </c>
      <c r="J2766" s="12" t="n">
        <f aca="false">I2766*G2766/1000</f>
        <v>0</v>
      </c>
      <c r="K2766" s="11" t="s">
        <v>217</v>
      </c>
      <c r="L2766" s="11" t="s">
        <v>19</v>
      </c>
      <c r="M2766" s="11" t="s">
        <v>145</v>
      </c>
    </row>
    <row r="2767" customFormat="false" ht="15" hidden="false" customHeight="false" outlineLevel="0" collapsed="false">
      <c r="A2767" s="11" t="s">
        <v>112</v>
      </c>
      <c r="B2767" s="11" t="s">
        <v>137</v>
      </c>
      <c r="C2767" s="11" t="n">
        <v>29</v>
      </c>
      <c r="D2767" s="11" t="s">
        <v>92</v>
      </c>
      <c r="E2767" s="11" t="s">
        <v>185</v>
      </c>
      <c r="F2767" s="11" t="s">
        <v>91</v>
      </c>
      <c r="G2767" s="12" t="n">
        <v>150</v>
      </c>
      <c r="H2767" s="12" t="n">
        <f aca="false">SUMPRODUCT(ПОТОКИ!B16:G16,ЧАСОВЫЕ_ПРОФИЛИ!B24:G24,КОЭФФИЦИЕНТЫ_ВЫБОРА!F39:K39)</f>
        <v>1.032</v>
      </c>
      <c r="I2767" s="12" t="n">
        <f aca="false">SUMPRODUCT(ПОТОКИ!B16:G16,ЧАСОВЫЕ_ПРОФИЛИ!B24:G24,КОЭФФИЦИЕНТЫ_ВЫБОРА!F39:K39,ПАРАМЕТРЫ!$B$17:$G$17)</f>
        <v>1.1352</v>
      </c>
      <c r="J2767" s="12" t="n">
        <f aca="false">I2767*G2767/1000</f>
        <v>0.17028</v>
      </c>
      <c r="K2767" s="11" t="s">
        <v>217</v>
      </c>
      <c r="L2767" s="11" t="s">
        <v>19</v>
      </c>
      <c r="M2767" s="11" t="s">
        <v>145</v>
      </c>
    </row>
    <row r="2768" customFormat="false" ht="15" hidden="false" customHeight="false" outlineLevel="0" collapsed="false">
      <c r="A2768" s="11" t="s">
        <v>112</v>
      </c>
      <c r="B2768" s="11" t="s">
        <v>137</v>
      </c>
      <c r="C2768" s="11" t="n">
        <v>30</v>
      </c>
      <c r="D2768" s="11" t="s">
        <v>92</v>
      </c>
      <c r="E2768" s="11" t="s">
        <v>186</v>
      </c>
      <c r="F2768" s="11" t="s">
        <v>91</v>
      </c>
      <c r="G2768" s="12" t="n">
        <v>120</v>
      </c>
      <c r="H2768" s="12" t="n">
        <f aca="false">SUMPRODUCT(ПОТОКИ!B16:G16,ЧАСОВЫЕ_ПРОФИЛИ!B24:G24,КОЭФФИЦИЕНТЫ_ВЫБОРА!F40:K40)</f>
        <v>1.332</v>
      </c>
      <c r="I2768" s="12" t="n">
        <f aca="false">SUMPRODUCT(ПОТОКИ!B16:G16,ЧАСОВЫЕ_ПРОФИЛИ!B24:G24,КОЭФФИЦИЕНТЫ_ВЫБОРА!F40:K40,ПАРАМЕТРЫ!$B$17:$G$17)</f>
        <v>1.4652</v>
      </c>
      <c r="J2768" s="12" t="n">
        <f aca="false">I2768*G2768/1000</f>
        <v>0.175824</v>
      </c>
      <c r="K2768" s="11" t="s">
        <v>217</v>
      </c>
      <c r="L2768" s="11" t="s">
        <v>19</v>
      </c>
      <c r="M2768" s="11" t="s">
        <v>145</v>
      </c>
    </row>
    <row r="2769" customFormat="false" ht="15" hidden="false" customHeight="false" outlineLevel="0" collapsed="false">
      <c r="A2769" s="11" t="s">
        <v>112</v>
      </c>
      <c r="B2769" s="11" t="s">
        <v>137</v>
      </c>
      <c r="C2769" s="11" t="n">
        <v>31</v>
      </c>
      <c r="D2769" s="11" t="s">
        <v>92</v>
      </c>
      <c r="E2769" s="11" t="s">
        <v>187</v>
      </c>
      <c r="F2769" s="11" t="s">
        <v>91</v>
      </c>
      <c r="G2769" s="12" t="n">
        <v>60</v>
      </c>
      <c r="H2769" s="12" t="n">
        <f aca="false">SUMPRODUCT(ПОТОКИ!B16:G16,ЧАСОВЫЕ_ПРОФИЛИ!B24:G24,КОЭФФИЦИЕНТЫ_ВЫБОРА!F41:K41)</f>
        <v>0.576</v>
      </c>
      <c r="I2769" s="12" t="n">
        <f aca="false">SUMPRODUCT(ПОТОКИ!B16:G16,ЧАСОВЫЕ_ПРОФИЛИ!B24:G24,КОЭФФИЦИЕНТЫ_ВЫБОРА!F41:K41,ПАРАМЕТРЫ!$B$17:$G$17)</f>
        <v>0.6336</v>
      </c>
      <c r="J2769" s="12" t="n">
        <f aca="false">I2769*G2769/1000</f>
        <v>0.038016</v>
      </c>
      <c r="K2769" s="11" t="s">
        <v>217</v>
      </c>
      <c r="L2769" s="11" t="s">
        <v>19</v>
      </c>
      <c r="M2769" s="11" t="s">
        <v>145</v>
      </c>
    </row>
    <row r="2770" customFormat="false" ht="15" hidden="false" customHeight="false" outlineLevel="0" collapsed="false">
      <c r="A2770" s="11" t="s">
        <v>112</v>
      </c>
      <c r="B2770" s="11" t="s">
        <v>138</v>
      </c>
      <c r="C2770" s="11" t="n">
        <v>1</v>
      </c>
      <c r="D2770" s="11" t="s">
        <v>74</v>
      </c>
      <c r="E2770" s="11" t="s">
        <v>153</v>
      </c>
      <c r="F2770" s="11" t="s">
        <v>73</v>
      </c>
      <c r="G2770" s="12" t="n">
        <v>450</v>
      </c>
      <c r="H2770" s="12" t="n">
        <f aca="false">SUMPRODUCT(ПОТОКИ!B16:G16,ЧАСОВЫЕ_ПРОФИЛИ!B25:G25,КОЭФФИЦИЕНТЫ_ВЫБОРА!F11:K11)</f>
        <v>0.56</v>
      </c>
      <c r="I2770" s="12" t="n">
        <f aca="false">SUMPRODUCT(ПОТОКИ!B16:G16,ЧАСОВЫЕ_ПРОФИЛИ!B25:G25,КОЭФФИЦИЕНТЫ_ВЫБОРА!F11:K11,ПАРАМЕТРЫ!$B$17:$G$17)</f>
        <v>0.616</v>
      </c>
      <c r="J2770" s="12" t="n">
        <f aca="false">I2770*G2770/1000</f>
        <v>0.2772</v>
      </c>
      <c r="K2770" s="11" t="s">
        <v>217</v>
      </c>
      <c r="L2770" s="11" t="s">
        <v>19</v>
      </c>
      <c r="M2770" s="11" t="s">
        <v>145</v>
      </c>
    </row>
    <row r="2771" customFormat="false" ht="15" hidden="false" customHeight="false" outlineLevel="0" collapsed="false">
      <c r="A2771" s="11" t="s">
        <v>112</v>
      </c>
      <c r="B2771" s="11" t="s">
        <v>138</v>
      </c>
      <c r="C2771" s="11" t="n">
        <v>2</v>
      </c>
      <c r="D2771" s="11" t="s">
        <v>74</v>
      </c>
      <c r="E2771" s="11" t="s">
        <v>154</v>
      </c>
      <c r="F2771" s="11" t="s">
        <v>73</v>
      </c>
      <c r="G2771" s="12" t="n">
        <v>480</v>
      </c>
      <c r="H2771" s="12" t="n">
        <f aca="false">SUMPRODUCT(ПОТОКИ!B16:G16,ЧАСОВЫЕ_ПРОФИЛИ!B25:G25,КОЭФФИЦИЕНТЫ_ВЫБОРА!F12:K12)</f>
        <v>0.9225</v>
      </c>
      <c r="I2771" s="12" t="n">
        <f aca="false">SUMPRODUCT(ПОТОКИ!B16:G16,ЧАСОВЫЕ_ПРОФИЛИ!B25:G25,КОЭФФИЦИЕНТЫ_ВЫБОРА!F12:K12,ПАРАМЕТРЫ!$B$17:$G$17)</f>
        <v>1.01475</v>
      </c>
      <c r="J2771" s="12" t="n">
        <f aca="false">I2771*G2771/1000</f>
        <v>0.48708</v>
      </c>
      <c r="K2771" s="11" t="s">
        <v>217</v>
      </c>
      <c r="L2771" s="11" t="s">
        <v>19</v>
      </c>
      <c r="M2771" s="11" t="s">
        <v>145</v>
      </c>
    </row>
    <row r="2772" customFormat="false" ht="15" hidden="false" customHeight="false" outlineLevel="0" collapsed="false">
      <c r="A2772" s="11" t="s">
        <v>112</v>
      </c>
      <c r="B2772" s="11" t="s">
        <v>138</v>
      </c>
      <c r="C2772" s="11" t="n">
        <v>3</v>
      </c>
      <c r="D2772" s="11" t="s">
        <v>74</v>
      </c>
      <c r="E2772" s="11" t="s">
        <v>155</v>
      </c>
      <c r="F2772" s="11" t="s">
        <v>73</v>
      </c>
      <c r="G2772" s="12" t="n">
        <v>500</v>
      </c>
      <c r="H2772" s="12" t="n">
        <f aca="false">SUMPRODUCT(ПОТОКИ!B16:G16,ЧАСОВЫЕ_ПРОФИЛИ!B25:G25,КОЭФФИЦИЕНТЫ_ВЫБОРА!F13:K13)</f>
        <v>1.3525</v>
      </c>
      <c r="I2772" s="12" t="n">
        <f aca="false">SUMPRODUCT(ПОТОКИ!B16:G16,ЧАСОВЫЕ_ПРОФИЛИ!B25:G25,КОЭФФИЦИЕНТЫ_ВЫБОРА!F13:K13,ПАРАМЕТРЫ!$B$17:$G$17)</f>
        <v>1.48775</v>
      </c>
      <c r="J2772" s="12" t="n">
        <f aca="false">I2772*G2772/1000</f>
        <v>0.743875</v>
      </c>
      <c r="K2772" s="11" t="s">
        <v>217</v>
      </c>
      <c r="L2772" s="11" t="s">
        <v>19</v>
      </c>
      <c r="M2772" s="11" t="s">
        <v>145</v>
      </c>
    </row>
    <row r="2773" customFormat="false" ht="15" hidden="false" customHeight="false" outlineLevel="0" collapsed="false">
      <c r="A2773" s="11" t="s">
        <v>112</v>
      </c>
      <c r="B2773" s="11" t="s">
        <v>138</v>
      </c>
      <c r="C2773" s="11" t="n">
        <v>4</v>
      </c>
      <c r="D2773" s="11" t="s">
        <v>74</v>
      </c>
      <c r="E2773" s="11" t="s">
        <v>156</v>
      </c>
      <c r="F2773" s="11" t="s">
        <v>73</v>
      </c>
      <c r="G2773" s="12" t="n">
        <v>500</v>
      </c>
      <c r="H2773" s="12" t="n">
        <f aca="false">SUMPRODUCT(ПОТОКИ!B16:G16,ЧАСОВЫЕ_ПРОФИЛИ!B25:G25,КОЭФФИЦИЕНТЫ_ВЫБОРА!F14:K14)</f>
        <v>1.715</v>
      </c>
      <c r="I2773" s="12" t="n">
        <f aca="false">SUMPRODUCT(ПОТОКИ!B16:G16,ЧАСОВЫЕ_ПРОФИЛИ!B25:G25,КОЭФФИЦИЕНТЫ_ВЫБОРА!F14:K14,ПАРАМЕТРЫ!$B$17:$G$17)</f>
        <v>1.8865</v>
      </c>
      <c r="J2773" s="12" t="n">
        <f aca="false">I2773*G2773/1000</f>
        <v>0.94325</v>
      </c>
      <c r="K2773" s="11" t="s">
        <v>217</v>
      </c>
      <c r="L2773" s="11" t="s">
        <v>19</v>
      </c>
      <c r="M2773" s="11" t="s">
        <v>145</v>
      </c>
    </row>
    <row r="2774" customFormat="false" ht="15" hidden="false" customHeight="false" outlineLevel="0" collapsed="false">
      <c r="A2774" s="11" t="s">
        <v>112</v>
      </c>
      <c r="B2774" s="11" t="s">
        <v>138</v>
      </c>
      <c r="C2774" s="11" t="n">
        <v>5</v>
      </c>
      <c r="D2774" s="11" t="s">
        <v>78</v>
      </c>
      <c r="E2774" s="11" t="s">
        <v>157</v>
      </c>
      <c r="F2774" s="11" t="s">
        <v>77</v>
      </c>
      <c r="G2774" s="12" t="n">
        <v>100</v>
      </c>
      <c r="H2774" s="12" t="n">
        <f aca="false">SUMPRODUCT(ПОТОКИ!B16:G16,ЧАСОВЫЕ_ПРОФИЛИ!B25:G25,КОЭФФИЦИЕНТЫ_ВЫБОРА!F15:K15)</f>
        <v>0.557</v>
      </c>
      <c r="I2774" s="12" t="n">
        <f aca="false">SUMPRODUCT(ПОТОКИ!B16:G16,ЧАСОВЫЕ_ПРОФИЛИ!B25:G25,КОЭФФИЦИЕНТЫ_ВЫБОРА!F15:K15,ПАРАМЕТРЫ!$B$17:$G$17)</f>
        <v>0.6127</v>
      </c>
      <c r="J2774" s="12" t="n">
        <f aca="false">I2774*G2774/1000</f>
        <v>0.06127</v>
      </c>
      <c r="K2774" s="11" t="s">
        <v>217</v>
      </c>
      <c r="L2774" s="11" t="s">
        <v>19</v>
      </c>
      <c r="M2774" s="11" t="s">
        <v>147</v>
      </c>
    </row>
    <row r="2775" customFormat="false" ht="15" hidden="false" customHeight="false" outlineLevel="0" collapsed="false">
      <c r="A2775" s="11" t="s">
        <v>112</v>
      </c>
      <c r="B2775" s="11" t="s">
        <v>138</v>
      </c>
      <c r="C2775" s="11" t="n">
        <v>6</v>
      </c>
      <c r="D2775" s="11" t="s">
        <v>78</v>
      </c>
      <c r="E2775" s="11" t="s">
        <v>158</v>
      </c>
      <c r="F2775" s="11" t="s">
        <v>77</v>
      </c>
      <c r="G2775" s="12" t="n">
        <v>100</v>
      </c>
      <c r="H2775" s="12" t="n">
        <f aca="false">SUMPRODUCT(ПОТОКИ!B16:G16,ЧАСОВЫЕ_ПРОФИЛИ!B25:G25,КОЭФФИЦИЕНТЫ_ВЫБОРА!F16:K16)</f>
        <v>0.4645</v>
      </c>
      <c r="I2775" s="12" t="n">
        <f aca="false">SUMPRODUCT(ПОТОКИ!B16:G16,ЧАСОВЫЕ_ПРОФИЛИ!B25:G25,КОЭФФИЦИЕНТЫ_ВЫБОРА!F16:K16,ПАРАМЕТРЫ!$B$17:$G$17)</f>
        <v>0.51095</v>
      </c>
      <c r="J2775" s="12" t="n">
        <f aca="false">I2775*G2775/1000</f>
        <v>0.051095</v>
      </c>
      <c r="K2775" s="11" t="s">
        <v>217</v>
      </c>
      <c r="L2775" s="11" t="s">
        <v>19</v>
      </c>
      <c r="M2775" s="11" t="s">
        <v>147</v>
      </c>
    </row>
    <row r="2776" customFormat="false" ht="15" hidden="false" customHeight="false" outlineLevel="0" collapsed="false">
      <c r="A2776" s="11" t="s">
        <v>112</v>
      </c>
      <c r="B2776" s="11" t="s">
        <v>138</v>
      </c>
      <c r="C2776" s="11" t="n">
        <v>7</v>
      </c>
      <c r="D2776" s="11" t="s">
        <v>78</v>
      </c>
      <c r="E2776" s="11" t="s">
        <v>159</v>
      </c>
      <c r="F2776" s="11" t="s">
        <v>77</v>
      </c>
      <c r="G2776" s="12" t="n">
        <v>350</v>
      </c>
      <c r="H2776" s="12" t="n">
        <f aca="false">SUMPRODUCT(ПОТОКИ!B16:G16,ЧАСОВЫЕ_ПРОФИЛИ!B25:G25,КОЭФФИЦИЕНТЫ_ВЫБОРА!F17:K17)</f>
        <v>0.4375</v>
      </c>
      <c r="I2776" s="12" t="n">
        <f aca="false">SUMPRODUCT(ПОТОКИ!B16:G16,ЧАСОВЫЕ_ПРОФИЛИ!B25:G25,КОЭФФИЦИЕНТЫ_ВЫБОРА!F17:K17,ПАРАМЕТРЫ!$B$17:$G$17)</f>
        <v>0.48125</v>
      </c>
      <c r="J2776" s="12" t="n">
        <f aca="false">I2776*G2776/1000</f>
        <v>0.1684375</v>
      </c>
      <c r="K2776" s="11" t="s">
        <v>217</v>
      </c>
      <c r="L2776" s="11" t="s">
        <v>19</v>
      </c>
      <c r="M2776" s="11" t="s">
        <v>147</v>
      </c>
    </row>
    <row r="2777" customFormat="false" ht="15" hidden="false" customHeight="false" outlineLevel="0" collapsed="false">
      <c r="A2777" s="11" t="s">
        <v>112</v>
      </c>
      <c r="B2777" s="11" t="s">
        <v>138</v>
      </c>
      <c r="C2777" s="11" t="n">
        <v>8</v>
      </c>
      <c r="D2777" s="11" t="s">
        <v>78</v>
      </c>
      <c r="E2777" s="11" t="s">
        <v>160</v>
      </c>
      <c r="F2777" s="11" t="s">
        <v>77</v>
      </c>
      <c r="G2777" s="12" t="n">
        <v>85</v>
      </c>
      <c r="H2777" s="12" t="n">
        <f aca="false">SUMPRODUCT(ПОТОКИ!B16:G16,ЧАСОВЫЕ_ПРОФИЛИ!B25:G25,КОЭФФИЦИЕНТЫ_ВЫБОРА!F18:K18)</f>
        <v>0.291</v>
      </c>
      <c r="I2777" s="12" t="n">
        <f aca="false">SUMPRODUCT(ПОТОКИ!B16:G16,ЧАСОВЫЕ_ПРОФИЛИ!B25:G25,КОЭФФИЦИЕНТЫ_ВЫБОРА!F18:K18,ПАРАМЕТРЫ!$B$17:$G$17)</f>
        <v>0.3201</v>
      </c>
      <c r="J2777" s="12" t="n">
        <f aca="false">I2777*G2777/1000</f>
        <v>0.0272085</v>
      </c>
      <c r="K2777" s="11" t="s">
        <v>217</v>
      </c>
      <c r="L2777" s="11" t="s">
        <v>19</v>
      </c>
      <c r="M2777" s="11" t="s">
        <v>147</v>
      </c>
    </row>
    <row r="2778" customFormat="false" ht="15" hidden="false" customHeight="false" outlineLevel="0" collapsed="false">
      <c r="A2778" s="11" t="s">
        <v>112</v>
      </c>
      <c r="B2778" s="11" t="s">
        <v>138</v>
      </c>
      <c r="C2778" s="11" t="n">
        <v>9</v>
      </c>
      <c r="D2778" s="11" t="s">
        <v>161</v>
      </c>
      <c r="E2778" s="11" t="s">
        <v>162</v>
      </c>
      <c r="F2778" s="11" t="s">
        <v>80</v>
      </c>
      <c r="G2778" s="12" t="n">
        <v>300</v>
      </c>
      <c r="H2778" s="12" t="n">
        <f aca="false">SUMPRODUCT(ПОТОКИ!B16:G16,ЧАСОВЫЕ_ПРОФИЛИ!B25:G25,КОЭФФИЦИЕНТЫ_ВЫБОРА!F19:K19)</f>
        <v>0.865</v>
      </c>
      <c r="I2778" s="12" t="n">
        <f aca="false">SUMPRODUCT(ПОТОКИ!B16:G16,ЧАСОВЫЕ_ПРОФИЛИ!B25:G25,КОЭФФИЦИЕНТЫ_ВЫБОРА!F19:K19,ПАРАМЕТРЫ!$B$17:$G$17)</f>
        <v>0.9515</v>
      </c>
      <c r="J2778" s="12" t="n">
        <f aca="false">I2778*G2778/1000</f>
        <v>0.28545</v>
      </c>
      <c r="K2778" s="11" t="s">
        <v>217</v>
      </c>
      <c r="L2778" s="11" t="s">
        <v>19</v>
      </c>
      <c r="M2778" s="11" t="s">
        <v>145</v>
      </c>
    </row>
    <row r="2779" customFormat="false" ht="15" hidden="false" customHeight="false" outlineLevel="0" collapsed="false">
      <c r="A2779" s="11" t="s">
        <v>112</v>
      </c>
      <c r="B2779" s="11" t="s">
        <v>138</v>
      </c>
      <c r="C2779" s="11" t="n">
        <v>10</v>
      </c>
      <c r="D2779" s="11" t="s">
        <v>161</v>
      </c>
      <c r="E2779" s="11" t="s">
        <v>163</v>
      </c>
      <c r="F2779" s="11" t="s">
        <v>80</v>
      </c>
      <c r="G2779" s="12" t="n">
        <v>280</v>
      </c>
      <c r="H2779" s="12" t="n">
        <f aca="false">SUMPRODUCT(ПОТОКИ!B16:G16,ЧАСОВЫЕ_ПРОФИЛИ!B25:G25,КОЭФФИЦИЕНТЫ_ВЫБОРА!F20:K20)</f>
        <v>0.955</v>
      </c>
      <c r="I2779" s="12" t="n">
        <f aca="false">SUMPRODUCT(ПОТОКИ!B16:G16,ЧАСОВЫЕ_ПРОФИЛИ!B25:G25,КОЭФФИЦИЕНТЫ_ВЫБОРА!F20:K20,ПАРАМЕТРЫ!$B$17:$G$17)</f>
        <v>1.0505</v>
      </c>
      <c r="J2779" s="12" t="n">
        <f aca="false">I2779*G2779/1000</f>
        <v>0.29414</v>
      </c>
      <c r="K2779" s="11" t="s">
        <v>217</v>
      </c>
      <c r="L2779" s="11" t="s">
        <v>19</v>
      </c>
      <c r="M2779" s="11" t="s">
        <v>145</v>
      </c>
    </row>
    <row r="2780" customFormat="false" ht="15" hidden="false" customHeight="false" outlineLevel="0" collapsed="false">
      <c r="A2780" s="11" t="s">
        <v>112</v>
      </c>
      <c r="B2780" s="11" t="s">
        <v>138</v>
      </c>
      <c r="C2780" s="11" t="n">
        <v>11</v>
      </c>
      <c r="D2780" s="11" t="s">
        <v>161</v>
      </c>
      <c r="E2780" s="11" t="s">
        <v>164</v>
      </c>
      <c r="F2780" s="11" t="s">
        <v>80</v>
      </c>
      <c r="G2780" s="12" t="n">
        <v>270</v>
      </c>
      <c r="H2780" s="12" t="n">
        <f aca="false">SUMPRODUCT(ПОТОКИ!B16:G16,ЧАСОВЫЕ_ПРОФИЛИ!B25:G25,КОЭФФИЦИЕНТЫ_ВЫБОРА!F21:K21)</f>
        <v>1.55125</v>
      </c>
      <c r="I2780" s="12" t="n">
        <f aca="false">SUMPRODUCT(ПОТОКИ!B16:G16,ЧАСОВЫЕ_ПРОФИЛИ!B25:G25,КОЭФФИЦИЕНТЫ_ВЫБОРА!F21:K21,ПАРАМЕТРЫ!$B$17:$G$17)</f>
        <v>1.706375</v>
      </c>
      <c r="J2780" s="12" t="n">
        <f aca="false">I2780*G2780/1000</f>
        <v>0.46072125</v>
      </c>
      <c r="K2780" s="11" t="s">
        <v>217</v>
      </c>
      <c r="L2780" s="11" t="s">
        <v>19</v>
      </c>
      <c r="M2780" s="11" t="s">
        <v>145</v>
      </c>
    </row>
    <row r="2781" customFormat="false" ht="15" hidden="false" customHeight="false" outlineLevel="0" collapsed="false">
      <c r="A2781" s="11" t="s">
        <v>112</v>
      </c>
      <c r="B2781" s="11" t="s">
        <v>138</v>
      </c>
      <c r="C2781" s="11" t="n">
        <v>12</v>
      </c>
      <c r="D2781" s="11" t="s">
        <v>161</v>
      </c>
      <c r="E2781" s="11" t="s">
        <v>165</v>
      </c>
      <c r="F2781" s="11" t="s">
        <v>80</v>
      </c>
      <c r="G2781" s="12" t="n">
        <v>240</v>
      </c>
      <c r="H2781" s="12" t="n">
        <f aca="false">SUMPRODUCT(ПОТОКИ!B16:G16,ЧАСОВЫЕ_ПРОФИЛИ!B25:G25,КОЭФФИЦИЕНТЫ_ВЫБОРА!F22:K22)</f>
        <v>0.80375</v>
      </c>
      <c r="I2781" s="12" t="n">
        <f aca="false">SUMPRODUCT(ПОТОКИ!B16:G16,ЧАСОВЫЕ_ПРОФИЛИ!B25:G25,КОЭФФИЦИЕНТЫ_ВЫБОРА!F22:K22,ПАРАМЕТРЫ!$B$17:$G$17)</f>
        <v>0.884125</v>
      </c>
      <c r="J2781" s="12" t="n">
        <f aca="false">I2781*G2781/1000</f>
        <v>0.21219</v>
      </c>
      <c r="K2781" s="11" t="s">
        <v>217</v>
      </c>
      <c r="L2781" s="11" t="s">
        <v>19</v>
      </c>
      <c r="M2781" s="11" t="s">
        <v>145</v>
      </c>
    </row>
    <row r="2782" customFormat="false" ht="15" hidden="false" customHeight="false" outlineLevel="0" collapsed="false">
      <c r="A2782" s="11" t="s">
        <v>112</v>
      </c>
      <c r="B2782" s="11" t="s">
        <v>138</v>
      </c>
      <c r="C2782" s="11" t="n">
        <v>13</v>
      </c>
      <c r="D2782" s="11" t="s">
        <v>166</v>
      </c>
      <c r="E2782" s="11" t="s">
        <v>167</v>
      </c>
      <c r="F2782" s="11" t="s">
        <v>80</v>
      </c>
      <c r="G2782" s="12" t="n">
        <v>130</v>
      </c>
      <c r="H2782" s="12" t="n">
        <f aca="false">SUMPRODUCT(ПОТОКИ!B16:G16,ЧАСОВЫЕ_ПРОФИЛИ!B25:G25,КОЭФФИЦИЕНТЫ_ВЫБОРА!F23:K23)</f>
        <v>0.5</v>
      </c>
      <c r="I2782" s="12" t="n">
        <f aca="false">SUMPRODUCT(ПОТОКИ!B16:G16,ЧАСОВЫЕ_ПРОФИЛИ!B25:G25,КОЭФФИЦИЕНТЫ_ВЫБОРА!F23:K23,ПАРАМЕТРЫ!$B$17:$G$17)</f>
        <v>0.55</v>
      </c>
      <c r="J2782" s="12" t="n">
        <f aca="false">I2782*G2782/1000</f>
        <v>0.0715</v>
      </c>
      <c r="K2782" s="11" t="s">
        <v>217</v>
      </c>
      <c r="L2782" s="11" t="s">
        <v>19</v>
      </c>
      <c r="M2782" s="11" t="s">
        <v>145</v>
      </c>
    </row>
    <row r="2783" customFormat="false" ht="15" hidden="false" customHeight="false" outlineLevel="0" collapsed="false">
      <c r="A2783" s="11" t="s">
        <v>112</v>
      </c>
      <c r="B2783" s="11" t="s">
        <v>138</v>
      </c>
      <c r="C2783" s="11" t="n">
        <v>14</v>
      </c>
      <c r="D2783" s="11" t="s">
        <v>166</v>
      </c>
      <c r="E2783" s="11" t="s">
        <v>168</v>
      </c>
      <c r="F2783" s="11" t="s">
        <v>80</v>
      </c>
      <c r="G2783" s="12" t="n">
        <v>250</v>
      </c>
      <c r="H2783" s="12" t="n">
        <f aca="false">SUMPRODUCT(ПОТОКИ!B16:G16,ЧАСОВЫЕ_ПРОФИЛИ!B25:G25,КОЭФФИЦИЕНТЫ_ВЫБОРА!F24:K24)</f>
        <v>0.365</v>
      </c>
      <c r="I2783" s="12" t="n">
        <f aca="false">SUMPRODUCT(ПОТОКИ!B16:G16,ЧАСОВЫЕ_ПРОФИЛИ!B25:G25,КОЭФФИЦИЕНТЫ_ВЫБОРА!F24:K24,ПАРАМЕТРЫ!$B$17:$G$17)</f>
        <v>0.4015</v>
      </c>
      <c r="J2783" s="12" t="n">
        <f aca="false">I2783*G2783/1000</f>
        <v>0.100375</v>
      </c>
      <c r="K2783" s="11" t="s">
        <v>217</v>
      </c>
      <c r="L2783" s="11" t="s">
        <v>19</v>
      </c>
      <c r="M2783" s="11" t="s">
        <v>145</v>
      </c>
    </row>
    <row r="2784" customFormat="false" ht="15" hidden="false" customHeight="false" outlineLevel="0" collapsed="false">
      <c r="A2784" s="11" t="s">
        <v>112</v>
      </c>
      <c r="B2784" s="11" t="s">
        <v>138</v>
      </c>
      <c r="C2784" s="11" t="n">
        <v>15</v>
      </c>
      <c r="D2784" s="11" t="s">
        <v>166</v>
      </c>
      <c r="E2784" s="11" t="s">
        <v>169</v>
      </c>
      <c r="F2784" s="11" t="s">
        <v>80</v>
      </c>
      <c r="G2784" s="12" t="n">
        <v>120</v>
      </c>
      <c r="H2784" s="12" t="n">
        <f aca="false">SUMPRODUCT(ПОТОКИ!B16:G16,ЧАСОВЫЕ_ПРОФИЛИ!B25:G25,КОЭФФИЦИЕНТЫ_ВЫБОРА!F25:K25)</f>
        <v>0.29</v>
      </c>
      <c r="I2784" s="12" t="n">
        <f aca="false">SUMPRODUCT(ПОТОКИ!B16:G16,ЧАСОВЫЕ_ПРОФИЛИ!B25:G25,КОЭФФИЦИЕНТЫ_ВЫБОРА!F25:K25,ПАРАМЕТРЫ!$B$17:$G$17)</f>
        <v>0.319</v>
      </c>
      <c r="J2784" s="12" t="n">
        <f aca="false">I2784*G2784/1000</f>
        <v>0.03828</v>
      </c>
      <c r="K2784" s="11" t="s">
        <v>217</v>
      </c>
      <c r="L2784" s="11" t="s">
        <v>19</v>
      </c>
      <c r="M2784" s="11" t="s">
        <v>145</v>
      </c>
    </row>
    <row r="2785" customFormat="false" ht="15" hidden="false" customHeight="false" outlineLevel="0" collapsed="false">
      <c r="A2785" s="11" t="s">
        <v>112</v>
      </c>
      <c r="B2785" s="11" t="s">
        <v>138</v>
      </c>
      <c r="C2785" s="11" t="n">
        <v>16</v>
      </c>
      <c r="D2785" s="11" t="s">
        <v>166</v>
      </c>
      <c r="E2785" s="11" t="s">
        <v>170</v>
      </c>
      <c r="F2785" s="11" t="s">
        <v>80</v>
      </c>
      <c r="G2785" s="12" t="n">
        <v>180</v>
      </c>
      <c r="H2785" s="12" t="n">
        <f aca="false">SUMPRODUCT(ПОТОКИ!B16:G16,ЧАСОВЫЕ_ПРОФИЛИ!B25:G25,КОЭФФИЦИЕНТЫ_ВЫБОРА!F26:K26)</f>
        <v>0.445</v>
      </c>
      <c r="I2785" s="12" t="n">
        <f aca="false">SUMPRODUCT(ПОТОКИ!B16:G16,ЧАСОВЫЕ_ПРОФИЛИ!B25:G25,КОЭФФИЦИЕНТЫ_ВЫБОРА!F26:K26,ПАРАМЕТРЫ!$B$17:$G$17)</f>
        <v>0.4895</v>
      </c>
      <c r="J2785" s="12" t="n">
        <f aca="false">I2785*G2785/1000</f>
        <v>0.08811</v>
      </c>
      <c r="K2785" s="11" t="s">
        <v>217</v>
      </c>
      <c r="L2785" s="11" t="s">
        <v>19</v>
      </c>
      <c r="M2785" s="11" t="s">
        <v>145</v>
      </c>
    </row>
    <row r="2786" customFormat="false" ht="15" hidden="false" customHeight="false" outlineLevel="0" collapsed="false">
      <c r="A2786" s="11" t="s">
        <v>112</v>
      </c>
      <c r="B2786" s="11" t="s">
        <v>138</v>
      </c>
      <c r="C2786" s="11" t="n">
        <v>17</v>
      </c>
      <c r="D2786" s="11" t="s">
        <v>166</v>
      </c>
      <c r="E2786" s="11" t="s">
        <v>171</v>
      </c>
      <c r="F2786" s="11" t="s">
        <v>80</v>
      </c>
      <c r="G2786" s="12" t="n">
        <v>180</v>
      </c>
      <c r="H2786" s="12" t="n">
        <f aca="false">SUMPRODUCT(ПОТОКИ!B16:G16,ЧАСОВЫЕ_ПРОФИЛИ!B25:G25,КОЭФФИЦИЕНТЫ_ВЫБОРА!F27:K27)</f>
        <v>0.5</v>
      </c>
      <c r="I2786" s="12" t="n">
        <f aca="false">SUMPRODUCT(ПОТОКИ!B16:G16,ЧАСОВЫЕ_ПРОФИЛИ!B25:G25,КОЭФФИЦИЕНТЫ_ВЫБОРА!F27:K27,ПАРАМЕТРЫ!$B$17:$G$17)</f>
        <v>0.55</v>
      </c>
      <c r="J2786" s="12" t="n">
        <f aca="false">I2786*G2786/1000</f>
        <v>0.099</v>
      </c>
      <c r="K2786" s="11" t="s">
        <v>217</v>
      </c>
      <c r="L2786" s="11" t="s">
        <v>19</v>
      </c>
      <c r="M2786" s="11" t="s">
        <v>145</v>
      </c>
    </row>
    <row r="2787" customFormat="false" ht="15" hidden="false" customHeight="false" outlineLevel="0" collapsed="false">
      <c r="A2787" s="11" t="s">
        <v>112</v>
      </c>
      <c r="B2787" s="11" t="s">
        <v>138</v>
      </c>
      <c r="C2787" s="11" t="n">
        <v>18</v>
      </c>
      <c r="D2787" s="11" t="s">
        <v>172</v>
      </c>
      <c r="E2787" s="11" t="s">
        <v>173</v>
      </c>
      <c r="F2787" s="11" t="s">
        <v>83</v>
      </c>
      <c r="G2787" s="12" t="n">
        <v>400</v>
      </c>
      <c r="H2787" s="12" t="n">
        <f aca="false">SUMPRODUCT(ПОТОКИ!B16:G16,ЧАСОВЫЕ_ПРОФИЛИ!B25:G25,КОЭФФИЦИЕНТЫ_ВЫБОРА!F28:K28)</f>
        <v>0.8</v>
      </c>
      <c r="I2787" s="12" t="n">
        <f aca="false">SUMPRODUCT(ПОТОКИ!B16:G16,ЧАСОВЫЕ_ПРОФИЛИ!B25:G25,КОЭФФИЦИЕНТЫ_ВЫБОРА!F28:K28,ПАРАМЕТРЫ!$B$17:$G$17)</f>
        <v>0.88</v>
      </c>
      <c r="J2787" s="12" t="n">
        <f aca="false">I2787*G2787/1000</f>
        <v>0.352</v>
      </c>
      <c r="K2787" s="11" t="s">
        <v>217</v>
      </c>
      <c r="L2787" s="11" t="s">
        <v>19</v>
      </c>
      <c r="M2787" s="11" t="s">
        <v>145</v>
      </c>
    </row>
    <row r="2788" customFormat="false" ht="23.85" hidden="false" customHeight="false" outlineLevel="0" collapsed="false">
      <c r="A2788" s="11" t="s">
        <v>112</v>
      </c>
      <c r="B2788" s="11" t="s">
        <v>138</v>
      </c>
      <c r="C2788" s="11" t="n">
        <v>19</v>
      </c>
      <c r="D2788" s="11" t="s">
        <v>174</v>
      </c>
      <c r="E2788" s="11" t="s">
        <v>175</v>
      </c>
      <c r="F2788" s="11" t="s">
        <v>83</v>
      </c>
      <c r="G2788" s="12" t="n">
        <v>300</v>
      </c>
      <c r="H2788" s="12" t="n">
        <f aca="false">SUMPRODUCT(ПОТОКИ!B16:G16,ЧАСОВЫЕ_ПРОФИЛИ!B25:G25,КОЭФФИЦИЕНТЫ_ВЫБОРА!F29:K29)</f>
        <v>2.4175</v>
      </c>
      <c r="I2788" s="12" t="n">
        <f aca="false">SUMPRODUCT(ПОТОКИ!B16:G16,ЧАСОВЫЕ_ПРОФИЛИ!B25:G25,КОЭФФИЦИЕНТЫ_ВЫБОРА!F29:K29,ПАРАМЕТРЫ!$B$17:$G$17)</f>
        <v>2.65925</v>
      </c>
      <c r="J2788" s="12" t="n">
        <f aca="false">I2788*G2788/1000</f>
        <v>0.797775</v>
      </c>
      <c r="K2788" s="11" t="s">
        <v>217</v>
      </c>
      <c r="L2788" s="11" t="s">
        <v>19</v>
      </c>
      <c r="M2788" s="11" t="s">
        <v>145</v>
      </c>
    </row>
    <row r="2789" customFormat="false" ht="15" hidden="false" customHeight="false" outlineLevel="0" collapsed="false">
      <c r="A2789" s="11" t="s">
        <v>112</v>
      </c>
      <c r="B2789" s="11" t="s">
        <v>138</v>
      </c>
      <c r="C2789" s="11" t="n">
        <v>20</v>
      </c>
      <c r="D2789" s="11" t="s">
        <v>174</v>
      </c>
      <c r="E2789" s="11" t="s">
        <v>176</v>
      </c>
      <c r="F2789" s="11" t="s">
        <v>83</v>
      </c>
      <c r="G2789" s="12" t="n">
        <v>360</v>
      </c>
      <c r="H2789" s="12" t="n">
        <f aca="false">SUMPRODUCT(ПОТОКИ!B16:G16,ЧАСОВЫЕ_ПРОФИЛИ!B25:G25,КОЭФФИЦИЕНТЫ_ВЫБОРА!F30:K30)</f>
        <v>2.065</v>
      </c>
      <c r="I2789" s="12" t="n">
        <f aca="false">SUMPRODUCT(ПОТОКИ!B16:G16,ЧАСОВЫЕ_ПРОФИЛИ!B25:G25,КОЭФФИЦИЕНТЫ_ВЫБОРА!F30:K30,ПАРАМЕТРЫ!$B$17:$G$17)</f>
        <v>2.2715</v>
      </c>
      <c r="J2789" s="12" t="n">
        <f aca="false">I2789*G2789/1000</f>
        <v>0.81774</v>
      </c>
      <c r="K2789" s="11" t="s">
        <v>217</v>
      </c>
      <c r="L2789" s="11" t="s">
        <v>19</v>
      </c>
      <c r="M2789" s="11" t="s">
        <v>145</v>
      </c>
    </row>
    <row r="2790" customFormat="false" ht="15" hidden="false" customHeight="false" outlineLevel="0" collapsed="false">
      <c r="A2790" s="11" t="s">
        <v>112</v>
      </c>
      <c r="B2790" s="11" t="s">
        <v>138</v>
      </c>
      <c r="C2790" s="11" t="n">
        <v>21</v>
      </c>
      <c r="D2790" s="11" t="s">
        <v>174</v>
      </c>
      <c r="E2790" s="11" t="s">
        <v>177</v>
      </c>
      <c r="F2790" s="11" t="s">
        <v>83</v>
      </c>
      <c r="G2790" s="12" t="n">
        <v>350</v>
      </c>
      <c r="H2790" s="12" t="n">
        <f aca="false">SUMPRODUCT(ПОТОКИ!B16:G16,ЧАСОВЫЕ_ПРОФИЛИ!B25:G25,КОЭФФИЦИЕНТЫ_ВЫБОРА!F31:K31)</f>
        <v>3.05125</v>
      </c>
      <c r="I2790" s="12" t="n">
        <f aca="false">SUMPRODUCT(ПОТОКИ!B16:G16,ЧАСОВЫЕ_ПРОФИЛИ!B25:G25,КОЭФФИЦИЕНТЫ_ВЫБОРА!F31:K31,ПАРАМЕТРЫ!$B$17:$G$17)</f>
        <v>3.356375</v>
      </c>
      <c r="J2790" s="12" t="n">
        <f aca="false">I2790*G2790/1000</f>
        <v>1.17473125</v>
      </c>
      <c r="K2790" s="11" t="s">
        <v>217</v>
      </c>
      <c r="L2790" s="11" t="s">
        <v>19</v>
      </c>
      <c r="M2790" s="11" t="s">
        <v>145</v>
      </c>
    </row>
    <row r="2791" customFormat="false" ht="15" hidden="false" customHeight="false" outlineLevel="0" collapsed="false">
      <c r="A2791" s="11" t="s">
        <v>112</v>
      </c>
      <c r="B2791" s="11" t="s">
        <v>138</v>
      </c>
      <c r="C2791" s="11" t="n">
        <v>22</v>
      </c>
      <c r="D2791" s="11" t="s">
        <v>174</v>
      </c>
      <c r="E2791" s="11" t="s">
        <v>178</v>
      </c>
      <c r="F2791" s="11" t="s">
        <v>83</v>
      </c>
      <c r="G2791" s="12" t="n">
        <v>300</v>
      </c>
      <c r="H2791" s="12" t="n">
        <f aca="false">SUMPRODUCT(ПОТОКИ!B16:G16,ЧАСОВЫЕ_ПРОФИЛИ!B25:G25,КОЭФФИЦИЕНТЫ_ВЫБОРА!F32:K32)</f>
        <v>2.19125</v>
      </c>
      <c r="I2791" s="12" t="n">
        <f aca="false">SUMPRODUCT(ПОТОКИ!B16:G16,ЧАСОВЫЕ_ПРОФИЛИ!B25:G25,КОЭФФИЦИЕНТЫ_ВЫБОРА!F32:K32,ПАРАМЕТРЫ!$B$17:$G$17)</f>
        <v>2.410375</v>
      </c>
      <c r="J2791" s="12" t="n">
        <f aca="false">I2791*G2791/1000</f>
        <v>0.7231125</v>
      </c>
      <c r="K2791" s="11" t="s">
        <v>217</v>
      </c>
      <c r="L2791" s="11" t="s">
        <v>19</v>
      </c>
      <c r="M2791" s="11" t="s">
        <v>145</v>
      </c>
    </row>
    <row r="2792" customFormat="false" ht="15" hidden="false" customHeight="false" outlineLevel="0" collapsed="false">
      <c r="A2792" s="11" t="s">
        <v>112</v>
      </c>
      <c r="B2792" s="11" t="s">
        <v>138</v>
      </c>
      <c r="C2792" s="11" t="n">
        <v>23</v>
      </c>
      <c r="D2792" s="11" t="s">
        <v>86</v>
      </c>
      <c r="E2792" s="11" t="s">
        <v>179</v>
      </c>
      <c r="F2792" s="11" t="s">
        <v>85</v>
      </c>
      <c r="G2792" s="12" t="n">
        <v>150</v>
      </c>
      <c r="H2792" s="12" t="n">
        <f aca="false">SUMPRODUCT(ПОТОКИ!B16:G16,ЧАСОВЫЕ_ПРОФИЛИ!B25:G25,КОЭФФИЦИЕНТЫ_ВЫБОРА!F33:K33)</f>
        <v>1.82256875</v>
      </c>
      <c r="I2792" s="12" t="n">
        <f aca="false">SUMPRODUCT(ПОТОКИ!B16:G16,ЧАСОВЫЕ_ПРОФИЛИ!B25:G25,КОЭФФИЦИЕНТЫ_ВЫБОРА!F33:K33,ПАРАМЕТРЫ!$B$17:$G$17)</f>
        <v>2.004825625</v>
      </c>
      <c r="J2792" s="12" t="n">
        <f aca="false">I2792*G2792/1000</f>
        <v>0.30072384375</v>
      </c>
      <c r="K2792" s="11" t="s">
        <v>217</v>
      </c>
      <c r="L2792" s="11" t="s">
        <v>19</v>
      </c>
      <c r="M2792" s="11" t="s">
        <v>147</v>
      </c>
    </row>
    <row r="2793" customFormat="false" ht="15" hidden="false" customHeight="false" outlineLevel="0" collapsed="false">
      <c r="A2793" s="11" t="s">
        <v>112</v>
      </c>
      <c r="B2793" s="11" t="s">
        <v>138</v>
      </c>
      <c r="C2793" s="11" t="n">
        <v>24</v>
      </c>
      <c r="D2793" s="11" t="s">
        <v>86</v>
      </c>
      <c r="E2793" s="11" t="s">
        <v>180</v>
      </c>
      <c r="F2793" s="11" t="s">
        <v>85</v>
      </c>
      <c r="G2793" s="12" t="n">
        <v>150</v>
      </c>
      <c r="H2793" s="12" t="n">
        <f aca="false">SUMPRODUCT(ПОТОКИ!B16:G16,ЧАСОВЫЕ_ПРОФИЛИ!B25:G25,КОЭФФИЦИЕНТЫ_ВЫБОРА!F34:K34)</f>
        <v>0.951925</v>
      </c>
      <c r="I2793" s="12" t="n">
        <f aca="false">SUMPRODUCT(ПОТОКИ!B16:G16,ЧАСОВЫЕ_ПРОФИЛИ!B25:G25,КОЭФФИЦИЕНТЫ_ВЫБОРА!F34:K34,ПАРАМЕТРЫ!$B$17:$G$17)</f>
        <v>1.0471175</v>
      </c>
      <c r="J2793" s="12" t="n">
        <f aca="false">I2793*G2793/1000</f>
        <v>0.157067625</v>
      </c>
      <c r="K2793" s="11" t="s">
        <v>217</v>
      </c>
      <c r="L2793" s="11" t="s">
        <v>19</v>
      </c>
      <c r="M2793" s="11" t="s">
        <v>147</v>
      </c>
    </row>
    <row r="2794" customFormat="false" ht="15" hidden="false" customHeight="false" outlineLevel="0" collapsed="false">
      <c r="A2794" s="11" t="s">
        <v>112</v>
      </c>
      <c r="B2794" s="11" t="s">
        <v>138</v>
      </c>
      <c r="C2794" s="11" t="n">
        <v>25</v>
      </c>
      <c r="D2794" s="11" t="s">
        <v>86</v>
      </c>
      <c r="E2794" s="11" t="s">
        <v>181</v>
      </c>
      <c r="F2794" s="11" t="s">
        <v>85</v>
      </c>
      <c r="G2794" s="12" t="n">
        <v>150</v>
      </c>
      <c r="H2794" s="12" t="n">
        <f aca="false">SUMPRODUCT(ПОТОКИ!B16:G16,ЧАСОВЫЕ_ПРОФИЛИ!B25:G25,КОЭФФИЦИЕНТЫ_ВЫБОРА!F35:K35)</f>
        <v>1.98513125</v>
      </c>
      <c r="I2794" s="12" t="n">
        <f aca="false">SUMPRODUCT(ПОТОКИ!B16:G16,ЧАСОВЫЕ_ПРОФИЛИ!B25:G25,КОЭФФИЦИЕНТЫ_ВЫБОРА!F35:K35,ПАРАМЕТРЫ!$B$17:$G$17)</f>
        <v>2.183644375</v>
      </c>
      <c r="J2794" s="12" t="n">
        <f aca="false">I2794*G2794/1000</f>
        <v>0.32754665625</v>
      </c>
      <c r="K2794" s="11" t="s">
        <v>217</v>
      </c>
      <c r="L2794" s="11" t="s">
        <v>19</v>
      </c>
      <c r="M2794" s="11" t="s">
        <v>147</v>
      </c>
    </row>
    <row r="2795" customFormat="false" ht="23.85" hidden="false" customHeight="false" outlineLevel="0" collapsed="false">
      <c r="A2795" s="11" t="s">
        <v>112</v>
      </c>
      <c r="B2795" s="11" t="s">
        <v>138</v>
      </c>
      <c r="C2795" s="11" t="n">
        <v>26</v>
      </c>
      <c r="D2795" s="11" t="s">
        <v>89</v>
      </c>
      <c r="E2795" s="11" t="s">
        <v>182</v>
      </c>
      <c r="F2795" s="11" t="s">
        <v>88</v>
      </c>
      <c r="G2795" s="12" t="n">
        <v>225</v>
      </c>
      <c r="H2795" s="12" t="n">
        <f aca="false">SUMPRODUCT(ПОТОКИ!B16:G16,ЧАСОВЫЕ_ПРОФИЛИ!B25:G25,КОЭФФИЦИЕНТЫ_ВЫБОРА!F36:K36)</f>
        <v>0</v>
      </c>
      <c r="I2795" s="12" t="n">
        <f aca="false">SUMPRODUCT(ПОТОКИ!B16:G16,ЧАСОВЫЕ_ПРОФИЛИ!B25:G25,КОЭФФИЦИЕНТЫ_ВЫБОРА!F36:K36,ПАРАМЕТРЫ!$B$17:$G$17)</f>
        <v>0</v>
      </c>
      <c r="J2795" s="12" t="n">
        <f aca="false">I2795*G2795/1000</f>
        <v>0</v>
      </c>
      <c r="K2795" s="11" t="s">
        <v>217</v>
      </c>
      <c r="L2795" s="11" t="s">
        <v>19</v>
      </c>
      <c r="M2795" s="11" t="s">
        <v>145</v>
      </c>
    </row>
    <row r="2796" customFormat="false" ht="23.85" hidden="false" customHeight="false" outlineLevel="0" collapsed="false">
      <c r="A2796" s="11" t="s">
        <v>112</v>
      </c>
      <c r="B2796" s="11" t="s">
        <v>138</v>
      </c>
      <c r="C2796" s="11" t="n">
        <v>27</v>
      </c>
      <c r="D2796" s="11" t="s">
        <v>89</v>
      </c>
      <c r="E2796" s="11" t="s">
        <v>183</v>
      </c>
      <c r="F2796" s="11" t="s">
        <v>88</v>
      </c>
      <c r="G2796" s="12" t="n">
        <v>265</v>
      </c>
      <c r="H2796" s="12" t="n">
        <f aca="false">SUMPRODUCT(ПОТОКИ!B16:G16,ЧАСОВЫЕ_ПРОФИЛИ!B25:G25,КОЭФФИЦИЕНТЫ_ВЫБОРА!F37:K37)</f>
        <v>0</v>
      </c>
      <c r="I2796" s="12" t="n">
        <f aca="false">SUMPRODUCT(ПОТОКИ!B16:G16,ЧАСОВЫЕ_ПРОФИЛИ!B25:G25,КОЭФФИЦИЕНТЫ_ВЫБОРА!F37:K37,ПАРАМЕТРЫ!$B$17:$G$17)</f>
        <v>0</v>
      </c>
      <c r="J2796" s="12" t="n">
        <f aca="false">I2796*G2796/1000</f>
        <v>0</v>
      </c>
      <c r="K2796" s="11" t="s">
        <v>217</v>
      </c>
      <c r="L2796" s="11" t="s">
        <v>19</v>
      </c>
      <c r="M2796" s="11" t="s">
        <v>145</v>
      </c>
    </row>
    <row r="2797" customFormat="false" ht="23.85" hidden="false" customHeight="false" outlineLevel="0" collapsed="false">
      <c r="A2797" s="11" t="s">
        <v>112</v>
      </c>
      <c r="B2797" s="11" t="s">
        <v>138</v>
      </c>
      <c r="C2797" s="11" t="n">
        <v>28</v>
      </c>
      <c r="D2797" s="11" t="s">
        <v>89</v>
      </c>
      <c r="E2797" s="11" t="s">
        <v>184</v>
      </c>
      <c r="F2797" s="11" t="s">
        <v>88</v>
      </c>
      <c r="G2797" s="12" t="n">
        <v>355</v>
      </c>
      <c r="H2797" s="12" t="n">
        <f aca="false">SUMPRODUCT(ПОТОКИ!B16:G16,ЧАСОВЫЕ_ПРОФИЛИ!B25:G25,КОЭФФИЦИЕНТЫ_ВЫБОРА!F38:K38)</f>
        <v>0</v>
      </c>
      <c r="I2797" s="12" t="n">
        <f aca="false">SUMPRODUCT(ПОТОКИ!B16:G16,ЧАСОВЫЕ_ПРОФИЛИ!B25:G25,КОЭФФИЦИЕНТЫ_ВЫБОРА!F38:K38,ПАРАМЕТРЫ!$B$17:$G$17)</f>
        <v>0</v>
      </c>
      <c r="J2797" s="12" t="n">
        <f aca="false">I2797*G2797/1000</f>
        <v>0</v>
      </c>
      <c r="K2797" s="11" t="s">
        <v>217</v>
      </c>
      <c r="L2797" s="11" t="s">
        <v>19</v>
      </c>
      <c r="M2797" s="11" t="s">
        <v>145</v>
      </c>
    </row>
    <row r="2798" customFormat="false" ht="15" hidden="false" customHeight="false" outlineLevel="0" collapsed="false">
      <c r="A2798" s="11" t="s">
        <v>112</v>
      </c>
      <c r="B2798" s="11" t="s">
        <v>138</v>
      </c>
      <c r="C2798" s="11" t="n">
        <v>29</v>
      </c>
      <c r="D2798" s="11" t="s">
        <v>92</v>
      </c>
      <c r="E2798" s="11" t="s">
        <v>185</v>
      </c>
      <c r="F2798" s="11" t="s">
        <v>91</v>
      </c>
      <c r="G2798" s="12" t="n">
        <v>150</v>
      </c>
      <c r="H2798" s="12" t="n">
        <f aca="false">SUMPRODUCT(ПОТОКИ!B16:G16,ЧАСОВЫЕ_ПРОФИЛИ!B25:G25,КОЭФФИЦИЕНТЫ_ВЫБОРА!F39:K39)</f>
        <v>0.516</v>
      </c>
      <c r="I2798" s="12" t="n">
        <f aca="false">SUMPRODUCT(ПОТОКИ!B16:G16,ЧАСОВЫЕ_ПРОФИЛИ!B25:G25,КОЭФФИЦИЕНТЫ_ВЫБОРА!F39:K39,ПАРАМЕТРЫ!$B$17:$G$17)</f>
        <v>0.5676</v>
      </c>
      <c r="J2798" s="12" t="n">
        <f aca="false">I2798*G2798/1000</f>
        <v>0.08514</v>
      </c>
      <c r="K2798" s="11" t="s">
        <v>217</v>
      </c>
      <c r="L2798" s="11" t="s">
        <v>19</v>
      </c>
      <c r="M2798" s="11" t="s">
        <v>145</v>
      </c>
    </row>
    <row r="2799" customFormat="false" ht="15" hidden="false" customHeight="false" outlineLevel="0" collapsed="false">
      <c r="A2799" s="11" t="s">
        <v>112</v>
      </c>
      <c r="B2799" s="11" t="s">
        <v>138</v>
      </c>
      <c r="C2799" s="11" t="n">
        <v>30</v>
      </c>
      <c r="D2799" s="11" t="s">
        <v>92</v>
      </c>
      <c r="E2799" s="11" t="s">
        <v>186</v>
      </c>
      <c r="F2799" s="11" t="s">
        <v>91</v>
      </c>
      <c r="G2799" s="12" t="n">
        <v>120</v>
      </c>
      <c r="H2799" s="12" t="n">
        <f aca="false">SUMPRODUCT(ПОТОКИ!B16:G16,ЧАСОВЫЕ_ПРОФИЛИ!B25:G25,КОЭФФИЦИЕНТЫ_ВЫБОРА!F40:K40)</f>
        <v>0.766</v>
      </c>
      <c r="I2799" s="12" t="n">
        <f aca="false">SUMPRODUCT(ПОТОКИ!B16:G16,ЧАСОВЫЕ_ПРОФИЛИ!B25:G25,КОЭФФИЦИЕНТЫ_ВЫБОРА!F40:K40,ПАРАМЕТРЫ!$B$17:$G$17)</f>
        <v>0.8426</v>
      </c>
      <c r="J2799" s="12" t="n">
        <f aca="false">I2799*G2799/1000</f>
        <v>0.101112</v>
      </c>
      <c r="K2799" s="11" t="s">
        <v>217</v>
      </c>
      <c r="L2799" s="11" t="s">
        <v>19</v>
      </c>
      <c r="M2799" s="11" t="s">
        <v>145</v>
      </c>
    </row>
    <row r="2800" customFormat="false" ht="15" hidden="false" customHeight="false" outlineLevel="0" collapsed="false">
      <c r="A2800" s="11" t="s">
        <v>112</v>
      </c>
      <c r="B2800" s="11" t="s">
        <v>138</v>
      </c>
      <c r="C2800" s="11" t="n">
        <v>31</v>
      </c>
      <c r="D2800" s="11" t="s">
        <v>92</v>
      </c>
      <c r="E2800" s="11" t="s">
        <v>187</v>
      </c>
      <c r="F2800" s="11" t="s">
        <v>91</v>
      </c>
      <c r="G2800" s="12" t="n">
        <v>60</v>
      </c>
      <c r="H2800" s="12" t="n">
        <f aca="false">SUMPRODUCT(ПОТОКИ!B16:G16,ЧАСОВЫЕ_ПРОФИЛИ!B25:G25,КОЭФФИЦИЕНТЫ_ВЫБОРА!F41:K41)</f>
        <v>0.288</v>
      </c>
      <c r="I2800" s="12" t="n">
        <f aca="false">SUMPRODUCT(ПОТОКИ!B16:G16,ЧАСОВЫЕ_ПРОФИЛИ!B25:G25,КОЭФФИЦИЕНТЫ_ВЫБОРА!F41:K41,ПАРАМЕТРЫ!$B$17:$G$17)</f>
        <v>0.3168</v>
      </c>
      <c r="J2800" s="12" t="n">
        <f aca="false">I2800*G2800/1000</f>
        <v>0.019008</v>
      </c>
      <c r="K2800" s="11" t="s">
        <v>217</v>
      </c>
      <c r="L2800" s="11" t="s">
        <v>19</v>
      </c>
      <c r="M2800" s="11" t="s">
        <v>145</v>
      </c>
    </row>
    <row r="2801" customFormat="false" ht="15" hidden="false" customHeight="false" outlineLevel="0" collapsed="false">
      <c r="A2801" s="11" t="s">
        <v>113</v>
      </c>
      <c r="B2801" s="11" t="s">
        <v>124</v>
      </c>
      <c r="C2801" s="11" t="n">
        <v>1</v>
      </c>
      <c r="D2801" s="11" t="s">
        <v>74</v>
      </c>
      <c r="E2801" s="11" t="s">
        <v>153</v>
      </c>
      <c r="F2801" s="11" t="s">
        <v>73</v>
      </c>
      <c r="G2801" s="12" t="n">
        <v>450</v>
      </c>
      <c r="H2801" s="12" t="n">
        <f aca="false">SUMPRODUCT(ПОТОКИ!B17:G17,ЧАСОВЫЕ_ПРОФИЛИ!B11:G11,КОЭФФИЦИЕНТЫ_ВЫБОРА!F11:K11)</f>
        <v>0</v>
      </c>
      <c r="I2801" s="12" t="n">
        <f aca="false">SUMPRODUCT(ПОТОКИ!B17:G17,ЧАСОВЫЕ_ПРОФИЛИ!B11:G11,КОЭФФИЦИЕНТЫ_ВЫБОРА!F11:K11,ПАРАМЕТРЫ!$B$17:$G$17)</f>
        <v>0</v>
      </c>
      <c r="J2801" s="12" t="n">
        <f aca="false">I2801*G2801/1000</f>
        <v>0</v>
      </c>
      <c r="K2801" s="11" t="s">
        <v>217</v>
      </c>
      <c r="L2801" s="11" t="s">
        <v>19</v>
      </c>
      <c r="M2801" s="11" t="s">
        <v>145</v>
      </c>
    </row>
    <row r="2802" customFormat="false" ht="15" hidden="false" customHeight="false" outlineLevel="0" collapsed="false">
      <c r="A2802" s="11" t="s">
        <v>113</v>
      </c>
      <c r="B2802" s="11" t="s">
        <v>124</v>
      </c>
      <c r="C2802" s="11" t="n">
        <v>2</v>
      </c>
      <c r="D2802" s="11" t="s">
        <v>74</v>
      </c>
      <c r="E2802" s="11" t="s">
        <v>154</v>
      </c>
      <c r="F2802" s="11" t="s">
        <v>73</v>
      </c>
      <c r="G2802" s="12" t="n">
        <v>480</v>
      </c>
      <c r="H2802" s="12" t="n">
        <f aca="false">SUMPRODUCT(ПОТОКИ!B17:G17,ЧАСОВЫЕ_ПРОФИЛИ!B11:G11,КОЭФФИЦИЕНТЫ_ВЫБОРА!F12:K12)</f>
        <v>0</v>
      </c>
      <c r="I2802" s="12" t="n">
        <f aca="false">SUMPRODUCT(ПОТОКИ!B17:G17,ЧАСОВЫЕ_ПРОФИЛИ!B11:G11,КОЭФФИЦИЕНТЫ_ВЫБОРА!F12:K12,ПАРАМЕТРЫ!$B$17:$G$17)</f>
        <v>0</v>
      </c>
      <c r="J2802" s="12" t="n">
        <f aca="false">I2802*G2802/1000</f>
        <v>0</v>
      </c>
      <c r="K2802" s="11" t="s">
        <v>217</v>
      </c>
      <c r="L2802" s="11" t="s">
        <v>19</v>
      </c>
      <c r="M2802" s="11" t="s">
        <v>145</v>
      </c>
    </row>
    <row r="2803" customFormat="false" ht="15" hidden="false" customHeight="false" outlineLevel="0" collapsed="false">
      <c r="A2803" s="11" t="s">
        <v>113</v>
      </c>
      <c r="B2803" s="11" t="s">
        <v>124</v>
      </c>
      <c r="C2803" s="11" t="n">
        <v>3</v>
      </c>
      <c r="D2803" s="11" t="s">
        <v>74</v>
      </c>
      <c r="E2803" s="11" t="s">
        <v>155</v>
      </c>
      <c r="F2803" s="11" t="s">
        <v>73</v>
      </c>
      <c r="G2803" s="12" t="n">
        <v>500</v>
      </c>
      <c r="H2803" s="12" t="n">
        <f aca="false">SUMPRODUCT(ПОТОКИ!B17:G17,ЧАСОВЫЕ_ПРОФИЛИ!B11:G11,КОЭФФИЦИЕНТЫ_ВЫБОРА!F13:K13)</f>
        <v>0</v>
      </c>
      <c r="I2803" s="12" t="n">
        <f aca="false">SUMPRODUCT(ПОТОКИ!B17:G17,ЧАСОВЫЕ_ПРОФИЛИ!B11:G11,КОЭФФИЦИЕНТЫ_ВЫБОРА!F13:K13,ПАРАМЕТРЫ!$B$17:$G$17)</f>
        <v>0</v>
      </c>
      <c r="J2803" s="12" t="n">
        <f aca="false">I2803*G2803/1000</f>
        <v>0</v>
      </c>
      <c r="K2803" s="11" t="s">
        <v>217</v>
      </c>
      <c r="L2803" s="11" t="s">
        <v>19</v>
      </c>
      <c r="M2803" s="11" t="s">
        <v>145</v>
      </c>
    </row>
    <row r="2804" customFormat="false" ht="15" hidden="false" customHeight="false" outlineLevel="0" collapsed="false">
      <c r="A2804" s="11" t="s">
        <v>113</v>
      </c>
      <c r="B2804" s="11" t="s">
        <v>124</v>
      </c>
      <c r="C2804" s="11" t="n">
        <v>4</v>
      </c>
      <c r="D2804" s="11" t="s">
        <v>74</v>
      </c>
      <c r="E2804" s="11" t="s">
        <v>156</v>
      </c>
      <c r="F2804" s="11" t="s">
        <v>73</v>
      </c>
      <c r="G2804" s="12" t="n">
        <v>500</v>
      </c>
      <c r="H2804" s="12" t="n">
        <f aca="false">SUMPRODUCT(ПОТОКИ!B17:G17,ЧАСОВЫЕ_ПРОФИЛИ!B11:G11,КОЭФФИЦИЕНТЫ_ВЫБОРА!F14:K14)</f>
        <v>0</v>
      </c>
      <c r="I2804" s="12" t="n">
        <f aca="false">SUMPRODUCT(ПОТОКИ!B17:G17,ЧАСОВЫЕ_ПРОФИЛИ!B11:G11,КОЭФФИЦИЕНТЫ_ВЫБОРА!F14:K14,ПАРАМЕТРЫ!$B$17:$G$17)</f>
        <v>0</v>
      </c>
      <c r="J2804" s="12" t="n">
        <f aca="false">I2804*G2804/1000</f>
        <v>0</v>
      </c>
      <c r="K2804" s="11" t="s">
        <v>217</v>
      </c>
      <c r="L2804" s="11" t="s">
        <v>19</v>
      </c>
      <c r="M2804" s="11" t="s">
        <v>145</v>
      </c>
    </row>
    <row r="2805" customFormat="false" ht="15" hidden="false" customHeight="false" outlineLevel="0" collapsed="false">
      <c r="A2805" s="11" t="s">
        <v>113</v>
      </c>
      <c r="B2805" s="11" t="s">
        <v>124</v>
      </c>
      <c r="C2805" s="11" t="n">
        <v>5</v>
      </c>
      <c r="D2805" s="11" t="s">
        <v>78</v>
      </c>
      <c r="E2805" s="11" t="s">
        <v>157</v>
      </c>
      <c r="F2805" s="11" t="s">
        <v>77</v>
      </c>
      <c r="G2805" s="12" t="n">
        <v>100</v>
      </c>
      <c r="H2805" s="12" t="n">
        <f aca="false">SUMPRODUCT(ПОТОКИ!B17:G17,ЧАСОВЫЕ_ПРОФИЛИ!B11:G11,КОЭФФИЦИЕНТЫ_ВЫБОРА!F15:K15)</f>
        <v>0.108</v>
      </c>
      <c r="I2805" s="12" t="n">
        <f aca="false">SUMPRODUCT(ПОТОКИ!B17:G17,ЧАСОВЫЕ_ПРОФИЛИ!B11:G11,КОЭФФИЦИЕНТЫ_ВЫБОРА!F15:K15,ПАРАМЕТРЫ!$B$17:$G$17)</f>
        <v>0.1188</v>
      </c>
      <c r="J2805" s="12" t="n">
        <f aca="false">I2805*G2805/1000</f>
        <v>0.01188</v>
      </c>
      <c r="K2805" s="11" t="s">
        <v>217</v>
      </c>
      <c r="L2805" s="11" t="s">
        <v>19</v>
      </c>
      <c r="M2805" s="11" t="s">
        <v>147</v>
      </c>
    </row>
    <row r="2806" customFormat="false" ht="15" hidden="false" customHeight="false" outlineLevel="0" collapsed="false">
      <c r="A2806" s="11" t="s">
        <v>113</v>
      </c>
      <c r="B2806" s="11" t="s">
        <v>124</v>
      </c>
      <c r="C2806" s="11" t="n">
        <v>6</v>
      </c>
      <c r="D2806" s="11" t="s">
        <v>78</v>
      </c>
      <c r="E2806" s="11" t="s">
        <v>158</v>
      </c>
      <c r="F2806" s="11" t="s">
        <v>77</v>
      </c>
      <c r="G2806" s="12" t="n">
        <v>100</v>
      </c>
      <c r="H2806" s="12" t="n">
        <f aca="false">SUMPRODUCT(ПОТОКИ!B17:G17,ЧАСОВЫЕ_ПРОФИЛИ!B11:G11,КОЭФФИЦИЕНТЫ_ВЫБОРА!F16:K16)</f>
        <v>0.108</v>
      </c>
      <c r="I2806" s="12" t="n">
        <f aca="false">SUMPRODUCT(ПОТОКИ!B17:G17,ЧАСОВЫЕ_ПРОФИЛИ!B11:G11,КОЭФФИЦИЕНТЫ_ВЫБОРА!F16:K16,ПАРАМЕТРЫ!$B$17:$G$17)</f>
        <v>0.1188</v>
      </c>
      <c r="J2806" s="12" t="n">
        <f aca="false">I2806*G2806/1000</f>
        <v>0.01188</v>
      </c>
      <c r="K2806" s="11" t="s">
        <v>217</v>
      </c>
      <c r="L2806" s="11" t="s">
        <v>19</v>
      </c>
      <c r="M2806" s="11" t="s">
        <v>147</v>
      </c>
    </row>
    <row r="2807" customFormat="false" ht="15" hidden="false" customHeight="false" outlineLevel="0" collapsed="false">
      <c r="A2807" s="11" t="s">
        <v>113</v>
      </c>
      <c r="B2807" s="11" t="s">
        <v>124</v>
      </c>
      <c r="C2807" s="11" t="n">
        <v>7</v>
      </c>
      <c r="D2807" s="11" t="s">
        <v>78</v>
      </c>
      <c r="E2807" s="11" t="s">
        <v>159</v>
      </c>
      <c r="F2807" s="11" t="s">
        <v>77</v>
      </c>
      <c r="G2807" s="12" t="n">
        <v>350</v>
      </c>
      <c r="H2807" s="12" t="n">
        <f aca="false">SUMPRODUCT(ПОТОКИ!B17:G17,ЧАСОВЫЕ_ПРОФИЛИ!B11:G11,КОЭФФИЦИЕНТЫ_ВЫБОРА!F17:K17)</f>
        <v>0.09</v>
      </c>
      <c r="I2807" s="12" t="n">
        <f aca="false">SUMPRODUCT(ПОТОКИ!B17:G17,ЧАСОВЫЕ_ПРОФИЛИ!B11:G11,КОЭФФИЦИЕНТЫ_ВЫБОРА!F17:K17,ПАРАМЕТРЫ!$B$17:$G$17)</f>
        <v>0.099</v>
      </c>
      <c r="J2807" s="12" t="n">
        <f aca="false">I2807*G2807/1000</f>
        <v>0.03465</v>
      </c>
      <c r="K2807" s="11" t="s">
        <v>217</v>
      </c>
      <c r="L2807" s="11" t="s">
        <v>19</v>
      </c>
      <c r="M2807" s="11" t="s">
        <v>147</v>
      </c>
    </row>
    <row r="2808" customFormat="false" ht="15" hidden="false" customHeight="false" outlineLevel="0" collapsed="false">
      <c r="A2808" s="11" t="s">
        <v>113</v>
      </c>
      <c r="B2808" s="11" t="s">
        <v>124</v>
      </c>
      <c r="C2808" s="11" t="n">
        <v>8</v>
      </c>
      <c r="D2808" s="11" t="s">
        <v>78</v>
      </c>
      <c r="E2808" s="11" t="s">
        <v>160</v>
      </c>
      <c r="F2808" s="11" t="s">
        <v>77</v>
      </c>
      <c r="G2808" s="12" t="n">
        <v>85</v>
      </c>
      <c r="H2808" s="12" t="n">
        <f aca="false">SUMPRODUCT(ПОТОКИ!B17:G17,ЧАСОВЫЕ_ПРОФИЛИ!B11:G11,КОЭФФИЦИЕНТЫ_ВЫБОРА!F18:K18)</f>
        <v>0.054</v>
      </c>
      <c r="I2808" s="12" t="n">
        <f aca="false">SUMPRODUCT(ПОТОКИ!B17:G17,ЧАСОВЫЕ_ПРОФИЛИ!B11:G11,КОЭФФИЦИЕНТЫ_ВЫБОРА!F18:K18,ПАРАМЕТРЫ!$B$17:$G$17)</f>
        <v>0.0594</v>
      </c>
      <c r="J2808" s="12" t="n">
        <f aca="false">I2808*G2808/1000</f>
        <v>0.005049</v>
      </c>
      <c r="K2808" s="11" t="s">
        <v>217</v>
      </c>
      <c r="L2808" s="11" t="s">
        <v>19</v>
      </c>
      <c r="M2808" s="11" t="s">
        <v>147</v>
      </c>
    </row>
    <row r="2809" customFormat="false" ht="15" hidden="false" customHeight="false" outlineLevel="0" collapsed="false">
      <c r="A2809" s="11" t="s">
        <v>113</v>
      </c>
      <c r="B2809" s="11" t="s">
        <v>124</v>
      </c>
      <c r="C2809" s="11" t="n">
        <v>9</v>
      </c>
      <c r="D2809" s="11" t="s">
        <v>161</v>
      </c>
      <c r="E2809" s="11" t="s">
        <v>162</v>
      </c>
      <c r="F2809" s="11" t="s">
        <v>80</v>
      </c>
      <c r="G2809" s="12" t="n">
        <v>300</v>
      </c>
      <c r="H2809" s="12" t="n">
        <f aca="false">SUMPRODUCT(ПОТОКИ!B17:G17,ЧАСОВЫЕ_ПРОФИЛИ!B11:G11,КОЭФФИЦИЕНТЫ_ВЫБОРА!F19:K19)</f>
        <v>0</v>
      </c>
      <c r="I2809" s="12" t="n">
        <f aca="false">SUMPRODUCT(ПОТОКИ!B17:G17,ЧАСОВЫЕ_ПРОФИЛИ!B11:G11,КОЭФФИЦИЕНТЫ_ВЫБОРА!F19:K19,ПАРАМЕТРЫ!$B$17:$G$17)</f>
        <v>0</v>
      </c>
      <c r="J2809" s="12" t="n">
        <f aca="false">I2809*G2809/1000</f>
        <v>0</v>
      </c>
      <c r="K2809" s="11" t="s">
        <v>217</v>
      </c>
      <c r="L2809" s="11" t="s">
        <v>19</v>
      </c>
      <c r="M2809" s="11" t="s">
        <v>145</v>
      </c>
    </row>
    <row r="2810" customFormat="false" ht="15" hidden="false" customHeight="false" outlineLevel="0" collapsed="false">
      <c r="A2810" s="11" t="s">
        <v>113</v>
      </c>
      <c r="B2810" s="11" t="s">
        <v>124</v>
      </c>
      <c r="C2810" s="11" t="n">
        <v>10</v>
      </c>
      <c r="D2810" s="11" t="s">
        <v>161</v>
      </c>
      <c r="E2810" s="11" t="s">
        <v>163</v>
      </c>
      <c r="F2810" s="11" t="s">
        <v>80</v>
      </c>
      <c r="G2810" s="12" t="n">
        <v>280</v>
      </c>
      <c r="H2810" s="12" t="n">
        <f aca="false">SUMPRODUCT(ПОТОКИ!B17:G17,ЧАСОВЫЕ_ПРОФИЛИ!B11:G11,КОЭФФИЦИЕНТЫ_ВЫБОРА!F20:K20)</f>
        <v>0</v>
      </c>
      <c r="I2810" s="12" t="n">
        <f aca="false">SUMPRODUCT(ПОТОКИ!B17:G17,ЧАСОВЫЕ_ПРОФИЛИ!B11:G11,КОЭФФИЦИЕНТЫ_ВЫБОРА!F20:K20,ПАРАМЕТРЫ!$B$17:$G$17)</f>
        <v>0</v>
      </c>
      <c r="J2810" s="12" t="n">
        <f aca="false">I2810*G2810/1000</f>
        <v>0</v>
      </c>
      <c r="K2810" s="11" t="s">
        <v>217</v>
      </c>
      <c r="L2810" s="11" t="s">
        <v>19</v>
      </c>
      <c r="M2810" s="11" t="s">
        <v>145</v>
      </c>
    </row>
    <row r="2811" customFormat="false" ht="15" hidden="false" customHeight="false" outlineLevel="0" collapsed="false">
      <c r="A2811" s="11" t="s">
        <v>113</v>
      </c>
      <c r="B2811" s="11" t="s">
        <v>124</v>
      </c>
      <c r="C2811" s="11" t="n">
        <v>11</v>
      </c>
      <c r="D2811" s="11" t="s">
        <v>161</v>
      </c>
      <c r="E2811" s="11" t="s">
        <v>164</v>
      </c>
      <c r="F2811" s="11" t="s">
        <v>80</v>
      </c>
      <c r="G2811" s="12" t="n">
        <v>270</v>
      </c>
      <c r="H2811" s="12" t="n">
        <f aca="false">SUMPRODUCT(ПОТОКИ!B17:G17,ЧАСОВЫЕ_ПРОФИЛИ!B11:G11,КОЭФФИЦИЕНТЫ_ВЫБОРА!F21:K21)</f>
        <v>0</v>
      </c>
      <c r="I2811" s="12" t="n">
        <f aca="false">SUMPRODUCT(ПОТОКИ!B17:G17,ЧАСОВЫЕ_ПРОФИЛИ!B11:G11,КОЭФФИЦИЕНТЫ_ВЫБОРА!F21:K21,ПАРАМЕТРЫ!$B$17:$G$17)</f>
        <v>0</v>
      </c>
      <c r="J2811" s="12" t="n">
        <f aca="false">I2811*G2811/1000</f>
        <v>0</v>
      </c>
      <c r="K2811" s="11" t="s">
        <v>217</v>
      </c>
      <c r="L2811" s="11" t="s">
        <v>19</v>
      </c>
      <c r="M2811" s="11" t="s">
        <v>145</v>
      </c>
    </row>
    <row r="2812" customFormat="false" ht="15" hidden="false" customHeight="false" outlineLevel="0" collapsed="false">
      <c r="A2812" s="11" t="s">
        <v>113</v>
      </c>
      <c r="B2812" s="11" t="s">
        <v>124</v>
      </c>
      <c r="C2812" s="11" t="n">
        <v>12</v>
      </c>
      <c r="D2812" s="11" t="s">
        <v>161</v>
      </c>
      <c r="E2812" s="11" t="s">
        <v>165</v>
      </c>
      <c r="F2812" s="11" t="s">
        <v>80</v>
      </c>
      <c r="G2812" s="12" t="n">
        <v>240</v>
      </c>
      <c r="H2812" s="12" t="n">
        <f aca="false">SUMPRODUCT(ПОТОКИ!B17:G17,ЧАСОВЫЕ_ПРОФИЛИ!B11:G11,КОЭФФИЦИЕНТЫ_ВЫБОРА!F22:K22)</f>
        <v>0</v>
      </c>
      <c r="I2812" s="12" t="n">
        <f aca="false">SUMPRODUCT(ПОТОКИ!B17:G17,ЧАСОВЫЕ_ПРОФИЛИ!B11:G11,КОЭФФИЦИЕНТЫ_ВЫБОРА!F22:K22,ПАРАМЕТРЫ!$B$17:$G$17)</f>
        <v>0</v>
      </c>
      <c r="J2812" s="12" t="n">
        <f aca="false">I2812*G2812/1000</f>
        <v>0</v>
      </c>
      <c r="K2812" s="11" t="s">
        <v>217</v>
      </c>
      <c r="L2812" s="11" t="s">
        <v>19</v>
      </c>
      <c r="M2812" s="11" t="s">
        <v>145</v>
      </c>
    </row>
    <row r="2813" customFormat="false" ht="15" hidden="false" customHeight="false" outlineLevel="0" collapsed="false">
      <c r="A2813" s="11" t="s">
        <v>113</v>
      </c>
      <c r="B2813" s="11" t="s">
        <v>124</v>
      </c>
      <c r="C2813" s="11" t="n">
        <v>13</v>
      </c>
      <c r="D2813" s="11" t="s">
        <v>166</v>
      </c>
      <c r="E2813" s="11" t="s">
        <v>167</v>
      </c>
      <c r="F2813" s="11" t="s">
        <v>80</v>
      </c>
      <c r="G2813" s="12" t="n">
        <v>130</v>
      </c>
      <c r="H2813" s="12" t="n">
        <f aca="false">SUMPRODUCT(ПОТОКИ!B17:G17,ЧАСОВЫЕ_ПРОФИЛИ!B11:G11,КОЭФФИЦИЕНТЫ_ВЫБОРА!F23:K23)</f>
        <v>0</v>
      </c>
      <c r="I2813" s="12" t="n">
        <f aca="false">SUMPRODUCT(ПОТОКИ!B17:G17,ЧАСОВЫЕ_ПРОФИЛИ!B11:G11,КОЭФФИЦИЕНТЫ_ВЫБОРА!F23:K23,ПАРАМЕТРЫ!$B$17:$G$17)</f>
        <v>0</v>
      </c>
      <c r="J2813" s="12" t="n">
        <f aca="false">I2813*G2813/1000</f>
        <v>0</v>
      </c>
      <c r="K2813" s="11" t="s">
        <v>217</v>
      </c>
      <c r="L2813" s="11" t="s">
        <v>19</v>
      </c>
      <c r="M2813" s="11" t="s">
        <v>145</v>
      </c>
    </row>
    <row r="2814" customFormat="false" ht="15" hidden="false" customHeight="false" outlineLevel="0" collapsed="false">
      <c r="A2814" s="11" t="s">
        <v>113</v>
      </c>
      <c r="B2814" s="11" t="s">
        <v>124</v>
      </c>
      <c r="C2814" s="11" t="n">
        <v>14</v>
      </c>
      <c r="D2814" s="11" t="s">
        <v>166</v>
      </c>
      <c r="E2814" s="11" t="s">
        <v>168</v>
      </c>
      <c r="F2814" s="11" t="s">
        <v>80</v>
      </c>
      <c r="G2814" s="12" t="n">
        <v>250</v>
      </c>
      <c r="H2814" s="12" t="n">
        <f aca="false">SUMPRODUCT(ПОТОКИ!B17:G17,ЧАСОВЫЕ_ПРОФИЛИ!B11:G11,КОЭФФИЦИЕНТЫ_ВЫБОРА!F24:K24)</f>
        <v>0</v>
      </c>
      <c r="I2814" s="12" t="n">
        <f aca="false">SUMPRODUCT(ПОТОКИ!B17:G17,ЧАСОВЫЕ_ПРОФИЛИ!B11:G11,КОЭФФИЦИЕНТЫ_ВЫБОРА!F24:K24,ПАРАМЕТРЫ!$B$17:$G$17)</f>
        <v>0</v>
      </c>
      <c r="J2814" s="12" t="n">
        <f aca="false">I2814*G2814/1000</f>
        <v>0</v>
      </c>
      <c r="K2814" s="11" t="s">
        <v>217</v>
      </c>
      <c r="L2814" s="11" t="s">
        <v>19</v>
      </c>
      <c r="M2814" s="11" t="s">
        <v>145</v>
      </c>
    </row>
    <row r="2815" customFormat="false" ht="15" hidden="false" customHeight="false" outlineLevel="0" collapsed="false">
      <c r="A2815" s="11" t="s">
        <v>113</v>
      </c>
      <c r="B2815" s="11" t="s">
        <v>124</v>
      </c>
      <c r="C2815" s="11" t="n">
        <v>15</v>
      </c>
      <c r="D2815" s="11" t="s">
        <v>166</v>
      </c>
      <c r="E2815" s="11" t="s">
        <v>169</v>
      </c>
      <c r="F2815" s="11" t="s">
        <v>80</v>
      </c>
      <c r="G2815" s="12" t="n">
        <v>120</v>
      </c>
      <c r="H2815" s="12" t="n">
        <f aca="false">SUMPRODUCT(ПОТОКИ!B17:G17,ЧАСОВЫЕ_ПРОФИЛИ!B11:G11,КОЭФФИЦИЕНТЫ_ВЫБОРА!F25:K25)</f>
        <v>0</v>
      </c>
      <c r="I2815" s="12" t="n">
        <f aca="false">SUMPRODUCT(ПОТОКИ!B17:G17,ЧАСОВЫЕ_ПРОФИЛИ!B11:G11,КОЭФФИЦИЕНТЫ_ВЫБОРА!F25:K25,ПАРАМЕТРЫ!$B$17:$G$17)</f>
        <v>0</v>
      </c>
      <c r="J2815" s="12" t="n">
        <f aca="false">I2815*G2815/1000</f>
        <v>0</v>
      </c>
      <c r="K2815" s="11" t="s">
        <v>217</v>
      </c>
      <c r="L2815" s="11" t="s">
        <v>19</v>
      </c>
      <c r="M2815" s="11" t="s">
        <v>145</v>
      </c>
    </row>
    <row r="2816" customFormat="false" ht="15" hidden="false" customHeight="false" outlineLevel="0" collapsed="false">
      <c r="A2816" s="11" t="s">
        <v>113</v>
      </c>
      <c r="B2816" s="11" t="s">
        <v>124</v>
      </c>
      <c r="C2816" s="11" t="n">
        <v>16</v>
      </c>
      <c r="D2816" s="11" t="s">
        <v>166</v>
      </c>
      <c r="E2816" s="11" t="s">
        <v>170</v>
      </c>
      <c r="F2816" s="11" t="s">
        <v>80</v>
      </c>
      <c r="G2816" s="12" t="n">
        <v>180</v>
      </c>
      <c r="H2816" s="12" t="n">
        <f aca="false">SUMPRODUCT(ПОТОКИ!B17:G17,ЧАСОВЫЕ_ПРОФИЛИ!B11:G11,КОЭФФИЦИЕНТЫ_ВЫБОРА!F26:K26)</f>
        <v>0</v>
      </c>
      <c r="I2816" s="12" t="n">
        <f aca="false">SUMPRODUCT(ПОТОКИ!B17:G17,ЧАСОВЫЕ_ПРОФИЛИ!B11:G11,КОЭФФИЦИЕНТЫ_ВЫБОРА!F26:K26,ПАРАМЕТРЫ!$B$17:$G$17)</f>
        <v>0</v>
      </c>
      <c r="J2816" s="12" t="n">
        <f aca="false">I2816*G2816/1000</f>
        <v>0</v>
      </c>
      <c r="K2816" s="11" t="s">
        <v>217</v>
      </c>
      <c r="L2816" s="11" t="s">
        <v>19</v>
      </c>
      <c r="M2816" s="11" t="s">
        <v>145</v>
      </c>
    </row>
    <row r="2817" customFormat="false" ht="15" hidden="false" customHeight="false" outlineLevel="0" collapsed="false">
      <c r="A2817" s="11" t="s">
        <v>113</v>
      </c>
      <c r="B2817" s="11" t="s">
        <v>124</v>
      </c>
      <c r="C2817" s="11" t="n">
        <v>17</v>
      </c>
      <c r="D2817" s="11" t="s">
        <v>166</v>
      </c>
      <c r="E2817" s="11" t="s">
        <v>171</v>
      </c>
      <c r="F2817" s="11" t="s">
        <v>80</v>
      </c>
      <c r="G2817" s="12" t="n">
        <v>180</v>
      </c>
      <c r="H2817" s="12" t="n">
        <f aca="false">SUMPRODUCT(ПОТОКИ!B17:G17,ЧАСОВЫЕ_ПРОФИЛИ!B11:G11,КОЭФФИЦИЕНТЫ_ВЫБОРА!F27:K27)</f>
        <v>0</v>
      </c>
      <c r="I2817" s="12" t="n">
        <f aca="false">SUMPRODUCT(ПОТОКИ!B17:G17,ЧАСОВЫЕ_ПРОФИЛИ!B11:G11,КОЭФФИЦИЕНТЫ_ВЫБОРА!F27:K27,ПАРАМЕТРЫ!$B$17:$G$17)</f>
        <v>0</v>
      </c>
      <c r="J2817" s="12" t="n">
        <f aca="false">I2817*G2817/1000</f>
        <v>0</v>
      </c>
      <c r="K2817" s="11" t="s">
        <v>217</v>
      </c>
      <c r="L2817" s="11" t="s">
        <v>19</v>
      </c>
      <c r="M2817" s="11" t="s">
        <v>145</v>
      </c>
    </row>
    <row r="2818" customFormat="false" ht="15" hidden="false" customHeight="false" outlineLevel="0" collapsed="false">
      <c r="A2818" s="11" t="s">
        <v>113</v>
      </c>
      <c r="B2818" s="11" t="s">
        <v>124</v>
      </c>
      <c r="C2818" s="11" t="n">
        <v>18</v>
      </c>
      <c r="D2818" s="11" t="s">
        <v>172</v>
      </c>
      <c r="E2818" s="11" t="s">
        <v>173</v>
      </c>
      <c r="F2818" s="11" t="s">
        <v>83</v>
      </c>
      <c r="G2818" s="12" t="n">
        <v>400</v>
      </c>
      <c r="H2818" s="12" t="n">
        <f aca="false">SUMPRODUCT(ПОТОКИ!B17:G17,ЧАСОВЫЕ_ПРОФИЛИ!B11:G11,КОЭФФИЦИЕНТЫ_ВЫБОРА!F28:K28)</f>
        <v>0</v>
      </c>
      <c r="I2818" s="12" t="n">
        <f aca="false">SUMPRODUCT(ПОТОКИ!B17:G17,ЧАСОВЫЕ_ПРОФИЛИ!B11:G11,КОЭФФИЦИЕНТЫ_ВЫБОРА!F28:K28,ПАРАМЕТРЫ!$B$17:$G$17)</f>
        <v>0</v>
      </c>
      <c r="J2818" s="12" t="n">
        <f aca="false">I2818*G2818/1000</f>
        <v>0</v>
      </c>
      <c r="K2818" s="11" t="s">
        <v>217</v>
      </c>
      <c r="L2818" s="11" t="s">
        <v>19</v>
      </c>
      <c r="M2818" s="11" t="s">
        <v>145</v>
      </c>
    </row>
    <row r="2819" customFormat="false" ht="23.85" hidden="false" customHeight="false" outlineLevel="0" collapsed="false">
      <c r="A2819" s="11" t="s">
        <v>113</v>
      </c>
      <c r="B2819" s="11" t="s">
        <v>124</v>
      </c>
      <c r="C2819" s="11" t="n">
        <v>19</v>
      </c>
      <c r="D2819" s="11" t="s">
        <v>174</v>
      </c>
      <c r="E2819" s="11" t="s">
        <v>175</v>
      </c>
      <c r="F2819" s="11" t="s">
        <v>83</v>
      </c>
      <c r="G2819" s="12" t="n">
        <v>300</v>
      </c>
      <c r="H2819" s="12" t="n">
        <f aca="false">SUMPRODUCT(ПОТОКИ!B17:G17,ЧАСОВЫЕ_ПРОФИЛИ!B11:G11,КОЭФФИЦИЕНТЫ_ВЫБОРА!F29:K29)</f>
        <v>0</v>
      </c>
      <c r="I2819" s="12" t="n">
        <f aca="false">SUMPRODUCT(ПОТОКИ!B17:G17,ЧАСОВЫЕ_ПРОФИЛИ!B11:G11,КОЭФФИЦИЕНТЫ_ВЫБОРА!F29:K29,ПАРАМЕТРЫ!$B$17:$G$17)</f>
        <v>0</v>
      </c>
      <c r="J2819" s="12" t="n">
        <f aca="false">I2819*G2819/1000</f>
        <v>0</v>
      </c>
      <c r="K2819" s="11" t="s">
        <v>217</v>
      </c>
      <c r="L2819" s="11" t="s">
        <v>19</v>
      </c>
      <c r="M2819" s="11" t="s">
        <v>145</v>
      </c>
    </row>
    <row r="2820" customFormat="false" ht="15" hidden="false" customHeight="false" outlineLevel="0" collapsed="false">
      <c r="A2820" s="11" t="s">
        <v>113</v>
      </c>
      <c r="B2820" s="11" t="s">
        <v>124</v>
      </c>
      <c r="C2820" s="11" t="n">
        <v>20</v>
      </c>
      <c r="D2820" s="11" t="s">
        <v>174</v>
      </c>
      <c r="E2820" s="11" t="s">
        <v>176</v>
      </c>
      <c r="F2820" s="11" t="s">
        <v>83</v>
      </c>
      <c r="G2820" s="12" t="n">
        <v>360</v>
      </c>
      <c r="H2820" s="12" t="n">
        <f aca="false">SUMPRODUCT(ПОТОКИ!B17:G17,ЧАСОВЫЕ_ПРОФИЛИ!B11:G11,КОЭФФИЦИЕНТЫ_ВЫБОРА!F30:K30)</f>
        <v>0</v>
      </c>
      <c r="I2820" s="12" t="n">
        <f aca="false">SUMPRODUCT(ПОТОКИ!B17:G17,ЧАСОВЫЕ_ПРОФИЛИ!B11:G11,КОЭФФИЦИЕНТЫ_ВЫБОРА!F30:K30,ПАРАМЕТРЫ!$B$17:$G$17)</f>
        <v>0</v>
      </c>
      <c r="J2820" s="12" t="n">
        <f aca="false">I2820*G2820/1000</f>
        <v>0</v>
      </c>
      <c r="K2820" s="11" t="s">
        <v>217</v>
      </c>
      <c r="L2820" s="11" t="s">
        <v>19</v>
      </c>
      <c r="M2820" s="11" t="s">
        <v>145</v>
      </c>
    </row>
    <row r="2821" customFormat="false" ht="15" hidden="false" customHeight="false" outlineLevel="0" collapsed="false">
      <c r="A2821" s="11" t="s">
        <v>113</v>
      </c>
      <c r="B2821" s="11" t="s">
        <v>124</v>
      </c>
      <c r="C2821" s="11" t="n">
        <v>21</v>
      </c>
      <c r="D2821" s="11" t="s">
        <v>174</v>
      </c>
      <c r="E2821" s="11" t="s">
        <v>177</v>
      </c>
      <c r="F2821" s="11" t="s">
        <v>83</v>
      </c>
      <c r="G2821" s="12" t="n">
        <v>350</v>
      </c>
      <c r="H2821" s="12" t="n">
        <f aca="false">SUMPRODUCT(ПОТОКИ!B17:G17,ЧАСОВЫЕ_ПРОФИЛИ!B11:G11,КОЭФФИЦИЕНТЫ_ВЫБОРА!F31:K31)</f>
        <v>0</v>
      </c>
      <c r="I2821" s="12" t="n">
        <f aca="false">SUMPRODUCT(ПОТОКИ!B17:G17,ЧАСОВЫЕ_ПРОФИЛИ!B11:G11,КОЭФФИЦИЕНТЫ_ВЫБОРА!F31:K31,ПАРАМЕТРЫ!$B$17:$G$17)</f>
        <v>0</v>
      </c>
      <c r="J2821" s="12" t="n">
        <f aca="false">I2821*G2821/1000</f>
        <v>0</v>
      </c>
      <c r="K2821" s="11" t="s">
        <v>217</v>
      </c>
      <c r="L2821" s="11" t="s">
        <v>19</v>
      </c>
      <c r="M2821" s="11" t="s">
        <v>145</v>
      </c>
    </row>
    <row r="2822" customFormat="false" ht="15" hidden="false" customHeight="false" outlineLevel="0" collapsed="false">
      <c r="A2822" s="11" t="s">
        <v>113</v>
      </c>
      <c r="B2822" s="11" t="s">
        <v>124</v>
      </c>
      <c r="C2822" s="11" t="n">
        <v>22</v>
      </c>
      <c r="D2822" s="11" t="s">
        <v>174</v>
      </c>
      <c r="E2822" s="11" t="s">
        <v>178</v>
      </c>
      <c r="F2822" s="11" t="s">
        <v>83</v>
      </c>
      <c r="G2822" s="12" t="n">
        <v>300</v>
      </c>
      <c r="H2822" s="12" t="n">
        <f aca="false">SUMPRODUCT(ПОТОКИ!B17:G17,ЧАСОВЫЕ_ПРОФИЛИ!B11:G11,КОЭФФИЦИЕНТЫ_ВЫБОРА!F32:K32)</f>
        <v>0</v>
      </c>
      <c r="I2822" s="12" t="n">
        <f aca="false">SUMPRODUCT(ПОТОКИ!B17:G17,ЧАСОВЫЕ_ПРОФИЛИ!B11:G11,КОЭФФИЦИЕНТЫ_ВЫБОРА!F32:K32,ПАРАМЕТРЫ!$B$17:$G$17)</f>
        <v>0</v>
      </c>
      <c r="J2822" s="12" t="n">
        <f aca="false">I2822*G2822/1000</f>
        <v>0</v>
      </c>
      <c r="K2822" s="11" t="s">
        <v>217</v>
      </c>
      <c r="L2822" s="11" t="s">
        <v>19</v>
      </c>
      <c r="M2822" s="11" t="s">
        <v>145</v>
      </c>
    </row>
    <row r="2823" customFormat="false" ht="15" hidden="false" customHeight="false" outlineLevel="0" collapsed="false">
      <c r="A2823" s="11" t="s">
        <v>113</v>
      </c>
      <c r="B2823" s="11" t="s">
        <v>124</v>
      </c>
      <c r="C2823" s="11" t="n">
        <v>23</v>
      </c>
      <c r="D2823" s="11" t="s">
        <v>86</v>
      </c>
      <c r="E2823" s="11" t="s">
        <v>179</v>
      </c>
      <c r="F2823" s="11" t="s">
        <v>85</v>
      </c>
      <c r="G2823" s="12" t="n">
        <v>150</v>
      </c>
      <c r="H2823" s="12" t="n">
        <f aca="false">SUMPRODUCT(ПОТОКИ!B17:G17,ЧАСОВЫЕ_ПРОФИЛИ!B11:G11,КОЭФФИЦИЕНТЫ_ВЫБОРА!F33:K33)</f>
        <v>0</v>
      </c>
      <c r="I2823" s="12" t="n">
        <f aca="false">SUMPRODUCT(ПОТОКИ!B17:G17,ЧАСОВЫЕ_ПРОФИЛИ!B11:G11,КОЭФФИЦИЕНТЫ_ВЫБОРА!F33:K33,ПАРАМЕТРЫ!$B$17:$G$17)</f>
        <v>0</v>
      </c>
      <c r="J2823" s="12" t="n">
        <f aca="false">I2823*G2823/1000</f>
        <v>0</v>
      </c>
      <c r="K2823" s="11" t="s">
        <v>217</v>
      </c>
      <c r="L2823" s="11" t="s">
        <v>19</v>
      </c>
      <c r="M2823" s="11" t="s">
        <v>147</v>
      </c>
    </row>
    <row r="2824" customFormat="false" ht="15" hidden="false" customHeight="false" outlineLevel="0" collapsed="false">
      <c r="A2824" s="11" t="s">
        <v>113</v>
      </c>
      <c r="B2824" s="11" t="s">
        <v>124</v>
      </c>
      <c r="C2824" s="11" t="n">
        <v>24</v>
      </c>
      <c r="D2824" s="11" t="s">
        <v>86</v>
      </c>
      <c r="E2824" s="11" t="s">
        <v>180</v>
      </c>
      <c r="F2824" s="11" t="s">
        <v>85</v>
      </c>
      <c r="G2824" s="12" t="n">
        <v>150</v>
      </c>
      <c r="H2824" s="12" t="n">
        <f aca="false">SUMPRODUCT(ПОТОКИ!B17:G17,ЧАСОВЫЕ_ПРОФИЛИ!B11:G11,КОЭФФИЦИЕНТЫ_ВЫБОРА!F34:K34)</f>
        <v>0</v>
      </c>
      <c r="I2824" s="12" t="n">
        <f aca="false">SUMPRODUCT(ПОТОКИ!B17:G17,ЧАСОВЫЕ_ПРОФИЛИ!B11:G11,КОЭФФИЦИЕНТЫ_ВЫБОРА!F34:K34,ПАРАМЕТРЫ!$B$17:$G$17)</f>
        <v>0</v>
      </c>
      <c r="J2824" s="12" t="n">
        <f aca="false">I2824*G2824/1000</f>
        <v>0</v>
      </c>
      <c r="K2824" s="11" t="s">
        <v>217</v>
      </c>
      <c r="L2824" s="11" t="s">
        <v>19</v>
      </c>
      <c r="M2824" s="11" t="s">
        <v>147</v>
      </c>
    </row>
    <row r="2825" customFormat="false" ht="15" hidden="false" customHeight="false" outlineLevel="0" collapsed="false">
      <c r="A2825" s="11" t="s">
        <v>113</v>
      </c>
      <c r="B2825" s="11" t="s">
        <v>124</v>
      </c>
      <c r="C2825" s="11" t="n">
        <v>25</v>
      </c>
      <c r="D2825" s="11" t="s">
        <v>86</v>
      </c>
      <c r="E2825" s="11" t="s">
        <v>181</v>
      </c>
      <c r="F2825" s="11" t="s">
        <v>85</v>
      </c>
      <c r="G2825" s="12" t="n">
        <v>150</v>
      </c>
      <c r="H2825" s="12" t="n">
        <f aca="false">SUMPRODUCT(ПОТОКИ!B17:G17,ЧАСОВЫЕ_ПРОФИЛИ!B11:G11,КОЭФФИЦИЕНТЫ_ВЫБОРА!F35:K35)</f>
        <v>0</v>
      </c>
      <c r="I2825" s="12" t="n">
        <f aca="false">SUMPRODUCT(ПОТОКИ!B17:G17,ЧАСОВЫЕ_ПРОФИЛИ!B11:G11,КОЭФФИЦИЕНТЫ_ВЫБОРА!F35:K35,ПАРАМЕТРЫ!$B$17:$G$17)</f>
        <v>0</v>
      </c>
      <c r="J2825" s="12" t="n">
        <f aca="false">I2825*G2825/1000</f>
        <v>0</v>
      </c>
      <c r="K2825" s="11" t="s">
        <v>217</v>
      </c>
      <c r="L2825" s="11" t="s">
        <v>19</v>
      </c>
      <c r="M2825" s="11" t="s">
        <v>147</v>
      </c>
    </row>
    <row r="2826" customFormat="false" ht="23.85" hidden="false" customHeight="false" outlineLevel="0" collapsed="false">
      <c r="A2826" s="11" t="s">
        <v>113</v>
      </c>
      <c r="B2826" s="11" t="s">
        <v>124</v>
      </c>
      <c r="C2826" s="11" t="n">
        <v>26</v>
      </c>
      <c r="D2826" s="11" t="s">
        <v>89</v>
      </c>
      <c r="E2826" s="11" t="s">
        <v>182</v>
      </c>
      <c r="F2826" s="11" t="s">
        <v>88</v>
      </c>
      <c r="G2826" s="12" t="n">
        <v>225</v>
      </c>
      <c r="H2826" s="12" t="n">
        <f aca="false">SUMPRODUCT(ПОТОКИ!B17:G17,ЧАСОВЫЕ_ПРОФИЛИ!B11:G11,КОЭФФИЦИЕНТЫ_ВЫБОРА!F36:K36)</f>
        <v>1.2375</v>
      </c>
      <c r="I2826" s="12" t="n">
        <f aca="false">SUMPRODUCT(ПОТОКИ!B17:G17,ЧАСОВЫЕ_ПРОФИЛИ!B11:G11,КОЭФФИЦИЕНТЫ_ВЫБОРА!F36:K36,ПАРАМЕТРЫ!$B$17:$G$17)</f>
        <v>1.2375</v>
      </c>
      <c r="J2826" s="12" t="n">
        <f aca="false">I2826*G2826/1000</f>
        <v>0.2784375</v>
      </c>
      <c r="K2826" s="11" t="s">
        <v>217</v>
      </c>
      <c r="L2826" s="11" t="s">
        <v>19</v>
      </c>
      <c r="M2826" s="11" t="s">
        <v>145</v>
      </c>
    </row>
    <row r="2827" customFormat="false" ht="23.85" hidden="false" customHeight="false" outlineLevel="0" collapsed="false">
      <c r="A2827" s="11" t="s">
        <v>113</v>
      </c>
      <c r="B2827" s="11" t="s">
        <v>124</v>
      </c>
      <c r="C2827" s="11" t="n">
        <v>27</v>
      </c>
      <c r="D2827" s="11" t="s">
        <v>89</v>
      </c>
      <c r="E2827" s="11" t="s">
        <v>183</v>
      </c>
      <c r="F2827" s="11" t="s">
        <v>88</v>
      </c>
      <c r="G2827" s="12" t="n">
        <v>265</v>
      </c>
      <c r="H2827" s="12" t="n">
        <f aca="false">SUMPRODUCT(ПОТОКИ!B17:G17,ЧАСОВЫЕ_ПРОФИЛИ!B11:G11,КОЭФФИЦИЕНТЫ_ВЫБОРА!F37:K37)</f>
        <v>1.2375</v>
      </c>
      <c r="I2827" s="12" t="n">
        <f aca="false">SUMPRODUCT(ПОТОКИ!B17:G17,ЧАСОВЫЕ_ПРОФИЛИ!B11:G11,КОЭФФИЦИЕНТЫ_ВЫБОРА!F37:K37,ПАРАМЕТРЫ!$B$17:$G$17)</f>
        <v>1.2375</v>
      </c>
      <c r="J2827" s="12" t="n">
        <f aca="false">I2827*G2827/1000</f>
        <v>0.3279375</v>
      </c>
      <c r="K2827" s="11" t="s">
        <v>217</v>
      </c>
      <c r="L2827" s="11" t="s">
        <v>19</v>
      </c>
      <c r="M2827" s="11" t="s">
        <v>145</v>
      </c>
    </row>
    <row r="2828" customFormat="false" ht="23.85" hidden="false" customHeight="false" outlineLevel="0" collapsed="false">
      <c r="A2828" s="11" t="s">
        <v>113</v>
      </c>
      <c r="B2828" s="11" t="s">
        <v>124</v>
      </c>
      <c r="C2828" s="11" t="n">
        <v>28</v>
      </c>
      <c r="D2828" s="11" t="s">
        <v>89</v>
      </c>
      <c r="E2828" s="11" t="s">
        <v>184</v>
      </c>
      <c r="F2828" s="11" t="s">
        <v>88</v>
      </c>
      <c r="G2828" s="12" t="n">
        <v>355</v>
      </c>
      <c r="H2828" s="12" t="n">
        <f aca="false">SUMPRODUCT(ПОТОКИ!B17:G17,ЧАСОВЫЕ_ПРОФИЛИ!B11:G11,КОЭФФИЦИЕНТЫ_ВЫБОРА!F38:K38)</f>
        <v>0.825</v>
      </c>
      <c r="I2828" s="12" t="n">
        <f aca="false">SUMPRODUCT(ПОТОКИ!B17:G17,ЧАСОВЫЕ_ПРОФИЛИ!B11:G11,КОЭФФИЦИЕНТЫ_ВЫБОРА!F38:K38,ПАРАМЕТРЫ!$B$17:$G$17)</f>
        <v>0.825</v>
      </c>
      <c r="J2828" s="12" t="n">
        <f aca="false">I2828*G2828/1000</f>
        <v>0.292875</v>
      </c>
      <c r="K2828" s="11" t="s">
        <v>217</v>
      </c>
      <c r="L2828" s="11" t="s">
        <v>19</v>
      </c>
      <c r="M2828" s="11" t="s">
        <v>145</v>
      </c>
    </row>
    <row r="2829" customFormat="false" ht="15" hidden="false" customHeight="false" outlineLevel="0" collapsed="false">
      <c r="A2829" s="11" t="s">
        <v>113</v>
      </c>
      <c r="B2829" s="11" t="s">
        <v>124</v>
      </c>
      <c r="C2829" s="11" t="n">
        <v>29</v>
      </c>
      <c r="D2829" s="11" t="s">
        <v>92</v>
      </c>
      <c r="E2829" s="11" t="s">
        <v>185</v>
      </c>
      <c r="F2829" s="11" t="s">
        <v>91</v>
      </c>
      <c r="G2829" s="12" t="n">
        <v>150</v>
      </c>
      <c r="H2829" s="12" t="n">
        <f aca="false">SUMPRODUCT(ПОТОКИ!B17:G17,ЧАСОВЫЕ_ПРОФИЛИ!B11:G11,КОЭФФИЦИЕНТЫ_ВЫБОРА!F39:K39)</f>
        <v>0.054</v>
      </c>
      <c r="I2829" s="12" t="n">
        <f aca="false">SUMPRODUCT(ПОТОКИ!B17:G17,ЧАСОВЫЕ_ПРОФИЛИ!B11:G11,КОЭФФИЦИЕНТЫ_ВЫБОРА!F39:K39,ПАРАМЕТРЫ!$B$17:$G$17)</f>
        <v>0.0594</v>
      </c>
      <c r="J2829" s="12" t="n">
        <f aca="false">I2829*G2829/1000</f>
        <v>0.00891</v>
      </c>
      <c r="K2829" s="11" t="s">
        <v>217</v>
      </c>
      <c r="L2829" s="11" t="s">
        <v>19</v>
      </c>
      <c r="M2829" s="11" t="s">
        <v>145</v>
      </c>
    </row>
    <row r="2830" customFormat="false" ht="15" hidden="false" customHeight="false" outlineLevel="0" collapsed="false">
      <c r="A2830" s="11" t="s">
        <v>113</v>
      </c>
      <c r="B2830" s="11" t="s">
        <v>124</v>
      </c>
      <c r="C2830" s="11" t="n">
        <v>30</v>
      </c>
      <c r="D2830" s="11" t="s">
        <v>92</v>
      </c>
      <c r="E2830" s="11" t="s">
        <v>186</v>
      </c>
      <c r="F2830" s="11" t="s">
        <v>91</v>
      </c>
      <c r="G2830" s="12" t="n">
        <v>120</v>
      </c>
      <c r="H2830" s="12" t="n">
        <f aca="false">SUMPRODUCT(ПОТОКИ!B17:G17,ЧАСОВЫЕ_ПРОФИЛИ!B11:G11,КОЭФФИЦИЕНТЫ_ВЫБОРА!F40:K40)</f>
        <v>0.054</v>
      </c>
      <c r="I2830" s="12" t="n">
        <f aca="false">SUMPRODUCT(ПОТОКИ!B17:G17,ЧАСОВЫЕ_ПРОФИЛИ!B11:G11,КОЭФФИЦИЕНТЫ_ВЫБОРА!F40:K40,ПАРАМЕТРЫ!$B$17:$G$17)</f>
        <v>0.0594</v>
      </c>
      <c r="J2830" s="12" t="n">
        <f aca="false">I2830*G2830/1000</f>
        <v>0.007128</v>
      </c>
      <c r="K2830" s="11" t="s">
        <v>217</v>
      </c>
      <c r="L2830" s="11" t="s">
        <v>19</v>
      </c>
      <c r="M2830" s="11" t="s">
        <v>145</v>
      </c>
    </row>
    <row r="2831" customFormat="false" ht="15" hidden="false" customHeight="false" outlineLevel="0" collapsed="false">
      <c r="A2831" s="11" t="s">
        <v>113</v>
      </c>
      <c r="B2831" s="11" t="s">
        <v>124</v>
      </c>
      <c r="C2831" s="11" t="n">
        <v>31</v>
      </c>
      <c r="D2831" s="11" t="s">
        <v>92</v>
      </c>
      <c r="E2831" s="11" t="s">
        <v>187</v>
      </c>
      <c r="F2831" s="11" t="s">
        <v>91</v>
      </c>
      <c r="G2831" s="12" t="n">
        <v>60</v>
      </c>
      <c r="H2831" s="12" t="n">
        <f aca="false">SUMPRODUCT(ПОТОКИ!B17:G17,ЧАСОВЫЕ_ПРОФИЛИ!B11:G11,КОЭФФИЦИЕНТЫ_ВЫБОРА!F41:K41)</f>
        <v>0.072</v>
      </c>
      <c r="I2831" s="12" t="n">
        <f aca="false">SUMPRODUCT(ПОТОКИ!B17:G17,ЧАСОВЫЕ_ПРОФИЛИ!B11:G11,КОЭФФИЦИЕНТЫ_ВЫБОРА!F41:K41,ПАРАМЕТРЫ!$B$17:$G$17)</f>
        <v>0.0792</v>
      </c>
      <c r="J2831" s="12" t="n">
        <f aca="false">I2831*G2831/1000</f>
        <v>0.004752</v>
      </c>
      <c r="K2831" s="11" t="s">
        <v>217</v>
      </c>
      <c r="L2831" s="11" t="s">
        <v>19</v>
      </c>
      <c r="M2831" s="11" t="s">
        <v>145</v>
      </c>
    </row>
    <row r="2832" customFormat="false" ht="15" hidden="false" customHeight="false" outlineLevel="0" collapsed="false">
      <c r="A2832" s="11" t="s">
        <v>113</v>
      </c>
      <c r="B2832" s="11" t="s">
        <v>125</v>
      </c>
      <c r="C2832" s="11" t="n">
        <v>1</v>
      </c>
      <c r="D2832" s="11" t="s">
        <v>74</v>
      </c>
      <c r="E2832" s="11" t="s">
        <v>153</v>
      </c>
      <c r="F2832" s="11" t="s">
        <v>73</v>
      </c>
      <c r="G2832" s="12" t="n">
        <v>450</v>
      </c>
      <c r="H2832" s="12" t="n">
        <f aca="false">SUMPRODUCT(ПОТОКИ!B17:G17,ЧАСОВЫЕ_ПРОФИЛИ!B12:G12,КОЭФФИЦИЕНТЫ_ВЫБОРА!F11:K11)</f>
        <v>0</v>
      </c>
      <c r="I2832" s="12" t="n">
        <f aca="false">SUMPRODUCT(ПОТОКИ!B17:G17,ЧАСОВЫЕ_ПРОФИЛИ!B12:G12,КОЭФФИЦИЕНТЫ_ВЫБОРА!F11:K11,ПАРАМЕТРЫ!$B$17:$G$17)</f>
        <v>0</v>
      </c>
      <c r="J2832" s="12" t="n">
        <f aca="false">I2832*G2832/1000</f>
        <v>0</v>
      </c>
      <c r="K2832" s="11" t="s">
        <v>217</v>
      </c>
      <c r="L2832" s="11" t="s">
        <v>19</v>
      </c>
      <c r="M2832" s="11" t="s">
        <v>145</v>
      </c>
    </row>
    <row r="2833" customFormat="false" ht="15" hidden="false" customHeight="false" outlineLevel="0" collapsed="false">
      <c r="A2833" s="11" t="s">
        <v>113</v>
      </c>
      <c r="B2833" s="11" t="s">
        <v>125</v>
      </c>
      <c r="C2833" s="11" t="n">
        <v>2</v>
      </c>
      <c r="D2833" s="11" t="s">
        <v>74</v>
      </c>
      <c r="E2833" s="11" t="s">
        <v>154</v>
      </c>
      <c r="F2833" s="11" t="s">
        <v>73</v>
      </c>
      <c r="G2833" s="12" t="n">
        <v>480</v>
      </c>
      <c r="H2833" s="12" t="n">
        <f aca="false">SUMPRODUCT(ПОТОКИ!B17:G17,ЧАСОВЫЕ_ПРОФИЛИ!B12:G12,КОЭФФИЦИЕНТЫ_ВЫБОРА!F12:K12)</f>
        <v>0</v>
      </c>
      <c r="I2833" s="12" t="n">
        <f aca="false">SUMPRODUCT(ПОТОКИ!B17:G17,ЧАСОВЫЕ_ПРОФИЛИ!B12:G12,КОЭФФИЦИЕНТЫ_ВЫБОРА!F12:K12,ПАРАМЕТРЫ!$B$17:$G$17)</f>
        <v>0</v>
      </c>
      <c r="J2833" s="12" t="n">
        <f aca="false">I2833*G2833/1000</f>
        <v>0</v>
      </c>
      <c r="K2833" s="11" t="s">
        <v>217</v>
      </c>
      <c r="L2833" s="11" t="s">
        <v>19</v>
      </c>
      <c r="M2833" s="11" t="s">
        <v>145</v>
      </c>
    </row>
    <row r="2834" customFormat="false" ht="15" hidden="false" customHeight="false" outlineLevel="0" collapsed="false">
      <c r="A2834" s="11" t="s">
        <v>113</v>
      </c>
      <c r="B2834" s="11" t="s">
        <v>125</v>
      </c>
      <c r="C2834" s="11" t="n">
        <v>3</v>
      </c>
      <c r="D2834" s="11" t="s">
        <v>74</v>
      </c>
      <c r="E2834" s="11" t="s">
        <v>155</v>
      </c>
      <c r="F2834" s="11" t="s">
        <v>73</v>
      </c>
      <c r="G2834" s="12" t="n">
        <v>500</v>
      </c>
      <c r="H2834" s="12" t="n">
        <f aca="false">SUMPRODUCT(ПОТОКИ!B17:G17,ЧАСОВЫЕ_ПРОФИЛИ!B12:G12,КОЭФФИЦИЕНТЫ_ВЫБОРА!F13:K13)</f>
        <v>0</v>
      </c>
      <c r="I2834" s="12" t="n">
        <f aca="false">SUMPRODUCT(ПОТОКИ!B17:G17,ЧАСОВЫЕ_ПРОФИЛИ!B12:G12,КОЭФФИЦИЕНТЫ_ВЫБОРА!F13:K13,ПАРАМЕТРЫ!$B$17:$G$17)</f>
        <v>0</v>
      </c>
      <c r="J2834" s="12" t="n">
        <f aca="false">I2834*G2834/1000</f>
        <v>0</v>
      </c>
      <c r="K2834" s="11" t="s">
        <v>217</v>
      </c>
      <c r="L2834" s="11" t="s">
        <v>19</v>
      </c>
      <c r="M2834" s="11" t="s">
        <v>145</v>
      </c>
    </row>
    <row r="2835" customFormat="false" ht="15" hidden="false" customHeight="false" outlineLevel="0" collapsed="false">
      <c r="A2835" s="11" t="s">
        <v>113</v>
      </c>
      <c r="B2835" s="11" t="s">
        <v>125</v>
      </c>
      <c r="C2835" s="11" t="n">
        <v>4</v>
      </c>
      <c r="D2835" s="11" t="s">
        <v>74</v>
      </c>
      <c r="E2835" s="11" t="s">
        <v>156</v>
      </c>
      <c r="F2835" s="11" t="s">
        <v>73</v>
      </c>
      <c r="G2835" s="12" t="n">
        <v>500</v>
      </c>
      <c r="H2835" s="12" t="n">
        <f aca="false">SUMPRODUCT(ПОТОКИ!B17:G17,ЧАСОВЫЕ_ПРОФИЛИ!B12:G12,КОЭФФИЦИЕНТЫ_ВЫБОРА!F14:K14)</f>
        <v>0</v>
      </c>
      <c r="I2835" s="12" t="n">
        <f aca="false">SUMPRODUCT(ПОТОКИ!B17:G17,ЧАСОВЫЕ_ПРОФИЛИ!B12:G12,КОЭФФИЦИЕНТЫ_ВЫБОРА!F14:K14,ПАРАМЕТРЫ!$B$17:$G$17)</f>
        <v>0</v>
      </c>
      <c r="J2835" s="12" t="n">
        <f aca="false">I2835*G2835/1000</f>
        <v>0</v>
      </c>
      <c r="K2835" s="11" t="s">
        <v>217</v>
      </c>
      <c r="L2835" s="11" t="s">
        <v>19</v>
      </c>
      <c r="M2835" s="11" t="s">
        <v>145</v>
      </c>
    </row>
    <row r="2836" customFormat="false" ht="15" hidden="false" customHeight="false" outlineLevel="0" collapsed="false">
      <c r="A2836" s="11" t="s">
        <v>113</v>
      </c>
      <c r="B2836" s="11" t="s">
        <v>125</v>
      </c>
      <c r="C2836" s="11" t="n">
        <v>5</v>
      </c>
      <c r="D2836" s="11" t="s">
        <v>78</v>
      </c>
      <c r="E2836" s="11" t="s">
        <v>157</v>
      </c>
      <c r="F2836" s="11" t="s">
        <v>77</v>
      </c>
      <c r="G2836" s="12" t="n">
        <v>100</v>
      </c>
      <c r="H2836" s="12" t="n">
        <f aca="false">SUMPRODUCT(ПОТОКИ!B17:G17,ЧАСОВЫЕ_ПРОФИЛИ!B12:G12,КОЭФФИЦИЕНТЫ_ВЫБОРА!F15:K15)</f>
        <v>0.18</v>
      </c>
      <c r="I2836" s="12" t="n">
        <f aca="false">SUMPRODUCT(ПОТОКИ!B17:G17,ЧАСОВЫЕ_ПРОФИЛИ!B12:G12,КОЭФФИЦИЕНТЫ_ВЫБОРА!F15:K15,ПАРАМЕТРЫ!$B$17:$G$17)</f>
        <v>0.198</v>
      </c>
      <c r="J2836" s="12" t="n">
        <f aca="false">I2836*G2836/1000</f>
        <v>0.0198</v>
      </c>
      <c r="K2836" s="11" t="s">
        <v>217</v>
      </c>
      <c r="L2836" s="11" t="s">
        <v>19</v>
      </c>
      <c r="M2836" s="11" t="s">
        <v>147</v>
      </c>
    </row>
    <row r="2837" customFormat="false" ht="15" hidden="false" customHeight="false" outlineLevel="0" collapsed="false">
      <c r="A2837" s="11" t="s">
        <v>113</v>
      </c>
      <c r="B2837" s="11" t="s">
        <v>125</v>
      </c>
      <c r="C2837" s="11" t="n">
        <v>6</v>
      </c>
      <c r="D2837" s="11" t="s">
        <v>78</v>
      </c>
      <c r="E2837" s="11" t="s">
        <v>158</v>
      </c>
      <c r="F2837" s="11" t="s">
        <v>77</v>
      </c>
      <c r="G2837" s="12" t="n">
        <v>100</v>
      </c>
      <c r="H2837" s="12" t="n">
        <f aca="false">SUMPRODUCT(ПОТОКИ!B17:G17,ЧАСОВЫЕ_ПРОФИЛИ!B12:G12,КОЭФФИЦИЕНТЫ_ВЫБОРА!F16:K16)</f>
        <v>0.18</v>
      </c>
      <c r="I2837" s="12" t="n">
        <f aca="false">SUMPRODUCT(ПОТОКИ!B17:G17,ЧАСОВЫЕ_ПРОФИЛИ!B12:G12,КОЭФФИЦИЕНТЫ_ВЫБОРА!F16:K16,ПАРАМЕТРЫ!$B$17:$G$17)</f>
        <v>0.198</v>
      </c>
      <c r="J2837" s="12" t="n">
        <f aca="false">I2837*G2837/1000</f>
        <v>0.0198</v>
      </c>
      <c r="K2837" s="11" t="s">
        <v>217</v>
      </c>
      <c r="L2837" s="11" t="s">
        <v>19</v>
      </c>
      <c r="M2837" s="11" t="s">
        <v>147</v>
      </c>
    </row>
    <row r="2838" customFormat="false" ht="15" hidden="false" customHeight="false" outlineLevel="0" collapsed="false">
      <c r="A2838" s="11" t="s">
        <v>113</v>
      </c>
      <c r="B2838" s="11" t="s">
        <v>125</v>
      </c>
      <c r="C2838" s="11" t="n">
        <v>7</v>
      </c>
      <c r="D2838" s="11" t="s">
        <v>78</v>
      </c>
      <c r="E2838" s="11" t="s">
        <v>159</v>
      </c>
      <c r="F2838" s="11" t="s">
        <v>77</v>
      </c>
      <c r="G2838" s="12" t="n">
        <v>350</v>
      </c>
      <c r="H2838" s="12" t="n">
        <f aca="false">SUMPRODUCT(ПОТОКИ!B17:G17,ЧАСОВЫЕ_ПРОФИЛИ!B12:G12,КОЭФФИЦИЕНТЫ_ВЫБОРА!F17:K17)</f>
        <v>0.15</v>
      </c>
      <c r="I2838" s="12" t="n">
        <f aca="false">SUMPRODUCT(ПОТОКИ!B17:G17,ЧАСОВЫЕ_ПРОФИЛИ!B12:G12,КОЭФФИЦИЕНТЫ_ВЫБОРА!F17:K17,ПАРАМЕТРЫ!$B$17:$G$17)</f>
        <v>0.165</v>
      </c>
      <c r="J2838" s="12" t="n">
        <f aca="false">I2838*G2838/1000</f>
        <v>0.05775</v>
      </c>
      <c r="K2838" s="11" t="s">
        <v>217</v>
      </c>
      <c r="L2838" s="11" t="s">
        <v>19</v>
      </c>
      <c r="M2838" s="11" t="s">
        <v>147</v>
      </c>
    </row>
    <row r="2839" customFormat="false" ht="15" hidden="false" customHeight="false" outlineLevel="0" collapsed="false">
      <c r="A2839" s="11" t="s">
        <v>113</v>
      </c>
      <c r="B2839" s="11" t="s">
        <v>125</v>
      </c>
      <c r="C2839" s="11" t="n">
        <v>8</v>
      </c>
      <c r="D2839" s="11" t="s">
        <v>78</v>
      </c>
      <c r="E2839" s="11" t="s">
        <v>160</v>
      </c>
      <c r="F2839" s="11" t="s">
        <v>77</v>
      </c>
      <c r="G2839" s="12" t="n">
        <v>85</v>
      </c>
      <c r="H2839" s="12" t="n">
        <f aca="false">SUMPRODUCT(ПОТОКИ!B17:G17,ЧАСОВЫЕ_ПРОФИЛИ!B12:G12,КОЭФФИЦИЕНТЫ_ВЫБОРА!F18:K18)</f>
        <v>0.09</v>
      </c>
      <c r="I2839" s="12" t="n">
        <f aca="false">SUMPRODUCT(ПОТОКИ!B17:G17,ЧАСОВЫЕ_ПРОФИЛИ!B12:G12,КОЭФФИЦИЕНТЫ_ВЫБОРА!F18:K18,ПАРАМЕТРЫ!$B$17:$G$17)</f>
        <v>0.099</v>
      </c>
      <c r="J2839" s="12" t="n">
        <f aca="false">I2839*G2839/1000</f>
        <v>0.008415</v>
      </c>
      <c r="K2839" s="11" t="s">
        <v>217</v>
      </c>
      <c r="L2839" s="11" t="s">
        <v>19</v>
      </c>
      <c r="M2839" s="11" t="s">
        <v>147</v>
      </c>
    </row>
    <row r="2840" customFormat="false" ht="15" hidden="false" customHeight="false" outlineLevel="0" collapsed="false">
      <c r="A2840" s="11" t="s">
        <v>113</v>
      </c>
      <c r="B2840" s="11" t="s">
        <v>125</v>
      </c>
      <c r="C2840" s="11" t="n">
        <v>9</v>
      </c>
      <c r="D2840" s="11" t="s">
        <v>161</v>
      </c>
      <c r="E2840" s="11" t="s">
        <v>162</v>
      </c>
      <c r="F2840" s="11" t="s">
        <v>80</v>
      </c>
      <c r="G2840" s="12" t="n">
        <v>300</v>
      </c>
      <c r="H2840" s="12" t="n">
        <f aca="false">SUMPRODUCT(ПОТОКИ!B17:G17,ЧАСОВЫЕ_ПРОФИЛИ!B12:G12,КОЭФФИЦИЕНТЫ_ВЫБОРА!F19:K19)</f>
        <v>0</v>
      </c>
      <c r="I2840" s="12" t="n">
        <f aca="false">SUMPRODUCT(ПОТОКИ!B17:G17,ЧАСОВЫЕ_ПРОФИЛИ!B12:G12,КОЭФФИЦИЕНТЫ_ВЫБОРА!F19:K19,ПАРАМЕТРЫ!$B$17:$G$17)</f>
        <v>0</v>
      </c>
      <c r="J2840" s="12" t="n">
        <f aca="false">I2840*G2840/1000</f>
        <v>0</v>
      </c>
      <c r="K2840" s="11" t="s">
        <v>217</v>
      </c>
      <c r="L2840" s="11" t="s">
        <v>19</v>
      </c>
      <c r="M2840" s="11" t="s">
        <v>145</v>
      </c>
    </row>
    <row r="2841" customFormat="false" ht="15" hidden="false" customHeight="false" outlineLevel="0" collapsed="false">
      <c r="A2841" s="11" t="s">
        <v>113</v>
      </c>
      <c r="B2841" s="11" t="s">
        <v>125</v>
      </c>
      <c r="C2841" s="11" t="n">
        <v>10</v>
      </c>
      <c r="D2841" s="11" t="s">
        <v>161</v>
      </c>
      <c r="E2841" s="11" t="s">
        <v>163</v>
      </c>
      <c r="F2841" s="11" t="s">
        <v>80</v>
      </c>
      <c r="G2841" s="12" t="n">
        <v>280</v>
      </c>
      <c r="H2841" s="12" t="n">
        <f aca="false">SUMPRODUCT(ПОТОКИ!B17:G17,ЧАСОВЫЕ_ПРОФИЛИ!B12:G12,КОЭФФИЦИЕНТЫ_ВЫБОРА!F20:K20)</f>
        <v>0</v>
      </c>
      <c r="I2841" s="12" t="n">
        <f aca="false">SUMPRODUCT(ПОТОКИ!B17:G17,ЧАСОВЫЕ_ПРОФИЛИ!B12:G12,КОЭФФИЦИЕНТЫ_ВЫБОРА!F20:K20,ПАРАМЕТРЫ!$B$17:$G$17)</f>
        <v>0</v>
      </c>
      <c r="J2841" s="12" t="n">
        <f aca="false">I2841*G2841/1000</f>
        <v>0</v>
      </c>
      <c r="K2841" s="11" t="s">
        <v>217</v>
      </c>
      <c r="L2841" s="11" t="s">
        <v>19</v>
      </c>
      <c r="M2841" s="11" t="s">
        <v>145</v>
      </c>
    </row>
    <row r="2842" customFormat="false" ht="15" hidden="false" customHeight="false" outlineLevel="0" collapsed="false">
      <c r="A2842" s="11" t="s">
        <v>113</v>
      </c>
      <c r="B2842" s="11" t="s">
        <v>125</v>
      </c>
      <c r="C2842" s="11" t="n">
        <v>11</v>
      </c>
      <c r="D2842" s="11" t="s">
        <v>161</v>
      </c>
      <c r="E2842" s="11" t="s">
        <v>164</v>
      </c>
      <c r="F2842" s="11" t="s">
        <v>80</v>
      </c>
      <c r="G2842" s="12" t="n">
        <v>270</v>
      </c>
      <c r="H2842" s="12" t="n">
        <f aca="false">SUMPRODUCT(ПОТОКИ!B17:G17,ЧАСОВЫЕ_ПРОФИЛИ!B12:G12,КОЭФФИЦИЕНТЫ_ВЫБОРА!F21:K21)</f>
        <v>0</v>
      </c>
      <c r="I2842" s="12" t="n">
        <f aca="false">SUMPRODUCT(ПОТОКИ!B17:G17,ЧАСОВЫЕ_ПРОФИЛИ!B12:G12,КОЭФФИЦИЕНТЫ_ВЫБОРА!F21:K21,ПАРАМЕТРЫ!$B$17:$G$17)</f>
        <v>0</v>
      </c>
      <c r="J2842" s="12" t="n">
        <f aca="false">I2842*G2842/1000</f>
        <v>0</v>
      </c>
      <c r="K2842" s="11" t="s">
        <v>217</v>
      </c>
      <c r="L2842" s="11" t="s">
        <v>19</v>
      </c>
      <c r="M2842" s="11" t="s">
        <v>145</v>
      </c>
    </row>
    <row r="2843" customFormat="false" ht="15" hidden="false" customHeight="false" outlineLevel="0" collapsed="false">
      <c r="A2843" s="11" t="s">
        <v>113</v>
      </c>
      <c r="B2843" s="11" t="s">
        <v>125</v>
      </c>
      <c r="C2843" s="11" t="n">
        <v>12</v>
      </c>
      <c r="D2843" s="11" t="s">
        <v>161</v>
      </c>
      <c r="E2843" s="11" t="s">
        <v>165</v>
      </c>
      <c r="F2843" s="11" t="s">
        <v>80</v>
      </c>
      <c r="G2843" s="12" t="n">
        <v>240</v>
      </c>
      <c r="H2843" s="12" t="n">
        <f aca="false">SUMPRODUCT(ПОТОКИ!B17:G17,ЧАСОВЫЕ_ПРОФИЛИ!B12:G12,КОЭФФИЦИЕНТЫ_ВЫБОРА!F22:K22)</f>
        <v>0</v>
      </c>
      <c r="I2843" s="12" t="n">
        <f aca="false">SUMPRODUCT(ПОТОКИ!B17:G17,ЧАСОВЫЕ_ПРОФИЛИ!B12:G12,КОЭФФИЦИЕНТЫ_ВЫБОРА!F22:K22,ПАРАМЕТРЫ!$B$17:$G$17)</f>
        <v>0</v>
      </c>
      <c r="J2843" s="12" t="n">
        <f aca="false">I2843*G2843/1000</f>
        <v>0</v>
      </c>
      <c r="K2843" s="11" t="s">
        <v>217</v>
      </c>
      <c r="L2843" s="11" t="s">
        <v>19</v>
      </c>
      <c r="M2843" s="11" t="s">
        <v>145</v>
      </c>
    </row>
    <row r="2844" customFormat="false" ht="15" hidden="false" customHeight="false" outlineLevel="0" collapsed="false">
      <c r="A2844" s="11" t="s">
        <v>113</v>
      </c>
      <c r="B2844" s="11" t="s">
        <v>125</v>
      </c>
      <c r="C2844" s="11" t="n">
        <v>13</v>
      </c>
      <c r="D2844" s="11" t="s">
        <v>166</v>
      </c>
      <c r="E2844" s="11" t="s">
        <v>167</v>
      </c>
      <c r="F2844" s="11" t="s">
        <v>80</v>
      </c>
      <c r="G2844" s="12" t="n">
        <v>130</v>
      </c>
      <c r="H2844" s="12" t="n">
        <f aca="false">SUMPRODUCT(ПОТОКИ!B17:G17,ЧАСОВЫЕ_ПРОФИЛИ!B12:G12,КОЭФФИЦИЕНТЫ_ВЫБОРА!F23:K23)</f>
        <v>0</v>
      </c>
      <c r="I2844" s="12" t="n">
        <f aca="false">SUMPRODUCT(ПОТОКИ!B17:G17,ЧАСОВЫЕ_ПРОФИЛИ!B12:G12,КОЭФФИЦИЕНТЫ_ВЫБОРА!F23:K23,ПАРАМЕТРЫ!$B$17:$G$17)</f>
        <v>0</v>
      </c>
      <c r="J2844" s="12" t="n">
        <f aca="false">I2844*G2844/1000</f>
        <v>0</v>
      </c>
      <c r="K2844" s="11" t="s">
        <v>217</v>
      </c>
      <c r="L2844" s="11" t="s">
        <v>19</v>
      </c>
      <c r="M2844" s="11" t="s">
        <v>145</v>
      </c>
    </row>
    <row r="2845" customFormat="false" ht="15" hidden="false" customHeight="false" outlineLevel="0" collapsed="false">
      <c r="A2845" s="11" t="s">
        <v>113</v>
      </c>
      <c r="B2845" s="11" t="s">
        <v>125</v>
      </c>
      <c r="C2845" s="11" t="n">
        <v>14</v>
      </c>
      <c r="D2845" s="11" t="s">
        <v>166</v>
      </c>
      <c r="E2845" s="11" t="s">
        <v>168</v>
      </c>
      <c r="F2845" s="11" t="s">
        <v>80</v>
      </c>
      <c r="G2845" s="12" t="n">
        <v>250</v>
      </c>
      <c r="H2845" s="12" t="n">
        <f aca="false">SUMPRODUCT(ПОТОКИ!B17:G17,ЧАСОВЫЕ_ПРОФИЛИ!B12:G12,КОЭФФИЦИЕНТЫ_ВЫБОРА!F24:K24)</f>
        <v>0</v>
      </c>
      <c r="I2845" s="12" t="n">
        <f aca="false">SUMPRODUCT(ПОТОКИ!B17:G17,ЧАСОВЫЕ_ПРОФИЛИ!B12:G12,КОЭФФИЦИЕНТЫ_ВЫБОРА!F24:K24,ПАРАМЕТРЫ!$B$17:$G$17)</f>
        <v>0</v>
      </c>
      <c r="J2845" s="12" t="n">
        <f aca="false">I2845*G2845/1000</f>
        <v>0</v>
      </c>
      <c r="K2845" s="11" t="s">
        <v>217</v>
      </c>
      <c r="L2845" s="11" t="s">
        <v>19</v>
      </c>
      <c r="M2845" s="11" t="s">
        <v>145</v>
      </c>
    </row>
    <row r="2846" customFormat="false" ht="15" hidden="false" customHeight="false" outlineLevel="0" collapsed="false">
      <c r="A2846" s="11" t="s">
        <v>113</v>
      </c>
      <c r="B2846" s="11" t="s">
        <v>125</v>
      </c>
      <c r="C2846" s="11" t="n">
        <v>15</v>
      </c>
      <c r="D2846" s="11" t="s">
        <v>166</v>
      </c>
      <c r="E2846" s="11" t="s">
        <v>169</v>
      </c>
      <c r="F2846" s="11" t="s">
        <v>80</v>
      </c>
      <c r="G2846" s="12" t="n">
        <v>120</v>
      </c>
      <c r="H2846" s="12" t="n">
        <f aca="false">SUMPRODUCT(ПОТОКИ!B17:G17,ЧАСОВЫЕ_ПРОФИЛИ!B12:G12,КОЭФФИЦИЕНТЫ_ВЫБОРА!F25:K25)</f>
        <v>0</v>
      </c>
      <c r="I2846" s="12" t="n">
        <f aca="false">SUMPRODUCT(ПОТОКИ!B17:G17,ЧАСОВЫЕ_ПРОФИЛИ!B12:G12,КОЭФФИЦИЕНТЫ_ВЫБОРА!F25:K25,ПАРАМЕТРЫ!$B$17:$G$17)</f>
        <v>0</v>
      </c>
      <c r="J2846" s="12" t="n">
        <f aca="false">I2846*G2846/1000</f>
        <v>0</v>
      </c>
      <c r="K2846" s="11" t="s">
        <v>217</v>
      </c>
      <c r="L2846" s="11" t="s">
        <v>19</v>
      </c>
      <c r="M2846" s="11" t="s">
        <v>145</v>
      </c>
    </row>
    <row r="2847" customFormat="false" ht="15" hidden="false" customHeight="false" outlineLevel="0" collapsed="false">
      <c r="A2847" s="11" t="s">
        <v>113</v>
      </c>
      <c r="B2847" s="11" t="s">
        <v>125</v>
      </c>
      <c r="C2847" s="11" t="n">
        <v>16</v>
      </c>
      <c r="D2847" s="11" t="s">
        <v>166</v>
      </c>
      <c r="E2847" s="11" t="s">
        <v>170</v>
      </c>
      <c r="F2847" s="11" t="s">
        <v>80</v>
      </c>
      <c r="G2847" s="12" t="n">
        <v>180</v>
      </c>
      <c r="H2847" s="12" t="n">
        <f aca="false">SUMPRODUCT(ПОТОКИ!B17:G17,ЧАСОВЫЕ_ПРОФИЛИ!B12:G12,КОЭФФИЦИЕНТЫ_ВЫБОРА!F26:K26)</f>
        <v>0</v>
      </c>
      <c r="I2847" s="12" t="n">
        <f aca="false">SUMPRODUCT(ПОТОКИ!B17:G17,ЧАСОВЫЕ_ПРОФИЛИ!B12:G12,КОЭФФИЦИЕНТЫ_ВЫБОРА!F26:K26,ПАРАМЕТРЫ!$B$17:$G$17)</f>
        <v>0</v>
      </c>
      <c r="J2847" s="12" t="n">
        <f aca="false">I2847*G2847/1000</f>
        <v>0</v>
      </c>
      <c r="K2847" s="11" t="s">
        <v>217</v>
      </c>
      <c r="L2847" s="11" t="s">
        <v>19</v>
      </c>
      <c r="M2847" s="11" t="s">
        <v>145</v>
      </c>
    </row>
    <row r="2848" customFormat="false" ht="15" hidden="false" customHeight="false" outlineLevel="0" collapsed="false">
      <c r="A2848" s="11" t="s">
        <v>113</v>
      </c>
      <c r="B2848" s="11" t="s">
        <v>125</v>
      </c>
      <c r="C2848" s="11" t="n">
        <v>17</v>
      </c>
      <c r="D2848" s="11" t="s">
        <v>166</v>
      </c>
      <c r="E2848" s="11" t="s">
        <v>171</v>
      </c>
      <c r="F2848" s="11" t="s">
        <v>80</v>
      </c>
      <c r="G2848" s="12" t="n">
        <v>180</v>
      </c>
      <c r="H2848" s="12" t="n">
        <f aca="false">SUMPRODUCT(ПОТОКИ!B17:G17,ЧАСОВЫЕ_ПРОФИЛИ!B12:G12,КОЭФФИЦИЕНТЫ_ВЫБОРА!F27:K27)</f>
        <v>0</v>
      </c>
      <c r="I2848" s="12" t="n">
        <f aca="false">SUMPRODUCT(ПОТОКИ!B17:G17,ЧАСОВЫЕ_ПРОФИЛИ!B12:G12,КОЭФФИЦИЕНТЫ_ВЫБОРА!F27:K27,ПАРАМЕТРЫ!$B$17:$G$17)</f>
        <v>0</v>
      </c>
      <c r="J2848" s="12" t="n">
        <f aca="false">I2848*G2848/1000</f>
        <v>0</v>
      </c>
      <c r="K2848" s="11" t="s">
        <v>217</v>
      </c>
      <c r="L2848" s="11" t="s">
        <v>19</v>
      </c>
      <c r="M2848" s="11" t="s">
        <v>145</v>
      </c>
    </row>
    <row r="2849" customFormat="false" ht="15" hidden="false" customHeight="false" outlineLevel="0" collapsed="false">
      <c r="A2849" s="11" t="s">
        <v>113</v>
      </c>
      <c r="B2849" s="11" t="s">
        <v>125</v>
      </c>
      <c r="C2849" s="11" t="n">
        <v>18</v>
      </c>
      <c r="D2849" s="11" t="s">
        <v>172</v>
      </c>
      <c r="E2849" s="11" t="s">
        <v>173</v>
      </c>
      <c r="F2849" s="11" t="s">
        <v>83</v>
      </c>
      <c r="G2849" s="12" t="n">
        <v>400</v>
      </c>
      <c r="H2849" s="12" t="n">
        <f aca="false">SUMPRODUCT(ПОТОКИ!B17:G17,ЧАСОВЫЕ_ПРОФИЛИ!B12:G12,КОЭФФИЦИЕНТЫ_ВЫБОРА!F28:K28)</f>
        <v>0</v>
      </c>
      <c r="I2849" s="12" t="n">
        <f aca="false">SUMPRODUCT(ПОТОКИ!B17:G17,ЧАСОВЫЕ_ПРОФИЛИ!B12:G12,КОЭФФИЦИЕНТЫ_ВЫБОРА!F28:K28,ПАРАМЕТРЫ!$B$17:$G$17)</f>
        <v>0</v>
      </c>
      <c r="J2849" s="12" t="n">
        <f aca="false">I2849*G2849/1000</f>
        <v>0</v>
      </c>
      <c r="K2849" s="11" t="s">
        <v>217</v>
      </c>
      <c r="L2849" s="11" t="s">
        <v>19</v>
      </c>
      <c r="M2849" s="11" t="s">
        <v>145</v>
      </c>
    </row>
    <row r="2850" customFormat="false" ht="23.85" hidden="false" customHeight="false" outlineLevel="0" collapsed="false">
      <c r="A2850" s="11" t="s">
        <v>113</v>
      </c>
      <c r="B2850" s="11" t="s">
        <v>125</v>
      </c>
      <c r="C2850" s="11" t="n">
        <v>19</v>
      </c>
      <c r="D2850" s="11" t="s">
        <v>174</v>
      </c>
      <c r="E2850" s="11" t="s">
        <v>175</v>
      </c>
      <c r="F2850" s="11" t="s">
        <v>83</v>
      </c>
      <c r="G2850" s="12" t="n">
        <v>300</v>
      </c>
      <c r="H2850" s="12" t="n">
        <f aca="false">SUMPRODUCT(ПОТОКИ!B17:G17,ЧАСОВЫЕ_ПРОФИЛИ!B12:G12,КОЭФФИЦИЕНТЫ_ВЫБОРА!F29:K29)</f>
        <v>0</v>
      </c>
      <c r="I2850" s="12" t="n">
        <f aca="false">SUMPRODUCT(ПОТОКИ!B17:G17,ЧАСОВЫЕ_ПРОФИЛИ!B12:G12,КОЭФФИЦИЕНТЫ_ВЫБОРА!F29:K29,ПАРАМЕТРЫ!$B$17:$G$17)</f>
        <v>0</v>
      </c>
      <c r="J2850" s="12" t="n">
        <f aca="false">I2850*G2850/1000</f>
        <v>0</v>
      </c>
      <c r="K2850" s="11" t="s">
        <v>217</v>
      </c>
      <c r="L2850" s="11" t="s">
        <v>19</v>
      </c>
      <c r="M2850" s="11" t="s">
        <v>145</v>
      </c>
    </row>
    <row r="2851" customFormat="false" ht="15" hidden="false" customHeight="false" outlineLevel="0" collapsed="false">
      <c r="A2851" s="11" t="s">
        <v>113</v>
      </c>
      <c r="B2851" s="11" t="s">
        <v>125</v>
      </c>
      <c r="C2851" s="11" t="n">
        <v>20</v>
      </c>
      <c r="D2851" s="11" t="s">
        <v>174</v>
      </c>
      <c r="E2851" s="11" t="s">
        <v>176</v>
      </c>
      <c r="F2851" s="11" t="s">
        <v>83</v>
      </c>
      <c r="G2851" s="12" t="n">
        <v>360</v>
      </c>
      <c r="H2851" s="12" t="n">
        <f aca="false">SUMPRODUCT(ПОТОКИ!B17:G17,ЧАСОВЫЕ_ПРОФИЛИ!B12:G12,КОЭФФИЦИЕНТЫ_ВЫБОРА!F30:K30)</f>
        <v>0</v>
      </c>
      <c r="I2851" s="12" t="n">
        <f aca="false">SUMPRODUCT(ПОТОКИ!B17:G17,ЧАСОВЫЕ_ПРОФИЛИ!B12:G12,КОЭФФИЦИЕНТЫ_ВЫБОРА!F30:K30,ПАРАМЕТРЫ!$B$17:$G$17)</f>
        <v>0</v>
      </c>
      <c r="J2851" s="12" t="n">
        <f aca="false">I2851*G2851/1000</f>
        <v>0</v>
      </c>
      <c r="K2851" s="11" t="s">
        <v>217</v>
      </c>
      <c r="L2851" s="11" t="s">
        <v>19</v>
      </c>
      <c r="M2851" s="11" t="s">
        <v>145</v>
      </c>
    </row>
    <row r="2852" customFormat="false" ht="15" hidden="false" customHeight="false" outlineLevel="0" collapsed="false">
      <c r="A2852" s="11" t="s">
        <v>113</v>
      </c>
      <c r="B2852" s="11" t="s">
        <v>125</v>
      </c>
      <c r="C2852" s="11" t="n">
        <v>21</v>
      </c>
      <c r="D2852" s="11" t="s">
        <v>174</v>
      </c>
      <c r="E2852" s="11" t="s">
        <v>177</v>
      </c>
      <c r="F2852" s="11" t="s">
        <v>83</v>
      </c>
      <c r="G2852" s="12" t="n">
        <v>350</v>
      </c>
      <c r="H2852" s="12" t="n">
        <f aca="false">SUMPRODUCT(ПОТОКИ!B17:G17,ЧАСОВЫЕ_ПРОФИЛИ!B12:G12,КОЭФФИЦИЕНТЫ_ВЫБОРА!F31:K31)</f>
        <v>0</v>
      </c>
      <c r="I2852" s="12" t="n">
        <f aca="false">SUMPRODUCT(ПОТОКИ!B17:G17,ЧАСОВЫЕ_ПРОФИЛИ!B12:G12,КОЭФФИЦИЕНТЫ_ВЫБОРА!F31:K31,ПАРАМЕТРЫ!$B$17:$G$17)</f>
        <v>0</v>
      </c>
      <c r="J2852" s="12" t="n">
        <f aca="false">I2852*G2852/1000</f>
        <v>0</v>
      </c>
      <c r="K2852" s="11" t="s">
        <v>217</v>
      </c>
      <c r="L2852" s="11" t="s">
        <v>19</v>
      </c>
      <c r="M2852" s="11" t="s">
        <v>145</v>
      </c>
    </row>
    <row r="2853" customFormat="false" ht="15" hidden="false" customHeight="false" outlineLevel="0" collapsed="false">
      <c r="A2853" s="11" t="s">
        <v>113</v>
      </c>
      <c r="B2853" s="11" t="s">
        <v>125</v>
      </c>
      <c r="C2853" s="11" t="n">
        <v>22</v>
      </c>
      <c r="D2853" s="11" t="s">
        <v>174</v>
      </c>
      <c r="E2853" s="11" t="s">
        <v>178</v>
      </c>
      <c r="F2853" s="11" t="s">
        <v>83</v>
      </c>
      <c r="G2853" s="12" t="n">
        <v>300</v>
      </c>
      <c r="H2853" s="12" t="n">
        <f aca="false">SUMPRODUCT(ПОТОКИ!B17:G17,ЧАСОВЫЕ_ПРОФИЛИ!B12:G12,КОЭФФИЦИЕНТЫ_ВЫБОРА!F32:K32)</f>
        <v>0</v>
      </c>
      <c r="I2853" s="12" t="n">
        <f aca="false">SUMPRODUCT(ПОТОКИ!B17:G17,ЧАСОВЫЕ_ПРОФИЛИ!B12:G12,КОЭФФИЦИЕНТЫ_ВЫБОРА!F32:K32,ПАРАМЕТРЫ!$B$17:$G$17)</f>
        <v>0</v>
      </c>
      <c r="J2853" s="12" t="n">
        <f aca="false">I2853*G2853/1000</f>
        <v>0</v>
      </c>
      <c r="K2853" s="11" t="s">
        <v>217</v>
      </c>
      <c r="L2853" s="11" t="s">
        <v>19</v>
      </c>
      <c r="M2853" s="11" t="s">
        <v>145</v>
      </c>
    </row>
    <row r="2854" customFormat="false" ht="15" hidden="false" customHeight="false" outlineLevel="0" collapsed="false">
      <c r="A2854" s="11" t="s">
        <v>113</v>
      </c>
      <c r="B2854" s="11" t="s">
        <v>125</v>
      </c>
      <c r="C2854" s="11" t="n">
        <v>23</v>
      </c>
      <c r="D2854" s="11" t="s">
        <v>86</v>
      </c>
      <c r="E2854" s="11" t="s">
        <v>179</v>
      </c>
      <c r="F2854" s="11" t="s">
        <v>85</v>
      </c>
      <c r="G2854" s="12" t="n">
        <v>150</v>
      </c>
      <c r="H2854" s="12" t="n">
        <f aca="false">SUMPRODUCT(ПОТОКИ!B17:G17,ЧАСОВЫЕ_ПРОФИЛИ!B12:G12,КОЭФФИЦИЕНТЫ_ВЫБОРА!F33:K33)</f>
        <v>0</v>
      </c>
      <c r="I2854" s="12" t="n">
        <f aca="false">SUMPRODUCT(ПОТОКИ!B17:G17,ЧАСОВЫЕ_ПРОФИЛИ!B12:G12,КОЭФФИЦИЕНТЫ_ВЫБОРА!F33:K33,ПАРАМЕТРЫ!$B$17:$G$17)</f>
        <v>0</v>
      </c>
      <c r="J2854" s="12" t="n">
        <f aca="false">I2854*G2854/1000</f>
        <v>0</v>
      </c>
      <c r="K2854" s="11" t="s">
        <v>217</v>
      </c>
      <c r="L2854" s="11" t="s">
        <v>19</v>
      </c>
      <c r="M2854" s="11" t="s">
        <v>147</v>
      </c>
    </row>
    <row r="2855" customFormat="false" ht="15" hidden="false" customHeight="false" outlineLevel="0" collapsed="false">
      <c r="A2855" s="11" t="s">
        <v>113</v>
      </c>
      <c r="B2855" s="11" t="s">
        <v>125</v>
      </c>
      <c r="C2855" s="11" t="n">
        <v>24</v>
      </c>
      <c r="D2855" s="11" t="s">
        <v>86</v>
      </c>
      <c r="E2855" s="11" t="s">
        <v>180</v>
      </c>
      <c r="F2855" s="11" t="s">
        <v>85</v>
      </c>
      <c r="G2855" s="12" t="n">
        <v>150</v>
      </c>
      <c r="H2855" s="12" t="n">
        <f aca="false">SUMPRODUCT(ПОТОКИ!B17:G17,ЧАСОВЫЕ_ПРОФИЛИ!B12:G12,КОЭФФИЦИЕНТЫ_ВЫБОРА!F34:K34)</f>
        <v>0</v>
      </c>
      <c r="I2855" s="12" t="n">
        <f aca="false">SUMPRODUCT(ПОТОКИ!B17:G17,ЧАСОВЫЕ_ПРОФИЛИ!B12:G12,КОЭФФИЦИЕНТЫ_ВЫБОРА!F34:K34,ПАРАМЕТРЫ!$B$17:$G$17)</f>
        <v>0</v>
      </c>
      <c r="J2855" s="12" t="n">
        <f aca="false">I2855*G2855/1000</f>
        <v>0</v>
      </c>
      <c r="K2855" s="11" t="s">
        <v>217</v>
      </c>
      <c r="L2855" s="11" t="s">
        <v>19</v>
      </c>
      <c r="M2855" s="11" t="s">
        <v>147</v>
      </c>
    </row>
    <row r="2856" customFormat="false" ht="15" hidden="false" customHeight="false" outlineLevel="0" collapsed="false">
      <c r="A2856" s="11" t="s">
        <v>113</v>
      </c>
      <c r="B2856" s="11" t="s">
        <v>125</v>
      </c>
      <c r="C2856" s="11" t="n">
        <v>25</v>
      </c>
      <c r="D2856" s="11" t="s">
        <v>86</v>
      </c>
      <c r="E2856" s="11" t="s">
        <v>181</v>
      </c>
      <c r="F2856" s="11" t="s">
        <v>85</v>
      </c>
      <c r="G2856" s="12" t="n">
        <v>150</v>
      </c>
      <c r="H2856" s="12" t="n">
        <f aca="false">SUMPRODUCT(ПОТОКИ!B17:G17,ЧАСОВЫЕ_ПРОФИЛИ!B12:G12,КОЭФФИЦИЕНТЫ_ВЫБОРА!F35:K35)</f>
        <v>0</v>
      </c>
      <c r="I2856" s="12" t="n">
        <f aca="false">SUMPRODUCT(ПОТОКИ!B17:G17,ЧАСОВЫЕ_ПРОФИЛИ!B12:G12,КОЭФФИЦИЕНТЫ_ВЫБОРА!F35:K35,ПАРАМЕТРЫ!$B$17:$G$17)</f>
        <v>0</v>
      </c>
      <c r="J2856" s="12" t="n">
        <f aca="false">I2856*G2856/1000</f>
        <v>0</v>
      </c>
      <c r="K2856" s="11" t="s">
        <v>217</v>
      </c>
      <c r="L2856" s="11" t="s">
        <v>19</v>
      </c>
      <c r="M2856" s="11" t="s">
        <v>147</v>
      </c>
    </row>
    <row r="2857" customFormat="false" ht="23.85" hidden="false" customHeight="false" outlineLevel="0" collapsed="false">
      <c r="A2857" s="11" t="s">
        <v>113</v>
      </c>
      <c r="B2857" s="11" t="s">
        <v>125</v>
      </c>
      <c r="C2857" s="11" t="n">
        <v>26</v>
      </c>
      <c r="D2857" s="11" t="s">
        <v>89</v>
      </c>
      <c r="E2857" s="11" t="s">
        <v>182</v>
      </c>
      <c r="F2857" s="11" t="s">
        <v>88</v>
      </c>
      <c r="G2857" s="12" t="n">
        <v>225</v>
      </c>
      <c r="H2857" s="12" t="n">
        <f aca="false">SUMPRODUCT(ПОТОКИ!B17:G17,ЧАСОВЫЕ_ПРОФИЛИ!B12:G12,КОЭФФИЦИЕНТЫ_ВЫБОРА!F36:K36)</f>
        <v>2.8875</v>
      </c>
      <c r="I2857" s="12" t="n">
        <f aca="false">SUMPRODUCT(ПОТОКИ!B17:G17,ЧАСОВЫЕ_ПРОФИЛИ!B12:G12,КОЭФФИЦИЕНТЫ_ВЫБОРА!F36:K36,ПАРАМЕТРЫ!$B$17:$G$17)</f>
        <v>2.8875</v>
      </c>
      <c r="J2857" s="12" t="n">
        <f aca="false">I2857*G2857/1000</f>
        <v>0.6496875</v>
      </c>
      <c r="K2857" s="11" t="s">
        <v>217</v>
      </c>
      <c r="L2857" s="11" t="s">
        <v>19</v>
      </c>
      <c r="M2857" s="11" t="s">
        <v>145</v>
      </c>
    </row>
    <row r="2858" customFormat="false" ht="23.85" hidden="false" customHeight="false" outlineLevel="0" collapsed="false">
      <c r="A2858" s="11" t="s">
        <v>113</v>
      </c>
      <c r="B2858" s="11" t="s">
        <v>125</v>
      </c>
      <c r="C2858" s="11" t="n">
        <v>27</v>
      </c>
      <c r="D2858" s="11" t="s">
        <v>89</v>
      </c>
      <c r="E2858" s="11" t="s">
        <v>183</v>
      </c>
      <c r="F2858" s="11" t="s">
        <v>88</v>
      </c>
      <c r="G2858" s="12" t="n">
        <v>265</v>
      </c>
      <c r="H2858" s="12" t="n">
        <f aca="false">SUMPRODUCT(ПОТОКИ!B17:G17,ЧАСОВЫЕ_ПРОФИЛИ!B12:G12,КОЭФФИЦИЕНТЫ_ВЫБОРА!F37:K37)</f>
        <v>2.8875</v>
      </c>
      <c r="I2858" s="12" t="n">
        <f aca="false">SUMPRODUCT(ПОТОКИ!B17:G17,ЧАСОВЫЕ_ПРОФИЛИ!B12:G12,КОЭФФИЦИЕНТЫ_ВЫБОРА!F37:K37,ПАРАМЕТРЫ!$B$17:$G$17)</f>
        <v>2.8875</v>
      </c>
      <c r="J2858" s="12" t="n">
        <f aca="false">I2858*G2858/1000</f>
        <v>0.7651875</v>
      </c>
      <c r="K2858" s="11" t="s">
        <v>217</v>
      </c>
      <c r="L2858" s="11" t="s">
        <v>19</v>
      </c>
      <c r="M2858" s="11" t="s">
        <v>145</v>
      </c>
    </row>
    <row r="2859" customFormat="false" ht="23.85" hidden="false" customHeight="false" outlineLevel="0" collapsed="false">
      <c r="A2859" s="11" t="s">
        <v>113</v>
      </c>
      <c r="B2859" s="11" t="s">
        <v>125</v>
      </c>
      <c r="C2859" s="11" t="n">
        <v>28</v>
      </c>
      <c r="D2859" s="11" t="s">
        <v>89</v>
      </c>
      <c r="E2859" s="11" t="s">
        <v>184</v>
      </c>
      <c r="F2859" s="11" t="s">
        <v>88</v>
      </c>
      <c r="G2859" s="12" t="n">
        <v>355</v>
      </c>
      <c r="H2859" s="12" t="n">
        <f aca="false">SUMPRODUCT(ПОТОКИ!B17:G17,ЧАСОВЫЕ_ПРОФИЛИ!B12:G12,КОЭФФИЦИЕНТЫ_ВЫБОРА!F38:K38)</f>
        <v>1.925</v>
      </c>
      <c r="I2859" s="12" t="n">
        <f aca="false">SUMPRODUCT(ПОТОКИ!B17:G17,ЧАСОВЫЕ_ПРОФИЛИ!B12:G12,КОЭФФИЦИЕНТЫ_ВЫБОРА!F38:K38,ПАРАМЕТРЫ!$B$17:$G$17)</f>
        <v>1.925</v>
      </c>
      <c r="J2859" s="12" t="n">
        <f aca="false">I2859*G2859/1000</f>
        <v>0.683375</v>
      </c>
      <c r="K2859" s="11" t="s">
        <v>217</v>
      </c>
      <c r="L2859" s="11" t="s">
        <v>19</v>
      </c>
      <c r="M2859" s="11" t="s">
        <v>145</v>
      </c>
    </row>
    <row r="2860" customFormat="false" ht="15" hidden="false" customHeight="false" outlineLevel="0" collapsed="false">
      <c r="A2860" s="11" t="s">
        <v>113</v>
      </c>
      <c r="B2860" s="11" t="s">
        <v>125</v>
      </c>
      <c r="C2860" s="11" t="n">
        <v>29</v>
      </c>
      <c r="D2860" s="11" t="s">
        <v>92</v>
      </c>
      <c r="E2860" s="11" t="s">
        <v>185</v>
      </c>
      <c r="F2860" s="11" t="s">
        <v>91</v>
      </c>
      <c r="G2860" s="12" t="n">
        <v>150</v>
      </c>
      <c r="H2860" s="12" t="n">
        <f aca="false">SUMPRODUCT(ПОТОКИ!B17:G17,ЧАСОВЫЕ_ПРОФИЛИ!B12:G12,КОЭФФИЦИЕНТЫ_ВЫБОРА!F39:K39)</f>
        <v>0.09</v>
      </c>
      <c r="I2860" s="12" t="n">
        <f aca="false">SUMPRODUCT(ПОТОКИ!B17:G17,ЧАСОВЫЕ_ПРОФИЛИ!B12:G12,КОЭФФИЦИЕНТЫ_ВЫБОРА!F39:K39,ПАРАМЕТРЫ!$B$17:$G$17)</f>
        <v>0.099</v>
      </c>
      <c r="J2860" s="12" t="n">
        <f aca="false">I2860*G2860/1000</f>
        <v>0.01485</v>
      </c>
      <c r="K2860" s="11" t="s">
        <v>217</v>
      </c>
      <c r="L2860" s="11" t="s">
        <v>19</v>
      </c>
      <c r="M2860" s="11" t="s">
        <v>145</v>
      </c>
    </row>
    <row r="2861" customFormat="false" ht="15" hidden="false" customHeight="false" outlineLevel="0" collapsed="false">
      <c r="A2861" s="11" t="s">
        <v>113</v>
      </c>
      <c r="B2861" s="11" t="s">
        <v>125</v>
      </c>
      <c r="C2861" s="11" t="n">
        <v>30</v>
      </c>
      <c r="D2861" s="11" t="s">
        <v>92</v>
      </c>
      <c r="E2861" s="11" t="s">
        <v>186</v>
      </c>
      <c r="F2861" s="11" t="s">
        <v>91</v>
      </c>
      <c r="G2861" s="12" t="n">
        <v>120</v>
      </c>
      <c r="H2861" s="12" t="n">
        <f aca="false">SUMPRODUCT(ПОТОКИ!B17:G17,ЧАСОВЫЕ_ПРОФИЛИ!B12:G12,КОЭФФИЦИЕНТЫ_ВЫБОРА!F40:K40)</f>
        <v>0.09</v>
      </c>
      <c r="I2861" s="12" t="n">
        <f aca="false">SUMPRODUCT(ПОТОКИ!B17:G17,ЧАСОВЫЕ_ПРОФИЛИ!B12:G12,КОЭФФИЦИЕНТЫ_ВЫБОРА!F40:K40,ПАРАМЕТРЫ!$B$17:$G$17)</f>
        <v>0.099</v>
      </c>
      <c r="J2861" s="12" t="n">
        <f aca="false">I2861*G2861/1000</f>
        <v>0.01188</v>
      </c>
      <c r="K2861" s="11" t="s">
        <v>217</v>
      </c>
      <c r="L2861" s="11" t="s">
        <v>19</v>
      </c>
      <c r="M2861" s="11" t="s">
        <v>145</v>
      </c>
    </row>
    <row r="2862" customFormat="false" ht="15" hidden="false" customHeight="false" outlineLevel="0" collapsed="false">
      <c r="A2862" s="11" t="s">
        <v>113</v>
      </c>
      <c r="B2862" s="11" t="s">
        <v>125</v>
      </c>
      <c r="C2862" s="11" t="n">
        <v>31</v>
      </c>
      <c r="D2862" s="11" t="s">
        <v>92</v>
      </c>
      <c r="E2862" s="11" t="s">
        <v>187</v>
      </c>
      <c r="F2862" s="11" t="s">
        <v>91</v>
      </c>
      <c r="G2862" s="12" t="n">
        <v>60</v>
      </c>
      <c r="H2862" s="12" t="n">
        <f aca="false">SUMPRODUCT(ПОТОКИ!B17:G17,ЧАСОВЫЕ_ПРОФИЛИ!B12:G12,КОЭФФИЦИЕНТЫ_ВЫБОРА!F41:K41)</f>
        <v>0.12</v>
      </c>
      <c r="I2862" s="12" t="n">
        <f aca="false">SUMPRODUCT(ПОТОКИ!B17:G17,ЧАСОВЫЕ_ПРОФИЛИ!B12:G12,КОЭФФИЦИЕНТЫ_ВЫБОРА!F41:K41,ПАРАМЕТРЫ!$B$17:$G$17)</f>
        <v>0.132</v>
      </c>
      <c r="J2862" s="12" t="n">
        <f aca="false">I2862*G2862/1000</f>
        <v>0.00792</v>
      </c>
      <c r="K2862" s="11" t="s">
        <v>217</v>
      </c>
      <c r="L2862" s="11" t="s">
        <v>19</v>
      </c>
      <c r="M2862" s="11" t="s">
        <v>145</v>
      </c>
    </row>
    <row r="2863" customFormat="false" ht="15" hidden="false" customHeight="false" outlineLevel="0" collapsed="false">
      <c r="A2863" s="11" t="s">
        <v>113</v>
      </c>
      <c r="B2863" s="11" t="s">
        <v>126</v>
      </c>
      <c r="C2863" s="11" t="n">
        <v>1</v>
      </c>
      <c r="D2863" s="11" t="s">
        <v>74</v>
      </c>
      <c r="E2863" s="11" t="s">
        <v>153</v>
      </c>
      <c r="F2863" s="11" t="s">
        <v>73</v>
      </c>
      <c r="G2863" s="12" t="n">
        <v>450</v>
      </c>
      <c r="H2863" s="12" t="n">
        <f aca="false">SUMPRODUCT(ПОТОКИ!B17:G17,ЧАСОВЫЕ_ПРОФИЛИ!B13:G13,КОЭФФИЦИЕНТЫ_ВЫБОРА!F11:K11)</f>
        <v>0</v>
      </c>
      <c r="I2863" s="12" t="n">
        <f aca="false">SUMPRODUCT(ПОТОКИ!B17:G17,ЧАСОВЫЕ_ПРОФИЛИ!B13:G13,КОЭФФИЦИЕНТЫ_ВЫБОРА!F11:K11,ПАРАМЕТРЫ!$B$17:$G$17)</f>
        <v>0</v>
      </c>
      <c r="J2863" s="12" t="n">
        <f aca="false">I2863*G2863/1000</f>
        <v>0</v>
      </c>
      <c r="K2863" s="11" t="s">
        <v>217</v>
      </c>
      <c r="L2863" s="11" t="s">
        <v>19</v>
      </c>
      <c r="M2863" s="11" t="s">
        <v>145</v>
      </c>
    </row>
    <row r="2864" customFormat="false" ht="15" hidden="false" customHeight="false" outlineLevel="0" collapsed="false">
      <c r="A2864" s="11" t="s">
        <v>113</v>
      </c>
      <c r="B2864" s="11" t="s">
        <v>126</v>
      </c>
      <c r="C2864" s="11" t="n">
        <v>2</v>
      </c>
      <c r="D2864" s="11" t="s">
        <v>74</v>
      </c>
      <c r="E2864" s="11" t="s">
        <v>154</v>
      </c>
      <c r="F2864" s="11" t="s">
        <v>73</v>
      </c>
      <c r="G2864" s="12" t="n">
        <v>480</v>
      </c>
      <c r="H2864" s="12" t="n">
        <f aca="false">SUMPRODUCT(ПОТОКИ!B17:G17,ЧАСОВЫЕ_ПРОФИЛИ!B13:G13,КОЭФФИЦИЕНТЫ_ВЫБОРА!F12:K12)</f>
        <v>0</v>
      </c>
      <c r="I2864" s="12" t="n">
        <f aca="false">SUMPRODUCT(ПОТОКИ!B17:G17,ЧАСОВЫЕ_ПРОФИЛИ!B13:G13,КОЭФФИЦИЕНТЫ_ВЫБОРА!F12:K12,ПАРАМЕТРЫ!$B$17:$G$17)</f>
        <v>0</v>
      </c>
      <c r="J2864" s="12" t="n">
        <f aca="false">I2864*G2864/1000</f>
        <v>0</v>
      </c>
      <c r="K2864" s="11" t="s">
        <v>217</v>
      </c>
      <c r="L2864" s="11" t="s">
        <v>19</v>
      </c>
      <c r="M2864" s="11" t="s">
        <v>145</v>
      </c>
    </row>
    <row r="2865" customFormat="false" ht="15" hidden="false" customHeight="false" outlineLevel="0" collapsed="false">
      <c r="A2865" s="11" t="s">
        <v>113</v>
      </c>
      <c r="B2865" s="11" t="s">
        <v>126</v>
      </c>
      <c r="C2865" s="11" t="n">
        <v>3</v>
      </c>
      <c r="D2865" s="11" t="s">
        <v>74</v>
      </c>
      <c r="E2865" s="11" t="s">
        <v>155</v>
      </c>
      <c r="F2865" s="11" t="s">
        <v>73</v>
      </c>
      <c r="G2865" s="12" t="n">
        <v>500</v>
      </c>
      <c r="H2865" s="12" t="n">
        <f aca="false">SUMPRODUCT(ПОТОКИ!B17:G17,ЧАСОВЫЕ_ПРОФИЛИ!B13:G13,КОЭФФИЦИЕНТЫ_ВЫБОРА!F13:K13)</f>
        <v>0</v>
      </c>
      <c r="I2865" s="12" t="n">
        <f aca="false">SUMPRODUCT(ПОТОКИ!B17:G17,ЧАСОВЫЕ_ПРОФИЛИ!B13:G13,КОЭФФИЦИЕНТЫ_ВЫБОРА!F13:K13,ПАРАМЕТРЫ!$B$17:$G$17)</f>
        <v>0</v>
      </c>
      <c r="J2865" s="12" t="n">
        <f aca="false">I2865*G2865/1000</f>
        <v>0</v>
      </c>
      <c r="K2865" s="11" t="s">
        <v>217</v>
      </c>
      <c r="L2865" s="11" t="s">
        <v>19</v>
      </c>
      <c r="M2865" s="11" t="s">
        <v>145</v>
      </c>
    </row>
    <row r="2866" customFormat="false" ht="15" hidden="false" customHeight="false" outlineLevel="0" collapsed="false">
      <c r="A2866" s="11" t="s">
        <v>113</v>
      </c>
      <c r="B2866" s="11" t="s">
        <v>126</v>
      </c>
      <c r="C2866" s="11" t="n">
        <v>4</v>
      </c>
      <c r="D2866" s="11" t="s">
        <v>74</v>
      </c>
      <c r="E2866" s="11" t="s">
        <v>156</v>
      </c>
      <c r="F2866" s="11" t="s">
        <v>73</v>
      </c>
      <c r="G2866" s="12" t="n">
        <v>500</v>
      </c>
      <c r="H2866" s="12" t="n">
        <f aca="false">SUMPRODUCT(ПОТОКИ!B17:G17,ЧАСОВЫЕ_ПРОФИЛИ!B13:G13,КОЭФФИЦИЕНТЫ_ВЫБОРА!F14:K14)</f>
        <v>0</v>
      </c>
      <c r="I2866" s="12" t="n">
        <f aca="false">SUMPRODUCT(ПОТОКИ!B17:G17,ЧАСОВЫЕ_ПРОФИЛИ!B13:G13,КОЭФФИЦИЕНТЫ_ВЫБОРА!F14:K14,ПАРАМЕТРЫ!$B$17:$G$17)</f>
        <v>0</v>
      </c>
      <c r="J2866" s="12" t="n">
        <f aca="false">I2866*G2866/1000</f>
        <v>0</v>
      </c>
      <c r="K2866" s="11" t="s">
        <v>217</v>
      </c>
      <c r="L2866" s="11" t="s">
        <v>19</v>
      </c>
      <c r="M2866" s="11" t="s">
        <v>145</v>
      </c>
    </row>
    <row r="2867" customFormat="false" ht="15" hidden="false" customHeight="false" outlineLevel="0" collapsed="false">
      <c r="A2867" s="11" t="s">
        <v>113</v>
      </c>
      <c r="B2867" s="11" t="s">
        <v>126</v>
      </c>
      <c r="C2867" s="11" t="n">
        <v>5</v>
      </c>
      <c r="D2867" s="11" t="s">
        <v>78</v>
      </c>
      <c r="E2867" s="11" t="s">
        <v>157</v>
      </c>
      <c r="F2867" s="11" t="s">
        <v>77</v>
      </c>
      <c r="G2867" s="12" t="n">
        <v>100</v>
      </c>
      <c r="H2867" s="12" t="n">
        <f aca="false">SUMPRODUCT(ПОТОКИ!B17:G17,ЧАСОВЫЕ_ПРОФИЛИ!B13:G13,КОЭФФИЦИЕНТЫ_ВЫБОРА!F15:K15)</f>
        <v>0.216</v>
      </c>
      <c r="I2867" s="12" t="n">
        <f aca="false">SUMPRODUCT(ПОТОКИ!B17:G17,ЧАСОВЫЕ_ПРОФИЛИ!B13:G13,КОЭФФИЦИЕНТЫ_ВЫБОРА!F15:K15,ПАРАМЕТРЫ!$B$17:$G$17)</f>
        <v>0.2376</v>
      </c>
      <c r="J2867" s="12" t="n">
        <f aca="false">I2867*G2867/1000</f>
        <v>0.02376</v>
      </c>
      <c r="K2867" s="11" t="s">
        <v>217</v>
      </c>
      <c r="L2867" s="11" t="s">
        <v>19</v>
      </c>
      <c r="M2867" s="11" t="s">
        <v>147</v>
      </c>
    </row>
    <row r="2868" customFormat="false" ht="15" hidden="false" customHeight="false" outlineLevel="0" collapsed="false">
      <c r="A2868" s="11" t="s">
        <v>113</v>
      </c>
      <c r="B2868" s="11" t="s">
        <v>126</v>
      </c>
      <c r="C2868" s="11" t="n">
        <v>6</v>
      </c>
      <c r="D2868" s="11" t="s">
        <v>78</v>
      </c>
      <c r="E2868" s="11" t="s">
        <v>158</v>
      </c>
      <c r="F2868" s="11" t="s">
        <v>77</v>
      </c>
      <c r="G2868" s="12" t="n">
        <v>100</v>
      </c>
      <c r="H2868" s="12" t="n">
        <f aca="false">SUMPRODUCT(ПОТОКИ!B17:G17,ЧАСОВЫЕ_ПРОФИЛИ!B13:G13,КОЭФФИЦИЕНТЫ_ВЫБОРА!F16:K16)</f>
        <v>0.216</v>
      </c>
      <c r="I2868" s="12" t="n">
        <f aca="false">SUMPRODUCT(ПОТОКИ!B17:G17,ЧАСОВЫЕ_ПРОФИЛИ!B13:G13,КОЭФФИЦИЕНТЫ_ВЫБОРА!F16:K16,ПАРАМЕТРЫ!$B$17:$G$17)</f>
        <v>0.2376</v>
      </c>
      <c r="J2868" s="12" t="n">
        <f aca="false">I2868*G2868/1000</f>
        <v>0.02376</v>
      </c>
      <c r="K2868" s="11" t="s">
        <v>217</v>
      </c>
      <c r="L2868" s="11" t="s">
        <v>19</v>
      </c>
      <c r="M2868" s="11" t="s">
        <v>147</v>
      </c>
    </row>
    <row r="2869" customFormat="false" ht="15" hidden="false" customHeight="false" outlineLevel="0" collapsed="false">
      <c r="A2869" s="11" t="s">
        <v>113</v>
      </c>
      <c r="B2869" s="11" t="s">
        <v>126</v>
      </c>
      <c r="C2869" s="11" t="n">
        <v>7</v>
      </c>
      <c r="D2869" s="11" t="s">
        <v>78</v>
      </c>
      <c r="E2869" s="11" t="s">
        <v>159</v>
      </c>
      <c r="F2869" s="11" t="s">
        <v>77</v>
      </c>
      <c r="G2869" s="12" t="n">
        <v>350</v>
      </c>
      <c r="H2869" s="12" t="n">
        <f aca="false">SUMPRODUCT(ПОТОКИ!B17:G17,ЧАСОВЫЕ_ПРОФИЛИ!B13:G13,КОЭФФИЦИЕНТЫ_ВЫБОРА!F17:K17)</f>
        <v>0.18</v>
      </c>
      <c r="I2869" s="12" t="n">
        <f aca="false">SUMPRODUCT(ПОТОКИ!B17:G17,ЧАСОВЫЕ_ПРОФИЛИ!B13:G13,КОЭФФИЦИЕНТЫ_ВЫБОРА!F17:K17,ПАРАМЕТРЫ!$B$17:$G$17)</f>
        <v>0.198</v>
      </c>
      <c r="J2869" s="12" t="n">
        <f aca="false">I2869*G2869/1000</f>
        <v>0.0693</v>
      </c>
      <c r="K2869" s="11" t="s">
        <v>217</v>
      </c>
      <c r="L2869" s="11" t="s">
        <v>19</v>
      </c>
      <c r="M2869" s="11" t="s">
        <v>147</v>
      </c>
    </row>
    <row r="2870" customFormat="false" ht="15" hidden="false" customHeight="false" outlineLevel="0" collapsed="false">
      <c r="A2870" s="11" t="s">
        <v>113</v>
      </c>
      <c r="B2870" s="11" t="s">
        <v>126</v>
      </c>
      <c r="C2870" s="11" t="n">
        <v>8</v>
      </c>
      <c r="D2870" s="11" t="s">
        <v>78</v>
      </c>
      <c r="E2870" s="11" t="s">
        <v>160</v>
      </c>
      <c r="F2870" s="11" t="s">
        <v>77</v>
      </c>
      <c r="G2870" s="12" t="n">
        <v>85</v>
      </c>
      <c r="H2870" s="12" t="n">
        <f aca="false">SUMPRODUCT(ПОТОКИ!B17:G17,ЧАСОВЫЕ_ПРОФИЛИ!B13:G13,КОЭФФИЦИЕНТЫ_ВЫБОРА!F18:K18)</f>
        <v>0.108</v>
      </c>
      <c r="I2870" s="12" t="n">
        <f aca="false">SUMPRODUCT(ПОТОКИ!B17:G17,ЧАСОВЫЕ_ПРОФИЛИ!B13:G13,КОЭФФИЦИЕНТЫ_ВЫБОРА!F18:K18,ПАРАМЕТРЫ!$B$17:$G$17)</f>
        <v>0.1188</v>
      </c>
      <c r="J2870" s="12" t="n">
        <f aca="false">I2870*G2870/1000</f>
        <v>0.010098</v>
      </c>
      <c r="K2870" s="11" t="s">
        <v>217</v>
      </c>
      <c r="L2870" s="11" t="s">
        <v>19</v>
      </c>
      <c r="M2870" s="11" t="s">
        <v>147</v>
      </c>
    </row>
    <row r="2871" customFormat="false" ht="15" hidden="false" customHeight="false" outlineLevel="0" collapsed="false">
      <c r="A2871" s="11" t="s">
        <v>113</v>
      </c>
      <c r="B2871" s="11" t="s">
        <v>126</v>
      </c>
      <c r="C2871" s="11" t="n">
        <v>9</v>
      </c>
      <c r="D2871" s="11" t="s">
        <v>161</v>
      </c>
      <c r="E2871" s="11" t="s">
        <v>162</v>
      </c>
      <c r="F2871" s="11" t="s">
        <v>80</v>
      </c>
      <c r="G2871" s="12" t="n">
        <v>300</v>
      </c>
      <c r="H2871" s="12" t="n">
        <f aca="false">SUMPRODUCT(ПОТОКИ!B17:G17,ЧАСОВЫЕ_ПРОФИЛИ!B13:G13,КОЭФФИЦИЕНТЫ_ВЫБОРА!F19:K19)</f>
        <v>0</v>
      </c>
      <c r="I2871" s="12" t="n">
        <f aca="false">SUMPRODUCT(ПОТОКИ!B17:G17,ЧАСОВЫЕ_ПРОФИЛИ!B13:G13,КОЭФФИЦИЕНТЫ_ВЫБОРА!F19:K19,ПАРАМЕТРЫ!$B$17:$G$17)</f>
        <v>0</v>
      </c>
      <c r="J2871" s="12" t="n">
        <f aca="false">I2871*G2871/1000</f>
        <v>0</v>
      </c>
      <c r="K2871" s="11" t="s">
        <v>217</v>
      </c>
      <c r="L2871" s="11" t="s">
        <v>19</v>
      </c>
      <c r="M2871" s="11" t="s">
        <v>145</v>
      </c>
    </row>
    <row r="2872" customFormat="false" ht="15" hidden="false" customHeight="false" outlineLevel="0" collapsed="false">
      <c r="A2872" s="11" t="s">
        <v>113</v>
      </c>
      <c r="B2872" s="11" t="s">
        <v>126</v>
      </c>
      <c r="C2872" s="11" t="n">
        <v>10</v>
      </c>
      <c r="D2872" s="11" t="s">
        <v>161</v>
      </c>
      <c r="E2872" s="11" t="s">
        <v>163</v>
      </c>
      <c r="F2872" s="11" t="s">
        <v>80</v>
      </c>
      <c r="G2872" s="12" t="n">
        <v>280</v>
      </c>
      <c r="H2872" s="12" t="n">
        <f aca="false">SUMPRODUCT(ПОТОКИ!B17:G17,ЧАСОВЫЕ_ПРОФИЛИ!B13:G13,КОЭФФИЦИЕНТЫ_ВЫБОРА!F20:K20)</f>
        <v>0</v>
      </c>
      <c r="I2872" s="12" t="n">
        <f aca="false">SUMPRODUCT(ПОТОКИ!B17:G17,ЧАСОВЫЕ_ПРОФИЛИ!B13:G13,КОЭФФИЦИЕНТЫ_ВЫБОРА!F20:K20,ПАРАМЕТРЫ!$B$17:$G$17)</f>
        <v>0</v>
      </c>
      <c r="J2872" s="12" t="n">
        <f aca="false">I2872*G2872/1000</f>
        <v>0</v>
      </c>
      <c r="K2872" s="11" t="s">
        <v>217</v>
      </c>
      <c r="L2872" s="11" t="s">
        <v>19</v>
      </c>
      <c r="M2872" s="11" t="s">
        <v>145</v>
      </c>
    </row>
    <row r="2873" customFormat="false" ht="15" hidden="false" customHeight="false" outlineLevel="0" collapsed="false">
      <c r="A2873" s="11" t="s">
        <v>113</v>
      </c>
      <c r="B2873" s="11" t="s">
        <v>126</v>
      </c>
      <c r="C2873" s="11" t="n">
        <v>11</v>
      </c>
      <c r="D2873" s="11" t="s">
        <v>161</v>
      </c>
      <c r="E2873" s="11" t="s">
        <v>164</v>
      </c>
      <c r="F2873" s="11" t="s">
        <v>80</v>
      </c>
      <c r="G2873" s="12" t="n">
        <v>270</v>
      </c>
      <c r="H2873" s="12" t="n">
        <f aca="false">SUMPRODUCT(ПОТОКИ!B17:G17,ЧАСОВЫЕ_ПРОФИЛИ!B13:G13,КОЭФФИЦИЕНТЫ_ВЫБОРА!F21:K21)</f>
        <v>0</v>
      </c>
      <c r="I2873" s="12" t="n">
        <f aca="false">SUMPRODUCT(ПОТОКИ!B17:G17,ЧАСОВЫЕ_ПРОФИЛИ!B13:G13,КОЭФФИЦИЕНТЫ_ВЫБОРА!F21:K21,ПАРАМЕТРЫ!$B$17:$G$17)</f>
        <v>0</v>
      </c>
      <c r="J2873" s="12" t="n">
        <f aca="false">I2873*G2873/1000</f>
        <v>0</v>
      </c>
      <c r="K2873" s="11" t="s">
        <v>217</v>
      </c>
      <c r="L2873" s="11" t="s">
        <v>19</v>
      </c>
      <c r="M2873" s="11" t="s">
        <v>145</v>
      </c>
    </row>
    <row r="2874" customFormat="false" ht="15" hidden="false" customHeight="false" outlineLevel="0" collapsed="false">
      <c r="A2874" s="11" t="s">
        <v>113</v>
      </c>
      <c r="B2874" s="11" t="s">
        <v>126</v>
      </c>
      <c r="C2874" s="11" t="n">
        <v>12</v>
      </c>
      <c r="D2874" s="11" t="s">
        <v>161</v>
      </c>
      <c r="E2874" s="11" t="s">
        <v>165</v>
      </c>
      <c r="F2874" s="11" t="s">
        <v>80</v>
      </c>
      <c r="G2874" s="12" t="n">
        <v>240</v>
      </c>
      <c r="H2874" s="12" t="n">
        <f aca="false">SUMPRODUCT(ПОТОКИ!B17:G17,ЧАСОВЫЕ_ПРОФИЛИ!B13:G13,КОЭФФИЦИЕНТЫ_ВЫБОРА!F22:K22)</f>
        <v>0</v>
      </c>
      <c r="I2874" s="12" t="n">
        <f aca="false">SUMPRODUCT(ПОТОКИ!B17:G17,ЧАСОВЫЕ_ПРОФИЛИ!B13:G13,КОЭФФИЦИЕНТЫ_ВЫБОРА!F22:K22,ПАРАМЕТРЫ!$B$17:$G$17)</f>
        <v>0</v>
      </c>
      <c r="J2874" s="12" t="n">
        <f aca="false">I2874*G2874/1000</f>
        <v>0</v>
      </c>
      <c r="K2874" s="11" t="s">
        <v>217</v>
      </c>
      <c r="L2874" s="11" t="s">
        <v>19</v>
      </c>
      <c r="M2874" s="11" t="s">
        <v>145</v>
      </c>
    </row>
    <row r="2875" customFormat="false" ht="15" hidden="false" customHeight="false" outlineLevel="0" collapsed="false">
      <c r="A2875" s="11" t="s">
        <v>113</v>
      </c>
      <c r="B2875" s="11" t="s">
        <v>126</v>
      </c>
      <c r="C2875" s="11" t="n">
        <v>13</v>
      </c>
      <c r="D2875" s="11" t="s">
        <v>166</v>
      </c>
      <c r="E2875" s="11" t="s">
        <v>167</v>
      </c>
      <c r="F2875" s="11" t="s">
        <v>80</v>
      </c>
      <c r="G2875" s="12" t="n">
        <v>130</v>
      </c>
      <c r="H2875" s="12" t="n">
        <f aca="false">SUMPRODUCT(ПОТОКИ!B17:G17,ЧАСОВЫЕ_ПРОФИЛИ!B13:G13,КОЭФФИЦИЕНТЫ_ВЫБОРА!F23:K23)</f>
        <v>0</v>
      </c>
      <c r="I2875" s="12" t="n">
        <f aca="false">SUMPRODUCT(ПОТОКИ!B17:G17,ЧАСОВЫЕ_ПРОФИЛИ!B13:G13,КОЭФФИЦИЕНТЫ_ВЫБОРА!F23:K23,ПАРАМЕТРЫ!$B$17:$G$17)</f>
        <v>0</v>
      </c>
      <c r="J2875" s="12" t="n">
        <f aca="false">I2875*G2875/1000</f>
        <v>0</v>
      </c>
      <c r="K2875" s="11" t="s">
        <v>217</v>
      </c>
      <c r="L2875" s="11" t="s">
        <v>19</v>
      </c>
      <c r="M2875" s="11" t="s">
        <v>145</v>
      </c>
    </row>
    <row r="2876" customFormat="false" ht="15" hidden="false" customHeight="false" outlineLevel="0" collapsed="false">
      <c r="A2876" s="11" t="s">
        <v>113</v>
      </c>
      <c r="B2876" s="11" t="s">
        <v>126</v>
      </c>
      <c r="C2876" s="11" t="n">
        <v>14</v>
      </c>
      <c r="D2876" s="11" t="s">
        <v>166</v>
      </c>
      <c r="E2876" s="11" t="s">
        <v>168</v>
      </c>
      <c r="F2876" s="11" t="s">
        <v>80</v>
      </c>
      <c r="G2876" s="12" t="n">
        <v>250</v>
      </c>
      <c r="H2876" s="12" t="n">
        <f aca="false">SUMPRODUCT(ПОТОКИ!B17:G17,ЧАСОВЫЕ_ПРОФИЛИ!B13:G13,КОЭФФИЦИЕНТЫ_ВЫБОРА!F24:K24)</f>
        <v>0</v>
      </c>
      <c r="I2876" s="12" t="n">
        <f aca="false">SUMPRODUCT(ПОТОКИ!B17:G17,ЧАСОВЫЕ_ПРОФИЛИ!B13:G13,КОЭФФИЦИЕНТЫ_ВЫБОРА!F24:K24,ПАРАМЕТРЫ!$B$17:$G$17)</f>
        <v>0</v>
      </c>
      <c r="J2876" s="12" t="n">
        <f aca="false">I2876*G2876/1000</f>
        <v>0</v>
      </c>
      <c r="K2876" s="11" t="s">
        <v>217</v>
      </c>
      <c r="L2876" s="11" t="s">
        <v>19</v>
      </c>
      <c r="M2876" s="11" t="s">
        <v>145</v>
      </c>
    </row>
    <row r="2877" customFormat="false" ht="15" hidden="false" customHeight="false" outlineLevel="0" collapsed="false">
      <c r="A2877" s="11" t="s">
        <v>113</v>
      </c>
      <c r="B2877" s="11" t="s">
        <v>126</v>
      </c>
      <c r="C2877" s="11" t="n">
        <v>15</v>
      </c>
      <c r="D2877" s="11" t="s">
        <v>166</v>
      </c>
      <c r="E2877" s="11" t="s">
        <v>169</v>
      </c>
      <c r="F2877" s="11" t="s">
        <v>80</v>
      </c>
      <c r="G2877" s="12" t="n">
        <v>120</v>
      </c>
      <c r="H2877" s="12" t="n">
        <f aca="false">SUMPRODUCT(ПОТОКИ!B17:G17,ЧАСОВЫЕ_ПРОФИЛИ!B13:G13,КОЭФФИЦИЕНТЫ_ВЫБОРА!F25:K25)</f>
        <v>0</v>
      </c>
      <c r="I2877" s="12" t="n">
        <f aca="false">SUMPRODUCT(ПОТОКИ!B17:G17,ЧАСОВЫЕ_ПРОФИЛИ!B13:G13,КОЭФФИЦИЕНТЫ_ВЫБОРА!F25:K25,ПАРАМЕТРЫ!$B$17:$G$17)</f>
        <v>0</v>
      </c>
      <c r="J2877" s="12" t="n">
        <f aca="false">I2877*G2877/1000</f>
        <v>0</v>
      </c>
      <c r="K2877" s="11" t="s">
        <v>217</v>
      </c>
      <c r="L2877" s="11" t="s">
        <v>19</v>
      </c>
      <c r="M2877" s="11" t="s">
        <v>145</v>
      </c>
    </row>
    <row r="2878" customFormat="false" ht="15" hidden="false" customHeight="false" outlineLevel="0" collapsed="false">
      <c r="A2878" s="11" t="s">
        <v>113</v>
      </c>
      <c r="B2878" s="11" t="s">
        <v>126</v>
      </c>
      <c r="C2878" s="11" t="n">
        <v>16</v>
      </c>
      <c r="D2878" s="11" t="s">
        <v>166</v>
      </c>
      <c r="E2878" s="11" t="s">
        <v>170</v>
      </c>
      <c r="F2878" s="11" t="s">
        <v>80</v>
      </c>
      <c r="G2878" s="12" t="n">
        <v>180</v>
      </c>
      <c r="H2878" s="12" t="n">
        <f aca="false">SUMPRODUCT(ПОТОКИ!B17:G17,ЧАСОВЫЕ_ПРОФИЛИ!B13:G13,КОЭФФИЦИЕНТЫ_ВЫБОРА!F26:K26)</f>
        <v>0</v>
      </c>
      <c r="I2878" s="12" t="n">
        <f aca="false">SUMPRODUCT(ПОТОКИ!B17:G17,ЧАСОВЫЕ_ПРОФИЛИ!B13:G13,КОЭФФИЦИЕНТЫ_ВЫБОРА!F26:K26,ПАРАМЕТРЫ!$B$17:$G$17)</f>
        <v>0</v>
      </c>
      <c r="J2878" s="12" t="n">
        <f aca="false">I2878*G2878/1000</f>
        <v>0</v>
      </c>
      <c r="K2878" s="11" t="s">
        <v>217</v>
      </c>
      <c r="L2878" s="11" t="s">
        <v>19</v>
      </c>
      <c r="M2878" s="11" t="s">
        <v>145</v>
      </c>
    </row>
    <row r="2879" customFormat="false" ht="15" hidden="false" customHeight="false" outlineLevel="0" collapsed="false">
      <c r="A2879" s="11" t="s">
        <v>113</v>
      </c>
      <c r="B2879" s="11" t="s">
        <v>126</v>
      </c>
      <c r="C2879" s="11" t="n">
        <v>17</v>
      </c>
      <c r="D2879" s="11" t="s">
        <v>166</v>
      </c>
      <c r="E2879" s="11" t="s">
        <v>171</v>
      </c>
      <c r="F2879" s="11" t="s">
        <v>80</v>
      </c>
      <c r="G2879" s="12" t="n">
        <v>180</v>
      </c>
      <c r="H2879" s="12" t="n">
        <f aca="false">SUMPRODUCT(ПОТОКИ!B17:G17,ЧАСОВЫЕ_ПРОФИЛИ!B13:G13,КОЭФФИЦИЕНТЫ_ВЫБОРА!F27:K27)</f>
        <v>0</v>
      </c>
      <c r="I2879" s="12" t="n">
        <f aca="false">SUMPRODUCT(ПОТОКИ!B17:G17,ЧАСОВЫЕ_ПРОФИЛИ!B13:G13,КОЭФФИЦИЕНТЫ_ВЫБОРА!F27:K27,ПАРАМЕТРЫ!$B$17:$G$17)</f>
        <v>0</v>
      </c>
      <c r="J2879" s="12" t="n">
        <f aca="false">I2879*G2879/1000</f>
        <v>0</v>
      </c>
      <c r="K2879" s="11" t="s">
        <v>217</v>
      </c>
      <c r="L2879" s="11" t="s">
        <v>19</v>
      </c>
      <c r="M2879" s="11" t="s">
        <v>145</v>
      </c>
    </row>
    <row r="2880" customFormat="false" ht="15" hidden="false" customHeight="false" outlineLevel="0" collapsed="false">
      <c r="A2880" s="11" t="s">
        <v>113</v>
      </c>
      <c r="B2880" s="11" t="s">
        <v>126</v>
      </c>
      <c r="C2880" s="11" t="n">
        <v>18</v>
      </c>
      <c r="D2880" s="11" t="s">
        <v>172</v>
      </c>
      <c r="E2880" s="11" t="s">
        <v>173</v>
      </c>
      <c r="F2880" s="11" t="s">
        <v>83</v>
      </c>
      <c r="G2880" s="12" t="n">
        <v>400</v>
      </c>
      <c r="H2880" s="12" t="n">
        <f aca="false">SUMPRODUCT(ПОТОКИ!B17:G17,ЧАСОВЫЕ_ПРОФИЛИ!B13:G13,КОЭФФИЦИЕНТЫ_ВЫБОРА!F28:K28)</f>
        <v>0</v>
      </c>
      <c r="I2880" s="12" t="n">
        <f aca="false">SUMPRODUCT(ПОТОКИ!B17:G17,ЧАСОВЫЕ_ПРОФИЛИ!B13:G13,КОЭФФИЦИЕНТЫ_ВЫБОРА!F28:K28,ПАРАМЕТРЫ!$B$17:$G$17)</f>
        <v>0</v>
      </c>
      <c r="J2880" s="12" t="n">
        <f aca="false">I2880*G2880/1000</f>
        <v>0</v>
      </c>
      <c r="K2880" s="11" t="s">
        <v>217</v>
      </c>
      <c r="L2880" s="11" t="s">
        <v>19</v>
      </c>
      <c r="M2880" s="11" t="s">
        <v>145</v>
      </c>
    </row>
    <row r="2881" customFormat="false" ht="23.85" hidden="false" customHeight="false" outlineLevel="0" collapsed="false">
      <c r="A2881" s="11" t="s">
        <v>113</v>
      </c>
      <c r="B2881" s="11" t="s">
        <v>126</v>
      </c>
      <c r="C2881" s="11" t="n">
        <v>19</v>
      </c>
      <c r="D2881" s="11" t="s">
        <v>174</v>
      </c>
      <c r="E2881" s="11" t="s">
        <v>175</v>
      </c>
      <c r="F2881" s="11" t="s">
        <v>83</v>
      </c>
      <c r="G2881" s="12" t="n">
        <v>300</v>
      </c>
      <c r="H2881" s="12" t="n">
        <f aca="false">SUMPRODUCT(ПОТОКИ!B17:G17,ЧАСОВЫЕ_ПРОФИЛИ!B13:G13,КОЭФФИЦИЕНТЫ_ВЫБОРА!F29:K29)</f>
        <v>0</v>
      </c>
      <c r="I2881" s="12" t="n">
        <f aca="false">SUMPRODUCT(ПОТОКИ!B17:G17,ЧАСОВЫЕ_ПРОФИЛИ!B13:G13,КОЭФФИЦИЕНТЫ_ВЫБОРА!F29:K29,ПАРАМЕТРЫ!$B$17:$G$17)</f>
        <v>0</v>
      </c>
      <c r="J2881" s="12" t="n">
        <f aca="false">I2881*G2881/1000</f>
        <v>0</v>
      </c>
      <c r="K2881" s="11" t="s">
        <v>217</v>
      </c>
      <c r="L2881" s="11" t="s">
        <v>19</v>
      </c>
      <c r="M2881" s="11" t="s">
        <v>145</v>
      </c>
    </row>
    <row r="2882" customFormat="false" ht="15" hidden="false" customHeight="false" outlineLevel="0" collapsed="false">
      <c r="A2882" s="11" t="s">
        <v>113</v>
      </c>
      <c r="B2882" s="11" t="s">
        <v>126</v>
      </c>
      <c r="C2882" s="11" t="n">
        <v>20</v>
      </c>
      <c r="D2882" s="11" t="s">
        <v>174</v>
      </c>
      <c r="E2882" s="11" t="s">
        <v>176</v>
      </c>
      <c r="F2882" s="11" t="s">
        <v>83</v>
      </c>
      <c r="G2882" s="12" t="n">
        <v>360</v>
      </c>
      <c r="H2882" s="12" t="n">
        <f aca="false">SUMPRODUCT(ПОТОКИ!B17:G17,ЧАСОВЫЕ_ПРОФИЛИ!B13:G13,КОЭФФИЦИЕНТЫ_ВЫБОРА!F30:K30)</f>
        <v>0</v>
      </c>
      <c r="I2882" s="12" t="n">
        <f aca="false">SUMPRODUCT(ПОТОКИ!B17:G17,ЧАСОВЫЕ_ПРОФИЛИ!B13:G13,КОЭФФИЦИЕНТЫ_ВЫБОРА!F30:K30,ПАРАМЕТРЫ!$B$17:$G$17)</f>
        <v>0</v>
      </c>
      <c r="J2882" s="12" t="n">
        <f aca="false">I2882*G2882/1000</f>
        <v>0</v>
      </c>
      <c r="K2882" s="11" t="s">
        <v>217</v>
      </c>
      <c r="L2882" s="11" t="s">
        <v>19</v>
      </c>
      <c r="M2882" s="11" t="s">
        <v>145</v>
      </c>
    </row>
    <row r="2883" customFormat="false" ht="15" hidden="false" customHeight="false" outlineLevel="0" collapsed="false">
      <c r="A2883" s="11" t="s">
        <v>113</v>
      </c>
      <c r="B2883" s="11" t="s">
        <v>126</v>
      </c>
      <c r="C2883" s="11" t="n">
        <v>21</v>
      </c>
      <c r="D2883" s="11" t="s">
        <v>174</v>
      </c>
      <c r="E2883" s="11" t="s">
        <v>177</v>
      </c>
      <c r="F2883" s="11" t="s">
        <v>83</v>
      </c>
      <c r="G2883" s="12" t="n">
        <v>350</v>
      </c>
      <c r="H2883" s="12" t="n">
        <f aca="false">SUMPRODUCT(ПОТОКИ!B17:G17,ЧАСОВЫЕ_ПРОФИЛИ!B13:G13,КОЭФФИЦИЕНТЫ_ВЫБОРА!F31:K31)</f>
        <v>0</v>
      </c>
      <c r="I2883" s="12" t="n">
        <f aca="false">SUMPRODUCT(ПОТОКИ!B17:G17,ЧАСОВЫЕ_ПРОФИЛИ!B13:G13,КОЭФФИЦИЕНТЫ_ВЫБОРА!F31:K31,ПАРАМЕТРЫ!$B$17:$G$17)</f>
        <v>0</v>
      </c>
      <c r="J2883" s="12" t="n">
        <f aca="false">I2883*G2883/1000</f>
        <v>0</v>
      </c>
      <c r="K2883" s="11" t="s">
        <v>217</v>
      </c>
      <c r="L2883" s="11" t="s">
        <v>19</v>
      </c>
      <c r="M2883" s="11" t="s">
        <v>145</v>
      </c>
    </row>
    <row r="2884" customFormat="false" ht="15" hidden="false" customHeight="false" outlineLevel="0" collapsed="false">
      <c r="A2884" s="11" t="s">
        <v>113</v>
      </c>
      <c r="B2884" s="11" t="s">
        <v>126</v>
      </c>
      <c r="C2884" s="11" t="n">
        <v>22</v>
      </c>
      <c r="D2884" s="11" t="s">
        <v>174</v>
      </c>
      <c r="E2884" s="11" t="s">
        <v>178</v>
      </c>
      <c r="F2884" s="11" t="s">
        <v>83</v>
      </c>
      <c r="G2884" s="12" t="n">
        <v>300</v>
      </c>
      <c r="H2884" s="12" t="n">
        <f aca="false">SUMPRODUCT(ПОТОКИ!B17:G17,ЧАСОВЫЕ_ПРОФИЛИ!B13:G13,КОЭФФИЦИЕНТЫ_ВЫБОРА!F32:K32)</f>
        <v>0</v>
      </c>
      <c r="I2884" s="12" t="n">
        <f aca="false">SUMPRODUCT(ПОТОКИ!B17:G17,ЧАСОВЫЕ_ПРОФИЛИ!B13:G13,КОЭФФИЦИЕНТЫ_ВЫБОРА!F32:K32,ПАРАМЕТРЫ!$B$17:$G$17)</f>
        <v>0</v>
      </c>
      <c r="J2884" s="12" t="n">
        <f aca="false">I2884*G2884/1000</f>
        <v>0</v>
      </c>
      <c r="K2884" s="11" t="s">
        <v>217</v>
      </c>
      <c r="L2884" s="11" t="s">
        <v>19</v>
      </c>
      <c r="M2884" s="11" t="s">
        <v>145</v>
      </c>
    </row>
    <row r="2885" customFormat="false" ht="15" hidden="false" customHeight="false" outlineLevel="0" collapsed="false">
      <c r="A2885" s="11" t="s">
        <v>113</v>
      </c>
      <c r="B2885" s="11" t="s">
        <v>126</v>
      </c>
      <c r="C2885" s="11" t="n">
        <v>23</v>
      </c>
      <c r="D2885" s="11" t="s">
        <v>86</v>
      </c>
      <c r="E2885" s="11" t="s">
        <v>179</v>
      </c>
      <c r="F2885" s="11" t="s">
        <v>85</v>
      </c>
      <c r="G2885" s="12" t="n">
        <v>150</v>
      </c>
      <c r="H2885" s="12" t="n">
        <f aca="false">SUMPRODUCT(ПОТОКИ!B17:G17,ЧАСОВЫЕ_ПРОФИЛИ!B13:G13,КОЭФФИЦИЕНТЫ_ВЫБОРА!F33:K33)</f>
        <v>0</v>
      </c>
      <c r="I2885" s="12" t="n">
        <f aca="false">SUMPRODUCT(ПОТОКИ!B17:G17,ЧАСОВЫЕ_ПРОФИЛИ!B13:G13,КОЭФФИЦИЕНТЫ_ВЫБОРА!F33:K33,ПАРАМЕТРЫ!$B$17:$G$17)</f>
        <v>0</v>
      </c>
      <c r="J2885" s="12" t="n">
        <f aca="false">I2885*G2885/1000</f>
        <v>0</v>
      </c>
      <c r="K2885" s="11" t="s">
        <v>217</v>
      </c>
      <c r="L2885" s="11" t="s">
        <v>19</v>
      </c>
      <c r="M2885" s="11" t="s">
        <v>147</v>
      </c>
    </row>
    <row r="2886" customFormat="false" ht="15" hidden="false" customHeight="false" outlineLevel="0" collapsed="false">
      <c r="A2886" s="11" t="s">
        <v>113</v>
      </c>
      <c r="B2886" s="11" t="s">
        <v>126</v>
      </c>
      <c r="C2886" s="11" t="n">
        <v>24</v>
      </c>
      <c r="D2886" s="11" t="s">
        <v>86</v>
      </c>
      <c r="E2886" s="11" t="s">
        <v>180</v>
      </c>
      <c r="F2886" s="11" t="s">
        <v>85</v>
      </c>
      <c r="G2886" s="12" t="n">
        <v>150</v>
      </c>
      <c r="H2886" s="12" t="n">
        <f aca="false">SUMPRODUCT(ПОТОКИ!B17:G17,ЧАСОВЫЕ_ПРОФИЛИ!B13:G13,КОЭФФИЦИЕНТЫ_ВЫБОРА!F34:K34)</f>
        <v>0</v>
      </c>
      <c r="I2886" s="12" t="n">
        <f aca="false">SUMPRODUCT(ПОТОКИ!B17:G17,ЧАСОВЫЕ_ПРОФИЛИ!B13:G13,КОЭФФИЦИЕНТЫ_ВЫБОРА!F34:K34,ПАРАМЕТРЫ!$B$17:$G$17)</f>
        <v>0</v>
      </c>
      <c r="J2886" s="12" t="n">
        <f aca="false">I2886*G2886/1000</f>
        <v>0</v>
      </c>
      <c r="K2886" s="11" t="s">
        <v>217</v>
      </c>
      <c r="L2886" s="11" t="s">
        <v>19</v>
      </c>
      <c r="M2886" s="11" t="s">
        <v>147</v>
      </c>
    </row>
    <row r="2887" customFormat="false" ht="15" hidden="false" customHeight="false" outlineLevel="0" collapsed="false">
      <c r="A2887" s="11" t="s">
        <v>113</v>
      </c>
      <c r="B2887" s="11" t="s">
        <v>126</v>
      </c>
      <c r="C2887" s="11" t="n">
        <v>25</v>
      </c>
      <c r="D2887" s="11" t="s">
        <v>86</v>
      </c>
      <c r="E2887" s="11" t="s">
        <v>181</v>
      </c>
      <c r="F2887" s="11" t="s">
        <v>85</v>
      </c>
      <c r="G2887" s="12" t="n">
        <v>150</v>
      </c>
      <c r="H2887" s="12" t="n">
        <f aca="false">SUMPRODUCT(ПОТОКИ!B17:G17,ЧАСОВЫЕ_ПРОФИЛИ!B13:G13,КОЭФФИЦИЕНТЫ_ВЫБОРА!F35:K35)</f>
        <v>0</v>
      </c>
      <c r="I2887" s="12" t="n">
        <f aca="false">SUMPRODUCT(ПОТОКИ!B17:G17,ЧАСОВЫЕ_ПРОФИЛИ!B13:G13,КОЭФФИЦИЕНТЫ_ВЫБОРА!F35:K35,ПАРАМЕТРЫ!$B$17:$G$17)</f>
        <v>0</v>
      </c>
      <c r="J2887" s="12" t="n">
        <f aca="false">I2887*G2887/1000</f>
        <v>0</v>
      </c>
      <c r="K2887" s="11" t="s">
        <v>217</v>
      </c>
      <c r="L2887" s="11" t="s">
        <v>19</v>
      </c>
      <c r="M2887" s="11" t="s">
        <v>147</v>
      </c>
    </row>
    <row r="2888" customFormat="false" ht="23.85" hidden="false" customHeight="false" outlineLevel="0" collapsed="false">
      <c r="A2888" s="11" t="s">
        <v>113</v>
      </c>
      <c r="B2888" s="11" t="s">
        <v>126</v>
      </c>
      <c r="C2888" s="11" t="n">
        <v>26</v>
      </c>
      <c r="D2888" s="11" t="s">
        <v>89</v>
      </c>
      <c r="E2888" s="11" t="s">
        <v>182</v>
      </c>
      <c r="F2888" s="11" t="s">
        <v>88</v>
      </c>
      <c r="G2888" s="12" t="n">
        <v>225</v>
      </c>
      <c r="H2888" s="12" t="n">
        <f aca="false">SUMPRODUCT(ПОТОКИ!B17:G17,ЧАСОВЫЕ_ПРОФИЛИ!B13:G13,КОЭФФИЦИЕНТЫ_ВЫБОРА!F36:K36)</f>
        <v>2.475</v>
      </c>
      <c r="I2888" s="12" t="n">
        <f aca="false">SUMPRODUCT(ПОТОКИ!B17:G17,ЧАСОВЫЕ_ПРОФИЛИ!B13:G13,КОЭФФИЦИЕНТЫ_ВЫБОРА!F36:K36,ПАРАМЕТРЫ!$B$17:$G$17)</f>
        <v>2.475</v>
      </c>
      <c r="J2888" s="12" t="n">
        <f aca="false">I2888*G2888/1000</f>
        <v>0.556875</v>
      </c>
      <c r="K2888" s="11" t="s">
        <v>217</v>
      </c>
      <c r="L2888" s="11" t="s">
        <v>19</v>
      </c>
      <c r="M2888" s="11" t="s">
        <v>145</v>
      </c>
    </row>
    <row r="2889" customFormat="false" ht="23.85" hidden="false" customHeight="false" outlineLevel="0" collapsed="false">
      <c r="A2889" s="11" t="s">
        <v>113</v>
      </c>
      <c r="B2889" s="11" t="s">
        <v>126</v>
      </c>
      <c r="C2889" s="11" t="n">
        <v>27</v>
      </c>
      <c r="D2889" s="11" t="s">
        <v>89</v>
      </c>
      <c r="E2889" s="11" t="s">
        <v>183</v>
      </c>
      <c r="F2889" s="11" t="s">
        <v>88</v>
      </c>
      <c r="G2889" s="12" t="n">
        <v>265</v>
      </c>
      <c r="H2889" s="12" t="n">
        <f aca="false">SUMPRODUCT(ПОТОКИ!B17:G17,ЧАСОВЫЕ_ПРОФИЛИ!B13:G13,КОЭФФИЦИЕНТЫ_ВЫБОРА!F37:K37)</f>
        <v>2.475</v>
      </c>
      <c r="I2889" s="12" t="n">
        <f aca="false">SUMPRODUCT(ПОТОКИ!B17:G17,ЧАСОВЫЕ_ПРОФИЛИ!B13:G13,КОЭФФИЦИЕНТЫ_ВЫБОРА!F37:K37,ПАРАМЕТРЫ!$B$17:$G$17)</f>
        <v>2.475</v>
      </c>
      <c r="J2889" s="12" t="n">
        <f aca="false">I2889*G2889/1000</f>
        <v>0.655875</v>
      </c>
      <c r="K2889" s="11" t="s">
        <v>217</v>
      </c>
      <c r="L2889" s="11" t="s">
        <v>19</v>
      </c>
      <c r="M2889" s="11" t="s">
        <v>145</v>
      </c>
    </row>
    <row r="2890" customFormat="false" ht="23.85" hidden="false" customHeight="false" outlineLevel="0" collapsed="false">
      <c r="A2890" s="11" t="s">
        <v>113</v>
      </c>
      <c r="B2890" s="11" t="s">
        <v>126</v>
      </c>
      <c r="C2890" s="11" t="n">
        <v>28</v>
      </c>
      <c r="D2890" s="11" t="s">
        <v>89</v>
      </c>
      <c r="E2890" s="11" t="s">
        <v>184</v>
      </c>
      <c r="F2890" s="11" t="s">
        <v>88</v>
      </c>
      <c r="G2890" s="12" t="n">
        <v>355</v>
      </c>
      <c r="H2890" s="12" t="n">
        <f aca="false">SUMPRODUCT(ПОТОКИ!B17:G17,ЧАСОВЫЕ_ПРОФИЛИ!B13:G13,КОЭФФИЦИЕНТЫ_ВЫБОРА!F38:K38)</f>
        <v>1.65</v>
      </c>
      <c r="I2890" s="12" t="n">
        <f aca="false">SUMPRODUCT(ПОТОКИ!B17:G17,ЧАСОВЫЕ_ПРОФИЛИ!B13:G13,КОЭФФИЦИЕНТЫ_ВЫБОРА!F38:K38,ПАРАМЕТРЫ!$B$17:$G$17)</f>
        <v>1.65</v>
      </c>
      <c r="J2890" s="12" t="n">
        <f aca="false">I2890*G2890/1000</f>
        <v>0.58575</v>
      </c>
      <c r="K2890" s="11" t="s">
        <v>217</v>
      </c>
      <c r="L2890" s="11" t="s">
        <v>19</v>
      </c>
      <c r="M2890" s="11" t="s">
        <v>145</v>
      </c>
    </row>
    <row r="2891" customFormat="false" ht="15" hidden="false" customHeight="false" outlineLevel="0" collapsed="false">
      <c r="A2891" s="11" t="s">
        <v>113</v>
      </c>
      <c r="B2891" s="11" t="s">
        <v>126</v>
      </c>
      <c r="C2891" s="11" t="n">
        <v>29</v>
      </c>
      <c r="D2891" s="11" t="s">
        <v>92</v>
      </c>
      <c r="E2891" s="11" t="s">
        <v>185</v>
      </c>
      <c r="F2891" s="11" t="s">
        <v>91</v>
      </c>
      <c r="G2891" s="12" t="n">
        <v>150</v>
      </c>
      <c r="H2891" s="12" t="n">
        <f aca="false">SUMPRODUCT(ПОТОКИ!B17:G17,ЧАСОВЫЕ_ПРОФИЛИ!B13:G13,КОЭФФИЦИЕНТЫ_ВЫБОРА!F39:K39)</f>
        <v>0.108</v>
      </c>
      <c r="I2891" s="12" t="n">
        <f aca="false">SUMPRODUCT(ПОТОКИ!B17:G17,ЧАСОВЫЕ_ПРОФИЛИ!B13:G13,КОЭФФИЦИЕНТЫ_ВЫБОРА!F39:K39,ПАРАМЕТРЫ!$B$17:$G$17)</f>
        <v>0.1188</v>
      </c>
      <c r="J2891" s="12" t="n">
        <f aca="false">I2891*G2891/1000</f>
        <v>0.01782</v>
      </c>
      <c r="K2891" s="11" t="s">
        <v>217</v>
      </c>
      <c r="L2891" s="11" t="s">
        <v>19</v>
      </c>
      <c r="M2891" s="11" t="s">
        <v>145</v>
      </c>
    </row>
    <row r="2892" customFormat="false" ht="15" hidden="false" customHeight="false" outlineLevel="0" collapsed="false">
      <c r="A2892" s="11" t="s">
        <v>113</v>
      </c>
      <c r="B2892" s="11" t="s">
        <v>126</v>
      </c>
      <c r="C2892" s="11" t="n">
        <v>30</v>
      </c>
      <c r="D2892" s="11" t="s">
        <v>92</v>
      </c>
      <c r="E2892" s="11" t="s">
        <v>186</v>
      </c>
      <c r="F2892" s="11" t="s">
        <v>91</v>
      </c>
      <c r="G2892" s="12" t="n">
        <v>120</v>
      </c>
      <c r="H2892" s="12" t="n">
        <f aca="false">SUMPRODUCT(ПОТОКИ!B17:G17,ЧАСОВЫЕ_ПРОФИЛИ!B13:G13,КОЭФФИЦИЕНТЫ_ВЫБОРА!F40:K40)</f>
        <v>0.108</v>
      </c>
      <c r="I2892" s="12" t="n">
        <f aca="false">SUMPRODUCT(ПОТОКИ!B17:G17,ЧАСОВЫЕ_ПРОФИЛИ!B13:G13,КОЭФФИЦИЕНТЫ_ВЫБОРА!F40:K40,ПАРАМЕТРЫ!$B$17:$G$17)</f>
        <v>0.1188</v>
      </c>
      <c r="J2892" s="12" t="n">
        <f aca="false">I2892*G2892/1000</f>
        <v>0.014256</v>
      </c>
      <c r="K2892" s="11" t="s">
        <v>217</v>
      </c>
      <c r="L2892" s="11" t="s">
        <v>19</v>
      </c>
      <c r="M2892" s="11" t="s">
        <v>145</v>
      </c>
    </row>
    <row r="2893" customFormat="false" ht="15" hidden="false" customHeight="false" outlineLevel="0" collapsed="false">
      <c r="A2893" s="11" t="s">
        <v>113</v>
      </c>
      <c r="B2893" s="11" t="s">
        <v>126</v>
      </c>
      <c r="C2893" s="11" t="n">
        <v>31</v>
      </c>
      <c r="D2893" s="11" t="s">
        <v>92</v>
      </c>
      <c r="E2893" s="11" t="s">
        <v>187</v>
      </c>
      <c r="F2893" s="11" t="s">
        <v>91</v>
      </c>
      <c r="G2893" s="12" t="n">
        <v>60</v>
      </c>
      <c r="H2893" s="12" t="n">
        <f aca="false">SUMPRODUCT(ПОТОКИ!B17:G17,ЧАСОВЫЕ_ПРОФИЛИ!B13:G13,КОЭФФИЦИЕНТЫ_ВЫБОРА!F41:K41)</f>
        <v>0.144</v>
      </c>
      <c r="I2893" s="12" t="n">
        <f aca="false">SUMPRODUCT(ПОТОКИ!B17:G17,ЧАСОВЫЕ_ПРОФИЛИ!B13:G13,КОЭФФИЦИЕНТЫ_ВЫБОРА!F41:K41,ПАРАМЕТРЫ!$B$17:$G$17)</f>
        <v>0.1584</v>
      </c>
      <c r="J2893" s="12" t="n">
        <f aca="false">I2893*G2893/1000</f>
        <v>0.009504</v>
      </c>
      <c r="K2893" s="11" t="s">
        <v>217</v>
      </c>
      <c r="L2893" s="11" t="s">
        <v>19</v>
      </c>
      <c r="M2893" s="11" t="s">
        <v>145</v>
      </c>
    </row>
    <row r="2894" customFormat="false" ht="15" hidden="false" customHeight="false" outlineLevel="0" collapsed="false">
      <c r="A2894" s="11" t="s">
        <v>113</v>
      </c>
      <c r="B2894" s="11" t="s">
        <v>127</v>
      </c>
      <c r="C2894" s="11" t="n">
        <v>1</v>
      </c>
      <c r="D2894" s="11" t="s">
        <v>74</v>
      </c>
      <c r="E2894" s="11" t="s">
        <v>153</v>
      </c>
      <c r="F2894" s="11" t="s">
        <v>73</v>
      </c>
      <c r="G2894" s="12" t="n">
        <v>450</v>
      </c>
      <c r="H2894" s="12" t="n">
        <f aca="false">SUMPRODUCT(ПОТОКИ!B17:G17,ЧАСОВЫЕ_ПРОФИЛИ!B14:G14,КОЭФФИЦИЕНТЫ_ВЫБОРА!F11:K11)</f>
        <v>0</v>
      </c>
      <c r="I2894" s="12" t="n">
        <f aca="false">SUMPRODUCT(ПОТОКИ!B17:G17,ЧАСОВЫЕ_ПРОФИЛИ!B14:G14,КОЭФФИЦИЕНТЫ_ВЫБОРА!F11:K11,ПАРАМЕТРЫ!$B$17:$G$17)</f>
        <v>0</v>
      </c>
      <c r="J2894" s="12" t="n">
        <f aca="false">I2894*G2894/1000</f>
        <v>0</v>
      </c>
      <c r="K2894" s="11" t="s">
        <v>217</v>
      </c>
      <c r="L2894" s="11" t="s">
        <v>19</v>
      </c>
      <c r="M2894" s="11" t="s">
        <v>145</v>
      </c>
    </row>
    <row r="2895" customFormat="false" ht="15" hidden="false" customHeight="false" outlineLevel="0" collapsed="false">
      <c r="A2895" s="11" t="s">
        <v>113</v>
      </c>
      <c r="B2895" s="11" t="s">
        <v>127</v>
      </c>
      <c r="C2895" s="11" t="n">
        <v>2</v>
      </c>
      <c r="D2895" s="11" t="s">
        <v>74</v>
      </c>
      <c r="E2895" s="11" t="s">
        <v>154</v>
      </c>
      <c r="F2895" s="11" t="s">
        <v>73</v>
      </c>
      <c r="G2895" s="12" t="n">
        <v>480</v>
      </c>
      <c r="H2895" s="12" t="n">
        <f aca="false">SUMPRODUCT(ПОТОКИ!B17:G17,ЧАСОВЫЕ_ПРОФИЛИ!B14:G14,КОЭФФИЦИЕНТЫ_ВЫБОРА!F12:K12)</f>
        <v>0</v>
      </c>
      <c r="I2895" s="12" t="n">
        <f aca="false">SUMPRODUCT(ПОТОКИ!B17:G17,ЧАСОВЫЕ_ПРОФИЛИ!B14:G14,КОЭФФИЦИЕНТЫ_ВЫБОРА!F12:K12,ПАРАМЕТРЫ!$B$17:$G$17)</f>
        <v>0</v>
      </c>
      <c r="J2895" s="12" t="n">
        <f aca="false">I2895*G2895/1000</f>
        <v>0</v>
      </c>
      <c r="K2895" s="11" t="s">
        <v>217</v>
      </c>
      <c r="L2895" s="11" t="s">
        <v>19</v>
      </c>
      <c r="M2895" s="11" t="s">
        <v>145</v>
      </c>
    </row>
    <row r="2896" customFormat="false" ht="15" hidden="false" customHeight="false" outlineLevel="0" collapsed="false">
      <c r="A2896" s="11" t="s">
        <v>113</v>
      </c>
      <c r="B2896" s="11" t="s">
        <v>127</v>
      </c>
      <c r="C2896" s="11" t="n">
        <v>3</v>
      </c>
      <c r="D2896" s="11" t="s">
        <v>74</v>
      </c>
      <c r="E2896" s="11" t="s">
        <v>155</v>
      </c>
      <c r="F2896" s="11" t="s">
        <v>73</v>
      </c>
      <c r="G2896" s="12" t="n">
        <v>500</v>
      </c>
      <c r="H2896" s="12" t="n">
        <f aca="false">SUMPRODUCT(ПОТОКИ!B17:G17,ЧАСОВЫЕ_ПРОФИЛИ!B14:G14,КОЭФФИЦИЕНТЫ_ВЫБОРА!F13:K13)</f>
        <v>0</v>
      </c>
      <c r="I2896" s="12" t="n">
        <f aca="false">SUMPRODUCT(ПОТОКИ!B17:G17,ЧАСОВЫЕ_ПРОФИЛИ!B14:G14,КОЭФФИЦИЕНТЫ_ВЫБОРА!F13:K13,ПАРАМЕТРЫ!$B$17:$G$17)</f>
        <v>0</v>
      </c>
      <c r="J2896" s="12" t="n">
        <f aca="false">I2896*G2896/1000</f>
        <v>0</v>
      </c>
      <c r="K2896" s="11" t="s">
        <v>217</v>
      </c>
      <c r="L2896" s="11" t="s">
        <v>19</v>
      </c>
      <c r="M2896" s="11" t="s">
        <v>145</v>
      </c>
    </row>
    <row r="2897" customFormat="false" ht="15" hidden="false" customHeight="false" outlineLevel="0" collapsed="false">
      <c r="A2897" s="11" t="s">
        <v>113</v>
      </c>
      <c r="B2897" s="11" t="s">
        <v>127</v>
      </c>
      <c r="C2897" s="11" t="n">
        <v>4</v>
      </c>
      <c r="D2897" s="11" t="s">
        <v>74</v>
      </c>
      <c r="E2897" s="11" t="s">
        <v>156</v>
      </c>
      <c r="F2897" s="11" t="s">
        <v>73</v>
      </c>
      <c r="G2897" s="12" t="n">
        <v>500</v>
      </c>
      <c r="H2897" s="12" t="n">
        <f aca="false">SUMPRODUCT(ПОТОКИ!B17:G17,ЧАСОВЫЕ_ПРОФИЛИ!B14:G14,КОЭФФИЦИЕНТЫ_ВЫБОРА!F14:K14)</f>
        <v>0</v>
      </c>
      <c r="I2897" s="12" t="n">
        <f aca="false">SUMPRODUCT(ПОТОКИ!B17:G17,ЧАСОВЫЕ_ПРОФИЛИ!B14:G14,КОЭФФИЦИЕНТЫ_ВЫБОРА!F14:K14,ПАРАМЕТРЫ!$B$17:$G$17)</f>
        <v>0</v>
      </c>
      <c r="J2897" s="12" t="n">
        <f aca="false">I2897*G2897/1000</f>
        <v>0</v>
      </c>
      <c r="K2897" s="11" t="s">
        <v>217</v>
      </c>
      <c r="L2897" s="11" t="s">
        <v>19</v>
      </c>
      <c r="M2897" s="11" t="s">
        <v>145</v>
      </c>
    </row>
    <row r="2898" customFormat="false" ht="15" hidden="false" customHeight="false" outlineLevel="0" collapsed="false">
      <c r="A2898" s="11" t="s">
        <v>113</v>
      </c>
      <c r="B2898" s="11" t="s">
        <v>127</v>
      </c>
      <c r="C2898" s="11" t="n">
        <v>5</v>
      </c>
      <c r="D2898" s="11" t="s">
        <v>78</v>
      </c>
      <c r="E2898" s="11" t="s">
        <v>157</v>
      </c>
      <c r="F2898" s="11" t="s">
        <v>77</v>
      </c>
      <c r="G2898" s="12" t="n">
        <v>100</v>
      </c>
      <c r="H2898" s="12" t="n">
        <f aca="false">SUMPRODUCT(ПОТОКИ!B17:G17,ЧАСОВЫЕ_ПРОФИЛИ!B14:G14,КОЭФФИЦИЕНТЫ_ВЫБОРА!F15:K15)</f>
        <v>0.216</v>
      </c>
      <c r="I2898" s="12" t="n">
        <f aca="false">SUMPRODUCT(ПОТОКИ!B17:G17,ЧАСОВЫЕ_ПРОФИЛИ!B14:G14,КОЭФФИЦИЕНТЫ_ВЫБОРА!F15:K15,ПАРАМЕТРЫ!$B$17:$G$17)</f>
        <v>0.2376</v>
      </c>
      <c r="J2898" s="12" t="n">
        <f aca="false">I2898*G2898/1000</f>
        <v>0.02376</v>
      </c>
      <c r="K2898" s="11" t="s">
        <v>217</v>
      </c>
      <c r="L2898" s="11" t="s">
        <v>19</v>
      </c>
      <c r="M2898" s="11" t="s">
        <v>147</v>
      </c>
    </row>
    <row r="2899" customFormat="false" ht="15" hidden="false" customHeight="false" outlineLevel="0" collapsed="false">
      <c r="A2899" s="11" t="s">
        <v>113</v>
      </c>
      <c r="B2899" s="11" t="s">
        <v>127</v>
      </c>
      <c r="C2899" s="11" t="n">
        <v>6</v>
      </c>
      <c r="D2899" s="11" t="s">
        <v>78</v>
      </c>
      <c r="E2899" s="11" t="s">
        <v>158</v>
      </c>
      <c r="F2899" s="11" t="s">
        <v>77</v>
      </c>
      <c r="G2899" s="12" t="n">
        <v>100</v>
      </c>
      <c r="H2899" s="12" t="n">
        <f aca="false">SUMPRODUCT(ПОТОКИ!B17:G17,ЧАСОВЫЕ_ПРОФИЛИ!B14:G14,КОЭФФИЦИЕНТЫ_ВЫБОРА!F16:K16)</f>
        <v>0.216</v>
      </c>
      <c r="I2899" s="12" t="n">
        <f aca="false">SUMPRODUCT(ПОТОКИ!B17:G17,ЧАСОВЫЕ_ПРОФИЛИ!B14:G14,КОЭФФИЦИЕНТЫ_ВЫБОРА!F16:K16,ПАРАМЕТРЫ!$B$17:$G$17)</f>
        <v>0.2376</v>
      </c>
      <c r="J2899" s="12" t="n">
        <f aca="false">I2899*G2899/1000</f>
        <v>0.02376</v>
      </c>
      <c r="K2899" s="11" t="s">
        <v>217</v>
      </c>
      <c r="L2899" s="11" t="s">
        <v>19</v>
      </c>
      <c r="M2899" s="11" t="s">
        <v>147</v>
      </c>
    </row>
    <row r="2900" customFormat="false" ht="15" hidden="false" customHeight="false" outlineLevel="0" collapsed="false">
      <c r="A2900" s="11" t="s">
        <v>113</v>
      </c>
      <c r="B2900" s="11" t="s">
        <v>127</v>
      </c>
      <c r="C2900" s="11" t="n">
        <v>7</v>
      </c>
      <c r="D2900" s="11" t="s">
        <v>78</v>
      </c>
      <c r="E2900" s="11" t="s">
        <v>159</v>
      </c>
      <c r="F2900" s="11" t="s">
        <v>77</v>
      </c>
      <c r="G2900" s="12" t="n">
        <v>350</v>
      </c>
      <c r="H2900" s="12" t="n">
        <f aca="false">SUMPRODUCT(ПОТОКИ!B17:G17,ЧАСОВЫЕ_ПРОФИЛИ!B14:G14,КОЭФФИЦИЕНТЫ_ВЫБОРА!F17:K17)</f>
        <v>0.18</v>
      </c>
      <c r="I2900" s="12" t="n">
        <f aca="false">SUMPRODUCT(ПОТОКИ!B17:G17,ЧАСОВЫЕ_ПРОФИЛИ!B14:G14,КОЭФФИЦИЕНТЫ_ВЫБОРА!F17:K17,ПАРАМЕТРЫ!$B$17:$G$17)</f>
        <v>0.198</v>
      </c>
      <c r="J2900" s="12" t="n">
        <f aca="false">I2900*G2900/1000</f>
        <v>0.0693</v>
      </c>
      <c r="K2900" s="11" t="s">
        <v>217</v>
      </c>
      <c r="L2900" s="11" t="s">
        <v>19</v>
      </c>
      <c r="M2900" s="11" t="s">
        <v>147</v>
      </c>
    </row>
    <row r="2901" customFormat="false" ht="15" hidden="false" customHeight="false" outlineLevel="0" collapsed="false">
      <c r="A2901" s="11" t="s">
        <v>113</v>
      </c>
      <c r="B2901" s="11" t="s">
        <v>127</v>
      </c>
      <c r="C2901" s="11" t="n">
        <v>8</v>
      </c>
      <c r="D2901" s="11" t="s">
        <v>78</v>
      </c>
      <c r="E2901" s="11" t="s">
        <v>160</v>
      </c>
      <c r="F2901" s="11" t="s">
        <v>77</v>
      </c>
      <c r="G2901" s="12" t="n">
        <v>85</v>
      </c>
      <c r="H2901" s="12" t="n">
        <f aca="false">SUMPRODUCT(ПОТОКИ!B17:G17,ЧАСОВЫЕ_ПРОФИЛИ!B14:G14,КОЭФФИЦИЕНТЫ_ВЫБОРА!F18:K18)</f>
        <v>0.108</v>
      </c>
      <c r="I2901" s="12" t="n">
        <f aca="false">SUMPRODUCT(ПОТОКИ!B17:G17,ЧАСОВЫЕ_ПРОФИЛИ!B14:G14,КОЭФФИЦИЕНТЫ_ВЫБОРА!F18:K18,ПАРАМЕТРЫ!$B$17:$G$17)</f>
        <v>0.1188</v>
      </c>
      <c r="J2901" s="12" t="n">
        <f aca="false">I2901*G2901/1000</f>
        <v>0.010098</v>
      </c>
      <c r="K2901" s="11" t="s">
        <v>217</v>
      </c>
      <c r="L2901" s="11" t="s">
        <v>19</v>
      </c>
      <c r="M2901" s="11" t="s">
        <v>147</v>
      </c>
    </row>
    <row r="2902" customFormat="false" ht="15" hidden="false" customHeight="false" outlineLevel="0" collapsed="false">
      <c r="A2902" s="11" t="s">
        <v>113</v>
      </c>
      <c r="B2902" s="11" t="s">
        <v>127</v>
      </c>
      <c r="C2902" s="11" t="n">
        <v>9</v>
      </c>
      <c r="D2902" s="11" t="s">
        <v>161</v>
      </c>
      <c r="E2902" s="11" t="s">
        <v>162</v>
      </c>
      <c r="F2902" s="11" t="s">
        <v>80</v>
      </c>
      <c r="G2902" s="12" t="n">
        <v>300</v>
      </c>
      <c r="H2902" s="12" t="n">
        <f aca="false">SUMPRODUCT(ПОТОКИ!B17:G17,ЧАСОВЫЕ_ПРОФИЛИ!B14:G14,КОЭФФИЦИЕНТЫ_ВЫБОРА!F19:K19)</f>
        <v>0</v>
      </c>
      <c r="I2902" s="12" t="n">
        <f aca="false">SUMPRODUCT(ПОТОКИ!B17:G17,ЧАСОВЫЕ_ПРОФИЛИ!B14:G14,КОЭФФИЦИЕНТЫ_ВЫБОРА!F19:K19,ПАРАМЕТРЫ!$B$17:$G$17)</f>
        <v>0</v>
      </c>
      <c r="J2902" s="12" t="n">
        <f aca="false">I2902*G2902/1000</f>
        <v>0</v>
      </c>
      <c r="K2902" s="11" t="s">
        <v>217</v>
      </c>
      <c r="L2902" s="11" t="s">
        <v>19</v>
      </c>
      <c r="M2902" s="11" t="s">
        <v>145</v>
      </c>
    </row>
    <row r="2903" customFormat="false" ht="15" hidden="false" customHeight="false" outlineLevel="0" collapsed="false">
      <c r="A2903" s="11" t="s">
        <v>113</v>
      </c>
      <c r="B2903" s="11" t="s">
        <v>127</v>
      </c>
      <c r="C2903" s="11" t="n">
        <v>10</v>
      </c>
      <c r="D2903" s="11" t="s">
        <v>161</v>
      </c>
      <c r="E2903" s="11" t="s">
        <v>163</v>
      </c>
      <c r="F2903" s="11" t="s">
        <v>80</v>
      </c>
      <c r="G2903" s="12" t="n">
        <v>280</v>
      </c>
      <c r="H2903" s="12" t="n">
        <f aca="false">SUMPRODUCT(ПОТОКИ!B17:G17,ЧАСОВЫЕ_ПРОФИЛИ!B14:G14,КОЭФФИЦИЕНТЫ_ВЫБОРА!F20:K20)</f>
        <v>0</v>
      </c>
      <c r="I2903" s="12" t="n">
        <f aca="false">SUMPRODUCT(ПОТОКИ!B17:G17,ЧАСОВЫЕ_ПРОФИЛИ!B14:G14,КОЭФФИЦИЕНТЫ_ВЫБОРА!F20:K20,ПАРАМЕТРЫ!$B$17:$G$17)</f>
        <v>0</v>
      </c>
      <c r="J2903" s="12" t="n">
        <f aca="false">I2903*G2903/1000</f>
        <v>0</v>
      </c>
      <c r="K2903" s="11" t="s">
        <v>217</v>
      </c>
      <c r="L2903" s="11" t="s">
        <v>19</v>
      </c>
      <c r="M2903" s="11" t="s">
        <v>145</v>
      </c>
    </row>
    <row r="2904" customFormat="false" ht="15" hidden="false" customHeight="false" outlineLevel="0" collapsed="false">
      <c r="A2904" s="11" t="s">
        <v>113</v>
      </c>
      <c r="B2904" s="11" t="s">
        <v>127</v>
      </c>
      <c r="C2904" s="11" t="n">
        <v>11</v>
      </c>
      <c r="D2904" s="11" t="s">
        <v>161</v>
      </c>
      <c r="E2904" s="11" t="s">
        <v>164</v>
      </c>
      <c r="F2904" s="11" t="s">
        <v>80</v>
      </c>
      <c r="G2904" s="12" t="n">
        <v>270</v>
      </c>
      <c r="H2904" s="12" t="n">
        <f aca="false">SUMPRODUCT(ПОТОКИ!B17:G17,ЧАСОВЫЕ_ПРОФИЛИ!B14:G14,КОЭФФИЦИЕНТЫ_ВЫБОРА!F21:K21)</f>
        <v>0</v>
      </c>
      <c r="I2904" s="12" t="n">
        <f aca="false">SUMPRODUCT(ПОТОКИ!B17:G17,ЧАСОВЫЕ_ПРОФИЛИ!B14:G14,КОЭФФИЦИЕНТЫ_ВЫБОРА!F21:K21,ПАРАМЕТРЫ!$B$17:$G$17)</f>
        <v>0</v>
      </c>
      <c r="J2904" s="12" t="n">
        <f aca="false">I2904*G2904/1000</f>
        <v>0</v>
      </c>
      <c r="K2904" s="11" t="s">
        <v>217</v>
      </c>
      <c r="L2904" s="11" t="s">
        <v>19</v>
      </c>
      <c r="M2904" s="11" t="s">
        <v>145</v>
      </c>
    </row>
    <row r="2905" customFormat="false" ht="15" hidden="false" customHeight="false" outlineLevel="0" collapsed="false">
      <c r="A2905" s="11" t="s">
        <v>113</v>
      </c>
      <c r="B2905" s="11" t="s">
        <v>127</v>
      </c>
      <c r="C2905" s="11" t="n">
        <v>12</v>
      </c>
      <c r="D2905" s="11" t="s">
        <v>161</v>
      </c>
      <c r="E2905" s="11" t="s">
        <v>165</v>
      </c>
      <c r="F2905" s="11" t="s">
        <v>80</v>
      </c>
      <c r="G2905" s="12" t="n">
        <v>240</v>
      </c>
      <c r="H2905" s="12" t="n">
        <f aca="false">SUMPRODUCT(ПОТОКИ!B17:G17,ЧАСОВЫЕ_ПРОФИЛИ!B14:G14,КОЭФФИЦИЕНТЫ_ВЫБОРА!F22:K22)</f>
        <v>0</v>
      </c>
      <c r="I2905" s="12" t="n">
        <f aca="false">SUMPRODUCT(ПОТОКИ!B17:G17,ЧАСОВЫЕ_ПРОФИЛИ!B14:G14,КОЭФФИЦИЕНТЫ_ВЫБОРА!F22:K22,ПАРАМЕТРЫ!$B$17:$G$17)</f>
        <v>0</v>
      </c>
      <c r="J2905" s="12" t="n">
        <f aca="false">I2905*G2905/1000</f>
        <v>0</v>
      </c>
      <c r="K2905" s="11" t="s">
        <v>217</v>
      </c>
      <c r="L2905" s="11" t="s">
        <v>19</v>
      </c>
      <c r="M2905" s="11" t="s">
        <v>145</v>
      </c>
    </row>
    <row r="2906" customFormat="false" ht="15" hidden="false" customHeight="false" outlineLevel="0" collapsed="false">
      <c r="A2906" s="11" t="s">
        <v>113</v>
      </c>
      <c r="B2906" s="11" t="s">
        <v>127</v>
      </c>
      <c r="C2906" s="11" t="n">
        <v>13</v>
      </c>
      <c r="D2906" s="11" t="s">
        <v>166</v>
      </c>
      <c r="E2906" s="11" t="s">
        <v>167</v>
      </c>
      <c r="F2906" s="11" t="s">
        <v>80</v>
      </c>
      <c r="G2906" s="12" t="n">
        <v>130</v>
      </c>
      <c r="H2906" s="12" t="n">
        <f aca="false">SUMPRODUCT(ПОТОКИ!B17:G17,ЧАСОВЫЕ_ПРОФИЛИ!B14:G14,КОЭФФИЦИЕНТЫ_ВЫБОРА!F23:K23)</f>
        <v>0</v>
      </c>
      <c r="I2906" s="12" t="n">
        <f aca="false">SUMPRODUCT(ПОТОКИ!B17:G17,ЧАСОВЫЕ_ПРОФИЛИ!B14:G14,КОЭФФИЦИЕНТЫ_ВЫБОРА!F23:K23,ПАРАМЕТРЫ!$B$17:$G$17)</f>
        <v>0</v>
      </c>
      <c r="J2906" s="12" t="n">
        <f aca="false">I2906*G2906/1000</f>
        <v>0</v>
      </c>
      <c r="K2906" s="11" t="s">
        <v>217</v>
      </c>
      <c r="L2906" s="11" t="s">
        <v>19</v>
      </c>
      <c r="M2906" s="11" t="s">
        <v>145</v>
      </c>
    </row>
    <row r="2907" customFormat="false" ht="15" hidden="false" customHeight="false" outlineLevel="0" collapsed="false">
      <c r="A2907" s="11" t="s">
        <v>113</v>
      </c>
      <c r="B2907" s="11" t="s">
        <v>127</v>
      </c>
      <c r="C2907" s="11" t="n">
        <v>14</v>
      </c>
      <c r="D2907" s="11" t="s">
        <v>166</v>
      </c>
      <c r="E2907" s="11" t="s">
        <v>168</v>
      </c>
      <c r="F2907" s="11" t="s">
        <v>80</v>
      </c>
      <c r="G2907" s="12" t="n">
        <v>250</v>
      </c>
      <c r="H2907" s="12" t="n">
        <f aca="false">SUMPRODUCT(ПОТОКИ!B17:G17,ЧАСОВЫЕ_ПРОФИЛИ!B14:G14,КОЭФФИЦИЕНТЫ_ВЫБОРА!F24:K24)</f>
        <v>0</v>
      </c>
      <c r="I2907" s="12" t="n">
        <f aca="false">SUMPRODUCT(ПОТОКИ!B17:G17,ЧАСОВЫЕ_ПРОФИЛИ!B14:G14,КОЭФФИЦИЕНТЫ_ВЫБОРА!F24:K24,ПАРАМЕТРЫ!$B$17:$G$17)</f>
        <v>0</v>
      </c>
      <c r="J2907" s="12" t="n">
        <f aca="false">I2907*G2907/1000</f>
        <v>0</v>
      </c>
      <c r="K2907" s="11" t="s">
        <v>217</v>
      </c>
      <c r="L2907" s="11" t="s">
        <v>19</v>
      </c>
      <c r="M2907" s="11" t="s">
        <v>145</v>
      </c>
    </row>
    <row r="2908" customFormat="false" ht="15" hidden="false" customHeight="false" outlineLevel="0" collapsed="false">
      <c r="A2908" s="11" t="s">
        <v>113</v>
      </c>
      <c r="B2908" s="11" t="s">
        <v>127</v>
      </c>
      <c r="C2908" s="11" t="n">
        <v>15</v>
      </c>
      <c r="D2908" s="11" t="s">
        <v>166</v>
      </c>
      <c r="E2908" s="11" t="s">
        <v>169</v>
      </c>
      <c r="F2908" s="11" t="s">
        <v>80</v>
      </c>
      <c r="G2908" s="12" t="n">
        <v>120</v>
      </c>
      <c r="H2908" s="12" t="n">
        <f aca="false">SUMPRODUCT(ПОТОКИ!B17:G17,ЧАСОВЫЕ_ПРОФИЛИ!B14:G14,КОЭФФИЦИЕНТЫ_ВЫБОРА!F25:K25)</f>
        <v>0</v>
      </c>
      <c r="I2908" s="12" t="n">
        <f aca="false">SUMPRODUCT(ПОТОКИ!B17:G17,ЧАСОВЫЕ_ПРОФИЛИ!B14:G14,КОЭФФИЦИЕНТЫ_ВЫБОРА!F25:K25,ПАРАМЕТРЫ!$B$17:$G$17)</f>
        <v>0</v>
      </c>
      <c r="J2908" s="12" t="n">
        <f aca="false">I2908*G2908/1000</f>
        <v>0</v>
      </c>
      <c r="K2908" s="11" t="s">
        <v>217</v>
      </c>
      <c r="L2908" s="11" t="s">
        <v>19</v>
      </c>
      <c r="M2908" s="11" t="s">
        <v>145</v>
      </c>
    </row>
    <row r="2909" customFormat="false" ht="15" hidden="false" customHeight="false" outlineLevel="0" collapsed="false">
      <c r="A2909" s="11" t="s">
        <v>113</v>
      </c>
      <c r="B2909" s="11" t="s">
        <v>127</v>
      </c>
      <c r="C2909" s="11" t="n">
        <v>16</v>
      </c>
      <c r="D2909" s="11" t="s">
        <v>166</v>
      </c>
      <c r="E2909" s="11" t="s">
        <v>170</v>
      </c>
      <c r="F2909" s="11" t="s">
        <v>80</v>
      </c>
      <c r="G2909" s="12" t="n">
        <v>180</v>
      </c>
      <c r="H2909" s="12" t="n">
        <f aca="false">SUMPRODUCT(ПОТОКИ!B17:G17,ЧАСОВЫЕ_ПРОФИЛИ!B14:G14,КОЭФФИЦИЕНТЫ_ВЫБОРА!F26:K26)</f>
        <v>0</v>
      </c>
      <c r="I2909" s="12" t="n">
        <f aca="false">SUMPRODUCT(ПОТОКИ!B17:G17,ЧАСОВЫЕ_ПРОФИЛИ!B14:G14,КОЭФФИЦИЕНТЫ_ВЫБОРА!F26:K26,ПАРАМЕТРЫ!$B$17:$G$17)</f>
        <v>0</v>
      </c>
      <c r="J2909" s="12" t="n">
        <f aca="false">I2909*G2909/1000</f>
        <v>0</v>
      </c>
      <c r="K2909" s="11" t="s">
        <v>217</v>
      </c>
      <c r="L2909" s="11" t="s">
        <v>19</v>
      </c>
      <c r="M2909" s="11" t="s">
        <v>145</v>
      </c>
    </row>
    <row r="2910" customFormat="false" ht="15" hidden="false" customHeight="false" outlineLevel="0" collapsed="false">
      <c r="A2910" s="11" t="s">
        <v>113</v>
      </c>
      <c r="B2910" s="11" t="s">
        <v>127</v>
      </c>
      <c r="C2910" s="11" t="n">
        <v>17</v>
      </c>
      <c r="D2910" s="11" t="s">
        <v>166</v>
      </c>
      <c r="E2910" s="11" t="s">
        <v>171</v>
      </c>
      <c r="F2910" s="11" t="s">
        <v>80</v>
      </c>
      <c r="G2910" s="12" t="n">
        <v>180</v>
      </c>
      <c r="H2910" s="12" t="n">
        <f aca="false">SUMPRODUCT(ПОТОКИ!B17:G17,ЧАСОВЫЕ_ПРОФИЛИ!B14:G14,КОЭФФИЦИЕНТЫ_ВЫБОРА!F27:K27)</f>
        <v>0</v>
      </c>
      <c r="I2910" s="12" t="n">
        <f aca="false">SUMPRODUCT(ПОТОКИ!B17:G17,ЧАСОВЫЕ_ПРОФИЛИ!B14:G14,КОЭФФИЦИЕНТЫ_ВЫБОРА!F27:K27,ПАРАМЕТРЫ!$B$17:$G$17)</f>
        <v>0</v>
      </c>
      <c r="J2910" s="12" t="n">
        <f aca="false">I2910*G2910/1000</f>
        <v>0</v>
      </c>
      <c r="K2910" s="11" t="s">
        <v>217</v>
      </c>
      <c r="L2910" s="11" t="s">
        <v>19</v>
      </c>
      <c r="M2910" s="11" t="s">
        <v>145</v>
      </c>
    </row>
    <row r="2911" customFormat="false" ht="15" hidden="false" customHeight="false" outlineLevel="0" collapsed="false">
      <c r="A2911" s="11" t="s">
        <v>113</v>
      </c>
      <c r="B2911" s="11" t="s">
        <v>127</v>
      </c>
      <c r="C2911" s="11" t="n">
        <v>18</v>
      </c>
      <c r="D2911" s="11" t="s">
        <v>172</v>
      </c>
      <c r="E2911" s="11" t="s">
        <v>173</v>
      </c>
      <c r="F2911" s="11" t="s">
        <v>83</v>
      </c>
      <c r="G2911" s="12" t="n">
        <v>400</v>
      </c>
      <c r="H2911" s="12" t="n">
        <f aca="false">SUMPRODUCT(ПОТОКИ!B17:G17,ЧАСОВЫЕ_ПРОФИЛИ!B14:G14,КОЭФФИЦИЕНТЫ_ВЫБОРА!F28:K28)</f>
        <v>0</v>
      </c>
      <c r="I2911" s="12" t="n">
        <f aca="false">SUMPRODUCT(ПОТОКИ!B17:G17,ЧАСОВЫЕ_ПРОФИЛИ!B14:G14,КОЭФФИЦИЕНТЫ_ВЫБОРА!F28:K28,ПАРАМЕТРЫ!$B$17:$G$17)</f>
        <v>0</v>
      </c>
      <c r="J2911" s="12" t="n">
        <f aca="false">I2911*G2911/1000</f>
        <v>0</v>
      </c>
      <c r="K2911" s="11" t="s">
        <v>217</v>
      </c>
      <c r="L2911" s="11" t="s">
        <v>19</v>
      </c>
      <c r="M2911" s="11" t="s">
        <v>145</v>
      </c>
    </row>
    <row r="2912" customFormat="false" ht="23.85" hidden="false" customHeight="false" outlineLevel="0" collapsed="false">
      <c r="A2912" s="11" t="s">
        <v>113</v>
      </c>
      <c r="B2912" s="11" t="s">
        <v>127</v>
      </c>
      <c r="C2912" s="11" t="n">
        <v>19</v>
      </c>
      <c r="D2912" s="11" t="s">
        <v>174</v>
      </c>
      <c r="E2912" s="11" t="s">
        <v>175</v>
      </c>
      <c r="F2912" s="11" t="s">
        <v>83</v>
      </c>
      <c r="G2912" s="12" t="n">
        <v>300</v>
      </c>
      <c r="H2912" s="12" t="n">
        <f aca="false">SUMPRODUCT(ПОТОКИ!B17:G17,ЧАСОВЫЕ_ПРОФИЛИ!B14:G14,КОЭФФИЦИЕНТЫ_ВЫБОРА!F29:K29)</f>
        <v>0</v>
      </c>
      <c r="I2912" s="12" t="n">
        <f aca="false">SUMPRODUCT(ПОТОКИ!B17:G17,ЧАСОВЫЕ_ПРОФИЛИ!B14:G14,КОЭФФИЦИЕНТЫ_ВЫБОРА!F29:K29,ПАРАМЕТРЫ!$B$17:$G$17)</f>
        <v>0</v>
      </c>
      <c r="J2912" s="12" t="n">
        <f aca="false">I2912*G2912/1000</f>
        <v>0</v>
      </c>
      <c r="K2912" s="11" t="s">
        <v>217</v>
      </c>
      <c r="L2912" s="11" t="s">
        <v>19</v>
      </c>
      <c r="M2912" s="11" t="s">
        <v>145</v>
      </c>
    </row>
    <row r="2913" customFormat="false" ht="15" hidden="false" customHeight="false" outlineLevel="0" collapsed="false">
      <c r="A2913" s="11" t="s">
        <v>113</v>
      </c>
      <c r="B2913" s="11" t="s">
        <v>127</v>
      </c>
      <c r="C2913" s="11" t="n">
        <v>20</v>
      </c>
      <c r="D2913" s="11" t="s">
        <v>174</v>
      </c>
      <c r="E2913" s="11" t="s">
        <v>176</v>
      </c>
      <c r="F2913" s="11" t="s">
        <v>83</v>
      </c>
      <c r="G2913" s="12" t="n">
        <v>360</v>
      </c>
      <c r="H2913" s="12" t="n">
        <f aca="false">SUMPRODUCT(ПОТОКИ!B17:G17,ЧАСОВЫЕ_ПРОФИЛИ!B14:G14,КОЭФФИЦИЕНТЫ_ВЫБОРА!F30:K30)</f>
        <v>0</v>
      </c>
      <c r="I2913" s="12" t="n">
        <f aca="false">SUMPRODUCT(ПОТОКИ!B17:G17,ЧАСОВЫЕ_ПРОФИЛИ!B14:G14,КОЭФФИЦИЕНТЫ_ВЫБОРА!F30:K30,ПАРАМЕТРЫ!$B$17:$G$17)</f>
        <v>0</v>
      </c>
      <c r="J2913" s="12" t="n">
        <f aca="false">I2913*G2913/1000</f>
        <v>0</v>
      </c>
      <c r="K2913" s="11" t="s">
        <v>217</v>
      </c>
      <c r="L2913" s="11" t="s">
        <v>19</v>
      </c>
      <c r="M2913" s="11" t="s">
        <v>145</v>
      </c>
    </row>
    <row r="2914" customFormat="false" ht="15" hidden="false" customHeight="false" outlineLevel="0" collapsed="false">
      <c r="A2914" s="11" t="s">
        <v>113</v>
      </c>
      <c r="B2914" s="11" t="s">
        <v>127</v>
      </c>
      <c r="C2914" s="11" t="n">
        <v>21</v>
      </c>
      <c r="D2914" s="11" t="s">
        <v>174</v>
      </c>
      <c r="E2914" s="11" t="s">
        <v>177</v>
      </c>
      <c r="F2914" s="11" t="s">
        <v>83</v>
      </c>
      <c r="G2914" s="12" t="n">
        <v>350</v>
      </c>
      <c r="H2914" s="12" t="n">
        <f aca="false">SUMPRODUCT(ПОТОКИ!B17:G17,ЧАСОВЫЕ_ПРОФИЛИ!B14:G14,КОЭФФИЦИЕНТЫ_ВЫБОРА!F31:K31)</f>
        <v>0</v>
      </c>
      <c r="I2914" s="12" t="n">
        <f aca="false">SUMPRODUCT(ПОТОКИ!B17:G17,ЧАСОВЫЕ_ПРОФИЛИ!B14:G14,КОЭФФИЦИЕНТЫ_ВЫБОРА!F31:K31,ПАРАМЕТРЫ!$B$17:$G$17)</f>
        <v>0</v>
      </c>
      <c r="J2914" s="12" t="n">
        <f aca="false">I2914*G2914/1000</f>
        <v>0</v>
      </c>
      <c r="K2914" s="11" t="s">
        <v>217</v>
      </c>
      <c r="L2914" s="11" t="s">
        <v>19</v>
      </c>
      <c r="M2914" s="11" t="s">
        <v>145</v>
      </c>
    </row>
    <row r="2915" customFormat="false" ht="15" hidden="false" customHeight="false" outlineLevel="0" collapsed="false">
      <c r="A2915" s="11" t="s">
        <v>113</v>
      </c>
      <c r="B2915" s="11" t="s">
        <v>127</v>
      </c>
      <c r="C2915" s="11" t="n">
        <v>22</v>
      </c>
      <c r="D2915" s="11" t="s">
        <v>174</v>
      </c>
      <c r="E2915" s="11" t="s">
        <v>178</v>
      </c>
      <c r="F2915" s="11" t="s">
        <v>83</v>
      </c>
      <c r="G2915" s="12" t="n">
        <v>300</v>
      </c>
      <c r="H2915" s="12" t="n">
        <f aca="false">SUMPRODUCT(ПОТОКИ!B17:G17,ЧАСОВЫЕ_ПРОФИЛИ!B14:G14,КОЭФФИЦИЕНТЫ_ВЫБОРА!F32:K32)</f>
        <v>0</v>
      </c>
      <c r="I2915" s="12" t="n">
        <f aca="false">SUMPRODUCT(ПОТОКИ!B17:G17,ЧАСОВЫЕ_ПРОФИЛИ!B14:G14,КОЭФФИЦИЕНТЫ_ВЫБОРА!F32:K32,ПАРАМЕТРЫ!$B$17:$G$17)</f>
        <v>0</v>
      </c>
      <c r="J2915" s="12" t="n">
        <f aca="false">I2915*G2915/1000</f>
        <v>0</v>
      </c>
      <c r="K2915" s="11" t="s">
        <v>217</v>
      </c>
      <c r="L2915" s="11" t="s">
        <v>19</v>
      </c>
      <c r="M2915" s="11" t="s">
        <v>145</v>
      </c>
    </row>
    <row r="2916" customFormat="false" ht="15" hidden="false" customHeight="false" outlineLevel="0" collapsed="false">
      <c r="A2916" s="11" t="s">
        <v>113</v>
      </c>
      <c r="B2916" s="11" t="s">
        <v>127</v>
      </c>
      <c r="C2916" s="11" t="n">
        <v>23</v>
      </c>
      <c r="D2916" s="11" t="s">
        <v>86</v>
      </c>
      <c r="E2916" s="11" t="s">
        <v>179</v>
      </c>
      <c r="F2916" s="11" t="s">
        <v>85</v>
      </c>
      <c r="G2916" s="12" t="n">
        <v>150</v>
      </c>
      <c r="H2916" s="12" t="n">
        <f aca="false">SUMPRODUCT(ПОТОКИ!B17:G17,ЧАСОВЫЕ_ПРОФИЛИ!B14:G14,КОЭФФИЦИЕНТЫ_ВЫБОРА!F33:K33)</f>
        <v>0</v>
      </c>
      <c r="I2916" s="12" t="n">
        <f aca="false">SUMPRODUCT(ПОТОКИ!B17:G17,ЧАСОВЫЕ_ПРОФИЛИ!B14:G14,КОЭФФИЦИЕНТЫ_ВЫБОРА!F33:K33,ПАРАМЕТРЫ!$B$17:$G$17)</f>
        <v>0</v>
      </c>
      <c r="J2916" s="12" t="n">
        <f aca="false">I2916*G2916/1000</f>
        <v>0</v>
      </c>
      <c r="K2916" s="11" t="s">
        <v>217</v>
      </c>
      <c r="L2916" s="11" t="s">
        <v>19</v>
      </c>
      <c r="M2916" s="11" t="s">
        <v>147</v>
      </c>
    </row>
    <row r="2917" customFormat="false" ht="15" hidden="false" customHeight="false" outlineLevel="0" collapsed="false">
      <c r="A2917" s="11" t="s">
        <v>113</v>
      </c>
      <c r="B2917" s="11" t="s">
        <v>127</v>
      </c>
      <c r="C2917" s="11" t="n">
        <v>24</v>
      </c>
      <c r="D2917" s="11" t="s">
        <v>86</v>
      </c>
      <c r="E2917" s="11" t="s">
        <v>180</v>
      </c>
      <c r="F2917" s="11" t="s">
        <v>85</v>
      </c>
      <c r="G2917" s="12" t="n">
        <v>150</v>
      </c>
      <c r="H2917" s="12" t="n">
        <f aca="false">SUMPRODUCT(ПОТОКИ!B17:G17,ЧАСОВЫЕ_ПРОФИЛИ!B14:G14,КОЭФФИЦИЕНТЫ_ВЫБОРА!F34:K34)</f>
        <v>0</v>
      </c>
      <c r="I2917" s="12" t="n">
        <f aca="false">SUMPRODUCT(ПОТОКИ!B17:G17,ЧАСОВЫЕ_ПРОФИЛИ!B14:G14,КОЭФФИЦИЕНТЫ_ВЫБОРА!F34:K34,ПАРАМЕТРЫ!$B$17:$G$17)</f>
        <v>0</v>
      </c>
      <c r="J2917" s="12" t="n">
        <f aca="false">I2917*G2917/1000</f>
        <v>0</v>
      </c>
      <c r="K2917" s="11" t="s">
        <v>217</v>
      </c>
      <c r="L2917" s="11" t="s">
        <v>19</v>
      </c>
      <c r="M2917" s="11" t="s">
        <v>147</v>
      </c>
    </row>
    <row r="2918" customFormat="false" ht="15" hidden="false" customHeight="false" outlineLevel="0" collapsed="false">
      <c r="A2918" s="11" t="s">
        <v>113</v>
      </c>
      <c r="B2918" s="11" t="s">
        <v>127</v>
      </c>
      <c r="C2918" s="11" t="n">
        <v>25</v>
      </c>
      <c r="D2918" s="11" t="s">
        <v>86</v>
      </c>
      <c r="E2918" s="11" t="s">
        <v>181</v>
      </c>
      <c r="F2918" s="11" t="s">
        <v>85</v>
      </c>
      <c r="G2918" s="12" t="n">
        <v>150</v>
      </c>
      <c r="H2918" s="12" t="n">
        <f aca="false">SUMPRODUCT(ПОТОКИ!B17:G17,ЧАСОВЫЕ_ПРОФИЛИ!B14:G14,КОЭФФИЦИЕНТЫ_ВЫБОРА!F35:K35)</f>
        <v>0</v>
      </c>
      <c r="I2918" s="12" t="n">
        <f aca="false">SUMPRODUCT(ПОТОКИ!B17:G17,ЧАСОВЫЕ_ПРОФИЛИ!B14:G14,КОЭФФИЦИЕНТЫ_ВЫБОРА!F35:K35,ПАРАМЕТРЫ!$B$17:$G$17)</f>
        <v>0</v>
      </c>
      <c r="J2918" s="12" t="n">
        <f aca="false">I2918*G2918/1000</f>
        <v>0</v>
      </c>
      <c r="K2918" s="11" t="s">
        <v>217</v>
      </c>
      <c r="L2918" s="11" t="s">
        <v>19</v>
      </c>
      <c r="M2918" s="11" t="s">
        <v>147</v>
      </c>
    </row>
    <row r="2919" customFormat="false" ht="23.85" hidden="false" customHeight="false" outlineLevel="0" collapsed="false">
      <c r="A2919" s="11" t="s">
        <v>113</v>
      </c>
      <c r="B2919" s="11" t="s">
        <v>127</v>
      </c>
      <c r="C2919" s="11" t="n">
        <v>26</v>
      </c>
      <c r="D2919" s="11" t="s">
        <v>89</v>
      </c>
      <c r="E2919" s="11" t="s">
        <v>182</v>
      </c>
      <c r="F2919" s="11" t="s">
        <v>88</v>
      </c>
      <c r="G2919" s="12" t="n">
        <v>225</v>
      </c>
      <c r="H2919" s="12" t="n">
        <f aca="false">SUMPRODUCT(ПОТОКИ!B17:G17,ЧАСОВЫЕ_ПРОФИЛИ!B14:G14,КОЭФФИЦИЕНТЫ_ВЫБОРА!F36:K36)</f>
        <v>1.2375</v>
      </c>
      <c r="I2919" s="12" t="n">
        <f aca="false">SUMPRODUCT(ПОТОКИ!B17:G17,ЧАСОВЫЕ_ПРОФИЛИ!B14:G14,КОЭФФИЦИЕНТЫ_ВЫБОРА!F36:K36,ПАРАМЕТРЫ!$B$17:$G$17)</f>
        <v>1.2375</v>
      </c>
      <c r="J2919" s="12" t="n">
        <f aca="false">I2919*G2919/1000</f>
        <v>0.2784375</v>
      </c>
      <c r="K2919" s="11" t="s">
        <v>217</v>
      </c>
      <c r="L2919" s="11" t="s">
        <v>19</v>
      </c>
      <c r="M2919" s="11" t="s">
        <v>145</v>
      </c>
    </row>
    <row r="2920" customFormat="false" ht="23.85" hidden="false" customHeight="false" outlineLevel="0" collapsed="false">
      <c r="A2920" s="11" t="s">
        <v>113</v>
      </c>
      <c r="B2920" s="11" t="s">
        <v>127</v>
      </c>
      <c r="C2920" s="11" t="n">
        <v>27</v>
      </c>
      <c r="D2920" s="11" t="s">
        <v>89</v>
      </c>
      <c r="E2920" s="11" t="s">
        <v>183</v>
      </c>
      <c r="F2920" s="11" t="s">
        <v>88</v>
      </c>
      <c r="G2920" s="12" t="n">
        <v>265</v>
      </c>
      <c r="H2920" s="12" t="n">
        <f aca="false">SUMPRODUCT(ПОТОКИ!B17:G17,ЧАСОВЫЕ_ПРОФИЛИ!B14:G14,КОЭФФИЦИЕНТЫ_ВЫБОРА!F37:K37)</f>
        <v>1.2375</v>
      </c>
      <c r="I2920" s="12" t="n">
        <f aca="false">SUMPRODUCT(ПОТОКИ!B17:G17,ЧАСОВЫЕ_ПРОФИЛИ!B14:G14,КОЭФФИЦИЕНТЫ_ВЫБОРА!F37:K37,ПАРАМЕТРЫ!$B$17:$G$17)</f>
        <v>1.2375</v>
      </c>
      <c r="J2920" s="12" t="n">
        <f aca="false">I2920*G2920/1000</f>
        <v>0.3279375</v>
      </c>
      <c r="K2920" s="11" t="s">
        <v>217</v>
      </c>
      <c r="L2920" s="11" t="s">
        <v>19</v>
      </c>
      <c r="M2920" s="11" t="s">
        <v>145</v>
      </c>
    </row>
    <row r="2921" customFormat="false" ht="23.85" hidden="false" customHeight="false" outlineLevel="0" collapsed="false">
      <c r="A2921" s="11" t="s">
        <v>113</v>
      </c>
      <c r="B2921" s="11" t="s">
        <v>127</v>
      </c>
      <c r="C2921" s="11" t="n">
        <v>28</v>
      </c>
      <c r="D2921" s="11" t="s">
        <v>89</v>
      </c>
      <c r="E2921" s="11" t="s">
        <v>184</v>
      </c>
      <c r="F2921" s="11" t="s">
        <v>88</v>
      </c>
      <c r="G2921" s="12" t="n">
        <v>355</v>
      </c>
      <c r="H2921" s="12" t="n">
        <f aca="false">SUMPRODUCT(ПОТОКИ!B17:G17,ЧАСОВЫЕ_ПРОФИЛИ!B14:G14,КОЭФФИЦИЕНТЫ_ВЫБОРА!F38:K38)</f>
        <v>0.825</v>
      </c>
      <c r="I2921" s="12" t="n">
        <f aca="false">SUMPRODUCT(ПОТОКИ!B17:G17,ЧАСОВЫЕ_ПРОФИЛИ!B14:G14,КОЭФФИЦИЕНТЫ_ВЫБОРА!F38:K38,ПАРАМЕТРЫ!$B$17:$G$17)</f>
        <v>0.825</v>
      </c>
      <c r="J2921" s="12" t="n">
        <f aca="false">I2921*G2921/1000</f>
        <v>0.292875</v>
      </c>
      <c r="K2921" s="11" t="s">
        <v>217</v>
      </c>
      <c r="L2921" s="11" t="s">
        <v>19</v>
      </c>
      <c r="M2921" s="11" t="s">
        <v>145</v>
      </c>
    </row>
    <row r="2922" customFormat="false" ht="15" hidden="false" customHeight="false" outlineLevel="0" collapsed="false">
      <c r="A2922" s="11" t="s">
        <v>113</v>
      </c>
      <c r="B2922" s="11" t="s">
        <v>127</v>
      </c>
      <c r="C2922" s="11" t="n">
        <v>29</v>
      </c>
      <c r="D2922" s="11" t="s">
        <v>92</v>
      </c>
      <c r="E2922" s="11" t="s">
        <v>185</v>
      </c>
      <c r="F2922" s="11" t="s">
        <v>91</v>
      </c>
      <c r="G2922" s="12" t="n">
        <v>150</v>
      </c>
      <c r="H2922" s="12" t="n">
        <f aca="false">SUMPRODUCT(ПОТОКИ!B17:G17,ЧАСОВЫЕ_ПРОФИЛИ!B14:G14,КОЭФФИЦИЕНТЫ_ВЫБОРА!F39:K39)</f>
        <v>0.108</v>
      </c>
      <c r="I2922" s="12" t="n">
        <f aca="false">SUMPRODUCT(ПОТОКИ!B17:G17,ЧАСОВЫЕ_ПРОФИЛИ!B14:G14,КОЭФФИЦИЕНТЫ_ВЫБОРА!F39:K39,ПАРАМЕТРЫ!$B$17:$G$17)</f>
        <v>0.1188</v>
      </c>
      <c r="J2922" s="12" t="n">
        <f aca="false">I2922*G2922/1000</f>
        <v>0.01782</v>
      </c>
      <c r="K2922" s="11" t="s">
        <v>217</v>
      </c>
      <c r="L2922" s="11" t="s">
        <v>19</v>
      </c>
      <c r="M2922" s="11" t="s">
        <v>145</v>
      </c>
    </row>
    <row r="2923" customFormat="false" ht="15" hidden="false" customHeight="false" outlineLevel="0" collapsed="false">
      <c r="A2923" s="11" t="s">
        <v>113</v>
      </c>
      <c r="B2923" s="11" t="s">
        <v>127</v>
      </c>
      <c r="C2923" s="11" t="n">
        <v>30</v>
      </c>
      <c r="D2923" s="11" t="s">
        <v>92</v>
      </c>
      <c r="E2923" s="11" t="s">
        <v>186</v>
      </c>
      <c r="F2923" s="11" t="s">
        <v>91</v>
      </c>
      <c r="G2923" s="12" t="n">
        <v>120</v>
      </c>
      <c r="H2923" s="12" t="n">
        <f aca="false">SUMPRODUCT(ПОТОКИ!B17:G17,ЧАСОВЫЕ_ПРОФИЛИ!B14:G14,КОЭФФИЦИЕНТЫ_ВЫБОРА!F40:K40)</f>
        <v>0.108</v>
      </c>
      <c r="I2923" s="12" t="n">
        <f aca="false">SUMPRODUCT(ПОТОКИ!B17:G17,ЧАСОВЫЕ_ПРОФИЛИ!B14:G14,КОЭФФИЦИЕНТЫ_ВЫБОРА!F40:K40,ПАРАМЕТРЫ!$B$17:$G$17)</f>
        <v>0.1188</v>
      </c>
      <c r="J2923" s="12" t="n">
        <f aca="false">I2923*G2923/1000</f>
        <v>0.014256</v>
      </c>
      <c r="K2923" s="11" t="s">
        <v>217</v>
      </c>
      <c r="L2923" s="11" t="s">
        <v>19</v>
      </c>
      <c r="M2923" s="11" t="s">
        <v>145</v>
      </c>
    </row>
    <row r="2924" customFormat="false" ht="15" hidden="false" customHeight="false" outlineLevel="0" collapsed="false">
      <c r="A2924" s="11" t="s">
        <v>113</v>
      </c>
      <c r="B2924" s="11" t="s">
        <v>127</v>
      </c>
      <c r="C2924" s="11" t="n">
        <v>31</v>
      </c>
      <c r="D2924" s="11" t="s">
        <v>92</v>
      </c>
      <c r="E2924" s="11" t="s">
        <v>187</v>
      </c>
      <c r="F2924" s="11" t="s">
        <v>91</v>
      </c>
      <c r="G2924" s="12" t="n">
        <v>60</v>
      </c>
      <c r="H2924" s="12" t="n">
        <f aca="false">SUMPRODUCT(ПОТОКИ!B17:G17,ЧАСОВЫЕ_ПРОФИЛИ!B14:G14,КОЭФФИЦИЕНТЫ_ВЫБОРА!F41:K41)</f>
        <v>0.144</v>
      </c>
      <c r="I2924" s="12" t="n">
        <f aca="false">SUMPRODUCT(ПОТОКИ!B17:G17,ЧАСОВЫЕ_ПРОФИЛИ!B14:G14,КОЭФФИЦИЕНТЫ_ВЫБОРА!F41:K41,ПАРАМЕТРЫ!$B$17:$G$17)</f>
        <v>0.1584</v>
      </c>
      <c r="J2924" s="12" t="n">
        <f aca="false">I2924*G2924/1000</f>
        <v>0.009504</v>
      </c>
      <c r="K2924" s="11" t="s">
        <v>217</v>
      </c>
      <c r="L2924" s="11" t="s">
        <v>19</v>
      </c>
      <c r="M2924" s="11" t="s">
        <v>145</v>
      </c>
    </row>
    <row r="2925" customFormat="false" ht="15" hidden="false" customHeight="false" outlineLevel="0" collapsed="false">
      <c r="A2925" s="11" t="s">
        <v>113</v>
      </c>
      <c r="B2925" s="11" t="s">
        <v>128</v>
      </c>
      <c r="C2925" s="11" t="n">
        <v>1</v>
      </c>
      <c r="D2925" s="11" t="s">
        <v>74</v>
      </c>
      <c r="E2925" s="11" t="s">
        <v>153</v>
      </c>
      <c r="F2925" s="11" t="s">
        <v>73</v>
      </c>
      <c r="G2925" s="12" t="n">
        <v>450</v>
      </c>
      <c r="H2925" s="12" t="n">
        <f aca="false">SUMPRODUCT(ПОТОКИ!B17:G17,ЧАСОВЫЕ_ПРОФИЛИ!B15:G15,КОЭФФИЦИЕНТЫ_ВЫБОРА!F11:K11)</f>
        <v>0.171</v>
      </c>
      <c r="I2925" s="12" t="n">
        <f aca="false">SUMPRODUCT(ПОТОКИ!B17:G17,ЧАСОВЫЕ_ПРОФИЛИ!B15:G15,КОЭФФИЦИЕНТЫ_ВЫБОРА!F11:K11,ПАРАМЕТРЫ!$B$17:$G$17)</f>
        <v>0.1881</v>
      </c>
      <c r="J2925" s="12" t="n">
        <f aca="false">I2925*G2925/1000</f>
        <v>0.084645</v>
      </c>
      <c r="K2925" s="11" t="s">
        <v>217</v>
      </c>
      <c r="L2925" s="11" t="s">
        <v>19</v>
      </c>
      <c r="M2925" s="11" t="s">
        <v>145</v>
      </c>
    </row>
    <row r="2926" customFormat="false" ht="15" hidden="false" customHeight="false" outlineLevel="0" collapsed="false">
      <c r="A2926" s="11" t="s">
        <v>113</v>
      </c>
      <c r="B2926" s="11" t="s">
        <v>128</v>
      </c>
      <c r="C2926" s="11" t="n">
        <v>2</v>
      </c>
      <c r="D2926" s="11" t="s">
        <v>74</v>
      </c>
      <c r="E2926" s="11" t="s">
        <v>154</v>
      </c>
      <c r="F2926" s="11" t="s">
        <v>73</v>
      </c>
      <c r="G2926" s="12" t="n">
        <v>480</v>
      </c>
      <c r="H2926" s="12" t="n">
        <f aca="false">SUMPRODUCT(ПОТОКИ!B17:G17,ЧАСОВЫЕ_ПРОФИЛИ!B15:G15,КОЭФФИЦИЕНТЫ_ВЫБОРА!F12:K12)</f>
        <v>0.3</v>
      </c>
      <c r="I2926" s="12" t="n">
        <f aca="false">SUMPRODUCT(ПОТОКИ!B17:G17,ЧАСОВЫЕ_ПРОФИЛИ!B15:G15,КОЭФФИЦИЕНТЫ_ВЫБОРА!F12:K12,ПАРАМЕТРЫ!$B$17:$G$17)</f>
        <v>0.33</v>
      </c>
      <c r="J2926" s="12" t="n">
        <f aca="false">I2926*G2926/1000</f>
        <v>0.1584</v>
      </c>
      <c r="K2926" s="11" t="s">
        <v>217</v>
      </c>
      <c r="L2926" s="11" t="s">
        <v>19</v>
      </c>
      <c r="M2926" s="11" t="s">
        <v>145</v>
      </c>
    </row>
    <row r="2927" customFormat="false" ht="15" hidden="false" customHeight="false" outlineLevel="0" collapsed="false">
      <c r="A2927" s="11" t="s">
        <v>113</v>
      </c>
      <c r="B2927" s="11" t="s">
        <v>128</v>
      </c>
      <c r="C2927" s="11" t="n">
        <v>3</v>
      </c>
      <c r="D2927" s="11" t="s">
        <v>74</v>
      </c>
      <c r="E2927" s="11" t="s">
        <v>155</v>
      </c>
      <c r="F2927" s="11" t="s">
        <v>73</v>
      </c>
      <c r="G2927" s="12" t="n">
        <v>500</v>
      </c>
      <c r="H2927" s="12" t="n">
        <f aca="false">SUMPRODUCT(ПОТОКИ!B17:G17,ЧАСОВЫЕ_ПРОФИЛИ!B15:G15,КОЭФФИЦИЕНТЫ_ВЫБОРА!F13:K13)</f>
        <v>0.45</v>
      </c>
      <c r="I2927" s="12" t="n">
        <f aca="false">SUMPRODUCT(ПОТОКИ!B17:G17,ЧАСОВЫЕ_ПРОФИЛИ!B15:G15,КОЭФФИЦИЕНТЫ_ВЫБОРА!F13:K13,ПАРАМЕТРЫ!$B$17:$G$17)</f>
        <v>0.495</v>
      </c>
      <c r="J2927" s="12" t="n">
        <f aca="false">I2927*G2927/1000</f>
        <v>0.2475</v>
      </c>
      <c r="K2927" s="11" t="s">
        <v>217</v>
      </c>
      <c r="L2927" s="11" t="s">
        <v>19</v>
      </c>
      <c r="M2927" s="11" t="s">
        <v>145</v>
      </c>
    </row>
    <row r="2928" customFormat="false" ht="15" hidden="false" customHeight="false" outlineLevel="0" collapsed="false">
      <c r="A2928" s="11" t="s">
        <v>113</v>
      </c>
      <c r="B2928" s="11" t="s">
        <v>128</v>
      </c>
      <c r="C2928" s="11" t="n">
        <v>4</v>
      </c>
      <c r="D2928" s="11" t="s">
        <v>74</v>
      </c>
      <c r="E2928" s="11" t="s">
        <v>156</v>
      </c>
      <c r="F2928" s="11" t="s">
        <v>73</v>
      </c>
      <c r="G2928" s="12" t="n">
        <v>500</v>
      </c>
      <c r="H2928" s="12" t="n">
        <f aca="false">SUMPRODUCT(ПОТОКИ!B17:G17,ЧАСОВЫЕ_ПРОФИЛИ!B15:G15,КОЭФФИЦИЕНТЫ_ВЫБОРА!F14:K14)</f>
        <v>0.579</v>
      </c>
      <c r="I2928" s="12" t="n">
        <f aca="false">SUMPRODUCT(ПОТОКИ!B17:G17,ЧАСОВЫЕ_ПРОФИЛИ!B15:G15,КОЭФФИЦИЕНТЫ_ВЫБОРА!F14:K14,ПАРАМЕТРЫ!$B$17:$G$17)</f>
        <v>0.6369</v>
      </c>
      <c r="J2928" s="12" t="n">
        <f aca="false">I2928*G2928/1000</f>
        <v>0.31845</v>
      </c>
      <c r="K2928" s="11" t="s">
        <v>217</v>
      </c>
      <c r="L2928" s="11" t="s">
        <v>19</v>
      </c>
      <c r="M2928" s="11" t="s">
        <v>145</v>
      </c>
    </row>
    <row r="2929" customFormat="false" ht="15" hidden="false" customHeight="false" outlineLevel="0" collapsed="false">
      <c r="A2929" s="11" t="s">
        <v>113</v>
      </c>
      <c r="B2929" s="11" t="s">
        <v>128</v>
      </c>
      <c r="C2929" s="11" t="n">
        <v>5</v>
      </c>
      <c r="D2929" s="11" t="s">
        <v>78</v>
      </c>
      <c r="E2929" s="11" t="s">
        <v>157</v>
      </c>
      <c r="F2929" s="11" t="s">
        <v>77</v>
      </c>
      <c r="G2929" s="12" t="n">
        <v>100</v>
      </c>
      <c r="H2929" s="12" t="n">
        <f aca="false">SUMPRODUCT(ПОТОКИ!B17:G17,ЧАСОВЫЕ_ПРОФИЛИ!B15:G15,КОЭФФИЦИЕНТЫ_ВЫБОРА!F15:K15)</f>
        <v>0.408</v>
      </c>
      <c r="I2929" s="12" t="n">
        <f aca="false">SUMPRODUCT(ПОТОКИ!B17:G17,ЧАСОВЫЕ_ПРОФИЛИ!B15:G15,КОЭФФИЦИЕНТЫ_ВЫБОРА!F15:K15,ПАРАМЕТРЫ!$B$17:$G$17)</f>
        <v>0.4488</v>
      </c>
      <c r="J2929" s="12" t="n">
        <f aca="false">I2929*G2929/1000</f>
        <v>0.04488</v>
      </c>
      <c r="K2929" s="11" t="s">
        <v>217</v>
      </c>
      <c r="L2929" s="11" t="s">
        <v>19</v>
      </c>
      <c r="M2929" s="11" t="s">
        <v>147</v>
      </c>
    </row>
    <row r="2930" customFormat="false" ht="15" hidden="false" customHeight="false" outlineLevel="0" collapsed="false">
      <c r="A2930" s="11" t="s">
        <v>113</v>
      </c>
      <c r="B2930" s="11" t="s">
        <v>128</v>
      </c>
      <c r="C2930" s="11" t="n">
        <v>6</v>
      </c>
      <c r="D2930" s="11" t="s">
        <v>78</v>
      </c>
      <c r="E2930" s="11" t="s">
        <v>158</v>
      </c>
      <c r="F2930" s="11" t="s">
        <v>77</v>
      </c>
      <c r="G2930" s="12" t="n">
        <v>100</v>
      </c>
      <c r="H2930" s="12" t="n">
        <f aca="false">SUMPRODUCT(ПОТОКИ!B17:G17,ЧАСОВЫЕ_ПРОФИЛИ!B15:G15,КОЭФФИЦИЕНТЫ_ВЫБОРА!F16:K16)</f>
        <v>0.387</v>
      </c>
      <c r="I2930" s="12" t="n">
        <f aca="false">SUMPRODUCT(ПОТОКИ!B17:G17,ЧАСОВЫЕ_ПРОФИЛИ!B15:G15,КОЭФФИЦИЕНТЫ_ВЫБОРА!F16:K16,ПАРАМЕТРЫ!$B$17:$G$17)</f>
        <v>0.4257</v>
      </c>
      <c r="J2930" s="12" t="n">
        <f aca="false">I2930*G2930/1000</f>
        <v>0.04257</v>
      </c>
      <c r="K2930" s="11" t="s">
        <v>217</v>
      </c>
      <c r="L2930" s="11" t="s">
        <v>19</v>
      </c>
      <c r="M2930" s="11" t="s">
        <v>147</v>
      </c>
    </row>
    <row r="2931" customFormat="false" ht="15" hidden="false" customHeight="false" outlineLevel="0" collapsed="false">
      <c r="A2931" s="11" t="s">
        <v>113</v>
      </c>
      <c r="B2931" s="11" t="s">
        <v>128</v>
      </c>
      <c r="C2931" s="11" t="n">
        <v>7</v>
      </c>
      <c r="D2931" s="11" t="s">
        <v>78</v>
      </c>
      <c r="E2931" s="11" t="s">
        <v>159</v>
      </c>
      <c r="F2931" s="11" t="s">
        <v>77</v>
      </c>
      <c r="G2931" s="12" t="n">
        <v>350</v>
      </c>
      <c r="H2931" s="12" t="n">
        <f aca="false">SUMPRODUCT(ПОТОКИ!B17:G17,ЧАСОВЫЕ_ПРОФИЛИ!B15:G15,КОЭФФИЦИЕНТЫ_ВЫБОРА!F17:K17)</f>
        <v>0.333</v>
      </c>
      <c r="I2931" s="12" t="n">
        <f aca="false">SUMPRODUCT(ПОТОКИ!B17:G17,ЧАСОВЫЕ_ПРОФИЛИ!B15:G15,КОЭФФИЦИЕНТЫ_ВЫБОРА!F17:K17,ПАРАМЕТРЫ!$B$17:$G$17)</f>
        <v>0.3663</v>
      </c>
      <c r="J2931" s="12" t="n">
        <f aca="false">I2931*G2931/1000</f>
        <v>0.128205</v>
      </c>
      <c r="K2931" s="11" t="s">
        <v>217</v>
      </c>
      <c r="L2931" s="11" t="s">
        <v>19</v>
      </c>
      <c r="M2931" s="11" t="s">
        <v>147</v>
      </c>
    </row>
    <row r="2932" customFormat="false" ht="15" hidden="false" customHeight="false" outlineLevel="0" collapsed="false">
      <c r="A2932" s="11" t="s">
        <v>113</v>
      </c>
      <c r="B2932" s="11" t="s">
        <v>128</v>
      </c>
      <c r="C2932" s="11" t="n">
        <v>8</v>
      </c>
      <c r="D2932" s="11" t="s">
        <v>78</v>
      </c>
      <c r="E2932" s="11" t="s">
        <v>160</v>
      </c>
      <c r="F2932" s="11" t="s">
        <v>77</v>
      </c>
      <c r="G2932" s="12" t="n">
        <v>85</v>
      </c>
      <c r="H2932" s="12" t="n">
        <f aca="false">SUMPRODUCT(ПОТОКИ!B17:G17,ЧАСОВЫЕ_ПРОФИЛИ!B15:G15,КОЭФФИЦИЕНТЫ_ВЫБОРА!F18:K18)</f>
        <v>0.204</v>
      </c>
      <c r="I2932" s="12" t="n">
        <f aca="false">SUMPRODUCT(ПОТОКИ!B17:G17,ЧАСОВЫЕ_ПРОФИЛИ!B15:G15,КОЭФФИЦИЕНТЫ_ВЫБОРА!F18:K18,ПАРАМЕТРЫ!$B$17:$G$17)</f>
        <v>0.2244</v>
      </c>
      <c r="J2932" s="12" t="n">
        <f aca="false">I2932*G2932/1000</f>
        <v>0.019074</v>
      </c>
      <c r="K2932" s="11" t="s">
        <v>217</v>
      </c>
      <c r="L2932" s="11" t="s">
        <v>19</v>
      </c>
      <c r="M2932" s="11" t="s">
        <v>147</v>
      </c>
    </row>
    <row r="2933" customFormat="false" ht="15" hidden="false" customHeight="false" outlineLevel="0" collapsed="false">
      <c r="A2933" s="11" t="s">
        <v>113</v>
      </c>
      <c r="B2933" s="11" t="s">
        <v>128</v>
      </c>
      <c r="C2933" s="11" t="n">
        <v>9</v>
      </c>
      <c r="D2933" s="11" t="s">
        <v>161</v>
      </c>
      <c r="E2933" s="11" t="s">
        <v>162</v>
      </c>
      <c r="F2933" s="11" t="s">
        <v>80</v>
      </c>
      <c r="G2933" s="12" t="n">
        <v>300</v>
      </c>
      <c r="H2933" s="12" t="n">
        <f aca="false">SUMPRODUCT(ПОТОКИ!B17:G17,ЧАСОВЫЕ_ПРОФИЛИ!B15:G15,КОЭФФИЦИЕНТЫ_ВЫБОРА!F19:K19)</f>
        <v>0.1935</v>
      </c>
      <c r="I2933" s="12" t="n">
        <f aca="false">SUMPRODUCT(ПОТОКИ!B17:G17,ЧАСОВЫЕ_ПРОФИЛИ!B15:G15,КОЭФФИЦИЕНТЫ_ВЫБОРА!F19:K19,ПАРАМЕТРЫ!$B$17:$G$17)</f>
        <v>0.21285</v>
      </c>
      <c r="J2933" s="12" t="n">
        <f aca="false">I2933*G2933/1000</f>
        <v>0.063855</v>
      </c>
      <c r="K2933" s="11" t="s">
        <v>217</v>
      </c>
      <c r="L2933" s="11" t="s">
        <v>19</v>
      </c>
      <c r="M2933" s="11" t="s">
        <v>145</v>
      </c>
    </row>
    <row r="2934" customFormat="false" ht="15" hidden="false" customHeight="false" outlineLevel="0" collapsed="false">
      <c r="A2934" s="11" t="s">
        <v>113</v>
      </c>
      <c r="B2934" s="11" t="s">
        <v>128</v>
      </c>
      <c r="C2934" s="11" t="n">
        <v>10</v>
      </c>
      <c r="D2934" s="11" t="s">
        <v>161</v>
      </c>
      <c r="E2934" s="11" t="s">
        <v>163</v>
      </c>
      <c r="F2934" s="11" t="s">
        <v>80</v>
      </c>
      <c r="G2934" s="12" t="n">
        <v>280</v>
      </c>
      <c r="H2934" s="12" t="n">
        <f aca="false">SUMPRODUCT(ПОТОКИ!B17:G17,ЧАСОВЫЕ_ПРОФИЛИ!B15:G15,КОЭФФИЦИЕНТЫ_ВЫБОРА!F20:K20)</f>
        <v>0.2295</v>
      </c>
      <c r="I2934" s="12" t="n">
        <f aca="false">SUMPRODUCT(ПОТОКИ!B17:G17,ЧАСОВЫЕ_ПРОФИЛИ!B15:G15,КОЭФФИЦИЕНТЫ_ВЫБОРА!F20:K20,ПАРАМЕТРЫ!$B$17:$G$17)</f>
        <v>0.25245</v>
      </c>
      <c r="J2934" s="12" t="n">
        <f aca="false">I2934*G2934/1000</f>
        <v>0.070686</v>
      </c>
      <c r="K2934" s="11" t="s">
        <v>217</v>
      </c>
      <c r="L2934" s="11" t="s">
        <v>19</v>
      </c>
      <c r="M2934" s="11" t="s">
        <v>145</v>
      </c>
    </row>
    <row r="2935" customFormat="false" ht="15" hidden="false" customHeight="false" outlineLevel="0" collapsed="false">
      <c r="A2935" s="11" t="s">
        <v>113</v>
      </c>
      <c r="B2935" s="11" t="s">
        <v>128</v>
      </c>
      <c r="C2935" s="11" t="n">
        <v>11</v>
      </c>
      <c r="D2935" s="11" t="s">
        <v>161</v>
      </c>
      <c r="E2935" s="11" t="s">
        <v>164</v>
      </c>
      <c r="F2935" s="11" t="s">
        <v>80</v>
      </c>
      <c r="G2935" s="12" t="n">
        <v>270</v>
      </c>
      <c r="H2935" s="12" t="n">
        <f aca="false">SUMPRODUCT(ПОТОКИ!B17:G17,ЧАСОВЫЕ_ПРОФИЛИ!B15:G15,КОЭФФИЦИЕНТЫ_ВЫБОРА!F21:K21)</f>
        <v>0.3825</v>
      </c>
      <c r="I2935" s="12" t="n">
        <f aca="false">SUMPRODUCT(ПОТОКИ!B17:G17,ЧАСОВЫЕ_ПРОФИЛИ!B15:G15,КОЭФФИЦИЕНТЫ_ВЫБОРА!F21:K21,ПАРАМЕТРЫ!$B$17:$G$17)</f>
        <v>0.42075</v>
      </c>
      <c r="J2935" s="12" t="n">
        <f aca="false">I2935*G2935/1000</f>
        <v>0.1136025</v>
      </c>
      <c r="K2935" s="11" t="s">
        <v>217</v>
      </c>
      <c r="L2935" s="11" t="s">
        <v>19</v>
      </c>
      <c r="M2935" s="11" t="s">
        <v>145</v>
      </c>
    </row>
    <row r="2936" customFormat="false" ht="15" hidden="false" customHeight="false" outlineLevel="0" collapsed="false">
      <c r="A2936" s="11" t="s">
        <v>113</v>
      </c>
      <c r="B2936" s="11" t="s">
        <v>128</v>
      </c>
      <c r="C2936" s="11" t="n">
        <v>12</v>
      </c>
      <c r="D2936" s="11" t="s">
        <v>161</v>
      </c>
      <c r="E2936" s="11" t="s">
        <v>165</v>
      </c>
      <c r="F2936" s="11" t="s">
        <v>80</v>
      </c>
      <c r="G2936" s="12" t="n">
        <v>240</v>
      </c>
      <c r="H2936" s="12" t="n">
        <f aca="false">SUMPRODUCT(ПОТОКИ!B17:G17,ЧАСОВЫЕ_ПРОФИЛИ!B15:G15,КОЭФФИЦИЕНТЫ_ВЫБОРА!F22:K22)</f>
        <v>0.1845</v>
      </c>
      <c r="I2936" s="12" t="n">
        <f aca="false">SUMPRODUCT(ПОТОКИ!B17:G17,ЧАСОВЫЕ_ПРОФИЛИ!B15:G15,КОЭФФИЦИЕНТЫ_ВЫБОРА!F22:K22,ПАРАМЕТРЫ!$B$17:$G$17)</f>
        <v>0.20295</v>
      </c>
      <c r="J2936" s="12" t="n">
        <f aca="false">I2936*G2936/1000</f>
        <v>0.048708</v>
      </c>
      <c r="K2936" s="11" t="s">
        <v>217</v>
      </c>
      <c r="L2936" s="11" t="s">
        <v>19</v>
      </c>
      <c r="M2936" s="11" t="s">
        <v>145</v>
      </c>
    </row>
    <row r="2937" customFormat="false" ht="15" hidden="false" customHeight="false" outlineLevel="0" collapsed="false">
      <c r="A2937" s="11" t="s">
        <v>113</v>
      </c>
      <c r="B2937" s="11" t="s">
        <v>128</v>
      </c>
      <c r="C2937" s="11" t="n">
        <v>13</v>
      </c>
      <c r="D2937" s="11" t="s">
        <v>166</v>
      </c>
      <c r="E2937" s="11" t="s">
        <v>167</v>
      </c>
      <c r="F2937" s="11" t="s">
        <v>80</v>
      </c>
      <c r="G2937" s="12" t="n">
        <v>130</v>
      </c>
      <c r="H2937" s="12" t="n">
        <f aca="false">SUMPRODUCT(ПОТОКИ!B17:G17,ЧАСОВЫЕ_ПРОФИЛИ!B15:G15,КОЭФФИЦИЕНТЫ_ВЫБОРА!F23:K23)</f>
        <v>0.105</v>
      </c>
      <c r="I2937" s="12" t="n">
        <f aca="false">SUMPRODUCT(ПОТОКИ!B17:G17,ЧАСОВЫЕ_ПРОФИЛИ!B15:G15,КОЭФФИЦИЕНТЫ_ВЫБОРА!F23:K23,ПАРАМЕТРЫ!$B$17:$G$17)</f>
        <v>0.1155</v>
      </c>
      <c r="J2937" s="12" t="n">
        <f aca="false">I2937*G2937/1000</f>
        <v>0.015015</v>
      </c>
      <c r="K2937" s="11" t="s">
        <v>217</v>
      </c>
      <c r="L2937" s="11" t="s">
        <v>19</v>
      </c>
      <c r="M2937" s="11" t="s">
        <v>145</v>
      </c>
    </row>
    <row r="2938" customFormat="false" ht="15" hidden="false" customHeight="false" outlineLevel="0" collapsed="false">
      <c r="A2938" s="11" t="s">
        <v>113</v>
      </c>
      <c r="B2938" s="11" t="s">
        <v>128</v>
      </c>
      <c r="C2938" s="11" t="n">
        <v>14</v>
      </c>
      <c r="D2938" s="11" t="s">
        <v>166</v>
      </c>
      <c r="E2938" s="11" t="s">
        <v>168</v>
      </c>
      <c r="F2938" s="11" t="s">
        <v>80</v>
      </c>
      <c r="G2938" s="12" t="n">
        <v>250</v>
      </c>
      <c r="H2938" s="12" t="n">
        <f aca="false">SUMPRODUCT(ПОТОКИ!B17:G17,ЧАСОВЫЕ_ПРОФИЛИ!B15:G15,КОЭФФИЦИЕНТЫ_ВЫБОРА!F24:K24)</f>
        <v>0.063</v>
      </c>
      <c r="I2938" s="12" t="n">
        <f aca="false">SUMPRODUCT(ПОТОКИ!B17:G17,ЧАСОВЫЕ_ПРОФИЛИ!B15:G15,КОЭФФИЦИЕНТЫ_ВЫБОРА!F24:K24,ПАРАМЕТРЫ!$B$17:$G$17)</f>
        <v>0.0693</v>
      </c>
      <c r="J2938" s="12" t="n">
        <f aca="false">I2938*G2938/1000</f>
        <v>0.017325</v>
      </c>
      <c r="K2938" s="11" t="s">
        <v>217</v>
      </c>
      <c r="L2938" s="11" t="s">
        <v>19</v>
      </c>
      <c r="M2938" s="11" t="s">
        <v>145</v>
      </c>
    </row>
    <row r="2939" customFormat="false" ht="15" hidden="false" customHeight="false" outlineLevel="0" collapsed="false">
      <c r="A2939" s="11" t="s">
        <v>113</v>
      </c>
      <c r="B2939" s="11" t="s">
        <v>128</v>
      </c>
      <c r="C2939" s="11" t="n">
        <v>15</v>
      </c>
      <c r="D2939" s="11" t="s">
        <v>166</v>
      </c>
      <c r="E2939" s="11" t="s">
        <v>169</v>
      </c>
      <c r="F2939" s="11" t="s">
        <v>80</v>
      </c>
      <c r="G2939" s="12" t="n">
        <v>120</v>
      </c>
      <c r="H2939" s="12" t="n">
        <f aca="false">SUMPRODUCT(ПОТОКИ!B17:G17,ЧАСОВЫЕ_ПРОФИЛИ!B15:G15,КОЭФФИЦИЕНТЫ_ВЫБОРА!F25:K25)</f>
        <v>0.063</v>
      </c>
      <c r="I2939" s="12" t="n">
        <f aca="false">SUMPRODUCT(ПОТОКИ!B17:G17,ЧАСОВЫЕ_ПРОФИЛИ!B15:G15,КОЭФФИЦИЕНТЫ_ВЫБОРА!F25:K25,ПАРАМЕТРЫ!$B$17:$G$17)</f>
        <v>0.0693</v>
      </c>
      <c r="J2939" s="12" t="n">
        <f aca="false">I2939*G2939/1000</f>
        <v>0.008316</v>
      </c>
      <c r="K2939" s="11" t="s">
        <v>217</v>
      </c>
      <c r="L2939" s="11" t="s">
        <v>19</v>
      </c>
      <c r="M2939" s="11" t="s">
        <v>145</v>
      </c>
    </row>
    <row r="2940" customFormat="false" ht="15" hidden="false" customHeight="false" outlineLevel="0" collapsed="false">
      <c r="A2940" s="11" t="s">
        <v>113</v>
      </c>
      <c r="B2940" s="11" t="s">
        <v>128</v>
      </c>
      <c r="C2940" s="11" t="n">
        <v>16</v>
      </c>
      <c r="D2940" s="11" t="s">
        <v>166</v>
      </c>
      <c r="E2940" s="11" t="s">
        <v>170</v>
      </c>
      <c r="F2940" s="11" t="s">
        <v>80</v>
      </c>
      <c r="G2940" s="12" t="n">
        <v>180</v>
      </c>
      <c r="H2940" s="12" t="n">
        <f aca="false">SUMPRODUCT(ПОТОКИ!B17:G17,ЧАСОВЫЕ_ПРОФИЛИ!B15:G15,КОЭФФИЦИЕНТЫ_ВЫБОРА!F26:K26)</f>
        <v>0.084</v>
      </c>
      <c r="I2940" s="12" t="n">
        <f aca="false">SUMPRODUCT(ПОТОКИ!B17:G17,ЧАСОВЫЕ_ПРОФИЛИ!B15:G15,КОЭФФИЦИЕНТЫ_ВЫБОРА!F26:K26,ПАРАМЕТРЫ!$B$17:$G$17)</f>
        <v>0.0924</v>
      </c>
      <c r="J2940" s="12" t="n">
        <f aca="false">I2940*G2940/1000</f>
        <v>0.016632</v>
      </c>
      <c r="K2940" s="11" t="s">
        <v>217</v>
      </c>
      <c r="L2940" s="11" t="s">
        <v>19</v>
      </c>
      <c r="M2940" s="11" t="s">
        <v>145</v>
      </c>
    </row>
    <row r="2941" customFormat="false" ht="15" hidden="false" customHeight="false" outlineLevel="0" collapsed="false">
      <c r="A2941" s="11" t="s">
        <v>113</v>
      </c>
      <c r="B2941" s="11" t="s">
        <v>128</v>
      </c>
      <c r="C2941" s="11" t="n">
        <v>17</v>
      </c>
      <c r="D2941" s="11" t="s">
        <v>166</v>
      </c>
      <c r="E2941" s="11" t="s">
        <v>171</v>
      </c>
      <c r="F2941" s="11" t="s">
        <v>80</v>
      </c>
      <c r="G2941" s="12" t="n">
        <v>180</v>
      </c>
      <c r="H2941" s="12" t="n">
        <f aca="false">SUMPRODUCT(ПОТОКИ!B17:G17,ЧАСОВЫЕ_ПРОФИЛИ!B15:G15,КОЭФФИЦИЕНТЫ_ВЫБОРА!F27:K27)</f>
        <v>0.105</v>
      </c>
      <c r="I2941" s="12" t="n">
        <f aca="false">SUMPRODUCT(ПОТОКИ!B17:G17,ЧАСОВЫЕ_ПРОФИЛИ!B15:G15,КОЭФФИЦИЕНТЫ_ВЫБОРА!F27:K27,ПАРАМЕТРЫ!$B$17:$G$17)</f>
        <v>0.1155</v>
      </c>
      <c r="J2941" s="12" t="n">
        <f aca="false">I2941*G2941/1000</f>
        <v>0.02079</v>
      </c>
      <c r="K2941" s="11" t="s">
        <v>217</v>
      </c>
      <c r="L2941" s="11" t="s">
        <v>19</v>
      </c>
      <c r="M2941" s="11" t="s">
        <v>145</v>
      </c>
    </row>
    <row r="2942" customFormat="false" ht="15" hidden="false" customHeight="false" outlineLevel="0" collapsed="false">
      <c r="A2942" s="11" t="s">
        <v>113</v>
      </c>
      <c r="B2942" s="11" t="s">
        <v>128</v>
      </c>
      <c r="C2942" s="11" t="n">
        <v>18</v>
      </c>
      <c r="D2942" s="11" t="s">
        <v>172</v>
      </c>
      <c r="E2942" s="11" t="s">
        <v>173</v>
      </c>
      <c r="F2942" s="11" t="s">
        <v>83</v>
      </c>
      <c r="G2942" s="12" t="n">
        <v>400</v>
      </c>
      <c r="H2942" s="12" t="n">
        <f aca="false">SUMPRODUCT(ПОТОКИ!B17:G17,ЧАСОВЫЕ_ПРОФИЛИ!B15:G15,КОЭФФИЦИЕНТЫ_ВЫБОРА!F28:K28)</f>
        <v>0.21</v>
      </c>
      <c r="I2942" s="12" t="n">
        <f aca="false">SUMPRODUCT(ПОТОКИ!B17:G17,ЧАСОВЫЕ_ПРОФИЛИ!B15:G15,КОЭФФИЦИЕНТЫ_ВЫБОРА!F28:K28,ПАРАМЕТРЫ!$B$17:$G$17)</f>
        <v>0.231</v>
      </c>
      <c r="J2942" s="12" t="n">
        <f aca="false">I2942*G2942/1000</f>
        <v>0.0924</v>
      </c>
      <c r="K2942" s="11" t="s">
        <v>217</v>
      </c>
      <c r="L2942" s="11" t="s">
        <v>19</v>
      </c>
      <c r="M2942" s="11" t="s">
        <v>145</v>
      </c>
    </row>
    <row r="2943" customFormat="false" ht="23.85" hidden="false" customHeight="false" outlineLevel="0" collapsed="false">
      <c r="A2943" s="11" t="s">
        <v>113</v>
      </c>
      <c r="B2943" s="11" t="s">
        <v>128</v>
      </c>
      <c r="C2943" s="11" t="n">
        <v>19</v>
      </c>
      <c r="D2943" s="11" t="s">
        <v>174</v>
      </c>
      <c r="E2943" s="11" t="s">
        <v>175</v>
      </c>
      <c r="F2943" s="11" t="s">
        <v>83</v>
      </c>
      <c r="G2943" s="12" t="n">
        <v>300</v>
      </c>
      <c r="H2943" s="12" t="n">
        <f aca="false">SUMPRODUCT(ПОТОКИ!B17:G17,ЧАСОВЫЕ_ПРОФИЛИ!B15:G15,КОЭФФИЦИЕНТЫ_ВЫБОРА!F29:K29)</f>
        <v>0.53325</v>
      </c>
      <c r="I2943" s="12" t="n">
        <f aca="false">SUMPRODUCT(ПОТОКИ!B17:G17,ЧАСОВЫЕ_ПРОФИЛИ!B15:G15,КОЭФФИЦИЕНТЫ_ВЫБОРА!F29:K29,ПАРАМЕТРЫ!$B$17:$G$17)</f>
        <v>0.586575</v>
      </c>
      <c r="J2943" s="12" t="n">
        <f aca="false">I2943*G2943/1000</f>
        <v>0.1759725</v>
      </c>
      <c r="K2943" s="11" t="s">
        <v>217</v>
      </c>
      <c r="L2943" s="11" t="s">
        <v>19</v>
      </c>
      <c r="M2943" s="11" t="s">
        <v>145</v>
      </c>
    </row>
    <row r="2944" customFormat="false" ht="15" hidden="false" customHeight="false" outlineLevel="0" collapsed="false">
      <c r="A2944" s="11" t="s">
        <v>113</v>
      </c>
      <c r="B2944" s="11" t="s">
        <v>128</v>
      </c>
      <c r="C2944" s="11" t="n">
        <v>20</v>
      </c>
      <c r="D2944" s="11" t="s">
        <v>174</v>
      </c>
      <c r="E2944" s="11" t="s">
        <v>176</v>
      </c>
      <c r="F2944" s="11" t="s">
        <v>83</v>
      </c>
      <c r="G2944" s="12" t="n">
        <v>360</v>
      </c>
      <c r="H2944" s="12" t="n">
        <f aca="false">SUMPRODUCT(ПОТОКИ!B17:G17,ЧАСОВЫЕ_ПРОФИЛИ!B15:G15,КОЭФФИЦИЕНТЫ_ВЫБОРА!F30:K30)</f>
        <v>0.513</v>
      </c>
      <c r="I2944" s="12" t="n">
        <f aca="false">SUMPRODUCT(ПОТОКИ!B17:G17,ЧАСОВЫЕ_ПРОФИЛИ!B15:G15,КОЭФФИЦИЕНТЫ_ВЫБОРА!F30:K30,ПАРАМЕТРЫ!$B$17:$G$17)</f>
        <v>0.5643</v>
      </c>
      <c r="J2944" s="12" t="n">
        <f aca="false">I2944*G2944/1000</f>
        <v>0.203148</v>
      </c>
      <c r="K2944" s="11" t="s">
        <v>217</v>
      </c>
      <c r="L2944" s="11" t="s">
        <v>19</v>
      </c>
      <c r="M2944" s="11" t="s">
        <v>145</v>
      </c>
    </row>
    <row r="2945" customFormat="false" ht="15" hidden="false" customHeight="false" outlineLevel="0" collapsed="false">
      <c r="A2945" s="11" t="s">
        <v>113</v>
      </c>
      <c r="B2945" s="11" t="s">
        <v>128</v>
      </c>
      <c r="C2945" s="11" t="n">
        <v>21</v>
      </c>
      <c r="D2945" s="11" t="s">
        <v>174</v>
      </c>
      <c r="E2945" s="11" t="s">
        <v>177</v>
      </c>
      <c r="F2945" s="11" t="s">
        <v>83</v>
      </c>
      <c r="G2945" s="12" t="n">
        <v>350</v>
      </c>
      <c r="H2945" s="12" t="n">
        <f aca="false">SUMPRODUCT(ПОТОКИ!B17:G17,ЧАСОВЫЕ_ПРОФИЛИ!B15:G15,КОЭФФИЦИЕНТЫ_ВЫБОРА!F31:K31)</f>
        <v>0.7935</v>
      </c>
      <c r="I2945" s="12" t="n">
        <f aca="false">SUMPRODUCT(ПОТОКИ!B17:G17,ЧАСОВЫЕ_ПРОФИЛИ!B15:G15,КОЭФФИЦИЕНТЫ_ВЫБОРА!F31:K31,ПАРАМЕТРЫ!$B$17:$G$17)</f>
        <v>0.87285</v>
      </c>
      <c r="J2945" s="12" t="n">
        <f aca="false">I2945*G2945/1000</f>
        <v>0.3054975</v>
      </c>
      <c r="K2945" s="11" t="s">
        <v>217</v>
      </c>
      <c r="L2945" s="11" t="s">
        <v>19</v>
      </c>
      <c r="M2945" s="11" t="s">
        <v>145</v>
      </c>
    </row>
    <row r="2946" customFormat="false" ht="15" hidden="false" customHeight="false" outlineLevel="0" collapsed="false">
      <c r="A2946" s="11" t="s">
        <v>113</v>
      </c>
      <c r="B2946" s="11" t="s">
        <v>128</v>
      </c>
      <c r="C2946" s="11" t="n">
        <v>22</v>
      </c>
      <c r="D2946" s="11" t="s">
        <v>174</v>
      </c>
      <c r="E2946" s="11" t="s">
        <v>178</v>
      </c>
      <c r="F2946" s="11" t="s">
        <v>83</v>
      </c>
      <c r="G2946" s="12" t="n">
        <v>300</v>
      </c>
      <c r="H2946" s="12" t="n">
        <f aca="false">SUMPRODUCT(ПОТОКИ!B17:G17,ЧАСОВЫЕ_ПРОФИЛИ!B15:G15,КОЭФФИЦИЕНТЫ_ВЫБОРА!F32:K32)</f>
        <v>0.48525</v>
      </c>
      <c r="I2946" s="12" t="n">
        <f aca="false">SUMPRODUCT(ПОТОКИ!B17:G17,ЧАСОВЫЕ_ПРОФИЛИ!B15:G15,КОЭФФИЦИЕНТЫ_ВЫБОРА!F32:K32,ПАРАМЕТРЫ!$B$17:$G$17)</f>
        <v>0.533775</v>
      </c>
      <c r="J2946" s="12" t="n">
        <f aca="false">I2946*G2946/1000</f>
        <v>0.1601325</v>
      </c>
      <c r="K2946" s="11" t="s">
        <v>217</v>
      </c>
      <c r="L2946" s="11" t="s">
        <v>19</v>
      </c>
      <c r="M2946" s="11" t="s">
        <v>145</v>
      </c>
    </row>
    <row r="2947" customFormat="false" ht="15" hidden="false" customHeight="false" outlineLevel="0" collapsed="false">
      <c r="A2947" s="11" t="s">
        <v>113</v>
      </c>
      <c r="B2947" s="11" t="s">
        <v>128</v>
      </c>
      <c r="C2947" s="11" t="n">
        <v>23</v>
      </c>
      <c r="D2947" s="11" t="s">
        <v>86</v>
      </c>
      <c r="E2947" s="11" t="s">
        <v>179</v>
      </c>
      <c r="F2947" s="11" t="s">
        <v>85</v>
      </c>
      <c r="G2947" s="12" t="n">
        <v>150</v>
      </c>
      <c r="H2947" s="12" t="n">
        <f aca="false">SUMPRODUCT(ПОТОКИ!B17:G17,ЧАСОВЫЕ_ПРОФИЛИ!B15:G15,КОЭФФИЦИЕНТЫ_ВЫБОРА!F33:K33)</f>
        <v>0.32907</v>
      </c>
      <c r="I2947" s="12" t="n">
        <f aca="false">SUMPRODUCT(ПОТОКИ!B17:G17,ЧАСОВЫЕ_ПРОФИЛИ!B15:G15,КОЭФФИЦИЕНТЫ_ВЫБОРА!F33:K33,ПАРАМЕТРЫ!$B$17:$G$17)</f>
        <v>0.361977</v>
      </c>
      <c r="J2947" s="12" t="n">
        <f aca="false">I2947*G2947/1000</f>
        <v>0.05429655</v>
      </c>
      <c r="K2947" s="11" t="s">
        <v>217</v>
      </c>
      <c r="L2947" s="11" t="s">
        <v>19</v>
      </c>
      <c r="M2947" s="11" t="s">
        <v>147</v>
      </c>
    </row>
    <row r="2948" customFormat="false" ht="15" hidden="false" customHeight="false" outlineLevel="0" collapsed="false">
      <c r="A2948" s="11" t="s">
        <v>113</v>
      </c>
      <c r="B2948" s="11" t="s">
        <v>128</v>
      </c>
      <c r="C2948" s="11" t="n">
        <v>24</v>
      </c>
      <c r="D2948" s="11" t="s">
        <v>86</v>
      </c>
      <c r="E2948" s="11" t="s">
        <v>180</v>
      </c>
      <c r="F2948" s="11" t="s">
        <v>85</v>
      </c>
      <c r="G2948" s="12" t="n">
        <v>150</v>
      </c>
      <c r="H2948" s="12" t="n">
        <f aca="false">SUMPRODUCT(ПОТОКИ!B17:G17,ЧАСОВЫЕ_ПРОФИЛИ!B15:G15,КОЭФФИЦИЕНТЫ_ВЫБОРА!F34:K34)</f>
        <v>0.164535</v>
      </c>
      <c r="I2948" s="12" t="n">
        <f aca="false">SUMPRODUCT(ПОТОКИ!B17:G17,ЧАСОВЫЕ_ПРОФИЛИ!B15:G15,КОЭФФИЦИЕНТЫ_ВЫБОРА!F34:K34,ПАРАМЕТРЫ!$B$17:$G$17)</f>
        <v>0.1809885</v>
      </c>
      <c r="J2948" s="12" t="n">
        <f aca="false">I2948*G2948/1000</f>
        <v>0.027148275</v>
      </c>
      <c r="K2948" s="11" t="s">
        <v>217</v>
      </c>
      <c r="L2948" s="11" t="s">
        <v>19</v>
      </c>
      <c r="M2948" s="11" t="s">
        <v>147</v>
      </c>
    </row>
    <row r="2949" customFormat="false" ht="15" hidden="false" customHeight="false" outlineLevel="0" collapsed="false">
      <c r="A2949" s="11" t="s">
        <v>113</v>
      </c>
      <c r="B2949" s="11" t="s">
        <v>128</v>
      </c>
      <c r="C2949" s="11" t="n">
        <v>25</v>
      </c>
      <c r="D2949" s="11" t="s">
        <v>86</v>
      </c>
      <c r="E2949" s="11" t="s">
        <v>181</v>
      </c>
      <c r="F2949" s="11" t="s">
        <v>85</v>
      </c>
      <c r="G2949" s="12" t="n">
        <v>150</v>
      </c>
      <c r="H2949" s="12" t="n">
        <f aca="false">SUMPRODUCT(ПОТОКИ!B17:G17,ЧАСОВЫЕ_ПРОФИЛИ!B15:G15,КОЭФФИЦИЕНТЫ_ВЫБОРА!F35:K35)</f>
        <v>0.32907</v>
      </c>
      <c r="I2949" s="12" t="n">
        <f aca="false">SUMPRODUCT(ПОТОКИ!B17:G17,ЧАСОВЫЕ_ПРОФИЛИ!B15:G15,КОЭФФИЦИЕНТЫ_ВЫБОРА!F35:K35,ПАРАМЕТРЫ!$B$17:$G$17)</f>
        <v>0.361977</v>
      </c>
      <c r="J2949" s="12" t="n">
        <f aca="false">I2949*G2949/1000</f>
        <v>0.05429655</v>
      </c>
      <c r="K2949" s="11" t="s">
        <v>217</v>
      </c>
      <c r="L2949" s="11" t="s">
        <v>19</v>
      </c>
      <c r="M2949" s="11" t="s">
        <v>147</v>
      </c>
    </row>
    <row r="2950" customFormat="false" ht="23.85" hidden="false" customHeight="false" outlineLevel="0" collapsed="false">
      <c r="A2950" s="11" t="s">
        <v>113</v>
      </c>
      <c r="B2950" s="11" t="s">
        <v>128</v>
      </c>
      <c r="C2950" s="11" t="n">
        <v>26</v>
      </c>
      <c r="D2950" s="11" t="s">
        <v>89</v>
      </c>
      <c r="E2950" s="11" t="s">
        <v>182</v>
      </c>
      <c r="F2950" s="11" t="s">
        <v>88</v>
      </c>
      <c r="G2950" s="12" t="n">
        <v>225</v>
      </c>
      <c r="H2950" s="12" t="n">
        <f aca="false">SUMPRODUCT(ПОТОКИ!B17:G17,ЧАСОВЫЕ_ПРОФИЛИ!B15:G15,КОЭФФИЦИЕНТЫ_ВЫБОРА!F36:K36)</f>
        <v>0.4125</v>
      </c>
      <c r="I2950" s="12" t="n">
        <f aca="false">SUMPRODUCT(ПОТОКИ!B17:G17,ЧАСОВЫЕ_ПРОФИЛИ!B15:G15,КОЭФФИЦИЕНТЫ_ВЫБОРА!F36:K36,ПАРАМЕТРЫ!$B$17:$G$17)</f>
        <v>0.4125</v>
      </c>
      <c r="J2950" s="12" t="n">
        <f aca="false">I2950*G2950/1000</f>
        <v>0.0928125</v>
      </c>
      <c r="K2950" s="11" t="s">
        <v>217</v>
      </c>
      <c r="L2950" s="11" t="s">
        <v>19</v>
      </c>
      <c r="M2950" s="11" t="s">
        <v>145</v>
      </c>
    </row>
    <row r="2951" customFormat="false" ht="23.85" hidden="false" customHeight="false" outlineLevel="0" collapsed="false">
      <c r="A2951" s="11" t="s">
        <v>113</v>
      </c>
      <c r="B2951" s="11" t="s">
        <v>128</v>
      </c>
      <c r="C2951" s="11" t="n">
        <v>27</v>
      </c>
      <c r="D2951" s="11" t="s">
        <v>89</v>
      </c>
      <c r="E2951" s="11" t="s">
        <v>183</v>
      </c>
      <c r="F2951" s="11" t="s">
        <v>88</v>
      </c>
      <c r="G2951" s="12" t="n">
        <v>265</v>
      </c>
      <c r="H2951" s="12" t="n">
        <f aca="false">SUMPRODUCT(ПОТОКИ!B17:G17,ЧАСОВЫЕ_ПРОФИЛИ!B15:G15,КОЭФФИЦИЕНТЫ_ВЫБОРА!F37:K37)</f>
        <v>0.4125</v>
      </c>
      <c r="I2951" s="12" t="n">
        <f aca="false">SUMPRODUCT(ПОТОКИ!B17:G17,ЧАСОВЫЕ_ПРОФИЛИ!B15:G15,КОЭФФИЦИЕНТЫ_ВЫБОРА!F37:K37,ПАРАМЕТРЫ!$B$17:$G$17)</f>
        <v>0.4125</v>
      </c>
      <c r="J2951" s="12" t="n">
        <f aca="false">I2951*G2951/1000</f>
        <v>0.1093125</v>
      </c>
      <c r="K2951" s="11" t="s">
        <v>217</v>
      </c>
      <c r="L2951" s="11" t="s">
        <v>19</v>
      </c>
      <c r="M2951" s="11" t="s">
        <v>145</v>
      </c>
    </row>
    <row r="2952" customFormat="false" ht="23.85" hidden="false" customHeight="false" outlineLevel="0" collapsed="false">
      <c r="A2952" s="11" t="s">
        <v>113</v>
      </c>
      <c r="B2952" s="11" t="s">
        <v>128</v>
      </c>
      <c r="C2952" s="11" t="n">
        <v>28</v>
      </c>
      <c r="D2952" s="11" t="s">
        <v>89</v>
      </c>
      <c r="E2952" s="11" t="s">
        <v>184</v>
      </c>
      <c r="F2952" s="11" t="s">
        <v>88</v>
      </c>
      <c r="G2952" s="12" t="n">
        <v>355</v>
      </c>
      <c r="H2952" s="12" t="n">
        <f aca="false">SUMPRODUCT(ПОТОКИ!B17:G17,ЧАСОВЫЕ_ПРОФИЛИ!B15:G15,КОЭФФИЦИЕНТЫ_ВЫБОРА!F38:K38)</f>
        <v>0.275</v>
      </c>
      <c r="I2952" s="12" t="n">
        <f aca="false">SUMPRODUCT(ПОТОКИ!B17:G17,ЧАСОВЫЕ_ПРОФИЛИ!B15:G15,КОЭФФИЦИЕНТЫ_ВЫБОРА!F38:K38,ПАРАМЕТРЫ!$B$17:$G$17)</f>
        <v>0.275</v>
      </c>
      <c r="J2952" s="12" t="n">
        <f aca="false">I2952*G2952/1000</f>
        <v>0.097625</v>
      </c>
      <c r="K2952" s="11" t="s">
        <v>217</v>
      </c>
      <c r="L2952" s="11" t="s">
        <v>19</v>
      </c>
      <c r="M2952" s="11" t="s">
        <v>145</v>
      </c>
    </row>
    <row r="2953" customFormat="false" ht="15" hidden="false" customHeight="false" outlineLevel="0" collapsed="false">
      <c r="A2953" s="11" t="s">
        <v>113</v>
      </c>
      <c r="B2953" s="11" t="s">
        <v>128</v>
      </c>
      <c r="C2953" s="11" t="n">
        <v>29</v>
      </c>
      <c r="D2953" s="11" t="s">
        <v>92</v>
      </c>
      <c r="E2953" s="11" t="s">
        <v>185</v>
      </c>
      <c r="F2953" s="11" t="s">
        <v>91</v>
      </c>
      <c r="G2953" s="12" t="n">
        <v>150</v>
      </c>
      <c r="H2953" s="12" t="n">
        <f aca="false">SUMPRODUCT(ПОТОКИ!B17:G17,ЧАСОВЫЕ_ПРОФИЛИ!B15:G15,КОЭФФИЦИЕНТЫ_ВЫБОРА!F39:K39)</f>
        <v>0.27</v>
      </c>
      <c r="I2953" s="12" t="n">
        <f aca="false">SUMPRODUCT(ПОТОКИ!B17:G17,ЧАСОВЫЕ_ПРОФИЛИ!B15:G15,КОЭФФИЦИЕНТЫ_ВЫБОРА!F39:K39,ПАРАМЕТРЫ!$B$17:$G$17)</f>
        <v>0.297</v>
      </c>
      <c r="J2953" s="12" t="n">
        <f aca="false">I2953*G2953/1000</f>
        <v>0.04455</v>
      </c>
      <c r="K2953" s="11" t="s">
        <v>217</v>
      </c>
      <c r="L2953" s="11" t="s">
        <v>19</v>
      </c>
      <c r="M2953" s="11" t="s">
        <v>145</v>
      </c>
    </row>
    <row r="2954" customFormat="false" ht="15" hidden="false" customHeight="false" outlineLevel="0" collapsed="false">
      <c r="A2954" s="11" t="s">
        <v>113</v>
      </c>
      <c r="B2954" s="11" t="s">
        <v>128</v>
      </c>
      <c r="C2954" s="11" t="n">
        <v>30</v>
      </c>
      <c r="D2954" s="11" t="s">
        <v>92</v>
      </c>
      <c r="E2954" s="11" t="s">
        <v>186</v>
      </c>
      <c r="F2954" s="11" t="s">
        <v>91</v>
      </c>
      <c r="G2954" s="12" t="n">
        <v>120</v>
      </c>
      <c r="H2954" s="12" t="n">
        <f aca="false">SUMPRODUCT(ПОТОКИ!B17:G17,ЧАСОВЫЕ_ПРОФИЛИ!B15:G15,КОЭФФИЦИЕНТЫ_ВЫБОРА!F40:K40)</f>
        <v>0.27</v>
      </c>
      <c r="I2954" s="12" t="n">
        <f aca="false">SUMPRODUCT(ПОТОКИ!B17:G17,ЧАСОВЫЕ_ПРОФИЛИ!B15:G15,КОЭФФИЦИЕНТЫ_ВЫБОРА!F40:K40,ПАРАМЕТРЫ!$B$17:$G$17)</f>
        <v>0.297</v>
      </c>
      <c r="J2954" s="12" t="n">
        <f aca="false">I2954*G2954/1000</f>
        <v>0.03564</v>
      </c>
      <c r="K2954" s="11" t="s">
        <v>217</v>
      </c>
      <c r="L2954" s="11" t="s">
        <v>19</v>
      </c>
      <c r="M2954" s="11" t="s">
        <v>145</v>
      </c>
    </row>
    <row r="2955" customFormat="false" ht="15" hidden="false" customHeight="false" outlineLevel="0" collapsed="false">
      <c r="A2955" s="11" t="s">
        <v>113</v>
      </c>
      <c r="B2955" s="11" t="s">
        <v>128</v>
      </c>
      <c r="C2955" s="11" t="n">
        <v>31</v>
      </c>
      <c r="D2955" s="11" t="s">
        <v>92</v>
      </c>
      <c r="E2955" s="11" t="s">
        <v>187</v>
      </c>
      <c r="F2955" s="11" t="s">
        <v>91</v>
      </c>
      <c r="G2955" s="12" t="n">
        <v>60</v>
      </c>
      <c r="H2955" s="12" t="n">
        <f aca="false">SUMPRODUCT(ПОТОКИ!B17:G17,ЧАСОВЫЕ_ПРОФИЛИ!B15:G15,КОЭФФИЦИЕНТЫ_ВЫБОРА!F41:K41)</f>
        <v>0.255</v>
      </c>
      <c r="I2955" s="12" t="n">
        <f aca="false">SUMPRODUCT(ПОТОКИ!B17:G17,ЧАСОВЫЕ_ПРОФИЛИ!B15:G15,КОЭФФИЦИЕНТЫ_ВЫБОРА!F41:K41,ПАРАМЕТРЫ!$B$17:$G$17)</f>
        <v>0.2805</v>
      </c>
      <c r="J2955" s="12" t="n">
        <f aca="false">I2955*G2955/1000</f>
        <v>0.01683</v>
      </c>
      <c r="K2955" s="11" t="s">
        <v>217</v>
      </c>
      <c r="L2955" s="11" t="s">
        <v>19</v>
      </c>
      <c r="M2955" s="11" t="s">
        <v>145</v>
      </c>
    </row>
    <row r="2956" customFormat="false" ht="15" hidden="false" customHeight="false" outlineLevel="0" collapsed="false">
      <c r="A2956" s="11" t="s">
        <v>113</v>
      </c>
      <c r="B2956" s="11" t="s">
        <v>129</v>
      </c>
      <c r="C2956" s="11" t="n">
        <v>1</v>
      </c>
      <c r="D2956" s="11" t="s">
        <v>74</v>
      </c>
      <c r="E2956" s="11" t="s">
        <v>153</v>
      </c>
      <c r="F2956" s="11" t="s">
        <v>73</v>
      </c>
      <c r="G2956" s="12" t="n">
        <v>450</v>
      </c>
      <c r="H2956" s="12" t="n">
        <f aca="false">SUMPRODUCT(ПОТОКИ!B17:G17,ЧАСОВЫЕ_ПРОФИЛИ!B16:G16,КОЭФФИЦИЕНТЫ_ВЫБОРА!F11:K11)</f>
        <v>0.438</v>
      </c>
      <c r="I2956" s="12" t="n">
        <f aca="false">SUMPRODUCT(ПОТОКИ!B17:G17,ЧАСОВЫЕ_ПРОФИЛИ!B16:G16,КОЭФФИЦИЕНТЫ_ВЫБОРА!F11:K11,ПАРАМЕТРЫ!$B$17:$G$17)</f>
        <v>0.4818</v>
      </c>
      <c r="J2956" s="12" t="n">
        <f aca="false">I2956*G2956/1000</f>
        <v>0.21681</v>
      </c>
      <c r="K2956" s="11" t="s">
        <v>217</v>
      </c>
      <c r="L2956" s="11" t="s">
        <v>19</v>
      </c>
      <c r="M2956" s="11" t="s">
        <v>145</v>
      </c>
    </row>
    <row r="2957" customFormat="false" ht="15" hidden="false" customHeight="false" outlineLevel="0" collapsed="false">
      <c r="A2957" s="11" t="s">
        <v>113</v>
      </c>
      <c r="B2957" s="11" t="s">
        <v>129</v>
      </c>
      <c r="C2957" s="11" t="n">
        <v>2</v>
      </c>
      <c r="D2957" s="11" t="s">
        <v>74</v>
      </c>
      <c r="E2957" s="11" t="s">
        <v>154</v>
      </c>
      <c r="F2957" s="11" t="s">
        <v>73</v>
      </c>
      <c r="G2957" s="12" t="n">
        <v>480</v>
      </c>
      <c r="H2957" s="12" t="n">
        <f aca="false">SUMPRODUCT(ПОТОКИ!B17:G17,ЧАСОВЫЕ_ПРОФИЛИ!B16:G16,КОЭФФИЦИЕНТЫ_ВЫБОРА!F12:K12)</f>
        <v>0.764</v>
      </c>
      <c r="I2957" s="12" t="n">
        <f aca="false">SUMPRODUCT(ПОТОКИ!B17:G17,ЧАСОВЫЕ_ПРОФИЛИ!B16:G16,КОЭФФИЦИЕНТЫ_ВЫБОРА!F12:K12,ПАРАМЕТРЫ!$B$17:$G$17)</f>
        <v>0.8404</v>
      </c>
      <c r="J2957" s="12" t="n">
        <f aca="false">I2957*G2957/1000</f>
        <v>0.403392</v>
      </c>
      <c r="K2957" s="11" t="s">
        <v>217</v>
      </c>
      <c r="L2957" s="11" t="s">
        <v>19</v>
      </c>
      <c r="M2957" s="11" t="s">
        <v>145</v>
      </c>
    </row>
    <row r="2958" customFormat="false" ht="15" hidden="false" customHeight="false" outlineLevel="0" collapsed="false">
      <c r="A2958" s="11" t="s">
        <v>113</v>
      </c>
      <c r="B2958" s="11" t="s">
        <v>129</v>
      </c>
      <c r="C2958" s="11" t="n">
        <v>3</v>
      </c>
      <c r="D2958" s="11" t="s">
        <v>74</v>
      </c>
      <c r="E2958" s="11" t="s">
        <v>155</v>
      </c>
      <c r="F2958" s="11" t="s">
        <v>73</v>
      </c>
      <c r="G2958" s="12" t="n">
        <v>500</v>
      </c>
      <c r="H2958" s="12" t="n">
        <f aca="false">SUMPRODUCT(ПОТОКИ!B17:G17,ЧАСОВЫЕ_ПРОФИЛИ!B16:G16,КОЭФФИЦИЕНТЫ_ВЫБОРА!F13:K13)</f>
        <v>1.146</v>
      </c>
      <c r="I2958" s="12" t="n">
        <f aca="false">SUMPRODUCT(ПОТОКИ!B17:G17,ЧАСОВЫЕ_ПРОФИЛИ!B16:G16,КОЭФФИЦИЕНТЫ_ВЫБОРА!F13:K13,ПАРАМЕТРЫ!$B$17:$G$17)</f>
        <v>1.2606</v>
      </c>
      <c r="J2958" s="12" t="n">
        <f aca="false">I2958*G2958/1000</f>
        <v>0.6303</v>
      </c>
      <c r="K2958" s="11" t="s">
        <v>217</v>
      </c>
      <c r="L2958" s="11" t="s">
        <v>19</v>
      </c>
      <c r="M2958" s="11" t="s">
        <v>145</v>
      </c>
    </row>
    <row r="2959" customFormat="false" ht="15" hidden="false" customHeight="false" outlineLevel="0" collapsed="false">
      <c r="A2959" s="11" t="s">
        <v>113</v>
      </c>
      <c r="B2959" s="11" t="s">
        <v>129</v>
      </c>
      <c r="C2959" s="11" t="n">
        <v>4</v>
      </c>
      <c r="D2959" s="11" t="s">
        <v>74</v>
      </c>
      <c r="E2959" s="11" t="s">
        <v>156</v>
      </c>
      <c r="F2959" s="11" t="s">
        <v>73</v>
      </c>
      <c r="G2959" s="12" t="n">
        <v>500</v>
      </c>
      <c r="H2959" s="12" t="n">
        <f aca="false">SUMPRODUCT(ПОТОКИ!B17:G17,ЧАСОВЫЕ_ПРОФИЛИ!B16:G16,КОЭФФИЦИЕНТЫ_ВЫБОРА!F14:K14)</f>
        <v>1.472</v>
      </c>
      <c r="I2959" s="12" t="n">
        <f aca="false">SUMPRODUCT(ПОТОКИ!B17:G17,ЧАСОВЫЕ_ПРОФИЛИ!B16:G16,КОЭФФИЦИЕНТЫ_ВЫБОРА!F14:K14,ПАРАМЕТРЫ!$B$17:$G$17)</f>
        <v>1.6192</v>
      </c>
      <c r="J2959" s="12" t="n">
        <f aca="false">I2959*G2959/1000</f>
        <v>0.8096</v>
      </c>
      <c r="K2959" s="11" t="s">
        <v>217</v>
      </c>
      <c r="L2959" s="11" t="s">
        <v>19</v>
      </c>
      <c r="M2959" s="11" t="s">
        <v>145</v>
      </c>
    </row>
    <row r="2960" customFormat="false" ht="15" hidden="false" customHeight="false" outlineLevel="0" collapsed="false">
      <c r="A2960" s="11" t="s">
        <v>113</v>
      </c>
      <c r="B2960" s="11" t="s">
        <v>129</v>
      </c>
      <c r="C2960" s="11" t="n">
        <v>5</v>
      </c>
      <c r="D2960" s="11" t="s">
        <v>78</v>
      </c>
      <c r="E2960" s="11" t="s">
        <v>157</v>
      </c>
      <c r="F2960" s="11" t="s">
        <v>77</v>
      </c>
      <c r="G2960" s="12" t="n">
        <v>100</v>
      </c>
      <c r="H2960" s="12" t="n">
        <f aca="false">SUMPRODUCT(ПОТОКИ!B17:G17,ЧАСОВЫЕ_ПРОФИЛИ!B16:G16,КОЭФФИЦИЕНТЫ_ВЫБОРА!F15:K15)</f>
        <v>0.602</v>
      </c>
      <c r="I2960" s="12" t="n">
        <f aca="false">SUMPRODUCT(ПОТОКИ!B17:G17,ЧАСОВЫЕ_ПРОФИЛИ!B16:G16,КОЭФФИЦИЕНТЫ_ВЫБОРА!F15:K15,ПАРАМЕТРЫ!$B$17:$G$17)</f>
        <v>0.6622</v>
      </c>
      <c r="J2960" s="12" t="n">
        <f aca="false">I2960*G2960/1000</f>
        <v>0.06622</v>
      </c>
      <c r="K2960" s="11" t="s">
        <v>217</v>
      </c>
      <c r="L2960" s="11" t="s">
        <v>19</v>
      </c>
      <c r="M2960" s="11" t="s">
        <v>147</v>
      </c>
    </row>
    <row r="2961" customFormat="false" ht="15" hidden="false" customHeight="false" outlineLevel="0" collapsed="false">
      <c r="A2961" s="11" t="s">
        <v>113</v>
      </c>
      <c r="B2961" s="11" t="s">
        <v>129</v>
      </c>
      <c r="C2961" s="11" t="n">
        <v>6</v>
      </c>
      <c r="D2961" s="11" t="s">
        <v>78</v>
      </c>
      <c r="E2961" s="11" t="s">
        <v>158</v>
      </c>
      <c r="F2961" s="11" t="s">
        <v>77</v>
      </c>
      <c r="G2961" s="12" t="n">
        <v>100</v>
      </c>
      <c r="H2961" s="12" t="n">
        <f aca="false">SUMPRODUCT(ПОТОКИ!B17:G17,ЧАСОВЫЕ_ПРОФИЛИ!B16:G16,КОЭФФИЦИЕНТЫ_ВЫБОРА!F16:K16)</f>
        <v>0.546</v>
      </c>
      <c r="I2961" s="12" t="n">
        <f aca="false">SUMPRODUCT(ПОТОКИ!B17:G17,ЧАСОВЫЕ_ПРОФИЛИ!B16:G16,КОЭФФИЦИЕНТЫ_ВЫБОРА!F16:K16,ПАРАМЕТРЫ!$B$17:$G$17)</f>
        <v>0.6006</v>
      </c>
      <c r="J2961" s="12" t="n">
        <f aca="false">I2961*G2961/1000</f>
        <v>0.06006</v>
      </c>
      <c r="K2961" s="11" t="s">
        <v>217</v>
      </c>
      <c r="L2961" s="11" t="s">
        <v>19</v>
      </c>
      <c r="M2961" s="11" t="s">
        <v>147</v>
      </c>
    </row>
    <row r="2962" customFormat="false" ht="15" hidden="false" customHeight="false" outlineLevel="0" collapsed="false">
      <c r="A2962" s="11" t="s">
        <v>113</v>
      </c>
      <c r="B2962" s="11" t="s">
        <v>129</v>
      </c>
      <c r="C2962" s="11" t="n">
        <v>7</v>
      </c>
      <c r="D2962" s="11" t="s">
        <v>78</v>
      </c>
      <c r="E2962" s="11" t="s">
        <v>159</v>
      </c>
      <c r="F2962" s="11" t="s">
        <v>77</v>
      </c>
      <c r="G2962" s="12" t="n">
        <v>350</v>
      </c>
      <c r="H2962" s="12" t="n">
        <f aca="false">SUMPRODUCT(ПОТОКИ!B17:G17,ЧАСОВЫЕ_ПРОФИЛИ!B16:G16,КОЭФФИЦИЕНТЫ_ВЫБОРА!F17:K17)</f>
        <v>0.483</v>
      </c>
      <c r="I2962" s="12" t="n">
        <f aca="false">SUMPRODUCT(ПОТОКИ!B17:G17,ЧАСОВЫЕ_ПРОФИЛИ!B16:G16,КОЭФФИЦИЕНТЫ_ВЫБОРА!F17:K17,ПАРАМЕТРЫ!$B$17:$G$17)</f>
        <v>0.5313</v>
      </c>
      <c r="J2962" s="12" t="n">
        <f aca="false">I2962*G2962/1000</f>
        <v>0.185955</v>
      </c>
      <c r="K2962" s="11" t="s">
        <v>217</v>
      </c>
      <c r="L2962" s="11" t="s">
        <v>19</v>
      </c>
      <c r="M2962" s="11" t="s">
        <v>147</v>
      </c>
    </row>
    <row r="2963" customFormat="false" ht="15" hidden="false" customHeight="false" outlineLevel="0" collapsed="false">
      <c r="A2963" s="11" t="s">
        <v>113</v>
      </c>
      <c r="B2963" s="11" t="s">
        <v>129</v>
      </c>
      <c r="C2963" s="11" t="n">
        <v>8</v>
      </c>
      <c r="D2963" s="11" t="s">
        <v>78</v>
      </c>
      <c r="E2963" s="11" t="s">
        <v>160</v>
      </c>
      <c r="F2963" s="11" t="s">
        <v>77</v>
      </c>
      <c r="G2963" s="12" t="n">
        <v>85</v>
      </c>
      <c r="H2963" s="12" t="n">
        <f aca="false">SUMPRODUCT(ПОТОКИ!B17:G17,ЧАСОВЫЕ_ПРОФИЛИ!B16:G16,КОЭФФИЦИЕНТЫ_ВЫБОРА!F18:K18)</f>
        <v>0.301</v>
      </c>
      <c r="I2963" s="12" t="n">
        <f aca="false">SUMPRODUCT(ПОТОКИ!B17:G17,ЧАСОВЫЕ_ПРОФИЛИ!B16:G16,КОЭФФИЦИЕНТЫ_ВЫБОРА!F18:K18,ПАРАМЕТРЫ!$B$17:$G$17)</f>
        <v>0.3311</v>
      </c>
      <c r="J2963" s="12" t="n">
        <f aca="false">I2963*G2963/1000</f>
        <v>0.0281435</v>
      </c>
      <c r="K2963" s="11" t="s">
        <v>217</v>
      </c>
      <c r="L2963" s="11" t="s">
        <v>19</v>
      </c>
      <c r="M2963" s="11" t="s">
        <v>147</v>
      </c>
    </row>
    <row r="2964" customFormat="false" ht="15" hidden="false" customHeight="false" outlineLevel="0" collapsed="false">
      <c r="A2964" s="11" t="s">
        <v>113</v>
      </c>
      <c r="B2964" s="11" t="s">
        <v>129</v>
      </c>
      <c r="C2964" s="11" t="n">
        <v>9</v>
      </c>
      <c r="D2964" s="11" t="s">
        <v>161</v>
      </c>
      <c r="E2964" s="11" t="s">
        <v>162</v>
      </c>
      <c r="F2964" s="11" t="s">
        <v>80</v>
      </c>
      <c r="G2964" s="12" t="n">
        <v>300</v>
      </c>
      <c r="H2964" s="12" t="n">
        <f aca="false">SUMPRODUCT(ПОТОКИ!B17:G17,ЧАСОВЫЕ_ПРОФИЛИ!B16:G16,КОЭФФИЦИЕНТЫ_ВЫБОРА!F19:K19)</f>
        <v>0.51</v>
      </c>
      <c r="I2964" s="12" t="n">
        <f aca="false">SUMPRODUCT(ПОТОКИ!B17:G17,ЧАСОВЫЕ_ПРОФИЛИ!B16:G16,КОЭФФИЦИЕНТЫ_ВЫБОРА!F19:K19,ПАРАМЕТРЫ!$B$17:$G$17)</f>
        <v>0.561</v>
      </c>
      <c r="J2964" s="12" t="n">
        <f aca="false">I2964*G2964/1000</f>
        <v>0.1683</v>
      </c>
      <c r="K2964" s="11" t="s">
        <v>217</v>
      </c>
      <c r="L2964" s="11" t="s">
        <v>19</v>
      </c>
      <c r="M2964" s="11" t="s">
        <v>145</v>
      </c>
    </row>
    <row r="2965" customFormat="false" ht="15" hidden="false" customHeight="false" outlineLevel="0" collapsed="false">
      <c r="A2965" s="11" t="s">
        <v>113</v>
      </c>
      <c r="B2965" s="11" t="s">
        <v>129</v>
      </c>
      <c r="C2965" s="11" t="n">
        <v>10</v>
      </c>
      <c r="D2965" s="11" t="s">
        <v>161</v>
      </c>
      <c r="E2965" s="11" t="s">
        <v>163</v>
      </c>
      <c r="F2965" s="11" t="s">
        <v>80</v>
      </c>
      <c r="G2965" s="12" t="n">
        <v>280</v>
      </c>
      <c r="H2965" s="12" t="n">
        <f aca="false">SUMPRODUCT(ПОТОКИ!B17:G17,ЧАСОВЫЕ_ПРОФИЛИ!B16:G16,КОЭФФИЦИЕНТЫ_ВЫБОРА!F20:K20)</f>
        <v>0.6</v>
      </c>
      <c r="I2965" s="12" t="n">
        <f aca="false">SUMPRODUCT(ПОТОКИ!B17:G17,ЧАСОВЫЕ_ПРОФИЛИ!B16:G16,КОЭФФИЦИЕНТЫ_ВЫБОРА!F20:K20,ПАРАМЕТРЫ!$B$17:$G$17)</f>
        <v>0.66</v>
      </c>
      <c r="J2965" s="12" t="n">
        <f aca="false">I2965*G2965/1000</f>
        <v>0.1848</v>
      </c>
      <c r="K2965" s="11" t="s">
        <v>217</v>
      </c>
      <c r="L2965" s="11" t="s">
        <v>19</v>
      </c>
      <c r="M2965" s="11" t="s">
        <v>145</v>
      </c>
    </row>
    <row r="2966" customFormat="false" ht="15" hidden="false" customHeight="false" outlineLevel="0" collapsed="false">
      <c r="A2966" s="11" t="s">
        <v>113</v>
      </c>
      <c r="B2966" s="11" t="s">
        <v>129</v>
      </c>
      <c r="C2966" s="11" t="n">
        <v>11</v>
      </c>
      <c r="D2966" s="11" t="s">
        <v>161</v>
      </c>
      <c r="E2966" s="11" t="s">
        <v>164</v>
      </c>
      <c r="F2966" s="11" t="s">
        <v>80</v>
      </c>
      <c r="G2966" s="12" t="n">
        <v>270</v>
      </c>
      <c r="H2966" s="12" t="n">
        <f aca="false">SUMPRODUCT(ПОТОКИ!B17:G17,ЧАСОВЫЕ_ПРОФИЛИ!B16:G16,КОЭФФИЦИЕНТЫ_ВЫБОРА!F21:K21)</f>
        <v>0.993</v>
      </c>
      <c r="I2966" s="12" t="n">
        <f aca="false">SUMPRODUCT(ПОТОКИ!B17:G17,ЧАСОВЫЕ_ПРОФИЛИ!B16:G16,КОЭФФИЦИЕНТЫ_ВЫБОРА!F21:K21,ПАРАМЕТРЫ!$B$17:$G$17)</f>
        <v>1.0923</v>
      </c>
      <c r="J2966" s="12" t="n">
        <f aca="false">I2966*G2966/1000</f>
        <v>0.294921</v>
      </c>
      <c r="K2966" s="11" t="s">
        <v>217</v>
      </c>
      <c r="L2966" s="11" t="s">
        <v>19</v>
      </c>
      <c r="M2966" s="11" t="s">
        <v>145</v>
      </c>
    </row>
    <row r="2967" customFormat="false" ht="15" hidden="false" customHeight="false" outlineLevel="0" collapsed="false">
      <c r="A2967" s="11" t="s">
        <v>113</v>
      </c>
      <c r="B2967" s="11" t="s">
        <v>129</v>
      </c>
      <c r="C2967" s="11" t="n">
        <v>12</v>
      </c>
      <c r="D2967" s="11" t="s">
        <v>161</v>
      </c>
      <c r="E2967" s="11" t="s">
        <v>165</v>
      </c>
      <c r="F2967" s="11" t="s">
        <v>80</v>
      </c>
      <c r="G2967" s="12" t="n">
        <v>240</v>
      </c>
      <c r="H2967" s="12" t="n">
        <f aca="false">SUMPRODUCT(ПОТОКИ!B17:G17,ЧАСОВЫЕ_ПРОФИЛИ!B16:G16,КОЭФФИЦИЕНТЫ_ВЫБОРА!F22:K22)</f>
        <v>0.477</v>
      </c>
      <c r="I2967" s="12" t="n">
        <f aca="false">SUMPRODUCT(ПОТОКИ!B17:G17,ЧАСОВЫЕ_ПРОФИЛИ!B16:G16,КОЭФФИЦИЕНТЫ_ВЫБОРА!F22:K22,ПАРАМЕТРЫ!$B$17:$G$17)</f>
        <v>0.5247</v>
      </c>
      <c r="J2967" s="12" t="n">
        <f aca="false">I2967*G2967/1000</f>
        <v>0.125928</v>
      </c>
      <c r="K2967" s="11" t="s">
        <v>217</v>
      </c>
      <c r="L2967" s="11" t="s">
        <v>19</v>
      </c>
      <c r="M2967" s="11" t="s">
        <v>145</v>
      </c>
    </row>
    <row r="2968" customFormat="false" ht="15" hidden="false" customHeight="false" outlineLevel="0" collapsed="false">
      <c r="A2968" s="11" t="s">
        <v>113</v>
      </c>
      <c r="B2968" s="11" t="s">
        <v>129</v>
      </c>
      <c r="C2968" s="11" t="n">
        <v>13</v>
      </c>
      <c r="D2968" s="11" t="s">
        <v>166</v>
      </c>
      <c r="E2968" s="11" t="s">
        <v>167</v>
      </c>
      <c r="F2968" s="11" t="s">
        <v>80</v>
      </c>
      <c r="G2968" s="12" t="n">
        <v>130</v>
      </c>
      <c r="H2968" s="12" t="n">
        <f aca="false">SUMPRODUCT(ПОТОКИ!B17:G17,ЧАСОВЫЕ_ПРОФИЛИ!B16:G16,КОЭФФИЦИЕНТЫ_ВЫБОРА!F23:K23)</f>
        <v>0.28</v>
      </c>
      <c r="I2968" s="12" t="n">
        <f aca="false">SUMPRODUCT(ПОТОКИ!B17:G17,ЧАСОВЫЕ_ПРОФИЛИ!B16:G16,КОЭФФИЦИЕНТЫ_ВЫБОРА!F23:K23,ПАРАМЕТРЫ!$B$17:$G$17)</f>
        <v>0.308</v>
      </c>
      <c r="J2968" s="12" t="n">
        <f aca="false">I2968*G2968/1000</f>
        <v>0.04004</v>
      </c>
      <c r="K2968" s="11" t="s">
        <v>217</v>
      </c>
      <c r="L2968" s="11" t="s">
        <v>19</v>
      </c>
      <c r="M2968" s="11" t="s">
        <v>145</v>
      </c>
    </row>
    <row r="2969" customFormat="false" ht="15" hidden="false" customHeight="false" outlineLevel="0" collapsed="false">
      <c r="A2969" s="11" t="s">
        <v>113</v>
      </c>
      <c r="B2969" s="11" t="s">
        <v>129</v>
      </c>
      <c r="C2969" s="11" t="n">
        <v>14</v>
      </c>
      <c r="D2969" s="11" t="s">
        <v>166</v>
      </c>
      <c r="E2969" s="11" t="s">
        <v>168</v>
      </c>
      <c r="F2969" s="11" t="s">
        <v>80</v>
      </c>
      <c r="G2969" s="12" t="n">
        <v>250</v>
      </c>
      <c r="H2969" s="12" t="n">
        <f aca="false">SUMPRODUCT(ПОТОКИ!B17:G17,ЧАСОВЫЕ_ПРОФИЛИ!B16:G16,КОЭФФИЦИЕНТЫ_ВЫБОРА!F24:K24)</f>
        <v>0.168</v>
      </c>
      <c r="I2969" s="12" t="n">
        <f aca="false">SUMPRODUCT(ПОТОКИ!B17:G17,ЧАСОВЫЕ_ПРОФИЛИ!B16:G16,КОЭФФИЦИЕНТЫ_ВЫБОРА!F24:K24,ПАРАМЕТРЫ!$B$17:$G$17)</f>
        <v>0.1848</v>
      </c>
      <c r="J2969" s="12" t="n">
        <f aca="false">I2969*G2969/1000</f>
        <v>0.0462</v>
      </c>
      <c r="K2969" s="11" t="s">
        <v>217</v>
      </c>
      <c r="L2969" s="11" t="s">
        <v>19</v>
      </c>
      <c r="M2969" s="11" t="s">
        <v>145</v>
      </c>
    </row>
    <row r="2970" customFormat="false" ht="15" hidden="false" customHeight="false" outlineLevel="0" collapsed="false">
      <c r="A2970" s="11" t="s">
        <v>113</v>
      </c>
      <c r="B2970" s="11" t="s">
        <v>129</v>
      </c>
      <c r="C2970" s="11" t="n">
        <v>15</v>
      </c>
      <c r="D2970" s="11" t="s">
        <v>166</v>
      </c>
      <c r="E2970" s="11" t="s">
        <v>169</v>
      </c>
      <c r="F2970" s="11" t="s">
        <v>80</v>
      </c>
      <c r="G2970" s="12" t="n">
        <v>120</v>
      </c>
      <c r="H2970" s="12" t="n">
        <f aca="false">SUMPRODUCT(ПОТОКИ!B17:G17,ЧАСОВЫЕ_ПРОФИЛИ!B16:G16,КОЭФФИЦИЕНТЫ_ВЫБОРА!F25:K25)</f>
        <v>0.168</v>
      </c>
      <c r="I2970" s="12" t="n">
        <f aca="false">SUMPRODUCT(ПОТОКИ!B17:G17,ЧАСОВЫЕ_ПРОФИЛИ!B16:G16,КОЭФФИЦИЕНТЫ_ВЫБОРА!F25:K25,ПАРАМЕТРЫ!$B$17:$G$17)</f>
        <v>0.1848</v>
      </c>
      <c r="J2970" s="12" t="n">
        <f aca="false">I2970*G2970/1000</f>
        <v>0.022176</v>
      </c>
      <c r="K2970" s="11" t="s">
        <v>217</v>
      </c>
      <c r="L2970" s="11" t="s">
        <v>19</v>
      </c>
      <c r="M2970" s="11" t="s">
        <v>145</v>
      </c>
    </row>
    <row r="2971" customFormat="false" ht="15" hidden="false" customHeight="false" outlineLevel="0" collapsed="false">
      <c r="A2971" s="11" t="s">
        <v>113</v>
      </c>
      <c r="B2971" s="11" t="s">
        <v>129</v>
      </c>
      <c r="C2971" s="11" t="n">
        <v>16</v>
      </c>
      <c r="D2971" s="11" t="s">
        <v>166</v>
      </c>
      <c r="E2971" s="11" t="s">
        <v>170</v>
      </c>
      <c r="F2971" s="11" t="s">
        <v>80</v>
      </c>
      <c r="G2971" s="12" t="n">
        <v>180</v>
      </c>
      <c r="H2971" s="12" t="n">
        <f aca="false">SUMPRODUCT(ПОТОКИ!B17:G17,ЧАСОВЫЕ_ПРОФИЛИ!B16:G16,КОЭФФИЦИЕНТЫ_ВЫБОРА!F26:K26)</f>
        <v>0.224</v>
      </c>
      <c r="I2971" s="12" t="n">
        <f aca="false">SUMPRODUCT(ПОТОКИ!B17:G17,ЧАСОВЫЕ_ПРОФИЛИ!B16:G16,КОЭФФИЦИЕНТЫ_ВЫБОРА!F26:K26,ПАРАМЕТРЫ!$B$17:$G$17)</f>
        <v>0.2464</v>
      </c>
      <c r="J2971" s="12" t="n">
        <f aca="false">I2971*G2971/1000</f>
        <v>0.044352</v>
      </c>
      <c r="K2971" s="11" t="s">
        <v>217</v>
      </c>
      <c r="L2971" s="11" t="s">
        <v>19</v>
      </c>
      <c r="M2971" s="11" t="s">
        <v>145</v>
      </c>
    </row>
    <row r="2972" customFormat="false" ht="15" hidden="false" customHeight="false" outlineLevel="0" collapsed="false">
      <c r="A2972" s="11" t="s">
        <v>113</v>
      </c>
      <c r="B2972" s="11" t="s">
        <v>129</v>
      </c>
      <c r="C2972" s="11" t="n">
        <v>17</v>
      </c>
      <c r="D2972" s="11" t="s">
        <v>166</v>
      </c>
      <c r="E2972" s="11" t="s">
        <v>171</v>
      </c>
      <c r="F2972" s="11" t="s">
        <v>80</v>
      </c>
      <c r="G2972" s="12" t="n">
        <v>180</v>
      </c>
      <c r="H2972" s="12" t="n">
        <f aca="false">SUMPRODUCT(ПОТОКИ!B17:G17,ЧАСОВЫЕ_ПРОФИЛИ!B16:G16,КОЭФФИЦИЕНТЫ_ВЫБОРА!F27:K27)</f>
        <v>0.28</v>
      </c>
      <c r="I2972" s="12" t="n">
        <f aca="false">SUMPRODUCT(ПОТОКИ!B17:G17,ЧАСОВЫЕ_ПРОФИЛИ!B16:G16,КОЭФФИЦИЕНТЫ_ВЫБОРА!F27:K27,ПАРАМЕТРЫ!$B$17:$G$17)</f>
        <v>0.308</v>
      </c>
      <c r="J2972" s="12" t="n">
        <f aca="false">I2972*G2972/1000</f>
        <v>0.05544</v>
      </c>
      <c r="K2972" s="11" t="s">
        <v>217</v>
      </c>
      <c r="L2972" s="11" t="s">
        <v>19</v>
      </c>
      <c r="M2972" s="11" t="s">
        <v>145</v>
      </c>
    </row>
    <row r="2973" customFormat="false" ht="15" hidden="false" customHeight="false" outlineLevel="0" collapsed="false">
      <c r="A2973" s="11" t="s">
        <v>113</v>
      </c>
      <c r="B2973" s="11" t="s">
        <v>129</v>
      </c>
      <c r="C2973" s="11" t="n">
        <v>18</v>
      </c>
      <c r="D2973" s="11" t="s">
        <v>172</v>
      </c>
      <c r="E2973" s="11" t="s">
        <v>173</v>
      </c>
      <c r="F2973" s="11" t="s">
        <v>83</v>
      </c>
      <c r="G2973" s="12" t="n">
        <v>400</v>
      </c>
      <c r="H2973" s="12" t="n">
        <f aca="false">SUMPRODUCT(ПОТОКИ!B17:G17,ЧАСОВЫЕ_ПРОФИЛИ!B16:G16,КОЭФФИЦИЕНТЫ_ВЫБОРА!F28:K28)</f>
        <v>0.56</v>
      </c>
      <c r="I2973" s="12" t="n">
        <f aca="false">SUMPRODUCT(ПОТОКИ!B17:G17,ЧАСОВЫЕ_ПРОФИЛИ!B16:G16,КОЭФФИЦИЕНТЫ_ВЫБОРА!F28:K28,ПАРАМЕТРЫ!$B$17:$G$17)</f>
        <v>0.616</v>
      </c>
      <c r="J2973" s="12" t="n">
        <f aca="false">I2973*G2973/1000</f>
        <v>0.2464</v>
      </c>
      <c r="K2973" s="11" t="s">
        <v>217</v>
      </c>
      <c r="L2973" s="11" t="s">
        <v>19</v>
      </c>
      <c r="M2973" s="11" t="s">
        <v>145</v>
      </c>
    </row>
    <row r="2974" customFormat="false" ht="23.85" hidden="false" customHeight="false" outlineLevel="0" collapsed="false">
      <c r="A2974" s="11" t="s">
        <v>113</v>
      </c>
      <c r="B2974" s="11" t="s">
        <v>129</v>
      </c>
      <c r="C2974" s="11" t="n">
        <v>19</v>
      </c>
      <c r="D2974" s="11" t="s">
        <v>174</v>
      </c>
      <c r="E2974" s="11" t="s">
        <v>175</v>
      </c>
      <c r="F2974" s="11" t="s">
        <v>83</v>
      </c>
      <c r="G2974" s="12" t="n">
        <v>300</v>
      </c>
      <c r="H2974" s="12" t="n">
        <f aca="false">SUMPRODUCT(ПОТОКИ!B17:G17,ЧАСОВЫЕ_ПРОФИЛИ!B16:G16,КОЭФФИЦИЕНТЫ_ВЫБОРА!F29:K29)</f>
        <v>1.39</v>
      </c>
      <c r="I2974" s="12" t="n">
        <f aca="false">SUMPRODUCT(ПОТОКИ!B17:G17,ЧАСОВЫЕ_ПРОФИЛИ!B16:G16,КОЭФФИЦИЕНТЫ_ВЫБОРА!F29:K29,ПАРАМЕТРЫ!$B$17:$G$17)</f>
        <v>1.529</v>
      </c>
      <c r="J2974" s="12" t="n">
        <f aca="false">I2974*G2974/1000</f>
        <v>0.4587</v>
      </c>
      <c r="K2974" s="11" t="s">
        <v>217</v>
      </c>
      <c r="L2974" s="11" t="s">
        <v>19</v>
      </c>
      <c r="M2974" s="11" t="s">
        <v>145</v>
      </c>
    </row>
    <row r="2975" customFormat="false" ht="15" hidden="false" customHeight="false" outlineLevel="0" collapsed="false">
      <c r="A2975" s="11" t="s">
        <v>113</v>
      </c>
      <c r="B2975" s="11" t="s">
        <v>129</v>
      </c>
      <c r="C2975" s="11" t="n">
        <v>20</v>
      </c>
      <c r="D2975" s="11" t="s">
        <v>174</v>
      </c>
      <c r="E2975" s="11" t="s">
        <v>176</v>
      </c>
      <c r="F2975" s="11" t="s">
        <v>83</v>
      </c>
      <c r="G2975" s="12" t="n">
        <v>360</v>
      </c>
      <c r="H2975" s="12" t="n">
        <f aca="false">SUMPRODUCT(ПОТОКИ!B17:G17,ЧАСОВЫЕ_ПРОФИЛИ!B16:G16,КОЭФФИЦИЕНТЫ_ВЫБОРА!F30:K30)</f>
        <v>1.328</v>
      </c>
      <c r="I2975" s="12" t="n">
        <f aca="false">SUMPRODUCT(ПОТОКИ!B17:G17,ЧАСОВЫЕ_ПРОФИЛИ!B16:G16,КОЭФФИЦИЕНТЫ_ВЫБОРА!F30:K30,ПАРАМЕТРЫ!$B$17:$G$17)</f>
        <v>1.4608</v>
      </c>
      <c r="J2975" s="12" t="n">
        <f aca="false">I2975*G2975/1000</f>
        <v>0.525888</v>
      </c>
      <c r="K2975" s="11" t="s">
        <v>217</v>
      </c>
      <c r="L2975" s="11" t="s">
        <v>19</v>
      </c>
      <c r="M2975" s="11" t="s">
        <v>145</v>
      </c>
    </row>
    <row r="2976" customFormat="false" ht="15" hidden="false" customHeight="false" outlineLevel="0" collapsed="false">
      <c r="A2976" s="11" t="s">
        <v>113</v>
      </c>
      <c r="B2976" s="11" t="s">
        <v>129</v>
      </c>
      <c r="C2976" s="11" t="n">
        <v>21</v>
      </c>
      <c r="D2976" s="11" t="s">
        <v>174</v>
      </c>
      <c r="E2976" s="11" t="s">
        <v>177</v>
      </c>
      <c r="F2976" s="11" t="s">
        <v>83</v>
      </c>
      <c r="G2976" s="12" t="n">
        <v>350</v>
      </c>
      <c r="H2976" s="12" t="n">
        <f aca="false">SUMPRODUCT(ПОТОКИ!B17:G17,ЧАСОВЫЕ_ПРОФИЛИ!B16:G16,КОЭФФИЦИЕНТЫ_ВЫБОРА!F31:K31)</f>
        <v>2.052</v>
      </c>
      <c r="I2976" s="12" t="n">
        <f aca="false">SUMPRODUCT(ПОТОКИ!B17:G17,ЧАСОВЫЕ_ПРОФИЛИ!B16:G16,КОЭФФИЦИЕНТЫ_ВЫБОРА!F31:K31,ПАРАМЕТРЫ!$B$17:$G$17)</f>
        <v>2.2572</v>
      </c>
      <c r="J2976" s="12" t="n">
        <f aca="false">I2976*G2976/1000</f>
        <v>0.79002</v>
      </c>
      <c r="K2976" s="11" t="s">
        <v>217</v>
      </c>
      <c r="L2976" s="11" t="s">
        <v>19</v>
      </c>
      <c r="M2976" s="11" t="s">
        <v>145</v>
      </c>
    </row>
    <row r="2977" customFormat="false" ht="15" hidden="false" customHeight="false" outlineLevel="0" collapsed="false">
      <c r="A2977" s="11" t="s">
        <v>113</v>
      </c>
      <c r="B2977" s="11" t="s">
        <v>129</v>
      </c>
      <c r="C2977" s="11" t="n">
        <v>22</v>
      </c>
      <c r="D2977" s="11" t="s">
        <v>174</v>
      </c>
      <c r="E2977" s="11" t="s">
        <v>178</v>
      </c>
      <c r="F2977" s="11" t="s">
        <v>83</v>
      </c>
      <c r="G2977" s="12" t="n">
        <v>300</v>
      </c>
      <c r="H2977" s="12" t="n">
        <f aca="false">SUMPRODUCT(ПОТОКИ!B17:G17,ЧАСОВЫЕ_ПРОФИЛИ!B16:G16,КОЭФФИЦИЕНТЫ_ВЫБОРА!F32:K32)</f>
        <v>1.27</v>
      </c>
      <c r="I2977" s="12" t="n">
        <f aca="false">SUMPRODUCT(ПОТОКИ!B17:G17,ЧАСОВЫЕ_ПРОФИЛИ!B16:G16,КОЭФФИЦИЕНТЫ_ВЫБОРА!F32:K32,ПАРАМЕТРЫ!$B$17:$G$17)</f>
        <v>1.397</v>
      </c>
      <c r="J2977" s="12" t="n">
        <f aca="false">I2977*G2977/1000</f>
        <v>0.4191</v>
      </c>
      <c r="K2977" s="11" t="s">
        <v>217</v>
      </c>
      <c r="L2977" s="11" t="s">
        <v>19</v>
      </c>
      <c r="M2977" s="11" t="s">
        <v>145</v>
      </c>
    </row>
    <row r="2978" customFormat="false" ht="15" hidden="false" customHeight="false" outlineLevel="0" collapsed="false">
      <c r="A2978" s="11" t="s">
        <v>113</v>
      </c>
      <c r="B2978" s="11" t="s">
        <v>129</v>
      </c>
      <c r="C2978" s="11" t="n">
        <v>23</v>
      </c>
      <c r="D2978" s="11" t="s">
        <v>86</v>
      </c>
      <c r="E2978" s="11" t="s">
        <v>179</v>
      </c>
      <c r="F2978" s="11" t="s">
        <v>85</v>
      </c>
      <c r="G2978" s="12" t="n">
        <v>150</v>
      </c>
      <c r="H2978" s="12" t="n">
        <f aca="false">SUMPRODUCT(ПОТОКИ!B17:G17,ЧАСОВЫЕ_ПРОФИЛИ!B16:G16,КОЭФФИЦИЕНТЫ_ВЫБОРА!F33:K33)</f>
        <v>0.87752</v>
      </c>
      <c r="I2978" s="12" t="n">
        <f aca="false">SUMPRODUCT(ПОТОКИ!B17:G17,ЧАСОВЫЕ_ПРОФИЛИ!B16:G16,КОЭФФИЦИЕНТЫ_ВЫБОРА!F33:K33,ПАРАМЕТРЫ!$B$17:$G$17)</f>
        <v>0.965272</v>
      </c>
      <c r="J2978" s="12" t="n">
        <f aca="false">I2978*G2978/1000</f>
        <v>0.1447908</v>
      </c>
      <c r="K2978" s="11" t="s">
        <v>217</v>
      </c>
      <c r="L2978" s="11" t="s">
        <v>19</v>
      </c>
      <c r="M2978" s="11" t="s">
        <v>147</v>
      </c>
    </row>
    <row r="2979" customFormat="false" ht="15" hidden="false" customHeight="false" outlineLevel="0" collapsed="false">
      <c r="A2979" s="11" t="s">
        <v>113</v>
      </c>
      <c r="B2979" s="11" t="s">
        <v>129</v>
      </c>
      <c r="C2979" s="11" t="n">
        <v>24</v>
      </c>
      <c r="D2979" s="11" t="s">
        <v>86</v>
      </c>
      <c r="E2979" s="11" t="s">
        <v>180</v>
      </c>
      <c r="F2979" s="11" t="s">
        <v>85</v>
      </c>
      <c r="G2979" s="12" t="n">
        <v>150</v>
      </c>
      <c r="H2979" s="12" t="n">
        <f aca="false">SUMPRODUCT(ПОТОКИ!B17:G17,ЧАСОВЫЕ_ПРОФИЛИ!B16:G16,КОЭФФИЦИЕНТЫ_ВЫБОРА!F34:K34)</f>
        <v>0.43876</v>
      </c>
      <c r="I2979" s="12" t="n">
        <f aca="false">SUMPRODUCT(ПОТОКИ!B17:G17,ЧАСОВЫЕ_ПРОФИЛИ!B16:G16,КОЭФФИЦИЕНТЫ_ВЫБОРА!F34:K34,ПАРАМЕТРЫ!$B$17:$G$17)</f>
        <v>0.482636</v>
      </c>
      <c r="J2979" s="12" t="n">
        <f aca="false">I2979*G2979/1000</f>
        <v>0.0723954</v>
      </c>
      <c r="K2979" s="11" t="s">
        <v>217</v>
      </c>
      <c r="L2979" s="11" t="s">
        <v>19</v>
      </c>
      <c r="M2979" s="11" t="s">
        <v>147</v>
      </c>
    </row>
    <row r="2980" customFormat="false" ht="15" hidden="false" customHeight="false" outlineLevel="0" collapsed="false">
      <c r="A2980" s="11" t="s">
        <v>113</v>
      </c>
      <c r="B2980" s="11" t="s">
        <v>129</v>
      </c>
      <c r="C2980" s="11" t="n">
        <v>25</v>
      </c>
      <c r="D2980" s="11" t="s">
        <v>86</v>
      </c>
      <c r="E2980" s="11" t="s">
        <v>181</v>
      </c>
      <c r="F2980" s="11" t="s">
        <v>85</v>
      </c>
      <c r="G2980" s="12" t="n">
        <v>150</v>
      </c>
      <c r="H2980" s="12" t="n">
        <f aca="false">SUMPRODUCT(ПОТОКИ!B17:G17,ЧАСОВЫЕ_ПРОФИЛИ!B16:G16,КОЭФФИЦИЕНТЫ_ВЫБОРА!F35:K35)</f>
        <v>0.87752</v>
      </c>
      <c r="I2980" s="12" t="n">
        <f aca="false">SUMPRODUCT(ПОТОКИ!B17:G17,ЧАСОВЫЕ_ПРОФИЛИ!B16:G16,КОЭФФИЦИЕНТЫ_ВЫБОРА!F35:K35,ПАРАМЕТРЫ!$B$17:$G$17)</f>
        <v>0.965272</v>
      </c>
      <c r="J2980" s="12" t="n">
        <f aca="false">I2980*G2980/1000</f>
        <v>0.1447908</v>
      </c>
      <c r="K2980" s="11" t="s">
        <v>217</v>
      </c>
      <c r="L2980" s="11" t="s">
        <v>19</v>
      </c>
      <c r="M2980" s="11" t="s">
        <v>147</v>
      </c>
    </row>
    <row r="2981" customFormat="false" ht="23.85" hidden="false" customHeight="false" outlineLevel="0" collapsed="false">
      <c r="A2981" s="11" t="s">
        <v>113</v>
      </c>
      <c r="B2981" s="11" t="s">
        <v>129</v>
      </c>
      <c r="C2981" s="11" t="n">
        <v>26</v>
      </c>
      <c r="D2981" s="11" t="s">
        <v>89</v>
      </c>
      <c r="E2981" s="11" t="s">
        <v>182</v>
      </c>
      <c r="F2981" s="11" t="s">
        <v>88</v>
      </c>
      <c r="G2981" s="12" t="n">
        <v>225</v>
      </c>
      <c r="H2981" s="12" t="n">
        <f aca="false">SUMPRODUCT(ПОТОКИ!B17:G17,ЧАСОВЫЕ_ПРОФИЛИ!B16:G16,КОЭФФИЦИЕНТЫ_ВЫБОРА!F36:K36)</f>
        <v>0</v>
      </c>
      <c r="I2981" s="12" t="n">
        <f aca="false">SUMPRODUCT(ПОТОКИ!B17:G17,ЧАСОВЫЕ_ПРОФИЛИ!B16:G16,КОЭФФИЦИЕНТЫ_ВЫБОРА!F36:K36,ПАРАМЕТРЫ!$B$17:$G$17)</f>
        <v>0</v>
      </c>
      <c r="J2981" s="12" t="n">
        <f aca="false">I2981*G2981/1000</f>
        <v>0</v>
      </c>
      <c r="K2981" s="11" t="s">
        <v>217</v>
      </c>
      <c r="L2981" s="11" t="s">
        <v>19</v>
      </c>
      <c r="M2981" s="11" t="s">
        <v>145</v>
      </c>
    </row>
    <row r="2982" customFormat="false" ht="23.85" hidden="false" customHeight="false" outlineLevel="0" collapsed="false">
      <c r="A2982" s="11" t="s">
        <v>113</v>
      </c>
      <c r="B2982" s="11" t="s">
        <v>129</v>
      </c>
      <c r="C2982" s="11" t="n">
        <v>27</v>
      </c>
      <c r="D2982" s="11" t="s">
        <v>89</v>
      </c>
      <c r="E2982" s="11" t="s">
        <v>183</v>
      </c>
      <c r="F2982" s="11" t="s">
        <v>88</v>
      </c>
      <c r="G2982" s="12" t="n">
        <v>265</v>
      </c>
      <c r="H2982" s="12" t="n">
        <f aca="false">SUMPRODUCT(ПОТОКИ!B17:G17,ЧАСОВЫЕ_ПРОФИЛИ!B16:G16,КОЭФФИЦИЕНТЫ_ВЫБОРА!F37:K37)</f>
        <v>0</v>
      </c>
      <c r="I2982" s="12" t="n">
        <f aca="false">SUMPRODUCT(ПОТОКИ!B17:G17,ЧАСОВЫЕ_ПРОФИЛИ!B16:G16,КОЭФФИЦИЕНТЫ_ВЫБОРА!F37:K37,ПАРАМЕТРЫ!$B$17:$G$17)</f>
        <v>0</v>
      </c>
      <c r="J2982" s="12" t="n">
        <f aca="false">I2982*G2982/1000</f>
        <v>0</v>
      </c>
      <c r="K2982" s="11" t="s">
        <v>217</v>
      </c>
      <c r="L2982" s="11" t="s">
        <v>19</v>
      </c>
      <c r="M2982" s="11" t="s">
        <v>145</v>
      </c>
    </row>
    <row r="2983" customFormat="false" ht="23.85" hidden="false" customHeight="false" outlineLevel="0" collapsed="false">
      <c r="A2983" s="11" t="s">
        <v>113</v>
      </c>
      <c r="B2983" s="11" t="s">
        <v>129</v>
      </c>
      <c r="C2983" s="11" t="n">
        <v>28</v>
      </c>
      <c r="D2983" s="11" t="s">
        <v>89</v>
      </c>
      <c r="E2983" s="11" t="s">
        <v>184</v>
      </c>
      <c r="F2983" s="11" t="s">
        <v>88</v>
      </c>
      <c r="G2983" s="12" t="n">
        <v>355</v>
      </c>
      <c r="H2983" s="12" t="n">
        <f aca="false">SUMPRODUCT(ПОТОКИ!B17:G17,ЧАСОВЫЕ_ПРОФИЛИ!B16:G16,КОЭФФИЦИЕНТЫ_ВЫБОРА!F38:K38)</f>
        <v>0</v>
      </c>
      <c r="I2983" s="12" t="n">
        <f aca="false">SUMPRODUCT(ПОТОКИ!B17:G17,ЧАСОВЫЕ_ПРОФИЛИ!B16:G16,КОЭФФИЦИЕНТЫ_ВЫБОРА!F38:K38,ПАРАМЕТРЫ!$B$17:$G$17)</f>
        <v>0</v>
      </c>
      <c r="J2983" s="12" t="n">
        <f aca="false">I2983*G2983/1000</f>
        <v>0</v>
      </c>
      <c r="K2983" s="11" t="s">
        <v>217</v>
      </c>
      <c r="L2983" s="11" t="s">
        <v>19</v>
      </c>
      <c r="M2983" s="11" t="s">
        <v>145</v>
      </c>
    </row>
    <row r="2984" customFormat="false" ht="15" hidden="false" customHeight="false" outlineLevel="0" collapsed="false">
      <c r="A2984" s="11" t="s">
        <v>113</v>
      </c>
      <c r="B2984" s="11" t="s">
        <v>129</v>
      </c>
      <c r="C2984" s="11" t="n">
        <v>29</v>
      </c>
      <c r="D2984" s="11" t="s">
        <v>92</v>
      </c>
      <c r="E2984" s="11" t="s">
        <v>185</v>
      </c>
      <c r="F2984" s="11" t="s">
        <v>91</v>
      </c>
      <c r="G2984" s="12" t="n">
        <v>150</v>
      </c>
      <c r="H2984" s="12" t="n">
        <f aca="false">SUMPRODUCT(ПОТОКИ!B17:G17,ЧАСОВЫЕ_ПРОФИЛИ!B16:G16,КОЭФФИЦИЕНТЫ_ВЫБОРА!F39:K39)</f>
        <v>0.48</v>
      </c>
      <c r="I2984" s="12" t="n">
        <f aca="false">SUMPRODUCT(ПОТОКИ!B17:G17,ЧАСОВЫЕ_ПРОФИЛИ!B16:G16,КОЭФФИЦИЕНТЫ_ВЫБОРА!F39:K39,ПАРАМЕТРЫ!$B$17:$G$17)</f>
        <v>0.528</v>
      </c>
      <c r="J2984" s="12" t="n">
        <f aca="false">I2984*G2984/1000</f>
        <v>0.0792</v>
      </c>
      <c r="K2984" s="11" t="s">
        <v>217</v>
      </c>
      <c r="L2984" s="11" t="s">
        <v>19</v>
      </c>
      <c r="M2984" s="11" t="s">
        <v>145</v>
      </c>
    </row>
    <row r="2985" customFormat="false" ht="15" hidden="false" customHeight="false" outlineLevel="0" collapsed="false">
      <c r="A2985" s="11" t="s">
        <v>113</v>
      </c>
      <c r="B2985" s="11" t="s">
        <v>129</v>
      </c>
      <c r="C2985" s="11" t="n">
        <v>30</v>
      </c>
      <c r="D2985" s="11" t="s">
        <v>92</v>
      </c>
      <c r="E2985" s="11" t="s">
        <v>186</v>
      </c>
      <c r="F2985" s="11" t="s">
        <v>91</v>
      </c>
      <c r="G2985" s="12" t="n">
        <v>120</v>
      </c>
      <c r="H2985" s="12" t="n">
        <f aca="false">SUMPRODUCT(ПОТОКИ!B17:G17,ЧАСОВЫЕ_ПРОФИЛИ!B16:G16,КОЭФФИЦИЕНТЫ_ВЫБОРА!F40:K40)</f>
        <v>0.48</v>
      </c>
      <c r="I2985" s="12" t="n">
        <f aca="false">SUMPRODUCT(ПОТОКИ!B17:G17,ЧАСОВЫЕ_ПРОФИЛИ!B16:G16,КОЭФФИЦИЕНТЫ_ВЫБОРА!F40:K40,ПАРАМЕТРЫ!$B$17:$G$17)</f>
        <v>0.528</v>
      </c>
      <c r="J2985" s="12" t="n">
        <f aca="false">I2985*G2985/1000</f>
        <v>0.06336</v>
      </c>
      <c r="K2985" s="11" t="s">
        <v>217</v>
      </c>
      <c r="L2985" s="11" t="s">
        <v>19</v>
      </c>
      <c r="M2985" s="11" t="s">
        <v>145</v>
      </c>
    </row>
    <row r="2986" customFormat="false" ht="15" hidden="false" customHeight="false" outlineLevel="0" collapsed="false">
      <c r="A2986" s="11" t="s">
        <v>113</v>
      </c>
      <c r="B2986" s="11" t="s">
        <v>129</v>
      </c>
      <c r="C2986" s="11" t="n">
        <v>31</v>
      </c>
      <c r="D2986" s="11" t="s">
        <v>92</v>
      </c>
      <c r="E2986" s="11" t="s">
        <v>187</v>
      </c>
      <c r="F2986" s="11" t="s">
        <v>91</v>
      </c>
      <c r="G2986" s="12" t="n">
        <v>60</v>
      </c>
      <c r="H2986" s="12" t="n">
        <f aca="false">SUMPRODUCT(ПОТОКИ!B17:G17,ЧАСОВЫЕ_ПРОФИЛИ!B16:G16,КОЭФФИЦИЕНТЫ_ВЫБОРА!F41:K41)</f>
        <v>0.36</v>
      </c>
      <c r="I2986" s="12" t="n">
        <f aca="false">SUMPRODUCT(ПОТОКИ!B17:G17,ЧАСОВЫЕ_ПРОФИЛИ!B16:G16,КОЭФФИЦИЕНТЫ_ВЫБОРА!F41:K41,ПАРАМЕТРЫ!$B$17:$G$17)</f>
        <v>0.396</v>
      </c>
      <c r="J2986" s="12" t="n">
        <f aca="false">I2986*G2986/1000</f>
        <v>0.02376</v>
      </c>
      <c r="K2986" s="11" t="s">
        <v>217</v>
      </c>
      <c r="L2986" s="11" t="s">
        <v>19</v>
      </c>
      <c r="M2986" s="11" t="s">
        <v>145</v>
      </c>
    </row>
    <row r="2987" customFormat="false" ht="15" hidden="false" customHeight="false" outlineLevel="0" collapsed="false">
      <c r="A2987" s="11" t="s">
        <v>113</v>
      </c>
      <c r="B2987" s="11" t="s">
        <v>130</v>
      </c>
      <c r="C2987" s="11" t="n">
        <v>1</v>
      </c>
      <c r="D2987" s="11" t="s">
        <v>74</v>
      </c>
      <c r="E2987" s="11" t="s">
        <v>153</v>
      </c>
      <c r="F2987" s="11" t="s">
        <v>73</v>
      </c>
      <c r="G2987" s="12" t="n">
        <v>450</v>
      </c>
      <c r="H2987" s="12" t="n">
        <f aca="false">SUMPRODUCT(ПОТОКИ!B17:G17,ЧАСОВЫЕ_ПРОФИЛИ!B17:G17,КОЭФФИЦИЕНТЫ_ВЫБОРА!F11:K11)</f>
        <v>0.48</v>
      </c>
      <c r="I2987" s="12" t="n">
        <f aca="false">SUMPRODUCT(ПОТОКИ!B17:G17,ЧАСОВЫЕ_ПРОФИЛИ!B17:G17,КОЭФФИЦИЕНТЫ_ВЫБОРА!F11:K11,ПАРАМЕТРЫ!$B$17:$G$17)</f>
        <v>0.528</v>
      </c>
      <c r="J2987" s="12" t="n">
        <f aca="false">I2987*G2987/1000</f>
        <v>0.2376</v>
      </c>
      <c r="K2987" s="11" t="s">
        <v>217</v>
      </c>
      <c r="L2987" s="11" t="s">
        <v>19</v>
      </c>
      <c r="M2987" s="11" t="s">
        <v>145</v>
      </c>
    </row>
    <row r="2988" customFormat="false" ht="15" hidden="false" customHeight="false" outlineLevel="0" collapsed="false">
      <c r="A2988" s="11" t="s">
        <v>113</v>
      </c>
      <c r="B2988" s="11" t="s">
        <v>130</v>
      </c>
      <c r="C2988" s="11" t="n">
        <v>2</v>
      </c>
      <c r="D2988" s="11" t="s">
        <v>74</v>
      </c>
      <c r="E2988" s="11" t="s">
        <v>154</v>
      </c>
      <c r="F2988" s="11" t="s">
        <v>73</v>
      </c>
      <c r="G2988" s="12" t="n">
        <v>480</v>
      </c>
      <c r="H2988" s="12" t="n">
        <f aca="false">SUMPRODUCT(ПОТОКИ!B17:G17,ЧАСОВЫЕ_ПРОФИЛИ!B17:G17,КОЭФФИЦИЕНТЫ_ВЫБОРА!F12:K12)</f>
        <v>0.82</v>
      </c>
      <c r="I2988" s="12" t="n">
        <f aca="false">SUMPRODUCT(ПОТОКИ!B17:G17,ЧАСОВЫЕ_ПРОФИЛИ!B17:G17,КОЭФФИЦИЕНТЫ_ВЫБОРА!F12:K12,ПАРАМЕТРЫ!$B$17:$G$17)</f>
        <v>0.902</v>
      </c>
      <c r="J2988" s="12" t="n">
        <f aca="false">I2988*G2988/1000</f>
        <v>0.43296</v>
      </c>
      <c r="K2988" s="11" t="s">
        <v>217</v>
      </c>
      <c r="L2988" s="11" t="s">
        <v>19</v>
      </c>
      <c r="M2988" s="11" t="s">
        <v>145</v>
      </c>
    </row>
    <row r="2989" customFormat="false" ht="15" hidden="false" customHeight="false" outlineLevel="0" collapsed="false">
      <c r="A2989" s="11" t="s">
        <v>113</v>
      </c>
      <c r="B2989" s="11" t="s">
        <v>130</v>
      </c>
      <c r="C2989" s="11" t="n">
        <v>3</v>
      </c>
      <c r="D2989" s="11" t="s">
        <v>74</v>
      </c>
      <c r="E2989" s="11" t="s">
        <v>155</v>
      </c>
      <c r="F2989" s="11" t="s">
        <v>73</v>
      </c>
      <c r="G2989" s="12" t="n">
        <v>500</v>
      </c>
      <c r="H2989" s="12" t="n">
        <f aca="false">SUMPRODUCT(ПОТОКИ!B17:G17,ЧАСОВЫЕ_ПРОФИЛИ!B17:G17,КОЭФФИЦИЕНТЫ_ВЫБОРА!F13:K13)</f>
        <v>1.23</v>
      </c>
      <c r="I2989" s="12" t="n">
        <f aca="false">SUMPRODUCT(ПОТОКИ!B17:G17,ЧАСОВЫЕ_ПРОФИЛИ!B17:G17,КОЭФФИЦИЕНТЫ_ВЫБОРА!F13:K13,ПАРАМЕТРЫ!$B$17:$G$17)</f>
        <v>1.353</v>
      </c>
      <c r="J2989" s="12" t="n">
        <f aca="false">I2989*G2989/1000</f>
        <v>0.6765</v>
      </c>
      <c r="K2989" s="11" t="s">
        <v>217</v>
      </c>
      <c r="L2989" s="11" t="s">
        <v>19</v>
      </c>
      <c r="M2989" s="11" t="s">
        <v>145</v>
      </c>
    </row>
    <row r="2990" customFormat="false" ht="15" hidden="false" customHeight="false" outlineLevel="0" collapsed="false">
      <c r="A2990" s="11" t="s">
        <v>113</v>
      </c>
      <c r="B2990" s="11" t="s">
        <v>130</v>
      </c>
      <c r="C2990" s="11" t="n">
        <v>4</v>
      </c>
      <c r="D2990" s="11" t="s">
        <v>74</v>
      </c>
      <c r="E2990" s="11" t="s">
        <v>156</v>
      </c>
      <c r="F2990" s="11" t="s">
        <v>73</v>
      </c>
      <c r="G2990" s="12" t="n">
        <v>500</v>
      </c>
      <c r="H2990" s="12" t="n">
        <f aca="false">SUMPRODUCT(ПОТОКИ!B17:G17,ЧАСОВЫЕ_ПРОФИЛИ!B17:G17,КОЭФФИЦИЕНТЫ_ВЫБОРА!F14:K14)</f>
        <v>1.57</v>
      </c>
      <c r="I2990" s="12" t="n">
        <f aca="false">SUMPRODUCT(ПОТОКИ!B17:G17,ЧАСОВЫЕ_ПРОФИЛИ!B17:G17,КОЭФФИЦИЕНТЫ_ВЫБОРА!F14:K14,ПАРАМЕТРЫ!$B$17:$G$17)</f>
        <v>1.727</v>
      </c>
      <c r="J2990" s="12" t="n">
        <f aca="false">I2990*G2990/1000</f>
        <v>0.8635</v>
      </c>
      <c r="K2990" s="11" t="s">
        <v>217</v>
      </c>
      <c r="L2990" s="11" t="s">
        <v>19</v>
      </c>
      <c r="M2990" s="11" t="s">
        <v>145</v>
      </c>
    </row>
    <row r="2991" customFormat="false" ht="15" hidden="false" customHeight="false" outlineLevel="0" collapsed="false">
      <c r="A2991" s="11" t="s">
        <v>113</v>
      </c>
      <c r="B2991" s="11" t="s">
        <v>130</v>
      </c>
      <c r="C2991" s="11" t="n">
        <v>5</v>
      </c>
      <c r="D2991" s="11" t="s">
        <v>78</v>
      </c>
      <c r="E2991" s="11" t="s">
        <v>157</v>
      </c>
      <c r="F2991" s="11" t="s">
        <v>77</v>
      </c>
      <c r="G2991" s="12" t="n">
        <v>100</v>
      </c>
      <c r="H2991" s="12" t="n">
        <f aca="false">SUMPRODUCT(ПОТОКИ!B17:G17,ЧАСОВЫЕ_ПРОФИЛИ!B17:G17,КОЭФФИЦИЕНТЫ_ВЫБОРА!F15:K15)</f>
        <v>0.658</v>
      </c>
      <c r="I2991" s="12" t="n">
        <f aca="false">SUMPRODUCT(ПОТОКИ!B17:G17,ЧАСОВЫЕ_ПРОФИЛИ!B17:G17,КОЭФФИЦИЕНТЫ_ВЫБОРА!F15:K15,ПАРАМЕТРЫ!$B$17:$G$17)</f>
        <v>0.7238</v>
      </c>
      <c r="J2991" s="12" t="n">
        <f aca="false">I2991*G2991/1000</f>
        <v>0.07238</v>
      </c>
      <c r="K2991" s="11" t="s">
        <v>217</v>
      </c>
      <c r="L2991" s="11" t="s">
        <v>19</v>
      </c>
      <c r="M2991" s="11" t="s">
        <v>147</v>
      </c>
    </row>
    <row r="2992" customFormat="false" ht="15" hidden="false" customHeight="false" outlineLevel="0" collapsed="false">
      <c r="A2992" s="11" t="s">
        <v>113</v>
      </c>
      <c r="B2992" s="11" t="s">
        <v>130</v>
      </c>
      <c r="C2992" s="11" t="n">
        <v>6</v>
      </c>
      <c r="D2992" s="11" t="s">
        <v>78</v>
      </c>
      <c r="E2992" s="11" t="s">
        <v>158</v>
      </c>
      <c r="F2992" s="11" t="s">
        <v>77</v>
      </c>
      <c r="G2992" s="12" t="n">
        <v>100</v>
      </c>
      <c r="H2992" s="12" t="n">
        <f aca="false">SUMPRODUCT(ПОТОКИ!B17:G17,ЧАСОВЫЕ_ПРОФИЛИ!B17:G17,КОЭФФИЦИЕНТЫ_ВЫБОРА!F16:K16)</f>
        <v>0.588</v>
      </c>
      <c r="I2992" s="12" t="n">
        <f aca="false">SUMPRODUCT(ПОТОКИ!B17:G17,ЧАСОВЫЕ_ПРОФИЛИ!B17:G17,КОЭФФИЦИЕНТЫ_ВЫБОРА!F16:K16,ПАРАМЕТРЫ!$B$17:$G$17)</f>
        <v>0.6468</v>
      </c>
      <c r="J2992" s="12" t="n">
        <f aca="false">I2992*G2992/1000</f>
        <v>0.06468</v>
      </c>
      <c r="K2992" s="11" t="s">
        <v>217</v>
      </c>
      <c r="L2992" s="11" t="s">
        <v>19</v>
      </c>
      <c r="M2992" s="11" t="s">
        <v>147</v>
      </c>
    </row>
    <row r="2993" customFormat="false" ht="15" hidden="false" customHeight="false" outlineLevel="0" collapsed="false">
      <c r="A2993" s="11" t="s">
        <v>113</v>
      </c>
      <c r="B2993" s="11" t="s">
        <v>130</v>
      </c>
      <c r="C2993" s="11" t="n">
        <v>7</v>
      </c>
      <c r="D2993" s="11" t="s">
        <v>78</v>
      </c>
      <c r="E2993" s="11" t="s">
        <v>159</v>
      </c>
      <c r="F2993" s="11" t="s">
        <v>77</v>
      </c>
      <c r="G2993" s="12" t="n">
        <v>350</v>
      </c>
      <c r="H2993" s="12" t="n">
        <f aca="false">SUMPRODUCT(ПОТОКИ!B17:G17,ЧАСОВЫЕ_ПРОФИЛИ!B17:G17,КОЭФФИЦИЕНТЫ_ВЫБОРА!F17:K17)</f>
        <v>0.525</v>
      </c>
      <c r="I2993" s="12" t="n">
        <f aca="false">SUMPRODUCT(ПОТОКИ!B17:G17,ЧАСОВЫЕ_ПРОФИЛИ!B17:G17,КОЭФФИЦИЕНТЫ_ВЫБОРА!F17:K17,ПАРАМЕТРЫ!$B$17:$G$17)</f>
        <v>0.5775</v>
      </c>
      <c r="J2993" s="12" t="n">
        <f aca="false">I2993*G2993/1000</f>
        <v>0.202125</v>
      </c>
      <c r="K2993" s="11" t="s">
        <v>217</v>
      </c>
      <c r="L2993" s="11" t="s">
        <v>19</v>
      </c>
      <c r="M2993" s="11" t="s">
        <v>147</v>
      </c>
    </row>
    <row r="2994" customFormat="false" ht="15" hidden="false" customHeight="false" outlineLevel="0" collapsed="false">
      <c r="A2994" s="11" t="s">
        <v>113</v>
      </c>
      <c r="B2994" s="11" t="s">
        <v>130</v>
      </c>
      <c r="C2994" s="11" t="n">
        <v>8</v>
      </c>
      <c r="D2994" s="11" t="s">
        <v>78</v>
      </c>
      <c r="E2994" s="11" t="s">
        <v>160</v>
      </c>
      <c r="F2994" s="11" t="s">
        <v>77</v>
      </c>
      <c r="G2994" s="12" t="n">
        <v>85</v>
      </c>
      <c r="H2994" s="12" t="n">
        <f aca="false">SUMPRODUCT(ПОТОКИ!B17:G17,ЧАСОВЫЕ_ПРОФИЛИ!B17:G17,КОЭФФИЦИЕНТЫ_ВЫБОРА!F18:K18)</f>
        <v>0.329</v>
      </c>
      <c r="I2994" s="12" t="n">
        <f aca="false">SUMPRODUCT(ПОТОКИ!B17:G17,ЧАСОВЫЕ_ПРОФИЛИ!B17:G17,КОЭФФИЦИЕНТЫ_ВЫБОРА!F18:K18,ПАРАМЕТРЫ!$B$17:$G$17)</f>
        <v>0.3619</v>
      </c>
      <c r="J2994" s="12" t="n">
        <f aca="false">I2994*G2994/1000</f>
        <v>0.0307615</v>
      </c>
      <c r="K2994" s="11" t="s">
        <v>217</v>
      </c>
      <c r="L2994" s="11" t="s">
        <v>19</v>
      </c>
      <c r="M2994" s="11" t="s">
        <v>147</v>
      </c>
    </row>
    <row r="2995" customFormat="false" ht="15" hidden="false" customHeight="false" outlineLevel="0" collapsed="false">
      <c r="A2995" s="11" t="s">
        <v>113</v>
      </c>
      <c r="B2995" s="11" t="s">
        <v>130</v>
      </c>
      <c r="C2995" s="11" t="n">
        <v>9</v>
      </c>
      <c r="D2995" s="11" t="s">
        <v>161</v>
      </c>
      <c r="E2995" s="11" t="s">
        <v>162</v>
      </c>
      <c r="F2995" s="11" t="s">
        <v>80</v>
      </c>
      <c r="G2995" s="12" t="n">
        <v>300</v>
      </c>
      <c r="H2995" s="12" t="n">
        <f aca="false">SUMPRODUCT(ПОТОКИ!B17:G17,ЧАСОВЫЕ_ПРОФИЛИ!B17:G17,КОЭФФИЦИЕНТЫ_ВЫБОРА!F19:K19)</f>
        <v>0.615</v>
      </c>
      <c r="I2995" s="12" t="n">
        <f aca="false">SUMPRODUCT(ПОТОКИ!B17:G17,ЧАСОВЫЕ_ПРОФИЛИ!B17:G17,КОЭФФИЦИЕНТЫ_ВЫБОРА!F19:K19,ПАРАМЕТРЫ!$B$17:$G$17)</f>
        <v>0.6765</v>
      </c>
      <c r="J2995" s="12" t="n">
        <f aca="false">I2995*G2995/1000</f>
        <v>0.20295</v>
      </c>
      <c r="K2995" s="11" t="s">
        <v>217</v>
      </c>
      <c r="L2995" s="11" t="s">
        <v>19</v>
      </c>
      <c r="M2995" s="11" t="s">
        <v>145</v>
      </c>
    </row>
    <row r="2996" customFormat="false" ht="15" hidden="false" customHeight="false" outlineLevel="0" collapsed="false">
      <c r="A2996" s="11" t="s">
        <v>113</v>
      </c>
      <c r="B2996" s="11" t="s">
        <v>130</v>
      </c>
      <c r="C2996" s="11" t="n">
        <v>10</v>
      </c>
      <c r="D2996" s="11" t="s">
        <v>161</v>
      </c>
      <c r="E2996" s="11" t="s">
        <v>163</v>
      </c>
      <c r="F2996" s="11" t="s">
        <v>80</v>
      </c>
      <c r="G2996" s="12" t="n">
        <v>280</v>
      </c>
      <c r="H2996" s="12" t="n">
        <f aca="false">SUMPRODUCT(ПОТОКИ!B17:G17,ЧАСОВЫЕ_ПРОФИЛИ!B17:G17,КОЭФФИЦИЕНТЫ_ВЫБОРА!F20:K20)</f>
        <v>0.705</v>
      </c>
      <c r="I2996" s="12" t="n">
        <f aca="false">SUMPRODUCT(ПОТОКИ!B17:G17,ЧАСОВЫЕ_ПРОФИЛИ!B17:G17,КОЭФФИЦИЕНТЫ_ВЫБОРА!F20:K20,ПАРАМЕТРЫ!$B$17:$G$17)</f>
        <v>0.7755</v>
      </c>
      <c r="J2996" s="12" t="n">
        <f aca="false">I2996*G2996/1000</f>
        <v>0.21714</v>
      </c>
      <c r="K2996" s="11" t="s">
        <v>217</v>
      </c>
      <c r="L2996" s="11" t="s">
        <v>19</v>
      </c>
      <c r="M2996" s="11" t="s">
        <v>145</v>
      </c>
    </row>
    <row r="2997" customFormat="false" ht="15" hidden="false" customHeight="false" outlineLevel="0" collapsed="false">
      <c r="A2997" s="11" t="s">
        <v>113</v>
      </c>
      <c r="B2997" s="11" t="s">
        <v>130</v>
      </c>
      <c r="C2997" s="11" t="n">
        <v>11</v>
      </c>
      <c r="D2997" s="11" t="s">
        <v>161</v>
      </c>
      <c r="E2997" s="11" t="s">
        <v>164</v>
      </c>
      <c r="F2997" s="11" t="s">
        <v>80</v>
      </c>
      <c r="G2997" s="12" t="n">
        <v>270</v>
      </c>
      <c r="H2997" s="12" t="n">
        <f aca="false">SUMPRODUCT(ПОТОКИ!B17:G17,ЧАСОВЫЕ_ПРОФИЛИ!B17:G17,КОЭФФИЦИЕНТЫ_ВЫБОРА!F21:K21)</f>
        <v>1.14</v>
      </c>
      <c r="I2997" s="12" t="n">
        <f aca="false">SUMPRODUCT(ПОТОКИ!B17:G17,ЧАСОВЫЕ_ПРОФИЛИ!B17:G17,КОЭФФИЦИЕНТЫ_ВЫБОРА!F21:K21,ПАРАМЕТРЫ!$B$17:$G$17)</f>
        <v>1.254</v>
      </c>
      <c r="J2997" s="12" t="n">
        <f aca="false">I2997*G2997/1000</f>
        <v>0.33858</v>
      </c>
      <c r="K2997" s="11" t="s">
        <v>217</v>
      </c>
      <c r="L2997" s="11" t="s">
        <v>19</v>
      </c>
      <c r="M2997" s="11" t="s">
        <v>145</v>
      </c>
    </row>
    <row r="2998" customFormat="false" ht="15" hidden="false" customHeight="false" outlineLevel="0" collapsed="false">
      <c r="A2998" s="11" t="s">
        <v>113</v>
      </c>
      <c r="B2998" s="11" t="s">
        <v>130</v>
      </c>
      <c r="C2998" s="11" t="n">
        <v>12</v>
      </c>
      <c r="D2998" s="11" t="s">
        <v>161</v>
      </c>
      <c r="E2998" s="11" t="s">
        <v>165</v>
      </c>
      <c r="F2998" s="11" t="s">
        <v>80</v>
      </c>
      <c r="G2998" s="12" t="n">
        <v>240</v>
      </c>
      <c r="H2998" s="12" t="n">
        <f aca="false">SUMPRODUCT(ПОТОКИ!B17:G17,ЧАСОВЫЕ_ПРОФИЛИ!B17:G17,КОЭФФИЦИЕНТЫ_ВЫБОРА!F22:K22)</f>
        <v>0.54</v>
      </c>
      <c r="I2998" s="12" t="n">
        <f aca="false">SUMPRODUCT(ПОТОКИ!B17:G17,ЧАСОВЫЕ_ПРОФИЛИ!B17:G17,КОЭФФИЦИЕНТЫ_ВЫБОРА!F22:K22,ПАРАМЕТРЫ!$B$17:$G$17)</f>
        <v>0.594</v>
      </c>
      <c r="J2998" s="12" t="n">
        <f aca="false">I2998*G2998/1000</f>
        <v>0.14256</v>
      </c>
      <c r="K2998" s="11" t="s">
        <v>217</v>
      </c>
      <c r="L2998" s="11" t="s">
        <v>19</v>
      </c>
      <c r="M2998" s="11" t="s">
        <v>145</v>
      </c>
    </row>
    <row r="2999" customFormat="false" ht="15" hidden="false" customHeight="false" outlineLevel="0" collapsed="false">
      <c r="A2999" s="11" t="s">
        <v>113</v>
      </c>
      <c r="B2999" s="11" t="s">
        <v>130</v>
      </c>
      <c r="C2999" s="11" t="n">
        <v>13</v>
      </c>
      <c r="D2999" s="11" t="s">
        <v>166</v>
      </c>
      <c r="E2999" s="11" t="s">
        <v>167</v>
      </c>
      <c r="F2999" s="11" t="s">
        <v>80</v>
      </c>
      <c r="G2999" s="12" t="n">
        <v>130</v>
      </c>
      <c r="H2999" s="12" t="n">
        <f aca="false">SUMPRODUCT(ПОТОКИ!B17:G17,ЧАСОВЫЕ_ПРОФИЛИ!B17:G17,КОЭФФИЦИЕНТЫ_ВЫБОРА!F23:K23)</f>
        <v>0.35</v>
      </c>
      <c r="I2999" s="12" t="n">
        <f aca="false">SUMPRODUCT(ПОТОКИ!B17:G17,ЧАСОВЫЕ_ПРОФИЛИ!B17:G17,КОЭФФИЦИЕНТЫ_ВЫБОРА!F23:K23,ПАРАМЕТРЫ!$B$17:$G$17)</f>
        <v>0.385</v>
      </c>
      <c r="J2999" s="12" t="n">
        <f aca="false">I2999*G2999/1000</f>
        <v>0.05005</v>
      </c>
      <c r="K2999" s="11" t="s">
        <v>217</v>
      </c>
      <c r="L2999" s="11" t="s">
        <v>19</v>
      </c>
      <c r="M2999" s="11" t="s">
        <v>145</v>
      </c>
    </row>
    <row r="3000" customFormat="false" ht="15" hidden="false" customHeight="false" outlineLevel="0" collapsed="false">
      <c r="A3000" s="11" t="s">
        <v>113</v>
      </c>
      <c r="B3000" s="11" t="s">
        <v>130</v>
      </c>
      <c r="C3000" s="11" t="n">
        <v>14</v>
      </c>
      <c r="D3000" s="11" t="s">
        <v>166</v>
      </c>
      <c r="E3000" s="11" t="s">
        <v>168</v>
      </c>
      <c r="F3000" s="11" t="s">
        <v>80</v>
      </c>
      <c r="G3000" s="12" t="n">
        <v>250</v>
      </c>
      <c r="H3000" s="12" t="n">
        <f aca="false">SUMPRODUCT(ПОТОКИ!B17:G17,ЧАСОВЫЕ_ПРОФИЛИ!B17:G17,КОЭФФИЦИЕНТЫ_ВЫБОРА!F24:K24)</f>
        <v>0.21</v>
      </c>
      <c r="I3000" s="12" t="n">
        <f aca="false">SUMPRODUCT(ПОТОКИ!B17:G17,ЧАСОВЫЕ_ПРОФИЛИ!B17:G17,КОЭФФИЦИЕНТЫ_ВЫБОРА!F24:K24,ПАРАМЕТРЫ!$B$17:$G$17)</f>
        <v>0.231</v>
      </c>
      <c r="J3000" s="12" t="n">
        <f aca="false">I3000*G3000/1000</f>
        <v>0.05775</v>
      </c>
      <c r="K3000" s="11" t="s">
        <v>217</v>
      </c>
      <c r="L3000" s="11" t="s">
        <v>19</v>
      </c>
      <c r="M3000" s="11" t="s">
        <v>145</v>
      </c>
    </row>
    <row r="3001" customFormat="false" ht="15" hidden="false" customHeight="false" outlineLevel="0" collapsed="false">
      <c r="A3001" s="11" t="s">
        <v>113</v>
      </c>
      <c r="B3001" s="11" t="s">
        <v>130</v>
      </c>
      <c r="C3001" s="11" t="n">
        <v>15</v>
      </c>
      <c r="D3001" s="11" t="s">
        <v>166</v>
      </c>
      <c r="E3001" s="11" t="s">
        <v>169</v>
      </c>
      <c r="F3001" s="11" t="s">
        <v>80</v>
      </c>
      <c r="G3001" s="12" t="n">
        <v>120</v>
      </c>
      <c r="H3001" s="12" t="n">
        <f aca="false">SUMPRODUCT(ПОТОКИ!B17:G17,ЧАСОВЫЕ_ПРОФИЛИ!B17:G17,КОЭФФИЦИЕНТЫ_ВЫБОРА!F25:K25)</f>
        <v>0.21</v>
      </c>
      <c r="I3001" s="12" t="n">
        <f aca="false">SUMPRODUCT(ПОТОКИ!B17:G17,ЧАСОВЫЕ_ПРОФИЛИ!B17:G17,КОЭФФИЦИЕНТЫ_ВЫБОРА!F25:K25,ПАРАМЕТРЫ!$B$17:$G$17)</f>
        <v>0.231</v>
      </c>
      <c r="J3001" s="12" t="n">
        <f aca="false">I3001*G3001/1000</f>
        <v>0.02772</v>
      </c>
      <c r="K3001" s="11" t="s">
        <v>217</v>
      </c>
      <c r="L3001" s="11" t="s">
        <v>19</v>
      </c>
      <c r="M3001" s="11" t="s">
        <v>145</v>
      </c>
    </row>
    <row r="3002" customFormat="false" ht="15" hidden="false" customHeight="false" outlineLevel="0" collapsed="false">
      <c r="A3002" s="11" t="s">
        <v>113</v>
      </c>
      <c r="B3002" s="11" t="s">
        <v>130</v>
      </c>
      <c r="C3002" s="11" t="n">
        <v>16</v>
      </c>
      <c r="D3002" s="11" t="s">
        <v>166</v>
      </c>
      <c r="E3002" s="11" t="s">
        <v>170</v>
      </c>
      <c r="F3002" s="11" t="s">
        <v>80</v>
      </c>
      <c r="G3002" s="12" t="n">
        <v>180</v>
      </c>
      <c r="H3002" s="12" t="n">
        <f aca="false">SUMPRODUCT(ПОТОКИ!B17:G17,ЧАСОВЫЕ_ПРОФИЛИ!B17:G17,КОЭФФИЦИЕНТЫ_ВЫБОРА!F26:K26)</f>
        <v>0.28</v>
      </c>
      <c r="I3002" s="12" t="n">
        <f aca="false">SUMPRODUCT(ПОТОКИ!B17:G17,ЧАСОВЫЕ_ПРОФИЛИ!B17:G17,КОЭФФИЦИЕНТЫ_ВЫБОРА!F26:K26,ПАРАМЕТРЫ!$B$17:$G$17)</f>
        <v>0.308</v>
      </c>
      <c r="J3002" s="12" t="n">
        <f aca="false">I3002*G3002/1000</f>
        <v>0.05544</v>
      </c>
      <c r="K3002" s="11" t="s">
        <v>217</v>
      </c>
      <c r="L3002" s="11" t="s">
        <v>19</v>
      </c>
      <c r="M3002" s="11" t="s">
        <v>145</v>
      </c>
    </row>
    <row r="3003" customFormat="false" ht="15" hidden="false" customHeight="false" outlineLevel="0" collapsed="false">
      <c r="A3003" s="11" t="s">
        <v>113</v>
      </c>
      <c r="B3003" s="11" t="s">
        <v>130</v>
      </c>
      <c r="C3003" s="11" t="n">
        <v>17</v>
      </c>
      <c r="D3003" s="11" t="s">
        <v>166</v>
      </c>
      <c r="E3003" s="11" t="s">
        <v>171</v>
      </c>
      <c r="F3003" s="11" t="s">
        <v>80</v>
      </c>
      <c r="G3003" s="12" t="n">
        <v>180</v>
      </c>
      <c r="H3003" s="12" t="n">
        <f aca="false">SUMPRODUCT(ПОТОКИ!B17:G17,ЧАСОВЫЕ_ПРОФИЛИ!B17:G17,КОЭФФИЦИЕНТЫ_ВЫБОРА!F27:K27)</f>
        <v>0.35</v>
      </c>
      <c r="I3003" s="12" t="n">
        <f aca="false">SUMPRODUCT(ПОТОКИ!B17:G17,ЧАСОВЫЕ_ПРОФИЛИ!B17:G17,КОЭФФИЦИЕНТЫ_ВЫБОРА!F27:K27,ПАРАМЕТРЫ!$B$17:$G$17)</f>
        <v>0.385</v>
      </c>
      <c r="J3003" s="12" t="n">
        <f aca="false">I3003*G3003/1000</f>
        <v>0.0693</v>
      </c>
      <c r="K3003" s="11" t="s">
        <v>217</v>
      </c>
      <c r="L3003" s="11" t="s">
        <v>19</v>
      </c>
      <c r="M3003" s="11" t="s">
        <v>145</v>
      </c>
    </row>
    <row r="3004" customFormat="false" ht="15" hidden="false" customHeight="false" outlineLevel="0" collapsed="false">
      <c r="A3004" s="11" t="s">
        <v>113</v>
      </c>
      <c r="B3004" s="11" t="s">
        <v>130</v>
      </c>
      <c r="C3004" s="11" t="n">
        <v>18</v>
      </c>
      <c r="D3004" s="11" t="s">
        <v>172</v>
      </c>
      <c r="E3004" s="11" t="s">
        <v>173</v>
      </c>
      <c r="F3004" s="11" t="s">
        <v>83</v>
      </c>
      <c r="G3004" s="12" t="n">
        <v>400</v>
      </c>
      <c r="H3004" s="12" t="n">
        <f aca="false">SUMPRODUCT(ПОТОКИ!B17:G17,ЧАСОВЫЕ_ПРОФИЛИ!B17:G17,КОЭФФИЦИЕНТЫ_ВЫБОРА!F28:K28)</f>
        <v>0.7</v>
      </c>
      <c r="I3004" s="12" t="n">
        <f aca="false">SUMPRODUCT(ПОТОКИ!B17:G17,ЧАСОВЫЕ_ПРОФИЛИ!B17:G17,КОЭФФИЦИЕНТЫ_ВЫБОРА!F28:K28,ПАРАМЕТРЫ!$B$17:$G$17)</f>
        <v>0.77</v>
      </c>
      <c r="J3004" s="12" t="n">
        <f aca="false">I3004*G3004/1000</f>
        <v>0.308</v>
      </c>
      <c r="K3004" s="11" t="s">
        <v>217</v>
      </c>
      <c r="L3004" s="11" t="s">
        <v>19</v>
      </c>
      <c r="M3004" s="11" t="s">
        <v>145</v>
      </c>
    </row>
    <row r="3005" customFormat="false" ht="23.85" hidden="false" customHeight="false" outlineLevel="0" collapsed="false">
      <c r="A3005" s="11" t="s">
        <v>113</v>
      </c>
      <c r="B3005" s="11" t="s">
        <v>130</v>
      </c>
      <c r="C3005" s="11" t="n">
        <v>19</v>
      </c>
      <c r="D3005" s="11" t="s">
        <v>174</v>
      </c>
      <c r="E3005" s="11" t="s">
        <v>175</v>
      </c>
      <c r="F3005" s="11" t="s">
        <v>83</v>
      </c>
      <c r="G3005" s="12" t="n">
        <v>300</v>
      </c>
      <c r="H3005" s="12" t="n">
        <f aca="false">SUMPRODUCT(ПОТОКИ!B17:G17,ЧАСОВЫЕ_ПРОФИЛИ!B17:G17,КОЭФФИЦИЕНТЫ_ВЫБОРА!F29:K29)</f>
        <v>1.6175</v>
      </c>
      <c r="I3005" s="12" t="n">
        <f aca="false">SUMPRODUCT(ПОТОКИ!B17:G17,ЧАСОВЫЕ_ПРОФИЛИ!B17:G17,КОЭФФИЦИЕНТЫ_ВЫБОРА!F29:K29,ПАРАМЕТРЫ!$B$17:$G$17)</f>
        <v>1.77925</v>
      </c>
      <c r="J3005" s="12" t="n">
        <f aca="false">I3005*G3005/1000</f>
        <v>0.533775</v>
      </c>
      <c r="K3005" s="11" t="s">
        <v>217</v>
      </c>
      <c r="L3005" s="11" t="s">
        <v>19</v>
      </c>
      <c r="M3005" s="11" t="s">
        <v>145</v>
      </c>
    </row>
    <row r="3006" customFormat="false" ht="15" hidden="false" customHeight="false" outlineLevel="0" collapsed="false">
      <c r="A3006" s="11" t="s">
        <v>113</v>
      </c>
      <c r="B3006" s="11" t="s">
        <v>130</v>
      </c>
      <c r="C3006" s="11" t="n">
        <v>20</v>
      </c>
      <c r="D3006" s="11" t="s">
        <v>174</v>
      </c>
      <c r="E3006" s="11" t="s">
        <v>176</v>
      </c>
      <c r="F3006" s="11" t="s">
        <v>83</v>
      </c>
      <c r="G3006" s="12" t="n">
        <v>360</v>
      </c>
      <c r="H3006" s="12" t="n">
        <f aca="false">SUMPRODUCT(ПОТОКИ!B17:G17,ЧАСОВЫЕ_ПРОФИЛИ!B17:G17,КОЭФФИЦИЕНТЫ_ВЫБОРА!F30:K30)</f>
        <v>1.51</v>
      </c>
      <c r="I3006" s="12" t="n">
        <f aca="false">SUMPRODUCT(ПОТОКИ!B17:G17,ЧАСОВЫЕ_ПРОФИЛИ!B17:G17,КОЭФФИЦИЕНТЫ_ВЫБОРА!F30:K30,ПАРАМЕТРЫ!$B$17:$G$17)</f>
        <v>1.661</v>
      </c>
      <c r="J3006" s="12" t="n">
        <f aca="false">I3006*G3006/1000</f>
        <v>0.59796</v>
      </c>
      <c r="K3006" s="11" t="s">
        <v>217</v>
      </c>
      <c r="L3006" s="11" t="s">
        <v>19</v>
      </c>
      <c r="M3006" s="11" t="s">
        <v>145</v>
      </c>
    </row>
    <row r="3007" customFormat="false" ht="15" hidden="false" customHeight="false" outlineLevel="0" collapsed="false">
      <c r="A3007" s="11" t="s">
        <v>113</v>
      </c>
      <c r="B3007" s="11" t="s">
        <v>130</v>
      </c>
      <c r="C3007" s="11" t="n">
        <v>21</v>
      </c>
      <c r="D3007" s="11" t="s">
        <v>174</v>
      </c>
      <c r="E3007" s="11" t="s">
        <v>177</v>
      </c>
      <c r="F3007" s="11" t="s">
        <v>83</v>
      </c>
      <c r="G3007" s="12" t="n">
        <v>350</v>
      </c>
      <c r="H3007" s="12" t="n">
        <f aca="false">SUMPRODUCT(ПОТОКИ!B17:G17,ЧАСОВЫЕ_ПРОФИЛИ!B17:G17,КОЭФФИЦИЕНТЫ_ВЫБОРА!F31:K31)</f>
        <v>2.325</v>
      </c>
      <c r="I3007" s="12" t="n">
        <f aca="false">SUMPRODUCT(ПОТОКИ!B17:G17,ЧАСОВЫЕ_ПРОФИЛИ!B17:G17,КОЭФФИЦИЕНТЫ_ВЫБОРА!F31:K31,ПАРАМЕТРЫ!$B$17:$G$17)</f>
        <v>2.5575</v>
      </c>
      <c r="J3007" s="12" t="n">
        <f aca="false">I3007*G3007/1000</f>
        <v>0.895125</v>
      </c>
      <c r="K3007" s="11" t="s">
        <v>217</v>
      </c>
      <c r="L3007" s="11" t="s">
        <v>19</v>
      </c>
      <c r="M3007" s="11" t="s">
        <v>145</v>
      </c>
    </row>
    <row r="3008" customFormat="false" ht="15" hidden="false" customHeight="false" outlineLevel="0" collapsed="false">
      <c r="A3008" s="11" t="s">
        <v>113</v>
      </c>
      <c r="B3008" s="11" t="s">
        <v>130</v>
      </c>
      <c r="C3008" s="11" t="n">
        <v>22</v>
      </c>
      <c r="D3008" s="11" t="s">
        <v>174</v>
      </c>
      <c r="E3008" s="11" t="s">
        <v>178</v>
      </c>
      <c r="F3008" s="11" t="s">
        <v>83</v>
      </c>
      <c r="G3008" s="12" t="n">
        <v>300</v>
      </c>
      <c r="H3008" s="12" t="n">
        <f aca="false">SUMPRODUCT(ПОТОКИ!B17:G17,ЧАСОВЫЕ_ПРОФИЛИ!B17:G17,КОЭФФИЦИЕНТЫ_ВЫБОРА!F32:K32)</f>
        <v>1.4975</v>
      </c>
      <c r="I3008" s="12" t="n">
        <f aca="false">SUMPRODUCT(ПОТОКИ!B17:G17,ЧАСОВЫЕ_ПРОФИЛИ!B17:G17,КОЭФФИЦИЕНТЫ_ВЫБОРА!F32:K32,ПАРАМЕТРЫ!$B$17:$G$17)</f>
        <v>1.64725</v>
      </c>
      <c r="J3008" s="12" t="n">
        <f aca="false">I3008*G3008/1000</f>
        <v>0.494175</v>
      </c>
      <c r="K3008" s="11" t="s">
        <v>217</v>
      </c>
      <c r="L3008" s="11" t="s">
        <v>19</v>
      </c>
      <c r="M3008" s="11" t="s">
        <v>145</v>
      </c>
    </row>
    <row r="3009" customFormat="false" ht="15" hidden="false" customHeight="false" outlineLevel="0" collapsed="false">
      <c r="A3009" s="11" t="s">
        <v>113</v>
      </c>
      <c r="B3009" s="11" t="s">
        <v>130</v>
      </c>
      <c r="C3009" s="11" t="n">
        <v>23</v>
      </c>
      <c r="D3009" s="11" t="s">
        <v>86</v>
      </c>
      <c r="E3009" s="11" t="s">
        <v>179</v>
      </c>
      <c r="F3009" s="11" t="s">
        <v>85</v>
      </c>
      <c r="G3009" s="12" t="n">
        <v>150</v>
      </c>
      <c r="H3009" s="12" t="n">
        <f aca="false">SUMPRODUCT(ПОТОКИ!B17:G17,ЧАСОВЫЕ_ПРОФИЛИ!B17:G17,КОЭФФИЦИЕНТЫ_ВЫБОРА!F33:K33)</f>
        <v>1.0969</v>
      </c>
      <c r="I3009" s="12" t="n">
        <f aca="false">SUMPRODUCT(ПОТОКИ!B17:G17,ЧАСОВЫЕ_ПРОФИЛИ!B17:G17,КОЭФФИЦИЕНТЫ_ВЫБОРА!F33:K33,ПАРАМЕТРЫ!$B$17:$G$17)</f>
        <v>1.20659</v>
      </c>
      <c r="J3009" s="12" t="n">
        <f aca="false">I3009*G3009/1000</f>
        <v>0.1809885</v>
      </c>
      <c r="K3009" s="11" t="s">
        <v>217</v>
      </c>
      <c r="L3009" s="11" t="s">
        <v>19</v>
      </c>
      <c r="M3009" s="11" t="s">
        <v>147</v>
      </c>
    </row>
    <row r="3010" customFormat="false" ht="15" hidden="false" customHeight="false" outlineLevel="0" collapsed="false">
      <c r="A3010" s="11" t="s">
        <v>113</v>
      </c>
      <c r="B3010" s="11" t="s">
        <v>130</v>
      </c>
      <c r="C3010" s="11" t="n">
        <v>24</v>
      </c>
      <c r="D3010" s="11" t="s">
        <v>86</v>
      </c>
      <c r="E3010" s="11" t="s">
        <v>180</v>
      </c>
      <c r="F3010" s="11" t="s">
        <v>85</v>
      </c>
      <c r="G3010" s="12" t="n">
        <v>150</v>
      </c>
      <c r="H3010" s="12" t="n">
        <f aca="false">SUMPRODUCT(ПОТОКИ!B17:G17,ЧАСОВЫЕ_ПРОФИЛИ!B17:G17,КОЭФФИЦИЕНТЫ_ВЫБОРА!F34:K34)</f>
        <v>0.54845</v>
      </c>
      <c r="I3010" s="12" t="n">
        <f aca="false">SUMPRODUCT(ПОТОКИ!B17:G17,ЧАСОВЫЕ_ПРОФИЛИ!B17:G17,КОЭФФИЦИЕНТЫ_ВЫБОРА!F34:K34,ПАРАМЕТРЫ!$B$17:$G$17)</f>
        <v>0.603295</v>
      </c>
      <c r="J3010" s="12" t="n">
        <f aca="false">I3010*G3010/1000</f>
        <v>0.09049425</v>
      </c>
      <c r="K3010" s="11" t="s">
        <v>217</v>
      </c>
      <c r="L3010" s="11" t="s">
        <v>19</v>
      </c>
      <c r="M3010" s="11" t="s">
        <v>147</v>
      </c>
    </row>
    <row r="3011" customFormat="false" ht="15" hidden="false" customHeight="false" outlineLevel="0" collapsed="false">
      <c r="A3011" s="11" t="s">
        <v>113</v>
      </c>
      <c r="B3011" s="11" t="s">
        <v>130</v>
      </c>
      <c r="C3011" s="11" t="n">
        <v>25</v>
      </c>
      <c r="D3011" s="11" t="s">
        <v>86</v>
      </c>
      <c r="E3011" s="11" t="s">
        <v>181</v>
      </c>
      <c r="F3011" s="11" t="s">
        <v>85</v>
      </c>
      <c r="G3011" s="12" t="n">
        <v>150</v>
      </c>
      <c r="H3011" s="12" t="n">
        <f aca="false">SUMPRODUCT(ПОТОКИ!B17:G17,ЧАСОВЫЕ_ПРОФИЛИ!B17:G17,КОЭФФИЦИЕНТЫ_ВЫБОРА!F35:K35)</f>
        <v>1.0969</v>
      </c>
      <c r="I3011" s="12" t="n">
        <f aca="false">SUMPRODUCT(ПОТОКИ!B17:G17,ЧАСОВЫЕ_ПРОФИЛИ!B17:G17,КОЭФФИЦИЕНТЫ_ВЫБОРА!F35:K35,ПАРАМЕТРЫ!$B$17:$G$17)</f>
        <v>1.20659</v>
      </c>
      <c r="J3011" s="12" t="n">
        <f aca="false">I3011*G3011/1000</f>
        <v>0.1809885</v>
      </c>
      <c r="K3011" s="11" t="s">
        <v>217</v>
      </c>
      <c r="L3011" s="11" t="s">
        <v>19</v>
      </c>
      <c r="M3011" s="11" t="s">
        <v>147</v>
      </c>
    </row>
    <row r="3012" customFormat="false" ht="23.85" hidden="false" customHeight="false" outlineLevel="0" collapsed="false">
      <c r="A3012" s="11" t="s">
        <v>113</v>
      </c>
      <c r="B3012" s="11" t="s">
        <v>130</v>
      </c>
      <c r="C3012" s="11" t="n">
        <v>26</v>
      </c>
      <c r="D3012" s="11" t="s">
        <v>89</v>
      </c>
      <c r="E3012" s="11" t="s">
        <v>182</v>
      </c>
      <c r="F3012" s="11" t="s">
        <v>88</v>
      </c>
      <c r="G3012" s="12" t="n">
        <v>225</v>
      </c>
      <c r="H3012" s="12" t="n">
        <f aca="false">SUMPRODUCT(ПОТОКИ!B17:G17,ЧАСОВЫЕ_ПРОФИЛИ!B17:G17,КОЭФФИЦИЕНТЫ_ВЫБОРА!F36:K36)</f>
        <v>0</v>
      </c>
      <c r="I3012" s="12" t="n">
        <f aca="false">SUMPRODUCT(ПОТОКИ!B17:G17,ЧАСОВЫЕ_ПРОФИЛИ!B17:G17,КОЭФФИЦИЕНТЫ_ВЫБОРА!F36:K36,ПАРАМЕТРЫ!$B$17:$G$17)</f>
        <v>0</v>
      </c>
      <c r="J3012" s="12" t="n">
        <f aca="false">I3012*G3012/1000</f>
        <v>0</v>
      </c>
      <c r="K3012" s="11" t="s">
        <v>217</v>
      </c>
      <c r="L3012" s="11" t="s">
        <v>19</v>
      </c>
      <c r="M3012" s="11" t="s">
        <v>145</v>
      </c>
    </row>
    <row r="3013" customFormat="false" ht="23.85" hidden="false" customHeight="false" outlineLevel="0" collapsed="false">
      <c r="A3013" s="11" t="s">
        <v>113</v>
      </c>
      <c r="B3013" s="11" t="s">
        <v>130</v>
      </c>
      <c r="C3013" s="11" t="n">
        <v>27</v>
      </c>
      <c r="D3013" s="11" t="s">
        <v>89</v>
      </c>
      <c r="E3013" s="11" t="s">
        <v>183</v>
      </c>
      <c r="F3013" s="11" t="s">
        <v>88</v>
      </c>
      <c r="G3013" s="12" t="n">
        <v>265</v>
      </c>
      <c r="H3013" s="12" t="n">
        <f aca="false">SUMPRODUCT(ПОТОКИ!B17:G17,ЧАСОВЫЕ_ПРОФИЛИ!B17:G17,КОЭФФИЦИЕНТЫ_ВЫБОРА!F37:K37)</f>
        <v>0</v>
      </c>
      <c r="I3013" s="12" t="n">
        <f aca="false">SUMPRODUCT(ПОТОКИ!B17:G17,ЧАСОВЫЕ_ПРОФИЛИ!B17:G17,КОЭФФИЦИЕНТЫ_ВЫБОРА!F37:K37,ПАРАМЕТРЫ!$B$17:$G$17)</f>
        <v>0</v>
      </c>
      <c r="J3013" s="12" t="n">
        <f aca="false">I3013*G3013/1000</f>
        <v>0</v>
      </c>
      <c r="K3013" s="11" t="s">
        <v>217</v>
      </c>
      <c r="L3013" s="11" t="s">
        <v>19</v>
      </c>
      <c r="M3013" s="11" t="s">
        <v>145</v>
      </c>
    </row>
    <row r="3014" customFormat="false" ht="23.85" hidden="false" customHeight="false" outlineLevel="0" collapsed="false">
      <c r="A3014" s="11" t="s">
        <v>113</v>
      </c>
      <c r="B3014" s="11" t="s">
        <v>130</v>
      </c>
      <c r="C3014" s="11" t="n">
        <v>28</v>
      </c>
      <c r="D3014" s="11" t="s">
        <v>89</v>
      </c>
      <c r="E3014" s="11" t="s">
        <v>184</v>
      </c>
      <c r="F3014" s="11" t="s">
        <v>88</v>
      </c>
      <c r="G3014" s="12" t="n">
        <v>355</v>
      </c>
      <c r="H3014" s="12" t="n">
        <f aca="false">SUMPRODUCT(ПОТОКИ!B17:G17,ЧАСОВЫЕ_ПРОФИЛИ!B17:G17,КОЭФФИЦИЕНТЫ_ВЫБОРА!F38:K38)</f>
        <v>0</v>
      </c>
      <c r="I3014" s="12" t="n">
        <f aca="false">SUMPRODUCT(ПОТОКИ!B17:G17,ЧАСОВЫЕ_ПРОФИЛИ!B17:G17,КОЭФФИЦИЕНТЫ_ВЫБОРА!F38:K38,ПАРАМЕТРЫ!$B$17:$G$17)</f>
        <v>0</v>
      </c>
      <c r="J3014" s="12" t="n">
        <f aca="false">I3014*G3014/1000</f>
        <v>0</v>
      </c>
      <c r="K3014" s="11" t="s">
        <v>217</v>
      </c>
      <c r="L3014" s="11" t="s">
        <v>19</v>
      </c>
      <c r="M3014" s="11" t="s">
        <v>145</v>
      </c>
    </row>
    <row r="3015" customFormat="false" ht="15" hidden="false" customHeight="false" outlineLevel="0" collapsed="false">
      <c r="A3015" s="11" t="s">
        <v>113</v>
      </c>
      <c r="B3015" s="11" t="s">
        <v>130</v>
      </c>
      <c r="C3015" s="11" t="n">
        <v>29</v>
      </c>
      <c r="D3015" s="11" t="s">
        <v>92</v>
      </c>
      <c r="E3015" s="11" t="s">
        <v>185</v>
      </c>
      <c r="F3015" s="11" t="s">
        <v>91</v>
      </c>
      <c r="G3015" s="12" t="n">
        <v>150</v>
      </c>
      <c r="H3015" s="12" t="n">
        <f aca="false">SUMPRODUCT(ПОТОКИ!B17:G17,ЧАСОВЫЕ_ПРОФИЛИ!B17:G17,КОЭФФИЦИЕНТЫ_ВЫБОРА!F39:K39)</f>
        <v>0.564</v>
      </c>
      <c r="I3015" s="12" t="n">
        <f aca="false">SUMPRODUCT(ПОТОКИ!B17:G17,ЧАСОВЫЕ_ПРОФИЛИ!B17:G17,КОЭФФИЦИЕНТЫ_ВЫБОРА!F39:K39,ПАРАМЕТРЫ!$B$17:$G$17)</f>
        <v>0.6204</v>
      </c>
      <c r="J3015" s="12" t="n">
        <f aca="false">I3015*G3015/1000</f>
        <v>0.09306</v>
      </c>
      <c r="K3015" s="11" t="s">
        <v>217</v>
      </c>
      <c r="L3015" s="11" t="s">
        <v>19</v>
      </c>
      <c r="M3015" s="11" t="s">
        <v>145</v>
      </c>
    </row>
    <row r="3016" customFormat="false" ht="15" hidden="false" customHeight="false" outlineLevel="0" collapsed="false">
      <c r="A3016" s="11" t="s">
        <v>113</v>
      </c>
      <c r="B3016" s="11" t="s">
        <v>130</v>
      </c>
      <c r="C3016" s="11" t="n">
        <v>30</v>
      </c>
      <c r="D3016" s="11" t="s">
        <v>92</v>
      </c>
      <c r="E3016" s="11" t="s">
        <v>186</v>
      </c>
      <c r="F3016" s="11" t="s">
        <v>91</v>
      </c>
      <c r="G3016" s="12" t="n">
        <v>120</v>
      </c>
      <c r="H3016" s="12" t="n">
        <f aca="false">SUMPRODUCT(ПОТОКИ!B17:G17,ЧАСОВЫЕ_ПРОФИЛИ!B17:G17,КОЭФФИЦИЕНТЫ_ВЫБОРА!F40:K40)</f>
        <v>0.564</v>
      </c>
      <c r="I3016" s="12" t="n">
        <f aca="false">SUMPRODUCT(ПОТОКИ!B17:G17,ЧАСОВЫЕ_ПРОФИЛИ!B17:G17,КОЭФФИЦИЕНТЫ_ВЫБОРА!F40:K40,ПАРАМЕТРЫ!$B$17:$G$17)</f>
        <v>0.6204</v>
      </c>
      <c r="J3016" s="12" t="n">
        <f aca="false">I3016*G3016/1000</f>
        <v>0.074448</v>
      </c>
      <c r="K3016" s="11" t="s">
        <v>217</v>
      </c>
      <c r="L3016" s="11" t="s">
        <v>19</v>
      </c>
      <c r="M3016" s="11" t="s">
        <v>145</v>
      </c>
    </row>
    <row r="3017" customFormat="false" ht="15" hidden="false" customHeight="false" outlineLevel="0" collapsed="false">
      <c r="A3017" s="11" t="s">
        <v>113</v>
      </c>
      <c r="B3017" s="11" t="s">
        <v>130</v>
      </c>
      <c r="C3017" s="11" t="n">
        <v>31</v>
      </c>
      <c r="D3017" s="11" t="s">
        <v>92</v>
      </c>
      <c r="E3017" s="11" t="s">
        <v>187</v>
      </c>
      <c r="F3017" s="11" t="s">
        <v>91</v>
      </c>
      <c r="G3017" s="12" t="n">
        <v>60</v>
      </c>
      <c r="H3017" s="12" t="n">
        <f aca="false">SUMPRODUCT(ПОТОКИ!B17:G17,ЧАСОВЫЕ_ПРОФИЛИ!B17:G17,КОЭФФИЦИЕНТЫ_ВЫБОРА!F41:K41)</f>
        <v>0.402</v>
      </c>
      <c r="I3017" s="12" t="n">
        <f aca="false">SUMPRODUCT(ПОТОКИ!B17:G17,ЧАСОВЫЕ_ПРОФИЛИ!B17:G17,КОЭФФИЦИЕНТЫ_ВЫБОРА!F41:K41,ПАРАМЕТРЫ!$B$17:$G$17)</f>
        <v>0.4422</v>
      </c>
      <c r="J3017" s="12" t="n">
        <f aca="false">I3017*G3017/1000</f>
        <v>0.026532</v>
      </c>
      <c r="K3017" s="11" t="s">
        <v>217</v>
      </c>
      <c r="L3017" s="11" t="s">
        <v>19</v>
      </c>
      <c r="M3017" s="11" t="s">
        <v>145</v>
      </c>
    </row>
    <row r="3018" customFormat="false" ht="15" hidden="false" customHeight="false" outlineLevel="0" collapsed="false">
      <c r="A3018" s="11" t="s">
        <v>113</v>
      </c>
      <c r="B3018" s="11" t="s">
        <v>131</v>
      </c>
      <c r="C3018" s="11" t="n">
        <v>1</v>
      </c>
      <c r="D3018" s="11" t="s">
        <v>74</v>
      </c>
      <c r="E3018" s="11" t="s">
        <v>153</v>
      </c>
      <c r="F3018" s="11" t="s">
        <v>73</v>
      </c>
      <c r="G3018" s="12" t="n">
        <v>450</v>
      </c>
      <c r="H3018" s="12" t="n">
        <f aca="false">SUMPRODUCT(ПОТОКИ!B17:G17,ЧАСОВЫЕ_ПРОФИЛИ!B18:G18,КОЭФФИЦИЕНТЫ_ВЫБОРА!F11:K11)</f>
        <v>0.282</v>
      </c>
      <c r="I3018" s="12" t="n">
        <f aca="false">SUMPRODUCT(ПОТОКИ!B17:G17,ЧАСОВЫЕ_ПРОФИЛИ!B18:G18,КОЭФФИЦИЕНТЫ_ВЫБОРА!F11:K11,ПАРАМЕТРЫ!$B$17:$G$17)</f>
        <v>0.3102</v>
      </c>
      <c r="J3018" s="12" t="n">
        <f aca="false">I3018*G3018/1000</f>
        <v>0.13959</v>
      </c>
      <c r="K3018" s="11" t="s">
        <v>217</v>
      </c>
      <c r="L3018" s="11" t="s">
        <v>19</v>
      </c>
      <c r="M3018" s="11" t="s">
        <v>145</v>
      </c>
    </row>
    <row r="3019" customFormat="false" ht="15" hidden="false" customHeight="false" outlineLevel="0" collapsed="false">
      <c r="A3019" s="11" t="s">
        <v>113</v>
      </c>
      <c r="B3019" s="11" t="s">
        <v>131</v>
      </c>
      <c r="C3019" s="11" t="n">
        <v>2</v>
      </c>
      <c r="D3019" s="11" t="s">
        <v>74</v>
      </c>
      <c r="E3019" s="11" t="s">
        <v>154</v>
      </c>
      <c r="F3019" s="11" t="s">
        <v>73</v>
      </c>
      <c r="G3019" s="12" t="n">
        <v>480</v>
      </c>
      <c r="H3019" s="12" t="n">
        <f aca="false">SUMPRODUCT(ПОТОКИ!B17:G17,ЧАСОВЫЕ_ПРОФИЛИ!B18:G18,КОЭФФИЦИЕНТЫ_ВЫБОРА!F12:K12)</f>
        <v>0.466</v>
      </c>
      <c r="I3019" s="12" t="n">
        <f aca="false">SUMPRODUCT(ПОТОКИ!B17:G17,ЧАСОВЫЕ_ПРОФИЛИ!B18:G18,КОЭФФИЦИЕНТЫ_ВЫБОРА!F12:K12,ПАРАМЕТРЫ!$B$17:$G$17)</f>
        <v>0.5126</v>
      </c>
      <c r="J3019" s="12" t="n">
        <f aca="false">I3019*G3019/1000</f>
        <v>0.246048</v>
      </c>
      <c r="K3019" s="11" t="s">
        <v>217</v>
      </c>
      <c r="L3019" s="11" t="s">
        <v>19</v>
      </c>
      <c r="M3019" s="11" t="s">
        <v>145</v>
      </c>
    </row>
    <row r="3020" customFormat="false" ht="15" hidden="false" customHeight="false" outlineLevel="0" collapsed="false">
      <c r="A3020" s="11" t="s">
        <v>113</v>
      </c>
      <c r="B3020" s="11" t="s">
        <v>131</v>
      </c>
      <c r="C3020" s="11" t="n">
        <v>3</v>
      </c>
      <c r="D3020" s="11" t="s">
        <v>74</v>
      </c>
      <c r="E3020" s="11" t="s">
        <v>155</v>
      </c>
      <c r="F3020" s="11" t="s">
        <v>73</v>
      </c>
      <c r="G3020" s="12" t="n">
        <v>500</v>
      </c>
      <c r="H3020" s="12" t="n">
        <f aca="false">SUMPRODUCT(ПОТОКИ!B17:G17,ЧАСОВЫЕ_ПРОФИЛИ!B18:G18,КОЭФФИЦИЕНТЫ_ВЫБОРА!F13:K13)</f>
        <v>0.699</v>
      </c>
      <c r="I3020" s="12" t="n">
        <f aca="false">SUMPRODUCT(ПОТОКИ!B17:G17,ЧАСОВЫЕ_ПРОФИЛИ!B18:G18,КОЭФФИЦИЕНТЫ_ВЫБОРА!F13:K13,ПАРАМЕТРЫ!$B$17:$G$17)</f>
        <v>0.7689</v>
      </c>
      <c r="J3020" s="12" t="n">
        <f aca="false">I3020*G3020/1000</f>
        <v>0.38445</v>
      </c>
      <c r="K3020" s="11" t="s">
        <v>217</v>
      </c>
      <c r="L3020" s="11" t="s">
        <v>19</v>
      </c>
      <c r="M3020" s="11" t="s">
        <v>145</v>
      </c>
    </row>
    <row r="3021" customFormat="false" ht="15" hidden="false" customHeight="false" outlineLevel="0" collapsed="false">
      <c r="A3021" s="11" t="s">
        <v>113</v>
      </c>
      <c r="B3021" s="11" t="s">
        <v>131</v>
      </c>
      <c r="C3021" s="11" t="n">
        <v>4</v>
      </c>
      <c r="D3021" s="11" t="s">
        <v>74</v>
      </c>
      <c r="E3021" s="11" t="s">
        <v>156</v>
      </c>
      <c r="F3021" s="11" t="s">
        <v>73</v>
      </c>
      <c r="G3021" s="12" t="n">
        <v>500</v>
      </c>
      <c r="H3021" s="12" t="n">
        <f aca="false">SUMPRODUCT(ПОТОКИ!B17:G17,ЧАСОВЫЕ_ПРОФИЛИ!B18:G18,КОЭФФИЦИЕНТЫ_ВЫБОРА!F14:K14)</f>
        <v>0.883</v>
      </c>
      <c r="I3021" s="12" t="n">
        <f aca="false">SUMPRODUCT(ПОТОКИ!B17:G17,ЧАСОВЫЕ_ПРОФИЛИ!B18:G18,КОЭФФИЦИЕНТЫ_ВЫБОРА!F14:K14,ПАРАМЕТРЫ!$B$17:$G$17)</f>
        <v>0.9713</v>
      </c>
      <c r="J3021" s="12" t="n">
        <f aca="false">I3021*G3021/1000</f>
        <v>0.48565</v>
      </c>
      <c r="K3021" s="11" t="s">
        <v>217</v>
      </c>
      <c r="L3021" s="11" t="s">
        <v>19</v>
      </c>
      <c r="M3021" s="11" t="s">
        <v>145</v>
      </c>
    </row>
    <row r="3022" customFormat="false" ht="15" hidden="false" customHeight="false" outlineLevel="0" collapsed="false">
      <c r="A3022" s="11" t="s">
        <v>113</v>
      </c>
      <c r="B3022" s="11" t="s">
        <v>131</v>
      </c>
      <c r="C3022" s="11" t="n">
        <v>5</v>
      </c>
      <c r="D3022" s="11" t="s">
        <v>78</v>
      </c>
      <c r="E3022" s="11" t="s">
        <v>157</v>
      </c>
      <c r="F3022" s="11" t="s">
        <v>77</v>
      </c>
      <c r="G3022" s="12" t="n">
        <v>100</v>
      </c>
      <c r="H3022" s="12" t="n">
        <f aca="false">SUMPRODUCT(ПОТОКИ!B17:G17,ЧАСОВЫЕ_ПРОФИЛИ!B18:G18,КОЭФФИЦИЕНТЫ_ВЫБОРА!F15:K15)</f>
        <v>0.529</v>
      </c>
      <c r="I3022" s="12" t="n">
        <f aca="false">SUMPRODUCT(ПОТОКИ!B17:G17,ЧАСОВЫЕ_ПРОФИЛИ!B18:G18,КОЭФФИЦИЕНТЫ_ВЫБОРА!F15:K15,ПАРАМЕТРЫ!$B$17:$G$17)</f>
        <v>0.5819</v>
      </c>
      <c r="J3022" s="12" t="n">
        <f aca="false">I3022*G3022/1000</f>
        <v>0.05819</v>
      </c>
      <c r="K3022" s="11" t="s">
        <v>217</v>
      </c>
      <c r="L3022" s="11" t="s">
        <v>19</v>
      </c>
      <c r="M3022" s="11" t="s">
        <v>147</v>
      </c>
    </row>
    <row r="3023" customFormat="false" ht="15" hidden="false" customHeight="false" outlineLevel="0" collapsed="false">
      <c r="A3023" s="11" t="s">
        <v>113</v>
      </c>
      <c r="B3023" s="11" t="s">
        <v>131</v>
      </c>
      <c r="C3023" s="11" t="n">
        <v>6</v>
      </c>
      <c r="D3023" s="11" t="s">
        <v>78</v>
      </c>
      <c r="E3023" s="11" t="s">
        <v>158</v>
      </c>
      <c r="F3023" s="11" t="s">
        <v>77</v>
      </c>
      <c r="G3023" s="12" t="n">
        <v>100</v>
      </c>
      <c r="H3023" s="12" t="n">
        <f aca="false">SUMPRODUCT(ПОТОКИ!B17:G17,ЧАСОВЫЕ_ПРОФИЛИ!B18:G18,КОЭФФИЦИЕНТЫ_ВЫБОРА!F16:K16)</f>
        <v>0.48</v>
      </c>
      <c r="I3023" s="12" t="n">
        <f aca="false">SUMPRODUCT(ПОТОКИ!B17:G17,ЧАСОВЫЕ_ПРОФИЛИ!B18:G18,КОЭФФИЦИЕНТЫ_ВЫБОРА!F16:K16,ПАРАМЕТРЫ!$B$17:$G$17)</f>
        <v>0.528</v>
      </c>
      <c r="J3023" s="12" t="n">
        <f aca="false">I3023*G3023/1000</f>
        <v>0.0528</v>
      </c>
      <c r="K3023" s="11" t="s">
        <v>217</v>
      </c>
      <c r="L3023" s="11" t="s">
        <v>19</v>
      </c>
      <c r="M3023" s="11" t="s">
        <v>147</v>
      </c>
    </row>
    <row r="3024" customFormat="false" ht="15" hidden="false" customHeight="false" outlineLevel="0" collapsed="false">
      <c r="A3024" s="11" t="s">
        <v>113</v>
      </c>
      <c r="B3024" s="11" t="s">
        <v>131</v>
      </c>
      <c r="C3024" s="11" t="n">
        <v>7</v>
      </c>
      <c r="D3024" s="11" t="s">
        <v>78</v>
      </c>
      <c r="E3024" s="11" t="s">
        <v>159</v>
      </c>
      <c r="F3024" s="11" t="s">
        <v>77</v>
      </c>
      <c r="G3024" s="12" t="n">
        <v>350</v>
      </c>
      <c r="H3024" s="12" t="n">
        <f aca="false">SUMPRODUCT(ПОТОКИ!B17:G17,ЧАСОВЫЕ_ПРОФИЛИ!B18:G18,КОЭФФИЦИЕНТЫ_ВЫБОРА!F17:K17)</f>
        <v>0.4245</v>
      </c>
      <c r="I3024" s="12" t="n">
        <f aca="false">SUMPRODUCT(ПОТОКИ!B17:G17,ЧАСОВЫЕ_ПРОФИЛИ!B18:G18,КОЭФФИЦИЕНТЫ_ВЫБОРА!F17:K17,ПАРАМЕТРЫ!$B$17:$G$17)</f>
        <v>0.46695</v>
      </c>
      <c r="J3024" s="12" t="n">
        <f aca="false">I3024*G3024/1000</f>
        <v>0.1634325</v>
      </c>
      <c r="K3024" s="11" t="s">
        <v>217</v>
      </c>
      <c r="L3024" s="11" t="s">
        <v>19</v>
      </c>
      <c r="M3024" s="11" t="s">
        <v>147</v>
      </c>
    </row>
    <row r="3025" customFormat="false" ht="15" hidden="false" customHeight="false" outlineLevel="0" collapsed="false">
      <c r="A3025" s="11" t="s">
        <v>113</v>
      </c>
      <c r="B3025" s="11" t="s">
        <v>131</v>
      </c>
      <c r="C3025" s="11" t="n">
        <v>8</v>
      </c>
      <c r="D3025" s="11" t="s">
        <v>78</v>
      </c>
      <c r="E3025" s="11" t="s">
        <v>160</v>
      </c>
      <c r="F3025" s="11" t="s">
        <v>77</v>
      </c>
      <c r="G3025" s="12" t="n">
        <v>85</v>
      </c>
      <c r="H3025" s="12" t="n">
        <f aca="false">SUMPRODUCT(ПОТОКИ!B17:G17,ЧАСОВЫЕ_ПРОФИЛИ!B18:G18,КОЭФФИЦИЕНТЫ_ВЫБОРА!F18:K18)</f>
        <v>0.2645</v>
      </c>
      <c r="I3025" s="12" t="n">
        <f aca="false">SUMPRODUCT(ПОТОКИ!B17:G17,ЧАСОВЫЕ_ПРОФИЛИ!B18:G18,КОЭФФИЦИЕНТЫ_ВЫБОРА!F18:K18,ПАРАМЕТРЫ!$B$17:$G$17)</f>
        <v>0.29095</v>
      </c>
      <c r="J3025" s="12" t="n">
        <f aca="false">I3025*G3025/1000</f>
        <v>0.02473075</v>
      </c>
      <c r="K3025" s="11" t="s">
        <v>217</v>
      </c>
      <c r="L3025" s="11" t="s">
        <v>19</v>
      </c>
      <c r="M3025" s="11" t="s">
        <v>147</v>
      </c>
    </row>
    <row r="3026" customFormat="false" ht="15" hidden="false" customHeight="false" outlineLevel="0" collapsed="false">
      <c r="A3026" s="11" t="s">
        <v>113</v>
      </c>
      <c r="B3026" s="11" t="s">
        <v>131</v>
      </c>
      <c r="C3026" s="11" t="n">
        <v>9</v>
      </c>
      <c r="D3026" s="11" t="s">
        <v>161</v>
      </c>
      <c r="E3026" s="11" t="s">
        <v>162</v>
      </c>
      <c r="F3026" s="11" t="s">
        <v>80</v>
      </c>
      <c r="G3026" s="12" t="n">
        <v>300</v>
      </c>
      <c r="H3026" s="12" t="n">
        <f aca="false">SUMPRODUCT(ПОТОКИ!B17:G17,ЧАСОВЫЕ_ПРОФИЛИ!B18:G18,КОЭФФИЦИЕНТЫ_ВЫБОРА!F19:K19)</f>
        <v>0.4125</v>
      </c>
      <c r="I3026" s="12" t="n">
        <f aca="false">SUMPRODUCT(ПОТОКИ!B17:G17,ЧАСОВЫЕ_ПРОФИЛИ!B18:G18,КОЭФФИЦИЕНТЫ_ВЫБОРА!F19:K19,ПАРАМЕТРЫ!$B$17:$G$17)</f>
        <v>0.45375</v>
      </c>
      <c r="J3026" s="12" t="n">
        <f aca="false">I3026*G3026/1000</f>
        <v>0.136125</v>
      </c>
      <c r="K3026" s="11" t="s">
        <v>217</v>
      </c>
      <c r="L3026" s="11" t="s">
        <v>19</v>
      </c>
      <c r="M3026" s="11" t="s">
        <v>145</v>
      </c>
    </row>
    <row r="3027" customFormat="false" ht="15" hidden="false" customHeight="false" outlineLevel="0" collapsed="false">
      <c r="A3027" s="11" t="s">
        <v>113</v>
      </c>
      <c r="B3027" s="11" t="s">
        <v>131</v>
      </c>
      <c r="C3027" s="11" t="n">
        <v>10</v>
      </c>
      <c r="D3027" s="11" t="s">
        <v>161</v>
      </c>
      <c r="E3027" s="11" t="s">
        <v>163</v>
      </c>
      <c r="F3027" s="11" t="s">
        <v>80</v>
      </c>
      <c r="G3027" s="12" t="n">
        <v>280</v>
      </c>
      <c r="H3027" s="12" t="n">
        <f aca="false">SUMPRODUCT(ПОТОКИ!B17:G17,ЧАСОВЫЕ_ПРОФИЛИ!B18:G18,КОЭФФИЦИЕНТЫ_ВЫБОРА!F20:K20)</f>
        <v>0.4575</v>
      </c>
      <c r="I3027" s="12" t="n">
        <f aca="false">SUMPRODUCT(ПОТОКИ!B17:G17,ЧАСОВЫЕ_ПРОФИЛИ!B18:G18,КОЭФФИЦИЕНТЫ_ВЫБОРА!F20:K20,ПАРАМЕТРЫ!$B$17:$G$17)</f>
        <v>0.50325</v>
      </c>
      <c r="J3027" s="12" t="n">
        <f aca="false">I3027*G3027/1000</f>
        <v>0.14091</v>
      </c>
      <c r="K3027" s="11" t="s">
        <v>217</v>
      </c>
      <c r="L3027" s="11" t="s">
        <v>19</v>
      </c>
      <c r="M3027" s="11" t="s">
        <v>145</v>
      </c>
    </row>
    <row r="3028" customFormat="false" ht="15" hidden="false" customHeight="false" outlineLevel="0" collapsed="false">
      <c r="A3028" s="11" t="s">
        <v>113</v>
      </c>
      <c r="B3028" s="11" t="s">
        <v>131</v>
      </c>
      <c r="C3028" s="11" t="n">
        <v>11</v>
      </c>
      <c r="D3028" s="11" t="s">
        <v>161</v>
      </c>
      <c r="E3028" s="11" t="s">
        <v>164</v>
      </c>
      <c r="F3028" s="11" t="s">
        <v>80</v>
      </c>
      <c r="G3028" s="12" t="n">
        <v>270</v>
      </c>
      <c r="H3028" s="12" t="n">
        <f aca="false">SUMPRODUCT(ПОТОКИ!B17:G17,ЧАСОВЫЕ_ПРОФИЛИ!B18:G18,КОЭФФИЦИЕНТЫ_ВЫБОРА!F21:K21)</f>
        <v>0.717</v>
      </c>
      <c r="I3028" s="12" t="n">
        <f aca="false">SUMPRODUCT(ПОТОКИ!B17:G17,ЧАСОВЫЕ_ПРОФИЛИ!B18:G18,КОЭФФИЦИЕНТЫ_ВЫБОРА!F21:K21,ПАРАМЕТРЫ!$B$17:$G$17)</f>
        <v>0.7887</v>
      </c>
      <c r="J3028" s="12" t="n">
        <f aca="false">I3028*G3028/1000</f>
        <v>0.212949</v>
      </c>
      <c r="K3028" s="11" t="s">
        <v>217</v>
      </c>
      <c r="L3028" s="11" t="s">
        <v>19</v>
      </c>
      <c r="M3028" s="11" t="s">
        <v>145</v>
      </c>
    </row>
    <row r="3029" customFormat="false" ht="15" hidden="false" customHeight="false" outlineLevel="0" collapsed="false">
      <c r="A3029" s="11" t="s">
        <v>113</v>
      </c>
      <c r="B3029" s="11" t="s">
        <v>131</v>
      </c>
      <c r="C3029" s="11" t="n">
        <v>12</v>
      </c>
      <c r="D3029" s="11" t="s">
        <v>161</v>
      </c>
      <c r="E3029" s="11" t="s">
        <v>165</v>
      </c>
      <c r="F3029" s="11" t="s">
        <v>80</v>
      </c>
      <c r="G3029" s="12" t="n">
        <v>240</v>
      </c>
      <c r="H3029" s="12" t="n">
        <f aca="false">SUMPRODUCT(ПОТОКИ!B17:G17,ЧАСОВЫЕ_ПРОФИЛИ!B18:G18,КОЭФФИЦИЕНТЫ_ВЫБОРА!F22:K22)</f>
        <v>0.333</v>
      </c>
      <c r="I3029" s="12" t="n">
        <f aca="false">SUMPRODUCT(ПОТОКИ!B17:G17,ЧАСОВЫЕ_ПРОФИЛИ!B18:G18,КОЭФФИЦИЕНТЫ_ВЫБОРА!F22:K22,ПАРАМЕТРЫ!$B$17:$G$17)</f>
        <v>0.3663</v>
      </c>
      <c r="J3029" s="12" t="n">
        <f aca="false">I3029*G3029/1000</f>
        <v>0.087912</v>
      </c>
      <c r="K3029" s="11" t="s">
        <v>217</v>
      </c>
      <c r="L3029" s="11" t="s">
        <v>19</v>
      </c>
      <c r="M3029" s="11" t="s">
        <v>145</v>
      </c>
    </row>
    <row r="3030" customFormat="false" ht="15" hidden="false" customHeight="false" outlineLevel="0" collapsed="false">
      <c r="A3030" s="11" t="s">
        <v>113</v>
      </c>
      <c r="B3030" s="11" t="s">
        <v>131</v>
      </c>
      <c r="C3030" s="11" t="n">
        <v>13</v>
      </c>
      <c r="D3030" s="11" t="s">
        <v>166</v>
      </c>
      <c r="E3030" s="11" t="s">
        <v>167</v>
      </c>
      <c r="F3030" s="11" t="s">
        <v>80</v>
      </c>
      <c r="G3030" s="12" t="n">
        <v>130</v>
      </c>
      <c r="H3030" s="12" t="n">
        <f aca="false">SUMPRODUCT(ПОТОКИ!B17:G17,ЧАСОВЫЕ_ПРОФИЛИ!B18:G18,КОЭФФИЦИЕНТЫ_ВЫБОРА!F23:K23)</f>
        <v>0.245</v>
      </c>
      <c r="I3030" s="12" t="n">
        <f aca="false">SUMPRODUCT(ПОТОКИ!B17:G17,ЧАСОВЫЕ_ПРОФИЛИ!B18:G18,КОЭФФИЦИЕНТЫ_ВЫБОРА!F23:K23,ПАРАМЕТРЫ!$B$17:$G$17)</f>
        <v>0.2695</v>
      </c>
      <c r="J3030" s="12" t="n">
        <f aca="false">I3030*G3030/1000</f>
        <v>0.035035</v>
      </c>
      <c r="K3030" s="11" t="s">
        <v>217</v>
      </c>
      <c r="L3030" s="11" t="s">
        <v>19</v>
      </c>
      <c r="M3030" s="11" t="s">
        <v>145</v>
      </c>
    </row>
    <row r="3031" customFormat="false" ht="15" hidden="false" customHeight="false" outlineLevel="0" collapsed="false">
      <c r="A3031" s="11" t="s">
        <v>113</v>
      </c>
      <c r="B3031" s="11" t="s">
        <v>131</v>
      </c>
      <c r="C3031" s="11" t="n">
        <v>14</v>
      </c>
      <c r="D3031" s="11" t="s">
        <v>166</v>
      </c>
      <c r="E3031" s="11" t="s">
        <v>168</v>
      </c>
      <c r="F3031" s="11" t="s">
        <v>80</v>
      </c>
      <c r="G3031" s="12" t="n">
        <v>250</v>
      </c>
      <c r="H3031" s="12" t="n">
        <f aca="false">SUMPRODUCT(ПОТОКИ!B17:G17,ЧАСОВЫЕ_ПРОФИЛИ!B18:G18,КОЭФФИЦИЕНТЫ_ВЫБОРА!F24:K24)</f>
        <v>0.147</v>
      </c>
      <c r="I3031" s="12" t="n">
        <f aca="false">SUMPRODUCT(ПОТОКИ!B17:G17,ЧАСОВЫЕ_ПРОФИЛИ!B18:G18,КОЭФФИЦИЕНТЫ_ВЫБОРА!F24:K24,ПАРАМЕТРЫ!$B$17:$G$17)</f>
        <v>0.1617</v>
      </c>
      <c r="J3031" s="12" t="n">
        <f aca="false">I3031*G3031/1000</f>
        <v>0.040425</v>
      </c>
      <c r="K3031" s="11" t="s">
        <v>217</v>
      </c>
      <c r="L3031" s="11" t="s">
        <v>19</v>
      </c>
      <c r="M3031" s="11" t="s">
        <v>145</v>
      </c>
    </row>
    <row r="3032" customFormat="false" ht="15" hidden="false" customHeight="false" outlineLevel="0" collapsed="false">
      <c r="A3032" s="11" t="s">
        <v>113</v>
      </c>
      <c r="B3032" s="11" t="s">
        <v>131</v>
      </c>
      <c r="C3032" s="11" t="n">
        <v>15</v>
      </c>
      <c r="D3032" s="11" t="s">
        <v>166</v>
      </c>
      <c r="E3032" s="11" t="s">
        <v>169</v>
      </c>
      <c r="F3032" s="11" t="s">
        <v>80</v>
      </c>
      <c r="G3032" s="12" t="n">
        <v>120</v>
      </c>
      <c r="H3032" s="12" t="n">
        <f aca="false">SUMPRODUCT(ПОТОКИ!B17:G17,ЧАСОВЫЕ_ПРОФИЛИ!B18:G18,КОЭФФИЦИЕНТЫ_ВЫБОРА!F25:K25)</f>
        <v>0.147</v>
      </c>
      <c r="I3032" s="12" t="n">
        <f aca="false">SUMPRODUCT(ПОТОКИ!B17:G17,ЧАСОВЫЕ_ПРОФИЛИ!B18:G18,КОЭФФИЦИЕНТЫ_ВЫБОРА!F25:K25,ПАРАМЕТРЫ!$B$17:$G$17)</f>
        <v>0.1617</v>
      </c>
      <c r="J3032" s="12" t="n">
        <f aca="false">I3032*G3032/1000</f>
        <v>0.019404</v>
      </c>
      <c r="K3032" s="11" t="s">
        <v>217</v>
      </c>
      <c r="L3032" s="11" t="s">
        <v>19</v>
      </c>
      <c r="M3032" s="11" t="s">
        <v>145</v>
      </c>
    </row>
    <row r="3033" customFormat="false" ht="15" hidden="false" customHeight="false" outlineLevel="0" collapsed="false">
      <c r="A3033" s="11" t="s">
        <v>113</v>
      </c>
      <c r="B3033" s="11" t="s">
        <v>131</v>
      </c>
      <c r="C3033" s="11" t="n">
        <v>16</v>
      </c>
      <c r="D3033" s="11" t="s">
        <v>166</v>
      </c>
      <c r="E3033" s="11" t="s">
        <v>170</v>
      </c>
      <c r="F3033" s="11" t="s">
        <v>80</v>
      </c>
      <c r="G3033" s="12" t="n">
        <v>180</v>
      </c>
      <c r="H3033" s="12" t="n">
        <f aca="false">SUMPRODUCT(ПОТОКИ!B17:G17,ЧАСОВЫЕ_ПРОФИЛИ!B18:G18,КОЭФФИЦИЕНТЫ_ВЫБОРА!F26:K26)</f>
        <v>0.196</v>
      </c>
      <c r="I3033" s="12" t="n">
        <f aca="false">SUMPRODUCT(ПОТОКИ!B17:G17,ЧАСОВЫЕ_ПРОФИЛИ!B18:G18,КОЭФФИЦИЕНТЫ_ВЫБОРА!F26:K26,ПАРАМЕТРЫ!$B$17:$G$17)</f>
        <v>0.2156</v>
      </c>
      <c r="J3033" s="12" t="n">
        <f aca="false">I3033*G3033/1000</f>
        <v>0.038808</v>
      </c>
      <c r="K3033" s="11" t="s">
        <v>217</v>
      </c>
      <c r="L3033" s="11" t="s">
        <v>19</v>
      </c>
      <c r="M3033" s="11" t="s">
        <v>145</v>
      </c>
    </row>
    <row r="3034" customFormat="false" ht="15" hidden="false" customHeight="false" outlineLevel="0" collapsed="false">
      <c r="A3034" s="11" t="s">
        <v>113</v>
      </c>
      <c r="B3034" s="11" t="s">
        <v>131</v>
      </c>
      <c r="C3034" s="11" t="n">
        <v>17</v>
      </c>
      <c r="D3034" s="11" t="s">
        <v>166</v>
      </c>
      <c r="E3034" s="11" t="s">
        <v>171</v>
      </c>
      <c r="F3034" s="11" t="s">
        <v>80</v>
      </c>
      <c r="G3034" s="12" t="n">
        <v>180</v>
      </c>
      <c r="H3034" s="12" t="n">
        <f aca="false">SUMPRODUCT(ПОТОКИ!B17:G17,ЧАСОВЫЕ_ПРОФИЛИ!B18:G18,КОЭФФИЦИЕНТЫ_ВЫБОРА!F27:K27)</f>
        <v>0.245</v>
      </c>
      <c r="I3034" s="12" t="n">
        <f aca="false">SUMPRODUCT(ПОТОКИ!B17:G17,ЧАСОВЫЕ_ПРОФИЛИ!B18:G18,КОЭФФИЦИЕНТЫ_ВЫБОРА!F27:K27,ПАРАМЕТРЫ!$B$17:$G$17)</f>
        <v>0.2695</v>
      </c>
      <c r="J3034" s="12" t="n">
        <f aca="false">I3034*G3034/1000</f>
        <v>0.04851</v>
      </c>
      <c r="K3034" s="11" t="s">
        <v>217</v>
      </c>
      <c r="L3034" s="11" t="s">
        <v>19</v>
      </c>
      <c r="M3034" s="11" t="s">
        <v>145</v>
      </c>
    </row>
    <row r="3035" customFormat="false" ht="15" hidden="false" customHeight="false" outlineLevel="0" collapsed="false">
      <c r="A3035" s="11" t="s">
        <v>113</v>
      </c>
      <c r="B3035" s="11" t="s">
        <v>131</v>
      </c>
      <c r="C3035" s="11" t="n">
        <v>18</v>
      </c>
      <c r="D3035" s="11" t="s">
        <v>172</v>
      </c>
      <c r="E3035" s="11" t="s">
        <v>173</v>
      </c>
      <c r="F3035" s="11" t="s">
        <v>83</v>
      </c>
      <c r="G3035" s="12" t="n">
        <v>400</v>
      </c>
      <c r="H3035" s="12" t="n">
        <f aca="false">SUMPRODUCT(ПОТОКИ!B17:G17,ЧАСОВЫЕ_ПРОФИЛИ!B18:G18,КОЭФФИЦИЕНТЫ_ВЫБОРА!F28:K28)</f>
        <v>0.49</v>
      </c>
      <c r="I3035" s="12" t="n">
        <f aca="false">SUMPRODUCT(ПОТОКИ!B17:G17,ЧАСОВЫЕ_ПРОФИЛИ!B18:G18,КОЭФФИЦИЕНТЫ_ВЫБОРА!F28:K28,ПАРАМЕТРЫ!$B$17:$G$17)</f>
        <v>0.539</v>
      </c>
      <c r="J3035" s="12" t="n">
        <f aca="false">I3035*G3035/1000</f>
        <v>0.2156</v>
      </c>
      <c r="K3035" s="11" t="s">
        <v>217</v>
      </c>
      <c r="L3035" s="11" t="s">
        <v>19</v>
      </c>
      <c r="M3035" s="11" t="s">
        <v>145</v>
      </c>
    </row>
    <row r="3036" customFormat="false" ht="23.85" hidden="false" customHeight="false" outlineLevel="0" collapsed="false">
      <c r="A3036" s="11" t="s">
        <v>113</v>
      </c>
      <c r="B3036" s="11" t="s">
        <v>131</v>
      </c>
      <c r="C3036" s="11" t="n">
        <v>19</v>
      </c>
      <c r="D3036" s="11" t="s">
        <v>174</v>
      </c>
      <c r="E3036" s="11" t="s">
        <v>175</v>
      </c>
      <c r="F3036" s="11" t="s">
        <v>83</v>
      </c>
      <c r="G3036" s="12" t="n">
        <v>300</v>
      </c>
      <c r="H3036" s="12" t="n">
        <f aca="false">SUMPRODUCT(ПОТОКИ!B17:G17,ЧАСОВЫЕ_ПРОФИЛИ!B18:G18,КОЭФФИЦИЕНТЫ_ВЫБОРА!F29:K29)</f>
        <v>1.03625</v>
      </c>
      <c r="I3036" s="12" t="n">
        <f aca="false">SUMPRODUCT(ПОТОКИ!B17:G17,ЧАСОВЫЕ_ПРОФИЛИ!B18:G18,КОЭФФИЦИЕНТЫ_ВЫБОРА!F29:K29,ПАРАМЕТРЫ!$B$17:$G$17)</f>
        <v>1.139875</v>
      </c>
      <c r="J3036" s="12" t="n">
        <f aca="false">I3036*G3036/1000</f>
        <v>0.3419625</v>
      </c>
      <c r="K3036" s="11" t="s">
        <v>217</v>
      </c>
      <c r="L3036" s="11" t="s">
        <v>19</v>
      </c>
      <c r="M3036" s="11" t="s">
        <v>145</v>
      </c>
    </row>
    <row r="3037" customFormat="false" ht="15" hidden="false" customHeight="false" outlineLevel="0" collapsed="false">
      <c r="A3037" s="11" t="s">
        <v>113</v>
      </c>
      <c r="B3037" s="11" t="s">
        <v>131</v>
      </c>
      <c r="C3037" s="11" t="n">
        <v>20</v>
      </c>
      <c r="D3037" s="11" t="s">
        <v>174</v>
      </c>
      <c r="E3037" s="11" t="s">
        <v>176</v>
      </c>
      <c r="F3037" s="11" t="s">
        <v>83</v>
      </c>
      <c r="G3037" s="12" t="n">
        <v>360</v>
      </c>
      <c r="H3037" s="12" t="n">
        <f aca="false">SUMPRODUCT(ПОТОКИ!B17:G17,ЧАСОВЫЕ_ПРОФИЛИ!B18:G18,КОЭФФИЦИЕНТЫ_ВЫБОРА!F30:K30)</f>
        <v>0.937</v>
      </c>
      <c r="I3037" s="12" t="n">
        <f aca="false">SUMPRODUCT(ПОТОКИ!B17:G17,ЧАСОВЫЕ_ПРОФИЛИ!B18:G18,КОЭФФИЦИЕНТЫ_ВЫБОРА!F30:K30,ПАРАМЕТРЫ!$B$17:$G$17)</f>
        <v>1.0307</v>
      </c>
      <c r="J3037" s="12" t="n">
        <f aca="false">I3037*G3037/1000</f>
        <v>0.371052</v>
      </c>
      <c r="K3037" s="11" t="s">
        <v>217</v>
      </c>
      <c r="L3037" s="11" t="s">
        <v>19</v>
      </c>
      <c r="M3037" s="11" t="s">
        <v>145</v>
      </c>
    </row>
    <row r="3038" customFormat="false" ht="15" hidden="false" customHeight="false" outlineLevel="0" collapsed="false">
      <c r="A3038" s="11" t="s">
        <v>113</v>
      </c>
      <c r="B3038" s="11" t="s">
        <v>131</v>
      </c>
      <c r="C3038" s="11" t="n">
        <v>21</v>
      </c>
      <c r="D3038" s="11" t="s">
        <v>174</v>
      </c>
      <c r="E3038" s="11" t="s">
        <v>177</v>
      </c>
      <c r="F3038" s="11" t="s">
        <v>83</v>
      </c>
      <c r="G3038" s="12" t="n">
        <v>350</v>
      </c>
      <c r="H3038" s="12" t="n">
        <f aca="false">SUMPRODUCT(ПОТОКИ!B17:G17,ЧАСОВЫЕ_ПРОФИЛИ!B18:G18,КОЭФФИЦИЕНТЫ_ВЫБОРА!F31:K31)</f>
        <v>1.4355</v>
      </c>
      <c r="I3038" s="12" t="n">
        <f aca="false">SUMPRODUCT(ПОТОКИ!B17:G17,ЧАСОВЫЕ_ПРОФИЛИ!B18:G18,КОЭФФИЦИЕНТЫ_ВЫБОРА!F31:K31,ПАРАМЕТРЫ!$B$17:$G$17)</f>
        <v>1.57905</v>
      </c>
      <c r="J3038" s="12" t="n">
        <f aca="false">I3038*G3038/1000</f>
        <v>0.5526675</v>
      </c>
      <c r="K3038" s="11" t="s">
        <v>217</v>
      </c>
      <c r="L3038" s="11" t="s">
        <v>19</v>
      </c>
      <c r="M3038" s="11" t="s">
        <v>145</v>
      </c>
    </row>
    <row r="3039" customFormat="false" ht="15" hidden="false" customHeight="false" outlineLevel="0" collapsed="false">
      <c r="A3039" s="11" t="s">
        <v>113</v>
      </c>
      <c r="B3039" s="11" t="s">
        <v>131</v>
      </c>
      <c r="C3039" s="11" t="n">
        <v>22</v>
      </c>
      <c r="D3039" s="11" t="s">
        <v>174</v>
      </c>
      <c r="E3039" s="11" t="s">
        <v>178</v>
      </c>
      <c r="F3039" s="11" t="s">
        <v>83</v>
      </c>
      <c r="G3039" s="12" t="n">
        <v>300</v>
      </c>
      <c r="H3039" s="12" t="n">
        <f aca="false">SUMPRODUCT(ПОТОКИ!B17:G17,ЧАСОВЫЕ_ПРОФИЛИ!B18:G18,КОЭФФИЦИЕНТЫ_ВЫБОРА!F32:K32)</f>
        <v>0.97625</v>
      </c>
      <c r="I3039" s="12" t="n">
        <f aca="false">SUMPRODUCT(ПОТОКИ!B17:G17,ЧАСОВЫЕ_ПРОФИЛИ!B18:G18,КОЭФФИЦИЕНТЫ_ВЫБОРА!F32:K32,ПАРАМЕТРЫ!$B$17:$G$17)</f>
        <v>1.073875</v>
      </c>
      <c r="J3039" s="12" t="n">
        <f aca="false">I3039*G3039/1000</f>
        <v>0.3221625</v>
      </c>
      <c r="K3039" s="11" t="s">
        <v>217</v>
      </c>
      <c r="L3039" s="11" t="s">
        <v>19</v>
      </c>
      <c r="M3039" s="11" t="s">
        <v>145</v>
      </c>
    </row>
    <row r="3040" customFormat="false" ht="15" hidden="false" customHeight="false" outlineLevel="0" collapsed="false">
      <c r="A3040" s="11" t="s">
        <v>113</v>
      </c>
      <c r="B3040" s="11" t="s">
        <v>131</v>
      </c>
      <c r="C3040" s="11" t="n">
        <v>23</v>
      </c>
      <c r="D3040" s="11" t="s">
        <v>86</v>
      </c>
      <c r="E3040" s="11" t="s">
        <v>179</v>
      </c>
      <c r="F3040" s="11" t="s">
        <v>85</v>
      </c>
      <c r="G3040" s="12" t="n">
        <v>150</v>
      </c>
      <c r="H3040" s="12" t="n">
        <f aca="false">SUMPRODUCT(ПОТОКИ!B17:G17,ЧАСОВЫЕ_ПРОФИЛИ!B18:G18,КОЭФФИЦИЕНТЫ_ВЫБОРА!F33:K33)</f>
        <v>0.76783</v>
      </c>
      <c r="I3040" s="12" t="n">
        <f aca="false">SUMPRODUCT(ПОТОКИ!B17:G17,ЧАСОВЫЕ_ПРОФИЛИ!B18:G18,КОЭФФИЦИЕНТЫ_ВЫБОРА!F33:K33,ПАРАМЕТРЫ!$B$17:$G$17)</f>
        <v>0.844613</v>
      </c>
      <c r="J3040" s="12" t="n">
        <f aca="false">I3040*G3040/1000</f>
        <v>0.12669195</v>
      </c>
      <c r="K3040" s="11" t="s">
        <v>217</v>
      </c>
      <c r="L3040" s="11" t="s">
        <v>19</v>
      </c>
      <c r="M3040" s="11" t="s">
        <v>147</v>
      </c>
    </row>
    <row r="3041" customFormat="false" ht="15" hidden="false" customHeight="false" outlineLevel="0" collapsed="false">
      <c r="A3041" s="11" t="s">
        <v>113</v>
      </c>
      <c r="B3041" s="11" t="s">
        <v>131</v>
      </c>
      <c r="C3041" s="11" t="n">
        <v>24</v>
      </c>
      <c r="D3041" s="11" t="s">
        <v>86</v>
      </c>
      <c r="E3041" s="11" t="s">
        <v>180</v>
      </c>
      <c r="F3041" s="11" t="s">
        <v>85</v>
      </c>
      <c r="G3041" s="12" t="n">
        <v>150</v>
      </c>
      <c r="H3041" s="12" t="n">
        <f aca="false">SUMPRODUCT(ПОТОКИ!B17:G17,ЧАСОВЫЕ_ПРОФИЛИ!B18:G18,КОЭФФИЦИЕНТЫ_ВЫБОРА!F34:K34)</f>
        <v>0.383915</v>
      </c>
      <c r="I3041" s="12" t="n">
        <f aca="false">SUMPRODUCT(ПОТОКИ!B17:G17,ЧАСОВЫЕ_ПРОФИЛИ!B18:G18,КОЭФФИЦИЕНТЫ_ВЫБОРА!F34:K34,ПАРАМЕТРЫ!$B$17:$G$17)</f>
        <v>0.4223065</v>
      </c>
      <c r="J3041" s="12" t="n">
        <f aca="false">I3041*G3041/1000</f>
        <v>0.063345975</v>
      </c>
      <c r="K3041" s="11" t="s">
        <v>217</v>
      </c>
      <c r="L3041" s="11" t="s">
        <v>19</v>
      </c>
      <c r="M3041" s="11" t="s">
        <v>147</v>
      </c>
    </row>
    <row r="3042" customFormat="false" ht="15" hidden="false" customHeight="false" outlineLevel="0" collapsed="false">
      <c r="A3042" s="11" t="s">
        <v>113</v>
      </c>
      <c r="B3042" s="11" t="s">
        <v>131</v>
      </c>
      <c r="C3042" s="11" t="n">
        <v>25</v>
      </c>
      <c r="D3042" s="11" t="s">
        <v>86</v>
      </c>
      <c r="E3042" s="11" t="s">
        <v>181</v>
      </c>
      <c r="F3042" s="11" t="s">
        <v>85</v>
      </c>
      <c r="G3042" s="12" t="n">
        <v>150</v>
      </c>
      <c r="H3042" s="12" t="n">
        <f aca="false">SUMPRODUCT(ПОТОКИ!B17:G17,ЧАСОВЫЕ_ПРОФИЛИ!B18:G18,КОЭФФИЦИЕНТЫ_ВЫБОРА!F35:K35)</f>
        <v>0.76783</v>
      </c>
      <c r="I3042" s="12" t="n">
        <f aca="false">SUMPRODUCT(ПОТОКИ!B17:G17,ЧАСОВЫЕ_ПРОФИЛИ!B18:G18,КОЭФФИЦИЕНТЫ_ВЫБОРА!F35:K35,ПАРАМЕТРЫ!$B$17:$G$17)</f>
        <v>0.844613</v>
      </c>
      <c r="J3042" s="12" t="n">
        <f aca="false">I3042*G3042/1000</f>
        <v>0.12669195</v>
      </c>
      <c r="K3042" s="11" t="s">
        <v>217</v>
      </c>
      <c r="L3042" s="11" t="s">
        <v>19</v>
      </c>
      <c r="M3042" s="11" t="s">
        <v>147</v>
      </c>
    </row>
    <row r="3043" customFormat="false" ht="23.85" hidden="false" customHeight="false" outlineLevel="0" collapsed="false">
      <c r="A3043" s="11" t="s">
        <v>113</v>
      </c>
      <c r="B3043" s="11" t="s">
        <v>131</v>
      </c>
      <c r="C3043" s="11" t="n">
        <v>26</v>
      </c>
      <c r="D3043" s="11" t="s">
        <v>89</v>
      </c>
      <c r="E3043" s="11" t="s">
        <v>182</v>
      </c>
      <c r="F3043" s="11" t="s">
        <v>88</v>
      </c>
      <c r="G3043" s="12" t="n">
        <v>225</v>
      </c>
      <c r="H3043" s="12" t="n">
        <f aca="false">SUMPRODUCT(ПОТОКИ!B17:G17,ЧАСОВЫЕ_ПРОФИЛИ!B18:G18,КОЭФФИЦИЕНТЫ_ВЫБОРА!F36:K36)</f>
        <v>0</v>
      </c>
      <c r="I3043" s="12" t="n">
        <f aca="false">SUMPRODUCT(ПОТОКИ!B17:G17,ЧАСОВЫЕ_ПРОФИЛИ!B18:G18,КОЭФФИЦИЕНТЫ_ВЫБОРА!F36:K36,ПАРАМЕТРЫ!$B$17:$G$17)</f>
        <v>0</v>
      </c>
      <c r="J3043" s="12" t="n">
        <f aca="false">I3043*G3043/1000</f>
        <v>0</v>
      </c>
      <c r="K3043" s="11" t="s">
        <v>217</v>
      </c>
      <c r="L3043" s="11" t="s">
        <v>19</v>
      </c>
      <c r="M3043" s="11" t="s">
        <v>145</v>
      </c>
    </row>
    <row r="3044" customFormat="false" ht="23.85" hidden="false" customHeight="false" outlineLevel="0" collapsed="false">
      <c r="A3044" s="11" t="s">
        <v>113</v>
      </c>
      <c r="B3044" s="11" t="s">
        <v>131</v>
      </c>
      <c r="C3044" s="11" t="n">
        <v>27</v>
      </c>
      <c r="D3044" s="11" t="s">
        <v>89</v>
      </c>
      <c r="E3044" s="11" t="s">
        <v>183</v>
      </c>
      <c r="F3044" s="11" t="s">
        <v>88</v>
      </c>
      <c r="G3044" s="12" t="n">
        <v>265</v>
      </c>
      <c r="H3044" s="12" t="n">
        <f aca="false">SUMPRODUCT(ПОТОКИ!B17:G17,ЧАСОВЫЕ_ПРОФИЛИ!B18:G18,КОЭФФИЦИЕНТЫ_ВЫБОРА!F37:K37)</f>
        <v>0</v>
      </c>
      <c r="I3044" s="12" t="n">
        <f aca="false">SUMPRODUCT(ПОТОКИ!B17:G17,ЧАСОВЫЕ_ПРОФИЛИ!B18:G18,КОЭФФИЦИЕНТЫ_ВЫБОРА!F37:K37,ПАРАМЕТРЫ!$B$17:$G$17)</f>
        <v>0</v>
      </c>
      <c r="J3044" s="12" t="n">
        <f aca="false">I3044*G3044/1000</f>
        <v>0</v>
      </c>
      <c r="K3044" s="11" t="s">
        <v>217</v>
      </c>
      <c r="L3044" s="11" t="s">
        <v>19</v>
      </c>
      <c r="M3044" s="11" t="s">
        <v>145</v>
      </c>
    </row>
    <row r="3045" customFormat="false" ht="23.85" hidden="false" customHeight="false" outlineLevel="0" collapsed="false">
      <c r="A3045" s="11" t="s">
        <v>113</v>
      </c>
      <c r="B3045" s="11" t="s">
        <v>131</v>
      </c>
      <c r="C3045" s="11" t="n">
        <v>28</v>
      </c>
      <c r="D3045" s="11" t="s">
        <v>89</v>
      </c>
      <c r="E3045" s="11" t="s">
        <v>184</v>
      </c>
      <c r="F3045" s="11" t="s">
        <v>88</v>
      </c>
      <c r="G3045" s="12" t="n">
        <v>355</v>
      </c>
      <c r="H3045" s="12" t="n">
        <f aca="false">SUMPRODUCT(ПОТОКИ!B17:G17,ЧАСОВЫЕ_ПРОФИЛИ!B18:G18,КОЭФФИЦИЕНТЫ_ВЫБОРА!F38:K38)</f>
        <v>0</v>
      </c>
      <c r="I3045" s="12" t="n">
        <f aca="false">SUMPRODUCT(ПОТОКИ!B17:G17,ЧАСОВЫЕ_ПРОФИЛИ!B18:G18,КОЭФФИЦИЕНТЫ_ВЫБОРА!F38:K38,ПАРАМЕТРЫ!$B$17:$G$17)</f>
        <v>0</v>
      </c>
      <c r="J3045" s="12" t="n">
        <f aca="false">I3045*G3045/1000</f>
        <v>0</v>
      </c>
      <c r="K3045" s="11" t="s">
        <v>217</v>
      </c>
      <c r="L3045" s="11" t="s">
        <v>19</v>
      </c>
      <c r="M3045" s="11" t="s">
        <v>145</v>
      </c>
    </row>
    <row r="3046" customFormat="false" ht="15" hidden="false" customHeight="false" outlineLevel="0" collapsed="false">
      <c r="A3046" s="11" t="s">
        <v>113</v>
      </c>
      <c r="B3046" s="11" t="s">
        <v>131</v>
      </c>
      <c r="C3046" s="11" t="n">
        <v>29</v>
      </c>
      <c r="D3046" s="11" t="s">
        <v>92</v>
      </c>
      <c r="E3046" s="11" t="s">
        <v>185</v>
      </c>
      <c r="F3046" s="11" t="s">
        <v>91</v>
      </c>
      <c r="G3046" s="12" t="n">
        <v>150</v>
      </c>
      <c r="H3046" s="12" t="n">
        <f aca="false">SUMPRODUCT(ПОТОКИ!B17:G17,ЧАСОВЫЕ_ПРОФИЛИ!B18:G18,КОЭФФИЦИЕНТЫ_ВЫБОРА!F39:K39)</f>
        <v>0.438</v>
      </c>
      <c r="I3046" s="12" t="n">
        <f aca="false">SUMPRODUCT(ПОТОКИ!B17:G17,ЧАСОВЫЕ_ПРОФИЛИ!B18:G18,КОЭФФИЦИЕНТЫ_ВЫБОРА!F39:K39,ПАРАМЕТРЫ!$B$17:$G$17)</f>
        <v>0.4818</v>
      </c>
      <c r="J3046" s="12" t="n">
        <f aca="false">I3046*G3046/1000</f>
        <v>0.07227</v>
      </c>
      <c r="K3046" s="11" t="s">
        <v>217</v>
      </c>
      <c r="L3046" s="11" t="s">
        <v>19</v>
      </c>
      <c r="M3046" s="11" t="s">
        <v>145</v>
      </c>
    </row>
    <row r="3047" customFormat="false" ht="15" hidden="false" customHeight="false" outlineLevel="0" collapsed="false">
      <c r="A3047" s="11" t="s">
        <v>113</v>
      </c>
      <c r="B3047" s="11" t="s">
        <v>131</v>
      </c>
      <c r="C3047" s="11" t="n">
        <v>30</v>
      </c>
      <c r="D3047" s="11" t="s">
        <v>92</v>
      </c>
      <c r="E3047" s="11" t="s">
        <v>186</v>
      </c>
      <c r="F3047" s="11" t="s">
        <v>91</v>
      </c>
      <c r="G3047" s="12" t="n">
        <v>120</v>
      </c>
      <c r="H3047" s="12" t="n">
        <f aca="false">SUMPRODUCT(ПОТОКИ!B17:G17,ЧАСОВЫЕ_ПРОФИЛИ!B18:G18,КОЭФФИЦИЕНТЫ_ВЫБОРА!F40:K40)</f>
        <v>0.438</v>
      </c>
      <c r="I3047" s="12" t="n">
        <f aca="false">SUMPRODUCT(ПОТОКИ!B17:G17,ЧАСОВЫЕ_ПРОФИЛИ!B18:G18,КОЭФФИЦИЕНТЫ_ВЫБОРА!F40:K40,ПАРАМЕТРЫ!$B$17:$G$17)</f>
        <v>0.4818</v>
      </c>
      <c r="J3047" s="12" t="n">
        <f aca="false">I3047*G3047/1000</f>
        <v>0.057816</v>
      </c>
      <c r="K3047" s="11" t="s">
        <v>217</v>
      </c>
      <c r="L3047" s="11" t="s">
        <v>19</v>
      </c>
      <c r="M3047" s="11" t="s">
        <v>145</v>
      </c>
    </row>
    <row r="3048" customFormat="false" ht="15" hidden="false" customHeight="false" outlineLevel="0" collapsed="false">
      <c r="A3048" s="11" t="s">
        <v>113</v>
      </c>
      <c r="B3048" s="11" t="s">
        <v>131</v>
      </c>
      <c r="C3048" s="11" t="n">
        <v>31</v>
      </c>
      <c r="D3048" s="11" t="s">
        <v>92</v>
      </c>
      <c r="E3048" s="11" t="s">
        <v>187</v>
      </c>
      <c r="F3048" s="11" t="s">
        <v>91</v>
      </c>
      <c r="G3048" s="12" t="n">
        <v>60</v>
      </c>
      <c r="H3048" s="12" t="n">
        <f aca="false">SUMPRODUCT(ПОТОКИ!B17:G17,ЧАСОВЫЕ_ПРОФИЛИ!B18:G18,КОЭФФИЦИЕНТЫ_ВЫБОРА!F41:K41)</f>
        <v>0.339</v>
      </c>
      <c r="I3048" s="12" t="n">
        <f aca="false">SUMPRODUCT(ПОТОКИ!B17:G17,ЧАСОВЫЕ_ПРОФИЛИ!B18:G18,КОЭФФИЦИЕНТЫ_ВЫБОРА!F41:K41,ПАРАМЕТРЫ!$B$17:$G$17)</f>
        <v>0.3729</v>
      </c>
      <c r="J3048" s="12" t="n">
        <f aca="false">I3048*G3048/1000</f>
        <v>0.022374</v>
      </c>
      <c r="K3048" s="11" t="s">
        <v>217</v>
      </c>
      <c r="L3048" s="11" t="s">
        <v>19</v>
      </c>
      <c r="M3048" s="11" t="s">
        <v>145</v>
      </c>
    </row>
    <row r="3049" customFormat="false" ht="15" hidden="false" customHeight="false" outlineLevel="0" collapsed="false">
      <c r="A3049" s="11" t="s">
        <v>113</v>
      </c>
      <c r="B3049" s="11" t="s">
        <v>132</v>
      </c>
      <c r="C3049" s="11" t="n">
        <v>1</v>
      </c>
      <c r="D3049" s="11" t="s">
        <v>74</v>
      </c>
      <c r="E3049" s="11" t="s">
        <v>153</v>
      </c>
      <c r="F3049" s="11" t="s">
        <v>73</v>
      </c>
      <c r="G3049" s="12" t="n">
        <v>450</v>
      </c>
      <c r="H3049" s="12" t="n">
        <f aca="false">SUMPRODUCT(ПОТОКИ!B17:G17,ЧАСОВЫЕ_ПРОФИЛИ!B19:G19,КОЭФФИЦИЕНТЫ_ВЫБОРА!F11:K11)</f>
        <v>0.192</v>
      </c>
      <c r="I3049" s="12" t="n">
        <f aca="false">SUMPRODUCT(ПОТОКИ!B17:G17,ЧАСОВЫЕ_ПРОФИЛИ!B19:G19,КОЭФФИЦИЕНТЫ_ВЫБОРА!F11:K11,ПАРАМЕТРЫ!$B$17:$G$17)</f>
        <v>0.2112</v>
      </c>
      <c r="J3049" s="12" t="n">
        <f aca="false">I3049*G3049/1000</f>
        <v>0.09504</v>
      </c>
      <c r="K3049" s="11" t="s">
        <v>217</v>
      </c>
      <c r="L3049" s="11" t="s">
        <v>19</v>
      </c>
      <c r="M3049" s="11" t="s">
        <v>145</v>
      </c>
    </row>
    <row r="3050" customFormat="false" ht="15" hidden="false" customHeight="false" outlineLevel="0" collapsed="false">
      <c r="A3050" s="11" t="s">
        <v>113</v>
      </c>
      <c r="B3050" s="11" t="s">
        <v>132</v>
      </c>
      <c r="C3050" s="11" t="n">
        <v>2</v>
      </c>
      <c r="D3050" s="11" t="s">
        <v>74</v>
      </c>
      <c r="E3050" s="11" t="s">
        <v>154</v>
      </c>
      <c r="F3050" s="11" t="s">
        <v>73</v>
      </c>
      <c r="G3050" s="12" t="n">
        <v>480</v>
      </c>
      <c r="H3050" s="12" t="n">
        <f aca="false">SUMPRODUCT(ПОТОКИ!B17:G17,ЧАСОВЫЕ_ПРОФИЛИ!B19:G19,КОЭФФИЦИЕНТЫ_ВЫБОРА!F12:K12)</f>
        <v>0.328</v>
      </c>
      <c r="I3050" s="12" t="n">
        <f aca="false">SUMPRODUCT(ПОТОКИ!B17:G17,ЧАСОВЫЕ_ПРОФИЛИ!B19:G19,КОЭФФИЦИЕНТЫ_ВЫБОРА!F12:K12,ПАРАМЕТРЫ!$B$17:$G$17)</f>
        <v>0.3608</v>
      </c>
      <c r="J3050" s="12" t="n">
        <f aca="false">I3050*G3050/1000</f>
        <v>0.173184</v>
      </c>
      <c r="K3050" s="11" t="s">
        <v>217</v>
      </c>
      <c r="L3050" s="11" t="s">
        <v>19</v>
      </c>
      <c r="M3050" s="11" t="s">
        <v>145</v>
      </c>
    </row>
    <row r="3051" customFormat="false" ht="15" hidden="false" customHeight="false" outlineLevel="0" collapsed="false">
      <c r="A3051" s="11" t="s">
        <v>113</v>
      </c>
      <c r="B3051" s="11" t="s">
        <v>132</v>
      </c>
      <c r="C3051" s="11" t="n">
        <v>3</v>
      </c>
      <c r="D3051" s="11" t="s">
        <v>74</v>
      </c>
      <c r="E3051" s="11" t="s">
        <v>155</v>
      </c>
      <c r="F3051" s="11" t="s">
        <v>73</v>
      </c>
      <c r="G3051" s="12" t="n">
        <v>500</v>
      </c>
      <c r="H3051" s="12" t="n">
        <f aca="false">SUMPRODUCT(ПОТОКИ!B17:G17,ЧАСОВЫЕ_ПРОФИЛИ!B19:G19,КОЭФФИЦИЕНТЫ_ВЫБОРА!F13:K13)</f>
        <v>0.492</v>
      </c>
      <c r="I3051" s="12" t="n">
        <f aca="false">SUMPRODUCT(ПОТОКИ!B17:G17,ЧАСОВЫЕ_ПРОФИЛИ!B19:G19,КОЭФФИЦИЕНТЫ_ВЫБОРА!F13:K13,ПАРАМЕТРЫ!$B$17:$G$17)</f>
        <v>0.5412</v>
      </c>
      <c r="J3051" s="12" t="n">
        <f aca="false">I3051*G3051/1000</f>
        <v>0.2706</v>
      </c>
      <c r="K3051" s="11" t="s">
        <v>217</v>
      </c>
      <c r="L3051" s="11" t="s">
        <v>19</v>
      </c>
      <c r="M3051" s="11" t="s">
        <v>145</v>
      </c>
    </row>
    <row r="3052" customFormat="false" ht="15" hidden="false" customHeight="false" outlineLevel="0" collapsed="false">
      <c r="A3052" s="11" t="s">
        <v>113</v>
      </c>
      <c r="B3052" s="11" t="s">
        <v>132</v>
      </c>
      <c r="C3052" s="11" t="n">
        <v>4</v>
      </c>
      <c r="D3052" s="11" t="s">
        <v>74</v>
      </c>
      <c r="E3052" s="11" t="s">
        <v>156</v>
      </c>
      <c r="F3052" s="11" t="s">
        <v>73</v>
      </c>
      <c r="G3052" s="12" t="n">
        <v>500</v>
      </c>
      <c r="H3052" s="12" t="n">
        <f aca="false">SUMPRODUCT(ПОТОКИ!B17:G17,ЧАСОВЫЕ_ПРОФИЛИ!B19:G19,КОЭФФИЦИЕНТЫ_ВЫБОРА!F14:K14)</f>
        <v>0.628</v>
      </c>
      <c r="I3052" s="12" t="n">
        <f aca="false">SUMPRODUCT(ПОТОКИ!B17:G17,ЧАСОВЫЕ_ПРОФИЛИ!B19:G19,КОЭФФИЦИЕНТЫ_ВЫБОРА!F14:K14,ПАРАМЕТРЫ!$B$17:$G$17)</f>
        <v>0.6908</v>
      </c>
      <c r="J3052" s="12" t="n">
        <f aca="false">I3052*G3052/1000</f>
        <v>0.3454</v>
      </c>
      <c r="K3052" s="11" t="s">
        <v>217</v>
      </c>
      <c r="L3052" s="11" t="s">
        <v>19</v>
      </c>
      <c r="M3052" s="11" t="s">
        <v>145</v>
      </c>
    </row>
    <row r="3053" customFormat="false" ht="15" hidden="false" customHeight="false" outlineLevel="0" collapsed="false">
      <c r="A3053" s="11" t="s">
        <v>113</v>
      </c>
      <c r="B3053" s="11" t="s">
        <v>132</v>
      </c>
      <c r="C3053" s="11" t="n">
        <v>5</v>
      </c>
      <c r="D3053" s="11" t="s">
        <v>78</v>
      </c>
      <c r="E3053" s="11" t="s">
        <v>157</v>
      </c>
      <c r="F3053" s="11" t="s">
        <v>77</v>
      </c>
      <c r="G3053" s="12" t="n">
        <v>100</v>
      </c>
      <c r="H3053" s="12" t="n">
        <f aca="false">SUMPRODUCT(ПОТОКИ!B17:G17,ЧАСОВЫЕ_ПРОФИЛИ!B19:G19,КОЭФФИЦИЕНТЫ_ВЫБОРА!F15:K15)</f>
        <v>0.472</v>
      </c>
      <c r="I3053" s="12" t="n">
        <f aca="false">SUMPRODUCT(ПОТОКИ!B17:G17,ЧАСОВЫЕ_ПРОФИЛИ!B19:G19,КОЭФФИЦИЕНТЫ_ВЫБОРА!F15:K15,ПАРАМЕТРЫ!$B$17:$G$17)</f>
        <v>0.5192</v>
      </c>
      <c r="J3053" s="12" t="n">
        <f aca="false">I3053*G3053/1000</f>
        <v>0.05192</v>
      </c>
      <c r="K3053" s="11" t="s">
        <v>217</v>
      </c>
      <c r="L3053" s="11" t="s">
        <v>19</v>
      </c>
      <c r="M3053" s="11" t="s">
        <v>147</v>
      </c>
    </row>
    <row r="3054" customFormat="false" ht="15" hidden="false" customHeight="false" outlineLevel="0" collapsed="false">
      <c r="A3054" s="11" t="s">
        <v>113</v>
      </c>
      <c r="B3054" s="11" t="s">
        <v>132</v>
      </c>
      <c r="C3054" s="11" t="n">
        <v>6</v>
      </c>
      <c r="D3054" s="11" t="s">
        <v>78</v>
      </c>
      <c r="E3054" s="11" t="s">
        <v>158</v>
      </c>
      <c r="F3054" s="11" t="s">
        <v>77</v>
      </c>
      <c r="G3054" s="12" t="n">
        <v>100</v>
      </c>
      <c r="H3054" s="12" t="n">
        <f aca="false">SUMPRODUCT(ПОТОКИ!B17:G17,ЧАСОВЫЕ_ПРОФИЛИ!B19:G19,КОЭФФИЦИЕНТЫ_ВЫБОРА!F16:K16)</f>
        <v>0.444</v>
      </c>
      <c r="I3054" s="12" t="n">
        <f aca="false">SUMPRODUCT(ПОТОКИ!B17:G17,ЧАСОВЫЕ_ПРОФИЛИ!B19:G19,КОЭФФИЦИЕНТЫ_ВЫБОРА!F16:K16,ПАРАМЕТРЫ!$B$17:$G$17)</f>
        <v>0.4884</v>
      </c>
      <c r="J3054" s="12" t="n">
        <f aca="false">I3054*G3054/1000</f>
        <v>0.04884</v>
      </c>
      <c r="K3054" s="11" t="s">
        <v>217</v>
      </c>
      <c r="L3054" s="11" t="s">
        <v>19</v>
      </c>
      <c r="M3054" s="11" t="s">
        <v>147</v>
      </c>
    </row>
    <row r="3055" customFormat="false" ht="15" hidden="false" customHeight="false" outlineLevel="0" collapsed="false">
      <c r="A3055" s="11" t="s">
        <v>113</v>
      </c>
      <c r="B3055" s="11" t="s">
        <v>132</v>
      </c>
      <c r="C3055" s="11" t="n">
        <v>7</v>
      </c>
      <c r="D3055" s="11" t="s">
        <v>78</v>
      </c>
      <c r="E3055" s="11" t="s">
        <v>159</v>
      </c>
      <c r="F3055" s="11" t="s">
        <v>77</v>
      </c>
      <c r="G3055" s="12" t="n">
        <v>350</v>
      </c>
      <c r="H3055" s="12" t="n">
        <f aca="false">SUMPRODUCT(ПОТОКИ!B17:G17,ЧАСОВЫЕ_ПРОФИЛИ!B19:G19,КОЭФФИЦИЕНТЫ_ВЫБОРА!F17:K17)</f>
        <v>0.384</v>
      </c>
      <c r="I3055" s="12" t="n">
        <f aca="false">SUMPRODUCT(ПОТОКИ!B17:G17,ЧАСОВЫЕ_ПРОФИЛИ!B19:G19,КОЭФФИЦИЕНТЫ_ВЫБОРА!F17:K17,ПАРАМЕТРЫ!$B$17:$G$17)</f>
        <v>0.4224</v>
      </c>
      <c r="J3055" s="12" t="n">
        <f aca="false">I3055*G3055/1000</f>
        <v>0.14784</v>
      </c>
      <c r="K3055" s="11" t="s">
        <v>217</v>
      </c>
      <c r="L3055" s="11" t="s">
        <v>19</v>
      </c>
      <c r="M3055" s="11" t="s">
        <v>147</v>
      </c>
    </row>
    <row r="3056" customFormat="false" ht="15" hidden="false" customHeight="false" outlineLevel="0" collapsed="false">
      <c r="A3056" s="11" t="s">
        <v>113</v>
      </c>
      <c r="B3056" s="11" t="s">
        <v>132</v>
      </c>
      <c r="C3056" s="11" t="n">
        <v>8</v>
      </c>
      <c r="D3056" s="11" t="s">
        <v>78</v>
      </c>
      <c r="E3056" s="11" t="s">
        <v>160</v>
      </c>
      <c r="F3056" s="11" t="s">
        <v>77</v>
      </c>
      <c r="G3056" s="12" t="n">
        <v>85</v>
      </c>
      <c r="H3056" s="12" t="n">
        <f aca="false">SUMPRODUCT(ПОТОКИ!B17:G17,ЧАСОВЫЕ_ПРОФИЛИ!B19:G19,КОЭФФИЦИЕНТЫ_ВЫБОРА!F18:K18)</f>
        <v>0.236</v>
      </c>
      <c r="I3056" s="12" t="n">
        <f aca="false">SUMPRODUCT(ПОТОКИ!B17:G17,ЧАСОВЫЕ_ПРОФИЛИ!B19:G19,КОЭФФИЦИЕНТЫ_ВЫБОРА!F18:K18,ПАРАМЕТРЫ!$B$17:$G$17)</f>
        <v>0.2596</v>
      </c>
      <c r="J3056" s="12" t="n">
        <f aca="false">I3056*G3056/1000</f>
        <v>0.022066</v>
      </c>
      <c r="K3056" s="11" t="s">
        <v>217</v>
      </c>
      <c r="L3056" s="11" t="s">
        <v>19</v>
      </c>
      <c r="M3056" s="11" t="s">
        <v>147</v>
      </c>
    </row>
    <row r="3057" customFormat="false" ht="15" hidden="false" customHeight="false" outlineLevel="0" collapsed="false">
      <c r="A3057" s="11" t="s">
        <v>113</v>
      </c>
      <c r="B3057" s="11" t="s">
        <v>132</v>
      </c>
      <c r="C3057" s="11" t="n">
        <v>9</v>
      </c>
      <c r="D3057" s="11" t="s">
        <v>161</v>
      </c>
      <c r="E3057" s="11" t="s">
        <v>162</v>
      </c>
      <c r="F3057" s="11" t="s">
        <v>80</v>
      </c>
      <c r="G3057" s="12" t="n">
        <v>300</v>
      </c>
      <c r="H3057" s="12" t="n">
        <f aca="false">SUMPRODUCT(ПОТОКИ!B17:G17,ЧАСОВЫЕ_ПРОФИЛИ!B19:G19,КОЭФФИЦИЕНТЫ_ВЫБОРА!F19:K19)</f>
        <v>0.246</v>
      </c>
      <c r="I3057" s="12" t="n">
        <f aca="false">SUMPRODUCT(ПОТОКИ!B17:G17,ЧАСОВЫЕ_ПРОФИЛИ!B19:G19,КОЭФФИЦИЕНТЫ_ВЫБОРА!F19:K19,ПАРАМЕТРЫ!$B$17:$G$17)</f>
        <v>0.2706</v>
      </c>
      <c r="J3057" s="12" t="n">
        <f aca="false">I3057*G3057/1000</f>
        <v>0.08118</v>
      </c>
      <c r="K3057" s="11" t="s">
        <v>217</v>
      </c>
      <c r="L3057" s="11" t="s">
        <v>19</v>
      </c>
      <c r="M3057" s="11" t="s">
        <v>145</v>
      </c>
    </row>
    <row r="3058" customFormat="false" ht="15" hidden="false" customHeight="false" outlineLevel="0" collapsed="false">
      <c r="A3058" s="11" t="s">
        <v>113</v>
      </c>
      <c r="B3058" s="11" t="s">
        <v>132</v>
      </c>
      <c r="C3058" s="11" t="n">
        <v>10</v>
      </c>
      <c r="D3058" s="11" t="s">
        <v>161</v>
      </c>
      <c r="E3058" s="11" t="s">
        <v>163</v>
      </c>
      <c r="F3058" s="11" t="s">
        <v>80</v>
      </c>
      <c r="G3058" s="12" t="n">
        <v>280</v>
      </c>
      <c r="H3058" s="12" t="n">
        <f aca="false">SUMPRODUCT(ПОТОКИ!B17:G17,ЧАСОВЫЕ_ПРОФИЛИ!B19:G19,КОЭФФИЦИЕНТЫ_ВЫБОРА!F20:K20)</f>
        <v>0.282</v>
      </c>
      <c r="I3058" s="12" t="n">
        <f aca="false">SUMPRODUCT(ПОТОКИ!B17:G17,ЧАСОВЫЕ_ПРОФИЛИ!B19:G19,КОЭФФИЦИЕНТЫ_ВЫБОРА!F20:K20,ПАРАМЕТРЫ!$B$17:$G$17)</f>
        <v>0.3102</v>
      </c>
      <c r="J3058" s="12" t="n">
        <f aca="false">I3058*G3058/1000</f>
        <v>0.086856</v>
      </c>
      <c r="K3058" s="11" t="s">
        <v>217</v>
      </c>
      <c r="L3058" s="11" t="s">
        <v>19</v>
      </c>
      <c r="M3058" s="11" t="s">
        <v>145</v>
      </c>
    </row>
    <row r="3059" customFormat="false" ht="15" hidden="false" customHeight="false" outlineLevel="0" collapsed="false">
      <c r="A3059" s="11" t="s">
        <v>113</v>
      </c>
      <c r="B3059" s="11" t="s">
        <v>132</v>
      </c>
      <c r="C3059" s="11" t="n">
        <v>11</v>
      </c>
      <c r="D3059" s="11" t="s">
        <v>161</v>
      </c>
      <c r="E3059" s="11" t="s">
        <v>164</v>
      </c>
      <c r="F3059" s="11" t="s">
        <v>80</v>
      </c>
      <c r="G3059" s="12" t="n">
        <v>270</v>
      </c>
      <c r="H3059" s="12" t="n">
        <f aca="false">SUMPRODUCT(ПОТОКИ!B17:G17,ЧАСОВЫЕ_ПРОФИЛИ!B19:G19,КОЭФФИЦИЕНТЫ_ВЫБОРА!F21:K21)</f>
        <v>0.456</v>
      </c>
      <c r="I3059" s="12" t="n">
        <f aca="false">SUMPRODUCT(ПОТОКИ!B17:G17,ЧАСОВЫЕ_ПРОФИЛИ!B19:G19,КОЭФФИЦИЕНТЫ_ВЫБОРА!F21:K21,ПАРАМЕТРЫ!$B$17:$G$17)</f>
        <v>0.5016</v>
      </c>
      <c r="J3059" s="12" t="n">
        <f aca="false">I3059*G3059/1000</f>
        <v>0.135432</v>
      </c>
      <c r="K3059" s="11" t="s">
        <v>217</v>
      </c>
      <c r="L3059" s="11" t="s">
        <v>19</v>
      </c>
      <c r="M3059" s="11" t="s">
        <v>145</v>
      </c>
    </row>
    <row r="3060" customFormat="false" ht="15" hidden="false" customHeight="false" outlineLevel="0" collapsed="false">
      <c r="A3060" s="11" t="s">
        <v>113</v>
      </c>
      <c r="B3060" s="11" t="s">
        <v>132</v>
      </c>
      <c r="C3060" s="11" t="n">
        <v>12</v>
      </c>
      <c r="D3060" s="11" t="s">
        <v>161</v>
      </c>
      <c r="E3060" s="11" t="s">
        <v>165</v>
      </c>
      <c r="F3060" s="11" t="s">
        <v>80</v>
      </c>
      <c r="G3060" s="12" t="n">
        <v>240</v>
      </c>
      <c r="H3060" s="12" t="n">
        <f aca="false">SUMPRODUCT(ПОТОКИ!B17:G17,ЧАСОВЫЕ_ПРОФИЛИ!B19:G19,КОЭФФИЦИЕНТЫ_ВЫБОРА!F22:K22)</f>
        <v>0.216</v>
      </c>
      <c r="I3060" s="12" t="n">
        <f aca="false">SUMPRODUCT(ПОТОКИ!B17:G17,ЧАСОВЫЕ_ПРОФИЛИ!B19:G19,КОЭФФИЦИЕНТЫ_ВЫБОРА!F22:K22,ПАРАМЕТРЫ!$B$17:$G$17)</f>
        <v>0.2376</v>
      </c>
      <c r="J3060" s="12" t="n">
        <f aca="false">I3060*G3060/1000</f>
        <v>0.057024</v>
      </c>
      <c r="K3060" s="11" t="s">
        <v>217</v>
      </c>
      <c r="L3060" s="11" t="s">
        <v>19</v>
      </c>
      <c r="M3060" s="11" t="s">
        <v>145</v>
      </c>
    </row>
    <row r="3061" customFormat="false" ht="15" hidden="false" customHeight="false" outlineLevel="0" collapsed="false">
      <c r="A3061" s="11" t="s">
        <v>113</v>
      </c>
      <c r="B3061" s="11" t="s">
        <v>132</v>
      </c>
      <c r="C3061" s="11" t="n">
        <v>13</v>
      </c>
      <c r="D3061" s="11" t="s">
        <v>166</v>
      </c>
      <c r="E3061" s="11" t="s">
        <v>167</v>
      </c>
      <c r="F3061" s="11" t="s">
        <v>80</v>
      </c>
      <c r="G3061" s="12" t="n">
        <v>130</v>
      </c>
      <c r="H3061" s="12" t="n">
        <f aca="false">SUMPRODUCT(ПОТОКИ!B17:G17,ЧАСОВЫЕ_ПРОФИЛИ!B19:G19,КОЭФФИЦИЕНТЫ_ВЫБОРА!F23:K23)</f>
        <v>0.14</v>
      </c>
      <c r="I3061" s="12" t="n">
        <f aca="false">SUMPRODUCT(ПОТОКИ!B17:G17,ЧАСОВЫЕ_ПРОФИЛИ!B19:G19,КОЭФФИЦИЕНТЫ_ВЫБОРА!F23:K23,ПАРАМЕТРЫ!$B$17:$G$17)</f>
        <v>0.154</v>
      </c>
      <c r="J3061" s="12" t="n">
        <f aca="false">I3061*G3061/1000</f>
        <v>0.02002</v>
      </c>
      <c r="K3061" s="11" t="s">
        <v>217</v>
      </c>
      <c r="L3061" s="11" t="s">
        <v>19</v>
      </c>
      <c r="M3061" s="11" t="s">
        <v>145</v>
      </c>
    </row>
    <row r="3062" customFormat="false" ht="15" hidden="false" customHeight="false" outlineLevel="0" collapsed="false">
      <c r="A3062" s="11" t="s">
        <v>113</v>
      </c>
      <c r="B3062" s="11" t="s">
        <v>132</v>
      </c>
      <c r="C3062" s="11" t="n">
        <v>14</v>
      </c>
      <c r="D3062" s="11" t="s">
        <v>166</v>
      </c>
      <c r="E3062" s="11" t="s">
        <v>168</v>
      </c>
      <c r="F3062" s="11" t="s">
        <v>80</v>
      </c>
      <c r="G3062" s="12" t="n">
        <v>250</v>
      </c>
      <c r="H3062" s="12" t="n">
        <f aca="false">SUMPRODUCT(ПОТОКИ!B17:G17,ЧАСОВЫЕ_ПРОФИЛИ!B19:G19,КОЭФФИЦИЕНТЫ_ВЫБОРА!F24:K24)</f>
        <v>0.084</v>
      </c>
      <c r="I3062" s="12" t="n">
        <f aca="false">SUMPRODUCT(ПОТОКИ!B17:G17,ЧАСОВЫЕ_ПРОФИЛИ!B19:G19,КОЭФФИЦИЕНТЫ_ВЫБОРА!F24:K24,ПАРАМЕТРЫ!$B$17:$G$17)</f>
        <v>0.0924</v>
      </c>
      <c r="J3062" s="12" t="n">
        <f aca="false">I3062*G3062/1000</f>
        <v>0.0231</v>
      </c>
      <c r="K3062" s="11" t="s">
        <v>217</v>
      </c>
      <c r="L3062" s="11" t="s">
        <v>19</v>
      </c>
      <c r="M3062" s="11" t="s">
        <v>145</v>
      </c>
    </row>
    <row r="3063" customFormat="false" ht="15" hidden="false" customHeight="false" outlineLevel="0" collapsed="false">
      <c r="A3063" s="11" t="s">
        <v>113</v>
      </c>
      <c r="B3063" s="11" t="s">
        <v>132</v>
      </c>
      <c r="C3063" s="11" t="n">
        <v>15</v>
      </c>
      <c r="D3063" s="11" t="s">
        <v>166</v>
      </c>
      <c r="E3063" s="11" t="s">
        <v>169</v>
      </c>
      <c r="F3063" s="11" t="s">
        <v>80</v>
      </c>
      <c r="G3063" s="12" t="n">
        <v>120</v>
      </c>
      <c r="H3063" s="12" t="n">
        <f aca="false">SUMPRODUCT(ПОТОКИ!B17:G17,ЧАСОВЫЕ_ПРОФИЛИ!B19:G19,КОЭФФИЦИЕНТЫ_ВЫБОРА!F25:K25)</f>
        <v>0.084</v>
      </c>
      <c r="I3063" s="12" t="n">
        <f aca="false">SUMPRODUCT(ПОТОКИ!B17:G17,ЧАСОВЫЕ_ПРОФИЛИ!B19:G19,КОЭФФИЦИЕНТЫ_ВЫБОРА!F25:K25,ПАРАМЕТРЫ!$B$17:$G$17)</f>
        <v>0.0924</v>
      </c>
      <c r="J3063" s="12" t="n">
        <f aca="false">I3063*G3063/1000</f>
        <v>0.011088</v>
      </c>
      <c r="K3063" s="11" t="s">
        <v>217</v>
      </c>
      <c r="L3063" s="11" t="s">
        <v>19</v>
      </c>
      <c r="M3063" s="11" t="s">
        <v>145</v>
      </c>
    </row>
    <row r="3064" customFormat="false" ht="15" hidden="false" customHeight="false" outlineLevel="0" collapsed="false">
      <c r="A3064" s="11" t="s">
        <v>113</v>
      </c>
      <c r="B3064" s="11" t="s">
        <v>132</v>
      </c>
      <c r="C3064" s="11" t="n">
        <v>16</v>
      </c>
      <c r="D3064" s="11" t="s">
        <v>166</v>
      </c>
      <c r="E3064" s="11" t="s">
        <v>170</v>
      </c>
      <c r="F3064" s="11" t="s">
        <v>80</v>
      </c>
      <c r="G3064" s="12" t="n">
        <v>180</v>
      </c>
      <c r="H3064" s="12" t="n">
        <f aca="false">SUMPRODUCT(ПОТОКИ!B17:G17,ЧАСОВЫЕ_ПРОФИЛИ!B19:G19,КОЭФФИЦИЕНТЫ_ВЫБОРА!F26:K26)</f>
        <v>0.112</v>
      </c>
      <c r="I3064" s="12" t="n">
        <f aca="false">SUMPRODUCT(ПОТОКИ!B17:G17,ЧАСОВЫЕ_ПРОФИЛИ!B19:G19,КОЭФФИЦИЕНТЫ_ВЫБОРА!F26:K26,ПАРАМЕТРЫ!$B$17:$G$17)</f>
        <v>0.1232</v>
      </c>
      <c r="J3064" s="12" t="n">
        <f aca="false">I3064*G3064/1000</f>
        <v>0.022176</v>
      </c>
      <c r="K3064" s="11" t="s">
        <v>217</v>
      </c>
      <c r="L3064" s="11" t="s">
        <v>19</v>
      </c>
      <c r="M3064" s="11" t="s">
        <v>145</v>
      </c>
    </row>
    <row r="3065" customFormat="false" ht="15" hidden="false" customHeight="false" outlineLevel="0" collapsed="false">
      <c r="A3065" s="11" t="s">
        <v>113</v>
      </c>
      <c r="B3065" s="11" t="s">
        <v>132</v>
      </c>
      <c r="C3065" s="11" t="n">
        <v>17</v>
      </c>
      <c r="D3065" s="11" t="s">
        <v>166</v>
      </c>
      <c r="E3065" s="11" t="s">
        <v>171</v>
      </c>
      <c r="F3065" s="11" t="s">
        <v>80</v>
      </c>
      <c r="G3065" s="12" t="n">
        <v>180</v>
      </c>
      <c r="H3065" s="12" t="n">
        <f aca="false">SUMPRODUCT(ПОТОКИ!B17:G17,ЧАСОВЫЕ_ПРОФИЛИ!B19:G19,КОЭФФИЦИЕНТЫ_ВЫБОРА!F27:K27)</f>
        <v>0.14</v>
      </c>
      <c r="I3065" s="12" t="n">
        <f aca="false">SUMPRODUCT(ПОТОКИ!B17:G17,ЧАСОВЫЕ_ПРОФИЛИ!B19:G19,КОЭФФИЦИЕНТЫ_ВЫБОРА!F27:K27,ПАРАМЕТРЫ!$B$17:$G$17)</f>
        <v>0.154</v>
      </c>
      <c r="J3065" s="12" t="n">
        <f aca="false">I3065*G3065/1000</f>
        <v>0.02772</v>
      </c>
      <c r="K3065" s="11" t="s">
        <v>217</v>
      </c>
      <c r="L3065" s="11" t="s">
        <v>19</v>
      </c>
      <c r="M3065" s="11" t="s">
        <v>145</v>
      </c>
    </row>
    <row r="3066" customFormat="false" ht="15" hidden="false" customHeight="false" outlineLevel="0" collapsed="false">
      <c r="A3066" s="11" t="s">
        <v>113</v>
      </c>
      <c r="B3066" s="11" t="s">
        <v>132</v>
      </c>
      <c r="C3066" s="11" t="n">
        <v>18</v>
      </c>
      <c r="D3066" s="11" t="s">
        <v>172</v>
      </c>
      <c r="E3066" s="11" t="s">
        <v>173</v>
      </c>
      <c r="F3066" s="11" t="s">
        <v>83</v>
      </c>
      <c r="G3066" s="12" t="n">
        <v>400</v>
      </c>
      <c r="H3066" s="12" t="n">
        <f aca="false">SUMPRODUCT(ПОТОКИ!B17:G17,ЧАСОВЫЕ_ПРОФИЛИ!B19:G19,КОЭФФИЦИЕНТЫ_ВЫБОРА!F28:K28)</f>
        <v>0.28</v>
      </c>
      <c r="I3066" s="12" t="n">
        <f aca="false">SUMPRODUCT(ПОТОКИ!B17:G17,ЧАСОВЫЕ_ПРОФИЛИ!B19:G19,КОЭФФИЦИЕНТЫ_ВЫБОРА!F28:K28,ПАРАМЕТРЫ!$B$17:$G$17)</f>
        <v>0.308</v>
      </c>
      <c r="J3066" s="12" t="n">
        <f aca="false">I3066*G3066/1000</f>
        <v>0.1232</v>
      </c>
      <c r="K3066" s="11" t="s">
        <v>217</v>
      </c>
      <c r="L3066" s="11" t="s">
        <v>19</v>
      </c>
      <c r="M3066" s="11" t="s">
        <v>145</v>
      </c>
    </row>
    <row r="3067" customFormat="false" ht="23.85" hidden="false" customHeight="false" outlineLevel="0" collapsed="false">
      <c r="A3067" s="11" t="s">
        <v>113</v>
      </c>
      <c r="B3067" s="11" t="s">
        <v>132</v>
      </c>
      <c r="C3067" s="11" t="n">
        <v>19</v>
      </c>
      <c r="D3067" s="11" t="s">
        <v>174</v>
      </c>
      <c r="E3067" s="11" t="s">
        <v>175</v>
      </c>
      <c r="F3067" s="11" t="s">
        <v>83</v>
      </c>
      <c r="G3067" s="12" t="n">
        <v>300</v>
      </c>
      <c r="H3067" s="12" t="n">
        <f aca="false">SUMPRODUCT(ПОТОКИ!B17:G17,ЧАСОВЫЕ_ПРОФИЛИ!B19:G19,КОЭФФИЦИЕНТЫ_ВЫБОРА!F29:K29)</f>
        <v>0.647</v>
      </c>
      <c r="I3067" s="12" t="n">
        <f aca="false">SUMPRODUCT(ПОТОКИ!B17:G17,ЧАСОВЫЕ_ПРОФИЛИ!B19:G19,КОЭФФИЦИЕНТЫ_ВЫБОРА!F29:K29,ПАРАМЕТРЫ!$B$17:$G$17)</f>
        <v>0.7117</v>
      </c>
      <c r="J3067" s="12" t="n">
        <f aca="false">I3067*G3067/1000</f>
        <v>0.21351</v>
      </c>
      <c r="K3067" s="11" t="s">
        <v>217</v>
      </c>
      <c r="L3067" s="11" t="s">
        <v>19</v>
      </c>
      <c r="M3067" s="11" t="s">
        <v>145</v>
      </c>
    </row>
    <row r="3068" customFormat="false" ht="15" hidden="false" customHeight="false" outlineLevel="0" collapsed="false">
      <c r="A3068" s="11" t="s">
        <v>113</v>
      </c>
      <c r="B3068" s="11" t="s">
        <v>132</v>
      </c>
      <c r="C3068" s="11" t="n">
        <v>20</v>
      </c>
      <c r="D3068" s="11" t="s">
        <v>174</v>
      </c>
      <c r="E3068" s="11" t="s">
        <v>176</v>
      </c>
      <c r="F3068" s="11" t="s">
        <v>83</v>
      </c>
      <c r="G3068" s="12" t="n">
        <v>360</v>
      </c>
      <c r="H3068" s="12" t="n">
        <f aca="false">SUMPRODUCT(ПОТОКИ!B17:G17,ЧАСОВЫЕ_ПРОФИЛИ!B19:G19,КОЭФФИЦИЕНТЫ_ВЫБОРА!F30:K30)</f>
        <v>0.604</v>
      </c>
      <c r="I3068" s="12" t="n">
        <f aca="false">SUMPRODUCT(ПОТОКИ!B17:G17,ЧАСОВЫЕ_ПРОФИЛИ!B19:G19,КОЭФФИЦИЕНТЫ_ВЫБОРА!F30:K30,ПАРАМЕТРЫ!$B$17:$G$17)</f>
        <v>0.6644</v>
      </c>
      <c r="J3068" s="12" t="n">
        <f aca="false">I3068*G3068/1000</f>
        <v>0.239184</v>
      </c>
      <c r="K3068" s="11" t="s">
        <v>217</v>
      </c>
      <c r="L3068" s="11" t="s">
        <v>19</v>
      </c>
      <c r="M3068" s="11" t="s">
        <v>145</v>
      </c>
    </row>
    <row r="3069" customFormat="false" ht="15" hidden="false" customHeight="false" outlineLevel="0" collapsed="false">
      <c r="A3069" s="11" t="s">
        <v>113</v>
      </c>
      <c r="B3069" s="11" t="s">
        <v>132</v>
      </c>
      <c r="C3069" s="11" t="n">
        <v>21</v>
      </c>
      <c r="D3069" s="11" t="s">
        <v>174</v>
      </c>
      <c r="E3069" s="11" t="s">
        <v>177</v>
      </c>
      <c r="F3069" s="11" t="s">
        <v>83</v>
      </c>
      <c r="G3069" s="12" t="n">
        <v>350</v>
      </c>
      <c r="H3069" s="12" t="n">
        <f aca="false">SUMPRODUCT(ПОТОКИ!B17:G17,ЧАСОВЫЕ_ПРОФИЛИ!B19:G19,КОЭФФИЦИЕНТЫ_ВЫБОРА!F31:K31)</f>
        <v>0.93</v>
      </c>
      <c r="I3069" s="12" t="n">
        <f aca="false">SUMPRODUCT(ПОТОКИ!B17:G17,ЧАСОВЫЕ_ПРОФИЛИ!B19:G19,КОЭФФИЦИЕНТЫ_ВЫБОРА!F31:K31,ПАРАМЕТРЫ!$B$17:$G$17)</f>
        <v>1.023</v>
      </c>
      <c r="J3069" s="12" t="n">
        <f aca="false">I3069*G3069/1000</f>
        <v>0.35805</v>
      </c>
      <c r="K3069" s="11" t="s">
        <v>217</v>
      </c>
      <c r="L3069" s="11" t="s">
        <v>19</v>
      </c>
      <c r="M3069" s="11" t="s">
        <v>145</v>
      </c>
    </row>
    <row r="3070" customFormat="false" ht="15" hidden="false" customHeight="false" outlineLevel="0" collapsed="false">
      <c r="A3070" s="11" t="s">
        <v>113</v>
      </c>
      <c r="B3070" s="11" t="s">
        <v>132</v>
      </c>
      <c r="C3070" s="11" t="n">
        <v>22</v>
      </c>
      <c r="D3070" s="11" t="s">
        <v>174</v>
      </c>
      <c r="E3070" s="11" t="s">
        <v>178</v>
      </c>
      <c r="F3070" s="11" t="s">
        <v>83</v>
      </c>
      <c r="G3070" s="12" t="n">
        <v>300</v>
      </c>
      <c r="H3070" s="12" t="n">
        <f aca="false">SUMPRODUCT(ПОТОКИ!B17:G17,ЧАСОВЫЕ_ПРОФИЛИ!B19:G19,КОЭФФИЦИЕНТЫ_ВЫБОРА!F32:K32)</f>
        <v>0.599</v>
      </c>
      <c r="I3070" s="12" t="n">
        <f aca="false">SUMPRODUCT(ПОТОКИ!B17:G17,ЧАСОВЫЕ_ПРОФИЛИ!B19:G19,КОЭФФИЦИЕНТЫ_ВЫБОРА!F32:K32,ПАРАМЕТРЫ!$B$17:$G$17)</f>
        <v>0.6589</v>
      </c>
      <c r="J3070" s="12" t="n">
        <f aca="false">I3070*G3070/1000</f>
        <v>0.19767</v>
      </c>
      <c r="K3070" s="11" t="s">
        <v>217</v>
      </c>
      <c r="L3070" s="11" t="s">
        <v>19</v>
      </c>
      <c r="M3070" s="11" t="s">
        <v>145</v>
      </c>
    </row>
    <row r="3071" customFormat="false" ht="15" hidden="false" customHeight="false" outlineLevel="0" collapsed="false">
      <c r="A3071" s="11" t="s">
        <v>113</v>
      </c>
      <c r="B3071" s="11" t="s">
        <v>132</v>
      </c>
      <c r="C3071" s="11" t="n">
        <v>23</v>
      </c>
      <c r="D3071" s="11" t="s">
        <v>86</v>
      </c>
      <c r="E3071" s="11" t="s">
        <v>179</v>
      </c>
      <c r="F3071" s="11" t="s">
        <v>85</v>
      </c>
      <c r="G3071" s="12" t="n">
        <v>150</v>
      </c>
      <c r="H3071" s="12" t="n">
        <f aca="false">SUMPRODUCT(ПОТОКИ!B17:G17,ЧАСОВЫЕ_ПРОФИЛИ!B19:G19,КОЭФФИЦИЕНТЫ_ВЫБОРА!F33:K33)</f>
        <v>0.43876</v>
      </c>
      <c r="I3071" s="12" t="n">
        <f aca="false">SUMPRODUCT(ПОТОКИ!B17:G17,ЧАСОВЫЕ_ПРОФИЛИ!B19:G19,КОЭФФИЦИЕНТЫ_ВЫБОРА!F33:K33,ПАРАМЕТРЫ!$B$17:$G$17)</f>
        <v>0.482636</v>
      </c>
      <c r="J3071" s="12" t="n">
        <f aca="false">I3071*G3071/1000</f>
        <v>0.0723954</v>
      </c>
      <c r="K3071" s="11" t="s">
        <v>217</v>
      </c>
      <c r="L3071" s="11" t="s">
        <v>19</v>
      </c>
      <c r="M3071" s="11" t="s">
        <v>147</v>
      </c>
    </row>
    <row r="3072" customFormat="false" ht="15" hidden="false" customHeight="false" outlineLevel="0" collapsed="false">
      <c r="A3072" s="11" t="s">
        <v>113</v>
      </c>
      <c r="B3072" s="11" t="s">
        <v>132</v>
      </c>
      <c r="C3072" s="11" t="n">
        <v>24</v>
      </c>
      <c r="D3072" s="11" t="s">
        <v>86</v>
      </c>
      <c r="E3072" s="11" t="s">
        <v>180</v>
      </c>
      <c r="F3072" s="11" t="s">
        <v>85</v>
      </c>
      <c r="G3072" s="12" t="n">
        <v>150</v>
      </c>
      <c r="H3072" s="12" t="n">
        <f aca="false">SUMPRODUCT(ПОТОКИ!B17:G17,ЧАСОВЫЕ_ПРОФИЛИ!B19:G19,КОЭФФИЦИЕНТЫ_ВЫБОРА!F34:K34)</f>
        <v>0.21938</v>
      </c>
      <c r="I3072" s="12" t="n">
        <f aca="false">SUMPRODUCT(ПОТОКИ!B17:G17,ЧАСОВЫЕ_ПРОФИЛИ!B19:G19,КОЭФФИЦИЕНТЫ_ВЫБОРА!F34:K34,ПАРАМЕТРЫ!$B$17:$G$17)</f>
        <v>0.241318</v>
      </c>
      <c r="J3072" s="12" t="n">
        <f aca="false">I3072*G3072/1000</f>
        <v>0.0361977</v>
      </c>
      <c r="K3072" s="11" t="s">
        <v>217</v>
      </c>
      <c r="L3072" s="11" t="s">
        <v>19</v>
      </c>
      <c r="M3072" s="11" t="s">
        <v>147</v>
      </c>
    </row>
    <row r="3073" customFormat="false" ht="15" hidden="false" customHeight="false" outlineLevel="0" collapsed="false">
      <c r="A3073" s="11" t="s">
        <v>113</v>
      </c>
      <c r="B3073" s="11" t="s">
        <v>132</v>
      </c>
      <c r="C3073" s="11" t="n">
        <v>25</v>
      </c>
      <c r="D3073" s="11" t="s">
        <v>86</v>
      </c>
      <c r="E3073" s="11" t="s">
        <v>181</v>
      </c>
      <c r="F3073" s="11" t="s">
        <v>85</v>
      </c>
      <c r="G3073" s="12" t="n">
        <v>150</v>
      </c>
      <c r="H3073" s="12" t="n">
        <f aca="false">SUMPRODUCT(ПОТОКИ!B17:G17,ЧАСОВЫЕ_ПРОФИЛИ!B19:G19,КОЭФФИЦИЕНТЫ_ВЫБОРА!F35:K35)</f>
        <v>0.43876</v>
      </c>
      <c r="I3073" s="12" t="n">
        <f aca="false">SUMPRODUCT(ПОТОКИ!B17:G17,ЧАСОВЫЕ_ПРОФИЛИ!B19:G19,КОЭФФИЦИЕНТЫ_ВЫБОРА!F35:K35,ПАРАМЕТРЫ!$B$17:$G$17)</f>
        <v>0.482636</v>
      </c>
      <c r="J3073" s="12" t="n">
        <f aca="false">I3073*G3073/1000</f>
        <v>0.0723954</v>
      </c>
      <c r="K3073" s="11" t="s">
        <v>217</v>
      </c>
      <c r="L3073" s="11" t="s">
        <v>19</v>
      </c>
      <c r="M3073" s="11" t="s">
        <v>147</v>
      </c>
    </row>
    <row r="3074" customFormat="false" ht="23.85" hidden="false" customHeight="false" outlineLevel="0" collapsed="false">
      <c r="A3074" s="11" t="s">
        <v>113</v>
      </c>
      <c r="B3074" s="11" t="s">
        <v>132</v>
      </c>
      <c r="C3074" s="11" t="n">
        <v>26</v>
      </c>
      <c r="D3074" s="11" t="s">
        <v>89</v>
      </c>
      <c r="E3074" s="11" t="s">
        <v>182</v>
      </c>
      <c r="F3074" s="11" t="s">
        <v>88</v>
      </c>
      <c r="G3074" s="12" t="n">
        <v>225</v>
      </c>
      <c r="H3074" s="12" t="n">
        <f aca="false">SUMPRODUCT(ПОТОКИ!B17:G17,ЧАСОВЫЕ_ПРОФИЛИ!B19:G19,КОЭФФИЦИЕНТЫ_ВЫБОРА!F36:K36)</f>
        <v>0</v>
      </c>
      <c r="I3074" s="12" t="n">
        <f aca="false">SUMPRODUCT(ПОТОКИ!B17:G17,ЧАСОВЫЕ_ПРОФИЛИ!B19:G19,КОЭФФИЦИЕНТЫ_ВЫБОРА!F36:K36,ПАРАМЕТРЫ!$B$17:$G$17)</f>
        <v>0</v>
      </c>
      <c r="J3074" s="12" t="n">
        <f aca="false">I3074*G3074/1000</f>
        <v>0</v>
      </c>
      <c r="K3074" s="11" t="s">
        <v>217</v>
      </c>
      <c r="L3074" s="11" t="s">
        <v>19</v>
      </c>
      <c r="M3074" s="11" t="s">
        <v>145</v>
      </c>
    </row>
    <row r="3075" customFormat="false" ht="23.85" hidden="false" customHeight="false" outlineLevel="0" collapsed="false">
      <c r="A3075" s="11" t="s">
        <v>113</v>
      </c>
      <c r="B3075" s="11" t="s">
        <v>132</v>
      </c>
      <c r="C3075" s="11" t="n">
        <v>27</v>
      </c>
      <c r="D3075" s="11" t="s">
        <v>89</v>
      </c>
      <c r="E3075" s="11" t="s">
        <v>183</v>
      </c>
      <c r="F3075" s="11" t="s">
        <v>88</v>
      </c>
      <c r="G3075" s="12" t="n">
        <v>265</v>
      </c>
      <c r="H3075" s="12" t="n">
        <f aca="false">SUMPRODUCT(ПОТОКИ!B17:G17,ЧАСОВЫЕ_ПРОФИЛИ!B19:G19,КОЭФФИЦИЕНТЫ_ВЫБОРА!F37:K37)</f>
        <v>0</v>
      </c>
      <c r="I3075" s="12" t="n">
        <f aca="false">SUMPRODUCT(ПОТОКИ!B17:G17,ЧАСОВЫЕ_ПРОФИЛИ!B19:G19,КОЭФФИЦИЕНТЫ_ВЫБОРА!F37:K37,ПАРАМЕТРЫ!$B$17:$G$17)</f>
        <v>0</v>
      </c>
      <c r="J3075" s="12" t="n">
        <f aca="false">I3075*G3075/1000</f>
        <v>0</v>
      </c>
      <c r="K3075" s="11" t="s">
        <v>217</v>
      </c>
      <c r="L3075" s="11" t="s">
        <v>19</v>
      </c>
      <c r="M3075" s="11" t="s">
        <v>145</v>
      </c>
    </row>
    <row r="3076" customFormat="false" ht="23.85" hidden="false" customHeight="false" outlineLevel="0" collapsed="false">
      <c r="A3076" s="11" t="s">
        <v>113</v>
      </c>
      <c r="B3076" s="11" t="s">
        <v>132</v>
      </c>
      <c r="C3076" s="11" t="n">
        <v>28</v>
      </c>
      <c r="D3076" s="11" t="s">
        <v>89</v>
      </c>
      <c r="E3076" s="11" t="s">
        <v>184</v>
      </c>
      <c r="F3076" s="11" t="s">
        <v>88</v>
      </c>
      <c r="G3076" s="12" t="n">
        <v>355</v>
      </c>
      <c r="H3076" s="12" t="n">
        <f aca="false">SUMPRODUCT(ПОТОКИ!B17:G17,ЧАСОВЫЕ_ПРОФИЛИ!B19:G19,КОЭФФИЦИЕНТЫ_ВЫБОРА!F38:K38)</f>
        <v>0</v>
      </c>
      <c r="I3076" s="12" t="n">
        <f aca="false">SUMPRODUCT(ПОТОКИ!B17:G17,ЧАСОВЫЕ_ПРОФИЛИ!B19:G19,КОЭФФИЦИЕНТЫ_ВЫБОРА!F38:K38,ПАРАМЕТРЫ!$B$17:$G$17)</f>
        <v>0</v>
      </c>
      <c r="J3076" s="12" t="n">
        <f aca="false">I3076*G3076/1000</f>
        <v>0</v>
      </c>
      <c r="K3076" s="11" t="s">
        <v>217</v>
      </c>
      <c r="L3076" s="11" t="s">
        <v>19</v>
      </c>
      <c r="M3076" s="11" t="s">
        <v>145</v>
      </c>
    </row>
    <row r="3077" customFormat="false" ht="15" hidden="false" customHeight="false" outlineLevel="0" collapsed="false">
      <c r="A3077" s="11" t="s">
        <v>113</v>
      </c>
      <c r="B3077" s="11" t="s">
        <v>132</v>
      </c>
      <c r="C3077" s="11" t="n">
        <v>29</v>
      </c>
      <c r="D3077" s="11" t="s">
        <v>92</v>
      </c>
      <c r="E3077" s="11" t="s">
        <v>185</v>
      </c>
      <c r="F3077" s="11" t="s">
        <v>91</v>
      </c>
      <c r="G3077" s="12" t="n">
        <v>150</v>
      </c>
      <c r="H3077" s="12" t="n">
        <f aca="false">SUMPRODUCT(ПОТОКИ!B17:G17,ЧАСОВЫЕ_ПРОФИЛИ!B19:G19,КОЭФФИЦИЕНТЫ_ВЫБОРА!F39:K39)</f>
        <v>0.33</v>
      </c>
      <c r="I3077" s="12" t="n">
        <f aca="false">SUMPRODUCT(ПОТОКИ!B17:G17,ЧАСОВЫЕ_ПРОФИЛИ!B19:G19,КОЭФФИЦИЕНТЫ_ВЫБОРА!F39:K39,ПАРАМЕТРЫ!$B$17:$G$17)</f>
        <v>0.363</v>
      </c>
      <c r="J3077" s="12" t="n">
        <f aca="false">I3077*G3077/1000</f>
        <v>0.05445</v>
      </c>
      <c r="K3077" s="11" t="s">
        <v>217</v>
      </c>
      <c r="L3077" s="11" t="s">
        <v>19</v>
      </c>
      <c r="M3077" s="11" t="s">
        <v>145</v>
      </c>
    </row>
    <row r="3078" customFormat="false" ht="15" hidden="false" customHeight="false" outlineLevel="0" collapsed="false">
      <c r="A3078" s="11" t="s">
        <v>113</v>
      </c>
      <c r="B3078" s="11" t="s">
        <v>132</v>
      </c>
      <c r="C3078" s="11" t="n">
        <v>30</v>
      </c>
      <c r="D3078" s="11" t="s">
        <v>92</v>
      </c>
      <c r="E3078" s="11" t="s">
        <v>186</v>
      </c>
      <c r="F3078" s="11" t="s">
        <v>91</v>
      </c>
      <c r="G3078" s="12" t="n">
        <v>120</v>
      </c>
      <c r="H3078" s="12" t="n">
        <f aca="false">SUMPRODUCT(ПОТОКИ!B17:G17,ЧАСОВЫЕ_ПРОФИЛИ!B19:G19,КОЭФФИЦИЕНТЫ_ВЫБОРА!F40:K40)</f>
        <v>0.33</v>
      </c>
      <c r="I3078" s="12" t="n">
        <f aca="false">SUMPRODUCT(ПОТОКИ!B17:G17,ЧАСОВЫЕ_ПРОФИЛИ!B19:G19,КОЭФФИЦИЕНТЫ_ВЫБОРА!F40:K40,ПАРАМЕТРЫ!$B$17:$G$17)</f>
        <v>0.363</v>
      </c>
      <c r="J3078" s="12" t="n">
        <f aca="false">I3078*G3078/1000</f>
        <v>0.04356</v>
      </c>
      <c r="K3078" s="11" t="s">
        <v>217</v>
      </c>
      <c r="L3078" s="11" t="s">
        <v>19</v>
      </c>
      <c r="M3078" s="11" t="s">
        <v>145</v>
      </c>
    </row>
    <row r="3079" customFormat="false" ht="15" hidden="false" customHeight="false" outlineLevel="0" collapsed="false">
      <c r="A3079" s="11" t="s">
        <v>113</v>
      </c>
      <c r="B3079" s="11" t="s">
        <v>132</v>
      </c>
      <c r="C3079" s="11" t="n">
        <v>31</v>
      </c>
      <c r="D3079" s="11" t="s">
        <v>92</v>
      </c>
      <c r="E3079" s="11" t="s">
        <v>187</v>
      </c>
      <c r="F3079" s="11" t="s">
        <v>91</v>
      </c>
      <c r="G3079" s="12" t="n">
        <v>60</v>
      </c>
      <c r="H3079" s="12" t="n">
        <f aca="false">SUMPRODUCT(ПОТОКИ!B17:G17,ЧАСОВЫЕ_ПРОФИЛИ!B19:G19,КОЭФФИЦИЕНТЫ_ВЫБОРА!F41:K41)</f>
        <v>0.3</v>
      </c>
      <c r="I3079" s="12" t="n">
        <f aca="false">SUMPRODUCT(ПОТОКИ!B17:G17,ЧАСОВЫЕ_ПРОФИЛИ!B19:G19,КОЭФФИЦИЕНТЫ_ВЫБОРА!F41:K41,ПАРАМЕТРЫ!$B$17:$G$17)</f>
        <v>0.33</v>
      </c>
      <c r="J3079" s="12" t="n">
        <f aca="false">I3079*G3079/1000</f>
        <v>0.0198</v>
      </c>
      <c r="K3079" s="11" t="s">
        <v>217</v>
      </c>
      <c r="L3079" s="11" t="s">
        <v>19</v>
      </c>
      <c r="M3079" s="11" t="s">
        <v>145</v>
      </c>
    </row>
    <row r="3080" customFormat="false" ht="15" hidden="false" customHeight="false" outlineLevel="0" collapsed="false">
      <c r="A3080" s="11" t="s">
        <v>113</v>
      </c>
      <c r="B3080" s="11" t="s">
        <v>133</v>
      </c>
      <c r="C3080" s="11" t="n">
        <v>1</v>
      </c>
      <c r="D3080" s="11" t="s">
        <v>74</v>
      </c>
      <c r="E3080" s="11" t="s">
        <v>153</v>
      </c>
      <c r="F3080" s="11" t="s">
        <v>73</v>
      </c>
      <c r="G3080" s="12" t="n">
        <v>450</v>
      </c>
      <c r="H3080" s="12" t="n">
        <f aca="false">SUMPRODUCT(ПОТОКИ!B17:G17,ЧАСОВЫЕ_ПРОФИЛИ!B20:G20,КОЭФФИЦИЕНТЫ_ВЫБОРА!F11:K11)</f>
        <v>0.192</v>
      </c>
      <c r="I3080" s="12" t="n">
        <f aca="false">SUMPRODUCT(ПОТОКИ!B17:G17,ЧАСОВЫЕ_ПРОФИЛИ!B20:G20,КОЭФФИЦИЕНТЫ_ВЫБОРА!F11:K11,ПАРАМЕТРЫ!$B$17:$G$17)</f>
        <v>0.2112</v>
      </c>
      <c r="J3080" s="12" t="n">
        <f aca="false">I3080*G3080/1000</f>
        <v>0.09504</v>
      </c>
      <c r="K3080" s="11" t="s">
        <v>217</v>
      </c>
      <c r="L3080" s="11" t="s">
        <v>19</v>
      </c>
      <c r="M3080" s="11" t="s">
        <v>145</v>
      </c>
    </row>
    <row r="3081" customFormat="false" ht="15" hidden="false" customHeight="false" outlineLevel="0" collapsed="false">
      <c r="A3081" s="11" t="s">
        <v>113</v>
      </c>
      <c r="B3081" s="11" t="s">
        <v>133</v>
      </c>
      <c r="C3081" s="11" t="n">
        <v>2</v>
      </c>
      <c r="D3081" s="11" t="s">
        <v>74</v>
      </c>
      <c r="E3081" s="11" t="s">
        <v>154</v>
      </c>
      <c r="F3081" s="11" t="s">
        <v>73</v>
      </c>
      <c r="G3081" s="12" t="n">
        <v>480</v>
      </c>
      <c r="H3081" s="12" t="n">
        <f aca="false">SUMPRODUCT(ПОТОКИ!B17:G17,ЧАСОВЫЕ_ПРОФИЛИ!B20:G20,КОЭФФИЦИЕНТЫ_ВЫБОРА!F12:K12)</f>
        <v>0.328</v>
      </c>
      <c r="I3081" s="12" t="n">
        <f aca="false">SUMPRODUCT(ПОТОКИ!B17:G17,ЧАСОВЫЕ_ПРОФИЛИ!B20:G20,КОЭФФИЦИЕНТЫ_ВЫБОРА!F12:K12,ПАРАМЕТРЫ!$B$17:$G$17)</f>
        <v>0.3608</v>
      </c>
      <c r="J3081" s="12" t="n">
        <f aca="false">I3081*G3081/1000</f>
        <v>0.173184</v>
      </c>
      <c r="K3081" s="11" t="s">
        <v>217</v>
      </c>
      <c r="L3081" s="11" t="s">
        <v>19</v>
      </c>
      <c r="M3081" s="11" t="s">
        <v>145</v>
      </c>
    </row>
    <row r="3082" customFormat="false" ht="15" hidden="false" customHeight="false" outlineLevel="0" collapsed="false">
      <c r="A3082" s="11" t="s">
        <v>113</v>
      </c>
      <c r="B3082" s="11" t="s">
        <v>133</v>
      </c>
      <c r="C3082" s="11" t="n">
        <v>3</v>
      </c>
      <c r="D3082" s="11" t="s">
        <v>74</v>
      </c>
      <c r="E3082" s="11" t="s">
        <v>155</v>
      </c>
      <c r="F3082" s="11" t="s">
        <v>73</v>
      </c>
      <c r="G3082" s="12" t="n">
        <v>500</v>
      </c>
      <c r="H3082" s="12" t="n">
        <f aca="false">SUMPRODUCT(ПОТОКИ!B17:G17,ЧАСОВЫЕ_ПРОФИЛИ!B20:G20,КОЭФФИЦИЕНТЫ_ВЫБОРА!F13:K13)</f>
        <v>0.492</v>
      </c>
      <c r="I3082" s="12" t="n">
        <f aca="false">SUMPRODUCT(ПОТОКИ!B17:G17,ЧАСОВЫЕ_ПРОФИЛИ!B20:G20,КОЭФФИЦИЕНТЫ_ВЫБОРА!F13:K13,ПАРАМЕТРЫ!$B$17:$G$17)</f>
        <v>0.5412</v>
      </c>
      <c r="J3082" s="12" t="n">
        <f aca="false">I3082*G3082/1000</f>
        <v>0.2706</v>
      </c>
      <c r="K3082" s="11" t="s">
        <v>217</v>
      </c>
      <c r="L3082" s="11" t="s">
        <v>19</v>
      </c>
      <c r="M3082" s="11" t="s">
        <v>145</v>
      </c>
    </row>
    <row r="3083" customFormat="false" ht="15" hidden="false" customHeight="false" outlineLevel="0" collapsed="false">
      <c r="A3083" s="11" t="s">
        <v>113</v>
      </c>
      <c r="B3083" s="11" t="s">
        <v>133</v>
      </c>
      <c r="C3083" s="11" t="n">
        <v>4</v>
      </c>
      <c r="D3083" s="11" t="s">
        <v>74</v>
      </c>
      <c r="E3083" s="11" t="s">
        <v>156</v>
      </c>
      <c r="F3083" s="11" t="s">
        <v>73</v>
      </c>
      <c r="G3083" s="12" t="n">
        <v>500</v>
      </c>
      <c r="H3083" s="12" t="n">
        <f aca="false">SUMPRODUCT(ПОТОКИ!B17:G17,ЧАСОВЫЕ_ПРОФИЛИ!B20:G20,КОЭФФИЦИЕНТЫ_ВЫБОРА!F14:K14)</f>
        <v>0.628</v>
      </c>
      <c r="I3083" s="12" t="n">
        <f aca="false">SUMPRODUCT(ПОТОКИ!B17:G17,ЧАСОВЫЕ_ПРОФИЛИ!B20:G20,КОЭФФИЦИЕНТЫ_ВЫБОРА!F14:K14,ПАРАМЕТРЫ!$B$17:$G$17)</f>
        <v>0.6908</v>
      </c>
      <c r="J3083" s="12" t="n">
        <f aca="false">I3083*G3083/1000</f>
        <v>0.3454</v>
      </c>
      <c r="K3083" s="11" t="s">
        <v>217</v>
      </c>
      <c r="L3083" s="11" t="s">
        <v>19</v>
      </c>
      <c r="M3083" s="11" t="s">
        <v>145</v>
      </c>
    </row>
    <row r="3084" customFormat="false" ht="15" hidden="false" customHeight="false" outlineLevel="0" collapsed="false">
      <c r="A3084" s="11" t="s">
        <v>113</v>
      </c>
      <c r="B3084" s="11" t="s">
        <v>133</v>
      </c>
      <c r="C3084" s="11" t="n">
        <v>5</v>
      </c>
      <c r="D3084" s="11" t="s">
        <v>78</v>
      </c>
      <c r="E3084" s="11" t="s">
        <v>157</v>
      </c>
      <c r="F3084" s="11" t="s">
        <v>77</v>
      </c>
      <c r="G3084" s="12" t="n">
        <v>100</v>
      </c>
      <c r="H3084" s="12" t="n">
        <f aca="false">SUMPRODUCT(ПОТОКИ!B17:G17,ЧАСОВЫЕ_ПРОФИЛИ!B20:G20,КОЭФФИЦИЕНТЫ_ВЫБОРА!F15:K15)</f>
        <v>0.472</v>
      </c>
      <c r="I3084" s="12" t="n">
        <f aca="false">SUMPRODUCT(ПОТОКИ!B17:G17,ЧАСОВЫЕ_ПРОФИЛИ!B20:G20,КОЭФФИЦИЕНТЫ_ВЫБОРА!F15:K15,ПАРАМЕТРЫ!$B$17:$G$17)</f>
        <v>0.5192</v>
      </c>
      <c r="J3084" s="12" t="n">
        <f aca="false">I3084*G3084/1000</f>
        <v>0.05192</v>
      </c>
      <c r="K3084" s="11" t="s">
        <v>217</v>
      </c>
      <c r="L3084" s="11" t="s">
        <v>19</v>
      </c>
      <c r="M3084" s="11" t="s">
        <v>147</v>
      </c>
    </row>
    <row r="3085" customFormat="false" ht="15" hidden="false" customHeight="false" outlineLevel="0" collapsed="false">
      <c r="A3085" s="11" t="s">
        <v>113</v>
      </c>
      <c r="B3085" s="11" t="s">
        <v>133</v>
      </c>
      <c r="C3085" s="11" t="n">
        <v>6</v>
      </c>
      <c r="D3085" s="11" t="s">
        <v>78</v>
      </c>
      <c r="E3085" s="11" t="s">
        <v>158</v>
      </c>
      <c r="F3085" s="11" t="s">
        <v>77</v>
      </c>
      <c r="G3085" s="12" t="n">
        <v>100</v>
      </c>
      <c r="H3085" s="12" t="n">
        <f aca="false">SUMPRODUCT(ПОТОКИ!B17:G17,ЧАСОВЫЕ_ПРОФИЛИ!B20:G20,КОЭФФИЦИЕНТЫ_ВЫБОРА!F16:K16)</f>
        <v>0.444</v>
      </c>
      <c r="I3085" s="12" t="n">
        <f aca="false">SUMPRODUCT(ПОТОКИ!B17:G17,ЧАСОВЫЕ_ПРОФИЛИ!B20:G20,КОЭФФИЦИЕНТЫ_ВЫБОРА!F16:K16,ПАРАМЕТРЫ!$B$17:$G$17)</f>
        <v>0.4884</v>
      </c>
      <c r="J3085" s="12" t="n">
        <f aca="false">I3085*G3085/1000</f>
        <v>0.04884</v>
      </c>
      <c r="K3085" s="11" t="s">
        <v>217</v>
      </c>
      <c r="L3085" s="11" t="s">
        <v>19</v>
      </c>
      <c r="M3085" s="11" t="s">
        <v>147</v>
      </c>
    </row>
    <row r="3086" customFormat="false" ht="15" hidden="false" customHeight="false" outlineLevel="0" collapsed="false">
      <c r="A3086" s="11" t="s">
        <v>113</v>
      </c>
      <c r="B3086" s="11" t="s">
        <v>133</v>
      </c>
      <c r="C3086" s="11" t="n">
        <v>7</v>
      </c>
      <c r="D3086" s="11" t="s">
        <v>78</v>
      </c>
      <c r="E3086" s="11" t="s">
        <v>159</v>
      </c>
      <c r="F3086" s="11" t="s">
        <v>77</v>
      </c>
      <c r="G3086" s="12" t="n">
        <v>350</v>
      </c>
      <c r="H3086" s="12" t="n">
        <f aca="false">SUMPRODUCT(ПОТОКИ!B17:G17,ЧАСОВЫЕ_ПРОФИЛИ!B20:G20,КОЭФФИЦИЕНТЫ_ВЫБОРА!F17:K17)</f>
        <v>0.384</v>
      </c>
      <c r="I3086" s="12" t="n">
        <f aca="false">SUMPRODUCT(ПОТОКИ!B17:G17,ЧАСОВЫЕ_ПРОФИЛИ!B20:G20,КОЭФФИЦИЕНТЫ_ВЫБОРА!F17:K17,ПАРАМЕТРЫ!$B$17:$G$17)</f>
        <v>0.4224</v>
      </c>
      <c r="J3086" s="12" t="n">
        <f aca="false">I3086*G3086/1000</f>
        <v>0.14784</v>
      </c>
      <c r="K3086" s="11" t="s">
        <v>217</v>
      </c>
      <c r="L3086" s="11" t="s">
        <v>19</v>
      </c>
      <c r="M3086" s="11" t="s">
        <v>147</v>
      </c>
    </row>
    <row r="3087" customFormat="false" ht="15" hidden="false" customHeight="false" outlineLevel="0" collapsed="false">
      <c r="A3087" s="11" t="s">
        <v>113</v>
      </c>
      <c r="B3087" s="11" t="s">
        <v>133</v>
      </c>
      <c r="C3087" s="11" t="n">
        <v>8</v>
      </c>
      <c r="D3087" s="11" t="s">
        <v>78</v>
      </c>
      <c r="E3087" s="11" t="s">
        <v>160</v>
      </c>
      <c r="F3087" s="11" t="s">
        <v>77</v>
      </c>
      <c r="G3087" s="12" t="n">
        <v>85</v>
      </c>
      <c r="H3087" s="12" t="n">
        <f aca="false">SUMPRODUCT(ПОТОКИ!B17:G17,ЧАСОВЫЕ_ПРОФИЛИ!B20:G20,КОЭФФИЦИЕНТЫ_ВЫБОРА!F18:K18)</f>
        <v>0.236</v>
      </c>
      <c r="I3087" s="12" t="n">
        <f aca="false">SUMPRODUCT(ПОТОКИ!B17:G17,ЧАСОВЫЕ_ПРОФИЛИ!B20:G20,КОЭФФИЦИЕНТЫ_ВЫБОРА!F18:K18,ПАРАМЕТРЫ!$B$17:$G$17)</f>
        <v>0.2596</v>
      </c>
      <c r="J3087" s="12" t="n">
        <f aca="false">I3087*G3087/1000</f>
        <v>0.022066</v>
      </c>
      <c r="K3087" s="11" t="s">
        <v>217</v>
      </c>
      <c r="L3087" s="11" t="s">
        <v>19</v>
      </c>
      <c r="M3087" s="11" t="s">
        <v>147</v>
      </c>
    </row>
    <row r="3088" customFormat="false" ht="15" hidden="false" customHeight="false" outlineLevel="0" collapsed="false">
      <c r="A3088" s="11" t="s">
        <v>113</v>
      </c>
      <c r="B3088" s="11" t="s">
        <v>133</v>
      </c>
      <c r="C3088" s="11" t="n">
        <v>9</v>
      </c>
      <c r="D3088" s="11" t="s">
        <v>161</v>
      </c>
      <c r="E3088" s="11" t="s">
        <v>162</v>
      </c>
      <c r="F3088" s="11" t="s">
        <v>80</v>
      </c>
      <c r="G3088" s="12" t="n">
        <v>300</v>
      </c>
      <c r="H3088" s="12" t="n">
        <f aca="false">SUMPRODUCT(ПОТОКИ!B17:G17,ЧАСОВЫЕ_ПРОФИЛИ!B20:G20,КОЭФФИЦИЕНТЫ_ВЫБОРА!F19:K19)</f>
        <v>0.246</v>
      </c>
      <c r="I3088" s="12" t="n">
        <f aca="false">SUMPRODUCT(ПОТОКИ!B17:G17,ЧАСОВЫЕ_ПРОФИЛИ!B20:G20,КОЭФФИЦИЕНТЫ_ВЫБОРА!F19:K19,ПАРАМЕТРЫ!$B$17:$G$17)</f>
        <v>0.2706</v>
      </c>
      <c r="J3088" s="12" t="n">
        <f aca="false">I3088*G3088/1000</f>
        <v>0.08118</v>
      </c>
      <c r="K3088" s="11" t="s">
        <v>217</v>
      </c>
      <c r="L3088" s="11" t="s">
        <v>19</v>
      </c>
      <c r="M3088" s="11" t="s">
        <v>145</v>
      </c>
    </row>
    <row r="3089" customFormat="false" ht="15" hidden="false" customHeight="false" outlineLevel="0" collapsed="false">
      <c r="A3089" s="11" t="s">
        <v>113</v>
      </c>
      <c r="B3089" s="11" t="s">
        <v>133</v>
      </c>
      <c r="C3089" s="11" t="n">
        <v>10</v>
      </c>
      <c r="D3089" s="11" t="s">
        <v>161</v>
      </c>
      <c r="E3089" s="11" t="s">
        <v>163</v>
      </c>
      <c r="F3089" s="11" t="s">
        <v>80</v>
      </c>
      <c r="G3089" s="12" t="n">
        <v>280</v>
      </c>
      <c r="H3089" s="12" t="n">
        <f aca="false">SUMPRODUCT(ПОТОКИ!B17:G17,ЧАСОВЫЕ_ПРОФИЛИ!B20:G20,КОЭФФИЦИЕНТЫ_ВЫБОРА!F20:K20)</f>
        <v>0.282</v>
      </c>
      <c r="I3089" s="12" t="n">
        <f aca="false">SUMPRODUCT(ПОТОКИ!B17:G17,ЧАСОВЫЕ_ПРОФИЛИ!B20:G20,КОЭФФИЦИЕНТЫ_ВЫБОРА!F20:K20,ПАРАМЕТРЫ!$B$17:$G$17)</f>
        <v>0.3102</v>
      </c>
      <c r="J3089" s="12" t="n">
        <f aca="false">I3089*G3089/1000</f>
        <v>0.086856</v>
      </c>
      <c r="K3089" s="11" t="s">
        <v>217</v>
      </c>
      <c r="L3089" s="11" t="s">
        <v>19</v>
      </c>
      <c r="M3089" s="11" t="s">
        <v>145</v>
      </c>
    </row>
    <row r="3090" customFormat="false" ht="15" hidden="false" customHeight="false" outlineLevel="0" collapsed="false">
      <c r="A3090" s="11" t="s">
        <v>113</v>
      </c>
      <c r="B3090" s="11" t="s">
        <v>133</v>
      </c>
      <c r="C3090" s="11" t="n">
        <v>11</v>
      </c>
      <c r="D3090" s="11" t="s">
        <v>161</v>
      </c>
      <c r="E3090" s="11" t="s">
        <v>164</v>
      </c>
      <c r="F3090" s="11" t="s">
        <v>80</v>
      </c>
      <c r="G3090" s="12" t="n">
        <v>270</v>
      </c>
      <c r="H3090" s="12" t="n">
        <f aca="false">SUMPRODUCT(ПОТОКИ!B17:G17,ЧАСОВЫЕ_ПРОФИЛИ!B20:G20,КОЭФФИЦИЕНТЫ_ВЫБОРА!F21:K21)</f>
        <v>0.456</v>
      </c>
      <c r="I3090" s="12" t="n">
        <f aca="false">SUMPRODUCT(ПОТОКИ!B17:G17,ЧАСОВЫЕ_ПРОФИЛИ!B20:G20,КОЭФФИЦИЕНТЫ_ВЫБОРА!F21:K21,ПАРАМЕТРЫ!$B$17:$G$17)</f>
        <v>0.5016</v>
      </c>
      <c r="J3090" s="12" t="n">
        <f aca="false">I3090*G3090/1000</f>
        <v>0.135432</v>
      </c>
      <c r="K3090" s="11" t="s">
        <v>217</v>
      </c>
      <c r="L3090" s="11" t="s">
        <v>19</v>
      </c>
      <c r="M3090" s="11" t="s">
        <v>145</v>
      </c>
    </row>
    <row r="3091" customFormat="false" ht="15" hidden="false" customHeight="false" outlineLevel="0" collapsed="false">
      <c r="A3091" s="11" t="s">
        <v>113</v>
      </c>
      <c r="B3091" s="11" t="s">
        <v>133</v>
      </c>
      <c r="C3091" s="11" t="n">
        <v>12</v>
      </c>
      <c r="D3091" s="11" t="s">
        <v>161</v>
      </c>
      <c r="E3091" s="11" t="s">
        <v>165</v>
      </c>
      <c r="F3091" s="11" t="s">
        <v>80</v>
      </c>
      <c r="G3091" s="12" t="n">
        <v>240</v>
      </c>
      <c r="H3091" s="12" t="n">
        <f aca="false">SUMPRODUCT(ПОТОКИ!B17:G17,ЧАСОВЫЕ_ПРОФИЛИ!B20:G20,КОЭФФИЦИЕНТЫ_ВЫБОРА!F22:K22)</f>
        <v>0.216</v>
      </c>
      <c r="I3091" s="12" t="n">
        <f aca="false">SUMPRODUCT(ПОТОКИ!B17:G17,ЧАСОВЫЕ_ПРОФИЛИ!B20:G20,КОЭФФИЦИЕНТЫ_ВЫБОРА!F22:K22,ПАРАМЕТРЫ!$B$17:$G$17)</f>
        <v>0.2376</v>
      </c>
      <c r="J3091" s="12" t="n">
        <f aca="false">I3091*G3091/1000</f>
        <v>0.057024</v>
      </c>
      <c r="K3091" s="11" t="s">
        <v>217</v>
      </c>
      <c r="L3091" s="11" t="s">
        <v>19</v>
      </c>
      <c r="M3091" s="11" t="s">
        <v>145</v>
      </c>
    </row>
    <row r="3092" customFormat="false" ht="15" hidden="false" customHeight="false" outlineLevel="0" collapsed="false">
      <c r="A3092" s="11" t="s">
        <v>113</v>
      </c>
      <c r="B3092" s="11" t="s">
        <v>133</v>
      </c>
      <c r="C3092" s="11" t="n">
        <v>13</v>
      </c>
      <c r="D3092" s="11" t="s">
        <v>166</v>
      </c>
      <c r="E3092" s="11" t="s">
        <v>167</v>
      </c>
      <c r="F3092" s="11" t="s">
        <v>80</v>
      </c>
      <c r="G3092" s="12" t="n">
        <v>130</v>
      </c>
      <c r="H3092" s="12" t="n">
        <f aca="false">SUMPRODUCT(ПОТОКИ!B17:G17,ЧАСОВЫЕ_ПРОФИЛИ!B20:G20,КОЭФФИЦИЕНТЫ_ВЫБОРА!F23:K23)</f>
        <v>0.14</v>
      </c>
      <c r="I3092" s="12" t="n">
        <f aca="false">SUMPRODUCT(ПОТОКИ!B17:G17,ЧАСОВЫЕ_ПРОФИЛИ!B20:G20,КОЭФФИЦИЕНТЫ_ВЫБОРА!F23:K23,ПАРАМЕТРЫ!$B$17:$G$17)</f>
        <v>0.154</v>
      </c>
      <c r="J3092" s="12" t="n">
        <f aca="false">I3092*G3092/1000</f>
        <v>0.02002</v>
      </c>
      <c r="K3092" s="11" t="s">
        <v>217</v>
      </c>
      <c r="L3092" s="11" t="s">
        <v>19</v>
      </c>
      <c r="M3092" s="11" t="s">
        <v>145</v>
      </c>
    </row>
    <row r="3093" customFormat="false" ht="15" hidden="false" customHeight="false" outlineLevel="0" collapsed="false">
      <c r="A3093" s="11" t="s">
        <v>113</v>
      </c>
      <c r="B3093" s="11" t="s">
        <v>133</v>
      </c>
      <c r="C3093" s="11" t="n">
        <v>14</v>
      </c>
      <c r="D3093" s="11" t="s">
        <v>166</v>
      </c>
      <c r="E3093" s="11" t="s">
        <v>168</v>
      </c>
      <c r="F3093" s="11" t="s">
        <v>80</v>
      </c>
      <c r="G3093" s="12" t="n">
        <v>250</v>
      </c>
      <c r="H3093" s="12" t="n">
        <f aca="false">SUMPRODUCT(ПОТОКИ!B17:G17,ЧАСОВЫЕ_ПРОФИЛИ!B20:G20,КОЭФФИЦИЕНТЫ_ВЫБОРА!F24:K24)</f>
        <v>0.084</v>
      </c>
      <c r="I3093" s="12" t="n">
        <f aca="false">SUMPRODUCT(ПОТОКИ!B17:G17,ЧАСОВЫЕ_ПРОФИЛИ!B20:G20,КОЭФФИЦИЕНТЫ_ВЫБОРА!F24:K24,ПАРАМЕТРЫ!$B$17:$G$17)</f>
        <v>0.0924</v>
      </c>
      <c r="J3093" s="12" t="n">
        <f aca="false">I3093*G3093/1000</f>
        <v>0.0231</v>
      </c>
      <c r="K3093" s="11" t="s">
        <v>217</v>
      </c>
      <c r="L3093" s="11" t="s">
        <v>19</v>
      </c>
      <c r="M3093" s="11" t="s">
        <v>145</v>
      </c>
    </row>
    <row r="3094" customFormat="false" ht="15" hidden="false" customHeight="false" outlineLevel="0" collapsed="false">
      <c r="A3094" s="11" t="s">
        <v>113</v>
      </c>
      <c r="B3094" s="11" t="s">
        <v>133</v>
      </c>
      <c r="C3094" s="11" t="n">
        <v>15</v>
      </c>
      <c r="D3094" s="11" t="s">
        <v>166</v>
      </c>
      <c r="E3094" s="11" t="s">
        <v>169</v>
      </c>
      <c r="F3094" s="11" t="s">
        <v>80</v>
      </c>
      <c r="G3094" s="12" t="n">
        <v>120</v>
      </c>
      <c r="H3094" s="12" t="n">
        <f aca="false">SUMPRODUCT(ПОТОКИ!B17:G17,ЧАСОВЫЕ_ПРОФИЛИ!B20:G20,КОЭФФИЦИЕНТЫ_ВЫБОРА!F25:K25)</f>
        <v>0.084</v>
      </c>
      <c r="I3094" s="12" t="n">
        <f aca="false">SUMPRODUCT(ПОТОКИ!B17:G17,ЧАСОВЫЕ_ПРОФИЛИ!B20:G20,КОЭФФИЦИЕНТЫ_ВЫБОРА!F25:K25,ПАРАМЕТРЫ!$B$17:$G$17)</f>
        <v>0.0924</v>
      </c>
      <c r="J3094" s="12" t="n">
        <f aca="false">I3094*G3094/1000</f>
        <v>0.011088</v>
      </c>
      <c r="K3094" s="11" t="s">
        <v>217</v>
      </c>
      <c r="L3094" s="11" t="s">
        <v>19</v>
      </c>
      <c r="M3094" s="11" t="s">
        <v>145</v>
      </c>
    </row>
    <row r="3095" customFormat="false" ht="15" hidden="false" customHeight="false" outlineLevel="0" collapsed="false">
      <c r="A3095" s="11" t="s">
        <v>113</v>
      </c>
      <c r="B3095" s="11" t="s">
        <v>133</v>
      </c>
      <c r="C3095" s="11" t="n">
        <v>16</v>
      </c>
      <c r="D3095" s="11" t="s">
        <v>166</v>
      </c>
      <c r="E3095" s="11" t="s">
        <v>170</v>
      </c>
      <c r="F3095" s="11" t="s">
        <v>80</v>
      </c>
      <c r="G3095" s="12" t="n">
        <v>180</v>
      </c>
      <c r="H3095" s="12" t="n">
        <f aca="false">SUMPRODUCT(ПОТОКИ!B17:G17,ЧАСОВЫЕ_ПРОФИЛИ!B20:G20,КОЭФФИЦИЕНТЫ_ВЫБОРА!F26:K26)</f>
        <v>0.112</v>
      </c>
      <c r="I3095" s="12" t="n">
        <f aca="false">SUMPRODUCT(ПОТОКИ!B17:G17,ЧАСОВЫЕ_ПРОФИЛИ!B20:G20,КОЭФФИЦИЕНТЫ_ВЫБОРА!F26:K26,ПАРАМЕТРЫ!$B$17:$G$17)</f>
        <v>0.1232</v>
      </c>
      <c r="J3095" s="12" t="n">
        <f aca="false">I3095*G3095/1000</f>
        <v>0.022176</v>
      </c>
      <c r="K3095" s="11" t="s">
        <v>217</v>
      </c>
      <c r="L3095" s="11" t="s">
        <v>19</v>
      </c>
      <c r="M3095" s="11" t="s">
        <v>145</v>
      </c>
    </row>
    <row r="3096" customFormat="false" ht="15" hidden="false" customHeight="false" outlineLevel="0" collapsed="false">
      <c r="A3096" s="11" t="s">
        <v>113</v>
      </c>
      <c r="B3096" s="11" t="s">
        <v>133</v>
      </c>
      <c r="C3096" s="11" t="n">
        <v>17</v>
      </c>
      <c r="D3096" s="11" t="s">
        <v>166</v>
      </c>
      <c r="E3096" s="11" t="s">
        <v>171</v>
      </c>
      <c r="F3096" s="11" t="s">
        <v>80</v>
      </c>
      <c r="G3096" s="12" t="n">
        <v>180</v>
      </c>
      <c r="H3096" s="12" t="n">
        <f aca="false">SUMPRODUCT(ПОТОКИ!B17:G17,ЧАСОВЫЕ_ПРОФИЛИ!B20:G20,КОЭФФИЦИЕНТЫ_ВЫБОРА!F27:K27)</f>
        <v>0.14</v>
      </c>
      <c r="I3096" s="12" t="n">
        <f aca="false">SUMPRODUCT(ПОТОКИ!B17:G17,ЧАСОВЫЕ_ПРОФИЛИ!B20:G20,КОЭФФИЦИЕНТЫ_ВЫБОРА!F27:K27,ПАРАМЕТРЫ!$B$17:$G$17)</f>
        <v>0.154</v>
      </c>
      <c r="J3096" s="12" t="n">
        <f aca="false">I3096*G3096/1000</f>
        <v>0.02772</v>
      </c>
      <c r="K3096" s="11" t="s">
        <v>217</v>
      </c>
      <c r="L3096" s="11" t="s">
        <v>19</v>
      </c>
      <c r="M3096" s="11" t="s">
        <v>145</v>
      </c>
    </row>
    <row r="3097" customFormat="false" ht="15" hidden="false" customHeight="false" outlineLevel="0" collapsed="false">
      <c r="A3097" s="11" t="s">
        <v>113</v>
      </c>
      <c r="B3097" s="11" t="s">
        <v>133</v>
      </c>
      <c r="C3097" s="11" t="n">
        <v>18</v>
      </c>
      <c r="D3097" s="11" t="s">
        <v>172</v>
      </c>
      <c r="E3097" s="11" t="s">
        <v>173</v>
      </c>
      <c r="F3097" s="11" t="s">
        <v>83</v>
      </c>
      <c r="G3097" s="12" t="n">
        <v>400</v>
      </c>
      <c r="H3097" s="12" t="n">
        <f aca="false">SUMPRODUCT(ПОТОКИ!B17:G17,ЧАСОВЫЕ_ПРОФИЛИ!B20:G20,КОЭФФИЦИЕНТЫ_ВЫБОРА!F28:K28)</f>
        <v>0.28</v>
      </c>
      <c r="I3097" s="12" t="n">
        <f aca="false">SUMPRODUCT(ПОТОКИ!B17:G17,ЧАСОВЫЕ_ПРОФИЛИ!B20:G20,КОЭФФИЦИЕНТЫ_ВЫБОРА!F28:K28,ПАРАМЕТРЫ!$B$17:$G$17)</f>
        <v>0.308</v>
      </c>
      <c r="J3097" s="12" t="n">
        <f aca="false">I3097*G3097/1000</f>
        <v>0.1232</v>
      </c>
      <c r="K3097" s="11" t="s">
        <v>217</v>
      </c>
      <c r="L3097" s="11" t="s">
        <v>19</v>
      </c>
      <c r="M3097" s="11" t="s">
        <v>145</v>
      </c>
    </row>
    <row r="3098" customFormat="false" ht="23.85" hidden="false" customHeight="false" outlineLevel="0" collapsed="false">
      <c r="A3098" s="11" t="s">
        <v>113</v>
      </c>
      <c r="B3098" s="11" t="s">
        <v>133</v>
      </c>
      <c r="C3098" s="11" t="n">
        <v>19</v>
      </c>
      <c r="D3098" s="11" t="s">
        <v>174</v>
      </c>
      <c r="E3098" s="11" t="s">
        <v>175</v>
      </c>
      <c r="F3098" s="11" t="s">
        <v>83</v>
      </c>
      <c r="G3098" s="12" t="n">
        <v>300</v>
      </c>
      <c r="H3098" s="12" t="n">
        <f aca="false">SUMPRODUCT(ПОТОКИ!B17:G17,ЧАСОВЫЕ_ПРОФИЛИ!B20:G20,КОЭФФИЦИЕНТЫ_ВЫБОРА!F29:K29)</f>
        <v>0.647</v>
      </c>
      <c r="I3098" s="12" t="n">
        <f aca="false">SUMPRODUCT(ПОТОКИ!B17:G17,ЧАСОВЫЕ_ПРОФИЛИ!B20:G20,КОЭФФИЦИЕНТЫ_ВЫБОРА!F29:K29,ПАРАМЕТРЫ!$B$17:$G$17)</f>
        <v>0.7117</v>
      </c>
      <c r="J3098" s="12" t="n">
        <f aca="false">I3098*G3098/1000</f>
        <v>0.21351</v>
      </c>
      <c r="K3098" s="11" t="s">
        <v>217</v>
      </c>
      <c r="L3098" s="11" t="s">
        <v>19</v>
      </c>
      <c r="M3098" s="11" t="s">
        <v>145</v>
      </c>
    </row>
    <row r="3099" customFormat="false" ht="15" hidden="false" customHeight="false" outlineLevel="0" collapsed="false">
      <c r="A3099" s="11" t="s">
        <v>113</v>
      </c>
      <c r="B3099" s="11" t="s">
        <v>133</v>
      </c>
      <c r="C3099" s="11" t="n">
        <v>20</v>
      </c>
      <c r="D3099" s="11" t="s">
        <v>174</v>
      </c>
      <c r="E3099" s="11" t="s">
        <v>176</v>
      </c>
      <c r="F3099" s="11" t="s">
        <v>83</v>
      </c>
      <c r="G3099" s="12" t="n">
        <v>360</v>
      </c>
      <c r="H3099" s="12" t="n">
        <f aca="false">SUMPRODUCT(ПОТОКИ!B17:G17,ЧАСОВЫЕ_ПРОФИЛИ!B20:G20,КОЭФФИЦИЕНТЫ_ВЫБОРА!F30:K30)</f>
        <v>0.604</v>
      </c>
      <c r="I3099" s="12" t="n">
        <f aca="false">SUMPRODUCT(ПОТОКИ!B17:G17,ЧАСОВЫЕ_ПРОФИЛИ!B20:G20,КОЭФФИЦИЕНТЫ_ВЫБОРА!F30:K30,ПАРАМЕТРЫ!$B$17:$G$17)</f>
        <v>0.6644</v>
      </c>
      <c r="J3099" s="12" t="n">
        <f aca="false">I3099*G3099/1000</f>
        <v>0.239184</v>
      </c>
      <c r="K3099" s="11" t="s">
        <v>217</v>
      </c>
      <c r="L3099" s="11" t="s">
        <v>19</v>
      </c>
      <c r="M3099" s="11" t="s">
        <v>145</v>
      </c>
    </row>
    <row r="3100" customFormat="false" ht="15" hidden="false" customHeight="false" outlineLevel="0" collapsed="false">
      <c r="A3100" s="11" t="s">
        <v>113</v>
      </c>
      <c r="B3100" s="11" t="s">
        <v>133</v>
      </c>
      <c r="C3100" s="11" t="n">
        <v>21</v>
      </c>
      <c r="D3100" s="11" t="s">
        <v>174</v>
      </c>
      <c r="E3100" s="11" t="s">
        <v>177</v>
      </c>
      <c r="F3100" s="11" t="s">
        <v>83</v>
      </c>
      <c r="G3100" s="12" t="n">
        <v>350</v>
      </c>
      <c r="H3100" s="12" t="n">
        <f aca="false">SUMPRODUCT(ПОТОКИ!B17:G17,ЧАСОВЫЕ_ПРОФИЛИ!B20:G20,КОЭФФИЦИЕНТЫ_ВЫБОРА!F31:K31)</f>
        <v>0.93</v>
      </c>
      <c r="I3100" s="12" t="n">
        <f aca="false">SUMPRODUCT(ПОТОКИ!B17:G17,ЧАСОВЫЕ_ПРОФИЛИ!B20:G20,КОЭФФИЦИЕНТЫ_ВЫБОРА!F31:K31,ПАРАМЕТРЫ!$B$17:$G$17)</f>
        <v>1.023</v>
      </c>
      <c r="J3100" s="12" t="n">
        <f aca="false">I3100*G3100/1000</f>
        <v>0.35805</v>
      </c>
      <c r="K3100" s="11" t="s">
        <v>217</v>
      </c>
      <c r="L3100" s="11" t="s">
        <v>19</v>
      </c>
      <c r="M3100" s="11" t="s">
        <v>145</v>
      </c>
    </row>
    <row r="3101" customFormat="false" ht="15" hidden="false" customHeight="false" outlineLevel="0" collapsed="false">
      <c r="A3101" s="11" t="s">
        <v>113</v>
      </c>
      <c r="B3101" s="11" t="s">
        <v>133</v>
      </c>
      <c r="C3101" s="11" t="n">
        <v>22</v>
      </c>
      <c r="D3101" s="11" t="s">
        <v>174</v>
      </c>
      <c r="E3101" s="11" t="s">
        <v>178</v>
      </c>
      <c r="F3101" s="11" t="s">
        <v>83</v>
      </c>
      <c r="G3101" s="12" t="n">
        <v>300</v>
      </c>
      <c r="H3101" s="12" t="n">
        <f aca="false">SUMPRODUCT(ПОТОКИ!B17:G17,ЧАСОВЫЕ_ПРОФИЛИ!B20:G20,КОЭФФИЦИЕНТЫ_ВЫБОРА!F32:K32)</f>
        <v>0.599</v>
      </c>
      <c r="I3101" s="12" t="n">
        <f aca="false">SUMPRODUCT(ПОТОКИ!B17:G17,ЧАСОВЫЕ_ПРОФИЛИ!B20:G20,КОЭФФИЦИЕНТЫ_ВЫБОРА!F32:K32,ПАРАМЕТРЫ!$B$17:$G$17)</f>
        <v>0.6589</v>
      </c>
      <c r="J3101" s="12" t="n">
        <f aca="false">I3101*G3101/1000</f>
        <v>0.19767</v>
      </c>
      <c r="K3101" s="11" t="s">
        <v>217</v>
      </c>
      <c r="L3101" s="11" t="s">
        <v>19</v>
      </c>
      <c r="M3101" s="11" t="s">
        <v>145</v>
      </c>
    </row>
    <row r="3102" customFormat="false" ht="15" hidden="false" customHeight="false" outlineLevel="0" collapsed="false">
      <c r="A3102" s="11" t="s">
        <v>113</v>
      </c>
      <c r="B3102" s="11" t="s">
        <v>133</v>
      </c>
      <c r="C3102" s="11" t="n">
        <v>23</v>
      </c>
      <c r="D3102" s="11" t="s">
        <v>86</v>
      </c>
      <c r="E3102" s="11" t="s">
        <v>179</v>
      </c>
      <c r="F3102" s="11" t="s">
        <v>85</v>
      </c>
      <c r="G3102" s="12" t="n">
        <v>150</v>
      </c>
      <c r="H3102" s="12" t="n">
        <f aca="false">SUMPRODUCT(ПОТОКИ!B17:G17,ЧАСОВЫЕ_ПРОФИЛИ!B20:G20,КОЭФФИЦИЕНТЫ_ВЫБОРА!F33:K33)</f>
        <v>0.43876</v>
      </c>
      <c r="I3102" s="12" t="n">
        <f aca="false">SUMPRODUCT(ПОТОКИ!B17:G17,ЧАСОВЫЕ_ПРОФИЛИ!B20:G20,КОЭФФИЦИЕНТЫ_ВЫБОРА!F33:K33,ПАРАМЕТРЫ!$B$17:$G$17)</f>
        <v>0.482636</v>
      </c>
      <c r="J3102" s="12" t="n">
        <f aca="false">I3102*G3102/1000</f>
        <v>0.0723954</v>
      </c>
      <c r="K3102" s="11" t="s">
        <v>217</v>
      </c>
      <c r="L3102" s="11" t="s">
        <v>19</v>
      </c>
      <c r="M3102" s="11" t="s">
        <v>147</v>
      </c>
    </row>
    <row r="3103" customFormat="false" ht="15" hidden="false" customHeight="false" outlineLevel="0" collapsed="false">
      <c r="A3103" s="11" t="s">
        <v>113</v>
      </c>
      <c r="B3103" s="11" t="s">
        <v>133</v>
      </c>
      <c r="C3103" s="11" t="n">
        <v>24</v>
      </c>
      <c r="D3103" s="11" t="s">
        <v>86</v>
      </c>
      <c r="E3103" s="11" t="s">
        <v>180</v>
      </c>
      <c r="F3103" s="11" t="s">
        <v>85</v>
      </c>
      <c r="G3103" s="12" t="n">
        <v>150</v>
      </c>
      <c r="H3103" s="12" t="n">
        <f aca="false">SUMPRODUCT(ПОТОКИ!B17:G17,ЧАСОВЫЕ_ПРОФИЛИ!B20:G20,КОЭФФИЦИЕНТЫ_ВЫБОРА!F34:K34)</f>
        <v>0.21938</v>
      </c>
      <c r="I3103" s="12" t="n">
        <f aca="false">SUMPRODUCT(ПОТОКИ!B17:G17,ЧАСОВЫЕ_ПРОФИЛИ!B20:G20,КОЭФФИЦИЕНТЫ_ВЫБОРА!F34:K34,ПАРАМЕТРЫ!$B$17:$G$17)</f>
        <v>0.241318</v>
      </c>
      <c r="J3103" s="12" t="n">
        <f aca="false">I3103*G3103/1000</f>
        <v>0.0361977</v>
      </c>
      <c r="K3103" s="11" t="s">
        <v>217</v>
      </c>
      <c r="L3103" s="11" t="s">
        <v>19</v>
      </c>
      <c r="M3103" s="11" t="s">
        <v>147</v>
      </c>
    </row>
    <row r="3104" customFormat="false" ht="15" hidden="false" customHeight="false" outlineLevel="0" collapsed="false">
      <c r="A3104" s="11" t="s">
        <v>113</v>
      </c>
      <c r="B3104" s="11" t="s">
        <v>133</v>
      </c>
      <c r="C3104" s="11" t="n">
        <v>25</v>
      </c>
      <c r="D3104" s="11" t="s">
        <v>86</v>
      </c>
      <c r="E3104" s="11" t="s">
        <v>181</v>
      </c>
      <c r="F3104" s="11" t="s">
        <v>85</v>
      </c>
      <c r="G3104" s="12" t="n">
        <v>150</v>
      </c>
      <c r="H3104" s="12" t="n">
        <f aca="false">SUMPRODUCT(ПОТОКИ!B17:G17,ЧАСОВЫЕ_ПРОФИЛИ!B20:G20,КОЭФФИЦИЕНТЫ_ВЫБОРА!F35:K35)</f>
        <v>0.43876</v>
      </c>
      <c r="I3104" s="12" t="n">
        <f aca="false">SUMPRODUCT(ПОТОКИ!B17:G17,ЧАСОВЫЕ_ПРОФИЛИ!B20:G20,КОЭФФИЦИЕНТЫ_ВЫБОРА!F35:K35,ПАРАМЕТРЫ!$B$17:$G$17)</f>
        <v>0.482636</v>
      </c>
      <c r="J3104" s="12" t="n">
        <f aca="false">I3104*G3104/1000</f>
        <v>0.0723954</v>
      </c>
      <c r="K3104" s="11" t="s">
        <v>217</v>
      </c>
      <c r="L3104" s="11" t="s">
        <v>19</v>
      </c>
      <c r="M3104" s="11" t="s">
        <v>147</v>
      </c>
    </row>
    <row r="3105" customFormat="false" ht="23.85" hidden="false" customHeight="false" outlineLevel="0" collapsed="false">
      <c r="A3105" s="11" t="s">
        <v>113</v>
      </c>
      <c r="B3105" s="11" t="s">
        <v>133</v>
      </c>
      <c r="C3105" s="11" t="n">
        <v>26</v>
      </c>
      <c r="D3105" s="11" t="s">
        <v>89</v>
      </c>
      <c r="E3105" s="11" t="s">
        <v>182</v>
      </c>
      <c r="F3105" s="11" t="s">
        <v>88</v>
      </c>
      <c r="G3105" s="12" t="n">
        <v>225</v>
      </c>
      <c r="H3105" s="12" t="n">
        <f aca="false">SUMPRODUCT(ПОТОКИ!B17:G17,ЧАСОВЫЕ_ПРОФИЛИ!B20:G20,КОЭФФИЦИЕНТЫ_ВЫБОРА!F36:K36)</f>
        <v>0</v>
      </c>
      <c r="I3105" s="12" t="n">
        <f aca="false">SUMPRODUCT(ПОТОКИ!B17:G17,ЧАСОВЫЕ_ПРОФИЛИ!B20:G20,КОЭФФИЦИЕНТЫ_ВЫБОРА!F36:K36,ПАРАМЕТРЫ!$B$17:$G$17)</f>
        <v>0</v>
      </c>
      <c r="J3105" s="12" t="n">
        <f aca="false">I3105*G3105/1000</f>
        <v>0</v>
      </c>
      <c r="K3105" s="11" t="s">
        <v>217</v>
      </c>
      <c r="L3105" s="11" t="s">
        <v>19</v>
      </c>
      <c r="M3105" s="11" t="s">
        <v>145</v>
      </c>
    </row>
    <row r="3106" customFormat="false" ht="23.85" hidden="false" customHeight="false" outlineLevel="0" collapsed="false">
      <c r="A3106" s="11" t="s">
        <v>113</v>
      </c>
      <c r="B3106" s="11" t="s">
        <v>133</v>
      </c>
      <c r="C3106" s="11" t="n">
        <v>27</v>
      </c>
      <c r="D3106" s="11" t="s">
        <v>89</v>
      </c>
      <c r="E3106" s="11" t="s">
        <v>183</v>
      </c>
      <c r="F3106" s="11" t="s">
        <v>88</v>
      </c>
      <c r="G3106" s="12" t="n">
        <v>265</v>
      </c>
      <c r="H3106" s="12" t="n">
        <f aca="false">SUMPRODUCT(ПОТОКИ!B17:G17,ЧАСОВЫЕ_ПРОФИЛИ!B20:G20,КОЭФФИЦИЕНТЫ_ВЫБОРА!F37:K37)</f>
        <v>0</v>
      </c>
      <c r="I3106" s="12" t="n">
        <f aca="false">SUMPRODUCT(ПОТОКИ!B17:G17,ЧАСОВЫЕ_ПРОФИЛИ!B20:G20,КОЭФФИЦИЕНТЫ_ВЫБОРА!F37:K37,ПАРАМЕТРЫ!$B$17:$G$17)</f>
        <v>0</v>
      </c>
      <c r="J3106" s="12" t="n">
        <f aca="false">I3106*G3106/1000</f>
        <v>0</v>
      </c>
      <c r="K3106" s="11" t="s">
        <v>217</v>
      </c>
      <c r="L3106" s="11" t="s">
        <v>19</v>
      </c>
      <c r="M3106" s="11" t="s">
        <v>145</v>
      </c>
    </row>
    <row r="3107" customFormat="false" ht="23.85" hidden="false" customHeight="false" outlineLevel="0" collapsed="false">
      <c r="A3107" s="11" t="s">
        <v>113</v>
      </c>
      <c r="B3107" s="11" t="s">
        <v>133</v>
      </c>
      <c r="C3107" s="11" t="n">
        <v>28</v>
      </c>
      <c r="D3107" s="11" t="s">
        <v>89</v>
      </c>
      <c r="E3107" s="11" t="s">
        <v>184</v>
      </c>
      <c r="F3107" s="11" t="s">
        <v>88</v>
      </c>
      <c r="G3107" s="12" t="n">
        <v>355</v>
      </c>
      <c r="H3107" s="12" t="n">
        <f aca="false">SUMPRODUCT(ПОТОКИ!B17:G17,ЧАСОВЫЕ_ПРОФИЛИ!B20:G20,КОЭФФИЦИЕНТЫ_ВЫБОРА!F38:K38)</f>
        <v>0</v>
      </c>
      <c r="I3107" s="12" t="n">
        <f aca="false">SUMPRODUCT(ПОТОКИ!B17:G17,ЧАСОВЫЕ_ПРОФИЛИ!B20:G20,КОЭФФИЦИЕНТЫ_ВЫБОРА!F38:K38,ПАРАМЕТРЫ!$B$17:$G$17)</f>
        <v>0</v>
      </c>
      <c r="J3107" s="12" t="n">
        <f aca="false">I3107*G3107/1000</f>
        <v>0</v>
      </c>
      <c r="K3107" s="11" t="s">
        <v>217</v>
      </c>
      <c r="L3107" s="11" t="s">
        <v>19</v>
      </c>
      <c r="M3107" s="11" t="s">
        <v>145</v>
      </c>
    </row>
    <row r="3108" customFormat="false" ht="15" hidden="false" customHeight="false" outlineLevel="0" collapsed="false">
      <c r="A3108" s="11" t="s">
        <v>113</v>
      </c>
      <c r="B3108" s="11" t="s">
        <v>133</v>
      </c>
      <c r="C3108" s="11" t="n">
        <v>29</v>
      </c>
      <c r="D3108" s="11" t="s">
        <v>92</v>
      </c>
      <c r="E3108" s="11" t="s">
        <v>185</v>
      </c>
      <c r="F3108" s="11" t="s">
        <v>91</v>
      </c>
      <c r="G3108" s="12" t="n">
        <v>150</v>
      </c>
      <c r="H3108" s="12" t="n">
        <f aca="false">SUMPRODUCT(ПОТОКИ!B17:G17,ЧАСОВЫЕ_ПРОФИЛИ!B20:G20,КОЭФФИЦИЕНТЫ_ВЫБОРА!F39:K39)</f>
        <v>0.33</v>
      </c>
      <c r="I3108" s="12" t="n">
        <f aca="false">SUMPRODUCT(ПОТОКИ!B17:G17,ЧАСОВЫЕ_ПРОФИЛИ!B20:G20,КОЭФФИЦИЕНТЫ_ВЫБОРА!F39:K39,ПАРАМЕТРЫ!$B$17:$G$17)</f>
        <v>0.363</v>
      </c>
      <c r="J3108" s="12" t="n">
        <f aca="false">I3108*G3108/1000</f>
        <v>0.05445</v>
      </c>
      <c r="K3108" s="11" t="s">
        <v>217</v>
      </c>
      <c r="L3108" s="11" t="s">
        <v>19</v>
      </c>
      <c r="M3108" s="11" t="s">
        <v>145</v>
      </c>
    </row>
    <row r="3109" customFormat="false" ht="15" hidden="false" customHeight="false" outlineLevel="0" collapsed="false">
      <c r="A3109" s="11" t="s">
        <v>113</v>
      </c>
      <c r="B3109" s="11" t="s">
        <v>133</v>
      </c>
      <c r="C3109" s="11" t="n">
        <v>30</v>
      </c>
      <c r="D3109" s="11" t="s">
        <v>92</v>
      </c>
      <c r="E3109" s="11" t="s">
        <v>186</v>
      </c>
      <c r="F3109" s="11" t="s">
        <v>91</v>
      </c>
      <c r="G3109" s="12" t="n">
        <v>120</v>
      </c>
      <c r="H3109" s="12" t="n">
        <f aca="false">SUMPRODUCT(ПОТОКИ!B17:G17,ЧАСОВЫЕ_ПРОФИЛИ!B20:G20,КОЭФФИЦИЕНТЫ_ВЫБОРА!F40:K40)</f>
        <v>0.33</v>
      </c>
      <c r="I3109" s="12" t="n">
        <f aca="false">SUMPRODUCT(ПОТОКИ!B17:G17,ЧАСОВЫЕ_ПРОФИЛИ!B20:G20,КОЭФФИЦИЕНТЫ_ВЫБОРА!F40:K40,ПАРАМЕТРЫ!$B$17:$G$17)</f>
        <v>0.363</v>
      </c>
      <c r="J3109" s="12" t="n">
        <f aca="false">I3109*G3109/1000</f>
        <v>0.04356</v>
      </c>
      <c r="K3109" s="11" t="s">
        <v>217</v>
      </c>
      <c r="L3109" s="11" t="s">
        <v>19</v>
      </c>
      <c r="M3109" s="11" t="s">
        <v>145</v>
      </c>
    </row>
    <row r="3110" customFormat="false" ht="15" hidden="false" customHeight="false" outlineLevel="0" collapsed="false">
      <c r="A3110" s="11" t="s">
        <v>113</v>
      </c>
      <c r="B3110" s="11" t="s">
        <v>133</v>
      </c>
      <c r="C3110" s="11" t="n">
        <v>31</v>
      </c>
      <c r="D3110" s="11" t="s">
        <v>92</v>
      </c>
      <c r="E3110" s="11" t="s">
        <v>187</v>
      </c>
      <c r="F3110" s="11" t="s">
        <v>91</v>
      </c>
      <c r="G3110" s="12" t="n">
        <v>60</v>
      </c>
      <c r="H3110" s="12" t="n">
        <f aca="false">SUMPRODUCT(ПОТОКИ!B17:G17,ЧАСОВЫЕ_ПРОФИЛИ!B20:G20,КОЭФФИЦИЕНТЫ_ВЫБОРА!F41:K41)</f>
        <v>0.3</v>
      </c>
      <c r="I3110" s="12" t="n">
        <f aca="false">SUMPRODUCT(ПОТОКИ!B17:G17,ЧАСОВЫЕ_ПРОФИЛИ!B20:G20,КОЭФФИЦИЕНТЫ_ВЫБОРА!F41:K41,ПАРАМЕТРЫ!$B$17:$G$17)</f>
        <v>0.33</v>
      </c>
      <c r="J3110" s="12" t="n">
        <f aca="false">I3110*G3110/1000</f>
        <v>0.0198</v>
      </c>
      <c r="K3110" s="11" t="s">
        <v>217</v>
      </c>
      <c r="L3110" s="11" t="s">
        <v>19</v>
      </c>
      <c r="M3110" s="11" t="s">
        <v>145</v>
      </c>
    </row>
    <row r="3111" customFormat="false" ht="15" hidden="false" customHeight="false" outlineLevel="0" collapsed="false">
      <c r="A3111" s="11" t="s">
        <v>113</v>
      </c>
      <c r="B3111" s="11" t="s">
        <v>134</v>
      </c>
      <c r="C3111" s="11" t="n">
        <v>1</v>
      </c>
      <c r="D3111" s="11" t="s">
        <v>74</v>
      </c>
      <c r="E3111" s="11" t="s">
        <v>153</v>
      </c>
      <c r="F3111" s="11" t="s">
        <v>73</v>
      </c>
      <c r="G3111" s="12" t="n">
        <v>450</v>
      </c>
      <c r="H3111" s="12" t="n">
        <f aca="false">SUMPRODUCT(ПОТОКИ!B17:G17,ЧАСОВЫЕ_ПРОФИЛИ!B21:G21,КОЭФФИЦИЕНТЫ_ВЫБОРА!F11:K11)</f>
        <v>0.352</v>
      </c>
      <c r="I3111" s="12" t="n">
        <f aca="false">SUMPRODUCT(ПОТОКИ!B17:G17,ЧАСОВЫЕ_ПРОФИЛИ!B21:G21,КОЭФФИЦИЕНТЫ_ВЫБОРА!F11:K11,ПАРАМЕТРЫ!$B$17:$G$17)</f>
        <v>0.3872</v>
      </c>
      <c r="J3111" s="12" t="n">
        <f aca="false">I3111*G3111/1000</f>
        <v>0.17424</v>
      </c>
      <c r="K3111" s="11" t="s">
        <v>217</v>
      </c>
      <c r="L3111" s="11" t="s">
        <v>19</v>
      </c>
      <c r="M3111" s="11" t="s">
        <v>145</v>
      </c>
    </row>
    <row r="3112" customFormat="false" ht="15" hidden="false" customHeight="false" outlineLevel="0" collapsed="false">
      <c r="A3112" s="11" t="s">
        <v>113</v>
      </c>
      <c r="B3112" s="11" t="s">
        <v>134</v>
      </c>
      <c r="C3112" s="11" t="n">
        <v>2</v>
      </c>
      <c r="D3112" s="11" t="s">
        <v>74</v>
      </c>
      <c r="E3112" s="11" t="s">
        <v>154</v>
      </c>
      <c r="F3112" s="11" t="s">
        <v>73</v>
      </c>
      <c r="G3112" s="12" t="n">
        <v>480</v>
      </c>
      <c r="H3112" s="12" t="n">
        <f aca="false">SUMPRODUCT(ПОТОКИ!B17:G17,ЧАСОВЫЕ_ПРОФИЛИ!B21:G21,КОЭФФИЦИЕНТЫ_ВЫБОРА!F12:K12)</f>
        <v>0.6125</v>
      </c>
      <c r="I3112" s="12" t="n">
        <f aca="false">SUMPRODUCT(ПОТОКИ!B17:G17,ЧАСОВЫЕ_ПРОФИЛИ!B21:G21,КОЭФФИЦИЕНТЫ_ВЫБОРА!F12:K12,ПАРАМЕТРЫ!$B$17:$G$17)</f>
        <v>0.67375</v>
      </c>
      <c r="J3112" s="12" t="n">
        <f aca="false">I3112*G3112/1000</f>
        <v>0.3234</v>
      </c>
      <c r="K3112" s="11" t="s">
        <v>217</v>
      </c>
      <c r="L3112" s="11" t="s">
        <v>19</v>
      </c>
      <c r="M3112" s="11" t="s">
        <v>145</v>
      </c>
    </row>
    <row r="3113" customFormat="false" ht="15" hidden="false" customHeight="false" outlineLevel="0" collapsed="false">
      <c r="A3113" s="11" t="s">
        <v>113</v>
      </c>
      <c r="B3113" s="11" t="s">
        <v>134</v>
      </c>
      <c r="C3113" s="11" t="n">
        <v>3</v>
      </c>
      <c r="D3113" s="11" t="s">
        <v>74</v>
      </c>
      <c r="E3113" s="11" t="s">
        <v>155</v>
      </c>
      <c r="F3113" s="11" t="s">
        <v>73</v>
      </c>
      <c r="G3113" s="12" t="n">
        <v>500</v>
      </c>
      <c r="H3113" s="12" t="n">
        <f aca="false">SUMPRODUCT(ПОТОКИ!B17:G17,ЧАСОВЫЕ_ПРОФИЛИ!B21:G21,КОЭФФИЦИЕНТЫ_ВЫБОРА!F13:K13)</f>
        <v>0.9125</v>
      </c>
      <c r="I3113" s="12" t="n">
        <f aca="false">SUMPRODUCT(ПОТОКИ!B17:G17,ЧАСОВЫЕ_ПРОФИЛИ!B21:G21,КОЭФФИЦИЕНТЫ_ВЫБОРА!F13:K13,ПАРАМЕТРЫ!$B$17:$G$17)</f>
        <v>1.00375</v>
      </c>
      <c r="J3113" s="12" t="n">
        <f aca="false">I3113*G3113/1000</f>
        <v>0.501875</v>
      </c>
      <c r="K3113" s="11" t="s">
        <v>217</v>
      </c>
      <c r="L3113" s="11" t="s">
        <v>19</v>
      </c>
      <c r="M3113" s="11" t="s">
        <v>145</v>
      </c>
    </row>
    <row r="3114" customFormat="false" ht="15" hidden="false" customHeight="false" outlineLevel="0" collapsed="false">
      <c r="A3114" s="11" t="s">
        <v>113</v>
      </c>
      <c r="B3114" s="11" t="s">
        <v>134</v>
      </c>
      <c r="C3114" s="11" t="n">
        <v>4</v>
      </c>
      <c r="D3114" s="11" t="s">
        <v>74</v>
      </c>
      <c r="E3114" s="11" t="s">
        <v>156</v>
      </c>
      <c r="F3114" s="11" t="s">
        <v>73</v>
      </c>
      <c r="G3114" s="12" t="n">
        <v>500</v>
      </c>
      <c r="H3114" s="12" t="n">
        <f aca="false">SUMPRODUCT(ПОТОКИ!B17:G17,ЧАСОВЫЕ_ПРОФИЛИ!B21:G21,КОЭФФИЦИЕНТЫ_ВЫБОРА!F14:K14)</f>
        <v>1.173</v>
      </c>
      <c r="I3114" s="12" t="n">
        <f aca="false">SUMPRODUCT(ПОТОКИ!B17:G17,ЧАСОВЫЕ_ПРОФИЛИ!B21:G21,КОЭФФИЦИЕНТЫ_ВЫБОРА!F14:K14,ПАРАМЕТРЫ!$B$17:$G$17)</f>
        <v>1.2903</v>
      </c>
      <c r="J3114" s="12" t="n">
        <f aca="false">I3114*G3114/1000</f>
        <v>0.64515</v>
      </c>
      <c r="K3114" s="11" t="s">
        <v>217</v>
      </c>
      <c r="L3114" s="11" t="s">
        <v>19</v>
      </c>
      <c r="M3114" s="11" t="s">
        <v>145</v>
      </c>
    </row>
    <row r="3115" customFormat="false" ht="15" hidden="false" customHeight="false" outlineLevel="0" collapsed="false">
      <c r="A3115" s="11" t="s">
        <v>113</v>
      </c>
      <c r="B3115" s="11" t="s">
        <v>134</v>
      </c>
      <c r="C3115" s="11" t="n">
        <v>5</v>
      </c>
      <c r="D3115" s="11" t="s">
        <v>78</v>
      </c>
      <c r="E3115" s="11" t="s">
        <v>157</v>
      </c>
      <c r="F3115" s="11" t="s">
        <v>77</v>
      </c>
      <c r="G3115" s="12" t="n">
        <v>100</v>
      </c>
      <c r="H3115" s="12" t="n">
        <f aca="false">SUMPRODUCT(ПОТОКИ!B17:G17,ЧАСОВЫЕ_ПРОФИЛИ!B21:G21,КОЭФФИЦИЕНТЫ_ВЫБОРА!F15:K15)</f>
        <v>0.579</v>
      </c>
      <c r="I3115" s="12" t="n">
        <f aca="false">SUMPRODUCT(ПОТОКИ!B17:G17,ЧАСОВЫЕ_ПРОФИЛИ!B21:G21,КОЭФФИЦИЕНТЫ_ВЫБОРА!F15:K15,ПАРАМЕТРЫ!$B$17:$G$17)</f>
        <v>0.6369</v>
      </c>
      <c r="J3115" s="12" t="n">
        <f aca="false">I3115*G3115/1000</f>
        <v>0.06369</v>
      </c>
      <c r="K3115" s="11" t="s">
        <v>217</v>
      </c>
      <c r="L3115" s="11" t="s">
        <v>19</v>
      </c>
      <c r="M3115" s="11" t="s">
        <v>147</v>
      </c>
    </row>
    <row r="3116" customFormat="false" ht="15" hidden="false" customHeight="false" outlineLevel="0" collapsed="false">
      <c r="A3116" s="11" t="s">
        <v>113</v>
      </c>
      <c r="B3116" s="11" t="s">
        <v>134</v>
      </c>
      <c r="C3116" s="11" t="n">
        <v>6</v>
      </c>
      <c r="D3116" s="11" t="s">
        <v>78</v>
      </c>
      <c r="E3116" s="11" t="s">
        <v>158</v>
      </c>
      <c r="F3116" s="11" t="s">
        <v>77</v>
      </c>
      <c r="G3116" s="12" t="n">
        <v>100</v>
      </c>
      <c r="H3116" s="12" t="n">
        <f aca="false">SUMPRODUCT(ПОТОКИ!B17:G17,ЧАСОВЫЕ_ПРОФИЛИ!B21:G21,КОЭФФИЦИЕНТЫ_ВЫБОРА!F16:K16)</f>
        <v>0.5345</v>
      </c>
      <c r="I3116" s="12" t="n">
        <f aca="false">SUMPRODUCT(ПОТОКИ!B17:G17,ЧАСОВЫЕ_ПРОФИЛИ!B21:G21,КОЭФФИЦИЕНТЫ_ВЫБОРА!F16:K16,ПАРАМЕТРЫ!$B$17:$G$17)</f>
        <v>0.58795</v>
      </c>
      <c r="J3116" s="12" t="n">
        <f aca="false">I3116*G3116/1000</f>
        <v>0.058795</v>
      </c>
      <c r="K3116" s="11" t="s">
        <v>217</v>
      </c>
      <c r="L3116" s="11" t="s">
        <v>19</v>
      </c>
      <c r="M3116" s="11" t="s">
        <v>147</v>
      </c>
    </row>
    <row r="3117" customFormat="false" ht="15" hidden="false" customHeight="false" outlineLevel="0" collapsed="false">
      <c r="A3117" s="11" t="s">
        <v>113</v>
      </c>
      <c r="B3117" s="11" t="s">
        <v>134</v>
      </c>
      <c r="C3117" s="11" t="n">
        <v>7</v>
      </c>
      <c r="D3117" s="11" t="s">
        <v>78</v>
      </c>
      <c r="E3117" s="11" t="s">
        <v>159</v>
      </c>
      <c r="F3117" s="11" t="s">
        <v>77</v>
      </c>
      <c r="G3117" s="12" t="n">
        <v>350</v>
      </c>
      <c r="H3117" s="12" t="n">
        <f aca="false">SUMPRODUCT(ПОТОКИ!B17:G17,ЧАСОВЫЕ_ПРОФИЛИ!B21:G21,КОЭФФИЦИЕНТЫ_ВЫБОРА!F17:K17)</f>
        <v>0.4685</v>
      </c>
      <c r="I3117" s="12" t="n">
        <f aca="false">SUMPRODUCT(ПОТОКИ!B17:G17,ЧАСОВЫЕ_ПРОФИЛИ!B21:G21,КОЭФФИЦИЕНТЫ_ВЫБОРА!F17:K17,ПАРАМЕТРЫ!$B$17:$G$17)</f>
        <v>0.51535</v>
      </c>
      <c r="J3117" s="12" t="n">
        <f aca="false">I3117*G3117/1000</f>
        <v>0.1803725</v>
      </c>
      <c r="K3117" s="11" t="s">
        <v>217</v>
      </c>
      <c r="L3117" s="11" t="s">
        <v>19</v>
      </c>
      <c r="M3117" s="11" t="s">
        <v>147</v>
      </c>
    </row>
    <row r="3118" customFormat="false" ht="15" hidden="false" customHeight="false" outlineLevel="0" collapsed="false">
      <c r="A3118" s="11" t="s">
        <v>113</v>
      </c>
      <c r="B3118" s="11" t="s">
        <v>134</v>
      </c>
      <c r="C3118" s="11" t="n">
        <v>8</v>
      </c>
      <c r="D3118" s="11" t="s">
        <v>78</v>
      </c>
      <c r="E3118" s="11" t="s">
        <v>160</v>
      </c>
      <c r="F3118" s="11" t="s">
        <v>77</v>
      </c>
      <c r="G3118" s="12" t="n">
        <v>85</v>
      </c>
      <c r="H3118" s="12" t="n">
        <f aca="false">SUMPRODUCT(ПОТОКИ!B17:G17,ЧАСОВЫЕ_ПРОФИЛИ!B21:G21,КОЭФФИЦИЕНТЫ_ВЫБОРА!F18:K18)</f>
        <v>0.292</v>
      </c>
      <c r="I3118" s="12" t="n">
        <f aca="false">SUMPRODUCT(ПОТОКИ!B17:G17,ЧАСОВЫЕ_ПРОФИЛИ!B21:G21,КОЭФФИЦИЕНТЫ_ВЫБОРА!F18:K18,ПАРАМЕТРЫ!$B$17:$G$17)</f>
        <v>0.3212</v>
      </c>
      <c r="J3118" s="12" t="n">
        <f aca="false">I3118*G3118/1000</f>
        <v>0.027302</v>
      </c>
      <c r="K3118" s="11" t="s">
        <v>217</v>
      </c>
      <c r="L3118" s="11" t="s">
        <v>19</v>
      </c>
      <c r="M3118" s="11" t="s">
        <v>147</v>
      </c>
    </row>
    <row r="3119" customFormat="false" ht="15" hidden="false" customHeight="false" outlineLevel="0" collapsed="false">
      <c r="A3119" s="11" t="s">
        <v>113</v>
      </c>
      <c r="B3119" s="11" t="s">
        <v>134</v>
      </c>
      <c r="C3119" s="11" t="n">
        <v>9</v>
      </c>
      <c r="D3119" s="11" t="s">
        <v>161</v>
      </c>
      <c r="E3119" s="11" t="s">
        <v>162</v>
      </c>
      <c r="F3119" s="11" t="s">
        <v>80</v>
      </c>
      <c r="G3119" s="12" t="n">
        <v>300</v>
      </c>
      <c r="H3119" s="12" t="n">
        <f aca="false">SUMPRODUCT(ПОТОКИ!B17:G17,ЧАСОВЫЕ_ПРОФИЛИ!B21:G21,КОЭФФИЦИЕНТЫ_ВЫБОРА!F19:K19)</f>
        <v>0.422</v>
      </c>
      <c r="I3119" s="12" t="n">
        <f aca="false">SUMPRODUCT(ПОТОКИ!B17:G17,ЧАСОВЫЕ_ПРОФИЛИ!B21:G21,КОЭФФИЦИЕНТЫ_ВЫБОРА!F19:K19,ПАРАМЕТРЫ!$B$17:$G$17)</f>
        <v>0.4642</v>
      </c>
      <c r="J3119" s="12" t="n">
        <f aca="false">I3119*G3119/1000</f>
        <v>0.13926</v>
      </c>
      <c r="K3119" s="11" t="s">
        <v>217</v>
      </c>
      <c r="L3119" s="11" t="s">
        <v>19</v>
      </c>
      <c r="M3119" s="11" t="s">
        <v>145</v>
      </c>
    </row>
    <row r="3120" customFormat="false" ht="15" hidden="false" customHeight="false" outlineLevel="0" collapsed="false">
      <c r="A3120" s="11" t="s">
        <v>113</v>
      </c>
      <c r="B3120" s="11" t="s">
        <v>134</v>
      </c>
      <c r="C3120" s="11" t="n">
        <v>10</v>
      </c>
      <c r="D3120" s="11" t="s">
        <v>161</v>
      </c>
      <c r="E3120" s="11" t="s">
        <v>163</v>
      </c>
      <c r="F3120" s="11" t="s">
        <v>80</v>
      </c>
      <c r="G3120" s="12" t="n">
        <v>280</v>
      </c>
      <c r="H3120" s="12" t="n">
        <f aca="false">SUMPRODUCT(ПОТОКИ!B17:G17,ЧАСОВЫЕ_ПРОФИЛИ!B21:G21,КОЭФФИЦИЕНТЫ_ВЫБОРА!F20:K20)</f>
        <v>0.494</v>
      </c>
      <c r="I3120" s="12" t="n">
        <f aca="false">SUMPRODUCT(ПОТОКИ!B17:G17,ЧАСОВЫЕ_ПРОФИЛИ!B21:G21,КОЭФФИЦИЕНТЫ_ВЫБОРА!F20:K20,ПАРАМЕТРЫ!$B$17:$G$17)</f>
        <v>0.5434</v>
      </c>
      <c r="J3120" s="12" t="n">
        <f aca="false">I3120*G3120/1000</f>
        <v>0.152152</v>
      </c>
      <c r="K3120" s="11" t="s">
        <v>217</v>
      </c>
      <c r="L3120" s="11" t="s">
        <v>19</v>
      </c>
      <c r="M3120" s="11" t="s">
        <v>145</v>
      </c>
    </row>
    <row r="3121" customFormat="false" ht="15" hidden="false" customHeight="false" outlineLevel="0" collapsed="false">
      <c r="A3121" s="11" t="s">
        <v>113</v>
      </c>
      <c r="B3121" s="11" t="s">
        <v>134</v>
      </c>
      <c r="C3121" s="11" t="n">
        <v>11</v>
      </c>
      <c r="D3121" s="11" t="s">
        <v>161</v>
      </c>
      <c r="E3121" s="11" t="s">
        <v>164</v>
      </c>
      <c r="F3121" s="11" t="s">
        <v>80</v>
      </c>
      <c r="G3121" s="12" t="n">
        <v>270</v>
      </c>
      <c r="H3121" s="12" t="n">
        <f aca="false">SUMPRODUCT(ПОТОКИ!B17:G17,ЧАСОВЫЕ_ПРОФИЛИ!B21:G21,КОЭФФИЦИЕНТЫ_ВЫБОРА!F21:K21)</f>
        <v>0.82625</v>
      </c>
      <c r="I3121" s="12" t="n">
        <f aca="false">SUMPRODUCT(ПОТОКИ!B17:G17,ЧАСОВЫЕ_ПРОФИЛИ!B21:G21,КОЭФФИЦИЕНТЫ_ВЫБОРА!F21:K21,ПАРАМЕТРЫ!$B$17:$G$17)</f>
        <v>0.908875</v>
      </c>
      <c r="J3121" s="12" t="n">
        <f aca="false">I3121*G3121/1000</f>
        <v>0.24539625</v>
      </c>
      <c r="K3121" s="11" t="s">
        <v>217</v>
      </c>
      <c r="L3121" s="11" t="s">
        <v>19</v>
      </c>
      <c r="M3121" s="11" t="s">
        <v>145</v>
      </c>
    </row>
    <row r="3122" customFormat="false" ht="15" hidden="false" customHeight="false" outlineLevel="0" collapsed="false">
      <c r="A3122" s="11" t="s">
        <v>113</v>
      </c>
      <c r="B3122" s="11" t="s">
        <v>134</v>
      </c>
      <c r="C3122" s="11" t="n">
        <v>12</v>
      </c>
      <c r="D3122" s="11" t="s">
        <v>161</v>
      </c>
      <c r="E3122" s="11" t="s">
        <v>165</v>
      </c>
      <c r="F3122" s="11" t="s">
        <v>80</v>
      </c>
      <c r="G3122" s="12" t="n">
        <v>240</v>
      </c>
      <c r="H3122" s="12" t="n">
        <f aca="false">SUMPRODUCT(ПОТОКИ!B17:G17,ЧАСОВЫЕ_ПРОФИЛИ!B21:G21,КОЭФФИЦИЕНТЫ_ВЫБОРА!F22:K22)</f>
        <v>0.41275</v>
      </c>
      <c r="I3122" s="12" t="n">
        <f aca="false">SUMPRODUCT(ПОТОКИ!B17:G17,ЧАСОВЫЕ_ПРОФИЛИ!B21:G21,КОЭФФИЦИЕНТЫ_ВЫБОРА!F22:K22,ПАРАМЕТРЫ!$B$17:$G$17)</f>
        <v>0.454025</v>
      </c>
      <c r="J3122" s="12" t="n">
        <f aca="false">I3122*G3122/1000</f>
        <v>0.108966</v>
      </c>
      <c r="K3122" s="11" t="s">
        <v>217</v>
      </c>
      <c r="L3122" s="11" t="s">
        <v>19</v>
      </c>
      <c r="M3122" s="11" t="s">
        <v>145</v>
      </c>
    </row>
    <row r="3123" customFormat="false" ht="15" hidden="false" customHeight="false" outlineLevel="0" collapsed="false">
      <c r="A3123" s="11" t="s">
        <v>113</v>
      </c>
      <c r="B3123" s="11" t="s">
        <v>134</v>
      </c>
      <c r="C3123" s="11" t="n">
        <v>13</v>
      </c>
      <c r="D3123" s="11" t="s">
        <v>166</v>
      </c>
      <c r="E3123" s="11" t="s">
        <v>167</v>
      </c>
      <c r="F3123" s="11" t="s">
        <v>80</v>
      </c>
      <c r="G3123" s="12" t="n">
        <v>130</v>
      </c>
      <c r="H3123" s="12" t="n">
        <f aca="false">SUMPRODUCT(ПОТОКИ!B17:G17,ЧАСОВЫЕ_ПРОФИЛИ!B21:G21,КОЭФФИЦИЕНТЫ_ВЫБОРА!F23:K23)</f>
        <v>0.23</v>
      </c>
      <c r="I3123" s="12" t="n">
        <f aca="false">SUMPRODUCT(ПОТОКИ!B17:G17,ЧАСОВЫЕ_ПРОФИЛИ!B21:G21,КОЭФФИЦИЕНТЫ_ВЫБОРА!F23:K23,ПАРАМЕТРЫ!$B$17:$G$17)</f>
        <v>0.253</v>
      </c>
      <c r="J3123" s="12" t="n">
        <f aca="false">I3123*G3123/1000</f>
        <v>0.03289</v>
      </c>
      <c r="K3123" s="11" t="s">
        <v>217</v>
      </c>
      <c r="L3123" s="11" t="s">
        <v>19</v>
      </c>
      <c r="M3123" s="11" t="s">
        <v>145</v>
      </c>
    </row>
    <row r="3124" customFormat="false" ht="15" hidden="false" customHeight="false" outlineLevel="0" collapsed="false">
      <c r="A3124" s="11" t="s">
        <v>113</v>
      </c>
      <c r="B3124" s="11" t="s">
        <v>134</v>
      </c>
      <c r="C3124" s="11" t="n">
        <v>14</v>
      </c>
      <c r="D3124" s="11" t="s">
        <v>166</v>
      </c>
      <c r="E3124" s="11" t="s">
        <v>168</v>
      </c>
      <c r="F3124" s="11" t="s">
        <v>80</v>
      </c>
      <c r="G3124" s="12" t="n">
        <v>250</v>
      </c>
      <c r="H3124" s="12" t="n">
        <f aca="false">SUMPRODUCT(ПОТОКИ!B17:G17,ЧАСОВЫЕ_ПРОФИЛИ!B21:G21,КОЭФФИЦИЕНТЫ_ВЫБОРА!F24:K24)</f>
        <v>0.151</v>
      </c>
      <c r="I3124" s="12" t="n">
        <f aca="false">SUMPRODUCT(ПОТОКИ!B17:G17,ЧАСОВЫЕ_ПРОФИЛИ!B21:G21,КОЭФФИЦИЕНТЫ_ВЫБОРА!F24:K24,ПАРАМЕТРЫ!$B$17:$G$17)</f>
        <v>0.1661</v>
      </c>
      <c r="J3124" s="12" t="n">
        <f aca="false">I3124*G3124/1000</f>
        <v>0.041525</v>
      </c>
      <c r="K3124" s="11" t="s">
        <v>217</v>
      </c>
      <c r="L3124" s="11" t="s">
        <v>19</v>
      </c>
      <c r="M3124" s="11" t="s">
        <v>145</v>
      </c>
    </row>
    <row r="3125" customFormat="false" ht="15" hidden="false" customHeight="false" outlineLevel="0" collapsed="false">
      <c r="A3125" s="11" t="s">
        <v>113</v>
      </c>
      <c r="B3125" s="11" t="s">
        <v>134</v>
      </c>
      <c r="C3125" s="11" t="n">
        <v>15</v>
      </c>
      <c r="D3125" s="11" t="s">
        <v>166</v>
      </c>
      <c r="E3125" s="11" t="s">
        <v>169</v>
      </c>
      <c r="F3125" s="11" t="s">
        <v>80</v>
      </c>
      <c r="G3125" s="12" t="n">
        <v>120</v>
      </c>
      <c r="H3125" s="12" t="n">
        <f aca="false">SUMPRODUCT(ПОТОКИ!B17:G17,ЧАСОВЫЕ_ПРОФИЛИ!B21:G21,КОЭФФИЦИЕНТЫ_ВЫБОРА!F25:K25)</f>
        <v>0.136</v>
      </c>
      <c r="I3125" s="12" t="n">
        <f aca="false">SUMPRODUCT(ПОТОКИ!B17:G17,ЧАСОВЫЕ_ПРОФИЛИ!B21:G21,КОЭФФИЦИЕНТЫ_ВЫБОРА!F25:K25,ПАРАМЕТРЫ!$B$17:$G$17)</f>
        <v>0.1496</v>
      </c>
      <c r="J3125" s="12" t="n">
        <f aca="false">I3125*G3125/1000</f>
        <v>0.017952</v>
      </c>
      <c r="K3125" s="11" t="s">
        <v>217</v>
      </c>
      <c r="L3125" s="11" t="s">
        <v>19</v>
      </c>
      <c r="M3125" s="11" t="s">
        <v>145</v>
      </c>
    </row>
    <row r="3126" customFormat="false" ht="15" hidden="false" customHeight="false" outlineLevel="0" collapsed="false">
      <c r="A3126" s="11" t="s">
        <v>113</v>
      </c>
      <c r="B3126" s="11" t="s">
        <v>134</v>
      </c>
      <c r="C3126" s="11" t="n">
        <v>16</v>
      </c>
      <c r="D3126" s="11" t="s">
        <v>166</v>
      </c>
      <c r="E3126" s="11" t="s">
        <v>170</v>
      </c>
      <c r="F3126" s="11" t="s">
        <v>80</v>
      </c>
      <c r="G3126" s="12" t="n">
        <v>180</v>
      </c>
      <c r="H3126" s="12" t="n">
        <f aca="false">SUMPRODUCT(ПОТОКИ!B17:G17,ЧАСОВЫЕ_ПРОФИЛИ!B21:G21,КОЭФФИЦИЕНТЫ_ВЫБОРА!F26:K26)</f>
        <v>0.193</v>
      </c>
      <c r="I3126" s="12" t="n">
        <f aca="false">SUMPRODUCT(ПОТОКИ!B17:G17,ЧАСОВЫЕ_ПРОФИЛИ!B21:G21,КОЭФФИЦИЕНТЫ_ВЫБОРА!F26:K26,ПАРАМЕТРЫ!$B$17:$G$17)</f>
        <v>0.2123</v>
      </c>
      <c r="J3126" s="12" t="n">
        <f aca="false">I3126*G3126/1000</f>
        <v>0.038214</v>
      </c>
      <c r="K3126" s="11" t="s">
        <v>217</v>
      </c>
      <c r="L3126" s="11" t="s">
        <v>19</v>
      </c>
      <c r="M3126" s="11" t="s">
        <v>145</v>
      </c>
    </row>
    <row r="3127" customFormat="false" ht="15" hidden="false" customHeight="false" outlineLevel="0" collapsed="false">
      <c r="A3127" s="11" t="s">
        <v>113</v>
      </c>
      <c r="B3127" s="11" t="s">
        <v>134</v>
      </c>
      <c r="C3127" s="11" t="n">
        <v>17</v>
      </c>
      <c r="D3127" s="11" t="s">
        <v>166</v>
      </c>
      <c r="E3127" s="11" t="s">
        <v>171</v>
      </c>
      <c r="F3127" s="11" t="s">
        <v>80</v>
      </c>
      <c r="G3127" s="12" t="n">
        <v>180</v>
      </c>
      <c r="H3127" s="12" t="n">
        <f aca="false">SUMPRODUCT(ПОТОКИ!B17:G17,ЧАСОВЫЕ_ПРОФИЛИ!B21:G21,КОЭФФИЦИЕНТЫ_ВЫБОРА!F27:K27)</f>
        <v>0.23</v>
      </c>
      <c r="I3127" s="12" t="n">
        <f aca="false">SUMPRODUCT(ПОТОКИ!B17:G17,ЧАСОВЫЕ_ПРОФИЛИ!B21:G21,КОЭФФИЦИЕНТЫ_ВЫБОРА!F27:K27,ПАРАМЕТРЫ!$B$17:$G$17)</f>
        <v>0.253</v>
      </c>
      <c r="J3127" s="12" t="n">
        <f aca="false">I3127*G3127/1000</f>
        <v>0.04554</v>
      </c>
      <c r="K3127" s="11" t="s">
        <v>217</v>
      </c>
      <c r="L3127" s="11" t="s">
        <v>19</v>
      </c>
      <c r="M3127" s="11" t="s">
        <v>145</v>
      </c>
    </row>
    <row r="3128" customFormat="false" ht="15" hidden="false" customHeight="false" outlineLevel="0" collapsed="false">
      <c r="A3128" s="11" t="s">
        <v>113</v>
      </c>
      <c r="B3128" s="11" t="s">
        <v>134</v>
      </c>
      <c r="C3128" s="11" t="n">
        <v>18</v>
      </c>
      <c r="D3128" s="11" t="s">
        <v>172</v>
      </c>
      <c r="E3128" s="11" t="s">
        <v>173</v>
      </c>
      <c r="F3128" s="11" t="s">
        <v>83</v>
      </c>
      <c r="G3128" s="12" t="n">
        <v>400</v>
      </c>
      <c r="H3128" s="12" t="n">
        <f aca="false">SUMPRODUCT(ПОТОКИ!B17:G17,ЧАСОВЫЕ_ПРОФИЛИ!B21:G21,КОЭФФИЦИЕНТЫ_ВЫБОРА!F28:K28)</f>
        <v>0.42</v>
      </c>
      <c r="I3128" s="12" t="n">
        <f aca="false">SUMPRODUCT(ПОТОКИ!B17:G17,ЧАСОВЫЕ_ПРОФИЛИ!B21:G21,КОЭФФИЦИЕНТЫ_ВЫБОРА!F28:K28,ПАРАМЕТРЫ!$B$17:$G$17)</f>
        <v>0.462</v>
      </c>
      <c r="J3128" s="12" t="n">
        <f aca="false">I3128*G3128/1000</f>
        <v>0.1848</v>
      </c>
      <c r="K3128" s="11" t="s">
        <v>217</v>
      </c>
      <c r="L3128" s="11" t="s">
        <v>19</v>
      </c>
      <c r="M3128" s="11" t="s">
        <v>145</v>
      </c>
    </row>
    <row r="3129" customFormat="false" ht="23.85" hidden="false" customHeight="false" outlineLevel="0" collapsed="false">
      <c r="A3129" s="11" t="s">
        <v>113</v>
      </c>
      <c r="B3129" s="11" t="s">
        <v>134</v>
      </c>
      <c r="C3129" s="11" t="n">
        <v>19</v>
      </c>
      <c r="D3129" s="11" t="s">
        <v>174</v>
      </c>
      <c r="E3129" s="11" t="s">
        <v>175</v>
      </c>
      <c r="F3129" s="11" t="s">
        <v>83</v>
      </c>
      <c r="G3129" s="12" t="n">
        <v>300</v>
      </c>
      <c r="H3129" s="12" t="n">
        <f aca="false">SUMPRODUCT(ПОТОКИ!B17:G17,ЧАСОВЫЕ_ПРОФИЛИ!B21:G21,КОЭФФИЦИЕНТЫ_ВЫБОРА!F29:K29)</f>
        <v>1.194</v>
      </c>
      <c r="I3129" s="12" t="n">
        <f aca="false">SUMPRODUCT(ПОТОКИ!B17:G17,ЧАСОВЫЕ_ПРОФИЛИ!B21:G21,КОЭФФИЦИЕНТЫ_ВЫБОРА!F29:K29,ПАРАМЕТРЫ!$B$17:$G$17)</f>
        <v>1.3134</v>
      </c>
      <c r="J3129" s="12" t="n">
        <f aca="false">I3129*G3129/1000</f>
        <v>0.39402</v>
      </c>
      <c r="K3129" s="11" t="s">
        <v>217</v>
      </c>
      <c r="L3129" s="11" t="s">
        <v>19</v>
      </c>
      <c r="M3129" s="11" t="s">
        <v>145</v>
      </c>
    </row>
    <row r="3130" customFormat="false" ht="15" hidden="false" customHeight="false" outlineLevel="0" collapsed="false">
      <c r="A3130" s="11" t="s">
        <v>113</v>
      </c>
      <c r="B3130" s="11" t="s">
        <v>134</v>
      </c>
      <c r="C3130" s="11" t="n">
        <v>20</v>
      </c>
      <c r="D3130" s="11" t="s">
        <v>174</v>
      </c>
      <c r="E3130" s="11" t="s">
        <v>176</v>
      </c>
      <c r="F3130" s="11" t="s">
        <v>83</v>
      </c>
      <c r="G3130" s="12" t="n">
        <v>360</v>
      </c>
      <c r="H3130" s="12" t="n">
        <f aca="false">SUMPRODUCT(ПОТОКИ!B17:G17,ЧАСОВЫЕ_ПРОФИЛИ!B21:G21,КОЭФФИЦИЕНТЫ_ВЫБОРА!F30:K30)</f>
        <v>1.111</v>
      </c>
      <c r="I3130" s="12" t="n">
        <f aca="false">SUMPRODUCT(ПОТОКИ!B17:G17,ЧАСОВЫЕ_ПРОФИЛИ!B21:G21,КОЭФФИЦИЕНТЫ_ВЫБОРА!F30:K30,ПАРАМЕТРЫ!$B$17:$G$17)</f>
        <v>1.2221</v>
      </c>
      <c r="J3130" s="12" t="n">
        <f aca="false">I3130*G3130/1000</f>
        <v>0.439956</v>
      </c>
      <c r="K3130" s="11" t="s">
        <v>217</v>
      </c>
      <c r="L3130" s="11" t="s">
        <v>19</v>
      </c>
      <c r="M3130" s="11" t="s">
        <v>145</v>
      </c>
    </row>
    <row r="3131" customFormat="false" ht="15" hidden="false" customHeight="false" outlineLevel="0" collapsed="false">
      <c r="A3131" s="11" t="s">
        <v>113</v>
      </c>
      <c r="B3131" s="11" t="s">
        <v>134</v>
      </c>
      <c r="C3131" s="11" t="n">
        <v>21</v>
      </c>
      <c r="D3131" s="11" t="s">
        <v>174</v>
      </c>
      <c r="E3131" s="11" t="s">
        <v>177</v>
      </c>
      <c r="F3131" s="11" t="s">
        <v>83</v>
      </c>
      <c r="G3131" s="12" t="n">
        <v>350</v>
      </c>
      <c r="H3131" s="12" t="n">
        <f aca="false">SUMPRODUCT(ПОТОКИ!B17:G17,ЧАСОВЫЕ_ПРОФИЛИ!B21:G21,КОЭФФИЦИЕНТЫ_ВЫБОРА!F31:K31)</f>
        <v>1.69325</v>
      </c>
      <c r="I3131" s="12" t="n">
        <f aca="false">SUMPRODUCT(ПОТОКИ!B17:G17,ЧАСОВЫЕ_ПРОФИЛИ!B21:G21,КОЭФФИЦИЕНТЫ_ВЫБОРА!F31:K31,ПАРАМЕТРЫ!$B$17:$G$17)</f>
        <v>1.862575</v>
      </c>
      <c r="J3131" s="12" t="n">
        <f aca="false">I3131*G3131/1000</f>
        <v>0.65190125</v>
      </c>
      <c r="K3131" s="11" t="s">
        <v>217</v>
      </c>
      <c r="L3131" s="11" t="s">
        <v>19</v>
      </c>
      <c r="M3131" s="11" t="s">
        <v>145</v>
      </c>
    </row>
    <row r="3132" customFormat="false" ht="15" hidden="false" customHeight="false" outlineLevel="0" collapsed="false">
      <c r="A3132" s="11" t="s">
        <v>113</v>
      </c>
      <c r="B3132" s="11" t="s">
        <v>134</v>
      </c>
      <c r="C3132" s="11" t="n">
        <v>22</v>
      </c>
      <c r="D3132" s="11" t="s">
        <v>174</v>
      </c>
      <c r="E3132" s="11" t="s">
        <v>178</v>
      </c>
      <c r="F3132" s="11" t="s">
        <v>83</v>
      </c>
      <c r="G3132" s="12" t="n">
        <v>300</v>
      </c>
      <c r="H3132" s="12" t="n">
        <f aca="false">SUMPRODUCT(ПОТОКИ!B17:G17,ЧАСОВЫЕ_ПРОФИЛИ!B21:G21,КОЭФФИЦИЕНТЫ_ВЫБОРА!F32:K32)</f>
        <v>1.07675</v>
      </c>
      <c r="I3132" s="12" t="n">
        <f aca="false">SUMPRODUCT(ПОТОКИ!B17:G17,ЧАСОВЫЕ_ПРОФИЛИ!B21:G21,КОЭФФИЦИЕНТЫ_ВЫБОРА!F32:K32,ПАРАМЕТРЫ!$B$17:$G$17)</f>
        <v>1.184425</v>
      </c>
      <c r="J3132" s="12" t="n">
        <f aca="false">I3132*G3132/1000</f>
        <v>0.3553275</v>
      </c>
      <c r="K3132" s="11" t="s">
        <v>217</v>
      </c>
      <c r="L3132" s="11" t="s">
        <v>19</v>
      </c>
      <c r="M3132" s="11" t="s">
        <v>145</v>
      </c>
    </row>
    <row r="3133" customFormat="false" ht="15" hidden="false" customHeight="false" outlineLevel="0" collapsed="false">
      <c r="A3133" s="11" t="s">
        <v>113</v>
      </c>
      <c r="B3133" s="11" t="s">
        <v>134</v>
      </c>
      <c r="C3133" s="11" t="n">
        <v>23</v>
      </c>
      <c r="D3133" s="11" t="s">
        <v>86</v>
      </c>
      <c r="E3133" s="11" t="s">
        <v>179</v>
      </c>
      <c r="F3133" s="11" t="s">
        <v>85</v>
      </c>
      <c r="G3133" s="12" t="n">
        <v>150</v>
      </c>
      <c r="H3133" s="12" t="n">
        <f aca="false">SUMPRODUCT(ПОТОКИ!B17:G17,ЧАСОВЫЕ_ПРОФИЛИ!B21:G21,КОЭФФИЦИЕНТЫ_ВЫБОРА!F33:K33)</f>
        <v>0.77193375</v>
      </c>
      <c r="I3133" s="12" t="n">
        <f aca="false">SUMPRODUCT(ПОТОКИ!B17:G17,ЧАСОВЫЕ_ПРОФИЛИ!B21:G21,КОЭФФИЦИЕНТЫ_ВЫБОРА!F33:K33,ПАРАМЕТРЫ!$B$17:$G$17)</f>
        <v>0.849127125</v>
      </c>
      <c r="J3133" s="12" t="n">
        <f aca="false">I3133*G3133/1000</f>
        <v>0.12736906875</v>
      </c>
      <c r="K3133" s="11" t="s">
        <v>217</v>
      </c>
      <c r="L3133" s="11" t="s">
        <v>19</v>
      </c>
      <c r="M3133" s="11" t="s">
        <v>147</v>
      </c>
    </row>
    <row r="3134" customFormat="false" ht="15" hidden="false" customHeight="false" outlineLevel="0" collapsed="false">
      <c r="A3134" s="11" t="s">
        <v>113</v>
      </c>
      <c r="B3134" s="11" t="s">
        <v>134</v>
      </c>
      <c r="C3134" s="11" t="n">
        <v>24</v>
      </c>
      <c r="D3134" s="11" t="s">
        <v>86</v>
      </c>
      <c r="E3134" s="11" t="s">
        <v>180</v>
      </c>
      <c r="F3134" s="11" t="s">
        <v>85</v>
      </c>
      <c r="G3134" s="12" t="n">
        <v>150</v>
      </c>
      <c r="H3134" s="12" t="n">
        <f aca="false">SUMPRODUCT(ПОТОКИ!B17:G17,ЧАСОВЫЕ_ПРОФИЛИ!B21:G21,КОЭФФИЦИЕНТЫ_ВЫБОРА!F34:K34)</f>
        <v>0.394095</v>
      </c>
      <c r="I3134" s="12" t="n">
        <f aca="false">SUMPRODUCT(ПОТОКИ!B17:G17,ЧАСОВЫЕ_ПРОФИЛИ!B21:G21,КОЭФФИЦИЕНТЫ_ВЫБОРА!F34:K34,ПАРАМЕТРЫ!$B$17:$G$17)</f>
        <v>0.4335045</v>
      </c>
      <c r="J3134" s="12" t="n">
        <f aca="false">I3134*G3134/1000</f>
        <v>0.065025675</v>
      </c>
      <c r="K3134" s="11" t="s">
        <v>217</v>
      </c>
      <c r="L3134" s="11" t="s">
        <v>19</v>
      </c>
      <c r="M3134" s="11" t="s">
        <v>147</v>
      </c>
    </row>
    <row r="3135" customFormat="false" ht="15" hidden="false" customHeight="false" outlineLevel="0" collapsed="false">
      <c r="A3135" s="11" t="s">
        <v>113</v>
      </c>
      <c r="B3135" s="11" t="s">
        <v>134</v>
      </c>
      <c r="C3135" s="11" t="n">
        <v>25</v>
      </c>
      <c r="D3135" s="11" t="s">
        <v>86</v>
      </c>
      <c r="E3135" s="11" t="s">
        <v>181</v>
      </c>
      <c r="F3135" s="11" t="s">
        <v>85</v>
      </c>
      <c r="G3135" s="12" t="n">
        <v>150</v>
      </c>
      <c r="H3135" s="12" t="n">
        <f aca="false">SUMPRODUCT(ПОТОКИ!B17:G17,ЧАСОВЫЕ_ПРОФИЛИ!B21:G21,КОЭФФИЦИЕНТЫ_ВЫБОРА!F35:K35)</f>
        <v>0.80444625</v>
      </c>
      <c r="I3135" s="12" t="n">
        <f aca="false">SUMPRODUCT(ПОТОКИ!B17:G17,ЧАСОВЫЕ_ПРОФИЛИ!B21:G21,КОЭФФИЦИЕНТЫ_ВЫБОРА!F35:K35,ПАРАМЕТРЫ!$B$17:$G$17)</f>
        <v>0.884890875</v>
      </c>
      <c r="J3135" s="12" t="n">
        <f aca="false">I3135*G3135/1000</f>
        <v>0.13273363125</v>
      </c>
      <c r="K3135" s="11" t="s">
        <v>217</v>
      </c>
      <c r="L3135" s="11" t="s">
        <v>19</v>
      </c>
      <c r="M3135" s="11" t="s">
        <v>147</v>
      </c>
    </row>
    <row r="3136" customFormat="false" ht="23.85" hidden="false" customHeight="false" outlineLevel="0" collapsed="false">
      <c r="A3136" s="11" t="s">
        <v>113</v>
      </c>
      <c r="B3136" s="11" t="s">
        <v>134</v>
      </c>
      <c r="C3136" s="11" t="n">
        <v>26</v>
      </c>
      <c r="D3136" s="11" t="s">
        <v>89</v>
      </c>
      <c r="E3136" s="11" t="s">
        <v>182</v>
      </c>
      <c r="F3136" s="11" t="s">
        <v>88</v>
      </c>
      <c r="G3136" s="12" t="n">
        <v>225</v>
      </c>
      <c r="H3136" s="12" t="n">
        <f aca="false">SUMPRODUCT(ПОТОКИ!B17:G17,ЧАСОВЫЕ_ПРОФИЛИ!B21:G21,КОЭФФИЦИЕНТЫ_ВЫБОРА!F36:K36)</f>
        <v>0</v>
      </c>
      <c r="I3136" s="12" t="n">
        <f aca="false">SUMPRODUCT(ПОТОКИ!B17:G17,ЧАСОВЫЕ_ПРОФИЛИ!B21:G21,КОЭФФИЦИЕНТЫ_ВЫБОРА!F36:K36,ПАРАМЕТРЫ!$B$17:$G$17)</f>
        <v>0</v>
      </c>
      <c r="J3136" s="12" t="n">
        <f aca="false">I3136*G3136/1000</f>
        <v>0</v>
      </c>
      <c r="K3136" s="11" t="s">
        <v>217</v>
      </c>
      <c r="L3136" s="11" t="s">
        <v>19</v>
      </c>
      <c r="M3136" s="11" t="s">
        <v>145</v>
      </c>
    </row>
    <row r="3137" customFormat="false" ht="23.85" hidden="false" customHeight="false" outlineLevel="0" collapsed="false">
      <c r="A3137" s="11" t="s">
        <v>113</v>
      </c>
      <c r="B3137" s="11" t="s">
        <v>134</v>
      </c>
      <c r="C3137" s="11" t="n">
        <v>27</v>
      </c>
      <c r="D3137" s="11" t="s">
        <v>89</v>
      </c>
      <c r="E3137" s="11" t="s">
        <v>183</v>
      </c>
      <c r="F3137" s="11" t="s">
        <v>88</v>
      </c>
      <c r="G3137" s="12" t="n">
        <v>265</v>
      </c>
      <c r="H3137" s="12" t="n">
        <f aca="false">SUMPRODUCT(ПОТОКИ!B17:G17,ЧАСОВЫЕ_ПРОФИЛИ!B21:G21,КОЭФФИЦИЕНТЫ_ВЫБОРА!F37:K37)</f>
        <v>0</v>
      </c>
      <c r="I3137" s="12" t="n">
        <f aca="false">SUMPRODUCT(ПОТОКИ!B17:G17,ЧАСОВЫЕ_ПРОФИЛИ!B21:G21,КОЭФФИЦИЕНТЫ_ВЫБОРА!F37:K37,ПАРАМЕТРЫ!$B$17:$G$17)</f>
        <v>0</v>
      </c>
      <c r="J3137" s="12" t="n">
        <f aca="false">I3137*G3137/1000</f>
        <v>0</v>
      </c>
      <c r="K3137" s="11" t="s">
        <v>217</v>
      </c>
      <c r="L3137" s="11" t="s">
        <v>19</v>
      </c>
      <c r="M3137" s="11" t="s">
        <v>145</v>
      </c>
    </row>
    <row r="3138" customFormat="false" ht="23.85" hidden="false" customHeight="false" outlineLevel="0" collapsed="false">
      <c r="A3138" s="11" t="s">
        <v>113</v>
      </c>
      <c r="B3138" s="11" t="s">
        <v>134</v>
      </c>
      <c r="C3138" s="11" t="n">
        <v>28</v>
      </c>
      <c r="D3138" s="11" t="s">
        <v>89</v>
      </c>
      <c r="E3138" s="11" t="s">
        <v>184</v>
      </c>
      <c r="F3138" s="11" t="s">
        <v>88</v>
      </c>
      <c r="G3138" s="12" t="n">
        <v>355</v>
      </c>
      <c r="H3138" s="12" t="n">
        <f aca="false">SUMPRODUCT(ПОТОКИ!B17:G17,ЧАСОВЫЕ_ПРОФИЛИ!B21:G21,КОЭФФИЦИЕНТЫ_ВЫБОРА!F38:K38)</f>
        <v>0</v>
      </c>
      <c r="I3138" s="12" t="n">
        <f aca="false">SUMPRODUCT(ПОТОКИ!B17:G17,ЧАСОВЫЕ_ПРОФИЛИ!B21:G21,КОЭФФИЦИЕНТЫ_ВЫБОРА!F38:K38,ПАРАМЕТРЫ!$B$17:$G$17)</f>
        <v>0</v>
      </c>
      <c r="J3138" s="12" t="n">
        <f aca="false">I3138*G3138/1000</f>
        <v>0</v>
      </c>
      <c r="K3138" s="11" t="s">
        <v>217</v>
      </c>
      <c r="L3138" s="11" t="s">
        <v>19</v>
      </c>
      <c r="M3138" s="11" t="s">
        <v>145</v>
      </c>
    </row>
    <row r="3139" customFormat="false" ht="15" hidden="false" customHeight="false" outlineLevel="0" collapsed="false">
      <c r="A3139" s="11" t="s">
        <v>113</v>
      </c>
      <c r="B3139" s="11" t="s">
        <v>134</v>
      </c>
      <c r="C3139" s="11" t="n">
        <v>29</v>
      </c>
      <c r="D3139" s="11" t="s">
        <v>92</v>
      </c>
      <c r="E3139" s="11" t="s">
        <v>185</v>
      </c>
      <c r="F3139" s="11" t="s">
        <v>91</v>
      </c>
      <c r="G3139" s="12" t="n">
        <v>150</v>
      </c>
      <c r="H3139" s="12" t="n">
        <f aca="false">SUMPRODUCT(ПОТОКИ!B17:G17,ЧАСОВЫЕ_ПРОФИЛИ!B21:G21,КОЭФФИЦИЕНТЫ_ВЫБОРА!F39:K39)</f>
        <v>0.414</v>
      </c>
      <c r="I3139" s="12" t="n">
        <f aca="false">SUMPRODUCT(ПОТОКИ!B17:G17,ЧАСОВЫЕ_ПРОФИЛИ!B21:G21,КОЭФФИЦИЕНТЫ_ВЫБОРА!F39:K39,ПАРАМЕТРЫ!$B$17:$G$17)</f>
        <v>0.4554</v>
      </c>
      <c r="J3139" s="12" t="n">
        <f aca="false">I3139*G3139/1000</f>
        <v>0.06831</v>
      </c>
      <c r="K3139" s="11" t="s">
        <v>217</v>
      </c>
      <c r="L3139" s="11" t="s">
        <v>19</v>
      </c>
      <c r="M3139" s="11" t="s">
        <v>145</v>
      </c>
    </row>
    <row r="3140" customFormat="false" ht="15" hidden="false" customHeight="false" outlineLevel="0" collapsed="false">
      <c r="A3140" s="11" t="s">
        <v>113</v>
      </c>
      <c r="B3140" s="11" t="s">
        <v>134</v>
      </c>
      <c r="C3140" s="11" t="n">
        <v>30</v>
      </c>
      <c r="D3140" s="11" t="s">
        <v>92</v>
      </c>
      <c r="E3140" s="11" t="s">
        <v>186</v>
      </c>
      <c r="F3140" s="11" t="s">
        <v>91</v>
      </c>
      <c r="G3140" s="12" t="n">
        <v>120</v>
      </c>
      <c r="H3140" s="12" t="n">
        <f aca="false">SUMPRODUCT(ПОТОКИ!B17:G17,ЧАСОВЫЕ_ПРОФИЛИ!B21:G21,КОЭФФИЦИЕНТЫ_ВЫБОРА!F40:K40)</f>
        <v>0.464</v>
      </c>
      <c r="I3140" s="12" t="n">
        <f aca="false">SUMPRODUCT(ПОТОКИ!B17:G17,ЧАСОВЫЕ_ПРОФИЛИ!B21:G21,КОЭФФИЦИЕНТЫ_ВЫБОРА!F40:K40,ПАРАМЕТРЫ!$B$17:$G$17)</f>
        <v>0.5104</v>
      </c>
      <c r="J3140" s="12" t="n">
        <f aca="false">I3140*G3140/1000</f>
        <v>0.061248</v>
      </c>
      <c r="K3140" s="11" t="s">
        <v>217</v>
      </c>
      <c r="L3140" s="11" t="s">
        <v>19</v>
      </c>
      <c r="M3140" s="11" t="s">
        <v>145</v>
      </c>
    </row>
    <row r="3141" customFormat="false" ht="15" hidden="false" customHeight="false" outlineLevel="0" collapsed="false">
      <c r="A3141" s="11" t="s">
        <v>113</v>
      </c>
      <c r="B3141" s="11" t="s">
        <v>134</v>
      </c>
      <c r="C3141" s="11" t="n">
        <v>31</v>
      </c>
      <c r="D3141" s="11" t="s">
        <v>92</v>
      </c>
      <c r="E3141" s="11" t="s">
        <v>187</v>
      </c>
      <c r="F3141" s="11" t="s">
        <v>91</v>
      </c>
      <c r="G3141" s="12" t="n">
        <v>60</v>
      </c>
      <c r="H3141" s="12" t="n">
        <f aca="false">SUMPRODUCT(ПОТОКИ!B17:G17,ЧАСОВЫЕ_ПРОФИЛИ!B21:G21,КОЭФФИЦИЕНТЫ_ВЫБОРА!F41:K41)</f>
        <v>0.342</v>
      </c>
      <c r="I3141" s="12" t="n">
        <f aca="false">SUMPRODUCT(ПОТОКИ!B17:G17,ЧАСОВЫЕ_ПРОФИЛИ!B21:G21,КОЭФФИЦИЕНТЫ_ВЫБОРА!F41:K41,ПАРАМЕТРЫ!$B$17:$G$17)</f>
        <v>0.3762</v>
      </c>
      <c r="J3141" s="12" t="n">
        <f aca="false">I3141*G3141/1000</f>
        <v>0.022572</v>
      </c>
      <c r="K3141" s="11" t="s">
        <v>217</v>
      </c>
      <c r="L3141" s="11" t="s">
        <v>19</v>
      </c>
      <c r="M3141" s="11" t="s">
        <v>145</v>
      </c>
    </row>
    <row r="3142" customFormat="false" ht="15" hidden="false" customHeight="false" outlineLevel="0" collapsed="false">
      <c r="A3142" s="11" t="s">
        <v>113</v>
      </c>
      <c r="B3142" s="11" t="s">
        <v>135</v>
      </c>
      <c r="C3142" s="11" t="n">
        <v>1</v>
      </c>
      <c r="D3142" s="11" t="s">
        <v>74</v>
      </c>
      <c r="E3142" s="11" t="s">
        <v>153</v>
      </c>
      <c r="F3142" s="11" t="s">
        <v>73</v>
      </c>
      <c r="G3142" s="12" t="n">
        <v>450</v>
      </c>
      <c r="H3142" s="12" t="n">
        <f aca="false">SUMPRODUCT(ПОТОКИ!B17:G17,ЧАСОВЫЕ_ПРОФИЛИ!B22:G22,КОЭФФИЦИЕНТЫ_ВЫБОРА!F11:K11)</f>
        <v>0.633</v>
      </c>
      <c r="I3142" s="12" t="n">
        <f aca="false">SUMPRODUCT(ПОТОКИ!B17:G17,ЧАСОВЫЕ_ПРОФИЛИ!B22:G22,КОЭФФИЦИЕНТЫ_ВЫБОРА!F11:K11,ПАРАМЕТРЫ!$B$17:$G$17)</f>
        <v>0.6963</v>
      </c>
      <c r="J3142" s="12" t="n">
        <f aca="false">I3142*G3142/1000</f>
        <v>0.313335</v>
      </c>
      <c r="K3142" s="11" t="s">
        <v>217</v>
      </c>
      <c r="L3142" s="11" t="s">
        <v>19</v>
      </c>
      <c r="M3142" s="11" t="s">
        <v>145</v>
      </c>
    </row>
    <row r="3143" customFormat="false" ht="15" hidden="false" customHeight="false" outlineLevel="0" collapsed="false">
      <c r="A3143" s="11" t="s">
        <v>113</v>
      </c>
      <c r="B3143" s="11" t="s">
        <v>135</v>
      </c>
      <c r="C3143" s="11" t="n">
        <v>2</v>
      </c>
      <c r="D3143" s="11" t="s">
        <v>74</v>
      </c>
      <c r="E3143" s="11" t="s">
        <v>154</v>
      </c>
      <c r="F3143" s="11" t="s">
        <v>73</v>
      </c>
      <c r="G3143" s="12" t="n">
        <v>480</v>
      </c>
      <c r="H3143" s="12" t="n">
        <f aca="false">SUMPRODUCT(ПОТОКИ!B17:G17,ЧАСОВЫЕ_ПРОФИЛИ!B22:G22,КОЭФФИЦИЕНТЫ_ВЫБОРА!F12:K12)</f>
        <v>1.0755</v>
      </c>
      <c r="I3143" s="12" t="n">
        <f aca="false">SUMPRODUCT(ПОТОКИ!B17:G17,ЧАСОВЫЕ_ПРОФИЛИ!B22:G22,КОЭФФИЦИЕНТЫ_ВЫБОРА!F12:K12,ПАРАМЕТРЫ!$B$17:$G$17)</f>
        <v>1.18305</v>
      </c>
      <c r="J3143" s="12" t="n">
        <f aca="false">I3143*G3143/1000</f>
        <v>0.567864</v>
      </c>
      <c r="K3143" s="11" t="s">
        <v>217</v>
      </c>
      <c r="L3143" s="11" t="s">
        <v>19</v>
      </c>
      <c r="M3143" s="11" t="s">
        <v>145</v>
      </c>
    </row>
    <row r="3144" customFormat="false" ht="15" hidden="false" customHeight="false" outlineLevel="0" collapsed="false">
      <c r="A3144" s="11" t="s">
        <v>113</v>
      </c>
      <c r="B3144" s="11" t="s">
        <v>135</v>
      </c>
      <c r="C3144" s="11" t="n">
        <v>3</v>
      </c>
      <c r="D3144" s="11" t="s">
        <v>74</v>
      </c>
      <c r="E3144" s="11" t="s">
        <v>155</v>
      </c>
      <c r="F3144" s="11" t="s">
        <v>73</v>
      </c>
      <c r="G3144" s="12" t="n">
        <v>500</v>
      </c>
      <c r="H3144" s="12" t="n">
        <f aca="false">SUMPRODUCT(ПОТОКИ!B17:G17,ЧАСОВЫЕ_ПРОФИЛИ!B22:G22,КОЭФФИЦИЕНТЫ_ВЫБОРА!F13:K13)</f>
        <v>1.5945</v>
      </c>
      <c r="I3144" s="12" t="n">
        <f aca="false">SUMPRODUCT(ПОТОКИ!B17:G17,ЧАСОВЫЕ_ПРОФИЛИ!B22:G22,КОЭФФИЦИЕНТЫ_ВЫБОРА!F13:K13,ПАРАМЕТРЫ!$B$17:$G$17)</f>
        <v>1.75395</v>
      </c>
      <c r="J3144" s="12" t="n">
        <f aca="false">I3144*G3144/1000</f>
        <v>0.876975</v>
      </c>
      <c r="K3144" s="11" t="s">
        <v>217</v>
      </c>
      <c r="L3144" s="11" t="s">
        <v>19</v>
      </c>
      <c r="M3144" s="11" t="s">
        <v>145</v>
      </c>
    </row>
    <row r="3145" customFormat="false" ht="15" hidden="false" customHeight="false" outlineLevel="0" collapsed="false">
      <c r="A3145" s="11" t="s">
        <v>113</v>
      </c>
      <c r="B3145" s="11" t="s">
        <v>135</v>
      </c>
      <c r="C3145" s="11" t="n">
        <v>4</v>
      </c>
      <c r="D3145" s="11" t="s">
        <v>74</v>
      </c>
      <c r="E3145" s="11" t="s">
        <v>156</v>
      </c>
      <c r="F3145" s="11" t="s">
        <v>73</v>
      </c>
      <c r="G3145" s="12" t="n">
        <v>500</v>
      </c>
      <c r="H3145" s="12" t="n">
        <f aca="false">SUMPRODUCT(ПОТОКИ!B17:G17,ЧАСОВЫЕ_ПРОФИЛИ!B22:G22,КОЭФФИЦИЕНТЫ_ВЫБОРА!F14:K14)</f>
        <v>2.037</v>
      </c>
      <c r="I3145" s="12" t="n">
        <f aca="false">SUMPRODUCT(ПОТОКИ!B17:G17,ЧАСОВЫЕ_ПРОФИЛИ!B22:G22,КОЭФФИЦИЕНТЫ_ВЫБОРА!F14:K14,ПАРАМЕТРЫ!$B$17:$G$17)</f>
        <v>2.2407</v>
      </c>
      <c r="J3145" s="12" t="n">
        <f aca="false">I3145*G3145/1000</f>
        <v>1.12035</v>
      </c>
      <c r="K3145" s="11" t="s">
        <v>217</v>
      </c>
      <c r="L3145" s="11" t="s">
        <v>19</v>
      </c>
      <c r="M3145" s="11" t="s">
        <v>145</v>
      </c>
    </row>
    <row r="3146" customFormat="false" ht="15" hidden="false" customHeight="false" outlineLevel="0" collapsed="false">
      <c r="A3146" s="11" t="s">
        <v>113</v>
      </c>
      <c r="B3146" s="11" t="s">
        <v>135</v>
      </c>
      <c r="C3146" s="11" t="n">
        <v>5</v>
      </c>
      <c r="D3146" s="11" t="s">
        <v>78</v>
      </c>
      <c r="E3146" s="11" t="s">
        <v>157</v>
      </c>
      <c r="F3146" s="11" t="s">
        <v>77</v>
      </c>
      <c r="G3146" s="12" t="n">
        <v>100</v>
      </c>
      <c r="H3146" s="12" t="n">
        <f aca="false">SUMPRODUCT(ПОТОКИ!B17:G17,ЧАСОВЫЕ_ПРОФИЛИ!B22:G22,КОЭФФИЦИЕНТЫ_ВЫБОРА!F15:K15)</f>
        <v>0.786</v>
      </c>
      <c r="I3146" s="12" t="n">
        <f aca="false">SUMPRODUCT(ПОТОКИ!B17:G17,ЧАСОВЫЕ_ПРОФИЛИ!B22:G22,КОЭФФИЦИЕНТЫ_ВЫБОРА!F15:K15,ПАРАМЕТРЫ!$B$17:$G$17)</f>
        <v>0.8646</v>
      </c>
      <c r="J3146" s="12" t="n">
        <f aca="false">I3146*G3146/1000</f>
        <v>0.08646</v>
      </c>
      <c r="K3146" s="11" t="s">
        <v>217</v>
      </c>
      <c r="L3146" s="11" t="s">
        <v>19</v>
      </c>
      <c r="M3146" s="11" t="s">
        <v>147</v>
      </c>
    </row>
    <row r="3147" customFormat="false" ht="15" hidden="false" customHeight="false" outlineLevel="0" collapsed="false">
      <c r="A3147" s="11" t="s">
        <v>113</v>
      </c>
      <c r="B3147" s="11" t="s">
        <v>135</v>
      </c>
      <c r="C3147" s="11" t="n">
        <v>6</v>
      </c>
      <c r="D3147" s="11" t="s">
        <v>78</v>
      </c>
      <c r="E3147" s="11" t="s">
        <v>158</v>
      </c>
      <c r="F3147" s="11" t="s">
        <v>77</v>
      </c>
      <c r="G3147" s="12" t="n">
        <v>100</v>
      </c>
      <c r="H3147" s="12" t="n">
        <f aca="false">SUMPRODUCT(ПОТОКИ!B17:G17,ЧАСОВЫЕ_ПРОФИЛИ!B22:G22,КОЭФФИЦИЕНТЫ_ВЫБОРА!F16:K16)</f>
        <v>0.6945</v>
      </c>
      <c r="I3147" s="12" t="n">
        <f aca="false">SUMPRODUCT(ПОТОКИ!B17:G17,ЧАСОВЫЕ_ПРОФИЛИ!B22:G22,КОЭФФИЦИЕНТЫ_ВЫБОРА!F16:K16,ПАРАМЕТРЫ!$B$17:$G$17)</f>
        <v>0.76395</v>
      </c>
      <c r="J3147" s="12" t="n">
        <f aca="false">I3147*G3147/1000</f>
        <v>0.076395</v>
      </c>
      <c r="K3147" s="11" t="s">
        <v>217</v>
      </c>
      <c r="L3147" s="11" t="s">
        <v>19</v>
      </c>
      <c r="M3147" s="11" t="s">
        <v>147</v>
      </c>
    </row>
    <row r="3148" customFormat="false" ht="15" hidden="false" customHeight="false" outlineLevel="0" collapsed="false">
      <c r="A3148" s="11" t="s">
        <v>113</v>
      </c>
      <c r="B3148" s="11" t="s">
        <v>135</v>
      </c>
      <c r="C3148" s="11" t="n">
        <v>7</v>
      </c>
      <c r="D3148" s="11" t="s">
        <v>78</v>
      </c>
      <c r="E3148" s="11" t="s">
        <v>159</v>
      </c>
      <c r="F3148" s="11" t="s">
        <v>77</v>
      </c>
      <c r="G3148" s="12" t="n">
        <v>350</v>
      </c>
      <c r="H3148" s="12" t="n">
        <f aca="false">SUMPRODUCT(ПОТОКИ!B17:G17,ЧАСОВЫЕ_ПРОФИЛИ!B22:G22,КОЭФФИЦИЕНТЫ_ВЫБОРА!F17:K17)</f>
        <v>0.627</v>
      </c>
      <c r="I3148" s="12" t="n">
        <f aca="false">SUMPRODUCT(ПОТОКИ!B17:G17,ЧАСОВЫЕ_ПРОФИЛИ!B22:G22,КОЭФФИЦИЕНТЫ_ВЫБОРА!F17:K17,ПАРАМЕТРЫ!$B$17:$G$17)</f>
        <v>0.6897</v>
      </c>
      <c r="J3148" s="12" t="n">
        <f aca="false">I3148*G3148/1000</f>
        <v>0.241395</v>
      </c>
      <c r="K3148" s="11" t="s">
        <v>217</v>
      </c>
      <c r="L3148" s="11" t="s">
        <v>19</v>
      </c>
      <c r="M3148" s="11" t="s">
        <v>147</v>
      </c>
    </row>
    <row r="3149" customFormat="false" ht="15" hidden="false" customHeight="false" outlineLevel="0" collapsed="false">
      <c r="A3149" s="11" t="s">
        <v>113</v>
      </c>
      <c r="B3149" s="11" t="s">
        <v>135</v>
      </c>
      <c r="C3149" s="11" t="n">
        <v>8</v>
      </c>
      <c r="D3149" s="11" t="s">
        <v>78</v>
      </c>
      <c r="E3149" s="11" t="s">
        <v>160</v>
      </c>
      <c r="F3149" s="11" t="s">
        <v>77</v>
      </c>
      <c r="G3149" s="12" t="n">
        <v>85</v>
      </c>
      <c r="H3149" s="12" t="n">
        <f aca="false">SUMPRODUCT(ПОТОКИ!B17:G17,ЧАСОВЫЕ_ПРОФИЛИ!B22:G22,КОЭФФИЦИЕНТЫ_ВЫБОРА!F18:K18)</f>
        <v>0.4005</v>
      </c>
      <c r="I3149" s="12" t="n">
        <f aca="false">SUMPRODUCT(ПОТОКИ!B17:G17,ЧАСОВЫЕ_ПРОФИЛИ!B22:G22,КОЭФФИЦИЕНТЫ_ВЫБОРА!F18:K18,ПАРАМЕТРЫ!$B$17:$G$17)</f>
        <v>0.44055</v>
      </c>
      <c r="J3149" s="12" t="n">
        <f aca="false">I3149*G3149/1000</f>
        <v>0.03744675</v>
      </c>
      <c r="K3149" s="11" t="s">
        <v>217</v>
      </c>
      <c r="L3149" s="11" t="s">
        <v>19</v>
      </c>
      <c r="M3149" s="11" t="s">
        <v>147</v>
      </c>
    </row>
    <row r="3150" customFormat="false" ht="15" hidden="false" customHeight="false" outlineLevel="0" collapsed="false">
      <c r="A3150" s="11" t="s">
        <v>113</v>
      </c>
      <c r="B3150" s="11" t="s">
        <v>135</v>
      </c>
      <c r="C3150" s="11" t="n">
        <v>9</v>
      </c>
      <c r="D3150" s="11" t="s">
        <v>161</v>
      </c>
      <c r="E3150" s="11" t="s">
        <v>162</v>
      </c>
      <c r="F3150" s="11" t="s">
        <v>80</v>
      </c>
      <c r="G3150" s="12" t="n">
        <v>300</v>
      </c>
      <c r="H3150" s="12" t="n">
        <f aca="false">SUMPRODUCT(ПОТОКИ!B17:G17,ЧАСОВЫЕ_ПРОФИЛИ!B22:G22,КОЭФФИЦИЕНТЫ_ВЫБОРА!F19:K19)</f>
        <v>0.852</v>
      </c>
      <c r="I3150" s="12" t="n">
        <f aca="false">SUMPRODUCT(ПОТОКИ!B17:G17,ЧАСОВЫЕ_ПРОФИЛИ!B22:G22,КОЭФФИЦИЕНТЫ_ВЫБОРА!F19:K19,ПАРАМЕТРЫ!$B$17:$G$17)</f>
        <v>0.9372</v>
      </c>
      <c r="J3150" s="12" t="n">
        <f aca="false">I3150*G3150/1000</f>
        <v>0.28116</v>
      </c>
      <c r="K3150" s="11" t="s">
        <v>217</v>
      </c>
      <c r="L3150" s="11" t="s">
        <v>19</v>
      </c>
      <c r="M3150" s="11" t="s">
        <v>145</v>
      </c>
    </row>
    <row r="3151" customFormat="false" ht="15" hidden="false" customHeight="false" outlineLevel="0" collapsed="false">
      <c r="A3151" s="11" t="s">
        <v>113</v>
      </c>
      <c r="B3151" s="11" t="s">
        <v>135</v>
      </c>
      <c r="C3151" s="11" t="n">
        <v>10</v>
      </c>
      <c r="D3151" s="11" t="s">
        <v>161</v>
      </c>
      <c r="E3151" s="11" t="s">
        <v>163</v>
      </c>
      <c r="F3151" s="11" t="s">
        <v>80</v>
      </c>
      <c r="G3151" s="12" t="n">
        <v>280</v>
      </c>
      <c r="H3151" s="12" t="n">
        <f aca="false">SUMPRODUCT(ПОТОКИ!B17:G17,ЧАСОВЫЕ_ПРОФИЛИ!B22:G22,КОЭФФИЦИЕНТЫ_ВЫБОРА!F20:K20)</f>
        <v>0.969</v>
      </c>
      <c r="I3151" s="12" t="n">
        <f aca="false">SUMPRODUCT(ПОТОКИ!B17:G17,ЧАСОВЫЕ_ПРОФИЛИ!B22:G22,КОЭФФИЦИЕНТЫ_ВЫБОРА!F20:K20,ПАРАМЕТРЫ!$B$17:$G$17)</f>
        <v>1.0659</v>
      </c>
      <c r="J3151" s="12" t="n">
        <f aca="false">I3151*G3151/1000</f>
        <v>0.298452</v>
      </c>
      <c r="K3151" s="11" t="s">
        <v>217</v>
      </c>
      <c r="L3151" s="11" t="s">
        <v>19</v>
      </c>
      <c r="M3151" s="11" t="s">
        <v>145</v>
      </c>
    </row>
    <row r="3152" customFormat="false" ht="15" hidden="false" customHeight="false" outlineLevel="0" collapsed="false">
      <c r="A3152" s="11" t="s">
        <v>113</v>
      </c>
      <c r="B3152" s="11" t="s">
        <v>135</v>
      </c>
      <c r="C3152" s="11" t="n">
        <v>11</v>
      </c>
      <c r="D3152" s="11" t="s">
        <v>161</v>
      </c>
      <c r="E3152" s="11" t="s">
        <v>164</v>
      </c>
      <c r="F3152" s="11" t="s">
        <v>80</v>
      </c>
      <c r="G3152" s="12" t="n">
        <v>270</v>
      </c>
      <c r="H3152" s="12" t="n">
        <f aca="false">SUMPRODUCT(ПОТОКИ!B17:G17,ЧАСОВЫЕ_ПРОФИЛИ!B22:G22,КОЭФФИЦИЕНТЫ_ВЫБОРА!F21:K21)</f>
        <v>1.59225</v>
      </c>
      <c r="I3152" s="12" t="n">
        <f aca="false">SUMPRODUCT(ПОТОКИ!B17:G17,ЧАСОВЫЕ_ПРОФИЛИ!B22:G22,КОЭФФИЦИЕНТЫ_ВЫБОРА!F21:K21,ПАРАМЕТРЫ!$B$17:$G$17)</f>
        <v>1.751475</v>
      </c>
      <c r="J3152" s="12" t="n">
        <f aca="false">I3152*G3152/1000</f>
        <v>0.47289825</v>
      </c>
      <c r="K3152" s="11" t="s">
        <v>217</v>
      </c>
      <c r="L3152" s="11" t="s">
        <v>19</v>
      </c>
      <c r="M3152" s="11" t="s">
        <v>145</v>
      </c>
    </row>
    <row r="3153" customFormat="false" ht="15" hidden="false" customHeight="false" outlineLevel="0" collapsed="false">
      <c r="A3153" s="11" t="s">
        <v>113</v>
      </c>
      <c r="B3153" s="11" t="s">
        <v>135</v>
      </c>
      <c r="C3153" s="11" t="n">
        <v>12</v>
      </c>
      <c r="D3153" s="11" t="s">
        <v>161</v>
      </c>
      <c r="E3153" s="11" t="s">
        <v>165</v>
      </c>
      <c r="F3153" s="11" t="s">
        <v>80</v>
      </c>
      <c r="G3153" s="12" t="n">
        <v>240</v>
      </c>
      <c r="H3153" s="12" t="n">
        <f aca="false">SUMPRODUCT(ПОТОКИ!B17:G17,ЧАСОВЫЕ_ПРОФИЛИ!B22:G22,КОЭФФИЦИЕНТЫ_ВЫБОРА!F22:K22)</f>
        <v>0.80175</v>
      </c>
      <c r="I3153" s="12" t="n">
        <f aca="false">SUMPRODUCT(ПОТОКИ!B17:G17,ЧАСОВЫЕ_ПРОФИЛИ!B22:G22,КОЭФФИЦИЕНТЫ_ВЫБОРА!F22:K22,ПАРАМЕТРЫ!$B$17:$G$17)</f>
        <v>0.881925</v>
      </c>
      <c r="J3153" s="12" t="n">
        <f aca="false">I3153*G3153/1000</f>
        <v>0.211662</v>
      </c>
      <c r="K3153" s="11" t="s">
        <v>217</v>
      </c>
      <c r="L3153" s="11" t="s">
        <v>19</v>
      </c>
      <c r="M3153" s="11" t="s">
        <v>145</v>
      </c>
    </row>
    <row r="3154" customFormat="false" ht="15" hidden="false" customHeight="false" outlineLevel="0" collapsed="false">
      <c r="A3154" s="11" t="s">
        <v>113</v>
      </c>
      <c r="B3154" s="11" t="s">
        <v>135</v>
      </c>
      <c r="C3154" s="11" t="n">
        <v>13</v>
      </c>
      <c r="D3154" s="11" t="s">
        <v>166</v>
      </c>
      <c r="E3154" s="11" t="s">
        <v>167</v>
      </c>
      <c r="F3154" s="11" t="s">
        <v>80</v>
      </c>
      <c r="G3154" s="12" t="n">
        <v>130</v>
      </c>
      <c r="H3154" s="12" t="n">
        <f aca="false">SUMPRODUCT(ПОТОКИ!B17:G17,ЧАСОВЫЕ_ПРОФИЛИ!B22:G22,КОЭФФИЦИЕНТЫ_ВЫБОРА!F23:K23)</f>
        <v>0.48</v>
      </c>
      <c r="I3154" s="12" t="n">
        <f aca="false">SUMPRODUCT(ПОТОКИ!B17:G17,ЧАСОВЫЕ_ПРОФИЛИ!B22:G22,КОЭФФИЦИЕНТЫ_ВЫБОРА!F23:K23,ПАРАМЕТРЫ!$B$17:$G$17)</f>
        <v>0.528</v>
      </c>
      <c r="J3154" s="12" t="n">
        <f aca="false">I3154*G3154/1000</f>
        <v>0.06864</v>
      </c>
      <c r="K3154" s="11" t="s">
        <v>217</v>
      </c>
      <c r="L3154" s="11" t="s">
        <v>19</v>
      </c>
      <c r="M3154" s="11" t="s">
        <v>145</v>
      </c>
    </row>
    <row r="3155" customFormat="false" ht="15" hidden="false" customHeight="false" outlineLevel="0" collapsed="false">
      <c r="A3155" s="11" t="s">
        <v>113</v>
      </c>
      <c r="B3155" s="11" t="s">
        <v>135</v>
      </c>
      <c r="C3155" s="11" t="n">
        <v>14</v>
      </c>
      <c r="D3155" s="11" t="s">
        <v>166</v>
      </c>
      <c r="E3155" s="11" t="s">
        <v>168</v>
      </c>
      <c r="F3155" s="11" t="s">
        <v>80</v>
      </c>
      <c r="G3155" s="12" t="n">
        <v>250</v>
      </c>
      <c r="H3155" s="12" t="n">
        <f aca="false">SUMPRODUCT(ПОТОКИ!B17:G17,ЧАСОВЫЕ_ПРОФИЛИ!B22:G22,КОЭФФИЦИЕНТЫ_ВЫБОРА!F24:K24)</f>
        <v>0.327</v>
      </c>
      <c r="I3155" s="12" t="n">
        <f aca="false">SUMPRODUCT(ПОТОКИ!B17:G17,ЧАСОВЫЕ_ПРОФИЛИ!B22:G22,КОЭФФИЦИЕНТЫ_ВЫБОРА!F24:K24,ПАРАМЕТРЫ!$B$17:$G$17)</f>
        <v>0.3597</v>
      </c>
      <c r="J3155" s="12" t="n">
        <f aca="false">I3155*G3155/1000</f>
        <v>0.089925</v>
      </c>
      <c r="K3155" s="11" t="s">
        <v>217</v>
      </c>
      <c r="L3155" s="11" t="s">
        <v>19</v>
      </c>
      <c r="M3155" s="11" t="s">
        <v>145</v>
      </c>
    </row>
    <row r="3156" customFormat="false" ht="15" hidden="false" customHeight="false" outlineLevel="0" collapsed="false">
      <c r="A3156" s="11" t="s">
        <v>113</v>
      </c>
      <c r="B3156" s="11" t="s">
        <v>135</v>
      </c>
      <c r="C3156" s="11" t="n">
        <v>15</v>
      </c>
      <c r="D3156" s="11" t="s">
        <v>166</v>
      </c>
      <c r="E3156" s="11" t="s">
        <v>169</v>
      </c>
      <c r="F3156" s="11" t="s">
        <v>80</v>
      </c>
      <c r="G3156" s="12" t="n">
        <v>120</v>
      </c>
      <c r="H3156" s="12" t="n">
        <f aca="false">SUMPRODUCT(ПОТОКИ!B17:G17,ЧАСОВЫЕ_ПРОФИЛИ!B22:G22,КОЭФФИЦИЕНТЫ_ВЫБОРА!F25:K25)</f>
        <v>0.282</v>
      </c>
      <c r="I3156" s="12" t="n">
        <f aca="false">SUMPRODUCT(ПОТОКИ!B17:G17,ЧАСОВЫЕ_ПРОФИЛИ!B22:G22,КОЭФФИЦИЕНТЫ_ВЫБОРА!F25:K25,ПАРАМЕТРЫ!$B$17:$G$17)</f>
        <v>0.3102</v>
      </c>
      <c r="J3156" s="12" t="n">
        <f aca="false">I3156*G3156/1000</f>
        <v>0.037224</v>
      </c>
      <c r="K3156" s="11" t="s">
        <v>217</v>
      </c>
      <c r="L3156" s="11" t="s">
        <v>19</v>
      </c>
      <c r="M3156" s="11" t="s">
        <v>145</v>
      </c>
    </row>
    <row r="3157" customFormat="false" ht="15" hidden="false" customHeight="false" outlineLevel="0" collapsed="false">
      <c r="A3157" s="11" t="s">
        <v>113</v>
      </c>
      <c r="B3157" s="11" t="s">
        <v>135</v>
      </c>
      <c r="C3157" s="11" t="n">
        <v>16</v>
      </c>
      <c r="D3157" s="11" t="s">
        <v>166</v>
      </c>
      <c r="E3157" s="11" t="s">
        <v>170</v>
      </c>
      <c r="F3157" s="11" t="s">
        <v>80</v>
      </c>
      <c r="G3157" s="12" t="n">
        <v>180</v>
      </c>
      <c r="H3157" s="12" t="n">
        <f aca="false">SUMPRODUCT(ПОТОКИ!B17:G17,ЧАСОВЫЕ_ПРОФИЛИ!B22:G22,КОЭФФИЦИЕНТЫ_ВЫБОРА!F26:K26)</f>
        <v>0.411</v>
      </c>
      <c r="I3157" s="12" t="n">
        <f aca="false">SUMPRODUCT(ПОТОКИ!B17:G17,ЧАСОВЫЕ_ПРОФИЛИ!B22:G22,КОЭФФИЦИЕНТЫ_ВЫБОРА!F26:K26,ПАРАМЕТРЫ!$B$17:$G$17)</f>
        <v>0.4521</v>
      </c>
      <c r="J3157" s="12" t="n">
        <f aca="false">I3157*G3157/1000</f>
        <v>0.081378</v>
      </c>
      <c r="K3157" s="11" t="s">
        <v>217</v>
      </c>
      <c r="L3157" s="11" t="s">
        <v>19</v>
      </c>
      <c r="M3157" s="11" t="s">
        <v>145</v>
      </c>
    </row>
    <row r="3158" customFormat="false" ht="15" hidden="false" customHeight="false" outlineLevel="0" collapsed="false">
      <c r="A3158" s="11" t="s">
        <v>113</v>
      </c>
      <c r="B3158" s="11" t="s">
        <v>135</v>
      </c>
      <c r="C3158" s="11" t="n">
        <v>17</v>
      </c>
      <c r="D3158" s="11" t="s">
        <v>166</v>
      </c>
      <c r="E3158" s="11" t="s">
        <v>171</v>
      </c>
      <c r="F3158" s="11" t="s">
        <v>80</v>
      </c>
      <c r="G3158" s="12" t="n">
        <v>180</v>
      </c>
      <c r="H3158" s="12" t="n">
        <f aca="false">SUMPRODUCT(ПОТОКИ!B17:G17,ЧАСОВЫЕ_ПРОФИЛИ!B22:G22,КОЭФФИЦИЕНТЫ_ВЫБОРА!F27:K27)</f>
        <v>0.48</v>
      </c>
      <c r="I3158" s="12" t="n">
        <f aca="false">SUMPRODUCT(ПОТОКИ!B17:G17,ЧАСОВЫЕ_ПРОФИЛИ!B22:G22,КОЭФФИЦИЕНТЫ_ВЫБОРА!F27:K27,ПАРАМЕТРЫ!$B$17:$G$17)</f>
        <v>0.528</v>
      </c>
      <c r="J3158" s="12" t="n">
        <f aca="false">I3158*G3158/1000</f>
        <v>0.09504</v>
      </c>
      <c r="K3158" s="11" t="s">
        <v>217</v>
      </c>
      <c r="L3158" s="11" t="s">
        <v>19</v>
      </c>
      <c r="M3158" s="11" t="s">
        <v>145</v>
      </c>
    </row>
    <row r="3159" customFormat="false" ht="15" hidden="false" customHeight="false" outlineLevel="0" collapsed="false">
      <c r="A3159" s="11" t="s">
        <v>113</v>
      </c>
      <c r="B3159" s="11" t="s">
        <v>135</v>
      </c>
      <c r="C3159" s="11" t="n">
        <v>18</v>
      </c>
      <c r="D3159" s="11" t="s">
        <v>172</v>
      </c>
      <c r="E3159" s="11" t="s">
        <v>173</v>
      </c>
      <c r="F3159" s="11" t="s">
        <v>83</v>
      </c>
      <c r="G3159" s="12" t="n">
        <v>400</v>
      </c>
      <c r="H3159" s="12" t="n">
        <f aca="false">SUMPRODUCT(ПОТОКИ!B17:G17,ЧАСОВЫЕ_ПРОФИЛИ!B22:G22,КОЭФФИЦИЕНТЫ_ВЫБОРА!F28:K28)</f>
        <v>0.84</v>
      </c>
      <c r="I3159" s="12" t="n">
        <f aca="false">SUMPRODUCT(ПОТОКИ!B17:G17,ЧАСОВЫЕ_ПРОФИЛИ!B22:G22,КОЭФФИЦИЕНТЫ_ВЫБОРА!F28:K28,ПАРАМЕТРЫ!$B$17:$G$17)</f>
        <v>0.924</v>
      </c>
      <c r="J3159" s="12" t="n">
        <f aca="false">I3159*G3159/1000</f>
        <v>0.3696</v>
      </c>
      <c r="K3159" s="11" t="s">
        <v>217</v>
      </c>
      <c r="L3159" s="11" t="s">
        <v>19</v>
      </c>
      <c r="M3159" s="11" t="s">
        <v>145</v>
      </c>
    </row>
    <row r="3160" customFormat="false" ht="23.85" hidden="false" customHeight="false" outlineLevel="0" collapsed="false">
      <c r="A3160" s="11" t="s">
        <v>113</v>
      </c>
      <c r="B3160" s="11" t="s">
        <v>135</v>
      </c>
      <c r="C3160" s="11" t="n">
        <v>19</v>
      </c>
      <c r="D3160" s="11" t="s">
        <v>174</v>
      </c>
      <c r="E3160" s="11" t="s">
        <v>175</v>
      </c>
      <c r="F3160" s="11" t="s">
        <v>83</v>
      </c>
      <c r="G3160" s="12" t="n">
        <v>300</v>
      </c>
      <c r="H3160" s="12" t="n">
        <f aca="false">SUMPRODUCT(ПОТОКИ!B17:G17,ЧАСОВЫЕ_ПРОФИЛИ!B22:G22,КОЭФФИЦИЕНТЫ_ВЫБОРА!F29:K29)</f>
        <v>2.3715</v>
      </c>
      <c r="I3160" s="12" t="n">
        <f aca="false">SUMPRODUCT(ПОТОКИ!B17:G17,ЧАСОВЫЕ_ПРОФИЛИ!B22:G22,КОЭФФИЦИЕНТЫ_ВЫБОРА!F29:K29,ПАРАМЕТРЫ!$B$17:$G$17)</f>
        <v>2.60865</v>
      </c>
      <c r="J3160" s="12" t="n">
        <f aca="false">I3160*G3160/1000</f>
        <v>0.782595</v>
      </c>
      <c r="K3160" s="11" t="s">
        <v>217</v>
      </c>
      <c r="L3160" s="11" t="s">
        <v>19</v>
      </c>
      <c r="M3160" s="11" t="s">
        <v>145</v>
      </c>
    </row>
    <row r="3161" customFormat="false" ht="15" hidden="false" customHeight="false" outlineLevel="0" collapsed="false">
      <c r="A3161" s="11" t="s">
        <v>113</v>
      </c>
      <c r="B3161" s="11" t="s">
        <v>135</v>
      </c>
      <c r="C3161" s="11" t="n">
        <v>20</v>
      </c>
      <c r="D3161" s="11" t="s">
        <v>174</v>
      </c>
      <c r="E3161" s="11" t="s">
        <v>176</v>
      </c>
      <c r="F3161" s="11" t="s">
        <v>83</v>
      </c>
      <c r="G3161" s="12" t="n">
        <v>360</v>
      </c>
      <c r="H3161" s="12" t="n">
        <f aca="false">SUMPRODUCT(ПОТОКИ!B17:G17,ЧАСОВЫЕ_ПРОФИЛИ!B22:G22,КОЭФФИЦИЕНТЫ_ВЫБОРА!F30:K30)</f>
        <v>2.127</v>
      </c>
      <c r="I3161" s="12" t="n">
        <f aca="false">SUMPRODUCT(ПОТОКИ!B17:G17,ЧАСОВЫЕ_ПРОФИЛИ!B22:G22,КОЭФФИЦИЕНТЫ_ВЫБОРА!F30:K30,ПАРАМЕТРЫ!$B$17:$G$17)</f>
        <v>2.3397</v>
      </c>
      <c r="J3161" s="12" t="n">
        <f aca="false">I3161*G3161/1000</f>
        <v>0.842292</v>
      </c>
      <c r="K3161" s="11" t="s">
        <v>217</v>
      </c>
      <c r="L3161" s="11" t="s">
        <v>19</v>
      </c>
      <c r="M3161" s="11" t="s">
        <v>145</v>
      </c>
    </row>
    <row r="3162" customFormat="false" ht="15" hidden="false" customHeight="false" outlineLevel="0" collapsed="false">
      <c r="A3162" s="11" t="s">
        <v>113</v>
      </c>
      <c r="B3162" s="11" t="s">
        <v>135</v>
      </c>
      <c r="C3162" s="11" t="n">
        <v>21</v>
      </c>
      <c r="D3162" s="11" t="s">
        <v>174</v>
      </c>
      <c r="E3162" s="11" t="s">
        <v>177</v>
      </c>
      <c r="F3162" s="11" t="s">
        <v>83</v>
      </c>
      <c r="G3162" s="12" t="n">
        <v>350</v>
      </c>
      <c r="H3162" s="12" t="n">
        <f aca="false">SUMPRODUCT(ПОТОКИ!B17:G17,ЧАСОВЫЕ_ПРОФИЛИ!B22:G22,КОЭФФИЦИЕНТЫ_ВЫБОРА!F31:K31)</f>
        <v>3.20475</v>
      </c>
      <c r="I3162" s="12" t="n">
        <f aca="false">SUMPRODUCT(ПОТОКИ!B17:G17,ЧАСОВЫЕ_ПРОФИЛИ!B22:G22,КОЭФФИЦИЕНТЫ_ВЫБОРА!F31:K31,ПАРАМЕТРЫ!$B$17:$G$17)</f>
        <v>3.525225</v>
      </c>
      <c r="J3162" s="12" t="n">
        <f aca="false">I3162*G3162/1000</f>
        <v>1.23382875</v>
      </c>
      <c r="K3162" s="11" t="s">
        <v>217</v>
      </c>
      <c r="L3162" s="11" t="s">
        <v>19</v>
      </c>
      <c r="M3162" s="11" t="s">
        <v>145</v>
      </c>
    </row>
    <row r="3163" customFormat="false" ht="15" hidden="false" customHeight="false" outlineLevel="0" collapsed="false">
      <c r="A3163" s="11" t="s">
        <v>113</v>
      </c>
      <c r="B3163" s="11" t="s">
        <v>135</v>
      </c>
      <c r="C3163" s="11" t="n">
        <v>22</v>
      </c>
      <c r="D3163" s="11" t="s">
        <v>174</v>
      </c>
      <c r="E3163" s="11" t="s">
        <v>178</v>
      </c>
      <c r="F3163" s="11" t="s">
        <v>83</v>
      </c>
      <c r="G3163" s="12" t="n">
        <v>300</v>
      </c>
      <c r="H3163" s="12" t="n">
        <f aca="false">SUMPRODUCT(ПОТОКИ!B17:G17,ЧАСОВЫЕ_ПРОФИЛИ!B22:G22,КОЭФФИЦИЕНТЫ_ВЫБОРА!F32:K32)</f>
        <v>2.15175</v>
      </c>
      <c r="I3163" s="12" t="n">
        <f aca="false">SUMPRODUCT(ПОТОКИ!B17:G17,ЧАСОВЫЕ_ПРОФИЛИ!B22:G22,КОЭФФИЦИЕНТЫ_ВЫБОРА!F32:K32,ПАРАМЕТРЫ!$B$17:$G$17)</f>
        <v>2.366925</v>
      </c>
      <c r="J3163" s="12" t="n">
        <f aca="false">I3163*G3163/1000</f>
        <v>0.7100775</v>
      </c>
      <c r="K3163" s="11" t="s">
        <v>217</v>
      </c>
      <c r="L3163" s="11" t="s">
        <v>19</v>
      </c>
      <c r="M3163" s="11" t="s">
        <v>145</v>
      </c>
    </row>
    <row r="3164" customFormat="false" ht="15" hidden="false" customHeight="false" outlineLevel="0" collapsed="false">
      <c r="A3164" s="11" t="s">
        <v>113</v>
      </c>
      <c r="B3164" s="11" t="s">
        <v>135</v>
      </c>
      <c r="C3164" s="11" t="n">
        <v>23</v>
      </c>
      <c r="D3164" s="11" t="s">
        <v>86</v>
      </c>
      <c r="E3164" s="11" t="s">
        <v>179</v>
      </c>
      <c r="F3164" s="11" t="s">
        <v>85</v>
      </c>
      <c r="G3164" s="12" t="n">
        <v>150</v>
      </c>
      <c r="H3164" s="12" t="n">
        <f aca="false">SUMPRODUCT(ПОТОКИ!B17:G17,ЧАСОВЫЕ_ПРОФИЛИ!B22:G22,КОЭФФИЦИЕНТЫ_ВЫБОРА!F33:K33)</f>
        <v>1.65766125</v>
      </c>
      <c r="I3164" s="12" t="n">
        <f aca="false">SUMPRODUCT(ПОТОКИ!B17:G17,ЧАСОВЫЕ_ПРОФИЛИ!B22:G22,КОЭФФИЦИЕНТЫ_ВЫБОРА!F33:K33,ПАРАМЕТРЫ!$B$17:$G$17)</f>
        <v>1.823427375</v>
      </c>
      <c r="J3164" s="12" t="n">
        <f aca="false">I3164*G3164/1000</f>
        <v>0.27351410625</v>
      </c>
      <c r="K3164" s="11" t="s">
        <v>217</v>
      </c>
      <c r="L3164" s="11" t="s">
        <v>19</v>
      </c>
      <c r="M3164" s="11" t="s">
        <v>147</v>
      </c>
    </row>
    <row r="3165" customFormat="false" ht="15" hidden="false" customHeight="false" outlineLevel="0" collapsed="false">
      <c r="A3165" s="11" t="s">
        <v>113</v>
      </c>
      <c r="B3165" s="11" t="s">
        <v>135</v>
      </c>
      <c r="C3165" s="11" t="n">
        <v>24</v>
      </c>
      <c r="D3165" s="11" t="s">
        <v>86</v>
      </c>
      <c r="E3165" s="11" t="s">
        <v>180</v>
      </c>
      <c r="F3165" s="11" t="s">
        <v>85</v>
      </c>
      <c r="G3165" s="12" t="n">
        <v>150</v>
      </c>
      <c r="H3165" s="12" t="n">
        <f aca="false">SUMPRODUCT(ПОТОКИ!B17:G17,ЧАСОВЫЕ_ПРОФИЛИ!B22:G22,КОЭФФИЦИЕНТЫ_ВЫБОРА!F34:K34)</f>
        <v>0.853215</v>
      </c>
      <c r="I3165" s="12" t="n">
        <f aca="false">SUMPRODUCT(ПОТОКИ!B17:G17,ЧАСОВЫЕ_ПРОФИЛИ!B22:G22,КОЭФФИЦИЕНТЫ_ВЫБОРА!F34:K34,ПАРАМЕТРЫ!$B$17:$G$17)</f>
        <v>0.9385365</v>
      </c>
      <c r="J3165" s="12" t="n">
        <f aca="false">I3165*G3165/1000</f>
        <v>0.140780475</v>
      </c>
      <c r="K3165" s="11" t="s">
        <v>217</v>
      </c>
      <c r="L3165" s="11" t="s">
        <v>19</v>
      </c>
      <c r="M3165" s="11" t="s">
        <v>147</v>
      </c>
    </row>
    <row r="3166" customFormat="false" ht="15" hidden="false" customHeight="false" outlineLevel="0" collapsed="false">
      <c r="A3166" s="11" t="s">
        <v>113</v>
      </c>
      <c r="B3166" s="11" t="s">
        <v>135</v>
      </c>
      <c r="C3166" s="11" t="n">
        <v>25</v>
      </c>
      <c r="D3166" s="11" t="s">
        <v>86</v>
      </c>
      <c r="E3166" s="11" t="s">
        <v>181</v>
      </c>
      <c r="F3166" s="11" t="s">
        <v>85</v>
      </c>
      <c r="G3166" s="12" t="n">
        <v>150</v>
      </c>
      <c r="H3166" s="12" t="n">
        <f aca="false">SUMPRODUCT(ПОТОКИ!B17:G17,ЧАСОВЫЕ_ПРОФИЛИ!B22:G22,КОЭФФИЦИЕНТЫ_ВЫБОРА!F35:K35)</f>
        <v>1.75519875</v>
      </c>
      <c r="I3166" s="12" t="n">
        <f aca="false">SUMPRODUCT(ПОТОКИ!B17:G17,ЧАСОВЫЕ_ПРОФИЛИ!B22:G22,КОЭФФИЦИЕНТЫ_ВЫБОРА!F35:K35,ПАРАМЕТРЫ!$B$17:$G$17)</f>
        <v>1.930718625</v>
      </c>
      <c r="J3166" s="12" t="n">
        <f aca="false">I3166*G3166/1000</f>
        <v>0.28960779375</v>
      </c>
      <c r="K3166" s="11" t="s">
        <v>217</v>
      </c>
      <c r="L3166" s="11" t="s">
        <v>19</v>
      </c>
      <c r="M3166" s="11" t="s">
        <v>147</v>
      </c>
    </row>
    <row r="3167" customFormat="false" ht="23.85" hidden="false" customHeight="false" outlineLevel="0" collapsed="false">
      <c r="A3167" s="11" t="s">
        <v>113</v>
      </c>
      <c r="B3167" s="11" t="s">
        <v>135</v>
      </c>
      <c r="C3167" s="11" t="n">
        <v>26</v>
      </c>
      <c r="D3167" s="11" t="s">
        <v>89</v>
      </c>
      <c r="E3167" s="11" t="s">
        <v>182</v>
      </c>
      <c r="F3167" s="11" t="s">
        <v>88</v>
      </c>
      <c r="G3167" s="12" t="n">
        <v>225</v>
      </c>
      <c r="H3167" s="12" t="n">
        <f aca="false">SUMPRODUCT(ПОТОКИ!B17:G17,ЧАСОВЫЕ_ПРОФИЛИ!B22:G22,КОЭФФИЦИЕНТЫ_ВЫБОРА!F36:K36)</f>
        <v>0</v>
      </c>
      <c r="I3167" s="12" t="n">
        <f aca="false">SUMPRODUCT(ПОТОКИ!B17:G17,ЧАСОВЫЕ_ПРОФИЛИ!B22:G22,КОЭФФИЦИЕНТЫ_ВЫБОРА!F36:K36,ПАРАМЕТРЫ!$B$17:$G$17)</f>
        <v>0</v>
      </c>
      <c r="J3167" s="12" t="n">
        <f aca="false">I3167*G3167/1000</f>
        <v>0</v>
      </c>
      <c r="K3167" s="11" t="s">
        <v>217</v>
      </c>
      <c r="L3167" s="11" t="s">
        <v>19</v>
      </c>
      <c r="M3167" s="11" t="s">
        <v>145</v>
      </c>
    </row>
    <row r="3168" customFormat="false" ht="23.85" hidden="false" customHeight="false" outlineLevel="0" collapsed="false">
      <c r="A3168" s="11" t="s">
        <v>113</v>
      </c>
      <c r="B3168" s="11" t="s">
        <v>135</v>
      </c>
      <c r="C3168" s="11" t="n">
        <v>27</v>
      </c>
      <c r="D3168" s="11" t="s">
        <v>89</v>
      </c>
      <c r="E3168" s="11" t="s">
        <v>183</v>
      </c>
      <c r="F3168" s="11" t="s">
        <v>88</v>
      </c>
      <c r="G3168" s="12" t="n">
        <v>265</v>
      </c>
      <c r="H3168" s="12" t="n">
        <f aca="false">SUMPRODUCT(ПОТОКИ!B17:G17,ЧАСОВЫЕ_ПРОФИЛИ!B22:G22,КОЭФФИЦИЕНТЫ_ВЫБОРА!F37:K37)</f>
        <v>0</v>
      </c>
      <c r="I3168" s="12" t="n">
        <f aca="false">SUMPRODUCT(ПОТОКИ!B17:G17,ЧАСОВЫЕ_ПРОФИЛИ!B22:G22,КОЭФФИЦИЕНТЫ_ВЫБОРА!F37:K37,ПАРАМЕТРЫ!$B$17:$G$17)</f>
        <v>0</v>
      </c>
      <c r="J3168" s="12" t="n">
        <f aca="false">I3168*G3168/1000</f>
        <v>0</v>
      </c>
      <c r="K3168" s="11" t="s">
        <v>217</v>
      </c>
      <c r="L3168" s="11" t="s">
        <v>19</v>
      </c>
      <c r="M3168" s="11" t="s">
        <v>145</v>
      </c>
    </row>
    <row r="3169" customFormat="false" ht="23.85" hidden="false" customHeight="false" outlineLevel="0" collapsed="false">
      <c r="A3169" s="11" t="s">
        <v>113</v>
      </c>
      <c r="B3169" s="11" t="s">
        <v>135</v>
      </c>
      <c r="C3169" s="11" t="n">
        <v>28</v>
      </c>
      <c r="D3169" s="11" t="s">
        <v>89</v>
      </c>
      <c r="E3169" s="11" t="s">
        <v>184</v>
      </c>
      <c r="F3169" s="11" t="s">
        <v>88</v>
      </c>
      <c r="G3169" s="12" t="n">
        <v>355</v>
      </c>
      <c r="H3169" s="12" t="n">
        <f aca="false">SUMPRODUCT(ПОТОКИ!B17:G17,ЧАСОВЫЕ_ПРОФИЛИ!B22:G22,КОЭФФИЦИЕНТЫ_ВЫБОРА!F38:K38)</f>
        <v>0</v>
      </c>
      <c r="I3169" s="12" t="n">
        <f aca="false">SUMPRODUCT(ПОТОКИ!B17:G17,ЧАСОВЫЕ_ПРОФИЛИ!B22:G22,КОЭФФИЦИЕНТЫ_ВЫБОРА!F38:K38,ПАРАМЕТРЫ!$B$17:$G$17)</f>
        <v>0</v>
      </c>
      <c r="J3169" s="12" t="n">
        <f aca="false">I3169*G3169/1000</f>
        <v>0</v>
      </c>
      <c r="K3169" s="11" t="s">
        <v>217</v>
      </c>
      <c r="L3169" s="11" t="s">
        <v>19</v>
      </c>
      <c r="M3169" s="11" t="s">
        <v>145</v>
      </c>
    </row>
    <row r="3170" customFormat="false" ht="15" hidden="false" customHeight="false" outlineLevel="0" collapsed="false">
      <c r="A3170" s="11" t="s">
        <v>113</v>
      </c>
      <c r="B3170" s="11" t="s">
        <v>135</v>
      </c>
      <c r="C3170" s="11" t="n">
        <v>29</v>
      </c>
      <c r="D3170" s="11" t="s">
        <v>92</v>
      </c>
      <c r="E3170" s="11" t="s">
        <v>185</v>
      </c>
      <c r="F3170" s="11" t="s">
        <v>91</v>
      </c>
      <c r="G3170" s="12" t="n">
        <v>150</v>
      </c>
      <c r="H3170" s="12" t="n">
        <f aca="false">SUMPRODUCT(ПОТОКИ!B17:G17,ЧАСОВЫЕ_ПРОФИЛИ!B22:G22,КОЭФФИЦИЕНТЫ_ВЫБОРА!F39:K39)</f>
        <v>0.648</v>
      </c>
      <c r="I3170" s="12" t="n">
        <f aca="false">SUMPRODUCT(ПОТОКИ!B17:G17,ЧАСОВЫЕ_ПРОФИЛИ!B22:G22,КОЭФФИЦИЕНТЫ_ВЫБОРА!F39:K39,ПАРАМЕТРЫ!$B$17:$G$17)</f>
        <v>0.7128</v>
      </c>
      <c r="J3170" s="12" t="n">
        <f aca="false">I3170*G3170/1000</f>
        <v>0.10692</v>
      </c>
      <c r="K3170" s="11" t="s">
        <v>217</v>
      </c>
      <c r="L3170" s="11" t="s">
        <v>19</v>
      </c>
      <c r="M3170" s="11" t="s">
        <v>145</v>
      </c>
    </row>
    <row r="3171" customFormat="false" ht="15" hidden="false" customHeight="false" outlineLevel="0" collapsed="false">
      <c r="A3171" s="11" t="s">
        <v>113</v>
      </c>
      <c r="B3171" s="11" t="s">
        <v>135</v>
      </c>
      <c r="C3171" s="11" t="n">
        <v>30</v>
      </c>
      <c r="D3171" s="11" t="s">
        <v>92</v>
      </c>
      <c r="E3171" s="11" t="s">
        <v>186</v>
      </c>
      <c r="F3171" s="11" t="s">
        <v>91</v>
      </c>
      <c r="G3171" s="12" t="n">
        <v>120</v>
      </c>
      <c r="H3171" s="12" t="n">
        <f aca="false">SUMPRODUCT(ПОТОКИ!B17:G17,ЧАСОВЫЕ_ПРОФИЛИ!B22:G22,КОЭФФИЦИЕНТЫ_ВЫБОРА!F40:K40)</f>
        <v>0.798</v>
      </c>
      <c r="I3171" s="12" t="n">
        <f aca="false">SUMPRODUCT(ПОТОКИ!B17:G17,ЧАСОВЫЕ_ПРОФИЛИ!B22:G22,КОЭФФИЦИЕНТЫ_ВЫБОРА!F40:K40,ПАРАМЕТРЫ!$B$17:$G$17)</f>
        <v>0.8778</v>
      </c>
      <c r="J3171" s="12" t="n">
        <f aca="false">I3171*G3171/1000</f>
        <v>0.105336</v>
      </c>
      <c r="K3171" s="11" t="s">
        <v>217</v>
      </c>
      <c r="L3171" s="11" t="s">
        <v>19</v>
      </c>
      <c r="M3171" s="11" t="s">
        <v>145</v>
      </c>
    </row>
    <row r="3172" customFormat="false" ht="15" hidden="false" customHeight="false" outlineLevel="0" collapsed="false">
      <c r="A3172" s="11" t="s">
        <v>113</v>
      </c>
      <c r="B3172" s="11" t="s">
        <v>135</v>
      </c>
      <c r="C3172" s="11" t="n">
        <v>31</v>
      </c>
      <c r="D3172" s="11" t="s">
        <v>92</v>
      </c>
      <c r="E3172" s="11" t="s">
        <v>187</v>
      </c>
      <c r="F3172" s="11" t="s">
        <v>91</v>
      </c>
      <c r="G3172" s="12" t="n">
        <v>60</v>
      </c>
      <c r="H3172" s="12" t="n">
        <f aca="false">SUMPRODUCT(ПОТОКИ!B17:G17,ЧАСОВЫЕ_ПРОФИЛИ!B22:G22,КОЭФФИЦИЕНТЫ_ВЫБОРА!F41:K41)</f>
        <v>0.444</v>
      </c>
      <c r="I3172" s="12" t="n">
        <f aca="false">SUMPRODUCT(ПОТОКИ!B17:G17,ЧАСОВЫЕ_ПРОФИЛИ!B22:G22,КОЭФФИЦИЕНТЫ_ВЫБОРА!F41:K41,ПАРАМЕТРЫ!$B$17:$G$17)</f>
        <v>0.4884</v>
      </c>
      <c r="J3172" s="12" t="n">
        <f aca="false">I3172*G3172/1000</f>
        <v>0.029304</v>
      </c>
      <c r="K3172" s="11" t="s">
        <v>217</v>
      </c>
      <c r="L3172" s="11" t="s">
        <v>19</v>
      </c>
      <c r="M3172" s="11" t="s">
        <v>145</v>
      </c>
    </row>
    <row r="3173" customFormat="false" ht="15" hidden="false" customHeight="false" outlineLevel="0" collapsed="false">
      <c r="A3173" s="11" t="s">
        <v>113</v>
      </c>
      <c r="B3173" s="11" t="s">
        <v>136</v>
      </c>
      <c r="C3173" s="11" t="n">
        <v>1</v>
      </c>
      <c r="D3173" s="11" t="s">
        <v>74</v>
      </c>
      <c r="E3173" s="11" t="s">
        <v>153</v>
      </c>
      <c r="F3173" s="11" t="s">
        <v>73</v>
      </c>
      <c r="G3173" s="12" t="n">
        <v>450</v>
      </c>
      <c r="H3173" s="12" t="n">
        <f aca="false">SUMPRODUCT(ПОТОКИ!B17:G17,ЧАСОВЫЕ_ПРОФИЛИ!B23:G23,КОЭФФИЦИЕНТЫ_ВЫБОРА!F11:K11)</f>
        <v>0.791</v>
      </c>
      <c r="I3173" s="12" t="n">
        <f aca="false">SUMPRODUCT(ПОТОКИ!B17:G17,ЧАСОВЫЕ_ПРОФИЛИ!B23:G23,КОЭФФИЦИЕНТЫ_ВЫБОРА!F11:K11,ПАРАМЕТРЫ!$B$17:$G$17)</f>
        <v>0.8701</v>
      </c>
      <c r="J3173" s="12" t="n">
        <f aca="false">I3173*G3173/1000</f>
        <v>0.391545</v>
      </c>
      <c r="K3173" s="11" t="s">
        <v>217</v>
      </c>
      <c r="L3173" s="11" t="s">
        <v>19</v>
      </c>
      <c r="M3173" s="11" t="s">
        <v>145</v>
      </c>
    </row>
    <row r="3174" customFormat="false" ht="15" hidden="false" customHeight="false" outlineLevel="0" collapsed="false">
      <c r="A3174" s="11" t="s">
        <v>113</v>
      </c>
      <c r="B3174" s="11" t="s">
        <v>136</v>
      </c>
      <c r="C3174" s="11" t="n">
        <v>2</v>
      </c>
      <c r="D3174" s="11" t="s">
        <v>74</v>
      </c>
      <c r="E3174" s="11" t="s">
        <v>154</v>
      </c>
      <c r="F3174" s="11" t="s">
        <v>73</v>
      </c>
      <c r="G3174" s="12" t="n">
        <v>480</v>
      </c>
      <c r="H3174" s="12" t="n">
        <f aca="false">SUMPRODUCT(ПОТОКИ!B17:G17,ЧАСОВЫЕ_ПРОФИЛИ!B23:G23,КОЭФФИЦИЕНТЫ_ВЫБОРА!F12:K12)</f>
        <v>1.3205</v>
      </c>
      <c r="I3174" s="12" t="n">
        <f aca="false">SUMPRODUCT(ПОТОКИ!B17:G17,ЧАСОВЫЕ_ПРОФИЛИ!B23:G23,КОЭФФИЦИЕНТЫ_ВЫБОРА!F12:K12,ПАРАМЕТРЫ!$B$17:$G$17)</f>
        <v>1.45255</v>
      </c>
      <c r="J3174" s="12" t="n">
        <f aca="false">I3174*G3174/1000</f>
        <v>0.697224</v>
      </c>
      <c r="K3174" s="11" t="s">
        <v>217</v>
      </c>
      <c r="L3174" s="11" t="s">
        <v>19</v>
      </c>
      <c r="M3174" s="11" t="s">
        <v>145</v>
      </c>
    </row>
    <row r="3175" customFormat="false" ht="15" hidden="false" customHeight="false" outlineLevel="0" collapsed="false">
      <c r="A3175" s="11" t="s">
        <v>113</v>
      </c>
      <c r="B3175" s="11" t="s">
        <v>136</v>
      </c>
      <c r="C3175" s="11" t="n">
        <v>3</v>
      </c>
      <c r="D3175" s="11" t="s">
        <v>74</v>
      </c>
      <c r="E3175" s="11" t="s">
        <v>155</v>
      </c>
      <c r="F3175" s="11" t="s">
        <v>73</v>
      </c>
      <c r="G3175" s="12" t="n">
        <v>500</v>
      </c>
      <c r="H3175" s="12" t="n">
        <f aca="false">SUMPRODUCT(ПОТОКИ!B17:G17,ЧАСОВЫЕ_ПРОФИЛИ!B23:G23,КОЭФФИЦИЕНТЫ_ВЫБОРА!F13:K13)</f>
        <v>1.9495</v>
      </c>
      <c r="I3175" s="12" t="n">
        <f aca="false">SUMPRODUCT(ПОТОКИ!B17:G17,ЧАСОВЫЕ_ПРОФИЛИ!B23:G23,КОЭФФИЦИЕНТЫ_ВЫБОРА!F13:K13,ПАРАМЕТРЫ!$B$17:$G$17)</f>
        <v>2.14445</v>
      </c>
      <c r="J3175" s="12" t="n">
        <f aca="false">I3175*G3175/1000</f>
        <v>1.072225</v>
      </c>
      <c r="K3175" s="11" t="s">
        <v>217</v>
      </c>
      <c r="L3175" s="11" t="s">
        <v>19</v>
      </c>
      <c r="M3175" s="11" t="s">
        <v>145</v>
      </c>
    </row>
    <row r="3176" customFormat="false" ht="15" hidden="false" customHeight="false" outlineLevel="0" collapsed="false">
      <c r="A3176" s="11" t="s">
        <v>113</v>
      </c>
      <c r="B3176" s="11" t="s">
        <v>136</v>
      </c>
      <c r="C3176" s="11" t="n">
        <v>4</v>
      </c>
      <c r="D3176" s="11" t="s">
        <v>74</v>
      </c>
      <c r="E3176" s="11" t="s">
        <v>156</v>
      </c>
      <c r="F3176" s="11" t="s">
        <v>73</v>
      </c>
      <c r="G3176" s="12" t="n">
        <v>500</v>
      </c>
      <c r="H3176" s="12" t="n">
        <f aca="false">SUMPRODUCT(ПОТОКИ!B17:G17,ЧАСОВЫЕ_ПРОФИЛИ!B23:G23,КОЭФФИЦИЕНТЫ_ВЫБОРА!F14:K14)</f>
        <v>2.479</v>
      </c>
      <c r="I3176" s="12" t="n">
        <f aca="false">SUMPRODUCT(ПОТОКИ!B17:G17,ЧАСОВЫЕ_ПРОФИЛИ!B23:G23,КОЭФФИЦИЕНТЫ_ВЫБОРА!F14:K14,ПАРАМЕТРЫ!$B$17:$G$17)</f>
        <v>2.7269</v>
      </c>
      <c r="J3176" s="12" t="n">
        <f aca="false">I3176*G3176/1000</f>
        <v>1.36345</v>
      </c>
      <c r="K3176" s="11" t="s">
        <v>217</v>
      </c>
      <c r="L3176" s="11" t="s">
        <v>19</v>
      </c>
      <c r="M3176" s="11" t="s">
        <v>145</v>
      </c>
    </row>
    <row r="3177" customFormat="false" ht="15" hidden="false" customHeight="false" outlineLevel="0" collapsed="false">
      <c r="A3177" s="11" t="s">
        <v>113</v>
      </c>
      <c r="B3177" s="11" t="s">
        <v>136</v>
      </c>
      <c r="C3177" s="11" t="n">
        <v>5</v>
      </c>
      <c r="D3177" s="11" t="s">
        <v>78</v>
      </c>
      <c r="E3177" s="11" t="s">
        <v>157</v>
      </c>
      <c r="F3177" s="11" t="s">
        <v>77</v>
      </c>
      <c r="G3177" s="12" t="n">
        <v>100</v>
      </c>
      <c r="H3177" s="12" t="n">
        <f aca="false">SUMPRODUCT(ПОТОКИ!B17:G17,ЧАСОВЫЕ_ПРОФИЛИ!B23:G23,КОЭФФИЦИЕНТЫ_ВЫБОРА!F15:K15)</f>
        <v>0.91</v>
      </c>
      <c r="I3177" s="12" t="n">
        <f aca="false">SUMPRODUCT(ПОТОКИ!B17:G17,ЧАСОВЫЕ_ПРОФИЛИ!B23:G23,КОЭФФИЦИЕНТЫ_ВЫБОРА!F15:K15,ПАРАМЕТРЫ!$B$17:$G$17)</f>
        <v>1.001</v>
      </c>
      <c r="J3177" s="12" t="n">
        <f aca="false">I3177*G3177/1000</f>
        <v>0.1001</v>
      </c>
      <c r="K3177" s="11" t="s">
        <v>217</v>
      </c>
      <c r="L3177" s="11" t="s">
        <v>19</v>
      </c>
      <c r="M3177" s="11" t="s">
        <v>147</v>
      </c>
    </row>
    <row r="3178" customFormat="false" ht="15" hidden="false" customHeight="false" outlineLevel="0" collapsed="false">
      <c r="A3178" s="11" t="s">
        <v>113</v>
      </c>
      <c r="B3178" s="11" t="s">
        <v>136</v>
      </c>
      <c r="C3178" s="11" t="n">
        <v>6</v>
      </c>
      <c r="D3178" s="11" t="s">
        <v>78</v>
      </c>
      <c r="E3178" s="11" t="s">
        <v>158</v>
      </c>
      <c r="F3178" s="11" t="s">
        <v>77</v>
      </c>
      <c r="G3178" s="12" t="n">
        <v>100</v>
      </c>
      <c r="H3178" s="12" t="n">
        <f aca="false">SUMPRODUCT(ПОТОКИ!B17:G17,ЧАСОВЫЕ_ПРОФИЛИ!B23:G23,КОЭФФИЦИЕНТЫ_ВЫБОРА!F16:K16)</f>
        <v>0.7855</v>
      </c>
      <c r="I3178" s="12" t="n">
        <f aca="false">SUMPRODUCT(ПОТОКИ!B17:G17,ЧАСОВЫЕ_ПРОФИЛИ!B23:G23,КОЭФФИЦИЕНТЫ_ВЫБОРА!F16:K16,ПАРАМЕТРЫ!$B$17:$G$17)</f>
        <v>0.86405</v>
      </c>
      <c r="J3178" s="12" t="n">
        <f aca="false">I3178*G3178/1000</f>
        <v>0.086405</v>
      </c>
      <c r="K3178" s="11" t="s">
        <v>217</v>
      </c>
      <c r="L3178" s="11" t="s">
        <v>19</v>
      </c>
      <c r="M3178" s="11" t="s">
        <v>147</v>
      </c>
    </row>
    <row r="3179" customFormat="false" ht="15" hidden="false" customHeight="false" outlineLevel="0" collapsed="false">
      <c r="A3179" s="11" t="s">
        <v>113</v>
      </c>
      <c r="B3179" s="11" t="s">
        <v>136</v>
      </c>
      <c r="C3179" s="11" t="n">
        <v>7</v>
      </c>
      <c r="D3179" s="11" t="s">
        <v>78</v>
      </c>
      <c r="E3179" s="11" t="s">
        <v>159</v>
      </c>
      <c r="F3179" s="11" t="s">
        <v>77</v>
      </c>
      <c r="G3179" s="12" t="n">
        <v>350</v>
      </c>
      <c r="H3179" s="12" t="n">
        <f aca="false">SUMPRODUCT(ПОТОКИ!B17:G17,ЧАСОВЫЕ_ПРОФИЛИ!B23:G23,КОЭФФИЦИЕНТЫ_ВЫБОРА!F17:K17)</f>
        <v>0.721</v>
      </c>
      <c r="I3179" s="12" t="n">
        <f aca="false">SUMPRODUCT(ПОТОКИ!B17:G17,ЧАСОВЫЕ_ПРОФИЛИ!B23:G23,КОЭФФИЦИЕНТЫ_ВЫБОРА!F17:K17,ПАРАМЕТРЫ!$B$17:$G$17)</f>
        <v>0.7931</v>
      </c>
      <c r="J3179" s="12" t="n">
        <f aca="false">I3179*G3179/1000</f>
        <v>0.277585</v>
      </c>
      <c r="K3179" s="11" t="s">
        <v>217</v>
      </c>
      <c r="L3179" s="11" t="s">
        <v>19</v>
      </c>
      <c r="M3179" s="11" t="s">
        <v>147</v>
      </c>
    </row>
    <row r="3180" customFormat="false" ht="15" hidden="false" customHeight="false" outlineLevel="0" collapsed="false">
      <c r="A3180" s="11" t="s">
        <v>113</v>
      </c>
      <c r="B3180" s="11" t="s">
        <v>136</v>
      </c>
      <c r="C3180" s="11" t="n">
        <v>8</v>
      </c>
      <c r="D3180" s="11" t="s">
        <v>78</v>
      </c>
      <c r="E3180" s="11" t="s">
        <v>160</v>
      </c>
      <c r="F3180" s="11" t="s">
        <v>77</v>
      </c>
      <c r="G3180" s="12" t="n">
        <v>85</v>
      </c>
      <c r="H3180" s="12" t="n">
        <f aca="false">SUMPRODUCT(ПОТОКИ!B17:G17,ЧАСОВЫЕ_ПРОФИЛИ!B23:G23,КОЭФФИЦИЕНТЫ_ВЫБОРА!F18:K18)</f>
        <v>0.4675</v>
      </c>
      <c r="I3180" s="12" t="n">
        <f aca="false">SUMPRODUCT(ПОТОКИ!B17:G17,ЧАСОВЫЕ_ПРОФИЛИ!B23:G23,КОЭФФИЦИЕНТЫ_ВЫБОРА!F18:K18,ПАРАМЕТРЫ!$B$17:$G$17)</f>
        <v>0.51425</v>
      </c>
      <c r="J3180" s="12" t="n">
        <f aca="false">I3180*G3180/1000</f>
        <v>0.04371125</v>
      </c>
      <c r="K3180" s="11" t="s">
        <v>217</v>
      </c>
      <c r="L3180" s="11" t="s">
        <v>19</v>
      </c>
      <c r="M3180" s="11" t="s">
        <v>147</v>
      </c>
    </row>
    <row r="3181" customFormat="false" ht="15" hidden="false" customHeight="false" outlineLevel="0" collapsed="false">
      <c r="A3181" s="11" t="s">
        <v>113</v>
      </c>
      <c r="B3181" s="11" t="s">
        <v>136</v>
      </c>
      <c r="C3181" s="11" t="n">
        <v>9</v>
      </c>
      <c r="D3181" s="11" t="s">
        <v>161</v>
      </c>
      <c r="E3181" s="11" t="s">
        <v>162</v>
      </c>
      <c r="F3181" s="11" t="s">
        <v>80</v>
      </c>
      <c r="G3181" s="12" t="n">
        <v>300</v>
      </c>
      <c r="H3181" s="12" t="n">
        <f aca="false">SUMPRODUCT(ПОТОКИ!B17:G17,ЧАСОВЫЕ_ПРОФИЛИ!B23:G23,КОЭФФИЦИЕНТЫ_ВЫБОРА!F19:K19)</f>
        <v>1.15</v>
      </c>
      <c r="I3181" s="12" t="n">
        <f aca="false">SUMPRODUCT(ПОТОКИ!B17:G17,ЧАСОВЫЕ_ПРОФИЛИ!B23:G23,КОЭФФИЦИЕНТЫ_ВЫБОРА!F19:K19,ПАРАМЕТРЫ!$B$17:$G$17)</f>
        <v>1.265</v>
      </c>
      <c r="J3181" s="12" t="n">
        <f aca="false">I3181*G3181/1000</f>
        <v>0.3795</v>
      </c>
      <c r="K3181" s="11" t="s">
        <v>217</v>
      </c>
      <c r="L3181" s="11" t="s">
        <v>19</v>
      </c>
      <c r="M3181" s="11" t="s">
        <v>145</v>
      </c>
    </row>
    <row r="3182" customFormat="false" ht="15" hidden="false" customHeight="false" outlineLevel="0" collapsed="false">
      <c r="A3182" s="11" t="s">
        <v>113</v>
      </c>
      <c r="B3182" s="11" t="s">
        <v>136</v>
      </c>
      <c r="C3182" s="11" t="n">
        <v>10</v>
      </c>
      <c r="D3182" s="11" t="s">
        <v>161</v>
      </c>
      <c r="E3182" s="11" t="s">
        <v>163</v>
      </c>
      <c r="F3182" s="11" t="s">
        <v>80</v>
      </c>
      <c r="G3182" s="12" t="n">
        <v>280</v>
      </c>
      <c r="H3182" s="12" t="n">
        <f aca="false">SUMPRODUCT(ПОТОКИ!B17:G17,ЧАСОВЫЕ_ПРОФИЛИ!B23:G23,КОЭФФИЦИЕНТЫ_ВЫБОРА!F20:K20)</f>
        <v>1.285</v>
      </c>
      <c r="I3182" s="12" t="n">
        <f aca="false">SUMPRODUCT(ПОТОКИ!B17:G17,ЧАСОВЫЕ_ПРОФИЛИ!B23:G23,КОЭФФИЦИЕНТЫ_ВЫБОРА!F20:K20,ПАРАМЕТРЫ!$B$17:$G$17)</f>
        <v>1.4135</v>
      </c>
      <c r="J3182" s="12" t="n">
        <f aca="false">I3182*G3182/1000</f>
        <v>0.39578</v>
      </c>
      <c r="K3182" s="11" t="s">
        <v>217</v>
      </c>
      <c r="L3182" s="11" t="s">
        <v>19</v>
      </c>
      <c r="M3182" s="11" t="s">
        <v>145</v>
      </c>
    </row>
    <row r="3183" customFormat="false" ht="15" hidden="false" customHeight="false" outlineLevel="0" collapsed="false">
      <c r="A3183" s="11" t="s">
        <v>113</v>
      </c>
      <c r="B3183" s="11" t="s">
        <v>136</v>
      </c>
      <c r="C3183" s="11" t="n">
        <v>11</v>
      </c>
      <c r="D3183" s="11" t="s">
        <v>161</v>
      </c>
      <c r="E3183" s="11" t="s">
        <v>164</v>
      </c>
      <c r="F3183" s="11" t="s">
        <v>80</v>
      </c>
      <c r="G3183" s="12" t="n">
        <v>270</v>
      </c>
      <c r="H3183" s="12" t="n">
        <f aca="false">SUMPRODUCT(ПОТОКИ!B17:G17,ЧАСОВЫЕ_ПРОФИЛИ!B23:G23,КОЭФФИЦИЕНТЫ_ВЫБОРА!F21:K21)</f>
        <v>2.08975</v>
      </c>
      <c r="I3183" s="12" t="n">
        <f aca="false">SUMPRODUCT(ПОТОКИ!B17:G17,ЧАСОВЫЕ_ПРОФИЛИ!B23:G23,КОЭФФИЦИЕНТЫ_ВЫБОРА!F21:K21,ПАРАМЕТРЫ!$B$17:$G$17)</f>
        <v>2.298725</v>
      </c>
      <c r="J3183" s="12" t="n">
        <f aca="false">I3183*G3183/1000</f>
        <v>0.62065575</v>
      </c>
      <c r="K3183" s="11" t="s">
        <v>217</v>
      </c>
      <c r="L3183" s="11" t="s">
        <v>19</v>
      </c>
      <c r="M3183" s="11" t="s">
        <v>145</v>
      </c>
    </row>
    <row r="3184" customFormat="false" ht="15" hidden="false" customHeight="false" outlineLevel="0" collapsed="false">
      <c r="A3184" s="11" t="s">
        <v>113</v>
      </c>
      <c r="B3184" s="11" t="s">
        <v>136</v>
      </c>
      <c r="C3184" s="11" t="n">
        <v>12</v>
      </c>
      <c r="D3184" s="11" t="s">
        <v>161</v>
      </c>
      <c r="E3184" s="11" t="s">
        <v>165</v>
      </c>
      <c r="F3184" s="11" t="s">
        <v>80</v>
      </c>
      <c r="G3184" s="12" t="n">
        <v>240</v>
      </c>
      <c r="H3184" s="12" t="n">
        <f aca="false">SUMPRODUCT(ПОТОКИ!B17:G17,ЧАСОВЫЕ_ПРОФИЛИ!B23:G23,КОЭФФИЦИЕНТЫ_ВЫБОРА!F22:K22)</f>
        <v>1.06025</v>
      </c>
      <c r="I3184" s="12" t="n">
        <f aca="false">SUMPRODUCT(ПОТОКИ!B17:G17,ЧАСОВЫЕ_ПРОФИЛИ!B23:G23,КОЭФФИЦИЕНТЫ_ВЫБОРА!F22:K22,ПАРАМЕТРЫ!$B$17:$G$17)</f>
        <v>1.166275</v>
      </c>
      <c r="J3184" s="12" t="n">
        <f aca="false">I3184*G3184/1000</f>
        <v>0.279906</v>
      </c>
      <c r="K3184" s="11" t="s">
        <v>217</v>
      </c>
      <c r="L3184" s="11" t="s">
        <v>19</v>
      </c>
      <c r="M3184" s="11" t="s">
        <v>145</v>
      </c>
    </row>
    <row r="3185" customFormat="false" ht="15" hidden="false" customHeight="false" outlineLevel="0" collapsed="false">
      <c r="A3185" s="11" t="s">
        <v>113</v>
      </c>
      <c r="B3185" s="11" t="s">
        <v>136</v>
      </c>
      <c r="C3185" s="11" t="n">
        <v>13</v>
      </c>
      <c r="D3185" s="11" t="s">
        <v>166</v>
      </c>
      <c r="E3185" s="11" t="s">
        <v>167</v>
      </c>
      <c r="F3185" s="11" t="s">
        <v>80</v>
      </c>
      <c r="G3185" s="12" t="n">
        <v>130</v>
      </c>
      <c r="H3185" s="12" t="n">
        <f aca="false">SUMPRODUCT(ПОТОКИ!B17:G17,ЧАСОВЫЕ_ПРОФИЛИ!B23:G23,КОЭФФИЦИЕНТЫ_ВЫБОРА!F23:K23)</f>
        <v>0.66</v>
      </c>
      <c r="I3185" s="12" t="n">
        <f aca="false">SUMPRODUCT(ПОТОКИ!B17:G17,ЧАСОВЫЕ_ПРОФИЛИ!B23:G23,КОЭФФИЦИЕНТЫ_ВЫБОРА!F23:K23,ПАРАМЕТРЫ!$B$17:$G$17)</f>
        <v>0.726</v>
      </c>
      <c r="J3185" s="12" t="n">
        <f aca="false">I3185*G3185/1000</f>
        <v>0.09438</v>
      </c>
      <c r="K3185" s="11" t="s">
        <v>217</v>
      </c>
      <c r="L3185" s="11" t="s">
        <v>19</v>
      </c>
      <c r="M3185" s="11" t="s">
        <v>145</v>
      </c>
    </row>
    <row r="3186" customFormat="false" ht="15" hidden="false" customHeight="false" outlineLevel="0" collapsed="false">
      <c r="A3186" s="11" t="s">
        <v>113</v>
      </c>
      <c r="B3186" s="11" t="s">
        <v>136</v>
      </c>
      <c r="C3186" s="11" t="n">
        <v>14</v>
      </c>
      <c r="D3186" s="11" t="s">
        <v>166</v>
      </c>
      <c r="E3186" s="11" t="s">
        <v>168</v>
      </c>
      <c r="F3186" s="11" t="s">
        <v>80</v>
      </c>
      <c r="G3186" s="12" t="n">
        <v>250</v>
      </c>
      <c r="H3186" s="12" t="n">
        <f aca="false">SUMPRODUCT(ПОТОКИ!B17:G17,ЧАСОВЫЕ_ПРОФИЛИ!B23:G23,КОЭФФИЦИЕНТЫ_ВЫБОРА!F24:K24)</f>
        <v>0.461</v>
      </c>
      <c r="I3186" s="12" t="n">
        <f aca="false">SUMPRODUCT(ПОТОКИ!B17:G17,ЧАСОВЫЕ_ПРОФИЛИ!B23:G23,КОЭФФИЦИЕНТЫ_ВЫБОРА!F24:K24,ПАРАМЕТРЫ!$B$17:$G$17)</f>
        <v>0.5071</v>
      </c>
      <c r="J3186" s="12" t="n">
        <f aca="false">I3186*G3186/1000</f>
        <v>0.126775</v>
      </c>
      <c r="K3186" s="11" t="s">
        <v>217</v>
      </c>
      <c r="L3186" s="11" t="s">
        <v>19</v>
      </c>
      <c r="M3186" s="11" t="s">
        <v>145</v>
      </c>
    </row>
    <row r="3187" customFormat="false" ht="15" hidden="false" customHeight="false" outlineLevel="0" collapsed="false">
      <c r="A3187" s="11" t="s">
        <v>113</v>
      </c>
      <c r="B3187" s="11" t="s">
        <v>136</v>
      </c>
      <c r="C3187" s="11" t="n">
        <v>15</v>
      </c>
      <c r="D3187" s="11" t="s">
        <v>166</v>
      </c>
      <c r="E3187" s="11" t="s">
        <v>169</v>
      </c>
      <c r="F3187" s="11" t="s">
        <v>80</v>
      </c>
      <c r="G3187" s="12" t="n">
        <v>120</v>
      </c>
      <c r="H3187" s="12" t="n">
        <f aca="false">SUMPRODUCT(ПОТОКИ!B17:G17,ЧАСОВЫЕ_ПРОФИЛИ!B23:G23,КОЭФФИЦИЕНТЫ_ВЫБОРА!F25:K25)</f>
        <v>0.386</v>
      </c>
      <c r="I3187" s="12" t="n">
        <f aca="false">SUMPRODUCT(ПОТОКИ!B17:G17,ЧАСОВЫЕ_ПРОФИЛИ!B23:G23,КОЭФФИЦИЕНТЫ_ВЫБОРА!F25:K25,ПАРАМЕТРЫ!$B$17:$G$17)</f>
        <v>0.4246</v>
      </c>
      <c r="J3187" s="12" t="n">
        <f aca="false">I3187*G3187/1000</f>
        <v>0.050952</v>
      </c>
      <c r="K3187" s="11" t="s">
        <v>217</v>
      </c>
      <c r="L3187" s="11" t="s">
        <v>19</v>
      </c>
      <c r="M3187" s="11" t="s">
        <v>145</v>
      </c>
    </row>
    <row r="3188" customFormat="false" ht="15" hidden="false" customHeight="false" outlineLevel="0" collapsed="false">
      <c r="A3188" s="11" t="s">
        <v>113</v>
      </c>
      <c r="B3188" s="11" t="s">
        <v>136</v>
      </c>
      <c r="C3188" s="11" t="n">
        <v>16</v>
      </c>
      <c r="D3188" s="11" t="s">
        <v>166</v>
      </c>
      <c r="E3188" s="11" t="s">
        <v>170</v>
      </c>
      <c r="F3188" s="11" t="s">
        <v>80</v>
      </c>
      <c r="G3188" s="12" t="n">
        <v>180</v>
      </c>
      <c r="H3188" s="12" t="n">
        <f aca="false">SUMPRODUCT(ПОТОКИ!B17:G17,ЧАСОВЫЕ_ПРОФИЛИ!B23:G23,КОЭФФИЦИЕНТЫ_ВЫБОРА!F26:K26)</f>
        <v>0.573</v>
      </c>
      <c r="I3188" s="12" t="n">
        <f aca="false">SUMPRODUCT(ПОТОКИ!B17:G17,ЧАСОВЫЕ_ПРОФИЛИ!B23:G23,КОЭФФИЦИЕНТЫ_ВЫБОРА!F26:K26,ПАРАМЕТРЫ!$B$17:$G$17)</f>
        <v>0.6303</v>
      </c>
      <c r="J3188" s="12" t="n">
        <f aca="false">I3188*G3188/1000</f>
        <v>0.113454</v>
      </c>
      <c r="K3188" s="11" t="s">
        <v>217</v>
      </c>
      <c r="L3188" s="11" t="s">
        <v>19</v>
      </c>
      <c r="M3188" s="11" t="s">
        <v>145</v>
      </c>
    </row>
    <row r="3189" customFormat="false" ht="15" hidden="false" customHeight="false" outlineLevel="0" collapsed="false">
      <c r="A3189" s="11" t="s">
        <v>113</v>
      </c>
      <c r="B3189" s="11" t="s">
        <v>136</v>
      </c>
      <c r="C3189" s="11" t="n">
        <v>17</v>
      </c>
      <c r="D3189" s="11" t="s">
        <v>166</v>
      </c>
      <c r="E3189" s="11" t="s">
        <v>171</v>
      </c>
      <c r="F3189" s="11" t="s">
        <v>80</v>
      </c>
      <c r="G3189" s="12" t="n">
        <v>180</v>
      </c>
      <c r="H3189" s="12" t="n">
        <f aca="false">SUMPRODUCT(ПОТОКИ!B17:G17,ЧАСОВЫЕ_ПРОФИЛИ!B23:G23,КОЭФФИЦИЕНТЫ_ВЫБОРА!F27:K27)</f>
        <v>0.66</v>
      </c>
      <c r="I3189" s="12" t="n">
        <f aca="false">SUMPRODUCT(ПОТОКИ!B17:G17,ЧАСОВЫЕ_ПРОФИЛИ!B23:G23,КОЭФФИЦИЕНТЫ_ВЫБОРА!F27:K27,ПАРАМЕТРЫ!$B$17:$G$17)</f>
        <v>0.726</v>
      </c>
      <c r="J3189" s="12" t="n">
        <f aca="false">I3189*G3189/1000</f>
        <v>0.13068</v>
      </c>
      <c r="K3189" s="11" t="s">
        <v>217</v>
      </c>
      <c r="L3189" s="11" t="s">
        <v>19</v>
      </c>
      <c r="M3189" s="11" t="s">
        <v>145</v>
      </c>
    </row>
    <row r="3190" customFormat="false" ht="15" hidden="false" customHeight="false" outlineLevel="0" collapsed="false">
      <c r="A3190" s="11" t="s">
        <v>113</v>
      </c>
      <c r="B3190" s="11" t="s">
        <v>136</v>
      </c>
      <c r="C3190" s="11" t="n">
        <v>18</v>
      </c>
      <c r="D3190" s="11" t="s">
        <v>172</v>
      </c>
      <c r="E3190" s="11" t="s">
        <v>173</v>
      </c>
      <c r="F3190" s="11" t="s">
        <v>83</v>
      </c>
      <c r="G3190" s="12" t="n">
        <v>400</v>
      </c>
      <c r="H3190" s="12" t="n">
        <f aca="false">SUMPRODUCT(ПОТОКИ!B17:G17,ЧАСОВЫЕ_ПРОФИЛИ!B23:G23,КОЭФФИЦИЕНТЫ_ВЫБОРА!F28:K28)</f>
        <v>1.12</v>
      </c>
      <c r="I3190" s="12" t="n">
        <f aca="false">SUMPRODUCT(ПОТОКИ!B17:G17,ЧАСОВЫЕ_ПРОФИЛИ!B23:G23,КОЭФФИЦИЕНТЫ_ВЫБОРА!F28:K28,ПАРАМЕТРЫ!$B$17:$G$17)</f>
        <v>1.232</v>
      </c>
      <c r="J3190" s="12" t="n">
        <f aca="false">I3190*G3190/1000</f>
        <v>0.4928</v>
      </c>
      <c r="K3190" s="11" t="s">
        <v>217</v>
      </c>
      <c r="L3190" s="11" t="s">
        <v>19</v>
      </c>
      <c r="M3190" s="11" t="s">
        <v>145</v>
      </c>
    </row>
    <row r="3191" customFormat="false" ht="23.85" hidden="false" customHeight="false" outlineLevel="0" collapsed="false">
      <c r="A3191" s="11" t="s">
        <v>113</v>
      </c>
      <c r="B3191" s="11" t="s">
        <v>136</v>
      </c>
      <c r="C3191" s="11" t="n">
        <v>19</v>
      </c>
      <c r="D3191" s="11" t="s">
        <v>174</v>
      </c>
      <c r="E3191" s="11" t="s">
        <v>175</v>
      </c>
      <c r="F3191" s="11" t="s">
        <v>83</v>
      </c>
      <c r="G3191" s="12" t="n">
        <v>300</v>
      </c>
      <c r="H3191" s="12" t="n">
        <f aca="false">SUMPRODUCT(ПОТОКИ!B17:G17,ЧАСОВЫЕ_ПРОФИЛИ!B23:G23,КОЭФФИЦИЕНТЫ_ВЫБОРА!F29:K29)</f>
        <v>3.1775</v>
      </c>
      <c r="I3191" s="12" t="n">
        <f aca="false">SUMPRODUCT(ПОТОКИ!B17:G17,ЧАСОВЫЕ_ПРОФИЛИ!B23:G23,КОЭФФИЦИЕНТЫ_ВЫБОРА!F29:K29,ПАРАМЕТРЫ!$B$17:$G$17)</f>
        <v>3.49525</v>
      </c>
      <c r="J3191" s="12" t="n">
        <f aca="false">I3191*G3191/1000</f>
        <v>1.048575</v>
      </c>
      <c r="K3191" s="11" t="s">
        <v>217</v>
      </c>
      <c r="L3191" s="11" t="s">
        <v>19</v>
      </c>
      <c r="M3191" s="11" t="s">
        <v>145</v>
      </c>
    </row>
    <row r="3192" customFormat="false" ht="15" hidden="false" customHeight="false" outlineLevel="0" collapsed="false">
      <c r="A3192" s="11" t="s">
        <v>113</v>
      </c>
      <c r="B3192" s="11" t="s">
        <v>136</v>
      </c>
      <c r="C3192" s="11" t="n">
        <v>20</v>
      </c>
      <c r="D3192" s="11" t="s">
        <v>174</v>
      </c>
      <c r="E3192" s="11" t="s">
        <v>176</v>
      </c>
      <c r="F3192" s="11" t="s">
        <v>83</v>
      </c>
      <c r="G3192" s="12" t="n">
        <v>360</v>
      </c>
      <c r="H3192" s="12" t="n">
        <f aca="false">SUMPRODUCT(ПОТОКИ!B17:G17,ЧАСОВЫЕ_ПРОФИЛИ!B23:G23,КОЭФФИЦИЕНТЫ_ВЫБОРА!F30:K30)</f>
        <v>2.781</v>
      </c>
      <c r="I3192" s="12" t="n">
        <f aca="false">SUMPRODUCT(ПОТОКИ!B17:G17,ЧАСОВЫЕ_ПРОФИЛИ!B23:G23,КОЭФФИЦИЕНТЫ_ВЫБОРА!F30:K30,ПАРАМЕТРЫ!$B$17:$G$17)</f>
        <v>3.0591</v>
      </c>
      <c r="J3192" s="12" t="n">
        <f aca="false">I3192*G3192/1000</f>
        <v>1.101276</v>
      </c>
      <c r="K3192" s="11" t="s">
        <v>217</v>
      </c>
      <c r="L3192" s="11" t="s">
        <v>19</v>
      </c>
      <c r="M3192" s="11" t="s">
        <v>145</v>
      </c>
    </row>
    <row r="3193" customFormat="false" ht="15" hidden="false" customHeight="false" outlineLevel="0" collapsed="false">
      <c r="A3193" s="11" t="s">
        <v>113</v>
      </c>
      <c r="B3193" s="11" t="s">
        <v>136</v>
      </c>
      <c r="C3193" s="11" t="n">
        <v>21</v>
      </c>
      <c r="D3193" s="11" t="s">
        <v>174</v>
      </c>
      <c r="E3193" s="11" t="s">
        <v>177</v>
      </c>
      <c r="F3193" s="11" t="s">
        <v>83</v>
      </c>
      <c r="G3193" s="12" t="n">
        <v>350</v>
      </c>
      <c r="H3193" s="12" t="n">
        <f aca="false">SUMPRODUCT(ПОТОКИ!B17:G17,ЧАСОВЫЕ_ПРОФИЛИ!B23:G23,КОЭФФИЦИЕНТЫ_ВЫБОРА!F31:K31)</f>
        <v>4.15525</v>
      </c>
      <c r="I3193" s="12" t="n">
        <f aca="false">SUMPRODUCT(ПОТОКИ!B17:G17,ЧАСОВЫЕ_ПРОФИЛИ!B23:G23,КОЭФФИЦИЕНТЫ_ВЫБОРА!F31:K31,ПАРАМЕТРЫ!$B$17:$G$17)</f>
        <v>4.570775</v>
      </c>
      <c r="J3193" s="12" t="n">
        <f aca="false">I3193*G3193/1000</f>
        <v>1.59977125</v>
      </c>
      <c r="K3193" s="11" t="s">
        <v>217</v>
      </c>
      <c r="L3193" s="11" t="s">
        <v>19</v>
      </c>
      <c r="M3193" s="11" t="s">
        <v>145</v>
      </c>
    </row>
    <row r="3194" customFormat="false" ht="15" hidden="false" customHeight="false" outlineLevel="0" collapsed="false">
      <c r="A3194" s="11" t="s">
        <v>113</v>
      </c>
      <c r="B3194" s="11" t="s">
        <v>136</v>
      </c>
      <c r="C3194" s="11" t="n">
        <v>22</v>
      </c>
      <c r="D3194" s="11" t="s">
        <v>174</v>
      </c>
      <c r="E3194" s="11" t="s">
        <v>178</v>
      </c>
      <c r="F3194" s="11" t="s">
        <v>83</v>
      </c>
      <c r="G3194" s="12" t="n">
        <v>300</v>
      </c>
      <c r="H3194" s="12" t="n">
        <f aca="false">SUMPRODUCT(ПОТОКИ!B17:G17,ЧАСОВЫЕ_ПРОФИЛИ!B23:G23,КОЭФФИЦИЕНТЫ_ВЫБОРА!F32:K32)</f>
        <v>2.89125</v>
      </c>
      <c r="I3194" s="12" t="n">
        <f aca="false">SUMPRODUCT(ПОТОКИ!B17:G17,ЧАСОВЫЕ_ПРОФИЛИ!B23:G23,КОЭФФИЦИЕНТЫ_ВЫБОРА!F32:K32,ПАРАМЕТРЫ!$B$17:$G$17)</f>
        <v>3.180375</v>
      </c>
      <c r="J3194" s="12" t="n">
        <f aca="false">I3194*G3194/1000</f>
        <v>0.9541125</v>
      </c>
      <c r="K3194" s="11" t="s">
        <v>217</v>
      </c>
      <c r="L3194" s="11" t="s">
        <v>19</v>
      </c>
      <c r="M3194" s="11" t="s">
        <v>145</v>
      </c>
    </row>
    <row r="3195" customFormat="false" ht="15" hidden="false" customHeight="false" outlineLevel="0" collapsed="false">
      <c r="A3195" s="11" t="s">
        <v>113</v>
      </c>
      <c r="B3195" s="11" t="s">
        <v>136</v>
      </c>
      <c r="C3195" s="11" t="n">
        <v>23</v>
      </c>
      <c r="D3195" s="11" t="s">
        <v>86</v>
      </c>
      <c r="E3195" s="11" t="s">
        <v>179</v>
      </c>
      <c r="F3195" s="11" t="s">
        <v>85</v>
      </c>
      <c r="G3195" s="12" t="n">
        <v>150</v>
      </c>
      <c r="H3195" s="12" t="n">
        <f aca="false">SUMPRODUCT(ПОТОКИ!B17:G17,ЧАСОВЫЕ_ПРОФИЛИ!B23:G23,КОЭФФИЦИЕНТЫ_ВЫБОРА!F33:K33)</f>
        <v>2.32400875</v>
      </c>
      <c r="I3195" s="12" t="n">
        <f aca="false">SUMPRODUCT(ПОТОКИ!B17:G17,ЧАСОВЫЕ_ПРОФИЛИ!B23:G23,КОЭФФИЦИЕНТЫ_ВЫБОРА!F33:K33,ПАРАМЕТРЫ!$B$17:$G$17)</f>
        <v>2.556409625</v>
      </c>
      <c r="J3195" s="12" t="n">
        <f aca="false">I3195*G3195/1000</f>
        <v>0.38346144375</v>
      </c>
      <c r="K3195" s="11" t="s">
        <v>217</v>
      </c>
      <c r="L3195" s="11" t="s">
        <v>19</v>
      </c>
      <c r="M3195" s="11" t="s">
        <v>147</v>
      </c>
    </row>
    <row r="3196" customFormat="false" ht="15" hidden="false" customHeight="false" outlineLevel="0" collapsed="false">
      <c r="A3196" s="11" t="s">
        <v>113</v>
      </c>
      <c r="B3196" s="11" t="s">
        <v>136</v>
      </c>
      <c r="C3196" s="11" t="n">
        <v>24</v>
      </c>
      <c r="D3196" s="11" t="s">
        <v>86</v>
      </c>
      <c r="E3196" s="11" t="s">
        <v>180</v>
      </c>
      <c r="F3196" s="11" t="s">
        <v>85</v>
      </c>
      <c r="G3196" s="12" t="n">
        <v>150</v>
      </c>
      <c r="H3196" s="12" t="n">
        <f aca="false">SUMPRODUCT(ПОТОКИ!B17:G17,ЧАСОВЫЕ_ПРОФИЛИ!B23:G23,КОЭФФИЦИЕНТЫ_ВЫБОРА!F34:K34)</f>
        <v>1.202645</v>
      </c>
      <c r="I3196" s="12" t="n">
        <f aca="false">SUMPRODUCT(ПОТОКИ!B17:G17,ЧАСОВЫЕ_ПРОФИЛИ!B23:G23,КОЭФФИЦИЕНТЫ_ВЫБОРА!F34:K34,ПАРАМЕТРЫ!$B$17:$G$17)</f>
        <v>1.3229095</v>
      </c>
      <c r="J3196" s="12" t="n">
        <f aca="false">I3196*G3196/1000</f>
        <v>0.198436425</v>
      </c>
      <c r="K3196" s="11" t="s">
        <v>217</v>
      </c>
      <c r="L3196" s="11" t="s">
        <v>19</v>
      </c>
      <c r="M3196" s="11" t="s">
        <v>147</v>
      </c>
    </row>
    <row r="3197" customFormat="false" ht="15" hidden="false" customHeight="false" outlineLevel="0" collapsed="false">
      <c r="A3197" s="11" t="s">
        <v>113</v>
      </c>
      <c r="B3197" s="11" t="s">
        <v>136</v>
      </c>
      <c r="C3197" s="11" t="n">
        <v>25</v>
      </c>
      <c r="D3197" s="11" t="s">
        <v>86</v>
      </c>
      <c r="E3197" s="11" t="s">
        <v>181</v>
      </c>
      <c r="F3197" s="11" t="s">
        <v>85</v>
      </c>
      <c r="G3197" s="12" t="n">
        <v>150</v>
      </c>
      <c r="H3197" s="12" t="n">
        <f aca="false">SUMPRODUCT(ПОТОКИ!B17:G17,ЧАСОВЫЕ_ПРОФИЛИ!B23:G23,КОЭФФИЦИЕНТЫ_ВЫБОРА!F35:K35)</f>
        <v>2.48657125</v>
      </c>
      <c r="I3197" s="12" t="n">
        <f aca="false">SUMPRODUCT(ПОТОКИ!B17:G17,ЧАСОВЫЕ_ПРОФИЛИ!B23:G23,КОЭФФИЦИЕНТЫ_ВЫБОРА!F35:K35,ПАРАМЕТРЫ!$B$17:$G$17)</f>
        <v>2.735228375</v>
      </c>
      <c r="J3197" s="12" t="n">
        <f aca="false">I3197*G3197/1000</f>
        <v>0.41028425625</v>
      </c>
      <c r="K3197" s="11" t="s">
        <v>217</v>
      </c>
      <c r="L3197" s="11" t="s">
        <v>19</v>
      </c>
      <c r="M3197" s="11" t="s">
        <v>147</v>
      </c>
    </row>
    <row r="3198" customFormat="false" ht="23.85" hidden="false" customHeight="false" outlineLevel="0" collapsed="false">
      <c r="A3198" s="11" t="s">
        <v>113</v>
      </c>
      <c r="B3198" s="11" t="s">
        <v>136</v>
      </c>
      <c r="C3198" s="11" t="n">
        <v>26</v>
      </c>
      <c r="D3198" s="11" t="s">
        <v>89</v>
      </c>
      <c r="E3198" s="11" t="s">
        <v>182</v>
      </c>
      <c r="F3198" s="11" t="s">
        <v>88</v>
      </c>
      <c r="G3198" s="12" t="n">
        <v>225</v>
      </c>
      <c r="H3198" s="12" t="n">
        <f aca="false">SUMPRODUCT(ПОТОКИ!B17:G17,ЧАСОВЫЕ_ПРОФИЛИ!B23:G23,КОЭФФИЦИЕНТЫ_ВЫБОРА!F36:K36)</f>
        <v>0</v>
      </c>
      <c r="I3198" s="12" t="n">
        <f aca="false">SUMPRODUCT(ПОТОКИ!B17:G17,ЧАСОВЫЕ_ПРОФИЛИ!B23:G23,КОЭФФИЦИЕНТЫ_ВЫБОРА!F36:K36,ПАРАМЕТРЫ!$B$17:$G$17)</f>
        <v>0</v>
      </c>
      <c r="J3198" s="12" t="n">
        <f aca="false">I3198*G3198/1000</f>
        <v>0</v>
      </c>
      <c r="K3198" s="11" t="s">
        <v>217</v>
      </c>
      <c r="L3198" s="11" t="s">
        <v>19</v>
      </c>
      <c r="M3198" s="11" t="s">
        <v>145</v>
      </c>
    </row>
    <row r="3199" customFormat="false" ht="23.85" hidden="false" customHeight="false" outlineLevel="0" collapsed="false">
      <c r="A3199" s="11" t="s">
        <v>113</v>
      </c>
      <c r="B3199" s="11" t="s">
        <v>136</v>
      </c>
      <c r="C3199" s="11" t="n">
        <v>27</v>
      </c>
      <c r="D3199" s="11" t="s">
        <v>89</v>
      </c>
      <c r="E3199" s="11" t="s">
        <v>183</v>
      </c>
      <c r="F3199" s="11" t="s">
        <v>88</v>
      </c>
      <c r="G3199" s="12" t="n">
        <v>265</v>
      </c>
      <c r="H3199" s="12" t="n">
        <f aca="false">SUMPRODUCT(ПОТОКИ!B17:G17,ЧАСОВЫЕ_ПРОФИЛИ!B23:G23,КОЭФФИЦИЕНТЫ_ВЫБОРА!F37:K37)</f>
        <v>0</v>
      </c>
      <c r="I3199" s="12" t="n">
        <f aca="false">SUMPRODUCT(ПОТОКИ!B17:G17,ЧАСОВЫЕ_ПРОФИЛИ!B23:G23,КОЭФФИЦИЕНТЫ_ВЫБОРА!F37:K37,ПАРАМЕТРЫ!$B$17:$G$17)</f>
        <v>0</v>
      </c>
      <c r="J3199" s="12" t="n">
        <f aca="false">I3199*G3199/1000</f>
        <v>0</v>
      </c>
      <c r="K3199" s="11" t="s">
        <v>217</v>
      </c>
      <c r="L3199" s="11" t="s">
        <v>19</v>
      </c>
      <c r="M3199" s="11" t="s">
        <v>145</v>
      </c>
    </row>
    <row r="3200" customFormat="false" ht="23.85" hidden="false" customHeight="false" outlineLevel="0" collapsed="false">
      <c r="A3200" s="11" t="s">
        <v>113</v>
      </c>
      <c r="B3200" s="11" t="s">
        <v>136</v>
      </c>
      <c r="C3200" s="11" t="n">
        <v>28</v>
      </c>
      <c r="D3200" s="11" t="s">
        <v>89</v>
      </c>
      <c r="E3200" s="11" t="s">
        <v>184</v>
      </c>
      <c r="F3200" s="11" t="s">
        <v>88</v>
      </c>
      <c r="G3200" s="12" t="n">
        <v>355</v>
      </c>
      <c r="H3200" s="12" t="n">
        <f aca="false">SUMPRODUCT(ПОТОКИ!B17:G17,ЧАСОВЫЕ_ПРОФИЛИ!B23:G23,КОЭФФИЦИЕНТЫ_ВЫБОРА!F38:K38)</f>
        <v>0</v>
      </c>
      <c r="I3200" s="12" t="n">
        <f aca="false">SUMPRODUCT(ПОТОКИ!B17:G17,ЧАСОВЫЕ_ПРОФИЛИ!B23:G23,КОЭФФИЦИЕНТЫ_ВЫБОРА!F38:K38,ПАРАМЕТРЫ!$B$17:$G$17)</f>
        <v>0</v>
      </c>
      <c r="J3200" s="12" t="n">
        <f aca="false">I3200*G3200/1000</f>
        <v>0</v>
      </c>
      <c r="K3200" s="11" t="s">
        <v>217</v>
      </c>
      <c r="L3200" s="11" t="s">
        <v>19</v>
      </c>
      <c r="M3200" s="11" t="s">
        <v>145</v>
      </c>
    </row>
    <row r="3201" customFormat="false" ht="15" hidden="false" customHeight="false" outlineLevel="0" collapsed="false">
      <c r="A3201" s="11" t="s">
        <v>113</v>
      </c>
      <c r="B3201" s="11" t="s">
        <v>136</v>
      </c>
      <c r="C3201" s="11" t="n">
        <v>29</v>
      </c>
      <c r="D3201" s="11" t="s">
        <v>92</v>
      </c>
      <c r="E3201" s="11" t="s">
        <v>185</v>
      </c>
      <c r="F3201" s="11" t="s">
        <v>91</v>
      </c>
      <c r="G3201" s="12" t="n">
        <v>150</v>
      </c>
      <c r="H3201" s="12" t="n">
        <f aca="false">SUMPRODUCT(ПОТОКИ!B17:G17,ЧАСОВЫЕ_ПРОФИЛИ!B23:G23,КОЭФФИЦИЕНТЫ_ВЫБОРА!F39:K39)</f>
        <v>0.798</v>
      </c>
      <c r="I3201" s="12" t="n">
        <f aca="false">SUMPRODUCT(ПОТОКИ!B17:G17,ЧАСОВЫЕ_ПРОФИЛИ!B23:G23,КОЭФФИЦИЕНТЫ_ВЫБОРА!F39:K39,ПАРАМЕТРЫ!$B$17:$G$17)</f>
        <v>0.8778</v>
      </c>
      <c r="J3201" s="12" t="n">
        <f aca="false">I3201*G3201/1000</f>
        <v>0.13167</v>
      </c>
      <c r="K3201" s="11" t="s">
        <v>217</v>
      </c>
      <c r="L3201" s="11" t="s">
        <v>19</v>
      </c>
      <c r="M3201" s="11" t="s">
        <v>145</v>
      </c>
    </row>
    <row r="3202" customFormat="false" ht="15" hidden="false" customHeight="false" outlineLevel="0" collapsed="false">
      <c r="A3202" s="11" t="s">
        <v>113</v>
      </c>
      <c r="B3202" s="11" t="s">
        <v>136</v>
      </c>
      <c r="C3202" s="11" t="n">
        <v>30</v>
      </c>
      <c r="D3202" s="11" t="s">
        <v>92</v>
      </c>
      <c r="E3202" s="11" t="s">
        <v>186</v>
      </c>
      <c r="F3202" s="11" t="s">
        <v>91</v>
      </c>
      <c r="G3202" s="12" t="n">
        <v>120</v>
      </c>
      <c r="H3202" s="12" t="n">
        <f aca="false">SUMPRODUCT(ПОТОКИ!B17:G17,ЧАСОВЫЕ_ПРОФИЛИ!B23:G23,КОЭФФИЦИЕНТЫ_ВЫБОРА!F40:K40)</f>
        <v>1.048</v>
      </c>
      <c r="I3202" s="12" t="n">
        <f aca="false">SUMPRODUCT(ПОТОКИ!B17:G17,ЧАСОВЫЕ_ПРОФИЛИ!B23:G23,КОЭФФИЦИЕНТЫ_ВЫБОРА!F40:K40,ПАРАМЕТРЫ!$B$17:$G$17)</f>
        <v>1.1528</v>
      </c>
      <c r="J3202" s="12" t="n">
        <f aca="false">I3202*G3202/1000</f>
        <v>0.138336</v>
      </c>
      <c r="K3202" s="11" t="s">
        <v>217</v>
      </c>
      <c r="L3202" s="11" t="s">
        <v>19</v>
      </c>
      <c r="M3202" s="11" t="s">
        <v>145</v>
      </c>
    </row>
    <row r="3203" customFormat="false" ht="15" hidden="false" customHeight="false" outlineLevel="0" collapsed="false">
      <c r="A3203" s="11" t="s">
        <v>113</v>
      </c>
      <c r="B3203" s="11" t="s">
        <v>136</v>
      </c>
      <c r="C3203" s="11" t="n">
        <v>31</v>
      </c>
      <c r="D3203" s="11" t="s">
        <v>92</v>
      </c>
      <c r="E3203" s="11" t="s">
        <v>187</v>
      </c>
      <c r="F3203" s="11" t="s">
        <v>91</v>
      </c>
      <c r="G3203" s="12" t="n">
        <v>60</v>
      </c>
      <c r="H3203" s="12" t="n">
        <f aca="false">SUMPRODUCT(ПОТОКИ!B17:G17,ЧАСОВЫЕ_ПРОФИЛИ!B23:G23,КОЭФФИЦИЕНТЫ_ВЫБОРА!F41:K41)</f>
        <v>0.504</v>
      </c>
      <c r="I3203" s="12" t="n">
        <f aca="false">SUMPRODUCT(ПОТОКИ!B17:G17,ЧАСОВЫЕ_ПРОФИЛИ!B23:G23,КОЭФФИЦИЕНТЫ_ВЫБОРА!F41:K41,ПАРАМЕТРЫ!$B$17:$G$17)</f>
        <v>0.5544</v>
      </c>
      <c r="J3203" s="12" t="n">
        <f aca="false">I3203*G3203/1000</f>
        <v>0.033264</v>
      </c>
      <c r="K3203" s="11" t="s">
        <v>217</v>
      </c>
      <c r="L3203" s="11" t="s">
        <v>19</v>
      </c>
      <c r="M3203" s="11" t="s">
        <v>145</v>
      </c>
    </row>
    <row r="3204" customFormat="false" ht="15" hidden="false" customHeight="false" outlineLevel="0" collapsed="false">
      <c r="A3204" s="11" t="s">
        <v>113</v>
      </c>
      <c r="B3204" s="11" t="s">
        <v>137</v>
      </c>
      <c r="C3204" s="11" t="n">
        <v>1</v>
      </c>
      <c r="D3204" s="11" t="s">
        <v>74</v>
      </c>
      <c r="E3204" s="11" t="s">
        <v>153</v>
      </c>
      <c r="F3204" s="11" t="s">
        <v>73</v>
      </c>
      <c r="G3204" s="12" t="n">
        <v>450</v>
      </c>
      <c r="H3204" s="12" t="n">
        <f aca="false">SUMPRODUCT(ПОТОКИ!B17:G17,ЧАСОВЫЕ_ПРОФИЛИ!B24:G24,КОЭФФИЦИЕНТЫ_ВЫБОРА!F11:K11)</f>
        <v>0.939</v>
      </c>
      <c r="I3204" s="12" t="n">
        <f aca="false">SUMPRODUCT(ПОТОКИ!B17:G17,ЧАСОВЫЕ_ПРОФИЛИ!B24:G24,КОЭФФИЦИЕНТЫ_ВЫБОРА!F11:K11,ПАРАМЕТРЫ!$B$17:$G$17)</f>
        <v>1.0329</v>
      </c>
      <c r="J3204" s="12" t="n">
        <f aca="false">I3204*G3204/1000</f>
        <v>0.464805</v>
      </c>
      <c r="K3204" s="11" t="s">
        <v>217</v>
      </c>
      <c r="L3204" s="11" t="s">
        <v>19</v>
      </c>
      <c r="M3204" s="11" t="s">
        <v>145</v>
      </c>
    </row>
    <row r="3205" customFormat="false" ht="15" hidden="false" customHeight="false" outlineLevel="0" collapsed="false">
      <c r="A3205" s="11" t="s">
        <v>113</v>
      </c>
      <c r="B3205" s="11" t="s">
        <v>137</v>
      </c>
      <c r="C3205" s="11" t="n">
        <v>2</v>
      </c>
      <c r="D3205" s="11" t="s">
        <v>74</v>
      </c>
      <c r="E3205" s="11" t="s">
        <v>154</v>
      </c>
      <c r="F3205" s="11" t="s">
        <v>73</v>
      </c>
      <c r="G3205" s="12" t="n">
        <v>480</v>
      </c>
      <c r="H3205" s="12" t="n">
        <f aca="false">SUMPRODUCT(ПОТОКИ!B17:G17,ЧАСОВЫЕ_ПРОФИЛИ!B24:G24,КОЭФФИЦИЕНТЫ_ВЫБОРА!F12:K12)</f>
        <v>1.553</v>
      </c>
      <c r="I3205" s="12" t="n">
        <f aca="false">SUMPRODUCT(ПОТОКИ!B17:G17,ЧАСОВЫЕ_ПРОФИЛИ!B24:G24,КОЭФФИЦИЕНТЫ_ВЫБОРА!F12:K12,ПАРАМЕТРЫ!$B$17:$G$17)</f>
        <v>1.7083</v>
      </c>
      <c r="J3205" s="12" t="n">
        <f aca="false">I3205*G3205/1000</f>
        <v>0.819984</v>
      </c>
      <c r="K3205" s="11" t="s">
        <v>217</v>
      </c>
      <c r="L3205" s="11" t="s">
        <v>19</v>
      </c>
      <c r="M3205" s="11" t="s">
        <v>145</v>
      </c>
    </row>
    <row r="3206" customFormat="false" ht="15" hidden="false" customHeight="false" outlineLevel="0" collapsed="false">
      <c r="A3206" s="11" t="s">
        <v>113</v>
      </c>
      <c r="B3206" s="11" t="s">
        <v>137</v>
      </c>
      <c r="C3206" s="11" t="n">
        <v>3</v>
      </c>
      <c r="D3206" s="11" t="s">
        <v>74</v>
      </c>
      <c r="E3206" s="11" t="s">
        <v>155</v>
      </c>
      <c r="F3206" s="11" t="s">
        <v>73</v>
      </c>
      <c r="G3206" s="12" t="n">
        <v>500</v>
      </c>
      <c r="H3206" s="12" t="n">
        <f aca="false">SUMPRODUCT(ПОТОКИ!B17:G17,ЧАСОВЫЕ_ПРОФИЛИ!B24:G24,КОЭФФИЦИЕНТЫ_ВЫБОРА!F13:K13)</f>
        <v>2.292</v>
      </c>
      <c r="I3206" s="12" t="n">
        <f aca="false">SUMPRODUCT(ПОТОКИ!B17:G17,ЧАСОВЫЕ_ПРОФИЛИ!B24:G24,КОЭФФИЦИЕНТЫ_ВЫБОРА!F13:K13,ПАРАМЕТРЫ!$B$17:$G$17)</f>
        <v>2.5212</v>
      </c>
      <c r="J3206" s="12" t="n">
        <f aca="false">I3206*G3206/1000</f>
        <v>1.2606</v>
      </c>
      <c r="K3206" s="11" t="s">
        <v>217</v>
      </c>
      <c r="L3206" s="11" t="s">
        <v>19</v>
      </c>
      <c r="M3206" s="11" t="s">
        <v>145</v>
      </c>
    </row>
    <row r="3207" customFormat="false" ht="15" hidden="false" customHeight="false" outlineLevel="0" collapsed="false">
      <c r="A3207" s="11" t="s">
        <v>113</v>
      </c>
      <c r="B3207" s="11" t="s">
        <v>137</v>
      </c>
      <c r="C3207" s="11" t="n">
        <v>4</v>
      </c>
      <c r="D3207" s="11" t="s">
        <v>74</v>
      </c>
      <c r="E3207" s="11" t="s">
        <v>156</v>
      </c>
      <c r="F3207" s="11" t="s">
        <v>73</v>
      </c>
      <c r="G3207" s="12" t="n">
        <v>500</v>
      </c>
      <c r="H3207" s="12" t="n">
        <f aca="false">SUMPRODUCT(ПОТОКИ!B17:G17,ЧАСОВЫЕ_ПРОФИЛИ!B24:G24,КОЭФФИЦИЕНТЫ_ВЫБОРА!F14:K14)</f>
        <v>2.906</v>
      </c>
      <c r="I3207" s="12" t="n">
        <f aca="false">SUMPRODUCT(ПОТОКИ!B17:G17,ЧАСОВЫЕ_ПРОФИЛИ!B24:G24,КОЭФФИЦИЕНТЫ_ВЫБОРА!F14:K14,ПАРАМЕТРЫ!$B$17:$G$17)</f>
        <v>3.1966</v>
      </c>
      <c r="J3207" s="12" t="n">
        <f aca="false">I3207*G3207/1000</f>
        <v>1.5983</v>
      </c>
      <c r="K3207" s="11" t="s">
        <v>217</v>
      </c>
      <c r="L3207" s="11" t="s">
        <v>19</v>
      </c>
      <c r="M3207" s="11" t="s">
        <v>145</v>
      </c>
    </row>
    <row r="3208" customFormat="false" ht="15" hidden="false" customHeight="false" outlineLevel="0" collapsed="false">
      <c r="A3208" s="11" t="s">
        <v>113</v>
      </c>
      <c r="B3208" s="11" t="s">
        <v>137</v>
      </c>
      <c r="C3208" s="11" t="n">
        <v>5</v>
      </c>
      <c r="D3208" s="11" t="s">
        <v>78</v>
      </c>
      <c r="E3208" s="11" t="s">
        <v>157</v>
      </c>
      <c r="F3208" s="11" t="s">
        <v>77</v>
      </c>
      <c r="G3208" s="12" t="n">
        <v>100</v>
      </c>
      <c r="H3208" s="12" t="n">
        <f aca="false">SUMPRODUCT(ПОТОКИ!B17:G17,ЧАСОВЫЕ_ПРОФИЛИ!B24:G24,КОЭФФИЦИЕНТЫ_ВЫБОРА!F15:K15)</f>
        <v>0.947</v>
      </c>
      <c r="I3208" s="12" t="n">
        <f aca="false">SUMPRODUCT(ПОТОКИ!B17:G17,ЧАСОВЫЕ_ПРОФИЛИ!B24:G24,КОЭФФИЦИЕНТЫ_ВЫБОРА!F15:K15,ПАРАМЕТРЫ!$B$17:$G$17)</f>
        <v>1.0417</v>
      </c>
      <c r="J3208" s="12" t="n">
        <f aca="false">I3208*G3208/1000</f>
        <v>0.10417</v>
      </c>
      <c r="K3208" s="11" t="s">
        <v>217</v>
      </c>
      <c r="L3208" s="11" t="s">
        <v>19</v>
      </c>
      <c r="M3208" s="11" t="s">
        <v>147</v>
      </c>
    </row>
    <row r="3209" customFormat="false" ht="15" hidden="false" customHeight="false" outlineLevel="0" collapsed="false">
      <c r="A3209" s="11" t="s">
        <v>113</v>
      </c>
      <c r="B3209" s="11" t="s">
        <v>137</v>
      </c>
      <c r="C3209" s="11" t="n">
        <v>6</v>
      </c>
      <c r="D3209" s="11" t="s">
        <v>78</v>
      </c>
      <c r="E3209" s="11" t="s">
        <v>158</v>
      </c>
      <c r="F3209" s="11" t="s">
        <v>77</v>
      </c>
      <c r="G3209" s="12" t="n">
        <v>100</v>
      </c>
      <c r="H3209" s="12" t="n">
        <f aca="false">SUMPRODUCT(ПОТОКИ!B17:G17,ЧАСОВЫЕ_ПРОФИЛИ!B24:G24,КОЭФФИЦИЕНТЫ_ВЫБОРА!F16:K16)</f>
        <v>0.792</v>
      </c>
      <c r="I3209" s="12" t="n">
        <f aca="false">SUMPRODUCT(ПОТОКИ!B17:G17,ЧАСОВЫЕ_ПРОФИЛИ!B24:G24,КОЭФФИЦИЕНТЫ_ВЫБОРА!F16:K16,ПАРАМЕТРЫ!$B$17:$G$17)</f>
        <v>0.8712</v>
      </c>
      <c r="J3209" s="12" t="n">
        <f aca="false">I3209*G3209/1000</f>
        <v>0.08712</v>
      </c>
      <c r="K3209" s="11" t="s">
        <v>217</v>
      </c>
      <c r="L3209" s="11" t="s">
        <v>19</v>
      </c>
      <c r="M3209" s="11" t="s">
        <v>147</v>
      </c>
    </row>
    <row r="3210" customFormat="false" ht="15" hidden="false" customHeight="false" outlineLevel="0" collapsed="false">
      <c r="A3210" s="11" t="s">
        <v>113</v>
      </c>
      <c r="B3210" s="11" t="s">
        <v>137</v>
      </c>
      <c r="C3210" s="11" t="n">
        <v>7</v>
      </c>
      <c r="D3210" s="11" t="s">
        <v>78</v>
      </c>
      <c r="E3210" s="11" t="s">
        <v>159</v>
      </c>
      <c r="F3210" s="11" t="s">
        <v>77</v>
      </c>
      <c r="G3210" s="12" t="n">
        <v>350</v>
      </c>
      <c r="H3210" s="12" t="n">
        <f aca="false">SUMPRODUCT(ПОТОКИ!B17:G17,ЧАСОВЫЕ_ПРОФИЛИ!B24:G24,КОЭФФИЦИЕНТЫ_ВЫБОРА!F17:K17)</f>
        <v>0.7425</v>
      </c>
      <c r="I3210" s="12" t="n">
        <f aca="false">SUMPRODUCT(ПОТОКИ!B17:G17,ЧАСОВЫЕ_ПРОФИЛИ!B24:G24,КОЭФФИЦИЕНТЫ_ВЫБОРА!F17:K17,ПАРАМЕТРЫ!$B$17:$G$17)</f>
        <v>0.81675</v>
      </c>
      <c r="J3210" s="12" t="n">
        <f aca="false">I3210*G3210/1000</f>
        <v>0.2858625</v>
      </c>
      <c r="K3210" s="11" t="s">
        <v>217</v>
      </c>
      <c r="L3210" s="11" t="s">
        <v>19</v>
      </c>
      <c r="M3210" s="11" t="s">
        <v>147</v>
      </c>
    </row>
    <row r="3211" customFormat="false" ht="15" hidden="false" customHeight="false" outlineLevel="0" collapsed="false">
      <c r="A3211" s="11" t="s">
        <v>113</v>
      </c>
      <c r="B3211" s="11" t="s">
        <v>137</v>
      </c>
      <c r="C3211" s="11" t="n">
        <v>8</v>
      </c>
      <c r="D3211" s="11" t="s">
        <v>78</v>
      </c>
      <c r="E3211" s="11" t="s">
        <v>160</v>
      </c>
      <c r="F3211" s="11" t="s">
        <v>77</v>
      </c>
      <c r="G3211" s="12" t="n">
        <v>85</v>
      </c>
      <c r="H3211" s="12" t="n">
        <f aca="false">SUMPRODUCT(ПОТОКИ!B17:G17,ЧАСОВЫЕ_ПРОФИЛИ!B24:G24,КОЭФФИЦИЕНТЫ_ВЫБОРА!F18:K18)</f>
        <v>0.4885</v>
      </c>
      <c r="I3211" s="12" t="n">
        <f aca="false">SUMPRODUCT(ПОТОКИ!B17:G17,ЧАСОВЫЕ_ПРОФИЛИ!B24:G24,КОЭФФИЦИЕНТЫ_ВЫБОРА!F18:K18,ПАРАМЕТРЫ!$B$17:$G$17)</f>
        <v>0.53735</v>
      </c>
      <c r="J3211" s="12" t="n">
        <f aca="false">I3211*G3211/1000</f>
        <v>0.04567475</v>
      </c>
      <c r="K3211" s="11" t="s">
        <v>217</v>
      </c>
      <c r="L3211" s="11" t="s">
        <v>19</v>
      </c>
      <c r="M3211" s="11" t="s">
        <v>147</v>
      </c>
    </row>
    <row r="3212" customFormat="false" ht="15" hidden="false" customHeight="false" outlineLevel="0" collapsed="false">
      <c r="A3212" s="11" t="s">
        <v>113</v>
      </c>
      <c r="B3212" s="11" t="s">
        <v>137</v>
      </c>
      <c r="C3212" s="11" t="n">
        <v>9</v>
      </c>
      <c r="D3212" s="11" t="s">
        <v>161</v>
      </c>
      <c r="E3212" s="11" t="s">
        <v>162</v>
      </c>
      <c r="F3212" s="11" t="s">
        <v>80</v>
      </c>
      <c r="G3212" s="12" t="n">
        <v>300</v>
      </c>
      <c r="H3212" s="12" t="n">
        <f aca="false">SUMPRODUCT(ПОТОКИ!B17:G17,ЧАСОВЫЕ_ПРОФИЛИ!B24:G24,КОЭФФИЦИЕНТЫ_ВЫБОРА!F19:K19)</f>
        <v>1.413</v>
      </c>
      <c r="I3212" s="12" t="n">
        <f aca="false">SUMPRODUCT(ПОТОКИ!B17:G17,ЧАСОВЫЕ_ПРОФИЛИ!B24:G24,КОЭФФИЦИЕНТЫ_ВЫБОРА!F19:K19,ПАРАМЕТРЫ!$B$17:$G$17)</f>
        <v>1.5543</v>
      </c>
      <c r="J3212" s="12" t="n">
        <f aca="false">I3212*G3212/1000</f>
        <v>0.46629</v>
      </c>
      <c r="K3212" s="11" t="s">
        <v>217</v>
      </c>
      <c r="L3212" s="11" t="s">
        <v>19</v>
      </c>
      <c r="M3212" s="11" t="s">
        <v>145</v>
      </c>
    </row>
    <row r="3213" customFormat="false" ht="15" hidden="false" customHeight="false" outlineLevel="0" collapsed="false">
      <c r="A3213" s="11" t="s">
        <v>113</v>
      </c>
      <c r="B3213" s="11" t="s">
        <v>137</v>
      </c>
      <c r="C3213" s="11" t="n">
        <v>10</v>
      </c>
      <c r="D3213" s="11" t="s">
        <v>161</v>
      </c>
      <c r="E3213" s="11" t="s">
        <v>163</v>
      </c>
      <c r="F3213" s="11" t="s">
        <v>80</v>
      </c>
      <c r="G3213" s="12" t="n">
        <v>280</v>
      </c>
      <c r="H3213" s="12" t="n">
        <f aca="false">SUMPRODUCT(ПОТОКИ!B17:G17,ЧАСОВЫЕ_ПРОФИЛИ!B24:G24,КОЭФФИЦИЕНТЫ_ВЫБОРА!F20:K20)</f>
        <v>1.566</v>
      </c>
      <c r="I3213" s="12" t="n">
        <f aca="false">SUMPRODUCT(ПОТОКИ!B17:G17,ЧАСОВЫЕ_ПРОФИЛИ!B24:G24,КОЭФФИЦИЕНТЫ_ВЫБОРА!F20:K20,ПАРАМЕТРЫ!$B$17:$G$17)</f>
        <v>1.7226</v>
      </c>
      <c r="J3213" s="12" t="n">
        <f aca="false">I3213*G3213/1000</f>
        <v>0.482328</v>
      </c>
      <c r="K3213" s="11" t="s">
        <v>217</v>
      </c>
      <c r="L3213" s="11" t="s">
        <v>19</v>
      </c>
      <c r="M3213" s="11" t="s">
        <v>145</v>
      </c>
    </row>
    <row r="3214" customFormat="false" ht="15" hidden="false" customHeight="false" outlineLevel="0" collapsed="false">
      <c r="A3214" s="11" t="s">
        <v>113</v>
      </c>
      <c r="B3214" s="11" t="s">
        <v>137</v>
      </c>
      <c r="C3214" s="11" t="n">
        <v>11</v>
      </c>
      <c r="D3214" s="11" t="s">
        <v>161</v>
      </c>
      <c r="E3214" s="11" t="s">
        <v>164</v>
      </c>
      <c r="F3214" s="11" t="s">
        <v>80</v>
      </c>
      <c r="G3214" s="12" t="n">
        <v>270</v>
      </c>
      <c r="H3214" s="12" t="n">
        <f aca="false">SUMPRODUCT(ПОТОКИ!B17:G17,ЧАСОВЫЕ_ПРОФИЛИ!B24:G24,КОЭФФИЦИЕНТЫ_ВЫБОРА!F21:K21)</f>
        <v>2.526</v>
      </c>
      <c r="I3214" s="12" t="n">
        <f aca="false">SUMPRODUCT(ПОТОКИ!B17:G17,ЧАСОВЫЕ_ПРОФИЛИ!B24:G24,КОЭФФИЦИЕНТЫ_ВЫБОРА!F21:K21,ПАРАМЕТРЫ!$B$17:$G$17)</f>
        <v>2.7786</v>
      </c>
      <c r="J3214" s="12" t="n">
        <f aca="false">I3214*G3214/1000</f>
        <v>0.750222</v>
      </c>
      <c r="K3214" s="11" t="s">
        <v>217</v>
      </c>
      <c r="L3214" s="11" t="s">
        <v>19</v>
      </c>
      <c r="M3214" s="11" t="s">
        <v>145</v>
      </c>
    </row>
    <row r="3215" customFormat="false" ht="15" hidden="false" customHeight="false" outlineLevel="0" collapsed="false">
      <c r="A3215" s="11" t="s">
        <v>113</v>
      </c>
      <c r="B3215" s="11" t="s">
        <v>137</v>
      </c>
      <c r="C3215" s="11" t="n">
        <v>12</v>
      </c>
      <c r="D3215" s="11" t="s">
        <v>161</v>
      </c>
      <c r="E3215" s="11" t="s">
        <v>165</v>
      </c>
      <c r="F3215" s="11" t="s">
        <v>80</v>
      </c>
      <c r="G3215" s="12" t="n">
        <v>240</v>
      </c>
      <c r="H3215" s="12" t="n">
        <f aca="false">SUMPRODUCT(ПОТОКИ!B17:G17,ЧАСОВЫЕ_ПРОФИЛИ!B24:G24,КОЭФФИЦИЕНТЫ_ВЫБОРА!F22:K22)</f>
        <v>1.275</v>
      </c>
      <c r="I3215" s="12" t="n">
        <f aca="false">SUMPRODUCT(ПОТОКИ!B17:G17,ЧАСОВЫЕ_ПРОФИЛИ!B24:G24,КОЭФФИЦИЕНТЫ_ВЫБОРА!F22:K22,ПАРАМЕТРЫ!$B$17:$G$17)</f>
        <v>1.4025</v>
      </c>
      <c r="J3215" s="12" t="n">
        <f aca="false">I3215*G3215/1000</f>
        <v>0.3366</v>
      </c>
      <c r="K3215" s="11" t="s">
        <v>217</v>
      </c>
      <c r="L3215" s="11" t="s">
        <v>19</v>
      </c>
      <c r="M3215" s="11" t="s">
        <v>145</v>
      </c>
    </row>
    <row r="3216" customFormat="false" ht="15" hidden="false" customHeight="false" outlineLevel="0" collapsed="false">
      <c r="A3216" s="11" t="s">
        <v>113</v>
      </c>
      <c r="B3216" s="11" t="s">
        <v>137</v>
      </c>
      <c r="C3216" s="11" t="n">
        <v>13</v>
      </c>
      <c r="D3216" s="11" t="s">
        <v>166</v>
      </c>
      <c r="E3216" s="11" t="s">
        <v>167</v>
      </c>
      <c r="F3216" s="11" t="s">
        <v>80</v>
      </c>
      <c r="G3216" s="12" t="n">
        <v>130</v>
      </c>
      <c r="H3216" s="12" t="n">
        <f aca="false">SUMPRODUCT(ПОТОКИ!B17:G17,ЧАСОВЫЕ_ПРОФИЛИ!B24:G24,КОЭФФИЦИЕНТЫ_ВЫБОРА!F23:K23)</f>
        <v>0.82</v>
      </c>
      <c r="I3216" s="12" t="n">
        <f aca="false">SUMPRODUCT(ПОТОКИ!B17:G17,ЧАСОВЫЕ_ПРОФИЛИ!B24:G24,КОЭФФИЦИЕНТЫ_ВЫБОРА!F23:K23,ПАРАМЕТРЫ!$B$17:$G$17)</f>
        <v>0.902</v>
      </c>
      <c r="J3216" s="12" t="n">
        <f aca="false">I3216*G3216/1000</f>
        <v>0.11726</v>
      </c>
      <c r="K3216" s="11" t="s">
        <v>217</v>
      </c>
      <c r="L3216" s="11" t="s">
        <v>19</v>
      </c>
      <c r="M3216" s="11" t="s">
        <v>145</v>
      </c>
    </row>
    <row r="3217" customFormat="false" ht="15" hidden="false" customHeight="false" outlineLevel="0" collapsed="false">
      <c r="A3217" s="11" t="s">
        <v>113</v>
      </c>
      <c r="B3217" s="11" t="s">
        <v>137</v>
      </c>
      <c r="C3217" s="11" t="n">
        <v>14</v>
      </c>
      <c r="D3217" s="11" t="s">
        <v>166</v>
      </c>
      <c r="E3217" s="11" t="s">
        <v>168</v>
      </c>
      <c r="F3217" s="11" t="s">
        <v>80</v>
      </c>
      <c r="G3217" s="12" t="n">
        <v>250</v>
      </c>
      <c r="H3217" s="12" t="n">
        <f aca="false">SUMPRODUCT(ПОТОКИ!B17:G17,ЧАСОВЫЕ_ПРОФИЛИ!B24:G24,КОЭФФИЦИЕНТЫ_ВЫБОРА!F24:K24)</f>
        <v>0.57</v>
      </c>
      <c r="I3217" s="12" t="n">
        <f aca="false">SUMPRODUCT(ПОТОКИ!B17:G17,ЧАСОВЫЕ_ПРОФИЛИ!B24:G24,КОЭФФИЦИЕНТЫ_ВЫБОРА!F24:K24,ПАРАМЕТРЫ!$B$17:$G$17)</f>
        <v>0.627</v>
      </c>
      <c r="J3217" s="12" t="n">
        <f aca="false">I3217*G3217/1000</f>
        <v>0.15675</v>
      </c>
      <c r="K3217" s="11" t="s">
        <v>217</v>
      </c>
      <c r="L3217" s="11" t="s">
        <v>19</v>
      </c>
      <c r="M3217" s="11" t="s">
        <v>145</v>
      </c>
    </row>
    <row r="3218" customFormat="false" ht="15" hidden="false" customHeight="false" outlineLevel="0" collapsed="false">
      <c r="A3218" s="11" t="s">
        <v>113</v>
      </c>
      <c r="B3218" s="11" t="s">
        <v>137</v>
      </c>
      <c r="C3218" s="11" t="n">
        <v>15</v>
      </c>
      <c r="D3218" s="11" t="s">
        <v>166</v>
      </c>
      <c r="E3218" s="11" t="s">
        <v>169</v>
      </c>
      <c r="F3218" s="11" t="s">
        <v>80</v>
      </c>
      <c r="G3218" s="12" t="n">
        <v>120</v>
      </c>
      <c r="H3218" s="12" t="n">
        <f aca="false">SUMPRODUCT(ПОТОКИ!B17:G17,ЧАСОВЫЕ_ПРОФИЛИ!B24:G24,КОЭФФИЦИЕНТЫ_ВЫБОРА!F25:K25)</f>
        <v>0.48</v>
      </c>
      <c r="I3218" s="12" t="n">
        <f aca="false">SUMPRODUCT(ПОТОКИ!B17:G17,ЧАСОВЫЕ_ПРОФИЛИ!B24:G24,КОЭФФИЦИЕНТЫ_ВЫБОРА!F25:K25,ПАРАМЕТРЫ!$B$17:$G$17)</f>
        <v>0.528</v>
      </c>
      <c r="J3218" s="12" t="n">
        <f aca="false">I3218*G3218/1000</f>
        <v>0.06336</v>
      </c>
      <c r="K3218" s="11" t="s">
        <v>217</v>
      </c>
      <c r="L3218" s="11" t="s">
        <v>19</v>
      </c>
      <c r="M3218" s="11" t="s">
        <v>145</v>
      </c>
    </row>
    <row r="3219" customFormat="false" ht="15" hidden="false" customHeight="false" outlineLevel="0" collapsed="false">
      <c r="A3219" s="11" t="s">
        <v>113</v>
      </c>
      <c r="B3219" s="11" t="s">
        <v>137</v>
      </c>
      <c r="C3219" s="11" t="n">
        <v>16</v>
      </c>
      <c r="D3219" s="11" t="s">
        <v>166</v>
      </c>
      <c r="E3219" s="11" t="s">
        <v>170</v>
      </c>
      <c r="F3219" s="11" t="s">
        <v>80</v>
      </c>
      <c r="G3219" s="12" t="n">
        <v>180</v>
      </c>
      <c r="H3219" s="12" t="n">
        <f aca="false">SUMPRODUCT(ПОТОКИ!B17:G17,ЧАСОВЫЕ_ПРОФИЛИ!B24:G24,КОЭФФИЦИЕНТЫ_ВЫБОРА!F26:K26)</f>
        <v>0.71</v>
      </c>
      <c r="I3219" s="12" t="n">
        <f aca="false">SUMPRODUCT(ПОТОКИ!B17:G17,ЧАСОВЫЕ_ПРОФИЛИ!B24:G24,КОЭФФИЦИЕНТЫ_ВЫБОРА!F26:K26,ПАРАМЕТРЫ!$B$17:$G$17)</f>
        <v>0.781</v>
      </c>
      <c r="J3219" s="12" t="n">
        <f aca="false">I3219*G3219/1000</f>
        <v>0.14058</v>
      </c>
      <c r="K3219" s="11" t="s">
        <v>217</v>
      </c>
      <c r="L3219" s="11" t="s">
        <v>19</v>
      </c>
      <c r="M3219" s="11" t="s">
        <v>145</v>
      </c>
    </row>
    <row r="3220" customFormat="false" ht="15" hidden="false" customHeight="false" outlineLevel="0" collapsed="false">
      <c r="A3220" s="11" t="s">
        <v>113</v>
      </c>
      <c r="B3220" s="11" t="s">
        <v>137</v>
      </c>
      <c r="C3220" s="11" t="n">
        <v>17</v>
      </c>
      <c r="D3220" s="11" t="s">
        <v>166</v>
      </c>
      <c r="E3220" s="11" t="s">
        <v>171</v>
      </c>
      <c r="F3220" s="11" t="s">
        <v>80</v>
      </c>
      <c r="G3220" s="12" t="n">
        <v>180</v>
      </c>
      <c r="H3220" s="12" t="n">
        <f aca="false">SUMPRODUCT(ПОТОКИ!B17:G17,ЧАСОВЫЕ_ПРОФИЛИ!B24:G24,КОЭФФИЦИЕНТЫ_ВЫБОРА!F27:K27)</f>
        <v>0.82</v>
      </c>
      <c r="I3220" s="12" t="n">
        <f aca="false">SUMPRODUCT(ПОТОКИ!B17:G17,ЧАСОВЫЕ_ПРОФИЛИ!B24:G24,КОЭФФИЦИЕНТЫ_ВЫБОРА!F27:K27,ПАРАМЕТРЫ!$B$17:$G$17)</f>
        <v>0.902</v>
      </c>
      <c r="J3220" s="12" t="n">
        <f aca="false">I3220*G3220/1000</f>
        <v>0.16236</v>
      </c>
      <c r="K3220" s="11" t="s">
        <v>217</v>
      </c>
      <c r="L3220" s="11" t="s">
        <v>19</v>
      </c>
      <c r="M3220" s="11" t="s">
        <v>145</v>
      </c>
    </row>
    <row r="3221" customFormat="false" ht="15" hidden="false" customHeight="false" outlineLevel="0" collapsed="false">
      <c r="A3221" s="11" t="s">
        <v>113</v>
      </c>
      <c r="B3221" s="11" t="s">
        <v>137</v>
      </c>
      <c r="C3221" s="11" t="n">
        <v>18</v>
      </c>
      <c r="D3221" s="11" t="s">
        <v>172</v>
      </c>
      <c r="E3221" s="11" t="s">
        <v>173</v>
      </c>
      <c r="F3221" s="11" t="s">
        <v>83</v>
      </c>
      <c r="G3221" s="12" t="n">
        <v>400</v>
      </c>
      <c r="H3221" s="12" t="n">
        <f aca="false">SUMPRODUCT(ПОТОКИ!B17:G17,ЧАСОВЫЕ_ПРОФИЛИ!B24:G24,КОЭФФИЦИЕНТЫ_ВЫБОРА!F28:K28)</f>
        <v>1.4</v>
      </c>
      <c r="I3221" s="12" t="n">
        <f aca="false">SUMPRODUCT(ПОТОКИ!B17:G17,ЧАСОВЫЕ_ПРОФИЛИ!B24:G24,КОЭФФИЦИЕНТЫ_ВЫБОРА!F28:K28,ПАРАМЕТРЫ!$B$17:$G$17)</f>
        <v>1.54</v>
      </c>
      <c r="J3221" s="12" t="n">
        <f aca="false">I3221*G3221/1000</f>
        <v>0.616</v>
      </c>
      <c r="K3221" s="11" t="s">
        <v>217</v>
      </c>
      <c r="L3221" s="11" t="s">
        <v>19</v>
      </c>
      <c r="M3221" s="11" t="s">
        <v>145</v>
      </c>
    </row>
    <row r="3222" customFormat="false" ht="23.85" hidden="false" customHeight="false" outlineLevel="0" collapsed="false">
      <c r="A3222" s="11" t="s">
        <v>113</v>
      </c>
      <c r="B3222" s="11" t="s">
        <v>137</v>
      </c>
      <c r="C3222" s="11" t="n">
        <v>19</v>
      </c>
      <c r="D3222" s="11" t="s">
        <v>174</v>
      </c>
      <c r="E3222" s="11" t="s">
        <v>175</v>
      </c>
      <c r="F3222" s="11" t="s">
        <v>83</v>
      </c>
      <c r="G3222" s="12" t="n">
        <v>300</v>
      </c>
      <c r="H3222" s="12" t="n">
        <f aca="false">SUMPRODUCT(ПОТОКИ!B17:G17,ЧАСОВЫЕ_ПРОФИЛИ!B24:G24,КОЭФФИЦИЕНТЫ_ВЫБОРА!F29:K29)</f>
        <v>3.856</v>
      </c>
      <c r="I3222" s="12" t="n">
        <f aca="false">SUMPRODUCT(ПОТОКИ!B17:G17,ЧАСОВЫЕ_ПРОФИЛИ!B24:G24,КОЭФФИЦИЕНТЫ_ВЫБОРА!F29:K29,ПАРАМЕТРЫ!$B$17:$G$17)</f>
        <v>4.2416</v>
      </c>
      <c r="J3222" s="12" t="n">
        <f aca="false">I3222*G3222/1000</f>
        <v>1.27248</v>
      </c>
      <c r="K3222" s="11" t="s">
        <v>217</v>
      </c>
      <c r="L3222" s="11" t="s">
        <v>19</v>
      </c>
      <c r="M3222" s="11" t="s">
        <v>145</v>
      </c>
    </row>
    <row r="3223" customFormat="false" ht="15" hidden="false" customHeight="false" outlineLevel="0" collapsed="false">
      <c r="A3223" s="11" t="s">
        <v>113</v>
      </c>
      <c r="B3223" s="11" t="s">
        <v>137</v>
      </c>
      <c r="C3223" s="11" t="n">
        <v>20</v>
      </c>
      <c r="D3223" s="11" t="s">
        <v>174</v>
      </c>
      <c r="E3223" s="11" t="s">
        <v>176</v>
      </c>
      <c r="F3223" s="11" t="s">
        <v>83</v>
      </c>
      <c r="G3223" s="12" t="n">
        <v>360</v>
      </c>
      <c r="H3223" s="12" t="n">
        <f aca="false">SUMPRODUCT(ПОТОКИ!B17:G17,ЧАСОВЫЕ_ПРОФИЛИ!B24:G24,КОЭФФИЦИЕНТЫ_ВЫБОРА!F30:K30)</f>
        <v>3.35</v>
      </c>
      <c r="I3223" s="12" t="n">
        <f aca="false">SUMPRODUCT(ПОТОКИ!B17:G17,ЧАСОВЫЕ_ПРОФИЛИ!B24:G24,КОЭФФИЦИЕНТЫ_ВЫБОРА!F30:K30,ПАРАМЕТРЫ!$B$17:$G$17)</f>
        <v>3.685</v>
      </c>
      <c r="J3223" s="12" t="n">
        <f aca="false">I3223*G3223/1000</f>
        <v>1.3266</v>
      </c>
      <c r="K3223" s="11" t="s">
        <v>217</v>
      </c>
      <c r="L3223" s="11" t="s">
        <v>19</v>
      </c>
      <c r="M3223" s="11" t="s">
        <v>145</v>
      </c>
    </row>
    <row r="3224" customFormat="false" ht="15" hidden="false" customHeight="false" outlineLevel="0" collapsed="false">
      <c r="A3224" s="11" t="s">
        <v>113</v>
      </c>
      <c r="B3224" s="11" t="s">
        <v>137</v>
      </c>
      <c r="C3224" s="11" t="n">
        <v>21</v>
      </c>
      <c r="D3224" s="11" t="s">
        <v>174</v>
      </c>
      <c r="E3224" s="11" t="s">
        <v>177</v>
      </c>
      <c r="F3224" s="11" t="s">
        <v>83</v>
      </c>
      <c r="G3224" s="12" t="n">
        <v>350</v>
      </c>
      <c r="H3224" s="12" t="n">
        <f aca="false">SUMPRODUCT(ПОТОКИ!B17:G17,ЧАСОВЫЕ_ПРОФИЛИ!B24:G24,КОЭФФИЦИЕНТЫ_ВЫБОРА!F31:K31)</f>
        <v>4.9995</v>
      </c>
      <c r="I3224" s="12" t="n">
        <f aca="false">SUMPRODUCT(ПОТОКИ!B17:G17,ЧАСОВЫЕ_ПРОФИЛИ!B24:G24,КОЭФФИЦИЕНТЫ_ВЫБОРА!F31:K31,ПАРАМЕТРЫ!$B$17:$G$17)</f>
        <v>5.49945</v>
      </c>
      <c r="J3224" s="12" t="n">
        <f aca="false">I3224*G3224/1000</f>
        <v>1.9248075</v>
      </c>
      <c r="K3224" s="11" t="s">
        <v>217</v>
      </c>
      <c r="L3224" s="11" t="s">
        <v>19</v>
      </c>
      <c r="M3224" s="11" t="s">
        <v>145</v>
      </c>
    </row>
    <row r="3225" customFormat="false" ht="15" hidden="false" customHeight="false" outlineLevel="0" collapsed="false">
      <c r="A3225" s="11" t="s">
        <v>113</v>
      </c>
      <c r="B3225" s="11" t="s">
        <v>137</v>
      </c>
      <c r="C3225" s="11" t="n">
        <v>22</v>
      </c>
      <c r="D3225" s="11" t="s">
        <v>174</v>
      </c>
      <c r="E3225" s="11" t="s">
        <v>178</v>
      </c>
      <c r="F3225" s="11" t="s">
        <v>83</v>
      </c>
      <c r="G3225" s="12" t="n">
        <v>300</v>
      </c>
      <c r="H3225" s="12" t="n">
        <f aca="false">SUMPRODUCT(ПОТОКИ!B17:G17,ЧАСОВЫЕ_ПРОФИЛИ!B24:G24,КОЭФФИЦИЕНТЫ_ВЫБОРА!F32:K32)</f>
        <v>3.5245</v>
      </c>
      <c r="I3225" s="12" t="n">
        <f aca="false">SUMPRODUCT(ПОТОКИ!B17:G17,ЧАСОВЫЕ_ПРОФИЛИ!B24:G24,КОЭФФИЦИЕНТЫ_ВЫБОРА!F32:K32,ПАРАМЕТРЫ!$B$17:$G$17)</f>
        <v>3.87695</v>
      </c>
      <c r="J3225" s="12" t="n">
        <f aca="false">I3225*G3225/1000</f>
        <v>1.163085</v>
      </c>
      <c r="K3225" s="11" t="s">
        <v>217</v>
      </c>
      <c r="L3225" s="11" t="s">
        <v>19</v>
      </c>
      <c r="M3225" s="11" t="s">
        <v>145</v>
      </c>
    </row>
    <row r="3226" customFormat="false" ht="15" hidden="false" customHeight="false" outlineLevel="0" collapsed="false">
      <c r="A3226" s="11" t="s">
        <v>113</v>
      </c>
      <c r="B3226" s="11" t="s">
        <v>137</v>
      </c>
      <c r="C3226" s="11" t="n">
        <v>23</v>
      </c>
      <c r="D3226" s="11" t="s">
        <v>86</v>
      </c>
      <c r="E3226" s="11" t="s">
        <v>179</v>
      </c>
      <c r="F3226" s="11" t="s">
        <v>85</v>
      </c>
      <c r="G3226" s="12" t="n">
        <v>150</v>
      </c>
      <c r="H3226" s="12" t="n">
        <f aca="false">SUMPRODUCT(ПОТОКИ!B17:G17,ЧАСОВЫЕ_ПРОФИЛИ!B24:G24,КОЭФФИЦИЕНТЫ_ВЫБОРА!F33:K33)</f>
        <v>2.8765625</v>
      </c>
      <c r="I3226" s="12" t="n">
        <f aca="false">SUMPRODUCT(ПОТОКИ!B17:G17,ЧАСОВЫЕ_ПРОФИЛИ!B24:G24,КОЭФФИЦИЕНТЫ_ВЫБОРА!F33:K33,ПАРАМЕТРЫ!$B$17:$G$17)</f>
        <v>3.16421875</v>
      </c>
      <c r="J3226" s="12" t="n">
        <f aca="false">I3226*G3226/1000</f>
        <v>0.4746328125</v>
      </c>
      <c r="K3226" s="11" t="s">
        <v>217</v>
      </c>
      <c r="L3226" s="11" t="s">
        <v>19</v>
      </c>
      <c r="M3226" s="11" t="s">
        <v>147</v>
      </c>
    </row>
    <row r="3227" customFormat="false" ht="15" hidden="false" customHeight="false" outlineLevel="0" collapsed="false">
      <c r="A3227" s="11" t="s">
        <v>113</v>
      </c>
      <c r="B3227" s="11" t="s">
        <v>137</v>
      </c>
      <c r="C3227" s="11" t="n">
        <v>24</v>
      </c>
      <c r="D3227" s="11" t="s">
        <v>86</v>
      </c>
      <c r="E3227" s="11" t="s">
        <v>180</v>
      </c>
      <c r="F3227" s="11" t="s">
        <v>85</v>
      </c>
      <c r="G3227" s="12" t="n">
        <v>150</v>
      </c>
      <c r="H3227" s="12" t="n">
        <f aca="false">SUMPRODUCT(ПОТОКИ!B17:G17,ЧАСОВЫЕ_ПРОФИЛИ!B24:G24,КОЭФФИЦИЕНТЫ_ВЫБОРА!F34:K34)</f>
        <v>1.48705</v>
      </c>
      <c r="I3227" s="12" t="n">
        <f aca="false">SUMPRODUCT(ПОТОКИ!B17:G17,ЧАСОВЫЕ_ПРОФИЛИ!B24:G24,КОЭФФИЦИЕНТЫ_ВЫБОРА!F34:K34,ПАРАМЕТРЫ!$B$17:$G$17)</f>
        <v>1.635755</v>
      </c>
      <c r="J3227" s="12" t="n">
        <f aca="false">I3227*G3227/1000</f>
        <v>0.24536325</v>
      </c>
      <c r="K3227" s="11" t="s">
        <v>217</v>
      </c>
      <c r="L3227" s="11" t="s">
        <v>19</v>
      </c>
      <c r="M3227" s="11" t="s">
        <v>147</v>
      </c>
    </row>
    <row r="3228" customFormat="false" ht="15" hidden="false" customHeight="false" outlineLevel="0" collapsed="false">
      <c r="A3228" s="11" t="s">
        <v>113</v>
      </c>
      <c r="B3228" s="11" t="s">
        <v>137</v>
      </c>
      <c r="C3228" s="11" t="n">
        <v>25</v>
      </c>
      <c r="D3228" s="11" t="s">
        <v>86</v>
      </c>
      <c r="E3228" s="11" t="s">
        <v>181</v>
      </c>
      <c r="F3228" s="11" t="s">
        <v>85</v>
      </c>
      <c r="G3228" s="12" t="n">
        <v>150</v>
      </c>
      <c r="H3228" s="12" t="n">
        <f aca="false">SUMPRODUCT(ПОТОКИ!B17:G17,ЧАСОВЫЕ_ПРОФИЛИ!B24:G24,КОЭФФИЦИЕНТЫ_ВЫБОРА!F35:K35)</f>
        <v>3.0716375</v>
      </c>
      <c r="I3228" s="12" t="n">
        <f aca="false">SUMPRODUCT(ПОТОКИ!B17:G17,ЧАСОВЫЕ_ПРОФИЛИ!B24:G24,КОЭФФИЦИЕНТЫ_ВЫБОРА!F35:K35,ПАРАМЕТРЫ!$B$17:$G$17)</f>
        <v>3.37880125</v>
      </c>
      <c r="J3228" s="12" t="n">
        <f aca="false">I3228*G3228/1000</f>
        <v>0.5068201875</v>
      </c>
      <c r="K3228" s="11" t="s">
        <v>217</v>
      </c>
      <c r="L3228" s="11" t="s">
        <v>19</v>
      </c>
      <c r="M3228" s="11" t="s">
        <v>147</v>
      </c>
    </row>
    <row r="3229" customFormat="false" ht="23.85" hidden="false" customHeight="false" outlineLevel="0" collapsed="false">
      <c r="A3229" s="11" t="s">
        <v>113</v>
      </c>
      <c r="B3229" s="11" t="s">
        <v>137</v>
      </c>
      <c r="C3229" s="11" t="n">
        <v>26</v>
      </c>
      <c r="D3229" s="11" t="s">
        <v>89</v>
      </c>
      <c r="E3229" s="11" t="s">
        <v>182</v>
      </c>
      <c r="F3229" s="11" t="s">
        <v>88</v>
      </c>
      <c r="G3229" s="12" t="n">
        <v>225</v>
      </c>
      <c r="H3229" s="12" t="n">
        <f aca="false">SUMPRODUCT(ПОТОКИ!B17:G17,ЧАСОВЫЕ_ПРОФИЛИ!B24:G24,КОЭФФИЦИЕНТЫ_ВЫБОРА!F36:K36)</f>
        <v>0</v>
      </c>
      <c r="I3229" s="12" t="n">
        <f aca="false">SUMPRODUCT(ПОТОКИ!B17:G17,ЧАСОВЫЕ_ПРОФИЛИ!B24:G24,КОЭФФИЦИЕНТЫ_ВЫБОРА!F36:K36,ПАРАМЕТРЫ!$B$17:$G$17)</f>
        <v>0</v>
      </c>
      <c r="J3229" s="12" t="n">
        <f aca="false">I3229*G3229/1000</f>
        <v>0</v>
      </c>
      <c r="K3229" s="11" t="s">
        <v>217</v>
      </c>
      <c r="L3229" s="11" t="s">
        <v>19</v>
      </c>
      <c r="M3229" s="11" t="s">
        <v>145</v>
      </c>
    </row>
    <row r="3230" customFormat="false" ht="23.85" hidden="false" customHeight="false" outlineLevel="0" collapsed="false">
      <c r="A3230" s="11" t="s">
        <v>113</v>
      </c>
      <c r="B3230" s="11" t="s">
        <v>137</v>
      </c>
      <c r="C3230" s="11" t="n">
        <v>27</v>
      </c>
      <c r="D3230" s="11" t="s">
        <v>89</v>
      </c>
      <c r="E3230" s="11" t="s">
        <v>183</v>
      </c>
      <c r="F3230" s="11" t="s">
        <v>88</v>
      </c>
      <c r="G3230" s="12" t="n">
        <v>265</v>
      </c>
      <c r="H3230" s="12" t="n">
        <f aca="false">SUMPRODUCT(ПОТОКИ!B17:G17,ЧАСОВЫЕ_ПРОФИЛИ!B24:G24,КОЭФФИЦИЕНТЫ_ВЫБОРА!F37:K37)</f>
        <v>0</v>
      </c>
      <c r="I3230" s="12" t="n">
        <f aca="false">SUMPRODUCT(ПОТОКИ!B17:G17,ЧАСОВЫЕ_ПРОФИЛИ!B24:G24,КОЭФФИЦИЕНТЫ_ВЫБОРА!F37:K37,ПАРАМЕТРЫ!$B$17:$G$17)</f>
        <v>0</v>
      </c>
      <c r="J3230" s="12" t="n">
        <f aca="false">I3230*G3230/1000</f>
        <v>0</v>
      </c>
      <c r="K3230" s="11" t="s">
        <v>217</v>
      </c>
      <c r="L3230" s="11" t="s">
        <v>19</v>
      </c>
      <c r="M3230" s="11" t="s">
        <v>145</v>
      </c>
    </row>
    <row r="3231" customFormat="false" ht="23.85" hidden="false" customHeight="false" outlineLevel="0" collapsed="false">
      <c r="A3231" s="11" t="s">
        <v>113</v>
      </c>
      <c r="B3231" s="11" t="s">
        <v>137</v>
      </c>
      <c r="C3231" s="11" t="n">
        <v>28</v>
      </c>
      <c r="D3231" s="11" t="s">
        <v>89</v>
      </c>
      <c r="E3231" s="11" t="s">
        <v>184</v>
      </c>
      <c r="F3231" s="11" t="s">
        <v>88</v>
      </c>
      <c r="G3231" s="12" t="n">
        <v>355</v>
      </c>
      <c r="H3231" s="12" t="n">
        <f aca="false">SUMPRODUCT(ПОТОКИ!B17:G17,ЧАСОВЫЕ_ПРОФИЛИ!B24:G24,КОЭФФИЦИЕНТЫ_ВЫБОРА!F38:K38)</f>
        <v>0</v>
      </c>
      <c r="I3231" s="12" t="n">
        <f aca="false">SUMPRODUCT(ПОТОКИ!B17:G17,ЧАСОВЫЕ_ПРОФИЛИ!B24:G24,КОЭФФИЦИЕНТЫ_ВЫБОРА!F38:K38,ПАРАМЕТРЫ!$B$17:$G$17)</f>
        <v>0</v>
      </c>
      <c r="J3231" s="12" t="n">
        <f aca="false">I3231*G3231/1000</f>
        <v>0</v>
      </c>
      <c r="K3231" s="11" t="s">
        <v>217</v>
      </c>
      <c r="L3231" s="11" t="s">
        <v>19</v>
      </c>
      <c r="M3231" s="11" t="s">
        <v>145</v>
      </c>
    </row>
    <row r="3232" customFormat="false" ht="15" hidden="false" customHeight="false" outlineLevel="0" collapsed="false">
      <c r="A3232" s="11" t="s">
        <v>113</v>
      </c>
      <c r="B3232" s="11" t="s">
        <v>137</v>
      </c>
      <c r="C3232" s="11" t="n">
        <v>29</v>
      </c>
      <c r="D3232" s="11" t="s">
        <v>92</v>
      </c>
      <c r="E3232" s="11" t="s">
        <v>185</v>
      </c>
      <c r="F3232" s="11" t="s">
        <v>91</v>
      </c>
      <c r="G3232" s="12" t="n">
        <v>150</v>
      </c>
      <c r="H3232" s="12" t="n">
        <f aca="false">SUMPRODUCT(ПОТОКИ!B17:G17,ЧАСОВЫЕ_ПРОФИЛИ!B24:G24,КОЭФФИЦИЕНТЫ_ВЫБОРА!F39:K39)</f>
        <v>0.912</v>
      </c>
      <c r="I3232" s="12" t="n">
        <f aca="false">SUMPRODUCT(ПОТОКИ!B17:G17,ЧАСОВЫЕ_ПРОФИЛИ!B24:G24,КОЭФФИЦИЕНТЫ_ВЫБОРА!F39:K39,ПАРАМЕТРЫ!$B$17:$G$17)</f>
        <v>1.0032</v>
      </c>
      <c r="J3232" s="12" t="n">
        <f aca="false">I3232*G3232/1000</f>
        <v>0.15048</v>
      </c>
      <c r="K3232" s="11" t="s">
        <v>217</v>
      </c>
      <c r="L3232" s="11" t="s">
        <v>19</v>
      </c>
      <c r="M3232" s="11" t="s">
        <v>145</v>
      </c>
    </row>
    <row r="3233" customFormat="false" ht="15" hidden="false" customHeight="false" outlineLevel="0" collapsed="false">
      <c r="A3233" s="11" t="s">
        <v>113</v>
      </c>
      <c r="B3233" s="11" t="s">
        <v>137</v>
      </c>
      <c r="C3233" s="11" t="n">
        <v>30</v>
      </c>
      <c r="D3233" s="11" t="s">
        <v>92</v>
      </c>
      <c r="E3233" s="11" t="s">
        <v>186</v>
      </c>
      <c r="F3233" s="11" t="s">
        <v>91</v>
      </c>
      <c r="G3233" s="12" t="n">
        <v>120</v>
      </c>
      <c r="H3233" s="12" t="n">
        <f aca="false">SUMPRODUCT(ПОТОКИ!B17:G17,ЧАСОВЫЕ_ПРОФИЛИ!B24:G24,КОЭФФИЦИЕНТЫ_ВЫБОРА!F40:K40)</f>
        <v>1.212</v>
      </c>
      <c r="I3233" s="12" t="n">
        <f aca="false">SUMPRODUCT(ПОТОКИ!B17:G17,ЧАСОВЫЕ_ПРОФИЛИ!B24:G24,КОЭФФИЦИЕНТЫ_ВЫБОРА!F40:K40,ПАРАМЕТРЫ!$B$17:$G$17)</f>
        <v>1.3332</v>
      </c>
      <c r="J3233" s="12" t="n">
        <f aca="false">I3233*G3233/1000</f>
        <v>0.159984</v>
      </c>
      <c r="K3233" s="11" t="s">
        <v>217</v>
      </c>
      <c r="L3233" s="11" t="s">
        <v>19</v>
      </c>
      <c r="M3233" s="11" t="s">
        <v>145</v>
      </c>
    </row>
    <row r="3234" customFormat="false" ht="15" hidden="false" customHeight="false" outlineLevel="0" collapsed="false">
      <c r="A3234" s="11" t="s">
        <v>113</v>
      </c>
      <c r="B3234" s="11" t="s">
        <v>137</v>
      </c>
      <c r="C3234" s="11" t="n">
        <v>31</v>
      </c>
      <c r="D3234" s="11" t="s">
        <v>92</v>
      </c>
      <c r="E3234" s="11" t="s">
        <v>187</v>
      </c>
      <c r="F3234" s="11" t="s">
        <v>91</v>
      </c>
      <c r="G3234" s="12" t="n">
        <v>60</v>
      </c>
      <c r="H3234" s="12" t="n">
        <f aca="false">SUMPRODUCT(ПОТОКИ!B17:G17,ЧАСОВЫЕ_ПРОФИЛИ!B24:G24,КОЭФФИЦИЕНТЫ_ВЫБОРА!F41:K41)</f>
        <v>0.516</v>
      </c>
      <c r="I3234" s="12" t="n">
        <f aca="false">SUMPRODUCT(ПОТОКИ!B17:G17,ЧАСОВЫЕ_ПРОФИЛИ!B24:G24,КОЭФФИЦИЕНТЫ_ВЫБОРА!F41:K41,ПАРАМЕТРЫ!$B$17:$G$17)</f>
        <v>0.5676</v>
      </c>
      <c r="J3234" s="12" t="n">
        <f aca="false">I3234*G3234/1000</f>
        <v>0.034056</v>
      </c>
      <c r="K3234" s="11" t="s">
        <v>217</v>
      </c>
      <c r="L3234" s="11" t="s">
        <v>19</v>
      </c>
      <c r="M3234" s="11" t="s">
        <v>145</v>
      </c>
    </row>
    <row r="3235" customFormat="false" ht="15" hidden="false" customHeight="false" outlineLevel="0" collapsed="false">
      <c r="A3235" s="11" t="s">
        <v>113</v>
      </c>
      <c r="B3235" s="11" t="s">
        <v>138</v>
      </c>
      <c r="C3235" s="11" t="n">
        <v>1</v>
      </c>
      <c r="D3235" s="11" t="s">
        <v>74</v>
      </c>
      <c r="E3235" s="11" t="s">
        <v>153</v>
      </c>
      <c r="F3235" s="11" t="s">
        <v>73</v>
      </c>
      <c r="G3235" s="12" t="n">
        <v>450</v>
      </c>
      <c r="H3235" s="12" t="n">
        <f aca="false">SUMPRODUCT(ПОТОКИ!B17:G17,ЧАСОВЫЕ_ПРОФИЛИ!B25:G25,КОЭФФИЦИЕНТЫ_ВЫБОРА!F11:K11)</f>
        <v>0.53</v>
      </c>
      <c r="I3235" s="12" t="n">
        <f aca="false">SUMPRODUCT(ПОТОКИ!B17:G17,ЧАСОВЫЕ_ПРОФИЛИ!B25:G25,КОЭФФИЦИЕНТЫ_ВЫБОРА!F11:K11,ПАРАМЕТРЫ!$B$17:$G$17)</f>
        <v>0.583</v>
      </c>
      <c r="J3235" s="12" t="n">
        <f aca="false">I3235*G3235/1000</f>
        <v>0.26235</v>
      </c>
      <c r="K3235" s="11" t="s">
        <v>217</v>
      </c>
      <c r="L3235" s="11" t="s">
        <v>19</v>
      </c>
      <c r="M3235" s="11" t="s">
        <v>145</v>
      </c>
    </row>
    <row r="3236" customFormat="false" ht="15" hidden="false" customHeight="false" outlineLevel="0" collapsed="false">
      <c r="A3236" s="11" t="s">
        <v>113</v>
      </c>
      <c r="B3236" s="11" t="s">
        <v>138</v>
      </c>
      <c r="C3236" s="11" t="n">
        <v>2</v>
      </c>
      <c r="D3236" s="11" t="s">
        <v>74</v>
      </c>
      <c r="E3236" s="11" t="s">
        <v>154</v>
      </c>
      <c r="F3236" s="11" t="s">
        <v>73</v>
      </c>
      <c r="G3236" s="12" t="n">
        <v>480</v>
      </c>
      <c r="H3236" s="12" t="n">
        <f aca="false">SUMPRODUCT(ПОТОКИ!B17:G17,ЧАСОВЫЕ_ПРОФИЛИ!B25:G25,КОЭФФИЦИЕНТЫ_ВЫБОРА!F12:K12)</f>
        <v>0.8825</v>
      </c>
      <c r="I3236" s="12" t="n">
        <f aca="false">SUMPRODUCT(ПОТОКИ!B17:G17,ЧАСОВЫЕ_ПРОФИЛИ!B25:G25,КОЭФФИЦИЕНТЫ_ВЫБОРА!F12:K12,ПАРАМЕТРЫ!$B$17:$G$17)</f>
        <v>0.97075</v>
      </c>
      <c r="J3236" s="12" t="n">
        <f aca="false">I3236*G3236/1000</f>
        <v>0.46596</v>
      </c>
      <c r="K3236" s="11" t="s">
        <v>217</v>
      </c>
      <c r="L3236" s="11" t="s">
        <v>19</v>
      </c>
      <c r="M3236" s="11" t="s">
        <v>145</v>
      </c>
    </row>
    <row r="3237" customFormat="false" ht="15" hidden="false" customHeight="false" outlineLevel="0" collapsed="false">
      <c r="A3237" s="11" t="s">
        <v>113</v>
      </c>
      <c r="B3237" s="11" t="s">
        <v>138</v>
      </c>
      <c r="C3237" s="11" t="n">
        <v>3</v>
      </c>
      <c r="D3237" s="11" t="s">
        <v>74</v>
      </c>
      <c r="E3237" s="11" t="s">
        <v>155</v>
      </c>
      <c r="F3237" s="11" t="s">
        <v>73</v>
      </c>
      <c r="G3237" s="12" t="n">
        <v>500</v>
      </c>
      <c r="H3237" s="12" t="n">
        <f aca="false">SUMPRODUCT(ПОТОКИ!B17:G17,ЧАСОВЫЕ_ПРОФИЛИ!B25:G25,КОЭФФИЦИЕНТЫ_ВЫБОРА!F13:K13)</f>
        <v>1.2925</v>
      </c>
      <c r="I3237" s="12" t="n">
        <f aca="false">SUMPRODUCT(ПОТОКИ!B17:G17,ЧАСОВЫЕ_ПРОФИЛИ!B25:G25,КОЭФФИЦИЕНТЫ_ВЫБОРА!F13:K13,ПАРАМЕТРЫ!$B$17:$G$17)</f>
        <v>1.42175</v>
      </c>
      <c r="J3237" s="12" t="n">
        <f aca="false">I3237*G3237/1000</f>
        <v>0.710875</v>
      </c>
      <c r="K3237" s="11" t="s">
        <v>217</v>
      </c>
      <c r="L3237" s="11" t="s">
        <v>19</v>
      </c>
      <c r="M3237" s="11" t="s">
        <v>145</v>
      </c>
    </row>
    <row r="3238" customFormat="false" ht="15" hidden="false" customHeight="false" outlineLevel="0" collapsed="false">
      <c r="A3238" s="11" t="s">
        <v>113</v>
      </c>
      <c r="B3238" s="11" t="s">
        <v>138</v>
      </c>
      <c r="C3238" s="11" t="n">
        <v>4</v>
      </c>
      <c r="D3238" s="11" t="s">
        <v>74</v>
      </c>
      <c r="E3238" s="11" t="s">
        <v>156</v>
      </c>
      <c r="F3238" s="11" t="s">
        <v>73</v>
      </c>
      <c r="G3238" s="12" t="n">
        <v>500</v>
      </c>
      <c r="H3238" s="12" t="n">
        <f aca="false">SUMPRODUCT(ПОТОКИ!B17:G17,ЧАСОВЫЕ_ПРОФИЛИ!B25:G25,КОЭФФИЦИЕНТЫ_ВЫБОРА!F14:K14)</f>
        <v>1.645</v>
      </c>
      <c r="I3238" s="12" t="n">
        <f aca="false">SUMPRODUCT(ПОТОКИ!B17:G17,ЧАСОВЫЕ_ПРОФИЛИ!B25:G25,КОЭФФИЦИЕНТЫ_ВЫБОРА!F14:K14,ПАРАМЕТРЫ!$B$17:$G$17)</f>
        <v>1.8095</v>
      </c>
      <c r="J3238" s="12" t="n">
        <f aca="false">I3238*G3238/1000</f>
        <v>0.90475</v>
      </c>
      <c r="K3238" s="11" t="s">
        <v>217</v>
      </c>
      <c r="L3238" s="11" t="s">
        <v>19</v>
      </c>
      <c r="M3238" s="11" t="s">
        <v>145</v>
      </c>
    </row>
    <row r="3239" customFormat="false" ht="15" hidden="false" customHeight="false" outlineLevel="0" collapsed="false">
      <c r="A3239" s="11" t="s">
        <v>113</v>
      </c>
      <c r="B3239" s="11" t="s">
        <v>138</v>
      </c>
      <c r="C3239" s="11" t="n">
        <v>5</v>
      </c>
      <c r="D3239" s="11" t="s">
        <v>78</v>
      </c>
      <c r="E3239" s="11" t="s">
        <v>157</v>
      </c>
      <c r="F3239" s="11" t="s">
        <v>77</v>
      </c>
      <c r="G3239" s="12" t="n">
        <v>100</v>
      </c>
      <c r="H3239" s="12" t="n">
        <f aca="false">SUMPRODUCT(ПОТОКИ!B17:G17,ЧАСОВЫЕ_ПРОФИЛИ!B25:G25,КОЭФФИЦИЕНТЫ_ВЫБОРА!F15:K15)</f>
        <v>0.517</v>
      </c>
      <c r="I3239" s="12" t="n">
        <f aca="false">SUMPRODUCT(ПОТОКИ!B17:G17,ЧАСОВЫЕ_ПРОФИЛИ!B25:G25,КОЭФФИЦИЕНТЫ_ВЫБОРА!F15:K15,ПАРАМЕТРЫ!$B$17:$G$17)</f>
        <v>0.5687</v>
      </c>
      <c r="J3239" s="12" t="n">
        <f aca="false">I3239*G3239/1000</f>
        <v>0.05687</v>
      </c>
      <c r="K3239" s="11" t="s">
        <v>217</v>
      </c>
      <c r="L3239" s="11" t="s">
        <v>19</v>
      </c>
      <c r="M3239" s="11" t="s">
        <v>147</v>
      </c>
    </row>
    <row r="3240" customFormat="false" ht="15" hidden="false" customHeight="false" outlineLevel="0" collapsed="false">
      <c r="A3240" s="11" t="s">
        <v>113</v>
      </c>
      <c r="B3240" s="11" t="s">
        <v>138</v>
      </c>
      <c r="C3240" s="11" t="n">
        <v>6</v>
      </c>
      <c r="D3240" s="11" t="s">
        <v>78</v>
      </c>
      <c r="E3240" s="11" t="s">
        <v>158</v>
      </c>
      <c r="F3240" s="11" t="s">
        <v>77</v>
      </c>
      <c r="G3240" s="12" t="n">
        <v>100</v>
      </c>
      <c r="H3240" s="12" t="n">
        <f aca="false">SUMPRODUCT(ПОТОКИ!B17:G17,ЧАСОВЫЕ_ПРОФИЛИ!B25:G25,КОЭФФИЦИЕНТЫ_ВЫБОРА!F16:K16)</f>
        <v>0.4345</v>
      </c>
      <c r="I3240" s="12" t="n">
        <f aca="false">SUMPRODUCT(ПОТОКИ!B17:G17,ЧАСОВЫЕ_ПРОФИЛИ!B25:G25,КОЭФФИЦИЕНТЫ_ВЫБОРА!F16:K16,ПАРАМЕТРЫ!$B$17:$G$17)</f>
        <v>0.47795</v>
      </c>
      <c r="J3240" s="12" t="n">
        <f aca="false">I3240*G3240/1000</f>
        <v>0.047795</v>
      </c>
      <c r="K3240" s="11" t="s">
        <v>217</v>
      </c>
      <c r="L3240" s="11" t="s">
        <v>19</v>
      </c>
      <c r="M3240" s="11" t="s">
        <v>147</v>
      </c>
    </row>
    <row r="3241" customFormat="false" ht="15" hidden="false" customHeight="false" outlineLevel="0" collapsed="false">
      <c r="A3241" s="11" t="s">
        <v>113</v>
      </c>
      <c r="B3241" s="11" t="s">
        <v>138</v>
      </c>
      <c r="C3241" s="11" t="n">
        <v>7</v>
      </c>
      <c r="D3241" s="11" t="s">
        <v>78</v>
      </c>
      <c r="E3241" s="11" t="s">
        <v>159</v>
      </c>
      <c r="F3241" s="11" t="s">
        <v>77</v>
      </c>
      <c r="G3241" s="12" t="n">
        <v>350</v>
      </c>
      <c r="H3241" s="12" t="n">
        <f aca="false">SUMPRODUCT(ПОТОКИ!B17:G17,ЧАСОВЫЕ_ПРОФИЛИ!B25:G25,КОЭФФИЦИЕНТЫ_ВЫБОРА!F17:K17)</f>
        <v>0.4075</v>
      </c>
      <c r="I3241" s="12" t="n">
        <f aca="false">SUMPRODUCT(ПОТОКИ!B17:G17,ЧАСОВЫЕ_ПРОФИЛИ!B25:G25,КОЭФФИЦИЕНТЫ_ВЫБОРА!F17:K17,ПАРАМЕТРЫ!$B$17:$G$17)</f>
        <v>0.44825</v>
      </c>
      <c r="J3241" s="12" t="n">
        <f aca="false">I3241*G3241/1000</f>
        <v>0.1568875</v>
      </c>
      <c r="K3241" s="11" t="s">
        <v>217</v>
      </c>
      <c r="L3241" s="11" t="s">
        <v>19</v>
      </c>
      <c r="M3241" s="11" t="s">
        <v>147</v>
      </c>
    </row>
    <row r="3242" customFormat="false" ht="15" hidden="false" customHeight="false" outlineLevel="0" collapsed="false">
      <c r="A3242" s="11" t="s">
        <v>113</v>
      </c>
      <c r="B3242" s="11" t="s">
        <v>138</v>
      </c>
      <c r="C3242" s="11" t="n">
        <v>8</v>
      </c>
      <c r="D3242" s="11" t="s">
        <v>78</v>
      </c>
      <c r="E3242" s="11" t="s">
        <v>160</v>
      </c>
      <c r="F3242" s="11" t="s">
        <v>77</v>
      </c>
      <c r="G3242" s="12" t="n">
        <v>85</v>
      </c>
      <c r="H3242" s="12" t="n">
        <f aca="false">SUMPRODUCT(ПОТОКИ!B17:G17,ЧАСОВЫЕ_ПРОФИЛИ!B25:G25,КОЭФФИЦИЕНТЫ_ВЫБОРА!F18:K18)</f>
        <v>0.271</v>
      </c>
      <c r="I3242" s="12" t="n">
        <f aca="false">SUMPRODUCT(ПОТОКИ!B17:G17,ЧАСОВЫЕ_ПРОФИЛИ!B25:G25,КОЭФФИЦИЕНТЫ_ВЫБОРА!F18:K18,ПАРАМЕТРЫ!$B$17:$G$17)</f>
        <v>0.2981</v>
      </c>
      <c r="J3242" s="12" t="n">
        <f aca="false">I3242*G3242/1000</f>
        <v>0.0253385</v>
      </c>
      <c r="K3242" s="11" t="s">
        <v>217</v>
      </c>
      <c r="L3242" s="11" t="s">
        <v>19</v>
      </c>
      <c r="M3242" s="11" t="s">
        <v>147</v>
      </c>
    </row>
    <row r="3243" customFormat="false" ht="15" hidden="false" customHeight="false" outlineLevel="0" collapsed="false">
      <c r="A3243" s="11" t="s">
        <v>113</v>
      </c>
      <c r="B3243" s="11" t="s">
        <v>138</v>
      </c>
      <c r="C3243" s="11" t="n">
        <v>9</v>
      </c>
      <c r="D3243" s="11" t="s">
        <v>161</v>
      </c>
      <c r="E3243" s="11" t="s">
        <v>162</v>
      </c>
      <c r="F3243" s="11" t="s">
        <v>80</v>
      </c>
      <c r="G3243" s="12" t="n">
        <v>300</v>
      </c>
      <c r="H3243" s="12" t="n">
        <f aca="false">SUMPRODUCT(ПОТОКИ!B17:G17,ЧАСОВЫЕ_ПРОФИЛИ!B25:G25,КОЭФФИЦИЕНТЫ_ВЫБОРА!F19:K19)</f>
        <v>0.79</v>
      </c>
      <c r="I3243" s="12" t="n">
        <f aca="false">SUMPRODUCT(ПОТОКИ!B17:G17,ЧАСОВЫЕ_ПРОФИЛИ!B25:G25,КОЭФФИЦИЕНТЫ_ВЫБОРА!F19:K19,ПАРАМЕТРЫ!$B$17:$G$17)</f>
        <v>0.869</v>
      </c>
      <c r="J3243" s="12" t="n">
        <f aca="false">I3243*G3243/1000</f>
        <v>0.2607</v>
      </c>
      <c r="K3243" s="11" t="s">
        <v>217</v>
      </c>
      <c r="L3243" s="11" t="s">
        <v>19</v>
      </c>
      <c r="M3243" s="11" t="s">
        <v>145</v>
      </c>
    </row>
    <row r="3244" customFormat="false" ht="15" hidden="false" customHeight="false" outlineLevel="0" collapsed="false">
      <c r="A3244" s="11" t="s">
        <v>113</v>
      </c>
      <c r="B3244" s="11" t="s">
        <v>138</v>
      </c>
      <c r="C3244" s="11" t="n">
        <v>10</v>
      </c>
      <c r="D3244" s="11" t="s">
        <v>161</v>
      </c>
      <c r="E3244" s="11" t="s">
        <v>163</v>
      </c>
      <c r="F3244" s="11" t="s">
        <v>80</v>
      </c>
      <c r="G3244" s="12" t="n">
        <v>280</v>
      </c>
      <c r="H3244" s="12" t="n">
        <f aca="false">SUMPRODUCT(ПОТОКИ!B17:G17,ЧАСОВЫЕ_ПРОФИЛИ!B25:G25,КОЭФФИЦИЕНТЫ_ВЫБОРА!F20:K20)</f>
        <v>0.88</v>
      </c>
      <c r="I3244" s="12" t="n">
        <f aca="false">SUMPRODUCT(ПОТОКИ!B17:G17,ЧАСОВЫЕ_ПРОФИЛИ!B25:G25,КОЭФФИЦИЕНТЫ_ВЫБОРА!F20:K20,ПАРАМЕТРЫ!$B$17:$G$17)</f>
        <v>0.968</v>
      </c>
      <c r="J3244" s="12" t="n">
        <f aca="false">I3244*G3244/1000</f>
        <v>0.27104</v>
      </c>
      <c r="K3244" s="11" t="s">
        <v>217</v>
      </c>
      <c r="L3244" s="11" t="s">
        <v>19</v>
      </c>
      <c r="M3244" s="11" t="s">
        <v>145</v>
      </c>
    </row>
    <row r="3245" customFormat="false" ht="15" hidden="false" customHeight="false" outlineLevel="0" collapsed="false">
      <c r="A3245" s="11" t="s">
        <v>113</v>
      </c>
      <c r="B3245" s="11" t="s">
        <v>138</v>
      </c>
      <c r="C3245" s="11" t="n">
        <v>11</v>
      </c>
      <c r="D3245" s="11" t="s">
        <v>161</v>
      </c>
      <c r="E3245" s="11" t="s">
        <v>164</v>
      </c>
      <c r="F3245" s="11" t="s">
        <v>80</v>
      </c>
      <c r="G3245" s="12" t="n">
        <v>270</v>
      </c>
      <c r="H3245" s="12" t="n">
        <f aca="false">SUMPRODUCT(ПОТОКИ!B17:G17,ЧАСОВЫЕ_ПРОФИЛИ!B25:G25,КОЭФФИЦИЕНТЫ_ВЫБОРА!F21:K21)</f>
        <v>1.44625</v>
      </c>
      <c r="I3245" s="12" t="n">
        <f aca="false">SUMPRODUCT(ПОТОКИ!B17:G17,ЧАСОВЫЕ_ПРОФИЛИ!B25:G25,КОЭФФИЦИЕНТЫ_ВЫБОРА!F21:K21,ПАРАМЕТРЫ!$B$17:$G$17)</f>
        <v>1.590875</v>
      </c>
      <c r="J3245" s="12" t="n">
        <f aca="false">I3245*G3245/1000</f>
        <v>0.42953625</v>
      </c>
      <c r="K3245" s="11" t="s">
        <v>217</v>
      </c>
      <c r="L3245" s="11" t="s">
        <v>19</v>
      </c>
      <c r="M3245" s="11" t="s">
        <v>145</v>
      </c>
    </row>
    <row r="3246" customFormat="false" ht="15" hidden="false" customHeight="false" outlineLevel="0" collapsed="false">
      <c r="A3246" s="11" t="s">
        <v>113</v>
      </c>
      <c r="B3246" s="11" t="s">
        <v>138</v>
      </c>
      <c r="C3246" s="11" t="n">
        <v>12</v>
      </c>
      <c r="D3246" s="11" t="s">
        <v>161</v>
      </c>
      <c r="E3246" s="11" t="s">
        <v>165</v>
      </c>
      <c r="F3246" s="11" t="s">
        <v>80</v>
      </c>
      <c r="G3246" s="12" t="n">
        <v>240</v>
      </c>
      <c r="H3246" s="12" t="n">
        <f aca="false">SUMPRODUCT(ПОТОКИ!B17:G17,ЧАСОВЫЕ_ПРОФИЛИ!B25:G25,КОЭФФИЦИЕНТЫ_ВЫБОРА!F22:K22)</f>
        <v>0.75875</v>
      </c>
      <c r="I3246" s="12" t="n">
        <f aca="false">SUMPRODUCT(ПОТОКИ!B17:G17,ЧАСОВЫЕ_ПРОФИЛИ!B25:G25,КОЭФФИЦИЕНТЫ_ВЫБОРА!F22:K22,ПАРАМЕТРЫ!$B$17:$G$17)</f>
        <v>0.834625</v>
      </c>
      <c r="J3246" s="12" t="n">
        <f aca="false">I3246*G3246/1000</f>
        <v>0.20031</v>
      </c>
      <c r="K3246" s="11" t="s">
        <v>217</v>
      </c>
      <c r="L3246" s="11" t="s">
        <v>19</v>
      </c>
      <c r="M3246" s="11" t="s">
        <v>145</v>
      </c>
    </row>
    <row r="3247" customFormat="false" ht="15" hidden="false" customHeight="false" outlineLevel="0" collapsed="false">
      <c r="A3247" s="11" t="s">
        <v>113</v>
      </c>
      <c r="B3247" s="11" t="s">
        <v>138</v>
      </c>
      <c r="C3247" s="11" t="n">
        <v>13</v>
      </c>
      <c r="D3247" s="11" t="s">
        <v>166</v>
      </c>
      <c r="E3247" s="11" t="s">
        <v>167</v>
      </c>
      <c r="F3247" s="11" t="s">
        <v>80</v>
      </c>
      <c r="G3247" s="12" t="n">
        <v>130</v>
      </c>
      <c r="H3247" s="12" t="n">
        <f aca="false">SUMPRODUCT(ПОТОКИ!B17:G17,ЧАСОВЫЕ_ПРОФИЛИ!B25:G25,КОЭФФИЦИЕНТЫ_ВЫБОРА!F23:K23)</f>
        <v>0.45</v>
      </c>
      <c r="I3247" s="12" t="n">
        <f aca="false">SUMPRODUCT(ПОТОКИ!B17:G17,ЧАСОВЫЕ_ПРОФИЛИ!B25:G25,КОЭФФИЦИЕНТЫ_ВЫБОРА!F23:K23,ПАРАМЕТРЫ!$B$17:$G$17)</f>
        <v>0.495</v>
      </c>
      <c r="J3247" s="12" t="n">
        <f aca="false">I3247*G3247/1000</f>
        <v>0.06435</v>
      </c>
      <c r="K3247" s="11" t="s">
        <v>217</v>
      </c>
      <c r="L3247" s="11" t="s">
        <v>19</v>
      </c>
      <c r="M3247" s="11" t="s">
        <v>145</v>
      </c>
    </row>
    <row r="3248" customFormat="false" ht="15" hidden="false" customHeight="false" outlineLevel="0" collapsed="false">
      <c r="A3248" s="11" t="s">
        <v>113</v>
      </c>
      <c r="B3248" s="11" t="s">
        <v>138</v>
      </c>
      <c r="C3248" s="11" t="n">
        <v>14</v>
      </c>
      <c r="D3248" s="11" t="s">
        <v>166</v>
      </c>
      <c r="E3248" s="11" t="s">
        <v>168</v>
      </c>
      <c r="F3248" s="11" t="s">
        <v>80</v>
      </c>
      <c r="G3248" s="12" t="n">
        <v>250</v>
      </c>
      <c r="H3248" s="12" t="n">
        <f aca="false">SUMPRODUCT(ПОТОКИ!B17:G17,ЧАСОВЫЕ_ПРОФИЛИ!B25:G25,КОЭФФИЦИЕНТЫ_ВЫБОРА!F24:K24)</f>
        <v>0.335</v>
      </c>
      <c r="I3248" s="12" t="n">
        <f aca="false">SUMPRODUCT(ПОТОКИ!B17:G17,ЧАСОВЫЕ_ПРОФИЛИ!B25:G25,КОЭФФИЦИЕНТЫ_ВЫБОРА!F24:K24,ПАРАМЕТРЫ!$B$17:$G$17)</f>
        <v>0.3685</v>
      </c>
      <c r="J3248" s="12" t="n">
        <f aca="false">I3248*G3248/1000</f>
        <v>0.092125</v>
      </c>
      <c r="K3248" s="11" t="s">
        <v>217</v>
      </c>
      <c r="L3248" s="11" t="s">
        <v>19</v>
      </c>
      <c r="M3248" s="11" t="s">
        <v>145</v>
      </c>
    </row>
    <row r="3249" customFormat="false" ht="15" hidden="false" customHeight="false" outlineLevel="0" collapsed="false">
      <c r="A3249" s="11" t="s">
        <v>113</v>
      </c>
      <c r="B3249" s="11" t="s">
        <v>138</v>
      </c>
      <c r="C3249" s="11" t="n">
        <v>15</v>
      </c>
      <c r="D3249" s="11" t="s">
        <v>166</v>
      </c>
      <c r="E3249" s="11" t="s">
        <v>169</v>
      </c>
      <c r="F3249" s="11" t="s">
        <v>80</v>
      </c>
      <c r="G3249" s="12" t="n">
        <v>120</v>
      </c>
      <c r="H3249" s="12" t="n">
        <f aca="false">SUMPRODUCT(ПОТОКИ!B17:G17,ЧАСОВЫЕ_ПРОФИЛИ!B25:G25,КОЭФФИЦИЕНТЫ_ВЫБОРА!F25:K25)</f>
        <v>0.26</v>
      </c>
      <c r="I3249" s="12" t="n">
        <f aca="false">SUMPRODUCT(ПОТОКИ!B17:G17,ЧАСОВЫЕ_ПРОФИЛИ!B25:G25,КОЭФФИЦИЕНТЫ_ВЫБОРА!F25:K25,ПАРАМЕТРЫ!$B$17:$G$17)</f>
        <v>0.286</v>
      </c>
      <c r="J3249" s="12" t="n">
        <f aca="false">I3249*G3249/1000</f>
        <v>0.03432</v>
      </c>
      <c r="K3249" s="11" t="s">
        <v>217</v>
      </c>
      <c r="L3249" s="11" t="s">
        <v>19</v>
      </c>
      <c r="M3249" s="11" t="s">
        <v>145</v>
      </c>
    </row>
    <row r="3250" customFormat="false" ht="15" hidden="false" customHeight="false" outlineLevel="0" collapsed="false">
      <c r="A3250" s="11" t="s">
        <v>113</v>
      </c>
      <c r="B3250" s="11" t="s">
        <v>138</v>
      </c>
      <c r="C3250" s="11" t="n">
        <v>16</v>
      </c>
      <c r="D3250" s="11" t="s">
        <v>166</v>
      </c>
      <c r="E3250" s="11" t="s">
        <v>170</v>
      </c>
      <c r="F3250" s="11" t="s">
        <v>80</v>
      </c>
      <c r="G3250" s="12" t="n">
        <v>180</v>
      </c>
      <c r="H3250" s="12" t="n">
        <f aca="false">SUMPRODUCT(ПОТОКИ!B17:G17,ЧАСОВЫЕ_ПРОФИЛИ!B25:G25,КОЭФФИЦИЕНТЫ_ВЫБОРА!F26:K26)</f>
        <v>0.405</v>
      </c>
      <c r="I3250" s="12" t="n">
        <f aca="false">SUMPRODUCT(ПОТОКИ!B17:G17,ЧАСОВЫЕ_ПРОФИЛИ!B25:G25,КОЭФФИЦИЕНТЫ_ВЫБОРА!F26:K26,ПАРАМЕТРЫ!$B$17:$G$17)</f>
        <v>0.4455</v>
      </c>
      <c r="J3250" s="12" t="n">
        <f aca="false">I3250*G3250/1000</f>
        <v>0.08019</v>
      </c>
      <c r="K3250" s="11" t="s">
        <v>217</v>
      </c>
      <c r="L3250" s="11" t="s">
        <v>19</v>
      </c>
      <c r="M3250" s="11" t="s">
        <v>145</v>
      </c>
    </row>
    <row r="3251" customFormat="false" ht="15" hidden="false" customHeight="false" outlineLevel="0" collapsed="false">
      <c r="A3251" s="11" t="s">
        <v>113</v>
      </c>
      <c r="B3251" s="11" t="s">
        <v>138</v>
      </c>
      <c r="C3251" s="11" t="n">
        <v>17</v>
      </c>
      <c r="D3251" s="11" t="s">
        <v>166</v>
      </c>
      <c r="E3251" s="11" t="s">
        <v>171</v>
      </c>
      <c r="F3251" s="11" t="s">
        <v>80</v>
      </c>
      <c r="G3251" s="12" t="n">
        <v>180</v>
      </c>
      <c r="H3251" s="12" t="n">
        <f aca="false">SUMPRODUCT(ПОТОКИ!B17:G17,ЧАСОВЫЕ_ПРОФИЛИ!B25:G25,КОЭФФИЦИЕНТЫ_ВЫБОРА!F27:K27)</f>
        <v>0.45</v>
      </c>
      <c r="I3251" s="12" t="n">
        <f aca="false">SUMPRODUCT(ПОТОКИ!B17:G17,ЧАСОВЫЕ_ПРОФИЛИ!B25:G25,КОЭФФИЦИЕНТЫ_ВЫБОРА!F27:K27,ПАРАМЕТРЫ!$B$17:$G$17)</f>
        <v>0.495</v>
      </c>
      <c r="J3251" s="12" t="n">
        <f aca="false">I3251*G3251/1000</f>
        <v>0.0891</v>
      </c>
      <c r="K3251" s="11" t="s">
        <v>217</v>
      </c>
      <c r="L3251" s="11" t="s">
        <v>19</v>
      </c>
      <c r="M3251" s="11" t="s">
        <v>145</v>
      </c>
    </row>
    <row r="3252" customFormat="false" ht="15" hidden="false" customHeight="false" outlineLevel="0" collapsed="false">
      <c r="A3252" s="11" t="s">
        <v>113</v>
      </c>
      <c r="B3252" s="11" t="s">
        <v>138</v>
      </c>
      <c r="C3252" s="11" t="n">
        <v>18</v>
      </c>
      <c r="D3252" s="11" t="s">
        <v>172</v>
      </c>
      <c r="E3252" s="11" t="s">
        <v>173</v>
      </c>
      <c r="F3252" s="11" t="s">
        <v>83</v>
      </c>
      <c r="G3252" s="12" t="n">
        <v>400</v>
      </c>
      <c r="H3252" s="12" t="n">
        <f aca="false">SUMPRODUCT(ПОТОКИ!B17:G17,ЧАСОВЫЕ_ПРОФИЛИ!B25:G25,КОЭФФИЦИЕНТЫ_ВЫБОРА!F28:K28)</f>
        <v>0.7</v>
      </c>
      <c r="I3252" s="12" t="n">
        <f aca="false">SUMPRODUCT(ПОТОКИ!B17:G17,ЧАСОВЫЕ_ПРОФИЛИ!B25:G25,КОЭФФИЦИЕНТЫ_ВЫБОРА!F28:K28,ПАРАМЕТРЫ!$B$17:$G$17)</f>
        <v>0.77</v>
      </c>
      <c r="J3252" s="12" t="n">
        <f aca="false">I3252*G3252/1000</f>
        <v>0.308</v>
      </c>
      <c r="K3252" s="11" t="s">
        <v>217</v>
      </c>
      <c r="L3252" s="11" t="s">
        <v>19</v>
      </c>
      <c r="M3252" s="11" t="s">
        <v>145</v>
      </c>
    </row>
    <row r="3253" customFormat="false" ht="23.85" hidden="false" customHeight="false" outlineLevel="0" collapsed="false">
      <c r="A3253" s="11" t="s">
        <v>113</v>
      </c>
      <c r="B3253" s="11" t="s">
        <v>138</v>
      </c>
      <c r="C3253" s="11" t="n">
        <v>19</v>
      </c>
      <c r="D3253" s="11" t="s">
        <v>174</v>
      </c>
      <c r="E3253" s="11" t="s">
        <v>175</v>
      </c>
      <c r="F3253" s="11" t="s">
        <v>83</v>
      </c>
      <c r="G3253" s="12" t="n">
        <v>300</v>
      </c>
      <c r="H3253" s="12" t="n">
        <f aca="false">SUMPRODUCT(ПОТОКИ!B17:G17,ЧАСОВЫЕ_ПРОФИЛИ!B25:G25,КОЭФФИЦИЕНТЫ_ВЫБОРА!F29:K29)</f>
        <v>2.255</v>
      </c>
      <c r="I3253" s="12" t="n">
        <f aca="false">SUMPRODUCT(ПОТОКИ!B17:G17,ЧАСОВЫЕ_ПРОФИЛИ!B25:G25,КОЭФФИЦИЕНТЫ_ВЫБОРА!F29:K29,ПАРАМЕТРЫ!$B$17:$G$17)</f>
        <v>2.4805</v>
      </c>
      <c r="J3253" s="12" t="n">
        <f aca="false">I3253*G3253/1000</f>
        <v>0.74415</v>
      </c>
      <c r="K3253" s="11" t="s">
        <v>217</v>
      </c>
      <c r="L3253" s="11" t="s">
        <v>19</v>
      </c>
      <c r="M3253" s="11" t="s">
        <v>145</v>
      </c>
    </row>
    <row r="3254" customFormat="false" ht="15" hidden="false" customHeight="false" outlineLevel="0" collapsed="false">
      <c r="A3254" s="11" t="s">
        <v>113</v>
      </c>
      <c r="B3254" s="11" t="s">
        <v>138</v>
      </c>
      <c r="C3254" s="11" t="n">
        <v>20</v>
      </c>
      <c r="D3254" s="11" t="s">
        <v>174</v>
      </c>
      <c r="E3254" s="11" t="s">
        <v>176</v>
      </c>
      <c r="F3254" s="11" t="s">
        <v>83</v>
      </c>
      <c r="G3254" s="12" t="n">
        <v>360</v>
      </c>
      <c r="H3254" s="12" t="n">
        <f aca="false">SUMPRODUCT(ПОТОКИ!B17:G17,ЧАСОВЫЕ_ПРОФИЛИ!B25:G25,КОЭФФИЦИЕНТЫ_ВЫБОРА!F30:K30)</f>
        <v>1.935</v>
      </c>
      <c r="I3254" s="12" t="n">
        <f aca="false">SUMPRODUCT(ПОТОКИ!B17:G17,ЧАСОВЫЕ_ПРОФИЛИ!B25:G25,КОЭФФИЦИЕНТЫ_ВЫБОРА!F30:K30,ПАРАМЕТРЫ!$B$17:$G$17)</f>
        <v>2.1285</v>
      </c>
      <c r="J3254" s="12" t="n">
        <f aca="false">I3254*G3254/1000</f>
        <v>0.76626</v>
      </c>
      <c r="K3254" s="11" t="s">
        <v>217</v>
      </c>
      <c r="L3254" s="11" t="s">
        <v>19</v>
      </c>
      <c r="M3254" s="11" t="s">
        <v>145</v>
      </c>
    </row>
    <row r="3255" customFormat="false" ht="15" hidden="false" customHeight="false" outlineLevel="0" collapsed="false">
      <c r="A3255" s="11" t="s">
        <v>113</v>
      </c>
      <c r="B3255" s="11" t="s">
        <v>138</v>
      </c>
      <c r="C3255" s="11" t="n">
        <v>21</v>
      </c>
      <c r="D3255" s="11" t="s">
        <v>174</v>
      </c>
      <c r="E3255" s="11" t="s">
        <v>177</v>
      </c>
      <c r="F3255" s="11" t="s">
        <v>83</v>
      </c>
      <c r="G3255" s="12" t="n">
        <v>350</v>
      </c>
      <c r="H3255" s="12" t="n">
        <f aca="false">SUMPRODUCT(ПОТОКИ!B17:G17,ЧАСОВЫЕ_ПРОФИЛИ!B25:G25,КОЭФФИЦИЕНТЫ_ВЫБОРА!F31:K31)</f>
        <v>2.85625</v>
      </c>
      <c r="I3255" s="12" t="n">
        <f aca="false">SUMPRODUCT(ПОТОКИ!B17:G17,ЧАСОВЫЕ_ПРОФИЛИ!B25:G25,КОЭФФИЦИЕНТЫ_ВЫБОРА!F31:K31,ПАРАМЕТРЫ!$B$17:$G$17)</f>
        <v>3.141875</v>
      </c>
      <c r="J3255" s="12" t="n">
        <f aca="false">I3255*G3255/1000</f>
        <v>1.09965625</v>
      </c>
      <c r="K3255" s="11" t="s">
        <v>217</v>
      </c>
      <c r="L3255" s="11" t="s">
        <v>19</v>
      </c>
      <c r="M3255" s="11" t="s">
        <v>145</v>
      </c>
    </row>
    <row r="3256" customFormat="false" ht="15" hidden="false" customHeight="false" outlineLevel="0" collapsed="false">
      <c r="A3256" s="11" t="s">
        <v>113</v>
      </c>
      <c r="B3256" s="11" t="s">
        <v>138</v>
      </c>
      <c r="C3256" s="11" t="n">
        <v>22</v>
      </c>
      <c r="D3256" s="11" t="s">
        <v>174</v>
      </c>
      <c r="E3256" s="11" t="s">
        <v>178</v>
      </c>
      <c r="F3256" s="11" t="s">
        <v>83</v>
      </c>
      <c r="G3256" s="12" t="n">
        <v>300</v>
      </c>
      <c r="H3256" s="12" t="n">
        <f aca="false">SUMPRODUCT(ПОТОКИ!B17:G17,ЧАСОВЫЕ_ПРОФИЛИ!B25:G25,КОЭФФИЦИЕНТЫ_ВЫБОРА!F32:K32)</f>
        <v>2.02875</v>
      </c>
      <c r="I3256" s="12" t="n">
        <f aca="false">SUMPRODUCT(ПОТОКИ!B17:G17,ЧАСОВЫЕ_ПРОФИЛИ!B25:G25,КОЭФФИЦИЕНТЫ_ВЫБОРА!F32:K32,ПАРАМЕТРЫ!$B$17:$G$17)</f>
        <v>2.231625</v>
      </c>
      <c r="J3256" s="12" t="n">
        <f aca="false">I3256*G3256/1000</f>
        <v>0.6694875</v>
      </c>
      <c r="K3256" s="11" t="s">
        <v>217</v>
      </c>
      <c r="L3256" s="11" t="s">
        <v>19</v>
      </c>
      <c r="M3256" s="11" t="s">
        <v>145</v>
      </c>
    </row>
    <row r="3257" customFormat="false" ht="15" hidden="false" customHeight="false" outlineLevel="0" collapsed="false">
      <c r="A3257" s="11" t="s">
        <v>113</v>
      </c>
      <c r="B3257" s="11" t="s">
        <v>138</v>
      </c>
      <c r="C3257" s="11" t="n">
        <v>23</v>
      </c>
      <c r="D3257" s="11" t="s">
        <v>86</v>
      </c>
      <c r="E3257" s="11" t="s">
        <v>179</v>
      </c>
      <c r="F3257" s="11" t="s">
        <v>85</v>
      </c>
      <c r="G3257" s="12" t="n">
        <v>150</v>
      </c>
      <c r="H3257" s="12" t="n">
        <f aca="false">SUMPRODUCT(ПОТОКИ!B17:G17,ЧАСОВЫЕ_ПРОФИЛИ!B25:G25,КОЭФФИЦИЕНТЫ_ВЫБОРА!F33:K33)</f>
        <v>1.66586875</v>
      </c>
      <c r="I3257" s="12" t="n">
        <f aca="false">SUMPRODUCT(ПОТОКИ!B17:G17,ЧАСОВЫЕ_ПРОФИЛИ!B25:G25,КОЭФФИЦИЕНТЫ_ВЫБОРА!F33:K33,ПАРАМЕТРЫ!$B$17:$G$17)</f>
        <v>1.832455625</v>
      </c>
      <c r="J3257" s="12" t="n">
        <f aca="false">I3257*G3257/1000</f>
        <v>0.27486834375</v>
      </c>
      <c r="K3257" s="11" t="s">
        <v>217</v>
      </c>
      <c r="L3257" s="11" t="s">
        <v>19</v>
      </c>
      <c r="M3257" s="11" t="s">
        <v>147</v>
      </c>
    </row>
    <row r="3258" customFormat="false" ht="15" hidden="false" customHeight="false" outlineLevel="0" collapsed="false">
      <c r="A3258" s="11" t="s">
        <v>113</v>
      </c>
      <c r="B3258" s="11" t="s">
        <v>138</v>
      </c>
      <c r="C3258" s="11" t="n">
        <v>24</v>
      </c>
      <c r="D3258" s="11" t="s">
        <v>86</v>
      </c>
      <c r="E3258" s="11" t="s">
        <v>180</v>
      </c>
      <c r="F3258" s="11" t="s">
        <v>85</v>
      </c>
      <c r="G3258" s="12" t="n">
        <v>150</v>
      </c>
      <c r="H3258" s="12" t="n">
        <f aca="false">SUMPRODUCT(ПОТОКИ!B17:G17,ЧАСОВЫЕ_ПРОФИЛИ!B25:G25,КОЭФФИЦИЕНТЫ_ВЫБОРА!F34:K34)</f>
        <v>0.873575</v>
      </c>
      <c r="I3258" s="12" t="n">
        <f aca="false">SUMPRODUCT(ПОТОКИ!B17:G17,ЧАСОВЫЕ_ПРОФИЛИ!B25:G25,КОЭФФИЦИЕНТЫ_ВЫБОРА!F34:K34,ПАРАМЕТРЫ!$B$17:$G$17)</f>
        <v>0.9609325</v>
      </c>
      <c r="J3258" s="12" t="n">
        <f aca="false">I3258*G3258/1000</f>
        <v>0.144139875</v>
      </c>
      <c r="K3258" s="11" t="s">
        <v>217</v>
      </c>
      <c r="L3258" s="11" t="s">
        <v>19</v>
      </c>
      <c r="M3258" s="11" t="s">
        <v>147</v>
      </c>
    </row>
    <row r="3259" customFormat="false" ht="15" hidden="false" customHeight="false" outlineLevel="0" collapsed="false">
      <c r="A3259" s="11" t="s">
        <v>113</v>
      </c>
      <c r="B3259" s="11" t="s">
        <v>138</v>
      </c>
      <c r="C3259" s="11" t="n">
        <v>25</v>
      </c>
      <c r="D3259" s="11" t="s">
        <v>86</v>
      </c>
      <c r="E3259" s="11" t="s">
        <v>181</v>
      </c>
      <c r="F3259" s="11" t="s">
        <v>85</v>
      </c>
      <c r="G3259" s="12" t="n">
        <v>150</v>
      </c>
      <c r="H3259" s="12" t="n">
        <f aca="false">SUMPRODUCT(ПОТОКИ!B17:G17,ЧАСОВЫЕ_ПРОФИЛИ!B25:G25,КОЭФФИЦИЕНТЫ_ВЫБОРА!F35:K35)</f>
        <v>1.82843125</v>
      </c>
      <c r="I3259" s="12" t="n">
        <f aca="false">SUMPRODUCT(ПОТОКИ!B17:G17,ЧАСОВЫЕ_ПРОФИЛИ!B25:G25,КОЭФФИЦИЕНТЫ_ВЫБОРА!F35:K35,ПАРАМЕТРЫ!$B$17:$G$17)</f>
        <v>2.011274375</v>
      </c>
      <c r="J3259" s="12" t="n">
        <f aca="false">I3259*G3259/1000</f>
        <v>0.30169115625</v>
      </c>
      <c r="K3259" s="11" t="s">
        <v>217</v>
      </c>
      <c r="L3259" s="11" t="s">
        <v>19</v>
      </c>
      <c r="M3259" s="11" t="s">
        <v>147</v>
      </c>
    </row>
    <row r="3260" customFormat="false" ht="23.85" hidden="false" customHeight="false" outlineLevel="0" collapsed="false">
      <c r="A3260" s="11" t="s">
        <v>113</v>
      </c>
      <c r="B3260" s="11" t="s">
        <v>138</v>
      </c>
      <c r="C3260" s="11" t="n">
        <v>26</v>
      </c>
      <c r="D3260" s="11" t="s">
        <v>89</v>
      </c>
      <c r="E3260" s="11" t="s">
        <v>182</v>
      </c>
      <c r="F3260" s="11" t="s">
        <v>88</v>
      </c>
      <c r="G3260" s="12" t="n">
        <v>225</v>
      </c>
      <c r="H3260" s="12" t="n">
        <f aca="false">SUMPRODUCT(ПОТОКИ!B17:G17,ЧАСОВЫЕ_ПРОФИЛИ!B25:G25,КОЭФФИЦИЕНТЫ_ВЫБОРА!F36:K36)</f>
        <v>0</v>
      </c>
      <c r="I3260" s="12" t="n">
        <f aca="false">SUMPRODUCT(ПОТОКИ!B17:G17,ЧАСОВЫЕ_ПРОФИЛИ!B25:G25,КОЭФФИЦИЕНТЫ_ВЫБОРА!F36:K36,ПАРАМЕТРЫ!$B$17:$G$17)</f>
        <v>0</v>
      </c>
      <c r="J3260" s="12" t="n">
        <f aca="false">I3260*G3260/1000</f>
        <v>0</v>
      </c>
      <c r="K3260" s="11" t="s">
        <v>217</v>
      </c>
      <c r="L3260" s="11" t="s">
        <v>19</v>
      </c>
      <c r="M3260" s="11" t="s">
        <v>145</v>
      </c>
    </row>
    <row r="3261" customFormat="false" ht="23.85" hidden="false" customHeight="false" outlineLevel="0" collapsed="false">
      <c r="A3261" s="11" t="s">
        <v>113</v>
      </c>
      <c r="B3261" s="11" t="s">
        <v>138</v>
      </c>
      <c r="C3261" s="11" t="n">
        <v>27</v>
      </c>
      <c r="D3261" s="11" t="s">
        <v>89</v>
      </c>
      <c r="E3261" s="11" t="s">
        <v>183</v>
      </c>
      <c r="F3261" s="11" t="s">
        <v>88</v>
      </c>
      <c r="G3261" s="12" t="n">
        <v>265</v>
      </c>
      <c r="H3261" s="12" t="n">
        <f aca="false">SUMPRODUCT(ПОТОКИ!B17:G17,ЧАСОВЫЕ_ПРОФИЛИ!B25:G25,КОЭФФИЦИЕНТЫ_ВЫБОРА!F37:K37)</f>
        <v>0</v>
      </c>
      <c r="I3261" s="12" t="n">
        <f aca="false">SUMPRODUCT(ПОТОКИ!B17:G17,ЧАСОВЫЕ_ПРОФИЛИ!B25:G25,КОЭФФИЦИЕНТЫ_ВЫБОРА!F37:K37,ПАРАМЕТРЫ!$B$17:$G$17)</f>
        <v>0</v>
      </c>
      <c r="J3261" s="12" t="n">
        <f aca="false">I3261*G3261/1000</f>
        <v>0</v>
      </c>
      <c r="K3261" s="11" t="s">
        <v>217</v>
      </c>
      <c r="L3261" s="11" t="s">
        <v>19</v>
      </c>
      <c r="M3261" s="11" t="s">
        <v>145</v>
      </c>
    </row>
    <row r="3262" customFormat="false" ht="23.85" hidden="false" customHeight="false" outlineLevel="0" collapsed="false">
      <c r="A3262" s="11" t="s">
        <v>113</v>
      </c>
      <c r="B3262" s="11" t="s">
        <v>138</v>
      </c>
      <c r="C3262" s="11" t="n">
        <v>28</v>
      </c>
      <c r="D3262" s="11" t="s">
        <v>89</v>
      </c>
      <c r="E3262" s="11" t="s">
        <v>184</v>
      </c>
      <c r="F3262" s="11" t="s">
        <v>88</v>
      </c>
      <c r="G3262" s="12" t="n">
        <v>355</v>
      </c>
      <c r="H3262" s="12" t="n">
        <f aca="false">SUMPRODUCT(ПОТОКИ!B17:G17,ЧАСОВЫЕ_ПРОФИЛИ!B25:G25,КОЭФФИЦИЕНТЫ_ВЫБОРА!F38:K38)</f>
        <v>0</v>
      </c>
      <c r="I3262" s="12" t="n">
        <f aca="false">SUMPRODUCT(ПОТОКИ!B17:G17,ЧАСОВЫЕ_ПРОФИЛИ!B25:G25,КОЭФФИЦИЕНТЫ_ВЫБОРА!F38:K38,ПАРАМЕТРЫ!$B$17:$G$17)</f>
        <v>0</v>
      </c>
      <c r="J3262" s="12" t="n">
        <f aca="false">I3262*G3262/1000</f>
        <v>0</v>
      </c>
      <c r="K3262" s="11" t="s">
        <v>217</v>
      </c>
      <c r="L3262" s="11" t="s">
        <v>19</v>
      </c>
      <c r="M3262" s="11" t="s">
        <v>145</v>
      </c>
    </row>
    <row r="3263" customFormat="false" ht="15" hidden="false" customHeight="false" outlineLevel="0" collapsed="false">
      <c r="A3263" s="11" t="s">
        <v>113</v>
      </c>
      <c r="B3263" s="11" t="s">
        <v>138</v>
      </c>
      <c r="C3263" s="11" t="n">
        <v>29</v>
      </c>
      <c r="D3263" s="11" t="s">
        <v>92</v>
      </c>
      <c r="E3263" s="11" t="s">
        <v>185</v>
      </c>
      <c r="F3263" s="11" t="s">
        <v>91</v>
      </c>
      <c r="G3263" s="12" t="n">
        <v>150</v>
      </c>
      <c r="H3263" s="12" t="n">
        <f aca="false">SUMPRODUCT(ПОТОКИ!B17:G17,ЧАСОВЫЕ_ПРОФИЛИ!B25:G25,КОЭФФИЦИЕНТЫ_ВЫБОРА!F39:K39)</f>
        <v>0.456</v>
      </c>
      <c r="I3263" s="12" t="n">
        <f aca="false">SUMPRODUCT(ПОТОКИ!B17:G17,ЧАСОВЫЕ_ПРОФИЛИ!B25:G25,КОЭФФИЦИЕНТЫ_ВЫБОРА!F39:K39,ПАРАМЕТРЫ!$B$17:$G$17)</f>
        <v>0.5016</v>
      </c>
      <c r="J3263" s="12" t="n">
        <f aca="false">I3263*G3263/1000</f>
        <v>0.07524</v>
      </c>
      <c r="K3263" s="11" t="s">
        <v>217</v>
      </c>
      <c r="L3263" s="11" t="s">
        <v>19</v>
      </c>
      <c r="M3263" s="11" t="s">
        <v>145</v>
      </c>
    </row>
    <row r="3264" customFormat="false" ht="15" hidden="false" customHeight="false" outlineLevel="0" collapsed="false">
      <c r="A3264" s="11" t="s">
        <v>113</v>
      </c>
      <c r="B3264" s="11" t="s">
        <v>138</v>
      </c>
      <c r="C3264" s="11" t="n">
        <v>30</v>
      </c>
      <c r="D3264" s="11" t="s">
        <v>92</v>
      </c>
      <c r="E3264" s="11" t="s">
        <v>186</v>
      </c>
      <c r="F3264" s="11" t="s">
        <v>91</v>
      </c>
      <c r="G3264" s="12" t="n">
        <v>120</v>
      </c>
      <c r="H3264" s="12" t="n">
        <f aca="false">SUMPRODUCT(ПОТОКИ!B17:G17,ЧАСОВЫЕ_ПРОФИЛИ!B25:G25,КОЭФФИЦИЕНТЫ_ВЫБОРА!F40:K40)</f>
        <v>0.706</v>
      </c>
      <c r="I3264" s="12" t="n">
        <f aca="false">SUMPRODUCT(ПОТОКИ!B17:G17,ЧАСОВЫЕ_ПРОФИЛИ!B25:G25,КОЭФФИЦИЕНТЫ_ВЫБОРА!F40:K40,ПАРАМЕТРЫ!$B$17:$G$17)</f>
        <v>0.7766</v>
      </c>
      <c r="J3264" s="12" t="n">
        <f aca="false">I3264*G3264/1000</f>
        <v>0.093192</v>
      </c>
      <c r="K3264" s="11" t="s">
        <v>217</v>
      </c>
      <c r="L3264" s="11" t="s">
        <v>19</v>
      </c>
      <c r="M3264" s="11" t="s">
        <v>145</v>
      </c>
    </row>
    <row r="3265" customFormat="false" ht="15" hidden="false" customHeight="false" outlineLevel="0" collapsed="false">
      <c r="A3265" s="11" t="s">
        <v>113</v>
      </c>
      <c r="B3265" s="11" t="s">
        <v>138</v>
      </c>
      <c r="C3265" s="11" t="n">
        <v>31</v>
      </c>
      <c r="D3265" s="11" t="s">
        <v>92</v>
      </c>
      <c r="E3265" s="11" t="s">
        <v>187</v>
      </c>
      <c r="F3265" s="11" t="s">
        <v>91</v>
      </c>
      <c r="G3265" s="12" t="n">
        <v>60</v>
      </c>
      <c r="H3265" s="12" t="n">
        <f aca="false">SUMPRODUCT(ПОТОКИ!B17:G17,ЧАСОВЫЕ_ПРОФИЛИ!B25:G25,КОЭФФИЦИЕНТЫ_ВЫБОРА!F41:K41)</f>
        <v>0.258</v>
      </c>
      <c r="I3265" s="12" t="n">
        <f aca="false">SUMPRODUCT(ПОТОКИ!B17:G17,ЧАСОВЫЕ_ПРОФИЛИ!B25:G25,КОЭФФИЦИЕНТЫ_ВЫБОРА!F41:K41,ПАРАМЕТРЫ!$B$17:$G$17)</f>
        <v>0.2838</v>
      </c>
      <c r="J3265" s="12" t="n">
        <f aca="false">I3265*G3265/1000</f>
        <v>0.017028</v>
      </c>
      <c r="K3265" s="11" t="s">
        <v>217</v>
      </c>
      <c r="L3265" s="11" t="s">
        <v>19</v>
      </c>
      <c r="M3265" s="11" t="s">
        <v>145</v>
      </c>
    </row>
  </sheetData>
  <mergeCells count="7">
    <mergeCell ref="A1:M1"/>
    <mergeCell ref="A2:M2"/>
    <mergeCell ref="A4:M4"/>
    <mergeCell ref="B5:M5"/>
    <mergeCell ref="B6:M6"/>
    <mergeCell ref="B7:M7"/>
    <mergeCell ref="B8:M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8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0" width="18"/>
    <col collapsed="false" customWidth="true" hidden="false" outlineLevel="0" max="4" min="4" style="0" width="34"/>
    <col collapsed="false" customWidth="true" hidden="false" outlineLevel="0" max="5" min="5" style="0" width="28"/>
    <col collapsed="false" customWidth="true" hidden="false" outlineLevel="0" max="7" min="6" style="0" width="22"/>
    <col collapsed="false" customWidth="true" hidden="false" outlineLevel="0" max="9" min="8" style="0" width="20"/>
    <col collapsed="false" customWidth="true" hidden="false" outlineLevel="0" max="10" min="10" style="0" width="21"/>
    <col collapsed="false" customWidth="true" hidden="false" outlineLevel="0" max="11" min="11" style="0" width="24"/>
    <col collapsed="false" customWidth="true" hidden="false" outlineLevel="0" max="13" min="12" style="0" width="14"/>
    <col collapsed="false" customWidth="true" hidden="false" outlineLevel="0" max="14" min="14" style="0" width="50"/>
  </cols>
  <sheetData>
    <row r="1" customFormat="false" ht="30" hidden="false" customHeight="true" outlineLevel="0" collapsed="false">
      <c r="A1" s="1" t="s">
        <v>218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34" hidden="false" customHeight="true" outlineLevel="0" collapsed="false">
      <c r="A2" s="2" t="s">
        <v>219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15" hidden="false" customHeight="false" outlineLevel="0" collapsed="false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</row>
    <row r="5" customFormat="false" ht="23.85" hidden="false" customHeight="true" outlineLevel="0" collapsed="false">
      <c r="A5" s="6" t="s">
        <v>220</v>
      </c>
      <c r="B5" s="7" t="s">
        <v>221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</row>
    <row r="6" customFormat="false" ht="23.85" hidden="false" customHeight="true" outlineLevel="0" collapsed="false">
      <c r="A6" s="6" t="s">
        <v>222</v>
      </c>
      <c r="B6" s="7" t="s">
        <v>223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</row>
    <row r="7" customFormat="false" ht="23.85" hidden="false" customHeight="true" outlineLevel="0" collapsed="false">
      <c r="A7" s="6" t="s">
        <v>54</v>
      </c>
      <c r="B7" s="7" t="s">
        <v>224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</row>
    <row r="8" customFormat="false" ht="23.85" hidden="false" customHeight="true" outlineLevel="0" collapsed="false">
      <c r="A8" s="6" t="s">
        <v>9</v>
      </c>
      <c r="B8" s="7" t="s">
        <v>225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</row>
    <row r="10" customFormat="false" ht="35.05" hidden="false" customHeight="false" outlineLevel="0" collapsed="false">
      <c r="A10" s="8" t="s">
        <v>106</v>
      </c>
      <c r="B10" s="8" t="s">
        <v>198</v>
      </c>
      <c r="C10" s="8" t="s">
        <v>68</v>
      </c>
      <c r="D10" s="8" t="s">
        <v>69</v>
      </c>
      <c r="E10" s="8" t="s">
        <v>70</v>
      </c>
      <c r="F10" s="8" t="s">
        <v>226</v>
      </c>
      <c r="G10" s="8" t="s">
        <v>71</v>
      </c>
      <c r="H10" s="8" t="s">
        <v>227</v>
      </c>
      <c r="I10" s="8" t="s">
        <v>228</v>
      </c>
      <c r="J10" s="8" t="s">
        <v>229</v>
      </c>
      <c r="K10" s="8" t="s">
        <v>230</v>
      </c>
      <c r="L10" s="8" t="s">
        <v>231</v>
      </c>
      <c r="M10" s="8" t="s">
        <v>58</v>
      </c>
      <c r="N10" s="8" t="s">
        <v>232</v>
      </c>
    </row>
    <row r="11" customFormat="false" ht="23.85" hidden="false" customHeight="false" outlineLevel="0" collapsed="false">
      <c r="A11" s="9" t="s">
        <v>107</v>
      </c>
      <c r="B11" s="9" t="s">
        <v>124</v>
      </c>
      <c r="C11" s="9" t="s">
        <v>73</v>
      </c>
      <c r="D11" s="9" t="s">
        <v>74</v>
      </c>
      <c r="E11" s="9" t="s">
        <v>75</v>
      </c>
      <c r="F11" s="10" t="n">
        <f aca="false">SUMIFS(СПРОС_ДЕНЬ_ЧАС_МЕНЮ!$I$11:$I$3265,СПРОС_ДЕНЬ_ЧАС_МЕНЮ!$A$11:$A$3265,A11,СПРОС_ДЕНЬ_ЧАС_МЕНЮ!$B$11:$B$3265,B11,СПРОС_ДЕНЬ_ЧАС_МЕНЮ!$F$11:$F$3265,C11)</f>
        <v>0</v>
      </c>
      <c r="G11" s="10" t="n">
        <f aca="false">ПАРАМЕТРЫ!D20</f>
        <v>25</v>
      </c>
      <c r="H11" s="10" t="n">
        <f aca="false">SUMIFS(ШТАТ_ПО_ЧАСАМ!$C$11:$C$115,ШТАТ_ПО_ЧАСАМ!$A$11:$A$115,A11,ШТАТ_ПО_ЧАСАМ!$B$11:$B$115,B11)</f>
        <v>1</v>
      </c>
      <c r="I11" s="10" t="n">
        <f aca="false">MIN(H11,1)*ПАРАМЕТРЫ!E20</f>
        <v>10</v>
      </c>
      <c r="J11" s="10" t="n">
        <f aca="false">MIN(G11,I11)</f>
        <v>10</v>
      </c>
      <c r="K11" s="10" t="n">
        <f aca="false">MAX(F11-J11,0)</f>
        <v>0</v>
      </c>
      <c r="L11" s="10" t="n">
        <f aca="false">IF(J11=0,0,F11/J11)</f>
        <v>0</v>
      </c>
      <c r="M11" s="9" t="str">
        <f aca="false">IF(K11&gt;0,"BLOCKED","PASS")</f>
        <v>PASS</v>
      </c>
      <c r="N11" s="9" t="s">
        <v>233</v>
      </c>
    </row>
    <row r="12" customFormat="false" ht="23.85" hidden="false" customHeight="false" outlineLevel="0" collapsed="false">
      <c r="A12" s="11" t="s">
        <v>107</v>
      </c>
      <c r="B12" s="11" t="s">
        <v>124</v>
      </c>
      <c r="C12" s="11" t="s">
        <v>77</v>
      </c>
      <c r="D12" s="11" t="s">
        <v>78</v>
      </c>
      <c r="E12" s="11" t="s">
        <v>79</v>
      </c>
      <c r="F12" s="12" t="n">
        <f aca="false">SUMIFS(СПРОС_ДЕНЬ_ЧАС_МЕНЮ!$I$11:$I$3265,СПРОС_ДЕНЬ_ЧАС_МЕНЮ!$A$11:$A$3265,A12,СПРОС_ДЕНЬ_ЧАС_МЕНЮ!$B$11:$B$3265,B12,СПРОС_ДЕНЬ_ЧАС_МЕНЮ!$F$11:$F$3265,C12)</f>
        <v>0.396</v>
      </c>
      <c r="G12" s="12" t="n">
        <f aca="false">ПАРАМЕТРЫ!D21</f>
        <v>20</v>
      </c>
      <c r="H12" s="12" t="n">
        <f aca="false">SUMIFS(ШТАТ_ПО_ЧАСАМ!$C$11:$C$115,ШТАТ_ПО_ЧАСАМ!$A$11:$A$115,A12,ШТАТ_ПО_ЧАСАМ!$B$11:$B$115,B12)</f>
        <v>1</v>
      </c>
      <c r="I12" s="12" t="n">
        <f aca="false">MIN(H12,1)*ПАРАМЕТРЫ!E21</f>
        <v>10</v>
      </c>
      <c r="J12" s="12" t="n">
        <f aca="false">MIN(G12,I12)</f>
        <v>10</v>
      </c>
      <c r="K12" s="12" t="n">
        <f aca="false">MAX(F12-J12,0)</f>
        <v>0</v>
      </c>
      <c r="L12" s="12" t="n">
        <f aca="false">IF(J12=0,0,F12/J12)</f>
        <v>0.0396</v>
      </c>
      <c r="M12" s="11" t="str">
        <f aca="false">IF(K12&gt;0,"BLOCKED","PASS")</f>
        <v>PASS</v>
      </c>
      <c r="N12" s="11" t="s">
        <v>233</v>
      </c>
    </row>
    <row r="13" customFormat="false" ht="23.85" hidden="false" customHeight="false" outlineLevel="0" collapsed="false">
      <c r="A13" s="11" t="s">
        <v>107</v>
      </c>
      <c r="B13" s="11" t="s">
        <v>124</v>
      </c>
      <c r="C13" s="11" t="s">
        <v>80</v>
      </c>
      <c r="D13" s="11" t="s">
        <v>81</v>
      </c>
      <c r="E13" s="11" t="s">
        <v>82</v>
      </c>
      <c r="F13" s="12" t="n">
        <f aca="false">SUMIFS(СПРОС_ДЕНЬ_ЧАС_МЕНЮ!$I$11:$I$3265,СПРОС_ДЕНЬ_ЧАС_МЕНЮ!$A$11:$A$3265,A13,СПРОС_ДЕНЬ_ЧАС_МЕНЮ!$B$11:$B$3265,B13,СПРОС_ДЕНЬ_ЧАС_МЕНЮ!$F$11:$F$3265,C13)</f>
        <v>0</v>
      </c>
      <c r="G13" s="12" t="n">
        <f aca="false">ПАРАМЕТРЫ!D22</f>
        <v>16</v>
      </c>
      <c r="H13" s="12" t="n">
        <f aca="false">SUMIFS(ШТАТ_ПО_ЧАСАМ!$C$11:$C$115,ШТАТ_ПО_ЧАСАМ!$A$11:$A$115,A13,ШТАТ_ПО_ЧАСАМ!$B$11:$B$115,B13)</f>
        <v>1</v>
      </c>
      <c r="I13" s="12" t="n">
        <f aca="false">MIN(H13,1)*ПАРАМЕТРЫ!E22</f>
        <v>16</v>
      </c>
      <c r="J13" s="12" t="n">
        <f aca="false">MIN(G13,I13)</f>
        <v>16</v>
      </c>
      <c r="K13" s="12" t="n">
        <f aca="false">MAX(F13-J13,0)</f>
        <v>0</v>
      </c>
      <c r="L13" s="12" t="n">
        <f aca="false">IF(J13=0,0,F13/J13)</f>
        <v>0</v>
      </c>
      <c r="M13" s="11" t="str">
        <f aca="false">IF(K13&gt;0,"BLOCKED","PASS")</f>
        <v>PASS</v>
      </c>
      <c r="N13" s="11" t="s">
        <v>233</v>
      </c>
    </row>
    <row r="14" customFormat="false" ht="23.85" hidden="false" customHeight="false" outlineLevel="0" collapsed="false">
      <c r="A14" s="11" t="s">
        <v>107</v>
      </c>
      <c r="B14" s="11" t="s">
        <v>124</v>
      </c>
      <c r="C14" s="11" t="s">
        <v>83</v>
      </c>
      <c r="D14" s="11" t="s">
        <v>84</v>
      </c>
      <c r="E14" s="11" t="s">
        <v>83</v>
      </c>
      <c r="F14" s="12" t="n">
        <f aca="false">SUMIFS(СПРОС_ДЕНЬ_ЧАС_МЕНЮ!$I$11:$I$3265,СПРОС_ДЕНЬ_ЧАС_МЕНЮ!$A$11:$A$3265,A14,СПРОС_ДЕНЬ_ЧАС_МЕНЮ!$B$11:$B$3265,B14,СПРОС_ДЕНЬ_ЧАС_МЕНЮ!$F$11:$F$3265,C14)</f>
        <v>0</v>
      </c>
      <c r="G14" s="12" t="n">
        <f aca="false">ПАРАМЕТРЫ!D23</f>
        <v>21</v>
      </c>
      <c r="H14" s="12" t="n">
        <f aca="false">SUMIFS(ШТАТ_ПО_ЧАСАМ!$C$11:$C$115,ШТАТ_ПО_ЧАСАМ!$A$11:$A$115,A14,ШТАТ_ПО_ЧАСАМ!$B$11:$B$115,B14)</f>
        <v>1</v>
      </c>
      <c r="I14" s="12" t="n">
        <f aca="false">MIN(H14,1)*ПАРАМЕТРЫ!E23</f>
        <v>21</v>
      </c>
      <c r="J14" s="12" t="n">
        <f aca="false">MIN(G14,I14)</f>
        <v>21</v>
      </c>
      <c r="K14" s="12" t="n">
        <f aca="false">MAX(F14-J14,0)</f>
        <v>0</v>
      </c>
      <c r="L14" s="12" t="n">
        <f aca="false">IF(J14=0,0,F14/J14)</f>
        <v>0</v>
      </c>
      <c r="M14" s="11" t="str">
        <f aca="false">IF(K14&gt;0,"BLOCKED","PASS")</f>
        <v>PASS</v>
      </c>
      <c r="N14" s="11" t="s">
        <v>233</v>
      </c>
    </row>
    <row r="15" customFormat="false" ht="23.85" hidden="false" customHeight="false" outlineLevel="0" collapsed="false">
      <c r="A15" s="11" t="s">
        <v>107</v>
      </c>
      <c r="B15" s="11" t="s">
        <v>124</v>
      </c>
      <c r="C15" s="11" t="s">
        <v>85</v>
      </c>
      <c r="D15" s="11" t="s">
        <v>86</v>
      </c>
      <c r="E15" s="11" t="s">
        <v>87</v>
      </c>
      <c r="F15" s="12" t="n">
        <f aca="false">SUMIFS(СПРОС_ДЕНЬ_ЧАС_МЕНЮ!$I$11:$I$3265,СПРОС_ДЕНЬ_ЧАС_МЕНЮ!$A$11:$A$3265,A15,СПРОС_ДЕНЬ_ЧАС_МЕНЮ!$B$11:$B$3265,B15,СПРОС_ДЕНЬ_ЧАС_МЕНЮ!$F$11:$F$3265,C15)</f>
        <v>0</v>
      </c>
      <c r="G15" s="12" t="n">
        <f aca="false">ПАРАМЕТРЫ!D24</f>
        <v>12</v>
      </c>
      <c r="H15" s="12" t="n">
        <f aca="false">SUMIFS(ШТАТ_ПО_ЧАСАМ!$C$11:$C$115,ШТАТ_ПО_ЧАСАМ!$A$11:$A$115,A15,ШТАТ_ПО_ЧАСАМ!$B$11:$B$115,B15)</f>
        <v>1</v>
      </c>
      <c r="I15" s="12" t="n">
        <f aca="false">MIN(H15,1)*ПАРАМЕТРЫ!E24</f>
        <v>12</v>
      </c>
      <c r="J15" s="12" t="n">
        <f aca="false">MIN(G15,I15)</f>
        <v>12</v>
      </c>
      <c r="K15" s="12" t="n">
        <f aca="false">MAX(F15-J15,0)</f>
        <v>0</v>
      </c>
      <c r="L15" s="12" t="n">
        <f aca="false">IF(J15=0,0,F15/J15)</f>
        <v>0</v>
      </c>
      <c r="M15" s="11" t="str">
        <f aca="false">IF(K15&gt;0,"BLOCKED","PASS")</f>
        <v>PASS</v>
      </c>
      <c r="N15" s="11" t="s">
        <v>233</v>
      </c>
    </row>
    <row r="16" customFormat="false" ht="23.85" hidden="false" customHeight="false" outlineLevel="0" collapsed="false">
      <c r="A16" s="11" t="s">
        <v>107</v>
      </c>
      <c r="B16" s="11" t="s">
        <v>124</v>
      </c>
      <c r="C16" s="11" t="s">
        <v>88</v>
      </c>
      <c r="D16" s="11" t="s">
        <v>89</v>
      </c>
      <c r="E16" s="11" t="s">
        <v>90</v>
      </c>
      <c r="F16" s="12" t="n">
        <f aca="false">SUMIFS(СПРОС_ДЕНЬ_ЧАС_МЕНЮ!$I$11:$I$3265,СПРОС_ДЕНЬ_ЧАС_МЕНЮ!$A$11:$A$3265,A16,СПРОС_ДЕНЬ_ЧАС_МЕНЮ!$B$11:$B$3265,B16,СПРОС_ДЕНЬ_ЧАС_МЕНЮ!$F$11:$F$3265,C16)</f>
        <v>3.3</v>
      </c>
      <c r="G16" s="12" t="n">
        <f aca="false">ПАРАМЕТРЫ!D25</f>
        <v>15</v>
      </c>
      <c r="H16" s="12" t="n">
        <f aca="false">SUMIFS(ШТАТ_ПО_ЧАСАМ!$C$11:$C$115,ШТАТ_ПО_ЧАСАМ!$A$11:$A$115,A16,ШТАТ_ПО_ЧАСАМ!$B$11:$B$115,B16)</f>
        <v>1</v>
      </c>
      <c r="I16" s="12" t="n">
        <f aca="false">MIN(H16,1)*ПАРАМЕТРЫ!E25</f>
        <v>10</v>
      </c>
      <c r="J16" s="12" t="n">
        <f aca="false">MIN(G16,I16)</f>
        <v>10</v>
      </c>
      <c r="K16" s="12" t="n">
        <f aca="false">MAX(F16-J16,0)</f>
        <v>0</v>
      </c>
      <c r="L16" s="12" t="n">
        <f aca="false">IF(J16=0,0,F16/J16)</f>
        <v>0.33</v>
      </c>
      <c r="M16" s="11" t="str">
        <f aca="false">IF(K16&gt;0,"BLOCKED","PASS")</f>
        <v>PASS</v>
      </c>
      <c r="N16" s="11" t="s">
        <v>233</v>
      </c>
    </row>
    <row r="17" customFormat="false" ht="23.85" hidden="false" customHeight="false" outlineLevel="0" collapsed="false">
      <c r="A17" s="11" t="s">
        <v>107</v>
      </c>
      <c r="B17" s="11" t="s">
        <v>124</v>
      </c>
      <c r="C17" s="11" t="s">
        <v>91</v>
      </c>
      <c r="D17" s="11" t="s">
        <v>92</v>
      </c>
      <c r="E17" s="11" t="s">
        <v>79</v>
      </c>
      <c r="F17" s="12" t="n">
        <f aca="false">SUMIFS(СПРОС_ДЕНЬ_ЧАС_МЕНЮ!$I$11:$I$3265,СПРОС_ДЕНЬ_ЧАС_МЕНЮ!$A$11:$A$3265,A17,СПРОС_ДЕНЬ_ЧАС_МЕНЮ!$B$11:$B$3265,B17,СПРОС_ДЕНЬ_ЧАС_МЕНЮ!$F$11:$F$3265,C17)</f>
        <v>0.198</v>
      </c>
      <c r="G17" s="12" t="n">
        <f aca="false">ПАРАМЕТРЫ!D26</f>
        <v>20</v>
      </c>
      <c r="H17" s="12" t="n">
        <f aca="false">SUMIFS(ШТАТ_ПО_ЧАСАМ!$C$11:$C$115,ШТАТ_ПО_ЧАСАМ!$A$11:$A$115,A17,ШТАТ_ПО_ЧАСАМ!$B$11:$B$115,B17)</f>
        <v>1</v>
      </c>
      <c r="I17" s="12" t="n">
        <f aca="false">MIN(H17,1)*ПАРАМЕТРЫ!E26</f>
        <v>10</v>
      </c>
      <c r="J17" s="12" t="n">
        <f aca="false">MIN(G17,I17)</f>
        <v>10</v>
      </c>
      <c r="K17" s="12" t="n">
        <f aca="false">MAX(F17-J17,0)</f>
        <v>0</v>
      </c>
      <c r="L17" s="12" t="n">
        <f aca="false">IF(J17=0,0,F17/J17)</f>
        <v>0.0198</v>
      </c>
      <c r="M17" s="11" t="str">
        <f aca="false">IF(K17&gt;0,"BLOCKED","PASS")</f>
        <v>PASS</v>
      </c>
      <c r="N17" s="11" t="s">
        <v>233</v>
      </c>
    </row>
    <row r="18" customFormat="false" ht="15" hidden="false" customHeight="false" outlineLevel="0" collapsed="false">
      <c r="A18" s="11" t="s">
        <v>107</v>
      </c>
      <c r="B18" s="11" t="s">
        <v>124</v>
      </c>
      <c r="C18" s="11" t="s">
        <v>93</v>
      </c>
      <c r="D18" s="11" t="s">
        <v>234</v>
      </c>
      <c r="E18" s="11" t="s">
        <v>95</v>
      </c>
      <c r="F18" s="12" t="n">
        <f aca="false">SUMIFS(СПРОС_ДЕНЬ_ЧАС_МЕНЮ!$I$11:$I$3265,СПРОС_ДЕНЬ_ЧАС_МЕНЮ!$A$11:$A$3265,A18,СПРОС_ДЕНЬ_ЧАС_МЕНЮ!$B$11:$B$3265,B18)</f>
        <v>3.894</v>
      </c>
      <c r="G18" s="12" t="n">
        <f aca="false">ПАРАМЕТРЫ!D27</f>
        <v>60</v>
      </c>
      <c r="H18" s="12" t="n">
        <f aca="false">SUMIFS(ШТАТ_ПО_ЧАСАМ!$C$11:$C$115,ШТАТ_ПО_ЧАСАМ!$A$11:$A$115,A18,ШТАТ_ПО_ЧАСАМ!$B$11:$B$115,B18)</f>
        <v>1</v>
      </c>
      <c r="I18" s="12" t="n">
        <f aca="false">H18*ПАРАМЕТРЫ!E27</f>
        <v>16.6666666666667</v>
      </c>
      <c r="J18" s="12" t="n">
        <f aca="false">MIN(G18,I18)</f>
        <v>16.6666666666667</v>
      </c>
      <c r="K18" s="12" t="n">
        <f aca="false">MAX(F18-J18,0)</f>
        <v>0</v>
      </c>
      <c r="L18" s="12" t="n">
        <f aca="false">IF(J18=0,0,F18/J18)</f>
        <v>0.23364</v>
      </c>
      <c r="M18" s="11" t="str">
        <f aca="false">IF(K18&gt;0,"BLOCKED","PASS")</f>
        <v>PASS</v>
      </c>
      <c r="N18" s="11" t="s">
        <v>235</v>
      </c>
    </row>
    <row r="19" customFormat="false" ht="23.85" hidden="false" customHeight="false" outlineLevel="0" collapsed="false">
      <c r="A19" s="11" t="s">
        <v>107</v>
      </c>
      <c r="B19" s="11" t="s">
        <v>125</v>
      </c>
      <c r="C19" s="11" t="s">
        <v>73</v>
      </c>
      <c r="D19" s="11" t="s">
        <v>74</v>
      </c>
      <c r="E19" s="11" t="s">
        <v>75</v>
      </c>
      <c r="F19" s="12" t="n">
        <f aca="false">SUMIFS(СПРОС_ДЕНЬ_ЧАС_МЕНЮ!$I$11:$I$3265,СПРОС_ДЕНЬ_ЧАС_МЕНЮ!$A$11:$A$3265,A19,СПРОС_ДЕНЬ_ЧАС_МЕНЮ!$B$11:$B$3265,B19,СПРОС_ДЕНЬ_ЧАС_МЕНЮ!$F$11:$F$3265,C19)</f>
        <v>0</v>
      </c>
      <c r="G19" s="12" t="n">
        <f aca="false">ПАРАМЕТРЫ!D20</f>
        <v>25</v>
      </c>
      <c r="H19" s="12" t="n">
        <f aca="false">SUMIFS(ШТАТ_ПО_ЧАСАМ!$C$11:$C$115,ШТАТ_ПО_ЧАСАМ!$A$11:$A$115,A19,ШТАТ_ПО_ЧАСАМ!$B$11:$B$115,B19)</f>
        <v>1</v>
      </c>
      <c r="I19" s="12" t="n">
        <f aca="false">MIN(H19,1)*ПАРАМЕТРЫ!E20</f>
        <v>10</v>
      </c>
      <c r="J19" s="12" t="n">
        <f aca="false">MIN(G19,I19)</f>
        <v>10</v>
      </c>
      <c r="K19" s="12" t="n">
        <f aca="false">MAX(F19-J19,0)</f>
        <v>0</v>
      </c>
      <c r="L19" s="12" t="n">
        <f aca="false">IF(J19=0,0,F19/J19)</f>
        <v>0</v>
      </c>
      <c r="M19" s="11" t="str">
        <f aca="false">IF(K19&gt;0,"BLOCKED","PASS")</f>
        <v>PASS</v>
      </c>
      <c r="N19" s="11" t="s">
        <v>233</v>
      </c>
    </row>
    <row r="20" customFormat="false" ht="23.85" hidden="false" customHeight="false" outlineLevel="0" collapsed="false">
      <c r="A20" s="11" t="s">
        <v>107</v>
      </c>
      <c r="B20" s="11" t="s">
        <v>125</v>
      </c>
      <c r="C20" s="11" t="s">
        <v>77</v>
      </c>
      <c r="D20" s="11" t="s">
        <v>78</v>
      </c>
      <c r="E20" s="11" t="s">
        <v>79</v>
      </c>
      <c r="F20" s="12" t="n">
        <f aca="false">SUMIFS(СПРОС_ДЕНЬ_ЧАС_МЕНЮ!$I$11:$I$3265,СПРОС_ДЕНЬ_ЧАС_МЕНЮ!$A$11:$A$3265,A20,СПРОС_ДЕНЬ_ЧАС_МЕНЮ!$B$11:$B$3265,B20,СПРОС_ДЕНЬ_ЧАС_МЕНЮ!$F$11:$F$3265,C20)</f>
        <v>0.66</v>
      </c>
      <c r="G20" s="12" t="n">
        <f aca="false">ПАРАМЕТРЫ!D21</f>
        <v>20</v>
      </c>
      <c r="H20" s="12" t="n">
        <f aca="false">SUMIFS(ШТАТ_ПО_ЧАСАМ!$C$11:$C$115,ШТАТ_ПО_ЧАСАМ!$A$11:$A$115,A20,ШТАТ_ПО_ЧАСАМ!$B$11:$B$115,B20)</f>
        <v>1</v>
      </c>
      <c r="I20" s="12" t="n">
        <f aca="false">MIN(H20,1)*ПАРАМЕТРЫ!E21</f>
        <v>10</v>
      </c>
      <c r="J20" s="12" t="n">
        <f aca="false">MIN(G20,I20)</f>
        <v>10</v>
      </c>
      <c r="K20" s="12" t="n">
        <f aca="false">MAX(F20-J20,0)</f>
        <v>0</v>
      </c>
      <c r="L20" s="12" t="n">
        <f aca="false">IF(J20=0,0,F20/J20)</f>
        <v>0.066</v>
      </c>
      <c r="M20" s="11" t="str">
        <f aca="false">IF(K20&gt;0,"BLOCKED","PASS")</f>
        <v>PASS</v>
      </c>
      <c r="N20" s="11" t="s">
        <v>233</v>
      </c>
    </row>
    <row r="21" customFormat="false" ht="23.85" hidden="false" customHeight="false" outlineLevel="0" collapsed="false">
      <c r="A21" s="11" t="s">
        <v>107</v>
      </c>
      <c r="B21" s="11" t="s">
        <v>125</v>
      </c>
      <c r="C21" s="11" t="s">
        <v>80</v>
      </c>
      <c r="D21" s="11" t="s">
        <v>81</v>
      </c>
      <c r="E21" s="11" t="s">
        <v>82</v>
      </c>
      <c r="F21" s="12" t="n">
        <f aca="false">SUMIFS(СПРОС_ДЕНЬ_ЧАС_МЕНЮ!$I$11:$I$3265,СПРОС_ДЕНЬ_ЧАС_МЕНЮ!$A$11:$A$3265,A21,СПРОС_ДЕНЬ_ЧАС_МЕНЮ!$B$11:$B$3265,B21,СПРОС_ДЕНЬ_ЧАС_МЕНЮ!$F$11:$F$3265,C21)</f>
        <v>0</v>
      </c>
      <c r="G21" s="12" t="n">
        <f aca="false">ПАРАМЕТРЫ!D22</f>
        <v>16</v>
      </c>
      <c r="H21" s="12" t="n">
        <f aca="false">SUMIFS(ШТАТ_ПО_ЧАСАМ!$C$11:$C$115,ШТАТ_ПО_ЧАСАМ!$A$11:$A$115,A21,ШТАТ_ПО_ЧАСАМ!$B$11:$B$115,B21)</f>
        <v>1</v>
      </c>
      <c r="I21" s="12" t="n">
        <f aca="false">MIN(H21,1)*ПАРАМЕТРЫ!E22</f>
        <v>16</v>
      </c>
      <c r="J21" s="12" t="n">
        <f aca="false">MIN(G21,I21)</f>
        <v>16</v>
      </c>
      <c r="K21" s="12" t="n">
        <f aca="false">MAX(F21-J21,0)</f>
        <v>0</v>
      </c>
      <c r="L21" s="12" t="n">
        <f aca="false">IF(J21=0,0,F21/J21)</f>
        <v>0</v>
      </c>
      <c r="M21" s="11" t="str">
        <f aca="false">IF(K21&gt;0,"BLOCKED","PASS")</f>
        <v>PASS</v>
      </c>
      <c r="N21" s="11" t="s">
        <v>233</v>
      </c>
    </row>
    <row r="22" customFormat="false" ht="23.85" hidden="false" customHeight="false" outlineLevel="0" collapsed="false">
      <c r="A22" s="11" t="s">
        <v>107</v>
      </c>
      <c r="B22" s="11" t="s">
        <v>125</v>
      </c>
      <c r="C22" s="11" t="s">
        <v>83</v>
      </c>
      <c r="D22" s="11" t="s">
        <v>84</v>
      </c>
      <c r="E22" s="11" t="s">
        <v>83</v>
      </c>
      <c r="F22" s="12" t="n">
        <f aca="false">SUMIFS(СПРОС_ДЕНЬ_ЧАС_МЕНЮ!$I$11:$I$3265,СПРОС_ДЕНЬ_ЧАС_МЕНЮ!$A$11:$A$3265,A22,СПРОС_ДЕНЬ_ЧАС_МЕНЮ!$B$11:$B$3265,B22,СПРОС_ДЕНЬ_ЧАС_МЕНЮ!$F$11:$F$3265,C22)</f>
        <v>0</v>
      </c>
      <c r="G22" s="12" t="n">
        <f aca="false">ПАРАМЕТРЫ!D23</f>
        <v>21</v>
      </c>
      <c r="H22" s="12" t="n">
        <f aca="false">SUMIFS(ШТАТ_ПО_ЧАСАМ!$C$11:$C$115,ШТАТ_ПО_ЧАСАМ!$A$11:$A$115,A22,ШТАТ_ПО_ЧАСАМ!$B$11:$B$115,B22)</f>
        <v>1</v>
      </c>
      <c r="I22" s="12" t="n">
        <f aca="false">MIN(H22,1)*ПАРАМЕТРЫ!E23</f>
        <v>21</v>
      </c>
      <c r="J22" s="12" t="n">
        <f aca="false">MIN(G22,I22)</f>
        <v>21</v>
      </c>
      <c r="K22" s="12" t="n">
        <f aca="false">MAX(F22-J22,0)</f>
        <v>0</v>
      </c>
      <c r="L22" s="12" t="n">
        <f aca="false">IF(J22=0,0,F22/J22)</f>
        <v>0</v>
      </c>
      <c r="M22" s="11" t="str">
        <f aca="false">IF(K22&gt;0,"BLOCKED","PASS")</f>
        <v>PASS</v>
      </c>
      <c r="N22" s="11" t="s">
        <v>233</v>
      </c>
    </row>
    <row r="23" customFormat="false" ht="23.85" hidden="false" customHeight="false" outlineLevel="0" collapsed="false">
      <c r="A23" s="11" t="s">
        <v>107</v>
      </c>
      <c r="B23" s="11" t="s">
        <v>125</v>
      </c>
      <c r="C23" s="11" t="s">
        <v>85</v>
      </c>
      <c r="D23" s="11" t="s">
        <v>86</v>
      </c>
      <c r="E23" s="11" t="s">
        <v>87</v>
      </c>
      <c r="F23" s="12" t="n">
        <f aca="false">SUMIFS(СПРОС_ДЕНЬ_ЧАС_МЕНЮ!$I$11:$I$3265,СПРОС_ДЕНЬ_ЧАС_МЕНЮ!$A$11:$A$3265,A23,СПРОС_ДЕНЬ_ЧАС_МЕНЮ!$B$11:$B$3265,B23,СПРОС_ДЕНЬ_ЧАС_МЕНЮ!$F$11:$F$3265,C23)</f>
        <v>0</v>
      </c>
      <c r="G23" s="12" t="n">
        <f aca="false">ПАРАМЕТРЫ!D24</f>
        <v>12</v>
      </c>
      <c r="H23" s="12" t="n">
        <f aca="false">SUMIFS(ШТАТ_ПО_ЧАСАМ!$C$11:$C$115,ШТАТ_ПО_ЧАСАМ!$A$11:$A$115,A23,ШТАТ_ПО_ЧАСАМ!$B$11:$B$115,B23)</f>
        <v>1</v>
      </c>
      <c r="I23" s="12" t="n">
        <f aca="false">MIN(H23,1)*ПАРАМЕТРЫ!E24</f>
        <v>12</v>
      </c>
      <c r="J23" s="12" t="n">
        <f aca="false">MIN(G23,I23)</f>
        <v>12</v>
      </c>
      <c r="K23" s="12" t="n">
        <f aca="false">MAX(F23-J23,0)</f>
        <v>0</v>
      </c>
      <c r="L23" s="12" t="n">
        <f aca="false">IF(J23=0,0,F23/J23)</f>
        <v>0</v>
      </c>
      <c r="M23" s="11" t="str">
        <f aca="false">IF(K23&gt;0,"BLOCKED","PASS")</f>
        <v>PASS</v>
      </c>
      <c r="N23" s="11" t="s">
        <v>233</v>
      </c>
    </row>
    <row r="24" customFormat="false" ht="23.85" hidden="false" customHeight="false" outlineLevel="0" collapsed="false">
      <c r="A24" s="11" t="s">
        <v>107</v>
      </c>
      <c r="B24" s="11" t="s">
        <v>125</v>
      </c>
      <c r="C24" s="11" t="s">
        <v>88</v>
      </c>
      <c r="D24" s="11" t="s">
        <v>89</v>
      </c>
      <c r="E24" s="11" t="s">
        <v>90</v>
      </c>
      <c r="F24" s="12" t="n">
        <f aca="false">SUMIFS(СПРОС_ДЕНЬ_ЧАС_МЕНЮ!$I$11:$I$3265,СПРОС_ДЕНЬ_ЧАС_МЕНЮ!$A$11:$A$3265,A24,СПРОС_ДЕНЬ_ЧАС_МЕНЮ!$B$11:$B$3265,B24,СПРОС_ДЕНЬ_ЧАС_МЕНЮ!$F$11:$F$3265,C24)</f>
        <v>7.7</v>
      </c>
      <c r="G24" s="12" t="n">
        <f aca="false">ПАРАМЕТРЫ!D25</f>
        <v>15</v>
      </c>
      <c r="H24" s="12" t="n">
        <f aca="false">SUMIFS(ШТАТ_ПО_ЧАСАМ!$C$11:$C$115,ШТАТ_ПО_ЧАСАМ!$A$11:$A$115,A24,ШТАТ_ПО_ЧАСАМ!$B$11:$B$115,B24)</f>
        <v>1</v>
      </c>
      <c r="I24" s="12" t="n">
        <f aca="false">MIN(H24,1)*ПАРАМЕТРЫ!E25</f>
        <v>10</v>
      </c>
      <c r="J24" s="12" t="n">
        <f aca="false">MIN(G24,I24)</f>
        <v>10</v>
      </c>
      <c r="K24" s="12" t="n">
        <f aca="false">MAX(F24-J24,0)</f>
        <v>0</v>
      </c>
      <c r="L24" s="12" t="n">
        <f aca="false">IF(J24=0,0,F24/J24)</f>
        <v>0.77</v>
      </c>
      <c r="M24" s="11" t="str">
        <f aca="false">IF(K24&gt;0,"BLOCKED","PASS")</f>
        <v>PASS</v>
      </c>
      <c r="N24" s="11" t="s">
        <v>233</v>
      </c>
    </row>
    <row r="25" customFormat="false" ht="23.85" hidden="false" customHeight="false" outlineLevel="0" collapsed="false">
      <c r="A25" s="11" t="s">
        <v>107</v>
      </c>
      <c r="B25" s="11" t="s">
        <v>125</v>
      </c>
      <c r="C25" s="11" t="s">
        <v>91</v>
      </c>
      <c r="D25" s="11" t="s">
        <v>92</v>
      </c>
      <c r="E25" s="11" t="s">
        <v>79</v>
      </c>
      <c r="F25" s="12" t="n">
        <f aca="false">SUMIFS(СПРОС_ДЕНЬ_ЧАС_МЕНЮ!$I$11:$I$3265,СПРОС_ДЕНЬ_ЧАС_МЕНЮ!$A$11:$A$3265,A25,СПРОС_ДЕНЬ_ЧАС_МЕНЮ!$B$11:$B$3265,B25,СПРОС_ДЕНЬ_ЧАС_МЕНЮ!$F$11:$F$3265,C25)</f>
        <v>0.33</v>
      </c>
      <c r="G25" s="12" t="n">
        <f aca="false">ПАРАМЕТРЫ!D26</f>
        <v>20</v>
      </c>
      <c r="H25" s="12" t="n">
        <f aca="false">SUMIFS(ШТАТ_ПО_ЧАСАМ!$C$11:$C$115,ШТАТ_ПО_ЧАСАМ!$A$11:$A$115,A25,ШТАТ_ПО_ЧАСАМ!$B$11:$B$115,B25)</f>
        <v>1</v>
      </c>
      <c r="I25" s="12" t="n">
        <f aca="false">MIN(H25,1)*ПАРАМЕТРЫ!E26</f>
        <v>10</v>
      </c>
      <c r="J25" s="12" t="n">
        <f aca="false">MIN(G25,I25)</f>
        <v>10</v>
      </c>
      <c r="K25" s="12" t="n">
        <f aca="false">MAX(F25-J25,0)</f>
        <v>0</v>
      </c>
      <c r="L25" s="12" t="n">
        <f aca="false">IF(J25=0,0,F25/J25)</f>
        <v>0.033</v>
      </c>
      <c r="M25" s="11" t="str">
        <f aca="false">IF(K25&gt;0,"BLOCKED","PASS")</f>
        <v>PASS</v>
      </c>
      <c r="N25" s="11" t="s">
        <v>233</v>
      </c>
    </row>
    <row r="26" customFormat="false" ht="15" hidden="false" customHeight="false" outlineLevel="0" collapsed="false">
      <c r="A26" s="11" t="s">
        <v>107</v>
      </c>
      <c r="B26" s="11" t="s">
        <v>125</v>
      </c>
      <c r="C26" s="11" t="s">
        <v>93</v>
      </c>
      <c r="D26" s="11" t="s">
        <v>234</v>
      </c>
      <c r="E26" s="11" t="s">
        <v>95</v>
      </c>
      <c r="F26" s="12" t="n">
        <f aca="false">SUMIFS(СПРОС_ДЕНЬ_ЧАС_МЕНЮ!$I$11:$I$3265,СПРОС_ДЕНЬ_ЧАС_МЕНЮ!$A$11:$A$3265,A26,СПРОС_ДЕНЬ_ЧАС_МЕНЮ!$B$11:$B$3265,B26)</f>
        <v>8.69</v>
      </c>
      <c r="G26" s="12" t="n">
        <f aca="false">ПАРАМЕТРЫ!D27</f>
        <v>60</v>
      </c>
      <c r="H26" s="12" t="n">
        <f aca="false">SUMIFS(ШТАТ_ПО_ЧАСАМ!$C$11:$C$115,ШТАТ_ПО_ЧАСАМ!$A$11:$A$115,A26,ШТАТ_ПО_ЧАСАМ!$B$11:$B$115,B26)</f>
        <v>1</v>
      </c>
      <c r="I26" s="12" t="n">
        <f aca="false">H26*ПАРАМЕТРЫ!E27</f>
        <v>16.6666666666667</v>
      </c>
      <c r="J26" s="12" t="n">
        <f aca="false">MIN(G26,I26)</f>
        <v>16.6666666666667</v>
      </c>
      <c r="K26" s="12" t="n">
        <f aca="false">MAX(F26-J26,0)</f>
        <v>0</v>
      </c>
      <c r="L26" s="12" t="n">
        <f aca="false">IF(J26=0,0,F26/J26)</f>
        <v>0.5214</v>
      </c>
      <c r="M26" s="11" t="str">
        <f aca="false">IF(K26&gt;0,"BLOCKED","PASS")</f>
        <v>PASS</v>
      </c>
      <c r="N26" s="11" t="s">
        <v>235</v>
      </c>
    </row>
    <row r="27" customFormat="false" ht="23.85" hidden="false" customHeight="false" outlineLevel="0" collapsed="false">
      <c r="A27" s="11" t="s">
        <v>107</v>
      </c>
      <c r="B27" s="11" t="s">
        <v>126</v>
      </c>
      <c r="C27" s="11" t="s">
        <v>73</v>
      </c>
      <c r="D27" s="11" t="s">
        <v>74</v>
      </c>
      <c r="E27" s="11" t="s">
        <v>75</v>
      </c>
      <c r="F27" s="12" t="n">
        <f aca="false">SUMIFS(СПРОС_ДЕНЬ_ЧАС_МЕНЮ!$I$11:$I$3265,СПРОС_ДЕНЬ_ЧАС_МЕНЮ!$A$11:$A$3265,A27,СПРОС_ДЕНЬ_ЧАС_МЕНЮ!$B$11:$B$3265,B27,СПРОС_ДЕНЬ_ЧАС_МЕНЮ!$F$11:$F$3265,C27)</f>
        <v>0</v>
      </c>
      <c r="G27" s="12" t="n">
        <f aca="false">ПАРАМЕТРЫ!D20</f>
        <v>25</v>
      </c>
      <c r="H27" s="12" t="n">
        <f aca="false">SUMIFS(ШТАТ_ПО_ЧАСАМ!$C$11:$C$115,ШТАТ_ПО_ЧАСАМ!$A$11:$A$115,A27,ШТАТ_ПО_ЧАСАМ!$B$11:$B$115,B27)</f>
        <v>1</v>
      </c>
      <c r="I27" s="12" t="n">
        <f aca="false">MIN(H27,1)*ПАРАМЕТРЫ!E20</f>
        <v>10</v>
      </c>
      <c r="J27" s="12" t="n">
        <f aca="false">MIN(G27,I27)</f>
        <v>10</v>
      </c>
      <c r="K27" s="12" t="n">
        <f aca="false">MAX(F27-J27,0)</f>
        <v>0</v>
      </c>
      <c r="L27" s="12" t="n">
        <f aca="false">IF(J27=0,0,F27/J27)</f>
        <v>0</v>
      </c>
      <c r="M27" s="11" t="str">
        <f aca="false">IF(K27&gt;0,"BLOCKED","PASS")</f>
        <v>PASS</v>
      </c>
      <c r="N27" s="11" t="s">
        <v>233</v>
      </c>
    </row>
    <row r="28" customFormat="false" ht="23.85" hidden="false" customHeight="false" outlineLevel="0" collapsed="false">
      <c r="A28" s="11" t="s">
        <v>107</v>
      </c>
      <c r="B28" s="11" t="s">
        <v>126</v>
      </c>
      <c r="C28" s="11" t="s">
        <v>77</v>
      </c>
      <c r="D28" s="11" t="s">
        <v>78</v>
      </c>
      <c r="E28" s="11" t="s">
        <v>79</v>
      </c>
      <c r="F28" s="12" t="n">
        <f aca="false">SUMIFS(СПРОС_ДЕНЬ_ЧАС_МЕНЮ!$I$11:$I$3265,СПРОС_ДЕНЬ_ЧАС_МЕНЮ!$A$11:$A$3265,A28,СПРОС_ДЕНЬ_ЧАС_МЕНЮ!$B$11:$B$3265,B28,СПРОС_ДЕНЬ_ЧАС_МЕНЮ!$F$11:$F$3265,C28)</f>
        <v>0.792</v>
      </c>
      <c r="G28" s="12" t="n">
        <f aca="false">ПАРАМЕТРЫ!D21</f>
        <v>20</v>
      </c>
      <c r="H28" s="12" t="n">
        <f aca="false">SUMIFS(ШТАТ_ПО_ЧАСАМ!$C$11:$C$115,ШТАТ_ПО_ЧАСАМ!$A$11:$A$115,A28,ШТАТ_ПО_ЧАСАМ!$B$11:$B$115,B28)</f>
        <v>1</v>
      </c>
      <c r="I28" s="12" t="n">
        <f aca="false">MIN(H28,1)*ПАРАМЕТРЫ!E21</f>
        <v>10</v>
      </c>
      <c r="J28" s="12" t="n">
        <f aca="false">MIN(G28,I28)</f>
        <v>10</v>
      </c>
      <c r="K28" s="12" t="n">
        <f aca="false">MAX(F28-J28,0)</f>
        <v>0</v>
      </c>
      <c r="L28" s="12" t="n">
        <f aca="false">IF(J28=0,0,F28/J28)</f>
        <v>0.0792</v>
      </c>
      <c r="M28" s="11" t="str">
        <f aca="false">IF(K28&gt;0,"BLOCKED","PASS")</f>
        <v>PASS</v>
      </c>
      <c r="N28" s="11" t="s">
        <v>233</v>
      </c>
    </row>
    <row r="29" customFormat="false" ht="23.85" hidden="false" customHeight="false" outlineLevel="0" collapsed="false">
      <c r="A29" s="11" t="s">
        <v>107</v>
      </c>
      <c r="B29" s="11" t="s">
        <v>126</v>
      </c>
      <c r="C29" s="11" t="s">
        <v>80</v>
      </c>
      <c r="D29" s="11" t="s">
        <v>81</v>
      </c>
      <c r="E29" s="11" t="s">
        <v>82</v>
      </c>
      <c r="F29" s="12" t="n">
        <f aca="false">SUMIFS(СПРОС_ДЕНЬ_ЧАС_МЕНЮ!$I$11:$I$3265,СПРОС_ДЕНЬ_ЧАС_МЕНЮ!$A$11:$A$3265,A29,СПРОС_ДЕНЬ_ЧАС_МЕНЮ!$B$11:$B$3265,B29,СПРОС_ДЕНЬ_ЧАС_МЕНЮ!$F$11:$F$3265,C29)</f>
        <v>0</v>
      </c>
      <c r="G29" s="12" t="n">
        <f aca="false">ПАРАМЕТРЫ!D22</f>
        <v>16</v>
      </c>
      <c r="H29" s="12" t="n">
        <f aca="false">SUMIFS(ШТАТ_ПО_ЧАСАМ!$C$11:$C$115,ШТАТ_ПО_ЧАСАМ!$A$11:$A$115,A29,ШТАТ_ПО_ЧАСАМ!$B$11:$B$115,B29)</f>
        <v>1</v>
      </c>
      <c r="I29" s="12" t="n">
        <f aca="false">MIN(H29,1)*ПАРАМЕТРЫ!E22</f>
        <v>16</v>
      </c>
      <c r="J29" s="12" t="n">
        <f aca="false">MIN(G29,I29)</f>
        <v>16</v>
      </c>
      <c r="K29" s="12" t="n">
        <f aca="false">MAX(F29-J29,0)</f>
        <v>0</v>
      </c>
      <c r="L29" s="12" t="n">
        <f aca="false">IF(J29=0,0,F29/J29)</f>
        <v>0</v>
      </c>
      <c r="M29" s="11" t="str">
        <f aca="false">IF(K29&gt;0,"BLOCKED","PASS")</f>
        <v>PASS</v>
      </c>
      <c r="N29" s="11" t="s">
        <v>233</v>
      </c>
    </row>
    <row r="30" customFormat="false" ht="23.85" hidden="false" customHeight="false" outlineLevel="0" collapsed="false">
      <c r="A30" s="11" t="s">
        <v>107</v>
      </c>
      <c r="B30" s="11" t="s">
        <v>126</v>
      </c>
      <c r="C30" s="11" t="s">
        <v>83</v>
      </c>
      <c r="D30" s="11" t="s">
        <v>84</v>
      </c>
      <c r="E30" s="11" t="s">
        <v>83</v>
      </c>
      <c r="F30" s="12" t="n">
        <f aca="false">SUMIFS(СПРОС_ДЕНЬ_ЧАС_МЕНЮ!$I$11:$I$3265,СПРОС_ДЕНЬ_ЧАС_МЕНЮ!$A$11:$A$3265,A30,СПРОС_ДЕНЬ_ЧАС_МЕНЮ!$B$11:$B$3265,B30,СПРОС_ДЕНЬ_ЧАС_МЕНЮ!$F$11:$F$3265,C30)</f>
        <v>0</v>
      </c>
      <c r="G30" s="12" t="n">
        <f aca="false">ПАРАМЕТРЫ!D23</f>
        <v>21</v>
      </c>
      <c r="H30" s="12" t="n">
        <f aca="false">SUMIFS(ШТАТ_ПО_ЧАСАМ!$C$11:$C$115,ШТАТ_ПО_ЧАСАМ!$A$11:$A$115,A30,ШТАТ_ПО_ЧАСАМ!$B$11:$B$115,B30)</f>
        <v>1</v>
      </c>
      <c r="I30" s="12" t="n">
        <f aca="false">MIN(H30,1)*ПАРАМЕТРЫ!E23</f>
        <v>21</v>
      </c>
      <c r="J30" s="12" t="n">
        <f aca="false">MIN(G30,I30)</f>
        <v>21</v>
      </c>
      <c r="K30" s="12" t="n">
        <f aca="false">MAX(F30-J30,0)</f>
        <v>0</v>
      </c>
      <c r="L30" s="12" t="n">
        <f aca="false">IF(J30=0,0,F30/J30)</f>
        <v>0</v>
      </c>
      <c r="M30" s="11" t="str">
        <f aca="false">IF(K30&gt;0,"BLOCKED","PASS")</f>
        <v>PASS</v>
      </c>
      <c r="N30" s="11" t="s">
        <v>233</v>
      </c>
    </row>
    <row r="31" customFormat="false" ht="23.85" hidden="false" customHeight="false" outlineLevel="0" collapsed="false">
      <c r="A31" s="11" t="s">
        <v>107</v>
      </c>
      <c r="B31" s="11" t="s">
        <v>126</v>
      </c>
      <c r="C31" s="11" t="s">
        <v>85</v>
      </c>
      <c r="D31" s="11" t="s">
        <v>86</v>
      </c>
      <c r="E31" s="11" t="s">
        <v>87</v>
      </c>
      <c r="F31" s="12" t="n">
        <f aca="false">SUMIFS(СПРОС_ДЕНЬ_ЧАС_МЕНЮ!$I$11:$I$3265,СПРОС_ДЕНЬ_ЧАС_МЕНЮ!$A$11:$A$3265,A31,СПРОС_ДЕНЬ_ЧАС_МЕНЮ!$B$11:$B$3265,B31,СПРОС_ДЕНЬ_ЧАС_МЕНЮ!$F$11:$F$3265,C31)</f>
        <v>0</v>
      </c>
      <c r="G31" s="12" t="n">
        <f aca="false">ПАРАМЕТРЫ!D24</f>
        <v>12</v>
      </c>
      <c r="H31" s="12" t="n">
        <f aca="false">SUMIFS(ШТАТ_ПО_ЧАСАМ!$C$11:$C$115,ШТАТ_ПО_ЧАСАМ!$A$11:$A$115,A31,ШТАТ_ПО_ЧАСАМ!$B$11:$B$115,B31)</f>
        <v>1</v>
      </c>
      <c r="I31" s="12" t="n">
        <f aca="false">MIN(H31,1)*ПАРАМЕТРЫ!E24</f>
        <v>12</v>
      </c>
      <c r="J31" s="12" t="n">
        <f aca="false">MIN(G31,I31)</f>
        <v>12</v>
      </c>
      <c r="K31" s="12" t="n">
        <f aca="false">MAX(F31-J31,0)</f>
        <v>0</v>
      </c>
      <c r="L31" s="12" t="n">
        <f aca="false">IF(J31=0,0,F31/J31)</f>
        <v>0</v>
      </c>
      <c r="M31" s="11" t="str">
        <f aca="false">IF(K31&gt;0,"BLOCKED","PASS")</f>
        <v>PASS</v>
      </c>
      <c r="N31" s="11" t="s">
        <v>233</v>
      </c>
    </row>
    <row r="32" customFormat="false" ht="23.85" hidden="false" customHeight="false" outlineLevel="0" collapsed="false">
      <c r="A32" s="11" t="s">
        <v>107</v>
      </c>
      <c r="B32" s="11" t="s">
        <v>126</v>
      </c>
      <c r="C32" s="11" t="s">
        <v>88</v>
      </c>
      <c r="D32" s="11" t="s">
        <v>89</v>
      </c>
      <c r="E32" s="11" t="s">
        <v>90</v>
      </c>
      <c r="F32" s="12" t="n">
        <f aca="false">SUMIFS(СПРОС_ДЕНЬ_ЧАС_МЕНЮ!$I$11:$I$3265,СПРОС_ДЕНЬ_ЧАС_МЕНЮ!$A$11:$A$3265,A32,СПРОС_ДЕНЬ_ЧАС_МЕНЮ!$B$11:$B$3265,B32,СПРОС_ДЕНЬ_ЧАС_МЕНЮ!$F$11:$F$3265,C32)</f>
        <v>6.6</v>
      </c>
      <c r="G32" s="12" t="n">
        <f aca="false">ПАРАМЕТРЫ!D25</f>
        <v>15</v>
      </c>
      <c r="H32" s="12" t="n">
        <f aca="false">SUMIFS(ШТАТ_ПО_ЧАСАМ!$C$11:$C$115,ШТАТ_ПО_ЧАСАМ!$A$11:$A$115,A32,ШТАТ_ПО_ЧАСАМ!$B$11:$B$115,B32)</f>
        <v>1</v>
      </c>
      <c r="I32" s="12" t="n">
        <f aca="false">MIN(H32,1)*ПАРАМЕТРЫ!E25</f>
        <v>10</v>
      </c>
      <c r="J32" s="12" t="n">
        <f aca="false">MIN(G32,I32)</f>
        <v>10</v>
      </c>
      <c r="K32" s="12" t="n">
        <f aca="false">MAX(F32-J32,0)</f>
        <v>0</v>
      </c>
      <c r="L32" s="12" t="n">
        <f aca="false">IF(J32=0,0,F32/J32)</f>
        <v>0.66</v>
      </c>
      <c r="M32" s="11" t="str">
        <f aca="false">IF(K32&gt;0,"BLOCKED","PASS")</f>
        <v>PASS</v>
      </c>
      <c r="N32" s="11" t="s">
        <v>233</v>
      </c>
    </row>
    <row r="33" customFormat="false" ht="23.85" hidden="false" customHeight="false" outlineLevel="0" collapsed="false">
      <c r="A33" s="11" t="s">
        <v>107</v>
      </c>
      <c r="B33" s="11" t="s">
        <v>126</v>
      </c>
      <c r="C33" s="11" t="s">
        <v>91</v>
      </c>
      <c r="D33" s="11" t="s">
        <v>92</v>
      </c>
      <c r="E33" s="11" t="s">
        <v>79</v>
      </c>
      <c r="F33" s="12" t="n">
        <f aca="false">SUMIFS(СПРОС_ДЕНЬ_ЧАС_МЕНЮ!$I$11:$I$3265,СПРОС_ДЕНЬ_ЧАС_МЕНЮ!$A$11:$A$3265,A33,СПРОС_ДЕНЬ_ЧАС_МЕНЮ!$B$11:$B$3265,B33,СПРОС_ДЕНЬ_ЧАС_МЕНЮ!$F$11:$F$3265,C33)</f>
        <v>0.396</v>
      </c>
      <c r="G33" s="12" t="n">
        <f aca="false">ПАРАМЕТРЫ!D26</f>
        <v>20</v>
      </c>
      <c r="H33" s="12" t="n">
        <f aca="false">SUMIFS(ШТАТ_ПО_ЧАСАМ!$C$11:$C$115,ШТАТ_ПО_ЧАСАМ!$A$11:$A$115,A33,ШТАТ_ПО_ЧАСАМ!$B$11:$B$115,B33)</f>
        <v>1</v>
      </c>
      <c r="I33" s="12" t="n">
        <f aca="false">MIN(H33,1)*ПАРАМЕТРЫ!E26</f>
        <v>10</v>
      </c>
      <c r="J33" s="12" t="n">
        <f aca="false">MIN(G33,I33)</f>
        <v>10</v>
      </c>
      <c r="K33" s="12" t="n">
        <f aca="false">MAX(F33-J33,0)</f>
        <v>0</v>
      </c>
      <c r="L33" s="12" t="n">
        <f aca="false">IF(J33=0,0,F33/J33)</f>
        <v>0.0396</v>
      </c>
      <c r="M33" s="11" t="str">
        <f aca="false">IF(K33&gt;0,"BLOCKED","PASS")</f>
        <v>PASS</v>
      </c>
      <c r="N33" s="11" t="s">
        <v>233</v>
      </c>
    </row>
    <row r="34" customFormat="false" ht="15" hidden="false" customHeight="false" outlineLevel="0" collapsed="false">
      <c r="A34" s="11" t="s">
        <v>107</v>
      </c>
      <c r="B34" s="11" t="s">
        <v>126</v>
      </c>
      <c r="C34" s="11" t="s">
        <v>93</v>
      </c>
      <c r="D34" s="11" t="s">
        <v>234</v>
      </c>
      <c r="E34" s="11" t="s">
        <v>95</v>
      </c>
      <c r="F34" s="12" t="n">
        <f aca="false">SUMIFS(СПРОС_ДЕНЬ_ЧАС_МЕНЮ!$I$11:$I$3265,СПРОС_ДЕНЬ_ЧАС_МЕНЮ!$A$11:$A$3265,A34,СПРОС_ДЕНЬ_ЧАС_МЕНЮ!$B$11:$B$3265,B34)</f>
        <v>7.788</v>
      </c>
      <c r="G34" s="12" t="n">
        <f aca="false">ПАРАМЕТРЫ!D27</f>
        <v>60</v>
      </c>
      <c r="H34" s="12" t="n">
        <f aca="false">SUMIFS(ШТАТ_ПО_ЧАСАМ!$C$11:$C$115,ШТАТ_ПО_ЧАСАМ!$A$11:$A$115,A34,ШТАТ_ПО_ЧАСАМ!$B$11:$B$115,B34)</f>
        <v>1</v>
      </c>
      <c r="I34" s="12" t="n">
        <f aca="false">H34*ПАРАМЕТРЫ!E27</f>
        <v>16.6666666666667</v>
      </c>
      <c r="J34" s="12" t="n">
        <f aca="false">MIN(G34,I34)</f>
        <v>16.6666666666667</v>
      </c>
      <c r="K34" s="12" t="n">
        <f aca="false">MAX(F34-J34,0)</f>
        <v>0</v>
      </c>
      <c r="L34" s="12" t="n">
        <f aca="false">IF(J34=0,0,F34/J34)</f>
        <v>0.46728</v>
      </c>
      <c r="M34" s="11" t="str">
        <f aca="false">IF(K34&gt;0,"BLOCKED","PASS")</f>
        <v>PASS</v>
      </c>
      <c r="N34" s="11" t="s">
        <v>235</v>
      </c>
    </row>
    <row r="35" customFormat="false" ht="23.85" hidden="false" customHeight="false" outlineLevel="0" collapsed="false">
      <c r="A35" s="11" t="s">
        <v>107</v>
      </c>
      <c r="B35" s="11" t="s">
        <v>127</v>
      </c>
      <c r="C35" s="11" t="s">
        <v>73</v>
      </c>
      <c r="D35" s="11" t="s">
        <v>74</v>
      </c>
      <c r="E35" s="11" t="s">
        <v>75</v>
      </c>
      <c r="F35" s="12" t="n">
        <f aca="false">SUMIFS(СПРОС_ДЕНЬ_ЧАС_МЕНЮ!$I$11:$I$3265,СПРОС_ДЕНЬ_ЧАС_МЕНЮ!$A$11:$A$3265,A35,СПРОС_ДЕНЬ_ЧАС_МЕНЮ!$B$11:$B$3265,B35,СПРОС_ДЕНЬ_ЧАС_МЕНЮ!$F$11:$F$3265,C35)</f>
        <v>0</v>
      </c>
      <c r="G35" s="12" t="n">
        <f aca="false">ПАРАМЕТРЫ!D20</f>
        <v>25</v>
      </c>
      <c r="H35" s="12" t="n">
        <f aca="false">SUMIFS(ШТАТ_ПО_ЧАСАМ!$C$11:$C$115,ШТАТ_ПО_ЧАСАМ!$A$11:$A$115,A35,ШТАТ_ПО_ЧАСАМ!$B$11:$B$115,B35)</f>
        <v>1</v>
      </c>
      <c r="I35" s="12" t="n">
        <f aca="false">MIN(H35,1)*ПАРАМЕТРЫ!E20</f>
        <v>10</v>
      </c>
      <c r="J35" s="12" t="n">
        <f aca="false">MIN(G35,I35)</f>
        <v>10</v>
      </c>
      <c r="K35" s="12" t="n">
        <f aca="false">MAX(F35-J35,0)</f>
        <v>0</v>
      </c>
      <c r="L35" s="12" t="n">
        <f aca="false">IF(J35=0,0,F35/J35)</f>
        <v>0</v>
      </c>
      <c r="M35" s="11" t="str">
        <f aca="false">IF(K35&gt;0,"BLOCKED","PASS")</f>
        <v>PASS</v>
      </c>
      <c r="N35" s="11" t="s">
        <v>233</v>
      </c>
    </row>
    <row r="36" customFormat="false" ht="23.85" hidden="false" customHeight="false" outlineLevel="0" collapsed="false">
      <c r="A36" s="11" t="s">
        <v>107</v>
      </c>
      <c r="B36" s="11" t="s">
        <v>127</v>
      </c>
      <c r="C36" s="11" t="s">
        <v>77</v>
      </c>
      <c r="D36" s="11" t="s">
        <v>78</v>
      </c>
      <c r="E36" s="11" t="s">
        <v>79</v>
      </c>
      <c r="F36" s="12" t="n">
        <f aca="false">SUMIFS(СПРОС_ДЕНЬ_ЧАС_МЕНЮ!$I$11:$I$3265,СПРОС_ДЕНЬ_ЧАС_МЕНЮ!$A$11:$A$3265,A36,СПРОС_ДЕНЬ_ЧАС_МЕНЮ!$B$11:$B$3265,B36,СПРОС_ДЕНЬ_ЧАС_МЕНЮ!$F$11:$F$3265,C36)</f>
        <v>0.792</v>
      </c>
      <c r="G36" s="12" t="n">
        <f aca="false">ПАРАМЕТРЫ!D21</f>
        <v>20</v>
      </c>
      <c r="H36" s="12" t="n">
        <f aca="false">SUMIFS(ШТАТ_ПО_ЧАСАМ!$C$11:$C$115,ШТАТ_ПО_ЧАСАМ!$A$11:$A$115,A36,ШТАТ_ПО_ЧАСАМ!$B$11:$B$115,B36)</f>
        <v>1</v>
      </c>
      <c r="I36" s="12" t="n">
        <f aca="false">MIN(H36,1)*ПАРАМЕТРЫ!E21</f>
        <v>10</v>
      </c>
      <c r="J36" s="12" t="n">
        <f aca="false">MIN(G36,I36)</f>
        <v>10</v>
      </c>
      <c r="K36" s="12" t="n">
        <f aca="false">MAX(F36-J36,0)</f>
        <v>0</v>
      </c>
      <c r="L36" s="12" t="n">
        <f aca="false">IF(J36=0,0,F36/J36)</f>
        <v>0.0792</v>
      </c>
      <c r="M36" s="11" t="str">
        <f aca="false">IF(K36&gt;0,"BLOCKED","PASS")</f>
        <v>PASS</v>
      </c>
      <c r="N36" s="11" t="s">
        <v>233</v>
      </c>
    </row>
    <row r="37" customFormat="false" ht="23.85" hidden="false" customHeight="false" outlineLevel="0" collapsed="false">
      <c r="A37" s="11" t="s">
        <v>107</v>
      </c>
      <c r="B37" s="11" t="s">
        <v>127</v>
      </c>
      <c r="C37" s="11" t="s">
        <v>80</v>
      </c>
      <c r="D37" s="11" t="s">
        <v>81</v>
      </c>
      <c r="E37" s="11" t="s">
        <v>82</v>
      </c>
      <c r="F37" s="12" t="n">
        <f aca="false">SUMIFS(СПРОС_ДЕНЬ_ЧАС_МЕНЮ!$I$11:$I$3265,СПРОС_ДЕНЬ_ЧАС_МЕНЮ!$A$11:$A$3265,A37,СПРОС_ДЕНЬ_ЧАС_МЕНЮ!$B$11:$B$3265,B37,СПРОС_ДЕНЬ_ЧАС_МЕНЮ!$F$11:$F$3265,C37)</f>
        <v>0</v>
      </c>
      <c r="G37" s="12" t="n">
        <f aca="false">ПАРАМЕТРЫ!D22</f>
        <v>16</v>
      </c>
      <c r="H37" s="12" t="n">
        <f aca="false">SUMIFS(ШТАТ_ПО_ЧАСАМ!$C$11:$C$115,ШТАТ_ПО_ЧАСАМ!$A$11:$A$115,A37,ШТАТ_ПО_ЧАСАМ!$B$11:$B$115,B37)</f>
        <v>1</v>
      </c>
      <c r="I37" s="12" t="n">
        <f aca="false">MIN(H37,1)*ПАРАМЕТРЫ!E22</f>
        <v>16</v>
      </c>
      <c r="J37" s="12" t="n">
        <f aca="false">MIN(G37,I37)</f>
        <v>16</v>
      </c>
      <c r="K37" s="12" t="n">
        <f aca="false">MAX(F37-J37,0)</f>
        <v>0</v>
      </c>
      <c r="L37" s="12" t="n">
        <f aca="false">IF(J37=0,0,F37/J37)</f>
        <v>0</v>
      </c>
      <c r="M37" s="11" t="str">
        <f aca="false">IF(K37&gt;0,"BLOCKED","PASS")</f>
        <v>PASS</v>
      </c>
      <c r="N37" s="11" t="s">
        <v>233</v>
      </c>
    </row>
    <row r="38" customFormat="false" ht="23.85" hidden="false" customHeight="false" outlineLevel="0" collapsed="false">
      <c r="A38" s="11" t="s">
        <v>107</v>
      </c>
      <c r="B38" s="11" t="s">
        <v>127</v>
      </c>
      <c r="C38" s="11" t="s">
        <v>83</v>
      </c>
      <c r="D38" s="11" t="s">
        <v>84</v>
      </c>
      <c r="E38" s="11" t="s">
        <v>83</v>
      </c>
      <c r="F38" s="12" t="n">
        <f aca="false">SUMIFS(СПРОС_ДЕНЬ_ЧАС_МЕНЮ!$I$11:$I$3265,СПРОС_ДЕНЬ_ЧАС_МЕНЮ!$A$11:$A$3265,A38,СПРОС_ДЕНЬ_ЧАС_МЕНЮ!$B$11:$B$3265,B38,СПРОС_ДЕНЬ_ЧАС_МЕНЮ!$F$11:$F$3265,C38)</f>
        <v>0</v>
      </c>
      <c r="G38" s="12" t="n">
        <f aca="false">ПАРАМЕТРЫ!D23</f>
        <v>21</v>
      </c>
      <c r="H38" s="12" t="n">
        <f aca="false">SUMIFS(ШТАТ_ПО_ЧАСАМ!$C$11:$C$115,ШТАТ_ПО_ЧАСАМ!$A$11:$A$115,A38,ШТАТ_ПО_ЧАСАМ!$B$11:$B$115,B38)</f>
        <v>1</v>
      </c>
      <c r="I38" s="12" t="n">
        <f aca="false">MIN(H38,1)*ПАРАМЕТРЫ!E23</f>
        <v>21</v>
      </c>
      <c r="J38" s="12" t="n">
        <f aca="false">MIN(G38,I38)</f>
        <v>21</v>
      </c>
      <c r="K38" s="12" t="n">
        <f aca="false">MAX(F38-J38,0)</f>
        <v>0</v>
      </c>
      <c r="L38" s="12" t="n">
        <f aca="false">IF(J38=0,0,F38/J38)</f>
        <v>0</v>
      </c>
      <c r="M38" s="11" t="str">
        <f aca="false">IF(K38&gt;0,"BLOCKED","PASS")</f>
        <v>PASS</v>
      </c>
      <c r="N38" s="11" t="s">
        <v>233</v>
      </c>
    </row>
    <row r="39" customFormat="false" ht="23.85" hidden="false" customHeight="false" outlineLevel="0" collapsed="false">
      <c r="A39" s="11" t="s">
        <v>107</v>
      </c>
      <c r="B39" s="11" t="s">
        <v>127</v>
      </c>
      <c r="C39" s="11" t="s">
        <v>85</v>
      </c>
      <c r="D39" s="11" t="s">
        <v>86</v>
      </c>
      <c r="E39" s="11" t="s">
        <v>87</v>
      </c>
      <c r="F39" s="12" t="n">
        <f aca="false">SUMIFS(СПРОС_ДЕНЬ_ЧАС_МЕНЮ!$I$11:$I$3265,СПРОС_ДЕНЬ_ЧАС_МЕНЮ!$A$11:$A$3265,A39,СПРОС_ДЕНЬ_ЧАС_МЕНЮ!$B$11:$B$3265,B39,СПРОС_ДЕНЬ_ЧАС_МЕНЮ!$F$11:$F$3265,C39)</f>
        <v>0</v>
      </c>
      <c r="G39" s="12" t="n">
        <f aca="false">ПАРАМЕТРЫ!D24</f>
        <v>12</v>
      </c>
      <c r="H39" s="12" t="n">
        <f aca="false">SUMIFS(ШТАТ_ПО_ЧАСАМ!$C$11:$C$115,ШТАТ_ПО_ЧАСАМ!$A$11:$A$115,A39,ШТАТ_ПО_ЧАСАМ!$B$11:$B$115,B39)</f>
        <v>1</v>
      </c>
      <c r="I39" s="12" t="n">
        <f aca="false">MIN(H39,1)*ПАРАМЕТРЫ!E24</f>
        <v>12</v>
      </c>
      <c r="J39" s="12" t="n">
        <f aca="false">MIN(G39,I39)</f>
        <v>12</v>
      </c>
      <c r="K39" s="12" t="n">
        <f aca="false">MAX(F39-J39,0)</f>
        <v>0</v>
      </c>
      <c r="L39" s="12" t="n">
        <f aca="false">IF(J39=0,0,F39/J39)</f>
        <v>0</v>
      </c>
      <c r="M39" s="11" t="str">
        <f aca="false">IF(K39&gt;0,"BLOCKED","PASS")</f>
        <v>PASS</v>
      </c>
      <c r="N39" s="11" t="s">
        <v>233</v>
      </c>
    </row>
    <row r="40" customFormat="false" ht="23.85" hidden="false" customHeight="false" outlineLevel="0" collapsed="false">
      <c r="A40" s="11" t="s">
        <v>107</v>
      </c>
      <c r="B40" s="11" t="s">
        <v>127</v>
      </c>
      <c r="C40" s="11" t="s">
        <v>88</v>
      </c>
      <c r="D40" s="11" t="s">
        <v>89</v>
      </c>
      <c r="E40" s="11" t="s">
        <v>90</v>
      </c>
      <c r="F40" s="12" t="n">
        <f aca="false">SUMIFS(СПРОС_ДЕНЬ_ЧАС_МЕНЮ!$I$11:$I$3265,СПРОС_ДЕНЬ_ЧАС_МЕНЮ!$A$11:$A$3265,A40,СПРОС_ДЕНЬ_ЧАС_МЕНЮ!$B$11:$B$3265,B40,СПРОС_ДЕНЬ_ЧАС_МЕНЮ!$F$11:$F$3265,C40)</f>
        <v>3.3</v>
      </c>
      <c r="G40" s="12" t="n">
        <f aca="false">ПАРАМЕТРЫ!D25</f>
        <v>15</v>
      </c>
      <c r="H40" s="12" t="n">
        <f aca="false">SUMIFS(ШТАТ_ПО_ЧАСАМ!$C$11:$C$115,ШТАТ_ПО_ЧАСАМ!$A$11:$A$115,A40,ШТАТ_ПО_ЧАСАМ!$B$11:$B$115,B40)</f>
        <v>1</v>
      </c>
      <c r="I40" s="12" t="n">
        <f aca="false">MIN(H40,1)*ПАРАМЕТРЫ!E25</f>
        <v>10</v>
      </c>
      <c r="J40" s="12" t="n">
        <f aca="false">MIN(G40,I40)</f>
        <v>10</v>
      </c>
      <c r="K40" s="12" t="n">
        <f aca="false">MAX(F40-J40,0)</f>
        <v>0</v>
      </c>
      <c r="L40" s="12" t="n">
        <f aca="false">IF(J40=0,0,F40/J40)</f>
        <v>0.33</v>
      </c>
      <c r="M40" s="11" t="str">
        <f aca="false">IF(K40&gt;0,"BLOCKED","PASS")</f>
        <v>PASS</v>
      </c>
      <c r="N40" s="11" t="s">
        <v>233</v>
      </c>
    </row>
    <row r="41" customFormat="false" ht="23.85" hidden="false" customHeight="false" outlineLevel="0" collapsed="false">
      <c r="A41" s="11" t="s">
        <v>107</v>
      </c>
      <c r="B41" s="11" t="s">
        <v>127</v>
      </c>
      <c r="C41" s="11" t="s">
        <v>91</v>
      </c>
      <c r="D41" s="11" t="s">
        <v>92</v>
      </c>
      <c r="E41" s="11" t="s">
        <v>79</v>
      </c>
      <c r="F41" s="12" t="n">
        <f aca="false">SUMIFS(СПРОС_ДЕНЬ_ЧАС_МЕНЮ!$I$11:$I$3265,СПРОС_ДЕНЬ_ЧАС_МЕНЮ!$A$11:$A$3265,A41,СПРОС_ДЕНЬ_ЧАС_МЕНЮ!$B$11:$B$3265,B41,СПРОС_ДЕНЬ_ЧАС_МЕНЮ!$F$11:$F$3265,C41)</f>
        <v>0.396</v>
      </c>
      <c r="G41" s="12" t="n">
        <f aca="false">ПАРАМЕТРЫ!D26</f>
        <v>20</v>
      </c>
      <c r="H41" s="12" t="n">
        <f aca="false">SUMIFS(ШТАТ_ПО_ЧАСАМ!$C$11:$C$115,ШТАТ_ПО_ЧАСАМ!$A$11:$A$115,A41,ШТАТ_ПО_ЧАСАМ!$B$11:$B$115,B41)</f>
        <v>1</v>
      </c>
      <c r="I41" s="12" t="n">
        <f aca="false">MIN(H41,1)*ПАРАМЕТРЫ!E26</f>
        <v>10</v>
      </c>
      <c r="J41" s="12" t="n">
        <f aca="false">MIN(G41,I41)</f>
        <v>10</v>
      </c>
      <c r="K41" s="12" t="n">
        <f aca="false">MAX(F41-J41,0)</f>
        <v>0</v>
      </c>
      <c r="L41" s="12" t="n">
        <f aca="false">IF(J41=0,0,F41/J41)</f>
        <v>0.0396</v>
      </c>
      <c r="M41" s="11" t="str">
        <f aca="false">IF(K41&gt;0,"BLOCKED","PASS")</f>
        <v>PASS</v>
      </c>
      <c r="N41" s="11" t="s">
        <v>233</v>
      </c>
    </row>
    <row r="42" customFormat="false" ht="15" hidden="false" customHeight="false" outlineLevel="0" collapsed="false">
      <c r="A42" s="11" t="s">
        <v>107</v>
      </c>
      <c r="B42" s="11" t="s">
        <v>127</v>
      </c>
      <c r="C42" s="11" t="s">
        <v>93</v>
      </c>
      <c r="D42" s="11" t="s">
        <v>234</v>
      </c>
      <c r="E42" s="11" t="s">
        <v>95</v>
      </c>
      <c r="F42" s="12" t="n">
        <f aca="false">SUMIFS(СПРОС_ДЕНЬ_ЧАС_МЕНЮ!$I$11:$I$3265,СПРОС_ДЕНЬ_ЧАС_МЕНЮ!$A$11:$A$3265,A42,СПРОС_ДЕНЬ_ЧАС_МЕНЮ!$B$11:$B$3265,B42)</f>
        <v>4.488</v>
      </c>
      <c r="G42" s="12" t="n">
        <f aca="false">ПАРАМЕТРЫ!D27</f>
        <v>60</v>
      </c>
      <c r="H42" s="12" t="n">
        <f aca="false">SUMIFS(ШТАТ_ПО_ЧАСАМ!$C$11:$C$115,ШТАТ_ПО_ЧАСАМ!$A$11:$A$115,A42,ШТАТ_ПО_ЧАСАМ!$B$11:$B$115,B42)</f>
        <v>1</v>
      </c>
      <c r="I42" s="12" t="n">
        <f aca="false">H42*ПАРАМЕТРЫ!E27</f>
        <v>16.6666666666667</v>
      </c>
      <c r="J42" s="12" t="n">
        <f aca="false">MIN(G42,I42)</f>
        <v>16.6666666666667</v>
      </c>
      <c r="K42" s="12" t="n">
        <f aca="false">MAX(F42-J42,0)</f>
        <v>0</v>
      </c>
      <c r="L42" s="12" t="n">
        <f aca="false">IF(J42=0,0,F42/J42)</f>
        <v>0.26928</v>
      </c>
      <c r="M42" s="11" t="str">
        <f aca="false">IF(K42&gt;0,"BLOCKED","PASS")</f>
        <v>PASS</v>
      </c>
      <c r="N42" s="11" t="s">
        <v>235</v>
      </c>
    </row>
    <row r="43" customFormat="false" ht="23.85" hidden="false" customHeight="false" outlineLevel="0" collapsed="false">
      <c r="A43" s="11" t="s">
        <v>107</v>
      </c>
      <c r="B43" s="11" t="s">
        <v>128</v>
      </c>
      <c r="C43" s="11" t="s">
        <v>73</v>
      </c>
      <c r="D43" s="11" t="s">
        <v>74</v>
      </c>
      <c r="E43" s="11" t="s">
        <v>75</v>
      </c>
      <c r="F43" s="12" t="n">
        <f aca="false">SUMIFS(СПРОС_ДЕНЬ_ЧАС_МЕНЮ!$I$11:$I$3265,СПРОС_ДЕНЬ_ЧАС_МЕНЮ!$A$11:$A$3265,A43,СПРОС_ДЕНЬ_ЧАС_МЕНЮ!$B$11:$B$3265,B43,СПРОС_ДЕНЬ_ЧАС_МЕНЮ!$F$11:$F$3265,C43)</f>
        <v>1.4652</v>
      </c>
      <c r="G43" s="12" t="n">
        <f aca="false">ПАРАМЕТРЫ!D20</f>
        <v>25</v>
      </c>
      <c r="H43" s="12" t="n">
        <f aca="false">SUMIFS(ШТАТ_ПО_ЧАСАМ!$C$11:$C$115,ШТАТ_ПО_ЧАСАМ!$A$11:$A$115,A43,ШТАТ_ПО_ЧАСАМ!$B$11:$B$115,B43)</f>
        <v>2</v>
      </c>
      <c r="I43" s="12" t="n">
        <f aca="false">MIN(H43,1)*ПАРАМЕТРЫ!E20</f>
        <v>10</v>
      </c>
      <c r="J43" s="12" t="n">
        <f aca="false">MIN(G43,I43)</f>
        <v>10</v>
      </c>
      <c r="K43" s="12" t="n">
        <f aca="false">MAX(F43-J43,0)</f>
        <v>0</v>
      </c>
      <c r="L43" s="12" t="n">
        <f aca="false">IF(J43=0,0,F43/J43)</f>
        <v>0.14652</v>
      </c>
      <c r="M43" s="11" t="str">
        <f aca="false">IF(K43&gt;0,"BLOCKED","PASS")</f>
        <v>PASS</v>
      </c>
      <c r="N43" s="11" t="s">
        <v>233</v>
      </c>
    </row>
    <row r="44" customFormat="false" ht="23.85" hidden="false" customHeight="false" outlineLevel="0" collapsed="false">
      <c r="A44" s="11" t="s">
        <v>107</v>
      </c>
      <c r="B44" s="11" t="s">
        <v>128</v>
      </c>
      <c r="C44" s="11" t="s">
        <v>77</v>
      </c>
      <c r="D44" s="11" t="s">
        <v>78</v>
      </c>
      <c r="E44" s="11" t="s">
        <v>79</v>
      </c>
      <c r="F44" s="12" t="n">
        <f aca="false">SUMIFS(СПРОС_ДЕНЬ_ЧАС_МЕНЮ!$I$11:$I$3265,СПРОС_ДЕНЬ_ЧАС_МЕНЮ!$A$11:$A$3265,A44,СПРОС_ДЕНЬ_ЧАС_МЕНЮ!$B$11:$B$3265,B44,СПРОС_ДЕНЬ_ЧАС_МЕНЮ!$F$11:$F$3265,C44)</f>
        <v>1.51272</v>
      </c>
      <c r="G44" s="12" t="n">
        <f aca="false">ПАРАМЕТРЫ!D21</f>
        <v>20</v>
      </c>
      <c r="H44" s="12" t="n">
        <f aca="false">SUMIFS(ШТАТ_ПО_ЧАСАМ!$C$11:$C$115,ШТАТ_ПО_ЧАСАМ!$A$11:$A$115,A44,ШТАТ_ПО_ЧАСАМ!$B$11:$B$115,B44)</f>
        <v>2</v>
      </c>
      <c r="I44" s="12" t="n">
        <f aca="false">MIN(H44,1)*ПАРАМЕТРЫ!E21</f>
        <v>10</v>
      </c>
      <c r="J44" s="12" t="n">
        <f aca="false">MIN(G44,I44)</f>
        <v>10</v>
      </c>
      <c r="K44" s="12" t="n">
        <f aca="false">MAX(F44-J44,0)</f>
        <v>0</v>
      </c>
      <c r="L44" s="12" t="n">
        <f aca="false">IF(J44=0,0,F44/J44)</f>
        <v>0.151272</v>
      </c>
      <c r="M44" s="11" t="str">
        <f aca="false">IF(K44&gt;0,"BLOCKED","PASS")</f>
        <v>PASS</v>
      </c>
      <c r="N44" s="11" t="s">
        <v>233</v>
      </c>
    </row>
    <row r="45" customFormat="false" ht="23.85" hidden="false" customHeight="false" outlineLevel="0" collapsed="false">
      <c r="A45" s="11" t="s">
        <v>107</v>
      </c>
      <c r="B45" s="11" t="s">
        <v>128</v>
      </c>
      <c r="C45" s="11" t="s">
        <v>80</v>
      </c>
      <c r="D45" s="11" t="s">
        <v>81</v>
      </c>
      <c r="E45" s="11" t="s">
        <v>82</v>
      </c>
      <c r="F45" s="12" t="n">
        <f aca="false">SUMIFS(СПРОС_ДЕНЬ_ЧАС_МЕНЮ!$I$11:$I$3265,СПРОС_ДЕНЬ_ЧАС_МЕНЮ!$A$11:$A$3265,A45,СПРОС_ДЕНЬ_ЧАС_МЕНЮ!$B$11:$B$3265,B45,СПРОС_ДЕНЬ_ЧАС_МЕНЮ!$F$11:$F$3265,C45)</f>
        <v>2.266</v>
      </c>
      <c r="G45" s="12" t="n">
        <f aca="false">ПАРАМЕТРЫ!D22</f>
        <v>16</v>
      </c>
      <c r="H45" s="12" t="n">
        <f aca="false">SUMIFS(ШТАТ_ПО_ЧАСАМ!$C$11:$C$115,ШТАТ_ПО_ЧАСАМ!$A$11:$A$115,A45,ШТАТ_ПО_ЧАСАМ!$B$11:$B$115,B45)</f>
        <v>2</v>
      </c>
      <c r="I45" s="12" t="n">
        <f aca="false">MIN(H45,1)*ПАРАМЕТРЫ!E22</f>
        <v>16</v>
      </c>
      <c r="J45" s="12" t="n">
        <f aca="false">MIN(G45,I45)</f>
        <v>16</v>
      </c>
      <c r="K45" s="12" t="n">
        <f aca="false">MAX(F45-J45,0)</f>
        <v>0</v>
      </c>
      <c r="L45" s="12" t="n">
        <f aca="false">IF(J45=0,0,F45/J45)</f>
        <v>0.141625</v>
      </c>
      <c r="M45" s="11" t="str">
        <f aca="false">IF(K45&gt;0,"BLOCKED","PASS")</f>
        <v>PASS</v>
      </c>
      <c r="N45" s="11" t="s">
        <v>233</v>
      </c>
    </row>
    <row r="46" customFormat="false" ht="23.85" hidden="false" customHeight="false" outlineLevel="0" collapsed="false">
      <c r="A46" s="11" t="s">
        <v>107</v>
      </c>
      <c r="B46" s="11" t="s">
        <v>128</v>
      </c>
      <c r="C46" s="11" t="s">
        <v>83</v>
      </c>
      <c r="D46" s="11" t="s">
        <v>84</v>
      </c>
      <c r="E46" s="11" t="s">
        <v>83</v>
      </c>
      <c r="F46" s="12" t="n">
        <f aca="false">SUMIFS(СПРОС_ДЕНЬ_ЧАС_МЕНЮ!$I$11:$I$3265,СПРОС_ДЕНЬ_ЧАС_МЕНЮ!$A$11:$A$3265,A46,СПРОС_ДЕНЬ_ЧАС_МЕНЮ!$B$11:$B$3265,B46,СПРОС_ДЕНЬ_ЧАС_МЕНЮ!$F$11:$F$3265,C46)</f>
        <v>6.16</v>
      </c>
      <c r="G46" s="12" t="n">
        <f aca="false">ПАРАМЕТРЫ!D23</f>
        <v>21</v>
      </c>
      <c r="H46" s="12" t="n">
        <f aca="false">SUMIFS(ШТАТ_ПО_ЧАСАМ!$C$11:$C$115,ШТАТ_ПО_ЧАСАМ!$A$11:$A$115,A46,ШТАТ_ПО_ЧАСАМ!$B$11:$B$115,B46)</f>
        <v>2</v>
      </c>
      <c r="I46" s="12" t="n">
        <f aca="false">MIN(H46,1)*ПАРАМЕТРЫ!E23</f>
        <v>21</v>
      </c>
      <c r="J46" s="12" t="n">
        <f aca="false">MIN(G46,I46)</f>
        <v>21</v>
      </c>
      <c r="K46" s="12" t="n">
        <f aca="false">MAX(F46-J46,0)</f>
        <v>0</v>
      </c>
      <c r="L46" s="12" t="n">
        <f aca="false">IF(J46=0,0,F46/J46)</f>
        <v>0.293333333333333</v>
      </c>
      <c r="M46" s="11" t="str">
        <f aca="false">IF(K46&gt;0,"BLOCKED","PASS")</f>
        <v>PASS</v>
      </c>
      <c r="N46" s="11" t="s">
        <v>233</v>
      </c>
    </row>
    <row r="47" customFormat="false" ht="23.85" hidden="false" customHeight="false" outlineLevel="0" collapsed="false">
      <c r="A47" s="11" t="s">
        <v>107</v>
      </c>
      <c r="B47" s="11" t="s">
        <v>128</v>
      </c>
      <c r="C47" s="11" t="s">
        <v>85</v>
      </c>
      <c r="D47" s="11" t="s">
        <v>86</v>
      </c>
      <c r="E47" s="11" t="s">
        <v>87</v>
      </c>
      <c r="F47" s="12" t="n">
        <f aca="false">SUMIFS(СПРОС_ДЕНЬ_ЧАС_МЕНЮ!$I$11:$I$3265,СПРОС_ДЕНЬ_ЧАС_МЕНЮ!$A$11:$A$3265,A47,СПРОС_ДЕНЬ_ЧАС_МЕНЮ!$B$11:$B$3265,B47,СПРОС_ДЕНЬ_ЧАС_МЕНЮ!$F$11:$F$3265,C47)</f>
        <v>2.476188</v>
      </c>
      <c r="G47" s="12" t="n">
        <f aca="false">ПАРАМЕТРЫ!D24</f>
        <v>12</v>
      </c>
      <c r="H47" s="12" t="n">
        <f aca="false">SUMIFS(ШТАТ_ПО_ЧАСАМ!$C$11:$C$115,ШТАТ_ПО_ЧАСАМ!$A$11:$A$115,A47,ШТАТ_ПО_ЧАСАМ!$B$11:$B$115,B47)</f>
        <v>2</v>
      </c>
      <c r="I47" s="12" t="n">
        <f aca="false">MIN(H47,1)*ПАРАМЕТРЫ!E24</f>
        <v>12</v>
      </c>
      <c r="J47" s="12" t="n">
        <f aca="false">MIN(G47,I47)</f>
        <v>12</v>
      </c>
      <c r="K47" s="12" t="n">
        <f aca="false">MAX(F47-J47,0)</f>
        <v>0</v>
      </c>
      <c r="L47" s="12" t="n">
        <f aca="false">IF(J47=0,0,F47/J47)</f>
        <v>0.206349</v>
      </c>
      <c r="M47" s="11" t="str">
        <f aca="false">IF(K47&gt;0,"BLOCKED","PASS")</f>
        <v>PASS</v>
      </c>
      <c r="N47" s="11" t="s">
        <v>233</v>
      </c>
    </row>
    <row r="48" customFormat="false" ht="23.85" hidden="false" customHeight="false" outlineLevel="0" collapsed="false">
      <c r="A48" s="11" t="s">
        <v>107</v>
      </c>
      <c r="B48" s="11" t="s">
        <v>128</v>
      </c>
      <c r="C48" s="11" t="s">
        <v>88</v>
      </c>
      <c r="D48" s="11" t="s">
        <v>89</v>
      </c>
      <c r="E48" s="11" t="s">
        <v>90</v>
      </c>
      <c r="F48" s="12" t="n">
        <f aca="false">SUMIFS(СПРОС_ДЕНЬ_ЧАС_МЕНЮ!$I$11:$I$3265,СПРОС_ДЕНЬ_ЧАС_МЕНЮ!$A$11:$A$3265,A48,СПРОС_ДЕНЬ_ЧАС_МЕНЮ!$B$11:$B$3265,B48,СПРОС_ДЕНЬ_ЧАС_МЕНЮ!$F$11:$F$3265,C48)</f>
        <v>1.1</v>
      </c>
      <c r="G48" s="12" t="n">
        <f aca="false">ПАРАМЕТРЫ!D25</f>
        <v>15</v>
      </c>
      <c r="H48" s="12" t="n">
        <f aca="false">SUMIFS(ШТАТ_ПО_ЧАСАМ!$C$11:$C$115,ШТАТ_ПО_ЧАСАМ!$A$11:$A$115,A48,ШТАТ_ПО_ЧАСАМ!$B$11:$B$115,B48)</f>
        <v>2</v>
      </c>
      <c r="I48" s="12" t="n">
        <f aca="false">MIN(H48,1)*ПАРАМЕТРЫ!E25</f>
        <v>10</v>
      </c>
      <c r="J48" s="12" t="n">
        <f aca="false">MIN(G48,I48)</f>
        <v>10</v>
      </c>
      <c r="K48" s="12" t="n">
        <f aca="false">MAX(F48-J48,0)</f>
        <v>0</v>
      </c>
      <c r="L48" s="12" t="n">
        <f aca="false">IF(J48=0,0,F48/J48)</f>
        <v>0.11</v>
      </c>
      <c r="M48" s="11" t="str">
        <f aca="false">IF(K48&gt;0,"BLOCKED","PASS")</f>
        <v>PASS</v>
      </c>
      <c r="N48" s="11" t="s">
        <v>233</v>
      </c>
    </row>
    <row r="49" customFormat="false" ht="23.85" hidden="false" customHeight="false" outlineLevel="0" collapsed="false">
      <c r="A49" s="11" t="s">
        <v>107</v>
      </c>
      <c r="B49" s="11" t="s">
        <v>128</v>
      </c>
      <c r="C49" s="11" t="s">
        <v>91</v>
      </c>
      <c r="D49" s="11" t="s">
        <v>92</v>
      </c>
      <c r="E49" s="11" t="s">
        <v>79</v>
      </c>
      <c r="F49" s="12" t="n">
        <f aca="false">SUMIFS(СПРОС_ДЕНЬ_ЧАС_МЕНЮ!$I$11:$I$3265,СПРОС_ДЕНЬ_ЧАС_МЕНЮ!$A$11:$A$3265,A49,СПРОС_ДЕНЬ_ЧАС_МЕНЮ!$B$11:$B$3265,B49,СПРОС_ДЕНЬ_ЧАС_МЕНЮ!$F$11:$F$3265,C49)</f>
        <v>0.6864</v>
      </c>
      <c r="G49" s="12" t="n">
        <f aca="false">ПАРАМЕТРЫ!D26</f>
        <v>20</v>
      </c>
      <c r="H49" s="12" t="n">
        <f aca="false">SUMIFS(ШТАТ_ПО_ЧАСАМ!$C$11:$C$115,ШТАТ_ПО_ЧАСАМ!$A$11:$A$115,A49,ШТАТ_ПО_ЧАСАМ!$B$11:$B$115,B49)</f>
        <v>2</v>
      </c>
      <c r="I49" s="12" t="n">
        <f aca="false">MIN(H49,1)*ПАРАМЕТРЫ!E26</f>
        <v>10</v>
      </c>
      <c r="J49" s="12" t="n">
        <f aca="false">MIN(G49,I49)</f>
        <v>10</v>
      </c>
      <c r="K49" s="12" t="n">
        <f aca="false">MAX(F49-J49,0)</f>
        <v>0</v>
      </c>
      <c r="L49" s="12" t="n">
        <f aca="false">IF(J49=0,0,F49/J49)</f>
        <v>0.06864</v>
      </c>
      <c r="M49" s="11" t="str">
        <f aca="false">IF(K49&gt;0,"BLOCKED","PASS")</f>
        <v>PASS</v>
      </c>
      <c r="N49" s="11" t="s">
        <v>233</v>
      </c>
    </row>
    <row r="50" customFormat="false" ht="15" hidden="false" customHeight="false" outlineLevel="0" collapsed="false">
      <c r="A50" s="11" t="s">
        <v>107</v>
      </c>
      <c r="B50" s="11" t="s">
        <v>128</v>
      </c>
      <c r="C50" s="11" t="s">
        <v>93</v>
      </c>
      <c r="D50" s="11" t="s">
        <v>234</v>
      </c>
      <c r="E50" s="11" t="s">
        <v>95</v>
      </c>
      <c r="F50" s="12" t="n">
        <f aca="false">SUMIFS(СПРОС_ДЕНЬ_ЧАС_МЕНЮ!$I$11:$I$3265,СПРОС_ДЕНЬ_ЧАС_МЕНЮ!$A$11:$A$3265,A50,СПРОС_ДЕНЬ_ЧАС_МЕНЮ!$B$11:$B$3265,B50)</f>
        <v>15.666508</v>
      </c>
      <c r="G50" s="12" t="n">
        <f aca="false">ПАРАМЕТРЫ!D27</f>
        <v>60</v>
      </c>
      <c r="H50" s="12" t="n">
        <f aca="false">SUMIFS(ШТАТ_ПО_ЧАСАМ!$C$11:$C$115,ШТАТ_ПО_ЧАСАМ!$A$11:$A$115,A50,ШТАТ_ПО_ЧАСАМ!$B$11:$B$115,B50)</f>
        <v>2</v>
      </c>
      <c r="I50" s="12" t="n">
        <f aca="false">H50*ПАРАМЕТРЫ!E27</f>
        <v>33.3333333333333</v>
      </c>
      <c r="J50" s="12" t="n">
        <f aca="false">MIN(G50,I50)</f>
        <v>33.3333333333333</v>
      </c>
      <c r="K50" s="12" t="n">
        <f aca="false">MAX(F50-J50,0)</f>
        <v>0</v>
      </c>
      <c r="L50" s="12" t="n">
        <f aca="false">IF(J50=0,0,F50/J50)</f>
        <v>0.46999524</v>
      </c>
      <c r="M50" s="11" t="str">
        <f aca="false">IF(K50&gt;0,"BLOCKED","PASS")</f>
        <v>PASS</v>
      </c>
      <c r="N50" s="11" t="s">
        <v>235</v>
      </c>
    </row>
    <row r="51" customFormat="false" ht="23.85" hidden="false" customHeight="false" outlineLevel="0" collapsed="false">
      <c r="A51" s="11" t="s">
        <v>107</v>
      </c>
      <c r="B51" s="11" t="s">
        <v>129</v>
      </c>
      <c r="C51" s="11" t="s">
        <v>73</v>
      </c>
      <c r="D51" s="11" t="s">
        <v>74</v>
      </c>
      <c r="E51" s="11" t="s">
        <v>75</v>
      </c>
      <c r="F51" s="12" t="n">
        <f aca="false">SUMIFS(СПРОС_ДЕНЬ_ЧАС_МЕНЮ!$I$11:$I$3265,СПРОС_ДЕНЬ_ЧАС_МЕНЮ!$A$11:$A$3265,A51,СПРОС_ДЕНЬ_ЧАС_МЕНЮ!$B$11:$B$3265,B51,СПРОС_ДЕНЬ_ЧАС_МЕНЮ!$F$11:$F$3265,C51)</f>
        <v>4.3582</v>
      </c>
      <c r="G51" s="12" t="n">
        <f aca="false">ПАРАМЕТРЫ!D20</f>
        <v>25</v>
      </c>
      <c r="H51" s="12" t="n">
        <f aca="false">SUMIFS(ШТАТ_ПО_ЧАСАМ!$C$11:$C$115,ШТАТ_ПО_ЧАСАМ!$A$11:$A$115,A51,ШТАТ_ПО_ЧАСАМ!$B$11:$B$115,B51)</f>
        <v>2</v>
      </c>
      <c r="I51" s="12" t="n">
        <f aca="false">MIN(H51,1)*ПАРАМЕТРЫ!E20</f>
        <v>10</v>
      </c>
      <c r="J51" s="12" t="n">
        <f aca="false">MIN(G51,I51)</f>
        <v>10</v>
      </c>
      <c r="K51" s="12" t="n">
        <f aca="false">MAX(F51-J51,0)</f>
        <v>0</v>
      </c>
      <c r="L51" s="12" t="n">
        <f aca="false">IF(J51=0,0,F51/J51)</f>
        <v>0.43582</v>
      </c>
      <c r="M51" s="11" t="str">
        <f aca="false">IF(K51&gt;0,"BLOCKED","PASS")</f>
        <v>PASS</v>
      </c>
      <c r="N51" s="11" t="s">
        <v>233</v>
      </c>
    </row>
    <row r="52" customFormat="false" ht="23.85" hidden="false" customHeight="false" outlineLevel="0" collapsed="false">
      <c r="A52" s="11" t="s">
        <v>107</v>
      </c>
      <c r="B52" s="11" t="s">
        <v>129</v>
      </c>
      <c r="C52" s="11" t="s">
        <v>77</v>
      </c>
      <c r="D52" s="11" t="s">
        <v>78</v>
      </c>
      <c r="E52" s="11" t="s">
        <v>79</v>
      </c>
      <c r="F52" s="12" t="n">
        <f aca="false">SUMIFS(СПРОС_ДЕНЬ_ЧАС_МЕНЮ!$I$11:$I$3265,СПРОС_ДЕНЬ_ЧАС_МЕНЮ!$A$11:$A$3265,A52,СПРОС_ДЕНЬ_ЧАС_МЕНЮ!$B$11:$B$3265,B52,СПРОС_ДЕНЬ_ЧАС_МЕНЮ!$F$11:$F$3265,C52)</f>
        <v>2.48292</v>
      </c>
      <c r="G52" s="12" t="n">
        <f aca="false">ПАРАМЕТРЫ!D21</f>
        <v>20</v>
      </c>
      <c r="H52" s="12" t="n">
        <f aca="false">SUMIFS(ШТАТ_ПО_ЧАСАМ!$C$11:$C$115,ШТАТ_ПО_ЧАСАМ!$A$11:$A$115,A52,ШТАТ_ПО_ЧАСАМ!$B$11:$B$115,B52)</f>
        <v>2</v>
      </c>
      <c r="I52" s="12" t="n">
        <f aca="false">MIN(H52,1)*ПАРАМЕТРЫ!E21</f>
        <v>10</v>
      </c>
      <c r="J52" s="12" t="n">
        <f aca="false">MIN(G52,I52)</f>
        <v>10</v>
      </c>
      <c r="K52" s="12" t="n">
        <f aca="false">MAX(F52-J52,0)</f>
        <v>0</v>
      </c>
      <c r="L52" s="12" t="n">
        <f aca="false">IF(J52=0,0,F52/J52)</f>
        <v>0.248292</v>
      </c>
      <c r="M52" s="11" t="str">
        <f aca="false">IF(K52&gt;0,"BLOCKED","PASS")</f>
        <v>PASS</v>
      </c>
      <c r="N52" s="11" t="s">
        <v>233</v>
      </c>
    </row>
    <row r="53" customFormat="false" ht="23.85" hidden="false" customHeight="false" outlineLevel="0" collapsed="false">
      <c r="A53" s="11" t="s">
        <v>107</v>
      </c>
      <c r="B53" s="11" t="s">
        <v>129</v>
      </c>
      <c r="C53" s="11" t="s">
        <v>80</v>
      </c>
      <c r="D53" s="11" t="s">
        <v>81</v>
      </c>
      <c r="E53" s="11" t="s">
        <v>82</v>
      </c>
      <c r="F53" s="12" t="n">
        <f aca="false">SUMIFS(СПРОС_ДЕНЬ_ЧАС_МЕНЮ!$I$11:$I$3265,СПРОС_ДЕНЬ_ЧАС_МЕНЮ!$A$11:$A$3265,A53,СПРОС_ДЕНЬ_ЧАС_МЕНЮ!$B$11:$B$3265,B53,СПРОС_ДЕНЬ_ЧАС_МЕНЮ!$F$11:$F$3265,C53)</f>
        <v>7.293</v>
      </c>
      <c r="G53" s="12" t="n">
        <f aca="false">ПАРАМЕТРЫ!D22</f>
        <v>16</v>
      </c>
      <c r="H53" s="12" t="n">
        <f aca="false">SUMIFS(ШТАТ_ПО_ЧАСАМ!$C$11:$C$115,ШТАТ_ПО_ЧАСАМ!$A$11:$A$115,A53,ШТАТ_ПО_ЧАСАМ!$B$11:$B$115,B53)</f>
        <v>2</v>
      </c>
      <c r="I53" s="12" t="n">
        <f aca="false">MIN(H53,1)*ПАРАМЕТРЫ!E22</f>
        <v>16</v>
      </c>
      <c r="J53" s="12" t="n">
        <f aca="false">MIN(G53,I53)</f>
        <v>16</v>
      </c>
      <c r="K53" s="12" t="n">
        <f aca="false">MAX(F53-J53,0)</f>
        <v>0</v>
      </c>
      <c r="L53" s="12" t="n">
        <f aca="false">IF(J53=0,0,F53/J53)</f>
        <v>0.4558125</v>
      </c>
      <c r="M53" s="11" t="str">
        <f aca="false">IF(K53&gt;0,"BLOCKED","PASS")</f>
        <v>PASS</v>
      </c>
      <c r="N53" s="11" t="s">
        <v>233</v>
      </c>
    </row>
    <row r="54" customFormat="false" ht="23.85" hidden="false" customHeight="false" outlineLevel="0" collapsed="false">
      <c r="A54" s="11" t="s">
        <v>107</v>
      </c>
      <c r="B54" s="11" t="s">
        <v>129</v>
      </c>
      <c r="C54" s="11" t="s">
        <v>83</v>
      </c>
      <c r="D54" s="11" t="s">
        <v>84</v>
      </c>
      <c r="E54" s="11" t="s">
        <v>83</v>
      </c>
      <c r="F54" s="12" t="n">
        <f aca="false">SUMIFS(СПРОС_ДЕНЬ_ЧАС_МЕНЮ!$I$11:$I$3265,СПРОС_ДЕНЬ_ЧАС_МЕНЮ!$A$11:$A$3265,A54,СПРОС_ДЕНЬ_ЧАС_МЕНЮ!$B$11:$B$3265,B54,СПРОС_ДЕНЬ_ЧАС_МЕНЮ!$F$11:$F$3265,C54)</f>
        <v>20.372</v>
      </c>
      <c r="G54" s="12" t="n">
        <f aca="false">ПАРАМЕТРЫ!D23</f>
        <v>21</v>
      </c>
      <c r="H54" s="12" t="n">
        <f aca="false">SUMIFS(ШТАТ_ПО_ЧАСАМ!$C$11:$C$115,ШТАТ_ПО_ЧАСАМ!$A$11:$A$115,A54,ШТАТ_ПО_ЧАСАМ!$B$11:$B$115,B54)</f>
        <v>2</v>
      </c>
      <c r="I54" s="12" t="n">
        <f aca="false">MIN(H54,1)*ПАРАМЕТРЫ!E23</f>
        <v>21</v>
      </c>
      <c r="J54" s="12" t="n">
        <f aca="false">MIN(G54,I54)</f>
        <v>21</v>
      </c>
      <c r="K54" s="12" t="n">
        <f aca="false">MAX(F54-J54,0)</f>
        <v>0</v>
      </c>
      <c r="L54" s="12" t="n">
        <f aca="false">IF(J54=0,0,F54/J54)</f>
        <v>0.970095238095238</v>
      </c>
      <c r="M54" s="11" t="str">
        <f aca="false">IF(K54&gt;0,"BLOCKED","PASS")</f>
        <v>PASS</v>
      </c>
      <c r="N54" s="11" t="s">
        <v>233</v>
      </c>
    </row>
    <row r="55" customFormat="false" ht="23.85" hidden="false" customHeight="false" outlineLevel="0" collapsed="false">
      <c r="A55" s="11" t="s">
        <v>107</v>
      </c>
      <c r="B55" s="11" t="s">
        <v>129</v>
      </c>
      <c r="C55" s="11" t="s">
        <v>85</v>
      </c>
      <c r="D55" s="11" t="s">
        <v>86</v>
      </c>
      <c r="E55" s="11" t="s">
        <v>87</v>
      </c>
      <c r="F55" s="12" t="n">
        <f aca="false">SUMIFS(СПРОС_ДЕНЬ_ЧАС_МЕНЮ!$I$11:$I$3265,СПРОС_ДЕНЬ_ЧАС_МЕНЮ!$A$11:$A$3265,A55,СПРОС_ДЕНЬ_ЧАС_МЕНЮ!$B$11:$B$3265,B55,СПРОС_ДЕНЬ_ЧАС_МЕНЮ!$F$11:$F$3265,C55)</f>
        <v>8.321918</v>
      </c>
      <c r="G55" s="12" t="n">
        <f aca="false">ПАРАМЕТРЫ!D24</f>
        <v>12</v>
      </c>
      <c r="H55" s="12" t="n">
        <f aca="false">SUMIFS(ШТАТ_ПО_ЧАСАМ!$C$11:$C$115,ШТАТ_ПО_ЧАСАМ!$A$11:$A$115,A55,ШТАТ_ПО_ЧАСАМ!$B$11:$B$115,B55)</f>
        <v>2</v>
      </c>
      <c r="I55" s="12" t="n">
        <f aca="false">MIN(H55,1)*ПАРАМЕТРЫ!E24</f>
        <v>12</v>
      </c>
      <c r="J55" s="12" t="n">
        <f aca="false">MIN(G55,I55)</f>
        <v>12</v>
      </c>
      <c r="K55" s="12" t="n">
        <f aca="false">MAX(F55-J55,0)</f>
        <v>0</v>
      </c>
      <c r="L55" s="12" t="n">
        <f aca="false">IF(J55=0,0,F55/J55)</f>
        <v>0.693493166666667</v>
      </c>
      <c r="M55" s="11" t="str">
        <f aca="false">IF(K55&gt;0,"BLOCKED","PASS")</f>
        <v>PASS</v>
      </c>
      <c r="N55" s="11" t="s">
        <v>233</v>
      </c>
    </row>
    <row r="56" customFormat="false" ht="23.85" hidden="false" customHeight="false" outlineLevel="0" collapsed="false">
      <c r="A56" s="11" t="s">
        <v>107</v>
      </c>
      <c r="B56" s="11" t="s">
        <v>129</v>
      </c>
      <c r="C56" s="11" t="s">
        <v>88</v>
      </c>
      <c r="D56" s="11" t="s">
        <v>89</v>
      </c>
      <c r="E56" s="11" t="s">
        <v>90</v>
      </c>
      <c r="F56" s="12" t="n">
        <f aca="false">SUMIFS(СПРОС_ДЕНЬ_ЧАС_МЕНЮ!$I$11:$I$3265,СПРОС_ДЕНЬ_ЧАС_МЕНЮ!$A$11:$A$3265,A56,СПРОС_ДЕНЬ_ЧАС_МЕНЮ!$B$11:$B$3265,B56,СПРОС_ДЕНЬ_ЧАС_МЕНЮ!$F$11:$F$3265,C56)</f>
        <v>0</v>
      </c>
      <c r="G56" s="12" t="n">
        <f aca="false">ПАРАМЕТРЫ!D25</f>
        <v>15</v>
      </c>
      <c r="H56" s="12" t="n">
        <f aca="false">SUMIFS(ШТАТ_ПО_ЧАСАМ!$C$11:$C$115,ШТАТ_ПО_ЧАСАМ!$A$11:$A$115,A56,ШТАТ_ПО_ЧАСАМ!$B$11:$B$115,B56)</f>
        <v>2</v>
      </c>
      <c r="I56" s="12" t="n">
        <f aca="false">MIN(H56,1)*ПАРАМЕТРЫ!E25</f>
        <v>10</v>
      </c>
      <c r="J56" s="12" t="n">
        <f aca="false">MIN(G56,I56)</f>
        <v>10</v>
      </c>
      <c r="K56" s="12" t="n">
        <f aca="false">MAX(F56-J56,0)</f>
        <v>0</v>
      </c>
      <c r="L56" s="12" t="n">
        <f aca="false">IF(J56=0,0,F56/J56)</f>
        <v>0</v>
      </c>
      <c r="M56" s="11" t="str">
        <f aca="false">IF(K56&gt;0,"BLOCKED","PASS")</f>
        <v>PASS</v>
      </c>
      <c r="N56" s="11" t="s">
        <v>233</v>
      </c>
    </row>
    <row r="57" customFormat="false" ht="23.85" hidden="false" customHeight="false" outlineLevel="0" collapsed="false">
      <c r="A57" s="11" t="s">
        <v>107</v>
      </c>
      <c r="B57" s="11" t="s">
        <v>129</v>
      </c>
      <c r="C57" s="11" t="s">
        <v>91</v>
      </c>
      <c r="D57" s="11" t="s">
        <v>92</v>
      </c>
      <c r="E57" s="11" t="s">
        <v>79</v>
      </c>
      <c r="F57" s="12" t="n">
        <f aca="false">SUMIFS(СПРОС_ДЕНЬ_ЧАС_МЕНЮ!$I$11:$I$3265,СПРОС_ДЕНЬ_ЧАС_МЕНЮ!$A$11:$A$3265,A57,СПРОС_ДЕНЬ_ЧАС_МЕНЮ!$B$11:$B$3265,B57,СПРОС_ДЕНЬ_ЧАС_МЕНЮ!$F$11:$F$3265,C57)</f>
        <v>0.9504</v>
      </c>
      <c r="G57" s="12" t="n">
        <f aca="false">ПАРАМЕТРЫ!D26</f>
        <v>20</v>
      </c>
      <c r="H57" s="12" t="n">
        <f aca="false">SUMIFS(ШТАТ_ПО_ЧАСАМ!$C$11:$C$115,ШТАТ_ПО_ЧАСАМ!$A$11:$A$115,A57,ШТАТ_ПО_ЧАСАМ!$B$11:$B$115,B57)</f>
        <v>2</v>
      </c>
      <c r="I57" s="12" t="n">
        <f aca="false">MIN(H57,1)*ПАРАМЕТРЫ!E26</f>
        <v>10</v>
      </c>
      <c r="J57" s="12" t="n">
        <f aca="false">MIN(G57,I57)</f>
        <v>10</v>
      </c>
      <c r="K57" s="12" t="n">
        <f aca="false">MAX(F57-J57,0)</f>
        <v>0</v>
      </c>
      <c r="L57" s="12" t="n">
        <f aca="false">IF(J57=0,0,F57/J57)</f>
        <v>0.09504</v>
      </c>
      <c r="M57" s="11" t="str">
        <f aca="false">IF(K57&gt;0,"BLOCKED","PASS")</f>
        <v>PASS</v>
      </c>
      <c r="N57" s="11" t="s">
        <v>233</v>
      </c>
    </row>
    <row r="58" customFormat="false" ht="15" hidden="false" customHeight="false" outlineLevel="0" collapsed="false">
      <c r="A58" s="11" t="s">
        <v>107</v>
      </c>
      <c r="B58" s="11" t="s">
        <v>129</v>
      </c>
      <c r="C58" s="11" t="s">
        <v>93</v>
      </c>
      <c r="D58" s="11" t="s">
        <v>234</v>
      </c>
      <c r="E58" s="11" t="s">
        <v>95</v>
      </c>
      <c r="F58" s="12" t="n">
        <f aca="false">SUMIFS(СПРОС_ДЕНЬ_ЧАС_МЕНЮ!$I$11:$I$3265,СПРОС_ДЕНЬ_ЧАС_МЕНЮ!$A$11:$A$3265,A58,СПРОС_ДЕНЬ_ЧАС_МЕНЮ!$B$11:$B$3265,B58)</f>
        <v>43.778438</v>
      </c>
      <c r="G58" s="12" t="n">
        <f aca="false">ПАРАМЕТРЫ!D27</f>
        <v>60</v>
      </c>
      <c r="H58" s="12" t="n">
        <f aca="false">SUMIFS(ШТАТ_ПО_ЧАСАМ!$C$11:$C$115,ШТАТ_ПО_ЧАСАМ!$A$11:$A$115,A58,ШТАТ_ПО_ЧАСАМ!$B$11:$B$115,B58)</f>
        <v>2</v>
      </c>
      <c r="I58" s="12" t="n">
        <f aca="false">H58*ПАРАМЕТРЫ!E27</f>
        <v>33.3333333333333</v>
      </c>
      <c r="J58" s="12" t="n">
        <f aca="false">MIN(G58,I58)</f>
        <v>33.3333333333333</v>
      </c>
      <c r="K58" s="12" t="n">
        <f aca="false">MAX(F58-J58,0)</f>
        <v>10.4451046666667</v>
      </c>
      <c r="L58" s="12" t="n">
        <f aca="false">IF(J58=0,0,F58/J58)</f>
        <v>1.31335314</v>
      </c>
      <c r="M58" s="11" t="str">
        <f aca="false">IF(K58&gt;0,"BLOCKED","PASS")</f>
        <v>BLOCKED</v>
      </c>
      <c r="N58" s="11" t="s">
        <v>235</v>
      </c>
    </row>
    <row r="59" customFormat="false" ht="23.85" hidden="false" customHeight="false" outlineLevel="0" collapsed="false">
      <c r="A59" s="11" t="s">
        <v>107</v>
      </c>
      <c r="B59" s="11" t="s">
        <v>130</v>
      </c>
      <c r="C59" s="11" t="s">
        <v>73</v>
      </c>
      <c r="D59" s="11" t="s">
        <v>74</v>
      </c>
      <c r="E59" s="11" t="s">
        <v>75</v>
      </c>
      <c r="F59" s="12" t="n">
        <f aca="false">SUMIFS(СПРОС_ДЕНЬ_ЧАС_МЕНЮ!$I$11:$I$3265,СПРОС_ДЕНЬ_ЧАС_МЕНЮ!$A$11:$A$3265,A59,СПРОС_ДЕНЬ_ЧАС_МЕНЮ!$B$11:$B$3265,B59,СПРОС_ДЕНЬ_ЧАС_МЕНЮ!$F$11:$F$3265,C59)</f>
        <v>4.499</v>
      </c>
      <c r="G59" s="12" t="n">
        <f aca="false">ПАРАМЕТРЫ!D20</f>
        <v>25</v>
      </c>
      <c r="H59" s="12" t="n">
        <f aca="false">SUMIFS(ШТАТ_ПО_ЧАСАМ!$C$11:$C$115,ШТАТ_ПО_ЧАСАМ!$A$11:$A$115,A59,ШТАТ_ПО_ЧАСАМ!$B$11:$B$115,B59)</f>
        <v>2</v>
      </c>
      <c r="I59" s="12" t="n">
        <f aca="false">MIN(H59,1)*ПАРАМЕТРЫ!E20</f>
        <v>10</v>
      </c>
      <c r="J59" s="12" t="n">
        <f aca="false">MIN(G59,I59)</f>
        <v>10</v>
      </c>
      <c r="K59" s="12" t="n">
        <f aca="false">MAX(F59-J59,0)</f>
        <v>0</v>
      </c>
      <c r="L59" s="12" t="n">
        <f aca="false">IF(J59=0,0,F59/J59)</f>
        <v>0.4499</v>
      </c>
      <c r="M59" s="11" t="str">
        <f aca="false">IF(K59&gt;0,"BLOCKED","PASS")</f>
        <v>PASS</v>
      </c>
      <c r="N59" s="11" t="s">
        <v>233</v>
      </c>
    </row>
    <row r="60" customFormat="false" ht="23.85" hidden="false" customHeight="false" outlineLevel="0" collapsed="false">
      <c r="A60" s="11" t="s">
        <v>107</v>
      </c>
      <c r="B60" s="11" t="s">
        <v>130</v>
      </c>
      <c r="C60" s="11" t="s">
        <v>77</v>
      </c>
      <c r="D60" s="11" t="s">
        <v>78</v>
      </c>
      <c r="E60" s="11" t="s">
        <v>79</v>
      </c>
      <c r="F60" s="12" t="n">
        <f aca="false">SUMIFS(СПРОС_ДЕНЬ_ЧАС_МЕНЮ!$I$11:$I$3265,СПРОС_ДЕНЬ_ЧАС_МЕНЮ!$A$11:$A$3265,A60,СПРОС_ДЕНЬ_ЧАС_МЕНЮ!$B$11:$B$3265,B60,СПРОС_ДЕНЬ_ЧАС_МЕНЮ!$F$11:$F$3265,C60)</f>
        <v>2.5674</v>
      </c>
      <c r="G60" s="12" t="n">
        <f aca="false">ПАРАМЕТРЫ!D21</f>
        <v>20</v>
      </c>
      <c r="H60" s="12" t="n">
        <f aca="false">SUMIFS(ШТАТ_ПО_ЧАСАМ!$C$11:$C$115,ШТАТ_ПО_ЧАСАМ!$A$11:$A$115,A60,ШТАТ_ПО_ЧАСАМ!$B$11:$B$115,B60)</f>
        <v>2</v>
      </c>
      <c r="I60" s="12" t="n">
        <f aca="false">MIN(H60,1)*ПАРАМЕТРЫ!E21</f>
        <v>10</v>
      </c>
      <c r="J60" s="12" t="n">
        <f aca="false">MIN(G60,I60)</f>
        <v>10</v>
      </c>
      <c r="K60" s="12" t="n">
        <f aca="false">MAX(F60-J60,0)</f>
        <v>0</v>
      </c>
      <c r="L60" s="12" t="n">
        <f aca="false">IF(J60=0,0,F60/J60)</f>
        <v>0.25674</v>
      </c>
      <c r="M60" s="11" t="str">
        <f aca="false">IF(K60&gt;0,"BLOCKED","PASS")</f>
        <v>PASS</v>
      </c>
      <c r="N60" s="11" t="s">
        <v>233</v>
      </c>
    </row>
    <row r="61" customFormat="false" ht="23.85" hidden="false" customHeight="false" outlineLevel="0" collapsed="false">
      <c r="A61" s="11" t="s">
        <v>107</v>
      </c>
      <c r="B61" s="11" t="s">
        <v>130</v>
      </c>
      <c r="C61" s="11" t="s">
        <v>80</v>
      </c>
      <c r="D61" s="11" t="s">
        <v>81</v>
      </c>
      <c r="E61" s="11" t="s">
        <v>82</v>
      </c>
      <c r="F61" s="12" t="n">
        <f aca="false">SUMIFS(СПРОС_ДЕНЬ_ЧАС_МЕНЮ!$I$11:$I$3265,СПРОС_ДЕНЬ_ЧАС_МЕНЮ!$A$11:$A$3265,A61,СПРОС_ДЕНЬ_ЧАС_МЕНЮ!$B$11:$B$3265,B61,СПРОС_ДЕНЬ_ЧАС_МЕНЮ!$F$11:$F$3265,C61)</f>
        <v>7.645</v>
      </c>
      <c r="G61" s="12" t="n">
        <f aca="false">ПАРАМЕТРЫ!D22</f>
        <v>16</v>
      </c>
      <c r="H61" s="12" t="n">
        <f aca="false">SUMIFS(ШТАТ_ПО_ЧАСАМ!$C$11:$C$115,ШТАТ_ПО_ЧАСАМ!$A$11:$A$115,A61,ШТАТ_ПО_ЧАСАМ!$B$11:$B$115,B61)</f>
        <v>2</v>
      </c>
      <c r="I61" s="12" t="n">
        <f aca="false">MIN(H61,1)*ПАРАМЕТРЫ!E22</f>
        <v>16</v>
      </c>
      <c r="J61" s="12" t="n">
        <f aca="false">MIN(G61,I61)</f>
        <v>16</v>
      </c>
      <c r="K61" s="12" t="n">
        <f aca="false">MAX(F61-J61,0)</f>
        <v>0</v>
      </c>
      <c r="L61" s="12" t="n">
        <f aca="false">IF(J61=0,0,F61/J61)</f>
        <v>0.4778125</v>
      </c>
      <c r="M61" s="11" t="str">
        <f aca="false">IF(K61&gt;0,"BLOCKED","PASS")</f>
        <v>PASS</v>
      </c>
      <c r="N61" s="11" t="s">
        <v>233</v>
      </c>
    </row>
    <row r="62" customFormat="false" ht="23.85" hidden="false" customHeight="false" outlineLevel="0" collapsed="false">
      <c r="A62" s="11" t="s">
        <v>107</v>
      </c>
      <c r="B62" s="11" t="s">
        <v>130</v>
      </c>
      <c r="C62" s="11" t="s">
        <v>83</v>
      </c>
      <c r="D62" s="11" t="s">
        <v>84</v>
      </c>
      <c r="E62" s="11" t="s">
        <v>83</v>
      </c>
      <c r="F62" s="12" t="n">
        <f aca="false">SUMIFS(СПРОС_ДЕНЬ_ЧАС_МЕНЮ!$I$11:$I$3265,СПРОС_ДЕНЬ_ЧАС_МЕНЮ!$A$11:$A$3265,A62,СПРОС_ДЕНЬ_ЧАС_МЕНЮ!$B$11:$B$3265,B62,СПРОС_ДЕНЬ_ЧАС_МЕНЮ!$F$11:$F$3265,C62)</f>
        <v>20.9</v>
      </c>
      <c r="G62" s="12" t="n">
        <f aca="false">ПАРАМЕТРЫ!D23</f>
        <v>21</v>
      </c>
      <c r="H62" s="12" t="n">
        <f aca="false">SUMIFS(ШТАТ_ПО_ЧАСАМ!$C$11:$C$115,ШТАТ_ПО_ЧАСАМ!$A$11:$A$115,A62,ШТАТ_ПО_ЧАСАМ!$B$11:$B$115,B62)</f>
        <v>2</v>
      </c>
      <c r="I62" s="12" t="n">
        <f aca="false">MIN(H62,1)*ПАРАМЕТРЫ!E23</f>
        <v>21</v>
      </c>
      <c r="J62" s="12" t="n">
        <f aca="false">MIN(G62,I62)</f>
        <v>21</v>
      </c>
      <c r="K62" s="12" t="n">
        <f aca="false">MAX(F62-J62,0)</f>
        <v>0</v>
      </c>
      <c r="L62" s="12" t="n">
        <f aca="false">IF(J62=0,0,F62/J62)</f>
        <v>0.995238095238095</v>
      </c>
      <c r="M62" s="11" t="str">
        <f aca="false">IF(K62&gt;0,"BLOCKED","PASS")</f>
        <v>PASS</v>
      </c>
      <c r="N62" s="11" t="s">
        <v>233</v>
      </c>
    </row>
    <row r="63" customFormat="false" ht="23.85" hidden="false" customHeight="false" outlineLevel="0" collapsed="false">
      <c r="A63" s="11" t="s">
        <v>107</v>
      </c>
      <c r="B63" s="11" t="s">
        <v>130</v>
      </c>
      <c r="C63" s="11" t="s">
        <v>85</v>
      </c>
      <c r="D63" s="11" t="s">
        <v>86</v>
      </c>
      <c r="E63" s="11" t="s">
        <v>87</v>
      </c>
      <c r="F63" s="12" t="n">
        <f aca="false">SUMIFS(СПРОС_ДЕНЬ_ЧАС_МЕНЮ!$I$11:$I$3265,СПРОС_ДЕНЬ_ЧАС_МЕНЮ!$A$11:$A$3265,A63,СПРОС_ДЕНЬ_ЧАС_МЕНЮ!$B$11:$B$3265,B63,СПРОС_ДЕНЬ_ЧАС_МЕНЮ!$F$11:$F$3265,C63)</f>
        <v>8.59771</v>
      </c>
      <c r="G63" s="12" t="n">
        <f aca="false">ПАРАМЕТРЫ!D24</f>
        <v>12</v>
      </c>
      <c r="H63" s="12" t="n">
        <f aca="false">SUMIFS(ШТАТ_ПО_ЧАСАМ!$C$11:$C$115,ШТАТ_ПО_ЧАСАМ!$A$11:$A$115,A63,ШТАТ_ПО_ЧАСАМ!$B$11:$B$115,B63)</f>
        <v>2</v>
      </c>
      <c r="I63" s="12" t="n">
        <f aca="false">MIN(H63,1)*ПАРАМЕТРЫ!E24</f>
        <v>12</v>
      </c>
      <c r="J63" s="12" t="n">
        <f aca="false">MIN(G63,I63)</f>
        <v>12</v>
      </c>
      <c r="K63" s="12" t="n">
        <f aca="false">MAX(F63-J63,0)</f>
        <v>0</v>
      </c>
      <c r="L63" s="12" t="n">
        <f aca="false">IF(J63=0,0,F63/J63)</f>
        <v>0.716475833333333</v>
      </c>
      <c r="M63" s="11" t="str">
        <f aca="false">IF(K63&gt;0,"BLOCKED","PASS")</f>
        <v>PASS</v>
      </c>
      <c r="N63" s="11" t="s">
        <v>233</v>
      </c>
    </row>
    <row r="64" customFormat="false" ht="23.85" hidden="false" customHeight="false" outlineLevel="0" collapsed="false">
      <c r="A64" s="11" t="s">
        <v>107</v>
      </c>
      <c r="B64" s="11" t="s">
        <v>130</v>
      </c>
      <c r="C64" s="11" t="s">
        <v>88</v>
      </c>
      <c r="D64" s="11" t="s">
        <v>89</v>
      </c>
      <c r="E64" s="11" t="s">
        <v>90</v>
      </c>
      <c r="F64" s="12" t="n">
        <f aca="false">SUMIFS(СПРОС_ДЕНЬ_ЧАС_МЕНЮ!$I$11:$I$3265,СПРОС_ДЕНЬ_ЧАС_МЕНЮ!$A$11:$A$3265,A64,СПРОС_ДЕНЬ_ЧАС_МЕНЮ!$B$11:$B$3265,B64,СПРОС_ДЕНЬ_ЧАС_МЕНЮ!$F$11:$F$3265,C64)</f>
        <v>0</v>
      </c>
      <c r="G64" s="12" t="n">
        <f aca="false">ПАРАМЕТРЫ!D25</f>
        <v>15</v>
      </c>
      <c r="H64" s="12" t="n">
        <f aca="false">SUMIFS(ШТАТ_ПО_ЧАСАМ!$C$11:$C$115,ШТАТ_ПО_ЧАСАМ!$A$11:$A$115,A64,ШТАТ_ПО_ЧАСАМ!$B$11:$B$115,B64)</f>
        <v>2</v>
      </c>
      <c r="I64" s="12" t="n">
        <f aca="false">MIN(H64,1)*ПАРАМЕТРЫ!E25</f>
        <v>10</v>
      </c>
      <c r="J64" s="12" t="n">
        <f aca="false">MIN(G64,I64)</f>
        <v>10</v>
      </c>
      <c r="K64" s="12" t="n">
        <f aca="false">MAX(F64-J64,0)</f>
        <v>0</v>
      </c>
      <c r="L64" s="12" t="n">
        <f aca="false">IF(J64=0,0,F64/J64)</f>
        <v>0</v>
      </c>
      <c r="M64" s="11" t="str">
        <f aca="false">IF(K64&gt;0,"BLOCKED","PASS")</f>
        <v>PASS</v>
      </c>
      <c r="N64" s="11" t="s">
        <v>233</v>
      </c>
    </row>
    <row r="65" customFormat="false" ht="23.85" hidden="false" customHeight="false" outlineLevel="0" collapsed="false">
      <c r="A65" s="11" t="s">
        <v>107</v>
      </c>
      <c r="B65" s="11" t="s">
        <v>130</v>
      </c>
      <c r="C65" s="11" t="s">
        <v>91</v>
      </c>
      <c r="D65" s="11" t="s">
        <v>92</v>
      </c>
      <c r="E65" s="11" t="s">
        <v>79</v>
      </c>
      <c r="F65" s="12" t="n">
        <f aca="false">SUMIFS(СПРОС_ДЕНЬ_ЧАС_МЕНЮ!$I$11:$I$3265,СПРОС_ДЕНЬ_ЧАС_МЕНЮ!$A$11:$A$3265,A65,СПРОС_ДЕНЬ_ЧАС_МЕНЮ!$B$11:$B$3265,B65,СПРОС_ДЕНЬ_ЧАС_МЕНЮ!$F$11:$F$3265,C65)</f>
        <v>1.056</v>
      </c>
      <c r="G65" s="12" t="n">
        <f aca="false">ПАРАМЕТРЫ!D26</f>
        <v>20</v>
      </c>
      <c r="H65" s="12" t="n">
        <f aca="false">SUMIFS(ШТАТ_ПО_ЧАСАМ!$C$11:$C$115,ШТАТ_ПО_ЧАСАМ!$A$11:$A$115,A65,ШТАТ_ПО_ЧАСАМ!$B$11:$B$115,B65)</f>
        <v>2</v>
      </c>
      <c r="I65" s="12" t="n">
        <f aca="false">MIN(H65,1)*ПАРАМЕТРЫ!E26</f>
        <v>10</v>
      </c>
      <c r="J65" s="12" t="n">
        <f aca="false">MIN(G65,I65)</f>
        <v>10</v>
      </c>
      <c r="K65" s="12" t="n">
        <f aca="false">MAX(F65-J65,0)</f>
        <v>0</v>
      </c>
      <c r="L65" s="12" t="n">
        <f aca="false">IF(J65=0,0,F65/J65)</f>
        <v>0.1056</v>
      </c>
      <c r="M65" s="11" t="str">
        <f aca="false">IF(K65&gt;0,"BLOCKED","PASS")</f>
        <v>PASS</v>
      </c>
      <c r="N65" s="11" t="s">
        <v>233</v>
      </c>
    </row>
    <row r="66" customFormat="false" ht="15" hidden="false" customHeight="false" outlineLevel="0" collapsed="false">
      <c r="A66" s="11" t="s">
        <v>107</v>
      </c>
      <c r="B66" s="11" t="s">
        <v>130</v>
      </c>
      <c r="C66" s="11" t="s">
        <v>93</v>
      </c>
      <c r="D66" s="11" t="s">
        <v>234</v>
      </c>
      <c r="E66" s="11" t="s">
        <v>95</v>
      </c>
      <c r="F66" s="12" t="n">
        <f aca="false">SUMIFS(СПРОС_ДЕНЬ_ЧАС_МЕНЮ!$I$11:$I$3265,СПРОС_ДЕНЬ_ЧАС_МЕНЮ!$A$11:$A$3265,A66,СПРОС_ДЕНЬ_ЧАС_МЕНЮ!$B$11:$B$3265,B66)</f>
        <v>45.26511</v>
      </c>
      <c r="G66" s="12" t="n">
        <f aca="false">ПАРАМЕТРЫ!D27</f>
        <v>60</v>
      </c>
      <c r="H66" s="12" t="n">
        <f aca="false">SUMIFS(ШТАТ_ПО_ЧАСАМ!$C$11:$C$115,ШТАТ_ПО_ЧАСАМ!$A$11:$A$115,A66,ШТАТ_ПО_ЧАСАМ!$B$11:$B$115,B66)</f>
        <v>2</v>
      </c>
      <c r="I66" s="12" t="n">
        <f aca="false">H66*ПАРАМЕТРЫ!E27</f>
        <v>33.3333333333333</v>
      </c>
      <c r="J66" s="12" t="n">
        <f aca="false">MIN(G66,I66)</f>
        <v>33.3333333333333</v>
      </c>
      <c r="K66" s="12" t="n">
        <f aca="false">MAX(F66-J66,0)</f>
        <v>11.9317766666667</v>
      </c>
      <c r="L66" s="12" t="n">
        <f aca="false">IF(J66=0,0,F66/J66)</f>
        <v>1.3579533</v>
      </c>
      <c r="M66" s="11" t="str">
        <f aca="false">IF(K66&gt;0,"BLOCKED","PASS")</f>
        <v>BLOCKED</v>
      </c>
      <c r="N66" s="11" t="s">
        <v>235</v>
      </c>
    </row>
    <row r="67" customFormat="false" ht="23.85" hidden="false" customHeight="false" outlineLevel="0" collapsed="false">
      <c r="A67" s="11" t="s">
        <v>107</v>
      </c>
      <c r="B67" s="11" t="s">
        <v>131</v>
      </c>
      <c r="C67" s="11" t="s">
        <v>73</v>
      </c>
      <c r="D67" s="11" t="s">
        <v>74</v>
      </c>
      <c r="E67" s="11" t="s">
        <v>75</v>
      </c>
      <c r="F67" s="12" t="n">
        <f aca="false">SUMIFS(СПРОС_ДЕНЬ_ЧАС_МЕНЮ!$I$11:$I$3265,СПРОС_ДЕНЬ_ЧАС_МЕНЮ!$A$11:$A$3265,A67,СПРОС_ДЕНЬ_ЧАС_МЕНЮ!$B$11:$B$3265,B67,СПРОС_ДЕНЬ_ЧАС_МЕНЮ!$F$11:$F$3265,C67)</f>
        <v>2.2253</v>
      </c>
      <c r="G67" s="12" t="n">
        <f aca="false">ПАРАМЕТРЫ!D20</f>
        <v>25</v>
      </c>
      <c r="H67" s="12" t="n">
        <f aca="false">SUMIFS(ШТАТ_ПО_ЧАСАМ!$C$11:$C$115,ШТАТ_ПО_ЧАСАМ!$A$11:$A$115,A67,ШТАТ_ПО_ЧАСАМ!$B$11:$B$115,B67)</f>
        <v>2</v>
      </c>
      <c r="I67" s="12" t="n">
        <f aca="false">MIN(H67,1)*ПАРАМЕТРЫ!E20</f>
        <v>10</v>
      </c>
      <c r="J67" s="12" t="n">
        <f aca="false">MIN(G67,I67)</f>
        <v>10</v>
      </c>
      <c r="K67" s="12" t="n">
        <f aca="false">MAX(F67-J67,0)</f>
        <v>0</v>
      </c>
      <c r="L67" s="12" t="n">
        <f aca="false">IF(J67=0,0,F67/J67)</f>
        <v>0.22253</v>
      </c>
      <c r="M67" s="11" t="str">
        <f aca="false">IF(K67&gt;0,"BLOCKED","PASS")</f>
        <v>PASS</v>
      </c>
      <c r="N67" s="11" t="s">
        <v>233</v>
      </c>
    </row>
    <row r="68" customFormat="false" ht="23.85" hidden="false" customHeight="false" outlineLevel="0" collapsed="false">
      <c r="A68" s="11" t="s">
        <v>107</v>
      </c>
      <c r="B68" s="11" t="s">
        <v>131</v>
      </c>
      <c r="C68" s="11" t="s">
        <v>77</v>
      </c>
      <c r="D68" s="11" t="s">
        <v>78</v>
      </c>
      <c r="E68" s="11" t="s">
        <v>79</v>
      </c>
      <c r="F68" s="12" t="n">
        <f aca="false">SUMIFS(СПРОС_ДЕНЬ_ЧАС_МЕНЮ!$I$11:$I$3265,СПРОС_ДЕНЬ_ЧАС_МЕНЮ!$A$11:$A$3265,A68,СПРОС_ДЕНЬ_ЧАС_МЕНЮ!$B$11:$B$3265,B68,СПРОС_ДЕНЬ_ЧАС_МЕНЮ!$F$11:$F$3265,C68)</f>
        <v>1.83018</v>
      </c>
      <c r="G68" s="12" t="n">
        <f aca="false">ПАРАМЕТРЫ!D21</f>
        <v>20</v>
      </c>
      <c r="H68" s="12" t="n">
        <f aca="false">SUMIFS(ШТАТ_ПО_ЧАСАМ!$C$11:$C$115,ШТАТ_ПО_ЧАСАМ!$A$11:$A$115,A68,ШТАТ_ПО_ЧАСАМ!$B$11:$B$115,B68)</f>
        <v>2</v>
      </c>
      <c r="I68" s="12" t="n">
        <f aca="false">MIN(H68,1)*ПАРАМЕТРЫ!E21</f>
        <v>10</v>
      </c>
      <c r="J68" s="12" t="n">
        <f aca="false">MIN(G68,I68)</f>
        <v>10</v>
      </c>
      <c r="K68" s="12" t="n">
        <f aca="false">MAX(F68-J68,0)</f>
        <v>0</v>
      </c>
      <c r="L68" s="12" t="n">
        <f aca="false">IF(J68=0,0,F68/J68)</f>
        <v>0.183018</v>
      </c>
      <c r="M68" s="11" t="str">
        <f aca="false">IF(K68&gt;0,"BLOCKED","PASS")</f>
        <v>PASS</v>
      </c>
      <c r="N68" s="11" t="s">
        <v>233</v>
      </c>
    </row>
    <row r="69" customFormat="false" ht="23.85" hidden="false" customHeight="false" outlineLevel="0" collapsed="false">
      <c r="A69" s="11" t="s">
        <v>107</v>
      </c>
      <c r="B69" s="11" t="s">
        <v>131</v>
      </c>
      <c r="C69" s="11" t="s">
        <v>80</v>
      </c>
      <c r="D69" s="11" t="s">
        <v>81</v>
      </c>
      <c r="E69" s="11" t="s">
        <v>82</v>
      </c>
      <c r="F69" s="12" t="n">
        <f aca="false">SUMIFS(СПРОС_ДЕНЬ_ЧАС_МЕНЮ!$I$11:$I$3265,СПРОС_ДЕНЬ_ЧАС_МЕНЮ!$A$11:$A$3265,A69,СПРОС_ДЕНЬ_ЧАС_МЕНЮ!$B$11:$B$3265,B69,СПРОС_ДЕНЬ_ЧАС_МЕНЮ!$F$11:$F$3265,C69)</f>
        <v>3.7895</v>
      </c>
      <c r="G69" s="12" t="n">
        <f aca="false">ПАРАМЕТРЫ!D22</f>
        <v>16</v>
      </c>
      <c r="H69" s="12" t="n">
        <f aca="false">SUMIFS(ШТАТ_ПО_ЧАСАМ!$C$11:$C$115,ШТАТ_ПО_ЧАСАМ!$A$11:$A$115,A69,ШТАТ_ПО_ЧАСАМ!$B$11:$B$115,B69)</f>
        <v>2</v>
      </c>
      <c r="I69" s="12" t="n">
        <f aca="false">MIN(H69,1)*ПАРАМЕТРЫ!E22</f>
        <v>16</v>
      </c>
      <c r="J69" s="12" t="n">
        <f aca="false">MIN(G69,I69)</f>
        <v>16</v>
      </c>
      <c r="K69" s="12" t="n">
        <f aca="false">MAX(F69-J69,0)</f>
        <v>0</v>
      </c>
      <c r="L69" s="12" t="n">
        <f aca="false">IF(J69=0,0,F69/J69)</f>
        <v>0.23684375</v>
      </c>
      <c r="M69" s="11" t="str">
        <f aca="false">IF(K69&gt;0,"BLOCKED","PASS")</f>
        <v>PASS</v>
      </c>
      <c r="N69" s="11" t="s">
        <v>233</v>
      </c>
    </row>
    <row r="70" customFormat="false" ht="23.85" hidden="false" customHeight="false" outlineLevel="0" collapsed="false">
      <c r="A70" s="11" t="s">
        <v>107</v>
      </c>
      <c r="B70" s="11" t="s">
        <v>131</v>
      </c>
      <c r="C70" s="11" t="s">
        <v>83</v>
      </c>
      <c r="D70" s="11" t="s">
        <v>84</v>
      </c>
      <c r="E70" s="11" t="s">
        <v>83</v>
      </c>
      <c r="F70" s="12" t="n">
        <f aca="false">SUMIFS(СПРОС_ДЕНЬ_ЧАС_МЕНЮ!$I$11:$I$3265,СПРОС_ДЕНЬ_ЧАС_МЕНЮ!$A$11:$A$3265,A70,СПРОС_ДЕНЬ_ЧАС_МЕНЮ!$B$11:$B$3265,B70,СПРОС_ДЕНЬ_ЧАС_МЕНЮ!$F$11:$F$3265,C70)</f>
        <v>9.768</v>
      </c>
      <c r="G70" s="12" t="n">
        <f aca="false">ПАРАМЕТРЫ!D23</f>
        <v>21</v>
      </c>
      <c r="H70" s="12" t="n">
        <f aca="false">SUMIFS(ШТАТ_ПО_ЧАСАМ!$C$11:$C$115,ШТАТ_ПО_ЧАСАМ!$A$11:$A$115,A70,ШТАТ_ПО_ЧАСАМ!$B$11:$B$115,B70)</f>
        <v>2</v>
      </c>
      <c r="I70" s="12" t="n">
        <f aca="false">MIN(H70,1)*ПАРАМЕТРЫ!E23</f>
        <v>21</v>
      </c>
      <c r="J70" s="12" t="n">
        <f aca="false">MIN(G70,I70)</f>
        <v>21</v>
      </c>
      <c r="K70" s="12" t="n">
        <f aca="false">MAX(F70-J70,0)</f>
        <v>0</v>
      </c>
      <c r="L70" s="12" t="n">
        <f aca="false">IF(J70=0,0,F70/J70)</f>
        <v>0.465142857142857</v>
      </c>
      <c r="M70" s="11" t="str">
        <f aca="false">IF(K70&gt;0,"BLOCKED","PASS")</f>
        <v>PASS</v>
      </c>
      <c r="N70" s="11" t="s">
        <v>233</v>
      </c>
    </row>
    <row r="71" customFormat="false" ht="23.85" hidden="false" customHeight="false" outlineLevel="0" collapsed="false">
      <c r="A71" s="11" t="s">
        <v>107</v>
      </c>
      <c r="B71" s="11" t="s">
        <v>131</v>
      </c>
      <c r="C71" s="11" t="s">
        <v>85</v>
      </c>
      <c r="D71" s="11" t="s">
        <v>86</v>
      </c>
      <c r="E71" s="11" t="s">
        <v>87</v>
      </c>
      <c r="F71" s="12" t="n">
        <f aca="false">SUMIFS(СПРОС_ДЕНЬ_ЧАС_МЕНЮ!$I$11:$I$3265,СПРОС_ДЕНЬ_ЧАС_МЕНЮ!$A$11:$A$3265,A71,СПРОС_ДЕНЬ_ЧАС_МЕНЮ!$B$11:$B$3265,B71,СПРОС_ДЕНЬ_ЧАС_МЕНЮ!$F$11:$F$3265,C71)</f>
        <v>4.059022</v>
      </c>
      <c r="G71" s="12" t="n">
        <f aca="false">ПАРАМЕТРЫ!D24</f>
        <v>12</v>
      </c>
      <c r="H71" s="12" t="n">
        <f aca="false">SUMIFS(ШТАТ_ПО_ЧАСАМ!$C$11:$C$115,ШТАТ_ПО_ЧАСАМ!$A$11:$A$115,A71,ШТАТ_ПО_ЧАСАМ!$B$11:$B$115,B71)</f>
        <v>2</v>
      </c>
      <c r="I71" s="12" t="n">
        <f aca="false">MIN(H71,1)*ПАРАМЕТРЫ!E24</f>
        <v>12</v>
      </c>
      <c r="J71" s="12" t="n">
        <f aca="false">MIN(G71,I71)</f>
        <v>12</v>
      </c>
      <c r="K71" s="12" t="n">
        <f aca="false">MAX(F71-J71,0)</f>
        <v>0</v>
      </c>
      <c r="L71" s="12" t="n">
        <f aca="false">IF(J71=0,0,F71/J71)</f>
        <v>0.338251833333333</v>
      </c>
      <c r="M71" s="11" t="str">
        <f aca="false">IF(K71&gt;0,"BLOCKED","PASS")</f>
        <v>PASS</v>
      </c>
      <c r="N71" s="11" t="s">
        <v>233</v>
      </c>
    </row>
    <row r="72" customFormat="false" ht="23.85" hidden="false" customHeight="false" outlineLevel="0" collapsed="false">
      <c r="A72" s="11" t="s">
        <v>107</v>
      </c>
      <c r="B72" s="11" t="s">
        <v>131</v>
      </c>
      <c r="C72" s="11" t="s">
        <v>88</v>
      </c>
      <c r="D72" s="11" t="s">
        <v>89</v>
      </c>
      <c r="E72" s="11" t="s">
        <v>90</v>
      </c>
      <c r="F72" s="12" t="n">
        <f aca="false">SUMIFS(СПРОС_ДЕНЬ_ЧАС_МЕНЮ!$I$11:$I$3265,СПРОС_ДЕНЬ_ЧАС_МЕНЮ!$A$11:$A$3265,A72,СПРОС_ДЕНЬ_ЧАС_МЕНЮ!$B$11:$B$3265,B72,СПРОС_ДЕНЬ_ЧАС_МЕНЮ!$F$11:$F$3265,C72)</f>
        <v>0</v>
      </c>
      <c r="G72" s="12" t="n">
        <f aca="false">ПАРАМЕТРЫ!D25</f>
        <v>15</v>
      </c>
      <c r="H72" s="12" t="n">
        <f aca="false">SUMIFS(ШТАТ_ПО_ЧАСАМ!$C$11:$C$115,ШТАТ_ПО_ЧАСАМ!$A$11:$A$115,A72,ШТАТ_ПО_ЧАСАМ!$B$11:$B$115,B72)</f>
        <v>2</v>
      </c>
      <c r="I72" s="12" t="n">
        <f aca="false">MIN(H72,1)*ПАРАМЕТРЫ!E25</f>
        <v>10</v>
      </c>
      <c r="J72" s="12" t="n">
        <f aca="false">MIN(G72,I72)</f>
        <v>10</v>
      </c>
      <c r="K72" s="12" t="n">
        <f aca="false">MAX(F72-J72,0)</f>
        <v>0</v>
      </c>
      <c r="L72" s="12" t="n">
        <f aca="false">IF(J72=0,0,F72/J72)</f>
        <v>0</v>
      </c>
      <c r="M72" s="11" t="str">
        <f aca="false">IF(K72&gt;0,"BLOCKED","PASS")</f>
        <v>PASS</v>
      </c>
      <c r="N72" s="11" t="s">
        <v>233</v>
      </c>
    </row>
    <row r="73" customFormat="false" ht="23.85" hidden="false" customHeight="false" outlineLevel="0" collapsed="false">
      <c r="A73" s="11" t="s">
        <v>107</v>
      </c>
      <c r="B73" s="11" t="s">
        <v>131</v>
      </c>
      <c r="C73" s="11" t="s">
        <v>91</v>
      </c>
      <c r="D73" s="11" t="s">
        <v>92</v>
      </c>
      <c r="E73" s="11" t="s">
        <v>79</v>
      </c>
      <c r="F73" s="12" t="n">
        <f aca="false">SUMIFS(СПРОС_ДЕНЬ_ЧАС_МЕНЮ!$I$11:$I$3265,СПРОС_ДЕНЬ_ЧАС_МЕНЮ!$A$11:$A$3265,A73,СПРОС_ДЕНЬ_ЧАС_МЕНЮ!$B$11:$B$3265,B73,СПРОС_ДЕНЬ_ЧАС_МЕНЮ!$F$11:$F$3265,C73)</f>
        <v>0.8976</v>
      </c>
      <c r="G73" s="12" t="n">
        <f aca="false">ПАРАМЕТРЫ!D26</f>
        <v>20</v>
      </c>
      <c r="H73" s="12" t="n">
        <f aca="false">SUMIFS(ШТАТ_ПО_ЧАСАМ!$C$11:$C$115,ШТАТ_ПО_ЧАСАМ!$A$11:$A$115,A73,ШТАТ_ПО_ЧАСАМ!$B$11:$B$115,B73)</f>
        <v>2</v>
      </c>
      <c r="I73" s="12" t="n">
        <f aca="false">MIN(H73,1)*ПАРАМЕТРЫ!E26</f>
        <v>10</v>
      </c>
      <c r="J73" s="12" t="n">
        <f aca="false">MIN(G73,I73)</f>
        <v>10</v>
      </c>
      <c r="K73" s="12" t="n">
        <f aca="false">MAX(F73-J73,0)</f>
        <v>0</v>
      </c>
      <c r="L73" s="12" t="n">
        <f aca="false">IF(J73=0,0,F73/J73)</f>
        <v>0.08976</v>
      </c>
      <c r="M73" s="11" t="str">
        <f aca="false">IF(K73&gt;0,"BLOCKED","PASS")</f>
        <v>PASS</v>
      </c>
      <c r="N73" s="11" t="s">
        <v>233</v>
      </c>
    </row>
    <row r="74" customFormat="false" ht="15" hidden="false" customHeight="false" outlineLevel="0" collapsed="false">
      <c r="A74" s="11" t="s">
        <v>107</v>
      </c>
      <c r="B74" s="11" t="s">
        <v>131</v>
      </c>
      <c r="C74" s="11" t="s">
        <v>93</v>
      </c>
      <c r="D74" s="11" t="s">
        <v>234</v>
      </c>
      <c r="E74" s="11" t="s">
        <v>95</v>
      </c>
      <c r="F74" s="12" t="n">
        <f aca="false">SUMIFS(СПРОС_ДЕНЬ_ЧАС_МЕНЮ!$I$11:$I$3265,СПРОС_ДЕНЬ_ЧАС_МЕНЮ!$A$11:$A$3265,A74,СПРОС_ДЕНЬ_ЧАС_МЕНЮ!$B$11:$B$3265,B74)</f>
        <v>22.569602</v>
      </c>
      <c r="G74" s="12" t="n">
        <f aca="false">ПАРАМЕТРЫ!D27</f>
        <v>60</v>
      </c>
      <c r="H74" s="12" t="n">
        <f aca="false">SUMIFS(ШТАТ_ПО_ЧАСАМ!$C$11:$C$115,ШТАТ_ПО_ЧАСАМ!$A$11:$A$115,A74,ШТАТ_ПО_ЧАСАМ!$B$11:$B$115,B74)</f>
        <v>2</v>
      </c>
      <c r="I74" s="12" t="n">
        <f aca="false">H74*ПАРАМЕТРЫ!E27</f>
        <v>33.3333333333333</v>
      </c>
      <c r="J74" s="12" t="n">
        <f aca="false">MIN(G74,I74)</f>
        <v>33.3333333333333</v>
      </c>
      <c r="K74" s="12" t="n">
        <f aca="false">MAX(F74-J74,0)</f>
        <v>0</v>
      </c>
      <c r="L74" s="12" t="n">
        <f aca="false">IF(J74=0,0,F74/J74)</f>
        <v>0.67708806</v>
      </c>
      <c r="M74" s="11" t="str">
        <f aca="false">IF(K74&gt;0,"BLOCKED","PASS")</f>
        <v>PASS</v>
      </c>
      <c r="N74" s="11" t="s">
        <v>235</v>
      </c>
    </row>
    <row r="75" customFormat="false" ht="23.85" hidden="false" customHeight="false" outlineLevel="0" collapsed="false">
      <c r="A75" s="11" t="s">
        <v>107</v>
      </c>
      <c r="B75" s="11" t="s">
        <v>132</v>
      </c>
      <c r="C75" s="11" t="s">
        <v>73</v>
      </c>
      <c r="D75" s="11" t="s">
        <v>74</v>
      </c>
      <c r="E75" s="11" t="s">
        <v>75</v>
      </c>
      <c r="F75" s="12" t="n">
        <f aca="false">SUMIFS(СПРОС_ДЕНЬ_ЧАС_МЕНЮ!$I$11:$I$3265,СПРОС_ДЕНЬ_ЧАС_МЕНЮ!$A$11:$A$3265,A75,СПРОС_ДЕНЬ_ЧАС_МЕНЮ!$B$11:$B$3265,B75,СПРОС_ДЕНЬ_ЧАС_МЕНЮ!$F$11:$F$3265,C75)</f>
        <v>1.2056</v>
      </c>
      <c r="G75" s="12" t="n">
        <f aca="false">ПАРАМЕТРЫ!D20</f>
        <v>25</v>
      </c>
      <c r="H75" s="12" t="n">
        <f aca="false">SUMIFS(ШТАТ_ПО_ЧАСАМ!$C$11:$C$115,ШТАТ_ПО_ЧАСАМ!$A$11:$A$115,A75,ШТАТ_ПО_ЧАСАМ!$B$11:$B$115,B75)</f>
        <v>2</v>
      </c>
      <c r="I75" s="12" t="n">
        <f aca="false">MIN(H75,1)*ПАРАМЕТРЫ!E20</f>
        <v>10</v>
      </c>
      <c r="J75" s="12" t="n">
        <f aca="false">MIN(G75,I75)</f>
        <v>10</v>
      </c>
      <c r="K75" s="12" t="n">
        <f aca="false">MAX(F75-J75,0)</f>
        <v>0</v>
      </c>
      <c r="L75" s="12" t="n">
        <f aca="false">IF(J75=0,0,F75/J75)</f>
        <v>0.12056</v>
      </c>
      <c r="M75" s="11" t="str">
        <f aca="false">IF(K75&gt;0,"BLOCKED","PASS")</f>
        <v>PASS</v>
      </c>
      <c r="N75" s="11" t="s">
        <v>233</v>
      </c>
    </row>
    <row r="76" customFormat="false" ht="23.85" hidden="false" customHeight="false" outlineLevel="0" collapsed="false">
      <c r="A76" s="11" t="s">
        <v>107</v>
      </c>
      <c r="B76" s="11" t="s">
        <v>132</v>
      </c>
      <c r="C76" s="11" t="s">
        <v>77</v>
      </c>
      <c r="D76" s="11" t="s">
        <v>78</v>
      </c>
      <c r="E76" s="11" t="s">
        <v>79</v>
      </c>
      <c r="F76" s="12" t="n">
        <f aca="false">SUMIFS(СПРОС_ДЕНЬ_ЧАС_МЕНЮ!$I$11:$I$3265,СПРОС_ДЕНЬ_ЧАС_МЕНЮ!$A$11:$A$3265,A76,СПРОС_ДЕНЬ_ЧАС_МЕНЮ!$B$11:$B$3265,B76,СПРОС_ДЕНЬ_ЧАС_МЕНЮ!$F$11:$F$3265,C76)</f>
        <v>1.55496</v>
      </c>
      <c r="G76" s="12" t="n">
        <f aca="false">ПАРАМЕТРЫ!D21</f>
        <v>20</v>
      </c>
      <c r="H76" s="12" t="n">
        <f aca="false">SUMIFS(ШТАТ_ПО_ЧАСАМ!$C$11:$C$115,ШТАТ_ПО_ЧАСАМ!$A$11:$A$115,A76,ШТАТ_ПО_ЧАСАМ!$B$11:$B$115,B76)</f>
        <v>2</v>
      </c>
      <c r="I76" s="12" t="n">
        <f aca="false">MIN(H76,1)*ПАРАМЕТРЫ!E21</f>
        <v>10</v>
      </c>
      <c r="J76" s="12" t="n">
        <f aca="false">MIN(G76,I76)</f>
        <v>10</v>
      </c>
      <c r="K76" s="12" t="n">
        <f aca="false">MAX(F76-J76,0)</f>
        <v>0</v>
      </c>
      <c r="L76" s="12" t="n">
        <f aca="false">IF(J76=0,0,F76/J76)</f>
        <v>0.155496</v>
      </c>
      <c r="M76" s="11" t="str">
        <f aca="false">IF(K76&gt;0,"BLOCKED","PASS")</f>
        <v>PASS</v>
      </c>
      <c r="N76" s="11" t="s">
        <v>233</v>
      </c>
    </row>
    <row r="77" customFormat="false" ht="23.85" hidden="false" customHeight="false" outlineLevel="0" collapsed="false">
      <c r="A77" s="11" t="s">
        <v>107</v>
      </c>
      <c r="B77" s="11" t="s">
        <v>132</v>
      </c>
      <c r="C77" s="11" t="s">
        <v>80</v>
      </c>
      <c r="D77" s="11" t="s">
        <v>81</v>
      </c>
      <c r="E77" s="11" t="s">
        <v>82</v>
      </c>
      <c r="F77" s="12" t="n">
        <f aca="false">SUMIFS(СПРОС_ДЕНЬ_ЧАС_МЕНЮ!$I$11:$I$3265,СПРОС_ДЕНЬ_ЧАС_МЕНЮ!$A$11:$A$3265,A77,СПРОС_ДЕНЬ_ЧАС_МЕНЮ!$B$11:$B$3265,B77,СПРОС_ДЕНЬ_ЧАС_МЕНЮ!$F$11:$F$3265,C77)</f>
        <v>1.672</v>
      </c>
      <c r="G77" s="12" t="n">
        <f aca="false">ПАРАМЕТРЫ!D22</f>
        <v>16</v>
      </c>
      <c r="H77" s="12" t="n">
        <f aca="false">SUMIFS(ШТАТ_ПО_ЧАСАМ!$C$11:$C$115,ШТАТ_ПО_ЧАСАМ!$A$11:$A$115,A77,ШТАТ_ПО_ЧАСАМ!$B$11:$B$115,B77)</f>
        <v>2</v>
      </c>
      <c r="I77" s="12" t="n">
        <f aca="false">MIN(H77,1)*ПАРАМЕТРЫ!E22</f>
        <v>16</v>
      </c>
      <c r="J77" s="12" t="n">
        <f aca="false">MIN(G77,I77)</f>
        <v>16</v>
      </c>
      <c r="K77" s="12" t="n">
        <f aca="false">MAX(F77-J77,0)</f>
        <v>0</v>
      </c>
      <c r="L77" s="12" t="n">
        <f aca="false">IF(J77=0,0,F77/J77)</f>
        <v>0.1045</v>
      </c>
      <c r="M77" s="11" t="str">
        <f aca="false">IF(K77&gt;0,"BLOCKED","PASS")</f>
        <v>PASS</v>
      </c>
      <c r="N77" s="11" t="s">
        <v>233</v>
      </c>
    </row>
    <row r="78" customFormat="false" ht="23.85" hidden="false" customHeight="false" outlineLevel="0" collapsed="false">
      <c r="A78" s="11" t="s">
        <v>107</v>
      </c>
      <c r="B78" s="11" t="s">
        <v>132</v>
      </c>
      <c r="C78" s="11" t="s">
        <v>83</v>
      </c>
      <c r="D78" s="11" t="s">
        <v>84</v>
      </c>
      <c r="E78" s="11" t="s">
        <v>83</v>
      </c>
      <c r="F78" s="12" t="n">
        <f aca="false">SUMIFS(СПРОС_ДЕНЬ_ЧАС_МЕНЮ!$I$11:$I$3265,СПРОС_ДЕНЬ_ЧАС_МЕНЮ!$A$11:$A$3265,A78,СПРОС_ДЕНЬ_ЧАС_МЕНЮ!$B$11:$B$3265,B78,СПРОС_ДЕНЬ_ЧАС_МЕНЮ!$F$11:$F$3265,C78)</f>
        <v>4.004</v>
      </c>
      <c r="G78" s="12" t="n">
        <f aca="false">ПАРАМЕТРЫ!D23</f>
        <v>21</v>
      </c>
      <c r="H78" s="12" t="n">
        <f aca="false">SUMIFS(ШТАТ_ПО_ЧАСАМ!$C$11:$C$115,ШТАТ_ПО_ЧАСАМ!$A$11:$A$115,A78,ШТАТ_ПО_ЧАСАМ!$B$11:$B$115,B78)</f>
        <v>2</v>
      </c>
      <c r="I78" s="12" t="n">
        <f aca="false">MIN(H78,1)*ПАРАМЕТРЫ!E23</f>
        <v>21</v>
      </c>
      <c r="J78" s="12" t="n">
        <f aca="false">MIN(G78,I78)</f>
        <v>21</v>
      </c>
      <c r="K78" s="12" t="n">
        <f aca="false">MAX(F78-J78,0)</f>
        <v>0</v>
      </c>
      <c r="L78" s="12" t="n">
        <f aca="false">IF(J78=0,0,F78/J78)</f>
        <v>0.190666666666667</v>
      </c>
      <c r="M78" s="11" t="str">
        <f aca="false">IF(K78&gt;0,"BLOCKED","PASS")</f>
        <v>PASS</v>
      </c>
      <c r="N78" s="11" t="s">
        <v>233</v>
      </c>
    </row>
    <row r="79" customFormat="false" ht="23.85" hidden="false" customHeight="false" outlineLevel="0" collapsed="false">
      <c r="A79" s="11" t="s">
        <v>107</v>
      </c>
      <c r="B79" s="11" t="s">
        <v>132</v>
      </c>
      <c r="C79" s="11" t="s">
        <v>85</v>
      </c>
      <c r="D79" s="11" t="s">
        <v>86</v>
      </c>
      <c r="E79" s="11" t="s">
        <v>87</v>
      </c>
      <c r="F79" s="12" t="n">
        <f aca="false">SUMIFS(СПРОС_ДЕНЬ_ЧАС_МЕНЮ!$I$11:$I$3265,СПРОС_ДЕНЬ_ЧАС_МЕНЮ!$A$11:$A$3265,A79,СПРОС_ДЕНЬ_ЧАС_МЕНЮ!$B$11:$B$3265,B79,СПРОС_ДЕНЬ_ЧАС_МЕНЮ!$F$11:$F$3265,C79)</f>
        <v>1.582834</v>
      </c>
      <c r="G79" s="12" t="n">
        <f aca="false">ПАРАМЕТРЫ!D24</f>
        <v>12</v>
      </c>
      <c r="H79" s="12" t="n">
        <f aca="false">SUMIFS(ШТАТ_ПО_ЧАСАМ!$C$11:$C$115,ШТАТ_ПО_ЧАСАМ!$A$11:$A$115,A79,ШТАТ_ПО_ЧАСАМ!$B$11:$B$115,B79)</f>
        <v>2</v>
      </c>
      <c r="I79" s="12" t="n">
        <f aca="false">MIN(H79,1)*ПАРАМЕТРЫ!E24</f>
        <v>12</v>
      </c>
      <c r="J79" s="12" t="n">
        <f aca="false">MIN(G79,I79)</f>
        <v>12</v>
      </c>
      <c r="K79" s="12" t="n">
        <f aca="false">MAX(F79-J79,0)</f>
        <v>0</v>
      </c>
      <c r="L79" s="12" t="n">
        <f aca="false">IF(J79=0,0,F79/J79)</f>
        <v>0.131902833333333</v>
      </c>
      <c r="M79" s="11" t="str">
        <f aca="false">IF(K79&gt;0,"BLOCKED","PASS")</f>
        <v>PASS</v>
      </c>
      <c r="N79" s="11" t="s">
        <v>233</v>
      </c>
    </row>
    <row r="80" customFormat="false" ht="23.85" hidden="false" customHeight="false" outlineLevel="0" collapsed="false">
      <c r="A80" s="11" t="s">
        <v>107</v>
      </c>
      <c r="B80" s="11" t="s">
        <v>132</v>
      </c>
      <c r="C80" s="11" t="s">
        <v>88</v>
      </c>
      <c r="D80" s="11" t="s">
        <v>89</v>
      </c>
      <c r="E80" s="11" t="s">
        <v>90</v>
      </c>
      <c r="F80" s="12" t="n">
        <f aca="false">SUMIFS(СПРОС_ДЕНЬ_ЧАС_МЕНЮ!$I$11:$I$3265,СПРОС_ДЕНЬ_ЧАС_МЕНЮ!$A$11:$A$3265,A80,СПРОС_ДЕНЬ_ЧАС_МЕНЮ!$B$11:$B$3265,B80,СПРОС_ДЕНЬ_ЧАС_МЕНЮ!$F$11:$F$3265,C80)</f>
        <v>0</v>
      </c>
      <c r="G80" s="12" t="n">
        <f aca="false">ПАРАМЕТРЫ!D25</f>
        <v>15</v>
      </c>
      <c r="H80" s="12" t="n">
        <f aca="false">SUMIFS(ШТАТ_ПО_ЧАСАМ!$C$11:$C$115,ШТАТ_ПО_ЧАСАМ!$A$11:$A$115,A80,ШТАТ_ПО_ЧАСАМ!$B$11:$B$115,B80)</f>
        <v>2</v>
      </c>
      <c r="I80" s="12" t="n">
        <f aca="false">MIN(H80,1)*ПАРАМЕТРЫ!E25</f>
        <v>10</v>
      </c>
      <c r="J80" s="12" t="n">
        <f aca="false">MIN(G80,I80)</f>
        <v>10</v>
      </c>
      <c r="K80" s="12" t="n">
        <f aca="false">MAX(F80-J80,0)</f>
        <v>0</v>
      </c>
      <c r="L80" s="12" t="n">
        <f aca="false">IF(J80=0,0,F80/J80)</f>
        <v>0</v>
      </c>
      <c r="M80" s="11" t="str">
        <f aca="false">IF(K80&gt;0,"BLOCKED","PASS")</f>
        <v>PASS</v>
      </c>
      <c r="N80" s="11" t="s">
        <v>233</v>
      </c>
    </row>
    <row r="81" customFormat="false" ht="23.85" hidden="false" customHeight="false" outlineLevel="0" collapsed="false">
      <c r="A81" s="11" t="s">
        <v>107</v>
      </c>
      <c r="B81" s="11" t="s">
        <v>132</v>
      </c>
      <c r="C81" s="11" t="s">
        <v>91</v>
      </c>
      <c r="D81" s="11" t="s">
        <v>92</v>
      </c>
      <c r="E81" s="11" t="s">
        <v>79</v>
      </c>
      <c r="F81" s="12" t="n">
        <f aca="false">SUMIFS(СПРОС_ДЕНЬ_ЧАС_МЕНЮ!$I$11:$I$3265,СПРОС_ДЕНЬ_ЧАС_МЕНЮ!$A$11:$A$3265,A81,СПРОС_ДЕНЬ_ЧАС_МЕНЮ!$B$11:$B$3265,B81,СПРОС_ДЕНЬ_ЧАС_МЕНЮ!$F$11:$F$3265,C81)</f>
        <v>0.8052</v>
      </c>
      <c r="G81" s="12" t="n">
        <f aca="false">ПАРАМЕТРЫ!D26</f>
        <v>20</v>
      </c>
      <c r="H81" s="12" t="n">
        <f aca="false">SUMIFS(ШТАТ_ПО_ЧАСАМ!$C$11:$C$115,ШТАТ_ПО_ЧАСАМ!$A$11:$A$115,A81,ШТАТ_ПО_ЧАСАМ!$B$11:$B$115,B81)</f>
        <v>2</v>
      </c>
      <c r="I81" s="12" t="n">
        <f aca="false">MIN(H81,1)*ПАРАМЕТРЫ!E26</f>
        <v>10</v>
      </c>
      <c r="J81" s="12" t="n">
        <f aca="false">MIN(G81,I81)</f>
        <v>10</v>
      </c>
      <c r="K81" s="12" t="n">
        <f aca="false">MAX(F81-J81,0)</f>
        <v>0</v>
      </c>
      <c r="L81" s="12" t="n">
        <f aca="false">IF(J81=0,0,F81/J81)</f>
        <v>0.08052</v>
      </c>
      <c r="M81" s="11" t="str">
        <f aca="false">IF(K81&gt;0,"BLOCKED","PASS")</f>
        <v>PASS</v>
      </c>
      <c r="N81" s="11" t="s">
        <v>233</v>
      </c>
    </row>
    <row r="82" customFormat="false" ht="15" hidden="false" customHeight="false" outlineLevel="0" collapsed="false">
      <c r="A82" s="11" t="s">
        <v>107</v>
      </c>
      <c r="B82" s="11" t="s">
        <v>132</v>
      </c>
      <c r="C82" s="11" t="s">
        <v>93</v>
      </c>
      <c r="D82" s="11" t="s">
        <v>234</v>
      </c>
      <c r="E82" s="11" t="s">
        <v>95</v>
      </c>
      <c r="F82" s="12" t="n">
        <f aca="false">SUMIFS(СПРОС_ДЕНЬ_ЧАС_МЕНЮ!$I$11:$I$3265,СПРОС_ДЕНЬ_ЧАС_МЕНЮ!$A$11:$A$3265,A82,СПРОС_ДЕНЬ_ЧАС_МЕНЮ!$B$11:$B$3265,B82)</f>
        <v>10.824594</v>
      </c>
      <c r="G82" s="12" t="n">
        <f aca="false">ПАРАМЕТРЫ!D27</f>
        <v>60</v>
      </c>
      <c r="H82" s="12" t="n">
        <f aca="false">SUMIFS(ШТАТ_ПО_ЧАСАМ!$C$11:$C$115,ШТАТ_ПО_ЧАСАМ!$A$11:$A$115,A82,ШТАТ_ПО_ЧАСАМ!$B$11:$B$115,B82)</f>
        <v>2</v>
      </c>
      <c r="I82" s="12" t="n">
        <f aca="false">H82*ПАРАМЕТРЫ!E27</f>
        <v>33.3333333333333</v>
      </c>
      <c r="J82" s="12" t="n">
        <f aca="false">MIN(G82,I82)</f>
        <v>33.3333333333333</v>
      </c>
      <c r="K82" s="12" t="n">
        <f aca="false">MAX(F82-J82,0)</f>
        <v>0</v>
      </c>
      <c r="L82" s="12" t="n">
        <f aca="false">IF(J82=0,0,F82/J82)</f>
        <v>0.32473782</v>
      </c>
      <c r="M82" s="11" t="str">
        <f aca="false">IF(K82&gt;0,"BLOCKED","PASS")</f>
        <v>PASS</v>
      </c>
      <c r="N82" s="11" t="s">
        <v>235</v>
      </c>
    </row>
    <row r="83" customFormat="false" ht="23.85" hidden="false" customHeight="false" outlineLevel="0" collapsed="false">
      <c r="A83" s="11" t="s">
        <v>107</v>
      </c>
      <c r="B83" s="11" t="s">
        <v>133</v>
      </c>
      <c r="C83" s="11" t="s">
        <v>73</v>
      </c>
      <c r="D83" s="11" t="s">
        <v>74</v>
      </c>
      <c r="E83" s="11" t="s">
        <v>75</v>
      </c>
      <c r="F83" s="12" t="n">
        <f aca="false">SUMIFS(СПРОС_ДЕНЬ_ЧАС_МЕНЮ!$I$11:$I$3265,СПРОС_ДЕНЬ_ЧАС_МЕНЮ!$A$11:$A$3265,A83,СПРОС_ДЕНЬ_ЧАС_МЕНЮ!$B$11:$B$3265,B83,СПРОС_ДЕНЬ_ЧАС_МЕНЮ!$F$11:$F$3265,C83)</f>
        <v>0.8756</v>
      </c>
      <c r="G83" s="12" t="n">
        <f aca="false">ПАРАМЕТРЫ!D20</f>
        <v>25</v>
      </c>
      <c r="H83" s="12" t="n">
        <f aca="false">SUMIFS(ШТАТ_ПО_ЧАСАМ!$C$11:$C$115,ШТАТ_ПО_ЧАСАМ!$A$11:$A$115,A83,ШТАТ_ПО_ЧАСАМ!$B$11:$B$115,B83)</f>
        <v>2</v>
      </c>
      <c r="I83" s="12" t="n">
        <f aca="false">MIN(H83,1)*ПАРАМЕТРЫ!E20</f>
        <v>10</v>
      </c>
      <c r="J83" s="12" t="n">
        <f aca="false">MIN(G83,I83)</f>
        <v>10</v>
      </c>
      <c r="K83" s="12" t="n">
        <f aca="false">MAX(F83-J83,0)</f>
        <v>0</v>
      </c>
      <c r="L83" s="12" t="n">
        <f aca="false">IF(J83=0,0,F83/J83)</f>
        <v>0.08756</v>
      </c>
      <c r="M83" s="11" t="str">
        <f aca="false">IF(K83&gt;0,"BLOCKED","PASS")</f>
        <v>PASS</v>
      </c>
      <c r="N83" s="11" t="s">
        <v>233</v>
      </c>
    </row>
    <row r="84" customFormat="false" ht="23.85" hidden="false" customHeight="false" outlineLevel="0" collapsed="false">
      <c r="A84" s="11" t="s">
        <v>107</v>
      </c>
      <c r="B84" s="11" t="s">
        <v>133</v>
      </c>
      <c r="C84" s="11" t="s">
        <v>77</v>
      </c>
      <c r="D84" s="11" t="s">
        <v>78</v>
      </c>
      <c r="E84" s="11" t="s">
        <v>79</v>
      </c>
      <c r="F84" s="12" t="n">
        <f aca="false">SUMIFS(СПРОС_ДЕНЬ_ЧАС_МЕНЮ!$I$11:$I$3265,СПРОС_ДЕНЬ_ЧАС_МЕНЮ!$A$11:$A$3265,A84,СПРОС_ДЕНЬ_ЧАС_МЕНЮ!$B$11:$B$3265,B84,СПРОС_ДЕНЬ_ЧАС_МЕНЮ!$F$11:$F$3265,C84)</f>
        <v>1.42296</v>
      </c>
      <c r="G84" s="12" t="n">
        <f aca="false">ПАРАМЕТРЫ!D21</f>
        <v>20</v>
      </c>
      <c r="H84" s="12" t="n">
        <f aca="false">SUMIFS(ШТАТ_ПО_ЧАСАМ!$C$11:$C$115,ШТАТ_ПО_ЧАСАМ!$A$11:$A$115,A84,ШТАТ_ПО_ЧАСАМ!$B$11:$B$115,B84)</f>
        <v>2</v>
      </c>
      <c r="I84" s="12" t="n">
        <f aca="false">MIN(H84,1)*ПАРАМЕТРЫ!E21</f>
        <v>10</v>
      </c>
      <c r="J84" s="12" t="n">
        <f aca="false">MIN(G84,I84)</f>
        <v>10</v>
      </c>
      <c r="K84" s="12" t="n">
        <f aca="false">MAX(F84-J84,0)</f>
        <v>0</v>
      </c>
      <c r="L84" s="12" t="n">
        <f aca="false">IF(J84=0,0,F84/J84)</f>
        <v>0.142296</v>
      </c>
      <c r="M84" s="11" t="str">
        <f aca="false">IF(K84&gt;0,"BLOCKED","PASS")</f>
        <v>PASS</v>
      </c>
      <c r="N84" s="11" t="s">
        <v>233</v>
      </c>
    </row>
    <row r="85" customFormat="false" ht="23.85" hidden="false" customHeight="false" outlineLevel="0" collapsed="false">
      <c r="A85" s="11" t="s">
        <v>107</v>
      </c>
      <c r="B85" s="11" t="s">
        <v>133</v>
      </c>
      <c r="C85" s="11" t="s">
        <v>80</v>
      </c>
      <c r="D85" s="11" t="s">
        <v>81</v>
      </c>
      <c r="E85" s="11" t="s">
        <v>82</v>
      </c>
      <c r="F85" s="12" t="n">
        <f aca="false">SUMIFS(СПРОС_ДЕНЬ_ЧАС_МЕНЮ!$I$11:$I$3265,СПРОС_ДЕНЬ_ЧАС_МЕНЮ!$A$11:$A$3265,A85,СПРОС_ДЕНЬ_ЧАС_МЕНЮ!$B$11:$B$3265,B85,СПРОС_ДЕНЬ_ЧАС_МЕНЮ!$F$11:$F$3265,C85)</f>
        <v>0.902</v>
      </c>
      <c r="G85" s="12" t="n">
        <f aca="false">ПАРАМЕТРЫ!D22</f>
        <v>16</v>
      </c>
      <c r="H85" s="12" t="n">
        <f aca="false">SUMIFS(ШТАТ_ПО_ЧАСАМ!$C$11:$C$115,ШТАТ_ПО_ЧАСАМ!$A$11:$A$115,A85,ШТАТ_ПО_ЧАСАМ!$B$11:$B$115,B85)</f>
        <v>2</v>
      </c>
      <c r="I85" s="12" t="n">
        <f aca="false">MIN(H85,1)*ПАРАМЕТРЫ!E22</f>
        <v>16</v>
      </c>
      <c r="J85" s="12" t="n">
        <f aca="false">MIN(G85,I85)</f>
        <v>16</v>
      </c>
      <c r="K85" s="12" t="n">
        <f aca="false">MAX(F85-J85,0)</f>
        <v>0</v>
      </c>
      <c r="L85" s="12" t="n">
        <f aca="false">IF(J85=0,0,F85/J85)</f>
        <v>0.056375</v>
      </c>
      <c r="M85" s="11" t="str">
        <f aca="false">IF(K85&gt;0,"BLOCKED","PASS")</f>
        <v>PASS</v>
      </c>
      <c r="N85" s="11" t="s">
        <v>233</v>
      </c>
    </row>
    <row r="86" customFormat="false" ht="23.85" hidden="false" customHeight="false" outlineLevel="0" collapsed="false">
      <c r="A86" s="11" t="s">
        <v>107</v>
      </c>
      <c r="B86" s="11" t="s">
        <v>133</v>
      </c>
      <c r="C86" s="11" t="s">
        <v>83</v>
      </c>
      <c r="D86" s="11" t="s">
        <v>84</v>
      </c>
      <c r="E86" s="11" t="s">
        <v>83</v>
      </c>
      <c r="F86" s="12" t="n">
        <f aca="false">SUMIFS(СПРОС_ДЕНЬ_ЧАС_МЕНЮ!$I$11:$I$3265,СПРОС_ДЕНЬ_ЧАС_МЕНЮ!$A$11:$A$3265,A86,СПРОС_ДЕНЬ_ЧАС_МЕНЮ!$B$11:$B$3265,B86,СПРОС_ДЕНЬ_ЧАС_МЕНЮ!$F$11:$F$3265,C86)</f>
        <v>1.584</v>
      </c>
      <c r="G86" s="12" t="n">
        <f aca="false">ПАРАМЕТРЫ!D23</f>
        <v>21</v>
      </c>
      <c r="H86" s="12" t="n">
        <f aca="false">SUMIFS(ШТАТ_ПО_ЧАСАМ!$C$11:$C$115,ШТАТ_ПО_ЧАСАМ!$A$11:$A$115,A86,ШТАТ_ПО_ЧАСАМ!$B$11:$B$115,B86)</f>
        <v>2</v>
      </c>
      <c r="I86" s="12" t="n">
        <f aca="false">MIN(H86,1)*ПАРАМЕТРЫ!E23</f>
        <v>21</v>
      </c>
      <c r="J86" s="12" t="n">
        <f aca="false">MIN(G86,I86)</f>
        <v>21</v>
      </c>
      <c r="K86" s="12" t="n">
        <f aca="false">MAX(F86-J86,0)</f>
        <v>0</v>
      </c>
      <c r="L86" s="12" t="n">
        <f aca="false">IF(J86=0,0,F86/J86)</f>
        <v>0.0754285714285714</v>
      </c>
      <c r="M86" s="11" t="str">
        <f aca="false">IF(K86&gt;0,"BLOCKED","PASS")</f>
        <v>PASS</v>
      </c>
      <c r="N86" s="11" t="s">
        <v>233</v>
      </c>
    </row>
    <row r="87" customFormat="false" ht="23.85" hidden="false" customHeight="false" outlineLevel="0" collapsed="false">
      <c r="A87" s="11" t="s">
        <v>107</v>
      </c>
      <c r="B87" s="11" t="s">
        <v>133</v>
      </c>
      <c r="C87" s="11" t="s">
        <v>85</v>
      </c>
      <c r="D87" s="11" t="s">
        <v>86</v>
      </c>
      <c r="E87" s="11" t="s">
        <v>87</v>
      </c>
      <c r="F87" s="12" t="n">
        <f aca="false">SUMIFS(СПРОС_ДЕНЬ_ЧАС_МЕНЮ!$I$11:$I$3265,СПРОС_ДЕНЬ_ЧАС_МЕНЮ!$A$11:$A$3265,A87,СПРОС_ДЕНЬ_ЧАС_МЕНЮ!$B$11:$B$3265,B87,СПРОС_ДЕНЬ_ЧАС_МЕНЮ!$F$11:$F$3265,C87)</f>
        <v>0.551584</v>
      </c>
      <c r="G87" s="12" t="n">
        <f aca="false">ПАРАМЕТРЫ!D24</f>
        <v>12</v>
      </c>
      <c r="H87" s="12" t="n">
        <f aca="false">SUMIFS(ШТАТ_ПО_ЧАСАМ!$C$11:$C$115,ШТАТ_ПО_ЧАСАМ!$A$11:$A$115,A87,ШТАТ_ПО_ЧАСАМ!$B$11:$B$115,B87)</f>
        <v>2</v>
      </c>
      <c r="I87" s="12" t="n">
        <f aca="false">MIN(H87,1)*ПАРАМЕТРЫ!E24</f>
        <v>12</v>
      </c>
      <c r="J87" s="12" t="n">
        <f aca="false">MIN(G87,I87)</f>
        <v>12</v>
      </c>
      <c r="K87" s="12" t="n">
        <f aca="false">MAX(F87-J87,0)</f>
        <v>0</v>
      </c>
      <c r="L87" s="12" t="n">
        <f aca="false">IF(J87=0,0,F87/J87)</f>
        <v>0.0459653333333333</v>
      </c>
      <c r="M87" s="11" t="str">
        <f aca="false">IF(K87&gt;0,"BLOCKED","PASS")</f>
        <v>PASS</v>
      </c>
      <c r="N87" s="11" t="s">
        <v>233</v>
      </c>
    </row>
    <row r="88" customFormat="false" ht="23.85" hidden="false" customHeight="false" outlineLevel="0" collapsed="false">
      <c r="A88" s="11" t="s">
        <v>107</v>
      </c>
      <c r="B88" s="11" t="s">
        <v>133</v>
      </c>
      <c r="C88" s="11" t="s">
        <v>88</v>
      </c>
      <c r="D88" s="11" t="s">
        <v>89</v>
      </c>
      <c r="E88" s="11" t="s">
        <v>90</v>
      </c>
      <c r="F88" s="12" t="n">
        <f aca="false">SUMIFS(СПРОС_ДЕНЬ_ЧАС_МЕНЮ!$I$11:$I$3265,СПРОС_ДЕНЬ_ЧАС_МЕНЮ!$A$11:$A$3265,A88,СПРОС_ДЕНЬ_ЧАС_МЕНЮ!$B$11:$B$3265,B88,СПРОС_ДЕНЬ_ЧАС_МЕНЮ!$F$11:$F$3265,C88)</f>
        <v>0</v>
      </c>
      <c r="G88" s="12" t="n">
        <f aca="false">ПАРАМЕТРЫ!D25</f>
        <v>15</v>
      </c>
      <c r="H88" s="12" t="n">
        <f aca="false">SUMIFS(ШТАТ_ПО_ЧАСАМ!$C$11:$C$115,ШТАТ_ПО_ЧАСАМ!$A$11:$A$115,A88,ШТАТ_ПО_ЧАСАМ!$B$11:$B$115,B88)</f>
        <v>2</v>
      </c>
      <c r="I88" s="12" t="n">
        <f aca="false">MIN(H88,1)*ПАРАМЕТРЫ!E25</f>
        <v>10</v>
      </c>
      <c r="J88" s="12" t="n">
        <f aca="false">MIN(G88,I88)</f>
        <v>10</v>
      </c>
      <c r="K88" s="12" t="n">
        <f aca="false">MAX(F88-J88,0)</f>
        <v>0</v>
      </c>
      <c r="L88" s="12" t="n">
        <f aca="false">IF(J88=0,0,F88/J88)</f>
        <v>0</v>
      </c>
      <c r="M88" s="11" t="str">
        <f aca="false">IF(K88&gt;0,"BLOCKED","PASS")</f>
        <v>PASS</v>
      </c>
      <c r="N88" s="11" t="s">
        <v>233</v>
      </c>
    </row>
    <row r="89" customFormat="false" ht="23.85" hidden="false" customHeight="false" outlineLevel="0" collapsed="false">
      <c r="A89" s="11" t="s">
        <v>107</v>
      </c>
      <c r="B89" s="11" t="s">
        <v>133</v>
      </c>
      <c r="C89" s="11" t="s">
        <v>91</v>
      </c>
      <c r="D89" s="11" t="s">
        <v>92</v>
      </c>
      <c r="E89" s="11" t="s">
        <v>79</v>
      </c>
      <c r="F89" s="12" t="n">
        <f aca="false">SUMIFS(СПРОС_ДЕНЬ_ЧАС_МЕНЮ!$I$11:$I$3265,СПРОС_ДЕНЬ_ЧАС_МЕНЮ!$A$11:$A$3265,A89,СПРОС_ДЕНЬ_ЧАС_МЕНЮ!$B$11:$B$3265,B89,СПРОС_ДЕНЬ_ЧАС_МЕНЮ!$F$11:$F$3265,C89)</f>
        <v>0.8052</v>
      </c>
      <c r="G89" s="12" t="n">
        <f aca="false">ПАРАМЕТРЫ!D26</f>
        <v>20</v>
      </c>
      <c r="H89" s="12" t="n">
        <f aca="false">SUMIFS(ШТАТ_ПО_ЧАСАМ!$C$11:$C$115,ШТАТ_ПО_ЧАСАМ!$A$11:$A$115,A89,ШТАТ_ПО_ЧАСАМ!$B$11:$B$115,B89)</f>
        <v>2</v>
      </c>
      <c r="I89" s="12" t="n">
        <f aca="false">MIN(H89,1)*ПАРАМЕТРЫ!E26</f>
        <v>10</v>
      </c>
      <c r="J89" s="12" t="n">
        <f aca="false">MIN(G89,I89)</f>
        <v>10</v>
      </c>
      <c r="K89" s="12" t="n">
        <f aca="false">MAX(F89-J89,0)</f>
        <v>0</v>
      </c>
      <c r="L89" s="12" t="n">
        <f aca="false">IF(J89=0,0,F89/J89)</f>
        <v>0.08052</v>
      </c>
      <c r="M89" s="11" t="str">
        <f aca="false">IF(K89&gt;0,"BLOCKED","PASS")</f>
        <v>PASS</v>
      </c>
      <c r="N89" s="11" t="s">
        <v>233</v>
      </c>
    </row>
    <row r="90" customFormat="false" ht="15" hidden="false" customHeight="false" outlineLevel="0" collapsed="false">
      <c r="A90" s="11" t="s">
        <v>107</v>
      </c>
      <c r="B90" s="11" t="s">
        <v>133</v>
      </c>
      <c r="C90" s="11" t="s">
        <v>93</v>
      </c>
      <c r="D90" s="11" t="s">
        <v>234</v>
      </c>
      <c r="E90" s="11" t="s">
        <v>95</v>
      </c>
      <c r="F90" s="12" t="n">
        <f aca="false">SUMIFS(СПРОС_ДЕНЬ_ЧАС_МЕНЮ!$I$11:$I$3265,СПРОС_ДЕНЬ_ЧАС_МЕНЮ!$A$11:$A$3265,A90,СПРОС_ДЕНЬ_ЧАС_МЕНЮ!$B$11:$B$3265,B90)</f>
        <v>6.141344</v>
      </c>
      <c r="G90" s="12" t="n">
        <f aca="false">ПАРАМЕТРЫ!D27</f>
        <v>60</v>
      </c>
      <c r="H90" s="12" t="n">
        <f aca="false">SUMIFS(ШТАТ_ПО_ЧАСАМ!$C$11:$C$115,ШТАТ_ПО_ЧАСАМ!$A$11:$A$115,A90,ШТАТ_ПО_ЧАСАМ!$B$11:$B$115,B90)</f>
        <v>2</v>
      </c>
      <c r="I90" s="12" t="n">
        <f aca="false">H90*ПАРАМЕТРЫ!E27</f>
        <v>33.3333333333333</v>
      </c>
      <c r="J90" s="12" t="n">
        <f aca="false">MIN(G90,I90)</f>
        <v>33.3333333333333</v>
      </c>
      <c r="K90" s="12" t="n">
        <f aca="false">MAX(F90-J90,0)</f>
        <v>0</v>
      </c>
      <c r="L90" s="12" t="n">
        <f aca="false">IF(J90=0,0,F90/J90)</f>
        <v>0.18424032</v>
      </c>
      <c r="M90" s="11" t="str">
        <f aca="false">IF(K90&gt;0,"BLOCKED","PASS")</f>
        <v>PASS</v>
      </c>
      <c r="N90" s="11" t="s">
        <v>235</v>
      </c>
    </row>
    <row r="91" customFormat="false" ht="23.85" hidden="false" customHeight="false" outlineLevel="0" collapsed="false">
      <c r="A91" s="11" t="s">
        <v>107</v>
      </c>
      <c r="B91" s="11" t="s">
        <v>134</v>
      </c>
      <c r="C91" s="11" t="s">
        <v>73</v>
      </c>
      <c r="D91" s="11" t="s">
        <v>74</v>
      </c>
      <c r="E91" s="11" t="s">
        <v>75</v>
      </c>
      <c r="F91" s="12" t="n">
        <f aca="false">SUMIFS(СПРОС_ДЕНЬ_ЧАС_МЕНЮ!$I$11:$I$3265,СПРОС_ДЕНЬ_ЧАС_МЕНЮ!$A$11:$A$3265,A91,СПРОС_ДЕНЬ_ЧАС_МЕНЮ!$B$11:$B$3265,B91,СПРОС_ДЕНЬ_ЧАС_МЕНЮ!$F$11:$F$3265,C91)</f>
        <v>1.6654</v>
      </c>
      <c r="G91" s="12" t="n">
        <f aca="false">ПАРАМЕТРЫ!D20</f>
        <v>25</v>
      </c>
      <c r="H91" s="12" t="n">
        <f aca="false">SUMIFS(ШТАТ_ПО_ЧАСАМ!$C$11:$C$115,ШТАТ_ПО_ЧАСАМ!$A$11:$A$115,A91,ШТАТ_ПО_ЧАСАМ!$B$11:$B$115,B91)</f>
        <v>2</v>
      </c>
      <c r="I91" s="12" t="n">
        <f aca="false">MIN(H91,1)*ПАРАМЕТРЫ!E20</f>
        <v>10</v>
      </c>
      <c r="J91" s="12" t="n">
        <f aca="false">MIN(G91,I91)</f>
        <v>10</v>
      </c>
      <c r="K91" s="12" t="n">
        <f aca="false">MAX(F91-J91,0)</f>
        <v>0</v>
      </c>
      <c r="L91" s="12" t="n">
        <f aca="false">IF(J91=0,0,F91/J91)</f>
        <v>0.16654</v>
      </c>
      <c r="M91" s="11" t="str">
        <f aca="false">IF(K91&gt;0,"BLOCKED","PASS")</f>
        <v>PASS</v>
      </c>
      <c r="N91" s="11" t="s">
        <v>233</v>
      </c>
    </row>
    <row r="92" customFormat="false" ht="23.85" hidden="false" customHeight="false" outlineLevel="0" collapsed="false">
      <c r="A92" s="11" t="s">
        <v>107</v>
      </c>
      <c r="B92" s="11" t="s">
        <v>134</v>
      </c>
      <c r="C92" s="11" t="s">
        <v>77</v>
      </c>
      <c r="D92" s="11" t="s">
        <v>78</v>
      </c>
      <c r="E92" s="11" t="s">
        <v>79</v>
      </c>
      <c r="F92" s="12" t="n">
        <f aca="false">SUMIFS(СПРОС_ДЕНЬ_ЧАС_МЕНЮ!$I$11:$I$3265,СПРОС_ДЕНЬ_ЧАС_МЕНЮ!$A$11:$A$3265,A92,СПРОС_ДЕНЬ_ЧАС_МЕНЮ!$B$11:$B$3265,B92,СПРОС_ДЕНЬ_ЧАС_МЕНЮ!$F$11:$F$3265,C92)</f>
        <v>1.62844</v>
      </c>
      <c r="G92" s="12" t="n">
        <f aca="false">ПАРАМЕТРЫ!D21</f>
        <v>20</v>
      </c>
      <c r="H92" s="12" t="n">
        <f aca="false">SUMIFS(ШТАТ_ПО_ЧАСАМ!$C$11:$C$115,ШТАТ_ПО_ЧАСАМ!$A$11:$A$115,A92,ШТАТ_ПО_ЧАСАМ!$B$11:$B$115,B92)</f>
        <v>2</v>
      </c>
      <c r="I92" s="12" t="n">
        <f aca="false">MIN(H92,1)*ПАРАМЕТРЫ!E21</f>
        <v>10</v>
      </c>
      <c r="J92" s="12" t="n">
        <f aca="false">MIN(G92,I92)</f>
        <v>10</v>
      </c>
      <c r="K92" s="12" t="n">
        <f aca="false">MAX(F92-J92,0)</f>
        <v>0</v>
      </c>
      <c r="L92" s="12" t="n">
        <f aca="false">IF(J92=0,0,F92/J92)</f>
        <v>0.162844</v>
      </c>
      <c r="M92" s="11" t="str">
        <f aca="false">IF(K92&gt;0,"BLOCKED","PASS")</f>
        <v>PASS</v>
      </c>
      <c r="N92" s="11" t="s">
        <v>233</v>
      </c>
    </row>
    <row r="93" customFormat="false" ht="23.85" hidden="false" customHeight="false" outlineLevel="0" collapsed="false">
      <c r="A93" s="11" t="s">
        <v>107</v>
      </c>
      <c r="B93" s="11" t="s">
        <v>134</v>
      </c>
      <c r="C93" s="11" t="s">
        <v>80</v>
      </c>
      <c r="D93" s="11" t="s">
        <v>81</v>
      </c>
      <c r="E93" s="11" t="s">
        <v>82</v>
      </c>
      <c r="F93" s="12" t="n">
        <f aca="false">SUMIFS(СПРОС_ДЕНЬ_ЧАС_МЕНЮ!$I$11:$I$3265,СПРОС_ДЕНЬ_ЧАС_МЕНЮ!$A$11:$A$3265,A93,СПРОС_ДЕНЬ_ЧАС_МЕНЮ!$B$11:$B$3265,B93,СПРОС_ДЕНЬ_ЧАС_МЕНЮ!$F$11:$F$3265,C93)</f>
        <v>1.7545</v>
      </c>
      <c r="G93" s="12" t="n">
        <f aca="false">ПАРАМЕТРЫ!D22</f>
        <v>16</v>
      </c>
      <c r="H93" s="12" t="n">
        <f aca="false">SUMIFS(ШТАТ_ПО_ЧАСАМ!$C$11:$C$115,ШТАТ_ПО_ЧАСАМ!$A$11:$A$115,A93,ШТАТ_ПО_ЧАСАМ!$B$11:$B$115,B93)</f>
        <v>2</v>
      </c>
      <c r="I93" s="12" t="n">
        <f aca="false">MIN(H93,1)*ПАРАМЕТРЫ!E22</f>
        <v>16</v>
      </c>
      <c r="J93" s="12" t="n">
        <f aca="false">MIN(G93,I93)</f>
        <v>16</v>
      </c>
      <c r="K93" s="12" t="n">
        <f aca="false">MAX(F93-J93,0)</f>
        <v>0</v>
      </c>
      <c r="L93" s="12" t="n">
        <f aca="false">IF(J93=0,0,F93/J93)</f>
        <v>0.10965625</v>
      </c>
      <c r="M93" s="11" t="str">
        <f aca="false">IF(K93&gt;0,"BLOCKED","PASS")</f>
        <v>PASS</v>
      </c>
      <c r="N93" s="11" t="s">
        <v>233</v>
      </c>
    </row>
    <row r="94" customFormat="false" ht="23.85" hidden="false" customHeight="false" outlineLevel="0" collapsed="false">
      <c r="A94" s="11" t="s">
        <v>107</v>
      </c>
      <c r="B94" s="11" t="s">
        <v>134</v>
      </c>
      <c r="C94" s="11" t="s">
        <v>83</v>
      </c>
      <c r="D94" s="11" t="s">
        <v>84</v>
      </c>
      <c r="E94" s="11" t="s">
        <v>83</v>
      </c>
      <c r="F94" s="12" t="n">
        <f aca="false">SUMIFS(СПРОС_ДЕНЬ_ЧАС_МЕНЮ!$I$11:$I$3265,СПРОС_ДЕНЬ_ЧАС_МЕНЮ!$A$11:$A$3265,A94,СПРОС_ДЕНЬ_ЧАС_МЕНЮ!$B$11:$B$3265,B94,СПРОС_ДЕНЬ_ЧАС_МЕНЮ!$F$11:$F$3265,C94)</f>
        <v>3.1075</v>
      </c>
      <c r="G94" s="12" t="n">
        <f aca="false">ПАРАМЕТРЫ!D23</f>
        <v>21</v>
      </c>
      <c r="H94" s="12" t="n">
        <f aca="false">SUMIFS(ШТАТ_ПО_ЧАСАМ!$C$11:$C$115,ШТАТ_ПО_ЧАСАМ!$A$11:$A$115,A94,ШТАТ_ПО_ЧАСАМ!$B$11:$B$115,B94)</f>
        <v>2</v>
      </c>
      <c r="I94" s="12" t="n">
        <f aca="false">MIN(H94,1)*ПАРАМЕТРЫ!E23</f>
        <v>21</v>
      </c>
      <c r="J94" s="12" t="n">
        <f aca="false">MIN(G94,I94)</f>
        <v>21</v>
      </c>
      <c r="K94" s="12" t="n">
        <f aca="false">MAX(F94-J94,0)</f>
        <v>0</v>
      </c>
      <c r="L94" s="12" t="n">
        <f aca="false">IF(J94=0,0,F94/J94)</f>
        <v>0.14797619047619</v>
      </c>
      <c r="M94" s="11" t="str">
        <f aca="false">IF(K94&gt;0,"BLOCKED","PASS")</f>
        <v>PASS</v>
      </c>
      <c r="N94" s="11" t="s">
        <v>233</v>
      </c>
    </row>
    <row r="95" customFormat="false" ht="23.85" hidden="false" customHeight="false" outlineLevel="0" collapsed="false">
      <c r="A95" s="11" t="s">
        <v>107</v>
      </c>
      <c r="B95" s="11" t="s">
        <v>134</v>
      </c>
      <c r="C95" s="11" t="s">
        <v>85</v>
      </c>
      <c r="D95" s="11" t="s">
        <v>86</v>
      </c>
      <c r="E95" s="11" t="s">
        <v>87</v>
      </c>
      <c r="F95" s="12" t="n">
        <f aca="false">SUMIFS(СПРОС_ДЕНЬ_ЧАС_МЕНЮ!$I$11:$I$3265,СПРОС_ДЕНЬ_ЧАС_МЕНЮ!$A$11:$A$3265,A95,СПРОС_ДЕНЬ_ЧАС_МЕНЮ!$B$11:$B$3265,B95,СПРОС_ДЕНЬ_ЧАС_МЕНЮ!$F$11:$F$3265,C95)</f>
        <v>1.1850135</v>
      </c>
      <c r="G95" s="12" t="n">
        <f aca="false">ПАРАМЕТРЫ!D24</f>
        <v>12</v>
      </c>
      <c r="H95" s="12" t="n">
        <f aca="false">SUMIFS(ШТАТ_ПО_ЧАСАМ!$C$11:$C$115,ШТАТ_ПО_ЧАСАМ!$A$11:$A$115,A95,ШТАТ_ПО_ЧАСАМ!$B$11:$B$115,B95)</f>
        <v>2</v>
      </c>
      <c r="I95" s="12" t="n">
        <f aca="false">MIN(H95,1)*ПАРАМЕТРЫ!E24</f>
        <v>12</v>
      </c>
      <c r="J95" s="12" t="n">
        <f aca="false">MIN(G95,I95)</f>
        <v>12</v>
      </c>
      <c r="K95" s="12" t="n">
        <f aca="false">MAX(F95-J95,0)</f>
        <v>0</v>
      </c>
      <c r="L95" s="12" t="n">
        <f aca="false">IF(J95=0,0,F95/J95)</f>
        <v>0.098751125</v>
      </c>
      <c r="M95" s="11" t="str">
        <f aca="false">IF(K95&gt;0,"BLOCKED","PASS")</f>
        <v>PASS</v>
      </c>
      <c r="N95" s="11" t="s">
        <v>233</v>
      </c>
    </row>
    <row r="96" customFormat="false" ht="23.85" hidden="false" customHeight="false" outlineLevel="0" collapsed="false">
      <c r="A96" s="11" t="s">
        <v>107</v>
      </c>
      <c r="B96" s="11" t="s">
        <v>134</v>
      </c>
      <c r="C96" s="11" t="s">
        <v>88</v>
      </c>
      <c r="D96" s="11" t="s">
        <v>89</v>
      </c>
      <c r="E96" s="11" t="s">
        <v>90</v>
      </c>
      <c r="F96" s="12" t="n">
        <f aca="false">SUMIFS(СПРОС_ДЕНЬ_ЧАС_МЕНЮ!$I$11:$I$3265,СПРОС_ДЕНЬ_ЧАС_МЕНЮ!$A$11:$A$3265,A96,СПРОС_ДЕНЬ_ЧАС_МЕНЮ!$B$11:$B$3265,B96,СПРОС_ДЕНЬ_ЧАС_МЕНЮ!$F$11:$F$3265,C96)</f>
        <v>0</v>
      </c>
      <c r="G96" s="12" t="n">
        <f aca="false">ПАРАМЕТРЫ!D25</f>
        <v>15</v>
      </c>
      <c r="H96" s="12" t="n">
        <f aca="false">SUMIFS(ШТАТ_ПО_ЧАСАМ!$C$11:$C$115,ШТАТ_ПО_ЧАСАМ!$A$11:$A$115,A96,ШТАТ_ПО_ЧАСАМ!$B$11:$B$115,B96)</f>
        <v>2</v>
      </c>
      <c r="I96" s="12" t="n">
        <f aca="false">MIN(H96,1)*ПАРАМЕТРЫ!E25</f>
        <v>10</v>
      </c>
      <c r="J96" s="12" t="n">
        <f aca="false">MIN(G96,I96)</f>
        <v>10</v>
      </c>
      <c r="K96" s="12" t="n">
        <f aca="false">MAX(F96-J96,0)</f>
        <v>0</v>
      </c>
      <c r="L96" s="12" t="n">
        <f aca="false">IF(J96=0,0,F96/J96)</f>
        <v>0</v>
      </c>
      <c r="M96" s="11" t="str">
        <f aca="false">IF(K96&gt;0,"BLOCKED","PASS")</f>
        <v>PASS</v>
      </c>
      <c r="N96" s="11" t="s">
        <v>233</v>
      </c>
    </row>
    <row r="97" customFormat="false" ht="23.85" hidden="false" customHeight="false" outlineLevel="0" collapsed="false">
      <c r="A97" s="11" t="s">
        <v>107</v>
      </c>
      <c r="B97" s="11" t="s">
        <v>134</v>
      </c>
      <c r="C97" s="11" t="s">
        <v>91</v>
      </c>
      <c r="D97" s="11" t="s">
        <v>92</v>
      </c>
      <c r="E97" s="11" t="s">
        <v>79</v>
      </c>
      <c r="F97" s="12" t="n">
        <f aca="false">SUMIFS(СПРОС_ДЕНЬ_ЧАС_МЕНЮ!$I$11:$I$3265,СПРОС_ДЕНЬ_ЧАС_МЕНЮ!$A$11:$A$3265,A97,СПРОС_ДЕНЬ_ЧАС_МЕНЮ!$B$11:$B$3265,B97,СПРОС_ДЕНЬ_ЧАС_МЕНЮ!$F$11:$F$3265,C97)</f>
        <v>0.9658</v>
      </c>
      <c r="G97" s="12" t="n">
        <f aca="false">ПАРАМЕТРЫ!D26</f>
        <v>20</v>
      </c>
      <c r="H97" s="12" t="n">
        <f aca="false">SUMIFS(ШТАТ_ПО_ЧАСАМ!$C$11:$C$115,ШТАТ_ПО_ЧАСАМ!$A$11:$A$115,A97,ШТАТ_ПО_ЧАСАМ!$B$11:$B$115,B97)</f>
        <v>2</v>
      </c>
      <c r="I97" s="12" t="n">
        <f aca="false">MIN(H97,1)*ПАРАМЕТРЫ!E26</f>
        <v>10</v>
      </c>
      <c r="J97" s="12" t="n">
        <f aca="false">MIN(G97,I97)</f>
        <v>10</v>
      </c>
      <c r="K97" s="12" t="n">
        <f aca="false">MAX(F97-J97,0)</f>
        <v>0</v>
      </c>
      <c r="L97" s="12" t="n">
        <f aca="false">IF(J97=0,0,F97/J97)</f>
        <v>0.09658</v>
      </c>
      <c r="M97" s="11" t="str">
        <f aca="false">IF(K97&gt;0,"BLOCKED","PASS")</f>
        <v>PASS</v>
      </c>
      <c r="N97" s="11" t="s">
        <v>233</v>
      </c>
    </row>
    <row r="98" customFormat="false" ht="15" hidden="false" customHeight="false" outlineLevel="0" collapsed="false">
      <c r="A98" s="11" t="s">
        <v>107</v>
      </c>
      <c r="B98" s="11" t="s">
        <v>134</v>
      </c>
      <c r="C98" s="11" t="s">
        <v>93</v>
      </c>
      <c r="D98" s="11" t="s">
        <v>234</v>
      </c>
      <c r="E98" s="11" t="s">
        <v>95</v>
      </c>
      <c r="F98" s="12" t="n">
        <f aca="false">SUMIFS(СПРОС_ДЕНЬ_ЧАС_МЕНЮ!$I$11:$I$3265,СПРОС_ДЕНЬ_ЧАС_МЕНЮ!$A$11:$A$3265,A98,СПРОС_ДЕНЬ_ЧАС_МЕНЮ!$B$11:$B$3265,B98)</f>
        <v>10.3066535</v>
      </c>
      <c r="G98" s="12" t="n">
        <f aca="false">ПАРАМЕТРЫ!D27</f>
        <v>60</v>
      </c>
      <c r="H98" s="12" t="n">
        <f aca="false">SUMIFS(ШТАТ_ПО_ЧАСАМ!$C$11:$C$115,ШТАТ_ПО_ЧАСАМ!$A$11:$A$115,A98,ШТАТ_ПО_ЧАСАМ!$B$11:$B$115,B98)</f>
        <v>2</v>
      </c>
      <c r="I98" s="12" t="n">
        <f aca="false">H98*ПАРАМЕТРЫ!E27</f>
        <v>33.3333333333333</v>
      </c>
      <c r="J98" s="12" t="n">
        <f aca="false">MIN(G98,I98)</f>
        <v>33.3333333333333</v>
      </c>
      <c r="K98" s="12" t="n">
        <f aca="false">MAX(F98-J98,0)</f>
        <v>0</v>
      </c>
      <c r="L98" s="12" t="n">
        <f aca="false">IF(J98=0,0,F98/J98)</f>
        <v>0.309199605</v>
      </c>
      <c r="M98" s="11" t="str">
        <f aca="false">IF(K98&gt;0,"BLOCKED","PASS")</f>
        <v>PASS</v>
      </c>
      <c r="N98" s="11" t="s">
        <v>235</v>
      </c>
    </row>
    <row r="99" customFormat="false" ht="23.85" hidden="false" customHeight="false" outlineLevel="0" collapsed="false">
      <c r="A99" s="11" t="s">
        <v>107</v>
      </c>
      <c r="B99" s="11" t="s">
        <v>135</v>
      </c>
      <c r="C99" s="11" t="s">
        <v>73</v>
      </c>
      <c r="D99" s="11" t="s">
        <v>74</v>
      </c>
      <c r="E99" s="11" t="s">
        <v>75</v>
      </c>
      <c r="F99" s="12" t="n">
        <f aca="false">SUMIFS(СПРОС_ДЕНЬ_ЧАС_МЕНЮ!$I$11:$I$3265,СПРОС_ДЕНЬ_ЧАС_МЕНЮ!$A$11:$A$3265,A99,СПРОС_ДЕНЬ_ЧАС_МЕНЮ!$B$11:$B$3265,B99,СПРОС_ДЕНЬ_ЧАС_МЕНЮ!$F$11:$F$3265,C99)</f>
        <v>2.9403</v>
      </c>
      <c r="G99" s="12" t="n">
        <f aca="false">ПАРАМЕТРЫ!D20</f>
        <v>25</v>
      </c>
      <c r="H99" s="12" t="n">
        <f aca="false">SUMIFS(ШТАТ_ПО_ЧАСАМ!$C$11:$C$115,ШТАТ_ПО_ЧАСАМ!$A$11:$A$115,A99,ШТАТ_ПО_ЧАСАМ!$B$11:$B$115,B99)</f>
        <v>1</v>
      </c>
      <c r="I99" s="12" t="n">
        <f aca="false">MIN(H99,1)*ПАРАМЕТРЫ!E20</f>
        <v>10</v>
      </c>
      <c r="J99" s="12" t="n">
        <f aca="false">MIN(G99,I99)</f>
        <v>10</v>
      </c>
      <c r="K99" s="12" t="n">
        <f aca="false">MAX(F99-J99,0)</f>
        <v>0</v>
      </c>
      <c r="L99" s="12" t="n">
        <f aca="false">IF(J99=0,0,F99/J99)</f>
        <v>0.29403</v>
      </c>
      <c r="M99" s="11" t="str">
        <f aca="false">IF(K99&gt;0,"BLOCKED","PASS")</f>
        <v>PASS</v>
      </c>
      <c r="N99" s="11" t="s">
        <v>233</v>
      </c>
    </row>
    <row r="100" customFormat="false" ht="23.85" hidden="false" customHeight="false" outlineLevel="0" collapsed="false">
      <c r="A100" s="11" t="s">
        <v>107</v>
      </c>
      <c r="B100" s="11" t="s">
        <v>135</v>
      </c>
      <c r="C100" s="11" t="s">
        <v>77</v>
      </c>
      <c r="D100" s="11" t="s">
        <v>78</v>
      </c>
      <c r="E100" s="11" t="s">
        <v>79</v>
      </c>
      <c r="F100" s="12" t="n">
        <f aca="false">SUMIFS(СПРОС_ДЕНЬ_ЧАС_МЕНЮ!$I$11:$I$3265,СПРОС_ДЕНЬ_ЧАС_МЕНЮ!$A$11:$A$3265,A100,СПРОС_ДЕНЬ_ЧАС_МЕНЮ!$B$11:$B$3265,B100,СПРОС_ДЕНЬ_ЧАС_МЕНЮ!$F$11:$F$3265,C100)</f>
        <v>1.94238</v>
      </c>
      <c r="G100" s="12" t="n">
        <f aca="false">ПАРАМЕТРЫ!D21</f>
        <v>20</v>
      </c>
      <c r="H100" s="12" t="n">
        <f aca="false">SUMIFS(ШТАТ_ПО_ЧАСАМ!$C$11:$C$115,ШТАТ_ПО_ЧАСАМ!$A$11:$A$115,A100,ШТАТ_ПО_ЧАСАМ!$B$11:$B$115,B100)</f>
        <v>1</v>
      </c>
      <c r="I100" s="12" t="n">
        <f aca="false">MIN(H100,1)*ПАРАМЕТРЫ!E21</f>
        <v>10</v>
      </c>
      <c r="J100" s="12" t="n">
        <f aca="false">MIN(G100,I100)</f>
        <v>10</v>
      </c>
      <c r="K100" s="12" t="n">
        <f aca="false">MAX(F100-J100,0)</f>
        <v>0</v>
      </c>
      <c r="L100" s="12" t="n">
        <f aca="false">IF(J100=0,0,F100/J100)</f>
        <v>0.194238</v>
      </c>
      <c r="M100" s="11" t="str">
        <f aca="false">IF(K100&gt;0,"BLOCKED","PASS")</f>
        <v>PASS</v>
      </c>
      <c r="N100" s="11" t="s">
        <v>233</v>
      </c>
    </row>
    <row r="101" customFormat="false" ht="23.85" hidden="false" customHeight="false" outlineLevel="0" collapsed="false">
      <c r="A101" s="11" t="s">
        <v>107</v>
      </c>
      <c r="B101" s="11" t="s">
        <v>135</v>
      </c>
      <c r="C101" s="11" t="s">
        <v>80</v>
      </c>
      <c r="D101" s="11" t="s">
        <v>81</v>
      </c>
      <c r="E101" s="11" t="s">
        <v>82</v>
      </c>
      <c r="F101" s="12" t="n">
        <f aca="false">SUMIFS(СПРОС_ДЕНЬ_ЧАС_МЕНЮ!$I$11:$I$3265,СПРОС_ДЕНЬ_ЧАС_МЕНЮ!$A$11:$A$3265,A101,СПРОС_ДЕНЬ_ЧАС_МЕНЮ!$B$11:$B$3265,B101,СПРОС_ДЕНЬ_ЧАС_МЕНЮ!$F$11:$F$3265,C101)</f>
        <v>3.663</v>
      </c>
      <c r="G101" s="12" t="n">
        <f aca="false">ПАРАМЕТРЫ!D22</f>
        <v>16</v>
      </c>
      <c r="H101" s="12" t="n">
        <f aca="false">SUMIFS(ШТАТ_ПО_ЧАСАМ!$C$11:$C$115,ШТАТ_ПО_ЧАСАМ!$A$11:$A$115,A101,ШТАТ_ПО_ЧАСАМ!$B$11:$B$115,B101)</f>
        <v>1</v>
      </c>
      <c r="I101" s="12" t="n">
        <f aca="false">MIN(H101,1)*ПАРАМЕТРЫ!E22</f>
        <v>16</v>
      </c>
      <c r="J101" s="12" t="n">
        <f aca="false">MIN(G101,I101)</f>
        <v>16</v>
      </c>
      <c r="K101" s="12" t="n">
        <f aca="false">MAX(F101-J101,0)</f>
        <v>0</v>
      </c>
      <c r="L101" s="12" t="n">
        <f aca="false">IF(J101=0,0,F101/J101)</f>
        <v>0.2289375</v>
      </c>
      <c r="M101" s="11" t="str">
        <f aca="false">IF(K101&gt;0,"BLOCKED","PASS")</f>
        <v>PASS</v>
      </c>
      <c r="N101" s="11" t="s">
        <v>233</v>
      </c>
    </row>
    <row r="102" customFormat="false" ht="23.85" hidden="false" customHeight="false" outlineLevel="0" collapsed="false">
      <c r="A102" s="11" t="s">
        <v>107</v>
      </c>
      <c r="B102" s="11" t="s">
        <v>135</v>
      </c>
      <c r="C102" s="11" t="s">
        <v>83</v>
      </c>
      <c r="D102" s="11" t="s">
        <v>84</v>
      </c>
      <c r="E102" s="11" t="s">
        <v>83</v>
      </c>
      <c r="F102" s="12" t="n">
        <f aca="false">SUMIFS(СПРОС_ДЕНЬ_ЧАС_МЕНЮ!$I$11:$I$3265,СПРОС_ДЕНЬ_ЧАС_МЕНЮ!$A$11:$A$3265,A102,СПРОС_ДЕНЬ_ЧАС_МЕНЮ!$B$11:$B$3265,B102,СПРОС_ДЕНЬ_ЧАС_МЕНЮ!$F$11:$F$3265,C102)</f>
        <v>6.2865</v>
      </c>
      <c r="G102" s="12" t="n">
        <f aca="false">ПАРАМЕТРЫ!D23</f>
        <v>21</v>
      </c>
      <c r="H102" s="12" t="n">
        <f aca="false">SUMIFS(ШТАТ_ПО_ЧАСАМ!$C$11:$C$115,ШТАТ_ПО_ЧАСАМ!$A$11:$A$115,A102,ШТАТ_ПО_ЧАСАМ!$B$11:$B$115,B102)</f>
        <v>1</v>
      </c>
      <c r="I102" s="12" t="n">
        <f aca="false">MIN(H102,1)*ПАРАМЕТРЫ!E23</f>
        <v>21</v>
      </c>
      <c r="J102" s="12" t="n">
        <f aca="false">MIN(G102,I102)</f>
        <v>21</v>
      </c>
      <c r="K102" s="12" t="n">
        <f aca="false">MAX(F102-J102,0)</f>
        <v>0</v>
      </c>
      <c r="L102" s="12" t="n">
        <f aca="false">IF(J102=0,0,F102/J102)</f>
        <v>0.299357142857143</v>
      </c>
      <c r="M102" s="11" t="str">
        <f aca="false">IF(K102&gt;0,"BLOCKED","PASS")</f>
        <v>PASS</v>
      </c>
      <c r="N102" s="11" t="s">
        <v>233</v>
      </c>
    </row>
    <row r="103" customFormat="false" ht="23.85" hidden="false" customHeight="false" outlineLevel="0" collapsed="false">
      <c r="A103" s="11" t="s">
        <v>107</v>
      </c>
      <c r="B103" s="11" t="s">
        <v>135</v>
      </c>
      <c r="C103" s="11" t="s">
        <v>85</v>
      </c>
      <c r="D103" s="11" t="s">
        <v>86</v>
      </c>
      <c r="E103" s="11" t="s">
        <v>87</v>
      </c>
      <c r="F103" s="12" t="n">
        <f aca="false">SUMIFS(СПРОС_ДЕНЬ_ЧАС_МЕНЮ!$I$11:$I$3265,СПРОС_ДЕНЬ_ЧАС_МЕНЮ!$A$11:$A$3265,A103,СПРОС_ДЕНЬ_ЧАС_МЕНЮ!$B$11:$B$3265,B103,СПРОС_ДЕНЬ_ЧАС_МЕНЮ!$F$11:$F$3265,C103)</f>
        <v>2.7276645</v>
      </c>
      <c r="G103" s="12" t="n">
        <f aca="false">ПАРАМЕТРЫ!D24</f>
        <v>12</v>
      </c>
      <c r="H103" s="12" t="n">
        <f aca="false">SUMIFS(ШТАТ_ПО_ЧАСАМ!$C$11:$C$115,ШТАТ_ПО_ЧАСАМ!$A$11:$A$115,A103,ШТАТ_ПО_ЧАСАМ!$B$11:$B$115,B103)</f>
        <v>1</v>
      </c>
      <c r="I103" s="12" t="n">
        <f aca="false">MIN(H103,1)*ПАРАМЕТРЫ!E24</f>
        <v>12</v>
      </c>
      <c r="J103" s="12" t="n">
        <f aca="false">MIN(G103,I103)</f>
        <v>12</v>
      </c>
      <c r="K103" s="12" t="n">
        <f aca="false">MAX(F103-J103,0)</f>
        <v>0</v>
      </c>
      <c r="L103" s="12" t="n">
        <f aca="false">IF(J103=0,0,F103/J103)</f>
        <v>0.227305375</v>
      </c>
      <c r="M103" s="11" t="str">
        <f aca="false">IF(K103&gt;0,"BLOCKED","PASS")</f>
        <v>PASS</v>
      </c>
      <c r="N103" s="11" t="s">
        <v>233</v>
      </c>
    </row>
    <row r="104" customFormat="false" ht="23.85" hidden="false" customHeight="false" outlineLevel="0" collapsed="false">
      <c r="A104" s="11" t="s">
        <v>107</v>
      </c>
      <c r="B104" s="11" t="s">
        <v>135</v>
      </c>
      <c r="C104" s="11" t="s">
        <v>88</v>
      </c>
      <c r="D104" s="11" t="s">
        <v>89</v>
      </c>
      <c r="E104" s="11" t="s">
        <v>90</v>
      </c>
      <c r="F104" s="12" t="n">
        <f aca="false">SUMIFS(СПРОС_ДЕНЬ_ЧАС_МЕНЮ!$I$11:$I$3265,СПРОС_ДЕНЬ_ЧАС_МЕНЮ!$A$11:$A$3265,A104,СПРОС_ДЕНЬ_ЧАС_МЕНЮ!$B$11:$B$3265,B104,СПРОС_ДЕНЬ_ЧАС_МЕНЮ!$F$11:$F$3265,C104)</f>
        <v>0</v>
      </c>
      <c r="G104" s="12" t="n">
        <f aca="false">ПАРАМЕТРЫ!D25</f>
        <v>15</v>
      </c>
      <c r="H104" s="12" t="n">
        <f aca="false">SUMIFS(ШТАТ_ПО_ЧАСАМ!$C$11:$C$115,ШТАТ_ПО_ЧАСАМ!$A$11:$A$115,A104,ШТАТ_ПО_ЧАСАМ!$B$11:$B$115,B104)</f>
        <v>1</v>
      </c>
      <c r="I104" s="12" t="n">
        <f aca="false">MIN(H104,1)*ПАРАМЕТРЫ!E25</f>
        <v>10</v>
      </c>
      <c r="J104" s="12" t="n">
        <f aca="false">MIN(G104,I104)</f>
        <v>10</v>
      </c>
      <c r="K104" s="12" t="n">
        <f aca="false">MAX(F104-J104,0)</f>
        <v>0</v>
      </c>
      <c r="L104" s="12" t="n">
        <f aca="false">IF(J104=0,0,F104/J104)</f>
        <v>0</v>
      </c>
      <c r="M104" s="11" t="str">
        <f aca="false">IF(K104&gt;0,"BLOCKED","PASS")</f>
        <v>PASS</v>
      </c>
      <c r="N104" s="11" t="s">
        <v>233</v>
      </c>
    </row>
    <row r="105" customFormat="false" ht="23.85" hidden="false" customHeight="false" outlineLevel="0" collapsed="false">
      <c r="A105" s="11" t="s">
        <v>107</v>
      </c>
      <c r="B105" s="11" t="s">
        <v>135</v>
      </c>
      <c r="C105" s="11" t="s">
        <v>91</v>
      </c>
      <c r="D105" s="11" t="s">
        <v>92</v>
      </c>
      <c r="E105" s="11" t="s">
        <v>79</v>
      </c>
      <c r="F105" s="12" t="n">
        <f aca="false">SUMIFS(СПРОС_ДЕНЬ_ЧАС_МЕНЮ!$I$11:$I$3265,СПРОС_ДЕНЬ_ЧАС_МЕНЮ!$A$11:$A$3265,A105,СПРОС_ДЕНЬ_ЧАС_МЕНЮ!$B$11:$B$3265,B105,СПРОС_ДЕНЬ_ЧАС_МЕНЮ!$F$11:$F$3265,C105)</f>
        <v>1.3266</v>
      </c>
      <c r="G105" s="12" t="n">
        <f aca="false">ПАРАМЕТРЫ!D26</f>
        <v>20</v>
      </c>
      <c r="H105" s="12" t="n">
        <f aca="false">SUMIFS(ШТАТ_ПО_ЧАСАМ!$C$11:$C$115,ШТАТ_ПО_ЧАСАМ!$A$11:$A$115,A105,ШТАТ_ПО_ЧАСАМ!$B$11:$B$115,B105)</f>
        <v>1</v>
      </c>
      <c r="I105" s="12" t="n">
        <f aca="false">MIN(H105,1)*ПАРАМЕТРЫ!E26</f>
        <v>10</v>
      </c>
      <c r="J105" s="12" t="n">
        <f aca="false">MIN(G105,I105)</f>
        <v>10</v>
      </c>
      <c r="K105" s="12" t="n">
        <f aca="false">MAX(F105-J105,0)</f>
        <v>0</v>
      </c>
      <c r="L105" s="12" t="n">
        <f aca="false">IF(J105=0,0,F105/J105)</f>
        <v>0.13266</v>
      </c>
      <c r="M105" s="11" t="str">
        <f aca="false">IF(K105&gt;0,"BLOCKED","PASS")</f>
        <v>PASS</v>
      </c>
      <c r="N105" s="11" t="s">
        <v>233</v>
      </c>
    </row>
    <row r="106" customFormat="false" ht="15" hidden="false" customHeight="false" outlineLevel="0" collapsed="false">
      <c r="A106" s="11" t="s">
        <v>107</v>
      </c>
      <c r="B106" s="11" t="s">
        <v>135</v>
      </c>
      <c r="C106" s="11" t="s">
        <v>93</v>
      </c>
      <c r="D106" s="11" t="s">
        <v>234</v>
      </c>
      <c r="E106" s="11" t="s">
        <v>95</v>
      </c>
      <c r="F106" s="12" t="n">
        <f aca="false">SUMIFS(СПРОС_ДЕНЬ_ЧАС_МЕНЮ!$I$11:$I$3265,СПРОС_ДЕНЬ_ЧАС_МЕНЮ!$A$11:$A$3265,A106,СПРОС_ДЕНЬ_ЧАС_МЕНЮ!$B$11:$B$3265,B106)</f>
        <v>18.8864445</v>
      </c>
      <c r="G106" s="12" t="n">
        <f aca="false">ПАРАМЕТРЫ!D27</f>
        <v>60</v>
      </c>
      <c r="H106" s="12" t="n">
        <f aca="false">SUMIFS(ШТАТ_ПО_ЧАСАМ!$C$11:$C$115,ШТАТ_ПО_ЧАСАМ!$A$11:$A$115,A106,ШТАТ_ПО_ЧАСАМ!$B$11:$B$115,B106)</f>
        <v>1</v>
      </c>
      <c r="I106" s="12" t="n">
        <f aca="false">H106*ПАРАМЕТРЫ!E27</f>
        <v>16.6666666666667</v>
      </c>
      <c r="J106" s="12" t="n">
        <f aca="false">MIN(G106,I106)</f>
        <v>16.6666666666667</v>
      </c>
      <c r="K106" s="12" t="n">
        <f aca="false">MAX(F106-J106,0)</f>
        <v>2.21977783333334</v>
      </c>
      <c r="L106" s="12" t="n">
        <f aca="false">IF(J106=0,0,F106/J106)</f>
        <v>1.13318667</v>
      </c>
      <c r="M106" s="11" t="str">
        <f aca="false">IF(K106&gt;0,"BLOCKED","PASS")</f>
        <v>BLOCKED</v>
      </c>
      <c r="N106" s="11" t="s">
        <v>235</v>
      </c>
    </row>
    <row r="107" customFormat="false" ht="23.85" hidden="false" customHeight="false" outlineLevel="0" collapsed="false">
      <c r="A107" s="11" t="s">
        <v>107</v>
      </c>
      <c r="B107" s="11" t="s">
        <v>136</v>
      </c>
      <c r="C107" s="11" t="s">
        <v>73</v>
      </c>
      <c r="D107" s="11" t="s">
        <v>74</v>
      </c>
      <c r="E107" s="11" t="s">
        <v>75</v>
      </c>
      <c r="F107" s="12" t="n">
        <f aca="false">SUMIFS(СПРОС_ДЕНЬ_ЧАС_МЕНЮ!$I$11:$I$3265,СПРОС_ДЕНЬ_ЧАС_МЕНЮ!$A$11:$A$3265,A107,СПРОС_ДЕНЬ_ЧАС_МЕНЮ!$B$11:$B$3265,B107,СПРОС_ДЕНЬ_ЧАС_МЕНЮ!$F$11:$F$3265,C107)</f>
        <v>3.6289</v>
      </c>
      <c r="G107" s="12" t="n">
        <f aca="false">ПАРАМЕТРЫ!D20</f>
        <v>25</v>
      </c>
      <c r="H107" s="12" t="n">
        <f aca="false">SUMIFS(ШТАТ_ПО_ЧАСАМ!$C$11:$C$115,ШТАТ_ПО_ЧАСАМ!$A$11:$A$115,A107,ШТАТ_ПО_ЧАСАМ!$B$11:$B$115,B107)</f>
        <v>1</v>
      </c>
      <c r="I107" s="12" t="n">
        <f aca="false">MIN(H107,1)*ПАРАМЕТРЫ!E20</f>
        <v>10</v>
      </c>
      <c r="J107" s="12" t="n">
        <f aca="false">MIN(G107,I107)</f>
        <v>10</v>
      </c>
      <c r="K107" s="12" t="n">
        <f aca="false">MAX(F107-J107,0)</f>
        <v>0</v>
      </c>
      <c r="L107" s="12" t="n">
        <f aca="false">IF(J107=0,0,F107/J107)</f>
        <v>0.36289</v>
      </c>
      <c r="M107" s="11" t="str">
        <f aca="false">IF(K107&gt;0,"BLOCKED","PASS")</f>
        <v>PASS</v>
      </c>
      <c r="N107" s="11" t="s">
        <v>233</v>
      </c>
    </row>
    <row r="108" customFormat="false" ht="23.85" hidden="false" customHeight="false" outlineLevel="0" collapsed="false">
      <c r="A108" s="11" t="s">
        <v>107</v>
      </c>
      <c r="B108" s="11" t="s">
        <v>136</v>
      </c>
      <c r="C108" s="11" t="s">
        <v>77</v>
      </c>
      <c r="D108" s="11" t="s">
        <v>78</v>
      </c>
      <c r="E108" s="11" t="s">
        <v>79</v>
      </c>
      <c r="F108" s="12" t="n">
        <f aca="false">SUMIFS(СПРОС_ДЕНЬ_ЧАС_МЕНЮ!$I$11:$I$3265,СПРОС_ДЕНЬ_ЧАС_МЕНЮ!$A$11:$A$3265,A108,СПРОС_ДЕНЬ_ЧАС_МЕНЮ!$B$11:$B$3265,B108,СПРОС_ДЕНЬ_ЧАС_МЕНЮ!$F$11:$F$3265,C108)</f>
        <v>2.12234</v>
      </c>
      <c r="G108" s="12" t="n">
        <f aca="false">ПАРАМЕТРЫ!D21</f>
        <v>20</v>
      </c>
      <c r="H108" s="12" t="n">
        <f aca="false">SUMIFS(ШТАТ_ПО_ЧАСАМ!$C$11:$C$115,ШТАТ_ПО_ЧАСАМ!$A$11:$A$115,A108,ШТАТ_ПО_ЧАСАМ!$B$11:$B$115,B108)</f>
        <v>1</v>
      </c>
      <c r="I108" s="12" t="n">
        <f aca="false">MIN(H108,1)*ПАРАМЕТРЫ!E21</f>
        <v>10</v>
      </c>
      <c r="J108" s="12" t="n">
        <f aca="false">MIN(G108,I108)</f>
        <v>10</v>
      </c>
      <c r="K108" s="12" t="n">
        <f aca="false">MAX(F108-J108,0)</f>
        <v>0</v>
      </c>
      <c r="L108" s="12" t="n">
        <f aca="false">IF(J108=0,0,F108/J108)</f>
        <v>0.212234</v>
      </c>
      <c r="M108" s="11" t="str">
        <f aca="false">IF(K108&gt;0,"BLOCKED","PASS")</f>
        <v>PASS</v>
      </c>
      <c r="N108" s="11" t="s">
        <v>233</v>
      </c>
    </row>
    <row r="109" customFormat="false" ht="23.85" hidden="false" customHeight="false" outlineLevel="0" collapsed="false">
      <c r="A109" s="11" t="s">
        <v>107</v>
      </c>
      <c r="B109" s="11" t="s">
        <v>136</v>
      </c>
      <c r="C109" s="11" t="s">
        <v>80</v>
      </c>
      <c r="D109" s="11" t="s">
        <v>81</v>
      </c>
      <c r="E109" s="11" t="s">
        <v>82</v>
      </c>
      <c r="F109" s="12" t="n">
        <f aca="false">SUMIFS(СПРОС_ДЕНЬ_ЧАС_МЕНЮ!$I$11:$I$3265,СПРОС_ДЕНЬ_ЧАС_МЕНЮ!$A$11:$A$3265,A109,СПРОС_ДЕНЬ_ЧАС_МЕНЮ!$B$11:$B$3265,B109,СПРОС_ДЕНЬ_ЧАС_МЕНЮ!$F$11:$F$3265,C109)</f>
        <v>5.071</v>
      </c>
      <c r="G109" s="12" t="n">
        <f aca="false">ПАРАМЕТРЫ!D22</f>
        <v>16</v>
      </c>
      <c r="H109" s="12" t="n">
        <f aca="false">SUMIFS(ШТАТ_ПО_ЧАСАМ!$C$11:$C$115,ШТАТ_ПО_ЧАСАМ!$A$11:$A$115,A109,ШТАТ_ПО_ЧАСАМ!$B$11:$B$115,B109)</f>
        <v>1</v>
      </c>
      <c r="I109" s="12" t="n">
        <f aca="false">MIN(H109,1)*ПАРАМЕТРЫ!E22</f>
        <v>16</v>
      </c>
      <c r="J109" s="12" t="n">
        <f aca="false">MIN(G109,I109)</f>
        <v>16</v>
      </c>
      <c r="K109" s="12" t="n">
        <f aca="false">MAX(F109-J109,0)</f>
        <v>0</v>
      </c>
      <c r="L109" s="12" t="n">
        <f aca="false">IF(J109=0,0,F109/J109)</f>
        <v>0.3169375</v>
      </c>
      <c r="M109" s="11" t="str">
        <f aca="false">IF(K109&gt;0,"BLOCKED","PASS")</f>
        <v>PASS</v>
      </c>
      <c r="N109" s="11" t="s">
        <v>233</v>
      </c>
    </row>
    <row r="110" customFormat="false" ht="23.85" hidden="false" customHeight="false" outlineLevel="0" collapsed="false">
      <c r="A110" s="11" t="s">
        <v>107</v>
      </c>
      <c r="B110" s="11" t="s">
        <v>136</v>
      </c>
      <c r="C110" s="11" t="s">
        <v>83</v>
      </c>
      <c r="D110" s="11" t="s">
        <v>84</v>
      </c>
      <c r="E110" s="11" t="s">
        <v>83</v>
      </c>
      <c r="F110" s="12" t="n">
        <f aca="false">SUMIFS(СПРОС_ДЕНЬ_ЧАС_МЕНЮ!$I$11:$I$3265,СПРОС_ДЕНЬ_ЧАС_МЕНЮ!$A$11:$A$3265,A110,СПРОС_ДЕНЬ_ЧАС_МЕНЮ!$B$11:$B$3265,B110,СПРОС_ДЕНЬ_ЧАС_МЕНЮ!$F$11:$F$3265,C110)</f>
        <v>8.5415</v>
      </c>
      <c r="G110" s="12" t="n">
        <f aca="false">ПАРАМЕТРЫ!D23</f>
        <v>21</v>
      </c>
      <c r="H110" s="12" t="n">
        <f aca="false">SUMIFS(ШТАТ_ПО_ЧАСАМ!$C$11:$C$115,ШТАТ_ПО_ЧАСАМ!$A$11:$A$115,A110,ШТАТ_ПО_ЧАСАМ!$B$11:$B$115,B110)</f>
        <v>1</v>
      </c>
      <c r="I110" s="12" t="n">
        <f aca="false">MIN(H110,1)*ПАРАМЕТРЫ!E23</f>
        <v>21</v>
      </c>
      <c r="J110" s="12" t="n">
        <f aca="false">MIN(G110,I110)</f>
        <v>21</v>
      </c>
      <c r="K110" s="12" t="n">
        <f aca="false">MAX(F110-J110,0)</f>
        <v>0</v>
      </c>
      <c r="L110" s="12" t="n">
        <f aca="false">IF(J110=0,0,F110/J110)</f>
        <v>0.406738095238095</v>
      </c>
      <c r="M110" s="11" t="str">
        <f aca="false">IF(K110&gt;0,"BLOCKED","PASS")</f>
        <v>PASS</v>
      </c>
      <c r="N110" s="11" t="s">
        <v>233</v>
      </c>
    </row>
    <row r="111" customFormat="false" ht="23.85" hidden="false" customHeight="false" outlineLevel="0" collapsed="false">
      <c r="A111" s="11" t="s">
        <v>107</v>
      </c>
      <c r="B111" s="11" t="s">
        <v>136</v>
      </c>
      <c r="C111" s="11" t="s">
        <v>85</v>
      </c>
      <c r="D111" s="11" t="s">
        <v>86</v>
      </c>
      <c r="E111" s="11" t="s">
        <v>87</v>
      </c>
      <c r="F111" s="12" t="n">
        <f aca="false">SUMIFS(СПРОС_ДЕНЬ_ЧАС_МЕНЮ!$I$11:$I$3265,СПРОС_ДЕНЬ_ЧАС_МЕНЮ!$A$11:$A$3265,A111,СПРОС_ДЕНЬ_ЧАС_МЕНЮ!$B$11:$B$3265,B111,СПРОС_ДЕНЬ_ЧАС_МЕНЮ!$F$11:$F$3265,C111)</f>
        <v>3.9945235</v>
      </c>
      <c r="G111" s="12" t="n">
        <f aca="false">ПАРАМЕТРЫ!D24</f>
        <v>12</v>
      </c>
      <c r="H111" s="12" t="n">
        <f aca="false">SUMIFS(ШТАТ_ПО_ЧАСАМ!$C$11:$C$115,ШТАТ_ПО_ЧАСАМ!$A$11:$A$115,A111,ШТАТ_ПО_ЧАСАМ!$B$11:$B$115,B111)</f>
        <v>1</v>
      </c>
      <c r="I111" s="12" t="n">
        <f aca="false">MIN(H111,1)*ПАРАМЕТРЫ!E24</f>
        <v>12</v>
      </c>
      <c r="J111" s="12" t="n">
        <f aca="false">MIN(G111,I111)</f>
        <v>12</v>
      </c>
      <c r="K111" s="12" t="n">
        <f aca="false">MAX(F111-J111,0)</f>
        <v>0</v>
      </c>
      <c r="L111" s="12" t="n">
        <f aca="false">IF(J111=0,0,F111/J111)</f>
        <v>0.332876958333333</v>
      </c>
      <c r="M111" s="11" t="str">
        <f aca="false">IF(K111&gt;0,"BLOCKED","PASS")</f>
        <v>PASS</v>
      </c>
      <c r="N111" s="11" t="s">
        <v>233</v>
      </c>
    </row>
    <row r="112" customFormat="false" ht="23.85" hidden="false" customHeight="false" outlineLevel="0" collapsed="false">
      <c r="A112" s="11" t="s">
        <v>107</v>
      </c>
      <c r="B112" s="11" t="s">
        <v>136</v>
      </c>
      <c r="C112" s="11" t="s">
        <v>88</v>
      </c>
      <c r="D112" s="11" t="s">
        <v>89</v>
      </c>
      <c r="E112" s="11" t="s">
        <v>90</v>
      </c>
      <c r="F112" s="12" t="n">
        <f aca="false">SUMIFS(СПРОС_ДЕНЬ_ЧАС_МЕНЮ!$I$11:$I$3265,СПРОС_ДЕНЬ_ЧАС_МЕНЮ!$A$11:$A$3265,A112,СПРОС_ДЕНЬ_ЧАС_МЕНЮ!$B$11:$B$3265,B112,СПРОС_ДЕНЬ_ЧАС_МЕНЮ!$F$11:$F$3265,C112)</f>
        <v>0</v>
      </c>
      <c r="G112" s="12" t="n">
        <f aca="false">ПАРАМЕТРЫ!D25</f>
        <v>15</v>
      </c>
      <c r="H112" s="12" t="n">
        <f aca="false">SUMIFS(ШТАТ_ПО_ЧАСАМ!$C$11:$C$115,ШТАТ_ПО_ЧАСАМ!$A$11:$A$115,A112,ШТАТ_ПО_ЧАСАМ!$B$11:$B$115,B112)</f>
        <v>1</v>
      </c>
      <c r="I112" s="12" t="n">
        <f aca="false">MIN(H112,1)*ПАРАМЕТРЫ!E25</f>
        <v>10</v>
      </c>
      <c r="J112" s="12" t="n">
        <f aca="false">MIN(G112,I112)</f>
        <v>10</v>
      </c>
      <c r="K112" s="12" t="n">
        <f aca="false">MAX(F112-J112,0)</f>
        <v>0</v>
      </c>
      <c r="L112" s="12" t="n">
        <f aca="false">IF(J112=0,0,F112/J112)</f>
        <v>0</v>
      </c>
      <c r="M112" s="11" t="str">
        <f aca="false">IF(K112&gt;0,"BLOCKED","PASS")</f>
        <v>PASS</v>
      </c>
      <c r="N112" s="11" t="s">
        <v>233</v>
      </c>
    </row>
    <row r="113" customFormat="false" ht="23.85" hidden="false" customHeight="false" outlineLevel="0" collapsed="false">
      <c r="A113" s="11" t="s">
        <v>107</v>
      </c>
      <c r="B113" s="11" t="s">
        <v>136</v>
      </c>
      <c r="C113" s="11" t="s">
        <v>91</v>
      </c>
      <c r="D113" s="11" t="s">
        <v>92</v>
      </c>
      <c r="E113" s="11" t="s">
        <v>79</v>
      </c>
      <c r="F113" s="12" t="n">
        <f aca="false">SUMIFS(СПРОС_ДЕНЬ_ЧАС_МЕНЮ!$I$11:$I$3265,СПРОС_ДЕНЬ_ЧАС_МЕНЮ!$A$11:$A$3265,A113,СПРОС_ДЕНЬ_ЧАС_МЕНЮ!$B$11:$B$3265,B113,СПРОС_ДЕНЬ_ЧАС_МЕНЮ!$F$11:$F$3265,C113)</f>
        <v>1.5818</v>
      </c>
      <c r="G113" s="12" t="n">
        <f aca="false">ПАРАМЕТРЫ!D26</f>
        <v>20</v>
      </c>
      <c r="H113" s="12" t="n">
        <f aca="false">SUMIFS(ШТАТ_ПО_ЧАСАМ!$C$11:$C$115,ШТАТ_ПО_ЧАСАМ!$A$11:$A$115,A113,ШТАТ_ПО_ЧАСАМ!$B$11:$B$115,B113)</f>
        <v>1</v>
      </c>
      <c r="I113" s="12" t="n">
        <f aca="false">MIN(H113,1)*ПАРАМЕТРЫ!E26</f>
        <v>10</v>
      </c>
      <c r="J113" s="12" t="n">
        <f aca="false">MIN(G113,I113)</f>
        <v>10</v>
      </c>
      <c r="K113" s="12" t="n">
        <f aca="false">MAX(F113-J113,0)</f>
        <v>0</v>
      </c>
      <c r="L113" s="12" t="n">
        <f aca="false">IF(J113=0,0,F113/J113)</f>
        <v>0.15818</v>
      </c>
      <c r="M113" s="11" t="str">
        <f aca="false">IF(K113&gt;0,"BLOCKED","PASS")</f>
        <v>PASS</v>
      </c>
      <c r="N113" s="11" t="s">
        <v>233</v>
      </c>
    </row>
    <row r="114" customFormat="false" ht="15" hidden="false" customHeight="false" outlineLevel="0" collapsed="false">
      <c r="A114" s="11" t="s">
        <v>107</v>
      </c>
      <c r="B114" s="11" t="s">
        <v>136</v>
      </c>
      <c r="C114" s="11" t="s">
        <v>93</v>
      </c>
      <c r="D114" s="11" t="s">
        <v>234</v>
      </c>
      <c r="E114" s="11" t="s">
        <v>95</v>
      </c>
      <c r="F114" s="12" t="n">
        <f aca="false">SUMIFS(СПРОС_ДЕНЬ_ЧАС_МЕНЮ!$I$11:$I$3265,СПРОС_ДЕНЬ_ЧАС_МЕНЮ!$A$11:$A$3265,A114,СПРОС_ДЕНЬ_ЧАС_МЕНЮ!$B$11:$B$3265,B114)</f>
        <v>24.9400635</v>
      </c>
      <c r="G114" s="12" t="n">
        <f aca="false">ПАРАМЕТРЫ!D27</f>
        <v>60</v>
      </c>
      <c r="H114" s="12" t="n">
        <f aca="false">SUMIFS(ШТАТ_ПО_ЧАСАМ!$C$11:$C$115,ШТАТ_ПО_ЧАСАМ!$A$11:$A$115,A114,ШТАТ_ПО_ЧАСАМ!$B$11:$B$115,B114)</f>
        <v>1</v>
      </c>
      <c r="I114" s="12" t="n">
        <f aca="false">H114*ПАРАМЕТРЫ!E27</f>
        <v>16.6666666666667</v>
      </c>
      <c r="J114" s="12" t="n">
        <f aca="false">MIN(G114,I114)</f>
        <v>16.6666666666667</v>
      </c>
      <c r="K114" s="12" t="n">
        <f aca="false">MAX(F114-J114,0)</f>
        <v>8.27339683333334</v>
      </c>
      <c r="L114" s="12" t="n">
        <f aca="false">IF(J114=0,0,F114/J114)</f>
        <v>1.49640381</v>
      </c>
      <c r="M114" s="11" t="str">
        <f aca="false">IF(K114&gt;0,"BLOCKED","PASS")</f>
        <v>BLOCKED</v>
      </c>
      <c r="N114" s="11" t="s">
        <v>235</v>
      </c>
    </row>
    <row r="115" customFormat="false" ht="23.85" hidden="false" customHeight="false" outlineLevel="0" collapsed="false">
      <c r="A115" s="11" t="s">
        <v>107</v>
      </c>
      <c r="B115" s="11" t="s">
        <v>137</v>
      </c>
      <c r="C115" s="11" t="s">
        <v>73</v>
      </c>
      <c r="D115" s="11" t="s">
        <v>74</v>
      </c>
      <c r="E115" s="11" t="s">
        <v>75</v>
      </c>
      <c r="F115" s="12" t="n">
        <f aca="false">SUMIFS(СПРОС_ДЕНЬ_ЧАС_МЕНЮ!$I$11:$I$3265,СПРОС_ДЕНЬ_ЧАС_МЕНЮ!$A$11:$A$3265,A115,СПРОС_ДЕНЬ_ЧАС_МЕНЮ!$B$11:$B$3265,B115,СПРОС_ДЕНЬ_ЧАС_МЕНЮ!$F$11:$F$3265,C115)</f>
        <v>4.2625</v>
      </c>
      <c r="G115" s="12" t="n">
        <f aca="false">ПАРАМЕТРЫ!D20</f>
        <v>25</v>
      </c>
      <c r="H115" s="12" t="n">
        <f aca="false">SUMIFS(ШТАТ_ПО_ЧАСАМ!$C$11:$C$115,ШТАТ_ПО_ЧАСАМ!$A$11:$A$115,A115,ШТАТ_ПО_ЧАСАМ!$B$11:$B$115,B115)</f>
        <v>1</v>
      </c>
      <c r="I115" s="12" t="n">
        <f aca="false">MIN(H115,1)*ПАРАМЕТРЫ!E20</f>
        <v>10</v>
      </c>
      <c r="J115" s="12" t="n">
        <f aca="false">MIN(G115,I115)</f>
        <v>10</v>
      </c>
      <c r="K115" s="12" t="n">
        <f aca="false">MAX(F115-J115,0)</f>
        <v>0</v>
      </c>
      <c r="L115" s="12" t="n">
        <f aca="false">IF(J115=0,0,F115/J115)</f>
        <v>0.42625</v>
      </c>
      <c r="M115" s="11" t="str">
        <f aca="false">IF(K115&gt;0,"BLOCKED","PASS")</f>
        <v>PASS</v>
      </c>
      <c r="N115" s="11" t="s">
        <v>233</v>
      </c>
    </row>
    <row r="116" customFormat="false" ht="23.85" hidden="false" customHeight="false" outlineLevel="0" collapsed="false">
      <c r="A116" s="11" t="s">
        <v>107</v>
      </c>
      <c r="B116" s="11" t="s">
        <v>137</v>
      </c>
      <c r="C116" s="11" t="s">
        <v>77</v>
      </c>
      <c r="D116" s="11" t="s">
        <v>78</v>
      </c>
      <c r="E116" s="11" t="s">
        <v>79</v>
      </c>
      <c r="F116" s="12" t="n">
        <f aca="false">SUMIFS(СПРОС_ДЕНЬ_ЧАС_МЕНЮ!$I$11:$I$3265,СПРОС_ДЕНЬ_ЧАС_МЕНЮ!$A$11:$A$3265,A116,СПРОС_ДЕНЬ_ЧАС_МЕНЮ!$B$11:$B$3265,B116,СПРОС_ДЕНЬ_ЧАС_МЕНЮ!$F$11:$F$3265,C116)</f>
        <v>1.9833</v>
      </c>
      <c r="G116" s="12" t="n">
        <f aca="false">ПАРАМЕТРЫ!D21</f>
        <v>20</v>
      </c>
      <c r="H116" s="12" t="n">
        <f aca="false">SUMIFS(ШТАТ_ПО_ЧАСАМ!$C$11:$C$115,ШТАТ_ПО_ЧАСАМ!$A$11:$A$115,A116,ШТАТ_ПО_ЧАСАМ!$B$11:$B$115,B116)</f>
        <v>1</v>
      </c>
      <c r="I116" s="12" t="n">
        <f aca="false">MIN(H116,1)*ПАРАМЕТРЫ!E21</f>
        <v>10</v>
      </c>
      <c r="J116" s="12" t="n">
        <f aca="false">MIN(G116,I116)</f>
        <v>10</v>
      </c>
      <c r="K116" s="12" t="n">
        <f aca="false">MAX(F116-J116,0)</f>
        <v>0</v>
      </c>
      <c r="L116" s="12" t="n">
        <f aca="false">IF(J116=0,0,F116/J116)</f>
        <v>0.19833</v>
      </c>
      <c r="M116" s="11" t="str">
        <f aca="false">IF(K116&gt;0,"BLOCKED","PASS")</f>
        <v>PASS</v>
      </c>
      <c r="N116" s="11" t="s">
        <v>233</v>
      </c>
    </row>
    <row r="117" customFormat="false" ht="23.85" hidden="false" customHeight="false" outlineLevel="0" collapsed="false">
      <c r="A117" s="11" t="s">
        <v>107</v>
      </c>
      <c r="B117" s="11" t="s">
        <v>137</v>
      </c>
      <c r="C117" s="11" t="s">
        <v>80</v>
      </c>
      <c r="D117" s="11" t="s">
        <v>81</v>
      </c>
      <c r="E117" s="11" t="s">
        <v>82</v>
      </c>
      <c r="F117" s="12" t="n">
        <f aca="false">SUMIFS(СПРОС_ДЕНЬ_ЧАС_МЕНЮ!$I$11:$I$3265,СПРОС_ДЕНЬ_ЧАС_МЕНЮ!$A$11:$A$3265,A117,СПРОС_ДЕНЬ_ЧАС_МЕНЮ!$B$11:$B$3265,B117,СПРОС_ДЕНЬ_ЧАС_МЕНЮ!$F$11:$F$3265,C117)</f>
        <v>6.1765</v>
      </c>
      <c r="G117" s="12" t="n">
        <f aca="false">ПАРАМЕТРЫ!D22</f>
        <v>16</v>
      </c>
      <c r="H117" s="12" t="n">
        <f aca="false">SUMIFS(ШТАТ_ПО_ЧАСАМ!$C$11:$C$115,ШТАТ_ПО_ЧАСАМ!$A$11:$A$115,A117,ШТАТ_ПО_ЧАСАМ!$B$11:$B$115,B117)</f>
        <v>1</v>
      </c>
      <c r="I117" s="12" t="n">
        <f aca="false">MIN(H117,1)*ПАРАМЕТРЫ!E22</f>
        <v>16</v>
      </c>
      <c r="J117" s="12" t="n">
        <f aca="false">MIN(G117,I117)</f>
        <v>16</v>
      </c>
      <c r="K117" s="12" t="n">
        <f aca="false">MAX(F117-J117,0)</f>
        <v>0</v>
      </c>
      <c r="L117" s="12" t="n">
        <f aca="false">IF(J117=0,0,F117/J117)</f>
        <v>0.38603125</v>
      </c>
      <c r="M117" s="11" t="str">
        <f aca="false">IF(K117&gt;0,"BLOCKED","PASS")</f>
        <v>PASS</v>
      </c>
      <c r="N117" s="11" t="s">
        <v>233</v>
      </c>
    </row>
    <row r="118" customFormat="false" ht="23.85" hidden="false" customHeight="false" outlineLevel="0" collapsed="false">
      <c r="A118" s="11" t="s">
        <v>107</v>
      </c>
      <c r="B118" s="11" t="s">
        <v>137</v>
      </c>
      <c r="C118" s="11" t="s">
        <v>83</v>
      </c>
      <c r="D118" s="11" t="s">
        <v>84</v>
      </c>
      <c r="E118" s="11" t="s">
        <v>83</v>
      </c>
      <c r="F118" s="12" t="n">
        <f aca="false">SUMIFS(СПРОС_ДЕНЬ_ЧАС_МЕНЮ!$I$11:$I$3265,СПРОС_ДЕНЬ_ЧАС_МЕНЮ!$A$11:$A$3265,A118,СПРОС_ДЕНЬ_ЧАС_МЕНЮ!$B$11:$B$3265,B118,СПРОС_ДЕНЬ_ЧАС_МЕНЮ!$F$11:$F$3265,C118)</f>
        <v>10.329</v>
      </c>
      <c r="G118" s="12" t="n">
        <f aca="false">ПАРАМЕТРЫ!D23</f>
        <v>21</v>
      </c>
      <c r="H118" s="12" t="n">
        <f aca="false">SUMIFS(ШТАТ_ПО_ЧАСАМ!$C$11:$C$115,ШТАТ_ПО_ЧАСАМ!$A$11:$A$115,A118,ШТАТ_ПО_ЧАСАМ!$B$11:$B$115,B118)</f>
        <v>1</v>
      </c>
      <c r="I118" s="12" t="n">
        <f aca="false">MIN(H118,1)*ПАРАМЕТРЫ!E23</f>
        <v>21</v>
      </c>
      <c r="J118" s="12" t="n">
        <f aca="false">MIN(G118,I118)</f>
        <v>21</v>
      </c>
      <c r="K118" s="12" t="n">
        <f aca="false">MAX(F118-J118,0)</f>
        <v>0</v>
      </c>
      <c r="L118" s="12" t="n">
        <f aca="false">IF(J118=0,0,F118/J118)</f>
        <v>0.491857142857143</v>
      </c>
      <c r="M118" s="11" t="str">
        <f aca="false">IF(K118&gt;0,"BLOCKED","PASS")</f>
        <v>PASS</v>
      </c>
      <c r="N118" s="11" t="s">
        <v>233</v>
      </c>
    </row>
    <row r="119" customFormat="false" ht="23.85" hidden="false" customHeight="false" outlineLevel="0" collapsed="false">
      <c r="A119" s="11" t="s">
        <v>107</v>
      </c>
      <c r="B119" s="11" t="s">
        <v>137</v>
      </c>
      <c r="C119" s="11" t="s">
        <v>85</v>
      </c>
      <c r="D119" s="11" t="s">
        <v>86</v>
      </c>
      <c r="E119" s="11" t="s">
        <v>87</v>
      </c>
      <c r="F119" s="12" t="n">
        <f aca="false">SUMIFS(СПРОС_ДЕНЬ_ЧАС_МЕНЮ!$I$11:$I$3265,СПРОС_ДЕНЬ_ЧАС_МЕНЮ!$A$11:$A$3265,A119,СПРОС_ДЕНЬ_ЧАС_МЕНЮ!$B$11:$B$3265,B119,СПРОС_ДЕНЬ_ЧАС_МЕНЮ!$F$11:$F$3265,C119)</f>
        <v>4.903745</v>
      </c>
      <c r="G119" s="12" t="n">
        <f aca="false">ПАРАМЕТРЫ!D24</f>
        <v>12</v>
      </c>
      <c r="H119" s="12" t="n">
        <f aca="false">SUMIFS(ШТАТ_ПО_ЧАСАМ!$C$11:$C$115,ШТАТ_ПО_ЧАСАМ!$A$11:$A$115,A119,ШТАТ_ПО_ЧАСАМ!$B$11:$B$115,B119)</f>
        <v>1</v>
      </c>
      <c r="I119" s="12" t="n">
        <f aca="false">MIN(H119,1)*ПАРАМЕТРЫ!E24</f>
        <v>12</v>
      </c>
      <c r="J119" s="12" t="n">
        <f aca="false">MIN(G119,I119)</f>
        <v>12</v>
      </c>
      <c r="K119" s="12" t="n">
        <f aca="false">MAX(F119-J119,0)</f>
        <v>0</v>
      </c>
      <c r="L119" s="12" t="n">
        <f aca="false">IF(J119=0,0,F119/J119)</f>
        <v>0.408645416666667</v>
      </c>
      <c r="M119" s="11" t="str">
        <f aca="false">IF(K119&gt;0,"BLOCKED","PASS")</f>
        <v>PASS</v>
      </c>
      <c r="N119" s="11" t="s">
        <v>233</v>
      </c>
    </row>
    <row r="120" customFormat="false" ht="23.85" hidden="false" customHeight="false" outlineLevel="0" collapsed="false">
      <c r="A120" s="11" t="s">
        <v>107</v>
      </c>
      <c r="B120" s="11" t="s">
        <v>137</v>
      </c>
      <c r="C120" s="11" t="s">
        <v>88</v>
      </c>
      <c r="D120" s="11" t="s">
        <v>89</v>
      </c>
      <c r="E120" s="11" t="s">
        <v>90</v>
      </c>
      <c r="F120" s="12" t="n">
        <f aca="false">SUMIFS(СПРОС_ДЕНЬ_ЧАС_МЕНЮ!$I$11:$I$3265,СПРОС_ДЕНЬ_ЧАС_МЕНЮ!$A$11:$A$3265,A120,СПРОС_ДЕНЬ_ЧАС_МЕНЮ!$B$11:$B$3265,B120,СПРОС_ДЕНЬ_ЧАС_МЕНЮ!$F$11:$F$3265,C120)</f>
        <v>0</v>
      </c>
      <c r="G120" s="12" t="n">
        <f aca="false">ПАРАМЕТРЫ!D25</f>
        <v>15</v>
      </c>
      <c r="H120" s="12" t="n">
        <f aca="false">SUMIFS(ШТАТ_ПО_ЧАСАМ!$C$11:$C$115,ШТАТ_ПО_ЧАСАМ!$A$11:$A$115,A120,ШТАТ_ПО_ЧАСАМ!$B$11:$B$115,B120)</f>
        <v>1</v>
      </c>
      <c r="I120" s="12" t="n">
        <f aca="false">MIN(H120,1)*ПАРАМЕТРЫ!E25</f>
        <v>10</v>
      </c>
      <c r="J120" s="12" t="n">
        <f aca="false">MIN(G120,I120)</f>
        <v>10</v>
      </c>
      <c r="K120" s="12" t="n">
        <f aca="false">MAX(F120-J120,0)</f>
        <v>0</v>
      </c>
      <c r="L120" s="12" t="n">
        <f aca="false">IF(J120=0,0,F120/J120)</f>
        <v>0</v>
      </c>
      <c r="M120" s="11" t="str">
        <f aca="false">IF(K120&gt;0,"BLOCKED","PASS")</f>
        <v>PASS</v>
      </c>
      <c r="N120" s="11" t="s">
        <v>233</v>
      </c>
    </row>
    <row r="121" customFormat="false" ht="23.85" hidden="false" customHeight="false" outlineLevel="0" collapsed="false">
      <c r="A121" s="11" t="s">
        <v>107</v>
      </c>
      <c r="B121" s="11" t="s">
        <v>137</v>
      </c>
      <c r="C121" s="11" t="s">
        <v>91</v>
      </c>
      <c r="D121" s="11" t="s">
        <v>92</v>
      </c>
      <c r="E121" s="11" t="s">
        <v>79</v>
      </c>
      <c r="F121" s="12" t="n">
        <f aca="false">SUMIFS(СПРОС_ДЕНЬ_ЧАС_МЕНЮ!$I$11:$I$3265,СПРОС_ДЕНЬ_ЧАС_МЕНЮ!$A$11:$A$3265,A121,СПРОС_ДЕНЬ_ЧАС_МЕНЮ!$B$11:$B$3265,B121,СПРОС_ДЕНЬ_ЧАС_МЕНЮ!$F$11:$F$3265,C121)</f>
        <v>1.65</v>
      </c>
      <c r="G121" s="12" t="n">
        <f aca="false">ПАРАМЕТРЫ!D26</f>
        <v>20</v>
      </c>
      <c r="H121" s="12" t="n">
        <f aca="false">SUMIFS(ШТАТ_ПО_ЧАСАМ!$C$11:$C$115,ШТАТ_ПО_ЧАСАМ!$A$11:$A$115,A121,ШТАТ_ПО_ЧАСАМ!$B$11:$B$115,B121)</f>
        <v>1</v>
      </c>
      <c r="I121" s="12" t="n">
        <f aca="false">MIN(H121,1)*ПАРАМЕТРЫ!E26</f>
        <v>10</v>
      </c>
      <c r="J121" s="12" t="n">
        <f aca="false">MIN(G121,I121)</f>
        <v>10</v>
      </c>
      <c r="K121" s="12" t="n">
        <f aca="false">MAX(F121-J121,0)</f>
        <v>0</v>
      </c>
      <c r="L121" s="12" t="n">
        <f aca="false">IF(J121=0,0,F121/J121)</f>
        <v>0.165</v>
      </c>
      <c r="M121" s="11" t="str">
        <f aca="false">IF(K121&gt;0,"BLOCKED","PASS")</f>
        <v>PASS</v>
      </c>
      <c r="N121" s="11" t="s">
        <v>233</v>
      </c>
    </row>
    <row r="122" customFormat="false" ht="15" hidden="false" customHeight="false" outlineLevel="0" collapsed="false">
      <c r="A122" s="11" t="s">
        <v>107</v>
      </c>
      <c r="B122" s="11" t="s">
        <v>137</v>
      </c>
      <c r="C122" s="11" t="s">
        <v>93</v>
      </c>
      <c r="D122" s="11" t="s">
        <v>234</v>
      </c>
      <c r="E122" s="11" t="s">
        <v>95</v>
      </c>
      <c r="F122" s="12" t="n">
        <f aca="false">SUMIFS(СПРОС_ДЕНЬ_ЧАС_МЕНЮ!$I$11:$I$3265,СПРОС_ДЕНЬ_ЧАС_МЕНЮ!$A$11:$A$3265,A122,СПРОС_ДЕНЬ_ЧАС_МЕНЮ!$B$11:$B$3265,B122)</f>
        <v>29.305045</v>
      </c>
      <c r="G122" s="12" t="n">
        <f aca="false">ПАРАМЕТРЫ!D27</f>
        <v>60</v>
      </c>
      <c r="H122" s="12" t="n">
        <f aca="false">SUMIFS(ШТАТ_ПО_ЧАСАМ!$C$11:$C$115,ШТАТ_ПО_ЧАСАМ!$A$11:$A$115,A122,ШТАТ_ПО_ЧАСАМ!$B$11:$B$115,B122)</f>
        <v>1</v>
      </c>
      <c r="I122" s="12" t="n">
        <f aca="false">H122*ПАРАМЕТРЫ!E27</f>
        <v>16.6666666666667</v>
      </c>
      <c r="J122" s="12" t="n">
        <f aca="false">MIN(G122,I122)</f>
        <v>16.6666666666667</v>
      </c>
      <c r="K122" s="12" t="n">
        <f aca="false">MAX(F122-J122,0)</f>
        <v>12.6383783333333</v>
      </c>
      <c r="L122" s="12" t="n">
        <f aca="false">IF(J122=0,0,F122/J122)</f>
        <v>1.7583027</v>
      </c>
      <c r="M122" s="11" t="str">
        <f aca="false">IF(K122&gt;0,"BLOCKED","PASS")</f>
        <v>BLOCKED</v>
      </c>
      <c r="N122" s="11" t="s">
        <v>235</v>
      </c>
    </row>
    <row r="123" customFormat="false" ht="23.85" hidden="false" customHeight="false" outlineLevel="0" collapsed="false">
      <c r="A123" s="11" t="s">
        <v>107</v>
      </c>
      <c r="B123" s="11" t="s">
        <v>138</v>
      </c>
      <c r="C123" s="11" t="s">
        <v>73</v>
      </c>
      <c r="D123" s="11" t="s">
        <v>74</v>
      </c>
      <c r="E123" s="11" t="s">
        <v>75</v>
      </c>
      <c r="F123" s="12" t="n">
        <f aca="false">SUMIFS(СПРОС_ДЕНЬ_ЧАС_МЕНЮ!$I$11:$I$3265,СПРОС_ДЕНЬ_ЧАС_МЕНЮ!$A$11:$A$3265,A123,СПРОС_ДЕНЬ_ЧАС_МЕНЮ!$B$11:$B$3265,B123,СПРОС_ДЕНЬ_ЧАС_МЕНЮ!$F$11:$F$3265,C123)</f>
        <v>2.464</v>
      </c>
      <c r="G123" s="12" t="n">
        <f aca="false">ПАРАМЕТРЫ!D20</f>
        <v>25</v>
      </c>
      <c r="H123" s="12" t="n">
        <f aca="false">SUMIFS(ШТАТ_ПО_ЧАСАМ!$C$11:$C$115,ШТАТ_ПО_ЧАСАМ!$A$11:$A$115,A123,ШТАТ_ПО_ЧАСАМ!$B$11:$B$115,B123)</f>
        <v>1</v>
      </c>
      <c r="I123" s="12" t="n">
        <f aca="false">MIN(H123,1)*ПАРАМЕТРЫ!E20</f>
        <v>10</v>
      </c>
      <c r="J123" s="12" t="n">
        <f aca="false">MIN(G123,I123)</f>
        <v>10</v>
      </c>
      <c r="K123" s="12" t="n">
        <f aca="false">MAX(F123-J123,0)</f>
        <v>0</v>
      </c>
      <c r="L123" s="12" t="n">
        <f aca="false">IF(J123=0,0,F123/J123)</f>
        <v>0.2464</v>
      </c>
      <c r="M123" s="11" t="str">
        <f aca="false">IF(K123&gt;0,"BLOCKED","PASS")</f>
        <v>PASS</v>
      </c>
      <c r="N123" s="11" t="s">
        <v>233</v>
      </c>
    </row>
    <row r="124" customFormat="false" ht="23.85" hidden="false" customHeight="false" outlineLevel="0" collapsed="false">
      <c r="A124" s="11" t="s">
        <v>107</v>
      </c>
      <c r="B124" s="11" t="s">
        <v>138</v>
      </c>
      <c r="C124" s="11" t="s">
        <v>77</v>
      </c>
      <c r="D124" s="11" t="s">
        <v>78</v>
      </c>
      <c r="E124" s="11" t="s">
        <v>79</v>
      </c>
      <c r="F124" s="12" t="n">
        <f aca="false">SUMIFS(СПРОС_ДЕНЬ_ЧАС_МЕНЮ!$I$11:$I$3265,СПРОС_ДЕНЬ_ЧАС_МЕНЮ!$A$11:$A$3265,A124,СПРОС_ДЕНЬ_ЧАС_МЕНЮ!$B$11:$B$3265,B124,СПРОС_ДЕНЬ_ЧАС_МЕНЮ!$F$11:$F$3265,C124)</f>
        <v>1.1264</v>
      </c>
      <c r="G124" s="12" t="n">
        <f aca="false">ПАРАМЕТРЫ!D21</f>
        <v>20</v>
      </c>
      <c r="H124" s="12" t="n">
        <f aca="false">SUMIFS(ШТАТ_ПО_ЧАСАМ!$C$11:$C$115,ШТАТ_ПО_ЧАСАМ!$A$11:$A$115,A124,ШТАТ_ПО_ЧАСАМ!$B$11:$B$115,B124)</f>
        <v>1</v>
      </c>
      <c r="I124" s="12" t="n">
        <f aca="false">MIN(H124,1)*ПАРАМЕТРЫ!E21</f>
        <v>10</v>
      </c>
      <c r="J124" s="12" t="n">
        <f aca="false">MIN(G124,I124)</f>
        <v>10</v>
      </c>
      <c r="K124" s="12" t="n">
        <f aca="false">MAX(F124-J124,0)</f>
        <v>0</v>
      </c>
      <c r="L124" s="12" t="n">
        <f aca="false">IF(J124=0,0,F124/J124)</f>
        <v>0.11264</v>
      </c>
      <c r="M124" s="11" t="str">
        <f aca="false">IF(K124&gt;0,"BLOCKED","PASS")</f>
        <v>PASS</v>
      </c>
      <c r="N124" s="11" t="s">
        <v>233</v>
      </c>
    </row>
    <row r="125" customFormat="false" ht="23.85" hidden="false" customHeight="false" outlineLevel="0" collapsed="false">
      <c r="A125" s="11" t="s">
        <v>107</v>
      </c>
      <c r="B125" s="11" t="s">
        <v>138</v>
      </c>
      <c r="C125" s="11" t="s">
        <v>80</v>
      </c>
      <c r="D125" s="11" t="s">
        <v>81</v>
      </c>
      <c r="E125" s="11" t="s">
        <v>82</v>
      </c>
      <c r="F125" s="12" t="n">
        <f aca="false">SUMIFS(СПРОС_ДЕНЬ_ЧАС_МЕНЮ!$I$11:$I$3265,СПРОС_ДЕНЬ_ЧАС_МЕНЮ!$A$11:$A$3265,A125,СПРОС_ДЕНЬ_ЧАС_МЕНЮ!$B$11:$B$3265,B125,СПРОС_ДЕНЬ_ЧАС_МЕНЮ!$F$11:$F$3265,C125)</f>
        <v>3.7675</v>
      </c>
      <c r="G125" s="12" t="n">
        <f aca="false">ПАРАМЕТРЫ!D22</f>
        <v>16</v>
      </c>
      <c r="H125" s="12" t="n">
        <f aca="false">SUMIFS(ШТАТ_ПО_ЧАСАМ!$C$11:$C$115,ШТАТ_ПО_ЧАСАМ!$A$11:$A$115,A125,ШТАТ_ПО_ЧАСАМ!$B$11:$B$115,B125)</f>
        <v>1</v>
      </c>
      <c r="I125" s="12" t="n">
        <f aca="false">MIN(H125,1)*ПАРАМЕТРЫ!E22</f>
        <v>16</v>
      </c>
      <c r="J125" s="12" t="n">
        <f aca="false">MIN(G125,I125)</f>
        <v>16</v>
      </c>
      <c r="K125" s="12" t="n">
        <f aca="false">MAX(F125-J125,0)</f>
        <v>0</v>
      </c>
      <c r="L125" s="12" t="n">
        <f aca="false">IF(J125=0,0,F125/J125)</f>
        <v>0.23546875</v>
      </c>
      <c r="M125" s="11" t="str">
        <f aca="false">IF(K125&gt;0,"BLOCKED","PASS")</f>
        <v>PASS</v>
      </c>
      <c r="N125" s="11" t="s">
        <v>233</v>
      </c>
    </row>
    <row r="126" customFormat="false" ht="23.85" hidden="false" customHeight="false" outlineLevel="0" collapsed="false">
      <c r="A126" s="11" t="s">
        <v>107</v>
      </c>
      <c r="B126" s="11" t="s">
        <v>138</v>
      </c>
      <c r="C126" s="11" t="s">
        <v>83</v>
      </c>
      <c r="D126" s="11" t="s">
        <v>84</v>
      </c>
      <c r="E126" s="11" t="s">
        <v>83</v>
      </c>
      <c r="F126" s="12" t="n">
        <f aca="false">SUMIFS(СПРОС_ДЕНЬ_ЧАС_МЕНЮ!$I$11:$I$3265,СПРОС_ДЕНЬ_ЧАС_МЕНЮ!$A$11:$A$3265,A126,СПРОС_ДЕНЬ_ЧАС_МЕНЮ!$B$11:$B$3265,B126,СПРОС_ДЕНЬ_ЧАС_МЕНЮ!$F$11:$F$3265,C126)</f>
        <v>6.2975</v>
      </c>
      <c r="G126" s="12" t="n">
        <f aca="false">ПАРАМЕТРЫ!D23</f>
        <v>21</v>
      </c>
      <c r="H126" s="12" t="n">
        <f aca="false">SUMIFS(ШТАТ_ПО_ЧАСАМ!$C$11:$C$115,ШТАТ_ПО_ЧАСАМ!$A$11:$A$115,A126,ШТАТ_ПО_ЧАСАМ!$B$11:$B$115,B126)</f>
        <v>1</v>
      </c>
      <c r="I126" s="12" t="n">
        <f aca="false">MIN(H126,1)*ПАРАМЕТРЫ!E23</f>
        <v>21</v>
      </c>
      <c r="J126" s="12" t="n">
        <f aca="false">MIN(G126,I126)</f>
        <v>21</v>
      </c>
      <c r="K126" s="12" t="n">
        <f aca="false">MAX(F126-J126,0)</f>
        <v>0</v>
      </c>
      <c r="L126" s="12" t="n">
        <f aca="false">IF(J126=0,0,F126/J126)</f>
        <v>0.299880952380952</v>
      </c>
      <c r="M126" s="11" t="str">
        <f aca="false">IF(K126&gt;0,"BLOCKED","PASS")</f>
        <v>PASS</v>
      </c>
      <c r="N126" s="11" t="s">
        <v>233</v>
      </c>
    </row>
    <row r="127" customFormat="false" ht="23.85" hidden="false" customHeight="false" outlineLevel="0" collapsed="false">
      <c r="A127" s="11" t="s">
        <v>107</v>
      </c>
      <c r="B127" s="11" t="s">
        <v>138</v>
      </c>
      <c r="C127" s="11" t="s">
        <v>85</v>
      </c>
      <c r="D127" s="11" t="s">
        <v>86</v>
      </c>
      <c r="E127" s="11" t="s">
        <v>87</v>
      </c>
      <c r="F127" s="12" t="n">
        <f aca="false">SUMIFS(СПРОС_ДЕНЬ_ЧАС_МЕНЮ!$I$11:$I$3265,СПРОС_ДЕНЬ_ЧАС_МЕНЮ!$A$11:$A$3265,A127,СПРОС_ДЕНЬ_ЧАС_МЕНЮ!$B$11:$B$3265,B127,СПРОС_ДЕНЬ_ЧАС_МЕНЮ!$F$11:$F$3265,C127)</f>
        <v>3.1671475</v>
      </c>
      <c r="G127" s="12" t="n">
        <f aca="false">ПАРАМЕТРЫ!D24</f>
        <v>12</v>
      </c>
      <c r="H127" s="12" t="n">
        <f aca="false">SUMIFS(ШТАТ_ПО_ЧАСАМ!$C$11:$C$115,ШТАТ_ПО_ЧАСАМ!$A$11:$A$115,A127,ШТАТ_ПО_ЧАСАМ!$B$11:$B$115,B127)</f>
        <v>1</v>
      </c>
      <c r="I127" s="12" t="n">
        <f aca="false">MIN(H127,1)*ПАРАМЕТРЫ!E24</f>
        <v>12</v>
      </c>
      <c r="J127" s="12" t="n">
        <f aca="false">MIN(G127,I127)</f>
        <v>12</v>
      </c>
      <c r="K127" s="12" t="n">
        <f aca="false">MAX(F127-J127,0)</f>
        <v>0</v>
      </c>
      <c r="L127" s="12" t="n">
        <f aca="false">IF(J127=0,0,F127/J127)</f>
        <v>0.263928958333333</v>
      </c>
      <c r="M127" s="11" t="str">
        <f aca="false">IF(K127&gt;0,"BLOCKED","PASS")</f>
        <v>PASS</v>
      </c>
      <c r="N127" s="11" t="s">
        <v>233</v>
      </c>
    </row>
    <row r="128" customFormat="false" ht="23.85" hidden="false" customHeight="false" outlineLevel="0" collapsed="false">
      <c r="A128" s="11" t="s">
        <v>107</v>
      </c>
      <c r="B128" s="11" t="s">
        <v>138</v>
      </c>
      <c r="C128" s="11" t="s">
        <v>88</v>
      </c>
      <c r="D128" s="11" t="s">
        <v>89</v>
      </c>
      <c r="E128" s="11" t="s">
        <v>90</v>
      </c>
      <c r="F128" s="12" t="n">
        <f aca="false">SUMIFS(СПРОС_ДЕНЬ_ЧАС_МЕНЮ!$I$11:$I$3265,СПРОС_ДЕНЬ_ЧАС_МЕНЮ!$A$11:$A$3265,A128,СПРОС_ДЕНЬ_ЧАС_МЕНЮ!$B$11:$B$3265,B128,СПРОС_ДЕНЬ_ЧАС_МЕНЮ!$F$11:$F$3265,C128)</f>
        <v>0</v>
      </c>
      <c r="G128" s="12" t="n">
        <f aca="false">ПАРАМЕТРЫ!D25</f>
        <v>15</v>
      </c>
      <c r="H128" s="12" t="n">
        <f aca="false">SUMIFS(ШТАТ_ПО_ЧАСАМ!$C$11:$C$115,ШТАТ_ПО_ЧАСАМ!$A$11:$A$115,A128,ШТАТ_ПО_ЧАСАМ!$B$11:$B$115,B128)</f>
        <v>1</v>
      </c>
      <c r="I128" s="12" t="n">
        <f aca="false">MIN(H128,1)*ПАРАМЕТРЫ!E25</f>
        <v>10</v>
      </c>
      <c r="J128" s="12" t="n">
        <f aca="false">MIN(G128,I128)</f>
        <v>10</v>
      </c>
      <c r="K128" s="12" t="n">
        <f aca="false">MAX(F128-J128,0)</f>
        <v>0</v>
      </c>
      <c r="L128" s="12" t="n">
        <f aca="false">IF(J128=0,0,F128/J128)</f>
        <v>0</v>
      </c>
      <c r="M128" s="11" t="str">
        <f aca="false">IF(K128&gt;0,"BLOCKED","PASS")</f>
        <v>PASS</v>
      </c>
      <c r="N128" s="11" t="s">
        <v>233</v>
      </c>
    </row>
    <row r="129" customFormat="false" ht="23.85" hidden="false" customHeight="false" outlineLevel="0" collapsed="false">
      <c r="A129" s="11" t="s">
        <v>107</v>
      </c>
      <c r="B129" s="11" t="s">
        <v>138</v>
      </c>
      <c r="C129" s="11" t="s">
        <v>91</v>
      </c>
      <c r="D129" s="11" t="s">
        <v>92</v>
      </c>
      <c r="E129" s="11" t="s">
        <v>79</v>
      </c>
      <c r="F129" s="12" t="n">
        <f aca="false">SUMIFS(СПРОС_ДЕНЬ_ЧАС_МЕНЮ!$I$11:$I$3265,СПРОС_ДЕНЬ_ЧАС_МЕНЮ!$A$11:$A$3265,A129,СПРОС_ДЕНЬ_ЧАС_МЕНЮ!$B$11:$B$3265,B129,СПРОС_ДЕНЬ_ЧАС_МЕНЮ!$F$11:$F$3265,C129)</f>
        <v>0.935</v>
      </c>
      <c r="G129" s="12" t="n">
        <f aca="false">ПАРАМЕТРЫ!D26</f>
        <v>20</v>
      </c>
      <c r="H129" s="12" t="n">
        <f aca="false">SUMIFS(ШТАТ_ПО_ЧАСАМ!$C$11:$C$115,ШТАТ_ПО_ЧАСАМ!$A$11:$A$115,A129,ШТАТ_ПО_ЧАСАМ!$B$11:$B$115,B129)</f>
        <v>1</v>
      </c>
      <c r="I129" s="12" t="n">
        <f aca="false">MIN(H129,1)*ПАРАМЕТРЫ!E26</f>
        <v>10</v>
      </c>
      <c r="J129" s="12" t="n">
        <f aca="false">MIN(G129,I129)</f>
        <v>10</v>
      </c>
      <c r="K129" s="12" t="n">
        <f aca="false">MAX(F129-J129,0)</f>
        <v>0</v>
      </c>
      <c r="L129" s="12" t="n">
        <f aca="false">IF(J129=0,0,F129/J129)</f>
        <v>0.0935</v>
      </c>
      <c r="M129" s="11" t="str">
        <f aca="false">IF(K129&gt;0,"BLOCKED","PASS")</f>
        <v>PASS</v>
      </c>
      <c r="N129" s="11" t="s">
        <v>233</v>
      </c>
    </row>
    <row r="130" customFormat="false" ht="15" hidden="false" customHeight="false" outlineLevel="0" collapsed="false">
      <c r="A130" s="11" t="s">
        <v>107</v>
      </c>
      <c r="B130" s="11" t="s">
        <v>138</v>
      </c>
      <c r="C130" s="11" t="s">
        <v>93</v>
      </c>
      <c r="D130" s="11" t="s">
        <v>234</v>
      </c>
      <c r="E130" s="11" t="s">
        <v>95</v>
      </c>
      <c r="F130" s="12" t="n">
        <f aca="false">SUMIFS(СПРОС_ДЕНЬ_ЧАС_МЕНЮ!$I$11:$I$3265,СПРОС_ДЕНЬ_ЧАС_МЕНЮ!$A$11:$A$3265,A130,СПРОС_ДЕНЬ_ЧАС_МЕНЮ!$B$11:$B$3265,B130)</f>
        <v>17.7575475</v>
      </c>
      <c r="G130" s="12" t="n">
        <f aca="false">ПАРАМЕТРЫ!D27</f>
        <v>60</v>
      </c>
      <c r="H130" s="12" t="n">
        <f aca="false">SUMIFS(ШТАТ_ПО_ЧАСАМ!$C$11:$C$115,ШТАТ_ПО_ЧАСАМ!$A$11:$A$115,A130,ШТАТ_ПО_ЧАСАМ!$B$11:$B$115,B130)</f>
        <v>1</v>
      </c>
      <c r="I130" s="12" t="n">
        <f aca="false">H130*ПАРАМЕТРЫ!E27</f>
        <v>16.6666666666667</v>
      </c>
      <c r="J130" s="12" t="n">
        <f aca="false">MIN(G130,I130)</f>
        <v>16.6666666666667</v>
      </c>
      <c r="K130" s="12" t="n">
        <f aca="false">MAX(F130-J130,0)</f>
        <v>1.09088083333334</v>
      </c>
      <c r="L130" s="12" t="n">
        <f aca="false">IF(J130=0,0,F130/J130)</f>
        <v>1.06545285</v>
      </c>
      <c r="M130" s="11" t="str">
        <f aca="false">IF(K130&gt;0,"BLOCKED","PASS")</f>
        <v>BLOCKED</v>
      </c>
      <c r="N130" s="11" t="s">
        <v>235</v>
      </c>
    </row>
    <row r="131" customFormat="false" ht="23.85" hidden="false" customHeight="false" outlineLevel="0" collapsed="false">
      <c r="A131" s="11" t="s">
        <v>108</v>
      </c>
      <c r="B131" s="11" t="s">
        <v>124</v>
      </c>
      <c r="C131" s="11" t="s">
        <v>73</v>
      </c>
      <c r="D131" s="11" t="s">
        <v>74</v>
      </c>
      <c r="E131" s="11" t="s">
        <v>75</v>
      </c>
      <c r="F131" s="12" t="n">
        <f aca="false">SUMIFS(СПРОС_ДЕНЬ_ЧАС_МЕНЮ!$I$11:$I$3265,СПРОС_ДЕНЬ_ЧАС_МЕНЮ!$A$11:$A$3265,A131,СПРОС_ДЕНЬ_ЧАС_МЕНЮ!$B$11:$B$3265,B131,СПРОС_ДЕНЬ_ЧАС_МЕНЮ!$F$11:$F$3265,C131)</f>
        <v>0</v>
      </c>
      <c r="G131" s="12" t="n">
        <f aca="false">ПАРАМЕТРЫ!D20</f>
        <v>25</v>
      </c>
      <c r="H131" s="12" t="n">
        <f aca="false">SUMIFS(ШТАТ_ПО_ЧАСАМ!$C$11:$C$115,ШТАТ_ПО_ЧАСАМ!$A$11:$A$115,A131,ШТАТ_ПО_ЧАСАМ!$B$11:$B$115,B131)</f>
        <v>1</v>
      </c>
      <c r="I131" s="12" t="n">
        <f aca="false">MIN(H131,1)*ПАРАМЕТРЫ!E20</f>
        <v>10</v>
      </c>
      <c r="J131" s="12" t="n">
        <f aca="false">MIN(G131,I131)</f>
        <v>10</v>
      </c>
      <c r="K131" s="12" t="n">
        <f aca="false">MAX(F131-J131,0)</f>
        <v>0</v>
      </c>
      <c r="L131" s="12" t="n">
        <f aca="false">IF(J131=0,0,F131/J131)</f>
        <v>0</v>
      </c>
      <c r="M131" s="11" t="str">
        <f aca="false">IF(K131&gt;0,"BLOCKED","PASS")</f>
        <v>PASS</v>
      </c>
      <c r="N131" s="11" t="s">
        <v>233</v>
      </c>
    </row>
    <row r="132" customFormat="false" ht="23.85" hidden="false" customHeight="false" outlineLevel="0" collapsed="false">
      <c r="A132" s="11" t="s">
        <v>108</v>
      </c>
      <c r="B132" s="11" t="s">
        <v>124</v>
      </c>
      <c r="C132" s="11" t="s">
        <v>77</v>
      </c>
      <c r="D132" s="11" t="s">
        <v>78</v>
      </c>
      <c r="E132" s="11" t="s">
        <v>79</v>
      </c>
      <c r="F132" s="12" t="n">
        <f aca="false">SUMIFS(СПРОС_ДЕНЬ_ЧАС_МЕНЮ!$I$11:$I$3265,СПРОС_ДЕНЬ_ЧАС_МЕНЮ!$A$11:$A$3265,A132,СПРОС_ДЕНЬ_ЧАС_МЕНЮ!$B$11:$B$3265,B132,СПРОС_ДЕНЬ_ЧАС_МЕНЮ!$F$11:$F$3265,C132)</f>
        <v>0.396</v>
      </c>
      <c r="G132" s="12" t="n">
        <f aca="false">ПАРАМЕТРЫ!D21</f>
        <v>20</v>
      </c>
      <c r="H132" s="12" t="n">
        <f aca="false">SUMIFS(ШТАТ_ПО_ЧАСАМ!$C$11:$C$115,ШТАТ_ПО_ЧАСАМ!$A$11:$A$115,A132,ШТАТ_ПО_ЧАСАМ!$B$11:$B$115,B132)</f>
        <v>1</v>
      </c>
      <c r="I132" s="12" t="n">
        <f aca="false">MIN(H132,1)*ПАРАМЕТРЫ!E21</f>
        <v>10</v>
      </c>
      <c r="J132" s="12" t="n">
        <f aca="false">MIN(G132,I132)</f>
        <v>10</v>
      </c>
      <c r="K132" s="12" t="n">
        <f aca="false">MAX(F132-J132,0)</f>
        <v>0</v>
      </c>
      <c r="L132" s="12" t="n">
        <f aca="false">IF(J132=0,0,F132/J132)</f>
        <v>0.0396</v>
      </c>
      <c r="M132" s="11" t="str">
        <f aca="false">IF(K132&gt;0,"BLOCKED","PASS")</f>
        <v>PASS</v>
      </c>
      <c r="N132" s="11" t="s">
        <v>233</v>
      </c>
    </row>
    <row r="133" customFormat="false" ht="23.85" hidden="false" customHeight="false" outlineLevel="0" collapsed="false">
      <c r="A133" s="11" t="s">
        <v>108</v>
      </c>
      <c r="B133" s="11" t="s">
        <v>124</v>
      </c>
      <c r="C133" s="11" t="s">
        <v>80</v>
      </c>
      <c r="D133" s="11" t="s">
        <v>81</v>
      </c>
      <c r="E133" s="11" t="s">
        <v>82</v>
      </c>
      <c r="F133" s="12" t="n">
        <f aca="false">SUMIFS(СПРОС_ДЕНЬ_ЧАС_МЕНЮ!$I$11:$I$3265,СПРОС_ДЕНЬ_ЧАС_МЕНЮ!$A$11:$A$3265,A133,СПРОС_ДЕНЬ_ЧАС_МЕНЮ!$B$11:$B$3265,B133,СПРОС_ДЕНЬ_ЧАС_МЕНЮ!$F$11:$F$3265,C133)</f>
        <v>0</v>
      </c>
      <c r="G133" s="12" t="n">
        <f aca="false">ПАРАМЕТРЫ!D22</f>
        <v>16</v>
      </c>
      <c r="H133" s="12" t="n">
        <f aca="false">SUMIFS(ШТАТ_ПО_ЧАСАМ!$C$11:$C$115,ШТАТ_ПО_ЧАСАМ!$A$11:$A$115,A133,ШТАТ_ПО_ЧАСАМ!$B$11:$B$115,B133)</f>
        <v>1</v>
      </c>
      <c r="I133" s="12" t="n">
        <f aca="false">MIN(H133,1)*ПАРАМЕТРЫ!E22</f>
        <v>16</v>
      </c>
      <c r="J133" s="12" t="n">
        <f aca="false">MIN(G133,I133)</f>
        <v>16</v>
      </c>
      <c r="K133" s="12" t="n">
        <f aca="false">MAX(F133-J133,0)</f>
        <v>0</v>
      </c>
      <c r="L133" s="12" t="n">
        <f aca="false">IF(J133=0,0,F133/J133)</f>
        <v>0</v>
      </c>
      <c r="M133" s="11" t="str">
        <f aca="false">IF(K133&gt;0,"BLOCKED","PASS")</f>
        <v>PASS</v>
      </c>
      <c r="N133" s="11" t="s">
        <v>233</v>
      </c>
    </row>
    <row r="134" customFormat="false" ht="23.85" hidden="false" customHeight="false" outlineLevel="0" collapsed="false">
      <c r="A134" s="11" t="s">
        <v>108</v>
      </c>
      <c r="B134" s="11" t="s">
        <v>124</v>
      </c>
      <c r="C134" s="11" t="s">
        <v>83</v>
      </c>
      <c r="D134" s="11" t="s">
        <v>84</v>
      </c>
      <c r="E134" s="11" t="s">
        <v>83</v>
      </c>
      <c r="F134" s="12" t="n">
        <f aca="false">SUMIFS(СПРОС_ДЕНЬ_ЧАС_МЕНЮ!$I$11:$I$3265,СПРОС_ДЕНЬ_ЧАС_МЕНЮ!$A$11:$A$3265,A134,СПРОС_ДЕНЬ_ЧАС_МЕНЮ!$B$11:$B$3265,B134,СПРОС_ДЕНЬ_ЧАС_МЕНЮ!$F$11:$F$3265,C134)</f>
        <v>0</v>
      </c>
      <c r="G134" s="12" t="n">
        <f aca="false">ПАРАМЕТРЫ!D23</f>
        <v>21</v>
      </c>
      <c r="H134" s="12" t="n">
        <f aca="false">SUMIFS(ШТАТ_ПО_ЧАСАМ!$C$11:$C$115,ШТАТ_ПО_ЧАСАМ!$A$11:$A$115,A134,ШТАТ_ПО_ЧАСАМ!$B$11:$B$115,B134)</f>
        <v>1</v>
      </c>
      <c r="I134" s="12" t="n">
        <f aca="false">MIN(H134,1)*ПАРАМЕТРЫ!E23</f>
        <v>21</v>
      </c>
      <c r="J134" s="12" t="n">
        <f aca="false">MIN(G134,I134)</f>
        <v>21</v>
      </c>
      <c r="K134" s="12" t="n">
        <f aca="false">MAX(F134-J134,0)</f>
        <v>0</v>
      </c>
      <c r="L134" s="12" t="n">
        <f aca="false">IF(J134=0,0,F134/J134)</f>
        <v>0</v>
      </c>
      <c r="M134" s="11" t="str">
        <f aca="false">IF(K134&gt;0,"BLOCKED","PASS")</f>
        <v>PASS</v>
      </c>
      <c r="N134" s="11" t="s">
        <v>233</v>
      </c>
    </row>
    <row r="135" customFormat="false" ht="23.85" hidden="false" customHeight="false" outlineLevel="0" collapsed="false">
      <c r="A135" s="11" t="s">
        <v>108</v>
      </c>
      <c r="B135" s="11" t="s">
        <v>124</v>
      </c>
      <c r="C135" s="11" t="s">
        <v>85</v>
      </c>
      <c r="D135" s="11" t="s">
        <v>86</v>
      </c>
      <c r="E135" s="11" t="s">
        <v>87</v>
      </c>
      <c r="F135" s="12" t="n">
        <f aca="false">SUMIFS(СПРОС_ДЕНЬ_ЧАС_МЕНЮ!$I$11:$I$3265,СПРОС_ДЕНЬ_ЧАС_МЕНЮ!$A$11:$A$3265,A135,СПРОС_ДЕНЬ_ЧАС_МЕНЮ!$B$11:$B$3265,B135,СПРОС_ДЕНЬ_ЧАС_МЕНЮ!$F$11:$F$3265,C135)</f>
        <v>0</v>
      </c>
      <c r="G135" s="12" t="n">
        <f aca="false">ПАРАМЕТРЫ!D24</f>
        <v>12</v>
      </c>
      <c r="H135" s="12" t="n">
        <f aca="false">SUMIFS(ШТАТ_ПО_ЧАСАМ!$C$11:$C$115,ШТАТ_ПО_ЧАСАМ!$A$11:$A$115,A135,ШТАТ_ПО_ЧАСАМ!$B$11:$B$115,B135)</f>
        <v>1</v>
      </c>
      <c r="I135" s="12" t="n">
        <f aca="false">MIN(H135,1)*ПАРАМЕТРЫ!E24</f>
        <v>12</v>
      </c>
      <c r="J135" s="12" t="n">
        <f aca="false">MIN(G135,I135)</f>
        <v>12</v>
      </c>
      <c r="K135" s="12" t="n">
        <f aca="false">MAX(F135-J135,0)</f>
        <v>0</v>
      </c>
      <c r="L135" s="12" t="n">
        <f aca="false">IF(J135=0,0,F135/J135)</f>
        <v>0</v>
      </c>
      <c r="M135" s="11" t="str">
        <f aca="false">IF(K135&gt;0,"BLOCKED","PASS")</f>
        <v>PASS</v>
      </c>
      <c r="N135" s="11" t="s">
        <v>233</v>
      </c>
    </row>
    <row r="136" customFormat="false" ht="23.85" hidden="false" customHeight="false" outlineLevel="0" collapsed="false">
      <c r="A136" s="11" t="s">
        <v>108</v>
      </c>
      <c r="B136" s="11" t="s">
        <v>124</v>
      </c>
      <c r="C136" s="11" t="s">
        <v>88</v>
      </c>
      <c r="D136" s="11" t="s">
        <v>89</v>
      </c>
      <c r="E136" s="11" t="s">
        <v>90</v>
      </c>
      <c r="F136" s="12" t="n">
        <f aca="false">SUMIFS(СПРОС_ДЕНЬ_ЧАС_МЕНЮ!$I$11:$I$3265,СПРОС_ДЕНЬ_ЧАС_МЕНЮ!$A$11:$A$3265,A136,СПРОС_ДЕНЬ_ЧАС_МЕНЮ!$B$11:$B$3265,B136,СПРОС_ДЕНЬ_ЧАС_МЕНЮ!$F$11:$F$3265,C136)</f>
        <v>3.3</v>
      </c>
      <c r="G136" s="12" t="n">
        <f aca="false">ПАРАМЕТРЫ!D25</f>
        <v>15</v>
      </c>
      <c r="H136" s="12" t="n">
        <f aca="false">SUMIFS(ШТАТ_ПО_ЧАСАМ!$C$11:$C$115,ШТАТ_ПО_ЧАСАМ!$A$11:$A$115,A136,ШТАТ_ПО_ЧАСАМ!$B$11:$B$115,B136)</f>
        <v>1</v>
      </c>
      <c r="I136" s="12" t="n">
        <f aca="false">MIN(H136,1)*ПАРАМЕТРЫ!E25</f>
        <v>10</v>
      </c>
      <c r="J136" s="12" t="n">
        <f aca="false">MIN(G136,I136)</f>
        <v>10</v>
      </c>
      <c r="K136" s="12" t="n">
        <f aca="false">MAX(F136-J136,0)</f>
        <v>0</v>
      </c>
      <c r="L136" s="12" t="n">
        <f aca="false">IF(J136=0,0,F136/J136)</f>
        <v>0.33</v>
      </c>
      <c r="M136" s="11" t="str">
        <f aca="false">IF(K136&gt;0,"BLOCKED","PASS")</f>
        <v>PASS</v>
      </c>
      <c r="N136" s="11" t="s">
        <v>233</v>
      </c>
    </row>
    <row r="137" customFormat="false" ht="23.85" hidden="false" customHeight="false" outlineLevel="0" collapsed="false">
      <c r="A137" s="11" t="s">
        <v>108</v>
      </c>
      <c r="B137" s="11" t="s">
        <v>124</v>
      </c>
      <c r="C137" s="11" t="s">
        <v>91</v>
      </c>
      <c r="D137" s="11" t="s">
        <v>92</v>
      </c>
      <c r="E137" s="11" t="s">
        <v>79</v>
      </c>
      <c r="F137" s="12" t="n">
        <f aca="false">SUMIFS(СПРОС_ДЕНЬ_ЧАС_МЕНЮ!$I$11:$I$3265,СПРОС_ДЕНЬ_ЧАС_МЕНЮ!$A$11:$A$3265,A137,СПРОС_ДЕНЬ_ЧАС_МЕНЮ!$B$11:$B$3265,B137,СПРОС_ДЕНЬ_ЧАС_МЕНЮ!$F$11:$F$3265,C137)</f>
        <v>0.198</v>
      </c>
      <c r="G137" s="12" t="n">
        <f aca="false">ПАРАМЕТРЫ!D26</f>
        <v>20</v>
      </c>
      <c r="H137" s="12" t="n">
        <f aca="false">SUMIFS(ШТАТ_ПО_ЧАСАМ!$C$11:$C$115,ШТАТ_ПО_ЧАСАМ!$A$11:$A$115,A137,ШТАТ_ПО_ЧАСАМ!$B$11:$B$115,B137)</f>
        <v>1</v>
      </c>
      <c r="I137" s="12" t="n">
        <f aca="false">MIN(H137,1)*ПАРАМЕТРЫ!E26</f>
        <v>10</v>
      </c>
      <c r="J137" s="12" t="n">
        <f aca="false">MIN(G137,I137)</f>
        <v>10</v>
      </c>
      <c r="K137" s="12" t="n">
        <f aca="false">MAX(F137-J137,0)</f>
        <v>0</v>
      </c>
      <c r="L137" s="12" t="n">
        <f aca="false">IF(J137=0,0,F137/J137)</f>
        <v>0.0198</v>
      </c>
      <c r="M137" s="11" t="str">
        <f aca="false">IF(K137&gt;0,"BLOCKED","PASS")</f>
        <v>PASS</v>
      </c>
      <c r="N137" s="11" t="s">
        <v>233</v>
      </c>
    </row>
    <row r="138" customFormat="false" ht="15" hidden="false" customHeight="false" outlineLevel="0" collapsed="false">
      <c r="A138" s="11" t="s">
        <v>108</v>
      </c>
      <c r="B138" s="11" t="s">
        <v>124</v>
      </c>
      <c r="C138" s="11" t="s">
        <v>93</v>
      </c>
      <c r="D138" s="11" t="s">
        <v>234</v>
      </c>
      <c r="E138" s="11" t="s">
        <v>95</v>
      </c>
      <c r="F138" s="12" t="n">
        <f aca="false">SUMIFS(СПРОС_ДЕНЬ_ЧАС_МЕНЮ!$I$11:$I$3265,СПРОС_ДЕНЬ_ЧАС_МЕНЮ!$A$11:$A$3265,A138,СПРОС_ДЕНЬ_ЧАС_МЕНЮ!$B$11:$B$3265,B138)</f>
        <v>3.894</v>
      </c>
      <c r="G138" s="12" t="n">
        <f aca="false">ПАРАМЕТРЫ!D27</f>
        <v>60</v>
      </c>
      <c r="H138" s="12" t="n">
        <f aca="false">SUMIFS(ШТАТ_ПО_ЧАСАМ!$C$11:$C$115,ШТАТ_ПО_ЧАСАМ!$A$11:$A$115,A138,ШТАТ_ПО_ЧАСАМ!$B$11:$B$115,B138)</f>
        <v>1</v>
      </c>
      <c r="I138" s="12" t="n">
        <f aca="false">H138*ПАРАМЕТРЫ!E27</f>
        <v>16.6666666666667</v>
      </c>
      <c r="J138" s="12" t="n">
        <f aca="false">MIN(G138,I138)</f>
        <v>16.6666666666667</v>
      </c>
      <c r="K138" s="12" t="n">
        <f aca="false">MAX(F138-J138,0)</f>
        <v>0</v>
      </c>
      <c r="L138" s="12" t="n">
        <f aca="false">IF(J138=0,0,F138/J138)</f>
        <v>0.23364</v>
      </c>
      <c r="M138" s="11" t="str">
        <f aca="false">IF(K138&gt;0,"BLOCKED","PASS")</f>
        <v>PASS</v>
      </c>
      <c r="N138" s="11" t="s">
        <v>235</v>
      </c>
    </row>
    <row r="139" customFormat="false" ht="23.85" hidden="false" customHeight="false" outlineLevel="0" collapsed="false">
      <c r="A139" s="11" t="s">
        <v>108</v>
      </c>
      <c r="B139" s="11" t="s">
        <v>125</v>
      </c>
      <c r="C139" s="11" t="s">
        <v>73</v>
      </c>
      <c r="D139" s="11" t="s">
        <v>74</v>
      </c>
      <c r="E139" s="11" t="s">
        <v>75</v>
      </c>
      <c r="F139" s="12" t="n">
        <f aca="false">SUMIFS(СПРОС_ДЕНЬ_ЧАС_МЕНЮ!$I$11:$I$3265,СПРОС_ДЕНЬ_ЧАС_МЕНЮ!$A$11:$A$3265,A139,СПРОС_ДЕНЬ_ЧАС_МЕНЮ!$B$11:$B$3265,B139,СПРОС_ДЕНЬ_ЧАС_МЕНЮ!$F$11:$F$3265,C139)</f>
        <v>0</v>
      </c>
      <c r="G139" s="12" t="n">
        <f aca="false">ПАРАМЕТРЫ!D20</f>
        <v>25</v>
      </c>
      <c r="H139" s="12" t="n">
        <f aca="false">SUMIFS(ШТАТ_ПО_ЧАСАМ!$C$11:$C$115,ШТАТ_ПО_ЧАСАМ!$A$11:$A$115,A139,ШТАТ_ПО_ЧАСАМ!$B$11:$B$115,B139)</f>
        <v>1</v>
      </c>
      <c r="I139" s="12" t="n">
        <f aca="false">MIN(H139,1)*ПАРАМЕТРЫ!E20</f>
        <v>10</v>
      </c>
      <c r="J139" s="12" t="n">
        <f aca="false">MIN(G139,I139)</f>
        <v>10</v>
      </c>
      <c r="K139" s="12" t="n">
        <f aca="false">MAX(F139-J139,0)</f>
        <v>0</v>
      </c>
      <c r="L139" s="12" t="n">
        <f aca="false">IF(J139=0,0,F139/J139)</f>
        <v>0</v>
      </c>
      <c r="M139" s="11" t="str">
        <f aca="false">IF(K139&gt;0,"BLOCKED","PASS")</f>
        <v>PASS</v>
      </c>
      <c r="N139" s="11" t="s">
        <v>233</v>
      </c>
    </row>
    <row r="140" customFormat="false" ht="23.85" hidden="false" customHeight="false" outlineLevel="0" collapsed="false">
      <c r="A140" s="11" t="s">
        <v>108</v>
      </c>
      <c r="B140" s="11" t="s">
        <v>125</v>
      </c>
      <c r="C140" s="11" t="s">
        <v>77</v>
      </c>
      <c r="D140" s="11" t="s">
        <v>78</v>
      </c>
      <c r="E140" s="11" t="s">
        <v>79</v>
      </c>
      <c r="F140" s="12" t="n">
        <f aca="false">SUMIFS(СПРОС_ДЕНЬ_ЧАС_МЕНЮ!$I$11:$I$3265,СПРОС_ДЕНЬ_ЧАС_МЕНЮ!$A$11:$A$3265,A140,СПРОС_ДЕНЬ_ЧАС_МЕНЮ!$B$11:$B$3265,B140,СПРОС_ДЕНЬ_ЧАС_МЕНЮ!$F$11:$F$3265,C140)</f>
        <v>0.66</v>
      </c>
      <c r="G140" s="12" t="n">
        <f aca="false">ПАРАМЕТРЫ!D21</f>
        <v>20</v>
      </c>
      <c r="H140" s="12" t="n">
        <f aca="false">SUMIFS(ШТАТ_ПО_ЧАСАМ!$C$11:$C$115,ШТАТ_ПО_ЧАСАМ!$A$11:$A$115,A140,ШТАТ_ПО_ЧАСАМ!$B$11:$B$115,B140)</f>
        <v>1</v>
      </c>
      <c r="I140" s="12" t="n">
        <f aca="false">MIN(H140,1)*ПАРАМЕТРЫ!E21</f>
        <v>10</v>
      </c>
      <c r="J140" s="12" t="n">
        <f aca="false">MIN(G140,I140)</f>
        <v>10</v>
      </c>
      <c r="K140" s="12" t="n">
        <f aca="false">MAX(F140-J140,0)</f>
        <v>0</v>
      </c>
      <c r="L140" s="12" t="n">
        <f aca="false">IF(J140=0,0,F140/J140)</f>
        <v>0.066</v>
      </c>
      <c r="M140" s="11" t="str">
        <f aca="false">IF(K140&gt;0,"BLOCKED","PASS")</f>
        <v>PASS</v>
      </c>
      <c r="N140" s="11" t="s">
        <v>233</v>
      </c>
    </row>
    <row r="141" customFormat="false" ht="23.85" hidden="false" customHeight="false" outlineLevel="0" collapsed="false">
      <c r="A141" s="11" t="s">
        <v>108</v>
      </c>
      <c r="B141" s="11" t="s">
        <v>125</v>
      </c>
      <c r="C141" s="11" t="s">
        <v>80</v>
      </c>
      <c r="D141" s="11" t="s">
        <v>81</v>
      </c>
      <c r="E141" s="11" t="s">
        <v>82</v>
      </c>
      <c r="F141" s="12" t="n">
        <f aca="false">SUMIFS(СПРОС_ДЕНЬ_ЧАС_МЕНЮ!$I$11:$I$3265,СПРОС_ДЕНЬ_ЧАС_МЕНЮ!$A$11:$A$3265,A141,СПРОС_ДЕНЬ_ЧАС_МЕНЮ!$B$11:$B$3265,B141,СПРОС_ДЕНЬ_ЧАС_МЕНЮ!$F$11:$F$3265,C141)</f>
        <v>0</v>
      </c>
      <c r="G141" s="12" t="n">
        <f aca="false">ПАРАМЕТРЫ!D22</f>
        <v>16</v>
      </c>
      <c r="H141" s="12" t="n">
        <f aca="false">SUMIFS(ШТАТ_ПО_ЧАСАМ!$C$11:$C$115,ШТАТ_ПО_ЧАСАМ!$A$11:$A$115,A141,ШТАТ_ПО_ЧАСАМ!$B$11:$B$115,B141)</f>
        <v>1</v>
      </c>
      <c r="I141" s="12" t="n">
        <f aca="false">MIN(H141,1)*ПАРАМЕТРЫ!E22</f>
        <v>16</v>
      </c>
      <c r="J141" s="12" t="n">
        <f aca="false">MIN(G141,I141)</f>
        <v>16</v>
      </c>
      <c r="K141" s="12" t="n">
        <f aca="false">MAX(F141-J141,0)</f>
        <v>0</v>
      </c>
      <c r="L141" s="12" t="n">
        <f aca="false">IF(J141=0,0,F141/J141)</f>
        <v>0</v>
      </c>
      <c r="M141" s="11" t="str">
        <f aca="false">IF(K141&gt;0,"BLOCKED","PASS")</f>
        <v>PASS</v>
      </c>
      <c r="N141" s="11" t="s">
        <v>233</v>
      </c>
    </row>
    <row r="142" customFormat="false" ht="23.85" hidden="false" customHeight="false" outlineLevel="0" collapsed="false">
      <c r="A142" s="11" t="s">
        <v>108</v>
      </c>
      <c r="B142" s="11" t="s">
        <v>125</v>
      </c>
      <c r="C142" s="11" t="s">
        <v>83</v>
      </c>
      <c r="D142" s="11" t="s">
        <v>84</v>
      </c>
      <c r="E142" s="11" t="s">
        <v>83</v>
      </c>
      <c r="F142" s="12" t="n">
        <f aca="false">SUMIFS(СПРОС_ДЕНЬ_ЧАС_МЕНЮ!$I$11:$I$3265,СПРОС_ДЕНЬ_ЧАС_МЕНЮ!$A$11:$A$3265,A142,СПРОС_ДЕНЬ_ЧАС_МЕНЮ!$B$11:$B$3265,B142,СПРОС_ДЕНЬ_ЧАС_МЕНЮ!$F$11:$F$3265,C142)</f>
        <v>0</v>
      </c>
      <c r="G142" s="12" t="n">
        <f aca="false">ПАРАМЕТРЫ!D23</f>
        <v>21</v>
      </c>
      <c r="H142" s="12" t="n">
        <f aca="false">SUMIFS(ШТАТ_ПО_ЧАСАМ!$C$11:$C$115,ШТАТ_ПО_ЧАСАМ!$A$11:$A$115,A142,ШТАТ_ПО_ЧАСАМ!$B$11:$B$115,B142)</f>
        <v>1</v>
      </c>
      <c r="I142" s="12" t="n">
        <f aca="false">MIN(H142,1)*ПАРАМЕТРЫ!E23</f>
        <v>21</v>
      </c>
      <c r="J142" s="12" t="n">
        <f aca="false">MIN(G142,I142)</f>
        <v>21</v>
      </c>
      <c r="K142" s="12" t="n">
        <f aca="false">MAX(F142-J142,0)</f>
        <v>0</v>
      </c>
      <c r="L142" s="12" t="n">
        <f aca="false">IF(J142=0,0,F142/J142)</f>
        <v>0</v>
      </c>
      <c r="M142" s="11" t="str">
        <f aca="false">IF(K142&gt;0,"BLOCKED","PASS")</f>
        <v>PASS</v>
      </c>
      <c r="N142" s="11" t="s">
        <v>233</v>
      </c>
    </row>
    <row r="143" customFormat="false" ht="23.85" hidden="false" customHeight="false" outlineLevel="0" collapsed="false">
      <c r="A143" s="11" t="s">
        <v>108</v>
      </c>
      <c r="B143" s="11" t="s">
        <v>125</v>
      </c>
      <c r="C143" s="11" t="s">
        <v>85</v>
      </c>
      <c r="D143" s="11" t="s">
        <v>86</v>
      </c>
      <c r="E143" s="11" t="s">
        <v>87</v>
      </c>
      <c r="F143" s="12" t="n">
        <f aca="false">SUMIFS(СПРОС_ДЕНЬ_ЧАС_МЕНЮ!$I$11:$I$3265,СПРОС_ДЕНЬ_ЧАС_МЕНЮ!$A$11:$A$3265,A143,СПРОС_ДЕНЬ_ЧАС_МЕНЮ!$B$11:$B$3265,B143,СПРОС_ДЕНЬ_ЧАС_МЕНЮ!$F$11:$F$3265,C143)</f>
        <v>0</v>
      </c>
      <c r="G143" s="12" t="n">
        <f aca="false">ПАРАМЕТРЫ!D24</f>
        <v>12</v>
      </c>
      <c r="H143" s="12" t="n">
        <f aca="false">SUMIFS(ШТАТ_ПО_ЧАСАМ!$C$11:$C$115,ШТАТ_ПО_ЧАСАМ!$A$11:$A$115,A143,ШТАТ_ПО_ЧАСАМ!$B$11:$B$115,B143)</f>
        <v>1</v>
      </c>
      <c r="I143" s="12" t="n">
        <f aca="false">MIN(H143,1)*ПАРАМЕТРЫ!E24</f>
        <v>12</v>
      </c>
      <c r="J143" s="12" t="n">
        <f aca="false">MIN(G143,I143)</f>
        <v>12</v>
      </c>
      <c r="K143" s="12" t="n">
        <f aca="false">MAX(F143-J143,0)</f>
        <v>0</v>
      </c>
      <c r="L143" s="12" t="n">
        <f aca="false">IF(J143=0,0,F143/J143)</f>
        <v>0</v>
      </c>
      <c r="M143" s="11" t="str">
        <f aca="false">IF(K143&gt;0,"BLOCKED","PASS")</f>
        <v>PASS</v>
      </c>
      <c r="N143" s="11" t="s">
        <v>233</v>
      </c>
    </row>
    <row r="144" customFormat="false" ht="23.85" hidden="false" customHeight="false" outlineLevel="0" collapsed="false">
      <c r="A144" s="11" t="s">
        <v>108</v>
      </c>
      <c r="B144" s="11" t="s">
        <v>125</v>
      </c>
      <c r="C144" s="11" t="s">
        <v>88</v>
      </c>
      <c r="D144" s="11" t="s">
        <v>89</v>
      </c>
      <c r="E144" s="11" t="s">
        <v>90</v>
      </c>
      <c r="F144" s="12" t="n">
        <f aca="false">SUMIFS(СПРОС_ДЕНЬ_ЧАС_МЕНЮ!$I$11:$I$3265,СПРОС_ДЕНЬ_ЧАС_МЕНЮ!$A$11:$A$3265,A144,СПРОС_ДЕНЬ_ЧАС_МЕНЮ!$B$11:$B$3265,B144,СПРОС_ДЕНЬ_ЧАС_МЕНЮ!$F$11:$F$3265,C144)</f>
        <v>7.7</v>
      </c>
      <c r="G144" s="12" t="n">
        <f aca="false">ПАРАМЕТРЫ!D25</f>
        <v>15</v>
      </c>
      <c r="H144" s="12" t="n">
        <f aca="false">SUMIFS(ШТАТ_ПО_ЧАСАМ!$C$11:$C$115,ШТАТ_ПО_ЧАСАМ!$A$11:$A$115,A144,ШТАТ_ПО_ЧАСАМ!$B$11:$B$115,B144)</f>
        <v>1</v>
      </c>
      <c r="I144" s="12" t="n">
        <f aca="false">MIN(H144,1)*ПАРАМЕТРЫ!E25</f>
        <v>10</v>
      </c>
      <c r="J144" s="12" t="n">
        <f aca="false">MIN(G144,I144)</f>
        <v>10</v>
      </c>
      <c r="K144" s="12" t="n">
        <f aca="false">MAX(F144-J144,0)</f>
        <v>0</v>
      </c>
      <c r="L144" s="12" t="n">
        <f aca="false">IF(J144=0,0,F144/J144)</f>
        <v>0.77</v>
      </c>
      <c r="M144" s="11" t="str">
        <f aca="false">IF(K144&gt;0,"BLOCKED","PASS")</f>
        <v>PASS</v>
      </c>
      <c r="N144" s="11" t="s">
        <v>233</v>
      </c>
    </row>
    <row r="145" customFormat="false" ht="23.85" hidden="false" customHeight="false" outlineLevel="0" collapsed="false">
      <c r="A145" s="11" t="s">
        <v>108</v>
      </c>
      <c r="B145" s="11" t="s">
        <v>125</v>
      </c>
      <c r="C145" s="11" t="s">
        <v>91</v>
      </c>
      <c r="D145" s="11" t="s">
        <v>92</v>
      </c>
      <c r="E145" s="11" t="s">
        <v>79</v>
      </c>
      <c r="F145" s="12" t="n">
        <f aca="false">SUMIFS(СПРОС_ДЕНЬ_ЧАС_МЕНЮ!$I$11:$I$3265,СПРОС_ДЕНЬ_ЧАС_МЕНЮ!$A$11:$A$3265,A145,СПРОС_ДЕНЬ_ЧАС_МЕНЮ!$B$11:$B$3265,B145,СПРОС_ДЕНЬ_ЧАС_МЕНЮ!$F$11:$F$3265,C145)</f>
        <v>0.33</v>
      </c>
      <c r="G145" s="12" t="n">
        <f aca="false">ПАРАМЕТРЫ!D26</f>
        <v>20</v>
      </c>
      <c r="H145" s="12" t="n">
        <f aca="false">SUMIFS(ШТАТ_ПО_ЧАСАМ!$C$11:$C$115,ШТАТ_ПО_ЧАСАМ!$A$11:$A$115,A145,ШТАТ_ПО_ЧАСАМ!$B$11:$B$115,B145)</f>
        <v>1</v>
      </c>
      <c r="I145" s="12" t="n">
        <f aca="false">MIN(H145,1)*ПАРАМЕТРЫ!E26</f>
        <v>10</v>
      </c>
      <c r="J145" s="12" t="n">
        <f aca="false">MIN(G145,I145)</f>
        <v>10</v>
      </c>
      <c r="K145" s="12" t="n">
        <f aca="false">MAX(F145-J145,0)</f>
        <v>0</v>
      </c>
      <c r="L145" s="12" t="n">
        <f aca="false">IF(J145=0,0,F145/J145)</f>
        <v>0.033</v>
      </c>
      <c r="M145" s="11" t="str">
        <f aca="false">IF(K145&gt;0,"BLOCKED","PASS")</f>
        <v>PASS</v>
      </c>
      <c r="N145" s="11" t="s">
        <v>233</v>
      </c>
    </row>
    <row r="146" customFormat="false" ht="15" hidden="false" customHeight="false" outlineLevel="0" collapsed="false">
      <c r="A146" s="11" t="s">
        <v>108</v>
      </c>
      <c r="B146" s="11" t="s">
        <v>125</v>
      </c>
      <c r="C146" s="11" t="s">
        <v>93</v>
      </c>
      <c r="D146" s="11" t="s">
        <v>234</v>
      </c>
      <c r="E146" s="11" t="s">
        <v>95</v>
      </c>
      <c r="F146" s="12" t="n">
        <f aca="false">SUMIFS(СПРОС_ДЕНЬ_ЧАС_МЕНЮ!$I$11:$I$3265,СПРОС_ДЕНЬ_ЧАС_МЕНЮ!$A$11:$A$3265,A146,СПРОС_ДЕНЬ_ЧАС_МЕНЮ!$B$11:$B$3265,B146)</f>
        <v>8.69</v>
      </c>
      <c r="G146" s="12" t="n">
        <f aca="false">ПАРАМЕТРЫ!D27</f>
        <v>60</v>
      </c>
      <c r="H146" s="12" t="n">
        <f aca="false">SUMIFS(ШТАТ_ПО_ЧАСАМ!$C$11:$C$115,ШТАТ_ПО_ЧАСАМ!$A$11:$A$115,A146,ШТАТ_ПО_ЧАСАМ!$B$11:$B$115,B146)</f>
        <v>1</v>
      </c>
      <c r="I146" s="12" t="n">
        <f aca="false">H146*ПАРАМЕТРЫ!E27</f>
        <v>16.6666666666667</v>
      </c>
      <c r="J146" s="12" t="n">
        <f aca="false">MIN(G146,I146)</f>
        <v>16.6666666666667</v>
      </c>
      <c r="K146" s="12" t="n">
        <f aca="false">MAX(F146-J146,0)</f>
        <v>0</v>
      </c>
      <c r="L146" s="12" t="n">
        <f aca="false">IF(J146=0,0,F146/J146)</f>
        <v>0.5214</v>
      </c>
      <c r="M146" s="11" t="str">
        <f aca="false">IF(K146&gt;0,"BLOCKED","PASS")</f>
        <v>PASS</v>
      </c>
      <c r="N146" s="11" t="s">
        <v>235</v>
      </c>
    </row>
    <row r="147" customFormat="false" ht="23.85" hidden="false" customHeight="false" outlineLevel="0" collapsed="false">
      <c r="A147" s="11" t="s">
        <v>108</v>
      </c>
      <c r="B147" s="11" t="s">
        <v>126</v>
      </c>
      <c r="C147" s="11" t="s">
        <v>73</v>
      </c>
      <c r="D147" s="11" t="s">
        <v>74</v>
      </c>
      <c r="E147" s="11" t="s">
        <v>75</v>
      </c>
      <c r="F147" s="12" t="n">
        <f aca="false">SUMIFS(СПРОС_ДЕНЬ_ЧАС_МЕНЮ!$I$11:$I$3265,СПРОС_ДЕНЬ_ЧАС_МЕНЮ!$A$11:$A$3265,A147,СПРОС_ДЕНЬ_ЧАС_МЕНЮ!$B$11:$B$3265,B147,СПРОС_ДЕНЬ_ЧАС_МЕНЮ!$F$11:$F$3265,C147)</f>
        <v>0</v>
      </c>
      <c r="G147" s="12" t="n">
        <f aca="false">ПАРАМЕТРЫ!D20</f>
        <v>25</v>
      </c>
      <c r="H147" s="12" t="n">
        <f aca="false">SUMIFS(ШТАТ_ПО_ЧАСАМ!$C$11:$C$115,ШТАТ_ПО_ЧАСАМ!$A$11:$A$115,A147,ШТАТ_ПО_ЧАСАМ!$B$11:$B$115,B147)</f>
        <v>1</v>
      </c>
      <c r="I147" s="12" t="n">
        <f aca="false">MIN(H147,1)*ПАРАМЕТРЫ!E20</f>
        <v>10</v>
      </c>
      <c r="J147" s="12" t="n">
        <f aca="false">MIN(G147,I147)</f>
        <v>10</v>
      </c>
      <c r="K147" s="12" t="n">
        <f aca="false">MAX(F147-J147,0)</f>
        <v>0</v>
      </c>
      <c r="L147" s="12" t="n">
        <f aca="false">IF(J147=0,0,F147/J147)</f>
        <v>0</v>
      </c>
      <c r="M147" s="11" t="str">
        <f aca="false">IF(K147&gt;0,"BLOCKED","PASS")</f>
        <v>PASS</v>
      </c>
      <c r="N147" s="11" t="s">
        <v>233</v>
      </c>
    </row>
    <row r="148" customFormat="false" ht="23.85" hidden="false" customHeight="false" outlineLevel="0" collapsed="false">
      <c r="A148" s="11" t="s">
        <v>108</v>
      </c>
      <c r="B148" s="11" t="s">
        <v>126</v>
      </c>
      <c r="C148" s="11" t="s">
        <v>77</v>
      </c>
      <c r="D148" s="11" t="s">
        <v>78</v>
      </c>
      <c r="E148" s="11" t="s">
        <v>79</v>
      </c>
      <c r="F148" s="12" t="n">
        <f aca="false">SUMIFS(СПРОС_ДЕНЬ_ЧАС_МЕНЮ!$I$11:$I$3265,СПРОС_ДЕНЬ_ЧАС_МЕНЮ!$A$11:$A$3265,A148,СПРОС_ДЕНЬ_ЧАС_МЕНЮ!$B$11:$B$3265,B148,СПРОС_ДЕНЬ_ЧАС_МЕНЮ!$F$11:$F$3265,C148)</f>
        <v>0.792</v>
      </c>
      <c r="G148" s="12" t="n">
        <f aca="false">ПАРАМЕТРЫ!D21</f>
        <v>20</v>
      </c>
      <c r="H148" s="12" t="n">
        <f aca="false">SUMIFS(ШТАТ_ПО_ЧАСАМ!$C$11:$C$115,ШТАТ_ПО_ЧАСАМ!$A$11:$A$115,A148,ШТАТ_ПО_ЧАСАМ!$B$11:$B$115,B148)</f>
        <v>1</v>
      </c>
      <c r="I148" s="12" t="n">
        <f aca="false">MIN(H148,1)*ПАРАМЕТРЫ!E21</f>
        <v>10</v>
      </c>
      <c r="J148" s="12" t="n">
        <f aca="false">MIN(G148,I148)</f>
        <v>10</v>
      </c>
      <c r="K148" s="12" t="n">
        <f aca="false">MAX(F148-J148,0)</f>
        <v>0</v>
      </c>
      <c r="L148" s="12" t="n">
        <f aca="false">IF(J148=0,0,F148/J148)</f>
        <v>0.0792</v>
      </c>
      <c r="M148" s="11" t="str">
        <f aca="false">IF(K148&gt;0,"BLOCKED","PASS")</f>
        <v>PASS</v>
      </c>
      <c r="N148" s="11" t="s">
        <v>233</v>
      </c>
    </row>
    <row r="149" customFormat="false" ht="23.85" hidden="false" customHeight="false" outlineLevel="0" collapsed="false">
      <c r="A149" s="11" t="s">
        <v>108</v>
      </c>
      <c r="B149" s="11" t="s">
        <v>126</v>
      </c>
      <c r="C149" s="11" t="s">
        <v>80</v>
      </c>
      <c r="D149" s="11" t="s">
        <v>81</v>
      </c>
      <c r="E149" s="11" t="s">
        <v>82</v>
      </c>
      <c r="F149" s="12" t="n">
        <f aca="false">SUMIFS(СПРОС_ДЕНЬ_ЧАС_МЕНЮ!$I$11:$I$3265,СПРОС_ДЕНЬ_ЧАС_МЕНЮ!$A$11:$A$3265,A149,СПРОС_ДЕНЬ_ЧАС_МЕНЮ!$B$11:$B$3265,B149,СПРОС_ДЕНЬ_ЧАС_МЕНЮ!$F$11:$F$3265,C149)</f>
        <v>0</v>
      </c>
      <c r="G149" s="12" t="n">
        <f aca="false">ПАРАМЕТРЫ!D22</f>
        <v>16</v>
      </c>
      <c r="H149" s="12" t="n">
        <f aca="false">SUMIFS(ШТАТ_ПО_ЧАСАМ!$C$11:$C$115,ШТАТ_ПО_ЧАСАМ!$A$11:$A$115,A149,ШТАТ_ПО_ЧАСАМ!$B$11:$B$115,B149)</f>
        <v>1</v>
      </c>
      <c r="I149" s="12" t="n">
        <f aca="false">MIN(H149,1)*ПАРАМЕТРЫ!E22</f>
        <v>16</v>
      </c>
      <c r="J149" s="12" t="n">
        <f aca="false">MIN(G149,I149)</f>
        <v>16</v>
      </c>
      <c r="K149" s="12" t="n">
        <f aca="false">MAX(F149-J149,0)</f>
        <v>0</v>
      </c>
      <c r="L149" s="12" t="n">
        <f aca="false">IF(J149=0,0,F149/J149)</f>
        <v>0</v>
      </c>
      <c r="M149" s="11" t="str">
        <f aca="false">IF(K149&gt;0,"BLOCKED","PASS")</f>
        <v>PASS</v>
      </c>
      <c r="N149" s="11" t="s">
        <v>233</v>
      </c>
    </row>
    <row r="150" customFormat="false" ht="23.85" hidden="false" customHeight="false" outlineLevel="0" collapsed="false">
      <c r="A150" s="11" t="s">
        <v>108</v>
      </c>
      <c r="B150" s="11" t="s">
        <v>126</v>
      </c>
      <c r="C150" s="11" t="s">
        <v>83</v>
      </c>
      <c r="D150" s="11" t="s">
        <v>84</v>
      </c>
      <c r="E150" s="11" t="s">
        <v>83</v>
      </c>
      <c r="F150" s="12" t="n">
        <f aca="false">SUMIFS(СПРОС_ДЕНЬ_ЧАС_МЕНЮ!$I$11:$I$3265,СПРОС_ДЕНЬ_ЧАС_МЕНЮ!$A$11:$A$3265,A150,СПРОС_ДЕНЬ_ЧАС_МЕНЮ!$B$11:$B$3265,B150,СПРОС_ДЕНЬ_ЧАС_МЕНЮ!$F$11:$F$3265,C150)</f>
        <v>0</v>
      </c>
      <c r="G150" s="12" t="n">
        <f aca="false">ПАРАМЕТРЫ!D23</f>
        <v>21</v>
      </c>
      <c r="H150" s="12" t="n">
        <f aca="false">SUMIFS(ШТАТ_ПО_ЧАСАМ!$C$11:$C$115,ШТАТ_ПО_ЧАСАМ!$A$11:$A$115,A150,ШТАТ_ПО_ЧАСАМ!$B$11:$B$115,B150)</f>
        <v>1</v>
      </c>
      <c r="I150" s="12" t="n">
        <f aca="false">MIN(H150,1)*ПАРАМЕТРЫ!E23</f>
        <v>21</v>
      </c>
      <c r="J150" s="12" t="n">
        <f aca="false">MIN(G150,I150)</f>
        <v>21</v>
      </c>
      <c r="K150" s="12" t="n">
        <f aca="false">MAX(F150-J150,0)</f>
        <v>0</v>
      </c>
      <c r="L150" s="12" t="n">
        <f aca="false">IF(J150=0,0,F150/J150)</f>
        <v>0</v>
      </c>
      <c r="M150" s="11" t="str">
        <f aca="false">IF(K150&gt;0,"BLOCKED","PASS")</f>
        <v>PASS</v>
      </c>
      <c r="N150" s="11" t="s">
        <v>233</v>
      </c>
    </row>
    <row r="151" customFormat="false" ht="23.85" hidden="false" customHeight="false" outlineLevel="0" collapsed="false">
      <c r="A151" s="11" t="s">
        <v>108</v>
      </c>
      <c r="B151" s="11" t="s">
        <v>126</v>
      </c>
      <c r="C151" s="11" t="s">
        <v>85</v>
      </c>
      <c r="D151" s="11" t="s">
        <v>86</v>
      </c>
      <c r="E151" s="11" t="s">
        <v>87</v>
      </c>
      <c r="F151" s="12" t="n">
        <f aca="false">SUMIFS(СПРОС_ДЕНЬ_ЧАС_МЕНЮ!$I$11:$I$3265,СПРОС_ДЕНЬ_ЧАС_МЕНЮ!$A$11:$A$3265,A151,СПРОС_ДЕНЬ_ЧАС_МЕНЮ!$B$11:$B$3265,B151,СПРОС_ДЕНЬ_ЧАС_МЕНЮ!$F$11:$F$3265,C151)</f>
        <v>0</v>
      </c>
      <c r="G151" s="12" t="n">
        <f aca="false">ПАРАМЕТРЫ!D24</f>
        <v>12</v>
      </c>
      <c r="H151" s="12" t="n">
        <f aca="false">SUMIFS(ШТАТ_ПО_ЧАСАМ!$C$11:$C$115,ШТАТ_ПО_ЧАСАМ!$A$11:$A$115,A151,ШТАТ_ПО_ЧАСАМ!$B$11:$B$115,B151)</f>
        <v>1</v>
      </c>
      <c r="I151" s="12" t="n">
        <f aca="false">MIN(H151,1)*ПАРАМЕТРЫ!E24</f>
        <v>12</v>
      </c>
      <c r="J151" s="12" t="n">
        <f aca="false">MIN(G151,I151)</f>
        <v>12</v>
      </c>
      <c r="K151" s="12" t="n">
        <f aca="false">MAX(F151-J151,0)</f>
        <v>0</v>
      </c>
      <c r="L151" s="12" t="n">
        <f aca="false">IF(J151=0,0,F151/J151)</f>
        <v>0</v>
      </c>
      <c r="M151" s="11" t="str">
        <f aca="false">IF(K151&gt;0,"BLOCKED","PASS")</f>
        <v>PASS</v>
      </c>
      <c r="N151" s="11" t="s">
        <v>233</v>
      </c>
    </row>
    <row r="152" customFormat="false" ht="23.85" hidden="false" customHeight="false" outlineLevel="0" collapsed="false">
      <c r="A152" s="11" t="s">
        <v>108</v>
      </c>
      <c r="B152" s="11" t="s">
        <v>126</v>
      </c>
      <c r="C152" s="11" t="s">
        <v>88</v>
      </c>
      <c r="D152" s="11" t="s">
        <v>89</v>
      </c>
      <c r="E152" s="11" t="s">
        <v>90</v>
      </c>
      <c r="F152" s="12" t="n">
        <f aca="false">SUMIFS(СПРОС_ДЕНЬ_ЧАС_МЕНЮ!$I$11:$I$3265,СПРОС_ДЕНЬ_ЧАС_МЕНЮ!$A$11:$A$3265,A152,СПРОС_ДЕНЬ_ЧАС_МЕНЮ!$B$11:$B$3265,B152,СПРОС_ДЕНЬ_ЧАС_МЕНЮ!$F$11:$F$3265,C152)</f>
        <v>6.6</v>
      </c>
      <c r="G152" s="12" t="n">
        <f aca="false">ПАРАМЕТРЫ!D25</f>
        <v>15</v>
      </c>
      <c r="H152" s="12" t="n">
        <f aca="false">SUMIFS(ШТАТ_ПО_ЧАСАМ!$C$11:$C$115,ШТАТ_ПО_ЧАСАМ!$A$11:$A$115,A152,ШТАТ_ПО_ЧАСАМ!$B$11:$B$115,B152)</f>
        <v>1</v>
      </c>
      <c r="I152" s="12" t="n">
        <f aca="false">MIN(H152,1)*ПАРАМЕТРЫ!E25</f>
        <v>10</v>
      </c>
      <c r="J152" s="12" t="n">
        <f aca="false">MIN(G152,I152)</f>
        <v>10</v>
      </c>
      <c r="K152" s="12" t="n">
        <f aca="false">MAX(F152-J152,0)</f>
        <v>0</v>
      </c>
      <c r="L152" s="12" t="n">
        <f aca="false">IF(J152=0,0,F152/J152)</f>
        <v>0.66</v>
      </c>
      <c r="M152" s="11" t="str">
        <f aca="false">IF(K152&gt;0,"BLOCKED","PASS")</f>
        <v>PASS</v>
      </c>
      <c r="N152" s="11" t="s">
        <v>233</v>
      </c>
    </row>
    <row r="153" customFormat="false" ht="23.85" hidden="false" customHeight="false" outlineLevel="0" collapsed="false">
      <c r="A153" s="11" t="s">
        <v>108</v>
      </c>
      <c r="B153" s="11" t="s">
        <v>126</v>
      </c>
      <c r="C153" s="11" t="s">
        <v>91</v>
      </c>
      <c r="D153" s="11" t="s">
        <v>92</v>
      </c>
      <c r="E153" s="11" t="s">
        <v>79</v>
      </c>
      <c r="F153" s="12" t="n">
        <f aca="false">SUMIFS(СПРОС_ДЕНЬ_ЧАС_МЕНЮ!$I$11:$I$3265,СПРОС_ДЕНЬ_ЧАС_МЕНЮ!$A$11:$A$3265,A153,СПРОС_ДЕНЬ_ЧАС_МЕНЮ!$B$11:$B$3265,B153,СПРОС_ДЕНЬ_ЧАС_МЕНЮ!$F$11:$F$3265,C153)</f>
        <v>0.396</v>
      </c>
      <c r="G153" s="12" t="n">
        <f aca="false">ПАРАМЕТРЫ!D26</f>
        <v>20</v>
      </c>
      <c r="H153" s="12" t="n">
        <f aca="false">SUMIFS(ШТАТ_ПО_ЧАСАМ!$C$11:$C$115,ШТАТ_ПО_ЧАСАМ!$A$11:$A$115,A153,ШТАТ_ПО_ЧАСАМ!$B$11:$B$115,B153)</f>
        <v>1</v>
      </c>
      <c r="I153" s="12" t="n">
        <f aca="false">MIN(H153,1)*ПАРАМЕТРЫ!E26</f>
        <v>10</v>
      </c>
      <c r="J153" s="12" t="n">
        <f aca="false">MIN(G153,I153)</f>
        <v>10</v>
      </c>
      <c r="K153" s="12" t="n">
        <f aca="false">MAX(F153-J153,0)</f>
        <v>0</v>
      </c>
      <c r="L153" s="12" t="n">
        <f aca="false">IF(J153=0,0,F153/J153)</f>
        <v>0.0396</v>
      </c>
      <c r="M153" s="11" t="str">
        <f aca="false">IF(K153&gt;0,"BLOCKED","PASS")</f>
        <v>PASS</v>
      </c>
      <c r="N153" s="11" t="s">
        <v>233</v>
      </c>
    </row>
    <row r="154" customFormat="false" ht="15" hidden="false" customHeight="false" outlineLevel="0" collapsed="false">
      <c r="A154" s="11" t="s">
        <v>108</v>
      </c>
      <c r="B154" s="11" t="s">
        <v>126</v>
      </c>
      <c r="C154" s="11" t="s">
        <v>93</v>
      </c>
      <c r="D154" s="11" t="s">
        <v>234</v>
      </c>
      <c r="E154" s="11" t="s">
        <v>95</v>
      </c>
      <c r="F154" s="12" t="n">
        <f aca="false">SUMIFS(СПРОС_ДЕНЬ_ЧАС_МЕНЮ!$I$11:$I$3265,СПРОС_ДЕНЬ_ЧАС_МЕНЮ!$A$11:$A$3265,A154,СПРОС_ДЕНЬ_ЧАС_МЕНЮ!$B$11:$B$3265,B154)</f>
        <v>7.788</v>
      </c>
      <c r="G154" s="12" t="n">
        <f aca="false">ПАРАМЕТРЫ!D27</f>
        <v>60</v>
      </c>
      <c r="H154" s="12" t="n">
        <f aca="false">SUMIFS(ШТАТ_ПО_ЧАСАМ!$C$11:$C$115,ШТАТ_ПО_ЧАСАМ!$A$11:$A$115,A154,ШТАТ_ПО_ЧАСАМ!$B$11:$B$115,B154)</f>
        <v>1</v>
      </c>
      <c r="I154" s="12" t="n">
        <f aca="false">H154*ПАРАМЕТРЫ!E27</f>
        <v>16.6666666666667</v>
      </c>
      <c r="J154" s="12" t="n">
        <f aca="false">MIN(G154,I154)</f>
        <v>16.6666666666667</v>
      </c>
      <c r="K154" s="12" t="n">
        <f aca="false">MAX(F154-J154,0)</f>
        <v>0</v>
      </c>
      <c r="L154" s="12" t="n">
        <f aca="false">IF(J154=0,0,F154/J154)</f>
        <v>0.46728</v>
      </c>
      <c r="M154" s="11" t="str">
        <f aca="false">IF(K154&gt;0,"BLOCKED","PASS")</f>
        <v>PASS</v>
      </c>
      <c r="N154" s="11" t="s">
        <v>235</v>
      </c>
    </row>
    <row r="155" customFormat="false" ht="23.85" hidden="false" customHeight="false" outlineLevel="0" collapsed="false">
      <c r="A155" s="11" t="s">
        <v>108</v>
      </c>
      <c r="B155" s="11" t="s">
        <v>127</v>
      </c>
      <c r="C155" s="11" t="s">
        <v>73</v>
      </c>
      <c r="D155" s="11" t="s">
        <v>74</v>
      </c>
      <c r="E155" s="11" t="s">
        <v>75</v>
      </c>
      <c r="F155" s="12" t="n">
        <f aca="false">SUMIFS(СПРОС_ДЕНЬ_ЧАС_МЕНЮ!$I$11:$I$3265,СПРОС_ДЕНЬ_ЧАС_МЕНЮ!$A$11:$A$3265,A155,СПРОС_ДЕНЬ_ЧАС_МЕНЮ!$B$11:$B$3265,B155,СПРОС_ДЕНЬ_ЧАС_МЕНЮ!$F$11:$F$3265,C155)</f>
        <v>0</v>
      </c>
      <c r="G155" s="12" t="n">
        <f aca="false">ПАРАМЕТРЫ!D20</f>
        <v>25</v>
      </c>
      <c r="H155" s="12" t="n">
        <f aca="false">SUMIFS(ШТАТ_ПО_ЧАСАМ!$C$11:$C$115,ШТАТ_ПО_ЧАСАМ!$A$11:$A$115,A155,ШТАТ_ПО_ЧАСАМ!$B$11:$B$115,B155)</f>
        <v>1</v>
      </c>
      <c r="I155" s="12" t="n">
        <f aca="false">MIN(H155,1)*ПАРАМЕТРЫ!E20</f>
        <v>10</v>
      </c>
      <c r="J155" s="12" t="n">
        <f aca="false">MIN(G155,I155)</f>
        <v>10</v>
      </c>
      <c r="K155" s="12" t="n">
        <f aca="false">MAX(F155-J155,0)</f>
        <v>0</v>
      </c>
      <c r="L155" s="12" t="n">
        <f aca="false">IF(J155=0,0,F155/J155)</f>
        <v>0</v>
      </c>
      <c r="M155" s="11" t="str">
        <f aca="false">IF(K155&gt;0,"BLOCKED","PASS")</f>
        <v>PASS</v>
      </c>
      <c r="N155" s="11" t="s">
        <v>233</v>
      </c>
    </row>
    <row r="156" customFormat="false" ht="23.85" hidden="false" customHeight="false" outlineLevel="0" collapsed="false">
      <c r="A156" s="11" t="s">
        <v>108</v>
      </c>
      <c r="B156" s="11" t="s">
        <v>127</v>
      </c>
      <c r="C156" s="11" t="s">
        <v>77</v>
      </c>
      <c r="D156" s="11" t="s">
        <v>78</v>
      </c>
      <c r="E156" s="11" t="s">
        <v>79</v>
      </c>
      <c r="F156" s="12" t="n">
        <f aca="false">SUMIFS(СПРОС_ДЕНЬ_ЧАС_МЕНЮ!$I$11:$I$3265,СПРОС_ДЕНЬ_ЧАС_МЕНЮ!$A$11:$A$3265,A156,СПРОС_ДЕНЬ_ЧАС_МЕНЮ!$B$11:$B$3265,B156,СПРОС_ДЕНЬ_ЧАС_МЕНЮ!$F$11:$F$3265,C156)</f>
        <v>0.792</v>
      </c>
      <c r="G156" s="12" t="n">
        <f aca="false">ПАРАМЕТРЫ!D21</f>
        <v>20</v>
      </c>
      <c r="H156" s="12" t="n">
        <f aca="false">SUMIFS(ШТАТ_ПО_ЧАСАМ!$C$11:$C$115,ШТАТ_ПО_ЧАСАМ!$A$11:$A$115,A156,ШТАТ_ПО_ЧАСАМ!$B$11:$B$115,B156)</f>
        <v>1</v>
      </c>
      <c r="I156" s="12" t="n">
        <f aca="false">MIN(H156,1)*ПАРАМЕТРЫ!E21</f>
        <v>10</v>
      </c>
      <c r="J156" s="12" t="n">
        <f aca="false">MIN(G156,I156)</f>
        <v>10</v>
      </c>
      <c r="K156" s="12" t="n">
        <f aca="false">MAX(F156-J156,0)</f>
        <v>0</v>
      </c>
      <c r="L156" s="12" t="n">
        <f aca="false">IF(J156=0,0,F156/J156)</f>
        <v>0.0792</v>
      </c>
      <c r="M156" s="11" t="str">
        <f aca="false">IF(K156&gt;0,"BLOCKED","PASS")</f>
        <v>PASS</v>
      </c>
      <c r="N156" s="11" t="s">
        <v>233</v>
      </c>
    </row>
    <row r="157" customFormat="false" ht="23.85" hidden="false" customHeight="false" outlineLevel="0" collapsed="false">
      <c r="A157" s="11" t="s">
        <v>108</v>
      </c>
      <c r="B157" s="11" t="s">
        <v>127</v>
      </c>
      <c r="C157" s="11" t="s">
        <v>80</v>
      </c>
      <c r="D157" s="11" t="s">
        <v>81</v>
      </c>
      <c r="E157" s="11" t="s">
        <v>82</v>
      </c>
      <c r="F157" s="12" t="n">
        <f aca="false">SUMIFS(СПРОС_ДЕНЬ_ЧАС_МЕНЮ!$I$11:$I$3265,СПРОС_ДЕНЬ_ЧАС_МЕНЮ!$A$11:$A$3265,A157,СПРОС_ДЕНЬ_ЧАС_МЕНЮ!$B$11:$B$3265,B157,СПРОС_ДЕНЬ_ЧАС_МЕНЮ!$F$11:$F$3265,C157)</f>
        <v>0</v>
      </c>
      <c r="G157" s="12" t="n">
        <f aca="false">ПАРАМЕТРЫ!D22</f>
        <v>16</v>
      </c>
      <c r="H157" s="12" t="n">
        <f aca="false">SUMIFS(ШТАТ_ПО_ЧАСАМ!$C$11:$C$115,ШТАТ_ПО_ЧАСАМ!$A$11:$A$115,A157,ШТАТ_ПО_ЧАСАМ!$B$11:$B$115,B157)</f>
        <v>1</v>
      </c>
      <c r="I157" s="12" t="n">
        <f aca="false">MIN(H157,1)*ПАРАМЕТРЫ!E22</f>
        <v>16</v>
      </c>
      <c r="J157" s="12" t="n">
        <f aca="false">MIN(G157,I157)</f>
        <v>16</v>
      </c>
      <c r="K157" s="12" t="n">
        <f aca="false">MAX(F157-J157,0)</f>
        <v>0</v>
      </c>
      <c r="L157" s="12" t="n">
        <f aca="false">IF(J157=0,0,F157/J157)</f>
        <v>0</v>
      </c>
      <c r="M157" s="11" t="str">
        <f aca="false">IF(K157&gt;0,"BLOCKED","PASS")</f>
        <v>PASS</v>
      </c>
      <c r="N157" s="11" t="s">
        <v>233</v>
      </c>
    </row>
    <row r="158" customFormat="false" ht="23.85" hidden="false" customHeight="false" outlineLevel="0" collapsed="false">
      <c r="A158" s="11" t="s">
        <v>108</v>
      </c>
      <c r="B158" s="11" t="s">
        <v>127</v>
      </c>
      <c r="C158" s="11" t="s">
        <v>83</v>
      </c>
      <c r="D158" s="11" t="s">
        <v>84</v>
      </c>
      <c r="E158" s="11" t="s">
        <v>83</v>
      </c>
      <c r="F158" s="12" t="n">
        <f aca="false">SUMIFS(СПРОС_ДЕНЬ_ЧАС_МЕНЮ!$I$11:$I$3265,СПРОС_ДЕНЬ_ЧАС_МЕНЮ!$A$11:$A$3265,A158,СПРОС_ДЕНЬ_ЧАС_МЕНЮ!$B$11:$B$3265,B158,СПРОС_ДЕНЬ_ЧАС_МЕНЮ!$F$11:$F$3265,C158)</f>
        <v>0</v>
      </c>
      <c r="G158" s="12" t="n">
        <f aca="false">ПАРАМЕТРЫ!D23</f>
        <v>21</v>
      </c>
      <c r="H158" s="12" t="n">
        <f aca="false">SUMIFS(ШТАТ_ПО_ЧАСАМ!$C$11:$C$115,ШТАТ_ПО_ЧАСАМ!$A$11:$A$115,A158,ШТАТ_ПО_ЧАСАМ!$B$11:$B$115,B158)</f>
        <v>1</v>
      </c>
      <c r="I158" s="12" t="n">
        <f aca="false">MIN(H158,1)*ПАРАМЕТРЫ!E23</f>
        <v>21</v>
      </c>
      <c r="J158" s="12" t="n">
        <f aca="false">MIN(G158,I158)</f>
        <v>21</v>
      </c>
      <c r="K158" s="12" t="n">
        <f aca="false">MAX(F158-J158,0)</f>
        <v>0</v>
      </c>
      <c r="L158" s="12" t="n">
        <f aca="false">IF(J158=0,0,F158/J158)</f>
        <v>0</v>
      </c>
      <c r="M158" s="11" t="str">
        <f aca="false">IF(K158&gt;0,"BLOCKED","PASS")</f>
        <v>PASS</v>
      </c>
      <c r="N158" s="11" t="s">
        <v>233</v>
      </c>
    </row>
    <row r="159" customFormat="false" ht="23.85" hidden="false" customHeight="false" outlineLevel="0" collapsed="false">
      <c r="A159" s="11" t="s">
        <v>108</v>
      </c>
      <c r="B159" s="11" t="s">
        <v>127</v>
      </c>
      <c r="C159" s="11" t="s">
        <v>85</v>
      </c>
      <c r="D159" s="11" t="s">
        <v>86</v>
      </c>
      <c r="E159" s="11" t="s">
        <v>87</v>
      </c>
      <c r="F159" s="12" t="n">
        <f aca="false">SUMIFS(СПРОС_ДЕНЬ_ЧАС_МЕНЮ!$I$11:$I$3265,СПРОС_ДЕНЬ_ЧАС_МЕНЮ!$A$11:$A$3265,A159,СПРОС_ДЕНЬ_ЧАС_МЕНЮ!$B$11:$B$3265,B159,СПРОС_ДЕНЬ_ЧАС_МЕНЮ!$F$11:$F$3265,C159)</f>
        <v>0</v>
      </c>
      <c r="G159" s="12" t="n">
        <f aca="false">ПАРАМЕТРЫ!D24</f>
        <v>12</v>
      </c>
      <c r="H159" s="12" t="n">
        <f aca="false">SUMIFS(ШТАТ_ПО_ЧАСАМ!$C$11:$C$115,ШТАТ_ПО_ЧАСАМ!$A$11:$A$115,A159,ШТАТ_ПО_ЧАСАМ!$B$11:$B$115,B159)</f>
        <v>1</v>
      </c>
      <c r="I159" s="12" t="n">
        <f aca="false">MIN(H159,1)*ПАРАМЕТРЫ!E24</f>
        <v>12</v>
      </c>
      <c r="J159" s="12" t="n">
        <f aca="false">MIN(G159,I159)</f>
        <v>12</v>
      </c>
      <c r="K159" s="12" t="n">
        <f aca="false">MAX(F159-J159,0)</f>
        <v>0</v>
      </c>
      <c r="L159" s="12" t="n">
        <f aca="false">IF(J159=0,0,F159/J159)</f>
        <v>0</v>
      </c>
      <c r="M159" s="11" t="str">
        <f aca="false">IF(K159&gt;0,"BLOCKED","PASS")</f>
        <v>PASS</v>
      </c>
      <c r="N159" s="11" t="s">
        <v>233</v>
      </c>
    </row>
    <row r="160" customFormat="false" ht="23.85" hidden="false" customHeight="false" outlineLevel="0" collapsed="false">
      <c r="A160" s="11" t="s">
        <v>108</v>
      </c>
      <c r="B160" s="11" t="s">
        <v>127</v>
      </c>
      <c r="C160" s="11" t="s">
        <v>88</v>
      </c>
      <c r="D160" s="11" t="s">
        <v>89</v>
      </c>
      <c r="E160" s="11" t="s">
        <v>90</v>
      </c>
      <c r="F160" s="12" t="n">
        <f aca="false">SUMIFS(СПРОС_ДЕНЬ_ЧАС_МЕНЮ!$I$11:$I$3265,СПРОС_ДЕНЬ_ЧАС_МЕНЮ!$A$11:$A$3265,A160,СПРОС_ДЕНЬ_ЧАС_МЕНЮ!$B$11:$B$3265,B160,СПРОС_ДЕНЬ_ЧАС_МЕНЮ!$F$11:$F$3265,C160)</f>
        <v>3.3</v>
      </c>
      <c r="G160" s="12" t="n">
        <f aca="false">ПАРАМЕТРЫ!D25</f>
        <v>15</v>
      </c>
      <c r="H160" s="12" t="n">
        <f aca="false">SUMIFS(ШТАТ_ПО_ЧАСАМ!$C$11:$C$115,ШТАТ_ПО_ЧАСАМ!$A$11:$A$115,A160,ШТАТ_ПО_ЧАСАМ!$B$11:$B$115,B160)</f>
        <v>1</v>
      </c>
      <c r="I160" s="12" t="n">
        <f aca="false">MIN(H160,1)*ПАРАМЕТРЫ!E25</f>
        <v>10</v>
      </c>
      <c r="J160" s="12" t="n">
        <f aca="false">MIN(G160,I160)</f>
        <v>10</v>
      </c>
      <c r="K160" s="12" t="n">
        <f aca="false">MAX(F160-J160,0)</f>
        <v>0</v>
      </c>
      <c r="L160" s="12" t="n">
        <f aca="false">IF(J160=0,0,F160/J160)</f>
        <v>0.33</v>
      </c>
      <c r="M160" s="11" t="str">
        <f aca="false">IF(K160&gt;0,"BLOCKED","PASS")</f>
        <v>PASS</v>
      </c>
      <c r="N160" s="11" t="s">
        <v>233</v>
      </c>
    </row>
    <row r="161" customFormat="false" ht="23.85" hidden="false" customHeight="false" outlineLevel="0" collapsed="false">
      <c r="A161" s="11" t="s">
        <v>108</v>
      </c>
      <c r="B161" s="11" t="s">
        <v>127</v>
      </c>
      <c r="C161" s="11" t="s">
        <v>91</v>
      </c>
      <c r="D161" s="11" t="s">
        <v>92</v>
      </c>
      <c r="E161" s="11" t="s">
        <v>79</v>
      </c>
      <c r="F161" s="12" t="n">
        <f aca="false">SUMIFS(СПРОС_ДЕНЬ_ЧАС_МЕНЮ!$I$11:$I$3265,СПРОС_ДЕНЬ_ЧАС_МЕНЮ!$A$11:$A$3265,A161,СПРОС_ДЕНЬ_ЧАС_МЕНЮ!$B$11:$B$3265,B161,СПРОС_ДЕНЬ_ЧАС_МЕНЮ!$F$11:$F$3265,C161)</f>
        <v>0.396</v>
      </c>
      <c r="G161" s="12" t="n">
        <f aca="false">ПАРАМЕТРЫ!D26</f>
        <v>20</v>
      </c>
      <c r="H161" s="12" t="n">
        <f aca="false">SUMIFS(ШТАТ_ПО_ЧАСАМ!$C$11:$C$115,ШТАТ_ПО_ЧАСАМ!$A$11:$A$115,A161,ШТАТ_ПО_ЧАСАМ!$B$11:$B$115,B161)</f>
        <v>1</v>
      </c>
      <c r="I161" s="12" t="n">
        <f aca="false">MIN(H161,1)*ПАРАМЕТРЫ!E26</f>
        <v>10</v>
      </c>
      <c r="J161" s="12" t="n">
        <f aca="false">MIN(G161,I161)</f>
        <v>10</v>
      </c>
      <c r="K161" s="12" t="n">
        <f aca="false">MAX(F161-J161,0)</f>
        <v>0</v>
      </c>
      <c r="L161" s="12" t="n">
        <f aca="false">IF(J161=0,0,F161/J161)</f>
        <v>0.0396</v>
      </c>
      <c r="M161" s="11" t="str">
        <f aca="false">IF(K161&gt;0,"BLOCKED","PASS")</f>
        <v>PASS</v>
      </c>
      <c r="N161" s="11" t="s">
        <v>233</v>
      </c>
    </row>
    <row r="162" customFormat="false" ht="15" hidden="false" customHeight="false" outlineLevel="0" collapsed="false">
      <c r="A162" s="11" t="s">
        <v>108</v>
      </c>
      <c r="B162" s="11" t="s">
        <v>127</v>
      </c>
      <c r="C162" s="11" t="s">
        <v>93</v>
      </c>
      <c r="D162" s="11" t="s">
        <v>234</v>
      </c>
      <c r="E162" s="11" t="s">
        <v>95</v>
      </c>
      <c r="F162" s="12" t="n">
        <f aca="false">SUMIFS(СПРОС_ДЕНЬ_ЧАС_МЕНЮ!$I$11:$I$3265,СПРОС_ДЕНЬ_ЧАС_МЕНЮ!$A$11:$A$3265,A162,СПРОС_ДЕНЬ_ЧАС_МЕНЮ!$B$11:$B$3265,B162)</f>
        <v>4.488</v>
      </c>
      <c r="G162" s="12" t="n">
        <f aca="false">ПАРАМЕТРЫ!D27</f>
        <v>60</v>
      </c>
      <c r="H162" s="12" t="n">
        <f aca="false">SUMIFS(ШТАТ_ПО_ЧАСАМ!$C$11:$C$115,ШТАТ_ПО_ЧАСАМ!$A$11:$A$115,A162,ШТАТ_ПО_ЧАСАМ!$B$11:$B$115,B162)</f>
        <v>1</v>
      </c>
      <c r="I162" s="12" t="n">
        <f aca="false">H162*ПАРАМЕТРЫ!E27</f>
        <v>16.6666666666667</v>
      </c>
      <c r="J162" s="12" t="n">
        <f aca="false">MIN(G162,I162)</f>
        <v>16.6666666666667</v>
      </c>
      <c r="K162" s="12" t="n">
        <f aca="false">MAX(F162-J162,0)</f>
        <v>0</v>
      </c>
      <c r="L162" s="12" t="n">
        <f aca="false">IF(J162=0,0,F162/J162)</f>
        <v>0.26928</v>
      </c>
      <c r="M162" s="11" t="str">
        <f aca="false">IF(K162&gt;0,"BLOCKED","PASS")</f>
        <v>PASS</v>
      </c>
      <c r="N162" s="11" t="s">
        <v>235</v>
      </c>
    </row>
    <row r="163" customFormat="false" ht="23.85" hidden="false" customHeight="false" outlineLevel="0" collapsed="false">
      <c r="A163" s="11" t="s">
        <v>108</v>
      </c>
      <c r="B163" s="11" t="s">
        <v>128</v>
      </c>
      <c r="C163" s="11" t="s">
        <v>73</v>
      </c>
      <c r="D163" s="11" t="s">
        <v>74</v>
      </c>
      <c r="E163" s="11" t="s">
        <v>75</v>
      </c>
      <c r="F163" s="12" t="n">
        <f aca="false">SUMIFS(СПРОС_ДЕНЬ_ЧАС_МЕНЮ!$I$11:$I$3265,СПРОС_ДЕНЬ_ЧАС_МЕНЮ!$A$11:$A$3265,A163,СПРОС_ДЕНЬ_ЧАС_МЕНЮ!$B$11:$B$3265,B163,СПРОС_ДЕНЬ_ЧАС_МЕНЮ!$F$11:$F$3265,C163)</f>
        <v>1.4652</v>
      </c>
      <c r="G163" s="12" t="n">
        <f aca="false">ПАРАМЕТРЫ!D20</f>
        <v>25</v>
      </c>
      <c r="H163" s="12" t="n">
        <f aca="false">SUMIFS(ШТАТ_ПО_ЧАСАМ!$C$11:$C$115,ШТАТ_ПО_ЧАСАМ!$A$11:$A$115,A163,ШТАТ_ПО_ЧАСАМ!$B$11:$B$115,B163)</f>
        <v>2</v>
      </c>
      <c r="I163" s="12" t="n">
        <f aca="false">MIN(H163,1)*ПАРАМЕТРЫ!E20</f>
        <v>10</v>
      </c>
      <c r="J163" s="12" t="n">
        <f aca="false">MIN(G163,I163)</f>
        <v>10</v>
      </c>
      <c r="K163" s="12" t="n">
        <f aca="false">MAX(F163-J163,0)</f>
        <v>0</v>
      </c>
      <c r="L163" s="12" t="n">
        <f aca="false">IF(J163=0,0,F163/J163)</f>
        <v>0.14652</v>
      </c>
      <c r="M163" s="11" t="str">
        <f aca="false">IF(K163&gt;0,"BLOCKED","PASS")</f>
        <v>PASS</v>
      </c>
      <c r="N163" s="11" t="s">
        <v>233</v>
      </c>
    </row>
    <row r="164" customFormat="false" ht="23.85" hidden="false" customHeight="false" outlineLevel="0" collapsed="false">
      <c r="A164" s="11" t="s">
        <v>108</v>
      </c>
      <c r="B164" s="11" t="s">
        <v>128</v>
      </c>
      <c r="C164" s="11" t="s">
        <v>77</v>
      </c>
      <c r="D164" s="11" t="s">
        <v>78</v>
      </c>
      <c r="E164" s="11" t="s">
        <v>79</v>
      </c>
      <c r="F164" s="12" t="n">
        <f aca="false">SUMIFS(СПРОС_ДЕНЬ_ЧАС_МЕНЮ!$I$11:$I$3265,СПРОС_ДЕНЬ_ЧАС_МЕНЮ!$A$11:$A$3265,A164,СПРОС_ДЕНЬ_ЧАС_МЕНЮ!$B$11:$B$3265,B164,СПРОС_ДЕНЬ_ЧАС_МЕНЮ!$F$11:$F$3265,C164)</f>
        <v>1.51272</v>
      </c>
      <c r="G164" s="12" t="n">
        <f aca="false">ПАРАМЕТРЫ!D21</f>
        <v>20</v>
      </c>
      <c r="H164" s="12" t="n">
        <f aca="false">SUMIFS(ШТАТ_ПО_ЧАСАМ!$C$11:$C$115,ШТАТ_ПО_ЧАСАМ!$A$11:$A$115,A164,ШТАТ_ПО_ЧАСАМ!$B$11:$B$115,B164)</f>
        <v>2</v>
      </c>
      <c r="I164" s="12" t="n">
        <f aca="false">MIN(H164,1)*ПАРАМЕТРЫ!E21</f>
        <v>10</v>
      </c>
      <c r="J164" s="12" t="n">
        <f aca="false">MIN(G164,I164)</f>
        <v>10</v>
      </c>
      <c r="K164" s="12" t="n">
        <f aca="false">MAX(F164-J164,0)</f>
        <v>0</v>
      </c>
      <c r="L164" s="12" t="n">
        <f aca="false">IF(J164=0,0,F164/J164)</f>
        <v>0.151272</v>
      </c>
      <c r="M164" s="11" t="str">
        <f aca="false">IF(K164&gt;0,"BLOCKED","PASS")</f>
        <v>PASS</v>
      </c>
      <c r="N164" s="11" t="s">
        <v>233</v>
      </c>
    </row>
    <row r="165" customFormat="false" ht="23.85" hidden="false" customHeight="false" outlineLevel="0" collapsed="false">
      <c r="A165" s="11" t="s">
        <v>108</v>
      </c>
      <c r="B165" s="11" t="s">
        <v>128</v>
      </c>
      <c r="C165" s="11" t="s">
        <v>80</v>
      </c>
      <c r="D165" s="11" t="s">
        <v>81</v>
      </c>
      <c r="E165" s="11" t="s">
        <v>82</v>
      </c>
      <c r="F165" s="12" t="n">
        <f aca="false">SUMIFS(СПРОС_ДЕНЬ_ЧАС_МЕНЮ!$I$11:$I$3265,СПРОС_ДЕНЬ_ЧАС_МЕНЮ!$A$11:$A$3265,A165,СПРОС_ДЕНЬ_ЧАС_МЕНЮ!$B$11:$B$3265,B165,СПРОС_ДЕНЬ_ЧАС_МЕНЮ!$F$11:$F$3265,C165)</f>
        <v>2.266</v>
      </c>
      <c r="G165" s="12" t="n">
        <f aca="false">ПАРАМЕТРЫ!D22</f>
        <v>16</v>
      </c>
      <c r="H165" s="12" t="n">
        <f aca="false">SUMIFS(ШТАТ_ПО_ЧАСАМ!$C$11:$C$115,ШТАТ_ПО_ЧАСАМ!$A$11:$A$115,A165,ШТАТ_ПО_ЧАСАМ!$B$11:$B$115,B165)</f>
        <v>2</v>
      </c>
      <c r="I165" s="12" t="n">
        <f aca="false">MIN(H165,1)*ПАРАМЕТРЫ!E22</f>
        <v>16</v>
      </c>
      <c r="J165" s="12" t="n">
        <f aca="false">MIN(G165,I165)</f>
        <v>16</v>
      </c>
      <c r="K165" s="12" t="n">
        <f aca="false">MAX(F165-J165,0)</f>
        <v>0</v>
      </c>
      <c r="L165" s="12" t="n">
        <f aca="false">IF(J165=0,0,F165/J165)</f>
        <v>0.141625</v>
      </c>
      <c r="M165" s="11" t="str">
        <f aca="false">IF(K165&gt;0,"BLOCKED","PASS")</f>
        <v>PASS</v>
      </c>
      <c r="N165" s="11" t="s">
        <v>233</v>
      </c>
    </row>
    <row r="166" customFormat="false" ht="23.85" hidden="false" customHeight="false" outlineLevel="0" collapsed="false">
      <c r="A166" s="11" t="s">
        <v>108</v>
      </c>
      <c r="B166" s="11" t="s">
        <v>128</v>
      </c>
      <c r="C166" s="11" t="s">
        <v>83</v>
      </c>
      <c r="D166" s="11" t="s">
        <v>84</v>
      </c>
      <c r="E166" s="11" t="s">
        <v>83</v>
      </c>
      <c r="F166" s="12" t="n">
        <f aca="false">SUMIFS(СПРОС_ДЕНЬ_ЧАС_МЕНЮ!$I$11:$I$3265,СПРОС_ДЕНЬ_ЧАС_МЕНЮ!$A$11:$A$3265,A166,СПРОС_ДЕНЬ_ЧАС_МЕНЮ!$B$11:$B$3265,B166,СПРОС_ДЕНЬ_ЧАС_МЕНЮ!$F$11:$F$3265,C166)</f>
        <v>6.16</v>
      </c>
      <c r="G166" s="12" t="n">
        <f aca="false">ПАРАМЕТРЫ!D23</f>
        <v>21</v>
      </c>
      <c r="H166" s="12" t="n">
        <f aca="false">SUMIFS(ШТАТ_ПО_ЧАСАМ!$C$11:$C$115,ШТАТ_ПО_ЧАСАМ!$A$11:$A$115,A166,ШТАТ_ПО_ЧАСАМ!$B$11:$B$115,B166)</f>
        <v>2</v>
      </c>
      <c r="I166" s="12" t="n">
        <f aca="false">MIN(H166,1)*ПАРАМЕТРЫ!E23</f>
        <v>21</v>
      </c>
      <c r="J166" s="12" t="n">
        <f aca="false">MIN(G166,I166)</f>
        <v>21</v>
      </c>
      <c r="K166" s="12" t="n">
        <f aca="false">MAX(F166-J166,0)</f>
        <v>0</v>
      </c>
      <c r="L166" s="12" t="n">
        <f aca="false">IF(J166=0,0,F166/J166)</f>
        <v>0.293333333333333</v>
      </c>
      <c r="M166" s="11" t="str">
        <f aca="false">IF(K166&gt;0,"BLOCKED","PASS")</f>
        <v>PASS</v>
      </c>
      <c r="N166" s="11" t="s">
        <v>233</v>
      </c>
    </row>
    <row r="167" customFormat="false" ht="23.85" hidden="false" customHeight="false" outlineLevel="0" collapsed="false">
      <c r="A167" s="11" t="s">
        <v>108</v>
      </c>
      <c r="B167" s="11" t="s">
        <v>128</v>
      </c>
      <c r="C167" s="11" t="s">
        <v>85</v>
      </c>
      <c r="D167" s="11" t="s">
        <v>86</v>
      </c>
      <c r="E167" s="11" t="s">
        <v>87</v>
      </c>
      <c r="F167" s="12" t="n">
        <f aca="false">SUMIFS(СПРОС_ДЕНЬ_ЧАС_МЕНЮ!$I$11:$I$3265,СПРОС_ДЕНЬ_ЧАС_МЕНЮ!$A$11:$A$3265,A167,СПРОС_ДЕНЬ_ЧАС_МЕНЮ!$B$11:$B$3265,B167,СПРОС_ДЕНЬ_ЧАС_МЕНЮ!$F$11:$F$3265,C167)</f>
        <v>2.476188</v>
      </c>
      <c r="G167" s="12" t="n">
        <f aca="false">ПАРАМЕТРЫ!D24</f>
        <v>12</v>
      </c>
      <c r="H167" s="12" t="n">
        <f aca="false">SUMIFS(ШТАТ_ПО_ЧАСАМ!$C$11:$C$115,ШТАТ_ПО_ЧАСАМ!$A$11:$A$115,A167,ШТАТ_ПО_ЧАСАМ!$B$11:$B$115,B167)</f>
        <v>2</v>
      </c>
      <c r="I167" s="12" t="n">
        <f aca="false">MIN(H167,1)*ПАРАМЕТРЫ!E24</f>
        <v>12</v>
      </c>
      <c r="J167" s="12" t="n">
        <f aca="false">MIN(G167,I167)</f>
        <v>12</v>
      </c>
      <c r="K167" s="12" t="n">
        <f aca="false">MAX(F167-J167,0)</f>
        <v>0</v>
      </c>
      <c r="L167" s="12" t="n">
        <f aca="false">IF(J167=0,0,F167/J167)</f>
        <v>0.206349</v>
      </c>
      <c r="M167" s="11" t="str">
        <f aca="false">IF(K167&gt;0,"BLOCKED","PASS")</f>
        <v>PASS</v>
      </c>
      <c r="N167" s="11" t="s">
        <v>233</v>
      </c>
    </row>
    <row r="168" customFormat="false" ht="23.85" hidden="false" customHeight="false" outlineLevel="0" collapsed="false">
      <c r="A168" s="11" t="s">
        <v>108</v>
      </c>
      <c r="B168" s="11" t="s">
        <v>128</v>
      </c>
      <c r="C168" s="11" t="s">
        <v>88</v>
      </c>
      <c r="D168" s="11" t="s">
        <v>89</v>
      </c>
      <c r="E168" s="11" t="s">
        <v>90</v>
      </c>
      <c r="F168" s="12" t="n">
        <f aca="false">SUMIFS(СПРОС_ДЕНЬ_ЧАС_МЕНЮ!$I$11:$I$3265,СПРОС_ДЕНЬ_ЧАС_МЕНЮ!$A$11:$A$3265,A168,СПРОС_ДЕНЬ_ЧАС_МЕНЮ!$B$11:$B$3265,B168,СПРОС_ДЕНЬ_ЧАС_МЕНЮ!$F$11:$F$3265,C168)</f>
        <v>1.1</v>
      </c>
      <c r="G168" s="12" t="n">
        <f aca="false">ПАРАМЕТРЫ!D25</f>
        <v>15</v>
      </c>
      <c r="H168" s="12" t="n">
        <f aca="false">SUMIFS(ШТАТ_ПО_ЧАСАМ!$C$11:$C$115,ШТАТ_ПО_ЧАСАМ!$A$11:$A$115,A168,ШТАТ_ПО_ЧАСАМ!$B$11:$B$115,B168)</f>
        <v>2</v>
      </c>
      <c r="I168" s="12" t="n">
        <f aca="false">MIN(H168,1)*ПАРАМЕТРЫ!E25</f>
        <v>10</v>
      </c>
      <c r="J168" s="12" t="n">
        <f aca="false">MIN(G168,I168)</f>
        <v>10</v>
      </c>
      <c r="K168" s="12" t="n">
        <f aca="false">MAX(F168-J168,0)</f>
        <v>0</v>
      </c>
      <c r="L168" s="12" t="n">
        <f aca="false">IF(J168=0,0,F168/J168)</f>
        <v>0.11</v>
      </c>
      <c r="M168" s="11" t="str">
        <f aca="false">IF(K168&gt;0,"BLOCKED","PASS")</f>
        <v>PASS</v>
      </c>
      <c r="N168" s="11" t="s">
        <v>233</v>
      </c>
    </row>
    <row r="169" customFormat="false" ht="23.85" hidden="false" customHeight="false" outlineLevel="0" collapsed="false">
      <c r="A169" s="11" t="s">
        <v>108</v>
      </c>
      <c r="B169" s="11" t="s">
        <v>128</v>
      </c>
      <c r="C169" s="11" t="s">
        <v>91</v>
      </c>
      <c r="D169" s="11" t="s">
        <v>92</v>
      </c>
      <c r="E169" s="11" t="s">
        <v>79</v>
      </c>
      <c r="F169" s="12" t="n">
        <f aca="false">SUMIFS(СПРОС_ДЕНЬ_ЧАС_МЕНЮ!$I$11:$I$3265,СПРОС_ДЕНЬ_ЧАС_МЕНЮ!$A$11:$A$3265,A169,СПРОС_ДЕНЬ_ЧАС_МЕНЮ!$B$11:$B$3265,B169,СПРОС_ДЕНЬ_ЧАС_МЕНЮ!$F$11:$F$3265,C169)</f>
        <v>0.6864</v>
      </c>
      <c r="G169" s="12" t="n">
        <f aca="false">ПАРАМЕТРЫ!D26</f>
        <v>20</v>
      </c>
      <c r="H169" s="12" t="n">
        <f aca="false">SUMIFS(ШТАТ_ПО_ЧАСАМ!$C$11:$C$115,ШТАТ_ПО_ЧАСАМ!$A$11:$A$115,A169,ШТАТ_ПО_ЧАСАМ!$B$11:$B$115,B169)</f>
        <v>2</v>
      </c>
      <c r="I169" s="12" t="n">
        <f aca="false">MIN(H169,1)*ПАРАМЕТРЫ!E26</f>
        <v>10</v>
      </c>
      <c r="J169" s="12" t="n">
        <f aca="false">MIN(G169,I169)</f>
        <v>10</v>
      </c>
      <c r="K169" s="12" t="n">
        <f aca="false">MAX(F169-J169,0)</f>
        <v>0</v>
      </c>
      <c r="L169" s="12" t="n">
        <f aca="false">IF(J169=0,0,F169/J169)</f>
        <v>0.06864</v>
      </c>
      <c r="M169" s="11" t="str">
        <f aca="false">IF(K169&gt;0,"BLOCKED","PASS")</f>
        <v>PASS</v>
      </c>
      <c r="N169" s="11" t="s">
        <v>233</v>
      </c>
    </row>
    <row r="170" customFormat="false" ht="15" hidden="false" customHeight="false" outlineLevel="0" collapsed="false">
      <c r="A170" s="11" t="s">
        <v>108</v>
      </c>
      <c r="B170" s="11" t="s">
        <v>128</v>
      </c>
      <c r="C170" s="11" t="s">
        <v>93</v>
      </c>
      <c r="D170" s="11" t="s">
        <v>234</v>
      </c>
      <c r="E170" s="11" t="s">
        <v>95</v>
      </c>
      <c r="F170" s="12" t="n">
        <f aca="false">SUMIFS(СПРОС_ДЕНЬ_ЧАС_МЕНЮ!$I$11:$I$3265,СПРОС_ДЕНЬ_ЧАС_МЕНЮ!$A$11:$A$3265,A170,СПРОС_ДЕНЬ_ЧАС_МЕНЮ!$B$11:$B$3265,B170)</f>
        <v>15.666508</v>
      </c>
      <c r="G170" s="12" t="n">
        <f aca="false">ПАРАМЕТРЫ!D27</f>
        <v>60</v>
      </c>
      <c r="H170" s="12" t="n">
        <f aca="false">SUMIFS(ШТАТ_ПО_ЧАСАМ!$C$11:$C$115,ШТАТ_ПО_ЧАСАМ!$A$11:$A$115,A170,ШТАТ_ПО_ЧАСАМ!$B$11:$B$115,B170)</f>
        <v>2</v>
      </c>
      <c r="I170" s="12" t="n">
        <f aca="false">H170*ПАРАМЕТРЫ!E27</f>
        <v>33.3333333333333</v>
      </c>
      <c r="J170" s="12" t="n">
        <f aca="false">MIN(G170,I170)</f>
        <v>33.3333333333333</v>
      </c>
      <c r="K170" s="12" t="n">
        <f aca="false">MAX(F170-J170,0)</f>
        <v>0</v>
      </c>
      <c r="L170" s="12" t="n">
        <f aca="false">IF(J170=0,0,F170/J170)</f>
        <v>0.46999524</v>
      </c>
      <c r="M170" s="11" t="str">
        <f aca="false">IF(K170&gt;0,"BLOCKED","PASS")</f>
        <v>PASS</v>
      </c>
      <c r="N170" s="11" t="s">
        <v>235</v>
      </c>
    </row>
    <row r="171" customFormat="false" ht="23.85" hidden="false" customHeight="false" outlineLevel="0" collapsed="false">
      <c r="A171" s="11" t="s">
        <v>108</v>
      </c>
      <c r="B171" s="11" t="s">
        <v>129</v>
      </c>
      <c r="C171" s="11" t="s">
        <v>73</v>
      </c>
      <c r="D171" s="11" t="s">
        <v>74</v>
      </c>
      <c r="E171" s="11" t="s">
        <v>75</v>
      </c>
      <c r="F171" s="12" t="n">
        <f aca="false">SUMIFS(СПРОС_ДЕНЬ_ЧАС_МЕНЮ!$I$11:$I$3265,СПРОС_ДЕНЬ_ЧАС_МЕНЮ!$A$11:$A$3265,A171,СПРОС_ДЕНЬ_ЧАС_МЕНЮ!$B$11:$B$3265,B171,СПРОС_ДЕНЬ_ЧАС_МЕНЮ!$F$11:$F$3265,C171)</f>
        <v>4.3582</v>
      </c>
      <c r="G171" s="12" t="n">
        <f aca="false">ПАРАМЕТРЫ!D20</f>
        <v>25</v>
      </c>
      <c r="H171" s="12" t="n">
        <f aca="false">SUMIFS(ШТАТ_ПО_ЧАСАМ!$C$11:$C$115,ШТАТ_ПО_ЧАСАМ!$A$11:$A$115,A171,ШТАТ_ПО_ЧАСАМ!$B$11:$B$115,B171)</f>
        <v>2</v>
      </c>
      <c r="I171" s="12" t="n">
        <f aca="false">MIN(H171,1)*ПАРАМЕТРЫ!E20</f>
        <v>10</v>
      </c>
      <c r="J171" s="12" t="n">
        <f aca="false">MIN(G171,I171)</f>
        <v>10</v>
      </c>
      <c r="K171" s="12" t="n">
        <f aca="false">MAX(F171-J171,0)</f>
        <v>0</v>
      </c>
      <c r="L171" s="12" t="n">
        <f aca="false">IF(J171=0,0,F171/J171)</f>
        <v>0.43582</v>
      </c>
      <c r="M171" s="11" t="str">
        <f aca="false">IF(K171&gt;0,"BLOCKED","PASS")</f>
        <v>PASS</v>
      </c>
      <c r="N171" s="11" t="s">
        <v>233</v>
      </c>
    </row>
    <row r="172" customFormat="false" ht="23.85" hidden="false" customHeight="false" outlineLevel="0" collapsed="false">
      <c r="A172" s="11" t="s">
        <v>108</v>
      </c>
      <c r="B172" s="11" t="s">
        <v>129</v>
      </c>
      <c r="C172" s="11" t="s">
        <v>77</v>
      </c>
      <c r="D172" s="11" t="s">
        <v>78</v>
      </c>
      <c r="E172" s="11" t="s">
        <v>79</v>
      </c>
      <c r="F172" s="12" t="n">
        <f aca="false">SUMIFS(СПРОС_ДЕНЬ_ЧАС_МЕНЮ!$I$11:$I$3265,СПРОС_ДЕНЬ_ЧАС_МЕНЮ!$A$11:$A$3265,A172,СПРОС_ДЕНЬ_ЧАС_МЕНЮ!$B$11:$B$3265,B172,СПРОС_ДЕНЬ_ЧАС_МЕНЮ!$F$11:$F$3265,C172)</f>
        <v>2.48292</v>
      </c>
      <c r="G172" s="12" t="n">
        <f aca="false">ПАРАМЕТРЫ!D21</f>
        <v>20</v>
      </c>
      <c r="H172" s="12" t="n">
        <f aca="false">SUMIFS(ШТАТ_ПО_ЧАСАМ!$C$11:$C$115,ШТАТ_ПО_ЧАСАМ!$A$11:$A$115,A172,ШТАТ_ПО_ЧАСАМ!$B$11:$B$115,B172)</f>
        <v>2</v>
      </c>
      <c r="I172" s="12" t="n">
        <f aca="false">MIN(H172,1)*ПАРАМЕТРЫ!E21</f>
        <v>10</v>
      </c>
      <c r="J172" s="12" t="n">
        <f aca="false">MIN(G172,I172)</f>
        <v>10</v>
      </c>
      <c r="K172" s="12" t="n">
        <f aca="false">MAX(F172-J172,0)</f>
        <v>0</v>
      </c>
      <c r="L172" s="12" t="n">
        <f aca="false">IF(J172=0,0,F172/J172)</f>
        <v>0.248292</v>
      </c>
      <c r="M172" s="11" t="str">
        <f aca="false">IF(K172&gt;0,"BLOCKED","PASS")</f>
        <v>PASS</v>
      </c>
      <c r="N172" s="11" t="s">
        <v>233</v>
      </c>
    </row>
    <row r="173" customFormat="false" ht="23.85" hidden="false" customHeight="false" outlineLevel="0" collapsed="false">
      <c r="A173" s="11" t="s">
        <v>108</v>
      </c>
      <c r="B173" s="11" t="s">
        <v>129</v>
      </c>
      <c r="C173" s="11" t="s">
        <v>80</v>
      </c>
      <c r="D173" s="11" t="s">
        <v>81</v>
      </c>
      <c r="E173" s="11" t="s">
        <v>82</v>
      </c>
      <c r="F173" s="12" t="n">
        <f aca="false">SUMIFS(СПРОС_ДЕНЬ_ЧАС_МЕНЮ!$I$11:$I$3265,СПРОС_ДЕНЬ_ЧАС_МЕНЮ!$A$11:$A$3265,A173,СПРОС_ДЕНЬ_ЧАС_МЕНЮ!$B$11:$B$3265,B173,СПРОС_ДЕНЬ_ЧАС_МЕНЮ!$F$11:$F$3265,C173)</f>
        <v>7.293</v>
      </c>
      <c r="G173" s="12" t="n">
        <f aca="false">ПАРАМЕТРЫ!D22</f>
        <v>16</v>
      </c>
      <c r="H173" s="12" t="n">
        <f aca="false">SUMIFS(ШТАТ_ПО_ЧАСАМ!$C$11:$C$115,ШТАТ_ПО_ЧАСАМ!$A$11:$A$115,A173,ШТАТ_ПО_ЧАСАМ!$B$11:$B$115,B173)</f>
        <v>2</v>
      </c>
      <c r="I173" s="12" t="n">
        <f aca="false">MIN(H173,1)*ПАРАМЕТРЫ!E22</f>
        <v>16</v>
      </c>
      <c r="J173" s="12" t="n">
        <f aca="false">MIN(G173,I173)</f>
        <v>16</v>
      </c>
      <c r="K173" s="12" t="n">
        <f aca="false">MAX(F173-J173,0)</f>
        <v>0</v>
      </c>
      <c r="L173" s="12" t="n">
        <f aca="false">IF(J173=0,0,F173/J173)</f>
        <v>0.4558125</v>
      </c>
      <c r="M173" s="11" t="str">
        <f aca="false">IF(K173&gt;0,"BLOCKED","PASS")</f>
        <v>PASS</v>
      </c>
      <c r="N173" s="11" t="s">
        <v>233</v>
      </c>
    </row>
    <row r="174" customFormat="false" ht="23.85" hidden="false" customHeight="false" outlineLevel="0" collapsed="false">
      <c r="A174" s="11" t="s">
        <v>108</v>
      </c>
      <c r="B174" s="11" t="s">
        <v>129</v>
      </c>
      <c r="C174" s="11" t="s">
        <v>83</v>
      </c>
      <c r="D174" s="11" t="s">
        <v>84</v>
      </c>
      <c r="E174" s="11" t="s">
        <v>83</v>
      </c>
      <c r="F174" s="12" t="n">
        <f aca="false">SUMIFS(СПРОС_ДЕНЬ_ЧАС_МЕНЮ!$I$11:$I$3265,СПРОС_ДЕНЬ_ЧАС_МЕНЮ!$A$11:$A$3265,A174,СПРОС_ДЕНЬ_ЧАС_МЕНЮ!$B$11:$B$3265,B174,СПРОС_ДЕНЬ_ЧАС_МЕНЮ!$F$11:$F$3265,C174)</f>
        <v>20.372</v>
      </c>
      <c r="G174" s="12" t="n">
        <f aca="false">ПАРАМЕТРЫ!D23</f>
        <v>21</v>
      </c>
      <c r="H174" s="12" t="n">
        <f aca="false">SUMIFS(ШТАТ_ПО_ЧАСАМ!$C$11:$C$115,ШТАТ_ПО_ЧАСАМ!$A$11:$A$115,A174,ШТАТ_ПО_ЧАСАМ!$B$11:$B$115,B174)</f>
        <v>2</v>
      </c>
      <c r="I174" s="12" t="n">
        <f aca="false">MIN(H174,1)*ПАРАМЕТРЫ!E23</f>
        <v>21</v>
      </c>
      <c r="J174" s="12" t="n">
        <f aca="false">MIN(G174,I174)</f>
        <v>21</v>
      </c>
      <c r="K174" s="12" t="n">
        <f aca="false">MAX(F174-J174,0)</f>
        <v>0</v>
      </c>
      <c r="L174" s="12" t="n">
        <f aca="false">IF(J174=0,0,F174/J174)</f>
        <v>0.970095238095238</v>
      </c>
      <c r="M174" s="11" t="str">
        <f aca="false">IF(K174&gt;0,"BLOCKED","PASS")</f>
        <v>PASS</v>
      </c>
      <c r="N174" s="11" t="s">
        <v>233</v>
      </c>
    </row>
    <row r="175" customFormat="false" ht="23.85" hidden="false" customHeight="false" outlineLevel="0" collapsed="false">
      <c r="A175" s="11" t="s">
        <v>108</v>
      </c>
      <c r="B175" s="11" t="s">
        <v>129</v>
      </c>
      <c r="C175" s="11" t="s">
        <v>85</v>
      </c>
      <c r="D175" s="11" t="s">
        <v>86</v>
      </c>
      <c r="E175" s="11" t="s">
        <v>87</v>
      </c>
      <c r="F175" s="12" t="n">
        <f aca="false">SUMIFS(СПРОС_ДЕНЬ_ЧАС_МЕНЮ!$I$11:$I$3265,СПРОС_ДЕНЬ_ЧАС_МЕНЮ!$A$11:$A$3265,A175,СПРОС_ДЕНЬ_ЧАС_МЕНЮ!$B$11:$B$3265,B175,СПРОС_ДЕНЬ_ЧАС_МЕНЮ!$F$11:$F$3265,C175)</f>
        <v>8.321918</v>
      </c>
      <c r="G175" s="12" t="n">
        <f aca="false">ПАРАМЕТРЫ!D24</f>
        <v>12</v>
      </c>
      <c r="H175" s="12" t="n">
        <f aca="false">SUMIFS(ШТАТ_ПО_ЧАСАМ!$C$11:$C$115,ШТАТ_ПО_ЧАСАМ!$A$11:$A$115,A175,ШТАТ_ПО_ЧАСАМ!$B$11:$B$115,B175)</f>
        <v>2</v>
      </c>
      <c r="I175" s="12" t="n">
        <f aca="false">MIN(H175,1)*ПАРАМЕТРЫ!E24</f>
        <v>12</v>
      </c>
      <c r="J175" s="12" t="n">
        <f aca="false">MIN(G175,I175)</f>
        <v>12</v>
      </c>
      <c r="K175" s="12" t="n">
        <f aca="false">MAX(F175-J175,0)</f>
        <v>0</v>
      </c>
      <c r="L175" s="12" t="n">
        <f aca="false">IF(J175=0,0,F175/J175)</f>
        <v>0.693493166666667</v>
      </c>
      <c r="M175" s="11" t="str">
        <f aca="false">IF(K175&gt;0,"BLOCKED","PASS")</f>
        <v>PASS</v>
      </c>
      <c r="N175" s="11" t="s">
        <v>233</v>
      </c>
    </row>
    <row r="176" customFormat="false" ht="23.85" hidden="false" customHeight="false" outlineLevel="0" collapsed="false">
      <c r="A176" s="11" t="s">
        <v>108</v>
      </c>
      <c r="B176" s="11" t="s">
        <v>129</v>
      </c>
      <c r="C176" s="11" t="s">
        <v>88</v>
      </c>
      <c r="D176" s="11" t="s">
        <v>89</v>
      </c>
      <c r="E176" s="11" t="s">
        <v>90</v>
      </c>
      <c r="F176" s="12" t="n">
        <f aca="false">SUMIFS(СПРОС_ДЕНЬ_ЧАС_МЕНЮ!$I$11:$I$3265,СПРОС_ДЕНЬ_ЧАС_МЕНЮ!$A$11:$A$3265,A176,СПРОС_ДЕНЬ_ЧАС_МЕНЮ!$B$11:$B$3265,B176,СПРОС_ДЕНЬ_ЧАС_МЕНЮ!$F$11:$F$3265,C176)</f>
        <v>0</v>
      </c>
      <c r="G176" s="12" t="n">
        <f aca="false">ПАРАМЕТРЫ!D25</f>
        <v>15</v>
      </c>
      <c r="H176" s="12" t="n">
        <f aca="false">SUMIFS(ШТАТ_ПО_ЧАСАМ!$C$11:$C$115,ШТАТ_ПО_ЧАСАМ!$A$11:$A$115,A176,ШТАТ_ПО_ЧАСАМ!$B$11:$B$115,B176)</f>
        <v>2</v>
      </c>
      <c r="I176" s="12" t="n">
        <f aca="false">MIN(H176,1)*ПАРАМЕТРЫ!E25</f>
        <v>10</v>
      </c>
      <c r="J176" s="12" t="n">
        <f aca="false">MIN(G176,I176)</f>
        <v>10</v>
      </c>
      <c r="K176" s="12" t="n">
        <f aca="false">MAX(F176-J176,0)</f>
        <v>0</v>
      </c>
      <c r="L176" s="12" t="n">
        <f aca="false">IF(J176=0,0,F176/J176)</f>
        <v>0</v>
      </c>
      <c r="M176" s="11" t="str">
        <f aca="false">IF(K176&gt;0,"BLOCKED","PASS")</f>
        <v>PASS</v>
      </c>
      <c r="N176" s="11" t="s">
        <v>233</v>
      </c>
    </row>
    <row r="177" customFormat="false" ht="23.85" hidden="false" customHeight="false" outlineLevel="0" collapsed="false">
      <c r="A177" s="11" t="s">
        <v>108</v>
      </c>
      <c r="B177" s="11" t="s">
        <v>129</v>
      </c>
      <c r="C177" s="11" t="s">
        <v>91</v>
      </c>
      <c r="D177" s="11" t="s">
        <v>92</v>
      </c>
      <c r="E177" s="11" t="s">
        <v>79</v>
      </c>
      <c r="F177" s="12" t="n">
        <f aca="false">SUMIFS(СПРОС_ДЕНЬ_ЧАС_МЕНЮ!$I$11:$I$3265,СПРОС_ДЕНЬ_ЧАС_МЕНЮ!$A$11:$A$3265,A177,СПРОС_ДЕНЬ_ЧАС_МЕНЮ!$B$11:$B$3265,B177,СПРОС_ДЕНЬ_ЧАС_МЕНЮ!$F$11:$F$3265,C177)</f>
        <v>0.9504</v>
      </c>
      <c r="G177" s="12" t="n">
        <f aca="false">ПАРАМЕТРЫ!D26</f>
        <v>20</v>
      </c>
      <c r="H177" s="12" t="n">
        <f aca="false">SUMIFS(ШТАТ_ПО_ЧАСАМ!$C$11:$C$115,ШТАТ_ПО_ЧАСАМ!$A$11:$A$115,A177,ШТАТ_ПО_ЧАСАМ!$B$11:$B$115,B177)</f>
        <v>2</v>
      </c>
      <c r="I177" s="12" t="n">
        <f aca="false">MIN(H177,1)*ПАРАМЕТРЫ!E26</f>
        <v>10</v>
      </c>
      <c r="J177" s="12" t="n">
        <f aca="false">MIN(G177,I177)</f>
        <v>10</v>
      </c>
      <c r="K177" s="12" t="n">
        <f aca="false">MAX(F177-J177,0)</f>
        <v>0</v>
      </c>
      <c r="L177" s="12" t="n">
        <f aca="false">IF(J177=0,0,F177/J177)</f>
        <v>0.09504</v>
      </c>
      <c r="M177" s="11" t="str">
        <f aca="false">IF(K177&gt;0,"BLOCKED","PASS")</f>
        <v>PASS</v>
      </c>
      <c r="N177" s="11" t="s">
        <v>233</v>
      </c>
    </row>
    <row r="178" customFormat="false" ht="15" hidden="false" customHeight="false" outlineLevel="0" collapsed="false">
      <c r="A178" s="11" t="s">
        <v>108</v>
      </c>
      <c r="B178" s="11" t="s">
        <v>129</v>
      </c>
      <c r="C178" s="11" t="s">
        <v>93</v>
      </c>
      <c r="D178" s="11" t="s">
        <v>234</v>
      </c>
      <c r="E178" s="11" t="s">
        <v>95</v>
      </c>
      <c r="F178" s="12" t="n">
        <f aca="false">SUMIFS(СПРОС_ДЕНЬ_ЧАС_МЕНЮ!$I$11:$I$3265,СПРОС_ДЕНЬ_ЧАС_МЕНЮ!$A$11:$A$3265,A178,СПРОС_ДЕНЬ_ЧАС_МЕНЮ!$B$11:$B$3265,B178)</f>
        <v>43.778438</v>
      </c>
      <c r="G178" s="12" t="n">
        <f aca="false">ПАРАМЕТРЫ!D27</f>
        <v>60</v>
      </c>
      <c r="H178" s="12" t="n">
        <f aca="false">SUMIFS(ШТАТ_ПО_ЧАСАМ!$C$11:$C$115,ШТАТ_ПО_ЧАСАМ!$A$11:$A$115,A178,ШТАТ_ПО_ЧАСАМ!$B$11:$B$115,B178)</f>
        <v>2</v>
      </c>
      <c r="I178" s="12" t="n">
        <f aca="false">H178*ПАРАМЕТРЫ!E27</f>
        <v>33.3333333333333</v>
      </c>
      <c r="J178" s="12" t="n">
        <f aca="false">MIN(G178,I178)</f>
        <v>33.3333333333333</v>
      </c>
      <c r="K178" s="12" t="n">
        <f aca="false">MAX(F178-J178,0)</f>
        <v>10.4451046666667</v>
      </c>
      <c r="L178" s="12" t="n">
        <f aca="false">IF(J178=0,0,F178/J178)</f>
        <v>1.31335314</v>
      </c>
      <c r="M178" s="11" t="str">
        <f aca="false">IF(K178&gt;0,"BLOCKED","PASS")</f>
        <v>BLOCKED</v>
      </c>
      <c r="N178" s="11" t="s">
        <v>235</v>
      </c>
    </row>
    <row r="179" customFormat="false" ht="23.85" hidden="false" customHeight="false" outlineLevel="0" collapsed="false">
      <c r="A179" s="11" t="s">
        <v>108</v>
      </c>
      <c r="B179" s="11" t="s">
        <v>130</v>
      </c>
      <c r="C179" s="11" t="s">
        <v>73</v>
      </c>
      <c r="D179" s="11" t="s">
        <v>74</v>
      </c>
      <c r="E179" s="11" t="s">
        <v>75</v>
      </c>
      <c r="F179" s="12" t="n">
        <f aca="false">SUMIFS(СПРОС_ДЕНЬ_ЧАС_МЕНЮ!$I$11:$I$3265,СПРОС_ДЕНЬ_ЧАС_МЕНЮ!$A$11:$A$3265,A179,СПРОС_ДЕНЬ_ЧАС_МЕНЮ!$B$11:$B$3265,B179,СПРОС_ДЕНЬ_ЧАС_МЕНЮ!$F$11:$F$3265,C179)</f>
        <v>4.499</v>
      </c>
      <c r="G179" s="12" t="n">
        <f aca="false">ПАРАМЕТРЫ!D20</f>
        <v>25</v>
      </c>
      <c r="H179" s="12" t="n">
        <f aca="false">SUMIFS(ШТАТ_ПО_ЧАСАМ!$C$11:$C$115,ШТАТ_ПО_ЧАСАМ!$A$11:$A$115,A179,ШТАТ_ПО_ЧАСАМ!$B$11:$B$115,B179)</f>
        <v>2</v>
      </c>
      <c r="I179" s="12" t="n">
        <f aca="false">MIN(H179,1)*ПАРАМЕТРЫ!E20</f>
        <v>10</v>
      </c>
      <c r="J179" s="12" t="n">
        <f aca="false">MIN(G179,I179)</f>
        <v>10</v>
      </c>
      <c r="K179" s="12" t="n">
        <f aca="false">MAX(F179-J179,0)</f>
        <v>0</v>
      </c>
      <c r="L179" s="12" t="n">
        <f aca="false">IF(J179=0,0,F179/J179)</f>
        <v>0.4499</v>
      </c>
      <c r="M179" s="11" t="str">
        <f aca="false">IF(K179&gt;0,"BLOCKED","PASS")</f>
        <v>PASS</v>
      </c>
      <c r="N179" s="11" t="s">
        <v>233</v>
      </c>
    </row>
    <row r="180" customFormat="false" ht="23.85" hidden="false" customHeight="false" outlineLevel="0" collapsed="false">
      <c r="A180" s="11" t="s">
        <v>108</v>
      </c>
      <c r="B180" s="11" t="s">
        <v>130</v>
      </c>
      <c r="C180" s="11" t="s">
        <v>77</v>
      </c>
      <c r="D180" s="11" t="s">
        <v>78</v>
      </c>
      <c r="E180" s="11" t="s">
        <v>79</v>
      </c>
      <c r="F180" s="12" t="n">
        <f aca="false">SUMIFS(СПРОС_ДЕНЬ_ЧАС_МЕНЮ!$I$11:$I$3265,СПРОС_ДЕНЬ_ЧАС_МЕНЮ!$A$11:$A$3265,A180,СПРОС_ДЕНЬ_ЧАС_МЕНЮ!$B$11:$B$3265,B180,СПРОС_ДЕНЬ_ЧАС_МЕНЮ!$F$11:$F$3265,C180)</f>
        <v>2.5674</v>
      </c>
      <c r="G180" s="12" t="n">
        <f aca="false">ПАРАМЕТРЫ!D21</f>
        <v>20</v>
      </c>
      <c r="H180" s="12" t="n">
        <f aca="false">SUMIFS(ШТАТ_ПО_ЧАСАМ!$C$11:$C$115,ШТАТ_ПО_ЧАСАМ!$A$11:$A$115,A180,ШТАТ_ПО_ЧАСАМ!$B$11:$B$115,B180)</f>
        <v>2</v>
      </c>
      <c r="I180" s="12" t="n">
        <f aca="false">MIN(H180,1)*ПАРАМЕТРЫ!E21</f>
        <v>10</v>
      </c>
      <c r="J180" s="12" t="n">
        <f aca="false">MIN(G180,I180)</f>
        <v>10</v>
      </c>
      <c r="K180" s="12" t="n">
        <f aca="false">MAX(F180-J180,0)</f>
        <v>0</v>
      </c>
      <c r="L180" s="12" t="n">
        <f aca="false">IF(J180=0,0,F180/J180)</f>
        <v>0.25674</v>
      </c>
      <c r="M180" s="11" t="str">
        <f aca="false">IF(K180&gt;0,"BLOCKED","PASS")</f>
        <v>PASS</v>
      </c>
      <c r="N180" s="11" t="s">
        <v>233</v>
      </c>
    </row>
    <row r="181" customFormat="false" ht="23.85" hidden="false" customHeight="false" outlineLevel="0" collapsed="false">
      <c r="A181" s="11" t="s">
        <v>108</v>
      </c>
      <c r="B181" s="11" t="s">
        <v>130</v>
      </c>
      <c r="C181" s="11" t="s">
        <v>80</v>
      </c>
      <c r="D181" s="11" t="s">
        <v>81</v>
      </c>
      <c r="E181" s="11" t="s">
        <v>82</v>
      </c>
      <c r="F181" s="12" t="n">
        <f aca="false">SUMIFS(СПРОС_ДЕНЬ_ЧАС_МЕНЮ!$I$11:$I$3265,СПРОС_ДЕНЬ_ЧАС_МЕНЮ!$A$11:$A$3265,A181,СПРОС_ДЕНЬ_ЧАС_МЕНЮ!$B$11:$B$3265,B181,СПРОС_ДЕНЬ_ЧАС_МЕНЮ!$F$11:$F$3265,C181)</f>
        <v>7.645</v>
      </c>
      <c r="G181" s="12" t="n">
        <f aca="false">ПАРАМЕТРЫ!D22</f>
        <v>16</v>
      </c>
      <c r="H181" s="12" t="n">
        <f aca="false">SUMIFS(ШТАТ_ПО_ЧАСАМ!$C$11:$C$115,ШТАТ_ПО_ЧАСАМ!$A$11:$A$115,A181,ШТАТ_ПО_ЧАСАМ!$B$11:$B$115,B181)</f>
        <v>2</v>
      </c>
      <c r="I181" s="12" t="n">
        <f aca="false">MIN(H181,1)*ПАРАМЕТРЫ!E22</f>
        <v>16</v>
      </c>
      <c r="J181" s="12" t="n">
        <f aca="false">MIN(G181,I181)</f>
        <v>16</v>
      </c>
      <c r="K181" s="12" t="n">
        <f aca="false">MAX(F181-J181,0)</f>
        <v>0</v>
      </c>
      <c r="L181" s="12" t="n">
        <f aca="false">IF(J181=0,0,F181/J181)</f>
        <v>0.4778125</v>
      </c>
      <c r="M181" s="11" t="str">
        <f aca="false">IF(K181&gt;0,"BLOCKED","PASS")</f>
        <v>PASS</v>
      </c>
      <c r="N181" s="11" t="s">
        <v>233</v>
      </c>
    </row>
    <row r="182" customFormat="false" ht="23.85" hidden="false" customHeight="false" outlineLevel="0" collapsed="false">
      <c r="A182" s="11" t="s">
        <v>108</v>
      </c>
      <c r="B182" s="11" t="s">
        <v>130</v>
      </c>
      <c r="C182" s="11" t="s">
        <v>83</v>
      </c>
      <c r="D182" s="11" t="s">
        <v>84</v>
      </c>
      <c r="E182" s="11" t="s">
        <v>83</v>
      </c>
      <c r="F182" s="12" t="n">
        <f aca="false">SUMIFS(СПРОС_ДЕНЬ_ЧАС_МЕНЮ!$I$11:$I$3265,СПРОС_ДЕНЬ_ЧАС_МЕНЮ!$A$11:$A$3265,A182,СПРОС_ДЕНЬ_ЧАС_МЕНЮ!$B$11:$B$3265,B182,СПРОС_ДЕНЬ_ЧАС_МЕНЮ!$F$11:$F$3265,C182)</f>
        <v>20.9</v>
      </c>
      <c r="G182" s="12" t="n">
        <f aca="false">ПАРАМЕТРЫ!D23</f>
        <v>21</v>
      </c>
      <c r="H182" s="12" t="n">
        <f aca="false">SUMIFS(ШТАТ_ПО_ЧАСАМ!$C$11:$C$115,ШТАТ_ПО_ЧАСАМ!$A$11:$A$115,A182,ШТАТ_ПО_ЧАСАМ!$B$11:$B$115,B182)</f>
        <v>2</v>
      </c>
      <c r="I182" s="12" t="n">
        <f aca="false">MIN(H182,1)*ПАРАМЕТРЫ!E23</f>
        <v>21</v>
      </c>
      <c r="J182" s="12" t="n">
        <f aca="false">MIN(G182,I182)</f>
        <v>21</v>
      </c>
      <c r="K182" s="12" t="n">
        <f aca="false">MAX(F182-J182,0)</f>
        <v>0</v>
      </c>
      <c r="L182" s="12" t="n">
        <f aca="false">IF(J182=0,0,F182/J182)</f>
        <v>0.995238095238095</v>
      </c>
      <c r="M182" s="11" t="str">
        <f aca="false">IF(K182&gt;0,"BLOCKED","PASS")</f>
        <v>PASS</v>
      </c>
      <c r="N182" s="11" t="s">
        <v>233</v>
      </c>
    </row>
    <row r="183" customFormat="false" ht="23.85" hidden="false" customHeight="false" outlineLevel="0" collapsed="false">
      <c r="A183" s="11" t="s">
        <v>108</v>
      </c>
      <c r="B183" s="11" t="s">
        <v>130</v>
      </c>
      <c r="C183" s="11" t="s">
        <v>85</v>
      </c>
      <c r="D183" s="11" t="s">
        <v>86</v>
      </c>
      <c r="E183" s="11" t="s">
        <v>87</v>
      </c>
      <c r="F183" s="12" t="n">
        <f aca="false">SUMIFS(СПРОС_ДЕНЬ_ЧАС_МЕНЮ!$I$11:$I$3265,СПРОС_ДЕНЬ_ЧАС_МЕНЮ!$A$11:$A$3265,A183,СПРОС_ДЕНЬ_ЧАС_МЕНЮ!$B$11:$B$3265,B183,СПРОС_ДЕНЬ_ЧАС_МЕНЮ!$F$11:$F$3265,C183)</f>
        <v>8.59771</v>
      </c>
      <c r="G183" s="12" t="n">
        <f aca="false">ПАРАМЕТРЫ!D24</f>
        <v>12</v>
      </c>
      <c r="H183" s="12" t="n">
        <f aca="false">SUMIFS(ШТАТ_ПО_ЧАСАМ!$C$11:$C$115,ШТАТ_ПО_ЧАСАМ!$A$11:$A$115,A183,ШТАТ_ПО_ЧАСАМ!$B$11:$B$115,B183)</f>
        <v>2</v>
      </c>
      <c r="I183" s="12" t="n">
        <f aca="false">MIN(H183,1)*ПАРАМЕТРЫ!E24</f>
        <v>12</v>
      </c>
      <c r="J183" s="12" t="n">
        <f aca="false">MIN(G183,I183)</f>
        <v>12</v>
      </c>
      <c r="K183" s="12" t="n">
        <f aca="false">MAX(F183-J183,0)</f>
        <v>0</v>
      </c>
      <c r="L183" s="12" t="n">
        <f aca="false">IF(J183=0,0,F183/J183)</f>
        <v>0.716475833333333</v>
      </c>
      <c r="M183" s="11" t="str">
        <f aca="false">IF(K183&gt;0,"BLOCKED","PASS")</f>
        <v>PASS</v>
      </c>
      <c r="N183" s="11" t="s">
        <v>233</v>
      </c>
    </row>
    <row r="184" customFormat="false" ht="23.85" hidden="false" customHeight="false" outlineLevel="0" collapsed="false">
      <c r="A184" s="11" t="s">
        <v>108</v>
      </c>
      <c r="B184" s="11" t="s">
        <v>130</v>
      </c>
      <c r="C184" s="11" t="s">
        <v>88</v>
      </c>
      <c r="D184" s="11" t="s">
        <v>89</v>
      </c>
      <c r="E184" s="11" t="s">
        <v>90</v>
      </c>
      <c r="F184" s="12" t="n">
        <f aca="false">SUMIFS(СПРОС_ДЕНЬ_ЧАС_МЕНЮ!$I$11:$I$3265,СПРОС_ДЕНЬ_ЧАС_МЕНЮ!$A$11:$A$3265,A184,СПРОС_ДЕНЬ_ЧАС_МЕНЮ!$B$11:$B$3265,B184,СПРОС_ДЕНЬ_ЧАС_МЕНЮ!$F$11:$F$3265,C184)</f>
        <v>0</v>
      </c>
      <c r="G184" s="12" t="n">
        <f aca="false">ПАРАМЕТРЫ!D25</f>
        <v>15</v>
      </c>
      <c r="H184" s="12" t="n">
        <f aca="false">SUMIFS(ШТАТ_ПО_ЧАСАМ!$C$11:$C$115,ШТАТ_ПО_ЧАСАМ!$A$11:$A$115,A184,ШТАТ_ПО_ЧАСАМ!$B$11:$B$115,B184)</f>
        <v>2</v>
      </c>
      <c r="I184" s="12" t="n">
        <f aca="false">MIN(H184,1)*ПАРАМЕТРЫ!E25</f>
        <v>10</v>
      </c>
      <c r="J184" s="12" t="n">
        <f aca="false">MIN(G184,I184)</f>
        <v>10</v>
      </c>
      <c r="K184" s="12" t="n">
        <f aca="false">MAX(F184-J184,0)</f>
        <v>0</v>
      </c>
      <c r="L184" s="12" t="n">
        <f aca="false">IF(J184=0,0,F184/J184)</f>
        <v>0</v>
      </c>
      <c r="M184" s="11" t="str">
        <f aca="false">IF(K184&gt;0,"BLOCKED","PASS")</f>
        <v>PASS</v>
      </c>
      <c r="N184" s="11" t="s">
        <v>233</v>
      </c>
    </row>
    <row r="185" customFormat="false" ht="23.85" hidden="false" customHeight="false" outlineLevel="0" collapsed="false">
      <c r="A185" s="11" t="s">
        <v>108</v>
      </c>
      <c r="B185" s="11" t="s">
        <v>130</v>
      </c>
      <c r="C185" s="11" t="s">
        <v>91</v>
      </c>
      <c r="D185" s="11" t="s">
        <v>92</v>
      </c>
      <c r="E185" s="11" t="s">
        <v>79</v>
      </c>
      <c r="F185" s="12" t="n">
        <f aca="false">SUMIFS(СПРОС_ДЕНЬ_ЧАС_МЕНЮ!$I$11:$I$3265,СПРОС_ДЕНЬ_ЧАС_МЕНЮ!$A$11:$A$3265,A185,СПРОС_ДЕНЬ_ЧАС_МЕНЮ!$B$11:$B$3265,B185,СПРОС_ДЕНЬ_ЧАС_МЕНЮ!$F$11:$F$3265,C185)</f>
        <v>1.056</v>
      </c>
      <c r="G185" s="12" t="n">
        <f aca="false">ПАРАМЕТРЫ!D26</f>
        <v>20</v>
      </c>
      <c r="H185" s="12" t="n">
        <f aca="false">SUMIFS(ШТАТ_ПО_ЧАСАМ!$C$11:$C$115,ШТАТ_ПО_ЧАСАМ!$A$11:$A$115,A185,ШТАТ_ПО_ЧАСАМ!$B$11:$B$115,B185)</f>
        <v>2</v>
      </c>
      <c r="I185" s="12" t="n">
        <f aca="false">MIN(H185,1)*ПАРАМЕТРЫ!E26</f>
        <v>10</v>
      </c>
      <c r="J185" s="12" t="n">
        <f aca="false">MIN(G185,I185)</f>
        <v>10</v>
      </c>
      <c r="K185" s="12" t="n">
        <f aca="false">MAX(F185-J185,0)</f>
        <v>0</v>
      </c>
      <c r="L185" s="12" t="n">
        <f aca="false">IF(J185=0,0,F185/J185)</f>
        <v>0.1056</v>
      </c>
      <c r="M185" s="11" t="str">
        <f aca="false">IF(K185&gt;0,"BLOCKED","PASS")</f>
        <v>PASS</v>
      </c>
      <c r="N185" s="11" t="s">
        <v>233</v>
      </c>
    </row>
    <row r="186" customFormat="false" ht="15" hidden="false" customHeight="false" outlineLevel="0" collapsed="false">
      <c r="A186" s="11" t="s">
        <v>108</v>
      </c>
      <c r="B186" s="11" t="s">
        <v>130</v>
      </c>
      <c r="C186" s="11" t="s">
        <v>93</v>
      </c>
      <c r="D186" s="11" t="s">
        <v>234</v>
      </c>
      <c r="E186" s="11" t="s">
        <v>95</v>
      </c>
      <c r="F186" s="12" t="n">
        <f aca="false">SUMIFS(СПРОС_ДЕНЬ_ЧАС_МЕНЮ!$I$11:$I$3265,СПРОС_ДЕНЬ_ЧАС_МЕНЮ!$A$11:$A$3265,A186,СПРОС_ДЕНЬ_ЧАС_МЕНЮ!$B$11:$B$3265,B186)</f>
        <v>45.26511</v>
      </c>
      <c r="G186" s="12" t="n">
        <f aca="false">ПАРАМЕТРЫ!D27</f>
        <v>60</v>
      </c>
      <c r="H186" s="12" t="n">
        <f aca="false">SUMIFS(ШТАТ_ПО_ЧАСАМ!$C$11:$C$115,ШТАТ_ПО_ЧАСАМ!$A$11:$A$115,A186,ШТАТ_ПО_ЧАСАМ!$B$11:$B$115,B186)</f>
        <v>2</v>
      </c>
      <c r="I186" s="12" t="n">
        <f aca="false">H186*ПАРАМЕТРЫ!E27</f>
        <v>33.3333333333333</v>
      </c>
      <c r="J186" s="12" t="n">
        <f aca="false">MIN(G186,I186)</f>
        <v>33.3333333333333</v>
      </c>
      <c r="K186" s="12" t="n">
        <f aca="false">MAX(F186-J186,0)</f>
        <v>11.9317766666667</v>
      </c>
      <c r="L186" s="12" t="n">
        <f aca="false">IF(J186=0,0,F186/J186)</f>
        <v>1.3579533</v>
      </c>
      <c r="M186" s="11" t="str">
        <f aca="false">IF(K186&gt;0,"BLOCKED","PASS")</f>
        <v>BLOCKED</v>
      </c>
      <c r="N186" s="11" t="s">
        <v>235</v>
      </c>
    </row>
    <row r="187" customFormat="false" ht="23.85" hidden="false" customHeight="false" outlineLevel="0" collapsed="false">
      <c r="A187" s="11" t="s">
        <v>108</v>
      </c>
      <c r="B187" s="11" t="s">
        <v>131</v>
      </c>
      <c r="C187" s="11" t="s">
        <v>73</v>
      </c>
      <c r="D187" s="11" t="s">
        <v>74</v>
      </c>
      <c r="E187" s="11" t="s">
        <v>75</v>
      </c>
      <c r="F187" s="12" t="n">
        <f aca="false">SUMIFS(СПРОС_ДЕНЬ_ЧАС_МЕНЮ!$I$11:$I$3265,СПРОС_ДЕНЬ_ЧАС_МЕНЮ!$A$11:$A$3265,A187,СПРОС_ДЕНЬ_ЧАС_МЕНЮ!$B$11:$B$3265,B187,СПРОС_ДЕНЬ_ЧАС_МЕНЮ!$F$11:$F$3265,C187)</f>
        <v>2.2253</v>
      </c>
      <c r="G187" s="12" t="n">
        <f aca="false">ПАРАМЕТРЫ!D20</f>
        <v>25</v>
      </c>
      <c r="H187" s="12" t="n">
        <f aca="false">SUMIFS(ШТАТ_ПО_ЧАСАМ!$C$11:$C$115,ШТАТ_ПО_ЧАСАМ!$A$11:$A$115,A187,ШТАТ_ПО_ЧАСАМ!$B$11:$B$115,B187)</f>
        <v>2</v>
      </c>
      <c r="I187" s="12" t="n">
        <f aca="false">MIN(H187,1)*ПАРАМЕТРЫ!E20</f>
        <v>10</v>
      </c>
      <c r="J187" s="12" t="n">
        <f aca="false">MIN(G187,I187)</f>
        <v>10</v>
      </c>
      <c r="K187" s="12" t="n">
        <f aca="false">MAX(F187-J187,0)</f>
        <v>0</v>
      </c>
      <c r="L187" s="12" t="n">
        <f aca="false">IF(J187=0,0,F187/J187)</f>
        <v>0.22253</v>
      </c>
      <c r="M187" s="11" t="str">
        <f aca="false">IF(K187&gt;0,"BLOCKED","PASS")</f>
        <v>PASS</v>
      </c>
      <c r="N187" s="11" t="s">
        <v>233</v>
      </c>
    </row>
    <row r="188" customFormat="false" ht="23.85" hidden="false" customHeight="false" outlineLevel="0" collapsed="false">
      <c r="A188" s="11" t="s">
        <v>108</v>
      </c>
      <c r="B188" s="11" t="s">
        <v>131</v>
      </c>
      <c r="C188" s="11" t="s">
        <v>77</v>
      </c>
      <c r="D188" s="11" t="s">
        <v>78</v>
      </c>
      <c r="E188" s="11" t="s">
        <v>79</v>
      </c>
      <c r="F188" s="12" t="n">
        <f aca="false">SUMIFS(СПРОС_ДЕНЬ_ЧАС_МЕНЮ!$I$11:$I$3265,СПРОС_ДЕНЬ_ЧАС_МЕНЮ!$A$11:$A$3265,A188,СПРОС_ДЕНЬ_ЧАС_МЕНЮ!$B$11:$B$3265,B188,СПРОС_ДЕНЬ_ЧАС_МЕНЮ!$F$11:$F$3265,C188)</f>
        <v>1.83018</v>
      </c>
      <c r="G188" s="12" t="n">
        <f aca="false">ПАРАМЕТРЫ!D21</f>
        <v>20</v>
      </c>
      <c r="H188" s="12" t="n">
        <f aca="false">SUMIFS(ШТАТ_ПО_ЧАСАМ!$C$11:$C$115,ШТАТ_ПО_ЧАСАМ!$A$11:$A$115,A188,ШТАТ_ПО_ЧАСАМ!$B$11:$B$115,B188)</f>
        <v>2</v>
      </c>
      <c r="I188" s="12" t="n">
        <f aca="false">MIN(H188,1)*ПАРАМЕТРЫ!E21</f>
        <v>10</v>
      </c>
      <c r="J188" s="12" t="n">
        <f aca="false">MIN(G188,I188)</f>
        <v>10</v>
      </c>
      <c r="K188" s="12" t="n">
        <f aca="false">MAX(F188-J188,0)</f>
        <v>0</v>
      </c>
      <c r="L188" s="12" t="n">
        <f aca="false">IF(J188=0,0,F188/J188)</f>
        <v>0.183018</v>
      </c>
      <c r="M188" s="11" t="str">
        <f aca="false">IF(K188&gt;0,"BLOCKED","PASS")</f>
        <v>PASS</v>
      </c>
      <c r="N188" s="11" t="s">
        <v>233</v>
      </c>
    </row>
    <row r="189" customFormat="false" ht="23.85" hidden="false" customHeight="false" outlineLevel="0" collapsed="false">
      <c r="A189" s="11" t="s">
        <v>108</v>
      </c>
      <c r="B189" s="11" t="s">
        <v>131</v>
      </c>
      <c r="C189" s="11" t="s">
        <v>80</v>
      </c>
      <c r="D189" s="11" t="s">
        <v>81</v>
      </c>
      <c r="E189" s="11" t="s">
        <v>82</v>
      </c>
      <c r="F189" s="12" t="n">
        <f aca="false">SUMIFS(СПРОС_ДЕНЬ_ЧАС_МЕНЮ!$I$11:$I$3265,СПРОС_ДЕНЬ_ЧАС_МЕНЮ!$A$11:$A$3265,A189,СПРОС_ДЕНЬ_ЧАС_МЕНЮ!$B$11:$B$3265,B189,СПРОС_ДЕНЬ_ЧАС_МЕНЮ!$F$11:$F$3265,C189)</f>
        <v>3.7895</v>
      </c>
      <c r="G189" s="12" t="n">
        <f aca="false">ПАРАМЕТРЫ!D22</f>
        <v>16</v>
      </c>
      <c r="H189" s="12" t="n">
        <f aca="false">SUMIFS(ШТАТ_ПО_ЧАСАМ!$C$11:$C$115,ШТАТ_ПО_ЧАСАМ!$A$11:$A$115,A189,ШТАТ_ПО_ЧАСАМ!$B$11:$B$115,B189)</f>
        <v>2</v>
      </c>
      <c r="I189" s="12" t="n">
        <f aca="false">MIN(H189,1)*ПАРАМЕТРЫ!E22</f>
        <v>16</v>
      </c>
      <c r="J189" s="12" t="n">
        <f aca="false">MIN(G189,I189)</f>
        <v>16</v>
      </c>
      <c r="K189" s="12" t="n">
        <f aca="false">MAX(F189-J189,0)</f>
        <v>0</v>
      </c>
      <c r="L189" s="12" t="n">
        <f aca="false">IF(J189=0,0,F189/J189)</f>
        <v>0.23684375</v>
      </c>
      <c r="M189" s="11" t="str">
        <f aca="false">IF(K189&gt;0,"BLOCKED","PASS")</f>
        <v>PASS</v>
      </c>
      <c r="N189" s="11" t="s">
        <v>233</v>
      </c>
    </row>
    <row r="190" customFormat="false" ht="23.85" hidden="false" customHeight="false" outlineLevel="0" collapsed="false">
      <c r="A190" s="11" t="s">
        <v>108</v>
      </c>
      <c r="B190" s="11" t="s">
        <v>131</v>
      </c>
      <c r="C190" s="11" t="s">
        <v>83</v>
      </c>
      <c r="D190" s="11" t="s">
        <v>84</v>
      </c>
      <c r="E190" s="11" t="s">
        <v>83</v>
      </c>
      <c r="F190" s="12" t="n">
        <f aca="false">SUMIFS(СПРОС_ДЕНЬ_ЧАС_МЕНЮ!$I$11:$I$3265,СПРОС_ДЕНЬ_ЧАС_МЕНЮ!$A$11:$A$3265,A190,СПРОС_ДЕНЬ_ЧАС_МЕНЮ!$B$11:$B$3265,B190,СПРОС_ДЕНЬ_ЧАС_МЕНЮ!$F$11:$F$3265,C190)</f>
        <v>9.768</v>
      </c>
      <c r="G190" s="12" t="n">
        <f aca="false">ПАРАМЕТРЫ!D23</f>
        <v>21</v>
      </c>
      <c r="H190" s="12" t="n">
        <f aca="false">SUMIFS(ШТАТ_ПО_ЧАСАМ!$C$11:$C$115,ШТАТ_ПО_ЧАСАМ!$A$11:$A$115,A190,ШТАТ_ПО_ЧАСАМ!$B$11:$B$115,B190)</f>
        <v>2</v>
      </c>
      <c r="I190" s="12" t="n">
        <f aca="false">MIN(H190,1)*ПАРАМЕТРЫ!E23</f>
        <v>21</v>
      </c>
      <c r="J190" s="12" t="n">
        <f aca="false">MIN(G190,I190)</f>
        <v>21</v>
      </c>
      <c r="K190" s="12" t="n">
        <f aca="false">MAX(F190-J190,0)</f>
        <v>0</v>
      </c>
      <c r="L190" s="12" t="n">
        <f aca="false">IF(J190=0,0,F190/J190)</f>
        <v>0.465142857142857</v>
      </c>
      <c r="M190" s="11" t="str">
        <f aca="false">IF(K190&gt;0,"BLOCKED","PASS")</f>
        <v>PASS</v>
      </c>
      <c r="N190" s="11" t="s">
        <v>233</v>
      </c>
    </row>
    <row r="191" customFormat="false" ht="23.85" hidden="false" customHeight="false" outlineLevel="0" collapsed="false">
      <c r="A191" s="11" t="s">
        <v>108</v>
      </c>
      <c r="B191" s="11" t="s">
        <v>131</v>
      </c>
      <c r="C191" s="11" t="s">
        <v>85</v>
      </c>
      <c r="D191" s="11" t="s">
        <v>86</v>
      </c>
      <c r="E191" s="11" t="s">
        <v>87</v>
      </c>
      <c r="F191" s="12" t="n">
        <f aca="false">SUMIFS(СПРОС_ДЕНЬ_ЧАС_МЕНЮ!$I$11:$I$3265,СПРОС_ДЕНЬ_ЧАС_МЕНЮ!$A$11:$A$3265,A191,СПРОС_ДЕНЬ_ЧАС_МЕНЮ!$B$11:$B$3265,B191,СПРОС_ДЕНЬ_ЧАС_МЕНЮ!$F$11:$F$3265,C191)</f>
        <v>4.059022</v>
      </c>
      <c r="G191" s="12" t="n">
        <f aca="false">ПАРАМЕТРЫ!D24</f>
        <v>12</v>
      </c>
      <c r="H191" s="12" t="n">
        <f aca="false">SUMIFS(ШТАТ_ПО_ЧАСАМ!$C$11:$C$115,ШТАТ_ПО_ЧАСАМ!$A$11:$A$115,A191,ШТАТ_ПО_ЧАСАМ!$B$11:$B$115,B191)</f>
        <v>2</v>
      </c>
      <c r="I191" s="12" t="n">
        <f aca="false">MIN(H191,1)*ПАРАМЕТРЫ!E24</f>
        <v>12</v>
      </c>
      <c r="J191" s="12" t="n">
        <f aca="false">MIN(G191,I191)</f>
        <v>12</v>
      </c>
      <c r="K191" s="12" t="n">
        <f aca="false">MAX(F191-J191,0)</f>
        <v>0</v>
      </c>
      <c r="L191" s="12" t="n">
        <f aca="false">IF(J191=0,0,F191/J191)</f>
        <v>0.338251833333333</v>
      </c>
      <c r="M191" s="11" t="str">
        <f aca="false">IF(K191&gt;0,"BLOCKED","PASS")</f>
        <v>PASS</v>
      </c>
      <c r="N191" s="11" t="s">
        <v>233</v>
      </c>
    </row>
    <row r="192" customFormat="false" ht="23.85" hidden="false" customHeight="false" outlineLevel="0" collapsed="false">
      <c r="A192" s="11" t="s">
        <v>108</v>
      </c>
      <c r="B192" s="11" t="s">
        <v>131</v>
      </c>
      <c r="C192" s="11" t="s">
        <v>88</v>
      </c>
      <c r="D192" s="11" t="s">
        <v>89</v>
      </c>
      <c r="E192" s="11" t="s">
        <v>90</v>
      </c>
      <c r="F192" s="12" t="n">
        <f aca="false">SUMIFS(СПРОС_ДЕНЬ_ЧАС_МЕНЮ!$I$11:$I$3265,СПРОС_ДЕНЬ_ЧАС_МЕНЮ!$A$11:$A$3265,A192,СПРОС_ДЕНЬ_ЧАС_МЕНЮ!$B$11:$B$3265,B192,СПРОС_ДЕНЬ_ЧАС_МЕНЮ!$F$11:$F$3265,C192)</f>
        <v>0</v>
      </c>
      <c r="G192" s="12" t="n">
        <f aca="false">ПАРАМЕТРЫ!D25</f>
        <v>15</v>
      </c>
      <c r="H192" s="12" t="n">
        <f aca="false">SUMIFS(ШТАТ_ПО_ЧАСАМ!$C$11:$C$115,ШТАТ_ПО_ЧАСАМ!$A$11:$A$115,A192,ШТАТ_ПО_ЧАСАМ!$B$11:$B$115,B192)</f>
        <v>2</v>
      </c>
      <c r="I192" s="12" t="n">
        <f aca="false">MIN(H192,1)*ПАРАМЕТРЫ!E25</f>
        <v>10</v>
      </c>
      <c r="J192" s="12" t="n">
        <f aca="false">MIN(G192,I192)</f>
        <v>10</v>
      </c>
      <c r="K192" s="12" t="n">
        <f aca="false">MAX(F192-J192,0)</f>
        <v>0</v>
      </c>
      <c r="L192" s="12" t="n">
        <f aca="false">IF(J192=0,0,F192/J192)</f>
        <v>0</v>
      </c>
      <c r="M192" s="11" t="str">
        <f aca="false">IF(K192&gt;0,"BLOCKED","PASS")</f>
        <v>PASS</v>
      </c>
      <c r="N192" s="11" t="s">
        <v>233</v>
      </c>
    </row>
    <row r="193" customFormat="false" ht="23.85" hidden="false" customHeight="false" outlineLevel="0" collapsed="false">
      <c r="A193" s="11" t="s">
        <v>108</v>
      </c>
      <c r="B193" s="11" t="s">
        <v>131</v>
      </c>
      <c r="C193" s="11" t="s">
        <v>91</v>
      </c>
      <c r="D193" s="11" t="s">
        <v>92</v>
      </c>
      <c r="E193" s="11" t="s">
        <v>79</v>
      </c>
      <c r="F193" s="12" t="n">
        <f aca="false">SUMIFS(СПРОС_ДЕНЬ_ЧАС_МЕНЮ!$I$11:$I$3265,СПРОС_ДЕНЬ_ЧАС_МЕНЮ!$A$11:$A$3265,A193,СПРОС_ДЕНЬ_ЧАС_МЕНЮ!$B$11:$B$3265,B193,СПРОС_ДЕНЬ_ЧАС_МЕНЮ!$F$11:$F$3265,C193)</f>
        <v>0.8976</v>
      </c>
      <c r="G193" s="12" t="n">
        <f aca="false">ПАРАМЕТРЫ!D26</f>
        <v>20</v>
      </c>
      <c r="H193" s="12" t="n">
        <f aca="false">SUMIFS(ШТАТ_ПО_ЧАСАМ!$C$11:$C$115,ШТАТ_ПО_ЧАСАМ!$A$11:$A$115,A193,ШТАТ_ПО_ЧАСАМ!$B$11:$B$115,B193)</f>
        <v>2</v>
      </c>
      <c r="I193" s="12" t="n">
        <f aca="false">MIN(H193,1)*ПАРАМЕТРЫ!E26</f>
        <v>10</v>
      </c>
      <c r="J193" s="12" t="n">
        <f aca="false">MIN(G193,I193)</f>
        <v>10</v>
      </c>
      <c r="K193" s="12" t="n">
        <f aca="false">MAX(F193-J193,0)</f>
        <v>0</v>
      </c>
      <c r="L193" s="12" t="n">
        <f aca="false">IF(J193=0,0,F193/J193)</f>
        <v>0.08976</v>
      </c>
      <c r="M193" s="11" t="str">
        <f aca="false">IF(K193&gt;0,"BLOCKED","PASS")</f>
        <v>PASS</v>
      </c>
      <c r="N193" s="11" t="s">
        <v>233</v>
      </c>
    </row>
    <row r="194" customFormat="false" ht="15" hidden="false" customHeight="false" outlineLevel="0" collapsed="false">
      <c r="A194" s="11" t="s">
        <v>108</v>
      </c>
      <c r="B194" s="11" t="s">
        <v>131</v>
      </c>
      <c r="C194" s="11" t="s">
        <v>93</v>
      </c>
      <c r="D194" s="11" t="s">
        <v>234</v>
      </c>
      <c r="E194" s="11" t="s">
        <v>95</v>
      </c>
      <c r="F194" s="12" t="n">
        <f aca="false">SUMIFS(СПРОС_ДЕНЬ_ЧАС_МЕНЮ!$I$11:$I$3265,СПРОС_ДЕНЬ_ЧАС_МЕНЮ!$A$11:$A$3265,A194,СПРОС_ДЕНЬ_ЧАС_МЕНЮ!$B$11:$B$3265,B194)</f>
        <v>22.569602</v>
      </c>
      <c r="G194" s="12" t="n">
        <f aca="false">ПАРАМЕТРЫ!D27</f>
        <v>60</v>
      </c>
      <c r="H194" s="12" t="n">
        <f aca="false">SUMIFS(ШТАТ_ПО_ЧАСАМ!$C$11:$C$115,ШТАТ_ПО_ЧАСАМ!$A$11:$A$115,A194,ШТАТ_ПО_ЧАСАМ!$B$11:$B$115,B194)</f>
        <v>2</v>
      </c>
      <c r="I194" s="12" t="n">
        <f aca="false">H194*ПАРАМЕТРЫ!E27</f>
        <v>33.3333333333333</v>
      </c>
      <c r="J194" s="12" t="n">
        <f aca="false">MIN(G194,I194)</f>
        <v>33.3333333333333</v>
      </c>
      <c r="K194" s="12" t="n">
        <f aca="false">MAX(F194-J194,0)</f>
        <v>0</v>
      </c>
      <c r="L194" s="12" t="n">
        <f aca="false">IF(J194=0,0,F194/J194)</f>
        <v>0.67708806</v>
      </c>
      <c r="M194" s="11" t="str">
        <f aca="false">IF(K194&gt;0,"BLOCKED","PASS")</f>
        <v>PASS</v>
      </c>
      <c r="N194" s="11" t="s">
        <v>235</v>
      </c>
    </row>
    <row r="195" customFormat="false" ht="23.85" hidden="false" customHeight="false" outlineLevel="0" collapsed="false">
      <c r="A195" s="11" t="s">
        <v>108</v>
      </c>
      <c r="B195" s="11" t="s">
        <v>132</v>
      </c>
      <c r="C195" s="11" t="s">
        <v>73</v>
      </c>
      <c r="D195" s="11" t="s">
        <v>74</v>
      </c>
      <c r="E195" s="11" t="s">
        <v>75</v>
      </c>
      <c r="F195" s="12" t="n">
        <f aca="false">SUMIFS(СПРОС_ДЕНЬ_ЧАС_МЕНЮ!$I$11:$I$3265,СПРОС_ДЕНЬ_ЧАС_МЕНЮ!$A$11:$A$3265,A195,СПРОС_ДЕНЬ_ЧАС_МЕНЮ!$B$11:$B$3265,B195,СПРОС_ДЕНЬ_ЧАС_МЕНЮ!$F$11:$F$3265,C195)</f>
        <v>1.2056</v>
      </c>
      <c r="G195" s="12" t="n">
        <f aca="false">ПАРАМЕТРЫ!D20</f>
        <v>25</v>
      </c>
      <c r="H195" s="12" t="n">
        <f aca="false">SUMIFS(ШТАТ_ПО_ЧАСАМ!$C$11:$C$115,ШТАТ_ПО_ЧАСАМ!$A$11:$A$115,A195,ШТАТ_ПО_ЧАСАМ!$B$11:$B$115,B195)</f>
        <v>2</v>
      </c>
      <c r="I195" s="12" t="n">
        <f aca="false">MIN(H195,1)*ПАРАМЕТРЫ!E20</f>
        <v>10</v>
      </c>
      <c r="J195" s="12" t="n">
        <f aca="false">MIN(G195,I195)</f>
        <v>10</v>
      </c>
      <c r="K195" s="12" t="n">
        <f aca="false">MAX(F195-J195,0)</f>
        <v>0</v>
      </c>
      <c r="L195" s="12" t="n">
        <f aca="false">IF(J195=0,0,F195/J195)</f>
        <v>0.12056</v>
      </c>
      <c r="M195" s="11" t="str">
        <f aca="false">IF(K195&gt;0,"BLOCKED","PASS")</f>
        <v>PASS</v>
      </c>
      <c r="N195" s="11" t="s">
        <v>233</v>
      </c>
    </row>
    <row r="196" customFormat="false" ht="23.85" hidden="false" customHeight="false" outlineLevel="0" collapsed="false">
      <c r="A196" s="11" t="s">
        <v>108</v>
      </c>
      <c r="B196" s="11" t="s">
        <v>132</v>
      </c>
      <c r="C196" s="11" t="s">
        <v>77</v>
      </c>
      <c r="D196" s="11" t="s">
        <v>78</v>
      </c>
      <c r="E196" s="11" t="s">
        <v>79</v>
      </c>
      <c r="F196" s="12" t="n">
        <f aca="false">SUMIFS(СПРОС_ДЕНЬ_ЧАС_МЕНЮ!$I$11:$I$3265,СПРОС_ДЕНЬ_ЧАС_МЕНЮ!$A$11:$A$3265,A196,СПРОС_ДЕНЬ_ЧАС_МЕНЮ!$B$11:$B$3265,B196,СПРОС_ДЕНЬ_ЧАС_МЕНЮ!$F$11:$F$3265,C196)</f>
        <v>1.55496</v>
      </c>
      <c r="G196" s="12" t="n">
        <f aca="false">ПАРАМЕТРЫ!D21</f>
        <v>20</v>
      </c>
      <c r="H196" s="12" t="n">
        <f aca="false">SUMIFS(ШТАТ_ПО_ЧАСАМ!$C$11:$C$115,ШТАТ_ПО_ЧАСАМ!$A$11:$A$115,A196,ШТАТ_ПО_ЧАСАМ!$B$11:$B$115,B196)</f>
        <v>2</v>
      </c>
      <c r="I196" s="12" t="n">
        <f aca="false">MIN(H196,1)*ПАРАМЕТРЫ!E21</f>
        <v>10</v>
      </c>
      <c r="J196" s="12" t="n">
        <f aca="false">MIN(G196,I196)</f>
        <v>10</v>
      </c>
      <c r="K196" s="12" t="n">
        <f aca="false">MAX(F196-J196,0)</f>
        <v>0</v>
      </c>
      <c r="L196" s="12" t="n">
        <f aca="false">IF(J196=0,0,F196/J196)</f>
        <v>0.155496</v>
      </c>
      <c r="M196" s="11" t="str">
        <f aca="false">IF(K196&gt;0,"BLOCKED","PASS")</f>
        <v>PASS</v>
      </c>
      <c r="N196" s="11" t="s">
        <v>233</v>
      </c>
    </row>
    <row r="197" customFormat="false" ht="23.85" hidden="false" customHeight="false" outlineLevel="0" collapsed="false">
      <c r="A197" s="11" t="s">
        <v>108</v>
      </c>
      <c r="B197" s="11" t="s">
        <v>132</v>
      </c>
      <c r="C197" s="11" t="s">
        <v>80</v>
      </c>
      <c r="D197" s="11" t="s">
        <v>81</v>
      </c>
      <c r="E197" s="11" t="s">
        <v>82</v>
      </c>
      <c r="F197" s="12" t="n">
        <f aca="false">SUMIFS(СПРОС_ДЕНЬ_ЧАС_МЕНЮ!$I$11:$I$3265,СПРОС_ДЕНЬ_ЧАС_МЕНЮ!$A$11:$A$3265,A197,СПРОС_ДЕНЬ_ЧАС_МЕНЮ!$B$11:$B$3265,B197,СПРОС_ДЕНЬ_ЧАС_МЕНЮ!$F$11:$F$3265,C197)</f>
        <v>1.672</v>
      </c>
      <c r="G197" s="12" t="n">
        <f aca="false">ПАРАМЕТРЫ!D22</f>
        <v>16</v>
      </c>
      <c r="H197" s="12" t="n">
        <f aca="false">SUMIFS(ШТАТ_ПО_ЧАСАМ!$C$11:$C$115,ШТАТ_ПО_ЧАСАМ!$A$11:$A$115,A197,ШТАТ_ПО_ЧАСАМ!$B$11:$B$115,B197)</f>
        <v>2</v>
      </c>
      <c r="I197" s="12" t="n">
        <f aca="false">MIN(H197,1)*ПАРАМЕТРЫ!E22</f>
        <v>16</v>
      </c>
      <c r="J197" s="12" t="n">
        <f aca="false">MIN(G197,I197)</f>
        <v>16</v>
      </c>
      <c r="K197" s="12" t="n">
        <f aca="false">MAX(F197-J197,0)</f>
        <v>0</v>
      </c>
      <c r="L197" s="12" t="n">
        <f aca="false">IF(J197=0,0,F197/J197)</f>
        <v>0.1045</v>
      </c>
      <c r="M197" s="11" t="str">
        <f aca="false">IF(K197&gt;0,"BLOCKED","PASS")</f>
        <v>PASS</v>
      </c>
      <c r="N197" s="11" t="s">
        <v>233</v>
      </c>
    </row>
    <row r="198" customFormat="false" ht="23.85" hidden="false" customHeight="false" outlineLevel="0" collapsed="false">
      <c r="A198" s="11" t="s">
        <v>108</v>
      </c>
      <c r="B198" s="11" t="s">
        <v>132</v>
      </c>
      <c r="C198" s="11" t="s">
        <v>83</v>
      </c>
      <c r="D198" s="11" t="s">
        <v>84</v>
      </c>
      <c r="E198" s="11" t="s">
        <v>83</v>
      </c>
      <c r="F198" s="12" t="n">
        <f aca="false">SUMIFS(СПРОС_ДЕНЬ_ЧАС_МЕНЮ!$I$11:$I$3265,СПРОС_ДЕНЬ_ЧАС_МЕНЮ!$A$11:$A$3265,A198,СПРОС_ДЕНЬ_ЧАС_МЕНЮ!$B$11:$B$3265,B198,СПРОС_ДЕНЬ_ЧАС_МЕНЮ!$F$11:$F$3265,C198)</f>
        <v>4.004</v>
      </c>
      <c r="G198" s="12" t="n">
        <f aca="false">ПАРАМЕТРЫ!D23</f>
        <v>21</v>
      </c>
      <c r="H198" s="12" t="n">
        <f aca="false">SUMIFS(ШТАТ_ПО_ЧАСАМ!$C$11:$C$115,ШТАТ_ПО_ЧАСАМ!$A$11:$A$115,A198,ШТАТ_ПО_ЧАСАМ!$B$11:$B$115,B198)</f>
        <v>2</v>
      </c>
      <c r="I198" s="12" t="n">
        <f aca="false">MIN(H198,1)*ПАРАМЕТРЫ!E23</f>
        <v>21</v>
      </c>
      <c r="J198" s="12" t="n">
        <f aca="false">MIN(G198,I198)</f>
        <v>21</v>
      </c>
      <c r="K198" s="12" t="n">
        <f aca="false">MAX(F198-J198,0)</f>
        <v>0</v>
      </c>
      <c r="L198" s="12" t="n">
        <f aca="false">IF(J198=0,0,F198/J198)</f>
        <v>0.190666666666667</v>
      </c>
      <c r="M198" s="11" t="str">
        <f aca="false">IF(K198&gt;0,"BLOCKED","PASS")</f>
        <v>PASS</v>
      </c>
      <c r="N198" s="11" t="s">
        <v>233</v>
      </c>
    </row>
    <row r="199" customFormat="false" ht="23.85" hidden="false" customHeight="false" outlineLevel="0" collapsed="false">
      <c r="A199" s="11" t="s">
        <v>108</v>
      </c>
      <c r="B199" s="11" t="s">
        <v>132</v>
      </c>
      <c r="C199" s="11" t="s">
        <v>85</v>
      </c>
      <c r="D199" s="11" t="s">
        <v>86</v>
      </c>
      <c r="E199" s="11" t="s">
        <v>87</v>
      </c>
      <c r="F199" s="12" t="n">
        <f aca="false">SUMIFS(СПРОС_ДЕНЬ_ЧАС_МЕНЮ!$I$11:$I$3265,СПРОС_ДЕНЬ_ЧАС_МЕНЮ!$A$11:$A$3265,A199,СПРОС_ДЕНЬ_ЧАС_МЕНЮ!$B$11:$B$3265,B199,СПРОС_ДЕНЬ_ЧАС_МЕНЮ!$F$11:$F$3265,C199)</f>
        <v>1.582834</v>
      </c>
      <c r="G199" s="12" t="n">
        <f aca="false">ПАРАМЕТРЫ!D24</f>
        <v>12</v>
      </c>
      <c r="H199" s="12" t="n">
        <f aca="false">SUMIFS(ШТАТ_ПО_ЧАСАМ!$C$11:$C$115,ШТАТ_ПО_ЧАСАМ!$A$11:$A$115,A199,ШТАТ_ПО_ЧАСАМ!$B$11:$B$115,B199)</f>
        <v>2</v>
      </c>
      <c r="I199" s="12" t="n">
        <f aca="false">MIN(H199,1)*ПАРАМЕТРЫ!E24</f>
        <v>12</v>
      </c>
      <c r="J199" s="12" t="n">
        <f aca="false">MIN(G199,I199)</f>
        <v>12</v>
      </c>
      <c r="K199" s="12" t="n">
        <f aca="false">MAX(F199-J199,0)</f>
        <v>0</v>
      </c>
      <c r="L199" s="12" t="n">
        <f aca="false">IF(J199=0,0,F199/J199)</f>
        <v>0.131902833333333</v>
      </c>
      <c r="M199" s="11" t="str">
        <f aca="false">IF(K199&gt;0,"BLOCKED","PASS")</f>
        <v>PASS</v>
      </c>
      <c r="N199" s="11" t="s">
        <v>233</v>
      </c>
    </row>
    <row r="200" customFormat="false" ht="23.85" hidden="false" customHeight="false" outlineLevel="0" collapsed="false">
      <c r="A200" s="11" t="s">
        <v>108</v>
      </c>
      <c r="B200" s="11" t="s">
        <v>132</v>
      </c>
      <c r="C200" s="11" t="s">
        <v>88</v>
      </c>
      <c r="D200" s="11" t="s">
        <v>89</v>
      </c>
      <c r="E200" s="11" t="s">
        <v>90</v>
      </c>
      <c r="F200" s="12" t="n">
        <f aca="false">SUMIFS(СПРОС_ДЕНЬ_ЧАС_МЕНЮ!$I$11:$I$3265,СПРОС_ДЕНЬ_ЧАС_МЕНЮ!$A$11:$A$3265,A200,СПРОС_ДЕНЬ_ЧАС_МЕНЮ!$B$11:$B$3265,B200,СПРОС_ДЕНЬ_ЧАС_МЕНЮ!$F$11:$F$3265,C200)</f>
        <v>0</v>
      </c>
      <c r="G200" s="12" t="n">
        <f aca="false">ПАРАМЕТРЫ!D25</f>
        <v>15</v>
      </c>
      <c r="H200" s="12" t="n">
        <f aca="false">SUMIFS(ШТАТ_ПО_ЧАСАМ!$C$11:$C$115,ШТАТ_ПО_ЧАСАМ!$A$11:$A$115,A200,ШТАТ_ПО_ЧАСАМ!$B$11:$B$115,B200)</f>
        <v>2</v>
      </c>
      <c r="I200" s="12" t="n">
        <f aca="false">MIN(H200,1)*ПАРАМЕТРЫ!E25</f>
        <v>10</v>
      </c>
      <c r="J200" s="12" t="n">
        <f aca="false">MIN(G200,I200)</f>
        <v>10</v>
      </c>
      <c r="K200" s="12" t="n">
        <f aca="false">MAX(F200-J200,0)</f>
        <v>0</v>
      </c>
      <c r="L200" s="12" t="n">
        <f aca="false">IF(J200=0,0,F200/J200)</f>
        <v>0</v>
      </c>
      <c r="M200" s="11" t="str">
        <f aca="false">IF(K200&gt;0,"BLOCKED","PASS")</f>
        <v>PASS</v>
      </c>
      <c r="N200" s="11" t="s">
        <v>233</v>
      </c>
    </row>
    <row r="201" customFormat="false" ht="23.85" hidden="false" customHeight="false" outlineLevel="0" collapsed="false">
      <c r="A201" s="11" t="s">
        <v>108</v>
      </c>
      <c r="B201" s="11" t="s">
        <v>132</v>
      </c>
      <c r="C201" s="11" t="s">
        <v>91</v>
      </c>
      <c r="D201" s="11" t="s">
        <v>92</v>
      </c>
      <c r="E201" s="11" t="s">
        <v>79</v>
      </c>
      <c r="F201" s="12" t="n">
        <f aca="false">SUMIFS(СПРОС_ДЕНЬ_ЧАС_МЕНЮ!$I$11:$I$3265,СПРОС_ДЕНЬ_ЧАС_МЕНЮ!$A$11:$A$3265,A201,СПРОС_ДЕНЬ_ЧАС_МЕНЮ!$B$11:$B$3265,B201,СПРОС_ДЕНЬ_ЧАС_МЕНЮ!$F$11:$F$3265,C201)</f>
        <v>0.8052</v>
      </c>
      <c r="G201" s="12" t="n">
        <f aca="false">ПАРАМЕТРЫ!D26</f>
        <v>20</v>
      </c>
      <c r="H201" s="12" t="n">
        <f aca="false">SUMIFS(ШТАТ_ПО_ЧАСАМ!$C$11:$C$115,ШТАТ_ПО_ЧАСАМ!$A$11:$A$115,A201,ШТАТ_ПО_ЧАСАМ!$B$11:$B$115,B201)</f>
        <v>2</v>
      </c>
      <c r="I201" s="12" t="n">
        <f aca="false">MIN(H201,1)*ПАРАМЕТРЫ!E26</f>
        <v>10</v>
      </c>
      <c r="J201" s="12" t="n">
        <f aca="false">MIN(G201,I201)</f>
        <v>10</v>
      </c>
      <c r="K201" s="12" t="n">
        <f aca="false">MAX(F201-J201,0)</f>
        <v>0</v>
      </c>
      <c r="L201" s="12" t="n">
        <f aca="false">IF(J201=0,0,F201/J201)</f>
        <v>0.08052</v>
      </c>
      <c r="M201" s="11" t="str">
        <f aca="false">IF(K201&gt;0,"BLOCKED","PASS")</f>
        <v>PASS</v>
      </c>
      <c r="N201" s="11" t="s">
        <v>233</v>
      </c>
    </row>
    <row r="202" customFormat="false" ht="15" hidden="false" customHeight="false" outlineLevel="0" collapsed="false">
      <c r="A202" s="11" t="s">
        <v>108</v>
      </c>
      <c r="B202" s="11" t="s">
        <v>132</v>
      </c>
      <c r="C202" s="11" t="s">
        <v>93</v>
      </c>
      <c r="D202" s="11" t="s">
        <v>234</v>
      </c>
      <c r="E202" s="11" t="s">
        <v>95</v>
      </c>
      <c r="F202" s="12" t="n">
        <f aca="false">SUMIFS(СПРОС_ДЕНЬ_ЧАС_МЕНЮ!$I$11:$I$3265,СПРОС_ДЕНЬ_ЧАС_МЕНЮ!$A$11:$A$3265,A202,СПРОС_ДЕНЬ_ЧАС_МЕНЮ!$B$11:$B$3265,B202)</f>
        <v>10.824594</v>
      </c>
      <c r="G202" s="12" t="n">
        <f aca="false">ПАРАМЕТРЫ!D27</f>
        <v>60</v>
      </c>
      <c r="H202" s="12" t="n">
        <f aca="false">SUMIFS(ШТАТ_ПО_ЧАСАМ!$C$11:$C$115,ШТАТ_ПО_ЧАСАМ!$A$11:$A$115,A202,ШТАТ_ПО_ЧАСАМ!$B$11:$B$115,B202)</f>
        <v>2</v>
      </c>
      <c r="I202" s="12" t="n">
        <f aca="false">H202*ПАРАМЕТРЫ!E27</f>
        <v>33.3333333333333</v>
      </c>
      <c r="J202" s="12" t="n">
        <f aca="false">MIN(G202,I202)</f>
        <v>33.3333333333333</v>
      </c>
      <c r="K202" s="12" t="n">
        <f aca="false">MAX(F202-J202,0)</f>
        <v>0</v>
      </c>
      <c r="L202" s="12" t="n">
        <f aca="false">IF(J202=0,0,F202/J202)</f>
        <v>0.32473782</v>
      </c>
      <c r="M202" s="11" t="str">
        <f aca="false">IF(K202&gt;0,"BLOCKED","PASS")</f>
        <v>PASS</v>
      </c>
      <c r="N202" s="11" t="s">
        <v>235</v>
      </c>
    </row>
    <row r="203" customFormat="false" ht="23.85" hidden="false" customHeight="false" outlineLevel="0" collapsed="false">
      <c r="A203" s="11" t="s">
        <v>108</v>
      </c>
      <c r="B203" s="11" t="s">
        <v>133</v>
      </c>
      <c r="C203" s="11" t="s">
        <v>73</v>
      </c>
      <c r="D203" s="11" t="s">
        <v>74</v>
      </c>
      <c r="E203" s="11" t="s">
        <v>75</v>
      </c>
      <c r="F203" s="12" t="n">
        <f aca="false">SUMIFS(СПРОС_ДЕНЬ_ЧАС_МЕНЮ!$I$11:$I$3265,СПРОС_ДЕНЬ_ЧАС_МЕНЮ!$A$11:$A$3265,A203,СПРОС_ДЕНЬ_ЧАС_МЕНЮ!$B$11:$B$3265,B203,СПРОС_ДЕНЬ_ЧАС_МЕНЮ!$F$11:$F$3265,C203)</f>
        <v>0.8756</v>
      </c>
      <c r="G203" s="12" t="n">
        <f aca="false">ПАРАМЕТРЫ!D20</f>
        <v>25</v>
      </c>
      <c r="H203" s="12" t="n">
        <f aca="false">SUMIFS(ШТАТ_ПО_ЧАСАМ!$C$11:$C$115,ШТАТ_ПО_ЧАСАМ!$A$11:$A$115,A203,ШТАТ_ПО_ЧАСАМ!$B$11:$B$115,B203)</f>
        <v>2</v>
      </c>
      <c r="I203" s="12" t="n">
        <f aca="false">MIN(H203,1)*ПАРАМЕТРЫ!E20</f>
        <v>10</v>
      </c>
      <c r="J203" s="12" t="n">
        <f aca="false">MIN(G203,I203)</f>
        <v>10</v>
      </c>
      <c r="K203" s="12" t="n">
        <f aca="false">MAX(F203-J203,0)</f>
        <v>0</v>
      </c>
      <c r="L203" s="12" t="n">
        <f aca="false">IF(J203=0,0,F203/J203)</f>
        <v>0.08756</v>
      </c>
      <c r="M203" s="11" t="str">
        <f aca="false">IF(K203&gt;0,"BLOCKED","PASS")</f>
        <v>PASS</v>
      </c>
      <c r="N203" s="11" t="s">
        <v>233</v>
      </c>
    </row>
    <row r="204" customFormat="false" ht="23.85" hidden="false" customHeight="false" outlineLevel="0" collapsed="false">
      <c r="A204" s="11" t="s">
        <v>108</v>
      </c>
      <c r="B204" s="11" t="s">
        <v>133</v>
      </c>
      <c r="C204" s="11" t="s">
        <v>77</v>
      </c>
      <c r="D204" s="11" t="s">
        <v>78</v>
      </c>
      <c r="E204" s="11" t="s">
        <v>79</v>
      </c>
      <c r="F204" s="12" t="n">
        <f aca="false">SUMIFS(СПРОС_ДЕНЬ_ЧАС_МЕНЮ!$I$11:$I$3265,СПРОС_ДЕНЬ_ЧАС_МЕНЮ!$A$11:$A$3265,A204,СПРОС_ДЕНЬ_ЧАС_МЕНЮ!$B$11:$B$3265,B204,СПРОС_ДЕНЬ_ЧАС_МЕНЮ!$F$11:$F$3265,C204)</f>
        <v>1.42296</v>
      </c>
      <c r="G204" s="12" t="n">
        <f aca="false">ПАРАМЕТРЫ!D21</f>
        <v>20</v>
      </c>
      <c r="H204" s="12" t="n">
        <f aca="false">SUMIFS(ШТАТ_ПО_ЧАСАМ!$C$11:$C$115,ШТАТ_ПО_ЧАСАМ!$A$11:$A$115,A204,ШТАТ_ПО_ЧАСАМ!$B$11:$B$115,B204)</f>
        <v>2</v>
      </c>
      <c r="I204" s="12" t="n">
        <f aca="false">MIN(H204,1)*ПАРАМЕТРЫ!E21</f>
        <v>10</v>
      </c>
      <c r="J204" s="12" t="n">
        <f aca="false">MIN(G204,I204)</f>
        <v>10</v>
      </c>
      <c r="K204" s="12" t="n">
        <f aca="false">MAX(F204-J204,0)</f>
        <v>0</v>
      </c>
      <c r="L204" s="12" t="n">
        <f aca="false">IF(J204=0,0,F204/J204)</f>
        <v>0.142296</v>
      </c>
      <c r="M204" s="11" t="str">
        <f aca="false">IF(K204&gt;0,"BLOCKED","PASS")</f>
        <v>PASS</v>
      </c>
      <c r="N204" s="11" t="s">
        <v>233</v>
      </c>
    </row>
    <row r="205" customFormat="false" ht="23.85" hidden="false" customHeight="false" outlineLevel="0" collapsed="false">
      <c r="A205" s="11" t="s">
        <v>108</v>
      </c>
      <c r="B205" s="11" t="s">
        <v>133</v>
      </c>
      <c r="C205" s="11" t="s">
        <v>80</v>
      </c>
      <c r="D205" s="11" t="s">
        <v>81</v>
      </c>
      <c r="E205" s="11" t="s">
        <v>82</v>
      </c>
      <c r="F205" s="12" t="n">
        <f aca="false">SUMIFS(СПРОС_ДЕНЬ_ЧАС_МЕНЮ!$I$11:$I$3265,СПРОС_ДЕНЬ_ЧАС_МЕНЮ!$A$11:$A$3265,A205,СПРОС_ДЕНЬ_ЧАС_МЕНЮ!$B$11:$B$3265,B205,СПРОС_ДЕНЬ_ЧАС_МЕНЮ!$F$11:$F$3265,C205)</f>
        <v>0.902</v>
      </c>
      <c r="G205" s="12" t="n">
        <f aca="false">ПАРАМЕТРЫ!D22</f>
        <v>16</v>
      </c>
      <c r="H205" s="12" t="n">
        <f aca="false">SUMIFS(ШТАТ_ПО_ЧАСАМ!$C$11:$C$115,ШТАТ_ПО_ЧАСАМ!$A$11:$A$115,A205,ШТАТ_ПО_ЧАСАМ!$B$11:$B$115,B205)</f>
        <v>2</v>
      </c>
      <c r="I205" s="12" t="n">
        <f aca="false">MIN(H205,1)*ПАРАМЕТРЫ!E22</f>
        <v>16</v>
      </c>
      <c r="J205" s="12" t="n">
        <f aca="false">MIN(G205,I205)</f>
        <v>16</v>
      </c>
      <c r="K205" s="12" t="n">
        <f aca="false">MAX(F205-J205,0)</f>
        <v>0</v>
      </c>
      <c r="L205" s="12" t="n">
        <f aca="false">IF(J205=0,0,F205/J205)</f>
        <v>0.056375</v>
      </c>
      <c r="M205" s="11" t="str">
        <f aca="false">IF(K205&gt;0,"BLOCKED","PASS")</f>
        <v>PASS</v>
      </c>
      <c r="N205" s="11" t="s">
        <v>233</v>
      </c>
    </row>
    <row r="206" customFormat="false" ht="23.85" hidden="false" customHeight="false" outlineLevel="0" collapsed="false">
      <c r="A206" s="11" t="s">
        <v>108</v>
      </c>
      <c r="B206" s="11" t="s">
        <v>133</v>
      </c>
      <c r="C206" s="11" t="s">
        <v>83</v>
      </c>
      <c r="D206" s="11" t="s">
        <v>84</v>
      </c>
      <c r="E206" s="11" t="s">
        <v>83</v>
      </c>
      <c r="F206" s="12" t="n">
        <f aca="false">SUMIFS(СПРОС_ДЕНЬ_ЧАС_МЕНЮ!$I$11:$I$3265,СПРОС_ДЕНЬ_ЧАС_МЕНЮ!$A$11:$A$3265,A206,СПРОС_ДЕНЬ_ЧАС_МЕНЮ!$B$11:$B$3265,B206,СПРОС_ДЕНЬ_ЧАС_МЕНЮ!$F$11:$F$3265,C206)</f>
        <v>1.584</v>
      </c>
      <c r="G206" s="12" t="n">
        <f aca="false">ПАРАМЕТРЫ!D23</f>
        <v>21</v>
      </c>
      <c r="H206" s="12" t="n">
        <f aca="false">SUMIFS(ШТАТ_ПО_ЧАСАМ!$C$11:$C$115,ШТАТ_ПО_ЧАСАМ!$A$11:$A$115,A206,ШТАТ_ПО_ЧАСАМ!$B$11:$B$115,B206)</f>
        <v>2</v>
      </c>
      <c r="I206" s="12" t="n">
        <f aca="false">MIN(H206,1)*ПАРАМЕТРЫ!E23</f>
        <v>21</v>
      </c>
      <c r="J206" s="12" t="n">
        <f aca="false">MIN(G206,I206)</f>
        <v>21</v>
      </c>
      <c r="K206" s="12" t="n">
        <f aca="false">MAX(F206-J206,0)</f>
        <v>0</v>
      </c>
      <c r="L206" s="12" t="n">
        <f aca="false">IF(J206=0,0,F206/J206)</f>
        <v>0.0754285714285714</v>
      </c>
      <c r="M206" s="11" t="str">
        <f aca="false">IF(K206&gt;0,"BLOCKED","PASS")</f>
        <v>PASS</v>
      </c>
      <c r="N206" s="11" t="s">
        <v>233</v>
      </c>
    </row>
    <row r="207" customFormat="false" ht="23.85" hidden="false" customHeight="false" outlineLevel="0" collapsed="false">
      <c r="A207" s="11" t="s">
        <v>108</v>
      </c>
      <c r="B207" s="11" t="s">
        <v>133</v>
      </c>
      <c r="C207" s="11" t="s">
        <v>85</v>
      </c>
      <c r="D207" s="11" t="s">
        <v>86</v>
      </c>
      <c r="E207" s="11" t="s">
        <v>87</v>
      </c>
      <c r="F207" s="12" t="n">
        <f aca="false">SUMIFS(СПРОС_ДЕНЬ_ЧАС_МЕНЮ!$I$11:$I$3265,СПРОС_ДЕНЬ_ЧАС_МЕНЮ!$A$11:$A$3265,A207,СПРОС_ДЕНЬ_ЧАС_МЕНЮ!$B$11:$B$3265,B207,СПРОС_ДЕНЬ_ЧАС_МЕНЮ!$F$11:$F$3265,C207)</f>
        <v>0.551584</v>
      </c>
      <c r="G207" s="12" t="n">
        <f aca="false">ПАРАМЕТРЫ!D24</f>
        <v>12</v>
      </c>
      <c r="H207" s="12" t="n">
        <f aca="false">SUMIFS(ШТАТ_ПО_ЧАСАМ!$C$11:$C$115,ШТАТ_ПО_ЧАСАМ!$A$11:$A$115,A207,ШТАТ_ПО_ЧАСАМ!$B$11:$B$115,B207)</f>
        <v>2</v>
      </c>
      <c r="I207" s="12" t="n">
        <f aca="false">MIN(H207,1)*ПАРАМЕТРЫ!E24</f>
        <v>12</v>
      </c>
      <c r="J207" s="12" t="n">
        <f aca="false">MIN(G207,I207)</f>
        <v>12</v>
      </c>
      <c r="K207" s="12" t="n">
        <f aca="false">MAX(F207-J207,0)</f>
        <v>0</v>
      </c>
      <c r="L207" s="12" t="n">
        <f aca="false">IF(J207=0,0,F207/J207)</f>
        <v>0.0459653333333333</v>
      </c>
      <c r="M207" s="11" t="str">
        <f aca="false">IF(K207&gt;0,"BLOCKED","PASS")</f>
        <v>PASS</v>
      </c>
      <c r="N207" s="11" t="s">
        <v>233</v>
      </c>
    </row>
    <row r="208" customFormat="false" ht="23.85" hidden="false" customHeight="false" outlineLevel="0" collapsed="false">
      <c r="A208" s="11" t="s">
        <v>108</v>
      </c>
      <c r="B208" s="11" t="s">
        <v>133</v>
      </c>
      <c r="C208" s="11" t="s">
        <v>88</v>
      </c>
      <c r="D208" s="11" t="s">
        <v>89</v>
      </c>
      <c r="E208" s="11" t="s">
        <v>90</v>
      </c>
      <c r="F208" s="12" t="n">
        <f aca="false">SUMIFS(СПРОС_ДЕНЬ_ЧАС_МЕНЮ!$I$11:$I$3265,СПРОС_ДЕНЬ_ЧАС_МЕНЮ!$A$11:$A$3265,A208,СПРОС_ДЕНЬ_ЧАС_МЕНЮ!$B$11:$B$3265,B208,СПРОС_ДЕНЬ_ЧАС_МЕНЮ!$F$11:$F$3265,C208)</f>
        <v>0</v>
      </c>
      <c r="G208" s="12" t="n">
        <f aca="false">ПАРАМЕТРЫ!D25</f>
        <v>15</v>
      </c>
      <c r="H208" s="12" t="n">
        <f aca="false">SUMIFS(ШТАТ_ПО_ЧАСАМ!$C$11:$C$115,ШТАТ_ПО_ЧАСАМ!$A$11:$A$115,A208,ШТАТ_ПО_ЧАСАМ!$B$11:$B$115,B208)</f>
        <v>2</v>
      </c>
      <c r="I208" s="12" t="n">
        <f aca="false">MIN(H208,1)*ПАРАМЕТРЫ!E25</f>
        <v>10</v>
      </c>
      <c r="J208" s="12" t="n">
        <f aca="false">MIN(G208,I208)</f>
        <v>10</v>
      </c>
      <c r="K208" s="12" t="n">
        <f aca="false">MAX(F208-J208,0)</f>
        <v>0</v>
      </c>
      <c r="L208" s="12" t="n">
        <f aca="false">IF(J208=0,0,F208/J208)</f>
        <v>0</v>
      </c>
      <c r="M208" s="11" t="str">
        <f aca="false">IF(K208&gt;0,"BLOCKED","PASS")</f>
        <v>PASS</v>
      </c>
      <c r="N208" s="11" t="s">
        <v>233</v>
      </c>
    </row>
    <row r="209" customFormat="false" ht="23.85" hidden="false" customHeight="false" outlineLevel="0" collapsed="false">
      <c r="A209" s="11" t="s">
        <v>108</v>
      </c>
      <c r="B209" s="11" t="s">
        <v>133</v>
      </c>
      <c r="C209" s="11" t="s">
        <v>91</v>
      </c>
      <c r="D209" s="11" t="s">
        <v>92</v>
      </c>
      <c r="E209" s="11" t="s">
        <v>79</v>
      </c>
      <c r="F209" s="12" t="n">
        <f aca="false">SUMIFS(СПРОС_ДЕНЬ_ЧАС_МЕНЮ!$I$11:$I$3265,СПРОС_ДЕНЬ_ЧАС_МЕНЮ!$A$11:$A$3265,A209,СПРОС_ДЕНЬ_ЧАС_МЕНЮ!$B$11:$B$3265,B209,СПРОС_ДЕНЬ_ЧАС_МЕНЮ!$F$11:$F$3265,C209)</f>
        <v>0.8052</v>
      </c>
      <c r="G209" s="12" t="n">
        <f aca="false">ПАРАМЕТРЫ!D26</f>
        <v>20</v>
      </c>
      <c r="H209" s="12" t="n">
        <f aca="false">SUMIFS(ШТАТ_ПО_ЧАСАМ!$C$11:$C$115,ШТАТ_ПО_ЧАСАМ!$A$11:$A$115,A209,ШТАТ_ПО_ЧАСАМ!$B$11:$B$115,B209)</f>
        <v>2</v>
      </c>
      <c r="I209" s="12" t="n">
        <f aca="false">MIN(H209,1)*ПАРАМЕТРЫ!E26</f>
        <v>10</v>
      </c>
      <c r="J209" s="12" t="n">
        <f aca="false">MIN(G209,I209)</f>
        <v>10</v>
      </c>
      <c r="K209" s="12" t="n">
        <f aca="false">MAX(F209-J209,0)</f>
        <v>0</v>
      </c>
      <c r="L209" s="12" t="n">
        <f aca="false">IF(J209=0,0,F209/J209)</f>
        <v>0.08052</v>
      </c>
      <c r="M209" s="11" t="str">
        <f aca="false">IF(K209&gt;0,"BLOCKED","PASS")</f>
        <v>PASS</v>
      </c>
      <c r="N209" s="11" t="s">
        <v>233</v>
      </c>
    </row>
    <row r="210" customFormat="false" ht="15" hidden="false" customHeight="false" outlineLevel="0" collapsed="false">
      <c r="A210" s="11" t="s">
        <v>108</v>
      </c>
      <c r="B210" s="11" t="s">
        <v>133</v>
      </c>
      <c r="C210" s="11" t="s">
        <v>93</v>
      </c>
      <c r="D210" s="11" t="s">
        <v>234</v>
      </c>
      <c r="E210" s="11" t="s">
        <v>95</v>
      </c>
      <c r="F210" s="12" t="n">
        <f aca="false">SUMIFS(СПРОС_ДЕНЬ_ЧАС_МЕНЮ!$I$11:$I$3265,СПРОС_ДЕНЬ_ЧАС_МЕНЮ!$A$11:$A$3265,A210,СПРОС_ДЕНЬ_ЧАС_МЕНЮ!$B$11:$B$3265,B210)</f>
        <v>6.141344</v>
      </c>
      <c r="G210" s="12" t="n">
        <f aca="false">ПАРАМЕТРЫ!D27</f>
        <v>60</v>
      </c>
      <c r="H210" s="12" t="n">
        <f aca="false">SUMIFS(ШТАТ_ПО_ЧАСАМ!$C$11:$C$115,ШТАТ_ПО_ЧАСАМ!$A$11:$A$115,A210,ШТАТ_ПО_ЧАСАМ!$B$11:$B$115,B210)</f>
        <v>2</v>
      </c>
      <c r="I210" s="12" t="n">
        <f aca="false">H210*ПАРАМЕТРЫ!E27</f>
        <v>33.3333333333333</v>
      </c>
      <c r="J210" s="12" t="n">
        <f aca="false">MIN(G210,I210)</f>
        <v>33.3333333333333</v>
      </c>
      <c r="K210" s="12" t="n">
        <f aca="false">MAX(F210-J210,0)</f>
        <v>0</v>
      </c>
      <c r="L210" s="12" t="n">
        <f aca="false">IF(J210=0,0,F210/J210)</f>
        <v>0.18424032</v>
      </c>
      <c r="M210" s="11" t="str">
        <f aca="false">IF(K210&gt;0,"BLOCKED","PASS")</f>
        <v>PASS</v>
      </c>
      <c r="N210" s="11" t="s">
        <v>235</v>
      </c>
    </row>
    <row r="211" customFormat="false" ht="23.85" hidden="false" customHeight="false" outlineLevel="0" collapsed="false">
      <c r="A211" s="11" t="s">
        <v>108</v>
      </c>
      <c r="B211" s="11" t="s">
        <v>134</v>
      </c>
      <c r="C211" s="11" t="s">
        <v>73</v>
      </c>
      <c r="D211" s="11" t="s">
        <v>74</v>
      </c>
      <c r="E211" s="11" t="s">
        <v>75</v>
      </c>
      <c r="F211" s="12" t="n">
        <f aca="false">SUMIFS(СПРОС_ДЕНЬ_ЧАС_МЕНЮ!$I$11:$I$3265,СПРОС_ДЕНЬ_ЧАС_МЕНЮ!$A$11:$A$3265,A211,СПРОС_ДЕНЬ_ЧАС_МЕНЮ!$B$11:$B$3265,B211,СПРОС_ДЕНЬ_ЧАС_МЕНЮ!$F$11:$F$3265,C211)</f>
        <v>1.6654</v>
      </c>
      <c r="G211" s="12" t="n">
        <f aca="false">ПАРАМЕТРЫ!D20</f>
        <v>25</v>
      </c>
      <c r="H211" s="12" t="n">
        <f aca="false">SUMIFS(ШТАТ_ПО_ЧАСАМ!$C$11:$C$115,ШТАТ_ПО_ЧАСАМ!$A$11:$A$115,A211,ШТАТ_ПО_ЧАСАМ!$B$11:$B$115,B211)</f>
        <v>2</v>
      </c>
      <c r="I211" s="12" t="n">
        <f aca="false">MIN(H211,1)*ПАРАМЕТРЫ!E20</f>
        <v>10</v>
      </c>
      <c r="J211" s="12" t="n">
        <f aca="false">MIN(G211,I211)</f>
        <v>10</v>
      </c>
      <c r="K211" s="12" t="n">
        <f aca="false">MAX(F211-J211,0)</f>
        <v>0</v>
      </c>
      <c r="L211" s="12" t="n">
        <f aca="false">IF(J211=0,0,F211/J211)</f>
        <v>0.16654</v>
      </c>
      <c r="M211" s="11" t="str">
        <f aca="false">IF(K211&gt;0,"BLOCKED","PASS")</f>
        <v>PASS</v>
      </c>
      <c r="N211" s="11" t="s">
        <v>233</v>
      </c>
    </row>
    <row r="212" customFormat="false" ht="23.85" hidden="false" customHeight="false" outlineLevel="0" collapsed="false">
      <c r="A212" s="11" t="s">
        <v>108</v>
      </c>
      <c r="B212" s="11" t="s">
        <v>134</v>
      </c>
      <c r="C212" s="11" t="s">
        <v>77</v>
      </c>
      <c r="D212" s="11" t="s">
        <v>78</v>
      </c>
      <c r="E212" s="11" t="s">
        <v>79</v>
      </c>
      <c r="F212" s="12" t="n">
        <f aca="false">SUMIFS(СПРОС_ДЕНЬ_ЧАС_МЕНЮ!$I$11:$I$3265,СПРОС_ДЕНЬ_ЧАС_МЕНЮ!$A$11:$A$3265,A212,СПРОС_ДЕНЬ_ЧАС_МЕНЮ!$B$11:$B$3265,B212,СПРОС_ДЕНЬ_ЧАС_МЕНЮ!$F$11:$F$3265,C212)</f>
        <v>1.62844</v>
      </c>
      <c r="G212" s="12" t="n">
        <f aca="false">ПАРАМЕТРЫ!D21</f>
        <v>20</v>
      </c>
      <c r="H212" s="12" t="n">
        <f aca="false">SUMIFS(ШТАТ_ПО_ЧАСАМ!$C$11:$C$115,ШТАТ_ПО_ЧАСАМ!$A$11:$A$115,A212,ШТАТ_ПО_ЧАСАМ!$B$11:$B$115,B212)</f>
        <v>2</v>
      </c>
      <c r="I212" s="12" t="n">
        <f aca="false">MIN(H212,1)*ПАРАМЕТРЫ!E21</f>
        <v>10</v>
      </c>
      <c r="J212" s="12" t="n">
        <f aca="false">MIN(G212,I212)</f>
        <v>10</v>
      </c>
      <c r="K212" s="12" t="n">
        <f aca="false">MAX(F212-J212,0)</f>
        <v>0</v>
      </c>
      <c r="L212" s="12" t="n">
        <f aca="false">IF(J212=0,0,F212/J212)</f>
        <v>0.162844</v>
      </c>
      <c r="M212" s="11" t="str">
        <f aca="false">IF(K212&gt;0,"BLOCKED","PASS")</f>
        <v>PASS</v>
      </c>
      <c r="N212" s="11" t="s">
        <v>233</v>
      </c>
    </row>
    <row r="213" customFormat="false" ht="23.85" hidden="false" customHeight="false" outlineLevel="0" collapsed="false">
      <c r="A213" s="11" t="s">
        <v>108</v>
      </c>
      <c r="B213" s="11" t="s">
        <v>134</v>
      </c>
      <c r="C213" s="11" t="s">
        <v>80</v>
      </c>
      <c r="D213" s="11" t="s">
        <v>81</v>
      </c>
      <c r="E213" s="11" t="s">
        <v>82</v>
      </c>
      <c r="F213" s="12" t="n">
        <f aca="false">SUMIFS(СПРОС_ДЕНЬ_ЧАС_МЕНЮ!$I$11:$I$3265,СПРОС_ДЕНЬ_ЧАС_МЕНЮ!$A$11:$A$3265,A213,СПРОС_ДЕНЬ_ЧАС_МЕНЮ!$B$11:$B$3265,B213,СПРОС_ДЕНЬ_ЧАС_МЕНЮ!$F$11:$F$3265,C213)</f>
        <v>1.7545</v>
      </c>
      <c r="G213" s="12" t="n">
        <f aca="false">ПАРАМЕТРЫ!D22</f>
        <v>16</v>
      </c>
      <c r="H213" s="12" t="n">
        <f aca="false">SUMIFS(ШТАТ_ПО_ЧАСАМ!$C$11:$C$115,ШТАТ_ПО_ЧАСАМ!$A$11:$A$115,A213,ШТАТ_ПО_ЧАСАМ!$B$11:$B$115,B213)</f>
        <v>2</v>
      </c>
      <c r="I213" s="12" t="n">
        <f aca="false">MIN(H213,1)*ПАРАМЕТРЫ!E22</f>
        <v>16</v>
      </c>
      <c r="J213" s="12" t="n">
        <f aca="false">MIN(G213,I213)</f>
        <v>16</v>
      </c>
      <c r="K213" s="12" t="n">
        <f aca="false">MAX(F213-J213,0)</f>
        <v>0</v>
      </c>
      <c r="L213" s="12" t="n">
        <f aca="false">IF(J213=0,0,F213/J213)</f>
        <v>0.10965625</v>
      </c>
      <c r="M213" s="11" t="str">
        <f aca="false">IF(K213&gt;0,"BLOCKED","PASS")</f>
        <v>PASS</v>
      </c>
      <c r="N213" s="11" t="s">
        <v>233</v>
      </c>
    </row>
    <row r="214" customFormat="false" ht="23.85" hidden="false" customHeight="false" outlineLevel="0" collapsed="false">
      <c r="A214" s="11" t="s">
        <v>108</v>
      </c>
      <c r="B214" s="11" t="s">
        <v>134</v>
      </c>
      <c r="C214" s="11" t="s">
        <v>83</v>
      </c>
      <c r="D214" s="11" t="s">
        <v>84</v>
      </c>
      <c r="E214" s="11" t="s">
        <v>83</v>
      </c>
      <c r="F214" s="12" t="n">
        <f aca="false">SUMIFS(СПРОС_ДЕНЬ_ЧАС_МЕНЮ!$I$11:$I$3265,СПРОС_ДЕНЬ_ЧАС_МЕНЮ!$A$11:$A$3265,A214,СПРОС_ДЕНЬ_ЧАС_МЕНЮ!$B$11:$B$3265,B214,СПРОС_ДЕНЬ_ЧАС_МЕНЮ!$F$11:$F$3265,C214)</f>
        <v>3.1075</v>
      </c>
      <c r="G214" s="12" t="n">
        <f aca="false">ПАРАМЕТРЫ!D23</f>
        <v>21</v>
      </c>
      <c r="H214" s="12" t="n">
        <f aca="false">SUMIFS(ШТАТ_ПО_ЧАСАМ!$C$11:$C$115,ШТАТ_ПО_ЧАСАМ!$A$11:$A$115,A214,ШТАТ_ПО_ЧАСАМ!$B$11:$B$115,B214)</f>
        <v>2</v>
      </c>
      <c r="I214" s="12" t="n">
        <f aca="false">MIN(H214,1)*ПАРАМЕТРЫ!E23</f>
        <v>21</v>
      </c>
      <c r="J214" s="12" t="n">
        <f aca="false">MIN(G214,I214)</f>
        <v>21</v>
      </c>
      <c r="K214" s="12" t="n">
        <f aca="false">MAX(F214-J214,0)</f>
        <v>0</v>
      </c>
      <c r="L214" s="12" t="n">
        <f aca="false">IF(J214=0,0,F214/J214)</f>
        <v>0.14797619047619</v>
      </c>
      <c r="M214" s="11" t="str">
        <f aca="false">IF(K214&gt;0,"BLOCKED","PASS")</f>
        <v>PASS</v>
      </c>
      <c r="N214" s="11" t="s">
        <v>233</v>
      </c>
    </row>
    <row r="215" customFormat="false" ht="23.85" hidden="false" customHeight="false" outlineLevel="0" collapsed="false">
      <c r="A215" s="11" t="s">
        <v>108</v>
      </c>
      <c r="B215" s="11" t="s">
        <v>134</v>
      </c>
      <c r="C215" s="11" t="s">
        <v>85</v>
      </c>
      <c r="D215" s="11" t="s">
        <v>86</v>
      </c>
      <c r="E215" s="11" t="s">
        <v>87</v>
      </c>
      <c r="F215" s="12" t="n">
        <f aca="false">SUMIFS(СПРОС_ДЕНЬ_ЧАС_МЕНЮ!$I$11:$I$3265,СПРОС_ДЕНЬ_ЧАС_МЕНЮ!$A$11:$A$3265,A215,СПРОС_ДЕНЬ_ЧАС_МЕНЮ!$B$11:$B$3265,B215,СПРОС_ДЕНЬ_ЧАС_МЕНЮ!$F$11:$F$3265,C215)</f>
        <v>1.1850135</v>
      </c>
      <c r="G215" s="12" t="n">
        <f aca="false">ПАРАМЕТРЫ!D24</f>
        <v>12</v>
      </c>
      <c r="H215" s="12" t="n">
        <f aca="false">SUMIFS(ШТАТ_ПО_ЧАСАМ!$C$11:$C$115,ШТАТ_ПО_ЧАСАМ!$A$11:$A$115,A215,ШТАТ_ПО_ЧАСАМ!$B$11:$B$115,B215)</f>
        <v>2</v>
      </c>
      <c r="I215" s="12" t="n">
        <f aca="false">MIN(H215,1)*ПАРАМЕТРЫ!E24</f>
        <v>12</v>
      </c>
      <c r="J215" s="12" t="n">
        <f aca="false">MIN(G215,I215)</f>
        <v>12</v>
      </c>
      <c r="K215" s="12" t="n">
        <f aca="false">MAX(F215-J215,0)</f>
        <v>0</v>
      </c>
      <c r="L215" s="12" t="n">
        <f aca="false">IF(J215=0,0,F215/J215)</f>
        <v>0.098751125</v>
      </c>
      <c r="M215" s="11" t="str">
        <f aca="false">IF(K215&gt;0,"BLOCKED","PASS")</f>
        <v>PASS</v>
      </c>
      <c r="N215" s="11" t="s">
        <v>233</v>
      </c>
    </row>
    <row r="216" customFormat="false" ht="23.85" hidden="false" customHeight="false" outlineLevel="0" collapsed="false">
      <c r="A216" s="11" t="s">
        <v>108</v>
      </c>
      <c r="B216" s="11" t="s">
        <v>134</v>
      </c>
      <c r="C216" s="11" t="s">
        <v>88</v>
      </c>
      <c r="D216" s="11" t="s">
        <v>89</v>
      </c>
      <c r="E216" s="11" t="s">
        <v>90</v>
      </c>
      <c r="F216" s="12" t="n">
        <f aca="false">SUMIFS(СПРОС_ДЕНЬ_ЧАС_МЕНЮ!$I$11:$I$3265,СПРОС_ДЕНЬ_ЧАС_МЕНЮ!$A$11:$A$3265,A216,СПРОС_ДЕНЬ_ЧАС_МЕНЮ!$B$11:$B$3265,B216,СПРОС_ДЕНЬ_ЧАС_МЕНЮ!$F$11:$F$3265,C216)</f>
        <v>0</v>
      </c>
      <c r="G216" s="12" t="n">
        <f aca="false">ПАРАМЕТРЫ!D25</f>
        <v>15</v>
      </c>
      <c r="H216" s="12" t="n">
        <f aca="false">SUMIFS(ШТАТ_ПО_ЧАСАМ!$C$11:$C$115,ШТАТ_ПО_ЧАСАМ!$A$11:$A$115,A216,ШТАТ_ПО_ЧАСАМ!$B$11:$B$115,B216)</f>
        <v>2</v>
      </c>
      <c r="I216" s="12" t="n">
        <f aca="false">MIN(H216,1)*ПАРАМЕТРЫ!E25</f>
        <v>10</v>
      </c>
      <c r="J216" s="12" t="n">
        <f aca="false">MIN(G216,I216)</f>
        <v>10</v>
      </c>
      <c r="K216" s="12" t="n">
        <f aca="false">MAX(F216-J216,0)</f>
        <v>0</v>
      </c>
      <c r="L216" s="12" t="n">
        <f aca="false">IF(J216=0,0,F216/J216)</f>
        <v>0</v>
      </c>
      <c r="M216" s="11" t="str">
        <f aca="false">IF(K216&gt;0,"BLOCKED","PASS")</f>
        <v>PASS</v>
      </c>
      <c r="N216" s="11" t="s">
        <v>233</v>
      </c>
    </row>
    <row r="217" customFormat="false" ht="23.85" hidden="false" customHeight="false" outlineLevel="0" collapsed="false">
      <c r="A217" s="11" t="s">
        <v>108</v>
      </c>
      <c r="B217" s="11" t="s">
        <v>134</v>
      </c>
      <c r="C217" s="11" t="s">
        <v>91</v>
      </c>
      <c r="D217" s="11" t="s">
        <v>92</v>
      </c>
      <c r="E217" s="11" t="s">
        <v>79</v>
      </c>
      <c r="F217" s="12" t="n">
        <f aca="false">SUMIFS(СПРОС_ДЕНЬ_ЧАС_МЕНЮ!$I$11:$I$3265,СПРОС_ДЕНЬ_ЧАС_МЕНЮ!$A$11:$A$3265,A217,СПРОС_ДЕНЬ_ЧАС_МЕНЮ!$B$11:$B$3265,B217,СПРОС_ДЕНЬ_ЧАС_МЕНЮ!$F$11:$F$3265,C217)</f>
        <v>0.9658</v>
      </c>
      <c r="G217" s="12" t="n">
        <f aca="false">ПАРАМЕТРЫ!D26</f>
        <v>20</v>
      </c>
      <c r="H217" s="12" t="n">
        <f aca="false">SUMIFS(ШТАТ_ПО_ЧАСАМ!$C$11:$C$115,ШТАТ_ПО_ЧАСАМ!$A$11:$A$115,A217,ШТАТ_ПО_ЧАСАМ!$B$11:$B$115,B217)</f>
        <v>2</v>
      </c>
      <c r="I217" s="12" t="n">
        <f aca="false">MIN(H217,1)*ПАРАМЕТРЫ!E26</f>
        <v>10</v>
      </c>
      <c r="J217" s="12" t="n">
        <f aca="false">MIN(G217,I217)</f>
        <v>10</v>
      </c>
      <c r="K217" s="12" t="n">
        <f aca="false">MAX(F217-J217,0)</f>
        <v>0</v>
      </c>
      <c r="L217" s="12" t="n">
        <f aca="false">IF(J217=0,0,F217/J217)</f>
        <v>0.09658</v>
      </c>
      <c r="M217" s="11" t="str">
        <f aca="false">IF(K217&gt;0,"BLOCKED","PASS")</f>
        <v>PASS</v>
      </c>
      <c r="N217" s="11" t="s">
        <v>233</v>
      </c>
    </row>
    <row r="218" customFormat="false" ht="15" hidden="false" customHeight="false" outlineLevel="0" collapsed="false">
      <c r="A218" s="11" t="s">
        <v>108</v>
      </c>
      <c r="B218" s="11" t="s">
        <v>134</v>
      </c>
      <c r="C218" s="11" t="s">
        <v>93</v>
      </c>
      <c r="D218" s="11" t="s">
        <v>234</v>
      </c>
      <c r="E218" s="11" t="s">
        <v>95</v>
      </c>
      <c r="F218" s="12" t="n">
        <f aca="false">SUMIFS(СПРОС_ДЕНЬ_ЧАС_МЕНЮ!$I$11:$I$3265,СПРОС_ДЕНЬ_ЧАС_МЕНЮ!$A$11:$A$3265,A218,СПРОС_ДЕНЬ_ЧАС_МЕНЮ!$B$11:$B$3265,B218)</f>
        <v>10.3066535</v>
      </c>
      <c r="G218" s="12" t="n">
        <f aca="false">ПАРАМЕТРЫ!D27</f>
        <v>60</v>
      </c>
      <c r="H218" s="12" t="n">
        <f aca="false">SUMIFS(ШТАТ_ПО_ЧАСАМ!$C$11:$C$115,ШТАТ_ПО_ЧАСАМ!$A$11:$A$115,A218,ШТАТ_ПО_ЧАСАМ!$B$11:$B$115,B218)</f>
        <v>2</v>
      </c>
      <c r="I218" s="12" t="n">
        <f aca="false">H218*ПАРАМЕТРЫ!E27</f>
        <v>33.3333333333333</v>
      </c>
      <c r="J218" s="12" t="n">
        <f aca="false">MIN(G218,I218)</f>
        <v>33.3333333333333</v>
      </c>
      <c r="K218" s="12" t="n">
        <f aca="false">MAX(F218-J218,0)</f>
        <v>0</v>
      </c>
      <c r="L218" s="12" t="n">
        <f aca="false">IF(J218=0,0,F218/J218)</f>
        <v>0.309199605</v>
      </c>
      <c r="M218" s="11" t="str">
        <f aca="false">IF(K218&gt;0,"BLOCKED","PASS")</f>
        <v>PASS</v>
      </c>
      <c r="N218" s="11" t="s">
        <v>235</v>
      </c>
    </row>
    <row r="219" customFormat="false" ht="23.85" hidden="false" customHeight="false" outlineLevel="0" collapsed="false">
      <c r="A219" s="11" t="s">
        <v>108</v>
      </c>
      <c r="B219" s="11" t="s">
        <v>135</v>
      </c>
      <c r="C219" s="11" t="s">
        <v>73</v>
      </c>
      <c r="D219" s="11" t="s">
        <v>74</v>
      </c>
      <c r="E219" s="11" t="s">
        <v>75</v>
      </c>
      <c r="F219" s="12" t="n">
        <f aca="false">SUMIFS(СПРОС_ДЕНЬ_ЧАС_МЕНЮ!$I$11:$I$3265,СПРОС_ДЕНЬ_ЧАС_МЕНЮ!$A$11:$A$3265,A219,СПРОС_ДЕНЬ_ЧАС_МЕНЮ!$B$11:$B$3265,B219,СПРОС_ДЕНЬ_ЧАС_МЕНЮ!$F$11:$F$3265,C219)</f>
        <v>2.9403</v>
      </c>
      <c r="G219" s="12" t="n">
        <f aca="false">ПАРАМЕТРЫ!D20</f>
        <v>25</v>
      </c>
      <c r="H219" s="12" t="n">
        <f aca="false">SUMIFS(ШТАТ_ПО_ЧАСАМ!$C$11:$C$115,ШТАТ_ПО_ЧАСАМ!$A$11:$A$115,A219,ШТАТ_ПО_ЧАСАМ!$B$11:$B$115,B219)</f>
        <v>1</v>
      </c>
      <c r="I219" s="12" t="n">
        <f aca="false">MIN(H219,1)*ПАРАМЕТРЫ!E20</f>
        <v>10</v>
      </c>
      <c r="J219" s="12" t="n">
        <f aca="false">MIN(G219,I219)</f>
        <v>10</v>
      </c>
      <c r="K219" s="12" t="n">
        <f aca="false">MAX(F219-J219,0)</f>
        <v>0</v>
      </c>
      <c r="L219" s="12" t="n">
        <f aca="false">IF(J219=0,0,F219/J219)</f>
        <v>0.29403</v>
      </c>
      <c r="M219" s="11" t="str">
        <f aca="false">IF(K219&gt;0,"BLOCKED","PASS")</f>
        <v>PASS</v>
      </c>
      <c r="N219" s="11" t="s">
        <v>233</v>
      </c>
    </row>
    <row r="220" customFormat="false" ht="23.85" hidden="false" customHeight="false" outlineLevel="0" collapsed="false">
      <c r="A220" s="11" t="s">
        <v>108</v>
      </c>
      <c r="B220" s="11" t="s">
        <v>135</v>
      </c>
      <c r="C220" s="11" t="s">
        <v>77</v>
      </c>
      <c r="D220" s="11" t="s">
        <v>78</v>
      </c>
      <c r="E220" s="11" t="s">
        <v>79</v>
      </c>
      <c r="F220" s="12" t="n">
        <f aca="false">SUMIFS(СПРОС_ДЕНЬ_ЧАС_МЕНЮ!$I$11:$I$3265,СПРОС_ДЕНЬ_ЧАС_МЕНЮ!$A$11:$A$3265,A220,СПРОС_ДЕНЬ_ЧАС_МЕНЮ!$B$11:$B$3265,B220,СПРОС_ДЕНЬ_ЧАС_МЕНЮ!$F$11:$F$3265,C220)</f>
        <v>1.94238</v>
      </c>
      <c r="G220" s="12" t="n">
        <f aca="false">ПАРАМЕТРЫ!D21</f>
        <v>20</v>
      </c>
      <c r="H220" s="12" t="n">
        <f aca="false">SUMIFS(ШТАТ_ПО_ЧАСАМ!$C$11:$C$115,ШТАТ_ПО_ЧАСАМ!$A$11:$A$115,A220,ШТАТ_ПО_ЧАСАМ!$B$11:$B$115,B220)</f>
        <v>1</v>
      </c>
      <c r="I220" s="12" t="n">
        <f aca="false">MIN(H220,1)*ПАРАМЕТРЫ!E21</f>
        <v>10</v>
      </c>
      <c r="J220" s="12" t="n">
        <f aca="false">MIN(G220,I220)</f>
        <v>10</v>
      </c>
      <c r="K220" s="12" t="n">
        <f aca="false">MAX(F220-J220,0)</f>
        <v>0</v>
      </c>
      <c r="L220" s="12" t="n">
        <f aca="false">IF(J220=0,0,F220/J220)</f>
        <v>0.194238</v>
      </c>
      <c r="M220" s="11" t="str">
        <f aca="false">IF(K220&gt;0,"BLOCKED","PASS")</f>
        <v>PASS</v>
      </c>
      <c r="N220" s="11" t="s">
        <v>233</v>
      </c>
    </row>
    <row r="221" customFormat="false" ht="23.85" hidden="false" customHeight="false" outlineLevel="0" collapsed="false">
      <c r="A221" s="11" t="s">
        <v>108</v>
      </c>
      <c r="B221" s="11" t="s">
        <v>135</v>
      </c>
      <c r="C221" s="11" t="s">
        <v>80</v>
      </c>
      <c r="D221" s="11" t="s">
        <v>81</v>
      </c>
      <c r="E221" s="11" t="s">
        <v>82</v>
      </c>
      <c r="F221" s="12" t="n">
        <f aca="false">SUMIFS(СПРОС_ДЕНЬ_ЧАС_МЕНЮ!$I$11:$I$3265,СПРОС_ДЕНЬ_ЧАС_МЕНЮ!$A$11:$A$3265,A221,СПРОС_ДЕНЬ_ЧАС_МЕНЮ!$B$11:$B$3265,B221,СПРОС_ДЕНЬ_ЧАС_МЕНЮ!$F$11:$F$3265,C221)</f>
        <v>3.663</v>
      </c>
      <c r="G221" s="12" t="n">
        <f aca="false">ПАРАМЕТРЫ!D22</f>
        <v>16</v>
      </c>
      <c r="H221" s="12" t="n">
        <f aca="false">SUMIFS(ШТАТ_ПО_ЧАСАМ!$C$11:$C$115,ШТАТ_ПО_ЧАСАМ!$A$11:$A$115,A221,ШТАТ_ПО_ЧАСАМ!$B$11:$B$115,B221)</f>
        <v>1</v>
      </c>
      <c r="I221" s="12" t="n">
        <f aca="false">MIN(H221,1)*ПАРАМЕТРЫ!E22</f>
        <v>16</v>
      </c>
      <c r="J221" s="12" t="n">
        <f aca="false">MIN(G221,I221)</f>
        <v>16</v>
      </c>
      <c r="K221" s="12" t="n">
        <f aca="false">MAX(F221-J221,0)</f>
        <v>0</v>
      </c>
      <c r="L221" s="12" t="n">
        <f aca="false">IF(J221=0,0,F221/J221)</f>
        <v>0.2289375</v>
      </c>
      <c r="M221" s="11" t="str">
        <f aca="false">IF(K221&gt;0,"BLOCKED","PASS")</f>
        <v>PASS</v>
      </c>
      <c r="N221" s="11" t="s">
        <v>233</v>
      </c>
    </row>
    <row r="222" customFormat="false" ht="23.85" hidden="false" customHeight="false" outlineLevel="0" collapsed="false">
      <c r="A222" s="11" t="s">
        <v>108</v>
      </c>
      <c r="B222" s="11" t="s">
        <v>135</v>
      </c>
      <c r="C222" s="11" t="s">
        <v>83</v>
      </c>
      <c r="D222" s="11" t="s">
        <v>84</v>
      </c>
      <c r="E222" s="11" t="s">
        <v>83</v>
      </c>
      <c r="F222" s="12" t="n">
        <f aca="false">SUMIFS(СПРОС_ДЕНЬ_ЧАС_МЕНЮ!$I$11:$I$3265,СПРОС_ДЕНЬ_ЧАС_МЕНЮ!$A$11:$A$3265,A222,СПРОС_ДЕНЬ_ЧАС_МЕНЮ!$B$11:$B$3265,B222,СПРОС_ДЕНЬ_ЧАС_МЕНЮ!$F$11:$F$3265,C222)</f>
        <v>6.2865</v>
      </c>
      <c r="G222" s="12" t="n">
        <f aca="false">ПАРАМЕТРЫ!D23</f>
        <v>21</v>
      </c>
      <c r="H222" s="12" t="n">
        <f aca="false">SUMIFS(ШТАТ_ПО_ЧАСАМ!$C$11:$C$115,ШТАТ_ПО_ЧАСАМ!$A$11:$A$115,A222,ШТАТ_ПО_ЧАСАМ!$B$11:$B$115,B222)</f>
        <v>1</v>
      </c>
      <c r="I222" s="12" t="n">
        <f aca="false">MIN(H222,1)*ПАРАМЕТРЫ!E23</f>
        <v>21</v>
      </c>
      <c r="J222" s="12" t="n">
        <f aca="false">MIN(G222,I222)</f>
        <v>21</v>
      </c>
      <c r="K222" s="12" t="n">
        <f aca="false">MAX(F222-J222,0)</f>
        <v>0</v>
      </c>
      <c r="L222" s="12" t="n">
        <f aca="false">IF(J222=0,0,F222/J222)</f>
        <v>0.299357142857143</v>
      </c>
      <c r="M222" s="11" t="str">
        <f aca="false">IF(K222&gt;0,"BLOCKED","PASS")</f>
        <v>PASS</v>
      </c>
      <c r="N222" s="11" t="s">
        <v>233</v>
      </c>
    </row>
    <row r="223" customFormat="false" ht="23.85" hidden="false" customHeight="false" outlineLevel="0" collapsed="false">
      <c r="A223" s="11" t="s">
        <v>108</v>
      </c>
      <c r="B223" s="11" t="s">
        <v>135</v>
      </c>
      <c r="C223" s="11" t="s">
        <v>85</v>
      </c>
      <c r="D223" s="11" t="s">
        <v>86</v>
      </c>
      <c r="E223" s="11" t="s">
        <v>87</v>
      </c>
      <c r="F223" s="12" t="n">
        <f aca="false">SUMIFS(СПРОС_ДЕНЬ_ЧАС_МЕНЮ!$I$11:$I$3265,СПРОС_ДЕНЬ_ЧАС_МЕНЮ!$A$11:$A$3265,A223,СПРОС_ДЕНЬ_ЧАС_МЕНЮ!$B$11:$B$3265,B223,СПРОС_ДЕНЬ_ЧАС_МЕНЮ!$F$11:$F$3265,C223)</f>
        <v>2.7276645</v>
      </c>
      <c r="G223" s="12" t="n">
        <f aca="false">ПАРАМЕТРЫ!D24</f>
        <v>12</v>
      </c>
      <c r="H223" s="12" t="n">
        <f aca="false">SUMIFS(ШТАТ_ПО_ЧАСАМ!$C$11:$C$115,ШТАТ_ПО_ЧАСАМ!$A$11:$A$115,A223,ШТАТ_ПО_ЧАСАМ!$B$11:$B$115,B223)</f>
        <v>1</v>
      </c>
      <c r="I223" s="12" t="n">
        <f aca="false">MIN(H223,1)*ПАРАМЕТРЫ!E24</f>
        <v>12</v>
      </c>
      <c r="J223" s="12" t="n">
        <f aca="false">MIN(G223,I223)</f>
        <v>12</v>
      </c>
      <c r="K223" s="12" t="n">
        <f aca="false">MAX(F223-J223,0)</f>
        <v>0</v>
      </c>
      <c r="L223" s="12" t="n">
        <f aca="false">IF(J223=0,0,F223/J223)</f>
        <v>0.227305375</v>
      </c>
      <c r="M223" s="11" t="str">
        <f aca="false">IF(K223&gt;0,"BLOCKED","PASS")</f>
        <v>PASS</v>
      </c>
      <c r="N223" s="11" t="s">
        <v>233</v>
      </c>
    </row>
    <row r="224" customFormat="false" ht="23.85" hidden="false" customHeight="false" outlineLevel="0" collapsed="false">
      <c r="A224" s="11" t="s">
        <v>108</v>
      </c>
      <c r="B224" s="11" t="s">
        <v>135</v>
      </c>
      <c r="C224" s="11" t="s">
        <v>88</v>
      </c>
      <c r="D224" s="11" t="s">
        <v>89</v>
      </c>
      <c r="E224" s="11" t="s">
        <v>90</v>
      </c>
      <c r="F224" s="12" t="n">
        <f aca="false">SUMIFS(СПРОС_ДЕНЬ_ЧАС_МЕНЮ!$I$11:$I$3265,СПРОС_ДЕНЬ_ЧАС_МЕНЮ!$A$11:$A$3265,A224,СПРОС_ДЕНЬ_ЧАС_МЕНЮ!$B$11:$B$3265,B224,СПРОС_ДЕНЬ_ЧАС_МЕНЮ!$F$11:$F$3265,C224)</f>
        <v>0</v>
      </c>
      <c r="G224" s="12" t="n">
        <f aca="false">ПАРАМЕТРЫ!D25</f>
        <v>15</v>
      </c>
      <c r="H224" s="12" t="n">
        <f aca="false">SUMIFS(ШТАТ_ПО_ЧАСАМ!$C$11:$C$115,ШТАТ_ПО_ЧАСАМ!$A$11:$A$115,A224,ШТАТ_ПО_ЧАСАМ!$B$11:$B$115,B224)</f>
        <v>1</v>
      </c>
      <c r="I224" s="12" t="n">
        <f aca="false">MIN(H224,1)*ПАРАМЕТРЫ!E25</f>
        <v>10</v>
      </c>
      <c r="J224" s="12" t="n">
        <f aca="false">MIN(G224,I224)</f>
        <v>10</v>
      </c>
      <c r="K224" s="12" t="n">
        <f aca="false">MAX(F224-J224,0)</f>
        <v>0</v>
      </c>
      <c r="L224" s="12" t="n">
        <f aca="false">IF(J224=0,0,F224/J224)</f>
        <v>0</v>
      </c>
      <c r="M224" s="11" t="str">
        <f aca="false">IF(K224&gt;0,"BLOCKED","PASS")</f>
        <v>PASS</v>
      </c>
      <c r="N224" s="11" t="s">
        <v>233</v>
      </c>
    </row>
    <row r="225" customFormat="false" ht="23.85" hidden="false" customHeight="false" outlineLevel="0" collapsed="false">
      <c r="A225" s="11" t="s">
        <v>108</v>
      </c>
      <c r="B225" s="11" t="s">
        <v>135</v>
      </c>
      <c r="C225" s="11" t="s">
        <v>91</v>
      </c>
      <c r="D225" s="11" t="s">
        <v>92</v>
      </c>
      <c r="E225" s="11" t="s">
        <v>79</v>
      </c>
      <c r="F225" s="12" t="n">
        <f aca="false">SUMIFS(СПРОС_ДЕНЬ_ЧАС_МЕНЮ!$I$11:$I$3265,СПРОС_ДЕНЬ_ЧАС_МЕНЮ!$A$11:$A$3265,A225,СПРОС_ДЕНЬ_ЧАС_МЕНЮ!$B$11:$B$3265,B225,СПРОС_ДЕНЬ_ЧАС_МЕНЮ!$F$11:$F$3265,C225)</f>
        <v>1.3266</v>
      </c>
      <c r="G225" s="12" t="n">
        <f aca="false">ПАРАМЕТРЫ!D26</f>
        <v>20</v>
      </c>
      <c r="H225" s="12" t="n">
        <f aca="false">SUMIFS(ШТАТ_ПО_ЧАСАМ!$C$11:$C$115,ШТАТ_ПО_ЧАСАМ!$A$11:$A$115,A225,ШТАТ_ПО_ЧАСАМ!$B$11:$B$115,B225)</f>
        <v>1</v>
      </c>
      <c r="I225" s="12" t="n">
        <f aca="false">MIN(H225,1)*ПАРАМЕТРЫ!E26</f>
        <v>10</v>
      </c>
      <c r="J225" s="12" t="n">
        <f aca="false">MIN(G225,I225)</f>
        <v>10</v>
      </c>
      <c r="K225" s="12" t="n">
        <f aca="false">MAX(F225-J225,0)</f>
        <v>0</v>
      </c>
      <c r="L225" s="12" t="n">
        <f aca="false">IF(J225=0,0,F225/J225)</f>
        <v>0.13266</v>
      </c>
      <c r="M225" s="11" t="str">
        <f aca="false">IF(K225&gt;0,"BLOCKED","PASS")</f>
        <v>PASS</v>
      </c>
      <c r="N225" s="11" t="s">
        <v>233</v>
      </c>
    </row>
    <row r="226" customFormat="false" ht="15" hidden="false" customHeight="false" outlineLevel="0" collapsed="false">
      <c r="A226" s="11" t="s">
        <v>108</v>
      </c>
      <c r="B226" s="11" t="s">
        <v>135</v>
      </c>
      <c r="C226" s="11" t="s">
        <v>93</v>
      </c>
      <c r="D226" s="11" t="s">
        <v>234</v>
      </c>
      <c r="E226" s="11" t="s">
        <v>95</v>
      </c>
      <c r="F226" s="12" t="n">
        <f aca="false">SUMIFS(СПРОС_ДЕНЬ_ЧАС_МЕНЮ!$I$11:$I$3265,СПРОС_ДЕНЬ_ЧАС_МЕНЮ!$A$11:$A$3265,A226,СПРОС_ДЕНЬ_ЧАС_МЕНЮ!$B$11:$B$3265,B226)</f>
        <v>18.8864445</v>
      </c>
      <c r="G226" s="12" t="n">
        <f aca="false">ПАРАМЕТРЫ!D27</f>
        <v>60</v>
      </c>
      <c r="H226" s="12" t="n">
        <f aca="false">SUMIFS(ШТАТ_ПО_ЧАСАМ!$C$11:$C$115,ШТАТ_ПО_ЧАСАМ!$A$11:$A$115,A226,ШТАТ_ПО_ЧАСАМ!$B$11:$B$115,B226)</f>
        <v>1</v>
      </c>
      <c r="I226" s="12" t="n">
        <f aca="false">H226*ПАРАМЕТРЫ!E27</f>
        <v>16.6666666666667</v>
      </c>
      <c r="J226" s="12" t="n">
        <f aca="false">MIN(G226,I226)</f>
        <v>16.6666666666667</v>
      </c>
      <c r="K226" s="12" t="n">
        <f aca="false">MAX(F226-J226,0)</f>
        <v>2.21977783333334</v>
      </c>
      <c r="L226" s="12" t="n">
        <f aca="false">IF(J226=0,0,F226/J226)</f>
        <v>1.13318667</v>
      </c>
      <c r="M226" s="11" t="str">
        <f aca="false">IF(K226&gt;0,"BLOCKED","PASS")</f>
        <v>BLOCKED</v>
      </c>
      <c r="N226" s="11" t="s">
        <v>235</v>
      </c>
    </row>
    <row r="227" customFormat="false" ht="23.85" hidden="false" customHeight="false" outlineLevel="0" collapsed="false">
      <c r="A227" s="11" t="s">
        <v>108</v>
      </c>
      <c r="B227" s="11" t="s">
        <v>136</v>
      </c>
      <c r="C227" s="11" t="s">
        <v>73</v>
      </c>
      <c r="D227" s="11" t="s">
        <v>74</v>
      </c>
      <c r="E227" s="11" t="s">
        <v>75</v>
      </c>
      <c r="F227" s="12" t="n">
        <f aca="false">SUMIFS(СПРОС_ДЕНЬ_ЧАС_МЕНЮ!$I$11:$I$3265,СПРОС_ДЕНЬ_ЧАС_МЕНЮ!$A$11:$A$3265,A227,СПРОС_ДЕНЬ_ЧАС_МЕНЮ!$B$11:$B$3265,B227,СПРОС_ДЕНЬ_ЧАС_МЕНЮ!$F$11:$F$3265,C227)</f>
        <v>3.6289</v>
      </c>
      <c r="G227" s="12" t="n">
        <f aca="false">ПАРАМЕТРЫ!D20</f>
        <v>25</v>
      </c>
      <c r="H227" s="12" t="n">
        <f aca="false">SUMIFS(ШТАТ_ПО_ЧАСАМ!$C$11:$C$115,ШТАТ_ПО_ЧАСАМ!$A$11:$A$115,A227,ШТАТ_ПО_ЧАСАМ!$B$11:$B$115,B227)</f>
        <v>1</v>
      </c>
      <c r="I227" s="12" t="n">
        <f aca="false">MIN(H227,1)*ПАРАМЕТРЫ!E20</f>
        <v>10</v>
      </c>
      <c r="J227" s="12" t="n">
        <f aca="false">MIN(G227,I227)</f>
        <v>10</v>
      </c>
      <c r="K227" s="12" t="n">
        <f aca="false">MAX(F227-J227,0)</f>
        <v>0</v>
      </c>
      <c r="L227" s="12" t="n">
        <f aca="false">IF(J227=0,0,F227/J227)</f>
        <v>0.36289</v>
      </c>
      <c r="M227" s="11" t="str">
        <f aca="false">IF(K227&gt;0,"BLOCKED","PASS")</f>
        <v>PASS</v>
      </c>
      <c r="N227" s="11" t="s">
        <v>233</v>
      </c>
    </row>
    <row r="228" customFormat="false" ht="23.85" hidden="false" customHeight="false" outlineLevel="0" collapsed="false">
      <c r="A228" s="11" t="s">
        <v>108</v>
      </c>
      <c r="B228" s="11" t="s">
        <v>136</v>
      </c>
      <c r="C228" s="11" t="s">
        <v>77</v>
      </c>
      <c r="D228" s="11" t="s">
        <v>78</v>
      </c>
      <c r="E228" s="11" t="s">
        <v>79</v>
      </c>
      <c r="F228" s="12" t="n">
        <f aca="false">SUMIFS(СПРОС_ДЕНЬ_ЧАС_МЕНЮ!$I$11:$I$3265,СПРОС_ДЕНЬ_ЧАС_МЕНЮ!$A$11:$A$3265,A228,СПРОС_ДЕНЬ_ЧАС_МЕНЮ!$B$11:$B$3265,B228,СПРОС_ДЕНЬ_ЧАС_МЕНЮ!$F$11:$F$3265,C228)</f>
        <v>2.12234</v>
      </c>
      <c r="G228" s="12" t="n">
        <f aca="false">ПАРАМЕТРЫ!D21</f>
        <v>20</v>
      </c>
      <c r="H228" s="12" t="n">
        <f aca="false">SUMIFS(ШТАТ_ПО_ЧАСАМ!$C$11:$C$115,ШТАТ_ПО_ЧАСАМ!$A$11:$A$115,A228,ШТАТ_ПО_ЧАСАМ!$B$11:$B$115,B228)</f>
        <v>1</v>
      </c>
      <c r="I228" s="12" t="n">
        <f aca="false">MIN(H228,1)*ПАРАМЕТРЫ!E21</f>
        <v>10</v>
      </c>
      <c r="J228" s="12" t="n">
        <f aca="false">MIN(G228,I228)</f>
        <v>10</v>
      </c>
      <c r="K228" s="12" t="n">
        <f aca="false">MAX(F228-J228,0)</f>
        <v>0</v>
      </c>
      <c r="L228" s="12" t="n">
        <f aca="false">IF(J228=0,0,F228/J228)</f>
        <v>0.212234</v>
      </c>
      <c r="M228" s="11" t="str">
        <f aca="false">IF(K228&gt;0,"BLOCKED","PASS")</f>
        <v>PASS</v>
      </c>
      <c r="N228" s="11" t="s">
        <v>233</v>
      </c>
    </row>
    <row r="229" customFormat="false" ht="23.85" hidden="false" customHeight="false" outlineLevel="0" collapsed="false">
      <c r="A229" s="11" t="s">
        <v>108</v>
      </c>
      <c r="B229" s="11" t="s">
        <v>136</v>
      </c>
      <c r="C229" s="11" t="s">
        <v>80</v>
      </c>
      <c r="D229" s="11" t="s">
        <v>81</v>
      </c>
      <c r="E229" s="11" t="s">
        <v>82</v>
      </c>
      <c r="F229" s="12" t="n">
        <f aca="false">SUMIFS(СПРОС_ДЕНЬ_ЧАС_МЕНЮ!$I$11:$I$3265,СПРОС_ДЕНЬ_ЧАС_МЕНЮ!$A$11:$A$3265,A229,СПРОС_ДЕНЬ_ЧАС_МЕНЮ!$B$11:$B$3265,B229,СПРОС_ДЕНЬ_ЧАС_МЕНЮ!$F$11:$F$3265,C229)</f>
        <v>5.071</v>
      </c>
      <c r="G229" s="12" t="n">
        <f aca="false">ПАРАМЕТРЫ!D22</f>
        <v>16</v>
      </c>
      <c r="H229" s="12" t="n">
        <f aca="false">SUMIFS(ШТАТ_ПО_ЧАСАМ!$C$11:$C$115,ШТАТ_ПО_ЧАСАМ!$A$11:$A$115,A229,ШТАТ_ПО_ЧАСАМ!$B$11:$B$115,B229)</f>
        <v>1</v>
      </c>
      <c r="I229" s="12" t="n">
        <f aca="false">MIN(H229,1)*ПАРАМЕТРЫ!E22</f>
        <v>16</v>
      </c>
      <c r="J229" s="12" t="n">
        <f aca="false">MIN(G229,I229)</f>
        <v>16</v>
      </c>
      <c r="K229" s="12" t="n">
        <f aca="false">MAX(F229-J229,0)</f>
        <v>0</v>
      </c>
      <c r="L229" s="12" t="n">
        <f aca="false">IF(J229=0,0,F229/J229)</f>
        <v>0.3169375</v>
      </c>
      <c r="M229" s="11" t="str">
        <f aca="false">IF(K229&gt;0,"BLOCKED","PASS")</f>
        <v>PASS</v>
      </c>
      <c r="N229" s="11" t="s">
        <v>233</v>
      </c>
    </row>
    <row r="230" customFormat="false" ht="23.85" hidden="false" customHeight="false" outlineLevel="0" collapsed="false">
      <c r="A230" s="11" t="s">
        <v>108</v>
      </c>
      <c r="B230" s="11" t="s">
        <v>136</v>
      </c>
      <c r="C230" s="11" t="s">
        <v>83</v>
      </c>
      <c r="D230" s="11" t="s">
        <v>84</v>
      </c>
      <c r="E230" s="11" t="s">
        <v>83</v>
      </c>
      <c r="F230" s="12" t="n">
        <f aca="false">SUMIFS(СПРОС_ДЕНЬ_ЧАС_МЕНЮ!$I$11:$I$3265,СПРОС_ДЕНЬ_ЧАС_МЕНЮ!$A$11:$A$3265,A230,СПРОС_ДЕНЬ_ЧАС_МЕНЮ!$B$11:$B$3265,B230,СПРОС_ДЕНЬ_ЧАС_МЕНЮ!$F$11:$F$3265,C230)</f>
        <v>8.5415</v>
      </c>
      <c r="G230" s="12" t="n">
        <f aca="false">ПАРАМЕТРЫ!D23</f>
        <v>21</v>
      </c>
      <c r="H230" s="12" t="n">
        <f aca="false">SUMIFS(ШТАТ_ПО_ЧАСАМ!$C$11:$C$115,ШТАТ_ПО_ЧАСАМ!$A$11:$A$115,A230,ШТАТ_ПО_ЧАСАМ!$B$11:$B$115,B230)</f>
        <v>1</v>
      </c>
      <c r="I230" s="12" t="n">
        <f aca="false">MIN(H230,1)*ПАРАМЕТРЫ!E23</f>
        <v>21</v>
      </c>
      <c r="J230" s="12" t="n">
        <f aca="false">MIN(G230,I230)</f>
        <v>21</v>
      </c>
      <c r="K230" s="12" t="n">
        <f aca="false">MAX(F230-J230,0)</f>
        <v>0</v>
      </c>
      <c r="L230" s="12" t="n">
        <f aca="false">IF(J230=0,0,F230/J230)</f>
        <v>0.406738095238095</v>
      </c>
      <c r="M230" s="11" t="str">
        <f aca="false">IF(K230&gt;0,"BLOCKED","PASS")</f>
        <v>PASS</v>
      </c>
      <c r="N230" s="11" t="s">
        <v>233</v>
      </c>
    </row>
    <row r="231" customFormat="false" ht="23.85" hidden="false" customHeight="false" outlineLevel="0" collapsed="false">
      <c r="A231" s="11" t="s">
        <v>108</v>
      </c>
      <c r="B231" s="11" t="s">
        <v>136</v>
      </c>
      <c r="C231" s="11" t="s">
        <v>85</v>
      </c>
      <c r="D231" s="11" t="s">
        <v>86</v>
      </c>
      <c r="E231" s="11" t="s">
        <v>87</v>
      </c>
      <c r="F231" s="12" t="n">
        <f aca="false">SUMIFS(СПРОС_ДЕНЬ_ЧАС_МЕНЮ!$I$11:$I$3265,СПРОС_ДЕНЬ_ЧАС_МЕНЮ!$A$11:$A$3265,A231,СПРОС_ДЕНЬ_ЧАС_МЕНЮ!$B$11:$B$3265,B231,СПРОС_ДЕНЬ_ЧАС_МЕНЮ!$F$11:$F$3265,C231)</f>
        <v>3.9945235</v>
      </c>
      <c r="G231" s="12" t="n">
        <f aca="false">ПАРАМЕТРЫ!D24</f>
        <v>12</v>
      </c>
      <c r="H231" s="12" t="n">
        <f aca="false">SUMIFS(ШТАТ_ПО_ЧАСАМ!$C$11:$C$115,ШТАТ_ПО_ЧАСАМ!$A$11:$A$115,A231,ШТАТ_ПО_ЧАСАМ!$B$11:$B$115,B231)</f>
        <v>1</v>
      </c>
      <c r="I231" s="12" t="n">
        <f aca="false">MIN(H231,1)*ПАРАМЕТРЫ!E24</f>
        <v>12</v>
      </c>
      <c r="J231" s="12" t="n">
        <f aca="false">MIN(G231,I231)</f>
        <v>12</v>
      </c>
      <c r="K231" s="12" t="n">
        <f aca="false">MAX(F231-J231,0)</f>
        <v>0</v>
      </c>
      <c r="L231" s="12" t="n">
        <f aca="false">IF(J231=0,0,F231/J231)</f>
        <v>0.332876958333333</v>
      </c>
      <c r="M231" s="11" t="str">
        <f aca="false">IF(K231&gt;0,"BLOCKED","PASS")</f>
        <v>PASS</v>
      </c>
      <c r="N231" s="11" t="s">
        <v>233</v>
      </c>
    </row>
    <row r="232" customFormat="false" ht="23.85" hidden="false" customHeight="false" outlineLevel="0" collapsed="false">
      <c r="A232" s="11" t="s">
        <v>108</v>
      </c>
      <c r="B232" s="11" t="s">
        <v>136</v>
      </c>
      <c r="C232" s="11" t="s">
        <v>88</v>
      </c>
      <c r="D232" s="11" t="s">
        <v>89</v>
      </c>
      <c r="E232" s="11" t="s">
        <v>90</v>
      </c>
      <c r="F232" s="12" t="n">
        <f aca="false">SUMIFS(СПРОС_ДЕНЬ_ЧАС_МЕНЮ!$I$11:$I$3265,СПРОС_ДЕНЬ_ЧАС_МЕНЮ!$A$11:$A$3265,A232,СПРОС_ДЕНЬ_ЧАС_МЕНЮ!$B$11:$B$3265,B232,СПРОС_ДЕНЬ_ЧАС_МЕНЮ!$F$11:$F$3265,C232)</f>
        <v>0</v>
      </c>
      <c r="G232" s="12" t="n">
        <f aca="false">ПАРАМЕТРЫ!D25</f>
        <v>15</v>
      </c>
      <c r="H232" s="12" t="n">
        <f aca="false">SUMIFS(ШТАТ_ПО_ЧАСАМ!$C$11:$C$115,ШТАТ_ПО_ЧАСАМ!$A$11:$A$115,A232,ШТАТ_ПО_ЧАСАМ!$B$11:$B$115,B232)</f>
        <v>1</v>
      </c>
      <c r="I232" s="12" t="n">
        <f aca="false">MIN(H232,1)*ПАРАМЕТРЫ!E25</f>
        <v>10</v>
      </c>
      <c r="J232" s="12" t="n">
        <f aca="false">MIN(G232,I232)</f>
        <v>10</v>
      </c>
      <c r="K232" s="12" t="n">
        <f aca="false">MAX(F232-J232,0)</f>
        <v>0</v>
      </c>
      <c r="L232" s="12" t="n">
        <f aca="false">IF(J232=0,0,F232/J232)</f>
        <v>0</v>
      </c>
      <c r="M232" s="11" t="str">
        <f aca="false">IF(K232&gt;0,"BLOCKED","PASS")</f>
        <v>PASS</v>
      </c>
      <c r="N232" s="11" t="s">
        <v>233</v>
      </c>
    </row>
    <row r="233" customFormat="false" ht="23.85" hidden="false" customHeight="false" outlineLevel="0" collapsed="false">
      <c r="A233" s="11" t="s">
        <v>108</v>
      </c>
      <c r="B233" s="11" t="s">
        <v>136</v>
      </c>
      <c r="C233" s="11" t="s">
        <v>91</v>
      </c>
      <c r="D233" s="11" t="s">
        <v>92</v>
      </c>
      <c r="E233" s="11" t="s">
        <v>79</v>
      </c>
      <c r="F233" s="12" t="n">
        <f aca="false">SUMIFS(СПРОС_ДЕНЬ_ЧАС_МЕНЮ!$I$11:$I$3265,СПРОС_ДЕНЬ_ЧАС_МЕНЮ!$A$11:$A$3265,A233,СПРОС_ДЕНЬ_ЧАС_МЕНЮ!$B$11:$B$3265,B233,СПРОС_ДЕНЬ_ЧАС_МЕНЮ!$F$11:$F$3265,C233)</f>
        <v>1.5818</v>
      </c>
      <c r="G233" s="12" t="n">
        <f aca="false">ПАРАМЕТРЫ!D26</f>
        <v>20</v>
      </c>
      <c r="H233" s="12" t="n">
        <f aca="false">SUMIFS(ШТАТ_ПО_ЧАСАМ!$C$11:$C$115,ШТАТ_ПО_ЧАСАМ!$A$11:$A$115,A233,ШТАТ_ПО_ЧАСАМ!$B$11:$B$115,B233)</f>
        <v>1</v>
      </c>
      <c r="I233" s="12" t="n">
        <f aca="false">MIN(H233,1)*ПАРАМЕТРЫ!E26</f>
        <v>10</v>
      </c>
      <c r="J233" s="12" t="n">
        <f aca="false">MIN(G233,I233)</f>
        <v>10</v>
      </c>
      <c r="K233" s="12" t="n">
        <f aca="false">MAX(F233-J233,0)</f>
        <v>0</v>
      </c>
      <c r="L233" s="12" t="n">
        <f aca="false">IF(J233=0,0,F233/J233)</f>
        <v>0.15818</v>
      </c>
      <c r="M233" s="11" t="str">
        <f aca="false">IF(K233&gt;0,"BLOCKED","PASS")</f>
        <v>PASS</v>
      </c>
      <c r="N233" s="11" t="s">
        <v>233</v>
      </c>
    </row>
    <row r="234" customFormat="false" ht="15" hidden="false" customHeight="false" outlineLevel="0" collapsed="false">
      <c r="A234" s="11" t="s">
        <v>108</v>
      </c>
      <c r="B234" s="11" t="s">
        <v>136</v>
      </c>
      <c r="C234" s="11" t="s">
        <v>93</v>
      </c>
      <c r="D234" s="11" t="s">
        <v>234</v>
      </c>
      <c r="E234" s="11" t="s">
        <v>95</v>
      </c>
      <c r="F234" s="12" t="n">
        <f aca="false">SUMIFS(СПРОС_ДЕНЬ_ЧАС_МЕНЮ!$I$11:$I$3265,СПРОС_ДЕНЬ_ЧАС_МЕНЮ!$A$11:$A$3265,A234,СПРОС_ДЕНЬ_ЧАС_МЕНЮ!$B$11:$B$3265,B234)</f>
        <v>24.9400635</v>
      </c>
      <c r="G234" s="12" t="n">
        <f aca="false">ПАРАМЕТРЫ!D27</f>
        <v>60</v>
      </c>
      <c r="H234" s="12" t="n">
        <f aca="false">SUMIFS(ШТАТ_ПО_ЧАСАМ!$C$11:$C$115,ШТАТ_ПО_ЧАСАМ!$A$11:$A$115,A234,ШТАТ_ПО_ЧАСАМ!$B$11:$B$115,B234)</f>
        <v>1</v>
      </c>
      <c r="I234" s="12" t="n">
        <f aca="false">H234*ПАРАМЕТРЫ!E27</f>
        <v>16.6666666666667</v>
      </c>
      <c r="J234" s="12" t="n">
        <f aca="false">MIN(G234,I234)</f>
        <v>16.6666666666667</v>
      </c>
      <c r="K234" s="12" t="n">
        <f aca="false">MAX(F234-J234,0)</f>
        <v>8.27339683333334</v>
      </c>
      <c r="L234" s="12" t="n">
        <f aca="false">IF(J234=0,0,F234/J234)</f>
        <v>1.49640381</v>
      </c>
      <c r="M234" s="11" t="str">
        <f aca="false">IF(K234&gt;0,"BLOCKED","PASS")</f>
        <v>BLOCKED</v>
      </c>
      <c r="N234" s="11" t="s">
        <v>235</v>
      </c>
    </row>
    <row r="235" customFormat="false" ht="23.85" hidden="false" customHeight="false" outlineLevel="0" collapsed="false">
      <c r="A235" s="11" t="s">
        <v>108</v>
      </c>
      <c r="B235" s="11" t="s">
        <v>137</v>
      </c>
      <c r="C235" s="11" t="s">
        <v>73</v>
      </c>
      <c r="D235" s="11" t="s">
        <v>74</v>
      </c>
      <c r="E235" s="11" t="s">
        <v>75</v>
      </c>
      <c r="F235" s="12" t="n">
        <f aca="false">SUMIFS(СПРОС_ДЕНЬ_ЧАС_МЕНЮ!$I$11:$I$3265,СПРОС_ДЕНЬ_ЧАС_МЕНЮ!$A$11:$A$3265,A235,СПРОС_ДЕНЬ_ЧАС_МЕНЮ!$B$11:$B$3265,B235,СПРОС_ДЕНЬ_ЧАС_МЕНЮ!$F$11:$F$3265,C235)</f>
        <v>4.2625</v>
      </c>
      <c r="G235" s="12" t="n">
        <f aca="false">ПАРАМЕТРЫ!D20</f>
        <v>25</v>
      </c>
      <c r="H235" s="12" t="n">
        <f aca="false">SUMIFS(ШТАТ_ПО_ЧАСАМ!$C$11:$C$115,ШТАТ_ПО_ЧАСАМ!$A$11:$A$115,A235,ШТАТ_ПО_ЧАСАМ!$B$11:$B$115,B235)</f>
        <v>1</v>
      </c>
      <c r="I235" s="12" t="n">
        <f aca="false">MIN(H235,1)*ПАРАМЕТРЫ!E20</f>
        <v>10</v>
      </c>
      <c r="J235" s="12" t="n">
        <f aca="false">MIN(G235,I235)</f>
        <v>10</v>
      </c>
      <c r="K235" s="12" t="n">
        <f aca="false">MAX(F235-J235,0)</f>
        <v>0</v>
      </c>
      <c r="L235" s="12" t="n">
        <f aca="false">IF(J235=0,0,F235/J235)</f>
        <v>0.42625</v>
      </c>
      <c r="M235" s="11" t="str">
        <f aca="false">IF(K235&gt;0,"BLOCKED","PASS")</f>
        <v>PASS</v>
      </c>
      <c r="N235" s="11" t="s">
        <v>233</v>
      </c>
    </row>
    <row r="236" customFormat="false" ht="23.85" hidden="false" customHeight="false" outlineLevel="0" collapsed="false">
      <c r="A236" s="11" t="s">
        <v>108</v>
      </c>
      <c r="B236" s="11" t="s">
        <v>137</v>
      </c>
      <c r="C236" s="11" t="s">
        <v>77</v>
      </c>
      <c r="D236" s="11" t="s">
        <v>78</v>
      </c>
      <c r="E236" s="11" t="s">
        <v>79</v>
      </c>
      <c r="F236" s="12" t="n">
        <f aca="false">SUMIFS(СПРОС_ДЕНЬ_ЧАС_МЕНЮ!$I$11:$I$3265,СПРОС_ДЕНЬ_ЧАС_МЕНЮ!$A$11:$A$3265,A236,СПРОС_ДЕНЬ_ЧАС_МЕНЮ!$B$11:$B$3265,B236,СПРОС_ДЕНЬ_ЧАС_МЕНЮ!$F$11:$F$3265,C236)</f>
        <v>1.9833</v>
      </c>
      <c r="G236" s="12" t="n">
        <f aca="false">ПАРАМЕТРЫ!D21</f>
        <v>20</v>
      </c>
      <c r="H236" s="12" t="n">
        <f aca="false">SUMIFS(ШТАТ_ПО_ЧАСАМ!$C$11:$C$115,ШТАТ_ПО_ЧАСАМ!$A$11:$A$115,A236,ШТАТ_ПО_ЧАСАМ!$B$11:$B$115,B236)</f>
        <v>1</v>
      </c>
      <c r="I236" s="12" t="n">
        <f aca="false">MIN(H236,1)*ПАРАМЕТРЫ!E21</f>
        <v>10</v>
      </c>
      <c r="J236" s="12" t="n">
        <f aca="false">MIN(G236,I236)</f>
        <v>10</v>
      </c>
      <c r="K236" s="12" t="n">
        <f aca="false">MAX(F236-J236,0)</f>
        <v>0</v>
      </c>
      <c r="L236" s="12" t="n">
        <f aca="false">IF(J236=0,0,F236/J236)</f>
        <v>0.19833</v>
      </c>
      <c r="M236" s="11" t="str">
        <f aca="false">IF(K236&gt;0,"BLOCKED","PASS")</f>
        <v>PASS</v>
      </c>
      <c r="N236" s="11" t="s">
        <v>233</v>
      </c>
    </row>
    <row r="237" customFormat="false" ht="23.85" hidden="false" customHeight="false" outlineLevel="0" collapsed="false">
      <c r="A237" s="11" t="s">
        <v>108</v>
      </c>
      <c r="B237" s="11" t="s">
        <v>137</v>
      </c>
      <c r="C237" s="11" t="s">
        <v>80</v>
      </c>
      <c r="D237" s="11" t="s">
        <v>81</v>
      </c>
      <c r="E237" s="11" t="s">
        <v>82</v>
      </c>
      <c r="F237" s="12" t="n">
        <f aca="false">SUMIFS(СПРОС_ДЕНЬ_ЧАС_МЕНЮ!$I$11:$I$3265,СПРОС_ДЕНЬ_ЧАС_МЕНЮ!$A$11:$A$3265,A237,СПРОС_ДЕНЬ_ЧАС_МЕНЮ!$B$11:$B$3265,B237,СПРОС_ДЕНЬ_ЧАС_МЕНЮ!$F$11:$F$3265,C237)</f>
        <v>6.1765</v>
      </c>
      <c r="G237" s="12" t="n">
        <f aca="false">ПАРАМЕТРЫ!D22</f>
        <v>16</v>
      </c>
      <c r="H237" s="12" t="n">
        <f aca="false">SUMIFS(ШТАТ_ПО_ЧАСАМ!$C$11:$C$115,ШТАТ_ПО_ЧАСАМ!$A$11:$A$115,A237,ШТАТ_ПО_ЧАСАМ!$B$11:$B$115,B237)</f>
        <v>1</v>
      </c>
      <c r="I237" s="12" t="n">
        <f aca="false">MIN(H237,1)*ПАРАМЕТРЫ!E22</f>
        <v>16</v>
      </c>
      <c r="J237" s="12" t="n">
        <f aca="false">MIN(G237,I237)</f>
        <v>16</v>
      </c>
      <c r="K237" s="12" t="n">
        <f aca="false">MAX(F237-J237,0)</f>
        <v>0</v>
      </c>
      <c r="L237" s="12" t="n">
        <f aca="false">IF(J237=0,0,F237/J237)</f>
        <v>0.38603125</v>
      </c>
      <c r="M237" s="11" t="str">
        <f aca="false">IF(K237&gt;0,"BLOCKED","PASS")</f>
        <v>PASS</v>
      </c>
      <c r="N237" s="11" t="s">
        <v>233</v>
      </c>
    </row>
    <row r="238" customFormat="false" ht="23.85" hidden="false" customHeight="false" outlineLevel="0" collapsed="false">
      <c r="A238" s="11" t="s">
        <v>108</v>
      </c>
      <c r="B238" s="11" t="s">
        <v>137</v>
      </c>
      <c r="C238" s="11" t="s">
        <v>83</v>
      </c>
      <c r="D238" s="11" t="s">
        <v>84</v>
      </c>
      <c r="E238" s="11" t="s">
        <v>83</v>
      </c>
      <c r="F238" s="12" t="n">
        <f aca="false">SUMIFS(СПРОС_ДЕНЬ_ЧАС_МЕНЮ!$I$11:$I$3265,СПРОС_ДЕНЬ_ЧАС_МЕНЮ!$A$11:$A$3265,A238,СПРОС_ДЕНЬ_ЧАС_МЕНЮ!$B$11:$B$3265,B238,СПРОС_ДЕНЬ_ЧАС_МЕНЮ!$F$11:$F$3265,C238)</f>
        <v>10.329</v>
      </c>
      <c r="G238" s="12" t="n">
        <f aca="false">ПАРАМЕТРЫ!D23</f>
        <v>21</v>
      </c>
      <c r="H238" s="12" t="n">
        <f aca="false">SUMIFS(ШТАТ_ПО_ЧАСАМ!$C$11:$C$115,ШТАТ_ПО_ЧАСАМ!$A$11:$A$115,A238,ШТАТ_ПО_ЧАСАМ!$B$11:$B$115,B238)</f>
        <v>1</v>
      </c>
      <c r="I238" s="12" t="n">
        <f aca="false">MIN(H238,1)*ПАРАМЕТРЫ!E23</f>
        <v>21</v>
      </c>
      <c r="J238" s="12" t="n">
        <f aca="false">MIN(G238,I238)</f>
        <v>21</v>
      </c>
      <c r="K238" s="12" t="n">
        <f aca="false">MAX(F238-J238,0)</f>
        <v>0</v>
      </c>
      <c r="L238" s="12" t="n">
        <f aca="false">IF(J238=0,0,F238/J238)</f>
        <v>0.491857142857143</v>
      </c>
      <c r="M238" s="11" t="str">
        <f aca="false">IF(K238&gt;0,"BLOCKED","PASS")</f>
        <v>PASS</v>
      </c>
      <c r="N238" s="11" t="s">
        <v>233</v>
      </c>
    </row>
    <row r="239" customFormat="false" ht="23.85" hidden="false" customHeight="false" outlineLevel="0" collapsed="false">
      <c r="A239" s="11" t="s">
        <v>108</v>
      </c>
      <c r="B239" s="11" t="s">
        <v>137</v>
      </c>
      <c r="C239" s="11" t="s">
        <v>85</v>
      </c>
      <c r="D239" s="11" t="s">
        <v>86</v>
      </c>
      <c r="E239" s="11" t="s">
        <v>87</v>
      </c>
      <c r="F239" s="12" t="n">
        <f aca="false">SUMIFS(СПРОС_ДЕНЬ_ЧАС_МЕНЮ!$I$11:$I$3265,СПРОС_ДЕНЬ_ЧАС_МЕНЮ!$A$11:$A$3265,A239,СПРОС_ДЕНЬ_ЧАС_МЕНЮ!$B$11:$B$3265,B239,СПРОС_ДЕНЬ_ЧАС_МЕНЮ!$F$11:$F$3265,C239)</f>
        <v>4.903745</v>
      </c>
      <c r="G239" s="12" t="n">
        <f aca="false">ПАРАМЕТРЫ!D24</f>
        <v>12</v>
      </c>
      <c r="H239" s="12" t="n">
        <f aca="false">SUMIFS(ШТАТ_ПО_ЧАСАМ!$C$11:$C$115,ШТАТ_ПО_ЧАСАМ!$A$11:$A$115,A239,ШТАТ_ПО_ЧАСАМ!$B$11:$B$115,B239)</f>
        <v>1</v>
      </c>
      <c r="I239" s="12" t="n">
        <f aca="false">MIN(H239,1)*ПАРАМЕТРЫ!E24</f>
        <v>12</v>
      </c>
      <c r="J239" s="12" t="n">
        <f aca="false">MIN(G239,I239)</f>
        <v>12</v>
      </c>
      <c r="K239" s="12" t="n">
        <f aca="false">MAX(F239-J239,0)</f>
        <v>0</v>
      </c>
      <c r="L239" s="12" t="n">
        <f aca="false">IF(J239=0,0,F239/J239)</f>
        <v>0.408645416666667</v>
      </c>
      <c r="M239" s="11" t="str">
        <f aca="false">IF(K239&gt;0,"BLOCKED","PASS")</f>
        <v>PASS</v>
      </c>
      <c r="N239" s="11" t="s">
        <v>233</v>
      </c>
    </row>
    <row r="240" customFormat="false" ht="23.85" hidden="false" customHeight="false" outlineLevel="0" collapsed="false">
      <c r="A240" s="11" t="s">
        <v>108</v>
      </c>
      <c r="B240" s="11" t="s">
        <v>137</v>
      </c>
      <c r="C240" s="11" t="s">
        <v>88</v>
      </c>
      <c r="D240" s="11" t="s">
        <v>89</v>
      </c>
      <c r="E240" s="11" t="s">
        <v>90</v>
      </c>
      <c r="F240" s="12" t="n">
        <f aca="false">SUMIFS(СПРОС_ДЕНЬ_ЧАС_МЕНЮ!$I$11:$I$3265,СПРОС_ДЕНЬ_ЧАС_МЕНЮ!$A$11:$A$3265,A240,СПРОС_ДЕНЬ_ЧАС_МЕНЮ!$B$11:$B$3265,B240,СПРОС_ДЕНЬ_ЧАС_МЕНЮ!$F$11:$F$3265,C240)</f>
        <v>0</v>
      </c>
      <c r="G240" s="12" t="n">
        <f aca="false">ПАРАМЕТРЫ!D25</f>
        <v>15</v>
      </c>
      <c r="H240" s="12" t="n">
        <f aca="false">SUMIFS(ШТАТ_ПО_ЧАСАМ!$C$11:$C$115,ШТАТ_ПО_ЧАСАМ!$A$11:$A$115,A240,ШТАТ_ПО_ЧАСАМ!$B$11:$B$115,B240)</f>
        <v>1</v>
      </c>
      <c r="I240" s="12" t="n">
        <f aca="false">MIN(H240,1)*ПАРАМЕТРЫ!E25</f>
        <v>10</v>
      </c>
      <c r="J240" s="12" t="n">
        <f aca="false">MIN(G240,I240)</f>
        <v>10</v>
      </c>
      <c r="K240" s="12" t="n">
        <f aca="false">MAX(F240-J240,0)</f>
        <v>0</v>
      </c>
      <c r="L240" s="12" t="n">
        <f aca="false">IF(J240=0,0,F240/J240)</f>
        <v>0</v>
      </c>
      <c r="M240" s="11" t="str">
        <f aca="false">IF(K240&gt;0,"BLOCKED","PASS")</f>
        <v>PASS</v>
      </c>
      <c r="N240" s="11" t="s">
        <v>233</v>
      </c>
    </row>
    <row r="241" customFormat="false" ht="23.85" hidden="false" customHeight="false" outlineLevel="0" collapsed="false">
      <c r="A241" s="11" t="s">
        <v>108</v>
      </c>
      <c r="B241" s="11" t="s">
        <v>137</v>
      </c>
      <c r="C241" s="11" t="s">
        <v>91</v>
      </c>
      <c r="D241" s="11" t="s">
        <v>92</v>
      </c>
      <c r="E241" s="11" t="s">
        <v>79</v>
      </c>
      <c r="F241" s="12" t="n">
        <f aca="false">SUMIFS(СПРОС_ДЕНЬ_ЧАС_МЕНЮ!$I$11:$I$3265,СПРОС_ДЕНЬ_ЧАС_МЕНЮ!$A$11:$A$3265,A241,СПРОС_ДЕНЬ_ЧАС_МЕНЮ!$B$11:$B$3265,B241,СПРОС_ДЕНЬ_ЧАС_МЕНЮ!$F$11:$F$3265,C241)</f>
        <v>1.65</v>
      </c>
      <c r="G241" s="12" t="n">
        <f aca="false">ПАРАМЕТРЫ!D26</f>
        <v>20</v>
      </c>
      <c r="H241" s="12" t="n">
        <f aca="false">SUMIFS(ШТАТ_ПО_ЧАСАМ!$C$11:$C$115,ШТАТ_ПО_ЧАСАМ!$A$11:$A$115,A241,ШТАТ_ПО_ЧАСАМ!$B$11:$B$115,B241)</f>
        <v>1</v>
      </c>
      <c r="I241" s="12" t="n">
        <f aca="false">MIN(H241,1)*ПАРАМЕТРЫ!E26</f>
        <v>10</v>
      </c>
      <c r="J241" s="12" t="n">
        <f aca="false">MIN(G241,I241)</f>
        <v>10</v>
      </c>
      <c r="K241" s="12" t="n">
        <f aca="false">MAX(F241-J241,0)</f>
        <v>0</v>
      </c>
      <c r="L241" s="12" t="n">
        <f aca="false">IF(J241=0,0,F241/J241)</f>
        <v>0.165</v>
      </c>
      <c r="M241" s="11" t="str">
        <f aca="false">IF(K241&gt;0,"BLOCKED","PASS")</f>
        <v>PASS</v>
      </c>
      <c r="N241" s="11" t="s">
        <v>233</v>
      </c>
    </row>
    <row r="242" customFormat="false" ht="15" hidden="false" customHeight="false" outlineLevel="0" collapsed="false">
      <c r="A242" s="11" t="s">
        <v>108</v>
      </c>
      <c r="B242" s="11" t="s">
        <v>137</v>
      </c>
      <c r="C242" s="11" t="s">
        <v>93</v>
      </c>
      <c r="D242" s="11" t="s">
        <v>234</v>
      </c>
      <c r="E242" s="11" t="s">
        <v>95</v>
      </c>
      <c r="F242" s="12" t="n">
        <f aca="false">SUMIFS(СПРОС_ДЕНЬ_ЧАС_МЕНЮ!$I$11:$I$3265,СПРОС_ДЕНЬ_ЧАС_МЕНЮ!$A$11:$A$3265,A242,СПРОС_ДЕНЬ_ЧАС_МЕНЮ!$B$11:$B$3265,B242)</f>
        <v>29.305045</v>
      </c>
      <c r="G242" s="12" t="n">
        <f aca="false">ПАРАМЕТРЫ!D27</f>
        <v>60</v>
      </c>
      <c r="H242" s="12" t="n">
        <f aca="false">SUMIFS(ШТАТ_ПО_ЧАСАМ!$C$11:$C$115,ШТАТ_ПО_ЧАСАМ!$A$11:$A$115,A242,ШТАТ_ПО_ЧАСАМ!$B$11:$B$115,B242)</f>
        <v>1</v>
      </c>
      <c r="I242" s="12" t="n">
        <f aca="false">H242*ПАРАМЕТРЫ!E27</f>
        <v>16.6666666666667</v>
      </c>
      <c r="J242" s="12" t="n">
        <f aca="false">MIN(G242,I242)</f>
        <v>16.6666666666667</v>
      </c>
      <c r="K242" s="12" t="n">
        <f aca="false">MAX(F242-J242,0)</f>
        <v>12.6383783333333</v>
      </c>
      <c r="L242" s="12" t="n">
        <f aca="false">IF(J242=0,0,F242/J242)</f>
        <v>1.7583027</v>
      </c>
      <c r="M242" s="11" t="str">
        <f aca="false">IF(K242&gt;0,"BLOCKED","PASS")</f>
        <v>BLOCKED</v>
      </c>
      <c r="N242" s="11" t="s">
        <v>235</v>
      </c>
    </row>
    <row r="243" customFormat="false" ht="23.85" hidden="false" customHeight="false" outlineLevel="0" collapsed="false">
      <c r="A243" s="11" t="s">
        <v>108</v>
      </c>
      <c r="B243" s="11" t="s">
        <v>138</v>
      </c>
      <c r="C243" s="11" t="s">
        <v>73</v>
      </c>
      <c r="D243" s="11" t="s">
        <v>74</v>
      </c>
      <c r="E243" s="11" t="s">
        <v>75</v>
      </c>
      <c r="F243" s="12" t="n">
        <f aca="false">SUMIFS(СПРОС_ДЕНЬ_ЧАС_МЕНЮ!$I$11:$I$3265,СПРОС_ДЕНЬ_ЧАС_МЕНЮ!$A$11:$A$3265,A243,СПРОС_ДЕНЬ_ЧАС_МЕНЮ!$B$11:$B$3265,B243,СПРОС_ДЕНЬ_ЧАС_МЕНЮ!$F$11:$F$3265,C243)</f>
        <v>2.464</v>
      </c>
      <c r="G243" s="12" t="n">
        <f aca="false">ПАРАМЕТРЫ!D20</f>
        <v>25</v>
      </c>
      <c r="H243" s="12" t="n">
        <f aca="false">SUMIFS(ШТАТ_ПО_ЧАСАМ!$C$11:$C$115,ШТАТ_ПО_ЧАСАМ!$A$11:$A$115,A243,ШТАТ_ПО_ЧАСАМ!$B$11:$B$115,B243)</f>
        <v>1</v>
      </c>
      <c r="I243" s="12" t="n">
        <f aca="false">MIN(H243,1)*ПАРАМЕТРЫ!E20</f>
        <v>10</v>
      </c>
      <c r="J243" s="12" t="n">
        <f aca="false">MIN(G243,I243)</f>
        <v>10</v>
      </c>
      <c r="K243" s="12" t="n">
        <f aca="false">MAX(F243-J243,0)</f>
        <v>0</v>
      </c>
      <c r="L243" s="12" t="n">
        <f aca="false">IF(J243=0,0,F243/J243)</f>
        <v>0.2464</v>
      </c>
      <c r="M243" s="11" t="str">
        <f aca="false">IF(K243&gt;0,"BLOCKED","PASS")</f>
        <v>PASS</v>
      </c>
      <c r="N243" s="11" t="s">
        <v>233</v>
      </c>
    </row>
    <row r="244" customFormat="false" ht="23.85" hidden="false" customHeight="false" outlineLevel="0" collapsed="false">
      <c r="A244" s="11" t="s">
        <v>108</v>
      </c>
      <c r="B244" s="11" t="s">
        <v>138</v>
      </c>
      <c r="C244" s="11" t="s">
        <v>77</v>
      </c>
      <c r="D244" s="11" t="s">
        <v>78</v>
      </c>
      <c r="E244" s="11" t="s">
        <v>79</v>
      </c>
      <c r="F244" s="12" t="n">
        <f aca="false">SUMIFS(СПРОС_ДЕНЬ_ЧАС_МЕНЮ!$I$11:$I$3265,СПРОС_ДЕНЬ_ЧАС_МЕНЮ!$A$11:$A$3265,A244,СПРОС_ДЕНЬ_ЧАС_МЕНЮ!$B$11:$B$3265,B244,СПРОС_ДЕНЬ_ЧАС_МЕНЮ!$F$11:$F$3265,C244)</f>
        <v>1.1264</v>
      </c>
      <c r="G244" s="12" t="n">
        <f aca="false">ПАРАМЕТРЫ!D21</f>
        <v>20</v>
      </c>
      <c r="H244" s="12" t="n">
        <f aca="false">SUMIFS(ШТАТ_ПО_ЧАСАМ!$C$11:$C$115,ШТАТ_ПО_ЧАСАМ!$A$11:$A$115,A244,ШТАТ_ПО_ЧАСАМ!$B$11:$B$115,B244)</f>
        <v>1</v>
      </c>
      <c r="I244" s="12" t="n">
        <f aca="false">MIN(H244,1)*ПАРАМЕТРЫ!E21</f>
        <v>10</v>
      </c>
      <c r="J244" s="12" t="n">
        <f aca="false">MIN(G244,I244)</f>
        <v>10</v>
      </c>
      <c r="K244" s="12" t="n">
        <f aca="false">MAX(F244-J244,0)</f>
        <v>0</v>
      </c>
      <c r="L244" s="12" t="n">
        <f aca="false">IF(J244=0,0,F244/J244)</f>
        <v>0.11264</v>
      </c>
      <c r="M244" s="11" t="str">
        <f aca="false">IF(K244&gt;0,"BLOCKED","PASS")</f>
        <v>PASS</v>
      </c>
      <c r="N244" s="11" t="s">
        <v>233</v>
      </c>
    </row>
    <row r="245" customFormat="false" ht="23.85" hidden="false" customHeight="false" outlineLevel="0" collapsed="false">
      <c r="A245" s="11" t="s">
        <v>108</v>
      </c>
      <c r="B245" s="11" t="s">
        <v>138</v>
      </c>
      <c r="C245" s="11" t="s">
        <v>80</v>
      </c>
      <c r="D245" s="11" t="s">
        <v>81</v>
      </c>
      <c r="E245" s="11" t="s">
        <v>82</v>
      </c>
      <c r="F245" s="12" t="n">
        <f aca="false">SUMIFS(СПРОС_ДЕНЬ_ЧАС_МЕНЮ!$I$11:$I$3265,СПРОС_ДЕНЬ_ЧАС_МЕНЮ!$A$11:$A$3265,A245,СПРОС_ДЕНЬ_ЧАС_МЕНЮ!$B$11:$B$3265,B245,СПРОС_ДЕНЬ_ЧАС_МЕНЮ!$F$11:$F$3265,C245)</f>
        <v>3.7675</v>
      </c>
      <c r="G245" s="12" t="n">
        <f aca="false">ПАРАМЕТРЫ!D22</f>
        <v>16</v>
      </c>
      <c r="H245" s="12" t="n">
        <f aca="false">SUMIFS(ШТАТ_ПО_ЧАСАМ!$C$11:$C$115,ШТАТ_ПО_ЧАСАМ!$A$11:$A$115,A245,ШТАТ_ПО_ЧАСАМ!$B$11:$B$115,B245)</f>
        <v>1</v>
      </c>
      <c r="I245" s="12" t="n">
        <f aca="false">MIN(H245,1)*ПАРАМЕТРЫ!E22</f>
        <v>16</v>
      </c>
      <c r="J245" s="12" t="n">
        <f aca="false">MIN(G245,I245)</f>
        <v>16</v>
      </c>
      <c r="K245" s="12" t="n">
        <f aca="false">MAX(F245-J245,0)</f>
        <v>0</v>
      </c>
      <c r="L245" s="12" t="n">
        <f aca="false">IF(J245=0,0,F245/J245)</f>
        <v>0.23546875</v>
      </c>
      <c r="M245" s="11" t="str">
        <f aca="false">IF(K245&gt;0,"BLOCKED","PASS")</f>
        <v>PASS</v>
      </c>
      <c r="N245" s="11" t="s">
        <v>233</v>
      </c>
    </row>
    <row r="246" customFormat="false" ht="23.85" hidden="false" customHeight="false" outlineLevel="0" collapsed="false">
      <c r="A246" s="11" t="s">
        <v>108</v>
      </c>
      <c r="B246" s="11" t="s">
        <v>138</v>
      </c>
      <c r="C246" s="11" t="s">
        <v>83</v>
      </c>
      <c r="D246" s="11" t="s">
        <v>84</v>
      </c>
      <c r="E246" s="11" t="s">
        <v>83</v>
      </c>
      <c r="F246" s="12" t="n">
        <f aca="false">SUMIFS(СПРОС_ДЕНЬ_ЧАС_МЕНЮ!$I$11:$I$3265,СПРОС_ДЕНЬ_ЧАС_МЕНЮ!$A$11:$A$3265,A246,СПРОС_ДЕНЬ_ЧАС_МЕНЮ!$B$11:$B$3265,B246,СПРОС_ДЕНЬ_ЧАС_МЕНЮ!$F$11:$F$3265,C246)</f>
        <v>6.2975</v>
      </c>
      <c r="G246" s="12" t="n">
        <f aca="false">ПАРАМЕТРЫ!D23</f>
        <v>21</v>
      </c>
      <c r="H246" s="12" t="n">
        <f aca="false">SUMIFS(ШТАТ_ПО_ЧАСАМ!$C$11:$C$115,ШТАТ_ПО_ЧАСАМ!$A$11:$A$115,A246,ШТАТ_ПО_ЧАСАМ!$B$11:$B$115,B246)</f>
        <v>1</v>
      </c>
      <c r="I246" s="12" t="n">
        <f aca="false">MIN(H246,1)*ПАРАМЕТРЫ!E23</f>
        <v>21</v>
      </c>
      <c r="J246" s="12" t="n">
        <f aca="false">MIN(G246,I246)</f>
        <v>21</v>
      </c>
      <c r="K246" s="12" t="n">
        <f aca="false">MAX(F246-J246,0)</f>
        <v>0</v>
      </c>
      <c r="L246" s="12" t="n">
        <f aca="false">IF(J246=0,0,F246/J246)</f>
        <v>0.299880952380952</v>
      </c>
      <c r="M246" s="11" t="str">
        <f aca="false">IF(K246&gt;0,"BLOCKED","PASS")</f>
        <v>PASS</v>
      </c>
      <c r="N246" s="11" t="s">
        <v>233</v>
      </c>
    </row>
    <row r="247" customFormat="false" ht="23.85" hidden="false" customHeight="false" outlineLevel="0" collapsed="false">
      <c r="A247" s="11" t="s">
        <v>108</v>
      </c>
      <c r="B247" s="11" t="s">
        <v>138</v>
      </c>
      <c r="C247" s="11" t="s">
        <v>85</v>
      </c>
      <c r="D247" s="11" t="s">
        <v>86</v>
      </c>
      <c r="E247" s="11" t="s">
        <v>87</v>
      </c>
      <c r="F247" s="12" t="n">
        <f aca="false">SUMIFS(СПРОС_ДЕНЬ_ЧАС_МЕНЮ!$I$11:$I$3265,СПРОС_ДЕНЬ_ЧАС_МЕНЮ!$A$11:$A$3265,A247,СПРОС_ДЕНЬ_ЧАС_МЕНЮ!$B$11:$B$3265,B247,СПРОС_ДЕНЬ_ЧАС_МЕНЮ!$F$11:$F$3265,C247)</f>
        <v>3.1671475</v>
      </c>
      <c r="G247" s="12" t="n">
        <f aca="false">ПАРАМЕТРЫ!D24</f>
        <v>12</v>
      </c>
      <c r="H247" s="12" t="n">
        <f aca="false">SUMIFS(ШТАТ_ПО_ЧАСАМ!$C$11:$C$115,ШТАТ_ПО_ЧАСАМ!$A$11:$A$115,A247,ШТАТ_ПО_ЧАСАМ!$B$11:$B$115,B247)</f>
        <v>1</v>
      </c>
      <c r="I247" s="12" t="n">
        <f aca="false">MIN(H247,1)*ПАРАМЕТРЫ!E24</f>
        <v>12</v>
      </c>
      <c r="J247" s="12" t="n">
        <f aca="false">MIN(G247,I247)</f>
        <v>12</v>
      </c>
      <c r="K247" s="12" t="n">
        <f aca="false">MAX(F247-J247,0)</f>
        <v>0</v>
      </c>
      <c r="L247" s="12" t="n">
        <f aca="false">IF(J247=0,0,F247/J247)</f>
        <v>0.263928958333333</v>
      </c>
      <c r="M247" s="11" t="str">
        <f aca="false">IF(K247&gt;0,"BLOCKED","PASS")</f>
        <v>PASS</v>
      </c>
      <c r="N247" s="11" t="s">
        <v>233</v>
      </c>
    </row>
    <row r="248" customFormat="false" ht="23.85" hidden="false" customHeight="false" outlineLevel="0" collapsed="false">
      <c r="A248" s="11" t="s">
        <v>108</v>
      </c>
      <c r="B248" s="11" t="s">
        <v>138</v>
      </c>
      <c r="C248" s="11" t="s">
        <v>88</v>
      </c>
      <c r="D248" s="11" t="s">
        <v>89</v>
      </c>
      <c r="E248" s="11" t="s">
        <v>90</v>
      </c>
      <c r="F248" s="12" t="n">
        <f aca="false">SUMIFS(СПРОС_ДЕНЬ_ЧАС_МЕНЮ!$I$11:$I$3265,СПРОС_ДЕНЬ_ЧАС_МЕНЮ!$A$11:$A$3265,A248,СПРОС_ДЕНЬ_ЧАС_МЕНЮ!$B$11:$B$3265,B248,СПРОС_ДЕНЬ_ЧАС_МЕНЮ!$F$11:$F$3265,C248)</f>
        <v>0</v>
      </c>
      <c r="G248" s="12" t="n">
        <f aca="false">ПАРАМЕТРЫ!D25</f>
        <v>15</v>
      </c>
      <c r="H248" s="12" t="n">
        <f aca="false">SUMIFS(ШТАТ_ПО_ЧАСАМ!$C$11:$C$115,ШТАТ_ПО_ЧАСАМ!$A$11:$A$115,A248,ШТАТ_ПО_ЧАСАМ!$B$11:$B$115,B248)</f>
        <v>1</v>
      </c>
      <c r="I248" s="12" t="n">
        <f aca="false">MIN(H248,1)*ПАРАМЕТРЫ!E25</f>
        <v>10</v>
      </c>
      <c r="J248" s="12" t="n">
        <f aca="false">MIN(G248,I248)</f>
        <v>10</v>
      </c>
      <c r="K248" s="12" t="n">
        <f aca="false">MAX(F248-J248,0)</f>
        <v>0</v>
      </c>
      <c r="L248" s="12" t="n">
        <f aca="false">IF(J248=0,0,F248/J248)</f>
        <v>0</v>
      </c>
      <c r="M248" s="11" t="str">
        <f aca="false">IF(K248&gt;0,"BLOCKED","PASS")</f>
        <v>PASS</v>
      </c>
      <c r="N248" s="11" t="s">
        <v>233</v>
      </c>
    </row>
    <row r="249" customFormat="false" ht="23.85" hidden="false" customHeight="false" outlineLevel="0" collapsed="false">
      <c r="A249" s="11" t="s">
        <v>108</v>
      </c>
      <c r="B249" s="11" t="s">
        <v>138</v>
      </c>
      <c r="C249" s="11" t="s">
        <v>91</v>
      </c>
      <c r="D249" s="11" t="s">
        <v>92</v>
      </c>
      <c r="E249" s="11" t="s">
        <v>79</v>
      </c>
      <c r="F249" s="12" t="n">
        <f aca="false">SUMIFS(СПРОС_ДЕНЬ_ЧАС_МЕНЮ!$I$11:$I$3265,СПРОС_ДЕНЬ_ЧАС_МЕНЮ!$A$11:$A$3265,A249,СПРОС_ДЕНЬ_ЧАС_МЕНЮ!$B$11:$B$3265,B249,СПРОС_ДЕНЬ_ЧАС_МЕНЮ!$F$11:$F$3265,C249)</f>
        <v>0.935</v>
      </c>
      <c r="G249" s="12" t="n">
        <f aca="false">ПАРАМЕТРЫ!D26</f>
        <v>20</v>
      </c>
      <c r="H249" s="12" t="n">
        <f aca="false">SUMIFS(ШТАТ_ПО_ЧАСАМ!$C$11:$C$115,ШТАТ_ПО_ЧАСАМ!$A$11:$A$115,A249,ШТАТ_ПО_ЧАСАМ!$B$11:$B$115,B249)</f>
        <v>1</v>
      </c>
      <c r="I249" s="12" t="n">
        <f aca="false">MIN(H249,1)*ПАРАМЕТРЫ!E26</f>
        <v>10</v>
      </c>
      <c r="J249" s="12" t="n">
        <f aca="false">MIN(G249,I249)</f>
        <v>10</v>
      </c>
      <c r="K249" s="12" t="n">
        <f aca="false">MAX(F249-J249,0)</f>
        <v>0</v>
      </c>
      <c r="L249" s="12" t="n">
        <f aca="false">IF(J249=0,0,F249/J249)</f>
        <v>0.0935</v>
      </c>
      <c r="M249" s="11" t="str">
        <f aca="false">IF(K249&gt;0,"BLOCKED","PASS")</f>
        <v>PASS</v>
      </c>
      <c r="N249" s="11" t="s">
        <v>233</v>
      </c>
    </row>
    <row r="250" customFormat="false" ht="15" hidden="false" customHeight="false" outlineLevel="0" collapsed="false">
      <c r="A250" s="11" t="s">
        <v>108</v>
      </c>
      <c r="B250" s="11" t="s">
        <v>138</v>
      </c>
      <c r="C250" s="11" t="s">
        <v>93</v>
      </c>
      <c r="D250" s="11" t="s">
        <v>234</v>
      </c>
      <c r="E250" s="11" t="s">
        <v>95</v>
      </c>
      <c r="F250" s="12" t="n">
        <f aca="false">SUMIFS(СПРОС_ДЕНЬ_ЧАС_МЕНЮ!$I$11:$I$3265,СПРОС_ДЕНЬ_ЧАС_МЕНЮ!$A$11:$A$3265,A250,СПРОС_ДЕНЬ_ЧАС_МЕНЮ!$B$11:$B$3265,B250)</f>
        <v>17.7575475</v>
      </c>
      <c r="G250" s="12" t="n">
        <f aca="false">ПАРАМЕТРЫ!D27</f>
        <v>60</v>
      </c>
      <c r="H250" s="12" t="n">
        <f aca="false">SUMIFS(ШТАТ_ПО_ЧАСАМ!$C$11:$C$115,ШТАТ_ПО_ЧАСАМ!$A$11:$A$115,A250,ШТАТ_ПО_ЧАСАМ!$B$11:$B$115,B250)</f>
        <v>1</v>
      </c>
      <c r="I250" s="12" t="n">
        <f aca="false">H250*ПАРАМЕТРЫ!E27</f>
        <v>16.6666666666667</v>
      </c>
      <c r="J250" s="12" t="n">
        <f aca="false">MIN(G250,I250)</f>
        <v>16.6666666666667</v>
      </c>
      <c r="K250" s="12" t="n">
        <f aca="false">MAX(F250-J250,0)</f>
        <v>1.09088083333334</v>
      </c>
      <c r="L250" s="12" t="n">
        <f aca="false">IF(J250=0,0,F250/J250)</f>
        <v>1.06545285</v>
      </c>
      <c r="M250" s="11" t="str">
        <f aca="false">IF(K250&gt;0,"BLOCKED","PASS")</f>
        <v>BLOCKED</v>
      </c>
      <c r="N250" s="11" t="s">
        <v>235</v>
      </c>
    </row>
    <row r="251" customFormat="false" ht="23.85" hidden="false" customHeight="false" outlineLevel="0" collapsed="false">
      <c r="A251" s="11" t="s">
        <v>109</v>
      </c>
      <c r="B251" s="11" t="s">
        <v>124</v>
      </c>
      <c r="C251" s="11" t="s">
        <v>73</v>
      </c>
      <c r="D251" s="11" t="s">
        <v>74</v>
      </c>
      <c r="E251" s="11" t="s">
        <v>75</v>
      </c>
      <c r="F251" s="12" t="n">
        <f aca="false">SUMIFS(СПРОС_ДЕНЬ_ЧАС_МЕНЮ!$I$11:$I$3265,СПРОС_ДЕНЬ_ЧАС_МЕНЮ!$A$11:$A$3265,A251,СПРОС_ДЕНЬ_ЧАС_МЕНЮ!$B$11:$B$3265,B251,СПРОС_ДЕНЬ_ЧАС_МЕНЮ!$F$11:$F$3265,C251)</f>
        <v>0</v>
      </c>
      <c r="G251" s="12" t="n">
        <f aca="false">ПАРАМЕТРЫ!D20</f>
        <v>25</v>
      </c>
      <c r="H251" s="12" t="n">
        <f aca="false">SUMIFS(ШТАТ_ПО_ЧАСАМ!$C$11:$C$115,ШТАТ_ПО_ЧАСАМ!$A$11:$A$115,A251,ШТАТ_ПО_ЧАСАМ!$B$11:$B$115,B251)</f>
        <v>1</v>
      </c>
      <c r="I251" s="12" t="n">
        <f aca="false">MIN(H251,1)*ПАРАМЕТРЫ!E20</f>
        <v>10</v>
      </c>
      <c r="J251" s="12" t="n">
        <f aca="false">MIN(G251,I251)</f>
        <v>10</v>
      </c>
      <c r="K251" s="12" t="n">
        <f aca="false">MAX(F251-J251,0)</f>
        <v>0</v>
      </c>
      <c r="L251" s="12" t="n">
        <f aca="false">IF(J251=0,0,F251/J251)</f>
        <v>0</v>
      </c>
      <c r="M251" s="11" t="str">
        <f aca="false">IF(K251&gt;0,"BLOCKED","PASS")</f>
        <v>PASS</v>
      </c>
      <c r="N251" s="11" t="s">
        <v>233</v>
      </c>
    </row>
    <row r="252" customFormat="false" ht="23.85" hidden="false" customHeight="false" outlineLevel="0" collapsed="false">
      <c r="A252" s="11" t="s">
        <v>109</v>
      </c>
      <c r="B252" s="11" t="s">
        <v>124</v>
      </c>
      <c r="C252" s="11" t="s">
        <v>77</v>
      </c>
      <c r="D252" s="11" t="s">
        <v>78</v>
      </c>
      <c r="E252" s="11" t="s">
        <v>79</v>
      </c>
      <c r="F252" s="12" t="n">
        <f aca="false">SUMIFS(СПРОС_ДЕНЬ_ЧАС_МЕНЮ!$I$11:$I$3265,СПРОС_ДЕНЬ_ЧАС_МЕНЮ!$A$11:$A$3265,A252,СПРОС_ДЕНЬ_ЧАС_МЕНЮ!$B$11:$B$3265,B252,СПРОС_ДЕНЬ_ЧАС_МЕНЮ!$F$11:$F$3265,C252)</f>
        <v>0.396</v>
      </c>
      <c r="G252" s="12" t="n">
        <f aca="false">ПАРАМЕТРЫ!D21</f>
        <v>20</v>
      </c>
      <c r="H252" s="12" t="n">
        <f aca="false">SUMIFS(ШТАТ_ПО_ЧАСАМ!$C$11:$C$115,ШТАТ_ПО_ЧАСАМ!$A$11:$A$115,A252,ШТАТ_ПО_ЧАСАМ!$B$11:$B$115,B252)</f>
        <v>1</v>
      </c>
      <c r="I252" s="12" t="n">
        <f aca="false">MIN(H252,1)*ПАРАМЕТРЫ!E21</f>
        <v>10</v>
      </c>
      <c r="J252" s="12" t="n">
        <f aca="false">MIN(G252,I252)</f>
        <v>10</v>
      </c>
      <c r="K252" s="12" t="n">
        <f aca="false">MAX(F252-J252,0)</f>
        <v>0</v>
      </c>
      <c r="L252" s="12" t="n">
        <f aca="false">IF(J252=0,0,F252/J252)</f>
        <v>0.0396</v>
      </c>
      <c r="M252" s="11" t="str">
        <f aca="false">IF(K252&gt;0,"BLOCKED","PASS")</f>
        <v>PASS</v>
      </c>
      <c r="N252" s="11" t="s">
        <v>233</v>
      </c>
    </row>
    <row r="253" customFormat="false" ht="23.85" hidden="false" customHeight="false" outlineLevel="0" collapsed="false">
      <c r="A253" s="11" t="s">
        <v>109</v>
      </c>
      <c r="B253" s="11" t="s">
        <v>124</v>
      </c>
      <c r="C253" s="11" t="s">
        <v>80</v>
      </c>
      <c r="D253" s="11" t="s">
        <v>81</v>
      </c>
      <c r="E253" s="11" t="s">
        <v>82</v>
      </c>
      <c r="F253" s="12" t="n">
        <f aca="false">SUMIFS(СПРОС_ДЕНЬ_ЧАС_МЕНЮ!$I$11:$I$3265,СПРОС_ДЕНЬ_ЧАС_МЕНЮ!$A$11:$A$3265,A253,СПРОС_ДЕНЬ_ЧАС_МЕНЮ!$B$11:$B$3265,B253,СПРОС_ДЕНЬ_ЧАС_МЕНЮ!$F$11:$F$3265,C253)</f>
        <v>0</v>
      </c>
      <c r="G253" s="12" t="n">
        <f aca="false">ПАРАМЕТРЫ!D22</f>
        <v>16</v>
      </c>
      <c r="H253" s="12" t="n">
        <f aca="false">SUMIFS(ШТАТ_ПО_ЧАСАМ!$C$11:$C$115,ШТАТ_ПО_ЧАСАМ!$A$11:$A$115,A253,ШТАТ_ПО_ЧАСАМ!$B$11:$B$115,B253)</f>
        <v>1</v>
      </c>
      <c r="I253" s="12" t="n">
        <f aca="false">MIN(H253,1)*ПАРАМЕТРЫ!E22</f>
        <v>16</v>
      </c>
      <c r="J253" s="12" t="n">
        <f aca="false">MIN(G253,I253)</f>
        <v>16</v>
      </c>
      <c r="K253" s="12" t="n">
        <f aca="false">MAX(F253-J253,0)</f>
        <v>0</v>
      </c>
      <c r="L253" s="12" t="n">
        <f aca="false">IF(J253=0,0,F253/J253)</f>
        <v>0</v>
      </c>
      <c r="M253" s="11" t="str">
        <f aca="false">IF(K253&gt;0,"BLOCKED","PASS")</f>
        <v>PASS</v>
      </c>
      <c r="N253" s="11" t="s">
        <v>233</v>
      </c>
    </row>
    <row r="254" customFormat="false" ht="23.85" hidden="false" customHeight="false" outlineLevel="0" collapsed="false">
      <c r="A254" s="11" t="s">
        <v>109</v>
      </c>
      <c r="B254" s="11" t="s">
        <v>124</v>
      </c>
      <c r="C254" s="11" t="s">
        <v>83</v>
      </c>
      <c r="D254" s="11" t="s">
        <v>84</v>
      </c>
      <c r="E254" s="11" t="s">
        <v>83</v>
      </c>
      <c r="F254" s="12" t="n">
        <f aca="false">SUMIFS(СПРОС_ДЕНЬ_ЧАС_МЕНЮ!$I$11:$I$3265,СПРОС_ДЕНЬ_ЧАС_МЕНЮ!$A$11:$A$3265,A254,СПРОС_ДЕНЬ_ЧАС_МЕНЮ!$B$11:$B$3265,B254,СПРОС_ДЕНЬ_ЧАС_МЕНЮ!$F$11:$F$3265,C254)</f>
        <v>0</v>
      </c>
      <c r="G254" s="12" t="n">
        <f aca="false">ПАРАМЕТРЫ!D23</f>
        <v>21</v>
      </c>
      <c r="H254" s="12" t="n">
        <f aca="false">SUMIFS(ШТАТ_ПО_ЧАСАМ!$C$11:$C$115,ШТАТ_ПО_ЧАСАМ!$A$11:$A$115,A254,ШТАТ_ПО_ЧАСАМ!$B$11:$B$115,B254)</f>
        <v>1</v>
      </c>
      <c r="I254" s="12" t="n">
        <f aca="false">MIN(H254,1)*ПАРАМЕТРЫ!E23</f>
        <v>21</v>
      </c>
      <c r="J254" s="12" t="n">
        <f aca="false">MIN(G254,I254)</f>
        <v>21</v>
      </c>
      <c r="K254" s="12" t="n">
        <f aca="false">MAX(F254-J254,0)</f>
        <v>0</v>
      </c>
      <c r="L254" s="12" t="n">
        <f aca="false">IF(J254=0,0,F254/J254)</f>
        <v>0</v>
      </c>
      <c r="M254" s="11" t="str">
        <f aca="false">IF(K254&gt;0,"BLOCKED","PASS")</f>
        <v>PASS</v>
      </c>
      <c r="N254" s="11" t="s">
        <v>233</v>
      </c>
    </row>
    <row r="255" customFormat="false" ht="23.85" hidden="false" customHeight="false" outlineLevel="0" collapsed="false">
      <c r="A255" s="11" t="s">
        <v>109</v>
      </c>
      <c r="B255" s="11" t="s">
        <v>124</v>
      </c>
      <c r="C255" s="11" t="s">
        <v>85</v>
      </c>
      <c r="D255" s="11" t="s">
        <v>86</v>
      </c>
      <c r="E255" s="11" t="s">
        <v>87</v>
      </c>
      <c r="F255" s="12" t="n">
        <f aca="false">SUMIFS(СПРОС_ДЕНЬ_ЧАС_МЕНЮ!$I$11:$I$3265,СПРОС_ДЕНЬ_ЧАС_МЕНЮ!$A$11:$A$3265,A255,СПРОС_ДЕНЬ_ЧАС_МЕНЮ!$B$11:$B$3265,B255,СПРОС_ДЕНЬ_ЧАС_МЕНЮ!$F$11:$F$3265,C255)</f>
        <v>0</v>
      </c>
      <c r="G255" s="12" t="n">
        <f aca="false">ПАРАМЕТРЫ!D24</f>
        <v>12</v>
      </c>
      <c r="H255" s="12" t="n">
        <f aca="false">SUMIFS(ШТАТ_ПО_ЧАСАМ!$C$11:$C$115,ШТАТ_ПО_ЧАСАМ!$A$11:$A$115,A255,ШТАТ_ПО_ЧАСАМ!$B$11:$B$115,B255)</f>
        <v>1</v>
      </c>
      <c r="I255" s="12" t="n">
        <f aca="false">MIN(H255,1)*ПАРАМЕТРЫ!E24</f>
        <v>12</v>
      </c>
      <c r="J255" s="12" t="n">
        <f aca="false">MIN(G255,I255)</f>
        <v>12</v>
      </c>
      <c r="K255" s="12" t="n">
        <f aca="false">MAX(F255-J255,0)</f>
        <v>0</v>
      </c>
      <c r="L255" s="12" t="n">
        <f aca="false">IF(J255=0,0,F255/J255)</f>
        <v>0</v>
      </c>
      <c r="M255" s="11" t="str">
        <f aca="false">IF(K255&gt;0,"BLOCKED","PASS")</f>
        <v>PASS</v>
      </c>
      <c r="N255" s="11" t="s">
        <v>233</v>
      </c>
    </row>
    <row r="256" customFormat="false" ht="23.85" hidden="false" customHeight="false" outlineLevel="0" collapsed="false">
      <c r="A256" s="11" t="s">
        <v>109</v>
      </c>
      <c r="B256" s="11" t="s">
        <v>124</v>
      </c>
      <c r="C256" s="11" t="s">
        <v>88</v>
      </c>
      <c r="D256" s="11" t="s">
        <v>89</v>
      </c>
      <c r="E256" s="11" t="s">
        <v>90</v>
      </c>
      <c r="F256" s="12" t="n">
        <f aca="false">SUMIFS(СПРОС_ДЕНЬ_ЧАС_МЕНЮ!$I$11:$I$3265,СПРОС_ДЕНЬ_ЧАС_МЕНЮ!$A$11:$A$3265,A256,СПРОС_ДЕНЬ_ЧАС_МЕНЮ!$B$11:$B$3265,B256,СПРОС_ДЕНЬ_ЧАС_МЕНЮ!$F$11:$F$3265,C256)</f>
        <v>3.3</v>
      </c>
      <c r="G256" s="12" t="n">
        <f aca="false">ПАРАМЕТРЫ!D25</f>
        <v>15</v>
      </c>
      <c r="H256" s="12" t="n">
        <f aca="false">SUMIFS(ШТАТ_ПО_ЧАСАМ!$C$11:$C$115,ШТАТ_ПО_ЧАСАМ!$A$11:$A$115,A256,ШТАТ_ПО_ЧАСАМ!$B$11:$B$115,B256)</f>
        <v>1</v>
      </c>
      <c r="I256" s="12" t="n">
        <f aca="false">MIN(H256,1)*ПАРАМЕТРЫ!E25</f>
        <v>10</v>
      </c>
      <c r="J256" s="12" t="n">
        <f aca="false">MIN(G256,I256)</f>
        <v>10</v>
      </c>
      <c r="K256" s="12" t="n">
        <f aca="false">MAX(F256-J256,0)</f>
        <v>0</v>
      </c>
      <c r="L256" s="12" t="n">
        <f aca="false">IF(J256=0,0,F256/J256)</f>
        <v>0.33</v>
      </c>
      <c r="M256" s="11" t="str">
        <f aca="false">IF(K256&gt;0,"BLOCKED","PASS")</f>
        <v>PASS</v>
      </c>
      <c r="N256" s="11" t="s">
        <v>233</v>
      </c>
    </row>
    <row r="257" customFormat="false" ht="23.85" hidden="false" customHeight="false" outlineLevel="0" collapsed="false">
      <c r="A257" s="11" t="s">
        <v>109</v>
      </c>
      <c r="B257" s="11" t="s">
        <v>124</v>
      </c>
      <c r="C257" s="11" t="s">
        <v>91</v>
      </c>
      <c r="D257" s="11" t="s">
        <v>92</v>
      </c>
      <c r="E257" s="11" t="s">
        <v>79</v>
      </c>
      <c r="F257" s="12" t="n">
        <f aca="false">SUMIFS(СПРОС_ДЕНЬ_ЧАС_МЕНЮ!$I$11:$I$3265,СПРОС_ДЕНЬ_ЧАС_МЕНЮ!$A$11:$A$3265,A257,СПРОС_ДЕНЬ_ЧАС_МЕНЮ!$B$11:$B$3265,B257,СПРОС_ДЕНЬ_ЧАС_МЕНЮ!$F$11:$F$3265,C257)</f>
        <v>0.198</v>
      </c>
      <c r="G257" s="12" t="n">
        <f aca="false">ПАРАМЕТРЫ!D26</f>
        <v>20</v>
      </c>
      <c r="H257" s="12" t="n">
        <f aca="false">SUMIFS(ШТАТ_ПО_ЧАСАМ!$C$11:$C$115,ШТАТ_ПО_ЧАСАМ!$A$11:$A$115,A257,ШТАТ_ПО_ЧАСАМ!$B$11:$B$115,B257)</f>
        <v>1</v>
      </c>
      <c r="I257" s="12" t="n">
        <f aca="false">MIN(H257,1)*ПАРАМЕТРЫ!E26</f>
        <v>10</v>
      </c>
      <c r="J257" s="12" t="n">
        <f aca="false">MIN(G257,I257)</f>
        <v>10</v>
      </c>
      <c r="K257" s="12" t="n">
        <f aca="false">MAX(F257-J257,0)</f>
        <v>0</v>
      </c>
      <c r="L257" s="12" t="n">
        <f aca="false">IF(J257=0,0,F257/J257)</f>
        <v>0.0198</v>
      </c>
      <c r="M257" s="11" t="str">
        <f aca="false">IF(K257&gt;0,"BLOCKED","PASS")</f>
        <v>PASS</v>
      </c>
      <c r="N257" s="11" t="s">
        <v>233</v>
      </c>
    </row>
    <row r="258" customFormat="false" ht="15" hidden="false" customHeight="false" outlineLevel="0" collapsed="false">
      <c r="A258" s="11" t="s">
        <v>109</v>
      </c>
      <c r="B258" s="11" t="s">
        <v>124</v>
      </c>
      <c r="C258" s="11" t="s">
        <v>93</v>
      </c>
      <c r="D258" s="11" t="s">
        <v>234</v>
      </c>
      <c r="E258" s="11" t="s">
        <v>95</v>
      </c>
      <c r="F258" s="12" t="n">
        <f aca="false">SUMIFS(СПРОС_ДЕНЬ_ЧАС_МЕНЮ!$I$11:$I$3265,СПРОС_ДЕНЬ_ЧАС_МЕНЮ!$A$11:$A$3265,A258,СПРОС_ДЕНЬ_ЧАС_МЕНЮ!$B$11:$B$3265,B258)</f>
        <v>3.894</v>
      </c>
      <c r="G258" s="12" t="n">
        <f aca="false">ПАРАМЕТРЫ!D27</f>
        <v>60</v>
      </c>
      <c r="H258" s="12" t="n">
        <f aca="false">SUMIFS(ШТАТ_ПО_ЧАСАМ!$C$11:$C$115,ШТАТ_ПО_ЧАСАМ!$A$11:$A$115,A258,ШТАТ_ПО_ЧАСАМ!$B$11:$B$115,B258)</f>
        <v>1</v>
      </c>
      <c r="I258" s="12" t="n">
        <f aca="false">H258*ПАРАМЕТРЫ!E27</f>
        <v>16.6666666666667</v>
      </c>
      <c r="J258" s="12" t="n">
        <f aca="false">MIN(G258,I258)</f>
        <v>16.6666666666667</v>
      </c>
      <c r="K258" s="12" t="n">
        <f aca="false">MAX(F258-J258,0)</f>
        <v>0</v>
      </c>
      <c r="L258" s="12" t="n">
        <f aca="false">IF(J258=0,0,F258/J258)</f>
        <v>0.23364</v>
      </c>
      <c r="M258" s="11" t="str">
        <f aca="false">IF(K258&gt;0,"BLOCKED","PASS")</f>
        <v>PASS</v>
      </c>
      <c r="N258" s="11" t="s">
        <v>235</v>
      </c>
    </row>
    <row r="259" customFormat="false" ht="23.85" hidden="false" customHeight="false" outlineLevel="0" collapsed="false">
      <c r="A259" s="11" t="s">
        <v>109</v>
      </c>
      <c r="B259" s="11" t="s">
        <v>125</v>
      </c>
      <c r="C259" s="11" t="s">
        <v>73</v>
      </c>
      <c r="D259" s="11" t="s">
        <v>74</v>
      </c>
      <c r="E259" s="11" t="s">
        <v>75</v>
      </c>
      <c r="F259" s="12" t="n">
        <f aca="false">SUMIFS(СПРОС_ДЕНЬ_ЧАС_МЕНЮ!$I$11:$I$3265,СПРОС_ДЕНЬ_ЧАС_МЕНЮ!$A$11:$A$3265,A259,СПРОС_ДЕНЬ_ЧАС_МЕНЮ!$B$11:$B$3265,B259,СПРОС_ДЕНЬ_ЧАС_МЕНЮ!$F$11:$F$3265,C259)</f>
        <v>0</v>
      </c>
      <c r="G259" s="12" t="n">
        <f aca="false">ПАРАМЕТРЫ!D20</f>
        <v>25</v>
      </c>
      <c r="H259" s="12" t="n">
        <f aca="false">SUMIFS(ШТАТ_ПО_ЧАСАМ!$C$11:$C$115,ШТАТ_ПО_ЧАСАМ!$A$11:$A$115,A259,ШТАТ_ПО_ЧАСАМ!$B$11:$B$115,B259)</f>
        <v>1</v>
      </c>
      <c r="I259" s="12" t="n">
        <f aca="false">MIN(H259,1)*ПАРАМЕТРЫ!E20</f>
        <v>10</v>
      </c>
      <c r="J259" s="12" t="n">
        <f aca="false">MIN(G259,I259)</f>
        <v>10</v>
      </c>
      <c r="K259" s="12" t="n">
        <f aca="false">MAX(F259-J259,0)</f>
        <v>0</v>
      </c>
      <c r="L259" s="12" t="n">
        <f aca="false">IF(J259=0,0,F259/J259)</f>
        <v>0</v>
      </c>
      <c r="M259" s="11" t="str">
        <f aca="false">IF(K259&gt;0,"BLOCKED","PASS")</f>
        <v>PASS</v>
      </c>
      <c r="N259" s="11" t="s">
        <v>233</v>
      </c>
    </row>
    <row r="260" customFormat="false" ht="23.85" hidden="false" customHeight="false" outlineLevel="0" collapsed="false">
      <c r="A260" s="11" t="s">
        <v>109</v>
      </c>
      <c r="B260" s="11" t="s">
        <v>125</v>
      </c>
      <c r="C260" s="11" t="s">
        <v>77</v>
      </c>
      <c r="D260" s="11" t="s">
        <v>78</v>
      </c>
      <c r="E260" s="11" t="s">
        <v>79</v>
      </c>
      <c r="F260" s="12" t="n">
        <f aca="false">SUMIFS(СПРОС_ДЕНЬ_ЧАС_МЕНЮ!$I$11:$I$3265,СПРОС_ДЕНЬ_ЧАС_МЕНЮ!$A$11:$A$3265,A260,СПРОС_ДЕНЬ_ЧАС_МЕНЮ!$B$11:$B$3265,B260,СПРОС_ДЕНЬ_ЧАС_МЕНЮ!$F$11:$F$3265,C260)</f>
        <v>0.66</v>
      </c>
      <c r="G260" s="12" t="n">
        <f aca="false">ПАРАМЕТРЫ!D21</f>
        <v>20</v>
      </c>
      <c r="H260" s="12" t="n">
        <f aca="false">SUMIFS(ШТАТ_ПО_ЧАСАМ!$C$11:$C$115,ШТАТ_ПО_ЧАСАМ!$A$11:$A$115,A260,ШТАТ_ПО_ЧАСАМ!$B$11:$B$115,B260)</f>
        <v>1</v>
      </c>
      <c r="I260" s="12" t="n">
        <f aca="false">MIN(H260,1)*ПАРАМЕТРЫ!E21</f>
        <v>10</v>
      </c>
      <c r="J260" s="12" t="n">
        <f aca="false">MIN(G260,I260)</f>
        <v>10</v>
      </c>
      <c r="K260" s="12" t="n">
        <f aca="false">MAX(F260-J260,0)</f>
        <v>0</v>
      </c>
      <c r="L260" s="12" t="n">
        <f aca="false">IF(J260=0,0,F260/J260)</f>
        <v>0.066</v>
      </c>
      <c r="M260" s="11" t="str">
        <f aca="false">IF(K260&gt;0,"BLOCKED","PASS")</f>
        <v>PASS</v>
      </c>
      <c r="N260" s="11" t="s">
        <v>233</v>
      </c>
    </row>
    <row r="261" customFormat="false" ht="23.85" hidden="false" customHeight="false" outlineLevel="0" collapsed="false">
      <c r="A261" s="11" t="s">
        <v>109</v>
      </c>
      <c r="B261" s="11" t="s">
        <v>125</v>
      </c>
      <c r="C261" s="11" t="s">
        <v>80</v>
      </c>
      <c r="D261" s="11" t="s">
        <v>81</v>
      </c>
      <c r="E261" s="11" t="s">
        <v>82</v>
      </c>
      <c r="F261" s="12" t="n">
        <f aca="false">SUMIFS(СПРОС_ДЕНЬ_ЧАС_МЕНЮ!$I$11:$I$3265,СПРОС_ДЕНЬ_ЧАС_МЕНЮ!$A$11:$A$3265,A261,СПРОС_ДЕНЬ_ЧАС_МЕНЮ!$B$11:$B$3265,B261,СПРОС_ДЕНЬ_ЧАС_МЕНЮ!$F$11:$F$3265,C261)</f>
        <v>0</v>
      </c>
      <c r="G261" s="12" t="n">
        <f aca="false">ПАРАМЕТРЫ!D22</f>
        <v>16</v>
      </c>
      <c r="H261" s="12" t="n">
        <f aca="false">SUMIFS(ШТАТ_ПО_ЧАСАМ!$C$11:$C$115,ШТАТ_ПО_ЧАСАМ!$A$11:$A$115,A261,ШТАТ_ПО_ЧАСАМ!$B$11:$B$115,B261)</f>
        <v>1</v>
      </c>
      <c r="I261" s="12" t="n">
        <f aca="false">MIN(H261,1)*ПАРАМЕТРЫ!E22</f>
        <v>16</v>
      </c>
      <c r="J261" s="12" t="n">
        <f aca="false">MIN(G261,I261)</f>
        <v>16</v>
      </c>
      <c r="K261" s="12" t="n">
        <f aca="false">MAX(F261-J261,0)</f>
        <v>0</v>
      </c>
      <c r="L261" s="12" t="n">
        <f aca="false">IF(J261=0,0,F261/J261)</f>
        <v>0</v>
      </c>
      <c r="M261" s="11" t="str">
        <f aca="false">IF(K261&gt;0,"BLOCKED","PASS")</f>
        <v>PASS</v>
      </c>
      <c r="N261" s="11" t="s">
        <v>233</v>
      </c>
    </row>
    <row r="262" customFormat="false" ht="23.85" hidden="false" customHeight="false" outlineLevel="0" collapsed="false">
      <c r="A262" s="11" t="s">
        <v>109</v>
      </c>
      <c r="B262" s="11" t="s">
        <v>125</v>
      </c>
      <c r="C262" s="11" t="s">
        <v>83</v>
      </c>
      <c r="D262" s="11" t="s">
        <v>84</v>
      </c>
      <c r="E262" s="11" t="s">
        <v>83</v>
      </c>
      <c r="F262" s="12" t="n">
        <f aca="false">SUMIFS(СПРОС_ДЕНЬ_ЧАС_МЕНЮ!$I$11:$I$3265,СПРОС_ДЕНЬ_ЧАС_МЕНЮ!$A$11:$A$3265,A262,СПРОС_ДЕНЬ_ЧАС_МЕНЮ!$B$11:$B$3265,B262,СПРОС_ДЕНЬ_ЧАС_МЕНЮ!$F$11:$F$3265,C262)</f>
        <v>0</v>
      </c>
      <c r="G262" s="12" t="n">
        <f aca="false">ПАРАМЕТРЫ!D23</f>
        <v>21</v>
      </c>
      <c r="H262" s="12" t="n">
        <f aca="false">SUMIFS(ШТАТ_ПО_ЧАСАМ!$C$11:$C$115,ШТАТ_ПО_ЧАСАМ!$A$11:$A$115,A262,ШТАТ_ПО_ЧАСАМ!$B$11:$B$115,B262)</f>
        <v>1</v>
      </c>
      <c r="I262" s="12" t="n">
        <f aca="false">MIN(H262,1)*ПАРАМЕТРЫ!E23</f>
        <v>21</v>
      </c>
      <c r="J262" s="12" t="n">
        <f aca="false">MIN(G262,I262)</f>
        <v>21</v>
      </c>
      <c r="K262" s="12" t="n">
        <f aca="false">MAX(F262-J262,0)</f>
        <v>0</v>
      </c>
      <c r="L262" s="12" t="n">
        <f aca="false">IF(J262=0,0,F262/J262)</f>
        <v>0</v>
      </c>
      <c r="M262" s="11" t="str">
        <f aca="false">IF(K262&gt;0,"BLOCKED","PASS")</f>
        <v>PASS</v>
      </c>
      <c r="N262" s="11" t="s">
        <v>233</v>
      </c>
    </row>
    <row r="263" customFormat="false" ht="23.85" hidden="false" customHeight="false" outlineLevel="0" collapsed="false">
      <c r="A263" s="11" t="s">
        <v>109</v>
      </c>
      <c r="B263" s="11" t="s">
        <v>125</v>
      </c>
      <c r="C263" s="11" t="s">
        <v>85</v>
      </c>
      <c r="D263" s="11" t="s">
        <v>86</v>
      </c>
      <c r="E263" s="11" t="s">
        <v>87</v>
      </c>
      <c r="F263" s="12" t="n">
        <f aca="false">SUMIFS(СПРОС_ДЕНЬ_ЧАС_МЕНЮ!$I$11:$I$3265,СПРОС_ДЕНЬ_ЧАС_МЕНЮ!$A$11:$A$3265,A263,СПРОС_ДЕНЬ_ЧАС_МЕНЮ!$B$11:$B$3265,B263,СПРОС_ДЕНЬ_ЧАС_МЕНЮ!$F$11:$F$3265,C263)</f>
        <v>0</v>
      </c>
      <c r="G263" s="12" t="n">
        <f aca="false">ПАРАМЕТРЫ!D24</f>
        <v>12</v>
      </c>
      <c r="H263" s="12" t="n">
        <f aca="false">SUMIFS(ШТАТ_ПО_ЧАСАМ!$C$11:$C$115,ШТАТ_ПО_ЧАСАМ!$A$11:$A$115,A263,ШТАТ_ПО_ЧАСАМ!$B$11:$B$115,B263)</f>
        <v>1</v>
      </c>
      <c r="I263" s="12" t="n">
        <f aca="false">MIN(H263,1)*ПАРАМЕТРЫ!E24</f>
        <v>12</v>
      </c>
      <c r="J263" s="12" t="n">
        <f aca="false">MIN(G263,I263)</f>
        <v>12</v>
      </c>
      <c r="K263" s="12" t="n">
        <f aca="false">MAX(F263-J263,0)</f>
        <v>0</v>
      </c>
      <c r="L263" s="12" t="n">
        <f aca="false">IF(J263=0,0,F263/J263)</f>
        <v>0</v>
      </c>
      <c r="M263" s="11" t="str">
        <f aca="false">IF(K263&gt;0,"BLOCKED","PASS")</f>
        <v>PASS</v>
      </c>
      <c r="N263" s="11" t="s">
        <v>233</v>
      </c>
    </row>
    <row r="264" customFormat="false" ht="23.85" hidden="false" customHeight="false" outlineLevel="0" collapsed="false">
      <c r="A264" s="11" t="s">
        <v>109</v>
      </c>
      <c r="B264" s="11" t="s">
        <v>125</v>
      </c>
      <c r="C264" s="11" t="s">
        <v>88</v>
      </c>
      <c r="D264" s="11" t="s">
        <v>89</v>
      </c>
      <c r="E264" s="11" t="s">
        <v>90</v>
      </c>
      <c r="F264" s="12" t="n">
        <f aca="false">SUMIFS(СПРОС_ДЕНЬ_ЧАС_МЕНЮ!$I$11:$I$3265,СПРОС_ДЕНЬ_ЧАС_МЕНЮ!$A$11:$A$3265,A264,СПРОС_ДЕНЬ_ЧАС_МЕНЮ!$B$11:$B$3265,B264,СПРОС_ДЕНЬ_ЧАС_МЕНЮ!$F$11:$F$3265,C264)</f>
        <v>7.7</v>
      </c>
      <c r="G264" s="12" t="n">
        <f aca="false">ПАРАМЕТРЫ!D25</f>
        <v>15</v>
      </c>
      <c r="H264" s="12" t="n">
        <f aca="false">SUMIFS(ШТАТ_ПО_ЧАСАМ!$C$11:$C$115,ШТАТ_ПО_ЧАСАМ!$A$11:$A$115,A264,ШТАТ_ПО_ЧАСАМ!$B$11:$B$115,B264)</f>
        <v>1</v>
      </c>
      <c r="I264" s="12" t="n">
        <f aca="false">MIN(H264,1)*ПАРАМЕТРЫ!E25</f>
        <v>10</v>
      </c>
      <c r="J264" s="12" t="n">
        <f aca="false">MIN(G264,I264)</f>
        <v>10</v>
      </c>
      <c r="K264" s="12" t="n">
        <f aca="false">MAX(F264-J264,0)</f>
        <v>0</v>
      </c>
      <c r="L264" s="12" t="n">
        <f aca="false">IF(J264=0,0,F264/J264)</f>
        <v>0.77</v>
      </c>
      <c r="M264" s="11" t="str">
        <f aca="false">IF(K264&gt;0,"BLOCKED","PASS")</f>
        <v>PASS</v>
      </c>
      <c r="N264" s="11" t="s">
        <v>233</v>
      </c>
    </row>
    <row r="265" customFormat="false" ht="23.85" hidden="false" customHeight="false" outlineLevel="0" collapsed="false">
      <c r="A265" s="11" t="s">
        <v>109</v>
      </c>
      <c r="B265" s="11" t="s">
        <v>125</v>
      </c>
      <c r="C265" s="11" t="s">
        <v>91</v>
      </c>
      <c r="D265" s="11" t="s">
        <v>92</v>
      </c>
      <c r="E265" s="11" t="s">
        <v>79</v>
      </c>
      <c r="F265" s="12" t="n">
        <f aca="false">SUMIFS(СПРОС_ДЕНЬ_ЧАС_МЕНЮ!$I$11:$I$3265,СПРОС_ДЕНЬ_ЧАС_МЕНЮ!$A$11:$A$3265,A265,СПРОС_ДЕНЬ_ЧАС_МЕНЮ!$B$11:$B$3265,B265,СПРОС_ДЕНЬ_ЧАС_МЕНЮ!$F$11:$F$3265,C265)</f>
        <v>0.33</v>
      </c>
      <c r="G265" s="12" t="n">
        <f aca="false">ПАРАМЕТРЫ!D26</f>
        <v>20</v>
      </c>
      <c r="H265" s="12" t="n">
        <f aca="false">SUMIFS(ШТАТ_ПО_ЧАСАМ!$C$11:$C$115,ШТАТ_ПО_ЧАСАМ!$A$11:$A$115,A265,ШТАТ_ПО_ЧАСАМ!$B$11:$B$115,B265)</f>
        <v>1</v>
      </c>
      <c r="I265" s="12" t="n">
        <f aca="false">MIN(H265,1)*ПАРАМЕТРЫ!E26</f>
        <v>10</v>
      </c>
      <c r="J265" s="12" t="n">
        <f aca="false">MIN(G265,I265)</f>
        <v>10</v>
      </c>
      <c r="K265" s="12" t="n">
        <f aca="false">MAX(F265-J265,0)</f>
        <v>0</v>
      </c>
      <c r="L265" s="12" t="n">
        <f aca="false">IF(J265=0,0,F265/J265)</f>
        <v>0.033</v>
      </c>
      <c r="M265" s="11" t="str">
        <f aca="false">IF(K265&gt;0,"BLOCKED","PASS")</f>
        <v>PASS</v>
      </c>
      <c r="N265" s="11" t="s">
        <v>233</v>
      </c>
    </row>
    <row r="266" customFormat="false" ht="15" hidden="false" customHeight="false" outlineLevel="0" collapsed="false">
      <c r="A266" s="11" t="s">
        <v>109</v>
      </c>
      <c r="B266" s="11" t="s">
        <v>125</v>
      </c>
      <c r="C266" s="11" t="s">
        <v>93</v>
      </c>
      <c r="D266" s="11" t="s">
        <v>234</v>
      </c>
      <c r="E266" s="11" t="s">
        <v>95</v>
      </c>
      <c r="F266" s="12" t="n">
        <f aca="false">SUMIFS(СПРОС_ДЕНЬ_ЧАС_МЕНЮ!$I$11:$I$3265,СПРОС_ДЕНЬ_ЧАС_МЕНЮ!$A$11:$A$3265,A266,СПРОС_ДЕНЬ_ЧАС_МЕНЮ!$B$11:$B$3265,B266)</f>
        <v>8.69</v>
      </c>
      <c r="G266" s="12" t="n">
        <f aca="false">ПАРАМЕТРЫ!D27</f>
        <v>60</v>
      </c>
      <c r="H266" s="12" t="n">
        <f aca="false">SUMIFS(ШТАТ_ПО_ЧАСАМ!$C$11:$C$115,ШТАТ_ПО_ЧАСАМ!$A$11:$A$115,A266,ШТАТ_ПО_ЧАСАМ!$B$11:$B$115,B266)</f>
        <v>1</v>
      </c>
      <c r="I266" s="12" t="n">
        <f aca="false">H266*ПАРАМЕТРЫ!E27</f>
        <v>16.6666666666667</v>
      </c>
      <c r="J266" s="12" t="n">
        <f aca="false">MIN(G266,I266)</f>
        <v>16.6666666666667</v>
      </c>
      <c r="K266" s="12" t="n">
        <f aca="false">MAX(F266-J266,0)</f>
        <v>0</v>
      </c>
      <c r="L266" s="12" t="n">
        <f aca="false">IF(J266=0,0,F266/J266)</f>
        <v>0.5214</v>
      </c>
      <c r="M266" s="11" t="str">
        <f aca="false">IF(K266&gt;0,"BLOCKED","PASS")</f>
        <v>PASS</v>
      </c>
      <c r="N266" s="11" t="s">
        <v>235</v>
      </c>
    </row>
    <row r="267" customFormat="false" ht="23.85" hidden="false" customHeight="false" outlineLevel="0" collapsed="false">
      <c r="A267" s="11" t="s">
        <v>109</v>
      </c>
      <c r="B267" s="11" t="s">
        <v>126</v>
      </c>
      <c r="C267" s="11" t="s">
        <v>73</v>
      </c>
      <c r="D267" s="11" t="s">
        <v>74</v>
      </c>
      <c r="E267" s="11" t="s">
        <v>75</v>
      </c>
      <c r="F267" s="12" t="n">
        <f aca="false">SUMIFS(СПРОС_ДЕНЬ_ЧАС_МЕНЮ!$I$11:$I$3265,СПРОС_ДЕНЬ_ЧАС_МЕНЮ!$A$11:$A$3265,A267,СПРОС_ДЕНЬ_ЧАС_МЕНЮ!$B$11:$B$3265,B267,СПРОС_ДЕНЬ_ЧАС_МЕНЮ!$F$11:$F$3265,C267)</f>
        <v>0</v>
      </c>
      <c r="G267" s="12" t="n">
        <f aca="false">ПАРАМЕТРЫ!D20</f>
        <v>25</v>
      </c>
      <c r="H267" s="12" t="n">
        <f aca="false">SUMIFS(ШТАТ_ПО_ЧАСАМ!$C$11:$C$115,ШТАТ_ПО_ЧАСАМ!$A$11:$A$115,A267,ШТАТ_ПО_ЧАСАМ!$B$11:$B$115,B267)</f>
        <v>1</v>
      </c>
      <c r="I267" s="12" t="n">
        <f aca="false">MIN(H267,1)*ПАРАМЕТРЫ!E20</f>
        <v>10</v>
      </c>
      <c r="J267" s="12" t="n">
        <f aca="false">MIN(G267,I267)</f>
        <v>10</v>
      </c>
      <c r="K267" s="12" t="n">
        <f aca="false">MAX(F267-J267,0)</f>
        <v>0</v>
      </c>
      <c r="L267" s="12" t="n">
        <f aca="false">IF(J267=0,0,F267/J267)</f>
        <v>0</v>
      </c>
      <c r="M267" s="11" t="str">
        <f aca="false">IF(K267&gt;0,"BLOCKED","PASS")</f>
        <v>PASS</v>
      </c>
      <c r="N267" s="11" t="s">
        <v>233</v>
      </c>
    </row>
    <row r="268" customFormat="false" ht="23.85" hidden="false" customHeight="false" outlineLevel="0" collapsed="false">
      <c r="A268" s="11" t="s">
        <v>109</v>
      </c>
      <c r="B268" s="11" t="s">
        <v>126</v>
      </c>
      <c r="C268" s="11" t="s">
        <v>77</v>
      </c>
      <c r="D268" s="11" t="s">
        <v>78</v>
      </c>
      <c r="E268" s="11" t="s">
        <v>79</v>
      </c>
      <c r="F268" s="12" t="n">
        <f aca="false">SUMIFS(СПРОС_ДЕНЬ_ЧАС_МЕНЮ!$I$11:$I$3265,СПРОС_ДЕНЬ_ЧАС_МЕНЮ!$A$11:$A$3265,A268,СПРОС_ДЕНЬ_ЧАС_МЕНЮ!$B$11:$B$3265,B268,СПРОС_ДЕНЬ_ЧАС_МЕНЮ!$F$11:$F$3265,C268)</f>
        <v>0.792</v>
      </c>
      <c r="G268" s="12" t="n">
        <f aca="false">ПАРАМЕТРЫ!D21</f>
        <v>20</v>
      </c>
      <c r="H268" s="12" t="n">
        <f aca="false">SUMIFS(ШТАТ_ПО_ЧАСАМ!$C$11:$C$115,ШТАТ_ПО_ЧАСАМ!$A$11:$A$115,A268,ШТАТ_ПО_ЧАСАМ!$B$11:$B$115,B268)</f>
        <v>1</v>
      </c>
      <c r="I268" s="12" t="n">
        <f aca="false">MIN(H268,1)*ПАРАМЕТРЫ!E21</f>
        <v>10</v>
      </c>
      <c r="J268" s="12" t="n">
        <f aca="false">MIN(G268,I268)</f>
        <v>10</v>
      </c>
      <c r="K268" s="12" t="n">
        <f aca="false">MAX(F268-J268,0)</f>
        <v>0</v>
      </c>
      <c r="L268" s="12" t="n">
        <f aca="false">IF(J268=0,0,F268/J268)</f>
        <v>0.0792</v>
      </c>
      <c r="M268" s="11" t="str">
        <f aca="false">IF(K268&gt;0,"BLOCKED","PASS")</f>
        <v>PASS</v>
      </c>
      <c r="N268" s="11" t="s">
        <v>233</v>
      </c>
    </row>
    <row r="269" customFormat="false" ht="23.85" hidden="false" customHeight="false" outlineLevel="0" collapsed="false">
      <c r="A269" s="11" t="s">
        <v>109</v>
      </c>
      <c r="B269" s="11" t="s">
        <v>126</v>
      </c>
      <c r="C269" s="11" t="s">
        <v>80</v>
      </c>
      <c r="D269" s="11" t="s">
        <v>81</v>
      </c>
      <c r="E269" s="11" t="s">
        <v>82</v>
      </c>
      <c r="F269" s="12" t="n">
        <f aca="false">SUMIFS(СПРОС_ДЕНЬ_ЧАС_МЕНЮ!$I$11:$I$3265,СПРОС_ДЕНЬ_ЧАС_МЕНЮ!$A$11:$A$3265,A269,СПРОС_ДЕНЬ_ЧАС_МЕНЮ!$B$11:$B$3265,B269,СПРОС_ДЕНЬ_ЧАС_МЕНЮ!$F$11:$F$3265,C269)</f>
        <v>0</v>
      </c>
      <c r="G269" s="12" t="n">
        <f aca="false">ПАРАМЕТРЫ!D22</f>
        <v>16</v>
      </c>
      <c r="H269" s="12" t="n">
        <f aca="false">SUMIFS(ШТАТ_ПО_ЧАСАМ!$C$11:$C$115,ШТАТ_ПО_ЧАСАМ!$A$11:$A$115,A269,ШТАТ_ПО_ЧАСАМ!$B$11:$B$115,B269)</f>
        <v>1</v>
      </c>
      <c r="I269" s="12" t="n">
        <f aca="false">MIN(H269,1)*ПАРАМЕТРЫ!E22</f>
        <v>16</v>
      </c>
      <c r="J269" s="12" t="n">
        <f aca="false">MIN(G269,I269)</f>
        <v>16</v>
      </c>
      <c r="K269" s="12" t="n">
        <f aca="false">MAX(F269-J269,0)</f>
        <v>0</v>
      </c>
      <c r="L269" s="12" t="n">
        <f aca="false">IF(J269=0,0,F269/J269)</f>
        <v>0</v>
      </c>
      <c r="M269" s="11" t="str">
        <f aca="false">IF(K269&gt;0,"BLOCKED","PASS")</f>
        <v>PASS</v>
      </c>
      <c r="N269" s="11" t="s">
        <v>233</v>
      </c>
    </row>
    <row r="270" customFormat="false" ht="23.85" hidden="false" customHeight="false" outlineLevel="0" collapsed="false">
      <c r="A270" s="11" t="s">
        <v>109</v>
      </c>
      <c r="B270" s="11" t="s">
        <v>126</v>
      </c>
      <c r="C270" s="11" t="s">
        <v>83</v>
      </c>
      <c r="D270" s="11" t="s">
        <v>84</v>
      </c>
      <c r="E270" s="11" t="s">
        <v>83</v>
      </c>
      <c r="F270" s="12" t="n">
        <f aca="false">SUMIFS(СПРОС_ДЕНЬ_ЧАС_МЕНЮ!$I$11:$I$3265,СПРОС_ДЕНЬ_ЧАС_МЕНЮ!$A$11:$A$3265,A270,СПРОС_ДЕНЬ_ЧАС_МЕНЮ!$B$11:$B$3265,B270,СПРОС_ДЕНЬ_ЧАС_МЕНЮ!$F$11:$F$3265,C270)</f>
        <v>0</v>
      </c>
      <c r="G270" s="12" t="n">
        <f aca="false">ПАРАМЕТРЫ!D23</f>
        <v>21</v>
      </c>
      <c r="H270" s="12" t="n">
        <f aca="false">SUMIFS(ШТАТ_ПО_ЧАСАМ!$C$11:$C$115,ШТАТ_ПО_ЧАСАМ!$A$11:$A$115,A270,ШТАТ_ПО_ЧАСАМ!$B$11:$B$115,B270)</f>
        <v>1</v>
      </c>
      <c r="I270" s="12" t="n">
        <f aca="false">MIN(H270,1)*ПАРАМЕТРЫ!E23</f>
        <v>21</v>
      </c>
      <c r="J270" s="12" t="n">
        <f aca="false">MIN(G270,I270)</f>
        <v>21</v>
      </c>
      <c r="K270" s="12" t="n">
        <f aca="false">MAX(F270-J270,0)</f>
        <v>0</v>
      </c>
      <c r="L270" s="12" t="n">
        <f aca="false">IF(J270=0,0,F270/J270)</f>
        <v>0</v>
      </c>
      <c r="M270" s="11" t="str">
        <f aca="false">IF(K270&gt;0,"BLOCKED","PASS")</f>
        <v>PASS</v>
      </c>
      <c r="N270" s="11" t="s">
        <v>233</v>
      </c>
    </row>
    <row r="271" customFormat="false" ht="23.85" hidden="false" customHeight="false" outlineLevel="0" collapsed="false">
      <c r="A271" s="11" t="s">
        <v>109</v>
      </c>
      <c r="B271" s="11" t="s">
        <v>126</v>
      </c>
      <c r="C271" s="11" t="s">
        <v>85</v>
      </c>
      <c r="D271" s="11" t="s">
        <v>86</v>
      </c>
      <c r="E271" s="11" t="s">
        <v>87</v>
      </c>
      <c r="F271" s="12" t="n">
        <f aca="false">SUMIFS(СПРОС_ДЕНЬ_ЧАС_МЕНЮ!$I$11:$I$3265,СПРОС_ДЕНЬ_ЧАС_МЕНЮ!$A$11:$A$3265,A271,СПРОС_ДЕНЬ_ЧАС_МЕНЮ!$B$11:$B$3265,B271,СПРОС_ДЕНЬ_ЧАС_МЕНЮ!$F$11:$F$3265,C271)</f>
        <v>0</v>
      </c>
      <c r="G271" s="12" t="n">
        <f aca="false">ПАРАМЕТРЫ!D24</f>
        <v>12</v>
      </c>
      <c r="H271" s="12" t="n">
        <f aca="false">SUMIFS(ШТАТ_ПО_ЧАСАМ!$C$11:$C$115,ШТАТ_ПО_ЧАСАМ!$A$11:$A$115,A271,ШТАТ_ПО_ЧАСАМ!$B$11:$B$115,B271)</f>
        <v>1</v>
      </c>
      <c r="I271" s="12" t="n">
        <f aca="false">MIN(H271,1)*ПАРАМЕТРЫ!E24</f>
        <v>12</v>
      </c>
      <c r="J271" s="12" t="n">
        <f aca="false">MIN(G271,I271)</f>
        <v>12</v>
      </c>
      <c r="K271" s="12" t="n">
        <f aca="false">MAX(F271-J271,0)</f>
        <v>0</v>
      </c>
      <c r="L271" s="12" t="n">
        <f aca="false">IF(J271=0,0,F271/J271)</f>
        <v>0</v>
      </c>
      <c r="M271" s="11" t="str">
        <f aca="false">IF(K271&gt;0,"BLOCKED","PASS")</f>
        <v>PASS</v>
      </c>
      <c r="N271" s="11" t="s">
        <v>233</v>
      </c>
    </row>
    <row r="272" customFormat="false" ht="23.85" hidden="false" customHeight="false" outlineLevel="0" collapsed="false">
      <c r="A272" s="11" t="s">
        <v>109</v>
      </c>
      <c r="B272" s="11" t="s">
        <v>126</v>
      </c>
      <c r="C272" s="11" t="s">
        <v>88</v>
      </c>
      <c r="D272" s="11" t="s">
        <v>89</v>
      </c>
      <c r="E272" s="11" t="s">
        <v>90</v>
      </c>
      <c r="F272" s="12" t="n">
        <f aca="false">SUMIFS(СПРОС_ДЕНЬ_ЧАС_МЕНЮ!$I$11:$I$3265,СПРОС_ДЕНЬ_ЧАС_МЕНЮ!$A$11:$A$3265,A272,СПРОС_ДЕНЬ_ЧАС_МЕНЮ!$B$11:$B$3265,B272,СПРОС_ДЕНЬ_ЧАС_МЕНЮ!$F$11:$F$3265,C272)</f>
        <v>6.6</v>
      </c>
      <c r="G272" s="12" t="n">
        <f aca="false">ПАРАМЕТРЫ!D25</f>
        <v>15</v>
      </c>
      <c r="H272" s="12" t="n">
        <f aca="false">SUMIFS(ШТАТ_ПО_ЧАСАМ!$C$11:$C$115,ШТАТ_ПО_ЧАСАМ!$A$11:$A$115,A272,ШТАТ_ПО_ЧАСАМ!$B$11:$B$115,B272)</f>
        <v>1</v>
      </c>
      <c r="I272" s="12" t="n">
        <f aca="false">MIN(H272,1)*ПАРАМЕТРЫ!E25</f>
        <v>10</v>
      </c>
      <c r="J272" s="12" t="n">
        <f aca="false">MIN(G272,I272)</f>
        <v>10</v>
      </c>
      <c r="K272" s="12" t="n">
        <f aca="false">MAX(F272-J272,0)</f>
        <v>0</v>
      </c>
      <c r="L272" s="12" t="n">
        <f aca="false">IF(J272=0,0,F272/J272)</f>
        <v>0.66</v>
      </c>
      <c r="M272" s="11" t="str">
        <f aca="false">IF(K272&gt;0,"BLOCKED","PASS")</f>
        <v>PASS</v>
      </c>
      <c r="N272" s="11" t="s">
        <v>233</v>
      </c>
    </row>
    <row r="273" customFormat="false" ht="23.85" hidden="false" customHeight="false" outlineLevel="0" collapsed="false">
      <c r="A273" s="11" t="s">
        <v>109</v>
      </c>
      <c r="B273" s="11" t="s">
        <v>126</v>
      </c>
      <c r="C273" s="11" t="s">
        <v>91</v>
      </c>
      <c r="D273" s="11" t="s">
        <v>92</v>
      </c>
      <c r="E273" s="11" t="s">
        <v>79</v>
      </c>
      <c r="F273" s="12" t="n">
        <f aca="false">SUMIFS(СПРОС_ДЕНЬ_ЧАС_МЕНЮ!$I$11:$I$3265,СПРОС_ДЕНЬ_ЧАС_МЕНЮ!$A$11:$A$3265,A273,СПРОС_ДЕНЬ_ЧАС_МЕНЮ!$B$11:$B$3265,B273,СПРОС_ДЕНЬ_ЧАС_МЕНЮ!$F$11:$F$3265,C273)</f>
        <v>0.396</v>
      </c>
      <c r="G273" s="12" t="n">
        <f aca="false">ПАРАМЕТРЫ!D26</f>
        <v>20</v>
      </c>
      <c r="H273" s="12" t="n">
        <f aca="false">SUMIFS(ШТАТ_ПО_ЧАСАМ!$C$11:$C$115,ШТАТ_ПО_ЧАСАМ!$A$11:$A$115,A273,ШТАТ_ПО_ЧАСАМ!$B$11:$B$115,B273)</f>
        <v>1</v>
      </c>
      <c r="I273" s="12" t="n">
        <f aca="false">MIN(H273,1)*ПАРАМЕТРЫ!E26</f>
        <v>10</v>
      </c>
      <c r="J273" s="12" t="n">
        <f aca="false">MIN(G273,I273)</f>
        <v>10</v>
      </c>
      <c r="K273" s="12" t="n">
        <f aca="false">MAX(F273-J273,0)</f>
        <v>0</v>
      </c>
      <c r="L273" s="12" t="n">
        <f aca="false">IF(J273=0,0,F273/J273)</f>
        <v>0.0396</v>
      </c>
      <c r="M273" s="11" t="str">
        <f aca="false">IF(K273&gt;0,"BLOCKED","PASS")</f>
        <v>PASS</v>
      </c>
      <c r="N273" s="11" t="s">
        <v>233</v>
      </c>
    </row>
    <row r="274" customFormat="false" ht="15" hidden="false" customHeight="false" outlineLevel="0" collapsed="false">
      <c r="A274" s="11" t="s">
        <v>109</v>
      </c>
      <c r="B274" s="11" t="s">
        <v>126</v>
      </c>
      <c r="C274" s="11" t="s">
        <v>93</v>
      </c>
      <c r="D274" s="11" t="s">
        <v>234</v>
      </c>
      <c r="E274" s="11" t="s">
        <v>95</v>
      </c>
      <c r="F274" s="12" t="n">
        <f aca="false">SUMIFS(СПРОС_ДЕНЬ_ЧАС_МЕНЮ!$I$11:$I$3265,СПРОС_ДЕНЬ_ЧАС_МЕНЮ!$A$11:$A$3265,A274,СПРОС_ДЕНЬ_ЧАС_МЕНЮ!$B$11:$B$3265,B274)</f>
        <v>7.788</v>
      </c>
      <c r="G274" s="12" t="n">
        <f aca="false">ПАРАМЕТРЫ!D27</f>
        <v>60</v>
      </c>
      <c r="H274" s="12" t="n">
        <f aca="false">SUMIFS(ШТАТ_ПО_ЧАСАМ!$C$11:$C$115,ШТАТ_ПО_ЧАСАМ!$A$11:$A$115,A274,ШТАТ_ПО_ЧАСАМ!$B$11:$B$115,B274)</f>
        <v>1</v>
      </c>
      <c r="I274" s="12" t="n">
        <f aca="false">H274*ПАРАМЕТРЫ!E27</f>
        <v>16.6666666666667</v>
      </c>
      <c r="J274" s="12" t="n">
        <f aca="false">MIN(G274,I274)</f>
        <v>16.6666666666667</v>
      </c>
      <c r="K274" s="12" t="n">
        <f aca="false">MAX(F274-J274,0)</f>
        <v>0</v>
      </c>
      <c r="L274" s="12" t="n">
        <f aca="false">IF(J274=0,0,F274/J274)</f>
        <v>0.46728</v>
      </c>
      <c r="M274" s="11" t="str">
        <f aca="false">IF(K274&gt;0,"BLOCKED","PASS")</f>
        <v>PASS</v>
      </c>
      <c r="N274" s="11" t="s">
        <v>235</v>
      </c>
    </row>
    <row r="275" customFormat="false" ht="23.85" hidden="false" customHeight="false" outlineLevel="0" collapsed="false">
      <c r="A275" s="11" t="s">
        <v>109</v>
      </c>
      <c r="B275" s="11" t="s">
        <v>127</v>
      </c>
      <c r="C275" s="11" t="s">
        <v>73</v>
      </c>
      <c r="D275" s="11" t="s">
        <v>74</v>
      </c>
      <c r="E275" s="11" t="s">
        <v>75</v>
      </c>
      <c r="F275" s="12" t="n">
        <f aca="false">SUMIFS(СПРОС_ДЕНЬ_ЧАС_МЕНЮ!$I$11:$I$3265,СПРОС_ДЕНЬ_ЧАС_МЕНЮ!$A$11:$A$3265,A275,СПРОС_ДЕНЬ_ЧАС_МЕНЮ!$B$11:$B$3265,B275,СПРОС_ДЕНЬ_ЧАС_МЕНЮ!$F$11:$F$3265,C275)</f>
        <v>0</v>
      </c>
      <c r="G275" s="12" t="n">
        <f aca="false">ПАРАМЕТРЫ!D20</f>
        <v>25</v>
      </c>
      <c r="H275" s="12" t="n">
        <f aca="false">SUMIFS(ШТАТ_ПО_ЧАСАМ!$C$11:$C$115,ШТАТ_ПО_ЧАСАМ!$A$11:$A$115,A275,ШТАТ_ПО_ЧАСАМ!$B$11:$B$115,B275)</f>
        <v>1</v>
      </c>
      <c r="I275" s="12" t="n">
        <f aca="false">MIN(H275,1)*ПАРАМЕТРЫ!E20</f>
        <v>10</v>
      </c>
      <c r="J275" s="12" t="n">
        <f aca="false">MIN(G275,I275)</f>
        <v>10</v>
      </c>
      <c r="K275" s="12" t="n">
        <f aca="false">MAX(F275-J275,0)</f>
        <v>0</v>
      </c>
      <c r="L275" s="12" t="n">
        <f aca="false">IF(J275=0,0,F275/J275)</f>
        <v>0</v>
      </c>
      <c r="M275" s="11" t="str">
        <f aca="false">IF(K275&gt;0,"BLOCKED","PASS")</f>
        <v>PASS</v>
      </c>
      <c r="N275" s="11" t="s">
        <v>233</v>
      </c>
    </row>
    <row r="276" customFormat="false" ht="23.85" hidden="false" customHeight="false" outlineLevel="0" collapsed="false">
      <c r="A276" s="11" t="s">
        <v>109</v>
      </c>
      <c r="B276" s="11" t="s">
        <v>127</v>
      </c>
      <c r="C276" s="11" t="s">
        <v>77</v>
      </c>
      <c r="D276" s="11" t="s">
        <v>78</v>
      </c>
      <c r="E276" s="11" t="s">
        <v>79</v>
      </c>
      <c r="F276" s="12" t="n">
        <f aca="false">SUMIFS(СПРОС_ДЕНЬ_ЧАС_МЕНЮ!$I$11:$I$3265,СПРОС_ДЕНЬ_ЧАС_МЕНЮ!$A$11:$A$3265,A276,СПРОС_ДЕНЬ_ЧАС_МЕНЮ!$B$11:$B$3265,B276,СПРОС_ДЕНЬ_ЧАС_МЕНЮ!$F$11:$F$3265,C276)</f>
        <v>0.792</v>
      </c>
      <c r="G276" s="12" t="n">
        <f aca="false">ПАРАМЕТРЫ!D21</f>
        <v>20</v>
      </c>
      <c r="H276" s="12" t="n">
        <f aca="false">SUMIFS(ШТАТ_ПО_ЧАСАМ!$C$11:$C$115,ШТАТ_ПО_ЧАСАМ!$A$11:$A$115,A276,ШТАТ_ПО_ЧАСАМ!$B$11:$B$115,B276)</f>
        <v>1</v>
      </c>
      <c r="I276" s="12" t="n">
        <f aca="false">MIN(H276,1)*ПАРАМЕТРЫ!E21</f>
        <v>10</v>
      </c>
      <c r="J276" s="12" t="n">
        <f aca="false">MIN(G276,I276)</f>
        <v>10</v>
      </c>
      <c r="K276" s="12" t="n">
        <f aca="false">MAX(F276-J276,0)</f>
        <v>0</v>
      </c>
      <c r="L276" s="12" t="n">
        <f aca="false">IF(J276=0,0,F276/J276)</f>
        <v>0.0792</v>
      </c>
      <c r="M276" s="11" t="str">
        <f aca="false">IF(K276&gt;0,"BLOCKED","PASS")</f>
        <v>PASS</v>
      </c>
      <c r="N276" s="11" t="s">
        <v>233</v>
      </c>
    </row>
    <row r="277" customFormat="false" ht="23.85" hidden="false" customHeight="false" outlineLevel="0" collapsed="false">
      <c r="A277" s="11" t="s">
        <v>109</v>
      </c>
      <c r="B277" s="11" t="s">
        <v>127</v>
      </c>
      <c r="C277" s="11" t="s">
        <v>80</v>
      </c>
      <c r="D277" s="11" t="s">
        <v>81</v>
      </c>
      <c r="E277" s="11" t="s">
        <v>82</v>
      </c>
      <c r="F277" s="12" t="n">
        <f aca="false">SUMIFS(СПРОС_ДЕНЬ_ЧАС_МЕНЮ!$I$11:$I$3265,СПРОС_ДЕНЬ_ЧАС_МЕНЮ!$A$11:$A$3265,A277,СПРОС_ДЕНЬ_ЧАС_МЕНЮ!$B$11:$B$3265,B277,СПРОС_ДЕНЬ_ЧАС_МЕНЮ!$F$11:$F$3265,C277)</f>
        <v>0</v>
      </c>
      <c r="G277" s="12" t="n">
        <f aca="false">ПАРАМЕТРЫ!D22</f>
        <v>16</v>
      </c>
      <c r="H277" s="12" t="n">
        <f aca="false">SUMIFS(ШТАТ_ПО_ЧАСАМ!$C$11:$C$115,ШТАТ_ПО_ЧАСАМ!$A$11:$A$115,A277,ШТАТ_ПО_ЧАСАМ!$B$11:$B$115,B277)</f>
        <v>1</v>
      </c>
      <c r="I277" s="12" t="n">
        <f aca="false">MIN(H277,1)*ПАРАМЕТРЫ!E22</f>
        <v>16</v>
      </c>
      <c r="J277" s="12" t="n">
        <f aca="false">MIN(G277,I277)</f>
        <v>16</v>
      </c>
      <c r="K277" s="12" t="n">
        <f aca="false">MAX(F277-J277,0)</f>
        <v>0</v>
      </c>
      <c r="L277" s="12" t="n">
        <f aca="false">IF(J277=0,0,F277/J277)</f>
        <v>0</v>
      </c>
      <c r="M277" s="11" t="str">
        <f aca="false">IF(K277&gt;0,"BLOCKED","PASS")</f>
        <v>PASS</v>
      </c>
      <c r="N277" s="11" t="s">
        <v>233</v>
      </c>
    </row>
    <row r="278" customFormat="false" ht="23.85" hidden="false" customHeight="false" outlineLevel="0" collapsed="false">
      <c r="A278" s="11" t="s">
        <v>109</v>
      </c>
      <c r="B278" s="11" t="s">
        <v>127</v>
      </c>
      <c r="C278" s="11" t="s">
        <v>83</v>
      </c>
      <c r="D278" s="11" t="s">
        <v>84</v>
      </c>
      <c r="E278" s="11" t="s">
        <v>83</v>
      </c>
      <c r="F278" s="12" t="n">
        <f aca="false">SUMIFS(СПРОС_ДЕНЬ_ЧАС_МЕНЮ!$I$11:$I$3265,СПРОС_ДЕНЬ_ЧАС_МЕНЮ!$A$11:$A$3265,A278,СПРОС_ДЕНЬ_ЧАС_МЕНЮ!$B$11:$B$3265,B278,СПРОС_ДЕНЬ_ЧАС_МЕНЮ!$F$11:$F$3265,C278)</f>
        <v>0</v>
      </c>
      <c r="G278" s="12" t="n">
        <f aca="false">ПАРАМЕТРЫ!D23</f>
        <v>21</v>
      </c>
      <c r="H278" s="12" t="n">
        <f aca="false">SUMIFS(ШТАТ_ПО_ЧАСАМ!$C$11:$C$115,ШТАТ_ПО_ЧАСАМ!$A$11:$A$115,A278,ШТАТ_ПО_ЧАСАМ!$B$11:$B$115,B278)</f>
        <v>1</v>
      </c>
      <c r="I278" s="12" t="n">
        <f aca="false">MIN(H278,1)*ПАРАМЕТРЫ!E23</f>
        <v>21</v>
      </c>
      <c r="J278" s="12" t="n">
        <f aca="false">MIN(G278,I278)</f>
        <v>21</v>
      </c>
      <c r="K278" s="12" t="n">
        <f aca="false">MAX(F278-J278,0)</f>
        <v>0</v>
      </c>
      <c r="L278" s="12" t="n">
        <f aca="false">IF(J278=0,0,F278/J278)</f>
        <v>0</v>
      </c>
      <c r="M278" s="11" t="str">
        <f aca="false">IF(K278&gt;0,"BLOCKED","PASS")</f>
        <v>PASS</v>
      </c>
      <c r="N278" s="11" t="s">
        <v>233</v>
      </c>
    </row>
    <row r="279" customFormat="false" ht="23.85" hidden="false" customHeight="false" outlineLevel="0" collapsed="false">
      <c r="A279" s="11" t="s">
        <v>109</v>
      </c>
      <c r="B279" s="11" t="s">
        <v>127</v>
      </c>
      <c r="C279" s="11" t="s">
        <v>85</v>
      </c>
      <c r="D279" s="11" t="s">
        <v>86</v>
      </c>
      <c r="E279" s="11" t="s">
        <v>87</v>
      </c>
      <c r="F279" s="12" t="n">
        <f aca="false">SUMIFS(СПРОС_ДЕНЬ_ЧАС_МЕНЮ!$I$11:$I$3265,СПРОС_ДЕНЬ_ЧАС_МЕНЮ!$A$11:$A$3265,A279,СПРОС_ДЕНЬ_ЧАС_МЕНЮ!$B$11:$B$3265,B279,СПРОС_ДЕНЬ_ЧАС_МЕНЮ!$F$11:$F$3265,C279)</f>
        <v>0</v>
      </c>
      <c r="G279" s="12" t="n">
        <f aca="false">ПАРАМЕТРЫ!D24</f>
        <v>12</v>
      </c>
      <c r="H279" s="12" t="n">
        <f aca="false">SUMIFS(ШТАТ_ПО_ЧАСАМ!$C$11:$C$115,ШТАТ_ПО_ЧАСАМ!$A$11:$A$115,A279,ШТАТ_ПО_ЧАСАМ!$B$11:$B$115,B279)</f>
        <v>1</v>
      </c>
      <c r="I279" s="12" t="n">
        <f aca="false">MIN(H279,1)*ПАРАМЕТРЫ!E24</f>
        <v>12</v>
      </c>
      <c r="J279" s="12" t="n">
        <f aca="false">MIN(G279,I279)</f>
        <v>12</v>
      </c>
      <c r="K279" s="12" t="n">
        <f aca="false">MAX(F279-J279,0)</f>
        <v>0</v>
      </c>
      <c r="L279" s="12" t="n">
        <f aca="false">IF(J279=0,0,F279/J279)</f>
        <v>0</v>
      </c>
      <c r="M279" s="11" t="str">
        <f aca="false">IF(K279&gt;0,"BLOCKED","PASS")</f>
        <v>PASS</v>
      </c>
      <c r="N279" s="11" t="s">
        <v>233</v>
      </c>
    </row>
    <row r="280" customFormat="false" ht="23.85" hidden="false" customHeight="false" outlineLevel="0" collapsed="false">
      <c r="A280" s="11" t="s">
        <v>109</v>
      </c>
      <c r="B280" s="11" t="s">
        <v>127</v>
      </c>
      <c r="C280" s="11" t="s">
        <v>88</v>
      </c>
      <c r="D280" s="11" t="s">
        <v>89</v>
      </c>
      <c r="E280" s="11" t="s">
        <v>90</v>
      </c>
      <c r="F280" s="12" t="n">
        <f aca="false">SUMIFS(СПРОС_ДЕНЬ_ЧАС_МЕНЮ!$I$11:$I$3265,СПРОС_ДЕНЬ_ЧАС_МЕНЮ!$A$11:$A$3265,A280,СПРОС_ДЕНЬ_ЧАС_МЕНЮ!$B$11:$B$3265,B280,СПРОС_ДЕНЬ_ЧАС_МЕНЮ!$F$11:$F$3265,C280)</f>
        <v>3.3</v>
      </c>
      <c r="G280" s="12" t="n">
        <f aca="false">ПАРАМЕТРЫ!D25</f>
        <v>15</v>
      </c>
      <c r="H280" s="12" t="n">
        <f aca="false">SUMIFS(ШТАТ_ПО_ЧАСАМ!$C$11:$C$115,ШТАТ_ПО_ЧАСАМ!$A$11:$A$115,A280,ШТАТ_ПО_ЧАСАМ!$B$11:$B$115,B280)</f>
        <v>1</v>
      </c>
      <c r="I280" s="12" t="n">
        <f aca="false">MIN(H280,1)*ПАРАМЕТРЫ!E25</f>
        <v>10</v>
      </c>
      <c r="J280" s="12" t="n">
        <f aca="false">MIN(G280,I280)</f>
        <v>10</v>
      </c>
      <c r="K280" s="12" t="n">
        <f aca="false">MAX(F280-J280,0)</f>
        <v>0</v>
      </c>
      <c r="L280" s="12" t="n">
        <f aca="false">IF(J280=0,0,F280/J280)</f>
        <v>0.33</v>
      </c>
      <c r="M280" s="11" t="str">
        <f aca="false">IF(K280&gt;0,"BLOCKED","PASS")</f>
        <v>PASS</v>
      </c>
      <c r="N280" s="11" t="s">
        <v>233</v>
      </c>
    </row>
    <row r="281" customFormat="false" ht="23.85" hidden="false" customHeight="false" outlineLevel="0" collapsed="false">
      <c r="A281" s="11" t="s">
        <v>109</v>
      </c>
      <c r="B281" s="11" t="s">
        <v>127</v>
      </c>
      <c r="C281" s="11" t="s">
        <v>91</v>
      </c>
      <c r="D281" s="11" t="s">
        <v>92</v>
      </c>
      <c r="E281" s="11" t="s">
        <v>79</v>
      </c>
      <c r="F281" s="12" t="n">
        <f aca="false">SUMIFS(СПРОС_ДЕНЬ_ЧАС_МЕНЮ!$I$11:$I$3265,СПРОС_ДЕНЬ_ЧАС_МЕНЮ!$A$11:$A$3265,A281,СПРОС_ДЕНЬ_ЧАС_МЕНЮ!$B$11:$B$3265,B281,СПРОС_ДЕНЬ_ЧАС_МЕНЮ!$F$11:$F$3265,C281)</f>
        <v>0.396</v>
      </c>
      <c r="G281" s="12" t="n">
        <f aca="false">ПАРАМЕТРЫ!D26</f>
        <v>20</v>
      </c>
      <c r="H281" s="12" t="n">
        <f aca="false">SUMIFS(ШТАТ_ПО_ЧАСАМ!$C$11:$C$115,ШТАТ_ПО_ЧАСАМ!$A$11:$A$115,A281,ШТАТ_ПО_ЧАСАМ!$B$11:$B$115,B281)</f>
        <v>1</v>
      </c>
      <c r="I281" s="12" t="n">
        <f aca="false">MIN(H281,1)*ПАРАМЕТРЫ!E26</f>
        <v>10</v>
      </c>
      <c r="J281" s="12" t="n">
        <f aca="false">MIN(G281,I281)</f>
        <v>10</v>
      </c>
      <c r="K281" s="12" t="n">
        <f aca="false">MAX(F281-J281,0)</f>
        <v>0</v>
      </c>
      <c r="L281" s="12" t="n">
        <f aca="false">IF(J281=0,0,F281/J281)</f>
        <v>0.0396</v>
      </c>
      <c r="M281" s="11" t="str">
        <f aca="false">IF(K281&gt;0,"BLOCKED","PASS")</f>
        <v>PASS</v>
      </c>
      <c r="N281" s="11" t="s">
        <v>233</v>
      </c>
    </row>
    <row r="282" customFormat="false" ht="15" hidden="false" customHeight="false" outlineLevel="0" collapsed="false">
      <c r="A282" s="11" t="s">
        <v>109</v>
      </c>
      <c r="B282" s="11" t="s">
        <v>127</v>
      </c>
      <c r="C282" s="11" t="s">
        <v>93</v>
      </c>
      <c r="D282" s="11" t="s">
        <v>234</v>
      </c>
      <c r="E282" s="11" t="s">
        <v>95</v>
      </c>
      <c r="F282" s="12" t="n">
        <f aca="false">SUMIFS(СПРОС_ДЕНЬ_ЧАС_МЕНЮ!$I$11:$I$3265,СПРОС_ДЕНЬ_ЧАС_МЕНЮ!$A$11:$A$3265,A282,СПРОС_ДЕНЬ_ЧАС_МЕНЮ!$B$11:$B$3265,B282)</f>
        <v>4.488</v>
      </c>
      <c r="G282" s="12" t="n">
        <f aca="false">ПАРАМЕТРЫ!D27</f>
        <v>60</v>
      </c>
      <c r="H282" s="12" t="n">
        <f aca="false">SUMIFS(ШТАТ_ПО_ЧАСАМ!$C$11:$C$115,ШТАТ_ПО_ЧАСАМ!$A$11:$A$115,A282,ШТАТ_ПО_ЧАСАМ!$B$11:$B$115,B282)</f>
        <v>1</v>
      </c>
      <c r="I282" s="12" t="n">
        <f aca="false">H282*ПАРАМЕТРЫ!E27</f>
        <v>16.6666666666667</v>
      </c>
      <c r="J282" s="12" t="n">
        <f aca="false">MIN(G282,I282)</f>
        <v>16.6666666666667</v>
      </c>
      <c r="K282" s="12" t="n">
        <f aca="false">MAX(F282-J282,0)</f>
        <v>0</v>
      </c>
      <c r="L282" s="12" t="n">
        <f aca="false">IF(J282=0,0,F282/J282)</f>
        <v>0.26928</v>
      </c>
      <c r="M282" s="11" t="str">
        <f aca="false">IF(K282&gt;0,"BLOCKED","PASS")</f>
        <v>PASS</v>
      </c>
      <c r="N282" s="11" t="s">
        <v>235</v>
      </c>
    </row>
    <row r="283" customFormat="false" ht="23.85" hidden="false" customHeight="false" outlineLevel="0" collapsed="false">
      <c r="A283" s="11" t="s">
        <v>109</v>
      </c>
      <c r="B283" s="11" t="s">
        <v>128</v>
      </c>
      <c r="C283" s="11" t="s">
        <v>73</v>
      </c>
      <c r="D283" s="11" t="s">
        <v>74</v>
      </c>
      <c r="E283" s="11" t="s">
        <v>75</v>
      </c>
      <c r="F283" s="12" t="n">
        <f aca="false">SUMIFS(СПРОС_ДЕНЬ_ЧАС_МЕНЮ!$I$11:$I$3265,СПРОС_ДЕНЬ_ЧАС_МЕНЮ!$A$11:$A$3265,A283,СПРОС_ДЕНЬ_ЧАС_МЕНЮ!$B$11:$B$3265,B283,СПРОС_ДЕНЬ_ЧАС_МЕНЮ!$F$11:$F$3265,C283)</f>
        <v>1.4652</v>
      </c>
      <c r="G283" s="12" t="n">
        <f aca="false">ПАРАМЕТРЫ!D20</f>
        <v>25</v>
      </c>
      <c r="H283" s="12" t="n">
        <f aca="false">SUMIFS(ШТАТ_ПО_ЧАСАМ!$C$11:$C$115,ШТАТ_ПО_ЧАСАМ!$A$11:$A$115,A283,ШТАТ_ПО_ЧАСАМ!$B$11:$B$115,B283)</f>
        <v>2</v>
      </c>
      <c r="I283" s="12" t="n">
        <f aca="false">MIN(H283,1)*ПАРАМЕТРЫ!E20</f>
        <v>10</v>
      </c>
      <c r="J283" s="12" t="n">
        <f aca="false">MIN(G283,I283)</f>
        <v>10</v>
      </c>
      <c r="K283" s="12" t="n">
        <f aca="false">MAX(F283-J283,0)</f>
        <v>0</v>
      </c>
      <c r="L283" s="12" t="n">
        <f aca="false">IF(J283=0,0,F283/J283)</f>
        <v>0.14652</v>
      </c>
      <c r="M283" s="11" t="str">
        <f aca="false">IF(K283&gt;0,"BLOCKED","PASS")</f>
        <v>PASS</v>
      </c>
      <c r="N283" s="11" t="s">
        <v>233</v>
      </c>
    </row>
    <row r="284" customFormat="false" ht="23.85" hidden="false" customHeight="false" outlineLevel="0" collapsed="false">
      <c r="A284" s="11" t="s">
        <v>109</v>
      </c>
      <c r="B284" s="11" t="s">
        <v>128</v>
      </c>
      <c r="C284" s="11" t="s">
        <v>77</v>
      </c>
      <c r="D284" s="11" t="s">
        <v>78</v>
      </c>
      <c r="E284" s="11" t="s">
        <v>79</v>
      </c>
      <c r="F284" s="12" t="n">
        <f aca="false">SUMIFS(СПРОС_ДЕНЬ_ЧАС_МЕНЮ!$I$11:$I$3265,СПРОС_ДЕНЬ_ЧАС_МЕНЮ!$A$11:$A$3265,A284,СПРОС_ДЕНЬ_ЧАС_МЕНЮ!$B$11:$B$3265,B284,СПРОС_ДЕНЬ_ЧАС_МЕНЮ!$F$11:$F$3265,C284)</f>
        <v>1.51272</v>
      </c>
      <c r="G284" s="12" t="n">
        <f aca="false">ПАРАМЕТРЫ!D21</f>
        <v>20</v>
      </c>
      <c r="H284" s="12" t="n">
        <f aca="false">SUMIFS(ШТАТ_ПО_ЧАСАМ!$C$11:$C$115,ШТАТ_ПО_ЧАСАМ!$A$11:$A$115,A284,ШТАТ_ПО_ЧАСАМ!$B$11:$B$115,B284)</f>
        <v>2</v>
      </c>
      <c r="I284" s="12" t="n">
        <f aca="false">MIN(H284,1)*ПАРАМЕТРЫ!E21</f>
        <v>10</v>
      </c>
      <c r="J284" s="12" t="n">
        <f aca="false">MIN(G284,I284)</f>
        <v>10</v>
      </c>
      <c r="K284" s="12" t="n">
        <f aca="false">MAX(F284-J284,0)</f>
        <v>0</v>
      </c>
      <c r="L284" s="12" t="n">
        <f aca="false">IF(J284=0,0,F284/J284)</f>
        <v>0.151272</v>
      </c>
      <c r="M284" s="11" t="str">
        <f aca="false">IF(K284&gt;0,"BLOCKED","PASS")</f>
        <v>PASS</v>
      </c>
      <c r="N284" s="11" t="s">
        <v>233</v>
      </c>
    </row>
    <row r="285" customFormat="false" ht="23.85" hidden="false" customHeight="false" outlineLevel="0" collapsed="false">
      <c r="A285" s="11" t="s">
        <v>109</v>
      </c>
      <c r="B285" s="11" t="s">
        <v>128</v>
      </c>
      <c r="C285" s="11" t="s">
        <v>80</v>
      </c>
      <c r="D285" s="11" t="s">
        <v>81</v>
      </c>
      <c r="E285" s="11" t="s">
        <v>82</v>
      </c>
      <c r="F285" s="12" t="n">
        <f aca="false">SUMIFS(СПРОС_ДЕНЬ_ЧАС_МЕНЮ!$I$11:$I$3265,СПРОС_ДЕНЬ_ЧАС_МЕНЮ!$A$11:$A$3265,A285,СПРОС_ДЕНЬ_ЧАС_МЕНЮ!$B$11:$B$3265,B285,СПРОС_ДЕНЬ_ЧАС_МЕНЮ!$F$11:$F$3265,C285)</f>
        <v>2.266</v>
      </c>
      <c r="G285" s="12" t="n">
        <f aca="false">ПАРАМЕТРЫ!D22</f>
        <v>16</v>
      </c>
      <c r="H285" s="12" t="n">
        <f aca="false">SUMIFS(ШТАТ_ПО_ЧАСАМ!$C$11:$C$115,ШТАТ_ПО_ЧАСАМ!$A$11:$A$115,A285,ШТАТ_ПО_ЧАСАМ!$B$11:$B$115,B285)</f>
        <v>2</v>
      </c>
      <c r="I285" s="12" t="n">
        <f aca="false">MIN(H285,1)*ПАРАМЕТРЫ!E22</f>
        <v>16</v>
      </c>
      <c r="J285" s="12" t="n">
        <f aca="false">MIN(G285,I285)</f>
        <v>16</v>
      </c>
      <c r="K285" s="12" t="n">
        <f aca="false">MAX(F285-J285,0)</f>
        <v>0</v>
      </c>
      <c r="L285" s="12" t="n">
        <f aca="false">IF(J285=0,0,F285/J285)</f>
        <v>0.141625</v>
      </c>
      <c r="M285" s="11" t="str">
        <f aca="false">IF(K285&gt;0,"BLOCKED","PASS")</f>
        <v>PASS</v>
      </c>
      <c r="N285" s="11" t="s">
        <v>233</v>
      </c>
    </row>
    <row r="286" customFormat="false" ht="23.85" hidden="false" customHeight="false" outlineLevel="0" collapsed="false">
      <c r="A286" s="11" t="s">
        <v>109</v>
      </c>
      <c r="B286" s="11" t="s">
        <v>128</v>
      </c>
      <c r="C286" s="11" t="s">
        <v>83</v>
      </c>
      <c r="D286" s="11" t="s">
        <v>84</v>
      </c>
      <c r="E286" s="11" t="s">
        <v>83</v>
      </c>
      <c r="F286" s="12" t="n">
        <f aca="false">SUMIFS(СПРОС_ДЕНЬ_ЧАС_МЕНЮ!$I$11:$I$3265,СПРОС_ДЕНЬ_ЧАС_МЕНЮ!$A$11:$A$3265,A286,СПРОС_ДЕНЬ_ЧАС_МЕНЮ!$B$11:$B$3265,B286,СПРОС_ДЕНЬ_ЧАС_МЕНЮ!$F$11:$F$3265,C286)</f>
        <v>6.16</v>
      </c>
      <c r="G286" s="12" t="n">
        <f aca="false">ПАРАМЕТРЫ!D23</f>
        <v>21</v>
      </c>
      <c r="H286" s="12" t="n">
        <f aca="false">SUMIFS(ШТАТ_ПО_ЧАСАМ!$C$11:$C$115,ШТАТ_ПО_ЧАСАМ!$A$11:$A$115,A286,ШТАТ_ПО_ЧАСАМ!$B$11:$B$115,B286)</f>
        <v>2</v>
      </c>
      <c r="I286" s="12" t="n">
        <f aca="false">MIN(H286,1)*ПАРАМЕТРЫ!E23</f>
        <v>21</v>
      </c>
      <c r="J286" s="12" t="n">
        <f aca="false">MIN(G286,I286)</f>
        <v>21</v>
      </c>
      <c r="K286" s="12" t="n">
        <f aca="false">MAX(F286-J286,0)</f>
        <v>0</v>
      </c>
      <c r="L286" s="12" t="n">
        <f aca="false">IF(J286=0,0,F286/J286)</f>
        <v>0.293333333333333</v>
      </c>
      <c r="M286" s="11" t="str">
        <f aca="false">IF(K286&gt;0,"BLOCKED","PASS")</f>
        <v>PASS</v>
      </c>
      <c r="N286" s="11" t="s">
        <v>233</v>
      </c>
    </row>
    <row r="287" customFormat="false" ht="23.85" hidden="false" customHeight="false" outlineLevel="0" collapsed="false">
      <c r="A287" s="11" t="s">
        <v>109</v>
      </c>
      <c r="B287" s="11" t="s">
        <v>128</v>
      </c>
      <c r="C287" s="11" t="s">
        <v>85</v>
      </c>
      <c r="D287" s="11" t="s">
        <v>86</v>
      </c>
      <c r="E287" s="11" t="s">
        <v>87</v>
      </c>
      <c r="F287" s="12" t="n">
        <f aca="false">SUMIFS(СПРОС_ДЕНЬ_ЧАС_МЕНЮ!$I$11:$I$3265,СПРОС_ДЕНЬ_ЧАС_МЕНЮ!$A$11:$A$3265,A287,СПРОС_ДЕНЬ_ЧАС_МЕНЮ!$B$11:$B$3265,B287,СПРОС_ДЕНЬ_ЧАС_МЕНЮ!$F$11:$F$3265,C287)</f>
        <v>2.476188</v>
      </c>
      <c r="G287" s="12" t="n">
        <f aca="false">ПАРАМЕТРЫ!D24</f>
        <v>12</v>
      </c>
      <c r="H287" s="12" t="n">
        <f aca="false">SUMIFS(ШТАТ_ПО_ЧАСАМ!$C$11:$C$115,ШТАТ_ПО_ЧАСАМ!$A$11:$A$115,A287,ШТАТ_ПО_ЧАСАМ!$B$11:$B$115,B287)</f>
        <v>2</v>
      </c>
      <c r="I287" s="12" t="n">
        <f aca="false">MIN(H287,1)*ПАРАМЕТРЫ!E24</f>
        <v>12</v>
      </c>
      <c r="J287" s="12" t="n">
        <f aca="false">MIN(G287,I287)</f>
        <v>12</v>
      </c>
      <c r="K287" s="12" t="n">
        <f aca="false">MAX(F287-J287,0)</f>
        <v>0</v>
      </c>
      <c r="L287" s="12" t="n">
        <f aca="false">IF(J287=0,0,F287/J287)</f>
        <v>0.206349</v>
      </c>
      <c r="M287" s="11" t="str">
        <f aca="false">IF(K287&gt;0,"BLOCKED","PASS")</f>
        <v>PASS</v>
      </c>
      <c r="N287" s="11" t="s">
        <v>233</v>
      </c>
    </row>
    <row r="288" customFormat="false" ht="23.85" hidden="false" customHeight="false" outlineLevel="0" collapsed="false">
      <c r="A288" s="11" t="s">
        <v>109</v>
      </c>
      <c r="B288" s="11" t="s">
        <v>128</v>
      </c>
      <c r="C288" s="11" t="s">
        <v>88</v>
      </c>
      <c r="D288" s="11" t="s">
        <v>89</v>
      </c>
      <c r="E288" s="11" t="s">
        <v>90</v>
      </c>
      <c r="F288" s="12" t="n">
        <f aca="false">SUMIFS(СПРОС_ДЕНЬ_ЧАС_МЕНЮ!$I$11:$I$3265,СПРОС_ДЕНЬ_ЧАС_МЕНЮ!$A$11:$A$3265,A288,СПРОС_ДЕНЬ_ЧАС_МЕНЮ!$B$11:$B$3265,B288,СПРОС_ДЕНЬ_ЧАС_МЕНЮ!$F$11:$F$3265,C288)</f>
        <v>1.1</v>
      </c>
      <c r="G288" s="12" t="n">
        <f aca="false">ПАРАМЕТРЫ!D25</f>
        <v>15</v>
      </c>
      <c r="H288" s="12" t="n">
        <f aca="false">SUMIFS(ШТАТ_ПО_ЧАСАМ!$C$11:$C$115,ШТАТ_ПО_ЧАСАМ!$A$11:$A$115,A288,ШТАТ_ПО_ЧАСАМ!$B$11:$B$115,B288)</f>
        <v>2</v>
      </c>
      <c r="I288" s="12" t="n">
        <f aca="false">MIN(H288,1)*ПАРАМЕТРЫ!E25</f>
        <v>10</v>
      </c>
      <c r="J288" s="12" t="n">
        <f aca="false">MIN(G288,I288)</f>
        <v>10</v>
      </c>
      <c r="K288" s="12" t="n">
        <f aca="false">MAX(F288-J288,0)</f>
        <v>0</v>
      </c>
      <c r="L288" s="12" t="n">
        <f aca="false">IF(J288=0,0,F288/J288)</f>
        <v>0.11</v>
      </c>
      <c r="M288" s="11" t="str">
        <f aca="false">IF(K288&gt;0,"BLOCKED","PASS")</f>
        <v>PASS</v>
      </c>
      <c r="N288" s="11" t="s">
        <v>233</v>
      </c>
    </row>
    <row r="289" customFormat="false" ht="23.85" hidden="false" customHeight="false" outlineLevel="0" collapsed="false">
      <c r="A289" s="11" t="s">
        <v>109</v>
      </c>
      <c r="B289" s="11" t="s">
        <v>128</v>
      </c>
      <c r="C289" s="11" t="s">
        <v>91</v>
      </c>
      <c r="D289" s="11" t="s">
        <v>92</v>
      </c>
      <c r="E289" s="11" t="s">
        <v>79</v>
      </c>
      <c r="F289" s="12" t="n">
        <f aca="false">SUMIFS(СПРОС_ДЕНЬ_ЧАС_МЕНЮ!$I$11:$I$3265,СПРОС_ДЕНЬ_ЧАС_МЕНЮ!$A$11:$A$3265,A289,СПРОС_ДЕНЬ_ЧАС_МЕНЮ!$B$11:$B$3265,B289,СПРОС_ДЕНЬ_ЧАС_МЕНЮ!$F$11:$F$3265,C289)</f>
        <v>0.6864</v>
      </c>
      <c r="G289" s="12" t="n">
        <f aca="false">ПАРАМЕТРЫ!D26</f>
        <v>20</v>
      </c>
      <c r="H289" s="12" t="n">
        <f aca="false">SUMIFS(ШТАТ_ПО_ЧАСАМ!$C$11:$C$115,ШТАТ_ПО_ЧАСАМ!$A$11:$A$115,A289,ШТАТ_ПО_ЧАСАМ!$B$11:$B$115,B289)</f>
        <v>2</v>
      </c>
      <c r="I289" s="12" t="n">
        <f aca="false">MIN(H289,1)*ПАРАМЕТРЫ!E26</f>
        <v>10</v>
      </c>
      <c r="J289" s="12" t="n">
        <f aca="false">MIN(G289,I289)</f>
        <v>10</v>
      </c>
      <c r="K289" s="12" t="n">
        <f aca="false">MAX(F289-J289,0)</f>
        <v>0</v>
      </c>
      <c r="L289" s="12" t="n">
        <f aca="false">IF(J289=0,0,F289/J289)</f>
        <v>0.06864</v>
      </c>
      <c r="M289" s="11" t="str">
        <f aca="false">IF(K289&gt;0,"BLOCKED","PASS")</f>
        <v>PASS</v>
      </c>
      <c r="N289" s="11" t="s">
        <v>233</v>
      </c>
    </row>
    <row r="290" customFormat="false" ht="15" hidden="false" customHeight="false" outlineLevel="0" collapsed="false">
      <c r="A290" s="11" t="s">
        <v>109</v>
      </c>
      <c r="B290" s="11" t="s">
        <v>128</v>
      </c>
      <c r="C290" s="11" t="s">
        <v>93</v>
      </c>
      <c r="D290" s="11" t="s">
        <v>234</v>
      </c>
      <c r="E290" s="11" t="s">
        <v>95</v>
      </c>
      <c r="F290" s="12" t="n">
        <f aca="false">SUMIFS(СПРОС_ДЕНЬ_ЧАС_МЕНЮ!$I$11:$I$3265,СПРОС_ДЕНЬ_ЧАС_МЕНЮ!$A$11:$A$3265,A290,СПРОС_ДЕНЬ_ЧАС_МЕНЮ!$B$11:$B$3265,B290)</f>
        <v>15.666508</v>
      </c>
      <c r="G290" s="12" t="n">
        <f aca="false">ПАРАМЕТРЫ!D27</f>
        <v>60</v>
      </c>
      <c r="H290" s="12" t="n">
        <f aca="false">SUMIFS(ШТАТ_ПО_ЧАСАМ!$C$11:$C$115,ШТАТ_ПО_ЧАСАМ!$A$11:$A$115,A290,ШТАТ_ПО_ЧАСАМ!$B$11:$B$115,B290)</f>
        <v>2</v>
      </c>
      <c r="I290" s="12" t="n">
        <f aca="false">H290*ПАРАМЕТРЫ!E27</f>
        <v>33.3333333333333</v>
      </c>
      <c r="J290" s="12" t="n">
        <f aca="false">MIN(G290,I290)</f>
        <v>33.3333333333333</v>
      </c>
      <c r="K290" s="12" t="n">
        <f aca="false">MAX(F290-J290,0)</f>
        <v>0</v>
      </c>
      <c r="L290" s="12" t="n">
        <f aca="false">IF(J290=0,0,F290/J290)</f>
        <v>0.46999524</v>
      </c>
      <c r="M290" s="11" t="str">
        <f aca="false">IF(K290&gt;0,"BLOCKED","PASS")</f>
        <v>PASS</v>
      </c>
      <c r="N290" s="11" t="s">
        <v>235</v>
      </c>
    </row>
    <row r="291" customFormat="false" ht="23.85" hidden="false" customHeight="false" outlineLevel="0" collapsed="false">
      <c r="A291" s="11" t="s">
        <v>109</v>
      </c>
      <c r="B291" s="11" t="s">
        <v>129</v>
      </c>
      <c r="C291" s="11" t="s">
        <v>73</v>
      </c>
      <c r="D291" s="11" t="s">
        <v>74</v>
      </c>
      <c r="E291" s="11" t="s">
        <v>75</v>
      </c>
      <c r="F291" s="12" t="n">
        <f aca="false">SUMIFS(СПРОС_ДЕНЬ_ЧАС_МЕНЮ!$I$11:$I$3265,СПРОС_ДЕНЬ_ЧАС_МЕНЮ!$A$11:$A$3265,A291,СПРОС_ДЕНЬ_ЧАС_МЕНЮ!$B$11:$B$3265,B291,СПРОС_ДЕНЬ_ЧАС_МЕНЮ!$F$11:$F$3265,C291)</f>
        <v>4.3582</v>
      </c>
      <c r="G291" s="12" t="n">
        <f aca="false">ПАРАМЕТРЫ!D20</f>
        <v>25</v>
      </c>
      <c r="H291" s="12" t="n">
        <f aca="false">SUMIFS(ШТАТ_ПО_ЧАСАМ!$C$11:$C$115,ШТАТ_ПО_ЧАСАМ!$A$11:$A$115,A291,ШТАТ_ПО_ЧАСАМ!$B$11:$B$115,B291)</f>
        <v>2</v>
      </c>
      <c r="I291" s="12" t="n">
        <f aca="false">MIN(H291,1)*ПАРАМЕТРЫ!E20</f>
        <v>10</v>
      </c>
      <c r="J291" s="12" t="n">
        <f aca="false">MIN(G291,I291)</f>
        <v>10</v>
      </c>
      <c r="K291" s="12" t="n">
        <f aca="false">MAX(F291-J291,0)</f>
        <v>0</v>
      </c>
      <c r="L291" s="12" t="n">
        <f aca="false">IF(J291=0,0,F291/J291)</f>
        <v>0.43582</v>
      </c>
      <c r="M291" s="11" t="str">
        <f aca="false">IF(K291&gt;0,"BLOCKED","PASS")</f>
        <v>PASS</v>
      </c>
      <c r="N291" s="11" t="s">
        <v>233</v>
      </c>
    </row>
    <row r="292" customFormat="false" ht="23.85" hidden="false" customHeight="false" outlineLevel="0" collapsed="false">
      <c r="A292" s="11" t="s">
        <v>109</v>
      </c>
      <c r="B292" s="11" t="s">
        <v>129</v>
      </c>
      <c r="C292" s="11" t="s">
        <v>77</v>
      </c>
      <c r="D292" s="11" t="s">
        <v>78</v>
      </c>
      <c r="E292" s="11" t="s">
        <v>79</v>
      </c>
      <c r="F292" s="12" t="n">
        <f aca="false">SUMIFS(СПРОС_ДЕНЬ_ЧАС_МЕНЮ!$I$11:$I$3265,СПРОС_ДЕНЬ_ЧАС_МЕНЮ!$A$11:$A$3265,A292,СПРОС_ДЕНЬ_ЧАС_МЕНЮ!$B$11:$B$3265,B292,СПРОС_ДЕНЬ_ЧАС_МЕНЮ!$F$11:$F$3265,C292)</f>
        <v>2.48292</v>
      </c>
      <c r="G292" s="12" t="n">
        <f aca="false">ПАРАМЕТРЫ!D21</f>
        <v>20</v>
      </c>
      <c r="H292" s="12" t="n">
        <f aca="false">SUMIFS(ШТАТ_ПО_ЧАСАМ!$C$11:$C$115,ШТАТ_ПО_ЧАСАМ!$A$11:$A$115,A292,ШТАТ_ПО_ЧАСАМ!$B$11:$B$115,B292)</f>
        <v>2</v>
      </c>
      <c r="I292" s="12" t="n">
        <f aca="false">MIN(H292,1)*ПАРАМЕТРЫ!E21</f>
        <v>10</v>
      </c>
      <c r="J292" s="12" t="n">
        <f aca="false">MIN(G292,I292)</f>
        <v>10</v>
      </c>
      <c r="K292" s="12" t="n">
        <f aca="false">MAX(F292-J292,0)</f>
        <v>0</v>
      </c>
      <c r="L292" s="12" t="n">
        <f aca="false">IF(J292=0,0,F292/J292)</f>
        <v>0.248292</v>
      </c>
      <c r="M292" s="11" t="str">
        <f aca="false">IF(K292&gt;0,"BLOCKED","PASS")</f>
        <v>PASS</v>
      </c>
      <c r="N292" s="11" t="s">
        <v>233</v>
      </c>
    </row>
    <row r="293" customFormat="false" ht="23.85" hidden="false" customHeight="false" outlineLevel="0" collapsed="false">
      <c r="A293" s="11" t="s">
        <v>109</v>
      </c>
      <c r="B293" s="11" t="s">
        <v>129</v>
      </c>
      <c r="C293" s="11" t="s">
        <v>80</v>
      </c>
      <c r="D293" s="11" t="s">
        <v>81</v>
      </c>
      <c r="E293" s="11" t="s">
        <v>82</v>
      </c>
      <c r="F293" s="12" t="n">
        <f aca="false">SUMIFS(СПРОС_ДЕНЬ_ЧАС_МЕНЮ!$I$11:$I$3265,СПРОС_ДЕНЬ_ЧАС_МЕНЮ!$A$11:$A$3265,A293,СПРОС_ДЕНЬ_ЧАС_МЕНЮ!$B$11:$B$3265,B293,СПРОС_ДЕНЬ_ЧАС_МЕНЮ!$F$11:$F$3265,C293)</f>
        <v>7.293</v>
      </c>
      <c r="G293" s="12" t="n">
        <f aca="false">ПАРАМЕТРЫ!D22</f>
        <v>16</v>
      </c>
      <c r="H293" s="12" t="n">
        <f aca="false">SUMIFS(ШТАТ_ПО_ЧАСАМ!$C$11:$C$115,ШТАТ_ПО_ЧАСАМ!$A$11:$A$115,A293,ШТАТ_ПО_ЧАСАМ!$B$11:$B$115,B293)</f>
        <v>2</v>
      </c>
      <c r="I293" s="12" t="n">
        <f aca="false">MIN(H293,1)*ПАРАМЕТРЫ!E22</f>
        <v>16</v>
      </c>
      <c r="J293" s="12" t="n">
        <f aca="false">MIN(G293,I293)</f>
        <v>16</v>
      </c>
      <c r="K293" s="12" t="n">
        <f aca="false">MAX(F293-J293,0)</f>
        <v>0</v>
      </c>
      <c r="L293" s="12" t="n">
        <f aca="false">IF(J293=0,0,F293/J293)</f>
        <v>0.4558125</v>
      </c>
      <c r="M293" s="11" t="str">
        <f aca="false">IF(K293&gt;0,"BLOCKED","PASS")</f>
        <v>PASS</v>
      </c>
      <c r="N293" s="11" t="s">
        <v>233</v>
      </c>
    </row>
    <row r="294" customFormat="false" ht="23.85" hidden="false" customHeight="false" outlineLevel="0" collapsed="false">
      <c r="A294" s="11" t="s">
        <v>109</v>
      </c>
      <c r="B294" s="11" t="s">
        <v>129</v>
      </c>
      <c r="C294" s="11" t="s">
        <v>83</v>
      </c>
      <c r="D294" s="11" t="s">
        <v>84</v>
      </c>
      <c r="E294" s="11" t="s">
        <v>83</v>
      </c>
      <c r="F294" s="12" t="n">
        <f aca="false">SUMIFS(СПРОС_ДЕНЬ_ЧАС_МЕНЮ!$I$11:$I$3265,СПРОС_ДЕНЬ_ЧАС_МЕНЮ!$A$11:$A$3265,A294,СПРОС_ДЕНЬ_ЧАС_МЕНЮ!$B$11:$B$3265,B294,СПРОС_ДЕНЬ_ЧАС_МЕНЮ!$F$11:$F$3265,C294)</f>
        <v>20.372</v>
      </c>
      <c r="G294" s="12" t="n">
        <f aca="false">ПАРАМЕТРЫ!D23</f>
        <v>21</v>
      </c>
      <c r="H294" s="12" t="n">
        <f aca="false">SUMIFS(ШТАТ_ПО_ЧАСАМ!$C$11:$C$115,ШТАТ_ПО_ЧАСАМ!$A$11:$A$115,A294,ШТАТ_ПО_ЧАСАМ!$B$11:$B$115,B294)</f>
        <v>2</v>
      </c>
      <c r="I294" s="12" t="n">
        <f aca="false">MIN(H294,1)*ПАРАМЕТРЫ!E23</f>
        <v>21</v>
      </c>
      <c r="J294" s="12" t="n">
        <f aca="false">MIN(G294,I294)</f>
        <v>21</v>
      </c>
      <c r="K294" s="12" t="n">
        <f aca="false">MAX(F294-J294,0)</f>
        <v>0</v>
      </c>
      <c r="L294" s="12" t="n">
        <f aca="false">IF(J294=0,0,F294/J294)</f>
        <v>0.970095238095238</v>
      </c>
      <c r="M294" s="11" t="str">
        <f aca="false">IF(K294&gt;0,"BLOCKED","PASS")</f>
        <v>PASS</v>
      </c>
      <c r="N294" s="11" t="s">
        <v>233</v>
      </c>
    </row>
    <row r="295" customFormat="false" ht="23.85" hidden="false" customHeight="false" outlineLevel="0" collapsed="false">
      <c r="A295" s="11" t="s">
        <v>109</v>
      </c>
      <c r="B295" s="11" t="s">
        <v>129</v>
      </c>
      <c r="C295" s="11" t="s">
        <v>85</v>
      </c>
      <c r="D295" s="11" t="s">
        <v>86</v>
      </c>
      <c r="E295" s="11" t="s">
        <v>87</v>
      </c>
      <c r="F295" s="12" t="n">
        <f aca="false">SUMIFS(СПРОС_ДЕНЬ_ЧАС_МЕНЮ!$I$11:$I$3265,СПРОС_ДЕНЬ_ЧАС_МЕНЮ!$A$11:$A$3265,A295,СПРОС_ДЕНЬ_ЧАС_МЕНЮ!$B$11:$B$3265,B295,СПРОС_ДЕНЬ_ЧАС_МЕНЮ!$F$11:$F$3265,C295)</f>
        <v>8.321918</v>
      </c>
      <c r="G295" s="12" t="n">
        <f aca="false">ПАРАМЕТРЫ!D24</f>
        <v>12</v>
      </c>
      <c r="H295" s="12" t="n">
        <f aca="false">SUMIFS(ШТАТ_ПО_ЧАСАМ!$C$11:$C$115,ШТАТ_ПО_ЧАСАМ!$A$11:$A$115,A295,ШТАТ_ПО_ЧАСАМ!$B$11:$B$115,B295)</f>
        <v>2</v>
      </c>
      <c r="I295" s="12" t="n">
        <f aca="false">MIN(H295,1)*ПАРАМЕТРЫ!E24</f>
        <v>12</v>
      </c>
      <c r="J295" s="12" t="n">
        <f aca="false">MIN(G295,I295)</f>
        <v>12</v>
      </c>
      <c r="K295" s="12" t="n">
        <f aca="false">MAX(F295-J295,0)</f>
        <v>0</v>
      </c>
      <c r="L295" s="12" t="n">
        <f aca="false">IF(J295=0,0,F295/J295)</f>
        <v>0.693493166666667</v>
      </c>
      <c r="M295" s="11" t="str">
        <f aca="false">IF(K295&gt;0,"BLOCKED","PASS")</f>
        <v>PASS</v>
      </c>
      <c r="N295" s="11" t="s">
        <v>233</v>
      </c>
    </row>
    <row r="296" customFormat="false" ht="23.85" hidden="false" customHeight="false" outlineLevel="0" collapsed="false">
      <c r="A296" s="11" t="s">
        <v>109</v>
      </c>
      <c r="B296" s="11" t="s">
        <v>129</v>
      </c>
      <c r="C296" s="11" t="s">
        <v>88</v>
      </c>
      <c r="D296" s="11" t="s">
        <v>89</v>
      </c>
      <c r="E296" s="11" t="s">
        <v>90</v>
      </c>
      <c r="F296" s="12" t="n">
        <f aca="false">SUMIFS(СПРОС_ДЕНЬ_ЧАС_МЕНЮ!$I$11:$I$3265,СПРОС_ДЕНЬ_ЧАС_МЕНЮ!$A$11:$A$3265,A296,СПРОС_ДЕНЬ_ЧАС_МЕНЮ!$B$11:$B$3265,B296,СПРОС_ДЕНЬ_ЧАС_МЕНЮ!$F$11:$F$3265,C296)</f>
        <v>0</v>
      </c>
      <c r="G296" s="12" t="n">
        <f aca="false">ПАРАМЕТРЫ!D25</f>
        <v>15</v>
      </c>
      <c r="H296" s="12" t="n">
        <f aca="false">SUMIFS(ШТАТ_ПО_ЧАСАМ!$C$11:$C$115,ШТАТ_ПО_ЧАСАМ!$A$11:$A$115,A296,ШТАТ_ПО_ЧАСАМ!$B$11:$B$115,B296)</f>
        <v>2</v>
      </c>
      <c r="I296" s="12" t="n">
        <f aca="false">MIN(H296,1)*ПАРАМЕТРЫ!E25</f>
        <v>10</v>
      </c>
      <c r="J296" s="12" t="n">
        <f aca="false">MIN(G296,I296)</f>
        <v>10</v>
      </c>
      <c r="K296" s="12" t="n">
        <f aca="false">MAX(F296-J296,0)</f>
        <v>0</v>
      </c>
      <c r="L296" s="12" t="n">
        <f aca="false">IF(J296=0,0,F296/J296)</f>
        <v>0</v>
      </c>
      <c r="M296" s="11" t="str">
        <f aca="false">IF(K296&gt;0,"BLOCKED","PASS")</f>
        <v>PASS</v>
      </c>
      <c r="N296" s="11" t="s">
        <v>233</v>
      </c>
    </row>
    <row r="297" customFormat="false" ht="23.85" hidden="false" customHeight="false" outlineLevel="0" collapsed="false">
      <c r="A297" s="11" t="s">
        <v>109</v>
      </c>
      <c r="B297" s="11" t="s">
        <v>129</v>
      </c>
      <c r="C297" s="11" t="s">
        <v>91</v>
      </c>
      <c r="D297" s="11" t="s">
        <v>92</v>
      </c>
      <c r="E297" s="11" t="s">
        <v>79</v>
      </c>
      <c r="F297" s="12" t="n">
        <f aca="false">SUMIFS(СПРОС_ДЕНЬ_ЧАС_МЕНЮ!$I$11:$I$3265,СПРОС_ДЕНЬ_ЧАС_МЕНЮ!$A$11:$A$3265,A297,СПРОС_ДЕНЬ_ЧАС_МЕНЮ!$B$11:$B$3265,B297,СПРОС_ДЕНЬ_ЧАС_МЕНЮ!$F$11:$F$3265,C297)</f>
        <v>0.9504</v>
      </c>
      <c r="G297" s="12" t="n">
        <f aca="false">ПАРАМЕТРЫ!D26</f>
        <v>20</v>
      </c>
      <c r="H297" s="12" t="n">
        <f aca="false">SUMIFS(ШТАТ_ПО_ЧАСАМ!$C$11:$C$115,ШТАТ_ПО_ЧАСАМ!$A$11:$A$115,A297,ШТАТ_ПО_ЧАСАМ!$B$11:$B$115,B297)</f>
        <v>2</v>
      </c>
      <c r="I297" s="12" t="n">
        <f aca="false">MIN(H297,1)*ПАРАМЕТРЫ!E26</f>
        <v>10</v>
      </c>
      <c r="J297" s="12" t="n">
        <f aca="false">MIN(G297,I297)</f>
        <v>10</v>
      </c>
      <c r="K297" s="12" t="n">
        <f aca="false">MAX(F297-J297,0)</f>
        <v>0</v>
      </c>
      <c r="L297" s="12" t="n">
        <f aca="false">IF(J297=0,0,F297/J297)</f>
        <v>0.09504</v>
      </c>
      <c r="M297" s="11" t="str">
        <f aca="false">IF(K297&gt;0,"BLOCKED","PASS")</f>
        <v>PASS</v>
      </c>
      <c r="N297" s="11" t="s">
        <v>233</v>
      </c>
    </row>
    <row r="298" customFormat="false" ht="15" hidden="false" customHeight="false" outlineLevel="0" collapsed="false">
      <c r="A298" s="11" t="s">
        <v>109</v>
      </c>
      <c r="B298" s="11" t="s">
        <v>129</v>
      </c>
      <c r="C298" s="11" t="s">
        <v>93</v>
      </c>
      <c r="D298" s="11" t="s">
        <v>234</v>
      </c>
      <c r="E298" s="11" t="s">
        <v>95</v>
      </c>
      <c r="F298" s="12" t="n">
        <f aca="false">SUMIFS(СПРОС_ДЕНЬ_ЧАС_МЕНЮ!$I$11:$I$3265,СПРОС_ДЕНЬ_ЧАС_МЕНЮ!$A$11:$A$3265,A298,СПРОС_ДЕНЬ_ЧАС_МЕНЮ!$B$11:$B$3265,B298)</f>
        <v>43.778438</v>
      </c>
      <c r="G298" s="12" t="n">
        <f aca="false">ПАРАМЕТРЫ!D27</f>
        <v>60</v>
      </c>
      <c r="H298" s="12" t="n">
        <f aca="false">SUMIFS(ШТАТ_ПО_ЧАСАМ!$C$11:$C$115,ШТАТ_ПО_ЧАСАМ!$A$11:$A$115,A298,ШТАТ_ПО_ЧАСАМ!$B$11:$B$115,B298)</f>
        <v>2</v>
      </c>
      <c r="I298" s="12" t="n">
        <f aca="false">H298*ПАРАМЕТРЫ!E27</f>
        <v>33.3333333333333</v>
      </c>
      <c r="J298" s="12" t="n">
        <f aca="false">MIN(G298,I298)</f>
        <v>33.3333333333333</v>
      </c>
      <c r="K298" s="12" t="n">
        <f aca="false">MAX(F298-J298,0)</f>
        <v>10.4451046666667</v>
      </c>
      <c r="L298" s="12" t="n">
        <f aca="false">IF(J298=0,0,F298/J298)</f>
        <v>1.31335314</v>
      </c>
      <c r="M298" s="11" t="str">
        <f aca="false">IF(K298&gt;0,"BLOCKED","PASS")</f>
        <v>BLOCKED</v>
      </c>
      <c r="N298" s="11" t="s">
        <v>235</v>
      </c>
    </row>
    <row r="299" customFormat="false" ht="23.85" hidden="false" customHeight="false" outlineLevel="0" collapsed="false">
      <c r="A299" s="11" t="s">
        <v>109</v>
      </c>
      <c r="B299" s="11" t="s">
        <v>130</v>
      </c>
      <c r="C299" s="11" t="s">
        <v>73</v>
      </c>
      <c r="D299" s="11" t="s">
        <v>74</v>
      </c>
      <c r="E299" s="11" t="s">
        <v>75</v>
      </c>
      <c r="F299" s="12" t="n">
        <f aca="false">SUMIFS(СПРОС_ДЕНЬ_ЧАС_МЕНЮ!$I$11:$I$3265,СПРОС_ДЕНЬ_ЧАС_МЕНЮ!$A$11:$A$3265,A299,СПРОС_ДЕНЬ_ЧАС_МЕНЮ!$B$11:$B$3265,B299,СПРОС_ДЕНЬ_ЧАС_МЕНЮ!$F$11:$F$3265,C299)</f>
        <v>4.499</v>
      </c>
      <c r="G299" s="12" t="n">
        <f aca="false">ПАРАМЕТРЫ!D20</f>
        <v>25</v>
      </c>
      <c r="H299" s="12" t="n">
        <f aca="false">SUMIFS(ШТАТ_ПО_ЧАСАМ!$C$11:$C$115,ШТАТ_ПО_ЧАСАМ!$A$11:$A$115,A299,ШТАТ_ПО_ЧАСАМ!$B$11:$B$115,B299)</f>
        <v>2</v>
      </c>
      <c r="I299" s="12" t="n">
        <f aca="false">MIN(H299,1)*ПАРАМЕТРЫ!E20</f>
        <v>10</v>
      </c>
      <c r="J299" s="12" t="n">
        <f aca="false">MIN(G299,I299)</f>
        <v>10</v>
      </c>
      <c r="K299" s="12" t="n">
        <f aca="false">MAX(F299-J299,0)</f>
        <v>0</v>
      </c>
      <c r="L299" s="12" t="n">
        <f aca="false">IF(J299=0,0,F299/J299)</f>
        <v>0.4499</v>
      </c>
      <c r="M299" s="11" t="str">
        <f aca="false">IF(K299&gt;0,"BLOCKED","PASS")</f>
        <v>PASS</v>
      </c>
      <c r="N299" s="11" t="s">
        <v>233</v>
      </c>
    </row>
    <row r="300" customFormat="false" ht="23.85" hidden="false" customHeight="false" outlineLevel="0" collapsed="false">
      <c r="A300" s="11" t="s">
        <v>109</v>
      </c>
      <c r="B300" s="11" t="s">
        <v>130</v>
      </c>
      <c r="C300" s="11" t="s">
        <v>77</v>
      </c>
      <c r="D300" s="11" t="s">
        <v>78</v>
      </c>
      <c r="E300" s="11" t="s">
        <v>79</v>
      </c>
      <c r="F300" s="12" t="n">
        <f aca="false">SUMIFS(СПРОС_ДЕНЬ_ЧАС_МЕНЮ!$I$11:$I$3265,СПРОС_ДЕНЬ_ЧАС_МЕНЮ!$A$11:$A$3265,A300,СПРОС_ДЕНЬ_ЧАС_МЕНЮ!$B$11:$B$3265,B300,СПРОС_ДЕНЬ_ЧАС_МЕНЮ!$F$11:$F$3265,C300)</f>
        <v>2.5674</v>
      </c>
      <c r="G300" s="12" t="n">
        <f aca="false">ПАРАМЕТРЫ!D21</f>
        <v>20</v>
      </c>
      <c r="H300" s="12" t="n">
        <f aca="false">SUMIFS(ШТАТ_ПО_ЧАСАМ!$C$11:$C$115,ШТАТ_ПО_ЧАСАМ!$A$11:$A$115,A300,ШТАТ_ПО_ЧАСАМ!$B$11:$B$115,B300)</f>
        <v>2</v>
      </c>
      <c r="I300" s="12" t="n">
        <f aca="false">MIN(H300,1)*ПАРАМЕТРЫ!E21</f>
        <v>10</v>
      </c>
      <c r="J300" s="12" t="n">
        <f aca="false">MIN(G300,I300)</f>
        <v>10</v>
      </c>
      <c r="K300" s="12" t="n">
        <f aca="false">MAX(F300-J300,0)</f>
        <v>0</v>
      </c>
      <c r="L300" s="12" t="n">
        <f aca="false">IF(J300=0,0,F300/J300)</f>
        <v>0.25674</v>
      </c>
      <c r="M300" s="11" t="str">
        <f aca="false">IF(K300&gt;0,"BLOCKED","PASS")</f>
        <v>PASS</v>
      </c>
      <c r="N300" s="11" t="s">
        <v>233</v>
      </c>
    </row>
    <row r="301" customFormat="false" ht="23.85" hidden="false" customHeight="false" outlineLevel="0" collapsed="false">
      <c r="A301" s="11" t="s">
        <v>109</v>
      </c>
      <c r="B301" s="11" t="s">
        <v>130</v>
      </c>
      <c r="C301" s="11" t="s">
        <v>80</v>
      </c>
      <c r="D301" s="11" t="s">
        <v>81</v>
      </c>
      <c r="E301" s="11" t="s">
        <v>82</v>
      </c>
      <c r="F301" s="12" t="n">
        <f aca="false">SUMIFS(СПРОС_ДЕНЬ_ЧАС_МЕНЮ!$I$11:$I$3265,СПРОС_ДЕНЬ_ЧАС_МЕНЮ!$A$11:$A$3265,A301,СПРОС_ДЕНЬ_ЧАС_МЕНЮ!$B$11:$B$3265,B301,СПРОС_ДЕНЬ_ЧАС_МЕНЮ!$F$11:$F$3265,C301)</f>
        <v>7.645</v>
      </c>
      <c r="G301" s="12" t="n">
        <f aca="false">ПАРАМЕТРЫ!D22</f>
        <v>16</v>
      </c>
      <c r="H301" s="12" t="n">
        <f aca="false">SUMIFS(ШТАТ_ПО_ЧАСАМ!$C$11:$C$115,ШТАТ_ПО_ЧАСАМ!$A$11:$A$115,A301,ШТАТ_ПО_ЧАСАМ!$B$11:$B$115,B301)</f>
        <v>2</v>
      </c>
      <c r="I301" s="12" t="n">
        <f aca="false">MIN(H301,1)*ПАРАМЕТРЫ!E22</f>
        <v>16</v>
      </c>
      <c r="J301" s="12" t="n">
        <f aca="false">MIN(G301,I301)</f>
        <v>16</v>
      </c>
      <c r="K301" s="12" t="n">
        <f aca="false">MAX(F301-J301,0)</f>
        <v>0</v>
      </c>
      <c r="L301" s="12" t="n">
        <f aca="false">IF(J301=0,0,F301/J301)</f>
        <v>0.4778125</v>
      </c>
      <c r="M301" s="11" t="str">
        <f aca="false">IF(K301&gt;0,"BLOCKED","PASS")</f>
        <v>PASS</v>
      </c>
      <c r="N301" s="11" t="s">
        <v>233</v>
      </c>
    </row>
    <row r="302" customFormat="false" ht="23.85" hidden="false" customHeight="false" outlineLevel="0" collapsed="false">
      <c r="A302" s="11" t="s">
        <v>109</v>
      </c>
      <c r="B302" s="11" t="s">
        <v>130</v>
      </c>
      <c r="C302" s="11" t="s">
        <v>83</v>
      </c>
      <c r="D302" s="11" t="s">
        <v>84</v>
      </c>
      <c r="E302" s="11" t="s">
        <v>83</v>
      </c>
      <c r="F302" s="12" t="n">
        <f aca="false">SUMIFS(СПРОС_ДЕНЬ_ЧАС_МЕНЮ!$I$11:$I$3265,СПРОС_ДЕНЬ_ЧАС_МЕНЮ!$A$11:$A$3265,A302,СПРОС_ДЕНЬ_ЧАС_МЕНЮ!$B$11:$B$3265,B302,СПРОС_ДЕНЬ_ЧАС_МЕНЮ!$F$11:$F$3265,C302)</f>
        <v>20.9</v>
      </c>
      <c r="G302" s="12" t="n">
        <f aca="false">ПАРАМЕТРЫ!D23</f>
        <v>21</v>
      </c>
      <c r="H302" s="12" t="n">
        <f aca="false">SUMIFS(ШТАТ_ПО_ЧАСАМ!$C$11:$C$115,ШТАТ_ПО_ЧАСАМ!$A$11:$A$115,A302,ШТАТ_ПО_ЧАСАМ!$B$11:$B$115,B302)</f>
        <v>2</v>
      </c>
      <c r="I302" s="12" t="n">
        <f aca="false">MIN(H302,1)*ПАРАМЕТРЫ!E23</f>
        <v>21</v>
      </c>
      <c r="J302" s="12" t="n">
        <f aca="false">MIN(G302,I302)</f>
        <v>21</v>
      </c>
      <c r="K302" s="12" t="n">
        <f aca="false">MAX(F302-J302,0)</f>
        <v>0</v>
      </c>
      <c r="L302" s="12" t="n">
        <f aca="false">IF(J302=0,0,F302/J302)</f>
        <v>0.995238095238095</v>
      </c>
      <c r="M302" s="11" t="str">
        <f aca="false">IF(K302&gt;0,"BLOCKED","PASS")</f>
        <v>PASS</v>
      </c>
      <c r="N302" s="11" t="s">
        <v>233</v>
      </c>
    </row>
    <row r="303" customFormat="false" ht="23.85" hidden="false" customHeight="false" outlineLevel="0" collapsed="false">
      <c r="A303" s="11" t="s">
        <v>109</v>
      </c>
      <c r="B303" s="11" t="s">
        <v>130</v>
      </c>
      <c r="C303" s="11" t="s">
        <v>85</v>
      </c>
      <c r="D303" s="11" t="s">
        <v>86</v>
      </c>
      <c r="E303" s="11" t="s">
        <v>87</v>
      </c>
      <c r="F303" s="12" t="n">
        <f aca="false">SUMIFS(СПРОС_ДЕНЬ_ЧАС_МЕНЮ!$I$11:$I$3265,СПРОС_ДЕНЬ_ЧАС_МЕНЮ!$A$11:$A$3265,A303,СПРОС_ДЕНЬ_ЧАС_МЕНЮ!$B$11:$B$3265,B303,СПРОС_ДЕНЬ_ЧАС_МЕНЮ!$F$11:$F$3265,C303)</f>
        <v>8.59771</v>
      </c>
      <c r="G303" s="12" t="n">
        <f aca="false">ПАРАМЕТРЫ!D24</f>
        <v>12</v>
      </c>
      <c r="H303" s="12" t="n">
        <f aca="false">SUMIFS(ШТАТ_ПО_ЧАСАМ!$C$11:$C$115,ШТАТ_ПО_ЧАСАМ!$A$11:$A$115,A303,ШТАТ_ПО_ЧАСАМ!$B$11:$B$115,B303)</f>
        <v>2</v>
      </c>
      <c r="I303" s="12" t="n">
        <f aca="false">MIN(H303,1)*ПАРАМЕТРЫ!E24</f>
        <v>12</v>
      </c>
      <c r="J303" s="12" t="n">
        <f aca="false">MIN(G303,I303)</f>
        <v>12</v>
      </c>
      <c r="K303" s="12" t="n">
        <f aca="false">MAX(F303-J303,0)</f>
        <v>0</v>
      </c>
      <c r="L303" s="12" t="n">
        <f aca="false">IF(J303=0,0,F303/J303)</f>
        <v>0.716475833333333</v>
      </c>
      <c r="M303" s="11" t="str">
        <f aca="false">IF(K303&gt;0,"BLOCKED","PASS")</f>
        <v>PASS</v>
      </c>
      <c r="N303" s="11" t="s">
        <v>233</v>
      </c>
    </row>
    <row r="304" customFormat="false" ht="23.85" hidden="false" customHeight="false" outlineLevel="0" collapsed="false">
      <c r="A304" s="11" t="s">
        <v>109</v>
      </c>
      <c r="B304" s="11" t="s">
        <v>130</v>
      </c>
      <c r="C304" s="11" t="s">
        <v>88</v>
      </c>
      <c r="D304" s="11" t="s">
        <v>89</v>
      </c>
      <c r="E304" s="11" t="s">
        <v>90</v>
      </c>
      <c r="F304" s="12" t="n">
        <f aca="false">SUMIFS(СПРОС_ДЕНЬ_ЧАС_МЕНЮ!$I$11:$I$3265,СПРОС_ДЕНЬ_ЧАС_МЕНЮ!$A$11:$A$3265,A304,СПРОС_ДЕНЬ_ЧАС_МЕНЮ!$B$11:$B$3265,B304,СПРОС_ДЕНЬ_ЧАС_МЕНЮ!$F$11:$F$3265,C304)</f>
        <v>0</v>
      </c>
      <c r="G304" s="12" t="n">
        <f aca="false">ПАРАМЕТРЫ!D25</f>
        <v>15</v>
      </c>
      <c r="H304" s="12" t="n">
        <f aca="false">SUMIFS(ШТАТ_ПО_ЧАСАМ!$C$11:$C$115,ШТАТ_ПО_ЧАСАМ!$A$11:$A$115,A304,ШТАТ_ПО_ЧАСАМ!$B$11:$B$115,B304)</f>
        <v>2</v>
      </c>
      <c r="I304" s="12" t="n">
        <f aca="false">MIN(H304,1)*ПАРАМЕТРЫ!E25</f>
        <v>10</v>
      </c>
      <c r="J304" s="12" t="n">
        <f aca="false">MIN(G304,I304)</f>
        <v>10</v>
      </c>
      <c r="K304" s="12" t="n">
        <f aca="false">MAX(F304-J304,0)</f>
        <v>0</v>
      </c>
      <c r="L304" s="12" t="n">
        <f aca="false">IF(J304=0,0,F304/J304)</f>
        <v>0</v>
      </c>
      <c r="M304" s="11" t="str">
        <f aca="false">IF(K304&gt;0,"BLOCKED","PASS")</f>
        <v>PASS</v>
      </c>
      <c r="N304" s="11" t="s">
        <v>233</v>
      </c>
    </row>
    <row r="305" customFormat="false" ht="23.85" hidden="false" customHeight="false" outlineLevel="0" collapsed="false">
      <c r="A305" s="11" t="s">
        <v>109</v>
      </c>
      <c r="B305" s="11" t="s">
        <v>130</v>
      </c>
      <c r="C305" s="11" t="s">
        <v>91</v>
      </c>
      <c r="D305" s="11" t="s">
        <v>92</v>
      </c>
      <c r="E305" s="11" t="s">
        <v>79</v>
      </c>
      <c r="F305" s="12" t="n">
        <f aca="false">SUMIFS(СПРОС_ДЕНЬ_ЧАС_МЕНЮ!$I$11:$I$3265,СПРОС_ДЕНЬ_ЧАС_МЕНЮ!$A$11:$A$3265,A305,СПРОС_ДЕНЬ_ЧАС_МЕНЮ!$B$11:$B$3265,B305,СПРОС_ДЕНЬ_ЧАС_МЕНЮ!$F$11:$F$3265,C305)</f>
        <v>1.056</v>
      </c>
      <c r="G305" s="12" t="n">
        <f aca="false">ПАРАМЕТРЫ!D26</f>
        <v>20</v>
      </c>
      <c r="H305" s="12" t="n">
        <f aca="false">SUMIFS(ШТАТ_ПО_ЧАСАМ!$C$11:$C$115,ШТАТ_ПО_ЧАСАМ!$A$11:$A$115,A305,ШТАТ_ПО_ЧАСАМ!$B$11:$B$115,B305)</f>
        <v>2</v>
      </c>
      <c r="I305" s="12" t="n">
        <f aca="false">MIN(H305,1)*ПАРАМЕТРЫ!E26</f>
        <v>10</v>
      </c>
      <c r="J305" s="12" t="n">
        <f aca="false">MIN(G305,I305)</f>
        <v>10</v>
      </c>
      <c r="K305" s="12" t="n">
        <f aca="false">MAX(F305-J305,0)</f>
        <v>0</v>
      </c>
      <c r="L305" s="12" t="n">
        <f aca="false">IF(J305=0,0,F305/J305)</f>
        <v>0.1056</v>
      </c>
      <c r="M305" s="11" t="str">
        <f aca="false">IF(K305&gt;0,"BLOCKED","PASS")</f>
        <v>PASS</v>
      </c>
      <c r="N305" s="11" t="s">
        <v>233</v>
      </c>
    </row>
    <row r="306" customFormat="false" ht="15" hidden="false" customHeight="false" outlineLevel="0" collapsed="false">
      <c r="A306" s="11" t="s">
        <v>109</v>
      </c>
      <c r="B306" s="11" t="s">
        <v>130</v>
      </c>
      <c r="C306" s="11" t="s">
        <v>93</v>
      </c>
      <c r="D306" s="11" t="s">
        <v>234</v>
      </c>
      <c r="E306" s="11" t="s">
        <v>95</v>
      </c>
      <c r="F306" s="12" t="n">
        <f aca="false">SUMIFS(СПРОС_ДЕНЬ_ЧАС_МЕНЮ!$I$11:$I$3265,СПРОС_ДЕНЬ_ЧАС_МЕНЮ!$A$11:$A$3265,A306,СПРОС_ДЕНЬ_ЧАС_МЕНЮ!$B$11:$B$3265,B306)</f>
        <v>45.26511</v>
      </c>
      <c r="G306" s="12" t="n">
        <f aca="false">ПАРАМЕТРЫ!D27</f>
        <v>60</v>
      </c>
      <c r="H306" s="12" t="n">
        <f aca="false">SUMIFS(ШТАТ_ПО_ЧАСАМ!$C$11:$C$115,ШТАТ_ПО_ЧАСАМ!$A$11:$A$115,A306,ШТАТ_ПО_ЧАСАМ!$B$11:$B$115,B306)</f>
        <v>2</v>
      </c>
      <c r="I306" s="12" t="n">
        <f aca="false">H306*ПАРАМЕТРЫ!E27</f>
        <v>33.3333333333333</v>
      </c>
      <c r="J306" s="12" t="n">
        <f aca="false">MIN(G306,I306)</f>
        <v>33.3333333333333</v>
      </c>
      <c r="K306" s="12" t="n">
        <f aca="false">MAX(F306-J306,0)</f>
        <v>11.9317766666667</v>
      </c>
      <c r="L306" s="12" t="n">
        <f aca="false">IF(J306=0,0,F306/J306)</f>
        <v>1.3579533</v>
      </c>
      <c r="M306" s="11" t="str">
        <f aca="false">IF(K306&gt;0,"BLOCKED","PASS")</f>
        <v>BLOCKED</v>
      </c>
      <c r="N306" s="11" t="s">
        <v>235</v>
      </c>
    </row>
    <row r="307" customFormat="false" ht="23.85" hidden="false" customHeight="false" outlineLevel="0" collapsed="false">
      <c r="A307" s="11" t="s">
        <v>109</v>
      </c>
      <c r="B307" s="11" t="s">
        <v>131</v>
      </c>
      <c r="C307" s="11" t="s">
        <v>73</v>
      </c>
      <c r="D307" s="11" t="s">
        <v>74</v>
      </c>
      <c r="E307" s="11" t="s">
        <v>75</v>
      </c>
      <c r="F307" s="12" t="n">
        <f aca="false">SUMIFS(СПРОС_ДЕНЬ_ЧАС_МЕНЮ!$I$11:$I$3265,СПРОС_ДЕНЬ_ЧАС_МЕНЮ!$A$11:$A$3265,A307,СПРОС_ДЕНЬ_ЧАС_МЕНЮ!$B$11:$B$3265,B307,СПРОС_ДЕНЬ_ЧАС_МЕНЮ!$F$11:$F$3265,C307)</f>
        <v>2.2253</v>
      </c>
      <c r="G307" s="12" t="n">
        <f aca="false">ПАРАМЕТРЫ!D20</f>
        <v>25</v>
      </c>
      <c r="H307" s="12" t="n">
        <f aca="false">SUMIFS(ШТАТ_ПО_ЧАСАМ!$C$11:$C$115,ШТАТ_ПО_ЧАСАМ!$A$11:$A$115,A307,ШТАТ_ПО_ЧАСАМ!$B$11:$B$115,B307)</f>
        <v>2</v>
      </c>
      <c r="I307" s="12" t="n">
        <f aca="false">MIN(H307,1)*ПАРАМЕТРЫ!E20</f>
        <v>10</v>
      </c>
      <c r="J307" s="12" t="n">
        <f aca="false">MIN(G307,I307)</f>
        <v>10</v>
      </c>
      <c r="K307" s="12" t="n">
        <f aca="false">MAX(F307-J307,0)</f>
        <v>0</v>
      </c>
      <c r="L307" s="12" t="n">
        <f aca="false">IF(J307=0,0,F307/J307)</f>
        <v>0.22253</v>
      </c>
      <c r="M307" s="11" t="str">
        <f aca="false">IF(K307&gt;0,"BLOCKED","PASS")</f>
        <v>PASS</v>
      </c>
      <c r="N307" s="11" t="s">
        <v>233</v>
      </c>
    </row>
    <row r="308" customFormat="false" ht="23.85" hidden="false" customHeight="false" outlineLevel="0" collapsed="false">
      <c r="A308" s="11" t="s">
        <v>109</v>
      </c>
      <c r="B308" s="11" t="s">
        <v>131</v>
      </c>
      <c r="C308" s="11" t="s">
        <v>77</v>
      </c>
      <c r="D308" s="11" t="s">
        <v>78</v>
      </c>
      <c r="E308" s="11" t="s">
        <v>79</v>
      </c>
      <c r="F308" s="12" t="n">
        <f aca="false">SUMIFS(СПРОС_ДЕНЬ_ЧАС_МЕНЮ!$I$11:$I$3265,СПРОС_ДЕНЬ_ЧАС_МЕНЮ!$A$11:$A$3265,A308,СПРОС_ДЕНЬ_ЧАС_МЕНЮ!$B$11:$B$3265,B308,СПРОС_ДЕНЬ_ЧАС_МЕНЮ!$F$11:$F$3265,C308)</f>
        <v>1.83018</v>
      </c>
      <c r="G308" s="12" t="n">
        <f aca="false">ПАРАМЕТРЫ!D21</f>
        <v>20</v>
      </c>
      <c r="H308" s="12" t="n">
        <f aca="false">SUMIFS(ШТАТ_ПО_ЧАСАМ!$C$11:$C$115,ШТАТ_ПО_ЧАСАМ!$A$11:$A$115,A308,ШТАТ_ПО_ЧАСАМ!$B$11:$B$115,B308)</f>
        <v>2</v>
      </c>
      <c r="I308" s="12" t="n">
        <f aca="false">MIN(H308,1)*ПАРАМЕТРЫ!E21</f>
        <v>10</v>
      </c>
      <c r="J308" s="12" t="n">
        <f aca="false">MIN(G308,I308)</f>
        <v>10</v>
      </c>
      <c r="K308" s="12" t="n">
        <f aca="false">MAX(F308-J308,0)</f>
        <v>0</v>
      </c>
      <c r="L308" s="12" t="n">
        <f aca="false">IF(J308=0,0,F308/J308)</f>
        <v>0.183018</v>
      </c>
      <c r="M308" s="11" t="str">
        <f aca="false">IF(K308&gt;0,"BLOCKED","PASS")</f>
        <v>PASS</v>
      </c>
      <c r="N308" s="11" t="s">
        <v>233</v>
      </c>
    </row>
    <row r="309" customFormat="false" ht="23.85" hidden="false" customHeight="false" outlineLevel="0" collapsed="false">
      <c r="A309" s="11" t="s">
        <v>109</v>
      </c>
      <c r="B309" s="11" t="s">
        <v>131</v>
      </c>
      <c r="C309" s="11" t="s">
        <v>80</v>
      </c>
      <c r="D309" s="11" t="s">
        <v>81</v>
      </c>
      <c r="E309" s="11" t="s">
        <v>82</v>
      </c>
      <c r="F309" s="12" t="n">
        <f aca="false">SUMIFS(СПРОС_ДЕНЬ_ЧАС_МЕНЮ!$I$11:$I$3265,СПРОС_ДЕНЬ_ЧАС_МЕНЮ!$A$11:$A$3265,A309,СПРОС_ДЕНЬ_ЧАС_МЕНЮ!$B$11:$B$3265,B309,СПРОС_ДЕНЬ_ЧАС_МЕНЮ!$F$11:$F$3265,C309)</f>
        <v>3.7895</v>
      </c>
      <c r="G309" s="12" t="n">
        <f aca="false">ПАРАМЕТРЫ!D22</f>
        <v>16</v>
      </c>
      <c r="H309" s="12" t="n">
        <f aca="false">SUMIFS(ШТАТ_ПО_ЧАСАМ!$C$11:$C$115,ШТАТ_ПО_ЧАСАМ!$A$11:$A$115,A309,ШТАТ_ПО_ЧАСАМ!$B$11:$B$115,B309)</f>
        <v>2</v>
      </c>
      <c r="I309" s="12" t="n">
        <f aca="false">MIN(H309,1)*ПАРАМЕТРЫ!E22</f>
        <v>16</v>
      </c>
      <c r="J309" s="12" t="n">
        <f aca="false">MIN(G309,I309)</f>
        <v>16</v>
      </c>
      <c r="K309" s="12" t="n">
        <f aca="false">MAX(F309-J309,0)</f>
        <v>0</v>
      </c>
      <c r="L309" s="12" t="n">
        <f aca="false">IF(J309=0,0,F309/J309)</f>
        <v>0.23684375</v>
      </c>
      <c r="M309" s="11" t="str">
        <f aca="false">IF(K309&gt;0,"BLOCKED","PASS")</f>
        <v>PASS</v>
      </c>
      <c r="N309" s="11" t="s">
        <v>233</v>
      </c>
    </row>
    <row r="310" customFormat="false" ht="23.85" hidden="false" customHeight="false" outlineLevel="0" collapsed="false">
      <c r="A310" s="11" t="s">
        <v>109</v>
      </c>
      <c r="B310" s="11" t="s">
        <v>131</v>
      </c>
      <c r="C310" s="11" t="s">
        <v>83</v>
      </c>
      <c r="D310" s="11" t="s">
        <v>84</v>
      </c>
      <c r="E310" s="11" t="s">
        <v>83</v>
      </c>
      <c r="F310" s="12" t="n">
        <f aca="false">SUMIFS(СПРОС_ДЕНЬ_ЧАС_МЕНЮ!$I$11:$I$3265,СПРОС_ДЕНЬ_ЧАС_МЕНЮ!$A$11:$A$3265,A310,СПРОС_ДЕНЬ_ЧАС_МЕНЮ!$B$11:$B$3265,B310,СПРОС_ДЕНЬ_ЧАС_МЕНЮ!$F$11:$F$3265,C310)</f>
        <v>9.768</v>
      </c>
      <c r="G310" s="12" t="n">
        <f aca="false">ПАРАМЕТРЫ!D23</f>
        <v>21</v>
      </c>
      <c r="H310" s="12" t="n">
        <f aca="false">SUMIFS(ШТАТ_ПО_ЧАСАМ!$C$11:$C$115,ШТАТ_ПО_ЧАСАМ!$A$11:$A$115,A310,ШТАТ_ПО_ЧАСАМ!$B$11:$B$115,B310)</f>
        <v>2</v>
      </c>
      <c r="I310" s="12" t="n">
        <f aca="false">MIN(H310,1)*ПАРАМЕТРЫ!E23</f>
        <v>21</v>
      </c>
      <c r="J310" s="12" t="n">
        <f aca="false">MIN(G310,I310)</f>
        <v>21</v>
      </c>
      <c r="K310" s="12" t="n">
        <f aca="false">MAX(F310-J310,0)</f>
        <v>0</v>
      </c>
      <c r="L310" s="12" t="n">
        <f aca="false">IF(J310=0,0,F310/J310)</f>
        <v>0.465142857142857</v>
      </c>
      <c r="M310" s="11" t="str">
        <f aca="false">IF(K310&gt;0,"BLOCKED","PASS")</f>
        <v>PASS</v>
      </c>
      <c r="N310" s="11" t="s">
        <v>233</v>
      </c>
    </row>
    <row r="311" customFormat="false" ht="23.85" hidden="false" customHeight="false" outlineLevel="0" collapsed="false">
      <c r="A311" s="11" t="s">
        <v>109</v>
      </c>
      <c r="B311" s="11" t="s">
        <v>131</v>
      </c>
      <c r="C311" s="11" t="s">
        <v>85</v>
      </c>
      <c r="D311" s="11" t="s">
        <v>86</v>
      </c>
      <c r="E311" s="11" t="s">
        <v>87</v>
      </c>
      <c r="F311" s="12" t="n">
        <f aca="false">SUMIFS(СПРОС_ДЕНЬ_ЧАС_МЕНЮ!$I$11:$I$3265,СПРОС_ДЕНЬ_ЧАС_МЕНЮ!$A$11:$A$3265,A311,СПРОС_ДЕНЬ_ЧАС_МЕНЮ!$B$11:$B$3265,B311,СПРОС_ДЕНЬ_ЧАС_МЕНЮ!$F$11:$F$3265,C311)</f>
        <v>4.059022</v>
      </c>
      <c r="G311" s="12" t="n">
        <f aca="false">ПАРАМЕТРЫ!D24</f>
        <v>12</v>
      </c>
      <c r="H311" s="12" t="n">
        <f aca="false">SUMIFS(ШТАТ_ПО_ЧАСАМ!$C$11:$C$115,ШТАТ_ПО_ЧАСАМ!$A$11:$A$115,A311,ШТАТ_ПО_ЧАСАМ!$B$11:$B$115,B311)</f>
        <v>2</v>
      </c>
      <c r="I311" s="12" t="n">
        <f aca="false">MIN(H311,1)*ПАРАМЕТРЫ!E24</f>
        <v>12</v>
      </c>
      <c r="J311" s="12" t="n">
        <f aca="false">MIN(G311,I311)</f>
        <v>12</v>
      </c>
      <c r="K311" s="12" t="n">
        <f aca="false">MAX(F311-J311,0)</f>
        <v>0</v>
      </c>
      <c r="L311" s="12" t="n">
        <f aca="false">IF(J311=0,0,F311/J311)</f>
        <v>0.338251833333333</v>
      </c>
      <c r="M311" s="11" t="str">
        <f aca="false">IF(K311&gt;0,"BLOCKED","PASS")</f>
        <v>PASS</v>
      </c>
      <c r="N311" s="11" t="s">
        <v>233</v>
      </c>
    </row>
    <row r="312" customFormat="false" ht="23.85" hidden="false" customHeight="false" outlineLevel="0" collapsed="false">
      <c r="A312" s="11" t="s">
        <v>109</v>
      </c>
      <c r="B312" s="11" t="s">
        <v>131</v>
      </c>
      <c r="C312" s="11" t="s">
        <v>88</v>
      </c>
      <c r="D312" s="11" t="s">
        <v>89</v>
      </c>
      <c r="E312" s="11" t="s">
        <v>90</v>
      </c>
      <c r="F312" s="12" t="n">
        <f aca="false">SUMIFS(СПРОС_ДЕНЬ_ЧАС_МЕНЮ!$I$11:$I$3265,СПРОС_ДЕНЬ_ЧАС_МЕНЮ!$A$11:$A$3265,A312,СПРОС_ДЕНЬ_ЧАС_МЕНЮ!$B$11:$B$3265,B312,СПРОС_ДЕНЬ_ЧАС_МЕНЮ!$F$11:$F$3265,C312)</f>
        <v>0</v>
      </c>
      <c r="G312" s="12" t="n">
        <f aca="false">ПАРАМЕТРЫ!D25</f>
        <v>15</v>
      </c>
      <c r="H312" s="12" t="n">
        <f aca="false">SUMIFS(ШТАТ_ПО_ЧАСАМ!$C$11:$C$115,ШТАТ_ПО_ЧАСАМ!$A$11:$A$115,A312,ШТАТ_ПО_ЧАСАМ!$B$11:$B$115,B312)</f>
        <v>2</v>
      </c>
      <c r="I312" s="12" t="n">
        <f aca="false">MIN(H312,1)*ПАРАМЕТРЫ!E25</f>
        <v>10</v>
      </c>
      <c r="J312" s="12" t="n">
        <f aca="false">MIN(G312,I312)</f>
        <v>10</v>
      </c>
      <c r="K312" s="12" t="n">
        <f aca="false">MAX(F312-J312,0)</f>
        <v>0</v>
      </c>
      <c r="L312" s="12" t="n">
        <f aca="false">IF(J312=0,0,F312/J312)</f>
        <v>0</v>
      </c>
      <c r="M312" s="11" t="str">
        <f aca="false">IF(K312&gt;0,"BLOCKED","PASS")</f>
        <v>PASS</v>
      </c>
      <c r="N312" s="11" t="s">
        <v>233</v>
      </c>
    </row>
    <row r="313" customFormat="false" ht="23.85" hidden="false" customHeight="false" outlineLevel="0" collapsed="false">
      <c r="A313" s="11" t="s">
        <v>109</v>
      </c>
      <c r="B313" s="11" t="s">
        <v>131</v>
      </c>
      <c r="C313" s="11" t="s">
        <v>91</v>
      </c>
      <c r="D313" s="11" t="s">
        <v>92</v>
      </c>
      <c r="E313" s="11" t="s">
        <v>79</v>
      </c>
      <c r="F313" s="12" t="n">
        <f aca="false">SUMIFS(СПРОС_ДЕНЬ_ЧАС_МЕНЮ!$I$11:$I$3265,СПРОС_ДЕНЬ_ЧАС_МЕНЮ!$A$11:$A$3265,A313,СПРОС_ДЕНЬ_ЧАС_МЕНЮ!$B$11:$B$3265,B313,СПРОС_ДЕНЬ_ЧАС_МЕНЮ!$F$11:$F$3265,C313)</f>
        <v>0.8976</v>
      </c>
      <c r="G313" s="12" t="n">
        <f aca="false">ПАРАМЕТРЫ!D26</f>
        <v>20</v>
      </c>
      <c r="H313" s="12" t="n">
        <f aca="false">SUMIFS(ШТАТ_ПО_ЧАСАМ!$C$11:$C$115,ШТАТ_ПО_ЧАСАМ!$A$11:$A$115,A313,ШТАТ_ПО_ЧАСАМ!$B$11:$B$115,B313)</f>
        <v>2</v>
      </c>
      <c r="I313" s="12" t="n">
        <f aca="false">MIN(H313,1)*ПАРАМЕТРЫ!E26</f>
        <v>10</v>
      </c>
      <c r="J313" s="12" t="n">
        <f aca="false">MIN(G313,I313)</f>
        <v>10</v>
      </c>
      <c r="K313" s="12" t="n">
        <f aca="false">MAX(F313-J313,0)</f>
        <v>0</v>
      </c>
      <c r="L313" s="12" t="n">
        <f aca="false">IF(J313=0,0,F313/J313)</f>
        <v>0.08976</v>
      </c>
      <c r="M313" s="11" t="str">
        <f aca="false">IF(K313&gt;0,"BLOCKED","PASS")</f>
        <v>PASS</v>
      </c>
      <c r="N313" s="11" t="s">
        <v>233</v>
      </c>
    </row>
    <row r="314" customFormat="false" ht="15" hidden="false" customHeight="false" outlineLevel="0" collapsed="false">
      <c r="A314" s="11" t="s">
        <v>109</v>
      </c>
      <c r="B314" s="11" t="s">
        <v>131</v>
      </c>
      <c r="C314" s="11" t="s">
        <v>93</v>
      </c>
      <c r="D314" s="11" t="s">
        <v>234</v>
      </c>
      <c r="E314" s="11" t="s">
        <v>95</v>
      </c>
      <c r="F314" s="12" t="n">
        <f aca="false">SUMIFS(СПРОС_ДЕНЬ_ЧАС_МЕНЮ!$I$11:$I$3265,СПРОС_ДЕНЬ_ЧАС_МЕНЮ!$A$11:$A$3265,A314,СПРОС_ДЕНЬ_ЧАС_МЕНЮ!$B$11:$B$3265,B314)</f>
        <v>22.569602</v>
      </c>
      <c r="G314" s="12" t="n">
        <f aca="false">ПАРАМЕТРЫ!D27</f>
        <v>60</v>
      </c>
      <c r="H314" s="12" t="n">
        <f aca="false">SUMIFS(ШТАТ_ПО_ЧАСАМ!$C$11:$C$115,ШТАТ_ПО_ЧАСАМ!$A$11:$A$115,A314,ШТАТ_ПО_ЧАСАМ!$B$11:$B$115,B314)</f>
        <v>2</v>
      </c>
      <c r="I314" s="12" t="n">
        <f aca="false">H314*ПАРАМЕТРЫ!E27</f>
        <v>33.3333333333333</v>
      </c>
      <c r="J314" s="12" t="n">
        <f aca="false">MIN(G314,I314)</f>
        <v>33.3333333333333</v>
      </c>
      <c r="K314" s="12" t="n">
        <f aca="false">MAX(F314-J314,0)</f>
        <v>0</v>
      </c>
      <c r="L314" s="12" t="n">
        <f aca="false">IF(J314=0,0,F314/J314)</f>
        <v>0.67708806</v>
      </c>
      <c r="M314" s="11" t="str">
        <f aca="false">IF(K314&gt;0,"BLOCKED","PASS")</f>
        <v>PASS</v>
      </c>
      <c r="N314" s="11" t="s">
        <v>235</v>
      </c>
    </row>
    <row r="315" customFormat="false" ht="23.85" hidden="false" customHeight="false" outlineLevel="0" collapsed="false">
      <c r="A315" s="11" t="s">
        <v>109</v>
      </c>
      <c r="B315" s="11" t="s">
        <v>132</v>
      </c>
      <c r="C315" s="11" t="s">
        <v>73</v>
      </c>
      <c r="D315" s="11" t="s">
        <v>74</v>
      </c>
      <c r="E315" s="11" t="s">
        <v>75</v>
      </c>
      <c r="F315" s="12" t="n">
        <f aca="false">SUMIFS(СПРОС_ДЕНЬ_ЧАС_МЕНЮ!$I$11:$I$3265,СПРОС_ДЕНЬ_ЧАС_МЕНЮ!$A$11:$A$3265,A315,СПРОС_ДЕНЬ_ЧАС_МЕНЮ!$B$11:$B$3265,B315,СПРОС_ДЕНЬ_ЧАС_МЕНЮ!$F$11:$F$3265,C315)</f>
        <v>1.2056</v>
      </c>
      <c r="G315" s="12" t="n">
        <f aca="false">ПАРАМЕТРЫ!D20</f>
        <v>25</v>
      </c>
      <c r="H315" s="12" t="n">
        <f aca="false">SUMIFS(ШТАТ_ПО_ЧАСАМ!$C$11:$C$115,ШТАТ_ПО_ЧАСАМ!$A$11:$A$115,A315,ШТАТ_ПО_ЧАСАМ!$B$11:$B$115,B315)</f>
        <v>2</v>
      </c>
      <c r="I315" s="12" t="n">
        <f aca="false">MIN(H315,1)*ПАРАМЕТРЫ!E20</f>
        <v>10</v>
      </c>
      <c r="J315" s="12" t="n">
        <f aca="false">MIN(G315,I315)</f>
        <v>10</v>
      </c>
      <c r="K315" s="12" t="n">
        <f aca="false">MAX(F315-J315,0)</f>
        <v>0</v>
      </c>
      <c r="L315" s="12" t="n">
        <f aca="false">IF(J315=0,0,F315/J315)</f>
        <v>0.12056</v>
      </c>
      <c r="M315" s="11" t="str">
        <f aca="false">IF(K315&gt;0,"BLOCKED","PASS")</f>
        <v>PASS</v>
      </c>
      <c r="N315" s="11" t="s">
        <v>233</v>
      </c>
    </row>
    <row r="316" customFormat="false" ht="23.85" hidden="false" customHeight="false" outlineLevel="0" collapsed="false">
      <c r="A316" s="11" t="s">
        <v>109</v>
      </c>
      <c r="B316" s="11" t="s">
        <v>132</v>
      </c>
      <c r="C316" s="11" t="s">
        <v>77</v>
      </c>
      <c r="D316" s="11" t="s">
        <v>78</v>
      </c>
      <c r="E316" s="11" t="s">
        <v>79</v>
      </c>
      <c r="F316" s="12" t="n">
        <f aca="false">SUMIFS(СПРОС_ДЕНЬ_ЧАС_МЕНЮ!$I$11:$I$3265,СПРОС_ДЕНЬ_ЧАС_МЕНЮ!$A$11:$A$3265,A316,СПРОС_ДЕНЬ_ЧАС_МЕНЮ!$B$11:$B$3265,B316,СПРОС_ДЕНЬ_ЧАС_МЕНЮ!$F$11:$F$3265,C316)</f>
        <v>1.55496</v>
      </c>
      <c r="G316" s="12" t="n">
        <f aca="false">ПАРАМЕТРЫ!D21</f>
        <v>20</v>
      </c>
      <c r="H316" s="12" t="n">
        <f aca="false">SUMIFS(ШТАТ_ПО_ЧАСАМ!$C$11:$C$115,ШТАТ_ПО_ЧАСАМ!$A$11:$A$115,A316,ШТАТ_ПО_ЧАСАМ!$B$11:$B$115,B316)</f>
        <v>2</v>
      </c>
      <c r="I316" s="12" t="n">
        <f aca="false">MIN(H316,1)*ПАРАМЕТРЫ!E21</f>
        <v>10</v>
      </c>
      <c r="J316" s="12" t="n">
        <f aca="false">MIN(G316,I316)</f>
        <v>10</v>
      </c>
      <c r="K316" s="12" t="n">
        <f aca="false">MAX(F316-J316,0)</f>
        <v>0</v>
      </c>
      <c r="L316" s="12" t="n">
        <f aca="false">IF(J316=0,0,F316/J316)</f>
        <v>0.155496</v>
      </c>
      <c r="M316" s="11" t="str">
        <f aca="false">IF(K316&gt;0,"BLOCKED","PASS")</f>
        <v>PASS</v>
      </c>
      <c r="N316" s="11" t="s">
        <v>233</v>
      </c>
    </row>
    <row r="317" customFormat="false" ht="23.85" hidden="false" customHeight="false" outlineLevel="0" collapsed="false">
      <c r="A317" s="11" t="s">
        <v>109</v>
      </c>
      <c r="B317" s="11" t="s">
        <v>132</v>
      </c>
      <c r="C317" s="11" t="s">
        <v>80</v>
      </c>
      <c r="D317" s="11" t="s">
        <v>81</v>
      </c>
      <c r="E317" s="11" t="s">
        <v>82</v>
      </c>
      <c r="F317" s="12" t="n">
        <f aca="false">SUMIFS(СПРОС_ДЕНЬ_ЧАС_МЕНЮ!$I$11:$I$3265,СПРОС_ДЕНЬ_ЧАС_МЕНЮ!$A$11:$A$3265,A317,СПРОС_ДЕНЬ_ЧАС_МЕНЮ!$B$11:$B$3265,B317,СПРОС_ДЕНЬ_ЧАС_МЕНЮ!$F$11:$F$3265,C317)</f>
        <v>1.672</v>
      </c>
      <c r="G317" s="12" t="n">
        <f aca="false">ПАРАМЕТРЫ!D22</f>
        <v>16</v>
      </c>
      <c r="H317" s="12" t="n">
        <f aca="false">SUMIFS(ШТАТ_ПО_ЧАСАМ!$C$11:$C$115,ШТАТ_ПО_ЧАСАМ!$A$11:$A$115,A317,ШТАТ_ПО_ЧАСАМ!$B$11:$B$115,B317)</f>
        <v>2</v>
      </c>
      <c r="I317" s="12" t="n">
        <f aca="false">MIN(H317,1)*ПАРАМЕТРЫ!E22</f>
        <v>16</v>
      </c>
      <c r="J317" s="12" t="n">
        <f aca="false">MIN(G317,I317)</f>
        <v>16</v>
      </c>
      <c r="K317" s="12" t="n">
        <f aca="false">MAX(F317-J317,0)</f>
        <v>0</v>
      </c>
      <c r="L317" s="12" t="n">
        <f aca="false">IF(J317=0,0,F317/J317)</f>
        <v>0.1045</v>
      </c>
      <c r="M317" s="11" t="str">
        <f aca="false">IF(K317&gt;0,"BLOCKED","PASS")</f>
        <v>PASS</v>
      </c>
      <c r="N317" s="11" t="s">
        <v>233</v>
      </c>
    </row>
    <row r="318" customFormat="false" ht="23.85" hidden="false" customHeight="false" outlineLevel="0" collapsed="false">
      <c r="A318" s="11" t="s">
        <v>109</v>
      </c>
      <c r="B318" s="11" t="s">
        <v>132</v>
      </c>
      <c r="C318" s="11" t="s">
        <v>83</v>
      </c>
      <c r="D318" s="11" t="s">
        <v>84</v>
      </c>
      <c r="E318" s="11" t="s">
        <v>83</v>
      </c>
      <c r="F318" s="12" t="n">
        <f aca="false">SUMIFS(СПРОС_ДЕНЬ_ЧАС_МЕНЮ!$I$11:$I$3265,СПРОС_ДЕНЬ_ЧАС_МЕНЮ!$A$11:$A$3265,A318,СПРОС_ДЕНЬ_ЧАС_МЕНЮ!$B$11:$B$3265,B318,СПРОС_ДЕНЬ_ЧАС_МЕНЮ!$F$11:$F$3265,C318)</f>
        <v>4.004</v>
      </c>
      <c r="G318" s="12" t="n">
        <f aca="false">ПАРАМЕТРЫ!D23</f>
        <v>21</v>
      </c>
      <c r="H318" s="12" t="n">
        <f aca="false">SUMIFS(ШТАТ_ПО_ЧАСАМ!$C$11:$C$115,ШТАТ_ПО_ЧАСАМ!$A$11:$A$115,A318,ШТАТ_ПО_ЧАСАМ!$B$11:$B$115,B318)</f>
        <v>2</v>
      </c>
      <c r="I318" s="12" t="n">
        <f aca="false">MIN(H318,1)*ПАРАМЕТРЫ!E23</f>
        <v>21</v>
      </c>
      <c r="J318" s="12" t="n">
        <f aca="false">MIN(G318,I318)</f>
        <v>21</v>
      </c>
      <c r="K318" s="12" t="n">
        <f aca="false">MAX(F318-J318,0)</f>
        <v>0</v>
      </c>
      <c r="L318" s="12" t="n">
        <f aca="false">IF(J318=0,0,F318/J318)</f>
        <v>0.190666666666667</v>
      </c>
      <c r="M318" s="11" t="str">
        <f aca="false">IF(K318&gt;0,"BLOCKED","PASS")</f>
        <v>PASS</v>
      </c>
      <c r="N318" s="11" t="s">
        <v>233</v>
      </c>
    </row>
    <row r="319" customFormat="false" ht="23.85" hidden="false" customHeight="false" outlineLevel="0" collapsed="false">
      <c r="A319" s="11" t="s">
        <v>109</v>
      </c>
      <c r="B319" s="11" t="s">
        <v>132</v>
      </c>
      <c r="C319" s="11" t="s">
        <v>85</v>
      </c>
      <c r="D319" s="11" t="s">
        <v>86</v>
      </c>
      <c r="E319" s="11" t="s">
        <v>87</v>
      </c>
      <c r="F319" s="12" t="n">
        <f aca="false">SUMIFS(СПРОС_ДЕНЬ_ЧАС_МЕНЮ!$I$11:$I$3265,СПРОС_ДЕНЬ_ЧАС_МЕНЮ!$A$11:$A$3265,A319,СПРОС_ДЕНЬ_ЧАС_МЕНЮ!$B$11:$B$3265,B319,СПРОС_ДЕНЬ_ЧАС_МЕНЮ!$F$11:$F$3265,C319)</f>
        <v>1.582834</v>
      </c>
      <c r="G319" s="12" t="n">
        <f aca="false">ПАРАМЕТРЫ!D24</f>
        <v>12</v>
      </c>
      <c r="H319" s="12" t="n">
        <f aca="false">SUMIFS(ШТАТ_ПО_ЧАСАМ!$C$11:$C$115,ШТАТ_ПО_ЧАСАМ!$A$11:$A$115,A319,ШТАТ_ПО_ЧАСАМ!$B$11:$B$115,B319)</f>
        <v>2</v>
      </c>
      <c r="I319" s="12" t="n">
        <f aca="false">MIN(H319,1)*ПАРАМЕТРЫ!E24</f>
        <v>12</v>
      </c>
      <c r="J319" s="12" t="n">
        <f aca="false">MIN(G319,I319)</f>
        <v>12</v>
      </c>
      <c r="K319" s="12" t="n">
        <f aca="false">MAX(F319-J319,0)</f>
        <v>0</v>
      </c>
      <c r="L319" s="12" t="n">
        <f aca="false">IF(J319=0,0,F319/J319)</f>
        <v>0.131902833333333</v>
      </c>
      <c r="M319" s="11" t="str">
        <f aca="false">IF(K319&gt;0,"BLOCKED","PASS")</f>
        <v>PASS</v>
      </c>
      <c r="N319" s="11" t="s">
        <v>233</v>
      </c>
    </row>
    <row r="320" customFormat="false" ht="23.85" hidden="false" customHeight="false" outlineLevel="0" collapsed="false">
      <c r="A320" s="11" t="s">
        <v>109</v>
      </c>
      <c r="B320" s="11" t="s">
        <v>132</v>
      </c>
      <c r="C320" s="11" t="s">
        <v>88</v>
      </c>
      <c r="D320" s="11" t="s">
        <v>89</v>
      </c>
      <c r="E320" s="11" t="s">
        <v>90</v>
      </c>
      <c r="F320" s="12" t="n">
        <f aca="false">SUMIFS(СПРОС_ДЕНЬ_ЧАС_МЕНЮ!$I$11:$I$3265,СПРОС_ДЕНЬ_ЧАС_МЕНЮ!$A$11:$A$3265,A320,СПРОС_ДЕНЬ_ЧАС_МЕНЮ!$B$11:$B$3265,B320,СПРОС_ДЕНЬ_ЧАС_МЕНЮ!$F$11:$F$3265,C320)</f>
        <v>0</v>
      </c>
      <c r="G320" s="12" t="n">
        <f aca="false">ПАРАМЕТРЫ!D25</f>
        <v>15</v>
      </c>
      <c r="H320" s="12" t="n">
        <f aca="false">SUMIFS(ШТАТ_ПО_ЧАСАМ!$C$11:$C$115,ШТАТ_ПО_ЧАСАМ!$A$11:$A$115,A320,ШТАТ_ПО_ЧАСАМ!$B$11:$B$115,B320)</f>
        <v>2</v>
      </c>
      <c r="I320" s="12" t="n">
        <f aca="false">MIN(H320,1)*ПАРАМЕТРЫ!E25</f>
        <v>10</v>
      </c>
      <c r="J320" s="12" t="n">
        <f aca="false">MIN(G320,I320)</f>
        <v>10</v>
      </c>
      <c r="K320" s="12" t="n">
        <f aca="false">MAX(F320-J320,0)</f>
        <v>0</v>
      </c>
      <c r="L320" s="12" t="n">
        <f aca="false">IF(J320=0,0,F320/J320)</f>
        <v>0</v>
      </c>
      <c r="M320" s="11" t="str">
        <f aca="false">IF(K320&gt;0,"BLOCKED","PASS")</f>
        <v>PASS</v>
      </c>
      <c r="N320" s="11" t="s">
        <v>233</v>
      </c>
    </row>
    <row r="321" customFormat="false" ht="23.85" hidden="false" customHeight="false" outlineLevel="0" collapsed="false">
      <c r="A321" s="11" t="s">
        <v>109</v>
      </c>
      <c r="B321" s="11" t="s">
        <v>132</v>
      </c>
      <c r="C321" s="11" t="s">
        <v>91</v>
      </c>
      <c r="D321" s="11" t="s">
        <v>92</v>
      </c>
      <c r="E321" s="11" t="s">
        <v>79</v>
      </c>
      <c r="F321" s="12" t="n">
        <f aca="false">SUMIFS(СПРОС_ДЕНЬ_ЧАС_МЕНЮ!$I$11:$I$3265,СПРОС_ДЕНЬ_ЧАС_МЕНЮ!$A$11:$A$3265,A321,СПРОС_ДЕНЬ_ЧАС_МЕНЮ!$B$11:$B$3265,B321,СПРОС_ДЕНЬ_ЧАС_МЕНЮ!$F$11:$F$3265,C321)</f>
        <v>0.8052</v>
      </c>
      <c r="G321" s="12" t="n">
        <f aca="false">ПАРАМЕТРЫ!D26</f>
        <v>20</v>
      </c>
      <c r="H321" s="12" t="n">
        <f aca="false">SUMIFS(ШТАТ_ПО_ЧАСАМ!$C$11:$C$115,ШТАТ_ПО_ЧАСАМ!$A$11:$A$115,A321,ШТАТ_ПО_ЧАСАМ!$B$11:$B$115,B321)</f>
        <v>2</v>
      </c>
      <c r="I321" s="12" t="n">
        <f aca="false">MIN(H321,1)*ПАРАМЕТРЫ!E26</f>
        <v>10</v>
      </c>
      <c r="J321" s="12" t="n">
        <f aca="false">MIN(G321,I321)</f>
        <v>10</v>
      </c>
      <c r="K321" s="12" t="n">
        <f aca="false">MAX(F321-J321,0)</f>
        <v>0</v>
      </c>
      <c r="L321" s="12" t="n">
        <f aca="false">IF(J321=0,0,F321/J321)</f>
        <v>0.08052</v>
      </c>
      <c r="M321" s="11" t="str">
        <f aca="false">IF(K321&gt;0,"BLOCKED","PASS")</f>
        <v>PASS</v>
      </c>
      <c r="N321" s="11" t="s">
        <v>233</v>
      </c>
    </row>
    <row r="322" customFormat="false" ht="15" hidden="false" customHeight="false" outlineLevel="0" collapsed="false">
      <c r="A322" s="11" t="s">
        <v>109</v>
      </c>
      <c r="B322" s="11" t="s">
        <v>132</v>
      </c>
      <c r="C322" s="11" t="s">
        <v>93</v>
      </c>
      <c r="D322" s="11" t="s">
        <v>234</v>
      </c>
      <c r="E322" s="11" t="s">
        <v>95</v>
      </c>
      <c r="F322" s="12" t="n">
        <f aca="false">SUMIFS(СПРОС_ДЕНЬ_ЧАС_МЕНЮ!$I$11:$I$3265,СПРОС_ДЕНЬ_ЧАС_МЕНЮ!$A$11:$A$3265,A322,СПРОС_ДЕНЬ_ЧАС_МЕНЮ!$B$11:$B$3265,B322)</f>
        <v>10.824594</v>
      </c>
      <c r="G322" s="12" t="n">
        <f aca="false">ПАРАМЕТРЫ!D27</f>
        <v>60</v>
      </c>
      <c r="H322" s="12" t="n">
        <f aca="false">SUMIFS(ШТАТ_ПО_ЧАСАМ!$C$11:$C$115,ШТАТ_ПО_ЧАСАМ!$A$11:$A$115,A322,ШТАТ_ПО_ЧАСАМ!$B$11:$B$115,B322)</f>
        <v>2</v>
      </c>
      <c r="I322" s="12" t="n">
        <f aca="false">H322*ПАРАМЕТРЫ!E27</f>
        <v>33.3333333333333</v>
      </c>
      <c r="J322" s="12" t="n">
        <f aca="false">MIN(G322,I322)</f>
        <v>33.3333333333333</v>
      </c>
      <c r="K322" s="12" t="n">
        <f aca="false">MAX(F322-J322,0)</f>
        <v>0</v>
      </c>
      <c r="L322" s="12" t="n">
        <f aca="false">IF(J322=0,0,F322/J322)</f>
        <v>0.32473782</v>
      </c>
      <c r="M322" s="11" t="str">
        <f aca="false">IF(K322&gt;0,"BLOCKED","PASS")</f>
        <v>PASS</v>
      </c>
      <c r="N322" s="11" t="s">
        <v>235</v>
      </c>
    </row>
    <row r="323" customFormat="false" ht="23.85" hidden="false" customHeight="false" outlineLevel="0" collapsed="false">
      <c r="A323" s="11" t="s">
        <v>109</v>
      </c>
      <c r="B323" s="11" t="s">
        <v>133</v>
      </c>
      <c r="C323" s="11" t="s">
        <v>73</v>
      </c>
      <c r="D323" s="11" t="s">
        <v>74</v>
      </c>
      <c r="E323" s="11" t="s">
        <v>75</v>
      </c>
      <c r="F323" s="12" t="n">
        <f aca="false">SUMIFS(СПРОС_ДЕНЬ_ЧАС_МЕНЮ!$I$11:$I$3265,СПРОС_ДЕНЬ_ЧАС_МЕНЮ!$A$11:$A$3265,A323,СПРОС_ДЕНЬ_ЧАС_МЕНЮ!$B$11:$B$3265,B323,СПРОС_ДЕНЬ_ЧАС_МЕНЮ!$F$11:$F$3265,C323)</f>
        <v>0.8756</v>
      </c>
      <c r="G323" s="12" t="n">
        <f aca="false">ПАРАМЕТРЫ!D20</f>
        <v>25</v>
      </c>
      <c r="H323" s="12" t="n">
        <f aca="false">SUMIFS(ШТАТ_ПО_ЧАСАМ!$C$11:$C$115,ШТАТ_ПО_ЧАСАМ!$A$11:$A$115,A323,ШТАТ_ПО_ЧАСАМ!$B$11:$B$115,B323)</f>
        <v>2</v>
      </c>
      <c r="I323" s="12" t="n">
        <f aca="false">MIN(H323,1)*ПАРАМЕТРЫ!E20</f>
        <v>10</v>
      </c>
      <c r="J323" s="12" t="n">
        <f aca="false">MIN(G323,I323)</f>
        <v>10</v>
      </c>
      <c r="K323" s="12" t="n">
        <f aca="false">MAX(F323-J323,0)</f>
        <v>0</v>
      </c>
      <c r="L323" s="12" t="n">
        <f aca="false">IF(J323=0,0,F323/J323)</f>
        <v>0.08756</v>
      </c>
      <c r="M323" s="11" t="str">
        <f aca="false">IF(K323&gt;0,"BLOCKED","PASS")</f>
        <v>PASS</v>
      </c>
      <c r="N323" s="11" t="s">
        <v>233</v>
      </c>
    </row>
    <row r="324" customFormat="false" ht="23.85" hidden="false" customHeight="false" outlineLevel="0" collapsed="false">
      <c r="A324" s="11" t="s">
        <v>109</v>
      </c>
      <c r="B324" s="11" t="s">
        <v>133</v>
      </c>
      <c r="C324" s="11" t="s">
        <v>77</v>
      </c>
      <c r="D324" s="11" t="s">
        <v>78</v>
      </c>
      <c r="E324" s="11" t="s">
        <v>79</v>
      </c>
      <c r="F324" s="12" t="n">
        <f aca="false">SUMIFS(СПРОС_ДЕНЬ_ЧАС_МЕНЮ!$I$11:$I$3265,СПРОС_ДЕНЬ_ЧАС_МЕНЮ!$A$11:$A$3265,A324,СПРОС_ДЕНЬ_ЧАС_МЕНЮ!$B$11:$B$3265,B324,СПРОС_ДЕНЬ_ЧАС_МЕНЮ!$F$11:$F$3265,C324)</f>
        <v>1.42296</v>
      </c>
      <c r="G324" s="12" t="n">
        <f aca="false">ПАРАМЕТРЫ!D21</f>
        <v>20</v>
      </c>
      <c r="H324" s="12" t="n">
        <f aca="false">SUMIFS(ШТАТ_ПО_ЧАСАМ!$C$11:$C$115,ШТАТ_ПО_ЧАСАМ!$A$11:$A$115,A324,ШТАТ_ПО_ЧАСАМ!$B$11:$B$115,B324)</f>
        <v>2</v>
      </c>
      <c r="I324" s="12" t="n">
        <f aca="false">MIN(H324,1)*ПАРАМЕТРЫ!E21</f>
        <v>10</v>
      </c>
      <c r="J324" s="12" t="n">
        <f aca="false">MIN(G324,I324)</f>
        <v>10</v>
      </c>
      <c r="K324" s="12" t="n">
        <f aca="false">MAX(F324-J324,0)</f>
        <v>0</v>
      </c>
      <c r="L324" s="12" t="n">
        <f aca="false">IF(J324=0,0,F324/J324)</f>
        <v>0.142296</v>
      </c>
      <c r="M324" s="11" t="str">
        <f aca="false">IF(K324&gt;0,"BLOCKED","PASS")</f>
        <v>PASS</v>
      </c>
      <c r="N324" s="11" t="s">
        <v>233</v>
      </c>
    </row>
    <row r="325" customFormat="false" ht="23.85" hidden="false" customHeight="false" outlineLevel="0" collapsed="false">
      <c r="A325" s="11" t="s">
        <v>109</v>
      </c>
      <c r="B325" s="11" t="s">
        <v>133</v>
      </c>
      <c r="C325" s="11" t="s">
        <v>80</v>
      </c>
      <c r="D325" s="11" t="s">
        <v>81</v>
      </c>
      <c r="E325" s="11" t="s">
        <v>82</v>
      </c>
      <c r="F325" s="12" t="n">
        <f aca="false">SUMIFS(СПРОС_ДЕНЬ_ЧАС_МЕНЮ!$I$11:$I$3265,СПРОС_ДЕНЬ_ЧАС_МЕНЮ!$A$11:$A$3265,A325,СПРОС_ДЕНЬ_ЧАС_МЕНЮ!$B$11:$B$3265,B325,СПРОС_ДЕНЬ_ЧАС_МЕНЮ!$F$11:$F$3265,C325)</f>
        <v>0.902</v>
      </c>
      <c r="G325" s="12" t="n">
        <f aca="false">ПАРАМЕТРЫ!D22</f>
        <v>16</v>
      </c>
      <c r="H325" s="12" t="n">
        <f aca="false">SUMIFS(ШТАТ_ПО_ЧАСАМ!$C$11:$C$115,ШТАТ_ПО_ЧАСАМ!$A$11:$A$115,A325,ШТАТ_ПО_ЧАСАМ!$B$11:$B$115,B325)</f>
        <v>2</v>
      </c>
      <c r="I325" s="12" t="n">
        <f aca="false">MIN(H325,1)*ПАРАМЕТРЫ!E22</f>
        <v>16</v>
      </c>
      <c r="J325" s="12" t="n">
        <f aca="false">MIN(G325,I325)</f>
        <v>16</v>
      </c>
      <c r="K325" s="12" t="n">
        <f aca="false">MAX(F325-J325,0)</f>
        <v>0</v>
      </c>
      <c r="L325" s="12" t="n">
        <f aca="false">IF(J325=0,0,F325/J325)</f>
        <v>0.056375</v>
      </c>
      <c r="M325" s="11" t="str">
        <f aca="false">IF(K325&gt;0,"BLOCKED","PASS")</f>
        <v>PASS</v>
      </c>
      <c r="N325" s="11" t="s">
        <v>233</v>
      </c>
    </row>
    <row r="326" customFormat="false" ht="23.85" hidden="false" customHeight="false" outlineLevel="0" collapsed="false">
      <c r="A326" s="11" t="s">
        <v>109</v>
      </c>
      <c r="B326" s="11" t="s">
        <v>133</v>
      </c>
      <c r="C326" s="11" t="s">
        <v>83</v>
      </c>
      <c r="D326" s="11" t="s">
        <v>84</v>
      </c>
      <c r="E326" s="11" t="s">
        <v>83</v>
      </c>
      <c r="F326" s="12" t="n">
        <f aca="false">SUMIFS(СПРОС_ДЕНЬ_ЧАС_МЕНЮ!$I$11:$I$3265,СПРОС_ДЕНЬ_ЧАС_МЕНЮ!$A$11:$A$3265,A326,СПРОС_ДЕНЬ_ЧАС_МЕНЮ!$B$11:$B$3265,B326,СПРОС_ДЕНЬ_ЧАС_МЕНЮ!$F$11:$F$3265,C326)</f>
        <v>1.584</v>
      </c>
      <c r="G326" s="12" t="n">
        <f aca="false">ПАРАМЕТРЫ!D23</f>
        <v>21</v>
      </c>
      <c r="H326" s="12" t="n">
        <f aca="false">SUMIFS(ШТАТ_ПО_ЧАСАМ!$C$11:$C$115,ШТАТ_ПО_ЧАСАМ!$A$11:$A$115,A326,ШТАТ_ПО_ЧАСАМ!$B$11:$B$115,B326)</f>
        <v>2</v>
      </c>
      <c r="I326" s="12" t="n">
        <f aca="false">MIN(H326,1)*ПАРАМЕТРЫ!E23</f>
        <v>21</v>
      </c>
      <c r="J326" s="12" t="n">
        <f aca="false">MIN(G326,I326)</f>
        <v>21</v>
      </c>
      <c r="K326" s="12" t="n">
        <f aca="false">MAX(F326-J326,0)</f>
        <v>0</v>
      </c>
      <c r="L326" s="12" t="n">
        <f aca="false">IF(J326=0,0,F326/J326)</f>
        <v>0.0754285714285714</v>
      </c>
      <c r="M326" s="11" t="str">
        <f aca="false">IF(K326&gt;0,"BLOCKED","PASS")</f>
        <v>PASS</v>
      </c>
      <c r="N326" s="11" t="s">
        <v>233</v>
      </c>
    </row>
    <row r="327" customFormat="false" ht="23.85" hidden="false" customHeight="false" outlineLevel="0" collapsed="false">
      <c r="A327" s="11" t="s">
        <v>109</v>
      </c>
      <c r="B327" s="11" t="s">
        <v>133</v>
      </c>
      <c r="C327" s="11" t="s">
        <v>85</v>
      </c>
      <c r="D327" s="11" t="s">
        <v>86</v>
      </c>
      <c r="E327" s="11" t="s">
        <v>87</v>
      </c>
      <c r="F327" s="12" t="n">
        <f aca="false">SUMIFS(СПРОС_ДЕНЬ_ЧАС_МЕНЮ!$I$11:$I$3265,СПРОС_ДЕНЬ_ЧАС_МЕНЮ!$A$11:$A$3265,A327,СПРОС_ДЕНЬ_ЧАС_МЕНЮ!$B$11:$B$3265,B327,СПРОС_ДЕНЬ_ЧАС_МЕНЮ!$F$11:$F$3265,C327)</f>
        <v>0.551584</v>
      </c>
      <c r="G327" s="12" t="n">
        <f aca="false">ПАРАМЕТРЫ!D24</f>
        <v>12</v>
      </c>
      <c r="H327" s="12" t="n">
        <f aca="false">SUMIFS(ШТАТ_ПО_ЧАСАМ!$C$11:$C$115,ШТАТ_ПО_ЧАСАМ!$A$11:$A$115,A327,ШТАТ_ПО_ЧАСАМ!$B$11:$B$115,B327)</f>
        <v>2</v>
      </c>
      <c r="I327" s="12" t="n">
        <f aca="false">MIN(H327,1)*ПАРАМЕТРЫ!E24</f>
        <v>12</v>
      </c>
      <c r="J327" s="12" t="n">
        <f aca="false">MIN(G327,I327)</f>
        <v>12</v>
      </c>
      <c r="K327" s="12" t="n">
        <f aca="false">MAX(F327-J327,0)</f>
        <v>0</v>
      </c>
      <c r="L327" s="12" t="n">
        <f aca="false">IF(J327=0,0,F327/J327)</f>
        <v>0.0459653333333333</v>
      </c>
      <c r="M327" s="11" t="str">
        <f aca="false">IF(K327&gt;0,"BLOCKED","PASS")</f>
        <v>PASS</v>
      </c>
      <c r="N327" s="11" t="s">
        <v>233</v>
      </c>
    </row>
    <row r="328" customFormat="false" ht="23.85" hidden="false" customHeight="false" outlineLevel="0" collapsed="false">
      <c r="A328" s="11" t="s">
        <v>109</v>
      </c>
      <c r="B328" s="11" t="s">
        <v>133</v>
      </c>
      <c r="C328" s="11" t="s">
        <v>88</v>
      </c>
      <c r="D328" s="11" t="s">
        <v>89</v>
      </c>
      <c r="E328" s="11" t="s">
        <v>90</v>
      </c>
      <c r="F328" s="12" t="n">
        <f aca="false">SUMIFS(СПРОС_ДЕНЬ_ЧАС_МЕНЮ!$I$11:$I$3265,СПРОС_ДЕНЬ_ЧАС_МЕНЮ!$A$11:$A$3265,A328,СПРОС_ДЕНЬ_ЧАС_МЕНЮ!$B$11:$B$3265,B328,СПРОС_ДЕНЬ_ЧАС_МЕНЮ!$F$11:$F$3265,C328)</f>
        <v>0</v>
      </c>
      <c r="G328" s="12" t="n">
        <f aca="false">ПАРАМЕТРЫ!D25</f>
        <v>15</v>
      </c>
      <c r="H328" s="12" t="n">
        <f aca="false">SUMIFS(ШТАТ_ПО_ЧАСАМ!$C$11:$C$115,ШТАТ_ПО_ЧАСАМ!$A$11:$A$115,A328,ШТАТ_ПО_ЧАСАМ!$B$11:$B$115,B328)</f>
        <v>2</v>
      </c>
      <c r="I328" s="12" t="n">
        <f aca="false">MIN(H328,1)*ПАРАМЕТРЫ!E25</f>
        <v>10</v>
      </c>
      <c r="J328" s="12" t="n">
        <f aca="false">MIN(G328,I328)</f>
        <v>10</v>
      </c>
      <c r="K328" s="12" t="n">
        <f aca="false">MAX(F328-J328,0)</f>
        <v>0</v>
      </c>
      <c r="L328" s="12" t="n">
        <f aca="false">IF(J328=0,0,F328/J328)</f>
        <v>0</v>
      </c>
      <c r="M328" s="11" t="str">
        <f aca="false">IF(K328&gt;0,"BLOCKED","PASS")</f>
        <v>PASS</v>
      </c>
      <c r="N328" s="11" t="s">
        <v>233</v>
      </c>
    </row>
    <row r="329" customFormat="false" ht="23.85" hidden="false" customHeight="false" outlineLevel="0" collapsed="false">
      <c r="A329" s="11" t="s">
        <v>109</v>
      </c>
      <c r="B329" s="11" t="s">
        <v>133</v>
      </c>
      <c r="C329" s="11" t="s">
        <v>91</v>
      </c>
      <c r="D329" s="11" t="s">
        <v>92</v>
      </c>
      <c r="E329" s="11" t="s">
        <v>79</v>
      </c>
      <c r="F329" s="12" t="n">
        <f aca="false">SUMIFS(СПРОС_ДЕНЬ_ЧАС_МЕНЮ!$I$11:$I$3265,СПРОС_ДЕНЬ_ЧАС_МЕНЮ!$A$11:$A$3265,A329,СПРОС_ДЕНЬ_ЧАС_МЕНЮ!$B$11:$B$3265,B329,СПРОС_ДЕНЬ_ЧАС_МЕНЮ!$F$11:$F$3265,C329)</f>
        <v>0.8052</v>
      </c>
      <c r="G329" s="12" t="n">
        <f aca="false">ПАРАМЕТРЫ!D26</f>
        <v>20</v>
      </c>
      <c r="H329" s="12" t="n">
        <f aca="false">SUMIFS(ШТАТ_ПО_ЧАСАМ!$C$11:$C$115,ШТАТ_ПО_ЧАСАМ!$A$11:$A$115,A329,ШТАТ_ПО_ЧАСАМ!$B$11:$B$115,B329)</f>
        <v>2</v>
      </c>
      <c r="I329" s="12" t="n">
        <f aca="false">MIN(H329,1)*ПАРАМЕТРЫ!E26</f>
        <v>10</v>
      </c>
      <c r="J329" s="12" t="n">
        <f aca="false">MIN(G329,I329)</f>
        <v>10</v>
      </c>
      <c r="K329" s="12" t="n">
        <f aca="false">MAX(F329-J329,0)</f>
        <v>0</v>
      </c>
      <c r="L329" s="12" t="n">
        <f aca="false">IF(J329=0,0,F329/J329)</f>
        <v>0.08052</v>
      </c>
      <c r="M329" s="11" t="str">
        <f aca="false">IF(K329&gt;0,"BLOCKED","PASS")</f>
        <v>PASS</v>
      </c>
      <c r="N329" s="11" t="s">
        <v>233</v>
      </c>
    </row>
    <row r="330" customFormat="false" ht="15" hidden="false" customHeight="false" outlineLevel="0" collapsed="false">
      <c r="A330" s="11" t="s">
        <v>109</v>
      </c>
      <c r="B330" s="11" t="s">
        <v>133</v>
      </c>
      <c r="C330" s="11" t="s">
        <v>93</v>
      </c>
      <c r="D330" s="11" t="s">
        <v>234</v>
      </c>
      <c r="E330" s="11" t="s">
        <v>95</v>
      </c>
      <c r="F330" s="12" t="n">
        <f aca="false">SUMIFS(СПРОС_ДЕНЬ_ЧАС_МЕНЮ!$I$11:$I$3265,СПРОС_ДЕНЬ_ЧАС_МЕНЮ!$A$11:$A$3265,A330,СПРОС_ДЕНЬ_ЧАС_МЕНЮ!$B$11:$B$3265,B330)</f>
        <v>6.141344</v>
      </c>
      <c r="G330" s="12" t="n">
        <f aca="false">ПАРАМЕТРЫ!D27</f>
        <v>60</v>
      </c>
      <c r="H330" s="12" t="n">
        <f aca="false">SUMIFS(ШТАТ_ПО_ЧАСАМ!$C$11:$C$115,ШТАТ_ПО_ЧАСАМ!$A$11:$A$115,A330,ШТАТ_ПО_ЧАСАМ!$B$11:$B$115,B330)</f>
        <v>2</v>
      </c>
      <c r="I330" s="12" t="n">
        <f aca="false">H330*ПАРАМЕТРЫ!E27</f>
        <v>33.3333333333333</v>
      </c>
      <c r="J330" s="12" t="n">
        <f aca="false">MIN(G330,I330)</f>
        <v>33.3333333333333</v>
      </c>
      <c r="K330" s="12" t="n">
        <f aca="false">MAX(F330-J330,0)</f>
        <v>0</v>
      </c>
      <c r="L330" s="12" t="n">
        <f aca="false">IF(J330=0,0,F330/J330)</f>
        <v>0.18424032</v>
      </c>
      <c r="M330" s="11" t="str">
        <f aca="false">IF(K330&gt;0,"BLOCKED","PASS")</f>
        <v>PASS</v>
      </c>
      <c r="N330" s="11" t="s">
        <v>235</v>
      </c>
    </row>
    <row r="331" customFormat="false" ht="23.85" hidden="false" customHeight="false" outlineLevel="0" collapsed="false">
      <c r="A331" s="11" t="s">
        <v>109</v>
      </c>
      <c r="B331" s="11" t="s">
        <v>134</v>
      </c>
      <c r="C331" s="11" t="s">
        <v>73</v>
      </c>
      <c r="D331" s="11" t="s">
        <v>74</v>
      </c>
      <c r="E331" s="11" t="s">
        <v>75</v>
      </c>
      <c r="F331" s="12" t="n">
        <f aca="false">SUMIFS(СПРОС_ДЕНЬ_ЧАС_МЕНЮ!$I$11:$I$3265,СПРОС_ДЕНЬ_ЧАС_МЕНЮ!$A$11:$A$3265,A331,СПРОС_ДЕНЬ_ЧАС_МЕНЮ!$B$11:$B$3265,B331,СПРОС_ДЕНЬ_ЧАС_МЕНЮ!$F$11:$F$3265,C331)</f>
        <v>1.6654</v>
      </c>
      <c r="G331" s="12" t="n">
        <f aca="false">ПАРАМЕТРЫ!D20</f>
        <v>25</v>
      </c>
      <c r="H331" s="12" t="n">
        <f aca="false">SUMIFS(ШТАТ_ПО_ЧАСАМ!$C$11:$C$115,ШТАТ_ПО_ЧАСАМ!$A$11:$A$115,A331,ШТАТ_ПО_ЧАСАМ!$B$11:$B$115,B331)</f>
        <v>2</v>
      </c>
      <c r="I331" s="12" t="n">
        <f aca="false">MIN(H331,1)*ПАРАМЕТРЫ!E20</f>
        <v>10</v>
      </c>
      <c r="J331" s="12" t="n">
        <f aca="false">MIN(G331,I331)</f>
        <v>10</v>
      </c>
      <c r="K331" s="12" t="n">
        <f aca="false">MAX(F331-J331,0)</f>
        <v>0</v>
      </c>
      <c r="L331" s="12" t="n">
        <f aca="false">IF(J331=0,0,F331/J331)</f>
        <v>0.16654</v>
      </c>
      <c r="M331" s="11" t="str">
        <f aca="false">IF(K331&gt;0,"BLOCKED","PASS")</f>
        <v>PASS</v>
      </c>
      <c r="N331" s="11" t="s">
        <v>233</v>
      </c>
    </row>
    <row r="332" customFormat="false" ht="23.85" hidden="false" customHeight="false" outlineLevel="0" collapsed="false">
      <c r="A332" s="11" t="s">
        <v>109</v>
      </c>
      <c r="B332" s="11" t="s">
        <v>134</v>
      </c>
      <c r="C332" s="11" t="s">
        <v>77</v>
      </c>
      <c r="D332" s="11" t="s">
        <v>78</v>
      </c>
      <c r="E332" s="11" t="s">
        <v>79</v>
      </c>
      <c r="F332" s="12" t="n">
        <f aca="false">SUMIFS(СПРОС_ДЕНЬ_ЧАС_МЕНЮ!$I$11:$I$3265,СПРОС_ДЕНЬ_ЧАС_МЕНЮ!$A$11:$A$3265,A332,СПРОС_ДЕНЬ_ЧАС_МЕНЮ!$B$11:$B$3265,B332,СПРОС_ДЕНЬ_ЧАС_МЕНЮ!$F$11:$F$3265,C332)</f>
        <v>1.62844</v>
      </c>
      <c r="G332" s="12" t="n">
        <f aca="false">ПАРАМЕТРЫ!D21</f>
        <v>20</v>
      </c>
      <c r="H332" s="12" t="n">
        <f aca="false">SUMIFS(ШТАТ_ПО_ЧАСАМ!$C$11:$C$115,ШТАТ_ПО_ЧАСАМ!$A$11:$A$115,A332,ШТАТ_ПО_ЧАСАМ!$B$11:$B$115,B332)</f>
        <v>2</v>
      </c>
      <c r="I332" s="12" t="n">
        <f aca="false">MIN(H332,1)*ПАРАМЕТРЫ!E21</f>
        <v>10</v>
      </c>
      <c r="J332" s="12" t="n">
        <f aca="false">MIN(G332,I332)</f>
        <v>10</v>
      </c>
      <c r="K332" s="12" t="n">
        <f aca="false">MAX(F332-J332,0)</f>
        <v>0</v>
      </c>
      <c r="L332" s="12" t="n">
        <f aca="false">IF(J332=0,0,F332/J332)</f>
        <v>0.162844</v>
      </c>
      <c r="M332" s="11" t="str">
        <f aca="false">IF(K332&gt;0,"BLOCKED","PASS")</f>
        <v>PASS</v>
      </c>
      <c r="N332" s="11" t="s">
        <v>233</v>
      </c>
    </row>
    <row r="333" customFormat="false" ht="23.85" hidden="false" customHeight="false" outlineLevel="0" collapsed="false">
      <c r="A333" s="11" t="s">
        <v>109</v>
      </c>
      <c r="B333" s="11" t="s">
        <v>134</v>
      </c>
      <c r="C333" s="11" t="s">
        <v>80</v>
      </c>
      <c r="D333" s="11" t="s">
        <v>81</v>
      </c>
      <c r="E333" s="11" t="s">
        <v>82</v>
      </c>
      <c r="F333" s="12" t="n">
        <f aca="false">SUMIFS(СПРОС_ДЕНЬ_ЧАС_МЕНЮ!$I$11:$I$3265,СПРОС_ДЕНЬ_ЧАС_МЕНЮ!$A$11:$A$3265,A333,СПРОС_ДЕНЬ_ЧАС_МЕНЮ!$B$11:$B$3265,B333,СПРОС_ДЕНЬ_ЧАС_МЕНЮ!$F$11:$F$3265,C333)</f>
        <v>1.7545</v>
      </c>
      <c r="G333" s="12" t="n">
        <f aca="false">ПАРАМЕТРЫ!D22</f>
        <v>16</v>
      </c>
      <c r="H333" s="12" t="n">
        <f aca="false">SUMIFS(ШТАТ_ПО_ЧАСАМ!$C$11:$C$115,ШТАТ_ПО_ЧАСАМ!$A$11:$A$115,A333,ШТАТ_ПО_ЧАСАМ!$B$11:$B$115,B333)</f>
        <v>2</v>
      </c>
      <c r="I333" s="12" t="n">
        <f aca="false">MIN(H333,1)*ПАРАМЕТРЫ!E22</f>
        <v>16</v>
      </c>
      <c r="J333" s="12" t="n">
        <f aca="false">MIN(G333,I333)</f>
        <v>16</v>
      </c>
      <c r="K333" s="12" t="n">
        <f aca="false">MAX(F333-J333,0)</f>
        <v>0</v>
      </c>
      <c r="L333" s="12" t="n">
        <f aca="false">IF(J333=0,0,F333/J333)</f>
        <v>0.10965625</v>
      </c>
      <c r="M333" s="11" t="str">
        <f aca="false">IF(K333&gt;0,"BLOCKED","PASS")</f>
        <v>PASS</v>
      </c>
      <c r="N333" s="11" t="s">
        <v>233</v>
      </c>
    </row>
    <row r="334" customFormat="false" ht="23.85" hidden="false" customHeight="false" outlineLevel="0" collapsed="false">
      <c r="A334" s="11" t="s">
        <v>109</v>
      </c>
      <c r="B334" s="11" t="s">
        <v>134</v>
      </c>
      <c r="C334" s="11" t="s">
        <v>83</v>
      </c>
      <c r="D334" s="11" t="s">
        <v>84</v>
      </c>
      <c r="E334" s="11" t="s">
        <v>83</v>
      </c>
      <c r="F334" s="12" t="n">
        <f aca="false">SUMIFS(СПРОС_ДЕНЬ_ЧАС_МЕНЮ!$I$11:$I$3265,СПРОС_ДЕНЬ_ЧАС_МЕНЮ!$A$11:$A$3265,A334,СПРОС_ДЕНЬ_ЧАС_МЕНЮ!$B$11:$B$3265,B334,СПРОС_ДЕНЬ_ЧАС_МЕНЮ!$F$11:$F$3265,C334)</f>
        <v>3.1075</v>
      </c>
      <c r="G334" s="12" t="n">
        <f aca="false">ПАРАМЕТРЫ!D23</f>
        <v>21</v>
      </c>
      <c r="H334" s="12" t="n">
        <f aca="false">SUMIFS(ШТАТ_ПО_ЧАСАМ!$C$11:$C$115,ШТАТ_ПО_ЧАСАМ!$A$11:$A$115,A334,ШТАТ_ПО_ЧАСАМ!$B$11:$B$115,B334)</f>
        <v>2</v>
      </c>
      <c r="I334" s="12" t="n">
        <f aca="false">MIN(H334,1)*ПАРАМЕТРЫ!E23</f>
        <v>21</v>
      </c>
      <c r="J334" s="12" t="n">
        <f aca="false">MIN(G334,I334)</f>
        <v>21</v>
      </c>
      <c r="K334" s="12" t="n">
        <f aca="false">MAX(F334-J334,0)</f>
        <v>0</v>
      </c>
      <c r="L334" s="12" t="n">
        <f aca="false">IF(J334=0,0,F334/J334)</f>
        <v>0.14797619047619</v>
      </c>
      <c r="M334" s="11" t="str">
        <f aca="false">IF(K334&gt;0,"BLOCKED","PASS")</f>
        <v>PASS</v>
      </c>
      <c r="N334" s="11" t="s">
        <v>233</v>
      </c>
    </row>
    <row r="335" customFormat="false" ht="23.85" hidden="false" customHeight="false" outlineLevel="0" collapsed="false">
      <c r="A335" s="11" t="s">
        <v>109</v>
      </c>
      <c r="B335" s="11" t="s">
        <v>134</v>
      </c>
      <c r="C335" s="11" t="s">
        <v>85</v>
      </c>
      <c r="D335" s="11" t="s">
        <v>86</v>
      </c>
      <c r="E335" s="11" t="s">
        <v>87</v>
      </c>
      <c r="F335" s="12" t="n">
        <f aca="false">SUMIFS(СПРОС_ДЕНЬ_ЧАС_МЕНЮ!$I$11:$I$3265,СПРОС_ДЕНЬ_ЧАС_МЕНЮ!$A$11:$A$3265,A335,СПРОС_ДЕНЬ_ЧАС_МЕНЮ!$B$11:$B$3265,B335,СПРОС_ДЕНЬ_ЧАС_МЕНЮ!$F$11:$F$3265,C335)</f>
        <v>1.1850135</v>
      </c>
      <c r="G335" s="12" t="n">
        <f aca="false">ПАРАМЕТРЫ!D24</f>
        <v>12</v>
      </c>
      <c r="H335" s="12" t="n">
        <f aca="false">SUMIFS(ШТАТ_ПО_ЧАСАМ!$C$11:$C$115,ШТАТ_ПО_ЧАСАМ!$A$11:$A$115,A335,ШТАТ_ПО_ЧАСАМ!$B$11:$B$115,B335)</f>
        <v>2</v>
      </c>
      <c r="I335" s="12" t="n">
        <f aca="false">MIN(H335,1)*ПАРАМЕТРЫ!E24</f>
        <v>12</v>
      </c>
      <c r="J335" s="12" t="n">
        <f aca="false">MIN(G335,I335)</f>
        <v>12</v>
      </c>
      <c r="K335" s="12" t="n">
        <f aca="false">MAX(F335-J335,0)</f>
        <v>0</v>
      </c>
      <c r="L335" s="12" t="n">
        <f aca="false">IF(J335=0,0,F335/J335)</f>
        <v>0.098751125</v>
      </c>
      <c r="M335" s="11" t="str">
        <f aca="false">IF(K335&gt;0,"BLOCKED","PASS")</f>
        <v>PASS</v>
      </c>
      <c r="N335" s="11" t="s">
        <v>233</v>
      </c>
    </row>
    <row r="336" customFormat="false" ht="23.85" hidden="false" customHeight="false" outlineLevel="0" collapsed="false">
      <c r="A336" s="11" t="s">
        <v>109</v>
      </c>
      <c r="B336" s="11" t="s">
        <v>134</v>
      </c>
      <c r="C336" s="11" t="s">
        <v>88</v>
      </c>
      <c r="D336" s="11" t="s">
        <v>89</v>
      </c>
      <c r="E336" s="11" t="s">
        <v>90</v>
      </c>
      <c r="F336" s="12" t="n">
        <f aca="false">SUMIFS(СПРОС_ДЕНЬ_ЧАС_МЕНЮ!$I$11:$I$3265,СПРОС_ДЕНЬ_ЧАС_МЕНЮ!$A$11:$A$3265,A336,СПРОС_ДЕНЬ_ЧАС_МЕНЮ!$B$11:$B$3265,B336,СПРОС_ДЕНЬ_ЧАС_МЕНЮ!$F$11:$F$3265,C336)</f>
        <v>0</v>
      </c>
      <c r="G336" s="12" t="n">
        <f aca="false">ПАРАМЕТРЫ!D25</f>
        <v>15</v>
      </c>
      <c r="H336" s="12" t="n">
        <f aca="false">SUMIFS(ШТАТ_ПО_ЧАСАМ!$C$11:$C$115,ШТАТ_ПО_ЧАСАМ!$A$11:$A$115,A336,ШТАТ_ПО_ЧАСАМ!$B$11:$B$115,B336)</f>
        <v>2</v>
      </c>
      <c r="I336" s="12" t="n">
        <f aca="false">MIN(H336,1)*ПАРАМЕТРЫ!E25</f>
        <v>10</v>
      </c>
      <c r="J336" s="12" t="n">
        <f aca="false">MIN(G336,I336)</f>
        <v>10</v>
      </c>
      <c r="K336" s="12" t="n">
        <f aca="false">MAX(F336-J336,0)</f>
        <v>0</v>
      </c>
      <c r="L336" s="12" t="n">
        <f aca="false">IF(J336=0,0,F336/J336)</f>
        <v>0</v>
      </c>
      <c r="M336" s="11" t="str">
        <f aca="false">IF(K336&gt;0,"BLOCKED","PASS")</f>
        <v>PASS</v>
      </c>
      <c r="N336" s="11" t="s">
        <v>233</v>
      </c>
    </row>
    <row r="337" customFormat="false" ht="23.85" hidden="false" customHeight="false" outlineLevel="0" collapsed="false">
      <c r="A337" s="11" t="s">
        <v>109</v>
      </c>
      <c r="B337" s="11" t="s">
        <v>134</v>
      </c>
      <c r="C337" s="11" t="s">
        <v>91</v>
      </c>
      <c r="D337" s="11" t="s">
        <v>92</v>
      </c>
      <c r="E337" s="11" t="s">
        <v>79</v>
      </c>
      <c r="F337" s="12" t="n">
        <f aca="false">SUMIFS(СПРОС_ДЕНЬ_ЧАС_МЕНЮ!$I$11:$I$3265,СПРОС_ДЕНЬ_ЧАС_МЕНЮ!$A$11:$A$3265,A337,СПРОС_ДЕНЬ_ЧАС_МЕНЮ!$B$11:$B$3265,B337,СПРОС_ДЕНЬ_ЧАС_МЕНЮ!$F$11:$F$3265,C337)</f>
        <v>0.9658</v>
      </c>
      <c r="G337" s="12" t="n">
        <f aca="false">ПАРАМЕТРЫ!D26</f>
        <v>20</v>
      </c>
      <c r="H337" s="12" t="n">
        <f aca="false">SUMIFS(ШТАТ_ПО_ЧАСАМ!$C$11:$C$115,ШТАТ_ПО_ЧАСАМ!$A$11:$A$115,A337,ШТАТ_ПО_ЧАСАМ!$B$11:$B$115,B337)</f>
        <v>2</v>
      </c>
      <c r="I337" s="12" t="n">
        <f aca="false">MIN(H337,1)*ПАРАМЕТРЫ!E26</f>
        <v>10</v>
      </c>
      <c r="J337" s="12" t="n">
        <f aca="false">MIN(G337,I337)</f>
        <v>10</v>
      </c>
      <c r="K337" s="12" t="n">
        <f aca="false">MAX(F337-J337,0)</f>
        <v>0</v>
      </c>
      <c r="L337" s="12" t="n">
        <f aca="false">IF(J337=0,0,F337/J337)</f>
        <v>0.09658</v>
      </c>
      <c r="M337" s="11" t="str">
        <f aca="false">IF(K337&gt;0,"BLOCKED","PASS")</f>
        <v>PASS</v>
      </c>
      <c r="N337" s="11" t="s">
        <v>233</v>
      </c>
    </row>
    <row r="338" customFormat="false" ht="15" hidden="false" customHeight="false" outlineLevel="0" collapsed="false">
      <c r="A338" s="11" t="s">
        <v>109</v>
      </c>
      <c r="B338" s="11" t="s">
        <v>134</v>
      </c>
      <c r="C338" s="11" t="s">
        <v>93</v>
      </c>
      <c r="D338" s="11" t="s">
        <v>234</v>
      </c>
      <c r="E338" s="11" t="s">
        <v>95</v>
      </c>
      <c r="F338" s="12" t="n">
        <f aca="false">SUMIFS(СПРОС_ДЕНЬ_ЧАС_МЕНЮ!$I$11:$I$3265,СПРОС_ДЕНЬ_ЧАС_МЕНЮ!$A$11:$A$3265,A338,СПРОС_ДЕНЬ_ЧАС_МЕНЮ!$B$11:$B$3265,B338)</f>
        <v>10.3066535</v>
      </c>
      <c r="G338" s="12" t="n">
        <f aca="false">ПАРАМЕТРЫ!D27</f>
        <v>60</v>
      </c>
      <c r="H338" s="12" t="n">
        <f aca="false">SUMIFS(ШТАТ_ПО_ЧАСАМ!$C$11:$C$115,ШТАТ_ПО_ЧАСАМ!$A$11:$A$115,A338,ШТАТ_ПО_ЧАСАМ!$B$11:$B$115,B338)</f>
        <v>2</v>
      </c>
      <c r="I338" s="12" t="n">
        <f aca="false">H338*ПАРАМЕТРЫ!E27</f>
        <v>33.3333333333333</v>
      </c>
      <c r="J338" s="12" t="n">
        <f aca="false">MIN(G338,I338)</f>
        <v>33.3333333333333</v>
      </c>
      <c r="K338" s="12" t="n">
        <f aca="false">MAX(F338-J338,0)</f>
        <v>0</v>
      </c>
      <c r="L338" s="12" t="n">
        <f aca="false">IF(J338=0,0,F338/J338)</f>
        <v>0.309199605</v>
      </c>
      <c r="M338" s="11" t="str">
        <f aca="false">IF(K338&gt;0,"BLOCKED","PASS")</f>
        <v>PASS</v>
      </c>
      <c r="N338" s="11" t="s">
        <v>235</v>
      </c>
    </row>
    <row r="339" customFormat="false" ht="23.85" hidden="false" customHeight="false" outlineLevel="0" collapsed="false">
      <c r="A339" s="11" t="s">
        <v>109</v>
      </c>
      <c r="B339" s="11" t="s">
        <v>135</v>
      </c>
      <c r="C339" s="11" t="s">
        <v>73</v>
      </c>
      <c r="D339" s="11" t="s">
        <v>74</v>
      </c>
      <c r="E339" s="11" t="s">
        <v>75</v>
      </c>
      <c r="F339" s="12" t="n">
        <f aca="false">SUMIFS(СПРОС_ДЕНЬ_ЧАС_МЕНЮ!$I$11:$I$3265,СПРОС_ДЕНЬ_ЧАС_МЕНЮ!$A$11:$A$3265,A339,СПРОС_ДЕНЬ_ЧАС_МЕНЮ!$B$11:$B$3265,B339,СПРОС_ДЕНЬ_ЧАС_МЕНЮ!$F$11:$F$3265,C339)</f>
        <v>2.9403</v>
      </c>
      <c r="G339" s="12" t="n">
        <f aca="false">ПАРАМЕТРЫ!D20</f>
        <v>25</v>
      </c>
      <c r="H339" s="12" t="n">
        <f aca="false">SUMIFS(ШТАТ_ПО_ЧАСАМ!$C$11:$C$115,ШТАТ_ПО_ЧАСАМ!$A$11:$A$115,A339,ШТАТ_ПО_ЧАСАМ!$B$11:$B$115,B339)</f>
        <v>1</v>
      </c>
      <c r="I339" s="12" t="n">
        <f aca="false">MIN(H339,1)*ПАРАМЕТРЫ!E20</f>
        <v>10</v>
      </c>
      <c r="J339" s="12" t="n">
        <f aca="false">MIN(G339,I339)</f>
        <v>10</v>
      </c>
      <c r="K339" s="12" t="n">
        <f aca="false">MAX(F339-J339,0)</f>
        <v>0</v>
      </c>
      <c r="L339" s="12" t="n">
        <f aca="false">IF(J339=0,0,F339/J339)</f>
        <v>0.29403</v>
      </c>
      <c r="M339" s="11" t="str">
        <f aca="false">IF(K339&gt;0,"BLOCKED","PASS")</f>
        <v>PASS</v>
      </c>
      <c r="N339" s="11" t="s">
        <v>233</v>
      </c>
    </row>
    <row r="340" customFormat="false" ht="23.85" hidden="false" customHeight="false" outlineLevel="0" collapsed="false">
      <c r="A340" s="11" t="s">
        <v>109</v>
      </c>
      <c r="B340" s="11" t="s">
        <v>135</v>
      </c>
      <c r="C340" s="11" t="s">
        <v>77</v>
      </c>
      <c r="D340" s="11" t="s">
        <v>78</v>
      </c>
      <c r="E340" s="11" t="s">
        <v>79</v>
      </c>
      <c r="F340" s="12" t="n">
        <f aca="false">SUMIFS(СПРОС_ДЕНЬ_ЧАС_МЕНЮ!$I$11:$I$3265,СПРОС_ДЕНЬ_ЧАС_МЕНЮ!$A$11:$A$3265,A340,СПРОС_ДЕНЬ_ЧАС_МЕНЮ!$B$11:$B$3265,B340,СПРОС_ДЕНЬ_ЧАС_МЕНЮ!$F$11:$F$3265,C340)</f>
        <v>1.94238</v>
      </c>
      <c r="G340" s="12" t="n">
        <f aca="false">ПАРАМЕТРЫ!D21</f>
        <v>20</v>
      </c>
      <c r="H340" s="12" t="n">
        <f aca="false">SUMIFS(ШТАТ_ПО_ЧАСАМ!$C$11:$C$115,ШТАТ_ПО_ЧАСАМ!$A$11:$A$115,A340,ШТАТ_ПО_ЧАСАМ!$B$11:$B$115,B340)</f>
        <v>1</v>
      </c>
      <c r="I340" s="12" t="n">
        <f aca="false">MIN(H340,1)*ПАРАМЕТРЫ!E21</f>
        <v>10</v>
      </c>
      <c r="J340" s="12" t="n">
        <f aca="false">MIN(G340,I340)</f>
        <v>10</v>
      </c>
      <c r="K340" s="12" t="n">
        <f aca="false">MAX(F340-J340,0)</f>
        <v>0</v>
      </c>
      <c r="L340" s="12" t="n">
        <f aca="false">IF(J340=0,0,F340/J340)</f>
        <v>0.194238</v>
      </c>
      <c r="M340" s="11" t="str">
        <f aca="false">IF(K340&gt;0,"BLOCKED","PASS")</f>
        <v>PASS</v>
      </c>
      <c r="N340" s="11" t="s">
        <v>233</v>
      </c>
    </row>
    <row r="341" customFormat="false" ht="23.85" hidden="false" customHeight="false" outlineLevel="0" collapsed="false">
      <c r="A341" s="11" t="s">
        <v>109</v>
      </c>
      <c r="B341" s="11" t="s">
        <v>135</v>
      </c>
      <c r="C341" s="11" t="s">
        <v>80</v>
      </c>
      <c r="D341" s="11" t="s">
        <v>81</v>
      </c>
      <c r="E341" s="11" t="s">
        <v>82</v>
      </c>
      <c r="F341" s="12" t="n">
        <f aca="false">SUMIFS(СПРОС_ДЕНЬ_ЧАС_МЕНЮ!$I$11:$I$3265,СПРОС_ДЕНЬ_ЧАС_МЕНЮ!$A$11:$A$3265,A341,СПРОС_ДЕНЬ_ЧАС_МЕНЮ!$B$11:$B$3265,B341,СПРОС_ДЕНЬ_ЧАС_МЕНЮ!$F$11:$F$3265,C341)</f>
        <v>3.663</v>
      </c>
      <c r="G341" s="12" t="n">
        <f aca="false">ПАРАМЕТРЫ!D22</f>
        <v>16</v>
      </c>
      <c r="H341" s="12" t="n">
        <f aca="false">SUMIFS(ШТАТ_ПО_ЧАСАМ!$C$11:$C$115,ШТАТ_ПО_ЧАСАМ!$A$11:$A$115,A341,ШТАТ_ПО_ЧАСАМ!$B$11:$B$115,B341)</f>
        <v>1</v>
      </c>
      <c r="I341" s="12" t="n">
        <f aca="false">MIN(H341,1)*ПАРАМЕТРЫ!E22</f>
        <v>16</v>
      </c>
      <c r="J341" s="12" t="n">
        <f aca="false">MIN(G341,I341)</f>
        <v>16</v>
      </c>
      <c r="K341" s="12" t="n">
        <f aca="false">MAX(F341-J341,0)</f>
        <v>0</v>
      </c>
      <c r="L341" s="12" t="n">
        <f aca="false">IF(J341=0,0,F341/J341)</f>
        <v>0.2289375</v>
      </c>
      <c r="M341" s="11" t="str">
        <f aca="false">IF(K341&gt;0,"BLOCKED","PASS")</f>
        <v>PASS</v>
      </c>
      <c r="N341" s="11" t="s">
        <v>233</v>
      </c>
    </row>
    <row r="342" customFormat="false" ht="23.85" hidden="false" customHeight="false" outlineLevel="0" collapsed="false">
      <c r="A342" s="11" t="s">
        <v>109</v>
      </c>
      <c r="B342" s="11" t="s">
        <v>135</v>
      </c>
      <c r="C342" s="11" t="s">
        <v>83</v>
      </c>
      <c r="D342" s="11" t="s">
        <v>84</v>
      </c>
      <c r="E342" s="11" t="s">
        <v>83</v>
      </c>
      <c r="F342" s="12" t="n">
        <f aca="false">SUMIFS(СПРОС_ДЕНЬ_ЧАС_МЕНЮ!$I$11:$I$3265,СПРОС_ДЕНЬ_ЧАС_МЕНЮ!$A$11:$A$3265,A342,СПРОС_ДЕНЬ_ЧАС_МЕНЮ!$B$11:$B$3265,B342,СПРОС_ДЕНЬ_ЧАС_МЕНЮ!$F$11:$F$3265,C342)</f>
        <v>6.2865</v>
      </c>
      <c r="G342" s="12" t="n">
        <f aca="false">ПАРАМЕТРЫ!D23</f>
        <v>21</v>
      </c>
      <c r="H342" s="12" t="n">
        <f aca="false">SUMIFS(ШТАТ_ПО_ЧАСАМ!$C$11:$C$115,ШТАТ_ПО_ЧАСАМ!$A$11:$A$115,A342,ШТАТ_ПО_ЧАСАМ!$B$11:$B$115,B342)</f>
        <v>1</v>
      </c>
      <c r="I342" s="12" t="n">
        <f aca="false">MIN(H342,1)*ПАРАМЕТРЫ!E23</f>
        <v>21</v>
      </c>
      <c r="J342" s="12" t="n">
        <f aca="false">MIN(G342,I342)</f>
        <v>21</v>
      </c>
      <c r="K342" s="12" t="n">
        <f aca="false">MAX(F342-J342,0)</f>
        <v>0</v>
      </c>
      <c r="L342" s="12" t="n">
        <f aca="false">IF(J342=0,0,F342/J342)</f>
        <v>0.299357142857143</v>
      </c>
      <c r="M342" s="11" t="str">
        <f aca="false">IF(K342&gt;0,"BLOCKED","PASS")</f>
        <v>PASS</v>
      </c>
      <c r="N342" s="11" t="s">
        <v>233</v>
      </c>
    </row>
    <row r="343" customFormat="false" ht="23.85" hidden="false" customHeight="false" outlineLevel="0" collapsed="false">
      <c r="A343" s="11" t="s">
        <v>109</v>
      </c>
      <c r="B343" s="11" t="s">
        <v>135</v>
      </c>
      <c r="C343" s="11" t="s">
        <v>85</v>
      </c>
      <c r="D343" s="11" t="s">
        <v>86</v>
      </c>
      <c r="E343" s="11" t="s">
        <v>87</v>
      </c>
      <c r="F343" s="12" t="n">
        <f aca="false">SUMIFS(СПРОС_ДЕНЬ_ЧАС_МЕНЮ!$I$11:$I$3265,СПРОС_ДЕНЬ_ЧАС_МЕНЮ!$A$11:$A$3265,A343,СПРОС_ДЕНЬ_ЧАС_МЕНЮ!$B$11:$B$3265,B343,СПРОС_ДЕНЬ_ЧАС_МЕНЮ!$F$11:$F$3265,C343)</f>
        <v>2.7276645</v>
      </c>
      <c r="G343" s="12" t="n">
        <f aca="false">ПАРАМЕТРЫ!D24</f>
        <v>12</v>
      </c>
      <c r="H343" s="12" t="n">
        <f aca="false">SUMIFS(ШТАТ_ПО_ЧАСАМ!$C$11:$C$115,ШТАТ_ПО_ЧАСАМ!$A$11:$A$115,A343,ШТАТ_ПО_ЧАСАМ!$B$11:$B$115,B343)</f>
        <v>1</v>
      </c>
      <c r="I343" s="12" t="n">
        <f aca="false">MIN(H343,1)*ПАРАМЕТРЫ!E24</f>
        <v>12</v>
      </c>
      <c r="J343" s="12" t="n">
        <f aca="false">MIN(G343,I343)</f>
        <v>12</v>
      </c>
      <c r="K343" s="12" t="n">
        <f aca="false">MAX(F343-J343,0)</f>
        <v>0</v>
      </c>
      <c r="L343" s="12" t="n">
        <f aca="false">IF(J343=0,0,F343/J343)</f>
        <v>0.227305375</v>
      </c>
      <c r="M343" s="11" t="str">
        <f aca="false">IF(K343&gt;0,"BLOCKED","PASS")</f>
        <v>PASS</v>
      </c>
      <c r="N343" s="11" t="s">
        <v>233</v>
      </c>
    </row>
    <row r="344" customFormat="false" ht="23.85" hidden="false" customHeight="false" outlineLevel="0" collapsed="false">
      <c r="A344" s="11" t="s">
        <v>109</v>
      </c>
      <c r="B344" s="11" t="s">
        <v>135</v>
      </c>
      <c r="C344" s="11" t="s">
        <v>88</v>
      </c>
      <c r="D344" s="11" t="s">
        <v>89</v>
      </c>
      <c r="E344" s="11" t="s">
        <v>90</v>
      </c>
      <c r="F344" s="12" t="n">
        <f aca="false">SUMIFS(СПРОС_ДЕНЬ_ЧАС_МЕНЮ!$I$11:$I$3265,СПРОС_ДЕНЬ_ЧАС_МЕНЮ!$A$11:$A$3265,A344,СПРОС_ДЕНЬ_ЧАС_МЕНЮ!$B$11:$B$3265,B344,СПРОС_ДЕНЬ_ЧАС_МЕНЮ!$F$11:$F$3265,C344)</f>
        <v>0</v>
      </c>
      <c r="G344" s="12" t="n">
        <f aca="false">ПАРАМЕТРЫ!D25</f>
        <v>15</v>
      </c>
      <c r="H344" s="12" t="n">
        <f aca="false">SUMIFS(ШТАТ_ПО_ЧАСАМ!$C$11:$C$115,ШТАТ_ПО_ЧАСАМ!$A$11:$A$115,A344,ШТАТ_ПО_ЧАСАМ!$B$11:$B$115,B344)</f>
        <v>1</v>
      </c>
      <c r="I344" s="12" t="n">
        <f aca="false">MIN(H344,1)*ПАРАМЕТРЫ!E25</f>
        <v>10</v>
      </c>
      <c r="J344" s="12" t="n">
        <f aca="false">MIN(G344,I344)</f>
        <v>10</v>
      </c>
      <c r="K344" s="12" t="n">
        <f aca="false">MAX(F344-J344,0)</f>
        <v>0</v>
      </c>
      <c r="L344" s="12" t="n">
        <f aca="false">IF(J344=0,0,F344/J344)</f>
        <v>0</v>
      </c>
      <c r="M344" s="11" t="str">
        <f aca="false">IF(K344&gt;0,"BLOCKED","PASS")</f>
        <v>PASS</v>
      </c>
      <c r="N344" s="11" t="s">
        <v>233</v>
      </c>
    </row>
    <row r="345" customFormat="false" ht="23.85" hidden="false" customHeight="false" outlineLevel="0" collapsed="false">
      <c r="A345" s="11" t="s">
        <v>109</v>
      </c>
      <c r="B345" s="11" t="s">
        <v>135</v>
      </c>
      <c r="C345" s="11" t="s">
        <v>91</v>
      </c>
      <c r="D345" s="11" t="s">
        <v>92</v>
      </c>
      <c r="E345" s="11" t="s">
        <v>79</v>
      </c>
      <c r="F345" s="12" t="n">
        <f aca="false">SUMIFS(СПРОС_ДЕНЬ_ЧАС_МЕНЮ!$I$11:$I$3265,СПРОС_ДЕНЬ_ЧАС_МЕНЮ!$A$11:$A$3265,A345,СПРОС_ДЕНЬ_ЧАС_МЕНЮ!$B$11:$B$3265,B345,СПРОС_ДЕНЬ_ЧАС_МЕНЮ!$F$11:$F$3265,C345)</f>
        <v>1.3266</v>
      </c>
      <c r="G345" s="12" t="n">
        <f aca="false">ПАРАМЕТРЫ!D26</f>
        <v>20</v>
      </c>
      <c r="H345" s="12" t="n">
        <f aca="false">SUMIFS(ШТАТ_ПО_ЧАСАМ!$C$11:$C$115,ШТАТ_ПО_ЧАСАМ!$A$11:$A$115,A345,ШТАТ_ПО_ЧАСАМ!$B$11:$B$115,B345)</f>
        <v>1</v>
      </c>
      <c r="I345" s="12" t="n">
        <f aca="false">MIN(H345,1)*ПАРАМЕТРЫ!E26</f>
        <v>10</v>
      </c>
      <c r="J345" s="12" t="n">
        <f aca="false">MIN(G345,I345)</f>
        <v>10</v>
      </c>
      <c r="K345" s="12" t="n">
        <f aca="false">MAX(F345-J345,0)</f>
        <v>0</v>
      </c>
      <c r="L345" s="12" t="n">
        <f aca="false">IF(J345=0,0,F345/J345)</f>
        <v>0.13266</v>
      </c>
      <c r="M345" s="11" t="str">
        <f aca="false">IF(K345&gt;0,"BLOCKED","PASS")</f>
        <v>PASS</v>
      </c>
      <c r="N345" s="11" t="s">
        <v>233</v>
      </c>
    </row>
    <row r="346" customFormat="false" ht="15" hidden="false" customHeight="false" outlineLevel="0" collapsed="false">
      <c r="A346" s="11" t="s">
        <v>109</v>
      </c>
      <c r="B346" s="11" t="s">
        <v>135</v>
      </c>
      <c r="C346" s="11" t="s">
        <v>93</v>
      </c>
      <c r="D346" s="11" t="s">
        <v>234</v>
      </c>
      <c r="E346" s="11" t="s">
        <v>95</v>
      </c>
      <c r="F346" s="12" t="n">
        <f aca="false">SUMIFS(СПРОС_ДЕНЬ_ЧАС_МЕНЮ!$I$11:$I$3265,СПРОС_ДЕНЬ_ЧАС_МЕНЮ!$A$11:$A$3265,A346,СПРОС_ДЕНЬ_ЧАС_МЕНЮ!$B$11:$B$3265,B346)</f>
        <v>18.8864445</v>
      </c>
      <c r="G346" s="12" t="n">
        <f aca="false">ПАРАМЕТРЫ!D27</f>
        <v>60</v>
      </c>
      <c r="H346" s="12" t="n">
        <f aca="false">SUMIFS(ШТАТ_ПО_ЧАСАМ!$C$11:$C$115,ШТАТ_ПО_ЧАСАМ!$A$11:$A$115,A346,ШТАТ_ПО_ЧАСАМ!$B$11:$B$115,B346)</f>
        <v>1</v>
      </c>
      <c r="I346" s="12" t="n">
        <f aca="false">H346*ПАРАМЕТРЫ!E27</f>
        <v>16.6666666666667</v>
      </c>
      <c r="J346" s="12" t="n">
        <f aca="false">MIN(G346,I346)</f>
        <v>16.6666666666667</v>
      </c>
      <c r="K346" s="12" t="n">
        <f aca="false">MAX(F346-J346,0)</f>
        <v>2.21977783333334</v>
      </c>
      <c r="L346" s="12" t="n">
        <f aca="false">IF(J346=0,0,F346/J346)</f>
        <v>1.13318667</v>
      </c>
      <c r="M346" s="11" t="str">
        <f aca="false">IF(K346&gt;0,"BLOCKED","PASS")</f>
        <v>BLOCKED</v>
      </c>
      <c r="N346" s="11" t="s">
        <v>235</v>
      </c>
    </row>
    <row r="347" customFormat="false" ht="23.85" hidden="false" customHeight="false" outlineLevel="0" collapsed="false">
      <c r="A347" s="11" t="s">
        <v>109</v>
      </c>
      <c r="B347" s="11" t="s">
        <v>136</v>
      </c>
      <c r="C347" s="11" t="s">
        <v>73</v>
      </c>
      <c r="D347" s="11" t="s">
        <v>74</v>
      </c>
      <c r="E347" s="11" t="s">
        <v>75</v>
      </c>
      <c r="F347" s="12" t="n">
        <f aca="false">SUMIFS(СПРОС_ДЕНЬ_ЧАС_МЕНЮ!$I$11:$I$3265,СПРОС_ДЕНЬ_ЧАС_МЕНЮ!$A$11:$A$3265,A347,СПРОС_ДЕНЬ_ЧАС_МЕНЮ!$B$11:$B$3265,B347,СПРОС_ДЕНЬ_ЧАС_МЕНЮ!$F$11:$F$3265,C347)</f>
        <v>3.6289</v>
      </c>
      <c r="G347" s="12" t="n">
        <f aca="false">ПАРАМЕТРЫ!D20</f>
        <v>25</v>
      </c>
      <c r="H347" s="12" t="n">
        <f aca="false">SUMIFS(ШТАТ_ПО_ЧАСАМ!$C$11:$C$115,ШТАТ_ПО_ЧАСАМ!$A$11:$A$115,A347,ШТАТ_ПО_ЧАСАМ!$B$11:$B$115,B347)</f>
        <v>1</v>
      </c>
      <c r="I347" s="12" t="n">
        <f aca="false">MIN(H347,1)*ПАРАМЕТРЫ!E20</f>
        <v>10</v>
      </c>
      <c r="J347" s="12" t="n">
        <f aca="false">MIN(G347,I347)</f>
        <v>10</v>
      </c>
      <c r="K347" s="12" t="n">
        <f aca="false">MAX(F347-J347,0)</f>
        <v>0</v>
      </c>
      <c r="L347" s="12" t="n">
        <f aca="false">IF(J347=0,0,F347/J347)</f>
        <v>0.36289</v>
      </c>
      <c r="M347" s="11" t="str">
        <f aca="false">IF(K347&gt;0,"BLOCKED","PASS")</f>
        <v>PASS</v>
      </c>
      <c r="N347" s="11" t="s">
        <v>233</v>
      </c>
    </row>
    <row r="348" customFormat="false" ht="23.85" hidden="false" customHeight="false" outlineLevel="0" collapsed="false">
      <c r="A348" s="11" t="s">
        <v>109</v>
      </c>
      <c r="B348" s="11" t="s">
        <v>136</v>
      </c>
      <c r="C348" s="11" t="s">
        <v>77</v>
      </c>
      <c r="D348" s="11" t="s">
        <v>78</v>
      </c>
      <c r="E348" s="11" t="s">
        <v>79</v>
      </c>
      <c r="F348" s="12" t="n">
        <f aca="false">SUMIFS(СПРОС_ДЕНЬ_ЧАС_МЕНЮ!$I$11:$I$3265,СПРОС_ДЕНЬ_ЧАС_МЕНЮ!$A$11:$A$3265,A348,СПРОС_ДЕНЬ_ЧАС_МЕНЮ!$B$11:$B$3265,B348,СПРОС_ДЕНЬ_ЧАС_МЕНЮ!$F$11:$F$3265,C348)</f>
        <v>2.12234</v>
      </c>
      <c r="G348" s="12" t="n">
        <f aca="false">ПАРАМЕТРЫ!D21</f>
        <v>20</v>
      </c>
      <c r="H348" s="12" t="n">
        <f aca="false">SUMIFS(ШТАТ_ПО_ЧАСАМ!$C$11:$C$115,ШТАТ_ПО_ЧАСАМ!$A$11:$A$115,A348,ШТАТ_ПО_ЧАСАМ!$B$11:$B$115,B348)</f>
        <v>1</v>
      </c>
      <c r="I348" s="12" t="n">
        <f aca="false">MIN(H348,1)*ПАРАМЕТРЫ!E21</f>
        <v>10</v>
      </c>
      <c r="J348" s="12" t="n">
        <f aca="false">MIN(G348,I348)</f>
        <v>10</v>
      </c>
      <c r="K348" s="12" t="n">
        <f aca="false">MAX(F348-J348,0)</f>
        <v>0</v>
      </c>
      <c r="L348" s="12" t="n">
        <f aca="false">IF(J348=0,0,F348/J348)</f>
        <v>0.212234</v>
      </c>
      <c r="M348" s="11" t="str">
        <f aca="false">IF(K348&gt;0,"BLOCKED","PASS")</f>
        <v>PASS</v>
      </c>
      <c r="N348" s="11" t="s">
        <v>233</v>
      </c>
    </row>
    <row r="349" customFormat="false" ht="23.85" hidden="false" customHeight="false" outlineLevel="0" collapsed="false">
      <c r="A349" s="11" t="s">
        <v>109</v>
      </c>
      <c r="B349" s="11" t="s">
        <v>136</v>
      </c>
      <c r="C349" s="11" t="s">
        <v>80</v>
      </c>
      <c r="D349" s="11" t="s">
        <v>81</v>
      </c>
      <c r="E349" s="11" t="s">
        <v>82</v>
      </c>
      <c r="F349" s="12" t="n">
        <f aca="false">SUMIFS(СПРОС_ДЕНЬ_ЧАС_МЕНЮ!$I$11:$I$3265,СПРОС_ДЕНЬ_ЧАС_МЕНЮ!$A$11:$A$3265,A349,СПРОС_ДЕНЬ_ЧАС_МЕНЮ!$B$11:$B$3265,B349,СПРОС_ДЕНЬ_ЧАС_МЕНЮ!$F$11:$F$3265,C349)</f>
        <v>5.071</v>
      </c>
      <c r="G349" s="12" t="n">
        <f aca="false">ПАРАМЕТРЫ!D22</f>
        <v>16</v>
      </c>
      <c r="H349" s="12" t="n">
        <f aca="false">SUMIFS(ШТАТ_ПО_ЧАСАМ!$C$11:$C$115,ШТАТ_ПО_ЧАСАМ!$A$11:$A$115,A349,ШТАТ_ПО_ЧАСАМ!$B$11:$B$115,B349)</f>
        <v>1</v>
      </c>
      <c r="I349" s="12" t="n">
        <f aca="false">MIN(H349,1)*ПАРАМЕТРЫ!E22</f>
        <v>16</v>
      </c>
      <c r="J349" s="12" t="n">
        <f aca="false">MIN(G349,I349)</f>
        <v>16</v>
      </c>
      <c r="K349" s="12" t="n">
        <f aca="false">MAX(F349-J349,0)</f>
        <v>0</v>
      </c>
      <c r="L349" s="12" t="n">
        <f aca="false">IF(J349=0,0,F349/J349)</f>
        <v>0.3169375</v>
      </c>
      <c r="M349" s="11" t="str">
        <f aca="false">IF(K349&gt;0,"BLOCKED","PASS")</f>
        <v>PASS</v>
      </c>
      <c r="N349" s="11" t="s">
        <v>233</v>
      </c>
    </row>
    <row r="350" customFormat="false" ht="23.85" hidden="false" customHeight="false" outlineLevel="0" collapsed="false">
      <c r="A350" s="11" t="s">
        <v>109</v>
      </c>
      <c r="B350" s="11" t="s">
        <v>136</v>
      </c>
      <c r="C350" s="11" t="s">
        <v>83</v>
      </c>
      <c r="D350" s="11" t="s">
        <v>84</v>
      </c>
      <c r="E350" s="11" t="s">
        <v>83</v>
      </c>
      <c r="F350" s="12" t="n">
        <f aca="false">SUMIFS(СПРОС_ДЕНЬ_ЧАС_МЕНЮ!$I$11:$I$3265,СПРОС_ДЕНЬ_ЧАС_МЕНЮ!$A$11:$A$3265,A350,СПРОС_ДЕНЬ_ЧАС_МЕНЮ!$B$11:$B$3265,B350,СПРОС_ДЕНЬ_ЧАС_МЕНЮ!$F$11:$F$3265,C350)</f>
        <v>8.5415</v>
      </c>
      <c r="G350" s="12" t="n">
        <f aca="false">ПАРАМЕТРЫ!D23</f>
        <v>21</v>
      </c>
      <c r="H350" s="12" t="n">
        <f aca="false">SUMIFS(ШТАТ_ПО_ЧАСАМ!$C$11:$C$115,ШТАТ_ПО_ЧАСАМ!$A$11:$A$115,A350,ШТАТ_ПО_ЧАСАМ!$B$11:$B$115,B350)</f>
        <v>1</v>
      </c>
      <c r="I350" s="12" t="n">
        <f aca="false">MIN(H350,1)*ПАРАМЕТРЫ!E23</f>
        <v>21</v>
      </c>
      <c r="J350" s="12" t="n">
        <f aca="false">MIN(G350,I350)</f>
        <v>21</v>
      </c>
      <c r="K350" s="12" t="n">
        <f aca="false">MAX(F350-J350,0)</f>
        <v>0</v>
      </c>
      <c r="L350" s="12" t="n">
        <f aca="false">IF(J350=0,0,F350/J350)</f>
        <v>0.406738095238095</v>
      </c>
      <c r="M350" s="11" t="str">
        <f aca="false">IF(K350&gt;0,"BLOCKED","PASS")</f>
        <v>PASS</v>
      </c>
      <c r="N350" s="11" t="s">
        <v>233</v>
      </c>
    </row>
    <row r="351" customFormat="false" ht="23.85" hidden="false" customHeight="false" outlineLevel="0" collapsed="false">
      <c r="A351" s="11" t="s">
        <v>109</v>
      </c>
      <c r="B351" s="11" t="s">
        <v>136</v>
      </c>
      <c r="C351" s="11" t="s">
        <v>85</v>
      </c>
      <c r="D351" s="11" t="s">
        <v>86</v>
      </c>
      <c r="E351" s="11" t="s">
        <v>87</v>
      </c>
      <c r="F351" s="12" t="n">
        <f aca="false">SUMIFS(СПРОС_ДЕНЬ_ЧАС_МЕНЮ!$I$11:$I$3265,СПРОС_ДЕНЬ_ЧАС_МЕНЮ!$A$11:$A$3265,A351,СПРОС_ДЕНЬ_ЧАС_МЕНЮ!$B$11:$B$3265,B351,СПРОС_ДЕНЬ_ЧАС_МЕНЮ!$F$11:$F$3265,C351)</f>
        <v>3.9945235</v>
      </c>
      <c r="G351" s="12" t="n">
        <f aca="false">ПАРАМЕТРЫ!D24</f>
        <v>12</v>
      </c>
      <c r="H351" s="12" t="n">
        <f aca="false">SUMIFS(ШТАТ_ПО_ЧАСАМ!$C$11:$C$115,ШТАТ_ПО_ЧАСАМ!$A$11:$A$115,A351,ШТАТ_ПО_ЧАСАМ!$B$11:$B$115,B351)</f>
        <v>1</v>
      </c>
      <c r="I351" s="12" t="n">
        <f aca="false">MIN(H351,1)*ПАРАМЕТРЫ!E24</f>
        <v>12</v>
      </c>
      <c r="J351" s="12" t="n">
        <f aca="false">MIN(G351,I351)</f>
        <v>12</v>
      </c>
      <c r="K351" s="12" t="n">
        <f aca="false">MAX(F351-J351,0)</f>
        <v>0</v>
      </c>
      <c r="L351" s="12" t="n">
        <f aca="false">IF(J351=0,0,F351/J351)</f>
        <v>0.332876958333333</v>
      </c>
      <c r="M351" s="11" t="str">
        <f aca="false">IF(K351&gt;0,"BLOCKED","PASS")</f>
        <v>PASS</v>
      </c>
      <c r="N351" s="11" t="s">
        <v>233</v>
      </c>
    </row>
    <row r="352" customFormat="false" ht="23.85" hidden="false" customHeight="false" outlineLevel="0" collapsed="false">
      <c r="A352" s="11" t="s">
        <v>109</v>
      </c>
      <c r="B352" s="11" t="s">
        <v>136</v>
      </c>
      <c r="C352" s="11" t="s">
        <v>88</v>
      </c>
      <c r="D352" s="11" t="s">
        <v>89</v>
      </c>
      <c r="E352" s="11" t="s">
        <v>90</v>
      </c>
      <c r="F352" s="12" t="n">
        <f aca="false">SUMIFS(СПРОС_ДЕНЬ_ЧАС_МЕНЮ!$I$11:$I$3265,СПРОС_ДЕНЬ_ЧАС_МЕНЮ!$A$11:$A$3265,A352,СПРОС_ДЕНЬ_ЧАС_МЕНЮ!$B$11:$B$3265,B352,СПРОС_ДЕНЬ_ЧАС_МЕНЮ!$F$11:$F$3265,C352)</f>
        <v>0</v>
      </c>
      <c r="G352" s="12" t="n">
        <f aca="false">ПАРАМЕТРЫ!D25</f>
        <v>15</v>
      </c>
      <c r="H352" s="12" t="n">
        <f aca="false">SUMIFS(ШТАТ_ПО_ЧАСАМ!$C$11:$C$115,ШТАТ_ПО_ЧАСАМ!$A$11:$A$115,A352,ШТАТ_ПО_ЧАСАМ!$B$11:$B$115,B352)</f>
        <v>1</v>
      </c>
      <c r="I352" s="12" t="n">
        <f aca="false">MIN(H352,1)*ПАРАМЕТРЫ!E25</f>
        <v>10</v>
      </c>
      <c r="J352" s="12" t="n">
        <f aca="false">MIN(G352,I352)</f>
        <v>10</v>
      </c>
      <c r="K352" s="12" t="n">
        <f aca="false">MAX(F352-J352,0)</f>
        <v>0</v>
      </c>
      <c r="L352" s="12" t="n">
        <f aca="false">IF(J352=0,0,F352/J352)</f>
        <v>0</v>
      </c>
      <c r="M352" s="11" t="str">
        <f aca="false">IF(K352&gt;0,"BLOCKED","PASS")</f>
        <v>PASS</v>
      </c>
      <c r="N352" s="11" t="s">
        <v>233</v>
      </c>
    </row>
    <row r="353" customFormat="false" ht="23.85" hidden="false" customHeight="false" outlineLevel="0" collapsed="false">
      <c r="A353" s="11" t="s">
        <v>109</v>
      </c>
      <c r="B353" s="11" t="s">
        <v>136</v>
      </c>
      <c r="C353" s="11" t="s">
        <v>91</v>
      </c>
      <c r="D353" s="11" t="s">
        <v>92</v>
      </c>
      <c r="E353" s="11" t="s">
        <v>79</v>
      </c>
      <c r="F353" s="12" t="n">
        <f aca="false">SUMIFS(СПРОС_ДЕНЬ_ЧАС_МЕНЮ!$I$11:$I$3265,СПРОС_ДЕНЬ_ЧАС_МЕНЮ!$A$11:$A$3265,A353,СПРОС_ДЕНЬ_ЧАС_МЕНЮ!$B$11:$B$3265,B353,СПРОС_ДЕНЬ_ЧАС_МЕНЮ!$F$11:$F$3265,C353)</f>
        <v>1.5818</v>
      </c>
      <c r="G353" s="12" t="n">
        <f aca="false">ПАРАМЕТРЫ!D26</f>
        <v>20</v>
      </c>
      <c r="H353" s="12" t="n">
        <f aca="false">SUMIFS(ШТАТ_ПО_ЧАСАМ!$C$11:$C$115,ШТАТ_ПО_ЧАСАМ!$A$11:$A$115,A353,ШТАТ_ПО_ЧАСАМ!$B$11:$B$115,B353)</f>
        <v>1</v>
      </c>
      <c r="I353" s="12" t="n">
        <f aca="false">MIN(H353,1)*ПАРАМЕТРЫ!E26</f>
        <v>10</v>
      </c>
      <c r="J353" s="12" t="n">
        <f aca="false">MIN(G353,I353)</f>
        <v>10</v>
      </c>
      <c r="K353" s="12" t="n">
        <f aca="false">MAX(F353-J353,0)</f>
        <v>0</v>
      </c>
      <c r="L353" s="12" t="n">
        <f aca="false">IF(J353=0,0,F353/J353)</f>
        <v>0.15818</v>
      </c>
      <c r="M353" s="11" t="str">
        <f aca="false">IF(K353&gt;0,"BLOCKED","PASS")</f>
        <v>PASS</v>
      </c>
      <c r="N353" s="11" t="s">
        <v>233</v>
      </c>
    </row>
    <row r="354" customFormat="false" ht="15" hidden="false" customHeight="false" outlineLevel="0" collapsed="false">
      <c r="A354" s="11" t="s">
        <v>109</v>
      </c>
      <c r="B354" s="11" t="s">
        <v>136</v>
      </c>
      <c r="C354" s="11" t="s">
        <v>93</v>
      </c>
      <c r="D354" s="11" t="s">
        <v>234</v>
      </c>
      <c r="E354" s="11" t="s">
        <v>95</v>
      </c>
      <c r="F354" s="12" t="n">
        <f aca="false">SUMIFS(СПРОС_ДЕНЬ_ЧАС_МЕНЮ!$I$11:$I$3265,СПРОС_ДЕНЬ_ЧАС_МЕНЮ!$A$11:$A$3265,A354,СПРОС_ДЕНЬ_ЧАС_МЕНЮ!$B$11:$B$3265,B354)</f>
        <v>24.9400635</v>
      </c>
      <c r="G354" s="12" t="n">
        <f aca="false">ПАРАМЕТРЫ!D27</f>
        <v>60</v>
      </c>
      <c r="H354" s="12" t="n">
        <f aca="false">SUMIFS(ШТАТ_ПО_ЧАСАМ!$C$11:$C$115,ШТАТ_ПО_ЧАСАМ!$A$11:$A$115,A354,ШТАТ_ПО_ЧАСАМ!$B$11:$B$115,B354)</f>
        <v>1</v>
      </c>
      <c r="I354" s="12" t="n">
        <f aca="false">H354*ПАРАМЕТРЫ!E27</f>
        <v>16.6666666666667</v>
      </c>
      <c r="J354" s="12" t="n">
        <f aca="false">MIN(G354,I354)</f>
        <v>16.6666666666667</v>
      </c>
      <c r="K354" s="12" t="n">
        <f aca="false">MAX(F354-J354,0)</f>
        <v>8.27339683333334</v>
      </c>
      <c r="L354" s="12" t="n">
        <f aca="false">IF(J354=0,0,F354/J354)</f>
        <v>1.49640381</v>
      </c>
      <c r="M354" s="11" t="str">
        <f aca="false">IF(K354&gt;0,"BLOCKED","PASS")</f>
        <v>BLOCKED</v>
      </c>
      <c r="N354" s="11" t="s">
        <v>235</v>
      </c>
    </row>
    <row r="355" customFormat="false" ht="23.85" hidden="false" customHeight="false" outlineLevel="0" collapsed="false">
      <c r="A355" s="11" t="s">
        <v>109</v>
      </c>
      <c r="B355" s="11" t="s">
        <v>137</v>
      </c>
      <c r="C355" s="11" t="s">
        <v>73</v>
      </c>
      <c r="D355" s="11" t="s">
        <v>74</v>
      </c>
      <c r="E355" s="11" t="s">
        <v>75</v>
      </c>
      <c r="F355" s="12" t="n">
        <f aca="false">SUMIFS(СПРОС_ДЕНЬ_ЧАС_МЕНЮ!$I$11:$I$3265,СПРОС_ДЕНЬ_ЧАС_МЕНЮ!$A$11:$A$3265,A355,СПРОС_ДЕНЬ_ЧАС_МЕНЮ!$B$11:$B$3265,B355,СПРОС_ДЕНЬ_ЧАС_МЕНЮ!$F$11:$F$3265,C355)</f>
        <v>4.2625</v>
      </c>
      <c r="G355" s="12" t="n">
        <f aca="false">ПАРАМЕТРЫ!D20</f>
        <v>25</v>
      </c>
      <c r="H355" s="12" t="n">
        <f aca="false">SUMIFS(ШТАТ_ПО_ЧАСАМ!$C$11:$C$115,ШТАТ_ПО_ЧАСАМ!$A$11:$A$115,A355,ШТАТ_ПО_ЧАСАМ!$B$11:$B$115,B355)</f>
        <v>1</v>
      </c>
      <c r="I355" s="12" t="n">
        <f aca="false">MIN(H355,1)*ПАРАМЕТРЫ!E20</f>
        <v>10</v>
      </c>
      <c r="J355" s="12" t="n">
        <f aca="false">MIN(G355,I355)</f>
        <v>10</v>
      </c>
      <c r="K355" s="12" t="n">
        <f aca="false">MAX(F355-J355,0)</f>
        <v>0</v>
      </c>
      <c r="L355" s="12" t="n">
        <f aca="false">IF(J355=0,0,F355/J355)</f>
        <v>0.42625</v>
      </c>
      <c r="M355" s="11" t="str">
        <f aca="false">IF(K355&gt;0,"BLOCKED","PASS")</f>
        <v>PASS</v>
      </c>
      <c r="N355" s="11" t="s">
        <v>233</v>
      </c>
    </row>
    <row r="356" customFormat="false" ht="23.85" hidden="false" customHeight="false" outlineLevel="0" collapsed="false">
      <c r="A356" s="11" t="s">
        <v>109</v>
      </c>
      <c r="B356" s="11" t="s">
        <v>137</v>
      </c>
      <c r="C356" s="11" t="s">
        <v>77</v>
      </c>
      <c r="D356" s="11" t="s">
        <v>78</v>
      </c>
      <c r="E356" s="11" t="s">
        <v>79</v>
      </c>
      <c r="F356" s="12" t="n">
        <f aca="false">SUMIFS(СПРОС_ДЕНЬ_ЧАС_МЕНЮ!$I$11:$I$3265,СПРОС_ДЕНЬ_ЧАС_МЕНЮ!$A$11:$A$3265,A356,СПРОС_ДЕНЬ_ЧАС_МЕНЮ!$B$11:$B$3265,B356,СПРОС_ДЕНЬ_ЧАС_МЕНЮ!$F$11:$F$3265,C356)</f>
        <v>1.9833</v>
      </c>
      <c r="G356" s="12" t="n">
        <f aca="false">ПАРАМЕТРЫ!D21</f>
        <v>20</v>
      </c>
      <c r="H356" s="12" t="n">
        <f aca="false">SUMIFS(ШТАТ_ПО_ЧАСАМ!$C$11:$C$115,ШТАТ_ПО_ЧАСАМ!$A$11:$A$115,A356,ШТАТ_ПО_ЧАСАМ!$B$11:$B$115,B356)</f>
        <v>1</v>
      </c>
      <c r="I356" s="12" t="n">
        <f aca="false">MIN(H356,1)*ПАРАМЕТРЫ!E21</f>
        <v>10</v>
      </c>
      <c r="J356" s="12" t="n">
        <f aca="false">MIN(G356,I356)</f>
        <v>10</v>
      </c>
      <c r="K356" s="12" t="n">
        <f aca="false">MAX(F356-J356,0)</f>
        <v>0</v>
      </c>
      <c r="L356" s="12" t="n">
        <f aca="false">IF(J356=0,0,F356/J356)</f>
        <v>0.19833</v>
      </c>
      <c r="M356" s="11" t="str">
        <f aca="false">IF(K356&gt;0,"BLOCKED","PASS")</f>
        <v>PASS</v>
      </c>
      <c r="N356" s="11" t="s">
        <v>233</v>
      </c>
    </row>
    <row r="357" customFormat="false" ht="23.85" hidden="false" customHeight="false" outlineLevel="0" collapsed="false">
      <c r="A357" s="11" t="s">
        <v>109</v>
      </c>
      <c r="B357" s="11" t="s">
        <v>137</v>
      </c>
      <c r="C357" s="11" t="s">
        <v>80</v>
      </c>
      <c r="D357" s="11" t="s">
        <v>81</v>
      </c>
      <c r="E357" s="11" t="s">
        <v>82</v>
      </c>
      <c r="F357" s="12" t="n">
        <f aca="false">SUMIFS(СПРОС_ДЕНЬ_ЧАС_МЕНЮ!$I$11:$I$3265,СПРОС_ДЕНЬ_ЧАС_МЕНЮ!$A$11:$A$3265,A357,СПРОС_ДЕНЬ_ЧАС_МЕНЮ!$B$11:$B$3265,B357,СПРОС_ДЕНЬ_ЧАС_МЕНЮ!$F$11:$F$3265,C357)</f>
        <v>6.1765</v>
      </c>
      <c r="G357" s="12" t="n">
        <f aca="false">ПАРАМЕТРЫ!D22</f>
        <v>16</v>
      </c>
      <c r="H357" s="12" t="n">
        <f aca="false">SUMIFS(ШТАТ_ПО_ЧАСАМ!$C$11:$C$115,ШТАТ_ПО_ЧАСАМ!$A$11:$A$115,A357,ШТАТ_ПО_ЧАСАМ!$B$11:$B$115,B357)</f>
        <v>1</v>
      </c>
      <c r="I357" s="12" t="n">
        <f aca="false">MIN(H357,1)*ПАРАМЕТРЫ!E22</f>
        <v>16</v>
      </c>
      <c r="J357" s="12" t="n">
        <f aca="false">MIN(G357,I357)</f>
        <v>16</v>
      </c>
      <c r="K357" s="12" t="n">
        <f aca="false">MAX(F357-J357,0)</f>
        <v>0</v>
      </c>
      <c r="L357" s="12" t="n">
        <f aca="false">IF(J357=0,0,F357/J357)</f>
        <v>0.38603125</v>
      </c>
      <c r="M357" s="11" t="str">
        <f aca="false">IF(K357&gt;0,"BLOCKED","PASS")</f>
        <v>PASS</v>
      </c>
      <c r="N357" s="11" t="s">
        <v>233</v>
      </c>
    </row>
    <row r="358" customFormat="false" ht="23.85" hidden="false" customHeight="false" outlineLevel="0" collapsed="false">
      <c r="A358" s="11" t="s">
        <v>109</v>
      </c>
      <c r="B358" s="11" t="s">
        <v>137</v>
      </c>
      <c r="C358" s="11" t="s">
        <v>83</v>
      </c>
      <c r="D358" s="11" t="s">
        <v>84</v>
      </c>
      <c r="E358" s="11" t="s">
        <v>83</v>
      </c>
      <c r="F358" s="12" t="n">
        <f aca="false">SUMIFS(СПРОС_ДЕНЬ_ЧАС_МЕНЮ!$I$11:$I$3265,СПРОС_ДЕНЬ_ЧАС_МЕНЮ!$A$11:$A$3265,A358,СПРОС_ДЕНЬ_ЧАС_МЕНЮ!$B$11:$B$3265,B358,СПРОС_ДЕНЬ_ЧАС_МЕНЮ!$F$11:$F$3265,C358)</f>
        <v>10.329</v>
      </c>
      <c r="G358" s="12" t="n">
        <f aca="false">ПАРАМЕТРЫ!D23</f>
        <v>21</v>
      </c>
      <c r="H358" s="12" t="n">
        <f aca="false">SUMIFS(ШТАТ_ПО_ЧАСАМ!$C$11:$C$115,ШТАТ_ПО_ЧАСАМ!$A$11:$A$115,A358,ШТАТ_ПО_ЧАСАМ!$B$11:$B$115,B358)</f>
        <v>1</v>
      </c>
      <c r="I358" s="12" t="n">
        <f aca="false">MIN(H358,1)*ПАРАМЕТРЫ!E23</f>
        <v>21</v>
      </c>
      <c r="J358" s="12" t="n">
        <f aca="false">MIN(G358,I358)</f>
        <v>21</v>
      </c>
      <c r="K358" s="12" t="n">
        <f aca="false">MAX(F358-J358,0)</f>
        <v>0</v>
      </c>
      <c r="L358" s="12" t="n">
        <f aca="false">IF(J358=0,0,F358/J358)</f>
        <v>0.491857142857143</v>
      </c>
      <c r="M358" s="11" t="str">
        <f aca="false">IF(K358&gt;0,"BLOCKED","PASS")</f>
        <v>PASS</v>
      </c>
      <c r="N358" s="11" t="s">
        <v>233</v>
      </c>
    </row>
    <row r="359" customFormat="false" ht="23.85" hidden="false" customHeight="false" outlineLevel="0" collapsed="false">
      <c r="A359" s="11" t="s">
        <v>109</v>
      </c>
      <c r="B359" s="11" t="s">
        <v>137</v>
      </c>
      <c r="C359" s="11" t="s">
        <v>85</v>
      </c>
      <c r="D359" s="11" t="s">
        <v>86</v>
      </c>
      <c r="E359" s="11" t="s">
        <v>87</v>
      </c>
      <c r="F359" s="12" t="n">
        <f aca="false">SUMIFS(СПРОС_ДЕНЬ_ЧАС_МЕНЮ!$I$11:$I$3265,СПРОС_ДЕНЬ_ЧАС_МЕНЮ!$A$11:$A$3265,A359,СПРОС_ДЕНЬ_ЧАС_МЕНЮ!$B$11:$B$3265,B359,СПРОС_ДЕНЬ_ЧАС_МЕНЮ!$F$11:$F$3265,C359)</f>
        <v>4.903745</v>
      </c>
      <c r="G359" s="12" t="n">
        <f aca="false">ПАРАМЕТРЫ!D24</f>
        <v>12</v>
      </c>
      <c r="H359" s="12" t="n">
        <f aca="false">SUMIFS(ШТАТ_ПО_ЧАСАМ!$C$11:$C$115,ШТАТ_ПО_ЧАСАМ!$A$11:$A$115,A359,ШТАТ_ПО_ЧАСАМ!$B$11:$B$115,B359)</f>
        <v>1</v>
      </c>
      <c r="I359" s="12" t="n">
        <f aca="false">MIN(H359,1)*ПАРАМЕТРЫ!E24</f>
        <v>12</v>
      </c>
      <c r="J359" s="12" t="n">
        <f aca="false">MIN(G359,I359)</f>
        <v>12</v>
      </c>
      <c r="K359" s="12" t="n">
        <f aca="false">MAX(F359-J359,0)</f>
        <v>0</v>
      </c>
      <c r="L359" s="12" t="n">
        <f aca="false">IF(J359=0,0,F359/J359)</f>
        <v>0.408645416666667</v>
      </c>
      <c r="M359" s="11" t="str">
        <f aca="false">IF(K359&gt;0,"BLOCKED","PASS")</f>
        <v>PASS</v>
      </c>
      <c r="N359" s="11" t="s">
        <v>233</v>
      </c>
    </row>
    <row r="360" customFormat="false" ht="23.85" hidden="false" customHeight="false" outlineLevel="0" collapsed="false">
      <c r="A360" s="11" t="s">
        <v>109</v>
      </c>
      <c r="B360" s="11" t="s">
        <v>137</v>
      </c>
      <c r="C360" s="11" t="s">
        <v>88</v>
      </c>
      <c r="D360" s="11" t="s">
        <v>89</v>
      </c>
      <c r="E360" s="11" t="s">
        <v>90</v>
      </c>
      <c r="F360" s="12" t="n">
        <f aca="false">SUMIFS(СПРОС_ДЕНЬ_ЧАС_МЕНЮ!$I$11:$I$3265,СПРОС_ДЕНЬ_ЧАС_МЕНЮ!$A$11:$A$3265,A360,СПРОС_ДЕНЬ_ЧАС_МЕНЮ!$B$11:$B$3265,B360,СПРОС_ДЕНЬ_ЧАС_МЕНЮ!$F$11:$F$3265,C360)</f>
        <v>0</v>
      </c>
      <c r="G360" s="12" t="n">
        <f aca="false">ПАРАМЕТРЫ!D25</f>
        <v>15</v>
      </c>
      <c r="H360" s="12" t="n">
        <f aca="false">SUMIFS(ШТАТ_ПО_ЧАСАМ!$C$11:$C$115,ШТАТ_ПО_ЧАСАМ!$A$11:$A$115,A360,ШТАТ_ПО_ЧАСАМ!$B$11:$B$115,B360)</f>
        <v>1</v>
      </c>
      <c r="I360" s="12" t="n">
        <f aca="false">MIN(H360,1)*ПАРАМЕТРЫ!E25</f>
        <v>10</v>
      </c>
      <c r="J360" s="12" t="n">
        <f aca="false">MIN(G360,I360)</f>
        <v>10</v>
      </c>
      <c r="K360" s="12" t="n">
        <f aca="false">MAX(F360-J360,0)</f>
        <v>0</v>
      </c>
      <c r="L360" s="12" t="n">
        <f aca="false">IF(J360=0,0,F360/J360)</f>
        <v>0</v>
      </c>
      <c r="M360" s="11" t="str">
        <f aca="false">IF(K360&gt;0,"BLOCKED","PASS")</f>
        <v>PASS</v>
      </c>
      <c r="N360" s="11" t="s">
        <v>233</v>
      </c>
    </row>
    <row r="361" customFormat="false" ht="23.85" hidden="false" customHeight="false" outlineLevel="0" collapsed="false">
      <c r="A361" s="11" t="s">
        <v>109</v>
      </c>
      <c r="B361" s="11" t="s">
        <v>137</v>
      </c>
      <c r="C361" s="11" t="s">
        <v>91</v>
      </c>
      <c r="D361" s="11" t="s">
        <v>92</v>
      </c>
      <c r="E361" s="11" t="s">
        <v>79</v>
      </c>
      <c r="F361" s="12" t="n">
        <f aca="false">SUMIFS(СПРОС_ДЕНЬ_ЧАС_МЕНЮ!$I$11:$I$3265,СПРОС_ДЕНЬ_ЧАС_МЕНЮ!$A$11:$A$3265,A361,СПРОС_ДЕНЬ_ЧАС_МЕНЮ!$B$11:$B$3265,B361,СПРОС_ДЕНЬ_ЧАС_МЕНЮ!$F$11:$F$3265,C361)</f>
        <v>1.65</v>
      </c>
      <c r="G361" s="12" t="n">
        <f aca="false">ПАРАМЕТРЫ!D26</f>
        <v>20</v>
      </c>
      <c r="H361" s="12" t="n">
        <f aca="false">SUMIFS(ШТАТ_ПО_ЧАСАМ!$C$11:$C$115,ШТАТ_ПО_ЧАСАМ!$A$11:$A$115,A361,ШТАТ_ПО_ЧАСАМ!$B$11:$B$115,B361)</f>
        <v>1</v>
      </c>
      <c r="I361" s="12" t="n">
        <f aca="false">MIN(H361,1)*ПАРАМЕТРЫ!E26</f>
        <v>10</v>
      </c>
      <c r="J361" s="12" t="n">
        <f aca="false">MIN(G361,I361)</f>
        <v>10</v>
      </c>
      <c r="K361" s="12" t="n">
        <f aca="false">MAX(F361-J361,0)</f>
        <v>0</v>
      </c>
      <c r="L361" s="12" t="n">
        <f aca="false">IF(J361=0,0,F361/J361)</f>
        <v>0.165</v>
      </c>
      <c r="M361" s="11" t="str">
        <f aca="false">IF(K361&gt;0,"BLOCKED","PASS")</f>
        <v>PASS</v>
      </c>
      <c r="N361" s="11" t="s">
        <v>233</v>
      </c>
    </row>
    <row r="362" customFormat="false" ht="15" hidden="false" customHeight="false" outlineLevel="0" collapsed="false">
      <c r="A362" s="11" t="s">
        <v>109</v>
      </c>
      <c r="B362" s="11" t="s">
        <v>137</v>
      </c>
      <c r="C362" s="11" t="s">
        <v>93</v>
      </c>
      <c r="D362" s="11" t="s">
        <v>234</v>
      </c>
      <c r="E362" s="11" t="s">
        <v>95</v>
      </c>
      <c r="F362" s="12" t="n">
        <f aca="false">SUMIFS(СПРОС_ДЕНЬ_ЧАС_МЕНЮ!$I$11:$I$3265,СПРОС_ДЕНЬ_ЧАС_МЕНЮ!$A$11:$A$3265,A362,СПРОС_ДЕНЬ_ЧАС_МЕНЮ!$B$11:$B$3265,B362)</f>
        <v>29.305045</v>
      </c>
      <c r="G362" s="12" t="n">
        <f aca="false">ПАРАМЕТРЫ!D27</f>
        <v>60</v>
      </c>
      <c r="H362" s="12" t="n">
        <f aca="false">SUMIFS(ШТАТ_ПО_ЧАСАМ!$C$11:$C$115,ШТАТ_ПО_ЧАСАМ!$A$11:$A$115,A362,ШТАТ_ПО_ЧАСАМ!$B$11:$B$115,B362)</f>
        <v>1</v>
      </c>
      <c r="I362" s="12" t="n">
        <f aca="false">H362*ПАРАМЕТРЫ!E27</f>
        <v>16.6666666666667</v>
      </c>
      <c r="J362" s="12" t="n">
        <f aca="false">MIN(G362,I362)</f>
        <v>16.6666666666667</v>
      </c>
      <c r="K362" s="12" t="n">
        <f aca="false">MAX(F362-J362,0)</f>
        <v>12.6383783333333</v>
      </c>
      <c r="L362" s="12" t="n">
        <f aca="false">IF(J362=0,0,F362/J362)</f>
        <v>1.7583027</v>
      </c>
      <c r="M362" s="11" t="str">
        <f aca="false">IF(K362&gt;0,"BLOCKED","PASS")</f>
        <v>BLOCKED</v>
      </c>
      <c r="N362" s="11" t="s">
        <v>235</v>
      </c>
    </row>
    <row r="363" customFormat="false" ht="23.85" hidden="false" customHeight="false" outlineLevel="0" collapsed="false">
      <c r="A363" s="11" t="s">
        <v>109</v>
      </c>
      <c r="B363" s="11" t="s">
        <v>138</v>
      </c>
      <c r="C363" s="11" t="s">
        <v>73</v>
      </c>
      <c r="D363" s="11" t="s">
        <v>74</v>
      </c>
      <c r="E363" s="11" t="s">
        <v>75</v>
      </c>
      <c r="F363" s="12" t="n">
        <f aca="false">SUMIFS(СПРОС_ДЕНЬ_ЧАС_МЕНЮ!$I$11:$I$3265,СПРОС_ДЕНЬ_ЧАС_МЕНЮ!$A$11:$A$3265,A363,СПРОС_ДЕНЬ_ЧАС_МЕНЮ!$B$11:$B$3265,B363,СПРОС_ДЕНЬ_ЧАС_МЕНЮ!$F$11:$F$3265,C363)</f>
        <v>2.464</v>
      </c>
      <c r="G363" s="12" t="n">
        <f aca="false">ПАРАМЕТРЫ!D20</f>
        <v>25</v>
      </c>
      <c r="H363" s="12" t="n">
        <f aca="false">SUMIFS(ШТАТ_ПО_ЧАСАМ!$C$11:$C$115,ШТАТ_ПО_ЧАСАМ!$A$11:$A$115,A363,ШТАТ_ПО_ЧАСАМ!$B$11:$B$115,B363)</f>
        <v>1</v>
      </c>
      <c r="I363" s="12" t="n">
        <f aca="false">MIN(H363,1)*ПАРАМЕТРЫ!E20</f>
        <v>10</v>
      </c>
      <c r="J363" s="12" t="n">
        <f aca="false">MIN(G363,I363)</f>
        <v>10</v>
      </c>
      <c r="K363" s="12" t="n">
        <f aca="false">MAX(F363-J363,0)</f>
        <v>0</v>
      </c>
      <c r="L363" s="12" t="n">
        <f aca="false">IF(J363=0,0,F363/J363)</f>
        <v>0.2464</v>
      </c>
      <c r="M363" s="11" t="str">
        <f aca="false">IF(K363&gt;0,"BLOCKED","PASS")</f>
        <v>PASS</v>
      </c>
      <c r="N363" s="11" t="s">
        <v>233</v>
      </c>
    </row>
    <row r="364" customFormat="false" ht="23.85" hidden="false" customHeight="false" outlineLevel="0" collapsed="false">
      <c r="A364" s="11" t="s">
        <v>109</v>
      </c>
      <c r="B364" s="11" t="s">
        <v>138</v>
      </c>
      <c r="C364" s="11" t="s">
        <v>77</v>
      </c>
      <c r="D364" s="11" t="s">
        <v>78</v>
      </c>
      <c r="E364" s="11" t="s">
        <v>79</v>
      </c>
      <c r="F364" s="12" t="n">
        <f aca="false">SUMIFS(СПРОС_ДЕНЬ_ЧАС_МЕНЮ!$I$11:$I$3265,СПРОС_ДЕНЬ_ЧАС_МЕНЮ!$A$11:$A$3265,A364,СПРОС_ДЕНЬ_ЧАС_МЕНЮ!$B$11:$B$3265,B364,СПРОС_ДЕНЬ_ЧАС_МЕНЮ!$F$11:$F$3265,C364)</f>
        <v>1.1264</v>
      </c>
      <c r="G364" s="12" t="n">
        <f aca="false">ПАРАМЕТРЫ!D21</f>
        <v>20</v>
      </c>
      <c r="H364" s="12" t="n">
        <f aca="false">SUMIFS(ШТАТ_ПО_ЧАСАМ!$C$11:$C$115,ШТАТ_ПО_ЧАСАМ!$A$11:$A$115,A364,ШТАТ_ПО_ЧАСАМ!$B$11:$B$115,B364)</f>
        <v>1</v>
      </c>
      <c r="I364" s="12" t="n">
        <f aca="false">MIN(H364,1)*ПАРАМЕТРЫ!E21</f>
        <v>10</v>
      </c>
      <c r="J364" s="12" t="n">
        <f aca="false">MIN(G364,I364)</f>
        <v>10</v>
      </c>
      <c r="K364" s="12" t="n">
        <f aca="false">MAX(F364-J364,0)</f>
        <v>0</v>
      </c>
      <c r="L364" s="12" t="n">
        <f aca="false">IF(J364=0,0,F364/J364)</f>
        <v>0.11264</v>
      </c>
      <c r="M364" s="11" t="str">
        <f aca="false">IF(K364&gt;0,"BLOCKED","PASS")</f>
        <v>PASS</v>
      </c>
      <c r="N364" s="11" t="s">
        <v>233</v>
      </c>
    </row>
    <row r="365" customFormat="false" ht="23.85" hidden="false" customHeight="false" outlineLevel="0" collapsed="false">
      <c r="A365" s="11" t="s">
        <v>109</v>
      </c>
      <c r="B365" s="11" t="s">
        <v>138</v>
      </c>
      <c r="C365" s="11" t="s">
        <v>80</v>
      </c>
      <c r="D365" s="11" t="s">
        <v>81</v>
      </c>
      <c r="E365" s="11" t="s">
        <v>82</v>
      </c>
      <c r="F365" s="12" t="n">
        <f aca="false">SUMIFS(СПРОС_ДЕНЬ_ЧАС_МЕНЮ!$I$11:$I$3265,СПРОС_ДЕНЬ_ЧАС_МЕНЮ!$A$11:$A$3265,A365,СПРОС_ДЕНЬ_ЧАС_МЕНЮ!$B$11:$B$3265,B365,СПРОС_ДЕНЬ_ЧАС_МЕНЮ!$F$11:$F$3265,C365)</f>
        <v>3.7675</v>
      </c>
      <c r="G365" s="12" t="n">
        <f aca="false">ПАРАМЕТРЫ!D22</f>
        <v>16</v>
      </c>
      <c r="H365" s="12" t="n">
        <f aca="false">SUMIFS(ШТАТ_ПО_ЧАСАМ!$C$11:$C$115,ШТАТ_ПО_ЧАСАМ!$A$11:$A$115,A365,ШТАТ_ПО_ЧАСАМ!$B$11:$B$115,B365)</f>
        <v>1</v>
      </c>
      <c r="I365" s="12" t="n">
        <f aca="false">MIN(H365,1)*ПАРАМЕТРЫ!E22</f>
        <v>16</v>
      </c>
      <c r="J365" s="12" t="n">
        <f aca="false">MIN(G365,I365)</f>
        <v>16</v>
      </c>
      <c r="K365" s="12" t="n">
        <f aca="false">MAX(F365-J365,0)</f>
        <v>0</v>
      </c>
      <c r="L365" s="12" t="n">
        <f aca="false">IF(J365=0,0,F365/J365)</f>
        <v>0.23546875</v>
      </c>
      <c r="M365" s="11" t="str">
        <f aca="false">IF(K365&gt;0,"BLOCKED","PASS")</f>
        <v>PASS</v>
      </c>
      <c r="N365" s="11" t="s">
        <v>233</v>
      </c>
    </row>
    <row r="366" customFormat="false" ht="23.85" hidden="false" customHeight="false" outlineLevel="0" collapsed="false">
      <c r="A366" s="11" t="s">
        <v>109</v>
      </c>
      <c r="B366" s="11" t="s">
        <v>138</v>
      </c>
      <c r="C366" s="11" t="s">
        <v>83</v>
      </c>
      <c r="D366" s="11" t="s">
        <v>84</v>
      </c>
      <c r="E366" s="11" t="s">
        <v>83</v>
      </c>
      <c r="F366" s="12" t="n">
        <f aca="false">SUMIFS(СПРОС_ДЕНЬ_ЧАС_МЕНЮ!$I$11:$I$3265,СПРОС_ДЕНЬ_ЧАС_МЕНЮ!$A$11:$A$3265,A366,СПРОС_ДЕНЬ_ЧАС_МЕНЮ!$B$11:$B$3265,B366,СПРОС_ДЕНЬ_ЧАС_МЕНЮ!$F$11:$F$3265,C366)</f>
        <v>6.2975</v>
      </c>
      <c r="G366" s="12" t="n">
        <f aca="false">ПАРАМЕТРЫ!D23</f>
        <v>21</v>
      </c>
      <c r="H366" s="12" t="n">
        <f aca="false">SUMIFS(ШТАТ_ПО_ЧАСАМ!$C$11:$C$115,ШТАТ_ПО_ЧАСАМ!$A$11:$A$115,A366,ШТАТ_ПО_ЧАСАМ!$B$11:$B$115,B366)</f>
        <v>1</v>
      </c>
      <c r="I366" s="12" t="n">
        <f aca="false">MIN(H366,1)*ПАРАМЕТРЫ!E23</f>
        <v>21</v>
      </c>
      <c r="J366" s="12" t="n">
        <f aca="false">MIN(G366,I366)</f>
        <v>21</v>
      </c>
      <c r="K366" s="12" t="n">
        <f aca="false">MAX(F366-J366,0)</f>
        <v>0</v>
      </c>
      <c r="L366" s="12" t="n">
        <f aca="false">IF(J366=0,0,F366/J366)</f>
        <v>0.299880952380952</v>
      </c>
      <c r="M366" s="11" t="str">
        <f aca="false">IF(K366&gt;0,"BLOCKED","PASS")</f>
        <v>PASS</v>
      </c>
      <c r="N366" s="11" t="s">
        <v>233</v>
      </c>
    </row>
    <row r="367" customFormat="false" ht="23.85" hidden="false" customHeight="false" outlineLevel="0" collapsed="false">
      <c r="A367" s="11" t="s">
        <v>109</v>
      </c>
      <c r="B367" s="11" t="s">
        <v>138</v>
      </c>
      <c r="C367" s="11" t="s">
        <v>85</v>
      </c>
      <c r="D367" s="11" t="s">
        <v>86</v>
      </c>
      <c r="E367" s="11" t="s">
        <v>87</v>
      </c>
      <c r="F367" s="12" t="n">
        <f aca="false">SUMIFS(СПРОС_ДЕНЬ_ЧАС_МЕНЮ!$I$11:$I$3265,СПРОС_ДЕНЬ_ЧАС_МЕНЮ!$A$11:$A$3265,A367,СПРОС_ДЕНЬ_ЧАС_МЕНЮ!$B$11:$B$3265,B367,СПРОС_ДЕНЬ_ЧАС_МЕНЮ!$F$11:$F$3265,C367)</f>
        <v>3.1671475</v>
      </c>
      <c r="G367" s="12" t="n">
        <f aca="false">ПАРАМЕТРЫ!D24</f>
        <v>12</v>
      </c>
      <c r="H367" s="12" t="n">
        <f aca="false">SUMIFS(ШТАТ_ПО_ЧАСАМ!$C$11:$C$115,ШТАТ_ПО_ЧАСАМ!$A$11:$A$115,A367,ШТАТ_ПО_ЧАСАМ!$B$11:$B$115,B367)</f>
        <v>1</v>
      </c>
      <c r="I367" s="12" t="n">
        <f aca="false">MIN(H367,1)*ПАРАМЕТРЫ!E24</f>
        <v>12</v>
      </c>
      <c r="J367" s="12" t="n">
        <f aca="false">MIN(G367,I367)</f>
        <v>12</v>
      </c>
      <c r="K367" s="12" t="n">
        <f aca="false">MAX(F367-J367,0)</f>
        <v>0</v>
      </c>
      <c r="L367" s="12" t="n">
        <f aca="false">IF(J367=0,0,F367/J367)</f>
        <v>0.263928958333333</v>
      </c>
      <c r="M367" s="11" t="str">
        <f aca="false">IF(K367&gt;0,"BLOCKED","PASS")</f>
        <v>PASS</v>
      </c>
      <c r="N367" s="11" t="s">
        <v>233</v>
      </c>
    </row>
    <row r="368" customFormat="false" ht="23.85" hidden="false" customHeight="false" outlineLevel="0" collapsed="false">
      <c r="A368" s="11" t="s">
        <v>109</v>
      </c>
      <c r="B368" s="11" t="s">
        <v>138</v>
      </c>
      <c r="C368" s="11" t="s">
        <v>88</v>
      </c>
      <c r="D368" s="11" t="s">
        <v>89</v>
      </c>
      <c r="E368" s="11" t="s">
        <v>90</v>
      </c>
      <c r="F368" s="12" t="n">
        <f aca="false">SUMIFS(СПРОС_ДЕНЬ_ЧАС_МЕНЮ!$I$11:$I$3265,СПРОС_ДЕНЬ_ЧАС_МЕНЮ!$A$11:$A$3265,A368,СПРОС_ДЕНЬ_ЧАС_МЕНЮ!$B$11:$B$3265,B368,СПРОС_ДЕНЬ_ЧАС_МЕНЮ!$F$11:$F$3265,C368)</f>
        <v>0</v>
      </c>
      <c r="G368" s="12" t="n">
        <f aca="false">ПАРАМЕТРЫ!D25</f>
        <v>15</v>
      </c>
      <c r="H368" s="12" t="n">
        <f aca="false">SUMIFS(ШТАТ_ПО_ЧАСАМ!$C$11:$C$115,ШТАТ_ПО_ЧАСАМ!$A$11:$A$115,A368,ШТАТ_ПО_ЧАСАМ!$B$11:$B$115,B368)</f>
        <v>1</v>
      </c>
      <c r="I368" s="12" t="n">
        <f aca="false">MIN(H368,1)*ПАРАМЕТРЫ!E25</f>
        <v>10</v>
      </c>
      <c r="J368" s="12" t="n">
        <f aca="false">MIN(G368,I368)</f>
        <v>10</v>
      </c>
      <c r="K368" s="12" t="n">
        <f aca="false">MAX(F368-J368,0)</f>
        <v>0</v>
      </c>
      <c r="L368" s="12" t="n">
        <f aca="false">IF(J368=0,0,F368/J368)</f>
        <v>0</v>
      </c>
      <c r="M368" s="11" t="str">
        <f aca="false">IF(K368&gt;0,"BLOCKED","PASS")</f>
        <v>PASS</v>
      </c>
      <c r="N368" s="11" t="s">
        <v>233</v>
      </c>
    </row>
    <row r="369" customFormat="false" ht="23.85" hidden="false" customHeight="false" outlineLevel="0" collapsed="false">
      <c r="A369" s="11" t="s">
        <v>109</v>
      </c>
      <c r="B369" s="11" t="s">
        <v>138</v>
      </c>
      <c r="C369" s="11" t="s">
        <v>91</v>
      </c>
      <c r="D369" s="11" t="s">
        <v>92</v>
      </c>
      <c r="E369" s="11" t="s">
        <v>79</v>
      </c>
      <c r="F369" s="12" t="n">
        <f aca="false">SUMIFS(СПРОС_ДЕНЬ_ЧАС_МЕНЮ!$I$11:$I$3265,СПРОС_ДЕНЬ_ЧАС_МЕНЮ!$A$11:$A$3265,A369,СПРОС_ДЕНЬ_ЧАС_МЕНЮ!$B$11:$B$3265,B369,СПРОС_ДЕНЬ_ЧАС_МЕНЮ!$F$11:$F$3265,C369)</f>
        <v>0.935</v>
      </c>
      <c r="G369" s="12" t="n">
        <f aca="false">ПАРАМЕТРЫ!D26</f>
        <v>20</v>
      </c>
      <c r="H369" s="12" t="n">
        <f aca="false">SUMIFS(ШТАТ_ПО_ЧАСАМ!$C$11:$C$115,ШТАТ_ПО_ЧАСАМ!$A$11:$A$115,A369,ШТАТ_ПО_ЧАСАМ!$B$11:$B$115,B369)</f>
        <v>1</v>
      </c>
      <c r="I369" s="12" t="n">
        <f aca="false">MIN(H369,1)*ПАРАМЕТРЫ!E26</f>
        <v>10</v>
      </c>
      <c r="J369" s="12" t="n">
        <f aca="false">MIN(G369,I369)</f>
        <v>10</v>
      </c>
      <c r="K369" s="12" t="n">
        <f aca="false">MAX(F369-J369,0)</f>
        <v>0</v>
      </c>
      <c r="L369" s="12" t="n">
        <f aca="false">IF(J369=0,0,F369/J369)</f>
        <v>0.0935</v>
      </c>
      <c r="M369" s="11" t="str">
        <f aca="false">IF(K369&gt;0,"BLOCKED","PASS")</f>
        <v>PASS</v>
      </c>
      <c r="N369" s="11" t="s">
        <v>233</v>
      </c>
    </row>
    <row r="370" customFormat="false" ht="15" hidden="false" customHeight="false" outlineLevel="0" collapsed="false">
      <c r="A370" s="11" t="s">
        <v>109</v>
      </c>
      <c r="B370" s="11" t="s">
        <v>138</v>
      </c>
      <c r="C370" s="11" t="s">
        <v>93</v>
      </c>
      <c r="D370" s="11" t="s">
        <v>234</v>
      </c>
      <c r="E370" s="11" t="s">
        <v>95</v>
      </c>
      <c r="F370" s="12" t="n">
        <f aca="false">SUMIFS(СПРОС_ДЕНЬ_ЧАС_МЕНЮ!$I$11:$I$3265,СПРОС_ДЕНЬ_ЧАС_МЕНЮ!$A$11:$A$3265,A370,СПРОС_ДЕНЬ_ЧАС_МЕНЮ!$B$11:$B$3265,B370)</f>
        <v>17.7575475</v>
      </c>
      <c r="G370" s="12" t="n">
        <f aca="false">ПАРАМЕТРЫ!D27</f>
        <v>60</v>
      </c>
      <c r="H370" s="12" t="n">
        <f aca="false">SUMIFS(ШТАТ_ПО_ЧАСАМ!$C$11:$C$115,ШТАТ_ПО_ЧАСАМ!$A$11:$A$115,A370,ШТАТ_ПО_ЧАСАМ!$B$11:$B$115,B370)</f>
        <v>1</v>
      </c>
      <c r="I370" s="12" t="n">
        <f aca="false">H370*ПАРАМЕТРЫ!E27</f>
        <v>16.6666666666667</v>
      </c>
      <c r="J370" s="12" t="n">
        <f aca="false">MIN(G370,I370)</f>
        <v>16.6666666666667</v>
      </c>
      <c r="K370" s="12" t="n">
        <f aca="false">MAX(F370-J370,0)</f>
        <v>1.09088083333334</v>
      </c>
      <c r="L370" s="12" t="n">
        <f aca="false">IF(J370=0,0,F370/J370)</f>
        <v>1.06545285</v>
      </c>
      <c r="M370" s="11" t="str">
        <f aca="false">IF(K370&gt;0,"BLOCKED","PASS")</f>
        <v>BLOCKED</v>
      </c>
      <c r="N370" s="11" t="s">
        <v>235</v>
      </c>
    </row>
    <row r="371" customFormat="false" ht="23.85" hidden="false" customHeight="false" outlineLevel="0" collapsed="false">
      <c r="A371" s="11" t="s">
        <v>110</v>
      </c>
      <c r="B371" s="11" t="s">
        <v>124</v>
      </c>
      <c r="C371" s="11" t="s">
        <v>73</v>
      </c>
      <c r="D371" s="11" t="s">
        <v>74</v>
      </c>
      <c r="E371" s="11" t="s">
        <v>75</v>
      </c>
      <c r="F371" s="12" t="n">
        <f aca="false">SUMIFS(СПРОС_ДЕНЬ_ЧАС_МЕНЮ!$I$11:$I$3265,СПРОС_ДЕНЬ_ЧАС_МЕНЮ!$A$11:$A$3265,A371,СПРОС_ДЕНЬ_ЧАС_МЕНЮ!$B$11:$B$3265,B371,СПРОС_ДЕНЬ_ЧАС_МЕНЮ!$F$11:$F$3265,C371)</f>
        <v>0</v>
      </c>
      <c r="G371" s="12" t="n">
        <f aca="false">ПАРАМЕТРЫ!D20</f>
        <v>25</v>
      </c>
      <c r="H371" s="12" t="n">
        <f aca="false">SUMIFS(ШТАТ_ПО_ЧАСАМ!$C$11:$C$115,ШТАТ_ПО_ЧАСАМ!$A$11:$A$115,A371,ШТАТ_ПО_ЧАСАМ!$B$11:$B$115,B371)</f>
        <v>1</v>
      </c>
      <c r="I371" s="12" t="n">
        <f aca="false">MIN(H371,1)*ПАРАМЕТРЫ!E20</f>
        <v>10</v>
      </c>
      <c r="J371" s="12" t="n">
        <f aca="false">MIN(G371,I371)</f>
        <v>10</v>
      </c>
      <c r="K371" s="12" t="n">
        <f aca="false">MAX(F371-J371,0)</f>
        <v>0</v>
      </c>
      <c r="L371" s="12" t="n">
        <f aca="false">IF(J371=0,0,F371/J371)</f>
        <v>0</v>
      </c>
      <c r="M371" s="11" t="str">
        <f aca="false">IF(K371&gt;0,"BLOCKED","PASS")</f>
        <v>PASS</v>
      </c>
      <c r="N371" s="11" t="s">
        <v>233</v>
      </c>
    </row>
    <row r="372" customFormat="false" ht="23.85" hidden="false" customHeight="false" outlineLevel="0" collapsed="false">
      <c r="A372" s="11" t="s">
        <v>110</v>
      </c>
      <c r="B372" s="11" t="s">
        <v>124</v>
      </c>
      <c r="C372" s="11" t="s">
        <v>77</v>
      </c>
      <c r="D372" s="11" t="s">
        <v>78</v>
      </c>
      <c r="E372" s="11" t="s">
        <v>79</v>
      </c>
      <c r="F372" s="12" t="n">
        <f aca="false">SUMIFS(СПРОС_ДЕНЬ_ЧАС_МЕНЮ!$I$11:$I$3265,СПРОС_ДЕНЬ_ЧАС_МЕНЮ!$A$11:$A$3265,A372,СПРОС_ДЕНЬ_ЧАС_МЕНЮ!$B$11:$B$3265,B372,СПРОС_ДЕНЬ_ЧАС_МЕНЮ!$F$11:$F$3265,C372)</f>
        <v>0.396</v>
      </c>
      <c r="G372" s="12" t="n">
        <f aca="false">ПАРАМЕТРЫ!D21</f>
        <v>20</v>
      </c>
      <c r="H372" s="12" t="n">
        <f aca="false">SUMIFS(ШТАТ_ПО_ЧАСАМ!$C$11:$C$115,ШТАТ_ПО_ЧАСАМ!$A$11:$A$115,A372,ШТАТ_ПО_ЧАСАМ!$B$11:$B$115,B372)</f>
        <v>1</v>
      </c>
      <c r="I372" s="12" t="n">
        <f aca="false">MIN(H372,1)*ПАРАМЕТРЫ!E21</f>
        <v>10</v>
      </c>
      <c r="J372" s="12" t="n">
        <f aca="false">MIN(G372,I372)</f>
        <v>10</v>
      </c>
      <c r="K372" s="12" t="n">
        <f aca="false">MAX(F372-J372,0)</f>
        <v>0</v>
      </c>
      <c r="L372" s="12" t="n">
        <f aca="false">IF(J372=0,0,F372/J372)</f>
        <v>0.0396</v>
      </c>
      <c r="M372" s="11" t="str">
        <f aca="false">IF(K372&gt;0,"BLOCKED","PASS")</f>
        <v>PASS</v>
      </c>
      <c r="N372" s="11" t="s">
        <v>233</v>
      </c>
    </row>
    <row r="373" customFormat="false" ht="23.85" hidden="false" customHeight="false" outlineLevel="0" collapsed="false">
      <c r="A373" s="11" t="s">
        <v>110</v>
      </c>
      <c r="B373" s="11" t="s">
        <v>124</v>
      </c>
      <c r="C373" s="11" t="s">
        <v>80</v>
      </c>
      <c r="D373" s="11" t="s">
        <v>81</v>
      </c>
      <c r="E373" s="11" t="s">
        <v>82</v>
      </c>
      <c r="F373" s="12" t="n">
        <f aca="false">SUMIFS(СПРОС_ДЕНЬ_ЧАС_МЕНЮ!$I$11:$I$3265,СПРОС_ДЕНЬ_ЧАС_МЕНЮ!$A$11:$A$3265,A373,СПРОС_ДЕНЬ_ЧАС_МЕНЮ!$B$11:$B$3265,B373,СПРОС_ДЕНЬ_ЧАС_МЕНЮ!$F$11:$F$3265,C373)</f>
        <v>0</v>
      </c>
      <c r="G373" s="12" t="n">
        <f aca="false">ПАРАМЕТРЫ!D22</f>
        <v>16</v>
      </c>
      <c r="H373" s="12" t="n">
        <f aca="false">SUMIFS(ШТАТ_ПО_ЧАСАМ!$C$11:$C$115,ШТАТ_ПО_ЧАСАМ!$A$11:$A$115,A373,ШТАТ_ПО_ЧАСАМ!$B$11:$B$115,B373)</f>
        <v>1</v>
      </c>
      <c r="I373" s="12" t="n">
        <f aca="false">MIN(H373,1)*ПАРАМЕТРЫ!E22</f>
        <v>16</v>
      </c>
      <c r="J373" s="12" t="n">
        <f aca="false">MIN(G373,I373)</f>
        <v>16</v>
      </c>
      <c r="K373" s="12" t="n">
        <f aca="false">MAX(F373-J373,0)</f>
        <v>0</v>
      </c>
      <c r="L373" s="12" t="n">
        <f aca="false">IF(J373=0,0,F373/J373)</f>
        <v>0</v>
      </c>
      <c r="M373" s="11" t="str">
        <f aca="false">IF(K373&gt;0,"BLOCKED","PASS")</f>
        <v>PASS</v>
      </c>
      <c r="N373" s="11" t="s">
        <v>233</v>
      </c>
    </row>
    <row r="374" customFormat="false" ht="23.85" hidden="false" customHeight="false" outlineLevel="0" collapsed="false">
      <c r="A374" s="11" t="s">
        <v>110</v>
      </c>
      <c r="B374" s="11" t="s">
        <v>124</v>
      </c>
      <c r="C374" s="11" t="s">
        <v>83</v>
      </c>
      <c r="D374" s="11" t="s">
        <v>84</v>
      </c>
      <c r="E374" s="11" t="s">
        <v>83</v>
      </c>
      <c r="F374" s="12" t="n">
        <f aca="false">SUMIFS(СПРОС_ДЕНЬ_ЧАС_МЕНЮ!$I$11:$I$3265,СПРОС_ДЕНЬ_ЧАС_МЕНЮ!$A$11:$A$3265,A374,СПРОС_ДЕНЬ_ЧАС_МЕНЮ!$B$11:$B$3265,B374,СПРОС_ДЕНЬ_ЧАС_МЕНЮ!$F$11:$F$3265,C374)</f>
        <v>0</v>
      </c>
      <c r="G374" s="12" t="n">
        <f aca="false">ПАРАМЕТРЫ!D23</f>
        <v>21</v>
      </c>
      <c r="H374" s="12" t="n">
        <f aca="false">SUMIFS(ШТАТ_ПО_ЧАСАМ!$C$11:$C$115,ШТАТ_ПО_ЧАСАМ!$A$11:$A$115,A374,ШТАТ_ПО_ЧАСАМ!$B$11:$B$115,B374)</f>
        <v>1</v>
      </c>
      <c r="I374" s="12" t="n">
        <f aca="false">MIN(H374,1)*ПАРАМЕТРЫ!E23</f>
        <v>21</v>
      </c>
      <c r="J374" s="12" t="n">
        <f aca="false">MIN(G374,I374)</f>
        <v>21</v>
      </c>
      <c r="K374" s="12" t="n">
        <f aca="false">MAX(F374-J374,0)</f>
        <v>0</v>
      </c>
      <c r="L374" s="12" t="n">
        <f aca="false">IF(J374=0,0,F374/J374)</f>
        <v>0</v>
      </c>
      <c r="M374" s="11" t="str">
        <f aca="false">IF(K374&gt;0,"BLOCKED","PASS")</f>
        <v>PASS</v>
      </c>
      <c r="N374" s="11" t="s">
        <v>233</v>
      </c>
    </row>
    <row r="375" customFormat="false" ht="23.85" hidden="false" customHeight="false" outlineLevel="0" collapsed="false">
      <c r="A375" s="11" t="s">
        <v>110</v>
      </c>
      <c r="B375" s="11" t="s">
        <v>124</v>
      </c>
      <c r="C375" s="11" t="s">
        <v>85</v>
      </c>
      <c r="D375" s="11" t="s">
        <v>86</v>
      </c>
      <c r="E375" s="11" t="s">
        <v>87</v>
      </c>
      <c r="F375" s="12" t="n">
        <f aca="false">SUMIFS(СПРОС_ДЕНЬ_ЧАС_МЕНЮ!$I$11:$I$3265,СПРОС_ДЕНЬ_ЧАС_МЕНЮ!$A$11:$A$3265,A375,СПРОС_ДЕНЬ_ЧАС_МЕНЮ!$B$11:$B$3265,B375,СПРОС_ДЕНЬ_ЧАС_МЕНЮ!$F$11:$F$3265,C375)</f>
        <v>0</v>
      </c>
      <c r="G375" s="12" t="n">
        <f aca="false">ПАРАМЕТРЫ!D24</f>
        <v>12</v>
      </c>
      <c r="H375" s="12" t="n">
        <f aca="false">SUMIFS(ШТАТ_ПО_ЧАСАМ!$C$11:$C$115,ШТАТ_ПО_ЧАСАМ!$A$11:$A$115,A375,ШТАТ_ПО_ЧАСАМ!$B$11:$B$115,B375)</f>
        <v>1</v>
      </c>
      <c r="I375" s="12" t="n">
        <f aca="false">MIN(H375,1)*ПАРАМЕТРЫ!E24</f>
        <v>12</v>
      </c>
      <c r="J375" s="12" t="n">
        <f aca="false">MIN(G375,I375)</f>
        <v>12</v>
      </c>
      <c r="K375" s="12" t="n">
        <f aca="false">MAX(F375-J375,0)</f>
        <v>0</v>
      </c>
      <c r="L375" s="12" t="n">
        <f aca="false">IF(J375=0,0,F375/J375)</f>
        <v>0</v>
      </c>
      <c r="M375" s="11" t="str">
        <f aca="false">IF(K375&gt;0,"BLOCKED","PASS")</f>
        <v>PASS</v>
      </c>
      <c r="N375" s="11" t="s">
        <v>233</v>
      </c>
    </row>
    <row r="376" customFormat="false" ht="23.85" hidden="false" customHeight="false" outlineLevel="0" collapsed="false">
      <c r="A376" s="11" t="s">
        <v>110</v>
      </c>
      <c r="B376" s="11" t="s">
        <v>124</v>
      </c>
      <c r="C376" s="11" t="s">
        <v>88</v>
      </c>
      <c r="D376" s="11" t="s">
        <v>89</v>
      </c>
      <c r="E376" s="11" t="s">
        <v>90</v>
      </c>
      <c r="F376" s="12" t="n">
        <f aca="false">SUMIFS(СПРОС_ДЕНЬ_ЧАС_МЕНЮ!$I$11:$I$3265,СПРОС_ДЕНЬ_ЧАС_МЕНЮ!$A$11:$A$3265,A376,СПРОС_ДЕНЬ_ЧАС_МЕНЮ!$B$11:$B$3265,B376,СПРОС_ДЕНЬ_ЧАС_МЕНЮ!$F$11:$F$3265,C376)</f>
        <v>3.3</v>
      </c>
      <c r="G376" s="12" t="n">
        <f aca="false">ПАРАМЕТРЫ!D25</f>
        <v>15</v>
      </c>
      <c r="H376" s="12" t="n">
        <f aca="false">SUMIFS(ШТАТ_ПО_ЧАСАМ!$C$11:$C$115,ШТАТ_ПО_ЧАСАМ!$A$11:$A$115,A376,ШТАТ_ПО_ЧАСАМ!$B$11:$B$115,B376)</f>
        <v>1</v>
      </c>
      <c r="I376" s="12" t="n">
        <f aca="false">MIN(H376,1)*ПАРАМЕТРЫ!E25</f>
        <v>10</v>
      </c>
      <c r="J376" s="12" t="n">
        <f aca="false">MIN(G376,I376)</f>
        <v>10</v>
      </c>
      <c r="K376" s="12" t="n">
        <f aca="false">MAX(F376-J376,0)</f>
        <v>0</v>
      </c>
      <c r="L376" s="12" t="n">
        <f aca="false">IF(J376=0,0,F376/J376)</f>
        <v>0.33</v>
      </c>
      <c r="M376" s="11" t="str">
        <f aca="false">IF(K376&gt;0,"BLOCKED","PASS")</f>
        <v>PASS</v>
      </c>
      <c r="N376" s="11" t="s">
        <v>233</v>
      </c>
    </row>
    <row r="377" customFormat="false" ht="23.85" hidden="false" customHeight="false" outlineLevel="0" collapsed="false">
      <c r="A377" s="11" t="s">
        <v>110</v>
      </c>
      <c r="B377" s="11" t="s">
        <v>124</v>
      </c>
      <c r="C377" s="11" t="s">
        <v>91</v>
      </c>
      <c r="D377" s="11" t="s">
        <v>92</v>
      </c>
      <c r="E377" s="11" t="s">
        <v>79</v>
      </c>
      <c r="F377" s="12" t="n">
        <f aca="false">SUMIFS(СПРОС_ДЕНЬ_ЧАС_МЕНЮ!$I$11:$I$3265,СПРОС_ДЕНЬ_ЧАС_МЕНЮ!$A$11:$A$3265,A377,СПРОС_ДЕНЬ_ЧАС_МЕНЮ!$B$11:$B$3265,B377,СПРОС_ДЕНЬ_ЧАС_МЕНЮ!$F$11:$F$3265,C377)</f>
        <v>0.198</v>
      </c>
      <c r="G377" s="12" t="n">
        <f aca="false">ПАРАМЕТРЫ!D26</f>
        <v>20</v>
      </c>
      <c r="H377" s="12" t="n">
        <f aca="false">SUMIFS(ШТАТ_ПО_ЧАСАМ!$C$11:$C$115,ШТАТ_ПО_ЧАСАМ!$A$11:$A$115,A377,ШТАТ_ПО_ЧАСАМ!$B$11:$B$115,B377)</f>
        <v>1</v>
      </c>
      <c r="I377" s="12" t="n">
        <f aca="false">MIN(H377,1)*ПАРАМЕТРЫ!E26</f>
        <v>10</v>
      </c>
      <c r="J377" s="12" t="n">
        <f aca="false">MIN(G377,I377)</f>
        <v>10</v>
      </c>
      <c r="K377" s="12" t="n">
        <f aca="false">MAX(F377-J377,0)</f>
        <v>0</v>
      </c>
      <c r="L377" s="12" t="n">
        <f aca="false">IF(J377=0,0,F377/J377)</f>
        <v>0.0198</v>
      </c>
      <c r="M377" s="11" t="str">
        <f aca="false">IF(K377&gt;0,"BLOCKED","PASS")</f>
        <v>PASS</v>
      </c>
      <c r="N377" s="11" t="s">
        <v>233</v>
      </c>
    </row>
    <row r="378" customFormat="false" ht="15" hidden="false" customHeight="false" outlineLevel="0" collapsed="false">
      <c r="A378" s="11" t="s">
        <v>110</v>
      </c>
      <c r="B378" s="11" t="s">
        <v>124</v>
      </c>
      <c r="C378" s="11" t="s">
        <v>93</v>
      </c>
      <c r="D378" s="11" t="s">
        <v>234</v>
      </c>
      <c r="E378" s="11" t="s">
        <v>95</v>
      </c>
      <c r="F378" s="12" t="n">
        <f aca="false">SUMIFS(СПРОС_ДЕНЬ_ЧАС_МЕНЮ!$I$11:$I$3265,СПРОС_ДЕНЬ_ЧАС_МЕНЮ!$A$11:$A$3265,A378,СПРОС_ДЕНЬ_ЧАС_МЕНЮ!$B$11:$B$3265,B378)</f>
        <v>3.894</v>
      </c>
      <c r="G378" s="12" t="n">
        <f aca="false">ПАРАМЕТРЫ!D27</f>
        <v>60</v>
      </c>
      <c r="H378" s="12" t="n">
        <f aca="false">SUMIFS(ШТАТ_ПО_ЧАСАМ!$C$11:$C$115,ШТАТ_ПО_ЧАСАМ!$A$11:$A$115,A378,ШТАТ_ПО_ЧАСАМ!$B$11:$B$115,B378)</f>
        <v>1</v>
      </c>
      <c r="I378" s="12" t="n">
        <f aca="false">H378*ПАРАМЕТРЫ!E27</f>
        <v>16.6666666666667</v>
      </c>
      <c r="J378" s="12" t="n">
        <f aca="false">MIN(G378,I378)</f>
        <v>16.6666666666667</v>
      </c>
      <c r="K378" s="12" t="n">
        <f aca="false">MAX(F378-J378,0)</f>
        <v>0</v>
      </c>
      <c r="L378" s="12" t="n">
        <f aca="false">IF(J378=0,0,F378/J378)</f>
        <v>0.23364</v>
      </c>
      <c r="M378" s="11" t="str">
        <f aca="false">IF(K378&gt;0,"BLOCKED","PASS")</f>
        <v>PASS</v>
      </c>
      <c r="N378" s="11" t="s">
        <v>235</v>
      </c>
    </row>
    <row r="379" customFormat="false" ht="23.85" hidden="false" customHeight="false" outlineLevel="0" collapsed="false">
      <c r="A379" s="11" t="s">
        <v>110</v>
      </c>
      <c r="B379" s="11" t="s">
        <v>125</v>
      </c>
      <c r="C379" s="11" t="s">
        <v>73</v>
      </c>
      <c r="D379" s="11" t="s">
        <v>74</v>
      </c>
      <c r="E379" s="11" t="s">
        <v>75</v>
      </c>
      <c r="F379" s="12" t="n">
        <f aca="false">SUMIFS(СПРОС_ДЕНЬ_ЧАС_МЕНЮ!$I$11:$I$3265,СПРОС_ДЕНЬ_ЧАС_МЕНЮ!$A$11:$A$3265,A379,СПРОС_ДЕНЬ_ЧАС_МЕНЮ!$B$11:$B$3265,B379,СПРОС_ДЕНЬ_ЧАС_МЕНЮ!$F$11:$F$3265,C379)</f>
        <v>0</v>
      </c>
      <c r="G379" s="12" t="n">
        <f aca="false">ПАРАМЕТРЫ!D20</f>
        <v>25</v>
      </c>
      <c r="H379" s="12" t="n">
        <f aca="false">SUMIFS(ШТАТ_ПО_ЧАСАМ!$C$11:$C$115,ШТАТ_ПО_ЧАСАМ!$A$11:$A$115,A379,ШТАТ_ПО_ЧАСАМ!$B$11:$B$115,B379)</f>
        <v>1</v>
      </c>
      <c r="I379" s="12" t="n">
        <f aca="false">MIN(H379,1)*ПАРАМЕТРЫ!E20</f>
        <v>10</v>
      </c>
      <c r="J379" s="12" t="n">
        <f aca="false">MIN(G379,I379)</f>
        <v>10</v>
      </c>
      <c r="K379" s="12" t="n">
        <f aca="false">MAX(F379-J379,0)</f>
        <v>0</v>
      </c>
      <c r="L379" s="12" t="n">
        <f aca="false">IF(J379=0,0,F379/J379)</f>
        <v>0</v>
      </c>
      <c r="M379" s="11" t="str">
        <f aca="false">IF(K379&gt;0,"BLOCKED","PASS")</f>
        <v>PASS</v>
      </c>
      <c r="N379" s="11" t="s">
        <v>233</v>
      </c>
    </row>
    <row r="380" customFormat="false" ht="23.85" hidden="false" customHeight="false" outlineLevel="0" collapsed="false">
      <c r="A380" s="11" t="s">
        <v>110</v>
      </c>
      <c r="B380" s="11" t="s">
        <v>125</v>
      </c>
      <c r="C380" s="11" t="s">
        <v>77</v>
      </c>
      <c r="D380" s="11" t="s">
        <v>78</v>
      </c>
      <c r="E380" s="11" t="s">
        <v>79</v>
      </c>
      <c r="F380" s="12" t="n">
        <f aca="false">SUMIFS(СПРОС_ДЕНЬ_ЧАС_МЕНЮ!$I$11:$I$3265,СПРОС_ДЕНЬ_ЧАС_МЕНЮ!$A$11:$A$3265,A380,СПРОС_ДЕНЬ_ЧАС_МЕНЮ!$B$11:$B$3265,B380,СПРОС_ДЕНЬ_ЧАС_МЕНЮ!$F$11:$F$3265,C380)</f>
        <v>0.66</v>
      </c>
      <c r="G380" s="12" t="n">
        <f aca="false">ПАРАМЕТРЫ!D21</f>
        <v>20</v>
      </c>
      <c r="H380" s="12" t="n">
        <f aca="false">SUMIFS(ШТАТ_ПО_ЧАСАМ!$C$11:$C$115,ШТАТ_ПО_ЧАСАМ!$A$11:$A$115,A380,ШТАТ_ПО_ЧАСАМ!$B$11:$B$115,B380)</f>
        <v>1</v>
      </c>
      <c r="I380" s="12" t="n">
        <f aca="false">MIN(H380,1)*ПАРАМЕТРЫ!E21</f>
        <v>10</v>
      </c>
      <c r="J380" s="12" t="n">
        <f aca="false">MIN(G380,I380)</f>
        <v>10</v>
      </c>
      <c r="K380" s="12" t="n">
        <f aca="false">MAX(F380-J380,0)</f>
        <v>0</v>
      </c>
      <c r="L380" s="12" t="n">
        <f aca="false">IF(J380=0,0,F380/J380)</f>
        <v>0.066</v>
      </c>
      <c r="M380" s="11" t="str">
        <f aca="false">IF(K380&gt;0,"BLOCKED","PASS")</f>
        <v>PASS</v>
      </c>
      <c r="N380" s="11" t="s">
        <v>233</v>
      </c>
    </row>
    <row r="381" customFormat="false" ht="23.85" hidden="false" customHeight="false" outlineLevel="0" collapsed="false">
      <c r="A381" s="11" t="s">
        <v>110</v>
      </c>
      <c r="B381" s="11" t="s">
        <v>125</v>
      </c>
      <c r="C381" s="11" t="s">
        <v>80</v>
      </c>
      <c r="D381" s="11" t="s">
        <v>81</v>
      </c>
      <c r="E381" s="11" t="s">
        <v>82</v>
      </c>
      <c r="F381" s="12" t="n">
        <f aca="false">SUMIFS(СПРОС_ДЕНЬ_ЧАС_МЕНЮ!$I$11:$I$3265,СПРОС_ДЕНЬ_ЧАС_МЕНЮ!$A$11:$A$3265,A381,СПРОС_ДЕНЬ_ЧАС_МЕНЮ!$B$11:$B$3265,B381,СПРОС_ДЕНЬ_ЧАС_МЕНЮ!$F$11:$F$3265,C381)</f>
        <v>0</v>
      </c>
      <c r="G381" s="12" t="n">
        <f aca="false">ПАРАМЕТРЫ!D22</f>
        <v>16</v>
      </c>
      <c r="H381" s="12" t="n">
        <f aca="false">SUMIFS(ШТАТ_ПО_ЧАСАМ!$C$11:$C$115,ШТАТ_ПО_ЧАСАМ!$A$11:$A$115,A381,ШТАТ_ПО_ЧАСАМ!$B$11:$B$115,B381)</f>
        <v>1</v>
      </c>
      <c r="I381" s="12" t="n">
        <f aca="false">MIN(H381,1)*ПАРАМЕТРЫ!E22</f>
        <v>16</v>
      </c>
      <c r="J381" s="12" t="n">
        <f aca="false">MIN(G381,I381)</f>
        <v>16</v>
      </c>
      <c r="K381" s="12" t="n">
        <f aca="false">MAX(F381-J381,0)</f>
        <v>0</v>
      </c>
      <c r="L381" s="12" t="n">
        <f aca="false">IF(J381=0,0,F381/J381)</f>
        <v>0</v>
      </c>
      <c r="M381" s="11" t="str">
        <f aca="false">IF(K381&gt;0,"BLOCKED","PASS")</f>
        <v>PASS</v>
      </c>
      <c r="N381" s="11" t="s">
        <v>233</v>
      </c>
    </row>
    <row r="382" customFormat="false" ht="23.85" hidden="false" customHeight="false" outlineLevel="0" collapsed="false">
      <c r="A382" s="11" t="s">
        <v>110</v>
      </c>
      <c r="B382" s="11" t="s">
        <v>125</v>
      </c>
      <c r="C382" s="11" t="s">
        <v>83</v>
      </c>
      <c r="D382" s="11" t="s">
        <v>84</v>
      </c>
      <c r="E382" s="11" t="s">
        <v>83</v>
      </c>
      <c r="F382" s="12" t="n">
        <f aca="false">SUMIFS(СПРОС_ДЕНЬ_ЧАС_МЕНЮ!$I$11:$I$3265,СПРОС_ДЕНЬ_ЧАС_МЕНЮ!$A$11:$A$3265,A382,СПРОС_ДЕНЬ_ЧАС_МЕНЮ!$B$11:$B$3265,B382,СПРОС_ДЕНЬ_ЧАС_МЕНЮ!$F$11:$F$3265,C382)</f>
        <v>0</v>
      </c>
      <c r="G382" s="12" t="n">
        <f aca="false">ПАРАМЕТРЫ!D23</f>
        <v>21</v>
      </c>
      <c r="H382" s="12" t="n">
        <f aca="false">SUMIFS(ШТАТ_ПО_ЧАСАМ!$C$11:$C$115,ШТАТ_ПО_ЧАСАМ!$A$11:$A$115,A382,ШТАТ_ПО_ЧАСАМ!$B$11:$B$115,B382)</f>
        <v>1</v>
      </c>
      <c r="I382" s="12" t="n">
        <f aca="false">MIN(H382,1)*ПАРАМЕТРЫ!E23</f>
        <v>21</v>
      </c>
      <c r="J382" s="12" t="n">
        <f aca="false">MIN(G382,I382)</f>
        <v>21</v>
      </c>
      <c r="K382" s="12" t="n">
        <f aca="false">MAX(F382-J382,0)</f>
        <v>0</v>
      </c>
      <c r="L382" s="12" t="n">
        <f aca="false">IF(J382=0,0,F382/J382)</f>
        <v>0</v>
      </c>
      <c r="M382" s="11" t="str">
        <f aca="false">IF(K382&gt;0,"BLOCKED","PASS")</f>
        <v>PASS</v>
      </c>
      <c r="N382" s="11" t="s">
        <v>233</v>
      </c>
    </row>
    <row r="383" customFormat="false" ht="23.85" hidden="false" customHeight="false" outlineLevel="0" collapsed="false">
      <c r="A383" s="11" t="s">
        <v>110</v>
      </c>
      <c r="B383" s="11" t="s">
        <v>125</v>
      </c>
      <c r="C383" s="11" t="s">
        <v>85</v>
      </c>
      <c r="D383" s="11" t="s">
        <v>86</v>
      </c>
      <c r="E383" s="11" t="s">
        <v>87</v>
      </c>
      <c r="F383" s="12" t="n">
        <f aca="false">SUMIFS(СПРОС_ДЕНЬ_ЧАС_МЕНЮ!$I$11:$I$3265,СПРОС_ДЕНЬ_ЧАС_МЕНЮ!$A$11:$A$3265,A383,СПРОС_ДЕНЬ_ЧАС_МЕНЮ!$B$11:$B$3265,B383,СПРОС_ДЕНЬ_ЧАС_МЕНЮ!$F$11:$F$3265,C383)</f>
        <v>0</v>
      </c>
      <c r="G383" s="12" t="n">
        <f aca="false">ПАРАМЕТРЫ!D24</f>
        <v>12</v>
      </c>
      <c r="H383" s="12" t="n">
        <f aca="false">SUMIFS(ШТАТ_ПО_ЧАСАМ!$C$11:$C$115,ШТАТ_ПО_ЧАСАМ!$A$11:$A$115,A383,ШТАТ_ПО_ЧАСАМ!$B$11:$B$115,B383)</f>
        <v>1</v>
      </c>
      <c r="I383" s="12" t="n">
        <f aca="false">MIN(H383,1)*ПАРАМЕТРЫ!E24</f>
        <v>12</v>
      </c>
      <c r="J383" s="12" t="n">
        <f aca="false">MIN(G383,I383)</f>
        <v>12</v>
      </c>
      <c r="K383" s="12" t="n">
        <f aca="false">MAX(F383-J383,0)</f>
        <v>0</v>
      </c>
      <c r="L383" s="12" t="n">
        <f aca="false">IF(J383=0,0,F383/J383)</f>
        <v>0</v>
      </c>
      <c r="M383" s="11" t="str">
        <f aca="false">IF(K383&gt;0,"BLOCKED","PASS")</f>
        <v>PASS</v>
      </c>
      <c r="N383" s="11" t="s">
        <v>233</v>
      </c>
    </row>
    <row r="384" customFormat="false" ht="23.85" hidden="false" customHeight="false" outlineLevel="0" collapsed="false">
      <c r="A384" s="11" t="s">
        <v>110</v>
      </c>
      <c r="B384" s="11" t="s">
        <v>125</v>
      </c>
      <c r="C384" s="11" t="s">
        <v>88</v>
      </c>
      <c r="D384" s="11" t="s">
        <v>89</v>
      </c>
      <c r="E384" s="11" t="s">
        <v>90</v>
      </c>
      <c r="F384" s="12" t="n">
        <f aca="false">SUMIFS(СПРОС_ДЕНЬ_ЧАС_МЕНЮ!$I$11:$I$3265,СПРОС_ДЕНЬ_ЧАС_МЕНЮ!$A$11:$A$3265,A384,СПРОС_ДЕНЬ_ЧАС_МЕНЮ!$B$11:$B$3265,B384,СПРОС_ДЕНЬ_ЧАС_МЕНЮ!$F$11:$F$3265,C384)</f>
        <v>7.7</v>
      </c>
      <c r="G384" s="12" t="n">
        <f aca="false">ПАРАМЕТРЫ!D25</f>
        <v>15</v>
      </c>
      <c r="H384" s="12" t="n">
        <f aca="false">SUMIFS(ШТАТ_ПО_ЧАСАМ!$C$11:$C$115,ШТАТ_ПО_ЧАСАМ!$A$11:$A$115,A384,ШТАТ_ПО_ЧАСАМ!$B$11:$B$115,B384)</f>
        <v>1</v>
      </c>
      <c r="I384" s="12" t="n">
        <f aca="false">MIN(H384,1)*ПАРАМЕТРЫ!E25</f>
        <v>10</v>
      </c>
      <c r="J384" s="12" t="n">
        <f aca="false">MIN(G384,I384)</f>
        <v>10</v>
      </c>
      <c r="K384" s="12" t="n">
        <f aca="false">MAX(F384-J384,0)</f>
        <v>0</v>
      </c>
      <c r="L384" s="12" t="n">
        <f aca="false">IF(J384=0,0,F384/J384)</f>
        <v>0.77</v>
      </c>
      <c r="M384" s="11" t="str">
        <f aca="false">IF(K384&gt;0,"BLOCKED","PASS")</f>
        <v>PASS</v>
      </c>
      <c r="N384" s="11" t="s">
        <v>233</v>
      </c>
    </row>
    <row r="385" customFormat="false" ht="23.85" hidden="false" customHeight="false" outlineLevel="0" collapsed="false">
      <c r="A385" s="11" t="s">
        <v>110</v>
      </c>
      <c r="B385" s="11" t="s">
        <v>125</v>
      </c>
      <c r="C385" s="11" t="s">
        <v>91</v>
      </c>
      <c r="D385" s="11" t="s">
        <v>92</v>
      </c>
      <c r="E385" s="11" t="s">
        <v>79</v>
      </c>
      <c r="F385" s="12" t="n">
        <f aca="false">SUMIFS(СПРОС_ДЕНЬ_ЧАС_МЕНЮ!$I$11:$I$3265,СПРОС_ДЕНЬ_ЧАС_МЕНЮ!$A$11:$A$3265,A385,СПРОС_ДЕНЬ_ЧАС_МЕНЮ!$B$11:$B$3265,B385,СПРОС_ДЕНЬ_ЧАС_МЕНЮ!$F$11:$F$3265,C385)</f>
        <v>0.33</v>
      </c>
      <c r="G385" s="12" t="n">
        <f aca="false">ПАРАМЕТРЫ!D26</f>
        <v>20</v>
      </c>
      <c r="H385" s="12" t="n">
        <f aca="false">SUMIFS(ШТАТ_ПО_ЧАСАМ!$C$11:$C$115,ШТАТ_ПО_ЧАСАМ!$A$11:$A$115,A385,ШТАТ_ПО_ЧАСАМ!$B$11:$B$115,B385)</f>
        <v>1</v>
      </c>
      <c r="I385" s="12" t="n">
        <f aca="false">MIN(H385,1)*ПАРАМЕТРЫ!E26</f>
        <v>10</v>
      </c>
      <c r="J385" s="12" t="n">
        <f aca="false">MIN(G385,I385)</f>
        <v>10</v>
      </c>
      <c r="K385" s="12" t="n">
        <f aca="false">MAX(F385-J385,0)</f>
        <v>0</v>
      </c>
      <c r="L385" s="12" t="n">
        <f aca="false">IF(J385=0,0,F385/J385)</f>
        <v>0.033</v>
      </c>
      <c r="M385" s="11" t="str">
        <f aca="false">IF(K385&gt;0,"BLOCKED","PASS")</f>
        <v>PASS</v>
      </c>
      <c r="N385" s="11" t="s">
        <v>233</v>
      </c>
    </row>
    <row r="386" customFormat="false" ht="15" hidden="false" customHeight="false" outlineLevel="0" collapsed="false">
      <c r="A386" s="11" t="s">
        <v>110</v>
      </c>
      <c r="B386" s="11" t="s">
        <v>125</v>
      </c>
      <c r="C386" s="11" t="s">
        <v>93</v>
      </c>
      <c r="D386" s="11" t="s">
        <v>234</v>
      </c>
      <c r="E386" s="11" t="s">
        <v>95</v>
      </c>
      <c r="F386" s="12" t="n">
        <f aca="false">SUMIFS(СПРОС_ДЕНЬ_ЧАС_МЕНЮ!$I$11:$I$3265,СПРОС_ДЕНЬ_ЧАС_МЕНЮ!$A$11:$A$3265,A386,СПРОС_ДЕНЬ_ЧАС_МЕНЮ!$B$11:$B$3265,B386)</f>
        <v>8.69</v>
      </c>
      <c r="G386" s="12" t="n">
        <f aca="false">ПАРАМЕТРЫ!D27</f>
        <v>60</v>
      </c>
      <c r="H386" s="12" t="n">
        <f aca="false">SUMIFS(ШТАТ_ПО_ЧАСАМ!$C$11:$C$115,ШТАТ_ПО_ЧАСАМ!$A$11:$A$115,A386,ШТАТ_ПО_ЧАСАМ!$B$11:$B$115,B386)</f>
        <v>1</v>
      </c>
      <c r="I386" s="12" t="n">
        <f aca="false">H386*ПАРАМЕТРЫ!E27</f>
        <v>16.6666666666667</v>
      </c>
      <c r="J386" s="12" t="n">
        <f aca="false">MIN(G386,I386)</f>
        <v>16.6666666666667</v>
      </c>
      <c r="K386" s="12" t="n">
        <f aca="false">MAX(F386-J386,0)</f>
        <v>0</v>
      </c>
      <c r="L386" s="12" t="n">
        <f aca="false">IF(J386=0,0,F386/J386)</f>
        <v>0.5214</v>
      </c>
      <c r="M386" s="11" t="str">
        <f aca="false">IF(K386&gt;0,"BLOCKED","PASS")</f>
        <v>PASS</v>
      </c>
      <c r="N386" s="11" t="s">
        <v>235</v>
      </c>
    </row>
    <row r="387" customFormat="false" ht="23.85" hidden="false" customHeight="false" outlineLevel="0" collapsed="false">
      <c r="A387" s="11" t="s">
        <v>110</v>
      </c>
      <c r="B387" s="11" t="s">
        <v>126</v>
      </c>
      <c r="C387" s="11" t="s">
        <v>73</v>
      </c>
      <c r="D387" s="11" t="s">
        <v>74</v>
      </c>
      <c r="E387" s="11" t="s">
        <v>75</v>
      </c>
      <c r="F387" s="12" t="n">
        <f aca="false">SUMIFS(СПРОС_ДЕНЬ_ЧАС_МЕНЮ!$I$11:$I$3265,СПРОС_ДЕНЬ_ЧАС_МЕНЮ!$A$11:$A$3265,A387,СПРОС_ДЕНЬ_ЧАС_МЕНЮ!$B$11:$B$3265,B387,СПРОС_ДЕНЬ_ЧАС_МЕНЮ!$F$11:$F$3265,C387)</f>
        <v>0</v>
      </c>
      <c r="G387" s="12" t="n">
        <f aca="false">ПАРАМЕТРЫ!D20</f>
        <v>25</v>
      </c>
      <c r="H387" s="12" t="n">
        <f aca="false">SUMIFS(ШТАТ_ПО_ЧАСАМ!$C$11:$C$115,ШТАТ_ПО_ЧАСАМ!$A$11:$A$115,A387,ШТАТ_ПО_ЧАСАМ!$B$11:$B$115,B387)</f>
        <v>1</v>
      </c>
      <c r="I387" s="12" t="n">
        <f aca="false">MIN(H387,1)*ПАРАМЕТРЫ!E20</f>
        <v>10</v>
      </c>
      <c r="J387" s="12" t="n">
        <f aca="false">MIN(G387,I387)</f>
        <v>10</v>
      </c>
      <c r="K387" s="12" t="n">
        <f aca="false">MAX(F387-J387,0)</f>
        <v>0</v>
      </c>
      <c r="L387" s="12" t="n">
        <f aca="false">IF(J387=0,0,F387/J387)</f>
        <v>0</v>
      </c>
      <c r="M387" s="11" t="str">
        <f aca="false">IF(K387&gt;0,"BLOCKED","PASS")</f>
        <v>PASS</v>
      </c>
      <c r="N387" s="11" t="s">
        <v>233</v>
      </c>
    </row>
    <row r="388" customFormat="false" ht="23.85" hidden="false" customHeight="false" outlineLevel="0" collapsed="false">
      <c r="A388" s="11" t="s">
        <v>110</v>
      </c>
      <c r="B388" s="11" t="s">
        <v>126</v>
      </c>
      <c r="C388" s="11" t="s">
        <v>77</v>
      </c>
      <c r="D388" s="11" t="s">
        <v>78</v>
      </c>
      <c r="E388" s="11" t="s">
        <v>79</v>
      </c>
      <c r="F388" s="12" t="n">
        <f aca="false">SUMIFS(СПРОС_ДЕНЬ_ЧАС_МЕНЮ!$I$11:$I$3265,СПРОС_ДЕНЬ_ЧАС_МЕНЮ!$A$11:$A$3265,A388,СПРОС_ДЕНЬ_ЧАС_МЕНЮ!$B$11:$B$3265,B388,СПРОС_ДЕНЬ_ЧАС_МЕНЮ!$F$11:$F$3265,C388)</f>
        <v>0.792</v>
      </c>
      <c r="G388" s="12" t="n">
        <f aca="false">ПАРАМЕТРЫ!D21</f>
        <v>20</v>
      </c>
      <c r="H388" s="12" t="n">
        <f aca="false">SUMIFS(ШТАТ_ПО_ЧАСАМ!$C$11:$C$115,ШТАТ_ПО_ЧАСАМ!$A$11:$A$115,A388,ШТАТ_ПО_ЧАСАМ!$B$11:$B$115,B388)</f>
        <v>1</v>
      </c>
      <c r="I388" s="12" t="n">
        <f aca="false">MIN(H388,1)*ПАРАМЕТРЫ!E21</f>
        <v>10</v>
      </c>
      <c r="J388" s="12" t="n">
        <f aca="false">MIN(G388,I388)</f>
        <v>10</v>
      </c>
      <c r="K388" s="12" t="n">
        <f aca="false">MAX(F388-J388,0)</f>
        <v>0</v>
      </c>
      <c r="L388" s="12" t="n">
        <f aca="false">IF(J388=0,0,F388/J388)</f>
        <v>0.0792</v>
      </c>
      <c r="M388" s="11" t="str">
        <f aca="false">IF(K388&gt;0,"BLOCKED","PASS")</f>
        <v>PASS</v>
      </c>
      <c r="N388" s="11" t="s">
        <v>233</v>
      </c>
    </row>
    <row r="389" customFormat="false" ht="23.85" hidden="false" customHeight="false" outlineLevel="0" collapsed="false">
      <c r="A389" s="11" t="s">
        <v>110</v>
      </c>
      <c r="B389" s="11" t="s">
        <v>126</v>
      </c>
      <c r="C389" s="11" t="s">
        <v>80</v>
      </c>
      <c r="D389" s="11" t="s">
        <v>81</v>
      </c>
      <c r="E389" s="11" t="s">
        <v>82</v>
      </c>
      <c r="F389" s="12" t="n">
        <f aca="false">SUMIFS(СПРОС_ДЕНЬ_ЧАС_МЕНЮ!$I$11:$I$3265,СПРОС_ДЕНЬ_ЧАС_МЕНЮ!$A$11:$A$3265,A389,СПРОС_ДЕНЬ_ЧАС_МЕНЮ!$B$11:$B$3265,B389,СПРОС_ДЕНЬ_ЧАС_МЕНЮ!$F$11:$F$3265,C389)</f>
        <v>0</v>
      </c>
      <c r="G389" s="12" t="n">
        <f aca="false">ПАРАМЕТРЫ!D22</f>
        <v>16</v>
      </c>
      <c r="H389" s="12" t="n">
        <f aca="false">SUMIFS(ШТАТ_ПО_ЧАСАМ!$C$11:$C$115,ШТАТ_ПО_ЧАСАМ!$A$11:$A$115,A389,ШТАТ_ПО_ЧАСАМ!$B$11:$B$115,B389)</f>
        <v>1</v>
      </c>
      <c r="I389" s="12" t="n">
        <f aca="false">MIN(H389,1)*ПАРАМЕТРЫ!E22</f>
        <v>16</v>
      </c>
      <c r="J389" s="12" t="n">
        <f aca="false">MIN(G389,I389)</f>
        <v>16</v>
      </c>
      <c r="K389" s="12" t="n">
        <f aca="false">MAX(F389-J389,0)</f>
        <v>0</v>
      </c>
      <c r="L389" s="12" t="n">
        <f aca="false">IF(J389=0,0,F389/J389)</f>
        <v>0</v>
      </c>
      <c r="M389" s="11" t="str">
        <f aca="false">IF(K389&gt;0,"BLOCKED","PASS")</f>
        <v>PASS</v>
      </c>
      <c r="N389" s="11" t="s">
        <v>233</v>
      </c>
    </row>
    <row r="390" customFormat="false" ht="23.85" hidden="false" customHeight="false" outlineLevel="0" collapsed="false">
      <c r="A390" s="11" t="s">
        <v>110</v>
      </c>
      <c r="B390" s="11" t="s">
        <v>126</v>
      </c>
      <c r="C390" s="11" t="s">
        <v>83</v>
      </c>
      <c r="D390" s="11" t="s">
        <v>84</v>
      </c>
      <c r="E390" s="11" t="s">
        <v>83</v>
      </c>
      <c r="F390" s="12" t="n">
        <f aca="false">SUMIFS(СПРОС_ДЕНЬ_ЧАС_МЕНЮ!$I$11:$I$3265,СПРОС_ДЕНЬ_ЧАС_МЕНЮ!$A$11:$A$3265,A390,СПРОС_ДЕНЬ_ЧАС_МЕНЮ!$B$11:$B$3265,B390,СПРОС_ДЕНЬ_ЧАС_МЕНЮ!$F$11:$F$3265,C390)</f>
        <v>0</v>
      </c>
      <c r="G390" s="12" t="n">
        <f aca="false">ПАРАМЕТРЫ!D23</f>
        <v>21</v>
      </c>
      <c r="H390" s="12" t="n">
        <f aca="false">SUMIFS(ШТАТ_ПО_ЧАСАМ!$C$11:$C$115,ШТАТ_ПО_ЧАСАМ!$A$11:$A$115,A390,ШТАТ_ПО_ЧАСАМ!$B$11:$B$115,B390)</f>
        <v>1</v>
      </c>
      <c r="I390" s="12" t="n">
        <f aca="false">MIN(H390,1)*ПАРАМЕТРЫ!E23</f>
        <v>21</v>
      </c>
      <c r="J390" s="12" t="n">
        <f aca="false">MIN(G390,I390)</f>
        <v>21</v>
      </c>
      <c r="K390" s="12" t="n">
        <f aca="false">MAX(F390-J390,0)</f>
        <v>0</v>
      </c>
      <c r="L390" s="12" t="n">
        <f aca="false">IF(J390=0,0,F390/J390)</f>
        <v>0</v>
      </c>
      <c r="M390" s="11" t="str">
        <f aca="false">IF(K390&gt;0,"BLOCKED","PASS")</f>
        <v>PASS</v>
      </c>
      <c r="N390" s="11" t="s">
        <v>233</v>
      </c>
    </row>
    <row r="391" customFormat="false" ht="23.85" hidden="false" customHeight="false" outlineLevel="0" collapsed="false">
      <c r="A391" s="11" t="s">
        <v>110</v>
      </c>
      <c r="B391" s="11" t="s">
        <v>126</v>
      </c>
      <c r="C391" s="11" t="s">
        <v>85</v>
      </c>
      <c r="D391" s="11" t="s">
        <v>86</v>
      </c>
      <c r="E391" s="11" t="s">
        <v>87</v>
      </c>
      <c r="F391" s="12" t="n">
        <f aca="false">SUMIFS(СПРОС_ДЕНЬ_ЧАС_МЕНЮ!$I$11:$I$3265,СПРОС_ДЕНЬ_ЧАС_МЕНЮ!$A$11:$A$3265,A391,СПРОС_ДЕНЬ_ЧАС_МЕНЮ!$B$11:$B$3265,B391,СПРОС_ДЕНЬ_ЧАС_МЕНЮ!$F$11:$F$3265,C391)</f>
        <v>0</v>
      </c>
      <c r="G391" s="12" t="n">
        <f aca="false">ПАРАМЕТРЫ!D24</f>
        <v>12</v>
      </c>
      <c r="H391" s="12" t="n">
        <f aca="false">SUMIFS(ШТАТ_ПО_ЧАСАМ!$C$11:$C$115,ШТАТ_ПО_ЧАСАМ!$A$11:$A$115,A391,ШТАТ_ПО_ЧАСАМ!$B$11:$B$115,B391)</f>
        <v>1</v>
      </c>
      <c r="I391" s="12" t="n">
        <f aca="false">MIN(H391,1)*ПАРАМЕТРЫ!E24</f>
        <v>12</v>
      </c>
      <c r="J391" s="12" t="n">
        <f aca="false">MIN(G391,I391)</f>
        <v>12</v>
      </c>
      <c r="K391" s="12" t="n">
        <f aca="false">MAX(F391-J391,0)</f>
        <v>0</v>
      </c>
      <c r="L391" s="12" t="n">
        <f aca="false">IF(J391=0,0,F391/J391)</f>
        <v>0</v>
      </c>
      <c r="M391" s="11" t="str">
        <f aca="false">IF(K391&gt;0,"BLOCKED","PASS")</f>
        <v>PASS</v>
      </c>
      <c r="N391" s="11" t="s">
        <v>233</v>
      </c>
    </row>
    <row r="392" customFormat="false" ht="23.85" hidden="false" customHeight="false" outlineLevel="0" collapsed="false">
      <c r="A392" s="11" t="s">
        <v>110</v>
      </c>
      <c r="B392" s="11" t="s">
        <v>126</v>
      </c>
      <c r="C392" s="11" t="s">
        <v>88</v>
      </c>
      <c r="D392" s="11" t="s">
        <v>89</v>
      </c>
      <c r="E392" s="11" t="s">
        <v>90</v>
      </c>
      <c r="F392" s="12" t="n">
        <f aca="false">SUMIFS(СПРОС_ДЕНЬ_ЧАС_МЕНЮ!$I$11:$I$3265,СПРОС_ДЕНЬ_ЧАС_МЕНЮ!$A$11:$A$3265,A392,СПРОС_ДЕНЬ_ЧАС_МЕНЮ!$B$11:$B$3265,B392,СПРОС_ДЕНЬ_ЧАС_МЕНЮ!$F$11:$F$3265,C392)</f>
        <v>6.6</v>
      </c>
      <c r="G392" s="12" t="n">
        <f aca="false">ПАРАМЕТРЫ!D25</f>
        <v>15</v>
      </c>
      <c r="H392" s="12" t="n">
        <f aca="false">SUMIFS(ШТАТ_ПО_ЧАСАМ!$C$11:$C$115,ШТАТ_ПО_ЧАСАМ!$A$11:$A$115,A392,ШТАТ_ПО_ЧАСАМ!$B$11:$B$115,B392)</f>
        <v>1</v>
      </c>
      <c r="I392" s="12" t="n">
        <f aca="false">MIN(H392,1)*ПАРАМЕТРЫ!E25</f>
        <v>10</v>
      </c>
      <c r="J392" s="12" t="n">
        <f aca="false">MIN(G392,I392)</f>
        <v>10</v>
      </c>
      <c r="K392" s="12" t="n">
        <f aca="false">MAX(F392-J392,0)</f>
        <v>0</v>
      </c>
      <c r="L392" s="12" t="n">
        <f aca="false">IF(J392=0,0,F392/J392)</f>
        <v>0.66</v>
      </c>
      <c r="M392" s="11" t="str">
        <f aca="false">IF(K392&gt;0,"BLOCKED","PASS")</f>
        <v>PASS</v>
      </c>
      <c r="N392" s="11" t="s">
        <v>233</v>
      </c>
    </row>
    <row r="393" customFormat="false" ht="23.85" hidden="false" customHeight="false" outlineLevel="0" collapsed="false">
      <c r="A393" s="11" t="s">
        <v>110</v>
      </c>
      <c r="B393" s="11" t="s">
        <v>126</v>
      </c>
      <c r="C393" s="11" t="s">
        <v>91</v>
      </c>
      <c r="D393" s="11" t="s">
        <v>92</v>
      </c>
      <c r="E393" s="11" t="s">
        <v>79</v>
      </c>
      <c r="F393" s="12" t="n">
        <f aca="false">SUMIFS(СПРОС_ДЕНЬ_ЧАС_МЕНЮ!$I$11:$I$3265,СПРОС_ДЕНЬ_ЧАС_МЕНЮ!$A$11:$A$3265,A393,СПРОС_ДЕНЬ_ЧАС_МЕНЮ!$B$11:$B$3265,B393,СПРОС_ДЕНЬ_ЧАС_МЕНЮ!$F$11:$F$3265,C393)</f>
        <v>0.396</v>
      </c>
      <c r="G393" s="12" t="n">
        <f aca="false">ПАРАМЕТРЫ!D26</f>
        <v>20</v>
      </c>
      <c r="H393" s="12" t="n">
        <f aca="false">SUMIFS(ШТАТ_ПО_ЧАСАМ!$C$11:$C$115,ШТАТ_ПО_ЧАСАМ!$A$11:$A$115,A393,ШТАТ_ПО_ЧАСАМ!$B$11:$B$115,B393)</f>
        <v>1</v>
      </c>
      <c r="I393" s="12" t="n">
        <f aca="false">MIN(H393,1)*ПАРАМЕТРЫ!E26</f>
        <v>10</v>
      </c>
      <c r="J393" s="12" t="n">
        <f aca="false">MIN(G393,I393)</f>
        <v>10</v>
      </c>
      <c r="K393" s="12" t="n">
        <f aca="false">MAX(F393-J393,0)</f>
        <v>0</v>
      </c>
      <c r="L393" s="12" t="n">
        <f aca="false">IF(J393=0,0,F393/J393)</f>
        <v>0.0396</v>
      </c>
      <c r="M393" s="11" t="str">
        <f aca="false">IF(K393&gt;0,"BLOCKED","PASS")</f>
        <v>PASS</v>
      </c>
      <c r="N393" s="11" t="s">
        <v>233</v>
      </c>
    </row>
    <row r="394" customFormat="false" ht="15" hidden="false" customHeight="false" outlineLevel="0" collapsed="false">
      <c r="A394" s="11" t="s">
        <v>110</v>
      </c>
      <c r="B394" s="11" t="s">
        <v>126</v>
      </c>
      <c r="C394" s="11" t="s">
        <v>93</v>
      </c>
      <c r="D394" s="11" t="s">
        <v>234</v>
      </c>
      <c r="E394" s="11" t="s">
        <v>95</v>
      </c>
      <c r="F394" s="12" t="n">
        <f aca="false">SUMIFS(СПРОС_ДЕНЬ_ЧАС_МЕНЮ!$I$11:$I$3265,СПРОС_ДЕНЬ_ЧАС_МЕНЮ!$A$11:$A$3265,A394,СПРОС_ДЕНЬ_ЧАС_МЕНЮ!$B$11:$B$3265,B394)</f>
        <v>7.788</v>
      </c>
      <c r="G394" s="12" t="n">
        <f aca="false">ПАРАМЕТРЫ!D27</f>
        <v>60</v>
      </c>
      <c r="H394" s="12" t="n">
        <f aca="false">SUMIFS(ШТАТ_ПО_ЧАСАМ!$C$11:$C$115,ШТАТ_ПО_ЧАСАМ!$A$11:$A$115,A394,ШТАТ_ПО_ЧАСАМ!$B$11:$B$115,B394)</f>
        <v>1</v>
      </c>
      <c r="I394" s="12" t="n">
        <f aca="false">H394*ПАРАМЕТРЫ!E27</f>
        <v>16.6666666666667</v>
      </c>
      <c r="J394" s="12" t="n">
        <f aca="false">MIN(G394,I394)</f>
        <v>16.6666666666667</v>
      </c>
      <c r="K394" s="12" t="n">
        <f aca="false">MAX(F394-J394,0)</f>
        <v>0</v>
      </c>
      <c r="L394" s="12" t="n">
        <f aca="false">IF(J394=0,0,F394/J394)</f>
        <v>0.46728</v>
      </c>
      <c r="M394" s="11" t="str">
        <f aca="false">IF(K394&gt;0,"BLOCKED","PASS")</f>
        <v>PASS</v>
      </c>
      <c r="N394" s="11" t="s">
        <v>235</v>
      </c>
    </row>
    <row r="395" customFormat="false" ht="23.85" hidden="false" customHeight="false" outlineLevel="0" collapsed="false">
      <c r="A395" s="11" t="s">
        <v>110</v>
      </c>
      <c r="B395" s="11" t="s">
        <v>127</v>
      </c>
      <c r="C395" s="11" t="s">
        <v>73</v>
      </c>
      <c r="D395" s="11" t="s">
        <v>74</v>
      </c>
      <c r="E395" s="11" t="s">
        <v>75</v>
      </c>
      <c r="F395" s="12" t="n">
        <f aca="false">SUMIFS(СПРОС_ДЕНЬ_ЧАС_МЕНЮ!$I$11:$I$3265,СПРОС_ДЕНЬ_ЧАС_МЕНЮ!$A$11:$A$3265,A395,СПРОС_ДЕНЬ_ЧАС_МЕНЮ!$B$11:$B$3265,B395,СПРОС_ДЕНЬ_ЧАС_МЕНЮ!$F$11:$F$3265,C395)</f>
        <v>0</v>
      </c>
      <c r="G395" s="12" t="n">
        <f aca="false">ПАРАМЕТРЫ!D20</f>
        <v>25</v>
      </c>
      <c r="H395" s="12" t="n">
        <f aca="false">SUMIFS(ШТАТ_ПО_ЧАСАМ!$C$11:$C$115,ШТАТ_ПО_ЧАСАМ!$A$11:$A$115,A395,ШТАТ_ПО_ЧАСАМ!$B$11:$B$115,B395)</f>
        <v>1</v>
      </c>
      <c r="I395" s="12" t="n">
        <f aca="false">MIN(H395,1)*ПАРАМЕТРЫ!E20</f>
        <v>10</v>
      </c>
      <c r="J395" s="12" t="n">
        <f aca="false">MIN(G395,I395)</f>
        <v>10</v>
      </c>
      <c r="K395" s="12" t="n">
        <f aca="false">MAX(F395-J395,0)</f>
        <v>0</v>
      </c>
      <c r="L395" s="12" t="n">
        <f aca="false">IF(J395=0,0,F395/J395)</f>
        <v>0</v>
      </c>
      <c r="M395" s="11" t="str">
        <f aca="false">IF(K395&gt;0,"BLOCKED","PASS")</f>
        <v>PASS</v>
      </c>
      <c r="N395" s="11" t="s">
        <v>233</v>
      </c>
    </row>
    <row r="396" customFormat="false" ht="23.85" hidden="false" customHeight="false" outlineLevel="0" collapsed="false">
      <c r="A396" s="11" t="s">
        <v>110</v>
      </c>
      <c r="B396" s="11" t="s">
        <v>127</v>
      </c>
      <c r="C396" s="11" t="s">
        <v>77</v>
      </c>
      <c r="D396" s="11" t="s">
        <v>78</v>
      </c>
      <c r="E396" s="11" t="s">
        <v>79</v>
      </c>
      <c r="F396" s="12" t="n">
        <f aca="false">SUMIFS(СПРОС_ДЕНЬ_ЧАС_МЕНЮ!$I$11:$I$3265,СПРОС_ДЕНЬ_ЧАС_МЕНЮ!$A$11:$A$3265,A396,СПРОС_ДЕНЬ_ЧАС_МЕНЮ!$B$11:$B$3265,B396,СПРОС_ДЕНЬ_ЧАС_МЕНЮ!$F$11:$F$3265,C396)</f>
        <v>0.792</v>
      </c>
      <c r="G396" s="12" t="n">
        <f aca="false">ПАРАМЕТРЫ!D21</f>
        <v>20</v>
      </c>
      <c r="H396" s="12" t="n">
        <f aca="false">SUMIFS(ШТАТ_ПО_ЧАСАМ!$C$11:$C$115,ШТАТ_ПО_ЧАСАМ!$A$11:$A$115,A396,ШТАТ_ПО_ЧАСАМ!$B$11:$B$115,B396)</f>
        <v>1</v>
      </c>
      <c r="I396" s="12" t="n">
        <f aca="false">MIN(H396,1)*ПАРАМЕТРЫ!E21</f>
        <v>10</v>
      </c>
      <c r="J396" s="12" t="n">
        <f aca="false">MIN(G396,I396)</f>
        <v>10</v>
      </c>
      <c r="K396" s="12" t="n">
        <f aca="false">MAX(F396-J396,0)</f>
        <v>0</v>
      </c>
      <c r="L396" s="12" t="n">
        <f aca="false">IF(J396=0,0,F396/J396)</f>
        <v>0.0792</v>
      </c>
      <c r="M396" s="11" t="str">
        <f aca="false">IF(K396&gt;0,"BLOCKED","PASS")</f>
        <v>PASS</v>
      </c>
      <c r="N396" s="11" t="s">
        <v>233</v>
      </c>
    </row>
    <row r="397" customFormat="false" ht="23.85" hidden="false" customHeight="false" outlineLevel="0" collapsed="false">
      <c r="A397" s="11" t="s">
        <v>110</v>
      </c>
      <c r="B397" s="11" t="s">
        <v>127</v>
      </c>
      <c r="C397" s="11" t="s">
        <v>80</v>
      </c>
      <c r="D397" s="11" t="s">
        <v>81</v>
      </c>
      <c r="E397" s="11" t="s">
        <v>82</v>
      </c>
      <c r="F397" s="12" t="n">
        <f aca="false">SUMIFS(СПРОС_ДЕНЬ_ЧАС_МЕНЮ!$I$11:$I$3265,СПРОС_ДЕНЬ_ЧАС_МЕНЮ!$A$11:$A$3265,A397,СПРОС_ДЕНЬ_ЧАС_МЕНЮ!$B$11:$B$3265,B397,СПРОС_ДЕНЬ_ЧАС_МЕНЮ!$F$11:$F$3265,C397)</f>
        <v>0</v>
      </c>
      <c r="G397" s="12" t="n">
        <f aca="false">ПАРАМЕТРЫ!D22</f>
        <v>16</v>
      </c>
      <c r="H397" s="12" t="n">
        <f aca="false">SUMIFS(ШТАТ_ПО_ЧАСАМ!$C$11:$C$115,ШТАТ_ПО_ЧАСАМ!$A$11:$A$115,A397,ШТАТ_ПО_ЧАСАМ!$B$11:$B$115,B397)</f>
        <v>1</v>
      </c>
      <c r="I397" s="12" t="n">
        <f aca="false">MIN(H397,1)*ПАРАМЕТРЫ!E22</f>
        <v>16</v>
      </c>
      <c r="J397" s="12" t="n">
        <f aca="false">MIN(G397,I397)</f>
        <v>16</v>
      </c>
      <c r="K397" s="12" t="n">
        <f aca="false">MAX(F397-J397,0)</f>
        <v>0</v>
      </c>
      <c r="L397" s="12" t="n">
        <f aca="false">IF(J397=0,0,F397/J397)</f>
        <v>0</v>
      </c>
      <c r="M397" s="11" t="str">
        <f aca="false">IF(K397&gt;0,"BLOCKED","PASS")</f>
        <v>PASS</v>
      </c>
      <c r="N397" s="11" t="s">
        <v>233</v>
      </c>
    </row>
    <row r="398" customFormat="false" ht="23.85" hidden="false" customHeight="false" outlineLevel="0" collapsed="false">
      <c r="A398" s="11" t="s">
        <v>110</v>
      </c>
      <c r="B398" s="11" t="s">
        <v>127</v>
      </c>
      <c r="C398" s="11" t="s">
        <v>83</v>
      </c>
      <c r="D398" s="11" t="s">
        <v>84</v>
      </c>
      <c r="E398" s="11" t="s">
        <v>83</v>
      </c>
      <c r="F398" s="12" t="n">
        <f aca="false">SUMIFS(СПРОС_ДЕНЬ_ЧАС_МЕНЮ!$I$11:$I$3265,СПРОС_ДЕНЬ_ЧАС_МЕНЮ!$A$11:$A$3265,A398,СПРОС_ДЕНЬ_ЧАС_МЕНЮ!$B$11:$B$3265,B398,СПРОС_ДЕНЬ_ЧАС_МЕНЮ!$F$11:$F$3265,C398)</f>
        <v>0</v>
      </c>
      <c r="G398" s="12" t="n">
        <f aca="false">ПАРАМЕТРЫ!D23</f>
        <v>21</v>
      </c>
      <c r="H398" s="12" t="n">
        <f aca="false">SUMIFS(ШТАТ_ПО_ЧАСАМ!$C$11:$C$115,ШТАТ_ПО_ЧАСАМ!$A$11:$A$115,A398,ШТАТ_ПО_ЧАСАМ!$B$11:$B$115,B398)</f>
        <v>1</v>
      </c>
      <c r="I398" s="12" t="n">
        <f aca="false">MIN(H398,1)*ПАРАМЕТРЫ!E23</f>
        <v>21</v>
      </c>
      <c r="J398" s="12" t="n">
        <f aca="false">MIN(G398,I398)</f>
        <v>21</v>
      </c>
      <c r="K398" s="12" t="n">
        <f aca="false">MAX(F398-J398,0)</f>
        <v>0</v>
      </c>
      <c r="L398" s="12" t="n">
        <f aca="false">IF(J398=0,0,F398/J398)</f>
        <v>0</v>
      </c>
      <c r="M398" s="11" t="str">
        <f aca="false">IF(K398&gt;0,"BLOCKED","PASS")</f>
        <v>PASS</v>
      </c>
      <c r="N398" s="11" t="s">
        <v>233</v>
      </c>
    </row>
    <row r="399" customFormat="false" ht="23.85" hidden="false" customHeight="false" outlineLevel="0" collapsed="false">
      <c r="A399" s="11" t="s">
        <v>110</v>
      </c>
      <c r="B399" s="11" t="s">
        <v>127</v>
      </c>
      <c r="C399" s="11" t="s">
        <v>85</v>
      </c>
      <c r="D399" s="11" t="s">
        <v>86</v>
      </c>
      <c r="E399" s="11" t="s">
        <v>87</v>
      </c>
      <c r="F399" s="12" t="n">
        <f aca="false">SUMIFS(СПРОС_ДЕНЬ_ЧАС_МЕНЮ!$I$11:$I$3265,СПРОС_ДЕНЬ_ЧАС_МЕНЮ!$A$11:$A$3265,A399,СПРОС_ДЕНЬ_ЧАС_МЕНЮ!$B$11:$B$3265,B399,СПРОС_ДЕНЬ_ЧАС_МЕНЮ!$F$11:$F$3265,C399)</f>
        <v>0</v>
      </c>
      <c r="G399" s="12" t="n">
        <f aca="false">ПАРАМЕТРЫ!D24</f>
        <v>12</v>
      </c>
      <c r="H399" s="12" t="n">
        <f aca="false">SUMIFS(ШТАТ_ПО_ЧАСАМ!$C$11:$C$115,ШТАТ_ПО_ЧАСАМ!$A$11:$A$115,A399,ШТАТ_ПО_ЧАСАМ!$B$11:$B$115,B399)</f>
        <v>1</v>
      </c>
      <c r="I399" s="12" t="n">
        <f aca="false">MIN(H399,1)*ПАРАМЕТРЫ!E24</f>
        <v>12</v>
      </c>
      <c r="J399" s="12" t="n">
        <f aca="false">MIN(G399,I399)</f>
        <v>12</v>
      </c>
      <c r="K399" s="12" t="n">
        <f aca="false">MAX(F399-J399,0)</f>
        <v>0</v>
      </c>
      <c r="L399" s="12" t="n">
        <f aca="false">IF(J399=0,0,F399/J399)</f>
        <v>0</v>
      </c>
      <c r="M399" s="11" t="str">
        <f aca="false">IF(K399&gt;0,"BLOCKED","PASS")</f>
        <v>PASS</v>
      </c>
      <c r="N399" s="11" t="s">
        <v>233</v>
      </c>
    </row>
    <row r="400" customFormat="false" ht="23.85" hidden="false" customHeight="false" outlineLevel="0" collapsed="false">
      <c r="A400" s="11" t="s">
        <v>110</v>
      </c>
      <c r="B400" s="11" t="s">
        <v>127</v>
      </c>
      <c r="C400" s="11" t="s">
        <v>88</v>
      </c>
      <c r="D400" s="11" t="s">
        <v>89</v>
      </c>
      <c r="E400" s="11" t="s">
        <v>90</v>
      </c>
      <c r="F400" s="12" t="n">
        <f aca="false">SUMIFS(СПРОС_ДЕНЬ_ЧАС_МЕНЮ!$I$11:$I$3265,СПРОС_ДЕНЬ_ЧАС_МЕНЮ!$A$11:$A$3265,A400,СПРОС_ДЕНЬ_ЧАС_МЕНЮ!$B$11:$B$3265,B400,СПРОС_ДЕНЬ_ЧАС_МЕНЮ!$F$11:$F$3265,C400)</f>
        <v>3.3</v>
      </c>
      <c r="G400" s="12" t="n">
        <f aca="false">ПАРАМЕТРЫ!D25</f>
        <v>15</v>
      </c>
      <c r="H400" s="12" t="n">
        <f aca="false">SUMIFS(ШТАТ_ПО_ЧАСАМ!$C$11:$C$115,ШТАТ_ПО_ЧАСАМ!$A$11:$A$115,A400,ШТАТ_ПО_ЧАСАМ!$B$11:$B$115,B400)</f>
        <v>1</v>
      </c>
      <c r="I400" s="12" t="n">
        <f aca="false">MIN(H400,1)*ПАРАМЕТРЫ!E25</f>
        <v>10</v>
      </c>
      <c r="J400" s="12" t="n">
        <f aca="false">MIN(G400,I400)</f>
        <v>10</v>
      </c>
      <c r="K400" s="12" t="n">
        <f aca="false">MAX(F400-J400,0)</f>
        <v>0</v>
      </c>
      <c r="L400" s="12" t="n">
        <f aca="false">IF(J400=0,0,F400/J400)</f>
        <v>0.33</v>
      </c>
      <c r="M400" s="11" t="str">
        <f aca="false">IF(K400&gt;0,"BLOCKED","PASS")</f>
        <v>PASS</v>
      </c>
      <c r="N400" s="11" t="s">
        <v>233</v>
      </c>
    </row>
    <row r="401" customFormat="false" ht="23.85" hidden="false" customHeight="false" outlineLevel="0" collapsed="false">
      <c r="A401" s="11" t="s">
        <v>110</v>
      </c>
      <c r="B401" s="11" t="s">
        <v>127</v>
      </c>
      <c r="C401" s="11" t="s">
        <v>91</v>
      </c>
      <c r="D401" s="11" t="s">
        <v>92</v>
      </c>
      <c r="E401" s="11" t="s">
        <v>79</v>
      </c>
      <c r="F401" s="12" t="n">
        <f aca="false">SUMIFS(СПРОС_ДЕНЬ_ЧАС_МЕНЮ!$I$11:$I$3265,СПРОС_ДЕНЬ_ЧАС_МЕНЮ!$A$11:$A$3265,A401,СПРОС_ДЕНЬ_ЧАС_МЕНЮ!$B$11:$B$3265,B401,СПРОС_ДЕНЬ_ЧАС_МЕНЮ!$F$11:$F$3265,C401)</f>
        <v>0.396</v>
      </c>
      <c r="G401" s="12" t="n">
        <f aca="false">ПАРАМЕТРЫ!D26</f>
        <v>20</v>
      </c>
      <c r="H401" s="12" t="n">
        <f aca="false">SUMIFS(ШТАТ_ПО_ЧАСАМ!$C$11:$C$115,ШТАТ_ПО_ЧАСАМ!$A$11:$A$115,A401,ШТАТ_ПО_ЧАСАМ!$B$11:$B$115,B401)</f>
        <v>1</v>
      </c>
      <c r="I401" s="12" t="n">
        <f aca="false">MIN(H401,1)*ПАРАМЕТРЫ!E26</f>
        <v>10</v>
      </c>
      <c r="J401" s="12" t="n">
        <f aca="false">MIN(G401,I401)</f>
        <v>10</v>
      </c>
      <c r="K401" s="12" t="n">
        <f aca="false">MAX(F401-J401,0)</f>
        <v>0</v>
      </c>
      <c r="L401" s="12" t="n">
        <f aca="false">IF(J401=0,0,F401/J401)</f>
        <v>0.0396</v>
      </c>
      <c r="M401" s="11" t="str">
        <f aca="false">IF(K401&gt;0,"BLOCKED","PASS")</f>
        <v>PASS</v>
      </c>
      <c r="N401" s="11" t="s">
        <v>233</v>
      </c>
    </row>
    <row r="402" customFormat="false" ht="15" hidden="false" customHeight="false" outlineLevel="0" collapsed="false">
      <c r="A402" s="11" t="s">
        <v>110</v>
      </c>
      <c r="B402" s="11" t="s">
        <v>127</v>
      </c>
      <c r="C402" s="11" t="s">
        <v>93</v>
      </c>
      <c r="D402" s="11" t="s">
        <v>234</v>
      </c>
      <c r="E402" s="11" t="s">
        <v>95</v>
      </c>
      <c r="F402" s="12" t="n">
        <f aca="false">SUMIFS(СПРОС_ДЕНЬ_ЧАС_МЕНЮ!$I$11:$I$3265,СПРОС_ДЕНЬ_ЧАС_МЕНЮ!$A$11:$A$3265,A402,СПРОС_ДЕНЬ_ЧАС_МЕНЮ!$B$11:$B$3265,B402)</f>
        <v>4.488</v>
      </c>
      <c r="G402" s="12" t="n">
        <f aca="false">ПАРАМЕТРЫ!D27</f>
        <v>60</v>
      </c>
      <c r="H402" s="12" t="n">
        <f aca="false">SUMIFS(ШТАТ_ПО_ЧАСАМ!$C$11:$C$115,ШТАТ_ПО_ЧАСАМ!$A$11:$A$115,A402,ШТАТ_ПО_ЧАСАМ!$B$11:$B$115,B402)</f>
        <v>1</v>
      </c>
      <c r="I402" s="12" t="n">
        <f aca="false">H402*ПАРАМЕТРЫ!E27</f>
        <v>16.6666666666667</v>
      </c>
      <c r="J402" s="12" t="n">
        <f aca="false">MIN(G402,I402)</f>
        <v>16.6666666666667</v>
      </c>
      <c r="K402" s="12" t="n">
        <f aca="false">MAX(F402-J402,0)</f>
        <v>0</v>
      </c>
      <c r="L402" s="12" t="n">
        <f aca="false">IF(J402=0,0,F402/J402)</f>
        <v>0.26928</v>
      </c>
      <c r="M402" s="11" t="str">
        <f aca="false">IF(K402&gt;0,"BLOCKED","PASS")</f>
        <v>PASS</v>
      </c>
      <c r="N402" s="11" t="s">
        <v>235</v>
      </c>
    </row>
    <row r="403" customFormat="false" ht="23.85" hidden="false" customHeight="false" outlineLevel="0" collapsed="false">
      <c r="A403" s="11" t="s">
        <v>110</v>
      </c>
      <c r="B403" s="11" t="s">
        <v>128</v>
      </c>
      <c r="C403" s="11" t="s">
        <v>73</v>
      </c>
      <c r="D403" s="11" t="s">
        <v>74</v>
      </c>
      <c r="E403" s="11" t="s">
        <v>75</v>
      </c>
      <c r="F403" s="12" t="n">
        <f aca="false">SUMIFS(СПРОС_ДЕНЬ_ЧАС_МЕНЮ!$I$11:$I$3265,СПРОС_ДЕНЬ_ЧАС_МЕНЮ!$A$11:$A$3265,A403,СПРОС_ДЕНЬ_ЧАС_МЕНЮ!$B$11:$B$3265,B403,СПРОС_ДЕНЬ_ЧАС_МЕНЮ!$F$11:$F$3265,C403)</f>
        <v>1.4652</v>
      </c>
      <c r="G403" s="12" t="n">
        <f aca="false">ПАРАМЕТРЫ!D20</f>
        <v>25</v>
      </c>
      <c r="H403" s="12" t="n">
        <f aca="false">SUMIFS(ШТАТ_ПО_ЧАСАМ!$C$11:$C$115,ШТАТ_ПО_ЧАСАМ!$A$11:$A$115,A403,ШТАТ_ПО_ЧАСАМ!$B$11:$B$115,B403)</f>
        <v>2</v>
      </c>
      <c r="I403" s="12" t="n">
        <f aca="false">MIN(H403,1)*ПАРАМЕТРЫ!E20</f>
        <v>10</v>
      </c>
      <c r="J403" s="12" t="n">
        <f aca="false">MIN(G403,I403)</f>
        <v>10</v>
      </c>
      <c r="K403" s="12" t="n">
        <f aca="false">MAX(F403-J403,0)</f>
        <v>0</v>
      </c>
      <c r="L403" s="12" t="n">
        <f aca="false">IF(J403=0,0,F403/J403)</f>
        <v>0.14652</v>
      </c>
      <c r="M403" s="11" t="str">
        <f aca="false">IF(K403&gt;0,"BLOCKED","PASS")</f>
        <v>PASS</v>
      </c>
      <c r="N403" s="11" t="s">
        <v>233</v>
      </c>
    </row>
    <row r="404" customFormat="false" ht="23.85" hidden="false" customHeight="false" outlineLevel="0" collapsed="false">
      <c r="A404" s="11" t="s">
        <v>110</v>
      </c>
      <c r="B404" s="11" t="s">
        <v>128</v>
      </c>
      <c r="C404" s="11" t="s">
        <v>77</v>
      </c>
      <c r="D404" s="11" t="s">
        <v>78</v>
      </c>
      <c r="E404" s="11" t="s">
        <v>79</v>
      </c>
      <c r="F404" s="12" t="n">
        <f aca="false">SUMIFS(СПРОС_ДЕНЬ_ЧАС_МЕНЮ!$I$11:$I$3265,СПРОС_ДЕНЬ_ЧАС_МЕНЮ!$A$11:$A$3265,A404,СПРОС_ДЕНЬ_ЧАС_МЕНЮ!$B$11:$B$3265,B404,СПРОС_ДЕНЬ_ЧАС_МЕНЮ!$F$11:$F$3265,C404)</f>
        <v>1.51272</v>
      </c>
      <c r="G404" s="12" t="n">
        <f aca="false">ПАРАМЕТРЫ!D21</f>
        <v>20</v>
      </c>
      <c r="H404" s="12" t="n">
        <f aca="false">SUMIFS(ШТАТ_ПО_ЧАСАМ!$C$11:$C$115,ШТАТ_ПО_ЧАСАМ!$A$11:$A$115,A404,ШТАТ_ПО_ЧАСАМ!$B$11:$B$115,B404)</f>
        <v>2</v>
      </c>
      <c r="I404" s="12" t="n">
        <f aca="false">MIN(H404,1)*ПАРАМЕТРЫ!E21</f>
        <v>10</v>
      </c>
      <c r="J404" s="12" t="n">
        <f aca="false">MIN(G404,I404)</f>
        <v>10</v>
      </c>
      <c r="K404" s="12" t="n">
        <f aca="false">MAX(F404-J404,0)</f>
        <v>0</v>
      </c>
      <c r="L404" s="12" t="n">
        <f aca="false">IF(J404=0,0,F404/J404)</f>
        <v>0.151272</v>
      </c>
      <c r="M404" s="11" t="str">
        <f aca="false">IF(K404&gt;0,"BLOCKED","PASS")</f>
        <v>PASS</v>
      </c>
      <c r="N404" s="11" t="s">
        <v>233</v>
      </c>
    </row>
    <row r="405" customFormat="false" ht="23.85" hidden="false" customHeight="false" outlineLevel="0" collapsed="false">
      <c r="A405" s="11" t="s">
        <v>110</v>
      </c>
      <c r="B405" s="11" t="s">
        <v>128</v>
      </c>
      <c r="C405" s="11" t="s">
        <v>80</v>
      </c>
      <c r="D405" s="11" t="s">
        <v>81</v>
      </c>
      <c r="E405" s="11" t="s">
        <v>82</v>
      </c>
      <c r="F405" s="12" t="n">
        <f aca="false">SUMIFS(СПРОС_ДЕНЬ_ЧАС_МЕНЮ!$I$11:$I$3265,СПРОС_ДЕНЬ_ЧАС_МЕНЮ!$A$11:$A$3265,A405,СПРОС_ДЕНЬ_ЧАС_МЕНЮ!$B$11:$B$3265,B405,СПРОС_ДЕНЬ_ЧАС_МЕНЮ!$F$11:$F$3265,C405)</f>
        <v>2.266</v>
      </c>
      <c r="G405" s="12" t="n">
        <f aca="false">ПАРАМЕТРЫ!D22</f>
        <v>16</v>
      </c>
      <c r="H405" s="12" t="n">
        <f aca="false">SUMIFS(ШТАТ_ПО_ЧАСАМ!$C$11:$C$115,ШТАТ_ПО_ЧАСАМ!$A$11:$A$115,A405,ШТАТ_ПО_ЧАСАМ!$B$11:$B$115,B405)</f>
        <v>2</v>
      </c>
      <c r="I405" s="12" t="n">
        <f aca="false">MIN(H405,1)*ПАРАМЕТРЫ!E22</f>
        <v>16</v>
      </c>
      <c r="J405" s="12" t="n">
        <f aca="false">MIN(G405,I405)</f>
        <v>16</v>
      </c>
      <c r="K405" s="12" t="n">
        <f aca="false">MAX(F405-J405,0)</f>
        <v>0</v>
      </c>
      <c r="L405" s="12" t="n">
        <f aca="false">IF(J405=0,0,F405/J405)</f>
        <v>0.141625</v>
      </c>
      <c r="M405" s="11" t="str">
        <f aca="false">IF(K405&gt;0,"BLOCKED","PASS")</f>
        <v>PASS</v>
      </c>
      <c r="N405" s="11" t="s">
        <v>233</v>
      </c>
    </row>
    <row r="406" customFormat="false" ht="23.85" hidden="false" customHeight="false" outlineLevel="0" collapsed="false">
      <c r="A406" s="11" t="s">
        <v>110</v>
      </c>
      <c r="B406" s="11" t="s">
        <v>128</v>
      </c>
      <c r="C406" s="11" t="s">
        <v>83</v>
      </c>
      <c r="D406" s="11" t="s">
        <v>84</v>
      </c>
      <c r="E406" s="11" t="s">
        <v>83</v>
      </c>
      <c r="F406" s="12" t="n">
        <f aca="false">SUMIFS(СПРОС_ДЕНЬ_ЧАС_МЕНЮ!$I$11:$I$3265,СПРОС_ДЕНЬ_ЧАС_МЕНЮ!$A$11:$A$3265,A406,СПРОС_ДЕНЬ_ЧАС_МЕНЮ!$B$11:$B$3265,B406,СПРОС_ДЕНЬ_ЧАС_МЕНЮ!$F$11:$F$3265,C406)</f>
        <v>6.16</v>
      </c>
      <c r="G406" s="12" t="n">
        <f aca="false">ПАРАМЕТРЫ!D23</f>
        <v>21</v>
      </c>
      <c r="H406" s="12" t="n">
        <f aca="false">SUMIFS(ШТАТ_ПО_ЧАСАМ!$C$11:$C$115,ШТАТ_ПО_ЧАСАМ!$A$11:$A$115,A406,ШТАТ_ПО_ЧАСАМ!$B$11:$B$115,B406)</f>
        <v>2</v>
      </c>
      <c r="I406" s="12" t="n">
        <f aca="false">MIN(H406,1)*ПАРАМЕТРЫ!E23</f>
        <v>21</v>
      </c>
      <c r="J406" s="12" t="n">
        <f aca="false">MIN(G406,I406)</f>
        <v>21</v>
      </c>
      <c r="K406" s="12" t="n">
        <f aca="false">MAX(F406-J406,0)</f>
        <v>0</v>
      </c>
      <c r="L406" s="12" t="n">
        <f aca="false">IF(J406=0,0,F406/J406)</f>
        <v>0.293333333333333</v>
      </c>
      <c r="M406" s="11" t="str">
        <f aca="false">IF(K406&gt;0,"BLOCKED","PASS")</f>
        <v>PASS</v>
      </c>
      <c r="N406" s="11" t="s">
        <v>233</v>
      </c>
    </row>
    <row r="407" customFormat="false" ht="23.85" hidden="false" customHeight="false" outlineLevel="0" collapsed="false">
      <c r="A407" s="11" t="s">
        <v>110</v>
      </c>
      <c r="B407" s="11" t="s">
        <v>128</v>
      </c>
      <c r="C407" s="11" t="s">
        <v>85</v>
      </c>
      <c r="D407" s="11" t="s">
        <v>86</v>
      </c>
      <c r="E407" s="11" t="s">
        <v>87</v>
      </c>
      <c r="F407" s="12" t="n">
        <f aca="false">SUMIFS(СПРОС_ДЕНЬ_ЧАС_МЕНЮ!$I$11:$I$3265,СПРОС_ДЕНЬ_ЧАС_МЕНЮ!$A$11:$A$3265,A407,СПРОС_ДЕНЬ_ЧАС_МЕНЮ!$B$11:$B$3265,B407,СПРОС_ДЕНЬ_ЧАС_МЕНЮ!$F$11:$F$3265,C407)</f>
        <v>2.476188</v>
      </c>
      <c r="G407" s="12" t="n">
        <f aca="false">ПАРАМЕТРЫ!D24</f>
        <v>12</v>
      </c>
      <c r="H407" s="12" t="n">
        <f aca="false">SUMIFS(ШТАТ_ПО_ЧАСАМ!$C$11:$C$115,ШТАТ_ПО_ЧАСАМ!$A$11:$A$115,A407,ШТАТ_ПО_ЧАСАМ!$B$11:$B$115,B407)</f>
        <v>2</v>
      </c>
      <c r="I407" s="12" t="n">
        <f aca="false">MIN(H407,1)*ПАРАМЕТРЫ!E24</f>
        <v>12</v>
      </c>
      <c r="J407" s="12" t="n">
        <f aca="false">MIN(G407,I407)</f>
        <v>12</v>
      </c>
      <c r="K407" s="12" t="n">
        <f aca="false">MAX(F407-J407,0)</f>
        <v>0</v>
      </c>
      <c r="L407" s="12" t="n">
        <f aca="false">IF(J407=0,0,F407/J407)</f>
        <v>0.206349</v>
      </c>
      <c r="M407" s="11" t="str">
        <f aca="false">IF(K407&gt;0,"BLOCKED","PASS")</f>
        <v>PASS</v>
      </c>
      <c r="N407" s="11" t="s">
        <v>233</v>
      </c>
    </row>
    <row r="408" customFormat="false" ht="23.85" hidden="false" customHeight="false" outlineLevel="0" collapsed="false">
      <c r="A408" s="11" t="s">
        <v>110</v>
      </c>
      <c r="B408" s="11" t="s">
        <v>128</v>
      </c>
      <c r="C408" s="11" t="s">
        <v>88</v>
      </c>
      <c r="D408" s="11" t="s">
        <v>89</v>
      </c>
      <c r="E408" s="11" t="s">
        <v>90</v>
      </c>
      <c r="F408" s="12" t="n">
        <f aca="false">SUMIFS(СПРОС_ДЕНЬ_ЧАС_МЕНЮ!$I$11:$I$3265,СПРОС_ДЕНЬ_ЧАС_МЕНЮ!$A$11:$A$3265,A408,СПРОС_ДЕНЬ_ЧАС_МЕНЮ!$B$11:$B$3265,B408,СПРОС_ДЕНЬ_ЧАС_МЕНЮ!$F$11:$F$3265,C408)</f>
        <v>1.1</v>
      </c>
      <c r="G408" s="12" t="n">
        <f aca="false">ПАРАМЕТРЫ!D25</f>
        <v>15</v>
      </c>
      <c r="H408" s="12" t="n">
        <f aca="false">SUMIFS(ШТАТ_ПО_ЧАСАМ!$C$11:$C$115,ШТАТ_ПО_ЧАСАМ!$A$11:$A$115,A408,ШТАТ_ПО_ЧАСАМ!$B$11:$B$115,B408)</f>
        <v>2</v>
      </c>
      <c r="I408" s="12" t="n">
        <f aca="false">MIN(H408,1)*ПАРАМЕТРЫ!E25</f>
        <v>10</v>
      </c>
      <c r="J408" s="12" t="n">
        <f aca="false">MIN(G408,I408)</f>
        <v>10</v>
      </c>
      <c r="K408" s="12" t="n">
        <f aca="false">MAX(F408-J408,0)</f>
        <v>0</v>
      </c>
      <c r="L408" s="12" t="n">
        <f aca="false">IF(J408=0,0,F408/J408)</f>
        <v>0.11</v>
      </c>
      <c r="M408" s="11" t="str">
        <f aca="false">IF(K408&gt;0,"BLOCKED","PASS")</f>
        <v>PASS</v>
      </c>
      <c r="N408" s="11" t="s">
        <v>233</v>
      </c>
    </row>
    <row r="409" customFormat="false" ht="23.85" hidden="false" customHeight="false" outlineLevel="0" collapsed="false">
      <c r="A409" s="11" t="s">
        <v>110</v>
      </c>
      <c r="B409" s="11" t="s">
        <v>128</v>
      </c>
      <c r="C409" s="11" t="s">
        <v>91</v>
      </c>
      <c r="D409" s="11" t="s">
        <v>92</v>
      </c>
      <c r="E409" s="11" t="s">
        <v>79</v>
      </c>
      <c r="F409" s="12" t="n">
        <f aca="false">SUMIFS(СПРОС_ДЕНЬ_ЧАС_МЕНЮ!$I$11:$I$3265,СПРОС_ДЕНЬ_ЧАС_МЕНЮ!$A$11:$A$3265,A409,СПРОС_ДЕНЬ_ЧАС_МЕНЮ!$B$11:$B$3265,B409,СПРОС_ДЕНЬ_ЧАС_МЕНЮ!$F$11:$F$3265,C409)</f>
        <v>0.6864</v>
      </c>
      <c r="G409" s="12" t="n">
        <f aca="false">ПАРАМЕТРЫ!D26</f>
        <v>20</v>
      </c>
      <c r="H409" s="12" t="n">
        <f aca="false">SUMIFS(ШТАТ_ПО_ЧАСАМ!$C$11:$C$115,ШТАТ_ПО_ЧАСАМ!$A$11:$A$115,A409,ШТАТ_ПО_ЧАСАМ!$B$11:$B$115,B409)</f>
        <v>2</v>
      </c>
      <c r="I409" s="12" t="n">
        <f aca="false">MIN(H409,1)*ПАРАМЕТРЫ!E26</f>
        <v>10</v>
      </c>
      <c r="J409" s="12" t="n">
        <f aca="false">MIN(G409,I409)</f>
        <v>10</v>
      </c>
      <c r="K409" s="12" t="n">
        <f aca="false">MAX(F409-J409,0)</f>
        <v>0</v>
      </c>
      <c r="L409" s="12" t="n">
        <f aca="false">IF(J409=0,0,F409/J409)</f>
        <v>0.06864</v>
      </c>
      <c r="M409" s="11" t="str">
        <f aca="false">IF(K409&gt;0,"BLOCKED","PASS")</f>
        <v>PASS</v>
      </c>
      <c r="N409" s="11" t="s">
        <v>233</v>
      </c>
    </row>
    <row r="410" customFormat="false" ht="15" hidden="false" customHeight="false" outlineLevel="0" collapsed="false">
      <c r="A410" s="11" t="s">
        <v>110</v>
      </c>
      <c r="B410" s="11" t="s">
        <v>128</v>
      </c>
      <c r="C410" s="11" t="s">
        <v>93</v>
      </c>
      <c r="D410" s="11" t="s">
        <v>234</v>
      </c>
      <c r="E410" s="11" t="s">
        <v>95</v>
      </c>
      <c r="F410" s="12" t="n">
        <f aca="false">SUMIFS(СПРОС_ДЕНЬ_ЧАС_МЕНЮ!$I$11:$I$3265,СПРОС_ДЕНЬ_ЧАС_МЕНЮ!$A$11:$A$3265,A410,СПРОС_ДЕНЬ_ЧАС_МЕНЮ!$B$11:$B$3265,B410)</f>
        <v>15.666508</v>
      </c>
      <c r="G410" s="12" t="n">
        <f aca="false">ПАРАМЕТРЫ!D27</f>
        <v>60</v>
      </c>
      <c r="H410" s="12" t="n">
        <f aca="false">SUMIFS(ШТАТ_ПО_ЧАСАМ!$C$11:$C$115,ШТАТ_ПО_ЧАСАМ!$A$11:$A$115,A410,ШТАТ_ПО_ЧАСАМ!$B$11:$B$115,B410)</f>
        <v>2</v>
      </c>
      <c r="I410" s="12" t="n">
        <f aca="false">H410*ПАРАМЕТРЫ!E27</f>
        <v>33.3333333333333</v>
      </c>
      <c r="J410" s="12" t="n">
        <f aca="false">MIN(G410,I410)</f>
        <v>33.3333333333333</v>
      </c>
      <c r="K410" s="12" t="n">
        <f aca="false">MAX(F410-J410,0)</f>
        <v>0</v>
      </c>
      <c r="L410" s="12" t="n">
        <f aca="false">IF(J410=0,0,F410/J410)</f>
        <v>0.46999524</v>
      </c>
      <c r="M410" s="11" t="str">
        <f aca="false">IF(K410&gt;0,"BLOCKED","PASS")</f>
        <v>PASS</v>
      </c>
      <c r="N410" s="11" t="s">
        <v>235</v>
      </c>
    </row>
    <row r="411" customFormat="false" ht="23.85" hidden="false" customHeight="false" outlineLevel="0" collapsed="false">
      <c r="A411" s="11" t="s">
        <v>110</v>
      </c>
      <c r="B411" s="11" t="s">
        <v>129</v>
      </c>
      <c r="C411" s="11" t="s">
        <v>73</v>
      </c>
      <c r="D411" s="11" t="s">
        <v>74</v>
      </c>
      <c r="E411" s="11" t="s">
        <v>75</v>
      </c>
      <c r="F411" s="12" t="n">
        <f aca="false">SUMIFS(СПРОС_ДЕНЬ_ЧАС_МЕНЮ!$I$11:$I$3265,СПРОС_ДЕНЬ_ЧАС_МЕНЮ!$A$11:$A$3265,A411,СПРОС_ДЕНЬ_ЧАС_МЕНЮ!$B$11:$B$3265,B411,СПРОС_ДЕНЬ_ЧАС_МЕНЮ!$F$11:$F$3265,C411)</f>
        <v>4.3582</v>
      </c>
      <c r="G411" s="12" t="n">
        <f aca="false">ПАРАМЕТРЫ!D20</f>
        <v>25</v>
      </c>
      <c r="H411" s="12" t="n">
        <f aca="false">SUMIFS(ШТАТ_ПО_ЧАСАМ!$C$11:$C$115,ШТАТ_ПО_ЧАСАМ!$A$11:$A$115,A411,ШТАТ_ПО_ЧАСАМ!$B$11:$B$115,B411)</f>
        <v>2</v>
      </c>
      <c r="I411" s="12" t="n">
        <f aca="false">MIN(H411,1)*ПАРАМЕТРЫ!E20</f>
        <v>10</v>
      </c>
      <c r="J411" s="12" t="n">
        <f aca="false">MIN(G411,I411)</f>
        <v>10</v>
      </c>
      <c r="K411" s="12" t="n">
        <f aca="false">MAX(F411-J411,0)</f>
        <v>0</v>
      </c>
      <c r="L411" s="12" t="n">
        <f aca="false">IF(J411=0,0,F411/J411)</f>
        <v>0.43582</v>
      </c>
      <c r="M411" s="11" t="str">
        <f aca="false">IF(K411&gt;0,"BLOCKED","PASS")</f>
        <v>PASS</v>
      </c>
      <c r="N411" s="11" t="s">
        <v>233</v>
      </c>
    </row>
    <row r="412" customFormat="false" ht="23.85" hidden="false" customHeight="false" outlineLevel="0" collapsed="false">
      <c r="A412" s="11" t="s">
        <v>110</v>
      </c>
      <c r="B412" s="11" t="s">
        <v>129</v>
      </c>
      <c r="C412" s="11" t="s">
        <v>77</v>
      </c>
      <c r="D412" s="11" t="s">
        <v>78</v>
      </c>
      <c r="E412" s="11" t="s">
        <v>79</v>
      </c>
      <c r="F412" s="12" t="n">
        <f aca="false">SUMIFS(СПРОС_ДЕНЬ_ЧАС_МЕНЮ!$I$11:$I$3265,СПРОС_ДЕНЬ_ЧАС_МЕНЮ!$A$11:$A$3265,A412,СПРОС_ДЕНЬ_ЧАС_МЕНЮ!$B$11:$B$3265,B412,СПРОС_ДЕНЬ_ЧАС_МЕНЮ!$F$11:$F$3265,C412)</f>
        <v>2.48292</v>
      </c>
      <c r="G412" s="12" t="n">
        <f aca="false">ПАРАМЕТРЫ!D21</f>
        <v>20</v>
      </c>
      <c r="H412" s="12" t="n">
        <f aca="false">SUMIFS(ШТАТ_ПО_ЧАСАМ!$C$11:$C$115,ШТАТ_ПО_ЧАСАМ!$A$11:$A$115,A412,ШТАТ_ПО_ЧАСАМ!$B$11:$B$115,B412)</f>
        <v>2</v>
      </c>
      <c r="I412" s="12" t="n">
        <f aca="false">MIN(H412,1)*ПАРАМЕТРЫ!E21</f>
        <v>10</v>
      </c>
      <c r="J412" s="12" t="n">
        <f aca="false">MIN(G412,I412)</f>
        <v>10</v>
      </c>
      <c r="K412" s="12" t="n">
        <f aca="false">MAX(F412-J412,0)</f>
        <v>0</v>
      </c>
      <c r="L412" s="12" t="n">
        <f aca="false">IF(J412=0,0,F412/J412)</f>
        <v>0.248292</v>
      </c>
      <c r="M412" s="11" t="str">
        <f aca="false">IF(K412&gt;0,"BLOCKED","PASS")</f>
        <v>PASS</v>
      </c>
      <c r="N412" s="11" t="s">
        <v>233</v>
      </c>
    </row>
    <row r="413" customFormat="false" ht="23.85" hidden="false" customHeight="false" outlineLevel="0" collapsed="false">
      <c r="A413" s="11" t="s">
        <v>110</v>
      </c>
      <c r="B413" s="11" t="s">
        <v>129</v>
      </c>
      <c r="C413" s="11" t="s">
        <v>80</v>
      </c>
      <c r="D413" s="11" t="s">
        <v>81</v>
      </c>
      <c r="E413" s="11" t="s">
        <v>82</v>
      </c>
      <c r="F413" s="12" t="n">
        <f aca="false">SUMIFS(СПРОС_ДЕНЬ_ЧАС_МЕНЮ!$I$11:$I$3265,СПРОС_ДЕНЬ_ЧАС_МЕНЮ!$A$11:$A$3265,A413,СПРОС_ДЕНЬ_ЧАС_МЕНЮ!$B$11:$B$3265,B413,СПРОС_ДЕНЬ_ЧАС_МЕНЮ!$F$11:$F$3265,C413)</f>
        <v>7.293</v>
      </c>
      <c r="G413" s="12" t="n">
        <f aca="false">ПАРАМЕТРЫ!D22</f>
        <v>16</v>
      </c>
      <c r="H413" s="12" t="n">
        <f aca="false">SUMIFS(ШТАТ_ПО_ЧАСАМ!$C$11:$C$115,ШТАТ_ПО_ЧАСАМ!$A$11:$A$115,A413,ШТАТ_ПО_ЧАСАМ!$B$11:$B$115,B413)</f>
        <v>2</v>
      </c>
      <c r="I413" s="12" t="n">
        <f aca="false">MIN(H413,1)*ПАРАМЕТРЫ!E22</f>
        <v>16</v>
      </c>
      <c r="J413" s="12" t="n">
        <f aca="false">MIN(G413,I413)</f>
        <v>16</v>
      </c>
      <c r="K413" s="12" t="n">
        <f aca="false">MAX(F413-J413,0)</f>
        <v>0</v>
      </c>
      <c r="L413" s="12" t="n">
        <f aca="false">IF(J413=0,0,F413/J413)</f>
        <v>0.4558125</v>
      </c>
      <c r="M413" s="11" t="str">
        <f aca="false">IF(K413&gt;0,"BLOCKED","PASS")</f>
        <v>PASS</v>
      </c>
      <c r="N413" s="11" t="s">
        <v>233</v>
      </c>
    </row>
    <row r="414" customFormat="false" ht="23.85" hidden="false" customHeight="false" outlineLevel="0" collapsed="false">
      <c r="A414" s="11" t="s">
        <v>110</v>
      </c>
      <c r="B414" s="11" t="s">
        <v>129</v>
      </c>
      <c r="C414" s="11" t="s">
        <v>83</v>
      </c>
      <c r="D414" s="11" t="s">
        <v>84</v>
      </c>
      <c r="E414" s="11" t="s">
        <v>83</v>
      </c>
      <c r="F414" s="12" t="n">
        <f aca="false">SUMIFS(СПРОС_ДЕНЬ_ЧАС_МЕНЮ!$I$11:$I$3265,СПРОС_ДЕНЬ_ЧАС_МЕНЮ!$A$11:$A$3265,A414,СПРОС_ДЕНЬ_ЧАС_МЕНЮ!$B$11:$B$3265,B414,СПРОС_ДЕНЬ_ЧАС_МЕНЮ!$F$11:$F$3265,C414)</f>
        <v>20.372</v>
      </c>
      <c r="G414" s="12" t="n">
        <f aca="false">ПАРАМЕТРЫ!D23</f>
        <v>21</v>
      </c>
      <c r="H414" s="12" t="n">
        <f aca="false">SUMIFS(ШТАТ_ПО_ЧАСАМ!$C$11:$C$115,ШТАТ_ПО_ЧАСАМ!$A$11:$A$115,A414,ШТАТ_ПО_ЧАСАМ!$B$11:$B$115,B414)</f>
        <v>2</v>
      </c>
      <c r="I414" s="12" t="n">
        <f aca="false">MIN(H414,1)*ПАРАМЕТРЫ!E23</f>
        <v>21</v>
      </c>
      <c r="J414" s="12" t="n">
        <f aca="false">MIN(G414,I414)</f>
        <v>21</v>
      </c>
      <c r="K414" s="12" t="n">
        <f aca="false">MAX(F414-J414,0)</f>
        <v>0</v>
      </c>
      <c r="L414" s="12" t="n">
        <f aca="false">IF(J414=0,0,F414/J414)</f>
        <v>0.970095238095238</v>
      </c>
      <c r="M414" s="11" t="str">
        <f aca="false">IF(K414&gt;0,"BLOCKED","PASS")</f>
        <v>PASS</v>
      </c>
      <c r="N414" s="11" t="s">
        <v>233</v>
      </c>
    </row>
    <row r="415" customFormat="false" ht="23.85" hidden="false" customHeight="false" outlineLevel="0" collapsed="false">
      <c r="A415" s="11" t="s">
        <v>110</v>
      </c>
      <c r="B415" s="11" t="s">
        <v>129</v>
      </c>
      <c r="C415" s="11" t="s">
        <v>85</v>
      </c>
      <c r="D415" s="11" t="s">
        <v>86</v>
      </c>
      <c r="E415" s="11" t="s">
        <v>87</v>
      </c>
      <c r="F415" s="12" t="n">
        <f aca="false">SUMIFS(СПРОС_ДЕНЬ_ЧАС_МЕНЮ!$I$11:$I$3265,СПРОС_ДЕНЬ_ЧАС_МЕНЮ!$A$11:$A$3265,A415,СПРОС_ДЕНЬ_ЧАС_МЕНЮ!$B$11:$B$3265,B415,СПРОС_ДЕНЬ_ЧАС_МЕНЮ!$F$11:$F$3265,C415)</f>
        <v>8.321918</v>
      </c>
      <c r="G415" s="12" t="n">
        <f aca="false">ПАРАМЕТРЫ!D24</f>
        <v>12</v>
      </c>
      <c r="H415" s="12" t="n">
        <f aca="false">SUMIFS(ШТАТ_ПО_ЧАСАМ!$C$11:$C$115,ШТАТ_ПО_ЧАСАМ!$A$11:$A$115,A415,ШТАТ_ПО_ЧАСАМ!$B$11:$B$115,B415)</f>
        <v>2</v>
      </c>
      <c r="I415" s="12" t="n">
        <f aca="false">MIN(H415,1)*ПАРАМЕТРЫ!E24</f>
        <v>12</v>
      </c>
      <c r="J415" s="12" t="n">
        <f aca="false">MIN(G415,I415)</f>
        <v>12</v>
      </c>
      <c r="K415" s="12" t="n">
        <f aca="false">MAX(F415-J415,0)</f>
        <v>0</v>
      </c>
      <c r="L415" s="12" t="n">
        <f aca="false">IF(J415=0,0,F415/J415)</f>
        <v>0.693493166666667</v>
      </c>
      <c r="M415" s="11" t="str">
        <f aca="false">IF(K415&gt;0,"BLOCKED","PASS")</f>
        <v>PASS</v>
      </c>
      <c r="N415" s="11" t="s">
        <v>233</v>
      </c>
    </row>
    <row r="416" customFormat="false" ht="23.85" hidden="false" customHeight="false" outlineLevel="0" collapsed="false">
      <c r="A416" s="11" t="s">
        <v>110</v>
      </c>
      <c r="B416" s="11" t="s">
        <v>129</v>
      </c>
      <c r="C416" s="11" t="s">
        <v>88</v>
      </c>
      <c r="D416" s="11" t="s">
        <v>89</v>
      </c>
      <c r="E416" s="11" t="s">
        <v>90</v>
      </c>
      <c r="F416" s="12" t="n">
        <f aca="false">SUMIFS(СПРОС_ДЕНЬ_ЧАС_МЕНЮ!$I$11:$I$3265,СПРОС_ДЕНЬ_ЧАС_МЕНЮ!$A$11:$A$3265,A416,СПРОС_ДЕНЬ_ЧАС_МЕНЮ!$B$11:$B$3265,B416,СПРОС_ДЕНЬ_ЧАС_МЕНЮ!$F$11:$F$3265,C416)</f>
        <v>0</v>
      </c>
      <c r="G416" s="12" t="n">
        <f aca="false">ПАРАМЕТРЫ!D25</f>
        <v>15</v>
      </c>
      <c r="H416" s="12" t="n">
        <f aca="false">SUMIFS(ШТАТ_ПО_ЧАСАМ!$C$11:$C$115,ШТАТ_ПО_ЧАСАМ!$A$11:$A$115,A416,ШТАТ_ПО_ЧАСАМ!$B$11:$B$115,B416)</f>
        <v>2</v>
      </c>
      <c r="I416" s="12" t="n">
        <f aca="false">MIN(H416,1)*ПАРАМЕТРЫ!E25</f>
        <v>10</v>
      </c>
      <c r="J416" s="12" t="n">
        <f aca="false">MIN(G416,I416)</f>
        <v>10</v>
      </c>
      <c r="K416" s="12" t="n">
        <f aca="false">MAX(F416-J416,0)</f>
        <v>0</v>
      </c>
      <c r="L416" s="12" t="n">
        <f aca="false">IF(J416=0,0,F416/J416)</f>
        <v>0</v>
      </c>
      <c r="M416" s="11" t="str">
        <f aca="false">IF(K416&gt;0,"BLOCKED","PASS")</f>
        <v>PASS</v>
      </c>
      <c r="N416" s="11" t="s">
        <v>233</v>
      </c>
    </row>
    <row r="417" customFormat="false" ht="23.85" hidden="false" customHeight="false" outlineLevel="0" collapsed="false">
      <c r="A417" s="11" t="s">
        <v>110</v>
      </c>
      <c r="B417" s="11" t="s">
        <v>129</v>
      </c>
      <c r="C417" s="11" t="s">
        <v>91</v>
      </c>
      <c r="D417" s="11" t="s">
        <v>92</v>
      </c>
      <c r="E417" s="11" t="s">
        <v>79</v>
      </c>
      <c r="F417" s="12" t="n">
        <f aca="false">SUMIFS(СПРОС_ДЕНЬ_ЧАС_МЕНЮ!$I$11:$I$3265,СПРОС_ДЕНЬ_ЧАС_МЕНЮ!$A$11:$A$3265,A417,СПРОС_ДЕНЬ_ЧАС_МЕНЮ!$B$11:$B$3265,B417,СПРОС_ДЕНЬ_ЧАС_МЕНЮ!$F$11:$F$3265,C417)</f>
        <v>0.9504</v>
      </c>
      <c r="G417" s="12" t="n">
        <f aca="false">ПАРАМЕТРЫ!D26</f>
        <v>20</v>
      </c>
      <c r="H417" s="12" t="n">
        <f aca="false">SUMIFS(ШТАТ_ПО_ЧАСАМ!$C$11:$C$115,ШТАТ_ПО_ЧАСАМ!$A$11:$A$115,A417,ШТАТ_ПО_ЧАСАМ!$B$11:$B$115,B417)</f>
        <v>2</v>
      </c>
      <c r="I417" s="12" t="n">
        <f aca="false">MIN(H417,1)*ПАРАМЕТРЫ!E26</f>
        <v>10</v>
      </c>
      <c r="J417" s="12" t="n">
        <f aca="false">MIN(G417,I417)</f>
        <v>10</v>
      </c>
      <c r="K417" s="12" t="n">
        <f aca="false">MAX(F417-J417,0)</f>
        <v>0</v>
      </c>
      <c r="L417" s="12" t="n">
        <f aca="false">IF(J417=0,0,F417/J417)</f>
        <v>0.09504</v>
      </c>
      <c r="M417" s="11" t="str">
        <f aca="false">IF(K417&gt;0,"BLOCKED","PASS")</f>
        <v>PASS</v>
      </c>
      <c r="N417" s="11" t="s">
        <v>233</v>
      </c>
    </row>
    <row r="418" customFormat="false" ht="15" hidden="false" customHeight="false" outlineLevel="0" collapsed="false">
      <c r="A418" s="11" t="s">
        <v>110</v>
      </c>
      <c r="B418" s="11" t="s">
        <v>129</v>
      </c>
      <c r="C418" s="11" t="s">
        <v>93</v>
      </c>
      <c r="D418" s="11" t="s">
        <v>234</v>
      </c>
      <c r="E418" s="11" t="s">
        <v>95</v>
      </c>
      <c r="F418" s="12" t="n">
        <f aca="false">SUMIFS(СПРОС_ДЕНЬ_ЧАС_МЕНЮ!$I$11:$I$3265,СПРОС_ДЕНЬ_ЧАС_МЕНЮ!$A$11:$A$3265,A418,СПРОС_ДЕНЬ_ЧАС_МЕНЮ!$B$11:$B$3265,B418)</f>
        <v>43.778438</v>
      </c>
      <c r="G418" s="12" t="n">
        <f aca="false">ПАРАМЕТРЫ!D27</f>
        <v>60</v>
      </c>
      <c r="H418" s="12" t="n">
        <f aca="false">SUMIFS(ШТАТ_ПО_ЧАСАМ!$C$11:$C$115,ШТАТ_ПО_ЧАСАМ!$A$11:$A$115,A418,ШТАТ_ПО_ЧАСАМ!$B$11:$B$115,B418)</f>
        <v>2</v>
      </c>
      <c r="I418" s="12" t="n">
        <f aca="false">H418*ПАРАМЕТРЫ!E27</f>
        <v>33.3333333333333</v>
      </c>
      <c r="J418" s="12" t="n">
        <f aca="false">MIN(G418,I418)</f>
        <v>33.3333333333333</v>
      </c>
      <c r="K418" s="12" t="n">
        <f aca="false">MAX(F418-J418,0)</f>
        <v>10.4451046666667</v>
      </c>
      <c r="L418" s="12" t="n">
        <f aca="false">IF(J418=0,0,F418/J418)</f>
        <v>1.31335314</v>
      </c>
      <c r="M418" s="11" t="str">
        <f aca="false">IF(K418&gt;0,"BLOCKED","PASS")</f>
        <v>BLOCKED</v>
      </c>
      <c r="N418" s="11" t="s">
        <v>235</v>
      </c>
    </row>
    <row r="419" customFormat="false" ht="23.85" hidden="false" customHeight="false" outlineLevel="0" collapsed="false">
      <c r="A419" s="11" t="s">
        <v>110</v>
      </c>
      <c r="B419" s="11" t="s">
        <v>130</v>
      </c>
      <c r="C419" s="11" t="s">
        <v>73</v>
      </c>
      <c r="D419" s="11" t="s">
        <v>74</v>
      </c>
      <c r="E419" s="11" t="s">
        <v>75</v>
      </c>
      <c r="F419" s="12" t="n">
        <f aca="false">SUMIFS(СПРОС_ДЕНЬ_ЧАС_МЕНЮ!$I$11:$I$3265,СПРОС_ДЕНЬ_ЧАС_МЕНЮ!$A$11:$A$3265,A419,СПРОС_ДЕНЬ_ЧАС_МЕНЮ!$B$11:$B$3265,B419,СПРОС_ДЕНЬ_ЧАС_МЕНЮ!$F$11:$F$3265,C419)</f>
        <v>4.499</v>
      </c>
      <c r="G419" s="12" t="n">
        <f aca="false">ПАРАМЕТРЫ!D20</f>
        <v>25</v>
      </c>
      <c r="H419" s="12" t="n">
        <f aca="false">SUMIFS(ШТАТ_ПО_ЧАСАМ!$C$11:$C$115,ШТАТ_ПО_ЧАСАМ!$A$11:$A$115,A419,ШТАТ_ПО_ЧАСАМ!$B$11:$B$115,B419)</f>
        <v>2</v>
      </c>
      <c r="I419" s="12" t="n">
        <f aca="false">MIN(H419,1)*ПАРАМЕТРЫ!E20</f>
        <v>10</v>
      </c>
      <c r="J419" s="12" t="n">
        <f aca="false">MIN(G419,I419)</f>
        <v>10</v>
      </c>
      <c r="K419" s="12" t="n">
        <f aca="false">MAX(F419-J419,0)</f>
        <v>0</v>
      </c>
      <c r="L419" s="12" t="n">
        <f aca="false">IF(J419=0,0,F419/J419)</f>
        <v>0.4499</v>
      </c>
      <c r="M419" s="11" t="str">
        <f aca="false">IF(K419&gt;0,"BLOCKED","PASS")</f>
        <v>PASS</v>
      </c>
      <c r="N419" s="11" t="s">
        <v>233</v>
      </c>
    </row>
    <row r="420" customFormat="false" ht="23.85" hidden="false" customHeight="false" outlineLevel="0" collapsed="false">
      <c r="A420" s="11" t="s">
        <v>110</v>
      </c>
      <c r="B420" s="11" t="s">
        <v>130</v>
      </c>
      <c r="C420" s="11" t="s">
        <v>77</v>
      </c>
      <c r="D420" s="11" t="s">
        <v>78</v>
      </c>
      <c r="E420" s="11" t="s">
        <v>79</v>
      </c>
      <c r="F420" s="12" t="n">
        <f aca="false">SUMIFS(СПРОС_ДЕНЬ_ЧАС_МЕНЮ!$I$11:$I$3265,СПРОС_ДЕНЬ_ЧАС_МЕНЮ!$A$11:$A$3265,A420,СПРОС_ДЕНЬ_ЧАС_МЕНЮ!$B$11:$B$3265,B420,СПРОС_ДЕНЬ_ЧАС_МЕНЮ!$F$11:$F$3265,C420)</f>
        <v>2.5674</v>
      </c>
      <c r="G420" s="12" t="n">
        <f aca="false">ПАРАМЕТРЫ!D21</f>
        <v>20</v>
      </c>
      <c r="H420" s="12" t="n">
        <f aca="false">SUMIFS(ШТАТ_ПО_ЧАСАМ!$C$11:$C$115,ШТАТ_ПО_ЧАСАМ!$A$11:$A$115,A420,ШТАТ_ПО_ЧАСАМ!$B$11:$B$115,B420)</f>
        <v>2</v>
      </c>
      <c r="I420" s="12" t="n">
        <f aca="false">MIN(H420,1)*ПАРАМЕТРЫ!E21</f>
        <v>10</v>
      </c>
      <c r="J420" s="12" t="n">
        <f aca="false">MIN(G420,I420)</f>
        <v>10</v>
      </c>
      <c r="K420" s="12" t="n">
        <f aca="false">MAX(F420-J420,0)</f>
        <v>0</v>
      </c>
      <c r="L420" s="12" t="n">
        <f aca="false">IF(J420=0,0,F420/J420)</f>
        <v>0.25674</v>
      </c>
      <c r="M420" s="11" t="str">
        <f aca="false">IF(K420&gt;0,"BLOCKED","PASS")</f>
        <v>PASS</v>
      </c>
      <c r="N420" s="11" t="s">
        <v>233</v>
      </c>
    </row>
    <row r="421" customFormat="false" ht="23.85" hidden="false" customHeight="false" outlineLevel="0" collapsed="false">
      <c r="A421" s="11" t="s">
        <v>110</v>
      </c>
      <c r="B421" s="11" t="s">
        <v>130</v>
      </c>
      <c r="C421" s="11" t="s">
        <v>80</v>
      </c>
      <c r="D421" s="11" t="s">
        <v>81</v>
      </c>
      <c r="E421" s="11" t="s">
        <v>82</v>
      </c>
      <c r="F421" s="12" t="n">
        <f aca="false">SUMIFS(СПРОС_ДЕНЬ_ЧАС_МЕНЮ!$I$11:$I$3265,СПРОС_ДЕНЬ_ЧАС_МЕНЮ!$A$11:$A$3265,A421,СПРОС_ДЕНЬ_ЧАС_МЕНЮ!$B$11:$B$3265,B421,СПРОС_ДЕНЬ_ЧАС_МЕНЮ!$F$11:$F$3265,C421)</f>
        <v>7.645</v>
      </c>
      <c r="G421" s="12" t="n">
        <f aca="false">ПАРАМЕТРЫ!D22</f>
        <v>16</v>
      </c>
      <c r="H421" s="12" t="n">
        <f aca="false">SUMIFS(ШТАТ_ПО_ЧАСАМ!$C$11:$C$115,ШТАТ_ПО_ЧАСАМ!$A$11:$A$115,A421,ШТАТ_ПО_ЧАСАМ!$B$11:$B$115,B421)</f>
        <v>2</v>
      </c>
      <c r="I421" s="12" t="n">
        <f aca="false">MIN(H421,1)*ПАРАМЕТРЫ!E22</f>
        <v>16</v>
      </c>
      <c r="J421" s="12" t="n">
        <f aca="false">MIN(G421,I421)</f>
        <v>16</v>
      </c>
      <c r="K421" s="12" t="n">
        <f aca="false">MAX(F421-J421,0)</f>
        <v>0</v>
      </c>
      <c r="L421" s="12" t="n">
        <f aca="false">IF(J421=0,0,F421/J421)</f>
        <v>0.4778125</v>
      </c>
      <c r="M421" s="11" t="str">
        <f aca="false">IF(K421&gt;0,"BLOCKED","PASS")</f>
        <v>PASS</v>
      </c>
      <c r="N421" s="11" t="s">
        <v>233</v>
      </c>
    </row>
    <row r="422" customFormat="false" ht="23.85" hidden="false" customHeight="false" outlineLevel="0" collapsed="false">
      <c r="A422" s="11" t="s">
        <v>110</v>
      </c>
      <c r="B422" s="11" t="s">
        <v>130</v>
      </c>
      <c r="C422" s="11" t="s">
        <v>83</v>
      </c>
      <c r="D422" s="11" t="s">
        <v>84</v>
      </c>
      <c r="E422" s="11" t="s">
        <v>83</v>
      </c>
      <c r="F422" s="12" t="n">
        <f aca="false">SUMIFS(СПРОС_ДЕНЬ_ЧАС_МЕНЮ!$I$11:$I$3265,СПРОС_ДЕНЬ_ЧАС_МЕНЮ!$A$11:$A$3265,A422,СПРОС_ДЕНЬ_ЧАС_МЕНЮ!$B$11:$B$3265,B422,СПРОС_ДЕНЬ_ЧАС_МЕНЮ!$F$11:$F$3265,C422)</f>
        <v>20.9</v>
      </c>
      <c r="G422" s="12" t="n">
        <f aca="false">ПАРАМЕТРЫ!D23</f>
        <v>21</v>
      </c>
      <c r="H422" s="12" t="n">
        <f aca="false">SUMIFS(ШТАТ_ПО_ЧАСАМ!$C$11:$C$115,ШТАТ_ПО_ЧАСАМ!$A$11:$A$115,A422,ШТАТ_ПО_ЧАСАМ!$B$11:$B$115,B422)</f>
        <v>2</v>
      </c>
      <c r="I422" s="12" t="n">
        <f aca="false">MIN(H422,1)*ПАРАМЕТРЫ!E23</f>
        <v>21</v>
      </c>
      <c r="J422" s="12" t="n">
        <f aca="false">MIN(G422,I422)</f>
        <v>21</v>
      </c>
      <c r="K422" s="12" t="n">
        <f aca="false">MAX(F422-J422,0)</f>
        <v>0</v>
      </c>
      <c r="L422" s="12" t="n">
        <f aca="false">IF(J422=0,0,F422/J422)</f>
        <v>0.995238095238095</v>
      </c>
      <c r="M422" s="11" t="str">
        <f aca="false">IF(K422&gt;0,"BLOCKED","PASS")</f>
        <v>PASS</v>
      </c>
      <c r="N422" s="11" t="s">
        <v>233</v>
      </c>
    </row>
    <row r="423" customFormat="false" ht="23.85" hidden="false" customHeight="false" outlineLevel="0" collapsed="false">
      <c r="A423" s="11" t="s">
        <v>110</v>
      </c>
      <c r="B423" s="11" t="s">
        <v>130</v>
      </c>
      <c r="C423" s="11" t="s">
        <v>85</v>
      </c>
      <c r="D423" s="11" t="s">
        <v>86</v>
      </c>
      <c r="E423" s="11" t="s">
        <v>87</v>
      </c>
      <c r="F423" s="12" t="n">
        <f aca="false">SUMIFS(СПРОС_ДЕНЬ_ЧАС_МЕНЮ!$I$11:$I$3265,СПРОС_ДЕНЬ_ЧАС_МЕНЮ!$A$11:$A$3265,A423,СПРОС_ДЕНЬ_ЧАС_МЕНЮ!$B$11:$B$3265,B423,СПРОС_ДЕНЬ_ЧАС_МЕНЮ!$F$11:$F$3265,C423)</f>
        <v>8.59771</v>
      </c>
      <c r="G423" s="12" t="n">
        <f aca="false">ПАРАМЕТРЫ!D24</f>
        <v>12</v>
      </c>
      <c r="H423" s="12" t="n">
        <f aca="false">SUMIFS(ШТАТ_ПО_ЧАСАМ!$C$11:$C$115,ШТАТ_ПО_ЧАСАМ!$A$11:$A$115,A423,ШТАТ_ПО_ЧАСАМ!$B$11:$B$115,B423)</f>
        <v>2</v>
      </c>
      <c r="I423" s="12" t="n">
        <f aca="false">MIN(H423,1)*ПАРАМЕТРЫ!E24</f>
        <v>12</v>
      </c>
      <c r="J423" s="12" t="n">
        <f aca="false">MIN(G423,I423)</f>
        <v>12</v>
      </c>
      <c r="K423" s="12" t="n">
        <f aca="false">MAX(F423-J423,0)</f>
        <v>0</v>
      </c>
      <c r="L423" s="12" t="n">
        <f aca="false">IF(J423=0,0,F423/J423)</f>
        <v>0.716475833333333</v>
      </c>
      <c r="M423" s="11" t="str">
        <f aca="false">IF(K423&gt;0,"BLOCKED","PASS")</f>
        <v>PASS</v>
      </c>
      <c r="N423" s="11" t="s">
        <v>233</v>
      </c>
    </row>
    <row r="424" customFormat="false" ht="23.85" hidden="false" customHeight="false" outlineLevel="0" collapsed="false">
      <c r="A424" s="11" t="s">
        <v>110</v>
      </c>
      <c r="B424" s="11" t="s">
        <v>130</v>
      </c>
      <c r="C424" s="11" t="s">
        <v>88</v>
      </c>
      <c r="D424" s="11" t="s">
        <v>89</v>
      </c>
      <c r="E424" s="11" t="s">
        <v>90</v>
      </c>
      <c r="F424" s="12" t="n">
        <f aca="false">SUMIFS(СПРОС_ДЕНЬ_ЧАС_МЕНЮ!$I$11:$I$3265,СПРОС_ДЕНЬ_ЧАС_МЕНЮ!$A$11:$A$3265,A424,СПРОС_ДЕНЬ_ЧАС_МЕНЮ!$B$11:$B$3265,B424,СПРОС_ДЕНЬ_ЧАС_МЕНЮ!$F$11:$F$3265,C424)</f>
        <v>0</v>
      </c>
      <c r="G424" s="12" t="n">
        <f aca="false">ПАРАМЕТРЫ!D25</f>
        <v>15</v>
      </c>
      <c r="H424" s="12" t="n">
        <f aca="false">SUMIFS(ШТАТ_ПО_ЧАСАМ!$C$11:$C$115,ШТАТ_ПО_ЧАСАМ!$A$11:$A$115,A424,ШТАТ_ПО_ЧАСАМ!$B$11:$B$115,B424)</f>
        <v>2</v>
      </c>
      <c r="I424" s="12" t="n">
        <f aca="false">MIN(H424,1)*ПАРАМЕТРЫ!E25</f>
        <v>10</v>
      </c>
      <c r="J424" s="12" t="n">
        <f aca="false">MIN(G424,I424)</f>
        <v>10</v>
      </c>
      <c r="K424" s="12" t="n">
        <f aca="false">MAX(F424-J424,0)</f>
        <v>0</v>
      </c>
      <c r="L424" s="12" t="n">
        <f aca="false">IF(J424=0,0,F424/J424)</f>
        <v>0</v>
      </c>
      <c r="M424" s="11" t="str">
        <f aca="false">IF(K424&gt;0,"BLOCKED","PASS")</f>
        <v>PASS</v>
      </c>
      <c r="N424" s="11" t="s">
        <v>233</v>
      </c>
    </row>
    <row r="425" customFormat="false" ht="23.85" hidden="false" customHeight="false" outlineLevel="0" collapsed="false">
      <c r="A425" s="11" t="s">
        <v>110</v>
      </c>
      <c r="B425" s="11" t="s">
        <v>130</v>
      </c>
      <c r="C425" s="11" t="s">
        <v>91</v>
      </c>
      <c r="D425" s="11" t="s">
        <v>92</v>
      </c>
      <c r="E425" s="11" t="s">
        <v>79</v>
      </c>
      <c r="F425" s="12" t="n">
        <f aca="false">SUMIFS(СПРОС_ДЕНЬ_ЧАС_МЕНЮ!$I$11:$I$3265,СПРОС_ДЕНЬ_ЧАС_МЕНЮ!$A$11:$A$3265,A425,СПРОС_ДЕНЬ_ЧАС_МЕНЮ!$B$11:$B$3265,B425,СПРОС_ДЕНЬ_ЧАС_МЕНЮ!$F$11:$F$3265,C425)</f>
        <v>1.056</v>
      </c>
      <c r="G425" s="12" t="n">
        <f aca="false">ПАРАМЕТРЫ!D26</f>
        <v>20</v>
      </c>
      <c r="H425" s="12" t="n">
        <f aca="false">SUMIFS(ШТАТ_ПО_ЧАСАМ!$C$11:$C$115,ШТАТ_ПО_ЧАСАМ!$A$11:$A$115,A425,ШТАТ_ПО_ЧАСАМ!$B$11:$B$115,B425)</f>
        <v>2</v>
      </c>
      <c r="I425" s="12" t="n">
        <f aca="false">MIN(H425,1)*ПАРАМЕТРЫ!E26</f>
        <v>10</v>
      </c>
      <c r="J425" s="12" t="n">
        <f aca="false">MIN(G425,I425)</f>
        <v>10</v>
      </c>
      <c r="K425" s="12" t="n">
        <f aca="false">MAX(F425-J425,0)</f>
        <v>0</v>
      </c>
      <c r="L425" s="12" t="n">
        <f aca="false">IF(J425=0,0,F425/J425)</f>
        <v>0.1056</v>
      </c>
      <c r="M425" s="11" t="str">
        <f aca="false">IF(K425&gt;0,"BLOCKED","PASS")</f>
        <v>PASS</v>
      </c>
      <c r="N425" s="11" t="s">
        <v>233</v>
      </c>
    </row>
    <row r="426" customFormat="false" ht="15" hidden="false" customHeight="false" outlineLevel="0" collapsed="false">
      <c r="A426" s="11" t="s">
        <v>110</v>
      </c>
      <c r="B426" s="11" t="s">
        <v>130</v>
      </c>
      <c r="C426" s="11" t="s">
        <v>93</v>
      </c>
      <c r="D426" s="11" t="s">
        <v>234</v>
      </c>
      <c r="E426" s="11" t="s">
        <v>95</v>
      </c>
      <c r="F426" s="12" t="n">
        <f aca="false">SUMIFS(СПРОС_ДЕНЬ_ЧАС_МЕНЮ!$I$11:$I$3265,СПРОС_ДЕНЬ_ЧАС_МЕНЮ!$A$11:$A$3265,A426,СПРОС_ДЕНЬ_ЧАС_МЕНЮ!$B$11:$B$3265,B426)</f>
        <v>45.26511</v>
      </c>
      <c r="G426" s="12" t="n">
        <f aca="false">ПАРАМЕТРЫ!D27</f>
        <v>60</v>
      </c>
      <c r="H426" s="12" t="n">
        <f aca="false">SUMIFS(ШТАТ_ПО_ЧАСАМ!$C$11:$C$115,ШТАТ_ПО_ЧАСАМ!$A$11:$A$115,A426,ШТАТ_ПО_ЧАСАМ!$B$11:$B$115,B426)</f>
        <v>2</v>
      </c>
      <c r="I426" s="12" t="n">
        <f aca="false">H426*ПАРАМЕТРЫ!E27</f>
        <v>33.3333333333333</v>
      </c>
      <c r="J426" s="12" t="n">
        <f aca="false">MIN(G426,I426)</f>
        <v>33.3333333333333</v>
      </c>
      <c r="K426" s="12" t="n">
        <f aca="false">MAX(F426-J426,0)</f>
        <v>11.9317766666667</v>
      </c>
      <c r="L426" s="12" t="n">
        <f aca="false">IF(J426=0,0,F426/J426)</f>
        <v>1.3579533</v>
      </c>
      <c r="M426" s="11" t="str">
        <f aca="false">IF(K426&gt;0,"BLOCKED","PASS")</f>
        <v>BLOCKED</v>
      </c>
      <c r="N426" s="11" t="s">
        <v>235</v>
      </c>
    </row>
    <row r="427" customFormat="false" ht="23.85" hidden="false" customHeight="false" outlineLevel="0" collapsed="false">
      <c r="A427" s="11" t="s">
        <v>110</v>
      </c>
      <c r="B427" s="11" t="s">
        <v>131</v>
      </c>
      <c r="C427" s="11" t="s">
        <v>73</v>
      </c>
      <c r="D427" s="11" t="s">
        <v>74</v>
      </c>
      <c r="E427" s="11" t="s">
        <v>75</v>
      </c>
      <c r="F427" s="12" t="n">
        <f aca="false">SUMIFS(СПРОС_ДЕНЬ_ЧАС_МЕНЮ!$I$11:$I$3265,СПРОС_ДЕНЬ_ЧАС_МЕНЮ!$A$11:$A$3265,A427,СПРОС_ДЕНЬ_ЧАС_МЕНЮ!$B$11:$B$3265,B427,СПРОС_ДЕНЬ_ЧАС_МЕНЮ!$F$11:$F$3265,C427)</f>
        <v>2.2253</v>
      </c>
      <c r="G427" s="12" t="n">
        <f aca="false">ПАРАМЕТРЫ!D20</f>
        <v>25</v>
      </c>
      <c r="H427" s="12" t="n">
        <f aca="false">SUMIFS(ШТАТ_ПО_ЧАСАМ!$C$11:$C$115,ШТАТ_ПО_ЧАСАМ!$A$11:$A$115,A427,ШТАТ_ПО_ЧАСАМ!$B$11:$B$115,B427)</f>
        <v>2</v>
      </c>
      <c r="I427" s="12" t="n">
        <f aca="false">MIN(H427,1)*ПАРАМЕТРЫ!E20</f>
        <v>10</v>
      </c>
      <c r="J427" s="12" t="n">
        <f aca="false">MIN(G427,I427)</f>
        <v>10</v>
      </c>
      <c r="K427" s="12" t="n">
        <f aca="false">MAX(F427-J427,0)</f>
        <v>0</v>
      </c>
      <c r="L427" s="12" t="n">
        <f aca="false">IF(J427=0,0,F427/J427)</f>
        <v>0.22253</v>
      </c>
      <c r="M427" s="11" t="str">
        <f aca="false">IF(K427&gt;0,"BLOCKED","PASS")</f>
        <v>PASS</v>
      </c>
      <c r="N427" s="11" t="s">
        <v>233</v>
      </c>
    </row>
    <row r="428" customFormat="false" ht="23.85" hidden="false" customHeight="false" outlineLevel="0" collapsed="false">
      <c r="A428" s="11" t="s">
        <v>110</v>
      </c>
      <c r="B428" s="11" t="s">
        <v>131</v>
      </c>
      <c r="C428" s="11" t="s">
        <v>77</v>
      </c>
      <c r="D428" s="11" t="s">
        <v>78</v>
      </c>
      <c r="E428" s="11" t="s">
        <v>79</v>
      </c>
      <c r="F428" s="12" t="n">
        <f aca="false">SUMIFS(СПРОС_ДЕНЬ_ЧАС_МЕНЮ!$I$11:$I$3265,СПРОС_ДЕНЬ_ЧАС_МЕНЮ!$A$11:$A$3265,A428,СПРОС_ДЕНЬ_ЧАС_МЕНЮ!$B$11:$B$3265,B428,СПРОС_ДЕНЬ_ЧАС_МЕНЮ!$F$11:$F$3265,C428)</f>
        <v>1.83018</v>
      </c>
      <c r="G428" s="12" t="n">
        <f aca="false">ПАРАМЕТРЫ!D21</f>
        <v>20</v>
      </c>
      <c r="H428" s="12" t="n">
        <f aca="false">SUMIFS(ШТАТ_ПО_ЧАСАМ!$C$11:$C$115,ШТАТ_ПО_ЧАСАМ!$A$11:$A$115,A428,ШТАТ_ПО_ЧАСАМ!$B$11:$B$115,B428)</f>
        <v>2</v>
      </c>
      <c r="I428" s="12" t="n">
        <f aca="false">MIN(H428,1)*ПАРАМЕТРЫ!E21</f>
        <v>10</v>
      </c>
      <c r="J428" s="12" t="n">
        <f aca="false">MIN(G428,I428)</f>
        <v>10</v>
      </c>
      <c r="K428" s="12" t="n">
        <f aca="false">MAX(F428-J428,0)</f>
        <v>0</v>
      </c>
      <c r="L428" s="12" t="n">
        <f aca="false">IF(J428=0,0,F428/J428)</f>
        <v>0.183018</v>
      </c>
      <c r="M428" s="11" t="str">
        <f aca="false">IF(K428&gt;0,"BLOCKED","PASS")</f>
        <v>PASS</v>
      </c>
      <c r="N428" s="11" t="s">
        <v>233</v>
      </c>
    </row>
    <row r="429" customFormat="false" ht="23.85" hidden="false" customHeight="false" outlineLevel="0" collapsed="false">
      <c r="A429" s="11" t="s">
        <v>110</v>
      </c>
      <c r="B429" s="11" t="s">
        <v>131</v>
      </c>
      <c r="C429" s="11" t="s">
        <v>80</v>
      </c>
      <c r="D429" s="11" t="s">
        <v>81</v>
      </c>
      <c r="E429" s="11" t="s">
        <v>82</v>
      </c>
      <c r="F429" s="12" t="n">
        <f aca="false">SUMIFS(СПРОС_ДЕНЬ_ЧАС_МЕНЮ!$I$11:$I$3265,СПРОС_ДЕНЬ_ЧАС_МЕНЮ!$A$11:$A$3265,A429,СПРОС_ДЕНЬ_ЧАС_МЕНЮ!$B$11:$B$3265,B429,СПРОС_ДЕНЬ_ЧАС_МЕНЮ!$F$11:$F$3265,C429)</f>
        <v>3.7895</v>
      </c>
      <c r="G429" s="12" t="n">
        <f aca="false">ПАРАМЕТРЫ!D22</f>
        <v>16</v>
      </c>
      <c r="H429" s="12" t="n">
        <f aca="false">SUMIFS(ШТАТ_ПО_ЧАСАМ!$C$11:$C$115,ШТАТ_ПО_ЧАСАМ!$A$11:$A$115,A429,ШТАТ_ПО_ЧАСАМ!$B$11:$B$115,B429)</f>
        <v>2</v>
      </c>
      <c r="I429" s="12" t="n">
        <f aca="false">MIN(H429,1)*ПАРАМЕТРЫ!E22</f>
        <v>16</v>
      </c>
      <c r="J429" s="12" t="n">
        <f aca="false">MIN(G429,I429)</f>
        <v>16</v>
      </c>
      <c r="K429" s="12" t="n">
        <f aca="false">MAX(F429-J429,0)</f>
        <v>0</v>
      </c>
      <c r="L429" s="12" t="n">
        <f aca="false">IF(J429=0,0,F429/J429)</f>
        <v>0.23684375</v>
      </c>
      <c r="M429" s="11" t="str">
        <f aca="false">IF(K429&gt;0,"BLOCKED","PASS")</f>
        <v>PASS</v>
      </c>
      <c r="N429" s="11" t="s">
        <v>233</v>
      </c>
    </row>
    <row r="430" customFormat="false" ht="23.85" hidden="false" customHeight="false" outlineLevel="0" collapsed="false">
      <c r="A430" s="11" t="s">
        <v>110</v>
      </c>
      <c r="B430" s="11" t="s">
        <v>131</v>
      </c>
      <c r="C430" s="11" t="s">
        <v>83</v>
      </c>
      <c r="D430" s="11" t="s">
        <v>84</v>
      </c>
      <c r="E430" s="11" t="s">
        <v>83</v>
      </c>
      <c r="F430" s="12" t="n">
        <f aca="false">SUMIFS(СПРОС_ДЕНЬ_ЧАС_МЕНЮ!$I$11:$I$3265,СПРОС_ДЕНЬ_ЧАС_МЕНЮ!$A$11:$A$3265,A430,СПРОС_ДЕНЬ_ЧАС_МЕНЮ!$B$11:$B$3265,B430,СПРОС_ДЕНЬ_ЧАС_МЕНЮ!$F$11:$F$3265,C430)</f>
        <v>9.768</v>
      </c>
      <c r="G430" s="12" t="n">
        <f aca="false">ПАРАМЕТРЫ!D23</f>
        <v>21</v>
      </c>
      <c r="H430" s="12" t="n">
        <f aca="false">SUMIFS(ШТАТ_ПО_ЧАСАМ!$C$11:$C$115,ШТАТ_ПО_ЧАСАМ!$A$11:$A$115,A430,ШТАТ_ПО_ЧАСАМ!$B$11:$B$115,B430)</f>
        <v>2</v>
      </c>
      <c r="I430" s="12" t="n">
        <f aca="false">MIN(H430,1)*ПАРАМЕТРЫ!E23</f>
        <v>21</v>
      </c>
      <c r="J430" s="12" t="n">
        <f aca="false">MIN(G430,I430)</f>
        <v>21</v>
      </c>
      <c r="K430" s="12" t="n">
        <f aca="false">MAX(F430-J430,0)</f>
        <v>0</v>
      </c>
      <c r="L430" s="12" t="n">
        <f aca="false">IF(J430=0,0,F430/J430)</f>
        <v>0.465142857142857</v>
      </c>
      <c r="M430" s="11" t="str">
        <f aca="false">IF(K430&gt;0,"BLOCKED","PASS")</f>
        <v>PASS</v>
      </c>
      <c r="N430" s="11" t="s">
        <v>233</v>
      </c>
    </row>
    <row r="431" customFormat="false" ht="23.85" hidden="false" customHeight="false" outlineLevel="0" collapsed="false">
      <c r="A431" s="11" t="s">
        <v>110</v>
      </c>
      <c r="B431" s="11" t="s">
        <v>131</v>
      </c>
      <c r="C431" s="11" t="s">
        <v>85</v>
      </c>
      <c r="D431" s="11" t="s">
        <v>86</v>
      </c>
      <c r="E431" s="11" t="s">
        <v>87</v>
      </c>
      <c r="F431" s="12" t="n">
        <f aca="false">SUMIFS(СПРОС_ДЕНЬ_ЧАС_МЕНЮ!$I$11:$I$3265,СПРОС_ДЕНЬ_ЧАС_МЕНЮ!$A$11:$A$3265,A431,СПРОС_ДЕНЬ_ЧАС_МЕНЮ!$B$11:$B$3265,B431,СПРОС_ДЕНЬ_ЧАС_МЕНЮ!$F$11:$F$3265,C431)</f>
        <v>4.059022</v>
      </c>
      <c r="G431" s="12" t="n">
        <f aca="false">ПАРАМЕТРЫ!D24</f>
        <v>12</v>
      </c>
      <c r="H431" s="12" t="n">
        <f aca="false">SUMIFS(ШТАТ_ПО_ЧАСАМ!$C$11:$C$115,ШТАТ_ПО_ЧАСАМ!$A$11:$A$115,A431,ШТАТ_ПО_ЧАСАМ!$B$11:$B$115,B431)</f>
        <v>2</v>
      </c>
      <c r="I431" s="12" t="n">
        <f aca="false">MIN(H431,1)*ПАРАМЕТРЫ!E24</f>
        <v>12</v>
      </c>
      <c r="J431" s="12" t="n">
        <f aca="false">MIN(G431,I431)</f>
        <v>12</v>
      </c>
      <c r="K431" s="12" t="n">
        <f aca="false">MAX(F431-J431,0)</f>
        <v>0</v>
      </c>
      <c r="L431" s="12" t="n">
        <f aca="false">IF(J431=0,0,F431/J431)</f>
        <v>0.338251833333333</v>
      </c>
      <c r="M431" s="11" t="str">
        <f aca="false">IF(K431&gt;0,"BLOCKED","PASS")</f>
        <v>PASS</v>
      </c>
      <c r="N431" s="11" t="s">
        <v>233</v>
      </c>
    </row>
    <row r="432" customFormat="false" ht="23.85" hidden="false" customHeight="false" outlineLevel="0" collapsed="false">
      <c r="A432" s="11" t="s">
        <v>110</v>
      </c>
      <c r="B432" s="11" t="s">
        <v>131</v>
      </c>
      <c r="C432" s="11" t="s">
        <v>88</v>
      </c>
      <c r="D432" s="11" t="s">
        <v>89</v>
      </c>
      <c r="E432" s="11" t="s">
        <v>90</v>
      </c>
      <c r="F432" s="12" t="n">
        <f aca="false">SUMIFS(СПРОС_ДЕНЬ_ЧАС_МЕНЮ!$I$11:$I$3265,СПРОС_ДЕНЬ_ЧАС_МЕНЮ!$A$11:$A$3265,A432,СПРОС_ДЕНЬ_ЧАС_МЕНЮ!$B$11:$B$3265,B432,СПРОС_ДЕНЬ_ЧАС_МЕНЮ!$F$11:$F$3265,C432)</f>
        <v>0</v>
      </c>
      <c r="G432" s="12" t="n">
        <f aca="false">ПАРАМЕТРЫ!D25</f>
        <v>15</v>
      </c>
      <c r="H432" s="12" t="n">
        <f aca="false">SUMIFS(ШТАТ_ПО_ЧАСАМ!$C$11:$C$115,ШТАТ_ПО_ЧАСАМ!$A$11:$A$115,A432,ШТАТ_ПО_ЧАСАМ!$B$11:$B$115,B432)</f>
        <v>2</v>
      </c>
      <c r="I432" s="12" t="n">
        <f aca="false">MIN(H432,1)*ПАРАМЕТРЫ!E25</f>
        <v>10</v>
      </c>
      <c r="J432" s="12" t="n">
        <f aca="false">MIN(G432,I432)</f>
        <v>10</v>
      </c>
      <c r="K432" s="12" t="n">
        <f aca="false">MAX(F432-J432,0)</f>
        <v>0</v>
      </c>
      <c r="L432" s="12" t="n">
        <f aca="false">IF(J432=0,0,F432/J432)</f>
        <v>0</v>
      </c>
      <c r="M432" s="11" t="str">
        <f aca="false">IF(K432&gt;0,"BLOCKED","PASS")</f>
        <v>PASS</v>
      </c>
      <c r="N432" s="11" t="s">
        <v>233</v>
      </c>
    </row>
    <row r="433" customFormat="false" ht="23.85" hidden="false" customHeight="false" outlineLevel="0" collapsed="false">
      <c r="A433" s="11" t="s">
        <v>110</v>
      </c>
      <c r="B433" s="11" t="s">
        <v>131</v>
      </c>
      <c r="C433" s="11" t="s">
        <v>91</v>
      </c>
      <c r="D433" s="11" t="s">
        <v>92</v>
      </c>
      <c r="E433" s="11" t="s">
        <v>79</v>
      </c>
      <c r="F433" s="12" t="n">
        <f aca="false">SUMIFS(СПРОС_ДЕНЬ_ЧАС_МЕНЮ!$I$11:$I$3265,СПРОС_ДЕНЬ_ЧАС_МЕНЮ!$A$11:$A$3265,A433,СПРОС_ДЕНЬ_ЧАС_МЕНЮ!$B$11:$B$3265,B433,СПРОС_ДЕНЬ_ЧАС_МЕНЮ!$F$11:$F$3265,C433)</f>
        <v>0.8976</v>
      </c>
      <c r="G433" s="12" t="n">
        <f aca="false">ПАРАМЕТРЫ!D26</f>
        <v>20</v>
      </c>
      <c r="H433" s="12" t="n">
        <f aca="false">SUMIFS(ШТАТ_ПО_ЧАСАМ!$C$11:$C$115,ШТАТ_ПО_ЧАСАМ!$A$11:$A$115,A433,ШТАТ_ПО_ЧАСАМ!$B$11:$B$115,B433)</f>
        <v>2</v>
      </c>
      <c r="I433" s="12" t="n">
        <f aca="false">MIN(H433,1)*ПАРАМЕТРЫ!E26</f>
        <v>10</v>
      </c>
      <c r="J433" s="12" t="n">
        <f aca="false">MIN(G433,I433)</f>
        <v>10</v>
      </c>
      <c r="K433" s="12" t="n">
        <f aca="false">MAX(F433-J433,0)</f>
        <v>0</v>
      </c>
      <c r="L433" s="12" t="n">
        <f aca="false">IF(J433=0,0,F433/J433)</f>
        <v>0.08976</v>
      </c>
      <c r="M433" s="11" t="str">
        <f aca="false">IF(K433&gt;0,"BLOCKED","PASS")</f>
        <v>PASS</v>
      </c>
      <c r="N433" s="11" t="s">
        <v>233</v>
      </c>
    </row>
    <row r="434" customFormat="false" ht="15" hidden="false" customHeight="false" outlineLevel="0" collapsed="false">
      <c r="A434" s="11" t="s">
        <v>110</v>
      </c>
      <c r="B434" s="11" t="s">
        <v>131</v>
      </c>
      <c r="C434" s="11" t="s">
        <v>93</v>
      </c>
      <c r="D434" s="11" t="s">
        <v>234</v>
      </c>
      <c r="E434" s="11" t="s">
        <v>95</v>
      </c>
      <c r="F434" s="12" t="n">
        <f aca="false">SUMIFS(СПРОС_ДЕНЬ_ЧАС_МЕНЮ!$I$11:$I$3265,СПРОС_ДЕНЬ_ЧАС_МЕНЮ!$A$11:$A$3265,A434,СПРОС_ДЕНЬ_ЧАС_МЕНЮ!$B$11:$B$3265,B434)</f>
        <v>22.569602</v>
      </c>
      <c r="G434" s="12" t="n">
        <f aca="false">ПАРАМЕТРЫ!D27</f>
        <v>60</v>
      </c>
      <c r="H434" s="12" t="n">
        <f aca="false">SUMIFS(ШТАТ_ПО_ЧАСАМ!$C$11:$C$115,ШТАТ_ПО_ЧАСАМ!$A$11:$A$115,A434,ШТАТ_ПО_ЧАСАМ!$B$11:$B$115,B434)</f>
        <v>2</v>
      </c>
      <c r="I434" s="12" t="n">
        <f aca="false">H434*ПАРАМЕТРЫ!E27</f>
        <v>33.3333333333333</v>
      </c>
      <c r="J434" s="12" t="n">
        <f aca="false">MIN(G434,I434)</f>
        <v>33.3333333333333</v>
      </c>
      <c r="K434" s="12" t="n">
        <f aca="false">MAX(F434-J434,0)</f>
        <v>0</v>
      </c>
      <c r="L434" s="12" t="n">
        <f aca="false">IF(J434=0,0,F434/J434)</f>
        <v>0.67708806</v>
      </c>
      <c r="M434" s="11" t="str">
        <f aca="false">IF(K434&gt;0,"BLOCKED","PASS")</f>
        <v>PASS</v>
      </c>
      <c r="N434" s="11" t="s">
        <v>235</v>
      </c>
    </row>
    <row r="435" customFormat="false" ht="23.85" hidden="false" customHeight="false" outlineLevel="0" collapsed="false">
      <c r="A435" s="11" t="s">
        <v>110</v>
      </c>
      <c r="B435" s="11" t="s">
        <v>132</v>
      </c>
      <c r="C435" s="11" t="s">
        <v>73</v>
      </c>
      <c r="D435" s="11" t="s">
        <v>74</v>
      </c>
      <c r="E435" s="11" t="s">
        <v>75</v>
      </c>
      <c r="F435" s="12" t="n">
        <f aca="false">SUMIFS(СПРОС_ДЕНЬ_ЧАС_МЕНЮ!$I$11:$I$3265,СПРОС_ДЕНЬ_ЧАС_МЕНЮ!$A$11:$A$3265,A435,СПРОС_ДЕНЬ_ЧАС_МЕНЮ!$B$11:$B$3265,B435,СПРОС_ДЕНЬ_ЧАС_МЕНЮ!$F$11:$F$3265,C435)</f>
        <v>1.2056</v>
      </c>
      <c r="G435" s="12" t="n">
        <f aca="false">ПАРАМЕТРЫ!D20</f>
        <v>25</v>
      </c>
      <c r="H435" s="12" t="n">
        <f aca="false">SUMIFS(ШТАТ_ПО_ЧАСАМ!$C$11:$C$115,ШТАТ_ПО_ЧАСАМ!$A$11:$A$115,A435,ШТАТ_ПО_ЧАСАМ!$B$11:$B$115,B435)</f>
        <v>2</v>
      </c>
      <c r="I435" s="12" t="n">
        <f aca="false">MIN(H435,1)*ПАРАМЕТРЫ!E20</f>
        <v>10</v>
      </c>
      <c r="J435" s="12" t="n">
        <f aca="false">MIN(G435,I435)</f>
        <v>10</v>
      </c>
      <c r="K435" s="12" t="n">
        <f aca="false">MAX(F435-J435,0)</f>
        <v>0</v>
      </c>
      <c r="L435" s="12" t="n">
        <f aca="false">IF(J435=0,0,F435/J435)</f>
        <v>0.12056</v>
      </c>
      <c r="M435" s="11" t="str">
        <f aca="false">IF(K435&gt;0,"BLOCKED","PASS")</f>
        <v>PASS</v>
      </c>
      <c r="N435" s="11" t="s">
        <v>233</v>
      </c>
    </row>
    <row r="436" customFormat="false" ht="23.85" hidden="false" customHeight="false" outlineLevel="0" collapsed="false">
      <c r="A436" s="11" t="s">
        <v>110</v>
      </c>
      <c r="B436" s="11" t="s">
        <v>132</v>
      </c>
      <c r="C436" s="11" t="s">
        <v>77</v>
      </c>
      <c r="D436" s="11" t="s">
        <v>78</v>
      </c>
      <c r="E436" s="11" t="s">
        <v>79</v>
      </c>
      <c r="F436" s="12" t="n">
        <f aca="false">SUMIFS(СПРОС_ДЕНЬ_ЧАС_МЕНЮ!$I$11:$I$3265,СПРОС_ДЕНЬ_ЧАС_МЕНЮ!$A$11:$A$3265,A436,СПРОС_ДЕНЬ_ЧАС_МЕНЮ!$B$11:$B$3265,B436,СПРОС_ДЕНЬ_ЧАС_МЕНЮ!$F$11:$F$3265,C436)</f>
        <v>1.55496</v>
      </c>
      <c r="G436" s="12" t="n">
        <f aca="false">ПАРАМЕТРЫ!D21</f>
        <v>20</v>
      </c>
      <c r="H436" s="12" t="n">
        <f aca="false">SUMIFS(ШТАТ_ПО_ЧАСАМ!$C$11:$C$115,ШТАТ_ПО_ЧАСАМ!$A$11:$A$115,A436,ШТАТ_ПО_ЧАСАМ!$B$11:$B$115,B436)</f>
        <v>2</v>
      </c>
      <c r="I436" s="12" t="n">
        <f aca="false">MIN(H436,1)*ПАРАМЕТРЫ!E21</f>
        <v>10</v>
      </c>
      <c r="J436" s="12" t="n">
        <f aca="false">MIN(G436,I436)</f>
        <v>10</v>
      </c>
      <c r="K436" s="12" t="n">
        <f aca="false">MAX(F436-J436,0)</f>
        <v>0</v>
      </c>
      <c r="L436" s="12" t="n">
        <f aca="false">IF(J436=0,0,F436/J436)</f>
        <v>0.155496</v>
      </c>
      <c r="M436" s="11" t="str">
        <f aca="false">IF(K436&gt;0,"BLOCKED","PASS")</f>
        <v>PASS</v>
      </c>
      <c r="N436" s="11" t="s">
        <v>233</v>
      </c>
    </row>
    <row r="437" customFormat="false" ht="23.85" hidden="false" customHeight="false" outlineLevel="0" collapsed="false">
      <c r="A437" s="11" t="s">
        <v>110</v>
      </c>
      <c r="B437" s="11" t="s">
        <v>132</v>
      </c>
      <c r="C437" s="11" t="s">
        <v>80</v>
      </c>
      <c r="D437" s="11" t="s">
        <v>81</v>
      </c>
      <c r="E437" s="11" t="s">
        <v>82</v>
      </c>
      <c r="F437" s="12" t="n">
        <f aca="false">SUMIFS(СПРОС_ДЕНЬ_ЧАС_МЕНЮ!$I$11:$I$3265,СПРОС_ДЕНЬ_ЧАС_МЕНЮ!$A$11:$A$3265,A437,СПРОС_ДЕНЬ_ЧАС_МЕНЮ!$B$11:$B$3265,B437,СПРОС_ДЕНЬ_ЧАС_МЕНЮ!$F$11:$F$3265,C437)</f>
        <v>1.672</v>
      </c>
      <c r="G437" s="12" t="n">
        <f aca="false">ПАРАМЕТРЫ!D22</f>
        <v>16</v>
      </c>
      <c r="H437" s="12" t="n">
        <f aca="false">SUMIFS(ШТАТ_ПО_ЧАСАМ!$C$11:$C$115,ШТАТ_ПО_ЧАСАМ!$A$11:$A$115,A437,ШТАТ_ПО_ЧАСАМ!$B$11:$B$115,B437)</f>
        <v>2</v>
      </c>
      <c r="I437" s="12" t="n">
        <f aca="false">MIN(H437,1)*ПАРАМЕТРЫ!E22</f>
        <v>16</v>
      </c>
      <c r="J437" s="12" t="n">
        <f aca="false">MIN(G437,I437)</f>
        <v>16</v>
      </c>
      <c r="K437" s="12" t="n">
        <f aca="false">MAX(F437-J437,0)</f>
        <v>0</v>
      </c>
      <c r="L437" s="12" t="n">
        <f aca="false">IF(J437=0,0,F437/J437)</f>
        <v>0.1045</v>
      </c>
      <c r="M437" s="11" t="str">
        <f aca="false">IF(K437&gt;0,"BLOCKED","PASS")</f>
        <v>PASS</v>
      </c>
      <c r="N437" s="11" t="s">
        <v>233</v>
      </c>
    </row>
    <row r="438" customFormat="false" ht="23.85" hidden="false" customHeight="false" outlineLevel="0" collapsed="false">
      <c r="A438" s="11" t="s">
        <v>110</v>
      </c>
      <c r="B438" s="11" t="s">
        <v>132</v>
      </c>
      <c r="C438" s="11" t="s">
        <v>83</v>
      </c>
      <c r="D438" s="11" t="s">
        <v>84</v>
      </c>
      <c r="E438" s="11" t="s">
        <v>83</v>
      </c>
      <c r="F438" s="12" t="n">
        <f aca="false">SUMIFS(СПРОС_ДЕНЬ_ЧАС_МЕНЮ!$I$11:$I$3265,СПРОС_ДЕНЬ_ЧАС_МЕНЮ!$A$11:$A$3265,A438,СПРОС_ДЕНЬ_ЧАС_МЕНЮ!$B$11:$B$3265,B438,СПРОС_ДЕНЬ_ЧАС_МЕНЮ!$F$11:$F$3265,C438)</f>
        <v>4.004</v>
      </c>
      <c r="G438" s="12" t="n">
        <f aca="false">ПАРАМЕТРЫ!D23</f>
        <v>21</v>
      </c>
      <c r="H438" s="12" t="n">
        <f aca="false">SUMIFS(ШТАТ_ПО_ЧАСАМ!$C$11:$C$115,ШТАТ_ПО_ЧАСАМ!$A$11:$A$115,A438,ШТАТ_ПО_ЧАСАМ!$B$11:$B$115,B438)</f>
        <v>2</v>
      </c>
      <c r="I438" s="12" t="n">
        <f aca="false">MIN(H438,1)*ПАРАМЕТРЫ!E23</f>
        <v>21</v>
      </c>
      <c r="J438" s="12" t="n">
        <f aca="false">MIN(G438,I438)</f>
        <v>21</v>
      </c>
      <c r="K438" s="12" t="n">
        <f aca="false">MAX(F438-J438,0)</f>
        <v>0</v>
      </c>
      <c r="L438" s="12" t="n">
        <f aca="false">IF(J438=0,0,F438/J438)</f>
        <v>0.190666666666667</v>
      </c>
      <c r="M438" s="11" t="str">
        <f aca="false">IF(K438&gt;0,"BLOCKED","PASS")</f>
        <v>PASS</v>
      </c>
      <c r="N438" s="11" t="s">
        <v>233</v>
      </c>
    </row>
    <row r="439" customFormat="false" ht="23.85" hidden="false" customHeight="false" outlineLevel="0" collapsed="false">
      <c r="A439" s="11" t="s">
        <v>110</v>
      </c>
      <c r="B439" s="11" t="s">
        <v>132</v>
      </c>
      <c r="C439" s="11" t="s">
        <v>85</v>
      </c>
      <c r="D439" s="11" t="s">
        <v>86</v>
      </c>
      <c r="E439" s="11" t="s">
        <v>87</v>
      </c>
      <c r="F439" s="12" t="n">
        <f aca="false">SUMIFS(СПРОС_ДЕНЬ_ЧАС_МЕНЮ!$I$11:$I$3265,СПРОС_ДЕНЬ_ЧАС_МЕНЮ!$A$11:$A$3265,A439,СПРОС_ДЕНЬ_ЧАС_МЕНЮ!$B$11:$B$3265,B439,СПРОС_ДЕНЬ_ЧАС_МЕНЮ!$F$11:$F$3265,C439)</f>
        <v>1.582834</v>
      </c>
      <c r="G439" s="12" t="n">
        <f aca="false">ПАРАМЕТРЫ!D24</f>
        <v>12</v>
      </c>
      <c r="H439" s="12" t="n">
        <f aca="false">SUMIFS(ШТАТ_ПО_ЧАСАМ!$C$11:$C$115,ШТАТ_ПО_ЧАСАМ!$A$11:$A$115,A439,ШТАТ_ПО_ЧАСАМ!$B$11:$B$115,B439)</f>
        <v>2</v>
      </c>
      <c r="I439" s="12" t="n">
        <f aca="false">MIN(H439,1)*ПАРАМЕТРЫ!E24</f>
        <v>12</v>
      </c>
      <c r="J439" s="12" t="n">
        <f aca="false">MIN(G439,I439)</f>
        <v>12</v>
      </c>
      <c r="K439" s="12" t="n">
        <f aca="false">MAX(F439-J439,0)</f>
        <v>0</v>
      </c>
      <c r="L439" s="12" t="n">
        <f aca="false">IF(J439=0,0,F439/J439)</f>
        <v>0.131902833333333</v>
      </c>
      <c r="M439" s="11" t="str">
        <f aca="false">IF(K439&gt;0,"BLOCKED","PASS")</f>
        <v>PASS</v>
      </c>
      <c r="N439" s="11" t="s">
        <v>233</v>
      </c>
    </row>
    <row r="440" customFormat="false" ht="23.85" hidden="false" customHeight="false" outlineLevel="0" collapsed="false">
      <c r="A440" s="11" t="s">
        <v>110</v>
      </c>
      <c r="B440" s="11" t="s">
        <v>132</v>
      </c>
      <c r="C440" s="11" t="s">
        <v>88</v>
      </c>
      <c r="D440" s="11" t="s">
        <v>89</v>
      </c>
      <c r="E440" s="11" t="s">
        <v>90</v>
      </c>
      <c r="F440" s="12" t="n">
        <f aca="false">SUMIFS(СПРОС_ДЕНЬ_ЧАС_МЕНЮ!$I$11:$I$3265,СПРОС_ДЕНЬ_ЧАС_МЕНЮ!$A$11:$A$3265,A440,СПРОС_ДЕНЬ_ЧАС_МЕНЮ!$B$11:$B$3265,B440,СПРОС_ДЕНЬ_ЧАС_МЕНЮ!$F$11:$F$3265,C440)</f>
        <v>0</v>
      </c>
      <c r="G440" s="12" t="n">
        <f aca="false">ПАРАМЕТРЫ!D25</f>
        <v>15</v>
      </c>
      <c r="H440" s="12" t="n">
        <f aca="false">SUMIFS(ШТАТ_ПО_ЧАСАМ!$C$11:$C$115,ШТАТ_ПО_ЧАСАМ!$A$11:$A$115,A440,ШТАТ_ПО_ЧАСАМ!$B$11:$B$115,B440)</f>
        <v>2</v>
      </c>
      <c r="I440" s="12" t="n">
        <f aca="false">MIN(H440,1)*ПАРАМЕТРЫ!E25</f>
        <v>10</v>
      </c>
      <c r="J440" s="12" t="n">
        <f aca="false">MIN(G440,I440)</f>
        <v>10</v>
      </c>
      <c r="K440" s="12" t="n">
        <f aca="false">MAX(F440-J440,0)</f>
        <v>0</v>
      </c>
      <c r="L440" s="12" t="n">
        <f aca="false">IF(J440=0,0,F440/J440)</f>
        <v>0</v>
      </c>
      <c r="M440" s="11" t="str">
        <f aca="false">IF(K440&gt;0,"BLOCKED","PASS")</f>
        <v>PASS</v>
      </c>
      <c r="N440" s="11" t="s">
        <v>233</v>
      </c>
    </row>
    <row r="441" customFormat="false" ht="23.85" hidden="false" customHeight="false" outlineLevel="0" collapsed="false">
      <c r="A441" s="11" t="s">
        <v>110</v>
      </c>
      <c r="B441" s="11" t="s">
        <v>132</v>
      </c>
      <c r="C441" s="11" t="s">
        <v>91</v>
      </c>
      <c r="D441" s="11" t="s">
        <v>92</v>
      </c>
      <c r="E441" s="11" t="s">
        <v>79</v>
      </c>
      <c r="F441" s="12" t="n">
        <f aca="false">SUMIFS(СПРОС_ДЕНЬ_ЧАС_МЕНЮ!$I$11:$I$3265,СПРОС_ДЕНЬ_ЧАС_МЕНЮ!$A$11:$A$3265,A441,СПРОС_ДЕНЬ_ЧАС_МЕНЮ!$B$11:$B$3265,B441,СПРОС_ДЕНЬ_ЧАС_МЕНЮ!$F$11:$F$3265,C441)</f>
        <v>0.8052</v>
      </c>
      <c r="G441" s="12" t="n">
        <f aca="false">ПАРАМЕТРЫ!D26</f>
        <v>20</v>
      </c>
      <c r="H441" s="12" t="n">
        <f aca="false">SUMIFS(ШТАТ_ПО_ЧАСАМ!$C$11:$C$115,ШТАТ_ПО_ЧАСАМ!$A$11:$A$115,A441,ШТАТ_ПО_ЧАСАМ!$B$11:$B$115,B441)</f>
        <v>2</v>
      </c>
      <c r="I441" s="12" t="n">
        <f aca="false">MIN(H441,1)*ПАРАМЕТРЫ!E26</f>
        <v>10</v>
      </c>
      <c r="J441" s="12" t="n">
        <f aca="false">MIN(G441,I441)</f>
        <v>10</v>
      </c>
      <c r="K441" s="12" t="n">
        <f aca="false">MAX(F441-J441,0)</f>
        <v>0</v>
      </c>
      <c r="L441" s="12" t="n">
        <f aca="false">IF(J441=0,0,F441/J441)</f>
        <v>0.08052</v>
      </c>
      <c r="M441" s="11" t="str">
        <f aca="false">IF(K441&gt;0,"BLOCKED","PASS")</f>
        <v>PASS</v>
      </c>
      <c r="N441" s="11" t="s">
        <v>233</v>
      </c>
    </row>
    <row r="442" customFormat="false" ht="15" hidden="false" customHeight="false" outlineLevel="0" collapsed="false">
      <c r="A442" s="11" t="s">
        <v>110</v>
      </c>
      <c r="B442" s="11" t="s">
        <v>132</v>
      </c>
      <c r="C442" s="11" t="s">
        <v>93</v>
      </c>
      <c r="D442" s="11" t="s">
        <v>234</v>
      </c>
      <c r="E442" s="11" t="s">
        <v>95</v>
      </c>
      <c r="F442" s="12" t="n">
        <f aca="false">SUMIFS(СПРОС_ДЕНЬ_ЧАС_МЕНЮ!$I$11:$I$3265,СПРОС_ДЕНЬ_ЧАС_МЕНЮ!$A$11:$A$3265,A442,СПРОС_ДЕНЬ_ЧАС_МЕНЮ!$B$11:$B$3265,B442)</f>
        <v>10.824594</v>
      </c>
      <c r="G442" s="12" t="n">
        <f aca="false">ПАРАМЕТРЫ!D27</f>
        <v>60</v>
      </c>
      <c r="H442" s="12" t="n">
        <f aca="false">SUMIFS(ШТАТ_ПО_ЧАСАМ!$C$11:$C$115,ШТАТ_ПО_ЧАСАМ!$A$11:$A$115,A442,ШТАТ_ПО_ЧАСАМ!$B$11:$B$115,B442)</f>
        <v>2</v>
      </c>
      <c r="I442" s="12" t="n">
        <f aca="false">H442*ПАРАМЕТРЫ!E27</f>
        <v>33.3333333333333</v>
      </c>
      <c r="J442" s="12" t="n">
        <f aca="false">MIN(G442,I442)</f>
        <v>33.3333333333333</v>
      </c>
      <c r="K442" s="12" t="n">
        <f aca="false">MAX(F442-J442,0)</f>
        <v>0</v>
      </c>
      <c r="L442" s="12" t="n">
        <f aca="false">IF(J442=0,0,F442/J442)</f>
        <v>0.32473782</v>
      </c>
      <c r="M442" s="11" t="str">
        <f aca="false">IF(K442&gt;0,"BLOCKED","PASS")</f>
        <v>PASS</v>
      </c>
      <c r="N442" s="11" t="s">
        <v>235</v>
      </c>
    </row>
    <row r="443" customFormat="false" ht="23.85" hidden="false" customHeight="false" outlineLevel="0" collapsed="false">
      <c r="A443" s="11" t="s">
        <v>110</v>
      </c>
      <c r="B443" s="11" t="s">
        <v>133</v>
      </c>
      <c r="C443" s="11" t="s">
        <v>73</v>
      </c>
      <c r="D443" s="11" t="s">
        <v>74</v>
      </c>
      <c r="E443" s="11" t="s">
        <v>75</v>
      </c>
      <c r="F443" s="12" t="n">
        <f aca="false">SUMIFS(СПРОС_ДЕНЬ_ЧАС_МЕНЮ!$I$11:$I$3265,СПРОС_ДЕНЬ_ЧАС_МЕНЮ!$A$11:$A$3265,A443,СПРОС_ДЕНЬ_ЧАС_МЕНЮ!$B$11:$B$3265,B443,СПРОС_ДЕНЬ_ЧАС_МЕНЮ!$F$11:$F$3265,C443)</f>
        <v>0.8756</v>
      </c>
      <c r="G443" s="12" t="n">
        <f aca="false">ПАРАМЕТРЫ!D20</f>
        <v>25</v>
      </c>
      <c r="H443" s="12" t="n">
        <f aca="false">SUMIFS(ШТАТ_ПО_ЧАСАМ!$C$11:$C$115,ШТАТ_ПО_ЧАСАМ!$A$11:$A$115,A443,ШТАТ_ПО_ЧАСАМ!$B$11:$B$115,B443)</f>
        <v>2</v>
      </c>
      <c r="I443" s="12" t="n">
        <f aca="false">MIN(H443,1)*ПАРАМЕТРЫ!E20</f>
        <v>10</v>
      </c>
      <c r="J443" s="12" t="n">
        <f aca="false">MIN(G443,I443)</f>
        <v>10</v>
      </c>
      <c r="K443" s="12" t="n">
        <f aca="false">MAX(F443-J443,0)</f>
        <v>0</v>
      </c>
      <c r="L443" s="12" t="n">
        <f aca="false">IF(J443=0,0,F443/J443)</f>
        <v>0.08756</v>
      </c>
      <c r="M443" s="11" t="str">
        <f aca="false">IF(K443&gt;0,"BLOCKED","PASS")</f>
        <v>PASS</v>
      </c>
      <c r="N443" s="11" t="s">
        <v>233</v>
      </c>
    </row>
    <row r="444" customFormat="false" ht="23.85" hidden="false" customHeight="false" outlineLevel="0" collapsed="false">
      <c r="A444" s="11" t="s">
        <v>110</v>
      </c>
      <c r="B444" s="11" t="s">
        <v>133</v>
      </c>
      <c r="C444" s="11" t="s">
        <v>77</v>
      </c>
      <c r="D444" s="11" t="s">
        <v>78</v>
      </c>
      <c r="E444" s="11" t="s">
        <v>79</v>
      </c>
      <c r="F444" s="12" t="n">
        <f aca="false">SUMIFS(СПРОС_ДЕНЬ_ЧАС_МЕНЮ!$I$11:$I$3265,СПРОС_ДЕНЬ_ЧАС_МЕНЮ!$A$11:$A$3265,A444,СПРОС_ДЕНЬ_ЧАС_МЕНЮ!$B$11:$B$3265,B444,СПРОС_ДЕНЬ_ЧАС_МЕНЮ!$F$11:$F$3265,C444)</f>
        <v>1.42296</v>
      </c>
      <c r="G444" s="12" t="n">
        <f aca="false">ПАРАМЕТРЫ!D21</f>
        <v>20</v>
      </c>
      <c r="H444" s="12" t="n">
        <f aca="false">SUMIFS(ШТАТ_ПО_ЧАСАМ!$C$11:$C$115,ШТАТ_ПО_ЧАСАМ!$A$11:$A$115,A444,ШТАТ_ПО_ЧАСАМ!$B$11:$B$115,B444)</f>
        <v>2</v>
      </c>
      <c r="I444" s="12" t="n">
        <f aca="false">MIN(H444,1)*ПАРАМЕТРЫ!E21</f>
        <v>10</v>
      </c>
      <c r="J444" s="12" t="n">
        <f aca="false">MIN(G444,I444)</f>
        <v>10</v>
      </c>
      <c r="K444" s="12" t="n">
        <f aca="false">MAX(F444-J444,0)</f>
        <v>0</v>
      </c>
      <c r="L444" s="12" t="n">
        <f aca="false">IF(J444=0,0,F444/J444)</f>
        <v>0.142296</v>
      </c>
      <c r="M444" s="11" t="str">
        <f aca="false">IF(K444&gt;0,"BLOCKED","PASS")</f>
        <v>PASS</v>
      </c>
      <c r="N444" s="11" t="s">
        <v>233</v>
      </c>
    </row>
    <row r="445" customFormat="false" ht="23.85" hidden="false" customHeight="false" outlineLevel="0" collapsed="false">
      <c r="A445" s="11" t="s">
        <v>110</v>
      </c>
      <c r="B445" s="11" t="s">
        <v>133</v>
      </c>
      <c r="C445" s="11" t="s">
        <v>80</v>
      </c>
      <c r="D445" s="11" t="s">
        <v>81</v>
      </c>
      <c r="E445" s="11" t="s">
        <v>82</v>
      </c>
      <c r="F445" s="12" t="n">
        <f aca="false">SUMIFS(СПРОС_ДЕНЬ_ЧАС_МЕНЮ!$I$11:$I$3265,СПРОС_ДЕНЬ_ЧАС_МЕНЮ!$A$11:$A$3265,A445,СПРОС_ДЕНЬ_ЧАС_МЕНЮ!$B$11:$B$3265,B445,СПРОС_ДЕНЬ_ЧАС_МЕНЮ!$F$11:$F$3265,C445)</f>
        <v>0.902</v>
      </c>
      <c r="G445" s="12" t="n">
        <f aca="false">ПАРАМЕТРЫ!D22</f>
        <v>16</v>
      </c>
      <c r="H445" s="12" t="n">
        <f aca="false">SUMIFS(ШТАТ_ПО_ЧАСАМ!$C$11:$C$115,ШТАТ_ПО_ЧАСАМ!$A$11:$A$115,A445,ШТАТ_ПО_ЧАСАМ!$B$11:$B$115,B445)</f>
        <v>2</v>
      </c>
      <c r="I445" s="12" t="n">
        <f aca="false">MIN(H445,1)*ПАРАМЕТРЫ!E22</f>
        <v>16</v>
      </c>
      <c r="J445" s="12" t="n">
        <f aca="false">MIN(G445,I445)</f>
        <v>16</v>
      </c>
      <c r="K445" s="12" t="n">
        <f aca="false">MAX(F445-J445,0)</f>
        <v>0</v>
      </c>
      <c r="L445" s="12" t="n">
        <f aca="false">IF(J445=0,0,F445/J445)</f>
        <v>0.056375</v>
      </c>
      <c r="M445" s="11" t="str">
        <f aca="false">IF(K445&gt;0,"BLOCKED","PASS")</f>
        <v>PASS</v>
      </c>
      <c r="N445" s="11" t="s">
        <v>233</v>
      </c>
    </row>
    <row r="446" customFormat="false" ht="23.85" hidden="false" customHeight="false" outlineLevel="0" collapsed="false">
      <c r="A446" s="11" t="s">
        <v>110</v>
      </c>
      <c r="B446" s="11" t="s">
        <v>133</v>
      </c>
      <c r="C446" s="11" t="s">
        <v>83</v>
      </c>
      <c r="D446" s="11" t="s">
        <v>84</v>
      </c>
      <c r="E446" s="11" t="s">
        <v>83</v>
      </c>
      <c r="F446" s="12" t="n">
        <f aca="false">SUMIFS(СПРОС_ДЕНЬ_ЧАС_МЕНЮ!$I$11:$I$3265,СПРОС_ДЕНЬ_ЧАС_МЕНЮ!$A$11:$A$3265,A446,СПРОС_ДЕНЬ_ЧАС_МЕНЮ!$B$11:$B$3265,B446,СПРОС_ДЕНЬ_ЧАС_МЕНЮ!$F$11:$F$3265,C446)</f>
        <v>1.584</v>
      </c>
      <c r="G446" s="12" t="n">
        <f aca="false">ПАРАМЕТРЫ!D23</f>
        <v>21</v>
      </c>
      <c r="H446" s="12" t="n">
        <f aca="false">SUMIFS(ШТАТ_ПО_ЧАСАМ!$C$11:$C$115,ШТАТ_ПО_ЧАСАМ!$A$11:$A$115,A446,ШТАТ_ПО_ЧАСАМ!$B$11:$B$115,B446)</f>
        <v>2</v>
      </c>
      <c r="I446" s="12" t="n">
        <f aca="false">MIN(H446,1)*ПАРАМЕТРЫ!E23</f>
        <v>21</v>
      </c>
      <c r="J446" s="12" t="n">
        <f aca="false">MIN(G446,I446)</f>
        <v>21</v>
      </c>
      <c r="K446" s="12" t="n">
        <f aca="false">MAX(F446-J446,0)</f>
        <v>0</v>
      </c>
      <c r="L446" s="12" t="n">
        <f aca="false">IF(J446=0,0,F446/J446)</f>
        <v>0.0754285714285714</v>
      </c>
      <c r="M446" s="11" t="str">
        <f aca="false">IF(K446&gt;0,"BLOCKED","PASS")</f>
        <v>PASS</v>
      </c>
      <c r="N446" s="11" t="s">
        <v>233</v>
      </c>
    </row>
    <row r="447" customFormat="false" ht="23.85" hidden="false" customHeight="false" outlineLevel="0" collapsed="false">
      <c r="A447" s="11" t="s">
        <v>110</v>
      </c>
      <c r="B447" s="11" t="s">
        <v>133</v>
      </c>
      <c r="C447" s="11" t="s">
        <v>85</v>
      </c>
      <c r="D447" s="11" t="s">
        <v>86</v>
      </c>
      <c r="E447" s="11" t="s">
        <v>87</v>
      </c>
      <c r="F447" s="12" t="n">
        <f aca="false">SUMIFS(СПРОС_ДЕНЬ_ЧАС_МЕНЮ!$I$11:$I$3265,СПРОС_ДЕНЬ_ЧАС_МЕНЮ!$A$11:$A$3265,A447,СПРОС_ДЕНЬ_ЧАС_МЕНЮ!$B$11:$B$3265,B447,СПРОС_ДЕНЬ_ЧАС_МЕНЮ!$F$11:$F$3265,C447)</f>
        <v>0.551584</v>
      </c>
      <c r="G447" s="12" t="n">
        <f aca="false">ПАРАМЕТРЫ!D24</f>
        <v>12</v>
      </c>
      <c r="H447" s="12" t="n">
        <f aca="false">SUMIFS(ШТАТ_ПО_ЧАСАМ!$C$11:$C$115,ШТАТ_ПО_ЧАСАМ!$A$11:$A$115,A447,ШТАТ_ПО_ЧАСАМ!$B$11:$B$115,B447)</f>
        <v>2</v>
      </c>
      <c r="I447" s="12" t="n">
        <f aca="false">MIN(H447,1)*ПАРАМЕТРЫ!E24</f>
        <v>12</v>
      </c>
      <c r="J447" s="12" t="n">
        <f aca="false">MIN(G447,I447)</f>
        <v>12</v>
      </c>
      <c r="K447" s="12" t="n">
        <f aca="false">MAX(F447-J447,0)</f>
        <v>0</v>
      </c>
      <c r="L447" s="12" t="n">
        <f aca="false">IF(J447=0,0,F447/J447)</f>
        <v>0.0459653333333333</v>
      </c>
      <c r="M447" s="11" t="str">
        <f aca="false">IF(K447&gt;0,"BLOCKED","PASS")</f>
        <v>PASS</v>
      </c>
      <c r="N447" s="11" t="s">
        <v>233</v>
      </c>
    </row>
    <row r="448" customFormat="false" ht="23.85" hidden="false" customHeight="false" outlineLevel="0" collapsed="false">
      <c r="A448" s="11" t="s">
        <v>110</v>
      </c>
      <c r="B448" s="11" t="s">
        <v>133</v>
      </c>
      <c r="C448" s="11" t="s">
        <v>88</v>
      </c>
      <c r="D448" s="11" t="s">
        <v>89</v>
      </c>
      <c r="E448" s="11" t="s">
        <v>90</v>
      </c>
      <c r="F448" s="12" t="n">
        <f aca="false">SUMIFS(СПРОС_ДЕНЬ_ЧАС_МЕНЮ!$I$11:$I$3265,СПРОС_ДЕНЬ_ЧАС_МЕНЮ!$A$11:$A$3265,A448,СПРОС_ДЕНЬ_ЧАС_МЕНЮ!$B$11:$B$3265,B448,СПРОС_ДЕНЬ_ЧАС_МЕНЮ!$F$11:$F$3265,C448)</f>
        <v>0</v>
      </c>
      <c r="G448" s="12" t="n">
        <f aca="false">ПАРАМЕТРЫ!D25</f>
        <v>15</v>
      </c>
      <c r="H448" s="12" t="n">
        <f aca="false">SUMIFS(ШТАТ_ПО_ЧАСАМ!$C$11:$C$115,ШТАТ_ПО_ЧАСАМ!$A$11:$A$115,A448,ШТАТ_ПО_ЧАСАМ!$B$11:$B$115,B448)</f>
        <v>2</v>
      </c>
      <c r="I448" s="12" t="n">
        <f aca="false">MIN(H448,1)*ПАРАМЕТРЫ!E25</f>
        <v>10</v>
      </c>
      <c r="J448" s="12" t="n">
        <f aca="false">MIN(G448,I448)</f>
        <v>10</v>
      </c>
      <c r="K448" s="12" t="n">
        <f aca="false">MAX(F448-J448,0)</f>
        <v>0</v>
      </c>
      <c r="L448" s="12" t="n">
        <f aca="false">IF(J448=0,0,F448/J448)</f>
        <v>0</v>
      </c>
      <c r="M448" s="11" t="str">
        <f aca="false">IF(K448&gt;0,"BLOCKED","PASS")</f>
        <v>PASS</v>
      </c>
      <c r="N448" s="11" t="s">
        <v>233</v>
      </c>
    </row>
    <row r="449" customFormat="false" ht="23.85" hidden="false" customHeight="false" outlineLevel="0" collapsed="false">
      <c r="A449" s="11" t="s">
        <v>110</v>
      </c>
      <c r="B449" s="11" t="s">
        <v>133</v>
      </c>
      <c r="C449" s="11" t="s">
        <v>91</v>
      </c>
      <c r="D449" s="11" t="s">
        <v>92</v>
      </c>
      <c r="E449" s="11" t="s">
        <v>79</v>
      </c>
      <c r="F449" s="12" t="n">
        <f aca="false">SUMIFS(СПРОС_ДЕНЬ_ЧАС_МЕНЮ!$I$11:$I$3265,СПРОС_ДЕНЬ_ЧАС_МЕНЮ!$A$11:$A$3265,A449,СПРОС_ДЕНЬ_ЧАС_МЕНЮ!$B$11:$B$3265,B449,СПРОС_ДЕНЬ_ЧАС_МЕНЮ!$F$11:$F$3265,C449)</f>
        <v>0.8052</v>
      </c>
      <c r="G449" s="12" t="n">
        <f aca="false">ПАРАМЕТРЫ!D26</f>
        <v>20</v>
      </c>
      <c r="H449" s="12" t="n">
        <f aca="false">SUMIFS(ШТАТ_ПО_ЧАСАМ!$C$11:$C$115,ШТАТ_ПО_ЧАСАМ!$A$11:$A$115,A449,ШТАТ_ПО_ЧАСАМ!$B$11:$B$115,B449)</f>
        <v>2</v>
      </c>
      <c r="I449" s="12" t="n">
        <f aca="false">MIN(H449,1)*ПАРАМЕТРЫ!E26</f>
        <v>10</v>
      </c>
      <c r="J449" s="12" t="n">
        <f aca="false">MIN(G449,I449)</f>
        <v>10</v>
      </c>
      <c r="K449" s="12" t="n">
        <f aca="false">MAX(F449-J449,0)</f>
        <v>0</v>
      </c>
      <c r="L449" s="12" t="n">
        <f aca="false">IF(J449=0,0,F449/J449)</f>
        <v>0.08052</v>
      </c>
      <c r="M449" s="11" t="str">
        <f aca="false">IF(K449&gt;0,"BLOCKED","PASS")</f>
        <v>PASS</v>
      </c>
      <c r="N449" s="11" t="s">
        <v>233</v>
      </c>
    </row>
    <row r="450" customFormat="false" ht="15" hidden="false" customHeight="false" outlineLevel="0" collapsed="false">
      <c r="A450" s="11" t="s">
        <v>110</v>
      </c>
      <c r="B450" s="11" t="s">
        <v>133</v>
      </c>
      <c r="C450" s="11" t="s">
        <v>93</v>
      </c>
      <c r="D450" s="11" t="s">
        <v>234</v>
      </c>
      <c r="E450" s="11" t="s">
        <v>95</v>
      </c>
      <c r="F450" s="12" t="n">
        <f aca="false">SUMIFS(СПРОС_ДЕНЬ_ЧАС_МЕНЮ!$I$11:$I$3265,СПРОС_ДЕНЬ_ЧАС_МЕНЮ!$A$11:$A$3265,A450,СПРОС_ДЕНЬ_ЧАС_МЕНЮ!$B$11:$B$3265,B450)</f>
        <v>6.141344</v>
      </c>
      <c r="G450" s="12" t="n">
        <f aca="false">ПАРАМЕТРЫ!D27</f>
        <v>60</v>
      </c>
      <c r="H450" s="12" t="n">
        <f aca="false">SUMIFS(ШТАТ_ПО_ЧАСАМ!$C$11:$C$115,ШТАТ_ПО_ЧАСАМ!$A$11:$A$115,A450,ШТАТ_ПО_ЧАСАМ!$B$11:$B$115,B450)</f>
        <v>2</v>
      </c>
      <c r="I450" s="12" t="n">
        <f aca="false">H450*ПАРАМЕТРЫ!E27</f>
        <v>33.3333333333333</v>
      </c>
      <c r="J450" s="12" t="n">
        <f aca="false">MIN(G450,I450)</f>
        <v>33.3333333333333</v>
      </c>
      <c r="K450" s="12" t="n">
        <f aca="false">MAX(F450-J450,0)</f>
        <v>0</v>
      </c>
      <c r="L450" s="12" t="n">
        <f aca="false">IF(J450=0,0,F450/J450)</f>
        <v>0.18424032</v>
      </c>
      <c r="M450" s="11" t="str">
        <f aca="false">IF(K450&gt;0,"BLOCKED","PASS")</f>
        <v>PASS</v>
      </c>
      <c r="N450" s="11" t="s">
        <v>235</v>
      </c>
    </row>
    <row r="451" customFormat="false" ht="23.85" hidden="false" customHeight="false" outlineLevel="0" collapsed="false">
      <c r="A451" s="11" t="s">
        <v>110</v>
      </c>
      <c r="B451" s="11" t="s">
        <v>134</v>
      </c>
      <c r="C451" s="11" t="s">
        <v>73</v>
      </c>
      <c r="D451" s="11" t="s">
        <v>74</v>
      </c>
      <c r="E451" s="11" t="s">
        <v>75</v>
      </c>
      <c r="F451" s="12" t="n">
        <f aca="false">SUMIFS(СПРОС_ДЕНЬ_ЧАС_МЕНЮ!$I$11:$I$3265,СПРОС_ДЕНЬ_ЧАС_МЕНЮ!$A$11:$A$3265,A451,СПРОС_ДЕНЬ_ЧАС_МЕНЮ!$B$11:$B$3265,B451,СПРОС_ДЕНЬ_ЧАС_МЕНЮ!$F$11:$F$3265,C451)</f>
        <v>1.6654</v>
      </c>
      <c r="G451" s="12" t="n">
        <f aca="false">ПАРАМЕТРЫ!D20</f>
        <v>25</v>
      </c>
      <c r="H451" s="12" t="n">
        <f aca="false">SUMIFS(ШТАТ_ПО_ЧАСАМ!$C$11:$C$115,ШТАТ_ПО_ЧАСАМ!$A$11:$A$115,A451,ШТАТ_ПО_ЧАСАМ!$B$11:$B$115,B451)</f>
        <v>2</v>
      </c>
      <c r="I451" s="12" t="n">
        <f aca="false">MIN(H451,1)*ПАРАМЕТРЫ!E20</f>
        <v>10</v>
      </c>
      <c r="J451" s="12" t="n">
        <f aca="false">MIN(G451,I451)</f>
        <v>10</v>
      </c>
      <c r="K451" s="12" t="n">
        <f aca="false">MAX(F451-J451,0)</f>
        <v>0</v>
      </c>
      <c r="L451" s="12" t="n">
        <f aca="false">IF(J451=0,0,F451/J451)</f>
        <v>0.16654</v>
      </c>
      <c r="M451" s="11" t="str">
        <f aca="false">IF(K451&gt;0,"BLOCKED","PASS")</f>
        <v>PASS</v>
      </c>
      <c r="N451" s="11" t="s">
        <v>233</v>
      </c>
    </row>
    <row r="452" customFormat="false" ht="23.85" hidden="false" customHeight="false" outlineLevel="0" collapsed="false">
      <c r="A452" s="11" t="s">
        <v>110</v>
      </c>
      <c r="B452" s="11" t="s">
        <v>134</v>
      </c>
      <c r="C452" s="11" t="s">
        <v>77</v>
      </c>
      <c r="D452" s="11" t="s">
        <v>78</v>
      </c>
      <c r="E452" s="11" t="s">
        <v>79</v>
      </c>
      <c r="F452" s="12" t="n">
        <f aca="false">SUMIFS(СПРОС_ДЕНЬ_ЧАС_МЕНЮ!$I$11:$I$3265,СПРОС_ДЕНЬ_ЧАС_МЕНЮ!$A$11:$A$3265,A452,СПРОС_ДЕНЬ_ЧАС_МЕНЮ!$B$11:$B$3265,B452,СПРОС_ДЕНЬ_ЧАС_МЕНЮ!$F$11:$F$3265,C452)</f>
        <v>1.62844</v>
      </c>
      <c r="G452" s="12" t="n">
        <f aca="false">ПАРАМЕТРЫ!D21</f>
        <v>20</v>
      </c>
      <c r="H452" s="12" t="n">
        <f aca="false">SUMIFS(ШТАТ_ПО_ЧАСАМ!$C$11:$C$115,ШТАТ_ПО_ЧАСАМ!$A$11:$A$115,A452,ШТАТ_ПО_ЧАСАМ!$B$11:$B$115,B452)</f>
        <v>2</v>
      </c>
      <c r="I452" s="12" t="n">
        <f aca="false">MIN(H452,1)*ПАРАМЕТРЫ!E21</f>
        <v>10</v>
      </c>
      <c r="J452" s="12" t="n">
        <f aca="false">MIN(G452,I452)</f>
        <v>10</v>
      </c>
      <c r="K452" s="12" t="n">
        <f aca="false">MAX(F452-J452,0)</f>
        <v>0</v>
      </c>
      <c r="L452" s="12" t="n">
        <f aca="false">IF(J452=0,0,F452/J452)</f>
        <v>0.162844</v>
      </c>
      <c r="M452" s="11" t="str">
        <f aca="false">IF(K452&gt;0,"BLOCKED","PASS")</f>
        <v>PASS</v>
      </c>
      <c r="N452" s="11" t="s">
        <v>233</v>
      </c>
    </row>
    <row r="453" customFormat="false" ht="23.85" hidden="false" customHeight="false" outlineLevel="0" collapsed="false">
      <c r="A453" s="11" t="s">
        <v>110</v>
      </c>
      <c r="B453" s="11" t="s">
        <v>134</v>
      </c>
      <c r="C453" s="11" t="s">
        <v>80</v>
      </c>
      <c r="D453" s="11" t="s">
        <v>81</v>
      </c>
      <c r="E453" s="11" t="s">
        <v>82</v>
      </c>
      <c r="F453" s="12" t="n">
        <f aca="false">SUMIFS(СПРОС_ДЕНЬ_ЧАС_МЕНЮ!$I$11:$I$3265,СПРОС_ДЕНЬ_ЧАС_МЕНЮ!$A$11:$A$3265,A453,СПРОС_ДЕНЬ_ЧАС_МЕНЮ!$B$11:$B$3265,B453,СПРОС_ДЕНЬ_ЧАС_МЕНЮ!$F$11:$F$3265,C453)</f>
        <v>1.7545</v>
      </c>
      <c r="G453" s="12" t="n">
        <f aca="false">ПАРАМЕТРЫ!D22</f>
        <v>16</v>
      </c>
      <c r="H453" s="12" t="n">
        <f aca="false">SUMIFS(ШТАТ_ПО_ЧАСАМ!$C$11:$C$115,ШТАТ_ПО_ЧАСАМ!$A$11:$A$115,A453,ШТАТ_ПО_ЧАСАМ!$B$11:$B$115,B453)</f>
        <v>2</v>
      </c>
      <c r="I453" s="12" t="n">
        <f aca="false">MIN(H453,1)*ПАРАМЕТРЫ!E22</f>
        <v>16</v>
      </c>
      <c r="J453" s="12" t="n">
        <f aca="false">MIN(G453,I453)</f>
        <v>16</v>
      </c>
      <c r="K453" s="12" t="n">
        <f aca="false">MAX(F453-J453,0)</f>
        <v>0</v>
      </c>
      <c r="L453" s="12" t="n">
        <f aca="false">IF(J453=0,0,F453/J453)</f>
        <v>0.10965625</v>
      </c>
      <c r="M453" s="11" t="str">
        <f aca="false">IF(K453&gt;0,"BLOCKED","PASS")</f>
        <v>PASS</v>
      </c>
      <c r="N453" s="11" t="s">
        <v>233</v>
      </c>
    </row>
    <row r="454" customFormat="false" ht="23.85" hidden="false" customHeight="false" outlineLevel="0" collapsed="false">
      <c r="A454" s="11" t="s">
        <v>110</v>
      </c>
      <c r="B454" s="11" t="s">
        <v>134</v>
      </c>
      <c r="C454" s="11" t="s">
        <v>83</v>
      </c>
      <c r="D454" s="11" t="s">
        <v>84</v>
      </c>
      <c r="E454" s="11" t="s">
        <v>83</v>
      </c>
      <c r="F454" s="12" t="n">
        <f aca="false">SUMIFS(СПРОС_ДЕНЬ_ЧАС_МЕНЮ!$I$11:$I$3265,СПРОС_ДЕНЬ_ЧАС_МЕНЮ!$A$11:$A$3265,A454,СПРОС_ДЕНЬ_ЧАС_МЕНЮ!$B$11:$B$3265,B454,СПРОС_ДЕНЬ_ЧАС_МЕНЮ!$F$11:$F$3265,C454)</f>
        <v>3.1075</v>
      </c>
      <c r="G454" s="12" t="n">
        <f aca="false">ПАРАМЕТРЫ!D23</f>
        <v>21</v>
      </c>
      <c r="H454" s="12" t="n">
        <f aca="false">SUMIFS(ШТАТ_ПО_ЧАСАМ!$C$11:$C$115,ШТАТ_ПО_ЧАСАМ!$A$11:$A$115,A454,ШТАТ_ПО_ЧАСАМ!$B$11:$B$115,B454)</f>
        <v>2</v>
      </c>
      <c r="I454" s="12" t="n">
        <f aca="false">MIN(H454,1)*ПАРАМЕТРЫ!E23</f>
        <v>21</v>
      </c>
      <c r="J454" s="12" t="n">
        <f aca="false">MIN(G454,I454)</f>
        <v>21</v>
      </c>
      <c r="K454" s="12" t="n">
        <f aca="false">MAX(F454-J454,0)</f>
        <v>0</v>
      </c>
      <c r="L454" s="12" t="n">
        <f aca="false">IF(J454=0,0,F454/J454)</f>
        <v>0.14797619047619</v>
      </c>
      <c r="M454" s="11" t="str">
        <f aca="false">IF(K454&gt;0,"BLOCKED","PASS")</f>
        <v>PASS</v>
      </c>
      <c r="N454" s="11" t="s">
        <v>233</v>
      </c>
    </row>
    <row r="455" customFormat="false" ht="23.85" hidden="false" customHeight="false" outlineLevel="0" collapsed="false">
      <c r="A455" s="11" t="s">
        <v>110</v>
      </c>
      <c r="B455" s="11" t="s">
        <v>134</v>
      </c>
      <c r="C455" s="11" t="s">
        <v>85</v>
      </c>
      <c r="D455" s="11" t="s">
        <v>86</v>
      </c>
      <c r="E455" s="11" t="s">
        <v>87</v>
      </c>
      <c r="F455" s="12" t="n">
        <f aca="false">SUMIFS(СПРОС_ДЕНЬ_ЧАС_МЕНЮ!$I$11:$I$3265,СПРОС_ДЕНЬ_ЧАС_МЕНЮ!$A$11:$A$3265,A455,СПРОС_ДЕНЬ_ЧАС_МЕНЮ!$B$11:$B$3265,B455,СПРОС_ДЕНЬ_ЧАС_МЕНЮ!$F$11:$F$3265,C455)</f>
        <v>1.1850135</v>
      </c>
      <c r="G455" s="12" t="n">
        <f aca="false">ПАРАМЕТРЫ!D24</f>
        <v>12</v>
      </c>
      <c r="H455" s="12" t="n">
        <f aca="false">SUMIFS(ШТАТ_ПО_ЧАСАМ!$C$11:$C$115,ШТАТ_ПО_ЧАСАМ!$A$11:$A$115,A455,ШТАТ_ПО_ЧАСАМ!$B$11:$B$115,B455)</f>
        <v>2</v>
      </c>
      <c r="I455" s="12" t="n">
        <f aca="false">MIN(H455,1)*ПАРАМЕТРЫ!E24</f>
        <v>12</v>
      </c>
      <c r="J455" s="12" t="n">
        <f aca="false">MIN(G455,I455)</f>
        <v>12</v>
      </c>
      <c r="K455" s="12" t="n">
        <f aca="false">MAX(F455-J455,0)</f>
        <v>0</v>
      </c>
      <c r="L455" s="12" t="n">
        <f aca="false">IF(J455=0,0,F455/J455)</f>
        <v>0.098751125</v>
      </c>
      <c r="M455" s="11" t="str">
        <f aca="false">IF(K455&gt;0,"BLOCKED","PASS")</f>
        <v>PASS</v>
      </c>
      <c r="N455" s="11" t="s">
        <v>233</v>
      </c>
    </row>
    <row r="456" customFormat="false" ht="23.85" hidden="false" customHeight="false" outlineLevel="0" collapsed="false">
      <c r="A456" s="11" t="s">
        <v>110</v>
      </c>
      <c r="B456" s="11" t="s">
        <v>134</v>
      </c>
      <c r="C456" s="11" t="s">
        <v>88</v>
      </c>
      <c r="D456" s="11" t="s">
        <v>89</v>
      </c>
      <c r="E456" s="11" t="s">
        <v>90</v>
      </c>
      <c r="F456" s="12" t="n">
        <f aca="false">SUMIFS(СПРОС_ДЕНЬ_ЧАС_МЕНЮ!$I$11:$I$3265,СПРОС_ДЕНЬ_ЧАС_МЕНЮ!$A$11:$A$3265,A456,СПРОС_ДЕНЬ_ЧАС_МЕНЮ!$B$11:$B$3265,B456,СПРОС_ДЕНЬ_ЧАС_МЕНЮ!$F$11:$F$3265,C456)</f>
        <v>0</v>
      </c>
      <c r="G456" s="12" t="n">
        <f aca="false">ПАРАМЕТРЫ!D25</f>
        <v>15</v>
      </c>
      <c r="H456" s="12" t="n">
        <f aca="false">SUMIFS(ШТАТ_ПО_ЧАСАМ!$C$11:$C$115,ШТАТ_ПО_ЧАСАМ!$A$11:$A$115,A456,ШТАТ_ПО_ЧАСАМ!$B$11:$B$115,B456)</f>
        <v>2</v>
      </c>
      <c r="I456" s="12" t="n">
        <f aca="false">MIN(H456,1)*ПАРАМЕТРЫ!E25</f>
        <v>10</v>
      </c>
      <c r="J456" s="12" t="n">
        <f aca="false">MIN(G456,I456)</f>
        <v>10</v>
      </c>
      <c r="K456" s="12" t="n">
        <f aca="false">MAX(F456-J456,0)</f>
        <v>0</v>
      </c>
      <c r="L456" s="12" t="n">
        <f aca="false">IF(J456=0,0,F456/J456)</f>
        <v>0</v>
      </c>
      <c r="M456" s="11" t="str">
        <f aca="false">IF(K456&gt;0,"BLOCKED","PASS")</f>
        <v>PASS</v>
      </c>
      <c r="N456" s="11" t="s">
        <v>233</v>
      </c>
    </row>
    <row r="457" customFormat="false" ht="23.85" hidden="false" customHeight="false" outlineLevel="0" collapsed="false">
      <c r="A457" s="11" t="s">
        <v>110</v>
      </c>
      <c r="B457" s="11" t="s">
        <v>134</v>
      </c>
      <c r="C457" s="11" t="s">
        <v>91</v>
      </c>
      <c r="D457" s="11" t="s">
        <v>92</v>
      </c>
      <c r="E457" s="11" t="s">
        <v>79</v>
      </c>
      <c r="F457" s="12" t="n">
        <f aca="false">SUMIFS(СПРОС_ДЕНЬ_ЧАС_МЕНЮ!$I$11:$I$3265,СПРОС_ДЕНЬ_ЧАС_МЕНЮ!$A$11:$A$3265,A457,СПРОС_ДЕНЬ_ЧАС_МЕНЮ!$B$11:$B$3265,B457,СПРОС_ДЕНЬ_ЧАС_МЕНЮ!$F$11:$F$3265,C457)</f>
        <v>0.9658</v>
      </c>
      <c r="G457" s="12" t="n">
        <f aca="false">ПАРАМЕТРЫ!D26</f>
        <v>20</v>
      </c>
      <c r="H457" s="12" t="n">
        <f aca="false">SUMIFS(ШТАТ_ПО_ЧАСАМ!$C$11:$C$115,ШТАТ_ПО_ЧАСАМ!$A$11:$A$115,A457,ШТАТ_ПО_ЧАСАМ!$B$11:$B$115,B457)</f>
        <v>2</v>
      </c>
      <c r="I457" s="12" t="n">
        <f aca="false">MIN(H457,1)*ПАРАМЕТРЫ!E26</f>
        <v>10</v>
      </c>
      <c r="J457" s="12" t="n">
        <f aca="false">MIN(G457,I457)</f>
        <v>10</v>
      </c>
      <c r="K457" s="12" t="n">
        <f aca="false">MAX(F457-J457,0)</f>
        <v>0</v>
      </c>
      <c r="L457" s="12" t="n">
        <f aca="false">IF(J457=0,0,F457/J457)</f>
        <v>0.09658</v>
      </c>
      <c r="M457" s="11" t="str">
        <f aca="false">IF(K457&gt;0,"BLOCKED","PASS")</f>
        <v>PASS</v>
      </c>
      <c r="N457" s="11" t="s">
        <v>233</v>
      </c>
    </row>
    <row r="458" customFormat="false" ht="15" hidden="false" customHeight="false" outlineLevel="0" collapsed="false">
      <c r="A458" s="11" t="s">
        <v>110</v>
      </c>
      <c r="B458" s="11" t="s">
        <v>134</v>
      </c>
      <c r="C458" s="11" t="s">
        <v>93</v>
      </c>
      <c r="D458" s="11" t="s">
        <v>234</v>
      </c>
      <c r="E458" s="11" t="s">
        <v>95</v>
      </c>
      <c r="F458" s="12" t="n">
        <f aca="false">SUMIFS(СПРОС_ДЕНЬ_ЧАС_МЕНЮ!$I$11:$I$3265,СПРОС_ДЕНЬ_ЧАС_МЕНЮ!$A$11:$A$3265,A458,СПРОС_ДЕНЬ_ЧАС_МЕНЮ!$B$11:$B$3265,B458)</f>
        <v>10.3066535</v>
      </c>
      <c r="G458" s="12" t="n">
        <f aca="false">ПАРАМЕТРЫ!D27</f>
        <v>60</v>
      </c>
      <c r="H458" s="12" t="n">
        <f aca="false">SUMIFS(ШТАТ_ПО_ЧАСАМ!$C$11:$C$115,ШТАТ_ПО_ЧАСАМ!$A$11:$A$115,A458,ШТАТ_ПО_ЧАСАМ!$B$11:$B$115,B458)</f>
        <v>2</v>
      </c>
      <c r="I458" s="12" t="n">
        <f aca="false">H458*ПАРАМЕТРЫ!E27</f>
        <v>33.3333333333333</v>
      </c>
      <c r="J458" s="12" t="n">
        <f aca="false">MIN(G458,I458)</f>
        <v>33.3333333333333</v>
      </c>
      <c r="K458" s="12" t="n">
        <f aca="false">MAX(F458-J458,0)</f>
        <v>0</v>
      </c>
      <c r="L458" s="12" t="n">
        <f aca="false">IF(J458=0,0,F458/J458)</f>
        <v>0.309199605</v>
      </c>
      <c r="M458" s="11" t="str">
        <f aca="false">IF(K458&gt;0,"BLOCKED","PASS")</f>
        <v>PASS</v>
      </c>
      <c r="N458" s="11" t="s">
        <v>235</v>
      </c>
    </row>
    <row r="459" customFormat="false" ht="23.85" hidden="false" customHeight="false" outlineLevel="0" collapsed="false">
      <c r="A459" s="11" t="s">
        <v>110</v>
      </c>
      <c r="B459" s="11" t="s">
        <v>135</v>
      </c>
      <c r="C459" s="11" t="s">
        <v>73</v>
      </c>
      <c r="D459" s="11" t="s">
        <v>74</v>
      </c>
      <c r="E459" s="11" t="s">
        <v>75</v>
      </c>
      <c r="F459" s="12" t="n">
        <f aca="false">SUMIFS(СПРОС_ДЕНЬ_ЧАС_МЕНЮ!$I$11:$I$3265,СПРОС_ДЕНЬ_ЧАС_МЕНЮ!$A$11:$A$3265,A459,СПРОС_ДЕНЬ_ЧАС_МЕНЮ!$B$11:$B$3265,B459,СПРОС_ДЕНЬ_ЧАС_МЕНЮ!$F$11:$F$3265,C459)</f>
        <v>2.9403</v>
      </c>
      <c r="G459" s="12" t="n">
        <f aca="false">ПАРАМЕТРЫ!D20</f>
        <v>25</v>
      </c>
      <c r="H459" s="12" t="n">
        <f aca="false">SUMIFS(ШТАТ_ПО_ЧАСАМ!$C$11:$C$115,ШТАТ_ПО_ЧАСАМ!$A$11:$A$115,A459,ШТАТ_ПО_ЧАСАМ!$B$11:$B$115,B459)</f>
        <v>1</v>
      </c>
      <c r="I459" s="12" t="n">
        <f aca="false">MIN(H459,1)*ПАРАМЕТРЫ!E20</f>
        <v>10</v>
      </c>
      <c r="J459" s="12" t="n">
        <f aca="false">MIN(G459,I459)</f>
        <v>10</v>
      </c>
      <c r="K459" s="12" t="n">
        <f aca="false">MAX(F459-J459,0)</f>
        <v>0</v>
      </c>
      <c r="L459" s="12" t="n">
        <f aca="false">IF(J459=0,0,F459/J459)</f>
        <v>0.29403</v>
      </c>
      <c r="M459" s="11" t="str">
        <f aca="false">IF(K459&gt;0,"BLOCKED","PASS")</f>
        <v>PASS</v>
      </c>
      <c r="N459" s="11" t="s">
        <v>233</v>
      </c>
    </row>
    <row r="460" customFormat="false" ht="23.85" hidden="false" customHeight="false" outlineLevel="0" collapsed="false">
      <c r="A460" s="11" t="s">
        <v>110</v>
      </c>
      <c r="B460" s="11" t="s">
        <v>135</v>
      </c>
      <c r="C460" s="11" t="s">
        <v>77</v>
      </c>
      <c r="D460" s="11" t="s">
        <v>78</v>
      </c>
      <c r="E460" s="11" t="s">
        <v>79</v>
      </c>
      <c r="F460" s="12" t="n">
        <f aca="false">SUMIFS(СПРОС_ДЕНЬ_ЧАС_МЕНЮ!$I$11:$I$3265,СПРОС_ДЕНЬ_ЧАС_МЕНЮ!$A$11:$A$3265,A460,СПРОС_ДЕНЬ_ЧАС_МЕНЮ!$B$11:$B$3265,B460,СПРОС_ДЕНЬ_ЧАС_МЕНЮ!$F$11:$F$3265,C460)</f>
        <v>1.94238</v>
      </c>
      <c r="G460" s="12" t="n">
        <f aca="false">ПАРАМЕТРЫ!D21</f>
        <v>20</v>
      </c>
      <c r="H460" s="12" t="n">
        <f aca="false">SUMIFS(ШТАТ_ПО_ЧАСАМ!$C$11:$C$115,ШТАТ_ПО_ЧАСАМ!$A$11:$A$115,A460,ШТАТ_ПО_ЧАСАМ!$B$11:$B$115,B460)</f>
        <v>1</v>
      </c>
      <c r="I460" s="12" t="n">
        <f aca="false">MIN(H460,1)*ПАРАМЕТРЫ!E21</f>
        <v>10</v>
      </c>
      <c r="J460" s="12" t="n">
        <f aca="false">MIN(G460,I460)</f>
        <v>10</v>
      </c>
      <c r="K460" s="12" t="n">
        <f aca="false">MAX(F460-J460,0)</f>
        <v>0</v>
      </c>
      <c r="L460" s="12" t="n">
        <f aca="false">IF(J460=0,0,F460/J460)</f>
        <v>0.194238</v>
      </c>
      <c r="M460" s="11" t="str">
        <f aca="false">IF(K460&gt;0,"BLOCKED","PASS")</f>
        <v>PASS</v>
      </c>
      <c r="N460" s="11" t="s">
        <v>233</v>
      </c>
    </row>
    <row r="461" customFormat="false" ht="23.85" hidden="false" customHeight="false" outlineLevel="0" collapsed="false">
      <c r="A461" s="11" t="s">
        <v>110</v>
      </c>
      <c r="B461" s="11" t="s">
        <v>135</v>
      </c>
      <c r="C461" s="11" t="s">
        <v>80</v>
      </c>
      <c r="D461" s="11" t="s">
        <v>81</v>
      </c>
      <c r="E461" s="11" t="s">
        <v>82</v>
      </c>
      <c r="F461" s="12" t="n">
        <f aca="false">SUMIFS(СПРОС_ДЕНЬ_ЧАС_МЕНЮ!$I$11:$I$3265,СПРОС_ДЕНЬ_ЧАС_МЕНЮ!$A$11:$A$3265,A461,СПРОС_ДЕНЬ_ЧАС_МЕНЮ!$B$11:$B$3265,B461,СПРОС_ДЕНЬ_ЧАС_МЕНЮ!$F$11:$F$3265,C461)</f>
        <v>3.663</v>
      </c>
      <c r="G461" s="12" t="n">
        <f aca="false">ПАРАМЕТРЫ!D22</f>
        <v>16</v>
      </c>
      <c r="H461" s="12" t="n">
        <f aca="false">SUMIFS(ШТАТ_ПО_ЧАСАМ!$C$11:$C$115,ШТАТ_ПО_ЧАСАМ!$A$11:$A$115,A461,ШТАТ_ПО_ЧАСАМ!$B$11:$B$115,B461)</f>
        <v>1</v>
      </c>
      <c r="I461" s="12" t="n">
        <f aca="false">MIN(H461,1)*ПАРАМЕТРЫ!E22</f>
        <v>16</v>
      </c>
      <c r="J461" s="12" t="n">
        <f aca="false">MIN(G461,I461)</f>
        <v>16</v>
      </c>
      <c r="K461" s="12" t="n">
        <f aca="false">MAX(F461-J461,0)</f>
        <v>0</v>
      </c>
      <c r="L461" s="12" t="n">
        <f aca="false">IF(J461=0,0,F461/J461)</f>
        <v>0.2289375</v>
      </c>
      <c r="M461" s="11" t="str">
        <f aca="false">IF(K461&gt;0,"BLOCKED","PASS")</f>
        <v>PASS</v>
      </c>
      <c r="N461" s="11" t="s">
        <v>233</v>
      </c>
    </row>
    <row r="462" customFormat="false" ht="23.85" hidden="false" customHeight="false" outlineLevel="0" collapsed="false">
      <c r="A462" s="11" t="s">
        <v>110</v>
      </c>
      <c r="B462" s="11" t="s">
        <v>135</v>
      </c>
      <c r="C462" s="11" t="s">
        <v>83</v>
      </c>
      <c r="D462" s="11" t="s">
        <v>84</v>
      </c>
      <c r="E462" s="11" t="s">
        <v>83</v>
      </c>
      <c r="F462" s="12" t="n">
        <f aca="false">SUMIFS(СПРОС_ДЕНЬ_ЧАС_МЕНЮ!$I$11:$I$3265,СПРОС_ДЕНЬ_ЧАС_МЕНЮ!$A$11:$A$3265,A462,СПРОС_ДЕНЬ_ЧАС_МЕНЮ!$B$11:$B$3265,B462,СПРОС_ДЕНЬ_ЧАС_МЕНЮ!$F$11:$F$3265,C462)</f>
        <v>6.2865</v>
      </c>
      <c r="G462" s="12" t="n">
        <f aca="false">ПАРАМЕТРЫ!D23</f>
        <v>21</v>
      </c>
      <c r="H462" s="12" t="n">
        <f aca="false">SUMIFS(ШТАТ_ПО_ЧАСАМ!$C$11:$C$115,ШТАТ_ПО_ЧАСАМ!$A$11:$A$115,A462,ШТАТ_ПО_ЧАСАМ!$B$11:$B$115,B462)</f>
        <v>1</v>
      </c>
      <c r="I462" s="12" t="n">
        <f aca="false">MIN(H462,1)*ПАРАМЕТРЫ!E23</f>
        <v>21</v>
      </c>
      <c r="J462" s="12" t="n">
        <f aca="false">MIN(G462,I462)</f>
        <v>21</v>
      </c>
      <c r="K462" s="12" t="n">
        <f aca="false">MAX(F462-J462,0)</f>
        <v>0</v>
      </c>
      <c r="L462" s="12" t="n">
        <f aca="false">IF(J462=0,0,F462/J462)</f>
        <v>0.299357142857143</v>
      </c>
      <c r="M462" s="11" t="str">
        <f aca="false">IF(K462&gt;0,"BLOCKED","PASS")</f>
        <v>PASS</v>
      </c>
      <c r="N462" s="11" t="s">
        <v>233</v>
      </c>
    </row>
    <row r="463" customFormat="false" ht="23.85" hidden="false" customHeight="false" outlineLevel="0" collapsed="false">
      <c r="A463" s="11" t="s">
        <v>110</v>
      </c>
      <c r="B463" s="11" t="s">
        <v>135</v>
      </c>
      <c r="C463" s="11" t="s">
        <v>85</v>
      </c>
      <c r="D463" s="11" t="s">
        <v>86</v>
      </c>
      <c r="E463" s="11" t="s">
        <v>87</v>
      </c>
      <c r="F463" s="12" t="n">
        <f aca="false">SUMIFS(СПРОС_ДЕНЬ_ЧАС_МЕНЮ!$I$11:$I$3265,СПРОС_ДЕНЬ_ЧАС_МЕНЮ!$A$11:$A$3265,A463,СПРОС_ДЕНЬ_ЧАС_МЕНЮ!$B$11:$B$3265,B463,СПРОС_ДЕНЬ_ЧАС_МЕНЮ!$F$11:$F$3265,C463)</f>
        <v>2.7276645</v>
      </c>
      <c r="G463" s="12" t="n">
        <f aca="false">ПАРАМЕТРЫ!D24</f>
        <v>12</v>
      </c>
      <c r="H463" s="12" t="n">
        <f aca="false">SUMIFS(ШТАТ_ПО_ЧАСАМ!$C$11:$C$115,ШТАТ_ПО_ЧАСАМ!$A$11:$A$115,A463,ШТАТ_ПО_ЧАСАМ!$B$11:$B$115,B463)</f>
        <v>1</v>
      </c>
      <c r="I463" s="12" t="n">
        <f aca="false">MIN(H463,1)*ПАРАМЕТРЫ!E24</f>
        <v>12</v>
      </c>
      <c r="J463" s="12" t="n">
        <f aca="false">MIN(G463,I463)</f>
        <v>12</v>
      </c>
      <c r="K463" s="12" t="n">
        <f aca="false">MAX(F463-J463,0)</f>
        <v>0</v>
      </c>
      <c r="L463" s="12" t="n">
        <f aca="false">IF(J463=0,0,F463/J463)</f>
        <v>0.227305375</v>
      </c>
      <c r="M463" s="11" t="str">
        <f aca="false">IF(K463&gt;0,"BLOCKED","PASS")</f>
        <v>PASS</v>
      </c>
      <c r="N463" s="11" t="s">
        <v>233</v>
      </c>
    </row>
    <row r="464" customFormat="false" ht="23.85" hidden="false" customHeight="false" outlineLevel="0" collapsed="false">
      <c r="A464" s="11" t="s">
        <v>110</v>
      </c>
      <c r="B464" s="11" t="s">
        <v>135</v>
      </c>
      <c r="C464" s="11" t="s">
        <v>88</v>
      </c>
      <c r="D464" s="11" t="s">
        <v>89</v>
      </c>
      <c r="E464" s="11" t="s">
        <v>90</v>
      </c>
      <c r="F464" s="12" t="n">
        <f aca="false">SUMIFS(СПРОС_ДЕНЬ_ЧАС_МЕНЮ!$I$11:$I$3265,СПРОС_ДЕНЬ_ЧАС_МЕНЮ!$A$11:$A$3265,A464,СПРОС_ДЕНЬ_ЧАС_МЕНЮ!$B$11:$B$3265,B464,СПРОС_ДЕНЬ_ЧАС_МЕНЮ!$F$11:$F$3265,C464)</f>
        <v>0</v>
      </c>
      <c r="G464" s="12" t="n">
        <f aca="false">ПАРАМЕТРЫ!D25</f>
        <v>15</v>
      </c>
      <c r="H464" s="12" t="n">
        <f aca="false">SUMIFS(ШТАТ_ПО_ЧАСАМ!$C$11:$C$115,ШТАТ_ПО_ЧАСАМ!$A$11:$A$115,A464,ШТАТ_ПО_ЧАСАМ!$B$11:$B$115,B464)</f>
        <v>1</v>
      </c>
      <c r="I464" s="12" t="n">
        <f aca="false">MIN(H464,1)*ПАРАМЕТРЫ!E25</f>
        <v>10</v>
      </c>
      <c r="J464" s="12" t="n">
        <f aca="false">MIN(G464,I464)</f>
        <v>10</v>
      </c>
      <c r="K464" s="12" t="n">
        <f aca="false">MAX(F464-J464,0)</f>
        <v>0</v>
      </c>
      <c r="L464" s="12" t="n">
        <f aca="false">IF(J464=0,0,F464/J464)</f>
        <v>0</v>
      </c>
      <c r="M464" s="11" t="str">
        <f aca="false">IF(K464&gt;0,"BLOCKED","PASS")</f>
        <v>PASS</v>
      </c>
      <c r="N464" s="11" t="s">
        <v>233</v>
      </c>
    </row>
    <row r="465" customFormat="false" ht="23.85" hidden="false" customHeight="false" outlineLevel="0" collapsed="false">
      <c r="A465" s="11" t="s">
        <v>110</v>
      </c>
      <c r="B465" s="11" t="s">
        <v>135</v>
      </c>
      <c r="C465" s="11" t="s">
        <v>91</v>
      </c>
      <c r="D465" s="11" t="s">
        <v>92</v>
      </c>
      <c r="E465" s="11" t="s">
        <v>79</v>
      </c>
      <c r="F465" s="12" t="n">
        <f aca="false">SUMIFS(СПРОС_ДЕНЬ_ЧАС_МЕНЮ!$I$11:$I$3265,СПРОС_ДЕНЬ_ЧАС_МЕНЮ!$A$11:$A$3265,A465,СПРОС_ДЕНЬ_ЧАС_МЕНЮ!$B$11:$B$3265,B465,СПРОС_ДЕНЬ_ЧАС_МЕНЮ!$F$11:$F$3265,C465)</f>
        <v>1.3266</v>
      </c>
      <c r="G465" s="12" t="n">
        <f aca="false">ПАРАМЕТРЫ!D26</f>
        <v>20</v>
      </c>
      <c r="H465" s="12" t="n">
        <f aca="false">SUMIFS(ШТАТ_ПО_ЧАСАМ!$C$11:$C$115,ШТАТ_ПО_ЧАСАМ!$A$11:$A$115,A465,ШТАТ_ПО_ЧАСАМ!$B$11:$B$115,B465)</f>
        <v>1</v>
      </c>
      <c r="I465" s="12" t="n">
        <f aca="false">MIN(H465,1)*ПАРАМЕТРЫ!E26</f>
        <v>10</v>
      </c>
      <c r="J465" s="12" t="n">
        <f aca="false">MIN(G465,I465)</f>
        <v>10</v>
      </c>
      <c r="K465" s="12" t="n">
        <f aca="false">MAX(F465-J465,0)</f>
        <v>0</v>
      </c>
      <c r="L465" s="12" t="n">
        <f aca="false">IF(J465=0,0,F465/J465)</f>
        <v>0.13266</v>
      </c>
      <c r="M465" s="11" t="str">
        <f aca="false">IF(K465&gt;0,"BLOCKED","PASS")</f>
        <v>PASS</v>
      </c>
      <c r="N465" s="11" t="s">
        <v>233</v>
      </c>
    </row>
    <row r="466" customFormat="false" ht="15" hidden="false" customHeight="false" outlineLevel="0" collapsed="false">
      <c r="A466" s="11" t="s">
        <v>110</v>
      </c>
      <c r="B466" s="11" t="s">
        <v>135</v>
      </c>
      <c r="C466" s="11" t="s">
        <v>93</v>
      </c>
      <c r="D466" s="11" t="s">
        <v>234</v>
      </c>
      <c r="E466" s="11" t="s">
        <v>95</v>
      </c>
      <c r="F466" s="12" t="n">
        <f aca="false">SUMIFS(СПРОС_ДЕНЬ_ЧАС_МЕНЮ!$I$11:$I$3265,СПРОС_ДЕНЬ_ЧАС_МЕНЮ!$A$11:$A$3265,A466,СПРОС_ДЕНЬ_ЧАС_МЕНЮ!$B$11:$B$3265,B466)</f>
        <v>18.8864445</v>
      </c>
      <c r="G466" s="12" t="n">
        <f aca="false">ПАРАМЕТРЫ!D27</f>
        <v>60</v>
      </c>
      <c r="H466" s="12" t="n">
        <f aca="false">SUMIFS(ШТАТ_ПО_ЧАСАМ!$C$11:$C$115,ШТАТ_ПО_ЧАСАМ!$A$11:$A$115,A466,ШТАТ_ПО_ЧАСАМ!$B$11:$B$115,B466)</f>
        <v>1</v>
      </c>
      <c r="I466" s="12" t="n">
        <f aca="false">H466*ПАРАМЕТРЫ!E27</f>
        <v>16.6666666666667</v>
      </c>
      <c r="J466" s="12" t="n">
        <f aca="false">MIN(G466,I466)</f>
        <v>16.6666666666667</v>
      </c>
      <c r="K466" s="12" t="n">
        <f aca="false">MAX(F466-J466,0)</f>
        <v>2.21977783333334</v>
      </c>
      <c r="L466" s="12" t="n">
        <f aca="false">IF(J466=0,0,F466/J466)</f>
        <v>1.13318667</v>
      </c>
      <c r="M466" s="11" t="str">
        <f aca="false">IF(K466&gt;0,"BLOCKED","PASS")</f>
        <v>BLOCKED</v>
      </c>
      <c r="N466" s="11" t="s">
        <v>235</v>
      </c>
    </row>
    <row r="467" customFormat="false" ht="23.85" hidden="false" customHeight="false" outlineLevel="0" collapsed="false">
      <c r="A467" s="11" t="s">
        <v>110</v>
      </c>
      <c r="B467" s="11" t="s">
        <v>136</v>
      </c>
      <c r="C467" s="11" t="s">
        <v>73</v>
      </c>
      <c r="D467" s="11" t="s">
        <v>74</v>
      </c>
      <c r="E467" s="11" t="s">
        <v>75</v>
      </c>
      <c r="F467" s="12" t="n">
        <f aca="false">SUMIFS(СПРОС_ДЕНЬ_ЧАС_МЕНЮ!$I$11:$I$3265,СПРОС_ДЕНЬ_ЧАС_МЕНЮ!$A$11:$A$3265,A467,СПРОС_ДЕНЬ_ЧАС_МЕНЮ!$B$11:$B$3265,B467,СПРОС_ДЕНЬ_ЧАС_МЕНЮ!$F$11:$F$3265,C467)</f>
        <v>3.6289</v>
      </c>
      <c r="G467" s="12" t="n">
        <f aca="false">ПАРАМЕТРЫ!D20</f>
        <v>25</v>
      </c>
      <c r="H467" s="12" t="n">
        <f aca="false">SUMIFS(ШТАТ_ПО_ЧАСАМ!$C$11:$C$115,ШТАТ_ПО_ЧАСАМ!$A$11:$A$115,A467,ШТАТ_ПО_ЧАСАМ!$B$11:$B$115,B467)</f>
        <v>1</v>
      </c>
      <c r="I467" s="12" t="n">
        <f aca="false">MIN(H467,1)*ПАРАМЕТРЫ!E20</f>
        <v>10</v>
      </c>
      <c r="J467" s="12" t="n">
        <f aca="false">MIN(G467,I467)</f>
        <v>10</v>
      </c>
      <c r="K467" s="12" t="n">
        <f aca="false">MAX(F467-J467,0)</f>
        <v>0</v>
      </c>
      <c r="L467" s="12" t="n">
        <f aca="false">IF(J467=0,0,F467/J467)</f>
        <v>0.36289</v>
      </c>
      <c r="M467" s="11" t="str">
        <f aca="false">IF(K467&gt;0,"BLOCKED","PASS")</f>
        <v>PASS</v>
      </c>
      <c r="N467" s="11" t="s">
        <v>233</v>
      </c>
    </row>
    <row r="468" customFormat="false" ht="23.85" hidden="false" customHeight="false" outlineLevel="0" collapsed="false">
      <c r="A468" s="11" t="s">
        <v>110</v>
      </c>
      <c r="B468" s="11" t="s">
        <v>136</v>
      </c>
      <c r="C468" s="11" t="s">
        <v>77</v>
      </c>
      <c r="D468" s="11" t="s">
        <v>78</v>
      </c>
      <c r="E468" s="11" t="s">
        <v>79</v>
      </c>
      <c r="F468" s="12" t="n">
        <f aca="false">SUMIFS(СПРОС_ДЕНЬ_ЧАС_МЕНЮ!$I$11:$I$3265,СПРОС_ДЕНЬ_ЧАС_МЕНЮ!$A$11:$A$3265,A468,СПРОС_ДЕНЬ_ЧАС_МЕНЮ!$B$11:$B$3265,B468,СПРОС_ДЕНЬ_ЧАС_МЕНЮ!$F$11:$F$3265,C468)</f>
        <v>2.12234</v>
      </c>
      <c r="G468" s="12" t="n">
        <f aca="false">ПАРАМЕТРЫ!D21</f>
        <v>20</v>
      </c>
      <c r="H468" s="12" t="n">
        <f aca="false">SUMIFS(ШТАТ_ПО_ЧАСАМ!$C$11:$C$115,ШТАТ_ПО_ЧАСАМ!$A$11:$A$115,A468,ШТАТ_ПО_ЧАСАМ!$B$11:$B$115,B468)</f>
        <v>1</v>
      </c>
      <c r="I468" s="12" t="n">
        <f aca="false">MIN(H468,1)*ПАРАМЕТРЫ!E21</f>
        <v>10</v>
      </c>
      <c r="J468" s="12" t="n">
        <f aca="false">MIN(G468,I468)</f>
        <v>10</v>
      </c>
      <c r="K468" s="12" t="n">
        <f aca="false">MAX(F468-J468,0)</f>
        <v>0</v>
      </c>
      <c r="L468" s="12" t="n">
        <f aca="false">IF(J468=0,0,F468/J468)</f>
        <v>0.212234</v>
      </c>
      <c r="M468" s="11" t="str">
        <f aca="false">IF(K468&gt;0,"BLOCKED","PASS")</f>
        <v>PASS</v>
      </c>
      <c r="N468" s="11" t="s">
        <v>233</v>
      </c>
    </row>
    <row r="469" customFormat="false" ht="23.85" hidden="false" customHeight="false" outlineLevel="0" collapsed="false">
      <c r="A469" s="11" t="s">
        <v>110</v>
      </c>
      <c r="B469" s="11" t="s">
        <v>136</v>
      </c>
      <c r="C469" s="11" t="s">
        <v>80</v>
      </c>
      <c r="D469" s="11" t="s">
        <v>81</v>
      </c>
      <c r="E469" s="11" t="s">
        <v>82</v>
      </c>
      <c r="F469" s="12" t="n">
        <f aca="false">SUMIFS(СПРОС_ДЕНЬ_ЧАС_МЕНЮ!$I$11:$I$3265,СПРОС_ДЕНЬ_ЧАС_МЕНЮ!$A$11:$A$3265,A469,СПРОС_ДЕНЬ_ЧАС_МЕНЮ!$B$11:$B$3265,B469,СПРОС_ДЕНЬ_ЧАС_МЕНЮ!$F$11:$F$3265,C469)</f>
        <v>5.071</v>
      </c>
      <c r="G469" s="12" t="n">
        <f aca="false">ПАРАМЕТРЫ!D22</f>
        <v>16</v>
      </c>
      <c r="H469" s="12" t="n">
        <f aca="false">SUMIFS(ШТАТ_ПО_ЧАСАМ!$C$11:$C$115,ШТАТ_ПО_ЧАСАМ!$A$11:$A$115,A469,ШТАТ_ПО_ЧАСАМ!$B$11:$B$115,B469)</f>
        <v>1</v>
      </c>
      <c r="I469" s="12" t="n">
        <f aca="false">MIN(H469,1)*ПАРАМЕТРЫ!E22</f>
        <v>16</v>
      </c>
      <c r="J469" s="12" t="n">
        <f aca="false">MIN(G469,I469)</f>
        <v>16</v>
      </c>
      <c r="K469" s="12" t="n">
        <f aca="false">MAX(F469-J469,0)</f>
        <v>0</v>
      </c>
      <c r="L469" s="12" t="n">
        <f aca="false">IF(J469=0,0,F469/J469)</f>
        <v>0.3169375</v>
      </c>
      <c r="M469" s="11" t="str">
        <f aca="false">IF(K469&gt;0,"BLOCKED","PASS")</f>
        <v>PASS</v>
      </c>
      <c r="N469" s="11" t="s">
        <v>233</v>
      </c>
    </row>
    <row r="470" customFormat="false" ht="23.85" hidden="false" customHeight="false" outlineLevel="0" collapsed="false">
      <c r="A470" s="11" t="s">
        <v>110</v>
      </c>
      <c r="B470" s="11" t="s">
        <v>136</v>
      </c>
      <c r="C470" s="11" t="s">
        <v>83</v>
      </c>
      <c r="D470" s="11" t="s">
        <v>84</v>
      </c>
      <c r="E470" s="11" t="s">
        <v>83</v>
      </c>
      <c r="F470" s="12" t="n">
        <f aca="false">SUMIFS(СПРОС_ДЕНЬ_ЧАС_МЕНЮ!$I$11:$I$3265,СПРОС_ДЕНЬ_ЧАС_МЕНЮ!$A$11:$A$3265,A470,СПРОС_ДЕНЬ_ЧАС_МЕНЮ!$B$11:$B$3265,B470,СПРОС_ДЕНЬ_ЧАС_МЕНЮ!$F$11:$F$3265,C470)</f>
        <v>8.5415</v>
      </c>
      <c r="G470" s="12" t="n">
        <f aca="false">ПАРАМЕТРЫ!D23</f>
        <v>21</v>
      </c>
      <c r="H470" s="12" t="n">
        <f aca="false">SUMIFS(ШТАТ_ПО_ЧАСАМ!$C$11:$C$115,ШТАТ_ПО_ЧАСАМ!$A$11:$A$115,A470,ШТАТ_ПО_ЧАСАМ!$B$11:$B$115,B470)</f>
        <v>1</v>
      </c>
      <c r="I470" s="12" t="n">
        <f aca="false">MIN(H470,1)*ПАРАМЕТРЫ!E23</f>
        <v>21</v>
      </c>
      <c r="J470" s="12" t="n">
        <f aca="false">MIN(G470,I470)</f>
        <v>21</v>
      </c>
      <c r="K470" s="12" t="n">
        <f aca="false">MAX(F470-J470,0)</f>
        <v>0</v>
      </c>
      <c r="L470" s="12" t="n">
        <f aca="false">IF(J470=0,0,F470/J470)</f>
        <v>0.406738095238095</v>
      </c>
      <c r="M470" s="11" t="str">
        <f aca="false">IF(K470&gt;0,"BLOCKED","PASS")</f>
        <v>PASS</v>
      </c>
      <c r="N470" s="11" t="s">
        <v>233</v>
      </c>
    </row>
    <row r="471" customFormat="false" ht="23.85" hidden="false" customHeight="false" outlineLevel="0" collapsed="false">
      <c r="A471" s="11" t="s">
        <v>110</v>
      </c>
      <c r="B471" s="11" t="s">
        <v>136</v>
      </c>
      <c r="C471" s="11" t="s">
        <v>85</v>
      </c>
      <c r="D471" s="11" t="s">
        <v>86</v>
      </c>
      <c r="E471" s="11" t="s">
        <v>87</v>
      </c>
      <c r="F471" s="12" t="n">
        <f aca="false">SUMIFS(СПРОС_ДЕНЬ_ЧАС_МЕНЮ!$I$11:$I$3265,СПРОС_ДЕНЬ_ЧАС_МЕНЮ!$A$11:$A$3265,A471,СПРОС_ДЕНЬ_ЧАС_МЕНЮ!$B$11:$B$3265,B471,СПРОС_ДЕНЬ_ЧАС_МЕНЮ!$F$11:$F$3265,C471)</f>
        <v>3.9945235</v>
      </c>
      <c r="G471" s="12" t="n">
        <f aca="false">ПАРАМЕТРЫ!D24</f>
        <v>12</v>
      </c>
      <c r="H471" s="12" t="n">
        <f aca="false">SUMIFS(ШТАТ_ПО_ЧАСАМ!$C$11:$C$115,ШТАТ_ПО_ЧАСАМ!$A$11:$A$115,A471,ШТАТ_ПО_ЧАСАМ!$B$11:$B$115,B471)</f>
        <v>1</v>
      </c>
      <c r="I471" s="12" t="n">
        <f aca="false">MIN(H471,1)*ПАРАМЕТРЫ!E24</f>
        <v>12</v>
      </c>
      <c r="J471" s="12" t="n">
        <f aca="false">MIN(G471,I471)</f>
        <v>12</v>
      </c>
      <c r="K471" s="12" t="n">
        <f aca="false">MAX(F471-J471,0)</f>
        <v>0</v>
      </c>
      <c r="L471" s="12" t="n">
        <f aca="false">IF(J471=0,0,F471/J471)</f>
        <v>0.332876958333333</v>
      </c>
      <c r="M471" s="11" t="str">
        <f aca="false">IF(K471&gt;0,"BLOCKED","PASS")</f>
        <v>PASS</v>
      </c>
      <c r="N471" s="11" t="s">
        <v>233</v>
      </c>
    </row>
    <row r="472" customFormat="false" ht="23.85" hidden="false" customHeight="false" outlineLevel="0" collapsed="false">
      <c r="A472" s="11" t="s">
        <v>110</v>
      </c>
      <c r="B472" s="11" t="s">
        <v>136</v>
      </c>
      <c r="C472" s="11" t="s">
        <v>88</v>
      </c>
      <c r="D472" s="11" t="s">
        <v>89</v>
      </c>
      <c r="E472" s="11" t="s">
        <v>90</v>
      </c>
      <c r="F472" s="12" t="n">
        <f aca="false">SUMIFS(СПРОС_ДЕНЬ_ЧАС_МЕНЮ!$I$11:$I$3265,СПРОС_ДЕНЬ_ЧАС_МЕНЮ!$A$11:$A$3265,A472,СПРОС_ДЕНЬ_ЧАС_МЕНЮ!$B$11:$B$3265,B472,СПРОС_ДЕНЬ_ЧАС_МЕНЮ!$F$11:$F$3265,C472)</f>
        <v>0</v>
      </c>
      <c r="G472" s="12" t="n">
        <f aca="false">ПАРАМЕТРЫ!D25</f>
        <v>15</v>
      </c>
      <c r="H472" s="12" t="n">
        <f aca="false">SUMIFS(ШТАТ_ПО_ЧАСАМ!$C$11:$C$115,ШТАТ_ПО_ЧАСАМ!$A$11:$A$115,A472,ШТАТ_ПО_ЧАСАМ!$B$11:$B$115,B472)</f>
        <v>1</v>
      </c>
      <c r="I472" s="12" t="n">
        <f aca="false">MIN(H472,1)*ПАРАМЕТРЫ!E25</f>
        <v>10</v>
      </c>
      <c r="J472" s="12" t="n">
        <f aca="false">MIN(G472,I472)</f>
        <v>10</v>
      </c>
      <c r="K472" s="12" t="n">
        <f aca="false">MAX(F472-J472,0)</f>
        <v>0</v>
      </c>
      <c r="L472" s="12" t="n">
        <f aca="false">IF(J472=0,0,F472/J472)</f>
        <v>0</v>
      </c>
      <c r="M472" s="11" t="str">
        <f aca="false">IF(K472&gt;0,"BLOCKED","PASS")</f>
        <v>PASS</v>
      </c>
      <c r="N472" s="11" t="s">
        <v>233</v>
      </c>
    </row>
    <row r="473" customFormat="false" ht="23.85" hidden="false" customHeight="false" outlineLevel="0" collapsed="false">
      <c r="A473" s="11" t="s">
        <v>110</v>
      </c>
      <c r="B473" s="11" t="s">
        <v>136</v>
      </c>
      <c r="C473" s="11" t="s">
        <v>91</v>
      </c>
      <c r="D473" s="11" t="s">
        <v>92</v>
      </c>
      <c r="E473" s="11" t="s">
        <v>79</v>
      </c>
      <c r="F473" s="12" t="n">
        <f aca="false">SUMIFS(СПРОС_ДЕНЬ_ЧАС_МЕНЮ!$I$11:$I$3265,СПРОС_ДЕНЬ_ЧАС_МЕНЮ!$A$11:$A$3265,A473,СПРОС_ДЕНЬ_ЧАС_МЕНЮ!$B$11:$B$3265,B473,СПРОС_ДЕНЬ_ЧАС_МЕНЮ!$F$11:$F$3265,C473)</f>
        <v>1.5818</v>
      </c>
      <c r="G473" s="12" t="n">
        <f aca="false">ПАРАМЕТРЫ!D26</f>
        <v>20</v>
      </c>
      <c r="H473" s="12" t="n">
        <f aca="false">SUMIFS(ШТАТ_ПО_ЧАСАМ!$C$11:$C$115,ШТАТ_ПО_ЧАСАМ!$A$11:$A$115,A473,ШТАТ_ПО_ЧАСАМ!$B$11:$B$115,B473)</f>
        <v>1</v>
      </c>
      <c r="I473" s="12" t="n">
        <f aca="false">MIN(H473,1)*ПАРАМЕТРЫ!E26</f>
        <v>10</v>
      </c>
      <c r="J473" s="12" t="n">
        <f aca="false">MIN(G473,I473)</f>
        <v>10</v>
      </c>
      <c r="K473" s="12" t="n">
        <f aca="false">MAX(F473-J473,0)</f>
        <v>0</v>
      </c>
      <c r="L473" s="12" t="n">
        <f aca="false">IF(J473=0,0,F473/J473)</f>
        <v>0.15818</v>
      </c>
      <c r="M473" s="11" t="str">
        <f aca="false">IF(K473&gt;0,"BLOCKED","PASS")</f>
        <v>PASS</v>
      </c>
      <c r="N473" s="11" t="s">
        <v>233</v>
      </c>
    </row>
    <row r="474" customFormat="false" ht="15" hidden="false" customHeight="false" outlineLevel="0" collapsed="false">
      <c r="A474" s="11" t="s">
        <v>110</v>
      </c>
      <c r="B474" s="11" t="s">
        <v>136</v>
      </c>
      <c r="C474" s="11" t="s">
        <v>93</v>
      </c>
      <c r="D474" s="11" t="s">
        <v>234</v>
      </c>
      <c r="E474" s="11" t="s">
        <v>95</v>
      </c>
      <c r="F474" s="12" t="n">
        <f aca="false">SUMIFS(СПРОС_ДЕНЬ_ЧАС_МЕНЮ!$I$11:$I$3265,СПРОС_ДЕНЬ_ЧАС_МЕНЮ!$A$11:$A$3265,A474,СПРОС_ДЕНЬ_ЧАС_МЕНЮ!$B$11:$B$3265,B474)</f>
        <v>24.9400635</v>
      </c>
      <c r="G474" s="12" t="n">
        <f aca="false">ПАРАМЕТРЫ!D27</f>
        <v>60</v>
      </c>
      <c r="H474" s="12" t="n">
        <f aca="false">SUMIFS(ШТАТ_ПО_ЧАСАМ!$C$11:$C$115,ШТАТ_ПО_ЧАСАМ!$A$11:$A$115,A474,ШТАТ_ПО_ЧАСАМ!$B$11:$B$115,B474)</f>
        <v>1</v>
      </c>
      <c r="I474" s="12" t="n">
        <f aca="false">H474*ПАРАМЕТРЫ!E27</f>
        <v>16.6666666666667</v>
      </c>
      <c r="J474" s="12" t="n">
        <f aca="false">MIN(G474,I474)</f>
        <v>16.6666666666667</v>
      </c>
      <c r="K474" s="12" t="n">
        <f aca="false">MAX(F474-J474,0)</f>
        <v>8.27339683333334</v>
      </c>
      <c r="L474" s="12" t="n">
        <f aca="false">IF(J474=0,0,F474/J474)</f>
        <v>1.49640381</v>
      </c>
      <c r="M474" s="11" t="str">
        <f aca="false">IF(K474&gt;0,"BLOCKED","PASS")</f>
        <v>BLOCKED</v>
      </c>
      <c r="N474" s="11" t="s">
        <v>235</v>
      </c>
    </row>
    <row r="475" customFormat="false" ht="23.85" hidden="false" customHeight="false" outlineLevel="0" collapsed="false">
      <c r="A475" s="11" t="s">
        <v>110</v>
      </c>
      <c r="B475" s="11" t="s">
        <v>137</v>
      </c>
      <c r="C475" s="11" t="s">
        <v>73</v>
      </c>
      <c r="D475" s="11" t="s">
        <v>74</v>
      </c>
      <c r="E475" s="11" t="s">
        <v>75</v>
      </c>
      <c r="F475" s="12" t="n">
        <f aca="false">SUMIFS(СПРОС_ДЕНЬ_ЧАС_МЕНЮ!$I$11:$I$3265,СПРОС_ДЕНЬ_ЧАС_МЕНЮ!$A$11:$A$3265,A475,СПРОС_ДЕНЬ_ЧАС_МЕНЮ!$B$11:$B$3265,B475,СПРОС_ДЕНЬ_ЧАС_МЕНЮ!$F$11:$F$3265,C475)</f>
        <v>4.2625</v>
      </c>
      <c r="G475" s="12" t="n">
        <f aca="false">ПАРАМЕТРЫ!D20</f>
        <v>25</v>
      </c>
      <c r="H475" s="12" t="n">
        <f aca="false">SUMIFS(ШТАТ_ПО_ЧАСАМ!$C$11:$C$115,ШТАТ_ПО_ЧАСАМ!$A$11:$A$115,A475,ШТАТ_ПО_ЧАСАМ!$B$11:$B$115,B475)</f>
        <v>1</v>
      </c>
      <c r="I475" s="12" t="n">
        <f aca="false">MIN(H475,1)*ПАРАМЕТРЫ!E20</f>
        <v>10</v>
      </c>
      <c r="J475" s="12" t="n">
        <f aca="false">MIN(G475,I475)</f>
        <v>10</v>
      </c>
      <c r="K475" s="12" t="n">
        <f aca="false">MAX(F475-J475,0)</f>
        <v>0</v>
      </c>
      <c r="L475" s="12" t="n">
        <f aca="false">IF(J475=0,0,F475/J475)</f>
        <v>0.42625</v>
      </c>
      <c r="M475" s="11" t="str">
        <f aca="false">IF(K475&gt;0,"BLOCKED","PASS")</f>
        <v>PASS</v>
      </c>
      <c r="N475" s="11" t="s">
        <v>233</v>
      </c>
    </row>
    <row r="476" customFormat="false" ht="23.85" hidden="false" customHeight="false" outlineLevel="0" collapsed="false">
      <c r="A476" s="11" t="s">
        <v>110</v>
      </c>
      <c r="B476" s="11" t="s">
        <v>137</v>
      </c>
      <c r="C476" s="11" t="s">
        <v>77</v>
      </c>
      <c r="D476" s="11" t="s">
        <v>78</v>
      </c>
      <c r="E476" s="11" t="s">
        <v>79</v>
      </c>
      <c r="F476" s="12" t="n">
        <f aca="false">SUMIFS(СПРОС_ДЕНЬ_ЧАС_МЕНЮ!$I$11:$I$3265,СПРОС_ДЕНЬ_ЧАС_МЕНЮ!$A$11:$A$3265,A476,СПРОС_ДЕНЬ_ЧАС_МЕНЮ!$B$11:$B$3265,B476,СПРОС_ДЕНЬ_ЧАС_МЕНЮ!$F$11:$F$3265,C476)</f>
        <v>1.9833</v>
      </c>
      <c r="G476" s="12" t="n">
        <f aca="false">ПАРАМЕТРЫ!D21</f>
        <v>20</v>
      </c>
      <c r="H476" s="12" t="n">
        <f aca="false">SUMIFS(ШТАТ_ПО_ЧАСАМ!$C$11:$C$115,ШТАТ_ПО_ЧАСАМ!$A$11:$A$115,A476,ШТАТ_ПО_ЧАСАМ!$B$11:$B$115,B476)</f>
        <v>1</v>
      </c>
      <c r="I476" s="12" t="n">
        <f aca="false">MIN(H476,1)*ПАРАМЕТРЫ!E21</f>
        <v>10</v>
      </c>
      <c r="J476" s="12" t="n">
        <f aca="false">MIN(G476,I476)</f>
        <v>10</v>
      </c>
      <c r="K476" s="12" t="n">
        <f aca="false">MAX(F476-J476,0)</f>
        <v>0</v>
      </c>
      <c r="L476" s="12" t="n">
        <f aca="false">IF(J476=0,0,F476/J476)</f>
        <v>0.19833</v>
      </c>
      <c r="M476" s="11" t="str">
        <f aca="false">IF(K476&gt;0,"BLOCKED","PASS")</f>
        <v>PASS</v>
      </c>
      <c r="N476" s="11" t="s">
        <v>233</v>
      </c>
    </row>
    <row r="477" customFormat="false" ht="23.85" hidden="false" customHeight="false" outlineLevel="0" collapsed="false">
      <c r="A477" s="11" t="s">
        <v>110</v>
      </c>
      <c r="B477" s="11" t="s">
        <v>137</v>
      </c>
      <c r="C477" s="11" t="s">
        <v>80</v>
      </c>
      <c r="D477" s="11" t="s">
        <v>81</v>
      </c>
      <c r="E477" s="11" t="s">
        <v>82</v>
      </c>
      <c r="F477" s="12" t="n">
        <f aca="false">SUMIFS(СПРОС_ДЕНЬ_ЧАС_МЕНЮ!$I$11:$I$3265,СПРОС_ДЕНЬ_ЧАС_МЕНЮ!$A$11:$A$3265,A477,СПРОС_ДЕНЬ_ЧАС_МЕНЮ!$B$11:$B$3265,B477,СПРОС_ДЕНЬ_ЧАС_МЕНЮ!$F$11:$F$3265,C477)</f>
        <v>6.1765</v>
      </c>
      <c r="G477" s="12" t="n">
        <f aca="false">ПАРАМЕТРЫ!D22</f>
        <v>16</v>
      </c>
      <c r="H477" s="12" t="n">
        <f aca="false">SUMIFS(ШТАТ_ПО_ЧАСАМ!$C$11:$C$115,ШТАТ_ПО_ЧАСАМ!$A$11:$A$115,A477,ШТАТ_ПО_ЧАСАМ!$B$11:$B$115,B477)</f>
        <v>1</v>
      </c>
      <c r="I477" s="12" t="n">
        <f aca="false">MIN(H477,1)*ПАРАМЕТРЫ!E22</f>
        <v>16</v>
      </c>
      <c r="J477" s="12" t="n">
        <f aca="false">MIN(G477,I477)</f>
        <v>16</v>
      </c>
      <c r="K477" s="12" t="n">
        <f aca="false">MAX(F477-J477,0)</f>
        <v>0</v>
      </c>
      <c r="L477" s="12" t="n">
        <f aca="false">IF(J477=0,0,F477/J477)</f>
        <v>0.38603125</v>
      </c>
      <c r="M477" s="11" t="str">
        <f aca="false">IF(K477&gt;0,"BLOCKED","PASS")</f>
        <v>PASS</v>
      </c>
      <c r="N477" s="11" t="s">
        <v>233</v>
      </c>
    </row>
    <row r="478" customFormat="false" ht="23.85" hidden="false" customHeight="false" outlineLevel="0" collapsed="false">
      <c r="A478" s="11" t="s">
        <v>110</v>
      </c>
      <c r="B478" s="11" t="s">
        <v>137</v>
      </c>
      <c r="C478" s="11" t="s">
        <v>83</v>
      </c>
      <c r="D478" s="11" t="s">
        <v>84</v>
      </c>
      <c r="E478" s="11" t="s">
        <v>83</v>
      </c>
      <c r="F478" s="12" t="n">
        <f aca="false">SUMIFS(СПРОС_ДЕНЬ_ЧАС_МЕНЮ!$I$11:$I$3265,СПРОС_ДЕНЬ_ЧАС_МЕНЮ!$A$11:$A$3265,A478,СПРОС_ДЕНЬ_ЧАС_МЕНЮ!$B$11:$B$3265,B478,СПРОС_ДЕНЬ_ЧАС_МЕНЮ!$F$11:$F$3265,C478)</f>
        <v>10.329</v>
      </c>
      <c r="G478" s="12" t="n">
        <f aca="false">ПАРАМЕТРЫ!D23</f>
        <v>21</v>
      </c>
      <c r="H478" s="12" t="n">
        <f aca="false">SUMIFS(ШТАТ_ПО_ЧАСАМ!$C$11:$C$115,ШТАТ_ПО_ЧАСАМ!$A$11:$A$115,A478,ШТАТ_ПО_ЧАСАМ!$B$11:$B$115,B478)</f>
        <v>1</v>
      </c>
      <c r="I478" s="12" t="n">
        <f aca="false">MIN(H478,1)*ПАРАМЕТРЫ!E23</f>
        <v>21</v>
      </c>
      <c r="J478" s="12" t="n">
        <f aca="false">MIN(G478,I478)</f>
        <v>21</v>
      </c>
      <c r="K478" s="12" t="n">
        <f aca="false">MAX(F478-J478,0)</f>
        <v>0</v>
      </c>
      <c r="L478" s="12" t="n">
        <f aca="false">IF(J478=0,0,F478/J478)</f>
        <v>0.491857142857143</v>
      </c>
      <c r="M478" s="11" t="str">
        <f aca="false">IF(K478&gt;0,"BLOCKED","PASS")</f>
        <v>PASS</v>
      </c>
      <c r="N478" s="11" t="s">
        <v>233</v>
      </c>
    </row>
    <row r="479" customFormat="false" ht="23.85" hidden="false" customHeight="false" outlineLevel="0" collapsed="false">
      <c r="A479" s="11" t="s">
        <v>110</v>
      </c>
      <c r="B479" s="11" t="s">
        <v>137</v>
      </c>
      <c r="C479" s="11" t="s">
        <v>85</v>
      </c>
      <c r="D479" s="11" t="s">
        <v>86</v>
      </c>
      <c r="E479" s="11" t="s">
        <v>87</v>
      </c>
      <c r="F479" s="12" t="n">
        <f aca="false">SUMIFS(СПРОС_ДЕНЬ_ЧАС_МЕНЮ!$I$11:$I$3265,СПРОС_ДЕНЬ_ЧАС_МЕНЮ!$A$11:$A$3265,A479,СПРОС_ДЕНЬ_ЧАС_МЕНЮ!$B$11:$B$3265,B479,СПРОС_ДЕНЬ_ЧАС_МЕНЮ!$F$11:$F$3265,C479)</f>
        <v>4.903745</v>
      </c>
      <c r="G479" s="12" t="n">
        <f aca="false">ПАРАМЕТРЫ!D24</f>
        <v>12</v>
      </c>
      <c r="H479" s="12" t="n">
        <f aca="false">SUMIFS(ШТАТ_ПО_ЧАСАМ!$C$11:$C$115,ШТАТ_ПО_ЧАСАМ!$A$11:$A$115,A479,ШТАТ_ПО_ЧАСАМ!$B$11:$B$115,B479)</f>
        <v>1</v>
      </c>
      <c r="I479" s="12" t="n">
        <f aca="false">MIN(H479,1)*ПАРАМЕТРЫ!E24</f>
        <v>12</v>
      </c>
      <c r="J479" s="12" t="n">
        <f aca="false">MIN(G479,I479)</f>
        <v>12</v>
      </c>
      <c r="K479" s="12" t="n">
        <f aca="false">MAX(F479-J479,0)</f>
        <v>0</v>
      </c>
      <c r="L479" s="12" t="n">
        <f aca="false">IF(J479=0,0,F479/J479)</f>
        <v>0.408645416666667</v>
      </c>
      <c r="M479" s="11" t="str">
        <f aca="false">IF(K479&gt;0,"BLOCKED","PASS")</f>
        <v>PASS</v>
      </c>
      <c r="N479" s="11" t="s">
        <v>233</v>
      </c>
    </row>
    <row r="480" customFormat="false" ht="23.85" hidden="false" customHeight="false" outlineLevel="0" collapsed="false">
      <c r="A480" s="11" t="s">
        <v>110</v>
      </c>
      <c r="B480" s="11" t="s">
        <v>137</v>
      </c>
      <c r="C480" s="11" t="s">
        <v>88</v>
      </c>
      <c r="D480" s="11" t="s">
        <v>89</v>
      </c>
      <c r="E480" s="11" t="s">
        <v>90</v>
      </c>
      <c r="F480" s="12" t="n">
        <f aca="false">SUMIFS(СПРОС_ДЕНЬ_ЧАС_МЕНЮ!$I$11:$I$3265,СПРОС_ДЕНЬ_ЧАС_МЕНЮ!$A$11:$A$3265,A480,СПРОС_ДЕНЬ_ЧАС_МЕНЮ!$B$11:$B$3265,B480,СПРОС_ДЕНЬ_ЧАС_МЕНЮ!$F$11:$F$3265,C480)</f>
        <v>0</v>
      </c>
      <c r="G480" s="12" t="n">
        <f aca="false">ПАРАМЕТРЫ!D25</f>
        <v>15</v>
      </c>
      <c r="H480" s="12" t="n">
        <f aca="false">SUMIFS(ШТАТ_ПО_ЧАСАМ!$C$11:$C$115,ШТАТ_ПО_ЧАСАМ!$A$11:$A$115,A480,ШТАТ_ПО_ЧАСАМ!$B$11:$B$115,B480)</f>
        <v>1</v>
      </c>
      <c r="I480" s="12" t="n">
        <f aca="false">MIN(H480,1)*ПАРАМЕТРЫ!E25</f>
        <v>10</v>
      </c>
      <c r="J480" s="12" t="n">
        <f aca="false">MIN(G480,I480)</f>
        <v>10</v>
      </c>
      <c r="K480" s="12" t="n">
        <f aca="false">MAX(F480-J480,0)</f>
        <v>0</v>
      </c>
      <c r="L480" s="12" t="n">
        <f aca="false">IF(J480=0,0,F480/J480)</f>
        <v>0</v>
      </c>
      <c r="M480" s="11" t="str">
        <f aca="false">IF(K480&gt;0,"BLOCKED","PASS")</f>
        <v>PASS</v>
      </c>
      <c r="N480" s="11" t="s">
        <v>233</v>
      </c>
    </row>
    <row r="481" customFormat="false" ht="23.85" hidden="false" customHeight="false" outlineLevel="0" collapsed="false">
      <c r="A481" s="11" t="s">
        <v>110</v>
      </c>
      <c r="B481" s="11" t="s">
        <v>137</v>
      </c>
      <c r="C481" s="11" t="s">
        <v>91</v>
      </c>
      <c r="D481" s="11" t="s">
        <v>92</v>
      </c>
      <c r="E481" s="11" t="s">
        <v>79</v>
      </c>
      <c r="F481" s="12" t="n">
        <f aca="false">SUMIFS(СПРОС_ДЕНЬ_ЧАС_МЕНЮ!$I$11:$I$3265,СПРОС_ДЕНЬ_ЧАС_МЕНЮ!$A$11:$A$3265,A481,СПРОС_ДЕНЬ_ЧАС_МЕНЮ!$B$11:$B$3265,B481,СПРОС_ДЕНЬ_ЧАС_МЕНЮ!$F$11:$F$3265,C481)</f>
        <v>1.65</v>
      </c>
      <c r="G481" s="12" t="n">
        <f aca="false">ПАРАМЕТРЫ!D26</f>
        <v>20</v>
      </c>
      <c r="H481" s="12" t="n">
        <f aca="false">SUMIFS(ШТАТ_ПО_ЧАСАМ!$C$11:$C$115,ШТАТ_ПО_ЧАСАМ!$A$11:$A$115,A481,ШТАТ_ПО_ЧАСАМ!$B$11:$B$115,B481)</f>
        <v>1</v>
      </c>
      <c r="I481" s="12" t="n">
        <f aca="false">MIN(H481,1)*ПАРАМЕТРЫ!E26</f>
        <v>10</v>
      </c>
      <c r="J481" s="12" t="n">
        <f aca="false">MIN(G481,I481)</f>
        <v>10</v>
      </c>
      <c r="K481" s="12" t="n">
        <f aca="false">MAX(F481-J481,0)</f>
        <v>0</v>
      </c>
      <c r="L481" s="12" t="n">
        <f aca="false">IF(J481=0,0,F481/J481)</f>
        <v>0.165</v>
      </c>
      <c r="M481" s="11" t="str">
        <f aca="false">IF(K481&gt;0,"BLOCKED","PASS")</f>
        <v>PASS</v>
      </c>
      <c r="N481" s="11" t="s">
        <v>233</v>
      </c>
    </row>
    <row r="482" customFormat="false" ht="15" hidden="false" customHeight="false" outlineLevel="0" collapsed="false">
      <c r="A482" s="11" t="s">
        <v>110</v>
      </c>
      <c r="B482" s="11" t="s">
        <v>137</v>
      </c>
      <c r="C482" s="11" t="s">
        <v>93</v>
      </c>
      <c r="D482" s="11" t="s">
        <v>234</v>
      </c>
      <c r="E482" s="11" t="s">
        <v>95</v>
      </c>
      <c r="F482" s="12" t="n">
        <f aca="false">SUMIFS(СПРОС_ДЕНЬ_ЧАС_МЕНЮ!$I$11:$I$3265,СПРОС_ДЕНЬ_ЧАС_МЕНЮ!$A$11:$A$3265,A482,СПРОС_ДЕНЬ_ЧАС_МЕНЮ!$B$11:$B$3265,B482)</f>
        <v>29.305045</v>
      </c>
      <c r="G482" s="12" t="n">
        <f aca="false">ПАРАМЕТРЫ!D27</f>
        <v>60</v>
      </c>
      <c r="H482" s="12" t="n">
        <f aca="false">SUMIFS(ШТАТ_ПО_ЧАСАМ!$C$11:$C$115,ШТАТ_ПО_ЧАСАМ!$A$11:$A$115,A482,ШТАТ_ПО_ЧАСАМ!$B$11:$B$115,B482)</f>
        <v>1</v>
      </c>
      <c r="I482" s="12" t="n">
        <f aca="false">H482*ПАРАМЕТРЫ!E27</f>
        <v>16.6666666666667</v>
      </c>
      <c r="J482" s="12" t="n">
        <f aca="false">MIN(G482,I482)</f>
        <v>16.6666666666667</v>
      </c>
      <c r="K482" s="12" t="n">
        <f aca="false">MAX(F482-J482,0)</f>
        <v>12.6383783333333</v>
      </c>
      <c r="L482" s="12" t="n">
        <f aca="false">IF(J482=0,0,F482/J482)</f>
        <v>1.7583027</v>
      </c>
      <c r="M482" s="11" t="str">
        <f aca="false">IF(K482&gt;0,"BLOCKED","PASS")</f>
        <v>BLOCKED</v>
      </c>
      <c r="N482" s="11" t="s">
        <v>235</v>
      </c>
    </row>
    <row r="483" customFormat="false" ht="23.85" hidden="false" customHeight="false" outlineLevel="0" collapsed="false">
      <c r="A483" s="11" t="s">
        <v>110</v>
      </c>
      <c r="B483" s="11" t="s">
        <v>138</v>
      </c>
      <c r="C483" s="11" t="s">
        <v>73</v>
      </c>
      <c r="D483" s="11" t="s">
        <v>74</v>
      </c>
      <c r="E483" s="11" t="s">
        <v>75</v>
      </c>
      <c r="F483" s="12" t="n">
        <f aca="false">SUMIFS(СПРОС_ДЕНЬ_ЧАС_МЕНЮ!$I$11:$I$3265,СПРОС_ДЕНЬ_ЧАС_МЕНЮ!$A$11:$A$3265,A483,СПРОС_ДЕНЬ_ЧАС_МЕНЮ!$B$11:$B$3265,B483,СПРОС_ДЕНЬ_ЧАС_МЕНЮ!$F$11:$F$3265,C483)</f>
        <v>2.464</v>
      </c>
      <c r="G483" s="12" t="n">
        <f aca="false">ПАРАМЕТРЫ!D20</f>
        <v>25</v>
      </c>
      <c r="H483" s="12" t="n">
        <f aca="false">SUMIFS(ШТАТ_ПО_ЧАСАМ!$C$11:$C$115,ШТАТ_ПО_ЧАСАМ!$A$11:$A$115,A483,ШТАТ_ПО_ЧАСАМ!$B$11:$B$115,B483)</f>
        <v>1</v>
      </c>
      <c r="I483" s="12" t="n">
        <f aca="false">MIN(H483,1)*ПАРАМЕТРЫ!E20</f>
        <v>10</v>
      </c>
      <c r="J483" s="12" t="n">
        <f aca="false">MIN(G483,I483)</f>
        <v>10</v>
      </c>
      <c r="K483" s="12" t="n">
        <f aca="false">MAX(F483-J483,0)</f>
        <v>0</v>
      </c>
      <c r="L483" s="12" t="n">
        <f aca="false">IF(J483=0,0,F483/J483)</f>
        <v>0.2464</v>
      </c>
      <c r="M483" s="11" t="str">
        <f aca="false">IF(K483&gt;0,"BLOCKED","PASS")</f>
        <v>PASS</v>
      </c>
      <c r="N483" s="11" t="s">
        <v>233</v>
      </c>
    </row>
    <row r="484" customFormat="false" ht="23.85" hidden="false" customHeight="false" outlineLevel="0" collapsed="false">
      <c r="A484" s="11" t="s">
        <v>110</v>
      </c>
      <c r="B484" s="11" t="s">
        <v>138</v>
      </c>
      <c r="C484" s="11" t="s">
        <v>77</v>
      </c>
      <c r="D484" s="11" t="s">
        <v>78</v>
      </c>
      <c r="E484" s="11" t="s">
        <v>79</v>
      </c>
      <c r="F484" s="12" t="n">
        <f aca="false">SUMIFS(СПРОС_ДЕНЬ_ЧАС_МЕНЮ!$I$11:$I$3265,СПРОС_ДЕНЬ_ЧАС_МЕНЮ!$A$11:$A$3265,A484,СПРОС_ДЕНЬ_ЧАС_МЕНЮ!$B$11:$B$3265,B484,СПРОС_ДЕНЬ_ЧАС_МЕНЮ!$F$11:$F$3265,C484)</f>
        <v>1.1264</v>
      </c>
      <c r="G484" s="12" t="n">
        <f aca="false">ПАРАМЕТРЫ!D21</f>
        <v>20</v>
      </c>
      <c r="H484" s="12" t="n">
        <f aca="false">SUMIFS(ШТАТ_ПО_ЧАСАМ!$C$11:$C$115,ШТАТ_ПО_ЧАСАМ!$A$11:$A$115,A484,ШТАТ_ПО_ЧАСАМ!$B$11:$B$115,B484)</f>
        <v>1</v>
      </c>
      <c r="I484" s="12" t="n">
        <f aca="false">MIN(H484,1)*ПАРАМЕТРЫ!E21</f>
        <v>10</v>
      </c>
      <c r="J484" s="12" t="n">
        <f aca="false">MIN(G484,I484)</f>
        <v>10</v>
      </c>
      <c r="K484" s="12" t="n">
        <f aca="false">MAX(F484-J484,0)</f>
        <v>0</v>
      </c>
      <c r="L484" s="12" t="n">
        <f aca="false">IF(J484=0,0,F484/J484)</f>
        <v>0.11264</v>
      </c>
      <c r="M484" s="11" t="str">
        <f aca="false">IF(K484&gt;0,"BLOCKED","PASS")</f>
        <v>PASS</v>
      </c>
      <c r="N484" s="11" t="s">
        <v>233</v>
      </c>
    </row>
    <row r="485" customFormat="false" ht="23.85" hidden="false" customHeight="false" outlineLevel="0" collapsed="false">
      <c r="A485" s="11" t="s">
        <v>110</v>
      </c>
      <c r="B485" s="11" t="s">
        <v>138</v>
      </c>
      <c r="C485" s="11" t="s">
        <v>80</v>
      </c>
      <c r="D485" s="11" t="s">
        <v>81</v>
      </c>
      <c r="E485" s="11" t="s">
        <v>82</v>
      </c>
      <c r="F485" s="12" t="n">
        <f aca="false">SUMIFS(СПРОС_ДЕНЬ_ЧАС_МЕНЮ!$I$11:$I$3265,СПРОС_ДЕНЬ_ЧАС_МЕНЮ!$A$11:$A$3265,A485,СПРОС_ДЕНЬ_ЧАС_МЕНЮ!$B$11:$B$3265,B485,СПРОС_ДЕНЬ_ЧАС_МЕНЮ!$F$11:$F$3265,C485)</f>
        <v>3.7675</v>
      </c>
      <c r="G485" s="12" t="n">
        <f aca="false">ПАРАМЕТРЫ!D22</f>
        <v>16</v>
      </c>
      <c r="H485" s="12" t="n">
        <f aca="false">SUMIFS(ШТАТ_ПО_ЧАСАМ!$C$11:$C$115,ШТАТ_ПО_ЧАСАМ!$A$11:$A$115,A485,ШТАТ_ПО_ЧАСАМ!$B$11:$B$115,B485)</f>
        <v>1</v>
      </c>
      <c r="I485" s="12" t="n">
        <f aca="false">MIN(H485,1)*ПАРАМЕТРЫ!E22</f>
        <v>16</v>
      </c>
      <c r="J485" s="12" t="n">
        <f aca="false">MIN(G485,I485)</f>
        <v>16</v>
      </c>
      <c r="K485" s="12" t="n">
        <f aca="false">MAX(F485-J485,0)</f>
        <v>0</v>
      </c>
      <c r="L485" s="12" t="n">
        <f aca="false">IF(J485=0,0,F485/J485)</f>
        <v>0.23546875</v>
      </c>
      <c r="M485" s="11" t="str">
        <f aca="false">IF(K485&gt;0,"BLOCKED","PASS")</f>
        <v>PASS</v>
      </c>
      <c r="N485" s="11" t="s">
        <v>233</v>
      </c>
    </row>
    <row r="486" customFormat="false" ht="23.85" hidden="false" customHeight="false" outlineLevel="0" collapsed="false">
      <c r="A486" s="11" t="s">
        <v>110</v>
      </c>
      <c r="B486" s="11" t="s">
        <v>138</v>
      </c>
      <c r="C486" s="11" t="s">
        <v>83</v>
      </c>
      <c r="D486" s="11" t="s">
        <v>84</v>
      </c>
      <c r="E486" s="11" t="s">
        <v>83</v>
      </c>
      <c r="F486" s="12" t="n">
        <f aca="false">SUMIFS(СПРОС_ДЕНЬ_ЧАС_МЕНЮ!$I$11:$I$3265,СПРОС_ДЕНЬ_ЧАС_МЕНЮ!$A$11:$A$3265,A486,СПРОС_ДЕНЬ_ЧАС_МЕНЮ!$B$11:$B$3265,B486,СПРОС_ДЕНЬ_ЧАС_МЕНЮ!$F$11:$F$3265,C486)</f>
        <v>6.2975</v>
      </c>
      <c r="G486" s="12" t="n">
        <f aca="false">ПАРАМЕТРЫ!D23</f>
        <v>21</v>
      </c>
      <c r="H486" s="12" t="n">
        <f aca="false">SUMIFS(ШТАТ_ПО_ЧАСАМ!$C$11:$C$115,ШТАТ_ПО_ЧАСАМ!$A$11:$A$115,A486,ШТАТ_ПО_ЧАСАМ!$B$11:$B$115,B486)</f>
        <v>1</v>
      </c>
      <c r="I486" s="12" t="n">
        <f aca="false">MIN(H486,1)*ПАРАМЕТРЫ!E23</f>
        <v>21</v>
      </c>
      <c r="J486" s="12" t="n">
        <f aca="false">MIN(G486,I486)</f>
        <v>21</v>
      </c>
      <c r="K486" s="12" t="n">
        <f aca="false">MAX(F486-J486,0)</f>
        <v>0</v>
      </c>
      <c r="L486" s="12" t="n">
        <f aca="false">IF(J486=0,0,F486/J486)</f>
        <v>0.299880952380952</v>
      </c>
      <c r="M486" s="11" t="str">
        <f aca="false">IF(K486&gt;0,"BLOCKED","PASS")</f>
        <v>PASS</v>
      </c>
      <c r="N486" s="11" t="s">
        <v>233</v>
      </c>
    </row>
    <row r="487" customFormat="false" ht="23.85" hidden="false" customHeight="false" outlineLevel="0" collapsed="false">
      <c r="A487" s="11" t="s">
        <v>110</v>
      </c>
      <c r="B487" s="11" t="s">
        <v>138</v>
      </c>
      <c r="C487" s="11" t="s">
        <v>85</v>
      </c>
      <c r="D487" s="11" t="s">
        <v>86</v>
      </c>
      <c r="E487" s="11" t="s">
        <v>87</v>
      </c>
      <c r="F487" s="12" t="n">
        <f aca="false">SUMIFS(СПРОС_ДЕНЬ_ЧАС_МЕНЮ!$I$11:$I$3265,СПРОС_ДЕНЬ_ЧАС_МЕНЮ!$A$11:$A$3265,A487,СПРОС_ДЕНЬ_ЧАС_МЕНЮ!$B$11:$B$3265,B487,СПРОС_ДЕНЬ_ЧАС_МЕНЮ!$F$11:$F$3265,C487)</f>
        <v>3.1671475</v>
      </c>
      <c r="G487" s="12" t="n">
        <f aca="false">ПАРАМЕТРЫ!D24</f>
        <v>12</v>
      </c>
      <c r="H487" s="12" t="n">
        <f aca="false">SUMIFS(ШТАТ_ПО_ЧАСАМ!$C$11:$C$115,ШТАТ_ПО_ЧАСАМ!$A$11:$A$115,A487,ШТАТ_ПО_ЧАСАМ!$B$11:$B$115,B487)</f>
        <v>1</v>
      </c>
      <c r="I487" s="12" t="n">
        <f aca="false">MIN(H487,1)*ПАРАМЕТРЫ!E24</f>
        <v>12</v>
      </c>
      <c r="J487" s="12" t="n">
        <f aca="false">MIN(G487,I487)</f>
        <v>12</v>
      </c>
      <c r="K487" s="12" t="n">
        <f aca="false">MAX(F487-J487,0)</f>
        <v>0</v>
      </c>
      <c r="L487" s="12" t="n">
        <f aca="false">IF(J487=0,0,F487/J487)</f>
        <v>0.263928958333333</v>
      </c>
      <c r="M487" s="11" t="str">
        <f aca="false">IF(K487&gt;0,"BLOCKED","PASS")</f>
        <v>PASS</v>
      </c>
      <c r="N487" s="11" t="s">
        <v>233</v>
      </c>
    </row>
    <row r="488" customFormat="false" ht="23.85" hidden="false" customHeight="false" outlineLevel="0" collapsed="false">
      <c r="A488" s="11" t="s">
        <v>110</v>
      </c>
      <c r="B488" s="11" t="s">
        <v>138</v>
      </c>
      <c r="C488" s="11" t="s">
        <v>88</v>
      </c>
      <c r="D488" s="11" t="s">
        <v>89</v>
      </c>
      <c r="E488" s="11" t="s">
        <v>90</v>
      </c>
      <c r="F488" s="12" t="n">
        <f aca="false">SUMIFS(СПРОС_ДЕНЬ_ЧАС_МЕНЮ!$I$11:$I$3265,СПРОС_ДЕНЬ_ЧАС_МЕНЮ!$A$11:$A$3265,A488,СПРОС_ДЕНЬ_ЧАС_МЕНЮ!$B$11:$B$3265,B488,СПРОС_ДЕНЬ_ЧАС_МЕНЮ!$F$11:$F$3265,C488)</f>
        <v>0</v>
      </c>
      <c r="G488" s="12" t="n">
        <f aca="false">ПАРАМЕТРЫ!D25</f>
        <v>15</v>
      </c>
      <c r="H488" s="12" t="n">
        <f aca="false">SUMIFS(ШТАТ_ПО_ЧАСАМ!$C$11:$C$115,ШТАТ_ПО_ЧАСАМ!$A$11:$A$115,A488,ШТАТ_ПО_ЧАСАМ!$B$11:$B$115,B488)</f>
        <v>1</v>
      </c>
      <c r="I488" s="12" t="n">
        <f aca="false">MIN(H488,1)*ПАРАМЕТРЫ!E25</f>
        <v>10</v>
      </c>
      <c r="J488" s="12" t="n">
        <f aca="false">MIN(G488,I488)</f>
        <v>10</v>
      </c>
      <c r="K488" s="12" t="n">
        <f aca="false">MAX(F488-J488,0)</f>
        <v>0</v>
      </c>
      <c r="L488" s="12" t="n">
        <f aca="false">IF(J488=0,0,F488/J488)</f>
        <v>0</v>
      </c>
      <c r="M488" s="11" t="str">
        <f aca="false">IF(K488&gt;0,"BLOCKED","PASS")</f>
        <v>PASS</v>
      </c>
      <c r="N488" s="11" t="s">
        <v>233</v>
      </c>
    </row>
    <row r="489" customFormat="false" ht="23.85" hidden="false" customHeight="false" outlineLevel="0" collapsed="false">
      <c r="A489" s="11" t="s">
        <v>110</v>
      </c>
      <c r="B489" s="11" t="s">
        <v>138</v>
      </c>
      <c r="C489" s="11" t="s">
        <v>91</v>
      </c>
      <c r="D489" s="11" t="s">
        <v>92</v>
      </c>
      <c r="E489" s="11" t="s">
        <v>79</v>
      </c>
      <c r="F489" s="12" t="n">
        <f aca="false">SUMIFS(СПРОС_ДЕНЬ_ЧАС_МЕНЮ!$I$11:$I$3265,СПРОС_ДЕНЬ_ЧАС_МЕНЮ!$A$11:$A$3265,A489,СПРОС_ДЕНЬ_ЧАС_МЕНЮ!$B$11:$B$3265,B489,СПРОС_ДЕНЬ_ЧАС_МЕНЮ!$F$11:$F$3265,C489)</f>
        <v>0.935</v>
      </c>
      <c r="G489" s="12" t="n">
        <f aca="false">ПАРАМЕТРЫ!D26</f>
        <v>20</v>
      </c>
      <c r="H489" s="12" t="n">
        <f aca="false">SUMIFS(ШТАТ_ПО_ЧАСАМ!$C$11:$C$115,ШТАТ_ПО_ЧАСАМ!$A$11:$A$115,A489,ШТАТ_ПО_ЧАСАМ!$B$11:$B$115,B489)</f>
        <v>1</v>
      </c>
      <c r="I489" s="12" t="n">
        <f aca="false">MIN(H489,1)*ПАРАМЕТРЫ!E26</f>
        <v>10</v>
      </c>
      <c r="J489" s="12" t="n">
        <f aca="false">MIN(G489,I489)</f>
        <v>10</v>
      </c>
      <c r="K489" s="12" t="n">
        <f aca="false">MAX(F489-J489,0)</f>
        <v>0</v>
      </c>
      <c r="L489" s="12" t="n">
        <f aca="false">IF(J489=0,0,F489/J489)</f>
        <v>0.0935</v>
      </c>
      <c r="M489" s="11" t="str">
        <f aca="false">IF(K489&gt;0,"BLOCKED","PASS")</f>
        <v>PASS</v>
      </c>
      <c r="N489" s="11" t="s">
        <v>233</v>
      </c>
    </row>
    <row r="490" customFormat="false" ht="15" hidden="false" customHeight="false" outlineLevel="0" collapsed="false">
      <c r="A490" s="11" t="s">
        <v>110</v>
      </c>
      <c r="B490" s="11" t="s">
        <v>138</v>
      </c>
      <c r="C490" s="11" t="s">
        <v>93</v>
      </c>
      <c r="D490" s="11" t="s">
        <v>234</v>
      </c>
      <c r="E490" s="11" t="s">
        <v>95</v>
      </c>
      <c r="F490" s="12" t="n">
        <f aca="false">SUMIFS(СПРОС_ДЕНЬ_ЧАС_МЕНЮ!$I$11:$I$3265,СПРОС_ДЕНЬ_ЧАС_МЕНЮ!$A$11:$A$3265,A490,СПРОС_ДЕНЬ_ЧАС_МЕНЮ!$B$11:$B$3265,B490)</f>
        <v>17.7575475</v>
      </c>
      <c r="G490" s="12" t="n">
        <f aca="false">ПАРАМЕТРЫ!D27</f>
        <v>60</v>
      </c>
      <c r="H490" s="12" t="n">
        <f aca="false">SUMIFS(ШТАТ_ПО_ЧАСАМ!$C$11:$C$115,ШТАТ_ПО_ЧАСАМ!$A$11:$A$115,A490,ШТАТ_ПО_ЧАСАМ!$B$11:$B$115,B490)</f>
        <v>1</v>
      </c>
      <c r="I490" s="12" t="n">
        <f aca="false">H490*ПАРАМЕТРЫ!E27</f>
        <v>16.6666666666667</v>
      </c>
      <c r="J490" s="12" t="n">
        <f aca="false">MIN(G490,I490)</f>
        <v>16.6666666666667</v>
      </c>
      <c r="K490" s="12" t="n">
        <f aca="false">MAX(F490-J490,0)</f>
        <v>1.09088083333334</v>
      </c>
      <c r="L490" s="12" t="n">
        <f aca="false">IF(J490=0,0,F490/J490)</f>
        <v>1.06545285</v>
      </c>
      <c r="M490" s="11" t="str">
        <f aca="false">IF(K490&gt;0,"BLOCKED","PASS")</f>
        <v>BLOCKED</v>
      </c>
      <c r="N490" s="11" t="s">
        <v>235</v>
      </c>
    </row>
    <row r="491" customFormat="false" ht="23.85" hidden="false" customHeight="false" outlineLevel="0" collapsed="false">
      <c r="A491" s="11" t="s">
        <v>111</v>
      </c>
      <c r="B491" s="11" t="s">
        <v>124</v>
      </c>
      <c r="C491" s="11" t="s">
        <v>73</v>
      </c>
      <c r="D491" s="11" t="s">
        <v>74</v>
      </c>
      <c r="E491" s="11" t="s">
        <v>75</v>
      </c>
      <c r="F491" s="12" t="n">
        <f aca="false">SUMIFS(СПРОС_ДЕНЬ_ЧАС_МЕНЮ!$I$11:$I$3265,СПРОС_ДЕНЬ_ЧАС_МЕНЮ!$A$11:$A$3265,A491,СПРОС_ДЕНЬ_ЧАС_МЕНЮ!$B$11:$B$3265,B491,СПРОС_ДЕНЬ_ЧАС_МЕНЮ!$F$11:$F$3265,C491)</f>
        <v>0</v>
      </c>
      <c r="G491" s="12" t="n">
        <f aca="false">ПАРАМЕТРЫ!D20</f>
        <v>25</v>
      </c>
      <c r="H491" s="12" t="n">
        <f aca="false">SUMIFS(ШТАТ_ПО_ЧАСАМ!$C$11:$C$115,ШТАТ_ПО_ЧАСАМ!$A$11:$A$115,A491,ШТАТ_ПО_ЧАСАМ!$B$11:$B$115,B491)</f>
        <v>1</v>
      </c>
      <c r="I491" s="12" t="n">
        <f aca="false">MIN(H491,1)*ПАРАМЕТРЫ!E20</f>
        <v>10</v>
      </c>
      <c r="J491" s="12" t="n">
        <f aca="false">MIN(G491,I491)</f>
        <v>10</v>
      </c>
      <c r="K491" s="12" t="n">
        <f aca="false">MAX(F491-J491,0)</f>
        <v>0</v>
      </c>
      <c r="L491" s="12" t="n">
        <f aca="false">IF(J491=0,0,F491/J491)</f>
        <v>0</v>
      </c>
      <c r="M491" s="11" t="str">
        <f aca="false">IF(K491&gt;0,"BLOCKED","PASS")</f>
        <v>PASS</v>
      </c>
      <c r="N491" s="11" t="s">
        <v>233</v>
      </c>
    </row>
    <row r="492" customFormat="false" ht="23.85" hidden="false" customHeight="false" outlineLevel="0" collapsed="false">
      <c r="A492" s="11" t="s">
        <v>111</v>
      </c>
      <c r="B492" s="11" t="s">
        <v>124</v>
      </c>
      <c r="C492" s="11" t="s">
        <v>77</v>
      </c>
      <c r="D492" s="11" t="s">
        <v>78</v>
      </c>
      <c r="E492" s="11" t="s">
        <v>79</v>
      </c>
      <c r="F492" s="12" t="n">
        <f aca="false">SUMIFS(СПРОС_ДЕНЬ_ЧАС_МЕНЮ!$I$11:$I$3265,СПРОС_ДЕНЬ_ЧАС_МЕНЮ!$A$11:$A$3265,A492,СПРОС_ДЕНЬ_ЧАС_МЕНЮ!$B$11:$B$3265,B492,СПРОС_ДЕНЬ_ЧАС_МЕНЮ!$F$11:$F$3265,C492)</f>
        <v>0.396</v>
      </c>
      <c r="G492" s="12" t="n">
        <f aca="false">ПАРАМЕТРЫ!D21</f>
        <v>20</v>
      </c>
      <c r="H492" s="12" t="n">
        <f aca="false">SUMIFS(ШТАТ_ПО_ЧАСАМ!$C$11:$C$115,ШТАТ_ПО_ЧАСАМ!$A$11:$A$115,A492,ШТАТ_ПО_ЧАСАМ!$B$11:$B$115,B492)</f>
        <v>1</v>
      </c>
      <c r="I492" s="12" t="n">
        <f aca="false">MIN(H492,1)*ПАРАМЕТРЫ!E21</f>
        <v>10</v>
      </c>
      <c r="J492" s="12" t="n">
        <f aca="false">MIN(G492,I492)</f>
        <v>10</v>
      </c>
      <c r="K492" s="12" t="n">
        <f aca="false">MAX(F492-J492,0)</f>
        <v>0</v>
      </c>
      <c r="L492" s="12" t="n">
        <f aca="false">IF(J492=0,0,F492/J492)</f>
        <v>0.0396</v>
      </c>
      <c r="M492" s="11" t="str">
        <f aca="false">IF(K492&gt;0,"BLOCKED","PASS")</f>
        <v>PASS</v>
      </c>
      <c r="N492" s="11" t="s">
        <v>233</v>
      </c>
    </row>
    <row r="493" customFormat="false" ht="23.85" hidden="false" customHeight="false" outlineLevel="0" collapsed="false">
      <c r="A493" s="11" t="s">
        <v>111</v>
      </c>
      <c r="B493" s="11" t="s">
        <v>124</v>
      </c>
      <c r="C493" s="11" t="s">
        <v>80</v>
      </c>
      <c r="D493" s="11" t="s">
        <v>81</v>
      </c>
      <c r="E493" s="11" t="s">
        <v>82</v>
      </c>
      <c r="F493" s="12" t="n">
        <f aca="false">SUMIFS(СПРОС_ДЕНЬ_ЧАС_МЕНЮ!$I$11:$I$3265,СПРОС_ДЕНЬ_ЧАС_МЕНЮ!$A$11:$A$3265,A493,СПРОС_ДЕНЬ_ЧАС_МЕНЮ!$B$11:$B$3265,B493,СПРОС_ДЕНЬ_ЧАС_МЕНЮ!$F$11:$F$3265,C493)</f>
        <v>0</v>
      </c>
      <c r="G493" s="12" t="n">
        <f aca="false">ПАРАМЕТРЫ!D22</f>
        <v>16</v>
      </c>
      <c r="H493" s="12" t="n">
        <f aca="false">SUMIFS(ШТАТ_ПО_ЧАСАМ!$C$11:$C$115,ШТАТ_ПО_ЧАСАМ!$A$11:$A$115,A493,ШТАТ_ПО_ЧАСАМ!$B$11:$B$115,B493)</f>
        <v>1</v>
      </c>
      <c r="I493" s="12" t="n">
        <f aca="false">MIN(H493,1)*ПАРАМЕТРЫ!E22</f>
        <v>16</v>
      </c>
      <c r="J493" s="12" t="n">
        <f aca="false">MIN(G493,I493)</f>
        <v>16</v>
      </c>
      <c r="K493" s="12" t="n">
        <f aca="false">MAX(F493-J493,0)</f>
        <v>0</v>
      </c>
      <c r="L493" s="12" t="n">
        <f aca="false">IF(J493=0,0,F493/J493)</f>
        <v>0</v>
      </c>
      <c r="M493" s="11" t="str">
        <f aca="false">IF(K493&gt;0,"BLOCKED","PASS")</f>
        <v>PASS</v>
      </c>
      <c r="N493" s="11" t="s">
        <v>233</v>
      </c>
    </row>
    <row r="494" customFormat="false" ht="23.85" hidden="false" customHeight="false" outlineLevel="0" collapsed="false">
      <c r="A494" s="11" t="s">
        <v>111</v>
      </c>
      <c r="B494" s="11" t="s">
        <v>124</v>
      </c>
      <c r="C494" s="11" t="s">
        <v>83</v>
      </c>
      <c r="D494" s="11" t="s">
        <v>84</v>
      </c>
      <c r="E494" s="11" t="s">
        <v>83</v>
      </c>
      <c r="F494" s="12" t="n">
        <f aca="false">SUMIFS(СПРОС_ДЕНЬ_ЧАС_МЕНЮ!$I$11:$I$3265,СПРОС_ДЕНЬ_ЧАС_МЕНЮ!$A$11:$A$3265,A494,СПРОС_ДЕНЬ_ЧАС_МЕНЮ!$B$11:$B$3265,B494,СПРОС_ДЕНЬ_ЧАС_МЕНЮ!$F$11:$F$3265,C494)</f>
        <v>0</v>
      </c>
      <c r="G494" s="12" t="n">
        <f aca="false">ПАРАМЕТРЫ!D23</f>
        <v>21</v>
      </c>
      <c r="H494" s="12" t="n">
        <f aca="false">SUMIFS(ШТАТ_ПО_ЧАСАМ!$C$11:$C$115,ШТАТ_ПО_ЧАСАМ!$A$11:$A$115,A494,ШТАТ_ПО_ЧАСАМ!$B$11:$B$115,B494)</f>
        <v>1</v>
      </c>
      <c r="I494" s="12" t="n">
        <f aca="false">MIN(H494,1)*ПАРАМЕТРЫ!E23</f>
        <v>21</v>
      </c>
      <c r="J494" s="12" t="n">
        <f aca="false">MIN(G494,I494)</f>
        <v>21</v>
      </c>
      <c r="K494" s="12" t="n">
        <f aca="false">MAX(F494-J494,0)</f>
        <v>0</v>
      </c>
      <c r="L494" s="12" t="n">
        <f aca="false">IF(J494=0,0,F494/J494)</f>
        <v>0</v>
      </c>
      <c r="M494" s="11" t="str">
        <f aca="false">IF(K494&gt;0,"BLOCKED","PASS")</f>
        <v>PASS</v>
      </c>
      <c r="N494" s="11" t="s">
        <v>233</v>
      </c>
    </row>
    <row r="495" customFormat="false" ht="23.85" hidden="false" customHeight="false" outlineLevel="0" collapsed="false">
      <c r="A495" s="11" t="s">
        <v>111</v>
      </c>
      <c r="B495" s="11" t="s">
        <v>124</v>
      </c>
      <c r="C495" s="11" t="s">
        <v>85</v>
      </c>
      <c r="D495" s="11" t="s">
        <v>86</v>
      </c>
      <c r="E495" s="11" t="s">
        <v>87</v>
      </c>
      <c r="F495" s="12" t="n">
        <f aca="false">SUMIFS(СПРОС_ДЕНЬ_ЧАС_МЕНЮ!$I$11:$I$3265,СПРОС_ДЕНЬ_ЧАС_МЕНЮ!$A$11:$A$3265,A495,СПРОС_ДЕНЬ_ЧАС_МЕНЮ!$B$11:$B$3265,B495,СПРОС_ДЕНЬ_ЧАС_МЕНЮ!$F$11:$F$3265,C495)</f>
        <v>0</v>
      </c>
      <c r="G495" s="12" t="n">
        <f aca="false">ПАРАМЕТРЫ!D24</f>
        <v>12</v>
      </c>
      <c r="H495" s="12" t="n">
        <f aca="false">SUMIFS(ШТАТ_ПО_ЧАСАМ!$C$11:$C$115,ШТАТ_ПО_ЧАСАМ!$A$11:$A$115,A495,ШТАТ_ПО_ЧАСАМ!$B$11:$B$115,B495)</f>
        <v>1</v>
      </c>
      <c r="I495" s="12" t="n">
        <f aca="false">MIN(H495,1)*ПАРАМЕТРЫ!E24</f>
        <v>12</v>
      </c>
      <c r="J495" s="12" t="n">
        <f aca="false">MIN(G495,I495)</f>
        <v>12</v>
      </c>
      <c r="K495" s="12" t="n">
        <f aca="false">MAX(F495-J495,0)</f>
        <v>0</v>
      </c>
      <c r="L495" s="12" t="n">
        <f aca="false">IF(J495=0,0,F495/J495)</f>
        <v>0</v>
      </c>
      <c r="M495" s="11" t="str">
        <f aca="false">IF(K495&gt;0,"BLOCKED","PASS")</f>
        <v>PASS</v>
      </c>
      <c r="N495" s="11" t="s">
        <v>233</v>
      </c>
    </row>
    <row r="496" customFormat="false" ht="23.85" hidden="false" customHeight="false" outlineLevel="0" collapsed="false">
      <c r="A496" s="11" t="s">
        <v>111</v>
      </c>
      <c r="B496" s="11" t="s">
        <v>124</v>
      </c>
      <c r="C496" s="11" t="s">
        <v>88</v>
      </c>
      <c r="D496" s="11" t="s">
        <v>89</v>
      </c>
      <c r="E496" s="11" t="s">
        <v>90</v>
      </c>
      <c r="F496" s="12" t="n">
        <f aca="false">SUMIFS(СПРОС_ДЕНЬ_ЧАС_МЕНЮ!$I$11:$I$3265,СПРОС_ДЕНЬ_ЧАС_МЕНЮ!$A$11:$A$3265,A496,СПРОС_ДЕНЬ_ЧАС_МЕНЮ!$B$11:$B$3265,B496,СПРОС_ДЕНЬ_ЧАС_МЕНЮ!$F$11:$F$3265,C496)</f>
        <v>3.3</v>
      </c>
      <c r="G496" s="12" t="n">
        <f aca="false">ПАРАМЕТРЫ!D25</f>
        <v>15</v>
      </c>
      <c r="H496" s="12" t="n">
        <f aca="false">SUMIFS(ШТАТ_ПО_ЧАСАМ!$C$11:$C$115,ШТАТ_ПО_ЧАСАМ!$A$11:$A$115,A496,ШТАТ_ПО_ЧАСАМ!$B$11:$B$115,B496)</f>
        <v>1</v>
      </c>
      <c r="I496" s="12" t="n">
        <f aca="false">MIN(H496,1)*ПАРАМЕТРЫ!E25</f>
        <v>10</v>
      </c>
      <c r="J496" s="12" t="n">
        <f aca="false">MIN(G496,I496)</f>
        <v>10</v>
      </c>
      <c r="K496" s="12" t="n">
        <f aca="false">MAX(F496-J496,0)</f>
        <v>0</v>
      </c>
      <c r="L496" s="12" t="n">
        <f aca="false">IF(J496=0,0,F496/J496)</f>
        <v>0.33</v>
      </c>
      <c r="M496" s="11" t="str">
        <f aca="false">IF(K496&gt;0,"BLOCKED","PASS")</f>
        <v>PASS</v>
      </c>
      <c r="N496" s="11" t="s">
        <v>233</v>
      </c>
    </row>
    <row r="497" customFormat="false" ht="23.85" hidden="false" customHeight="false" outlineLevel="0" collapsed="false">
      <c r="A497" s="11" t="s">
        <v>111</v>
      </c>
      <c r="B497" s="11" t="s">
        <v>124</v>
      </c>
      <c r="C497" s="11" t="s">
        <v>91</v>
      </c>
      <c r="D497" s="11" t="s">
        <v>92</v>
      </c>
      <c r="E497" s="11" t="s">
        <v>79</v>
      </c>
      <c r="F497" s="12" t="n">
        <f aca="false">SUMIFS(СПРОС_ДЕНЬ_ЧАС_МЕНЮ!$I$11:$I$3265,СПРОС_ДЕНЬ_ЧАС_МЕНЮ!$A$11:$A$3265,A497,СПРОС_ДЕНЬ_ЧАС_МЕНЮ!$B$11:$B$3265,B497,СПРОС_ДЕНЬ_ЧАС_МЕНЮ!$F$11:$F$3265,C497)</f>
        <v>0.198</v>
      </c>
      <c r="G497" s="12" t="n">
        <f aca="false">ПАРАМЕТРЫ!D26</f>
        <v>20</v>
      </c>
      <c r="H497" s="12" t="n">
        <f aca="false">SUMIFS(ШТАТ_ПО_ЧАСАМ!$C$11:$C$115,ШТАТ_ПО_ЧАСАМ!$A$11:$A$115,A497,ШТАТ_ПО_ЧАСАМ!$B$11:$B$115,B497)</f>
        <v>1</v>
      </c>
      <c r="I497" s="12" t="n">
        <f aca="false">MIN(H497,1)*ПАРАМЕТРЫ!E26</f>
        <v>10</v>
      </c>
      <c r="J497" s="12" t="n">
        <f aca="false">MIN(G497,I497)</f>
        <v>10</v>
      </c>
      <c r="K497" s="12" t="n">
        <f aca="false">MAX(F497-J497,0)</f>
        <v>0</v>
      </c>
      <c r="L497" s="12" t="n">
        <f aca="false">IF(J497=0,0,F497/J497)</f>
        <v>0.0198</v>
      </c>
      <c r="M497" s="11" t="str">
        <f aca="false">IF(K497&gt;0,"BLOCKED","PASS")</f>
        <v>PASS</v>
      </c>
      <c r="N497" s="11" t="s">
        <v>233</v>
      </c>
    </row>
    <row r="498" customFormat="false" ht="15" hidden="false" customHeight="false" outlineLevel="0" collapsed="false">
      <c r="A498" s="11" t="s">
        <v>111</v>
      </c>
      <c r="B498" s="11" t="s">
        <v>124</v>
      </c>
      <c r="C498" s="11" t="s">
        <v>93</v>
      </c>
      <c r="D498" s="11" t="s">
        <v>234</v>
      </c>
      <c r="E498" s="11" t="s">
        <v>95</v>
      </c>
      <c r="F498" s="12" t="n">
        <f aca="false">SUMIFS(СПРОС_ДЕНЬ_ЧАС_МЕНЮ!$I$11:$I$3265,СПРОС_ДЕНЬ_ЧАС_МЕНЮ!$A$11:$A$3265,A498,СПРОС_ДЕНЬ_ЧАС_МЕНЮ!$B$11:$B$3265,B498)</f>
        <v>3.894</v>
      </c>
      <c r="G498" s="12" t="n">
        <f aca="false">ПАРАМЕТРЫ!D27</f>
        <v>60</v>
      </c>
      <c r="H498" s="12" t="n">
        <f aca="false">SUMIFS(ШТАТ_ПО_ЧАСАМ!$C$11:$C$115,ШТАТ_ПО_ЧАСАМ!$A$11:$A$115,A498,ШТАТ_ПО_ЧАСАМ!$B$11:$B$115,B498)</f>
        <v>1</v>
      </c>
      <c r="I498" s="12" t="n">
        <f aca="false">H498*ПАРАМЕТРЫ!E27</f>
        <v>16.6666666666667</v>
      </c>
      <c r="J498" s="12" t="n">
        <f aca="false">MIN(G498,I498)</f>
        <v>16.6666666666667</v>
      </c>
      <c r="K498" s="12" t="n">
        <f aca="false">MAX(F498-J498,0)</f>
        <v>0</v>
      </c>
      <c r="L498" s="12" t="n">
        <f aca="false">IF(J498=0,0,F498/J498)</f>
        <v>0.23364</v>
      </c>
      <c r="M498" s="11" t="str">
        <f aca="false">IF(K498&gt;0,"BLOCKED","PASS")</f>
        <v>PASS</v>
      </c>
      <c r="N498" s="11" t="s">
        <v>235</v>
      </c>
    </row>
    <row r="499" customFormat="false" ht="23.85" hidden="false" customHeight="false" outlineLevel="0" collapsed="false">
      <c r="A499" s="11" t="s">
        <v>111</v>
      </c>
      <c r="B499" s="11" t="s">
        <v>125</v>
      </c>
      <c r="C499" s="11" t="s">
        <v>73</v>
      </c>
      <c r="D499" s="11" t="s">
        <v>74</v>
      </c>
      <c r="E499" s="11" t="s">
        <v>75</v>
      </c>
      <c r="F499" s="12" t="n">
        <f aca="false">SUMIFS(СПРОС_ДЕНЬ_ЧАС_МЕНЮ!$I$11:$I$3265,СПРОС_ДЕНЬ_ЧАС_МЕНЮ!$A$11:$A$3265,A499,СПРОС_ДЕНЬ_ЧАС_МЕНЮ!$B$11:$B$3265,B499,СПРОС_ДЕНЬ_ЧАС_МЕНЮ!$F$11:$F$3265,C499)</f>
        <v>0</v>
      </c>
      <c r="G499" s="12" t="n">
        <f aca="false">ПАРАМЕТРЫ!D20</f>
        <v>25</v>
      </c>
      <c r="H499" s="12" t="n">
        <f aca="false">SUMIFS(ШТАТ_ПО_ЧАСАМ!$C$11:$C$115,ШТАТ_ПО_ЧАСАМ!$A$11:$A$115,A499,ШТАТ_ПО_ЧАСАМ!$B$11:$B$115,B499)</f>
        <v>1</v>
      </c>
      <c r="I499" s="12" t="n">
        <f aca="false">MIN(H499,1)*ПАРАМЕТРЫ!E20</f>
        <v>10</v>
      </c>
      <c r="J499" s="12" t="n">
        <f aca="false">MIN(G499,I499)</f>
        <v>10</v>
      </c>
      <c r="K499" s="12" t="n">
        <f aca="false">MAX(F499-J499,0)</f>
        <v>0</v>
      </c>
      <c r="L499" s="12" t="n">
        <f aca="false">IF(J499=0,0,F499/J499)</f>
        <v>0</v>
      </c>
      <c r="M499" s="11" t="str">
        <f aca="false">IF(K499&gt;0,"BLOCKED","PASS")</f>
        <v>PASS</v>
      </c>
      <c r="N499" s="11" t="s">
        <v>233</v>
      </c>
    </row>
    <row r="500" customFormat="false" ht="23.85" hidden="false" customHeight="false" outlineLevel="0" collapsed="false">
      <c r="A500" s="11" t="s">
        <v>111</v>
      </c>
      <c r="B500" s="11" t="s">
        <v>125</v>
      </c>
      <c r="C500" s="11" t="s">
        <v>77</v>
      </c>
      <c r="D500" s="11" t="s">
        <v>78</v>
      </c>
      <c r="E500" s="11" t="s">
        <v>79</v>
      </c>
      <c r="F500" s="12" t="n">
        <f aca="false">SUMIFS(СПРОС_ДЕНЬ_ЧАС_МЕНЮ!$I$11:$I$3265,СПРОС_ДЕНЬ_ЧАС_МЕНЮ!$A$11:$A$3265,A500,СПРОС_ДЕНЬ_ЧАС_МЕНЮ!$B$11:$B$3265,B500,СПРОС_ДЕНЬ_ЧАС_МЕНЮ!$F$11:$F$3265,C500)</f>
        <v>0.66</v>
      </c>
      <c r="G500" s="12" t="n">
        <f aca="false">ПАРАМЕТРЫ!D21</f>
        <v>20</v>
      </c>
      <c r="H500" s="12" t="n">
        <f aca="false">SUMIFS(ШТАТ_ПО_ЧАСАМ!$C$11:$C$115,ШТАТ_ПО_ЧАСАМ!$A$11:$A$115,A500,ШТАТ_ПО_ЧАСАМ!$B$11:$B$115,B500)</f>
        <v>1</v>
      </c>
      <c r="I500" s="12" t="n">
        <f aca="false">MIN(H500,1)*ПАРАМЕТРЫ!E21</f>
        <v>10</v>
      </c>
      <c r="J500" s="12" t="n">
        <f aca="false">MIN(G500,I500)</f>
        <v>10</v>
      </c>
      <c r="K500" s="12" t="n">
        <f aca="false">MAX(F500-J500,0)</f>
        <v>0</v>
      </c>
      <c r="L500" s="12" t="n">
        <f aca="false">IF(J500=0,0,F500/J500)</f>
        <v>0.066</v>
      </c>
      <c r="M500" s="11" t="str">
        <f aca="false">IF(K500&gt;0,"BLOCKED","PASS")</f>
        <v>PASS</v>
      </c>
      <c r="N500" s="11" t="s">
        <v>233</v>
      </c>
    </row>
    <row r="501" customFormat="false" ht="23.85" hidden="false" customHeight="false" outlineLevel="0" collapsed="false">
      <c r="A501" s="11" t="s">
        <v>111</v>
      </c>
      <c r="B501" s="11" t="s">
        <v>125</v>
      </c>
      <c r="C501" s="11" t="s">
        <v>80</v>
      </c>
      <c r="D501" s="11" t="s">
        <v>81</v>
      </c>
      <c r="E501" s="11" t="s">
        <v>82</v>
      </c>
      <c r="F501" s="12" t="n">
        <f aca="false">SUMIFS(СПРОС_ДЕНЬ_ЧАС_МЕНЮ!$I$11:$I$3265,СПРОС_ДЕНЬ_ЧАС_МЕНЮ!$A$11:$A$3265,A501,СПРОС_ДЕНЬ_ЧАС_МЕНЮ!$B$11:$B$3265,B501,СПРОС_ДЕНЬ_ЧАС_МЕНЮ!$F$11:$F$3265,C501)</f>
        <v>0</v>
      </c>
      <c r="G501" s="12" t="n">
        <f aca="false">ПАРАМЕТРЫ!D22</f>
        <v>16</v>
      </c>
      <c r="H501" s="12" t="n">
        <f aca="false">SUMIFS(ШТАТ_ПО_ЧАСАМ!$C$11:$C$115,ШТАТ_ПО_ЧАСАМ!$A$11:$A$115,A501,ШТАТ_ПО_ЧАСАМ!$B$11:$B$115,B501)</f>
        <v>1</v>
      </c>
      <c r="I501" s="12" t="n">
        <f aca="false">MIN(H501,1)*ПАРАМЕТРЫ!E22</f>
        <v>16</v>
      </c>
      <c r="J501" s="12" t="n">
        <f aca="false">MIN(G501,I501)</f>
        <v>16</v>
      </c>
      <c r="K501" s="12" t="n">
        <f aca="false">MAX(F501-J501,0)</f>
        <v>0</v>
      </c>
      <c r="L501" s="12" t="n">
        <f aca="false">IF(J501=0,0,F501/J501)</f>
        <v>0</v>
      </c>
      <c r="M501" s="11" t="str">
        <f aca="false">IF(K501&gt;0,"BLOCKED","PASS")</f>
        <v>PASS</v>
      </c>
      <c r="N501" s="11" t="s">
        <v>233</v>
      </c>
    </row>
    <row r="502" customFormat="false" ht="23.85" hidden="false" customHeight="false" outlineLevel="0" collapsed="false">
      <c r="A502" s="11" t="s">
        <v>111</v>
      </c>
      <c r="B502" s="11" t="s">
        <v>125</v>
      </c>
      <c r="C502" s="11" t="s">
        <v>83</v>
      </c>
      <c r="D502" s="11" t="s">
        <v>84</v>
      </c>
      <c r="E502" s="11" t="s">
        <v>83</v>
      </c>
      <c r="F502" s="12" t="n">
        <f aca="false">SUMIFS(СПРОС_ДЕНЬ_ЧАС_МЕНЮ!$I$11:$I$3265,СПРОС_ДЕНЬ_ЧАС_МЕНЮ!$A$11:$A$3265,A502,СПРОС_ДЕНЬ_ЧАС_МЕНЮ!$B$11:$B$3265,B502,СПРОС_ДЕНЬ_ЧАС_МЕНЮ!$F$11:$F$3265,C502)</f>
        <v>0</v>
      </c>
      <c r="G502" s="12" t="n">
        <f aca="false">ПАРАМЕТРЫ!D23</f>
        <v>21</v>
      </c>
      <c r="H502" s="12" t="n">
        <f aca="false">SUMIFS(ШТАТ_ПО_ЧАСАМ!$C$11:$C$115,ШТАТ_ПО_ЧАСАМ!$A$11:$A$115,A502,ШТАТ_ПО_ЧАСАМ!$B$11:$B$115,B502)</f>
        <v>1</v>
      </c>
      <c r="I502" s="12" t="n">
        <f aca="false">MIN(H502,1)*ПАРАМЕТРЫ!E23</f>
        <v>21</v>
      </c>
      <c r="J502" s="12" t="n">
        <f aca="false">MIN(G502,I502)</f>
        <v>21</v>
      </c>
      <c r="K502" s="12" t="n">
        <f aca="false">MAX(F502-J502,0)</f>
        <v>0</v>
      </c>
      <c r="L502" s="12" t="n">
        <f aca="false">IF(J502=0,0,F502/J502)</f>
        <v>0</v>
      </c>
      <c r="M502" s="11" t="str">
        <f aca="false">IF(K502&gt;0,"BLOCKED","PASS")</f>
        <v>PASS</v>
      </c>
      <c r="N502" s="11" t="s">
        <v>233</v>
      </c>
    </row>
    <row r="503" customFormat="false" ht="23.85" hidden="false" customHeight="false" outlineLevel="0" collapsed="false">
      <c r="A503" s="11" t="s">
        <v>111</v>
      </c>
      <c r="B503" s="11" t="s">
        <v>125</v>
      </c>
      <c r="C503" s="11" t="s">
        <v>85</v>
      </c>
      <c r="D503" s="11" t="s">
        <v>86</v>
      </c>
      <c r="E503" s="11" t="s">
        <v>87</v>
      </c>
      <c r="F503" s="12" t="n">
        <f aca="false">SUMIFS(СПРОС_ДЕНЬ_ЧАС_МЕНЮ!$I$11:$I$3265,СПРОС_ДЕНЬ_ЧАС_МЕНЮ!$A$11:$A$3265,A503,СПРОС_ДЕНЬ_ЧАС_МЕНЮ!$B$11:$B$3265,B503,СПРОС_ДЕНЬ_ЧАС_МЕНЮ!$F$11:$F$3265,C503)</f>
        <v>0</v>
      </c>
      <c r="G503" s="12" t="n">
        <f aca="false">ПАРАМЕТРЫ!D24</f>
        <v>12</v>
      </c>
      <c r="H503" s="12" t="n">
        <f aca="false">SUMIFS(ШТАТ_ПО_ЧАСАМ!$C$11:$C$115,ШТАТ_ПО_ЧАСАМ!$A$11:$A$115,A503,ШТАТ_ПО_ЧАСАМ!$B$11:$B$115,B503)</f>
        <v>1</v>
      </c>
      <c r="I503" s="12" t="n">
        <f aca="false">MIN(H503,1)*ПАРАМЕТРЫ!E24</f>
        <v>12</v>
      </c>
      <c r="J503" s="12" t="n">
        <f aca="false">MIN(G503,I503)</f>
        <v>12</v>
      </c>
      <c r="K503" s="12" t="n">
        <f aca="false">MAX(F503-J503,0)</f>
        <v>0</v>
      </c>
      <c r="L503" s="12" t="n">
        <f aca="false">IF(J503=0,0,F503/J503)</f>
        <v>0</v>
      </c>
      <c r="M503" s="11" t="str">
        <f aca="false">IF(K503&gt;0,"BLOCKED","PASS")</f>
        <v>PASS</v>
      </c>
      <c r="N503" s="11" t="s">
        <v>233</v>
      </c>
    </row>
    <row r="504" customFormat="false" ht="23.85" hidden="false" customHeight="false" outlineLevel="0" collapsed="false">
      <c r="A504" s="11" t="s">
        <v>111</v>
      </c>
      <c r="B504" s="11" t="s">
        <v>125</v>
      </c>
      <c r="C504" s="11" t="s">
        <v>88</v>
      </c>
      <c r="D504" s="11" t="s">
        <v>89</v>
      </c>
      <c r="E504" s="11" t="s">
        <v>90</v>
      </c>
      <c r="F504" s="12" t="n">
        <f aca="false">SUMIFS(СПРОС_ДЕНЬ_ЧАС_МЕНЮ!$I$11:$I$3265,СПРОС_ДЕНЬ_ЧАС_МЕНЮ!$A$11:$A$3265,A504,СПРОС_ДЕНЬ_ЧАС_МЕНЮ!$B$11:$B$3265,B504,СПРОС_ДЕНЬ_ЧАС_МЕНЮ!$F$11:$F$3265,C504)</f>
        <v>7.7</v>
      </c>
      <c r="G504" s="12" t="n">
        <f aca="false">ПАРАМЕТРЫ!D25</f>
        <v>15</v>
      </c>
      <c r="H504" s="12" t="n">
        <f aca="false">SUMIFS(ШТАТ_ПО_ЧАСАМ!$C$11:$C$115,ШТАТ_ПО_ЧАСАМ!$A$11:$A$115,A504,ШТАТ_ПО_ЧАСАМ!$B$11:$B$115,B504)</f>
        <v>1</v>
      </c>
      <c r="I504" s="12" t="n">
        <f aca="false">MIN(H504,1)*ПАРАМЕТРЫ!E25</f>
        <v>10</v>
      </c>
      <c r="J504" s="12" t="n">
        <f aca="false">MIN(G504,I504)</f>
        <v>10</v>
      </c>
      <c r="K504" s="12" t="n">
        <f aca="false">MAX(F504-J504,0)</f>
        <v>0</v>
      </c>
      <c r="L504" s="12" t="n">
        <f aca="false">IF(J504=0,0,F504/J504)</f>
        <v>0.77</v>
      </c>
      <c r="M504" s="11" t="str">
        <f aca="false">IF(K504&gt;0,"BLOCKED","PASS")</f>
        <v>PASS</v>
      </c>
      <c r="N504" s="11" t="s">
        <v>233</v>
      </c>
    </row>
    <row r="505" customFormat="false" ht="23.85" hidden="false" customHeight="false" outlineLevel="0" collapsed="false">
      <c r="A505" s="11" t="s">
        <v>111</v>
      </c>
      <c r="B505" s="11" t="s">
        <v>125</v>
      </c>
      <c r="C505" s="11" t="s">
        <v>91</v>
      </c>
      <c r="D505" s="11" t="s">
        <v>92</v>
      </c>
      <c r="E505" s="11" t="s">
        <v>79</v>
      </c>
      <c r="F505" s="12" t="n">
        <f aca="false">SUMIFS(СПРОС_ДЕНЬ_ЧАС_МЕНЮ!$I$11:$I$3265,СПРОС_ДЕНЬ_ЧАС_МЕНЮ!$A$11:$A$3265,A505,СПРОС_ДЕНЬ_ЧАС_МЕНЮ!$B$11:$B$3265,B505,СПРОС_ДЕНЬ_ЧАС_МЕНЮ!$F$11:$F$3265,C505)</f>
        <v>0.33</v>
      </c>
      <c r="G505" s="12" t="n">
        <f aca="false">ПАРАМЕТРЫ!D26</f>
        <v>20</v>
      </c>
      <c r="H505" s="12" t="n">
        <f aca="false">SUMIFS(ШТАТ_ПО_ЧАСАМ!$C$11:$C$115,ШТАТ_ПО_ЧАСАМ!$A$11:$A$115,A505,ШТАТ_ПО_ЧАСАМ!$B$11:$B$115,B505)</f>
        <v>1</v>
      </c>
      <c r="I505" s="12" t="n">
        <f aca="false">MIN(H505,1)*ПАРАМЕТРЫ!E26</f>
        <v>10</v>
      </c>
      <c r="J505" s="12" t="n">
        <f aca="false">MIN(G505,I505)</f>
        <v>10</v>
      </c>
      <c r="K505" s="12" t="n">
        <f aca="false">MAX(F505-J505,0)</f>
        <v>0</v>
      </c>
      <c r="L505" s="12" t="n">
        <f aca="false">IF(J505=0,0,F505/J505)</f>
        <v>0.033</v>
      </c>
      <c r="M505" s="11" t="str">
        <f aca="false">IF(K505&gt;0,"BLOCKED","PASS")</f>
        <v>PASS</v>
      </c>
      <c r="N505" s="11" t="s">
        <v>233</v>
      </c>
    </row>
    <row r="506" customFormat="false" ht="15" hidden="false" customHeight="false" outlineLevel="0" collapsed="false">
      <c r="A506" s="11" t="s">
        <v>111</v>
      </c>
      <c r="B506" s="11" t="s">
        <v>125</v>
      </c>
      <c r="C506" s="11" t="s">
        <v>93</v>
      </c>
      <c r="D506" s="11" t="s">
        <v>234</v>
      </c>
      <c r="E506" s="11" t="s">
        <v>95</v>
      </c>
      <c r="F506" s="12" t="n">
        <f aca="false">SUMIFS(СПРОС_ДЕНЬ_ЧАС_МЕНЮ!$I$11:$I$3265,СПРОС_ДЕНЬ_ЧАС_МЕНЮ!$A$11:$A$3265,A506,СПРОС_ДЕНЬ_ЧАС_МЕНЮ!$B$11:$B$3265,B506)</f>
        <v>8.69</v>
      </c>
      <c r="G506" s="12" t="n">
        <f aca="false">ПАРАМЕТРЫ!D27</f>
        <v>60</v>
      </c>
      <c r="H506" s="12" t="n">
        <f aca="false">SUMIFS(ШТАТ_ПО_ЧАСАМ!$C$11:$C$115,ШТАТ_ПО_ЧАСАМ!$A$11:$A$115,A506,ШТАТ_ПО_ЧАСАМ!$B$11:$B$115,B506)</f>
        <v>1</v>
      </c>
      <c r="I506" s="12" t="n">
        <f aca="false">H506*ПАРАМЕТРЫ!E27</f>
        <v>16.6666666666667</v>
      </c>
      <c r="J506" s="12" t="n">
        <f aca="false">MIN(G506,I506)</f>
        <v>16.6666666666667</v>
      </c>
      <c r="K506" s="12" t="n">
        <f aca="false">MAX(F506-J506,0)</f>
        <v>0</v>
      </c>
      <c r="L506" s="12" t="n">
        <f aca="false">IF(J506=0,0,F506/J506)</f>
        <v>0.5214</v>
      </c>
      <c r="M506" s="11" t="str">
        <f aca="false">IF(K506&gt;0,"BLOCKED","PASS")</f>
        <v>PASS</v>
      </c>
      <c r="N506" s="11" t="s">
        <v>235</v>
      </c>
    </row>
    <row r="507" customFormat="false" ht="23.85" hidden="false" customHeight="false" outlineLevel="0" collapsed="false">
      <c r="A507" s="11" t="s">
        <v>111</v>
      </c>
      <c r="B507" s="11" t="s">
        <v>126</v>
      </c>
      <c r="C507" s="11" t="s">
        <v>73</v>
      </c>
      <c r="D507" s="11" t="s">
        <v>74</v>
      </c>
      <c r="E507" s="11" t="s">
        <v>75</v>
      </c>
      <c r="F507" s="12" t="n">
        <f aca="false">SUMIFS(СПРОС_ДЕНЬ_ЧАС_МЕНЮ!$I$11:$I$3265,СПРОС_ДЕНЬ_ЧАС_МЕНЮ!$A$11:$A$3265,A507,СПРОС_ДЕНЬ_ЧАС_МЕНЮ!$B$11:$B$3265,B507,СПРОС_ДЕНЬ_ЧАС_МЕНЮ!$F$11:$F$3265,C507)</f>
        <v>0</v>
      </c>
      <c r="G507" s="12" t="n">
        <f aca="false">ПАРАМЕТРЫ!D20</f>
        <v>25</v>
      </c>
      <c r="H507" s="12" t="n">
        <f aca="false">SUMIFS(ШТАТ_ПО_ЧАСАМ!$C$11:$C$115,ШТАТ_ПО_ЧАСАМ!$A$11:$A$115,A507,ШТАТ_ПО_ЧАСАМ!$B$11:$B$115,B507)</f>
        <v>1</v>
      </c>
      <c r="I507" s="12" t="n">
        <f aca="false">MIN(H507,1)*ПАРАМЕТРЫ!E20</f>
        <v>10</v>
      </c>
      <c r="J507" s="12" t="n">
        <f aca="false">MIN(G507,I507)</f>
        <v>10</v>
      </c>
      <c r="K507" s="12" t="n">
        <f aca="false">MAX(F507-J507,0)</f>
        <v>0</v>
      </c>
      <c r="L507" s="12" t="n">
        <f aca="false">IF(J507=0,0,F507/J507)</f>
        <v>0</v>
      </c>
      <c r="M507" s="11" t="str">
        <f aca="false">IF(K507&gt;0,"BLOCKED","PASS")</f>
        <v>PASS</v>
      </c>
      <c r="N507" s="11" t="s">
        <v>233</v>
      </c>
    </row>
    <row r="508" customFormat="false" ht="23.85" hidden="false" customHeight="false" outlineLevel="0" collapsed="false">
      <c r="A508" s="11" t="s">
        <v>111</v>
      </c>
      <c r="B508" s="11" t="s">
        <v>126</v>
      </c>
      <c r="C508" s="11" t="s">
        <v>77</v>
      </c>
      <c r="D508" s="11" t="s">
        <v>78</v>
      </c>
      <c r="E508" s="11" t="s">
        <v>79</v>
      </c>
      <c r="F508" s="12" t="n">
        <f aca="false">SUMIFS(СПРОС_ДЕНЬ_ЧАС_МЕНЮ!$I$11:$I$3265,СПРОС_ДЕНЬ_ЧАС_МЕНЮ!$A$11:$A$3265,A508,СПРОС_ДЕНЬ_ЧАС_МЕНЮ!$B$11:$B$3265,B508,СПРОС_ДЕНЬ_ЧАС_МЕНЮ!$F$11:$F$3265,C508)</f>
        <v>0.792</v>
      </c>
      <c r="G508" s="12" t="n">
        <f aca="false">ПАРАМЕТРЫ!D21</f>
        <v>20</v>
      </c>
      <c r="H508" s="12" t="n">
        <f aca="false">SUMIFS(ШТАТ_ПО_ЧАСАМ!$C$11:$C$115,ШТАТ_ПО_ЧАСАМ!$A$11:$A$115,A508,ШТАТ_ПО_ЧАСАМ!$B$11:$B$115,B508)</f>
        <v>1</v>
      </c>
      <c r="I508" s="12" t="n">
        <f aca="false">MIN(H508,1)*ПАРАМЕТРЫ!E21</f>
        <v>10</v>
      </c>
      <c r="J508" s="12" t="n">
        <f aca="false">MIN(G508,I508)</f>
        <v>10</v>
      </c>
      <c r="K508" s="12" t="n">
        <f aca="false">MAX(F508-J508,0)</f>
        <v>0</v>
      </c>
      <c r="L508" s="12" t="n">
        <f aca="false">IF(J508=0,0,F508/J508)</f>
        <v>0.0792</v>
      </c>
      <c r="M508" s="11" t="str">
        <f aca="false">IF(K508&gt;0,"BLOCKED","PASS")</f>
        <v>PASS</v>
      </c>
      <c r="N508" s="11" t="s">
        <v>233</v>
      </c>
    </row>
    <row r="509" customFormat="false" ht="23.85" hidden="false" customHeight="false" outlineLevel="0" collapsed="false">
      <c r="A509" s="11" t="s">
        <v>111</v>
      </c>
      <c r="B509" s="11" t="s">
        <v>126</v>
      </c>
      <c r="C509" s="11" t="s">
        <v>80</v>
      </c>
      <c r="D509" s="11" t="s">
        <v>81</v>
      </c>
      <c r="E509" s="11" t="s">
        <v>82</v>
      </c>
      <c r="F509" s="12" t="n">
        <f aca="false">SUMIFS(СПРОС_ДЕНЬ_ЧАС_МЕНЮ!$I$11:$I$3265,СПРОС_ДЕНЬ_ЧАС_МЕНЮ!$A$11:$A$3265,A509,СПРОС_ДЕНЬ_ЧАС_МЕНЮ!$B$11:$B$3265,B509,СПРОС_ДЕНЬ_ЧАС_МЕНЮ!$F$11:$F$3265,C509)</f>
        <v>0</v>
      </c>
      <c r="G509" s="12" t="n">
        <f aca="false">ПАРАМЕТРЫ!D22</f>
        <v>16</v>
      </c>
      <c r="H509" s="12" t="n">
        <f aca="false">SUMIFS(ШТАТ_ПО_ЧАСАМ!$C$11:$C$115,ШТАТ_ПО_ЧАСАМ!$A$11:$A$115,A509,ШТАТ_ПО_ЧАСАМ!$B$11:$B$115,B509)</f>
        <v>1</v>
      </c>
      <c r="I509" s="12" t="n">
        <f aca="false">MIN(H509,1)*ПАРАМЕТРЫ!E22</f>
        <v>16</v>
      </c>
      <c r="J509" s="12" t="n">
        <f aca="false">MIN(G509,I509)</f>
        <v>16</v>
      </c>
      <c r="K509" s="12" t="n">
        <f aca="false">MAX(F509-J509,0)</f>
        <v>0</v>
      </c>
      <c r="L509" s="12" t="n">
        <f aca="false">IF(J509=0,0,F509/J509)</f>
        <v>0</v>
      </c>
      <c r="M509" s="11" t="str">
        <f aca="false">IF(K509&gt;0,"BLOCKED","PASS")</f>
        <v>PASS</v>
      </c>
      <c r="N509" s="11" t="s">
        <v>233</v>
      </c>
    </row>
    <row r="510" customFormat="false" ht="23.85" hidden="false" customHeight="false" outlineLevel="0" collapsed="false">
      <c r="A510" s="11" t="s">
        <v>111</v>
      </c>
      <c r="B510" s="11" t="s">
        <v>126</v>
      </c>
      <c r="C510" s="11" t="s">
        <v>83</v>
      </c>
      <c r="D510" s="11" t="s">
        <v>84</v>
      </c>
      <c r="E510" s="11" t="s">
        <v>83</v>
      </c>
      <c r="F510" s="12" t="n">
        <f aca="false">SUMIFS(СПРОС_ДЕНЬ_ЧАС_МЕНЮ!$I$11:$I$3265,СПРОС_ДЕНЬ_ЧАС_МЕНЮ!$A$11:$A$3265,A510,СПРОС_ДЕНЬ_ЧАС_МЕНЮ!$B$11:$B$3265,B510,СПРОС_ДЕНЬ_ЧАС_МЕНЮ!$F$11:$F$3265,C510)</f>
        <v>0</v>
      </c>
      <c r="G510" s="12" t="n">
        <f aca="false">ПАРАМЕТРЫ!D23</f>
        <v>21</v>
      </c>
      <c r="H510" s="12" t="n">
        <f aca="false">SUMIFS(ШТАТ_ПО_ЧАСАМ!$C$11:$C$115,ШТАТ_ПО_ЧАСАМ!$A$11:$A$115,A510,ШТАТ_ПО_ЧАСАМ!$B$11:$B$115,B510)</f>
        <v>1</v>
      </c>
      <c r="I510" s="12" t="n">
        <f aca="false">MIN(H510,1)*ПАРАМЕТРЫ!E23</f>
        <v>21</v>
      </c>
      <c r="J510" s="12" t="n">
        <f aca="false">MIN(G510,I510)</f>
        <v>21</v>
      </c>
      <c r="K510" s="12" t="n">
        <f aca="false">MAX(F510-J510,0)</f>
        <v>0</v>
      </c>
      <c r="L510" s="12" t="n">
        <f aca="false">IF(J510=0,0,F510/J510)</f>
        <v>0</v>
      </c>
      <c r="M510" s="11" t="str">
        <f aca="false">IF(K510&gt;0,"BLOCKED","PASS")</f>
        <v>PASS</v>
      </c>
      <c r="N510" s="11" t="s">
        <v>233</v>
      </c>
    </row>
    <row r="511" customFormat="false" ht="23.85" hidden="false" customHeight="false" outlineLevel="0" collapsed="false">
      <c r="A511" s="11" t="s">
        <v>111</v>
      </c>
      <c r="B511" s="11" t="s">
        <v>126</v>
      </c>
      <c r="C511" s="11" t="s">
        <v>85</v>
      </c>
      <c r="D511" s="11" t="s">
        <v>86</v>
      </c>
      <c r="E511" s="11" t="s">
        <v>87</v>
      </c>
      <c r="F511" s="12" t="n">
        <f aca="false">SUMIFS(СПРОС_ДЕНЬ_ЧАС_МЕНЮ!$I$11:$I$3265,СПРОС_ДЕНЬ_ЧАС_МЕНЮ!$A$11:$A$3265,A511,СПРОС_ДЕНЬ_ЧАС_МЕНЮ!$B$11:$B$3265,B511,СПРОС_ДЕНЬ_ЧАС_МЕНЮ!$F$11:$F$3265,C511)</f>
        <v>0</v>
      </c>
      <c r="G511" s="12" t="n">
        <f aca="false">ПАРАМЕТРЫ!D24</f>
        <v>12</v>
      </c>
      <c r="H511" s="12" t="n">
        <f aca="false">SUMIFS(ШТАТ_ПО_ЧАСАМ!$C$11:$C$115,ШТАТ_ПО_ЧАСАМ!$A$11:$A$115,A511,ШТАТ_ПО_ЧАСАМ!$B$11:$B$115,B511)</f>
        <v>1</v>
      </c>
      <c r="I511" s="12" t="n">
        <f aca="false">MIN(H511,1)*ПАРАМЕТРЫ!E24</f>
        <v>12</v>
      </c>
      <c r="J511" s="12" t="n">
        <f aca="false">MIN(G511,I511)</f>
        <v>12</v>
      </c>
      <c r="K511" s="12" t="n">
        <f aca="false">MAX(F511-J511,0)</f>
        <v>0</v>
      </c>
      <c r="L511" s="12" t="n">
        <f aca="false">IF(J511=0,0,F511/J511)</f>
        <v>0</v>
      </c>
      <c r="M511" s="11" t="str">
        <f aca="false">IF(K511&gt;0,"BLOCKED","PASS")</f>
        <v>PASS</v>
      </c>
      <c r="N511" s="11" t="s">
        <v>233</v>
      </c>
    </row>
    <row r="512" customFormat="false" ht="23.85" hidden="false" customHeight="false" outlineLevel="0" collapsed="false">
      <c r="A512" s="11" t="s">
        <v>111</v>
      </c>
      <c r="B512" s="11" t="s">
        <v>126</v>
      </c>
      <c r="C512" s="11" t="s">
        <v>88</v>
      </c>
      <c r="D512" s="11" t="s">
        <v>89</v>
      </c>
      <c r="E512" s="11" t="s">
        <v>90</v>
      </c>
      <c r="F512" s="12" t="n">
        <f aca="false">SUMIFS(СПРОС_ДЕНЬ_ЧАС_МЕНЮ!$I$11:$I$3265,СПРОС_ДЕНЬ_ЧАС_МЕНЮ!$A$11:$A$3265,A512,СПРОС_ДЕНЬ_ЧАС_МЕНЮ!$B$11:$B$3265,B512,СПРОС_ДЕНЬ_ЧАС_МЕНЮ!$F$11:$F$3265,C512)</f>
        <v>6.6</v>
      </c>
      <c r="G512" s="12" t="n">
        <f aca="false">ПАРАМЕТРЫ!D25</f>
        <v>15</v>
      </c>
      <c r="H512" s="12" t="n">
        <f aca="false">SUMIFS(ШТАТ_ПО_ЧАСАМ!$C$11:$C$115,ШТАТ_ПО_ЧАСАМ!$A$11:$A$115,A512,ШТАТ_ПО_ЧАСАМ!$B$11:$B$115,B512)</f>
        <v>1</v>
      </c>
      <c r="I512" s="12" t="n">
        <f aca="false">MIN(H512,1)*ПАРАМЕТРЫ!E25</f>
        <v>10</v>
      </c>
      <c r="J512" s="12" t="n">
        <f aca="false">MIN(G512,I512)</f>
        <v>10</v>
      </c>
      <c r="K512" s="12" t="n">
        <f aca="false">MAX(F512-J512,0)</f>
        <v>0</v>
      </c>
      <c r="L512" s="12" t="n">
        <f aca="false">IF(J512=0,0,F512/J512)</f>
        <v>0.66</v>
      </c>
      <c r="M512" s="11" t="str">
        <f aca="false">IF(K512&gt;0,"BLOCKED","PASS")</f>
        <v>PASS</v>
      </c>
      <c r="N512" s="11" t="s">
        <v>233</v>
      </c>
    </row>
    <row r="513" customFormat="false" ht="23.85" hidden="false" customHeight="false" outlineLevel="0" collapsed="false">
      <c r="A513" s="11" t="s">
        <v>111</v>
      </c>
      <c r="B513" s="11" t="s">
        <v>126</v>
      </c>
      <c r="C513" s="11" t="s">
        <v>91</v>
      </c>
      <c r="D513" s="11" t="s">
        <v>92</v>
      </c>
      <c r="E513" s="11" t="s">
        <v>79</v>
      </c>
      <c r="F513" s="12" t="n">
        <f aca="false">SUMIFS(СПРОС_ДЕНЬ_ЧАС_МЕНЮ!$I$11:$I$3265,СПРОС_ДЕНЬ_ЧАС_МЕНЮ!$A$11:$A$3265,A513,СПРОС_ДЕНЬ_ЧАС_МЕНЮ!$B$11:$B$3265,B513,СПРОС_ДЕНЬ_ЧАС_МЕНЮ!$F$11:$F$3265,C513)</f>
        <v>0.396</v>
      </c>
      <c r="G513" s="12" t="n">
        <f aca="false">ПАРАМЕТРЫ!D26</f>
        <v>20</v>
      </c>
      <c r="H513" s="12" t="n">
        <f aca="false">SUMIFS(ШТАТ_ПО_ЧАСАМ!$C$11:$C$115,ШТАТ_ПО_ЧАСАМ!$A$11:$A$115,A513,ШТАТ_ПО_ЧАСАМ!$B$11:$B$115,B513)</f>
        <v>1</v>
      </c>
      <c r="I513" s="12" t="n">
        <f aca="false">MIN(H513,1)*ПАРАМЕТРЫ!E26</f>
        <v>10</v>
      </c>
      <c r="J513" s="12" t="n">
        <f aca="false">MIN(G513,I513)</f>
        <v>10</v>
      </c>
      <c r="K513" s="12" t="n">
        <f aca="false">MAX(F513-J513,0)</f>
        <v>0</v>
      </c>
      <c r="L513" s="12" t="n">
        <f aca="false">IF(J513=0,0,F513/J513)</f>
        <v>0.0396</v>
      </c>
      <c r="M513" s="11" t="str">
        <f aca="false">IF(K513&gt;0,"BLOCKED","PASS")</f>
        <v>PASS</v>
      </c>
      <c r="N513" s="11" t="s">
        <v>233</v>
      </c>
    </row>
    <row r="514" customFormat="false" ht="15" hidden="false" customHeight="false" outlineLevel="0" collapsed="false">
      <c r="A514" s="11" t="s">
        <v>111</v>
      </c>
      <c r="B514" s="11" t="s">
        <v>126</v>
      </c>
      <c r="C514" s="11" t="s">
        <v>93</v>
      </c>
      <c r="D514" s="11" t="s">
        <v>234</v>
      </c>
      <c r="E514" s="11" t="s">
        <v>95</v>
      </c>
      <c r="F514" s="12" t="n">
        <f aca="false">SUMIFS(СПРОС_ДЕНЬ_ЧАС_МЕНЮ!$I$11:$I$3265,СПРОС_ДЕНЬ_ЧАС_МЕНЮ!$A$11:$A$3265,A514,СПРОС_ДЕНЬ_ЧАС_МЕНЮ!$B$11:$B$3265,B514)</f>
        <v>7.788</v>
      </c>
      <c r="G514" s="12" t="n">
        <f aca="false">ПАРАМЕТРЫ!D27</f>
        <v>60</v>
      </c>
      <c r="H514" s="12" t="n">
        <f aca="false">SUMIFS(ШТАТ_ПО_ЧАСАМ!$C$11:$C$115,ШТАТ_ПО_ЧАСАМ!$A$11:$A$115,A514,ШТАТ_ПО_ЧАСАМ!$B$11:$B$115,B514)</f>
        <v>1</v>
      </c>
      <c r="I514" s="12" t="n">
        <f aca="false">H514*ПАРАМЕТРЫ!E27</f>
        <v>16.6666666666667</v>
      </c>
      <c r="J514" s="12" t="n">
        <f aca="false">MIN(G514,I514)</f>
        <v>16.6666666666667</v>
      </c>
      <c r="K514" s="12" t="n">
        <f aca="false">MAX(F514-J514,0)</f>
        <v>0</v>
      </c>
      <c r="L514" s="12" t="n">
        <f aca="false">IF(J514=0,0,F514/J514)</f>
        <v>0.46728</v>
      </c>
      <c r="M514" s="11" t="str">
        <f aca="false">IF(K514&gt;0,"BLOCKED","PASS")</f>
        <v>PASS</v>
      </c>
      <c r="N514" s="11" t="s">
        <v>235</v>
      </c>
    </row>
    <row r="515" customFormat="false" ht="23.85" hidden="false" customHeight="false" outlineLevel="0" collapsed="false">
      <c r="A515" s="11" t="s">
        <v>111</v>
      </c>
      <c r="B515" s="11" t="s">
        <v>127</v>
      </c>
      <c r="C515" s="11" t="s">
        <v>73</v>
      </c>
      <c r="D515" s="11" t="s">
        <v>74</v>
      </c>
      <c r="E515" s="11" t="s">
        <v>75</v>
      </c>
      <c r="F515" s="12" t="n">
        <f aca="false">SUMIFS(СПРОС_ДЕНЬ_ЧАС_МЕНЮ!$I$11:$I$3265,СПРОС_ДЕНЬ_ЧАС_МЕНЮ!$A$11:$A$3265,A515,СПРОС_ДЕНЬ_ЧАС_МЕНЮ!$B$11:$B$3265,B515,СПРОС_ДЕНЬ_ЧАС_МЕНЮ!$F$11:$F$3265,C515)</f>
        <v>0</v>
      </c>
      <c r="G515" s="12" t="n">
        <f aca="false">ПАРАМЕТРЫ!D20</f>
        <v>25</v>
      </c>
      <c r="H515" s="12" t="n">
        <f aca="false">SUMIFS(ШТАТ_ПО_ЧАСАМ!$C$11:$C$115,ШТАТ_ПО_ЧАСАМ!$A$11:$A$115,A515,ШТАТ_ПО_ЧАСАМ!$B$11:$B$115,B515)</f>
        <v>1</v>
      </c>
      <c r="I515" s="12" t="n">
        <f aca="false">MIN(H515,1)*ПАРАМЕТРЫ!E20</f>
        <v>10</v>
      </c>
      <c r="J515" s="12" t="n">
        <f aca="false">MIN(G515,I515)</f>
        <v>10</v>
      </c>
      <c r="K515" s="12" t="n">
        <f aca="false">MAX(F515-J515,0)</f>
        <v>0</v>
      </c>
      <c r="L515" s="12" t="n">
        <f aca="false">IF(J515=0,0,F515/J515)</f>
        <v>0</v>
      </c>
      <c r="M515" s="11" t="str">
        <f aca="false">IF(K515&gt;0,"BLOCKED","PASS")</f>
        <v>PASS</v>
      </c>
      <c r="N515" s="11" t="s">
        <v>233</v>
      </c>
    </row>
    <row r="516" customFormat="false" ht="23.85" hidden="false" customHeight="false" outlineLevel="0" collapsed="false">
      <c r="A516" s="11" t="s">
        <v>111</v>
      </c>
      <c r="B516" s="11" t="s">
        <v>127</v>
      </c>
      <c r="C516" s="11" t="s">
        <v>77</v>
      </c>
      <c r="D516" s="11" t="s">
        <v>78</v>
      </c>
      <c r="E516" s="11" t="s">
        <v>79</v>
      </c>
      <c r="F516" s="12" t="n">
        <f aca="false">SUMIFS(СПРОС_ДЕНЬ_ЧАС_МЕНЮ!$I$11:$I$3265,СПРОС_ДЕНЬ_ЧАС_МЕНЮ!$A$11:$A$3265,A516,СПРОС_ДЕНЬ_ЧАС_МЕНЮ!$B$11:$B$3265,B516,СПРОС_ДЕНЬ_ЧАС_МЕНЮ!$F$11:$F$3265,C516)</f>
        <v>0.792</v>
      </c>
      <c r="G516" s="12" t="n">
        <f aca="false">ПАРАМЕТРЫ!D21</f>
        <v>20</v>
      </c>
      <c r="H516" s="12" t="n">
        <f aca="false">SUMIFS(ШТАТ_ПО_ЧАСАМ!$C$11:$C$115,ШТАТ_ПО_ЧАСАМ!$A$11:$A$115,A516,ШТАТ_ПО_ЧАСАМ!$B$11:$B$115,B516)</f>
        <v>1</v>
      </c>
      <c r="I516" s="12" t="n">
        <f aca="false">MIN(H516,1)*ПАРАМЕТРЫ!E21</f>
        <v>10</v>
      </c>
      <c r="J516" s="12" t="n">
        <f aca="false">MIN(G516,I516)</f>
        <v>10</v>
      </c>
      <c r="K516" s="12" t="n">
        <f aca="false">MAX(F516-J516,0)</f>
        <v>0</v>
      </c>
      <c r="L516" s="12" t="n">
        <f aca="false">IF(J516=0,0,F516/J516)</f>
        <v>0.0792</v>
      </c>
      <c r="M516" s="11" t="str">
        <f aca="false">IF(K516&gt;0,"BLOCKED","PASS")</f>
        <v>PASS</v>
      </c>
      <c r="N516" s="11" t="s">
        <v>233</v>
      </c>
    </row>
    <row r="517" customFormat="false" ht="23.85" hidden="false" customHeight="false" outlineLevel="0" collapsed="false">
      <c r="A517" s="11" t="s">
        <v>111</v>
      </c>
      <c r="B517" s="11" t="s">
        <v>127</v>
      </c>
      <c r="C517" s="11" t="s">
        <v>80</v>
      </c>
      <c r="D517" s="11" t="s">
        <v>81</v>
      </c>
      <c r="E517" s="11" t="s">
        <v>82</v>
      </c>
      <c r="F517" s="12" t="n">
        <f aca="false">SUMIFS(СПРОС_ДЕНЬ_ЧАС_МЕНЮ!$I$11:$I$3265,СПРОС_ДЕНЬ_ЧАС_МЕНЮ!$A$11:$A$3265,A517,СПРОС_ДЕНЬ_ЧАС_МЕНЮ!$B$11:$B$3265,B517,СПРОС_ДЕНЬ_ЧАС_МЕНЮ!$F$11:$F$3265,C517)</f>
        <v>0</v>
      </c>
      <c r="G517" s="12" t="n">
        <f aca="false">ПАРАМЕТРЫ!D22</f>
        <v>16</v>
      </c>
      <c r="H517" s="12" t="n">
        <f aca="false">SUMIFS(ШТАТ_ПО_ЧАСАМ!$C$11:$C$115,ШТАТ_ПО_ЧАСАМ!$A$11:$A$115,A517,ШТАТ_ПО_ЧАСАМ!$B$11:$B$115,B517)</f>
        <v>1</v>
      </c>
      <c r="I517" s="12" t="n">
        <f aca="false">MIN(H517,1)*ПАРАМЕТРЫ!E22</f>
        <v>16</v>
      </c>
      <c r="J517" s="12" t="n">
        <f aca="false">MIN(G517,I517)</f>
        <v>16</v>
      </c>
      <c r="K517" s="12" t="n">
        <f aca="false">MAX(F517-J517,0)</f>
        <v>0</v>
      </c>
      <c r="L517" s="12" t="n">
        <f aca="false">IF(J517=0,0,F517/J517)</f>
        <v>0</v>
      </c>
      <c r="M517" s="11" t="str">
        <f aca="false">IF(K517&gt;0,"BLOCKED","PASS")</f>
        <v>PASS</v>
      </c>
      <c r="N517" s="11" t="s">
        <v>233</v>
      </c>
    </row>
    <row r="518" customFormat="false" ht="23.85" hidden="false" customHeight="false" outlineLevel="0" collapsed="false">
      <c r="A518" s="11" t="s">
        <v>111</v>
      </c>
      <c r="B518" s="11" t="s">
        <v>127</v>
      </c>
      <c r="C518" s="11" t="s">
        <v>83</v>
      </c>
      <c r="D518" s="11" t="s">
        <v>84</v>
      </c>
      <c r="E518" s="11" t="s">
        <v>83</v>
      </c>
      <c r="F518" s="12" t="n">
        <f aca="false">SUMIFS(СПРОС_ДЕНЬ_ЧАС_МЕНЮ!$I$11:$I$3265,СПРОС_ДЕНЬ_ЧАС_МЕНЮ!$A$11:$A$3265,A518,СПРОС_ДЕНЬ_ЧАС_МЕНЮ!$B$11:$B$3265,B518,СПРОС_ДЕНЬ_ЧАС_МЕНЮ!$F$11:$F$3265,C518)</f>
        <v>0</v>
      </c>
      <c r="G518" s="12" t="n">
        <f aca="false">ПАРАМЕТРЫ!D23</f>
        <v>21</v>
      </c>
      <c r="H518" s="12" t="n">
        <f aca="false">SUMIFS(ШТАТ_ПО_ЧАСАМ!$C$11:$C$115,ШТАТ_ПО_ЧАСАМ!$A$11:$A$115,A518,ШТАТ_ПО_ЧАСАМ!$B$11:$B$115,B518)</f>
        <v>1</v>
      </c>
      <c r="I518" s="12" t="n">
        <f aca="false">MIN(H518,1)*ПАРАМЕТРЫ!E23</f>
        <v>21</v>
      </c>
      <c r="J518" s="12" t="n">
        <f aca="false">MIN(G518,I518)</f>
        <v>21</v>
      </c>
      <c r="K518" s="12" t="n">
        <f aca="false">MAX(F518-J518,0)</f>
        <v>0</v>
      </c>
      <c r="L518" s="12" t="n">
        <f aca="false">IF(J518=0,0,F518/J518)</f>
        <v>0</v>
      </c>
      <c r="M518" s="11" t="str">
        <f aca="false">IF(K518&gt;0,"BLOCKED","PASS")</f>
        <v>PASS</v>
      </c>
      <c r="N518" s="11" t="s">
        <v>233</v>
      </c>
    </row>
    <row r="519" customFormat="false" ht="23.85" hidden="false" customHeight="false" outlineLevel="0" collapsed="false">
      <c r="A519" s="11" t="s">
        <v>111</v>
      </c>
      <c r="B519" s="11" t="s">
        <v>127</v>
      </c>
      <c r="C519" s="11" t="s">
        <v>85</v>
      </c>
      <c r="D519" s="11" t="s">
        <v>86</v>
      </c>
      <c r="E519" s="11" t="s">
        <v>87</v>
      </c>
      <c r="F519" s="12" t="n">
        <f aca="false">SUMIFS(СПРОС_ДЕНЬ_ЧАС_МЕНЮ!$I$11:$I$3265,СПРОС_ДЕНЬ_ЧАС_МЕНЮ!$A$11:$A$3265,A519,СПРОС_ДЕНЬ_ЧАС_МЕНЮ!$B$11:$B$3265,B519,СПРОС_ДЕНЬ_ЧАС_МЕНЮ!$F$11:$F$3265,C519)</f>
        <v>0</v>
      </c>
      <c r="G519" s="12" t="n">
        <f aca="false">ПАРАМЕТРЫ!D24</f>
        <v>12</v>
      </c>
      <c r="H519" s="12" t="n">
        <f aca="false">SUMIFS(ШТАТ_ПО_ЧАСАМ!$C$11:$C$115,ШТАТ_ПО_ЧАСАМ!$A$11:$A$115,A519,ШТАТ_ПО_ЧАСАМ!$B$11:$B$115,B519)</f>
        <v>1</v>
      </c>
      <c r="I519" s="12" t="n">
        <f aca="false">MIN(H519,1)*ПАРАМЕТРЫ!E24</f>
        <v>12</v>
      </c>
      <c r="J519" s="12" t="n">
        <f aca="false">MIN(G519,I519)</f>
        <v>12</v>
      </c>
      <c r="K519" s="12" t="n">
        <f aca="false">MAX(F519-J519,0)</f>
        <v>0</v>
      </c>
      <c r="L519" s="12" t="n">
        <f aca="false">IF(J519=0,0,F519/J519)</f>
        <v>0</v>
      </c>
      <c r="M519" s="11" t="str">
        <f aca="false">IF(K519&gt;0,"BLOCKED","PASS")</f>
        <v>PASS</v>
      </c>
      <c r="N519" s="11" t="s">
        <v>233</v>
      </c>
    </row>
    <row r="520" customFormat="false" ht="23.85" hidden="false" customHeight="false" outlineLevel="0" collapsed="false">
      <c r="A520" s="11" t="s">
        <v>111</v>
      </c>
      <c r="B520" s="11" t="s">
        <v>127</v>
      </c>
      <c r="C520" s="11" t="s">
        <v>88</v>
      </c>
      <c r="D520" s="11" t="s">
        <v>89</v>
      </c>
      <c r="E520" s="11" t="s">
        <v>90</v>
      </c>
      <c r="F520" s="12" t="n">
        <f aca="false">SUMIFS(СПРОС_ДЕНЬ_ЧАС_МЕНЮ!$I$11:$I$3265,СПРОС_ДЕНЬ_ЧАС_МЕНЮ!$A$11:$A$3265,A520,СПРОС_ДЕНЬ_ЧАС_МЕНЮ!$B$11:$B$3265,B520,СПРОС_ДЕНЬ_ЧАС_МЕНЮ!$F$11:$F$3265,C520)</f>
        <v>3.3</v>
      </c>
      <c r="G520" s="12" t="n">
        <f aca="false">ПАРАМЕТРЫ!D25</f>
        <v>15</v>
      </c>
      <c r="H520" s="12" t="n">
        <f aca="false">SUMIFS(ШТАТ_ПО_ЧАСАМ!$C$11:$C$115,ШТАТ_ПО_ЧАСАМ!$A$11:$A$115,A520,ШТАТ_ПО_ЧАСАМ!$B$11:$B$115,B520)</f>
        <v>1</v>
      </c>
      <c r="I520" s="12" t="n">
        <f aca="false">MIN(H520,1)*ПАРАМЕТРЫ!E25</f>
        <v>10</v>
      </c>
      <c r="J520" s="12" t="n">
        <f aca="false">MIN(G520,I520)</f>
        <v>10</v>
      </c>
      <c r="K520" s="12" t="n">
        <f aca="false">MAX(F520-J520,0)</f>
        <v>0</v>
      </c>
      <c r="L520" s="12" t="n">
        <f aca="false">IF(J520=0,0,F520/J520)</f>
        <v>0.33</v>
      </c>
      <c r="M520" s="11" t="str">
        <f aca="false">IF(K520&gt;0,"BLOCKED","PASS")</f>
        <v>PASS</v>
      </c>
      <c r="N520" s="11" t="s">
        <v>233</v>
      </c>
    </row>
    <row r="521" customFormat="false" ht="23.85" hidden="false" customHeight="false" outlineLevel="0" collapsed="false">
      <c r="A521" s="11" t="s">
        <v>111</v>
      </c>
      <c r="B521" s="11" t="s">
        <v>127</v>
      </c>
      <c r="C521" s="11" t="s">
        <v>91</v>
      </c>
      <c r="D521" s="11" t="s">
        <v>92</v>
      </c>
      <c r="E521" s="11" t="s">
        <v>79</v>
      </c>
      <c r="F521" s="12" t="n">
        <f aca="false">SUMIFS(СПРОС_ДЕНЬ_ЧАС_МЕНЮ!$I$11:$I$3265,СПРОС_ДЕНЬ_ЧАС_МЕНЮ!$A$11:$A$3265,A521,СПРОС_ДЕНЬ_ЧАС_МЕНЮ!$B$11:$B$3265,B521,СПРОС_ДЕНЬ_ЧАС_МЕНЮ!$F$11:$F$3265,C521)</f>
        <v>0.396</v>
      </c>
      <c r="G521" s="12" t="n">
        <f aca="false">ПАРАМЕТРЫ!D26</f>
        <v>20</v>
      </c>
      <c r="H521" s="12" t="n">
        <f aca="false">SUMIFS(ШТАТ_ПО_ЧАСАМ!$C$11:$C$115,ШТАТ_ПО_ЧАСАМ!$A$11:$A$115,A521,ШТАТ_ПО_ЧАСАМ!$B$11:$B$115,B521)</f>
        <v>1</v>
      </c>
      <c r="I521" s="12" t="n">
        <f aca="false">MIN(H521,1)*ПАРАМЕТРЫ!E26</f>
        <v>10</v>
      </c>
      <c r="J521" s="12" t="n">
        <f aca="false">MIN(G521,I521)</f>
        <v>10</v>
      </c>
      <c r="K521" s="12" t="n">
        <f aca="false">MAX(F521-J521,0)</f>
        <v>0</v>
      </c>
      <c r="L521" s="12" t="n">
        <f aca="false">IF(J521=0,0,F521/J521)</f>
        <v>0.0396</v>
      </c>
      <c r="M521" s="11" t="str">
        <f aca="false">IF(K521&gt;0,"BLOCKED","PASS")</f>
        <v>PASS</v>
      </c>
      <c r="N521" s="11" t="s">
        <v>233</v>
      </c>
    </row>
    <row r="522" customFormat="false" ht="15" hidden="false" customHeight="false" outlineLevel="0" collapsed="false">
      <c r="A522" s="11" t="s">
        <v>111</v>
      </c>
      <c r="B522" s="11" t="s">
        <v>127</v>
      </c>
      <c r="C522" s="11" t="s">
        <v>93</v>
      </c>
      <c r="D522" s="11" t="s">
        <v>234</v>
      </c>
      <c r="E522" s="11" t="s">
        <v>95</v>
      </c>
      <c r="F522" s="12" t="n">
        <f aca="false">SUMIFS(СПРОС_ДЕНЬ_ЧАС_МЕНЮ!$I$11:$I$3265,СПРОС_ДЕНЬ_ЧАС_МЕНЮ!$A$11:$A$3265,A522,СПРОС_ДЕНЬ_ЧАС_МЕНЮ!$B$11:$B$3265,B522)</f>
        <v>4.488</v>
      </c>
      <c r="G522" s="12" t="n">
        <f aca="false">ПАРАМЕТРЫ!D27</f>
        <v>60</v>
      </c>
      <c r="H522" s="12" t="n">
        <f aca="false">SUMIFS(ШТАТ_ПО_ЧАСАМ!$C$11:$C$115,ШТАТ_ПО_ЧАСАМ!$A$11:$A$115,A522,ШТАТ_ПО_ЧАСАМ!$B$11:$B$115,B522)</f>
        <v>1</v>
      </c>
      <c r="I522" s="12" t="n">
        <f aca="false">H522*ПАРАМЕТРЫ!E27</f>
        <v>16.6666666666667</v>
      </c>
      <c r="J522" s="12" t="n">
        <f aca="false">MIN(G522,I522)</f>
        <v>16.6666666666667</v>
      </c>
      <c r="K522" s="12" t="n">
        <f aca="false">MAX(F522-J522,0)</f>
        <v>0</v>
      </c>
      <c r="L522" s="12" t="n">
        <f aca="false">IF(J522=0,0,F522/J522)</f>
        <v>0.26928</v>
      </c>
      <c r="M522" s="11" t="str">
        <f aca="false">IF(K522&gt;0,"BLOCKED","PASS")</f>
        <v>PASS</v>
      </c>
      <c r="N522" s="11" t="s">
        <v>235</v>
      </c>
    </row>
    <row r="523" customFormat="false" ht="23.85" hidden="false" customHeight="false" outlineLevel="0" collapsed="false">
      <c r="A523" s="11" t="s">
        <v>111</v>
      </c>
      <c r="B523" s="11" t="s">
        <v>128</v>
      </c>
      <c r="C523" s="11" t="s">
        <v>73</v>
      </c>
      <c r="D523" s="11" t="s">
        <v>74</v>
      </c>
      <c r="E523" s="11" t="s">
        <v>75</v>
      </c>
      <c r="F523" s="12" t="n">
        <f aca="false">SUMIFS(СПРОС_ДЕНЬ_ЧАС_МЕНЮ!$I$11:$I$3265,СПРОС_ДЕНЬ_ЧАС_МЕНЮ!$A$11:$A$3265,A523,СПРОС_ДЕНЬ_ЧАС_МЕНЮ!$B$11:$B$3265,B523,СПРОС_ДЕНЬ_ЧАС_МЕНЮ!$F$11:$F$3265,C523)</f>
        <v>1.551</v>
      </c>
      <c r="G523" s="12" t="n">
        <f aca="false">ПАРАМЕТРЫ!D20</f>
        <v>25</v>
      </c>
      <c r="H523" s="12" t="n">
        <f aca="false">SUMIFS(ШТАТ_ПО_ЧАСАМ!$C$11:$C$115,ШТАТ_ПО_ЧАСАМ!$A$11:$A$115,A523,ШТАТ_ПО_ЧАСАМ!$B$11:$B$115,B523)</f>
        <v>2</v>
      </c>
      <c r="I523" s="12" t="n">
        <f aca="false">MIN(H523,1)*ПАРАМЕТРЫ!E20</f>
        <v>10</v>
      </c>
      <c r="J523" s="12" t="n">
        <f aca="false">MIN(G523,I523)</f>
        <v>10</v>
      </c>
      <c r="K523" s="12" t="n">
        <f aca="false">MAX(F523-J523,0)</f>
        <v>0</v>
      </c>
      <c r="L523" s="12" t="n">
        <f aca="false">IF(J523=0,0,F523/J523)</f>
        <v>0.1551</v>
      </c>
      <c r="M523" s="11" t="str">
        <f aca="false">IF(K523&gt;0,"BLOCKED","PASS")</f>
        <v>PASS</v>
      </c>
      <c r="N523" s="11" t="s">
        <v>233</v>
      </c>
    </row>
    <row r="524" customFormat="false" ht="23.85" hidden="false" customHeight="false" outlineLevel="0" collapsed="false">
      <c r="A524" s="11" t="s">
        <v>111</v>
      </c>
      <c r="B524" s="11" t="s">
        <v>128</v>
      </c>
      <c r="C524" s="11" t="s">
        <v>77</v>
      </c>
      <c r="D524" s="11" t="s">
        <v>78</v>
      </c>
      <c r="E524" s="11" t="s">
        <v>79</v>
      </c>
      <c r="F524" s="12" t="n">
        <f aca="false">SUMIFS(СПРОС_ДЕНЬ_ЧАС_МЕНЮ!$I$11:$I$3265,СПРОС_ДЕНЬ_ЧАС_МЕНЮ!$A$11:$A$3265,A524,СПРОС_ДЕНЬ_ЧАС_МЕНЮ!$B$11:$B$3265,B524,СПРОС_ДЕНЬ_ЧАС_МЕНЮ!$F$11:$F$3265,C524)</f>
        <v>1.5642</v>
      </c>
      <c r="G524" s="12" t="n">
        <f aca="false">ПАРАМЕТРЫ!D21</f>
        <v>20</v>
      </c>
      <c r="H524" s="12" t="n">
        <f aca="false">SUMIFS(ШТАТ_ПО_ЧАСАМ!$C$11:$C$115,ШТАТ_ПО_ЧАСАМ!$A$11:$A$115,A524,ШТАТ_ПО_ЧАСАМ!$B$11:$B$115,B524)</f>
        <v>2</v>
      </c>
      <c r="I524" s="12" t="n">
        <f aca="false">MIN(H524,1)*ПАРАМЕТРЫ!E21</f>
        <v>10</v>
      </c>
      <c r="J524" s="12" t="n">
        <f aca="false">MIN(G524,I524)</f>
        <v>10</v>
      </c>
      <c r="K524" s="12" t="n">
        <f aca="false">MAX(F524-J524,0)</f>
        <v>0</v>
      </c>
      <c r="L524" s="12" t="n">
        <f aca="false">IF(J524=0,0,F524/J524)</f>
        <v>0.15642</v>
      </c>
      <c r="M524" s="11" t="str">
        <f aca="false">IF(K524&gt;0,"BLOCKED","PASS")</f>
        <v>PASS</v>
      </c>
      <c r="N524" s="11" t="s">
        <v>233</v>
      </c>
    </row>
    <row r="525" customFormat="false" ht="23.85" hidden="false" customHeight="false" outlineLevel="0" collapsed="false">
      <c r="A525" s="11" t="s">
        <v>111</v>
      </c>
      <c r="B525" s="11" t="s">
        <v>128</v>
      </c>
      <c r="C525" s="11" t="s">
        <v>80</v>
      </c>
      <c r="D525" s="11" t="s">
        <v>81</v>
      </c>
      <c r="E525" s="11" t="s">
        <v>82</v>
      </c>
      <c r="F525" s="12" t="n">
        <f aca="false">SUMIFS(СПРОС_ДЕНЬ_ЧАС_МЕНЮ!$I$11:$I$3265,СПРОС_ДЕНЬ_ЧАС_МЕНЮ!$A$11:$A$3265,A525,СПРОС_ДЕНЬ_ЧАС_МЕНЮ!$B$11:$B$3265,B525,СПРОС_ДЕНЬ_ЧАС_МЕНЮ!$F$11:$F$3265,C525)</f>
        <v>2.4805</v>
      </c>
      <c r="G525" s="12" t="n">
        <f aca="false">ПАРАМЕТРЫ!D22</f>
        <v>16</v>
      </c>
      <c r="H525" s="12" t="n">
        <f aca="false">SUMIFS(ШТАТ_ПО_ЧАСАМ!$C$11:$C$115,ШТАТ_ПО_ЧАСАМ!$A$11:$A$115,A525,ШТАТ_ПО_ЧАСАМ!$B$11:$B$115,B525)</f>
        <v>2</v>
      </c>
      <c r="I525" s="12" t="n">
        <f aca="false">MIN(H525,1)*ПАРАМЕТРЫ!E22</f>
        <v>16</v>
      </c>
      <c r="J525" s="12" t="n">
        <f aca="false">MIN(G525,I525)</f>
        <v>16</v>
      </c>
      <c r="K525" s="12" t="n">
        <f aca="false">MAX(F525-J525,0)</f>
        <v>0</v>
      </c>
      <c r="L525" s="12" t="n">
        <f aca="false">IF(J525=0,0,F525/J525)</f>
        <v>0.15503125</v>
      </c>
      <c r="M525" s="11" t="str">
        <f aca="false">IF(K525&gt;0,"BLOCKED","PASS")</f>
        <v>PASS</v>
      </c>
      <c r="N525" s="11" t="s">
        <v>233</v>
      </c>
    </row>
    <row r="526" customFormat="false" ht="23.85" hidden="false" customHeight="false" outlineLevel="0" collapsed="false">
      <c r="A526" s="11" t="s">
        <v>111</v>
      </c>
      <c r="B526" s="11" t="s">
        <v>128</v>
      </c>
      <c r="C526" s="11" t="s">
        <v>83</v>
      </c>
      <c r="D526" s="11" t="s">
        <v>84</v>
      </c>
      <c r="E526" s="11" t="s">
        <v>83</v>
      </c>
      <c r="F526" s="12" t="n">
        <f aca="false">SUMIFS(СПРОС_ДЕНЬ_ЧАС_МЕНЮ!$I$11:$I$3265,СПРОС_ДЕНЬ_ЧАС_МЕНЮ!$A$11:$A$3265,A526,СПРОС_ДЕНЬ_ЧАС_МЕНЮ!$B$11:$B$3265,B526,СПРОС_ДЕНЬ_ЧАС_МЕНЮ!$F$11:$F$3265,C526)</f>
        <v>6.48175</v>
      </c>
      <c r="G526" s="12" t="n">
        <f aca="false">ПАРАМЕТРЫ!D23</f>
        <v>21</v>
      </c>
      <c r="H526" s="12" t="n">
        <f aca="false">SUMIFS(ШТАТ_ПО_ЧАСАМ!$C$11:$C$115,ШТАТ_ПО_ЧАСАМ!$A$11:$A$115,A526,ШТАТ_ПО_ЧАСАМ!$B$11:$B$115,B526)</f>
        <v>2</v>
      </c>
      <c r="I526" s="12" t="n">
        <f aca="false">MIN(H526,1)*ПАРАМЕТРЫ!E23</f>
        <v>21</v>
      </c>
      <c r="J526" s="12" t="n">
        <f aca="false">MIN(G526,I526)</f>
        <v>21</v>
      </c>
      <c r="K526" s="12" t="n">
        <f aca="false">MAX(F526-J526,0)</f>
        <v>0</v>
      </c>
      <c r="L526" s="12" t="n">
        <f aca="false">IF(J526=0,0,F526/J526)</f>
        <v>0.308654761904762</v>
      </c>
      <c r="M526" s="11" t="str">
        <f aca="false">IF(K526&gt;0,"BLOCKED","PASS")</f>
        <v>PASS</v>
      </c>
      <c r="N526" s="11" t="s">
        <v>233</v>
      </c>
    </row>
    <row r="527" customFormat="false" ht="23.85" hidden="false" customHeight="false" outlineLevel="0" collapsed="false">
      <c r="A527" s="11" t="s">
        <v>111</v>
      </c>
      <c r="B527" s="11" t="s">
        <v>128</v>
      </c>
      <c r="C527" s="11" t="s">
        <v>85</v>
      </c>
      <c r="D527" s="11" t="s">
        <v>86</v>
      </c>
      <c r="E527" s="11" t="s">
        <v>87</v>
      </c>
      <c r="F527" s="12" t="n">
        <f aca="false">SUMIFS(СПРОС_ДЕНЬ_ЧАС_МЕНЮ!$I$11:$I$3265,СПРОС_ДЕНЬ_ЧАС_МЕНЮ!$A$11:$A$3265,A527,СПРОС_ДЕНЬ_ЧАС_МЕНЮ!$B$11:$B$3265,B527,СПРОС_ДЕНЬ_ЧАС_МЕНЮ!$F$11:$F$3265,C527)</f>
        <v>2.64424875</v>
      </c>
      <c r="G527" s="12" t="n">
        <f aca="false">ПАРАМЕТРЫ!D24</f>
        <v>12</v>
      </c>
      <c r="H527" s="12" t="n">
        <f aca="false">SUMIFS(ШТАТ_ПО_ЧАСАМ!$C$11:$C$115,ШТАТ_ПО_ЧАСАМ!$A$11:$A$115,A527,ШТАТ_ПО_ЧАСАМ!$B$11:$B$115,B527)</f>
        <v>2</v>
      </c>
      <c r="I527" s="12" t="n">
        <f aca="false">MIN(H527,1)*ПАРАМЕТРЫ!E24</f>
        <v>12</v>
      </c>
      <c r="J527" s="12" t="n">
        <f aca="false">MIN(G527,I527)</f>
        <v>12</v>
      </c>
      <c r="K527" s="12" t="n">
        <f aca="false">MAX(F527-J527,0)</f>
        <v>0</v>
      </c>
      <c r="L527" s="12" t="n">
        <f aca="false">IF(J527=0,0,F527/J527)</f>
        <v>0.2203540625</v>
      </c>
      <c r="M527" s="11" t="str">
        <f aca="false">IF(K527&gt;0,"BLOCKED","PASS")</f>
        <v>PASS</v>
      </c>
      <c r="N527" s="11" t="s">
        <v>233</v>
      </c>
    </row>
    <row r="528" customFormat="false" ht="23.85" hidden="false" customHeight="false" outlineLevel="0" collapsed="false">
      <c r="A528" s="11" t="s">
        <v>111</v>
      </c>
      <c r="B528" s="11" t="s">
        <v>128</v>
      </c>
      <c r="C528" s="11" t="s">
        <v>88</v>
      </c>
      <c r="D528" s="11" t="s">
        <v>89</v>
      </c>
      <c r="E528" s="11" t="s">
        <v>90</v>
      </c>
      <c r="F528" s="12" t="n">
        <f aca="false">SUMIFS(СПРОС_ДЕНЬ_ЧАС_МЕНЮ!$I$11:$I$3265,СПРОС_ДЕНЬ_ЧАС_МЕНЮ!$A$11:$A$3265,A528,СПРОС_ДЕНЬ_ЧАС_МЕНЮ!$B$11:$B$3265,B528,СПРОС_ДЕНЬ_ЧАС_МЕНЮ!$F$11:$F$3265,C528)</f>
        <v>1.1</v>
      </c>
      <c r="G528" s="12" t="n">
        <f aca="false">ПАРАМЕТРЫ!D25</f>
        <v>15</v>
      </c>
      <c r="H528" s="12" t="n">
        <f aca="false">SUMIFS(ШТАТ_ПО_ЧАСАМ!$C$11:$C$115,ШТАТ_ПО_ЧАСАМ!$A$11:$A$115,A528,ШТАТ_ПО_ЧАСАМ!$B$11:$B$115,B528)</f>
        <v>2</v>
      </c>
      <c r="I528" s="12" t="n">
        <f aca="false">MIN(H528,1)*ПАРАМЕТРЫ!E25</f>
        <v>10</v>
      </c>
      <c r="J528" s="12" t="n">
        <f aca="false">MIN(G528,I528)</f>
        <v>10</v>
      </c>
      <c r="K528" s="12" t="n">
        <f aca="false">MAX(F528-J528,0)</f>
        <v>0</v>
      </c>
      <c r="L528" s="12" t="n">
        <f aca="false">IF(J528=0,0,F528/J528)</f>
        <v>0.11</v>
      </c>
      <c r="M528" s="11" t="str">
        <f aca="false">IF(K528&gt;0,"BLOCKED","PASS")</f>
        <v>PASS</v>
      </c>
      <c r="N528" s="11" t="s">
        <v>233</v>
      </c>
    </row>
    <row r="529" customFormat="false" ht="23.85" hidden="false" customHeight="false" outlineLevel="0" collapsed="false">
      <c r="A529" s="11" t="s">
        <v>111</v>
      </c>
      <c r="B529" s="11" t="s">
        <v>128</v>
      </c>
      <c r="C529" s="11" t="s">
        <v>91</v>
      </c>
      <c r="D529" s="11" t="s">
        <v>92</v>
      </c>
      <c r="E529" s="11" t="s">
        <v>79</v>
      </c>
      <c r="F529" s="12" t="n">
        <f aca="false">SUMIFS(СПРОС_ДЕНЬ_ЧАС_МЕНЮ!$I$11:$I$3265,СПРОС_ДЕНЬ_ЧАС_МЕНЮ!$A$11:$A$3265,A529,СПРОС_ДЕНЬ_ЧАС_МЕНЮ!$B$11:$B$3265,B529,СПРОС_ДЕНЬ_ЧАС_МЕНЮ!$F$11:$F$3265,C529)</f>
        <v>0.75075</v>
      </c>
      <c r="G529" s="12" t="n">
        <f aca="false">ПАРАМЕТРЫ!D26</f>
        <v>20</v>
      </c>
      <c r="H529" s="12" t="n">
        <f aca="false">SUMIFS(ШТАТ_ПО_ЧАСАМ!$C$11:$C$115,ШТАТ_ПО_ЧАСАМ!$A$11:$A$115,A529,ШТАТ_ПО_ЧАСАМ!$B$11:$B$115,B529)</f>
        <v>2</v>
      </c>
      <c r="I529" s="12" t="n">
        <f aca="false">MIN(H529,1)*ПАРАМЕТРЫ!E26</f>
        <v>10</v>
      </c>
      <c r="J529" s="12" t="n">
        <f aca="false">MIN(G529,I529)</f>
        <v>10</v>
      </c>
      <c r="K529" s="12" t="n">
        <f aca="false">MAX(F529-J529,0)</f>
        <v>0</v>
      </c>
      <c r="L529" s="12" t="n">
        <f aca="false">IF(J529=0,0,F529/J529)</f>
        <v>0.075075</v>
      </c>
      <c r="M529" s="11" t="str">
        <f aca="false">IF(K529&gt;0,"BLOCKED","PASS")</f>
        <v>PASS</v>
      </c>
      <c r="N529" s="11" t="s">
        <v>233</v>
      </c>
    </row>
    <row r="530" customFormat="false" ht="15" hidden="false" customHeight="false" outlineLevel="0" collapsed="false">
      <c r="A530" s="11" t="s">
        <v>111</v>
      </c>
      <c r="B530" s="11" t="s">
        <v>128</v>
      </c>
      <c r="C530" s="11" t="s">
        <v>93</v>
      </c>
      <c r="D530" s="11" t="s">
        <v>234</v>
      </c>
      <c r="E530" s="11" t="s">
        <v>95</v>
      </c>
      <c r="F530" s="12" t="n">
        <f aca="false">SUMIFS(СПРОС_ДЕНЬ_ЧАС_МЕНЮ!$I$11:$I$3265,СПРОС_ДЕНЬ_ЧАС_МЕНЮ!$A$11:$A$3265,A530,СПРОС_ДЕНЬ_ЧАС_МЕНЮ!$B$11:$B$3265,B530)</f>
        <v>16.57244875</v>
      </c>
      <c r="G530" s="12" t="n">
        <f aca="false">ПАРАМЕТРЫ!D27</f>
        <v>60</v>
      </c>
      <c r="H530" s="12" t="n">
        <f aca="false">SUMIFS(ШТАТ_ПО_ЧАСАМ!$C$11:$C$115,ШТАТ_ПО_ЧАСАМ!$A$11:$A$115,A530,ШТАТ_ПО_ЧАСАМ!$B$11:$B$115,B530)</f>
        <v>2</v>
      </c>
      <c r="I530" s="12" t="n">
        <f aca="false">H530*ПАРАМЕТРЫ!E27</f>
        <v>33.3333333333333</v>
      </c>
      <c r="J530" s="12" t="n">
        <f aca="false">MIN(G530,I530)</f>
        <v>33.3333333333333</v>
      </c>
      <c r="K530" s="12" t="n">
        <f aca="false">MAX(F530-J530,0)</f>
        <v>0</v>
      </c>
      <c r="L530" s="12" t="n">
        <f aca="false">IF(J530=0,0,F530/J530)</f>
        <v>0.4971734625</v>
      </c>
      <c r="M530" s="11" t="str">
        <f aca="false">IF(K530&gt;0,"BLOCKED","PASS")</f>
        <v>PASS</v>
      </c>
      <c r="N530" s="11" t="s">
        <v>235</v>
      </c>
    </row>
    <row r="531" customFormat="false" ht="23.85" hidden="false" customHeight="false" outlineLevel="0" collapsed="false">
      <c r="A531" s="11" t="s">
        <v>111</v>
      </c>
      <c r="B531" s="11" t="s">
        <v>129</v>
      </c>
      <c r="C531" s="11" t="s">
        <v>73</v>
      </c>
      <c r="D531" s="11" t="s">
        <v>74</v>
      </c>
      <c r="E531" s="11" t="s">
        <v>75</v>
      </c>
      <c r="F531" s="12" t="n">
        <f aca="false">SUMIFS(СПРОС_ДЕНЬ_ЧАС_МЕНЮ!$I$11:$I$3265,СПРОС_ДЕНЬ_ЧАС_МЕНЮ!$A$11:$A$3265,A531,СПРОС_ДЕНЬ_ЧАС_МЕНЮ!$B$11:$B$3265,B531,СПРОС_ДЕНЬ_ЧАС_МЕНЮ!$F$11:$F$3265,C531)</f>
        <v>4.587</v>
      </c>
      <c r="G531" s="12" t="n">
        <f aca="false">ПАРАМЕТРЫ!D20</f>
        <v>25</v>
      </c>
      <c r="H531" s="12" t="n">
        <f aca="false">SUMIFS(ШТАТ_ПО_ЧАСАМ!$C$11:$C$115,ШТАТ_ПО_ЧАСАМ!$A$11:$A$115,A531,ШТАТ_ПО_ЧАСАМ!$B$11:$B$115,B531)</f>
        <v>2</v>
      </c>
      <c r="I531" s="12" t="n">
        <f aca="false">MIN(H531,1)*ПАРАМЕТРЫ!E20</f>
        <v>10</v>
      </c>
      <c r="J531" s="12" t="n">
        <f aca="false">MIN(G531,I531)</f>
        <v>10</v>
      </c>
      <c r="K531" s="12" t="n">
        <f aca="false">MAX(F531-J531,0)</f>
        <v>0</v>
      </c>
      <c r="L531" s="12" t="n">
        <f aca="false">IF(J531=0,0,F531/J531)</f>
        <v>0.4587</v>
      </c>
      <c r="M531" s="11" t="str">
        <f aca="false">IF(K531&gt;0,"BLOCKED","PASS")</f>
        <v>PASS</v>
      </c>
      <c r="N531" s="11" t="s">
        <v>233</v>
      </c>
    </row>
    <row r="532" customFormat="false" ht="23.85" hidden="false" customHeight="false" outlineLevel="0" collapsed="false">
      <c r="A532" s="11" t="s">
        <v>111</v>
      </c>
      <c r="B532" s="11" t="s">
        <v>129</v>
      </c>
      <c r="C532" s="11" t="s">
        <v>77</v>
      </c>
      <c r="D532" s="11" t="s">
        <v>78</v>
      </c>
      <c r="E532" s="11" t="s">
        <v>79</v>
      </c>
      <c r="F532" s="12" t="n">
        <f aca="false">SUMIFS(СПРОС_ДЕНЬ_ЧАС_МЕНЮ!$I$11:$I$3265,СПРОС_ДЕНЬ_ЧАС_МЕНЮ!$A$11:$A$3265,A532,СПРОС_ДЕНЬ_ЧАС_МЕНЮ!$B$11:$B$3265,B532,СПРОС_ДЕНЬ_ЧАС_МЕНЮ!$F$11:$F$3265,C532)</f>
        <v>2.6202</v>
      </c>
      <c r="G532" s="12" t="n">
        <f aca="false">ПАРАМЕТРЫ!D21</f>
        <v>20</v>
      </c>
      <c r="H532" s="12" t="n">
        <f aca="false">SUMIFS(ШТАТ_ПО_ЧАСАМ!$C$11:$C$115,ШТАТ_ПО_ЧАСАМ!$A$11:$A$115,A532,ШТАТ_ПО_ЧАСАМ!$B$11:$B$115,B532)</f>
        <v>2</v>
      </c>
      <c r="I532" s="12" t="n">
        <f aca="false">MIN(H532,1)*ПАРАМЕТРЫ!E21</f>
        <v>10</v>
      </c>
      <c r="J532" s="12" t="n">
        <f aca="false">MIN(G532,I532)</f>
        <v>10</v>
      </c>
      <c r="K532" s="12" t="n">
        <f aca="false">MAX(F532-J532,0)</f>
        <v>0</v>
      </c>
      <c r="L532" s="12" t="n">
        <f aca="false">IF(J532=0,0,F532/J532)</f>
        <v>0.26202</v>
      </c>
      <c r="M532" s="11" t="str">
        <f aca="false">IF(K532&gt;0,"BLOCKED","PASS")</f>
        <v>PASS</v>
      </c>
      <c r="N532" s="11" t="s">
        <v>233</v>
      </c>
    </row>
    <row r="533" customFormat="false" ht="23.85" hidden="false" customHeight="false" outlineLevel="0" collapsed="false">
      <c r="A533" s="11" t="s">
        <v>111</v>
      </c>
      <c r="B533" s="11" t="s">
        <v>129</v>
      </c>
      <c r="C533" s="11" t="s">
        <v>80</v>
      </c>
      <c r="D533" s="11" t="s">
        <v>81</v>
      </c>
      <c r="E533" s="11" t="s">
        <v>82</v>
      </c>
      <c r="F533" s="12" t="n">
        <f aca="false">SUMIFS(СПРОС_ДЕНЬ_ЧАС_МЕНЮ!$I$11:$I$3265,СПРОС_ДЕНЬ_ЧАС_МЕНЮ!$A$11:$A$3265,A533,СПРОС_ДЕНЬ_ЧАС_МЕНЮ!$B$11:$B$3265,B533,СПРОС_ДЕНЬ_ЧАС_МЕНЮ!$F$11:$F$3265,C533)</f>
        <v>7.865</v>
      </c>
      <c r="G533" s="12" t="n">
        <f aca="false">ПАРАМЕТРЫ!D22</f>
        <v>16</v>
      </c>
      <c r="H533" s="12" t="n">
        <f aca="false">SUMIFS(ШТАТ_ПО_ЧАСАМ!$C$11:$C$115,ШТАТ_ПО_ЧАСАМ!$A$11:$A$115,A533,ШТАТ_ПО_ЧАСАМ!$B$11:$B$115,B533)</f>
        <v>2</v>
      </c>
      <c r="I533" s="12" t="n">
        <f aca="false">MIN(H533,1)*ПАРАМЕТРЫ!E22</f>
        <v>16</v>
      </c>
      <c r="J533" s="12" t="n">
        <f aca="false">MIN(G533,I533)</f>
        <v>16</v>
      </c>
      <c r="K533" s="12" t="n">
        <f aca="false">MAX(F533-J533,0)</f>
        <v>0</v>
      </c>
      <c r="L533" s="12" t="n">
        <f aca="false">IF(J533=0,0,F533/J533)</f>
        <v>0.4915625</v>
      </c>
      <c r="M533" s="11" t="str">
        <f aca="false">IF(K533&gt;0,"BLOCKED","PASS")</f>
        <v>PASS</v>
      </c>
      <c r="N533" s="11" t="s">
        <v>233</v>
      </c>
    </row>
    <row r="534" customFormat="false" ht="23.85" hidden="false" customHeight="false" outlineLevel="0" collapsed="false">
      <c r="A534" s="11" t="s">
        <v>111</v>
      </c>
      <c r="B534" s="11" t="s">
        <v>129</v>
      </c>
      <c r="C534" s="11" t="s">
        <v>83</v>
      </c>
      <c r="D534" s="11" t="s">
        <v>84</v>
      </c>
      <c r="E534" s="11" t="s">
        <v>83</v>
      </c>
      <c r="F534" s="12" t="n">
        <f aca="false">SUMIFS(СПРОС_ДЕНЬ_ЧАС_МЕНЮ!$I$11:$I$3265,СПРОС_ДЕНЬ_ЧАС_МЕНЮ!$A$11:$A$3265,A534,СПРОС_ДЕНЬ_ЧАС_МЕНЮ!$B$11:$B$3265,B534,СПРОС_ДЕНЬ_ЧАС_МЕНЮ!$F$11:$F$3265,C534)</f>
        <v>21.23</v>
      </c>
      <c r="G534" s="12" t="n">
        <f aca="false">ПАРАМЕТРЫ!D23</f>
        <v>21</v>
      </c>
      <c r="H534" s="12" t="n">
        <f aca="false">SUMIFS(ШТАТ_ПО_ЧАСАМ!$C$11:$C$115,ШТАТ_ПО_ЧАСАМ!$A$11:$A$115,A534,ШТАТ_ПО_ЧАСАМ!$B$11:$B$115,B534)</f>
        <v>2</v>
      </c>
      <c r="I534" s="12" t="n">
        <f aca="false">MIN(H534,1)*ПАРАМЕТРЫ!E23</f>
        <v>21</v>
      </c>
      <c r="J534" s="12" t="n">
        <f aca="false">MIN(G534,I534)</f>
        <v>21</v>
      </c>
      <c r="K534" s="12" t="n">
        <f aca="false">MAX(F534-J534,0)</f>
        <v>0.230000000000004</v>
      </c>
      <c r="L534" s="12" t="n">
        <f aca="false">IF(J534=0,0,F534/J534)</f>
        <v>1.01095238095238</v>
      </c>
      <c r="M534" s="11" t="str">
        <f aca="false">IF(K534&gt;0,"BLOCKED","PASS")</f>
        <v>BLOCKED</v>
      </c>
      <c r="N534" s="11" t="s">
        <v>233</v>
      </c>
    </row>
    <row r="535" customFormat="false" ht="23.85" hidden="false" customHeight="false" outlineLevel="0" collapsed="false">
      <c r="A535" s="11" t="s">
        <v>111</v>
      </c>
      <c r="B535" s="11" t="s">
        <v>129</v>
      </c>
      <c r="C535" s="11" t="s">
        <v>85</v>
      </c>
      <c r="D535" s="11" t="s">
        <v>86</v>
      </c>
      <c r="E535" s="11" t="s">
        <v>87</v>
      </c>
      <c r="F535" s="12" t="n">
        <f aca="false">SUMIFS(СПРОС_ДЕНЬ_ЧАС_МЕНЮ!$I$11:$I$3265,СПРОС_ДЕНЬ_ЧАС_МЕНЮ!$A$11:$A$3265,A535,СПРОС_ДЕНЬ_ЧАС_МЕНЮ!$B$11:$B$3265,B535,СПРОС_ДЕНЬ_ЧАС_МЕНЮ!$F$11:$F$3265,C535)</f>
        <v>8.77008</v>
      </c>
      <c r="G535" s="12" t="n">
        <f aca="false">ПАРАМЕТРЫ!D24</f>
        <v>12</v>
      </c>
      <c r="H535" s="12" t="n">
        <f aca="false">SUMIFS(ШТАТ_ПО_ЧАСАМ!$C$11:$C$115,ШТАТ_ПО_ЧАСАМ!$A$11:$A$115,A535,ШТАТ_ПО_ЧАСАМ!$B$11:$B$115,B535)</f>
        <v>2</v>
      </c>
      <c r="I535" s="12" t="n">
        <f aca="false">MIN(H535,1)*ПАРАМЕТРЫ!E24</f>
        <v>12</v>
      </c>
      <c r="J535" s="12" t="n">
        <f aca="false">MIN(G535,I535)</f>
        <v>12</v>
      </c>
      <c r="K535" s="12" t="n">
        <f aca="false">MAX(F535-J535,0)</f>
        <v>0</v>
      </c>
      <c r="L535" s="12" t="n">
        <f aca="false">IF(J535=0,0,F535/J535)</f>
        <v>0.73084</v>
      </c>
      <c r="M535" s="11" t="str">
        <f aca="false">IF(K535&gt;0,"BLOCKED","PASS")</f>
        <v>PASS</v>
      </c>
      <c r="N535" s="11" t="s">
        <v>233</v>
      </c>
    </row>
    <row r="536" customFormat="false" ht="23.85" hidden="false" customHeight="false" outlineLevel="0" collapsed="false">
      <c r="A536" s="11" t="s">
        <v>111</v>
      </c>
      <c r="B536" s="11" t="s">
        <v>129</v>
      </c>
      <c r="C536" s="11" t="s">
        <v>88</v>
      </c>
      <c r="D536" s="11" t="s">
        <v>89</v>
      </c>
      <c r="E536" s="11" t="s">
        <v>90</v>
      </c>
      <c r="F536" s="12" t="n">
        <f aca="false">SUMIFS(СПРОС_ДЕНЬ_ЧАС_МЕНЮ!$I$11:$I$3265,СПРОС_ДЕНЬ_ЧАС_МЕНЮ!$A$11:$A$3265,A536,СПРОС_ДЕНЬ_ЧАС_МЕНЮ!$B$11:$B$3265,B536,СПРОС_ДЕНЬ_ЧАС_МЕНЮ!$F$11:$F$3265,C536)</f>
        <v>0</v>
      </c>
      <c r="G536" s="12" t="n">
        <f aca="false">ПАРАМЕТРЫ!D25</f>
        <v>15</v>
      </c>
      <c r="H536" s="12" t="n">
        <f aca="false">SUMIFS(ШТАТ_ПО_ЧАСАМ!$C$11:$C$115,ШТАТ_ПО_ЧАСАМ!$A$11:$A$115,A536,ШТАТ_ПО_ЧАСАМ!$B$11:$B$115,B536)</f>
        <v>2</v>
      </c>
      <c r="I536" s="12" t="n">
        <f aca="false">MIN(H536,1)*ПАРАМЕТРЫ!E25</f>
        <v>10</v>
      </c>
      <c r="J536" s="12" t="n">
        <f aca="false">MIN(G536,I536)</f>
        <v>10</v>
      </c>
      <c r="K536" s="12" t="n">
        <f aca="false">MAX(F536-J536,0)</f>
        <v>0</v>
      </c>
      <c r="L536" s="12" t="n">
        <f aca="false">IF(J536=0,0,F536/J536)</f>
        <v>0</v>
      </c>
      <c r="M536" s="11" t="str">
        <f aca="false">IF(K536&gt;0,"BLOCKED","PASS")</f>
        <v>PASS</v>
      </c>
      <c r="N536" s="11" t="s">
        <v>233</v>
      </c>
    </row>
    <row r="537" customFormat="false" ht="23.85" hidden="false" customHeight="false" outlineLevel="0" collapsed="false">
      <c r="A537" s="11" t="s">
        <v>111</v>
      </c>
      <c r="B537" s="11" t="s">
        <v>129</v>
      </c>
      <c r="C537" s="11" t="s">
        <v>91</v>
      </c>
      <c r="D537" s="11" t="s">
        <v>92</v>
      </c>
      <c r="E537" s="11" t="s">
        <v>79</v>
      </c>
      <c r="F537" s="12" t="n">
        <f aca="false">SUMIFS(СПРОС_ДЕНЬ_ЧАС_МЕНЮ!$I$11:$I$3265,СПРОС_ДЕНЬ_ЧАС_МЕНЮ!$A$11:$A$3265,A537,СПРОС_ДЕНЬ_ЧАС_МЕНЮ!$B$11:$B$3265,B537,СПРОС_ДЕНЬ_ЧАС_МЕНЮ!$F$11:$F$3265,C537)</f>
        <v>1.122</v>
      </c>
      <c r="G537" s="12" t="n">
        <f aca="false">ПАРАМЕТРЫ!D26</f>
        <v>20</v>
      </c>
      <c r="H537" s="12" t="n">
        <f aca="false">SUMIFS(ШТАТ_ПО_ЧАСАМ!$C$11:$C$115,ШТАТ_ПО_ЧАСАМ!$A$11:$A$115,A537,ШТАТ_ПО_ЧАСАМ!$B$11:$B$115,B537)</f>
        <v>2</v>
      </c>
      <c r="I537" s="12" t="n">
        <f aca="false">MIN(H537,1)*ПАРАМЕТРЫ!E26</f>
        <v>10</v>
      </c>
      <c r="J537" s="12" t="n">
        <f aca="false">MIN(G537,I537)</f>
        <v>10</v>
      </c>
      <c r="K537" s="12" t="n">
        <f aca="false">MAX(F537-J537,0)</f>
        <v>0</v>
      </c>
      <c r="L537" s="12" t="n">
        <f aca="false">IF(J537=0,0,F537/J537)</f>
        <v>0.1122</v>
      </c>
      <c r="M537" s="11" t="str">
        <f aca="false">IF(K537&gt;0,"BLOCKED","PASS")</f>
        <v>PASS</v>
      </c>
      <c r="N537" s="11" t="s">
        <v>233</v>
      </c>
    </row>
    <row r="538" customFormat="false" ht="15" hidden="false" customHeight="false" outlineLevel="0" collapsed="false">
      <c r="A538" s="11" t="s">
        <v>111</v>
      </c>
      <c r="B538" s="11" t="s">
        <v>129</v>
      </c>
      <c r="C538" s="11" t="s">
        <v>93</v>
      </c>
      <c r="D538" s="11" t="s">
        <v>234</v>
      </c>
      <c r="E538" s="11" t="s">
        <v>95</v>
      </c>
      <c r="F538" s="12" t="n">
        <f aca="false">SUMIFS(СПРОС_ДЕНЬ_ЧАС_МЕНЮ!$I$11:$I$3265,СПРОС_ДЕНЬ_ЧАС_МЕНЮ!$A$11:$A$3265,A538,СПРОС_ДЕНЬ_ЧАС_МЕНЮ!$B$11:$B$3265,B538)</f>
        <v>46.19428</v>
      </c>
      <c r="G538" s="12" t="n">
        <f aca="false">ПАРАМЕТРЫ!D27</f>
        <v>60</v>
      </c>
      <c r="H538" s="12" t="n">
        <f aca="false">SUMIFS(ШТАТ_ПО_ЧАСАМ!$C$11:$C$115,ШТАТ_ПО_ЧАСАМ!$A$11:$A$115,A538,ШТАТ_ПО_ЧАСАМ!$B$11:$B$115,B538)</f>
        <v>2</v>
      </c>
      <c r="I538" s="12" t="n">
        <f aca="false">H538*ПАРАМЕТРЫ!E27</f>
        <v>33.3333333333333</v>
      </c>
      <c r="J538" s="12" t="n">
        <f aca="false">MIN(G538,I538)</f>
        <v>33.3333333333333</v>
      </c>
      <c r="K538" s="12" t="n">
        <f aca="false">MAX(F538-J538,0)</f>
        <v>12.8609466666667</v>
      </c>
      <c r="L538" s="12" t="n">
        <f aca="false">IF(J538=0,0,F538/J538)</f>
        <v>1.3858284</v>
      </c>
      <c r="M538" s="11" t="str">
        <f aca="false">IF(K538&gt;0,"BLOCKED","PASS")</f>
        <v>BLOCKED</v>
      </c>
      <c r="N538" s="11" t="s">
        <v>235</v>
      </c>
    </row>
    <row r="539" customFormat="false" ht="23.85" hidden="false" customHeight="false" outlineLevel="0" collapsed="false">
      <c r="A539" s="11" t="s">
        <v>111</v>
      </c>
      <c r="B539" s="11" t="s">
        <v>130</v>
      </c>
      <c r="C539" s="11" t="s">
        <v>73</v>
      </c>
      <c r="D539" s="11" t="s">
        <v>74</v>
      </c>
      <c r="E539" s="11" t="s">
        <v>75</v>
      </c>
      <c r="F539" s="12" t="n">
        <f aca="false">SUMIFS(СПРОС_ДЕНЬ_ЧАС_МЕНЮ!$I$11:$I$3265,СПРОС_ДЕНЬ_ЧАС_МЕНЮ!$A$11:$A$3265,A539,СПРОС_ДЕНЬ_ЧАС_МЕНЮ!$B$11:$B$3265,B539,СПРОС_ДЕНЬ_ЧАС_МЕНЮ!$F$11:$F$3265,C539)</f>
        <v>4.785</v>
      </c>
      <c r="G539" s="12" t="n">
        <f aca="false">ПАРАМЕТРЫ!D20</f>
        <v>25</v>
      </c>
      <c r="H539" s="12" t="n">
        <f aca="false">SUMIFS(ШТАТ_ПО_ЧАСАМ!$C$11:$C$115,ШТАТ_ПО_ЧАСАМ!$A$11:$A$115,A539,ШТАТ_ПО_ЧАСАМ!$B$11:$B$115,B539)</f>
        <v>2</v>
      </c>
      <c r="I539" s="12" t="n">
        <f aca="false">MIN(H539,1)*ПАРАМЕТРЫ!E20</f>
        <v>10</v>
      </c>
      <c r="J539" s="12" t="n">
        <f aca="false">MIN(G539,I539)</f>
        <v>10</v>
      </c>
      <c r="K539" s="12" t="n">
        <f aca="false">MAX(F539-J539,0)</f>
        <v>0</v>
      </c>
      <c r="L539" s="12" t="n">
        <f aca="false">IF(J539=0,0,F539/J539)</f>
        <v>0.4785</v>
      </c>
      <c r="M539" s="11" t="str">
        <f aca="false">IF(K539&gt;0,"BLOCKED","PASS")</f>
        <v>PASS</v>
      </c>
      <c r="N539" s="11" t="s">
        <v>233</v>
      </c>
    </row>
    <row r="540" customFormat="false" ht="23.85" hidden="false" customHeight="false" outlineLevel="0" collapsed="false">
      <c r="A540" s="11" t="s">
        <v>111</v>
      </c>
      <c r="B540" s="11" t="s">
        <v>130</v>
      </c>
      <c r="C540" s="11" t="s">
        <v>77</v>
      </c>
      <c r="D540" s="11" t="s">
        <v>78</v>
      </c>
      <c r="E540" s="11" t="s">
        <v>79</v>
      </c>
      <c r="F540" s="12" t="n">
        <f aca="false">SUMIFS(СПРОС_ДЕНЬ_ЧАС_МЕНЮ!$I$11:$I$3265,СПРОС_ДЕНЬ_ЧАС_МЕНЮ!$A$11:$A$3265,A540,СПРОС_ДЕНЬ_ЧАС_МЕНЮ!$B$11:$B$3265,B540,СПРОС_ДЕНЬ_ЧАС_МЕНЮ!$F$11:$F$3265,C540)</f>
        <v>2.739</v>
      </c>
      <c r="G540" s="12" t="n">
        <f aca="false">ПАРАМЕТРЫ!D21</f>
        <v>20</v>
      </c>
      <c r="H540" s="12" t="n">
        <f aca="false">SUMIFS(ШТАТ_ПО_ЧАСАМ!$C$11:$C$115,ШТАТ_ПО_ЧАСАМ!$A$11:$A$115,A540,ШТАТ_ПО_ЧАСАМ!$B$11:$B$115,B540)</f>
        <v>2</v>
      </c>
      <c r="I540" s="12" t="n">
        <f aca="false">MIN(H540,1)*ПАРАМЕТРЫ!E21</f>
        <v>10</v>
      </c>
      <c r="J540" s="12" t="n">
        <f aca="false">MIN(G540,I540)</f>
        <v>10</v>
      </c>
      <c r="K540" s="12" t="n">
        <f aca="false">MAX(F540-J540,0)</f>
        <v>0</v>
      </c>
      <c r="L540" s="12" t="n">
        <f aca="false">IF(J540=0,0,F540/J540)</f>
        <v>0.2739</v>
      </c>
      <c r="M540" s="11" t="str">
        <f aca="false">IF(K540&gt;0,"BLOCKED","PASS")</f>
        <v>PASS</v>
      </c>
      <c r="N540" s="11" t="s">
        <v>233</v>
      </c>
    </row>
    <row r="541" customFormat="false" ht="23.85" hidden="false" customHeight="false" outlineLevel="0" collapsed="false">
      <c r="A541" s="11" t="s">
        <v>111</v>
      </c>
      <c r="B541" s="11" t="s">
        <v>130</v>
      </c>
      <c r="C541" s="11" t="s">
        <v>80</v>
      </c>
      <c r="D541" s="11" t="s">
        <v>81</v>
      </c>
      <c r="E541" s="11" t="s">
        <v>82</v>
      </c>
      <c r="F541" s="12" t="n">
        <f aca="false">SUMIFS(СПРОС_ДЕНЬ_ЧАС_МЕНЮ!$I$11:$I$3265,СПРОС_ДЕНЬ_ЧАС_МЕНЮ!$A$11:$A$3265,A541,СПРОС_ДЕНЬ_ЧАС_МЕНЮ!$B$11:$B$3265,B541,СПРОС_ДЕНЬ_ЧАС_МЕНЮ!$F$11:$F$3265,C541)</f>
        <v>8.36</v>
      </c>
      <c r="G541" s="12" t="n">
        <f aca="false">ПАРАМЕТРЫ!D22</f>
        <v>16</v>
      </c>
      <c r="H541" s="12" t="n">
        <f aca="false">SUMIFS(ШТАТ_ПО_ЧАСАМ!$C$11:$C$115,ШТАТ_ПО_ЧАСАМ!$A$11:$A$115,A541,ШТАТ_ПО_ЧАСАМ!$B$11:$B$115,B541)</f>
        <v>2</v>
      </c>
      <c r="I541" s="12" t="n">
        <f aca="false">MIN(H541,1)*ПАРАМЕТРЫ!E22</f>
        <v>16</v>
      </c>
      <c r="J541" s="12" t="n">
        <f aca="false">MIN(G541,I541)</f>
        <v>16</v>
      </c>
      <c r="K541" s="12" t="n">
        <f aca="false">MAX(F541-J541,0)</f>
        <v>0</v>
      </c>
      <c r="L541" s="12" t="n">
        <f aca="false">IF(J541=0,0,F541/J541)</f>
        <v>0.5225</v>
      </c>
      <c r="M541" s="11" t="str">
        <f aca="false">IF(K541&gt;0,"BLOCKED","PASS")</f>
        <v>PASS</v>
      </c>
      <c r="N541" s="11" t="s">
        <v>233</v>
      </c>
    </row>
    <row r="542" customFormat="false" ht="23.85" hidden="false" customHeight="false" outlineLevel="0" collapsed="false">
      <c r="A542" s="11" t="s">
        <v>111</v>
      </c>
      <c r="B542" s="11" t="s">
        <v>130</v>
      </c>
      <c r="C542" s="11" t="s">
        <v>83</v>
      </c>
      <c r="D542" s="11" t="s">
        <v>84</v>
      </c>
      <c r="E542" s="11" t="s">
        <v>83</v>
      </c>
      <c r="F542" s="12" t="n">
        <f aca="false">SUMIFS(СПРОС_ДЕНЬ_ЧАС_МЕНЮ!$I$11:$I$3265,СПРОС_ДЕНЬ_ЧАС_МЕНЮ!$A$11:$A$3265,A542,СПРОС_ДЕНЬ_ЧАС_МЕНЮ!$B$11:$B$3265,B542,СПРОС_ДЕНЬ_ЧАС_МЕНЮ!$F$11:$F$3265,C542)</f>
        <v>21.9725</v>
      </c>
      <c r="G542" s="12" t="n">
        <f aca="false">ПАРАМЕТРЫ!D23</f>
        <v>21</v>
      </c>
      <c r="H542" s="12" t="n">
        <f aca="false">SUMIFS(ШТАТ_ПО_ЧАСАМ!$C$11:$C$115,ШТАТ_ПО_ЧАСАМ!$A$11:$A$115,A542,ШТАТ_ПО_ЧАСАМ!$B$11:$B$115,B542)</f>
        <v>2</v>
      </c>
      <c r="I542" s="12" t="n">
        <f aca="false">MIN(H542,1)*ПАРАМЕТРЫ!E23</f>
        <v>21</v>
      </c>
      <c r="J542" s="12" t="n">
        <f aca="false">MIN(G542,I542)</f>
        <v>21</v>
      </c>
      <c r="K542" s="12" t="n">
        <f aca="false">MAX(F542-J542,0)</f>
        <v>0.9725</v>
      </c>
      <c r="L542" s="12" t="n">
        <f aca="false">IF(J542=0,0,F542/J542)</f>
        <v>1.04630952380952</v>
      </c>
      <c r="M542" s="11" t="str">
        <f aca="false">IF(K542&gt;0,"BLOCKED","PASS")</f>
        <v>BLOCKED</v>
      </c>
      <c r="N542" s="11" t="s">
        <v>233</v>
      </c>
    </row>
    <row r="543" customFormat="false" ht="23.85" hidden="false" customHeight="false" outlineLevel="0" collapsed="false">
      <c r="A543" s="11" t="s">
        <v>111</v>
      </c>
      <c r="B543" s="11" t="s">
        <v>130</v>
      </c>
      <c r="C543" s="11" t="s">
        <v>85</v>
      </c>
      <c r="D543" s="11" t="s">
        <v>86</v>
      </c>
      <c r="E543" s="11" t="s">
        <v>87</v>
      </c>
      <c r="F543" s="12" t="n">
        <f aca="false">SUMIFS(СПРОС_ДЕНЬ_ЧАС_МЕНЮ!$I$11:$I$3265,СПРОС_ДЕНЬ_ЧАС_МЕНЮ!$A$11:$A$3265,A543,СПРОС_ДЕНЬ_ЧАС_МЕНЮ!$B$11:$B$3265,B543,СПРОС_ДЕНЬ_ЧАС_МЕНЮ!$F$11:$F$3265,C543)</f>
        <v>9.1579125</v>
      </c>
      <c r="G543" s="12" t="n">
        <f aca="false">ПАРАМЕТРЫ!D24</f>
        <v>12</v>
      </c>
      <c r="H543" s="12" t="n">
        <f aca="false">SUMIFS(ШТАТ_ПО_ЧАСАМ!$C$11:$C$115,ШТАТ_ПО_ЧАСАМ!$A$11:$A$115,A543,ШТАТ_ПО_ЧАСАМ!$B$11:$B$115,B543)</f>
        <v>2</v>
      </c>
      <c r="I543" s="12" t="n">
        <f aca="false">MIN(H543,1)*ПАРАМЕТРЫ!E24</f>
        <v>12</v>
      </c>
      <c r="J543" s="12" t="n">
        <f aca="false">MIN(G543,I543)</f>
        <v>12</v>
      </c>
      <c r="K543" s="12" t="n">
        <f aca="false">MAX(F543-J543,0)</f>
        <v>0</v>
      </c>
      <c r="L543" s="12" t="n">
        <f aca="false">IF(J543=0,0,F543/J543)</f>
        <v>0.763159375</v>
      </c>
      <c r="M543" s="11" t="str">
        <f aca="false">IF(K543&gt;0,"BLOCKED","PASS")</f>
        <v>PASS</v>
      </c>
      <c r="N543" s="11" t="s">
        <v>233</v>
      </c>
    </row>
    <row r="544" customFormat="false" ht="23.85" hidden="false" customHeight="false" outlineLevel="0" collapsed="false">
      <c r="A544" s="11" t="s">
        <v>111</v>
      </c>
      <c r="B544" s="11" t="s">
        <v>130</v>
      </c>
      <c r="C544" s="11" t="s">
        <v>88</v>
      </c>
      <c r="D544" s="11" t="s">
        <v>89</v>
      </c>
      <c r="E544" s="11" t="s">
        <v>90</v>
      </c>
      <c r="F544" s="12" t="n">
        <f aca="false">SUMIFS(СПРОС_ДЕНЬ_ЧАС_МЕНЮ!$I$11:$I$3265,СПРОС_ДЕНЬ_ЧАС_МЕНЮ!$A$11:$A$3265,A544,СПРОС_ДЕНЬ_ЧАС_МЕНЮ!$B$11:$B$3265,B544,СПРОС_ДЕНЬ_ЧАС_МЕНЮ!$F$11:$F$3265,C544)</f>
        <v>0</v>
      </c>
      <c r="G544" s="12" t="n">
        <f aca="false">ПАРАМЕТРЫ!D25</f>
        <v>15</v>
      </c>
      <c r="H544" s="12" t="n">
        <f aca="false">SUMIFS(ШТАТ_ПО_ЧАСАМ!$C$11:$C$115,ШТАТ_ПО_ЧАСАМ!$A$11:$A$115,A544,ШТАТ_ПО_ЧАСАМ!$B$11:$B$115,B544)</f>
        <v>2</v>
      </c>
      <c r="I544" s="12" t="n">
        <f aca="false">MIN(H544,1)*ПАРАМЕТРЫ!E25</f>
        <v>10</v>
      </c>
      <c r="J544" s="12" t="n">
        <f aca="false">MIN(G544,I544)</f>
        <v>10</v>
      </c>
      <c r="K544" s="12" t="n">
        <f aca="false">MAX(F544-J544,0)</f>
        <v>0</v>
      </c>
      <c r="L544" s="12" t="n">
        <f aca="false">IF(J544=0,0,F544/J544)</f>
        <v>0</v>
      </c>
      <c r="M544" s="11" t="str">
        <f aca="false">IF(K544&gt;0,"BLOCKED","PASS")</f>
        <v>PASS</v>
      </c>
      <c r="N544" s="11" t="s">
        <v>233</v>
      </c>
    </row>
    <row r="545" customFormat="false" ht="23.85" hidden="false" customHeight="false" outlineLevel="0" collapsed="false">
      <c r="A545" s="11" t="s">
        <v>111</v>
      </c>
      <c r="B545" s="11" t="s">
        <v>130</v>
      </c>
      <c r="C545" s="11" t="s">
        <v>91</v>
      </c>
      <c r="D545" s="11" t="s">
        <v>92</v>
      </c>
      <c r="E545" s="11" t="s">
        <v>79</v>
      </c>
      <c r="F545" s="12" t="n">
        <f aca="false">SUMIFS(СПРОС_ДЕНЬ_ЧАС_МЕНЮ!$I$11:$I$3265,СПРОС_ДЕНЬ_ЧАС_МЕНЮ!$A$11:$A$3265,A545,СПРОС_ДЕНЬ_ЧАС_МЕНЮ!$B$11:$B$3265,B545,СПРОС_ДЕНЬ_ЧАС_МЕНЮ!$F$11:$F$3265,C545)</f>
        <v>1.2705</v>
      </c>
      <c r="G545" s="12" t="n">
        <f aca="false">ПАРАМЕТРЫ!D26</f>
        <v>20</v>
      </c>
      <c r="H545" s="12" t="n">
        <f aca="false">SUMIFS(ШТАТ_ПО_ЧАСАМ!$C$11:$C$115,ШТАТ_ПО_ЧАСАМ!$A$11:$A$115,A545,ШТАТ_ПО_ЧАСАМ!$B$11:$B$115,B545)</f>
        <v>2</v>
      </c>
      <c r="I545" s="12" t="n">
        <f aca="false">MIN(H545,1)*ПАРАМЕТРЫ!E26</f>
        <v>10</v>
      </c>
      <c r="J545" s="12" t="n">
        <f aca="false">MIN(G545,I545)</f>
        <v>10</v>
      </c>
      <c r="K545" s="12" t="n">
        <f aca="false">MAX(F545-J545,0)</f>
        <v>0</v>
      </c>
      <c r="L545" s="12" t="n">
        <f aca="false">IF(J545=0,0,F545/J545)</f>
        <v>0.12705</v>
      </c>
      <c r="M545" s="11" t="str">
        <f aca="false">IF(K545&gt;0,"BLOCKED","PASS")</f>
        <v>PASS</v>
      </c>
      <c r="N545" s="11" t="s">
        <v>233</v>
      </c>
    </row>
    <row r="546" customFormat="false" ht="15" hidden="false" customHeight="false" outlineLevel="0" collapsed="false">
      <c r="A546" s="11" t="s">
        <v>111</v>
      </c>
      <c r="B546" s="11" t="s">
        <v>130</v>
      </c>
      <c r="C546" s="11" t="s">
        <v>93</v>
      </c>
      <c r="D546" s="11" t="s">
        <v>234</v>
      </c>
      <c r="E546" s="11" t="s">
        <v>95</v>
      </c>
      <c r="F546" s="12" t="n">
        <f aca="false">SUMIFS(СПРОС_ДЕНЬ_ЧАС_МЕНЮ!$I$11:$I$3265,СПРОС_ДЕНЬ_ЧАС_МЕНЮ!$A$11:$A$3265,A546,СПРОС_ДЕНЬ_ЧАС_МЕНЮ!$B$11:$B$3265,B546)</f>
        <v>48.2849125</v>
      </c>
      <c r="G546" s="12" t="n">
        <f aca="false">ПАРАМЕТРЫ!D27</f>
        <v>60</v>
      </c>
      <c r="H546" s="12" t="n">
        <f aca="false">SUMIFS(ШТАТ_ПО_ЧАСАМ!$C$11:$C$115,ШТАТ_ПО_ЧАСАМ!$A$11:$A$115,A546,ШТАТ_ПО_ЧАСАМ!$B$11:$B$115,B546)</f>
        <v>2</v>
      </c>
      <c r="I546" s="12" t="n">
        <f aca="false">H546*ПАРАМЕТРЫ!E27</f>
        <v>33.3333333333333</v>
      </c>
      <c r="J546" s="12" t="n">
        <f aca="false">MIN(G546,I546)</f>
        <v>33.3333333333333</v>
      </c>
      <c r="K546" s="12" t="n">
        <f aca="false">MAX(F546-J546,0)</f>
        <v>14.9515791666667</v>
      </c>
      <c r="L546" s="12" t="n">
        <f aca="false">IF(J546=0,0,F546/J546)</f>
        <v>1.448547375</v>
      </c>
      <c r="M546" s="11" t="str">
        <f aca="false">IF(K546&gt;0,"BLOCKED","PASS")</f>
        <v>BLOCKED</v>
      </c>
      <c r="N546" s="11" t="s">
        <v>235</v>
      </c>
    </row>
    <row r="547" customFormat="false" ht="23.85" hidden="false" customHeight="false" outlineLevel="0" collapsed="false">
      <c r="A547" s="11" t="s">
        <v>111</v>
      </c>
      <c r="B547" s="11" t="s">
        <v>131</v>
      </c>
      <c r="C547" s="11" t="s">
        <v>73</v>
      </c>
      <c r="D547" s="11" t="s">
        <v>74</v>
      </c>
      <c r="E547" s="11" t="s">
        <v>75</v>
      </c>
      <c r="F547" s="12" t="n">
        <f aca="false">SUMIFS(СПРОС_ДЕНЬ_ЧАС_МЕНЮ!$I$11:$I$3265,СПРОС_ДЕНЬ_ЧАС_МЕНЮ!$A$11:$A$3265,A547,СПРОС_ДЕНЬ_ЧАС_МЕНЮ!$B$11:$B$3265,B547,СПРОС_ДЕНЬ_ЧАС_МЕНЮ!$F$11:$F$3265,C547)</f>
        <v>2.4255</v>
      </c>
      <c r="G547" s="12" t="n">
        <f aca="false">ПАРАМЕТРЫ!D20</f>
        <v>25</v>
      </c>
      <c r="H547" s="12" t="n">
        <f aca="false">SUMIFS(ШТАТ_ПО_ЧАСАМ!$C$11:$C$115,ШТАТ_ПО_ЧАСАМ!$A$11:$A$115,A547,ШТАТ_ПО_ЧАСАМ!$B$11:$B$115,B547)</f>
        <v>2</v>
      </c>
      <c r="I547" s="12" t="n">
        <f aca="false">MIN(H547,1)*ПАРАМЕТРЫ!E20</f>
        <v>10</v>
      </c>
      <c r="J547" s="12" t="n">
        <f aca="false">MIN(G547,I547)</f>
        <v>10</v>
      </c>
      <c r="K547" s="12" t="n">
        <f aca="false">MAX(F547-J547,0)</f>
        <v>0</v>
      </c>
      <c r="L547" s="12" t="n">
        <f aca="false">IF(J547=0,0,F547/J547)</f>
        <v>0.24255</v>
      </c>
      <c r="M547" s="11" t="str">
        <f aca="false">IF(K547&gt;0,"BLOCKED","PASS")</f>
        <v>PASS</v>
      </c>
      <c r="N547" s="11" t="s">
        <v>233</v>
      </c>
    </row>
    <row r="548" customFormat="false" ht="23.85" hidden="false" customHeight="false" outlineLevel="0" collapsed="false">
      <c r="A548" s="11" t="s">
        <v>111</v>
      </c>
      <c r="B548" s="11" t="s">
        <v>131</v>
      </c>
      <c r="C548" s="11" t="s">
        <v>77</v>
      </c>
      <c r="D548" s="11" t="s">
        <v>78</v>
      </c>
      <c r="E548" s="11" t="s">
        <v>79</v>
      </c>
      <c r="F548" s="12" t="n">
        <f aca="false">SUMIFS(СПРОС_ДЕНЬ_ЧАС_МЕНЮ!$I$11:$I$3265,СПРОС_ДЕНЬ_ЧАС_МЕНЮ!$A$11:$A$3265,A548,СПРОС_ДЕНЬ_ЧАС_МЕНЮ!$B$11:$B$3265,B548,СПРОС_ДЕНЬ_ЧАС_МЕНЮ!$F$11:$F$3265,C548)</f>
        <v>1.9503</v>
      </c>
      <c r="G548" s="12" t="n">
        <f aca="false">ПАРАМЕТРЫ!D21</f>
        <v>20</v>
      </c>
      <c r="H548" s="12" t="n">
        <f aca="false">SUMIFS(ШТАТ_ПО_ЧАСАМ!$C$11:$C$115,ШТАТ_ПО_ЧАСАМ!$A$11:$A$115,A548,ШТАТ_ПО_ЧАСАМ!$B$11:$B$115,B548)</f>
        <v>2</v>
      </c>
      <c r="I548" s="12" t="n">
        <f aca="false">MIN(H548,1)*ПАРАМЕТРЫ!E21</f>
        <v>10</v>
      </c>
      <c r="J548" s="12" t="n">
        <f aca="false">MIN(G548,I548)</f>
        <v>10</v>
      </c>
      <c r="K548" s="12" t="n">
        <f aca="false">MAX(F548-J548,0)</f>
        <v>0</v>
      </c>
      <c r="L548" s="12" t="n">
        <f aca="false">IF(J548=0,0,F548/J548)</f>
        <v>0.19503</v>
      </c>
      <c r="M548" s="11" t="str">
        <f aca="false">IF(K548&gt;0,"BLOCKED","PASS")</f>
        <v>PASS</v>
      </c>
      <c r="N548" s="11" t="s">
        <v>233</v>
      </c>
    </row>
    <row r="549" customFormat="false" ht="23.85" hidden="false" customHeight="false" outlineLevel="0" collapsed="false">
      <c r="A549" s="11" t="s">
        <v>111</v>
      </c>
      <c r="B549" s="11" t="s">
        <v>131</v>
      </c>
      <c r="C549" s="11" t="s">
        <v>80</v>
      </c>
      <c r="D549" s="11" t="s">
        <v>81</v>
      </c>
      <c r="E549" s="11" t="s">
        <v>82</v>
      </c>
      <c r="F549" s="12" t="n">
        <f aca="false">SUMIFS(СПРОС_ДЕНЬ_ЧАС_МЕНЮ!$I$11:$I$3265,СПРОС_ДЕНЬ_ЧАС_МЕНЮ!$A$11:$A$3265,A549,СПРОС_ДЕНЬ_ЧАС_МЕНЮ!$B$11:$B$3265,B549,СПРОС_ДЕНЬ_ЧАС_МЕНЮ!$F$11:$F$3265,C549)</f>
        <v>4.29</v>
      </c>
      <c r="G549" s="12" t="n">
        <f aca="false">ПАРАМЕТРЫ!D22</f>
        <v>16</v>
      </c>
      <c r="H549" s="12" t="n">
        <f aca="false">SUMIFS(ШТАТ_ПО_ЧАСАМ!$C$11:$C$115,ШТАТ_ПО_ЧАСАМ!$A$11:$A$115,A549,ШТАТ_ПО_ЧАСАМ!$B$11:$B$115,B549)</f>
        <v>2</v>
      </c>
      <c r="I549" s="12" t="n">
        <f aca="false">MIN(H549,1)*ПАРАМЕТРЫ!E22</f>
        <v>16</v>
      </c>
      <c r="J549" s="12" t="n">
        <f aca="false">MIN(G549,I549)</f>
        <v>16</v>
      </c>
      <c r="K549" s="12" t="n">
        <f aca="false">MAX(F549-J549,0)</f>
        <v>0</v>
      </c>
      <c r="L549" s="12" t="n">
        <f aca="false">IF(J549=0,0,F549/J549)</f>
        <v>0.268125</v>
      </c>
      <c r="M549" s="11" t="str">
        <f aca="false">IF(K549&gt;0,"BLOCKED","PASS")</f>
        <v>PASS</v>
      </c>
      <c r="N549" s="11" t="s">
        <v>233</v>
      </c>
    </row>
    <row r="550" customFormat="false" ht="23.85" hidden="false" customHeight="false" outlineLevel="0" collapsed="false">
      <c r="A550" s="11" t="s">
        <v>111</v>
      </c>
      <c r="B550" s="11" t="s">
        <v>131</v>
      </c>
      <c r="C550" s="11" t="s">
        <v>83</v>
      </c>
      <c r="D550" s="11" t="s">
        <v>84</v>
      </c>
      <c r="E550" s="11" t="s">
        <v>83</v>
      </c>
      <c r="F550" s="12" t="n">
        <f aca="false">SUMIFS(СПРОС_ДЕНЬ_ЧАС_МЕНЮ!$I$11:$I$3265,СПРОС_ДЕНЬ_ЧАС_МЕНЮ!$A$11:$A$3265,A550,СПРОС_ДЕНЬ_ЧАС_МЕНЮ!$B$11:$B$3265,B550,СПРОС_ДЕНЬ_ЧАС_МЕНЮ!$F$11:$F$3265,C550)</f>
        <v>10.51875</v>
      </c>
      <c r="G550" s="12" t="n">
        <f aca="false">ПАРАМЕТРЫ!D23</f>
        <v>21</v>
      </c>
      <c r="H550" s="12" t="n">
        <f aca="false">SUMIFS(ШТАТ_ПО_ЧАСАМ!$C$11:$C$115,ШТАТ_ПО_ЧАСАМ!$A$11:$A$115,A550,ШТАТ_ПО_ЧАСАМ!$B$11:$B$115,B550)</f>
        <v>2</v>
      </c>
      <c r="I550" s="12" t="n">
        <f aca="false">MIN(H550,1)*ПАРАМЕТРЫ!E23</f>
        <v>21</v>
      </c>
      <c r="J550" s="12" t="n">
        <f aca="false">MIN(G550,I550)</f>
        <v>21</v>
      </c>
      <c r="K550" s="12" t="n">
        <f aca="false">MAX(F550-J550,0)</f>
        <v>0</v>
      </c>
      <c r="L550" s="12" t="n">
        <f aca="false">IF(J550=0,0,F550/J550)</f>
        <v>0.500892857142857</v>
      </c>
      <c r="M550" s="11" t="str">
        <f aca="false">IF(K550&gt;0,"BLOCKED","PASS")</f>
        <v>PASS</v>
      </c>
      <c r="N550" s="11" t="s">
        <v>233</v>
      </c>
    </row>
    <row r="551" customFormat="false" ht="23.85" hidden="false" customHeight="false" outlineLevel="0" collapsed="false">
      <c r="A551" s="11" t="s">
        <v>111</v>
      </c>
      <c r="B551" s="11" t="s">
        <v>131</v>
      </c>
      <c r="C551" s="11" t="s">
        <v>85</v>
      </c>
      <c r="D551" s="11" t="s">
        <v>86</v>
      </c>
      <c r="E551" s="11" t="s">
        <v>87</v>
      </c>
      <c r="F551" s="12" t="n">
        <f aca="false">SUMIFS(СПРОС_ДЕНЬ_ЧАС_МЕНЮ!$I$11:$I$3265,СПРОС_ДЕНЬ_ЧАС_МЕНЮ!$A$11:$A$3265,A551,СПРОС_ДЕНЬ_ЧАС_МЕНЮ!$B$11:$B$3265,B551,СПРОС_ДЕНЬ_ЧАС_МЕНЮ!$F$11:$F$3265,C551)</f>
        <v>4.45116375</v>
      </c>
      <c r="G551" s="12" t="n">
        <f aca="false">ПАРАМЕТРЫ!D24</f>
        <v>12</v>
      </c>
      <c r="H551" s="12" t="n">
        <f aca="false">SUMIFS(ШТАТ_ПО_ЧАСАМ!$C$11:$C$115,ШТАТ_ПО_ЧАСАМ!$A$11:$A$115,A551,ШТАТ_ПО_ЧАСАМ!$B$11:$B$115,B551)</f>
        <v>2</v>
      </c>
      <c r="I551" s="12" t="n">
        <f aca="false">MIN(H551,1)*ПАРАМЕТРЫ!E24</f>
        <v>12</v>
      </c>
      <c r="J551" s="12" t="n">
        <f aca="false">MIN(G551,I551)</f>
        <v>12</v>
      </c>
      <c r="K551" s="12" t="n">
        <f aca="false">MAX(F551-J551,0)</f>
        <v>0</v>
      </c>
      <c r="L551" s="12" t="n">
        <f aca="false">IF(J551=0,0,F551/J551)</f>
        <v>0.3709303125</v>
      </c>
      <c r="M551" s="11" t="str">
        <f aca="false">IF(K551&gt;0,"BLOCKED","PASS")</f>
        <v>PASS</v>
      </c>
      <c r="N551" s="11" t="s">
        <v>233</v>
      </c>
    </row>
    <row r="552" customFormat="false" ht="23.85" hidden="false" customHeight="false" outlineLevel="0" collapsed="false">
      <c r="A552" s="11" t="s">
        <v>111</v>
      </c>
      <c r="B552" s="11" t="s">
        <v>131</v>
      </c>
      <c r="C552" s="11" t="s">
        <v>88</v>
      </c>
      <c r="D552" s="11" t="s">
        <v>89</v>
      </c>
      <c r="E552" s="11" t="s">
        <v>90</v>
      </c>
      <c r="F552" s="12" t="n">
        <f aca="false">SUMIFS(СПРОС_ДЕНЬ_ЧАС_МЕНЮ!$I$11:$I$3265,СПРОС_ДЕНЬ_ЧАС_МЕНЮ!$A$11:$A$3265,A552,СПРОС_ДЕНЬ_ЧАС_МЕНЮ!$B$11:$B$3265,B552,СПРОС_ДЕНЬ_ЧАС_МЕНЮ!$F$11:$F$3265,C552)</f>
        <v>0</v>
      </c>
      <c r="G552" s="12" t="n">
        <f aca="false">ПАРАМЕТРЫ!D25</f>
        <v>15</v>
      </c>
      <c r="H552" s="12" t="n">
        <f aca="false">SUMIFS(ШТАТ_ПО_ЧАСАМ!$C$11:$C$115,ШТАТ_ПО_ЧАСАМ!$A$11:$A$115,A552,ШТАТ_ПО_ЧАСАМ!$B$11:$B$115,B552)</f>
        <v>2</v>
      </c>
      <c r="I552" s="12" t="n">
        <f aca="false">MIN(H552,1)*ПАРАМЕТРЫ!E25</f>
        <v>10</v>
      </c>
      <c r="J552" s="12" t="n">
        <f aca="false">MIN(G552,I552)</f>
        <v>10</v>
      </c>
      <c r="K552" s="12" t="n">
        <f aca="false">MAX(F552-J552,0)</f>
        <v>0</v>
      </c>
      <c r="L552" s="12" t="n">
        <f aca="false">IF(J552=0,0,F552/J552)</f>
        <v>0</v>
      </c>
      <c r="M552" s="11" t="str">
        <f aca="false">IF(K552&gt;0,"BLOCKED","PASS")</f>
        <v>PASS</v>
      </c>
      <c r="N552" s="11" t="s">
        <v>233</v>
      </c>
    </row>
    <row r="553" customFormat="false" ht="23.85" hidden="false" customHeight="false" outlineLevel="0" collapsed="false">
      <c r="A553" s="11" t="s">
        <v>111</v>
      </c>
      <c r="B553" s="11" t="s">
        <v>131</v>
      </c>
      <c r="C553" s="11" t="s">
        <v>91</v>
      </c>
      <c r="D553" s="11" t="s">
        <v>92</v>
      </c>
      <c r="E553" s="11" t="s">
        <v>79</v>
      </c>
      <c r="F553" s="12" t="n">
        <f aca="false">SUMIFS(СПРОС_ДЕНЬ_ЧАС_МЕНЮ!$I$11:$I$3265,СПРОС_ДЕНЬ_ЧАС_МЕНЮ!$A$11:$A$3265,A553,СПРОС_ДЕНЬ_ЧАС_МЕНЮ!$B$11:$B$3265,B553,СПРОС_ДЕНЬ_ЧАС_МЕНЮ!$F$11:$F$3265,C553)</f>
        <v>1.04775</v>
      </c>
      <c r="G553" s="12" t="n">
        <f aca="false">ПАРАМЕТРЫ!D26</f>
        <v>20</v>
      </c>
      <c r="H553" s="12" t="n">
        <f aca="false">SUMIFS(ШТАТ_ПО_ЧАСАМ!$C$11:$C$115,ШТАТ_ПО_ЧАСАМ!$A$11:$A$115,A553,ШТАТ_ПО_ЧАСАМ!$B$11:$B$115,B553)</f>
        <v>2</v>
      </c>
      <c r="I553" s="12" t="n">
        <f aca="false">MIN(H553,1)*ПАРАМЕТРЫ!E26</f>
        <v>10</v>
      </c>
      <c r="J553" s="12" t="n">
        <f aca="false">MIN(G553,I553)</f>
        <v>10</v>
      </c>
      <c r="K553" s="12" t="n">
        <f aca="false">MAX(F553-J553,0)</f>
        <v>0</v>
      </c>
      <c r="L553" s="12" t="n">
        <f aca="false">IF(J553=0,0,F553/J553)</f>
        <v>0.104775</v>
      </c>
      <c r="M553" s="11" t="str">
        <f aca="false">IF(K553&gt;0,"BLOCKED","PASS")</f>
        <v>PASS</v>
      </c>
      <c r="N553" s="11" t="s">
        <v>233</v>
      </c>
    </row>
    <row r="554" customFormat="false" ht="15" hidden="false" customHeight="false" outlineLevel="0" collapsed="false">
      <c r="A554" s="11" t="s">
        <v>111</v>
      </c>
      <c r="B554" s="11" t="s">
        <v>131</v>
      </c>
      <c r="C554" s="11" t="s">
        <v>93</v>
      </c>
      <c r="D554" s="11" t="s">
        <v>234</v>
      </c>
      <c r="E554" s="11" t="s">
        <v>95</v>
      </c>
      <c r="F554" s="12" t="n">
        <f aca="false">SUMIFS(СПРОС_ДЕНЬ_ЧАС_МЕНЮ!$I$11:$I$3265,СПРОС_ДЕНЬ_ЧАС_МЕНЮ!$A$11:$A$3265,A554,СПРОС_ДЕНЬ_ЧАС_МЕНЮ!$B$11:$B$3265,B554)</f>
        <v>24.68346375</v>
      </c>
      <c r="G554" s="12" t="n">
        <f aca="false">ПАРАМЕТРЫ!D27</f>
        <v>60</v>
      </c>
      <c r="H554" s="12" t="n">
        <f aca="false">SUMIFS(ШТАТ_ПО_ЧАСАМ!$C$11:$C$115,ШТАТ_ПО_ЧАСАМ!$A$11:$A$115,A554,ШТАТ_ПО_ЧАСАМ!$B$11:$B$115,B554)</f>
        <v>2</v>
      </c>
      <c r="I554" s="12" t="n">
        <f aca="false">H554*ПАРАМЕТРЫ!E27</f>
        <v>33.3333333333333</v>
      </c>
      <c r="J554" s="12" t="n">
        <f aca="false">MIN(G554,I554)</f>
        <v>33.3333333333333</v>
      </c>
      <c r="K554" s="12" t="n">
        <f aca="false">MAX(F554-J554,0)</f>
        <v>0</v>
      </c>
      <c r="L554" s="12" t="n">
        <f aca="false">IF(J554=0,0,F554/J554)</f>
        <v>0.7405039125</v>
      </c>
      <c r="M554" s="11" t="str">
        <f aca="false">IF(K554&gt;0,"BLOCKED","PASS")</f>
        <v>PASS</v>
      </c>
      <c r="N554" s="11" t="s">
        <v>235</v>
      </c>
    </row>
    <row r="555" customFormat="false" ht="23.85" hidden="false" customHeight="false" outlineLevel="0" collapsed="false">
      <c r="A555" s="11" t="s">
        <v>111</v>
      </c>
      <c r="B555" s="11" t="s">
        <v>132</v>
      </c>
      <c r="C555" s="11" t="s">
        <v>73</v>
      </c>
      <c r="D555" s="11" t="s">
        <v>74</v>
      </c>
      <c r="E555" s="11" t="s">
        <v>75</v>
      </c>
      <c r="F555" s="12" t="n">
        <f aca="false">SUMIFS(СПРОС_ДЕНЬ_ЧАС_МЕНЮ!$I$11:$I$3265,СПРОС_ДЕНЬ_ЧАС_МЕНЮ!$A$11:$A$3265,A555,СПРОС_ДЕНЬ_ЧАС_МЕНЮ!$B$11:$B$3265,B555,СПРОС_ДЕНЬ_ЧАС_МЕНЮ!$F$11:$F$3265,C555)</f>
        <v>1.32</v>
      </c>
      <c r="G555" s="12" t="n">
        <f aca="false">ПАРАМЕТРЫ!D20</f>
        <v>25</v>
      </c>
      <c r="H555" s="12" t="n">
        <f aca="false">SUMIFS(ШТАТ_ПО_ЧАСАМ!$C$11:$C$115,ШТАТ_ПО_ЧАСАМ!$A$11:$A$115,A555,ШТАТ_ПО_ЧАСАМ!$B$11:$B$115,B555)</f>
        <v>2</v>
      </c>
      <c r="I555" s="12" t="n">
        <f aca="false">MIN(H555,1)*ПАРАМЕТРЫ!E20</f>
        <v>10</v>
      </c>
      <c r="J555" s="12" t="n">
        <f aca="false">MIN(G555,I555)</f>
        <v>10</v>
      </c>
      <c r="K555" s="12" t="n">
        <f aca="false">MAX(F555-J555,0)</f>
        <v>0</v>
      </c>
      <c r="L555" s="12" t="n">
        <f aca="false">IF(J555=0,0,F555/J555)</f>
        <v>0.132</v>
      </c>
      <c r="M555" s="11" t="str">
        <f aca="false">IF(K555&gt;0,"BLOCKED","PASS")</f>
        <v>PASS</v>
      </c>
      <c r="N555" s="11" t="s">
        <v>233</v>
      </c>
    </row>
    <row r="556" customFormat="false" ht="23.85" hidden="false" customHeight="false" outlineLevel="0" collapsed="false">
      <c r="A556" s="11" t="s">
        <v>111</v>
      </c>
      <c r="B556" s="11" t="s">
        <v>132</v>
      </c>
      <c r="C556" s="11" t="s">
        <v>77</v>
      </c>
      <c r="D556" s="11" t="s">
        <v>78</v>
      </c>
      <c r="E556" s="11" t="s">
        <v>79</v>
      </c>
      <c r="F556" s="12" t="n">
        <f aca="false">SUMIFS(СПРОС_ДЕНЬ_ЧАС_МЕНЮ!$I$11:$I$3265,СПРОС_ДЕНЬ_ЧАС_МЕНЮ!$A$11:$A$3265,A556,СПРОС_ДЕНЬ_ЧАС_МЕНЮ!$B$11:$B$3265,B556,СПРОС_ДЕНЬ_ЧАС_МЕНЮ!$F$11:$F$3265,C556)</f>
        <v>1.6236</v>
      </c>
      <c r="G556" s="12" t="n">
        <f aca="false">ПАРАМЕТРЫ!D21</f>
        <v>20</v>
      </c>
      <c r="H556" s="12" t="n">
        <f aca="false">SUMIFS(ШТАТ_ПО_ЧАСАМ!$C$11:$C$115,ШТАТ_ПО_ЧАСАМ!$A$11:$A$115,A556,ШТАТ_ПО_ЧАСАМ!$B$11:$B$115,B556)</f>
        <v>2</v>
      </c>
      <c r="I556" s="12" t="n">
        <f aca="false">MIN(H556,1)*ПАРАМЕТРЫ!E21</f>
        <v>10</v>
      </c>
      <c r="J556" s="12" t="n">
        <f aca="false">MIN(G556,I556)</f>
        <v>10</v>
      </c>
      <c r="K556" s="12" t="n">
        <f aca="false">MAX(F556-J556,0)</f>
        <v>0</v>
      </c>
      <c r="L556" s="12" t="n">
        <f aca="false">IF(J556=0,0,F556/J556)</f>
        <v>0.16236</v>
      </c>
      <c r="M556" s="11" t="str">
        <f aca="false">IF(K556&gt;0,"BLOCKED","PASS")</f>
        <v>PASS</v>
      </c>
      <c r="N556" s="11" t="s">
        <v>233</v>
      </c>
    </row>
    <row r="557" customFormat="false" ht="23.85" hidden="false" customHeight="false" outlineLevel="0" collapsed="false">
      <c r="A557" s="11" t="s">
        <v>111</v>
      </c>
      <c r="B557" s="11" t="s">
        <v>132</v>
      </c>
      <c r="C557" s="11" t="s">
        <v>80</v>
      </c>
      <c r="D557" s="11" t="s">
        <v>81</v>
      </c>
      <c r="E557" s="11" t="s">
        <v>82</v>
      </c>
      <c r="F557" s="12" t="n">
        <f aca="false">SUMIFS(СПРОС_ДЕНЬ_ЧАС_МЕНЮ!$I$11:$I$3265,СПРОС_ДЕНЬ_ЧАС_МЕНЮ!$A$11:$A$3265,A557,СПРОС_ДЕНЬ_ЧАС_МЕНЮ!$B$11:$B$3265,B557,СПРОС_ДЕНЬ_ЧАС_МЕНЮ!$F$11:$F$3265,C557)</f>
        <v>1.958</v>
      </c>
      <c r="G557" s="12" t="n">
        <f aca="false">ПАРАМЕТРЫ!D22</f>
        <v>16</v>
      </c>
      <c r="H557" s="12" t="n">
        <f aca="false">SUMIFS(ШТАТ_ПО_ЧАСАМ!$C$11:$C$115,ШТАТ_ПО_ЧАСАМ!$A$11:$A$115,A557,ШТАТ_ПО_ЧАСАМ!$B$11:$B$115,B557)</f>
        <v>2</v>
      </c>
      <c r="I557" s="12" t="n">
        <f aca="false">MIN(H557,1)*ПАРАМЕТРЫ!E22</f>
        <v>16</v>
      </c>
      <c r="J557" s="12" t="n">
        <f aca="false">MIN(G557,I557)</f>
        <v>16</v>
      </c>
      <c r="K557" s="12" t="n">
        <f aca="false">MAX(F557-J557,0)</f>
        <v>0</v>
      </c>
      <c r="L557" s="12" t="n">
        <f aca="false">IF(J557=0,0,F557/J557)</f>
        <v>0.122375</v>
      </c>
      <c r="M557" s="11" t="str">
        <f aca="false">IF(K557&gt;0,"BLOCKED","PASS")</f>
        <v>PASS</v>
      </c>
      <c r="N557" s="11" t="s">
        <v>233</v>
      </c>
    </row>
    <row r="558" customFormat="false" ht="23.85" hidden="false" customHeight="false" outlineLevel="0" collapsed="false">
      <c r="A558" s="11" t="s">
        <v>111</v>
      </c>
      <c r="B558" s="11" t="s">
        <v>132</v>
      </c>
      <c r="C558" s="11" t="s">
        <v>83</v>
      </c>
      <c r="D558" s="11" t="s">
        <v>84</v>
      </c>
      <c r="E558" s="11" t="s">
        <v>83</v>
      </c>
      <c r="F558" s="12" t="n">
        <f aca="false">SUMIFS(СПРОС_ДЕНЬ_ЧАС_МЕНЮ!$I$11:$I$3265,СПРОС_ДЕНЬ_ЧАС_МЕНЮ!$A$11:$A$3265,A558,СПРОС_ДЕНЬ_ЧАС_МЕНЮ!$B$11:$B$3265,B558,СПРОС_ДЕНЬ_ЧАС_МЕНЮ!$F$11:$F$3265,C558)</f>
        <v>4.433</v>
      </c>
      <c r="G558" s="12" t="n">
        <f aca="false">ПАРАМЕТРЫ!D23</f>
        <v>21</v>
      </c>
      <c r="H558" s="12" t="n">
        <f aca="false">SUMIFS(ШТАТ_ПО_ЧАСАМ!$C$11:$C$115,ШТАТ_ПО_ЧАСАМ!$A$11:$A$115,A558,ШТАТ_ПО_ЧАСАМ!$B$11:$B$115,B558)</f>
        <v>2</v>
      </c>
      <c r="I558" s="12" t="n">
        <f aca="false">MIN(H558,1)*ПАРАМЕТРЫ!E23</f>
        <v>21</v>
      </c>
      <c r="J558" s="12" t="n">
        <f aca="false">MIN(G558,I558)</f>
        <v>21</v>
      </c>
      <c r="K558" s="12" t="n">
        <f aca="false">MAX(F558-J558,0)</f>
        <v>0</v>
      </c>
      <c r="L558" s="12" t="n">
        <f aca="false">IF(J558=0,0,F558/J558)</f>
        <v>0.211095238095238</v>
      </c>
      <c r="M558" s="11" t="str">
        <f aca="false">IF(K558&gt;0,"BLOCKED","PASS")</f>
        <v>PASS</v>
      </c>
      <c r="N558" s="11" t="s">
        <v>233</v>
      </c>
    </row>
    <row r="559" customFormat="false" ht="23.85" hidden="false" customHeight="false" outlineLevel="0" collapsed="false">
      <c r="A559" s="11" t="s">
        <v>111</v>
      </c>
      <c r="B559" s="11" t="s">
        <v>132</v>
      </c>
      <c r="C559" s="11" t="s">
        <v>85</v>
      </c>
      <c r="D559" s="11" t="s">
        <v>86</v>
      </c>
      <c r="E559" s="11" t="s">
        <v>87</v>
      </c>
      <c r="F559" s="12" t="n">
        <f aca="false">SUMIFS(СПРОС_ДЕНЬ_ЧАС_МЕНЮ!$I$11:$I$3265,СПРОС_ДЕНЬ_ЧАС_МЕНЮ!$A$11:$A$3265,A559,СПРОС_ДЕНЬ_ЧАС_МЕНЮ!$B$11:$B$3265,B559,СПРОС_ДЕНЬ_ЧАС_МЕНЮ!$F$11:$F$3265,C559)</f>
        <v>1.806915</v>
      </c>
      <c r="G559" s="12" t="n">
        <f aca="false">ПАРАМЕТРЫ!D24</f>
        <v>12</v>
      </c>
      <c r="H559" s="12" t="n">
        <f aca="false">SUMIFS(ШТАТ_ПО_ЧАСАМ!$C$11:$C$115,ШТАТ_ПО_ЧАСАМ!$A$11:$A$115,A559,ШТАТ_ПО_ЧАСАМ!$B$11:$B$115,B559)</f>
        <v>2</v>
      </c>
      <c r="I559" s="12" t="n">
        <f aca="false">MIN(H559,1)*ПАРАМЕТРЫ!E24</f>
        <v>12</v>
      </c>
      <c r="J559" s="12" t="n">
        <f aca="false">MIN(G559,I559)</f>
        <v>12</v>
      </c>
      <c r="K559" s="12" t="n">
        <f aca="false">MAX(F559-J559,0)</f>
        <v>0</v>
      </c>
      <c r="L559" s="12" t="n">
        <f aca="false">IF(J559=0,0,F559/J559)</f>
        <v>0.15057625</v>
      </c>
      <c r="M559" s="11" t="str">
        <f aca="false">IF(K559&gt;0,"BLOCKED","PASS")</f>
        <v>PASS</v>
      </c>
      <c r="N559" s="11" t="s">
        <v>233</v>
      </c>
    </row>
    <row r="560" customFormat="false" ht="23.85" hidden="false" customHeight="false" outlineLevel="0" collapsed="false">
      <c r="A560" s="11" t="s">
        <v>111</v>
      </c>
      <c r="B560" s="11" t="s">
        <v>132</v>
      </c>
      <c r="C560" s="11" t="s">
        <v>88</v>
      </c>
      <c r="D560" s="11" t="s">
        <v>89</v>
      </c>
      <c r="E560" s="11" t="s">
        <v>90</v>
      </c>
      <c r="F560" s="12" t="n">
        <f aca="false">SUMIFS(СПРОС_ДЕНЬ_ЧАС_МЕНЮ!$I$11:$I$3265,СПРОС_ДЕНЬ_ЧАС_МЕНЮ!$A$11:$A$3265,A560,СПРОС_ДЕНЬ_ЧАС_МЕНЮ!$B$11:$B$3265,B560,СПРОС_ДЕНЬ_ЧАС_МЕНЮ!$F$11:$F$3265,C560)</f>
        <v>0</v>
      </c>
      <c r="G560" s="12" t="n">
        <f aca="false">ПАРАМЕТРЫ!D25</f>
        <v>15</v>
      </c>
      <c r="H560" s="12" t="n">
        <f aca="false">SUMIFS(ШТАТ_ПО_ЧАСАМ!$C$11:$C$115,ШТАТ_ПО_ЧАСАМ!$A$11:$A$115,A560,ШТАТ_ПО_ЧАСАМ!$B$11:$B$115,B560)</f>
        <v>2</v>
      </c>
      <c r="I560" s="12" t="n">
        <f aca="false">MIN(H560,1)*ПАРАМЕТРЫ!E25</f>
        <v>10</v>
      </c>
      <c r="J560" s="12" t="n">
        <f aca="false">MIN(G560,I560)</f>
        <v>10</v>
      </c>
      <c r="K560" s="12" t="n">
        <f aca="false">MAX(F560-J560,0)</f>
        <v>0</v>
      </c>
      <c r="L560" s="12" t="n">
        <f aca="false">IF(J560=0,0,F560/J560)</f>
        <v>0</v>
      </c>
      <c r="M560" s="11" t="str">
        <f aca="false">IF(K560&gt;0,"BLOCKED","PASS")</f>
        <v>PASS</v>
      </c>
      <c r="N560" s="11" t="s">
        <v>233</v>
      </c>
    </row>
    <row r="561" customFormat="false" ht="23.85" hidden="false" customHeight="false" outlineLevel="0" collapsed="false">
      <c r="A561" s="11" t="s">
        <v>111</v>
      </c>
      <c r="B561" s="11" t="s">
        <v>132</v>
      </c>
      <c r="C561" s="11" t="s">
        <v>91</v>
      </c>
      <c r="D561" s="11" t="s">
        <v>92</v>
      </c>
      <c r="E561" s="11" t="s">
        <v>79</v>
      </c>
      <c r="F561" s="12" t="n">
        <f aca="false">SUMIFS(СПРОС_ДЕНЬ_ЧАС_МЕНЮ!$I$11:$I$3265,СПРОС_ДЕНЬ_ЧАС_МЕНЮ!$A$11:$A$3265,A561,СПРОС_ДЕНЬ_ЧАС_МЕНЮ!$B$11:$B$3265,B561,СПРОС_ДЕНЬ_ЧАС_МЕНЮ!$F$11:$F$3265,C561)</f>
        <v>0.891</v>
      </c>
      <c r="G561" s="12" t="n">
        <f aca="false">ПАРАМЕТРЫ!D26</f>
        <v>20</v>
      </c>
      <c r="H561" s="12" t="n">
        <f aca="false">SUMIFS(ШТАТ_ПО_ЧАСАМ!$C$11:$C$115,ШТАТ_ПО_ЧАСАМ!$A$11:$A$115,A561,ШТАТ_ПО_ЧАСАМ!$B$11:$B$115,B561)</f>
        <v>2</v>
      </c>
      <c r="I561" s="12" t="n">
        <f aca="false">MIN(H561,1)*ПАРАМЕТРЫ!E26</f>
        <v>10</v>
      </c>
      <c r="J561" s="12" t="n">
        <f aca="false">MIN(G561,I561)</f>
        <v>10</v>
      </c>
      <c r="K561" s="12" t="n">
        <f aca="false">MAX(F561-J561,0)</f>
        <v>0</v>
      </c>
      <c r="L561" s="12" t="n">
        <f aca="false">IF(J561=0,0,F561/J561)</f>
        <v>0.0891</v>
      </c>
      <c r="M561" s="11" t="str">
        <f aca="false">IF(K561&gt;0,"BLOCKED","PASS")</f>
        <v>PASS</v>
      </c>
      <c r="N561" s="11" t="s">
        <v>233</v>
      </c>
    </row>
    <row r="562" customFormat="false" ht="15" hidden="false" customHeight="false" outlineLevel="0" collapsed="false">
      <c r="A562" s="11" t="s">
        <v>111</v>
      </c>
      <c r="B562" s="11" t="s">
        <v>132</v>
      </c>
      <c r="C562" s="11" t="s">
        <v>93</v>
      </c>
      <c r="D562" s="11" t="s">
        <v>234</v>
      </c>
      <c r="E562" s="11" t="s">
        <v>95</v>
      </c>
      <c r="F562" s="12" t="n">
        <f aca="false">SUMIFS(СПРОС_ДЕНЬ_ЧАС_МЕНЮ!$I$11:$I$3265,СПРОС_ДЕНЬ_ЧАС_МЕНЮ!$A$11:$A$3265,A562,СПРОС_ДЕНЬ_ЧАС_МЕНЮ!$B$11:$B$3265,B562)</f>
        <v>12.032515</v>
      </c>
      <c r="G562" s="12" t="n">
        <f aca="false">ПАРАМЕТРЫ!D27</f>
        <v>60</v>
      </c>
      <c r="H562" s="12" t="n">
        <f aca="false">SUMIFS(ШТАТ_ПО_ЧАСАМ!$C$11:$C$115,ШТАТ_ПО_ЧАСАМ!$A$11:$A$115,A562,ШТАТ_ПО_ЧАСАМ!$B$11:$B$115,B562)</f>
        <v>2</v>
      </c>
      <c r="I562" s="12" t="n">
        <f aca="false">H562*ПАРАМЕТРЫ!E27</f>
        <v>33.3333333333333</v>
      </c>
      <c r="J562" s="12" t="n">
        <f aca="false">MIN(G562,I562)</f>
        <v>33.3333333333333</v>
      </c>
      <c r="K562" s="12" t="n">
        <f aca="false">MAX(F562-J562,0)</f>
        <v>0</v>
      </c>
      <c r="L562" s="12" t="n">
        <f aca="false">IF(J562=0,0,F562/J562)</f>
        <v>0.36097545</v>
      </c>
      <c r="M562" s="11" t="str">
        <f aca="false">IF(K562&gt;0,"BLOCKED","PASS")</f>
        <v>PASS</v>
      </c>
      <c r="N562" s="11" t="s">
        <v>235</v>
      </c>
    </row>
    <row r="563" customFormat="false" ht="23.85" hidden="false" customHeight="false" outlineLevel="0" collapsed="false">
      <c r="A563" s="11" t="s">
        <v>111</v>
      </c>
      <c r="B563" s="11" t="s">
        <v>133</v>
      </c>
      <c r="C563" s="11" t="s">
        <v>73</v>
      </c>
      <c r="D563" s="11" t="s">
        <v>74</v>
      </c>
      <c r="E563" s="11" t="s">
        <v>75</v>
      </c>
      <c r="F563" s="12" t="n">
        <f aca="false">SUMIFS(СПРОС_ДЕНЬ_ЧАС_МЕНЮ!$I$11:$I$3265,СПРОС_ДЕНЬ_ЧАС_МЕНЮ!$A$11:$A$3265,A563,СПРОС_ДЕНЬ_ЧАС_МЕНЮ!$B$11:$B$3265,B563,СПРОС_ДЕНЬ_ЧАС_МЕНЮ!$F$11:$F$3265,C563)</f>
        <v>0.99</v>
      </c>
      <c r="G563" s="12" t="n">
        <f aca="false">ПАРАМЕТРЫ!D20</f>
        <v>25</v>
      </c>
      <c r="H563" s="12" t="n">
        <f aca="false">SUMIFS(ШТАТ_ПО_ЧАСАМ!$C$11:$C$115,ШТАТ_ПО_ЧАСАМ!$A$11:$A$115,A563,ШТАТ_ПО_ЧАСАМ!$B$11:$B$115,B563)</f>
        <v>2</v>
      </c>
      <c r="I563" s="12" t="n">
        <f aca="false">MIN(H563,1)*ПАРАМЕТРЫ!E20</f>
        <v>10</v>
      </c>
      <c r="J563" s="12" t="n">
        <f aca="false">MIN(G563,I563)</f>
        <v>10</v>
      </c>
      <c r="K563" s="12" t="n">
        <f aca="false">MAX(F563-J563,0)</f>
        <v>0</v>
      </c>
      <c r="L563" s="12" t="n">
        <f aca="false">IF(J563=0,0,F563/J563)</f>
        <v>0.099</v>
      </c>
      <c r="M563" s="11" t="str">
        <f aca="false">IF(K563&gt;0,"BLOCKED","PASS")</f>
        <v>PASS</v>
      </c>
      <c r="N563" s="11" t="s">
        <v>233</v>
      </c>
    </row>
    <row r="564" customFormat="false" ht="23.85" hidden="false" customHeight="false" outlineLevel="0" collapsed="false">
      <c r="A564" s="11" t="s">
        <v>111</v>
      </c>
      <c r="B564" s="11" t="s">
        <v>133</v>
      </c>
      <c r="C564" s="11" t="s">
        <v>77</v>
      </c>
      <c r="D564" s="11" t="s">
        <v>78</v>
      </c>
      <c r="E564" s="11" t="s">
        <v>79</v>
      </c>
      <c r="F564" s="12" t="n">
        <f aca="false">SUMIFS(СПРОС_ДЕНЬ_ЧАС_МЕНЮ!$I$11:$I$3265,СПРОС_ДЕНЬ_ЧАС_МЕНЮ!$A$11:$A$3265,A564,СПРОС_ДЕНЬ_ЧАС_МЕНЮ!$B$11:$B$3265,B564,СПРОС_ДЕНЬ_ЧАС_МЕНЮ!$F$11:$F$3265,C564)</f>
        <v>1.4916</v>
      </c>
      <c r="G564" s="12" t="n">
        <f aca="false">ПАРАМЕТРЫ!D21</f>
        <v>20</v>
      </c>
      <c r="H564" s="12" t="n">
        <f aca="false">SUMIFS(ШТАТ_ПО_ЧАСАМ!$C$11:$C$115,ШТАТ_ПО_ЧАСАМ!$A$11:$A$115,A564,ШТАТ_ПО_ЧАСАМ!$B$11:$B$115,B564)</f>
        <v>2</v>
      </c>
      <c r="I564" s="12" t="n">
        <f aca="false">MIN(H564,1)*ПАРАМЕТРЫ!E21</f>
        <v>10</v>
      </c>
      <c r="J564" s="12" t="n">
        <f aca="false">MIN(G564,I564)</f>
        <v>10</v>
      </c>
      <c r="K564" s="12" t="n">
        <f aca="false">MAX(F564-J564,0)</f>
        <v>0</v>
      </c>
      <c r="L564" s="12" t="n">
        <f aca="false">IF(J564=0,0,F564/J564)</f>
        <v>0.14916</v>
      </c>
      <c r="M564" s="11" t="str">
        <f aca="false">IF(K564&gt;0,"BLOCKED","PASS")</f>
        <v>PASS</v>
      </c>
      <c r="N564" s="11" t="s">
        <v>233</v>
      </c>
    </row>
    <row r="565" customFormat="false" ht="23.85" hidden="false" customHeight="false" outlineLevel="0" collapsed="false">
      <c r="A565" s="11" t="s">
        <v>111</v>
      </c>
      <c r="B565" s="11" t="s">
        <v>133</v>
      </c>
      <c r="C565" s="11" t="s">
        <v>80</v>
      </c>
      <c r="D565" s="11" t="s">
        <v>81</v>
      </c>
      <c r="E565" s="11" t="s">
        <v>82</v>
      </c>
      <c r="F565" s="12" t="n">
        <f aca="false">SUMIFS(СПРОС_ДЕНЬ_ЧАС_МЕНЮ!$I$11:$I$3265,СПРОС_ДЕНЬ_ЧАС_МЕНЮ!$A$11:$A$3265,A565,СПРОС_ДЕНЬ_ЧАС_МЕНЮ!$B$11:$B$3265,B565,СПРОС_ДЕНЬ_ЧАС_МЕНЮ!$F$11:$F$3265,C565)</f>
        <v>1.188</v>
      </c>
      <c r="G565" s="12" t="n">
        <f aca="false">ПАРАМЕТРЫ!D22</f>
        <v>16</v>
      </c>
      <c r="H565" s="12" t="n">
        <f aca="false">SUMIFS(ШТАТ_ПО_ЧАСАМ!$C$11:$C$115,ШТАТ_ПО_ЧАСАМ!$A$11:$A$115,A565,ШТАТ_ПО_ЧАСАМ!$B$11:$B$115,B565)</f>
        <v>2</v>
      </c>
      <c r="I565" s="12" t="n">
        <f aca="false">MIN(H565,1)*ПАРАМЕТРЫ!E22</f>
        <v>16</v>
      </c>
      <c r="J565" s="12" t="n">
        <f aca="false">MIN(G565,I565)</f>
        <v>16</v>
      </c>
      <c r="K565" s="12" t="n">
        <f aca="false">MAX(F565-J565,0)</f>
        <v>0</v>
      </c>
      <c r="L565" s="12" t="n">
        <f aca="false">IF(J565=0,0,F565/J565)</f>
        <v>0.07425</v>
      </c>
      <c r="M565" s="11" t="str">
        <f aca="false">IF(K565&gt;0,"BLOCKED","PASS")</f>
        <v>PASS</v>
      </c>
      <c r="N565" s="11" t="s">
        <v>233</v>
      </c>
    </row>
    <row r="566" customFormat="false" ht="23.85" hidden="false" customHeight="false" outlineLevel="0" collapsed="false">
      <c r="A566" s="11" t="s">
        <v>111</v>
      </c>
      <c r="B566" s="11" t="s">
        <v>133</v>
      </c>
      <c r="C566" s="11" t="s">
        <v>83</v>
      </c>
      <c r="D566" s="11" t="s">
        <v>84</v>
      </c>
      <c r="E566" s="11" t="s">
        <v>83</v>
      </c>
      <c r="F566" s="12" t="n">
        <f aca="false">SUMIFS(СПРОС_ДЕНЬ_ЧАС_МЕНЮ!$I$11:$I$3265,СПРОС_ДЕНЬ_ЧАС_МЕНЮ!$A$11:$A$3265,A566,СПРОС_ДЕНЬ_ЧАС_МЕНЮ!$B$11:$B$3265,B566,СПРОС_ДЕНЬ_ЧАС_МЕНЮ!$F$11:$F$3265,C566)</f>
        <v>2.013</v>
      </c>
      <c r="G566" s="12" t="n">
        <f aca="false">ПАРАМЕТРЫ!D23</f>
        <v>21</v>
      </c>
      <c r="H566" s="12" t="n">
        <f aca="false">SUMIFS(ШТАТ_ПО_ЧАСАМ!$C$11:$C$115,ШТАТ_ПО_ЧАСАМ!$A$11:$A$115,A566,ШТАТ_ПО_ЧАСАМ!$B$11:$B$115,B566)</f>
        <v>2</v>
      </c>
      <c r="I566" s="12" t="n">
        <f aca="false">MIN(H566,1)*ПАРАМЕТРЫ!E23</f>
        <v>21</v>
      </c>
      <c r="J566" s="12" t="n">
        <f aca="false">MIN(G566,I566)</f>
        <v>21</v>
      </c>
      <c r="K566" s="12" t="n">
        <f aca="false">MAX(F566-J566,0)</f>
        <v>0</v>
      </c>
      <c r="L566" s="12" t="n">
        <f aca="false">IF(J566=0,0,F566/J566)</f>
        <v>0.0958571428571429</v>
      </c>
      <c r="M566" s="11" t="str">
        <f aca="false">IF(K566&gt;0,"BLOCKED","PASS")</f>
        <v>PASS</v>
      </c>
      <c r="N566" s="11" t="s">
        <v>233</v>
      </c>
    </row>
    <row r="567" customFormat="false" ht="23.85" hidden="false" customHeight="false" outlineLevel="0" collapsed="false">
      <c r="A567" s="11" t="s">
        <v>111</v>
      </c>
      <c r="B567" s="11" t="s">
        <v>133</v>
      </c>
      <c r="C567" s="11" t="s">
        <v>85</v>
      </c>
      <c r="D567" s="11" t="s">
        <v>86</v>
      </c>
      <c r="E567" s="11" t="s">
        <v>87</v>
      </c>
      <c r="F567" s="12" t="n">
        <f aca="false">SUMIFS(СПРОС_ДЕНЬ_ЧАС_МЕНЮ!$I$11:$I$3265,СПРОС_ДЕНЬ_ЧАС_МЕНЮ!$A$11:$A$3265,A567,СПРОС_ДЕНЬ_ЧАС_МЕНЮ!$B$11:$B$3265,B567,СПРОС_ДЕНЬ_ЧАС_МЕНЮ!$F$11:$F$3265,C567)</f>
        <v>0.775665</v>
      </c>
      <c r="G567" s="12" t="n">
        <f aca="false">ПАРАМЕТРЫ!D24</f>
        <v>12</v>
      </c>
      <c r="H567" s="12" t="n">
        <f aca="false">SUMIFS(ШТАТ_ПО_ЧАСАМ!$C$11:$C$115,ШТАТ_ПО_ЧАСАМ!$A$11:$A$115,A567,ШТАТ_ПО_ЧАСАМ!$B$11:$B$115,B567)</f>
        <v>2</v>
      </c>
      <c r="I567" s="12" t="n">
        <f aca="false">MIN(H567,1)*ПАРАМЕТРЫ!E24</f>
        <v>12</v>
      </c>
      <c r="J567" s="12" t="n">
        <f aca="false">MIN(G567,I567)</f>
        <v>12</v>
      </c>
      <c r="K567" s="12" t="n">
        <f aca="false">MAX(F567-J567,0)</f>
        <v>0</v>
      </c>
      <c r="L567" s="12" t="n">
        <f aca="false">IF(J567=0,0,F567/J567)</f>
        <v>0.06463875</v>
      </c>
      <c r="M567" s="11" t="str">
        <f aca="false">IF(K567&gt;0,"BLOCKED","PASS")</f>
        <v>PASS</v>
      </c>
      <c r="N567" s="11" t="s">
        <v>233</v>
      </c>
    </row>
    <row r="568" customFormat="false" ht="23.85" hidden="false" customHeight="false" outlineLevel="0" collapsed="false">
      <c r="A568" s="11" t="s">
        <v>111</v>
      </c>
      <c r="B568" s="11" t="s">
        <v>133</v>
      </c>
      <c r="C568" s="11" t="s">
        <v>88</v>
      </c>
      <c r="D568" s="11" t="s">
        <v>89</v>
      </c>
      <c r="E568" s="11" t="s">
        <v>90</v>
      </c>
      <c r="F568" s="12" t="n">
        <f aca="false">SUMIFS(СПРОС_ДЕНЬ_ЧАС_МЕНЮ!$I$11:$I$3265,СПРОС_ДЕНЬ_ЧАС_МЕНЮ!$A$11:$A$3265,A568,СПРОС_ДЕНЬ_ЧАС_МЕНЮ!$B$11:$B$3265,B568,СПРОС_ДЕНЬ_ЧАС_МЕНЮ!$F$11:$F$3265,C568)</f>
        <v>0</v>
      </c>
      <c r="G568" s="12" t="n">
        <f aca="false">ПАРАМЕТРЫ!D25</f>
        <v>15</v>
      </c>
      <c r="H568" s="12" t="n">
        <f aca="false">SUMIFS(ШТАТ_ПО_ЧАСАМ!$C$11:$C$115,ШТАТ_ПО_ЧАСАМ!$A$11:$A$115,A568,ШТАТ_ПО_ЧАСАМ!$B$11:$B$115,B568)</f>
        <v>2</v>
      </c>
      <c r="I568" s="12" t="n">
        <f aca="false">MIN(H568,1)*ПАРАМЕТРЫ!E25</f>
        <v>10</v>
      </c>
      <c r="J568" s="12" t="n">
        <f aca="false">MIN(G568,I568)</f>
        <v>10</v>
      </c>
      <c r="K568" s="12" t="n">
        <f aca="false">MAX(F568-J568,0)</f>
        <v>0</v>
      </c>
      <c r="L568" s="12" t="n">
        <f aca="false">IF(J568=0,0,F568/J568)</f>
        <v>0</v>
      </c>
      <c r="M568" s="11" t="str">
        <f aca="false">IF(K568&gt;0,"BLOCKED","PASS")</f>
        <v>PASS</v>
      </c>
      <c r="N568" s="11" t="s">
        <v>233</v>
      </c>
    </row>
    <row r="569" customFormat="false" ht="23.85" hidden="false" customHeight="false" outlineLevel="0" collapsed="false">
      <c r="A569" s="11" t="s">
        <v>111</v>
      </c>
      <c r="B569" s="11" t="s">
        <v>133</v>
      </c>
      <c r="C569" s="11" t="s">
        <v>91</v>
      </c>
      <c r="D569" s="11" t="s">
        <v>92</v>
      </c>
      <c r="E569" s="11" t="s">
        <v>79</v>
      </c>
      <c r="F569" s="12" t="n">
        <f aca="false">SUMIFS(СПРОС_ДЕНЬ_ЧАС_МЕНЮ!$I$11:$I$3265,СПРОС_ДЕНЬ_ЧАС_МЕНЮ!$A$11:$A$3265,A569,СПРОС_ДЕНЬ_ЧАС_МЕНЮ!$B$11:$B$3265,B569,СПРОС_ДЕНЬ_ЧАС_МЕНЮ!$F$11:$F$3265,C569)</f>
        <v>0.891</v>
      </c>
      <c r="G569" s="12" t="n">
        <f aca="false">ПАРАМЕТРЫ!D26</f>
        <v>20</v>
      </c>
      <c r="H569" s="12" t="n">
        <f aca="false">SUMIFS(ШТАТ_ПО_ЧАСАМ!$C$11:$C$115,ШТАТ_ПО_ЧАСАМ!$A$11:$A$115,A569,ШТАТ_ПО_ЧАСАМ!$B$11:$B$115,B569)</f>
        <v>2</v>
      </c>
      <c r="I569" s="12" t="n">
        <f aca="false">MIN(H569,1)*ПАРАМЕТРЫ!E26</f>
        <v>10</v>
      </c>
      <c r="J569" s="12" t="n">
        <f aca="false">MIN(G569,I569)</f>
        <v>10</v>
      </c>
      <c r="K569" s="12" t="n">
        <f aca="false">MAX(F569-J569,0)</f>
        <v>0</v>
      </c>
      <c r="L569" s="12" t="n">
        <f aca="false">IF(J569=0,0,F569/J569)</f>
        <v>0.0891</v>
      </c>
      <c r="M569" s="11" t="str">
        <f aca="false">IF(K569&gt;0,"BLOCKED","PASS")</f>
        <v>PASS</v>
      </c>
      <c r="N569" s="11" t="s">
        <v>233</v>
      </c>
    </row>
    <row r="570" customFormat="false" ht="15" hidden="false" customHeight="false" outlineLevel="0" collapsed="false">
      <c r="A570" s="11" t="s">
        <v>111</v>
      </c>
      <c r="B570" s="11" t="s">
        <v>133</v>
      </c>
      <c r="C570" s="11" t="s">
        <v>93</v>
      </c>
      <c r="D570" s="11" t="s">
        <v>234</v>
      </c>
      <c r="E570" s="11" t="s">
        <v>95</v>
      </c>
      <c r="F570" s="12" t="n">
        <f aca="false">SUMIFS(СПРОС_ДЕНЬ_ЧАС_МЕНЮ!$I$11:$I$3265,СПРОС_ДЕНЬ_ЧАС_МЕНЮ!$A$11:$A$3265,A570,СПРОС_ДЕНЬ_ЧАС_МЕНЮ!$B$11:$B$3265,B570)</f>
        <v>7.349265</v>
      </c>
      <c r="G570" s="12" t="n">
        <f aca="false">ПАРАМЕТРЫ!D27</f>
        <v>60</v>
      </c>
      <c r="H570" s="12" t="n">
        <f aca="false">SUMIFS(ШТАТ_ПО_ЧАСАМ!$C$11:$C$115,ШТАТ_ПО_ЧАСАМ!$A$11:$A$115,A570,ШТАТ_ПО_ЧАСАМ!$B$11:$B$115,B570)</f>
        <v>2</v>
      </c>
      <c r="I570" s="12" t="n">
        <f aca="false">H570*ПАРАМЕТРЫ!E27</f>
        <v>33.3333333333333</v>
      </c>
      <c r="J570" s="12" t="n">
        <f aca="false">MIN(G570,I570)</f>
        <v>33.3333333333333</v>
      </c>
      <c r="K570" s="12" t="n">
        <f aca="false">MAX(F570-J570,0)</f>
        <v>0</v>
      </c>
      <c r="L570" s="12" t="n">
        <f aca="false">IF(J570=0,0,F570/J570)</f>
        <v>0.22047795</v>
      </c>
      <c r="M570" s="11" t="str">
        <f aca="false">IF(K570&gt;0,"BLOCKED","PASS")</f>
        <v>PASS</v>
      </c>
      <c r="N570" s="11" t="s">
        <v>235</v>
      </c>
    </row>
    <row r="571" customFormat="false" ht="23.85" hidden="false" customHeight="false" outlineLevel="0" collapsed="false">
      <c r="A571" s="11" t="s">
        <v>111</v>
      </c>
      <c r="B571" s="11" t="s">
        <v>134</v>
      </c>
      <c r="C571" s="11" t="s">
        <v>73</v>
      </c>
      <c r="D571" s="11" t="s">
        <v>74</v>
      </c>
      <c r="E571" s="11" t="s">
        <v>75</v>
      </c>
      <c r="F571" s="12" t="n">
        <f aca="false">SUMIFS(СПРОС_ДЕНЬ_ЧАС_МЕНЮ!$I$11:$I$3265,СПРОС_ДЕНЬ_ЧАС_МЕНЮ!$A$11:$A$3265,A571,СПРОС_ДЕНЬ_ЧАС_МЕНЮ!$B$11:$B$3265,B571,СПРОС_ДЕНЬ_ЧАС_МЕНЮ!$F$11:$F$3265,C571)</f>
        <v>1.837</v>
      </c>
      <c r="G571" s="12" t="n">
        <f aca="false">ПАРАМЕТРЫ!D20</f>
        <v>25</v>
      </c>
      <c r="H571" s="12" t="n">
        <f aca="false">SUMIFS(ШТАТ_ПО_ЧАСАМ!$C$11:$C$115,ШТАТ_ПО_ЧАСАМ!$A$11:$A$115,A571,ШТАТ_ПО_ЧАСАМ!$B$11:$B$115,B571)</f>
        <v>2</v>
      </c>
      <c r="I571" s="12" t="n">
        <f aca="false">MIN(H571,1)*ПАРАМЕТРЫ!E20</f>
        <v>10</v>
      </c>
      <c r="J571" s="12" t="n">
        <f aca="false">MIN(G571,I571)</f>
        <v>10</v>
      </c>
      <c r="K571" s="12" t="n">
        <f aca="false">MAX(F571-J571,0)</f>
        <v>0</v>
      </c>
      <c r="L571" s="12" t="n">
        <f aca="false">IF(J571=0,0,F571/J571)</f>
        <v>0.1837</v>
      </c>
      <c r="M571" s="11" t="str">
        <f aca="false">IF(K571&gt;0,"BLOCKED","PASS")</f>
        <v>PASS</v>
      </c>
      <c r="N571" s="11" t="s">
        <v>233</v>
      </c>
    </row>
    <row r="572" customFormat="false" ht="23.85" hidden="false" customHeight="false" outlineLevel="0" collapsed="false">
      <c r="A572" s="11" t="s">
        <v>111</v>
      </c>
      <c r="B572" s="11" t="s">
        <v>134</v>
      </c>
      <c r="C572" s="11" t="s">
        <v>77</v>
      </c>
      <c r="D572" s="11" t="s">
        <v>78</v>
      </c>
      <c r="E572" s="11" t="s">
        <v>79</v>
      </c>
      <c r="F572" s="12" t="n">
        <f aca="false">SUMIFS(СПРОС_ДЕНЬ_ЧАС_МЕНЮ!$I$11:$I$3265,СПРОС_ДЕНЬ_ЧАС_МЕНЮ!$A$11:$A$3265,A572,СПРОС_ДЕНЬ_ЧАС_МЕНЮ!$B$11:$B$3265,B572,СПРОС_ДЕНЬ_ЧАС_МЕНЮ!$F$11:$F$3265,C572)</f>
        <v>1.7314</v>
      </c>
      <c r="G572" s="12" t="n">
        <f aca="false">ПАРАМЕТРЫ!D21</f>
        <v>20</v>
      </c>
      <c r="H572" s="12" t="n">
        <f aca="false">SUMIFS(ШТАТ_ПО_ЧАСАМ!$C$11:$C$115,ШТАТ_ПО_ЧАСАМ!$A$11:$A$115,A572,ШТАТ_ПО_ЧАСАМ!$B$11:$B$115,B572)</f>
        <v>2</v>
      </c>
      <c r="I572" s="12" t="n">
        <f aca="false">MIN(H572,1)*ПАРАМЕТРЫ!E21</f>
        <v>10</v>
      </c>
      <c r="J572" s="12" t="n">
        <f aca="false">MIN(G572,I572)</f>
        <v>10</v>
      </c>
      <c r="K572" s="12" t="n">
        <f aca="false">MAX(F572-J572,0)</f>
        <v>0</v>
      </c>
      <c r="L572" s="12" t="n">
        <f aca="false">IF(J572=0,0,F572/J572)</f>
        <v>0.17314</v>
      </c>
      <c r="M572" s="11" t="str">
        <f aca="false">IF(K572&gt;0,"BLOCKED","PASS")</f>
        <v>PASS</v>
      </c>
      <c r="N572" s="11" t="s">
        <v>233</v>
      </c>
    </row>
    <row r="573" customFormat="false" ht="23.85" hidden="false" customHeight="false" outlineLevel="0" collapsed="false">
      <c r="A573" s="11" t="s">
        <v>111</v>
      </c>
      <c r="B573" s="11" t="s">
        <v>134</v>
      </c>
      <c r="C573" s="11" t="s">
        <v>80</v>
      </c>
      <c r="D573" s="11" t="s">
        <v>81</v>
      </c>
      <c r="E573" s="11" t="s">
        <v>82</v>
      </c>
      <c r="F573" s="12" t="n">
        <f aca="false">SUMIFS(СПРОС_ДЕНЬ_ЧАС_МЕНЮ!$I$11:$I$3265,СПРОС_ДЕНЬ_ЧАС_МЕНЮ!$A$11:$A$3265,A573,СПРОС_ДЕНЬ_ЧАС_МЕНЮ!$B$11:$B$3265,B573,СПРОС_ДЕНЬ_ЧАС_МЕНЮ!$F$11:$F$3265,C573)</f>
        <v>2.1835</v>
      </c>
      <c r="G573" s="12" t="n">
        <f aca="false">ПАРАМЕТРЫ!D22</f>
        <v>16</v>
      </c>
      <c r="H573" s="12" t="n">
        <f aca="false">SUMIFS(ШТАТ_ПО_ЧАСАМ!$C$11:$C$115,ШТАТ_ПО_ЧАСАМ!$A$11:$A$115,A573,ШТАТ_ПО_ЧАСАМ!$B$11:$B$115,B573)</f>
        <v>2</v>
      </c>
      <c r="I573" s="12" t="n">
        <f aca="false">MIN(H573,1)*ПАРАМЕТРЫ!E22</f>
        <v>16</v>
      </c>
      <c r="J573" s="12" t="n">
        <f aca="false">MIN(G573,I573)</f>
        <v>16</v>
      </c>
      <c r="K573" s="12" t="n">
        <f aca="false">MAX(F573-J573,0)</f>
        <v>0</v>
      </c>
      <c r="L573" s="12" t="n">
        <f aca="false">IF(J573=0,0,F573/J573)</f>
        <v>0.13646875</v>
      </c>
      <c r="M573" s="11" t="str">
        <f aca="false">IF(K573&gt;0,"BLOCKED","PASS")</f>
        <v>PASS</v>
      </c>
      <c r="N573" s="11" t="s">
        <v>233</v>
      </c>
    </row>
    <row r="574" customFormat="false" ht="23.85" hidden="false" customHeight="false" outlineLevel="0" collapsed="false">
      <c r="A574" s="11" t="s">
        <v>111</v>
      </c>
      <c r="B574" s="11" t="s">
        <v>134</v>
      </c>
      <c r="C574" s="11" t="s">
        <v>83</v>
      </c>
      <c r="D574" s="11" t="s">
        <v>84</v>
      </c>
      <c r="E574" s="11" t="s">
        <v>83</v>
      </c>
      <c r="F574" s="12" t="n">
        <f aca="false">SUMIFS(СПРОС_ДЕНЬ_ЧАС_МЕНЮ!$I$11:$I$3265,СПРОС_ДЕНЬ_ЧАС_МЕНЮ!$A$11:$A$3265,A574,СПРОС_ДЕНЬ_ЧАС_МЕНЮ!$B$11:$B$3265,B574,СПРОС_ДЕНЬ_ЧАС_МЕНЮ!$F$11:$F$3265,C574)</f>
        <v>3.751</v>
      </c>
      <c r="G574" s="12" t="n">
        <f aca="false">ПАРАМЕТРЫ!D23</f>
        <v>21</v>
      </c>
      <c r="H574" s="12" t="n">
        <f aca="false">SUMIFS(ШТАТ_ПО_ЧАСАМ!$C$11:$C$115,ШТАТ_ПО_ЧАСАМ!$A$11:$A$115,A574,ШТАТ_ПО_ЧАСАМ!$B$11:$B$115,B574)</f>
        <v>2</v>
      </c>
      <c r="I574" s="12" t="n">
        <f aca="false">MIN(H574,1)*ПАРАМЕТРЫ!E23</f>
        <v>21</v>
      </c>
      <c r="J574" s="12" t="n">
        <f aca="false">MIN(G574,I574)</f>
        <v>21</v>
      </c>
      <c r="K574" s="12" t="n">
        <f aca="false">MAX(F574-J574,0)</f>
        <v>0</v>
      </c>
      <c r="L574" s="12" t="n">
        <f aca="false">IF(J574=0,0,F574/J574)</f>
        <v>0.178619047619048</v>
      </c>
      <c r="M574" s="11" t="str">
        <f aca="false">IF(K574&gt;0,"BLOCKED","PASS")</f>
        <v>PASS</v>
      </c>
      <c r="N574" s="11" t="s">
        <v>233</v>
      </c>
    </row>
    <row r="575" customFormat="false" ht="23.85" hidden="false" customHeight="false" outlineLevel="0" collapsed="false">
      <c r="A575" s="11" t="s">
        <v>111</v>
      </c>
      <c r="B575" s="11" t="s">
        <v>134</v>
      </c>
      <c r="C575" s="11" t="s">
        <v>85</v>
      </c>
      <c r="D575" s="11" t="s">
        <v>86</v>
      </c>
      <c r="E575" s="11" t="s">
        <v>87</v>
      </c>
      <c r="F575" s="12" t="n">
        <f aca="false">SUMIFS(СПРОС_ДЕНЬ_ЧАС_МЕНЮ!$I$11:$I$3265,СПРОС_ДЕНЬ_ЧАС_МЕНЮ!$A$11:$A$3265,A575,СПРОС_ДЕНЬ_ЧАС_МЕНЮ!$B$11:$B$3265,B575,СПРОС_ДЕНЬ_ЧАС_МЕНЮ!$F$11:$F$3265,C575)</f>
        <v>1.521135</v>
      </c>
      <c r="G575" s="12" t="n">
        <f aca="false">ПАРАМЕТРЫ!D24</f>
        <v>12</v>
      </c>
      <c r="H575" s="12" t="n">
        <f aca="false">SUMIFS(ШТАТ_ПО_ЧАСАМ!$C$11:$C$115,ШТАТ_ПО_ЧАСАМ!$A$11:$A$115,A575,ШТАТ_ПО_ЧАСАМ!$B$11:$B$115,B575)</f>
        <v>2</v>
      </c>
      <c r="I575" s="12" t="n">
        <f aca="false">MIN(H575,1)*ПАРАМЕТРЫ!E24</f>
        <v>12</v>
      </c>
      <c r="J575" s="12" t="n">
        <f aca="false">MIN(G575,I575)</f>
        <v>12</v>
      </c>
      <c r="K575" s="12" t="n">
        <f aca="false">MAX(F575-J575,0)</f>
        <v>0</v>
      </c>
      <c r="L575" s="12" t="n">
        <f aca="false">IF(J575=0,0,F575/J575)</f>
        <v>0.12676125</v>
      </c>
      <c r="M575" s="11" t="str">
        <f aca="false">IF(K575&gt;0,"BLOCKED","PASS")</f>
        <v>PASS</v>
      </c>
      <c r="N575" s="11" t="s">
        <v>233</v>
      </c>
    </row>
    <row r="576" customFormat="false" ht="23.85" hidden="false" customHeight="false" outlineLevel="0" collapsed="false">
      <c r="A576" s="11" t="s">
        <v>111</v>
      </c>
      <c r="B576" s="11" t="s">
        <v>134</v>
      </c>
      <c r="C576" s="11" t="s">
        <v>88</v>
      </c>
      <c r="D576" s="11" t="s">
        <v>89</v>
      </c>
      <c r="E576" s="11" t="s">
        <v>90</v>
      </c>
      <c r="F576" s="12" t="n">
        <f aca="false">SUMIFS(СПРОС_ДЕНЬ_ЧАС_МЕНЮ!$I$11:$I$3265,СПРОС_ДЕНЬ_ЧАС_МЕНЮ!$A$11:$A$3265,A576,СПРОС_ДЕНЬ_ЧАС_МЕНЮ!$B$11:$B$3265,B576,СПРОС_ДЕНЬ_ЧАС_МЕНЮ!$F$11:$F$3265,C576)</f>
        <v>0</v>
      </c>
      <c r="G576" s="12" t="n">
        <f aca="false">ПАРАМЕТРЫ!D25</f>
        <v>15</v>
      </c>
      <c r="H576" s="12" t="n">
        <f aca="false">SUMIFS(ШТАТ_ПО_ЧАСАМ!$C$11:$C$115,ШТАТ_ПО_ЧАСАМ!$A$11:$A$115,A576,ШТАТ_ПО_ЧАСАМ!$B$11:$B$115,B576)</f>
        <v>2</v>
      </c>
      <c r="I576" s="12" t="n">
        <f aca="false">MIN(H576,1)*ПАРАМЕТРЫ!E25</f>
        <v>10</v>
      </c>
      <c r="J576" s="12" t="n">
        <f aca="false">MIN(G576,I576)</f>
        <v>10</v>
      </c>
      <c r="K576" s="12" t="n">
        <f aca="false">MAX(F576-J576,0)</f>
        <v>0</v>
      </c>
      <c r="L576" s="12" t="n">
        <f aca="false">IF(J576=0,0,F576/J576)</f>
        <v>0</v>
      </c>
      <c r="M576" s="11" t="str">
        <f aca="false">IF(K576&gt;0,"BLOCKED","PASS")</f>
        <v>PASS</v>
      </c>
      <c r="N576" s="11" t="s">
        <v>233</v>
      </c>
    </row>
    <row r="577" customFormat="false" ht="23.85" hidden="false" customHeight="false" outlineLevel="0" collapsed="false">
      <c r="A577" s="11" t="s">
        <v>111</v>
      </c>
      <c r="B577" s="11" t="s">
        <v>134</v>
      </c>
      <c r="C577" s="11" t="s">
        <v>91</v>
      </c>
      <c r="D577" s="11" t="s">
        <v>92</v>
      </c>
      <c r="E577" s="11" t="s">
        <v>79</v>
      </c>
      <c r="F577" s="12" t="n">
        <f aca="false">SUMIFS(СПРОС_ДЕНЬ_ЧАС_МЕНЮ!$I$11:$I$3265,СПРОС_ДЕНЬ_ЧАС_МЕНЮ!$A$11:$A$3265,A577,СПРОС_ДЕНЬ_ЧАС_МЕНЮ!$B$11:$B$3265,B577,СПРОС_ДЕНЬ_ЧАС_МЕНЮ!$F$11:$F$3265,C577)</f>
        <v>1.0945</v>
      </c>
      <c r="G577" s="12" t="n">
        <f aca="false">ПАРАМЕТРЫ!D26</f>
        <v>20</v>
      </c>
      <c r="H577" s="12" t="n">
        <f aca="false">SUMIFS(ШТАТ_ПО_ЧАСАМ!$C$11:$C$115,ШТАТ_ПО_ЧАСАМ!$A$11:$A$115,A577,ШТАТ_ПО_ЧАСАМ!$B$11:$B$115,B577)</f>
        <v>2</v>
      </c>
      <c r="I577" s="12" t="n">
        <f aca="false">MIN(H577,1)*ПАРАМЕТРЫ!E26</f>
        <v>10</v>
      </c>
      <c r="J577" s="12" t="n">
        <f aca="false">MIN(G577,I577)</f>
        <v>10</v>
      </c>
      <c r="K577" s="12" t="n">
        <f aca="false">MAX(F577-J577,0)</f>
        <v>0</v>
      </c>
      <c r="L577" s="12" t="n">
        <f aca="false">IF(J577=0,0,F577/J577)</f>
        <v>0.10945</v>
      </c>
      <c r="M577" s="11" t="str">
        <f aca="false">IF(K577&gt;0,"BLOCKED","PASS")</f>
        <v>PASS</v>
      </c>
      <c r="N577" s="11" t="s">
        <v>233</v>
      </c>
    </row>
    <row r="578" customFormat="false" ht="15" hidden="false" customHeight="false" outlineLevel="0" collapsed="false">
      <c r="A578" s="11" t="s">
        <v>111</v>
      </c>
      <c r="B578" s="11" t="s">
        <v>134</v>
      </c>
      <c r="C578" s="11" t="s">
        <v>93</v>
      </c>
      <c r="D578" s="11" t="s">
        <v>234</v>
      </c>
      <c r="E578" s="11" t="s">
        <v>95</v>
      </c>
      <c r="F578" s="12" t="n">
        <f aca="false">SUMIFS(СПРОС_ДЕНЬ_ЧАС_МЕНЮ!$I$11:$I$3265,СПРОС_ДЕНЬ_ЧАС_МЕНЮ!$A$11:$A$3265,A578,СПРОС_ДЕНЬ_ЧАС_МЕНЮ!$B$11:$B$3265,B578)</f>
        <v>12.118535</v>
      </c>
      <c r="G578" s="12" t="n">
        <f aca="false">ПАРАМЕТРЫ!D27</f>
        <v>60</v>
      </c>
      <c r="H578" s="12" t="n">
        <f aca="false">SUMIFS(ШТАТ_ПО_ЧАСАМ!$C$11:$C$115,ШТАТ_ПО_ЧАСАМ!$A$11:$A$115,A578,ШТАТ_ПО_ЧАСАМ!$B$11:$B$115,B578)</f>
        <v>2</v>
      </c>
      <c r="I578" s="12" t="n">
        <f aca="false">H578*ПАРАМЕТРЫ!E27</f>
        <v>33.3333333333333</v>
      </c>
      <c r="J578" s="12" t="n">
        <f aca="false">MIN(G578,I578)</f>
        <v>33.3333333333333</v>
      </c>
      <c r="K578" s="12" t="n">
        <f aca="false">MAX(F578-J578,0)</f>
        <v>0</v>
      </c>
      <c r="L578" s="12" t="n">
        <f aca="false">IF(J578=0,0,F578/J578)</f>
        <v>0.36355605</v>
      </c>
      <c r="M578" s="11" t="str">
        <f aca="false">IF(K578&gt;0,"BLOCKED","PASS")</f>
        <v>PASS</v>
      </c>
      <c r="N578" s="11" t="s">
        <v>235</v>
      </c>
    </row>
    <row r="579" customFormat="false" ht="23.85" hidden="false" customHeight="false" outlineLevel="0" collapsed="false">
      <c r="A579" s="11" t="s">
        <v>111</v>
      </c>
      <c r="B579" s="11" t="s">
        <v>135</v>
      </c>
      <c r="C579" s="11" t="s">
        <v>73</v>
      </c>
      <c r="D579" s="11" t="s">
        <v>74</v>
      </c>
      <c r="E579" s="11" t="s">
        <v>75</v>
      </c>
      <c r="F579" s="12" t="n">
        <f aca="false">SUMIFS(СПРОС_ДЕНЬ_ЧАС_МЕНЮ!$I$11:$I$3265,СПРОС_ДЕНЬ_ЧАС_МЕНЮ!$A$11:$A$3265,A579,СПРОС_ДЕНЬ_ЧАС_МЕНЮ!$B$11:$B$3265,B579,СПРОС_ДЕНЬ_ЧАС_МЕНЮ!$F$11:$F$3265,C579)</f>
        <v>3.2835</v>
      </c>
      <c r="G579" s="12" t="n">
        <f aca="false">ПАРАМЕТРЫ!D20</f>
        <v>25</v>
      </c>
      <c r="H579" s="12" t="n">
        <f aca="false">SUMIFS(ШТАТ_ПО_ЧАСАМ!$C$11:$C$115,ШТАТ_ПО_ЧАСАМ!$A$11:$A$115,A579,ШТАТ_ПО_ЧАСАМ!$B$11:$B$115,B579)</f>
        <v>1</v>
      </c>
      <c r="I579" s="12" t="n">
        <f aca="false">MIN(H579,1)*ПАРАМЕТРЫ!E20</f>
        <v>10</v>
      </c>
      <c r="J579" s="12" t="n">
        <f aca="false">MIN(G579,I579)</f>
        <v>10</v>
      </c>
      <c r="K579" s="12" t="n">
        <f aca="false">MAX(F579-J579,0)</f>
        <v>0</v>
      </c>
      <c r="L579" s="12" t="n">
        <f aca="false">IF(J579=0,0,F579/J579)</f>
        <v>0.32835</v>
      </c>
      <c r="M579" s="11" t="str">
        <f aca="false">IF(K579&gt;0,"BLOCKED","PASS")</f>
        <v>PASS</v>
      </c>
      <c r="N579" s="11" t="s">
        <v>233</v>
      </c>
    </row>
    <row r="580" customFormat="false" ht="23.85" hidden="false" customHeight="false" outlineLevel="0" collapsed="false">
      <c r="A580" s="11" t="s">
        <v>111</v>
      </c>
      <c r="B580" s="11" t="s">
        <v>135</v>
      </c>
      <c r="C580" s="11" t="s">
        <v>77</v>
      </c>
      <c r="D580" s="11" t="s">
        <v>78</v>
      </c>
      <c r="E580" s="11" t="s">
        <v>79</v>
      </c>
      <c r="F580" s="12" t="n">
        <f aca="false">SUMIFS(СПРОС_ДЕНЬ_ЧАС_МЕНЮ!$I$11:$I$3265,СПРОС_ДЕНЬ_ЧАС_МЕНЮ!$A$11:$A$3265,A580,СПРОС_ДЕНЬ_ЧАС_МЕНЮ!$B$11:$B$3265,B580,СПРОС_ДЕНЬ_ЧАС_МЕНЮ!$F$11:$F$3265,C580)</f>
        <v>2.1483</v>
      </c>
      <c r="G580" s="12" t="n">
        <f aca="false">ПАРАМЕТРЫ!D21</f>
        <v>20</v>
      </c>
      <c r="H580" s="12" t="n">
        <f aca="false">SUMIFS(ШТАТ_ПО_ЧАСАМ!$C$11:$C$115,ШТАТ_ПО_ЧАСАМ!$A$11:$A$115,A580,ШТАТ_ПО_ЧАСАМ!$B$11:$B$115,B580)</f>
        <v>1</v>
      </c>
      <c r="I580" s="12" t="n">
        <f aca="false">MIN(H580,1)*ПАРАМЕТРЫ!E21</f>
        <v>10</v>
      </c>
      <c r="J580" s="12" t="n">
        <f aca="false">MIN(G580,I580)</f>
        <v>10</v>
      </c>
      <c r="K580" s="12" t="n">
        <f aca="false">MAX(F580-J580,0)</f>
        <v>0</v>
      </c>
      <c r="L580" s="12" t="n">
        <f aca="false">IF(J580=0,0,F580/J580)</f>
        <v>0.21483</v>
      </c>
      <c r="M580" s="11" t="str">
        <f aca="false">IF(K580&gt;0,"BLOCKED","PASS")</f>
        <v>PASS</v>
      </c>
      <c r="N580" s="11" t="s">
        <v>233</v>
      </c>
    </row>
    <row r="581" customFormat="false" ht="23.85" hidden="false" customHeight="false" outlineLevel="0" collapsed="false">
      <c r="A581" s="11" t="s">
        <v>111</v>
      </c>
      <c r="B581" s="11" t="s">
        <v>135</v>
      </c>
      <c r="C581" s="11" t="s">
        <v>80</v>
      </c>
      <c r="D581" s="11" t="s">
        <v>81</v>
      </c>
      <c r="E581" s="11" t="s">
        <v>82</v>
      </c>
      <c r="F581" s="12" t="n">
        <f aca="false">SUMIFS(СПРОС_ДЕНЬ_ЧАС_МЕНЮ!$I$11:$I$3265,СПРОС_ДЕНЬ_ЧАС_МЕНЮ!$A$11:$A$3265,A581,СПРОС_ДЕНЬ_ЧАС_МЕНЮ!$B$11:$B$3265,B581,СПРОС_ДЕНЬ_ЧАС_МЕНЮ!$F$11:$F$3265,C581)</f>
        <v>4.521</v>
      </c>
      <c r="G581" s="12" t="n">
        <f aca="false">ПАРАМЕТРЫ!D22</f>
        <v>16</v>
      </c>
      <c r="H581" s="12" t="n">
        <f aca="false">SUMIFS(ШТАТ_ПО_ЧАСАМ!$C$11:$C$115,ШТАТ_ПО_ЧАСАМ!$A$11:$A$115,A581,ШТАТ_ПО_ЧАСАМ!$B$11:$B$115,B581)</f>
        <v>1</v>
      </c>
      <c r="I581" s="12" t="n">
        <f aca="false">MIN(H581,1)*ПАРАМЕТРЫ!E22</f>
        <v>16</v>
      </c>
      <c r="J581" s="12" t="n">
        <f aca="false">MIN(G581,I581)</f>
        <v>16</v>
      </c>
      <c r="K581" s="12" t="n">
        <f aca="false">MAX(F581-J581,0)</f>
        <v>0</v>
      </c>
      <c r="L581" s="12" t="n">
        <f aca="false">IF(J581=0,0,F581/J581)</f>
        <v>0.2825625</v>
      </c>
      <c r="M581" s="11" t="str">
        <f aca="false">IF(K581&gt;0,"BLOCKED","PASS")</f>
        <v>PASS</v>
      </c>
      <c r="N581" s="11" t="s">
        <v>233</v>
      </c>
    </row>
    <row r="582" customFormat="false" ht="23.85" hidden="false" customHeight="false" outlineLevel="0" collapsed="false">
      <c r="A582" s="11" t="s">
        <v>111</v>
      </c>
      <c r="B582" s="11" t="s">
        <v>135</v>
      </c>
      <c r="C582" s="11" t="s">
        <v>83</v>
      </c>
      <c r="D582" s="11" t="s">
        <v>84</v>
      </c>
      <c r="E582" s="11" t="s">
        <v>83</v>
      </c>
      <c r="F582" s="12" t="n">
        <f aca="false">SUMIFS(СПРОС_ДЕНЬ_ЧАС_МЕНЮ!$I$11:$I$3265,СПРОС_ДЕНЬ_ЧАС_МЕНЮ!$A$11:$A$3265,A582,СПРОС_ДЕНЬ_ЧАС_МЕНЮ!$B$11:$B$3265,B582,СПРОС_ДЕНЬ_ЧАС_МЕНЮ!$F$11:$F$3265,C582)</f>
        <v>7.5735</v>
      </c>
      <c r="G582" s="12" t="n">
        <f aca="false">ПАРАМЕТРЫ!D23</f>
        <v>21</v>
      </c>
      <c r="H582" s="12" t="n">
        <f aca="false">SUMIFS(ШТАТ_ПО_ЧАСАМ!$C$11:$C$115,ШТАТ_ПО_ЧАСАМ!$A$11:$A$115,A582,ШТАТ_ПО_ЧАСАМ!$B$11:$B$115,B582)</f>
        <v>1</v>
      </c>
      <c r="I582" s="12" t="n">
        <f aca="false">MIN(H582,1)*ПАРАМЕТРЫ!E23</f>
        <v>21</v>
      </c>
      <c r="J582" s="12" t="n">
        <f aca="false">MIN(G582,I582)</f>
        <v>21</v>
      </c>
      <c r="K582" s="12" t="n">
        <f aca="false">MAX(F582-J582,0)</f>
        <v>0</v>
      </c>
      <c r="L582" s="12" t="n">
        <f aca="false">IF(J582=0,0,F582/J582)</f>
        <v>0.360642857142857</v>
      </c>
      <c r="M582" s="11" t="str">
        <f aca="false">IF(K582&gt;0,"BLOCKED","PASS")</f>
        <v>PASS</v>
      </c>
      <c r="N582" s="11" t="s">
        <v>233</v>
      </c>
    </row>
    <row r="583" customFormat="false" ht="23.85" hidden="false" customHeight="false" outlineLevel="0" collapsed="false">
      <c r="A583" s="11" t="s">
        <v>111</v>
      </c>
      <c r="B583" s="11" t="s">
        <v>135</v>
      </c>
      <c r="C583" s="11" t="s">
        <v>85</v>
      </c>
      <c r="D583" s="11" t="s">
        <v>86</v>
      </c>
      <c r="E583" s="11" t="s">
        <v>87</v>
      </c>
      <c r="F583" s="12" t="n">
        <f aca="false">SUMIFS(СПРОС_ДЕНЬ_ЧАС_МЕНЮ!$I$11:$I$3265,СПРОС_ДЕНЬ_ЧАС_МЕНЮ!$A$11:$A$3265,A583,СПРОС_ДЕНЬ_ЧАС_МЕНЮ!$B$11:$B$3265,B583,СПРОС_ДЕНЬ_ЧАС_МЕНЮ!$F$11:$F$3265,C583)</f>
        <v>3.3999075</v>
      </c>
      <c r="G583" s="12" t="n">
        <f aca="false">ПАРАМЕТРЫ!D24</f>
        <v>12</v>
      </c>
      <c r="H583" s="12" t="n">
        <f aca="false">SUMIFS(ШТАТ_ПО_ЧАСАМ!$C$11:$C$115,ШТАТ_ПО_ЧАСАМ!$A$11:$A$115,A583,ШТАТ_ПО_ЧАСАМ!$B$11:$B$115,B583)</f>
        <v>1</v>
      </c>
      <c r="I583" s="12" t="n">
        <f aca="false">MIN(H583,1)*ПАРАМЕТРЫ!E24</f>
        <v>12</v>
      </c>
      <c r="J583" s="12" t="n">
        <f aca="false">MIN(G583,I583)</f>
        <v>12</v>
      </c>
      <c r="K583" s="12" t="n">
        <f aca="false">MAX(F583-J583,0)</f>
        <v>0</v>
      </c>
      <c r="L583" s="12" t="n">
        <f aca="false">IF(J583=0,0,F583/J583)</f>
        <v>0.283325625</v>
      </c>
      <c r="M583" s="11" t="str">
        <f aca="false">IF(K583&gt;0,"BLOCKED","PASS")</f>
        <v>PASS</v>
      </c>
      <c r="N583" s="11" t="s">
        <v>233</v>
      </c>
    </row>
    <row r="584" customFormat="false" ht="23.85" hidden="false" customHeight="false" outlineLevel="0" collapsed="false">
      <c r="A584" s="11" t="s">
        <v>111</v>
      </c>
      <c r="B584" s="11" t="s">
        <v>135</v>
      </c>
      <c r="C584" s="11" t="s">
        <v>88</v>
      </c>
      <c r="D584" s="11" t="s">
        <v>89</v>
      </c>
      <c r="E584" s="11" t="s">
        <v>90</v>
      </c>
      <c r="F584" s="12" t="n">
        <f aca="false">SUMIFS(СПРОС_ДЕНЬ_ЧАС_МЕНЮ!$I$11:$I$3265,СПРОС_ДЕНЬ_ЧАС_МЕНЮ!$A$11:$A$3265,A584,СПРОС_ДЕНЬ_ЧАС_МЕНЮ!$B$11:$B$3265,B584,СПРОС_ДЕНЬ_ЧАС_МЕНЮ!$F$11:$F$3265,C584)</f>
        <v>0</v>
      </c>
      <c r="G584" s="12" t="n">
        <f aca="false">ПАРАМЕТРЫ!D25</f>
        <v>15</v>
      </c>
      <c r="H584" s="12" t="n">
        <f aca="false">SUMIFS(ШТАТ_ПО_ЧАСАМ!$C$11:$C$115,ШТАТ_ПО_ЧАСАМ!$A$11:$A$115,A584,ШТАТ_ПО_ЧАСАМ!$B$11:$B$115,B584)</f>
        <v>1</v>
      </c>
      <c r="I584" s="12" t="n">
        <f aca="false">MIN(H584,1)*ПАРАМЕТРЫ!E25</f>
        <v>10</v>
      </c>
      <c r="J584" s="12" t="n">
        <f aca="false">MIN(G584,I584)</f>
        <v>10</v>
      </c>
      <c r="K584" s="12" t="n">
        <f aca="false">MAX(F584-J584,0)</f>
        <v>0</v>
      </c>
      <c r="L584" s="12" t="n">
        <f aca="false">IF(J584=0,0,F584/J584)</f>
        <v>0</v>
      </c>
      <c r="M584" s="11" t="str">
        <f aca="false">IF(K584&gt;0,"BLOCKED","PASS")</f>
        <v>PASS</v>
      </c>
      <c r="N584" s="11" t="s">
        <v>233</v>
      </c>
    </row>
    <row r="585" customFormat="false" ht="23.85" hidden="false" customHeight="false" outlineLevel="0" collapsed="false">
      <c r="A585" s="11" t="s">
        <v>111</v>
      </c>
      <c r="B585" s="11" t="s">
        <v>135</v>
      </c>
      <c r="C585" s="11" t="s">
        <v>91</v>
      </c>
      <c r="D585" s="11" t="s">
        <v>92</v>
      </c>
      <c r="E585" s="11" t="s">
        <v>79</v>
      </c>
      <c r="F585" s="12" t="n">
        <f aca="false">SUMIFS(СПРОС_ДЕНЬ_ЧАС_МЕНЮ!$I$11:$I$3265,СПРОС_ДЕНЬ_ЧАС_МЕНЮ!$A$11:$A$3265,A585,СПРОС_ДЕНЬ_ЧАС_МЕНЮ!$B$11:$B$3265,B585,СПРОС_ДЕНЬ_ЧАС_МЕНЮ!$F$11:$F$3265,C585)</f>
        <v>1.584</v>
      </c>
      <c r="G585" s="12" t="n">
        <f aca="false">ПАРАМЕТРЫ!D26</f>
        <v>20</v>
      </c>
      <c r="H585" s="12" t="n">
        <f aca="false">SUMIFS(ШТАТ_ПО_ЧАСАМ!$C$11:$C$115,ШТАТ_ПО_ЧАСАМ!$A$11:$A$115,A585,ШТАТ_ПО_ЧАСАМ!$B$11:$B$115,B585)</f>
        <v>1</v>
      </c>
      <c r="I585" s="12" t="n">
        <f aca="false">MIN(H585,1)*ПАРАМЕТРЫ!E26</f>
        <v>10</v>
      </c>
      <c r="J585" s="12" t="n">
        <f aca="false">MIN(G585,I585)</f>
        <v>10</v>
      </c>
      <c r="K585" s="12" t="n">
        <f aca="false">MAX(F585-J585,0)</f>
        <v>0</v>
      </c>
      <c r="L585" s="12" t="n">
        <f aca="false">IF(J585=0,0,F585/J585)</f>
        <v>0.1584</v>
      </c>
      <c r="M585" s="11" t="str">
        <f aca="false">IF(K585&gt;0,"BLOCKED","PASS")</f>
        <v>PASS</v>
      </c>
      <c r="N585" s="11" t="s">
        <v>233</v>
      </c>
    </row>
    <row r="586" customFormat="false" ht="15" hidden="false" customHeight="false" outlineLevel="0" collapsed="false">
      <c r="A586" s="11" t="s">
        <v>111</v>
      </c>
      <c r="B586" s="11" t="s">
        <v>135</v>
      </c>
      <c r="C586" s="11" t="s">
        <v>93</v>
      </c>
      <c r="D586" s="11" t="s">
        <v>234</v>
      </c>
      <c r="E586" s="11" t="s">
        <v>95</v>
      </c>
      <c r="F586" s="12" t="n">
        <f aca="false">SUMIFS(СПРОС_ДЕНЬ_ЧАС_МЕНЮ!$I$11:$I$3265,СПРОС_ДЕНЬ_ЧАС_МЕНЮ!$A$11:$A$3265,A586,СПРОС_ДЕНЬ_ЧАС_МЕНЮ!$B$11:$B$3265,B586)</f>
        <v>22.5102075</v>
      </c>
      <c r="G586" s="12" t="n">
        <f aca="false">ПАРАМЕТРЫ!D27</f>
        <v>60</v>
      </c>
      <c r="H586" s="12" t="n">
        <f aca="false">SUMIFS(ШТАТ_ПО_ЧАСАМ!$C$11:$C$115,ШТАТ_ПО_ЧАСАМ!$A$11:$A$115,A586,ШТАТ_ПО_ЧАСАМ!$B$11:$B$115,B586)</f>
        <v>1</v>
      </c>
      <c r="I586" s="12" t="n">
        <f aca="false">H586*ПАРАМЕТРЫ!E27</f>
        <v>16.6666666666667</v>
      </c>
      <c r="J586" s="12" t="n">
        <f aca="false">MIN(G586,I586)</f>
        <v>16.6666666666667</v>
      </c>
      <c r="K586" s="12" t="n">
        <f aca="false">MAX(F586-J586,0)</f>
        <v>5.84354083333333</v>
      </c>
      <c r="L586" s="12" t="n">
        <f aca="false">IF(J586=0,0,F586/J586)</f>
        <v>1.35061245</v>
      </c>
      <c r="M586" s="11" t="str">
        <f aca="false">IF(K586&gt;0,"BLOCKED","PASS")</f>
        <v>BLOCKED</v>
      </c>
      <c r="N586" s="11" t="s">
        <v>235</v>
      </c>
    </row>
    <row r="587" customFormat="false" ht="23.85" hidden="false" customHeight="false" outlineLevel="0" collapsed="false">
      <c r="A587" s="11" t="s">
        <v>111</v>
      </c>
      <c r="B587" s="11" t="s">
        <v>136</v>
      </c>
      <c r="C587" s="11" t="s">
        <v>73</v>
      </c>
      <c r="D587" s="11" t="s">
        <v>74</v>
      </c>
      <c r="E587" s="11" t="s">
        <v>75</v>
      </c>
      <c r="F587" s="12" t="n">
        <f aca="false">SUMIFS(СПРОС_ДЕНЬ_ЧАС_МЕНЮ!$I$11:$I$3265,СПРОС_ДЕНЬ_ЧАС_МЕНЮ!$A$11:$A$3265,A587,СПРОС_ДЕНЬ_ЧАС_МЕНЮ!$B$11:$B$3265,B587,СПРОС_ДЕНЬ_ЧАС_МЕНЮ!$F$11:$F$3265,C587)</f>
        <v>4.0865</v>
      </c>
      <c r="G587" s="12" t="n">
        <f aca="false">ПАРАМЕТРЫ!D20</f>
        <v>25</v>
      </c>
      <c r="H587" s="12" t="n">
        <f aca="false">SUMIFS(ШТАТ_ПО_ЧАСАМ!$C$11:$C$115,ШТАТ_ПО_ЧАСАМ!$A$11:$A$115,A587,ШТАТ_ПО_ЧАСАМ!$B$11:$B$115,B587)</f>
        <v>1</v>
      </c>
      <c r="I587" s="12" t="n">
        <f aca="false">MIN(H587,1)*ПАРАМЕТРЫ!E20</f>
        <v>10</v>
      </c>
      <c r="J587" s="12" t="n">
        <f aca="false">MIN(G587,I587)</f>
        <v>10</v>
      </c>
      <c r="K587" s="12" t="n">
        <f aca="false">MAX(F587-J587,0)</f>
        <v>0</v>
      </c>
      <c r="L587" s="12" t="n">
        <f aca="false">IF(J587=0,0,F587/J587)</f>
        <v>0.40865</v>
      </c>
      <c r="M587" s="11" t="str">
        <f aca="false">IF(K587&gt;0,"BLOCKED","PASS")</f>
        <v>PASS</v>
      </c>
      <c r="N587" s="11" t="s">
        <v>233</v>
      </c>
    </row>
    <row r="588" customFormat="false" ht="23.85" hidden="false" customHeight="false" outlineLevel="0" collapsed="false">
      <c r="A588" s="11" t="s">
        <v>111</v>
      </c>
      <c r="B588" s="11" t="s">
        <v>136</v>
      </c>
      <c r="C588" s="11" t="s">
        <v>77</v>
      </c>
      <c r="D588" s="11" t="s">
        <v>78</v>
      </c>
      <c r="E588" s="11" t="s">
        <v>79</v>
      </c>
      <c r="F588" s="12" t="n">
        <f aca="false">SUMIFS(СПРОС_ДЕНЬ_ЧАС_МЕНЮ!$I$11:$I$3265,СПРОС_ДЕНЬ_ЧАС_МЕНЮ!$A$11:$A$3265,A588,СПРОС_ДЕНЬ_ЧАС_МЕНЮ!$B$11:$B$3265,B588,СПРОС_ДЕНЬ_ЧАС_МЕНЮ!$F$11:$F$3265,C588)</f>
        <v>2.3969</v>
      </c>
      <c r="G588" s="12" t="n">
        <f aca="false">ПАРАМЕТРЫ!D21</f>
        <v>20</v>
      </c>
      <c r="H588" s="12" t="n">
        <f aca="false">SUMIFS(ШТАТ_ПО_ЧАСАМ!$C$11:$C$115,ШТАТ_ПО_ЧАСАМ!$A$11:$A$115,A588,ШТАТ_ПО_ЧАСАМ!$B$11:$B$115,B588)</f>
        <v>1</v>
      </c>
      <c r="I588" s="12" t="n">
        <f aca="false">MIN(H588,1)*ПАРАМЕТРЫ!E21</f>
        <v>10</v>
      </c>
      <c r="J588" s="12" t="n">
        <f aca="false">MIN(G588,I588)</f>
        <v>10</v>
      </c>
      <c r="K588" s="12" t="n">
        <f aca="false">MAX(F588-J588,0)</f>
        <v>0</v>
      </c>
      <c r="L588" s="12" t="n">
        <f aca="false">IF(J588=0,0,F588/J588)</f>
        <v>0.23969</v>
      </c>
      <c r="M588" s="11" t="str">
        <f aca="false">IF(K588&gt;0,"BLOCKED","PASS")</f>
        <v>PASS</v>
      </c>
      <c r="N588" s="11" t="s">
        <v>233</v>
      </c>
    </row>
    <row r="589" customFormat="false" ht="23.85" hidden="false" customHeight="false" outlineLevel="0" collapsed="false">
      <c r="A589" s="11" t="s">
        <v>111</v>
      </c>
      <c r="B589" s="11" t="s">
        <v>136</v>
      </c>
      <c r="C589" s="11" t="s">
        <v>80</v>
      </c>
      <c r="D589" s="11" t="s">
        <v>81</v>
      </c>
      <c r="E589" s="11" t="s">
        <v>82</v>
      </c>
      <c r="F589" s="12" t="n">
        <f aca="false">SUMIFS(СПРОС_ДЕНЬ_ЧАС_МЕНЮ!$I$11:$I$3265,СПРОС_ДЕНЬ_ЧАС_МЕНЮ!$A$11:$A$3265,A589,СПРОС_ДЕНЬ_ЧАС_МЕНЮ!$B$11:$B$3265,B589,СПРОС_ДЕНЬ_ЧАС_МЕНЮ!$F$11:$F$3265,C589)</f>
        <v>6.215</v>
      </c>
      <c r="G589" s="12" t="n">
        <f aca="false">ПАРАМЕТРЫ!D22</f>
        <v>16</v>
      </c>
      <c r="H589" s="12" t="n">
        <f aca="false">SUMIFS(ШТАТ_ПО_ЧАСАМ!$C$11:$C$115,ШТАТ_ПО_ЧАСАМ!$A$11:$A$115,A589,ШТАТ_ПО_ЧАСАМ!$B$11:$B$115,B589)</f>
        <v>1</v>
      </c>
      <c r="I589" s="12" t="n">
        <f aca="false">MIN(H589,1)*ПАРАМЕТРЫ!E22</f>
        <v>16</v>
      </c>
      <c r="J589" s="12" t="n">
        <f aca="false">MIN(G589,I589)</f>
        <v>16</v>
      </c>
      <c r="K589" s="12" t="n">
        <f aca="false">MAX(F589-J589,0)</f>
        <v>0</v>
      </c>
      <c r="L589" s="12" t="n">
        <f aca="false">IF(J589=0,0,F589/J589)</f>
        <v>0.3884375</v>
      </c>
      <c r="M589" s="11" t="str">
        <f aca="false">IF(K589&gt;0,"BLOCKED","PASS")</f>
        <v>PASS</v>
      </c>
      <c r="N589" s="11" t="s">
        <v>233</v>
      </c>
    </row>
    <row r="590" customFormat="false" ht="23.85" hidden="false" customHeight="false" outlineLevel="0" collapsed="false">
      <c r="A590" s="11" t="s">
        <v>111</v>
      </c>
      <c r="B590" s="11" t="s">
        <v>136</v>
      </c>
      <c r="C590" s="11" t="s">
        <v>83</v>
      </c>
      <c r="D590" s="11" t="s">
        <v>84</v>
      </c>
      <c r="E590" s="11" t="s">
        <v>83</v>
      </c>
      <c r="F590" s="12" t="n">
        <f aca="false">SUMIFS(СПРОС_ДЕНЬ_ЧАС_МЕНЮ!$I$11:$I$3265,СПРОС_ДЕНЬ_ЧАС_МЕНЮ!$A$11:$A$3265,A590,СПРОС_ДЕНЬ_ЧАС_МЕНЮ!$B$11:$B$3265,B590,СПРОС_ДЕНЬ_ЧАС_МЕНЮ!$F$11:$F$3265,C590)</f>
        <v>10.2575</v>
      </c>
      <c r="G590" s="12" t="n">
        <f aca="false">ПАРАМЕТРЫ!D23</f>
        <v>21</v>
      </c>
      <c r="H590" s="12" t="n">
        <f aca="false">SUMIFS(ШТАТ_ПО_ЧАСАМ!$C$11:$C$115,ШТАТ_ПО_ЧАСАМ!$A$11:$A$115,A590,ШТАТ_ПО_ЧАСАМ!$B$11:$B$115,B590)</f>
        <v>1</v>
      </c>
      <c r="I590" s="12" t="n">
        <f aca="false">MIN(H590,1)*ПАРАМЕТРЫ!E23</f>
        <v>21</v>
      </c>
      <c r="J590" s="12" t="n">
        <f aca="false">MIN(G590,I590)</f>
        <v>21</v>
      </c>
      <c r="K590" s="12" t="n">
        <f aca="false">MAX(F590-J590,0)</f>
        <v>0</v>
      </c>
      <c r="L590" s="12" t="n">
        <f aca="false">IF(J590=0,0,F590/J590)</f>
        <v>0.488452380952381</v>
      </c>
      <c r="M590" s="11" t="str">
        <f aca="false">IF(K590&gt;0,"BLOCKED","PASS")</f>
        <v>PASS</v>
      </c>
      <c r="N590" s="11" t="s">
        <v>233</v>
      </c>
    </row>
    <row r="591" customFormat="false" ht="23.85" hidden="false" customHeight="false" outlineLevel="0" collapsed="false">
      <c r="A591" s="11" t="s">
        <v>111</v>
      </c>
      <c r="B591" s="11" t="s">
        <v>136</v>
      </c>
      <c r="C591" s="11" t="s">
        <v>85</v>
      </c>
      <c r="D591" s="11" t="s">
        <v>86</v>
      </c>
      <c r="E591" s="11" t="s">
        <v>87</v>
      </c>
      <c r="F591" s="12" t="n">
        <f aca="false">SUMIFS(СПРОС_ДЕНЬ_ЧАС_МЕНЮ!$I$11:$I$3265,СПРОС_ДЕНЬ_ЧАС_МЕНЮ!$A$11:$A$3265,A591,СПРОС_ДЕНЬ_ЧАС_МЕНЮ!$B$11:$B$3265,B591,СПРОС_ДЕНЬ_ЧАС_МЕНЮ!$F$11:$F$3265,C591)</f>
        <v>4.8908475</v>
      </c>
      <c r="G591" s="12" t="n">
        <f aca="false">ПАРАМЕТРЫ!D24</f>
        <v>12</v>
      </c>
      <c r="H591" s="12" t="n">
        <f aca="false">SUMIFS(ШТАТ_ПО_ЧАСАМ!$C$11:$C$115,ШТАТ_ПО_ЧАСАМ!$A$11:$A$115,A591,ШТАТ_ПО_ЧАСАМ!$B$11:$B$115,B591)</f>
        <v>1</v>
      </c>
      <c r="I591" s="12" t="n">
        <f aca="false">MIN(H591,1)*ПАРАМЕТРЫ!E24</f>
        <v>12</v>
      </c>
      <c r="J591" s="12" t="n">
        <f aca="false">MIN(G591,I591)</f>
        <v>12</v>
      </c>
      <c r="K591" s="12" t="n">
        <f aca="false">MAX(F591-J591,0)</f>
        <v>0</v>
      </c>
      <c r="L591" s="12" t="n">
        <f aca="false">IF(J591=0,0,F591/J591)</f>
        <v>0.407570625</v>
      </c>
      <c r="M591" s="11" t="str">
        <f aca="false">IF(K591&gt;0,"BLOCKED","PASS")</f>
        <v>PASS</v>
      </c>
      <c r="N591" s="11" t="s">
        <v>233</v>
      </c>
    </row>
    <row r="592" customFormat="false" ht="23.85" hidden="false" customHeight="false" outlineLevel="0" collapsed="false">
      <c r="A592" s="11" t="s">
        <v>111</v>
      </c>
      <c r="B592" s="11" t="s">
        <v>136</v>
      </c>
      <c r="C592" s="11" t="s">
        <v>88</v>
      </c>
      <c r="D592" s="11" t="s">
        <v>89</v>
      </c>
      <c r="E592" s="11" t="s">
        <v>90</v>
      </c>
      <c r="F592" s="12" t="n">
        <f aca="false">SUMIFS(СПРОС_ДЕНЬ_ЧАС_МЕНЮ!$I$11:$I$3265,СПРОС_ДЕНЬ_ЧАС_МЕНЮ!$A$11:$A$3265,A592,СПРОС_ДЕНЬ_ЧАС_МЕНЮ!$B$11:$B$3265,B592,СПРОС_ДЕНЬ_ЧАС_МЕНЮ!$F$11:$F$3265,C592)</f>
        <v>0</v>
      </c>
      <c r="G592" s="12" t="n">
        <f aca="false">ПАРАМЕТРЫ!D25</f>
        <v>15</v>
      </c>
      <c r="H592" s="12" t="n">
        <f aca="false">SUMIFS(ШТАТ_ПО_ЧАСАМ!$C$11:$C$115,ШТАТ_ПО_ЧАСАМ!$A$11:$A$115,A592,ШТАТ_ПО_ЧАСАМ!$B$11:$B$115,B592)</f>
        <v>1</v>
      </c>
      <c r="I592" s="12" t="n">
        <f aca="false">MIN(H592,1)*ПАРАМЕТРЫ!E25</f>
        <v>10</v>
      </c>
      <c r="J592" s="12" t="n">
        <f aca="false">MIN(G592,I592)</f>
        <v>10</v>
      </c>
      <c r="K592" s="12" t="n">
        <f aca="false">MAX(F592-J592,0)</f>
        <v>0</v>
      </c>
      <c r="L592" s="12" t="n">
        <f aca="false">IF(J592=0,0,F592/J592)</f>
        <v>0</v>
      </c>
      <c r="M592" s="11" t="str">
        <f aca="false">IF(K592&gt;0,"BLOCKED","PASS")</f>
        <v>PASS</v>
      </c>
      <c r="N592" s="11" t="s">
        <v>233</v>
      </c>
    </row>
    <row r="593" customFormat="false" ht="23.85" hidden="false" customHeight="false" outlineLevel="0" collapsed="false">
      <c r="A593" s="11" t="s">
        <v>111</v>
      </c>
      <c r="B593" s="11" t="s">
        <v>136</v>
      </c>
      <c r="C593" s="11" t="s">
        <v>91</v>
      </c>
      <c r="D593" s="11" t="s">
        <v>92</v>
      </c>
      <c r="E593" s="11" t="s">
        <v>79</v>
      </c>
      <c r="F593" s="12" t="n">
        <f aca="false">SUMIFS(СПРОС_ДЕНЬ_ЧАС_МЕНЮ!$I$11:$I$3265,СПРОС_ДЕНЬ_ЧАС_МЕНЮ!$A$11:$A$3265,A593,СПРОС_ДЕНЬ_ЧАС_МЕНЮ!$B$11:$B$3265,B593,СПРОС_ДЕНЬ_ЧАС_МЕНЮ!$F$11:$F$3265,C593)</f>
        <v>1.925</v>
      </c>
      <c r="G593" s="12" t="n">
        <f aca="false">ПАРАМЕТРЫ!D26</f>
        <v>20</v>
      </c>
      <c r="H593" s="12" t="n">
        <f aca="false">SUMIFS(ШТАТ_ПО_ЧАСАМ!$C$11:$C$115,ШТАТ_ПО_ЧАСАМ!$A$11:$A$115,A593,ШТАТ_ПО_ЧАСАМ!$B$11:$B$115,B593)</f>
        <v>1</v>
      </c>
      <c r="I593" s="12" t="n">
        <f aca="false">MIN(H593,1)*ПАРАМЕТРЫ!E26</f>
        <v>10</v>
      </c>
      <c r="J593" s="12" t="n">
        <f aca="false">MIN(G593,I593)</f>
        <v>10</v>
      </c>
      <c r="K593" s="12" t="n">
        <f aca="false">MAX(F593-J593,0)</f>
        <v>0</v>
      </c>
      <c r="L593" s="12" t="n">
        <f aca="false">IF(J593=0,0,F593/J593)</f>
        <v>0.1925</v>
      </c>
      <c r="M593" s="11" t="str">
        <f aca="false">IF(K593&gt;0,"BLOCKED","PASS")</f>
        <v>PASS</v>
      </c>
      <c r="N593" s="11" t="s">
        <v>233</v>
      </c>
    </row>
    <row r="594" customFormat="false" ht="15" hidden="false" customHeight="false" outlineLevel="0" collapsed="false">
      <c r="A594" s="11" t="s">
        <v>111</v>
      </c>
      <c r="B594" s="11" t="s">
        <v>136</v>
      </c>
      <c r="C594" s="11" t="s">
        <v>93</v>
      </c>
      <c r="D594" s="11" t="s">
        <v>234</v>
      </c>
      <c r="E594" s="11" t="s">
        <v>95</v>
      </c>
      <c r="F594" s="12" t="n">
        <f aca="false">SUMIFS(СПРОС_ДЕНЬ_ЧАС_МЕНЮ!$I$11:$I$3265,СПРОС_ДЕНЬ_ЧАС_МЕНЮ!$A$11:$A$3265,A594,СПРОС_ДЕНЬ_ЧАС_МЕНЮ!$B$11:$B$3265,B594)</f>
        <v>29.7717475</v>
      </c>
      <c r="G594" s="12" t="n">
        <f aca="false">ПАРАМЕТРЫ!D27</f>
        <v>60</v>
      </c>
      <c r="H594" s="12" t="n">
        <f aca="false">SUMIFS(ШТАТ_ПО_ЧАСАМ!$C$11:$C$115,ШТАТ_ПО_ЧАСАМ!$A$11:$A$115,A594,ШТАТ_ПО_ЧАСАМ!$B$11:$B$115,B594)</f>
        <v>1</v>
      </c>
      <c r="I594" s="12" t="n">
        <f aca="false">H594*ПАРАМЕТРЫ!E27</f>
        <v>16.6666666666667</v>
      </c>
      <c r="J594" s="12" t="n">
        <f aca="false">MIN(G594,I594)</f>
        <v>16.6666666666667</v>
      </c>
      <c r="K594" s="12" t="n">
        <f aca="false">MAX(F594-J594,0)</f>
        <v>13.1050808333333</v>
      </c>
      <c r="L594" s="12" t="n">
        <f aca="false">IF(J594=0,0,F594/J594)</f>
        <v>1.78630485</v>
      </c>
      <c r="M594" s="11" t="str">
        <f aca="false">IF(K594&gt;0,"BLOCKED","PASS")</f>
        <v>BLOCKED</v>
      </c>
      <c r="N594" s="11" t="s">
        <v>235</v>
      </c>
    </row>
    <row r="595" customFormat="false" ht="23.85" hidden="false" customHeight="false" outlineLevel="0" collapsed="false">
      <c r="A595" s="11" t="s">
        <v>111</v>
      </c>
      <c r="B595" s="11" t="s">
        <v>137</v>
      </c>
      <c r="C595" s="11" t="s">
        <v>73</v>
      </c>
      <c r="D595" s="11" t="s">
        <v>74</v>
      </c>
      <c r="E595" s="11" t="s">
        <v>75</v>
      </c>
      <c r="F595" s="12" t="n">
        <f aca="false">SUMIFS(СПРОС_ДЕНЬ_ЧАС_МЕНЮ!$I$11:$I$3265,СПРОС_ДЕНЬ_ЧАС_МЕНЮ!$A$11:$A$3265,A595,СПРОС_ДЕНЬ_ЧАС_МЕНЮ!$B$11:$B$3265,B595,СПРОС_ДЕНЬ_ЧАС_МЕНЮ!$F$11:$F$3265,C595)</f>
        <v>4.8345</v>
      </c>
      <c r="G595" s="12" t="n">
        <f aca="false">ПАРАМЕТРЫ!D20</f>
        <v>25</v>
      </c>
      <c r="H595" s="12" t="n">
        <f aca="false">SUMIFS(ШТАТ_ПО_ЧАСАМ!$C$11:$C$115,ШТАТ_ПО_ЧАСАМ!$A$11:$A$115,A595,ШТАТ_ПО_ЧАСАМ!$B$11:$B$115,B595)</f>
        <v>1</v>
      </c>
      <c r="I595" s="12" t="n">
        <f aca="false">MIN(H595,1)*ПАРАМЕТРЫ!E20</f>
        <v>10</v>
      </c>
      <c r="J595" s="12" t="n">
        <f aca="false">MIN(G595,I595)</f>
        <v>10</v>
      </c>
      <c r="K595" s="12" t="n">
        <f aca="false">MAX(F595-J595,0)</f>
        <v>0</v>
      </c>
      <c r="L595" s="12" t="n">
        <f aca="false">IF(J595=0,0,F595/J595)</f>
        <v>0.48345</v>
      </c>
      <c r="M595" s="11" t="str">
        <f aca="false">IF(K595&gt;0,"BLOCKED","PASS")</f>
        <v>PASS</v>
      </c>
      <c r="N595" s="11" t="s">
        <v>233</v>
      </c>
    </row>
    <row r="596" customFormat="false" ht="23.85" hidden="false" customHeight="false" outlineLevel="0" collapsed="false">
      <c r="A596" s="11" t="s">
        <v>111</v>
      </c>
      <c r="B596" s="11" t="s">
        <v>137</v>
      </c>
      <c r="C596" s="11" t="s">
        <v>77</v>
      </c>
      <c r="D596" s="11" t="s">
        <v>78</v>
      </c>
      <c r="E596" s="11" t="s">
        <v>79</v>
      </c>
      <c r="F596" s="12" t="n">
        <f aca="false">SUMIFS(СПРОС_ДЕНЬ_ЧАС_МЕНЮ!$I$11:$I$3265,СПРОС_ДЕНЬ_ЧАС_МЕНЮ!$A$11:$A$3265,A596,СПРОС_ДЕНЬ_ЧАС_МЕНЮ!$B$11:$B$3265,B596,СПРОС_ДЕНЬ_ЧАС_МЕНЮ!$F$11:$F$3265,C596)</f>
        <v>2.3265</v>
      </c>
      <c r="G596" s="12" t="n">
        <f aca="false">ПАРАМЕТРЫ!D21</f>
        <v>20</v>
      </c>
      <c r="H596" s="12" t="n">
        <f aca="false">SUMIFS(ШТАТ_ПО_ЧАСАМ!$C$11:$C$115,ШТАТ_ПО_ЧАСАМ!$A$11:$A$115,A596,ШТАТ_ПО_ЧАСАМ!$B$11:$B$115,B596)</f>
        <v>1</v>
      </c>
      <c r="I596" s="12" t="n">
        <f aca="false">MIN(H596,1)*ПАРАМЕТРЫ!E21</f>
        <v>10</v>
      </c>
      <c r="J596" s="12" t="n">
        <f aca="false">MIN(G596,I596)</f>
        <v>10</v>
      </c>
      <c r="K596" s="12" t="n">
        <f aca="false">MAX(F596-J596,0)</f>
        <v>0</v>
      </c>
      <c r="L596" s="12" t="n">
        <f aca="false">IF(J596=0,0,F596/J596)</f>
        <v>0.23265</v>
      </c>
      <c r="M596" s="11" t="str">
        <f aca="false">IF(K596&gt;0,"BLOCKED","PASS")</f>
        <v>PASS</v>
      </c>
      <c r="N596" s="11" t="s">
        <v>233</v>
      </c>
    </row>
    <row r="597" customFormat="false" ht="23.85" hidden="false" customHeight="false" outlineLevel="0" collapsed="false">
      <c r="A597" s="11" t="s">
        <v>111</v>
      </c>
      <c r="B597" s="11" t="s">
        <v>137</v>
      </c>
      <c r="C597" s="11" t="s">
        <v>80</v>
      </c>
      <c r="D597" s="11" t="s">
        <v>81</v>
      </c>
      <c r="E597" s="11" t="s">
        <v>82</v>
      </c>
      <c r="F597" s="12" t="n">
        <f aca="false">SUMIFS(СПРОС_ДЕНЬ_ЧАС_МЕНЮ!$I$11:$I$3265,СПРОС_ДЕНЬ_ЧАС_МЕНЮ!$A$11:$A$3265,A597,СПРОС_ДЕНЬ_ЧАС_МЕНЮ!$B$11:$B$3265,B597,СПРОС_ДЕНЬ_ЧАС_МЕНЮ!$F$11:$F$3265,C597)</f>
        <v>7.6065</v>
      </c>
      <c r="G597" s="12" t="n">
        <f aca="false">ПАРАМЕТРЫ!D22</f>
        <v>16</v>
      </c>
      <c r="H597" s="12" t="n">
        <f aca="false">SUMIFS(ШТАТ_ПО_ЧАСАМ!$C$11:$C$115,ШТАТ_ПО_ЧАСАМ!$A$11:$A$115,A597,ШТАТ_ПО_ЧАСАМ!$B$11:$B$115,B597)</f>
        <v>1</v>
      </c>
      <c r="I597" s="12" t="n">
        <f aca="false">MIN(H597,1)*ПАРАМЕТРЫ!E22</f>
        <v>16</v>
      </c>
      <c r="J597" s="12" t="n">
        <f aca="false">MIN(G597,I597)</f>
        <v>16</v>
      </c>
      <c r="K597" s="12" t="n">
        <f aca="false">MAX(F597-J597,0)</f>
        <v>0</v>
      </c>
      <c r="L597" s="12" t="n">
        <f aca="false">IF(J597=0,0,F597/J597)</f>
        <v>0.47540625</v>
      </c>
      <c r="M597" s="11" t="str">
        <f aca="false">IF(K597&gt;0,"BLOCKED","PASS")</f>
        <v>PASS</v>
      </c>
      <c r="N597" s="11" t="s">
        <v>233</v>
      </c>
    </row>
    <row r="598" customFormat="false" ht="23.85" hidden="false" customHeight="false" outlineLevel="0" collapsed="false">
      <c r="A598" s="11" t="s">
        <v>111</v>
      </c>
      <c r="B598" s="11" t="s">
        <v>137</v>
      </c>
      <c r="C598" s="11" t="s">
        <v>83</v>
      </c>
      <c r="D598" s="11" t="s">
        <v>84</v>
      </c>
      <c r="E598" s="11" t="s">
        <v>83</v>
      </c>
      <c r="F598" s="12" t="n">
        <f aca="false">SUMIFS(СПРОС_ДЕНЬ_ЧАС_МЕНЮ!$I$11:$I$3265,СПРОС_ДЕНЬ_ЧАС_МЕНЮ!$A$11:$A$3265,A598,СПРОС_ДЕНЬ_ЧАС_МЕНЮ!$B$11:$B$3265,B598,СПРОС_ДЕНЬ_ЧАС_МЕНЮ!$F$11:$F$3265,C598)</f>
        <v>12.474</v>
      </c>
      <c r="G598" s="12" t="n">
        <f aca="false">ПАРАМЕТРЫ!D23</f>
        <v>21</v>
      </c>
      <c r="H598" s="12" t="n">
        <f aca="false">SUMIFS(ШТАТ_ПО_ЧАСАМ!$C$11:$C$115,ШТАТ_ПО_ЧАСАМ!$A$11:$A$115,A598,ШТАТ_ПО_ЧАСАМ!$B$11:$B$115,B598)</f>
        <v>1</v>
      </c>
      <c r="I598" s="12" t="n">
        <f aca="false">MIN(H598,1)*ПАРАМЕТРЫ!E23</f>
        <v>21</v>
      </c>
      <c r="J598" s="12" t="n">
        <f aca="false">MIN(G598,I598)</f>
        <v>21</v>
      </c>
      <c r="K598" s="12" t="n">
        <f aca="false">MAX(F598-J598,0)</f>
        <v>0</v>
      </c>
      <c r="L598" s="12" t="n">
        <f aca="false">IF(J598=0,0,F598/J598)</f>
        <v>0.594</v>
      </c>
      <c r="M598" s="11" t="str">
        <f aca="false">IF(K598&gt;0,"BLOCKED","PASS")</f>
        <v>PASS</v>
      </c>
      <c r="N598" s="11" t="s">
        <v>233</v>
      </c>
    </row>
    <row r="599" customFormat="false" ht="23.85" hidden="false" customHeight="false" outlineLevel="0" collapsed="false">
      <c r="A599" s="11" t="s">
        <v>111</v>
      </c>
      <c r="B599" s="11" t="s">
        <v>137</v>
      </c>
      <c r="C599" s="11" t="s">
        <v>85</v>
      </c>
      <c r="D599" s="11" t="s">
        <v>86</v>
      </c>
      <c r="E599" s="11" t="s">
        <v>87</v>
      </c>
      <c r="F599" s="12" t="n">
        <f aca="false">SUMIFS(СПРОС_ДЕНЬ_ЧАС_МЕНЮ!$I$11:$I$3265,СПРОС_ДЕНЬ_ЧАС_МЕНЮ!$A$11:$A$3265,A599,СПРОС_ДЕНЬ_ЧАС_МЕНЮ!$B$11:$B$3265,B599,СПРОС_ДЕНЬ_ЧАС_МЕНЮ!$F$11:$F$3265,C599)</f>
        <v>6.02415</v>
      </c>
      <c r="G599" s="12" t="n">
        <f aca="false">ПАРАМЕТРЫ!D24</f>
        <v>12</v>
      </c>
      <c r="H599" s="12" t="n">
        <f aca="false">SUMIFS(ШТАТ_ПО_ЧАСАМ!$C$11:$C$115,ШТАТ_ПО_ЧАСАМ!$A$11:$A$115,A599,ШТАТ_ПО_ЧАСАМ!$B$11:$B$115,B599)</f>
        <v>1</v>
      </c>
      <c r="I599" s="12" t="n">
        <f aca="false">MIN(H599,1)*ПАРАМЕТРЫ!E24</f>
        <v>12</v>
      </c>
      <c r="J599" s="12" t="n">
        <f aca="false">MIN(G599,I599)</f>
        <v>12</v>
      </c>
      <c r="K599" s="12" t="n">
        <f aca="false">MAX(F599-J599,0)</f>
        <v>0</v>
      </c>
      <c r="L599" s="12" t="n">
        <f aca="false">IF(J599=0,0,F599/J599)</f>
        <v>0.5020125</v>
      </c>
      <c r="M599" s="11" t="str">
        <f aca="false">IF(K599&gt;0,"BLOCKED","PASS")</f>
        <v>PASS</v>
      </c>
      <c r="N599" s="11" t="s">
        <v>233</v>
      </c>
    </row>
    <row r="600" customFormat="false" ht="23.85" hidden="false" customHeight="false" outlineLevel="0" collapsed="false">
      <c r="A600" s="11" t="s">
        <v>111</v>
      </c>
      <c r="B600" s="11" t="s">
        <v>137</v>
      </c>
      <c r="C600" s="11" t="s">
        <v>88</v>
      </c>
      <c r="D600" s="11" t="s">
        <v>89</v>
      </c>
      <c r="E600" s="11" t="s">
        <v>90</v>
      </c>
      <c r="F600" s="12" t="n">
        <f aca="false">SUMIFS(СПРОС_ДЕНЬ_ЧАС_МЕНЮ!$I$11:$I$3265,СПРОС_ДЕНЬ_ЧАС_МЕНЮ!$A$11:$A$3265,A600,СПРОС_ДЕНЬ_ЧАС_МЕНЮ!$B$11:$B$3265,B600,СПРОС_ДЕНЬ_ЧАС_МЕНЮ!$F$11:$F$3265,C600)</f>
        <v>0</v>
      </c>
      <c r="G600" s="12" t="n">
        <f aca="false">ПАРАМЕТРЫ!D25</f>
        <v>15</v>
      </c>
      <c r="H600" s="12" t="n">
        <f aca="false">SUMIFS(ШТАТ_ПО_ЧАСАМ!$C$11:$C$115,ШТАТ_ПО_ЧАСАМ!$A$11:$A$115,A600,ШТАТ_ПО_ЧАСАМ!$B$11:$B$115,B600)</f>
        <v>1</v>
      </c>
      <c r="I600" s="12" t="n">
        <f aca="false">MIN(H600,1)*ПАРАМЕТРЫ!E25</f>
        <v>10</v>
      </c>
      <c r="J600" s="12" t="n">
        <f aca="false">MIN(G600,I600)</f>
        <v>10</v>
      </c>
      <c r="K600" s="12" t="n">
        <f aca="false">MAX(F600-J600,0)</f>
        <v>0</v>
      </c>
      <c r="L600" s="12" t="n">
        <f aca="false">IF(J600=0,0,F600/J600)</f>
        <v>0</v>
      </c>
      <c r="M600" s="11" t="str">
        <f aca="false">IF(K600&gt;0,"BLOCKED","PASS")</f>
        <v>PASS</v>
      </c>
      <c r="N600" s="11" t="s">
        <v>233</v>
      </c>
    </row>
    <row r="601" customFormat="false" ht="23.85" hidden="false" customHeight="false" outlineLevel="0" collapsed="false">
      <c r="A601" s="11" t="s">
        <v>111</v>
      </c>
      <c r="B601" s="11" t="s">
        <v>137</v>
      </c>
      <c r="C601" s="11" t="s">
        <v>91</v>
      </c>
      <c r="D601" s="11" t="s">
        <v>92</v>
      </c>
      <c r="E601" s="11" t="s">
        <v>79</v>
      </c>
      <c r="F601" s="12" t="n">
        <f aca="false">SUMIFS(СПРОС_ДЕНЬ_ЧАС_МЕНЮ!$I$11:$I$3265,СПРОС_ДЕНЬ_ЧАС_МЕНЮ!$A$11:$A$3265,A601,СПРОС_ДЕНЬ_ЧАС_МЕНЮ!$B$11:$B$3265,B601,СПРОС_ДЕНЬ_ЧАС_МЕНЮ!$F$11:$F$3265,C601)</f>
        <v>2.079</v>
      </c>
      <c r="G601" s="12" t="n">
        <f aca="false">ПАРАМЕТРЫ!D26</f>
        <v>20</v>
      </c>
      <c r="H601" s="12" t="n">
        <f aca="false">SUMIFS(ШТАТ_ПО_ЧАСАМ!$C$11:$C$115,ШТАТ_ПО_ЧАСАМ!$A$11:$A$115,A601,ШТАТ_ПО_ЧАСАМ!$B$11:$B$115,B601)</f>
        <v>1</v>
      </c>
      <c r="I601" s="12" t="n">
        <f aca="false">MIN(H601,1)*ПАРАМЕТРЫ!E26</f>
        <v>10</v>
      </c>
      <c r="J601" s="12" t="n">
        <f aca="false">MIN(G601,I601)</f>
        <v>10</v>
      </c>
      <c r="K601" s="12" t="n">
        <f aca="false">MAX(F601-J601,0)</f>
        <v>0</v>
      </c>
      <c r="L601" s="12" t="n">
        <f aca="false">IF(J601=0,0,F601/J601)</f>
        <v>0.2079</v>
      </c>
      <c r="M601" s="11" t="str">
        <f aca="false">IF(K601&gt;0,"BLOCKED","PASS")</f>
        <v>PASS</v>
      </c>
      <c r="N601" s="11" t="s">
        <v>233</v>
      </c>
    </row>
    <row r="602" customFormat="false" ht="15" hidden="false" customHeight="false" outlineLevel="0" collapsed="false">
      <c r="A602" s="11" t="s">
        <v>111</v>
      </c>
      <c r="B602" s="11" t="s">
        <v>137</v>
      </c>
      <c r="C602" s="11" t="s">
        <v>93</v>
      </c>
      <c r="D602" s="11" t="s">
        <v>234</v>
      </c>
      <c r="E602" s="11" t="s">
        <v>95</v>
      </c>
      <c r="F602" s="12" t="n">
        <f aca="false">SUMIFS(СПРОС_ДЕНЬ_ЧАС_МЕНЮ!$I$11:$I$3265,СПРОС_ДЕНЬ_ЧАС_МЕНЮ!$A$11:$A$3265,A602,СПРОС_ДЕНЬ_ЧАС_МЕНЮ!$B$11:$B$3265,B602)</f>
        <v>35.34465</v>
      </c>
      <c r="G602" s="12" t="n">
        <f aca="false">ПАРАМЕТРЫ!D27</f>
        <v>60</v>
      </c>
      <c r="H602" s="12" t="n">
        <f aca="false">SUMIFS(ШТАТ_ПО_ЧАСАМ!$C$11:$C$115,ШТАТ_ПО_ЧАСАМ!$A$11:$A$115,A602,ШТАТ_ПО_ЧАСАМ!$B$11:$B$115,B602)</f>
        <v>1</v>
      </c>
      <c r="I602" s="12" t="n">
        <f aca="false">H602*ПАРАМЕТРЫ!E27</f>
        <v>16.6666666666667</v>
      </c>
      <c r="J602" s="12" t="n">
        <f aca="false">MIN(G602,I602)</f>
        <v>16.6666666666667</v>
      </c>
      <c r="K602" s="12" t="n">
        <f aca="false">MAX(F602-J602,0)</f>
        <v>18.6779833333333</v>
      </c>
      <c r="L602" s="12" t="n">
        <f aca="false">IF(J602=0,0,F602/J602)</f>
        <v>2.120679</v>
      </c>
      <c r="M602" s="11" t="str">
        <f aca="false">IF(K602&gt;0,"BLOCKED","PASS")</f>
        <v>BLOCKED</v>
      </c>
      <c r="N602" s="11" t="s">
        <v>235</v>
      </c>
    </row>
    <row r="603" customFormat="false" ht="23.85" hidden="false" customHeight="false" outlineLevel="0" collapsed="false">
      <c r="A603" s="11" t="s">
        <v>111</v>
      </c>
      <c r="B603" s="11" t="s">
        <v>138</v>
      </c>
      <c r="C603" s="11" t="s">
        <v>73</v>
      </c>
      <c r="D603" s="11" t="s">
        <v>74</v>
      </c>
      <c r="E603" s="11" t="s">
        <v>75</v>
      </c>
      <c r="F603" s="12" t="n">
        <f aca="false">SUMIFS(СПРОС_ДЕНЬ_ЧАС_МЕНЮ!$I$11:$I$3265,СПРОС_ДЕНЬ_ЧАС_МЕНЮ!$A$11:$A$3265,A603,СПРОС_ДЕНЬ_ЧАС_МЕНЮ!$B$11:$B$3265,B603,СПРОС_ДЕНЬ_ЧАС_МЕНЮ!$F$11:$F$3265,C603)</f>
        <v>2.75</v>
      </c>
      <c r="G603" s="12" t="n">
        <f aca="false">ПАРАМЕТРЫ!D20</f>
        <v>25</v>
      </c>
      <c r="H603" s="12" t="n">
        <f aca="false">SUMIFS(ШТАТ_ПО_ЧАСАМ!$C$11:$C$115,ШТАТ_ПО_ЧАСАМ!$A$11:$A$115,A603,ШТАТ_ПО_ЧАСАМ!$B$11:$B$115,B603)</f>
        <v>1</v>
      </c>
      <c r="I603" s="12" t="n">
        <f aca="false">MIN(H603,1)*ПАРАМЕТРЫ!E20</f>
        <v>10</v>
      </c>
      <c r="J603" s="12" t="n">
        <f aca="false">MIN(G603,I603)</f>
        <v>10</v>
      </c>
      <c r="K603" s="12" t="n">
        <f aca="false">MAX(F603-J603,0)</f>
        <v>0</v>
      </c>
      <c r="L603" s="12" t="n">
        <f aca="false">IF(J603=0,0,F603/J603)</f>
        <v>0.275</v>
      </c>
      <c r="M603" s="11" t="str">
        <f aca="false">IF(K603&gt;0,"BLOCKED","PASS")</f>
        <v>PASS</v>
      </c>
      <c r="N603" s="11" t="s">
        <v>233</v>
      </c>
    </row>
    <row r="604" customFormat="false" ht="23.85" hidden="false" customHeight="false" outlineLevel="0" collapsed="false">
      <c r="A604" s="11" t="s">
        <v>111</v>
      </c>
      <c r="B604" s="11" t="s">
        <v>138</v>
      </c>
      <c r="C604" s="11" t="s">
        <v>77</v>
      </c>
      <c r="D604" s="11" t="s">
        <v>78</v>
      </c>
      <c r="E604" s="11" t="s">
        <v>79</v>
      </c>
      <c r="F604" s="12" t="n">
        <f aca="false">SUMIFS(СПРОС_ДЕНЬ_ЧАС_МЕНЮ!$I$11:$I$3265,СПРОС_ДЕНЬ_ЧАС_МЕНЮ!$A$11:$A$3265,A604,СПРОС_ДЕНЬ_ЧАС_МЕНЮ!$B$11:$B$3265,B604,СПРОС_ДЕНЬ_ЧАС_МЕНЮ!$F$11:$F$3265,C604)</f>
        <v>1.298</v>
      </c>
      <c r="G604" s="12" t="n">
        <f aca="false">ПАРАМЕТРЫ!D21</f>
        <v>20</v>
      </c>
      <c r="H604" s="12" t="n">
        <f aca="false">SUMIFS(ШТАТ_ПО_ЧАСАМ!$C$11:$C$115,ШТАТ_ПО_ЧАСАМ!$A$11:$A$115,A604,ШТАТ_ПО_ЧАСАМ!$B$11:$B$115,B604)</f>
        <v>1</v>
      </c>
      <c r="I604" s="12" t="n">
        <f aca="false">MIN(H604,1)*ПАРАМЕТРЫ!E21</f>
        <v>10</v>
      </c>
      <c r="J604" s="12" t="n">
        <f aca="false">MIN(G604,I604)</f>
        <v>10</v>
      </c>
      <c r="K604" s="12" t="n">
        <f aca="false">MAX(F604-J604,0)</f>
        <v>0</v>
      </c>
      <c r="L604" s="12" t="n">
        <f aca="false">IF(J604=0,0,F604/J604)</f>
        <v>0.1298</v>
      </c>
      <c r="M604" s="11" t="str">
        <f aca="false">IF(K604&gt;0,"BLOCKED","PASS")</f>
        <v>PASS</v>
      </c>
      <c r="N604" s="11" t="s">
        <v>233</v>
      </c>
    </row>
    <row r="605" customFormat="false" ht="23.85" hidden="false" customHeight="false" outlineLevel="0" collapsed="false">
      <c r="A605" s="11" t="s">
        <v>111</v>
      </c>
      <c r="B605" s="11" t="s">
        <v>138</v>
      </c>
      <c r="C605" s="11" t="s">
        <v>80</v>
      </c>
      <c r="D605" s="11" t="s">
        <v>81</v>
      </c>
      <c r="E605" s="11" t="s">
        <v>82</v>
      </c>
      <c r="F605" s="12" t="n">
        <f aca="false">SUMIFS(СПРОС_ДЕНЬ_ЧАС_МЕНЮ!$I$11:$I$3265,СПРОС_ДЕНЬ_ЧАС_МЕНЮ!$A$11:$A$3265,A605,СПРОС_ДЕНЬ_ЧАС_МЕНЮ!$B$11:$B$3265,B605,СПРОС_ДЕНЬ_ЧАС_МЕНЮ!$F$11:$F$3265,C605)</f>
        <v>4.4825</v>
      </c>
      <c r="G605" s="12" t="n">
        <f aca="false">ПАРАМЕТРЫ!D22</f>
        <v>16</v>
      </c>
      <c r="H605" s="12" t="n">
        <f aca="false">SUMIFS(ШТАТ_ПО_ЧАСАМ!$C$11:$C$115,ШТАТ_ПО_ЧАСАМ!$A$11:$A$115,A605,ШТАТ_ПО_ЧАСАМ!$B$11:$B$115,B605)</f>
        <v>1</v>
      </c>
      <c r="I605" s="12" t="n">
        <f aca="false">MIN(H605,1)*ПАРАМЕТРЫ!E22</f>
        <v>16</v>
      </c>
      <c r="J605" s="12" t="n">
        <f aca="false">MIN(G605,I605)</f>
        <v>16</v>
      </c>
      <c r="K605" s="12" t="n">
        <f aca="false">MAX(F605-J605,0)</f>
        <v>0</v>
      </c>
      <c r="L605" s="12" t="n">
        <f aca="false">IF(J605=0,0,F605/J605)</f>
        <v>0.28015625</v>
      </c>
      <c r="M605" s="11" t="str">
        <f aca="false">IF(K605&gt;0,"BLOCKED","PASS")</f>
        <v>PASS</v>
      </c>
      <c r="N605" s="11" t="s">
        <v>233</v>
      </c>
    </row>
    <row r="606" customFormat="false" ht="23.85" hidden="false" customHeight="false" outlineLevel="0" collapsed="false">
      <c r="A606" s="11" t="s">
        <v>111</v>
      </c>
      <c r="B606" s="11" t="s">
        <v>138</v>
      </c>
      <c r="C606" s="11" t="s">
        <v>83</v>
      </c>
      <c r="D606" s="11" t="s">
        <v>84</v>
      </c>
      <c r="E606" s="11" t="s">
        <v>83</v>
      </c>
      <c r="F606" s="12" t="n">
        <f aca="false">SUMIFS(СПРОС_ДЕНЬ_ЧАС_МЕНЮ!$I$11:$I$3265,СПРОС_ДЕНЬ_ЧАС_МЕНЮ!$A$11:$A$3265,A606,СПРОС_ДЕНЬ_ЧАС_МЕНЮ!$B$11:$B$3265,B606,СПРОС_ДЕНЬ_ЧАС_МЕНЮ!$F$11:$F$3265,C606)</f>
        <v>7.37</v>
      </c>
      <c r="G606" s="12" t="n">
        <f aca="false">ПАРАМЕТРЫ!D23</f>
        <v>21</v>
      </c>
      <c r="H606" s="12" t="n">
        <f aca="false">SUMIFS(ШТАТ_ПО_ЧАСАМ!$C$11:$C$115,ШТАТ_ПО_ЧАСАМ!$A$11:$A$115,A606,ШТАТ_ПО_ЧАСАМ!$B$11:$B$115,B606)</f>
        <v>1</v>
      </c>
      <c r="I606" s="12" t="n">
        <f aca="false">MIN(H606,1)*ПАРАМЕТРЫ!E23</f>
        <v>21</v>
      </c>
      <c r="J606" s="12" t="n">
        <f aca="false">MIN(G606,I606)</f>
        <v>21</v>
      </c>
      <c r="K606" s="12" t="n">
        <f aca="false">MAX(F606-J606,0)</f>
        <v>0</v>
      </c>
      <c r="L606" s="12" t="n">
        <f aca="false">IF(J606=0,0,F606/J606)</f>
        <v>0.350952380952381</v>
      </c>
      <c r="M606" s="11" t="str">
        <f aca="false">IF(K606&gt;0,"BLOCKED","PASS")</f>
        <v>PASS</v>
      </c>
      <c r="N606" s="11" t="s">
        <v>233</v>
      </c>
    </row>
    <row r="607" customFormat="false" ht="23.85" hidden="false" customHeight="false" outlineLevel="0" collapsed="false">
      <c r="A607" s="11" t="s">
        <v>111</v>
      </c>
      <c r="B607" s="11" t="s">
        <v>138</v>
      </c>
      <c r="C607" s="11" t="s">
        <v>85</v>
      </c>
      <c r="D607" s="11" t="s">
        <v>86</v>
      </c>
      <c r="E607" s="11" t="s">
        <v>87</v>
      </c>
      <c r="F607" s="12" t="n">
        <f aca="false">SUMIFS(СПРОС_ДЕНЬ_ЧАС_МЕНЮ!$I$11:$I$3265,СПРОС_ДЕНЬ_ЧАС_МЕНЮ!$A$11:$A$3265,A607,СПРОС_ДЕНЬ_ЧАС_МЕНЮ!$B$11:$B$3265,B607,СПРОС_ДЕНЬ_ЧАС_МЕНЮ!$F$11:$F$3265,C607)</f>
        <v>3.72735</v>
      </c>
      <c r="G607" s="12" t="n">
        <f aca="false">ПАРАМЕТРЫ!D24</f>
        <v>12</v>
      </c>
      <c r="H607" s="12" t="n">
        <f aca="false">SUMIFS(ШТАТ_ПО_ЧАСАМ!$C$11:$C$115,ШТАТ_ПО_ЧАСАМ!$A$11:$A$115,A607,ШТАТ_ПО_ЧАСАМ!$B$11:$B$115,B607)</f>
        <v>1</v>
      </c>
      <c r="I607" s="12" t="n">
        <f aca="false">MIN(H607,1)*ПАРАМЕТРЫ!E24</f>
        <v>12</v>
      </c>
      <c r="J607" s="12" t="n">
        <f aca="false">MIN(G607,I607)</f>
        <v>12</v>
      </c>
      <c r="K607" s="12" t="n">
        <f aca="false">MAX(F607-J607,0)</f>
        <v>0</v>
      </c>
      <c r="L607" s="12" t="n">
        <f aca="false">IF(J607=0,0,F607/J607)</f>
        <v>0.3106125</v>
      </c>
      <c r="M607" s="11" t="str">
        <f aca="false">IF(K607&gt;0,"BLOCKED","PASS")</f>
        <v>PASS</v>
      </c>
      <c r="N607" s="11" t="s">
        <v>233</v>
      </c>
    </row>
    <row r="608" customFormat="false" ht="23.85" hidden="false" customHeight="false" outlineLevel="0" collapsed="false">
      <c r="A608" s="11" t="s">
        <v>111</v>
      </c>
      <c r="B608" s="11" t="s">
        <v>138</v>
      </c>
      <c r="C608" s="11" t="s">
        <v>88</v>
      </c>
      <c r="D608" s="11" t="s">
        <v>89</v>
      </c>
      <c r="E608" s="11" t="s">
        <v>90</v>
      </c>
      <c r="F608" s="12" t="n">
        <f aca="false">SUMIFS(СПРОС_ДЕНЬ_ЧАС_МЕНЮ!$I$11:$I$3265,СПРОС_ДЕНЬ_ЧАС_МЕНЮ!$A$11:$A$3265,A608,СПРОС_ДЕНЬ_ЧАС_МЕНЮ!$B$11:$B$3265,B608,СПРОС_ДЕНЬ_ЧАС_МЕНЮ!$F$11:$F$3265,C608)</f>
        <v>0</v>
      </c>
      <c r="G608" s="12" t="n">
        <f aca="false">ПАРАМЕТРЫ!D25</f>
        <v>15</v>
      </c>
      <c r="H608" s="12" t="n">
        <f aca="false">SUMIFS(ШТАТ_ПО_ЧАСАМ!$C$11:$C$115,ШТАТ_ПО_ЧАСАМ!$A$11:$A$115,A608,ШТАТ_ПО_ЧАСАМ!$B$11:$B$115,B608)</f>
        <v>1</v>
      </c>
      <c r="I608" s="12" t="n">
        <f aca="false">MIN(H608,1)*ПАРАМЕТРЫ!E25</f>
        <v>10</v>
      </c>
      <c r="J608" s="12" t="n">
        <f aca="false">MIN(G608,I608)</f>
        <v>10</v>
      </c>
      <c r="K608" s="12" t="n">
        <f aca="false">MAX(F608-J608,0)</f>
        <v>0</v>
      </c>
      <c r="L608" s="12" t="n">
        <f aca="false">IF(J608=0,0,F608/J608)</f>
        <v>0</v>
      </c>
      <c r="M608" s="11" t="str">
        <f aca="false">IF(K608&gt;0,"BLOCKED","PASS")</f>
        <v>PASS</v>
      </c>
      <c r="N608" s="11" t="s">
        <v>233</v>
      </c>
    </row>
    <row r="609" customFormat="false" ht="23.85" hidden="false" customHeight="false" outlineLevel="0" collapsed="false">
      <c r="A609" s="11" t="s">
        <v>111</v>
      </c>
      <c r="B609" s="11" t="s">
        <v>138</v>
      </c>
      <c r="C609" s="11" t="s">
        <v>91</v>
      </c>
      <c r="D609" s="11" t="s">
        <v>92</v>
      </c>
      <c r="E609" s="11" t="s">
        <v>79</v>
      </c>
      <c r="F609" s="12" t="n">
        <f aca="false">SUMIFS(СПРОС_ДЕНЬ_ЧАС_МЕНЮ!$I$11:$I$3265,СПРОС_ДЕНЬ_ЧАС_МЕНЮ!$A$11:$A$3265,A609,СПРОС_ДЕНЬ_ЧАС_МЕНЮ!$B$11:$B$3265,B609,СПРОС_ДЕНЬ_ЧАС_МЕНЮ!$F$11:$F$3265,C609)</f>
        <v>1.1495</v>
      </c>
      <c r="G609" s="12" t="n">
        <f aca="false">ПАРАМЕТРЫ!D26</f>
        <v>20</v>
      </c>
      <c r="H609" s="12" t="n">
        <f aca="false">SUMIFS(ШТАТ_ПО_ЧАСАМ!$C$11:$C$115,ШТАТ_ПО_ЧАСАМ!$A$11:$A$115,A609,ШТАТ_ПО_ЧАСАМ!$B$11:$B$115,B609)</f>
        <v>1</v>
      </c>
      <c r="I609" s="12" t="n">
        <f aca="false">MIN(H609,1)*ПАРАМЕТРЫ!E26</f>
        <v>10</v>
      </c>
      <c r="J609" s="12" t="n">
        <f aca="false">MIN(G609,I609)</f>
        <v>10</v>
      </c>
      <c r="K609" s="12" t="n">
        <f aca="false">MAX(F609-J609,0)</f>
        <v>0</v>
      </c>
      <c r="L609" s="12" t="n">
        <f aca="false">IF(J609=0,0,F609/J609)</f>
        <v>0.11495</v>
      </c>
      <c r="M609" s="11" t="str">
        <f aca="false">IF(K609&gt;0,"BLOCKED","PASS")</f>
        <v>PASS</v>
      </c>
      <c r="N609" s="11" t="s">
        <v>233</v>
      </c>
    </row>
    <row r="610" customFormat="false" ht="15" hidden="false" customHeight="false" outlineLevel="0" collapsed="false">
      <c r="A610" s="11" t="s">
        <v>111</v>
      </c>
      <c r="B610" s="11" t="s">
        <v>138</v>
      </c>
      <c r="C610" s="11" t="s">
        <v>93</v>
      </c>
      <c r="D610" s="11" t="s">
        <v>234</v>
      </c>
      <c r="E610" s="11" t="s">
        <v>95</v>
      </c>
      <c r="F610" s="12" t="n">
        <f aca="false">SUMIFS(СПРОС_ДЕНЬ_ЧАС_МЕНЮ!$I$11:$I$3265,СПРОС_ДЕНЬ_ЧАС_МЕНЮ!$A$11:$A$3265,A610,СПРОС_ДЕНЬ_ЧАС_МЕНЮ!$B$11:$B$3265,B610)</f>
        <v>20.77735</v>
      </c>
      <c r="G610" s="12" t="n">
        <f aca="false">ПАРАМЕТРЫ!D27</f>
        <v>60</v>
      </c>
      <c r="H610" s="12" t="n">
        <f aca="false">SUMIFS(ШТАТ_ПО_ЧАСАМ!$C$11:$C$115,ШТАТ_ПО_ЧАСАМ!$A$11:$A$115,A610,ШТАТ_ПО_ЧАСАМ!$B$11:$B$115,B610)</f>
        <v>1</v>
      </c>
      <c r="I610" s="12" t="n">
        <f aca="false">H610*ПАРАМЕТРЫ!E27</f>
        <v>16.6666666666667</v>
      </c>
      <c r="J610" s="12" t="n">
        <f aca="false">MIN(G610,I610)</f>
        <v>16.6666666666667</v>
      </c>
      <c r="K610" s="12" t="n">
        <f aca="false">MAX(F610-J610,0)</f>
        <v>4.11068333333333</v>
      </c>
      <c r="L610" s="12" t="n">
        <f aca="false">IF(J610=0,0,F610/J610)</f>
        <v>1.246641</v>
      </c>
      <c r="M610" s="11" t="str">
        <f aca="false">IF(K610&gt;0,"BLOCKED","PASS")</f>
        <v>BLOCKED</v>
      </c>
      <c r="N610" s="11" t="s">
        <v>235</v>
      </c>
    </row>
    <row r="611" customFormat="false" ht="23.85" hidden="false" customHeight="false" outlineLevel="0" collapsed="false">
      <c r="A611" s="11" t="s">
        <v>112</v>
      </c>
      <c r="B611" s="11" t="s">
        <v>124</v>
      </c>
      <c r="C611" s="11" t="s">
        <v>73</v>
      </c>
      <c r="D611" s="11" t="s">
        <v>74</v>
      </c>
      <c r="E611" s="11" t="s">
        <v>75</v>
      </c>
      <c r="F611" s="12" t="n">
        <f aca="false">SUMIFS(СПРОС_ДЕНЬ_ЧАС_МЕНЮ!$I$11:$I$3265,СПРОС_ДЕНЬ_ЧАС_МЕНЮ!$A$11:$A$3265,A611,СПРОС_ДЕНЬ_ЧАС_МЕНЮ!$B$11:$B$3265,B611,СПРОС_ДЕНЬ_ЧАС_МЕНЮ!$F$11:$F$3265,C611)</f>
        <v>0</v>
      </c>
      <c r="G611" s="12" t="n">
        <f aca="false">ПАРАМЕТРЫ!D20</f>
        <v>25</v>
      </c>
      <c r="H611" s="12" t="n">
        <f aca="false">SUMIFS(ШТАТ_ПО_ЧАСАМ!$C$11:$C$115,ШТАТ_ПО_ЧАСАМ!$A$11:$A$115,A611,ШТАТ_ПО_ЧАСАМ!$B$11:$B$115,B611)</f>
        <v>1</v>
      </c>
      <c r="I611" s="12" t="n">
        <f aca="false">MIN(H611,1)*ПАРАМЕТРЫ!E20</f>
        <v>10</v>
      </c>
      <c r="J611" s="12" t="n">
        <f aca="false">MIN(G611,I611)</f>
        <v>10</v>
      </c>
      <c r="K611" s="12" t="n">
        <f aca="false">MAX(F611-J611,0)</f>
        <v>0</v>
      </c>
      <c r="L611" s="12" t="n">
        <f aca="false">IF(J611=0,0,F611/J611)</f>
        <v>0</v>
      </c>
      <c r="M611" s="11" t="str">
        <f aca="false">IF(K611&gt;0,"BLOCKED","PASS")</f>
        <v>PASS</v>
      </c>
      <c r="N611" s="11" t="s">
        <v>233</v>
      </c>
    </row>
    <row r="612" customFormat="false" ht="23.85" hidden="false" customHeight="false" outlineLevel="0" collapsed="false">
      <c r="A612" s="11" t="s">
        <v>112</v>
      </c>
      <c r="B612" s="11" t="s">
        <v>124</v>
      </c>
      <c r="C612" s="11" t="s">
        <v>77</v>
      </c>
      <c r="D612" s="11" t="s">
        <v>78</v>
      </c>
      <c r="E612" s="11" t="s">
        <v>79</v>
      </c>
      <c r="F612" s="12" t="n">
        <f aca="false">SUMIFS(СПРОС_ДЕНЬ_ЧАС_МЕНЮ!$I$11:$I$3265,СПРОС_ДЕНЬ_ЧАС_МЕНЮ!$A$11:$A$3265,A612,СПРОС_ДЕНЬ_ЧАС_МЕНЮ!$B$11:$B$3265,B612,СПРОС_ДЕНЬ_ЧАС_МЕНЮ!$F$11:$F$3265,C612)</f>
        <v>0.396</v>
      </c>
      <c r="G612" s="12" t="n">
        <f aca="false">ПАРАМЕТРЫ!D21</f>
        <v>20</v>
      </c>
      <c r="H612" s="12" t="n">
        <f aca="false">SUMIFS(ШТАТ_ПО_ЧАСАМ!$C$11:$C$115,ШТАТ_ПО_ЧАСАМ!$A$11:$A$115,A612,ШТАТ_ПО_ЧАСАМ!$B$11:$B$115,B612)</f>
        <v>1</v>
      </c>
      <c r="I612" s="12" t="n">
        <f aca="false">MIN(H612,1)*ПАРАМЕТРЫ!E21</f>
        <v>10</v>
      </c>
      <c r="J612" s="12" t="n">
        <f aca="false">MIN(G612,I612)</f>
        <v>10</v>
      </c>
      <c r="K612" s="12" t="n">
        <f aca="false">MAX(F612-J612,0)</f>
        <v>0</v>
      </c>
      <c r="L612" s="12" t="n">
        <f aca="false">IF(J612=0,0,F612/J612)</f>
        <v>0.0396</v>
      </c>
      <c r="M612" s="11" t="str">
        <f aca="false">IF(K612&gt;0,"BLOCKED","PASS")</f>
        <v>PASS</v>
      </c>
      <c r="N612" s="11" t="s">
        <v>233</v>
      </c>
    </row>
    <row r="613" customFormat="false" ht="23.85" hidden="false" customHeight="false" outlineLevel="0" collapsed="false">
      <c r="A613" s="11" t="s">
        <v>112</v>
      </c>
      <c r="B613" s="11" t="s">
        <v>124</v>
      </c>
      <c r="C613" s="11" t="s">
        <v>80</v>
      </c>
      <c r="D613" s="11" t="s">
        <v>81</v>
      </c>
      <c r="E613" s="11" t="s">
        <v>82</v>
      </c>
      <c r="F613" s="12" t="n">
        <f aca="false">SUMIFS(СПРОС_ДЕНЬ_ЧАС_МЕНЮ!$I$11:$I$3265,СПРОС_ДЕНЬ_ЧАС_МЕНЮ!$A$11:$A$3265,A613,СПРОС_ДЕНЬ_ЧАС_МЕНЮ!$B$11:$B$3265,B613,СПРОС_ДЕНЬ_ЧАС_МЕНЮ!$F$11:$F$3265,C613)</f>
        <v>0</v>
      </c>
      <c r="G613" s="12" t="n">
        <f aca="false">ПАРАМЕТРЫ!D22</f>
        <v>16</v>
      </c>
      <c r="H613" s="12" t="n">
        <f aca="false">SUMIFS(ШТАТ_ПО_ЧАСАМ!$C$11:$C$115,ШТАТ_ПО_ЧАСАМ!$A$11:$A$115,A613,ШТАТ_ПО_ЧАСАМ!$B$11:$B$115,B613)</f>
        <v>1</v>
      </c>
      <c r="I613" s="12" t="n">
        <f aca="false">MIN(H613,1)*ПАРАМЕТРЫ!E22</f>
        <v>16</v>
      </c>
      <c r="J613" s="12" t="n">
        <f aca="false">MIN(G613,I613)</f>
        <v>16</v>
      </c>
      <c r="K613" s="12" t="n">
        <f aca="false">MAX(F613-J613,0)</f>
        <v>0</v>
      </c>
      <c r="L613" s="12" t="n">
        <f aca="false">IF(J613=0,0,F613/J613)</f>
        <v>0</v>
      </c>
      <c r="M613" s="11" t="str">
        <f aca="false">IF(K613&gt;0,"BLOCKED","PASS")</f>
        <v>PASS</v>
      </c>
      <c r="N613" s="11" t="s">
        <v>233</v>
      </c>
    </row>
    <row r="614" customFormat="false" ht="23.85" hidden="false" customHeight="false" outlineLevel="0" collapsed="false">
      <c r="A614" s="11" t="s">
        <v>112</v>
      </c>
      <c r="B614" s="11" t="s">
        <v>124</v>
      </c>
      <c r="C614" s="11" t="s">
        <v>83</v>
      </c>
      <c r="D614" s="11" t="s">
        <v>84</v>
      </c>
      <c r="E614" s="11" t="s">
        <v>83</v>
      </c>
      <c r="F614" s="12" t="n">
        <f aca="false">SUMIFS(СПРОС_ДЕНЬ_ЧАС_МЕНЮ!$I$11:$I$3265,СПРОС_ДЕНЬ_ЧАС_МЕНЮ!$A$11:$A$3265,A614,СПРОС_ДЕНЬ_ЧАС_МЕНЮ!$B$11:$B$3265,B614,СПРОС_ДЕНЬ_ЧАС_МЕНЮ!$F$11:$F$3265,C614)</f>
        <v>0</v>
      </c>
      <c r="G614" s="12" t="n">
        <f aca="false">ПАРАМЕТРЫ!D23</f>
        <v>21</v>
      </c>
      <c r="H614" s="12" t="n">
        <f aca="false">SUMIFS(ШТАТ_ПО_ЧАСАМ!$C$11:$C$115,ШТАТ_ПО_ЧАСАМ!$A$11:$A$115,A614,ШТАТ_ПО_ЧАСАМ!$B$11:$B$115,B614)</f>
        <v>1</v>
      </c>
      <c r="I614" s="12" t="n">
        <f aca="false">MIN(H614,1)*ПАРАМЕТРЫ!E23</f>
        <v>21</v>
      </c>
      <c r="J614" s="12" t="n">
        <f aca="false">MIN(G614,I614)</f>
        <v>21</v>
      </c>
      <c r="K614" s="12" t="n">
        <f aca="false">MAX(F614-J614,0)</f>
        <v>0</v>
      </c>
      <c r="L614" s="12" t="n">
        <f aca="false">IF(J614=0,0,F614/J614)</f>
        <v>0</v>
      </c>
      <c r="M614" s="11" t="str">
        <f aca="false">IF(K614&gt;0,"BLOCKED","PASS")</f>
        <v>PASS</v>
      </c>
      <c r="N614" s="11" t="s">
        <v>233</v>
      </c>
    </row>
    <row r="615" customFormat="false" ht="23.85" hidden="false" customHeight="false" outlineLevel="0" collapsed="false">
      <c r="A615" s="11" t="s">
        <v>112</v>
      </c>
      <c r="B615" s="11" t="s">
        <v>124</v>
      </c>
      <c r="C615" s="11" t="s">
        <v>85</v>
      </c>
      <c r="D615" s="11" t="s">
        <v>86</v>
      </c>
      <c r="E615" s="11" t="s">
        <v>87</v>
      </c>
      <c r="F615" s="12" t="n">
        <f aca="false">SUMIFS(СПРОС_ДЕНЬ_ЧАС_МЕНЮ!$I$11:$I$3265,СПРОС_ДЕНЬ_ЧАС_МЕНЮ!$A$11:$A$3265,A615,СПРОС_ДЕНЬ_ЧАС_МЕНЮ!$B$11:$B$3265,B615,СПРОС_ДЕНЬ_ЧАС_МЕНЮ!$F$11:$F$3265,C615)</f>
        <v>0</v>
      </c>
      <c r="G615" s="12" t="n">
        <f aca="false">ПАРАМЕТРЫ!D24</f>
        <v>12</v>
      </c>
      <c r="H615" s="12" t="n">
        <f aca="false">SUMIFS(ШТАТ_ПО_ЧАСАМ!$C$11:$C$115,ШТАТ_ПО_ЧАСАМ!$A$11:$A$115,A615,ШТАТ_ПО_ЧАСАМ!$B$11:$B$115,B615)</f>
        <v>1</v>
      </c>
      <c r="I615" s="12" t="n">
        <f aca="false">MIN(H615,1)*ПАРАМЕТРЫ!E24</f>
        <v>12</v>
      </c>
      <c r="J615" s="12" t="n">
        <f aca="false">MIN(G615,I615)</f>
        <v>12</v>
      </c>
      <c r="K615" s="12" t="n">
        <f aca="false">MAX(F615-J615,0)</f>
        <v>0</v>
      </c>
      <c r="L615" s="12" t="n">
        <f aca="false">IF(J615=0,0,F615/J615)</f>
        <v>0</v>
      </c>
      <c r="M615" s="11" t="str">
        <f aca="false">IF(K615&gt;0,"BLOCKED","PASS")</f>
        <v>PASS</v>
      </c>
      <c r="N615" s="11" t="s">
        <v>233</v>
      </c>
    </row>
    <row r="616" customFormat="false" ht="23.85" hidden="false" customHeight="false" outlineLevel="0" collapsed="false">
      <c r="A616" s="11" t="s">
        <v>112</v>
      </c>
      <c r="B616" s="11" t="s">
        <v>124</v>
      </c>
      <c r="C616" s="11" t="s">
        <v>88</v>
      </c>
      <c r="D616" s="11" t="s">
        <v>89</v>
      </c>
      <c r="E616" s="11" t="s">
        <v>90</v>
      </c>
      <c r="F616" s="12" t="n">
        <f aca="false">SUMIFS(СПРОС_ДЕНЬ_ЧАС_МЕНЮ!$I$11:$I$3265,СПРОС_ДЕНЬ_ЧАС_МЕНЮ!$A$11:$A$3265,A616,СПРОС_ДЕНЬ_ЧАС_МЕНЮ!$B$11:$B$3265,B616,СПРОС_ДЕНЬ_ЧАС_МЕНЮ!$F$11:$F$3265,C616)</f>
        <v>3.3</v>
      </c>
      <c r="G616" s="12" t="n">
        <f aca="false">ПАРАМЕТРЫ!D25</f>
        <v>15</v>
      </c>
      <c r="H616" s="12" t="n">
        <f aca="false">SUMIFS(ШТАТ_ПО_ЧАСАМ!$C$11:$C$115,ШТАТ_ПО_ЧАСАМ!$A$11:$A$115,A616,ШТАТ_ПО_ЧАСАМ!$B$11:$B$115,B616)</f>
        <v>1</v>
      </c>
      <c r="I616" s="12" t="n">
        <f aca="false">MIN(H616,1)*ПАРАМЕТРЫ!E25</f>
        <v>10</v>
      </c>
      <c r="J616" s="12" t="n">
        <f aca="false">MIN(G616,I616)</f>
        <v>10</v>
      </c>
      <c r="K616" s="12" t="n">
        <f aca="false">MAX(F616-J616,0)</f>
        <v>0</v>
      </c>
      <c r="L616" s="12" t="n">
        <f aca="false">IF(J616=0,0,F616/J616)</f>
        <v>0.33</v>
      </c>
      <c r="M616" s="11" t="str">
        <f aca="false">IF(K616&gt;0,"BLOCKED","PASS")</f>
        <v>PASS</v>
      </c>
      <c r="N616" s="11" t="s">
        <v>233</v>
      </c>
    </row>
    <row r="617" customFormat="false" ht="23.85" hidden="false" customHeight="false" outlineLevel="0" collapsed="false">
      <c r="A617" s="11" t="s">
        <v>112</v>
      </c>
      <c r="B617" s="11" t="s">
        <v>124</v>
      </c>
      <c r="C617" s="11" t="s">
        <v>91</v>
      </c>
      <c r="D617" s="11" t="s">
        <v>92</v>
      </c>
      <c r="E617" s="11" t="s">
        <v>79</v>
      </c>
      <c r="F617" s="12" t="n">
        <f aca="false">SUMIFS(СПРОС_ДЕНЬ_ЧАС_МЕНЮ!$I$11:$I$3265,СПРОС_ДЕНЬ_ЧАС_МЕНЮ!$A$11:$A$3265,A617,СПРОС_ДЕНЬ_ЧАС_МЕНЮ!$B$11:$B$3265,B617,СПРОС_ДЕНЬ_ЧАС_МЕНЮ!$F$11:$F$3265,C617)</f>
        <v>0.198</v>
      </c>
      <c r="G617" s="12" t="n">
        <f aca="false">ПАРАМЕТРЫ!D26</f>
        <v>20</v>
      </c>
      <c r="H617" s="12" t="n">
        <f aca="false">SUMIFS(ШТАТ_ПО_ЧАСАМ!$C$11:$C$115,ШТАТ_ПО_ЧАСАМ!$A$11:$A$115,A617,ШТАТ_ПО_ЧАСАМ!$B$11:$B$115,B617)</f>
        <v>1</v>
      </c>
      <c r="I617" s="12" t="n">
        <f aca="false">MIN(H617,1)*ПАРАМЕТРЫ!E26</f>
        <v>10</v>
      </c>
      <c r="J617" s="12" t="n">
        <f aca="false">MIN(G617,I617)</f>
        <v>10</v>
      </c>
      <c r="K617" s="12" t="n">
        <f aca="false">MAX(F617-J617,0)</f>
        <v>0</v>
      </c>
      <c r="L617" s="12" t="n">
        <f aca="false">IF(J617=0,0,F617/J617)</f>
        <v>0.0198</v>
      </c>
      <c r="M617" s="11" t="str">
        <f aca="false">IF(K617&gt;0,"BLOCKED","PASS")</f>
        <v>PASS</v>
      </c>
      <c r="N617" s="11" t="s">
        <v>233</v>
      </c>
    </row>
    <row r="618" customFormat="false" ht="15" hidden="false" customHeight="false" outlineLevel="0" collapsed="false">
      <c r="A618" s="11" t="s">
        <v>112</v>
      </c>
      <c r="B618" s="11" t="s">
        <v>124</v>
      </c>
      <c r="C618" s="11" t="s">
        <v>93</v>
      </c>
      <c r="D618" s="11" t="s">
        <v>234</v>
      </c>
      <c r="E618" s="11" t="s">
        <v>95</v>
      </c>
      <c r="F618" s="12" t="n">
        <f aca="false">SUMIFS(СПРОС_ДЕНЬ_ЧАС_МЕНЮ!$I$11:$I$3265,СПРОС_ДЕНЬ_ЧАС_МЕНЮ!$A$11:$A$3265,A618,СПРОС_ДЕНЬ_ЧАС_МЕНЮ!$B$11:$B$3265,B618)</f>
        <v>3.894</v>
      </c>
      <c r="G618" s="12" t="n">
        <f aca="false">ПАРАМЕТРЫ!D27</f>
        <v>60</v>
      </c>
      <c r="H618" s="12" t="n">
        <f aca="false">SUMIFS(ШТАТ_ПО_ЧАСАМ!$C$11:$C$115,ШТАТ_ПО_ЧАСАМ!$A$11:$A$115,A618,ШТАТ_ПО_ЧАСАМ!$B$11:$B$115,B618)</f>
        <v>1</v>
      </c>
      <c r="I618" s="12" t="n">
        <f aca="false">H618*ПАРАМЕТРЫ!E27</f>
        <v>16.6666666666667</v>
      </c>
      <c r="J618" s="12" t="n">
        <f aca="false">MIN(G618,I618)</f>
        <v>16.6666666666667</v>
      </c>
      <c r="K618" s="12" t="n">
        <f aca="false">MAX(F618-J618,0)</f>
        <v>0</v>
      </c>
      <c r="L618" s="12" t="n">
        <f aca="false">IF(J618=0,0,F618/J618)</f>
        <v>0.23364</v>
      </c>
      <c r="M618" s="11" t="str">
        <f aca="false">IF(K618&gt;0,"BLOCKED","PASS")</f>
        <v>PASS</v>
      </c>
      <c r="N618" s="11" t="s">
        <v>235</v>
      </c>
    </row>
    <row r="619" customFormat="false" ht="23.85" hidden="false" customHeight="false" outlineLevel="0" collapsed="false">
      <c r="A619" s="11" t="s">
        <v>112</v>
      </c>
      <c r="B619" s="11" t="s">
        <v>125</v>
      </c>
      <c r="C619" s="11" t="s">
        <v>73</v>
      </c>
      <c r="D619" s="11" t="s">
        <v>74</v>
      </c>
      <c r="E619" s="11" t="s">
        <v>75</v>
      </c>
      <c r="F619" s="12" t="n">
        <f aca="false">SUMIFS(СПРОС_ДЕНЬ_ЧАС_МЕНЮ!$I$11:$I$3265,СПРОС_ДЕНЬ_ЧАС_МЕНЮ!$A$11:$A$3265,A619,СПРОС_ДЕНЬ_ЧАС_МЕНЮ!$B$11:$B$3265,B619,СПРОС_ДЕНЬ_ЧАС_МЕНЮ!$F$11:$F$3265,C619)</f>
        <v>0</v>
      </c>
      <c r="G619" s="12" t="n">
        <f aca="false">ПАРАМЕТРЫ!D20</f>
        <v>25</v>
      </c>
      <c r="H619" s="12" t="n">
        <f aca="false">SUMIFS(ШТАТ_ПО_ЧАСАМ!$C$11:$C$115,ШТАТ_ПО_ЧАСАМ!$A$11:$A$115,A619,ШТАТ_ПО_ЧАСАМ!$B$11:$B$115,B619)</f>
        <v>1</v>
      </c>
      <c r="I619" s="12" t="n">
        <f aca="false">MIN(H619,1)*ПАРАМЕТРЫ!E20</f>
        <v>10</v>
      </c>
      <c r="J619" s="12" t="n">
        <f aca="false">MIN(G619,I619)</f>
        <v>10</v>
      </c>
      <c r="K619" s="12" t="n">
        <f aca="false">MAX(F619-J619,0)</f>
        <v>0</v>
      </c>
      <c r="L619" s="12" t="n">
        <f aca="false">IF(J619=0,0,F619/J619)</f>
        <v>0</v>
      </c>
      <c r="M619" s="11" t="str">
        <f aca="false">IF(K619&gt;0,"BLOCKED","PASS")</f>
        <v>PASS</v>
      </c>
      <c r="N619" s="11" t="s">
        <v>233</v>
      </c>
    </row>
    <row r="620" customFormat="false" ht="23.85" hidden="false" customHeight="false" outlineLevel="0" collapsed="false">
      <c r="A620" s="11" t="s">
        <v>112</v>
      </c>
      <c r="B620" s="11" t="s">
        <v>125</v>
      </c>
      <c r="C620" s="11" t="s">
        <v>77</v>
      </c>
      <c r="D620" s="11" t="s">
        <v>78</v>
      </c>
      <c r="E620" s="11" t="s">
        <v>79</v>
      </c>
      <c r="F620" s="12" t="n">
        <f aca="false">SUMIFS(СПРОС_ДЕНЬ_ЧАС_МЕНЮ!$I$11:$I$3265,СПРОС_ДЕНЬ_ЧАС_МЕНЮ!$A$11:$A$3265,A620,СПРОС_ДЕНЬ_ЧАС_МЕНЮ!$B$11:$B$3265,B620,СПРОС_ДЕНЬ_ЧАС_МЕНЮ!$F$11:$F$3265,C620)</f>
        <v>0.66</v>
      </c>
      <c r="G620" s="12" t="n">
        <f aca="false">ПАРАМЕТРЫ!D21</f>
        <v>20</v>
      </c>
      <c r="H620" s="12" t="n">
        <f aca="false">SUMIFS(ШТАТ_ПО_ЧАСАМ!$C$11:$C$115,ШТАТ_ПО_ЧАСАМ!$A$11:$A$115,A620,ШТАТ_ПО_ЧАСАМ!$B$11:$B$115,B620)</f>
        <v>1</v>
      </c>
      <c r="I620" s="12" t="n">
        <f aca="false">MIN(H620,1)*ПАРАМЕТРЫ!E21</f>
        <v>10</v>
      </c>
      <c r="J620" s="12" t="n">
        <f aca="false">MIN(G620,I620)</f>
        <v>10</v>
      </c>
      <c r="K620" s="12" t="n">
        <f aca="false">MAX(F620-J620,0)</f>
        <v>0</v>
      </c>
      <c r="L620" s="12" t="n">
        <f aca="false">IF(J620=0,0,F620/J620)</f>
        <v>0.066</v>
      </c>
      <c r="M620" s="11" t="str">
        <f aca="false">IF(K620&gt;0,"BLOCKED","PASS")</f>
        <v>PASS</v>
      </c>
      <c r="N620" s="11" t="s">
        <v>233</v>
      </c>
    </row>
    <row r="621" customFormat="false" ht="23.85" hidden="false" customHeight="false" outlineLevel="0" collapsed="false">
      <c r="A621" s="11" t="s">
        <v>112</v>
      </c>
      <c r="B621" s="11" t="s">
        <v>125</v>
      </c>
      <c r="C621" s="11" t="s">
        <v>80</v>
      </c>
      <c r="D621" s="11" t="s">
        <v>81</v>
      </c>
      <c r="E621" s="11" t="s">
        <v>82</v>
      </c>
      <c r="F621" s="12" t="n">
        <f aca="false">SUMIFS(СПРОС_ДЕНЬ_ЧАС_МЕНЮ!$I$11:$I$3265,СПРОС_ДЕНЬ_ЧАС_МЕНЮ!$A$11:$A$3265,A621,СПРОС_ДЕНЬ_ЧАС_МЕНЮ!$B$11:$B$3265,B621,СПРОС_ДЕНЬ_ЧАС_МЕНЮ!$F$11:$F$3265,C621)</f>
        <v>0</v>
      </c>
      <c r="G621" s="12" t="n">
        <f aca="false">ПАРАМЕТРЫ!D22</f>
        <v>16</v>
      </c>
      <c r="H621" s="12" t="n">
        <f aca="false">SUMIFS(ШТАТ_ПО_ЧАСАМ!$C$11:$C$115,ШТАТ_ПО_ЧАСАМ!$A$11:$A$115,A621,ШТАТ_ПО_ЧАСАМ!$B$11:$B$115,B621)</f>
        <v>1</v>
      </c>
      <c r="I621" s="12" t="n">
        <f aca="false">MIN(H621,1)*ПАРАМЕТРЫ!E22</f>
        <v>16</v>
      </c>
      <c r="J621" s="12" t="n">
        <f aca="false">MIN(G621,I621)</f>
        <v>16</v>
      </c>
      <c r="K621" s="12" t="n">
        <f aca="false">MAX(F621-J621,0)</f>
        <v>0</v>
      </c>
      <c r="L621" s="12" t="n">
        <f aca="false">IF(J621=0,0,F621/J621)</f>
        <v>0</v>
      </c>
      <c r="M621" s="11" t="str">
        <f aca="false">IF(K621&gt;0,"BLOCKED","PASS")</f>
        <v>PASS</v>
      </c>
      <c r="N621" s="11" t="s">
        <v>233</v>
      </c>
    </row>
    <row r="622" customFormat="false" ht="23.85" hidden="false" customHeight="false" outlineLevel="0" collapsed="false">
      <c r="A622" s="11" t="s">
        <v>112</v>
      </c>
      <c r="B622" s="11" t="s">
        <v>125</v>
      </c>
      <c r="C622" s="11" t="s">
        <v>83</v>
      </c>
      <c r="D622" s="11" t="s">
        <v>84</v>
      </c>
      <c r="E622" s="11" t="s">
        <v>83</v>
      </c>
      <c r="F622" s="12" t="n">
        <f aca="false">SUMIFS(СПРОС_ДЕНЬ_ЧАС_МЕНЮ!$I$11:$I$3265,СПРОС_ДЕНЬ_ЧАС_МЕНЮ!$A$11:$A$3265,A622,СПРОС_ДЕНЬ_ЧАС_МЕНЮ!$B$11:$B$3265,B622,СПРОС_ДЕНЬ_ЧАС_МЕНЮ!$F$11:$F$3265,C622)</f>
        <v>0</v>
      </c>
      <c r="G622" s="12" t="n">
        <f aca="false">ПАРАМЕТРЫ!D23</f>
        <v>21</v>
      </c>
      <c r="H622" s="12" t="n">
        <f aca="false">SUMIFS(ШТАТ_ПО_ЧАСАМ!$C$11:$C$115,ШТАТ_ПО_ЧАСАМ!$A$11:$A$115,A622,ШТАТ_ПО_ЧАСАМ!$B$11:$B$115,B622)</f>
        <v>1</v>
      </c>
      <c r="I622" s="12" t="n">
        <f aca="false">MIN(H622,1)*ПАРАМЕТРЫ!E23</f>
        <v>21</v>
      </c>
      <c r="J622" s="12" t="n">
        <f aca="false">MIN(G622,I622)</f>
        <v>21</v>
      </c>
      <c r="K622" s="12" t="n">
        <f aca="false">MAX(F622-J622,0)</f>
        <v>0</v>
      </c>
      <c r="L622" s="12" t="n">
        <f aca="false">IF(J622=0,0,F622/J622)</f>
        <v>0</v>
      </c>
      <c r="M622" s="11" t="str">
        <f aca="false">IF(K622&gt;0,"BLOCKED","PASS")</f>
        <v>PASS</v>
      </c>
      <c r="N622" s="11" t="s">
        <v>233</v>
      </c>
    </row>
    <row r="623" customFormat="false" ht="23.85" hidden="false" customHeight="false" outlineLevel="0" collapsed="false">
      <c r="A623" s="11" t="s">
        <v>112</v>
      </c>
      <c r="B623" s="11" t="s">
        <v>125</v>
      </c>
      <c r="C623" s="11" t="s">
        <v>85</v>
      </c>
      <c r="D623" s="11" t="s">
        <v>86</v>
      </c>
      <c r="E623" s="11" t="s">
        <v>87</v>
      </c>
      <c r="F623" s="12" t="n">
        <f aca="false">SUMIFS(СПРОС_ДЕНЬ_ЧАС_МЕНЮ!$I$11:$I$3265,СПРОС_ДЕНЬ_ЧАС_МЕНЮ!$A$11:$A$3265,A623,СПРОС_ДЕНЬ_ЧАС_МЕНЮ!$B$11:$B$3265,B623,СПРОС_ДЕНЬ_ЧАС_МЕНЮ!$F$11:$F$3265,C623)</f>
        <v>0</v>
      </c>
      <c r="G623" s="12" t="n">
        <f aca="false">ПАРАМЕТРЫ!D24</f>
        <v>12</v>
      </c>
      <c r="H623" s="12" t="n">
        <f aca="false">SUMIFS(ШТАТ_ПО_ЧАСАМ!$C$11:$C$115,ШТАТ_ПО_ЧАСАМ!$A$11:$A$115,A623,ШТАТ_ПО_ЧАСАМ!$B$11:$B$115,B623)</f>
        <v>1</v>
      </c>
      <c r="I623" s="12" t="n">
        <f aca="false">MIN(H623,1)*ПАРАМЕТРЫ!E24</f>
        <v>12</v>
      </c>
      <c r="J623" s="12" t="n">
        <f aca="false">MIN(G623,I623)</f>
        <v>12</v>
      </c>
      <c r="K623" s="12" t="n">
        <f aca="false">MAX(F623-J623,0)</f>
        <v>0</v>
      </c>
      <c r="L623" s="12" t="n">
        <f aca="false">IF(J623=0,0,F623/J623)</f>
        <v>0</v>
      </c>
      <c r="M623" s="11" t="str">
        <f aca="false">IF(K623&gt;0,"BLOCKED","PASS")</f>
        <v>PASS</v>
      </c>
      <c r="N623" s="11" t="s">
        <v>233</v>
      </c>
    </row>
    <row r="624" customFormat="false" ht="23.85" hidden="false" customHeight="false" outlineLevel="0" collapsed="false">
      <c r="A624" s="11" t="s">
        <v>112</v>
      </c>
      <c r="B624" s="11" t="s">
        <v>125</v>
      </c>
      <c r="C624" s="11" t="s">
        <v>88</v>
      </c>
      <c r="D624" s="11" t="s">
        <v>89</v>
      </c>
      <c r="E624" s="11" t="s">
        <v>90</v>
      </c>
      <c r="F624" s="12" t="n">
        <f aca="false">SUMIFS(СПРОС_ДЕНЬ_ЧАС_МЕНЮ!$I$11:$I$3265,СПРОС_ДЕНЬ_ЧАС_МЕНЮ!$A$11:$A$3265,A624,СПРОС_ДЕНЬ_ЧАС_МЕНЮ!$B$11:$B$3265,B624,СПРОС_ДЕНЬ_ЧАС_МЕНЮ!$F$11:$F$3265,C624)</f>
        <v>7.7</v>
      </c>
      <c r="G624" s="12" t="n">
        <f aca="false">ПАРАМЕТРЫ!D25</f>
        <v>15</v>
      </c>
      <c r="H624" s="12" t="n">
        <f aca="false">SUMIFS(ШТАТ_ПО_ЧАСАМ!$C$11:$C$115,ШТАТ_ПО_ЧАСАМ!$A$11:$A$115,A624,ШТАТ_ПО_ЧАСАМ!$B$11:$B$115,B624)</f>
        <v>1</v>
      </c>
      <c r="I624" s="12" t="n">
        <f aca="false">MIN(H624,1)*ПАРАМЕТРЫ!E25</f>
        <v>10</v>
      </c>
      <c r="J624" s="12" t="n">
        <f aca="false">MIN(G624,I624)</f>
        <v>10</v>
      </c>
      <c r="K624" s="12" t="n">
        <f aca="false">MAX(F624-J624,0)</f>
        <v>0</v>
      </c>
      <c r="L624" s="12" t="n">
        <f aca="false">IF(J624=0,0,F624/J624)</f>
        <v>0.77</v>
      </c>
      <c r="M624" s="11" t="str">
        <f aca="false">IF(K624&gt;0,"BLOCKED","PASS")</f>
        <v>PASS</v>
      </c>
      <c r="N624" s="11" t="s">
        <v>233</v>
      </c>
    </row>
    <row r="625" customFormat="false" ht="23.85" hidden="false" customHeight="false" outlineLevel="0" collapsed="false">
      <c r="A625" s="11" t="s">
        <v>112</v>
      </c>
      <c r="B625" s="11" t="s">
        <v>125</v>
      </c>
      <c r="C625" s="11" t="s">
        <v>91</v>
      </c>
      <c r="D625" s="11" t="s">
        <v>92</v>
      </c>
      <c r="E625" s="11" t="s">
        <v>79</v>
      </c>
      <c r="F625" s="12" t="n">
        <f aca="false">SUMIFS(СПРОС_ДЕНЬ_ЧАС_МЕНЮ!$I$11:$I$3265,СПРОС_ДЕНЬ_ЧАС_МЕНЮ!$A$11:$A$3265,A625,СПРОС_ДЕНЬ_ЧАС_МЕНЮ!$B$11:$B$3265,B625,СПРОС_ДЕНЬ_ЧАС_МЕНЮ!$F$11:$F$3265,C625)</f>
        <v>0.33</v>
      </c>
      <c r="G625" s="12" t="n">
        <f aca="false">ПАРАМЕТРЫ!D26</f>
        <v>20</v>
      </c>
      <c r="H625" s="12" t="n">
        <f aca="false">SUMIFS(ШТАТ_ПО_ЧАСАМ!$C$11:$C$115,ШТАТ_ПО_ЧАСАМ!$A$11:$A$115,A625,ШТАТ_ПО_ЧАСАМ!$B$11:$B$115,B625)</f>
        <v>1</v>
      </c>
      <c r="I625" s="12" t="n">
        <f aca="false">MIN(H625,1)*ПАРАМЕТРЫ!E26</f>
        <v>10</v>
      </c>
      <c r="J625" s="12" t="n">
        <f aca="false">MIN(G625,I625)</f>
        <v>10</v>
      </c>
      <c r="K625" s="12" t="n">
        <f aca="false">MAX(F625-J625,0)</f>
        <v>0</v>
      </c>
      <c r="L625" s="12" t="n">
        <f aca="false">IF(J625=0,0,F625/J625)</f>
        <v>0.033</v>
      </c>
      <c r="M625" s="11" t="str">
        <f aca="false">IF(K625&gt;0,"BLOCKED","PASS")</f>
        <v>PASS</v>
      </c>
      <c r="N625" s="11" t="s">
        <v>233</v>
      </c>
    </row>
    <row r="626" customFormat="false" ht="15" hidden="false" customHeight="false" outlineLevel="0" collapsed="false">
      <c r="A626" s="11" t="s">
        <v>112</v>
      </c>
      <c r="B626" s="11" t="s">
        <v>125</v>
      </c>
      <c r="C626" s="11" t="s">
        <v>93</v>
      </c>
      <c r="D626" s="11" t="s">
        <v>234</v>
      </c>
      <c r="E626" s="11" t="s">
        <v>95</v>
      </c>
      <c r="F626" s="12" t="n">
        <f aca="false">SUMIFS(СПРОС_ДЕНЬ_ЧАС_МЕНЮ!$I$11:$I$3265,СПРОС_ДЕНЬ_ЧАС_МЕНЮ!$A$11:$A$3265,A626,СПРОС_ДЕНЬ_ЧАС_МЕНЮ!$B$11:$B$3265,B626)</f>
        <v>8.69</v>
      </c>
      <c r="G626" s="12" t="n">
        <f aca="false">ПАРАМЕТРЫ!D27</f>
        <v>60</v>
      </c>
      <c r="H626" s="12" t="n">
        <f aca="false">SUMIFS(ШТАТ_ПО_ЧАСАМ!$C$11:$C$115,ШТАТ_ПО_ЧАСАМ!$A$11:$A$115,A626,ШТАТ_ПО_ЧАСАМ!$B$11:$B$115,B626)</f>
        <v>1</v>
      </c>
      <c r="I626" s="12" t="n">
        <f aca="false">H626*ПАРАМЕТРЫ!E27</f>
        <v>16.6666666666667</v>
      </c>
      <c r="J626" s="12" t="n">
        <f aca="false">MIN(G626,I626)</f>
        <v>16.6666666666667</v>
      </c>
      <c r="K626" s="12" t="n">
        <f aca="false">MAX(F626-J626,0)</f>
        <v>0</v>
      </c>
      <c r="L626" s="12" t="n">
        <f aca="false">IF(J626=0,0,F626/J626)</f>
        <v>0.5214</v>
      </c>
      <c r="M626" s="11" t="str">
        <f aca="false">IF(K626&gt;0,"BLOCKED","PASS")</f>
        <v>PASS</v>
      </c>
      <c r="N626" s="11" t="s">
        <v>235</v>
      </c>
    </row>
    <row r="627" customFormat="false" ht="23.85" hidden="false" customHeight="false" outlineLevel="0" collapsed="false">
      <c r="A627" s="11" t="s">
        <v>112</v>
      </c>
      <c r="B627" s="11" t="s">
        <v>126</v>
      </c>
      <c r="C627" s="11" t="s">
        <v>73</v>
      </c>
      <c r="D627" s="11" t="s">
        <v>74</v>
      </c>
      <c r="E627" s="11" t="s">
        <v>75</v>
      </c>
      <c r="F627" s="12" t="n">
        <f aca="false">SUMIFS(СПРОС_ДЕНЬ_ЧАС_МЕНЮ!$I$11:$I$3265,СПРОС_ДЕНЬ_ЧАС_МЕНЮ!$A$11:$A$3265,A627,СПРОС_ДЕНЬ_ЧАС_МЕНЮ!$B$11:$B$3265,B627,СПРОС_ДЕНЬ_ЧАС_МЕНЮ!$F$11:$F$3265,C627)</f>
        <v>0</v>
      </c>
      <c r="G627" s="12" t="n">
        <f aca="false">ПАРАМЕТРЫ!D20</f>
        <v>25</v>
      </c>
      <c r="H627" s="12" t="n">
        <f aca="false">SUMIFS(ШТАТ_ПО_ЧАСАМ!$C$11:$C$115,ШТАТ_ПО_ЧАСАМ!$A$11:$A$115,A627,ШТАТ_ПО_ЧАСАМ!$B$11:$B$115,B627)</f>
        <v>1</v>
      </c>
      <c r="I627" s="12" t="n">
        <f aca="false">MIN(H627,1)*ПАРАМЕТРЫ!E20</f>
        <v>10</v>
      </c>
      <c r="J627" s="12" t="n">
        <f aca="false">MIN(G627,I627)</f>
        <v>10</v>
      </c>
      <c r="K627" s="12" t="n">
        <f aca="false">MAX(F627-J627,0)</f>
        <v>0</v>
      </c>
      <c r="L627" s="12" t="n">
        <f aca="false">IF(J627=0,0,F627/J627)</f>
        <v>0</v>
      </c>
      <c r="M627" s="11" t="str">
        <f aca="false">IF(K627&gt;0,"BLOCKED","PASS")</f>
        <v>PASS</v>
      </c>
      <c r="N627" s="11" t="s">
        <v>233</v>
      </c>
    </row>
    <row r="628" customFormat="false" ht="23.85" hidden="false" customHeight="false" outlineLevel="0" collapsed="false">
      <c r="A628" s="11" t="s">
        <v>112</v>
      </c>
      <c r="B628" s="11" t="s">
        <v>126</v>
      </c>
      <c r="C628" s="11" t="s">
        <v>77</v>
      </c>
      <c r="D628" s="11" t="s">
        <v>78</v>
      </c>
      <c r="E628" s="11" t="s">
        <v>79</v>
      </c>
      <c r="F628" s="12" t="n">
        <f aca="false">SUMIFS(СПРОС_ДЕНЬ_ЧАС_МЕНЮ!$I$11:$I$3265,СПРОС_ДЕНЬ_ЧАС_МЕНЮ!$A$11:$A$3265,A628,СПРОС_ДЕНЬ_ЧАС_МЕНЮ!$B$11:$B$3265,B628,СПРОС_ДЕНЬ_ЧАС_МЕНЮ!$F$11:$F$3265,C628)</f>
        <v>0.792</v>
      </c>
      <c r="G628" s="12" t="n">
        <f aca="false">ПАРАМЕТРЫ!D21</f>
        <v>20</v>
      </c>
      <c r="H628" s="12" t="n">
        <f aca="false">SUMIFS(ШТАТ_ПО_ЧАСАМ!$C$11:$C$115,ШТАТ_ПО_ЧАСАМ!$A$11:$A$115,A628,ШТАТ_ПО_ЧАСАМ!$B$11:$B$115,B628)</f>
        <v>1</v>
      </c>
      <c r="I628" s="12" t="n">
        <f aca="false">MIN(H628,1)*ПАРАМЕТРЫ!E21</f>
        <v>10</v>
      </c>
      <c r="J628" s="12" t="n">
        <f aca="false">MIN(G628,I628)</f>
        <v>10</v>
      </c>
      <c r="K628" s="12" t="n">
        <f aca="false">MAX(F628-J628,0)</f>
        <v>0</v>
      </c>
      <c r="L628" s="12" t="n">
        <f aca="false">IF(J628=0,0,F628/J628)</f>
        <v>0.0792</v>
      </c>
      <c r="M628" s="11" t="str">
        <f aca="false">IF(K628&gt;0,"BLOCKED","PASS")</f>
        <v>PASS</v>
      </c>
      <c r="N628" s="11" t="s">
        <v>233</v>
      </c>
    </row>
    <row r="629" customFormat="false" ht="23.85" hidden="false" customHeight="false" outlineLevel="0" collapsed="false">
      <c r="A629" s="11" t="s">
        <v>112</v>
      </c>
      <c r="B629" s="11" t="s">
        <v>126</v>
      </c>
      <c r="C629" s="11" t="s">
        <v>80</v>
      </c>
      <c r="D629" s="11" t="s">
        <v>81</v>
      </c>
      <c r="E629" s="11" t="s">
        <v>82</v>
      </c>
      <c r="F629" s="12" t="n">
        <f aca="false">SUMIFS(СПРОС_ДЕНЬ_ЧАС_МЕНЮ!$I$11:$I$3265,СПРОС_ДЕНЬ_ЧАС_МЕНЮ!$A$11:$A$3265,A629,СПРОС_ДЕНЬ_ЧАС_МЕНЮ!$B$11:$B$3265,B629,СПРОС_ДЕНЬ_ЧАС_МЕНЮ!$F$11:$F$3265,C629)</f>
        <v>0</v>
      </c>
      <c r="G629" s="12" t="n">
        <f aca="false">ПАРАМЕТРЫ!D22</f>
        <v>16</v>
      </c>
      <c r="H629" s="12" t="n">
        <f aca="false">SUMIFS(ШТАТ_ПО_ЧАСАМ!$C$11:$C$115,ШТАТ_ПО_ЧАСАМ!$A$11:$A$115,A629,ШТАТ_ПО_ЧАСАМ!$B$11:$B$115,B629)</f>
        <v>1</v>
      </c>
      <c r="I629" s="12" t="n">
        <f aca="false">MIN(H629,1)*ПАРАМЕТРЫ!E22</f>
        <v>16</v>
      </c>
      <c r="J629" s="12" t="n">
        <f aca="false">MIN(G629,I629)</f>
        <v>16</v>
      </c>
      <c r="K629" s="12" t="n">
        <f aca="false">MAX(F629-J629,0)</f>
        <v>0</v>
      </c>
      <c r="L629" s="12" t="n">
        <f aca="false">IF(J629=0,0,F629/J629)</f>
        <v>0</v>
      </c>
      <c r="M629" s="11" t="str">
        <f aca="false">IF(K629&gt;0,"BLOCKED","PASS")</f>
        <v>PASS</v>
      </c>
      <c r="N629" s="11" t="s">
        <v>233</v>
      </c>
    </row>
    <row r="630" customFormat="false" ht="23.85" hidden="false" customHeight="false" outlineLevel="0" collapsed="false">
      <c r="A630" s="11" t="s">
        <v>112</v>
      </c>
      <c r="B630" s="11" t="s">
        <v>126</v>
      </c>
      <c r="C630" s="11" t="s">
        <v>83</v>
      </c>
      <c r="D630" s="11" t="s">
        <v>84</v>
      </c>
      <c r="E630" s="11" t="s">
        <v>83</v>
      </c>
      <c r="F630" s="12" t="n">
        <f aca="false">SUMIFS(СПРОС_ДЕНЬ_ЧАС_МЕНЮ!$I$11:$I$3265,СПРОС_ДЕНЬ_ЧАС_МЕНЮ!$A$11:$A$3265,A630,СПРОС_ДЕНЬ_ЧАС_МЕНЮ!$B$11:$B$3265,B630,СПРОС_ДЕНЬ_ЧАС_МЕНЮ!$F$11:$F$3265,C630)</f>
        <v>0</v>
      </c>
      <c r="G630" s="12" t="n">
        <f aca="false">ПАРАМЕТРЫ!D23</f>
        <v>21</v>
      </c>
      <c r="H630" s="12" t="n">
        <f aca="false">SUMIFS(ШТАТ_ПО_ЧАСАМ!$C$11:$C$115,ШТАТ_ПО_ЧАСАМ!$A$11:$A$115,A630,ШТАТ_ПО_ЧАСАМ!$B$11:$B$115,B630)</f>
        <v>1</v>
      </c>
      <c r="I630" s="12" t="n">
        <f aca="false">MIN(H630,1)*ПАРАМЕТРЫ!E23</f>
        <v>21</v>
      </c>
      <c r="J630" s="12" t="n">
        <f aca="false">MIN(G630,I630)</f>
        <v>21</v>
      </c>
      <c r="K630" s="12" t="n">
        <f aca="false">MAX(F630-J630,0)</f>
        <v>0</v>
      </c>
      <c r="L630" s="12" t="n">
        <f aca="false">IF(J630=0,0,F630/J630)</f>
        <v>0</v>
      </c>
      <c r="M630" s="11" t="str">
        <f aca="false">IF(K630&gt;0,"BLOCKED","PASS")</f>
        <v>PASS</v>
      </c>
      <c r="N630" s="11" t="s">
        <v>233</v>
      </c>
    </row>
    <row r="631" customFormat="false" ht="23.85" hidden="false" customHeight="false" outlineLevel="0" collapsed="false">
      <c r="A631" s="11" t="s">
        <v>112</v>
      </c>
      <c r="B631" s="11" t="s">
        <v>126</v>
      </c>
      <c r="C631" s="11" t="s">
        <v>85</v>
      </c>
      <c r="D631" s="11" t="s">
        <v>86</v>
      </c>
      <c r="E631" s="11" t="s">
        <v>87</v>
      </c>
      <c r="F631" s="12" t="n">
        <f aca="false">SUMIFS(СПРОС_ДЕНЬ_ЧАС_МЕНЮ!$I$11:$I$3265,СПРОС_ДЕНЬ_ЧАС_МЕНЮ!$A$11:$A$3265,A631,СПРОС_ДЕНЬ_ЧАС_МЕНЮ!$B$11:$B$3265,B631,СПРОС_ДЕНЬ_ЧАС_МЕНЮ!$F$11:$F$3265,C631)</f>
        <v>0</v>
      </c>
      <c r="G631" s="12" t="n">
        <f aca="false">ПАРАМЕТРЫ!D24</f>
        <v>12</v>
      </c>
      <c r="H631" s="12" t="n">
        <f aca="false">SUMIFS(ШТАТ_ПО_ЧАСАМ!$C$11:$C$115,ШТАТ_ПО_ЧАСАМ!$A$11:$A$115,A631,ШТАТ_ПО_ЧАСАМ!$B$11:$B$115,B631)</f>
        <v>1</v>
      </c>
      <c r="I631" s="12" t="n">
        <f aca="false">MIN(H631,1)*ПАРАМЕТРЫ!E24</f>
        <v>12</v>
      </c>
      <c r="J631" s="12" t="n">
        <f aca="false">MIN(G631,I631)</f>
        <v>12</v>
      </c>
      <c r="K631" s="12" t="n">
        <f aca="false">MAX(F631-J631,0)</f>
        <v>0</v>
      </c>
      <c r="L631" s="12" t="n">
        <f aca="false">IF(J631=0,0,F631/J631)</f>
        <v>0</v>
      </c>
      <c r="M631" s="11" t="str">
        <f aca="false">IF(K631&gt;0,"BLOCKED","PASS")</f>
        <v>PASS</v>
      </c>
      <c r="N631" s="11" t="s">
        <v>233</v>
      </c>
    </row>
    <row r="632" customFormat="false" ht="23.85" hidden="false" customHeight="false" outlineLevel="0" collapsed="false">
      <c r="A632" s="11" t="s">
        <v>112</v>
      </c>
      <c r="B632" s="11" t="s">
        <v>126</v>
      </c>
      <c r="C632" s="11" t="s">
        <v>88</v>
      </c>
      <c r="D632" s="11" t="s">
        <v>89</v>
      </c>
      <c r="E632" s="11" t="s">
        <v>90</v>
      </c>
      <c r="F632" s="12" t="n">
        <f aca="false">SUMIFS(СПРОС_ДЕНЬ_ЧАС_МЕНЮ!$I$11:$I$3265,СПРОС_ДЕНЬ_ЧАС_МЕНЮ!$A$11:$A$3265,A632,СПРОС_ДЕНЬ_ЧАС_МЕНЮ!$B$11:$B$3265,B632,СПРОС_ДЕНЬ_ЧАС_МЕНЮ!$F$11:$F$3265,C632)</f>
        <v>6.6</v>
      </c>
      <c r="G632" s="12" t="n">
        <f aca="false">ПАРАМЕТРЫ!D25</f>
        <v>15</v>
      </c>
      <c r="H632" s="12" t="n">
        <f aca="false">SUMIFS(ШТАТ_ПО_ЧАСАМ!$C$11:$C$115,ШТАТ_ПО_ЧАСАМ!$A$11:$A$115,A632,ШТАТ_ПО_ЧАСАМ!$B$11:$B$115,B632)</f>
        <v>1</v>
      </c>
      <c r="I632" s="12" t="n">
        <f aca="false">MIN(H632,1)*ПАРАМЕТРЫ!E25</f>
        <v>10</v>
      </c>
      <c r="J632" s="12" t="n">
        <f aca="false">MIN(G632,I632)</f>
        <v>10</v>
      </c>
      <c r="K632" s="12" t="n">
        <f aca="false">MAX(F632-J632,0)</f>
        <v>0</v>
      </c>
      <c r="L632" s="12" t="n">
        <f aca="false">IF(J632=0,0,F632/J632)</f>
        <v>0.66</v>
      </c>
      <c r="M632" s="11" t="str">
        <f aca="false">IF(K632&gt;0,"BLOCKED","PASS")</f>
        <v>PASS</v>
      </c>
      <c r="N632" s="11" t="s">
        <v>233</v>
      </c>
    </row>
    <row r="633" customFormat="false" ht="23.85" hidden="false" customHeight="false" outlineLevel="0" collapsed="false">
      <c r="A633" s="11" t="s">
        <v>112</v>
      </c>
      <c r="B633" s="11" t="s">
        <v>126</v>
      </c>
      <c r="C633" s="11" t="s">
        <v>91</v>
      </c>
      <c r="D633" s="11" t="s">
        <v>92</v>
      </c>
      <c r="E633" s="11" t="s">
        <v>79</v>
      </c>
      <c r="F633" s="12" t="n">
        <f aca="false">SUMIFS(СПРОС_ДЕНЬ_ЧАС_МЕНЮ!$I$11:$I$3265,СПРОС_ДЕНЬ_ЧАС_МЕНЮ!$A$11:$A$3265,A633,СПРОС_ДЕНЬ_ЧАС_МЕНЮ!$B$11:$B$3265,B633,СПРОС_ДЕНЬ_ЧАС_МЕНЮ!$F$11:$F$3265,C633)</f>
        <v>0.396</v>
      </c>
      <c r="G633" s="12" t="n">
        <f aca="false">ПАРАМЕТРЫ!D26</f>
        <v>20</v>
      </c>
      <c r="H633" s="12" t="n">
        <f aca="false">SUMIFS(ШТАТ_ПО_ЧАСАМ!$C$11:$C$115,ШТАТ_ПО_ЧАСАМ!$A$11:$A$115,A633,ШТАТ_ПО_ЧАСАМ!$B$11:$B$115,B633)</f>
        <v>1</v>
      </c>
      <c r="I633" s="12" t="n">
        <f aca="false">MIN(H633,1)*ПАРАМЕТРЫ!E26</f>
        <v>10</v>
      </c>
      <c r="J633" s="12" t="n">
        <f aca="false">MIN(G633,I633)</f>
        <v>10</v>
      </c>
      <c r="K633" s="12" t="n">
        <f aca="false">MAX(F633-J633,0)</f>
        <v>0</v>
      </c>
      <c r="L633" s="12" t="n">
        <f aca="false">IF(J633=0,0,F633/J633)</f>
        <v>0.0396</v>
      </c>
      <c r="M633" s="11" t="str">
        <f aca="false">IF(K633&gt;0,"BLOCKED","PASS")</f>
        <v>PASS</v>
      </c>
      <c r="N633" s="11" t="s">
        <v>233</v>
      </c>
    </row>
    <row r="634" customFormat="false" ht="15" hidden="false" customHeight="false" outlineLevel="0" collapsed="false">
      <c r="A634" s="11" t="s">
        <v>112</v>
      </c>
      <c r="B634" s="11" t="s">
        <v>126</v>
      </c>
      <c r="C634" s="11" t="s">
        <v>93</v>
      </c>
      <c r="D634" s="11" t="s">
        <v>234</v>
      </c>
      <c r="E634" s="11" t="s">
        <v>95</v>
      </c>
      <c r="F634" s="12" t="n">
        <f aca="false">SUMIFS(СПРОС_ДЕНЬ_ЧАС_МЕНЮ!$I$11:$I$3265,СПРОС_ДЕНЬ_ЧАС_МЕНЮ!$A$11:$A$3265,A634,СПРОС_ДЕНЬ_ЧАС_МЕНЮ!$B$11:$B$3265,B634)</f>
        <v>7.788</v>
      </c>
      <c r="G634" s="12" t="n">
        <f aca="false">ПАРАМЕТРЫ!D27</f>
        <v>60</v>
      </c>
      <c r="H634" s="12" t="n">
        <f aca="false">SUMIFS(ШТАТ_ПО_ЧАСАМ!$C$11:$C$115,ШТАТ_ПО_ЧАСАМ!$A$11:$A$115,A634,ШТАТ_ПО_ЧАСАМ!$B$11:$B$115,B634)</f>
        <v>1</v>
      </c>
      <c r="I634" s="12" t="n">
        <f aca="false">H634*ПАРАМЕТРЫ!E27</f>
        <v>16.6666666666667</v>
      </c>
      <c r="J634" s="12" t="n">
        <f aca="false">MIN(G634,I634)</f>
        <v>16.6666666666667</v>
      </c>
      <c r="K634" s="12" t="n">
        <f aca="false">MAX(F634-J634,0)</f>
        <v>0</v>
      </c>
      <c r="L634" s="12" t="n">
        <f aca="false">IF(J634=0,0,F634/J634)</f>
        <v>0.46728</v>
      </c>
      <c r="M634" s="11" t="str">
        <f aca="false">IF(K634&gt;0,"BLOCKED","PASS")</f>
        <v>PASS</v>
      </c>
      <c r="N634" s="11" t="s">
        <v>235</v>
      </c>
    </row>
    <row r="635" customFormat="false" ht="23.85" hidden="false" customHeight="false" outlineLevel="0" collapsed="false">
      <c r="A635" s="11" t="s">
        <v>112</v>
      </c>
      <c r="B635" s="11" t="s">
        <v>127</v>
      </c>
      <c r="C635" s="11" t="s">
        <v>73</v>
      </c>
      <c r="D635" s="11" t="s">
        <v>74</v>
      </c>
      <c r="E635" s="11" t="s">
        <v>75</v>
      </c>
      <c r="F635" s="12" t="n">
        <f aca="false">SUMIFS(СПРОС_ДЕНЬ_ЧАС_МЕНЮ!$I$11:$I$3265,СПРОС_ДЕНЬ_ЧАС_МЕНЮ!$A$11:$A$3265,A635,СПРОС_ДЕНЬ_ЧАС_МЕНЮ!$B$11:$B$3265,B635,СПРОС_ДЕНЬ_ЧАС_МЕНЮ!$F$11:$F$3265,C635)</f>
        <v>0</v>
      </c>
      <c r="G635" s="12" t="n">
        <f aca="false">ПАРАМЕТРЫ!D20</f>
        <v>25</v>
      </c>
      <c r="H635" s="12" t="n">
        <f aca="false">SUMIFS(ШТАТ_ПО_ЧАСАМ!$C$11:$C$115,ШТАТ_ПО_ЧАСАМ!$A$11:$A$115,A635,ШТАТ_ПО_ЧАСАМ!$B$11:$B$115,B635)</f>
        <v>2</v>
      </c>
      <c r="I635" s="12" t="n">
        <f aca="false">MIN(H635,1)*ПАРАМЕТРЫ!E20</f>
        <v>10</v>
      </c>
      <c r="J635" s="12" t="n">
        <f aca="false">MIN(G635,I635)</f>
        <v>10</v>
      </c>
      <c r="K635" s="12" t="n">
        <f aca="false">MAX(F635-J635,0)</f>
        <v>0</v>
      </c>
      <c r="L635" s="12" t="n">
        <f aca="false">IF(J635=0,0,F635/J635)</f>
        <v>0</v>
      </c>
      <c r="M635" s="11" t="str">
        <f aca="false">IF(K635&gt;0,"BLOCKED","PASS")</f>
        <v>PASS</v>
      </c>
      <c r="N635" s="11" t="s">
        <v>233</v>
      </c>
    </row>
    <row r="636" customFormat="false" ht="23.85" hidden="false" customHeight="false" outlineLevel="0" collapsed="false">
      <c r="A636" s="11" t="s">
        <v>112</v>
      </c>
      <c r="B636" s="11" t="s">
        <v>127</v>
      </c>
      <c r="C636" s="11" t="s">
        <v>77</v>
      </c>
      <c r="D636" s="11" t="s">
        <v>78</v>
      </c>
      <c r="E636" s="11" t="s">
        <v>79</v>
      </c>
      <c r="F636" s="12" t="n">
        <f aca="false">SUMIFS(СПРОС_ДЕНЬ_ЧАС_МЕНЮ!$I$11:$I$3265,СПРОС_ДЕНЬ_ЧАС_МЕНЮ!$A$11:$A$3265,A636,СПРОС_ДЕНЬ_ЧАС_МЕНЮ!$B$11:$B$3265,B636,СПРОС_ДЕНЬ_ЧАС_МЕНЮ!$F$11:$F$3265,C636)</f>
        <v>0.792</v>
      </c>
      <c r="G636" s="12" t="n">
        <f aca="false">ПАРАМЕТРЫ!D21</f>
        <v>20</v>
      </c>
      <c r="H636" s="12" t="n">
        <f aca="false">SUMIFS(ШТАТ_ПО_ЧАСАМ!$C$11:$C$115,ШТАТ_ПО_ЧАСАМ!$A$11:$A$115,A636,ШТАТ_ПО_ЧАСАМ!$B$11:$B$115,B636)</f>
        <v>2</v>
      </c>
      <c r="I636" s="12" t="n">
        <f aca="false">MIN(H636,1)*ПАРАМЕТРЫ!E21</f>
        <v>10</v>
      </c>
      <c r="J636" s="12" t="n">
        <f aca="false">MIN(G636,I636)</f>
        <v>10</v>
      </c>
      <c r="K636" s="12" t="n">
        <f aca="false">MAX(F636-J636,0)</f>
        <v>0</v>
      </c>
      <c r="L636" s="12" t="n">
        <f aca="false">IF(J636=0,0,F636/J636)</f>
        <v>0.0792</v>
      </c>
      <c r="M636" s="11" t="str">
        <f aca="false">IF(K636&gt;0,"BLOCKED","PASS")</f>
        <v>PASS</v>
      </c>
      <c r="N636" s="11" t="s">
        <v>233</v>
      </c>
    </row>
    <row r="637" customFormat="false" ht="23.85" hidden="false" customHeight="false" outlineLevel="0" collapsed="false">
      <c r="A637" s="11" t="s">
        <v>112</v>
      </c>
      <c r="B637" s="11" t="s">
        <v>127</v>
      </c>
      <c r="C637" s="11" t="s">
        <v>80</v>
      </c>
      <c r="D637" s="11" t="s">
        <v>81</v>
      </c>
      <c r="E637" s="11" t="s">
        <v>82</v>
      </c>
      <c r="F637" s="12" t="n">
        <f aca="false">SUMIFS(СПРОС_ДЕНЬ_ЧАС_МЕНЮ!$I$11:$I$3265,СПРОС_ДЕНЬ_ЧАС_МЕНЮ!$A$11:$A$3265,A637,СПРОС_ДЕНЬ_ЧАС_МЕНЮ!$B$11:$B$3265,B637,СПРОС_ДЕНЬ_ЧАС_МЕНЮ!$F$11:$F$3265,C637)</f>
        <v>0</v>
      </c>
      <c r="G637" s="12" t="n">
        <f aca="false">ПАРАМЕТРЫ!D22</f>
        <v>16</v>
      </c>
      <c r="H637" s="12" t="n">
        <f aca="false">SUMIFS(ШТАТ_ПО_ЧАСАМ!$C$11:$C$115,ШТАТ_ПО_ЧАСАМ!$A$11:$A$115,A637,ШТАТ_ПО_ЧАСАМ!$B$11:$B$115,B637)</f>
        <v>2</v>
      </c>
      <c r="I637" s="12" t="n">
        <f aca="false">MIN(H637,1)*ПАРАМЕТРЫ!E22</f>
        <v>16</v>
      </c>
      <c r="J637" s="12" t="n">
        <f aca="false">MIN(G637,I637)</f>
        <v>16</v>
      </c>
      <c r="K637" s="12" t="n">
        <f aca="false">MAX(F637-J637,0)</f>
        <v>0</v>
      </c>
      <c r="L637" s="12" t="n">
        <f aca="false">IF(J637=0,0,F637/J637)</f>
        <v>0</v>
      </c>
      <c r="M637" s="11" t="str">
        <f aca="false">IF(K637&gt;0,"BLOCKED","PASS")</f>
        <v>PASS</v>
      </c>
      <c r="N637" s="11" t="s">
        <v>233</v>
      </c>
    </row>
    <row r="638" customFormat="false" ht="23.85" hidden="false" customHeight="false" outlineLevel="0" collapsed="false">
      <c r="A638" s="11" t="s">
        <v>112</v>
      </c>
      <c r="B638" s="11" t="s">
        <v>127</v>
      </c>
      <c r="C638" s="11" t="s">
        <v>83</v>
      </c>
      <c r="D638" s="11" t="s">
        <v>84</v>
      </c>
      <c r="E638" s="11" t="s">
        <v>83</v>
      </c>
      <c r="F638" s="12" t="n">
        <f aca="false">SUMIFS(СПРОС_ДЕНЬ_ЧАС_МЕНЮ!$I$11:$I$3265,СПРОС_ДЕНЬ_ЧАС_МЕНЮ!$A$11:$A$3265,A638,СПРОС_ДЕНЬ_ЧАС_МЕНЮ!$B$11:$B$3265,B638,СПРОС_ДЕНЬ_ЧАС_МЕНЮ!$F$11:$F$3265,C638)</f>
        <v>0</v>
      </c>
      <c r="G638" s="12" t="n">
        <f aca="false">ПАРАМЕТРЫ!D23</f>
        <v>21</v>
      </c>
      <c r="H638" s="12" t="n">
        <f aca="false">SUMIFS(ШТАТ_ПО_ЧАСАМ!$C$11:$C$115,ШТАТ_ПО_ЧАСАМ!$A$11:$A$115,A638,ШТАТ_ПО_ЧАСАМ!$B$11:$B$115,B638)</f>
        <v>2</v>
      </c>
      <c r="I638" s="12" t="n">
        <f aca="false">MIN(H638,1)*ПАРАМЕТРЫ!E23</f>
        <v>21</v>
      </c>
      <c r="J638" s="12" t="n">
        <f aca="false">MIN(G638,I638)</f>
        <v>21</v>
      </c>
      <c r="K638" s="12" t="n">
        <f aca="false">MAX(F638-J638,0)</f>
        <v>0</v>
      </c>
      <c r="L638" s="12" t="n">
        <f aca="false">IF(J638=0,0,F638/J638)</f>
        <v>0</v>
      </c>
      <c r="M638" s="11" t="str">
        <f aca="false">IF(K638&gt;0,"BLOCKED","PASS")</f>
        <v>PASS</v>
      </c>
      <c r="N638" s="11" t="s">
        <v>233</v>
      </c>
    </row>
    <row r="639" customFormat="false" ht="23.85" hidden="false" customHeight="false" outlineLevel="0" collapsed="false">
      <c r="A639" s="11" t="s">
        <v>112</v>
      </c>
      <c r="B639" s="11" t="s">
        <v>127</v>
      </c>
      <c r="C639" s="11" t="s">
        <v>85</v>
      </c>
      <c r="D639" s="11" t="s">
        <v>86</v>
      </c>
      <c r="E639" s="11" t="s">
        <v>87</v>
      </c>
      <c r="F639" s="12" t="n">
        <f aca="false">SUMIFS(СПРОС_ДЕНЬ_ЧАС_МЕНЮ!$I$11:$I$3265,СПРОС_ДЕНЬ_ЧАС_МЕНЮ!$A$11:$A$3265,A639,СПРОС_ДЕНЬ_ЧАС_МЕНЮ!$B$11:$B$3265,B639,СПРОС_ДЕНЬ_ЧАС_МЕНЮ!$F$11:$F$3265,C639)</f>
        <v>0</v>
      </c>
      <c r="G639" s="12" t="n">
        <f aca="false">ПАРАМЕТРЫ!D24</f>
        <v>12</v>
      </c>
      <c r="H639" s="12" t="n">
        <f aca="false">SUMIFS(ШТАТ_ПО_ЧАСАМ!$C$11:$C$115,ШТАТ_ПО_ЧАСАМ!$A$11:$A$115,A639,ШТАТ_ПО_ЧАСАМ!$B$11:$B$115,B639)</f>
        <v>2</v>
      </c>
      <c r="I639" s="12" t="n">
        <f aca="false">MIN(H639,1)*ПАРАМЕТРЫ!E24</f>
        <v>12</v>
      </c>
      <c r="J639" s="12" t="n">
        <f aca="false">MIN(G639,I639)</f>
        <v>12</v>
      </c>
      <c r="K639" s="12" t="n">
        <f aca="false">MAX(F639-J639,0)</f>
        <v>0</v>
      </c>
      <c r="L639" s="12" t="n">
        <f aca="false">IF(J639=0,0,F639/J639)</f>
        <v>0</v>
      </c>
      <c r="M639" s="11" t="str">
        <f aca="false">IF(K639&gt;0,"BLOCKED","PASS")</f>
        <v>PASS</v>
      </c>
      <c r="N639" s="11" t="s">
        <v>233</v>
      </c>
    </row>
    <row r="640" customFormat="false" ht="23.85" hidden="false" customHeight="false" outlineLevel="0" collapsed="false">
      <c r="A640" s="11" t="s">
        <v>112</v>
      </c>
      <c r="B640" s="11" t="s">
        <v>127</v>
      </c>
      <c r="C640" s="11" t="s">
        <v>88</v>
      </c>
      <c r="D640" s="11" t="s">
        <v>89</v>
      </c>
      <c r="E640" s="11" t="s">
        <v>90</v>
      </c>
      <c r="F640" s="12" t="n">
        <f aca="false">SUMIFS(СПРОС_ДЕНЬ_ЧАС_МЕНЮ!$I$11:$I$3265,СПРОС_ДЕНЬ_ЧАС_МЕНЮ!$A$11:$A$3265,A640,СПРОС_ДЕНЬ_ЧАС_МЕНЮ!$B$11:$B$3265,B640,СПРОС_ДЕНЬ_ЧАС_МЕНЮ!$F$11:$F$3265,C640)</f>
        <v>3.3</v>
      </c>
      <c r="G640" s="12" t="n">
        <f aca="false">ПАРАМЕТРЫ!D25</f>
        <v>15</v>
      </c>
      <c r="H640" s="12" t="n">
        <f aca="false">SUMIFS(ШТАТ_ПО_ЧАСАМ!$C$11:$C$115,ШТАТ_ПО_ЧАСАМ!$A$11:$A$115,A640,ШТАТ_ПО_ЧАСАМ!$B$11:$B$115,B640)</f>
        <v>2</v>
      </c>
      <c r="I640" s="12" t="n">
        <f aca="false">MIN(H640,1)*ПАРАМЕТРЫ!E25</f>
        <v>10</v>
      </c>
      <c r="J640" s="12" t="n">
        <f aca="false">MIN(G640,I640)</f>
        <v>10</v>
      </c>
      <c r="K640" s="12" t="n">
        <f aca="false">MAX(F640-J640,0)</f>
        <v>0</v>
      </c>
      <c r="L640" s="12" t="n">
        <f aca="false">IF(J640=0,0,F640/J640)</f>
        <v>0.33</v>
      </c>
      <c r="M640" s="11" t="str">
        <f aca="false">IF(K640&gt;0,"BLOCKED","PASS")</f>
        <v>PASS</v>
      </c>
      <c r="N640" s="11" t="s">
        <v>233</v>
      </c>
    </row>
    <row r="641" customFormat="false" ht="23.85" hidden="false" customHeight="false" outlineLevel="0" collapsed="false">
      <c r="A641" s="11" t="s">
        <v>112</v>
      </c>
      <c r="B641" s="11" t="s">
        <v>127</v>
      </c>
      <c r="C641" s="11" t="s">
        <v>91</v>
      </c>
      <c r="D641" s="11" t="s">
        <v>92</v>
      </c>
      <c r="E641" s="11" t="s">
        <v>79</v>
      </c>
      <c r="F641" s="12" t="n">
        <f aca="false">SUMIFS(СПРОС_ДЕНЬ_ЧАС_МЕНЮ!$I$11:$I$3265,СПРОС_ДЕНЬ_ЧАС_МЕНЮ!$A$11:$A$3265,A641,СПРОС_ДЕНЬ_ЧАС_МЕНЮ!$B$11:$B$3265,B641,СПРОС_ДЕНЬ_ЧАС_МЕНЮ!$F$11:$F$3265,C641)</f>
        <v>0.396</v>
      </c>
      <c r="G641" s="12" t="n">
        <f aca="false">ПАРАМЕТРЫ!D26</f>
        <v>20</v>
      </c>
      <c r="H641" s="12" t="n">
        <f aca="false">SUMIFS(ШТАТ_ПО_ЧАСАМ!$C$11:$C$115,ШТАТ_ПО_ЧАСАМ!$A$11:$A$115,A641,ШТАТ_ПО_ЧАСАМ!$B$11:$B$115,B641)</f>
        <v>2</v>
      </c>
      <c r="I641" s="12" t="n">
        <f aca="false">MIN(H641,1)*ПАРАМЕТРЫ!E26</f>
        <v>10</v>
      </c>
      <c r="J641" s="12" t="n">
        <f aca="false">MIN(G641,I641)</f>
        <v>10</v>
      </c>
      <c r="K641" s="12" t="n">
        <f aca="false">MAX(F641-J641,0)</f>
        <v>0</v>
      </c>
      <c r="L641" s="12" t="n">
        <f aca="false">IF(J641=0,0,F641/J641)</f>
        <v>0.0396</v>
      </c>
      <c r="M641" s="11" t="str">
        <f aca="false">IF(K641&gt;0,"BLOCKED","PASS")</f>
        <v>PASS</v>
      </c>
      <c r="N641" s="11" t="s">
        <v>233</v>
      </c>
    </row>
    <row r="642" customFormat="false" ht="15" hidden="false" customHeight="false" outlineLevel="0" collapsed="false">
      <c r="A642" s="11" t="s">
        <v>112</v>
      </c>
      <c r="B642" s="11" t="s">
        <v>127</v>
      </c>
      <c r="C642" s="11" t="s">
        <v>93</v>
      </c>
      <c r="D642" s="11" t="s">
        <v>234</v>
      </c>
      <c r="E642" s="11" t="s">
        <v>95</v>
      </c>
      <c r="F642" s="12" t="n">
        <f aca="false">SUMIFS(СПРОС_ДЕНЬ_ЧАС_МЕНЮ!$I$11:$I$3265,СПРОС_ДЕНЬ_ЧАС_МЕНЮ!$A$11:$A$3265,A642,СПРОС_ДЕНЬ_ЧАС_МЕНЮ!$B$11:$B$3265,B642)</f>
        <v>4.488</v>
      </c>
      <c r="G642" s="12" t="n">
        <f aca="false">ПАРАМЕТРЫ!D27</f>
        <v>60</v>
      </c>
      <c r="H642" s="12" t="n">
        <f aca="false">SUMIFS(ШТАТ_ПО_ЧАСАМ!$C$11:$C$115,ШТАТ_ПО_ЧАСАМ!$A$11:$A$115,A642,ШТАТ_ПО_ЧАСАМ!$B$11:$B$115,B642)</f>
        <v>2</v>
      </c>
      <c r="I642" s="12" t="n">
        <f aca="false">H642*ПАРАМЕТРЫ!E27</f>
        <v>33.3333333333333</v>
      </c>
      <c r="J642" s="12" t="n">
        <f aca="false">MIN(G642,I642)</f>
        <v>33.3333333333333</v>
      </c>
      <c r="K642" s="12" t="n">
        <f aca="false">MAX(F642-J642,0)</f>
        <v>0</v>
      </c>
      <c r="L642" s="12" t="n">
        <f aca="false">IF(J642=0,0,F642/J642)</f>
        <v>0.13464</v>
      </c>
      <c r="M642" s="11" t="str">
        <f aca="false">IF(K642&gt;0,"BLOCKED","PASS")</f>
        <v>PASS</v>
      </c>
      <c r="N642" s="11" t="s">
        <v>235</v>
      </c>
    </row>
    <row r="643" customFormat="false" ht="23.85" hidden="false" customHeight="false" outlineLevel="0" collapsed="false">
      <c r="A643" s="11" t="s">
        <v>112</v>
      </c>
      <c r="B643" s="11" t="s">
        <v>128</v>
      </c>
      <c r="C643" s="11" t="s">
        <v>73</v>
      </c>
      <c r="D643" s="11" t="s">
        <v>74</v>
      </c>
      <c r="E643" s="11" t="s">
        <v>75</v>
      </c>
      <c r="F643" s="12" t="n">
        <f aca="false">SUMIFS(СПРОС_ДЕНЬ_ЧАС_МЕНЮ!$I$11:$I$3265,СПРОС_ДЕНЬ_ЧАС_МЕНЮ!$A$11:$A$3265,A643,СПРОС_ДЕНЬ_ЧАС_МЕНЮ!$B$11:$B$3265,B643,СПРОС_ДЕНЬ_ЧАС_МЕНЮ!$F$11:$F$3265,C643)</f>
        <v>1.716</v>
      </c>
      <c r="G643" s="12" t="n">
        <f aca="false">ПАРАМЕТРЫ!D20</f>
        <v>25</v>
      </c>
      <c r="H643" s="12" t="n">
        <f aca="false">SUMIFS(ШТАТ_ПО_ЧАСАМ!$C$11:$C$115,ШТАТ_ПО_ЧАСАМ!$A$11:$A$115,A643,ШТАТ_ПО_ЧАСАМ!$B$11:$B$115,B643)</f>
        <v>3</v>
      </c>
      <c r="I643" s="12" t="n">
        <f aca="false">MIN(H643,1)*ПАРАМЕТРЫ!E20</f>
        <v>10</v>
      </c>
      <c r="J643" s="12" t="n">
        <f aca="false">MIN(G643,I643)</f>
        <v>10</v>
      </c>
      <c r="K643" s="12" t="n">
        <f aca="false">MAX(F643-J643,0)</f>
        <v>0</v>
      </c>
      <c r="L643" s="12" t="n">
        <f aca="false">IF(J643=0,0,F643/J643)</f>
        <v>0.1716</v>
      </c>
      <c r="M643" s="11" t="str">
        <f aca="false">IF(K643&gt;0,"BLOCKED","PASS")</f>
        <v>PASS</v>
      </c>
      <c r="N643" s="11" t="s">
        <v>233</v>
      </c>
    </row>
    <row r="644" customFormat="false" ht="23.85" hidden="false" customHeight="false" outlineLevel="0" collapsed="false">
      <c r="A644" s="11" t="s">
        <v>112</v>
      </c>
      <c r="B644" s="11" t="s">
        <v>128</v>
      </c>
      <c r="C644" s="11" t="s">
        <v>77</v>
      </c>
      <c r="D644" s="11" t="s">
        <v>78</v>
      </c>
      <c r="E644" s="11" t="s">
        <v>79</v>
      </c>
      <c r="F644" s="12" t="n">
        <f aca="false">SUMIFS(СПРОС_ДЕНЬ_ЧАС_МЕНЮ!$I$11:$I$3265,СПРОС_ДЕНЬ_ЧАС_МЕНЮ!$A$11:$A$3265,A644,СПРОС_ДЕНЬ_ЧАС_МЕНЮ!$B$11:$B$3265,B644,СПРОС_ДЕНЬ_ЧАС_МЕНЮ!$F$11:$F$3265,C644)</f>
        <v>1.5048</v>
      </c>
      <c r="G644" s="12" t="n">
        <f aca="false">ПАРАМЕТРЫ!D21</f>
        <v>20</v>
      </c>
      <c r="H644" s="12" t="n">
        <f aca="false">SUMIFS(ШТАТ_ПО_ЧАСАМ!$C$11:$C$115,ШТАТ_ПО_ЧАСАМ!$A$11:$A$115,A644,ШТАТ_ПО_ЧАСАМ!$B$11:$B$115,B644)</f>
        <v>3</v>
      </c>
      <c r="I644" s="12" t="n">
        <f aca="false">MIN(H644,1)*ПАРАМЕТРЫ!E21</f>
        <v>10</v>
      </c>
      <c r="J644" s="12" t="n">
        <f aca="false">MIN(G644,I644)</f>
        <v>10</v>
      </c>
      <c r="K644" s="12" t="n">
        <f aca="false">MAX(F644-J644,0)</f>
        <v>0</v>
      </c>
      <c r="L644" s="12" t="n">
        <f aca="false">IF(J644=0,0,F644/J644)</f>
        <v>0.15048</v>
      </c>
      <c r="M644" s="11" t="str">
        <f aca="false">IF(K644&gt;0,"BLOCKED","PASS")</f>
        <v>PASS</v>
      </c>
      <c r="N644" s="11" t="s">
        <v>233</v>
      </c>
    </row>
    <row r="645" customFormat="false" ht="23.85" hidden="false" customHeight="false" outlineLevel="0" collapsed="false">
      <c r="A645" s="11" t="s">
        <v>112</v>
      </c>
      <c r="B645" s="11" t="s">
        <v>128</v>
      </c>
      <c r="C645" s="11" t="s">
        <v>80</v>
      </c>
      <c r="D645" s="11" t="s">
        <v>81</v>
      </c>
      <c r="E645" s="11" t="s">
        <v>82</v>
      </c>
      <c r="F645" s="12" t="n">
        <f aca="false">SUMIFS(СПРОС_ДЕНЬ_ЧАС_МЕНЮ!$I$11:$I$3265,СПРОС_ДЕНЬ_ЧАС_МЕНЮ!$A$11:$A$3265,A645,СПРОС_ДЕНЬ_ЧАС_МЕНЮ!$B$11:$B$3265,B645,СПРОС_ДЕНЬ_ЧАС_МЕНЮ!$F$11:$F$3265,C645)</f>
        <v>1.716</v>
      </c>
      <c r="G645" s="12" t="n">
        <f aca="false">ПАРАМЕТРЫ!D22</f>
        <v>16</v>
      </c>
      <c r="H645" s="12" t="n">
        <f aca="false">SUMIFS(ШТАТ_ПО_ЧАСАМ!$C$11:$C$115,ШТАТ_ПО_ЧАСАМ!$A$11:$A$115,A645,ШТАТ_ПО_ЧАСАМ!$B$11:$B$115,B645)</f>
        <v>3</v>
      </c>
      <c r="I645" s="12" t="n">
        <f aca="false">MIN(H645,1)*ПАРАМЕТРЫ!E22</f>
        <v>16</v>
      </c>
      <c r="J645" s="12" t="n">
        <f aca="false">MIN(G645,I645)</f>
        <v>16</v>
      </c>
      <c r="K645" s="12" t="n">
        <f aca="false">MAX(F645-J645,0)</f>
        <v>0</v>
      </c>
      <c r="L645" s="12" t="n">
        <f aca="false">IF(J645=0,0,F645/J645)</f>
        <v>0.10725</v>
      </c>
      <c r="M645" s="11" t="str">
        <f aca="false">IF(K645&gt;0,"BLOCKED","PASS")</f>
        <v>PASS</v>
      </c>
      <c r="N645" s="11" t="s">
        <v>233</v>
      </c>
    </row>
    <row r="646" customFormat="false" ht="23.85" hidden="false" customHeight="false" outlineLevel="0" collapsed="false">
      <c r="A646" s="11" t="s">
        <v>112</v>
      </c>
      <c r="B646" s="11" t="s">
        <v>128</v>
      </c>
      <c r="C646" s="11" t="s">
        <v>83</v>
      </c>
      <c r="D646" s="11" t="s">
        <v>84</v>
      </c>
      <c r="E646" s="11" t="s">
        <v>83</v>
      </c>
      <c r="F646" s="12" t="n">
        <f aca="false">SUMIFS(СПРОС_ДЕНЬ_ЧАС_МЕНЮ!$I$11:$I$3265,СПРОС_ДЕНЬ_ЧАС_МЕНЮ!$A$11:$A$3265,A646,СПРОС_ДЕНЬ_ЧАС_МЕНЮ!$B$11:$B$3265,B646,СПРОС_ДЕНЬ_ЧАС_МЕНЮ!$F$11:$F$3265,C646)</f>
        <v>3.036</v>
      </c>
      <c r="G646" s="12" t="n">
        <f aca="false">ПАРАМЕТРЫ!D23</f>
        <v>21</v>
      </c>
      <c r="H646" s="12" t="n">
        <f aca="false">SUMIFS(ШТАТ_ПО_ЧАСАМ!$C$11:$C$115,ШТАТ_ПО_ЧАСАМ!$A$11:$A$115,A646,ШТАТ_ПО_ЧАСАМ!$B$11:$B$115,B646)</f>
        <v>3</v>
      </c>
      <c r="I646" s="12" t="n">
        <f aca="false">MIN(H646,1)*ПАРАМЕТРЫ!E23</f>
        <v>21</v>
      </c>
      <c r="J646" s="12" t="n">
        <f aca="false">MIN(G646,I646)</f>
        <v>21</v>
      </c>
      <c r="K646" s="12" t="n">
        <f aca="false">MAX(F646-J646,0)</f>
        <v>0</v>
      </c>
      <c r="L646" s="12" t="n">
        <f aca="false">IF(J646=0,0,F646/J646)</f>
        <v>0.144571428571429</v>
      </c>
      <c r="M646" s="11" t="str">
        <f aca="false">IF(K646&gt;0,"BLOCKED","PASS")</f>
        <v>PASS</v>
      </c>
      <c r="N646" s="11" t="s">
        <v>233</v>
      </c>
    </row>
    <row r="647" customFormat="false" ht="23.85" hidden="false" customHeight="false" outlineLevel="0" collapsed="false">
      <c r="A647" s="11" t="s">
        <v>112</v>
      </c>
      <c r="B647" s="11" t="s">
        <v>128</v>
      </c>
      <c r="C647" s="11" t="s">
        <v>85</v>
      </c>
      <c r="D647" s="11" t="s">
        <v>86</v>
      </c>
      <c r="E647" s="11" t="s">
        <v>87</v>
      </c>
      <c r="F647" s="12" t="n">
        <f aca="false">SUMIFS(СПРОС_ДЕНЬ_ЧАС_МЕНЮ!$I$11:$I$3265,СПРОС_ДЕНЬ_ЧАС_МЕНЮ!$A$11:$A$3265,A647,СПРОС_ДЕНЬ_ЧАС_МЕНЮ!$B$11:$B$3265,B647,СПРОС_ДЕНЬ_ЧАС_МЕНЮ!$F$11:$F$3265,C647)</f>
        <v>1.03422</v>
      </c>
      <c r="G647" s="12" t="n">
        <f aca="false">ПАРАМЕТРЫ!D24</f>
        <v>12</v>
      </c>
      <c r="H647" s="12" t="n">
        <f aca="false">SUMIFS(ШТАТ_ПО_ЧАСАМ!$C$11:$C$115,ШТАТ_ПО_ЧАСАМ!$A$11:$A$115,A647,ШТАТ_ПО_ЧАСАМ!$B$11:$B$115,B647)</f>
        <v>3</v>
      </c>
      <c r="I647" s="12" t="n">
        <f aca="false">MIN(H647,1)*ПАРАМЕТРЫ!E24</f>
        <v>12</v>
      </c>
      <c r="J647" s="12" t="n">
        <f aca="false">MIN(G647,I647)</f>
        <v>12</v>
      </c>
      <c r="K647" s="12" t="n">
        <f aca="false">MAX(F647-J647,0)</f>
        <v>0</v>
      </c>
      <c r="L647" s="12" t="n">
        <f aca="false">IF(J647=0,0,F647/J647)</f>
        <v>0.086185</v>
      </c>
      <c r="M647" s="11" t="str">
        <f aca="false">IF(K647&gt;0,"BLOCKED","PASS")</f>
        <v>PASS</v>
      </c>
      <c r="N647" s="11" t="s">
        <v>233</v>
      </c>
    </row>
    <row r="648" customFormat="false" ht="23.85" hidden="false" customHeight="false" outlineLevel="0" collapsed="false">
      <c r="A648" s="11" t="s">
        <v>112</v>
      </c>
      <c r="B648" s="11" t="s">
        <v>128</v>
      </c>
      <c r="C648" s="11" t="s">
        <v>88</v>
      </c>
      <c r="D648" s="11" t="s">
        <v>89</v>
      </c>
      <c r="E648" s="11" t="s">
        <v>90</v>
      </c>
      <c r="F648" s="12" t="n">
        <f aca="false">SUMIFS(СПРОС_ДЕНЬ_ЧАС_МЕНЮ!$I$11:$I$3265,СПРОС_ДЕНЬ_ЧАС_МЕНЮ!$A$11:$A$3265,A648,СПРОС_ДЕНЬ_ЧАС_МЕНЮ!$B$11:$B$3265,B648,СПРОС_ДЕНЬ_ЧАС_МЕНЮ!$F$11:$F$3265,C648)</f>
        <v>1.1</v>
      </c>
      <c r="G648" s="12" t="n">
        <f aca="false">ПАРАМЕТРЫ!D25</f>
        <v>15</v>
      </c>
      <c r="H648" s="12" t="n">
        <f aca="false">SUMIFS(ШТАТ_ПО_ЧАСАМ!$C$11:$C$115,ШТАТ_ПО_ЧАСАМ!$A$11:$A$115,A648,ШТАТ_ПО_ЧАСАМ!$B$11:$B$115,B648)</f>
        <v>3</v>
      </c>
      <c r="I648" s="12" t="n">
        <f aca="false">MIN(H648,1)*ПАРАМЕТРЫ!E25</f>
        <v>10</v>
      </c>
      <c r="J648" s="12" t="n">
        <f aca="false">MIN(G648,I648)</f>
        <v>10</v>
      </c>
      <c r="K648" s="12" t="n">
        <f aca="false">MAX(F648-J648,0)</f>
        <v>0</v>
      </c>
      <c r="L648" s="12" t="n">
        <f aca="false">IF(J648=0,0,F648/J648)</f>
        <v>0.11</v>
      </c>
      <c r="M648" s="11" t="str">
        <f aca="false">IF(K648&gt;0,"BLOCKED","PASS")</f>
        <v>PASS</v>
      </c>
      <c r="N648" s="11" t="s">
        <v>233</v>
      </c>
    </row>
    <row r="649" customFormat="false" ht="23.85" hidden="false" customHeight="false" outlineLevel="0" collapsed="false">
      <c r="A649" s="11" t="s">
        <v>112</v>
      </c>
      <c r="B649" s="11" t="s">
        <v>128</v>
      </c>
      <c r="C649" s="11" t="s">
        <v>91</v>
      </c>
      <c r="D649" s="11" t="s">
        <v>92</v>
      </c>
      <c r="E649" s="11" t="s">
        <v>79</v>
      </c>
      <c r="F649" s="12" t="n">
        <f aca="false">SUMIFS(СПРОС_ДЕНЬ_ЧАС_МЕНЮ!$I$11:$I$3265,СПРОС_ДЕНЬ_ЧАС_МЕНЮ!$A$11:$A$3265,A649,СПРОС_ДЕНЬ_ЧАС_МЕНЮ!$B$11:$B$3265,B649,СПРОС_ДЕНЬ_ЧАС_МЕНЮ!$F$11:$F$3265,C649)</f>
        <v>0.924</v>
      </c>
      <c r="G649" s="12" t="n">
        <f aca="false">ПАРАМЕТРЫ!D26</f>
        <v>20</v>
      </c>
      <c r="H649" s="12" t="n">
        <f aca="false">SUMIFS(ШТАТ_ПО_ЧАСАМ!$C$11:$C$115,ШТАТ_ПО_ЧАСАМ!$A$11:$A$115,A649,ШТАТ_ПО_ЧАСАМ!$B$11:$B$115,B649)</f>
        <v>3</v>
      </c>
      <c r="I649" s="12" t="n">
        <f aca="false">MIN(H649,1)*ПАРАМЕТРЫ!E26</f>
        <v>10</v>
      </c>
      <c r="J649" s="12" t="n">
        <f aca="false">MIN(G649,I649)</f>
        <v>10</v>
      </c>
      <c r="K649" s="12" t="n">
        <f aca="false">MAX(F649-J649,0)</f>
        <v>0</v>
      </c>
      <c r="L649" s="12" t="n">
        <f aca="false">IF(J649=0,0,F649/J649)</f>
        <v>0.0924</v>
      </c>
      <c r="M649" s="11" t="str">
        <f aca="false">IF(K649&gt;0,"BLOCKED","PASS")</f>
        <v>PASS</v>
      </c>
      <c r="N649" s="11" t="s">
        <v>233</v>
      </c>
    </row>
    <row r="650" customFormat="false" ht="15" hidden="false" customHeight="false" outlineLevel="0" collapsed="false">
      <c r="A650" s="11" t="s">
        <v>112</v>
      </c>
      <c r="B650" s="11" t="s">
        <v>128</v>
      </c>
      <c r="C650" s="11" t="s">
        <v>93</v>
      </c>
      <c r="D650" s="11" t="s">
        <v>234</v>
      </c>
      <c r="E650" s="11" t="s">
        <v>95</v>
      </c>
      <c r="F650" s="12" t="n">
        <f aca="false">SUMIFS(СПРОС_ДЕНЬ_ЧАС_МЕНЮ!$I$11:$I$3265,СПРОС_ДЕНЬ_ЧАС_МЕНЮ!$A$11:$A$3265,A650,СПРОС_ДЕНЬ_ЧАС_МЕНЮ!$B$11:$B$3265,B650)</f>
        <v>11.03102</v>
      </c>
      <c r="G650" s="12" t="n">
        <f aca="false">ПАРАМЕТРЫ!D27</f>
        <v>60</v>
      </c>
      <c r="H650" s="12" t="n">
        <f aca="false">SUMIFS(ШТАТ_ПО_ЧАСАМ!$C$11:$C$115,ШТАТ_ПО_ЧАСАМ!$A$11:$A$115,A650,ШТАТ_ПО_ЧАСАМ!$B$11:$B$115,B650)</f>
        <v>3</v>
      </c>
      <c r="I650" s="12" t="n">
        <f aca="false">H650*ПАРАМЕТРЫ!E27</f>
        <v>50</v>
      </c>
      <c r="J650" s="12" t="n">
        <f aca="false">MIN(G650,I650)</f>
        <v>50</v>
      </c>
      <c r="K650" s="12" t="n">
        <f aca="false">MAX(F650-J650,0)</f>
        <v>0</v>
      </c>
      <c r="L650" s="12" t="n">
        <f aca="false">IF(J650=0,0,F650/J650)</f>
        <v>0.2206204</v>
      </c>
      <c r="M650" s="11" t="str">
        <f aca="false">IF(K650&gt;0,"BLOCKED","PASS")</f>
        <v>PASS</v>
      </c>
      <c r="N650" s="11" t="s">
        <v>235</v>
      </c>
    </row>
    <row r="651" customFormat="false" ht="23.85" hidden="false" customHeight="false" outlineLevel="0" collapsed="false">
      <c r="A651" s="11" t="s">
        <v>112</v>
      </c>
      <c r="B651" s="11" t="s">
        <v>129</v>
      </c>
      <c r="C651" s="11" t="s">
        <v>73</v>
      </c>
      <c r="D651" s="11" t="s">
        <v>74</v>
      </c>
      <c r="E651" s="11" t="s">
        <v>75</v>
      </c>
      <c r="F651" s="12" t="n">
        <f aca="false">SUMIFS(СПРОС_ДЕНЬ_ЧАС_МЕНЮ!$I$11:$I$3265,СПРОС_ДЕНЬ_ЧАС_МЕНЮ!$A$11:$A$3265,A651,СПРОС_ДЕНЬ_ЧАС_МЕНЮ!$B$11:$B$3265,B651,СПРОС_ДЕНЬ_ЧАС_МЕНЮ!$F$11:$F$3265,C651)</f>
        <v>4.378</v>
      </c>
      <c r="G651" s="12" t="n">
        <f aca="false">ПАРАМЕТРЫ!D20</f>
        <v>25</v>
      </c>
      <c r="H651" s="12" t="n">
        <f aca="false">SUMIFS(ШТАТ_ПО_ЧАСАМ!$C$11:$C$115,ШТАТ_ПО_ЧАСАМ!$A$11:$A$115,A651,ШТАТ_ПО_ЧАСАМ!$B$11:$B$115,B651)</f>
        <v>3</v>
      </c>
      <c r="I651" s="12" t="n">
        <f aca="false">MIN(H651,1)*ПАРАМЕТРЫ!E20</f>
        <v>10</v>
      </c>
      <c r="J651" s="12" t="n">
        <f aca="false">MIN(G651,I651)</f>
        <v>10</v>
      </c>
      <c r="K651" s="12" t="n">
        <f aca="false">MAX(F651-J651,0)</f>
        <v>0</v>
      </c>
      <c r="L651" s="12" t="n">
        <f aca="false">IF(J651=0,0,F651/J651)</f>
        <v>0.4378</v>
      </c>
      <c r="M651" s="11" t="str">
        <f aca="false">IF(K651&gt;0,"BLOCKED","PASS")</f>
        <v>PASS</v>
      </c>
      <c r="N651" s="11" t="s">
        <v>233</v>
      </c>
    </row>
    <row r="652" customFormat="false" ht="23.85" hidden="false" customHeight="false" outlineLevel="0" collapsed="false">
      <c r="A652" s="11" t="s">
        <v>112</v>
      </c>
      <c r="B652" s="11" t="s">
        <v>129</v>
      </c>
      <c r="C652" s="11" t="s">
        <v>77</v>
      </c>
      <c r="D652" s="11" t="s">
        <v>78</v>
      </c>
      <c r="E652" s="11" t="s">
        <v>79</v>
      </c>
      <c r="F652" s="12" t="n">
        <f aca="false">SUMIFS(СПРОС_ДЕНЬ_ЧАС_МЕНЮ!$I$11:$I$3265,СПРОС_ДЕНЬ_ЧАС_МЕНЮ!$A$11:$A$3265,A652,СПРОС_ДЕНЬ_ЧАС_МЕНЮ!$B$11:$B$3265,B652,СПРОС_ДЕНЬ_ЧАС_МЕНЮ!$F$11:$F$3265,C652)</f>
        <v>2.2308</v>
      </c>
      <c r="G652" s="12" t="n">
        <f aca="false">ПАРАМЕТРЫ!D21</f>
        <v>20</v>
      </c>
      <c r="H652" s="12" t="n">
        <f aca="false">SUMIFS(ШТАТ_ПО_ЧАСАМ!$C$11:$C$115,ШТАТ_ПО_ЧАСАМ!$A$11:$A$115,A652,ШТАТ_ПО_ЧАСАМ!$B$11:$B$115,B652)</f>
        <v>3</v>
      </c>
      <c r="I652" s="12" t="n">
        <f aca="false">MIN(H652,1)*ПАРАМЕТРЫ!E21</f>
        <v>10</v>
      </c>
      <c r="J652" s="12" t="n">
        <f aca="false">MIN(G652,I652)</f>
        <v>10</v>
      </c>
      <c r="K652" s="12" t="n">
        <f aca="false">MAX(F652-J652,0)</f>
        <v>0</v>
      </c>
      <c r="L652" s="12" t="n">
        <f aca="false">IF(J652=0,0,F652/J652)</f>
        <v>0.22308</v>
      </c>
      <c r="M652" s="11" t="str">
        <f aca="false">IF(K652&gt;0,"BLOCKED","PASS")</f>
        <v>PASS</v>
      </c>
      <c r="N652" s="11" t="s">
        <v>233</v>
      </c>
    </row>
    <row r="653" customFormat="false" ht="23.85" hidden="false" customHeight="false" outlineLevel="0" collapsed="false">
      <c r="A653" s="11" t="s">
        <v>112</v>
      </c>
      <c r="B653" s="11" t="s">
        <v>129</v>
      </c>
      <c r="C653" s="11" t="s">
        <v>80</v>
      </c>
      <c r="D653" s="11" t="s">
        <v>81</v>
      </c>
      <c r="E653" s="11" t="s">
        <v>82</v>
      </c>
      <c r="F653" s="12" t="n">
        <f aca="false">SUMIFS(СПРОС_ДЕНЬ_ЧАС_МЕНЮ!$I$11:$I$3265,СПРОС_ДЕНЬ_ЧАС_МЕНЮ!$A$11:$A$3265,A653,СПРОС_ДЕНЬ_ЧАС_МЕНЮ!$B$11:$B$3265,B653,СПРОС_ДЕНЬ_ЧАС_МЕНЮ!$F$11:$F$3265,C653)</f>
        <v>4.51</v>
      </c>
      <c r="G653" s="12" t="n">
        <f aca="false">ПАРАМЕТРЫ!D22</f>
        <v>16</v>
      </c>
      <c r="H653" s="12" t="n">
        <f aca="false">SUMIFS(ШТАТ_ПО_ЧАСАМ!$C$11:$C$115,ШТАТ_ПО_ЧАСАМ!$A$11:$A$115,A653,ШТАТ_ПО_ЧАСАМ!$B$11:$B$115,B653)</f>
        <v>3</v>
      </c>
      <c r="I653" s="12" t="n">
        <f aca="false">MIN(H653,1)*ПАРАМЕТРЫ!E22</f>
        <v>16</v>
      </c>
      <c r="J653" s="12" t="n">
        <f aca="false">MIN(G653,I653)</f>
        <v>16</v>
      </c>
      <c r="K653" s="12" t="n">
        <f aca="false">MAX(F653-J653,0)</f>
        <v>0</v>
      </c>
      <c r="L653" s="12" t="n">
        <f aca="false">IF(J653=0,0,F653/J653)</f>
        <v>0.281875</v>
      </c>
      <c r="M653" s="11" t="str">
        <f aca="false">IF(K653&gt;0,"BLOCKED","PASS")</f>
        <v>PASS</v>
      </c>
      <c r="N653" s="11" t="s">
        <v>233</v>
      </c>
    </row>
    <row r="654" customFormat="false" ht="23.85" hidden="false" customHeight="false" outlineLevel="0" collapsed="false">
      <c r="A654" s="11" t="s">
        <v>112</v>
      </c>
      <c r="B654" s="11" t="s">
        <v>129</v>
      </c>
      <c r="C654" s="11" t="s">
        <v>83</v>
      </c>
      <c r="D654" s="11" t="s">
        <v>84</v>
      </c>
      <c r="E654" s="11" t="s">
        <v>83</v>
      </c>
      <c r="F654" s="12" t="n">
        <f aca="false">SUMIFS(СПРОС_ДЕНЬ_ЧАС_МЕНЮ!$I$11:$I$3265,СПРОС_ДЕНЬ_ЧАС_МЕНЮ!$A$11:$A$3265,A654,СПРОС_ДЕНЬ_ЧАС_МЕНЮ!$B$11:$B$3265,B654,СПРОС_ДЕНЬ_ЧАС_МЕНЮ!$F$11:$F$3265,C654)</f>
        <v>7.92</v>
      </c>
      <c r="G654" s="12" t="n">
        <f aca="false">ПАРАМЕТРЫ!D23</f>
        <v>21</v>
      </c>
      <c r="H654" s="12" t="n">
        <f aca="false">SUMIFS(ШТАТ_ПО_ЧАСАМ!$C$11:$C$115,ШТАТ_ПО_ЧАСАМ!$A$11:$A$115,A654,ШТАТ_ПО_ЧАСАМ!$B$11:$B$115,B654)</f>
        <v>3</v>
      </c>
      <c r="I654" s="12" t="n">
        <f aca="false">MIN(H654,1)*ПАРАМЕТРЫ!E23</f>
        <v>21</v>
      </c>
      <c r="J654" s="12" t="n">
        <f aca="false">MIN(G654,I654)</f>
        <v>21</v>
      </c>
      <c r="K654" s="12" t="n">
        <f aca="false">MAX(F654-J654,0)</f>
        <v>0</v>
      </c>
      <c r="L654" s="12" t="n">
        <f aca="false">IF(J654=0,0,F654/J654)</f>
        <v>0.377142857142857</v>
      </c>
      <c r="M654" s="11" t="str">
        <f aca="false">IF(K654&gt;0,"BLOCKED","PASS")</f>
        <v>PASS</v>
      </c>
      <c r="N654" s="11" t="s">
        <v>233</v>
      </c>
    </row>
    <row r="655" customFormat="false" ht="23.85" hidden="false" customHeight="false" outlineLevel="0" collapsed="false">
      <c r="A655" s="11" t="s">
        <v>112</v>
      </c>
      <c r="B655" s="11" t="s">
        <v>129</v>
      </c>
      <c r="C655" s="11" t="s">
        <v>85</v>
      </c>
      <c r="D655" s="11" t="s">
        <v>86</v>
      </c>
      <c r="E655" s="11" t="s">
        <v>87</v>
      </c>
      <c r="F655" s="12" t="n">
        <f aca="false">SUMIFS(СПРОС_ДЕНЬ_ЧАС_МЕНЮ!$I$11:$I$3265,СПРОС_ДЕНЬ_ЧАС_МЕНЮ!$A$11:$A$3265,A655,СПРОС_ДЕНЬ_ЧАС_МЕНЮ!$B$11:$B$3265,B655,СПРОС_ДЕНЬ_ЧАС_МЕНЮ!$F$11:$F$3265,C655)</f>
        <v>2.75792</v>
      </c>
      <c r="G655" s="12" t="n">
        <f aca="false">ПАРАМЕТРЫ!D24</f>
        <v>12</v>
      </c>
      <c r="H655" s="12" t="n">
        <f aca="false">SUMIFS(ШТАТ_ПО_ЧАСАМ!$C$11:$C$115,ШТАТ_ПО_ЧАСАМ!$A$11:$A$115,A655,ШТАТ_ПО_ЧАСАМ!$B$11:$B$115,B655)</f>
        <v>3</v>
      </c>
      <c r="I655" s="12" t="n">
        <f aca="false">MIN(H655,1)*ПАРАМЕТРЫ!E24</f>
        <v>12</v>
      </c>
      <c r="J655" s="12" t="n">
        <f aca="false">MIN(G655,I655)</f>
        <v>12</v>
      </c>
      <c r="K655" s="12" t="n">
        <f aca="false">MAX(F655-J655,0)</f>
        <v>0</v>
      </c>
      <c r="L655" s="12" t="n">
        <f aca="false">IF(J655=0,0,F655/J655)</f>
        <v>0.229826666666667</v>
      </c>
      <c r="M655" s="11" t="str">
        <f aca="false">IF(K655&gt;0,"BLOCKED","PASS")</f>
        <v>PASS</v>
      </c>
      <c r="N655" s="11" t="s">
        <v>233</v>
      </c>
    </row>
    <row r="656" customFormat="false" ht="23.85" hidden="false" customHeight="false" outlineLevel="0" collapsed="false">
      <c r="A656" s="11" t="s">
        <v>112</v>
      </c>
      <c r="B656" s="11" t="s">
        <v>129</v>
      </c>
      <c r="C656" s="11" t="s">
        <v>88</v>
      </c>
      <c r="D656" s="11" t="s">
        <v>89</v>
      </c>
      <c r="E656" s="11" t="s">
        <v>90</v>
      </c>
      <c r="F656" s="12" t="n">
        <f aca="false">SUMIFS(СПРОС_ДЕНЬ_ЧАС_МЕНЮ!$I$11:$I$3265,СПРОС_ДЕНЬ_ЧАС_МЕНЮ!$A$11:$A$3265,A656,СПРОС_ДЕНЬ_ЧАС_МЕНЮ!$B$11:$B$3265,B656,СПРОС_ДЕНЬ_ЧАС_МЕНЮ!$F$11:$F$3265,C656)</f>
        <v>0</v>
      </c>
      <c r="G656" s="12" t="n">
        <f aca="false">ПАРАМЕТРЫ!D25</f>
        <v>15</v>
      </c>
      <c r="H656" s="12" t="n">
        <f aca="false">SUMIFS(ШТАТ_ПО_ЧАСАМ!$C$11:$C$115,ШТАТ_ПО_ЧАСАМ!$A$11:$A$115,A656,ШТАТ_ПО_ЧАСАМ!$B$11:$B$115,B656)</f>
        <v>3</v>
      </c>
      <c r="I656" s="12" t="n">
        <f aca="false">MIN(H656,1)*ПАРАМЕТРЫ!E25</f>
        <v>10</v>
      </c>
      <c r="J656" s="12" t="n">
        <f aca="false">MIN(G656,I656)</f>
        <v>10</v>
      </c>
      <c r="K656" s="12" t="n">
        <f aca="false">MAX(F656-J656,0)</f>
        <v>0</v>
      </c>
      <c r="L656" s="12" t="n">
        <f aca="false">IF(J656=0,0,F656/J656)</f>
        <v>0</v>
      </c>
      <c r="M656" s="11" t="str">
        <f aca="false">IF(K656&gt;0,"BLOCKED","PASS")</f>
        <v>PASS</v>
      </c>
      <c r="N656" s="11" t="s">
        <v>233</v>
      </c>
    </row>
    <row r="657" customFormat="false" ht="23.85" hidden="false" customHeight="false" outlineLevel="0" collapsed="false">
      <c r="A657" s="11" t="s">
        <v>112</v>
      </c>
      <c r="B657" s="11" t="s">
        <v>129</v>
      </c>
      <c r="C657" s="11" t="s">
        <v>91</v>
      </c>
      <c r="D657" s="11" t="s">
        <v>92</v>
      </c>
      <c r="E657" s="11" t="s">
        <v>79</v>
      </c>
      <c r="F657" s="12" t="n">
        <f aca="false">SUMIFS(СПРОС_ДЕНЬ_ЧАС_МЕНЮ!$I$11:$I$3265,СПРОС_ДЕНЬ_ЧАС_МЕНЮ!$A$11:$A$3265,A657,СПРОС_ДЕНЬ_ЧАС_МЕНЮ!$B$11:$B$3265,B657,СПРОС_ДЕНЬ_ЧАС_МЕНЮ!$F$11:$F$3265,C657)</f>
        <v>1.584</v>
      </c>
      <c r="G657" s="12" t="n">
        <f aca="false">ПАРАМЕТРЫ!D26</f>
        <v>20</v>
      </c>
      <c r="H657" s="12" t="n">
        <f aca="false">SUMIFS(ШТАТ_ПО_ЧАСАМ!$C$11:$C$115,ШТАТ_ПО_ЧАСАМ!$A$11:$A$115,A657,ШТАТ_ПО_ЧАСАМ!$B$11:$B$115,B657)</f>
        <v>3</v>
      </c>
      <c r="I657" s="12" t="n">
        <f aca="false">MIN(H657,1)*ПАРАМЕТРЫ!E26</f>
        <v>10</v>
      </c>
      <c r="J657" s="12" t="n">
        <f aca="false">MIN(G657,I657)</f>
        <v>10</v>
      </c>
      <c r="K657" s="12" t="n">
        <f aca="false">MAX(F657-J657,0)</f>
        <v>0</v>
      </c>
      <c r="L657" s="12" t="n">
        <f aca="false">IF(J657=0,0,F657/J657)</f>
        <v>0.1584</v>
      </c>
      <c r="M657" s="11" t="str">
        <f aca="false">IF(K657&gt;0,"BLOCKED","PASS")</f>
        <v>PASS</v>
      </c>
      <c r="N657" s="11" t="s">
        <v>233</v>
      </c>
    </row>
    <row r="658" customFormat="false" ht="15" hidden="false" customHeight="false" outlineLevel="0" collapsed="false">
      <c r="A658" s="11" t="s">
        <v>112</v>
      </c>
      <c r="B658" s="11" t="s">
        <v>129</v>
      </c>
      <c r="C658" s="11" t="s">
        <v>93</v>
      </c>
      <c r="D658" s="11" t="s">
        <v>234</v>
      </c>
      <c r="E658" s="11" t="s">
        <v>95</v>
      </c>
      <c r="F658" s="12" t="n">
        <f aca="false">SUMIFS(СПРОС_ДЕНЬ_ЧАС_МЕНЮ!$I$11:$I$3265,СПРОС_ДЕНЬ_ЧАС_МЕНЮ!$A$11:$A$3265,A658,СПРОС_ДЕНЬ_ЧАС_МЕНЮ!$B$11:$B$3265,B658)</f>
        <v>23.38072</v>
      </c>
      <c r="G658" s="12" t="n">
        <f aca="false">ПАРАМЕТРЫ!D27</f>
        <v>60</v>
      </c>
      <c r="H658" s="12" t="n">
        <f aca="false">SUMIFS(ШТАТ_ПО_ЧАСАМ!$C$11:$C$115,ШТАТ_ПО_ЧАСАМ!$A$11:$A$115,A658,ШТАТ_ПО_ЧАСАМ!$B$11:$B$115,B658)</f>
        <v>3</v>
      </c>
      <c r="I658" s="12" t="n">
        <f aca="false">H658*ПАРАМЕТРЫ!E27</f>
        <v>50</v>
      </c>
      <c r="J658" s="12" t="n">
        <f aca="false">MIN(G658,I658)</f>
        <v>50</v>
      </c>
      <c r="K658" s="12" t="n">
        <f aca="false">MAX(F658-J658,0)</f>
        <v>0</v>
      </c>
      <c r="L658" s="12" t="n">
        <f aca="false">IF(J658=0,0,F658/J658)</f>
        <v>0.4676144</v>
      </c>
      <c r="M658" s="11" t="str">
        <f aca="false">IF(K658&gt;0,"BLOCKED","PASS")</f>
        <v>PASS</v>
      </c>
      <c r="N658" s="11" t="s">
        <v>235</v>
      </c>
    </row>
    <row r="659" customFormat="false" ht="23.85" hidden="false" customHeight="false" outlineLevel="0" collapsed="false">
      <c r="A659" s="11" t="s">
        <v>112</v>
      </c>
      <c r="B659" s="11" t="s">
        <v>130</v>
      </c>
      <c r="C659" s="11" t="s">
        <v>73</v>
      </c>
      <c r="D659" s="11" t="s">
        <v>74</v>
      </c>
      <c r="E659" s="11" t="s">
        <v>75</v>
      </c>
      <c r="F659" s="12" t="n">
        <f aca="false">SUMIFS(СПРОС_ДЕНЬ_ЧАС_МЕНЮ!$I$11:$I$3265,СПРОС_ДЕНЬ_ЧАС_МЕНЮ!$A$11:$A$3265,A659,СПРОС_ДЕНЬ_ЧАС_МЕНЮ!$B$11:$B$3265,B659,СПРОС_ДЕНЬ_ЧАС_МЕНЮ!$F$11:$F$3265,C659)</f>
        <v>4.73</v>
      </c>
      <c r="G659" s="12" t="n">
        <f aca="false">ПАРАМЕТРЫ!D20</f>
        <v>25</v>
      </c>
      <c r="H659" s="12" t="n">
        <f aca="false">SUMIFS(ШТАТ_ПО_ЧАСАМ!$C$11:$C$115,ШТАТ_ПО_ЧАСАМ!$A$11:$A$115,A659,ШТАТ_ПО_ЧАСАМ!$B$11:$B$115,B659)</f>
        <v>3</v>
      </c>
      <c r="I659" s="12" t="n">
        <f aca="false">MIN(H659,1)*ПАРАМЕТРЫ!E20</f>
        <v>10</v>
      </c>
      <c r="J659" s="12" t="n">
        <f aca="false">MIN(G659,I659)</f>
        <v>10</v>
      </c>
      <c r="K659" s="12" t="n">
        <f aca="false">MAX(F659-J659,0)</f>
        <v>0</v>
      </c>
      <c r="L659" s="12" t="n">
        <f aca="false">IF(J659=0,0,F659/J659)</f>
        <v>0.473</v>
      </c>
      <c r="M659" s="11" t="str">
        <f aca="false">IF(K659&gt;0,"BLOCKED","PASS")</f>
        <v>PASS</v>
      </c>
      <c r="N659" s="11" t="s">
        <v>233</v>
      </c>
    </row>
    <row r="660" customFormat="false" ht="23.85" hidden="false" customHeight="false" outlineLevel="0" collapsed="false">
      <c r="A660" s="11" t="s">
        <v>112</v>
      </c>
      <c r="B660" s="11" t="s">
        <v>130</v>
      </c>
      <c r="C660" s="11" t="s">
        <v>77</v>
      </c>
      <c r="D660" s="11" t="s">
        <v>78</v>
      </c>
      <c r="E660" s="11" t="s">
        <v>79</v>
      </c>
      <c r="F660" s="12" t="n">
        <f aca="false">SUMIFS(СПРОС_ДЕНЬ_ЧАС_МЕНЮ!$I$11:$I$3265,СПРОС_ДЕНЬ_ЧАС_МЕНЮ!$A$11:$A$3265,A660,СПРОС_ДЕНЬ_ЧАС_МЕНЮ!$B$11:$B$3265,B660,СПРОС_ДЕНЬ_ЧАС_МЕНЮ!$F$11:$F$3265,C660)</f>
        <v>2.442</v>
      </c>
      <c r="G660" s="12" t="n">
        <f aca="false">ПАРАМЕТРЫ!D21</f>
        <v>20</v>
      </c>
      <c r="H660" s="12" t="n">
        <f aca="false">SUMIFS(ШТАТ_ПО_ЧАСАМ!$C$11:$C$115,ШТАТ_ПО_ЧАСАМ!$A$11:$A$115,A660,ШТАТ_ПО_ЧАСАМ!$B$11:$B$115,B660)</f>
        <v>3</v>
      </c>
      <c r="I660" s="12" t="n">
        <f aca="false">MIN(H660,1)*ПАРАМЕТРЫ!E21</f>
        <v>10</v>
      </c>
      <c r="J660" s="12" t="n">
        <f aca="false">MIN(G660,I660)</f>
        <v>10</v>
      </c>
      <c r="K660" s="12" t="n">
        <f aca="false">MAX(F660-J660,0)</f>
        <v>0</v>
      </c>
      <c r="L660" s="12" t="n">
        <f aca="false">IF(J660=0,0,F660/J660)</f>
        <v>0.2442</v>
      </c>
      <c r="M660" s="11" t="str">
        <f aca="false">IF(K660&gt;0,"BLOCKED","PASS")</f>
        <v>PASS</v>
      </c>
      <c r="N660" s="11" t="s">
        <v>233</v>
      </c>
    </row>
    <row r="661" customFormat="false" ht="23.85" hidden="false" customHeight="false" outlineLevel="0" collapsed="false">
      <c r="A661" s="11" t="s">
        <v>112</v>
      </c>
      <c r="B661" s="11" t="s">
        <v>130</v>
      </c>
      <c r="C661" s="11" t="s">
        <v>80</v>
      </c>
      <c r="D661" s="11" t="s">
        <v>81</v>
      </c>
      <c r="E661" s="11" t="s">
        <v>82</v>
      </c>
      <c r="F661" s="12" t="n">
        <f aca="false">SUMIFS(СПРОС_ДЕНЬ_ЧАС_МЕНЮ!$I$11:$I$3265,СПРОС_ДЕНЬ_ЧАС_МЕНЮ!$A$11:$A$3265,A661,СПРОС_ДЕНЬ_ЧАС_МЕНЮ!$B$11:$B$3265,B661,СПРОС_ДЕНЬ_ЧАС_МЕНЮ!$F$11:$F$3265,C661)</f>
        <v>5.39</v>
      </c>
      <c r="G661" s="12" t="n">
        <f aca="false">ПАРАМЕТРЫ!D22</f>
        <v>16</v>
      </c>
      <c r="H661" s="12" t="n">
        <f aca="false">SUMIFS(ШТАТ_ПО_ЧАСАМ!$C$11:$C$115,ШТАТ_ПО_ЧАСАМ!$A$11:$A$115,A661,ШТАТ_ПО_ЧАСАМ!$B$11:$B$115,B661)</f>
        <v>3</v>
      </c>
      <c r="I661" s="12" t="n">
        <f aca="false">MIN(H661,1)*ПАРАМЕТРЫ!E22</f>
        <v>16</v>
      </c>
      <c r="J661" s="12" t="n">
        <f aca="false">MIN(G661,I661)</f>
        <v>16</v>
      </c>
      <c r="K661" s="12" t="n">
        <f aca="false">MAX(F661-J661,0)</f>
        <v>0</v>
      </c>
      <c r="L661" s="12" t="n">
        <f aca="false">IF(J661=0,0,F661/J661)</f>
        <v>0.336875</v>
      </c>
      <c r="M661" s="11" t="str">
        <f aca="false">IF(K661&gt;0,"BLOCKED","PASS")</f>
        <v>PASS</v>
      </c>
      <c r="N661" s="11" t="s">
        <v>233</v>
      </c>
    </row>
    <row r="662" customFormat="false" ht="23.85" hidden="false" customHeight="false" outlineLevel="0" collapsed="false">
      <c r="A662" s="11" t="s">
        <v>112</v>
      </c>
      <c r="B662" s="11" t="s">
        <v>130</v>
      </c>
      <c r="C662" s="11" t="s">
        <v>83</v>
      </c>
      <c r="D662" s="11" t="s">
        <v>84</v>
      </c>
      <c r="E662" s="11" t="s">
        <v>83</v>
      </c>
      <c r="F662" s="12" t="n">
        <f aca="false">SUMIFS(СПРОС_ДЕНЬ_ЧАС_МЕНЮ!$I$11:$I$3265,СПРОС_ДЕНЬ_ЧАС_МЕНЮ!$A$11:$A$3265,A662,СПРОС_ДЕНЬ_ЧАС_МЕНЮ!$B$11:$B$3265,B662,СПРОС_ДЕНЬ_ЧАС_МЕНЮ!$F$11:$F$3265,C662)</f>
        <v>9.24</v>
      </c>
      <c r="G662" s="12" t="n">
        <f aca="false">ПАРАМЕТРЫ!D23</f>
        <v>21</v>
      </c>
      <c r="H662" s="12" t="n">
        <f aca="false">SUMIFS(ШТАТ_ПО_ЧАСАМ!$C$11:$C$115,ШТАТ_ПО_ЧАСАМ!$A$11:$A$115,A662,ШТАТ_ПО_ЧАСАМ!$B$11:$B$115,B662)</f>
        <v>3</v>
      </c>
      <c r="I662" s="12" t="n">
        <f aca="false">MIN(H662,1)*ПАРАМЕТРЫ!E23</f>
        <v>21</v>
      </c>
      <c r="J662" s="12" t="n">
        <f aca="false">MIN(G662,I662)</f>
        <v>21</v>
      </c>
      <c r="K662" s="12" t="n">
        <f aca="false">MAX(F662-J662,0)</f>
        <v>0</v>
      </c>
      <c r="L662" s="12" t="n">
        <f aca="false">IF(J662=0,0,F662/J662)</f>
        <v>0.44</v>
      </c>
      <c r="M662" s="11" t="str">
        <f aca="false">IF(K662&gt;0,"BLOCKED","PASS")</f>
        <v>PASS</v>
      </c>
      <c r="N662" s="11" t="s">
        <v>233</v>
      </c>
    </row>
    <row r="663" customFormat="false" ht="23.85" hidden="false" customHeight="false" outlineLevel="0" collapsed="false">
      <c r="A663" s="11" t="s">
        <v>112</v>
      </c>
      <c r="B663" s="11" t="s">
        <v>130</v>
      </c>
      <c r="C663" s="11" t="s">
        <v>85</v>
      </c>
      <c r="D663" s="11" t="s">
        <v>86</v>
      </c>
      <c r="E663" s="11" t="s">
        <v>87</v>
      </c>
      <c r="F663" s="12" t="n">
        <f aca="false">SUMIFS(СПРОС_ДЕНЬ_ЧАС_МЕНЮ!$I$11:$I$3265,СПРОС_ДЕНЬ_ЧАС_МЕНЮ!$A$11:$A$3265,A663,СПРОС_ДЕНЬ_ЧАС_МЕНЮ!$B$11:$B$3265,B663,СПРОС_ДЕНЬ_ЧАС_МЕНЮ!$F$11:$F$3265,C663)</f>
        <v>3.4474</v>
      </c>
      <c r="G663" s="12" t="n">
        <f aca="false">ПАРАМЕТРЫ!D24</f>
        <v>12</v>
      </c>
      <c r="H663" s="12" t="n">
        <f aca="false">SUMIFS(ШТАТ_ПО_ЧАСАМ!$C$11:$C$115,ШТАТ_ПО_ЧАСАМ!$A$11:$A$115,A663,ШТАТ_ПО_ЧАСАМ!$B$11:$B$115,B663)</f>
        <v>3</v>
      </c>
      <c r="I663" s="12" t="n">
        <f aca="false">MIN(H663,1)*ПАРАМЕТРЫ!E24</f>
        <v>12</v>
      </c>
      <c r="J663" s="12" t="n">
        <f aca="false">MIN(G663,I663)</f>
        <v>12</v>
      </c>
      <c r="K663" s="12" t="n">
        <f aca="false">MAX(F663-J663,0)</f>
        <v>0</v>
      </c>
      <c r="L663" s="12" t="n">
        <f aca="false">IF(J663=0,0,F663/J663)</f>
        <v>0.287283333333333</v>
      </c>
      <c r="M663" s="11" t="str">
        <f aca="false">IF(K663&gt;0,"BLOCKED","PASS")</f>
        <v>PASS</v>
      </c>
      <c r="N663" s="11" t="s">
        <v>233</v>
      </c>
    </row>
    <row r="664" customFormat="false" ht="23.85" hidden="false" customHeight="false" outlineLevel="0" collapsed="false">
      <c r="A664" s="11" t="s">
        <v>112</v>
      </c>
      <c r="B664" s="11" t="s">
        <v>130</v>
      </c>
      <c r="C664" s="11" t="s">
        <v>88</v>
      </c>
      <c r="D664" s="11" t="s">
        <v>89</v>
      </c>
      <c r="E664" s="11" t="s">
        <v>90</v>
      </c>
      <c r="F664" s="12" t="n">
        <f aca="false">SUMIFS(СПРОС_ДЕНЬ_ЧАС_МЕНЮ!$I$11:$I$3265,СПРОС_ДЕНЬ_ЧАС_МЕНЮ!$A$11:$A$3265,A664,СПРОС_ДЕНЬ_ЧАС_МЕНЮ!$B$11:$B$3265,B664,СПРОС_ДЕНЬ_ЧАС_МЕНЮ!$F$11:$F$3265,C664)</f>
        <v>0</v>
      </c>
      <c r="G664" s="12" t="n">
        <f aca="false">ПАРАМЕТРЫ!D25</f>
        <v>15</v>
      </c>
      <c r="H664" s="12" t="n">
        <f aca="false">SUMIFS(ШТАТ_ПО_ЧАСАМ!$C$11:$C$115,ШТАТ_ПО_ЧАСАМ!$A$11:$A$115,A664,ШТАТ_ПО_ЧАСАМ!$B$11:$B$115,B664)</f>
        <v>3</v>
      </c>
      <c r="I664" s="12" t="n">
        <f aca="false">MIN(H664,1)*ПАРАМЕТРЫ!E25</f>
        <v>10</v>
      </c>
      <c r="J664" s="12" t="n">
        <f aca="false">MIN(G664,I664)</f>
        <v>10</v>
      </c>
      <c r="K664" s="12" t="n">
        <f aca="false">MAX(F664-J664,0)</f>
        <v>0</v>
      </c>
      <c r="L664" s="12" t="n">
        <f aca="false">IF(J664=0,0,F664/J664)</f>
        <v>0</v>
      </c>
      <c r="M664" s="11" t="str">
        <f aca="false">IF(K664&gt;0,"BLOCKED","PASS")</f>
        <v>PASS</v>
      </c>
      <c r="N664" s="11" t="s">
        <v>233</v>
      </c>
    </row>
    <row r="665" customFormat="false" ht="23.85" hidden="false" customHeight="false" outlineLevel="0" collapsed="false">
      <c r="A665" s="11" t="s">
        <v>112</v>
      </c>
      <c r="B665" s="11" t="s">
        <v>130</v>
      </c>
      <c r="C665" s="11" t="s">
        <v>91</v>
      </c>
      <c r="D665" s="11" t="s">
        <v>92</v>
      </c>
      <c r="E665" s="11" t="s">
        <v>79</v>
      </c>
      <c r="F665" s="12" t="n">
        <f aca="false">SUMIFS(СПРОС_ДЕНЬ_ЧАС_МЕНЮ!$I$11:$I$3265,СПРОС_ДЕНЬ_ЧАС_МЕНЮ!$A$11:$A$3265,A665,СПРОС_ДЕНЬ_ЧАС_МЕНЮ!$B$11:$B$3265,B665,СПРОС_ДЕНЬ_ЧАС_МЕНЮ!$F$11:$F$3265,C665)</f>
        <v>1.848</v>
      </c>
      <c r="G665" s="12" t="n">
        <f aca="false">ПАРАМЕТРЫ!D26</f>
        <v>20</v>
      </c>
      <c r="H665" s="12" t="n">
        <f aca="false">SUMIFS(ШТАТ_ПО_ЧАСАМ!$C$11:$C$115,ШТАТ_ПО_ЧАСАМ!$A$11:$A$115,A665,ШТАТ_ПО_ЧАСАМ!$B$11:$B$115,B665)</f>
        <v>3</v>
      </c>
      <c r="I665" s="12" t="n">
        <f aca="false">MIN(H665,1)*ПАРАМЕТРЫ!E26</f>
        <v>10</v>
      </c>
      <c r="J665" s="12" t="n">
        <f aca="false">MIN(G665,I665)</f>
        <v>10</v>
      </c>
      <c r="K665" s="12" t="n">
        <f aca="false">MAX(F665-J665,0)</f>
        <v>0</v>
      </c>
      <c r="L665" s="12" t="n">
        <f aca="false">IF(J665=0,0,F665/J665)</f>
        <v>0.1848</v>
      </c>
      <c r="M665" s="11" t="str">
        <f aca="false">IF(K665&gt;0,"BLOCKED","PASS")</f>
        <v>PASS</v>
      </c>
      <c r="N665" s="11" t="s">
        <v>233</v>
      </c>
    </row>
    <row r="666" customFormat="false" ht="15" hidden="false" customHeight="false" outlineLevel="0" collapsed="false">
      <c r="A666" s="11" t="s">
        <v>112</v>
      </c>
      <c r="B666" s="11" t="s">
        <v>130</v>
      </c>
      <c r="C666" s="11" t="s">
        <v>93</v>
      </c>
      <c r="D666" s="11" t="s">
        <v>234</v>
      </c>
      <c r="E666" s="11" t="s">
        <v>95</v>
      </c>
      <c r="F666" s="12" t="n">
        <f aca="false">SUMIFS(СПРОС_ДЕНЬ_ЧАС_МЕНЮ!$I$11:$I$3265,СПРОС_ДЕНЬ_ЧАС_МЕНЮ!$A$11:$A$3265,A666,СПРОС_ДЕНЬ_ЧАС_МЕНЮ!$B$11:$B$3265,B666)</f>
        <v>27.0974</v>
      </c>
      <c r="G666" s="12" t="n">
        <f aca="false">ПАРАМЕТРЫ!D27</f>
        <v>60</v>
      </c>
      <c r="H666" s="12" t="n">
        <f aca="false">SUMIFS(ШТАТ_ПО_ЧАСАМ!$C$11:$C$115,ШТАТ_ПО_ЧАСАМ!$A$11:$A$115,A666,ШТАТ_ПО_ЧАСАМ!$B$11:$B$115,B666)</f>
        <v>3</v>
      </c>
      <c r="I666" s="12" t="n">
        <f aca="false">H666*ПАРАМЕТРЫ!E27</f>
        <v>50</v>
      </c>
      <c r="J666" s="12" t="n">
        <f aca="false">MIN(G666,I666)</f>
        <v>50</v>
      </c>
      <c r="K666" s="12" t="n">
        <f aca="false">MAX(F666-J666,0)</f>
        <v>0</v>
      </c>
      <c r="L666" s="12" t="n">
        <f aca="false">IF(J666=0,0,F666/J666)</f>
        <v>0.541948</v>
      </c>
      <c r="M666" s="11" t="str">
        <f aca="false">IF(K666&gt;0,"BLOCKED","PASS")</f>
        <v>PASS</v>
      </c>
      <c r="N666" s="11" t="s">
        <v>235</v>
      </c>
    </row>
    <row r="667" customFormat="false" ht="23.85" hidden="false" customHeight="false" outlineLevel="0" collapsed="false">
      <c r="A667" s="11" t="s">
        <v>112</v>
      </c>
      <c r="B667" s="11" t="s">
        <v>131</v>
      </c>
      <c r="C667" s="11" t="s">
        <v>73</v>
      </c>
      <c r="D667" s="11" t="s">
        <v>74</v>
      </c>
      <c r="E667" s="11" t="s">
        <v>75</v>
      </c>
      <c r="F667" s="12" t="n">
        <f aca="false">SUMIFS(СПРОС_ДЕНЬ_ЧАС_МЕНЮ!$I$11:$I$3265,СПРОС_ДЕНЬ_ЧАС_МЕНЮ!$A$11:$A$3265,A667,СПРОС_ДЕНЬ_ЧАС_МЕНЮ!$B$11:$B$3265,B667,СПРОС_ДЕНЬ_ЧАС_МЕНЮ!$F$11:$F$3265,C667)</f>
        <v>2.717</v>
      </c>
      <c r="G667" s="12" t="n">
        <f aca="false">ПАРАМЕТРЫ!D20</f>
        <v>25</v>
      </c>
      <c r="H667" s="12" t="n">
        <f aca="false">SUMIFS(ШТАТ_ПО_ЧАСАМ!$C$11:$C$115,ШТАТ_ПО_ЧАСАМ!$A$11:$A$115,A667,ШТАТ_ПО_ЧАСАМ!$B$11:$B$115,B667)</f>
        <v>3</v>
      </c>
      <c r="I667" s="12" t="n">
        <f aca="false">MIN(H667,1)*ПАРАМЕТРЫ!E20</f>
        <v>10</v>
      </c>
      <c r="J667" s="12" t="n">
        <f aca="false">MIN(G667,I667)</f>
        <v>10</v>
      </c>
      <c r="K667" s="12" t="n">
        <f aca="false">MAX(F667-J667,0)</f>
        <v>0</v>
      </c>
      <c r="L667" s="12" t="n">
        <f aca="false">IF(J667=0,0,F667/J667)</f>
        <v>0.2717</v>
      </c>
      <c r="M667" s="11" t="str">
        <f aca="false">IF(K667&gt;0,"BLOCKED","PASS")</f>
        <v>PASS</v>
      </c>
      <c r="N667" s="11" t="s">
        <v>233</v>
      </c>
    </row>
    <row r="668" customFormat="false" ht="23.85" hidden="false" customHeight="false" outlineLevel="0" collapsed="false">
      <c r="A668" s="11" t="s">
        <v>112</v>
      </c>
      <c r="B668" s="11" t="s">
        <v>131</v>
      </c>
      <c r="C668" s="11" t="s">
        <v>77</v>
      </c>
      <c r="D668" s="11" t="s">
        <v>78</v>
      </c>
      <c r="E668" s="11" t="s">
        <v>79</v>
      </c>
      <c r="F668" s="12" t="n">
        <f aca="false">SUMIFS(СПРОС_ДЕНЬ_ЧАС_МЕНЮ!$I$11:$I$3265,СПРОС_ДЕНЬ_ЧАС_МЕНЮ!$A$11:$A$3265,A668,СПРОС_ДЕНЬ_ЧАС_МЕНЮ!$B$11:$B$3265,B668,СПРОС_ДЕНЬ_ЧАС_МЕНЮ!$F$11:$F$3265,C668)</f>
        <v>1.9602</v>
      </c>
      <c r="G668" s="12" t="n">
        <f aca="false">ПАРАМЕТРЫ!D21</f>
        <v>20</v>
      </c>
      <c r="H668" s="12" t="n">
        <f aca="false">SUMIFS(ШТАТ_ПО_ЧАСАМ!$C$11:$C$115,ШТАТ_ПО_ЧАСАМ!$A$11:$A$115,A668,ШТАТ_ПО_ЧАСАМ!$B$11:$B$115,B668)</f>
        <v>3</v>
      </c>
      <c r="I668" s="12" t="n">
        <f aca="false">MIN(H668,1)*ПАРАМЕТРЫ!E21</f>
        <v>10</v>
      </c>
      <c r="J668" s="12" t="n">
        <f aca="false">MIN(G668,I668)</f>
        <v>10</v>
      </c>
      <c r="K668" s="12" t="n">
        <f aca="false">MAX(F668-J668,0)</f>
        <v>0</v>
      </c>
      <c r="L668" s="12" t="n">
        <f aca="false">IF(J668=0,0,F668/J668)</f>
        <v>0.19602</v>
      </c>
      <c r="M668" s="11" t="str">
        <f aca="false">IF(K668&gt;0,"BLOCKED","PASS")</f>
        <v>PASS</v>
      </c>
      <c r="N668" s="11" t="s">
        <v>233</v>
      </c>
    </row>
    <row r="669" customFormat="false" ht="23.85" hidden="false" customHeight="false" outlineLevel="0" collapsed="false">
      <c r="A669" s="11" t="s">
        <v>112</v>
      </c>
      <c r="B669" s="11" t="s">
        <v>131</v>
      </c>
      <c r="C669" s="11" t="s">
        <v>80</v>
      </c>
      <c r="D669" s="11" t="s">
        <v>81</v>
      </c>
      <c r="E669" s="11" t="s">
        <v>82</v>
      </c>
      <c r="F669" s="12" t="n">
        <f aca="false">SUMIFS(СПРОС_ДЕНЬ_ЧАС_МЕНЮ!$I$11:$I$3265,СПРОС_ДЕНЬ_ЧАС_МЕНЮ!$A$11:$A$3265,A669,СПРОС_ДЕНЬ_ЧАС_МЕНЮ!$B$11:$B$3265,B669,СПРОС_ДЕНЬ_ЧАС_МЕНЮ!$F$11:$F$3265,C669)</f>
        <v>3.575</v>
      </c>
      <c r="G669" s="12" t="n">
        <f aca="false">ПАРАМЕТРЫ!D22</f>
        <v>16</v>
      </c>
      <c r="H669" s="12" t="n">
        <f aca="false">SUMIFS(ШТАТ_ПО_ЧАСАМ!$C$11:$C$115,ШТАТ_ПО_ЧАСАМ!$A$11:$A$115,A669,ШТАТ_ПО_ЧАСАМ!$B$11:$B$115,B669)</f>
        <v>3</v>
      </c>
      <c r="I669" s="12" t="n">
        <f aca="false">MIN(H669,1)*ПАРАМЕТРЫ!E22</f>
        <v>16</v>
      </c>
      <c r="J669" s="12" t="n">
        <f aca="false">MIN(G669,I669)</f>
        <v>16</v>
      </c>
      <c r="K669" s="12" t="n">
        <f aca="false">MAX(F669-J669,0)</f>
        <v>0</v>
      </c>
      <c r="L669" s="12" t="n">
        <f aca="false">IF(J669=0,0,F669/J669)</f>
        <v>0.2234375</v>
      </c>
      <c r="M669" s="11" t="str">
        <f aca="false">IF(K669&gt;0,"BLOCKED","PASS")</f>
        <v>PASS</v>
      </c>
      <c r="N669" s="11" t="s">
        <v>233</v>
      </c>
    </row>
    <row r="670" customFormat="false" ht="23.85" hidden="false" customHeight="false" outlineLevel="0" collapsed="false">
      <c r="A670" s="11" t="s">
        <v>112</v>
      </c>
      <c r="B670" s="11" t="s">
        <v>131</v>
      </c>
      <c r="C670" s="11" t="s">
        <v>83</v>
      </c>
      <c r="D670" s="11" t="s">
        <v>84</v>
      </c>
      <c r="E670" s="11" t="s">
        <v>83</v>
      </c>
      <c r="F670" s="12" t="n">
        <f aca="false">SUMIFS(СПРОС_ДЕНЬ_ЧАС_МЕНЮ!$I$11:$I$3265,СПРОС_ДЕНЬ_ЧАС_МЕНЮ!$A$11:$A$3265,A670,СПРОС_ДЕНЬ_ЧАС_МЕНЮ!$B$11:$B$3265,B670,СПРОС_ДЕНЬ_ЧАС_МЕНЮ!$F$11:$F$3265,C670)</f>
        <v>5.94</v>
      </c>
      <c r="G670" s="12" t="n">
        <f aca="false">ПАРАМЕТРЫ!D23</f>
        <v>21</v>
      </c>
      <c r="H670" s="12" t="n">
        <f aca="false">SUMIFS(ШТАТ_ПО_ЧАСАМ!$C$11:$C$115,ШТАТ_ПО_ЧАСАМ!$A$11:$A$115,A670,ШТАТ_ПО_ЧАСАМ!$B$11:$B$115,B670)</f>
        <v>3</v>
      </c>
      <c r="I670" s="12" t="n">
        <f aca="false">MIN(H670,1)*ПАРАМЕТРЫ!E23</f>
        <v>21</v>
      </c>
      <c r="J670" s="12" t="n">
        <f aca="false">MIN(G670,I670)</f>
        <v>21</v>
      </c>
      <c r="K670" s="12" t="n">
        <f aca="false">MAX(F670-J670,0)</f>
        <v>0</v>
      </c>
      <c r="L670" s="12" t="n">
        <f aca="false">IF(J670=0,0,F670/J670)</f>
        <v>0.282857142857143</v>
      </c>
      <c r="M670" s="11" t="str">
        <f aca="false">IF(K670&gt;0,"BLOCKED","PASS")</f>
        <v>PASS</v>
      </c>
      <c r="N670" s="11" t="s">
        <v>233</v>
      </c>
    </row>
    <row r="671" customFormat="false" ht="23.85" hidden="false" customHeight="false" outlineLevel="0" collapsed="false">
      <c r="A671" s="11" t="s">
        <v>112</v>
      </c>
      <c r="B671" s="11" t="s">
        <v>131</v>
      </c>
      <c r="C671" s="11" t="s">
        <v>85</v>
      </c>
      <c r="D671" s="11" t="s">
        <v>86</v>
      </c>
      <c r="E671" s="11" t="s">
        <v>87</v>
      </c>
      <c r="F671" s="12" t="n">
        <f aca="false">SUMIFS(СПРОС_ДЕНЬ_ЧАС_МЕНЮ!$I$11:$I$3265,СПРОС_ДЕНЬ_ЧАС_МЕНЮ!$A$11:$A$3265,A671,СПРОС_ДЕНЬ_ЧАС_МЕНЮ!$B$11:$B$3265,B671,СПРОС_ДЕНЬ_ЧАС_МЕНЮ!$F$11:$F$3265,C671)</f>
        <v>2.41318</v>
      </c>
      <c r="G671" s="12" t="n">
        <f aca="false">ПАРАМЕТРЫ!D24</f>
        <v>12</v>
      </c>
      <c r="H671" s="12" t="n">
        <f aca="false">SUMIFS(ШТАТ_ПО_ЧАСАМ!$C$11:$C$115,ШТАТ_ПО_ЧАСАМ!$A$11:$A$115,A671,ШТАТ_ПО_ЧАСАМ!$B$11:$B$115,B671)</f>
        <v>3</v>
      </c>
      <c r="I671" s="12" t="n">
        <f aca="false">MIN(H671,1)*ПАРАМЕТРЫ!E24</f>
        <v>12</v>
      </c>
      <c r="J671" s="12" t="n">
        <f aca="false">MIN(G671,I671)</f>
        <v>12</v>
      </c>
      <c r="K671" s="12" t="n">
        <f aca="false">MAX(F671-J671,0)</f>
        <v>0</v>
      </c>
      <c r="L671" s="12" t="n">
        <f aca="false">IF(J671=0,0,F671/J671)</f>
        <v>0.201098333333333</v>
      </c>
      <c r="M671" s="11" t="str">
        <f aca="false">IF(K671&gt;0,"BLOCKED","PASS")</f>
        <v>PASS</v>
      </c>
      <c r="N671" s="11" t="s">
        <v>233</v>
      </c>
    </row>
    <row r="672" customFormat="false" ht="23.85" hidden="false" customHeight="false" outlineLevel="0" collapsed="false">
      <c r="A672" s="11" t="s">
        <v>112</v>
      </c>
      <c r="B672" s="11" t="s">
        <v>131</v>
      </c>
      <c r="C672" s="11" t="s">
        <v>88</v>
      </c>
      <c r="D672" s="11" t="s">
        <v>89</v>
      </c>
      <c r="E672" s="11" t="s">
        <v>90</v>
      </c>
      <c r="F672" s="12" t="n">
        <f aca="false">SUMIFS(СПРОС_ДЕНЬ_ЧАС_МЕНЮ!$I$11:$I$3265,СПРОС_ДЕНЬ_ЧАС_МЕНЮ!$A$11:$A$3265,A672,СПРОС_ДЕНЬ_ЧАС_МЕНЮ!$B$11:$B$3265,B672,СПРОС_ДЕНЬ_ЧАС_МЕНЮ!$F$11:$F$3265,C672)</f>
        <v>0</v>
      </c>
      <c r="G672" s="12" t="n">
        <f aca="false">ПАРАМЕТРЫ!D25</f>
        <v>15</v>
      </c>
      <c r="H672" s="12" t="n">
        <f aca="false">SUMIFS(ШТАТ_ПО_ЧАСАМ!$C$11:$C$115,ШТАТ_ПО_ЧАСАМ!$A$11:$A$115,A672,ШТАТ_ПО_ЧАСАМ!$B$11:$B$115,B672)</f>
        <v>3</v>
      </c>
      <c r="I672" s="12" t="n">
        <f aca="false">MIN(H672,1)*ПАРАМЕТРЫ!E25</f>
        <v>10</v>
      </c>
      <c r="J672" s="12" t="n">
        <f aca="false">MIN(G672,I672)</f>
        <v>10</v>
      </c>
      <c r="K672" s="12" t="n">
        <f aca="false">MAX(F672-J672,0)</f>
        <v>0</v>
      </c>
      <c r="L672" s="12" t="n">
        <f aca="false">IF(J672=0,0,F672/J672)</f>
        <v>0</v>
      </c>
      <c r="M672" s="11" t="str">
        <f aca="false">IF(K672&gt;0,"BLOCKED","PASS")</f>
        <v>PASS</v>
      </c>
      <c r="N672" s="11" t="s">
        <v>233</v>
      </c>
    </row>
    <row r="673" customFormat="false" ht="23.85" hidden="false" customHeight="false" outlineLevel="0" collapsed="false">
      <c r="A673" s="11" t="s">
        <v>112</v>
      </c>
      <c r="B673" s="11" t="s">
        <v>131</v>
      </c>
      <c r="C673" s="11" t="s">
        <v>91</v>
      </c>
      <c r="D673" s="11" t="s">
        <v>92</v>
      </c>
      <c r="E673" s="11" t="s">
        <v>79</v>
      </c>
      <c r="F673" s="12" t="n">
        <f aca="false">SUMIFS(СПРОС_ДЕНЬ_ЧАС_МЕНЮ!$I$11:$I$3265,СПРОС_ДЕНЬ_ЧАС_МЕНЮ!$A$11:$A$3265,A673,СПРОС_ДЕНЬ_ЧАС_МЕНЮ!$B$11:$B$3265,B673,СПРОС_ДЕНЬ_ЧАС_МЕНЮ!$F$11:$F$3265,C673)</f>
        <v>1.452</v>
      </c>
      <c r="G673" s="12" t="n">
        <f aca="false">ПАРАМЕТРЫ!D26</f>
        <v>20</v>
      </c>
      <c r="H673" s="12" t="n">
        <f aca="false">SUMIFS(ШТАТ_ПО_ЧАСАМ!$C$11:$C$115,ШТАТ_ПО_ЧАСАМ!$A$11:$A$115,A673,ШТАТ_ПО_ЧАСАМ!$B$11:$B$115,B673)</f>
        <v>3</v>
      </c>
      <c r="I673" s="12" t="n">
        <f aca="false">MIN(H673,1)*ПАРАМЕТРЫ!E26</f>
        <v>10</v>
      </c>
      <c r="J673" s="12" t="n">
        <f aca="false">MIN(G673,I673)</f>
        <v>10</v>
      </c>
      <c r="K673" s="12" t="n">
        <f aca="false">MAX(F673-J673,0)</f>
        <v>0</v>
      </c>
      <c r="L673" s="12" t="n">
        <f aca="false">IF(J673=0,0,F673/J673)</f>
        <v>0.1452</v>
      </c>
      <c r="M673" s="11" t="str">
        <f aca="false">IF(K673&gt;0,"BLOCKED","PASS")</f>
        <v>PASS</v>
      </c>
      <c r="N673" s="11" t="s">
        <v>233</v>
      </c>
    </row>
    <row r="674" customFormat="false" ht="15" hidden="false" customHeight="false" outlineLevel="0" collapsed="false">
      <c r="A674" s="11" t="s">
        <v>112</v>
      </c>
      <c r="B674" s="11" t="s">
        <v>131</v>
      </c>
      <c r="C674" s="11" t="s">
        <v>93</v>
      </c>
      <c r="D674" s="11" t="s">
        <v>234</v>
      </c>
      <c r="E674" s="11" t="s">
        <v>95</v>
      </c>
      <c r="F674" s="12" t="n">
        <f aca="false">SUMIFS(СПРОС_ДЕНЬ_ЧАС_МЕНЮ!$I$11:$I$3265,СПРОС_ДЕНЬ_ЧАС_МЕНЮ!$A$11:$A$3265,A674,СПРОС_ДЕНЬ_ЧАС_МЕНЮ!$B$11:$B$3265,B674)</f>
        <v>18.05738</v>
      </c>
      <c r="G674" s="12" t="n">
        <f aca="false">ПАРАМЕТРЫ!D27</f>
        <v>60</v>
      </c>
      <c r="H674" s="12" t="n">
        <f aca="false">SUMIFS(ШТАТ_ПО_ЧАСАМ!$C$11:$C$115,ШТАТ_ПО_ЧАСАМ!$A$11:$A$115,A674,ШТАТ_ПО_ЧАСАМ!$B$11:$B$115,B674)</f>
        <v>3</v>
      </c>
      <c r="I674" s="12" t="n">
        <f aca="false">H674*ПАРАМЕТРЫ!E27</f>
        <v>50</v>
      </c>
      <c r="J674" s="12" t="n">
        <f aca="false">MIN(G674,I674)</f>
        <v>50</v>
      </c>
      <c r="K674" s="12" t="n">
        <f aca="false">MAX(F674-J674,0)</f>
        <v>0</v>
      </c>
      <c r="L674" s="12" t="n">
        <f aca="false">IF(J674=0,0,F674/J674)</f>
        <v>0.3611476</v>
      </c>
      <c r="M674" s="11" t="str">
        <f aca="false">IF(K674&gt;0,"BLOCKED","PASS")</f>
        <v>PASS</v>
      </c>
      <c r="N674" s="11" t="s">
        <v>235</v>
      </c>
    </row>
    <row r="675" customFormat="false" ht="23.85" hidden="false" customHeight="false" outlineLevel="0" collapsed="false">
      <c r="A675" s="11" t="s">
        <v>112</v>
      </c>
      <c r="B675" s="11" t="s">
        <v>132</v>
      </c>
      <c r="C675" s="11" t="s">
        <v>73</v>
      </c>
      <c r="D675" s="11" t="s">
        <v>74</v>
      </c>
      <c r="E675" s="11" t="s">
        <v>75</v>
      </c>
      <c r="F675" s="12" t="n">
        <f aca="false">SUMIFS(СПРОС_ДЕНЬ_ЧАС_МЕНЮ!$I$11:$I$3265,СПРОС_ДЕНЬ_ЧАС_МЕНЮ!$A$11:$A$3265,A675,СПРОС_ДЕНЬ_ЧАС_МЕНЮ!$B$11:$B$3265,B675,СПРОС_ДЕНЬ_ЧАС_МЕНЮ!$F$11:$F$3265,C675)</f>
        <v>1.892</v>
      </c>
      <c r="G675" s="12" t="n">
        <f aca="false">ПАРАМЕТРЫ!D20</f>
        <v>25</v>
      </c>
      <c r="H675" s="12" t="n">
        <f aca="false">SUMIFS(ШТАТ_ПО_ЧАСАМ!$C$11:$C$115,ШТАТ_ПО_ЧАСАМ!$A$11:$A$115,A675,ШТАТ_ПО_ЧАСАМ!$B$11:$B$115,B675)</f>
        <v>3</v>
      </c>
      <c r="I675" s="12" t="n">
        <f aca="false">MIN(H675,1)*ПАРАМЕТРЫ!E20</f>
        <v>10</v>
      </c>
      <c r="J675" s="12" t="n">
        <f aca="false">MIN(G675,I675)</f>
        <v>10</v>
      </c>
      <c r="K675" s="12" t="n">
        <f aca="false">MAX(F675-J675,0)</f>
        <v>0</v>
      </c>
      <c r="L675" s="12" t="n">
        <f aca="false">IF(J675=0,0,F675/J675)</f>
        <v>0.1892</v>
      </c>
      <c r="M675" s="11" t="str">
        <f aca="false">IF(K675&gt;0,"BLOCKED","PASS")</f>
        <v>PASS</v>
      </c>
      <c r="N675" s="11" t="s">
        <v>233</v>
      </c>
    </row>
    <row r="676" customFormat="false" ht="23.85" hidden="false" customHeight="false" outlineLevel="0" collapsed="false">
      <c r="A676" s="11" t="s">
        <v>112</v>
      </c>
      <c r="B676" s="11" t="s">
        <v>132</v>
      </c>
      <c r="C676" s="11" t="s">
        <v>77</v>
      </c>
      <c r="D676" s="11" t="s">
        <v>78</v>
      </c>
      <c r="E676" s="11" t="s">
        <v>79</v>
      </c>
      <c r="F676" s="12" t="n">
        <f aca="false">SUMIFS(СПРОС_ДЕНЬ_ЧАС_МЕНЮ!$I$11:$I$3265,СПРОС_ДЕНЬ_ЧАС_МЕНЮ!$A$11:$A$3265,A676,СПРОС_ДЕНЬ_ЧАС_МЕНЮ!$B$11:$B$3265,B676,СПРОС_ДЕНЬ_ЧАС_МЕНЮ!$F$11:$F$3265,C676)</f>
        <v>1.7424</v>
      </c>
      <c r="G676" s="12" t="n">
        <f aca="false">ПАРАМЕТРЫ!D21</f>
        <v>20</v>
      </c>
      <c r="H676" s="12" t="n">
        <f aca="false">SUMIFS(ШТАТ_ПО_ЧАСАМ!$C$11:$C$115,ШТАТ_ПО_ЧАСАМ!$A$11:$A$115,A676,ШТАТ_ПО_ЧАСАМ!$B$11:$B$115,B676)</f>
        <v>3</v>
      </c>
      <c r="I676" s="12" t="n">
        <f aca="false">MIN(H676,1)*ПАРАМЕТРЫ!E21</f>
        <v>10</v>
      </c>
      <c r="J676" s="12" t="n">
        <f aca="false">MIN(G676,I676)</f>
        <v>10</v>
      </c>
      <c r="K676" s="12" t="n">
        <f aca="false">MAX(F676-J676,0)</f>
        <v>0</v>
      </c>
      <c r="L676" s="12" t="n">
        <f aca="false">IF(J676=0,0,F676/J676)</f>
        <v>0.17424</v>
      </c>
      <c r="M676" s="11" t="str">
        <f aca="false">IF(K676&gt;0,"BLOCKED","PASS")</f>
        <v>PASS</v>
      </c>
      <c r="N676" s="11" t="s">
        <v>233</v>
      </c>
    </row>
    <row r="677" customFormat="false" ht="23.85" hidden="false" customHeight="false" outlineLevel="0" collapsed="false">
      <c r="A677" s="11" t="s">
        <v>112</v>
      </c>
      <c r="B677" s="11" t="s">
        <v>132</v>
      </c>
      <c r="C677" s="11" t="s">
        <v>80</v>
      </c>
      <c r="D677" s="11" t="s">
        <v>81</v>
      </c>
      <c r="E677" s="11" t="s">
        <v>82</v>
      </c>
      <c r="F677" s="12" t="n">
        <f aca="false">SUMIFS(СПРОС_ДЕНЬ_ЧАС_МЕНЮ!$I$11:$I$3265,СПРОС_ДЕНЬ_ЧАС_МЕНЮ!$A$11:$A$3265,A677,СПРОС_ДЕНЬ_ЧАС_МЕНЮ!$B$11:$B$3265,B677,СПРОС_ДЕНЬ_ЧАС_МЕНЮ!$F$11:$F$3265,C677)</f>
        <v>2.156</v>
      </c>
      <c r="G677" s="12" t="n">
        <f aca="false">ПАРАМЕТРЫ!D22</f>
        <v>16</v>
      </c>
      <c r="H677" s="12" t="n">
        <f aca="false">SUMIFS(ШТАТ_ПО_ЧАСАМ!$C$11:$C$115,ШТАТ_ПО_ЧАСАМ!$A$11:$A$115,A677,ШТАТ_ПО_ЧАСАМ!$B$11:$B$115,B677)</f>
        <v>3</v>
      </c>
      <c r="I677" s="12" t="n">
        <f aca="false">MIN(H677,1)*ПАРАМЕТРЫ!E22</f>
        <v>16</v>
      </c>
      <c r="J677" s="12" t="n">
        <f aca="false">MIN(G677,I677)</f>
        <v>16</v>
      </c>
      <c r="K677" s="12" t="n">
        <f aca="false">MAX(F677-J677,0)</f>
        <v>0</v>
      </c>
      <c r="L677" s="12" t="n">
        <f aca="false">IF(J677=0,0,F677/J677)</f>
        <v>0.13475</v>
      </c>
      <c r="M677" s="11" t="str">
        <f aca="false">IF(K677&gt;0,"BLOCKED","PASS")</f>
        <v>PASS</v>
      </c>
      <c r="N677" s="11" t="s">
        <v>233</v>
      </c>
    </row>
    <row r="678" customFormat="false" ht="23.85" hidden="false" customHeight="false" outlineLevel="0" collapsed="false">
      <c r="A678" s="11" t="s">
        <v>112</v>
      </c>
      <c r="B678" s="11" t="s">
        <v>132</v>
      </c>
      <c r="C678" s="11" t="s">
        <v>83</v>
      </c>
      <c r="D678" s="11" t="s">
        <v>84</v>
      </c>
      <c r="E678" s="11" t="s">
        <v>83</v>
      </c>
      <c r="F678" s="12" t="n">
        <f aca="false">SUMIFS(СПРОС_ДЕНЬ_ЧАС_МЕНЮ!$I$11:$I$3265,СПРОС_ДЕНЬ_ЧАС_МЕНЮ!$A$11:$A$3265,A678,СПРОС_ДЕНЬ_ЧАС_МЕНЮ!$B$11:$B$3265,B678,СПРОС_ДЕНЬ_ЧАС_МЕНЮ!$F$11:$F$3265,C678)</f>
        <v>3.696</v>
      </c>
      <c r="G678" s="12" t="n">
        <f aca="false">ПАРАМЕТРЫ!D23</f>
        <v>21</v>
      </c>
      <c r="H678" s="12" t="n">
        <f aca="false">SUMIFS(ШТАТ_ПО_ЧАСАМ!$C$11:$C$115,ШТАТ_ПО_ЧАСАМ!$A$11:$A$115,A678,ШТАТ_ПО_ЧАСАМ!$B$11:$B$115,B678)</f>
        <v>3</v>
      </c>
      <c r="I678" s="12" t="n">
        <f aca="false">MIN(H678,1)*ПАРАМЕТРЫ!E23</f>
        <v>21</v>
      </c>
      <c r="J678" s="12" t="n">
        <f aca="false">MIN(G678,I678)</f>
        <v>21</v>
      </c>
      <c r="K678" s="12" t="n">
        <f aca="false">MAX(F678-J678,0)</f>
        <v>0</v>
      </c>
      <c r="L678" s="12" t="n">
        <f aca="false">IF(J678=0,0,F678/J678)</f>
        <v>0.176</v>
      </c>
      <c r="M678" s="11" t="str">
        <f aca="false">IF(K678&gt;0,"BLOCKED","PASS")</f>
        <v>PASS</v>
      </c>
      <c r="N678" s="11" t="s">
        <v>233</v>
      </c>
    </row>
    <row r="679" customFormat="false" ht="23.85" hidden="false" customHeight="false" outlineLevel="0" collapsed="false">
      <c r="A679" s="11" t="s">
        <v>112</v>
      </c>
      <c r="B679" s="11" t="s">
        <v>132</v>
      </c>
      <c r="C679" s="11" t="s">
        <v>85</v>
      </c>
      <c r="D679" s="11" t="s">
        <v>86</v>
      </c>
      <c r="E679" s="11" t="s">
        <v>87</v>
      </c>
      <c r="F679" s="12" t="n">
        <f aca="false">SUMIFS(СПРОС_ДЕНЬ_ЧАС_МЕНЮ!$I$11:$I$3265,СПРОС_ДЕНЬ_ЧАС_МЕНЮ!$A$11:$A$3265,A679,СПРОС_ДЕНЬ_ЧАС_МЕНЮ!$B$11:$B$3265,B679,СПРОС_ДЕНЬ_ЧАС_МЕНЮ!$F$11:$F$3265,C679)</f>
        <v>1.37896</v>
      </c>
      <c r="G679" s="12" t="n">
        <f aca="false">ПАРАМЕТРЫ!D24</f>
        <v>12</v>
      </c>
      <c r="H679" s="12" t="n">
        <f aca="false">SUMIFS(ШТАТ_ПО_ЧАСАМ!$C$11:$C$115,ШТАТ_ПО_ЧАСАМ!$A$11:$A$115,A679,ШТАТ_ПО_ЧАСАМ!$B$11:$B$115,B679)</f>
        <v>3</v>
      </c>
      <c r="I679" s="12" t="n">
        <f aca="false">MIN(H679,1)*ПАРАМЕТРЫ!E24</f>
        <v>12</v>
      </c>
      <c r="J679" s="12" t="n">
        <f aca="false">MIN(G679,I679)</f>
        <v>12</v>
      </c>
      <c r="K679" s="12" t="n">
        <f aca="false">MAX(F679-J679,0)</f>
        <v>0</v>
      </c>
      <c r="L679" s="12" t="n">
        <f aca="false">IF(J679=0,0,F679/J679)</f>
        <v>0.114913333333333</v>
      </c>
      <c r="M679" s="11" t="str">
        <f aca="false">IF(K679&gt;0,"BLOCKED","PASS")</f>
        <v>PASS</v>
      </c>
      <c r="N679" s="11" t="s">
        <v>233</v>
      </c>
    </row>
    <row r="680" customFormat="false" ht="23.85" hidden="false" customHeight="false" outlineLevel="0" collapsed="false">
      <c r="A680" s="11" t="s">
        <v>112</v>
      </c>
      <c r="B680" s="11" t="s">
        <v>132</v>
      </c>
      <c r="C680" s="11" t="s">
        <v>88</v>
      </c>
      <c r="D680" s="11" t="s">
        <v>89</v>
      </c>
      <c r="E680" s="11" t="s">
        <v>90</v>
      </c>
      <c r="F680" s="12" t="n">
        <f aca="false">SUMIFS(СПРОС_ДЕНЬ_ЧАС_МЕНЮ!$I$11:$I$3265,СПРОС_ДЕНЬ_ЧАС_МЕНЮ!$A$11:$A$3265,A680,СПРОС_ДЕНЬ_ЧАС_МЕНЮ!$B$11:$B$3265,B680,СПРОС_ДЕНЬ_ЧАС_МЕНЮ!$F$11:$F$3265,C680)</f>
        <v>0</v>
      </c>
      <c r="G680" s="12" t="n">
        <f aca="false">ПАРАМЕТРЫ!D25</f>
        <v>15</v>
      </c>
      <c r="H680" s="12" t="n">
        <f aca="false">SUMIFS(ШТАТ_ПО_ЧАСАМ!$C$11:$C$115,ШТАТ_ПО_ЧАСАМ!$A$11:$A$115,A680,ШТАТ_ПО_ЧАСАМ!$B$11:$B$115,B680)</f>
        <v>3</v>
      </c>
      <c r="I680" s="12" t="n">
        <f aca="false">MIN(H680,1)*ПАРАМЕТРЫ!E25</f>
        <v>10</v>
      </c>
      <c r="J680" s="12" t="n">
        <f aca="false">MIN(G680,I680)</f>
        <v>10</v>
      </c>
      <c r="K680" s="12" t="n">
        <f aca="false">MAX(F680-J680,0)</f>
        <v>0</v>
      </c>
      <c r="L680" s="12" t="n">
        <f aca="false">IF(J680=0,0,F680/J680)</f>
        <v>0</v>
      </c>
      <c r="M680" s="11" t="str">
        <f aca="false">IF(K680&gt;0,"BLOCKED","PASS")</f>
        <v>PASS</v>
      </c>
      <c r="N680" s="11" t="s">
        <v>233</v>
      </c>
    </row>
    <row r="681" customFormat="false" ht="23.85" hidden="false" customHeight="false" outlineLevel="0" collapsed="false">
      <c r="A681" s="11" t="s">
        <v>112</v>
      </c>
      <c r="B681" s="11" t="s">
        <v>132</v>
      </c>
      <c r="C681" s="11" t="s">
        <v>91</v>
      </c>
      <c r="D681" s="11" t="s">
        <v>92</v>
      </c>
      <c r="E681" s="11" t="s">
        <v>79</v>
      </c>
      <c r="F681" s="12" t="n">
        <f aca="false">SUMIFS(СПРОС_ДЕНЬ_ЧАС_МЕНЮ!$I$11:$I$3265,СПРОС_ДЕНЬ_ЧАС_МЕНЮ!$A$11:$A$3265,A681,СПРОС_ДЕНЬ_ЧАС_МЕНЮ!$B$11:$B$3265,B681,СПРОС_ДЕНЬ_ЧАС_МЕНЮ!$F$11:$F$3265,C681)</f>
        <v>1.122</v>
      </c>
      <c r="G681" s="12" t="n">
        <f aca="false">ПАРАМЕТРЫ!D26</f>
        <v>20</v>
      </c>
      <c r="H681" s="12" t="n">
        <f aca="false">SUMIFS(ШТАТ_ПО_ЧАСАМ!$C$11:$C$115,ШТАТ_ПО_ЧАСАМ!$A$11:$A$115,A681,ШТАТ_ПО_ЧАСАМ!$B$11:$B$115,B681)</f>
        <v>3</v>
      </c>
      <c r="I681" s="12" t="n">
        <f aca="false">MIN(H681,1)*ПАРАМЕТРЫ!E26</f>
        <v>10</v>
      </c>
      <c r="J681" s="12" t="n">
        <f aca="false">MIN(G681,I681)</f>
        <v>10</v>
      </c>
      <c r="K681" s="12" t="n">
        <f aca="false">MAX(F681-J681,0)</f>
        <v>0</v>
      </c>
      <c r="L681" s="12" t="n">
        <f aca="false">IF(J681=0,0,F681/J681)</f>
        <v>0.1122</v>
      </c>
      <c r="M681" s="11" t="str">
        <f aca="false">IF(K681&gt;0,"BLOCKED","PASS")</f>
        <v>PASS</v>
      </c>
      <c r="N681" s="11" t="s">
        <v>233</v>
      </c>
    </row>
    <row r="682" customFormat="false" ht="15" hidden="false" customHeight="false" outlineLevel="0" collapsed="false">
      <c r="A682" s="11" t="s">
        <v>112</v>
      </c>
      <c r="B682" s="11" t="s">
        <v>132</v>
      </c>
      <c r="C682" s="11" t="s">
        <v>93</v>
      </c>
      <c r="D682" s="11" t="s">
        <v>234</v>
      </c>
      <c r="E682" s="11" t="s">
        <v>95</v>
      </c>
      <c r="F682" s="12" t="n">
        <f aca="false">SUMIFS(СПРОС_ДЕНЬ_ЧАС_МЕНЮ!$I$11:$I$3265,СПРОС_ДЕНЬ_ЧАС_МЕНЮ!$A$11:$A$3265,A682,СПРОС_ДЕНЬ_ЧАС_МЕНЮ!$B$11:$B$3265,B682)</f>
        <v>11.98736</v>
      </c>
      <c r="G682" s="12" t="n">
        <f aca="false">ПАРАМЕТРЫ!D27</f>
        <v>60</v>
      </c>
      <c r="H682" s="12" t="n">
        <f aca="false">SUMIFS(ШТАТ_ПО_ЧАСАМ!$C$11:$C$115,ШТАТ_ПО_ЧАСАМ!$A$11:$A$115,A682,ШТАТ_ПО_ЧАСАМ!$B$11:$B$115,B682)</f>
        <v>3</v>
      </c>
      <c r="I682" s="12" t="n">
        <f aca="false">H682*ПАРАМЕТРЫ!E27</f>
        <v>50</v>
      </c>
      <c r="J682" s="12" t="n">
        <f aca="false">MIN(G682,I682)</f>
        <v>50</v>
      </c>
      <c r="K682" s="12" t="n">
        <f aca="false">MAX(F682-J682,0)</f>
        <v>0</v>
      </c>
      <c r="L682" s="12" t="n">
        <f aca="false">IF(J682=0,0,F682/J682)</f>
        <v>0.2397472</v>
      </c>
      <c r="M682" s="11" t="str">
        <f aca="false">IF(K682&gt;0,"BLOCKED","PASS")</f>
        <v>PASS</v>
      </c>
      <c r="N682" s="11" t="s">
        <v>235</v>
      </c>
    </row>
    <row r="683" customFormat="false" ht="23.85" hidden="false" customHeight="false" outlineLevel="0" collapsed="false">
      <c r="A683" s="11" t="s">
        <v>112</v>
      </c>
      <c r="B683" s="11" t="s">
        <v>133</v>
      </c>
      <c r="C683" s="11" t="s">
        <v>73</v>
      </c>
      <c r="D683" s="11" t="s">
        <v>74</v>
      </c>
      <c r="E683" s="11" t="s">
        <v>75</v>
      </c>
      <c r="F683" s="12" t="n">
        <f aca="false">SUMIFS(СПРОС_ДЕНЬ_ЧАС_МЕНЮ!$I$11:$I$3265,СПРОС_ДЕНЬ_ЧАС_МЕНЮ!$A$11:$A$3265,A683,СПРОС_ДЕНЬ_ЧАС_МЕНЮ!$B$11:$B$3265,B683,СПРОС_ДЕНЬ_ЧАС_МЕНЮ!$F$11:$F$3265,C683)</f>
        <v>1.892</v>
      </c>
      <c r="G683" s="12" t="n">
        <f aca="false">ПАРАМЕТРЫ!D20</f>
        <v>25</v>
      </c>
      <c r="H683" s="12" t="n">
        <f aca="false">SUMIFS(ШТАТ_ПО_ЧАСАМ!$C$11:$C$115,ШТАТ_ПО_ЧАСАМ!$A$11:$A$115,A683,ШТАТ_ПО_ЧАСАМ!$B$11:$B$115,B683)</f>
        <v>3</v>
      </c>
      <c r="I683" s="12" t="n">
        <f aca="false">MIN(H683,1)*ПАРАМЕТРЫ!E20</f>
        <v>10</v>
      </c>
      <c r="J683" s="12" t="n">
        <f aca="false">MIN(G683,I683)</f>
        <v>10</v>
      </c>
      <c r="K683" s="12" t="n">
        <f aca="false">MAX(F683-J683,0)</f>
        <v>0</v>
      </c>
      <c r="L683" s="12" t="n">
        <f aca="false">IF(J683=0,0,F683/J683)</f>
        <v>0.1892</v>
      </c>
      <c r="M683" s="11" t="str">
        <f aca="false">IF(K683&gt;0,"BLOCKED","PASS")</f>
        <v>PASS</v>
      </c>
      <c r="N683" s="11" t="s">
        <v>233</v>
      </c>
    </row>
    <row r="684" customFormat="false" ht="23.85" hidden="false" customHeight="false" outlineLevel="0" collapsed="false">
      <c r="A684" s="11" t="s">
        <v>112</v>
      </c>
      <c r="B684" s="11" t="s">
        <v>133</v>
      </c>
      <c r="C684" s="11" t="s">
        <v>77</v>
      </c>
      <c r="D684" s="11" t="s">
        <v>78</v>
      </c>
      <c r="E684" s="11" t="s">
        <v>79</v>
      </c>
      <c r="F684" s="12" t="n">
        <f aca="false">SUMIFS(СПРОС_ДЕНЬ_ЧАС_МЕНЮ!$I$11:$I$3265,СПРОС_ДЕНЬ_ЧАС_МЕНЮ!$A$11:$A$3265,A684,СПРОС_ДЕНЬ_ЧАС_МЕНЮ!$B$11:$B$3265,B684,СПРОС_ДЕНЬ_ЧАС_МЕНЮ!$F$11:$F$3265,C684)</f>
        <v>1.7424</v>
      </c>
      <c r="G684" s="12" t="n">
        <f aca="false">ПАРАМЕТРЫ!D21</f>
        <v>20</v>
      </c>
      <c r="H684" s="12" t="n">
        <f aca="false">SUMIFS(ШТАТ_ПО_ЧАСАМ!$C$11:$C$115,ШТАТ_ПО_ЧАСАМ!$A$11:$A$115,A684,ШТАТ_ПО_ЧАСАМ!$B$11:$B$115,B684)</f>
        <v>3</v>
      </c>
      <c r="I684" s="12" t="n">
        <f aca="false">MIN(H684,1)*ПАРАМЕТРЫ!E21</f>
        <v>10</v>
      </c>
      <c r="J684" s="12" t="n">
        <f aca="false">MIN(G684,I684)</f>
        <v>10</v>
      </c>
      <c r="K684" s="12" t="n">
        <f aca="false">MAX(F684-J684,0)</f>
        <v>0</v>
      </c>
      <c r="L684" s="12" t="n">
        <f aca="false">IF(J684=0,0,F684/J684)</f>
        <v>0.17424</v>
      </c>
      <c r="M684" s="11" t="str">
        <f aca="false">IF(K684&gt;0,"BLOCKED","PASS")</f>
        <v>PASS</v>
      </c>
      <c r="N684" s="11" t="s">
        <v>233</v>
      </c>
    </row>
    <row r="685" customFormat="false" ht="23.85" hidden="false" customHeight="false" outlineLevel="0" collapsed="false">
      <c r="A685" s="11" t="s">
        <v>112</v>
      </c>
      <c r="B685" s="11" t="s">
        <v>133</v>
      </c>
      <c r="C685" s="11" t="s">
        <v>80</v>
      </c>
      <c r="D685" s="11" t="s">
        <v>81</v>
      </c>
      <c r="E685" s="11" t="s">
        <v>82</v>
      </c>
      <c r="F685" s="12" t="n">
        <f aca="false">SUMIFS(СПРОС_ДЕНЬ_ЧАС_МЕНЮ!$I$11:$I$3265,СПРОС_ДЕНЬ_ЧАС_МЕНЮ!$A$11:$A$3265,A685,СПРОС_ДЕНЬ_ЧАС_МЕНЮ!$B$11:$B$3265,B685,СПРОС_ДЕНЬ_ЧАС_МЕНЮ!$F$11:$F$3265,C685)</f>
        <v>2.156</v>
      </c>
      <c r="G685" s="12" t="n">
        <f aca="false">ПАРАМЕТРЫ!D22</f>
        <v>16</v>
      </c>
      <c r="H685" s="12" t="n">
        <f aca="false">SUMIFS(ШТАТ_ПО_ЧАСАМ!$C$11:$C$115,ШТАТ_ПО_ЧАСАМ!$A$11:$A$115,A685,ШТАТ_ПО_ЧАСАМ!$B$11:$B$115,B685)</f>
        <v>3</v>
      </c>
      <c r="I685" s="12" t="n">
        <f aca="false">MIN(H685,1)*ПАРАМЕТРЫ!E22</f>
        <v>16</v>
      </c>
      <c r="J685" s="12" t="n">
        <f aca="false">MIN(G685,I685)</f>
        <v>16</v>
      </c>
      <c r="K685" s="12" t="n">
        <f aca="false">MAX(F685-J685,0)</f>
        <v>0</v>
      </c>
      <c r="L685" s="12" t="n">
        <f aca="false">IF(J685=0,0,F685/J685)</f>
        <v>0.13475</v>
      </c>
      <c r="M685" s="11" t="str">
        <f aca="false">IF(K685&gt;0,"BLOCKED","PASS")</f>
        <v>PASS</v>
      </c>
      <c r="N685" s="11" t="s">
        <v>233</v>
      </c>
    </row>
    <row r="686" customFormat="false" ht="23.85" hidden="false" customHeight="false" outlineLevel="0" collapsed="false">
      <c r="A686" s="11" t="s">
        <v>112</v>
      </c>
      <c r="B686" s="11" t="s">
        <v>133</v>
      </c>
      <c r="C686" s="11" t="s">
        <v>83</v>
      </c>
      <c r="D686" s="11" t="s">
        <v>84</v>
      </c>
      <c r="E686" s="11" t="s">
        <v>83</v>
      </c>
      <c r="F686" s="12" t="n">
        <f aca="false">SUMIFS(СПРОС_ДЕНЬ_ЧАС_МЕНЮ!$I$11:$I$3265,СПРОС_ДЕНЬ_ЧАС_МЕНЮ!$A$11:$A$3265,A686,СПРОС_ДЕНЬ_ЧАС_МЕНЮ!$B$11:$B$3265,B686,СПРОС_ДЕНЬ_ЧАС_МЕНЮ!$F$11:$F$3265,C686)</f>
        <v>3.696</v>
      </c>
      <c r="G686" s="12" t="n">
        <f aca="false">ПАРАМЕТРЫ!D23</f>
        <v>21</v>
      </c>
      <c r="H686" s="12" t="n">
        <f aca="false">SUMIFS(ШТАТ_ПО_ЧАСАМ!$C$11:$C$115,ШТАТ_ПО_ЧАСАМ!$A$11:$A$115,A686,ШТАТ_ПО_ЧАСАМ!$B$11:$B$115,B686)</f>
        <v>3</v>
      </c>
      <c r="I686" s="12" t="n">
        <f aca="false">MIN(H686,1)*ПАРАМЕТРЫ!E23</f>
        <v>21</v>
      </c>
      <c r="J686" s="12" t="n">
        <f aca="false">MIN(G686,I686)</f>
        <v>21</v>
      </c>
      <c r="K686" s="12" t="n">
        <f aca="false">MAX(F686-J686,0)</f>
        <v>0</v>
      </c>
      <c r="L686" s="12" t="n">
        <f aca="false">IF(J686=0,0,F686/J686)</f>
        <v>0.176</v>
      </c>
      <c r="M686" s="11" t="str">
        <f aca="false">IF(K686&gt;0,"BLOCKED","PASS")</f>
        <v>PASS</v>
      </c>
      <c r="N686" s="11" t="s">
        <v>233</v>
      </c>
    </row>
    <row r="687" customFormat="false" ht="23.85" hidden="false" customHeight="false" outlineLevel="0" collapsed="false">
      <c r="A687" s="11" t="s">
        <v>112</v>
      </c>
      <c r="B687" s="11" t="s">
        <v>133</v>
      </c>
      <c r="C687" s="11" t="s">
        <v>85</v>
      </c>
      <c r="D687" s="11" t="s">
        <v>86</v>
      </c>
      <c r="E687" s="11" t="s">
        <v>87</v>
      </c>
      <c r="F687" s="12" t="n">
        <f aca="false">SUMIFS(СПРОС_ДЕНЬ_ЧАС_МЕНЮ!$I$11:$I$3265,СПРОС_ДЕНЬ_ЧАС_МЕНЮ!$A$11:$A$3265,A687,СПРОС_ДЕНЬ_ЧАС_МЕНЮ!$B$11:$B$3265,B687,СПРОС_ДЕНЬ_ЧАС_МЕНЮ!$F$11:$F$3265,C687)</f>
        <v>1.37896</v>
      </c>
      <c r="G687" s="12" t="n">
        <f aca="false">ПАРАМЕТРЫ!D24</f>
        <v>12</v>
      </c>
      <c r="H687" s="12" t="n">
        <f aca="false">SUMIFS(ШТАТ_ПО_ЧАСАМ!$C$11:$C$115,ШТАТ_ПО_ЧАСАМ!$A$11:$A$115,A687,ШТАТ_ПО_ЧАСАМ!$B$11:$B$115,B687)</f>
        <v>3</v>
      </c>
      <c r="I687" s="12" t="n">
        <f aca="false">MIN(H687,1)*ПАРАМЕТРЫ!E24</f>
        <v>12</v>
      </c>
      <c r="J687" s="12" t="n">
        <f aca="false">MIN(G687,I687)</f>
        <v>12</v>
      </c>
      <c r="K687" s="12" t="n">
        <f aca="false">MAX(F687-J687,0)</f>
        <v>0</v>
      </c>
      <c r="L687" s="12" t="n">
        <f aca="false">IF(J687=0,0,F687/J687)</f>
        <v>0.114913333333333</v>
      </c>
      <c r="M687" s="11" t="str">
        <f aca="false">IF(K687&gt;0,"BLOCKED","PASS")</f>
        <v>PASS</v>
      </c>
      <c r="N687" s="11" t="s">
        <v>233</v>
      </c>
    </row>
    <row r="688" customFormat="false" ht="23.85" hidden="false" customHeight="false" outlineLevel="0" collapsed="false">
      <c r="A688" s="11" t="s">
        <v>112</v>
      </c>
      <c r="B688" s="11" t="s">
        <v>133</v>
      </c>
      <c r="C688" s="11" t="s">
        <v>88</v>
      </c>
      <c r="D688" s="11" t="s">
        <v>89</v>
      </c>
      <c r="E688" s="11" t="s">
        <v>90</v>
      </c>
      <c r="F688" s="12" t="n">
        <f aca="false">SUMIFS(СПРОС_ДЕНЬ_ЧАС_МЕНЮ!$I$11:$I$3265,СПРОС_ДЕНЬ_ЧАС_МЕНЮ!$A$11:$A$3265,A688,СПРОС_ДЕНЬ_ЧАС_МЕНЮ!$B$11:$B$3265,B688,СПРОС_ДЕНЬ_ЧАС_МЕНЮ!$F$11:$F$3265,C688)</f>
        <v>0</v>
      </c>
      <c r="G688" s="12" t="n">
        <f aca="false">ПАРАМЕТРЫ!D25</f>
        <v>15</v>
      </c>
      <c r="H688" s="12" t="n">
        <f aca="false">SUMIFS(ШТАТ_ПО_ЧАСАМ!$C$11:$C$115,ШТАТ_ПО_ЧАСАМ!$A$11:$A$115,A688,ШТАТ_ПО_ЧАСАМ!$B$11:$B$115,B688)</f>
        <v>3</v>
      </c>
      <c r="I688" s="12" t="n">
        <f aca="false">MIN(H688,1)*ПАРАМЕТРЫ!E25</f>
        <v>10</v>
      </c>
      <c r="J688" s="12" t="n">
        <f aca="false">MIN(G688,I688)</f>
        <v>10</v>
      </c>
      <c r="K688" s="12" t="n">
        <f aca="false">MAX(F688-J688,0)</f>
        <v>0</v>
      </c>
      <c r="L688" s="12" t="n">
        <f aca="false">IF(J688=0,0,F688/J688)</f>
        <v>0</v>
      </c>
      <c r="M688" s="11" t="str">
        <f aca="false">IF(K688&gt;0,"BLOCKED","PASS")</f>
        <v>PASS</v>
      </c>
      <c r="N688" s="11" t="s">
        <v>233</v>
      </c>
    </row>
    <row r="689" customFormat="false" ht="23.85" hidden="false" customHeight="false" outlineLevel="0" collapsed="false">
      <c r="A689" s="11" t="s">
        <v>112</v>
      </c>
      <c r="B689" s="11" t="s">
        <v>133</v>
      </c>
      <c r="C689" s="11" t="s">
        <v>91</v>
      </c>
      <c r="D689" s="11" t="s">
        <v>92</v>
      </c>
      <c r="E689" s="11" t="s">
        <v>79</v>
      </c>
      <c r="F689" s="12" t="n">
        <f aca="false">SUMIFS(СПРОС_ДЕНЬ_ЧАС_МЕНЮ!$I$11:$I$3265,СПРОС_ДЕНЬ_ЧАС_МЕНЮ!$A$11:$A$3265,A689,СПРОС_ДЕНЬ_ЧАС_МЕНЮ!$B$11:$B$3265,B689,СПРОС_ДЕНЬ_ЧАС_МЕНЮ!$F$11:$F$3265,C689)</f>
        <v>1.122</v>
      </c>
      <c r="G689" s="12" t="n">
        <f aca="false">ПАРАМЕТРЫ!D26</f>
        <v>20</v>
      </c>
      <c r="H689" s="12" t="n">
        <f aca="false">SUMIFS(ШТАТ_ПО_ЧАСАМ!$C$11:$C$115,ШТАТ_ПО_ЧАСАМ!$A$11:$A$115,A689,ШТАТ_ПО_ЧАСАМ!$B$11:$B$115,B689)</f>
        <v>3</v>
      </c>
      <c r="I689" s="12" t="n">
        <f aca="false">MIN(H689,1)*ПАРАМЕТРЫ!E26</f>
        <v>10</v>
      </c>
      <c r="J689" s="12" t="n">
        <f aca="false">MIN(G689,I689)</f>
        <v>10</v>
      </c>
      <c r="K689" s="12" t="n">
        <f aca="false">MAX(F689-J689,0)</f>
        <v>0</v>
      </c>
      <c r="L689" s="12" t="n">
        <f aca="false">IF(J689=0,0,F689/J689)</f>
        <v>0.1122</v>
      </c>
      <c r="M689" s="11" t="str">
        <f aca="false">IF(K689&gt;0,"BLOCKED","PASS")</f>
        <v>PASS</v>
      </c>
      <c r="N689" s="11" t="s">
        <v>233</v>
      </c>
    </row>
    <row r="690" customFormat="false" ht="15" hidden="false" customHeight="false" outlineLevel="0" collapsed="false">
      <c r="A690" s="11" t="s">
        <v>112</v>
      </c>
      <c r="B690" s="11" t="s">
        <v>133</v>
      </c>
      <c r="C690" s="11" t="s">
        <v>93</v>
      </c>
      <c r="D690" s="11" t="s">
        <v>234</v>
      </c>
      <c r="E690" s="11" t="s">
        <v>95</v>
      </c>
      <c r="F690" s="12" t="n">
        <f aca="false">SUMIFS(СПРОС_ДЕНЬ_ЧАС_МЕНЮ!$I$11:$I$3265,СПРОС_ДЕНЬ_ЧАС_МЕНЮ!$A$11:$A$3265,A690,СПРОС_ДЕНЬ_ЧАС_МЕНЮ!$B$11:$B$3265,B690)</f>
        <v>11.98736</v>
      </c>
      <c r="G690" s="12" t="n">
        <f aca="false">ПАРАМЕТРЫ!D27</f>
        <v>60</v>
      </c>
      <c r="H690" s="12" t="n">
        <f aca="false">SUMIFS(ШТАТ_ПО_ЧАСАМ!$C$11:$C$115,ШТАТ_ПО_ЧАСАМ!$A$11:$A$115,A690,ШТАТ_ПО_ЧАСАМ!$B$11:$B$115,B690)</f>
        <v>3</v>
      </c>
      <c r="I690" s="12" t="n">
        <f aca="false">H690*ПАРАМЕТРЫ!E27</f>
        <v>50</v>
      </c>
      <c r="J690" s="12" t="n">
        <f aca="false">MIN(G690,I690)</f>
        <v>50</v>
      </c>
      <c r="K690" s="12" t="n">
        <f aca="false">MAX(F690-J690,0)</f>
        <v>0</v>
      </c>
      <c r="L690" s="12" t="n">
        <f aca="false">IF(J690=0,0,F690/J690)</f>
        <v>0.2397472</v>
      </c>
      <c r="M690" s="11" t="str">
        <f aca="false">IF(K690&gt;0,"BLOCKED","PASS")</f>
        <v>PASS</v>
      </c>
      <c r="N690" s="11" t="s">
        <v>235</v>
      </c>
    </row>
    <row r="691" customFormat="false" ht="23.85" hidden="false" customHeight="false" outlineLevel="0" collapsed="false">
      <c r="A691" s="11" t="s">
        <v>112</v>
      </c>
      <c r="B691" s="11" t="s">
        <v>134</v>
      </c>
      <c r="C691" s="11" t="s">
        <v>73</v>
      </c>
      <c r="D691" s="11" t="s">
        <v>74</v>
      </c>
      <c r="E691" s="11" t="s">
        <v>75</v>
      </c>
      <c r="F691" s="12" t="n">
        <f aca="false">SUMIFS(СПРОС_ДЕНЬ_ЧАС_МЕНЮ!$I$11:$I$3265,СПРОС_ДЕНЬ_ЧАС_МЕНЮ!$A$11:$A$3265,A691,СПРОС_ДЕНЬ_ЧАС_МЕНЮ!$B$11:$B$3265,B691,СПРОС_ДЕНЬ_ЧАС_МЕНЮ!$F$11:$F$3265,C691)</f>
        <v>3.487</v>
      </c>
      <c r="G691" s="12" t="n">
        <f aca="false">ПАРАМЕТРЫ!D20</f>
        <v>25</v>
      </c>
      <c r="H691" s="12" t="n">
        <f aca="false">SUMIFS(ШТАТ_ПО_ЧАСАМ!$C$11:$C$115,ШТАТ_ПО_ЧАСАМ!$A$11:$A$115,A691,ШТАТ_ПО_ЧАСАМ!$B$11:$B$115,B691)</f>
        <v>3</v>
      </c>
      <c r="I691" s="12" t="n">
        <f aca="false">MIN(H691,1)*ПАРАМЕТРЫ!E20</f>
        <v>10</v>
      </c>
      <c r="J691" s="12" t="n">
        <f aca="false">MIN(G691,I691)</f>
        <v>10</v>
      </c>
      <c r="K691" s="12" t="n">
        <f aca="false">MAX(F691-J691,0)</f>
        <v>0</v>
      </c>
      <c r="L691" s="12" t="n">
        <f aca="false">IF(J691=0,0,F691/J691)</f>
        <v>0.3487</v>
      </c>
      <c r="M691" s="11" t="str">
        <f aca="false">IF(K691&gt;0,"BLOCKED","PASS")</f>
        <v>PASS</v>
      </c>
      <c r="N691" s="11" t="s">
        <v>233</v>
      </c>
    </row>
    <row r="692" customFormat="false" ht="23.85" hidden="false" customHeight="false" outlineLevel="0" collapsed="false">
      <c r="A692" s="11" t="s">
        <v>112</v>
      </c>
      <c r="B692" s="11" t="s">
        <v>134</v>
      </c>
      <c r="C692" s="11" t="s">
        <v>77</v>
      </c>
      <c r="D692" s="11" t="s">
        <v>78</v>
      </c>
      <c r="E692" s="11" t="s">
        <v>79</v>
      </c>
      <c r="F692" s="12" t="n">
        <f aca="false">SUMIFS(СПРОС_ДЕНЬ_ЧАС_МЕНЮ!$I$11:$I$3265,СПРОС_ДЕНЬ_ЧАС_МЕНЮ!$A$11:$A$3265,A692,СПРОС_ДЕНЬ_ЧАС_МЕНЮ!$B$11:$B$3265,B692,СПРОС_ДЕНЬ_ЧАС_МЕНЮ!$F$11:$F$3265,C692)</f>
        <v>2.1406</v>
      </c>
      <c r="G692" s="12" t="n">
        <f aca="false">ПАРАМЕТРЫ!D21</f>
        <v>20</v>
      </c>
      <c r="H692" s="12" t="n">
        <f aca="false">SUMIFS(ШТАТ_ПО_ЧАСАМ!$C$11:$C$115,ШТАТ_ПО_ЧАСАМ!$A$11:$A$115,A692,ШТАТ_ПО_ЧАСАМ!$B$11:$B$115,B692)</f>
        <v>3</v>
      </c>
      <c r="I692" s="12" t="n">
        <f aca="false">MIN(H692,1)*ПАРАМЕТРЫ!E21</f>
        <v>10</v>
      </c>
      <c r="J692" s="12" t="n">
        <f aca="false">MIN(G692,I692)</f>
        <v>10</v>
      </c>
      <c r="K692" s="12" t="n">
        <f aca="false">MAX(F692-J692,0)</f>
        <v>0</v>
      </c>
      <c r="L692" s="12" t="n">
        <f aca="false">IF(J692=0,0,F692/J692)</f>
        <v>0.21406</v>
      </c>
      <c r="M692" s="11" t="str">
        <f aca="false">IF(K692&gt;0,"BLOCKED","PASS")</f>
        <v>PASS</v>
      </c>
      <c r="N692" s="11" t="s">
        <v>233</v>
      </c>
    </row>
    <row r="693" customFormat="false" ht="23.85" hidden="false" customHeight="false" outlineLevel="0" collapsed="false">
      <c r="A693" s="11" t="s">
        <v>112</v>
      </c>
      <c r="B693" s="11" t="s">
        <v>134</v>
      </c>
      <c r="C693" s="11" t="s">
        <v>80</v>
      </c>
      <c r="D693" s="11" t="s">
        <v>81</v>
      </c>
      <c r="E693" s="11" t="s">
        <v>82</v>
      </c>
      <c r="F693" s="12" t="n">
        <f aca="false">SUMIFS(СПРОС_ДЕНЬ_ЧАС_МЕНЮ!$I$11:$I$3265,СПРОС_ДЕНЬ_ЧАС_МЕНЮ!$A$11:$A$3265,A693,СПРОС_ДЕНЬ_ЧАС_МЕНЮ!$B$11:$B$3265,B693,СПРОС_ДЕНЬ_ЧАС_МЕНЮ!$F$11:$F$3265,C693)</f>
        <v>3.7345</v>
      </c>
      <c r="G693" s="12" t="n">
        <f aca="false">ПАРАМЕТРЫ!D22</f>
        <v>16</v>
      </c>
      <c r="H693" s="12" t="n">
        <f aca="false">SUMIFS(ШТАТ_ПО_ЧАСАМ!$C$11:$C$115,ШТАТ_ПО_ЧАСАМ!$A$11:$A$115,A693,ШТАТ_ПО_ЧАСАМ!$B$11:$B$115,B693)</f>
        <v>3</v>
      </c>
      <c r="I693" s="12" t="n">
        <f aca="false">MIN(H693,1)*ПАРАМЕТРЫ!E22</f>
        <v>16</v>
      </c>
      <c r="J693" s="12" t="n">
        <f aca="false">MIN(G693,I693)</f>
        <v>16</v>
      </c>
      <c r="K693" s="12" t="n">
        <f aca="false">MAX(F693-J693,0)</f>
        <v>0</v>
      </c>
      <c r="L693" s="12" t="n">
        <f aca="false">IF(J693=0,0,F693/J693)</f>
        <v>0.23340625</v>
      </c>
      <c r="M693" s="11" t="str">
        <f aca="false">IF(K693&gt;0,"BLOCKED","PASS")</f>
        <v>PASS</v>
      </c>
      <c r="N693" s="11" t="s">
        <v>233</v>
      </c>
    </row>
    <row r="694" customFormat="false" ht="23.85" hidden="false" customHeight="false" outlineLevel="0" collapsed="false">
      <c r="A694" s="11" t="s">
        <v>112</v>
      </c>
      <c r="B694" s="11" t="s">
        <v>134</v>
      </c>
      <c r="C694" s="11" t="s">
        <v>83</v>
      </c>
      <c r="D694" s="11" t="s">
        <v>84</v>
      </c>
      <c r="E694" s="11" t="s">
        <v>83</v>
      </c>
      <c r="F694" s="12" t="n">
        <f aca="false">SUMIFS(СПРОС_ДЕНЬ_ЧАС_МЕНЮ!$I$11:$I$3265,СПРОС_ДЕНЬ_ЧАС_МЕНЮ!$A$11:$A$3265,A694,СПРОС_ДЕНЬ_ЧАС_МЕНЮ!$B$11:$B$3265,B694,СПРОС_ДЕНЬ_ЧАС_МЕНЮ!$F$11:$F$3265,C694)</f>
        <v>6.5395</v>
      </c>
      <c r="G694" s="12" t="n">
        <f aca="false">ПАРАМЕТРЫ!D23</f>
        <v>21</v>
      </c>
      <c r="H694" s="12" t="n">
        <f aca="false">SUMIFS(ШТАТ_ПО_ЧАСАМ!$C$11:$C$115,ШТАТ_ПО_ЧАСАМ!$A$11:$A$115,A694,ШТАТ_ПО_ЧАСАМ!$B$11:$B$115,B694)</f>
        <v>3</v>
      </c>
      <c r="I694" s="12" t="n">
        <f aca="false">MIN(H694,1)*ПАРАМЕТРЫ!E23</f>
        <v>21</v>
      </c>
      <c r="J694" s="12" t="n">
        <f aca="false">MIN(G694,I694)</f>
        <v>21</v>
      </c>
      <c r="K694" s="12" t="n">
        <f aca="false">MAX(F694-J694,0)</f>
        <v>0</v>
      </c>
      <c r="L694" s="12" t="n">
        <f aca="false">IF(J694=0,0,F694/J694)</f>
        <v>0.311404761904762</v>
      </c>
      <c r="M694" s="11" t="str">
        <f aca="false">IF(K694&gt;0,"BLOCKED","PASS")</f>
        <v>PASS</v>
      </c>
      <c r="N694" s="11" t="s">
        <v>233</v>
      </c>
    </row>
    <row r="695" customFormat="false" ht="23.85" hidden="false" customHeight="false" outlineLevel="0" collapsed="false">
      <c r="A695" s="11" t="s">
        <v>112</v>
      </c>
      <c r="B695" s="11" t="s">
        <v>134</v>
      </c>
      <c r="C695" s="11" t="s">
        <v>85</v>
      </c>
      <c r="D695" s="11" t="s">
        <v>86</v>
      </c>
      <c r="E695" s="11" t="s">
        <v>87</v>
      </c>
      <c r="F695" s="12" t="n">
        <f aca="false">SUMIFS(СПРОС_ДЕНЬ_ЧАС_МЕНЮ!$I$11:$I$3265,СПРОС_ДЕНЬ_ЧАС_МЕНЮ!$A$11:$A$3265,A695,СПРОС_ДЕНЬ_ЧАС_МЕНЮ!$B$11:$B$3265,B695,СПРОС_ДЕНЬ_ЧАС_МЕНЮ!$F$11:$F$3265,C695)</f>
        <v>2.4260775</v>
      </c>
      <c r="G695" s="12" t="n">
        <f aca="false">ПАРАМЕТРЫ!D24</f>
        <v>12</v>
      </c>
      <c r="H695" s="12" t="n">
        <f aca="false">SUMIFS(ШТАТ_ПО_ЧАСАМ!$C$11:$C$115,ШТАТ_ПО_ЧАСАМ!$A$11:$A$115,A695,ШТАТ_ПО_ЧАСАМ!$B$11:$B$115,B695)</f>
        <v>3</v>
      </c>
      <c r="I695" s="12" t="n">
        <f aca="false">MIN(H695,1)*ПАРАМЕТРЫ!E24</f>
        <v>12</v>
      </c>
      <c r="J695" s="12" t="n">
        <f aca="false">MIN(G695,I695)</f>
        <v>12</v>
      </c>
      <c r="K695" s="12" t="n">
        <f aca="false">MAX(F695-J695,0)</f>
        <v>0</v>
      </c>
      <c r="L695" s="12" t="n">
        <f aca="false">IF(J695=0,0,F695/J695)</f>
        <v>0.202173125</v>
      </c>
      <c r="M695" s="11" t="str">
        <f aca="false">IF(K695&gt;0,"BLOCKED","PASS")</f>
        <v>PASS</v>
      </c>
      <c r="N695" s="11" t="s">
        <v>233</v>
      </c>
    </row>
    <row r="696" customFormat="false" ht="23.85" hidden="false" customHeight="false" outlineLevel="0" collapsed="false">
      <c r="A696" s="11" t="s">
        <v>112</v>
      </c>
      <c r="B696" s="11" t="s">
        <v>134</v>
      </c>
      <c r="C696" s="11" t="s">
        <v>88</v>
      </c>
      <c r="D696" s="11" t="s">
        <v>89</v>
      </c>
      <c r="E696" s="11" t="s">
        <v>90</v>
      </c>
      <c r="F696" s="12" t="n">
        <f aca="false">SUMIFS(СПРОС_ДЕНЬ_ЧАС_МЕНЮ!$I$11:$I$3265,СПРОС_ДЕНЬ_ЧАС_МЕНЮ!$A$11:$A$3265,A696,СПРОС_ДЕНЬ_ЧАС_МЕНЮ!$B$11:$B$3265,B696,СПРОС_ДЕНЬ_ЧАС_МЕНЮ!$F$11:$F$3265,C696)</f>
        <v>0</v>
      </c>
      <c r="G696" s="12" t="n">
        <f aca="false">ПАРАМЕТРЫ!D25</f>
        <v>15</v>
      </c>
      <c r="H696" s="12" t="n">
        <f aca="false">SUMIFS(ШТАТ_ПО_ЧАСАМ!$C$11:$C$115,ШТАТ_ПО_ЧАСАМ!$A$11:$A$115,A696,ШТАТ_ПО_ЧАСАМ!$B$11:$B$115,B696)</f>
        <v>3</v>
      </c>
      <c r="I696" s="12" t="n">
        <f aca="false">MIN(H696,1)*ПАРАМЕТРЫ!E25</f>
        <v>10</v>
      </c>
      <c r="J696" s="12" t="n">
        <f aca="false">MIN(G696,I696)</f>
        <v>10</v>
      </c>
      <c r="K696" s="12" t="n">
        <f aca="false">MAX(F696-J696,0)</f>
        <v>0</v>
      </c>
      <c r="L696" s="12" t="n">
        <f aca="false">IF(J696=0,0,F696/J696)</f>
        <v>0</v>
      </c>
      <c r="M696" s="11" t="str">
        <f aca="false">IF(K696&gt;0,"BLOCKED","PASS")</f>
        <v>PASS</v>
      </c>
      <c r="N696" s="11" t="s">
        <v>233</v>
      </c>
    </row>
    <row r="697" customFormat="false" ht="23.85" hidden="false" customHeight="false" outlineLevel="0" collapsed="false">
      <c r="A697" s="11" t="s">
        <v>112</v>
      </c>
      <c r="B697" s="11" t="s">
        <v>134</v>
      </c>
      <c r="C697" s="11" t="s">
        <v>91</v>
      </c>
      <c r="D697" s="11" t="s">
        <v>92</v>
      </c>
      <c r="E697" s="11" t="s">
        <v>79</v>
      </c>
      <c r="F697" s="12" t="n">
        <f aca="false">SUMIFS(СПРОС_ДЕНЬ_ЧАС_МЕНЮ!$I$11:$I$3265,СПРОС_ДЕНЬ_ЧАС_МЕНЮ!$A$11:$A$3265,A697,СПРОС_ДЕНЬ_ЧАС_МЕНЮ!$B$11:$B$3265,B697,СПРОС_ДЕНЬ_ЧАС_МЕНЮ!$F$11:$F$3265,C697)</f>
        <v>1.441</v>
      </c>
      <c r="G697" s="12" t="n">
        <f aca="false">ПАРАМЕТРЫ!D26</f>
        <v>20</v>
      </c>
      <c r="H697" s="12" t="n">
        <f aca="false">SUMIFS(ШТАТ_ПО_ЧАСАМ!$C$11:$C$115,ШТАТ_ПО_ЧАСАМ!$A$11:$A$115,A697,ШТАТ_ПО_ЧАСАМ!$B$11:$B$115,B697)</f>
        <v>3</v>
      </c>
      <c r="I697" s="12" t="n">
        <f aca="false">MIN(H697,1)*ПАРАМЕТРЫ!E26</f>
        <v>10</v>
      </c>
      <c r="J697" s="12" t="n">
        <f aca="false">MIN(G697,I697)</f>
        <v>10</v>
      </c>
      <c r="K697" s="12" t="n">
        <f aca="false">MAX(F697-J697,0)</f>
        <v>0</v>
      </c>
      <c r="L697" s="12" t="n">
        <f aca="false">IF(J697=0,0,F697/J697)</f>
        <v>0.1441</v>
      </c>
      <c r="M697" s="11" t="str">
        <f aca="false">IF(K697&gt;0,"BLOCKED","PASS")</f>
        <v>PASS</v>
      </c>
      <c r="N697" s="11" t="s">
        <v>233</v>
      </c>
    </row>
    <row r="698" customFormat="false" ht="15" hidden="false" customHeight="false" outlineLevel="0" collapsed="false">
      <c r="A698" s="11" t="s">
        <v>112</v>
      </c>
      <c r="B698" s="11" t="s">
        <v>134</v>
      </c>
      <c r="C698" s="11" t="s">
        <v>93</v>
      </c>
      <c r="D698" s="11" t="s">
        <v>234</v>
      </c>
      <c r="E698" s="11" t="s">
        <v>95</v>
      </c>
      <c r="F698" s="12" t="n">
        <f aca="false">SUMIFS(СПРОС_ДЕНЬ_ЧАС_МЕНЮ!$I$11:$I$3265,СПРОС_ДЕНЬ_ЧАС_МЕНЮ!$A$11:$A$3265,A698,СПРОС_ДЕНЬ_ЧАС_МЕНЮ!$B$11:$B$3265,B698)</f>
        <v>19.7686775</v>
      </c>
      <c r="G698" s="12" t="n">
        <f aca="false">ПАРАМЕТРЫ!D27</f>
        <v>60</v>
      </c>
      <c r="H698" s="12" t="n">
        <f aca="false">SUMIFS(ШТАТ_ПО_ЧАСАМ!$C$11:$C$115,ШТАТ_ПО_ЧАСАМ!$A$11:$A$115,A698,ШТАТ_ПО_ЧАСАМ!$B$11:$B$115,B698)</f>
        <v>3</v>
      </c>
      <c r="I698" s="12" t="n">
        <f aca="false">H698*ПАРАМЕТРЫ!E27</f>
        <v>50</v>
      </c>
      <c r="J698" s="12" t="n">
        <f aca="false">MIN(G698,I698)</f>
        <v>50</v>
      </c>
      <c r="K698" s="12" t="n">
        <f aca="false">MAX(F698-J698,0)</f>
        <v>0</v>
      </c>
      <c r="L698" s="12" t="n">
        <f aca="false">IF(J698=0,0,F698/J698)</f>
        <v>0.39537355</v>
      </c>
      <c r="M698" s="11" t="str">
        <f aca="false">IF(K698&gt;0,"BLOCKED","PASS")</f>
        <v>PASS</v>
      </c>
      <c r="N698" s="11" t="s">
        <v>235</v>
      </c>
    </row>
    <row r="699" customFormat="false" ht="23.85" hidden="false" customHeight="false" outlineLevel="0" collapsed="false">
      <c r="A699" s="11" t="s">
        <v>112</v>
      </c>
      <c r="B699" s="11" t="s">
        <v>135</v>
      </c>
      <c r="C699" s="11" t="s">
        <v>73</v>
      </c>
      <c r="D699" s="11" t="s">
        <v>74</v>
      </c>
      <c r="E699" s="11" t="s">
        <v>75</v>
      </c>
      <c r="F699" s="12" t="n">
        <f aca="false">SUMIFS(СПРОС_ДЕНЬ_ЧАС_МЕНЮ!$I$11:$I$3265,СПРОС_ДЕНЬ_ЧАС_МЕНЮ!$A$11:$A$3265,A699,СПРОС_ДЕНЬ_ЧАС_МЕНЮ!$B$11:$B$3265,B699,СПРОС_ДЕНЬ_ЧАС_МЕНЮ!$F$11:$F$3265,C699)</f>
        <v>6.138</v>
      </c>
      <c r="G699" s="12" t="n">
        <f aca="false">ПАРАМЕТРЫ!D20</f>
        <v>25</v>
      </c>
      <c r="H699" s="12" t="n">
        <f aca="false">SUMIFS(ШТАТ_ПО_ЧАСАМ!$C$11:$C$115,ШТАТ_ПО_ЧАСАМ!$A$11:$A$115,A699,ШТАТ_ПО_ЧАСАМ!$B$11:$B$115,B699)</f>
        <v>2</v>
      </c>
      <c r="I699" s="12" t="n">
        <f aca="false">MIN(H699,1)*ПАРАМЕТРЫ!E20</f>
        <v>10</v>
      </c>
      <c r="J699" s="12" t="n">
        <f aca="false">MIN(G699,I699)</f>
        <v>10</v>
      </c>
      <c r="K699" s="12" t="n">
        <f aca="false">MAX(F699-J699,0)</f>
        <v>0</v>
      </c>
      <c r="L699" s="12" t="n">
        <f aca="false">IF(J699=0,0,F699/J699)</f>
        <v>0.6138</v>
      </c>
      <c r="M699" s="11" t="str">
        <f aca="false">IF(K699&gt;0,"BLOCKED","PASS")</f>
        <v>PASS</v>
      </c>
      <c r="N699" s="11" t="s">
        <v>233</v>
      </c>
    </row>
    <row r="700" customFormat="false" ht="23.85" hidden="false" customHeight="false" outlineLevel="0" collapsed="false">
      <c r="A700" s="11" t="s">
        <v>112</v>
      </c>
      <c r="B700" s="11" t="s">
        <v>135</v>
      </c>
      <c r="C700" s="11" t="s">
        <v>77</v>
      </c>
      <c r="D700" s="11" t="s">
        <v>78</v>
      </c>
      <c r="E700" s="11" t="s">
        <v>79</v>
      </c>
      <c r="F700" s="12" t="n">
        <f aca="false">SUMIFS(СПРОС_ДЕНЬ_ЧАС_МЕНЮ!$I$11:$I$3265,СПРОС_ДЕНЬ_ЧАС_МЕНЮ!$A$11:$A$3265,A700,СПРОС_ДЕНЬ_ЧАС_МЕНЮ!$B$11:$B$3265,B700,СПРОС_ДЕНЬ_ЧАС_МЕНЮ!$F$11:$F$3265,C700)</f>
        <v>2.9172</v>
      </c>
      <c r="G700" s="12" t="n">
        <f aca="false">ПАРАМЕТРЫ!D21</f>
        <v>20</v>
      </c>
      <c r="H700" s="12" t="n">
        <f aca="false">SUMIFS(ШТАТ_ПО_ЧАСАМ!$C$11:$C$115,ШТАТ_ПО_ЧАСАМ!$A$11:$A$115,A700,ШТАТ_ПО_ЧАСАМ!$B$11:$B$115,B700)</f>
        <v>2</v>
      </c>
      <c r="I700" s="12" t="n">
        <f aca="false">MIN(H700,1)*ПАРАМЕТРЫ!E21</f>
        <v>10</v>
      </c>
      <c r="J700" s="12" t="n">
        <f aca="false">MIN(G700,I700)</f>
        <v>10</v>
      </c>
      <c r="K700" s="12" t="n">
        <f aca="false">MAX(F700-J700,0)</f>
        <v>0</v>
      </c>
      <c r="L700" s="12" t="n">
        <f aca="false">IF(J700=0,0,F700/J700)</f>
        <v>0.29172</v>
      </c>
      <c r="M700" s="11" t="str">
        <f aca="false">IF(K700&gt;0,"BLOCKED","PASS")</f>
        <v>PASS</v>
      </c>
      <c r="N700" s="11" t="s">
        <v>233</v>
      </c>
    </row>
    <row r="701" customFormat="false" ht="23.85" hidden="false" customHeight="false" outlineLevel="0" collapsed="false">
      <c r="A701" s="11" t="s">
        <v>112</v>
      </c>
      <c r="B701" s="11" t="s">
        <v>135</v>
      </c>
      <c r="C701" s="11" t="s">
        <v>80</v>
      </c>
      <c r="D701" s="11" t="s">
        <v>81</v>
      </c>
      <c r="E701" s="11" t="s">
        <v>82</v>
      </c>
      <c r="F701" s="12" t="n">
        <f aca="false">SUMIFS(СПРОС_ДЕНЬ_ЧАС_МЕНЮ!$I$11:$I$3265,СПРОС_ДЕНЬ_ЧАС_МЕНЮ!$A$11:$A$3265,A701,СПРОС_ДЕНЬ_ЧАС_МЕНЮ!$B$11:$B$3265,B701,СПРОС_ДЕНЬ_ЧАС_МЕНЮ!$F$11:$F$3265,C701)</f>
        <v>7.4745</v>
      </c>
      <c r="G701" s="12" t="n">
        <f aca="false">ПАРАМЕТРЫ!D22</f>
        <v>16</v>
      </c>
      <c r="H701" s="12" t="n">
        <f aca="false">SUMIFS(ШТАТ_ПО_ЧАСАМ!$C$11:$C$115,ШТАТ_ПО_ЧАСАМ!$A$11:$A$115,A701,ШТАТ_ПО_ЧАСАМ!$B$11:$B$115,B701)</f>
        <v>2</v>
      </c>
      <c r="I701" s="12" t="n">
        <f aca="false">MIN(H701,1)*ПАРАМЕТРЫ!E22</f>
        <v>16</v>
      </c>
      <c r="J701" s="12" t="n">
        <f aca="false">MIN(G701,I701)</f>
        <v>16</v>
      </c>
      <c r="K701" s="12" t="n">
        <f aca="false">MAX(F701-J701,0)</f>
        <v>0</v>
      </c>
      <c r="L701" s="12" t="n">
        <f aca="false">IF(J701=0,0,F701/J701)</f>
        <v>0.46715625</v>
      </c>
      <c r="M701" s="11" t="str">
        <f aca="false">IF(K701&gt;0,"BLOCKED","PASS")</f>
        <v>PASS</v>
      </c>
      <c r="N701" s="11" t="s">
        <v>233</v>
      </c>
    </row>
    <row r="702" customFormat="false" ht="23.85" hidden="false" customHeight="false" outlineLevel="0" collapsed="false">
      <c r="A702" s="11" t="s">
        <v>112</v>
      </c>
      <c r="B702" s="11" t="s">
        <v>135</v>
      </c>
      <c r="C702" s="11" t="s">
        <v>83</v>
      </c>
      <c r="D702" s="11" t="s">
        <v>84</v>
      </c>
      <c r="E702" s="11" t="s">
        <v>83</v>
      </c>
      <c r="F702" s="12" t="n">
        <f aca="false">SUMIFS(СПРОС_ДЕНЬ_ЧАС_МЕНЮ!$I$11:$I$3265,СПРОС_ДЕНЬ_ЧАС_МЕНЮ!$A$11:$A$3265,A702,СПРОС_ДЕНЬ_ЧАС_МЕНЮ!$B$11:$B$3265,B702,СПРОС_ДЕНЬ_ЧАС_МЕНЮ!$F$11:$F$3265,C702)</f>
        <v>12.7545</v>
      </c>
      <c r="G702" s="12" t="n">
        <f aca="false">ПАРАМЕТРЫ!D23</f>
        <v>21</v>
      </c>
      <c r="H702" s="12" t="n">
        <f aca="false">SUMIFS(ШТАТ_ПО_ЧАСАМ!$C$11:$C$115,ШТАТ_ПО_ЧАСАМ!$A$11:$A$115,A702,ШТАТ_ПО_ЧАСАМ!$B$11:$B$115,B702)</f>
        <v>2</v>
      </c>
      <c r="I702" s="12" t="n">
        <f aca="false">MIN(H702,1)*ПАРАМЕТРЫ!E23</f>
        <v>21</v>
      </c>
      <c r="J702" s="12" t="n">
        <f aca="false">MIN(G702,I702)</f>
        <v>21</v>
      </c>
      <c r="K702" s="12" t="n">
        <f aca="false">MAX(F702-J702,0)</f>
        <v>0</v>
      </c>
      <c r="L702" s="12" t="n">
        <f aca="false">IF(J702=0,0,F702/J702)</f>
        <v>0.607357142857143</v>
      </c>
      <c r="M702" s="11" t="str">
        <f aca="false">IF(K702&gt;0,"BLOCKED","PASS")</f>
        <v>PASS</v>
      </c>
      <c r="N702" s="11" t="s">
        <v>233</v>
      </c>
    </row>
    <row r="703" customFormat="false" ht="23.85" hidden="false" customHeight="false" outlineLevel="0" collapsed="false">
      <c r="A703" s="11" t="s">
        <v>112</v>
      </c>
      <c r="B703" s="11" t="s">
        <v>135</v>
      </c>
      <c r="C703" s="11" t="s">
        <v>85</v>
      </c>
      <c r="D703" s="11" t="s">
        <v>86</v>
      </c>
      <c r="E703" s="11" t="s">
        <v>87</v>
      </c>
      <c r="F703" s="12" t="n">
        <f aca="false">SUMIFS(СПРОС_ДЕНЬ_ЧАС_МЕНЮ!$I$11:$I$3265,СПРОС_ДЕНЬ_ЧАС_МЕНЮ!$A$11:$A$3265,A703,СПРОС_ДЕНЬ_ЧАС_МЕНЮ!$B$11:$B$3265,B703,СПРОС_ДЕНЬ_ЧАС_МЕНЮ!$F$11:$F$3265,C703)</f>
        <v>5.2097925</v>
      </c>
      <c r="G703" s="12" t="n">
        <f aca="false">ПАРАМЕТРЫ!D24</f>
        <v>12</v>
      </c>
      <c r="H703" s="12" t="n">
        <f aca="false">SUMIFS(ШТАТ_ПО_ЧАСАМ!$C$11:$C$115,ШТАТ_ПО_ЧАСАМ!$A$11:$A$115,A703,ШТАТ_ПО_ЧАСАМ!$B$11:$B$115,B703)</f>
        <v>2</v>
      </c>
      <c r="I703" s="12" t="n">
        <f aca="false">MIN(H703,1)*ПАРАМЕТРЫ!E24</f>
        <v>12</v>
      </c>
      <c r="J703" s="12" t="n">
        <f aca="false">MIN(G703,I703)</f>
        <v>12</v>
      </c>
      <c r="K703" s="12" t="n">
        <f aca="false">MAX(F703-J703,0)</f>
        <v>0</v>
      </c>
      <c r="L703" s="12" t="n">
        <f aca="false">IF(J703=0,0,F703/J703)</f>
        <v>0.434149375</v>
      </c>
      <c r="M703" s="11" t="str">
        <f aca="false">IF(K703&gt;0,"BLOCKED","PASS")</f>
        <v>PASS</v>
      </c>
      <c r="N703" s="11" t="s">
        <v>233</v>
      </c>
    </row>
    <row r="704" customFormat="false" ht="23.85" hidden="false" customHeight="false" outlineLevel="0" collapsed="false">
      <c r="A704" s="11" t="s">
        <v>112</v>
      </c>
      <c r="B704" s="11" t="s">
        <v>135</v>
      </c>
      <c r="C704" s="11" t="s">
        <v>88</v>
      </c>
      <c r="D704" s="11" t="s">
        <v>89</v>
      </c>
      <c r="E704" s="11" t="s">
        <v>90</v>
      </c>
      <c r="F704" s="12" t="n">
        <f aca="false">SUMIFS(СПРОС_ДЕНЬ_ЧАС_МЕНЮ!$I$11:$I$3265,СПРОС_ДЕНЬ_ЧАС_МЕНЮ!$A$11:$A$3265,A704,СПРОС_ДЕНЬ_ЧАС_МЕНЮ!$B$11:$B$3265,B704,СПРОС_ДЕНЬ_ЧАС_МЕНЮ!$F$11:$F$3265,C704)</f>
        <v>0</v>
      </c>
      <c r="G704" s="12" t="n">
        <f aca="false">ПАРАМЕТРЫ!D25</f>
        <v>15</v>
      </c>
      <c r="H704" s="12" t="n">
        <f aca="false">SUMIFS(ШТАТ_ПО_ЧАСАМ!$C$11:$C$115,ШТАТ_ПО_ЧАСАМ!$A$11:$A$115,A704,ШТАТ_ПО_ЧАСАМ!$B$11:$B$115,B704)</f>
        <v>2</v>
      </c>
      <c r="I704" s="12" t="n">
        <f aca="false">MIN(H704,1)*ПАРАМЕТРЫ!E25</f>
        <v>10</v>
      </c>
      <c r="J704" s="12" t="n">
        <f aca="false">MIN(G704,I704)</f>
        <v>10</v>
      </c>
      <c r="K704" s="12" t="n">
        <f aca="false">MAX(F704-J704,0)</f>
        <v>0</v>
      </c>
      <c r="L704" s="12" t="n">
        <f aca="false">IF(J704=0,0,F704/J704)</f>
        <v>0</v>
      </c>
      <c r="M704" s="11" t="str">
        <f aca="false">IF(K704&gt;0,"BLOCKED","PASS")</f>
        <v>PASS</v>
      </c>
      <c r="N704" s="11" t="s">
        <v>233</v>
      </c>
    </row>
    <row r="705" customFormat="false" ht="23.85" hidden="false" customHeight="false" outlineLevel="0" collapsed="false">
      <c r="A705" s="11" t="s">
        <v>112</v>
      </c>
      <c r="B705" s="11" t="s">
        <v>135</v>
      </c>
      <c r="C705" s="11" t="s">
        <v>91</v>
      </c>
      <c r="D705" s="11" t="s">
        <v>92</v>
      </c>
      <c r="E705" s="11" t="s">
        <v>79</v>
      </c>
      <c r="F705" s="12" t="n">
        <f aca="false">SUMIFS(СПРОС_ДЕНЬ_ЧАС_МЕНЮ!$I$11:$I$3265,СПРОС_ДЕНЬ_ЧАС_МЕНЮ!$A$11:$A$3265,A705,СПРОС_ДЕНЬ_ЧАС_МЕНЮ!$B$11:$B$3265,B705,СПРОС_ДЕНЬ_ЧАС_МЕНЮ!$F$11:$F$3265,C705)</f>
        <v>2.277</v>
      </c>
      <c r="G705" s="12" t="n">
        <f aca="false">ПАРАМЕТРЫ!D26</f>
        <v>20</v>
      </c>
      <c r="H705" s="12" t="n">
        <f aca="false">SUMIFS(ШТАТ_ПО_ЧАСАМ!$C$11:$C$115,ШТАТ_ПО_ЧАСАМ!$A$11:$A$115,A705,ШТАТ_ПО_ЧАСАМ!$B$11:$B$115,B705)</f>
        <v>2</v>
      </c>
      <c r="I705" s="12" t="n">
        <f aca="false">MIN(H705,1)*ПАРАМЕТРЫ!E26</f>
        <v>10</v>
      </c>
      <c r="J705" s="12" t="n">
        <f aca="false">MIN(G705,I705)</f>
        <v>10</v>
      </c>
      <c r="K705" s="12" t="n">
        <f aca="false">MAX(F705-J705,0)</f>
        <v>0</v>
      </c>
      <c r="L705" s="12" t="n">
        <f aca="false">IF(J705=0,0,F705/J705)</f>
        <v>0.2277</v>
      </c>
      <c r="M705" s="11" t="str">
        <f aca="false">IF(K705&gt;0,"BLOCKED","PASS")</f>
        <v>PASS</v>
      </c>
      <c r="N705" s="11" t="s">
        <v>233</v>
      </c>
    </row>
    <row r="706" customFormat="false" ht="15" hidden="false" customHeight="false" outlineLevel="0" collapsed="false">
      <c r="A706" s="11" t="s">
        <v>112</v>
      </c>
      <c r="B706" s="11" t="s">
        <v>135</v>
      </c>
      <c r="C706" s="11" t="s">
        <v>93</v>
      </c>
      <c r="D706" s="11" t="s">
        <v>234</v>
      </c>
      <c r="E706" s="11" t="s">
        <v>95</v>
      </c>
      <c r="F706" s="12" t="n">
        <f aca="false">SUMIFS(СПРОС_ДЕНЬ_ЧАС_МЕНЮ!$I$11:$I$3265,СПРОС_ДЕНЬ_ЧАС_МЕНЮ!$A$11:$A$3265,A706,СПРОС_ДЕНЬ_ЧАС_МЕНЮ!$B$11:$B$3265,B706)</f>
        <v>36.7709925</v>
      </c>
      <c r="G706" s="12" t="n">
        <f aca="false">ПАРАМЕТРЫ!D27</f>
        <v>60</v>
      </c>
      <c r="H706" s="12" t="n">
        <f aca="false">SUMIFS(ШТАТ_ПО_ЧАСАМ!$C$11:$C$115,ШТАТ_ПО_ЧАСАМ!$A$11:$A$115,A706,ШТАТ_ПО_ЧАСАМ!$B$11:$B$115,B706)</f>
        <v>2</v>
      </c>
      <c r="I706" s="12" t="n">
        <f aca="false">H706*ПАРАМЕТРЫ!E27</f>
        <v>33.3333333333333</v>
      </c>
      <c r="J706" s="12" t="n">
        <f aca="false">MIN(G706,I706)</f>
        <v>33.3333333333333</v>
      </c>
      <c r="K706" s="12" t="n">
        <f aca="false">MAX(F706-J706,0)</f>
        <v>3.43765916666667</v>
      </c>
      <c r="L706" s="12" t="n">
        <f aca="false">IF(J706=0,0,F706/J706)</f>
        <v>1.103129775</v>
      </c>
      <c r="M706" s="11" t="str">
        <f aca="false">IF(K706&gt;0,"BLOCKED","PASS")</f>
        <v>BLOCKED</v>
      </c>
      <c r="N706" s="11" t="s">
        <v>235</v>
      </c>
    </row>
    <row r="707" customFormat="false" ht="23.85" hidden="false" customHeight="false" outlineLevel="0" collapsed="false">
      <c r="A707" s="11" t="s">
        <v>112</v>
      </c>
      <c r="B707" s="11" t="s">
        <v>136</v>
      </c>
      <c r="C707" s="11" t="s">
        <v>73</v>
      </c>
      <c r="D707" s="11" t="s">
        <v>74</v>
      </c>
      <c r="E707" s="11" t="s">
        <v>75</v>
      </c>
      <c r="F707" s="12" t="n">
        <f aca="false">SUMIFS(СПРОС_ДЕНЬ_ЧАС_МЕНЮ!$I$11:$I$3265,СПРОС_ДЕНЬ_ЧАС_МЕНЮ!$A$11:$A$3265,A707,СПРОС_ДЕНЬ_ЧАС_МЕНЮ!$B$11:$B$3265,B707,СПРОС_ДЕНЬ_ЧАС_МЕНЮ!$F$11:$F$3265,C707)</f>
        <v>7.546</v>
      </c>
      <c r="G707" s="12" t="n">
        <f aca="false">ПАРАМЕТРЫ!D20</f>
        <v>25</v>
      </c>
      <c r="H707" s="12" t="n">
        <f aca="false">SUMIFS(ШТАТ_ПО_ЧАСАМ!$C$11:$C$115,ШТАТ_ПО_ЧАСАМ!$A$11:$A$115,A707,ШТАТ_ПО_ЧАСАМ!$B$11:$B$115,B707)</f>
        <v>2</v>
      </c>
      <c r="I707" s="12" t="n">
        <f aca="false">MIN(H707,1)*ПАРАМЕТРЫ!E20</f>
        <v>10</v>
      </c>
      <c r="J707" s="12" t="n">
        <f aca="false">MIN(G707,I707)</f>
        <v>10</v>
      </c>
      <c r="K707" s="12" t="n">
        <f aca="false">MAX(F707-J707,0)</f>
        <v>0</v>
      </c>
      <c r="L707" s="12" t="n">
        <f aca="false">IF(J707=0,0,F707/J707)</f>
        <v>0.7546</v>
      </c>
      <c r="M707" s="11" t="str">
        <f aca="false">IF(K707&gt;0,"BLOCKED","PASS")</f>
        <v>PASS</v>
      </c>
      <c r="N707" s="11" t="s">
        <v>233</v>
      </c>
    </row>
    <row r="708" customFormat="false" ht="23.85" hidden="false" customHeight="false" outlineLevel="0" collapsed="false">
      <c r="A708" s="11" t="s">
        <v>112</v>
      </c>
      <c r="B708" s="11" t="s">
        <v>136</v>
      </c>
      <c r="C708" s="11" t="s">
        <v>77</v>
      </c>
      <c r="D708" s="11" t="s">
        <v>78</v>
      </c>
      <c r="E708" s="11" t="s">
        <v>79</v>
      </c>
      <c r="F708" s="12" t="n">
        <f aca="false">SUMIFS(СПРОС_ДЕНЬ_ЧАС_МЕНЮ!$I$11:$I$3265,СПРОС_ДЕНЬ_ЧАС_МЕНЮ!$A$11:$A$3265,A708,СПРОС_ДЕНЬ_ЧАС_МЕНЮ!$B$11:$B$3265,B708,СПРОС_ДЕНЬ_ЧАС_МЕНЮ!$F$11:$F$3265,C708)</f>
        <v>3.3836</v>
      </c>
      <c r="G708" s="12" t="n">
        <f aca="false">ПАРАМЕТРЫ!D21</f>
        <v>20</v>
      </c>
      <c r="H708" s="12" t="n">
        <f aca="false">SUMIFS(ШТАТ_ПО_ЧАСАМ!$C$11:$C$115,ШТАТ_ПО_ЧАСАМ!$A$11:$A$115,A708,ШТАТ_ПО_ЧАСАМ!$B$11:$B$115,B708)</f>
        <v>2</v>
      </c>
      <c r="I708" s="12" t="n">
        <f aca="false">MIN(H708,1)*ПАРАМЕТРЫ!E21</f>
        <v>10</v>
      </c>
      <c r="J708" s="12" t="n">
        <f aca="false">MIN(G708,I708)</f>
        <v>10</v>
      </c>
      <c r="K708" s="12" t="n">
        <f aca="false">MAX(F708-J708,0)</f>
        <v>0</v>
      </c>
      <c r="L708" s="12" t="n">
        <f aca="false">IF(J708=0,0,F708/J708)</f>
        <v>0.33836</v>
      </c>
      <c r="M708" s="11" t="str">
        <f aca="false">IF(K708&gt;0,"BLOCKED","PASS")</f>
        <v>PASS</v>
      </c>
      <c r="N708" s="11" t="s">
        <v>233</v>
      </c>
    </row>
    <row r="709" customFormat="false" ht="23.85" hidden="false" customHeight="false" outlineLevel="0" collapsed="false">
      <c r="A709" s="11" t="s">
        <v>112</v>
      </c>
      <c r="B709" s="11" t="s">
        <v>136</v>
      </c>
      <c r="C709" s="11" t="s">
        <v>80</v>
      </c>
      <c r="D709" s="11" t="s">
        <v>81</v>
      </c>
      <c r="E709" s="11" t="s">
        <v>82</v>
      </c>
      <c r="F709" s="12" t="n">
        <f aca="false">SUMIFS(СПРОС_ДЕНЬ_ЧАС_МЕНЮ!$I$11:$I$3265,СПРОС_ДЕНЬ_ЧАС_МЕНЮ!$A$11:$A$3265,A709,СПРОС_ДЕНЬ_ЧАС_МЕНЮ!$B$11:$B$3265,B709,СПРОС_ДЕНЬ_ЧАС_МЕНЮ!$F$11:$F$3265,C709)</f>
        <v>10.0375</v>
      </c>
      <c r="G709" s="12" t="n">
        <f aca="false">ПАРАМЕТРЫ!D22</f>
        <v>16</v>
      </c>
      <c r="H709" s="12" t="n">
        <f aca="false">SUMIFS(ШТАТ_ПО_ЧАСАМ!$C$11:$C$115,ШТАТ_ПО_ЧАСАМ!$A$11:$A$115,A709,ШТАТ_ПО_ЧАСАМ!$B$11:$B$115,B709)</f>
        <v>2</v>
      </c>
      <c r="I709" s="12" t="n">
        <f aca="false">MIN(H709,1)*ПАРАМЕТРЫ!E22</f>
        <v>16</v>
      </c>
      <c r="J709" s="12" t="n">
        <f aca="false">MIN(G709,I709)</f>
        <v>16</v>
      </c>
      <c r="K709" s="12" t="n">
        <f aca="false">MAX(F709-J709,0)</f>
        <v>0</v>
      </c>
      <c r="L709" s="12" t="n">
        <f aca="false">IF(J709=0,0,F709/J709)</f>
        <v>0.62734375</v>
      </c>
      <c r="M709" s="11" t="str">
        <f aca="false">IF(K709&gt;0,"BLOCKED","PASS")</f>
        <v>PASS</v>
      </c>
      <c r="N709" s="11" t="s">
        <v>233</v>
      </c>
    </row>
    <row r="710" customFormat="false" ht="23.85" hidden="false" customHeight="false" outlineLevel="0" collapsed="false">
      <c r="A710" s="11" t="s">
        <v>112</v>
      </c>
      <c r="B710" s="11" t="s">
        <v>136</v>
      </c>
      <c r="C710" s="11" t="s">
        <v>83</v>
      </c>
      <c r="D710" s="11" t="s">
        <v>84</v>
      </c>
      <c r="E710" s="11" t="s">
        <v>83</v>
      </c>
      <c r="F710" s="12" t="n">
        <f aca="false">SUMIFS(СПРОС_ДЕНЬ_ЧАС_МЕНЮ!$I$11:$I$3265,СПРОС_ДЕНЬ_ЧАС_МЕНЮ!$A$11:$A$3265,A710,СПРОС_ДЕНЬ_ЧАС_МЕНЮ!$B$11:$B$3265,B710,СПРОС_ДЕНЬ_ЧАС_МЕНЮ!$F$11:$F$3265,C710)</f>
        <v>16.8575</v>
      </c>
      <c r="G710" s="12" t="n">
        <f aca="false">ПАРАМЕТРЫ!D23</f>
        <v>21</v>
      </c>
      <c r="H710" s="12" t="n">
        <f aca="false">SUMIFS(ШТАТ_ПО_ЧАСАМ!$C$11:$C$115,ШТАТ_ПО_ЧАСАМ!$A$11:$A$115,A710,ШТАТ_ПО_ЧАСАМ!$B$11:$B$115,B710)</f>
        <v>2</v>
      </c>
      <c r="I710" s="12" t="n">
        <f aca="false">MIN(H710,1)*ПАРАМЕТРЫ!E23</f>
        <v>21</v>
      </c>
      <c r="J710" s="12" t="n">
        <f aca="false">MIN(G710,I710)</f>
        <v>21</v>
      </c>
      <c r="K710" s="12" t="n">
        <f aca="false">MAX(F710-J710,0)</f>
        <v>0</v>
      </c>
      <c r="L710" s="12" t="n">
        <f aca="false">IF(J710=0,0,F710/J710)</f>
        <v>0.802738095238095</v>
      </c>
      <c r="M710" s="11" t="str">
        <f aca="false">IF(K710&gt;0,"BLOCKED","PASS")</f>
        <v>PASS</v>
      </c>
      <c r="N710" s="11" t="s">
        <v>233</v>
      </c>
    </row>
    <row r="711" customFormat="false" ht="23.85" hidden="false" customHeight="false" outlineLevel="0" collapsed="false">
      <c r="A711" s="11" t="s">
        <v>112</v>
      </c>
      <c r="B711" s="11" t="s">
        <v>136</v>
      </c>
      <c r="C711" s="11" t="s">
        <v>85</v>
      </c>
      <c r="D711" s="11" t="s">
        <v>86</v>
      </c>
      <c r="E711" s="11" t="s">
        <v>87</v>
      </c>
      <c r="F711" s="12" t="n">
        <f aca="false">SUMIFS(СПРОС_ДЕНЬ_ЧАС_МЕНЮ!$I$11:$I$3265,СПРОС_ДЕНЬ_ЧАС_МЕНЮ!$A$11:$A$3265,A711,СПРОС_ДЕНЬ_ЧАС_МЕНЮ!$B$11:$B$3265,B711,СПРОС_ДЕНЬ_ЧАС_МЕНЮ!$F$11:$F$3265,C711)</f>
        <v>7.3040275</v>
      </c>
      <c r="G711" s="12" t="n">
        <f aca="false">ПАРАМЕТРЫ!D24</f>
        <v>12</v>
      </c>
      <c r="H711" s="12" t="n">
        <f aca="false">SUMIFS(ШТАТ_ПО_ЧАСАМ!$C$11:$C$115,ШТАТ_ПО_ЧАСАМ!$A$11:$A$115,A711,ШТАТ_ПО_ЧАСАМ!$B$11:$B$115,B711)</f>
        <v>2</v>
      </c>
      <c r="I711" s="12" t="n">
        <f aca="false">MIN(H711,1)*ПАРАМЕТРЫ!E24</f>
        <v>12</v>
      </c>
      <c r="J711" s="12" t="n">
        <f aca="false">MIN(G711,I711)</f>
        <v>12</v>
      </c>
      <c r="K711" s="12" t="n">
        <f aca="false">MAX(F711-J711,0)</f>
        <v>0</v>
      </c>
      <c r="L711" s="12" t="n">
        <f aca="false">IF(J711=0,0,F711/J711)</f>
        <v>0.608668958333334</v>
      </c>
      <c r="M711" s="11" t="str">
        <f aca="false">IF(K711&gt;0,"BLOCKED","PASS")</f>
        <v>PASS</v>
      </c>
      <c r="N711" s="11" t="s">
        <v>233</v>
      </c>
    </row>
    <row r="712" customFormat="false" ht="23.85" hidden="false" customHeight="false" outlineLevel="0" collapsed="false">
      <c r="A712" s="11" t="s">
        <v>112</v>
      </c>
      <c r="B712" s="11" t="s">
        <v>136</v>
      </c>
      <c r="C712" s="11" t="s">
        <v>88</v>
      </c>
      <c r="D712" s="11" t="s">
        <v>89</v>
      </c>
      <c r="E712" s="11" t="s">
        <v>90</v>
      </c>
      <c r="F712" s="12" t="n">
        <f aca="false">SUMIFS(СПРОС_ДЕНЬ_ЧАС_МЕНЮ!$I$11:$I$3265,СПРОС_ДЕНЬ_ЧАС_МЕНЮ!$A$11:$A$3265,A712,СПРОС_ДЕНЬ_ЧАС_МЕНЮ!$B$11:$B$3265,B712,СПРОС_ДЕНЬ_ЧАС_МЕНЮ!$F$11:$F$3265,C712)</f>
        <v>0</v>
      </c>
      <c r="G712" s="12" t="n">
        <f aca="false">ПАРАМЕТРЫ!D25</f>
        <v>15</v>
      </c>
      <c r="H712" s="12" t="n">
        <f aca="false">SUMIFS(ШТАТ_ПО_ЧАСАМ!$C$11:$C$115,ШТАТ_ПО_ЧАСАМ!$A$11:$A$115,A712,ШТАТ_ПО_ЧАСАМ!$B$11:$B$115,B712)</f>
        <v>2</v>
      </c>
      <c r="I712" s="12" t="n">
        <f aca="false">MIN(H712,1)*ПАРАМЕТРЫ!E25</f>
        <v>10</v>
      </c>
      <c r="J712" s="12" t="n">
        <f aca="false">MIN(G712,I712)</f>
        <v>10</v>
      </c>
      <c r="K712" s="12" t="n">
        <f aca="false">MAX(F712-J712,0)</f>
        <v>0</v>
      </c>
      <c r="L712" s="12" t="n">
        <f aca="false">IF(J712=0,0,F712/J712)</f>
        <v>0</v>
      </c>
      <c r="M712" s="11" t="str">
        <f aca="false">IF(K712&gt;0,"BLOCKED","PASS")</f>
        <v>PASS</v>
      </c>
      <c r="N712" s="11" t="s">
        <v>233</v>
      </c>
    </row>
    <row r="713" customFormat="false" ht="23.85" hidden="false" customHeight="false" outlineLevel="0" collapsed="false">
      <c r="A713" s="11" t="s">
        <v>112</v>
      </c>
      <c r="B713" s="11" t="s">
        <v>136</v>
      </c>
      <c r="C713" s="11" t="s">
        <v>91</v>
      </c>
      <c r="D713" s="11" t="s">
        <v>92</v>
      </c>
      <c r="E713" s="11" t="s">
        <v>79</v>
      </c>
      <c r="F713" s="12" t="n">
        <f aca="false">SUMIFS(СПРОС_ДЕНЬ_ЧАС_МЕНЮ!$I$11:$I$3265,СПРОС_ДЕНЬ_ЧАС_МЕНЮ!$A$11:$A$3265,A713,СПРОС_ДЕНЬ_ЧАС_МЕНЮ!$B$11:$B$3265,B713,СПРОС_ДЕНЬ_ЧАС_МЕНЮ!$F$11:$F$3265,C713)</f>
        <v>2.849</v>
      </c>
      <c r="G713" s="12" t="n">
        <f aca="false">ПАРАМЕТРЫ!D26</f>
        <v>20</v>
      </c>
      <c r="H713" s="12" t="n">
        <f aca="false">SUMIFS(ШТАТ_ПО_ЧАСАМ!$C$11:$C$115,ШТАТ_ПО_ЧАСАМ!$A$11:$A$115,A713,ШТАТ_ПО_ЧАСАМ!$B$11:$B$115,B713)</f>
        <v>2</v>
      </c>
      <c r="I713" s="12" t="n">
        <f aca="false">MIN(H713,1)*ПАРАМЕТРЫ!E26</f>
        <v>10</v>
      </c>
      <c r="J713" s="12" t="n">
        <f aca="false">MIN(G713,I713)</f>
        <v>10</v>
      </c>
      <c r="K713" s="12" t="n">
        <f aca="false">MAX(F713-J713,0)</f>
        <v>0</v>
      </c>
      <c r="L713" s="12" t="n">
        <f aca="false">IF(J713=0,0,F713/J713)</f>
        <v>0.2849</v>
      </c>
      <c r="M713" s="11" t="str">
        <f aca="false">IF(K713&gt;0,"BLOCKED","PASS")</f>
        <v>PASS</v>
      </c>
      <c r="N713" s="11" t="s">
        <v>233</v>
      </c>
    </row>
    <row r="714" customFormat="false" ht="15" hidden="false" customHeight="false" outlineLevel="0" collapsed="false">
      <c r="A714" s="11" t="s">
        <v>112</v>
      </c>
      <c r="B714" s="11" t="s">
        <v>136</v>
      </c>
      <c r="C714" s="11" t="s">
        <v>93</v>
      </c>
      <c r="D714" s="11" t="s">
        <v>234</v>
      </c>
      <c r="E714" s="11" t="s">
        <v>95</v>
      </c>
      <c r="F714" s="12" t="n">
        <f aca="false">SUMIFS(СПРОС_ДЕНЬ_ЧАС_МЕНЮ!$I$11:$I$3265,СПРОС_ДЕНЬ_ЧАС_МЕНЮ!$A$11:$A$3265,A714,СПРОС_ДЕНЬ_ЧАС_МЕНЮ!$B$11:$B$3265,B714)</f>
        <v>47.9776275</v>
      </c>
      <c r="G714" s="12" t="n">
        <f aca="false">ПАРАМЕТРЫ!D27</f>
        <v>60</v>
      </c>
      <c r="H714" s="12" t="n">
        <f aca="false">SUMIFS(ШТАТ_ПО_ЧАСАМ!$C$11:$C$115,ШТАТ_ПО_ЧАСАМ!$A$11:$A$115,A714,ШТАТ_ПО_ЧАСАМ!$B$11:$B$115,B714)</f>
        <v>2</v>
      </c>
      <c r="I714" s="12" t="n">
        <f aca="false">H714*ПАРАМЕТРЫ!E27</f>
        <v>33.3333333333333</v>
      </c>
      <c r="J714" s="12" t="n">
        <f aca="false">MIN(G714,I714)</f>
        <v>33.3333333333333</v>
      </c>
      <c r="K714" s="12" t="n">
        <f aca="false">MAX(F714-J714,0)</f>
        <v>14.6442941666667</v>
      </c>
      <c r="L714" s="12" t="n">
        <f aca="false">IF(J714=0,0,F714/J714)</f>
        <v>1.439328825</v>
      </c>
      <c r="M714" s="11" t="str">
        <f aca="false">IF(K714&gt;0,"BLOCKED","PASS")</f>
        <v>BLOCKED</v>
      </c>
      <c r="N714" s="11" t="s">
        <v>235</v>
      </c>
    </row>
    <row r="715" customFormat="false" ht="23.85" hidden="false" customHeight="false" outlineLevel="0" collapsed="false">
      <c r="A715" s="11" t="s">
        <v>112</v>
      </c>
      <c r="B715" s="11" t="s">
        <v>137</v>
      </c>
      <c r="C715" s="11" t="s">
        <v>73</v>
      </c>
      <c r="D715" s="11" t="s">
        <v>74</v>
      </c>
      <c r="E715" s="11" t="s">
        <v>75</v>
      </c>
      <c r="F715" s="12" t="n">
        <f aca="false">SUMIFS(СПРОС_ДЕНЬ_ЧАС_МЕНЮ!$I$11:$I$3265,СПРОС_ДЕНЬ_ЧАС_МЕНЮ!$A$11:$A$3265,A715,СПРОС_ДЕНЬ_ЧАС_МЕНЮ!$B$11:$B$3265,B715,СПРОС_ДЕНЬ_ЧАС_МЕНЮ!$F$11:$F$3265,C715)</f>
        <v>8.899</v>
      </c>
      <c r="G715" s="12" t="n">
        <f aca="false">ПАРАМЕТРЫ!D20</f>
        <v>25</v>
      </c>
      <c r="H715" s="12" t="n">
        <f aca="false">SUMIFS(ШТАТ_ПО_ЧАСАМ!$C$11:$C$115,ШТАТ_ПО_ЧАСАМ!$A$11:$A$115,A715,ШТАТ_ПО_ЧАСАМ!$B$11:$B$115,B715)</f>
        <v>2</v>
      </c>
      <c r="I715" s="12" t="n">
        <f aca="false">MIN(H715,1)*ПАРАМЕТРЫ!E20</f>
        <v>10</v>
      </c>
      <c r="J715" s="12" t="n">
        <f aca="false">MIN(G715,I715)</f>
        <v>10</v>
      </c>
      <c r="K715" s="12" t="n">
        <f aca="false">MAX(F715-J715,0)</f>
        <v>0</v>
      </c>
      <c r="L715" s="12" t="n">
        <f aca="false">IF(J715=0,0,F715/J715)</f>
        <v>0.8899</v>
      </c>
      <c r="M715" s="11" t="str">
        <f aca="false">IF(K715&gt;0,"BLOCKED","PASS")</f>
        <v>PASS</v>
      </c>
      <c r="N715" s="11" t="s">
        <v>233</v>
      </c>
    </row>
    <row r="716" customFormat="false" ht="23.85" hidden="false" customHeight="false" outlineLevel="0" collapsed="false">
      <c r="A716" s="11" t="s">
        <v>112</v>
      </c>
      <c r="B716" s="11" t="s">
        <v>137</v>
      </c>
      <c r="C716" s="11" t="s">
        <v>77</v>
      </c>
      <c r="D716" s="11" t="s">
        <v>78</v>
      </c>
      <c r="E716" s="11" t="s">
        <v>79</v>
      </c>
      <c r="F716" s="12" t="n">
        <f aca="false">SUMIFS(СПРОС_ДЕНЬ_ЧАС_МЕНЮ!$I$11:$I$3265,СПРОС_ДЕНЬ_ЧАС_МЕНЮ!$A$11:$A$3265,A716,СПРОС_ДЕНЬ_ЧАС_МЕНЮ!$B$11:$B$3265,B716,СПРОС_ДЕНЬ_ЧАС_МЕНЮ!$F$11:$F$3265,C716)</f>
        <v>3.531</v>
      </c>
      <c r="G716" s="12" t="n">
        <f aca="false">ПАРАМЕТРЫ!D21</f>
        <v>20</v>
      </c>
      <c r="H716" s="12" t="n">
        <f aca="false">SUMIFS(ШТАТ_ПО_ЧАСАМ!$C$11:$C$115,ШТАТ_ПО_ЧАСАМ!$A$11:$A$115,A716,ШТАТ_ПО_ЧАСАМ!$B$11:$B$115,B716)</f>
        <v>2</v>
      </c>
      <c r="I716" s="12" t="n">
        <f aca="false">MIN(H716,1)*ПАРАМЕТРЫ!E21</f>
        <v>10</v>
      </c>
      <c r="J716" s="12" t="n">
        <f aca="false">MIN(G716,I716)</f>
        <v>10</v>
      </c>
      <c r="K716" s="12" t="n">
        <f aca="false">MAX(F716-J716,0)</f>
        <v>0</v>
      </c>
      <c r="L716" s="12" t="n">
        <f aca="false">IF(J716=0,0,F716/J716)</f>
        <v>0.3531</v>
      </c>
      <c r="M716" s="11" t="str">
        <f aca="false">IF(K716&gt;0,"BLOCKED","PASS")</f>
        <v>PASS</v>
      </c>
      <c r="N716" s="11" t="s">
        <v>233</v>
      </c>
    </row>
    <row r="717" customFormat="false" ht="23.85" hidden="false" customHeight="false" outlineLevel="0" collapsed="false">
      <c r="A717" s="11" t="s">
        <v>112</v>
      </c>
      <c r="B717" s="11" t="s">
        <v>137</v>
      </c>
      <c r="C717" s="11" t="s">
        <v>80</v>
      </c>
      <c r="D717" s="11" t="s">
        <v>81</v>
      </c>
      <c r="E717" s="11" t="s">
        <v>82</v>
      </c>
      <c r="F717" s="12" t="n">
        <f aca="false">SUMIFS(СПРОС_ДЕНЬ_ЧАС_МЕНЮ!$I$11:$I$3265,СПРОС_ДЕНЬ_ЧАС_МЕНЮ!$A$11:$A$3265,A717,СПРОС_ДЕНЬ_ЧАС_МЕНЮ!$B$11:$B$3265,B717,СПРОС_ДЕНЬ_ЧАС_МЕНЮ!$F$11:$F$3265,C717)</f>
        <v>12.298</v>
      </c>
      <c r="G717" s="12" t="n">
        <f aca="false">ПАРАМЕТРЫ!D22</f>
        <v>16</v>
      </c>
      <c r="H717" s="12" t="n">
        <f aca="false">SUMIFS(ШТАТ_ПО_ЧАСАМ!$C$11:$C$115,ШТАТ_ПО_ЧАСАМ!$A$11:$A$115,A717,ШТАТ_ПО_ЧАСАМ!$B$11:$B$115,B717)</f>
        <v>2</v>
      </c>
      <c r="I717" s="12" t="n">
        <f aca="false">MIN(H717,1)*ПАРАМЕТРЫ!E22</f>
        <v>16</v>
      </c>
      <c r="J717" s="12" t="n">
        <f aca="false">MIN(G717,I717)</f>
        <v>16</v>
      </c>
      <c r="K717" s="12" t="n">
        <f aca="false">MAX(F717-J717,0)</f>
        <v>0</v>
      </c>
      <c r="L717" s="12" t="n">
        <f aca="false">IF(J717=0,0,F717/J717)</f>
        <v>0.768625</v>
      </c>
      <c r="M717" s="11" t="str">
        <f aca="false">IF(K717&gt;0,"BLOCKED","PASS")</f>
        <v>PASS</v>
      </c>
      <c r="N717" s="11" t="s">
        <v>233</v>
      </c>
    </row>
    <row r="718" customFormat="false" ht="23.85" hidden="false" customHeight="false" outlineLevel="0" collapsed="false">
      <c r="A718" s="11" t="s">
        <v>112</v>
      </c>
      <c r="B718" s="11" t="s">
        <v>137</v>
      </c>
      <c r="C718" s="11" t="s">
        <v>83</v>
      </c>
      <c r="D718" s="11" t="s">
        <v>84</v>
      </c>
      <c r="E718" s="11" t="s">
        <v>83</v>
      </c>
      <c r="F718" s="12" t="n">
        <f aca="false">SUMIFS(СПРОС_ДЕНЬ_ЧАС_МЕНЮ!$I$11:$I$3265,СПРОС_ДЕНЬ_ЧАС_МЕНЮ!$A$11:$A$3265,A718,СПРОС_ДЕНЬ_ЧАС_МЕНЮ!$B$11:$B$3265,B718,СПРОС_ДЕНЬ_ЧАС_МЕНЮ!$F$11:$F$3265,C718)</f>
        <v>20.493</v>
      </c>
      <c r="G718" s="12" t="n">
        <f aca="false">ПАРАМЕТРЫ!D23</f>
        <v>21</v>
      </c>
      <c r="H718" s="12" t="n">
        <f aca="false">SUMIFS(ШТАТ_ПО_ЧАСАМ!$C$11:$C$115,ШТАТ_ПО_ЧАСАМ!$A$11:$A$115,A718,ШТАТ_ПО_ЧАСАМ!$B$11:$B$115,B718)</f>
        <v>2</v>
      </c>
      <c r="I718" s="12" t="n">
        <f aca="false">MIN(H718,1)*ПАРАМЕТРЫ!E23</f>
        <v>21</v>
      </c>
      <c r="J718" s="12" t="n">
        <f aca="false">MIN(G718,I718)</f>
        <v>21</v>
      </c>
      <c r="K718" s="12" t="n">
        <f aca="false">MAX(F718-J718,0)</f>
        <v>0</v>
      </c>
      <c r="L718" s="12" t="n">
        <f aca="false">IF(J718=0,0,F718/J718)</f>
        <v>0.975857142857143</v>
      </c>
      <c r="M718" s="11" t="str">
        <f aca="false">IF(K718&gt;0,"BLOCKED","PASS")</f>
        <v>PASS</v>
      </c>
      <c r="N718" s="11" t="s">
        <v>233</v>
      </c>
    </row>
    <row r="719" customFormat="false" ht="23.85" hidden="false" customHeight="false" outlineLevel="0" collapsed="false">
      <c r="A719" s="11" t="s">
        <v>112</v>
      </c>
      <c r="B719" s="11" t="s">
        <v>137</v>
      </c>
      <c r="C719" s="11" t="s">
        <v>85</v>
      </c>
      <c r="D719" s="11" t="s">
        <v>86</v>
      </c>
      <c r="E719" s="11" t="s">
        <v>87</v>
      </c>
      <c r="F719" s="12" t="n">
        <f aca="false">SUMIFS(СПРОС_ДЕНЬ_ЧАС_МЕНЮ!$I$11:$I$3265,СПРОС_ДЕНЬ_ЧАС_МЕНЮ!$A$11:$A$3265,A719,СПРОС_ДЕНЬ_ЧАС_МЕНЮ!$B$11:$B$3265,B719,СПРОС_ДЕНЬ_ЧАС_МЕНЮ!$F$11:$F$3265,C719)</f>
        <v>9.040625</v>
      </c>
      <c r="G719" s="12" t="n">
        <f aca="false">ПАРАМЕТРЫ!D24</f>
        <v>12</v>
      </c>
      <c r="H719" s="12" t="n">
        <f aca="false">SUMIFS(ШТАТ_ПО_ЧАСАМ!$C$11:$C$115,ШТАТ_ПО_ЧАСАМ!$A$11:$A$115,A719,ШТАТ_ПО_ЧАСАМ!$B$11:$B$115,B719)</f>
        <v>2</v>
      </c>
      <c r="I719" s="12" t="n">
        <f aca="false">MIN(H719,1)*ПАРАМЕТРЫ!E24</f>
        <v>12</v>
      </c>
      <c r="J719" s="12" t="n">
        <f aca="false">MIN(G719,I719)</f>
        <v>12</v>
      </c>
      <c r="K719" s="12" t="n">
        <f aca="false">MAX(F719-J719,0)</f>
        <v>0</v>
      </c>
      <c r="L719" s="12" t="n">
        <f aca="false">IF(J719=0,0,F719/J719)</f>
        <v>0.753385416666667</v>
      </c>
      <c r="M719" s="11" t="str">
        <f aca="false">IF(K719&gt;0,"BLOCKED","PASS")</f>
        <v>PASS</v>
      </c>
      <c r="N719" s="11" t="s">
        <v>233</v>
      </c>
    </row>
    <row r="720" customFormat="false" ht="23.85" hidden="false" customHeight="false" outlineLevel="0" collapsed="false">
      <c r="A720" s="11" t="s">
        <v>112</v>
      </c>
      <c r="B720" s="11" t="s">
        <v>137</v>
      </c>
      <c r="C720" s="11" t="s">
        <v>88</v>
      </c>
      <c r="D720" s="11" t="s">
        <v>89</v>
      </c>
      <c r="E720" s="11" t="s">
        <v>90</v>
      </c>
      <c r="F720" s="12" t="n">
        <f aca="false">SUMIFS(СПРОС_ДЕНЬ_ЧАС_МЕНЮ!$I$11:$I$3265,СПРОС_ДЕНЬ_ЧАС_МЕНЮ!$A$11:$A$3265,A720,СПРОС_ДЕНЬ_ЧАС_МЕНЮ!$B$11:$B$3265,B720,СПРОС_ДЕНЬ_ЧАС_МЕНЮ!$F$11:$F$3265,C720)</f>
        <v>0</v>
      </c>
      <c r="G720" s="12" t="n">
        <f aca="false">ПАРАМЕТРЫ!D25</f>
        <v>15</v>
      </c>
      <c r="H720" s="12" t="n">
        <f aca="false">SUMIFS(ШТАТ_ПО_ЧАСАМ!$C$11:$C$115,ШТАТ_ПО_ЧАСАМ!$A$11:$A$115,A720,ШТАТ_ПО_ЧАСАМ!$B$11:$B$115,B720)</f>
        <v>2</v>
      </c>
      <c r="I720" s="12" t="n">
        <f aca="false">MIN(H720,1)*ПАРАМЕТРЫ!E25</f>
        <v>10</v>
      </c>
      <c r="J720" s="12" t="n">
        <f aca="false">MIN(G720,I720)</f>
        <v>10</v>
      </c>
      <c r="K720" s="12" t="n">
        <f aca="false">MAX(F720-J720,0)</f>
        <v>0</v>
      </c>
      <c r="L720" s="12" t="n">
        <f aca="false">IF(J720=0,0,F720/J720)</f>
        <v>0</v>
      </c>
      <c r="M720" s="11" t="str">
        <f aca="false">IF(K720&gt;0,"BLOCKED","PASS")</f>
        <v>PASS</v>
      </c>
      <c r="N720" s="11" t="s">
        <v>233</v>
      </c>
    </row>
    <row r="721" customFormat="false" ht="23.85" hidden="false" customHeight="false" outlineLevel="0" collapsed="false">
      <c r="A721" s="11" t="s">
        <v>112</v>
      </c>
      <c r="B721" s="11" t="s">
        <v>137</v>
      </c>
      <c r="C721" s="11" t="s">
        <v>91</v>
      </c>
      <c r="D721" s="11" t="s">
        <v>92</v>
      </c>
      <c r="E721" s="11" t="s">
        <v>79</v>
      </c>
      <c r="F721" s="12" t="n">
        <f aca="false">SUMIFS(СПРОС_ДЕНЬ_ЧАС_МЕНЮ!$I$11:$I$3265,СПРОС_ДЕНЬ_ЧАС_МЕНЮ!$A$11:$A$3265,A721,СПРОС_ДЕНЬ_ЧАС_МЕНЮ!$B$11:$B$3265,B721,СПРОС_ДЕНЬ_ЧАС_МЕНЮ!$F$11:$F$3265,C721)</f>
        <v>3.234</v>
      </c>
      <c r="G721" s="12" t="n">
        <f aca="false">ПАРАМЕТРЫ!D26</f>
        <v>20</v>
      </c>
      <c r="H721" s="12" t="n">
        <f aca="false">SUMIFS(ШТАТ_ПО_ЧАСАМ!$C$11:$C$115,ШТАТ_ПО_ЧАСАМ!$A$11:$A$115,A721,ШТАТ_ПО_ЧАСАМ!$B$11:$B$115,B721)</f>
        <v>2</v>
      </c>
      <c r="I721" s="12" t="n">
        <f aca="false">MIN(H721,1)*ПАРАМЕТРЫ!E26</f>
        <v>10</v>
      </c>
      <c r="J721" s="12" t="n">
        <f aca="false">MIN(G721,I721)</f>
        <v>10</v>
      </c>
      <c r="K721" s="12" t="n">
        <f aca="false">MAX(F721-J721,0)</f>
        <v>0</v>
      </c>
      <c r="L721" s="12" t="n">
        <f aca="false">IF(J721=0,0,F721/J721)</f>
        <v>0.3234</v>
      </c>
      <c r="M721" s="11" t="str">
        <f aca="false">IF(K721&gt;0,"BLOCKED","PASS")</f>
        <v>PASS</v>
      </c>
      <c r="N721" s="11" t="s">
        <v>233</v>
      </c>
    </row>
    <row r="722" customFormat="false" ht="15" hidden="false" customHeight="false" outlineLevel="0" collapsed="false">
      <c r="A722" s="11" t="s">
        <v>112</v>
      </c>
      <c r="B722" s="11" t="s">
        <v>137</v>
      </c>
      <c r="C722" s="11" t="s">
        <v>93</v>
      </c>
      <c r="D722" s="11" t="s">
        <v>234</v>
      </c>
      <c r="E722" s="11" t="s">
        <v>95</v>
      </c>
      <c r="F722" s="12" t="n">
        <f aca="false">SUMIFS(СПРОС_ДЕНЬ_ЧАС_МЕНЮ!$I$11:$I$3265,СПРОС_ДЕНЬ_ЧАС_МЕНЮ!$A$11:$A$3265,A722,СПРОС_ДЕНЬ_ЧАС_МЕНЮ!$B$11:$B$3265,B722)</f>
        <v>57.495625</v>
      </c>
      <c r="G722" s="12" t="n">
        <f aca="false">ПАРАМЕТРЫ!D27</f>
        <v>60</v>
      </c>
      <c r="H722" s="12" t="n">
        <f aca="false">SUMIFS(ШТАТ_ПО_ЧАСАМ!$C$11:$C$115,ШТАТ_ПО_ЧАСАМ!$A$11:$A$115,A722,ШТАТ_ПО_ЧАСАМ!$B$11:$B$115,B722)</f>
        <v>2</v>
      </c>
      <c r="I722" s="12" t="n">
        <f aca="false">H722*ПАРАМЕТРЫ!E27</f>
        <v>33.3333333333333</v>
      </c>
      <c r="J722" s="12" t="n">
        <f aca="false">MIN(G722,I722)</f>
        <v>33.3333333333333</v>
      </c>
      <c r="K722" s="12" t="n">
        <f aca="false">MAX(F722-J722,0)</f>
        <v>24.1622916666667</v>
      </c>
      <c r="L722" s="12" t="n">
        <f aca="false">IF(J722=0,0,F722/J722)</f>
        <v>1.72486875</v>
      </c>
      <c r="M722" s="11" t="str">
        <f aca="false">IF(K722&gt;0,"BLOCKED","PASS")</f>
        <v>BLOCKED</v>
      </c>
      <c r="N722" s="11" t="s">
        <v>235</v>
      </c>
    </row>
    <row r="723" customFormat="false" ht="23.85" hidden="false" customHeight="false" outlineLevel="0" collapsed="false">
      <c r="A723" s="11" t="s">
        <v>112</v>
      </c>
      <c r="B723" s="11" t="s">
        <v>138</v>
      </c>
      <c r="C723" s="11" t="s">
        <v>73</v>
      </c>
      <c r="D723" s="11" t="s">
        <v>74</v>
      </c>
      <c r="E723" s="11" t="s">
        <v>75</v>
      </c>
      <c r="F723" s="12" t="n">
        <f aca="false">SUMIFS(СПРОС_ДЕНЬ_ЧАС_МЕНЮ!$I$11:$I$3265,СПРОС_ДЕНЬ_ЧАС_МЕНЮ!$A$11:$A$3265,A723,СПРОС_ДЕНЬ_ЧАС_МЕНЮ!$B$11:$B$3265,B723,СПРОС_ДЕНЬ_ЧАС_МЕНЮ!$F$11:$F$3265,C723)</f>
        <v>5.005</v>
      </c>
      <c r="G723" s="12" t="n">
        <f aca="false">ПАРАМЕТРЫ!D20</f>
        <v>25</v>
      </c>
      <c r="H723" s="12" t="n">
        <f aca="false">SUMIFS(ШТАТ_ПО_ЧАСАМ!$C$11:$C$115,ШТАТ_ПО_ЧАСАМ!$A$11:$A$115,A723,ШТАТ_ПО_ЧАСАМ!$B$11:$B$115,B723)</f>
        <v>2</v>
      </c>
      <c r="I723" s="12" t="n">
        <f aca="false">MIN(H723,1)*ПАРАМЕТРЫ!E20</f>
        <v>10</v>
      </c>
      <c r="J723" s="12" t="n">
        <f aca="false">MIN(G723,I723)</f>
        <v>10</v>
      </c>
      <c r="K723" s="12" t="n">
        <f aca="false">MAX(F723-J723,0)</f>
        <v>0</v>
      </c>
      <c r="L723" s="12" t="n">
        <f aca="false">IF(J723=0,0,F723/J723)</f>
        <v>0.5005</v>
      </c>
      <c r="M723" s="11" t="str">
        <f aca="false">IF(K723&gt;0,"BLOCKED","PASS")</f>
        <v>PASS</v>
      </c>
      <c r="N723" s="11" t="s">
        <v>233</v>
      </c>
    </row>
    <row r="724" customFormat="false" ht="23.85" hidden="false" customHeight="false" outlineLevel="0" collapsed="false">
      <c r="A724" s="11" t="s">
        <v>112</v>
      </c>
      <c r="B724" s="11" t="s">
        <v>138</v>
      </c>
      <c r="C724" s="11" t="s">
        <v>77</v>
      </c>
      <c r="D724" s="11" t="s">
        <v>78</v>
      </c>
      <c r="E724" s="11" t="s">
        <v>79</v>
      </c>
      <c r="F724" s="12" t="n">
        <f aca="false">SUMIFS(СПРОС_ДЕНЬ_ЧАС_МЕНЮ!$I$11:$I$3265,СПРОС_ДЕНЬ_ЧАС_МЕНЮ!$A$11:$A$3265,A724,СПРОС_ДЕНЬ_ЧАС_МЕНЮ!$B$11:$B$3265,B724,СПРОС_ДЕНЬ_ЧАС_МЕНЮ!$F$11:$F$3265,C724)</f>
        <v>1.925</v>
      </c>
      <c r="G724" s="12" t="n">
        <f aca="false">ПАРАМЕТРЫ!D21</f>
        <v>20</v>
      </c>
      <c r="H724" s="12" t="n">
        <f aca="false">SUMIFS(ШТАТ_ПО_ЧАСАМ!$C$11:$C$115,ШТАТ_ПО_ЧАСАМ!$A$11:$A$115,A724,ШТАТ_ПО_ЧАСАМ!$B$11:$B$115,B724)</f>
        <v>2</v>
      </c>
      <c r="I724" s="12" t="n">
        <f aca="false">MIN(H724,1)*ПАРАМЕТРЫ!E21</f>
        <v>10</v>
      </c>
      <c r="J724" s="12" t="n">
        <f aca="false">MIN(G724,I724)</f>
        <v>10</v>
      </c>
      <c r="K724" s="12" t="n">
        <f aca="false">MAX(F724-J724,0)</f>
        <v>0</v>
      </c>
      <c r="L724" s="12" t="n">
        <f aca="false">IF(J724=0,0,F724/J724)</f>
        <v>0.1925</v>
      </c>
      <c r="M724" s="11" t="str">
        <f aca="false">IF(K724&gt;0,"BLOCKED","PASS")</f>
        <v>PASS</v>
      </c>
      <c r="N724" s="11" t="s">
        <v>233</v>
      </c>
    </row>
    <row r="725" customFormat="false" ht="23.85" hidden="false" customHeight="false" outlineLevel="0" collapsed="false">
      <c r="A725" s="11" t="s">
        <v>112</v>
      </c>
      <c r="B725" s="11" t="s">
        <v>138</v>
      </c>
      <c r="C725" s="11" t="s">
        <v>80</v>
      </c>
      <c r="D725" s="11" t="s">
        <v>81</v>
      </c>
      <c r="E725" s="11" t="s">
        <v>82</v>
      </c>
      <c r="F725" s="12" t="n">
        <f aca="false">SUMIFS(СПРОС_ДЕНЬ_ЧАС_МЕНЮ!$I$11:$I$3265,СПРОС_ДЕНЬ_ЧАС_МЕНЮ!$A$11:$A$3265,A725,СПРОС_ДЕНЬ_ЧАС_МЕНЮ!$B$11:$B$3265,B725,СПРОС_ДЕНЬ_ЧАС_МЕНЮ!$F$11:$F$3265,C725)</f>
        <v>6.9025</v>
      </c>
      <c r="G725" s="12" t="n">
        <f aca="false">ПАРАМЕТРЫ!D22</f>
        <v>16</v>
      </c>
      <c r="H725" s="12" t="n">
        <f aca="false">SUMIFS(ШТАТ_ПО_ЧАСАМ!$C$11:$C$115,ШТАТ_ПО_ЧАСАМ!$A$11:$A$115,A725,ШТАТ_ПО_ЧАСАМ!$B$11:$B$115,B725)</f>
        <v>2</v>
      </c>
      <c r="I725" s="12" t="n">
        <f aca="false">MIN(H725,1)*ПАРАМЕТРЫ!E22</f>
        <v>16</v>
      </c>
      <c r="J725" s="12" t="n">
        <f aca="false">MIN(G725,I725)</f>
        <v>16</v>
      </c>
      <c r="K725" s="12" t="n">
        <f aca="false">MAX(F725-J725,0)</f>
        <v>0</v>
      </c>
      <c r="L725" s="12" t="n">
        <f aca="false">IF(J725=0,0,F725/J725)</f>
        <v>0.43140625</v>
      </c>
      <c r="M725" s="11" t="str">
        <f aca="false">IF(K725&gt;0,"BLOCKED","PASS")</f>
        <v>PASS</v>
      </c>
      <c r="N725" s="11" t="s">
        <v>233</v>
      </c>
    </row>
    <row r="726" customFormat="false" ht="23.85" hidden="false" customHeight="false" outlineLevel="0" collapsed="false">
      <c r="A726" s="11" t="s">
        <v>112</v>
      </c>
      <c r="B726" s="11" t="s">
        <v>138</v>
      </c>
      <c r="C726" s="11" t="s">
        <v>83</v>
      </c>
      <c r="D726" s="11" t="s">
        <v>84</v>
      </c>
      <c r="E726" s="11" t="s">
        <v>83</v>
      </c>
      <c r="F726" s="12" t="n">
        <f aca="false">SUMIFS(СПРОС_ДЕНЬ_ЧАС_МЕНЮ!$I$11:$I$3265,СПРОС_ДЕНЬ_ЧАС_МЕНЮ!$A$11:$A$3265,A726,СПРОС_ДЕНЬ_ЧАС_МЕНЮ!$B$11:$B$3265,B726,СПРОС_ДЕНЬ_ЧАС_МЕНЮ!$F$11:$F$3265,C726)</f>
        <v>11.5775</v>
      </c>
      <c r="G726" s="12" t="n">
        <f aca="false">ПАРАМЕТРЫ!D23</f>
        <v>21</v>
      </c>
      <c r="H726" s="12" t="n">
        <f aca="false">SUMIFS(ШТАТ_ПО_ЧАСАМ!$C$11:$C$115,ШТАТ_ПО_ЧАСАМ!$A$11:$A$115,A726,ШТАТ_ПО_ЧАСАМ!$B$11:$B$115,B726)</f>
        <v>2</v>
      </c>
      <c r="I726" s="12" t="n">
        <f aca="false">MIN(H726,1)*ПАРАМЕТРЫ!E23</f>
        <v>21</v>
      </c>
      <c r="J726" s="12" t="n">
        <f aca="false">MIN(G726,I726)</f>
        <v>21</v>
      </c>
      <c r="K726" s="12" t="n">
        <f aca="false">MAX(F726-J726,0)</f>
        <v>0</v>
      </c>
      <c r="L726" s="12" t="n">
        <f aca="false">IF(J726=0,0,F726/J726)</f>
        <v>0.551309523809524</v>
      </c>
      <c r="M726" s="11" t="str">
        <f aca="false">IF(K726&gt;0,"BLOCKED","PASS")</f>
        <v>PASS</v>
      </c>
      <c r="N726" s="11" t="s">
        <v>233</v>
      </c>
    </row>
    <row r="727" customFormat="false" ht="23.85" hidden="false" customHeight="false" outlineLevel="0" collapsed="false">
      <c r="A727" s="11" t="s">
        <v>112</v>
      </c>
      <c r="B727" s="11" t="s">
        <v>138</v>
      </c>
      <c r="C727" s="11" t="s">
        <v>85</v>
      </c>
      <c r="D727" s="11" t="s">
        <v>86</v>
      </c>
      <c r="E727" s="11" t="s">
        <v>87</v>
      </c>
      <c r="F727" s="12" t="n">
        <f aca="false">SUMIFS(СПРОС_ДЕНЬ_ЧАС_МЕНЮ!$I$11:$I$3265,СПРОС_ДЕНЬ_ЧАС_МЕНЮ!$A$11:$A$3265,A727,СПРОС_ДЕНЬ_ЧАС_МЕНЮ!$B$11:$B$3265,B727,СПРОС_ДЕНЬ_ЧАС_МЕНЮ!$F$11:$F$3265,C727)</f>
        <v>5.2355875</v>
      </c>
      <c r="G727" s="12" t="n">
        <f aca="false">ПАРАМЕТРЫ!D24</f>
        <v>12</v>
      </c>
      <c r="H727" s="12" t="n">
        <f aca="false">SUMIFS(ШТАТ_ПО_ЧАСАМ!$C$11:$C$115,ШТАТ_ПО_ЧАСАМ!$A$11:$A$115,A727,ШТАТ_ПО_ЧАСАМ!$B$11:$B$115,B727)</f>
        <v>2</v>
      </c>
      <c r="I727" s="12" t="n">
        <f aca="false">MIN(H727,1)*ПАРАМЕТРЫ!E24</f>
        <v>12</v>
      </c>
      <c r="J727" s="12" t="n">
        <f aca="false">MIN(G727,I727)</f>
        <v>12</v>
      </c>
      <c r="K727" s="12" t="n">
        <f aca="false">MAX(F727-J727,0)</f>
        <v>0</v>
      </c>
      <c r="L727" s="12" t="n">
        <f aca="false">IF(J727=0,0,F727/J727)</f>
        <v>0.436298958333333</v>
      </c>
      <c r="M727" s="11" t="str">
        <f aca="false">IF(K727&gt;0,"BLOCKED","PASS")</f>
        <v>PASS</v>
      </c>
      <c r="N727" s="11" t="s">
        <v>233</v>
      </c>
    </row>
    <row r="728" customFormat="false" ht="23.85" hidden="false" customHeight="false" outlineLevel="0" collapsed="false">
      <c r="A728" s="11" t="s">
        <v>112</v>
      </c>
      <c r="B728" s="11" t="s">
        <v>138</v>
      </c>
      <c r="C728" s="11" t="s">
        <v>88</v>
      </c>
      <c r="D728" s="11" t="s">
        <v>89</v>
      </c>
      <c r="E728" s="11" t="s">
        <v>90</v>
      </c>
      <c r="F728" s="12" t="n">
        <f aca="false">SUMIFS(СПРОС_ДЕНЬ_ЧАС_МЕНЮ!$I$11:$I$3265,СПРОС_ДЕНЬ_ЧАС_МЕНЮ!$A$11:$A$3265,A728,СПРОС_ДЕНЬ_ЧАС_МЕНЮ!$B$11:$B$3265,B728,СПРОС_ДЕНЬ_ЧАС_МЕНЮ!$F$11:$F$3265,C728)</f>
        <v>0</v>
      </c>
      <c r="G728" s="12" t="n">
        <f aca="false">ПАРАМЕТРЫ!D25</f>
        <v>15</v>
      </c>
      <c r="H728" s="12" t="n">
        <f aca="false">SUMIFS(ШТАТ_ПО_ЧАСАМ!$C$11:$C$115,ШТАТ_ПО_ЧАСАМ!$A$11:$A$115,A728,ШТАТ_ПО_ЧАСАМ!$B$11:$B$115,B728)</f>
        <v>2</v>
      </c>
      <c r="I728" s="12" t="n">
        <f aca="false">MIN(H728,1)*ПАРАМЕТРЫ!E25</f>
        <v>10</v>
      </c>
      <c r="J728" s="12" t="n">
        <f aca="false">MIN(G728,I728)</f>
        <v>10</v>
      </c>
      <c r="K728" s="12" t="n">
        <f aca="false">MAX(F728-J728,0)</f>
        <v>0</v>
      </c>
      <c r="L728" s="12" t="n">
        <f aca="false">IF(J728=0,0,F728/J728)</f>
        <v>0</v>
      </c>
      <c r="M728" s="11" t="str">
        <f aca="false">IF(K728&gt;0,"BLOCKED","PASS")</f>
        <v>PASS</v>
      </c>
      <c r="N728" s="11" t="s">
        <v>233</v>
      </c>
    </row>
    <row r="729" customFormat="false" ht="23.85" hidden="false" customHeight="false" outlineLevel="0" collapsed="false">
      <c r="A729" s="11" t="s">
        <v>112</v>
      </c>
      <c r="B729" s="11" t="s">
        <v>138</v>
      </c>
      <c r="C729" s="11" t="s">
        <v>91</v>
      </c>
      <c r="D729" s="11" t="s">
        <v>92</v>
      </c>
      <c r="E729" s="11" t="s">
        <v>79</v>
      </c>
      <c r="F729" s="12" t="n">
        <f aca="false">SUMIFS(СПРОС_ДЕНЬ_ЧАС_МЕНЮ!$I$11:$I$3265,СПРОС_ДЕНЬ_ЧАС_МЕНЮ!$A$11:$A$3265,A729,СПРОС_ДЕНЬ_ЧАС_МЕНЮ!$B$11:$B$3265,B729,СПРОС_ДЕНЬ_ЧАС_МЕНЮ!$F$11:$F$3265,C729)</f>
        <v>1.727</v>
      </c>
      <c r="G729" s="12" t="n">
        <f aca="false">ПАРАМЕТРЫ!D26</f>
        <v>20</v>
      </c>
      <c r="H729" s="12" t="n">
        <f aca="false">SUMIFS(ШТАТ_ПО_ЧАСАМ!$C$11:$C$115,ШТАТ_ПО_ЧАСАМ!$A$11:$A$115,A729,ШТАТ_ПО_ЧАСАМ!$B$11:$B$115,B729)</f>
        <v>2</v>
      </c>
      <c r="I729" s="12" t="n">
        <f aca="false">MIN(H729,1)*ПАРАМЕТРЫ!E26</f>
        <v>10</v>
      </c>
      <c r="J729" s="12" t="n">
        <f aca="false">MIN(G729,I729)</f>
        <v>10</v>
      </c>
      <c r="K729" s="12" t="n">
        <f aca="false">MAX(F729-J729,0)</f>
        <v>0</v>
      </c>
      <c r="L729" s="12" t="n">
        <f aca="false">IF(J729=0,0,F729/J729)</f>
        <v>0.1727</v>
      </c>
      <c r="M729" s="11" t="str">
        <f aca="false">IF(K729&gt;0,"BLOCKED","PASS")</f>
        <v>PASS</v>
      </c>
      <c r="N729" s="11" t="s">
        <v>233</v>
      </c>
    </row>
    <row r="730" customFormat="false" ht="15" hidden="false" customHeight="false" outlineLevel="0" collapsed="false">
      <c r="A730" s="11" t="s">
        <v>112</v>
      </c>
      <c r="B730" s="11" t="s">
        <v>138</v>
      </c>
      <c r="C730" s="11" t="s">
        <v>93</v>
      </c>
      <c r="D730" s="11" t="s">
        <v>234</v>
      </c>
      <c r="E730" s="11" t="s">
        <v>95</v>
      </c>
      <c r="F730" s="12" t="n">
        <f aca="false">SUMIFS(СПРОС_ДЕНЬ_ЧАС_МЕНЮ!$I$11:$I$3265,СПРОС_ДЕНЬ_ЧАС_МЕНЮ!$A$11:$A$3265,A730,СПРОС_ДЕНЬ_ЧАС_МЕНЮ!$B$11:$B$3265,B730)</f>
        <v>32.3725875</v>
      </c>
      <c r="G730" s="12" t="n">
        <f aca="false">ПАРАМЕТРЫ!D27</f>
        <v>60</v>
      </c>
      <c r="H730" s="12" t="n">
        <f aca="false">SUMIFS(ШТАТ_ПО_ЧАСАМ!$C$11:$C$115,ШТАТ_ПО_ЧАСАМ!$A$11:$A$115,A730,ШТАТ_ПО_ЧАСАМ!$B$11:$B$115,B730)</f>
        <v>2</v>
      </c>
      <c r="I730" s="12" t="n">
        <f aca="false">H730*ПАРАМЕТРЫ!E27</f>
        <v>33.3333333333333</v>
      </c>
      <c r="J730" s="12" t="n">
        <f aca="false">MIN(G730,I730)</f>
        <v>33.3333333333333</v>
      </c>
      <c r="K730" s="12" t="n">
        <f aca="false">MAX(F730-J730,0)</f>
        <v>0</v>
      </c>
      <c r="L730" s="12" t="n">
        <f aca="false">IF(J730=0,0,F730/J730)</f>
        <v>0.971177625</v>
      </c>
      <c r="M730" s="11" t="str">
        <f aca="false">IF(K730&gt;0,"BLOCKED","PASS")</f>
        <v>PASS</v>
      </c>
      <c r="N730" s="11" t="s">
        <v>235</v>
      </c>
    </row>
    <row r="731" customFormat="false" ht="23.85" hidden="false" customHeight="false" outlineLevel="0" collapsed="false">
      <c r="A731" s="11" t="s">
        <v>113</v>
      </c>
      <c r="B731" s="11" t="s">
        <v>124</v>
      </c>
      <c r="C731" s="11" t="s">
        <v>73</v>
      </c>
      <c r="D731" s="11" t="s">
        <v>74</v>
      </c>
      <c r="E731" s="11" t="s">
        <v>75</v>
      </c>
      <c r="F731" s="12" t="n">
        <f aca="false">SUMIFS(СПРОС_ДЕНЬ_ЧАС_МЕНЮ!$I$11:$I$3265,СПРОС_ДЕНЬ_ЧАС_МЕНЮ!$A$11:$A$3265,A731,СПРОС_ДЕНЬ_ЧАС_МЕНЮ!$B$11:$B$3265,B731,СПРОС_ДЕНЬ_ЧАС_МЕНЮ!$F$11:$F$3265,C731)</f>
        <v>0</v>
      </c>
      <c r="G731" s="12" t="n">
        <f aca="false">ПАРАМЕТРЫ!D20</f>
        <v>25</v>
      </c>
      <c r="H731" s="12" t="n">
        <f aca="false">SUMIFS(ШТАТ_ПО_ЧАСАМ!$C$11:$C$115,ШТАТ_ПО_ЧАСАМ!$A$11:$A$115,A731,ШТАТ_ПО_ЧАСАМ!$B$11:$B$115,B731)</f>
        <v>1</v>
      </c>
      <c r="I731" s="12" t="n">
        <f aca="false">MIN(H731,1)*ПАРАМЕТРЫ!E20</f>
        <v>10</v>
      </c>
      <c r="J731" s="12" t="n">
        <f aca="false">MIN(G731,I731)</f>
        <v>10</v>
      </c>
      <c r="K731" s="12" t="n">
        <f aca="false">MAX(F731-J731,0)</f>
        <v>0</v>
      </c>
      <c r="L731" s="12" t="n">
        <f aca="false">IF(J731=0,0,F731/J731)</f>
        <v>0</v>
      </c>
      <c r="M731" s="11" t="str">
        <f aca="false">IF(K731&gt;0,"BLOCKED","PASS")</f>
        <v>PASS</v>
      </c>
      <c r="N731" s="11" t="s">
        <v>233</v>
      </c>
    </row>
    <row r="732" customFormat="false" ht="23.85" hidden="false" customHeight="false" outlineLevel="0" collapsed="false">
      <c r="A732" s="11" t="s">
        <v>113</v>
      </c>
      <c r="B732" s="11" t="s">
        <v>124</v>
      </c>
      <c r="C732" s="11" t="s">
        <v>77</v>
      </c>
      <c r="D732" s="11" t="s">
        <v>78</v>
      </c>
      <c r="E732" s="11" t="s">
        <v>79</v>
      </c>
      <c r="F732" s="12" t="n">
        <f aca="false">SUMIFS(СПРОС_ДЕНЬ_ЧАС_МЕНЮ!$I$11:$I$3265,СПРОС_ДЕНЬ_ЧАС_МЕНЮ!$A$11:$A$3265,A732,СПРОС_ДЕНЬ_ЧАС_МЕНЮ!$B$11:$B$3265,B732,СПРОС_ДЕНЬ_ЧАС_МЕНЮ!$F$11:$F$3265,C732)</f>
        <v>0.396</v>
      </c>
      <c r="G732" s="12" t="n">
        <f aca="false">ПАРАМЕТРЫ!D21</f>
        <v>20</v>
      </c>
      <c r="H732" s="12" t="n">
        <f aca="false">SUMIFS(ШТАТ_ПО_ЧАСАМ!$C$11:$C$115,ШТАТ_ПО_ЧАСАМ!$A$11:$A$115,A732,ШТАТ_ПО_ЧАСАМ!$B$11:$B$115,B732)</f>
        <v>1</v>
      </c>
      <c r="I732" s="12" t="n">
        <f aca="false">MIN(H732,1)*ПАРАМЕТРЫ!E21</f>
        <v>10</v>
      </c>
      <c r="J732" s="12" t="n">
        <f aca="false">MIN(G732,I732)</f>
        <v>10</v>
      </c>
      <c r="K732" s="12" t="n">
        <f aca="false">MAX(F732-J732,0)</f>
        <v>0</v>
      </c>
      <c r="L732" s="12" t="n">
        <f aca="false">IF(J732=0,0,F732/J732)</f>
        <v>0.0396</v>
      </c>
      <c r="M732" s="11" t="str">
        <f aca="false">IF(K732&gt;0,"BLOCKED","PASS")</f>
        <v>PASS</v>
      </c>
      <c r="N732" s="11" t="s">
        <v>233</v>
      </c>
    </row>
    <row r="733" customFormat="false" ht="23.85" hidden="false" customHeight="false" outlineLevel="0" collapsed="false">
      <c r="A733" s="11" t="s">
        <v>113</v>
      </c>
      <c r="B733" s="11" t="s">
        <v>124</v>
      </c>
      <c r="C733" s="11" t="s">
        <v>80</v>
      </c>
      <c r="D733" s="11" t="s">
        <v>81</v>
      </c>
      <c r="E733" s="11" t="s">
        <v>82</v>
      </c>
      <c r="F733" s="12" t="n">
        <f aca="false">SUMIFS(СПРОС_ДЕНЬ_ЧАС_МЕНЮ!$I$11:$I$3265,СПРОС_ДЕНЬ_ЧАС_МЕНЮ!$A$11:$A$3265,A733,СПРОС_ДЕНЬ_ЧАС_МЕНЮ!$B$11:$B$3265,B733,СПРОС_ДЕНЬ_ЧАС_МЕНЮ!$F$11:$F$3265,C733)</f>
        <v>0</v>
      </c>
      <c r="G733" s="12" t="n">
        <f aca="false">ПАРАМЕТРЫ!D22</f>
        <v>16</v>
      </c>
      <c r="H733" s="12" t="n">
        <f aca="false">SUMIFS(ШТАТ_ПО_ЧАСАМ!$C$11:$C$115,ШТАТ_ПО_ЧАСАМ!$A$11:$A$115,A733,ШТАТ_ПО_ЧАСАМ!$B$11:$B$115,B733)</f>
        <v>1</v>
      </c>
      <c r="I733" s="12" t="n">
        <f aca="false">MIN(H733,1)*ПАРАМЕТРЫ!E22</f>
        <v>16</v>
      </c>
      <c r="J733" s="12" t="n">
        <f aca="false">MIN(G733,I733)</f>
        <v>16</v>
      </c>
      <c r="K733" s="12" t="n">
        <f aca="false">MAX(F733-J733,0)</f>
        <v>0</v>
      </c>
      <c r="L733" s="12" t="n">
        <f aca="false">IF(J733=0,0,F733/J733)</f>
        <v>0</v>
      </c>
      <c r="M733" s="11" t="str">
        <f aca="false">IF(K733&gt;0,"BLOCKED","PASS")</f>
        <v>PASS</v>
      </c>
      <c r="N733" s="11" t="s">
        <v>233</v>
      </c>
    </row>
    <row r="734" customFormat="false" ht="23.85" hidden="false" customHeight="false" outlineLevel="0" collapsed="false">
      <c r="A734" s="11" t="s">
        <v>113</v>
      </c>
      <c r="B734" s="11" t="s">
        <v>124</v>
      </c>
      <c r="C734" s="11" t="s">
        <v>83</v>
      </c>
      <c r="D734" s="11" t="s">
        <v>84</v>
      </c>
      <c r="E734" s="11" t="s">
        <v>83</v>
      </c>
      <c r="F734" s="12" t="n">
        <f aca="false">SUMIFS(СПРОС_ДЕНЬ_ЧАС_МЕНЮ!$I$11:$I$3265,СПРОС_ДЕНЬ_ЧАС_МЕНЮ!$A$11:$A$3265,A734,СПРОС_ДЕНЬ_ЧАС_МЕНЮ!$B$11:$B$3265,B734,СПРОС_ДЕНЬ_ЧАС_МЕНЮ!$F$11:$F$3265,C734)</f>
        <v>0</v>
      </c>
      <c r="G734" s="12" t="n">
        <f aca="false">ПАРАМЕТРЫ!D23</f>
        <v>21</v>
      </c>
      <c r="H734" s="12" t="n">
        <f aca="false">SUMIFS(ШТАТ_ПО_ЧАСАМ!$C$11:$C$115,ШТАТ_ПО_ЧАСАМ!$A$11:$A$115,A734,ШТАТ_ПО_ЧАСАМ!$B$11:$B$115,B734)</f>
        <v>1</v>
      </c>
      <c r="I734" s="12" t="n">
        <f aca="false">MIN(H734,1)*ПАРАМЕТРЫ!E23</f>
        <v>21</v>
      </c>
      <c r="J734" s="12" t="n">
        <f aca="false">MIN(G734,I734)</f>
        <v>21</v>
      </c>
      <c r="K734" s="12" t="n">
        <f aca="false">MAX(F734-J734,0)</f>
        <v>0</v>
      </c>
      <c r="L734" s="12" t="n">
        <f aca="false">IF(J734=0,0,F734/J734)</f>
        <v>0</v>
      </c>
      <c r="M734" s="11" t="str">
        <f aca="false">IF(K734&gt;0,"BLOCKED","PASS")</f>
        <v>PASS</v>
      </c>
      <c r="N734" s="11" t="s">
        <v>233</v>
      </c>
    </row>
    <row r="735" customFormat="false" ht="23.85" hidden="false" customHeight="false" outlineLevel="0" collapsed="false">
      <c r="A735" s="11" t="s">
        <v>113</v>
      </c>
      <c r="B735" s="11" t="s">
        <v>124</v>
      </c>
      <c r="C735" s="11" t="s">
        <v>85</v>
      </c>
      <c r="D735" s="11" t="s">
        <v>86</v>
      </c>
      <c r="E735" s="11" t="s">
        <v>87</v>
      </c>
      <c r="F735" s="12" t="n">
        <f aca="false">SUMIFS(СПРОС_ДЕНЬ_ЧАС_МЕНЮ!$I$11:$I$3265,СПРОС_ДЕНЬ_ЧАС_МЕНЮ!$A$11:$A$3265,A735,СПРОС_ДЕНЬ_ЧАС_МЕНЮ!$B$11:$B$3265,B735,СПРОС_ДЕНЬ_ЧАС_МЕНЮ!$F$11:$F$3265,C735)</f>
        <v>0</v>
      </c>
      <c r="G735" s="12" t="n">
        <f aca="false">ПАРАМЕТРЫ!D24</f>
        <v>12</v>
      </c>
      <c r="H735" s="12" t="n">
        <f aca="false">SUMIFS(ШТАТ_ПО_ЧАСАМ!$C$11:$C$115,ШТАТ_ПО_ЧАСАМ!$A$11:$A$115,A735,ШТАТ_ПО_ЧАСАМ!$B$11:$B$115,B735)</f>
        <v>1</v>
      </c>
      <c r="I735" s="12" t="n">
        <f aca="false">MIN(H735,1)*ПАРАМЕТРЫ!E24</f>
        <v>12</v>
      </c>
      <c r="J735" s="12" t="n">
        <f aca="false">MIN(G735,I735)</f>
        <v>12</v>
      </c>
      <c r="K735" s="12" t="n">
        <f aca="false">MAX(F735-J735,0)</f>
        <v>0</v>
      </c>
      <c r="L735" s="12" t="n">
        <f aca="false">IF(J735=0,0,F735/J735)</f>
        <v>0</v>
      </c>
      <c r="M735" s="11" t="str">
        <f aca="false">IF(K735&gt;0,"BLOCKED","PASS")</f>
        <v>PASS</v>
      </c>
      <c r="N735" s="11" t="s">
        <v>233</v>
      </c>
    </row>
    <row r="736" customFormat="false" ht="23.85" hidden="false" customHeight="false" outlineLevel="0" collapsed="false">
      <c r="A736" s="11" t="s">
        <v>113</v>
      </c>
      <c r="B736" s="11" t="s">
        <v>124</v>
      </c>
      <c r="C736" s="11" t="s">
        <v>88</v>
      </c>
      <c r="D736" s="11" t="s">
        <v>89</v>
      </c>
      <c r="E736" s="11" t="s">
        <v>90</v>
      </c>
      <c r="F736" s="12" t="n">
        <f aca="false">SUMIFS(СПРОС_ДЕНЬ_ЧАС_МЕНЮ!$I$11:$I$3265,СПРОС_ДЕНЬ_ЧАС_МЕНЮ!$A$11:$A$3265,A736,СПРОС_ДЕНЬ_ЧАС_МЕНЮ!$B$11:$B$3265,B736,СПРОС_ДЕНЬ_ЧАС_МЕНЮ!$F$11:$F$3265,C736)</f>
        <v>3.3</v>
      </c>
      <c r="G736" s="12" t="n">
        <f aca="false">ПАРАМЕТРЫ!D25</f>
        <v>15</v>
      </c>
      <c r="H736" s="12" t="n">
        <f aca="false">SUMIFS(ШТАТ_ПО_ЧАСАМ!$C$11:$C$115,ШТАТ_ПО_ЧАСАМ!$A$11:$A$115,A736,ШТАТ_ПО_ЧАСАМ!$B$11:$B$115,B736)</f>
        <v>1</v>
      </c>
      <c r="I736" s="12" t="n">
        <f aca="false">MIN(H736,1)*ПАРАМЕТРЫ!E25</f>
        <v>10</v>
      </c>
      <c r="J736" s="12" t="n">
        <f aca="false">MIN(G736,I736)</f>
        <v>10</v>
      </c>
      <c r="K736" s="12" t="n">
        <f aca="false">MAX(F736-J736,0)</f>
        <v>0</v>
      </c>
      <c r="L736" s="12" t="n">
        <f aca="false">IF(J736=0,0,F736/J736)</f>
        <v>0.33</v>
      </c>
      <c r="M736" s="11" t="str">
        <f aca="false">IF(K736&gt;0,"BLOCKED","PASS")</f>
        <v>PASS</v>
      </c>
      <c r="N736" s="11" t="s">
        <v>233</v>
      </c>
    </row>
    <row r="737" customFormat="false" ht="23.85" hidden="false" customHeight="false" outlineLevel="0" collapsed="false">
      <c r="A737" s="11" t="s">
        <v>113</v>
      </c>
      <c r="B737" s="11" t="s">
        <v>124</v>
      </c>
      <c r="C737" s="11" t="s">
        <v>91</v>
      </c>
      <c r="D737" s="11" t="s">
        <v>92</v>
      </c>
      <c r="E737" s="11" t="s">
        <v>79</v>
      </c>
      <c r="F737" s="12" t="n">
        <f aca="false">SUMIFS(СПРОС_ДЕНЬ_ЧАС_МЕНЮ!$I$11:$I$3265,СПРОС_ДЕНЬ_ЧАС_МЕНЮ!$A$11:$A$3265,A737,СПРОС_ДЕНЬ_ЧАС_МЕНЮ!$B$11:$B$3265,B737,СПРОС_ДЕНЬ_ЧАС_МЕНЮ!$F$11:$F$3265,C737)</f>
        <v>0.198</v>
      </c>
      <c r="G737" s="12" t="n">
        <f aca="false">ПАРАМЕТРЫ!D26</f>
        <v>20</v>
      </c>
      <c r="H737" s="12" t="n">
        <f aca="false">SUMIFS(ШТАТ_ПО_ЧАСАМ!$C$11:$C$115,ШТАТ_ПО_ЧАСАМ!$A$11:$A$115,A737,ШТАТ_ПО_ЧАСАМ!$B$11:$B$115,B737)</f>
        <v>1</v>
      </c>
      <c r="I737" s="12" t="n">
        <f aca="false">MIN(H737,1)*ПАРАМЕТРЫ!E26</f>
        <v>10</v>
      </c>
      <c r="J737" s="12" t="n">
        <f aca="false">MIN(G737,I737)</f>
        <v>10</v>
      </c>
      <c r="K737" s="12" t="n">
        <f aca="false">MAX(F737-J737,0)</f>
        <v>0</v>
      </c>
      <c r="L737" s="12" t="n">
        <f aca="false">IF(J737=0,0,F737/J737)</f>
        <v>0.0198</v>
      </c>
      <c r="M737" s="11" t="str">
        <f aca="false">IF(K737&gt;0,"BLOCKED","PASS")</f>
        <v>PASS</v>
      </c>
      <c r="N737" s="11" t="s">
        <v>233</v>
      </c>
    </row>
    <row r="738" customFormat="false" ht="15" hidden="false" customHeight="false" outlineLevel="0" collapsed="false">
      <c r="A738" s="11" t="s">
        <v>113</v>
      </c>
      <c r="B738" s="11" t="s">
        <v>124</v>
      </c>
      <c r="C738" s="11" t="s">
        <v>93</v>
      </c>
      <c r="D738" s="11" t="s">
        <v>234</v>
      </c>
      <c r="E738" s="11" t="s">
        <v>95</v>
      </c>
      <c r="F738" s="12" t="n">
        <f aca="false">SUMIFS(СПРОС_ДЕНЬ_ЧАС_МЕНЮ!$I$11:$I$3265,СПРОС_ДЕНЬ_ЧАС_МЕНЮ!$A$11:$A$3265,A738,СПРОС_ДЕНЬ_ЧАС_МЕНЮ!$B$11:$B$3265,B738)</f>
        <v>3.894</v>
      </c>
      <c r="G738" s="12" t="n">
        <f aca="false">ПАРАМЕТРЫ!D27</f>
        <v>60</v>
      </c>
      <c r="H738" s="12" t="n">
        <f aca="false">SUMIFS(ШТАТ_ПО_ЧАСАМ!$C$11:$C$115,ШТАТ_ПО_ЧАСАМ!$A$11:$A$115,A738,ШТАТ_ПО_ЧАСАМ!$B$11:$B$115,B738)</f>
        <v>1</v>
      </c>
      <c r="I738" s="12" t="n">
        <f aca="false">H738*ПАРАМЕТРЫ!E27</f>
        <v>16.6666666666667</v>
      </c>
      <c r="J738" s="12" t="n">
        <f aca="false">MIN(G738,I738)</f>
        <v>16.6666666666667</v>
      </c>
      <c r="K738" s="12" t="n">
        <f aca="false">MAX(F738-J738,0)</f>
        <v>0</v>
      </c>
      <c r="L738" s="12" t="n">
        <f aca="false">IF(J738=0,0,F738/J738)</f>
        <v>0.23364</v>
      </c>
      <c r="M738" s="11" t="str">
        <f aca="false">IF(K738&gt;0,"BLOCKED","PASS")</f>
        <v>PASS</v>
      </c>
      <c r="N738" s="11" t="s">
        <v>235</v>
      </c>
    </row>
    <row r="739" customFormat="false" ht="23.85" hidden="false" customHeight="false" outlineLevel="0" collapsed="false">
      <c r="A739" s="11" t="s">
        <v>113</v>
      </c>
      <c r="B739" s="11" t="s">
        <v>125</v>
      </c>
      <c r="C739" s="11" t="s">
        <v>73</v>
      </c>
      <c r="D739" s="11" t="s">
        <v>74</v>
      </c>
      <c r="E739" s="11" t="s">
        <v>75</v>
      </c>
      <c r="F739" s="12" t="n">
        <f aca="false">SUMIFS(СПРОС_ДЕНЬ_ЧАС_МЕНЮ!$I$11:$I$3265,СПРОС_ДЕНЬ_ЧАС_МЕНЮ!$A$11:$A$3265,A739,СПРОС_ДЕНЬ_ЧАС_МЕНЮ!$B$11:$B$3265,B739,СПРОС_ДЕНЬ_ЧАС_МЕНЮ!$F$11:$F$3265,C739)</f>
        <v>0</v>
      </c>
      <c r="G739" s="12" t="n">
        <f aca="false">ПАРАМЕТРЫ!D20</f>
        <v>25</v>
      </c>
      <c r="H739" s="12" t="n">
        <f aca="false">SUMIFS(ШТАТ_ПО_ЧАСАМ!$C$11:$C$115,ШТАТ_ПО_ЧАСАМ!$A$11:$A$115,A739,ШТАТ_ПО_ЧАСАМ!$B$11:$B$115,B739)</f>
        <v>1</v>
      </c>
      <c r="I739" s="12" t="n">
        <f aca="false">MIN(H739,1)*ПАРАМЕТРЫ!E20</f>
        <v>10</v>
      </c>
      <c r="J739" s="12" t="n">
        <f aca="false">MIN(G739,I739)</f>
        <v>10</v>
      </c>
      <c r="K739" s="12" t="n">
        <f aca="false">MAX(F739-J739,0)</f>
        <v>0</v>
      </c>
      <c r="L739" s="12" t="n">
        <f aca="false">IF(J739=0,0,F739/J739)</f>
        <v>0</v>
      </c>
      <c r="M739" s="11" t="str">
        <f aca="false">IF(K739&gt;0,"BLOCKED","PASS")</f>
        <v>PASS</v>
      </c>
      <c r="N739" s="11" t="s">
        <v>233</v>
      </c>
    </row>
    <row r="740" customFormat="false" ht="23.85" hidden="false" customHeight="false" outlineLevel="0" collapsed="false">
      <c r="A740" s="11" t="s">
        <v>113</v>
      </c>
      <c r="B740" s="11" t="s">
        <v>125</v>
      </c>
      <c r="C740" s="11" t="s">
        <v>77</v>
      </c>
      <c r="D740" s="11" t="s">
        <v>78</v>
      </c>
      <c r="E740" s="11" t="s">
        <v>79</v>
      </c>
      <c r="F740" s="12" t="n">
        <f aca="false">SUMIFS(СПРОС_ДЕНЬ_ЧАС_МЕНЮ!$I$11:$I$3265,СПРОС_ДЕНЬ_ЧАС_МЕНЮ!$A$11:$A$3265,A740,СПРОС_ДЕНЬ_ЧАС_МЕНЮ!$B$11:$B$3265,B740,СПРОС_ДЕНЬ_ЧАС_МЕНЮ!$F$11:$F$3265,C740)</f>
        <v>0.66</v>
      </c>
      <c r="G740" s="12" t="n">
        <f aca="false">ПАРАМЕТРЫ!D21</f>
        <v>20</v>
      </c>
      <c r="H740" s="12" t="n">
        <f aca="false">SUMIFS(ШТАТ_ПО_ЧАСАМ!$C$11:$C$115,ШТАТ_ПО_ЧАСАМ!$A$11:$A$115,A740,ШТАТ_ПО_ЧАСАМ!$B$11:$B$115,B740)</f>
        <v>1</v>
      </c>
      <c r="I740" s="12" t="n">
        <f aca="false">MIN(H740,1)*ПАРАМЕТРЫ!E21</f>
        <v>10</v>
      </c>
      <c r="J740" s="12" t="n">
        <f aca="false">MIN(G740,I740)</f>
        <v>10</v>
      </c>
      <c r="K740" s="12" t="n">
        <f aca="false">MAX(F740-J740,0)</f>
        <v>0</v>
      </c>
      <c r="L740" s="12" t="n">
        <f aca="false">IF(J740=0,0,F740/J740)</f>
        <v>0.066</v>
      </c>
      <c r="M740" s="11" t="str">
        <f aca="false">IF(K740&gt;0,"BLOCKED","PASS")</f>
        <v>PASS</v>
      </c>
      <c r="N740" s="11" t="s">
        <v>233</v>
      </c>
    </row>
    <row r="741" customFormat="false" ht="23.85" hidden="false" customHeight="false" outlineLevel="0" collapsed="false">
      <c r="A741" s="11" t="s">
        <v>113</v>
      </c>
      <c r="B741" s="11" t="s">
        <v>125</v>
      </c>
      <c r="C741" s="11" t="s">
        <v>80</v>
      </c>
      <c r="D741" s="11" t="s">
        <v>81</v>
      </c>
      <c r="E741" s="11" t="s">
        <v>82</v>
      </c>
      <c r="F741" s="12" t="n">
        <f aca="false">SUMIFS(СПРОС_ДЕНЬ_ЧАС_МЕНЮ!$I$11:$I$3265,СПРОС_ДЕНЬ_ЧАС_МЕНЮ!$A$11:$A$3265,A741,СПРОС_ДЕНЬ_ЧАС_МЕНЮ!$B$11:$B$3265,B741,СПРОС_ДЕНЬ_ЧАС_МЕНЮ!$F$11:$F$3265,C741)</f>
        <v>0</v>
      </c>
      <c r="G741" s="12" t="n">
        <f aca="false">ПАРАМЕТРЫ!D22</f>
        <v>16</v>
      </c>
      <c r="H741" s="12" t="n">
        <f aca="false">SUMIFS(ШТАТ_ПО_ЧАСАМ!$C$11:$C$115,ШТАТ_ПО_ЧАСАМ!$A$11:$A$115,A741,ШТАТ_ПО_ЧАСАМ!$B$11:$B$115,B741)</f>
        <v>1</v>
      </c>
      <c r="I741" s="12" t="n">
        <f aca="false">MIN(H741,1)*ПАРАМЕТРЫ!E22</f>
        <v>16</v>
      </c>
      <c r="J741" s="12" t="n">
        <f aca="false">MIN(G741,I741)</f>
        <v>16</v>
      </c>
      <c r="K741" s="12" t="n">
        <f aca="false">MAX(F741-J741,0)</f>
        <v>0</v>
      </c>
      <c r="L741" s="12" t="n">
        <f aca="false">IF(J741=0,0,F741/J741)</f>
        <v>0</v>
      </c>
      <c r="M741" s="11" t="str">
        <f aca="false">IF(K741&gt;0,"BLOCKED","PASS")</f>
        <v>PASS</v>
      </c>
      <c r="N741" s="11" t="s">
        <v>233</v>
      </c>
    </row>
    <row r="742" customFormat="false" ht="23.85" hidden="false" customHeight="false" outlineLevel="0" collapsed="false">
      <c r="A742" s="11" t="s">
        <v>113</v>
      </c>
      <c r="B742" s="11" t="s">
        <v>125</v>
      </c>
      <c r="C742" s="11" t="s">
        <v>83</v>
      </c>
      <c r="D742" s="11" t="s">
        <v>84</v>
      </c>
      <c r="E742" s="11" t="s">
        <v>83</v>
      </c>
      <c r="F742" s="12" t="n">
        <f aca="false">SUMIFS(СПРОС_ДЕНЬ_ЧАС_МЕНЮ!$I$11:$I$3265,СПРОС_ДЕНЬ_ЧАС_МЕНЮ!$A$11:$A$3265,A742,СПРОС_ДЕНЬ_ЧАС_МЕНЮ!$B$11:$B$3265,B742,СПРОС_ДЕНЬ_ЧАС_МЕНЮ!$F$11:$F$3265,C742)</f>
        <v>0</v>
      </c>
      <c r="G742" s="12" t="n">
        <f aca="false">ПАРАМЕТРЫ!D23</f>
        <v>21</v>
      </c>
      <c r="H742" s="12" t="n">
        <f aca="false">SUMIFS(ШТАТ_ПО_ЧАСАМ!$C$11:$C$115,ШТАТ_ПО_ЧАСАМ!$A$11:$A$115,A742,ШТАТ_ПО_ЧАСАМ!$B$11:$B$115,B742)</f>
        <v>1</v>
      </c>
      <c r="I742" s="12" t="n">
        <f aca="false">MIN(H742,1)*ПАРАМЕТРЫ!E23</f>
        <v>21</v>
      </c>
      <c r="J742" s="12" t="n">
        <f aca="false">MIN(G742,I742)</f>
        <v>21</v>
      </c>
      <c r="K742" s="12" t="n">
        <f aca="false">MAX(F742-J742,0)</f>
        <v>0</v>
      </c>
      <c r="L742" s="12" t="n">
        <f aca="false">IF(J742=0,0,F742/J742)</f>
        <v>0</v>
      </c>
      <c r="M742" s="11" t="str">
        <f aca="false">IF(K742&gt;0,"BLOCKED","PASS")</f>
        <v>PASS</v>
      </c>
      <c r="N742" s="11" t="s">
        <v>233</v>
      </c>
    </row>
    <row r="743" customFormat="false" ht="23.85" hidden="false" customHeight="false" outlineLevel="0" collapsed="false">
      <c r="A743" s="11" t="s">
        <v>113</v>
      </c>
      <c r="B743" s="11" t="s">
        <v>125</v>
      </c>
      <c r="C743" s="11" t="s">
        <v>85</v>
      </c>
      <c r="D743" s="11" t="s">
        <v>86</v>
      </c>
      <c r="E743" s="11" t="s">
        <v>87</v>
      </c>
      <c r="F743" s="12" t="n">
        <f aca="false">SUMIFS(СПРОС_ДЕНЬ_ЧАС_МЕНЮ!$I$11:$I$3265,СПРОС_ДЕНЬ_ЧАС_МЕНЮ!$A$11:$A$3265,A743,СПРОС_ДЕНЬ_ЧАС_МЕНЮ!$B$11:$B$3265,B743,СПРОС_ДЕНЬ_ЧАС_МЕНЮ!$F$11:$F$3265,C743)</f>
        <v>0</v>
      </c>
      <c r="G743" s="12" t="n">
        <f aca="false">ПАРАМЕТРЫ!D24</f>
        <v>12</v>
      </c>
      <c r="H743" s="12" t="n">
        <f aca="false">SUMIFS(ШТАТ_ПО_ЧАСАМ!$C$11:$C$115,ШТАТ_ПО_ЧАСАМ!$A$11:$A$115,A743,ШТАТ_ПО_ЧАСАМ!$B$11:$B$115,B743)</f>
        <v>1</v>
      </c>
      <c r="I743" s="12" t="n">
        <f aca="false">MIN(H743,1)*ПАРАМЕТРЫ!E24</f>
        <v>12</v>
      </c>
      <c r="J743" s="12" t="n">
        <f aca="false">MIN(G743,I743)</f>
        <v>12</v>
      </c>
      <c r="K743" s="12" t="n">
        <f aca="false">MAX(F743-J743,0)</f>
        <v>0</v>
      </c>
      <c r="L743" s="12" t="n">
        <f aca="false">IF(J743=0,0,F743/J743)</f>
        <v>0</v>
      </c>
      <c r="M743" s="11" t="str">
        <f aca="false">IF(K743&gt;0,"BLOCKED","PASS")</f>
        <v>PASS</v>
      </c>
      <c r="N743" s="11" t="s">
        <v>233</v>
      </c>
    </row>
    <row r="744" customFormat="false" ht="23.85" hidden="false" customHeight="false" outlineLevel="0" collapsed="false">
      <c r="A744" s="11" t="s">
        <v>113</v>
      </c>
      <c r="B744" s="11" t="s">
        <v>125</v>
      </c>
      <c r="C744" s="11" t="s">
        <v>88</v>
      </c>
      <c r="D744" s="11" t="s">
        <v>89</v>
      </c>
      <c r="E744" s="11" t="s">
        <v>90</v>
      </c>
      <c r="F744" s="12" t="n">
        <f aca="false">SUMIFS(СПРОС_ДЕНЬ_ЧАС_МЕНЮ!$I$11:$I$3265,СПРОС_ДЕНЬ_ЧАС_МЕНЮ!$A$11:$A$3265,A744,СПРОС_ДЕНЬ_ЧАС_МЕНЮ!$B$11:$B$3265,B744,СПРОС_ДЕНЬ_ЧАС_МЕНЮ!$F$11:$F$3265,C744)</f>
        <v>7.7</v>
      </c>
      <c r="G744" s="12" t="n">
        <f aca="false">ПАРАМЕТРЫ!D25</f>
        <v>15</v>
      </c>
      <c r="H744" s="12" t="n">
        <f aca="false">SUMIFS(ШТАТ_ПО_ЧАСАМ!$C$11:$C$115,ШТАТ_ПО_ЧАСАМ!$A$11:$A$115,A744,ШТАТ_ПО_ЧАСАМ!$B$11:$B$115,B744)</f>
        <v>1</v>
      </c>
      <c r="I744" s="12" t="n">
        <f aca="false">MIN(H744,1)*ПАРАМЕТРЫ!E25</f>
        <v>10</v>
      </c>
      <c r="J744" s="12" t="n">
        <f aca="false">MIN(G744,I744)</f>
        <v>10</v>
      </c>
      <c r="K744" s="12" t="n">
        <f aca="false">MAX(F744-J744,0)</f>
        <v>0</v>
      </c>
      <c r="L744" s="12" t="n">
        <f aca="false">IF(J744=0,0,F744/J744)</f>
        <v>0.77</v>
      </c>
      <c r="M744" s="11" t="str">
        <f aca="false">IF(K744&gt;0,"BLOCKED","PASS")</f>
        <v>PASS</v>
      </c>
      <c r="N744" s="11" t="s">
        <v>233</v>
      </c>
    </row>
    <row r="745" customFormat="false" ht="23.85" hidden="false" customHeight="false" outlineLevel="0" collapsed="false">
      <c r="A745" s="11" t="s">
        <v>113</v>
      </c>
      <c r="B745" s="11" t="s">
        <v>125</v>
      </c>
      <c r="C745" s="11" t="s">
        <v>91</v>
      </c>
      <c r="D745" s="11" t="s">
        <v>92</v>
      </c>
      <c r="E745" s="11" t="s">
        <v>79</v>
      </c>
      <c r="F745" s="12" t="n">
        <f aca="false">SUMIFS(СПРОС_ДЕНЬ_ЧАС_МЕНЮ!$I$11:$I$3265,СПРОС_ДЕНЬ_ЧАС_МЕНЮ!$A$11:$A$3265,A745,СПРОС_ДЕНЬ_ЧАС_МЕНЮ!$B$11:$B$3265,B745,СПРОС_ДЕНЬ_ЧАС_МЕНЮ!$F$11:$F$3265,C745)</f>
        <v>0.33</v>
      </c>
      <c r="G745" s="12" t="n">
        <f aca="false">ПАРАМЕТРЫ!D26</f>
        <v>20</v>
      </c>
      <c r="H745" s="12" t="n">
        <f aca="false">SUMIFS(ШТАТ_ПО_ЧАСАМ!$C$11:$C$115,ШТАТ_ПО_ЧАСАМ!$A$11:$A$115,A745,ШТАТ_ПО_ЧАСАМ!$B$11:$B$115,B745)</f>
        <v>1</v>
      </c>
      <c r="I745" s="12" t="n">
        <f aca="false">MIN(H745,1)*ПАРАМЕТРЫ!E26</f>
        <v>10</v>
      </c>
      <c r="J745" s="12" t="n">
        <f aca="false">MIN(G745,I745)</f>
        <v>10</v>
      </c>
      <c r="K745" s="12" t="n">
        <f aca="false">MAX(F745-J745,0)</f>
        <v>0</v>
      </c>
      <c r="L745" s="12" t="n">
        <f aca="false">IF(J745=0,0,F745/J745)</f>
        <v>0.033</v>
      </c>
      <c r="M745" s="11" t="str">
        <f aca="false">IF(K745&gt;0,"BLOCKED","PASS")</f>
        <v>PASS</v>
      </c>
      <c r="N745" s="11" t="s">
        <v>233</v>
      </c>
    </row>
    <row r="746" customFormat="false" ht="15" hidden="false" customHeight="false" outlineLevel="0" collapsed="false">
      <c r="A746" s="11" t="s">
        <v>113</v>
      </c>
      <c r="B746" s="11" t="s">
        <v>125</v>
      </c>
      <c r="C746" s="11" t="s">
        <v>93</v>
      </c>
      <c r="D746" s="11" t="s">
        <v>234</v>
      </c>
      <c r="E746" s="11" t="s">
        <v>95</v>
      </c>
      <c r="F746" s="12" t="n">
        <f aca="false">SUMIFS(СПРОС_ДЕНЬ_ЧАС_МЕНЮ!$I$11:$I$3265,СПРОС_ДЕНЬ_ЧАС_МЕНЮ!$A$11:$A$3265,A746,СПРОС_ДЕНЬ_ЧАС_МЕНЮ!$B$11:$B$3265,B746)</f>
        <v>8.69</v>
      </c>
      <c r="G746" s="12" t="n">
        <f aca="false">ПАРАМЕТРЫ!D27</f>
        <v>60</v>
      </c>
      <c r="H746" s="12" t="n">
        <f aca="false">SUMIFS(ШТАТ_ПО_ЧАСАМ!$C$11:$C$115,ШТАТ_ПО_ЧАСАМ!$A$11:$A$115,A746,ШТАТ_ПО_ЧАСАМ!$B$11:$B$115,B746)</f>
        <v>1</v>
      </c>
      <c r="I746" s="12" t="n">
        <f aca="false">H746*ПАРАМЕТРЫ!E27</f>
        <v>16.6666666666667</v>
      </c>
      <c r="J746" s="12" t="n">
        <f aca="false">MIN(G746,I746)</f>
        <v>16.6666666666667</v>
      </c>
      <c r="K746" s="12" t="n">
        <f aca="false">MAX(F746-J746,0)</f>
        <v>0</v>
      </c>
      <c r="L746" s="12" t="n">
        <f aca="false">IF(J746=0,0,F746/J746)</f>
        <v>0.5214</v>
      </c>
      <c r="M746" s="11" t="str">
        <f aca="false">IF(K746&gt;0,"BLOCKED","PASS")</f>
        <v>PASS</v>
      </c>
      <c r="N746" s="11" t="s">
        <v>235</v>
      </c>
    </row>
    <row r="747" customFormat="false" ht="23.85" hidden="false" customHeight="false" outlineLevel="0" collapsed="false">
      <c r="A747" s="11" t="s">
        <v>113</v>
      </c>
      <c r="B747" s="11" t="s">
        <v>126</v>
      </c>
      <c r="C747" s="11" t="s">
        <v>73</v>
      </c>
      <c r="D747" s="11" t="s">
        <v>74</v>
      </c>
      <c r="E747" s="11" t="s">
        <v>75</v>
      </c>
      <c r="F747" s="12" t="n">
        <f aca="false">SUMIFS(СПРОС_ДЕНЬ_ЧАС_МЕНЮ!$I$11:$I$3265,СПРОС_ДЕНЬ_ЧАС_МЕНЮ!$A$11:$A$3265,A747,СПРОС_ДЕНЬ_ЧАС_МЕНЮ!$B$11:$B$3265,B747,СПРОС_ДЕНЬ_ЧАС_МЕНЮ!$F$11:$F$3265,C747)</f>
        <v>0</v>
      </c>
      <c r="G747" s="12" t="n">
        <f aca="false">ПАРАМЕТРЫ!D20</f>
        <v>25</v>
      </c>
      <c r="H747" s="12" t="n">
        <f aca="false">SUMIFS(ШТАТ_ПО_ЧАСАМ!$C$11:$C$115,ШТАТ_ПО_ЧАСАМ!$A$11:$A$115,A747,ШТАТ_ПО_ЧАСАМ!$B$11:$B$115,B747)</f>
        <v>1</v>
      </c>
      <c r="I747" s="12" t="n">
        <f aca="false">MIN(H747,1)*ПАРАМЕТРЫ!E20</f>
        <v>10</v>
      </c>
      <c r="J747" s="12" t="n">
        <f aca="false">MIN(G747,I747)</f>
        <v>10</v>
      </c>
      <c r="K747" s="12" t="n">
        <f aca="false">MAX(F747-J747,0)</f>
        <v>0</v>
      </c>
      <c r="L747" s="12" t="n">
        <f aca="false">IF(J747=0,0,F747/J747)</f>
        <v>0</v>
      </c>
      <c r="M747" s="11" t="str">
        <f aca="false">IF(K747&gt;0,"BLOCKED","PASS")</f>
        <v>PASS</v>
      </c>
      <c r="N747" s="11" t="s">
        <v>233</v>
      </c>
    </row>
    <row r="748" customFormat="false" ht="23.85" hidden="false" customHeight="false" outlineLevel="0" collapsed="false">
      <c r="A748" s="11" t="s">
        <v>113</v>
      </c>
      <c r="B748" s="11" t="s">
        <v>126</v>
      </c>
      <c r="C748" s="11" t="s">
        <v>77</v>
      </c>
      <c r="D748" s="11" t="s">
        <v>78</v>
      </c>
      <c r="E748" s="11" t="s">
        <v>79</v>
      </c>
      <c r="F748" s="12" t="n">
        <f aca="false">SUMIFS(СПРОС_ДЕНЬ_ЧАС_МЕНЮ!$I$11:$I$3265,СПРОС_ДЕНЬ_ЧАС_МЕНЮ!$A$11:$A$3265,A748,СПРОС_ДЕНЬ_ЧАС_МЕНЮ!$B$11:$B$3265,B748,СПРОС_ДЕНЬ_ЧАС_МЕНЮ!$F$11:$F$3265,C748)</f>
        <v>0.792</v>
      </c>
      <c r="G748" s="12" t="n">
        <f aca="false">ПАРАМЕТРЫ!D21</f>
        <v>20</v>
      </c>
      <c r="H748" s="12" t="n">
        <f aca="false">SUMIFS(ШТАТ_ПО_ЧАСАМ!$C$11:$C$115,ШТАТ_ПО_ЧАСАМ!$A$11:$A$115,A748,ШТАТ_ПО_ЧАСАМ!$B$11:$B$115,B748)</f>
        <v>1</v>
      </c>
      <c r="I748" s="12" t="n">
        <f aca="false">MIN(H748,1)*ПАРАМЕТРЫ!E21</f>
        <v>10</v>
      </c>
      <c r="J748" s="12" t="n">
        <f aca="false">MIN(G748,I748)</f>
        <v>10</v>
      </c>
      <c r="K748" s="12" t="n">
        <f aca="false">MAX(F748-J748,0)</f>
        <v>0</v>
      </c>
      <c r="L748" s="12" t="n">
        <f aca="false">IF(J748=0,0,F748/J748)</f>
        <v>0.0792</v>
      </c>
      <c r="M748" s="11" t="str">
        <f aca="false">IF(K748&gt;0,"BLOCKED","PASS")</f>
        <v>PASS</v>
      </c>
      <c r="N748" s="11" t="s">
        <v>233</v>
      </c>
    </row>
    <row r="749" customFormat="false" ht="23.85" hidden="false" customHeight="false" outlineLevel="0" collapsed="false">
      <c r="A749" s="11" t="s">
        <v>113</v>
      </c>
      <c r="B749" s="11" t="s">
        <v>126</v>
      </c>
      <c r="C749" s="11" t="s">
        <v>80</v>
      </c>
      <c r="D749" s="11" t="s">
        <v>81</v>
      </c>
      <c r="E749" s="11" t="s">
        <v>82</v>
      </c>
      <c r="F749" s="12" t="n">
        <f aca="false">SUMIFS(СПРОС_ДЕНЬ_ЧАС_МЕНЮ!$I$11:$I$3265,СПРОС_ДЕНЬ_ЧАС_МЕНЮ!$A$11:$A$3265,A749,СПРОС_ДЕНЬ_ЧАС_МЕНЮ!$B$11:$B$3265,B749,СПРОС_ДЕНЬ_ЧАС_МЕНЮ!$F$11:$F$3265,C749)</f>
        <v>0</v>
      </c>
      <c r="G749" s="12" t="n">
        <f aca="false">ПАРАМЕТРЫ!D22</f>
        <v>16</v>
      </c>
      <c r="H749" s="12" t="n">
        <f aca="false">SUMIFS(ШТАТ_ПО_ЧАСАМ!$C$11:$C$115,ШТАТ_ПО_ЧАСАМ!$A$11:$A$115,A749,ШТАТ_ПО_ЧАСАМ!$B$11:$B$115,B749)</f>
        <v>1</v>
      </c>
      <c r="I749" s="12" t="n">
        <f aca="false">MIN(H749,1)*ПАРАМЕТРЫ!E22</f>
        <v>16</v>
      </c>
      <c r="J749" s="12" t="n">
        <f aca="false">MIN(G749,I749)</f>
        <v>16</v>
      </c>
      <c r="K749" s="12" t="n">
        <f aca="false">MAX(F749-J749,0)</f>
        <v>0</v>
      </c>
      <c r="L749" s="12" t="n">
        <f aca="false">IF(J749=0,0,F749/J749)</f>
        <v>0</v>
      </c>
      <c r="M749" s="11" t="str">
        <f aca="false">IF(K749&gt;0,"BLOCKED","PASS")</f>
        <v>PASS</v>
      </c>
      <c r="N749" s="11" t="s">
        <v>233</v>
      </c>
    </row>
    <row r="750" customFormat="false" ht="23.85" hidden="false" customHeight="false" outlineLevel="0" collapsed="false">
      <c r="A750" s="11" t="s">
        <v>113</v>
      </c>
      <c r="B750" s="11" t="s">
        <v>126</v>
      </c>
      <c r="C750" s="11" t="s">
        <v>83</v>
      </c>
      <c r="D750" s="11" t="s">
        <v>84</v>
      </c>
      <c r="E750" s="11" t="s">
        <v>83</v>
      </c>
      <c r="F750" s="12" t="n">
        <f aca="false">SUMIFS(СПРОС_ДЕНЬ_ЧАС_МЕНЮ!$I$11:$I$3265,СПРОС_ДЕНЬ_ЧАС_МЕНЮ!$A$11:$A$3265,A750,СПРОС_ДЕНЬ_ЧАС_МЕНЮ!$B$11:$B$3265,B750,СПРОС_ДЕНЬ_ЧАС_МЕНЮ!$F$11:$F$3265,C750)</f>
        <v>0</v>
      </c>
      <c r="G750" s="12" t="n">
        <f aca="false">ПАРАМЕТРЫ!D23</f>
        <v>21</v>
      </c>
      <c r="H750" s="12" t="n">
        <f aca="false">SUMIFS(ШТАТ_ПО_ЧАСАМ!$C$11:$C$115,ШТАТ_ПО_ЧАСАМ!$A$11:$A$115,A750,ШТАТ_ПО_ЧАСАМ!$B$11:$B$115,B750)</f>
        <v>1</v>
      </c>
      <c r="I750" s="12" t="n">
        <f aca="false">MIN(H750,1)*ПАРАМЕТРЫ!E23</f>
        <v>21</v>
      </c>
      <c r="J750" s="12" t="n">
        <f aca="false">MIN(G750,I750)</f>
        <v>21</v>
      </c>
      <c r="K750" s="12" t="n">
        <f aca="false">MAX(F750-J750,0)</f>
        <v>0</v>
      </c>
      <c r="L750" s="12" t="n">
        <f aca="false">IF(J750=0,0,F750/J750)</f>
        <v>0</v>
      </c>
      <c r="M750" s="11" t="str">
        <f aca="false">IF(K750&gt;0,"BLOCKED","PASS")</f>
        <v>PASS</v>
      </c>
      <c r="N750" s="11" t="s">
        <v>233</v>
      </c>
    </row>
    <row r="751" customFormat="false" ht="23.85" hidden="false" customHeight="false" outlineLevel="0" collapsed="false">
      <c r="A751" s="11" t="s">
        <v>113</v>
      </c>
      <c r="B751" s="11" t="s">
        <v>126</v>
      </c>
      <c r="C751" s="11" t="s">
        <v>85</v>
      </c>
      <c r="D751" s="11" t="s">
        <v>86</v>
      </c>
      <c r="E751" s="11" t="s">
        <v>87</v>
      </c>
      <c r="F751" s="12" t="n">
        <f aca="false">SUMIFS(СПРОС_ДЕНЬ_ЧАС_МЕНЮ!$I$11:$I$3265,СПРОС_ДЕНЬ_ЧАС_МЕНЮ!$A$11:$A$3265,A751,СПРОС_ДЕНЬ_ЧАС_МЕНЮ!$B$11:$B$3265,B751,СПРОС_ДЕНЬ_ЧАС_МЕНЮ!$F$11:$F$3265,C751)</f>
        <v>0</v>
      </c>
      <c r="G751" s="12" t="n">
        <f aca="false">ПАРАМЕТРЫ!D24</f>
        <v>12</v>
      </c>
      <c r="H751" s="12" t="n">
        <f aca="false">SUMIFS(ШТАТ_ПО_ЧАСАМ!$C$11:$C$115,ШТАТ_ПО_ЧАСАМ!$A$11:$A$115,A751,ШТАТ_ПО_ЧАСАМ!$B$11:$B$115,B751)</f>
        <v>1</v>
      </c>
      <c r="I751" s="12" t="n">
        <f aca="false">MIN(H751,1)*ПАРАМЕТРЫ!E24</f>
        <v>12</v>
      </c>
      <c r="J751" s="12" t="n">
        <f aca="false">MIN(G751,I751)</f>
        <v>12</v>
      </c>
      <c r="K751" s="12" t="n">
        <f aca="false">MAX(F751-J751,0)</f>
        <v>0</v>
      </c>
      <c r="L751" s="12" t="n">
        <f aca="false">IF(J751=0,0,F751/J751)</f>
        <v>0</v>
      </c>
      <c r="M751" s="11" t="str">
        <f aca="false">IF(K751&gt;0,"BLOCKED","PASS")</f>
        <v>PASS</v>
      </c>
      <c r="N751" s="11" t="s">
        <v>233</v>
      </c>
    </row>
    <row r="752" customFormat="false" ht="23.85" hidden="false" customHeight="false" outlineLevel="0" collapsed="false">
      <c r="A752" s="11" t="s">
        <v>113</v>
      </c>
      <c r="B752" s="11" t="s">
        <v>126</v>
      </c>
      <c r="C752" s="11" t="s">
        <v>88</v>
      </c>
      <c r="D752" s="11" t="s">
        <v>89</v>
      </c>
      <c r="E752" s="11" t="s">
        <v>90</v>
      </c>
      <c r="F752" s="12" t="n">
        <f aca="false">SUMIFS(СПРОС_ДЕНЬ_ЧАС_МЕНЮ!$I$11:$I$3265,СПРОС_ДЕНЬ_ЧАС_МЕНЮ!$A$11:$A$3265,A752,СПРОС_ДЕНЬ_ЧАС_МЕНЮ!$B$11:$B$3265,B752,СПРОС_ДЕНЬ_ЧАС_МЕНЮ!$F$11:$F$3265,C752)</f>
        <v>6.6</v>
      </c>
      <c r="G752" s="12" t="n">
        <f aca="false">ПАРАМЕТРЫ!D25</f>
        <v>15</v>
      </c>
      <c r="H752" s="12" t="n">
        <f aca="false">SUMIFS(ШТАТ_ПО_ЧАСАМ!$C$11:$C$115,ШТАТ_ПО_ЧАСАМ!$A$11:$A$115,A752,ШТАТ_ПО_ЧАСАМ!$B$11:$B$115,B752)</f>
        <v>1</v>
      </c>
      <c r="I752" s="12" t="n">
        <f aca="false">MIN(H752,1)*ПАРАМЕТРЫ!E25</f>
        <v>10</v>
      </c>
      <c r="J752" s="12" t="n">
        <f aca="false">MIN(G752,I752)</f>
        <v>10</v>
      </c>
      <c r="K752" s="12" t="n">
        <f aca="false">MAX(F752-J752,0)</f>
        <v>0</v>
      </c>
      <c r="L752" s="12" t="n">
        <f aca="false">IF(J752=0,0,F752/J752)</f>
        <v>0.66</v>
      </c>
      <c r="M752" s="11" t="str">
        <f aca="false">IF(K752&gt;0,"BLOCKED","PASS")</f>
        <v>PASS</v>
      </c>
      <c r="N752" s="11" t="s">
        <v>233</v>
      </c>
    </row>
    <row r="753" customFormat="false" ht="23.85" hidden="false" customHeight="false" outlineLevel="0" collapsed="false">
      <c r="A753" s="11" t="s">
        <v>113</v>
      </c>
      <c r="B753" s="11" t="s">
        <v>126</v>
      </c>
      <c r="C753" s="11" t="s">
        <v>91</v>
      </c>
      <c r="D753" s="11" t="s">
        <v>92</v>
      </c>
      <c r="E753" s="11" t="s">
        <v>79</v>
      </c>
      <c r="F753" s="12" t="n">
        <f aca="false">SUMIFS(СПРОС_ДЕНЬ_ЧАС_МЕНЮ!$I$11:$I$3265,СПРОС_ДЕНЬ_ЧАС_МЕНЮ!$A$11:$A$3265,A753,СПРОС_ДЕНЬ_ЧАС_МЕНЮ!$B$11:$B$3265,B753,СПРОС_ДЕНЬ_ЧАС_МЕНЮ!$F$11:$F$3265,C753)</f>
        <v>0.396</v>
      </c>
      <c r="G753" s="12" t="n">
        <f aca="false">ПАРАМЕТРЫ!D26</f>
        <v>20</v>
      </c>
      <c r="H753" s="12" t="n">
        <f aca="false">SUMIFS(ШТАТ_ПО_ЧАСАМ!$C$11:$C$115,ШТАТ_ПО_ЧАСАМ!$A$11:$A$115,A753,ШТАТ_ПО_ЧАСАМ!$B$11:$B$115,B753)</f>
        <v>1</v>
      </c>
      <c r="I753" s="12" t="n">
        <f aca="false">MIN(H753,1)*ПАРАМЕТРЫ!E26</f>
        <v>10</v>
      </c>
      <c r="J753" s="12" t="n">
        <f aca="false">MIN(G753,I753)</f>
        <v>10</v>
      </c>
      <c r="K753" s="12" t="n">
        <f aca="false">MAX(F753-J753,0)</f>
        <v>0</v>
      </c>
      <c r="L753" s="12" t="n">
        <f aca="false">IF(J753=0,0,F753/J753)</f>
        <v>0.0396</v>
      </c>
      <c r="M753" s="11" t="str">
        <f aca="false">IF(K753&gt;0,"BLOCKED","PASS")</f>
        <v>PASS</v>
      </c>
      <c r="N753" s="11" t="s">
        <v>233</v>
      </c>
    </row>
    <row r="754" customFormat="false" ht="15" hidden="false" customHeight="false" outlineLevel="0" collapsed="false">
      <c r="A754" s="11" t="s">
        <v>113</v>
      </c>
      <c r="B754" s="11" t="s">
        <v>126</v>
      </c>
      <c r="C754" s="11" t="s">
        <v>93</v>
      </c>
      <c r="D754" s="11" t="s">
        <v>234</v>
      </c>
      <c r="E754" s="11" t="s">
        <v>95</v>
      </c>
      <c r="F754" s="12" t="n">
        <f aca="false">SUMIFS(СПРОС_ДЕНЬ_ЧАС_МЕНЮ!$I$11:$I$3265,СПРОС_ДЕНЬ_ЧАС_МЕНЮ!$A$11:$A$3265,A754,СПРОС_ДЕНЬ_ЧАС_МЕНЮ!$B$11:$B$3265,B754)</f>
        <v>7.788</v>
      </c>
      <c r="G754" s="12" t="n">
        <f aca="false">ПАРАМЕТРЫ!D27</f>
        <v>60</v>
      </c>
      <c r="H754" s="12" t="n">
        <f aca="false">SUMIFS(ШТАТ_ПО_ЧАСАМ!$C$11:$C$115,ШТАТ_ПО_ЧАСАМ!$A$11:$A$115,A754,ШТАТ_ПО_ЧАСАМ!$B$11:$B$115,B754)</f>
        <v>1</v>
      </c>
      <c r="I754" s="12" t="n">
        <f aca="false">H754*ПАРАМЕТРЫ!E27</f>
        <v>16.6666666666667</v>
      </c>
      <c r="J754" s="12" t="n">
        <f aca="false">MIN(G754,I754)</f>
        <v>16.6666666666667</v>
      </c>
      <c r="K754" s="12" t="n">
        <f aca="false">MAX(F754-J754,0)</f>
        <v>0</v>
      </c>
      <c r="L754" s="12" t="n">
        <f aca="false">IF(J754=0,0,F754/J754)</f>
        <v>0.46728</v>
      </c>
      <c r="M754" s="11" t="str">
        <f aca="false">IF(K754&gt;0,"BLOCKED","PASS")</f>
        <v>PASS</v>
      </c>
      <c r="N754" s="11" t="s">
        <v>235</v>
      </c>
    </row>
    <row r="755" customFormat="false" ht="23.85" hidden="false" customHeight="false" outlineLevel="0" collapsed="false">
      <c r="A755" s="11" t="s">
        <v>113</v>
      </c>
      <c r="B755" s="11" t="s">
        <v>127</v>
      </c>
      <c r="C755" s="11" t="s">
        <v>73</v>
      </c>
      <c r="D755" s="11" t="s">
        <v>74</v>
      </c>
      <c r="E755" s="11" t="s">
        <v>75</v>
      </c>
      <c r="F755" s="12" t="n">
        <f aca="false">SUMIFS(СПРОС_ДЕНЬ_ЧАС_МЕНЮ!$I$11:$I$3265,СПРОС_ДЕНЬ_ЧАС_МЕНЮ!$A$11:$A$3265,A755,СПРОС_ДЕНЬ_ЧАС_МЕНЮ!$B$11:$B$3265,B755,СПРОС_ДЕНЬ_ЧАС_МЕНЮ!$F$11:$F$3265,C755)</f>
        <v>0</v>
      </c>
      <c r="G755" s="12" t="n">
        <f aca="false">ПАРАМЕТРЫ!D20</f>
        <v>25</v>
      </c>
      <c r="H755" s="12" t="n">
        <f aca="false">SUMIFS(ШТАТ_ПО_ЧАСАМ!$C$11:$C$115,ШТАТ_ПО_ЧАСАМ!$A$11:$A$115,A755,ШТАТ_ПО_ЧАСАМ!$B$11:$B$115,B755)</f>
        <v>1</v>
      </c>
      <c r="I755" s="12" t="n">
        <f aca="false">MIN(H755,1)*ПАРАМЕТРЫ!E20</f>
        <v>10</v>
      </c>
      <c r="J755" s="12" t="n">
        <f aca="false">MIN(G755,I755)</f>
        <v>10</v>
      </c>
      <c r="K755" s="12" t="n">
        <f aca="false">MAX(F755-J755,0)</f>
        <v>0</v>
      </c>
      <c r="L755" s="12" t="n">
        <f aca="false">IF(J755=0,0,F755/J755)</f>
        <v>0</v>
      </c>
      <c r="M755" s="11" t="str">
        <f aca="false">IF(K755&gt;0,"BLOCKED","PASS")</f>
        <v>PASS</v>
      </c>
      <c r="N755" s="11" t="s">
        <v>233</v>
      </c>
    </row>
    <row r="756" customFormat="false" ht="23.85" hidden="false" customHeight="false" outlineLevel="0" collapsed="false">
      <c r="A756" s="11" t="s">
        <v>113</v>
      </c>
      <c r="B756" s="11" t="s">
        <v>127</v>
      </c>
      <c r="C756" s="11" t="s">
        <v>77</v>
      </c>
      <c r="D756" s="11" t="s">
        <v>78</v>
      </c>
      <c r="E756" s="11" t="s">
        <v>79</v>
      </c>
      <c r="F756" s="12" t="n">
        <f aca="false">SUMIFS(СПРОС_ДЕНЬ_ЧАС_МЕНЮ!$I$11:$I$3265,СПРОС_ДЕНЬ_ЧАС_МЕНЮ!$A$11:$A$3265,A756,СПРОС_ДЕНЬ_ЧАС_МЕНЮ!$B$11:$B$3265,B756,СПРОС_ДЕНЬ_ЧАС_МЕНЮ!$F$11:$F$3265,C756)</f>
        <v>0.792</v>
      </c>
      <c r="G756" s="12" t="n">
        <f aca="false">ПАРАМЕТРЫ!D21</f>
        <v>20</v>
      </c>
      <c r="H756" s="12" t="n">
        <f aca="false">SUMIFS(ШТАТ_ПО_ЧАСАМ!$C$11:$C$115,ШТАТ_ПО_ЧАСАМ!$A$11:$A$115,A756,ШТАТ_ПО_ЧАСАМ!$B$11:$B$115,B756)</f>
        <v>1</v>
      </c>
      <c r="I756" s="12" t="n">
        <f aca="false">MIN(H756,1)*ПАРАМЕТРЫ!E21</f>
        <v>10</v>
      </c>
      <c r="J756" s="12" t="n">
        <f aca="false">MIN(G756,I756)</f>
        <v>10</v>
      </c>
      <c r="K756" s="12" t="n">
        <f aca="false">MAX(F756-J756,0)</f>
        <v>0</v>
      </c>
      <c r="L756" s="12" t="n">
        <f aca="false">IF(J756=0,0,F756/J756)</f>
        <v>0.0792</v>
      </c>
      <c r="M756" s="11" t="str">
        <f aca="false">IF(K756&gt;0,"BLOCKED","PASS")</f>
        <v>PASS</v>
      </c>
      <c r="N756" s="11" t="s">
        <v>233</v>
      </c>
    </row>
    <row r="757" customFormat="false" ht="23.85" hidden="false" customHeight="false" outlineLevel="0" collapsed="false">
      <c r="A757" s="11" t="s">
        <v>113</v>
      </c>
      <c r="B757" s="11" t="s">
        <v>127</v>
      </c>
      <c r="C757" s="11" t="s">
        <v>80</v>
      </c>
      <c r="D757" s="11" t="s">
        <v>81</v>
      </c>
      <c r="E757" s="11" t="s">
        <v>82</v>
      </c>
      <c r="F757" s="12" t="n">
        <f aca="false">SUMIFS(СПРОС_ДЕНЬ_ЧАС_МЕНЮ!$I$11:$I$3265,СПРОС_ДЕНЬ_ЧАС_МЕНЮ!$A$11:$A$3265,A757,СПРОС_ДЕНЬ_ЧАС_МЕНЮ!$B$11:$B$3265,B757,СПРОС_ДЕНЬ_ЧАС_МЕНЮ!$F$11:$F$3265,C757)</f>
        <v>0</v>
      </c>
      <c r="G757" s="12" t="n">
        <f aca="false">ПАРАМЕТРЫ!D22</f>
        <v>16</v>
      </c>
      <c r="H757" s="12" t="n">
        <f aca="false">SUMIFS(ШТАТ_ПО_ЧАСАМ!$C$11:$C$115,ШТАТ_ПО_ЧАСАМ!$A$11:$A$115,A757,ШТАТ_ПО_ЧАСАМ!$B$11:$B$115,B757)</f>
        <v>1</v>
      </c>
      <c r="I757" s="12" t="n">
        <f aca="false">MIN(H757,1)*ПАРАМЕТРЫ!E22</f>
        <v>16</v>
      </c>
      <c r="J757" s="12" t="n">
        <f aca="false">MIN(G757,I757)</f>
        <v>16</v>
      </c>
      <c r="K757" s="12" t="n">
        <f aca="false">MAX(F757-J757,0)</f>
        <v>0</v>
      </c>
      <c r="L757" s="12" t="n">
        <f aca="false">IF(J757=0,0,F757/J757)</f>
        <v>0</v>
      </c>
      <c r="M757" s="11" t="str">
        <f aca="false">IF(K757&gt;0,"BLOCKED","PASS")</f>
        <v>PASS</v>
      </c>
      <c r="N757" s="11" t="s">
        <v>233</v>
      </c>
    </row>
    <row r="758" customFormat="false" ht="23.85" hidden="false" customHeight="false" outlineLevel="0" collapsed="false">
      <c r="A758" s="11" t="s">
        <v>113</v>
      </c>
      <c r="B758" s="11" t="s">
        <v>127</v>
      </c>
      <c r="C758" s="11" t="s">
        <v>83</v>
      </c>
      <c r="D758" s="11" t="s">
        <v>84</v>
      </c>
      <c r="E758" s="11" t="s">
        <v>83</v>
      </c>
      <c r="F758" s="12" t="n">
        <f aca="false">SUMIFS(СПРОС_ДЕНЬ_ЧАС_МЕНЮ!$I$11:$I$3265,СПРОС_ДЕНЬ_ЧАС_МЕНЮ!$A$11:$A$3265,A758,СПРОС_ДЕНЬ_ЧАС_МЕНЮ!$B$11:$B$3265,B758,СПРОС_ДЕНЬ_ЧАС_МЕНЮ!$F$11:$F$3265,C758)</f>
        <v>0</v>
      </c>
      <c r="G758" s="12" t="n">
        <f aca="false">ПАРАМЕТРЫ!D23</f>
        <v>21</v>
      </c>
      <c r="H758" s="12" t="n">
        <f aca="false">SUMIFS(ШТАТ_ПО_ЧАСАМ!$C$11:$C$115,ШТАТ_ПО_ЧАСАМ!$A$11:$A$115,A758,ШТАТ_ПО_ЧАСАМ!$B$11:$B$115,B758)</f>
        <v>1</v>
      </c>
      <c r="I758" s="12" t="n">
        <f aca="false">MIN(H758,1)*ПАРАМЕТРЫ!E23</f>
        <v>21</v>
      </c>
      <c r="J758" s="12" t="n">
        <f aca="false">MIN(G758,I758)</f>
        <v>21</v>
      </c>
      <c r="K758" s="12" t="n">
        <f aca="false">MAX(F758-J758,0)</f>
        <v>0</v>
      </c>
      <c r="L758" s="12" t="n">
        <f aca="false">IF(J758=0,0,F758/J758)</f>
        <v>0</v>
      </c>
      <c r="M758" s="11" t="str">
        <f aca="false">IF(K758&gt;0,"BLOCKED","PASS")</f>
        <v>PASS</v>
      </c>
      <c r="N758" s="11" t="s">
        <v>233</v>
      </c>
    </row>
    <row r="759" customFormat="false" ht="23.85" hidden="false" customHeight="false" outlineLevel="0" collapsed="false">
      <c r="A759" s="11" t="s">
        <v>113</v>
      </c>
      <c r="B759" s="11" t="s">
        <v>127</v>
      </c>
      <c r="C759" s="11" t="s">
        <v>85</v>
      </c>
      <c r="D759" s="11" t="s">
        <v>86</v>
      </c>
      <c r="E759" s="11" t="s">
        <v>87</v>
      </c>
      <c r="F759" s="12" t="n">
        <f aca="false">SUMIFS(СПРОС_ДЕНЬ_ЧАС_МЕНЮ!$I$11:$I$3265,СПРОС_ДЕНЬ_ЧАС_МЕНЮ!$A$11:$A$3265,A759,СПРОС_ДЕНЬ_ЧАС_МЕНЮ!$B$11:$B$3265,B759,СПРОС_ДЕНЬ_ЧАС_МЕНЮ!$F$11:$F$3265,C759)</f>
        <v>0</v>
      </c>
      <c r="G759" s="12" t="n">
        <f aca="false">ПАРАМЕТРЫ!D24</f>
        <v>12</v>
      </c>
      <c r="H759" s="12" t="n">
        <f aca="false">SUMIFS(ШТАТ_ПО_ЧАСАМ!$C$11:$C$115,ШТАТ_ПО_ЧАСАМ!$A$11:$A$115,A759,ШТАТ_ПО_ЧАСАМ!$B$11:$B$115,B759)</f>
        <v>1</v>
      </c>
      <c r="I759" s="12" t="n">
        <f aca="false">MIN(H759,1)*ПАРАМЕТРЫ!E24</f>
        <v>12</v>
      </c>
      <c r="J759" s="12" t="n">
        <f aca="false">MIN(G759,I759)</f>
        <v>12</v>
      </c>
      <c r="K759" s="12" t="n">
        <f aca="false">MAX(F759-J759,0)</f>
        <v>0</v>
      </c>
      <c r="L759" s="12" t="n">
        <f aca="false">IF(J759=0,0,F759/J759)</f>
        <v>0</v>
      </c>
      <c r="M759" s="11" t="str">
        <f aca="false">IF(K759&gt;0,"BLOCKED","PASS")</f>
        <v>PASS</v>
      </c>
      <c r="N759" s="11" t="s">
        <v>233</v>
      </c>
    </row>
    <row r="760" customFormat="false" ht="23.85" hidden="false" customHeight="false" outlineLevel="0" collapsed="false">
      <c r="A760" s="11" t="s">
        <v>113</v>
      </c>
      <c r="B760" s="11" t="s">
        <v>127</v>
      </c>
      <c r="C760" s="11" t="s">
        <v>88</v>
      </c>
      <c r="D760" s="11" t="s">
        <v>89</v>
      </c>
      <c r="E760" s="11" t="s">
        <v>90</v>
      </c>
      <c r="F760" s="12" t="n">
        <f aca="false">SUMIFS(СПРОС_ДЕНЬ_ЧАС_МЕНЮ!$I$11:$I$3265,СПРОС_ДЕНЬ_ЧАС_МЕНЮ!$A$11:$A$3265,A760,СПРОС_ДЕНЬ_ЧАС_МЕНЮ!$B$11:$B$3265,B760,СПРОС_ДЕНЬ_ЧАС_МЕНЮ!$F$11:$F$3265,C760)</f>
        <v>3.3</v>
      </c>
      <c r="G760" s="12" t="n">
        <f aca="false">ПАРАМЕТРЫ!D25</f>
        <v>15</v>
      </c>
      <c r="H760" s="12" t="n">
        <f aca="false">SUMIFS(ШТАТ_ПО_ЧАСАМ!$C$11:$C$115,ШТАТ_ПО_ЧАСАМ!$A$11:$A$115,A760,ШТАТ_ПО_ЧАСАМ!$B$11:$B$115,B760)</f>
        <v>1</v>
      </c>
      <c r="I760" s="12" t="n">
        <f aca="false">MIN(H760,1)*ПАРАМЕТРЫ!E25</f>
        <v>10</v>
      </c>
      <c r="J760" s="12" t="n">
        <f aca="false">MIN(G760,I760)</f>
        <v>10</v>
      </c>
      <c r="K760" s="12" t="n">
        <f aca="false">MAX(F760-J760,0)</f>
        <v>0</v>
      </c>
      <c r="L760" s="12" t="n">
        <f aca="false">IF(J760=0,0,F760/J760)</f>
        <v>0.33</v>
      </c>
      <c r="M760" s="11" t="str">
        <f aca="false">IF(K760&gt;0,"BLOCKED","PASS")</f>
        <v>PASS</v>
      </c>
      <c r="N760" s="11" t="s">
        <v>233</v>
      </c>
    </row>
    <row r="761" customFormat="false" ht="23.85" hidden="false" customHeight="false" outlineLevel="0" collapsed="false">
      <c r="A761" s="11" t="s">
        <v>113</v>
      </c>
      <c r="B761" s="11" t="s">
        <v>127</v>
      </c>
      <c r="C761" s="11" t="s">
        <v>91</v>
      </c>
      <c r="D761" s="11" t="s">
        <v>92</v>
      </c>
      <c r="E761" s="11" t="s">
        <v>79</v>
      </c>
      <c r="F761" s="12" t="n">
        <f aca="false">SUMIFS(СПРОС_ДЕНЬ_ЧАС_МЕНЮ!$I$11:$I$3265,СПРОС_ДЕНЬ_ЧАС_МЕНЮ!$A$11:$A$3265,A761,СПРОС_ДЕНЬ_ЧАС_МЕНЮ!$B$11:$B$3265,B761,СПРОС_ДЕНЬ_ЧАС_МЕНЮ!$F$11:$F$3265,C761)</f>
        <v>0.396</v>
      </c>
      <c r="G761" s="12" t="n">
        <f aca="false">ПАРАМЕТРЫ!D26</f>
        <v>20</v>
      </c>
      <c r="H761" s="12" t="n">
        <f aca="false">SUMIFS(ШТАТ_ПО_ЧАСАМ!$C$11:$C$115,ШТАТ_ПО_ЧАСАМ!$A$11:$A$115,A761,ШТАТ_ПО_ЧАСАМ!$B$11:$B$115,B761)</f>
        <v>1</v>
      </c>
      <c r="I761" s="12" t="n">
        <f aca="false">MIN(H761,1)*ПАРАМЕТРЫ!E26</f>
        <v>10</v>
      </c>
      <c r="J761" s="12" t="n">
        <f aca="false">MIN(G761,I761)</f>
        <v>10</v>
      </c>
      <c r="K761" s="12" t="n">
        <f aca="false">MAX(F761-J761,0)</f>
        <v>0</v>
      </c>
      <c r="L761" s="12" t="n">
        <f aca="false">IF(J761=0,0,F761/J761)</f>
        <v>0.0396</v>
      </c>
      <c r="M761" s="11" t="str">
        <f aca="false">IF(K761&gt;0,"BLOCKED","PASS")</f>
        <v>PASS</v>
      </c>
      <c r="N761" s="11" t="s">
        <v>233</v>
      </c>
    </row>
    <row r="762" customFormat="false" ht="15" hidden="false" customHeight="false" outlineLevel="0" collapsed="false">
      <c r="A762" s="11" t="s">
        <v>113</v>
      </c>
      <c r="B762" s="11" t="s">
        <v>127</v>
      </c>
      <c r="C762" s="11" t="s">
        <v>93</v>
      </c>
      <c r="D762" s="11" t="s">
        <v>234</v>
      </c>
      <c r="E762" s="11" t="s">
        <v>95</v>
      </c>
      <c r="F762" s="12" t="n">
        <f aca="false">SUMIFS(СПРОС_ДЕНЬ_ЧАС_МЕНЮ!$I$11:$I$3265,СПРОС_ДЕНЬ_ЧАС_МЕНЮ!$A$11:$A$3265,A762,СПРОС_ДЕНЬ_ЧАС_МЕНЮ!$B$11:$B$3265,B762)</f>
        <v>4.488</v>
      </c>
      <c r="G762" s="12" t="n">
        <f aca="false">ПАРАМЕТРЫ!D27</f>
        <v>60</v>
      </c>
      <c r="H762" s="12" t="n">
        <f aca="false">SUMIFS(ШТАТ_ПО_ЧАСАМ!$C$11:$C$115,ШТАТ_ПО_ЧАСАМ!$A$11:$A$115,A762,ШТАТ_ПО_ЧАСАМ!$B$11:$B$115,B762)</f>
        <v>1</v>
      </c>
      <c r="I762" s="12" t="n">
        <f aca="false">H762*ПАРАМЕТРЫ!E27</f>
        <v>16.6666666666667</v>
      </c>
      <c r="J762" s="12" t="n">
        <f aca="false">MIN(G762,I762)</f>
        <v>16.6666666666667</v>
      </c>
      <c r="K762" s="12" t="n">
        <f aca="false">MAX(F762-J762,0)</f>
        <v>0</v>
      </c>
      <c r="L762" s="12" t="n">
        <f aca="false">IF(J762=0,0,F762/J762)</f>
        <v>0.26928</v>
      </c>
      <c r="M762" s="11" t="str">
        <f aca="false">IF(K762&gt;0,"BLOCKED","PASS")</f>
        <v>PASS</v>
      </c>
      <c r="N762" s="11" t="s">
        <v>235</v>
      </c>
    </row>
    <row r="763" customFormat="false" ht="23.85" hidden="false" customHeight="false" outlineLevel="0" collapsed="false">
      <c r="A763" s="11" t="s">
        <v>113</v>
      </c>
      <c r="B763" s="11" t="s">
        <v>128</v>
      </c>
      <c r="C763" s="11" t="s">
        <v>73</v>
      </c>
      <c r="D763" s="11" t="s">
        <v>74</v>
      </c>
      <c r="E763" s="11" t="s">
        <v>75</v>
      </c>
      <c r="F763" s="12" t="n">
        <f aca="false">SUMIFS(СПРОС_ДЕНЬ_ЧАС_МЕНЮ!$I$11:$I$3265,СПРОС_ДЕНЬ_ЧАС_МЕНЮ!$A$11:$A$3265,A763,СПРОС_ДЕНЬ_ЧАС_МЕНЮ!$B$11:$B$3265,B763,СПРОС_ДЕНЬ_ЧАС_МЕНЮ!$F$11:$F$3265,C763)</f>
        <v>1.65</v>
      </c>
      <c r="G763" s="12" t="n">
        <f aca="false">ПАРАМЕТРЫ!D20</f>
        <v>25</v>
      </c>
      <c r="H763" s="12" t="n">
        <f aca="false">SUMIFS(ШТАТ_ПО_ЧАСАМ!$C$11:$C$115,ШТАТ_ПО_ЧАСАМ!$A$11:$A$115,A763,ШТАТ_ПО_ЧАСАМ!$B$11:$B$115,B763)</f>
        <v>2</v>
      </c>
      <c r="I763" s="12" t="n">
        <f aca="false">MIN(H763,1)*ПАРАМЕТРЫ!E20</f>
        <v>10</v>
      </c>
      <c r="J763" s="12" t="n">
        <f aca="false">MIN(G763,I763)</f>
        <v>10</v>
      </c>
      <c r="K763" s="12" t="n">
        <f aca="false">MAX(F763-J763,0)</f>
        <v>0</v>
      </c>
      <c r="L763" s="12" t="n">
        <f aca="false">IF(J763=0,0,F763/J763)</f>
        <v>0.165</v>
      </c>
      <c r="M763" s="11" t="str">
        <f aca="false">IF(K763&gt;0,"BLOCKED","PASS")</f>
        <v>PASS</v>
      </c>
      <c r="N763" s="11" t="s">
        <v>233</v>
      </c>
    </row>
    <row r="764" customFormat="false" ht="23.85" hidden="false" customHeight="false" outlineLevel="0" collapsed="false">
      <c r="A764" s="11" t="s">
        <v>113</v>
      </c>
      <c r="B764" s="11" t="s">
        <v>128</v>
      </c>
      <c r="C764" s="11" t="s">
        <v>77</v>
      </c>
      <c r="D764" s="11" t="s">
        <v>78</v>
      </c>
      <c r="E764" s="11" t="s">
        <v>79</v>
      </c>
      <c r="F764" s="12" t="n">
        <f aca="false">SUMIFS(СПРОС_ДЕНЬ_ЧАС_МЕНЮ!$I$11:$I$3265,СПРОС_ДЕНЬ_ЧАС_МЕНЮ!$A$11:$A$3265,A764,СПРОС_ДЕНЬ_ЧАС_МЕНЮ!$B$11:$B$3265,B764,СПРОС_ДЕНЬ_ЧАС_МЕНЮ!$F$11:$F$3265,C764)</f>
        <v>1.4652</v>
      </c>
      <c r="G764" s="12" t="n">
        <f aca="false">ПАРАМЕТРЫ!D21</f>
        <v>20</v>
      </c>
      <c r="H764" s="12" t="n">
        <f aca="false">SUMIFS(ШТАТ_ПО_ЧАСАМ!$C$11:$C$115,ШТАТ_ПО_ЧАСАМ!$A$11:$A$115,A764,ШТАТ_ПО_ЧАСАМ!$B$11:$B$115,B764)</f>
        <v>2</v>
      </c>
      <c r="I764" s="12" t="n">
        <f aca="false">MIN(H764,1)*ПАРАМЕТРЫ!E21</f>
        <v>10</v>
      </c>
      <c r="J764" s="12" t="n">
        <f aca="false">MIN(G764,I764)</f>
        <v>10</v>
      </c>
      <c r="K764" s="12" t="n">
        <f aca="false">MAX(F764-J764,0)</f>
        <v>0</v>
      </c>
      <c r="L764" s="12" t="n">
        <f aca="false">IF(J764=0,0,F764/J764)</f>
        <v>0.14652</v>
      </c>
      <c r="M764" s="11" t="str">
        <f aca="false">IF(K764&gt;0,"BLOCKED","PASS")</f>
        <v>PASS</v>
      </c>
      <c r="N764" s="11" t="s">
        <v>233</v>
      </c>
    </row>
    <row r="765" customFormat="false" ht="23.85" hidden="false" customHeight="false" outlineLevel="0" collapsed="false">
      <c r="A765" s="11" t="s">
        <v>113</v>
      </c>
      <c r="B765" s="11" t="s">
        <v>128</v>
      </c>
      <c r="C765" s="11" t="s">
        <v>80</v>
      </c>
      <c r="D765" s="11" t="s">
        <v>81</v>
      </c>
      <c r="E765" s="11" t="s">
        <v>82</v>
      </c>
      <c r="F765" s="12" t="n">
        <f aca="false">SUMIFS(СПРОС_ДЕНЬ_ЧАС_МЕНЮ!$I$11:$I$3265,СПРОС_ДЕНЬ_ЧАС_МЕНЮ!$A$11:$A$3265,A765,СПРОС_ДЕНЬ_ЧАС_МЕНЮ!$B$11:$B$3265,B765,СПРОС_ДЕНЬ_ЧАС_МЕНЮ!$F$11:$F$3265,C765)</f>
        <v>1.551</v>
      </c>
      <c r="G765" s="12" t="n">
        <f aca="false">ПАРАМЕТРЫ!D22</f>
        <v>16</v>
      </c>
      <c r="H765" s="12" t="n">
        <f aca="false">SUMIFS(ШТАТ_ПО_ЧАСАМ!$C$11:$C$115,ШТАТ_ПО_ЧАСАМ!$A$11:$A$115,A765,ШТАТ_ПО_ЧАСАМ!$B$11:$B$115,B765)</f>
        <v>2</v>
      </c>
      <c r="I765" s="12" t="n">
        <f aca="false">MIN(H765,1)*ПАРАМЕТРЫ!E22</f>
        <v>16</v>
      </c>
      <c r="J765" s="12" t="n">
        <f aca="false">MIN(G765,I765)</f>
        <v>16</v>
      </c>
      <c r="K765" s="12" t="n">
        <f aca="false">MAX(F765-J765,0)</f>
        <v>0</v>
      </c>
      <c r="L765" s="12" t="n">
        <f aca="false">IF(J765=0,0,F765/J765)</f>
        <v>0.0969375</v>
      </c>
      <c r="M765" s="11" t="str">
        <f aca="false">IF(K765&gt;0,"BLOCKED","PASS")</f>
        <v>PASS</v>
      </c>
      <c r="N765" s="11" t="s">
        <v>233</v>
      </c>
    </row>
    <row r="766" customFormat="false" ht="23.85" hidden="false" customHeight="false" outlineLevel="0" collapsed="false">
      <c r="A766" s="11" t="s">
        <v>113</v>
      </c>
      <c r="B766" s="11" t="s">
        <v>128</v>
      </c>
      <c r="C766" s="11" t="s">
        <v>83</v>
      </c>
      <c r="D766" s="11" t="s">
        <v>84</v>
      </c>
      <c r="E766" s="11" t="s">
        <v>83</v>
      </c>
      <c r="F766" s="12" t="n">
        <f aca="false">SUMIFS(СПРОС_ДЕНЬ_ЧАС_МЕНЮ!$I$11:$I$3265,СПРОС_ДЕНЬ_ЧАС_МЕНЮ!$A$11:$A$3265,A766,СПРОС_ДЕНЬ_ЧАС_МЕНЮ!$B$11:$B$3265,B766,СПРОС_ДЕНЬ_ЧАС_МЕНЮ!$F$11:$F$3265,C766)</f>
        <v>2.7885</v>
      </c>
      <c r="G766" s="12" t="n">
        <f aca="false">ПАРАМЕТРЫ!D23</f>
        <v>21</v>
      </c>
      <c r="H766" s="12" t="n">
        <f aca="false">SUMIFS(ШТАТ_ПО_ЧАСАМ!$C$11:$C$115,ШТАТ_ПО_ЧАСАМ!$A$11:$A$115,A766,ШТАТ_ПО_ЧАСАМ!$B$11:$B$115,B766)</f>
        <v>2</v>
      </c>
      <c r="I766" s="12" t="n">
        <f aca="false">MIN(H766,1)*ПАРАМЕТРЫ!E23</f>
        <v>21</v>
      </c>
      <c r="J766" s="12" t="n">
        <f aca="false">MIN(G766,I766)</f>
        <v>21</v>
      </c>
      <c r="K766" s="12" t="n">
        <f aca="false">MAX(F766-J766,0)</f>
        <v>0</v>
      </c>
      <c r="L766" s="12" t="n">
        <f aca="false">IF(J766=0,0,F766/J766)</f>
        <v>0.132785714285714</v>
      </c>
      <c r="M766" s="11" t="str">
        <f aca="false">IF(K766&gt;0,"BLOCKED","PASS")</f>
        <v>PASS</v>
      </c>
      <c r="N766" s="11" t="s">
        <v>233</v>
      </c>
    </row>
    <row r="767" customFormat="false" ht="23.85" hidden="false" customHeight="false" outlineLevel="0" collapsed="false">
      <c r="A767" s="11" t="s">
        <v>113</v>
      </c>
      <c r="B767" s="11" t="s">
        <v>128</v>
      </c>
      <c r="C767" s="11" t="s">
        <v>85</v>
      </c>
      <c r="D767" s="11" t="s">
        <v>86</v>
      </c>
      <c r="E767" s="11" t="s">
        <v>87</v>
      </c>
      <c r="F767" s="12" t="n">
        <f aca="false">SUMIFS(СПРОС_ДЕНЬ_ЧАС_МЕНЮ!$I$11:$I$3265,СПРОС_ДЕНЬ_ЧАС_МЕНЮ!$A$11:$A$3265,A767,СПРОС_ДЕНЬ_ЧАС_МЕНЮ!$B$11:$B$3265,B767,СПРОС_ДЕНЬ_ЧАС_МЕНЮ!$F$11:$F$3265,C767)</f>
        <v>0.9049425</v>
      </c>
      <c r="G767" s="12" t="n">
        <f aca="false">ПАРАМЕТРЫ!D24</f>
        <v>12</v>
      </c>
      <c r="H767" s="12" t="n">
        <f aca="false">SUMIFS(ШТАТ_ПО_ЧАСАМ!$C$11:$C$115,ШТАТ_ПО_ЧАСАМ!$A$11:$A$115,A767,ШТАТ_ПО_ЧАСАМ!$B$11:$B$115,B767)</f>
        <v>2</v>
      </c>
      <c r="I767" s="12" t="n">
        <f aca="false">MIN(H767,1)*ПАРАМЕТРЫ!E24</f>
        <v>12</v>
      </c>
      <c r="J767" s="12" t="n">
        <f aca="false">MIN(G767,I767)</f>
        <v>12</v>
      </c>
      <c r="K767" s="12" t="n">
        <f aca="false">MAX(F767-J767,0)</f>
        <v>0</v>
      </c>
      <c r="L767" s="12" t="n">
        <f aca="false">IF(J767=0,0,F767/J767)</f>
        <v>0.075411875</v>
      </c>
      <c r="M767" s="11" t="str">
        <f aca="false">IF(K767&gt;0,"BLOCKED","PASS")</f>
        <v>PASS</v>
      </c>
      <c r="N767" s="11" t="s">
        <v>233</v>
      </c>
    </row>
    <row r="768" customFormat="false" ht="23.85" hidden="false" customHeight="false" outlineLevel="0" collapsed="false">
      <c r="A768" s="11" t="s">
        <v>113</v>
      </c>
      <c r="B768" s="11" t="s">
        <v>128</v>
      </c>
      <c r="C768" s="11" t="s">
        <v>88</v>
      </c>
      <c r="D768" s="11" t="s">
        <v>89</v>
      </c>
      <c r="E768" s="11" t="s">
        <v>90</v>
      </c>
      <c r="F768" s="12" t="n">
        <f aca="false">SUMIFS(СПРОС_ДЕНЬ_ЧАС_МЕНЮ!$I$11:$I$3265,СПРОС_ДЕНЬ_ЧАС_МЕНЮ!$A$11:$A$3265,A768,СПРОС_ДЕНЬ_ЧАС_МЕНЮ!$B$11:$B$3265,B768,СПРОС_ДЕНЬ_ЧАС_МЕНЮ!$F$11:$F$3265,C768)</f>
        <v>1.1</v>
      </c>
      <c r="G768" s="12" t="n">
        <f aca="false">ПАРАМЕТРЫ!D25</f>
        <v>15</v>
      </c>
      <c r="H768" s="12" t="n">
        <f aca="false">SUMIFS(ШТАТ_ПО_ЧАСАМ!$C$11:$C$115,ШТАТ_ПО_ЧАСАМ!$A$11:$A$115,A768,ШТАТ_ПО_ЧАСАМ!$B$11:$B$115,B768)</f>
        <v>2</v>
      </c>
      <c r="I768" s="12" t="n">
        <f aca="false">MIN(H768,1)*ПАРАМЕТРЫ!E25</f>
        <v>10</v>
      </c>
      <c r="J768" s="12" t="n">
        <f aca="false">MIN(G768,I768)</f>
        <v>10</v>
      </c>
      <c r="K768" s="12" t="n">
        <f aca="false">MAX(F768-J768,0)</f>
        <v>0</v>
      </c>
      <c r="L768" s="12" t="n">
        <f aca="false">IF(J768=0,0,F768/J768)</f>
        <v>0.11</v>
      </c>
      <c r="M768" s="11" t="str">
        <f aca="false">IF(K768&gt;0,"BLOCKED","PASS")</f>
        <v>PASS</v>
      </c>
      <c r="N768" s="11" t="s">
        <v>233</v>
      </c>
    </row>
    <row r="769" customFormat="false" ht="23.85" hidden="false" customHeight="false" outlineLevel="0" collapsed="false">
      <c r="A769" s="11" t="s">
        <v>113</v>
      </c>
      <c r="B769" s="11" t="s">
        <v>128</v>
      </c>
      <c r="C769" s="11" t="s">
        <v>91</v>
      </c>
      <c r="D769" s="11" t="s">
        <v>92</v>
      </c>
      <c r="E769" s="11" t="s">
        <v>79</v>
      </c>
      <c r="F769" s="12" t="n">
        <f aca="false">SUMIFS(СПРОС_ДЕНЬ_ЧАС_МЕНЮ!$I$11:$I$3265,СПРОС_ДЕНЬ_ЧАС_МЕНЮ!$A$11:$A$3265,A769,СПРОС_ДЕНЬ_ЧАС_МЕНЮ!$B$11:$B$3265,B769,СПРОС_ДЕНЬ_ЧАС_МЕНЮ!$F$11:$F$3265,C769)</f>
        <v>0.8745</v>
      </c>
      <c r="G769" s="12" t="n">
        <f aca="false">ПАРАМЕТРЫ!D26</f>
        <v>20</v>
      </c>
      <c r="H769" s="12" t="n">
        <f aca="false">SUMIFS(ШТАТ_ПО_ЧАСАМ!$C$11:$C$115,ШТАТ_ПО_ЧАСАМ!$A$11:$A$115,A769,ШТАТ_ПО_ЧАСАМ!$B$11:$B$115,B769)</f>
        <v>2</v>
      </c>
      <c r="I769" s="12" t="n">
        <f aca="false">MIN(H769,1)*ПАРАМЕТРЫ!E26</f>
        <v>10</v>
      </c>
      <c r="J769" s="12" t="n">
        <f aca="false">MIN(G769,I769)</f>
        <v>10</v>
      </c>
      <c r="K769" s="12" t="n">
        <f aca="false">MAX(F769-J769,0)</f>
        <v>0</v>
      </c>
      <c r="L769" s="12" t="n">
        <f aca="false">IF(J769=0,0,F769/J769)</f>
        <v>0.08745</v>
      </c>
      <c r="M769" s="11" t="str">
        <f aca="false">IF(K769&gt;0,"BLOCKED","PASS")</f>
        <v>PASS</v>
      </c>
      <c r="N769" s="11" t="s">
        <v>233</v>
      </c>
    </row>
    <row r="770" customFormat="false" ht="15" hidden="false" customHeight="false" outlineLevel="0" collapsed="false">
      <c r="A770" s="11" t="s">
        <v>113</v>
      </c>
      <c r="B770" s="11" t="s">
        <v>128</v>
      </c>
      <c r="C770" s="11" t="s">
        <v>93</v>
      </c>
      <c r="D770" s="11" t="s">
        <v>234</v>
      </c>
      <c r="E770" s="11" t="s">
        <v>95</v>
      </c>
      <c r="F770" s="12" t="n">
        <f aca="false">SUMIFS(СПРОС_ДЕНЬ_ЧАС_МЕНЮ!$I$11:$I$3265,СПРОС_ДЕНЬ_ЧАС_МЕНЮ!$A$11:$A$3265,A770,СПРОС_ДЕНЬ_ЧАС_МЕНЮ!$B$11:$B$3265,B770)</f>
        <v>10.3341425</v>
      </c>
      <c r="G770" s="12" t="n">
        <f aca="false">ПАРАМЕТРЫ!D27</f>
        <v>60</v>
      </c>
      <c r="H770" s="12" t="n">
        <f aca="false">SUMIFS(ШТАТ_ПО_ЧАСАМ!$C$11:$C$115,ШТАТ_ПО_ЧАСАМ!$A$11:$A$115,A770,ШТАТ_ПО_ЧАСАМ!$B$11:$B$115,B770)</f>
        <v>2</v>
      </c>
      <c r="I770" s="12" t="n">
        <f aca="false">H770*ПАРАМЕТРЫ!E27</f>
        <v>33.3333333333333</v>
      </c>
      <c r="J770" s="12" t="n">
        <f aca="false">MIN(G770,I770)</f>
        <v>33.3333333333333</v>
      </c>
      <c r="K770" s="12" t="n">
        <f aca="false">MAX(F770-J770,0)</f>
        <v>0</v>
      </c>
      <c r="L770" s="12" t="n">
        <f aca="false">IF(J770=0,0,F770/J770)</f>
        <v>0.310024275</v>
      </c>
      <c r="M770" s="11" t="str">
        <f aca="false">IF(K770&gt;0,"BLOCKED","PASS")</f>
        <v>PASS</v>
      </c>
      <c r="N770" s="11" t="s">
        <v>235</v>
      </c>
    </row>
    <row r="771" customFormat="false" ht="23.85" hidden="false" customHeight="false" outlineLevel="0" collapsed="false">
      <c r="A771" s="11" t="s">
        <v>113</v>
      </c>
      <c r="B771" s="11" t="s">
        <v>129</v>
      </c>
      <c r="C771" s="11" t="s">
        <v>73</v>
      </c>
      <c r="D771" s="11" t="s">
        <v>74</v>
      </c>
      <c r="E771" s="11" t="s">
        <v>75</v>
      </c>
      <c r="F771" s="12" t="n">
        <f aca="false">SUMIFS(СПРОС_ДЕНЬ_ЧАС_МЕНЮ!$I$11:$I$3265,СПРОС_ДЕНЬ_ЧАС_МЕНЮ!$A$11:$A$3265,A771,СПРОС_ДЕНЬ_ЧАС_МЕНЮ!$B$11:$B$3265,B771,СПРОС_ДЕНЬ_ЧАС_МЕНЮ!$F$11:$F$3265,C771)</f>
        <v>4.202</v>
      </c>
      <c r="G771" s="12" t="n">
        <f aca="false">ПАРАМЕТРЫ!D20</f>
        <v>25</v>
      </c>
      <c r="H771" s="12" t="n">
        <f aca="false">SUMIFS(ШТАТ_ПО_ЧАСАМ!$C$11:$C$115,ШТАТ_ПО_ЧАСАМ!$A$11:$A$115,A771,ШТАТ_ПО_ЧАСАМ!$B$11:$B$115,B771)</f>
        <v>2</v>
      </c>
      <c r="I771" s="12" t="n">
        <f aca="false">MIN(H771,1)*ПАРАМЕТРЫ!E20</f>
        <v>10</v>
      </c>
      <c r="J771" s="12" t="n">
        <f aca="false">MIN(G771,I771)</f>
        <v>10</v>
      </c>
      <c r="K771" s="12" t="n">
        <f aca="false">MAX(F771-J771,0)</f>
        <v>0</v>
      </c>
      <c r="L771" s="12" t="n">
        <f aca="false">IF(J771=0,0,F771/J771)</f>
        <v>0.4202</v>
      </c>
      <c r="M771" s="11" t="str">
        <f aca="false">IF(K771&gt;0,"BLOCKED","PASS")</f>
        <v>PASS</v>
      </c>
      <c r="N771" s="11" t="s">
        <v>233</v>
      </c>
    </row>
    <row r="772" customFormat="false" ht="23.85" hidden="false" customHeight="false" outlineLevel="0" collapsed="false">
      <c r="A772" s="11" t="s">
        <v>113</v>
      </c>
      <c r="B772" s="11" t="s">
        <v>129</v>
      </c>
      <c r="C772" s="11" t="s">
        <v>77</v>
      </c>
      <c r="D772" s="11" t="s">
        <v>78</v>
      </c>
      <c r="E772" s="11" t="s">
        <v>79</v>
      </c>
      <c r="F772" s="12" t="n">
        <f aca="false">SUMIFS(СПРОС_ДЕНЬ_ЧАС_МЕНЮ!$I$11:$I$3265,СПРОС_ДЕНЬ_ЧАС_МЕНЮ!$A$11:$A$3265,A772,СПРОС_ДЕНЬ_ЧАС_МЕНЮ!$B$11:$B$3265,B772,СПРОС_ДЕНЬ_ЧАС_МЕНЮ!$F$11:$F$3265,C772)</f>
        <v>2.1252</v>
      </c>
      <c r="G772" s="12" t="n">
        <f aca="false">ПАРАМЕТРЫ!D21</f>
        <v>20</v>
      </c>
      <c r="H772" s="12" t="n">
        <f aca="false">SUMIFS(ШТАТ_ПО_ЧАСАМ!$C$11:$C$115,ШТАТ_ПО_ЧАСАМ!$A$11:$A$115,A772,ШТАТ_ПО_ЧАСАМ!$B$11:$B$115,B772)</f>
        <v>2</v>
      </c>
      <c r="I772" s="12" t="n">
        <f aca="false">MIN(H772,1)*ПАРАМЕТРЫ!E21</f>
        <v>10</v>
      </c>
      <c r="J772" s="12" t="n">
        <f aca="false">MIN(G772,I772)</f>
        <v>10</v>
      </c>
      <c r="K772" s="12" t="n">
        <f aca="false">MAX(F772-J772,0)</f>
        <v>0</v>
      </c>
      <c r="L772" s="12" t="n">
        <f aca="false">IF(J772=0,0,F772/J772)</f>
        <v>0.21252</v>
      </c>
      <c r="M772" s="11" t="str">
        <f aca="false">IF(K772&gt;0,"BLOCKED","PASS")</f>
        <v>PASS</v>
      </c>
      <c r="N772" s="11" t="s">
        <v>233</v>
      </c>
    </row>
    <row r="773" customFormat="false" ht="23.85" hidden="false" customHeight="false" outlineLevel="0" collapsed="false">
      <c r="A773" s="11" t="s">
        <v>113</v>
      </c>
      <c r="B773" s="11" t="s">
        <v>129</v>
      </c>
      <c r="C773" s="11" t="s">
        <v>80</v>
      </c>
      <c r="D773" s="11" t="s">
        <v>81</v>
      </c>
      <c r="E773" s="11" t="s">
        <v>82</v>
      </c>
      <c r="F773" s="12" t="n">
        <f aca="false">SUMIFS(СПРОС_ДЕНЬ_ЧАС_МЕНЮ!$I$11:$I$3265,СПРОС_ДЕНЬ_ЧАС_МЕНЮ!$A$11:$A$3265,A773,СПРОС_ДЕНЬ_ЧАС_МЕНЮ!$B$11:$B$3265,B773,СПРОС_ДЕНЬ_ЧАС_МЕНЮ!$F$11:$F$3265,C773)</f>
        <v>4.07</v>
      </c>
      <c r="G773" s="12" t="n">
        <f aca="false">ПАРАМЕТРЫ!D22</f>
        <v>16</v>
      </c>
      <c r="H773" s="12" t="n">
        <f aca="false">SUMIFS(ШТАТ_ПО_ЧАСАМ!$C$11:$C$115,ШТАТ_ПО_ЧАСАМ!$A$11:$A$115,A773,ШТАТ_ПО_ЧАСАМ!$B$11:$B$115,B773)</f>
        <v>2</v>
      </c>
      <c r="I773" s="12" t="n">
        <f aca="false">MIN(H773,1)*ПАРАМЕТРЫ!E22</f>
        <v>16</v>
      </c>
      <c r="J773" s="12" t="n">
        <f aca="false">MIN(G773,I773)</f>
        <v>16</v>
      </c>
      <c r="K773" s="12" t="n">
        <f aca="false">MAX(F773-J773,0)</f>
        <v>0</v>
      </c>
      <c r="L773" s="12" t="n">
        <f aca="false">IF(J773=0,0,F773/J773)</f>
        <v>0.254375</v>
      </c>
      <c r="M773" s="11" t="str">
        <f aca="false">IF(K773&gt;0,"BLOCKED","PASS")</f>
        <v>PASS</v>
      </c>
      <c r="N773" s="11" t="s">
        <v>233</v>
      </c>
    </row>
    <row r="774" customFormat="false" ht="23.85" hidden="false" customHeight="false" outlineLevel="0" collapsed="false">
      <c r="A774" s="11" t="s">
        <v>113</v>
      </c>
      <c r="B774" s="11" t="s">
        <v>129</v>
      </c>
      <c r="C774" s="11" t="s">
        <v>83</v>
      </c>
      <c r="D774" s="11" t="s">
        <v>84</v>
      </c>
      <c r="E774" s="11" t="s">
        <v>83</v>
      </c>
      <c r="F774" s="12" t="n">
        <f aca="false">SUMIFS(СПРОС_ДЕНЬ_ЧАС_МЕНЮ!$I$11:$I$3265,СПРОС_ДЕНЬ_ЧАС_МЕНЮ!$A$11:$A$3265,A774,СПРОС_ДЕНЬ_ЧАС_МЕНЮ!$B$11:$B$3265,B774,СПРОС_ДЕНЬ_ЧАС_МЕНЮ!$F$11:$F$3265,C774)</f>
        <v>7.26</v>
      </c>
      <c r="G774" s="12" t="n">
        <f aca="false">ПАРАМЕТРЫ!D23</f>
        <v>21</v>
      </c>
      <c r="H774" s="12" t="n">
        <f aca="false">SUMIFS(ШТАТ_ПО_ЧАСАМ!$C$11:$C$115,ШТАТ_ПО_ЧАСАМ!$A$11:$A$115,A774,ШТАТ_ПО_ЧАСАМ!$B$11:$B$115,B774)</f>
        <v>2</v>
      </c>
      <c r="I774" s="12" t="n">
        <f aca="false">MIN(H774,1)*ПАРАМЕТРЫ!E23</f>
        <v>21</v>
      </c>
      <c r="J774" s="12" t="n">
        <f aca="false">MIN(G774,I774)</f>
        <v>21</v>
      </c>
      <c r="K774" s="12" t="n">
        <f aca="false">MAX(F774-J774,0)</f>
        <v>0</v>
      </c>
      <c r="L774" s="12" t="n">
        <f aca="false">IF(J774=0,0,F774/J774)</f>
        <v>0.345714285714286</v>
      </c>
      <c r="M774" s="11" t="str">
        <f aca="false">IF(K774&gt;0,"BLOCKED","PASS")</f>
        <v>PASS</v>
      </c>
      <c r="N774" s="11" t="s">
        <v>233</v>
      </c>
    </row>
    <row r="775" customFormat="false" ht="23.85" hidden="false" customHeight="false" outlineLevel="0" collapsed="false">
      <c r="A775" s="11" t="s">
        <v>113</v>
      </c>
      <c r="B775" s="11" t="s">
        <v>129</v>
      </c>
      <c r="C775" s="11" t="s">
        <v>85</v>
      </c>
      <c r="D775" s="11" t="s">
        <v>86</v>
      </c>
      <c r="E775" s="11" t="s">
        <v>87</v>
      </c>
      <c r="F775" s="12" t="n">
        <f aca="false">SUMIFS(СПРОС_ДЕНЬ_ЧАС_МЕНЮ!$I$11:$I$3265,СПРОС_ДЕНЬ_ЧАС_МЕНЮ!$A$11:$A$3265,A775,СПРОС_ДЕНЬ_ЧАС_МЕНЮ!$B$11:$B$3265,B775,СПРОС_ДЕНЬ_ЧАС_МЕНЮ!$F$11:$F$3265,C775)</f>
        <v>2.41318</v>
      </c>
      <c r="G775" s="12" t="n">
        <f aca="false">ПАРАМЕТРЫ!D24</f>
        <v>12</v>
      </c>
      <c r="H775" s="12" t="n">
        <f aca="false">SUMIFS(ШТАТ_ПО_ЧАСАМ!$C$11:$C$115,ШТАТ_ПО_ЧАСАМ!$A$11:$A$115,A775,ШТАТ_ПО_ЧАСАМ!$B$11:$B$115,B775)</f>
        <v>2</v>
      </c>
      <c r="I775" s="12" t="n">
        <f aca="false">MIN(H775,1)*ПАРАМЕТРЫ!E24</f>
        <v>12</v>
      </c>
      <c r="J775" s="12" t="n">
        <f aca="false">MIN(G775,I775)</f>
        <v>12</v>
      </c>
      <c r="K775" s="12" t="n">
        <f aca="false">MAX(F775-J775,0)</f>
        <v>0</v>
      </c>
      <c r="L775" s="12" t="n">
        <f aca="false">IF(J775=0,0,F775/J775)</f>
        <v>0.201098333333333</v>
      </c>
      <c r="M775" s="11" t="str">
        <f aca="false">IF(K775&gt;0,"BLOCKED","PASS")</f>
        <v>PASS</v>
      </c>
      <c r="N775" s="11" t="s">
        <v>233</v>
      </c>
    </row>
    <row r="776" customFormat="false" ht="23.85" hidden="false" customHeight="false" outlineLevel="0" collapsed="false">
      <c r="A776" s="11" t="s">
        <v>113</v>
      </c>
      <c r="B776" s="11" t="s">
        <v>129</v>
      </c>
      <c r="C776" s="11" t="s">
        <v>88</v>
      </c>
      <c r="D776" s="11" t="s">
        <v>89</v>
      </c>
      <c r="E776" s="11" t="s">
        <v>90</v>
      </c>
      <c r="F776" s="12" t="n">
        <f aca="false">SUMIFS(СПРОС_ДЕНЬ_ЧАС_МЕНЮ!$I$11:$I$3265,СПРОС_ДЕНЬ_ЧАС_МЕНЮ!$A$11:$A$3265,A776,СПРОС_ДЕНЬ_ЧАС_МЕНЮ!$B$11:$B$3265,B776,СПРОС_ДЕНЬ_ЧАС_МЕНЮ!$F$11:$F$3265,C776)</f>
        <v>0</v>
      </c>
      <c r="G776" s="12" t="n">
        <f aca="false">ПАРАМЕТРЫ!D25</f>
        <v>15</v>
      </c>
      <c r="H776" s="12" t="n">
        <f aca="false">SUMIFS(ШТАТ_ПО_ЧАСАМ!$C$11:$C$115,ШТАТ_ПО_ЧАСАМ!$A$11:$A$115,A776,ШТАТ_ПО_ЧАСАМ!$B$11:$B$115,B776)</f>
        <v>2</v>
      </c>
      <c r="I776" s="12" t="n">
        <f aca="false">MIN(H776,1)*ПАРАМЕТРЫ!E25</f>
        <v>10</v>
      </c>
      <c r="J776" s="12" t="n">
        <f aca="false">MIN(G776,I776)</f>
        <v>10</v>
      </c>
      <c r="K776" s="12" t="n">
        <f aca="false">MAX(F776-J776,0)</f>
        <v>0</v>
      </c>
      <c r="L776" s="12" t="n">
        <f aca="false">IF(J776=0,0,F776/J776)</f>
        <v>0</v>
      </c>
      <c r="M776" s="11" t="str">
        <f aca="false">IF(K776&gt;0,"BLOCKED","PASS")</f>
        <v>PASS</v>
      </c>
      <c r="N776" s="11" t="s">
        <v>233</v>
      </c>
    </row>
    <row r="777" customFormat="false" ht="23.85" hidden="false" customHeight="false" outlineLevel="0" collapsed="false">
      <c r="A777" s="11" t="s">
        <v>113</v>
      </c>
      <c r="B777" s="11" t="s">
        <v>129</v>
      </c>
      <c r="C777" s="11" t="s">
        <v>91</v>
      </c>
      <c r="D777" s="11" t="s">
        <v>92</v>
      </c>
      <c r="E777" s="11" t="s">
        <v>79</v>
      </c>
      <c r="F777" s="12" t="n">
        <f aca="false">SUMIFS(СПРОС_ДЕНЬ_ЧАС_МЕНЮ!$I$11:$I$3265,СПРОС_ДЕНЬ_ЧАС_МЕНЮ!$A$11:$A$3265,A777,СПРОС_ДЕНЬ_ЧАС_МЕНЮ!$B$11:$B$3265,B777,СПРОС_ДЕНЬ_ЧАС_МЕНЮ!$F$11:$F$3265,C777)</f>
        <v>1.452</v>
      </c>
      <c r="G777" s="12" t="n">
        <f aca="false">ПАРАМЕТРЫ!D26</f>
        <v>20</v>
      </c>
      <c r="H777" s="12" t="n">
        <f aca="false">SUMIFS(ШТАТ_ПО_ЧАСАМ!$C$11:$C$115,ШТАТ_ПО_ЧАСАМ!$A$11:$A$115,A777,ШТАТ_ПО_ЧАСАМ!$B$11:$B$115,B777)</f>
        <v>2</v>
      </c>
      <c r="I777" s="12" t="n">
        <f aca="false">MIN(H777,1)*ПАРАМЕТРЫ!E26</f>
        <v>10</v>
      </c>
      <c r="J777" s="12" t="n">
        <f aca="false">MIN(G777,I777)</f>
        <v>10</v>
      </c>
      <c r="K777" s="12" t="n">
        <f aca="false">MAX(F777-J777,0)</f>
        <v>0</v>
      </c>
      <c r="L777" s="12" t="n">
        <f aca="false">IF(J777=0,0,F777/J777)</f>
        <v>0.1452</v>
      </c>
      <c r="M777" s="11" t="str">
        <f aca="false">IF(K777&gt;0,"BLOCKED","PASS")</f>
        <v>PASS</v>
      </c>
      <c r="N777" s="11" t="s">
        <v>233</v>
      </c>
    </row>
    <row r="778" customFormat="false" ht="15" hidden="false" customHeight="false" outlineLevel="0" collapsed="false">
      <c r="A778" s="11" t="s">
        <v>113</v>
      </c>
      <c r="B778" s="11" t="s">
        <v>129</v>
      </c>
      <c r="C778" s="11" t="s">
        <v>93</v>
      </c>
      <c r="D778" s="11" t="s">
        <v>234</v>
      </c>
      <c r="E778" s="11" t="s">
        <v>95</v>
      </c>
      <c r="F778" s="12" t="n">
        <f aca="false">SUMIFS(СПРОС_ДЕНЬ_ЧАС_МЕНЮ!$I$11:$I$3265,СПРОС_ДЕНЬ_ЧАС_МЕНЮ!$A$11:$A$3265,A778,СПРОС_ДЕНЬ_ЧАС_МЕНЮ!$B$11:$B$3265,B778)</f>
        <v>21.52238</v>
      </c>
      <c r="G778" s="12" t="n">
        <f aca="false">ПАРАМЕТРЫ!D27</f>
        <v>60</v>
      </c>
      <c r="H778" s="12" t="n">
        <f aca="false">SUMIFS(ШТАТ_ПО_ЧАСАМ!$C$11:$C$115,ШТАТ_ПО_ЧАСАМ!$A$11:$A$115,A778,ШТАТ_ПО_ЧАСАМ!$B$11:$B$115,B778)</f>
        <v>2</v>
      </c>
      <c r="I778" s="12" t="n">
        <f aca="false">H778*ПАРАМЕТРЫ!E27</f>
        <v>33.3333333333333</v>
      </c>
      <c r="J778" s="12" t="n">
        <f aca="false">MIN(G778,I778)</f>
        <v>33.3333333333333</v>
      </c>
      <c r="K778" s="12" t="n">
        <f aca="false">MAX(F778-J778,0)</f>
        <v>0</v>
      </c>
      <c r="L778" s="12" t="n">
        <f aca="false">IF(J778=0,0,F778/J778)</f>
        <v>0.6456714</v>
      </c>
      <c r="M778" s="11" t="str">
        <f aca="false">IF(K778&gt;0,"BLOCKED","PASS")</f>
        <v>PASS</v>
      </c>
      <c r="N778" s="11" t="s">
        <v>235</v>
      </c>
    </row>
    <row r="779" customFormat="false" ht="23.85" hidden="false" customHeight="false" outlineLevel="0" collapsed="false">
      <c r="A779" s="11" t="s">
        <v>113</v>
      </c>
      <c r="B779" s="11" t="s">
        <v>130</v>
      </c>
      <c r="C779" s="11" t="s">
        <v>73</v>
      </c>
      <c r="D779" s="11" t="s">
        <v>74</v>
      </c>
      <c r="E779" s="11" t="s">
        <v>75</v>
      </c>
      <c r="F779" s="12" t="n">
        <f aca="false">SUMIFS(СПРОС_ДЕНЬ_ЧАС_МЕНЮ!$I$11:$I$3265,СПРОС_ДЕНЬ_ЧАС_МЕНЮ!$A$11:$A$3265,A779,СПРОС_ДЕНЬ_ЧАС_МЕНЮ!$B$11:$B$3265,B779,СПРОС_ДЕНЬ_ЧАС_МЕНЮ!$F$11:$F$3265,C779)</f>
        <v>4.51</v>
      </c>
      <c r="G779" s="12" t="n">
        <f aca="false">ПАРАМЕТРЫ!D20</f>
        <v>25</v>
      </c>
      <c r="H779" s="12" t="n">
        <f aca="false">SUMIFS(ШТАТ_ПО_ЧАСАМ!$C$11:$C$115,ШТАТ_ПО_ЧАСАМ!$A$11:$A$115,A779,ШТАТ_ПО_ЧАСАМ!$B$11:$B$115,B779)</f>
        <v>2</v>
      </c>
      <c r="I779" s="12" t="n">
        <f aca="false">MIN(H779,1)*ПАРАМЕТРЫ!E20</f>
        <v>10</v>
      </c>
      <c r="J779" s="12" t="n">
        <f aca="false">MIN(G779,I779)</f>
        <v>10</v>
      </c>
      <c r="K779" s="12" t="n">
        <f aca="false">MAX(F779-J779,0)</f>
        <v>0</v>
      </c>
      <c r="L779" s="12" t="n">
        <f aca="false">IF(J779=0,0,F779/J779)</f>
        <v>0.451</v>
      </c>
      <c r="M779" s="11" t="str">
        <f aca="false">IF(K779&gt;0,"BLOCKED","PASS")</f>
        <v>PASS</v>
      </c>
      <c r="N779" s="11" t="s">
        <v>233</v>
      </c>
    </row>
    <row r="780" customFormat="false" ht="23.85" hidden="false" customHeight="false" outlineLevel="0" collapsed="false">
      <c r="A780" s="11" t="s">
        <v>113</v>
      </c>
      <c r="B780" s="11" t="s">
        <v>130</v>
      </c>
      <c r="C780" s="11" t="s">
        <v>77</v>
      </c>
      <c r="D780" s="11" t="s">
        <v>78</v>
      </c>
      <c r="E780" s="11" t="s">
        <v>79</v>
      </c>
      <c r="F780" s="12" t="n">
        <f aca="false">SUMIFS(СПРОС_ДЕНЬ_ЧАС_МЕНЮ!$I$11:$I$3265,СПРОС_ДЕНЬ_ЧАС_МЕНЮ!$A$11:$A$3265,A780,СПРОС_ДЕНЬ_ЧАС_МЕНЮ!$B$11:$B$3265,B780,СПРОС_ДЕНЬ_ЧАС_МЕНЮ!$F$11:$F$3265,C780)</f>
        <v>2.31</v>
      </c>
      <c r="G780" s="12" t="n">
        <f aca="false">ПАРАМЕТРЫ!D21</f>
        <v>20</v>
      </c>
      <c r="H780" s="12" t="n">
        <f aca="false">SUMIFS(ШТАТ_ПО_ЧАСАМ!$C$11:$C$115,ШТАТ_ПО_ЧАСАМ!$A$11:$A$115,A780,ШТАТ_ПО_ЧАСАМ!$B$11:$B$115,B780)</f>
        <v>2</v>
      </c>
      <c r="I780" s="12" t="n">
        <f aca="false">MIN(H780,1)*ПАРАМЕТРЫ!E21</f>
        <v>10</v>
      </c>
      <c r="J780" s="12" t="n">
        <f aca="false">MIN(G780,I780)</f>
        <v>10</v>
      </c>
      <c r="K780" s="12" t="n">
        <f aca="false">MAX(F780-J780,0)</f>
        <v>0</v>
      </c>
      <c r="L780" s="12" t="n">
        <f aca="false">IF(J780=0,0,F780/J780)</f>
        <v>0.231</v>
      </c>
      <c r="M780" s="11" t="str">
        <f aca="false">IF(K780&gt;0,"BLOCKED","PASS")</f>
        <v>PASS</v>
      </c>
      <c r="N780" s="11" t="s">
        <v>233</v>
      </c>
    </row>
    <row r="781" customFormat="false" ht="23.85" hidden="false" customHeight="false" outlineLevel="0" collapsed="false">
      <c r="A781" s="11" t="s">
        <v>113</v>
      </c>
      <c r="B781" s="11" t="s">
        <v>130</v>
      </c>
      <c r="C781" s="11" t="s">
        <v>80</v>
      </c>
      <c r="D781" s="11" t="s">
        <v>81</v>
      </c>
      <c r="E781" s="11" t="s">
        <v>82</v>
      </c>
      <c r="F781" s="12" t="n">
        <f aca="false">SUMIFS(СПРОС_ДЕНЬ_ЧАС_МЕНЮ!$I$11:$I$3265,СПРОС_ДЕНЬ_ЧАС_МЕНЮ!$A$11:$A$3265,A781,СПРОС_ДЕНЬ_ЧАС_МЕНЮ!$B$11:$B$3265,B781,СПРОС_ДЕНЬ_ЧАС_МЕНЮ!$F$11:$F$3265,C781)</f>
        <v>4.84</v>
      </c>
      <c r="G781" s="12" t="n">
        <f aca="false">ПАРАМЕТРЫ!D22</f>
        <v>16</v>
      </c>
      <c r="H781" s="12" t="n">
        <f aca="false">SUMIFS(ШТАТ_ПО_ЧАСАМ!$C$11:$C$115,ШТАТ_ПО_ЧАСАМ!$A$11:$A$115,A781,ШТАТ_ПО_ЧАСАМ!$B$11:$B$115,B781)</f>
        <v>2</v>
      </c>
      <c r="I781" s="12" t="n">
        <f aca="false">MIN(H781,1)*ПАРАМЕТРЫ!E22</f>
        <v>16</v>
      </c>
      <c r="J781" s="12" t="n">
        <f aca="false">MIN(G781,I781)</f>
        <v>16</v>
      </c>
      <c r="K781" s="12" t="n">
        <f aca="false">MAX(F781-J781,0)</f>
        <v>0</v>
      </c>
      <c r="L781" s="12" t="n">
        <f aca="false">IF(J781=0,0,F781/J781)</f>
        <v>0.3025</v>
      </c>
      <c r="M781" s="11" t="str">
        <f aca="false">IF(K781&gt;0,"BLOCKED","PASS")</f>
        <v>PASS</v>
      </c>
      <c r="N781" s="11" t="s">
        <v>233</v>
      </c>
    </row>
    <row r="782" customFormat="false" ht="23.85" hidden="false" customHeight="false" outlineLevel="0" collapsed="false">
      <c r="A782" s="11" t="s">
        <v>113</v>
      </c>
      <c r="B782" s="11" t="s">
        <v>130</v>
      </c>
      <c r="C782" s="11" t="s">
        <v>83</v>
      </c>
      <c r="D782" s="11" t="s">
        <v>84</v>
      </c>
      <c r="E782" s="11" t="s">
        <v>83</v>
      </c>
      <c r="F782" s="12" t="n">
        <f aca="false">SUMIFS(СПРОС_ДЕНЬ_ЧАС_МЕНЮ!$I$11:$I$3265,СПРОС_ДЕНЬ_ЧАС_МЕНЮ!$A$11:$A$3265,A782,СПРОС_ДЕНЬ_ЧАС_МЕНЮ!$B$11:$B$3265,B782,СПРОС_ДЕНЬ_ЧАС_МЕНЮ!$F$11:$F$3265,C782)</f>
        <v>8.415</v>
      </c>
      <c r="G782" s="12" t="n">
        <f aca="false">ПАРАМЕТРЫ!D23</f>
        <v>21</v>
      </c>
      <c r="H782" s="12" t="n">
        <f aca="false">SUMIFS(ШТАТ_ПО_ЧАСАМ!$C$11:$C$115,ШТАТ_ПО_ЧАСАМ!$A$11:$A$115,A782,ШТАТ_ПО_ЧАСАМ!$B$11:$B$115,B782)</f>
        <v>2</v>
      </c>
      <c r="I782" s="12" t="n">
        <f aca="false">MIN(H782,1)*ПАРАМЕТРЫ!E23</f>
        <v>21</v>
      </c>
      <c r="J782" s="12" t="n">
        <f aca="false">MIN(G782,I782)</f>
        <v>21</v>
      </c>
      <c r="K782" s="12" t="n">
        <f aca="false">MAX(F782-J782,0)</f>
        <v>0</v>
      </c>
      <c r="L782" s="12" t="n">
        <f aca="false">IF(J782=0,0,F782/J782)</f>
        <v>0.400714285714286</v>
      </c>
      <c r="M782" s="11" t="str">
        <f aca="false">IF(K782&gt;0,"BLOCKED","PASS")</f>
        <v>PASS</v>
      </c>
      <c r="N782" s="11" t="s">
        <v>233</v>
      </c>
    </row>
    <row r="783" customFormat="false" ht="23.85" hidden="false" customHeight="false" outlineLevel="0" collapsed="false">
      <c r="A783" s="11" t="s">
        <v>113</v>
      </c>
      <c r="B783" s="11" t="s">
        <v>130</v>
      </c>
      <c r="C783" s="11" t="s">
        <v>85</v>
      </c>
      <c r="D783" s="11" t="s">
        <v>86</v>
      </c>
      <c r="E783" s="11" t="s">
        <v>87</v>
      </c>
      <c r="F783" s="12" t="n">
        <f aca="false">SUMIFS(СПРОС_ДЕНЬ_ЧАС_МЕНЮ!$I$11:$I$3265,СПРОС_ДЕНЬ_ЧАС_МЕНЮ!$A$11:$A$3265,A783,СПРОС_ДЕНЬ_ЧАС_МЕНЮ!$B$11:$B$3265,B783,СПРОС_ДЕНЬ_ЧАС_МЕНЮ!$F$11:$F$3265,C783)</f>
        <v>3.016475</v>
      </c>
      <c r="G783" s="12" t="n">
        <f aca="false">ПАРАМЕТРЫ!D24</f>
        <v>12</v>
      </c>
      <c r="H783" s="12" t="n">
        <f aca="false">SUMIFS(ШТАТ_ПО_ЧАСАМ!$C$11:$C$115,ШТАТ_ПО_ЧАСАМ!$A$11:$A$115,A783,ШТАТ_ПО_ЧАСАМ!$B$11:$B$115,B783)</f>
        <v>2</v>
      </c>
      <c r="I783" s="12" t="n">
        <f aca="false">MIN(H783,1)*ПАРАМЕТРЫ!E24</f>
        <v>12</v>
      </c>
      <c r="J783" s="12" t="n">
        <f aca="false">MIN(G783,I783)</f>
        <v>12</v>
      </c>
      <c r="K783" s="12" t="n">
        <f aca="false">MAX(F783-J783,0)</f>
        <v>0</v>
      </c>
      <c r="L783" s="12" t="n">
        <f aca="false">IF(J783=0,0,F783/J783)</f>
        <v>0.251372916666667</v>
      </c>
      <c r="M783" s="11" t="str">
        <f aca="false">IF(K783&gt;0,"BLOCKED","PASS")</f>
        <v>PASS</v>
      </c>
      <c r="N783" s="11" t="s">
        <v>233</v>
      </c>
    </row>
    <row r="784" customFormat="false" ht="23.85" hidden="false" customHeight="false" outlineLevel="0" collapsed="false">
      <c r="A784" s="11" t="s">
        <v>113</v>
      </c>
      <c r="B784" s="11" t="s">
        <v>130</v>
      </c>
      <c r="C784" s="11" t="s">
        <v>88</v>
      </c>
      <c r="D784" s="11" t="s">
        <v>89</v>
      </c>
      <c r="E784" s="11" t="s">
        <v>90</v>
      </c>
      <c r="F784" s="12" t="n">
        <f aca="false">SUMIFS(СПРОС_ДЕНЬ_ЧАС_МЕНЮ!$I$11:$I$3265,СПРОС_ДЕНЬ_ЧАС_МЕНЮ!$A$11:$A$3265,A784,СПРОС_ДЕНЬ_ЧАС_МЕНЮ!$B$11:$B$3265,B784,СПРОС_ДЕНЬ_ЧАС_МЕНЮ!$F$11:$F$3265,C784)</f>
        <v>0</v>
      </c>
      <c r="G784" s="12" t="n">
        <f aca="false">ПАРАМЕТРЫ!D25</f>
        <v>15</v>
      </c>
      <c r="H784" s="12" t="n">
        <f aca="false">SUMIFS(ШТАТ_ПО_ЧАСАМ!$C$11:$C$115,ШТАТ_ПО_ЧАСАМ!$A$11:$A$115,A784,ШТАТ_ПО_ЧАСАМ!$B$11:$B$115,B784)</f>
        <v>2</v>
      </c>
      <c r="I784" s="12" t="n">
        <f aca="false">MIN(H784,1)*ПАРАМЕТРЫ!E25</f>
        <v>10</v>
      </c>
      <c r="J784" s="12" t="n">
        <f aca="false">MIN(G784,I784)</f>
        <v>10</v>
      </c>
      <c r="K784" s="12" t="n">
        <f aca="false">MAX(F784-J784,0)</f>
        <v>0</v>
      </c>
      <c r="L784" s="12" t="n">
        <f aca="false">IF(J784=0,0,F784/J784)</f>
        <v>0</v>
      </c>
      <c r="M784" s="11" t="str">
        <f aca="false">IF(K784&gt;0,"BLOCKED","PASS")</f>
        <v>PASS</v>
      </c>
      <c r="N784" s="11" t="s">
        <v>233</v>
      </c>
    </row>
    <row r="785" customFormat="false" ht="23.85" hidden="false" customHeight="false" outlineLevel="0" collapsed="false">
      <c r="A785" s="11" t="s">
        <v>113</v>
      </c>
      <c r="B785" s="11" t="s">
        <v>130</v>
      </c>
      <c r="C785" s="11" t="s">
        <v>91</v>
      </c>
      <c r="D785" s="11" t="s">
        <v>92</v>
      </c>
      <c r="E785" s="11" t="s">
        <v>79</v>
      </c>
      <c r="F785" s="12" t="n">
        <f aca="false">SUMIFS(СПРОС_ДЕНЬ_ЧАС_МЕНЮ!$I$11:$I$3265,СПРОС_ДЕНЬ_ЧАС_МЕНЮ!$A$11:$A$3265,A785,СПРОС_ДЕНЬ_ЧАС_МЕНЮ!$B$11:$B$3265,B785,СПРОС_ДЕНЬ_ЧАС_МЕНЮ!$F$11:$F$3265,C785)</f>
        <v>1.683</v>
      </c>
      <c r="G785" s="12" t="n">
        <f aca="false">ПАРАМЕТРЫ!D26</f>
        <v>20</v>
      </c>
      <c r="H785" s="12" t="n">
        <f aca="false">SUMIFS(ШТАТ_ПО_ЧАСАМ!$C$11:$C$115,ШТАТ_ПО_ЧАСАМ!$A$11:$A$115,A785,ШТАТ_ПО_ЧАСАМ!$B$11:$B$115,B785)</f>
        <v>2</v>
      </c>
      <c r="I785" s="12" t="n">
        <f aca="false">MIN(H785,1)*ПАРАМЕТРЫ!E26</f>
        <v>10</v>
      </c>
      <c r="J785" s="12" t="n">
        <f aca="false">MIN(G785,I785)</f>
        <v>10</v>
      </c>
      <c r="K785" s="12" t="n">
        <f aca="false">MAX(F785-J785,0)</f>
        <v>0</v>
      </c>
      <c r="L785" s="12" t="n">
        <f aca="false">IF(J785=0,0,F785/J785)</f>
        <v>0.1683</v>
      </c>
      <c r="M785" s="11" t="str">
        <f aca="false">IF(K785&gt;0,"BLOCKED","PASS")</f>
        <v>PASS</v>
      </c>
      <c r="N785" s="11" t="s">
        <v>233</v>
      </c>
    </row>
    <row r="786" customFormat="false" ht="15" hidden="false" customHeight="false" outlineLevel="0" collapsed="false">
      <c r="A786" s="11" t="s">
        <v>113</v>
      </c>
      <c r="B786" s="11" t="s">
        <v>130</v>
      </c>
      <c r="C786" s="11" t="s">
        <v>93</v>
      </c>
      <c r="D786" s="11" t="s">
        <v>234</v>
      </c>
      <c r="E786" s="11" t="s">
        <v>95</v>
      </c>
      <c r="F786" s="12" t="n">
        <f aca="false">SUMIFS(СПРОС_ДЕНЬ_ЧАС_МЕНЮ!$I$11:$I$3265,СПРОС_ДЕНЬ_ЧАС_МЕНЮ!$A$11:$A$3265,A786,СПРОС_ДЕНЬ_ЧАС_МЕНЮ!$B$11:$B$3265,B786)</f>
        <v>24.774475</v>
      </c>
      <c r="G786" s="12" t="n">
        <f aca="false">ПАРАМЕТРЫ!D27</f>
        <v>60</v>
      </c>
      <c r="H786" s="12" t="n">
        <f aca="false">SUMIFS(ШТАТ_ПО_ЧАСАМ!$C$11:$C$115,ШТАТ_ПО_ЧАСАМ!$A$11:$A$115,A786,ШТАТ_ПО_ЧАСАМ!$B$11:$B$115,B786)</f>
        <v>2</v>
      </c>
      <c r="I786" s="12" t="n">
        <f aca="false">H786*ПАРАМЕТРЫ!E27</f>
        <v>33.3333333333333</v>
      </c>
      <c r="J786" s="12" t="n">
        <f aca="false">MIN(G786,I786)</f>
        <v>33.3333333333333</v>
      </c>
      <c r="K786" s="12" t="n">
        <f aca="false">MAX(F786-J786,0)</f>
        <v>0</v>
      </c>
      <c r="L786" s="12" t="n">
        <f aca="false">IF(J786=0,0,F786/J786)</f>
        <v>0.74323425</v>
      </c>
      <c r="M786" s="11" t="str">
        <f aca="false">IF(K786&gt;0,"BLOCKED","PASS")</f>
        <v>PASS</v>
      </c>
      <c r="N786" s="11" t="s">
        <v>235</v>
      </c>
    </row>
    <row r="787" customFormat="false" ht="23.85" hidden="false" customHeight="false" outlineLevel="0" collapsed="false">
      <c r="A787" s="11" t="s">
        <v>113</v>
      </c>
      <c r="B787" s="11" t="s">
        <v>131</v>
      </c>
      <c r="C787" s="11" t="s">
        <v>73</v>
      </c>
      <c r="D787" s="11" t="s">
        <v>74</v>
      </c>
      <c r="E787" s="11" t="s">
        <v>75</v>
      </c>
      <c r="F787" s="12" t="n">
        <f aca="false">SUMIFS(СПРОС_ДЕНЬ_ЧАС_МЕНЮ!$I$11:$I$3265,СПРОС_ДЕНЬ_ЧАС_МЕНЮ!$A$11:$A$3265,A787,СПРОС_ДЕНЬ_ЧАС_МЕНЮ!$B$11:$B$3265,B787,СПРОС_ДЕНЬ_ЧАС_МЕНЮ!$F$11:$F$3265,C787)</f>
        <v>2.563</v>
      </c>
      <c r="G787" s="12" t="n">
        <f aca="false">ПАРАМЕТРЫ!D20</f>
        <v>25</v>
      </c>
      <c r="H787" s="12" t="n">
        <f aca="false">SUMIFS(ШТАТ_ПО_ЧАСАМ!$C$11:$C$115,ШТАТ_ПО_ЧАСАМ!$A$11:$A$115,A787,ШТАТ_ПО_ЧАСАМ!$B$11:$B$115,B787)</f>
        <v>2</v>
      </c>
      <c r="I787" s="12" t="n">
        <f aca="false">MIN(H787,1)*ПАРАМЕТРЫ!E20</f>
        <v>10</v>
      </c>
      <c r="J787" s="12" t="n">
        <f aca="false">MIN(G787,I787)</f>
        <v>10</v>
      </c>
      <c r="K787" s="12" t="n">
        <f aca="false">MAX(F787-J787,0)</f>
        <v>0</v>
      </c>
      <c r="L787" s="12" t="n">
        <f aca="false">IF(J787=0,0,F787/J787)</f>
        <v>0.2563</v>
      </c>
      <c r="M787" s="11" t="str">
        <f aca="false">IF(K787&gt;0,"BLOCKED","PASS")</f>
        <v>PASS</v>
      </c>
      <c r="N787" s="11" t="s">
        <v>233</v>
      </c>
    </row>
    <row r="788" customFormat="false" ht="23.85" hidden="false" customHeight="false" outlineLevel="0" collapsed="false">
      <c r="A788" s="11" t="s">
        <v>113</v>
      </c>
      <c r="B788" s="11" t="s">
        <v>131</v>
      </c>
      <c r="C788" s="11" t="s">
        <v>77</v>
      </c>
      <c r="D788" s="11" t="s">
        <v>78</v>
      </c>
      <c r="E788" s="11" t="s">
        <v>79</v>
      </c>
      <c r="F788" s="12" t="n">
        <f aca="false">SUMIFS(СПРОС_ДЕНЬ_ЧАС_МЕНЮ!$I$11:$I$3265,СПРОС_ДЕНЬ_ЧАС_МЕНЮ!$A$11:$A$3265,A788,СПРОС_ДЕНЬ_ЧАС_МЕНЮ!$B$11:$B$3265,B788,СПРОС_ДЕНЬ_ЧАС_МЕНЮ!$F$11:$F$3265,C788)</f>
        <v>1.8678</v>
      </c>
      <c r="G788" s="12" t="n">
        <f aca="false">ПАРАМЕТРЫ!D21</f>
        <v>20</v>
      </c>
      <c r="H788" s="12" t="n">
        <f aca="false">SUMIFS(ШТАТ_ПО_ЧАСАМ!$C$11:$C$115,ШТАТ_ПО_ЧАСАМ!$A$11:$A$115,A788,ШТАТ_ПО_ЧАСАМ!$B$11:$B$115,B788)</f>
        <v>2</v>
      </c>
      <c r="I788" s="12" t="n">
        <f aca="false">MIN(H788,1)*ПАРАМЕТРЫ!E21</f>
        <v>10</v>
      </c>
      <c r="J788" s="12" t="n">
        <f aca="false">MIN(G788,I788)</f>
        <v>10</v>
      </c>
      <c r="K788" s="12" t="n">
        <f aca="false">MAX(F788-J788,0)</f>
        <v>0</v>
      </c>
      <c r="L788" s="12" t="n">
        <f aca="false">IF(J788=0,0,F788/J788)</f>
        <v>0.18678</v>
      </c>
      <c r="M788" s="11" t="str">
        <f aca="false">IF(K788&gt;0,"BLOCKED","PASS")</f>
        <v>PASS</v>
      </c>
      <c r="N788" s="11" t="s">
        <v>233</v>
      </c>
    </row>
    <row r="789" customFormat="false" ht="23.85" hidden="false" customHeight="false" outlineLevel="0" collapsed="false">
      <c r="A789" s="11" t="s">
        <v>113</v>
      </c>
      <c r="B789" s="11" t="s">
        <v>131</v>
      </c>
      <c r="C789" s="11" t="s">
        <v>80</v>
      </c>
      <c r="D789" s="11" t="s">
        <v>81</v>
      </c>
      <c r="E789" s="11" t="s">
        <v>82</v>
      </c>
      <c r="F789" s="12" t="n">
        <f aca="false">SUMIFS(СПРОС_ДЕНЬ_ЧАС_МЕНЮ!$I$11:$I$3265,СПРОС_ДЕНЬ_ЧАС_МЕНЮ!$A$11:$A$3265,A789,СПРОС_ДЕНЬ_ЧАС_МЕНЮ!$B$11:$B$3265,B789,СПРОС_ДЕНЬ_ЧАС_МЕНЮ!$F$11:$F$3265,C789)</f>
        <v>3.19</v>
      </c>
      <c r="G789" s="12" t="n">
        <f aca="false">ПАРАМЕТРЫ!D22</f>
        <v>16</v>
      </c>
      <c r="H789" s="12" t="n">
        <f aca="false">SUMIFS(ШТАТ_ПО_ЧАСАМ!$C$11:$C$115,ШТАТ_ПО_ЧАСАМ!$A$11:$A$115,A789,ШТАТ_ПО_ЧАСАМ!$B$11:$B$115,B789)</f>
        <v>2</v>
      </c>
      <c r="I789" s="12" t="n">
        <f aca="false">MIN(H789,1)*ПАРАМЕТРЫ!E22</f>
        <v>16</v>
      </c>
      <c r="J789" s="12" t="n">
        <f aca="false">MIN(G789,I789)</f>
        <v>16</v>
      </c>
      <c r="K789" s="12" t="n">
        <f aca="false">MAX(F789-J789,0)</f>
        <v>0</v>
      </c>
      <c r="L789" s="12" t="n">
        <f aca="false">IF(J789=0,0,F789/J789)</f>
        <v>0.199375</v>
      </c>
      <c r="M789" s="11" t="str">
        <f aca="false">IF(K789&gt;0,"BLOCKED","PASS")</f>
        <v>PASS</v>
      </c>
      <c r="N789" s="11" t="s">
        <v>233</v>
      </c>
    </row>
    <row r="790" customFormat="false" ht="23.85" hidden="false" customHeight="false" outlineLevel="0" collapsed="false">
      <c r="A790" s="11" t="s">
        <v>113</v>
      </c>
      <c r="B790" s="11" t="s">
        <v>131</v>
      </c>
      <c r="C790" s="11" t="s">
        <v>83</v>
      </c>
      <c r="D790" s="11" t="s">
        <v>84</v>
      </c>
      <c r="E790" s="11" t="s">
        <v>83</v>
      </c>
      <c r="F790" s="12" t="n">
        <f aca="false">SUMIFS(СПРОС_ДЕНЬ_ЧАС_МЕНЮ!$I$11:$I$3265,СПРОС_ДЕНЬ_ЧАС_МЕНЮ!$A$11:$A$3265,A790,СПРОС_ДЕНЬ_ЧАС_МЕНЮ!$B$11:$B$3265,B790,СПРОС_ДЕНЬ_ЧАС_МЕНЮ!$F$11:$F$3265,C790)</f>
        <v>5.3625</v>
      </c>
      <c r="G790" s="12" t="n">
        <f aca="false">ПАРАМЕТРЫ!D23</f>
        <v>21</v>
      </c>
      <c r="H790" s="12" t="n">
        <f aca="false">SUMIFS(ШТАТ_ПО_ЧАСАМ!$C$11:$C$115,ШТАТ_ПО_ЧАСАМ!$A$11:$A$115,A790,ШТАТ_ПО_ЧАСАМ!$B$11:$B$115,B790)</f>
        <v>2</v>
      </c>
      <c r="I790" s="12" t="n">
        <f aca="false">MIN(H790,1)*ПАРАМЕТРЫ!E23</f>
        <v>21</v>
      </c>
      <c r="J790" s="12" t="n">
        <f aca="false">MIN(G790,I790)</f>
        <v>21</v>
      </c>
      <c r="K790" s="12" t="n">
        <f aca="false">MAX(F790-J790,0)</f>
        <v>0</v>
      </c>
      <c r="L790" s="12" t="n">
        <f aca="false">IF(J790=0,0,F790/J790)</f>
        <v>0.255357142857143</v>
      </c>
      <c r="M790" s="11" t="str">
        <f aca="false">IF(K790&gt;0,"BLOCKED","PASS")</f>
        <v>PASS</v>
      </c>
      <c r="N790" s="11" t="s">
        <v>233</v>
      </c>
    </row>
    <row r="791" customFormat="false" ht="23.85" hidden="false" customHeight="false" outlineLevel="0" collapsed="false">
      <c r="A791" s="11" t="s">
        <v>113</v>
      </c>
      <c r="B791" s="11" t="s">
        <v>131</v>
      </c>
      <c r="C791" s="11" t="s">
        <v>85</v>
      </c>
      <c r="D791" s="11" t="s">
        <v>86</v>
      </c>
      <c r="E791" s="11" t="s">
        <v>87</v>
      </c>
      <c r="F791" s="12" t="n">
        <f aca="false">SUMIFS(СПРОС_ДЕНЬ_ЧАС_МЕНЮ!$I$11:$I$3265,СПРОС_ДЕНЬ_ЧАС_МЕНЮ!$A$11:$A$3265,A791,СПРОС_ДЕНЬ_ЧАС_МЕНЮ!$B$11:$B$3265,B791,СПРОС_ДЕНЬ_ЧАС_МЕНЮ!$F$11:$F$3265,C791)</f>
        <v>2.1115325</v>
      </c>
      <c r="G791" s="12" t="n">
        <f aca="false">ПАРАМЕТРЫ!D24</f>
        <v>12</v>
      </c>
      <c r="H791" s="12" t="n">
        <f aca="false">SUMIFS(ШТАТ_ПО_ЧАСАМ!$C$11:$C$115,ШТАТ_ПО_ЧАСАМ!$A$11:$A$115,A791,ШТАТ_ПО_ЧАСАМ!$B$11:$B$115,B791)</f>
        <v>2</v>
      </c>
      <c r="I791" s="12" t="n">
        <f aca="false">MIN(H791,1)*ПАРАМЕТРЫ!E24</f>
        <v>12</v>
      </c>
      <c r="J791" s="12" t="n">
        <f aca="false">MIN(G791,I791)</f>
        <v>12</v>
      </c>
      <c r="K791" s="12" t="n">
        <f aca="false">MAX(F791-J791,0)</f>
        <v>0</v>
      </c>
      <c r="L791" s="12" t="n">
        <f aca="false">IF(J791=0,0,F791/J791)</f>
        <v>0.175961041666667</v>
      </c>
      <c r="M791" s="11" t="str">
        <f aca="false">IF(K791&gt;0,"BLOCKED","PASS")</f>
        <v>PASS</v>
      </c>
      <c r="N791" s="11" t="s">
        <v>233</v>
      </c>
    </row>
    <row r="792" customFormat="false" ht="23.85" hidden="false" customHeight="false" outlineLevel="0" collapsed="false">
      <c r="A792" s="11" t="s">
        <v>113</v>
      </c>
      <c r="B792" s="11" t="s">
        <v>131</v>
      </c>
      <c r="C792" s="11" t="s">
        <v>88</v>
      </c>
      <c r="D792" s="11" t="s">
        <v>89</v>
      </c>
      <c r="E792" s="11" t="s">
        <v>90</v>
      </c>
      <c r="F792" s="12" t="n">
        <f aca="false">SUMIFS(СПРОС_ДЕНЬ_ЧАС_МЕНЮ!$I$11:$I$3265,СПРОС_ДЕНЬ_ЧАС_МЕНЮ!$A$11:$A$3265,A792,СПРОС_ДЕНЬ_ЧАС_МЕНЮ!$B$11:$B$3265,B792,СПРОС_ДЕНЬ_ЧАС_МЕНЮ!$F$11:$F$3265,C792)</f>
        <v>0</v>
      </c>
      <c r="G792" s="12" t="n">
        <f aca="false">ПАРАМЕТРЫ!D25</f>
        <v>15</v>
      </c>
      <c r="H792" s="12" t="n">
        <f aca="false">SUMIFS(ШТАТ_ПО_ЧАСАМ!$C$11:$C$115,ШТАТ_ПО_ЧАСАМ!$A$11:$A$115,A792,ШТАТ_ПО_ЧАСАМ!$B$11:$B$115,B792)</f>
        <v>2</v>
      </c>
      <c r="I792" s="12" t="n">
        <f aca="false">MIN(H792,1)*ПАРАМЕТРЫ!E25</f>
        <v>10</v>
      </c>
      <c r="J792" s="12" t="n">
        <f aca="false">MIN(G792,I792)</f>
        <v>10</v>
      </c>
      <c r="K792" s="12" t="n">
        <f aca="false">MAX(F792-J792,0)</f>
        <v>0</v>
      </c>
      <c r="L792" s="12" t="n">
        <f aca="false">IF(J792=0,0,F792/J792)</f>
        <v>0</v>
      </c>
      <c r="M792" s="11" t="str">
        <f aca="false">IF(K792&gt;0,"BLOCKED","PASS")</f>
        <v>PASS</v>
      </c>
      <c r="N792" s="11" t="s">
        <v>233</v>
      </c>
    </row>
    <row r="793" customFormat="false" ht="23.85" hidden="false" customHeight="false" outlineLevel="0" collapsed="false">
      <c r="A793" s="11" t="s">
        <v>113</v>
      </c>
      <c r="B793" s="11" t="s">
        <v>131</v>
      </c>
      <c r="C793" s="11" t="s">
        <v>91</v>
      </c>
      <c r="D793" s="11" t="s">
        <v>92</v>
      </c>
      <c r="E793" s="11" t="s">
        <v>79</v>
      </c>
      <c r="F793" s="12" t="n">
        <f aca="false">SUMIFS(СПРОС_ДЕНЬ_ЧАС_МЕНЮ!$I$11:$I$3265,СПРОС_ДЕНЬ_ЧАС_МЕНЮ!$A$11:$A$3265,A793,СПРОС_ДЕНЬ_ЧАС_МЕНЮ!$B$11:$B$3265,B793,СПРОС_ДЕНЬ_ЧАС_МЕНЮ!$F$11:$F$3265,C793)</f>
        <v>1.3365</v>
      </c>
      <c r="G793" s="12" t="n">
        <f aca="false">ПАРАМЕТРЫ!D26</f>
        <v>20</v>
      </c>
      <c r="H793" s="12" t="n">
        <f aca="false">SUMIFS(ШТАТ_ПО_ЧАСАМ!$C$11:$C$115,ШТАТ_ПО_ЧАСАМ!$A$11:$A$115,A793,ШТАТ_ПО_ЧАСАМ!$B$11:$B$115,B793)</f>
        <v>2</v>
      </c>
      <c r="I793" s="12" t="n">
        <f aca="false">MIN(H793,1)*ПАРАМЕТРЫ!E26</f>
        <v>10</v>
      </c>
      <c r="J793" s="12" t="n">
        <f aca="false">MIN(G793,I793)</f>
        <v>10</v>
      </c>
      <c r="K793" s="12" t="n">
        <f aca="false">MAX(F793-J793,0)</f>
        <v>0</v>
      </c>
      <c r="L793" s="12" t="n">
        <f aca="false">IF(J793=0,0,F793/J793)</f>
        <v>0.13365</v>
      </c>
      <c r="M793" s="11" t="str">
        <f aca="false">IF(K793&gt;0,"BLOCKED","PASS")</f>
        <v>PASS</v>
      </c>
      <c r="N793" s="11" t="s">
        <v>233</v>
      </c>
    </row>
    <row r="794" customFormat="false" ht="15" hidden="false" customHeight="false" outlineLevel="0" collapsed="false">
      <c r="A794" s="11" t="s">
        <v>113</v>
      </c>
      <c r="B794" s="11" t="s">
        <v>131</v>
      </c>
      <c r="C794" s="11" t="s">
        <v>93</v>
      </c>
      <c r="D794" s="11" t="s">
        <v>234</v>
      </c>
      <c r="E794" s="11" t="s">
        <v>95</v>
      </c>
      <c r="F794" s="12" t="n">
        <f aca="false">SUMIFS(СПРОС_ДЕНЬ_ЧАС_МЕНЮ!$I$11:$I$3265,СПРОС_ДЕНЬ_ЧАС_МЕНЮ!$A$11:$A$3265,A794,СПРОС_ДЕНЬ_ЧАС_МЕНЮ!$B$11:$B$3265,B794)</f>
        <v>16.4313325</v>
      </c>
      <c r="G794" s="12" t="n">
        <f aca="false">ПАРАМЕТРЫ!D27</f>
        <v>60</v>
      </c>
      <c r="H794" s="12" t="n">
        <f aca="false">SUMIFS(ШТАТ_ПО_ЧАСАМ!$C$11:$C$115,ШТАТ_ПО_ЧАСАМ!$A$11:$A$115,A794,ШТАТ_ПО_ЧАСАМ!$B$11:$B$115,B794)</f>
        <v>2</v>
      </c>
      <c r="I794" s="12" t="n">
        <f aca="false">H794*ПАРАМЕТРЫ!E27</f>
        <v>33.3333333333333</v>
      </c>
      <c r="J794" s="12" t="n">
        <f aca="false">MIN(G794,I794)</f>
        <v>33.3333333333333</v>
      </c>
      <c r="K794" s="12" t="n">
        <f aca="false">MAX(F794-J794,0)</f>
        <v>0</v>
      </c>
      <c r="L794" s="12" t="n">
        <f aca="false">IF(J794=0,0,F794/J794)</f>
        <v>0.492939975</v>
      </c>
      <c r="M794" s="11" t="str">
        <f aca="false">IF(K794&gt;0,"BLOCKED","PASS")</f>
        <v>PASS</v>
      </c>
      <c r="N794" s="11" t="s">
        <v>235</v>
      </c>
    </row>
    <row r="795" customFormat="false" ht="23.85" hidden="false" customHeight="false" outlineLevel="0" collapsed="false">
      <c r="A795" s="11" t="s">
        <v>113</v>
      </c>
      <c r="B795" s="11" t="s">
        <v>132</v>
      </c>
      <c r="C795" s="11" t="s">
        <v>73</v>
      </c>
      <c r="D795" s="11" t="s">
        <v>74</v>
      </c>
      <c r="E795" s="11" t="s">
        <v>75</v>
      </c>
      <c r="F795" s="12" t="n">
        <f aca="false">SUMIFS(СПРОС_ДЕНЬ_ЧАС_МЕНЮ!$I$11:$I$3265,СПРОС_ДЕНЬ_ЧАС_МЕНЮ!$A$11:$A$3265,A795,СПРОС_ДЕНЬ_ЧАС_МЕНЮ!$B$11:$B$3265,B795,СПРОС_ДЕНЬ_ЧАС_МЕНЮ!$F$11:$F$3265,C795)</f>
        <v>1.804</v>
      </c>
      <c r="G795" s="12" t="n">
        <f aca="false">ПАРАМЕТРЫ!D20</f>
        <v>25</v>
      </c>
      <c r="H795" s="12" t="n">
        <f aca="false">SUMIFS(ШТАТ_ПО_ЧАСАМ!$C$11:$C$115,ШТАТ_ПО_ЧАСАМ!$A$11:$A$115,A795,ШТАТ_ПО_ЧАСАМ!$B$11:$B$115,B795)</f>
        <v>2</v>
      </c>
      <c r="I795" s="12" t="n">
        <f aca="false">MIN(H795,1)*ПАРАМЕТРЫ!E20</f>
        <v>10</v>
      </c>
      <c r="J795" s="12" t="n">
        <f aca="false">MIN(G795,I795)</f>
        <v>10</v>
      </c>
      <c r="K795" s="12" t="n">
        <f aca="false">MAX(F795-J795,0)</f>
        <v>0</v>
      </c>
      <c r="L795" s="12" t="n">
        <f aca="false">IF(J795=0,0,F795/J795)</f>
        <v>0.1804</v>
      </c>
      <c r="M795" s="11" t="str">
        <f aca="false">IF(K795&gt;0,"BLOCKED","PASS")</f>
        <v>PASS</v>
      </c>
      <c r="N795" s="11" t="s">
        <v>233</v>
      </c>
    </row>
    <row r="796" customFormat="false" ht="23.85" hidden="false" customHeight="false" outlineLevel="0" collapsed="false">
      <c r="A796" s="11" t="s">
        <v>113</v>
      </c>
      <c r="B796" s="11" t="s">
        <v>132</v>
      </c>
      <c r="C796" s="11" t="s">
        <v>77</v>
      </c>
      <c r="D796" s="11" t="s">
        <v>78</v>
      </c>
      <c r="E796" s="11" t="s">
        <v>79</v>
      </c>
      <c r="F796" s="12" t="n">
        <f aca="false">SUMIFS(СПРОС_ДЕНЬ_ЧАС_МЕНЮ!$I$11:$I$3265,СПРОС_ДЕНЬ_ЧАС_МЕНЮ!$A$11:$A$3265,A796,СПРОС_ДЕНЬ_ЧАС_МЕНЮ!$B$11:$B$3265,B796,СПРОС_ДЕНЬ_ЧАС_МЕНЮ!$F$11:$F$3265,C796)</f>
        <v>1.6896</v>
      </c>
      <c r="G796" s="12" t="n">
        <f aca="false">ПАРАМЕТРЫ!D21</f>
        <v>20</v>
      </c>
      <c r="H796" s="12" t="n">
        <f aca="false">SUMIFS(ШТАТ_ПО_ЧАСАМ!$C$11:$C$115,ШТАТ_ПО_ЧАСАМ!$A$11:$A$115,A796,ШТАТ_ПО_ЧАСАМ!$B$11:$B$115,B796)</f>
        <v>2</v>
      </c>
      <c r="I796" s="12" t="n">
        <f aca="false">MIN(H796,1)*ПАРАМЕТРЫ!E21</f>
        <v>10</v>
      </c>
      <c r="J796" s="12" t="n">
        <f aca="false">MIN(G796,I796)</f>
        <v>10</v>
      </c>
      <c r="K796" s="12" t="n">
        <f aca="false">MAX(F796-J796,0)</f>
        <v>0</v>
      </c>
      <c r="L796" s="12" t="n">
        <f aca="false">IF(J796=0,0,F796/J796)</f>
        <v>0.16896</v>
      </c>
      <c r="M796" s="11" t="str">
        <f aca="false">IF(K796&gt;0,"BLOCKED","PASS")</f>
        <v>PASS</v>
      </c>
      <c r="N796" s="11" t="s">
        <v>233</v>
      </c>
    </row>
    <row r="797" customFormat="false" ht="23.85" hidden="false" customHeight="false" outlineLevel="0" collapsed="false">
      <c r="A797" s="11" t="s">
        <v>113</v>
      </c>
      <c r="B797" s="11" t="s">
        <v>132</v>
      </c>
      <c r="C797" s="11" t="s">
        <v>80</v>
      </c>
      <c r="D797" s="11" t="s">
        <v>81</v>
      </c>
      <c r="E797" s="11" t="s">
        <v>82</v>
      </c>
      <c r="F797" s="12" t="n">
        <f aca="false">SUMIFS(СПРОС_ДЕНЬ_ЧАС_МЕНЮ!$I$11:$I$3265,СПРОС_ДЕНЬ_ЧАС_МЕНЮ!$A$11:$A$3265,A797,СПРОС_ДЕНЬ_ЧАС_МЕНЮ!$B$11:$B$3265,B797,СПРОС_ДЕНЬ_ЧАС_МЕНЮ!$F$11:$F$3265,C797)</f>
        <v>1.936</v>
      </c>
      <c r="G797" s="12" t="n">
        <f aca="false">ПАРАМЕТРЫ!D22</f>
        <v>16</v>
      </c>
      <c r="H797" s="12" t="n">
        <f aca="false">SUMIFS(ШТАТ_ПО_ЧАСАМ!$C$11:$C$115,ШТАТ_ПО_ЧАСАМ!$A$11:$A$115,A797,ШТАТ_ПО_ЧАСАМ!$B$11:$B$115,B797)</f>
        <v>2</v>
      </c>
      <c r="I797" s="12" t="n">
        <f aca="false">MIN(H797,1)*ПАРАМЕТРЫ!E22</f>
        <v>16</v>
      </c>
      <c r="J797" s="12" t="n">
        <f aca="false">MIN(G797,I797)</f>
        <v>16</v>
      </c>
      <c r="K797" s="12" t="n">
        <f aca="false">MAX(F797-J797,0)</f>
        <v>0</v>
      </c>
      <c r="L797" s="12" t="n">
        <f aca="false">IF(J797=0,0,F797/J797)</f>
        <v>0.121</v>
      </c>
      <c r="M797" s="11" t="str">
        <f aca="false">IF(K797&gt;0,"BLOCKED","PASS")</f>
        <v>PASS</v>
      </c>
      <c r="N797" s="11" t="s">
        <v>233</v>
      </c>
    </row>
    <row r="798" customFormat="false" ht="23.85" hidden="false" customHeight="false" outlineLevel="0" collapsed="false">
      <c r="A798" s="11" t="s">
        <v>113</v>
      </c>
      <c r="B798" s="11" t="s">
        <v>132</v>
      </c>
      <c r="C798" s="11" t="s">
        <v>83</v>
      </c>
      <c r="D798" s="11" t="s">
        <v>84</v>
      </c>
      <c r="E798" s="11" t="s">
        <v>83</v>
      </c>
      <c r="F798" s="12" t="n">
        <f aca="false">SUMIFS(СПРОС_ДЕНЬ_ЧАС_МЕНЮ!$I$11:$I$3265,СПРОС_ДЕНЬ_ЧАС_МЕНЮ!$A$11:$A$3265,A798,СПРОС_ДЕНЬ_ЧАС_МЕНЮ!$B$11:$B$3265,B798,СПРОС_ДЕНЬ_ЧАС_МЕНЮ!$F$11:$F$3265,C798)</f>
        <v>3.366</v>
      </c>
      <c r="G798" s="12" t="n">
        <f aca="false">ПАРАМЕТРЫ!D23</f>
        <v>21</v>
      </c>
      <c r="H798" s="12" t="n">
        <f aca="false">SUMIFS(ШТАТ_ПО_ЧАСАМ!$C$11:$C$115,ШТАТ_ПО_ЧАСАМ!$A$11:$A$115,A798,ШТАТ_ПО_ЧАСАМ!$B$11:$B$115,B798)</f>
        <v>2</v>
      </c>
      <c r="I798" s="12" t="n">
        <f aca="false">MIN(H798,1)*ПАРАМЕТРЫ!E23</f>
        <v>21</v>
      </c>
      <c r="J798" s="12" t="n">
        <f aca="false">MIN(G798,I798)</f>
        <v>21</v>
      </c>
      <c r="K798" s="12" t="n">
        <f aca="false">MAX(F798-J798,0)</f>
        <v>0</v>
      </c>
      <c r="L798" s="12" t="n">
        <f aca="false">IF(J798=0,0,F798/J798)</f>
        <v>0.160285714285714</v>
      </c>
      <c r="M798" s="11" t="str">
        <f aca="false">IF(K798&gt;0,"BLOCKED","PASS")</f>
        <v>PASS</v>
      </c>
      <c r="N798" s="11" t="s">
        <v>233</v>
      </c>
    </row>
    <row r="799" customFormat="false" ht="23.85" hidden="false" customHeight="false" outlineLevel="0" collapsed="false">
      <c r="A799" s="11" t="s">
        <v>113</v>
      </c>
      <c r="B799" s="11" t="s">
        <v>132</v>
      </c>
      <c r="C799" s="11" t="s">
        <v>85</v>
      </c>
      <c r="D799" s="11" t="s">
        <v>86</v>
      </c>
      <c r="E799" s="11" t="s">
        <v>87</v>
      </c>
      <c r="F799" s="12" t="n">
        <f aca="false">SUMIFS(СПРОС_ДЕНЬ_ЧАС_МЕНЮ!$I$11:$I$3265,СПРОС_ДЕНЬ_ЧАС_МЕНЮ!$A$11:$A$3265,A799,СПРОС_ДЕНЬ_ЧАС_МЕНЮ!$B$11:$B$3265,B799,СПРОС_ДЕНЬ_ЧАС_МЕНЮ!$F$11:$F$3265,C799)</f>
        <v>1.20659</v>
      </c>
      <c r="G799" s="12" t="n">
        <f aca="false">ПАРАМЕТРЫ!D24</f>
        <v>12</v>
      </c>
      <c r="H799" s="12" t="n">
        <f aca="false">SUMIFS(ШТАТ_ПО_ЧАСАМ!$C$11:$C$115,ШТАТ_ПО_ЧАСАМ!$A$11:$A$115,A799,ШТАТ_ПО_ЧАСАМ!$B$11:$B$115,B799)</f>
        <v>2</v>
      </c>
      <c r="I799" s="12" t="n">
        <f aca="false">MIN(H799,1)*ПАРАМЕТРЫ!E24</f>
        <v>12</v>
      </c>
      <c r="J799" s="12" t="n">
        <f aca="false">MIN(G799,I799)</f>
        <v>12</v>
      </c>
      <c r="K799" s="12" t="n">
        <f aca="false">MAX(F799-J799,0)</f>
        <v>0</v>
      </c>
      <c r="L799" s="12" t="n">
        <f aca="false">IF(J799=0,0,F799/J799)</f>
        <v>0.100549166666667</v>
      </c>
      <c r="M799" s="11" t="str">
        <f aca="false">IF(K799&gt;0,"BLOCKED","PASS")</f>
        <v>PASS</v>
      </c>
      <c r="N799" s="11" t="s">
        <v>233</v>
      </c>
    </row>
    <row r="800" customFormat="false" ht="23.85" hidden="false" customHeight="false" outlineLevel="0" collapsed="false">
      <c r="A800" s="11" t="s">
        <v>113</v>
      </c>
      <c r="B800" s="11" t="s">
        <v>132</v>
      </c>
      <c r="C800" s="11" t="s">
        <v>88</v>
      </c>
      <c r="D800" s="11" t="s">
        <v>89</v>
      </c>
      <c r="E800" s="11" t="s">
        <v>90</v>
      </c>
      <c r="F800" s="12" t="n">
        <f aca="false">SUMIFS(СПРОС_ДЕНЬ_ЧАС_МЕНЮ!$I$11:$I$3265,СПРОС_ДЕНЬ_ЧАС_МЕНЮ!$A$11:$A$3265,A800,СПРОС_ДЕНЬ_ЧАС_МЕНЮ!$B$11:$B$3265,B800,СПРОС_ДЕНЬ_ЧАС_МЕНЮ!$F$11:$F$3265,C800)</f>
        <v>0</v>
      </c>
      <c r="G800" s="12" t="n">
        <f aca="false">ПАРАМЕТРЫ!D25</f>
        <v>15</v>
      </c>
      <c r="H800" s="12" t="n">
        <f aca="false">SUMIFS(ШТАТ_ПО_ЧАСАМ!$C$11:$C$115,ШТАТ_ПО_ЧАСАМ!$A$11:$A$115,A800,ШТАТ_ПО_ЧАСАМ!$B$11:$B$115,B800)</f>
        <v>2</v>
      </c>
      <c r="I800" s="12" t="n">
        <f aca="false">MIN(H800,1)*ПАРАМЕТРЫ!E25</f>
        <v>10</v>
      </c>
      <c r="J800" s="12" t="n">
        <f aca="false">MIN(G800,I800)</f>
        <v>10</v>
      </c>
      <c r="K800" s="12" t="n">
        <f aca="false">MAX(F800-J800,0)</f>
        <v>0</v>
      </c>
      <c r="L800" s="12" t="n">
        <f aca="false">IF(J800=0,0,F800/J800)</f>
        <v>0</v>
      </c>
      <c r="M800" s="11" t="str">
        <f aca="false">IF(K800&gt;0,"BLOCKED","PASS")</f>
        <v>PASS</v>
      </c>
      <c r="N800" s="11" t="s">
        <v>233</v>
      </c>
    </row>
    <row r="801" customFormat="false" ht="23.85" hidden="false" customHeight="false" outlineLevel="0" collapsed="false">
      <c r="A801" s="11" t="s">
        <v>113</v>
      </c>
      <c r="B801" s="11" t="s">
        <v>132</v>
      </c>
      <c r="C801" s="11" t="s">
        <v>91</v>
      </c>
      <c r="D801" s="11" t="s">
        <v>92</v>
      </c>
      <c r="E801" s="11" t="s">
        <v>79</v>
      </c>
      <c r="F801" s="12" t="n">
        <f aca="false">SUMIFS(СПРОС_ДЕНЬ_ЧАС_МЕНЮ!$I$11:$I$3265,СПРОС_ДЕНЬ_ЧАС_МЕНЮ!$A$11:$A$3265,A801,СПРОС_ДЕНЬ_ЧАС_МЕНЮ!$B$11:$B$3265,B801,СПРОС_ДЕНЬ_ЧАС_МЕНЮ!$F$11:$F$3265,C801)</f>
        <v>1.056</v>
      </c>
      <c r="G801" s="12" t="n">
        <f aca="false">ПАРАМЕТРЫ!D26</f>
        <v>20</v>
      </c>
      <c r="H801" s="12" t="n">
        <f aca="false">SUMIFS(ШТАТ_ПО_ЧАСАМ!$C$11:$C$115,ШТАТ_ПО_ЧАСАМ!$A$11:$A$115,A801,ШТАТ_ПО_ЧАСАМ!$B$11:$B$115,B801)</f>
        <v>2</v>
      </c>
      <c r="I801" s="12" t="n">
        <f aca="false">MIN(H801,1)*ПАРАМЕТРЫ!E26</f>
        <v>10</v>
      </c>
      <c r="J801" s="12" t="n">
        <f aca="false">MIN(G801,I801)</f>
        <v>10</v>
      </c>
      <c r="K801" s="12" t="n">
        <f aca="false">MAX(F801-J801,0)</f>
        <v>0</v>
      </c>
      <c r="L801" s="12" t="n">
        <f aca="false">IF(J801=0,0,F801/J801)</f>
        <v>0.1056</v>
      </c>
      <c r="M801" s="11" t="str">
        <f aca="false">IF(K801&gt;0,"BLOCKED","PASS")</f>
        <v>PASS</v>
      </c>
      <c r="N801" s="11" t="s">
        <v>233</v>
      </c>
    </row>
    <row r="802" customFormat="false" ht="15" hidden="false" customHeight="false" outlineLevel="0" collapsed="false">
      <c r="A802" s="11" t="s">
        <v>113</v>
      </c>
      <c r="B802" s="11" t="s">
        <v>132</v>
      </c>
      <c r="C802" s="11" t="s">
        <v>93</v>
      </c>
      <c r="D802" s="11" t="s">
        <v>234</v>
      </c>
      <c r="E802" s="11" t="s">
        <v>95</v>
      </c>
      <c r="F802" s="12" t="n">
        <f aca="false">SUMIFS(СПРОС_ДЕНЬ_ЧАС_МЕНЮ!$I$11:$I$3265,СПРОС_ДЕНЬ_ЧАС_МЕНЮ!$A$11:$A$3265,A802,СПРОС_ДЕНЬ_ЧАС_МЕНЮ!$B$11:$B$3265,B802)</f>
        <v>11.05819</v>
      </c>
      <c r="G802" s="12" t="n">
        <f aca="false">ПАРАМЕТРЫ!D27</f>
        <v>60</v>
      </c>
      <c r="H802" s="12" t="n">
        <f aca="false">SUMIFS(ШТАТ_ПО_ЧАСАМ!$C$11:$C$115,ШТАТ_ПО_ЧАСАМ!$A$11:$A$115,A802,ШТАТ_ПО_ЧАСАМ!$B$11:$B$115,B802)</f>
        <v>2</v>
      </c>
      <c r="I802" s="12" t="n">
        <f aca="false">H802*ПАРАМЕТРЫ!E27</f>
        <v>33.3333333333333</v>
      </c>
      <c r="J802" s="12" t="n">
        <f aca="false">MIN(G802,I802)</f>
        <v>33.3333333333333</v>
      </c>
      <c r="K802" s="12" t="n">
        <f aca="false">MAX(F802-J802,0)</f>
        <v>0</v>
      </c>
      <c r="L802" s="12" t="n">
        <f aca="false">IF(J802=0,0,F802/J802)</f>
        <v>0.3317457</v>
      </c>
      <c r="M802" s="11" t="str">
        <f aca="false">IF(K802&gt;0,"BLOCKED","PASS")</f>
        <v>PASS</v>
      </c>
      <c r="N802" s="11" t="s">
        <v>235</v>
      </c>
    </row>
    <row r="803" customFormat="false" ht="23.85" hidden="false" customHeight="false" outlineLevel="0" collapsed="false">
      <c r="A803" s="11" t="s">
        <v>113</v>
      </c>
      <c r="B803" s="11" t="s">
        <v>133</v>
      </c>
      <c r="C803" s="11" t="s">
        <v>73</v>
      </c>
      <c r="D803" s="11" t="s">
        <v>74</v>
      </c>
      <c r="E803" s="11" t="s">
        <v>75</v>
      </c>
      <c r="F803" s="12" t="n">
        <f aca="false">SUMIFS(СПРОС_ДЕНЬ_ЧАС_МЕНЮ!$I$11:$I$3265,СПРОС_ДЕНЬ_ЧАС_МЕНЮ!$A$11:$A$3265,A803,СПРОС_ДЕНЬ_ЧАС_МЕНЮ!$B$11:$B$3265,B803,СПРОС_ДЕНЬ_ЧАС_МЕНЮ!$F$11:$F$3265,C803)</f>
        <v>1.804</v>
      </c>
      <c r="G803" s="12" t="n">
        <f aca="false">ПАРАМЕТРЫ!D20</f>
        <v>25</v>
      </c>
      <c r="H803" s="12" t="n">
        <f aca="false">SUMIFS(ШТАТ_ПО_ЧАСАМ!$C$11:$C$115,ШТАТ_ПО_ЧАСАМ!$A$11:$A$115,A803,ШТАТ_ПО_ЧАСАМ!$B$11:$B$115,B803)</f>
        <v>2</v>
      </c>
      <c r="I803" s="12" t="n">
        <f aca="false">MIN(H803,1)*ПАРАМЕТРЫ!E20</f>
        <v>10</v>
      </c>
      <c r="J803" s="12" t="n">
        <f aca="false">MIN(G803,I803)</f>
        <v>10</v>
      </c>
      <c r="K803" s="12" t="n">
        <f aca="false">MAX(F803-J803,0)</f>
        <v>0</v>
      </c>
      <c r="L803" s="12" t="n">
        <f aca="false">IF(J803=0,0,F803/J803)</f>
        <v>0.1804</v>
      </c>
      <c r="M803" s="11" t="str">
        <f aca="false">IF(K803&gt;0,"BLOCKED","PASS")</f>
        <v>PASS</v>
      </c>
      <c r="N803" s="11" t="s">
        <v>233</v>
      </c>
    </row>
    <row r="804" customFormat="false" ht="23.85" hidden="false" customHeight="false" outlineLevel="0" collapsed="false">
      <c r="A804" s="11" t="s">
        <v>113</v>
      </c>
      <c r="B804" s="11" t="s">
        <v>133</v>
      </c>
      <c r="C804" s="11" t="s">
        <v>77</v>
      </c>
      <c r="D804" s="11" t="s">
        <v>78</v>
      </c>
      <c r="E804" s="11" t="s">
        <v>79</v>
      </c>
      <c r="F804" s="12" t="n">
        <f aca="false">SUMIFS(СПРОС_ДЕНЬ_ЧАС_МЕНЮ!$I$11:$I$3265,СПРОС_ДЕНЬ_ЧАС_МЕНЮ!$A$11:$A$3265,A804,СПРОС_ДЕНЬ_ЧАС_МЕНЮ!$B$11:$B$3265,B804,СПРОС_ДЕНЬ_ЧАС_МЕНЮ!$F$11:$F$3265,C804)</f>
        <v>1.6896</v>
      </c>
      <c r="G804" s="12" t="n">
        <f aca="false">ПАРАМЕТРЫ!D21</f>
        <v>20</v>
      </c>
      <c r="H804" s="12" t="n">
        <f aca="false">SUMIFS(ШТАТ_ПО_ЧАСАМ!$C$11:$C$115,ШТАТ_ПО_ЧАСАМ!$A$11:$A$115,A804,ШТАТ_ПО_ЧАСАМ!$B$11:$B$115,B804)</f>
        <v>2</v>
      </c>
      <c r="I804" s="12" t="n">
        <f aca="false">MIN(H804,1)*ПАРАМЕТРЫ!E21</f>
        <v>10</v>
      </c>
      <c r="J804" s="12" t="n">
        <f aca="false">MIN(G804,I804)</f>
        <v>10</v>
      </c>
      <c r="K804" s="12" t="n">
        <f aca="false">MAX(F804-J804,0)</f>
        <v>0</v>
      </c>
      <c r="L804" s="12" t="n">
        <f aca="false">IF(J804=0,0,F804/J804)</f>
        <v>0.16896</v>
      </c>
      <c r="M804" s="11" t="str">
        <f aca="false">IF(K804&gt;0,"BLOCKED","PASS")</f>
        <v>PASS</v>
      </c>
      <c r="N804" s="11" t="s">
        <v>233</v>
      </c>
    </row>
    <row r="805" customFormat="false" ht="23.85" hidden="false" customHeight="false" outlineLevel="0" collapsed="false">
      <c r="A805" s="11" t="s">
        <v>113</v>
      </c>
      <c r="B805" s="11" t="s">
        <v>133</v>
      </c>
      <c r="C805" s="11" t="s">
        <v>80</v>
      </c>
      <c r="D805" s="11" t="s">
        <v>81</v>
      </c>
      <c r="E805" s="11" t="s">
        <v>82</v>
      </c>
      <c r="F805" s="12" t="n">
        <f aca="false">SUMIFS(СПРОС_ДЕНЬ_ЧАС_МЕНЮ!$I$11:$I$3265,СПРОС_ДЕНЬ_ЧАС_МЕНЮ!$A$11:$A$3265,A805,СПРОС_ДЕНЬ_ЧАС_МЕНЮ!$B$11:$B$3265,B805,СПРОС_ДЕНЬ_ЧАС_МЕНЮ!$F$11:$F$3265,C805)</f>
        <v>1.936</v>
      </c>
      <c r="G805" s="12" t="n">
        <f aca="false">ПАРАМЕТРЫ!D22</f>
        <v>16</v>
      </c>
      <c r="H805" s="12" t="n">
        <f aca="false">SUMIFS(ШТАТ_ПО_ЧАСАМ!$C$11:$C$115,ШТАТ_ПО_ЧАСАМ!$A$11:$A$115,A805,ШТАТ_ПО_ЧАСАМ!$B$11:$B$115,B805)</f>
        <v>2</v>
      </c>
      <c r="I805" s="12" t="n">
        <f aca="false">MIN(H805,1)*ПАРАМЕТРЫ!E22</f>
        <v>16</v>
      </c>
      <c r="J805" s="12" t="n">
        <f aca="false">MIN(G805,I805)</f>
        <v>16</v>
      </c>
      <c r="K805" s="12" t="n">
        <f aca="false">MAX(F805-J805,0)</f>
        <v>0</v>
      </c>
      <c r="L805" s="12" t="n">
        <f aca="false">IF(J805=0,0,F805/J805)</f>
        <v>0.121</v>
      </c>
      <c r="M805" s="11" t="str">
        <f aca="false">IF(K805&gt;0,"BLOCKED","PASS")</f>
        <v>PASS</v>
      </c>
      <c r="N805" s="11" t="s">
        <v>233</v>
      </c>
    </row>
    <row r="806" customFormat="false" ht="23.85" hidden="false" customHeight="false" outlineLevel="0" collapsed="false">
      <c r="A806" s="11" t="s">
        <v>113</v>
      </c>
      <c r="B806" s="11" t="s">
        <v>133</v>
      </c>
      <c r="C806" s="11" t="s">
        <v>83</v>
      </c>
      <c r="D806" s="11" t="s">
        <v>84</v>
      </c>
      <c r="E806" s="11" t="s">
        <v>83</v>
      </c>
      <c r="F806" s="12" t="n">
        <f aca="false">SUMIFS(СПРОС_ДЕНЬ_ЧАС_МЕНЮ!$I$11:$I$3265,СПРОС_ДЕНЬ_ЧАС_МЕНЮ!$A$11:$A$3265,A806,СПРОС_ДЕНЬ_ЧАС_МЕНЮ!$B$11:$B$3265,B806,СПРОС_ДЕНЬ_ЧАС_МЕНЮ!$F$11:$F$3265,C806)</f>
        <v>3.366</v>
      </c>
      <c r="G806" s="12" t="n">
        <f aca="false">ПАРАМЕТРЫ!D23</f>
        <v>21</v>
      </c>
      <c r="H806" s="12" t="n">
        <f aca="false">SUMIFS(ШТАТ_ПО_ЧАСАМ!$C$11:$C$115,ШТАТ_ПО_ЧАСАМ!$A$11:$A$115,A806,ШТАТ_ПО_ЧАСАМ!$B$11:$B$115,B806)</f>
        <v>2</v>
      </c>
      <c r="I806" s="12" t="n">
        <f aca="false">MIN(H806,1)*ПАРАМЕТРЫ!E23</f>
        <v>21</v>
      </c>
      <c r="J806" s="12" t="n">
        <f aca="false">MIN(G806,I806)</f>
        <v>21</v>
      </c>
      <c r="K806" s="12" t="n">
        <f aca="false">MAX(F806-J806,0)</f>
        <v>0</v>
      </c>
      <c r="L806" s="12" t="n">
        <f aca="false">IF(J806=0,0,F806/J806)</f>
        <v>0.160285714285714</v>
      </c>
      <c r="M806" s="11" t="str">
        <f aca="false">IF(K806&gt;0,"BLOCKED","PASS")</f>
        <v>PASS</v>
      </c>
      <c r="N806" s="11" t="s">
        <v>233</v>
      </c>
    </row>
    <row r="807" customFormat="false" ht="23.85" hidden="false" customHeight="false" outlineLevel="0" collapsed="false">
      <c r="A807" s="11" t="s">
        <v>113</v>
      </c>
      <c r="B807" s="11" t="s">
        <v>133</v>
      </c>
      <c r="C807" s="11" t="s">
        <v>85</v>
      </c>
      <c r="D807" s="11" t="s">
        <v>86</v>
      </c>
      <c r="E807" s="11" t="s">
        <v>87</v>
      </c>
      <c r="F807" s="12" t="n">
        <f aca="false">SUMIFS(СПРОС_ДЕНЬ_ЧАС_МЕНЮ!$I$11:$I$3265,СПРОС_ДЕНЬ_ЧАС_МЕНЮ!$A$11:$A$3265,A807,СПРОС_ДЕНЬ_ЧАС_МЕНЮ!$B$11:$B$3265,B807,СПРОС_ДЕНЬ_ЧАС_МЕНЮ!$F$11:$F$3265,C807)</f>
        <v>1.20659</v>
      </c>
      <c r="G807" s="12" t="n">
        <f aca="false">ПАРАМЕТРЫ!D24</f>
        <v>12</v>
      </c>
      <c r="H807" s="12" t="n">
        <f aca="false">SUMIFS(ШТАТ_ПО_ЧАСАМ!$C$11:$C$115,ШТАТ_ПО_ЧАСАМ!$A$11:$A$115,A807,ШТАТ_ПО_ЧАСАМ!$B$11:$B$115,B807)</f>
        <v>2</v>
      </c>
      <c r="I807" s="12" t="n">
        <f aca="false">MIN(H807,1)*ПАРАМЕТРЫ!E24</f>
        <v>12</v>
      </c>
      <c r="J807" s="12" t="n">
        <f aca="false">MIN(G807,I807)</f>
        <v>12</v>
      </c>
      <c r="K807" s="12" t="n">
        <f aca="false">MAX(F807-J807,0)</f>
        <v>0</v>
      </c>
      <c r="L807" s="12" t="n">
        <f aca="false">IF(J807=0,0,F807/J807)</f>
        <v>0.100549166666667</v>
      </c>
      <c r="M807" s="11" t="str">
        <f aca="false">IF(K807&gt;0,"BLOCKED","PASS")</f>
        <v>PASS</v>
      </c>
      <c r="N807" s="11" t="s">
        <v>233</v>
      </c>
    </row>
    <row r="808" customFormat="false" ht="23.85" hidden="false" customHeight="false" outlineLevel="0" collapsed="false">
      <c r="A808" s="11" t="s">
        <v>113</v>
      </c>
      <c r="B808" s="11" t="s">
        <v>133</v>
      </c>
      <c r="C808" s="11" t="s">
        <v>88</v>
      </c>
      <c r="D808" s="11" t="s">
        <v>89</v>
      </c>
      <c r="E808" s="11" t="s">
        <v>90</v>
      </c>
      <c r="F808" s="12" t="n">
        <f aca="false">SUMIFS(СПРОС_ДЕНЬ_ЧАС_МЕНЮ!$I$11:$I$3265,СПРОС_ДЕНЬ_ЧАС_МЕНЮ!$A$11:$A$3265,A808,СПРОС_ДЕНЬ_ЧАС_МЕНЮ!$B$11:$B$3265,B808,СПРОС_ДЕНЬ_ЧАС_МЕНЮ!$F$11:$F$3265,C808)</f>
        <v>0</v>
      </c>
      <c r="G808" s="12" t="n">
        <f aca="false">ПАРАМЕТРЫ!D25</f>
        <v>15</v>
      </c>
      <c r="H808" s="12" t="n">
        <f aca="false">SUMIFS(ШТАТ_ПО_ЧАСАМ!$C$11:$C$115,ШТАТ_ПО_ЧАСАМ!$A$11:$A$115,A808,ШТАТ_ПО_ЧАСАМ!$B$11:$B$115,B808)</f>
        <v>2</v>
      </c>
      <c r="I808" s="12" t="n">
        <f aca="false">MIN(H808,1)*ПАРАМЕТРЫ!E25</f>
        <v>10</v>
      </c>
      <c r="J808" s="12" t="n">
        <f aca="false">MIN(G808,I808)</f>
        <v>10</v>
      </c>
      <c r="K808" s="12" t="n">
        <f aca="false">MAX(F808-J808,0)</f>
        <v>0</v>
      </c>
      <c r="L808" s="12" t="n">
        <f aca="false">IF(J808=0,0,F808/J808)</f>
        <v>0</v>
      </c>
      <c r="M808" s="11" t="str">
        <f aca="false">IF(K808&gt;0,"BLOCKED","PASS")</f>
        <v>PASS</v>
      </c>
      <c r="N808" s="11" t="s">
        <v>233</v>
      </c>
    </row>
    <row r="809" customFormat="false" ht="23.85" hidden="false" customHeight="false" outlineLevel="0" collapsed="false">
      <c r="A809" s="11" t="s">
        <v>113</v>
      </c>
      <c r="B809" s="11" t="s">
        <v>133</v>
      </c>
      <c r="C809" s="11" t="s">
        <v>91</v>
      </c>
      <c r="D809" s="11" t="s">
        <v>92</v>
      </c>
      <c r="E809" s="11" t="s">
        <v>79</v>
      </c>
      <c r="F809" s="12" t="n">
        <f aca="false">SUMIFS(СПРОС_ДЕНЬ_ЧАС_МЕНЮ!$I$11:$I$3265,СПРОС_ДЕНЬ_ЧАС_МЕНЮ!$A$11:$A$3265,A809,СПРОС_ДЕНЬ_ЧАС_МЕНЮ!$B$11:$B$3265,B809,СПРОС_ДЕНЬ_ЧАС_МЕНЮ!$F$11:$F$3265,C809)</f>
        <v>1.056</v>
      </c>
      <c r="G809" s="12" t="n">
        <f aca="false">ПАРАМЕТРЫ!D26</f>
        <v>20</v>
      </c>
      <c r="H809" s="12" t="n">
        <f aca="false">SUMIFS(ШТАТ_ПО_ЧАСАМ!$C$11:$C$115,ШТАТ_ПО_ЧАСАМ!$A$11:$A$115,A809,ШТАТ_ПО_ЧАСАМ!$B$11:$B$115,B809)</f>
        <v>2</v>
      </c>
      <c r="I809" s="12" t="n">
        <f aca="false">MIN(H809,1)*ПАРАМЕТРЫ!E26</f>
        <v>10</v>
      </c>
      <c r="J809" s="12" t="n">
        <f aca="false">MIN(G809,I809)</f>
        <v>10</v>
      </c>
      <c r="K809" s="12" t="n">
        <f aca="false">MAX(F809-J809,0)</f>
        <v>0</v>
      </c>
      <c r="L809" s="12" t="n">
        <f aca="false">IF(J809=0,0,F809/J809)</f>
        <v>0.1056</v>
      </c>
      <c r="M809" s="11" t="str">
        <f aca="false">IF(K809&gt;0,"BLOCKED","PASS")</f>
        <v>PASS</v>
      </c>
      <c r="N809" s="11" t="s">
        <v>233</v>
      </c>
    </row>
    <row r="810" customFormat="false" ht="15" hidden="false" customHeight="false" outlineLevel="0" collapsed="false">
      <c r="A810" s="11" t="s">
        <v>113</v>
      </c>
      <c r="B810" s="11" t="s">
        <v>133</v>
      </c>
      <c r="C810" s="11" t="s">
        <v>93</v>
      </c>
      <c r="D810" s="11" t="s">
        <v>234</v>
      </c>
      <c r="E810" s="11" t="s">
        <v>95</v>
      </c>
      <c r="F810" s="12" t="n">
        <f aca="false">SUMIFS(СПРОС_ДЕНЬ_ЧАС_МЕНЮ!$I$11:$I$3265,СПРОС_ДЕНЬ_ЧАС_МЕНЮ!$A$11:$A$3265,A810,СПРОС_ДЕНЬ_ЧАС_МЕНЮ!$B$11:$B$3265,B810)</f>
        <v>11.05819</v>
      </c>
      <c r="G810" s="12" t="n">
        <f aca="false">ПАРАМЕТРЫ!D27</f>
        <v>60</v>
      </c>
      <c r="H810" s="12" t="n">
        <f aca="false">SUMIFS(ШТАТ_ПО_ЧАСАМ!$C$11:$C$115,ШТАТ_ПО_ЧАСАМ!$A$11:$A$115,A810,ШТАТ_ПО_ЧАСАМ!$B$11:$B$115,B810)</f>
        <v>2</v>
      </c>
      <c r="I810" s="12" t="n">
        <f aca="false">H810*ПАРАМЕТРЫ!E27</f>
        <v>33.3333333333333</v>
      </c>
      <c r="J810" s="12" t="n">
        <f aca="false">MIN(G810,I810)</f>
        <v>33.3333333333333</v>
      </c>
      <c r="K810" s="12" t="n">
        <f aca="false">MAX(F810-J810,0)</f>
        <v>0</v>
      </c>
      <c r="L810" s="12" t="n">
        <f aca="false">IF(J810=0,0,F810/J810)</f>
        <v>0.3317457</v>
      </c>
      <c r="M810" s="11" t="str">
        <f aca="false">IF(K810&gt;0,"BLOCKED","PASS")</f>
        <v>PASS</v>
      </c>
      <c r="N810" s="11" t="s">
        <v>235</v>
      </c>
    </row>
    <row r="811" customFormat="false" ht="23.85" hidden="false" customHeight="false" outlineLevel="0" collapsed="false">
      <c r="A811" s="11" t="s">
        <v>113</v>
      </c>
      <c r="B811" s="11" t="s">
        <v>134</v>
      </c>
      <c r="C811" s="11" t="s">
        <v>73</v>
      </c>
      <c r="D811" s="11" t="s">
        <v>74</v>
      </c>
      <c r="E811" s="11" t="s">
        <v>75</v>
      </c>
      <c r="F811" s="12" t="n">
        <f aca="false">SUMIFS(СПРОС_ДЕНЬ_ЧАС_МЕНЮ!$I$11:$I$3265,СПРОС_ДЕНЬ_ЧАС_МЕНЮ!$A$11:$A$3265,A811,СПРОС_ДЕНЬ_ЧАС_МЕНЮ!$B$11:$B$3265,B811,СПРОС_ДЕНЬ_ЧАС_МЕНЮ!$F$11:$F$3265,C811)</f>
        <v>3.355</v>
      </c>
      <c r="G811" s="12" t="n">
        <f aca="false">ПАРАМЕТРЫ!D20</f>
        <v>25</v>
      </c>
      <c r="H811" s="12" t="n">
        <f aca="false">SUMIFS(ШТАТ_ПО_ЧАСАМ!$C$11:$C$115,ШТАТ_ПО_ЧАСАМ!$A$11:$A$115,A811,ШТАТ_ПО_ЧАСАМ!$B$11:$B$115,B811)</f>
        <v>2</v>
      </c>
      <c r="I811" s="12" t="n">
        <f aca="false">MIN(H811,1)*ПАРАМЕТРЫ!E20</f>
        <v>10</v>
      </c>
      <c r="J811" s="12" t="n">
        <f aca="false">MIN(G811,I811)</f>
        <v>10</v>
      </c>
      <c r="K811" s="12" t="n">
        <f aca="false">MAX(F811-J811,0)</f>
        <v>0</v>
      </c>
      <c r="L811" s="12" t="n">
        <f aca="false">IF(J811=0,0,F811/J811)</f>
        <v>0.3355</v>
      </c>
      <c r="M811" s="11" t="str">
        <f aca="false">IF(K811&gt;0,"BLOCKED","PASS")</f>
        <v>PASS</v>
      </c>
      <c r="N811" s="11" t="s">
        <v>233</v>
      </c>
    </row>
    <row r="812" customFormat="false" ht="23.85" hidden="false" customHeight="false" outlineLevel="0" collapsed="false">
      <c r="A812" s="11" t="s">
        <v>113</v>
      </c>
      <c r="B812" s="11" t="s">
        <v>134</v>
      </c>
      <c r="C812" s="11" t="s">
        <v>77</v>
      </c>
      <c r="D812" s="11" t="s">
        <v>78</v>
      </c>
      <c r="E812" s="11" t="s">
        <v>79</v>
      </c>
      <c r="F812" s="12" t="n">
        <f aca="false">SUMIFS(СПРОС_ДЕНЬ_ЧАС_МЕНЮ!$I$11:$I$3265,СПРОС_ДЕНЬ_ЧАС_МЕНЮ!$A$11:$A$3265,A812,СПРОС_ДЕНЬ_ЧАС_МЕНЮ!$B$11:$B$3265,B812,СПРОС_ДЕНЬ_ЧАС_МЕНЮ!$F$11:$F$3265,C812)</f>
        <v>2.0614</v>
      </c>
      <c r="G812" s="12" t="n">
        <f aca="false">ПАРАМЕТРЫ!D21</f>
        <v>20</v>
      </c>
      <c r="H812" s="12" t="n">
        <f aca="false">SUMIFS(ШТАТ_ПО_ЧАСАМ!$C$11:$C$115,ШТАТ_ПО_ЧАСАМ!$A$11:$A$115,A812,ШТАТ_ПО_ЧАСАМ!$B$11:$B$115,B812)</f>
        <v>2</v>
      </c>
      <c r="I812" s="12" t="n">
        <f aca="false">MIN(H812,1)*ПАРАМЕТРЫ!E21</f>
        <v>10</v>
      </c>
      <c r="J812" s="12" t="n">
        <f aca="false">MIN(G812,I812)</f>
        <v>10</v>
      </c>
      <c r="K812" s="12" t="n">
        <f aca="false">MAX(F812-J812,0)</f>
        <v>0</v>
      </c>
      <c r="L812" s="12" t="n">
        <f aca="false">IF(J812=0,0,F812/J812)</f>
        <v>0.20614</v>
      </c>
      <c r="M812" s="11" t="str">
        <f aca="false">IF(K812&gt;0,"BLOCKED","PASS")</f>
        <v>PASS</v>
      </c>
      <c r="N812" s="11" t="s">
        <v>233</v>
      </c>
    </row>
    <row r="813" customFormat="false" ht="23.85" hidden="false" customHeight="false" outlineLevel="0" collapsed="false">
      <c r="A813" s="11" t="s">
        <v>113</v>
      </c>
      <c r="B813" s="11" t="s">
        <v>134</v>
      </c>
      <c r="C813" s="11" t="s">
        <v>80</v>
      </c>
      <c r="D813" s="11" t="s">
        <v>81</v>
      </c>
      <c r="E813" s="11" t="s">
        <v>82</v>
      </c>
      <c r="F813" s="12" t="n">
        <f aca="false">SUMIFS(СПРОС_ДЕНЬ_ЧАС_МЕНЮ!$I$11:$I$3265,СПРОС_ДЕНЬ_ЧАС_МЕНЮ!$A$11:$A$3265,A813,СПРОС_ДЕНЬ_ЧАС_МЕНЮ!$B$11:$B$3265,B813,СПРОС_ДЕНЬ_ЧАС_МЕНЮ!$F$11:$F$3265,C813)</f>
        <v>3.4045</v>
      </c>
      <c r="G813" s="12" t="n">
        <f aca="false">ПАРАМЕТРЫ!D22</f>
        <v>16</v>
      </c>
      <c r="H813" s="12" t="n">
        <f aca="false">SUMIFS(ШТАТ_ПО_ЧАСАМ!$C$11:$C$115,ШТАТ_ПО_ЧАСАМ!$A$11:$A$115,A813,ШТАТ_ПО_ЧАСАМ!$B$11:$B$115,B813)</f>
        <v>2</v>
      </c>
      <c r="I813" s="12" t="n">
        <f aca="false">MIN(H813,1)*ПАРАМЕТРЫ!E22</f>
        <v>16</v>
      </c>
      <c r="J813" s="12" t="n">
        <f aca="false">MIN(G813,I813)</f>
        <v>16</v>
      </c>
      <c r="K813" s="12" t="n">
        <f aca="false">MAX(F813-J813,0)</f>
        <v>0</v>
      </c>
      <c r="L813" s="12" t="n">
        <f aca="false">IF(J813=0,0,F813/J813)</f>
        <v>0.21278125</v>
      </c>
      <c r="M813" s="11" t="str">
        <f aca="false">IF(K813&gt;0,"BLOCKED","PASS")</f>
        <v>PASS</v>
      </c>
      <c r="N813" s="11" t="s">
        <v>233</v>
      </c>
    </row>
    <row r="814" customFormat="false" ht="23.85" hidden="false" customHeight="false" outlineLevel="0" collapsed="false">
      <c r="A814" s="11" t="s">
        <v>113</v>
      </c>
      <c r="B814" s="11" t="s">
        <v>134</v>
      </c>
      <c r="C814" s="11" t="s">
        <v>83</v>
      </c>
      <c r="D814" s="11" t="s">
        <v>84</v>
      </c>
      <c r="E814" s="11" t="s">
        <v>83</v>
      </c>
      <c r="F814" s="12" t="n">
        <f aca="false">SUMIFS(СПРОС_ДЕНЬ_ЧАС_МЕНЮ!$I$11:$I$3265,СПРОС_ДЕНЬ_ЧАС_МЕНЮ!$A$11:$A$3265,A814,СПРОС_ДЕНЬ_ЧАС_МЕНЮ!$B$11:$B$3265,B814,СПРОС_ДЕНЬ_ЧАС_МЕНЮ!$F$11:$F$3265,C814)</f>
        <v>6.0445</v>
      </c>
      <c r="G814" s="12" t="n">
        <f aca="false">ПАРАМЕТРЫ!D23</f>
        <v>21</v>
      </c>
      <c r="H814" s="12" t="n">
        <f aca="false">SUMIFS(ШТАТ_ПО_ЧАСАМ!$C$11:$C$115,ШТАТ_ПО_ЧАСАМ!$A$11:$A$115,A814,ШТАТ_ПО_ЧАСАМ!$B$11:$B$115,B814)</f>
        <v>2</v>
      </c>
      <c r="I814" s="12" t="n">
        <f aca="false">MIN(H814,1)*ПАРАМЕТРЫ!E23</f>
        <v>21</v>
      </c>
      <c r="J814" s="12" t="n">
        <f aca="false">MIN(G814,I814)</f>
        <v>21</v>
      </c>
      <c r="K814" s="12" t="n">
        <f aca="false">MAX(F814-J814,0)</f>
        <v>0</v>
      </c>
      <c r="L814" s="12" t="n">
        <f aca="false">IF(J814=0,0,F814/J814)</f>
        <v>0.287833333333333</v>
      </c>
      <c r="M814" s="11" t="str">
        <f aca="false">IF(K814&gt;0,"BLOCKED","PASS")</f>
        <v>PASS</v>
      </c>
      <c r="N814" s="11" t="s">
        <v>233</v>
      </c>
    </row>
    <row r="815" customFormat="false" ht="23.85" hidden="false" customHeight="false" outlineLevel="0" collapsed="false">
      <c r="A815" s="11" t="s">
        <v>113</v>
      </c>
      <c r="B815" s="11" t="s">
        <v>134</v>
      </c>
      <c r="C815" s="11" t="s">
        <v>85</v>
      </c>
      <c r="D815" s="11" t="s">
        <v>86</v>
      </c>
      <c r="E815" s="11" t="s">
        <v>87</v>
      </c>
      <c r="F815" s="12" t="n">
        <f aca="false">SUMIFS(СПРОС_ДЕНЬ_ЧАС_МЕНЮ!$I$11:$I$3265,СПРОС_ДЕНЬ_ЧАС_МЕНЮ!$A$11:$A$3265,A815,СПРОС_ДЕНЬ_ЧАС_МЕНЮ!$B$11:$B$3265,B815,СПРОС_ДЕНЬ_ЧАС_МЕНЮ!$F$11:$F$3265,C815)</f>
        <v>2.1675225</v>
      </c>
      <c r="G815" s="12" t="n">
        <f aca="false">ПАРАМЕТРЫ!D24</f>
        <v>12</v>
      </c>
      <c r="H815" s="12" t="n">
        <f aca="false">SUMIFS(ШТАТ_ПО_ЧАСАМ!$C$11:$C$115,ШТАТ_ПО_ЧАСАМ!$A$11:$A$115,A815,ШТАТ_ПО_ЧАСАМ!$B$11:$B$115,B815)</f>
        <v>2</v>
      </c>
      <c r="I815" s="12" t="n">
        <f aca="false">MIN(H815,1)*ПАРАМЕТРЫ!E24</f>
        <v>12</v>
      </c>
      <c r="J815" s="12" t="n">
        <f aca="false">MIN(G815,I815)</f>
        <v>12</v>
      </c>
      <c r="K815" s="12" t="n">
        <f aca="false">MAX(F815-J815,0)</f>
        <v>0</v>
      </c>
      <c r="L815" s="12" t="n">
        <f aca="false">IF(J815=0,0,F815/J815)</f>
        <v>0.180626875</v>
      </c>
      <c r="M815" s="11" t="str">
        <f aca="false">IF(K815&gt;0,"BLOCKED","PASS")</f>
        <v>PASS</v>
      </c>
      <c r="N815" s="11" t="s">
        <v>233</v>
      </c>
    </row>
    <row r="816" customFormat="false" ht="23.85" hidden="false" customHeight="false" outlineLevel="0" collapsed="false">
      <c r="A816" s="11" t="s">
        <v>113</v>
      </c>
      <c r="B816" s="11" t="s">
        <v>134</v>
      </c>
      <c r="C816" s="11" t="s">
        <v>88</v>
      </c>
      <c r="D816" s="11" t="s">
        <v>89</v>
      </c>
      <c r="E816" s="11" t="s">
        <v>90</v>
      </c>
      <c r="F816" s="12" t="n">
        <f aca="false">SUMIFS(СПРОС_ДЕНЬ_ЧАС_МЕНЮ!$I$11:$I$3265,СПРОС_ДЕНЬ_ЧАС_МЕНЮ!$A$11:$A$3265,A816,СПРОС_ДЕНЬ_ЧАС_МЕНЮ!$B$11:$B$3265,B816,СПРОС_ДЕНЬ_ЧАС_МЕНЮ!$F$11:$F$3265,C816)</f>
        <v>0</v>
      </c>
      <c r="G816" s="12" t="n">
        <f aca="false">ПАРАМЕТРЫ!D25</f>
        <v>15</v>
      </c>
      <c r="H816" s="12" t="n">
        <f aca="false">SUMIFS(ШТАТ_ПО_ЧАСАМ!$C$11:$C$115,ШТАТ_ПО_ЧАСАМ!$A$11:$A$115,A816,ШТАТ_ПО_ЧАСАМ!$B$11:$B$115,B816)</f>
        <v>2</v>
      </c>
      <c r="I816" s="12" t="n">
        <f aca="false">MIN(H816,1)*ПАРАМЕТРЫ!E25</f>
        <v>10</v>
      </c>
      <c r="J816" s="12" t="n">
        <f aca="false">MIN(G816,I816)</f>
        <v>10</v>
      </c>
      <c r="K816" s="12" t="n">
        <f aca="false">MAX(F816-J816,0)</f>
        <v>0</v>
      </c>
      <c r="L816" s="12" t="n">
        <f aca="false">IF(J816=0,0,F816/J816)</f>
        <v>0</v>
      </c>
      <c r="M816" s="11" t="str">
        <f aca="false">IF(K816&gt;0,"BLOCKED","PASS")</f>
        <v>PASS</v>
      </c>
      <c r="N816" s="11" t="s">
        <v>233</v>
      </c>
    </row>
    <row r="817" customFormat="false" ht="23.85" hidden="false" customHeight="false" outlineLevel="0" collapsed="false">
      <c r="A817" s="11" t="s">
        <v>113</v>
      </c>
      <c r="B817" s="11" t="s">
        <v>134</v>
      </c>
      <c r="C817" s="11" t="s">
        <v>91</v>
      </c>
      <c r="D817" s="11" t="s">
        <v>92</v>
      </c>
      <c r="E817" s="11" t="s">
        <v>79</v>
      </c>
      <c r="F817" s="12" t="n">
        <f aca="false">SUMIFS(СПРОС_ДЕНЬ_ЧАС_МЕНЮ!$I$11:$I$3265,СПРОС_ДЕНЬ_ЧАС_МЕНЮ!$A$11:$A$3265,A817,СПРОС_ДЕНЬ_ЧАС_МЕНЮ!$B$11:$B$3265,B817,СПРОС_ДЕНЬ_ЧАС_МЕНЮ!$F$11:$F$3265,C817)</f>
        <v>1.342</v>
      </c>
      <c r="G817" s="12" t="n">
        <f aca="false">ПАРАМЕТРЫ!D26</f>
        <v>20</v>
      </c>
      <c r="H817" s="12" t="n">
        <f aca="false">SUMIFS(ШТАТ_ПО_ЧАСАМ!$C$11:$C$115,ШТАТ_ПО_ЧАСАМ!$A$11:$A$115,A817,ШТАТ_ПО_ЧАСАМ!$B$11:$B$115,B817)</f>
        <v>2</v>
      </c>
      <c r="I817" s="12" t="n">
        <f aca="false">MIN(H817,1)*ПАРАМЕТРЫ!E26</f>
        <v>10</v>
      </c>
      <c r="J817" s="12" t="n">
        <f aca="false">MIN(G817,I817)</f>
        <v>10</v>
      </c>
      <c r="K817" s="12" t="n">
        <f aca="false">MAX(F817-J817,0)</f>
        <v>0</v>
      </c>
      <c r="L817" s="12" t="n">
        <f aca="false">IF(J817=0,0,F817/J817)</f>
        <v>0.1342</v>
      </c>
      <c r="M817" s="11" t="str">
        <f aca="false">IF(K817&gt;0,"BLOCKED","PASS")</f>
        <v>PASS</v>
      </c>
      <c r="N817" s="11" t="s">
        <v>233</v>
      </c>
    </row>
    <row r="818" customFormat="false" ht="15" hidden="false" customHeight="false" outlineLevel="0" collapsed="false">
      <c r="A818" s="11" t="s">
        <v>113</v>
      </c>
      <c r="B818" s="11" t="s">
        <v>134</v>
      </c>
      <c r="C818" s="11" t="s">
        <v>93</v>
      </c>
      <c r="D818" s="11" t="s">
        <v>234</v>
      </c>
      <c r="E818" s="11" t="s">
        <v>95</v>
      </c>
      <c r="F818" s="12" t="n">
        <f aca="false">SUMIFS(СПРОС_ДЕНЬ_ЧАС_МЕНЮ!$I$11:$I$3265,СПРОС_ДЕНЬ_ЧАС_МЕНЮ!$A$11:$A$3265,A818,СПРОС_ДЕНЬ_ЧАС_МЕНЮ!$B$11:$B$3265,B818)</f>
        <v>18.3749225</v>
      </c>
      <c r="G818" s="12" t="n">
        <f aca="false">ПАРАМЕТРЫ!D27</f>
        <v>60</v>
      </c>
      <c r="H818" s="12" t="n">
        <f aca="false">SUMIFS(ШТАТ_ПО_ЧАСАМ!$C$11:$C$115,ШТАТ_ПО_ЧАСАМ!$A$11:$A$115,A818,ШТАТ_ПО_ЧАСАМ!$B$11:$B$115,B818)</f>
        <v>2</v>
      </c>
      <c r="I818" s="12" t="n">
        <f aca="false">H818*ПАРАМЕТРЫ!E27</f>
        <v>33.3333333333333</v>
      </c>
      <c r="J818" s="12" t="n">
        <f aca="false">MIN(G818,I818)</f>
        <v>33.3333333333333</v>
      </c>
      <c r="K818" s="12" t="n">
        <f aca="false">MAX(F818-J818,0)</f>
        <v>0</v>
      </c>
      <c r="L818" s="12" t="n">
        <f aca="false">IF(J818=0,0,F818/J818)</f>
        <v>0.551247675</v>
      </c>
      <c r="M818" s="11" t="str">
        <f aca="false">IF(K818&gt;0,"BLOCKED","PASS")</f>
        <v>PASS</v>
      </c>
      <c r="N818" s="11" t="s">
        <v>235</v>
      </c>
    </row>
    <row r="819" customFormat="false" ht="23.85" hidden="false" customHeight="false" outlineLevel="0" collapsed="false">
      <c r="A819" s="11" t="s">
        <v>113</v>
      </c>
      <c r="B819" s="11" t="s">
        <v>135</v>
      </c>
      <c r="C819" s="11" t="s">
        <v>73</v>
      </c>
      <c r="D819" s="11" t="s">
        <v>74</v>
      </c>
      <c r="E819" s="11" t="s">
        <v>75</v>
      </c>
      <c r="F819" s="12" t="n">
        <f aca="false">SUMIFS(СПРОС_ДЕНЬ_ЧАС_МЕНЮ!$I$11:$I$3265,СПРОС_ДЕНЬ_ЧАС_МЕНЮ!$A$11:$A$3265,A819,СПРОС_ДЕНЬ_ЧАС_МЕНЮ!$B$11:$B$3265,B819,СПРОС_ДЕНЬ_ЧАС_МЕНЮ!$F$11:$F$3265,C819)</f>
        <v>5.874</v>
      </c>
      <c r="G819" s="12" t="n">
        <f aca="false">ПАРАМЕТРЫ!D20</f>
        <v>25</v>
      </c>
      <c r="H819" s="12" t="n">
        <f aca="false">SUMIFS(ШТАТ_ПО_ЧАСАМ!$C$11:$C$115,ШТАТ_ПО_ЧАСАМ!$A$11:$A$115,A819,ШТАТ_ПО_ЧАСАМ!$B$11:$B$115,B819)</f>
        <v>1</v>
      </c>
      <c r="I819" s="12" t="n">
        <f aca="false">MIN(H819,1)*ПАРАМЕТРЫ!E20</f>
        <v>10</v>
      </c>
      <c r="J819" s="12" t="n">
        <f aca="false">MIN(G819,I819)</f>
        <v>10</v>
      </c>
      <c r="K819" s="12" t="n">
        <f aca="false">MAX(F819-J819,0)</f>
        <v>0</v>
      </c>
      <c r="L819" s="12" t="n">
        <f aca="false">IF(J819=0,0,F819/J819)</f>
        <v>0.5874</v>
      </c>
      <c r="M819" s="11" t="str">
        <f aca="false">IF(K819&gt;0,"BLOCKED","PASS")</f>
        <v>PASS</v>
      </c>
      <c r="N819" s="11" t="s">
        <v>233</v>
      </c>
    </row>
    <row r="820" customFormat="false" ht="23.85" hidden="false" customHeight="false" outlineLevel="0" collapsed="false">
      <c r="A820" s="11" t="s">
        <v>113</v>
      </c>
      <c r="B820" s="11" t="s">
        <v>135</v>
      </c>
      <c r="C820" s="11" t="s">
        <v>77</v>
      </c>
      <c r="D820" s="11" t="s">
        <v>78</v>
      </c>
      <c r="E820" s="11" t="s">
        <v>79</v>
      </c>
      <c r="F820" s="12" t="n">
        <f aca="false">SUMIFS(СПРОС_ДЕНЬ_ЧАС_МЕНЮ!$I$11:$I$3265,СПРОС_ДЕНЬ_ЧАС_МЕНЮ!$A$11:$A$3265,A820,СПРОС_ДЕНЬ_ЧАС_МЕНЮ!$B$11:$B$3265,B820,СПРОС_ДЕНЬ_ЧАС_МЕНЮ!$F$11:$F$3265,C820)</f>
        <v>2.7588</v>
      </c>
      <c r="G820" s="12" t="n">
        <f aca="false">ПАРАМЕТРЫ!D21</f>
        <v>20</v>
      </c>
      <c r="H820" s="12" t="n">
        <f aca="false">SUMIFS(ШТАТ_ПО_ЧАСАМ!$C$11:$C$115,ШТАТ_ПО_ЧАСАМ!$A$11:$A$115,A820,ШТАТ_ПО_ЧАСАМ!$B$11:$B$115,B820)</f>
        <v>1</v>
      </c>
      <c r="I820" s="12" t="n">
        <f aca="false">MIN(H820,1)*ПАРАМЕТРЫ!E21</f>
        <v>10</v>
      </c>
      <c r="J820" s="12" t="n">
        <f aca="false">MIN(G820,I820)</f>
        <v>10</v>
      </c>
      <c r="K820" s="12" t="n">
        <f aca="false">MAX(F820-J820,0)</f>
        <v>0</v>
      </c>
      <c r="L820" s="12" t="n">
        <f aca="false">IF(J820=0,0,F820/J820)</f>
        <v>0.27588</v>
      </c>
      <c r="M820" s="11" t="str">
        <f aca="false">IF(K820&gt;0,"BLOCKED","PASS")</f>
        <v>PASS</v>
      </c>
      <c r="N820" s="11" t="s">
        <v>233</v>
      </c>
    </row>
    <row r="821" customFormat="false" ht="23.85" hidden="false" customHeight="false" outlineLevel="0" collapsed="false">
      <c r="A821" s="11" t="s">
        <v>113</v>
      </c>
      <c r="B821" s="11" t="s">
        <v>135</v>
      </c>
      <c r="C821" s="11" t="s">
        <v>80</v>
      </c>
      <c r="D821" s="11" t="s">
        <v>81</v>
      </c>
      <c r="E821" s="11" t="s">
        <v>82</v>
      </c>
      <c r="F821" s="12" t="n">
        <f aca="false">SUMIFS(СПРОС_ДЕНЬ_ЧАС_МЕНЮ!$I$11:$I$3265,СПРОС_ДЕНЬ_ЧАС_МЕНЮ!$A$11:$A$3265,A821,СПРОС_ДЕНЬ_ЧАС_МЕНЮ!$B$11:$B$3265,B821,СПРОС_ДЕНЬ_ЧАС_МЕНЮ!$F$11:$F$3265,C821)</f>
        <v>6.8145</v>
      </c>
      <c r="G821" s="12" t="n">
        <f aca="false">ПАРАМЕТРЫ!D22</f>
        <v>16</v>
      </c>
      <c r="H821" s="12" t="n">
        <f aca="false">SUMIFS(ШТАТ_ПО_ЧАСАМ!$C$11:$C$115,ШТАТ_ПО_ЧАСАМ!$A$11:$A$115,A821,ШТАТ_ПО_ЧАСАМ!$B$11:$B$115,B821)</f>
        <v>1</v>
      </c>
      <c r="I821" s="12" t="n">
        <f aca="false">MIN(H821,1)*ПАРАМЕТРЫ!E22</f>
        <v>16</v>
      </c>
      <c r="J821" s="12" t="n">
        <f aca="false">MIN(G821,I821)</f>
        <v>16</v>
      </c>
      <c r="K821" s="12" t="n">
        <f aca="false">MAX(F821-J821,0)</f>
        <v>0</v>
      </c>
      <c r="L821" s="12" t="n">
        <f aca="false">IF(J821=0,0,F821/J821)</f>
        <v>0.42590625</v>
      </c>
      <c r="M821" s="11" t="str">
        <f aca="false">IF(K821&gt;0,"BLOCKED","PASS")</f>
        <v>PASS</v>
      </c>
      <c r="N821" s="11" t="s">
        <v>233</v>
      </c>
    </row>
    <row r="822" customFormat="false" ht="23.85" hidden="false" customHeight="false" outlineLevel="0" collapsed="false">
      <c r="A822" s="11" t="s">
        <v>113</v>
      </c>
      <c r="B822" s="11" t="s">
        <v>135</v>
      </c>
      <c r="C822" s="11" t="s">
        <v>83</v>
      </c>
      <c r="D822" s="11" t="s">
        <v>84</v>
      </c>
      <c r="E822" s="11" t="s">
        <v>83</v>
      </c>
      <c r="F822" s="12" t="n">
        <f aca="false">SUMIFS(СПРОС_ДЕНЬ_ЧАС_МЕНЮ!$I$11:$I$3265,СПРОС_ДЕНЬ_ЧАС_МЕНЮ!$A$11:$A$3265,A822,СПРОС_ДЕНЬ_ЧАС_МЕНЮ!$B$11:$B$3265,B822,СПРОС_ДЕНЬ_ЧАС_МЕНЮ!$F$11:$F$3265,C822)</f>
        <v>11.7645</v>
      </c>
      <c r="G822" s="12" t="n">
        <f aca="false">ПАРАМЕТРЫ!D23</f>
        <v>21</v>
      </c>
      <c r="H822" s="12" t="n">
        <f aca="false">SUMIFS(ШТАТ_ПО_ЧАСАМ!$C$11:$C$115,ШТАТ_ПО_ЧАСАМ!$A$11:$A$115,A822,ШТАТ_ПО_ЧАСАМ!$B$11:$B$115,B822)</f>
        <v>1</v>
      </c>
      <c r="I822" s="12" t="n">
        <f aca="false">MIN(H822,1)*ПАРАМЕТРЫ!E23</f>
        <v>21</v>
      </c>
      <c r="J822" s="12" t="n">
        <f aca="false">MIN(G822,I822)</f>
        <v>21</v>
      </c>
      <c r="K822" s="12" t="n">
        <f aca="false">MAX(F822-J822,0)</f>
        <v>0</v>
      </c>
      <c r="L822" s="12" t="n">
        <f aca="false">IF(J822=0,0,F822/J822)</f>
        <v>0.560214285714286</v>
      </c>
      <c r="M822" s="11" t="str">
        <f aca="false">IF(K822&gt;0,"BLOCKED","PASS")</f>
        <v>PASS</v>
      </c>
      <c r="N822" s="11" t="s">
        <v>233</v>
      </c>
    </row>
    <row r="823" customFormat="false" ht="23.85" hidden="false" customHeight="false" outlineLevel="0" collapsed="false">
      <c r="A823" s="11" t="s">
        <v>113</v>
      </c>
      <c r="B823" s="11" t="s">
        <v>135</v>
      </c>
      <c r="C823" s="11" t="s">
        <v>85</v>
      </c>
      <c r="D823" s="11" t="s">
        <v>86</v>
      </c>
      <c r="E823" s="11" t="s">
        <v>87</v>
      </c>
      <c r="F823" s="12" t="n">
        <f aca="false">SUMIFS(СПРОС_ДЕНЬ_ЧАС_МЕНЮ!$I$11:$I$3265,СПРОС_ДЕНЬ_ЧАС_МЕНЮ!$A$11:$A$3265,A823,СПРОС_ДЕНЬ_ЧАС_МЕНЮ!$B$11:$B$3265,B823,СПРОС_ДЕНЬ_ЧАС_МЕНЮ!$F$11:$F$3265,C823)</f>
        <v>4.6926825</v>
      </c>
      <c r="G823" s="12" t="n">
        <f aca="false">ПАРАМЕТРЫ!D24</f>
        <v>12</v>
      </c>
      <c r="H823" s="12" t="n">
        <f aca="false">SUMIFS(ШТАТ_ПО_ЧАСАМ!$C$11:$C$115,ШТАТ_ПО_ЧАСАМ!$A$11:$A$115,A823,ШТАТ_ПО_ЧАСАМ!$B$11:$B$115,B823)</f>
        <v>1</v>
      </c>
      <c r="I823" s="12" t="n">
        <f aca="false">MIN(H823,1)*ПАРАМЕТРЫ!E24</f>
        <v>12</v>
      </c>
      <c r="J823" s="12" t="n">
        <f aca="false">MIN(G823,I823)</f>
        <v>12</v>
      </c>
      <c r="K823" s="12" t="n">
        <f aca="false">MAX(F823-J823,0)</f>
        <v>0</v>
      </c>
      <c r="L823" s="12" t="n">
        <f aca="false">IF(J823=0,0,F823/J823)</f>
        <v>0.391056875</v>
      </c>
      <c r="M823" s="11" t="str">
        <f aca="false">IF(K823&gt;0,"BLOCKED","PASS")</f>
        <v>PASS</v>
      </c>
      <c r="N823" s="11" t="s">
        <v>233</v>
      </c>
    </row>
    <row r="824" customFormat="false" ht="23.85" hidden="false" customHeight="false" outlineLevel="0" collapsed="false">
      <c r="A824" s="11" t="s">
        <v>113</v>
      </c>
      <c r="B824" s="11" t="s">
        <v>135</v>
      </c>
      <c r="C824" s="11" t="s">
        <v>88</v>
      </c>
      <c r="D824" s="11" t="s">
        <v>89</v>
      </c>
      <c r="E824" s="11" t="s">
        <v>90</v>
      </c>
      <c r="F824" s="12" t="n">
        <f aca="false">SUMIFS(СПРОС_ДЕНЬ_ЧАС_МЕНЮ!$I$11:$I$3265,СПРОС_ДЕНЬ_ЧАС_МЕНЮ!$A$11:$A$3265,A824,СПРОС_ДЕНЬ_ЧАС_МЕНЮ!$B$11:$B$3265,B824,СПРОС_ДЕНЬ_ЧАС_МЕНЮ!$F$11:$F$3265,C824)</f>
        <v>0</v>
      </c>
      <c r="G824" s="12" t="n">
        <f aca="false">ПАРАМЕТРЫ!D25</f>
        <v>15</v>
      </c>
      <c r="H824" s="12" t="n">
        <f aca="false">SUMIFS(ШТАТ_ПО_ЧАСАМ!$C$11:$C$115,ШТАТ_ПО_ЧАСАМ!$A$11:$A$115,A824,ШТАТ_ПО_ЧАСАМ!$B$11:$B$115,B824)</f>
        <v>1</v>
      </c>
      <c r="I824" s="12" t="n">
        <f aca="false">MIN(H824,1)*ПАРАМЕТРЫ!E25</f>
        <v>10</v>
      </c>
      <c r="J824" s="12" t="n">
        <f aca="false">MIN(G824,I824)</f>
        <v>10</v>
      </c>
      <c r="K824" s="12" t="n">
        <f aca="false">MAX(F824-J824,0)</f>
        <v>0</v>
      </c>
      <c r="L824" s="12" t="n">
        <f aca="false">IF(J824=0,0,F824/J824)</f>
        <v>0</v>
      </c>
      <c r="M824" s="11" t="str">
        <f aca="false">IF(K824&gt;0,"BLOCKED","PASS")</f>
        <v>PASS</v>
      </c>
      <c r="N824" s="11" t="s">
        <v>233</v>
      </c>
    </row>
    <row r="825" customFormat="false" ht="23.85" hidden="false" customHeight="false" outlineLevel="0" collapsed="false">
      <c r="A825" s="11" t="s">
        <v>113</v>
      </c>
      <c r="B825" s="11" t="s">
        <v>135</v>
      </c>
      <c r="C825" s="11" t="s">
        <v>91</v>
      </c>
      <c r="D825" s="11" t="s">
        <v>92</v>
      </c>
      <c r="E825" s="11" t="s">
        <v>79</v>
      </c>
      <c r="F825" s="12" t="n">
        <f aca="false">SUMIFS(СПРОС_ДЕНЬ_ЧАС_МЕНЮ!$I$11:$I$3265,СПРОС_ДЕНЬ_ЧАС_МЕНЮ!$A$11:$A$3265,A825,СПРОС_ДЕНЬ_ЧАС_МЕНЮ!$B$11:$B$3265,B825,СПРОС_ДЕНЬ_ЧАС_МЕНЮ!$F$11:$F$3265,C825)</f>
        <v>2.079</v>
      </c>
      <c r="G825" s="12" t="n">
        <f aca="false">ПАРАМЕТРЫ!D26</f>
        <v>20</v>
      </c>
      <c r="H825" s="12" t="n">
        <f aca="false">SUMIFS(ШТАТ_ПО_ЧАСАМ!$C$11:$C$115,ШТАТ_ПО_ЧАСАМ!$A$11:$A$115,A825,ШТАТ_ПО_ЧАСАМ!$B$11:$B$115,B825)</f>
        <v>1</v>
      </c>
      <c r="I825" s="12" t="n">
        <f aca="false">MIN(H825,1)*ПАРАМЕТРЫ!E26</f>
        <v>10</v>
      </c>
      <c r="J825" s="12" t="n">
        <f aca="false">MIN(G825,I825)</f>
        <v>10</v>
      </c>
      <c r="K825" s="12" t="n">
        <f aca="false">MAX(F825-J825,0)</f>
        <v>0</v>
      </c>
      <c r="L825" s="12" t="n">
        <f aca="false">IF(J825=0,0,F825/J825)</f>
        <v>0.2079</v>
      </c>
      <c r="M825" s="11" t="str">
        <f aca="false">IF(K825&gt;0,"BLOCKED","PASS")</f>
        <v>PASS</v>
      </c>
      <c r="N825" s="11" t="s">
        <v>233</v>
      </c>
    </row>
    <row r="826" customFormat="false" ht="15" hidden="false" customHeight="false" outlineLevel="0" collapsed="false">
      <c r="A826" s="11" t="s">
        <v>113</v>
      </c>
      <c r="B826" s="11" t="s">
        <v>135</v>
      </c>
      <c r="C826" s="11" t="s">
        <v>93</v>
      </c>
      <c r="D826" s="11" t="s">
        <v>234</v>
      </c>
      <c r="E826" s="11" t="s">
        <v>95</v>
      </c>
      <c r="F826" s="12" t="n">
        <f aca="false">SUMIFS(СПРОС_ДЕНЬ_ЧАС_МЕНЮ!$I$11:$I$3265,СПРОС_ДЕНЬ_ЧАС_МЕНЮ!$A$11:$A$3265,A826,СПРОС_ДЕНЬ_ЧАС_МЕНЮ!$B$11:$B$3265,B826)</f>
        <v>33.9834825</v>
      </c>
      <c r="G826" s="12" t="n">
        <f aca="false">ПАРАМЕТРЫ!D27</f>
        <v>60</v>
      </c>
      <c r="H826" s="12" t="n">
        <f aca="false">SUMIFS(ШТАТ_ПО_ЧАСАМ!$C$11:$C$115,ШТАТ_ПО_ЧАСАМ!$A$11:$A$115,A826,ШТАТ_ПО_ЧАСАМ!$B$11:$B$115,B826)</f>
        <v>1</v>
      </c>
      <c r="I826" s="12" t="n">
        <f aca="false">H826*ПАРАМЕТРЫ!E27</f>
        <v>16.6666666666667</v>
      </c>
      <c r="J826" s="12" t="n">
        <f aca="false">MIN(G826,I826)</f>
        <v>16.6666666666667</v>
      </c>
      <c r="K826" s="12" t="n">
        <f aca="false">MAX(F826-J826,0)</f>
        <v>17.3168158333333</v>
      </c>
      <c r="L826" s="12" t="n">
        <f aca="false">IF(J826=0,0,F826/J826)</f>
        <v>2.03900895</v>
      </c>
      <c r="M826" s="11" t="str">
        <f aca="false">IF(K826&gt;0,"BLOCKED","PASS")</f>
        <v>BLOCKED</v>
      </c>
      <c r="N826" s="11" t="s">
        <v>235</v>
      </c>
    </row>
    <row r="827" customFormat="false" ht="23.85" hidden="false" customHeight="false" outlineLevel="0" collapsed="false">
      <c r="A827" s="11" t="s">
        <v>113</v>
      </c>
      <c r="B827" s="11" t="s">
        <v>136</v>
      </c>
      <c r="C827" s="11" t="s">
        <v>73</v>
      </c>
      <c r="D827" s="11" t="s">
        <v>74</v>
      </c>
      <c r="E827" s="11" t="s">
        <v>75</v>
      </c>
      <c r="F827" s="12" t="n">
        <f aca="false">SUMIFS(СПРОС_ДЕНЬ_ЧАС_МЕНЮ!$I$11:$I$3265,СПРОС_ДЕНЬ_ЧАС_МЕНЮ!$A$11:$A$3265,A827,СПРОС_ДЕНЬ_ЧАС_МЕНЮ!$B$11:$B$3265,B827,СПРОС_ДЕНЬ_ЧАС_МЕНЮ!$F$11:$F$3265,C827)</f>
        <v>7.194</v>
      </c>
      <c r="G827" s="12" t="n">
        <f aca="false">ПАРАМЕТРЫ!D20</f>
        <v>25</v>
      </c>
      <c r="H827" s="12" t="n">
        <f aca="false">SUMIFS(ШТАТ_ПО_ЧАСАМ!$C$11:$C$115,ШТАТ_ПО_ЧАСАМ!$A$11:$A$115,A827,ШТАТ_ПО_ЧАСАМ!$B$11:$B$115,B827)</f>
        <v>1</v>
      </c>
      <c r="I827" s="12" t="n">
        <f aca="false">MIN(H827,1)*ПАРАМЕТРЫ!E20</f>
        <v>10</v>
      </c>
      <c r="J827" s="12" t="n">
        <f aca="false">MIN(G827,I827)</f>
        <v>10</v>
      </c>
      <c r="K827" s="12" t="n">
        <f aca="false">MAX(F827-J827,0)</f>
        <v>0</v>
      </c>
      <c r="L827" s="12" t="n">
        <f aca="false">IF(J827=0,0,F827/J827)</f>
        <v>0.7194</v>
      </c>
      <c r="M827" s="11" t="str">
        <f aca="false">IF(K827&gt;0,"BLOCKED","PASS")</f>
        <v>PASS</v>
      </c>
      <c r="N827" s="11" t="s">
        <v>233</v>
      </c>
    </row>
    <row r="828" customFormat="false" ht="23.85" hidden="false" customHeight="false" outlineLevel="0" collapsed="false">
      <c r="A828" s="11" t="s">
        <v>113</v>
      </c>
      <c r="B828" s="11" t="s">
        <v>136</v>
      </c>
      <c r="C828" s="11" t="s">
        <v>77</v>
      </c>
      <c r="D828" s="11" t="s">
        <v>78</v>
      </c>
      <c r="E828" s="11" t="s">
        <v>79</v>
      </c>
      <c r="F828" s="12" t="n">
        <f aca="false">SUMIFS(СПРОС_ДЕНЬ_ЧАС_МЕНЮ!$I$11:$I$3265,СПРОС_ДЕНЬ_ЧАС_МЕНЮ!$A$11:$A$3265,A828,СПРОС_ДЕНЬ_ЧАС_МЕНЮ!$B$11:$B$3265,B828,СПРОС_ДЕНЬ_ЧАС_МЕНЮ!$F$11:$F$3265,C828)</f>
        <v>3.1724</v>
      </c>
      <c r="G828" s="12" t="n">
        <f aca="false">ПАРАМЕТРЫ!D21</f>
        <v>20</v>
      </c>
      <c r="H828" s="12" t="n">
        <f aca="false">SUMIFS(ШТАТ_ПО_ЧАСАМ!$C$11:$C$115,ШТАТ_ПО_ЧАСАМ!$A$11:$A$115,A828,ШТАТ_ПО_ЧАСАМ!$B$11:$B$115,B828)</f>
        <v>1</v>
      </c>
      <c r="I828" s="12" t="n">
        <f aca="false">MIN(H828,1)*ПАРАМЕТРЫ!E21</f>
        <v>10</v>
      </c>
      <c r="J828" s="12" t="n">
        <f aca="false">MIN(G828,I828)</f>
        <v>10</v>
      </c>
      <c r="K828" s="12" t="n">
        <f aca="false">MAX(F828-J828,0)</f>
        <v>0</v>
      </c>
      <c r="L828" s="12" t="n">
        <f aca="false">IF(J828=0,0,F828/J828)</f>
        <v>0.31724</v>
      </c>
      <c r="M828" s="11" t="str">
        <f aca="false">IF(K828&gt;0,"BLOCKED","PASS")</f>
        <v>PASS</v>
      </c>
      <c r="N828" s="11" t="s">
        <v>233</v>
      </c>
    </row>
    <row r="829" customFormat="false" ht="23.85" hidden="false" customHeight="false" outlineLevel="0" collapsed="false">
      <c r="A829" s="11" t="s">
        <v>113</v>
      </c>
      <c r="B829" s="11" t="s">
        <v>136</v>
      </c>
      <c r="C829" s="11" t="s">
        <v>80</v>
      </c>
      <c r="D829" s="11" t="s">
        <v>81</v>
      </c>
      <c r="E829" s="11" t="s">
        <v>82</v>
      </c>
      <c r="F829" s="12" t="n">
        <f aca="false">SUMIFS(СПРОС_ДЕНЬ_ЧАС_МЕНЮ!$I$11:$I$3265,СПРОС_ДЕНЬ_ЧАС_МЕНЮ!$A$11:$A$3265,A829,СПРОС_ДЕНЬ_ЧАС_МЕНЮ!$B$11:$B$3265,B829,СПРОС_ДЕНЬ_ЧАС_МЕНЮ!$F$11:$F$3265,C829)</f>
        <v>9.1575</v>
      </c>
      <c r="G829" s="12" t="n">
        <f aca="false">ПАРАМЕТРЫ!D22</f>
        <v>16</v>
      </c>
      <c r="H829" s="12" t="n">
        <f aca="false">SUMIFS(ШТАТ_ПО_ЧАСАМ!$C$11:$C$115,ШТАТ_ПО_ЧАСАМ!$A$11:$A$115,A829,ШТАТ_ПО_ЧАСАМ!$B$11:$B$115,B829)</f>
        <v>1</v>
      </c>
      <c r="I829" s="12" t="n">
        <f aca="false">MIN(H829,1)*ПАРАМЕТРЫ!E22</f>
        <v>16</v>
      </c>
      <c r="J829" s="12" t="n">
        <f aca="false">MIN(G829,I829)</f>
        <v>16</v>
      </c>
      <c r="K829" s="12" t="n">
        <f aca="false">MAX(F829-J829,0)</f>
        <v>0</v>
      </c>
      <c r="L829" s="12" t="n">
        <f aca="false">IF(J829=0,0,F829/J829)</f>
        <v>0.57234375</v>
      </c>
      <c r="M829" s="11" t="str">
        <f aca="false">IF(K829&gt;0,"BLOCKED","PASS")</f>
        <v>PASS</v>
      </c>
      <c r="N829" s="11" t="s">
        <v>233</v>
      </c>
    </row>
    <row r="830" customFormat="false" ht="23.85" hidden="false" customHeight="false" outlineLevel="0" collapsed="false">
      <c r="A830" s="11" t="s">
        <v>113</v>
      </c>
      <c r="B830" s="11" t="s">
        <v>136</v>
      </c>
      <c r="C830" s="11" t="s">
        <v>83</v>
      </c>
      <c r="D830" s="11" t="s">
        <v>84</v>
      </c>
      <c r="E830" s="11" t="s">
        <v>83</v>
      </c>
      <c r="F830" s="12" t="n">
        <f aca="false">SUMIFS(СПРОС_ДЕНЬ_ЧАС_МЕНЮ!$I$11:$I$3265,СПРОС_ДЕНЬ_ЧАС_МЕНЮ!$A$11:$A$3265,A830,СПРОС_ДЕНЬ_ЧАС_МЕНЮ!$B$11:$B$3265,B830,СПРОС_ДЕНЬ_ЧАС_МЕНЮ!$F$11:$F$3265,C830)</f>
        <v>15.5375</v>
      </c>
      <c r="G830" s="12" t="n">
        <f aca="false">ПАРАМЕТРЫ!D23</f>
        <v>21</v>
      </c>
      <c r="H830" s="12" t="n">
        <f aca="false">SUMIFS(ШТАТ_ПО_ЧАСАМ!$C$11:$C$115,ШТАТ_ПО_ЧАСАМ!$A$11:$A$115,A830,ШТАТ_ПО_ЧАСАМ!$B$11:$B$115,B830)</f>
        <v>1</v>
      </c>
      <c r="I830" s="12" t="n">
        <f aca="false">MIN(H830,1)*ПАРАМЕТРЫ!E23</f>
        <v>21</v>
      </c>
      <c r="J830" s="12" t="n">
        <f aca="false">MIN(G830,I830)</f>
        <v>21</v>
      </c>
      <c r="K830" s="12" t="n">
        <f aca="false">MAX(F830-J830,0)</f>
        <v>0</v>
      </c>
      <c r="L830" s="12" t="n">
        <f aca="false">IF(J830=0,0,F830/J830)</f>
        <v>0.739880952380953</v>
      </c>
      <c r="M830" s="11" t="str">
        <f aca="false">IF(K830&gt;0,"BLOCKED","PASS")</f>
        <v>PASS</v>
      </c>
      <c r="N830" s="11" t="s">
        <v>233</v>
      </c>
    </row>
    <row r="831" customFormat="false" ht="23.85" hidden="false" customHeight="false" outlineLevel="0" collapsed="false">
      <c r="A831" s="11" t="s">
        <v>113</v>
      </c>
      <c r="B831" s="11" t="s">
        <v>136</v>
      </c>
      <c r="C831" s="11" t="s">
        <v>85</v>
      </c>
      <c r="D831" s="11" t="s">
        <v>86</v>
      </c>
      <c r="E831" s="11" t="s">
        <v>87</v>
      </c>
      <c r="F831" s="12" t="n">
        <f aca="false">SUMIFS(СПРОС_ДЕНЬ_ЧАС_МЕНЮ!$I$11:$I$3265,СПРОС_ДЕНЬ_ЧАС_МЕНЮ!$A$11:$A$3265,A831,СПРОС_ДЕНЬ_ЧАС_МЕНЮ!$B$11:$B$3265,B831,СПРОС_ДЕНЬ_ЧАС_МЕНЮ!$F$11:$F$3265,C831)</f>
        <v>6.6145475</v>
      </c>
      <c r="G831" s="12" t="n">
        <f aca="false">ПАРАМЕТРЫ!D24</f>
        <v>12</v>
      </c>
      <c r="H831" s="12" t="n">
        <f aca="false">SUMIFS(ШТАТ_ПО_ЧАСАМ!$C$11:$C$115,ШТАТ_ПО_ЧАСАМ!$A$11:$A$115,A831,ШТАТ_ПО_ЧАСАМ!$B$11:$B$115,B831)</f>
        <v>1</v>
      </c>
      <c r="I831" s="12" t="n">
        <f aca="false">MIN(H831,1)*ПАРАМЕТРЫ!E24</f>
        <v>12</v>
      </c>
      <c r="J831" s="12" t="n">
        <f aca="false">MIN(G831,I831)</f>
        <v>12</v>
      </c>
      <c r="K831" s="12" t="n">
        <f aca="false">MAX(F831-J831,0)</f>
        <v>0</v>
      </c>
      <c r="L831" s="12" t="n">
        <f aca="false">IF(J831=0,0,F831/J831)</f>
        <v>0.551212291666667</v>
      </c>
      <c r="M831" s="11" t="str">
        <f aca="false">IF(K831&gt;0,"BLOCKED","PASS")</f>
        <v>PASS</v>
      </c>
      <c r="N831" s="11" t="s">
        <v>233</v>
      </c>
    </row>
    <row r="832" customFormat="false" ht="23.85" hidden="false" customHeight="false" outlineLevel="0" collapsed="false">
      <c r="A832" s="11" t="s">
        <v>113</v>
      </c>
      <c r="B832" s="11" t="s">
        <v>136</v>
      </c>
      <c r="C832" s="11" t="s">
        <v>88</v>
      </c>
      <c r="D832" s="11" t="s">
        <v>89</v>
      </c>
      <c r="E832" s="11" t="s">
        <v>90</v>
      </c>
      <c r="F832" s="12" t="n">
        <f aca="false">SUMIFS(СПРОС_ДЕНЬ_ЧАС_МЕНЮ!$I$11:$I$3265,СПРОС_ДЕНЬ_ЧАС_МЕНЮ!$A$11:$A$3265,A832,СПРОС_ДЕНЬ_ЧАС_МЕНЮ!$B$11:$B$3265,B832,СПРОС_ДЕНЬ_ЧАС_МЕНЮ!$F$11:$F$3265,C832)</f>
        <v>0</v>
      </c>
      <c r="G832" s="12" t="n">
        <f aca="false">ПАРАМЕТРЫ!D25</f>
        <v>15</v>
      </c>
      <c r="H832" s="12" t="n">
        <f aca="false">SUMIFS(ШТАТ_ПО_ЧАСАМ!$C$11:$C$115,ШТАТ_ПО_ЧАСАМ!$A$11:$A$115,A832,ШТАТ_ПО_ЧАСАМ!$B$11:$B$115,B832)</f>
        <v>1</v>
      </c>
      <c r="I832" s="12" t="n">
        <f aca="false">MIN(H832,1)*ПАРАМЕТРЫ!E25</f>
        <v>10</v>
      </c>
      <c r="J832" s="12" t="n">
        <f aca="false">MIN(G832,I832)</f>
        <v>10</v>
      </c>
      <c r="K832" s="12" t="n">
        <f aca="false">MAX(F832-J832,0)</f>
        <v>0</v>
      </c>
      <c r="L832" s="12" t="n">
        <f aca="false">IF(J832=0,0,F832/J832)</f>
        <v>0</v>
      </c>
      <c r="M832" s="11" t="str">
        <f aca="false">IF(K832&gt;0,"BLOCKED","PASS")</f>
        <v>PASS</v>
      </c>
      <c r="N832" s="11" t="s">
        <v>233</v>
      </c>
    </row>
    <row r="833" customFormat="false" ht="23.85" hidden="false" customHeight="false" outlineLevel="0" collapsed="false">
      <c r="A833" s="11" t="s">
        <v>113</v>
      </c>
      <c r="B833" s="11" t="s">
        <v>136</v>
      </c>
      <c r="C833" s="11" t="s">
        <v>91</v>
      </c>
      <c r="D833" s="11" t="s">
        <v>92</v>
      </c>
      <c r="E833" s="11" t="s">
        <v>79</v>
      </c>
      <c r="F833" s="12" t="n">
        <f aca="false">SUMIFS(СПРОС_ДЕНЬ_ЧАС_МЕНЮ!$I$11:$I$3265,СПРОС_ДЕНЬ_ЧАС_МЕНЮ!$A$11:$A$3265,A833,СПРОС_ДЕНЬ_ЧАС_МЕНЮ!$B$11:$B$3265,B833,СПРОС_ДЕНЬ_ЧАС_МЕНЮ!$F$11:$F$3265,C833)</f>
        <v>2.585</v>
      </c>
      <c r="G833" s="12" t="n">
        <f aca="false">ПАРАМЕТРЫ!D26</f>
        <v>20</v>
      </c>
      <c r="H833" s="12" t="n">
        <f aca="false">SUMIFS(ШТАТ_ПО_ЧАСАМ!$C$11:$C$115,ШТАТ_ПО_ЧАСАМ!$A$11:$A$115,A833,ШТАТ_ПО_ЧАСАМ!$B$11:$B$115,B833)</f>
        <v>1</v>
      </c>
      <c r="I833" s="12" t="n">
        <f aca="false">MIN(H833,1)*ПАРАМЕТРЫ!E26</f>
        <v>10</v>
      </c>
      <c r="J833" s="12" t="n">
        <f aca="false">MIN(G833,I833)</f>
        <v>10</v>
      </c>
      <c r="K833" s="12" t="n">
        <f aca="false">MAX(F833-J833,0)</f>
        <v>0</v>
      </c>
      <c r="L833" s="12" t="n">
        <f aca="false">IF(J833=0,0,F833/J833)</f>
        <v>0.2585</v>
      </c>
      <c r="M833" s="11" t="str">
        <f aca="false">IF(K833&gt;0,"BLOCKED","PASS")</f>
        <v>PASS</v>
      </c>
      <c r="N833" s="11" t="s">
        <v>233</v>
      </c>
    </row>
    <row r="834" customFormat="false" ht="15" hidden="false" customHeight="false" outlineLevel="0" collapsed="false">
      <c r="A834" s="11" t="s">
        <v>113</v>
      </c>
      <c r="B834" s="11" t="s">
        <v>136</v>
      </c>
      <c r="C834" s="11" t="s">
        <v>93</v>
      </c>
      <c r="D834" s="11" t="s">
        <v>234</v>
      </c>
      <c r="E834" s="11" t="s">
        <v>95</v>
      </c>
      <c r="F834" s="12" t="n">
        <f aca="false">SUMIFS(СПРОС_ДЕНЬ_ЧАС_МЕНЮ!$I$11:$I$3265,СПРОС_ДЕНЬ_ЧАС_МЕНЮ!$A$11:$A$3265,A834,СПРОС_ДЕНЬ_ЧАС_МЕНЮ!$B$11:$B$3265,B834)</f>
        <v>44.2609475</v>
      </c>
      <c r="G834" s="12" t="n">
        <f aca="false">ПАРАМЕТРЫ!D27</f>
        <v>60</v>
      </c>
      <c r="H834" s="12" t="n">
        <f aca="false">SUMIFS(ШТАТ_ПО_ЧАСАМ!$C$11:$C$115,ШТАТ_ПО_ЧАСАМ!$A$11:$A$115,A834,ШТАТ_ПО_ЧАСАМ!$B$11:$B$115,B834)</f>
        <v>1</v>
      </c>
      <c r="I834" s="12" t="n">
        <f aca="false">H834*ПАРАМЕТРЫ!E27</f>
        <v>16.6666666666667</v>
      </c>
      <c r="J834" s="12" t="n">
        <f aca="false">MIN(G834,I834)</f>
        <v>16.6666666666667</v>
      </c>
      <c r="K834" s="12" t="n">
        <f aca="false">MAX(F834-J834,0)</f>
        <v>27.5942808333333</v>
      </c>
      <c r="L834" s="12" t="n">
        <f aca="false">IF(J834=0,0,F834/J834)</f>
        <v>2.65565685</v>
      </c>
      <c r="M834" s="11" t="str">
        <f aca="false">IF(K834&gt;0,"BLOCKED","PASS")</f>
        <v>BLOCKED</v>
      </c>
      <c r="N834" s="11" t="s">
        <v>235</v>
      </c>
    </row>
    <row r="835" customFormat="false" ht="23.85" hidden="false" customHeight="false" outlineLevel="0" collapsed="false">
      <c r="A835" s="11" t="s">
        <v>113</v>
      </c>
      <c r="B835" s="11" t="s">
        <v>137</v>
      </c>
      <c r="C835" s="11" t="s">
        <v>73</v>
      </c>
      <c r="D835" s="11" t="s">
        <v>74</v>
      </c>
      <c r="E835" s="11" t="s">
        <v>75</v>
      </c>
      <c r="F835" s="12" t="n">
        <f aca="false">SUMIFS(СПРОС_ДЕНЬ_ЧАС_МЕНЮ!$I$11:$I$3265,СПРОС_ДЕНЬ_ЧАС_МЕНЮ!$A$11:$A$3265,A835,СПРОС_ДЕНЬ_ЧАС_МЕНЮ!$B$11:$B$3265,B835,СПРОС_ДЕНЬ_ЧАС_МЕНЮ!$F$11:$F$3265,C835)</f>
        <v>8.459</v>
      </c>
      <c r="G835" s="12" t="n">
        <f aca="false">ПАРАМЕТРЫ!D20</f>
        <v>25</v>
      </c>
      <c r="H835" s="12" t="n">
        <f aca="false">SUMIFS(ШТАТ_ПО_ЧАСАМ!$C$11:$C$115,ШТАТ_ПО_ЧАСАМ!$A$11:$A$115,A835,ШТАТ_ПО_ЧАСАМ!$B$11:$B$115,B835)</f>
        <v>1</v>
      </c>
      <c r="I835" s="12" t="n">
        <f aca="false">MIN(H835,1)*ПАРАМЕТРЫ!E20</f>
        <v>10</v>
      </c>
      <c r="J835" s="12" t="n">
        <f aca="false">MIN(G835,I835)</f>
        <v>10</v>
      </c>
      <c r="K835" s="12" t="n">
        <f aca="false">MAX(F835-J835,0)</f>
        <v>0</v>
      </c>
      <c r="L835" s="12" t="n">
        <f aca="false">IF(J835=0,0,F835/J835)</f>
        <v>0.8459</v>
      </c>
      <c r="M835" s="11" t="str">
        <f aca="false">IF(K835&gt;0,"BLOCKED","PASS")</f>
        <v>PASS</v>
      </c>
      <c r="N835" s="11" t="s">
        <v>233</v>
      </c>
    </row>
    <row r="836" customFormat="false" ht="23.85" hidden="false" customHeight="false" outlineLevel="0" collapsed="false">
      <c r="A836" s="11" t="s">
        <v>113</v>
      </c>
      <c r="B836" s="11" t="s">
        <v>137</v>
      </c>
      <c r="C836" s="11" t="s">
        <v>77</v>
      </c>
      <c r="D836" s="11" t="s">
        <v>78</v>
      </c>
      <c r="E836" s="11" t="s">
        <v>79</v>
      </c>
      <c r="F836" s="12" t="n">
        <f aca="false">SUMIFS(СПРОС_ДЕНЬ_ЧАС_МЕНЮ!$I$11:$I$3265,СПРОС_ДЕНЬ_ЧАС_МЕНЮ!$A$11:$A$3265,A836,СПРОС_ДЕНЬ_ЧАС_МЕНЮ!$B$11:$B$3265,B836,СПРОС_ДЕНЬ_ЧАС_МЕНЮ!$F$11:$F$3265,C836)</f>
        <v>3.267</v>
      </c>
      <c r="G836" s="12" t="n">
        <f aca="false">ПАРАМЕТРЫ!D21</f>
        <v>20</v>
      </c>
      <c r="H836" s="12" t="n">
        <f aca="false">SUMIFS(ШТАТ_ПО_ЧАСАМ!$C$11:$C$115,ШТАТ_ПО_ЧАСАМ!$A$11:$A$115,A836,ШТАТ_ПО_ЧАСАМ!$B$11:$B$115,B836)</f>
        <v>1</v>
      </c>
      <c r="I836" s="12" t="n">
        <f aca="false">MIN(H836,1)*ПАРАМЕТРЫ!E21</f>
        <v>10</v>
      </c>
      <c r="J836" s="12" t="n">
        <f aca="false">MIN(G836,I836)</f>
        <v>10</v>
      </c>
      <c r="K836" s="12" t="n">
        <f aca="false">MAX(F836-J836,0)</f>
        <v>0</v>
      </c>
      <c r="L836" s="12" t="n">
        <f aca="false">IF(J836=0,0,F836/J836)</f>
        <v>0.3267</v>
      </c>
      <c r="M836" s="11" t="str">
        <f aca="false">IF(K836&gt;0,"BLOCKED","PASS")</f>
        <v>PASS</v>
      </c>
      <c r="N836" s="11" t="s">
        <v>233</v>
      </c>
    </row>
    <row r="837" customFormat="false" ht="23.85" hidden="false" customHeight="false" outlineLevel="0" collapsed="false">
      <c r="A837" s="11" t="s">
        <v>113</v>
      </c>
      <c r="B837" s="11" t="s">
        <v>137</v>
      </c>
      <c r="C837" s="11" t="s">
        <v>80</v>
      </c>
      <c r="D837" s="11" t="s">
        <v>81</v>
      </c>
      <c r="E837" s="11" t="s">
        <v>82</v>
      </c>
      <c r="F837" s="12" t="n">
        <f aca="false">SUMIFS(СПРОС_ДЕНЬ_ЧАС_МЕНЮ!$I$11:$I$3265,СПРОС_ДЕНЬ_ЧАС_МЕНЮ!$A$11:$A$3265,A837,СПРОС_ДЕНЬ_ЧАС_МЕНЮ!$B$11:$B$3265,B837,СПРОС_ДЕНЬ_ЧАС_МЕНЮ!$F$11:$F$3265,C837)</f>
        <v>11.198</v>
      </c>
      <c r="G837" s="12" t="n">
        <f aca="false">ПАРАМЕТРЫ!D22</f>
        <v>16</v>
      </c>
      <c r="H837" s="12" t="n">
        <f aca="false">SUMIFS(ШТАТ_ПО_ЧАСАМ!$C$11:$C$115,ШТАТ_ПО_ЧАСАМ!$A$11:$A$115,A837,ШТАТ_ПО_ЧАСАМ!$B$11:$B$115,B837)</f>
        <v>1</v>
      </c>
      <c r="I837" s="12" t="n">
        <f aca="false">MIN(H837,1)*ПАРАМЕТРЫ!E22</f>
        <v>16</v>
      </c>
      <c r="J837" s="12" t="n">
        <f aca="false">MIN(G837,I837)</f>
        <v>16</v>
      </c>
      <c r="K837" s="12" t="n">
        <f aca="false">MAX(F837-J837,0)</f>
        <v>0</v>
      </c>
      <c r="L837" s="12" t="n">
        <f aca="false">IF(J837=0,0,F837/J837)</f>
        <v>0.699875</v>
      </c>
      <c r="M837" s="11" t="str">
        <f aca="false">IF(K837&gt;0,"BLOCKED","PASS")</f>
        <v>PASS</v>
      </c>
      <c r="N837" s="11" t="s">
        <v>233</v>
      </c>
    </row>
    <row r="838" customFormat="false" ht="23.85" hidden="false" customHeight="false" outlineLevel="0" collapsed="false">
      <c r="A838" s="11" t="s">
        <v>113</v>
      </c>
      <c r="B838" s="11" t="s">
        <v>137</v>
      </c>
      <c r="C838" s="11" t="s">
        <v>83</v>
      </c>
      <c r="D838" s="11" t="s">
        <v>84</v>
      </c>
      <c r="E838" s="11" t="s">
        <v>83</v>
      </c>
      <c r="F838" s="12" t="n">
        <f aca="false">SUMIFS(СПРОС_ДЕНЬ_ЧАС_МЕНЮ!$I$11:$I$3265,СПРОС_ДЕНЬ_ЧАС_МЕНЮ!$A$11:$A$3265,A838,СПРОС_ДЕНЬ_ЧАС_МЕНЮ!$B$11:$B$3265,B838,СПРОС_ДЕНЬ_ЧАС_МЕНЮ!$F$11:$F$3265,C838)</f>
        <v>18.843</v>
      </c>
      <c r="G838" s="12" t="n">
        <f aca="false">ПАРАМЕТРЫ!D23</f>
        <v>21</v>
      </c>
      <c r="H838" s="12" t="n">
        <f aca="false">SUMIFS(ШТАТ_ПО_ЧАСАМ!$C$11:$C$115,ШТАТ_ПО_ЧАСАМ!$A$11:$A$115,A838,ШТАТ_ПО_ЧАСАМ!$B$11:$B$115,B838)</f>
        <v>1</v>
      </c>
      <c r="I838" s="12" t="n">
        <f aca="false">MIN(H838,1)*ПАРАМЕТРЫ!E23</f>
        <v>21</v>
      </c>
      <c r="J838" s="12" t="n">
        <f aca="false">MIN(G838,I838)</f>
        <v>21</v>
      </c>
      <c r="K838" s="12" t="n">
        <f aca="false">MAX(F838-J838,0)</f>
        <v>0</v>
      </c>
      <c r="L838" s="12" t="n">
        <f aca="false">IF(J838=0,0,F838/J838)</f>
        <v>0.897285714285714</v>
      </c>
      <c r="M838" s="11" t="str">
        <f aca="false">IF(K838&gt;0,"BLOCKED","PASS")</f>
        <v>PASS</v>
      </c>
      <c r="N838" s="11" t="s">
        <v>233</v>
      </c>
    </row>
    <row r="839" customFormat="false" ht="23.85" hidden="false" customHeight="false" outlineLevel="0" collapsed="false">
      <c r="A839" s="11" t="s">
        <v>113</v>
      </c>
      <c r="B839" s="11" t="s">
        <v>137</v>
      </c>
      <c r="C839" s="11" t="s">
        <v>85</v>
      </c>
      <c r="D839" s="11" t="s">
        <v>86</v>
      </c>
      <c r="E839" s="11" t="s">
        <v>87</v>
      </c>
      <c r="F839" s="12" t="n">
        <f aca="false">SUMIFS(СПРОС_ДЕНЬ_ЧАС_МЕНЮ!$I$11:$I$3265,СПРОС_ДЕНЬ_ЧАС_МЕНЮ!$A$11:$A$3265,A839,СПРОС_ДЕНЬ_ЧАС_МЕНЮ!$B$11:$B$3265,B839,СПРОС_ДЕНЬ_ЧАС_МЕНЮ!$F$11:$F$3265,C839)</f>
        <v>8.178775</v>
      </c>
      <c r="G839" s="12" t="n">
        <f aca="false">ПАРАМЕТРЫ!D24</f>
        <v>12</v>
      </c>
      <c r="H839" s="12" t="n">
        <f aca="false">SUMIFS(ШТАТ_ПО_ЧАСАМ!$C$11:$C$115,ШТАТ_ПО_ЧАСАМ!$A$11:$A$115,A839,ШТАТ_ПО_ЧАСАМ!$B$11:$B$115,B839)</f>
        <v>1</v>
      </c>
      <c r="I839" s="12" t="n">
        <f aca="false">MIN(H839,1)*ПАРАМЕТРЫ!E24</f>
        <v>12</v>
      </c>
      <c r="J839" s="12" t="n">
        <f aca="false">MIN(G839,I839)</f>
        <v>12</v>
      </c>
      <c r="K839" s="12" t="n">
        <f aca="false">MAX(F839-J839,0)</f>
        <v>0</v>
      </c>
      <c r="L839" s="12" t="n">
        <f aca="false">IF(J839=0,0,F839/J839)</f>
        <v>0.681564583333333</v>
      </c>
      <c r="M839" s="11" t="str">
        <f aca="false">IF(K839&gt;0,"BLOCKED","PASS")</f>
        <v>PASS</v>
      </c>
      <c r="N839" s="11" t="s">
        <v>233</v>
      </c>
    </row>
    <row r="840" customFormat="false" ht="23.85" hidden="false" customHeight="false" outlineLevel="0" collapsed="false">
      <c r="A840" s="11" t="s">
        <v>113</v>
      </c>
      <c r="B840" s="11" t="s">
        <v>137</v>
      </c>
      <c r="C840" s="11" t="s">
        <v>88</v>
      </c>
      <c r="D840" s="11" t="s">
        <v>89</v>
      </c>
      <c r="E840" s="11" t="s">
        <v>90</v>
      </c>
      <c r="F840" s="12" t="n">
        <f aca="false">SUMIFS(СПРОС_ДЕНЬ_ЧАС_МЕНЮ!$I$11:$I$3265,СПРОС_ДЕНЬ_ЧАС_МЕНЮ!$A$11:$A$3265,A840,СПРОС_ДЕНЬ_ЧАС_МЕНЮ!$B$11:$B$3265,B840,СПРОС_ДЕНЬ_ЧАС_МЕНЮ!$F$11:$F$3265,C840)</f>
        <v>0</v>
      </c>
      <c r="G840" s="12" t="n">
        <f aca="false">ПАРАМЕТРЫ!D25</f>
        <v>15</v>
      </c>
      <c r="H840" s="12" t="n">
        <f aca="false">SUMIFS(ШТАТ_ПО_ЧАСАМ!$C$11:$C$115,ШТАТ_ПО_ЧАСАМ!$A$11:$A$115,A840,ШТАТ_ПО_ЧАСАМ!$B$11:$B$115,B840)</f>
        <v>1</v>
      </c>
      <c r="I840" s="12" t="n">
        <f aca="false">MIN(H840,1)*ПАРАМЕТРЫ!E25</f>
        <v>10</v>
      </c>
      <c r="J840" s="12" t="n">
        <f aca="false">MIN(G840,I840)</f>
        <v>10</v>
      </c>
      <c r="K840" s="12" t="n">
        <f aca="false">MAX(F840-J840,0)</f>
        <v>0</v>
      </c>
      <c r="L840" s="12" t="n">
        <f aca="false">IF(J840=0,0,F840/J840)</f>
        <v>0</v>
      </c>
      <c r="M840" s="11" t="str">
        <f aca="false">IF(K840&gt;0,"BLOCKED","PASS")</f>
        <v>PASS</v>
      </c>
      <c r="N840" s="11" t="s">
        <v>233</v>
      </c>
    </row>
    <row r="841" customFormat="false" ht="23.85" hidden="false" customHeight="false" outlineLevel="0" collapsed="false">
      <c r="A841" s="11" t="s">
        <v>113</v>
      </c>
      <c r="B841" s="11" t="s">
        <v>137</v>
      </c>
      <c r="C841" s="11" t="s">
        <v>91</v>
      </c>
      <c r="D841" s="11" t="s">
        <v>92</v>
      </c>
      <c r="E841" s="11" t="s">
        <v>79</v>
      </c>
      <c r="F841" s="12" t="n">
        <f aca="false">SUMIFS(СПРОС_ДЕНЬ_ЧАС_МЕНЮ!$I$11:$I$3265,СПРОС_ДЕНЬ_ЧАС_МЕНЮ!$A$11:$A$3265,A841,СПРОС_ДЕНЬ_ЧАС_МЕНЮ!$B$11:$B$3265,B841,СПРОС_ДЕНЬ_ЧАС_МЕНЮ!$F$11:$F$3265,C841)</f>
        <v>2.904</v>
      </c>
      <c r="G841" s="12" t="n">
        <f aca="false">ПАРАМЕТРЫ!D26</f>
        <v>20</v>
      </c>
      <c r="H841" s="12" t="n">
        <f aca="false">SUMIFS(ШТАТ_ПО_ЧАСАМ!$C$11:$C$115,ШТАТ_ПО_ЧАСАМ!$A$11:$A$115,A841,ШТАТ_ПО_ЧАСАМ!$B$11:$B$115,B841)</f>
        <v>1</v>
      </c>
      <c r="I841" s="12" t="n">
        <f aca="false">MIN(H841,1)*ПАРАМЕТРЫ!E26</f>
        <v>10</v>
      </c>
      <c r="J841" s="12" t="n">
        <f aca="false">MIN(G841,I841)</f>
        <v>10</v>
      </c>
      <c r="K841" s="12" t="n">
        <f aca="false">MAX(F841-J841,0)</f>
        <v>0</v>
      </c>
      <c r="L841" s="12" t="n">
        <f aca="false">IF(J841=0,0,F841/J841)</f>
        <v>0.2904</v>
      </c>
      <c r="M841" s="11" t="str">
        <f aca="false">IF(K841&gt;0,"BLOCKED","PASS")</f>
        <v>PASS</v>
      </c>
      <c r="N841" s="11" t="s">
        <v>233</v>
      </c>
    </row>
    <row r="842" customFormat="false" ht="15" hidden="false" customHeight="false" outlineLevel="0" collapsed="false">
      <c r="A842" s="11" t="s">
        <v>113</v>
      </c>
      <c r="B842" s="11" t="s">
        <v>137</v>
      </c>
      <c r="C842" s="11" t="s">
        <v>93</v>
      </c>
      <c r="D842" s="11" t="s">
        <v>234</v>
      </c>
      <c r="E842" s="11" t="s">
        <v>95</v>
      </c>
      <c r="F842" s="12" t="n">
        <f aca="false">SUMIFS(СПРОС_ДЕНЬ_ЧАС_МЕНЮ!$I$11:$I$3265,СПРОС_ДЕНЬ_ЧАС_МЕНЮ!$A$11:$A$3265,A842,СПРОС_ДЕНЬ_ЧАС_МЕНЮ!$B$11:$B$3265,B842)</f>
        <v>52.849775</v>
      </c>
      <c r="G842" s="12" t="n">
        <f aca="false">ПАРАМЕТРЫ!D27</f>
        <v>60</v>
      </c>
      <c r="H842" s="12" t="n">
        <f aca="false">SUMIFS(ШТАТ_ПО_ЧАСАМ!$C$11:$C$115,ШТАТ_ПО_ЧАСАМ!$A$11:$A$115,A842,ШТАТ_ПО_ЧАСАМ!$B$11:$B$115,B842)</f>
        <v>1</v>
      </c>
      <c r="I842" s="12" t="n">
        <f aca="false">H842*ПАРАМЕТРЫ!E27</f>
        <v>16.6666666666667</v>
      </c>
      <c r="J842" s="12" t="n">
        <f aca="false">MIN(G842,I842)</f>
        <v>16.6666666666667</v>
      </c>
      <c r="K842" s="12" t="n">
        <f aca="false">MAX(F842-J842,0)</f>
        <v>36.1831083333333</v>
      </c>
      <c r="L842" s="12" t="n">
        <f aca="false">IF(J842=0,0,F842/J842)</f>
        <v>3.1709865</v>
      </c>
      <c r="M842" s="11" t="str">
        <f aca="false">IF(K842&gt;0,"BLOCKED","PASS")</f>
        <v>BLOCKED</v>
      </c>
      <c r="N842" s="11" t="s">
        <v>235</v>
      </c>
    </row>
    <row r="843" customFormat="false" ht="23.85" hidden="false" customHeight="false" outlineLevel="0" collapsed="false">
      <c r="A843" s="11" t="s">
        <v>113</v>
      </c>
      <c r="B843" s="11" t="s">
        <v>138</v>
      </c>
      <c r="C843" s="11" t="s">
        <v>73</v>
      </c>
      <c r="D843" s="11" t="s">
        <v>74</v>
      </c>
      <c r="E843" s="11" t="s">
        <v>75</v>
      </c>
      <c r="F843" s="12" t="n">
        <f aca="false">SUMIFS(СПРОС_ДЕНЬ_ЧАС_МЕНЮ!$I$11:$I$3265,СПРОС_ДЕНЬ_ЧАС_МЕНЮ!$A$11:$A$3265,A843,СПРОС_ДЕНЬ_ЧАС_МЕНЮ!$B$11:$B$3265,B843,СПРОС_ДЕНЬ_ЧАС_МЕНЮ!$F$11:$F$3265,C843)</f>
        <v>4.785</v>
      </c>
      <c r="G843" s="12" t="n">
        <f aca="false">ПАРАМЕТРЫ!D20</f>
        <v>25</v>
      </c>
      <c r="H843" s="12" t="n">
        <f aca="false">SUMIFS(ШТАТ_ПО_ЧАСАМ!$C$11:$C$115,ШТАТ_ПО_ЧАСАМ!$A$11:$A$115,A843,ШТАТ_ПО_ЧАСАМ!$B$11:$B$115,B843)</f>
        <v>1</v>
      </c>
      <c r="I843" s="12" t="n">
        <f aca="false">MIN(H843,1)*ПАРАМЕТРЫ!E20</f>
        <v>10</v>
      </c>
      <c r="J843" s="12" t="n">
        <f aca="false">MIN(G843,I843)</f>
        <v>10</v>
      </c>
      <c r="K843" s="12" t="n">
        <f aca="false">MAX(F843-J843,0)</f>
        <v>0</v>
      </c>
      <c r="L843" s="12" t="n">
        <f aca="false">IF(J843=0,0,F843/J843)</f>
        <v>0.4785</v>
      </c>
      <c r="M843" s="11" t="str">
        <f aca="false">IF(K843&gt;0,"BLOCKED","PASS")</f>
        <v>PASS</v>
      </c>
      <c r="N843" s="11" t="s">
        <v>233</v>
      </c>
    </row>
    <row r="844" customFormat="false" ht="23.85" hidden="false" customHeight="false" outlineLevel="0" collapsed="false">
      <c r="A844" s="11" t="s">
        <v>113</v>
      </c>
      <c r="B844" s="11" t="s">
        <v>138</v>
      </c>
      <c r="C844" s="11" t="s">
        <v>77</v>
      </c>
      <c r="D844" s="11" t="s">
        <v>78</v>
      </c>
      <c r="E844" s="11" t="s">
        <v>79</v>
      </c>
      <c r="F844" s="12" t="n">
        <f aca="false">SUMIFS(СПРОС_ДЕНЬ_ЧАС_МЕНЮ!$I$11:$I$3265,СПРОС_ДЕНЬ_ЧАС_МЕНЮ!$A$11:$A$3265,A844,СПРОС_ДЕНЬ_ЧАС_МЕНЮ!$B$11:$B$3265,B844,СПРОС_ДЕНЬ_ЧАС_МЕНЮ!$F$11:$F$3265,C844)</f>
        <v>1.793</v>
      </c>
      <c r="G844" s="12" t="n">
        <f aca="false">ПАРАМЕТРЫ!D21</f>
        <v>20</v>
      </c>
      <c r="H844" s="12" t="n">
        <f aca="false">SUMIFS(ШТАТ_ПО_ЧАСАМ!$C$11:$C$115,ШТАТ_ПО_ЧАСАМ!$A$11:$A$115,A844,ШТАТ_ПО_ЧАСАМ!$B$11:$B$115,B844)</f>
        <v>1</v>
      </c>
      <c r="I844" s="12" t="n">
        <f aca="false">MIN(H844,1)*ПАРАМЕТРЫ!E21</f>
        <v>10</v>
      </c>
      <c r="J844" s="12" t="n">
        <f aca="false">MIN(G844,I844)</f>
        <v>10</v>
      </c>
      <c r="K844" s="12" t="n">
        <f aca="false">MAX(F844-J844,0)</f>
        <v>0</v>
      </c>
      <c r="L844" s="12" t="n">
        <f aca="false">IF(J844=0,0,F844/J844)</f>
        <v>0.1793</v>
      </c>
      <c r="M844" s="11" t="str">
        <f aca="false">IF(K844&gt;0,"BLOCKED","PASS")</f>
        <v>PASS</v>
      </c>
      <c r="N844" s="11" t="s">
        <v>233</v>
      </c>
    </row>
    <row r="845" customFormat="false" ht="23.85" hidden="false" customHeight="false" outlineLevel="0" collapsed="false">
      <c r="A845" s="11" t="s">
        <v>113</v>
      </c>
      <c r="B845" s="11" t="s">
        <v>138</v>
      </c>
      <c r="C845" s="11" t="s">
        <v>80</v>
      </c>
      <c r="D845" s="11" t="s">
        <v>81</v>
      </c>
      <c r="E845" s="11" t="s">
        <v>82</v>
      </c>
      <c r="F845" s="12" t="n">
        <f aca="false">SUMIFS(СПРОС_ДЕНЬ_ЧАС_МЕНЮ!$I$11:$I$3265,СПРОС_ДЕНЬ_ЧАС_МЕНЮ!$A$11:$A$3265,A845,СПРОС_ДЕНЬ_ЧАС_МЕНЮ!$B$11:$B$3265,B845,СПРОС_ДЕНЬ_ЧАС_МЕНЮ!$F$11:$F$3265,C845)</f>
        <v>6.3525</v>
      </c>
      <c r="G845" s="12" t="n">
        <f aca="false">ПАРАМЕТРЫ!D22</f>
        <v>16</v>
      </c>
      <c r="H845" s="12" t="n">
        <f aca="false">SUMIFS(ШТАТ_ПО_ЧАСАМ!$C$11:$C$115,ШТАТ_ПО_ЧАСАМ!$A$11:$A$115,A845,ШТАТ_ПО_ЧАСАМ!$B$11:$B$115,B845)</f>
        <v>1</v>
      </c>
      <c r="I845" s="12" t="n">
        <f aca="false">MIN(H845,1)*ПАРАМЕТРЫ!E22</f>
        <v>16</v>
      </c>
      <c r="J845" s="12" t="n">
        <f aca="false">MIN(G845,I845)</f>
        <v>16</v>
      </c>
      <c r="K845" s="12" t="n">
        <f aca="false">MAX(F845-J845,0)</f>
        <v>0</v>
      </c>
      <c r="L845" s="12" t="n">
        <f aca="false">IF(J845=0,0,F845/J845)</f>
        <v>0.39703125</v>
      </c>
      <c r="M845" s="11" t="str">
        <f aca="false">IF(K845&gt;0,"BLOCKED","PASS")</f>
        <v>PASS</v>
      </c>
      <c r="N845" s="11" t="s">
        <v>233</v>
      </c>
    </row>
    <row r="846" customFormat="false" ht="23.85" hidden="false" customHeight="false" outlineLevel="0" collapsed="false">
      <c r="A846" s="11" t="s">
        <v>113</v>
      </c>
      <c r="B846" s="11" t="s">
        <v>138</v>
      </c>
      <c r="C846" s="11" t="s">
        <v>83</v>
      </c>
      <c r="D846" s="11" t="s">
        <v>84</v>
      </c>
      <c r="E846" s="11" t="s">
        <v>83</v>
      </c>
      <c r="F846" s="12" t="n">
        <f aca="false">SUMIFS(СПРОС_ДЕНЬ_ЧАС_МЕНЮ!$I$11:$I$3265,СПРОС_ДЕНЬ_ЧАС_МЕНЮ!$A$11:$A$3265,A846,СПРОС_ДЕНЬ_ЧАС_МЕНЮ!$B$11:$B$3265,B846,СПРОС_ДЕНЬ_ЧАС_МЕНЮ!$F$11:$F$3265,C846)</f>
        <v>10.7525</v>
      </c>
      <c r="G846" s="12" t="n">
        <f aca="false">ПАРАМЕТРЫ!D23</f>
        <v>21</v>
      </c>
      <c r="H846" s="12" t="n">
        <f aca="false">SUMIFS(ШТАТ_ПО_ЧАСАМ!$C$11:$C$115,ШТАТ_ПО_ЧАСАМ!$A$11:$A$115,A846,ШТАТ_ПО_ЧАСАМ!$B$11:$B$115,B846)</f>
        <v>1</v>
      </c>
      <c r="I846" s="12" t="n">
        <f aca="false">MIN(H846,1)*ПАРАМЕТРЫ!E23</f>
        <v>21</v>
      </c>
      <c r="J846" s="12" t="n">
        <f aca="false">MIN(G846,I846)</f>
        <v>21</v>
      </c>
      <c r="K846" s="12" t="n">
        <f aca="false">MAX(F846-J846,0)</f>
        <v>0</v>
      </c>
      <c r="L846" s="12" t="n">
        <f aca="false">IF(J846=0,0,F846/J846)</f>
        <v>0.51202380952381</v>
      </c>
      <c r="M846" s="11" t="str">
        <f aca="false">IF(K846&gt;0,"BLOCKED","PASS")</f>
        <v>PASS</v>
      </c>
      <c r="N846" s="11" t="s">
        <v>233</v>
      </c>
    </row>
    <row r="847" customFormat="false" ht="23.85" hidden="false" customHeight="false" outlineLevel="0" collapsed="false">
      <c r="A847" s="11" t="s">
        <v>113</v>
      </c>
      <c r="B847" s="11" t="s">
        <v>138</v>
      </c>
      <c r="C847" s="11" t="s">
        <v>85</v>
      </c>
      <c r="D847" s="11" t="s">
        <v>86</v>
      </c>
      <c r="E847" s="11" t="s">
        <v>87</v>
      </c>
      <c r="F847" s="12" t="n">
        <f aca="false">SUMIFS(СПРОС_ДЕНЬ_ЧАС_МЕНЮ!$I$11:$I$3265,СПРОС_ДЕНЬ_ЧАС_МЕНЮ!$A$11:$A$3265,A847,СПРОС_ДЕНЬ_ЧАС_МЕНЮ!$B$11:$B$3265,B847,СПРОС_ДЕНЬ_ЧАС_МЕНЮ!$F$11:$F$3265,C847)</f>
        <v>4.8046625</v>
      </c>
      <c r="G847" s="12" t="n">
        <f aca="false">ПАРАМЕТРЫ!D24</f>
        <v>12</v>
      </c>
      <c r="H847" s="12" t="n">
        <f aca="false">SUMIFS(ШТАТ_ПО_ЧАСАМ!$C$11:$C$115,ШТАТ_ПО_ЧАСАМ!$A$11:$A$115,A847,ШТАТ_ПО_ЧАСАМ!$B$11:$B$115,B847)</f>
        <v>1</v>
      </c>
      <c r="I847" s="12" t="n">
        <f aca="false">MIN(H847,1)*ПАРАМЕТРЫ!E24</f>
        <v>12</v>
      </c>
      <c r="J847" s="12" t="n">
        <f aca="false">MIN(G847,I847)</f>
        <v>12</v>
      </c>
      <c r="K847" s="12" t="n">
        <f aca="false">MAX(F847-J847,0)</f>
        <v>0</v>
      </c>
      <c r="L847" s="12" t="n">
        <f aca="false">IF(J847=0,0,F847/J847)</f>
        <v>0.400388541666667</v>
      </c>
      <c r="M847" s="11" t="str">
        <f aca="false">IF(K847&gt;0,"BLOCKED","PASS")</f>
        <v>PASS</v>
      </c>
      <c r="N847" s="11" t="s">
        <v>233</v>
      </c>
    </row>
    <row r="848" customFormat="false" ht="23.85" hidden="false" customHeight="false" outlineLevel="0" collapsed="false">
      <c r="A848" s="11" t="s">
        <v>113</v>
      </c>
      <c r="B848" s="11" t="s">
        <v>138</v>
      </c>
      <c r="C848" s="11" t="s">
        <v>88</v>
      </c>
      <c r="D848" s="11" t="s">
        <v>89</v>
      </c>
      <c r="E848" s="11" t="s">
        <v>90</v>
      </c>
      <c r="F848" s="12" t="n">
        <f aca="false">SUMIFS(СПРОС_ДЕНЬ_ЧАС_МЕНЮ!$I$11:$I$3265,СПРОС_ДЕНЬ_ЧАС_МЕНЮ!$A$11:$A$3265,A848,СПРОС_ДЕНЬ_ЧАС_МЕНЮ!$B$11:$B$3265,B848,СПРОС_ДЕНЬ_ЧАС_МЕНЮ!$F$11:$F$3265,C848)</f>
        <v>0</v>
      </c>
      <c r="G848" s="12" t="n">
        <f aca="false">ПАРАМЕТРЫ!D25</f>
        <v>15</v>
      </c>
      <c r="H848" s="12" t="n">
        <f aca="false">SUMIFS(ШТАТ_ПО_ЧАСАМ!$C$11:$C$115,ШТАТ_ПО_ЧАСАМ!$A$11:$A$115,A848,ШТАТ_ПО_ЧАСАМ!$B$11:$B$115,B848)</f>
        <v>1</v>
      </c>
      <c r="I848" s="12" t="n">
        <f aca="false">MIN(H848,1)*ПАРАМЕТРЫ!E25</f>
        <v>10</v>
      </c>
      <c r="J848" s="12" t="n">
        <f aca="false">MIN(G848,I848)</f>
        <v>10</v>
      </c>
      <c r="K848" s="12" t="n">
        <f aca="false">MAX(F848-J848,0)</f>
        <v>0</v>
      </c>
      <c r="L848" s="12" t="n">
        <f aca="false">IF(J848=0,0,F848/J848)</f>
        <v>0</v>
      </c>
      <c r="M848" s="11" t="str">
        <f aca="false">IF(K848&gt;0,"BLOCKED","PASS")</f>
        <v>PASS</v>
      </c>
      <c r="N848" s="11" t="s">
        <v>233</v>
      </c>
    </row>
    <row r="849" customFormat="false" ht="23.85" hidden="false" customHeight="false" outlineLevel="0" collapsed="false">
      <c r="A849" s="11" t="s">
        <v>113</v>
      </c>
      <c r="B849" s="11" t="s">
        <v>138</v>
      </c>
      <c r="C849" s="11" t="s">
        <v>91</v>
      </c>
      <c r="D849" s="11" t="s">
        <v>92</v>
      </c>
      <c r="E849" s="11" t="s">
        <v>79</v>
      </c>
      <c r="F849" s="12" t="n">
        <f aca="false">SUMIFS(СПРОС_ДЕНЬ_ЧАС_МЕНЮ!$I$11:$I$3265,СПРОС_ДЕНЬ_ЧАС_МЕНЮ!$A$11:$A$3265,A849,СПРОС_ДЕНЬ_ЧАС_МЕНЮ!$B$11:$B$3265,B849,СПРОС_ДЕНЬ_ЧАС_МЕНЮ!$F$11:$F$3265,C849)</f>
        <v>1.562</v>
      </c>
      <c r="G849" s="12" t="n">
        <f aca="false">ПАРАМЕТРЫ!D26</f>
        <v>20</v>
      </c>
      <c r="H849" s="12" t="n">
        <f aca="false">SUMIFS(ШТАТ_ПО_ЧАСАМ!$C$11:$C$115,ШТАТ_ПО_ЧАСАМ!$A$11:$A$115,A849,ШТАТ_ПО_ЧАСАМ!$B$11:$B$115,B849)</f>
        <v>1</v>
      </c>
      <c r="I849" s="12" t="n">
        <f aca="false">MIN(H849,1)*ПАРАМЕТРЫ!E26</f>
        <v>10</v>
      </c>
      <c r="J849" s="12" t="n">
        <f aca="false">MIN(G849,I849)</f>
        <v>10</v>
      </c>
      <c r="K849" s="12" t="n">
        <f aca="false">MAX(F849-J849,0)</f>
        <v>0</v>
      </c>
      <c r="L849" s="12" t="n">
        <f aca="false">IF(J849=0,0,F849/J849)</f>
        <v>0.1562</v>
      </c>
      <c r="M849" s="11" t="str">
        <f aca="false">IF(K849&gt;0,"BLOCKED","PASS")</f>
        <v>PASS</v>
      </c>
      <c r="N849" s="11" t="s">
        <v>233</v>
      </c>
    </row>
    <row r="850" customFormat="false" ht="15" hidden="false" customHeight="false" outlineLevel="0" collapsed="false">
      <c r="A850" s="11" t="s">
        <v>113</v>
      </c>
      <c r="B850" s="11" t="s">
        <v>138</v>
      </c>
      <c r="C850" s="11" t="s">
        <v>93</v>
      </c>
      <c r="D850" s="11" t="s">
        <v>234</v>
      </c>
      <c r="E850" s="11" t="s">
        <v>95</v>
      </c>
      <c r="F850" s="12" t="n">
        <f aca="false">SUMIFS(СПРОС_ДЕНЬ_ЧАС_МЕНЮ!$I$11:$I$3265,СПРОС_ДЕНЬ_ЧАС_МЕНЮ!$A$11:$A$3265,A850,СПРОС_ДЕНЬ_ЧАС_МЕНЮ!$B$11:$B$3265,B850)</f>
        <v>30.0496625</v>
      </c>
      <c r="G850" s="12" t="n">
        <f aca="false">ПАРАМЕТРЫ!D27</f>
        <v>60</v>
      </c>
      <c r="H850" s="12" t="n">
        <f aca="false">SUMIFS(ШТАТ_ПО_ЧАСАМ!$C$11:$C$115,ШТАТ_ПО_ЧАСАМ!$A$11:$A$115,A850,ШТАТ_ПО_ЧАСАМ!$B$11:$B$115,B850)</f>
        <v>1</v>
      </c>
      <c r="I850" s="12" t="n">
        <f aca="false">H850*ПАРАМЕТРЫ!E27</f>
        <v>16.6666666666667</v>
      </c>
      <c r="J850" s="12" t="n">
        <f aca="false">MIN(G850,I850)</f>
        <v>16.6666666666667</v>
      </c>
      <c r="K850" s="12" t="n">
        <f aca="false">MAX(F850-J850,0)</f>
        <v>13.3829958333333</v>
      </c>
      <c r="L850" s="12" t="n">
        <f aca="false">IF(J850=0,0,F850/J850)</f>
        <v>1.80297975</v>
      </c>
      <c r="M850" s="11" t="str">
        <f aca="false">IF(K850&gt;0,"BLOCKED","PASS")</f>
        <v>BLOCKED</v>
      </c>
      <c r="N850" s="11" t="s">
        <v>235</v>
      </c>
    </row>
  </sheetData>
  <mergeCells count="7">
    <mergeCell ref="A1:N1"/>
    <mergeCell ref="A2:N2"/>
    <mergeCell ref="A4:N4"/>
    <mergeCell ref="B5:N5"/>
    <mergeCell ref="B6:N6"/>
    <mergeCell ref="B7:N7"/>
    <mergeCell ref="B8:N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1"/>
    <col collapsed="false" customWidth="true" hidden="false" outlineLevel="0" max="3" min="3" style="0" width="44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7" min="6" style="0" width="19"/>
    <col collapsed="false" customWidth="true" hidden="false" outlineLevel="0" max="9" min="8" style="0" width="18"/>
    <col collapsed="false" customWidth="true" hidden="false" outlineLevel="0" max="11" min="10" style="0" width="22"/>
    <col collapsed="false" customWidth="true" hidden="false" outlineLevel="0" max="12" min="12" style="0" width="21"/>
    <col collapsed="false" customWidth="true" hidden="false" outlineLevel="0" max="13" min="13" style="0" width="22"/>
    <col collapsed="false" customWidth="true" hidden="false" outlineLevel="0" max="14" min="14" style="0" width="24"/>
    <col collapsed="false" customWidth="true" hidden="false" outlineLevel="0" max="15" min="15" style="0" width="15"/>
    <col collapsed="false" customWidth="true" hidden="false" outlineLevel="0" max="16" min="16" style="0" width="23"/>
  </cols>
  <sheetData>
    <row r="1" customFormat="false" ht="30" hidden="false" customHeight="true" outlineLevel="0" collapsed="false">
      <c r="A1" s="1" t="s">
        <v>236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customFormat="false" ht="34" hidden="false" customHeight="true" outlineLevel="0" collapsed="false">
      <c r="A2" s="2" t="s">
        <v>237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customFormat="false" ht="15" hidden="false" customHeight="false" outlineLevel="0" collapsed="false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customFormat="false" ht="68.65" hidden="false" customHeight="true" outlineLevel="0" collapsed="false">
      <c r="A5" s="6" t="s">
        <v>238</v>
      </c>
      <c r="B5" s="7" t="s">
        <v>239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</row>
    <row r="6" customFormat="false" ht="91" hidden="false" customHeight="true" outlineLevel="0" collapsed="false">
      <c r="A6" s="6" t="s">
        <v>240</v>
      </c>
      <c r="B6" s="7" t="s">
        <v>241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</row>
    <row r="7" customFormat="false" ht="91" hidden="false" customHeight="true" outlineLevel="0" collapsed="false">
      <c r="A7" s="6" t="s">
        <v>242</v>
      </c>
      <c r="B7" s="7" t="s">
        <v>243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57.45" hidden="false" customHeight="true" outlineLevel="0" collapsed="false">
      <c r="A8" s="6" t="s">
        <v>9</v>
      </c>
      <c r="B8" s="7" t="s">
        <v>244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</row>
    <row r="10" customFormat="false" ht="35.05" hidden="false" customHeight="false" outlineLevel="0" collapsed="false">
      <c r="A10" s="8" t="s">
        <v>149</v>
      </c>
      <c r="B10" s="8" t="s">
        <v>150</v>
      </c>
      <c r="C10" s="8" t="s">
        <v>245</v>
      </c>
      <c r="D10" s="8" t="s">
        <v>152</v>
      </c>
      <c r="E10" s="8" t="s">
        <v>141</v>
      </c>
      <c r="F10" s="8" t="s">
        <v>246</v>
      </c>
      <c r="G10" s="8" t="s">
        <v>247</v>
      </c>
      <c r="H10" s="8" t="s">
        <v>248</v>
      </c>
      <c r="I10" s="8" t="s">
        <v>249</v>
      </c>
      <c r="J10" s="8" t="s">
        <v>250</v>
      </c>
      <c r="K10" s="8" t="s">
        <v>251</v>
      </c>
      <c r="L10" s="8" t="s">
        <v>252</v>
      </c>
      <c r="M10" s="8" t="s">
        <v>253</v>
      </c>
      <c r="N10" s="8" t="s">
        <v>230</v>
      </c>
      <c r="O10" s="8" t="s">
        <v>254</v>
      </c>
      <c r="P10" s="8" t="s">
        <v>216</v>
      </c>
    </row>
    <row r="11" customFormat="false" ht="15" hidden="false" customHeight="false" outlineLevel="0" collapsed="false">
      <c r="A11" s="9" t="n">
        <v>1</v>
      </c>
      <c r="B11" s="9" t="s">
        <v>74</v>
      </c>
      <c r="C11" s="9" t="s">
        <v>153</v>
      </c>
      <c r="D11" s="9" t="s">
        <v>73</v>
      </c>
      <c r="E11" s="10" t="n">
        <v>450</v>
      </c>
      <c r="F11" s="10" t="n">
        <f aca="false">SUMIF(СПРОС_ДЕНЬ_ЧАС_МЕНЮ!$C$11:$C$3265,A11,СПРОС_ДЕНЬ_ЧАС_МЕНЮ!$I$11:$I$3265)</f>
        <v>32.164</v>
      </c>
      <c r="G11" s="10" t="n">
        <f aca="false">MAX(СПРОС_ДЕНЬ_ЧАС_МЕНЮ!I11,СПРОС_ДЕНЬ_ЧАС_МЕНЮ!I42,СПРОС_ДЕНЬ_ЧАС_МЕНЮ!I73,СПРОС_ДЕНЬ_ЧАС_МЕНЮ!I104,СПРОС_ДЕНЬ_ЧАС_МЕНЮ!I135,СПРОС_ДЕНЬ_ЧАС_МЕНЮ!I166,СПРОС_ДЕНЬ_ЧАС_МЕНЮ!I197,СПРОС_ДЕНЬ_ЧАС_МЕНЮ!I228,СПРОС_ДЕНЬ_ЧАС_МЕНЮ!I259,СПРОС_ДЕНЬ_ЧАС_МЕНЮ!I290,СПРОС_ДЕНЬ_ЧАС_МЕНЮ!I321,СПРОС_ДЕНЬ_ЧАС_МЕНЮ!I352,СПРОС_ДЕНЬ_ЧАС_МЕНЮ!I383,СПРОС_ДЕНЬ_ЧАС_МЕНЮ!I414,СПРОС_ДЕНЬ_ЧАС_МЕНЮ!I445,СПРОС_ДЕНЬ_ЧАС_МЕНЮ!I476,СПРОС_ДЕНЬ_ЧАС_МЕНЮ!I507,СПРОС_ДЕНЬ_ЧАС_МЕНЮ!I538,СПРОС_ДЕНЬ_ЧАС_МЕНЮ!I569,СПРОС_ДЕНЬ_ЧАС_МЕНЮ!I600,СПРОС_ДЕНЬ_ЧАС_МЕНЮ!I631,СПРОС_ДЕНЬ_ЧАС_МЕНЮ!I662,СПРОС_ДЕНЬ_ЧАС_МЕНЮ!I693,СПРОС_ДЕНЬ_ЧАС_МЕНЮ!I724,СПРОС_ДЕНЬ_ЧАС_МЕНЮ!I755,СПРОС_ДЕНЬ_ЧАС_МЕНЮ!I786,СПРОС_ДЕНЬ_ЧАС_МЕНЮ!I817,СПРОС_ДЕНЬ_ЧАС_МЕНЮ!I848,СПРОС_ДЕНЬ_ЧАС_МЕНЮ!I879,СПРОС_ДЕНЬ_ЧАС_МЕНЮ!I910,СПРОС_ДЕНЬ_ЧАС_МЕНЮ!I941,СПРОС_ДЕНЬ_ЧАС_МЕНЮ!I972,СПРОС_ДЕНЬ_ЧАС_МЕНЮ!I1003,СПРОС_ДЕНЬ_ЧАС_МЕНЮ!I1034,СПРОС_ДЕНЬ_ЧАС_МЕНЮ!I1065,СПРОС_ДЕНЬ_ЧАС_МЕНЮ!I1096,СПРОС_ДЕНЬ_ЧАС_МЕНЮ!I1127,СПРОС_ДЕНЬ_ЧАС_МЕНЮ!I1158,СПРОС_ДЕНЬ_ЧАС_МЕНЮ!I1189,СПРОС_ДЕНЬ_ЧАС_МЕНЮ!I1220,СПРОС_ДЕНЬ_ЧАС_МЕНЮ!I1251,СПРОС_ДЕНЬ_ЧАС_МЕНЮ!I1282,СПРОС_ДЕНЬ_ЧАС_МЕНЮ!I1313,СПРОС_ДЕНЬ_ЧАС_МЕНЮ!I1344,СПРОС_ДЕНЬ_ЧАС_МЕНЮ!I1375,СПРОС_ДЕНЬ_ЧАС_МЕНЮ!I1406,СПРОС_ДЕНЬ_ЧАС_МЕНЮ!I1437,СПРОС_ДЕНЬ_ЧАС_МЕНЮ!I1468,СПРОС_ДЕНЬ_ЧАС_МЕНЮ!I1499,СПРОС_ДЕНЬ_ЧАС_МЕНЮ!I1530,СПРОС_ДЕНЬ_ЧАС_МЕНЮ!I1561,СПРОС_ДЕНЬ_ЧАС_МЕНЮ!I1592,СПРОС_ДЕНЬ_ЧАС_МЕНЮ!I1623,СПРОС_ДЕНЬ_ЧАС_МЕНЮ!I1654,СПРОС_ДЕНЬ_ЧАС_МЕНЮ!I1685,СПРОС_ДЕНЬ_ЧАС_МЕНЮ!I1716,СПРОС_ДЕНЬ_ЧАС_МЕНЮ!I1747,СПРОС_ДЕНЬ_ЧАС_МЕНЮ!I1778,СПРОС_ДЕНЬ_ЧАС_МЕНЮ!I1809,СПРОС_ДЕНЬ_ЧАС_МЕНЮ!I1840,СПРОС_ДЕНЬ_ЧАС_МЕНЮ!I1871,СПРОС_ДЕНЬ_ЧАС_МЕНЮ!I1902,СПРОС_ДЕНЬ_ЧАС_МЕНЮ!I1933,СПРОС_ДЕНЬ_ЧАС_МЕНЮ!I1964,СПРОС_ДЕНЬ_ЧАС_МЕНЮ!I1995,СПРОС_ДЕНЬ_ЧАС_МЕНЮ!I2026,СПРОС_ДЕНЬ_ЧАС_МЕНЮ!I2057,СПРОС_ДЕНЬ_ЧАС_МЕНЮ!I2088,СПРОС_ДЕНЬ_ЧАС_МЕНЮ!I2119,СПРОС_ДЕНЬ_ЧАС_МЕНЮ!I2150,СПРОС_ДЕНЬ_ЧАС_МЕНЮ!I2181,СПРОС_ДЕНЬ_ЧАС_МЕНЮ!I2212,СПРОС_ДЕНЬ_ЧАС_МЕНЮ!I2243,СПРОС_ДЕНЬ_ЧАС_МЕНЮ!I2274,СПРОС_ДЕНЬ_ЧАС_МЕНЮ!I2305,СПРОС_ДЕНЬ_ЧАС_МЕНЮ!I2336,СПРОС_ДЕНЬ_ЧАС_МЕНЮ!I2367,СПРОС_ДЕНЬ_ЧАС_МЕНЮ!I2398,СПРОС_ДЕНЬ_ЧАС_МЕНЮ!I2429,СПРОС_ДЕНЬ_ЧАС_МЕНЮ!I2460,СПРОС_ДЕНЬ_ЧАС_МЕНЮ!I2491,СПРОС_ДЕНЬ_ЧАС_МЕНЮ!I2522,СПРОС_ДЕНЬ_ЧАС_МЕНЮ!I2553,СПРОС_ДЕНЬ_ЧАС_МЕНЮ!I2584,СПРОС_ДЕНЬ_ЧАС_МЕНЮ!I2615,СПРОС_ДЕНЬ_ЧАС_МЕНЮ!I2646,СПРОС_ДЕНЬ_ЧАС_МЕНЮ!I2677,СПРОС_ДЕНЬ_ЧАС_МЕНЮ!I2708,СПРОС_ДЕНЬ_ЧАС_МЕНЮ!I2739,СПРОС_ДЕНЬ_ЧАС_МЕНЮ!I2770,СПРОС_ДЕНЬ_ЧАС_МЕНЮ!I2801,СПРОС_ДЕНЬ_ЧАС_МЕНЮ!I2832,СПРОС_ДЕНЬ_ЧАС_МЕНЮ!I2863,СПРОС_ДЕНЬ_ЧАС_МЕНЮ!I2894,СПРОС_ДЕНЬ_ЧАС_МЕНЮ!I2925,СПРОС_ДЕНЬ_ЧАС_МЕНЮ!I2956,СПРОС_ДЕНЬ_ЧАС_МЕНЮ!I2987,СПРОС_ДЕНЬ_ЧАС_МЕНЮ!I3018,СПРОС_ДЕНЬ_ЧАС_МЕНЮ!I3049,СПРОС_ДЕНЬ_ЧАС_МЕНЮ!I3080,СПРОС_ДЕНЬ_ЧАС_МЕНЮ!I3111,СПРОС_ДЕНЬ_ЧАС_МЕНЮ!I3142,СПРОС_ДЕНЬ_ЧАС_МЕНЮ!I3173,СПРОС_ДЕНЬ_ЧАС_МЕНЮ!I3204,СПРОС_ДЕНЬ_ЧАС_МЕНЮ!I3235)</f>
        <v>1.0989</v>
      </c>
      <c r="H11" s="10" t="s">
        <v>112</v>
      </c>
      <c r="I11" s="10" t="s">
        <v>137</v>
      </c>
      <c r="J11" s="10" t="n">
        <f aca="false">MAX(БАЛАНС_ДЕНЬ_ЧАС!F11,БАЛАНС_ДЕНЬ_ЧАС!F19,БАЛАНС_ДЕНЬ_ЧАС!F27,БАЛАНС_ДЕНЬ_ЧАС!F35,БАЛАНС_ДЕНЬ_ЧАС!F43,БАЛАНС_ДЕНЬ_ЧАС!F51,БАЛАНС_ДЕНЬ_ЧАС!F59,БАЛАНС_ДЕНЬ_ЧАС!F67,БАЛАНС_ДЕНЬ_ЧАС!F75,БАЛАНС_ДЕНЬ_ЧАС!F83,БАЛАНС_ДЕНЬ_ЧАС!F91,БАЛАНС_ДЕНЬ_ЧАС!F99,БАЛАНС_ДЕНЬ_ЧАС!F107,БАЛАНС_ДЕНЬ_ЧАС!F115,БАЛАНС_ДЕНЬ_ЧАС!F123,БАЛАНС_ДЕНЬ_ЧАС!F131,БАЛАНС_ДЕНЬ_ЧАС!F139,БАЛАНС_ДЕНЬ_ЧАС!F147,БАЛАНС_ДЕНЬ_ЧАС!F155,БАЛАНС_ДЕНЬ_ЧАС!F163,БАЛАНС_ДЕНЬ_ЧАС!F171,БАЛАНС_ДЕНЬ_ЧАС!F179,БАЛАНС_ДЕНЬ_ЧАС!F187,БАЛАНС_ДЕНЬ_ЧАС!F195,БАЛАНС_ДЕНЬ_ЧАС!F203,БАЛАНС_ДЕНЬ_ЧАС!F211,БАЛАНС_ДЕНЬ_ЧАС!F219,БАЛАНС_ДЕНЬ_ЧАС!F227,БАЛАНС_ДЕНЬ_ЧАС!F235,БАЛАНС_ДЕНЬ_ЧАС!F243,БАЛАНС_ДЕНЬ_ЧАС!F251,БАЛАНС_ДЕНЬ_ЧАС!F259,БАЛАНС_ДЕНЬ_ЧАС!F267,БАЛАНС_ДЕНЬ_ЧАС!F275,БАЛАНС_ДЕНЬ_ЧАС!F283,БАЛАНС_ДЕНЬ_ЧАС!F291,БАЛАНС_ДЕНЬ_ЧАС!F299,БАЛАНС_ДЕНЬ_ЧАС!F307,БАЛАНС_ДЕНЬ_ЧАС!F315,БАЛАНС_ДЕНЬ_ЧАС!F323,БАЛАНС_ДЕНЬ_ЧАС!F331,БАЛАНС_ДЕНЬ_ЧАС!F339,БАЛАНС_ДЕНЬ_ЧАС!F347,БАЛАНС_ДЕНЬ_ЧАС!F355,БАЛАНС_ДЕНЬ_ЧАС!F363,БАЛАНС_ДЕНЬ_ЧАС!F371,БАЛАНС_ДЕНЬ_ЧАС!F379,БАЛАНС_ДЕНЬ_ЧАС!F387,БАЛАНС_ДЕНЬ_ЧАС!F395,БАЛАНС_ДЕНЬ_ЧАС!F403,БАЛАНС_ДЕНЬ_ЧАС!F411,БАЛАНС_ДЕНЬ_ЧАС!F419,БАЛАНС_ДЕНЬ_ЧАС!F427,БАЛАНС_ДЕНЬ_ЧАС!F435,БАЛАНС_ДЕНЬ_ЧАС!F443,БАЛАНС_ДЕНЬ_ЧАС!F451,БАЛАНС_ДЕНЬ_ЧАС!F459,БАЛАНС_ДЕНЬ_ЧАС!F467,БАЛАНС_ДЕНЬ_ЧАС!F475,БАЛАНС_ДЕНЬ_ЧАС!F483,БАЛАНС_ДЕНЬ_ЧАС!F491,БАЛАНС_ДЕНЬ_ЧАС!F499,БАЛАНС_ДЕНЬ_ЧАС!F507,БАЛАНС_ДЕНЬ_ЧАС!F515,БАЛАНС_ДЕНЬ_ЧАС!F523,БАЛАНС_ДЕНЬ_ЧАС!F531,БАЛАНС_ДЕНЬ_ЧАС!F539,БАЛАНС_ДЕНЬ_ЧАС!F547,БАЛАНС_ДЕНЬ_ЧАС!F555,БАЛАНС_ДЕНЬ_ЧАС!F563,БАЛАНС_ДЕНЬ_ЧАС!F571,БАЛАНС_ДЕНЬ_ЧАС!F579,БАЛАНС_ДЕНЬ_ЧАС!F587,БАЛАНС_ДЕНЬ_ЧАС!F595,БАЛАНС_ДЕНЬ_ЧАС!F603,БАЛАНС_ДЕНЬ_ЧАС!F611,БАЛАНС_ДЕНЬ_ЧАС!F619,БАЛАНС_ДЕНЬ_ЧАС!F627,БАЛАНС_ДЕНЬ_ЧАС!F635,БАЛАНС_ДЕНЬ_ЧАС!F643,БАЛАНС_ДЕНЬ_ЧАС!F651,БАЛАНС_ДЕНЬ_ЧАС!F659,БАЛАНС_ДЕНЬ_ЧАС!F667,БАЛАНС_ДЕНЬ_ЧАС!F675,БАЛАНС_ДЕНЬ_ЧАС!F683,БАЛАНС_ДЕНЬ_ЧАС!F691,БАЛАНС_ДЕНЬ_ЧАС!F699,БАЛАНС_ДЕНЬ_ЧАС!F707,БАЛАНС_ДЕНЬ_ЧАС!F715,БАЛАНС_ДЕНЬ_ЧАС!F723,БАЛАНС_ДЕНЬ_ЧАС!F731,БАЛАНС_ДЕНЬ_ЧАС!F739,БАЛАНС_ДЕНЬ_ЧАС!F747,БАЛАНС_ДЕНЬ_ЧАС!F755,БАЛАНС_ДЕНЬ_ЧАС!F763,БАЛАНС_ДЕНЬ_ЧАС!F771,БАЛАНС_ДЕНЬ_ЧАС!F779,БАЛАНС_ДЕНЬ_ЧАС!F787,БАЛАНС_ДЕНЬ_ЧАС!F795,БАЛАНС_ДЕНЬ_ЧАС!F803,БАЛАНС_ДЕНЬ_ЧАС!F811,БАЛАНС_ДЕНЬ_ЧАС!F819,БАЛАНС_ДЕНЬ_ЧАС!F827,БАЛАНС_ДЕНЬ_ЧАС!F835,БАЛАНС_ДЕНЬ_ЧАС!F843)</f>
        <v>8.899</v>
      </c>
      <c r="K11" s="10" t="n">
        <f aca="false">ПАРАМЕТРЫ!D20</f>
        <v>25</v>
      </c>
      <c r="L11" s="10" t="n">
        <f aca="false">MAX(БАЛАНС_ДЕНЬ_ЧАС!I11,БАЛАНС_ДЕНЬ_ЧАС!I19,БАЛАНС_ДЕНЬ_ЧАС!I27,БАЛАНС_ДЕНЬ_ЧАС!I35,БАЛАНС_ДЕНЬ_ЧАС!I43,БАЛАНС_ДЕНЬ_ЧАС!I51,БАЛАНС_ДЕНЬ_ЧАС!I59,БАЛАНС_ДЕНЬ_ЧАС!I67,БАЛАНС_ДЕНЬ_ЧАС!I75,БАЛАНС_ДЕНЬ_ЧАС!I83,БАЛАНС_ДЕНЬ_ЧАС!I91,БАЛАНС_ДЕНЬ_ЧАС!I99,БАЛАНС_ДЕНЬ_ЧАС!I107,БАЛАНС_ДЕНЬ_ЧАС!I115,БАЛАНС_ДЕНЬ_ЧАС!I123,БАЛАНС_ДЕНЬ_ЧАС!I131,БАЛАНС_ДЕНЬ_ЧАС!I139,БАЛАНС_ДЕНЬ_ЧАС!I147,БАЛАНС_ДЕНЬ_ЧАС!I155,БАЛАНС_ДЕНЬ_ЧАС!I163,БАЛАНС_ДЕНЬ_ЧАС!I171,БАЛАНС_ДЕНЬ_ЧАС!I179,БАЛАНС_ДЕНЬ_ЧАС!I187,БАЛАНС_ДЕНЬ_ЧАС!I195,БАЛАНС_ДЕНЬ_ЧАС!I203,БАЛАНС_ДЕНЬ_ЧАС!I211,БАЛАНС_ДЕНЬ_ЧАС!I219,БАЛАНС_ДЕНЬ_ЧАС!I227,БАЛАНС_ДЕНЬ_ЧАС!I235,БАЛАНС_ДЕНЬ_ЧАС!I243,БАЛАНС_ДЕНЬ_ЧАС!I251,БАЛАНС_ДЕНЬ_ЧАС!I259,БАЛАНС_ДЕНЬ_ЧАС!I267,БАЛАНС_ДЕНЬ_ЧАС!I275,БАЛАНС_ДЕНЬ_ЧАС!I283,БАЛАНС_ДЕНЬ_ЧАС!I291,БАЛАНС_ДЕНЬ_ЧАС!I299,БАЛАНС_ДЕНЬ_ЧАС!I307,БАЛАНС_ДЕНЬ_ЧАС!I315,БАЛАНС_ДЕНЬ_ЧАС!I323,БАЛАНС_ДЕНЬ_ЧАС!I331,БАЛАНС_ДЕНЬ_ЧАС!I339,БАЛАНС_ДЕНЬ_ЧАС!I347,БАЛАНС_ДЕНЬ_ЧАС!I355,БАЛАНС_ДЕНЬ_ЧАС!I363,БАЛАНС_ДЕНЬ_ЧАС!I371,БАЛАНС_ДЕНЬ_ЧАС!I379,БАЛАНС_ДЕНЬ_ЧАС!I387,БАЛАНС_ДЕНЬ_ЧАС!I395,БАЛАНС_ДЕНЬ_ЧАС!I403,БАЛАНС_ДЕНЬ_ЧАС!I411,БАЛАНС_ДЕНЬ_ЧАС!I419,БАЛАНС_ДЕНЬ_ЧАС!I427,БАЛАНС_ДЕНЬ_ЧАС!I435,БАЛАНС_ДЕНЬ_ЧАС!I443,БАЛАНС_ДЕНЬ_ЧАС!I451,БАЛАНС_ДЕНЬ_ЧАС!I459,БАЛАНС_ДЕНЬ_ЧАС!I467,БАЛАНС_ДЕНЬ_ЧАС!I475,БАЛАНС_ДЕНЬ_ЧАС!I483,БАЛАНС_ДЕНЬ_ЧАС!I491,БАЛАНС_ДЕНЬ_ЧАС!I499,БАЛАНС_ДЕНЬ_ЧАС!I507,БАЛАНС_ДЕНЬ_ЧАС!I515,БАЛАНС_ДЕНЬ_ЧАС!I523,БАЛАНС_ДЕНЬ_ЧАС!I531,БАЛАНС_ДЕНЬ_ЧАС!I539,БАЛАНС_ДЕНЬ_ЧАС!I547,БАЛАНС_ДЕНЬ_ЧАС!I555,БАЛАНС_ДЕНЬ_ЧАС!I563,БАЛАНС_ДЕНЬ_ЧАС!I571,БАЛАНС_ДЕНЬ_ЧАС!I579,БАЛАНС_ДЕНЬ_ЧАС!I587,БАЛАНС_ДЕНЬ_ЧАС!I595,БАЛАНС_ДЕНЬ_ЧАС!I603,БАЛАНС_ДЕНЬ_ЧАС!I611,БАЛАНС_ДЕНЬ_ЧАС!I619,БАЛАНС_ДЕНЬ_ЧАС!I627,БАЛАНС_ДЕНЬ_ЧАС!I635,БАЛАНС_ДЕНЬ_ЧАС!I643,БАЛАНС_ДЕНЬ_ЧАС!I651,БАЛАНС_ДЕНЬ_ЧАС!I659,БАЛАНС_ДЕНЬ_ЧАС!I667,БАЛАНС_ДЕНЬ_ЧАС!I675,БАЛАНС_ДЕНЬ_ЧАС!I683,БАЛАНС_ДЕНЬ_ЧАС!I691,БАЛАНС_ДЕНЬ_ЧАС!I699,БАЛАНС_ДЕНЬ_ЧАС!I707,БАЛАНС_ДЕНЬ_ЧАС!I715,БАЛАНС_ДЕНЬ_ЧАС!I723,БАЛАНС_ДЕНЬ_ЧАС!I731,БАЛАНС_ДЕНЬ_ЧАС!I739,БАЛАНС_ДЕНЬ_ЧАС!I747,БАЛАНС_ДЕНЬ_ЧАС!I755,БАЛАНС_ДЕНЬ_ЧАС!I763,БАЛАНС_ДЕНЬ_ЧАС!I771,БАЛАНС_ДЕНЬ_ЧАС!I779,БАЛАНС_ДЕНЬ_ЧАС!I787,БАЛАНС_ДЕНЬ_ЧАС!I795,БАЛАНС_ДЕНЬ_ЧАС!I803,БАЛАНС_ДЕНЬ_ЧАС!I811,БАЛАНС_ДЕНЬ_ЧАС!I819,БАЛАНС_ДЕНЬ_ЧАС!I827,БАЛАНС_ДЕНЬ_ЧАС!I835,БАЛАНС_ДЕНЬ_ЧАС!I843)</f>
        <v>10</v>
      </c>
      <c r="M11" s="10" t="n">
        <f aca="false">MAX(БАЛАНС_ДЕНЬ_ЧАС!J11,БАЛАНС_ДЕНЬ_ЧАС!J19,БАЛАНС_ДЕНЬ_ЧАС!J27,БАЛАНС_ДЕНЬ_ЧАС!J35,БАЛАНС_ДЕНЬ_ЧАС!J43,БАЛАНС_ДЕНЬ_ЧАС!J51,БАЛАНС_ДЕНЬ_ЧАС!J59,БАЛАНС_ДЕНЬ_ЧАС!J67,БАЛАНС_ДЕНЬ_ЧАС!J75,БАЛАНС_ДЕНЬ_ЧАС!J83,БАЛАНС_ДЕНЬ_ЧАС!J91,БАЛАНС_ДЕНЬ_ЧАС!J99,БАЛАНС_ДЕНЬ_ЧАС!J107,БАЛАНС_ДЕНЬ_ЧАС!J115,БАЛАНС_ДЕНЬ_ЧАС!J123,БАЛАНС_ДЕНЬ_ЧАС!J131,БАЛАНС_ДЕНЬ_ЧАС!J139,БАЛАНС_ДЕНЬ_ЧАС!J147,БАЛАНС_ДЕНЬ_ЧАС!J155,БАЛАНС_ДЕНЬ_ЧАС!J163,БАЛАНС_ДЕНЬ_ЧАС!J171,БАЛАНС_ДЕНЬ_ЧАС!J179,БАЛАНС_ДЕНЬ_ЧАС!J187,БАЛАНС_ДЕНЬ_ЧАС!J195,БАЛАНС_ДЕНЬ_ЧАС!J203,БАЛАНС_ДЕНЬ_ЧАС!J211,БАЛАНС_ДЕНЬ_ЧАС!J219,БАЛАНС_ДЕНЬ_ЧАС!J227,БАЛАНС_ДЕНЬ_ЧАС!J235,БАЛАНС_ДЕНЬ_ЧАС!J243,БАЛАНС_ДЕНЬ_ЧАС!J251,БАЛАНС_ДЕНЬ_ЧАС!J259,БАЛАНС_ДЕНЬ_ЧАС!J267,БАЛАНС_ДЕНЬ_ЧАС!J275,БАЛАНС_ДЕНЬ_ЧАС!J283,БАЛАНС_ДЕНЬ_ЧАС!J291,БАЛАНС_ДЕНЬ_ЧАС!J299,БАЛАНС_ДЕНЬ_ЧАС!J307,БАЛАНС_ДЕНЬ_ЧАС!J315,БАЛАНС_ДЕНЬ_ЧАС!J323,БАЛАНС_ДЕНЬ_ЧАС!J331,БАЛАНС_ДЕНЬ_ЧАС!J339,БАЛАНС_ДЕНЬ_ЧАС!J347,БАЛАНС_ДЕНЬ_ЧАС!J355,БАЛАНС_ДЕНЬ_ЧАС!J363,БАЛАНС_ДЕНЬ_ЧАС!J371,БАЛАНС_ДЕНЬ_ЧАС!J379,БАЛАНС_ДЕНЬ_ЧАС!J387,БАЛАНС_ДЕНЬ_ЧАС!J395,БАЛАНС_ДЕНЬ_ЧАС!J403,БАЛАНС_ДЕНЬ_ЧАС!J411,БАЛАНС_ДЕНЬ_ЧАС!J419,БАЛАНС_ДЕНЬ_ЧАС!J427,БАЛАНС_ДЕНЬ_ЧАС!J435,БАЛАНС_ДЕНЬ_ЧАС!J443,БАЛАНС_ДЕНЬ_ЧАС!J451,БАЛАНС_ДЕНЬ_ЧАС!J459,БАЛАНС_ДЕНЬ_ЧАС!J467,БАЛАНС_ДЕНЬ_ЧАС!J475,БАЛАНС_ДЕНЬ_ЧАС!J483,БАЛАНС_ДЕНЬ_ЧАС!J491,БАЛАНС_ДЕНЬ_ЧАС!J499,БАЛАНС_ДЕНЬ_ЧАС!J507,БАЛАНС_ДЕНЬ_ЧАС!J515,БАЛАНС_ДЕНЬ_ЧАС!J523,БАЛАНС_ДЕНЬ_ЧАС!J531,БАЛАНС_ДЕНЬ_ЧАС!J539,БАЛАНС_ДЕНЬ_ЧАС!J547,БАЛАНС_ДЕНЬ_ЧАС!J555,БАЛАНС_ДЕНЬ_ЧАС!J563,БАЛАНС_ДЕНЬ_ЧАС!J571,БАЛАНС_ДЕНЬ_ЧАС!J579,БАЛАНС_ДЕНЬ_ЧАС!J587,БАЛАНС_ДЕНЬ_ЧАС!J595,БАЛАНС_ДЕНЬ_ЧАС!J603,БАЛАНС_ДЕНЬ_ЧАС!J611,БАЛАНС_ДЕНЬ_ЧАС!J619,БАЛАНС_ДЕНЬ_ЧАС!J627,БАЛАНС_ДЕНЬ_ЧАС!J635,БАЛАНС_ДЕНЬ_ЧАС!J643,БАЛАНС_ДЕНЬ_ЧАС!J651,БАЛАНС_ДЕНЬ_ЧАС!J659,БАЛАНС_ДЕНЬ_ЧАС!J667,БАЛАНС_ДЕНЬ_ЧАС!J675,БАЛАНС_ДЕНЬ_ЧАС!J683,БАЛАНС_ДЕНЬ_ЧАС!J691,БАЛАНС_ДЕНЬ_ЧАС!J699,БАЛАНС_ДЕНЬ_ЧАС!J707,БАЛАНС_ДЕНЬ_ЧАС!J715,БАЛАНС_ДЕНЬ_ЧАС!J723,БАЛАНС_ДЕНЬ_ЧАС!J731,БАЛАНС_ДЕНЬ_ЧАС!J739,БАЛАНС_ДЕНЬ_ЧАС!J747,БАЛАНС_ДЕНЬ_ЧАС!J755,БАЛАНС_ДЕНЬ_ЧАС!J763,БАЛАНС_ДЕНЬ_ЧАС!J771,БАЛАНС_ДЕНЬ_ЧАС!J779,БАЛАНС_ДЕНЬ_ЧАС!J787,БАЛАНС_ДЕНЬ_ЧАС!J795,БАЛАНС_ДЕНЬ_ЧАС!J803,БАЛАНС_ДЕНЬ_ЧАС!J811,БАЛАНС_ДЕНЬ_ЧАС!J819,БАЛАНС_ДЕНЬ_ЧАС!J827,БАЛАНС_ДЕНЬ_ЧАС!J835,БАЛАНС_ДЕНЬ_ЧАС!J843)</f>
        <v>10</v>
      </c>
      <c r="N11" s="10" t="n">
        <f aca="false">MAX(БАЛАНС_ДЕНЬ_ЧАС!K11,БАЛАНС_ДЕНЬ_ЧАС!K19,БАЛАНС_ДЕНЬ_ЧАС!K27,БАЛАНС_ДЕНЬ_ЧАС!K35,БАЛАНС_ДЕНЬ_ЧАС!K43,БАЛАНС_ДЕНЬ_ЧАС!K51,БАЛАНС_ДЕНЬ_ЧАС!K59,БАЛАНС_ДЕНЬ_ЧАС!K67,БАЛАНС_ДЕНЬ_ЧАС!K75,БАЛАНС_ДЕНЬ_ЧАС!K83,БАЛАНС_ДЕНЬ_ЧАС!K91,БАЛАНС_ДЕНЬ_ЧАС!K99,БАЛАНС_ДЕНЬ_ЧАС!K107,БАЛАНС_ДЕНЬ_ЧАС!K115,БАЛАНС_ДЕНЬ_ЧАС!K123,БАЛАНС_ДЕНЬ_ЧАС!K131,БАЛАНС_ДЕНЬ_ЧАС!K139,БАЛАНС_ДЕНЬ_ЧАС!K147,БАЛАНС_ДЕНЬ_ЧАС!K155,БАЛАНС_ДЕНЬ_ЧАС!K163,БАЛАНС_ДЕНЬ_ЧАС!K171,БАЛАНС_ДЕНЬ_ЧАС!K179,БАЛАНС_ДЕНЬ_ЧАС!K187,БАЛАНС_ДЕНЬ_ЧАС!K195,БАЛАНС_ДЕНЬ_ЧАС!K203,БАЛАНС_ДЕНЬ_ЧАС!K211,БАЛАНС_ДЕНЬ_ЧАС!K219,БАЛАНС_ДЕНЬ_ЧАС!K227,БАЛАНС_ДЕНЬ_ЧАС!K235,БАЛАНС_ДЕНЬ_ЧАС!K243,БАЛАНС_ДЕНЬ_ЧАС!K251,БАЛАНС_ДЕНЬ_ЧАС!K259,БАЛАНС_ДЕНЬ_ЧАС!K267,БАЛАНС_ДЕНЬ_ЧАС!K275,БАЛАНС_ДЕНЬ_ЧАС!K283,БАЛАНС_ДЕНЬ_ЧАС!K291,БАЛАНС_ДЕНЬ_ЧАС!K299,БАЛАНС_ДЕНЬ_ЧАС!K307,БАЛАНС_ДЕНЬ_ЧАС!K315,БАЛАНС_ДЕНЬ_ЧАС!K323,БАЛАНС_ДЕНЬ_ЧАС!K331,БАЛАНС_ДЕНЬ_ЧАС!K339,БАЛАНС_ДЕНЬ_ЧАС!K347,БАЛАНС_ДЕНЬ_ЧАС!K355,БАЛАНС_ДЕНЬ_ЧАС!K363,БАЛАНС_ДЕНЬ_ЧАС!K371,БАЛАНС_ДЕНЬ_ЧАС!K379,БАЛАНС_ДЕНЬ_ЧАС!K387,БАЛАНС_ДЕНЬ_ЧАС!K395,БАЛАНС_ДЕНЬ_ЧАС!K403,БАЛАНС_ДЕНЬ_ЧАС!K411,БАЛАНС_ДЕНЬ_ЧАС!K419,БАЛАНС_ДЕНЬ_ЧАС!K427,БАЛАНС_ДЕНЬ_ЧАС!K435,БАЛАНС_ДЕНЬ_ЧАС!K443,БАЛАНС_ДЕНЬ_ЧАС!K451,БАЛАНС_ДЕНЬ_ЧАС!K459,БАЛАНС_ДЕНЬ_ЧАС!K467,БАЛАНС_ДЕНЬ_ЧАС!K475,БАЛАНС_ДЕНЬ_ЧАС!K483,БАЛАНС_ДЕНЬ_ЧАС!K491,БАЛАНС_ДЕНЬ_ЧАС!K499,БАЛАНС_ДЕНЬ_ЧАС!K507,БАЛАНС_ДЕНЬ_ЧАС!K515,БАЛАНС_ДЕНЬ_ЧАС!K523,БАЛАНС_ДЕНЬ_ЧАС!K531,БАЛАНС_ДЕНЬ_ЧАС!K539,БАЛАНС_ДЕНЬ_ЧАС!K547,БАЛАНС_ДЕНЬ_ЧАС!K555,БАЛАНС_ДЕНЬ_ЧАС!K563,БАЛАНС_ДЕНЬ_ЧАС!K571,БАЛАНС_ДЕНЬ_ЧАС!K579,БАЛАНС_ДЕНЬ_ЧАС!K587,БАЛАНС_ДЕНЬ_ЧАС!K595,БАЛАНС_ДЕНЬ_ЧАС!K603,БАЛАНС_ДЕНЬ_ЧАС!K611,БАЛАНС_ДЕНЬ_ЧАС!K619,БАЛАНС_ДЕНЬ_ЧАС!K627,БАЛАНС_ДЕНЬ_ЧАС!K635,БАЛАНС_ДЕНЬ_ЧАС!K643,БАЛАНС_ДЕНЬ_ЧАС!K651,БАЛАНС_ДЕНЬ_ЧАС!K659,БАЛАНС_ДЕНЬ_ЧАС!K667,БАЛАНС_ДЕНЬ_ЧАС!K675,БАЛАНС_ДЕНЬ_ЧАС!K683,БАЛАНС_ДЕНЬ_ЧАС!K691,БАЛАНС_ДЕНЬ_ЧАС!K699,БАЛАНС_ДЕНЬ_ЧАС!K707,БАЛАНС_ДЕНЬ_ЧАС!K715,БАЛАНС_ДЕНЬ_ЧАС!K723,БАЛАНС_ДЕНЬ_ЧАС!K731,БАЛАНС_ДЕНЬ_ЧАС!K739,БАЛАНС_ДЕНЬ_ЧАС!K747,БАЛАНС_ДЕНЬ_ЧАС!K755,БАЛАНС_ДЕНЬ_ЧАС!K763,БАЛАНС_ДЕНЬ_ЧАС!K771,БАЛАНС_ДЕНЬ_ЧАС!K779,БАЛАНС_ДЕНЬ_ЧАС!K787,БАЛАНС_ДЕНЬ_ЧАС!K795,БАЛАНС_ДЕНЬ_ЧАС!K803,БАЛАНС_ДЕНЬ_ЧАС!K811,БАЛАНС_ДЕНЬ_ЧАС!K819,БАЛАНС_ДЕНЬ_ЧАС!K827,БАЛАНС_ДЕНЬ_ЧАС!K835,БАЛАНС_ДЕНЬ_ЧАС!K843)</f>
        <v>0</v>
      </c>
      <c r="O11" s="9" t="str">
        <f aca="false">IF(N11&gt;0,"BLOCKED","PASS")</f>
        <v>PASS</v>
      </c>
      <c r="P11" s="9" t="s">
        <v>145</v>
      </c>
    </row>
    <row r="12" customFormat="false" ht="15" hidden="false" customHeight="false" outlineLevel="0" collapsed="false">
      <c r="A12" s="11" t="n">
        <v>2</v>
      </c>
      <c r="B12" s="11" t="s">
        <v>74</v>
      </c>
      <c r="C12" s="11" t="s">
        <v>154</v>
      </c>
      <c r="D12" s="11" t="s">
        <v>73</v>
      </c>
      <c r="E12" s="12" t="n">
        <v>480</v>
      </c>
      <c r="F12" s="12" t="n">
        <f aca="false">SUMIF(СПРОС_ДЕНЬ_ЧАС_МЕНЮ!$C$11:$C$3265,A12,СПРОС_ДЕНЬ_ЧАС_МЕНЮ!$I$11:$I$3265)</f>
        <v>47.817</v>
      </c>
      <c r="G12" s="12" t="n">
        <f aca="false">MAX(СПРОС_ДЕНЬ_ЧАС_МЕНЮ!I12,СПРОС_ДЕНЬ_ЧАС_МЕНЮ!I43,СПРОС_ДЕНЬ_ЧАС_МЕНЮ!I74,СПРОС_ДЕНЬ_ЧАС_МЕНЮ!I105,СПРОС_ДЕНЬ_ЧАС_МЕНЮ!I136,СПРОС_ДЕНЬ_ЧАС_МЕНЮ!I167,СПРОС_ДЕНЬ_ЧАС_МЕНЮ!I198,СПРОС_ДЕНЬ_ЧАС_МЕНЮ!I229,СПРОС_ДЕНЬ_ЧАС_МЕНЮ!I260,СПРОС_ДЕНЬ_ЧАС_МЕНЮ!I291,СПРОС_ДЕНЬ_ЧАС_МЕНЮ!I322,СПРОС_ДЕНЬ_ЧАС_МЕНЮ!I353,СПРОС_ДЕНЬ_ЧАС_МЕНЮ!I384,СПРОС_ДЕНЬ_ЧАС_МЕНЮ!I415,СПРОС_ДЕНЬ_ЧАС_МЕНЮ!I446,СПРОС_ДЕНЬ_ЧАС_МЕНЮ!I477,СПРОС_ДЕНЬ_ЧАС_МЕНЮ!I508,СПРОС_ДЕНЬ_ЧАС_МЕНЮ!I539,СПРОС_ДЕНЬ_ЧАС_МЕНЮ!I570,СПРОС_ДЕНЬ_ЧАС_МЕНЮ!I601,СПРОС_ДЕНЬ_ЧАС_МЕНЮ!I632,СПРОС_ДЕНЬ_ЧАС_МЕНЮ!I663,СПРОС_ДЕНЬ_ЧАС_МЕНЮ!I694,СПРОС_ДЕНЬ_ЧАС_МЕНЮ!I725,СПРОС_ДЕНЬ_ЧАС_МЕНЮ!I756,СПРОС_ДЕНЬ_ЧАС_МЕНЮ!I787,СПРОС_ДЕНЬ_ЧАС_МЕНЮ!I818,СПРОС_ДЕНЬ_ЧАС_МЕНЮ!I849,СПРОС_ДЕНЬ_ЧАС_МЕНЮ!I880,СПРОС_ДЕНЬ_ЧАС_МЕНЮ!I911,СПРОС_ДЕНЬ_ЧАС_МЕНЮ!I942,СПРОС_ДЕНЬ_ЧАС_МЕНЮ!I973,СПРОС_ДЕНЬ_ЧАС_МЕНЮ!I1004,СПРОС_ДЕНЬ_ЧАС_МЕНЮ!I1035,СПРОС_ДЕНЬ_ЧАС_МЕНЮ!I1066,СПРОС_ДЕНЬ_ЧАС_МЕНЮ!I1097,СПРОС_ДЕНЬ_ЧАС_МЕНЮ!I1128,СПРОС_ДЕНЬ_ЧАС_МЕНЮ!I1159,СПРОС_ДЕНЬ_ЧАС_МЕНЮ!I1190,СПРОС_ДЕНЬ_ЧАС_МЕНЮ!I1221,СПРОС_ДЕНЬ_ЧАС_МЕНЮ!I1252,СПРОС_ДЕНЬ_ЧАС_МЕНЮ!I1283,СПРОС_ДЕНЬ_ЧАС_МЕНЮ!I1314,СПРОС_ДЕНЬ_ЧАС_МЕНЮ!I1345,СПРОС_ДЕНЬ_ЧАС_МЕНЮ!I1376,СПРОС_ДЕНЬ_ЧАС_МЕНЮ!I1407,СПРОС_ДЕНЬ_ЧАС_МЕНЮ!I1438,СПРОС_ДЕНЬ_ЧАС_МЕНЮ!I1469,СПРОС_ДЕНЬ_ЧАС_МЕНЮ!I1500,СПРОС_ДЕНЬ_ЧАС_МЕНЮ!I1531,СПРОС_ДЕНЬ_ЧАС_МЕНЮ!I1562,СПРОС_ДЕНЬ_ЧАС_МЕНЮ!I1593,СПРОС_ДЕНЬ_ЧАС_МЕНЮ!I1624,СПРОС_ДЕНЬ_ЧАС_МЕНЮ!I1655,СПРОС_ДЕНЬ_ЧАС_МЕНЮ!I1686,СПРОС_ДЕНЬ_ЧАС_МЕНЮ!I1717,СПРОС_ДЕНЬ_ЧАС_МЕНЮ!I1748,СПРОС_ДЕНЬ_ЧАС_МЕНЮ!I1779,СПРОС_ДЕНЬ_ЧАС_МЕНЮ!I1810,СПРОС_ДЕНЬ_ЧАС_МЕНЮ!I1841,СПРОС_ДЕНЬ_ЧАС_МЕНЮ!I1872,СПРОС_ДЕНЬ_ЧАС_МЕНЮ!I1903,СПРОС_ДЕНЬ_ЧАС_МЕНЮ!I1934,СПРОС_ДЕНЬ_ЧАС_МЕНЮ!I1965,СПРОС_ДЕНЬ_ЧАС_МЕНЮ!I1996,СПРОС_ДЕНЬ_ЧАС_МЕНЮ!I2027,СПРОС_ДЕНЬ_ЧАС_МЕНЮ!I2058,СПРОС_ДЕНЬ_ЧАС_МЕНЮ!I2089,СПРОС_ДЕНЬ_ЧАС_МЕНЮ!I2120,СПРОС_ДЕНЬ_ЧАС_МЕНЮ!I2151,СПРОС_ДЕНЬ_ЧАС_МЕНЮ!I2182,СПРОС_ДЕНЬ_ЧАС_МЕНЮ!I2213,СПРОС_ДЕНЬ_ЧАС_МЕНЮ!I2244,СПРОС_ДЕНЬ_ЧАС_МЕНЮ!I2275,СПРОС_ДЕНЬ_ЧАС_МЕНЮ!I2306,СПРОС_ДЕНЬ_ЧАС_МЕНЮ!I2337,СПРОС_ДЕНЬ_ЧАС_МЕНЮ!I2368,СПРОС_ДЕНЬ_ЧАС_МЕНЮ!I2399,СПРОС_ДЕНЬ_ЧАС_МЕНЮ!I2430,СПРОС_ДЕНЬ_ЧАС_МЕНЮ!I2461,СПРОС_ДЕНЬ_ЧАС_МЕНЮ!I2492,СПРОС_ДЕНЬ_ЧАС_МЕНЮ!I2523,СПРОС_ДЕНЬ_ЧАС_МЕНЮ!I2554,СПРОС_ДЕНЬ_ЧАС_МЕНЮ!I2585,СПРОС_ДЕНЬ_ЧАС_МЕНЮ!I2616,СПРОС_ДЕНЬ_ЧАС_МЕНЮ!I2647,СПРОС_ДЕНЬ_ЧАС_МЕНЮ!I2678,СПРОС_ДЕНЬ_ЧАС_МЕНЮ!I2709,СПРОС_ДЕНЬ_ЧАС_МЕНЮ!I2740,СПРОС_ДЕНЬ_ЧАС_МЕНЮ!I2771,СПРОС_ДЕНЬ_ЧАС_МЕНЮ!I2802,СПРОС_ДЕНЬ_ЧАС_МЕНЮ!I2833,СПРОС_ДЕНЬ_ЧАС_МЕНЮ!I2864,СПРОС_ДЕНЬ_ЧАС_МЕНЮ!I2895,СПРОС_ДЕНЬ_ЧАС_МЕНЮ!I2926,СПРОС_ДЕНЬ_ЧАС_МЕНЮ!I2957,СПРОС_ДЕНЬ_ЧАС_МЕНЮ!I2988,СПРОС_ДЕНЬ_ЧАС_МЕНЮ!I3019,СПРОС_ДЕНЬ_ЧАС_МЕНЮ!I3050,СПРОС_ДЕНЬ_ЧАС_МЕНЮ!I3081,СПРОС_ДЕНЬ_ЧАС_МЕНЮ!I3112,СПРОС_ДЕНЬ_ЧАС_МЕНЮ!I3143,СПРОС_ДЕНЬ_ЧАС_МЕНЮ!I3174,СПРОС_ДЕНЬ_ЧАС_МЕНЮ!I3205,СПРОС_ДЕНЬ_ЧАС_МЕНЮ!I3236)</f>
        <v>1.7963</v>
      </c>
      <c r="H12" s="12" t="s">
        <v>112</v>
      </c>
      <c r="I12" s="12" t="s">
        <v>137</v>
      </c>
      <c r="J12" s="12" t="n">
        <f aca="false">MAX(БАЛАНС_ДЕНЬ_ЧАС!F11,БАЛАНС_ДЕНЬ_ЧАС!F19,БАЛАНС_ДЕНЬ_ЧАС!F27,БАЛАНС_ДЕНЬ_ЧАС!F35,БАЛАНС_ДЕНЬ_ЧАС!F43,БАЛАНС_ДЕНЬ_ЧАС!F51,БАЛАНС_ДЕНЬ_ЧАС!F59,БАЛАНС_ДЕНЬ_ЧАС!F67,БАЛАНС_ДЕНЬ_ЧАС!F75,БАЛАНС_ДЕНЬ_ЧАС!F83,БАЛАНС_ДЕНЬ_ЧАС!F91,БАЛАНС_ДЕНЬ_ЧАС!F99,БАЛАНС_ДЕНЬ_ЧАС!F107,БАЛАНС_ДЕНЬ_ЧАС!F115,БАЛАНС_ДЕНЬ_ЧАС!F123,БАЛАНС_ДЕНЬ_ЧАС!F131,БАЛАНС_ДЕНЬ_ЧАС!F139,БАЛАНС_ДЕНЬ_ЧАС!F147,БАЛАНС_ДЕНЬ_ЧАС!F155,БАЛАНС_ДЕНЬ_ЧАС!F163,БАЛАНС_ДЕНЬ_ЧАС!F171,БАЛАНС_ДЕНЬ_ЧАС!F179,БАЛАНС_ДЕНЬ_ЧАС!F187,БАЛАНС_ДЕНЬ_ЧАС!F195,БАЛАНС_ДЕНЬ_ЧАС!F203,БАЛАНС_ДЕНЬ_ЧАС!F211,БАЛАНС_ДЕНЬ_ЧАС!F219,БАЛАНС_ДЕНЬ_ЧАС!F227,БАЛАНС_ДЕНЬ_ЧАС!F235,БАЛАНС_ДЕНЬ_ЧАС!F243,БАЛАНС_ДЕНЬ_ЧАС!F251,БАЛАНС_ДЕНЬ_ЧАС!F259,БАЛАНС_ДЕНЬ_ЧАС!F267,БАЛАНС_ДЕНЬ_ЧАС!F275,БАЛАНС_ДЕНЬ_ЧАС!F283,БАЛАНС_ДЕНЬ_ЧАС!F291,БАЛАНС_ДЕНЬ_ЧАС!F299,БАЛАНС_ДЕНЬ_ЧАС!F307,БАЛАНС_ДЕНЬ_ЧАС!F315,БАЛАНС_ДЕНЬ_ЧАС!F323,БАЛАНС_ДЕНЬ_ЧАС!F331,БАЛАНС_ДЕНЬ_ЧАС!F339,БАЛАНС_ДЕНЬ_ЧАС!F347,БАЛАНС_ДЕНЬ_ЧАС!F355,БАЛАНС_ДЕНЬ_ЧАС!F363,БАЛАНС_ДЕНЬ_ЧАС!F371,БАЛАНС_ДЕНЬ_ЧАС!F379,БАЛАНС_ДЕНЬ_ЧАС!F387,БАЛАНС_ДЕНЬ_ЧАС!F395,БАЛАНС_ДЕНЬ_ЧАС!F403,БАЛАНС_ДЕНЬ_ЧАС!F411,БАЛАНС_ДЕНЬ_ЧАС!F419,БАЛАНС_ДЕНЬ_ЧАС!F427,БАЛАНС_ДЕНЬ_ЧАС!F435,БАЛАНС_ДЕНЬ_ЧАС!F443,БАЛАНС_ДЕНЬ_ЧАС!F451,БАЛАНС_ДЕНЬ_ЧАС!F459,БАЛАНС_ДЕНЬ_ЧАС!F467,БАЛАНС_ДЕНЬ_ЧАС!F475,БАЛАНС_ДЕНЬ_ЧАС!F483,БАЛАНС_ДЕНЬ_ЧАС!F491,БАЛАНС_ДЕНЬ_ЧАС!F499,БАЛАНС_ДЕНЬ_ЧАС!F507,БАЛАНС_ДЕНЬ_ЧАС!F515,БАЛАНС_ДЕНЬ_ЧАС!F523,БАЛАНС_ДЕНЬ_ЧАС!F531,БАЛАНС_ДЕНЬ_ЧАС!F539,БАЛАНС_ДЕНЬ_ЧАС!F547,БАЛАНС_ДЕНЬ_ЧАС!F555,БАЛАНС_ДЕНЬ_ЧАС!F563,БАЛАНС_ДЕНЬ_ЧАС!F571,БАЛАНС_ДЕНЬ_ЧАС!F579,БАЛАНС_ДЕНЬ_ЧАС!F587,БАЛАНС_ДЕНЬ_ЧАС!F595,БАЛАНС_ДЕНЬ_ЧАС!F603,БАЛАНС_ДЕНЬ_ЧАС!F611,БАЛАНС_ДЕНЬ_ЧАС!F619,БАЛАНС_ДЕНЬ_ЧАС!F627,БАЛАНС_ДЕНЬ_ЧАС!F635,БАЛАНС_ДЕНЬ_ЧАС!F643,БАЛАНС_ДЕНЬ_ЧАС!F651,БАЛАНС_ДЕНЬ_ЧАС!F659,БАЛАНС_ДЕНЬ_ЧАС!F667,БАЛАНС_ДЕНЬ_ЧАС!F675,БАЛАНС_ДЕНЬ_ЧАС!F683,БАЛАНС_ДЕНЬ_ЧАС!F691,БАЛАНС_ДЕНЬ_ЧАС!F699,БАЛАНС_ДЕНЬ_ЧАС!F707,БАЛАНС_ДЕНЬ_ЧАС!F715,БАЛАНС_ДЕНЬ_ЧАС!F723,БАЛАНС_ДЕНЬ_ЧАС!F731,БАЛАНС_ДЕНЬ_ЧАС!F739,БАЛАНС_ДЕНЬ_ЧАС!F747,БАЛАНС_ДЕНЬ_ЧАС!F755,БАЛАНС_ДЕНЬ_ЧАС!F763,БАЛАНС_ДЕНЬ_ЧАС!F771,БАЛАНС_ДЕНЬ_ЧАС!F779,БАЛАНС_ДЕНЬ_ЧАС!F787,БАЛАНС_ДЕНЬ_ЧАС!F795,БАЛАНС_ДЕНЬ_ЧАС!F803,БАЛАНС_ДЕНЬ_ЧАС!F811,БАЛАНС_ДЕНЬ_ЧАС!F819,БАЛАНС_ДЕНЬ_ЧАС!F827,БАЛАНС_ДЕНЬ_ЧАС!F835,БАЛАНС_ДЕНЬ_ЧАС!F843)</f>
        <v>8.899</v>
      </c>
      <c r="K12" s="12" t="n">
        <f aca="false">ПАРАМЕТРЫ!D20</f>
        <v>25</v>
      </c>
      <c r="L12" s="12" t="n">
        <f aca="false">MAX(БАЛАНС_ДЕНЬ_ЧАС!I11,БАЛАНС_ДЕНЬ_ЧАС!I19,БАЛАНС_ДЕНЬ_ЧАС!I27,БАЛАНС_ДЕНЬ_ЧАС!I35,БАЛАНС_ДЕНЬ_ЧАС!I43,БАЛАНС_ДЕНЬ_ЧАС!I51,БАЛАНС_ДЕНЬ_ЧАС!I59,БАЛАНС_ДЕНЬ_ЧАС!I67,БАЛАНС_ДЕНЬ_ЧАС!I75,БАЛАНС_ДЕНЬ_ЧАС!I83,БАЛАНС_ДЕНЬ_ЧАС!I91,БАЛАНС_ДЕНЬ_ЧАС!I99,БАЛАНС_ДЕНЬ_ЧАС!I107,БАЛАНС_ДЕНЬ_ЧАС!I115,БАЛАНС_ДЕНЬ_ЧАС!I123,БАЛАНС_ДЕНЬ_ЧАС!I131,БАЛАНС_ДЕНЬ_ЧАС!I139,БАЛАНС_ДЕНЬ_ЧАС!I147,БАЛАНС_ДЕНЬ_ЧАС!I155,БАЛАНС_ДЕНЬ_ЧАС!I163,БАЛАНС_ДЕНЬ_ЧАС!I171,БАЛАНС_ДЕНЬ_ЧАС!I179,БАЛАНС_ДЕНЬ_ЧАС!I187,БАЛАНС_ДЕНЬ_ЧАС!I195,БАЛАНС_ДЕНЬ_ЧАС!I203,БАЛАНС_ДЕНЬ_ЧАС!I211,БАЛАНС_ДЕНЬ_ЧАС!I219,БАЛАНС_ДЕНЬ_ЧАС!I227,БАЛАНС_ДЕНЬ_ЧАС!I235,БАЛАНС_ДЕНЬ_ЧАС!I243,БАЛАНС_ДЕНЬ_ЧАС!I251,БАЛАНС_ДЕНЬ_ЧАС!I259,БАЛАНС_ДЕНЬ_ЧАС!I267,БАЛАНС_ДЕНЬ_ЧАС!I275,БАЛАНС_ДЕНЬ_ЧАС!I283,БАЛАНС_ДЕНЬ_ЧАС!I291,БАЛАНС_ДЕНЬ_ЧАС!I299,БАЛАНС_ДЕНЬ_ЧАС!I307,БАЛАНС_ДЕНЬ_ЧАС!I315,БАЛАНС_ДЕНЬ_ЧАС!I323,БАЛАНС_ДЕНЬ_ЧАС!I331,БАЛАНС_ДЕНЬ_ЧАС!I339,БАЛАНС_ДЕНЬ_ЧАС!I347,БАЛАНС_ДЕНЬ_ЧАС!I355,БАЛАНС_ДЕНЬ_ЧАС!I363,БАЛАНС_ДЕНЬ_ЧАС!I371,БАЛАНС_ДЕНЬ_ЧАС!I379,БАЛАНС_ДЕНЬ_ЧАС!I387,БАЛАНС_ДЕНЬ_ЧАС!I395,БАЛАНС_ДЕНЬ_ЧАС!I403,БАЛАНС_ДЕНЬ_ЧАС!I411,БАЛАНС_ДЕНЬ_ЧАС!I419,БАЛАНС_ДЕНЬ_ЧАС!I427,БАЛАНС_ДЕНЬ_ЧАС!I435,БАЛАНС_ДЕНЬ_ЧАС!I443,БАЛАНС_ДЕНЬ_ЧАС!I451,БАЛАНС_ДЕНЬ_ЧАС!I459,БАЛАНС_ДЕНЬ_ЧАС!I467,БАЛАНС_ДЕНЬ_ЧАС!I475,БАЛАНС_ДЕНЬ_ЧАС!I483,БАЛАНС_ДЕНЬ_ЧАС!I491,БАЛАНС_ДЕНЬ_ЧАС!I499,БАЛАНС_ДЕНЬ_ЧАС!I507,БАЛАНС_ДЕНЬ_ЧАС!I515,БАЛАНС_ДЕНЬ_ЧАС!I523,БАЛАНС_ДЕНЬ_ЧАС!I531,БАЛАНС_ДЕНЬ_ЧАС!I539,БАЛАНС_ДЕНЬ_ЧАС!I547,БАЛАНС_ДЕНЬ_ЧАС!I555,БАЛАНС_ДЕНЬ_ЧАС!I563,БАЛАНС_ДЕНЬ_ЧАС!I571,БАЛАНС_ДЕНЬ_ЧАС!I579,БАЛАНС_ДЕНЬ_ЧАС!I587,БАЛАНС_ДЕНЬ_ЧАС!I595,БАЛАНС_ДЕНЬ_ЧАС!I603,БАЛАНС_ДЕНЬ_ЧАС!I611,БАЛАНС_ДЕНЬ_ЧАС!I619,БАЛАНС_ДЕНЬ_ЧАС!I627,БАЛАНС_ДЕНЬ_ЧАС!I635,БАЛАНС_ДЕНЬ_ЧАС!I643,БАЛАНС_ДЕНЬ_ЧАС!I651,БАЛАНС_ДЕНЬ_ЧАС!I659,БАЛАНС_ДЕНЬ_ЧАС!I667,БАЛАНС_ДЕНЬ_ЧАС!I675,БАЛАНС_ДЕНЬ_ЧАС!I683,БАЛАНС_ДЕНЬ_ЧАС!I691,БАЛАНС_ДЕНЬ_ЧАС!I699,БАЛАНС_ДЕНЬ_ЧАС!I707,БАЛАНС_ДЕНЬ_ЧАС!I715,БАЛАНС_ДЕНЬ_ЧАС!I723,БАЛАНС_ДЕНЬ_ЧАС!I731,БАЛАНС_ДЕНЬ_ЧАС!I739,БАЛАНС_ДЕНЬ_ЧАС!I747,БАЛАНС_ДЕНЬ_ЧАС!I755,БАЛАНС_ДЕНЬ_ЧАС!I763,БАЛАНС_ДЕНЬ_ЧАС!I771,БАЛАНС_ДЕНЬ_ЧАС!I779,БАЛАНС_ДЕНЬ_ЧАС!I787,БАЛАНС_ДЕНЬ_ЧАС!I795,БАЛАНС_ДЕНЬ_ЧАС!I803,БАЛАНС_ДЕНЬ_ЧАС!I811,БАЛАНС_ДЕНЬ_ЧАС!I819,БАЛАНС_ДЕНЬ_ЧАС!I827,БАЛАНС_ДЕНЬ_ЧАС!I835,БАЛАНС_ДЕНЬ_ЧАС!I843)</f>
        <v>10</v>
      </c>
      <c r="M12" s="12" t="n">
        <f aca="false">MAX(БАЛАНС_ДЕНЬ_ЧАС!J11,БАЛАНС_ДЕНЬ_ЧАС!J19,БАЛАНС_ДЕНЬ_ЧАС!J27,БАЛАНС_ДЕНЬ_ЧАС!J35,БАЛАНС_ДЕНЬ_ЧАС!J43,БАЛАНС_ДЕНЬ_ЧАС!J51,БАЛАНС_ДЕНЬ_ЧАС!J59,БАЛАНС_ДЕНЬ_ЧАС!J67,БАЛАНС_ДЕНЬ_ЧАС!J75,БАЛАНС_ДЕНЬ_ЧАС!J83,БАЛАНС_ДЕНЬ_ЧАС!J91,БАЛАНС_ДЕНЬ_ЧАС!J99,БАЛАНС_ДЕНЬ_ЧАС!J107,БАЛАНС_ДЕНЬ_ЧАС!J115,БАЛАНС_ДЕНЬ_ЧАС!J123,БАЛАНС_ДЕНЬ_ЧАС!J131,БАЛАНС_ДЕНЬ_ЧАС!J139,БАЛАНС_ДЕНЬ_ЧАС!J147,БАЛАНС_ДЕНЬ_ЧАС!J155,БАЛАНС_ДЕНЬ_ЧАС!J163,БАЛАНС_ДЕНЬ_ЧАС!J171,БАЛАНС_ДЕНЬ_ЧАС!J179,БАЛАНС_ДЕНЬ_ЧАС!J187,БАЛАНС_ДЕНЬ_ЧАС!J195,БАЛАНС_ДЕНЬ_ЧАС!J203,БАЛАНС_ДЕНЬ_ЧАС!J211,БАЛАНС_ДЕНЬ_ЧАС!J219,БАЛАНС_ДЕНЬ_ЧАС!J227,БАЛАНС_ДЕНЬ_ЧАС!J235,БАЛАНС_ДЕНЬ_ЧАС!J243,БАЛАНС_ДЕНЬ_ЧАС!J251,БАЛАНС_ДЕНЬ_ЧАС!J259,БАЛАНС_ДЕНЬ_ЧАС!J267,БАЛАНС_ДЕНЬ_ЧАС!J275,БАЛАНС_ДЕНЬ_ЧАС!J283,БАЛАНС_ДЕНЬ_ЧАС!J291,БАЛАНС_ДЕНЬ_ЧАС!J299,БАЛАНС_ДЕНЬ_ЧАС!J307,БАЛАНС_ДЕНЬ_ЧАС!J315,БАЛАНС_ДЕНЬ_ЧАС!J323,БАЛАНС_ДЕНЬ_ЧАС!J331,БАЛАНС_ДЕНЬ_ЧАС!J339,БАЛАНС_ДЕНЬ_ЧАС!J347,БАЛАНС_ДЕНЬ_ЧАС!J355,БАЛАНС_ДЕНЬ_ЧАС!J363,БАЛАНС_ДЕНЬ_ЧАС!J371,БАЛАНС_ДЕНЬ_ЧАС!J379,БАЛАНС_ДЕНЬ_ЧАС!J387,БАЛАНС_ДЕНЬ_ЧАС!J395,БАЛАНС_ДЕНЬ_ЧАС!J403,БАЛАНС_ДЕНЬ_ЧАС!J411,БАЛАНС_ДЕНЬ_ЧАС!J419,БАЛАНС_ДЕНЬ_ЧАС!J427,БАЛАНС_ДЕНЬ_ЧАС!J435,БАЛАНС_ДЕНЬ_ЧАС!J443,БАЛАНС_ДЕНЬ_ЧАС!J451,БАЛАНС_ДЕНЬ_ЧАС!J459,БАЛАНС_ДЕНЬ_ЧАС!J467,БАЛАНС_ДЕНЬ_ЧАС!J475,БАЛАНС_ДЕНЬ_ЧАС!J483,БАЛАНС_ДЕНЬ_ЧАС!J491,БАЛАНС_ДЕНЬ_ЧАС!J499,БАЛАНС_ДЕНЬ_ЧАС!J507,БАЛАНС_ДЕНЬ_ЧАС!J515,БАЛАНС_ДЕНЬ_ЧАС!J523,БАЛАНС_ДЕНЬ_ЧАС!J531,БАЛАНС_ДЕНЬ_ЧАС!J539,БАЛАНС_ДЕНЬ_ЧАС!J547,БАЛАНС_ДЕНЬ_ЧАС!J555,БАЛАНС_ДЕНЬ_ЧАС!J563,БАЛАНС_ДЕНЬ_ЧАС!J571,БАЛАНС_ДЕНЬ_ЧАС!J579,БАЛАНС_ДЕНЬ_ЧАС!J587,БАЛАНС_ДЕНЬ_ЧАС!J595,БАЛАНС_ДЕНЬ_ЧАС!J603,БАЛАНС_ДЕНЬ_ЧАС!J611,БАЛАНС_ДЕНЬ_ЧАС!J619,БАЛАНС_ДЕНЬ_ЧАС!J627,БАЛАНС_ДЕНЬ_ЧАС!J635,БАЛАНС_ДЕНЬ_ЧАС!J643,БАЛАНС_ДЕНЬ_ЧАС!J651,БАЛАНС_ДЕНЬ_ЧАС!J659,БАЛАНС_ДЕНЬ_ЧАС!J667,БАЛАНС_ДЕНЬ_ЧАС!J675,БАЛАНС_ДЕНЬ_ЧАС!J683,БАЛАНС_ДЕНЬ_ЧАС!J691,БАЛАНС_ДЕНЬ_ЧАС!J699,БАЛАНС_ДЕНЬ_ЧАС!J707,БАЛАНС_ДЕНЬ_ЧАС!J715,БАЛАНС_ДЕНЬ_ЧАС!J723,БАЛАНС_ДЕНЬ_ЧАС!J731,БАЛАНС_ДЕНЬ_ЧАС!J739,БАЛАНС_ДЕНЬ_ЧАС!J747,БАЛАНС_ДЕНЬ_ЧАС!J755,БАЛАНС_ДЕНЬ_ЧАС!J763,БАЛАНС_ДЕНЬ_ЧАС!J771,БАЛАНС_ДЕНЬ_ЧАС!J779,БАЛАНС_ДЕНЬ_ЧАС!J787,БАЛАНС_ДЕНЬ_ЧАС!J795,БАЛАНС_ДЕНЬ_ЧАС!J803,БАЛАНС_ДЕНЬ_ЧАС!J811,БАЛАНС_ДЕНЬ_ЧАС!J819,БАЛАНС_ДЕНЬ_ЧАС!J827,БАЛАНС_ДЕНЬ_ЧАС!J835,БАЛАНС_ДЕНЬ_ЧАС!J843)</f>
        <v>10</v>
      </c>
      <c r="N12" s="12" t="n">
        <f aca="false">MAX(БАЛАНС_ДЕНЬ_ЧАС!K11,БАЛАНС_ДЕНЬ_ЧАС!K19,БАЛАНС_ДЕНЬ_ЧАС!K27,БАЛАНС_ДЕНЬ_ЧАС!K35,БАЛАНС_ДЕНЬ_ЧАС!K43,БАЛАНС_ДЕНЬ_ЧАС!K51,БАЛАНС_ДЕНЬ_ЧАС!K59,БАЛАНС_ДЕНЬ_ЧАС!K67,БАЛАНС_ДЕНЬ_ЧАС!K75,БАЛАНС_ДЕНЬ_ЧАС!K83,БАЛАНС_ДЕНЬ_ЧАС!K91,БАЛАНС_ДЕНЬ_ЧАС!K99,БАЛАНС_ДЕНЬ_ЧАС!K107,БАЛАНС_ДЕНЬ_ЧАС!K115,БАЛАНС_ДЕНЬ_ЧАС!K123,БАЛАНС_ДЕНЬ_ЧАС!K131,БАЛАНС_ДЕНЬ_ЧАС!K139,БАЛАНС_ДЕНЬ_ЧАС!K147,БАЛАНС_ДЕНЬ_ЧАС!K155,БАЛАНС_ДЕНЬ_ЧАС!K163,БАЛАНС_ДЕНЬ_ЧАС!K171,БАЛАНС_ДЕНЬ_ЧАС!K179,БАЛАНС_ДЕНЬ_ЧАС!K187,БАЛАНС_ДЕНЬ_ЧАС!K195,БАЛАНС_ДЕНЬ_ЧАС!K203,БАЛАНС_ДЕНЬ_ЧАС!K211,БАЛАНС_ДЕНЬ_ЧАС!K219,БАЛАНС_ДЕНЬ_ЧАС!K227,БАЛАНС_ДЕНЬ_ЧАС!K235,БАЛАНС_ДЕНЬ_ЧАС!K243,БАЛАНС_ДЕНЬ_ЧАС!K251,БАЛАНС_ДЕНЬ_ЧАС!K259,БАЛАНС_ДЕНЬ_ЧАС!K267,БАЛАНС_ДЕНЬ_ЧАС!K275,БАЛАНС_ДЕНЬ_ЧАС!K283,БАЛАНС_ДЕНЬ_ЧАС!K291,БАЛАНС_ДЕНЬ_ЧАС!K299,БАЛАНС_ДЕНЬ_ЧАС!K307,БАЛАНС_ДЕНЬ_ЧАС!K315,БАЛАНС_ДЕНЬ_ЧАС!K323,БАЛАНС_ДЕНЬ_ЧАС!K331,БАЛАНС_ДЕНЬ_ЧАС!K339,БАЛАНС_ДЕНЬ_ЧАС!K347,БАЛАНС_ДЕНЬ_ЧАС!K355,БАЛАНС_ДЕНЬ_ЧАС!K363,БАЛАНС_ДЕНЬ_ЧАС!K371,БАЛАНС_ДЕНЬ_ЧАС!K379,БАЛАНС_ДЕНЬ_ЧАС!K387,БАЛАНС_ДЕНЬ_ЧАС!K395,БАЛАНС_ДЕНЬ_ЧАС!K403,БАЛАНС_ДЕНЬ_ЧАС!K411,БАЛАНС_ДЕНЬ_ЧАС!K419,БАЛАНС_ДЕНЬ_ЧАС!K427,БАЛАНС_ДЕНЬ_ЧАС!K435,БАЛАНС_ДЕНЬ_ЧАС!K443,БАЛАНС_ДЕНЬ_ЧАС!K451,БАЛАНС_ДЕНЬ_ЧАС!K459,БАЛАНС_ДЕНЬ_ЧАС!K467,БАЛАНС_ДЕНЬ_ЧАС!K475,БАЛАНС_ДЕНЬ_ЧАС!K483,БАЛАНС_ДЕНЬ_ЧАС!K491,БАЛАНС_ДЕНЬ_ЧАС!K499,БАЛАНС_ДЕНЬ_ЧАС!K507,БАЛАНС_ДЕНЬ_ЧАС!K515,БАЛАНС_ДЕНЬ_ЧАС!K523,БАЛАНС_ДЕНЬ_ЧАС!K531,БАЛАНС_ДЕНЬ_ЧАС!K539,БАЛАНС_ДЕНЬ_ЧАС!K547,БАЛАНС_ДЕНЬ_ЧАС!K555,БАЛАНС_ДЕНЬ_ЧАС!K563,БАЛАНС_ДЕНЬ_ЧАС!K571,БАЛАНС_ДЕНЬ_ЧАС!K579,БАЛАНС_ДЕНЬ_ЧАС!K587,БАЛАНС_ДЕНЬ_ЧАС!K595,БАЛАНС_ДЕНЬ_ЧАС!K603,БАЛАНС_ДЕНЬ_ЧАС!K611,БАЛАНС_ДЕНЬ_ЧАС!K619,БАЛАНС_ДЕНЬ_ЧАС!K627,БАЛАНС_ДЕНЬ_ЧАС!K635,БАЛАНС_ДЕНЬ_ЧАС!K643,БАЛАНС_ДЕНЬ_ЧАС!K651,БАЛАНС_ДЕНЬ_ЧАС!K659,БАЛАНС_ДЕНЬ_ЧАС!K667,БАЛАНС_ДЕНЬ_ЧАС!K675,БАЛАНС_ДЕНЬ_ЧАС!K683,БАЛАНС_ДЕНЬ_ЧАС!K691,БАЛАНС_ДЕНЬ_ЧАС!K699,БАЛАНС_ДЕНЬ_ЧАС!K707,БАЛАНС_ДЕНЬ_ЧАС!K715,БАЛАНС_ДЕНЬ_ЧАС!K723,БАЛАНС_ДЕНЬ_ЧАС!K731,БАЛАНС_ДЕНЬ_ЧАС!K739,БАЛАНС_ДЕНЬ_ЧАС!K747,БАЛАНС_ДЕНЬ_ЧАС!K755,БАЛАНС_ДЕНЬ_ЧАС!K763,БАЛАНС_ДЕНЬ_ЧАС!K771,БАЛАНС_ДЕНЬ_ЧАС!K779,БАЛАНС_ДЕНЬ_ЧАС!K787,БАЛАНС_ДЕНЬ_ЧАС!K795,БАЛАНС_ДЕНЬ_ЧАС!K803,БАЛАНС_ДЕНЬ_ЧАС!K811,БАЛАНС_ДЕНЬ_ЧАС!K819,БАЛАНС_ДЕНЬ_ЧАС!K827,БАЛАНС_ДЕНЬ_ЧАС!K835,БАЛАНС_ДЕНЬ_ЧАС!K843)</f>
        <v>0</v>
      </c>
      <c r="O12" s="11" t="str">
        <f aca="false">IF(N12&gt;0,"BLOCKED","PASS")</f>
        <v>PASS</v>
      </c>
      <c r="P12" s="11" t="s">
        <v>145</v>
      </c>
    </row>
    <row r="13" customFormat="false" ht="15" hidden="false" customHeight="false" outlineLevel="0" collapsed="false">
      <c r="A13" s="11" t="n">
        <v>3</v>
      </c>
      <c r="B13" s="11" t="s">
        <v>74</v>
      </c>
      <c r="C13" s="11" t="s">
        <v>155</v>
      </c>
      <c r="D13" s="11" t="s">
        <v>73</v>
      </c>
      <c r="E13" s="12" t="n">
        <v>500</v>
      </c>
      <c r="F13" s="12" t="n">
        <f aca="false">SUMIF(СПРОС_ДЕНЬ_ЧАС_МЕНЮ!$C$11:$C$3265,A13,СПРОС_ДЕНЬ_ЧАС_МЕНЮ!$I$11:$I$3265)</f>
        <v>74.888</v>
      </c>
      <c r="G13" s="12" t="n">
        <f aca="false">MAX(СПРОС_ДЕНЬ_ЧАС_МЕНЮ!I13,СПРОС_ДЕНЬ_ЧАС_МЕНЮ!I44,СПРОС_ДЕНЬ_ЧАС_МЕНЮ!I75,СПРОС_ДЕНЬ_ЧАС_МЕНЮ!I106,СПРОС_ДЕНЬ_ЧАС_МЕНЮ!I137,СПРОС_ДЕНЬ_ЧАС_МЕНЮ!I168,СПРОС_ДЕНЬ_ЧАС_МЕНЮ!I199,СПРОС_ДЕНЬ_ЧАС_МЕНЮ!I230,СПРОС_ДЕНЬ_ЧАС_МЕНЮ!I261,СПРОС_ДЕНЬ_ЧАС_МЕНЮ!I292,СПРОС_ДЕНЬ_ЧАС_МЕНЮ!I323,СПРОС_ДЕНЬ_ЧАС_МЕНЮ!I354,СПРОС_ДЕНЬ_ЧАС_МЕНЮ!I385,СПРОС_ДЕНЬ_ЧАС_МЕНЮ!I416,СПРОС_ДЕНЬ_ЧАС_МЕНЮ!I447,СПРОС_ДЕНЬ_ЧАС_МЕНЮ!I478,СПРОС_ДЕНЬ_ЧАС_МЕНЮ!I509,СПРОС_ДЕНЬ_ЧАС_МЕНЮ!I540,СПРОС_ДЕНЬ_ЧАС_МЕНЮ!I571,СПРОС_ДЕНЬ_ЧАС_МЕНЮ!I602,СПРОС_ДЕНЬ_ЧАС_МЕНЮ!I633,СПРОС_ДЕНЬ_ЧАС_МЕНЮ!I664,СПРОС_ДЕНЬ_ЧАС_МЕНЮ!I695,СПРОС_ДЕНЬ_ЧАС_МЕНЮ!I726,СПРОС_ДЕНЬ_ЧАС_МЕНЮ!I757,СПРОС_ДЕНЬ_ЧАС_МЕНЮ!I788,СПРОС_ДЕНЬ_ЧАС_МЕНЮ!I819,СПРОС_ДЕНЬ_ЧАС_МЕНЮ!I850,СПРОС_ДЕНЬ_ЧАС_МЕНЮ!I881,СПРОС_ДЕНЬ_ЧАС_МЕНЮ!I912,СПРОС_ДЕНЬ_ЧАС_МЕНЮ!I943,СПРОС_ДЕНЬ_ЧАС_МЕНЮ!I974,СПРОС_ДЕНЬ_ЧАС_МЕНЮ!I1005,СПРОС_ДЕНЬ_ЧАС_МЕНЮ!I1036,СПРОС_ДЕНЬ_ЧАС_МЕНЮ!I1067,СПРОС_ДЕНЬ_ЧАС_МЕНЮ!I1098,СПРОС_ДЕНЬ_ЧАС_МЕНЮ!I1129,СПРОС_ДЕНЬ_ЧАС_МЕНЮ!I1160,СПРОС_ДЕНЬ_ЧАС_МЕНЮ!I1191,СПРОС_ДЕНЬ_ЧАС_МЕНЮ!I1222,СПРОС_ДЕНЬ_ЧАС_МЕНЮ!I1253,СПРОС_ДЕНЬ_ЧАС_МЕНЮ!I1284,СПРОС_ДЕНЬ_ЧАС_МЕНЮ!I1315,СПРОС_ДЕНЬ_ЧАС_МЕНЮ!I1346,СПРОС_ДЕНЬ_ЧАС_МЕНЮ!I1377,СПРОС_ДЕНЬ_ЧАС_МЕНЮ!I1408,СПРОС_ДЕНЬ_ЧАС_МЕНЮ!I1439,СПРОС_ДЕНЬ_ЧАС_МЕНЮ!I1470,СПРОС_ДЕНЬ_ЧАС_МЕНЮ!I1501,СПРОС_ДЕНЬ_ЧАС_МЕНЮ!I1532,СПРОС_ДЕНЬ_ЧАС_МЕНЮ!I1563,СПРОС_ДЕНЬ_ЧАС_МЕНЮ!I1594,СПРОС_ДЕНЬ_ЧАС_МЕНЮ!I1625,СПРОС_ДЕНЬ_ЧАС_МЕНЮ!I1656,СПРОС_ДЕНЬ_ЧАС_МЕНЮ!I1687,СПРОС_ДЕНЬ_ЧАС_МЕНЮ!I1718,СПРОС_ДЕНЬ_ЧАС_МЕНЮ!I1749,СПРОС_ДЕНЬ_ЧАС_МЕНЮ!I1780,СПРОС_ДЕНЬ_ЧАС_МЕНЮ!I1811,СПРОС_ДЕНЬ_ЧАС_МЕНЮ!I1842,СПРОС_ДЕНЬ_ЧАС_МЕНЮ!I1873,СПРОС_ДЕНЬ_ЧАС_МЕНЮ!I1904,СПРОС_ДЕНЬ_ЧАС_МЕНЮ!I1935,СПРОС_ДЕНЬ_ЧАС_МЕНЮ!I1966,СПРОС_ДЕНЬ_ЧАС_МЕНЮ!I1997,СПРОС_ДЕНЬ_ЧАС_МЕНЮ!I2028,СПРОС_ДЕНЬ_ЧАС_МЕНЮ!I2059,СПРОС_ДЕНЬ_ЧАС_МЕНЮ!I2090,СПРОС_ДЕНЬ_ЧАС_МЕНЮ!I2121,СПРОС_ДЕНЬ_ЧАС_МЕНЮ!I2152,СПРОС_ДЕНЬ_ЧАС_МЕНЮ!I2183,СПРОС_ДЕНЬ_ЧАС_МЕНЮ!I2214,СПРОС_ДЕНЬ_ЧАС_МЕНЮ!I2245,СПРОС_ДЕНЬ_ЧАС_МЕНЮ!I2276,СПРОС_ДЕНЬ_ЧАС_МЕНЮ!I2307,СПРОС_ДЕНЬ_ЧАС_МЕНЮ!I2338,СПРОС_ДЕНЬ_ЧАС_МЕНЮ!I2369,СПРОС_ДЕНЬ_ЧАС_МЕНЮ!I2400,СПРОС_ДЕНЬ_ЧАС_МЕНЮ!I2431,СПРОС_ДЕНЬ_ЧАС_МЕНЮ!I2462,СПРОС_ДЕНЬ_ЧАС_МЕНЮ!I2493,СПРОС_ДЕНЬ_ЧАС_МЕНЮ!I2524,СПРОС_ДЕНЬ_ЧАС_МЕНЮ!I2555,СПРОС_ДЕНЬ_ЧАС_МЕНЮ!I2586,СПРОС_ДЕНЬ_ЧАС_МЕНЮ!I2617,СПРОС_ДЕНЬ_ЧАС_МЕНЮ!I2648,СПРОС_ДЕНЬ_ЧАС_МЕНЮ!I2679,СПРОС_ДЕНЬ_ЧАС_МЕНЮ!I2710,СПРОС_ДЕНЬ_ЧАС_МЕНЮ!I2741,СПРОС_ДЕНЬ_ЧАС_МЕНЮ!I2772,СПРОС_ДЕНЬ_ЧАС_МЕНЮ!I2803,СПРОС_ДЕНЬ_ЧАС_МЕНЮ!I2834,СПРОС_ДЕНЬ_ЧАС_МЕНЮ!I2865,СПРОС_ДЕНЬ_ЧАС_МЕНЮ!I2896,СПРОС_ДЕНЬ_ЧАС_МЕНЮ!I2927,СПРОС_ДЕНЬ_ЧАС_МЕНЮ!I2958,СПРОС_ДЕНЬ_ЧАС_МЕНЮ!I2989,СПРОС_ДЕНЬ_ЧАС_МЕНЮ!I3020,СПРОС_ДЕНЬ_ЧАС_МЕНЮ!I3051,СПРОС_ДЕНЬ_ЧАС_МЕНЮ!I3082,СПРОС_ДЕНЬ_ЧАС_МЕНЮ!I3113,СПРОС_ДЕНЬ_ЧАС_МЕНЮ!I3144,СПРОС_ДЕНЬ_ЧАС_МЕНЮ!I3175,СПРОС_ДЕНЬ_ЧАС_МЕНЮ!I3206,СПРОС_ДЕНЬ_ЧАС_МЕНЮ!I3237)</f>
        <v>2.6532</v>
      </c>
      <c r="H13" s="12" t="s">
        <v>112</v>
      </c>
      <c r="I13" s="12" t="s">
        <v>137</v>
      </c>
      <c r="J13" s="12" t="n">
        <f aca="false">MAX(БАЛАНС_ДЕНЬ_ЧАС!F11,БАЛАНС_ДЕНЬ_ЧАС!F19,БАЛАНС_ДЕНЬ_ЧАС!F27,БАЛАНС_ДЕНЬ_ЧАС!F35,БАЛАНС_ДЕНЬ_ЧАС!F43,БАЛАНС_ДЕНЬ_ЧАС!F51,БАЛАНС_ДЕНЬ_ЧАС!F59,БАЛАНС_ДЕНЬ_ЧАС!F67,БАЛАНС_ДЕНЬ_ЧАС!F75,БАЛАНС_ДЕНЬ_ЧАС!F83,БАЛАНС_ДЕНЬ_ЧАС!F91,БАЛАНС_ДЕНЬ_ЧАС!F99,БАЛАНС_ДЕНЬ_ЧАС!F107,БАЛАНС_ДЕНЬ_ЧАС!F115,БАЛАНС_ДЕНЬ_ЧАС!F123,БАЛАНС_ДЕНЬ_ЧАС!F131,БАЛАНС_ДЕНЬ_ЧАС!F139,БАЛАНС_ДЕНЬ_ЧАС!F147,БАЛАНС_ДЕНЬ_ЧАС!F155,БАЛАНС_ДЕНЬ_ЧАС!F163,БАЛАНС_ДЕНЬ_ЧАС!F171,БАЛАНС_ДЕНЬ_ЧАС!F179,БАЛАНС_ДЕНЬ_ЧАС!F187,БАЛАНС_ДЕНЬ_ЧАС!F195,БАЛАНС_ДЕНЬ_ЧАС!F203,БАЛАНС_ДЕНЬ_ЧАС!F211,БАЛАНС_ДЕНЬ_ЧАС!F219,БАЛАНС_ДЕНЬ_ЧАС!F227,БАЛАНС_ДЕНЬ_ЧАС!F235,БАЛАНС_ДЕНЬ_ЧАС!F243,БАЛАНС_ДЕНЬ_ЧАС!F251,БАЛАНС_ДЕНЬ_ЧАС!F259,БАЛАНС_ДЕНЬ_ЧАС!F267,БАЛАНС_ДЕНЬ_ЧАС!F275,БАЛАНС_ДЕНЬ_ЧАС!F283,БАЛАНС_ДЕНЬ_ЧАС!F291,БАЛАНС_ДЕНЬ_ЧАС!F299,БАЛАНС_ДЕНЬ_ЧАС!F307,БАЛАНС_ДЕНЬ_ЧАС!F315,БАЛАНС_ДЕНЬ_ЧАС!F323,БАЛАНС_ДЕНЬ_ЧАС!F331,БАЛАНС_ДЕНЬ_ЧАС!F339,БАЛАНС_ДЕНЬ_ЧАС!F347,БАЛАНС_ДЕНЬ_ЧАС!F355,БАЛАНС_ДЕНЬ_ЧАС!F363,БАЛАНС_ДЕНЬ_ЧАС!F371,БАЛАНС_ДЕНЬ_ЧАС!F379,БАЛАНС_ДЕНЬ_ЧАС!F387,БАЛАНС_ДЕНЬ_ЧАС!F395,БАЛАНС_ДЕНЬ_ЧАС!F403,БАЛАНС_ДЕНЬ_ЧАС!F411,БАЛАНС_ДЕНЬ_ЧАС!F419,БАЛАНС_ДЕНЬ_ЧАС!F427,БАЛАНС_ДЕНЬ_ЧАС!F435,БАЛАНС_ДЕНЬ_ЧАС!F443,БАЛАНС_ДЕНЬ_ЧАС!F451,БАЛАНС_ДЕНЬ_ЧАС!F459,БАЛАНС_ДЕНЬ_ЧАС!F467,БАЛАНС_ДЕНЬ_ЧАС!F475,БАЛАНС_ДЕНЬ_ЧАС!F483,БАЛАНС_ДЕНЬ_ЧАС!F491,БАЛАНС_ДЕНЬ_ЧАС!F499,БАЛАНС_ДЕНЬ_ЧАС!F507,БАЛАНС_ДЕНЬ_ЧАС!F515,БАЛАНС_ДЕНЬ_ЧАС!F523,БАЛАНС_ДЕНЬ_ЧАС!F531,БАЛАНС_ДЕНЬ_ЧАС!F539,БАЛАНС_ДЕНЬ_ЧАС!F547,БАЛАНС_ДЕНЬ_ЧАС!F555,БАЛАНС_ДЕНЬ_ЧАС!F563,БАЛАНС_ДЕНЬ_ЧАС!F571,БАЛАНС_ДЕНЬ_ЧАС!F579,БАЛАНС_ДЕНЬ_ЧАС!F587,БАЛАНС_ДЕНЬ_ЧАС!F595,БАЛАНС_ДЕНЬ_ЧАС!F603,БАЛАНС_ДЕНЬ_ЧАС!F611,БАЛАНС_ДЕНЬ_ЧАС!F619,БАЛАНС_ДЕНЬ_ЧАС!F627,БАЛАНС_ДЕНЬ_ЧАС!F635,БАЛАНС_ДЕНЬ_ЧАС!F643,БАЛАНС_ДЕНЬ_ЧАС!F651,БАЛАНС_ДЕНЬ_ЧАС!F659,БАЛАНС_ДЕНЬ_ЧАС!F667,БАЛАНС_ДЕНЬ_ЧАС!F675,БАЛАНС_ДЕНЬ_ЧАС!F683,БАЛАНС_ДЕНЬ_ЧАС!F691,БАЛАНС_ДЕНЬ_ЧАС!F699,БАЛАНС_ДЕНЬ_ЧАС!F707,БАЛАНС_ДЕНЬ_ЧАС!F715,БАЛАНС_ДЕНЬ_ЧАС!F723,БАЛАНС_ДЕНЬ_ЧАС!F731,БАЛАНС_ДЕНЬ_ЧАС!F739,БАЛАНС_ДЕНЬ_ЧАС!F747,БАЛАНС_ДЕНЬ_ЧАС!F755,БАЛАНС_ДЕНЬ_ЧАС!F763,БАЛАНС_ДЕНЬ_ЧАС!F771,БАЛАНС_ДЕНЬ_ЧАС!F779,БАЛАНС_ДЕНЬ_ЧАС!F787,БАЛАНС_ДЕНЬ_ЧАС!F795,БАЛАНС_ДЕНЬ_ЧАС!F803,БАЛАНС_ДЕНЬ_ЧАС!F811,БАЛАНС_ДЕНЬ_ЧАС!F819,БАЛАНС_ДЕНЬ_ЧАС!F827,БАЛАНС_ДЕНЬ_ЧАС!F835,БАЛАНС_ДЕНЬ_ЧАС!F843)</f>
        <v>8.899</v>
      </c>
      <c r="K13" s="12" t="n">
        <f aca="false">ПАРАМЕТРЫ!D20</f>
        <v>25</v>
      </c>
      <c r="L13" s="12" t="n">
        <f aca="false">MAX(БАЛАНС_ДЕНЬ_ЧАС!I11,БАЛАНС_ДЕНЬ_ЧАС!I19,БАЛАНС_ДЕНЬ_ЧАС!I27,БАЛАНС_ДЕНЬ_ЧАС!I35,БАЛАНС_ДЕНЬ_ЧАС!I43,БАЛАНС_ДЕНЬ_ЧАС!I51,БАЛАНС_ДЕНЬ_ЧАС!I59,БАЛАНС_ДЕНЬ_ЧАС!I67,БАЛАНС_ДЕНЬ_ЧАС!I75,БАЛАНС_ДЕНЬ_ЧАС!I83,БАЛАНС_ДЕНЬ_ЧАС!I91,БАЛАНС_ДЕНЬ_ЧАС!I99,БАЛАНС_ДЕНЬ_ЧАС!I107,БАЛАНС_ДЕНЬ_ЧАС!I115,БАЛАНС_ДЕНЬ_ЧАС!I123,БАЛАНС_ДЕНЬ_ЧАС!I131,БАЛАНС_ДЕНЬ_ЧАС!I139,БАЛАНС_ДЕНЬ_ЧАС!I147,БАЛАНС_ДЕНЬ_ЧАС!I155,БАЛАНС_ДЕНЬ_ЧАС!I163,БАЛАНС_ДЕНЬ_ЧАС!I171,БАЛАНС_ДЕНЬ_ЧАС!I179,БАЛАНС_ДЕНЬ_ЧАС!I187,БАЛАНС_ДЕНЬ_ЧАС!I195,БАЛАНС_ДЕНЬ_ЧАС!I203,БАЛАНС_ДЕНЬ_ЧАС!I211,БАЛАНС_ДЕНЬ_ЧАС!I219,БАЛАНС_ДЕНЬ_ЧАС!I227,БАЛАНС_ДЕНЬ_ЧАС!I235,БАЛАНС_ДЕНЬ_ЧАС!I243,БАЛАНС_ДЕНЬ_ЧАС!I251,БАЛАНС_ДЕНЬ_ЧАС!I259,БАЛАНС_ДЕНЬ_ЧАС!I267,БАЛАНС_ДЕНЬ_ЧАС!I275,БАЛАНС_ДЕНЬ_ЧАС!I283,БАЛАНС_ДЕНЬ_ЧАС!I291,БАЛАНС_ДЕНЬ_ЧАС!I299,БАЛАНС_ДЕНЬ_ЧАС!I307,БАЛАНС_ДЕНЬ_ЧАС!I315,БАЛАНС_ДЕНЬ_ЧАС!I323,БАЛАНС_ДЕНЬ_ЧАС!I331,БАЛАНС_ДЕНЬ_ЧАС!I339,БАЛАНС_ДЕНЬ_ЧАС!I347,БАЛАНС_ДЕНЬ_ЧАС!I355,БАЛАНС_ДЕНЬ_ЧАС!I363,БАЛАНС_ДЕНЬ_ЧАС!I371,БАЛАНС_ДЕНЬ_ЧАС!I379,БАЛАНС_ДЕНЬ_ЧАС!I387,БАЛАНС_ДЕНЬ_ЧАС!I395,БАЛАНС_ДЕНЬ_ЧАС!I403,БАЛАНС_ДЕНЬ_ЧАС!I411,БАЛАНС_ДЕНЬ_ЧАС!I419,БАЛАНС_ДЕНЬ_ЧАС!I427,БАЛАНС_ДЕНЬ_ЧАС!I435,БАЛАНС_ДЕНЬ_ЧАС!I443,БАЛАНС_ДЕНЬ_ЧАС!I451,БАЛАНС_ДЕНЬ_ЧАС!I459,БАЛАНС_ДЕНЬ_ЧАС!I467,БАЛАНС_ДЕНЬ_ЧАС!I475,БАЛАНС_ДЕНЬ_ЧАС!I483,БАЛАНС_ДЕНЬ_ЧАС!I491,БАЛАНС_ДЕНЬ_ЧАС!I499,БАЛАНС_ДЕНЬ_ЧАС!I507,БАЛАНС_ДЕНЬ_ЧАС!I515,БАЛАНС_ДЕНЬ_ЧАС!I523,БАЛАНС_ДЕНЬ_ЧАС!I531,БАЛАНС_ДЕНЬ_ЧАС!I539,БАЛАНС_ДЕНЬ_ЧАС!I547,БАЛАНС_ДЕНЬ_ЧАС!I555,БАЛАНС_ДЕНЬ_ЧАС!I563,БАЛАНС_ДЕНЬ_ЧАС!I571,БАЛАНС_ДЕНЬ_ЧАС!I579,БАЛАНС_ДЕНЬ_ЧАС!I587,БАЛАНС_ДЕНЬ_ЧАС!I595,БАЛАНС_ДЕНЬ_ЧАС!I603,БАЛАНС_ДЕНЬ_ЧАС!I611,БАЛАНС_ДЕНЬ_ЧАС!I619,БАЛАНС_ДЕНЬ_ЧАС!I627,БАЛАНС_ДЕНЬ_ЧАС!I635,БАЛАНС_ДЕНЬ_ЧАС!I643,БАЛАНС_ДЕНЬ_ЧАС!I651,БАЛАНС_ДЕНЬ_ЧАС!I659,БАЛАНС_ДЕНЬ_ЧАС!I667,БАЛАНС_ДЕНЬ_ЧАС!I675,БАЛАНС_ДЕНЬ_ЧАС!I683,БАЛАНС_ДЕНЬ_ЧАС!I691,БАЛАНС_ДЕНЬ_ЧАС!I699,БАЛАНС_ДЕНЬ_ЧАС!I707,БАЛАНС_ДЕНЬ_ЧАС!I715,БАЛАНС_ДЕНЬ_ЧАС!I723,БАЛАНС_ДЕНЬ_ЧАС!I731,БАЛАНС_ДЕНЬ_ЧАС!I739,БАЛАНС_ДЕНЬ_ЧАС!I747,БАЛАНС_ДЕНЬ_ЧАС!I755,БАЛАНС_ДЕНЬ_ЧАС!I763,БАЛАНС_ДЕНЬ_ЧАС!I771,БАЛАНС_ДЕНЬ_ЧАС!I779,БАЛАНС_ДЕНЬ_ЧАС!I787,БАЛАНС_ДЕНЬ_ЧАС!I795,БАЛАНС_ДЕНЬ_ЧАС!I803,БАЛАНС_ДЕНЬ_ЧАС!I811,БАЛАНС_ДЕНЬ_ЧАС!I819,БАЛАНС_ДЕНЬ_ЧАС!I827,БАЛАНС_ДЕНЬ_ЧАС!I835,БАЛАНС_ДЕНЬ_ЧАС!I843)</f>
        <v>10</v>
      </c>
      <c r="M13" s="12" t="n">
        <f aca="false">MAX(БАЛАНС_ДЕНЬ_ЧАС!J11,БАЛАНС_ДЕНЬ_ЧАС!J19,БАЛАНС_ДЕНЬ_ЧАС!J27,БАЛАНС_ДЕНЬ_ЧАС!J35,БАЛАНС_ДЕНЬ_ЧАС!J43,БАЛАНС_ДЕНЬ_ЧАС!J51,БАЛАНС_ДЕНЬ_ЧАС!J59,БАЛАНС_ДЕНЬ_ЧАС!J67,БАЛАНС_ДЕНЬ_ЧАС!J75,БАЛАНС_ДЕНЬ_ЧАС!J83,БАЛАНС_ДЕНЬ_ЧАС!J91,БАЛАНС_ДЕНЬ_ЧАС!J99,БАЛАНС_ДЕНЬ_ЧАС!J107,БАЛАНС_ДЕНЬ_ЧАС!J115,БАЛАНС_ДЕНЬ_ЧАС!J123,БАЛАНС_ДЕНЬ_ЧАС!J131,БАЛАНС_ДЕНЬ_ЧАС!J139,БАЛАНС_ДЕНЬ_ЧАС!J147,БАЛАНС_ДЕНЬ_ЧАС!J155,БАЛАНС_ДЕНЬ_ЧАС!J163,БАЛАНС_ДЕНЬ_ЧАС!J171,БАЛАНС_ДЕНЬ_ЧАС!J179,БАЛАНС_ДЕНЬ_ЧАС!J187,БАЛАНС_ДЕНЬ_ЧАС!J195,БАЛАНС_ДЕНЬ_ЧАС!J203,БАЛАНС_ДЕНЬ_ЧАС!J211,БАЛАНС_ДЕНЬ_ЧАС!J219,БАЛАНС_ДЕНЬ_ЧАС!J227,БАЛАНС_ДЕНЬ_ЧАС!J235,БАЛАНС_ДЕНЬ_ЧАС!J243,БАЛАНС_ДЕНЬ_ЧАС!J251,БАЛАНС_ДЕНЬ_ЧАС!J259,БАЛАНС_ДЕНЬ_ЧАС!J267,БАЛАНС_ДЕНЬ_ЧАС!J275,БАЛАНС_ДЕНЬ_ЧАС!J283,БАЛАНС_ДЕНЬ_ЧАС!J291,БАЛАНС_ДЕНЬ_ЧАС!J299,БАЛАНС_ДЕНЬ_ЧАС!J307,БАЛАНС_ДЕНЬ_ЧАС!J315,БАЛАНС_ДЕНЬ_ЧАС!J323,БАЛАНС_ДЕНЬ_ЧАС!J331,БАЛАНС_ДЕНЬ_ЧАС!J339,БАЛАНС_ДЕНЬ_ЧАС!J347,БАЛАНС_ДЕНЬ_ЧАС!J355,БАЛАНС_ДЕНЬ_ЧАС!J363,БАЛАНС_ДЕНЬ_ЧАС!J371,БАЛАНС_ДЕНЬ_ЧАС!J379,БАЛАНС_ДЕНЬ_ЧАС!J387,БАЛАНС_ДЕНЬ_ЧАС!J395,БАЛАНС_ДЕНЬ_ЧАС!J403,БАЛАНС_ДЕНЬ_ЧАС!J411,БАЛАНС_ДЕНЬ_ЧАС!J419,БАЛАНС_ДЕНЬ_ЧАС!J427,БАЛАНС_ДЕНЬ_ЧАС!J435,БАЛАНС_ДЕНЬ_ЧАС!J443,БАЛАНС_ДЕНЬ_ЧАС!J451,БАЛАНС_ДЕНЬ_ЧАС!J459,БАЛАНС_ДЕНЬ_ЧАС!J467,БАЛАНС_ДЕНЬ_ЧАС!J475,БАЛАНС_ДЕНЬ_ЧАС!J483,БАЛАНС_ДЕНЬ_ЧАС!J491,БАЛАНС_ДЕНЬ_ЧАС!J499,БАЛАНС_ДЕНЬ_ЧАС!J507,БАЛАНС_ДЕНЬ_ЧАС!J515,БАЛАНС_ДЕНЬ_ЧАС!J523,БАЛАНС_ДЕНЬ_ЧАС!J531,БАЛАНС_ДЕНЬ_ЧАС!J539,БАЛАНС_ДЕНЬ_ЧАС!J547,БАЛАНС_ДЕНЬ_ЧАС!J555,БАЛАНС_ДЕНЬ_ЧАС!J563,БАЛАНС_ДЕНЬ_ЧАС!J571,БАЛАНС_ДЕНЬ_ЧАС!J579,БАЛАНС_ДЕНЬ_ЧАС!J587,БАЛАНС_ДЕНЬ_ЧАС!J595,БАЛАНС_ДЕНЬ_ЧАС!J603,БАЛАНС_ДЕНЬ_ЧАС!J611,БАЛАНС_ДЕНЬ_ЧАС!J619,БАЛАНС_ДЕНЬ_ЧАС!J627,БАЛАНС_ДЕНЬ_ЧАС!J635,БАЛАНС_ДЕНЬ_ЧАС!J643,БАЛАНС_ДЕНЬ_ЧАС!J651,БАЛАНС_ДЕНЬ_ЧАС!J659,БАЛАНС_ДЕНЬ_ЧАС!J667,БАЛАНС_ДЕНЬ_ЧАС!J675,БАЛАНС_ДЕНЬ_ЧАС!J683,БАЛАНС_ДЕНЬ_ЧАС!J691,БАЛАНС_ДЕНЬ_ЧАС!J699,БАЛАНС_ДЕНЬ_ЧАС!J707,БАЛАНС_ДЕНЬ_ЧАС!J715,БАЛАНС_ДЕНЬ_ЧАС!J723,БАЛАНС_ДЕНЬ_ЧАС!J731,БАЛАНС_ДЕНЬ_ЧАС!J739,БАЛАНС_ДЕНЬ_ЧАС!J747,БАЛАНС_ДЕНЬ_ЧАС!J755,БАЛАНС_ДЕНЬ_ЧАС!J763,БАЛАНС_ДЕНЬ_ЧАС!J771,БАЛАНС_ДЕНЬ_ЧАС!J779,БАЛАНС_ДЕНЬ_ЧАС!J787,БАЛАНС_ДЕНЬ_ЧАС!J795,БАЛАНС_ДЕНЬ_ЧАС!J803,БАЛАНС_ДЕНЬ_ЧАС!J811,БАЛАНС_ДЕНЬ_ЧАС!J819,БАЛАНС_ДЕНЬ_ЧАС!J827,БАЛАНС_ДЕНЬ_ЧАС!J835,БАЛАНС_ДЕНЬ_ЧАС!J843)</f>
        <v>10</v>
      </c>
      <c r="N13" s="12" t="n">
        <f aca="false">MAX(БАЛАНС_ДЕНЬ_ЧАС!K11,БАЛАНС_ДЕНЬ_ЧАС!K19,БАЛАНС_ДЕНЬ_ЧАС!K27,БАЛАНС_ДЕНЬ_ЧАС!K35,БАЛАНС_ДЕНЬ_ЧАС!K43,БАЛАНС_ДЕНЬ_ЧАС!K51,БАЛАНС_ДЕНЬ_ЧАС!K59,БАЛАНС_ДЕНЬ_ЧАС!K67,БАЛАНС_ДЕНЬ_ЧАС!K75,БАЛАНС_ДЕНЬ_ЧАС!K83,БАЛАНС_ДЕНЬ_ЧАС!K91,БАЛАНС_ДЕНЬ_ЧАС!K99,БАЛАНС_ДЕНЬ_ЧАС!K107,БАЛАНС_ДЕНЬ_ЧАС!K115,БАЛАНС_ДЕНЬ_ЧАС!K123,БАЛАНС_ДЕНЬ_ЧАС!K131,БАЛАНС_ДЕНЬ_ЧАС!K139,БАЛАНС_ДЕНЬ_ЧАС!K147,БАЛАНС_ДЕНЬ_ЧАС!K155,БАЛАНС_ДЕНЬ_ЧАС!K163,БАЛАНС_ДЕНЬ_ЧАС!K171,БАЛАНС_ДЕНЬ_ЧАС!K179,БАЛАНС_ДЕНЬ_ЧАС!K187,БАЛАНС_ДЕНЬ_ЧАС!K195,БАЛАНС_ДЕНЬ_ЧАС!K203,БАЛАНС_ДЕНЬ_ЧАС!K211,БАЛАНС_ДЕНЬ_ЧАС!K219,БАЛАНС_ДЕНЬ_ЧАС!K227,БАЛАНС_ДЕНЬ_ЧАС!K235,БАЛАНС_ДЕНЬ_ЧАС!K243,БАЛАНС_ДЕНЬ_ЧАС!K251,БАЛАНС_ДЕНЬ_ЧАС!K259,БАЛАНС_ДЕНЬ_ЧАС!K267,БАЛАНС_ДЕНЬ_ЧАС!K275,БАЛАНС_ДЕНЬ_ЧАС!K283,БАЛАНС_ДЕНЬ_ЧАС!K291,БАЛАНС_ДЕНЬ_ЧАС!K299,БАЛАНС_ДЕНЬ_ЧАС!K307,БАЛАНС_ДЕНЬ_ЧАС!K315,БАЛАНС_ДЕНЬ_ЧАС!K323,БАЛАНС_ДЕНЬ_ЧАС!K331,БАЛАНС_ДЕНЬ_ЧАС!K339,БАЛАНС_ДЕНЬ_ЧАС!K347,БАЛАНС_ДЕНЬ_ЧАС!K355,БАЛАНС_ДЕНЬ_ЧАС!K363,БАЛАНС_ДЕНЬ_ЧАС!K371,БАЛАНС_ДЕНЬ_ЧАС!K379,БАЛАНС_ДЕНЬ_ЧАС!K387,БАЛАНС_ДЕНЬ_ЧАС!K395,БАЛАНС_ДЕНЬ_ЧАС!K403,БАЛАНС_ДЕНЬ_ЧАС!K411,БАЛАНС_ДЕНЬ_ЧАС!K419,БАЛАНС_ДЕНЬ_ЧАС!K427,БАЛАНС_ДЕНЬ_ЧАС!K435,БАЛАНС_ДЕНЬ_ЧАС!K443,БАЛАНС_ДЕНЬ_ЧАС!K451,БАЛАНС_ДЕНЬ_ЧАС!K459,БАЛАНС_ДЕНЬ_ЧАС!K467,БАЛАНС_ДЕНЬ_ЧАС!K475,БАЛАНС_ДЕНЬ_ЧАС!K483,БАЛАНС_ДЕНЬ_ЧАС!K491,БАЛАНС_ДЕНЬ_ЧАС!K499,БАЛАНС_ДЕНЬ_ЧАС!K507,БАЛАНС_ДЕНЬ_ЧАС!K515,БАЛАНС_ДЕНЬ_ЧАС!K523,БАЛАНС_ДЕНЬ_ЧАС!K531,БАЛАНС_ДЕНЬ_ЧАС!K539,БАЛАНС_ДЕНЬ_ЧАС!K547,БАЛАНС_ДЕНЬ_ЧАС!K555,БАЛАНС_ДЕНЬ_ЧАС!K563,БАЛАНС_ДЕНЬ_ЧАС!K571,БАЛАНС_ДЕНЬ_ЧАС!K579,БАЛАНС_ДЕНЬ_ЧАС!K587,БАЛАНС_ДЕНЬ_ЧАС!K595,БАЛАНС_ДЕНЬ_ЧАС!K603,БАЛАНС_ДЕНЬ_ЧАС!K611,БАЛАНС_ДЕНЬ_ЧАС!K619,БАЛАНС_ДЕНЬ_ЧАС!K627,БАЛАНС_ДЕНЬ_ЧАС!K635,БАЛАНС_ДЕНЬ_ЧАС!K643,БАЛАНС_ДЕНЬ_ЧАС!K651,БАЛАНС_ДЕНЬ_ЧАС!K659,БАЛАНС_ДЕНЬ_ЧАС!K667,БАЛАНС_ДЕНЬ_ЧАС!K675,БАЛАНС_ДЕНЬ_ЧАС!K683,БАЛАНС_ДЕНЬ_ЧАС!K691,БАЛАНС_ДЕНЬ_ЧАС!K699,БАЛАНС_ДЕНЬ_ЧАС!K707,БАЛАНС_ДЕНЬ_ЧАС!K715,БАЛАНС_ДЕНЬ_ЧАС!K723,БАЛАНС_ДЕНЬ_ЧАС!K731,БАЛАНС_ДЕНЬ_ЧАС!K739,БАЛАНС_ДЕНЬ_ЧАС!K747,БАЛАНС_ДЕНЬ_ЧАС!K755,БАЛАНС_ДЕНЬ_ЧАС!K763,БАЛАНС_ДЕНЬ_ЧАС!K771,БАЛАНС_ДЕНЬ_ЧАС!K779,БАЛАНС_ДЕНЬ_ЧАС!K787,БАЛАНС_ДЕНЬ_ЧАС!K795,БАЛАНС_ДЕНЬ_ЧАС!K803,БАЛАНС_ДЕНЬ_ЧАС!K811,БАЛАНС_ДЕНЬ_ЧАС!K819,БАЛАНС_ДЕНЬ_ЧАС!K827,БАЛАНС_ДЕНЬ_ЧАС!K835,БАЛАНС_ДЕНЬ_ЧАС!K843)</f>
        <v>0</v>
      </c>
      <c r="O13" s="11" t="str">
        <f aca="false">IF(N13&gt;0,"BLOCKED","PASS")</f>
        <v>PASS</v>
      </c>
      <c r="P13" s="11" t="s">
        <v>145</v>
      </c>
    </row>
    <row r="14" customFormat="false" ht="15" hidden="false" customHeight="false" outlineLevel="0" collapsed="false">
      <c r="A14" s="11" t="n">
        <v>4</v>
      </c>
      <c r="B14" s="11" t="s">
        <v>74</v>
      </c>
      <c r="C14" s="11" t="s">
        <v>156</v>
      </c>
      <c r="D14" s="11" t="s">
        <v>73</v>
      </c>
      <c r="E14" s="12" t="n">
        <v>500</v>
      </c>
      <c r="F14" s="12" t="n">
        <f aca="false">SUMIF(СПРОС_ДЕНЬ_ЧАС_МЕНЮ!$C$11:$C$3265,A14,СПРОС_ДЕНЬ_ЧАС_МЕНЮ!$I$11:$I$3265)</f>
        <v>90.541</v>
      </c>
      <c r="G14" s="12" t="n">
        <f aca="false">MAX(СПРОС_ДЕНЬ_ЧАС_МЕНЮ!I14,СПРОС_ДЕНЬ_ЧАС_МЕНЮ!I45,СПРОС_ДЕНЬ_ЧАС_МЕНЮ!I76,СПРОС_ДЕНЬ_ЧАС_МЕНЮ!I107,СПРОС_ДЕНЬ_ЧАС_МЕНЮ!I138,СПРОС_ДЕНЬ_ЧАС_МЕНЮ!I169,СПРОС_ДЕНЬ_ЧАС_МЕНЮ!I200,СПРОС_ДЕНЬ_ЧАС_МЕНЮ!I231,СПРОС_ДЕНЬ_ЧАС_МЕНЮ!I262,СПРОС_ДЕНЬ_ЧАС_МЕНЮ!I293,СПРОС_ДЕНЬ_ЧАС_МЕНЮ!I324,СПРОС_ДЕНЬ_ЧАС_МЕНЮ!I355,СПРОС_ДЕНЬ_ЧАС_МЕНЮ!I386,СПРОС_ДЕНЬ_ЧАС_МЕНЮ!I417,СПРОС_ДЕНЬ_ЧАС_МЕНЮ!I448,СПРОС_ДЕНЬ_ЧАС_МЕНЮ!I479,СПРОС_ДЕНЬ_ЧАС_МЕНЮ!I510,СПРОС_ДЕНЬ_ЧАС_МЕНЮ!I541,СПРОС_ДЕНЬ_ЧАС_МЕНЮ!I572,СПРОС_ДЕНЬ_ЧАС_МЕНЮ!I603,СПРОС_ДЕНЬ_ЧАС_МЕНЮ!I634,СПРОС_ДЕНЬ_ЧАС_МЕНЮ!I665,СПРОС_ДЕНЬ_ЧАС_МЕНЮ!I696,СПРОС_ДЕНЬ_ЧАС_МЕНЮ!I727,СПРОС_ДЕНЬ_ЧАС_МЕНЮ!I758,СПРОС_ДЕНЬ_ЧАС_МЕНЮ!I789,СПРОС_ДЕНЬ_ЧАС_МЕНЮ!I820,СПРОС_ДЕНЬ_ЧАС_МЕНЮ!I851,СПРОС_ДЕНЬ_ЧАС_МЕНЮ!I882,СПРОС_ДЕНЬ_ЧАС_МЕНЮ!I913,СПРОС_ДЕНЬ_ЧАС_МЕНЮ!I944,СПРОС_ДЕНЬ_ЧАС_МЕНЮ!I975,СПРОС_ДЕНЬ_ЧАС_МЕНЮ!I1006,СПРОС_ДЕНЬ_ЧАС_МЕНЮ!I1037,СПРОС_ДЕНЬ_ЧАС_МЕНЮ!I1068,СПРОС_ДЕНЬ_ЧАС_МЕНЮ!I1099,СПРОС_ДЕНЬ_ЧАС_МЕНЮ!I1130,СПРОС_ДЕНЬ_ЧАС_МЕНЮ!I1161,СПРОС_ДЕНЬ_ЧАС_МЕНЮ!I1192,СПРОС_ДЕНЬ_ЧАС_МЕНЮ!I1223,СПРОС_ДЕНЬ_ЧАС_МЕНЮ!I1254,СПРОС_ДЕНЬ_ЧАС_МЕНЮ!I1285,СПРОС_ДЕНЬ_ЧАС_МЕНЮ!I1316,СПРОС_ДЕНЬ_ЧАС_МЕНЮ!I1347,СПРОС_ДЕНЬ_ЧАС_МЕНЮ!I1378,СПРОС_ДЕНЬ_ЧАС_МЕНЮ!I1409,СПРОС_ДЕНЬ_ЧАС_МЕНЮ!I1440,СПРОС_ДЕНЬ_ЧАС_МЕНЮ!I1471,СПРОС_ДЕНЬ_ЧАС_МЕНЮ!I1502,СПРОС_ДЕНЬ_ЧАС_МЕНЮ!I1533,СПРОС_ДЕНЬ_ЧАС_МЕНЮ!I1564,СПРОС_ДЕНЬ_ЧАС_МЕНЮ!I1595,СПРОС_ДЕНЬ_ЧАС_МЕНЮ!I1626,СПРОС_ДЕНЬ_ЧАС_МЕНЮ!I1657,СПРОС_ДЕНЬ_ЧАС_МЕНЮ!I1688,СПРОС_ДЕНЬ_ЧАС_МЕНЮ!I1719,СПРОС_ДЕНЬ_ЧАС_МЕНЮ!I1750,СПРОС_ДЕНЬ_ЧАС_МЕНЮ!I1781,СПРОС_ДЕНЬ_ЧАС_МЕНЮ!I1812,СПРОС_ДЕНЬ_ЧАС_МЕНЮ!I1843,СПРОС_ДЕНЬ_ЧАС_МЕНЮ!I1874,СПРОС_ДЕНЬ_ЧАС_МЕНЮ!I1905,СПРОС_ДЕНЬ_ЧАС_МЕНЮ!I1936,СПРОС_ДЕНЬ_ЧАС_МЕНЮ!I1967,СПРОС_ДЕНЬ_ЧАС_МЕНЮ!I1998,СПРОС_ДЕНЬ_ЧАС_МЕНЮ!I2029,СПРОС_ДЕНЬ_ЧАС_МЕНЮ!I2060,СПРОС_ДЕНЬ_ЧАС_МЕНЮ!I2091,СПРОС_ДЕНЬ_ЧАС_МЕНЮ!I2122,СПРОС_ДЕНЬ_ЧАС_МЕНЮ!I2153,СПРОС_ДЕНЬ_ЧАС_МЕНЮ!I2184,СПРОС_ДЕНЬ_ЧАС_МЕНЮ!I2215,СПРОС_ДЕНЬ_ЧАС_МЕНЮ!I2246,СПРОС_ДЕНЬ_ЧАС_МЕНЮ!I2277,СПРОС_ДЕНЬ_ЧАС_МЕНЮ!I2308,СПРОС_ДЕНЬ_ЧАС_МЕНЮ!I2339,СПРОС_ДЕНЬ_ЧАС_МЕНЮ!I2370,СПРОС_ДЕНЬ_ЧАС_МЕНЮ!I2401,СПРОС_ДЕНЬ_ЧАС_МЕНЮ!I2432,СПРОС_ДЕНЬ_ЧАС_МЕНЮ!I2463,СПРОС_ДЕНЬ_ЧАС_МЕНЮ!I2494,СПРОС_ДЕНЬ_ЧАС_МЕНЮ!I2525,СПРОС_ДЕНЬ_ЧАС_МЕНЮ!I2556,СПРОС_ДЕНЬ_ЧАС_МЕНЮ!I2587,СПРОС_ДЕНЬ_ЧАС_МЕНЮ!I2618,СПРОС_ДЕНЬ_ЧАС_МЕНЮ!I2649,СПРОС_ДЕНЬ_ЧАС_МЕНЮ!I2680,СПРОС_ДЕНЬ_ЧАС_МЕНЮ!I2711,СПРОС_ДЕНЬ_ЧАС_МЕНЮ!I2742,СПРОС_ДЕНЬ_ЧАС_МЕНЮ!I2773,СПРОС_ДЕНЬ_ЧАС_МЕНЮ!I2804,СПРОС_ДЕНЬ_ЧАС_МЕНЮ!I2835,СПРОС_ДЕНЬ_ЧАС_МЕНЮ!I2866,СПРОС_ДЕНЬ_ЧАС_МЕНЮ!I2897,СПРОС_ДЕНЬ_ЧАС_МЕНЮ!I2928,СПРОС_ДЕНЬ_ЧАС_МЕНЮ!I2959,СПРОС_ДЕНЬ_ЧАС_МЕНЮ!I2990,СПРОС_ДЕНЬ_ЧАС_МЕНЮ!I3021,СПРОС_ДЕНЬ_ЧАС_МЕНЮ!I3052,СПРОС_ДЕНЬ_ЧАС_МЕНЮ!I3083,СПРОС_ДЕНЬ_ЧАС_МЕНЮ!I3114,СПРОС_ДЕНЬ_ЧАС_МЕНЮ!I3145,СПРОС_ДЕНЬ_ЧАС_МЕНЮ!I3176,СПРОС_ДЕНЬ_ЧАС_МЕНЮ!I3207,СПРОС_ДЕНЬ_ЧАС_МЕНЮ!I3238)</f>
        <v>3.3506</v>
      </c>
      <c r="H14" s="12" t="s">
        <v>112</v>
      </c>
      <c r="I14" s="12" t="s">
        <v>137</v>
      </c>
      <c r="J14" s="12" t="n">
        <f aca="false">MAX(БАЛАНС_ДЕНЬ_ЧАС!F11,БАЛАНС_ДЕНЬ_ЧАС!F19,БАЛАНС_ДЕНЬ_ЧАС!F27,БАЛАНС_ДЕНЬ_ЧАС!F35,БАЛАНС_ДЕНЬ_ЧАС!F43,БАЛАНС_ДЕНЬ_ЧАС!F51,БАЛАНС_ДЕНЬ_ЧАС!F59,БАЛАНС_ДЕНЬ_ЧАС!F67,БАЛАНС_ДЕНЬ_ЧАС!F75,БАЛАНС_ДЕНЬ_ЧАС!F83,БАЛАНС_ДЕНЬ_ЧАС!F91,БАЛАНС_ДЕНЬ_ЧАС!F99,БАЛАНС_ДЕНЬ_ЧАС!F107,БАЛАНС_ДЕНЬ_ЧАС!F115,БАЛАНС_ДЕНЬ_ЧАС!F123,БАЛАНС_ДЕНЬ_ЧАС!F131,БАЛАНС_ДЕНЬ_ЧАС!F139,БАЛАНС_ДЕНЬ_ЧАС!F147,БАЛАНС_ДЕНЬ_ЧАС!F155,БАЛАНС_ДЕНЬ_ЧАС!F163,БАЛАНС_ДЕНЬ_ЧАС!F171,БАЛАНС_ДЕНЬ_ЧАС!F179,БАЛАНС_ДЕНЬ_ЧАС!F187,БАЛАНС_ДЕНЬ_ЧАС!F195,БАЛАНС_ДЕНЬ_ЧАС!F203,БАЛАНС_ДЕНЬ_ЧАС!F211,БАЛАНС_ДЕНЬ_ЧАС!F219,БАЛАНС_ДЕНЬ_ЧАС!F227,БАЛАНС_ДЕНЬ_ЧАС!F235,БАЛАНС_ДЕНЬ_ЧАС!F243,БАЛАНС_ДЕНЬ_ЧАС!F251,БАЛАНС_ДЕНЬ_ЧАС!F259,БАЛАНС_ДЕНЬ_ЧАС!F267,БАЛАНС_ДЕНЬ_ЧАС!F275,БАЛАНС_ДЕНЬ_ЧАС!F283,БАЛАНС_ДЕНЬ_ЧАС!F291,БАЛАНС_ДЕНЬ_ЧАС!F299,БАЛАНС_ДЕНЬ_ЧАС!F307,БАЛАНС_ДЕНЬ_ЧАС!F315,БАЛАНС_ДЕНЬ_ЧАС!F323,БАЛАНС_ДЕНЬ_ЧАС!F331,БАЛАНС_ДЕНЬ_ЧАС!F339,БАЛАНС_ДЕНЬ_ЧАС!F347,БАЛАНС_ДЕНЬ_ЧАС!F355,БАЛАНС_ДЕНЬ_ЧАС!F363,БАЛАНС_ДЕНЬ_ЧАС!F371,БАЛАНС_ДЕНЬ_ЧАС!F379,БАЛАНС_ДЕНЬ_ЧАС!F387,БАЛАНС_ДЕНЬ_ЧАС!F395,БАЛАНС_ДЕНЬ_ЧАС!F403,БАЛАНС_ДЕНЬ_ЧАС!F411,БАЛАНС_ДЕНЬ_ЧАС!F419,БАЛАНС_ДЕНЬ_ЧАС!F427,БАЛАНС_ДЕНЬ_ЧАС!F435,БАЛАНС_ДЕНЬ_ЧАС!F443,БАЛАНС_ДЕНЬ_ЧАС!F451,БАЛАНС_ДЕНЬ_ЧАС!F459,БАЛАНС_ДЕНЬ_ЧАС!F467,БАЛАНС_ДЕНЬ_ЧАС!F475,БАЛАНС_ДЕНЬ_ЧАС!F483,БАЛАНС_ДЕНЬ_ЧАС!F491,БАЛАНС_ДЕНЬ_ЧАС!F499,БАЛАНС_ДЕНЬ_ЧАС!F507,БАЛАНС_ДЕНЬ_ЧАС!F515,БАЛАНС_ДЕНЬ_ЧАС!F523,БАЛАНС_ДЕНЬ_ЧАС!F531,БАЛАНС_ДЕНЬ_ЧАС!F539,БАЛАНС_ДЕНЬ_ЧАС!F547,БАЛАНС_ДЕНЬ_ЧАС!F555,БАЛАНС_ДЕНЬ_ЧАС!F563,БАЛАНС_ДЕНЬ_ЧАС!F571,БАЛАНС_ДЕНЬ_ЧАС!F579,БАЛАНС_ДЕНЬ_ЧАС!F587,БАЛАНС_ДЕНЬ_ЧАС!F595,БАЛАНС_ДЕНЬ_ЧАС!F603,БАЛАНС_ДЕНЬ_ЧАС!F611,БАЛАНС_ДЕНЬ_ЧАС!F619,БАЛАНС_ДЕНЬ_ЧАС!F627,БАЛАНС_ДЕНЬ_ЧАС!F635,БАЛАНС_ДЕНЬ_ЧАС!F643,БАЛАНС_ДЕНЬ_ЧАС!F651,БАЛАНС_ДЕНЬ_ЧАС!F659,БАЛАНС_ДЕНЬ_ЧАС!F667,БАЛАНС_ДЕНЬ_ЧАС!F675,БАЛАНС_ДЕНЬ_ЧАС!F683,БАЛАНС_ДЕНЬ_ЧАС!F691,БАЛАНС_ДЕНЬ_ЧАС!F699,БАЛАНС_ДЕНЬ_ЧАС!F707,БАЛАНС_ДЕНЬ_ЧАС!F715,БАЛАНС_ДЕНЬ_ЧАС!F723,БАЛАНС_ДЕНЬ_ЧАС!F731,БАЛАНС_ДЕНЬ_ЧАС!F739,БАЛАНС_ДЕНЬ_ЧАС!F747,БАЛАНС_ДЕНЬ_ЧАС!F755,БАЛАНС_ДЕНЬ_ЧАС!F763,БАЛАНС_ДЕНЬ_ЧАС!F771,БАЛАНС_ДЕНЬ_ЧАС!F779,БАЛАНС_ДЕНЬ_ЧАС!F787,БАЛАНС_ДЕНЬ_ЧАС!F795,БАЛАНС_ДЕНЬ_ЧАС!F803,БАЛАНС_ДЕНЬ_ЧАС!F811,БАЛАНС_ДЕНЬ_ЧАС!F819,БАЛАНС_ДЕНЬ_ЧАС!F827,БАЛАНС_ДЕНЬ_ЧАС!F835,БАЛАНС_ДЕНЬ_ЧАС!F843)</f>
        <v>8.899</v>
      </c>
      <c r="K14" s="12" t="n">
        <f aca="false">ПАРАМЕТРЫ!D20</f>
        <v>25</v>
      </c>
      <c r="L14" s="12" t="n">
        <f aca="false">MAX(БАЛАНС_ДЕНЬ_ЧАС!I11,БАЛАНС_ДЕНЬ_ЧАС!I19,БАЛАНС_ДЕНЬ_ЧАС!I27,БАЛАНС_ДЕНЬ_ЧАС!I35,БАЛАНС_ДЕНЬ_ЧАС!I43,БАЛАНС_ДЕНЬ_ЧАС!I51,БАЛАНС_ДЕНЬ_ЧАС!I59,БАЛАНС_ДЕНЬ_ЧАС!I67,БАЛАНС_ДЕНЬ_ЧАС!I75,БАЛАНС_ДЕНЬ_ЧАС!I83,БАЛАНС_ДЕНЬ_ЧАС!I91,БАЛАНС_ДЕНЬ_ЧАС!I99,БАЛАНС_ДЕНЬ_ЧАС!I107,БАЛАНС_ДЕНЬ_ЧАС!I115,БАЛАНС_ДЕНЬ_ЧАС!I123,БАЛАНС_ДЕНЬ_ЧАС!I131,БАЛАНС_ДЕНЬ_ЧАС!I139,БАЛАНС_ДЕНЬ_ЧАС!I147,БАЛАНС_ДЕНЬ_ЧАС!I155,БАЛАНС_ДЕНЬ_ЧАС!I163,БАЛАНС_ДЕНЬ_ЧАС!I171,БАЛАНС_ДЕНЬ_ЧАС!I179,БАЛАНС_ДЕНЬ_ЧАС!I187,БАЛАНС_ДЕНЬ_ЧАС!I195,БАЛАНС_ДЕНЬ_ЧАС!I203,БАЛАНС_ДЕНЬ_ЧАС!I211,БАЛАНС_ДЕНЬ_ЧАС!I219,БАЛАНС_ДЕНЬ_ЧАС!I227,БАЛАНС_ДЕНЬ_ЧАС!I235,БАЛАНС_ДЕНЬ_ЧАС!I243,БАЛАНС_ДЕНЬ_ЧАС!I251,БАЛАНС_ДЕНЬ_ЧАС!I259,БАЛАНС_ДЕНЬ_ЧАС!I267,БАЛАНС_ДЕНЬ_ЧАС!I275,БАЛАНС_ДЕНЬ_ЧАС!I283,БАЛАНС_ДЕНЬ_ЧАС!I291,БАЛАНС_ДЕНЬ_ЧАС!I299,БАЛАНС_ДЕНЬ_ЧАС!I307,БАЛАНС_ДЕНЬ_ЧАС!I315,БАЛАНС_ДЕНЬ_ЧАС!I323,БАЛАНС_ДЕНЬ_ЧАС!I331,БАЛАНС_ДЕНЬ_ЧАС!I339,БАЛАНС_ДЕНЬ_ЧАС!I347,БАЛАНС_ДЕНЬ_ЧАС!I355,БАЛАНС_ДЕНЬ_ЧАС!I363,БАЛАНС_ДЕНЬ_ЧАС!I371,БАЛАНС_ДЕНЬ_ЧАС!I379,БАЛАНС_ДЕНЬ_ЧАС!I387,БАЛАНС_ДЕНЬ_ЧАС!I395,БАЛАНС_ДЕНЬ_ЧАС!I403,БАЛАНС_ДЕНЬ_ЧАС!I411,БАЛАНС_ДЕНЬ_ЧАС!I419,БАЛАНС_ДЕНЬ_ЧАС!I427,БАЛАНС_ДЕНЬ_ЧАС!I435,БАЛАНС_ДЕНЬ_ЧАС!I443,БАЛАНС_ДЕНЬ_ЧАС!I451,БАЛАНС_ДЕНЬ_ЧАС!I459,БАЛАНС_ДЕНЬ_ЧАС!I467,БАЛАНС_ДЕНЬ_ЧАС!I475,БАЛАНС_ДЕНЬ_ЧАС!I483,БАЛАНС_ДЕНЬ_ЧАС!I491,БАЛАНС_ДЕНЬ_ЧАС!I499,БАЛАНС_ДЕНЬ_ЧАС!I507,БАЛАНС_ДЕНЬ_ЧАС!I515,БАЛАНС_ДЕНЬ_ЧАС!I523,БАЛАНС_ДЕНЬ_ЧАС!I531,БАЛАНС_ДЕНЬ_ЧАС!I539,БАЛАНС_ДЕНЬ_ЧАС!I547,БАЛАНС_ДЕНЬ_ЧАС!I555,БАЛАНС_ДЕНЬ_ЧАС!I563,БАЛАНС_ДЕНЬ_ЧАС!I571,БАЛАНС_ДЕНЬ_ЧАС!I579,БАЛАНС_ДЕНЬ_ЧАС!I587,БАЛАНС_ДЕНЬ_ЧАС!I595,БАЛАНС_ДЕНЬ_ЧАС!I603,БАЛАНС_ДЕНЬ_ЧАС!I611,БАЛАНС_ДЕНЬ_ЧАС!I619,БАЛАНС_ДЕНЬ_ЧАС!I627,БАЛАНС_ДЕНЬ_ЧАС!I635,БАЛАНС_ДЕНЬ_ЧАС!I643,БАЛАНС_ДЕНЬ_ЧАС!I651,БАЛАНС_ДЕНЬ_ЧАС!I659,БАЛАНС_ДЕНЬ_ЧАС!I667,БАЛАНС_ДЕНЬ_ЧАС!I675,БАЛАНС_ДЕНЬ_ЧАС!I683,БАЛАНС_ДЕНЬ_ЧАС!I691,БАЛАНС_ДЕНЬ_ЧАС!I699,БАЛАНС_ДЕНЬ_ЧАС!I707,БАЛАНС_ДЕНЬ_ЧАС!I715,БАЛАНС_ДЕНЬ_ЧАС!I723,БАЛАНС_ДЕНЬ_ЧАС!I731,БАЛАНС_ДЕНЬ_ЧАС!I739,БАЛАНС_ДЕНЬ_ЧАС!I747,БАЛАНС_ДЕНЬ_ЧАС!I755,БАЛАНС_ДЕНЬ_ЧАС!I763,БАЛАНС_ДЕНЬ_ЧАС!I771,БАЛАНС_ДЕНЬ_ЧАС!I779,БАЛАНС_ДЕНЬ_ЧАС!I787,БАЛАНС_ДЕНЬ_ЧАС!I795,БАЛАНС_ДЕНЬ_ЧАС!I803,БАЛАНС_ДЕНЬ_ЧАС!I811,БАЛАНС_ДЕНЬ_ЧАС!I819,БАЛАНС_ДЕНЬ_ЧАС!I827,БАЛАНС_ДЕНЬ_ЧАС!I835,БАЛАНС_ДЕНЬ_ЧАС!I843)</f>
        <v>10</v>
      </c>
      <c r="M14" s="12" t="n">
        <f aca="false">MAX(БАЛАНС_ДЕНЬ_ЧАС!J11,БАЛАНС_ДЕНЬ_ЧАС!J19,БАЛАНС_ДЕНЬ_ЧАС!J27,БАЛАНС_ДЕНЬ_ЧАС!J35,БАЛАНС_ДЕНЬ_ЧАС!J43,БАЛАНС_ДЕНЬ_ЧАС!J51,БАЛАНС_ДЕНЬ_ЧАС!J59,БАЛАНС_ДЕНЬ_ЧАС!J67,БАЛАНС_ДЕНЬ_ЧАС!J75,БАЛАНС_ДЕНЬ_ЧАС!J83,БАЛАНС_ДЕНЬ_ЧАС!J91,БАЛАНС_ДЕНЬ_ЧАС!J99,БАЛАНС_ДЕНЬ_ЧАС!J107,БАЛАНС_ДЕНЬ_ЧАС!J115,БАЛАНС_ДЕНЬ_ЧАС!J123,БАЛАНС_ДЕНЬ_ЧАС!J131,БАЛАНС_ДЕНЬ_ЧАС!J139,БАЛАНС_ДЕНЬ_ЧАС!J147,БАЛАНС_ДЕНЬ_ЧАС!J155,БАЛАНС_ДЕНЬ_ЧАС!J163,БАЛАНС_ДЕНЬ_ЧАС!J171,БАЛАНС_ДЕНЬ_ЧАС!J179,БАЛАНС_ДЕНЬ_ЧАС!J187,БАЛАНС_ДЕНЬ_ЧАС!J195,БАЛАНС_ДЕНЬ_ЧАС!J203,БАЛАНС_ДЕНЬ_ЧАС!J211,БАЛАНС_ДЕНЬ_ЧАС!J219,БАЛАНС_ДЕНЬ_ЧАС!J227,БАЛАНС_ДЕНЬ_ЧАС!J235,БАЛАНС_ДЕНЬ_ЧАС!J243,БАЛАНС_ДЕНЬ_ЧАС!J251,БАЛАНС_ДЕНЬ_ЧАС!J259,БАЛАНС_ДЕНЬ_ЧАС!J267,БАЛАНС_ДЕНЬ_ЧАС!J275,БАЛАНС_ДЕНЬ_ЧАС!J283,БАЛАНС_ДЕНЬ_ЧАС!J291,БАЛАНС_ДЕНЬ_ЧАС!J299,БАЛАНС_ДЕНЬ_ЧАС!J307,БАЛАНС_ДЕНЬ_ЧАС!J315,БАЛАНС_ДЕНЬ_ЧАС!J323,БАЛАНС_ДЕНЬ_ЧАС!J331,БАЛАНС_ДЕНЬ_ЧАС!J339,БАЛАНС_ДЕНЬ_ЧАС!J347,БАЛАНС_ДЕНЬ_ЧАС!J355,БАЛАНС_ДЕНЬ_ЧАС!J363,БАЛАНС_ДЕНЬ_ЧАС!J371,БАЛАНС_ДЕНЬ_ЧАС!J379,БАЛАНС_ДЕНЬ_ЧАС!J387,БАЛАНС_ДЕНЬ_ЧАС!J395,БАЛАНС_ДЕНЬ_ЧАС!J403,БАЛАНС_ДЕНЬ_ЧАС!J411,БАЛАНС_ДЕНЬ_ЧАС!J419,БАЛАНС_ДЕНЬ_ЧАС!J427,БАЛАНС_ДЕНЬ_ЧАС!J435,БАЛАНС_ДЕНЬ_ЧАС!J443,БАЛАНС_ДЕНЬ_ЧАС!J451,БАЛАНС_ДЕНЬ_ЧАС!J459,БАЛАНС_ДЕНЬ_ЧАС!J467,БАЛАНС_ДЕНЬ_ЧАС!J475,БАЛАНС_ДЕНЬ_ЧАС!J483,БАЛАНС_ДЕНЬ_ЧАС!J491,БАЛАНС_ДЕНЬ_ЧАС!J499,БАЛАНС_ДЕНЬ_ЧАС!J507,БАЛАНС_ДЕНЬ_ЧАС!J515,БАЛАНС_ДЕНЬ_ЧАС!J523,БАЛАНС_ДЕНЬ_ЧАС!J531,БАЛАНС_ДЕНЬ_ЧАС!J539,БАЛАНС_ДЕНЬ_ЧАС!J547,БАЛАНС_ДЕНЬ_ЧАС!J555,БАЛАНС_ДЕНЬ_ЧАС!J563,БАЛАНС_ДЕНЬ_ЧАС!J571,БАЛАНС_ДЕНЬ_ЧАС!J579,БАЛАНС_ДЕНЬ_ЧАС!J587,БАЛАНС_ДЕНЬ_ЧАС!J595,БАЛАНС_ДЕНЬ_ЧАС!J603,БАЛАНС_ДЕНЬ_ЧАС!J611,БАЛАНС_ДЕНЬ_ЧАС!J619,БАЛАНС_ДЕНЬ_ЧАС!J627,БАЛАНС_ДЕНЬ_ЧАС!J635,БАЛАНС_ДЕНЬ_ЧАС!J643,БАЛАНС_ДЕНЬ_ЧАС!J651,БАЛАНС_ДЕНЬ_ЧАС!J659,БАЛАНС_ДЕНЬ_ЧАС!J667,БАЛАНС_ДЕНЬ_ЧАС!J675,БАЛАНС_ДЕНЬ_ЧАС!J683,БАЛАНС_ДЕНЬ_ЧАС!J691,БАЛАНС_ДЕНЬ_ЧАС!J699,БАЛАНС_ДЕНЬ_ЧАС!J707,БАЛАНС_ДЕНЬ_ЧАС!J715,БАЛАНС_ДЕНЬ_ЧАС!J723,БАЛАНС_ДЕНЬ_ЧАС!J731,БАЛАНС_ДЕНЬ_ЧАС!J739,БАЛАНС_ДЕНЬ_ЧАС!J747,БАЛАНС_ДЕНЬ_ЧАС!J755,БАЛАНС_ДЕНЬ_ЧАС!J763,БАЛАНС_ДЕНЬ_ЧАС!J771,БАЛАНС_ДЕНЬ_ЧАС!J779,БАЛАНС_ДЕНЬ_ЧАС!J787,БАЛАНС_ДЕНЬ_ЧАС!J795,БАЛАНС_ДЕНЬ_ЧАС!J803,БАЛАНС_ДЕНЬ_ЧАС!J811,БАЛАНС_ДЕНЬ_ЧАС!J819,БАЛАНС_ДЕНЬ_ЧАС!J827,БАЛАНС_ДЕНЬ_ЧАС!J835,БАЛАНС_ДЕНЬ_ЧАС!J843)</f>
        <v>10</v>
      </c>
      <c r="N14" s="12" t="n">
        <f aca="false">MAX(БАЛАНС_ДЕНЬ_ЧАС!K11,БАЛАНС_ДЕНЬ_ЧАС!K19,БАЛАНС_ДЕНЬ_ЧАС!K27,БАЛАНС_ДЕНЬ_ЧАС!K35,БАЛАНС_ДЕНЬ_ЧАС!K43,БАЛАНС_ДЕНЬ_ЧАС!K51,БАЛАНС_ДЕНЬ_ЧАС!K59,БАЛАНС_ДЕНЬ_ЧАС!K67,БАЛАНС_ДЕНЬ_ЧАС!K75,БАЛАНС_ДЕНЬ_ЧАС!K83,БАЛАНС_ДЕНЬ_ЧАС!K91,БАЛАНС_ДЕНЬ_ЧАС!K99,БАЛАНС_ДЕНЬ_ЧАС!K107,БАЛАНС_ДЕНЬ_ЧАС!K115,БАЛАНС_ДЕНЬ_ЧАС!K123,БАЛАНС_ДЕНЬ_ЧАС!K131,БАЛАНС_ДЕНЬ_ЧАС!K139,БАЛАНС_ДЕНЬ_ЧАС!K147,БАЛАНС_ДЕНЬ_ЧАС!K155,БАЛАНС_ДЕНЬ_ЧАС!K163,БАЛАНС_ДЕНЬ_ЧАС!K171,БАЛАНС_ДЕНЬ_ЧАС!K179,БАЛАНС_ДЕНЬ_ЧАС!K187,БАЛАНС_ДЕНЬ_ЧАС!K195,БАЛАНС_ДЕНЬ_ЧАС!K203,БАЛАНС_ДЕНЬ_ЧАС!K211,БАЛАНС_ДЕНЬ_ЧАС!K219,БАЛАНС_ДЕНЬ_ЧАС!K227,БАЛАНС_ДЕНЬ_ЧАС!K235,БАЛАНС_ДЕНЬ_ЧАС!K243,БАЛАНС_ДЕНЬ_ЧАС!K251,БАЛАНС_ДЕНЬ_ЧАС!K259,БАЛАНС_ДЕНЬ_ЧАС!K267,БАЛАНС_ДЕНЬ_ЧАС!K275,БАЛАНС_ДЕНЬ_ЧАС!K283,БАЛАНС_ДЕНЬ_ЧАС!K291,БАЛАНС_ДЕНЬ_ЧАС!K299,БАЛАНС_ДЕНЬ_ЧАС!K307,БАЛАНС_ДЕНЬ_ЧАС!K315,БАЛАНС_ДЕНЬ_ЧАС!K323,БАЛАНС_ДЕНЬ_ЧАС!K331,БАЛАНС_ДЕНЬ_ЧАС!K339,БАЛАНС_ДЕНЬ_ЧАС!K347,БАЛАНС_ДЕНЬ_ЧАС!K355,БАЛАНС_ДЕНЬ_ЧАС!K363,БАЛАНС_ДЕНЬ_ЧАС!K371,БАЛАНС_ДЕНЬ_ЧАС!K379,БАЛАНС_ДЕНЬ_ЧАС!K387,БАЛАНС_ДЕНЬ_ЧАС!K395,БАЛАНС_ДЕНЬ_ЧАС!K403,БАЛАНС_ДЕНЬ_ЧАС!K411,БАЛАНС_ДЕНЬ_ЧАС!K419,БАЛАНС_ДЕНЬ_ЧАС!K427,БАЛАНС_ДЕНЬ_ЧАС!K435,БАЛАНС_ДЕНЬ_ЧАС!K443,БАЛАНС_ДЕНЬ_ЧАС!K451,БАЛАНС_ДЕНЬ_ЧАС!K459,БАЛАНС_ДЕНЬ_ЧАС!K467,БАЛАНС_ДЕНЬ_ЧАС!K475,БАЛАНС_ДЕНЬ_ЧАС!K483,БАЛАНС_ДЕНЬ_ЧАС!K491,БАЛАНС_ДЕНЬ_ЧАС!K499,БАЛАНС_ДЕНЬ_ЧАС!K507,БАЛАНС_ДЕНЬ_ЧАС!K515,БАЛАНС_ДЕНЬ_ЧАС!K523,БАЛАНС_ДЕНЬ_ЧАС!K531,БАЛАНС_ДЕНЬ_ЧАС!K539,БАЛАНС_ДЕНЬ_ЧАС!K547,БАЛАНС_ДЕНЬ_ЧАС!K555,БАЛАНС_ДЕНЬ_ЧАС!K563,БАЛАНС_ДЕНЬ_ЧАС!K571,БАЛАНС_ДЕНЬ_ЧАС!K579,БАЛАНС_ДЕНЬ_ЧАС!K587,БАЛАНС_ДЕНЬ_ЧАС!K595,БАЛАНС_ДЕНЬ_ЧАС!K603,БАЛАНС_ДЕНЬ_ЧАС!K611,БАЛАНС_ДЕНЬ_ЧАС!K619,БАЛАНС_ДЕНЬ_ЧАС!K627,БАЛАНС_ДЕНЬ_ЧАС!K635,БАЛАНС_ДЕНЬ_ЧАС!K643,БАЛАНС_ДЕНЬ_ЧАС!K651,БАЛАНС_ДЕНЬ_ЧАС!K659,БАЛАНС_ДЕНЬ_ЧАС!K667,БАЛАНС_ДЕНЬ_ЧАС!K675,БАЛАНС_ДЕНЬ_ЧАС!K683,БАЛАНС_ДЕНЬ_ЧАС!K691,БАЛАНС_ДЕНЬ_ЧАС!K699,БАЛАНС_ДЕНЬ_ЧАС!K707,БАЛАНС_ДЕНЬ_ЧАС!K715,БАЛАНС_ДЕНЬ_ЧАС!K723,БАЛАНС_ДЕНЬ_ЧАС!K731,БАЛАНС_ДЕНЬ_ЧАС!K739,БАЛАНС_ДЕНЬ_ЧАС!K747,БАЛАНС_ДЕНЬ_ЧАС!K755,БАЛАНС_ДЕНЬ_ЧАС!K763,БАЛАНС_ДЕНЬ_ЧАС!K771,БАЛАНС_ДЕНЬ_ЧАС!K779,БАЛАНС_ДЕНЬ_ЧАС!K787,БАЛАНС_ДЕНЬ_ЧАС!K795,БАЛАНС_ДЕНЬ_ЧАС!K803,БАЛАНС_ДЕНЬ_ЧАС!K811,БАЛАНС_ДЕНЬ_ЧАС!K819,БАЛАНС_ДЕНЬ_ЧАС!K827,БАЛАНС_ДЕНЬ_ЧАС!K835,БАЛАНС_ДЕНЬ_ЧАС!K843)</f>
        <v>0</v>
      </c>
      <c r="O14" s="11" t="str">
        <f aca="false">IF(N14&gt;0,"BLOCKED","PASS")</f>
        <v>PASS</v>
      </c>
      <c r="P14" s="11" t="s">
        <v>145</v>
      </c>
    </row>
    <row r="15" customFormat="false" ht="15" hidden="false" customHeight="false" outlineLevel="0" collapsed="false">
      <c r="A15" s="11" t="n">
        <v>5</v>
      </c>
      <c r="B15" s="11" t="s">
        <v>78</v>
      </c>
      <c r="C15" s="11" t="s">
        <v>157</v>
      </c>
      <c r="D15" s="11" t="s">
        <v>77</v>
      </c>
      <c r="E15" s="12" t="n">
        <v>100</v>
      </c>
      <c r="F15" s="12" t="n">
        <f aca="false">SUMIF(СПРОС_ДЕНЬ_ЧАС_МЕНЮ!$C$11:$C$3265,A15,СПРОС_ДЕНЬ_ЧАС_МЕНЮ!$I$11:$I$3265)</f>
        <v>53.097</v>
      </c>
      <c r="G15" s="12" t="n">
        <f aca="false">MAX(СПРОС_ДЕНЬ_ЧАС_МЕНЮ!I15,СПРОС_ДЕНЬ_ЧАС_МЕНЮ!I46,СПРОС_ДЕНЬ_ЧАС_МЕНЮ!I77,СПРОС_ДЕНЬ_ЧАС_МЕНЮ!I108,СПРОС_ДЕНЬ_ЧАС_МЕНЮ!I139,СПРОС_ДЕНЬ_ЧАС_МЕНЮ!I170,СПРОС_ДЕНЬ_ЧАС_МЕНЮ!I201,СПРОС_ДЕНЬ_ЧАС_МЕНЮ!I232,СПРОС_ДЕНЬ_ЧАС_МЕНЮ!I263,СПРОС_ДЕНЬ_ЧАС_МЕНЮ!I294,СПРОС_ДЕНЬ_ЧАС_МЕНЮ!I325,СПРОС_ДЕНЬ_ЧАС_МЕНЮ!I356,СПРОС_ДЕНЬ_ЧАС_МЕНЮ!I387,СПРОС_ДЕНЬ_ЧАС_МЕНЮ!I418,СПРОС_ДЕНЬ_ЧАС_МЕНЮ!I449,СПРОС_ДЕНЬ_ЧАС_МЕНЮ!I480,СПРОС_ДЕНЬ_ЧАС_МЕНЮ!I511,СПРОС_ДЕНЬ_ЧАС_МЕНЮ!I542,СПРОС_ДЕНЬ_ЧАС_МЕНЮ!I573,СПРОС_ДЕНЬ_ЧАС_МЕНЮ!I604,СПРОС_ДЕНЬ_ЧАС_МЕНЮ!I635,СПРОС_ДЕНЬ_ЧАС_МЕНЮ!I666,СПРОС_ДЕНЬ_ЧАС_МЕНЮ!I697,СПРОС_ДЕНЬ_ЧАС_МЕНЮ!I728,СПРОС_ДЕНЬ_ЧАС_МЕНЮ!I759,СПРОС_ДЕНЬ_ЧАС_МЕНЮ!I790,СПРОС_ДЕНЬ_ЧАС_МЕНЮ!I821,СПРОС_ДЕНЬ_ЧАС_МЕНЮ!I852,СПРОС_ДЕНЬ_ЧАС_МЕНЮ!I883,СПРОС_ДЕНЬ_ЧАС_МЕНЮ!I914,СПРОС_ДЕНЬ_ЧАС_МЕНЮ!I945,СПРОС_ДЕНЬ_ЧАС_МЕНЮ!I976,СПРОС_ДЕНЬ_ЧАС_МЕНЮ!I1007,СПРОС_ДЕНЬ_ЧАС_МЕНЮ!I1038,СПРОС_ДЕНЬ_ЧАС_МЕНЮ!I1069,СПРОС_ДЕНЬ_ЧАС_МЕНЮ!I1100,СПРОС_ДЕНЬ_ЧАС_МЕНЮ!I1131,СПРОС_ДЕНЬ_ЧАС_МЕНЮ!I1162,СПРОС_ДЕНЬ_ЧАС_МЕНЮ!I1193,СПРОС_ДЕНЬ_ЧАС_МЕНЮ!I1224,СПРОС_ДЕНЬ_ЧАС_МЕНЮ!I1255,СПРОС_ДЕНЬ_ЧАС_МЕНЮ!I1286,СПРОС_ДЕНЬ_ЧАС_МЕНЮ!I1317,СПРОС_ДЕНЬ_ЧАС_МЕНЮ!I1348,СПРОС_ДЕНЬ_ЧАС_МЕНЮ!I1379,СПРОС_ДЕНЬ_ЧАС_МЕНЮ!I1410,СПРОС_ДЕНЬ_ЧАС_МЕНЮ!I1441,СПРОС_ДЕНЬ_ЧАС_МЕНЮ!I1472,СПРОС_ДЕНЬ_ЧАС_МЕНЮ!I1503,СПРОС_ДЕНЬ_ЧАС_МЕНЮ!I1534,СПРОС_ДЕНЬ_ЧАС_МЕНЮ!I1565,СПРОС_ДЕНЬ_ЧАС_МЕНЮ!I1596,СПРОС_ДЕНЬ_ЧАС_МЕНЮ!I1627,СПРОС_ДЕНЬ_ЧАС_МЕНЮ!I1658,СПРОС_ДЕНЬ_ЧАС_МЕНЮ!I1689,СПРОС_ДЕНЬ_ЧАС_МЕНЮ!I1720,СПРОС_ДЕНЬ_ЧАС_МЕНЮ!I1751,СПРОС_ДЕНЬ_ЧАС_МЕНЮ!I1782,СПРОС_ДЕНЬ_ЧАС_МЕНЮ!I1813,СПРОС_ДЕНЬ_ЧАС_МЕНЮ!I1844,СПРОС_ДЕНЬ_ЧАС_МЕНЮ!I1875,СПРОС_ДЕНЬ_ЧАС_МЕНЮ!I1906,СПРОС_ДЕНЬ_ЧАС_МЕНЮ!I1937,СПРОС_ДЕНЬ_ЧАС_МЕНЮ!I1968,СПРОС_ДЕНЬ_ЧАС_МЕНЮ!I1999,СПРОС_ДЕНЬ_ЧАС_МЕНЮ!I2030,СПРОС_ДЕНЬ_ЧАС_МЕНЮ!I2061,СПРОС_ДЕНЬ_ЧАС_МЕНЮ!I2092,СПРОС_ДЕНЬ_ЧАС_МЕНЮ!I2123,СПРОС_ДЕНЬ_ЧАС_МЕНЮ!I2154,СПРОС_ДЕНЬ_ЧАС_МЕНЮ!I2185,СПРОС_ДЕНЬ_ЧАС_МЕНЮ!I2216,СПРОС_ДЕНЬ_ЧАС_МЕНЮ!I2247,СПРОС_ДЕНЬ_ЧАС_МЕНЮ!I2278,СПРОС_ДЕНЬ_ЧАС_МЕНЮ!I2309,СПРОС_ДЕНЬ_ЧАС_МЕНЮ!I2340,СПРОС_ДЕНЬ_ЧАС_МЕНЮ!I2371,СПРОС_ДЕНЬ_ЧАС_МЕНЮ!I2402,СПРОС_ДЕНЬ_ЧАС_МЕНЮ!I2433,СПРОС_ДЕНЬ_ЧАС_МЕНЮ!I2464,СПРОС_ДЕНЬ_ЧАС_МЕНЮ!I2495,СПРОС_ДЕНЬ_ЧАС_МЕНЮ!I2526,СПРОС_ДЕНЬ_ЧАС_МЕНЮ!I2557,СПРОС_ДЕНЬ_ЧАС_МЕНЮ!I2588,СПРОС_ДЕНЬ_ЧАС_МЕНЮ!I2619,СПРОС_ДЕНЬ_ЧАС_МЕНЮ!I2650,СПРОС_ДЕНЬ_ЧАС_МЕНЮ!I2681,СПРОС_ДЕНЬ_ЧАС_МЕНЮ!I2712,СПРОС_ДЕНЬ_ЧАС_МЕНЮ!I2743,СПРОС_ДЕНЬ_ЧАС_МЕНЮ!I2774,СПРОС_ДЕНЬ_ЧАС_МЕНЮ!I2805,СПРОС_ДЕНЬ_ЧАС_МЕНЮ!I2836,СПРОС_ДЕНЬ_ЧАС_МЕНЮ!I2867,СПРОС_ДЕНЬ_ЧАС_МЕНЮ!I2898,СПРОС_ДЕНЬ_ЧАС_МЕНЮ!I2929,СПРОС_ДЕНЬ_ЧАС_МЕНЮ!I2960,СПРОС_ДЕНЬ_ЧАС_МЕНЮ!I2991,СПРОС_ДЕНЬ_ЧАС_МЕНЮ!I3022,СПРОС_ДЕНЬ_ЧАС_МЕНЮ!I3053,СПРОС_ДЕНЬ_ЧАС_МЕНЮ!I3084,СПРОС_ДЕНЬ_ЧАС_МЕНЮ!I3115,СПРОС_ДЕНЬ_ЧАС_МЕНЮ!I3146,СПРОС_ДЕНЬ_ЧАС_МЕНЮ!I3177,СПРОС_ДЕНЬ_ЧАС_МЕНЮ!I3208,СПРОС_ДЕНЬ_ЧАС_МЕНЮ!I3239)</f>
        <v>1.1297</v>
      </c>
      <c r="H15" s="12" t="s">
        <v>112</v>
      </c>
      <c r="I15" s="12" t="s">
        <v>137</v>
      </c>
      <c r="J15" s="12" t="n">
        <f aca="false">MAX(БАЛАНС_ДЕНЬ_ЧАС!F12,БАЛАНС_ДЕНЬ_ЧАС!F20,БАЛАНС_ДЕНЬ_ЧАС!F28,БАЛАНС_ДЕНЬ_ЧАС!F36,БАЛАНС_ДЕНЬ_ЧАС!F44,БАЛАНС_ДЕНЬ_ЧАС!F52,БАЛАНС_ДЕНЬ_ЧАС!F60,БАЛАНС_ДЕНЬ_ЧАС!F68,БАЛАНС_ДЕНЬ_ЧАС!F76,БАЛАНС_ДЕНЬ_ЧАС!F84,БАЛАНС_ДЕНЬ_ЧАС!F92,БАЛАНС_ДЕНЬ_ЧАС!F100,БАЛАНС_ДЕНЬ_ЧАС!F108,БАЛАНС_ДЕНЬ_ЧАС!F116,БАЛАНС_ДЕНЬ_ЧАС!F124,БАЛАНС_ДЕНЬ_ЧАС!F132,БАЛАНС_ДЕНЬ_ЧАС!F140,БАЛАНС_ДЕНЬ_ЧАС!F148,БАЛАНС_ДЕНЬ_ЧАС!F156,БАЛАНС_ДЕНЬ_ЧАС!F164,БАЛАНС_ДЕНЬ_ЧАС!F172,БАЛАНС_ДЕНЬ_ЧАС!F180,БАЛАНС_ДЕНЬ_ЧАС!F188,БАЛАНС_ДЕНЬ_ЧАС!F196,БАЛАНС_ДЕНЬ_ЧАС!F204,БАЛАНС_ДЕНЬ_ЧАС!F212,БАЛАНС_ДЕНЬ_ЧАС!F220,БАЛАНС_ДЕНЬ_ЧАС!F228,БАЛАНС_ДЕНЬ_ЧАС!F236,БАЛАНС_ДЕНЬ_ЧАС!F244,БАЛАНС_ДЕНЬ_ЧАС!F252,БАЛАНС_ДЕНЬ_ЧАС!F260,БАЛАНС_ДЕНЬ_ЧАС!F268,БАЛАНС_ДЕНЬ_ЧАС!F276,БАЛАНС_ДЕНЬ_ЧАС!F284,БАЛАНС_ДЕНЬ_ЧАС!F292,БАЛАНС_ДЕНЬ_ЧАС!F300,БАЛАНС_ДЕНЬ_ЧАС!F308,БАЛАНС_ДЕНЬ_ЧАС!F316,БАЛАНС_ДЕНЬ_ЧАС!F324,БАЛАНС_ДЕНЬ_ЧАС!F332,БАЛАНС_ДЕНЬ_ЧАС!F340,БАЛАНС_ДЕНЬ_ЧАС!F348,БАЛАНС_ДЕНЬ_ЧАС!F356,БАЛАНС_ДЕНЬ_ЧАС!F364,БАЛАНС_ДЕНЬ_ЧАС!F372,БАЛАНС_ДЕНЬ_ЧАС!F380,БАЛАНС_ДЕНЬ_ЧАС!F388,БАЛАНС_ДЕНЬ_ЧАС!F396,БАЛАНС_ДЕНЬ_ЧАС!F404,БАЛАНС_ДЕНЬ_ЧАС!F412,БАЛАНС_ДЕНЬ_ЧАС!F420,БАЛАНС_ДЕНЬ_ЧАС!F428,БАЛАНС_ДЕНЬ_ЧАС!F436,БАЛАНС_ДЕНЬ_ЧАС!F444,БАЛАНС_ДЕНЬ_ЧАС!F452,БАЛАНС_ДЕНЬ_ЧАС!F460,БАЛАНС_ДЕНЬ_ЧАС!F468,БАЛАНС_ДЕНЬ_ЧАС!F476,БАЛАНС_ДЕНЬ_ЧАС!F484,БАЛАНС_ДЕНЬ_ЧАС!F492,БАЛАНС_ДЕНЬ_ЧАС!F500,БАЛАНС_ДЕНЬ_ЧАС!F508,БАЛАНС_ДЕНЬ_ЧАС!F516,БАЛАНС_ДЕНЬ_ЧАС!F524,БАЛАНС_ДЕНЬ_ЧАС!F532,БАЛАНС_ДЕНЬ_ЧАС!F540,БАЛАНС_ДЕНЬ_ЧАС!F548,БАЛАНС_ДЕНЬ_ЧАС!F556,БАЛАНС_ДЕНЬ_ЧАС!F564,БАЛАНС_ДЕНЬ_ЧАС!F572,БАЛАНС_ДЕНЬ_ЧАС!F580,БАЛАНС_ДЕНЬ_ЧАС!F588,БАЛАНС_ДЕНЬ_ЧАС!F596,БАЛАНС_ДЕНЬ_ЧАС!F604,БАЛАНС_ДЕНЬ_ЧАС!F612,БАЛАНС_ДЕНЬ_ЧАС!F620,БАЛАНС_ДЕНЬ_ЧАС!F628,БАЛАНС_ДЕНЬ_ЧАС!F636,БАЛАНС_ДЕНЬ_ЧАС!F644,БАЛАНС_ДЕНЬ_ЧАС!F652,БАЛАНС_ДЕНЬ_ЧАС!F660,БАЛАНС_ДЕНЬ_ЧАС!F668,БАЛАНС_ДЕНЬ_ЧАС!F676,БАЛАНС_ДЕНЬ_ЧАС!F684,БАЛАНС_ДЕНЬ_ЧАС!F692,БАЛАНС_ДЕНЬ_ЧАС!F700,БАЛАНС_ДЕНЬ_ЧАС!F708,БАЛАНС_ДЕНЬ_ЧАС!F716,БАЛАНС_ДЕНЬ_ЧАС!F724,БАЛАНС_ДЕНЬ_ЧАС!F732,БАЛАНС_ДЕНЬ_ЧАС!F740,БАЛАНС_ДЕНЬ_ЧАС!F748,БАЛАНС_ДЕНЬ_ЧАС!F756,БАЛАНС_ДЕНЬ_ЧАС!F764,БАЛАНС_ДЕНЬ_ЧАС!F772,БАЛАНС_ДЕНЬ_ЧАС!F780,БАЛАНС_ДЕНЬ_ЧАС!F788,БАЛАНС_ДЕНЬ_ЧАС!F796,БАЛАНС_ДЕНЬ_ЧАС!F804,БАЛАНС_ДЕНЬ_ЧАС!F812,БАЛАНС_ДЕНЬ_ЧАС!F820,БАЛАНС_ДЕНЬ_ЧАС!F828,БАЛАНС_ДЕНЬ_ЧАС!F836,БАЛАНС_ДЕНЬ_ЧАС!F844)</f>
        <v>3.531</v>
      </c>
      <c r="K15" s="12" t="n">
        <f aca="false">ПАРАМЕТРЫ!D21</f>
        <v>20</v>
      </c>
      <c r="L15" s="12" t="n">
        <f aca="false">MAX(БАЛАНС_ДЕНЬ_ЧАС!I12,БАЛАНС_ДЕНЬ_ЧАС!I20,БАЛАНС_ДЕНЬ_ЧАС!I28,БАЛАНС_ДЕНЬ_ЧАС!I36,БАЛАНС_ДЕНЬ_ЧАС!I44,БАЛАНС_ДЕНЬ_ЧАС!I52,БАЛАНС_ДЕНЬ_ЧАС!I60,БАЛАНС_ДЕНЬ_ЧАС!I68,БАЛАНС_ДЕНЬ_ЧАС!I76,БАЛАНС_ДЕНЬ_ЧАС!I84,БАЛАНС_ДЕНЬ_ЧАС!I92,БАЛАНС_ДЕНЬ_ЧАС!I100,БАЛАНС_ДЕНЬ_ЧАС!I108,БАЛАНС_ДЕНЬ_ЧАС!I116,БАЛАНС_ДЕНЬ_ЧАС!I124,БАЛАНС_ДЕНЬ_ЧАС!I132,БАЛАНС_ДЕНЬ_ЧАС!I140,БАЛАНС_ДЕНЬ_ЧАС!I148,БАЛАНС_ДЕНЬ_ЧАС!I156,БАЛАНС_ДЕНЬ_ЧАС!I164,БАЛАНС_ДЕНЬ_ЧАС!I172,БАЛАНС_ДЕНЬ_ЧАС!I180,БАЛАНС_ДЕНЬ_ЧАС!I188,БАЛАНС_ДЕНЬ_ЧАС!I196,БАЛАНС_ДЕНЬ_ЧАС!I204,БАЛАНС_ДЕНЬ_ЧАС!I212,БАЛАНС_ДЕНЬ_ЧАС!I220,БАЛАНС_ДЕНЬ_ЧАС!I228,БАЛАНС_ДЕНЬ_ЧАС!I236,БАЛАНС_ДЕНЬ_ЧАС!I244,БАЛАНС_ДЕНЬ_ЧАС!I252,БАЛАНС_ДЕНЬ_ЧАС!I260,БАЛАНС_ДЕНЬ_ЧАС!I268,БАЛАНС_ДЕНЬ_ЧАС!I276,БАЛАНС_ДЕНЬ_ЧАС!I284,БАЛАНС_ДЕНЬ_ЧАС!I292,БАЛАНС_ДЕНЬ_ЧАС!I300,БАЛАНС_ДЕНЬ_ЧАС!I308,БАЛАНС_ДЕНЬ_ЧАС!I316,БАЛАНС_ДЕНЬ_ЧАС!I324,БАЛАНС_ДЕНЬ_ЧАС!I332,БАЛАНС_ДЕНЬ_ЧАС!I340,БАЛАНС_ДЕНЬ_ЧАС!I348,БАЛАНС_ДЕНЬ_ЧАС!I356,БАЛАНС_ДЕНЬ_ЧАС!I364,БАЛАНС_ДЕНЬ_ЧАС!I372,БАЛАНС_ДЕНЬ_ЧАС!I380,БАЛАНС_ДЕНЬ_ЧАС!I388,БАЛАНС_ДЕНЬ_ЧАС!I396,БАЛАНС_ДЕНЬ_ЧАС!I404,БАЛАНС_ДЕНЬ_ЧАС!I412,БАЛАНС_ДЕНЬ_ЧАС!I420,БАЛАНС_ДЕНЬ_ЧАС!I428,БАЛАНС_ДЕНЬ_ЧАС!I436,БАЛАНС_ДЕНЬ_ЧАС!I444,БАЛАНС_ДЕНЬ_ЧАС!I452,БАЛАНС_ДЕНЬ_ЧАС!I460,БАЛАНС_ДЕНЬ_ЧАС!I468,БАЛАНС_ДЕНЬ_ЧАС!I476,БАЛАНС_ДЕНЬ_ЧАС!I484,БАЛАНС_ДЕНЬ_ЧАС!I492,БАЛАНС_ДЕНЬ_ЧАС!I500,БАЛАНС_ДЕНЬ_ЧАС!I508,БАЛАНС_ДЕНЬ_ЧАС!I516,БАЛАНС_ДЕНЬ_ЧАС!I524,БАЛАНС_ДЕНЬ_ЧАС!I532,БАЛАНС_ДЕНЬ_ЧАС!I540,БАЛАНС_ДЕНЬ_ЧАС!I548,БАЛАНС_ДЕНЬ_ЧАС!I556,БАЛАНС_ДЕНЬ_ЧАС!I564,БАЛАНС_ДЕНЬ_ЧАС!I572,БАЛАНС_ДЕНЬ_ЧАС!I580,БАЛАНС_ДЕНЬ_ЧАС!I588,БАЛАНС_ДЕНЬ_ЧАС!I596,БАЛАНС_ДЕНЬ_ЧАС!I604,БАЛАНС_ДЕНЬ_ЧАС!I612,БАЛАНС_ДЕНЬ_ЧАС!I620,БАЛАНС_ДЕНЬ_ЧАС!I628,БАЛАНС_ДЕНЬ_ЧАС!I636,БАЛАНС_ДЕНЬ_ЧАС!I644,БАЛАНС_ДЕНЬ_ЧАС!I652,БАЛАНС_ДЕНЬ_ЧАС!I660,БАЛАНС_ДЕНЬ_ЧАС!I668,БАЛАНС_ДЕНЬ_ЧАС!I676,БАЛАНС_ДЕНЬ_ЧАС!I684,БАЛАНС_ДЕНЬ_ЧАС!I692,БАЛАНС_ДЕНЬ_ЧАС!I700,БАЛАНС_ДЕНЬ_ЧАС!I708,БАЛАНС_ДЕНЬ_ЧАС!I716,БАЛАНС_ДЕНЬ_ЧАС!I724,БАЛАНС_ДЕНЬ_ЧАС!I732,БАЛАНС_ДЕНЬ_ЧАС!I740,БАЛАНС_ДЕНЬ_ЧАС!I748,БАЛАНС_ДЕНЬ_ЧАС!I756,БАЛАНС_ДЕНЬ_ЧАС!I764,БАЛАНС_ДЕНЬ_ЧАС!I772,БАЛАНС_ДЕНЬ_ЧАС!I780,БАЛАНС_ДЕНЬ_ЧАС!I788,БАЛАНС_ДЕНЬ_ЧАС!I796,БАЛАНС_ДЕНЬ_ЧАС!I804,БАЛАНС_ДЕНЬ_ЧАС!I812,БАЛАНС_ДЕНЬ_ЧАС!I820,БАЛАНС_ДЕНЬ_ЧАС!I828,БАЛАНС_ДЕНЬ_ЧАС!I836,БАЛАНС_ДЕНЬ_ЧАС!I844)</f>
        <v>10</v>
      </c>
      <c r="M15" s="12" t="n">
        <f aca="false">MAX(БАЛАНС_ДЕНЬ_ЧАС!J12,БАЛАНС_ДЕНЬ_ЧАС!J20,БАЛАНС_ДЕНЬ_ЧАС!J28,БАЛАНС_ДЕНЬ_ЧАС!J36,БАЛАНС_ДЕНЬ_ЧАС!J44,БАЛАНС_ДЕНЬ_ЧАС!J52,БАЛАНС_ДЕНЬ_ЧАС!J60,БАЛАНС_ДЕНЬ_ЧАС!J68,БАЛАНС_ДЕНЬ_ЧАС!J76,БАЛАНС_ДЕНЬ_ЧАС!J84,БАЛАНС_ДЕНЬ_ЧАС!J92,БАЛАНС_ДЕНЬ_ЧАС!J100,БАЛАНС_ДЕНЬ_ЧАС!J108,БАЛАНС_ДЕНЬ_ЧАС!J116,БАЛАНС_ДЕНЬ_ЧАС!J124,БАЛАНС_ДЕНЬ_ЧАС!J132,БАЛАНС_ДЕНЬ_ЧАС!J140,БАЛАНС_ДЕНЬ_ЧАС!J148,БАЛАНС_ДЕНЬ_ЧАС!J156,БАЛАНС_ДЕНЬ_ЧАС!J164,БАЛАНС_ДЕНЬ_ЧАС!J172,БАЛАНС_ДЕНЬ_ЧАС!J180,БАЛАНС_ДЕНЬ_ЧАС!J188,БАЛАНС_ДЕНЬ_ЧАС!J196,БАЛАНС_ДЕНЬ_ЧАС!J204,БАЛАНС_ДЕНЬ_ЧАС!J212,БАЛАНС_ДЕНЬ_ЧАС!J220,БАЛАНС_ДЕНЬ_ЧАС!J228,БАЛАНС_ДЕНЬ_ЧАС!J236,БАЛАНС_ДЕНЬ_ЧАС!J244,БАЛАНС_ДЕНЬ_ЧАС!J252,БАЛАНС_ДЕНЬ_ЧАС!J260,БАЛАНС_ДЕНЬ_ЧАС!J268,БАЛАНС_ДЕНЬ_ЧАС!J276,БАЛАНС_ДЕНЬ_ЧАС!J284,БАЛАНС_ДЕНЬ_ЧАС!J292,БАЛАНС_ДЕНЬ_ЧАС!J300,БАЛАНС_ДЕНЬ_ЧАС!J308,БАЛАНС_ДЕНЬ_ЧАС!J316,БАЛАНС_ДЕНЬ_ЧАС!J324,БАЛАНС_ДЕНЬ_ЧАС!J332,БАЛАНС_ДЕНЬ_ЧАС!J340,БАЛАНС_ДЕНЬ_ЧАС!J348,БАЛАНС_ДЕНЬ_ЧАС!J356,БАЛАНС_ДЕНЬ_ЧАС!J364,БАЛАНС_ДЕНЬ_ЧАС!J372,БАЛАНС_ДЕНЬ_ЧАС!J380,БАЛАНС_ДЕНЬ_ЧАС!J388,БАЛАНС_ДЕНЬ_ЧАС!J396,БАЛАНС_ДЕНЬ_ЧАС!J404,БАЛАНС_ДЕНЬ_ЧАС!J412,БАЛАНС_ДЕНЬ_ЧАС!J420,БАЛАНС_ДЕНЬ_ЧАС!J428,БАЛАНС_ДЕНЬ_ЧАС!J436,БАЛАНС_ДЕНЬ_ЧАС!J444,БАЛАНС_ДЕНЬ_ЧАС!J452,БАЛАНС_ДЕНЬ_ЧАС!J460,БАЛАНС_ДЕНЬ_ЧАС!J468,БАЛАНС_ДЕНЬ_ЧАС!J476,БАЛАНС_ДЕНЬ_ЧАС!J484,БАЛАНС_ДЕНЬ_ЧАС!J492,БАЛАНС_ДЕНЬ_ЧАС!J500,БАЛАНС_ДЕНЬ_ЧАС!J508,БАЛАНС_ДЕНЬ_ЧАС!J516,БАЛАНС_ДЕНЬ_ЧАС!J524,БАЛАНС_ДЕНЬ_ЧАС!J532,БАЛАНС_ДЕНЬ_ЧАС!J540,БАЛАНС_ДЕНЬ_ЧАС!J548,БАЛАНС_ДЕНЬ_ЧАС!J556,БАЛАНС_ДЕНЬ_ЧАС!J564,БАЛАНС_ДЕНЬ_ЧАС!J572,БАЛАНС_ДЕНЬ_ЧАС!J580,БАЛАНС_ДЕНЬ_ЧАС!J588,БАЛАНС_ДЕНЬ_ЧАС!J596,БАЛАНС_ДЕНЬ_ЧАС!J604,БАЛАНС_ДЕНЬ_ЧАС!J612,БАЛАНС_ДЕНЬ_ЧАС!J620,БАЛАНС_ДЕНЬ_ЧАС!J628,БАЛАНС_ДЕНЬ_ЧАС!J636,БАЛАНС_ДЕНЬ_ЧАС!J644,БАЛАНС_ДЕНЬ_ЧАС!J652,БАЛАНС_ДЕНЬ_ЧАС!J660,БАЛАНС_ДЕНЬ_ЧАС!J668,БАЛАНС_ДЕНЬ_ЧАС!J676,БАЛАНС_ДЕНЬ_ЧАС!J684,БАЛАНС_ДЕНЬ_ЧАС!J692,БАЛАНС_ДЕНЬ_ЧАС!J700,БАЛАНС_ДЕНЬ_ЧАС!J708,БАЛАНС_ДЕНЬ_ЧАС!J716,БАЛАНС_ДЕНЬ_ЧАС!J724,БАЛАНС_ДЕНЬ_ЧАС!J732,БАЛАНС_ДЕНЬ_ЧАС!J740,БАЛАНС_ДЕНЬ_ЧАС!J748,БАЛАНС_ДЕНЬ_ЧАС!J756,БАЛАНС_ДЕНЬ_ЧАС!J764,БАЛАНС_ДЕНЬ_ЧАС!J772,БАЛАНС_ДЕНЬ_ЧАС!J780,БАЛАНС_ДЕНЬ_ЧАС!J788,БАЛАНС_ДЕНЬ_ЧАС!J796,БАЛАНС_ДЕНЬ_ЧАС!J804,БАЛАНС_ДЕНЬ_ЧАС!J812,БАЛАНС_ДЕНЬ_ЧАС!J820,БАЛАНС_ДЕНЬ_ЧАС!J828,БАЛАНС_ДЕНЬ_ЧАС!J836,БАЛАНС_ДЕНЬ_ЧАС!J844)</f>
        <v>10</v>
      </c>
      <c r="N15" s="12" t="n">
        <f aca="false">MAX(БАЛАНС_ДЕНЬ_ЧАС!K12,БАЛАНС_ДЕНЬ_ЧАС!K20,БАЛАНС_ДЕНЬ_ЧАС!K28,БАЛАНС_ДЕНЬ_ЧАС!K36,БАЛАНС_ДЕНЬ_ЧАС!K44,БАЛАНС_ДЕНЬ_ЧАС!K52,БАЛАНС_ДЕНЬ_ЧАС!K60,БАЛАНС_ДЕНЬ_ЧАС!K68,БАЛАНС_ДЕНЬ_ЧАС!K76,БАЛАНС_ДЕНЬ_ЧАС!K84,БАЛАНС_ДЕНЬ_ЧАС!K92,БАЛАНС_ДЕНЬ_ЧАС!K100,БАЛАНС_ДЕНЬ_ЧАС!K108,БАЛАНС_ДЕНЬ_ЧАС!K116,БАЛАНС_ДЕНЬ_ЧАС!K124,БАЛАНС_ДЕНЬ_ЧАС!K132,БАЛАНС_ДЕНЬ_ЧАС!K140,БАЛАНС_ДЕНЬ_ЧАС!K148,БАЛАНС_ДЕНЬ_ЧАС!K156,БАЛАНС_ДЕНЬ_ЧАС!K164,БАЛАНС_ДЕНЬ_ЧАС!K172,БАЛАНС_ДЕНЬ_ЧАС!K180,БАЛАНС_ДЕНЬ_ЧАС!K188,БАЛАНС_ДЕНЬ_ЧАС!K196,БАЛАНС_ДЕНЬ_ЧАС!K204,БАЛАНС_ДЕНЬ_ЧАС!K212,БАЛАНС_ДЕНЬ_ЧАС!K220,БАЛАНС_ДЕНЬ_ЧАС!K228,БАЛАНС_ДЕНЬ_ЧАС!K236,БАЛАНС_ДЕНЬ_ЧАС!K244,БАЛАНС_ДЕНЬ_ЧАС!K252,БАЛАНС_ДЕНЬ_ЧАС!K260,БАЛАНС_ДЕНЬ_ЧАС!K268,БАЛАНС_ДЕНЬ_ЧАС!K276,БАЛАНС_ДЕНЬ_ЧАС!K284,БАЛАНС_ДЕНЬ_ЧАС!K292,БАЛАНС_ДЕНЬ_ЧАС!K300,БАЛАНС_ДЕНЬ_ЧАС!K308,БАЛАНС_ДЕНЬ_ЧАС!K316,БАЛАНС_ДЕНЬ_ЧАС!K324,БАЛАНС_ДЕНЬ_ЧАС!K332,БАЛАНС_ДЕНЬ_ЧАС!K340,БАЛАНС_ДЕНЬ_ЧАС!K348,БАЛАНС_ДЕНЬ_ЧАС!K356,БАЛАНС_ДЕНЬ_ЧАС!K364,БАЛАНС_ДЕНЬ_ЧАС!K372,БАЛАНС_ДЕНЬ_ЧАС!K380,БАЛАНС_ДЕНЬ_ЧАС!K388,БАЛАНС_ДЕНЬ_ЧАС!K396,БАЛАНС_ДЕНЬ_ЧАС!K404,БАЛАНС_ДЕНЬ_ЧАС!K412,БАЛАНС_ДЕНЬ_ЧАС!K420,БАЛАНС_ДЕНЬ_ЧАС!K428,БАЛАНС_ДЕНЬ_ЧАС!K436,БАЛАНС_ДЕНЬ_ЧАС!K444,БАЛАНС_ДЕНЬ_ЧАС!K452,БАЛАНС_ДЕНЬ_ЧАС!K460,БАЛАНС_ДЕНЬ_ЧАС!K468,БАЛАНС_ДЕНЬ_ЧАС!K476,БАЛАНС_ДЕНЬ_ЧАС!K484,БАЛАНС_ДЕНЬ_ЧАС!K492,БАЛАНС_ДЕНЬ_ЧАС!K500,БАЛАНС_ДЕНЬ_ЧАС!K508,БАЛАНС_ДЕНЬ_ЧАС!K516,БАЛАНС_ДЕНЬ_ЧАС!K524,БАЛАНС_ДЕНЬ_ЧАС!K532,БАЛАНС_ДЕНЬ_ЧАС!K540,БАЛАНС_ДЕНЬ_ЧАС!K548,БАЛАНС_ДЕНЬ_ЧАС!K556,БАЛАНС_ДЕНЬ_ЧАС!K564,БАЛАНС_ДЕНЬ_ЧАС!K572,БАЛАНС_ДЕНЬ_ЧАС!K580,БАЛАНС_ДЕНЬ_ЧАС!K588,БАЛАНС_ДЕНЬ_ЧАС!K596,БАЛАНС_ДЕНЬ_ЧАС!K604,БАЛАНС_ДЕНЬ_ЧАС!K612,БАЛАНС_ДЕНЬ_ЧАС!K620,БАЛАНС_ДЕНЬ_ЧАС!K628,БАЛАНС_ДЕНЬ_ЧАС!K636,БАЛАНС_ДЕНЬ_ЧАС!K644,БАЛАНС_ДЕНЬ_ЧАС!K652,БАЛАНС_ДЕНЬ_ЧАС!K660,БАЛАНС_ДЕНЬ_ЧАС!K668,БАЛАНС_ДЕНЬ_ЧАС!K676,БАЛАНС_ДЕНЬ_ЧАС!K684,БАЛАНС_ДЕНЬ_ЧАС!K692,БАЛАНС_ДЕНЬ_ЧАС!K700,БАЛАНС_ДЕНЬ_ЧАС!K708,БАЛАНС_ДЕНЬ_ЧАС!K716,БАЛАНС_ДЕНЬ_ЧАС!K724,БАЛАНС_ДЕНЬ_ЧАС!K732,БАЛАНС_ДЕНЬ_ЧАС!K740,БАЛАНС_ДЕНЬ_ЧАС!K748,БАЛАНС_ДЕНЬ_ЧАС!K756,БАЛАНС_ДЕНЬ_ЧАС!K764,БАЛАНС_ДЕНЬ_ЧАС!K772,БАЛАНС_ДЕНЬ_ЧАС!K780,БАЛАНС_ДЕНЬ_ЧАС!K788,БАЛАНС_ДЕНЬ_ЧАС!K796,БАЛАНС_ДЕНЬ_ЧАС!K804,БАЛАНС_ДЕНЬ_ЧАС!K812,БАЛАНС_ДЕНЬ_ЧАС!K820,БАЛАНС_ДЕНЬ_ЧАС!K828,БАЛАНС_ДЕНЬ_ЧАС!K836,БАЛАНС_ДЕНЬ_ЧАС!K844)</f>
        <v>0</v>
      </c>
      <c r="O15" s="11" t="str">
        <f aca="false">IF(N15&gt;0,"BLOCKED","PASS")</f>
        <v>PASS</v>
      </c>
      <c r="P15" s="11" t="s">
        <v>147</v>
      </c>
    </row>
    <row r="16" customFormat="false" ht="15" hidden="false" customHeight="false" outlineLevel="0" collapsed="false">
      <c r="A16" s="11" t="n">
        <v>6</v>
      </c>
      <c r="B16" s="11" t="s">
        <v>78</v>
      </c>
      <c r="C16" s="11" t="s">
        <v>158</v>
      </c>
      <c r="D16" s="11" t="s">
        <v>77</v>
      </c>
      <c r="E16" s="12" t="n">
        <v>100</v>
      </c>
      <c r="F16" s="12" t="n">
        <f aca="false">SUMIF(СПРОС_ДЕНЬ_ЧАС_МЕНЮ!$C$11:$C$3265,A16,СПРОС_ДЕНЬ_ЧАС_МЕНЮ!$I$11:$I$3265)</f>
        <v>48.059</v>
      </c>
      <c r="G16" s="12" t="n">
        <f aca="false">MAX(СПРОС_ДЕНЬ_ЧАС_МЕНЮ!I16,СПРОС_ДЕНЬ_ЧАС_МЕНЮ!I47,СПРОС_ДЕНЬ_ЧАС_МЕНЮ!I78,СПРОС_ДЕНЬ_ЧАС_МЕНЮ!I109,СПРОС_ДЕНЬ_ЧАС_МЕНЮ!I140,СПРОС_ДЕНЬ_ЧАС_МЕНЮ!I171,СПРОС_ДЕНЬ_ЧАС_МЕНЮ!I202,СПРОС_ДЕНЬ_ЧАС_МЕНЮ!I233,СПРОС_ДЕНЬ_ЧАС_МЕНЮ!I264,СПРОС_ДЕНЬ_ЧАС_МЕНЮ!I295,СПРОС_ДЕНЬ_ЧАС_МЕНЮ!I326,СПРОС_ДЕНЬ_ЧАС_МЕНЮ!I357,СПРОС_ДЕНЬ_ЧАС_МЕНЮ!I388,СПРОС_ДЕНЬ_ЧАС_МЕНЮ!I419,СПРОС_ДЕНЬ_ЧАС_МЕНЮ!I450,СПРОС_ДЕНЬ_ЧАС_МЕНЮ!I481,СПРОС_ДЕНЬ_ЧАС_МЕНЮ!I512,СПРОС_ДЕНЬ_ЧАС_МЕНЮ!I543,СПРОС_ДЕНЬ_ЧАС_МЕНЮ!I574,СПРОС_ДЕНЬ_ЧАС_МЕНЮ!I605,СПРОС_ДЕНЬ_ЧАС_МЕНЮ!I636,СПРОС_ДЕНЬ_ЧАС_МЕНЮ!I667,СПРОС_ДЕНЬ_ЧАС_МЕНЮ!I698,СПРОС_ДЕНЬ_ЧАС_МЕНЮ!I729,СПРОС_ДЕНЬ_ЧАС_МЕНЮ!I760,СПРОС_ДЕНЬ_ЧАС_МЕНЮ!I791,СПРОС_ДЕНЬ_ЧАС_МЕНЮ!I822,СПРОС_ДЕНЬ_ЧАС_МЕНЮ!I853,СПРОС_ДЕНЬ_ЧАС_МЕНЮ!I884,СПРОС_ДЕНЬ_ЧАС_МЕНЮ!I915,СПРОС_ДЕНЬ_ЧАС_МЕНЮ!I946,СПРОС_ДЕНЬ_ЧАС_МЕНЮ!I977,СПРОС_ДЕНЬ_ЧАС_МЕНЮ!I1008,СПРОС_ДЕНЬ_ЧАС_МЕНЮ!I1039,СПРОС_ДЕНЬ_ЧАС_МЕНЮ!I1070,СПРОС_ДЕНЬ_ЧАС_МЕНЮ!I1101,СПРОС_ДЕНЬ_ЧАС_МЕНЮ!I1132,СПРОС_ДЕНЬ_ЧАС_МЕНЮ!I1163,СПРОС_ДЕНЬ_ЧАС_МЕНЮ!I1194,СПРОС_ДЕНЬ_ЧАС_МЕНЮ!I1225,СПРОС_ДЕНЬ_ЧАС_МЕНЮ!I1256,СПРОС_ДЕНЬ_ЧАС_МЕНЮ!I1287,СПРОС_ДЕНЬ_ЧАС_МЕНЮ!I1318,СПРОС_ДЕНЬ_ЧАС_МЕНЮ!I1349,СПРОС_ДЕНЬ_ЧАС_МЕНЮ!I1380,СПРОС_ДЕНЬ_ЧАС_МЕНЮ!I1411,СПРОС_ДЕНЬ_ЧАС_МЕНЮ!I1442,СПРОС_ДЕНЬ_ЧАС_МЕНЮ!I1473,СПРОС_ДЕНЬ_ЧАС_МЕНЮ!I1504,СПРОС_ДЕНЬ_ЧАС_МЕНЮ!I1535,СПРОС_ДЕНЬ_ЧАС_МЕНЮ!I1566,СПРОС_ДЕНЬ_ЧАС_МЕНЮ!I1597,СПРОС_ДЕНЬ_ЧАС_МЕНЮ!I1628,СПРОС_ДЕНЬ_ЧАС_МЕНЮ!I1659,СПРОС_ДЕНЬ_ЧАС_МЕНЮ!I1690,СПРОС_ДЕНЬ_ЧАС_МЕНЮ!I1721,СПРОС_ДЕНЬ_ЧАС_МЕНЮ!I1752,СПРОС_ДЕНЬ_ЧАС_МЕНЮ!I1783,СПРОС_ДЕНЬ_ЧАС_МЕНЮ!I1814,СПРОС_ДЕНЬ_ЧАС_МЕНЮ!I1845,СПРОС_ДЕНЬ_ЧАС_МЕНЮ!I1876,СПРОС_ДЕНЬ_ЧАС_МЕНЮ!I1907,СПРОС_ДЕНЬ_ЧАС_МЕНЮ!I1938,СПРОС_ДЕНЬ_ЧАС_МЕНЮ!I1969,СПРОС_ДЕНЬ_ЧАС_МЕНЮ!I2000,СПРОС_ДЕНЬ_ЧАС_МЕНЮ!I2031,СПРОС_ДЕНЬ_ЧАС_МЕНЮ!I2062,СПРОС_ДЕНЬ_ЧАС_МЕНЮ!I2093,СПРОС_ДЕНЬ_ЧАС_МЕНЮ!I2124,СПРОС_ДЕНЬ_ЧАС_МЕНЮ!I2155,СПРОС_ДЕНЬ_ЧАС_МЕНЮ!I2186,СПРОС_ДЕНЬ_ЧАС_МЕНЮ!I2217,СПРОС_ДЕНЬ_ЧАС_МЕНЮ!I2248,СПРОС_ДЕНЬ_ЧАС_МЕНЮ!I2279,СПРОС_ДЕНЬ_ЧАС_МЕНЮ!I2310,СПРОС_ДЕНЬ_ЧАС_МЕНЮ!I2341,СПРОС_ДЕНЬ_ЧАС_МЕНЮ!I2372,СПРОС_ДЕНЬ_ЧАС_МЕНЮ!I2403,СПРОС_ДЕНЬ_ЧАС_МЕНЮ!I2434,СПРОС_ДЕНЬ_ЧАС_МЕНЮ!I2465,СПРОС_ДЕНЬ_ЧАС_МЕНЮ!I2496,СПРОС_ДЕНЬ_ЧАС_МЕНЮ!I2527,СПРОС_ДЕНЬ_ЧАС_МЕНЮ!I2558,СПРОС_ДЕНЬ_ЧАС_МЕНЮ!I2589,СПРОС_ДЕНЬ_ЧАС_МЕНЮ!I2620,СПРОС_ДЕНЬ_ЧАС_МЕНЮ!I2651,СПРОС_ДЕНЬ_ЧАС_МЕНЮ!I2682,СПРОС_ДЕНЬ_ЧАС_МЕНЮ!I2713,СПРОС_ДЕНЬ_ЧАС_МЕНЮ!I2744,СПРОС_ДЕНЬ_ЧАС_МЕНЮ!I2775,СПРОС_ДЕНЬ_ЧАС_МЕНЮ!I2806,СПРОС_ДЕНЬ_ЧАС_МЕНЮ!I2837,СПРОС_ДЕНЬ_ЧАС_МЕНЮ!I2868,СПРОС_ДЕНЬ_ЧАС_МЕНЮ!I2899,СПРОС_ДЕНЬ_ЧАС_МЕНЮ!I2930,СПРОС_ДЕНЬ_ЧАС_МЕНЮ!I2961,СПРОС_ДЕНЬ_ЧАС_МЕНЮ!I2992,СПРОС_ДЕНЬ_ЧАС_МЕНЮ!I3023,СПРОС_ДЕНЬ_ЧАС_МЕНЮ!I3054,СПРОС_ДЕНЬ_ЧАС_МЕНЮ!I3085,СПРОС_ДЕНЬ_ЧАС_МЕНЮ!I3116,СПРОС_ДЕНЬ_ЧАС_МЕНЮ!I3147,СПРОС_ДЕНЬ_ЧАС_МЕНЮ!I3178,СПРОС_ДЕНЬ_ЧАС_МЕНЮ!I3209,СПРОС_ДЕНЬ_ЧАС_МЕНЮ!I3240)</f>
        <v>0.9372</v>
      </c>
      <c r="H16" s="12" t="s">
        <v>112</v>
      </c>
      <c r="I16" s="12" t="s">
        <v>137</v>
      </c>
      <c r="J16" s="12" t="n">
        <f aca="false">MAX(БАЛАНС_ДЕНЬ_ЧАС!F12,БАЛАНС_ДЕНЬ_ЧАС!F20,БАЛАНС_ДЕНЬ_ЧАС!F28,БАЛАНС_ДЕНЬ_ЧАС!F36,БАЛАНС_ДЕНЬ_ЧАС!F44,БАЛАНС_ДЕНЬ_ЧАС!F52,БАЛАНС_ДЕНЬ_ЧАС!F60,БАЛАНС_ДЕНЬ_ЧАС!F68,БАЛАНС_ДЕНЬ_ЧАС!F76,БАЛАНС_ДЕНЬ_ЧАС!F84,БАЛАНС_ДЕНЬ_ЧАС!F92,БАЛАНС_ДЕНЬ_ЧАС!F100,БАЛАНС_ДЕНЬ_ЧАС!F108,БАЛАНС_ДЕНЬ_ЧАС!F116,БАЛАНС_ДЕНЬ_ЧАС!F124,БАЛАНС_ДЕНЬ_ЧАС!F132,БАЛАНС_ДЕНЬ_ЧАС!F140,БАЛАНС_ДЕНЬ_ЧАС!F148,БАЛАНС_ДЕНЬ_ЧАС!F156,БАЛАНС_ДЕНЬ_ЧАС!F164,БАЛАНС_ДЕНЬ_ЧАС!F172,БАЛАНС_ДЕНЬ_ЧАС!F180,БАЛАНС_ДЕНЬ_ЧАС!F188,БАЛАНС_ДЕНЬ_ЧАС!F196,БАЛАНС_ДЕНЬ_ЧАС!F204,БАЛАНС_ДЕНЬ_ЧАС!F212,БАЛАНС_ДЕНЬ_ЧАС!F220,БАЛАНС_ДЕНЬ_ЧАС!F228,БАЛАНС_ДЕНЬ_ЧАС!F236,БАЛАНС_ДЕНЬ_ЧАС!F244,БАЛАНС_ДЕНЬ_ЧАС!F252,БАЛАНС_ДЕНЬ_ЧАС!F260,БАЛАНС_ДЕНЬ_ЧАС!F268,БАЛАНС_ДЕНЬ_ЧАС!F276,БАЛАНС_ДЕНЬ_ЧАС!F284,БАЛАНС_ДЕНЬ_ЧАС!F292,БАЛАНС_ДЕНЬ_ЧАС!F300,БАЛАНС_ДЕНЬ_ЧАС!F308,БАЛАНС_ДЕНЬ_ЧАС!F316,БАЛАНС_ДЕНЬ_ЧАС!F324,БАЛАНС_ДЕНЬ_ЧАС!F332,БАЛАНС_ДЕНЬ_ЧАС!F340,БАЛАНС_ДЕНЬ_ЧАС!F348,БАЛАНС_ДЕНЬ_ЧАС!F356,БАЛАНС_ДЕНЬ_ЧАС!F364,БАЛАНС_ДЕНЬ_ЧАС!F372,БАЛАНС_ДЕНЬ_ЧАС!F380,БАЛАНС_ДЕНЬ_ЧАС!F388,БАЛАНС_ДЕНЬ_ЧАС!F396,БАЛАНС_ДЕНЬ_ЧАС!F404,БАЛАНС_ДЕНЬ_ЧАС!F412,БАЛАНС_ДЕНЬ_ЧАС!F420,БАЛАНС_ДЕНЬ_ЧАС!F428,БАЛАНС_ДЕНЬ_ЧАС!F436,БАЛАНС_ДЕНЬ_ЧАС!F444,БАЛАНС_ДЕНЬ_ЧАС!F452,БАЛАНС_ДЕНЬ_ЧАС!F460,БАЛАНС_ДЕНЬ_ЧАС!F468,БАЛАНС_ДЕНЬ_ЧАС!F476,БАЛАНС_ДЕНЬ_ЧАС!F484,БАЛАНС_ДЕНЬ_ЧАС!F492,БАЛАНС_ДЕНЬ_ЧАС!F500,БАЛАНС_ДЕНЬ_ЧАС!F508,БАЛАНС_ДЕНЬ_ЧАС!F516,БАЛАНС_ДЕНЬ_ЧАС!F524,БАЛАНС_ДЕНЬ_ЧАС!F532,БАЛАНС_ДЕНЬ_ЧАС!F540,БАЛАНС_ДЕНЬ_ЧАС!F548,БАЛАНС_ДЕНЬ_ЧАС!F556,БАЛАНС_ДЕНЬ_ЧАС!F564,БАЛАНС_ДЕНЬ_ЧАС!F572,БАЛАНС_ДЕНЬ_ЧАС!F580,БАЛАНС_ДЕНЬ_ЧАС!F588,БАЛАНС_ДЕНЬ_ЧАС!F596,БАЛАНС_ДЕНЬ_ЧАС!F604,БАЛАНС_ДЕНЬ_ЧАС!F612,БАЛАНС_ДЕНЬ_ЧАС!F620,БАЛАНС_ДЕНЬ_ЧАС!F628,БАЛАНС_ДЕНЬ_ЧАС!F636,БАЛАНС_ДЕНЬ_ЧАС!F644,БАЛАНС_ДЕНЬ_ЧАС!F652,БАЛАНС_ДЕНЬ_ЧАС!F660,БАЛАНС_ДЕНЬ_ЧАС!F668,БАЛАНС_ДЕНЬ_ЧАС!F676,БАЛАНС_ДЕНЬ_ЧАС!F684,БАЛАНС_ДЕНЬ_ЧАС!F692,БАЛАНС_ДЕНЬ_ЧАС!F700,БАЛАНС_ДЕНЬ_ЧАС!F708,БАЛАНС_ДЕНЬ_ЧАС!F716,БАЛАНС_ДЕНЬ_ЧАС!F724,БАЛАНС_ДЕНЬ_ЧАС!F732,БАЛАНС_ДЕНЬ_ЧАС!F740,БАЛАНС_ДЕНЬ_ЧАС!F748,БАЛАНС_ДЕНЬ_ЧАС!F756,БАЛАНС_ДЕНЬ_ЧАС!F764,БАЛАНС_ДЕНЬ_ЧАС!F772,БАЛАНС_ДЕНЬ_ЧАС!F780,БАЛАНС_ДЕНЬ_ЧАС!F788,БАЛАНС_ДЕНЬ_ЧАС!F796,БАЛАНС_ДЕНЬ_ЧАС!F804,БАЛАНС_ДЕНЬ_ЧАС!F812,БАЛАНС_ДЕНЬ_ЧАС!F820,БАЛАНС_ДЕНЬ_ЧАС!F828,БАЛАНС_ДЕНЬ_ЧАС!F836,БАЛАНС_ДЕНЬ_ЧАС!F844)</f>
        <v>3.531</v>
      </c>
      <c r="K16" s="12" t="n">
        <f aca="false">ПАРАМЕТРЫ!D21</f>
        <v>20</v>
      </c>
      <c r="L16" s="12" t="n">
        <f aca="false">MAX(БАЛАНС_ДЕНЬ_ЧАС!I12,БАЛАНС_ДЕНЬ_ЧАС!I20,БАЛАНС_ДЕНЬ_ЧАС!I28,БАЛАНС_ДЕНЬ_ЧАС!I36,БАЛАНС_ДЕНЬ_ЧАС!I44,БАЛАНС_ДЕНЬ_ЧАС!I52,БАЛАНС_ДЕНЬ_ЧАС!I60,БАЛАНС_ДЕНЬ_ЧАС!I68,БАЛАНС_ДЕНЬ_ЧАС!I76,БАЛАНС_ДЕНЬ_ЧАС!I84,БАЛАНС_ДЕНЬ_ЧАС!I92,БАЛАНС_ДЕНЬ_ЧАС!I100,БАЛАНС_ДЕНЬ_ЧАС!I108,БАЛАНС_ДЕНЬ_ЧАС!I116,БАЛАНС_ДЕНЬ_ЧАС!I124,БАЛАНС_ДЕНЬ_ЧАС!I132,БАЛАНС_ДЕНЬ_ЧАС!I140,БАЛАНС_ДЕНЬ_ЧАС!I148,БАЛАНС_ДЕНЬ_ЧАС!I156,БАЛАНС_ДЕНЬ_ЧАС!I164,БАЛАНС_ДЕНЬ_ЧАС!I172,БАЛАНС_ДЕНЬ_ЧАС!I180,БАЛАНС_ДЕНЬ_ЧАС!I188,БАЛАНС_ДЕНЬ_ЧАС!I196,БАЛАНС_ДЕНЬ_ЧАС!I204,БАЛАНС_ДЕНЬ_ЧАС!I212,БАЛАНС_ДЕНЬ_ЧАС!I220,БАЛАНС_ДЕНЬ_ЧАС!I228,БАЛАНС_ДЕНЬ_ЧАС!I236,БАЛАНС_ДЕНЬ_ЧАС!I244,БАЛАНС_ДЕНЬ_ЧАС!I252,БАЛАНС_ДЕНЬ_ЧАС!I260,БАЛАНС_ДЕНЬ_ЧАС!I268,БАЛАНС_ДЕНЬ_ЧАС!I276,БАЛАНС_ДЕНЬ_ЧАС!I284,БАЛАНС_ДЕНЬ_ЧАС!I292,БАЛАНС_ДЕНЬ_ЧАС!I300,БАЛАНС_ДЕНЬ_ЧАС!I308,БАЛАНС_ДЕНЬ_ЧАС!I316,БАЛАНС_ДЕНЬ_ЧАС!I324,БАЛАНС_ДЕНЬ_ЧАС!I332,БАЛАНС_ДЕНЬ_ЧАС!I340,БАЛАНС_ДЕНЬ_ЧАС!I348,БАЛАНС_ДЕНЬ_ЧАС!I356,БАЛАНС_ДЕНЬ_ЧАС!I364,БАЛАНС_ДЕНЬ_ЧАС!I372,БАЛАНС_ДЕНЬ_ЧАС!I380,БАЛАНС_ДЕНЬ_ЧАС!I388,БАЛАНС_ДЕНЬ_ЧАС!I396,БАЛАНС_ДЕНЬ_ЧАС!I404,БАЛАНС_ДЕНЬ_ЧАС!I412,БАЛАНС_ДЕНЬ_ЧАС!I420,БАЛАНС_ДЕНЬ_ЧАС!I428,БАЛАНС_ДЕНЬ_ЧАС!I436,БАЛАНС_ДЕНЬ_ЧАС!I444,БАЛАНС_ДЕНЬ_ЧАС!I452,БАЛАНС_ДЕНЬ_ЧАС!I460,БАЛАНС_ДЕНЬ_ЧАС!I468,БАЛАНС_ДЕНЬ_ЧАС!I476,БАЛАНС_ДЕНЬ_ЧАС!I484,БАЛАНС_ДЕНЬ_ЧАС!I492,БАЛАНС_ДЕНЬ_ЧАС!I500,БАЛАНС_ДЕНЬ_ЧАС!I508,БАЛАНС_ДЕНЬ_ЧАС!I516,БАЛАНС_ДЕНЬ_ЧАС!I524,БАЛАНС_ДЕНЬ_ЧАС!I532,БАЛАНС_ДЕНЬ_ЧАС!I540,БАЛАНС_ДЕНЬ_ЧАС!I548,БАЛАНС_ДЕНЬ_ЧАС!I556,БАЛАНС_ДЕНЬ_ЧАС!I564,БАЛАНС_ДЕНЬ_ЧАС!I572,БАЛАНС_ДЕНЬ_ЧАС!I580,БАЛАНС_ДЕНЬ_ЧАС!I588,БАЛАНС_ДЕНЬ_ЧАС!I596,БАЛАНС_ДЕНЬ_ЧАС!I604,БАЛАНС_ДЕНЬ_ЧАС!I612,БАЛАНС_ДЕНЬ_ЧАС!I620,БАЛАНС_ДЕНЬ_ЧАС!I628,БАЛАНС_ДЕНЬ_ЧАС!I636,БАЛАНС_ДЕНЬ_ЧАС!I644,БАЛАНС_ДЕНЬ_ЧАС!I652,БАЛАНС_ДЕНЬ_ЧАС!I660,БАЛАНС_ДЕНЬ_ЧАС!I668,БАЛАНС_ДЕНЬ_ЧАС!I676,БАЛАНС_ДЕНЬ_ЧАС!I684,БАЛАНС_ДЕНЬ_ЧАС!I692,БАЛАНС_ДЕНЬ_ЧАС!I700,БАЛАНС_ДЕНЬ_ЧАС!I708,БАЛАНС_ДЕНЬ_ЧАС!I716,БАЛАНС_ДЕНЬ_ЧАС!I724,БАЛАНС_ДЕНЬ_ЧАС!I732,БАЛАНС_ДЕНЬ_ЧАС!I740,БАЛАНС_ДЕНЬ_ЧАС!I748,БАЛАНС_ДЕНЬ_ЧАС!I756,БАЛАНС_ДЕНЬ_ЧАС!I764,БАЛАНС_ДЕНЬ_ЧАС!I772,БАЛАНС_ДЕНЬ_ЧАС!I780,БАЛАНС_ДЕНЬ_ЧАС!I788,БАЛАНС_ДЕНЬ_ЧАС!I796,БАЛАНС_ДЕНЬ_ЧАС!I804,БАЛАНС_ДЕНЬ_ЧАС!I812,БАЛАНС_ДЕНЬ_ЧАС!I820,БАЛАНС_ДЕНЬ_ЧАС!I828,БАЛАНС_ДЕНЬ_ЧАС!I836,БАЛАНС_ДЕНЬ_ЧАС!I844)</f>
        <v>10</v>
      </c>
      <c r="M16" s="12" t="n">
        <f aca="false">MAX(БАЛАНС_ДЕНЬ_ЧАС!J12,БАЛАНС_ДЕНЬ_ЧАС!J20,БАЛАНС_ДЕНЬ_ЧАС!J28,БАЛАНС_ДЕНЬ_ЧАС!J36,БАЛАНС_ДЕНЬ_ЧАС!J44,БАЛАНС_ДЕНЬ_ЧАС!J52,БАЛАНС_ДЕНЬ_ЧАС!J60,БАЛАНС_ДЕНЬ_ЧАС!J68,БАЛАНС_ДЕНЬ_ЧАС!J76,БАЛАНС_ДЕНЬ_ЧАС!J84,БАЛАНС_ДЕНЬ_ЧАС!J92,БАЛАНС_ДЕНЬ_ЧАС!J100,БАЛАНС_ДЕНЬ_ЧАС!J108,БАЛАНС_ДЕНЬ_ЧАС!J116,БАЛАНС_ДЕНЬ_ЧАС!J124,БАЛАНС_ДЕНЬ_ЧАС!J132,БАЛАНС_ДЕНЬ_ЧАС!J140,БАЛАНС_ДЕНЬ_ЧАС!J148,БАЛАНС_ДЕНЬ_ЧАС!J156,БАЛАНС_ДЕНЬ_ЧАС!J164,БАЛАНС_ДЕНЬ_ЧАС!J172,БАЛАНС_ДЕНЬ_ЧАС!J180,БАЛАНС_ДЕНЬ_ЧАС!J188,БАЛАНС_ДЕНЬ_ЧАС!J196,БАЛАНС_ДЕНЬ_ЧАС!J204,БАЛАНС_ДЕНЬ_ЧАС!J212,БАЛАНС_ДЕНЬ_ЧАС!J220,БАЛАНС_ДЕНЬ_ЧАС!J228,БАЛАНС_ДЕНЬ_ЧАС!J236,БАЛАНС_ДЕНЬ_ЧАС!J244,БАЛАНС_ДЕНЬ_ЧАС!J252,БАЛАНС_ДЕНЬ_ЧАС!J260,БАЛАНС_ДЕНЬ_ЧАС!J268,БАЛАНС_ДЕНЬ_ЧАС!J276,БАЛАНС_ДЕНЬ_ЧАС!J284,БАЛАНС_ДЕНЬ_ЧАС!J292,БАЛАНС_ДЕНЬ_ЧАС!J300,БАЛАНС_ДЕНЬ_ЧАС!J308,БАЛАНС_ДЕНЬ_ЧАС!J316,БАЛАНС_ДЕНЬ_ЧАС!J324,БАЛАНС_ДЕНЬ_ЧАС!J332,БАЛАНС_ДЕНЬ_ЧАС!J340,БАЛАНС_ДЕНЬ_ЧАС!J348,БАЛАНС_ДЕНЬ_ЧАС!J356,БАЛАНС_ДЕНЬ_ЧАС!J364,БАЛАНС_ДЕНЬ_ЧАС!J372,БАЛАНС_ДЕНЬ_ЧАС!J380,БАЛАНС_ДЕНЬ_ЧАС!J388,БАЛАНС_ДЕНЬ_ЧАС!J396,БАЛАНС_ДЕНЬ_ЧАС!J404,БАЛАНС_ДЕНЬ_ЧАС!J412,БАЛАНС_ДЕНЬ_ЧАС!J420,БАЛАНС_ДЕНЬ_ЧАС!J428,БАЛАНС_ДЕНЬ_ЧАС!J436,БАЛАНС_ДЕНЬ_ЧАС!J444,БАЛАНС_ДЕНЬ_ЧАС!J452,БАЛАНС_ДЕНЬ_ЧАС!J460,БАЛАНС_ДЕНЬ_ЧАС!J468,БАЛАНС_ДЕНЬ_ЧАС!J476,БАЛАНС_ДЕНЬ_ЧАС!J484,БАЛАНС_ДЕНЬ_ЧАС!J492,БАЛАНС_ДЕНЬ_ЧАС!J500,БАЛАНС_ДЕНЬ_ЧАС!J508,БАЛАНС_ДЕНЬ_ЧАС!J516,БАЛАНС_ДЕНЬ_ЧАС!J524,БАЛАНС_ДЕНЬ_ЧАС!J532,БАЛАНС_ДЕНЬ_ЧАС!J540,БАЛАНС_ДЕНЬ_ЧАС!J548,БАЛАНС_ДЕНЬ_ЧАС!J556,БАЛАНС_ДЕНЬ_ЧАС!J564,БАЛАНС_ДЕНЬ_ЧАС!J572,БАЛАНС_ДЕНЬ_ЧАС!J580,БАЛАНС_ДЕНЬ_ЧАС!J588,БАЛАНС_ДЕНЬ_ЧАС!J596,БАЛАНС_ДЕНЬ_ЧАС!J604,БАЛАНС_ДЕНЬ_ЧАС!J612,БАЛАНС_ДЕНЬ_ЧАС!J620,БАЛАНС_ДЕНЬ_ЧАС!J628,БАЛАНС_ДЕНЬ_ЧАС!J636,БАЛАНС_ДЕНЬ_ЧАС!J644,БАЛАНС_ДЕНЬ_ЧАС!J652,БАЛАНС_ДЕНЬ_ЧАС!J660,БАЛАНС_ДЕНЬ_ЧАС!J668,БАЛАНС_ДЕНЬ_ЧАС!J676,БАЛАНС_ДЕНЬ_ЧАС!J684,БАЛАНС_ДЕНЬ_ЧАС!J692,БАЛАНС_ДЕНЬ_ЧАС!J700,БАЛАНС_ДЕНЬ_ЧАС!J708,БАЛАНС_ДЕНЬ_ЧАС!J716,БАЛАНС_ДЕНЬ_ЧАС!J724,БАЛАНС_ДЕНЬ_ЧАС!J732,БАЛАНС_ДЕНЬ_ЧАС!J740,БАЛАНС_ДЕНЬ_ЧАС!J748,БАЛАНС_ДЕНЬ_ЧАС!J756,БАЛАНС_ДЕНЬ_ЧАС!J764,БАЛАНС_ДЕНЬ_ЧАС!J772,БАЛАНС_ДЕНЬ_ЧАС!J780,БАЛАНС_ДЕНЬ_ЧАС!J788,БАЛАНС_ДЕНЬ_ЧАС!J796,БАЛАНС_ДЕНЬ_ЧАС!J804,БАЛАНС_ДЕНЬ_ЧАС!J812,БАЛАНС_ДЕНЬ_ЧАС!J820,БАЛАНС_ДЕНЬ_ЧАС!J828,БАЛАНС_ДЕНЬ_ЧАС!J836,БАЛАНС_ДЕНЬ_ЧАС!J844)</f>
        <v>10</v>
      </c>
      <c r="N16" s="12" t="n">
        <f aca="false">MAX(БАЛАНС_ДЕНЬ_ЧАС!K12,БАЛАНС_ДЕНЬ_ЧАС!K20,БАЛАНС_ДЕНЬ_ЧАС!K28,БАЛАНС_ДЕНЬ_ЧАС!K36,БАЛАНС_ДЕНЬ_ЧАС!K44,БАЛАНС_ДЕНЬ_ЧАС!K52,БАЛАНС_ДЕНЬ_ЧАС!K60,БАЛАНС_ДЕНЬ_ЧАС!K68,БАЛАНС_ДЕНЬ_ЧАС!K76,БАЛАНС_ДЕНЬ_ЧАС!K84,БАЛАНС_ДЕНЬ_ЧАС!K92,БАЛАНС_ДЕНЬ_ЧАС!K100,БАЛАНС_ДЕНЬ_ЧАС!K108,БАЛАНС_ДЕНЬ_ЧАС!K116,БАЛАНС_ДЕНЬ_ЧАС!K124,БАЛАНС_ДЕНЬ_ЧАС!K132,БАЛАНС_ДЕНЬ_ЧАС!K140,БАЛАНС_ДЕНЬ_ЧАС!K148,БАЛАНС_ДЕНЬ_ЧАС!K156,БАЛАНС_ДЕНЬ_ЧАС!K164,БАЛАНС_ДЕНЬ_ЧАС!K172,БАЛАНС_ДЕНЬ_ЧАС!K180,БАЛАНС_ДЕНЬ_ЧАС!K188,БАЛАНС_ДЕНЬ_ЧАС!K196,БАЛАНС_ДЕНЬ_ЧАС!K204,БАЛАНС_ДЕНЬ_ЧАС!K212,БАЛАНС_ДЕНЬ_ЧАС!K220,БАЛАНС_ДЕНЬ_ЧАС!K228,БАЛАНС_ДЕНЬ_ЧАС!K236,БАЛАНС_ДЕНЬ_ЧАС!K244,БАЛАНС_ДЕНЬ_ЧАС!K252,БАЛАНС_ДЕНЬ_ЧАС!K260,БАЛАНС_ДЕНЬ_ЧАС!K268,БАЛАНС_ДЕНЬ_ЧАС!K276,БАЛАНС_ДЕНЬ_ЧАС!K284,БАЛАНС_ДЕНЬ_ЧАС!K292,БАЛАНС_ДЕНЬ_ЧАС!K300,БАЛАНС_ДЕНЬ_ЧАС!K308,БАЛАНС_ДЕНЬ_ЧАС!K316,БАЛАНС_ДЕНЬ_ЧАС!K324,БАЛАНС_ДЕНЬ_ЧАС!K332,БАЛАНС_ДЕНЬ_ЧАС!K340,БАЛАНС_ДЕНЬ_ЧАС!K348,БАЛАНС_ДЕНЬ_ЧАС!K356,БАЛАНС_ДЕНЬ_ЧАС!K364,БАЛАНС_ДЕНЬ_ЧАС!K372,БАЛАНС_ДЕНЬ_ЧАС!K380,БАЛАНС_ДЕНЬ_ЧАС!K388,БАЛАНС_ДЕНЬ_ЧАС!K396,БАЛАНС_ДЕНЬ_ЧАС!K404,БАЛАНС_ДЕНЬ_ЧАС!K412,БАЛАНС_ДЕНЬ_ЧАС!K420,БАЛАНС_ДЕНЬ_ЧАС!K428,БАЛАНС_ДЕНЬ_ЧАС!K436,БАЛАНС_ДЕНЬ_ЧАС!K444,БАЛАНС_ДЕНЬ_ЧАС!K452,БАЛАНС_ДЕНЬ_ЧАС!K460,БАЛАНС_ДЕНЬ_ЧАС!K468,БАЛАНС_ДЕНЬ_ЧАС!K476,БАЛАНС_ДЕНЬ_ЧАС!K484,БАЛАНС_ДЕНЬ_ЧАС!K492,БАЛАНС_ДЕНЬ_ЧАС!K500,БАЛАНС_ДЕНЬ_ЧАС!K508,БАЛАНС_ДЕНЬ_ЧАС!K516,БАЛАНС_ДЕНЬ_ЧАС!K524,БАЛАНС_ДЕНЬ_ЧАС!K532,БАЛАНС_ДЕНЬ_ЧАС!K540,БАЛАНС_ДЕНЬ_ЧАС!K548,БАЛАНС_ДЕНЬ_ЧАС!K556,БАЛАНС_ДЕНЬ_ЧАС!K564,БАЛАНС_ДЕНЬ_ЧАС!K572,БАЛАНС_ДЕНЬ_ЧАС!K580,БАЛАНС_ДЕНЬ_ЧАС!K588,БАЛАНС_ДЕНЬ_ЧАС!K596,БАЛАНС_ДЕНЬ_ЧАС!K604,БАЛАНС_ДЕНЬ_ЧАС!K612,БАЛАНС_ДЕНЬ_ЧАС!K620,БАЛАНС_ДЕНЬ_ЧАС!K628,БАЛАНС_ДЕНЬ_ЧАС!K636,БАЛАНС_ДЕНЬ_ЧАС!K644,БАЛАНС_ДЕНЬ_ЧАС!K652,БАЛАНС_ДЕНЬ_ЧАС!K660,БАЛАНС_ДЕНЬ_ЧАС!K668,БАЛАНС_ДЕНЬ_ЧАС!K676,БАЛАНС_ДЕНЬ_ЧАС!K684,БАЛАНС_ДЕНЬ_ЧАС!K692,БАЛАНС_ДЕНЬ_ЧАС!K700,БАЛАНС_ДЕНЬ_ЧАС!K708,БАЛАНС_ДЕНЬ_ЧАС!K716,БАЛАНС_ДЕНЬ_ЧАС!K724,БАЛАНС_ДЕНЬ_ЧАС!K732,БАЛАНС_ДЕНЬ_ЧАС!K740,БАЛАНС_ДЕНЬ_ЧАС!K748,БАЛАНС_ДЕНЬ_ЧАС!K756,БАЛАНС_ДЕНЬ_ЧАС!K764,БАЛАНС_ДЕНЬ_ЧАС!K772,БАЛАНС_ДЕНЬ_ЧАС!K780,БАЛАНС_ДЕНЬ_ЧАС!K788,БАЛАНС_ДЕНЬ_ЧАС!K796,БАЛАНС_ДЕНЬ_ЧАС!K804,БАЛАНС_ДЕНЬ_ЧАС!K812,БАЛАНС_ДЕНЬ_ЧАС!K820,БАЛАНС_ДЕНЬ_ЧАС!K828,БАЛАНС_ДЕНЬ_ЧАС!K836,БАЛАНС_ДЕНЬ_ЧАС!K844)</f>
        <v>0</v>
      </c>
      <c r="O16" s="11" t="str">
        <f aca="false">IF(N16&gt;0,"BLOCKED","PASS")</f>
        <v>PASS</v>
      </c>
      <c r="P16" s="11" t="s">
        <v>147</v>
      </c>
    </row>
    <row r="17" customFormat="false" ht="15" hidden="false" customHeight="false" outlineLevel="0" collapsed="false">
      <c r="A17" s="11" t="n">
        <v>7</v>
      </c>
      <c r="B17" s="11" t="s">
        <v>78</v>
      </c>
      <c r="C17" s="11" t="s">
        <v>159</v>
      </c>
      <c r="D17" s="11" t="s">
        <v>77</v>
      </c>
      <c r="E17" s="12" t="n">
        <v>350</v>
      </c>
      <c r="F17" s="12" t="n">
        <f aca="false">SUMIF(СПРОС_ДЕНЬ_ЧАС_МЕНЮ!$C$11:$C$3265,A17,СПРОС_ДЕНЬ_ЧАС_МЕНЮ!$I$11:$I$3265)</f>
        <v>42.6965</v>
      </c>
      <c r="G17" s="12" t="n">
        <f aca="false">MAX(СПРОС_ДЕНЬ_ЧАС_МЕНЮ!I17,СПРОС_ДЕНЬ_ЧАС_МЕНЮ!I48,СПРОС_ДЕНЬ_ЧАС_МЕНЮ!I79,СПРОС_ДЕНЬ_ЧАС_МЕНЮ!I110,СПРОС_ДЕНЬ_ЧАС_МЕНЮ!I141,СПРОС_ДЕНЬ_ЧАС_МЕНЮ!I172,СПРОС_ДЕНЬ_ЧАС_МЕНЮ!I203,СПРОС_ДЕНЬ_ЧАС_МЕНЮ!I234,СПРОС_ДЕНЬ_ЧАС_МЕНЮ!I265,СПРОС_ДЕНЬ_ЧАС_МЕНЮ!I296,СПРОС_ДЕНЬ_ЧАС_МЕНЮ!I327,СПРОС_ДЕНЬ_ЧАС_МЕНЮ!I358,СПРОС_ДЕНЬ_ЧАС_МЕНЮ!I389,СПРОС_ДЕНЬ_ЧАС_МЕНЮ!I420,СПРОС_ДЕНЬ_ЧАС_МЕНЮ!I451,СПРОС_ДЕНЬ_ЧАС_МЕНЮ!I482,СПРОС_ДЕНЬ_ЧАС_МЕНЮ!I513,СПРОС_ДЕНЬ_ЧАС_МЕНЮ!I544,СПРОС_ДЕНЬ_ЧАС_МЕНЮ!I575,СПРОС_ДЕНЬ_ЧАС_МЕНЮ!I606,СПРОС_ДЕНЬ_ЧАС_МЕНЮ!I637,СПРОС_ДЕНЬ_ЧАС_МЕНЮ!I668,СПРОС_ДЕНЬ_ЧАС_МЕНЮ!I699,СПРОС_ДЕНЬ_ЧАС_МЕНЮ!I730,СПРОС_ДЕНЬ_ЧАС_МЕНЮ!I761,СПРОС_ДЕНЬ_ЧАС_МЕНЮ!I792,СПРОС_ДЕНЬ_ЧАС_МЕНЮ!I823,СПРОС_ДЕНЬ_ЧАС_МЕНЮ!I854,СПРОС_ДЕНЬ_ЧАС_МЕНЮ!I885,СПРОС_ДЕНЬ_ЧАС_МЕНЮ!I916,СПРОС_ДЕНЬ_ЧАС_МЕНЮ!I947,СПРОС_ДЕНЬ_ЧАС_МЕНЮ!I978,СПРОС_ДЕНЬ_ЧАС_МЕНЮ!I1009,СПРОС_ДЕНЬ_ЧАС_МЕНЮ!I1040,СПРОС_ДЕНЬ_ЧАС_МЕНЮ!I1071,СПРОС_ДЕНЬ_ЧАС_МЕНЮ!I1102,СПРОС_ДЕНЬ_ЧАС_МЕНЮ!I1133,СПРОС_ДЕНЬ_ЧАС_МЕНЮ!I1164,СПРОС_ДЕНЬ_ЧАС_МЕНЮ!I1195,СПРОС_ДЕНЬ_ЧАС_МЕНЮ!I1226,СПРОС_ДЕНЬ_ЧАС_МЕНЮ!I1257,СПРОС_ДЕНЬ_ЧАС_МЕНЮ!I1288,СПРОС_ДЕНЬ_ЧАС_МЕНЮ!I1319,СПРОС_ДЕНЬ_ЧАС_МЕНЮ!I1350,СПРОС_ДЕНЬ_ЧАС_МЕНЮ!I1381,СПРОС_ДЕНЬ_ЧАС_МЕНЮ!I1412,СПРОС_ДЕНЬ_ЧАС_МЕНЮ!I1443,СПРОС_ДЕНЬ_ЧАС_МЕНЮ!I1474,СПРОС_ДЕНЬ_ЧАС_МЕНЮ!I1505,СПРОС_ДЕНЬ_ЧАС_МЕНЮ!I1536,СПРОС_ДЕНЬ_ЧАС_МЕНЮ!I1567,СПРОС_ДЕНЬ_ЧАС_МЕНЮ!I1598,СПРОС_ДЕНЬ_ЧАС_МЕНЮ!I1629,СПРОС_ДЕНЬ_ЧАС_МЕНЮ!I1660,СПРОС_ДЕНЬ_ЧАС_МЕНЮ!I1691,СПРОС_ДЕНЬ_ЧАС_МЕНЮ!I1722,СПРОС_ДЕНЬ_ЧАС_МЕНЮ!I1753,СПРОС_ДЕНЬ_ЧАС_МЕНЮ!I1784,СПРОС_ДЕНЬ_ЧАС_МЕНЮ!I1815,СПРОС_ДЕНЬ_ЧАС_МЕНЮ!I1846,СПРОС_ДЕНЬ_ЧАС_МЕНЮ!I1877,СПРОС_ДЕНЬ_ЧАС_МЕНЮ!I1908,СПРОС_ДЕНЬ_ЧАС_МЕНЮ!I1939,СПРОС_ДЕНЬ_ЧАС_МЕНЮ!I1970,СПРОС_ДЕНЬ_ЧАС_МЕНЮ!I2001,СПРОС_ДЕНЬ_ЧАС_МЕНЮ!I2032,СПРОС_ДЕНЬ_ЧАС_МЕНЮ!I2063,СПРОС_ДЕНЬ_ЧАС_МЕНЮ!I2094,СПРОС_ДЕНЬ_ЧАС_МЕНЮ!I2125,СПРОС_ДЕНЬ_ЧАС_МЕНЮ!I2156,СПРОС_ДЕНЬ_ЧАС_МЕНЮ!I2187,СПРОС_ДЕНЬ_ЧАС_МЕНЮ!I2218,СПРОС_ДЕНЬ_ЧАС_МЕНЮ!I2249,СПРОС_ДЕНЬ_ЧАС_МЕНЮ!I2280,СПРОС_ДЕНЬ_ЧАС_МЕНЮ!I2311,СПРОС_ДЕНЬ_ЧАС_МЕНЮ!I2342,СПРОС_ДЕНЬ_ЧАС_МЕНЮ!I2373,СПРОС_ДЕНЬ_ЧАС_МЕНЮ!I2404,СПРОС_ДЕНЬ_ЧАС_МЕНЮ!I2435,СПРОС_ДЕНЬ_ЧАС_МЕНЮ!I2466,СПРОС_ДЕНЬ_ЧАС_МЕНЮ!I2497,СПРОС_ДЕНЬ_ЧАС_МЕНЮ!I2528,СПРОС_ДЕНЬ_ЧАС_МЕНЮ!I2559,СПРОС_ДЕНЬ_ЧАС_МЕНЮ!I2590,СПРОС_ДЕНЬ_ЧАС_МЕНЮ!I2621,СПРОС_ДЕНЬ_ЧАС_МЕНЮ!I2652,СПРОС_ДЕНЬ_ЧАС_МЕНЮ!I2683,СПРОС_ДЕНЬ_ЧАС_МЕНЮ!I2714,СПРОС_ДЕНЬ_ЧАС_МЕНЮ!I2745,СПРОС_ДЕНЬ_ЧАС_МЕНЮ!I2776,СПРОС_ДЕНЬ_ЧАС_МЕНЮ!I2807,СПРОС_ДЕНЬ_ЧАС_МЕНЮ!I2838,СПРОС_ДЕНЬ_ЧАС_МЕНЮ!I2869,СПРОС_ДЕНЬ_ЧАС_МЕНЮ!I2900,СПРОС_ДЕНЬ_ЧАС_МЕНЮ!I2931,СПРОС_ДЕНЬ_ЧАС_МЕНЮ!I2962,СПРОС_ДЕНЬ_ЧАС_МЕНЮ!I2993,СПРОС_ДЕНЬ_ЧАС_МЕНЮ!I3024,СПРОС_ДЕНЬ_ЧАС_МЕНЮ!I3055,СПРОС_ДЕНЬ_ЧАС_МЕНЮ!I3086,СПРОС_ДЕНЬ_ЧАС_МЕНЮ!I3117,СПРОС_ДЕНЬ_ЧАС_МЕНЮ!I3148,СПРОС_ДЕНЬ_ЧАС_МЕНЮ!I3179,СПРОС_ДЕНЬ_ЧАС_МЕНЮ!I3210,СПРОС_ДЕНЬ_ЧАС_МЕНЮ!I3241)</f>
        <v>0.88275</v>
      </c>
      <c r="H17" s="12" t="s">
        <v>112</v>
      </c>
      <c r="I17" s="12" t="s">
        <v>137</v>
      </c>
      <c r="J17" s="12" t="n">
        <f aca="false">MAX(БАЛАНС_ДЕНЬ_ЧАС!F12,БАЛАНС_ДЕНЬ_ЧАС!F20,БАЛАНС_ДЕНЬ_ЧАС!F28,БАЛАНС_ДЕНЬ_ЧАС!F36,БАЛАНС_ДЕНЬ_ЧАС!F44,БАЛАНС_ДЕНЬ_ЧАС!F52,БАЛАНС_ДЕНЬ_ЧАС!F60,БАЛАНС_ДЕНЬ_ЧАС!F68,БАЛАНС_ДЕНЬ_ЧАС!F76,БАЛАНС_ДЕНЬ_ЧАС!F84,БАЛАНС_ДЕНЬ_ЧАС!F92,БАЛАНС_ДЕНЬ_ЧАС!F100,БАЛАНС_ДЕНЬ_ЧАС!F108,БАЛАНС_ДЕНЬ_ЧАС!F116,БАЛАНС_ДЕНЬ_ЧАС!F124,БАЛАНС_ДЕНЬ_ЧАС!F132,БАЛАНС_ДЕНЬ_ЧАС!F140,БАЛАНС_ДЕНЬ_ЧАС!F148,БАЛАНС_ДЕНЬ_ЧАС!F156,БАЛАНС_ДЕНЬ_ЧАС!F164,БАЛАНС_ДЕНЬ_ЧАС!F172,БАЛАНС_ДЕНЬ_ЧАС!F180,БАЛАНС_ДЕНЬ_ЧАС!F188,БАЛАНС_ДЕНЬ_ЧАС!F196,БАЛАНС_ДЕНЬ_ЧАС!F204,БАЛАНС_ДЕНЬ_ЧАС!F212,БАЛАНС_ДЕНЬ_ЧАС!F220,БАЛАНС_ДЕНЬ_ЧАС!F228,БАЛАНС_ДЕНЬ_ЧАС!F236,БАЛАНС_ДЕНЬ_ЧАС!F244,БАЛАНС_ДЕНЬ_ЧАС!F252,БАЛАНС_ДЕНЬ_ЧАС!F260,БАЛАНС_ДЕНЬ_ЧАС!F268,БАЛАНС_ДЕНЬ_ЧАС!F276,БАЛАНС_ДЕНЬ_ЧАС!F284,БАЛАНС_ДЕНЬ_ЧАС!F292,БАЛАНС_ДЕНЬ_ЧАС!F300,БАЛАНС_ДЕНЬ_ЧАС!F308,БАЛАНС_ДЕНЬ_ЧАС!F316,БАЛАНС_ДЕНЬ_ЧАС!F324,БАЛАНС_ДЕНЬ_ЧАС!F332,БАЛАНС_ДЕНЬ_ЧАС!F340,БАЛАНС_ДЕНЬ_ЧАС!F348,БАЛАНС_ДЕНЬ_ЧАС!F356,БАЛАНС_ДЕНЬ_ЧАС!F364,БАЛАНС_ДЕНЬ_ЧАС!F372,БАЛАНС_ДЕНЬ_ЧАС!F380,БАЛАНС_ДЕНЬ_ЧАС!F388,БАЛАНС_ДЕНЬ_ЧАС!F396,БАЛАНС_ДЕНЬ_ЧАС!F404,БАЛАНС_ДЕНЬ_ЧАС!F412,БАЛАНС_ДЕНЬ_ЧАС!F420,БАЛАНС_ДЕНЬ_ЧАС!F428,БАЛАНС_ДЕНЬ_ЧАС!F436,БАЛАНС_ДЕНЬ_ЧАС!F444,БАЛАНС_ДЕНЬ_ЧАС!F452,БАЛАНС_ДЕНЬ_ЧАС!F460,БАЛАНС_ДЕНЬ_ЧАС!F468,БАЛАНС_ДЕНЬ_ЧАС!F476,БАЛАНС_ДЕНЬ_ЧАС!F484,БАЛАНС_ДЕНЬ_ЧАС!F492,БАЛАНС_ДЕНЬ_ЧАС!F500,БАЛАНС_ДЕНЬ_ЧАС!F508,БАЛАНС_ДЕНЬ_ЧАС!F516,БАЛАНС_ДЕНЬ_ЧАС!F524,БАЛАНС_ДЕНЬ_ЧАС!F532,БАЛАНС_ДЕНЬ_ЧАС!F540,БАЛАНС_ДЕНЬ_ЧАС!F548,БАЛАНС_ДЕНЬ_ЧАС!F556,БАЛАНС_ДЕНЬ_ЧАС!F564,БАЛАНС_ДЕНЬ_ЧАС!F572,БАЛАНС_ДЕНЬ_ЧАС!F580,БАЛАНС_ДЕНЬ_ЧАС!F588,БАЛАНС_ДЕНЬ_ЧАС!F596,БАЛАНС_ДЕНЬ_ЧАС!F604,БАЛАНС_ДЕНЬ_ЧАС!F612,БАЛАНС_ДЕНЬ_ЧАС!F620,БАЛАНС_ДЕНЬ_ЧАС!F628,БАЛАНС_ДЕНЬ_ЧАС!F636,БАЛАНС_ДЕНЬ_ЧАС!F644,БАЛАНС_ДЕНЬ_ЧАС!F652,БАЛАНС_ДЕНЬ_ЧАС!F660,БАЛАНС_ДЕНЬ_ЧАС!F668,БАЛАНС_ДЕНЬ_ЧАС!F676,БАЛАНС_ДЕНЬ_ЧАС!F684,БАЛАНС_ДЕНЬ_ЧАС!F692,БАЛАНС_ДЕНЬ_ЧАС!F700,БАЛАНС_ДЕНЬ_ЧАС!F708,БАЛАНС_ДЕНЬ_ЧАС!F716,БАЛАНС_ДЕНЬ_ЧАС!F724,БАЛАНС_ДЕНЬ_ЧАС!F732,БАЛАНС_ДЕНЬ_ЧАС!F740,БАЛАНС_ДЕНЬ_ЧАС!F748,БАЛАНС_ДЕНЬ_ЧАС!F756,БАЛАНС_ДЕНЬ_ЧАС!F764,БАЛАНС_ДЕНЬ_ЧАС!F772,БАЛАНС_ДЕНЬ_ЧАС!F780,БАЛАНС_ДЕНЬ_ЧАС!F788,БАЛАНС_ДЕНЬ_ЧАС!F796,БАЛАНС_ДЕНЬ_ЧАС!F804,БАЛАНС_ДЕНЬ_ЧАС!F812,БАЛАНС_ДЕНЬ_ЧАС!F820,БАЛАНС_ДЕНЬ_ЧАС!F828,БАЛАНС_ДЕНЬ_ЧАС!F836,БАЛАНС_ДЕНЬ_ЧАС!F844)</f>
        <v>3.531</v>
      </c>
      <c r="K17" s="12" t="n">
        <f aca="false">ПАРАМЕТРЫ!D21</f>
        <v>20</v>
      </c>
      <c r="L17" s="12" t="n">
        <f aca="false">MAX(БАЛАНС_ДЕНЬ_ЧАС!I12,БАЛАНС_ДЕНЬ_ЧАС!I20,БАЛАНС_ДЕНЬ_ЧАС!I28,БАЛАНС_ДЕНЬ_ЧАС!I36,БАЛАНС_ДЕНЬ_ЧАС!I44,БАЛАНС_ДЕНЬ_ЧАС!I52,БАЛАНС_ДЕНЬ_ЧАС!I60,БАЛАНС_ДЕНЬ_ЧАС!I68,БАЛАНС_ДЕНЬ_ЧАС!I76,БАЛАНС_ДЕНЬ_ЧАС!I84,БАЛАНС_ДЕНЬ_ЧАС!I92,БАЛАНС_ДЕНЬ_ЧАС!I100,БАЛАНС_ДЕНЬ_ЧАС!I108,БАЛАНС_ДЕНЬ_ЧАС!I116,БАЛАНС_ДЕНЬ_ЧАС!I124,БАЛАНС_ДЕНЬ_ЧАС!I132,БАЛАНС_ДЕНЬ_ЧАС!I140,БАЛАНС_ДЕНЬ_ЧАС!I148,БАЛАНС_ДЕНЬ_ЧАС!I156,БАЛАНС_ДЕНЬ_ЧАС!I164,БАЛАНС_ДЕНЬ_ЧАС!I172,БАЛАНС_ДЕНЬ_ЧАС!I180,БАЛАНС_ДЕНЬ_ЧАС!I188,БАЛАНС_ДЕНЬ_ЧАС!I196,БАЛАНС_ДЕНЬ_ЧАС!I204,БАЛАНС_ДЕНЬ_ЧАС!I212,БАЛАНС_ДЕНЬ_ЧАС!I220,БАЛАНС_ДЕНЬ_ЧАС!I228,БАЛАНС_ДЕНЬ_ЧАС!I236,БАЛАНС_ДЕНЬ_ЧАС!I244,БАЛАНС_ДЕНЬ_ЧАС!I252,БАЛАНС_ДЕНЬ_ЧАС!I260,БАЛАНС_ДЕНЬ_ЧАС!I268,БАЛАНС_ДЕНЬ_ЧАС!I276,БАЛАНС_ДЕНЬ_ЧАС!I284,БАЛАНС_ДЕНЬ_ЧАС!I292,БАЛАНС_ДЕНЬ_ЧАС!I300,БАЛАНС_ДЕНЬ_ЧАС!I308,БАЛАНС_ДЕНЬ_ЧАС!I316,БАЛАНС_ДЕНЬ_ЧАС!I324,БАЛАНС_ДЕНЬ_ЧАС!I332,БАЛАНС_ДЕНЬ_ЧАС!I340,БАЛАНС_ДЕНЬ_ЧАС!I348,БАЛАНС_ДЕНЬ_ЧАС!I356,БАЛАНС_ДЕНЬ_ЧАС!I364,БАЛАНС_ДЕНЬ_ЧАС!I372,БАЛАНС_ДЕНЬ_ЧАС!I380,БАЛАНС_ДЕНЬ_ЧАС!I388,БАЛАНС_ДЕНЬ_ЧАС!I396,БАЛАНС_ДЕНЬ_ЧАС!I404,БАЛАНС_ДЕНЬ_ЧАС!I412,БАЛАНС_ДЕНЬ_ЧАС!I420,БАЛАНС_ДЕНЬ_ЧАС!I428,БАЛАНС_ДЕНЬ_ЧАС!I436,БАЛАНС_ДЕНЬ_ЧАС!I444,БАЛАНС_ДЕНЬ_ЧАС!I452,БАЛАНС_ДЕНЬ_ЧАС!I460,БАЛАНС_ДЕНЬ_ЧАС!I468,БАЛАНС_ДЕНЬ_ЧАС!I476,БАЛАНС_ДЕНЬ_ЧАС!I484,БАЛАНС_ДЕНЬ_ЧАС!I492,БАЛАНС_ДЕНЬ_ЧАС!I500,БАЛАНС_ДЕНЬ_ЧАС!I508,БАЛАНС_ДЕНЬ_ЧАС!I516,БАЛАНС_ДЕНЬ_ЧАС!I524,БАЛАНС_ДЕНЬ_ЧАС!I532,БАЛАНС_ДЕНЬ_ЧАС!I540,БАЛАНС_ДЕНЬ_ЧАС!I548,БАЛАНС_ДЕНЬ_ЧАС!I556,БАЛАНС_ДЕНЬ_ЧАС!I564,БАЛАНС_ДЕНЬ_ЧАС!I572,БАЛАНС_ДЕНЬ_ЧАС!I580,БАЛАНС_ДЕНЬ_ЧАС!I588,БАЛАНС_ДЕНЬ_ЧАС!I596,БАЛАНС_ДЕНЬ_ЧАС!I604,БАЛАНС_ДЕНЬ_ЧАС!I612,БАЛАНС_ДЕНЬ_ЧАС!I620,БАЛАНС_ДЕНЬ_ЧАС!I628,БАЛАНС_ДЕНЬ_ЧАС!I636,БАЛАНС_ДЕНЬ_ЧАС!I644,БАЛАНС_ДЕНЬ_ЧАС!I652,БАЛАНС_ДЕНЬ_ЧАС!I660,БАЛАНС_ДЕНЬ_ЧАС!I668,БАЛАНС_ДЕНЬ_ЧАС!I676,БАЛАНС_ДЕНЬ_ЧАС!I684,БАЛАНС_ДЕНЬ_ЧАС!I692,БАЛАНС_ДЕНЬ_ЧАС!I700,БАЛАНС_ДЕНЬ_ЧАС!I708,БАЛАНС_ДЕНЬ_ЧАС!I716,БАЛАНС_ДЕНЬ_ЧАС!I724,БАЛАНС_ДЕНЬ_ЧАС!I732,БАЛАНС_ДЕНЬ_ЧАС!I740,БАЛАНС_ДЕНЬ_ЧАС!I748,БАЛАНС_ДЕНЬ_ЧАС!I756,БАЛАНС_ДЕНЬ_ЧАС!I764,БАЛАНС_ДЕНЬ_ЧАС!I772,БАЛАНС_ДЕНЬ_ЧАС!I780,БАЛАНС_ДЕНЬ_ЧАС!I788,БАЛАНС_ДЕНЬ_ЧАС!I796,БАЛАНС_ДЕНЬ_ЧАС!I804,БАЛАНС_ДЕНЬ_ЧАС!I812,БАЛАНС_ДЕНЬ_ЧАС!I820,БАЛАНС_ДЕНЬ_ЧАС!I828,БАЛАНС_ДЕНЬ_ЧАС!I836,БАЛАНС_ДЕНЬ_ЧАС!I844)</f>
        <v>10</v>
      </c>
      <c r="M17" s="12" t="n">
        <f aca="false">MAX(БАЛАНС_ДЕНЬ_ЧАС!J12,БАЛАНС_ДЕНЬ_ЧАС!J20,БАЛАНС_ДЕНЬ_ЧАС!J28,БАЛАНС_ДЕНЬ_ЧАС!J36,БАЛАНС_ДЕНЬ_ЧАС!J44,БАЛАНС_ДЕНЬ_ЧАС!J52,БАЛАНС_ДЕНЬ_ЧАС!J60,БАЛАНС_ДЕНЬ_ЧАС!J68,БАЛАНС_ДЕНЬ_ЧАС!J76,БАЛАНС_ДЕНЬ_ЧАС!J84,БАЛАНС_ДЕНЬ_ЧАС!J92,БАЛАНС_ДЕНЬ_ЧАС!J100,БАЛАНС_ДЕНЬ_ЧАС!J108,БАЛАНС_ДЕНЬ_ЧАС!J116,БАЛАНС_ДЕНЬ_ЧАС!J124,БАЛАНС_ДЕНЬ_ЧАС!J132,БАЛАНС_ДЕНЬ_ЧАС!J140,БАЛАНС_ДЕНЬ_ЧАС!J148,БАЛАНС_ДЕНЬ_ЧАС!J156,БАЛАНС_ДЕНЬ_ЧАС!J164,БАЛАНС_ДЕНЬ_ЧАС!J172,БАЛАНС_ДЕНЬ_ЧАС!J180,БАЛАНС_ДЕНЬ_ЧАС!J188,БАЛАНС_ДЕНЬ_ЧАС!J196,БАЛАНС_ДЕНЬ_ЧАС!J204,БАЛАНС_ДЕНЬ_ЧАС!J212,БАЛАНС_ДЕНЬ_ЧАС!J220,БАЛАНС_ДЕНЬ_ЧАС!J228,БАЛАНС_ДЕНЬ_ЧАС!J236,БАЛАНС_ДЕНЬ_ЧАС!J244,БАЛАНС_ДЕНЬ_ЧАС!J252,БАЛАНС_ДЕНЬ_ЧАС!J260,БАЛАНС_ДЕНЬ_ЧАС!J268,БАЛАНС_ДЕНЬ_ЧАС!J276,БАЛАНС_ДЕНЬ_ЧАС!J284,БАЛАНС_ДЕНЬ_ЧАС!J292,БАЛАНС_ДЕНЬ_ЧАС!J300,БАЛАНС_ДЕНЬ_ЧАС!J308,БАЛАНС_ДЕНЬ_ЧАС!J316,БАЛАНС_ДЕНЬ_ЧАС!J324,БАЛАНС_ДЕНЬ_ЧАС!J332,БАЛАНС_ДЕНЬ_ЧАС!J340,БАЛАНС_ДЕНЬ_ЧАС!J348,БАЛАНС_ДЕНЬ_ЧАС!J356,БАЛАНС_ДЕНЬ_ЧАС!J364,БАЛАНС_ДЕНЬ_ЧАС!J372,БАЛАНС_ДЕНЬ_ЧАС!J380,БАЛАНС_ДЕНЬ_ЧАС!J388,БАЛАНС_ДЕНЬ_ЧАС!J396,БАЛАНС_ДЕНЬ_ЧАС!J404,БАЛАНС_ДЕНЬ_ЧАС!J412,БАЛАНС_ДЕНЬ_ЧАС!J420,БАЛАНС_ДЕНЬ_ЧАС!J428,БАЛАНС_ДЕНЬ_ЧАС!J436,БАЛАНС_ДЕНЬ_ЧАС!J444,БАЛАНС_ДЕНЬ_ЧАС!J452,БАЛАНС_ДЕНЬ_ЧАС!J460,БАЛАНС_ДЕНЬ_ЧАС!J468,БАЛАНС_ДЕНЬ_ЧАС!J476,БАЛАНС_ДЕНЬ_ЧАС!J484,БАЛАНС_ДЕНЬ_ЧАС!J492,БАЛАНС_ДЕНЬ_ЧАС!J500,БАЛАНС_ДЕНЬ_ЧАС!J508,БАЛАНС_ДЕНЬ_ЧАС!J516,БАЛАНС_ДЕНЬ_ЧАС!J524,БАЛАНС_ДЕНЬ_ЧАС!J532,БАЛАНС_ДЕНЬ_ЧАС!J540,БАЛАНС_ДЕНЬ_ЧАС!J548,БАЛАНС_ДЕНЬ_ЧАС!J556,БАЛАНС_ДЕНЬ_ЧАС!J564,БАЛАНС_ДЕНЬ_ЧАС!J572,БАЛАНС_ДЕНЬ_ЧАС!J580,БАЛАНС_ДЕНЬ_ЧАС!J588,БАЛАНС_ДЕНЬ_ЧАС!J596,БАЛАНС_ДЕНЬ_ЧАС!J604,БАЛАНС_ДЕНЬ_ЧАС!J612,БАЛАНС_ДЕНЬ_ЧАС!J620,БАЛАНС_ДЕНЬ_ЧАС!J628,БАЛАНС_ДЕНЬ_ЧАС!J636,БАЛАНС_ДЕНЬ_ЧАС!J644,БАЛАНС_ДЕНЬ_ЧАС!J652,БАЛАНС_ДЕНЬ_ЧАС!J660,БАЛАНС_ДЕНЬ_ЧАС!J668,БАЛАНС_ДЕНЬ_ЧАС!J676,БАЛАНС_ДЕНЬ_ЧАС!J684,БАЛАНС_ДЕНЬ_ЧАС!J692,БАЛАНС_ДЕНЬ_ЧАС!J700,БАЛАНС_ДЕНЬ_ЧАС!J708,БАЛАНС_ДЕНЬ_ЧАС!J716,БАЛАНС_ДЕНЬ_ЧАС!J724,БАЛАНС_ДЕНЬ_ЧАС!J732,БАЛАНС_ДЕНЬ_ЧАС!J740,БАЛАНС_ДЕНЬ_ЧАС!J748,БАЛАНС_ДЕНЬ_ЧАС!J756,БАЛАНС_ДЕНЬ_ЧАС!J764,БАЛАНС_ДЕНЬ_ЧАС!J772,БАЛАНС_ДЕНЬ_ЧАС!J780,БАЛАНС_ДЕНЬ_ЧАС!J788,БАЛАНС_ДЕНЬ_ЧАС!J796,БАЛАНС_ДЕНЬ_ЧАС!J804,БАЛАНС_ДЕНЬ_ЧАС!J812,БАЛАНС_ДЕНЬ_ЧАС!J820,БАЛАНС_ДЕНЬ_ЧАС!J828,БАЛАНС_ДЕНЬ_ЧАС!J836,БАЛАНС_ДЕНЬ_ЧАС!J844)</f>
        <v>10</v>
      </c>
      <c r="N17" s="12" t="n">
        <f aca="false">MAX(БАЛАНС_ДЕНЬ_ЧАС!K12,БАЛАНС_ДЕНЬ_ЧАС!K20,БАЛАНС_ДЕНЬ_ЧАС!K28,БАЛАНС_ДЕНЬ_ЧАС!K36,БАЛАНС_ДЕНЬ_ЧАС!K44,БАЛАНС_ДЕНЬ_ЧАС!K52,БАЛАНС_ДЕНЬ_ЧАС!K60,БАЛАНС_ДЕНЬ_ЧАС!K68,БАЛАНС_ДЕНЬ_ЧАС!K76,БАЛАНС_ДЕНЬ_ЧАС!K84,БАЛАНС_ДЕНЬ_ЧАС!K92,БАЛАНС_ДЕНЬ_ЧАС!K100,БАЛАНС_ДЕНЬ_ЧАС!K108,БАЛАНС_ДЕНЬ_ЧАС!K116,БАЛАНС_ДЕНЬ_ЧАС!K124,БАЛАНС_ДЕНЬ_ЧАС!K132,БАЛАНС_ДЕНЬ_ЧАС!K140,БАЛАНС_ДЕНЬ_ЧАС!K148,БАЛАНС_ДЕНЬ_ЧАС!K156,БАЛАНС_ДЕНЬ_ЧАС!K164,БАЛАНС_ДЕНЬ_ЧАС!K172,БАЛАНС_ДЕНЬ_ЧАС!K180,БАЛАНС_ДЕНЬ_ЧАС!K188,БАЛАНС_ДЕНЬ_ЧАС!K196,БАЛАНС_ДЕНЬ_ЧАС!K204,БАЛАНС_ДЕНЬ_ЧАС!K212,БАЛАНС_ДЕНЬ_ЧАС!K220,БАЛАНС_ДЕНЬ_ЧАС!K228,БАЛАНС_ДЕНЬ_ЧАС!K236,БАЛАНС_ДЕНЬ_ЧАС!K244,БАЛАНС_ДЕНЬ_ЧАС!K252,БАЛАНС_ДЕНЬ_ЧАС!K260,БАЛАНС_ДЕНЬ_ЧАС!K268,БАЛАНС_ДЕНЬ_ЧАС!K276,БАЛАНС_ДЕНЬ_ЧАС!K284,БАЛАНС_ДЕНЬ_ЧАС!K292,БАЛАНС_ДЕНЬ_ЧАС!K300,БАЛАНС_ДЕНЬ_ЧАС!K308,БАЛАНС_ДЕНЬ_ЧАС!K316,БАЛАНС_ДЕНЬ_ЧАС!K324,БАЛАНС_ДЕНЬ_ЧАС!K332,БАЛАНС_ДЕНЬ_ЧАС!K340,БАЛАНС_ДЕНЬ_ЧАС!K348,БАЛАНС_ДЕНЬ_ЧАС!K356,БАЛАНС_ДЕНЬ_ЧАС!K364,БАЛАНС_ДЕНЬ_ЧАС!K372,БАЛАНС_ДЕНЬ_ЧАС!K380,БАЛАНС_ДЕНЬ_ЧАС!K388,БАЛАНС_ДЕНЬ_ЧАС!K396,БАЛАНС_ДЕНЬ_ЧАС!K404,БАЛАНС_ДЕНЬ_ЧАС!K412,БАЛАНС_ДЕНЬ_ЧАС!K420,БАЛАНС_ДЕНЬ_ЧАС!K428,БАЛАНС_ДЕНЬ_ЧАС!K436,БАЛАНС_ДЕНЬ_ЧАС!K444,БАЛАНС_ДЕНЬ_ЧАС!K452,БАЛАНС_ДЕНЬ_ЧАС!K460,БАЛАНС_ДЕНЬ_ЧАС!K468,БАЛАНС_ДЕНЬ_ЧАС!K476,БАЛАНС_ДЕНЬ_ЧАС!K484,БАЛАНС_ДЕНЬ_ЧАС!K492,БАЛАНС_ДЕНЬ_ЧАС!K500,БАЛАНС_ДЕНЬ_ЧАС!K508,БАЛАНС_ДЕНЬ_ЧАС!K516,БАЛАНС_ДЕНЬ_ЧАС!K524,БАЛАНС_ДЕНЬ_ЧАС!K532,БАЛАНС_ДЕНЬ_ЧАС!K540,БАЛАНС_ДЕНЬ_ЧАС!K548,БАЛАНС_ДЕНЬ_ЧАС!K556,БАЛАНС_ДЕНЬ_ЧАС!K564,БАЛАНС_ДЕНЬ_ЧАС!K572,БАЛАНС_ДЕНЬ_ЧАС!K580,БАЛАНС_ДЕНЬ_ЧАС!K588,БАЛАНС_ДЕНЬ_ЧАС!K596,БАЛАНС_ДЕНЬ_ЧАС!K604,БАЛАНС_ДЕНЬ_ЧАС!K612,БАЛАНС_ДЕНЬ_ЧАС!K620,БАЛАНС_ДЕНЬ_ЧАС!K628,БАЛАНС_ДЕНЬ_ЧАС!K636,БАЛАНС_ДЕНЬ_ЧАС!K644,БАЛАНС_ДЕНЬ_ЧАС!K652,БАЛАНС_ДЕНЬ_ЧАС!K660,БАЛАНС_ДЕНЬ_ЧАС!K668,БАЛАНС_ДЕНЬ_ЧАС!K676,БАЛАНС_ДЕНЬ_ЧАС!K684,БАЛАНС_ДЕНЬ_ЧАС!K692,БАЛАНС_ДЕНЬ_ЧАС!K700,БАЛАНС_ДЕНЬ_ЧАС!K708,БАЛАНС_ДЕНЬ_ЧАС!K716,БАЛАНС_ДЕНЬ_ЧАС!K724,БАЛАНС_ДЕНЬ_ЧАС!K732,БАЛАНС_ДЕНЬ_ЧАС!K740,БАЛАНС_ДЕНЬ_ЧАС!K748,БАЛАНС_ДЕНЬ_ЧАС!K756,БАЛАНС_ДЕНЬ_ЧАС!K764,БАЛАНС_ДЕНЬ_ЧАС!K772,БАЛАНС_ДЕНЬ_ЧАС!K780,БАЛАНС_ДЕНЬ_ЧАС!K788,БАЛАНС_ДЕНЬ_ЧАС!K796,БАЛАНС_ДЕНЬ_ЧАС!K804,БАЛАНС_ДЕНЬ_ЧАС!K812,БАЛАНС_ДЕНЬ_ЧАС!K820,БАЛАНС_ДЕНЬ_ЧАС!K828,БАЛАНС_ДЕНЬ_ЧАС!K836,БАЛАНС_ДЕНЬ_ЧАС!K844)</f>
        <v>0</v>
      </c>
      <c r="O17" s="11" t="str">
        <f aca="false">IF(N17&gt;0,"BLOCKED","PASS")</f>
        <v>PASS</v>
      </c>
      <c r="P17" s="11" t="s">
        <v>147</v>
      </c>
    </row>
    <row r="18" customFormat="false" ht="15" hidden="false" customHeight="false" outlineLevel="0" collapsed="false">
      <c r="A18" s="11" t="n">
        <v>8</v>
      </c>
      <c r="B18" s="11" t="s">
        <v>78</v>
      </c>
      <c r="C18" s="11" t="s">
        <v>160</v>
      </c>
      <c r="D18" s="11" t="s">
        <v>77</v>
      </c>
      <c r="E18" s="12" t="n">
        <v>85</v>
      </c>
      <c r="F18" s="12" t="n">
        <f aca="false">SUMIF(СПРОС_ДЕНЬ_ЧАС_МЕНЮ!$C$11:$C$3265,A18,СПРОС_ДЕНЬ_ЧАС_МЕНЮ!$I$11:$I$3265)</f>
        <v>26.9335</v>
      </c>
      <c r="G18" s="12" t="n">
        <f aca="false">MAX(СПРОС_ДЕНЬ_ЧАС_МЕНЮ!I18,СПРОС_ДЕНЬ_ЧАС_МЕНЮ!I49,СПРОС_ДЕНЬ_ЧАС_МЕНЮ!I80,СПРОС_ДЕНЬ_ЧАС_МЕНЮ!I111,СПРОС_ДЕНЬ_ЧАС_МЕНЮ!I142,СПРОС_ДЕНЬ_ЧАС_МЕНЮ!I173,СПРОС_ДЕНЬ_ЧАС_МЕНЮ!I204,СПРОС_ДЕНЬ_ЧАС_МЕНЮ!I235,СПРОС_ДЕНЬ_ЧАС_МЕНЮ!I266,СПРОС_ДЕНЬ_ЧАС_МЕНЮ!I297,СПРОС_ДЕНЬ_ЧАС_МЕНЮ!I328,СПРОС_ДЕНЬ_ЧАС_МЕНЮ!I359,СПРОС_ДЕНЬ_ЧАС_МЕНЮ!I390,СПРОС_ДЕНЬ_ЧАС_МЕНЮ!I421,СПРОС_ДЕНЬ_ЧАС_МЕНЮ!I452,СПРОС_ДЕНЬ_ЧАС_МЕНЮ!I483,СПРОС_ДЕНЬ_ЧАС_МЕНЮ!I514,СПРОС_ДЕНЬ_ЧАС_МЕНЮ!I545,СПРОС_ДЕНЬ_ЧАС_МЕНЮ!I576,СПРОС_ДЕНЬ_ЧАС_МЕНЮ!I607,СПРОС_ДЕНЬ_ЧАС_МЕНЮ!I638,СПРОС_ДЕНЬ_ЧАС_МЕНЮ!I669,СПРОС_ДЕНЬ_ЧАС_МЕНЮ!I700,СПРОС_ДЕНЬ_ЧАС_МЕНЮ!I731,СПРОС_ДЕНЬ_ЧАС_МЕНЮ!I762,СПРОС_ДЕНЬ_ЧАС_МЕНЮ!I793,СПРОС_ДЕНЬ_ЧАС_МЕНЮ!I824,СПРОС_ДЕНЬ_ЧАС_МЕНЮ!I855,СПРОС_ДЕНЬ_ЧАС_МЕНЮ!I886,СПРОС_ДЕНЬ_ЧАС_МЕНЮ!I917,СПРОС_ДЕНЬ_ЧАС_МЕНЮ!I948,СПРОС_ДЕНЬ_ЧАС_МЕНЮ!I979,СПРОС_ДЕНЬ_ЧАС_МЕНЮ!I1010,СПРОС_ДЕНЬ_ЧАС_МЕНЮ!I1041,СПРОС_ДЕНЬ_ЧАС_МЕНЮ!I1072,СПРОС_ДЕНЬ_ЧАС_МЕНЮ!I1103,СПРОС_ДЕНЬ_ЧАС_МЕНЮ!I1134,СПРОС_ДЕНЬ_ЧАС_МЕНЮ!I1165,СПРОС_ДЕНЬ_ЧАС_МЕНЮ!I1196,СПРОС_ДЕНЬ_ЧАС_МЕНЮ!I1227,СПРОС_ДЕНЬ_ЧАС_МЕНЮ!I1258,СПРОС_ДЕНЬ_ЧАС_МЕНЮ!I1289,СПРОС_ДЕНЬ_ЧАС_МЕНЮ!I1320,СПРОС_ДЕНЬ_ЧАС_МЕНЮ!I1351,СПРОС_ДЕНЬ_ЧАС_МЕНЮ!I1382,СПРОС_ДЕНЬ_ЧАС_МЕНЮ!I1413,СПРОС_ДЕНЬ_ЧАС_МЕНЮ!I1444,СПРОС_ДЕНЬ_ЧАС_МЕНЮ!I1475,СПРОС_ДЕНЬ_ЧАС_МЕНЮ!I1506,СПРОС_ДЕНЬ_ЧАС_МЕНЮ!I1537,СПРОС_ДЕНЬ_ЧАС_МЕНЮ!I1568,СПРОС_ДЕНЬ_ЧАС_МЕНЮ!I1599,СПРОС_ДЕНЬ_ЧАС_МЕНЮ!I1630,СПРОС_ДЕНЬ_ЧАС_МЕНЮ!I1661,СПРОС_ДЕНЬ_ЧАС_МЕНЮ!I1692,СПРОС_ДЕНЬ_ЧАС_МЕНЮ!I1723,СПРОС_ДЕНЬ_ЧАС_МЕНЮ!I1754,СПРОС_ДЕНЬ_ЧАС_МЕНЮ!I1785,СПРОС_ДЕНЬ_ЧАС_МЕНЮ!I1816,СПРОС_ДЕНЬ_ЧАС_МЕНЮ!I1847,СПРОС_ДЕНЬ_ЧАС_МЕНЮ!I1878,СПРОС_ДЕНЬ_ЧАС_МЕНЮ!I1909,СПРОС_ДЕНЬ_ЧАС_МЕНЮ!I1940,СПРОС_ДЕНЬ_ЧАС_МЕНЮ!I1971,СПРОС_ДЕНЬ_ЧАС_МЕНЮ!I2002,СПРОС_ДЕНЬ_ЧАС_МЕНЮ!I2033,СПРОС_ДЕНЬ_ЧАС_МЕНЮ!I2064,СПРОС_ДЕНЬ_ЧАС_МЕНЮ!I2095,СПРОС_ДЕНЬ_ЧАС_МЕНЮ!I2126,СПРОС_ДЕНЬ_ЧАС_МЕНЮ!I2157,СПРОС_ДЕНЬ_ЧАС_МЕНЮ!I2188,СПРОС_ДЕНЬ_ЧАС_МЕНЮ!I2219,СПРОС_ДЕНЬ_ЧАС_МЕНЮ!I2250,СПРОС_ДЕНЬ_ЧАС_МЕНЮ!I2281,СПРОС_ДЕНЬ_ЧАС_МЕНЮ!I2312,СПРОС_ДЕНЬ_ЧАС_МЕНЮ!I2343,СПРОС_ДЕНЬ_ЧАС_МЕНЮ!I2374,СПРОС_ДЕНЬ_ЧАС_МЕНЮ!I2405,СПРОС_ДЕНЬ_ЧАС_МЕНЮ!I2436,СПРОС_ДЕНЬ_ЧАС_МЕНЮ!I2467,СПРОС_ДЕНЬ_ЧАС_МЕНЮ!I2498,СПРОС_ДЕНЬ_ЧАС_МЕНЮ!I2529,СПРОС_ДЕНЬ_ЧАС_МЕНЮ!I2560,СПРОС_ДЕНЬ_ЧАС_МЕНЮ!I2591,СПРОС_ДЕНЬ_ЧАС_МЕНЮ!I2622,СПРОС_ДЕНЬ_ЧАС_МЕНЮ!I2653,СПРОС_ДЕНЬ_ЧАС_МЕНЮ!I2684,СПРОС_ДЕНЬ_ЧАС_МЕНЮ!I2715,СПРОС_ДЕНЬ_ЧАС_МЕНЮ!I2746,СПРОС_ДЕНЬ_ЧАС_МЕНЮ!I2777,СПРОС_ДЕНЬ_ЧАС_МЕНЮ!I2808,СПРОС_ДЕНЬ_ЧАС_МЕНЮ!I2839,СПРОС_ДЕНЬ_ЧАС_МЕНЮ!I2870,СПРОС_ДЕНЬ_ЧАС_МЕНЮ!I2901,СПРОС_ДЕНЬ_ЧАС_МЕНЮ!I2932,СПРОС_ДЕНЬ_ЧАС_МЕНЮ!I2963,СПРОС_ДЕНЬ_ЧАС_МЕНЮ!I2994,СПРОС_ДЕНЬ_ЧАС_МЕНЮ!I3025,СПРОС_ДЕНЬ_ЧАС_МЕНЮ!I3056,СПРОС_ДЕНЬ_ЧАС_МЕНЮ!I3087,СПРОС_ДЕНЬ_ЧАС_МЕНЮ!I3118,СПРОС_ДЕНЬ_ЧАС_МЕНЮ!I3149,СПРОС_ДЕНЬ_ЧАС_МЕНЮ!I3180,СПРОС_ДЕНЬ_ЧАС_МЕНЮ!I3211,СПРОС_ДЕНЬ_ЧАС_МЕНЮ!I3242)</f>
        <v>0.58135</v>
      </c>
      <c r="H18" s="12" t="s">
        <v>112</v>
      </c>
      <c r="I18" s="12" t="s">
        <v>137</v>
      </c>
      <c r="J18" s="12" t="n">
        <f aca="false">MAX(БАЛАНС_ДЕНЬ_ЧАС!F12,БАЛАНС_ДЕНЬ_ЧАС!F20,БАЛАНС_ДЕНЬ_ЧАС!F28,БАЛАНС_ДЕНЬ_ЧАС!F36,БАЛАНС_ДЕНЬ_ЧАС!F44,БАЛАНС_ДЕНЬ_ЧАС!F52,БАЛАНС_ДЕНЬ_ЧАС!F60,БАЛАНС_ДЕНЬ_ЧАС!F68,БАЛАНС_ДЕНЬ_ЧАС!F76,БАЛАНС_ДЕНЬ_ЧАС!F84,БАЛАНС_ДЕНЬ_ЧАС!F92,БАЛАНС_ДЕНЬ_ЧАС!F100,БАЛАНС_ДЕНЬ_ЧАС!F108,БАЛАНС_ДЕНЬ_ЧАС!F116,БАЛАНС_ДЕНЬ_ЧАС!F124,БАЛАНС_ДЕНЬ_ЧАС!F132,БАЛАНС_ДЕНЬ_ЧАС!F140,БАЛАНС_ДЕНЬ_ЧАС!F148,БАЛАНС_ДЕНЬ_ЧАС!F156,БАЛАНС_ДЕНЬ_ЧАС!F164,БАЛАНС_ДЕНЬ_ЧАС!F172,БАЛАНС_ДЕНЬ_ЧАС!F180,БАЛАНС_ДЕНЬ_ЧАС!F188,БАЛАНС_ДЕНЬ_ЧАС!F196,БАЛАНС_ДЕНЬ_ЧАС!F204,БАЛАНС_ДЕНЬ_ЧАС!F212,БАЛАНС_ДЕНЬ_ЧАС!F220,БАЛАНС_ДЕНЬ_ЧАС!F228,БАЛАНС_ДЕНЬ_ЧАС!F236,БАЛАНС_ДЕНЬ_ЧАС!F244,БАЛАНС_ДЕНЬ_ЧАС!F252,БАЛАНС_ДЕНЬ_ЧАС!F260,БАЛАНС_ДЕНЬ_ЧАС!F268,БАЛАНС_ДЕНЬ_ЧАС!F276,БАЛАНС_ДЕНЬ_ЧАС!F284,БАЛАНС_ДЕНЬ_ЧАС!F292,БАЛАНС_ДЕНЬ_ЧАС!F300,БАЛАНС_ДЕНЬ_ЧАС!F308,БАЛАНС_ДЕНЬ_ЧАС!F316,БАЛАНС_ДЕНЬ_ЧАС!F324,БАЛАНС_ДЕНЬ_ЧАС!F332,БАЛАНС_ДЕНЬ_ЧАС!F340,БАЛАНС_ДЕНЬ_ЧАС!F348,БАЛАНС_ДЕНЬ_ЧАС!F356,БАЛАНС_ДЕНЬ_ЧАС!F364,БАЛАНС_ДЕНЬ_ЧАС!F372,БАЛАНС_ДЕНЬ_ЧАС!F380,БАЛАНС_ДЕНЬ_ЧАС!F388,БАЛАНС_ДЕНЬ_ЧАС!F396,БАЛАНС_ДЕНЬ_ЧАС!F404,БАЛАНС_ДЕНЬ_ЧАС!F412,БАЛАНС_ДЕНЬ_ЧАС!F420,БАЛАНС_ДЕНЬ_ЧАС!F428,БАЛАНС_ДЕНЬ_ЧАС!F436,БАЛАНС_ДЕНЬ_ЧАС!F444,БАЛАНС_ДЕНЬ_ЧАС!F452,БАЛАНС_ДЕНЬ_ЧАС!F460,БАЛАНС_ДЕНЬ_ЧАС!F468,БАЛАНС_ДЕНЬ_ЧАС!F476,БАЛАНС_ДЕНЬ_ЧАС!F484,БАЛАНС_ДЕНЬ_ЧАС!F492,БАЛАНС_ДЕНЬ_ЧАС!F500,БАЛАНС_ДЕНЬ_ЧАС!F508,БАЛАНС_ДЕНЬ_ЧАС!F516,БАЛАНС_ДЕНЬ_ЧАС!F524,БАЛАНС_ДЕНЬ_ЧАС!F532,БАЛАНС_ДЕНЬ_ЧАС!F540,БАЛАНС_ДЕНЬ_ЧАС!F548,БАЛАНС_ДЕНЬ_ЧАС!F556,БАЛАНС_ДЕНЬ_ЧАС!F564,БАЛАНС_ДЕНЬ_ЧАС!F572,БАЛАНС_ДЕНЬ_ЧАС!F580,БАЛАНС_ДЕНЬ_ЧАС!F588,БАЛАНС_ДЕНЬ_ЧАС!F596,БАЛАНС_ДЕНЬ_ЧАС!F604,БАЛАНС_ДЕНЬ_ЧАС!F612,БАЛАНС_ДЕНЬ_ЧАС!F620,БАЛАНС_ДЕНЬ_ЧАС!F628,БАЛАНС_ДЕНЬ_ЧАС!F636,БАЛАНС_ДЕНЬ_ЧАС!F644,БАЛАНС_ДЕНЬ_ЧАС!F652,БАЛАНС_ДЕНЬ_ЧАС!F660,БАЛАНС_ДЕНЬ_ЧАС!F668,БАЛАНС_ДЕНЬ_ЧАС!F676,БАЛАНС_ДЕНЬ_ЧАС!F684,БАЛАНС_ДЕНЬ_ЧАС!F692,БАЛАНС_ДЕНЬ_ЧАС!F700,БАЛАНС_ДЕНЬ_ЧАС!F708,БАЛАНС_ДЕНЬ_ЧАС!F716,БАЛАНС_ДЕНЬ_ЧАС!F724,БАЛАНС_ДЕНЬ_ЧАС!F732,БАЛАНС_ДЕНЬ_ЧАС!F740,БАЛАНС_ДЕНЬ_ЧАС!F748,БАЛАНС_ДЕНЬ_ЧАС!F756,БАЛАНС_ДЕНЬ_ЧАС!F764,БАЛАНС_ДЕНЬ_ЧАС!F772,БАЛАНС_ДЕНЬ_ЧАС!F780,БАЛАНС_ДЕНЬ_ЧАС!F788,БАЛАНС_ДЕНЬ_ЧАС!F796,БАЛАНС_ДЕНЬ_ЧАС!F804,БАЛАНС_ДЕНЬ_ЧАС!F812,БАЛАНС_ДЕНЬ_ЧАС!F820,БАЛАНС_ДЕНЬ_ЧАС!F828,БАЛАНС_ДЕНЬ_ЧАС!F836,БАЛАНС_ДЕНЬ_ЧАС!F844)</f>
        <v>3.531</v>
      </c>
      <c r="K18" s="12" t="n">
        <f aca="false">ПАРАМЕТРЫ!D21</f>
        <v>20</v>
      </c>
      <c r="L18" s="12" t="n">
        <f aca="false">MAX(БАЛАНС_ДЕНЬ_ЧАС!I12,БАЛАНС_ДЕНЬ_ЧАС!I20,БАЛАНС_ДЕНЬ_ЧАС!I28,БАЛАНС_ДЕНЬ_ЧАС!I36,БАЛАНС_ДЕНЬ_ЧАС!I44,БАЛАНС_ДЕНЬ_ЧАС!I52,БАЛАНС_ДЕНЬ_ЧАС!I60,БАЛАНС_ДЕНЬ_ЧАС!I68,БАЛАНС_ДЕНЬ_ЧАС!I76,БАЛАНС_ДЕНЬ_ЧАС!I84,БАЛАНС_ДЕНЬ_ЧАС!I92,БАЛАНС_ДЕНЬ_ЧАС!I100,БАЛАНС_ДЕНЬ_ЧАС!I108,БАЛАНС_ДЕНЬ_ЧАС!I116,БАЛАНС_ДЕНЬ_ЧАС!I124,БАЛАНС_ДЕНЬ_ЧАС!I132,БАЛАНС_ДЕНЬ_ЧАС!I140,БАЛАНС_ДЕНЬ_ЧАС!I148,БАЛАНС_ДЕНЬ_ЧАС!I156,БАЛАНС_ДЕНЬ_ЧАС!I164,БАЛАНС_ДЕНЬ_ЧАС!I172,БАЛАНС_ДЕНЬ_ЧАС!I180,БАЛАНС_ДЕНЬ_ЧАС!I188,БАЛАНС_ДЕНЬ_ЧАС!I196,БАЛАНС_ДЕНЬ_ЧАС!I204,БАЛАНС_ДЕНЬ_ЧАС!I212,БАЛАНС_ДЕНЬ_ЧАС!I220,БАЛАНС_ДЕНЬ_ЧАС!I228,БАЛАНС_ДЕНЬ_ЧАС!I236,БАЛАНС_ДЕНЬ_ЧАС!I244,БАЛАНС_ДЕНЬ_ЧАС!I252,БАЛАНС_ДЕНЬ_ЧАС!I260,БАЛАНС_ДЕНЬ_ЧАС!I268,БАЛАНС_ДЕНЬ_ЧАС!I276,БАЛАНС_ДЕНЬ_ЧАС!I284,БАЛАНС_ДЕНЬ_ЧАС!I292,БАЛАНС_ДЕНЬ_ЧАС!I300,БАЛАНС_ДЕНЬ_ЧАС!I308,БАЛАНС_ДЕНЬ_ЧАС!I316,БАЛАНС_ДЕНЬ_ЧАС!I324,БАЛАНС_ДЕНЬ_ЧАС!I332,БАЛАНС_ДЕНЬ_ЧАС!I340,БАЛАНС_ДЕНЬ_ЧАС!I348,БАЛАНС_ДЕНЬ_ЧАС!I356,БАЛАНС_ДЕНЬ_ЧАС!I364,БАЛАНС_ДЕНЬ_ЧАС!I372,БАЛАНС_ДЕНЬ_ЧАС!I380,БАЛАНС_ДЕНЬ_ЧАС!I388,БАЛАНС_ДЕНЬ_ЧАС!I396,БАЛАНС_ДЕНЬ_ЧАС!I404,БАЛАНС_ДЕНЬ_ЧАС!I412,БАЛАНС_ДЕНЬ_ЧАС!I420,БАЛАНС_ДЕНЬ_ЧАС!I428,БАЛАНС_ДЕНЬ_ЧАС!I436,БАЛАНС_ДЕНЬ_ЧАС!I444,БАЛАНС_ДЕНЬ_ЧАС!I452,БАЛАНС_ДЕНЬ_ЧАС!I460,БАЛАНС_ДЕНЬ_ЧАС!I468,БАЛАНС_ДЕНЬ_ЧАС!I476,БАЛАНС_ДЕНЬ_ЧАС!I484,БАЛАНС_ДЕНЬ_ЧАС!I492,БАЛАНС_ДЕНЬ_ЧАС!I500,БАЛАНС_ДЕНЬ_ЧАС!I508,БАЛАНС_ДЕНЬ_ЧАС!I516,БАЛАНС_ДЕНЬ_ЧАС!I524,БАЛАНС_ДЕНЬ_ЧАС!I532,БАЛАНС_ДЕНЬ_ЧАС!I540,БАЛАНС_ДЕНЬ_ЧАС!I548,БАЛАНС_ДЕНЬ_ЧАС!I556,БАЛАНС_ДЕНЬ_ЧАС!I564,БАЛАНС_ДЕНЬ_ЧАС!I572,БАЛАНС_ДЕНЬ_ЧАС!I580,БАЛАНС_ДЕНЬ_ЧАС!I588,БАЛАНС_ДЕНЬ_ЧАС!I596,БАЛАНС_ДЕНЬ_ЧАС!I604,БАЛАНС_ДЕНЬ_ЧАС!I612,БАЛАНС_ДЕНЬ_ЧАС!I620,БАЛАНС_ДЕНЬ_ЧАС!I628,БАЛАНС_ДЕНЬ_ЧАС!I636,БАЛАНС_ДЕНЬ_ЧАС!I644,БАЛАНС_ДЕНЬ_ЧАС!I652,БАЛАНС_ДЕНЬ_ЧАС!I660,БАЛАНС_ДЕНЬ_ЧАС!I668,БАЛАНС_ДЕНЬ_ЧАС!I676,БАЛАНС_ДЕНЬ_ЧАС!I684,БАЛАНС_ДЕНЬ_ЧАС!I692,БАЛАНС_ДЕНЬ_ЧАС!I700,БАЛАНС_ДЕНЬ_ЧАС!I708,БАЛАНС_ДЕНЬ_ЧАС!I716,БАЛАНС_ДЕНЬ_ЧАС!I724,БАЛАНС_ДЕНЬ_ЧАС!I732,БАЛАНС_ДЕНЬ_ЧАС!I740,БАЛАНС_ДЕНЬ_ЧАС!I748,БАЛАНС_ДЕНЬ_ЧАС!I756,БАЛАНС_ДЕНЬ_ЧАС!I764,БАЛАНС_ДЕНЬ_ЧАС!I772,БАЛАНС_ДЕНЬ_ЧАС!I780,БАЛАНС_ДЕНЬ_ЧАС!I788,БАЛАНС_ДЕНЬ_ЧАС!I796,БАЛАНС_ДЕНЬ_ЧАС!I804,БАЛАНС_ДЕНЬ_ЧАС!I812,БАЛАНС_ДЕНЬ_ЧАС!I820,БАЛАНС_ДЕНЬ_ЧАС!I828,БАЛАНС_ДЕНЬ_ЧАС!I836,БАЛАНС_ДЕНЬ_ЧАС!I844)</f>
        <v>10</v>
      </c>
      <c r="M18" s="12" t="n">
        <f aca="false">MAX(БАЛАНС_ДЕНЬ_ЧАС!J12,БАЛАНС_ДЕНЬ_ЧАС!J20,БАЛАНС_ДЕНЬ_ЧАС!J28,БАЛАНС_ДЕНЬ_ЧАС!J36,БАЛАНС_ДЕНЬ_ЧАС!J44,БАЛАНС_ДЕНЬ_ЧАС!J52,БАЛАНС_ДЕНЬ_ЧАС!J60,БАЛАНС_ДЕНЬ_ЧАС!J68,БАЛАНС_ДЕНЬ_ЧАС!J76,БАЛАНС_ДЕНЬ_ЧАС!J84,БАЛАНС_ДЕНЬ_ЧАС!J92,БАЛАНС_ДЕНЬ_ЧАС!J100,БАЛАНС_ДЕНЬ_ЧАС!J108,БАЛАНС_ДЕНЬ_ЧАС!J116,БАЛАНС_ДЕНЬ_ЧАС!J124,БАЛАНС_ДЕНЬ_ЧАС!J132,БАЛАНС_ДЕНЬ_ЧАС!J140,БАЛАНС_ДЕНЬ_ЧАС!J148,БАЛАНС_ДЕНЬ_ЧАС!J156,БАЛАНС_ДЕНЬ_ЧАС!J164,БАЛАНС_ДЕНЬ_ЧАС!J172,БАЛАНС_ДЕНЬ_ЧАС!J180,БАЛАНС_ДЕНЬ_ЧАС!J188,БАЛАНС_ДЕНЬ_ЧАС!J196,БАЛАНС_ДЕНЬ_ЧАС!J204,БАЛАНС_ДЕНЬ_ЧАС!J212,БАЛАНС_ДЕНЬ_ЧАС!J220,БАЛАНС_ДЕНЬ_ЧАС!J228,БАЛАНС_ДЕНЬ_ЧАС!J236,БАЛАНС_ДЕНЬ_ЧАС!J244,БАЛАНС_ДЕНЬ_ЧАС!J252,БАЛАНС_ДЕНЬ_ЧАС!J260,БАЛАНС_ДЕНЬ_ЧАС!J268,БАЛАНС_ДЕНЬ_ЧАС!J276,БАЛАНС_ДЕНЬ_ЧАС!J284,БАЛАНС_ДЕНЬ_ЧАС!J292,БАЛАНС_ДЕНЬ_ЧАС!J300,БАЛАНС_ДЕНЬ_ЧАС!J308,БАЛАНС_ДЕНЬ_ЧАС!J316,БАЛАНС_ДЕНЬ_ЧАС!J324,БАЛАНС_ДЕНЬ_ЧАС!J332,БАЛАНС_ДЕНЬ_ЧАС!J340,БАЛАНС_ДЕНЬ_ЧАС!J348,БАЛАНС_ДЕНЬ_ЧАС!J356,БАЛАНС_ДЕНЬ_ЧАС!J364,БАЛАНС_ДЕНЬ_ЧАС!J372,БАЛАНС_ДЕНЬ_ЧАС!J380,БАЛАНС_ДЕНЬ_ЧАС!J388,БАЛАНС_ДЕНЬ_ЧАС!J396,БАЛАНС_ДЕНЬ_ЧАС!J404,БАЛАНС_ДЕНЬ_ЧАС!J412,БАЛАНС_ДЕНЬ_ЧАС!J420,БАЛАНС_ДЕНЬ_ЧАС!J428,БАЛАНС_ДЕНЬ_ЧАС!J436,БАЛАНС_ДЕНЬ_ЧАС!J444,БАЛАНС_ДЕНЬ_ЧАС!J452,БАЛАНС_ДЕНЬ_ЧАС!J460,БАЛАНС_ДЕНЬ_ЧАС!J468,БАЛАНС_ДЕНЬ_ЧАС!J476,БАЛАНС_ДЕНЬ_ЧАС!J484,БАЛАНС_ДЕНЬ_ЧАС!J492,БАЛАНС_ДЕНЬ_ЧАС!J500,БАЛАНС_ДЕНЬ_ЧАС!J508,БАЛАНС_ДЕНЬ_ЧАС!J516,БАЛАНС_ДЕНЬ_ЧАС!J524,БАЛАНС_ДЕНЬ_ЧАС!J532,БАЛАНС_ДЕНЬ_ЧАС!J540,БАЛАНС_ДЕНЬ_ЧАС!J548,БАЛАНС_ДЕНЬ_ЧАС!J556,БАЛАНС_ДЕНЬ_ЧАС!J564,БАЛАНС_ДЕНЬ_ЧАС!J572,БАЛАНС_ДЕНЬ_ЧАС!J580,БАЛАНС_ДЕНЬ_ЧАС!J588,БАЛАНС_ДЕНЬ_ЧАС!J596,БАЛАНС_ДЕНЬ_ЧАС!J604,БАЛАНС_ДЕНЬ_ЧАС!J612,БАЛАНС_ДЕНЬ_ЧАС!J620,БАЛАНС_ДЕНЬ_ЧАС!J628,БАЛАНС_ДЕНЬ_ЧАС!J636,БАЛАНС_ДЕНЬ_ЧАС!J644,БАЛАНС_ДЕНЬ_ЧАС!J652,БАЛАНС_ДЕНЬ_ЧАС!J660,БАЛАНС_ДЕНЬ_ЧАС!J668,БАЛАНС_ДЕНЬ_ЧАС!J676,БАЛАНС_ДЕНЬ_ЧАС!J684,БАЛАНС_ДЕНЬ_ЧАС!J692,БАЛАНС_ДЕНЬ_ЧАС!J700,БАЛАНС_ДЕНЬ_ЧАС!J708,БАЛАНС_ДЕНЬ_ЧАС!J716,БАЛАНС_ДЕНЬ_ЧАС!J724,БАЛАНС_ДЕНЬ_ЧАС!J732,БАЛАНС_ДЕНЬ_ЧАС!J740,БАЛАНС_ДЕНЬ_ЧАС!J748,БАЛАНС_ДЕНЬ_ЧАС!J756,БАЛАНС_ДЕНЬ_ЧАС!J764,БАЛАНС_ДЕНЬ_ЧАС!J772,БАЛАНС_ДЕНЬ_ЧАС!J780,БАЛАНС_ДЕНЬ_ЧАС!J788,БАЛАНС_ДЕНЬ_ЧАС!J796,БАЛАНС_ДЕНЬ_ЧАС!J804,БАЛАНС_ДЕНЬ_ЧАС!J812,БАЛАНС_ДЕНЬ_ЧАС!J820,БАЛАНС_ДЕНЬ_ЧАС!J828,БАЛАНС_ДЕНЬ_ЧАС!J836,БАЛАНС_ДЕНЬ_ЧАС!J844)</f>
        <v>10</v>
      </c>
      <c r="N18" s="12" t="n">
        <f aca="false">MAX(БАЛАНС_ДЕНЬ_ЧАС!K12,БАЛАНС_ДЕНЬ_ЧАС!K20,БАЛАНС_ДЕНЬ_ЧАС!K28,БАЛАНС_ДЕНЬ_ЧАС!K36,БАЛАНС_ДЕНЬ_ЧАС!K44,БАЛАНС_ДЕНЬ_ЧАС!K52,БАЛАНС_ДЕНЬ_ЧАС!K60,БАЛАНС_ДЕНЬ_ЧАС!K68,БАЛАНС_ДЕНЬ_ЧАС!K76,БАЛАНС_ДЕНЬ_ЧАС!K84,БАЛАНС_ДЕНЬ_ЧАС!K92,БАЛАНС_ДЕНЬ_ЧАС!K100,БАЛАНС_ДЕНЬ_ЧАС!K108,БАЛАНС_ДЕНЬ_ЧАС!K116,БАЛАНС_ДЕНЬ_ЧАС!K124,БАЛАНС_ДЕНЬ_ЧАС!K132,БАЛАНС_ДЕНЬ_ЧАС!K140,БАЛАНС_ДЕНЬ_ЧАС!K148,БАЛАНС_ДЕНЬ_ЧАС!K156,БАЛАНС_ДЕНЬ_ЧАС!K164,БАЛАНС_ДЕНЬ_ЧАС!K172,БАЛАНС_ДЕНЬ_ЧАС!K180,БАЛАНС_ДЕНЬ_ЧАС!K188,БАЛАНС_ДЕНЬ_ЧАС!K196,БАЛАНС_ДЕНЬ_ЧАС!K204,БАЛАНС_ДЕНЬ_ЧАС!K212,БАЛАНС_ДЕНЬ_ЧАС!K220,БАЛАНС_ДЕНЬ_ЧАС!K228,БАЛАНС_ДЕНЬ_ЧАС!K236,БАЛАНС_ДЕНЬ_ЧАС!K244,БАЛАНС_ДЕНЬ_ЧАС!K252,БАЛАНС_ДЕНЬ_ЧАС!K260,БАЛАНС_ДЕНЬ_ЧАС!K268,БАЛАНС_ДЕНЬ_ЧАС!K276,БАЛАНС_ДЕНЬ_ЧАС!K284,БАЛАНС_ДЕНЬ_ЧАС!K292,БАЛАНС_ДЕНЬ_ЧАС!K300,БАЛАНС_ДЕНЬ_ЧАС!K308,БАЛАНС_ДЕНЬ_ЧАС!K316,БАЛАНС_ДЕНЬ_ЧАС!K324,БАЛАНС_ДЕНЬ_ЧАС!K332,БАЛАНС_ДЕНЬ_ЧАС!K340,БАЛАНС_ДЕНЬ_ЧАС!K348,БАЛАНС_ДЕНЬ_ЧАС!K356,БАЛАНС_ДЕНЬ_ЧАС!K364,БАЛАНС_ДЕНЬ_ЧАС!K372,БАЛАНС_ДЕНЬ_ЧАС!K380,БАЛАНС_ДЕНЬ_ЧАС!K388,БАЛАНС_ДЕНЬ_ЧАС!K396,БАЛАНС_ДЕНЬ_ЧАС!K404,БАЛАНС_ДЕНЬ_ЧАС!K412,БАЛАНС_ДЕНЬ_ЧАС!K420,БАЛАНС_ДЕНЬ_ЧАС!K428,БАЛАНС_ДЕНЬ_ЧАС!K436,БАЛАНС_ДЕНЬ_ЧАС!K444,БАЛАНС_ДЕНЬ_ЧАС!K452,БАЛАНС_ДЕНЬ_ЧАС!K460,БАЛАНС_ДЕНЬ_ЧАС!K468,БАЛАНС_ДЕНЬ_ЧАС!K476,БАЛАНС_ДЕНЬ_ЧАС!K484,БАЛАНС_ДЕНЬ_ЧАС!K492,БАЛАНС_ДЕНЬ_ЧАС!K500,БАЛАНС_ДЕНЬ_ЧАС!K508,БАЛАНС_ДЕНЬ_ЧАС!K516,БАЛАНС_ДЕНЬ_ЧАС!K524,БАЛАНС_ДЕНЬ_ЧАС!K532,БАЛАНС_ДЕНЬ_ЧАС!K540,БАЛАНС_ДЕНЬ_ЧАС!K548,БАЛАНС_ДЕНЬ_ЧАС!K556,БАЛАНС_ДЕНЬ_ЧАС!K564,БАЛАНС_ДЕНЬ_ЧАС!K572,БАЛАНС_ДЕНЬ_ЧАС!K580,БАЛАНС_ДЕНЬ_ЧАС!K588,БАЛАНС_ДЕНЬ_ЧАС!K596,БАЛАНС_ДЕНЬ_ЧАС!K604,БАЛАНС_ДЕНЬ_ЧАС!K612,БАЛАНС_ДЕНЬ_ЧАС!K620,БАЛАНС_ДЕНЬ_ЧАС!K628,БАЛАНС_ДЕНЬ_ЧАС!K636,БАЛАНС_ДЕНЬ_ЧАС!K644,БАЛАНС_ДЕНЬ_ЧАС!K652,БАЛАНС_ДЕНЬ_ЧАС!K660,БАЛАНС_ДЕНЬ_ЧАС!K668,БАЛАНС_ДЕНЬ_ЧАС!K676,БАЛАНС_ДЕНЬ_ЧАС!K684,БАЛАНС_ДЕНЬ_ЧАС!K692,БАЛАНС_ДЕНЬ_ЧАС!K700,БАЛАНС_ДЕНЬ_ЧАС!K708,БАЛАНС_ДЕНЬ_ЧАС!K716,БАЛАНС_ДЕНЬ_ЧАС!K724,БАЛАНС_ДЕНЬ_ЧАС!K732,БАЛАНС_ДЕНЬ_ЧАС!K740,БАЛАНС_ДЕНЬ_ЧАС!K748,БАЛАНС_ДЕНЬ_ЧАС!K756,БАЛАНС_ДЕНЬ_ЧАС!K764,БАЛАНС_ДЕНЬ_ЧАС!K772,БАЛАНС_ДЕНЬ_ЧАС!K780,БАЛАНС_ДЕНЬ_ЧАС!K788,БАЛАНС_ДЕНЬ_ЧАС!K796,БАЛАНС_ДЕНЬ_ЧАС!K804,БАЛАНС_ДЕНЬ_ЧАС!K812,БАЛАНС_ДЕНЬ_ЧАС!K820,БАЛАНС_ДЕНЬ_ЧАС!K828,БАЛАНС_ДЕНЬ_ЧАС!K836,БАЛАНС_ДЕНЬ_ЧАС!K844)</f>
        <v>0</v>
      </c>
      <c r="O18" s="11" t="str">
        <f aca="false">IF(N18&gt;0,"BLOCKED","PASS")</f>
        <v>PASS</v>
      </c>
      <c r="P18" s="11" t="s">
        <v>147</v>
      </c>
    </row>
    <row r="19" customFormat="false" ht="15" hidden="false" customHeight="false" outlineLevel="0" collapsed="false">
      <c r="A19" s="11" t="n">
        <v>9</v>
      </c>
      <c r="B19" s="11" t="s">
        <v>161</v>
      </c>
      <c r="C19" s="11" t="s">
        <v>162</v>
      </c>
      <c r="D19" s="11" t="s">
        <v>80</v>
      </c>
      <c r="E19" s="12" t="n">
        <v>300</v>
      </c>
      <c r="F19" s="12" t="n">
        <f aca="false">SUMIF(СПРОС_ДЕНЬ_ЧАС_МЕНЮ!$C$11:$C$3265,A19,СПРОС_ДЕНЬ_ЧАС_МЕНЮ!$I$11:$I$3265)</f>
        <v>41.9925</v>
      </c>
      <c r="G19" s="12" t="n">
        <f aca="false">MAX(СПРОС_ДЕНЬ_ЧАС_МЕНЮ!I19,СПРОС_ДЕНЬ_ЧАС_МЕНЮ!I50,СПРОС_ДЕНЬ_ЧАС_МЕНЮ!I81,СПРОС_ДЕНЬ_ЧАС_МЕНЮ!I112,СПРОС_ДЕНЬ_ЧАС_МЕНЮ!I143,СПРОС_ДЕНЬ_ЧАС_МЕНЮ!I174,СПРОС_ДЕНЬ_ЧАС_МЕНЮ!I205,СПРОС_ДЕНЬ_ЧАС_МЕНЮ!I236,СПРОС_ДЕНЬ_ЧАС_МЕНЮ!I267,СПРОС_ДЕНЬ_ЧАС_МЕНЮ!I298,СПРОС_ДЕНЬ_ЧАС_МЕНЮ!I329,СПРОС_ДЕНЬ_ЧАС_МЕНЮ!I360,СПРОС_ДЕНЬ_ЧАС_МЕНЮ!I391,СПРОС_ДЕНЬ_ЧАС_МЕНЮ!I422,СПРОС_ДЕНЬ_ЧАС_МЕНЮ!I453,СПРОС_ДЕНЬ_ЧАС_МЕНЮ!I484,СПРОС_ДЕНЬ_ЧАС_МЕНЮ!I515,СПРОС_ДЕНЬ_ЧАС_МЕНЮ!I546,СПРОС_ДЕНЬ_ЧАС_МЕНЮ!I577,СПРОС_ДЕНЬ_ЧАС_МЕНЮ!I608,СПРОС_ДЕНЬ_ЧАС_МЕНЮ!I639,СПРОС_ДЕНЬ_ЧАС_МЕНЮ!I670,СПРОС_ДЕНЬ_ЧАС_МЕНЮ!I701,СПРОС_ДЕНЬ_ЧАС_МЕНЮ!I732,СПРОС_ДЕНЬ_ЧАС_МЕНЮ!I763,СПРОС_ДЕНЬ_ЧАС_МЕНЮ!I794,СПРОС_ДЕНЬ_ЧАС_МЕНЮ!I825,СПРОС_ДЕНЬ_ЧАС_МЕНЮ!I856,СПРОС_ДЕНЬ_ЧАС_МЕНЮ!I887,СПРОС_ДЕНЬ_ЧАС_МЕНЮ!I918,СПРОС_ДЕНЬ_ЧАС_МЕНЮ!I949,СПРОС_ДЕНЬ_ЧАС_МЕНЮ!I980,СПРОС_ДЕНЬ_ЧАС_МЕНЮ!I1011,СПРОС_ДЕНЬ_ЧАС_МЕНЮ!I1042,СПРОС_ДЕНЬ_ЧАС_МЕНЮ!I1073,СПРОС_ДЕНЬ_ЧАС_МЕНЮ!I1104,СПРОС_ДЕНЬ_ЧАС_МЕНЮ!I1135,СПРОС_ДЕНЬ_ЧАС_МЕНЮ!I1166,СПРОС_ДЕНЬ_ЧАС_МЕНЮ!I1197,СПРОС_ДЕНЬ_ЧАС_МЕНЮ!I1228,СПРОС_ДЕНЬ_ЧАС_МЕНЮ!I1259,СПРОС_ДЕНЬ_ЧАС_МЕНЮ!I1290,СПРОС_ДЕНЬ_ЧАС_МЕНЮ!I1321,СПРОС_ДЕНЬ_ЧАС_МЕНЮ!I1352,СПРОС_ДЕНЬ_ЧАС_МЕНЮ!I1383,СПРОС_ДЕНЬ_ЧАС_МЕНЮ!I1414,СПРОС_ДЕНЬ_ЧАС_МЕНЮ!I1445,СПРОС_ДЕНЬ_ЧАС_МЕНЮ!I1476,СПРОС_ДЕНЬ_ЧАС_МЕНЮ!I1507,СПРОС_ДЕНЬ_ЧАС_МЕНЮ!I1538,СПРОС_ДЕНЬ_ЧАС_МЕНЮ!I1569,СПРОС_ДЕНЬ_ЧАС_МЕНЮ!I1600,СПРОС_ДЕНЬ_ЧАС_МЕНЮ!I1631,СПРОС_ДЕНЬ_ЧАС_МЕНЮ!I1662,СПРОС_ДЕНЬ_ЧАС_МЕНЮ!I1693,СПРОС_ДЕНЬ_ЧАС_МЕНЮ!I1724,СПРОС_ДЕНЬ_ЧАС_МЕНЮ!I1755,СПРОС_ДЕНЬ_ЧАС_МЕНЮ!I1786,СПРОС_ДЕНЬ_ЧАС_МЕНЮ!I1817,СПРОС_ДЕНЬ_ЧАС_МЕНЮ!I1848,СПРОС_ДЕНЬ_ЧАС_МЕНЮ!I1879,СПРОС_ДЕНЬ_ЧАС_МЕНЮ!I1910,СПРОС_ДЕНЬ_ЧАС_МЕНЮ!I1941,СПРОС_ДЕНЬ_ЧАС_МЕНЮ!I1972,СПРОС_ДЕНЬ_ЧАС_МЕНЮ!I2003,СПРОС_ДЕНЬ_ЧАС_МЕНЮ!I2034,СПРОС_ДЕНЬ_ЧАС_МЕНЮ!I2065,СПРОС_ДЕНЬ_ЧАС_МЕНЮ!I2096,СПРОС_ДЕНЬ_ЧАС_МЕНЮ!I2127,СПРОС_ДЕНЬ_ЧАС_МЕНЮ!I2158,СПРОС_ДЕНЬ_ЧАС_МЕНЮ!I2189,СПРОС_ДЕНЬ_ЧАС_МЕНЮ!I2220,СПРОС_ДЕНЬ_ЧАС_МЕНЮ!I2251,СПРОС_ДЕНЬ_ЧАС_МЕНЮ!I2282,СПРОС_ДЕНЬ_ЧАС_МЕНЮ!I2313,СПРОС_ДЕНЬ_ЧАС_МЕНЮ!I2344,СПРОС_ДЕНЬ_ЧАС_МЕНЮ!I2375,СПРОС_ДЕНЬ_ЧАС_МЕНЮ!I2406,СПРОС_ДЕНЬ_ЧАС_МЕНЮ!I2437,СПРОС_ДЕНЬ_ЧАС_МЕНЮ!I2468,СПРОС_ДЕНЬ_ЧАС_МЕНЮ!I2499,СПРОС_ДЕНЬ_ЧАС_МЕНЮ!I2530,СПРОС_ДЕНЬ_ЧАС_МЕНЮ!I2561,СПРОС_ДЕНЬ_ЧАС_МЕНЮ!I2592,СПРОС_ДЕНЬ_ЧАС_МЕНЮ!I2623,СПРОС_ДЕНЬ_ЧАС_МЕНЮ!I2654,СПРОС_ДЕНЬ_ЧАС_МЕНЮ!I2685,СПРОС_ДЕНЬ_ЧАС_МЕНЮ!I2716,СПРОС_ДЕНЬ_ЧАС_МЕНЮ!I2747,СПРОС_ДЕНЬ_ЧАС_МЕНЮ!I2778,СПРОС_ДЕНЬ_ЧАС_МЕНЮ!I2809,СПРОС_ДЕНЬ_ЧАС_МЕНЮ!I2840,СПРОС_ДЕНЬ_ЧАС_МЕНЮ!I2871,СПРОС_ДЕНЬ_ЧАС_МЕНЮ!I2902,СПРОС_ДЕНЬ_ЧАС_МЕНЮ!I2933,СПРОС_ДЕНЬ_ЧАС_МЕНЮ!I2964,СПРОС_ДЕНЬ_ЧАС_МЕНЮ!I2995,СПРОС_ДЕНЬ_ЧАС_МЕНЮ!I3026,СПРОС_ДЕНЬ_ЧАС_МЕНЮ!I3057,СПРОС_ДЕНЬ_ЧАС_МЕНЮ!I3088,СПРОС_ДЕНЬ_ЧАС_МЕНЮ!I3119,СПРОС_ДЕНЬ_ЧАС_МЕНЮ!I3150,СПРОС_ДЕНЬ_ЧАС_МЕНЮ!I3181,СПРОС_ДЕНЬ_ЧАС_МЕНЮ!I3212,СПРОС_ДЕНЬ_ЧАС_МЕНЮ!I3243)</f>
        <v>1.7193</v>
      </c>
      <c r="H19" s="12" t="s">
        <v>112</v>
      </c>
      <c r="I19" s="12" t="s">
        <v>137</v>
      </c>
      <c r="J19" s="12" t="n">
        <f aca="false">MAX(БАЛАНС_ДЕНЬ_ЧАС!F13,БАЛАНС_ДЕНЬ_ЧАС!F21,БАЛАНС_ДЕНЬ_ЧАС!F29,БАЛАНС_ДЕНЬ_ЧАС!F37,БАЛАНС_ДЕНЬ_ЧАС!F45,БАЛАНС_ДЕНЬ_ЧАС!F53,БАЛАНС_ДЕНЬ_ЧАС!F61,БАЛАНС_ДЕНЬ_ЧАС!F69,БАЛАНС_ДЕНЬ_ЧАС!F77,БАЛАНС_ДЕНЬ_ЧАС!F85,БАЛАНС_ДЕНЬ_ЧАС!F93,БАЛАНС_ДЕНЬ_ЧАС!F101,БАЛАНС_ДЕНЬ_ЧАС!F109,БАЛАНС_ДЕНЬ_ЧАС!F117,БАЛАНС_ДЕНЬ_ЧАС!F125,БАЛАНС_ДЕНЬ_ЧАС!F133,БАЛАНС_ДЕНЬ_ЧАС!F141,БАЛАНС_ДЕНЬ_ЧАС!F149,БАЛАНС_ДЕНЬ_ЧАС!F157,БАЛАНС_ДЕНЬ_ЧАС!F165,БАЛАНС_ДЕНЬ_ЧАС!F173,БАЛАНС_ДЕНЬ_ЧАС!F181,БАЛАНС_ДЕНЬ_ЧАС!F189,БАЛАНС_ДЕНЬ_ЧАС!F197,БАЛАНС_ДЕНЬ_ЧАС!F205,БАЛАНС_ДЕНЬ_ЧАС!F213,БАЛАНС_ДЕНЬ_ЧАС!F221,БАЛАНС_ДЕНЬ_ЧАС!F229,БАЛАНС_ДЕНЬ_ЧАС!F237,БАЛАНС_ДЕНЬ_ЧАС!F245,БАЛАНС_ДЕНЬ_ЧАС!F253,БАЛАНС_ДЕНЬ_ЧАС!F261,БАЛАНС_ДЕНЬ_ЧАС!F269,БАЛАНС_ДЕНЬ_ЧАС!F277,БАЛАНС_ДЕНЬ_ЧАС!F285,БАЛАНС_ДЕНЬ_ЧАС!F293,БАЛАНС_ДЕНЬ_ЧАС!F301,БАЛАНС_ДЕНЬ_ЧАС!F309,БАЛАНС_ДЕНЬ_ЧАС!F317,БАЛАНС_ДЕНЬ_ЧАС!F325,БАЛАНС_ДЕНЬ_ЧАС!F333,БАЛАНС_ДЕНЬ_ЧАС!F341,БАЛАНС_ДЕНЬ_ЧАС!F349,БАЛАНС_ДЕНЬ_ЧАС!F357,БАЛАНС_ДЕНЬ_ЧАС!F365,БАЛАНС_ДЕНЬ_ЧАС!F373,БАЛАНС_ДЕНЬ_ЧАС!F381,БАЛАНС_ДЕНЬ_ЧАС!F389,БАЛАНС_ДЕНЬ_ЧАС!F397,БАЛАНС_ДЕНЬ_ЧАС!F405,БАЛАНС_ДЕНЬ_ЧАС!F413,БАЛАНС_ДЕНЬ_ЧАС!F421,БАЛАНС_ДЕНЬ_ЧАС!F429,БАЛАНС_ДЕНЬ_ЧАС!F437,БАЛАНС_ДЕНЬ_ЧАС!F445,БАЛАНС_ДЕНЬ_ЧАС!F453,БАЛАНС_ДЕНЬ_ЧАС!F461,БАЛАНС_ДЕНЬ_ЧАС!F469,БАЛАНС_ДЕНЬ_ЧАС!F477,БАЛАНС_ДЕНЬ_ЧАС!F485,БАЛАНС_ДЕНЬ_ЧАС!F493,БАЛАНС_ДЕНЬ_ЧАС!F501,БАЛАНС_ДЕНЬ_ЧАС!F509,БАЛАНС_ДЕНЬ_ЧАС!F517,БАЛАНС_ДЕНЬ_ЧАС!F525,БАЛАНС_ДЕНЬ_ЧАС!F533,БАЛАНС_ДЕНЬ_ЧАС!F541,БАЛАНС_ДЕНЬ_ЧАС!F549,БАЛАНС_ДЕНЬ_ЧАС!F557,БАЛАНС_ДЕНЬ_ЧАС!F565,БАЛАНС_ДЕНЬ_ЧАС!F573,БАЛАНС_ДЕНЬ_ЧАС!F581,БАЛАНС_ДЕНЬ_ЧАС!F589,БАЛАНС_ДЕНЬ_ЧАС!F597,БАЛАНС_ДЕНЬ_ЧАС!F605,БАЛАНС_ДЕНЬ_ЧАС!F613,БАЛАНС_ДЕНЬ_ЧАС!F621,БАЛАНС_ДЕНЬ_ЧАС!F629,БАЛАНС_ДЕНЬ_ЧАС!F637,БАЛАНС_ДЕНЬ_ЧАС!F645,БАЛАНС_ДЕНЬ_ЧАС!F653,БАЛАНС_ДЕНЬ_ЧАС!F661,БАЛАНС_ДЕНЬ_ЧАС!F669,БАЛАНС_ДЕНЬ_ЧАС!F677,БАЛАНС_ДЕНЬ_ЧАС!F685,БАЛАНС_ДЕНЬ_ЧАС!F693,БАЛАНС_ДЕНЬ_ЧАС!F701,БАЛАНС_ДЕНЬ_ЧАС!F709,БАЛАНС_ДЕНЬ_ЧАС!F717,БАЛАНС_ДЕНЬ_ЧАС!F725,БАЛАНС_ДЕНЬ_ЧАС!F733,БАЛАНС_ДЕНЬ_ЧАС!F741,БАЛАНС_ДЕНЬ_ЧАС!F749,БАЛАНС_ДЕНЬ_ЧАС!F757,БАЛАНС_ДЕНЬ_ЧАС!F765,БАЛАНС_ДЕНЬ_ЧАС!F773,БАЛАНС_ДЕНЬ_ЧАС!F781,БАЛАНС_ДЕНЬ_ЧАС!F789,БАЛАНС_ДЕНЬ_ЧАС!F797,БАЛАНС_ДЕНЬ_ЧАС!F805,БАЛАНС_ДЕНЬ_ЧАС!F813,БАЛАНС_ДЕНЬ_ЧАС!F821,БАЛАНС_ДЕНЬ_ЧАС!F829,БАЛАНС_ДЕНЬ_ЧАС!F837,БАЛАНС_ДЕНЬ_ЧАС!F845)</f>
        <v>12.298</v>
      </c>
      <c r="K19" s="12" t="n">
        <f aca="false">ПАРАМЕТРЫ!D22</f>
        <v>16</v>
      </c>
      <c r="L19" s="12" t="n">
        <f aca="false">MAX(БАЛАНС_ДЕНЬ_ЧАС!I13,БАЛАНС_ДЕНЬ_ЧАС!I21,БАЛАНС_ДЕНЬ_ЧАС!I29,БАЛАНС_ДЕНЬ_ЧАС!I37,БАЛАНС_ДЕНЬ_ЧАС!I45,БАЛАНС_ДЕНЬ_ЧАС!I53,БАЛАНС_ДЕНЬ_ЧАС!I61,БАЛАНС_ДЕНЬ_ЧАС!I69,БАЛАНС_ДЕНЬ_ЧАС!I77,БАЛАНС_ДЕНЬ_ЧАС!I85,БАЛАНС_ДЕНЬ_ЧАС!I93,БАЛАНС_ДЕНЬ_ЧАС!I101,БАЛАНС_ДЕНЬ_ЧАС!I109,БАЛАНС_ДЕНЬ_ЧАС!I117,БАЛАНС_ДЕНЬ_ЧАС!I125,БАЛАНС_ДЕНЬ_ЧАС!I133,БАЛАНС_ДЕНЬ_ЧАС!I141,БАЛАНС_ДЕНЬ_ЧАС!I149,БАЛАНС_ДЕНЬ_ЧАС!I157,БАЛАНС_ДЕНЬ_ЧАС!I165,БАЛАНС_ДЕНЬ_ЧАС!I173,БАЛАНС_ДЕНЬ_ЧАС!I181,БАЛАНС_ДЕНЬ_ЧАС!I189,БАЛАНС_ДЕНЬ_ЧАС!I197,БАЛАНС_ДЕНЬ_ЧАС!I205,БАЛАНС_ДЕНЬ_ЧАС!I213,БАЛАНС_ДЕНЬ_ЧАС!I221,БАЛАНС_ДЕНЬ_ЧАС!I229,БАЛАНС_ДЕНЬ_ЧАС!I237,БАЛАНС_ДЕНЬ_ЧАС!I245,БАЛАНС_ДЕНЬ_ЧАС!I253,БАЛАНС_ДЕНЬ_ЧАС!I261,БАЛАНС_ДЕНЬ_ЧАС!I269,БАЛАНС_ДЕНЬ_ЧАС!I277,БАЛАНС_ДЕНЬ_ЧАС!I285,БАЛАНС_ДЕНЬ_ЧАС!I293,БАЛАНС_ДЕНЬ_ЧАС!I301,БАЛАНС_ДЕНЬ_ЧАС!I309,БАЛАНС_ДЕНЬ_ЧАС!I317,БАЛАНС_ДЕНЬ_ЧАС!I325,БАЛАНС_ДЕНЬ_ЧАС!I333,БАЛАНС_ДЕНЬ_ЧАС!I341,БАЛАНС_ДЕНЬ_ЧАС!I349,БАЛАНС_ДЕНЬ_ЧАС!I357,БАЛАНС_ДЕНЬ_ЧАС!I365,БАЛАНС_ДЕНЬ_ЧАС!I373,БАЛАНС_ДЕНЬ_ЧАС!I381,БАЛАНС_ДЕНЬ_ЧАС!I389,БАЛАНС_ДЕНЬ_ЧАС!I397,БАЛАНС_ДЕНЬ_ЧАС!I405,БАЛАНС_ДЕНЬ_ЧАС!I413,БАЛАНС_ДЕНЬ_ЧАС!I421,БАЛАНС_ДЕНЬ_ЧАС!I429,БАЛАНС_ДЕНЬ_ЧАС!I437,БАЛАНС_ДЕНЬ_ЧАС!I445,БАЛАНС_ДЕНЬ_ЧАС!I453,БАЛАНС_ДЕНЬ_ЧАС!I461,БАЛАНС_ДЕНЬ_ЧАС!I469,БАЛАНС_ДЕНЬ_ЧАС!I477,БАЛАНС_ДЕНЬ_ЧАС!I485,БАЛАНС_ДЕНЬ_ЧАС!I493,БАЛАНС_ДЕНЬ_ЧАС!I501,БАЛАНС_ДЕНЬ_ЧАС!I509,БАЛАНС_ДЕНЬ_ЧАС!I517,БАЛАНС_ДЕНЬ_ЧАС!I525,БАЛАНС_ДЕНЬ_ЧАС!I533,БАЛАНС_ДЕНЬ_ЧАС!I541,БАЛАНС_ДЕНЬ_ЧАС!I549,БАЛАНС_ДЕНЬ_ЧАС!I557,БАЛАНС_ДЕНЬ_ЧАС!I565,БАЛАНС_ДЕНЬ_ЧАС!I573,БАЛАНС_ДЕНЬ_ЧАС!I581,БАЛАНС_ДЕНЬ_ЧАС!I589,БАЛАНС_ДЕНЬ_ЧАС!I597,БАЛАНС_ДЕНЬ_ЧАС!I605,БАЛАНС_ДЕНЬ_ЧАС!I613,БАЛАНС_ДЕНЬ_ЧАС!I621,БАЛАНС_ДЕНЬ_ЧАС!I629,БАЛАНС_ДЕНЬ_ЧАС!I637,БАЛАНС_ДЕНЬ_ЧАС!I645,БАЛАНС_ДЕНЬ_ЧАС!I653,БАЛАНС_ДЕНЬ_ЧАС!I661,БАЛАНС_ДЕНЬ_ЧАС!I669,БАЛАНС_ДЕНЬ_ЧАС!I677,БАЛАНС_ДЕНЬ_ЧАС!I685,БАЛАНС_ДЕНЬ_ЧАС!I693,БАЛАНС_ДЕНЬ_ЧАС!I701,БАЛАНС_ДЕНЬ_ЧАС!I709,БАЛАНС_ДЕНЬ_ЧАС!I717,БАЛАНС_ДЕНЬ_ЧАС!I725,БАЛАНС_ДЕНЬ_ЧАС!I733,БАЛАНС_ДЕНЬ_ЧАС!I741,БАЛАНС_ДЕНЬ_ЧАС!I749,БАЛАНС_ДЕНЬ_ЧАС!I757,БАЛАНС_ДЕНЬ_ЧАС!I765,БАЛАНС_ДЕНЬ_ЧАС!I773,БАЛАНС_ДЕНЬ_ЧАС!I781,БАЛАНС_ДЕНЬ_ЧАС!I789,БАЛАНС_ДЕНЬ_ЧАС!I797,БАЛАНС_ДЕНЬ_ЧАС!I805,БАЛАНС_ДЕНЬ_ЧАС!I813,БАЛАНС_ДЕНЬ_ЧАС!I821,БАЛАНС_ДЕНЬ_ЧАС!I829,БАЛАНС_ДЕНЬ_ЧАС!I837,БАЛАНС_ДЕНЬ_ЧАС!I845)</f>
        <v>16</v>
      </c>
      <c r="M19" s="12" t="n">
        <f aca="false">MAX(БАЛАНС_ДЕНЬ_ЧАС!J13,БАЛАНС_ДЕНЬ_ЧАС!J21,БАЛАНС_ДЕНЬ_ЧАС!J29,БАЛАНС_ДЕНЬ_ЧАС!J37,БАЛАНС_ДЕНЬ_ЧАС!J45,БАЛАНС_ДЕНЬ_ЧАС!J53,БАЛАНС_ДЕНЬ_ЧАС!J61,БАЛАНС_ДЕНЬ_ЧАС!J69,БАЛАНС_ДЕНЬ_ЧАС!J77,БАЛАНС_ДЕНЬ_ЧАС!J85,БАЛАНС_ДЕНЬ_ЧАС!J93,БАЛАНС_ДЕНЬ_ЧАС!J101,БАЛАНС_ДЕНЬ_ЧАС!J109,БАЛАНС_ДЕНЬ_ЧАС!J117,БАЛАНС_ДЕНЬ_ЧАС!J125,БАЛАНС_ДЕНЬ_ЧАС!J133,БАЛАНС_ДЕНЬ_ЧАС!J141,БАЛАНС_ДЕНЬ_ЧАС!J149,БАЛАНС_ДЕНЬ_ЧАС!J157,БАЛАНС_ДЕНЬ_ЧАС!J165,БАЛАНС_ДЕНЬ_ЧАС!J173,БАЛАНС_ДЕНЬ_ЧАС!J181,БАЛАНС_ДЕНЬ_ЧАС!J189,БАЛАНС_ДЕНЬ_ЧАС!J197,БАЛАНС_ДЕНЬ_ЧАС!J205,БАЛАНС_ДЕНЬ_ЧАС!J213,БАЛАНС_ДЕНЬ_ЧАС!J221,БАЛАНС_ДЕНЬ_ЧАС!J229,БАЛАНС_ДЕНЬ_ЧАС!J237,БАЛАНС_ДЕНЬ_ЧАС!J245,БАЛАНС_ДЕНЬ_ЧАС!J253,БАЛАНС_ДЕНЬ_ЧАС!J261,БАЛАНС_ДЕНЬ_ЧАС!J269,БАЛАНС_ДЕНЬ_ЧАС!J277,БАЛАНС_ДЕНЬ_ЧАС!J285,БАЛАНС_ДЕНЬ_ЧАС!J293,БАЛАНС_ДЕНЬ_ЧАС!J301,БАЛАНС_ДЕНЬ_ЧАС!J309,БАЛАНС_ДЕНЬ_ЧАС!J317,БАЛАНС_ДЕНЬ_ЧАС!J325,БАЛАНС_ДЕНЬ_ЧАС!J333,БАЛАНС_ДЕНЬ_ЧАС!J341,БАЛАНС_ДЕНЬ_ЧАС!J349,БАЛАНС_ДЕНЬ_ЧАС!J357,БАЛАНС_ДЕНЬ_ЧАС!J365,БАЛАНС_ДЕНЬ_ЧАС!J373,БАЛАНС_ДЕНЬ_ЧАС!J381,БАЛАНС_ДЕНЬ_ЧАС!J389,БАЛАНС_ДЕНЬ_ЧАС!J397,БАЛАНС_ДЕНЬ_ЧАС!J405,БАЛАНС_ДЕНЬ_ЧАС!J413,БАЛАНС_ДЕНЬ_ЧАС!J421,БАЛАНС_ДЕНЬ_ЧАС!J429,БАЛАНС_ДЕНЬ_ЧАС!J437,БАЛАНС_ДЕНЬ_ЧАС!J445,БАЛАНС_ДЕНЬ_ЧАС!J453,БАЛАНС_ДЕНЬ_ЧАС!J461,БАЛАНС_ДЕНЬ_ЧАС!J469,БАЛАНС_ДЕНЬ_ЧАС!J477,БАЛАНС_ДЕНЬ_ЧАС!J485,БАЛАНС_ДЕНЬ_ЧАС!J493,БАЛАНС_ДЕНЬ_ЧАС!J501,БАЛАНС_ДЕНЬ_ЧАС!J509,БАЛАНС_ДЕНЬ_ЧАС!J517,БАЛАНС_ДЕНЬ_ЧАС!J525,БАЛАНС_ДЕНЬ_ЧАС!J533,БАЛАНС_ДЕНЬ_ЧАС!J541,БАЛАНС_ДЕНЬ_ЧАС!J549,БАЛАНС_ДЕНЬ_ЧАС!J557,БАЛАНС_ДЕНЬ_ЧАС!J565,БАЛАНС_ДЕНЬ_ЧАС!J573,БАЛАНС_ДЕНЬ_ЧАС!J581,БАЛАНС_ДЕНЬ_ЧАС!J589,БАЛАНС_ДЕНЬ_ЧАС!J597,БАЛАНС_ДЕНЬ_ЧАС!J605,БАЛАНС_ДЕНЬ_ЧАС!J613,БАЛАНС_ДЕНЬ_ЧАС!J621,БАЛАНС_ДЕНЬ_ЧАС!J629,БАЛАНС_ДЕНЬ_ЧАС!J637,БАЛАНС_ДЕНЬ_ЧАС!J645,БАЛАНС_ДЕНЬ_ЧАС!J653,БАЛАНС_ДЕНЬ_ЧАС!J661,БАЛАНС_ДЕНЬ_ЧАС!J669,БАЛАНС_ДЕНЬ_ЧАС!J677,БАЛАНС_ДЕНЬ_ЧАС!J685,БАЛАНС_ДЕНЬ_ЧАС!J693,БАЛАНС_ДЕНЬ_ЧАС!J701,БАЛАНС_ДЕНЬ_ЧАС!J709,БАЛАНС_ДЕНЬ_ЧАС!J717,БАЛАНС_ДЕНЬ_ЧАС!J725,БАЛАНС_ДЕНЬ_ЧАС!J733,БАЛАНС_ДЕНЬ_ЧАС!J741,БАЛАНС_ДЕНЬ_ЧАС!J749,БАЛАНС_ДЕНЬ_ЧАС!J757,БАЛАНС_ДЕНЬ_ЧАС!J765,БАЛАНС_ДЕНЬ_ЧАС!J773,БАЛАНС_ДЕНЬ_ЧАС!J781,БАЛАНС_ДЕНЬ_ЧАС!J789,БАЛАНС_ДЕНЬ_ЧАС!J797,БАЛАНС_ДЕНЬ_ЧАС!J805,БАЛАНС_ДЕНЬ_ЧАС!J813,БАЛАНС_ДЕНЬ_ЧАС!J821,БАЛАНС_ДЕНЬ_ЧАС!J829,БАЛАНС_ДЕНЬ_ЧАС!J837,БАЛАНС_ДЕНЬ_ЧАС!J845)</f>
        <v>16</v>
      </c>
      <c r="N19" s="12" t="n">
        <f aca="false">MAX(БАЛАНС_ДЕНЬ_ЧАС!K13,БАЛАНС_ДЕНЬ_ЧАС!K21,БАЛАНС_ДЕНЬ_ЧАС!K29,БАЛАНС_ДЕНЬ_ЧАС!K37,БАЛАНС_ДЕНЬ_ЧАС!K45,БАЛАНС_ДЕНЬ_ЧАС!K53,БАЛАНС_ДЕНЬ_ЧАС!K61,БАЛАНС_ДЕНЬ_ЧАС!K69,БАЛАНС_ДЕНЬ_ЧАС!K77,БАЛАНС_ДЕНЬ_ЧАС!K85,БАЛАНС_ДЕНЬ_ЧАС!K93,БАЛАНС_ДЕНЬ_ЧАС!K101,БАЛАНС_ДЕНЬ_ЧАС!K109,БАЛАНС_ДЕНЬ_ЧАС!K117,БАЛАНС_ДЕНЬ_ЧАС!K125,БАЛАНС_ДЕНЬ_ЧАС!K133,БАЛАНС_ДЕНЬ_ЧАС!K141,БАЛАНС_ДЕНЬ_ЧАС!K149,БАЛАНС_ДЕНЬ_ЧАС!K157,БАЛАНС_ДЕНЬ_ЧАС!K165,БАЛАНС_ДЕНЬ_ЧАС!K173,БАЛАНС_ДЕНЬ_ЧАС!K181,БАЛАНС_ДЕНЬ_ЧАС!K189,БАЛАНС_ДЕНЬ_ЧАС!K197,БАЛАНС_ДЕНЬ_ЧАС!K205,БАЛАНС_ДЕНЬ_ЧАС!K213,БАЛАНС_ДЕНЬ_ЧАС!K221,БАЛАНС_ДЕНЬ_ЧАС!K229,БАЛАНС_ДЕНЬ_ЧАС!K237,БАЛАНС_ДЕНЬ_ЧАС!K245,БАЛАНС_ДЕНЬ_ЧАС!K253,БАЛАНС_ДЕНЬ_ЧАС!K261,БАЛАНС_ДЕНЬ_ЧАС!K269,БАЛАНС_ДЕНЬ_ЧАС!K277,БАЛАНС_ДЕНЬ_ЧАС!K285,БАЛАНС_ДЕНЬ_ЧАС!K293,БАЛАНС_ДЕНЬ_ЧАС!K301,БАЛАНС_ДЕНЬ_ЧАС!K309,БАЛАНС_ДЕНЬ_ЧАС!K317,БАЛАНС_ДЕНЬ_ЧАС!K325,БАЛАНС_ДЕНЬ_ЧАС!K333,БАЛАНС_ДЕНЬ_ЧАС!K341,БАЛАНС_ДЕНЬ_ЧАС!K349,БАЛАНС_ДЕНЬ_ЧАС!K357,БАЛАНС_ДЕНЬ_ЧАС!K365,БАЛАНС_ДЕНЬ_ЧАС!K373,БАЛАНС_ДЕНЬ_ЧАС!K381,БАЛАНС_ДЕНЬ_ЧАС!K389,БАЛАНС_ДЕНЬ_ЧАС!K397,БАЛАНС_ДЕНЬ_ЧАС!K405,БАЛАНС_ДЕНЬ_ЧАС!K413,БАЛАНС_ДЕНЬ_ЧАС!K421,БАЛАНС_ДЕНЬ_ЧАС!K429,БАЛАНС_ДЕНЬ_ЧАС!K437,БАЛАНС_ДЕНЬ_ЧАС!K445,БАЛАНС_ДЕНЬ_ЧАС!K453,БАЛАНС_ДЕНЬ_ЧАС!K461,БАЛАНС_ДЕНЬ_ЧАС!K469,БАЛАНС_ДЕНЬ_ЧАС!K477,БАЛАНС_ДЕНЬ_ЧАС!K485,БАЛАНС_ДЕНЬ_ЧАС!K493,БАЛАНС_ДЕНЬ_ЧАС!K501,БАЛАНС_ДЕНЬ_ЧАС!K509,БАЛАНС_ДЕНЬ_ЧАС!K517,БАЛАНС_ДЕНЬ_ЧАС!K525,БАЛАНС_ДЕНЬ_ЧАС!K533,БАЛАНС_ДЕНЬ_ЧАС!K541,БАЛАНС_ДЕНЬ_ЧАС!K549,БАЛАНС_ДЕНЬ_ЧАС!K557,БАЛАНС_ДЕНЬ_ЧАС!K565,БАЛАНС_ДЕНЬ_ЧАС!K573,БАЛАНС_ДЕНЬ_ЧАС!K581,БАЛАНС_ДЕНЬ_ЧАС!K589,БАЛАНС_ДЕНЬ_ЧАС!K597,БАЛАНС_ДЕНЬ_ЧАС!K605,БАЛАНС_ДЕНЬ_ЧАС!K613,БАЛАНС_ДЕНЬ_ЧАС!K621,БАЛАНС_ДЕНЬ_ЧАС!K629,БАЛАНС_ДЕНЬ_ЧАС!K637,БАЛАНС_ДЕНЬ_ЧАС!K645,БАЛАНС_ДЕНЬ_ЧАС!K653,БАЛАНС_ДЕНЬ_ЧАС!K661,БАЛАНС_ДЕНЬ_ЧАС!K669,БАЛАНС_ДЕНЬ_ЧАС!K677,БАЛАНС_ДЕНЬ_ЧАС!K685,БАЛАНС_ДЕНЬ_ЧАС!K693,БАЛАНС_ДЕНЬ_ЧАС!K701,БАЛАНС_ДЕНЬ_ЧАС!K709,БАЛАНС_ДЕНЬ_ЧАС!K717,БАЛАНС_ДЕНЬ_ЧАС!K725,БАЛАНС_ДЕНЬ_ЧАС!K733,БАЛАНС_ДЕНЬ_ЧАС!K741,БАЛАНС_ДЕНЬ_ЧАС!K749,БАЛАНС_ДЕНЬ_ЧАС!K757,БАЛАНС_ДЕНЬ_ЧАС!K765,БАЛАНС_ДЕНЬ_ЧАС!K773,БАЛАНС_ДЕНЬ_ЧАС!K781,БАЛАНС_ДЕНЬ_ЧАС!K789,БАЛАНС_ДЕНЬ_ЧАС!K797,БАЛАНС_ДЕНЬ_ЧАС!K805,БАЛАНС_ДЕНЬ_ЧАС!K813,БАЛАНС_ДЕНЬ_ЧАС!K821,БАЛАНС_ДЕНЬ_ЧАС!K829,БАЛАНС_ДЕНЬ_ЧАС!K837,БАЛАНС_ДЕНЬ_ЧАС!K845)</f>
        <v>0</v>
      </c>
      <c r="O19" s="11" t="str">
        <f aca="false">IF(N19&gt;0,"BLOCKED","PASS")</f>
        <v>PASS</v>
      </c>
      <c r="P19" s="11" t="s">
        <v>145</v>
      </c>
    </row>
    <row r="20" customFormat="false" ht="15" hidden="false" customHeight="false" outlineLevel="0" collapsed="false">
      <c r="A20" s="11" t="n">
        <v>10</v>
      </c>
      <c r="B20" s="11" t="s">
        <v>161</v>
      </c>
      <c r="C20" s="11" t="s">
        <v>163</v>
      </c>
      <c r="D20" s="11" t="s">
        <v>80</v>
      </c>
      <c r="E20" s="12" t="n">
        <v>280</v>
      </c>
      <c r="F20" s="12" t="n">
        <f aca="false">SUMIF(СПРОС_ДЕНЬ_ЧАС_МЕНЮ!$C$11:$C$3265,A20,СПРОС_ДЕНЬ_ЧАС_МЕНЮ!$I$11:$I$3265)</f>
        <v>51.9475</v>
      </c>
      <c r="G20" s="12" t="n">
        <f aca="false">MAX(СПРОС_ДЕНЬ_ЧАС_МЕНЮ!I20,СПРОС_ДЕНЬ_ЧАС_МЕНЮ!I51,СПРОС_ДЕНЬ_ЧАС_МЕНЮ!I82,СПРОС_ДЕНЬ_ЧАС_МЕНЮ!I113,СПРОС_ДЕНЬ_ЧАС_МЕНЮ!I144,СПРОС_ДЕНЬ_ЧАС_МЕНЮ!I175,СПРОС_ДЕНЬ_ЧАС_МЕНЮ!I206,СПРОС_ДЕНЬ_ЧАС_МЕНЮ!I237,СПРОС_ДЕНЬ_ЧАС_МЕНЮ!I268,СПРОС_ДЕНЬ_ЧАС_МЕНЮ!I299,СПРОС_ДЕНЬ_ЧАС_МЕНЮ!I330,СПРОС_ДЕНЬ_ЧАС_МЕНЮ!I361,СПРОС_ДЕНЬ_ЧАС_МЕНЮ!I392,СПРОС_ДЕНЬ_ЧАС_МЕНЮ!I423,СПРОС_ДЕНЬ_ЧАС_МЕНЮ!I454,СПРОС_ДЕНЬ_ЧАС_МЕНЮ!I485,СПРОС_ДЕНЬ_ЧАС_МЕНЮ!I516,СПРОС_ДЕНЬ_ЧАС_МЕНЮ!I547,СПРОС_ДЕНЬ_ЧАС_МЕНЮ!I578,СПРОС_ДЕНЬ_ЧАС_МЕНЮ!I609,СПРОС_ДЕНЬ_ЧАС_МЕНЮ!I640,СПРОС_ДЕНЬ_ЧАС_МЕНЮ!I671,СПРОС_ДЕНЬ_ЧАС_МЕНЮ!I702,СПРОС_ДЕНЬ_ЧАС_МЕНЮ!I733,СПРОС_ДЕНЬ_ЧАС_МЕНЮ!I764,СПРОС_ДЕНЬ_ЧАС_МЕНЮ!I795,СПРОС_ДЕНЬ_ЧАС_МЕНЮ!I826,СПРОС_ДЕНЬ_ЧАС_МЕНЮ!I857,СПРОС_ДЕНЬ_ЧАС_МЕНЮ!I888,СПРОС_ДЕНЬ_ЧАС_МЕНЮ!I919,СПРОС_ДЕНЬ_ЧАС_МЕНЮ!I950,СПРОС_ДЕНЬ_ЧАС_МЕНЮ!I981,СПРОС_ДЕНЬ_ЧАС_МЕНЮ!I1012,СПРОС_ДЕНЬ_ЧАС_МЕНЮ!I1043,СПРОС_ДЕНЬ_ЧАС_МЕНЮ!I1074,СПРОС_ДЕНЬ_ЧАС_МЕНЮ!I1105,СПРОС_ДЕНЬ_ЧАС_МЕНЮ!I1136,СПРОС_ДЕНЬ_ЧАС_МЕНЮ!I1167,СПРОС_ДЕНЬ_ЧАС_МЕНЮ!I1198,СПРОС_ДЕНЬ_ЧАС_МЕНЮ!I1229,СПРОС_ДЕНЬ_ЧАС_МЕНЮ!I1260,СПРОС_ДЕНЬ_ЧАС_МЕНЮ!I1291,СПРОС_ДЕНЬ_ЧАС_МЕНЮ!I1322,СПРОС_ДЕНЬ_ЧАС_МЕНЮ!I1353,СПРОС_ДЕНЬ_ЧАС_МЕНЮ!I1384,СПРОС_ДЕНЬ_ЧАС_МЕНЮ!I1415,СПРОС_ДЕНЬ_ЧАС_МЕНЮ!I1446,СПРОС_ДЕНЬ_ЧАС_МЕНЮ!I1477,СПРОС_ДЕНЬ_ЧАС_МЕНЮ!I1508,СПРОС_ДЕНЬ_ЧАС_МЕНЮ!I1539,СПРОС_ДЕНЬ_ЧАС_МЕНЮ!I1570,СПРОС_ДЕНЬ_ЧАС_МЕНЮ!I1601,СПРОС_ДЕНЬ_ЧАС_МЕНЮ!I1632,СПРОС_ДЕНЬ_ЧАС_МЕНЮ!I1663,СПРОС_ДЕНЬ_ЧАС_МЕНЮ!I1694,СПРОС_ДЕНЬ_ЧАС_МЕНЮ!I1725,СПРОС_ДЕНЬ_ЧАС_МЕНЮ!I1756,СПРОС_ДЕНЬ_ЧАС_МЕНЮ!I1787,СПРОС_ДЕНЬ_ЧАС_МЕНЮ!I1818,СПРОС_ДЕНЬ_ЧАС_МЕНЮ!I1849,СПРОС_ДЕНЬ_ЧАС_МЕНЮ!I1880,СПРОС_ДЕНЬ_ЧАС_МЕНЮ!I1911,СПРОС_ДЕНЬ_ЧАС_МЕНЮ!I1942,СПРОС_ДЕНЬ_ЧАС_МЕНЮ!I1973,СПРОС_ДЕНЬ_ЧАС_МЕНЮ!I2004,СПРОС_ДЕНЬ_ЧАС_МЕНЮ!I2035,СПРОС_ДЕНЬ_ЧАС_МЕНЮ!I2066,СПРОС_ДЕНЬ_ЧАС_МЕНЮ!I2097,СПРОС_ДЕНЬ_ЧАС_МЕНЮ!I2128,СПРОС_ДЕНЬ_ЧАС_МЕНЮ!I2159,СПРОС_ДЕНЬ_ЧАС_МЕНЮ!I2190,СПРОС_ДЕНЬ_ЧАС_МЕНЮ!I2221,СПРОС_ДЕНЬ_ЧАС_МЕНЮ!I2252,СПРОС_ДЕНЬ_ЧАС_МЕНЮ!I2283,СПРОС_ДЕНЬ_ЧАС_МЕНЮ!I2314,СПРОС_ДЕНЬ_ЧАС_МЕНЮ!I2345,СПРОС_ДЕНЬ_ЧАС_МЕНЮ!I2376,СПРОС_ДЕНЬ_ЧАС_МЕНЮ!I2407,СПРОС_ДЕНЬ_ЧАС_МЕНЮ!I2438,СПРОС_ДЕНЬ_ЧАС_МЕНЮ!I2469,СПРОС_ДЕНЬ_ЧАС_МЕНЮ!I2500,СПРОС_ДЕНЬ_ЧАС_МЕНЮ!I2531,СПРОС_ДЕНЬ_ЧАС_МЕНЮ!I2562,СПРОС_ДЕНЬ_ЧАС_МЕНЮ!I2593,СПРОС_ДЕНЬ_ЧАС_МЕНЮ!I2624,СПРОС_ДЕНЬ_ЧАС_МЕНЮ!I2655,СПРОС_ДЕНЬ_ЧАС_МЕНЮ!I2686,СПРОС_ДЕНЬ_ЧАС_МЕНЮ!I2717,СПРОС_ДЕНЬ_ЧАС_МЕНЮ!I2748,СПРОС_ДЕНЬ_ЧАС_МЕНЮ!I2779,СПРОС_ДЕНЬ_ЧАС_МЕНЮ!I2810,СПРОС_ДЕНЬ_ЧАС_МЕНЮ!I2841,СПРОС_ДЕНЬ_ЧАС_МЕНЮ!I2872,СПРОС_ДЕНЬ_ЧАС_МЕНЮ!I2903,СПРОС_ДЕНЬ_ЧАС_МЕНЮ!I2934,СПРОС_ДЕНЬ_ЧАС_МЕНЮ!I2965,СПРОС_ДЕНЬ_ЧАС_МЕНЮ!I2996,СПРОС_ДЕНЬ_ЧАС_МЕНЮ!I3027,СПРОС_ДЕНЬ_ЧАС_МЕНЮ!I3058,СПРОС_ДЕНЬ_ЧАС_МЕНЮ!I3089,СПРОС_ДЕНЬ_ЧАС_МЕНЮ!I3120,СПРОС_ДЕНЬ_ЧАС_МЕНЮ!I3151,СПРОС_ДЕНЬ_ЧАС_МЕНЮ!I3182,СПРОС_ДЕНЬ_ЧАС_МЕНЮ!I3213,СПРОС_ДЕНЬ_ЧАС_МЕНЮ!I3244)</f>
        <v>1.8876</v>
      </c>
      <c r="H20" s="12" t="s">
        <v>112</v>
      </c>
      <c r="I20" s="12" t="s">
        <v>137</v>
      </c>
      <c r="J20" s="12" t="n">
        <f aca="false">MAX(БАЛАНС_ДЕНЬ_ЧАС!F13,БАЛАНС_ДЕНЬ_ЧАС!F21,БАЛАНС_ДЕНЬ_ЧАС!F29,БАЛАНС_ДЕНЬ_ЧАС!F37,БАЛАНС_ДЕНЬ_ЧАС!F45,БАЛАНС_ДЕНЬ_ЧАС!F53,БАЛАНС_ДЕНЬ_ЧАС!F61,БАЛАНС_ДЕНЬ_ЧАС!F69,БАЛАНС_ДЕНЬ_ЧАС!F77,БАЛАНС_ДЕНЬ_ЧАС!F85,БАЛАНС_ДЕНЬ_ЧАС!F93,БАЛАНС_ДЕНЬ_ЧАС!F101,БАЛАНС_ДЕНЬ_ЧАС!F109,БАЛАНС_ДЕНЬ_ЧАС!F117,БАЛАНС_ДЕНЬ_ЧАС!F125,БАЛАНС_ДЕНЬ_ЧАС!F133,БАЛАНС_ДЕНЬ_ЧАС!F141,БАЛАНС_ДЕНЬ_ЧАС!F149,БАЛАНС_ДЕНЬ_ЧАС!F157,БАЛАНС_ДЕНЬ_ЧАС!F165,БАЛАНС_ДЕНЬ_ЧАС!F173,БАЛАНС_ДЕНЬ_ЧАС!F181,БАЛАНС_ДЕНЬ_ЧАС!F189,БАЛАНС_ДЕНЬ_ЧАС!F197,БАЛАНС_ДЕНЬ_ЧАС!F205,БАЛАНС_ДЕНЬ_ЧАС!F213,БАЛАНС_ДЕНЬ_ЧАС!F221,БАЛАНС_ДЕНЬ_ЧАС!F229,БАЛАНС_ДЕНЬ_ЧАС!F237,БАЛАНС_ДЕНЬ_ЧАС!F245,БАЛАНС_ДЕНЬ_ЧАС!F253,БАЛАНС_ДЕНЬ_ЧАС!F261,БАЛАНС_ДЕНЬ_ЧАС!F269,БАЛАНС_ДЕНЬ_ЧАС!F277,БАЛАНС_ДЕНЬ_ЧАС!F285,БАЛАНС_ДЕНЬ_ЧАС!F293,БАЛАНС_ДЕНЬ_ЧАС!F301,БАЛАНС_ДЕНЬ_ЧАС!F309,БАЛАНС_ДЕНЬ_ЧАС!F317,БАЛАНС_ДЕНЬ_ЧАС!F325,БАЛАНС_ДЕНЬ_ЧАС!F333,БАЛАНС_ДЕНЬ_ЧАС!F341,БАЛАНС_ДЕНЬ_ЧАС!F349,БАЛАНС_ДЕНЬ_ЧАС!F357,БАЛАНС_ДЕНЬ_ЧАС!F365,БАЛАНС_ДЕНЬ_ЧАС!F373,БАЛАНС_ДЕНЬ_ЧАС!F381,БАЛАНС_ДЕНЬ_ЧАС!F389,БАЛАНС_ДЕНЬ_ЧАС!F397,БАЛАНС_ДЕНЬ_ЧАС!F405,БАЛАНС_ДЕНЬ_ЧАС!F413,БАЛАНС_ДЕНЬ_ЧАС!F421,БАЛАНС_ДЕНЬ_ЧАС!F429,БАЛАНС_ДЕНЬ_ЧАС!F437,БАЛАНС_ДЕНЬ_ЧАС!F445,БАЛАНС_ДЕНЬ_ЧАС!F453,БАЛАНС_ДЕНЬ_ЧАС!F461,БАЛАНС_ДЕНЬ_ЧАС!F469,БАЛАНС_ДЕНЬ_ЧАС!F477,БАЛАНС_ДЕНЬ_ЧАС!F485,БАЛАНС_ДЕНЬ_ЧАС!F493,БАЛАНС_ДЕНЬ_ЧАС!F501,БАЛАНС_ДЕНЬ_ЧАС!F509,БАЛАНС_ДЕНЬ_ЧАС!F517,БАЛАНС_ДЕНЬ_ЧАС!F525,БАЛАНС_ДЕНЬ_ЧАС!F533,БАЛАНС_ДЕНЬ_ЧАС!F541,БАЛАНС_ДЕНЬ_ЧАС!F549,БАЛАНС_ДЕНЬ_ЧАС!F557,БАЛАНС_ДЕНЬ_ЧАС!F565,БАЛАНС_ДЕНЬ_ЧАС!F573,БАЛАНС_ДЕНЬ_ЧАС!F581,БАЛАНС_ДЕНЬ_ЧАС!F589,БАЛАНС_ДЕНЬ_ЧАС!F597,БАЛАНС_ДЕНЬ_ЧАС!F605,БАЛАНС_ДЕНЬ_ЧАС!F613,БАЛАНС_ДЕНЬ_ЧАС!F621,БАЛАНС_ДЕНЬ_ЧАС!F629,БАЛАНС_ДЕНЬ_ЧАС!F637,БАЛАНС_ДЕНЬ_ЧАС!F645,БАЛАНС_ДЕНЬ_ЧАС!F653,БАЛАНС_ДЕНЬ_ЧАС!F661,БАЛАНС_ДЕНЬ_ЧАС!F669,БАЛАНС_ДЕНЬ_ЧАС!F677,БАЛАНС_ДЕНЬ_ЧАС!F685,БАЛАНС_ДЕНЬ_ЧАС!F693,БАЛАНС_ДЕНЬ_ЧАС!F701,БАЛАНС_ДЕНЬ_ЧАС!F709,БАЛАНС_ДЕНЬ_ЧАС!F717,БАЛАНС_ДЕНЬ_ЧАС!F725,БАЛАНС_ДЕНЬ_ЧАС!F733,БАЛАНС_ДЕНЬ_ЧАС!F741,БАЛАНС_ДЕНЬ_ЧАС!F749,БАЛАНС_ДЕНЬ_ЧАС!F757,БАЛАНС_ДЕНЬ_ЧАС!F765,БАЛАНС_ДЕНЬ_ЧАС!F773,БАЛАНС_ДЕНЬ_ЧАС!F781,БАЛАНС_ДЕНЬ_ЧАС!F789,БАЛАНС_ДЕНЬ_ЧАС!F797,БАЛАНС_ДЕНЬ_ЧАС!F805,БАЛАНС_ДЕНЬ_ЧАС!F813,БАЛАНС_ДЕНЬ_ЧАС!F821,БАЛАНС_ДЕНЬ_ЧАС!F829,БАЛАНС_ДЕНЬ_ЧАС!F837,БАЛАНС_ДЕНЬ_ЧАС!F845)</f>
        <v>12.298</v>
      </c>
      <c r="K20" s="12" t="n">
        <f aca="false">ПАРАМЕТРЫ!D22</f>
        <v>16</v>
      </c>
      <c r="L20" s="12" t="n">
        <f aca="false">MAX(БАЛАНС_ДЕНЬ_ЧАС!I13,БАЛАНС_ДЕНЬ_ЧАС!I21,БАЛАНС_ДЕНЬ_ЧАС!I29,БАЛАНС_ДЕНЬ_ЧАС!I37,БАЛАНС_ДЕНЬ_ЧАС!I45,БАЛАНС_ДЕНЬ_ЧАС!I53,БАЛАНС_ДЕНЬ_ЧАС!I61,БАЛАНС_ДЕНЬ_ЧАС!I69,БАЛАНС_ДЕНЬ_ЧАС!I77,БАЛАНС_ДЕНЬ_ЧАС!I85,БАЛАНС_ДЕНЬ_ЧАС!I93,БАЛАНС_ДЕНЬ_ЧАС!I101,БАЛАНС_ДЕНЬ_ЧАС!I109,БАЛАНС_ДЕНЬ_ЧАС!I117,БАЛАНС_ДЕНЬ_ЧАС!I125,БАЛАНС_ДЕНЬ_ЧАС!I133,БАЛАНС_ДЕНЬ_ЧАС!I141,БАЛАНС_ДЕНЬ_ЧАС!I149,БАЛАНС_ДЕНЬ_ЧАС!I157,БАЛАНС_ДЕНЬ_ЧАС!I165,БАЛАНС_ДЕНЬ_ЧАС!I173,БАЛАНС_ДЕНЬ_ЧАС!I181,БАЛАНС_ДЕНЬ_ЧАС!I189,БАЛАНС_ДЕНЬ_ЧАС!I197,БАЛАНС_ДЕНЬ_ЧАС!I205,БАЛАНС_ДЕНЬ_ЧАС!I213,БАЛАНС_ДЕНЬ_ЧАС!I221,БАЛАНС_ДЕНЬ_ЧАС!I229,БАЛАНС_ДЕНЬ_ЧАС!I237,БАЛАНС_ДЕНЬ_ЧАС!I245,БАЛАНС_ДЕНЬ_ЧАС!I253,БАЛАНС_ДЕНЬ_ЧАС!I261,БАЛАНС_ДЕНЬ_ЧАС!I269,БАЛАНС_ДЕНЬ_ЧАС!I277,БАЛАНС_ДЕНЬ_ЧАС!I285,БАЛАНС_ДЕНЬ_ЧАС!I293,БАЛАНС_ДЕНЬ_ЧАС!I301,БАЛАНС_ДЕНЬ_ЧАС!I309,БАЛАНС_ДЕНЬ_ЧАС!I317,БАЛАНС_ДЕНЬ_ЧАС!I325,БАЛАНС_ДЕНЬ_ЧАС!I333,БАЛАНС_ДЕНЬ_ЧАС!I341,БАЛАНС_ДЕНЬ_ЧАС!I349,БАЛАНС_ДЕНЬ_ЧАС!I357,БАЛАНС_ДЕНЬ_ЧАС!I365,БАЛАНС_ДЕНЬ_ЧАС!I373,БАЛАНС_ДЕНЬ_ЧАС!I381,БАЛАНС_ДЕНЬ_ЧАС!I389,БАЛАНС_ДЕНЬ_ЧАС!I397,БАЛАНС_ДЕНЬ_ЧАС!I405,БАЛАНС_ДЕНЬ_ЧАС!I413,БАЛАНС_ДЕНЬ_ЧАС!I421,БАЛАНС_ДЕНЬ_ЧАС!I429,БАЛАНС_ДЕНЬ_ЧАС!I437,БАЛАНС_ДЕНЬ_ЧАС!I445,БАЛАНС_ДЕНЬ_ЧАС!I453,БАЛАНС_ДЕНЬ_ЧАС!I461,БАЛАНС_ДЕНЬ_ЧАС!I469,БАЛАНС_ДЕНЬ_ЧАС!I477,БАЛАНС_ДЕНЬ_ЧАС!I485,БАЛАНС_ДЕНЬ_ЧАС!I493,БАЛАНС_ДЕНЬ_ЧАС!I501,БАЛАНС_ДЕНЬ_ЧАС!I509,БАЛАНС_ДЕНЬ_ЧАС!I517,БАЛАНС_ДЕНЬ_ЧАС!I525,БАЛАНС_ДЕНЬ_ЧАС!I533,БАЛАНС_ДЕНЬ_ЧАС!I541,БАЛАНС_ДЕНЬ_ЧАС!I549,БАЛАНС_ДЕНЬ_ЧАС!I557,БАЛАНС_ДЕНЬ_ЧАС!I565,БАЛАНС_ДЕНЬ_ЧАС!I573,БАЛАНС_ДЕНЬ_ЧАС!I581,БАЛАНС_ДЕНЬ_ЧАС!I589,БАЛАНС_ДЕНЬ_ЧАС!I597,БАЛАНС_ДЕНЬ_ЧАС!I605,БАЛАНС_ДЕНЬ_ЧАС!I613,БАЛАНС_ДЕНЬ_ЧАС!I621,БАЛАНС_ДЕНЬ_ЧАС!I629,БАЛАНС_ДЕНЬ_ЧАС!I637,БАЛАНС_ДЕНЬ_ЧАС!I645,БАЛАНС_ДЕНЬ_ЧАС!I653,БАЛАНС_ДЕНЬ_ЧАС!I661,БАЛАНС_ДЕНЬ_ЧАС!I669,БАЛАНС_ДЕНЬ_ЧАС!I677,БАЛАНС_ДЕНЬ_ЧАС!I685,БАЛАНС_ДЕНЬ_ЧАС!I693,БАЛАНС_ДЕНЬ_ЧАС!I701,БАЛАНС_ДЕНЬ_ЧАС!I709,БАЛАНС_ДЕНЬ_ЧАС!I717,БАЛАНС_ДЕНЬ_ЧАС!I725,БАЛАНС_ДЕНЬ_ЧАС!I733,БАЛАНС_ДЕНЬ_ЧАС!I741,БАЛАНС_ДЕНЬ_ЧАС!I749,БАЛАНС_ДЕНЬ_ЧАС!I757,БАЛАНС_ДЕНЬ_ЧАС!I765,БАЛАНС_ДЕНЬ_ЧАС!I773,БАЛАНС_ДЕНЬ_ЧАС!I781,БАЛАНС_ДЕНЬ_ЧАС!I789,БАЛАНС_ДЕНЬ_ЧАС!I797,БАЛАНС_ДЕНЬ_ЧАС!I805,БАЛАНС_ДЕНЬ_ЧАС!I813,БАЛАНС_ДЕНЬ_ЧАС!I821,БАЛАНС_ДЕНЬ_ЧАС!I829,БАЛАНС_ДЕНЬ_ЧАС!I837,БАЛАНС_ДЕНЬ_ЧАС!I845)</f>
        <v>16</v>
      </c>
      <c r="M20" s="12" t="n">
        <f aca="false">MAX(БАЛАНС_ДЕНЬ_ЧАС!J13,БАЛАНС_ДЕНЬ_ЧАС!J21,БАЛАНС_ДЕНЬ_ЧАС!J29,БАЛАНС_ДЕНЬ_ЧАС!J37,БАЛАНС_ДЕНЬ_ЧАС!J45,БАЛАНС_ДЕНЬ_ЧАС!J53,БАЛАНС_ДЕНЬ_ЧАС!J61,БАЛАНС_ДЕНЬ_ЧАС!J69,БАЛАНС_ДЕНЬ_ЧАС!J77,БАЛАНС_ДЕНЬ_ЧАС!J85,БАЛАНС_ДЕНЬ_ЧАС!J93,БАЛАНС_ДЕНЬ_ЧАС!J101,БАЛАНС_ДЕНЬ_ЧАС!J109,БАЛАНС_ДЕНЬ_ЧАС!J117,БАЛАНС_ДЕНЬ_ЧАС!J125,БАЛАНС_ДЕНЬ_ЧАС!J133,БАЛАНС_ДЕНЬ_ЧАС!J141,БАЛАНС_ДЕНЬ_ЧАС!J149,БАЛАНС_ДЕНЬ_ЧАС!J157,БАЛАНС_ДЕНЬ_ЧАС!J165,БАЛАНС_ДЕНЬ_ЧАС!J173,БАЛАНС_ДЕНЬ_ЧАС!J181,БАЛАНС_ДЕНЬ_ЧАС!J189,БАЛАНС_ДЕНЬ_ЧАС!J197,БАЛАНС_ДЕНЬ_ЧАС!J205,БАЛАНС_ДЕНЬ_ЧАС!J213,БАЛАНС_ДЕНЬ_ЧАС!J221,БАЛАНС_ДЕНЬ_ЧАС!J229,БАЛАНС_ДЕНЬ_ЧАС!J237,БАЛАНС_ДЕНЬ_ЧАС!J245,БАЛАНС_ДЕНЬ_ЧАС!J253,БАЛАНС_ДЕНЬ_ЧАС!J261,БАЛАНС_ДЕНЬ_ЧАС!J269,БАЛАНС_ДЕНЬ_ЧАС!J277,БАЛАНС_ДЕНЬ_ЧАС!J285,БАЛАНС_ДЕНЬ_ЧАС!J293,БАЛАНС_ДЕНЬ_ЧАС!J301,БАЛАНС_ДЕНЬ_ЧАС!J309,БАЛАНС_ДЕНЬ_ЧАС!J317,БАЛАНС_ДЕНЬ_ЧАС!J325,БАЛАНС_ДЕНЬ_ЧАС!J333,БАЛАНС_ДЕНЬ_ЧАС!J341,БАЛАНС_ДЕНЬ_ЧАС!J349,БАЛАНС_ДЕНЬ_ЧАС!J357,БАЛАНС_ДЕНЬ_ЧАС!J365,БАЛАНС_ДЕНЬ_ЧАС!J373,БАЛАНС_ДЕНЬ_ЧАС!J381,БАЛАНС_ДЕНЬ_ЧАС!J389,БАЛАНС_ДЕНЬ_ЧАС!J397,БАЛАНС_ДЕНЬ_ЧАС!J405,БАЛАНС_ДЕНЬ_ЧАС!J413,БАЛАНС_ДЕНЬ_ЧАС!J421,БАЛАНС_ДЕНЬ_ЧАС!J429,БАЛАНС_ДЕНЬ_ЧАС!J437,БАЛАНС_ДЕНЬ_ЧАС!J445,БАЛАНС_ДЕНЬ_ЧАС!J453,БАЛАНС_ДЕНЬ_ЧАС!J461,БАЛАНС_ДЕНЬ_ЧАС!J469,БАЛАНС_ДЕНЬ_ЧАС!J477,БАЛАНС_ДЕНЬ_ЧАС!J485,БАЛАНС_ДЕНЬ_ЧАС!J493,БАЛАНС_ДЕНЬ_ЧАС!J501,БАЛАНС_ДЕНЬ_ЧАС!J509,БАЛАНС_ДЕНЬ_ЧАС!J517,БАЛАНС_ДЕНЬ_ЧАС!J525,БАЛАНС_ДЕНЬ_ЧАС!J533,БАЛАНС_ДЕНЬ_ЧАС!J541,БАЛАНС_ДЕНЬ_ЧАС!J549,БАЛАНС_ДЕНЬ_ЧАС!J557,БАЛАНС_ДЕНЬ_ЧАС!J565,БАЛАНС_ДЕНЬ_ЧАС!J573,БАЛАНС_ДЕНЬ_ЧАС!J581,БАЛАНС_ДЕНЬ_ЧАС!J589,БАЛАНС_ДЕНЬ_ЧАС!J597,БАЛАНС_ДЕНЬ_ЧАС!J605,БАЛАНС_ДЕНЬ_ЧАС!J613,БАЛАНС_ДЕНЬ_ЧАС!J621,БАЛАНС_ДЕНЬ_ЧАС!J629,БАЛАНС_ДЕНЬ_ЧАС!J637,БАЛАНС_ДЕНЬ_ЧАС!J645,БАЛАНС_ДЕНЬ_ЧАС!J653,БАЛАНС_ДЕНЬ_ЧАС!J661,БАЛАНС_ДЕНЬ_ЧАС!J669,БАЛАНС_ДЕНЬ_ЧАС!J677,БАЛАНС_ДЕНЬ_ЧАС!J685,БАЛАНС_ДЕНЬ_ЧАС!J693,БАЛАНС_ДЕНЬ_ЧАС!J701,БАЛАНС_ДЕНЬ_ЧАС!J709,БАЛАНС_ДЕНЬ_ЧАС!J717,БАЛАНС_ДЕНЬ_ЧАС!J725,БАЛАНС_ДЕНЬ_ЧАС!J733,БАЛАНС_ДЕНЬ_ЧАС!J741,БАЛАНС_ДЕНЬ_ЧАС!J749,БАЛАНС_ДЕНЬ_ЧАС!J757,БАЛАНС_ДЕНЬ_ЧАС!J765,БАЛАНС_ДЕНЬ_ЧАС!J773,БАЛАНС_ДЕНЬ_ЧАС!J781,БАЛАНС_ДЕНЬ_ЧАС!J789,БАЛАНС_ДЕНЬ_ЧАС!J797,БАЛАНС_ДЕНЬ_ЧАС!J805,БАЛАНС_ДЕНЬ_ЧАС!J813,БАЛАНС_ДЕНЬ_ЧАС!J821,БАЛАНС_ДЕНЬ_ЧАС!J829,БАЛАНС_ДЕНЬ_ЧАС!J837,БАЛАНС_ДЕНЬ_ЧАС!J845)</f>
        <v>16</v>
      </c>
      <c r="N20" s="12" t="n">
        <f aca="false">MAX(БАЛАНС_ДЕНЬ_ЧАС!K13,БАЛАНС_ДЕНЬ_ЧАС!K21,БАЛАНС_ДЕНЬ_ЧАС!K29,БАЛАНС_ДЕНЬ_ЧАС!K37,БАЛАНС_ДЕНЬ_ЧАС!K45,БАЛАНС_ДЕНЬ_ЧАС!K53,БАЛАНС_ДЕНЬ_ЧАС!K61,БАЛАНС_ДЕНЬ_ЧАС!K69,БАЛАНС_ДЕНЬ_ЧАС!K77,БАЛАНС_ДЕНЬ_ЧАС!K85,БАЛАНС_ДЕНЬ_ЧАС!K93,БАЛАНС_ДЕНЬ_ЧАС!K101,БАЛАНС_ДЕНЬ_ЧАС!K109,БАЛАНС_ДЕНЬ_ЧАС!K117,БАЛАНС_ДЕНЬ_ЧАС!K125,БАЛАНС_ДЕНЬ_ЧАС!K133,БАЛАНС_ДЕНЬ_ЧАС!K141,БАЛАНС_ДЕНЬ_ЧАС!K149,БАЛАНС_ДЕНЬ_ЧАС!K157,БАЛАНС_ДЕНЬ_ЧАС!K165,БАЛАНС_ДЕНЬ_ЧАС!K173,БАЛАНС_ДЕНЬ_ЧАС!K181,БАЛАНС_ДЕНЬ_ЧАС!K189,БАЛАНС_ДЕНЬ_ЧАС!K197,БАЛАНС_ДЕНЬ_ЧАС!K205,БАЛАНС_ДЕНЬ_ЧАС!K213,БАЛАНС_ДЕНЬ_ЧАС!K221,БАЛАНС_ДЕНЬ_ЧАС!K229,БАЛАНС_ДЕНЬ_ЧАС!K237,БАЛАНС_ДЕНЬ_ЧАС!K245,БАЛАНС_ДЕНЬ_ЧАС!K253,БАЛАНС_ДЕНЬ_ЧАС!K261,БАЛАНС_ДЕНЬ_ЧАС!K269,БАЛАНС_ДЕНЬ_ЧАС!K277,БАЛАНС_ДЕНЬ_ЧАС!K285,БАЛАНС_ДЕНЬ_ЧАС!K293,БАЛАНС_ДЕНЬ_ЧАС!K301,БАЛАНС_ДЕНЬ_ЧАС!K309,БАЛАНС_ДЕНЬ_ЧАС!K317,БАЛАНС_ДЕНЬ_ЧАС!K325,БАЛАНС_ДЕНЬ_ЧАС!K333,БАЛАНС_ДЕНЬ_ЧАС!K341,БАЛАНС_ДЕНЬ_ЧАС!K349,БАЛАНС_ДЕНЬ_ЧАС!K357,БАЛАНС_ДЕНЬ_ЧАС!K365,БАЛАНС_ДЕНЬ_ЧАС!K373,БАЛАНС_ДЕНЬ_ЧАС!K381,БАЛАНС_ДЕНЬ_ЧАС!K389,БАЛАНС_ДЕНЬ_ЧАС!K397,БАЛАНС_ДЕНЬ_ЧАС!K405,БАЛАНС_ДЕНЬ_ЧАС!K413,БАЛАНС_ДЕНЬ_ЧАС!K421,БАЛАНС_ДЕНЬ_ЧАС!K429,БАЛАНС_ДЕНЬ_ЧАС!K437,БАЛАНС_ДЕНЬ_ЧАС!K445,БАЛАНС_ДЕНЬ_ЧАС!K453,БАЛАНС_ДЕНЬ_ЧАС!K461,БАЛАНС_ДЕНЬ_ЧАС!K469,БАЛАНС_ДЕНЬ_ЧАС!K477,БАЛАНС_ДЕНЬ_ЧАС!K485,БАЛАНС_ДЕНЬ_ЧАС!K493,БАЛАНС_ДЕНЬ_ЧАС!K501,БАЛАНС_ДЕНЬ_ЧАС!K509,БАЛАНС_ДЕНЬ_ЧАС!K517,БАЛАНС_ДЕНЬ_ЧАС!K525,БАЛАНС_ДЕНЬ_ЧАС!K533,БАЛАНС_ДЕНЬ_ЧАС!K541,БАЛАНС_ДЕНЬ_ЧАС!K549,БАЛАНС_ДЕНЬ_ЧАС!K557,БАЛАНС_ДЕНЬ_ЧАС!K565,БАЛАНС_ДЕНЬ_ЧАС!K573,БАЛАНС_ДЕНЬ_ЧАС!K581,БАЛАНС_ДЕНЬ_ЧАС!K589,БАЛАНС_ДЕНЬ_ЧАС!K597,БАЛАНС_ДЕНЬ_ЧАС!K605,БАЛАНС_ДЕНЬ_ЧАС!K613,БАЛАНС_ДЕНЬ_ЧАС!K621,БАЛАНС_ДЕНЬ_ЧАС!K629,БАЛАНС_ДЕНЬ_ЧАС!K637,БАЛАНС_ДЕНЬ_ЧАС!K645,БАЛАНС_ДЕНЬ_ЧАС!K653,БАЛАНС_ДЕНЬ_ЧАС!K661,БАЛАНС_ДЕНЬ_ЧАС!K669,БАЛАНС_ДЕНЬ_ЧАС!K677,БАЛАНС_ДЕНЬ_ЧАС!K685,БАЛАНС_ДЕНЬ_ЧАС!K693,БАЛАНС_ДЕНЬ_ЧАС!K701,БАЛАНС_ДЕНЬ_ЧАС!K709,БАЛАНС_ДЕНЬ_ЧАС!K717,БАЛАНС_ДЕНЬ_ЧАС!K725,БАЛАНС_ДЕНЬ_ЧАС!K733,БАЛАНС_ДЕНЬ_ЧАС!K741,БАЛАНС_ДЕНЬ_ЧАС!K749,БАЛАНС_ДЕНЬ_ЧАС!K757,БАЛАНС_ДЕНЬ_ЧАС!K765,БАЛАНС_ДЕНЬ_ЧАС!K773,БАЛАНС_ДЕНЬ_ЧАС!K781,БАЛАНС_ДЕНЬ_ЧАС!K789,БАЛАНС_ДЕНЬ_ЧАС!K797,БАЛАНС_ДЕНЬ_ЧАС!K805,БАЛАНС_ДЕНЬ_ЧАС!K813,БАЛАНС_ДЕНЬ_ЧАС!K821,БАЛАНС_ДЕНЬ_ЧАС!K829,БАЛАНС_ДЕНЬ_ЧАС!K837,БАЛАНС_ДЕНЬ_ЧАС!K845)</f>
        <v>0</v>
      </c>
      <c r="O20" s="11" t="str">
        <f aca="false">IF(N20&gt;0,"BLOCKED","PASS")</f>
        <v>PASS</v>
      </c>
      <c r="P20" s="11" t="s">
        <v>145</v>
      </c>
    </row>
    <row r="21" customFormat="false" ht="15" hidden="false" customHeight="false" outlineLevel="0" collapsed="false">
      <c r="A21" s="11" t="n">
        <v>11</v>
      </c>
      <c r="B21" s="11" t="s">
        <v>161</v>
      </c>
      <c r="C21" s="11" t="s">
        <v>164</v>
      </c>
      <c r="D21" s="11" t="s">
        <v>80</v>
      </c>
      <c r="E21" s="12" t="n">
        <v>270</v>
      </c>
      <c r="F21" s="12" t="n">
        <f aca="false">SUMIF(СПРОС_ДЕНЬ_ЧАС_МЕНЮ!$C$11:$C$3265,A21,СПРОС_ДЕНЬ_ЧАС_МЕНЮ!$I$11:$I$3265)</f>
        <v>88.7865</v>
      </c>
      <c r="G21" s="12" t="n">
        <f aca="false">MAX(СПРОС_ДЕНЬ_ЧАС_МЕНЮ!I21,СПРОС_ДЕНЬ_ЧАС_МЕНЮ!I52,СПРОС_ДЕНЬ_ЧАС_МЕНЮ!I83,СПРОС_ДЕНЬ_ЧАС_МЕНЮ!I114,СПРОС_ДЕНЬ_ЧАС_МЕНЮ!I145,СПРОС_ДЕНЬ_ЧАС_МЕНЮ!I176,СПРОС_ДЕНЬ_ЧАС_МЕНЮ!I207,СПРОС_ДЕНЬ_ЧАС_МЕНЮ!I238,СПРОС_ДЕНЬ_ЧАС_МЕНЮ!I269,СПРОС_ДЕНЬ_ЧАС_МЕНЮ!I300,СПРОС_ДЕНЬ_ЧАС_МЕНЮ!I331,СПРОС_ДЕНЬ_ЧАС_МЕНЮ!I362,СПРОС_ДЕНЬ_ЧАС_МЕНЮ!I393,СПРОС_ДЕНЬ_ЧАС_МЕНЮ!I424,СПРОС_ДЕНЬ_ЧАС_МЕНЮ!I455,СПРОС_ДЕНЬ_ЧАС_МЕНЮ!I486,СПРОС_ДЕНЬ_ЧАС_МЕНЮ!I517,СПРОС_ДЕНЬ_ЧАС_МЕНЮ!I548,СПРОС_ДЕНЬ_ЧАС_МЕНЮ!I579,СПРОС_ДЕНЬ_ЧАС_МЕНЮ!I610,СПРОС_ДЕНЬ_ЧАС_МЕНЮ!I641,СПРОС_ДЕНЬ_ЧАС_МЕНЮ!I672,СПРОС_ДЕНЬ_ЧАС_МЕНЮ!I703,СПРОС_ДЕНЬ_ЧАС_МЕНЮ!I734,СПРОС_ДЕНЬ_ЧАС_МЕНЮ!I765,СПРОС_ДЕНЬ_ЧАС_МЕНЮ!I796,СПРОС_ДЕНЬ_ЧАС_МЕНЮ!I827,СПРОС_ДЕНЬ_ЧАС_МЕНЮ!I858,СПРОС_ДЕНЬ_ЧАС_МЕНЮ!I889,СПРОС_ДЕНЬ_ЧАС_МЕНЮ!I920,СПРОС_ДЕНЬ_ЧАС_МЕНЮ!I951,СПРОС_ДЕНЬ_ЧАС_МЕНЮ!I982,СПРОС_ДЕНЬ_ЧАС_МЕНЮ!I1013,СПРОС_ДЕНЬ_ЧАС_МЕНЮ!I1044,СПРОС_ДЕНЬ_ЧАС_МЕНЮ!I1075,СПРОС_ДЕНЬ_ЧАС_МЕНЮ!I1106,СПРОС_ДЕНЬ_ЧАС_МЕНЮ!I1137,СПРОС_ДЕНЬ_ЧАС_МЕНЮ!I1168,СПРОС_ДЕНЬ_ЧАС_МЕНЮ!I1199,СПРОС_ДЕНЬ_ЧАС_МЕНЮ!I1230,СПРОС_ДЕНЬ_ЧАС_МЕНЮ!I1261,СПРОС_ДЕНЬ_ЧАС_МЕНЮ!I1292,СПРОС_ДЕНЬ_ЧАС_МЕНЮ!I1323,СПРОС_ДЕНЬ_ЧАС_МЕНЮ!I1354,СПРОС_ДЕНЬ_ЧАС_МЕНЮ!I1385,СПРОС_ДЕНЬ_ЧАС_МЕНЮ!I1416,СПРОС_ДЕНЬ_ЧАС_МЕНЮ!I1447,СПРОС_ДЕНЬ_ЧАС_МЕНЮ!I1478,СПРОС_ДЕНЬ_ЧАС_МЕНЮ!I1509,СПРОС_ДЕНЬ_ЧАС_МЕНЮ!I1540,СПРОС_ДЕНЬ_ЧАС_МЕНЮ!I1571,СПРОС_ДЕНЬ_ЧАС_МЕНЮ!I1602,СПРОС_ДЕНЬ_ЧАС_МЕНЮ!I1633,СПРОС_ДЕНЬ_ЧАС_МЕНЮ!I1664,СПРОС_ДЕНЬ_ЧАС_МЕНЮ!I1695,СПРОС_ДЕНЬ_ЧАС_МЕНЮ!I1726,СПРОС_ДЕНЬ_ЧАС_МЕНЮ!I1757,СПРОС_ДЕНЬ_ЧАС_МЕНЮ!I1788,СПРОС_ДЕНЬ_ЧАС_МЕНЮ!I1819,СПРОС_ДЕНЬ_ЧАС_МЕНЮ!I1850,СПРОС_ДЕНЬ_ЧАС_МЕНЮ!I1881,СПРОС_ДЕНЬ_ЧАС_МЕНЮ!I1912,СПРОС_ДЕНЬ_ЧАС_МЕНЮ!I1943,СПРОС_ДЕНЬ_ЧАС_МЕНЮ!I1974,СПРОС_ДЕНЬ_ЧАС_МЕНЮ!I2005,СПРОС_ДЕНЬ_ЧАС_МЕНЮ!I2036,СПРОС_ДЕНЬ_ЧАС_МЕНЮ!I2067,СПРОС_ДЕНЬ_ЧАС_МЕНЮ!I2098,СПРОС_ДЕНЬ_ЧАС_МЕНЮ!I2129,СПРОС_ДЕНЬ_ЧАС_МЕНЮ!I2160,СПРОС_ДЕНЬ_ЧАС_МЕНЮ!I2191,СПРОС_ДЕНЬ_ЧАС_МЕНЮ!I2222,СПРОС_ДЕНЬ_ЧАС_МЕНЮ!I2253,СПРОС_ДЕНЬ_ЧАС_МЕНЮ!I2284,СПРОС_ДЕНЬ_ЧАС_МЕНЮ!I2315,СПРОС_ДЕНЬ_ЧАС_МЕНЮ!I2346,СПРОС_ДЕНЬ_ЧАС_МЕНЮ!I2377,СПРОС_ДЕНЬ_ЧАС_МЕНЮ!I2408,СПРОС_ДЕНЬ_ЧАС_МЕНЮ!I2439,СПРОС_ДЕНЬ_ЧАС_МЕНЮ!I2470,СПРОС_ДЕНЬ_ЧАС_МЕНЮ!I2501,СПРОС_ДЕНЬ_ЧАС_МЕНЮ!I2532,СПРОС_ДЕНЬ_ЧАС_МЕНЮ!I2563,СПРОС_ДЕНЬ_ЧАС_МЕНЮ!I2594,СПРОС_ДЕНЬ_ЧАС_МЕНЮ!I2625,СПРОС_ДЕНЬ_ЧАС_МЕНЮ!I2656,СПРОС_ДЕНЬ_ЧАС_МЕНЮ!I2687,СПРОС_ДЕНЬ_ЧАС_МЕНЮ!I2718,СПРОС_ДЕНЬ_ЧАС_МЕНЮ!I2749,СПРОС_ДЕНЬ_ЧАС_МЕНЮ!I2780,СПРОС_ДЕНЬ_ЧАС_МЕНЮ!I2811,СПРОС_ДЕНЬ_ЧАС_МЕНЮ!I2842,СПРОС_ДЕНЬ_ЧАС_МЕНЮ!I2873,СПРОС_ДЕНЬ_ЧАС_МЕНЮ!I2904,СПРОС_ДЕНЬ_ЧАС_МЕНЮ!I2935,СПРОС_ДЕНЬ_ЧАС_МЕНЮ!I2966,СПРОС_ДЕНЬ_ЧАС_МЕНЮ!I2997,СПРОС_ДЕНЬ_ЧАС_МЕНЮ!I3028,СПРОС_ДЕНЬ_ЧАС_МЕНЮ!I3059,СПРОС_ДЕНЬ_ЧАС_МЕНЮ!I3090,СПРОС_ДЕНЬ_ЧАС_МЕНЮ!I3121,СПРОС_ДЕНЬ_ЧАС_МЕНЮ!I3152,СПРОС_ДЕНЬ_ЧАС_МЕНЮ!I3183,СПРОС_ДЕНЬ_ЧАС_МЕНЮ!I3214,СПРОС_ДЕНЬ_ЧАС_МЕНЮ!I3245)</f>
        <v>3.0096</v>
      </c>
      <c r="H21" s="12" t="s">
        <v>112</v>
      </c>
      <c r="I21" s="12" t="s">
        <v>137</v>
      </c>
      <c r="J21" s="12" t="n">
        <f aca="false">MAX(БАЛАНС_ДЕНЬ_ЧАС!F13,БАЛАНС_ДЕНЬ_ЧАС!F21,БАЛАНС_ДЕНЬ_ЧАС!F29,БАЛАНС_ДЕНЬ_ЧАС!F37,БАЛАНС_ДЕНЬ_ЧАС!F45,БАЛАНС_ДЕНЬ_ЧАС!F53,БАЛАНС_ДЕНЬ_ЧАС!F61,БАЛАНС_ДЕНЬ_ЧАС!F69,БАЛАНС_ДЕНЬ_ЧАС!F77,БАЛАНС_ДЕНЬ_ЧАС!F85,БАЛАНС_ДЕНЬ_ЧАС!F93,БАЛАНС_ДЕНЬ_ЧАС!F101,БАЛАНС_ДЕНЬ_ЧАС!F109,БАЛАНС_ДЕНЬ_ЧАС!F117,БАЛАНС_ДЕНЬ_ЧАС!F125,БАЛАНС_ДЕНЬ_ЧАС!F133,БАЛАНС_ДЕНЬ_ЧАС!F141,БАЛАНС_ДЕНЬ_ЧАС!F149,БАЛАНС_ДЕНЬ_ЧАС!F157,БАЛАНС_ДЕНЬ_ЧАС!F165,БАЛАНС_ДЕНЬ_ЧАС!F173,БАЛАНС_ДЕНЬ_ЧАС!F181,БАЛАНС_ДЕНЬ_ЧАС!F189,БАЛАНС_ДЕНЬ_ЧАС!F197,БАЛАНС_ДЕНЬ_ЧАС!F205,БАЛАНС_ДЕНЬ_ЧАС!F213,БАЛАНС_ДЕНЬ_ЧАС!F221,БАЛАНС_ДЕНЬ_ЧАС!F229,БАЛАНС_ДЕНЬ_ЧАС!F237,БАЛАНС_ДЕНЬ_ЧАС!F245,БАЛАНС_ДЕНЬ_ЧАС!F253,БАЛАНС_ДЕНЬ_ЧАС!F261,БАЛАНС_ДЕНЬ_ЧАС!F269,БАЛАНС_ДЕНЬ_ЧАС!F277,БАЛАНС_ДЕНЬ_ЧАС!F285,БАЛАНС_ДЕНЬ_ЧАС!F293,БАЛАНС_ДЕНЬ_ЧАС!F301,БАЛАНС_ДЕНЬ_ЧАС!F309,БАЛАНС_ДЕНЬ_ЧАС!F317,БАЛАНС_ДЕНЬ_ЧАС!F325,БАЛАНС_ДЕНЬ_ЧАС!F333,БАЛАНС_ДЕНЬ_ЧАС!F341,БАЛАНС_ДЕНЬ_ЧАС!F349,БАЛАНС_ДЕНЬ_ЧАС!F357,БАЛАНС_ДЕНЬ_ЧАС!F365,БАЛАНС_ДЕНЬ_ЧАС!F373,БАЛАНС_ДЕНЬ_ЧАС!F381,БАЛАНС_ДЕНЬ_ЧАС!F389,БАЛАНС_ДЕНЬ_ЧАС!F397,БАЛАНС_ДЕНЬ_ЧАС!F405,БАЛАНС_ДЕНЬ_ЧАС!F413,БАЛАНС_ДЕНЬ_ЧАС!F421,БАЛАНС_ДЕНЬ_ЧАС!F429,БАЛАНС_ДЕНЬ_ЧАС!F437,БАЛАНС_ДЕНЬ_ЧАС!F445,БАЛАНС_ДЕНЬ_ЧАС!F453,БАЛАНС_ДЕНЬ_ЧАС!F461,БАЛАНС_ДЕНЬ_ЧАС!F469,БАЛАНС_ДЕНЬ_ЧАС!F477,БАЛАНС_ДЕНЬ_ЧАС!F485,БАЛАНС_ДЕНЬ_ЧАС!F493,БАЛАНС_ДЕНЬ_ЧАС!F501,БАЛАНС_ДЕНЬ_ЧАС!F509,БАЛАНС_ДЕНЬ_ЧАС!F517,БАЛАНС_ДЕНЬ_ЧАС!F525,БАЛАНС_ДЕНЬ_ЧАС!F533,БАЛАНС_ДЕНЬ_ЧАС!F541,БАЛАНС_ДЕНЬ_ЧАС!F549,БАЛАНС_ДЕНЬ_ЧАС!F557,БАЛАНС_ДЕНЬ_ЧАС!F565,БАЛАНС_ДЕНЬ_ЧАС!F573,БАЛАНС_ДЕНЬ_ЧАС!F581,БАЛАНС_ДЕНЬ_ЧАС!F589,БАЛАНС_ДЕНЬ_ЧАС!F597,БАЛАНС_ДЕНЬ_ЧАС!F605,БАЛАНС_ДЕНЬ_ЧАС!F613,БАЛАНС_ДЕНЬ_ЧАС!F621,БАЛАНС_ДЕНЬ_ЧАС!F629,БАЛАНС_ДЕНЬ_ЧАС!F637,БАЛАНС_ДЕНЬ_ЧАС!F645,БАЛАНС_ДЕНЬ_ЧАС!F653,БАЛАНС_ДЕНЬ_ЧАС!F661,БАЛАНС_ДЕНЬ_ЧАС!F669,БАЛАНС_ДЕНЬ_ЧАС!F677,БАЛАНС_ДЕНЬ_ЧАС!F685,БАЛАНС_ДЕНЬ_ЧАС!F693,БАЛАНС_ДЕНЬ_ЧАС!F701,БАЛАНС_ДЕНЬ_ЧАС!F709,БАЛАНС_ДЕНЬ_ЧАС!F717,БАЛАНС_ДЕНЬ_ЧАС!F725,БАЛАНС_ДЕНЬ_ЧАС!F733,БАЛАНС_ДЕНЬ_ЧАС!F741,БАЛАНС_ДЕНЬ_ЧАС!F749,БАЛАНС_ДЕНЬ_ЧАС!F757,БАЛАНС_ДЕНЬ_ЧАС!F765,БАЛАНС_ДЕНЬ_ЧАС!F773,БАЛАНС_ДЕНЬ_ЧАС!F781,БАЛАНС_ДЕНЬ_ЧАС!F789,БАЛАНС_ДЕНЬ_ЧАС!F797,БАЛАНС_ДЕНЬ_ЧАС!F805,БАЛАНС_ДЕНЬ_ЧАС!F813,БАЛАНС_ДЕНЬ_ЧАС!F821,БАЛАНС_ДЕНЬ_ЧАС!F829,БАЛАНС_ДЕНЬ_ЧАС!F837,БАЛАНС_ДЕНЬ_ЧАС!F845)</f>
        <v>12.298</v>
      </c>
      <c r="K21" s="12" t="n">
        <f aca="false">ПАРАМЕТРЫ!D22</f>
        <v>16</v>
      </c>
      <c r="L21" s="12" t="n">
        <f aca="false">MAX(БАЛАНС_ДЕНЬ_ЧАС!I13,БАЛАНС_ДЕНЬ_ЧАС!I21,БАЛАНС_ДЕНЬ_ЧАС!I29,БАЛАНС_ДЕНЬ_ЧАС!I37,БАЛАНС_ДЕНЬ_ЧАС!I45,БАЛАНС_ДЕНЬ_ЧАС!I53,БАЛАНС_ДЕНЬ_ЧАС!I61,БАЛАНС_ДЕНЬ_ЧАС!I69,БАЛАНС_ДЕНЬ_ЧАС!I77,БАЛАНС_ДЕНЬ_ЧАС!I85,БАЛАНС_ДЕНЬ_ЧАС!I93,БАЛАНС_ДЕНЬ_ЧАС!I101,БАЛАНС_ДЕНЬ_ЧАС!I109,БАЛАНС_ДЕНЬ_ЧАС!I117,БАЛАНС_ДЕНЬ_ЧАС!I125,БАЛАНС_ДЕНЬ_ЧАС!I133,БАЛАНС_ДЕНЬ_ЧАС!I141,БАЛАНС_ДЕНЬ_ЧАС!I149,БАЛАНС_ДЕНЬ_ЧАС!I157,БАЛАНС_ДЕНЬ_ЧАС!I165,БАЛАНС_ДЕНЬ_ЧАС!I173,БАЛАНС_ДЕНЬ_ЧАС!I181,БАЛАНС_ДЕНЬ_ЧАС!I189,БАЛАНС_ДЕНЬ_ЧАС!I197,БАЛАНС_ДЕНЬ_ЧАС!I205,БАЛАНС_ДЕНЬ_ЧАС!I213,БАЛАНС_ДЕНЬ_ЧАС!I221,БАЛАНС_ДЕНЬ_ЧАС!I229,БАЛАНС_ДЕНЬ_ЧАС!I237,БАЛАНС_ДЕНЬ_ЧАС!I245,БАЛАНС_ДЕНЬ_ЧАС!I253,БАЛАНС_ДЕНЬ_ЧАС!I261,БАЛАНС_ДЕНЬ_ЧАС!I269,БАЛАНС_ДЕНЬ_ЧАС!I277,БАЛАНС_ДЕНЬ_ЧАС!I285,БАЛАНС_ДЕНЬ_ЧАС!I293,БАЛАНС_ДЕНЬ_ЧАС!I301,БАЛАНС_ДЕНЬ_ЧАС!I309,БАЛАНС_ДЕНЬ_ЧАС!I317,БАЛАНС_ДЕНЬ_ЧАС!I325,БАЛАНС_ДЕНЬ_ЧАС!I333,БАЛАНС_ДЕНЬ_ЧАС!I341,БАЛАНС_ДЕНЬ_ЧАС!I349,БАЛАНС_ДЕНЬ_ЧАС!I357,БАЛАНС_ДЕНЬ_ЧАС!I365,БАЛАНС_ДЕНЬ_ЧАС!I373,БАЛАНС_ДЕНЬ_ЧАС!I381,БАЛАНС_ДЕНЬ_ЧАС!I389,БАЛАНС_ДЕНЬ_ЧАС!I397,БАЛАНС_ДЕНЬ_ЧАС!I405,БАЛАНС_ДЕНЬ_ЧАС!I413,БАЛАНС_ДЕНЬ_ЧАС!I421,БАЛАНС_ДЕНЬ_ЧАС!I429,БАЛАНС_ДЕНЬ_ЧАС!I437,БАЛАНС_ДЕНЬ_ЧАС!I445,БАЛАНС_ДЕНЬ_ЧАС!I453,БАЛАНС_ДЕНЬ_ЧАС!I461,БАЛАНС_ДЕНЬ_ЧАС!I469,БАЛАНС_ДЕНЬ_ЧАС!I477,БАЛАНС_ДЕНЬ_ЧАС!I485,БАЛАНС_ДЕНЬ_ЧАС!I493,БАЛАНС_ДЕНЬ_ЧАС!I501,БАЛАНС_ДЕНЬ_ЧАС!I509,БАЛАНС_ДЕНЬ_ЧАС!I517,БАЛАНС_ДЕНЬ_ЧАС!I525,БАЛАНС_ДЕНЬ_ЧАС!I533,БАЛАНС_ДЕНЬ_ЧАС!I541,БАЛАНС_ДЕНЬ_ЧАС!I549,БАЛАНС_ДЕНЬ_ЧАС!I557,БАЛАНС_ДЕНЬ_ЧАС!I565,БАЛАНС_ДЕНЬ_ЧАС!I573,БАЛАНС_ДЕНЬ_ЧАС!I581,БАЛАНС_ДЕНЬ_ЧАС!I589,БАЛАНС_ДЕНЬ_ЧАС!I597,БАЛАНС_ДЕНЬ_ЧАС!I605,БАЛАНС_ДЕНЬ_ЧАС!I613,БАЛАНС_ДЕНЬ_ЧАС!I621,БАЛАНС_ДЕНЬ_ЧАС!I629,БАЛАНС_ДЕНЬ_ЧАС!I637,БАЛАНС_ДЕНЬ_ЧАС!I645,БАЛАНС_ДЕНЬ_ЧАС!I653,БАЛАНС_ДЕНЬ_ЧАС!I661,БАЛАНС_ДЕНЬ_ЧАС!I669,БАЛАНС_ДЕНЬ_ЧАС!I677,БАЛАНС_ДЕНЬ_ЧАС!I685,БАЛАНС_ДЕНЬ_ЧАС!I693,БАЛАНС_ДЕНЬ_ЧАС!I701,БАЛАНС_ДЕНЬ_ЧАС!I709,БАЛАНС_ДЕНЬ_ЧАС!I717,БАЛАНС_ДЕНЬ_ЧАС!I725,БАЛАНС_ДЕНЬ_ЧАС!I733,БАЛАНС_ДЕНЬ_ЧАС!I741,БАЛАНС_ДЕНЬ_ЧАС!I749,БАЛАНС_ДЕНЬ_ЧАС!I757,БАЛАНС_ДЕНЬ_ЧАС!I765,БАЛАНС_ДЕНЬ_ЧАС!I773,БАЛАНС_ДЕНЬ_ЧАС!I781,БАЛАНС_ДЕНЬ_ЧАС!I789,БАЛАНС_ДЕНЬ_ЧАС!I797,БАЛАНС_ДЕНЬ_ЧАС!I805,БАЛАНС_ДЕНЬ_ЧАС!I813,БАЛАНС_ДЕНЬ_ЧАС!I821,БАЛАНС_ДЕНЬ_ЧАС!I829,БАЛАНС_ДЕНЬ_ЧАС!I837,БАЛАНС_ДЕНЬ_ЧАС!I845)</f>
        <v>16</v>
      </c>
      <c r="M21" s="12" t="n">
        <f aca="false">MAX(БАЛАНС_ДЕНЬ_ЧАС!J13,БАЛАНС_ДЕНЬ_ЧАС!J21,БАЛАНС_ДЕНЬ_ЧАС!J29,БАЛАНС_ДЕНЬ_ЧАС!J37,БАЛАНС_ДЕНЬ_ЧАС!J45,БАЛАНС_ДЕНЬ_ЧАС!J53,БАЛАНС_ДЕНЬ_ЧАС!J61,БАЛАНС_ДЕНЬ_ЧАС!J69,БАЛАНС_ДЕНЬ_ЧАС!J77,БАЛАНС_ДЕНЬ_ЧАС!J85,БАЛАНС_ДЕНЬ_ЧАС!J93,БАЛАНС_ДЕНЬ_ЧАС!J101,БАЛАНС_ДЕНЬ_ЧАС!J109,БАЛАНС_ДЕНЬ_ЧАС!J117,БАЛАНС_ДЕНЬ_ЧАС!J125,БАЛАНС_ДЕНЬ_ЧАС!J133,БАЛАНС_ДЕНЬ_ЧАС!J141,БАЛАНС_ДЕНЬ_ЧАС!J149,БАЛАНС_ДЕНЬ_ЧАС!J157,БАЛАНС_ДЕНЬ_ЧАС!J165,БАЛАНС_ДЕНЬ_ЧАС!J173,БАЛАНС_ДЕНЬ_ЧАС!J181,БАЛАНС_ДЕНЬ_ЧАС!J189,БАЛАНС_ДЕНЬ_ЧАС!J197,БАЛАНС_ДЕНЬ_ЧАС!J205,БАЛАНС_ДЕНЬ_ЧАС!J213,БАЛАНС_ДЕНЬ_ЧАС!J221,БАЛАНС_ДЕНЬ_ЧАС!J229,БАЛАНС_ДЕНЬ_ЧАС!J237,БАЛАНС_ДЕНЬ_ЧАС!J245,БАЛАНС_ДЕНЬ_ЧАС!J253,БАЛАНС_ДЕНЬ_ЧАС!J261,БАЛАНС_ДЕНЬ_ЧАС!J269,БАЛАНС_ДЕНЬ_ЧАС!J277,БАЛАНС_ДЕНЬ_ЧАС!J285,БАЛАНС_ДЕНЬ_ЧАС!J293,БАЛАНС_ДЕНЬ_ЧАС!J301,БАЛАНС_ДЕНЬ_ЧАС!J309,БАЛАНС_ДЕНЬ_ЧАС!J317,БАЛАНС_ДЕНЬ_ЧАС!J325,БАЛАНС_ДЕНЬ_ЧАС!J333,БАЛАНС_ДЕНЬ_ЧАС!J341,БАЛАНС_ДЕНЬ_ЧАС!J349,БАЛАНС_ДЕНЬ_ЧАС!J357,БАЛАНС_ДЕНЬ_ЧАС!J365,БАЛАНС_ДЕНЬ_ЧАС!J373,БАЛАНС_ДЕНЬ_ЧАС!J381,БАЛАНС_ДЕНЬ_ЧАС!J389,БАЛАНС_ДЕНЬ_ЧАС!J397,БАЛАНС_ДЕНЬ_ЧАС!J405,БАЛАНС_ДЕНЬ_ЧАС!J413,БАЛАНС_ДЕНЬ_ЧАС!J421,БАЛАНС_ДЕНЬ_ЧАС!J429,БАЛАНС_ДЕНЬ_ЧАС!J437,БАЛАНС_ДЕНЬ_ЧАС!J445,БАЛАНС_ДЕНЬ_ЧАС!J453,БАЛАНС_ДЕНЬ_ЧАС!J461,БАЛАНС_ДЕНЬ_ЧАС!J469,БАЛАНС_ДЕНЬ_ЧАС!J477,БАЛАНС_ДЕНЬ_ЧАС!J485,БАЛАНС_ДЕНЬ_ЧАС!J493,БАЛАНС_ДЕНЬ_ЧАС!J501,БАЛАНС_ДЕНЬ_ЧАС!J509,БАЛАНС_ДЕНЬ_ЧАС!J517,БАЛАНС_ДЕНЬ_ЧАС!J525,БАЛАНС_ДЕНЬ_ЧАС!J533,БАЛАНС_ДЕНЬ_ЧАС!J541,БАЛАНС_ДЕНЬ_ЧАС!J549,БАЛАНС_ДЕНЬ_ЧАС!J557,БАЛАНС_ДЕНЬ_ЧАС!J565,БАЛАНС_ДЕНЬ_ЧАС!J573,БАЛАНС_ДЕНЬ_ЧАС!J581,БАЛАНС_ДЕНЬ_ЧАС!J589,БАЛАНС_ДЕНЬ_ЧАС!J597,БАЛАНС_ДЕНЬ_ЧАС!J605,БАЛАНС_ДЕНЬ_ЧАС!J613,БАЛАНС_ДЕНЬ_ЧАС!J621,БАЛАНС_ДЕНЬ_ЧАС!J629,БАЛАНС_ДЕНЬ_ЧАС!J637,БАЛАНС_ДЕНЬ_ЧАС!J645,БАЛАНС_ДЕНЬ_ЧАС!J653,БАЛАНС_ДЕНЬ_ЧАС!J661,БАЛАНС_ДЕНЬ_ЧАС!J669,БАЛАНС_ДЕНЬ_ЧАС!J677,БАЛАНС_ДЕНЬ_ЧАС!J685,БАЛАНС_ДЕНЬ_ЧАС!J693,БАЛАНС_ДЕНЬ_ЧАС!J701,БАЛАНС_ДЕНЬ_ЧАС!J709,БАЛАНС_ДЕНЬ_ЧАС!J717,БАЛАНС_ДЕНЬ_ЧАС!J725,БАЛАНС_ДЕНЬ_ЧАС!J733,БАЛАНС_ДЕНЬ_ЧАС!J741,БАЛАНС_ДЕНЬ_ЧАС!J749,БАЛАНС_ДЕНЬ_ЧАС!J757,БАЛАНС_ДЕНЬ_ЧАС!J765,БАЛАНС_ДЕНЬ_ЧАС!J773,БАЛАНС_ДЕНЬ_ЧАС!J781,БАЛАНС_ДЕНЬ_ЧАС!J789,БАЛАНС_ДЕНЬ_ЧАС!J797,БАЛАНС_ДЕНЬ_ЧАС!J805,БАЛАНС_ДЕНЬ_ЧАС!J813,БАЛАНС_ДЕНЬ_ЧАС!J821,БАЛАНС_ДЕНЬ_ЧАС!J829,БАЛАНС_ДЕНЬ_ЧАС!J837,БАЛАНС_ДЕНЬ_ЧАС!J845)</f>
        <v>16</v>
      </c>
      <c r="N21" s="12" t="n">
        <f aca="false">MAX(БАЛАНС_ДЕНЬ_ЧАС!K13,БАЛАНС_ДЕНЬ_ЧАС!K21,БАЛАНС_ДЕНЬ_ЧАС!K29,БАЛАНС_ДЕНЬ_ЧАС!K37,БАЛАНС_ДЕНЬ_ЧАС!K45,БАЛАНС_ДЕНЬ_ЧАС!K53,БАЛАНС_ДЕНЬ_ЧАС!K61,БАЛАНС_ДЕНЬ_ЧАС!K69,БАЛАНС_ДЕНЬ_ЧАС!K77,БАЛАНС_ДЕНЬ_ЧАС!K85,БАЛАНС_ДЕНЬ_ЧАС!K93,БАЛАНС_ДЕНЬ_ЧАС!K101,БАЛАНС_ДЕНЬ_ЧАС!K109,БАЛАНС_ДЕНЬ_ЧАС!K117,БАЛАНС_ДЕНЬ_ЧАС!K125,БАЛАНС_ДЕНЬ_ЧАС!K133,БАЛАНС_ДЕНЬ_ЧАС!K141,БАЛАНС_ДЕНЬ_ЧАС!K149,БАЛАНС_ДЕНЬ_ЧАС!K157,БАЛАНС_ДЕНЬ_ЧАС!K165,БАЛАНС_ДЕНЬ_ЧАС!K173,БАЛАНС_ДЕНЬ_ЧАС!K181,БАЛАНС_ДЕНЬ_ЧАС!K189,БАЛАНС_ДЕНЬ_ЧАС!K197,БАЛАНС_ДЕНЬ_ЧАС!K205,БАЛАНС_ДЕНЬ_ЧАС!K213,БАЛАНС_ДЕНЬ_ЧАС!K221,БАЛАНС_ДЕНЬ_ЧАС!K229,БАЛАНС_ДЕНЬ_ЧАС!K237,БАЛАНС_ДЕНЬ_ЧАС!K245,БАЛАНС_ДЕНЬ_ЧАС!K253,БАЛАНС_ДЕНЬ_ЧАС!K261,БАЛАНС_ДЕНЬ_ЧАС!K269,БАЛАНС_ДЕНЬ_ЧАС!K277,БАЛАНС_ДЕНЬ_ЧАС!K285,БАЛАНС_ДЕНЬ_ЧАС!K293,БАЛАНС_ДЕНЬ_ЧАС!K301,БАЛАНС_ДЕНЬ_ЧАС!K309,БАЛАНС_ДЕНЬ_ЧАС!K317,БАЛАНС_ДЕНЬ_ЧАС!K325,БАЛАНС_ДЕНЬ_ЧАС!K333,БАЛАНС_ДЕНЬ_ЧАС!K341,БАЛАНС_ДЕНЬ_ЧАС!K349,БАЛАНС_ДЕНЬ_ЧАС!K357,БАЛАНС_ДЕНЬ_ЧАС!K365,БАЛАНС_ДЕНЬ_ЧАС!K373,БАЛАНС_ДЕНЬ_ЧАС!K381,БАЛАНС_ДЕНЬ_ЧАС!K389,БАЛАНС_ДЕНЬ_ЧАС!K397,БАЛАНС_ДЕНЬ_ЧАС!K405,БАЛАНС_ДЕНЬ_ЧАС!K413,БАЛАНС_ДЕНЬ_ЧАС!K421,БАЛАНС_ДЕНЬ_ЧАС!K429,БАЛАНС_ДЕНЬ_ЧАС!K437,БАЛАНС_ДЕНЬ_ЧАС!K445,БАЛАНС_ДЕНЬ_ЧАС!K453,БАЛАНС_ДЕНЬ_ЧАС!K461,БАЛАНС_ДЕНЬ_ЧАС!K469,БАЛАНС_ДЕНЬ_ЧАС!K477,БАЛАНС_ДЕНЬ_ЧАС!K485,БАЛАНС_ДЕНЬ_ЧАС!K493,БАЛАНС_ДЕНЬ_ЧАС!K501,БАЛАНС_ДЕНЬ_ЧАС!K509,БАЛАНС_ДЕНЬ_ЧАС!K517,БАЛАНС_ДЕНЬ_ЧАС!K525,БАЛАНС_ДЕНЬ_ЧАС!K533,БАЛАНС_ДЕНЬ_ЧАС!K541,БАЛАНС_ДЕНЬ_ЧАС!K549,БАЛАНС_ДЕНЬ_ЧАС!K557,БАЛАНС_ДЕНЬ_ЧАС!K565,БАЛАНС_ДЕНЬ_ЧАС!K573,БАЛАНС_ДЕНЬ_ЧАС!K581,БАЛАНС_ДЕНЬ_ЧАС!K589,БАЛАНС_ДЕНЬ_ЧАС!K597,БАЛАНС_ДЕНЬ_ЧАС!K605,БАЛАНС_ДЕНЬ_ЧАС!K613,БАЛАНС_ДЕНЬ_ЧАС!K621,БАЛАНС_ДЕНЬ_ЧАС!K629,БАЛАНС_ДЕНЬ_ЧАС!K637,БАЛАНС_ДЕНЬ_ЧАС!K645,БАЛАНС_ДЕНЬ_ЧАС!K653,БАЛАНС_ДЕНЬ_ЧАС!K661,БАЛАНС_ДЕНЬ_ЧАС!K669,БАЛАНС_ДЕНЬ_ЧАС!K677,БАЛАНС_ДЕНЬ_ЧАС!K685,БАЛАНС_ДЕНЬ_ЧАС!K693,БАЛАНС_ДЕНЬ_ЧАС!K701,БАЛАНС_ДЕНЬ_ЧАС!K709,БАЛАНС_ДЕНЬ_ЧАС!K717,БАЛАНС_ДЕНЬ_ЧАС!K725,БАЛАНС_ДЕНЬ_ЧАС!K733,БАЛАНС_ДЕНЬ_ЧАС!K741,БАЛАНС_ДЕНЬ_ЧАС!K749,БАЛАНС_ДЕНЬ_ЧАС!K757,БАЛАНС_ДЕНЬ_ЧАС!K765,БАЛАНС_ДЕНЬ_ЧАС!K773,БАЛАНС_ДЕНЬ_ЧАС!K781,БАЛАНС_ДЕНЬ_ЧАС!K789,БАЛАНС_ДЕНЬ_ЧАС!K797,БАЛАНС_ДЕНЬ_ЧАС!K805,БАЛАНС_ДЕНЬ_ЧАС!K813,БАЛАНС_ДЕНЬ_ЧАС!K821,БАЛАНС_ДЕНЬ_ЧАС!K829,БАЛАНС_ДЕНЬ_ЧАС!K837,БАЛАНС_ДЕНЬ_ЧАС!K845)</f>
        <v>0</v>
      </c>
      <c r="O21" s="11" t="str">
        <f aca="false">IF(N21&gt;0,"BLOCKED","PASS")</f>
        <v>PASS</v>
      </c>
      <c r="P21" s="11" t="s">
        <v>145</v>
      </c>
    </row>
    <row r="22" customFormat="false" ht="15" hidden="false" customHeight="false" outlineLevel="0" collapsed="false">
      <c r="A22" s="11" t="n">
        <v>12</v>
      </c>
      <c r="B22" s="11" t="s">
        <v>161</v>
      </c>
      <c r="C22" s="11" t="s">
        <v>165</v>
      </c>
      <c r="D22" s="11" t="s">
        <v>80</v>
      </c>
      <c r="E22" s="12" t="n">
        <v>240</v>
      </c>
      <c r="F22" s="12" t="n">
        <f aca="false">SUMIF(СПРОС_ДЕНЬ_ЧАС_МЕНЮ!$C$11:$C$3265,A22,СПРОС_ДЕНЬ_ЧАС_МЕНЮ!$I$11:$I$3265)</f>
        <v>50.3635</v>
      </c>
      <c r="G22" s="12" t="n">
        <f aca="false">MAX(СПРОС_ДЕНЬ_ЧАС_МЕНЮ!I22,СПРОС_ДЕНЬ_ЧАС_МЕНЮ!I53,СПРОС_ДЕНЬ_ЧАС_МЕНЮ!I84,СПРОС_ДЕНЬ_ЧАС_МЕНЮ!I115,СПРОС_ДЕНЬ_ЧАС_МЕНЮ!I146,СПРОС_ДЕНЬ_ЧАС_МЕНЮ!I177,СПРОС_ДЕНЬ_ЧАС_МЕНЮ!I208,СПРОС_ДЕНЬ_ЧАС_МЕНЮ!I239,СПРОС_ДЕНЬ_ЧАС_МЕНЮ!I270,СПРОС_ДЕНЬ_ЧАС_МЕНЮ!I301,СПРОС_ДЕНЬ_ЧАС_МЕНЮ!I332,СПРОС_ДЕНЬ_ЧАС_МЕНЮ!I363,СПРОС_ДЕНЬ_ЧАС_МЕНЮ!I394,СПРОС_ДЕНЬ_ЧАС_МЕНЮ!I425,СПРОС_ДЕНЬ_ЧАС_МЕНЮ!I456,СПРОС_ДЕНЬ_ЧАС_МЕНЮ!I487,СПРОС_ДЕНЬ_ЧАС_МЕНЮ!I518,СПРОС_ДЕНЬ_ЧАС_МЕНЮ!I549,СПРОС_ДЕНЬ_ЧАС_МЕНЮ!I580,СПРОС_ДЕНЬ_ЧАС_МЕНЮ!I611,СПРОС_ДЕНЬ_ЧАС_МЕНЮ!I642,СПРОС_ДЕНЬ_ЧАС_МЕНЮ!I673,СПРОС_ДЕНЬ_ЧАС_МЕНЮ!I704,СПРОС_ДЕНЬ_ЧАС_МЕНЮ!I735,СПРОС_ДЕНЬ_ЧАС_МЕНЮ!I766,СПРОС_ДЕНЬ_ЧАС_МЕНЮ!I797,СПРОС_ДЕНЬ_ЧАС_МЕНЮ!I828,СПРОС_ДЕНЬ_ЧАС_МЕНЮ!I859,СПРОС_ДЕНЬ_ЧАС_МЕНЮ!I890,СПРОС_ДЕНЬ_ЧАС_МЕНЮ!I921,СПРОС_ДЕНЬ_ЧАС_МЕНЮ!I952,СПРОС_ДЕНЬ_ЧАС_МЕНЮ!I983,СПРОС_ДЕНЬ_ЧАС_МЕНЮ!I1014,СПРОС_ДЕНЬ_ЧАС_МЕНЮ!I1045,СПРОС_ДЕНЬ_ЧАС_МЕНЮ!I1076,СПРОС_ДЕНЬ_ЧАС_МЕНЮ!I1107,СПРОС_ДЕНЬ_ЧАС_МЕНЮ!I1138,СПРОС_ДЕНЬ_ЧАС_МЕНЮ!I1169,СПРОС_ДЕНЬ_ЧАС_МЕНЮ!I1200,СПРОС_ДЕНЬ_ЧАС_МЕНЮ!I1231,СПРОС_ДЕНЬ_ЧАС_МЕНЮ!I1262,СПРОС_ДЕНЬ_ЧАС_МЕНЮ!I1293,СПРОС_ДЕНЬ_ЧАС_МЕНЮ!I1324,СПРОС_ДЕНЬ_ЧАС_МЕНЮ!I1355,СПРОС_ДЕНЬ_ЧАС_МЕНЮ!I1386,СПРОС_ДЕНЬ_ЧАС_МЕНЮ!I1417,СПРОС_ДЕНЬ_ЧАС_МЕНЮ!I1448,СПРОС_ДЕНЬ_ЧАС_МЕНЮ!I1479,СПРОС_ДЕНЬ_ЧАС_МЕНЮ!I1510,СПРОС_ДЕНЬ_ЧАС_МЕНЮ!I1541,СПРОС_ДЕНЬ_ЧАС_МЕНЮ!I1572,СПРОС_ДЕНЬ_ЧАС_МЕНЮ!I1603,СПРОС_ДЕНЬ_ЧАС_МЕНЮ!I1634,СПРОС_ДЕНЬ_ЧАС_МЕНЮ!I1665,СПРОС_ДЕНЬ_ЧАС_МЕНЮ!I1696,СПРОС_ДЕНЬ_ЧАС_МЕНЮ!I1727,СПРОС_ДЕНЬ_ЧАС_МЕНЮ!I1758,СПРОС_ДЕНЬ_ЧАС_МЕНЮ!I1789,СПРОС_ДЕНЬ_ЧАС_МЕНЮ!I1820,СПРОС_ДЕНЬ_ЧАС_МЕНЮ!I1851,СПРОС_ДЕНЬ_ЧАС_МЕНЮ!I1882,СПРОС_ДЕНЬ_ЧАС_МЕНЮ!I1913,СПРОС_ДЕНЬ_ЧАС_МЕНЮ!I1944,СПРОС_ДЕНЬ_ЧАС_МЕНЮ!I1975,СПРОС_ДЕНЬ_ЧАС_МЕНЮ!I2006,СПРОС_ДЕНЬ_ЧАС_МЕНЮ!I2037,СПРОС_ДЕНЬ_ЧАС_МЕНЮ!I2068,СПРОС_ДЕНЬ_ЧАС_МЕНЮ!I2099,СПРОС_ДЕНЬ_ЧАС_МЕНЮ!I2130,СПРОС_ДЕНЬ_ЧАС_МЕНЮ!I2161,СПРОС_ДЕНЬ_ЧАС_МЕНЮ!I2192,СПРОС_ДЕНЬ_ЧАС_МЕНЮ!I2223,СПРОС_ДЕНЬ_ЧАС_МЕНЮ!I2254,СПРОС_ДЕНЬ_ЧАС_МЕНЮ!I2285,СПРОС_ДЕНЬ_ЧАС_МЕНЮ!I2316,СПРОС_ДЕНЬ_ЧАС_МЕНЮ!I2347,СПРОС_ДЕНЬ_ЧАС_МЕНЮ!I2378,СПРОС_ДЕНЬ_ЧАС_МЕНЮ!I2409,СПРОС_ДЕНЬ_ЧАС_МЕНЮ!I2440,СПРОС_ДЕНЬ_ЧАС_МЕНЮ!I2471,СПРОС_ДЕНЬ_ЧАС_МЕНЮ!I2502,СПРОС_ДЕНЬ_ЧАС_МЕНЮ!I2533,СПРОС_ДЕНЬ_ЧАС_МЕНЮ!I2564,СПРОС_ДЕНЬ_ЧАС_МЕНЮ!I2595,СПРОС_ДЕНЬ_ЧАС_МЕНЮ!I2626,СПРОС_ДЕНЬ_ЧАС_МЕНЮ!I2657,СПРОС_ДЕНЬ_ЧАС_МЕНЮ!I2688,СПРОС_ДЕНЬ_ЧАС_МЕНЮ!I2719,СПРОС_ДЕНЬ_ЧАС_МЕНЮ!I2750,СПРОС_ДЕНЬ_ЧАС_МЕНЮ!I2781,СПРОС_ДЕНЬ_ЧАС_МЕНЮ!I2812,СПРОС_ДЕНЬ_ЧАС_МЕНЮ!I2843,СПРОС_ДЕНЬ_ЧАС_МЕНЮ!I2874,СПРОС_ДЕНЬ_ЧАС_МЕНЮ!I2905,СПРОС_ДЕНЬ_ЧАС_МЕНЮ!I2936,СПРОС_ДЕНЬ_ЧАС_МЕНЮ!I2967,СПРОС_ДЕНЬ_ЧАС_МЕНЮ!I2998,СПРОС_ДЕНЬ_ЧАС_МЕНЮ!I3029,СПРОС_ДЕНЬ_ЧАС_МЕНЮ!I3060,СПРОС_ДЕНЬ_ЧАС_МЕНЮ!I3091,СПРОС_ДЕНЬ_ЧАС_МЕНЮ!I3122,СПРОС_ДЕНЬ_ЧАС_МЕНЮ!I3153,СПРОС_ДЕНЬ_ЧАС_МЕНЮ!I3184,СПРОС_ДЕНЬ_ЧАС_МЕНЮ!I3215,СПРОС_ДЕНЬ_ЧАС_МЕНЮ!I3246)</f>
        <v>1.5015</v>
      </c>
      <c r="H22" s="12" t="s">
        <v>111</v>
      </c>
      <c r="I22" s="12" t="s">
        <v>130</v>
      </c>
      <c r="J22" s="12" t="n">
        <f aca="false">MAX(БАЛАНС_ДЕНЬ_ЧАС!F13,БАЛАНС_ДЕНЬ_ЧАС!F21,БАЛАНС_ДЕНЬ_ЧАС!F29,БАЛАНС_ДЕНЬ_ЧАС!F37,БАЛАНС_ДЕНЬ_ЧАС!F45,БАЛАНС_ДЕНЬ_ЧАС!F53,БАЛАНС_ДЕНЬ_ЧАС!F61,БАЛАНС_ДЕНЬ_ЧАС!F69,БАЛАНС_ДЕНЬ_ЧАС!F77,БАЛАНС_ДЕНЬ_ЧАС!F85,БАЛАНС_ДЕНЬ_ЧАС!F93,БАЛАНС_ДЕНЬ_ЧАС!F101,БАЛАНС_ДЕНЬ_ЧАС!F109,БАЛАНС_ДЕНЬ_ЧАС!F117,БАЛАНС_ДЕНЬ_ЧАС!F125,БАЛАНС_ДЕНЬ_ЧАС!F133,БАЛАНС_ДЕНЬ_ЧАС!F141,БАЛАНС_ДЕНЬ_ЧАС!F149,БАЛАНС_ДЕНЬ_ЧАС!F157,БАЛАНС_ДЕНЬ_ЧАС!F165,БАЛАНС_ДЕНЬ_ЧАС!F173,БАЛАНС_ДЕНЬ_ЧАС!F181,БАЛАНС_ДЕНЬ_ЧАС!F189,БАЛАНС_ДЕНЬ_ЧАС!F197,БАЛАНС_ДЕНЬ_ЧАС!F205,БАЛАНС_ДЕНЬ_ЧАС!F213,БАЛАНС_ДЕНЬ_ЧАС!F221,БАЛАНС_ДЕНЬ_ЧАС!F229,БАЛАНС_ДЕНЬ_ЧАС!F237,БАЛАНС_ДЕНЬ_ЧАС!F245,БАЛАНС_ДЕНЬ_ЧАС!F253,БАЛАНС_ДЕНЬ_ЧАС!F261,БАЛАНС_ДЕНЬ_ЧАС!F269,БАЛАНС_ДЕНЬ_ЧАС!F277,БАЛАНС_ДЕНЬ_ЧАС!F285,БАЛАНС_ДЕНЬ_ЧАС!F293,БАЛАНС_ДЕНЬ_ЧАС!F301,БАЛАНС_ДЕНЬ_ЧАС!F309,БАЛАНС_ДЕНЬ_ЧАС!F317,БАЛАНС_ДЕНЬ_ЧАС!F325,БАЛАНС_ДЕНЬ_ЧАС!F333,БАЛАНС_ДЕНЬ_ЧАС!F341,БАЛАНС_ДЕНЬ_ЧАС!F349,БАЛАНС_ДЕНЬ_ЧАС!F357,БАЛАНС_ДЕНЬ_ЧАС!F365,БАЛАНС_ДЕНЬ_ЧАС!F373,БАЛАНС_ДЕНЬ_ЧАС!F381,БАЛАНС_ДЕНЬ_ЧАС!F389,БАЛАНС_ДЕНЬ_ЧАС!F397,БАЛАНС_ДЕНЬ_ЧАС!F405,БАЛАНС_ДЕНЬ_ЧАС!F413,БАЛАНС_ДЕНЬ_ЧАС!F421,БАЛАНС_ДЕНЬ_ЧАС!F429,БАЛАНС_ДЕНЬ_ЧАС!F437,БАЛАНС_ДЕНЬ_ЧАС!F445,БАЛАНС_ДЕНЬ_ЧАС!F453,БАЛАНС_ДЕНЬ_ЧАС!F461,БАЛАНС_ДЕНЬ_ЧАС!F469,БАЛАНС_ДЕНЬ_ЧАС!F477,БАЛАНС_ДЕНЬ_ЧАС!F485,БАЛАНС_ДЕНЬ_ЧАС!F493,БАЛАНС_ДЕНЬ_ЧАС!F501,БАЛАНС_ДЕНЬ_ЧАС!F509,БАЛАНС_ДЕНЬ_ЧАС!F517,БАЛАНС_ДЕНЬ_ЧАС!F525,БАЛАНС_ДЕНЬ_ЧАС!F533,БАЛАНС_ДЕНЬ_ЧАС!F541,БАЛАНС_ДЕНЬ_ЧАС!F549,БАЛАНС_ДЕНЬ_ЧАС!F557,БАЛАНС_ДЕНЬ_ЧАС!F565,БАЛАНС_ДЕНЬ_ЧАС!F573,БАЛАНС_ДЕНЬ_ЧАС!F581,БАЛАНС_ДЕНЬ_ЧАС!F589,БАЛАНС_ДЕНЬ_ЧАС!F597,БАЛАНС_ДЕНЬ_ЧАС!F605,БАЛАНС_ДЕНЬ_ЧАС!F613,БАЛАНС_ДЕНЬ_ЧАС!F621,БАЛАНС_ДЕНЬ_ЧАС!F629,БАЛАНС_ДЕНЬ_ЧАС!F637,БАЛАНС_ДЕНЬ_ЧАС!F645,БАЛАНС_ДЕНЬ_ЧАС!F653,БАЛАНС_ДЕНЬ_ЧАС!F661,БАЛАНС_ДЕНЬ_ЧАС!F669,БАЛАНС_ДЕНЬ_ЧАС!F677,БАЛАНС_ДЕНЬ_ЧАС!F685,БАЛАНС_ДЕНЬ_ЧАС!F693,БАЛАНС_ДЕНЬ_ЧАС!F701,БАЛАНС_ДЕНЬ_ЧАС!F709,БАЛАНС_ДЕНЬ_ЧАС!F717,БАЛАНС_ДЕНЬ_ЧАС!F725,БАЛАНС_ДЕНЬ_ЧАС!F733,БАЛАНС_ДЕНЬ_ЧАС!F741,БАЛАНС_ДЕНЬ_ЧАС!F749,БАЛАНС_ДЕНЬ_ЧАС!F757,БАЛАНС_ДЕНЬ_ЧАС!F765,БАЛАНС_ДЕНЬ_ЧАС!F773,БАЛАНС_ДЕНЬ_ЧАС!F781,БАЛАНС_ДЕНЬ_ЧАС!F789,БАЛАНС_ДЕНЬ_ЧАС!F797,БАЛАНС_ДЕНЬ_ЧАС!F805,БАЛАНС_ДЕНЬ_ЧАС!F813,БАЛАНС_ДЕНЬ_ЧАС!F821,БАЛАНС_ДЕНЬ_ЧАС!F829,БАЛАНС_ДЕНЬ_ЧАС!F837,БАЛАНС_ДЕНЬ_ЧАС!F845)</f>
        <v>12.298</v>
      </c>
      <c r="K22" s="12" t="n">
        <f aca="false">ПАРАМЕТРЫ!D22</f>
        <v>16</v>
      </c>
      <c r="L22" s="12" t="n">
        <f aca="false">MAX(БАЛАНС_ДЕНЬ_ЧАС!I13,БАЛАНС_ДЕНЬ_ЧАС!I21,БАЛАНС_ДЕНЬ_ЧАС!I29,БАЛАНС_ДЕНЬ_ЧАС!I37,БАЛАНС_ДЕНЬ_ЧАС!I45,БАЛАНС_ДЕНЬ_ЧАС!I53,БАЛАНС_ДЕНЬ_ЧАС!I61,БАЛАНС_ДЕНЬ_ЧАС!I69,БАЛАНС_ДЕНЬ_ЧАС!I77,БАЛАНС_ДЕНЬ_ЧАС!I85,БАЛАНС_ДЕНЬ_ЧАС!I93,БАЛАНС_ДЕНЬ_ЧАС!I101,БАЛАНС_ДЕНЬ_ЧАС!I109,БАЛАНС_ДЕНЬ_ЧАС!I117,БАЛАНС_ДЕНЬ_ЧАС!I125,БАЛАНС_ДЕНЬ_ЧАС!I133,БАЛАНС_ДЕНЬ_ЧАС!I141,БАЛАНС_ДЕНЬ_ЧАС!I149,БАЛАНС_ДЕНЬ_ЧАС!I157,БАЛАНС_ДЕНЬ_ЧАС!I165,БАЛАНС_ДЕНЬ_ЧАС!I173,БАЛАНС_ДЕНЬ_ЧАС!I181,БАЛАНС_ДЕНЬ_ЧАС!I189,БАЛАНС_ДЕНЬ_ЧАС!I197,БАЛАНС_ДЕНЬ_ЧАС!I205,БАЛАНС_ДЕНЬ_ЧАС!I213,БАЛАНС_ДЕНЬ_ЧАС!I221,БАЛАНС_ДЕНЬ_ЧАС!I229,БАЛАНС_ДЕНЬ_ЧАС!I237,БАЛАНС_ДЕНЬ_ЧАС!I245,БАЛАНС_ДЕНЬ_ЧАС!I253,БАЛАНС_ДЕНЬ_ЧАС!I261,БАЛАНС_ДЕНЬ_ЧАС!I269,БАЛАНС_ДЕНЬ_ЧАС!I277,БАЛАНС_ДЕНЬ_ЧАС!I285,БАЛАНС_ДЕНЬ_ЧАС!I293,БАЛАНС_ДЕНЬ_ЧАС!I301,БАЛАНС_ДЕНЬ_ЧАС!I309,БАЛАНС_ДЕНЬ_ЧАС!I317,БАЛАНС_ДЕНЬ_ЧАС!I325,БАЛАНС_ДЕНЬ_ЧАС!I333,БАЛАНС_ДЕНЬ_ЧАС!I341,БАЛАНС_ДЕНЬ_ЧАС!I349,БАЛАНС_ДЕНЬ_ЧАС!I357,БАЛАНС_ДЕНЬ_ЧАС!I365,БАЛАНС_ДЕНЬ_ЧАС!I373,БАЛАНС_ДЕНЬ_ЧАС!I381,БАЛАНС_ДЕНЬ_ЧАС!I389,БАЛАНС_ДЕНЬ_ЧАС!I397,БАЛАНС_ДЕНЬ_ЧАС!I405,БАЛАНС_ДЕНЬ_ЧАС!I413,БАЛАНС_ДЕНЬ_ЧАС!I421,БАЛАНС_ДЕНЬ_ЧАС!I429,БАЛАНС_ДЕНЬ_ЧАС!I437,БАЛАНС_ДЕНЬ_ЧАС!I445,БАЛАНС_ДЕНЬ_ЧАС!I453,БАЛАНС_ДЕНЬ_ЧАС!I461,БАЛАНС_ДЕНЬ_ЧАС!I469,БАЛАНС_ДЕНЬ_ЧАС!I477,БАЛАНС_ДЕНЬ_ЧАС!I485,БАЛАНС_ДЕНЬ_ЧАС!I493,БАЛАНС_ДЕНЬ_ЧАС!I501,БАЛАНС_ДЕНЬ_ЧАС!I509,БАЛАНС_ДЕНЬ_ЧАС!I517,БАЛАНС_ДЕНЬ_ЧАС!I525,БАЛАНС_ДЕНЬ_ЧАС!I533,БАЛАНС_ДЕНЬ_ЧАС!I541,БАЛАНС_ДЕНЬ_ЧАС!I549,БАЛАНС_ДЕНЬ_ЧАС!I557,БАЛАНС_ДЕНЬ_ЧАС!I565,БАЛАНС_ДЕНЬ_ЧАС!I573,БАЛАНС_ДЕНЬ_ЧАС!I581,БАЛАНС_ДЕНЬ_ЧАС!I589,БАЛАНС_ДЕНЬ_ЧАС!I597,БАЛАНС_ДЕНЬ_ЧАС!I605,БАЛАНС_ДЕНЬ_ЧАС!I613,БАЛАНС_ДЕНЬ_ЧАС!I621,БАЛАНС_ДЕНЬ_ЧАС!I629,БАЛАНС_ДЕНЬ_ЧАС!I637,БАЛАНС_ДЕНЬ_ЧАС!I645,БАЛАНС_ДЕНЬ_ЧАС!I653,БАЛАНС_ДЕНЬ_ЧАС!I661,БАЛАНС_ДЕНЬ_ЧАС!I669,БАЛАНС_ДЕНЬ_ЧАС!I677,БАЛАНС_ДЕНЬ_ЧАС!I685,БАЛАНС_ДЕНЬ_ЧАС!I693,БАЛАНС_ДЕНЬ_ЧАС!I701,БАЛАНС_ДЕНЬ_ЧАС!I709,БАЛАНС_ДЕНЬ_ЧАС!I717,БАЛАНС_ДЕНЬ_ЧАС!I725,БАЛАНС_ДЕНЬ_ЧАС!I733,БАЛАНС_ДЕНЬ_ЧАС!I741,БАЛАНС_ДЕНЬ_ЧАС!I749,БАЛАНС_ДЕНЬ_ЧАС!I757,БАЛАНС_ДЕНЬ_ЧАС!I765,БАЛАНС_ДЕНЬ_ЧАС!I773,БАЛАНС_ДЕНЬ_ЧАС!I781,БАЛАНС_ДЕНЬ_ЧАС!I789,БАЛАНС_ДЕНЬ_ЧАС!I797,БАЛАНС_ДЕНЬ_ЧАС!I805,БАЛАНС_ДЕНЬ_ЧАС!I813,БАЛАНС_ДЕНЬ_ЧАС!I821,БАЛАНС_ДЕНЬ_ЧАС!I829,БАЛАНС_ДЕНЬ_ЧАС!I837,БАЛАНС_ДЕНЬ_ЧАС!I845)</f>
        <v>16</v>
      </c>
      <c r="M22" s="12" t="n">
        <f aca="false">MAX(БАЛАНС_ДЕНЬ_ЧАС!J13,БАЛАНС_ДЕНЬ_ЧАС!J21,БАЛАНС_ДЕНЬ_ЧАС!J29,БАЛАНС_ДЕНЬ_ЧАС!J37,БАЛАНС_ДЕНЬ_ЧАС!J45,БАЛАНС_ДЕНЬ_ЧАС!J53,БАЛАНС_ДЕНЬ_ЧАС!J61,БАЛАНС_ДЕНЬ_ЧАС!J69,БАЛАНС_ДЕНЬ_ЧАС!J77,БАЛАНС_ДЕНЬ_ЧАС!J85,БАЛАНС_ДЕНЬ_ЧАС!J93,БАЛАНС_ДЕНЬ_ЧАС!J101,БАЛАНС_ДЕНЬ_ЧАС!J109,БАЛАНС_ДЕНЬ_ЧАС!J117,БАЛАНС_ДЕНЬ_ЧАС!J125,БАЛАНС_ДЕНЬ_ЧАС!J133,БАЛАНС_ДЕНЬ_ЧАС!J141,БАЛАНС_ДЕНЬ_ЧАС!J149,БАЛАНС_ДЕНЬ_ЧАС!J157,БАЛАНС_ДЕНЬ_ЧАС!J165,БАЛАНС_ДЕНЬ_ЧАС!J173,БАЛАНС_ДЕНЬ_ЧАС!J181,БАЛАНС_ДЕНЬ_ЧАС!J189,БАЛАНС_ДЕНЬ_ЧАС!J197,БАЛАНС_ДЕНЬ_ЧАС!J205,БАЛАНС_ДЕНЬ_ЧАС!J213,БАЛАНС_ДЕНЬ_ЧАС!J221,БАЛАНС_ДЕНЬ_ЧАС!J229,БАЛАНС_ДЕНЬ_ЧАС!J237,БАЛАНС_ДЕНЬ_ЧАС!J245,БАЛАНС_ДЕНЬ_ЧАС!J253,БАЛАНС_ДЕНЬ_ЧАС!J261,БАЛАНС_ДЕНЬ_ЧАС!J269,БАЛАНС_ДЕНЬ_ЧАС!J277,БАЛАНС_ДЕНЬ_ЧАС!J285,БАЛАНС_ДЕНЬ_ЧАС!J293,БАЛАНС_ДЕНЬ_ЧАС!J301,БАЛАНС_ДЕНЬ_ЧАС!J309,БАЛАНС_ДЕНЬ_ЧАС!J317,БАЛАНС_ДЕНЬ_ЧАС!J325,БАЛАНС_ДЕНЬ_ЧАС!J333,БАЛАНС_ДЕНЬ_ЧАС!J341,БАЛАНС_ДЕНЬ_ЧАС!J349,БАЛАНС_ДЕНЬ_ЧАС!J357,БАЛАНС_ДЕНЬ_ЧАС!J365,БАЛАНС_ДЕНЬ_ЧАС!J373,БАЛАНС_ДЕНЬ_ЧАС!J381,БАЛАНС_ДЕНЬ_ЧАС!J389,БАЛАНС_ДЕНЬ_ЧАС!J397,БАЛАНС_ДЕНЬ_ЧАС!J405,БАЛАНС_ДЕНЬ_ЧАС!J413,БАЛАНС_ДЕНЬ_ЧАС!J421,БАЛАНС_ДЕНЬ_ЧАС!J429,БАЛАНС_ДЕНЬ_ЧАС!J437,БАЛАНС_ДЕНЬ_ЧАС!J445,БАЛАНС_ДЕНЬ_ЧАС!J453,БАЛАНС_ДЕНЬ_ЧАС!J461,БАЛАНС_ДЕНЬ_ЧАС!J469,БАЛАНС_ДЕНЬ_ЧАС!J477,БАЛАНС_ДЕНЬ_ЧАС!J485,БАЛАНС_ДЕНЬ_ЧАС!J493,БАЛАНС_ДЕНЬ_ЧАС!J501,БАЛАНС_ДЕНЬ_ЧАС!J509,БАЛАНС_ДЕНЬ_ЧАС!J517,БАЛАНС_ДЕНЬ_ЧАС!J525,БАЛАНС_ДЕНЬ_ЧАС!J533,БАЛАНС_ДЕНЬ_ЧАС!J541,БАЛАНС_ДЕНЬ_ЧАС!J549,БАЛАНС_ДЕНЬ_ЧАС!J557,БАЛАНС_ДЕНЬ_ЧАС!J565,БАЛАНС_ДЕНЬ_ЧАС!J573,БАЛАНС_ДЕНЬ_ЧАС!J581,БАЛАНС_ДЕНЬ_ЧАС!J589,БАЛАНС_ДЕНЬ_ЧАС!J597,БАЛАНС_ДЕНЬ_ЧАС!J605,БАЛАНС_ДЕНЬ_ЧАС!J613,БАЛАНС_ДЕНЬ_ЧАС!J621,БАЛАНС_ДЕНЬ_ЧАС!J629,БАЛАНС_ДЕНЬ_ЧАС!J637,БАЛАНС_ДЕНЬ_ЧАС!J645,БАЛАНС_ДЕНЬ_ЧАС!J653,БАЛАНС_ДЕНЬ_ЧАС!J661,БАЛАНС_ДЕНЬ_ЧАС!J669,БАЛАНС_ДЕНЬ_ЧАС!J677,БАЛАНС_ДЕНЬ_ЧАС!J685,БАЛАНС_ДЕНЬ_ЧАС!J693,БАЛАНС_ДЕНЬ_ЧАС!J701,БАЛАНС_ДЕНЬ_ЧАС!J709,БАЛАНС_ДЕНЬ_ЧАС!J717,БАЛАНС_ДЕНЬ_ЧАС!J725,БАЛАНС_ДЕНЬ_ЧАС!J733,БАЛАНС_ДЕНЬ_ЧАС!J741,БАЛАНС_ДЕНЬ_ЧАС!J749,БАЛАНС_ДЕНЬ_ЧАС!J757,БАЛАНС_ДЕНЬ_ЧАС!J765,БАЛАНС_ДЕНЬ_ЧАС!J773,БАЛАНС_ДЕНЬ_ЧАС!J781,БАЛАНС_ДЕНЬ_ЧАС!J789,БАЛАНС_ДЕНЬ_ЧАС!J797,БАЛАНС_ДЕНЬ_ЧАС!J805,БАЛАНС_ДЕНЬ_ЧАС!J813,БАЛАНС_ДЕНЬ_ЧАС!J821,БАЛАНС_ДЕНЬ_ЧАС!J829,БАЛАНС_ДЕНЬ_ЧАС!J837,БАЛАНС_ДЕНЬ_ЧАС!J845)</f>
        <v>16</v>
      </c>
      <c r="N22" s="12" t="n">
        <f aca="false">MAX(БАЛАНС_ДЕНЬ_ЧАС!K13,БАЛАНС_ДЕНЬ_ЧАС!K21,БАЛАНС_ДЕНЬ_ЧАС!K29,БАЛАНС_ДЕНЬ_ЧАС!K37,БАЛАНС_ДЕНЬ_ЧАС!K45,БАЛАНС_ДЕНЬ_ЧАС!K53,БАЛАНС_ДЕНЬ_ЧАС!K61,БАЛАНС_ДЕНЬ_ЧАС!K69,БАЛАНС_ДЕНЬ_ЧАС!K77,БАЛАНС_ДЕНЬ_ЧАС!K85,БАЛАНС_ДЕНЬ_ЧАС!K93,БАЛАНС_ДЕНЬ_ЧАС!K101,БАЛАНС_ДЕНЬ_ЧАС!K109,БАЛАНС_ДЕНЬ_ЧАС!K117,БАЛАНС_ДЕНЬ_ЧАС!K125,БАЛАНС_ДЕНЬ_ЧАС!K133,БАЛАНС_ДЕНЬ_ЧАС!K141,БАЛАНС_ДЕНЬ_ЧАС!K149,БАЛАНС_ДЕНЬ_ЧАС!K157,БАЛАНС_ДЕНЬ_ЧАС!K165,БАЛАНС_ДЕНЬ_ЧАС!K173,БАЛАНС_ДЕНЬ_ЧАС!K181,БАЛАНС_ДЕНЬ_ЧАС!K189,БАЛАНС_ДЕНЬ_ЧАС!K197,БАЛАНС_ДЕНЬ_ЧАС!K205,БАЛАНС_ДЕНЬ_ЧАС!K213,БАЛАНС_ДЕНЬ_ЧАС!K221,БАЛАНС_ДЕНЬ_ЧАС!K229,БАЛАНС_ДЕНЬ_ЧАС!K237,БАЛАНС_ДЕНЬ_ЧАС!K245,БАЛАНС_ДЕНЬ_ЧАС!K253,БАЛАНС_ДЕНЬ_ЧАС!K261,БАЛАНС_ДЕНЬ_ЧАС!K269,БАЛАНС_ДЕНЬ_ЧАС!K277,БАЛАНС_ДЕНЬ_ЧАС!K285,БАЛАНС_ДЕНЬ_ЧАС!K293,БАЛАНС_ДЕНЬ_ЧАС!K301,БАЛАНС_ДЕНЬ_ЧАС!K309,БАЛАНС_ДЕНЬ_ЧАС!K317,БАЛАНС_ДЕНЬ_ЧАС!K325,БАЛАНС_ДЕНЬ_ЧАС!K333,БАЛАНС_ДЕНЬ_ЧАС!K341,БАЛАНС_ДЕНЬ_ЧАС!K349,БАЛАНС_ДЕНЬ_ЧАС!K357,БАЛАНС_ДЕНЬ_ЧАС!K365,БАЛАНС_ДЕНЬ_ЧАС!K373,БАЛАНС_ДЕНЬ_ЧАС!K381,БАЛАНС_ДЕНЬ_ЧАС!K389,БАЛАНС_ДЕНЬ_ЧАС!K397,БАЛАНС_ДЕНЬ_ЧАС!K405,БАЛАНС_ДЕНЬ_ЧАС!K413,БАЛАНС_ДЕНЬ_ЧАС!K421,БАЛАНС_ДЕНЬ_ЧАС!K429,БАЛАНС_ДЕНЬ_ЧАС!K437,БАЛАНС_ДЕНЬ_ЧАС!K445,БАЛАНС_ДЕНЬ_ЧАС!K453,БАЛАНС_ДЕНЬ_ЧАС!K461,БАЛАНС_ДЕНЬ_ЧАС!K469,БАЛАНС_ДЕНЬ_ЧАС!K477,БАЛАНС_ДЕНЬ_ЧАС!K485,БАЛАНС_ДЕНЬ_ЧАС!K493,БАЛАНС_ДЕНЬ_ЧАС!K501,БАЛАНС_ДЕНЬ_ЧАС!K509,БАЛАНС_ДЕНЬ_ЧАС!K517,БАЛАНС_ДЕНЬ_ЧАС!K525,БАЛАНС_ДЕНЬ_ЧАС!K533,БАЛАНС_ДЕНЬ_ЧАС!K541,БАЛАНС_ДЕНЬ_ЧАС!K549,БАЛАНС_ДЕНЬ_ЧАС!K557,БАЛАНС_ДЕНЬ_ЧАС!K565,БАЛАНС_ДЕНЬ_ЧАС!K573,БАЛАНС_ДЕНЬ_ЧАС!K581,БАЛАНС_ДЕНЬ_ЧАС!K589,БАЛАНС_ДЕНЬ_ЧАС!K597,БАЛАНС_ДЕНЬ_ЧАС!K605,БАЛАНС_ДЕНЬ_ЧАС!K613,БАЛАНС_ДЕНЬ_ЧАС!K621,БАЛАНС_ДЕНЬ_ЧАС!K629,БАЛАНС_ДЕНЬ_ЧАС!K637,БАЛАНС_ДЕНЬ_ЧАС!K645,БАЛАНС_ДЕНЬ_ЧАС!K653,БАЛАНС_ДЕНЬ_ЧАС!K661,БАЛАНС_ДЕНЬ_ЧАС!K669,БАЛАНС_ДЕНЬ_ЧАС!K677,БАЛАНС_ДЕНЬ_ЧАС!K685,БАЛАНС_ДЕНЬ_ЧАС!K693,БАЛАНС_ДЕНЬ_ЧАС!K701,БАЛАНС_ДЕНЬ_ЧАС!K709,БАЛАНС_ДЕНЬ_ЧАС!K717,БАЛАНС_ДЕНЬ_ЧАС!K725,БАЛАНС_ДЕНЬ_ЧАС!K733,БАЛАНС_ДЕНЬ_ЧАС!K741,БАЛАНС_ДЕНЬ_ЧАС!K749,БАЛАНС_ДЕНЬ_ЧАС!K757,БАЛАНС_ДЕНЬ_ЧАС!K765,БАЛАНС_ДЕНЬ_ЧАС!K773,БАЛАНС_ДЕНЬ_ЧАС!K781,БАЛАНС_ДЕНЬ_ЧАС!K789,БАЛАНС_ДЕНЬ_ЧАС!K797,БАЛАНС_ДЕНЬ_ЧАС!K805,БАЛАНС_ДЕНЬ_ЧАС!K813,БАЛАНС_ДЕНЬ_ЧАС!K821,БАЛАНС_ДЕНЬ_ЧАС!K829,БАЛАНС_ДЕНЬ_ЧАС!K837,БАЛАНС_ДЕНЬ_ЧАС!K845)</f>
        <v>0</v>
      </c>
      <c r="O22" s="11" t="str">
        <f aca="false">IF(N22&gt;0,"BLOCKED","PASS")</f>
        <v>PASS</v>
      </c>
      <c r="P22" s="11" t="s">
        <v>145</v>
      </c>
    </row>
    <row r="23" customFormat="false" ht="15" hidden="false" customHeight="false" outlineLevel="0" collapsed="false">
      <c r="A23" s="11" t="n">
        <v>13</v>
      </c>
      <c r="B23" s="11" t="s">
        <v>166</v>
      </c>
      <c r="C23" s="11" t="s">
        <v>167</v>
      </c>
      <c r="D23" s="11" t="s">
        <v>80</v>
      </c>
      <c r="E23" s="12" t="n">
        <v>130</v>
      </c>
      <c r="F23" s="12" t="n">
        <f aca="false">SUMIF(СПРОС_ДЕНЬ_ЧАС_МЕНЮ!$C$11:$C$3265,A23,СПРОС_ДЕНЬ_ЧАС_МЕНЮ!$I$11:$I$3265)</f>
        <v>23.045</v>
      </c>
      <c r="G23" s="12" t="n">
        <f aca="false">MAX(СПРОС_ДЕНЬ_ЧАС_МЕНЮ!I23,СПРОС_ДЕНЬ_ЧАС_МЕНЮ!I54,СПРОС_ДЕНЬ_ЧАС_МЕНЮ!I85,СПРОС_ДЕНЬ_ЧАС_МЕНЮ!I116,СПРОС_ДЕНЬ_ЧАС_МЕНЮ!I147,СПРОС_ДЕНЬ_ЧАС_МЕНЮ!I178,СПРОС_ДЕНЬ_ЧАС_МЕНЮ!I209,СПРОС_ДЕНЬ_ЧАС_МЕНЮ!I240,СПРОС_ДЕНЬ_ЧАС_МЕНЮ!I271,СПРОС_ДЕНЬ_ЧАС_МЕНЮ!I302,СПРОС_ДЕНЬ_ЧАС_МЕНЮ!I333,СПРОС_ДЕНЬ_ЧАС_МЕНЮ!I364,СПРОС_ДЕНЬ_ЧАС_МЕНЮ!I395,СПРОС_ДЕНЬ_ЧАС_МЕНЮ!I426,СПРОС_ДЕНЬ_ЧАС_МЕНЮ!I457,СПРОС_ДЕНЬ_ЧАС_МЕНЮ!I488,СПРОС_ДЕНЬ_ЧАС_МЕНЮ!I519,СПРОС_ДЕНЬ_ЧАС_МЕНЮ!I550,СПРОС_ДЕНЬ_ЧАС_МЕНЮ!I581,СПРОС_ДЕНЬ_ЧАС_МЕНЮ!I612,СПРОС_ДЕНЬ_ЧАС_МЕНЮ!I643,СПРОС_ДЕНЬ_ЧАС_МЕНЮ!I674,СПРОС_ДЕНЬ_ЧАС_МЕНЮ!I705,СПРОС_ДЕНЬ_ЧАС_МЕНЮ!I736,СПРОС_ДЕНЬ_ЧАС_МЕНЮ!I767,СПРОС_ДЕНЬ_ЧАС_МЕНЮ!I798,СПРОС_ДЕНЬ_ЧАС_МЕНЮ!I829,СПРОС_ДЕНЬ_ЧАС_МЕНЮ!I860,СПРОС_ДЕНЬ_ЧАС_МЕНЮ!I891,СПРОС_ДЕНЬ_ЧАС_МЕНЮ!I922,СПРОС_ДЕНЬ_ЧАС_МЕНЮ!I953,СПРОС_ДЕНЬ_ЧАС_МЕНЮ!I984,СПРОС_ДЕНЬ_ЧАС_МЕНЮ!I1015,СПРОС_ДЕНЬ_ЧАС_МЕНЮ!I1046,СПРОС_ДЕНЬ_ЧАС_МЕНЮ!I1077,СПРОС_ДЕНЬ_ЧАС_МЕНЮ!I1108,СПРОС_ДЕНЬ_ЧАС_МЕНЮ!I1139,СПРОС_ДЕНЬ_ЧАС_МЕНЮ!I1170,СПРОС_ДЕНЬ_ЧАС_МЕНЮ!I1201,СПРОС_ДЕНЬ_ЧАС_МЕНЮ!I1232,СПРОС_ДЕНЬ_ЧАС_МЕНЮ!I1263,СПРОС_ДЕНЬ_ЧАС_МЕНЮ!I1294,СПРОС_ДЕНЬ_ЧАС_МЕНЮ!I1325,СПРОС_ДЕНЬ_ЧАС_МЕНЮ!I1356,СПРОС_ДЕНЬ_ЧАС_МЕНЮ!I1387,СПРОС_ДЕНЬ_ЧАС_МЕНЮ!I1418,СПРОС_ДЕНЬ_ЧАС_МЕНЮ!I1449,СПРОС_ДЕНЬ_ЧАС_МЕНЮ!I1480,СПРОС_ДЕНЬ_ЧАС_МЕНЮ!I1511,СПРОС_ДЕНЬ_ЧАС_МЕНЮ!I1542,СПРОС_ДЕНЬ_ЧАС_МЕНЮ!I1573,СПРОС_ДЕНЬ_ЧАС_МЕНЮ!I1604,СПРОС_ДЕНЬ_ЧАС_МЕНЮ!I1635,СПРОС_ДЕНЬ_ЧАС_МЕНЮ!I1666,СПРОС_ДЕНЬ_ЧАС_МЕНЮ!I1697,СПРОС_ДЕНЬ_ЧАС_МЕНЮ!I1728,СПРОС_ДЕНЬ_ЧАС_МЕНЮ!I1759,СПРОС_ДЕНЬ_ЧАС_МЕНЮ!I1790,СПРОС_ДЕНЬ_ЧАС_МЕНЮ!I1821,СПРОС_ДЕНЬ_ЧАС_МЕНЮ!I1852,СПРОС_ДЕНЬ_ЧАС_МЕНЮ!I1883,СПРОС_ДЕНЬ_ЧАС_МЕНЮ!I1914,СПРОС_ДЕНЬ_ЧАС_МЕНЮ!I1945,СПРОС_ДЕНЬ_ЧАС_МЕНЮ!I1976,СПРОС_ДЕНЬ_ЧАС_МЕНЮ!I2007,СПРОС_ДЕНЬ_ЧАС_МЕНЮ!I2038,СПРОС_ДЕНЬ_ЧАС_МЕНЮ!I2069,СПРОС_ДЕНЬ_ЧАС_МЕНЮ!I2100,СПРОС_ДЕНЬ_ЧАС_МЕНЮ!I2131,СПРОС_ДЕНЬ_ЧАС_МЕНЮ!I2162,СПРОС_ДЕНЬ_ЧАС_МЕНЮ!I2193,СПРОС_ДЕНЬ_ЧАС_МЕНЮ!I2224,СПРОС_ДЕНЬ_ЧАС_МЕНЮ!I2255,СПРОС_ДЕНЬ_ЧАС_МЕНЮ!I2286,СПРОС_ДЕНЬ_ЧАС_МЕНЮ!I2317,СПРОС_ДЕНЬ_ЧАС_МЕНЮ!I2348,СПРОС_ДЕНЬ_ЧАС_МЕНЮ!I2379,СПРОС_ДЕНЬ_ЧАС_МЕНЮ!I2410,СПРОС_ДЕНЬ_ЧАС_МЕНЮ!I2441,СПРОС_ДЕНЬ_ЧАС_МЕНЮ!I2472,СПРОС_ДЕНЬ_ЧАС_МЕНЮ!I2503,СПРОС_ДЕНЬ_ЧАС_МЕНЮ!I2534,СПРОС_ДЕНЬ_ЧАС_МЕНЮ!I2565,СПРОС_ДЕНЬ_ЧАС_МЕНЮ!I2596,СПРОС_ДЕНЬ_ЧАС_МЕНЮ!I2627,СПРОС_ДЕНЬ_ЧАС_МЕНЮ!I2658,СПРОС_ДЕНЬ_ЧАС_МЕНЮ!I2689,СПРОС_ДЕНЬ_ЧАС_МЕНЮ!I2720,СПРОС_ДЕНЬ_ЧАС_МЕНЮ!I2751,СПРОС_ДЕНЬ_ЧАС_МЕНЮ!I2782,СПРОС_ДЕНЬ_ЧАС_МЕНЮ!I2813,СПРОС_ДЕНЬ_ЧАС_МЕНЮ!I2844,СПРОС_ДЕНЬ_ЧАС_МЕНЮ!I2875,СПРОС_ДЕНЬ_ЧАС_МЕНЮ!I2906,СПРОС_ДЕНЬ_ЧАС_МЕНЮ!I2937,СПРОС_ДЕНЬ_ЧАС_МЕНЮ!I2968,СПРОС_ДЕНЬ_ЧАС_МЕНЮ!I2999,СПРОС_ДЕНЬ_ЧАС_МЕНЮ!I3030,СПРОС_ДЕНЬ_ЧАС_МЕНЮ!I3061,СПРОС_ДЕНЬ_ЧАС_МЕНЮ!I3092,СПРОС_ДЕНЬ_ЧАС_МЕНЮ!I3123,СПРОС_ДЕНЬ_ЧАС_МЕНЮ!I3154,СПРОС_ДЕНЬ_ЧАС_МЕНЮ!I3185,СПРОС_ДЕНЬ_ЧАС_МЕНЮ!I3216,СПРОС_ДЕНЬ_ЧАС_МЕНЮ!I3247)</f>
        <v>1.012</v>
      </c>
      <c r="H23" s="12" t="s">
        <v>112</v>
      </c>
      <c r="I23" s="12" t="s">
        <v>137</v>
      </c>
      <c r="J23" s="12" t="n">
        <f aca="false">MAX(БАЛАНС_ДЕНЬ_ЧАС!F13,БАЛАНС_ДЕНЬ_ЧАС!F21,БАЛАНС_ДЕНЬ_ЧАС!F29,БАЛАНС_ДЕНЬ_ЧАС!F37,БАЛАНС_ДЕНЬ_ЧАС!F45,БАЛАНС_ДЕНЬ_ЧАС!F53,БАЛАНС_ДЕНЬ_ЧАС!F61,БАЛАНС_ДЕНЬ_ЧАС!F69,БАЛАНС_ДЕНЬ_ЧАС!F77,БАЛАНС_ДЕНЬ_ЧАС!F85,БАЛАНС_ДЕНЬ_ЧАС!F93,БАЛАНС_ДЕНЬ_ЧАС!F101,БАЛАНС_ДЕНЬ_ЧАС!F109,БАЛАНС_ДЕНЬ_ЧАС!F117,БАЛАНС_ДЕНЬ_ЧАС!F125,БАЛАНС_ДЕНЬ_ЧАС!F133,БАЛАНС_ДЕНЬ_ЧАС!F141,БАЛАНС_ДЕНЬ_ЧАС!F149,БАЛАНС_ДЕНЬ_ЧАС!F157,БАЛАНС_ДЕНЬ_ЧАС!F165,БАЛАНС_ДЕНЬ_ЧАС!F173,БАЛАНС_ДЕНЬ_ЧАС!F181,БАЛАНС_ДЕНЬ_ЧАС!F189,БАЛАНС_ДЕНЬ_ЧАС!F197,БАЛАНС_ДЕНЬ_ЧАС!F205,БАЛАНС_ДЕНЬ_ЧАС!F213,БАЛАНС_ДЕНЬ_ЧАС!F221,БАЛАНС_ДЕНЬ_ЧАС!F229,БАЛАНС_ДЕНЬ_ЧАС!F237,БАЛАНС_ДЕНЬ_ЧАС!F245,БАЛАНС_ДЕНЬ_ЧАС!F253,БАЛАНС_ДЕНЬ_ЧАС!F261,БАЛАНС_ДЕНЬ_ЧАС!F269,БАЛАНС_ДЕНЬ_ЧАС!F277,БАЛАНС_ДЕНЬ_ЧАС!F285,БАЛАНС_ДЕНЬ_ЧАС!F293,БАЛАНС_ДЕНЬ_ЧАС!F301,БАЛАНС_ДЕНЬ_ЧАС!F309,БАЛАНС_ДЕНЬ_ЧАС!F317,БАЛАНС_ДЕНЬ_ЧАС!F325,БАЛАНС_ДЕНЬ_ЧАС!F333,БАЛАНС_ДЕНЬ_ЧАС!F341,БАЛАНС_ДЕНЬ_ЧАС!F349,БАЛАНС_ДЕНЬ_ЧАС!F357,БАЛАНС_ДЕНЬ_ЧАС!F365,БАЛАНС_ДЕНЬ_ЧАС!F373,БАЛАНС_ДЕНЬ_ЧАС!F381,БАЛАНС_ДЕНЬ_ЧАС!F389,БАЛАНС_ДЕНЬ_ЧАС!F397,БАЛАНС_ДЕНЬ_ЧАС!F405,БАЛАНС_ДЕНЬ_ЧАС!F413,БАЛАНС_ДЕНЬ_ЧАС!F421,БАЛАНС_ДЕНЬ_ЧАС!F429,БАЛАНС_ДЕНЬ_ЧАС!F437,БАЛАНС_ДЕНЬ_ЧАС!F445,БАЛАНС_ДЕНЬ_ЧАС!F453,БАЛАНС_ДЕНЬ_ЧАС!F461,БАЛАНС_ДЕНЬ_ЧАС!F469,БАЛАНС_ДЕНЬ_ЧАС!F477,БАЛАНС_ДЕНЬ_ЧАС!F485,БАЛАНС_ДЕНЬ_ЧАС!F493,БАЛАНС_ДЕНЬ_ЧАС!F501,БАЛАНС_ДЕНЬ_ЧАС!F509,БАЛАНС_ДЕНЬ_ЧАС!F517,БАЛАНС_ДЕНЬ_ЧАС!F525,БАЛАНС_ДЕНЬ_ЧАС!F533,БАЛАНС_ДЕНЬ_ЧАС!F541,БАЛАНС_ДЕНЬ_ЧАС!F549,БАЛАНС_ДЕНЬ_ЧАС!F557,БАЛАНС_ДЕНЬ_ЧАС!F565,БАЛАНС_ДЕНЬ_ЧАС!F573,БАЛАНС_ДЕНЬ_ЧАС!F581,БАЛАНС_ДЕНЬ_ЧАС!F589,БАЛАНС_ДЕНЬ_ЧАС!F597,БАЛАНС_ДЕНЬ_ЧАС!F605,БАЛАНС_ДЕНЬ_ЧАС!F613,БАЛАНС_ДЕНЬ_ЧАС!F621,БАЛАНС_ДЕНЬ_ЧАС!F629,БАЛАНС_ДЕНЬ_ЧАС!F637,БАЛАНС_ДЕНЬ_ЧАС!F645,БАЛАНС_ДЕНЬ_ЧАС!F653,БАЛАНС_ДЕНЬ_ЧАС!F661,БАЛАНС_ДЕНЬ_ЧАС!F669,БАЛАНС_ДЕНЬ_ЧАС!F677,БАЛАНС_ДЕНЬ_ЧАС!F685,БАЛАНС_ДЕНЬ_ЧАС!F693,БАЛАНС_ДЕНЬ_ЧАС!F701,БАЛАНС_ДЕНЬ_ЧАС!F709,БАЛАНС_ДЕНЬ_ЧАС!F717,БАЛАНС_ДЕНЬ_ЧАС!F725,БАЛАНС_ДЕНЬ_ЧАС!F733,БАЛАНС_ДЕНЬ_ЧАС!F741,БАЛАНС_ДЕНЬ_ЧАС!F749,БАЛАНС_ДЕНЬ_ЧАС!F757,БАЛАНС_ДЕНЬ_ЧАС!F765,БАЛАНС_ДЕНЬ_ЧАС!F773,БАЛАНС_ДЕНЬ_ЧАС!F781,БАЛАНС_ДЕНЬ_ЧАС!F789,БАЛАНС_ДЕНЬ_ЧАС!F797,БАЛАНС_ДЕНЬ_ЧАС!F805,БАЛАНС_ДЕНЬ_ЧАС!F813,БАЛАНС_ДЕНЬ_ЧАС!F821,БАЛАНС_ДЕНЬ_ЧАС!F829,БАЛАНС_ДЕНЬ_ЧАС!F837,БАЛАНС_ДЕНЬ_ЧАС!F845)</f>
        <v>12.298</v>
      </c>
      <c r="K23" s="12" t="n">
        <f aca="false">ПАРАМЕТРЫ!D22</f>
        <v>16</v>
      </c>
      <c r="L23" s="12" t="n">
        <f aca="false">MAX(БАЛАНС_ДЕНЬ_ЧАС!I13,БАЛАНС_ДЕНЬ_ЧАС!I21,БАЛАНС_ДЕНЬ_ЧАС!I29,БАЛАНС_ДЕНЬ_ЧАС!I37,БАЛАНС_ДЕНЬ_ЧАС!I45,БАЛАНС_ДЕНЬ_ЧАС!I53,БАЛАНС_ДЕНЬ_ЧАС!I61,БАЛАНС_ДЕНЬ_ЧАС!I69,БАЛАНС_ДЕНЬ_ЧАС!I77,БАЛАНС_ДЕНЬ_ЧАС!I85,БАЛАНС_ДЕНЬ_ЧАС!I93,БАЛАНС_ДЕНЬ_ЧАС!I101,БАЛАНС_ДЕНЬ_ЧАС!I109,БАЛАНС_ДЕНЬ_ЧАС!I117,БАЛАНС_ДЕНЬ_ЧАС!I125,БАЛАНС_ДЕНЬ_ЧАС!I133,БАЛАНС_ДЕНЬ_ЧАС!I141,БАЛАНС_ДЕНЬ_ЧАС!I149,БАЛАНС_ДЕНЬ_ЧАС!I157,БАЛАНС_ДЕНЬ_ЧАС!I165,БАЛАНС_ДЕНЬ_ЧАС!I173,БАЛАНС_ДЕНЬ_ЧАС!I181,БАЛАНС_ДЕНЬ_ЧАС!I189,БАЛАНС_ДЕНЬ_ЧАС!I197,БАЛАНС_ДЕНЬ_ЧАС!I205,БАЛАНС_ДЕНЬ_ЧАС!I213,БАЛАНС_ДЕНЬ_ЧАС!I221,БАЛАНС_ДЕНЬ_ЧАС!I229,БАЛАНС_ДЕНЬ_ЧАС!I237,БАЛАНС_ДЕНЬ_ЧАС!I245,БАЛАНС_ДЕНЬ_ЧАС!I253,БАЛАНС_ДЕНЬ_ЧАС!I261,БАЛАНС_ДЕНЬ_ЧАС!I269,БАЛАНС_ДЕНЬ_ЧАС!I277,БАЛАНС_ДЕНЬ_ЧАС!I285,БАЛАНС_ДЕНЬ_ЧАС!I293,БАЛАНС_ДЕНЬ_ЧАС!I301,БАЛАНС_ДЕНЬ_ЧАС!I309,БАЛАНС_ДЕНЬ_ЧАС!I317,БАЛАНС_ДЕНЬ_ЧАС!I325,БАЛАНС_ДЕНЬ_ЧАС!I333,БАЛАНС_ДЕНЬ_ЧАС!I341,БАЛАНС_ДЕНЬ_ЧАС!I349,БАЛАНС_ДЕНЬ_ЧАС!I357,БАЛАНС_ДЕНЬ_ЧАС!I365,БАЛАНС_ДЕНЬ_ЧАС!I373,БАЛАНС_ДЕНЬ_ЧАС!I381,БАЛАНС_ДЕНЬ_ЧАС!I389,БАЛАНС_ДЕНЬ_ЧАС!I397,БАЛАНС_ДЕНЬ_ЧАС!I405,БАЛАНС_ДЕНЬ_ЧАС!I413,БАЛАНС_ДЕНЬ_ЧАС!I421,БАЛАНС_ДЕНЬ_ЧАС!I429,БАЛАНС_ДЕНЬ_ЧАС!I437,БАЛАНС_ДЕНЬ_ЧАС!I445,БАЛАНС_ДЕНЬ_ЧАС!I453,БАЛАНС_ДЕНЬ_ЧАС!I461,БАЛАНС_ДЕНЬ_ЧАС!I469,БАЛАНС_ДЕНЬ_ЧАС!I477,БАЛАНС_ДЕНЬ_ЧАС!I485,БАЛАНС_ДЕНЬ_ЧАС!I493,БАЛАНС_ДЕНЬ_ЧАС!I501,БАЛАНС_ДЕНЬ_ЧАС!I509,БАЛАНС_ДЕНЬ_ЧАС!I517,БАЛАНС_ДЕНЬ_ЧАС!I525,БАЛАНС_ДЕНЬ_ЧАС!I533,БАЛАНС_ДЕНЬ_ЧАС!I541,БАЛАНС_ДЕНЬ_ЧАС!I549,БАЛАНС_ДЕНЬ_ЧАС!I557,БАЛАНС_ДЕНЬ_ЧАС!I565,БАЛАНС_ДЕНЬ_ЧАС!I573,БАЛАНС_ДЕНЬ_ЧАС!I581,БАЛАНС_ДЕНЬ_ЧАС!I589,БАЛАНС_ДЕНЬ_ЧАС!I597,БАЛАНС_ДЕНЬ_ЧАС!I605,БАЛАНС_ДЕНЬ_ЧАС!I613,БАЛАНС_ДЕНЬ_ЧАС!I621,БАЛАНС_ДЕНЬ_ЧАС!I629,БАЛАНС_ДЕНЬ_ЧАС!I637,БАЛАНС_ДЕНЬ_ЧАС!I645,БАЛАНС_ДЕНЬ_ЧАС!I653,БАЛАНС_ДЕНЬ_ЧАС!I661,БАЛАНС_ДЕНЬ_ЧАС!I669,БАЛАНС_ДЕНЬ_ЧАС!I677,БАЛАНС_ДЕНЬ_ЧАС!I685,БАЛАНС_ДЕНЬ_ЧАС!I693,БАЛАНС_ДЕНЬ_ЧАС!I701,БАЛАНС_ДЕНЬ_ЧАС!I709,БАЛАНС_ДЕНЬ_ЧАС!I717,БАЛАНС_ДЕНЬ_ЧАС!I725,БАЛАНС_ДЕНЬ_ЧАС!I733,БАЛАНС_ДЕНЬ_ЧАС!I741,БАЛАНС_ДЕНЬ_ЧАС!I749,БАЛАНС_ДЕНЬ_ЧАС!I757,БАЛАНС_ДЕНЬ_ЧАС!I765,БАЛАНС_ДЕНЬ_ЧАС!I773,БАЛАНС_ДЕНЬ_ЧАС!I781,БАЛАНС_ДЕНЬ_ЧАС!I789,БАЛАНС_ДЕНЬ_ЧАС!I797,БАЛАНС_ДЕНЬ_ЧАС!I805,БАЛАНС_ДЕНЬ_ЧАС!I813,БАЛАНС_ДЕНЬ_ЧАС!I821,БАЛАНС_ДЕНЬ_ЧАС!I829,БАЛАНС_ДЕНЬ_ЧАС!I837,БАЛАНС_ДЕНЬ_ЧАС!I845)</f>
        <v>16</v>
      </c>
      <c r="M23" s="12" t="n">
        <f aca="false">MAX(БАЛАНС_ДЕНЬ_ЧАС!J13,БАЛАНС_ДЕНЬ_ЧАС!J21,БАЛАНС_ДЕНЬ_ЧАС!J29,БАЛАНС_ДЕНЬ_ЧАС!J37,БАЛАНС_ДЕНЬ_ЧАС!J45,БАЛАНС_ДЕНЬ_ЧАС!J53,БАЛАНС_ДЕНЬ_ЧАС!J61,БАЛАНС_ДЕНЬ_ЧАС!J69,БАЛАНС_ДЕНЬ_ЧАС!J77,БАЛАНС_ДЕНЬ_ЧАС!J85,БАЛАНС_ДЕНЬ_ЧАС!J93,БАЛАНС_ДЕНЬ_ЧАС!J101,БАЛАНС_ДЕНЬ_ЧАС!J109,БАЛАНС_ДЕНЬ_ЧАС!J117,БАЛАНС_ДЕНЬ_ЧАС!J125,БАЛАНС_ДЕНЬ_ЧАС!J133,БАЛАНС_ДЕНЬ_ЧАС!J141,БАЛАНС_ДЕНЬ_ЧАС!J149,БАЛАНС_ДЕНЬ_ЧАС!J157,БАЛАНС_ДЕНЬ_ЧАС!J165,БАЛАНС_ДЕНЬ_ЧАС!J173,БАЛАНС_ДЕНЬ_ЧАС!J181,БАЛАНС_ДЕНЬ_ЧАС!J189,БАЛАНС_ДЕНЬ_ЧАС!J197,БАЛАНС_ДЕНЬ_ЧАС!J205,БАЛАНС_ДЕНЬ_ЧАС!J213,БАЛАНС_ДЕНЬ_ЧАС!J221,БАЛАНС_ДЕНЬ_ЧАС!J229,БАЛАНС_ДЕНЬ_ЧАС!J237,БАЛАНС_ДЕНЬ_ЧАС!J245,БАЛАНС_ДЕНЬ_ЧАС!J253,БАЛАНС_ДЕНЬ_ЧАС!J261,БАЛАНС_ДЕНЬ_ЧАС!J269,БАЛАНС_ДЕНЬ_ЧАС!J277,БАЛАНС_ДЕНЬ_ЧАС!J285,БАЛАНС_ДЕНЬ_ЧАС!J293,БАЛАНС_ДЕНЬ_ЧАС!J301,БАЛАНС_ДЕНЬ_ЧАС!J309,БАЛАНС_ДЕНЬ_ЧАС!J317,БАЛАНС_ДЕНЬ_ЧАС!J325,БАЛАНС_ДЕНЬ_ЧАС!J333,БАЛАНС_ДЕНЬ_ЧАС!J341,БАЛАНС_ДЕНЬ_ЧАС!J349,БАЛАНС_ДЕНЬ_ЧАС!J357,БАЛАНС_ДЕНЬ_ЧАС!J365,БАЛАНС_ДЕНЬ_ЧАС!J373,БАЛАНС_ДЕНЬ_ЧАС!J381,БАЛАНС_ДЕНЬ_ЧАС!J389,БАЛАНС_ДЕНЬ_ЧАС!J397,БАЛАНС_ДЕНЬ_ЧАС!J405,БАЛАНС_ДЕНЬ_ЧАС!J413,БАЛАНС_ДЕНЬ_ЧАС!J421,БАЛАНС_ДЕНЬ_ЧАС!J429,БАЛАНС_ДЕНЬ_ЧАС!J437,БАЛАНС_ДЕНЬ_ЧАС!J445,БАЛАНС_ДЕНЬ_ЧАС!J453,БАЛАНС_ДЕНЬ_ЧАС!J461,БАЛАНС_ДЕНЬ_ЧАС!J469,БАЛАНС_ДЕНЬ_ЧАС!J477,БАЛАНС_ДЕНЬ_ЧАС!J485,БАЛАНС_ДЕНЬ_ЧАС!J493,БАЛАНС_ДЕНЬ_ЧАС!J501,БАЛАНС_ДЕНЬ_ЧАС!J509,БАЛАНС_ДЕНЬ_ЧАС!J517,БАЛАНС_ДЕНЬ_ЧАС!J525,БАЛАНС_ДЕНЬ_ЧАС!J533,БАЛАНС_ДЕНЬ_ЧАС!J541,БАЛАНС_ДЕНЬ_ЧАС!J549,БАЛАНС_ДЕНЬ_ЧАС!J557,БАЛАНС_ДЕНЬ_ЧАС!J565,БАЛАНС_ДЕНЬ_ЧАС!J573,БАЛАНС_ДЕНЬ_ЧАС!J581,БАЛАНС_ДЕНЬ_ЧАС!J589,БАЛАНС_ДЕНЬ_ЧАС!J597,БАЛАНС_ДЕНЬ_ЧАС!J605,БАЛАНС_ДЕНЬ_ЧАС!J613,БАЛАНС_ДЕНЬ_ЧАС!J621,БАЛАНС_ДЕНЬ_ЧАС!J629,БАЛАНС_ДЕНЬ_ЧАС!J637,БАЛАНС_ДЕНЬ_ЧАС!J645,БАЛАНС_ДЕНЬ_ЧАС!J653,БАЛАНС_ДЕНЬ_ЧАС!J661,БАЛАНС_ДЕНЬ_ЧАС!J669,БАЛАНС_ДЕНЬ_ЧАС!J677,БАЛАНС_ДЕНЬ_ЧАС!J685,БАЛАНС_ДЕНЬ_ЧАС!J693,БАЛАНС_ДЕНЬ_ЧАС!J701,БАЛАНС_ДЕНЬ_ЧАС!J709,БАЛАНС_ДЕНЬ_ЧАС!J717,БАЛАНС_ДЕНЬ_ЧАС!J725,БАЛАНС_ДЕНЬ_ЧАС!J733,БАЛАНС_ДЕНЬ_ЧАС!J741,БАЛАНС_ДЕНЬ_ЧАС!J749,БАЛАНС_ДЕНЬ_ЧАС!J757,БАЛАНС_ДЕНЬ_ЧАС!J765,БАЛАНС_ДЕНЬ_ЧАС!J773,БАЛАНС_ДЕНЬ_ЧАС!J781,БАЛАНС_ДЕНЬ_ЧАС!J789,БАЛАНС_ДЕНЬ_ЧАС!J797,БАЛАНС_ДЕНЬ_ЧАС!J805,БАЛАНС_ДЕНЬ_ЧАС!J813,БАЛАНС_ДЕНЬ_ЧАС!J821,БАЛАНС_ДЕНЬ_ЧАС!J829,БАЛАНС_ДЕНЬ_ЧАС!J837,БАЛАНС_ДЕНЬ_ЧАС!J845)</f>
        <v>16</v>
      </c>
      <c r="N23" s="12" t="n">
        <f aca="false">MAX(БАЛАНС_ДЕНЬ_ЧАС!K13,БАЛАНС_ДЕНЬ_ЧАС!K21,БАЛАНС_ДЕНЬ_ЧАС!K29,БАЛАНС_ДЕНЬ_ЧАС!K37,БАЛАНС_ДЕНЬ_ЧАС!K45,БАЛАНС_ДЕНЬ_ЧАС!K53,БАЛАНС_ДЕНЬ_ЧАС!K61,БАЛАНС_ДЕНЬ_ЧАС!K69,БАЛАНС_ДЕНЬ_ЧАС!K77,БАЛАНС_ДЕНЬ_ЧАС!K85,БАЛАНС_ДЕНЬ_ЧАС!K93,БАЛАНС_ДЕНЬ_ЧАС!K101,БАЛАНС_ДЕНЬ_ЧАС!K109,БАЛАНС_ДЕНЬ_ЧАС!K117,БАЛАНС_ДЕНЬ_ЧАС!K125,БАЛАНС_ДЕНЬ_ЧАС!K133,БАЛАНС_ДЕНЬ_ЧАС!K141,БАЛАНС_ДЕНЬ_ЧАС!K149,БАЛАНС_ДЕНЬ_ЧАС!K157,БАЛАНС_ДЕНЬ_ЧАС!K165,БАЛАНС_ДЕНЬ_ЧАС!K173,БАЛАНС_ДЕНЬ_ЧАС!K181,БАЛАНС_ДЕНЬ_ЧАС!K189,БАЛАНС_ДЕНЬ_ЧАС!K197,БАЛАНС_ДЕНЬ_ЧАС!K205,БАЛАНС_ДЕНЬ_ЧАС!K213,БАЛАНС_ДЕНЬ_ЧАС!K221,БАЛАНС_ДЕНЬ_ЧАС!K229,БАЛАНС_ДЕНЬ_ЧАС!K237,БАЛАНС_ДЕНЬ_ЧАС!K245,БАЛАНС_ДЕНЬ_ЧАС!K253,БАЛАНС_ДЕНЬ_ЧАС!K261,БАЛАНС_ДЕНЬ_ЧАС!K269,БАЛАНС_ДЕНЬ_ЧАС!K277,БАЛАНС_ДЕНЬ_ЧАС!K285,БАЛАНС_ДЕНЬ_ЧАС!K293,БАЛАНС_ДЕНЬ_ЧАС!K301,БАЛАНС_ДЕНЬ_ЧАС!K309,БАЛАНС_ДЕНЬ_ЧАС!K317,БАЛАНС_ДЕНЬ_ЧАС!K325,БАЛАНС_ДЕНЬ_ЧАС!K333,БАЛАНС_ДЕНЬ_ЧАС!K341,БАЛАНС_ДЕНЬ_ЧАС!K349,БАЛАНС_ДЕНЬ_ЧАС!K357,БАЛАНС_ДЕНЬ_ЧАС!K365,БАЛАНС_ДЕНЬ_ЧАС!K373,БАЛАНС_ДЕНЬ_ЧАС!K381,БАЛАНС_ДЕНЬ_ЧАС!K389,БАЛАНС_ДЕНЬ_ЧАС!K397,БАЛАНС_ДЕНЬ_ЧАС!K405,БАЛАНС_ДЕНЬ_ЧАС!K413,БАЛАНС_ДЕНЬ_ЧАС!K421,БАЛАНС_ДЕНЬ_ЧАС!K429,БАЛАНС_ДЕНЬ_ЧАС!K437,БАЛАНС_ДЕНЬ_ЧАС!K445,БАЛАНС_ДЕНЬ_ЧАС!K453,БАЛАНС_ДЕНЬ_ЧАС!K461,БАЛАНС_ДЕНЬ_ЧАС!K469,БАЛАНС_ДЕНЬ_ЧАС!K477,БАЛАНС_ДЕНЬ_ЧАС!K485,БАЛАНС_ДЕНЬ_ЧАС!K493,БАЛАНС_ДЕНЬ_ЧАС!K501,БАЛАНС_ДЕНЬ_ЧАС!K509,БАЛАНС_ДЕНЬ_ЧАС!K517,БАЛАНС_ДЕНЬ_ЧАС!K525,БАЛАНС_ДЕНЬ_ЧАС!K533,БАЛАНС_ДЕНЬ_ЧАС!K541,БАЛАНС_ДЕНЬ_ЧАС!K549,БАЛАНС_ДЕНЬ_ЧАС!K557,БАЛАНС_ДЕНЬ_ЧАС!K565,БАЛАНС_ДЕНЬ_ЧАС!K573,БАЛАНС_ДЕНЬ_ЧАС!K581,БАЛАНС_ДЕНЬ_ЧАС!K589,БАЛАНС_ДЕНЬ_ЧАС!K597,БАЛАНС_ДЕНЬ_ЧАС!K605,БАЛАНС_ДЕНЬ_ЧАС!K613,БАЛАНС_ДЕНЬ_ЧАС!K621,БАЛАНС_ДЕНЬ_ЧАС!K629,БАЛАНС_ДЕНЬ_ЧАС!K637,БАЛАНС_ДЕНЬ_ЧАС!K645,БАЛАНС_ДЕНЬ_ЧАС!K653,БАЛАНС_ДЕНЬ_ЧАС!K661,БАЛАНС_ДЕНЬ_ЧАС!K669,БАЛАНС_ДЕНЬ_ЧАС!K677,БАЛАНС_ДЕНЬ_ЧАС!K685,БАЛАНС_ДЕНЬ_ЧАС!K693,БАЛАНС_ДЕНЬ_ЧАС!K701,БАЛАНС_ДЕНЬ_ЧАС!K709,БАЛАНС_ДЕНЬ_ЧАС!K717,БАЛАНС_ДЕНЬ_ЧАС!K725,БАЛАНС_ДЕНЬ_ЧАС!K733,БАЛАНС_ДЕНЬ_ЧАС!K741,БАЛАНС_ДЕНЬ_ЧАС!K749,БАЛАНС_ДЕНЬ_ЧАС!K757,БАЛАНС_ДЕНЬ_ЧАС!K765,БАЛАНС_ДЕНЬ_ЧАС!K773,БАЛАНС_ДЕНЬ_ЧАС!K781,БАЛАНС_ДЕНЬ_ЧАС!K789,БАЛАНС_ДЕНЬ_ЧАС!K797,БАЛАНС_ДЕНЬ_ЧАС!K805,БАЛАНС_ДЕНЬ_ЧАС!K813,БАЛАНС_ДЕНЬ_ЧАС!K821,БАЛАНС_ДЕНЬ_ЧАС!K829,БАЛАНС_ДЕНЬ_ЧАС!K837,БАЛАНС_ДЕНЬ_ЧАС!K845)</f>
        <v>0</v>
      </c>
      <c r="O23" s="11" t="str">
        <f aca="false">IF(N23&gt;0,"BLOCKED","PASS")</f>
        <v>PASS</v>
      </c>
      <c r="P23" s="11" t="s">
        <v>145</v>
      </c>
    </row>
    <row r="24" customFormat="false" ht="15" hidden="false" customHeight="false" outlineLevel="0" collapsed="false">
      <c r="A24" s="11" t="n">
        <v>14</v>
      </c>
      <c r="B24" s="11" t="s">
        <v>166</v>
      </c>
      <c r="C24" s="11" t="s">
        <v>168</v>
      </c>
      <c r="D24" s="11" t="s">
        <v>80</v>
      </c>
      <c r="E24" s="12" t="n">
        <v>250</v>
      </c>
      <c r="F24" s="12" t="n">
        <f aca="false">SUMIF(СПРОС_ДЕНЬ_ЧАС_МЕНЮ!$C$11:$C$3265,A24,СПРОС_ДЕНЬ_ЧАС_МЕНЮ!$I$11:$I$3265)</f>
        <v>20.009</v>
      </c>
      <c r="G24" s="12" t="n">
        <f aca="false">MAX(СПРОС_ДЕНЬ_ЧАС_МЕНЮ!I24,СПРОС_ДЕНЬ_ЧАС_МЕНЮ!I55,СПРОС_ДЕНЬ_ЧАС_МЕНЮ!I86,СПРОС_ДЕНЬ_ЧАС_МЕНЮ!I117,СПРОС_ДЕНЬ_ЧАС_МЕНЮ!I148,СПРОС_ДЕНЬ_ЧАС_МЕНЮ!I179,СПРОС_ДЕНЬ_ЧАС_МЕНЮ!I210,СПРОС_ДЕНЬ_ЧАС_МЕНЮ!I241,СПРОС_ДЕНЬ_ЧАС_МЕНЮ!I272,СПРОС_ДЕНЬ_ЧАС_МЕНЮ!I303,СПРОС_ДЕНЬ_ЧАС_МЕНЮ!I334,СПРОС_ДЕНЬ_ЧАС_МЕНЮ!I365,СПРОС_ДЕНЬ_ЧАС_МЕНЮ!I396,СПРОС_ДЕНЬ_ЧАС_МЕНЮ!I427,СПРОС_ДЕНЬ_ЧАС_МЕНЮ!I458,СПРОС_ДЕНЬ_ЧАС_МЕНЮ!I489,СПРОС_ДЕНЬ_ЧАС_МЕНЮ!I520,СПРОС_ДЕНЬ_ЧАС_МЕНЮ!I551,СПРОС_ДЕНЬ_ЧАС_МЕНЮ!I582,СПРОС_ДЕНЬ_ЧАС_МЕНЮ!I613,СПРОС_ДЕНЬ_ЧАС_МЕНЮ!I644,СПРОС_ДЕНЬ_ЧАС_МЕНЮ!I675,СПРОС_ДЕНЬ_ЧАС_МЕНЮ!I706,СПРОС_ДЕНЬ_ЧАС_МЕНЮ!I737,СПРОС_ДЕНЬ_ЧАС_МЕНЮ!I768,СПРОС_ДЕНЬ_ЧАС_МЕНЮ!I799,СПРОС_ДЕНЬ_ЧАС_МЕНЮ!I830,СПРОС_ДЕНЬ_ЧАС_МЕНЮ!I861,СПРОС_ДЕНЬ_ЧАС_МЕНЮ!I892,СПРОС_ДЕНЬ_ЧАС_МЕНЮ!I923,СПРОС_ДЕНЬ_ЧАС_МЕНЮ!I954,СПРОС_ДЕНЬ_ЧАС_МЕНЮ!I985,СПРОС_ДЕНЬ_ЧАС_МЕНЮ!I1016,СПРОС_ДЕНЬ_ЧАС_МЕНЮ!I1047,СПРОС_ДЕНЬ_ЧАС_МЕНЮ!I1078,СПРОС_ДЕНЬ_ЧАС_МЕНЮ!I1109,СПРОС_ДЕНЬ_ЧАС_МЕНЮ!I1140,СПРОС_ДЕНЬ_ЧАС_МЕНЮ!I1171,СПРОС_ДЕНЬ_ЧАС_МЕНЮ!I1202,СПРОС_ДЕНЬ_ЧАС_МЕНЮ!I1233,СПРОС_ДЕНЬ_ЧАС_МЕНЮ!I1264,СПРОС_ДЕНЬ_ЧАС_МЕНЮ!I1295,СПРОС_ДЕНЬ_ЧАС_МЕНЮ!I1326,СПРОС_ДЕНЬ_ЧАС_МЕНЮ!I1357,СПРОС_ДЕНЬ_ЧАС_МЕНЮ!I1388,СПРОС_ДЕНЬ_ЧАС_МЕНЮ!I1419,СПРОС_ДЕНЬ_ЧАС_МЕНЮ!I1450,СПРОС_ДЕНЬ_ЧАС_МЕНЮ!I1481,СПРОС_ДЕНЬ_ЧАС_МЕНЮ!I1512,СПРОС_ДЕНЬ_ЧАС_МЕНЮ!I1543,СПРОС_ДЕНЬ_ЧАС_МЕНЮ!I1574,СПРОС_ДЕНЬ_ЧАС_МЕНЮ!I1605,СПРОС_ДЕНЬ_ЧАС_МЕНЮ!I1636,СПРОС_ДЕНЬ_ЧАС_МЕНЮ!I1667,СПРОС_ДЕНЬ_ЧАС_МЕНЮ!I1698,СПРОС_ДЕНЬ_ЧАС_МЕНЮ!I1729,СПРОС_ДЕНЬ_ЧАС_МЕНЮ!I1760,СПРОС_ДЕНЬ_ЧАС_МЕНЮ!I1791,СПРОС_ДЕНЬ_ЧАС_МЕНЮ!I1822,СПРОС_ДЕНЬ_ЧАС_МЕНЮ!I1853,СПРОС_ДЕНЬ_ЧАС_МЕНЮ!I1884,СПРОС_ДЕНЬ_ЧАС_МЕНЮ!I1915,СПРОС_ДЕНЬ_ЧАС_МЕНЮ!I1946,СПРОС_ДЕНЬ_ЧАС_МЕНЮ!I1977,СПРОС_ДЕНЬ_ЧАС_МЕНЮ!I2008,СПРОС_ДЕНЬ_ЧАС_МЕНЮ!I2039,СПРОС_ДЕНЬ_ЧАС_МЕНЮ!I2070,СПРОС_ДЕНЬ_ЧАС_МЕНЮ!I2101,СПРОС_ДЕНЬ_ЧАС_МЕНЮ!I2132,СПРОС_ДЕНЬ_ЧАС_МЕНЮ!I2163,СПРОС_ДЕНЬ_ЧАС_МЕНЮ!I2194,СПРОС_ДЕНЬ_ЧАС_МЕНЮ!I2225,СПРОС_ДЕНЬ_ЧАС_МЕНЮ!I2256,СПРОС_ДЕНЬ_ЧАС_МЕНЮ!I2287,СПРОС_ДЕНЬ_ЧАС_МЕНЮ!I2318,СПРОС_ДЕНЬ_ЧАС_МЕНЮ!I2349,СПРОС_ДЕНЬ_ЧАС_МЕНЮ!I2380,СПРОС_ДЕНЬ_ЧАС_МЕНЮ!I2411,СПРОС_ДЕНЬ_ЧАС_МЕНЮ!I2442,СПРОС_ДЕНЬ_ЧАС_МЕНЮ!I2473,СПРОС_ДЕНЬ_ЧАС_МЕНЮ!I2504,СПРОС_ДЕНЬ_ЧАС_МЕНЮ!I2535,СПРОС_ДЕНЬ_ЧАС_МЕНЮ!I2566,СПРОС_ДЕНЬ_ЧАС_МЕНЮ!I2597,СПРОС_ДЕНЬ_ЧАС_МЕНЮ!I2628,СПРОС_ДЕНЬ_ЧАС_МЕНЮ!I2659,СПРОС_ДЕНЬ_ЧАС_МЕНЮ!I2690,СПРОС_ДЕНЬ_ЧАС_МЕНЮ!I2721,СПРОС_ДЕНЬ_ЧАС_МЕНЮ!I2752,СПРОС_ДЕНЬ_ЧАС_МЕНЮ!I2783,СПРОС_ДЕНЬ_ЧАС_МЕНЮ!I2814,СПРОС_ДЕНЬ_ЧАС_МЕНЮ!I2845,СПРОС_ДЕНЬ_ЧАС_МЕНЮ!I2876,СПРОС_ДЕНЬ_ЧАС_МЕНЮ!I2907,СПРОС_ДЕНЬ_ЧАС_МЕНЮ!I2938,СПРОС_ДЕНЬ_ЧАС_МЕНЮ!I2969,СПРОС_ДЕНЬ_ЧАС_МЕНЮ!I3000,СПРОС_ДЕНЬ_ЧАС_МЕНЮ!I3031,СПРОС_ДЕНЬ_ЧАС_МЕНЮ!I3062,СПРОС_ДЕНЬ_ЧАС_МЕНЮ!I3093,СПРОС_ДЕНЬ_ЧАС_МЕНЮ!I3124,СПРОС_ДЕНЬ_ЧАС_МЕНЮ!I3155,СПРОС_ДЕНЬ_ЧАС_МЕНЮ!I3186,СПРОС_ДЕНЬ_ЧАС_МЕНЮ!I3217,СПРОС_ДЕНЬ_ЧАС_МЕНЮ!I3248)</f>
        <v>0.693</v>
      </c>
      <c r="H24" s="12" t="s">
        <v>112</v>
      </c>
      <c r="I24" s="12" t="s">
        <v>137</v>
      </c>
      <c r="J24" s="12" t="n">
        <f aca="false">MAX(БАЛАНС_ДЕНЬ_ЧАС!F13,БАЛАНС_ДЕНЬ_ЧАС!F21,БАЛАНС_ДЕНЬ_ЧАС!F29,БАЛАНС_ДЕНЬ_ЧАС!F37,БАЛАНС_ДЕНЬ_ЧАС!F45,БАЛАНС_ДЕНЬ_ЧАС!F53,БАЛАНС_ДЕНЬ_ЧАС!F61,БАЛАНС_ДЕНЬ_ЧАС!F69,БАЛАНС_ДЕНЬ_ЧАС!F77,БАЛАНС_ДЕНЬ_ЧАС!F85,БАЛАНС_ДЕНЬ_ЧАС!F93,БАЛАНС_ДЕНЬ_ЧАС!F101,БАЛАНС_ДЕНЬ_ЧАС!F109,БАЛАНС_ДЕНЬ_ЧАС!F117,БАЛАНС_ДЕНЬ_ЧАС!F125,БАЛАНС_ДЕНЬ_ЧАС!F133,БАЛАНС_ДЕНЬ_ЧАС!F141,БАЛАНС_ДЕНЬ_ЧАС!F149,БАЛАНС_ДЕНЬ_ЧАС!F157,БАЛАНС_ДЕНЬ_ЧАС!F165,БАЛАНС_ДЕНЬ_ЧАС!F173,БАЛАНС_ДЕНЬ_ЧАС!F181,БАЛАНС_ДЕНЬ_ЧАС!F189,БАЛАНС_ДЕНЬ_ЧАС!F197,БАЛАНС_ДЕНЬ_ЧАС!F205,БАЛАНС_ДЕНЬ_ЧАС!F213,БАЛАНС_ДЕНЬ_ЧАС!F221,БАЛАНС_ДЕНЬ_ЧАС!F229,БАЛАНС_ДЕНЬ_ЧАС!F237,БАЛАНС_ДЕНЬ_ЧАС!F245,БАЛАНС_ДЕНЬ_ЧАС!F253,БАЛАНС_ДЕНЬ_ЧАС!F261,БАЛАНС_ДЕНЬ_ЧАС!F269,БАЛАНС_ДЕНЬ_ЧАС!F277,БАЛАНС_ДЕНЬ_ЧАС!F285,БАЛАНС_ДЕНЬ_ЧАС!F293,БАЛАНС_ДЕНЬ_ЧАС!F301,БАЛАНС_ДЕНЬ_ЧАС!F309,БАЛАНС_ДЕНЬ_ЧАС!F317,БАЛАНС_ДЕНЬ_ЧАС!F325,БАЛАНС_ДЕНЬ_ЧАС!F333,БАЛАНС_ДЕНЬ_ЧАС!F341,БАЛАНС_ДЕНЬ_ЧАС!F349,БАЛАНС_ДЕНЬ_ЧАС!F357,БАЛАНС_ДЕНЬ_ЧАС!F365,БАЛАНС_ДЕНЬ_ЧАС!F373,БАЛАНС_ДЕНЬ_ЧАС!F381,БАЛАНС_ДЕНЬ_ЧАС!F389,БАЛАНС_ДЕНЬ_ЧАС!F397,БАЛАНС_ДЕНЬ_ЧАС!F405,БАЛАНС_ДЕНЬ_ЧАС!F413,БАЛАНС_ДЕНЬ_ЧАС!F421,БАЛАНС_ДЕНЬ_ЧАС!F429,БАЛАНС_ДЕНЬ_ЧАС!F437,БАЛАНС_ДЕНЬ_ЧАС!F445,БАЛАНС_ДЕНЬ_ЧАС!F453,БАЛАНС_ДЕНЬ_ЧАС!F461,БАЛАНС_ДЕНЬ_ЧАС!F469,БАЛАНС_ДЕНЬ_ЧАС!F477,БАЛАНС_ДЕНЬ_ЧАС!F485,БАЛАНС_ДЕНЬ_ЧАС!F493,БАЛАНС_ДЕНЬ_ЧАС!F501,БАЛАНС_ДЕНЬ_ЧАС!F509,БАЛАНС_ДЕНЬ_ЧАС!F517,БАЛАНС_ДЕНЬ_ЧАС!F525,БАЛАНС_ДЕНЬ_ЧАС!F533,БАЛАНС_ДЕНЬ_ЧАС!F541,БАЛАНС_ДЕНЬ_ЧАС!F549,БАЛАНС_ДЕНЬ_ЧАС!F557,БАЛАНС_ДЕНЬ_ЧАС!F565,БАЛАНС_ДЕНЬ_ЧАС!F573,БАЛАНС_ДЕНЬ_ЧАС!F581,БАЛАНС_ДЕНЬ_ЧАС!F589,БАЛАНС_ДЕНЬ_ЧАС!F597,БАЛАНС_ДЕНЬ_ЧАС!F605,БАЛАНС_ДЕНЬ_ЧАС!F613,БАЛАНС_ДЕНЬ_ЧАС!F621,БАЛАНС_ДЕНЬ_ЧАС!F629,БАЛАНС_ДЕНЬ_ЧАС!F637,БАЛАНС_ДЕНЬ_ЧАС!F645,БАЛАНС_ДЕНЬ_ЧАС!F653,БАЛАНС_ДЕНЬ_ЧАС!F661,БАЛАНС_ДЕНЬ_ЧАС!F669,БАЛАНС_ДЕНЬ_ЧАС!F677,БАЛАНС_ДЕНЬ_ЧАС!F685,БАЛАНС_ДЕНЬ_ЧАС!F693,БАЛАНС_ДЕНЬ_ЧАС!F701,БАЛАНС_ДЕНЬ_ЧАС!F709,БАЛАНС_ДЕНЬ_ЧАС!F717,БАЛАНС_ДЕНЬ_ЧАС!F725,БАЛАНС_ДЕНЬ_ЧАС!F733,БАЛАНС_ДЕНЬ_ЧАС!F741,БАЛАНС_ДЕНЬ_ЧАС!F749,БАЛАНС_ДЕНЬ_ЧАС!F757,БАЛАНС_ДЕНЬ_ЧАС!F765,БАЛАНС_ДЕНЬ_ЧАС!F773,БАЛАНС_ДЕНЬ_ЧАС!F781,БАЛАНС_ДЕНЬ_ЧАС!F789,БАЛАНС_ДЕНЬ_ЧАС!F797,БАЛАНС_ДЕНЬ_ЧАС!F805,БАЛАНС_ДЕНЬ_ЧАС!F813,БАЛАНС_ДЕНЬ_ЧАС!F821,БАЛАНС_ДЕНЬ_ЧАС!F829,БАЛАНС_ДЕНЬ_ЧАС!F837,БАЛАНС_ДЕНЬ_ЧАС!F845)</f>
        <v>12.298</v>
      </c>
      <c r="K24" s="12" t="n">
        <f aca="false">ПАРАМЕТРЫ!D22</f>
        <v>16</v>
      </c>
      <c r="L24" s="12" t="n">
        <f aca="false">MAX(БАЛАНС_ДЕНЬ_ЧАС!I13,БАЛАНС_ДЕНЬ_ЧАС!I21,БАЛАНС_ДЕНЬ_ЧАС!I29,БАЛАНС_ДЕНЬ_ЧАС!I37,БАЛАНС_ДЕНЬ_ЧАС!I45,БАЛАНС_ДЕНЬ_ЧАС!I53,БАЛАНС_ДЕНЬ_ЧАС!I61,БАЛАНС_ДЕНЬ_ЧАС!I69,БАЛАНС_ДЕНЬ_ЧАС!I77,БАЛАНС_ДЕНЬ_ЧАС!I85,БАЛАНС_ДЕНЬ_ЧАС!I93,БАЛАНС_ДЕНЬ_ЧАС!I101,БАЛАНС_ДЕНЬ_ЧАС!I109,БАЛАНС_ДЕНЬ_ЧАС!I117,БАЛАНС_ДЕНЬ_ЧАС!I125,БАЛАНС_ДЕНЬ_ЧАС!I133,БАЛАНС_ДЕНЬ_ЧАС!I141,БАЛАНС_ДЕНЬ_ЧАС!I149,БАЛАНС_ДЕНЬ_ЧАС!I157,БАЛАНС_ДЕНЬ_ЧАС!I165,БАЛАНС_ДЕНЬ_ЧАС!I173,БАЛАНС_ДЕНЬ_ЧАС!I181,БАЛАНС_ДЕНЬ_ЧАС!I189,БАЛАНС_ДЕНЬ_ЧАС!I197,БАЛАНС_ДЕНЬ_ЧАС!I205,БАЛАНС_ДЕНЬ_ЧАС!I213,БАЛАНС_ДЕНЬ_ЧАС!I221,БАЛАНС_ДЕНЬ_ЧАС!I229,БАЛАНС_ДЕНЬ_ЧАС!I237,БАЛАНС_ДЕНЬ_ЧАС!I245,БАЛАНС_ДЕНЬ_ЧАС!I253,БАЛАНС_ДЕНЬ_ЧАС!I261,БАЛАНС_ДЕНЬ_ЧАС!I269,БАЛАНС_ДЕНЬ_ЧАС!I277,БАЛАНС_ДЕНЬ_ЧАС!I285,БАЛАНС_ДЕНЬ_ЧАС!I293,БАЛАНС_ДЕНЬ_ЧАС!I301,БАЛАНС_ДЕНЬ_ЧАС!I309,БАЛАНС_ДЕНЬ_ЧАС!I317,БАЛАНС_ДЕНЬ_ЧАС!I325,БАЛАНС_ДЕНЬ_ЧАС!I333,БАЛАНС_ДЕНЬ_ЧАС!I341,БАЛАНС_ДЕНЬ_ЧАС!I349,БАЛАНС_ДЕНЬ_ЧАС!I357,БАЛАНС_ДЕНЬ_ЧАС!I365,БАЛАНС_ДЕНЬ_ЧАС!I373,БАЛАНС_ДЕНЬ_ЧАС!I381,БАЛАНС_ДЕНЬ_ЧАС!I389,БАЛАНС_ДЕНЬ_ЧАС!I397,БАЛАНС_ДЕНЬ_ЧАС!I405,БАЛАНС_ДЕНЬ_ЧАС!I413,БАЛАНС_ДЕНЬ_ЧАС!I421,БАЛАНС_ДЕНЬ_ЧАС!I429,БАЛАНС_ДЕНЬ_ЧАС!I437,БАЛАНС_ДЕНЬ_ЧАС!I445,БАЛАНС_ДЕНЬ_ЧАС!I453,БАЛАНС_ДЕНЬ_ЧАС!I461,БАЛАНС_ДЕНЬ_ЧАС!I469,БАЛАНС_ДЕНЬ_ЧАС!I477,БАЛАНС_ДЕНЬ_ЧАС!I485,БАЛАНС_ДЕНЬ_ЧАС!I493,БАЛАНС_ДЕНЬ_ЧАС!I501,БАЛАНС_ДЕНЬ_ЧАС!I509,БАЛАНС_ДЕНЬ_ЧАС!I517,БАЛАНС_ДЕНЬ_ЧАС!I525,БАЛАНС_ДЕНЬ_ЧАС!I533,БАЛАНС_ДЕНЬ_ЧАС!I541,БАЛАНС_ДЕНЬ_ЧАС!I549,БАЛАНС_ДЕНЬ_ЧАС!I557,БАЛАНС_ДЕНЬ_ЧАС!I565,БАЛАНС_ДЕНЬ_ЧАС!I573,БАЛАНС_ДЕНЬ_ЧАС!I581,БАЛАНС_ДЕНЬ_ЧАС!I589,БАЛАНС_ДЕНЬ_ЧАС!I597,БАЛАНС_ДЕНЬ_ЧАС!I605,БАЛАНС_ДЕНЬ_ЧАС!I613,БАЛАНС_ДЕНЬ_ЧАС!I621,БАЛАНС_ДЕНЬ_ЧАС!I629,БАЛАНС_ДЕНЬ_ЧАС!I637,БАЛАНС_ДЕНЬ_ЧАС!I645,БАЛАНС_ДЕНЬ_ЧАС!I653,БАЛАНС_ДЕНЬ_ЧАС!I661,БАЛАНС_ДЕНЬ_ЧАС!I669,БАЛАНС_ДЕНЬ_ЧАС!I677,БАЛАНС_ДЕНЬ_ЧАС!I685,БАЛАНС_ДЕНЬ_ЧАС!I693,БАЛАНС_ДЕНЬ_ЧАС!I701,БАЛАНС_ДЕНЬ_ЧАС!I709,БАЛАНС_ДЕНЬ_ЧАС!I717,БАЛАНС_ДЕНЬ_ЧАС!I725,БАЛАНС_ДЕНЬ_ЧАС!I733,БАЛАНС_ДЕНЬ_ЧАС!I741,БАЛАНС_ДЕНЬ_ЧАС!I749,БАЛАНС_ДЕНЬ_ЧАС!I757,БАЛАНС_ДЕНЬ_ЧАС!I765,БАЛАНС_ДЕНЬ_ЧАС!I773,БАЛАНС_ДЕНЬ_ЧАС!I781,БАЛАНС_ДЕНЬ_ЧАС!I789,БАЛАНС_ДЕНЬ_ЧАС!I797,БАЛАНС_ДЕНЬ_ЧАС!I805,БАЛАНС_ДЕНЬ_ЧАС!I813,БАЛАНС_ДЕНЬ_ЧАС!I821,БАЛАНС_ДЕНЬ_ЧАС!I829,БАЛАНС_ДЕНЬ_ЧАС!I837,БАЛАНС_ДЕНЬ_ЧАС!I845)</f>
        <v>16</v>
      </c>
      <c r="M24" s="12" t="n">
        <f aca="false">MAX(БАЛАНС_ДЕНЬ_ЧАС!J13,БАЛАНС_ДЕНЬ_ЧАС!J21,БАЛАНС_ДЕНЬ_ЧАС!J29,БАЛАНС_ДЕНЬ_ЧАС!J37,БАЛАНС_ДЕНЬ_ЧАС!J45,БАЛАНС_ДЕНЬ_ЧАС!J53,БАЛАНС_ДЕНЬ_ЧАС!J61,БАЛАНС_ДЕНЬ_ЧАС!J69,БАЛАНС_ДЕНЬ_ЧАС!J77,БАЛАНС_ДЕНЬ_ЧАС!J85,БАЛАНС_ДЕНЬ_ЧАС!J93,БАЛАНС_ДЕНЬ_ЧАС!J101,БАЛАНС_ДЕНЬ_ЧАС!J109,БАЛАНС_ДЕНЬ_ЧАС!J117,БАЛАНС_ДЕНЬ_ЧАС!J125,БАЛАНС_ДЕНЬ_ЧАС!J133,БАЛАНС_ДЕНЬ_ЧАС!J141,БАЛАНС_ДЕНЬ_ЧАС!J149,БАЛАНС_ДЕНЬ_ЧАС!J157,БАЛАНС_ДЕНЬ_ЧАС!J165,БАЛАНС_ДЕНЬ_ЧАС!J173,БАЛАНС_ДЕНЬ_ЧАС!J181,БАЛАНС_ДЕНЬ_ЧАС!J189,БАЛАНС_ДЕНЬ_ЧАС!J197,БАЛАНС_ДЕНЬ_ЧАС!J205,БАЛАНС_ДЕНЬ_ЧАС!J213,БАЛАНС_ДЕНЬ_ЧАС!J221,БАЛАНС_ДЕНЬ_ЧАС!J229,БАЛАНС_ДЕНЬ_ЧАС!J237,БАЛАНС_ДЕНЬ_ЧАС!J245,БАЛАНС_ДЕНЬ_ЧАС!J253,БАЛАНС_ДЕНЬ_ЧАС!J261,БАЛАНС_ДЕНЬ_ЧАС!J269,БАЛАНС_ДЕНЬ_ЧАС!J277,БАЛАНС_ДЕНЬ_ЧАС!J285,БАЛАНС_ДЕНЬ_ЧАС!J293,БАЛАНС_ДЕНЬ_ЧАС!J301,БАЛАНС_ДЕНЬ_ЧАС!J309,БАЛАНС_ДЕНЬ_ЧАС!J317,БАЛАНС_ДЕНЬ_ЧАС!J325,БАЛАНС_ДЕНЬ_ЧАС!J333,БАЛАНС_ДЕНЬ_ЧАС!J341,БАЛАНС_ДЕНЬ_ЧАС!J349,БАЛАНС_ДЕНЬ_ЧАС!J357,БАЛАНС_ДЕНЬ_ЧАС!J365,БАЛАНС_ДЕНЬ_ЧАС!J373,БАЛАНС_ДЕНЬ_ЧАС!J381,БАЛАНС_ДЕНЬ_ЧАС!J389,БАЛАНС_ДЕНЬ_ЧАС!J397,БАЛАНС_ДЕНЬ_ЧАС!J405,БАЛАНС_ДЕНЬ_ЧАС!J413,БАЛАНС_ДЕНЬ_ЧАС!J421,БАЛАНС_ДЕНЬ_ЧАС!J429,БАЛАНС_ДЕНЬ_ЧАС!J437,БАЛАНС_ДЕНЬ_ЧАС!J445,БАЛАНС_ДЕНЬ_ЧАС!J453,БАЛАНС_ДЕНЬ_ЧАС!J461,БАЛАНС_ДЕНЬ_ЧАС!J469,БАЛАНС_ДЕНЬ_ЧАС!J477,БАЛАНС_ДЕНЬ_ЧАС!J485,БАЛАНС_ДЕНЬ_ЧАС!J493,БАЛАНС_ДЕНЬ_ЧАС!J501,БАЛАНС_ДЕНЬ_ЧАС!J509,БАЛАНС_ДЕНЬ_ЧАС!J517,БАЛАНС_ДЕНЬ_ЧАС!J525,БАЛАНС_ДЕНЬ_ЧАС!J533,БАЛАНС_ДЕНЬ_ЧАС!J541,БАЛАНС_ДЕНЬ_ЧАС!J549,БАЛАНС_ДЕНЬ_ЧАС!J557,БАЛАНС_ДЕНЬ_ЧАС!J565,БАЛАНС_ДЕНЬ_ЧАС!J573,БАЛАНС_ДЕНЬ_ЧАС!J581,БАЛАНС_ДЕНЬ_ЧАС!J589,БАЛАНС_ДЕНЬ_ЧАС!J597,БАЛАНС_ДЕНЬ_ЧАС!J605,БАЛАНС_ДЕНЬ_ЧАС!J613,БАЛАНС_ДЕНЬ_ЧАС!J621,БАЛАНС_ДЕНЬ_ЧАС!J629,БАЛАНС_ДЕНЬ_ЧАС!J637,БАЛАНС_ДЕНЬ_ЧАС!J645,БАЛАНС_ДЕНЬ_ЧАС!J653,БАЛАНС_ДЕНЬ_ЧАС!J661,БАЛАНС_ДЕНЬ_ЧАС!J669,БАЛАНС_ДЕНЬ_ЧАС!J677,БАЛАНС_ДЕНЬ_ЧАС!J685,БАЛАНС_ДЕНЬ_ЧАС!J693,БАЛАНС_ДЕНЬ_ЧАС!J701,БАЛАНС_ДЕНЬ_ЧАС!J709,БАЛАНС_ДЕНЬ_ЧАС!J717,БАЛАНС_ДЕНЬ_ЧАС!J725,БАЛАНС_ДЕНЬ_ЧАС!J733,БАЛАНС_ДЕНЬ_ЧАС!J741,БАЛАНС_ДЕНЬ_ЧАС!J749,БАЛАНС_ДЕНЬ_ЧАС!J757,БАЛАНС_ДЕНЬ_ЧАС!J765,БАЛАНС_ДЕНЬ_ЧАС!J773,БАЛАНС_ДЕНЬ_ЧАС!J781,БАЛАНС_ДЕНЬ_ЧАС!J789,БАЛАНС_ДЕНЬ_ЧАС!J797,БАЛАНС_ДЕНЬ_ЧАС!J805,БАЛАНС_ДЕНЬ_ЧАС!J813,БАЛАНС_ДЕНЬ_ЧАС!J821,БАЛАНС_ДЕНЬ_ЧАС!J829,БАЛАНС_ДЕНЬ_ЧАС!J837,БАЛАНС_ДЕНЬ_ЧАС!J845)</f>
        <v>16</v>
      </c>
      <c r="N24" s="12" t="n">
        <f aca="false">MAX(БАЛАНС_ДЕНЬ_ЧАС!K13,БАЛАНС_ДЕНЬ_ЧАС!K21,БАЛАНС_ДЕНЬ_ЧАС!K29,БАЛАНС_ДЕНЬ_ЧАС!K37,БАЛАНС_ДЕНЬ_ЧАС!K45,БАЛАНС_ДЕНЬ_ЧАС!K53,БАЛАНС_ДЕНЬ_ЧАС!K61,БАЛАНС_ДЕНЬ_ЧАС!K69,БАЛАНС_ДЕНЬ_ЧАС!K77,БАЛАНС_ДЕНЬ_ЧАС!K85,БАЛАНС_ДЕНЬ_ЧАС!K93,БАЛАНС_ДЕНЬ_ЧАС!K101,БАЛАНС_ДЕНЬ_ЧАС!K109,БАЛАНС_ДЕНЬ_ЧАС!K117,БАЛАНС_ДЕНЬ_ЧАС!K125,БАЛАНС_ДЕНЬ_ЧАС!K133,БАЛАНС_ДЕНЬ_ЧАС!K141,БАЛАНС_ДЕНЬ_ЧАС!K149,БАЛАНС_ДЕНЬ_ЧАС!K157,БАЛАНС_ДЕНЬ_ЧАС!K165,БАЛАНС_ДЕНЬ_ЧАС!K173,БАЛАНС_ДЕНЬ_ЧАС!K181,БАЛАНС_ДЕНЬ_ЧАС!K189,БАЛАНС_ДЕНЬ_ЧАС!K197,БАЛАНС_ДЕНЬ_ЧАС!K205,БАЛАНС_ДЕНЬ_ЧАС!K213,БАЛАНС_ДЕНЬ_ЧАС!K221,БАЛАНС_ДЕНЬ_ЧАС!K229,БАЛАНС_ДЕНЬ_ЧАС!K237,БАЛАНС_ДЕНЬ_ЧАС!K245,БАЛАНС_ДЕНЬ_ЧАС!K253,БАЛАНС_ДЕНЬ_ЧАС!K261,БАЛАНС_ДЕНЬ_ЧАС!K269,БАЛАНС_ДЕНЬ_ЧАС!K277,БАЛАНС_ДЕНЬ_ЧАС!K285,БАЛАНС_ДЕНЬ_ЧАС!K293,БАЛАНС_ДЕНЬ_ЧАС!K301,БАЛАНС_ДЕНЬ_ЧАС!K309,БАЛАНС_ДЕНЬ_ЧАС!K317,БАЛАНС_ДЕНЬ_ЧАС!K325,БАЛАНС_ДЕНЬ_ЧАС!K333,БАЛАНС_ДЕНЬ_ЧАС!K341,БАЛАНС_ДЕНЬ_ЧАС!K349,БАЛАНС_ДЕНЬ_ЧАС!K357,БАЛАНС_ДЕНЬ_ЧАС!K365,БАЛАНС_ДЕНЬ_ЧАС!K373,БАЛАНС_ДЕНЬ_ЧАС!K381,БАЛАНС_ДЕНЬ_ЧАС!K389,БАЛАНС_ДЕНЬ_ЧАС!K397,БАЛАНС_ДЕНЬ_ЧАС!K405,БАЛАНС_ДЕНЬ_ЧАС!K413,БАЛАНС_ДЕНЬ_ЧАС!K421,БАЛАНС_ДЕНЬ_ЧАС!K429,БАЛАНС_ДЕНЬ_ЧАС!K437,БАЛАНС_ДЕНЬ_ЧАС!K445,БАЛАНС_ДЕНЬ_ЧАС!K453,БАЛАНС_ДЕНЬ_ЧАС!K461,БАЛАНС_ДЕНЬ_ЧАС!K469,БАЛАНС_ДЕНЬ_ЧАС!K477,БАЛАНС_ДЕНЬ_ЧАС!K485,БАЛАНС_ДЕНЬ_ЧАС!K493,БАЛАНС_ДЕНЬ_ЧАС!K501,БАЛАНС_ДЕНЬ_ЧАС!K509,БАЛАНС_ДЕНЬ_ЧАС!K517,БАЛАНС_ДЕНЬ_ЧАС!K525,БАЛАНС_ДЕНЬ_ЧАС!K533,БАЛАНС_ДЕНЬ_ЧАС!K541,БАЛАНС_ДЕНЬ_ЧАС!K549,БАЛАНС_ДЕНЬ_ЧАС!K557,БАЛАНС_ДЕНЬ_ЧАС!K565,БАЛАНС_ДЕНЬ_ЧАС!K573,БАЛАНС_ДЕНЬ_ЧАС!K581,БАЛАНС_ДЕНЬ_ЧАС!K589,БАЛАНС_ДЕНЬ_ЧАС!K597,БАЛАНС_ДЕНЬ_ЧАС!K605,БАЛАНС_ДЕНЬ_ЧАС!K613,БАЛАНС_ДЕНЬ_ЧАС!K621,БАЛАНС_ДЕНЬ_ЧАС!K629,БАЛАНС_ДЕНЬ_ЧАС!K637,БАЛАНС_ДЕНЬ_ЧАС!K645,БАЛАНС_ДЕНЬ_ЧАС!K653,БАЛАНС_ДЕНЬ_ЧАС!K661,БАЛАНС_ДЕНЬ_ЧАС!K669,БАЛАНС_ДЕНЬ_ЧАС!K677,БАЛАНС_ДЕНЬ_ЧАС!K685,БАЛАНС_ДЕНЬ_ЧАС!K693,БАЛАНС_ДЕНЬ_ЧАС!K701,БАЛАНС_ДЕНЬ_ЧАС!K709,БАЛАНС_ДЕНЬ_ЧАС!K717,БАЛАНС_ДЕНЬ_ЧАС!K725,БАЛАНС_ДЕНЬ_ЧАС!K733,БАЛАНС_ДЕНЬ_ЧАС!K741,БАЛАНС_ДЕНЬ_ЧАС!K749,БАЛАНС_ДЕНЬ_ЧАС!K757,БАЛАНС_ДЕНЬ_ЧАС!K765,БАЛАНС_ДЕНЬ_ЧАС!K773,БАЛАНС_ДЕНЬ_ЧАС!K781,БАЛАНС_ДЕНЬ_ЧАС!K789,БАЛАНС_ДЕНЬ_ЧАС!K797,БАЛАНС_ДЕНЬ_ЧАС!K805,БАЛАНС_ДЕНЬ_ЧАС!K813,БАЛАНС_ДЕНЬ_ЧАС!K821,БАЛАНС_ДЕНЬ_ЧАС!K829,БАЛАНС_ДЕНЬ_ЧАС!K837,БАЛАНС_ДЕНЬ_ЧАС!K845)</f>
        <v>0</v>
      </c>
      <c r="O24" s="11" t="str">
        <f aca="false">IF(N24&gt;0,"BLOCKED","PASS")</f>
        <v>PASS</v>
      </c>
      <c r="P24" s="11" t="s">
        <v>145</v>
      </c>
    </row>
    <row r="25" customFormat="false" ht="15" hidden="false" customHeight="false" outlineLevel="0" collapsed="false">
      <c r="A25" s="11" t="n">
        <v>15</v>
      </c>
      <c r="B25" s="11" t="s">
        <v>166</v>
      </c>
      <c r="C25" s="11" t="s">
        <v>169</v>
      </c>
      <c r="D25" s="11" t="s">
        <v>80</v>
      </c>
      <c r="E25" s="12" t="n">
        <v>120</v>
      </c>
      <c r="F25" s="12" t="n">
        <f aca="false">SUMIF(СПРОС_ДЕНЬ_ЧАС_МЕНЮ!$C$11:$C$3265,A25,СПРОС_ДЕНЬ_ЧАС_МЕНЮ!$I$11:$I$3265)</f>
        <v>14.399</v>
      </c>
      <c r="G25" s="12" t="n">
        <f aca="false">MAX(СПРОС_ДЕНЬ_ЧАС_МЕНЮ!I25,СПРОС_ДЕНЬ_ЧАС_МЕНЮ!I56,СПРОС_ДЕНЬ_ЧАС_МЕНЮ!I87,СПРОС_ДЕНЬ_ЧАС_МЕНЮ!I118,СПРОС_ДЕНЬ_ЧАС_МЕНЮ!I149,СПРОС_ДЕНЬ_ЧАС_МЕНЮ!I180,СПРОС_ДЕНЬ_ЧАС_МЕНЮ!I211,СПРОС_ДЕНЬ_ЧАС_МЕНЮ!I242,СПРОС_ДЕНЬ_ЧАС_МЕНЮ!I273,СПРОС_ДЕНЬ_ЧАС_МЕНЮ!I304,СПРОС_ДЕНЬ_ЧАС_МЕНЮ!I335,СПРОС_ДЕНЬ_ЧАС_МЕНЮ!I366,СПРОС_ДЕНЬ_ЧАС_МЕНЮ!I397,СПРОС_ДЕНЬ_ЧАС_МЕНЮ!I428,СПРОС_ДЕНЬ_ЧАС_МЕНЮ!I459,СПРОС_ДЕНЬ_ЧАС_МЕНЮ!I490,СПРОС_ДЕНЬ_ЧАС_МЕНЮ!I521,СПРОС_ДЕНЬ_ЧАС_МЕНЮ!I552,СПРОС_ДЕНЬ_ЧАС_МЕНЮ!I583,СПРОС_ДЕНЬ_ЧАС_МЕНЮ!I614,СПРОС_ДЕНЬ_ЧАС_МЕНЮ!I645,СПРОС_ДЕНЬ_ЧАС_МЕНЮ!I676,СПРОС_ДЕНЬ_ЧАС_МЕНЮ!I707,СПРОС_ДЕНЬ_ЧАС_МЕНЮ!I738,СПРОС_ДЕНЬ_ЧАС_МЕНЮ!I769,СПРОС_ДЕНЬ_ЧАС_МЕНЮ!I800,СПРОС_ДЕНЬ_ЧАС_МЕНЮ!I831,СПРОС_ДЕНЬ_ЧАС_МЕНЮ!I862,СПРОС_ДЕНЬ_ЧАС_МЕНЮ!I893,СПРОС_ДЕНЬ_ЧАС_МЕНЮ!I924,СПРОС_ДЕНЬ_ЧАС_МЕНЮ!I955,СПРОС_ДЕНЬ_ЧАС_МЕНЮ!I986,СПРОС_ДЕНЬ_ЧАС_МЕНЮ!I1017,СПРОС_ДЕНЬ_ЧАС_МЕНЮ!I1048,СПРОС_ДЕНЬ_ЧАС_МЕНЮ!I1079,СПРОС_ДЕНЬ_ЧАС_МЕНЮ!I1110,СПРОС_ДЕНЬ_ЧАС_МЕНЮ!I1141,СПРОС_ДЕНЬ_ЧАС_МЕНЮ!I1172,СПРОС_ДЕНЬ_ЧАС_МЕНЮ!I1203,СПРОС_ДЕНЬ_ЧАС_МЕНЮ!I1234,СПРОС_ДЕНЬ_ЧАС_МЕНЮ!I1265,СПРОС_ДЕНЬ_ЧАС_МЕНЮ!I1296,СПРОС_ДЕНЬ_ЧАС_МЕНЮ!I1327,СПРОС_ДЕНЬ_ЧАС_МЕНЮ!I1358,СПРОС_ДЕНЬ_ЧАС_МЕНЮ!I1389,СПРОС_ДЕНЬ_ЧАС_МЕНЮ!I1420,СПРОС_ДЕНЬ_ЧАС_МЕНЮ!I1451,СПРОС_ДЕНЬ_ЧАС_МЕНЮ!I1482,СПРОС_ДЕНЬ_ЧАС_МЕНЮ!I1513,СПРОС_ДЕНЬ_ЧАС_МЕНЮ!I1544,СПРОС_ДЕНЬ_ЧАС_МЕНЮ!I1575,СПРОС_ДЕНЬ_ЧАС_МЕНЮ!I1606,СПРОС_ДЕНЬ_ЧАС_МЕНЮ!I1637,СПРОС_ДЕНЬ_ЧАС_МЕНЮ!I1668,СПРОС_ДЕНЬ_ЧАС_МЕНЮ!I1699,СПРОС_ДЕНЬ_ЧАС_МЕНЮ!I1730,СПРОС_ДЕНЬ_ЧАС_МЕНЮ!I1761,СПРОС_ДЕНЬ_ЧАС_МЕНЮ!I1792,СПРОС_ДЕНЬ_ЧАС_МЕНЮ!I1823,СПРОС_ДЕНЬ_ЧАС_МЕНЮ!I1854,СПРОС_ДЕНЬ_ЧАС_МЕНЮ!I1885,СПРОС_ДЕНЬ_ЧАС_МЕНЮ!I1916,СПРОС_ДЕНЬ_ЧАС_МЕНЮ!I1947,СПРОС_ДЕНЬ_ЧАС_МЕНЮ!I1978,СПРОС_ДЕНЬ_ЧАС_МЕНЮ!I2009,СПРОС_ДЕНЬ_ЧАС_МЕНЮ!I2040,СПРОС_ДЕНЬ_ЧАС_МЕНЮ!I2071,СПРОС_ДЕНЬ_ЧАС_МЕНЮ!I2102,СПРОС_ДЕНЬ_ЧАС_МЕНЮ!I2133,СПРОС_ДЕНЬ_ЧАС_МЕНЮ!I2164,СПРОС_ДЕНЬ_ЧАС_МЕНЮ!I2195,СПРОС_ДЕНЬ_ЧАС_МЕНЮ!I2226,СПРОС_ДЕНЬ_ЧАС_МЕНЮ!I2257,СПРОС_ДЕНЬ_ЧАС_МЕНЮ!I2288,СПРОС_ДЕНЬ_ЧАС_МЕНЮ!I2319,СПРОС_ДЕНЬ_ЧАС_МЕНЮ!I2350,СПРОС_ДЕНЬ_ЧАС_МЕНЮ!I2381,СПРОС_ДЕНЬ_ЧАС_МЕНЮ!I2412,СПРОС_ДЕНЬ_ЧАС_МЕНЮ!I2443,СПРОС_ДЕНЬ_ЧАС_МЕНЮ!I2474,СПРОС_ДЕНЬ_ЧАС_МЕНЮ!I2505,СПРОС_ДЕНЬ_ЧАС_МЕНЮ!I2536,СПРОС_ДЕНЬ_ЧАС_МЕНЮ!I2567,СПРОС_ДЕНЬ_ЧАС_МЕНЮ!I2598,СПРОС_ДЕНЬ_ЧАС_МЕНЮ!I2629,СПРОС_ДЕНЬ_ЧАС_МЕНЮ!I2660,СПРОС_ДЕНЬ_ЧАС_МЕНЮ!I2691,СПРОС_ДЕНЬ_ЧАС_МЕНЮ!I2722,СПРОС_ДЕНЬ_ЧАС_МЕНЮ!I2753,СПРОС_ДЕНЬ_ЧАС_МЕНЮ!I2784,СПРОС_ДЕНЬ_ЧАС_МЕНЮ!I2815,СПРОС_ДЕНЬ_ЧАС_МЕНЮ!I2846,СПРОС_ДЕНЬ_ЧАС_МЕНЮ!I2877,СПРОС_ДЕНЬ_ЧАС_МЕНЮ!I2908,СПРОС_ДЕНЬ_ЧАС_МЕНЮ!I2939,СПРОС_ДЕНЬ_ЧАС_МЕНЮ!I2970,СПРОС_ДЕНЬ_ЧАС_МЕНЮ!I3001,СПРОС_ДЕНЬ_ЧАС_МЕНЮ!I3032,СПРОС_ДЕНЬ_ЧАС_МЕНЮ!I3063,СПРОС_ДЕНЬ_ЧАС_МЕНЮ!I3094,СПРОС_ДЕНЬ_ЧАС_МЕНЮ!I3125,СПРОС_ДЕНЬ_ЧАС_МЕНЮ!I3156,СПРОС_ДЕНЬ_ЧАС_МЕНЮ!I3187,СПРОС_ДЕНЬ_ЧАС_МЕНЮ!I3218,СПРОС_ДЕНЬ_ЧАС_МЕНЮ!I3249)</f>
        <v>0.594</v>
      </c>
      <c r="H25" s="12" t="s">
        <v>112</v>
      </c>
      <c r="I25" s="12" t="s">
        <v>137</v>
      </c>
      <c r="J25" s="12" t="n">
        <f aca="false">MAX(БАЛАНС_ДЕНЬ_ЧАС!F13,БАЛАНС_ДЕНЬ_ЧАС!F21,БАЛАНС_ДЕНЬ_ЧАС!F29,БАЛАНС_ДЕНЬ_ЧАС!F37,БАЛАНС_ДЕНЬ_ЧАС!F45,БАЛАНС_ДЕНЬ_ЧАС!F53,БАЛАНС_ДЕНЬ_ЧАС!F61,БАЛАНС_ДЕНЬ_ЧАС!F69,БАЛАНС_ДЕНЬ_ЧАС!F77,БАЛАНС_ДЕНЬ_ЧАС!F85,БАЛАНС_ДЕНЬ_ЧАС!F93,БАЛАНС_ДЕНЬ_ЧАС!F101,БАЛАНС_ДЕНЬ_ЧАС!F109,БАЛАНС_ДЕНЬ_ЧАС!F117,БАЛАНС_ДЕНЬ_ЧАС!F125,БАЛАНС_ДЕНЬ_ЧАС!F133,БАЛАНС_ДЕНЬ_ЧАС!F141,БАЛАНС_ДЕНЬ_ЧАС!F149,БАЛАНС_ДЕНЬ_ЧАС!F157,БАЛАНС_ДЕНЬ_ЧАС!F165,БАЛАНС_ДЕНЬ_ЧАС!F173,БАЛАНС_ДЕНЬ_ЧАС!F181,БАЛАНС_ДЕНЬ_ЧАС!F189,БАЛАНС_ДЕНЬ_ЧАС!F197,БАЛАНС_ДЕНЬ_ЧАС!F205,БАЛАНС_ДЕНЬ_ЧАС!F213,БАЛАНС_ДЕНЬ_ЧАС!F221,БАЛАНС_ДЕНЬ_ЧАС!F229,БАЛАНС_ДЕНЬ_ЧАС!F237,БАЛАНС_ДЕНЬ_ЧАС!F245,БАЛАНС_ДЕНЬ_ЧАС!F253,БАЛАНС_ДЕНЬ_ЧАС!F261,БАЛАНС_ДЕНЬ_ЧАС!F269,БАЛАНС_ДЕНЬ_ЧАС!F277,БАЛАНС_ДЕНЬ_ЧАС!F285,БАЛАНС_ДЕНЬ_ЧАС!F293,БАЛАНС_ДЕНЬ_ЧАС!F301,БАЛАНС_ДЕНЬ_ЧАС!F309,БАЛАНС_ДЕНЬ_ЧАС!F317,БАЛАНС_ДЕНЬ_ЧАС!F325,БАЛАНС_ДЕНЬ_ЧАС!F333,БАЛАНС_ДЕНЬ_ЧАС!F341,БАЛАНС_ДЕНЬ_ЧАС!F349,БАЛАНС_ДЕНЬ_ЧАС!F357,БАЛАНС_ДЕНЬ_ЧАС!F365,БАЛАНС_ДЕНЬ_ЧАС!F373,БАЛАНС_ДЕНЬ_ЧАС!F381,БАЛАНС_ДЕНЬ_ЧАС!F389,БАЛАНС_ДЕНЬ_ЧАС!F397,БАЛАНС_ДЕНЬ_ЧАС!F405,БАЛАНС_ДЕНЬ_ЧАС!F413,БАЛАНС_ДЕНЬ_ЧАС!F421,БАЛАНС_ДЕНЬ_ЧАС!F429,БАЛАНС_ДЕНЬ_ЧАС!F437,БАЛАНС_ДЕНЬ_ЧАС!F445,БАЛАНС_ДЕНЬ_ЧАС!F453,БАЛАНС_ДЕНЬ_ЧАС!F461,БАЛАНС_ДЕНЬ_ЧАС!F469,БАЛАНС_ДЕНЬ_ЧАС!F477,БАЛАНС_ДЕНЬ_ЧАС!F485,БАЛАНС_ДЕНЬ_ЧАС!F493,БАЛАНС_ДЕНЬ_ЧАС!F501,БАЛАНС_ДЕНЬ_ЧАС!F509,БАЛАНС_ДЕНЬ_ЧАС!F517,БАЛАНС_ДЕНЬ_ЧАС!F525,БАЛАНС_ДЕНЬ_ЧАС!F533,БАЛАНС_ДЕНЬ_ЧАС!F541,БАЛАНС_ДЕНЬ_ЧАС!F549,БАЛАНС_ДЕНЬ_ЧАС!F557,БАЛАНС_ДЕНЬ_ЧАС!F565,БАЛАНС_ДЕНЬ_ЧАС!F573,БАЛАНС_ДЕНЬ_ЧАС!F581,БАЛАНС_ДЕНЬ_ЧАС!F589,БАЛАНС_ДЕНЬ_ЧАС!F597,БАЛАНС_ДЕНЬ_ЧАС!F605,БАЛАНС_ДЕНЬ_ЧАС!F613,БАЛАНС_ДЕНЬ_ЧАС!F621,БАЛАНС_ДЕНЬ_ЧАС!F629,БАЛАНС_ДЕНЬ_ЧАС!F637,БАЛАНС_ДЕНЬ_ЧАС!F645,БАЛАНС_ДЕНЬ_ЧАС!F653,БАЛАНС_ДЕНЬ_ЧАС!F661,БАЛАНС_ДЕНЬ_ЧАС!F669,БАЛАНС_ДЕНЬ_ЧАС!F677,БАЛАНС_ДЕНЬ_ЧАС!F685,БАЛАНС_ДЕНЬ_ЧАС!F693,БАЛАНС_ДЕНЬ_ЧАС!F701,БАЛАНС_ДЕНЬ_ЧАС!F709,БАЛАНС_ДЕНЬ_ЧАС!F717,БАЛАНС_ДЕНЬ_ЧАС!F725,БАЛАНС_ДЕНЬ_ЧАС!F733,БАЛАНС_ДЕНЬ_ЧАС!F741,БАЛАНС_ДЕНЬ_ЧАС!F749,БАЛАНС_ДЕНЬ_ЧАС!F757,БАЛАНС_ДЕНЬ_ЧАС!F765,БАЛАНС_ДЕНЬ_ЧАС!F773,БАЛАНС_ДЕНЬ_ЧАС!F781,БАЛАНС_ДЕНЬ_ЧАС!F789,БАЛАНС_ДЕНЬ_ЧАС!F797,БАЛАНС_ДЕНЬ_ЧАС!F805,БАЛАНС_ДЕНЬ_ЧАС!F813,БАЛАНС_ДЕНЬ_ЧАС!F821,БАЛАНС_ДЕНЬ_ЧАС!F829,БАЛАНС_ДЕНЬ_ЧАС!F837,БАЛАНС_ДЕНЬ_ЧАС!F845)</f>
        <v>12.298</v>
      </c>
      <c r="K25" s="12" t="n">
        <f aca="false">ПАРАМЕТРЫ!D22</f>
        <v>16</v>
      </c>
      <c r="L25" s="12" t="n">
        <f aca="false">MAX(БАЛАНС_ДЕНЬ_ЧАС!I13,БАЛАНС_ДЕНЬ_ЧАС!I21,БАЛАНС_ДЕНЬ_ЧАС!I29,БАЛАНС_ДЕНЬ_ЧАС!I37,БАЛАНС_ДЕНЬ_ЧАС!I45,БАЛАНС_ДЕНЬ_ЧАС!I53,БАЛАНС_ДЕНЬ_ЧАС!I61,БАЛАНС_ДЕНЬ_ЧАС!I69,БАЛАНС_ДЕНЬ_ЧАС!I77,БАЛАНС_ДЕНЬ_ЧАС!I85,БАЛАНС_ДЕНЬ_ЧАС!I93,БАЛАНС_ДЕНЬ_ЧАС!I101,БАЛАНС_ДЕНЬ_ЧАС!I109,БАЛАНС_ДЕНЬ_ЧАС!I117,БАЛАНС_ДЕНЬ_ЧАС!I125,БАЛАНС_ДЕНЬ_ЧАС!I133,БАЛАНС_ДЕНЬ_ЧАС!I141,БАЛАНС_ДЕНЬ_ЧАС!I149,БАЛАНС_ДЕНЬ_ЧАС!I157,БАЛАНС_ДЕНЬ_ЧАС!I165,БАЛАНС_ДЕНЬ_ЧАС!I173,БАЛАНС_ДЕНЬ_ЧАС!I181,БАЛАНС_ДЕНЬ_ЧАС!I189,БАЛАНС_ДЕНЬ_ЧАС!I197,БАЛАНС_ДЕНЬ_ЧАС!I205,БАЛАНС_ДЕНЬ_ЧАС!I213,БАЛАНС_ДЕНЬ_ЧАС!I221,БАЛАНС_ДЕНЬ_ЧАС!I229,БАЛАНС_ДЕНЬ_ЧАС!I237,БАЛАНС_ДЕНЬ_ЧАС!I245,БАЛАНС_ДЕНЬ_ЧАС!I253,БАЛАНС_ДЕНЬ_ЧАС!I261,БАЛАНС_ДЕНЬ_ЧАС!I269,БАЛАНС_ДЕНЬ_ЧАС!I277,БАЛАНС_ДЕНЬ_ЧАС!I285,БАЛАНС_ДЕНЬ_ЧАС!I293,БАЛАНС_ДЕНЬ_ЧАС!I301,БАЛАНС_ДЕНЬ_ЧАС!I309,БАЛАНС_ДЕНЬ_ЧАС!I317,БАЛАНС_ДЕНЬ_ЧАС!I325,БАЛАНС_ДЕНЬ_ЧАС!I333,БАЛАНС_ДЕНЬ_ЧАС!I341,БАЛАНС_ДЕНЬ_ЧАС!I349,БАЛАНС_ДЕНЬ_ЧАС!I357,БАЛАНС_ДЕНЬ_ЧАС!I365,БАЛАНС_ДЕНЬ_ЧАС!I373,БАЛАНС_ДЕНЬ_ЧАС!I381,БАЛАНС_ДЕНЬ_ЧАС!I389,БАЛАНС_ДЕНЬ_ЧАС!I397,БАЛАНС_ДЕНЬ_ЧАС!I405,БАЛАНС_ДЕНЬ_ЧАС!I413,БАЛАНС_ДЕНЬ_ЧАС!I421,БАЛАНС_ДЕНЬ_ЧАС!I429,БАЛАНС_ДЕНЬ_ЧАС!I437,БАЛАНС_ДЕНЬ_ЧАС!I445,БАЛАНС_ДЕНЬ_ЧАС!I453,БАЛАНС_ДЕНЬ_ЧАС!I461,БАЛАНС_ДЕНЬ_ЧАС!I469,БАЛАНС_ДЕНЬ_ЧАС!I477,БАЛАНС_ДЕНЬ_ЧАС!I485,БАЛАНС_ДЕНЬ_ЧАС!I493,БАЛАНС_ДЕНЬ_ЧАС!I501,БАЛАНС_ДЕНЬ_ЧАС!I509,БАЛАНС_ДЕНЬ_ЧАС!I517,БАЛАНС_ДЕНЬ_ЧАС!I525,БАЛАНС_ДЕНЬ_ЧАС!I533,БАЛАНС_ДЕНЬ_ЧАС!I541,БАЛАНС_ДЕНЬ_ЧАС!I549,БАЛАНС_ДЕНЬ_ЧАС!I557,БАЛАНС_ДЕНЬ_ЧАС!I565,БАЛАНС_ДЕНЬ_ЧАС!I573,БАЛАНС_ДЕНЬ_ЧАС!I581,БАЛАНС_ДЕНЬ_ЧАС!I589,БАЛАНС_ДЕНЬ_ЧАС!I597,БАЛАНС_ДЕНЬ_ЧАС!I605,БАЛАНС_ДЕНЬ_ЧАС!I613,БАЛАНС_ДЕНЬ_ЧАС!I621,БАЛАНС_ДЕНЬ_ЧАС!I629,БАЛАНС_ДЕНЬ_ЧАС!I637,БАЛАНС_ДЕНЬ_ЧАС!I645,БАЛАНС_ДЕНЬ_ЧАС!I653,БАЛАНС_ДЕНЬ_ЧАС!I661,БАЛАНС_ДЕНЬ_ЧАС!I669,БАЛАНС_ДЕНЬ_ЧАС!I677,БАЛАНС_ДЕНЬ_ЧАС!I685,БАЛАНС_ДЕНЬ_ЧАС!I693,БАЛАНС_ДЕНЬ_ЧАС!I701,БАЛАНС_ДЕНЬ_ЧАС!I709,БАЛАНС_ДЕНЬ_ЧАС!I717,БАЛАНС_ДЕНЬ_ЧАС!I725,БАЛАНС_ДЕНЬ_ЧАС!I733,БАЛАНС_ДЕНЬ_ЧАС!I741,БАЛАНС_ДЕНЬ_ЧАС!I749,БАЛАНС_ДЕНЬ_ЧАС!I757,БАЛАНС_ДЕНЬ_ЧАС!I765,БАЛАНС_ДЕНЬ_ЧАС!I773,БАЛАНС_ДЕНЬ_ЧАС!I781,БАЛАНС_ДЕНЬ_ЧАС!I789,БАЛАНС_ДЕНЬ_ЧАС!I797,БАЛАНС_ДЕНЬ_ЧАС!I805,БАЛАНС_ДЕНЬ_ЧАС!I813,БАЛАНС_ДЕНЬ_ЧАС!I821,БАЛАНС_ДЕНЬ_ЧАС!I829,БАЛАНС_ДЕНЬ_ЧАС!I837,БАЛАНС_ДЕНЬ_ЧАС!I845)</f>
        <v>16</v>
      </c>
      <c r="M25" s="12" t="n">
        <f aca="false">MAX(БАЛАНС_ДЕНЬ_ЧАС!J13,БАЛАНС_ДЕНЬ_ЧАС!J21,БАЛАНС_ДЕНЬ_ЧАС!J29,БАЛАНС_ДЕНЬ_ЧАС!J37,БАЛАНС_ДЕНЬ_ЧАС!J45,БАЛАНС_ДЕНЬ_ЧАС!J53,БАЛАНС_ДЕНЬ_ЧАС!J61,БАЛАНС_ДЕНЬ_ЧАС!J69,БАЛАНС_ДЕНЬ_ЧАС!J77,БАЛАНС_ДЕНЬ_ЧАС!J85,БАЛАНС_ДЕНЬ_ЧАС!J93,БАЛАНС_ДЕНЬ_ЧАС!J101,БАЛАНС_ДЕНЬ_ЧАС!J109,БАЛАНС_ДЕНЬ_ЧАС!J117,БАЛАНС_ДЕНЬ_ЧАС!J125,БАЛАНС_ДЕНЬ_ЧАС!J133,БАЛАНС_ДЕНЬ_ЧАС!J141,БАЛАНС_ДЕНЬ_ЧАС!J149,БАЛАНС_ДЕНЬ_ЧАС!J157,БАЛАНС_ДЕНЬ_ЧАС!J165,БАЛАНС_ДЕНЬ_ЧАС!J173,БАЛАНС_ДЕНЬ_ЧАС!J181,БАЛАНС_ДЕНЬ_ЧАС!J189,БАЛАНС_ДЕНЬ_ЧАС!J197,БАЛАНС_ДЕНЬ_ЧАС!J205,БАЛАНС_ДЕНЬ_ЧАС!J213,БАЛАНС_ДЕНЬ_ЧАС!J221,БАЛАНС_ДЕНЬ_ЧАС!J229,БАЛАНС_ДЕНЬ_ЧАС!J237,БАЛАНС_ДЕНЬ_ЧАС!J245,БАЛАНС_ДЕНЬ_ЧАС!J253,БАЛАНС_ДЕНЬ_ЧАС!J261,БАЛАНС_ДЕНЬ_ЧАС!J269,БАЛАНС_ДЕНЬ_ЧАС!J277,БАЛАНС_ДЕНЬ_ЧАС!J285,БАЛАНС_ДЕНЬ_ЧАС!J293,БАЛАНС_ДЕНЬ_ЧАС!J301,БАЛАНС_ДЕНЬ_ЧАС!J309,БАЛАНС_ДЕНЬ_ЧАС!J317,БАЛАНС_ДЕНЬ_ЧАС!J325,БАЛАНС_ДЕНЬ_ЧАС!J333,БАЛАНС_ДЕНЬ_ЧАС!J341,БАЛАНС_ДЕНЬ_ЧАС!J349,БАЛАНС_ДЕНЬ_ЧАС!J357,БАЛАНС_ДЕНЬ_ЧАС!J365,БАЛАНС_ДЕНЬ_ЧАС!J373,БАЛАНС_ДЕНЬ_ЧАС!J381,БАЛАНС_ДЕНЬ_ЧАС!J389,БАЛАНС_ДЕНЬ_ЧАС!J397,БАЛАНС_ДЕНЬ_ЧАС!J405,БАЛАНС_ДЕНЬ_ЧАС!J413,БАЛАНС_ДЕНЬ_ЧАС!J421,БАЛАНС_ДЕНЬ_ЧАС!J429,БАЛАНС_ДЕНЬ_ЧАС!J437,БАЛАНС_ДЕНЬ_ЧАС!J445,БАЛАНС_ДЕНЬ_ЧАС!J453,БАЛАНС_ДЕНЬ_ЧАС!J461,БАЛАНС_ДЕНЬ_ЧАС!J469,БАЛАНС_ДЕНЬ_ЧАС!J477,БАЛАНС_ДЕНЬ_ЧАС!J485,БАЛАНС_ДЕНЬ_ЧАС!J493,БАЛАНС_ДЕНЬ_ЧАС!J501,БАЛАНС_ДЕНЬ_ЧАС!J509,БАЛАНС_ДЕНЬ_ЧАС!J517,БАЛАНС_ДЕНЬ_ЧАС!J525,БАЛАНС_ДЕНЬ_ЧАС!J533,БАЛАНС_ДЕНЬ_ЧАС!J541,БАЛАНС_ДЕНЬ_ЧАС!J549,БАЛАНС_ДЕНЬ_ЧАС!J557,БАЛАНС_ДЕНЬ_ЧАС!J565,БАЛАНС_ДЕНЬ_ЧАС!J573,БАЛАНС_ДЕНЬ_ЧАС!J581,БАЛАНС_ДЕНЬ_ЧАС!J589,БАЛАНС_ДЕНЬ_ЧАС!J597,БАЛАНС_ДЕНЬ_ЧАС!J605,БАЛАНС_ДЕНЬ_ЧАС!J613,БАЛАНС_ДЕНЬ_ЧАС!J621,БАЛАНС_ДЕНЬ_ЧАС!J629,БАЛАНС_ДЕНЬ_ЧАС!J637,БАЛАНС_ДЕНЬ_ЧАС!J645,БАЛАНС_ДЕНЬ_ЧАС!J653,БАЛАНС_ДЕНЬ_ЧАС!J661,БАЛАНС_ДЕНЬ_ЧАС!J669,БАЛАНС_ДЕНЬ_ЧАС!J677,БАЛАНС_ДЕНЬ_ЧАС!J685,БАЛАНС_ДЕНЬ_ЧАС!J693,БАЛАНС_ДЕНЬ_ЧАС!J701,БАЛАНС_ДЕНЬ_ЧАС!J709,БАЛАНС_ДЕНЬ_ЧАС!J717,БАЛАНС_ДЕНЬ_ЧАС!J725,БАЛАНС_ДЕНЬ_ЧАС!J733,БАЛАНС_ДЕНЬ_ЧАС!J741,БАЛАНС_ДЕНЬ_ЧАС!J749,БАЛАНС_ДЕНЬ_ЧАС!J757,БАЛАНС_ДЕНЬ_ЧАС!J765,БАЛАНС_ДЕНЬ_ЧАС!J773,БАЛАНС_ДЕНЬ_ЧАС!J781,БАЛАНС_ДЕНЬ_ЧАС!J789,БАЛАНС_ДЕНЬ_ЧАС!J797,БАЛАНС_ДЕНЬ_ЧАС!J805,БАЛАНС_ДЕНЬ_ЧАС!J813,БАЛАНС_ДЕНЬ_ЧАС!J821,БАЛАНС_ДЕНЬ_ЧАС!J829,БАЛАНС_ДЕНЬ_ЧАС!J837,БАЛАНС_ДЕНЬ_ЧАС!J845)</f>
        <v>16</v>
      </c>
      <c r="N25" s="12" t="n">
        <f aca="false">MAX(БАЛАНС_ДЕНЬ_ЧАС!K13,БАЛАНС_ДЕНЬ_ЧАС!K21,БАЛАНС_ДЕНЬ_ЧАС!K29,БАЛАНС_ДЕНЬ_ЧАС!K37,БАЛАНС_ДЕНЬ_ЧАС!K45,БАЛАНС_ДЕНЬ_ЧАС!K53,БАЛАНС_ДЕНЬ_ЧАС!K61,БАЛАНС_ДЕНЬ_ЧАС!K69,БАЛАНС_ДЕНЬ_ЧАС!K77,БАЛАНС_ДЕНЬ_ЧАС!K85,БАЛАНС_ДЕНЬ_ЧАС!K93,БАЛАНС_ДЕНЬ_ЧАС!K101,БАЛАНС_ДЕНЬ_ЧАС!K109,БАЛАНС_ДЕНЬ_ЧАС!K117,БАЛАНС_ДЕНЬ_ЧАС!K125,БАЛАНС_ДЕНЬ_ЧАС!K133,БАЛАНС_ДЕНЬ_ЧАС!K141,БАЛАНС_ДЕНЬ_ЧАС!K149,БАЛАНС_ДЕНЬ_ЧАС!K157,БАЛАНС_ДЕНЬ_ЧАС!K165,БАЛАНС_ДЕНЬ_ЧАС!K173,БАЛАНС_ДЕНЬ_ЧАС!K181,БАЛАНС_ДЕНЬ_ЧАС!K189,БАЛАНС_ДЕНЬ_ЧАС!K197,БАЛАНС_ДЕНЬ_ЧАС!K205,БАЛАНС_ДЕНЬ_ЧАС!K213,БАЛАНС_ДЕНЬ_ЧАС!K221,БАЛАНС_ДЕНЬ_ЧАС!K229,БАЛАНС_ДЕНЬ_ЧАС!K237,БАЛАНС_ДЕНЬ_ЧАС!K245,БАЛАНС_ДЕНЬ_ЧАС!K253,БАЛАНС_ДЕНЬ_ЧАС!K261,БАЛАНС_ДЕНЬ_ЧАС!K269,БАЛАНС_ДЕНЬ_ЧАС!K277,БАЛАНС_ДЕНЬ_ЧАС!K285,БАЛАНС_ДЕНЬ_ЧАС!K293,БАЛАНС_ДЕНЬ_ЧАС!K301,БАЛАНС_ДЕНЬ_ЧАС!K309,БАЛАНС_ДЕНЬ_ЧАС!K317,БАЛАНС_ДЕНЬ_ЧАС!K325,БАЛАНС_ДЕНЬ_ЧАС!K333,БАЛАНС_ДЕНЬ_ЧАС!K341,БАЛАНС_ДЕНЬ_ЧАС!K349,БАЛАНС_ДЕНЬ_ЧАС!K357,БАЛАНС_ДЕНЬ_ЧАС!K365,БАЛАНС_ДЕНЬ_ЧАС!K373,БАЛАНС_ДЕНЬ_ЧАС!K381,БАЛАНС_ДЕНЬ_ЧАС!K389,БАЛАНС_ДЕНЬ_ЧАС!K397,БАЛАНС_ДЕНЬ_ЧАС!K405,БАЛАНС_ДЕНЬ_ЧАС!K413,БАЛАНС_ДЕНЬ_ЧАС!K421,БАЛАНС_ДЕНЬ_ЧАС!K429,БАЛАНС_ДЕНЬ_ЧАС!K437,БАЛАНС_ДЕНЬ_ЧАС!K445,БАЛАНС_ДЕНЬ_ЧАС!K453,БАЛАНС_ДЕНЬ_ЧАС!K461,БАЛАНС_ДЕНЬ_ЧАС!K469,БАЛАНС_ДЕНЬ_ЧАС!K477,БАЛАНС_ДЕНЬ_ЧАС!K485,БАЛАНС_ДЕНЬ_ЧАС!K493,БАЛАНС_ДЕНЬ_ЧАС!K501,БАЛАНС_ДЕНЬ_ЧАС!K509,БАЛАНС_ДЕНЬ_ЧАС!K517,БАЛАНС_ДЕНЬ_ЧАС!K525,БАЛАНС_ДЕНЬ_ЧАС!K533,БАЛАНС_ДЕНЬ_ЧАС!K541,БАЛАНС_ДЕНЬ_ЧАС!K549,БАЛАНС_ДЕНЬ_ЧАС!K557,БАЛАНС_ДЕНЬ_ЧАС!K565,БАЛАНС_ДЕНЬ_ЧАС!K573,БАЛАНС_ДЕНЬ_ЧАС!K581,БАЛАНС_ДЕНЬ_ЧАС!K589,БАЛАНС_ДЕНЬ_ЧАС!K597,БАЛАНС_ДЕНЬ_ЧАС!K605,БАЛАНС_ДЕНЬ_ЧАС!K613,БАЛАНС_ДЕНЬ_ЧАС!K621,БАЛАНС_ДЕНЬ_ЧАС!K629,БАЛАНС_ДЕНЬ_ЧАС!K637,БАЛАНС_ДЕНЬ_ЧАС!K645,БАЛАНС_ДЕНЬ_ЧАС!K653,БАЛАНС_ДЕНЬ_ЧАС!K661,БАЛАНС_ДЕНЬ_ЧАС!K669,БАЛАНС_ДЕНЬ_ЧАС!K677,БАЛАНС_ДЕНЬ_ЧАС!K685,БАЛАНС_ДЕНЬ_ЧАС!K693,БАЛАНС_ДЕНЬ_ЧАС!K701,БАЛАНС_ДЕНЬ_ЧАС!K709,БАЛАНС_ДЕНЬ_ЧАС!K717,БАЛАНС_ДЕНЬ_ЧАС!K725,БАЛАНС_ДЕНЬ_ЧАС!K733,БАЛАНС_ДЕНЬ_ЧАС!K741,БАЛАНС_ДЕНЬ_ЧАС!K749,БАЛАНС_ДЕНЬ_ЧАС!K757,БАЛАНС_ДЕНЬ_ЧАС!K765,БАЛАНС_ДЕНЬ_ЧАС!K773,БАЛАНС_ДЕНЬ_ЧАС!K781,БАЛАНС_ДЕНЬ_ЧАС!K789,БАЛАНС_ДЕНЬ_ЧАС!K797,БАЛАНС_ДЕНЬ_ЧАС!K805,БАЛАНС_ДЕНЬ_ЧАС!K813,БАЛАНС_ДЕНЬ_ЧАС!K821,БАЛАНС_ДЕНЬ_ЧАС!K829,БАЛАНС_ДЕНЬ_ЧАС!K837,БАЛАНС_ДЕНЬ_ЧАС!K845)</f>
        <v>0</v>
      </c>
      <c r="O25" s="11" t="str">
        <f aca="false">IF(N25&gt;0,"BLOCKED","PASS")</f>
        <v>PASS</v>
      </c>
      <c r="P25" s="11" t="s">
        <v>145</v>
      </c>
    </row>
    <row r="26" customFormat="false" ht="15" hidden="false" customHeight="false" outlineLevel="0" collapsed="false">
      <c r="A26" s="11" t="n">
        <v>16</v>
      </c>
      <c r="B26" s="11" t="s">
        <v>166</v>
      </c>
      <c r="C26" s="11" t="s">
        <v>170</v>
      </c>
      <c r="D26" s="11" t="s">
        <v>80</v>
      </c>
      <c r="E26" s="12" t="n">
        <v>180</v>
      </c>
      <c r="F26" s="12" t="n">
        <f aca="false">SUMIF(СПРОС_ДЕНЬ_ЧАС_МЕНЮ!$C$11:$C$3265,A26,СПРОС_ДЕНЬ_ЧАС_МЕНЮ!$I$11:$I$3265)</f>
        <v>25.762</v>
      </c>
      <c r="G26" s="12" t="n">
        <f aca="false">MAX(СПРОС_ДЕНЬ_ЧАС_МЕНЮ!I26,СПРОС_ДЕНЬ_ЧАС_МЕНЮ!I57,СПРОС_ДЕНЬ_ЧАС_МЕНЮ!I88,СПРОС_ДЕНЬ_ЧАС_МЕНЮ!I119,СПРОС_ДЕНЬ_ЧАС_МЕНЮ!I150,СПРОС_ДЕНЬ_ЧАС_МЕНЮ!I181,СПРОС_ДЕНЬ_ЧАС_МЕНЮ!I212,СПРОС_ДЕНЬ_ЧАС_МЕНЮ!I243,СПРОС_ДЕНЬ_ЧАС_МЕНЮ!I274,СПРОС_ДЕНЬ_ЧАС_МЕНЮ!I305,СПРОС_ДЕНЬ_ЧАС_МЕНЮ!I336,СПРОС_ДЕНЬ_ЧАС_МЕНЮ!I367,СПРОС_ДЕНЬ_ЧАС_МЕНЮ!I398,СПРОС_ДЕНЬ_ЧАС_МЕНЮ!I429,СПРОС_ДЕНЬ_ЧАС_МЕНЮ!I460,СПРОС_ДЕНЬ_ЧАС_МЕНЮ!I491,СПРОС_ДЕНЬ_ЧАС_МЕНЮ!I522,СПРОС_ДЕНЬ_ЧАС_МЕНЮ!I553,СПРОС_ДЕНЬ_ЧАС_МЕНЮ!I584,СПРОС_ДЕНЬ_ЧАС_МЕНЮ!I615,СПРОС_ДЕНЬ_ЧАС_МЕНЮ!I646,СПРОС_ДЕНЬ_ЧАС_МЕНЮ!I677,СПРОС_ДЕНЬ_ЧАС_МЕНЮ!I708,СПРОС_ДЕНЬ_ЧАС_МЕНЮ!I739,СПРОС_ДЕНЬ_ЧАС_МЕНЮ!I770,СПРОС_ДЕНЬ_ЧАС_МЕНЮ!I801,СПРОС_ДЕНЬ_ЧАС_МЕНЮ!I832,СПРОС_ДЕНЬ_ЧАС_МЕНЮ!I863,СПРОС_ДЕНЬ_ЧАС_МЕНЮ!I894,СПРОС_ДЕНЬ_ЧАС_МЕНЮ!I925,СПРОС_ДЕНЬ_ЧАС_МЕНЮ!I956,СПРОС_ДЕНЬ_ЧАС_МЕНЮ!I987,СПРОС_ДЕНЬ_ЧАС_МЕНЮ!I1018,СПРОС_ДЕНЬ_ЧАС_МЕНЮ!I1049,СПРОС_ДЕНЬ_ЧАС_МЕНЮ!I1080,СПРОС_ДЕНЬ_ЧАС_МЕНЮ!I1111,СПРОС_ДЕНЬ_ЧАС_МЕНЮ!I1142,СПРОС_ДЕНЬ_ЧАС_МЕНЮ!I1173,СПРОС_ДЕНЬ_ЧАС_МЕНЮ!I1204,СПРОС_ДЕНЬ_ЧАС_МЕНЮ!I1235,СПРОС_ДЕНЬ_ЧАС_МЕНЮ!I1266,СПРОС_ДЕНЬ_ЧАС_МЕНЮ!I1297,СПРОС_ДЕНЬ_ЧАС_МЕНЮ!I1328,СПРОС_ДЕНЬ_ЧАС_МЕНЮ!I1359,СПРОС_ДЕНЬ_ЧАС_МЕНЮ!I1390,СПРОС_ДЕНЬ_ЧАС_МЕНЮ!I1421,СПРОС_ДЕНЬ_ЧАС_МЕНЮ!I1452,СПРОС_ДЕНЬ_ЧАС_МЕНЮ!I1483,СПРОС_ДЕНЬ_ЧАС_МЕНЮ!I1514,СПРОС_ДЕНЬ_ЧАС_МЕНЮ!I1545,СПРОС_ДЕНЬ_ЧАС_МЕНЮ!I1576,СПРОС_ДЕНЬ_ЧАС_МЕНЮ!I1607,СПРОС_ДЕНЬ_ЧАС_МЕНЮ!I1638,СПРОС_ДЕНЬ_ЧАС_МЕНЮ!I1669,СПРОС_ДЕНЬ_ЧАС_МЕНЮ!I1700,СПРОС_ДЕНЬ_ЧАС_МЕНЮ!I1731,СПРОС_ДЕНЬ_ЧАС_МЕНЮ!I1762,СПРОС_ДЕНЬ_ЧАС_МЕНЮ!I1793,СПРОС_ДЕНЬ_ЧАС_МЕНЮ!I1824,СПРОС_ДЕНЬ_ЧАС_МЕНЮ!I1855,СПРОС_ДЕНЬ_ЧАС_МЕНЮ!I1886,СПРОС_ДЕНЬ_ЧАС_МЕНЮ!I1917,СПРОС_ДЕНЬ_ЧАС_МЕНЮ!I1948,СПРОС_ДЕНЬ_ЧАС_МЕНЮ!I1979,СПРОС_ДЕНЬ_ЧАС_МЕНЮ!I2010,СПРОС_ДЕНЬ_ЧАС_МЕНЮ!I2041,СПРОС_ДЕНЬ_ЧАС_МЕНЮ!I2072,СПРОС_ДЕНЬ_ЧАС_МЕНЮ!I2103,СПРОС_ДЕНЬ_ЧАС_МЕНЮ!I2134,СПРОС_ДЕНЬ_ЧАС_МЕНЮ!I2165,СПРОС_ДЕНЬ_ЧАС_МЕНЮ!I2196,СПРОС_ДЕНЬ_ЧАС_МЕНЮ!I2227,СПРОС_ДЕНЬ_ЧАС_МЕНЮ!I2258,СПРОС_ДЕНЬ_ЧАС_МЕНЮ!I2289,СПРОС_ДЕНЬ_ЧАС_МЕНЮ!I2320,СПРОС_ДЕНЬ_ЧАС_МЕНЮ!I2351,СПРОС_ДЕНЬ_ЧАС_МЕНЮ!I2382,СПРОС_ДЕНЬ_ЧАС_МЕНЮ!I2413,СПРОС_ДЕНЬ_ЧАС_МЕНЮ!I2444,СПРОС_ДЕНЬ_ЧАС_МЕНЮ!I2475,СПРОС_ДЕНЬ_ЧАС_МЕНЮ!I2506,СПРОС_ДЕНЬ_ЧАС_МЕНЮ!I2537,СПРОС_ДЕНЬ_ЧАС_МЕНЮ!I2568,СПРОС_ДЕНЬ_ЧАС_МЕНЮ!I2599,СПРОС_ДЕНЬ_ЧАС_МЕНЮ!I2630,СПРОС_ДЕНЬ_ЧАС_МЕНЮ!I2661,СПРОС_ДЕНЬ_ЧАС_МЕНЮ!I2692,СПРОС_ДЕНЬ_ЧАС_МЕНЮ!I2723,СПРОС_ДЕНЬ_ЧАС_МЕНЮ!I2754,СПРОС_ДЕНЬ_ЧАС_МЕНЮ!I2785,СПРОС_ДЕНЬ_ЧАС_МЕНЮ!I2816,СПРОС_ДЕНЬ_ЧАС_МЕНЮ!I2847,СПРОС_ДЕНЬ_ЧАС_МЕНЮ!I2878,СПРОС_ДЕНЬ_ЧАС_МЕНЮ!I2909,СПРОС_ДЕНЬ_ЧАС_МЕНЮ!I2940,СПРОС_ДЕНЬ_ЧАС_МЕНЮ!I2971,СПРОС_ДЕНЬ_ЧАС_МЕНЮ!I3002,СПРОС_ДЕНЬ_ЧАС_МЕНЮ!I3033,СПРОС_ДЕНЬ_ЧАС_МЕНЮ!I3064,СПРОС_ДЕНЬ_ЧАС_МЕНЮ!I3095,СПРОС_ДЕНЬ_ЧАС_МЕНЮ!I3126,СПРОС_ДЕНЬ_ЧАС_МЕНЮ!I3157,СПРОС_ДЕНЬ_ЧАС_МЕНЮ!I3188,СПРОС_ДЕНЬ_ЧАС_МЕНЮ!I3219,СПРОС_ДЕНЬ_ЧАС_МЕНЮ!I3250)</f>
        <v>0.869</v>
      </c>
      <c r="H26" s="12" t="s">
        <v>112</v>
      </c>
      <c r="I26" s="12" t="s">
        <v>137</v>
      </c>
      <c r="J26" s="12" t="n">
        <f aca="false">MAX(БАЛАНС_ДЕНЬ_ЧАС!F13,БАЛАНС_ДЕНЬ_ЧАС!F21,БАЛАНС_ДЕНЬ_ЧАС!F29,БАЛАНС_ДЕНЬ_ЧАС!F37,БАЛАНС_ДЕНЬ_ЧАС!F45,БАЛАНС_ДЕНЬ_ЧАС!F53,БАЛАНС_ДЕНЬ_ЧАС!F61,БАЛАНС_ДЕНЬ_ЧАС!F69,БАЛАНС_ДЕНЬ_ЧАС!F77,БАЛАНС_ДЕНЬ_ЧАС!F85,БАЛАНС_ДЕНЬ_ЧАС!F93,БАЛАНС_ДЕНЬ_ЧАС!F101,БАЛАНС_ДЕНЬ_ЧАС!F109,БАЛАНС_ДЕНЬ_ЧАС!F117,БАЛАНС_ДЕНЬ_ЧАС!F125,БАЛАНС_ДЕНЬ_ЧАС!F133,БАЛАНС_ДЕНЬ_ЧАС!F141,БАЛАНС_ДЕНЬ_ЧАС!F149,БАЛАНС_ДЕНЬ_ЧАС!F157,БАЛАНС_ДЕНЬ_ЧАС!F165,БАЛАНС_ДЕНЬ_ЧАС!F173,БАЛАНС_ДЕНЬ_ЧАС!F181,БАЛАНС_ДЕНЬ_ЧАС!F189,БАЛАНС_ДЕНЬ_ЧАС!F197,БАЛАНС_ДЕНЬ_ЧАС!F205,БАЛАНС_ДЕНЬ_ЧАС!F213,БАЛАНС_ДЕНЬ_ЧАС!F221,БАЛАНС_ДЕНЬ_ЧАС!F229,БАЛАНС_ДЕНЬ_ЧАС!F237,БАЛАНС_ДЕНЬ_ЧАС!F245,БАЛАНС_ДЕНЬ_ЧАС!F253,БАЛАНС_ДЕНЬ_ЧАС!F261,БАЛАНС_ДЕНЬ_ЧАС!F269,БАЛАНС_ДЕНЬ_ЧАС!F277,БАЛАНС_ДЕНЬ_ЧАС!F285,БАЛАНС_ДЕНЬ_ЧАС!F293,БАЛАНС_ДЕНЬ_ЧАС!F301,БАЛАНС_ДЕНЬ_ЧАС!F309,БАЛАНС_ДЕНЬ_ЧАС!F317,БАЛАНС_ДЕНЬ_ЧАС!F325,БАЛАНС_ДЕНЬ_ЧАС!F333,БАЛАНС_ДЕНЬ_ЧАС!F341,БАЛАНС_ДЕНЬ_ЧАС!F349,БАЛАНС_ДЕНЬ_ЧАС!F357,БАЛАНС_ДЕНЬ_ЧАС!F365,БАЛАНС_ДЕНЬ_ЧАС!F373,БАЛАНС_ДЕНЬ_ЧАС!F381,БАЛАНС_ДЕНЬ_ЧАС!F389,БАЛАНС_ДЕНЬ_ЧАС!F397,БАЛАНС_ДЕНЬ_ЧАС!F405,БАЛАНС_ДЕНЬ_ЧАС!F413,БАЛАНС_ДЕНЬ_ЧАС!F421,БАЛАНС_ДЕНЬ_ЧАС!F429,БАЛАНС_ДЕНЬ_ЧАС!F437,БАЛАНС_ДЕНЬ_ЧАС!F445,БАЛАНС_ДЕНЬ_ЧАС!F453,БАЛАНС_ДЕНЬ_ЧАС!F461,БАЛАНС_ДЕНЬ_ЧАС!F469,БАЛАНС_ДЕНЬ_ЧАС!F477,БАЛАНС_ДЕНЬ_ЧАС!F485,БАЛАНС_ДЕНЬ_ЧАС!F493,БАЛАНС_ДЕНЬ_ЧАС!F501,БАЛАНС_ДЕНЬ_ЧАС!F509,БАЛАНС_ДЕНЬ_ЧАС!F517,БАЛАНС_ДЕНЬ_ЧАС!F525,БАЛАНС_ДЕНЬ_ЧАС!F533,БАЛАНС_ДЕНЬ_ЧАС!F541,БАЛАНС_ДЕНЬ_ЧАС!F549,БАЛАНС_ДЕНЬ_ЧАС!F557,БАЛАНС_ДЕНЬ_ЧАС!F565,БАЛАНС_ДЕНЬ_ЧАС!F573,БАЛАНС_ДЕНЬ_ЧАС!F581,БАЛАНС_ДЕНЬ_ЧАС!F589,БАЛАНС_ДЕНЬ_ЧАС!F597,БАЛАНС_ДЕНЬ_ЧАС!F605,БАЛАНС_ДЕНЬ_ЧАС!F613,БАЛАНС_ДЕНЬ_ЧАС!F621,БАЛАНС_ДЕНЬ_ЧАС!F629,БАЛАНС_ДЕНЬ_ЧАС!F637,БАЛАНС_ДЕНЬ_ЧАС!F645,БАЛАНС_ДЕНЬ_ЧАС!F653,БАЛАНС_ДЕНЬ_ЧАС!F661,БАЛАНС_ДЕНЬ_ЧАС!F669,БАЛАНС_ДЕНЬ_ЧАС!F677,БАЛАНС_ДЕНЬ_ЧАС!F685,БАЛАНС_ДЕНЬ_ЧАС!F693,БАЛАНС_ДЕНЬ_ЧАС!F701,БАЛАНС_ДЕНЬ_ЧАС!F709,БАЛАНС_ДЕНЬ_ЧАС!F717,БАЛАНС_ДЕНЬ_ЧАС!F725,БАЛАНС_ДЕНЬ_ЧАС!F733,БАЛАНС_ДЕНЬ_ЧАС!F741,БАЛАНС_ДЕНЬ_ЧАС!F749,БАЛАНС_ДЕНЬ_ЧАС!F757,БАЛАНС_ДЕНЬ_ЧАС!F765,БАЛАНС_ДЕНЬ_ЧАС!F773,БАЛАНС_ДЕНЬ_ЧАС!F781,БАЛАНС_ДЕНЬ_ЧАС!F789,БАЛАНС_ДЕНЬ_ЧАС!F797,БАЛАНС_ДЕНЬ_ЧАС!F805,БАЛАНС_ДЕНЬ_ЧАС!F813,БАЛАНС_ДЕНЬ_ЧАС!F821,БАЛАНС_ДЕНЬ_ЧАС!F829,БАЛАНС_ДЕНЬ_ЧАС!F837,БАЛАНС_ДЕНЬ_ЧАС!F845)</f>
        <v>12.298</v>
      </c>
      <c r="K26" s="12" t="n">
        <f aca="false">ПАРАМЕТРЫ!D22</f>
        <v>16</v>
      </c>
      <c r="L26" s="12" t="n">
        <f aca="false">MAX(БАЛАНС_ДЕНЬ_ЧАС!I13,БАЛАНС_ДЕНЬ_ЧАС!I21,БАЛАНС_ДЕНЬ_ЧАС!I29,БАЛАНС_ДЕНЬ_ЧАС!I37,БАЛАНС_ДЕНЬ_ЧАС!I45,БАЛАНС_ДЕНЬ_ЧАС!I53,БАЛАНС_ДЕНЬ_ЧАС!I61,БАЛАНС_ДЕНЬ_ЧАС!I69,БАЛАНС_ДЕНЬ_ЧАС!I77,БАЛАНС_ДЕНЬ_ЧАС!I85,БАЛАНС_ДЕНЬ_ЧАС!I93,БАЛАНС_ДЕНЬ_ЧАС!I101,БАЛАНС_ДЕНЬ_ЧАС!I109,БАЛАНС_ДЕНЬ_ЧАС!I117,БАЛАНС_ДЕНЬ_ЧАС!I125,БАЛАНС_ДЕНЬ_ЧАС!I133,БАЛАНС_ДЕНЬ_ЧАС!I141,БАЛАНС_ДЕНЬ_ЧАС!I149,БАЛАНС_ДЕНЬ_ЧАС!I157,БАЛАНС_ДЕНЬ_ЧАС!I165,БАЛАНС_ДЕНЬ_ЧАС!I173,БАЛАНС_ДЕНЬ_ЧАС!I181,БАЛАНС_ДЕНЬ_ЧАС!I189,БАЛАНС_ДЕНЬ_ЧАС!I197,БАЛАНС_ДЕНЬ_ЧАС!I205,БАЛАНС_ДЕНЬ_ЧАС!I213,БАЛАНС_ДЕНЬ_ЧАС!I221,БАЛАНС_ДЕНЬ_ЧАС!I229,БАЛАНС_ДЕНЬ_ЧАС!I237,БАЛАНС_ДЕНЬ_ЧАС!I245,БАЛАНС_ДЕНЬ_ЧАС!I253,БАЛАНС_ДЕНЬ_ЧАС!I261,БАЛАНС_ДЕНЬ_ЧАС!I269,БАЛАНС_ДЕНЬ_ЧАС!I277,БАЛАНС_ДЕНЬ_ЧАС!I285,БАЛАНС_ДЕНЬ_ЧАС!I293,БАЛАНС_ДЕНЬ_ЧАС!I301,БАЛАНС_ДЕНЬ_ЧАС!I309,БАЛАНС_ДЕНЬ_ЧАС!I317,БАЛАНС_ДЕНЬ_ЧАС!I325,БАЛАНС_ДЕНЬ_ЧАС!I333,БАЛАНС_ДЕНЬ_ЧАС!I341,БАЛАНС_ДЕНЬ_ЧАС!I349,БАЛАНС_ДЕНЬ_ЧАС!I357,БАЛАНС_ДЕНЬ_ЧАС!I365,БАЛАНС_ДЕНЬ_ЧАС!I373,БАЛАНС_ДЕНЬ_ЧАС!I381,БАЛАНС_ДЕНЬ_ЧАС!I389,БАЛАНС_ДЕНЬ_ЧАС!I397,БАЛАНС_ДЕНЬ_ЧАС!I405,БАЛАНС_ДЕНЬ_ЧАС!I413,БАЛАНС_ДЕНЬ_ЧАС!I421,БАЛАНС_ДЕНЬ_ЧАС!I429,БАЛАНС_ДЕНЬ_ЧАС!I437,БАЛАНС_ДЕНЬ_ЧАС!I445,БАЛАНС_ДЕНЬ_ЧАС!I453,БАЛАНС_ДЕНЬ_ЧАС!I461,БАЛАНС_ДЕНЬ_ЧАС!I469,БАЛАНС_ДЕНЬ_ЧАС!I477,БАЛАНС_ДЕНЬ_ЧАС!I485,БАЛАНС_ДЕНЬ_ЧАС!I493,БАЛАНС_ДЕНЬ_ЧАС!I501,БАЛАНС_ДЕНЬ_ЧАС!I509,БАЛАНС_ДЕНЬ_ЧАС!I517,БАЛАНС_ДЕНЬ_ЧАС!I525,БАЛАНС_ДЕНЬ_ЧАС!I533,БАЛАНС_ДЕНЬ_ЧАС!I541,БАЛАНС_ДЕНЬ_ЧАС!I549,БАЛАНС_ДЕНЬ_ЧАС!I557,БАЛАНС_ДЕНЬ_ЧАС!I565,БАЛАНС_ДЕНЬ_ЧАС!I573,БАЛАНС_ДЕНЬ_ЧАС!I581,БАЛАНС_ДЕНЬ_ЧАС!I589,БАЛАНС_ДЕНЬ_ЧАС!I597,БАЛАНС_ДЕНЬ_ЧАС!I605,БАЛАНС_ДЕНЬ_ЧАС!I613,БАЛАНС_ДЕНЬ_ЧАС!I621,БАЛАНС_ДЕНЬ_ЧАС!I629,БАЛАНС_ДЕНЬ_ЧАС!I637,БАЛАНС_ДЕНЬ_ЧАС!I645,БАЛАНС_ДЕНЬ_ЧАС!I653,БАЛАНС_ДЕНЬ_ЧАС!I661,БАЛАНС_ДЕНЬ_ЧАС!I669,БАЛАНС_ДЕНЬ_ЧАС!I677,БАЛАНС_ДЕНЬ_ЧАС!I685,БАЛАНС_ДЕНЬ_ЧАС!I693,БАЛАНС_ДЕНЬ_ЧАС!I701,БАЛАНС_ДЕНЬ_ЧАС!I709,БАЛАНС_ДЕНЬ_ЧАС!I717,БАЛАНС_ДЕНЬ_ЧАС!I725,БАЛАНС_ДЕНЬ_ЧАС!I733,БАЛАНС_ДЕНЬ_ЧАС!I741,БАЛАНС_ДЕНЬ_ЧАС!I749,БАЛАНС_ДЕНЬ_ЧАС!I757,БАЛАНС_ДЕНЬ_ЧАС!I765,БАЛАНС_ДЕНЬ_ЧАС!I773,БАЛАНС_ДЕНЬ_ЧАС!I781,БАЛАНС_ДЕНЬ_ЧАС!I789,БАЛАНС_ДЕНЬ_ЧАС!I797,БАЛАНС_ДЕНЬ_ЧАС!I805,БАЛАНС_ДЕНЬ_ЧАС!I813,БАЛАНС_ДЕНЬ_ЧАС!I821,БАЛАНС_ДЕНЬ_ЧАС!I829,БАЛАНС_ДЕНЬ_ЧАС!I837,БАЛАНС_ДЕНЬ_ЧАС!I845)</f>
        <v>16</v>
      </c>
      <c r="M26" s="12" t="n">
        <f aca="false">MAX(БАЛАНС_ДЕНЬ_ЧАС!J13,БАЛАНС_ДЕНЬ_ЧАС!J21,БАЛАНС_ДЕНЬ_ЧАС!J29,БАЛАНС_ДЕНЬ_ЧАС!J37,БАЛАНС_ДЕНЬ_ЧАС!J45,БАЛАНС_ДЕНЬ_ЧАС!J53,БАЛАНС_ДЕНЬ_ЧАС!J61,БАЛАНС_ДЕНЬ_ЧАС!J69,БАЛАНС_ДЕНЬ_ЧАС!J77,БАЛАНС_ДЕНЬ_ЧАС!J85,БАЛАНС_ДЕНЬ_ЧАС!J93,БАЛАНС_ДЕНЬ_ЧАС!J101,БАЛАНС_ДЕНЬ_ЧАС!J109,БАЛАНС_ДЕНЬ_ЧАС!J117,БАЛАНС_ДЕНЬ_ЧАС!J125,БАЛАНС_ДЕНЬ_ЧАС!J133,БАЛАНС_ДЕНЬ_ЧАС!J141,БАЛАНС_ДЕНЬ_ЧАС!J149,БАЛАНС_ДЕНЬ_ЧАС!J157,БАЛАНС_ДЕНЬ_ЧАС!J165,БАЛАНС_ДЕНЬ_ЧАС!J173,БАЛАНС_ДЕНЬ_ЧАС!J181,БАЛАНС_ДЕНЬ_ЧАС!J189,БАЛАНС_ДЕНЬ_ЧАС!J197,БАЛАНС_ДЕНЬ_ЧАС!J205,БАЛАНС_ДЕНЬ_ЧАС!J213,БАЛАНС_ДЕНЬ_ЧАС!J221,БАЛАНС_ДЕНЬ_ЧАС!J229,БАЛАНС_ДЕНЬ_ЧАС!J237,БАЛАНС_ДЕНЬ_ЧАС!J245,БАЛАНС_ДЕНЬ_ЧАС!J253,БАЛАНС_ДЕНЬ_ЧАС!J261,БАЛАНС_ДЕНЬ_ЧАС!J269,БАЛАНС_ДЕНЬ_ЧАС!J277,БАЛАНС_ДЕНЬ_ЧАС!J285,БАЛАНС_ДЕНЬ_ЧАС!J293,БАЛАНС_ДЕНЬ_ЧАС!J301,БАЛАНС_ДЕНЬ_ЧАС!J309,БАЛАНС_ДЕНЬ_ЧАС!J317,БАЛАНС_ДЕНЬ_ЧАС!J325,БАЛАНС_ДЕНЬ_ЧАС!J333,БАЛАНС_ДЕНЬ_ЧАС!J341,БАЛАНС_ДЕНЬ_ЧАС!J349,БАЛАНС_ДЕНЬ_ЧАС!J357,БАЛАНС_ДЕНЬ_ЧАС!J365,БАЛАНС_ДЕНЬ_ЧАС!J373,БАЛАНС_ДЕНЬ_ЧАС!J381,БАЛАНС_ДЕНЬ_ЧАС!J389,БАЛАНС_ДЕНЬ_ЧАС!J397,БАЛАНС_ДЕНЬ_ЧАС!J405,БАЛАНС_ДЕНЬ_ЧАС!J413,БАЛАНС_ДЕНЬ_ЧАС!J421,БАЛАНС_ДЕНЬ_ЧАС!J429,БАЛАНС_ДЕНЬ_ЧАС!J437,БАЛАНС_ДЕНЬ_ЧАС!J445,БАЛАНС_ДЕНЬ_ЧАС!J453,БАЛАНС_ДЕНЬ_ЧАС!J461,БАЛАНС_ДЕНЬ_ЧАС!J469,БАЛАНС_ДЕНЬ_ЧАС!J477,БАЛАНС_ДЕНЬ_ЧАС!J485,БАЛАНС_ДЕНЬ_ЧАС!J493,БАЛАНС_ДЕНЬ_ЧАС!J501,БАЛАНС_ДЕНЬ_ЧАС!J509,БАЛАНС_ДЕНЬ_ЧАС!J517,БАЛАНС_ДЕНЬ_ЧАС!J525,БАЛАНС_ДЕНЬ_ЧАС!J533,БАЛАНС_ДЕНЬ_ЧАС!J541,БАЛАНС_ДЕНЬ_ЧАС!J549,БАЛАНС_ДЕНЬ_ЧАС!J557,БАЛАНС_ДЕНЬ_ЧАС!J565,БАЛАНС_ДЕНЬ_ЧАС!J573,БАЛАНС_ДЕНЬ_ЧАС!J581,БАЛАНС_ДЕНЬ_ЧАС!J589,БАЛАНС_ДЕНЬ_ЧАС!J597,БАЛАНС_ДЕНЬ_ЧАС!J605,БАЛАНС_ДЕНЬ_ЧАС!J613,БАЛАНС_ДЕНЬ_ЧАС!J621,БАЛАНС_ДЕНЬ_ЧАС!J629,БАЛАНС_ДЕНЬ_ЧАС!J637,БАЛАНС_ДЕНЬ_ЧАС!J645,БАЛАНС_ДЕНЬ_ЧАС!J653,БАЛАНС_ДЕНЬ_ЧАС!J661,БАЛАНС_ДЕНЬ_ЧАС!J669,БАЛАНС_ДЕНЬ_ЧАС!J677,БАЛАНС_ДЕНЬ_ЧАС!J685,БАЛАНС_ДЕНЬ_ЧАС!J693,БАЛАНС_ДЕНЬ_ЧАС!J701,БАЛАНС_ДЕНЬ_ЧАС!J709,БАЛАНС_ДЕНЬ_ЧАС!J717,БАЛАНС_ДЕНЬ_ЧАС!J725,БАЛАНС_ДЕНЬ_ЧАС!J733,БАЛАНС_ДЕНЬ_ЧАС!J741,БАЛАНС_ДЕНЬ_ЧАС!J749,БАЛАНС_ДЕНЬ_ЧАС!J757,БАЛАНС_ДЕНЬ_ЧАС!J765,БАЛАНС_ДЕНЬ_ЧАС!J773,БАЛАНС_ДЕНЬ_ЧАС!J781,БАЛАНС_ДЕНЬ_ЧАС!J789,БАЛАНС_ДЕНЬ_ЧАС!J797,БАЛАНС_ДЕНЬ_ЧАС!J805,БАЛАНС_ДЕНЬ_ЧАС!J813,БАЛАНС_ДЕНЬ_ЧАС!J821,БАЛАНС_ДЕНЬ_ЧАС!J829,БАЛАНС_ДЕНЬ_ЧАС!J837,БАЛАНС_ДЕНЬ_ЧАС!J845)</f>
        <v>16</v>
      </c>
      <c r="N26" s="12" t="n">
        <f aca="false">MAX(БАЛАНС_ДЕНЬ_ЧАС!K13,БАЛАНС_ДЕНЬ_ЧАС!K21,БАЛАНС_ДЕНЬ_ЧАС!K29,БАЛАНС_ДЕНЬ_ЧАС!K37,БАЛАНС_ДЕНЬ_ЧАС!K45,БАЛАНС_ДЕНЬ_ЧАС!K53,БАЛАНС_ДЕНЬ_ЧАС!K61,БАЛАНС_ДЕНЬ_ЧАС!K69,БАЛАНС_ДЕНЬ_ЧАС!K77,БАЛАНС_ДЕНЬ_ЧАС!K85,БАЛАНС_ДЕНЬ_ЧАС!K93,БАЛАНС_ДЕНЬ_ЧАС!K101,БАЛАНС_ДЕНЬ_ЧАС!K109,БАЛАНС_ДЕНЬ_ЧАС!K117,БАЛАНС_ДЕНЬ_ЧАС!K125,БАЛАНС_ДЕНЬ_ЧАС!K133,БАЛАНС_ДЕНЬ_ЧАС!K141,БАЛАНС_ДЕНЬ_ЧАС!K149,БАЛАНС_ДЕНЬ_ЧАС!K157,БАЛАНС_ДЕНЬ_ЧАС!K165,БАЛАНС_ДЕНЬ_ЧАС!K173,БАЛАНС_ДЕНЬ_ЧАС!K181,БАЛАНС_ДЕНЬ_ЧАС!K189,БАЛАНС_ДЕНЬ_ЧАС!K197,БАЛАНС_ДЕНЬ_ЧАС!K205,БАЛАНС_ДЕНЬ_ЧАС!K213,БАЛАНС_ДЕНЬ_ЧАС!K221,БАЛАНС_ДЕНЬ_ЧАС!K229,БАЛАНС_ДЕНЬ_ЧАС!K237,БАЛАНС_ДЕНЬ_ЧАС!K245,БАЛАНС_ДЕНЬ_ЧАС!K253,БАЛАНС_ДЕНЬ_ЧАС!K261,БАЛАНС_ДЕНЬ_ЧАС!K269,БАЛАНС_ДЕНЬ_ЧАС!K277,БАЛАНС_ДЕНЬ_ЧАС!K285,БАЛАНС_ДЕНЬ_ЧАС!K293,БАЛАНС_ДЕНЬ_ЧАС!K301,БАЛАНС_ДЕНЬ_ЧАС!K309,БАЛАНС_ДЕНЬ_ЧАС!K317,БАЛАНС_ДЕНЬ_ЧАС!K325,БАЛАНС_ДЕНЬ_ЧАС!K333,БАЛАНС_ДЕНЬ_ЧАС!K341,БАЛАНС_ДЕНЬ_ЧАС!K349,БАЛАНС_ДЕНЬ_ЧАС!K357,БАЛАНС_ДЕНЬ_ЧАС!K365,БАЛАНС_ДЕНЬ_ЧАС!K373,БАЛАНС_ДЕНЬ_ЧАС!K381,БАЛАНС_ДЕНЬ_ЧАС!K389,БАЛАНС_ДЕНЬ_ЧАС!K397,БАЛАНС_ДЕНЬ_ЧАС!K405,БАЛАНС_ДЕНЬ_ЧАС!K413,БАЛАНС_ДЕНЬ_ЧАС!K421,БАЛАНС_ДЕНЬ_ЧАС!K429,БАЛАНС_ДЕНЬ_ЧАС!K437,БАЛАНС_ДЕНЬ_ЧАС!K445,БАЛАНС_ДЕНЬ_ЧАС!K453,БАЛАНС_ДЕНЬ_ЧАС!K461,БАЛАНС_ДЕНЬ_ЧАС!K469,БАЛАНС_ДЕНЬ_ЧАС!K477,БАЛАНС_ДЕНЬ_ЧАС!K485,БАЛАНС_ДЕНЬ_ЧАС!K493,БАЛАНС_ДЕНЬ_ЧАС!K501,БАЛАНС_ДЕНЬ_ЧАС!K509,БАЛАНС_ДЕНЬ_ЧАС!K517,БАЛАНС_ДЕНЬ_ЧАС!K525,БАЛАНС_ДЕНЬ_ЧАС!K533,БАЛАНС_ДЕНЬ_ЧАС!K541,БАЛАНС_ДЕНЬ_ЧАС!K549,БАЛАНС_ДЕНЬ_ЧАС!K557,БАЛАНС_ДЕНЬ_ЧАС!K565,БАЛАНС_ДЕНЬ_ЧАС!K573,БАЛАНС_ДЕНЬ_ЧАС!K581,БАЛАНС_ДЕНЬ_ЧАС!K589,БАЛАНС_ДЕНЬ_ЧАС!K597,БАЛАНС_ДЕНЬ_ЧАС!K605,БАЛАНС_ДЕНЬ_ЧАС!K613,БАЛАНС_ДЕНЬ_ЧАС!K621,БАЛАНС_ДЕНЬ_ЧАС!K629,БАЛАНС_ДЕНЬ_ЧАС!K637,БАЛАНС_ДЕНЬ_ЧАС!K645,БАЛАНС_ДЕНЬ_ЧАС!K653,БАЛАНС_ДЕНЬ_ЧАС!K661,БАЛАНС_ДЕНЬ_ЧАС!K669,БАЛАНС_ДЕНЬ_ЧАС!K677,БАЛАНС_ДЕНЬ_ЧАС!K685,БАЛАНС_ДЕНЬ_ЧАС!K693,БАЛАНС_ДЕНЬ_ЧАС!K701,БАЛАНС_ДЕНЬ_ЧАС!K709,БАЛАНС_ДЕНЬ_ЧАС!K717,БАЛАНС_ДЕНЬ_ЧАС!K725,БАЛАНС_ДЕНЬ_ЧАС!K733,БАЛАНС_ДЕНЬ_ЧАС!K741,БАЛАНС_ДЕНЬ_ЧАС!K749,БАЛАНС_ДЕНЬ_ЧАС!K757,БАЛАНС_ДЕНЬ_ЧАС!K765,БАЛАНС_ДЕНЬ_ЧАС!K773,БАЛАНС_ДЕНЬ_ЧАС!K781,БАЛАНС_ДЕНЬ_ЧАС!K789,БАЛАНС_ДЕНЬ_ЧАС!K797,БАЛАНС_ДЕНЬ_ЧАС!K805,БАЛАНС_ДЕНЬ_ЧАС!K813,БАЛАНС_ДЕНЬ_ЧАС!K821,БАЛАНС_ДЕНЬ_ЧАС!K829,БАЛАНС_ДЕНЬ_ЧАС!K837,БАЛАНС_ДЕНЬ_ЧАС!K845)</f>
        <v>0</v>
      </c>
      <c r="O26" s="11" t="str">
        <f aca="false">IF(N26&gt;0,"BLOCKED","PASS")</f>
        <v>PASS</v>
      </c>
      <c r="P26" s="11" t="s">
        <v>145</v>
      </c>
    </row>
    <row r="27" customFormat="false" ht="15" hidden="false" customHeight="false" outlineLevel="0" collapsed="false">
      <c r="A27" s="11" t="n">
        <v>17</v>
      </c>
      <c r="B27" s="11" t="s">
        <v>166</v>
      </c>
      <c r="C27" s="11" t="s">
        <v>171</v>
      </c>
      <c r="D27" s="11" t="s">
        <v>80</v>
      </c>
      <c r="E27" s="12" t="n">
        <v>180</v>
      </c>
      <c r="F27" s="12" t="n">
        <f aca="false">SUMIF(СПРОС_ДЕНЬ_ЧАС_МЕНЮ!$C$11:$C$3265,A27,СПРОС_ДЕНЬ_ЧАС_МЕНЮ!$I$11:$I$3265)</f>
        <v>25.245</v>
      </c>
      <c r="G27" s="12" t="n">
        <f aca="false">MAX(СПРОС_ДЕНЬ_ЧАС_МЕНЮ!I27,СПРОС_ДЕНЬ_ЧАС_МЕНЮ!I58,СПРОС_ДЕНЬ_ЧАС_МЕНЮ!I89,СПРОС_ДЕНЬ_ЧАС_МЕНЮ!I120,СПРОС_ДЕНЬ_ЧАС_МЕНЮ!I151,СПРОС_ДЕНЬ_ЧАС_МЕНЮ!I182,СПРОС_ДЕНЬ_ЧАС_МЕНЮ!I213,СПРОС_ДЕНЬ_ЧАС_МЕНЮ!I244,СПРОС_ДЕНЬ_ЧАС_МЕНЮ!I275,СПРОС_ДЕНЬ_ЧАС_МЕНЮ!I306,СПРОС_ДЕНЬ_ЧАС_МЕНЮ!I337,СПРОС_ДЕНЬ_ЧАС_МЕНЮ!I368,СПРОС_ДЕНЬ_ЧАС_МЕНЮ!I399,СПРОС_ДЕНЬ_ЧАС_МЕНЮ!I430,СПРОС_ДЕНЬ_ЧАС_МЕНЮ!I461,СПРОС_ДЕНЬ_ЧАС_МЕНЮ!I492,СПРОС_ДЕНЬ_ЧАС_МЕНЮ!I523,СПРОС_ДЕНЬ_ЧАС_МЕНЮ!I554,СПРОС_ДЕНЬ_ЧАС_МЕНЮ!I585,СПРОС_ДЕНЬ_ЧАС_МЕНЮ!I616,СПРОС_ДЕНЬ_ЧАС_МЕНЮ!I647,СПРОС_ДЕНЬ_ЧАС_МЕНЮ!I678,СПРОС_ДЕНЬ_ЧАС_МЕНЮ!I709,СПРОС_ДЕНЬ_ЧАС_МЕНЮ!I740,СПРОС_ДЕНЬ_ЧАС_МЕНЮ!I771,СПРОС_ДЕНЬ_ЧАС_МЕНЮ!I802,СПРОС_ДЕНЬ_ЧАС_МЕНЮ!I833,СПРОС_ДЕНЬ_ЧАС_МЕНЮ!I864,СПРОС_ДЕНЬ_ЧАС_МЕНЮ!I895,СПРОС_ДЕНЬ_ЧАС_МЕНЮ!I926,СПРОС_ДЕНЬ_ЧАС_МЕНЮ!I957,СПРОС_ДЕНЬ_ЧАС_МЕНЮ!I988,СПРОС_ДЕНЬ_ЧАС_МЕНЮ!I1019,СПРОС_ДЕНЬ_ЧАС_МЕНЮ!I1050,СПРОС_ДЕНЬ_ЧАС_МЕНЮ!I1081,СПРОС_ДЕНЬ_ЧАС_МЕНЮ!I1112,СПРОС_ДЕНЬ_ЧАС_МЕНЮ!I1143,СПРОС_ДЕНЬ_ЧАС_МЕНЮ!I1174,СПРОС_ДЕНЬ_ЧАС_МЕНЮ!I1205,СПРОС_ДЕНЬ_ЧАС_МЕНЮ!I1236,СПРОС_ДЕНЬ_ЧАС_МЕНЮ!I1267,СПРОС_ДЕНЬ_ЧАС_МЕНЮ!I1298,СПРОС_ДЕНЬ_ЧАС_МЕНЮ!I1329,СПРОС_ДЕНЬ_ЧАС_МЕНЮ!I1360,СПРОС_ДЕНЬ_ЧАС_МЕНЮ!I1391,СПРОС_ДЕНЬ_ЧАС_МЕНЮ!I1422,СПРОС_ДЕНЬ_ЧАС_МЕНЮ!I1453,СПРОС_ДЕНЬ_ЧАС_МЕНЮ!I1484,СПРОС_ДЕНЬ_ЧАС_МЕНЮ!I1515,СПРОС_ДЕНЬ_ЧАС_МЕНЮ!I1546,СПРОС_ДЕНЬ_ЧАС_МЕНЮ!I1577,СПРОС_ДЕНЬ_ЧАС_МЕНЮ!I1608,СПРОС_ДЕНЬ_ЧАС_МЕНЮ!I1639,СПРОС_ДЕНЬ_ЧАС_МЕНЮ!I1670,СПРОС_ДЕНЬ_ЧАС_МЕНЮ!I1701,СПРОС_ДЕНЬ_ЧАС_МЕНЮ!I1732,СПРОС_ДЕНЬ_ЧАС_МЕНЮ!I1763,СПРОС_ДЕНЬ_ЧАС_МЕНЮ!I1794,СПРОС_ДЕНЬ_ЧАС_МЕНЮ!I1825,СПРОС_ДЕНЬ_ЧАС_МЕНЮ!I1856,СПРОС_ДЕНЬ_ЧАС_МЕНЮ!I1887,СПРОС_ДЕНЬ_ЧАС_МЕНЮ!I1918,СПРОС_ДЕНЬ_ЧАС_МЕНЮ!I1949,СПРОС_ДЕНЬ_ЧАС_МЕНЮ!I1980,СПРОС_ДЕНЬ_ЧАС_МЕНЮ!I2011,СПРОС_ДЕНЬ_ЧАС_МЕНЮ!I2042,СПРОС_ДЕНЬ_ЧАС_МЕНЮ!I2073,СПРОС_ДЕНЬ_ЧАС_МЕНЮ!I2104,СПРОС_ДЕНЬ_ЧАС_МЕНЮ!I2135,СПРОС_ДЕНЬ_ЧАС_МЕНЮ!I2166,СПРОС_ДЕНЬ_ЧАС_МЕНЮ!I2197,СПРОС_ДЕНЬ_ЧАС_МЕНЮ!I2228,СПРОС_ДЕНЬ_ЧАС_МЕНЮ!I2259,СПРОС_ДЕНЬ_ЧАС_МЕНЮ!I2290,СПРОС_ДЕНЬ_ЧАС_МЕНЮ!I2321,СПРОС_ДЕНЬ_ЧАС_МЕНЮ!I2352,СПРОС_ДЕНЬ_ЧАС_МЕНЮ!I2383,СПРОС_ДЕНЬ_ЧАС_МЕНЮ!I2414,СПРОС_ДЕНЬ_ЧАС_МЕНЮ!I2445,СПРОС_ДЕНЬ_ЧАС_МЕНЮ!I2476,СПРОС_ДЕНЬ_ЧАС_МЕНЮ!I2507,СПРОС_ДЕНЬ_ЧАС_МЕНЮ!I2538,СПРОС_ДЕНЬ_ЧАС_МЕНЮ!I2569,СПРОС_ДЕНЬ_ЧАС_МЕНЮ!I2600,СПРОС_ДЕНЬ_ЧАС_МЕНЮ!I2631,СПРОС_ДЕНЬ_ЧАС_МЕНЮ!I2662,СПРОС_ДЕНЬ_ЧАС_МЕНЮ!I2693,СПРОС_ДЕНЬ_ЧАС_МЕНЮ!I2724,СПРОС_ДЕНЬ_ЧАС_МЕНЮ!I2755,СПРОС_ДЕНЬ_ЧАС_МЕНЮ!I2786,СПРОС_ДЕНЬ_ЧАС_МЕНЮ!I2817,СПРОС_ДЕНЬ_ЧАС_МЕНЮ!I2848,СПРОС_ДЕНЬ_ЧАС_МЕНЮ!I2879,СПРОС_ДЕНЬ_ЧАС_МЕНЮ!I2910,СПРОС_ДЕНЬ_ЧАС_МЕНЮ!I2941,СПРОС_ДЕНЬ_ЧАС_МЕНЮ!I2972,СПРОС_ДЕНЬ_ЧАС_МЕНЮ!I3003,СПРОС_ДЕНЬ_ЧАС_МЕНЮ!I3034,СПРОС_ДЕНЬ_ЧАС_МЕНЮ!I3065,СПРОС_ДЕНЬ_ЧАС_МЕНЮ!I3096,СПРОС_ДЕНЬ_ЧАС_МЕНЮ!I3127,СПРОС_ДЕНЬ_ЧАС_МЕНЮ!I3158,СПРОС_ДЕНЬ_ЧАС_МЕНЮ!I3189,СПРОС_ДЕНЬ_ЧАС_МЕНЮ!I3220,СПРОС_ДЕНЬ_ЧАС_МЕНЮ!I3251)</f>
        <v>1.012</v>
      </c>
      <c r="H27" s="12" t="s">
        <v>112</v>
      </c>
      <c r="I27" s="12" t="s">
        <v>137</v>
      </c>
      <c r="J27" s="12" t="n">
        <f aca="false">MAX(БАЛАНС_ДЕНЬ_ЧАС!F13,БАЛАНС_ДЕНЬ_ЧАС!F21,БАЛАНС_ДЕНЬ_ЧАС!F29,БАЛАНС_ДЕНЬ_ЧАС!F37,БАЛАНС_ДЕНЬ_ЧАС!F45,БАЛАНС_ДЕНЬ_ЧАС!F53,БАЛАНС_ДЕНЬ_ЧАС!F61,БАЛАНС_ДЕНЬ_ЧАС!F69,БАЛАНС_ДЕНЬ_ЧАС!F77,БАЛАНС_ДЕНЬ_ЧАС!F85,БАЛАНС_ДЕНЬ_ЧАС!F93,БАЛАНС_ДЕНЬ_ЧАС!F101,БАЛАНС_ДЕНЬ_ЧАС!F109,БАЛАНС_ДЕНЬ_ЧАС!F117,БАЛАНС_ДЕНЬ_ЧАС!F125,БАЛАНС_ДЕНЬ_ЧАС!F133,БАЛАНС_ДЕНЬ_ЧАС!F141,БАЛАНС_ДЕНЬ_ЧАС!F149,БАЛАНС_ДЕНЬ_ЧАС!F157,БАЛАНС_ДЕНЬ_ЧАС!F165,БАЛАНС_ДЕНЬ_ЧАС!F173,БАЛАНС_ДЕНЬ_ЧАС!F181,БАЛАНС_ДЕНЬ_ЧАС!F189,БАЛАНС_ДЕНЬ_ЧАС!F197,БАЛАНС_ДЕНЬ_ЧАС!F205,БАЛАНС_ДЕНЬ_ЧАС!F213,БАЛАНС_ДЕНЬ_ЧАС!F221,БАЛАНС_ДЕНЬ_ЧАС!F229,БАЛАНС_ДЕНЬ_ЧАС!F237,БАЛАНС_ДЕНЬ_ЧАС!F245,БАЛАНС_ДЕНЬ_ЧАС!F253,БАЛАНС_ДЕНЬ_ЧАС!F261,БАЛАНС_ДЕНЬ_ЧАС!F269,БАЛАНС_ДЕНЬ_ЧАС!F277,БАЛАНС_ДЕНЬ_ЧАС!F285,БАЛАНС_ДЕНЬ_ЧАС!F293,БАЛАНС_ДЕНЬ_ЧАС!F301,БАЛАНС_ДЕНЬ_ЧАС!F309,БАЛАНС_ДЕНЬ_ЧАС!F317,БАЛАНС_ДЕНЬ_ЧАС!F325,БАЛАНС_ДЕНЬ_ЧАС!F333,БАЛАНС_ДЕНЬ_ЧАС!F341,БАЛАНС_ДЕНЬ_ЧАС!F349,БАЛАНС_ДЕНЬ_ЧАС!F357,БАЛАНС_ДЕНЬ_ЧАС!F365,БАЛАНС_ДЕНЬ_ЧАС!F373,БАЛАНС_ДЕНЬ_ЧАС!F381,БАЛАНС_ДЕНЬ_ЧАС!F389,БАЛАНС_ДЕНЬ_ЧАС!F397,БАЛАНС_ДЕНЬ_ЧАС!F405,БАЛАНС_ДЕНЬ_ЧАС!F413,БАЛАНС_ДЕНЬ_ЧАС!F421,БАЛАНС_ДЕНЬ_ЧАС!F429,БАЛАНС_ДЕНЬ_ЧАС!F437,БАЛАНС_ДЕНЬ_ЧАС!F445,БАЛАНС_ДЕНЬ_ЧАС!F453,БАЛАНС_ДЕНЬ_ЧАС!F461,БАЛАНС_ДЕНЬ_ЧАС!F469,БАЛАНС_ДЕНЬ_ЧАС!F477,БАЛАНС_ДЕНЬ_ЧАС!F485,БАЛАНС_ДЕНЬ_ЧАС!F493,БАЛАНС_ДЕНЬ_ЧАС!F501,БАЛАНС_ДЕНЬ_ЧАС!F509,БАЛАНС_ДЕНЬ_ЧАС!F517,БАЛАНС_ДЕНЬ_ЧАС!F525,БАЛАНС_ДЕНЬ_ЧАС!F533,БАЛАНС_ДЕНЬ_ЧАС!F541,БАЛАНС_ДЕНЬ_ЧАС!F549,БАЛАНС_ДЕНЬ_ЧАС!F557,БАЛАНС_ДЕНЬ_ЧАС!F565,БАЛАНС_ДЕНЬ_ЧАС!F573,БАЛАНС_ДЕНЬ_ЧАС!F581,БАЛАНС_ДЕНЬ_ЧАС!F589,БАЛАНС_ДЕНЬ_ЧАС!F597,БАЛАНС_ДЕНЬ_ЧАС!F605,БАЛАНС_ДЕНЬ_ЧАС!F613,БАЛАНС_ДЕНЬ_ЧАС!F621,БАЛАНС_ДЕНЬ_ЧАС!F629,БАЛАНС_ДЕНЬ_ЧАС!F637,БАЛАНС_ДЕНЬ_ЧАС!F645,БАЛАНС_ДЕНЬ_ЧАС!F653,БАЛАНС_ДЕНЬ_ЧАС!F661,БАЛАНС_ДЕНЬ_ЧАС!F669,БАЛАНС_ДЕНЬ_ЧАС!F677,БАЛАНС_ДЕНЬ_ЧАС!F685,БАЛАНС_ДЕНЬ_ЧАС!F693,БАЛАНС_ДЕНЬ_ЧАС!F701,БАЛАНС_ДЕНЬ_ЧАС!F709,БАЛАНС_ДЕНЬ_ЧАС!F717,БАЛАНС_ДЕНЬ_ЧАС!F725,БАЛАНС_ДЕНЬ_ЧАС!F733,БАЛАНС_ДЕНЬ_ЧАС!F741,БАЛАНС_ДЕНЬ_ЧАС!F749,БАЛАНС_ДЕНЬ_ЧАС!F757,БАЛАНС_ДЕНЬ_ЧАС!F765,БАЛАНС_ДЕНЬ_ЧАС!F773,БАЛАНС_ДЕНЬ_ЧАС!F781,БАЛАНС_ДЕНЬ_ЧАС!F789,БАЛАНС_ДЕНЬ_ЧАС!F797,БАЛАНС_ДЕНЬ_ЧАС!F805,БАЛАНС_ДЕНЬ_ЧАС!F813,БАЛАНС_ДЕНЬ_ЧАС!F821,БАЛАНС_ДЕНЬ_ЧАС!F829,БАЛАНС_ДЕНЬ_ЧАС!F837,БАЛАНС_ДЕНЬ_ЧАС!F845)</f>
        <v>12.298</v>
      </c>
      <c r="K27" s="12" t="n">
        <f aca="false">ПАРАМЕТРЫ!D22</f>
        <v>16</v>
      </c>
      <c r="L27" s="12" t="n">
        <f aca="false">MAX(БАЛАНС_ДЕНЬ_ЧАС!I13,БАЛАНС_ДЕНЬ_ЧАС!I21,БАЛАНС_ДЕНЬ_ЧАС!I29,БАЛАНС_ДЕНЬ_ЧАС!I37,БАЛАНС_ДЕНЬ_ЧАС!I45,БАЛАНС_ДЕНЬ_ЧАС!I53,БАЛАНС_ДЕНЬ_ЧАС!I61,БАЛАНС_ДЕНЬ_ЧАС!I69,БАЛАНС_ДЕНЬ_ЧАС!I77,БАЛАНС_ДЕНЬ_ЧАС!I85,БАЛАНС_ДЕНЬ_ЧАС!I93,БАЛАНС_ДЕНЬ_ЧАС!I101,БАЛАНС_ДЕНЬ_ЧАС!I109,БАЛАНС_ДЕНЬ_ЧАС!I117,БАЛАНС_ДЕНЬ_ЧАС!I125,БАЛАНС_ДЕНЬ_ЧАС!I133,БАЛАНС_ДЕНЬ_ЧАС!I141,БАЛАНС_ДЕНЬ_ЧАС!I149,БАЛАНС_ДЕНЬ_ЧАС!I157,БАЛАНС_ДЕНЬ_ЧАС!I165,БАЛАНС_ДЕНЬ_ЧАС!I173,БАЛАНС_ДЕНЬ_ЧАС!I181,БАЛАНС_ДЕНЬ_ЧАС!I189,БАЛАНС_ДЕНЬ_ЧАС!I197,БАЛАНС_ДЕНЬ_ЧАС!I205,БАЛАНС_ДЕНЬ_ЧАС!I213,БАЛАНС_ДЕНЬ_ЧАС!I221,БАЛАНС_ДЕНЬ_ЧАС!I229,БАЛАНС_ДЕНЬ_ЧАС!I237,БАЛАНС_ДЕНЬ_ЧАС!I245,БАЛАНС_ДЕНЬ_ЧАС!I253,БАЛАНС_ДЕНЬ_ЧАС!I261,БАЛАНС_ДЕНЬ_ЧАС!I269,БАЛАНС_ДЕНЬ_ЧАС!I277,БАЛАНС_ДЕНЬ_ЧАС!I285,БАЛАНС_ДЕНЬ_ЧАС!I293,БАЛАНС_ДЕНЬ_ЧАС!I301,БАЛАНС_ДЕНЬ_ЧАС!I309,БАЛАНС_ДЕНЬ_ЧАС!I317,БАЛАНС_ДЕНЬ_ЧАС!I325,БАЛАНС_ДЕНЬ_ЧАС!I333,БАЛАНС_ДЕНЬ_ЧАС!I341,БАЛАНС_ДЕНЬ_ЧАС!I349,БАЛАНС_ДЕНЬ_ЧАС!I357,БАЛАНС_ДЕНЬ_ЧАС!I365,БАЛАНС_ДЕНЬ_ЧАС!I373,БАЛАНС_ДЕНЬ_ЧАС!I381,БАЛАНС_ДЕНЬ_ЧАС!I389,БАЛАНС_ДЕНЬ_ЧАС!I397,БАЛАНС_ДЕНЬ_ЧАС!I405,БАЛАНС_ДЕНЬ_ЧАС!I413,БАЛАНС_ДЕНЬ_ЧАС!I421,БАЛАНС_ДЕНЬ_ЧАС!I429,БАЛАНС_ДЕНЬ_ЧАС!I437,БАЛАНС_ДЕНЬ_ЧАС!I445,БАЛАНС_ДЕНЬ_ЧАС!I453,БАЛАНС_ДЕНЬ_ЧАС!I461,БАЛАНС_ДЕНЬ_ЧАС!I469,БАЛАНС_ДЕНЬ_ЧАС!I477,БАЛАНС_ДЕНЬ_ЧАС!I485,БАЛАНС_ДЕНЬ_ЧАС!I493,БАЛАНС_ДЕНЬ_ЧАС!I501,БАЛАНС_ДЕНЬ_ЧАС!I509,БАЛАНС_ДЕНЬ_ЧАС!I517,БАЛАНС_ДЕНЬ_ЧАС!I525,БАЛАНС_ДЕНЬ_ЧАС!I533,БАЛАНС_ДЕНЬ_ЧАС!I541,БАЛАНС_ДЕНЬ_ЧАС!I549,БАЛАНС_ДЕНЬ_ЧАС!I557,БАЛАНС_ДЕНЬ_ЧАС!I565,БАЛАНС_ДЕНЬ_ЧАС!I573,БАЛАНС_ДЕНЬ_ЧАС!I581,БАЛАНС_ДЕНЬ_ЧАС!I589,БАЛАНС_ДЕНЬ_ЧАС!I597,БАЛАНС_ДЕНЬ_ЧАС!I605,БАЛАНС_ДЕНЬ_ЧАС!I613,БАЛАНС_ДЕНЬ_ЧАС!I621,БАЛАНС_ДЕНЬ_ЧАС!I629,БАЛАНС_ДЕНЬ_ЧАС!I637,БАЛАНС_ДЕНЬ_ЧАС!I645,БАЛАНС_ДЕНЬ_ЧАС!I653,БАЛАНС_ДЕНЬ_ЧАС!I661,БАЛАНС_ДЕНЬ_ЧАС!I669,БАЛАНС_ДЕНЬ_ЧАС!I677,БАЛАНС_ДЕНЬ_ЧАС!I685,БАЛАНС_ДЕНЬ_ЧАС!I693,БАЛАНС_ДЕНЬ_ЧАС!I701,БАЛАНС_ДЕНЬ_ЧАС!I709,БАЛАНС_ДЕНЬ_ЧАС!I717,БАЛАНС_ДЕНЬ_ЧАС!I725,БАЛАНС_ДЕНЬ_ЧАС!I733,БАЛАНС_ДЕНЬ_ЧАС!I741,БАЛАНС_ДЕНЬ_ЧАС!I749,БАЛАНС_ДЕНЬ_ЧАС!I757,БАЛАНС_ДЕНЬ_ЧАС!I765,БАЛАНС_ДЕНЬ_ЧАС!I773,БАЛАНС_ДЕНЬ_ЧАС!I781,БАЛАНС_ДЕНЬ_ЧАС!I789,БАЛАНС_ДЕНЬ_ЧАС!I797,БАЛАНС_ДЕНЬ_ЧАС!I805,БАЛАНС_ДЕНЬ_ЧАС!I813,БАЛАНС_ДЕНЬ_ЧАС!I821,БАЛАНС_ДЕНЬ_ЧАС!I829,БАЛАНС_ДЕНЬ_ЧАС!I837,БАЛАНС_ДЕНЬ_ЧАС!I845)</f>
        <v>16</v>
      </c>
      <c r="M27" s="12" t="n">
        <f aca="false">MAX(БАЛАНС_ДЕНЬ_ЧАС!J13,БАЛАНС_ДЕНЬ_ЧАС!J21,БАЛАНС_ДЕНЬ_ЧАС!J29,БАЛАНС_ДЕНЬ_ЧАС!J37,БАЛАНС_ДЕНЬ_ЧАС!J45,БАЛАНС_ДЕНЬ_ЧАС!J53,БАЛАНС_ДЕНЬ_ЧАС!J61,БАЛАНС_ДЕНЬ_ЧАС!J69,БАЛАНС_ДЕНЬ_ЧАС!J77,БАЛАНС_ДЕНЬ_ЧАС!J85,БАЛАНС_ДЕНЬ_ЧАС!J93,БАЛАНС_ДЕНЬ_ЧАС!J101,БАЛАНС_ДЕНЬ_ЧАС!J109,БАЛАНС_ДЕНЬ_ЧАС!J117,БАЛАНС_ДЕНЬ_ЧАС!J125,БАЛАНС_ДЕНЬ_ЧАС!J133,БАЛАНС_ДЕНЬ_ЧАС!J141,БАЛАНС_ДЕНЬ_ЧАС!J149,БАЛАНС_ДЕНЬ_ЧАС!J157,БАЛАНС_ДЕНЬ_ЧАС!J165,БАЛАНС_ДЕНЬ_ЧАС!J173,БАЛАНС_ДЕНЬ_ЧАС!J181,БАЛАНС_ДЕНЬ_ЧАС!J189,БАЛАНС_ДЕНЬ_ЧАС!J197,БАЛАНС_ДЕНЬ_ЧАС!J205,БАЛАНС_ДЕНЬ_ЧАС!J213,БАЛАНС_ДЕНЬ_ЧАС!J221,БАЛАНС_ДЕНЬ_ЧАС!J229,БАЛАНС_ДЕНЬ_ЧАС!J237,БАЛАНС_ДЕНЬ_ЧАС!J245,БАЛАНС_ДЕНЬ_ЧАС!J253,БАЛАНС_ДЕНЬ_ЧАС!J261,БАЛАНС_ДЕНЬ_ЧАС!J269,БАЛАНС_ДЕНЬ_ЧАС!J277,БАЛАНС_ДЕНЬ_ЧАС!J285,БАЛАНС_ДЕНЬ_ЧАС!J293,БАЛАНС_ДЕНЬ_ЧАС!J301,БАЛАНС_ДЕНЬ_ЧАС!J309,БАЛАНС_ДЕНЬ_ЧАС!J317,БАЛАНС_ДЕНЬ_ЧАС!J325,БАЛАНС_ДЕНЬ_ЧАС!J333,БАЛАНС_ДЕНЬ_ЧАС!J341,БАЛАНС_ДЕНЬ_ЧАС!J349,БАЛАНС_ДЕНЬ_ЧАС!J357,БАЛАНС_ДЕНЬ_ЧАС!J365,БАЛАНС_ДЕНЬ_ЧАС!J373,БАЛАНС_ДЕНЬ_ЧАС!J381,БАЛАНС_ДЕНЬ_ЧАС!J389,БАЛАНС_ДЕНЬ_ЧАС!J397,БАЛАНС_ДЕНЬ_ЧАС!J405,БАЛАНС_ДЕНЬ_ЧАС!J413,БАЛАНС_ДЕНЬ_ЧАС!J421,БАЛАНС_ДЕНЬ_ЧАС!J429,БАЛАНС_ДЕНЬ_ЧАС!J437,БАЛАНС_ДЕНЬ_ЧАС!J445,БАЛАНС_ДЕНЬ_ЧАС!J453,БАЛАНС_ДЕНЬ_ЧАС!J461,БАЛАНС_ДЕНЬ_ЧАС!J469,БАЛАНС_ДЕНЬ_ЧАС!J477,БАЛАНС_ДЕНЬ_ЧАС!J485,БАЛАНС_ДЕНЬ_ЧАС!J493,БАЛАНС_ДЕНЬ_ЧАС!J501,БАЛАНС_ДЕНЬ_ЧАС!J509,БАЛАНС_ДЕНЬ_ЧАС!J517,БАЛАНС_ДЕНЬ_ЧАС!J525,БАЛАНС_ДЕНЬ_ЧАС!J533,БАЛАНС_ДЕНЬ_ЧАС!J541,БАЛАНС_ДЕНЬ_ЧАС!J549,БАЛАНС_ДЕНЬ_ЧАС!J557,БАЛАНС_ДЕНЬ_ЧАС!J565,БАЛАНС_ДЕНЬ_ЧАС!J573,БАЛАНС_ДЕНЬ_ЧАС!J581,БАЛАНС_ДЕНЬ_ЧАС!J589,БАЛАНС_ДЕНЬ_ЧАС!J597,БАЛАНС_ДЕНЬ_ЧАС!J605,БАЛАНС_ДЕНЬ_ЧАС!J613,БАЛАНС_ДЕНЬ_ЧАС!J621,БАЛАНС_ДЕНЬ_ЧАС!J629,БАЛАНС_ДЕНЬ_ЧАС!J637,БАЛАНС_ДЕНЬ_ЧАС!J645,БАЛАНС_ДЕНЬ_ЧАС!J653,БАЛАНС_ДЕНЬ_ЧАС!J661,БАЛАНС_ДЕНЬ_ЧАС!J669,БАЛАНС_ДЕНЬ_ЧАС!J677,БАЛАНС_ДЕНЬ_ЧАС!J685,БАЛАНС_ДЕНЬ_ЧАС!J693,БАЛАНС_ДЕНЬ_ЧАС!J701,БАЛАНС_ДЕНЬ_ЧАС!J709,БАЛАНС_ДЕНЬ_ЧАС!J717,БАЛАНС_ДЕНЬ_ЧАС!J725,БАЛАНС_ДЕНЬ_ЧАС!J733,БАЛАНС_ДЕНЬ_ЧАС!J741,БАЛАНС_ДЕНЬ_ЧАС!J749,БАЛАНС_ДЕНЬ_ЧАС!J757,БАЛАНС_ДЕНЬ_ЧАС!J765,БАЛАНС_ДЕНЬ_ЧАС!J773,БАЛАНС_ДЕНЬ_ЧАС!J781,БАЛАНС_ДЕНЬ_ЧАС!J789,БАЛАНС_ДЕНЬ_ЧАС!J797,БАЛАНС_ДЕНЬ_ЧАС!J805,БАЛАНС_ДЕНЬ_ЧАС!J813,БАЛАНС_ДЕНЬ_ЧАС!J821,БАЛАНС_ДЕНЬ_ЧАС!J829,БАЛАНС_ДЕНЬ_ЧАС!J837,БАЛАНС_ДЕНЬ_ЧАС!J845)</f>
        <v>16</v>
      </c>
      <c r="N27" s="12" t="n">
        <f aca="false">MAX(БАЛАНС_ДЕНЬ_ЧАС!K13,БАЛАНС_ДЕНЬ_ЧАС!K21,БАЛАНС_ДЕНЬ_ЧАС!K29,БАЛАНС_ДЕНЬ_ЧАС!K37,БАЛАНС_ДЕНЬ_ЧАС!K45,БАЛАНС_ДЕНЬ_ЧАС!K53,БАЛАНС_ДЕНЬ_ЧАС!K61,БАЛАНС_ДЕНЬ_ЧАС!K69,БАЛАНС_ДЕНЬ_ЧАС!K77,БАЛАНС_ДЕНЬ_ЧАС!K85,БАЛАНС_ДЕНЬ_ЧАС!K93,БАЛАНС_ДЕНЬ_ЧАС!K101,БАЛАНС_ДЕНЬ_ЧАС!K109,БАЛАНС_ДЕНЬ_ЧАС!K117,БАЛАНС_ДЕНЬ_ЧАС!K125,БАЛАНС_ДЕНЬ_ЧАС!K133,БАЛАНС_ДЕНЬ_ЧАС!K141,БАЛАНС_ДЕНЬ_ЧАС!K149,БАЛАНС_ДЕНЬ_ЧАС!K157,БАЛАНС_ДЕНЬ_ЧАС!K165,БАЛАНС_ДЕНЬ_ЧАС!K173,БАЛАНС_ДЕНЬ_ЧАС!K181,БАЛАНС_ДЕНЬ_ЧАС!K189,БАЛАНС_ДЕНЬ_ЧАС!K197,БАЛАНС_ДЕНЬ_ЧАС!K205,БАЛАНС_ДЕНЬ_ЧАС!K213,БАЛАНС_ДЕНЬ_ЧАС!K221,БАЛАНС_ДЕНЬ_ЧАС!K229,БАЛАНС_ДЕНЬ_ЧАС!K237,БАЛАНС_ДЕНЬ_ЧАС!K245,БАЛАНС_ДЕНЬ_ЧАС!K253,БАЛАНС_ДЕНЬ_ЧАС!K261,БАЛАНС_ДЕНЬ_ЧАС!K269,БАЛАНС_ДЕНЬ_ЧАС!K277,БАЛАНС_ДЕНЬ_ЧАС!K285,БАЛАНС_ДЕНЬ_ЧАС!K293,БАЛАНС_ДЕНЬ_ЧАС!K301,БАЛАНС_ДЕНЬ_ЧАС!K309,БАЛАНС_ДЕНЬ_ЧАС!K317,БАЛАНС_ДЕНЬ_ЧАС!K325,БАЛАНС_ДЕНЬ_ЧАС!K333,БАЛАНС_ДЕНЬ_ЧАС!K341,БАЛАНС_ДЕНЬ_ЧАС!K349,БАЛАНС_ДЕНЬ_ЧАС!K357,БАЛАНС_ДЕНЬ_ЧАС!K365,БАЛАНС_ДЕНЬ_ЧАС!K373,БАЛАНС_ДЕНЬ_ЧАС!K381,БАЛАНС_ДЕНЬ_ЧАС!K389,БАЛАНС_ДЕНЬ_ЧАС!K397,БАЛАНС_ДЕНЬ_ЧАС!K405,БАЛАНС_ДЕНЬ_ЧАС!K413,БАЛАНС_ДЕНЬ_ЧАС!K421,БАЛАНС_ДЕНЬ_ЧАС!K429,БАЛАНС_ДЕНЬ_ЧАС!K437,БАЛАНС_ДЕНЬ_ЧАС!K445,БАЛАНС_ДЕНЬ_ЧАС!K453,БАЛАНС_ДЕНЬ_ЧАС!K461,БАЛАНС_ДЕНЬ_ЧАС!K469,БАЛАНС_ДЕНЬ_ЧАС!K477,БАЛАНС_ДЕНЬ_ЧАС!K485,БАЛАНС_ДЕНЬ_ЧАС!K493,БАЛАНС_ДЕНЬ_ЧАС!K501,БАЛАНС_ДЕНЬ_ЧАС!K509,БАЛАНС_ДЕНЬ_ЧАС!K517,БАЛАНС_ДЕНЬ_ЧАС!K525,БАЛАНС_ДЕНЬ_ЧАС!K533,БАЛАНС_ДЕНЬ_ЧАС!K541,БАЛАНС_ДЕНЬ_ЧАС!K549,БАЛАНС_ДЕНЬ_ЧАС!K557,БАЛАНС_ДЕНЬ_ЧАС!K565,БАЛАНС_ДЕНЬ_ЧАС!K573,БАЛАНС_ДЕНЬ_ЧАС!K581,БАЛАНС_ДЕНЬ_ЧАС!K589,БАЛАНС_ДЕНЬ_ЧАС!K597,БАЛАНС_ДЕНЬ_ЧАС!K605,БАЛАНС_ДЕНЬ_ЧАС!K613,БАЛАНС_ДЕНЬ_ЧАС!K621,БАЛАНС_ДЕНЬ_ЧАС!K629,БАЛАНС_ДЕНЬ_ЧАС!K637,БАЛАНС_ДЕНЬ_ЧАС!K645,БАЛАНС_ДЕНЬ_ЧАС!K653,БАЛАНС_ДЕНЬ_ЧАС!K661,БАЛАНС_ДЕНЬ_ЧАС!K669,БАЛАНС_ДЕНЬ_ЧАС!K677,БАЛАНС_ДЕНЬ_ЧАС!K685,БАЛАНС_ДЕНЬ_ЧАС!K693,БАЛАНС_ДЕНЬ_ЧАС!K701,БАЛАНС_ДЕНЬ_ЧАС!K709,БАЛАНС_ДЕНЬ_ЧАС!K717,БАЛАНС_ДЕНЬ_ЧАС!K725,БАЛАНС_ДЕНЬ_ЧАС!K733,БАЛАНС_ДЕНЬ_ЧАС!K741,БАЛАНС_ДЕНЬ_ЧАС!K749,БАЛАНС_ДЕНЬ_ЧАС!K757,БАЛАНС_ДЕНЬ_ЧАС!K765,БАЛАНС_ДЕНЬ_ЧАС!K773,БАЛАНС_ДЕНЬ_ЧАС!K781,БАЛАНС_ДЕНЬ_ЧАС!K789,БАЛАНС_ДЕНЬ_ЧАС!K797,БАЛАНС_ДЕНЬ_ЧАС!K805,БАЛАНС_ДЕНЬ_ЧАС!K813,БАЛАНС_ДЕНЬ_ЧАС!K821,БАЛАНС_ДЕНЬ_ЧАС!K829,БАЛАНС_ДЕНЬ_ЧАС!K837,БАЛАНС_ДЕНЬ_ЧАС!K845)</f>
        <v>0</v>
      </c>
      <c r="O27" s="11" t="str">
        <f aca="false">IF(N27&gt;0,"BLOCKED","PASS")</f>
        <v>PASS</v>
      </c>
      <c r="P27" s="11" t="s">
        <v>145</v>
      </c>
    </row>
    <row r="28" customFormat="false" ht="15" hidden="false" customHeight="false" outlineLevel="0" collapsed="false">
      <c r="A28" s="11" t="n">
        <v>18</v>
      </c>
      <c r="B28" s="11" t="s">
        <v>172</v>
      </c>
      <c r="C28" s="11" t="s">
        <v>173</v>
      </c>
      <c r="D28" s="11" t="s">
        <v>83</v>
      </c>
      <c r="E28" s="12" t="n">
        <v>400</v>
      </c>
      <c r="F28" s="12" t="n">
        <f aca="false">SUMIF(СПРОС_ДЕНЬ_ЧАС_МЕНЮ!$C$11:$C$3265,A28,СПРОС_ДЕНЬ_ЧАС_МЕНЮ!$I$11:$I$3265)</f>
        <v>112.53</v>
      </c>
      <c r="G28" s="12" t="n">
        <f aca="false">MAX(СПРОС_ДЕНЬ_ЧАС_МЕНЮ!I28,СПРОС_ДЕНЬ_ЧАС_МЕНЮ!I59,СПРОС_ДЕНЬ_ЧАС_МЕНЮ!I90,СПРОС_ДЕНЬ_ЧАС_МЕНЮ!I121,СПРОС_ДЕНЬ_ЧАС_МЕНЮ!I152,СПРОС_ДЕНЬ_ЧАС_МЕНЮ!I183,СПРОС_ДЕНЬ_ЧАС_МЕНЮ!I214,СПРОС_ДЕНЬ_ЧАС_МЕНЮ!I245,СПРОС_ДЕНЬ_ЧАС_МЕНЮ!I276,СПРОС_ДЕНЬ_ЧАС_МЕНЮ!I307,СПРОС_ДЕНЬ_ЧАС_МЕНЮ!I338,СПРОС_ДЕНЬ_ЧАС_МЕНЮ!I369,СПРОС_ДЕНЬ_ЧАС_МЕНЮ!I400,СПРОС_ДЕНЬ_ЧАС_МЕНЮ!I431,СПРОС_ДЕНЬ_ЧАС_МЕНЮ!I462,СПРОС_ДЕНЬ_ЧАС_МЕНЮ!I493,СПРОС_ДЕНЬ_ЧАС_МЕНЮ!I524,СПРОС_ДЕНЬ_ЧАС_МЕНЮ!I555,СПРОС_ДЕНЬ_ЧАС_МЕНЮ!I586,СПРОС_ДЕНЬ_ЧАС_МЕНЮ!I617,СПРОС_ДЕНЬ_ЧАС_МЕНЮ!I648,СПРОС_ДЕНЬ_ЧАС_МЕНЮ!I679,СПРОС_ДЕНЬ_ЧАС_МЕНЮ!I710,СПРОС_ДЕНЬ_ЧАС_МЕНЮ!I741,СПРОС_ДЕНЬ_ЧАС_МЕНЮ!I772,СПРОС_ДЕНЬ_ЧАС_МЕНЮ!I803,СПРОС_ДЕНЬ_ЧАС_МЕНЮ!I834,СПРОС_ДЕНЬ_ЧАС_МЕНЮ!I865,СПРОС_ДЕНЬ_ЧАС_МЕНЮ!I896,СПРОС_ДЕНЬ_ЧАС_МЕНЮ!I927,СПРОС_ДЕНЬ_ЧАС_МЕНЮ!I958,СПРОС_ДЕНЬ_ЧАС_МЕНЮ!I989,СПРОС_ДЕНЬ_ЧАС_МЕНЮ!I1020,СПРОС_ДЕНЬ_ЧАС_МЕНЮ!I1051,СПРОС_ДЕНЬ_ЧАС_МЕНЮ!I1082,СПРОС_ДЕНЬ_ЧАС_МЕНЮ!I1113,СПРОС_ДЕНЬ_ЧАС_МЕНЮ!I1144,СПРОС_ДЕНЬ_ЧАС_МЕНЮ!I1175,СПРОС_ДЕНЬ_ЧАС_МЕНЮ!I1206,СПРОС_ДЕНЬ_ЧАС_МЕНЮ!I1237,СПРОС_ДЕНЬ_ЧАС_МЕНЮ!I1268,СПРОС_ДЕНЬ_ЧАС_МЕНЮ!I1299,СПРОС_ДЕНЬ_ЧАС_МЕНЮ!I1330,СПРОС_ДЕНЬ_ЧАС_МЕНЮ!I1361,СПРОС_ДЕНЬ_ЧАС_МЕНЮ!I1392,СПРОС_ДЕНЬ_ЧАС_МЕНЮ!I1423,СПРОС_ДЕНЬ_ЧАС_МЕНЮ!I1454,СПРОС_ДЕНЬ_ЧАС_МЕНЮ!I1485,СПРОС_ДЕНЬ_ЧАС_МЕНЮ!I1516,СПРОС_ДЕНЬ_ЧАС_МЕНЮ!I1547,СПРОС_ДЕНЬ_ЧАС_МЕНЮ!I1578,СПРОС_ДЕНЬ_ЧАС_МЕНЮ!I1609,СПРОС_ДЕНЬ_ЧАС_МЕНЮ!I1640,СПРОС_ДЕНЬ_ЧАС_МЕНЮ!I1671,СПРОС_ДЕНЬ_ЧАС_МЕНЮ!I1702,СПРОС_ДЕНЬ_ЧАС_МЕНЮ!I1733,СПРОС_ДЕНЬ_ЧАС_МЕНЮ!I1764,СПРОС_ДЕНЬ_ЧАС_МЕНЮ!I1795,СПРОС_ДЕНЬ_ЧАС_МЕНЮ!I1826,СПРОС_ДЕНЬ_ЧАС_МЕНЮ!I1857,СПРОС_ДЕНЬ_ЧАС_МЕНЮ!I1888,СПРОС_ДЕНЬ_ЧАС_МЕНЮ!I1919,СПРОС_ДЕНЬ_ЧАС_МЕНЮ!I1950,СПРОС_ДЕНЬ_ЧАС_МЕНЮ!I1981,СПРОС_ДЕНЬ_ЧАС_МЕНЮ!I2012,СПРОС_ДЕНЬ_ЧАС_МЕНЮ!I2043,СПРОС_ДЕНЬ_ЧАС_МЕНЮ!I2074,СПРОС_ДЕНЬ_ЧАС_МЕНЮ!I2105,СПРОС_ДЕНЬ_ЧАС_МЕНЮ!I2136,СПРОС_ДЕНЬ_ЧАС_МЕНЮ!I2167,СПРОС_ДЕНЬ_ЧАС_МЕНЮ!I2198,СПРОС_ДЕНЬ_ЧАС_МЕНЮ!I2229,СПРОС_ДЕНЬ_ЧАС_МЕНЮ!I2260,СПРОС_ДЕНЬ_ЧАС_МЕНЮ!I2291,СПРОС_ДЕНЬ_ЧАС_МЕНЮ!I2322,СПРОС_ДЕНЬ_ЧАС_МЕНЮ!I2353,СПРОС_ДЕНЬ_ЧАС_МЕНЮ!I2384,СПРОС_ДЕНЬ_ЧАС_МЕНЮ!I2415,СПРОС_ДЕНЬ_ЧАС_МЕНЮ!I2446,СПРОС_ДЕНЬ_ЧАС_МЕНЮ!I2477,СПРОС_ДЕНЬ_ЧАС_МЕНЮ!I2508,СПРОС_ДЕНЬ_ЧАС_МЕНЮ!I2539,СПРОС_ДЕНЬ_ЧАС_МЕНЮ!I2570,СПРОС_ДЕНЬ_ЧАС_МЕНЮ!I2601,СПРОС_ДЕНЬ_ЧАС_МЕНЮ!I2632,СПРОС_ДЕНЬ_ЧАС_МЕНЮ!I2663,СПРОС_ДЕНЬ_ЧАС_МЕНЮ!I2694,СПРОС_ДЕНЬ_ЧАС_МЕНЮ!I2725,СПРОС_ДЕНЬ_ЧАС_МЕНЮ!I2756,СПРОС_ДЕНЬ_ЧАС_МЕНЮ!I2787,СПРОС_ДЕНЬ_ЧАС_МЕНЮ!I2818,СПРОС_ДЕНЬ_ЧАС_МЕНЮ!I2849,СПРОС_ДЕНЬ_ЧАС_МЕНЮ!I2880,СПРОС_ДЕНЬ_ЧАС_МЕНЮ!I2911,СПРОС_ДЕНЬ_ЧАС_МЕНЮ!I2942,СПРОС_ДЕНЬ_ЧАС_МЕНЮ!I2973,СПРОС_ДЕНЬ_ЧАС_МЕНЮ!I3004,СПРОС_ДЕНЬ_ЧАС_МЕНЮ!I3035,СПРОС_ДЕНЬ_ЧАС_МЕНЮ!I3066,СПРОС_ДЕНЬ_ЧАС_МЕНЮ!I3097,СПРОС_ДЕНЬ_ЧАС_МЕНЮ!I3128,СПРОС_ДЕНЬ_ЧАС_МЕНЮ!I3159,СПРОС_ДЕНЬ_ЧАС_МЕНЮ!I3190,СПРОС_ДЕНЬ_ЧАС_МЕНЮ!I3221,СПРОС_ДЕНЬ_ЧАС_МЕНЮ!I3252)</f>
        <v>5.885</v>
      </c>
      <c r="H28" s="12" t="s">
        <v>111</v>
      </c>
      <c r="I28" s="12" t="s">
        <v>130</v>
      </c>
      <c r="J28" s="12" t="n">
        <f aca="false">MAX(БАЛАНС_ДЕНЬ_ЧАС!F14,БАЛАНС_ДЕНЬ_ЧАС!F22,БАЛАНС_ДЕНЬ_ЧАС!F30,БАЛАНС_ДЕНЬ_ЧАС!F38,БАЛАНС_ДЕНЬ_ЧАС!F46,БАЛАНС_ДЕНЬ_ЧАС!F54,БАЛАНС_ДЕНЬ_ЧАС!F62,БАЛАНС_ДЕНЬ_ЧАС!F70,БАЛАНС_ДЕНЬ_ЧАС!F78,БАЛАНС_ДЕНЬ_ЧАС!F86,БАЛАНС_ДЕНЬ_ЧАС!F94,БАЛАНС_ДЕНЬ_ЧАС!F102,БАЛАНС_ДЕНЬ_ЧАС!F110,БАЛАНС_ДЕНЬ_ЧАС!F118,БАЛАНС_ДЕНЬ_ЧАС!F126,БАЛАНС_ДЕНЬ_ЧАС!F134,БАЛАНС_ДЕНЬ_ЧАС!F142,БАЛАНС_ДЕНЬ_ЧАС!F150,БАЛАНС_ДЕНЬ_ЧАС!F158,БАЛАНС_ДЕНЬ_ЧАС!F166,БАЛАНС_ДЕНЬ_ЧАС!F174,БАЛАНС_ДЕНЬ_ЧАС!F182,БАЛАНС_ДЕНЬ_ЧАС!F190,БАЛАНС_ДЕНЬ_ЧАС!F198,БАЛАНС_ДЕНЬ_ЧАС!F206,БАЛАНС_ДЕНЬ_ЧАС!F214,БАЛАНС_ДЕНЬ_ЧАС!F222,БАЛАНС_ДЕНЬ_ЧАС!F230,БАЛАНС_ДЕНЬ_ЧАС!F238,БАЛАНС_ДЕНЬ_ЧАС!F246,БАЛАНС_ДЕНЬ_ЧАС!F254,БАЛАНС_ДЕНЬ_ЧАС!F262,БАЛАНС_ДЕНЬ_ЧАС!F270,БАЛАНС_ДЕНЬ_ЧАС!F278,БАЛАНС_ДЕНЬ_ЧАС!F286,БАЛАНС_ДЕНЬ_ЧАС!F294,БАЛАНС_ДЕНЬ_ЧАС!F302,БАЛАНС_ДЕНЬ_ЧАС!F310,БАЛАНС_ДЕНЬ_ЧАС!F318,БАЛАНС_ДЕНЬ_ЧАС!F326,БАЛАНС_ДЕНЬ_ЧАС!F334,БАЛАНС_ДЕНЬ_ЧАС!F342,БАЛАНС_ДЕНЬ_ЧАС!F350,БАЛАНС_ДЕНЬ_ЧАС!F358,БАЛАНС_ДЕНЬ_ЧАС!F366,БАЛАНС_ДЕНЬ_ЧАС!F374,БАЛАНС_ДЕНЬ_ЧАС!F382,БАЛАНС_ДЕНЬ_ЧАС!F390,БАЛАНС_ДЕНЬ_ЧАС!F398,БАЛАНС_ДЕНЬ_ЧАС!F406,БАЛАНС_ДЕНЬ_ЧАС!F414,БАЛАНС_ДЕНЬ_ЧАС!F422,БАЛАНС_ДЕНЬ_ЧАС!F430,БАЛАНС_ДЕНЬ_ЧАС!F438,БАЛАНС_ДЕНЬ_ЧАС!F446,БАЛАНС_ДЕНЬ_ЧАС!F454,БАЛАНС_ДЕНЬ_ЧАС!F462,БАЛАНС_ДЕНЬ_ЧАС!F470,БАЛАНС_ДЕНЬ_ЧАС!F478,БАЛАНС_ДЕНЬ_ЧАС!F486,БАЛАНС_ДЕНЬ_ЧАС!F494,БАЛАНС_ДЕНЬ_ЧАС!F502,БАЛАНС_ДЕНЬ_ЧАС!F510,БАЛАНС_ДЕНЬ_ЧАС!F518,БАЛАНС_ДЕНЬ_ЧАС!F526,БАЛАНС_ДЕНЬ_ЧАС!F534,БАЛАНС_ДЕНЬ_ЧАС!F542,БАЛАНС_ДЕНЬ_ЧАС!F550,БАЛАНС_ДЕНЬ_ЧАС!F558,БАЛАНС_ДЕНЬ_ЧАС!F566,БАЛАНС_ДЕНЬ_ЧАС!F574,БАЛАНС_ДЕНЬ_ЧАС!F582,БАЛАНС_ДЕНЬ_ЧАС!F590,БАЛАНС_ДЕНЬ_ЧАС!F598,БАЛАНС_ДЕНЬ_ЧАС!F606,БАЛАНС_ДЕНЬ_ЧАС!F614,БАЛАНС_ДЕНЬ_ЧАС!F622,БАЛАНС_ДЕНЬ_ЧАС!F630,БАЛАНС_ДЕНЬ_ЧАС!F638,БАЛАНС_ДЕНЬ_ЧАС!F646,БАЛАНС_ДЕНЬ_ЧАС!F654,БАЛАНС_ДЕНЬ_ЧАС!F662,БАЛАНС_ДЕНЬ_ЧАС!F670,БАЛАНС_ДЕНЬ_ЧАС!F678,БАЛАНС_ДЕНЬ_ЧАС!F686,БАЛАНС_ДЕНЬ_ЧАС!F694,БАЛАНС_ДЕНЬ_ЧАС!F702,БАЛАНС_ДЕНЬ_ЧАС!F710,БАЛАНС_ДЕНЬ_ЧАС!F718,БАЛАНС_ДЕНЬ_ЧАС!F726,БАЛАНС_ДЕНЬ_ЧАС!F734,БАЛАНС_ДЕНЬ_ЧАС!F742,БАЛАНС_ДЕНЬ_ЧАС!F750,БАЛАНС_ДЕНЬ_ЧАС!F758,БАЛАНС_ДЕНЬ_ЧАС!F766,БАЛАНС_ДЕНЬ_ЧАС!F774,БАЛАНС_ДЕНЬ_ЧАС!F782,БАЛАНС_ДЕНЬ_ЧАС!F790,БАЛАНС_ДЕНЬ_ЧАС!F798,БАЛАНС_ДЕНЬ_ЧАС!F806,БАЛАНС_ДЕНЬ_ЧАС!F814,БАЛАНС_ДЕНЬ_ЧАС!F822,БАЛАНС_ДЕНЬ_ЧАС!F830,БАЛАНС_ДЕНЬ_ЧАС!F838,БАЛАНС_ДЕНЬ_ЧАС!F846)</f>
        <v>21.9725</v>
      </c>
      <c r="K28" s="12" t="n">
        <f aca="false">ПАРАМЕТРЫ!D23</f>
        <v>21</v>
      </c>
      <c r="L28" s="12" t="n">
        <f aca="false">MAX(БАЛАНС_ДЕНЬ_ЧАС!I14,БАЛАНС_ДЕНЬ_ЧАС!I22,БАЛАНС_ДЕНЬ_ЧАС!I30,БАЛАНС_ДЕНЬ_ЧАС!I38,БАЛАНС_ДЕНЬ_ЧАС!I46,БАЛАНС_ДЕНЬ_ЧАС!I54,БАЛАНС_ДЕНЬ_ЧАС!I62,БАЛАНС_ДЕНЬ_ЧАС!I70,БАЛАНС_ДЕНЬ_ЧАС!I78,БАЛАНС_ДЕНЬ_ЧАС!I86,БАЛАНС_ДЕНЬ_ЧАС!I94,БАЛАНС_ДЕНЬ_ЧАС!I102,БАЛАНС_ДЕНЬ_ЧАС!I110,БАЛАНС_ДЕНЬ_ЧАС!I118,БАЛАНС_ДЕНЬ_ЧАС!I126,БАЛАНС_ДЕНЬ_ЧАС!I134,БАЛАНС_ДЕНЬ_ЧАС!I142,БАЛАНС_ДЕНЬ_ЧАС!I150,БАЛАНС_ДЕНЬ_ЧАС!I158,БАЛАНС_ДЕНЬ_ЧАС!I166,БАЛАНС_ДЕНЬ_ЧАС!I174,БАЛАНС_ДЕНЬ_ЧАС!I182,БАЛАНС_ДЕНЬ_ЧАС!I190,БАЛАНС_ДЕНЬ_ЧАС!I198,БАЛАНС_ДЕНЬ_ЧАС!I206,БАЛАНС_ДЕНЬ_ЧАС!I214,БАЛАНС_ДЕНЬ_ЧАС!I222,БАЛАНС_ДЕНЬ_ЧАС!I230,БАЛАНС_ДЕНЬ_ЧАС!I238,БАЛАНС_ДЕНЬ_ЧАС!I246,БАЛАНС_ДЕНЬ_ЧАС!I254,БАЛАНС_ДЕНЬ_ЧАС!I262,БАЛАНС_ДЕНЬ_ЧАС!I270,БАЛАНС_ДЕНЬ_ЧАС!I278,БАЛАНС_ДЕНЬ_ЧАС!I286,БАЛАНС_ДЕНЬ_ЧАС!I294,БАЛАНС_ДЕНЬ_ЧАС!I302,БАЛАНС_ДЕНЬ_ЧАС!I310,БАЛАНС_ДЕНЬ_ЧАС!I318,БАЛАНС_ДЕНЬ_ЧАС!I326,БАЛАНС_ДЕНЬ_ЧАС!I334,БАЛАНС_ДЕНЬ_ЧАС!I342,БАЛАНС_ДЕНЬ_ЧАС!I350,БАЛАНС_ДЕНЬ_ЧАС!I358,БАЛАНС_ДЕНЬ_ЧАС!I366,БАЛАНС_ДЕНЬ_ЧАС!I374,БАЛАНС_ДЕНЬ_ЧАС!I382,БАЛАНС_ДЕНЬ_ЧАС!I390,БАЛАНС_ДЕНЬ_ЧАС!I398,БАЛАНС_ДЕНЬ_ЧАС!I406,БАЛАНС_ДЕНЬ_ЧАС!I414,БАЛАНС_ДЕНЬ_ЧАС!I422,БАЛАНС_ДЕНЬ_ЧАС!I430,БАЛАНС_ДЕНЬ_ЧАС!I438,БАЛАНС_ДЕНЬ_ЧАС!I446,БАЛАНС_ДЕНЬ_ЧАС!I454,БАЛАНС_ДЕНЬ_ЧАС!I462,БАЛАНС_ДЕНЬ_ЧАС!I470,БАЛАНС_ДЕНЬ_ЧАС!I478,БАЛАНС_ДЕНЬ_ЧАС!I486,БАЛАНС_ДЕНЬ_ЧАС!I494,БАЛАНС_ДЕНЬ_ЧАС!I502,БАЛАНС_ДЕНЬ_ЧАС!I510,БАЛАНС_ДЕНЬ_ЧАС!I518,БАЛАНС_ДЕНЬ_ЧАС!I526,БАЛАНС_ДЕНЬ_ЧАС!I534,БАЛАНС_ДЕНЬ_ЧАС!I542,БАЛАНС_ДЕНЬ_ЧАС!I550,БАЛАНС_ДЕНЬ_ЧАС!I558,БАЛАНС_ДЕНЬ_ЧАС!I566,БАЛАНС_ДЕНЬ_ЧАС!I574,БАЛАНС_ДЕНЬ_ЧАС!I582,БАЛАНС_ДЕНЬ_ЧАС!I590,БАЛАНС_ДЕНЬ_ЧАС!I598,БАЛАНС_ДЕНЬ_ЧАС!I606,БАЛАНС_ДЕНЬ_ЧАС!I614,БАЛАНС_ДЕНЬ_ЧАС!I622,БАЛАНС_ДЕНЬ_ЧАС!I630,БАЛАНС_ДЕНЬ_ЧАС!I638,БАЛАНС_ДЕНЬ_ЧАС!I646,БАЛАНС_ДЕНЬ_ЧАС!I654,БАЛАНС_ДЕНЬ_ЧАС!I662,БАЛАНС_ДЕНЬ_ЧАС!I670,БАЛАНС_ДЕНЬ_ЧАС!I678,БАЛАНС_ДЕНЬ_ЧАС!I686,БАЛАНС_ДЕНЬ_ЧАС!I694,БАЛАНС_ДЕНЬ_ЧАС!I702,БАЛАНС_ДЕНЬ_ЧАС!I710,БАЛАНС_ДЕНЬ_ЧАС!I718,БАЛАНС_ДЕНЬ_ЧАС!I726,БАЛАНС_ДЕНЬ_ЧАС!I734,БАЛАНС_ДЕНЬ_ЧАС!I742,БАЛАНС_ДЕНЬ_ЧАС!I750,БАЛАНС_ДЕНЬ_ЧАС!I758,БАЛАНС_ДЕНЬ_ЧАС!I766,БАЛАНС_ДЕНЬ_ЧАС!I774,БАЛАНС_ДЕНЬ_ЧАС!I782,БАЛАНС_ДЕНЬ_ЧАС!I790,БАЛАНС_ДЕНЬ_ЧАС!I798,БАЛАНС_ДЕНЬ_ЧАС!I806,БАЛАНС_ДЕНЬ_ЧАС!I814,БАЛАНС_ДЕНЬ_ЧАС!I822,БАЛАНС_ДЕНЬ_ЧАС!I830,БАЛАНС_ДЕНЬ_ЧАС!I838,БАЛАНС_ДЕНЬ_ЧАС!I846)</f>
        <v>21</v>
      </c>
      <c r="M28" s="12" t="n">
        <f aca="false">MAX(БАЛАНС_ДЕНЬ_ЧАС!J14,БАЛАНС_ДЕНЬ_ЧАС!J22,БАЛАНС_ДЕНЬ_ЧАС!J30,БАЛАНС_ДЕНЬ_ЧАС!J38,БАЛАНС_ДЕНЬ_ЧАС!J46,БАЛАНС_ДЕНЬ_ЧАС!J54,БАЛАНС_ДЕНЬ_ЧАС!J62,БАЛАНС_ДЕНЬ_ЧАС!J70,БАЛАНС_ДЕНЬ_ЧАС!J78,БАЛАНС_ДЕНЬ_ЧАС!J86,БАЛАНС_ДЕНЬ_ЧАС!J94,БАЛАНС_ДЕНЬ_ЧАС!J102,БАЛАНС_ДЕНЬ_ЧАС!J110,БАЛАНС_ДЕНЬ_ЧАС!J118,БАЛАНС_ДЕНЬ_ЧАС!J126,БАЛАНС_ДЕНЬ_ЧАС!J134,БАЛАНС_ДЕНЬ_ЧАС!J142,БАЛАНС_ДЕНЬ_ЧАС!J150,БАЛАНС_ДЕНЬ_ЧАС!J158,БАЛАНС_ДЕНЬ_ЧАС!J166,БАЛАНС_ДЕНЬ_ЧАС!J174,БАЛАНС_ДЕНЬ_ЧАС!J182,БАЛАНС_ДЕНЬ_ЧАС!J190,БАЛАНС_ДЕНЬ_ЧАС!J198,БАЛАНС_ДЕНЬ_ЧАС!J206,БАЛАНС_ДЕНЬ_ЧАС!J214,БАЛАНС_ДЕНЬ_ЧАС!J222,БАЛАНС_ДЕНЬ_ЧАС!J230,БАЛАНС_ДЕНЬ_ЧАС!J238,БАЛАНС_ДЕНЬ_ЧАС!J246,БАЛАНС_ДЕНЬ_ЧАС!J254,БАЛАНС_ДЕНЬ_ЧАС!J262,БАЛАНС_ДЕНЬ_ЧАС!J270,БАЛАНС_ДЕНЬ_ЧАС!J278,БАЛАНС_ДЕНЬ_ЧАС!J286,БАЛАНС_ДЕНЬ_ЧАС!J294,БАЛАНС_ДЕНЬ_ЧАС!J302,БАЛАНС_ДЕНЬ_ЧАС!J310,БАЛАНС_ДЕНЬ_ЧАС!J318,БАЛАНС_ДЕНЬ_ЧАС!J326,БАЛАНС_ДЕНЬ_ЧАС!J334,БАЛАНС_ДЕНЬ_ЧАС!J342,БАЛАНС_ДЕНЬ_ЧАС!J350,БАЛАНС_ДЕНЬ_ЧАС!J358,БАЛАНС_ДЕНЬ_ЧАС!J366,БАЛАНС_ДЕНЬ_ЧАС!J374,БАЛАНС_ДЕНЬ_ЧАС!J382,БАЛАНС_ДЕНЬ_ЧАС!J390,БАЛАНС_ДЕНЬ_ЧАС!J398,БАЛАНС_ДЕНЬ_ЧАС!J406,БАЛАНС_ДЕНЬ_ЧАС!J414,БАЛАНС_ДЕНЬ_ЧАС!J422,БАЛАНС_ДЕНЬ_ЧАС!J430,БАЛАНС_ДЕНЬ_ЧАС!J438,БАЛАНС_ДЕНЬ_ЧАС!J446,БАЛАНС_ДЕНЬ_ЧАС!J454,БАЛАНС_ДЕНЬ_ЧАС!J462,БАЛАНС_ДЕНЬ_ЧАС!J470,БАЛАНС_ДЕНЬ_ЧАС!J478,БАЛАНС_ДЕНЬ_ЧАС!J486,БАЛАНС_ДЕНЬ_ЧАС!J494,БАЛАНС_ДЕНЬ_ЧАС!J502,БАЛАНС_ДЕНЬ_ЧАС!J510,БАЛАНС_ДЕНЬ_ЧАС!J518,БАЛАНС_ДЕНЬ_ЧАС!J526,БАЛАНС_ДЕНЬ_ЧАС!J534,БАЛАНС_ДЕНЬ_ЧАС!J542,БАЛАНС_ДЕНЬ_ЧАС!J550,БАЛАНС_ДЕНЬ_ЧАС!J558,БАЛАНС_ДЕНЬ_ЧАС!J566,БАЛАНС_ДЕНЬ_ЧАС!J574,БАЛАНС_ДЕНЬ_ЧАС!J582,БАЛАНС_ДЕНЬ_ЧАС!J590,БАЛАНС_ДЕНЬ_ЧАС!J598,БАЛАНС_ДЕНЬ_ЧАС!J606,БАЛАНС_ДЕНЬ_ЧАС!J614,БАЛАНС_ДЕНЬ_ЧАС!J622,БАЛАНС_ДЕНЬ_ЧАС!J630,БАЛАНС_ДЕНЬ_ЧАС!J638,БАЛАНС_ДЕНЬ_ЧАС!J646,БАЛАНС_ДЕНЬ_ЧАС!J654,БАЛАНС_ДЕНЬ_ЧАС!J662,БАЛАНС_ДЕНЬ_ЧАС!J670,БАЛАНС_ДЕНЬ_ЧАС!J678,БАЛАНС_ДЕНЬ_ЧАС!J686,БАЛАНС_ДЕНЬ_ЧАС!J694,БАЛАНС_ДЕНЬ_ЧАС!J702,БАЛАНС_ДЕНЬ_ЧАС!J710,БАЛАНС_ДЕНЬ_ЧАС!J718,БАЛАНС_ДЕНЬ_ЧАС!J726,БАЛАНС_ДЕНЬ_ЧАС!J734,БАЛАНС_ДЕНЬ_ЧАС!J742,БАЛАНС_ДЕНЬ_ЧАС!J750,БАЛАНС_ДЕНЬ_ЧАС!J758,БАЛАНС_ДЕНЬ_ЧАС!J766,БАЛАНС_ДЕНЬ_ЧАС!J774,БАЛАНС_ДЕНЬ_ЧАС!J782,БАЛАНС_ДЕНЬ_ЧАС!J790,БАЛАНС_ДЕНЬ_ЧАС!J798,БАЛАНС_ДЕНЬ_ЧАС!J806,БАЛАНС_ДЕНЬ_ЧАС!J814,БАЛАНС_ДЕНЬ_ЧАС!J822,БАЛАНС_ДЕНЬ_ЧАС!J830,БАЛАНС_ДЕНЬ_ЧАС!J838,БАЛАНС_ДЕНЬ_ЧАС!J846)</f>
        <v>21</v>
      </c>
      <c r="N28" s="12" t="n">
        <f aca="false">MAX(БАЛАНС_ДЕНЬ_ЧАС!K14,БАЛАНС_ДЕНЬ_ЧАС!K22,БАЛАНС_ДЕНЬ_ЧАС!K30,БАЛАНС_ДЕНЬ_ЧАС!K38,БАЛАНС_ДЕНЬ_ЧАС!K46,БАЛАНС_ДЕНЬ_ЧАС!K54,БАЛАНС_ДЕНЬ_ЧАС!K62,БАЛАНС_ДЕНЬ_ЧАС!K70,БАЛАНС_ДЕНЬ_ЧАС!K78,БАЛАНС_ДЕНЬ_ЧАС!K86,БАЛАНС_ДЕНЬ_ЧАС!K94,БАЛАНС_ДЕНЬ_ЧАС!K102,БАЛАНС_ДЕНЬ_ЧАС!K110,БАЛАНС_ДЕНЬ_ЧАС!K118,БАЛАНС_ДЕНЬ_ЧАС!K126,БАЛАНС_ДЕНЬ_ЧАС!K134,БАЛАНС_ДЕНЬ_ЧАС!K142,БАЛАНС_ДЕНЬ_ЧАС!K150,БАЛАНС_ДЕНЬ_ЧАС!K158,БАЛАНС_ДЕНЬ_ЧАС!K166,БАЛАНС_ДЕНЬ_ЧАС!K174,БАЛАНС_ДЕНЬ_ЧАС!K182,БАЛАНС_ДЕНЬ_ЧАС!K190,БАЛАНС_ДЕНЬ_ЧАС!K198,БАЛАНС_ДЕНЬ_ЧАС!K206,БАЛАНС_ДЕНЬ_ЧАС!K214,БАЛАНС_ДЕНЬ_ЧАС!K222,БАЛАНС_ДЕНЬ_ЧАС!K230,БАЛАНС_ДЕНЬ_ЧАС!K238,БАЛАНС_ДЕНЬ_ЧАС!K246,БАЛАНС_ДЕНЬ_ЧАС!K254,БАЛАНС_ДЕНЬ_ЧАС!K262,БАЛАНС_ДЕНЬ_ЧАС!K270,БАЛАНС_ДЕНЬ_ЧАС!K278,БАЛАНС_ДЕНЬ_ЧАС!K286,БАЛАНС_ДЕНЬ_ЧАС!K294,БАЛАНС_ДЕНЬ_ЧАС!K302,БАЛАНС_ДЕНЬ_ЧАС!K310,БАЛАНС_ДЕНЬ_ЧАС!K318,БАЛАНС_ДЕНЬ_ЧАС!K326,БАЛАНС_ДЕНЬ_ЧАС!K334,БАЛАНС_ДЕНЬ_ЧАС!K342,БАЛАНС_ДЕНЬ_ЧАС!K350,БАЛАНС_ДЕНЬ_ЧАС!K358,БАЛАНС_ДЕНЬ_ЧАС!K366,БАЛАНС_ДЕНЬ_ЧАС!K374,БАЛАНС_ДЕНЬ_ЧАС!K382,БАЛАНС_ДЕНЬ_ЧАС!K390,БАЛАНС_ДЕНЬ_ЧАС!K398,БАЛАНС_ДЕНЬ_ЧАС!K406,БАЛАНС_ДЕНЬ_ЧАС!K414,БАЛАНС_ДЕНЬ_ЧАС!K422,БАЛАНС_ДЕНЬ_ЧАС!K430,БАЛАНС_ДЕНЬ_ЧАС!K438,БАЛАНС_ДЕНЬ_ЧАС!K446,БАЛАНС_ДЕНЬ_ЧАС!K454,БАЛАНС_ДЕНЬ_ЧАС!K462,БАЛАНС_ДЕНЬ_ЧАС!K470,БАЛАНС_ДЕНЬ_ЧАС!K478,БАЛАНС_ДЕНЬ_ЧАС!K486,БАЛАНС_ДЕНЬ_ЧАС!K494,БАЛАНС_ДЕНЬ_ЧАС!K502,БАЛАНС_ДЕНЬ_ЧАС!K510,БАЛАНС_ДЕНЬ_ЧАС!K518,БАЛАНС_ДЕНЬ_ЧАС!K526,БАЛАНС_ДЕНЬ_ЧАС!K534,БАЛАНС_ДЕНЬ_ЧАС!K542,БАЛАНС_ДЕНЬ_ЧАС!K550,БАЛАНС_ДЕНЬ_ЧАС!K558,БАЛАНС_ДЕНЬ_ЧАС!K566,БАЛАНС_ДЕНЬ_ЧАС!K574,БАЛАНС_ДЕНЬ_ЧАС!K582,БАЛАНС_ДЕНЬ_ЧАС!K590,БАЛАНС_ДЕНЬ_ЧАС!K598,БАЛАНС_ДЕНЬ_ЧАС!K606,БАЛАНС_ДЕНЬ_ЧАС!K614,БАЛАНС_ДЕНЬ_ЧАС!K622,БАЛАНС_ДЕНЬ_ЧАС!K630,БАЛАНС_ДЕНЬ_ЧАС!K638,БАЛАНС_ДЕНЬ_ЧАС!K646,БАЛАНС_ДЕНЬ_ЧАС!K654,БАЛАНС_ДЕНЬ_ЧАС!K662,БАЛАНС_ДЕНЬ_ЧАС!K670,БАЛАНС_ДЕНЬ_ЧАС!K678,БАЛАНС_ДЕНЬ_ЧАС!K686,БАЛАНС_ДЕНЬ_ЧАС!K694,БАЛАНС_ДЕНЬ_ЧАС!K702,БАЛАНС_ДЕНЬ_ЧАС!K710,БАЛАНС_ДЕНЬ_ЧАС!K718,БАЛАНС_ДЕНЬ_ЧАС!K726,БАЛАНС_ДЕНЬ_ЧАС!K734,БАЛАНС_ДЕНЬ_ЧАС!K742,БАЛАНС_ДЕНЬ_ЧАС!K750,БАЛАНС_ДЕНЬ_ЧАС!K758,БАЛАНС_ДЕНЬ_ЧАС!K766,БАЛАНС_ДЕНЬ_ЧАС!K774,БАЛАНС_ДЕНЬ_ЧАС!K782,БАЛАНС_ДЕНЬ_ЧАС!K790,БАЛАНС_ДЕНЬ_ЧАС!K798,БАЛАНС_ДЕНЬ_ЧАС!K806,БАЛАНС_ДЕНЬ_ЧАС!K814,БАЛАНС_ДЕНЬ_ЧАС!K822,БАЛАНС_ДЕНЬ_ЧАС!K830,БАЛАНС_ДЕНЬ_ЧАС!K838,БАЛАНС_ДЕНЬ_ЧАС!K846)</f>
        <v>0.9725</v>
      </c>
      <c r="O28" s="11" t="str">
        <f aca="false">IF(N28&gt;0,"BLOCKED","PASS")</f>
        <v>BLOCKED</v>
      </c>
      <c r="P28" s="11" t="s">
        <v>145</v>
      </c>
    </row>
    <row r="29" customFormat="false" ht="23.85" hidden="false" customHeight="false" outlineLevel="0" collapsed="false">
      <c r="A29" s="11" t="n">
        <v>19</v>
      </c>
      <c r="B29" s="11" t="s">
        <v>174</v>
      </c>
      <c r="C29" s="11" t="s">
        <v>175</v>
      </c>
      <c r="D29" s="11" t="s">
        <v>83</v>
      </c>
      <c r="E29" s="12" t="n">
        <v>300</v>
      </c>
      <c r="F29" s="12" t="n">
        <f aca="false">SUMIF(СПРОС_ДЕНЬ_ЧАС_МЕНЮ!$C$11:$C$3265,A29,СПРОС_ДЕНЬ_ЧАС_МЕНЮ!$I$11:$I$3265)</f>
        <v>150.63125</v>
      </c>
      <c r="G29" s="12" t="n">
        <f aca="false">MAX(СПРОС_ДЕНЬ_ЧАС_МЕНЮ!I29,СПРОС_ДЕНЬ_ЧАС_МЕНЮ!I60,СПРОС_ДЕНЬ_ЧАС_МЕНЮ!I91,СПРОС_ДЕНЬ_ЧАС_МЕНЮ!I122,СПРОС_ДЕНЬ_ЧАС_МЕНЮ!I153,СПРОС_ДЕНЬ_ЧАС_МЕНЮ!I184,СПРОС_ДЕНЬ_ЧАС_МЕНЮ!I215,СПРОС_ДЕНЬ_ЧАС_МЕНЮ!I246,СПРОС_ДЕНЬ_ЧАС_МЕНЮ!I277,СПРОС_ДЕНЬ_ЧАС_МЕНЮ!I308,СПРОС_ДЕНЬ_ЧАС_МЕНЮ!I339,СПРОС_ДЕНЬ_ЧАС_МЕНЮ!I370,СПРОС_ДЕНЬ_ЧАС_МЕНЮ!I401,СПРОС_ДЕНЬ_ЧАС_МЕНЮ!I432,СПРОС_ДЕНЬ_ЧАС_МЕНЮ!I463,СПРОС_ДЕНЬ_ЧАС_МЕНЮ!I494,СПРОС_ДЕНЬ_ЧАС_МЕНЮ!I525,СПРОС_ДЕНЬ_ЧАС_МЕНЮ!I556,СПРОС_ДЕНЬ_ЧАС_МЕНЮ!I587,СПРОС_ДЕНЬ_ЧАС_МЕНЮ!I618,СПРОС_ДЕНЬ_ЧАС_МЕНЮ!I649,СПРОС_ДЕНЬ_ЧАС_МЕНЮ!I680,СПРОС_ДЕНЬ_ЧАС_МЕНЮ!I711,СПРОС_ДЕНЬ_ЧАС_МЕНЮ!I742,СПРОС_ДЕНЬ_ЧАС_МЕНЮ!I773,СПРОС_ДЕНЬ_ЧАС_МЕНЮ!I804,СПРОС_ДЕНЬ_ЧАС_МЕНЮ!I835,СПРОС_ДЕНЬ_ЧАС_МЕНЮ!I866,СПРОС_ДЕНЬ_ЧАС_МЕНЮ!I897,СПРОС_ДЕНЬ_ЧАС_МЕНЮ!I928,СПРОС_ДЕНЬ_ЧАС_МЕНЮ!I959,СПРОС_ДЕНЬ_ЧАС_МЕНЮ!I990,СПРОС_ДЕНЬ_ЧАС_МЕНЮ!I1021,СПРОС_ДЕНЬ_ЧАС_МЕНЮ!I1052,СПРОС_ДЕНЬ_ЧАС_МЕНЮ!I1083,СПРОС_ДЕНЬ_ЧАС_МЕНЮ!I1114,СПРОС_ДЕНЬ_ЧАС_МЕНЮ!I1145,СПРОС_ДЕНЬ_ЧАС_МЕНЮ!I1176,СПРОС_ДЕНЬ_ЧАС_МЕНЮ!I1207,СПРОС_ДЕНЬ_ЧАС_МЕНЮ!I1238,СПРОС_ДЕНЬ_ЧАС_МЕНЮ!I1269,СПРОС_ДЕНЬ_ЧАС_МЕНЮ!I1300,СПРОС_ДЕНЬ_ЧАС_МЕНЮ!I1331,СПРОС_ДЕНЬ_ЧАС_МЕНЮ!I1362,СПРОС_ДЕНЬ_ЧАС_МЕНЮ!I1393,СПРОС_ДЕНЬ_ЧАС_МЕНЮ!I1424,СПРОС_ДЕНЬ_ЧАС_МЕНЮ!I1455,СПРОС_ДЕНЬ_ЧАС_МЕНЮ!I1486,СПРОС_ДЕНЬ_ЧАС_МЕНЮ!I1517,СПРОС_ДЕНЬ_ЧАС_МЕНЮ!I1548,СПРОС_ДЕНЬ_ЧАС_МЕНЮ!I1579,СПРОС_ДЕНЬ_ЧАС_МЕНЮ!I1610,СПРОС_ДЕНЬ_ЧАС_МЕНЮ!I1641,СПРОС_ДЕНЬ_ЧАС_МЕНЮ!I1672,СПРОС_ДЕНЬ_ЧАС_МЕНЮ!I1703,СПРОС_ДЕНЬ_ЧАС_МЕНЮ!I1734,СПРОС_ДЕНЬ_ЧАС_МЕНЮ!I1765,СПРОС_ДЕНЬ_ЧАС_МЕНЮ!I1796,СПРОС_ДЕНЬ_ЧАС_МЕНЮ!I1827,СПРОС_ДЕНЬ_ЧАС_МЕНЮ!I1858,СПРОС_ДЕНЬ_ЧАС_МЕНЮ!I1889,СПРОС_ДЕНЬ_ЧАС_МЕНЮ!I1920,СПРОС_ДЕНЬ_ЧАС_МЕНЮ!I1951,СПРОС_ДЕНЬ_ЧАС_МЕНЮ!I1982,СПРОС_ДЕНЬ_ЧАС_МЕНЮ!I2013,СПРОС_ДЕНЬ_ЧАС_МЕНЮ!I2044,СПРОС_ДЕНЬ_ЧАС_МЕНЮ!I2075,СПРОС_ДЕНЬ_ЧАС_МЕНЮ!I2106,СПРОС_ДЕНЬ_ЧАС_МЕНЮ!I2137,СПРОС_ДЕНЬ_ЧАС_МЕНЮ!I2168,СПРОС_ДЕНЬ_ЧАС_МЕНЮ!I2199,СПРОС_ДЕНЬ_ЧАС_МЕНЮ!I2230,СПРОС_ДЕНЬ_ЧАС_МЕНЮ!I2261,СПРОС_ДЕНЬ_ЧАС_МЕНЮ!I2292,СПРОС_ДЕНЬ_ЧАС_МЕНЮ!I2323,СПРОС_ДЕНЬ_ЧАС_МЕНЮ!I2354,СПРОС_ДЕНЬ_ЧАС_МЕНЮ!I2385,СПРОС_ДЕНЬ_ЧАС_МЕНЮ!I2416,СПРОС_ДЕНЬ_ЧАС_МЕНЮ!I2447,СПРОС_ДЕНЬ_ЧАС_МЕНЮ!I2478,СПРОС_ДЕНЬ_ЧАС_МЕНЮ!I2509,СПРОС_ДЕНЬ_ЧАС_МЕНЮ!I2540,СПРОС_ДЕНЬ_ЧАС_МЕНЮ!I2571,СПРОС_ДЕНЬ_ЧАС_МЕНЮ!I2602,СПРОС_ДЕНЬ_ЧАС_МЕНЮ!I2633,СПРОС_ДЕНЬ_ЧАС_МЕНЮ!I2664,СПРОС_ДЕНЬ_ЧАС_МЕНЮ!I2695,СПРОС_ДЕНЬ_ЧАС_МЕНЮ!I2726,СПРОС_ДЕНЬ_ЧАС_МЕНЮ!I2757,СПРОС_ДЕНЬ_ЧАС_МЕНЮ!I2788,СПРОС_ДЕНЬ_ЧАС_МЕНЮ!I2819,СПРОС_ДЕНЬ_ЧАС_МЕНЮ!I2850,СПРОС_ДЕНЬ_ЧАС_МЕНЮ!I2881,СПРОС_ДЕНЬ_ЧАС_МЕНЮ!I2912,СПРОС_ДЕНЬ_ЧАС_МЕНЮ!I2943,СПРОС_ДЕНЬ_ЧАС_МЕНЮ!I2974,СПРОС_ДЕНЬ_ЧАС_МЕНЮ!I3005,СПРОС_ДЕНЬ_ЧАС_МЕНЮ!I3036,СПРОС_ДЕНЬ_ЧАС_МЕНЮ!I3067,СПРОС_ДЕНЬ_ЧАС_МЕНЮ!I3098,СПРОС_ДЕНЬ_ЧАС_МЕНЮ!I3129,СПРОС_ДЕНЬ_ЧАС_МЕНЮ!I3160,СПРОС_ДЕНЬ_ЧАС_МЕНЮ!I3191,СПРОС_ДЕНЬ_ЧАС_МЕНЮ!I3222,СПРОС_ДЕНЬ_ЧАС_МЕНЮ!I3253)</f>
        <v>4.5991</v>
      </c>
      <c r="H29" s="12" t="s">
        <v>112</v>
      </c>
      <c r="I29" s="12" t="s">
        <v>137</v>
      </c>
      <c r="J29" s="12" t="n">
        <f aca="false">MAX(БАЛАНС_ДЕНЬ_ЧАС!F14,БАЛАНС_ДЕНЬ_ЧАС!F22,БАЛАНС_ДЕНЬ_ЧАС!F30,БАЛАНС_ДЕНЬ_ЧАС!F38,БАЛАНС_ДЕНЬ_ЧАС!F46,БАЛАНС_ДЕНЬ_ЧАС!F54,БАЛАНС_ДЕНЬ_ЧАС!F62,БАЛАНС_ДЕНЬ_ЧАС!F70,БАЛАНС_ДЕНЬ_ЧАС!F78,БАЛАНС_ДЕНЬ_ЧАС!F86,БАЛАНС_ДЕНЬ_ЧАС!F94,БАЛАНС_ДЕНЬ_ЧАС!F102,БАЛАНС_ДЕНЬ_ЧАС!F110,БАЛАНС_ДЕНЬ_ЧАС!F118,БАЛАНС_ДЕНЬ_ЧАС!F126,БАЛАНС_ДЕНЬ_ЧАС!F134,БАЛАНС_ДЕНЬ_ЧАС!F142,БАЛАНС_ДЕНЬ_ЧАС!F150,БАЛАНС_ДЕНЬ_ЧАС!F158,БАЛАНС_ДЕНЬ_ЧАС!F166,БАЛАНС_ДЕНЬ_ЧАС!F174,БАЛАНС_ДЕНЬ_ЧАС!F182,БАЛАНС_ДЕНЬ_ЧАС!F190,БАЛАНС_ДЕНЬ_ЧАС!F198,БАЛАНС_ДЕНЬ_ЧАС!F206,БАЛАНС_ДЕНЬ_ЧАС!F214,БАЛАНС_ДЕНЬ_ЧАС!F222,БАЛАНС_ДЕНЬ_ЧАС!F230,БАЛАНС_ДЕНЬ_ЧАС!F238,БАЛАНС_ДЕНЬ_ЧАС!F246,БАЛАНС_ДЕНЬ_ЧАС!F254,БАЛАНС_ДЕНЬ_ЧАС!F262,БАЛАНС_ДЕНЬ_ЧАС!F270,БАЛАНС_ДЕНЬ_ЧАС!F278,БАЛАНС_ДЕНЬ_ЧАС!F286,БАЛАНС_ДЕНЬ_ЧАС!F294,БАЛАНС_ДЕНЬ_ЧАС!F302,БАЛАНС_ДЕНЬ_ЧАС!F310,БАЛАНС_ДЕНЬ_ЧАС!F318,БАЛАНС_ДЕНЬ_ЧАС!F326,БАЛАНС_ДЕНЬ_ЧАС!F334,БАЛАНС_ДЕНЬ_ЧАС!F342,БАЛАНС_ДЕНЬ_ЧАС!F350,БАЛАНС_ДЕНЬ_ЧАС!F358,БАЛАНС_ДЕНЬ_ЧАС!F366,БАЛАНС_ДЕНЬ_ЧАС!F374,БАЛАНС_ДЕНЬ_ЧАС!F382,БАЛАНС_ДЕНЬ_ЧАС!F390,БАЛАНС_ДЕНЬ_ЧАС!F398,БАЛАНС_ДЕНЬ_ЧАС!F406,БАЛАНС_ДЕНЬ_ЧАС!F414,БАЛАНС_ДЕНЬ_ЧАС!F422,БАЛАНС_ДЕНЬ_ЧАС!F430,БАЛАНС_ДЕНЬ_ЧАС!F438,БАЛАНС_ДЕНЬ_ЧАС!F446,БАЛАНС_ДЕНЬ_ЧАС!F454,БАЛАНС_ДЕНЬ_ЧАС!F462,БАЛАНС_ДЕНЬ_ЧАС!F470,БАЛАНС_ДЕНЬ_ЧАС!F478,БАЛАНС_ДЕНЬ_ЧАС!F486,БАЛАНС_ДЕНЬ_ЧАС!F494,БАЛАНС_ДЕНЬ_ЧАС!F502,БАЛАНС_ДЕНЬ_ЧАС!F510,БАЛАНС_ДЕНЬ_ЧАС!F518,БАЛАНС_ДЕНЬ_ЧАС!F526,БАЛАНС_ДЕНЬ_ЧАС!F534,БАЛАНС_ДЕНЬ_ЧАС!F542,БАЛАНС_ДЕНЬ_ЧАС!F550,БАЛАНС_ДЕНЬ_ЧАС!F558,БАЛАНС_ДЕНЬ_ЧАС!F566,БАЛАНС_ДЕНЬ_ЧАС!F574,БАЛАНС_ДЕНЬ_ЧАС!F582,БАЛАНС_ДЕНЬ_ЧАС!F590,БАЛАНС_ДЕНЬ_ЧАС!F598,БАЛАНС_ДЕНЬ_ЧАС!F606,БАЛАНС_ДЕНЬ_ЧАС!F614,БАЛАНС_ДЕНЬ_ЧАС!F622,БАЛАНС_ДЕНЬ_ЧАС!F630,БАЛАНС_ДЕНЬ_ЧАС!F638,БАЛАНС_ДЕНЬ_ЧАС!F646,БАЛАНС_ДЕНЬ_ЧАС!F654,БАЛАНС_ДЕНЬ_ЧАС!F662,БАЛАНС_ДЕНЬ_ЧАС!F670,БАЛАНС_ДЕНЬ_ЧАС!F678,БАЛАНС_ДЕНЬ_ЧАС!F686,БАЛАНС_ДЕНЬ_ЧАС!F694,БАЛАНС_ДЕНЬ_ЧАС!F702,БАЛАНС_ДЕНЬ_ЧАС!F710,БАЛАНС_ДЕНЬ_ЧАС!F718,БАЛАНС_ДЕНЬ_ЧАС!F726,БАЛАНС_ДЕНЬ_ЧАС!F734,БАЛАНС_ДЕНЬ_ЧАС!F742,БАЛАНС_ДЕНЬ_ЧАС!F750,БАЛАНС_ДЕНЬ_ЧАС!F758,БАЛАНС_ДЕНЬ_ЧАС!F766,БАЛАНС_ДЕНЬ_ЧАС!F774,БАЛАНС_ДЕНЬ_ЧАС!F782,БАЛАНС_ДЕНЬ_ЧАС!F790,БАЛАНС_ДЕНЬ_ЧАС!F798,БАЛАНС_ДЕНЬ_ЧАС!F806,БАЛАНС_ДЕНЬ_ЧАС!F814,БАЛАНС_ДЕНЬ_ЧАС!F822,БАЛАНС_ДЕНЬ_ЧАС!F830,БАЛАНС_ДЕНЬ_ЧАС!F838,БАЛАНС_ДЕНЬ_ЧАС!F846)</f>
        <v>21.9725</v>
      </c>
      <c r="K29" s="12" t="n">
        <f aca="false">ПАРАМЕТРЫ!D23</f>
        <v>21</v>
      </c>
      <c r="L29" s="12" t="n">
        <f aca="false">MAX(БАЛАНС_ДЕНЬ_ЧАС!I14,БАЛАНС_ДЕНЬ_ЧАС!I22,БАЛАНС_ДЕНЬ_ЧАС!I30,БАЛАНС_ДЕНЬ_ЧАС!I38,БАЛАНС_ДЕНЬ_ЧАС!I46,БАЛАНС_ДЕНЬ_ЧАС!I54,БАЛАНС_ДЕНЬ_ЧАС!I62,БАЛАНС_ДЕНЬ_ЧАС!I70,БАЛАНС_ДЕНЬ_ЧАС!I78,БАЛАНС_ДЕНЬ_ЧАС!I86,БАЛАНС_ДЕНЬ_ЧАС!I94,БАЛАНС_ДЕНЬ_ЧАС!I102,БАЛАНС_ДЕНЬ_ЧАС!I110,БАЛАНС_ДЕНЬ_ЧАС!I118,БАЛАНС_ДЕНЬ_ЧАС!I126,БАЛАНС_ДЕНЬ_ЧАС!I134,БАЛАНС_ДЕНЬ_ЧАС!I142,БАЛАНС_ДЕНЬ_ЧАС!I150,БАЛАНС_ДЕНЬ_ЧАС!I158,БАЛАНС_ДЕНЬ_ЧАС!I166,БАЛАНС_ДЕНЬ_ЧАС!I174,БАЛАНС_ДЕНЬ_ЧАС!I182,БАЛАНС_ДЕНЬ_ЧАС!I190,БАЛАНС_ДЕНЬ_ЧАС!I198,БАЛАНС_ДЕНЬ_ЧАС!I206,БАЛАНС_ДЕНЬ_ЧАС!I214,БАЛАНС_ДЕНЬ_ЧАС!I222,БАЛАНС_ДЕНЬ_ЧАС!I230,БАЛАНС_ДЕНЬ_ЧАС!I238,БАЛАНС_ДЕНЬ_ЧАС!I246,БАЛАНС_ДЕНЬ_ЧАС!I254,БАЛАНС_ДЕНЬ_ЧАС!I262,БАЛАНС_ДЕНЬ_ЧАС!I270,БАЛАНС_ДЕНЬ_ЧАС!I278,БАЛАНС_ДЕНЬ_ЧАС!I286,БАЛАНС_ДЕНЬ_ЧАС!I294,БАЛАНС_ДЕНЬ_ЧАС!I302,БАЛАНС_ДЕНЬ_ЧАС!I310,БАЛАНС_ДЕНЬ_ЧАС!I318,БАЛАНС_ДЕНЬ_ЧАС!I326,БАЛАНС_ДЕНЬ_ЧАС!I334,БАЛАНС_ДЕНЬ_ЧАС!I342,БАЛАНС_ДЕНЬ_ЧАС!I350,БАЛАНС_ДЕНЬ_ЧАС!I358,БАЛАНС_ДЕНЬ_ЧАС!I366,БАЛАНС_ДЕНЬ_ЧАС!I374,БАЛАНС_ДЕНЬ_ЧАС!I382,БАЛАНС_ДЕНЬ_ЧАС!I390,БАЛАНС_ДЕНЬ_ЧАС!I398,БАЛАНС_ДЕНЬ_ЧАС!I406,БАЛАНС_ДЕНЬ_ЧАС!I414,БАЛАНС_ДЕНЬ_ЧАС!I422,БАЛАНС_ДЕНЬ_ЧАС!I430,БАЛАНС_ДЕНЬ_ЧАС!I438,БАЛАНС_ДЕНЬ_ЧАС!I446,БАЛАНС_ДЕНЬ_ЧАС!I454,БАЛАНС_ДЕНЬ_ЧАС!I462,БАЛАНС_ДЕНЬ_ЧАС!I470,БАЛАНС_ДЕНЬ_ЧАС!I478,БАЛАНС_ДЕНЬ_ЧАС!I486,БАЛАНС_ДЕНЬ_ЧАС!I494,БАЛАНС_ДЕНЬ_ЧАС!I502,БАЛАНС_ДЕНЬ_ЧАС!I510,БАЛАНС_ДЕНЬ_ЧАС!I518,БАЛАНС_ДЕНЬ_ЧАС!I526,БАЛАНС_ДЕНЬ_ЧАС!I534,БАЛАНС_ДЕНЬ_ЧАС!I542,БАЛАНС_ДЕНЬ_ЧАС!I550,БАЛАНС_ДЕНЬ_ЧАС!I558,БАЛАНС_ДЕНЬ_ЧАС!I566,БАЛАНС_ДЕНЬ_ЧАС!I574,БАЛАНС_ДЕНЬ_ЧАС!I582,БАЛАНС_ДЕНЬ_ЧАС!I590,БАЛАНС_ДЕНЬ_ЧАС!I598,БАЛАНС_ДЕНЬ_ЧАС!I606,БАЛАНС_ДЕНЬ_ЧАС!I614,БАЛАНС_ДЕНЬ_ЧАС!I622,БАЛАНС_ДЕНЬ_ЧАС!I630,БАЛАНС_ДЕНЬ_ЧАС!I638,БАЛАНС_ДЕНЬ_ЧАС!I646,БАЛАНС_ДЕНЬ_ЧАС!I654,БАЛАНС_ДЕНЬ_ЧАС!I662,БАЛАНС_ДЕНЬ_ЧАС!I670,БАЛАНС_ДЕНЬ_ЧАС!I678,БАЛАНС_ДЕНЬ_ЧАС!I686,БАЛАНС_ДЕНЬ_ЧАС!I694,БАЛАНС_ДЕНЬ_ЧАС!I702,БАЛАНС_ДЕНЬ_ЧАС!I710,БАЛАНС_ДЕНЬ_ЧАС!I718,БАЛАНС_ДЕНЬ_ЧАС!I726,БАЛАНС_ДЕНЬ_ЧАС!I734,БАЛАНС_ДЕНЬ_ЧАС!I742,БАЛАНС_ДЕНЬ_ЧАС!I750,БАЛАНС_ДЕНЬ_ЧАС!I758,БАЛАНС_ДЕНЬ_ЧАС!I766,БАЛАНС_ДЕНЬ_ЧАС!I774,БАЛАНС_ДЕНЬ_ЧАС!I782,БАЛАНС_ДЕНЬ_ЧАС!I790,БАЛАНС_ДЕНЬ_ЧАС!I798,БАЛАНС_ДЕНЬ_ЧАС!I806,БАЛАНС_ДЕНЬ_ЧАС!I814,БАЛАНС_ДЕНЬ_ЧАС!I822,БАЛАНС_ДЕНЬ_ЧАС!I830,БАЛАНС_ДЕНЬ_ЧАС!I838,БАЛАНС_ДЕНЬ_ЧАС!I846)</f>
        <v>21</v>
      </c>
      <c r="M29" s="12" t="n">
        <f aca="false">MAX(БАЛАНС_ДЕНЬ_ЧАС!J14,БАЛАНС_ДЕНЬ_ЧАС!J22,БАЛАНС_ДЕНЬ_ЧАС!J30,БАЛАНС_ДЕНЬ_ЧАС!J38,БАЛАНС_ДЕНЬ_ЧАС!J46,БАЛАНС_ДЕНЬ_ЧАС!J54,БАЛАНС_ДЕНЬ_ЧАС!J62,БАЛАНС_ДЕНЬ_ЧАС!J70,БАЛАНС_ДЕНЬ_ЧАС!J78,БАЛАНС_ДЕНЬ_ЧАС!J86,БАЛАНС_ДЕНЬ_ЧАС!J94,БАЛАНС_ДЕНЬ_ЧАС!J102,БАЛАНС_ДЕНЬ_ЧАС!J110,БАЛАНС_ДЕНЬ_ЧАС!J118,БАЛАНС_ДЕНЬ_ЧАС!J126,БАЛАНС_ДЕНЬ_ЧАС!J134,БАЛАНС_ДЕНЬ_ЧАС!J142,БАЛАНС_ДЕНЬ_ЧАС!J150,БАЛАНС_ДЕНЬ_ЧАС!J158,БАЛАНС_ДЕНЬ_ЧАС!J166,БАЛАНС_ДЕНЬ_ЧАС!J174,БАЛАНС_ДЕНЬ_ЧАС!J182,БАЛАНС_ДЕНЬ_ЧАС!J190,БАЛАНС_ДЕНЬ_ЧАС!J198,БАЛАНС_ДЕНЬ_ЧАС!J206,БАЛАНС_ДЕНЬ_ЧАС!J214,БАЛАНС_ДЕНЬ_ЧАС!J222,БАЛАНС_ДЕНЬ_ЧАС!J230,БАЛАНС_ДЕНЬ_ЧАС!J238,БАЛАНС_ДЕНЬ_ЧАС!J246,БАЛАНС_ДЕНЬ_ЧАС!J254,БАЛАНС_ДЕНЬ_ЧАС!J262,БАЛАНС_ДЕНЬ_ЧАС!J270,БАЛАНС_ДЕНЬ_ЧАС!J278,БАЛАНС_ДЕНЬ_ЧАС!J286,БАЛАНС_ДЕНЬ_ЧАС!J294,БАЛАНС_ДЕНЬ_ЧАС!J302,БАЛАНС_ДЕНЬ_ЧАС!J310,БАЛАНС_ДЕНЬ_ЧАС!J318,БАЛАНС_ДЕНЬ_ЧАС!J326,БАЛАНС_ДЕНЬ_ЧАС!J334,БАЛАНС_ДЕНЬ_ЧАС!J342,БАЛАНС_ДЕНЬ_ЧАС!J350,БАЛАНС_ДЕНЬ_ЧАС!J358,БАЛАНС_ДЕНЬ_ЧАС!J366,БАЛАНС_ДЕНЬ_ЧАС!J374,БАЛАНС_ДЕНЬ_ЧАС!J382,БАЛАНС_ДЕНЬ_ЧАС!J390,БАЛАНС_ДЕНЬ_ЧАС!J398,БАЛАНС_ДЕНЬ_ЧАС!J406,БАЛАНС_ДЕНЬ_ЧАС!J414,БАЛАНС_ДЕНЬ_ЧАС!J422,БАЛАНС_ДЕНЬ_ЧАС!J430,БАЛАНС_ДЕНЬ_ЧАС!J438,БАЛАНС_ДЕНЬ_ЧАС!J446,БАЛАНС_ДЕНЬ_ЧАС!J454,БАЛАНС_ДЕНЬ_ЧАС!J462,БАЛАНС_ДЕНЬ_ЧАС!J470,БАЛАНС_ДЕНЬ_ЧАС!J478,БАЛАНС_ДЕНЬ_ЧАС!J486,БАЛАНС_ДЕНЬ_ЧАС!J494,БАЛАНС_ДЕНЬ_ЧАС!J502,БАЛАНС_ДЕНЬ_ЧАС!J510,БАЛАНС_ДЕНЬ_ЧАС!J518,БАЛАНС_ДЕНЬ_ЧАС!J526,БАЛАНС_ДЕНЬ_ЧАС!J534,БАЛАНС_ДЕНЬ_ЧАС!J542,БАЛАНС_ДЕНЬ_ЧАС!J550,БАЛАНС_ДЕНЬ_ЧАС!J558,БАЛАНС_ДЕНЬ_ЧАС!J566,БАЛАНС_ДЕНЬ_ЧАС!J574,БАЛАНС_ДЕНЬ_ЧАС!J582,БАЛАНС_ДЕНЬ_ЧАС!J590,БАЛАНС_ДЕНЬ_ЧАС!J598,БАЛАНС_ДЕНЬ_ЧАС!J606,БАЛАНС_ДЕНЬ_ЧАС!J614,БАЛАНС_ДЕНЬ_ЧАС!J622,БАЛАНС_ДЕНЬ_ЧАС!J630,БАЛАНС_ДЕНЬ_ЧАС!J638,БАЛАНС_ДЕНЬ_ЧАС!J646,БАЛАНС_ДЕНЬ_ЧАС!J654,БАЛАНС_ДЕНЬ_ЧАС!J662,БАЛАНС_ДЕНЬ_ЧАС!J670,БАЛАНС_ДЕНЬ_ЧАС!J678,БАЛАНС_ДЕНЬ_ЧАС!J686,БАЛАНС_ДЕНЬ_ЧАС!J694,БАЛАНС_ДЕНЬ_ЧАС!J702,БАЛАНС_ДЕНЬ_ЧАС!J710,БАЛАНС_ДЕНЬ_ЧАС!J718,БАЛАНС_ДЕНЬ_ЧАС!J726,БАЛАНС_ДЕНЬ_ЧАС!J734,БАЛАНС_ДЕНЬ_ЧАС!J742,БАЛАНС_ДЕНЬ_ЧАС!J750,БАЛАНС_ДЕНЬ_ЧАС!J758,БАЛАНС_ДЕНЬ_ЧАС!J766,БАЛАНС_ДЕНЬ_ЧАС!J774,БАЛАНС_ДЕНЬ_ЧАС!J782,БАЛАНС_ДЕНЬ_ЧАС!J790,БАЛАНС_ДЕНЬ_ЧАС!J798,БАЛАНС_ДЕНЬ_ЧАС!J806,БАЛАНС_ДЕНЬ_ЧАС!J814,БАЛАНС_ДЕНЬ_ЧАС!J822,БАЛАНС_ДЕНЬ_ЧАС!J830,БАЛАНС_ДЕНЬ_ЧАС!J838,БАЛАНС_ДЕНЬ_ЧАС!J846)</f>
        <v>21</v>
      </c>
      <c r="N29" s="12" t="n">
        <f aca="false">MAX(БАЛАНС_ДЕНЬ_ЧАС!K14,БАЛАНС_ДЕНЬ_ЧАС!K22,БАЛАНС_ДЕНЬ_ЧАС!K30,БАЛАНС_ДЕНЬ_ЧАС!K38,БАЛАНС_ДЕНЬ_ЧАС!K46,БАЛАНС_ДЕНЬ_ЧАС!K54,БАЛАНС_ДЕНЬ_ЧАС!K62,БАЛАНС_ДЕНЬ_ЧАС!K70,БАЛАНС_ДЕНЬ_ЧАС!K78,БАЛАНС_ДЕНЬ_ЧАС!K86,БАЛАНС_ДЕНЬ_ЧАС!K94,БАЛАНС_ДЕНЬ_ЧАС!K102,БАЛАНС_ДЕНЬ_ЧАС!K110,БАЛАНС_ДЕНЬ_ЧАС!K118,БАЛАНС_ДЕНЬ_ЧАС!K126,БАЛАНС_ДЕНЬ_ЧАС!K134,БАЛАНС_ДЕНЬ_ЧАС!K142,БАЛАНС_ДЕНЬ_ЧАС!K150,БАЛАНС_ДЕНЬ_ЧАС!K158,БАЛАНС_ДЕНЬ_ЧАС!K166,БАЛАНС_ДЕНЬ_ЧАС!K174,БАЛАНС_ДЕНЬ_ЧАС!K182,БАЛАНС_ДЕНЬ_ЧАС!K190,БАЛАНС_ДЕНЬ_ЧАС!K198,БАЛАНС_ДЕНЬ_ЧАС!K206,БАЛАНС_ДЕНЬ_ЧАС!K214,БАЛАНС_ДЕНЬ_ЧАС!K222,БАЛАНС_ДЕНЬ_ЧАС!K230,БАЛАНС_ДЕНЬ_ЧАС!K238,БАЛАНС_ДЕНЬ_ЧАС!K246,БАЛАНС_ДЕНЬ_ЧАС!K254,БАЛАНС_ДЕНЬ_ЧАС!K262,БАЛАНС_ДЕНЬ_ЧАС!K270,БАЛАНС_ДЕНЬ_ЧАС!K278,БАЛАНС_ДЕНЬ_ЧАС!K286,БАЛАНС_ДЕНЬ_ЧАС!K294,БАЛАНС_ДЕНЬ_ЧАС!K302,БАЛАНС_ДЕНЬ_ЧАС!K310,БАЛАНС_ДЕНЬ_ЧАС!K318,БАЛАНС_ДЕНЬ_ЧАС!K326,БАЛАНС_ДЕНЬ_ЧАС!K334,БАЛАНС_ДЕНЬ_ЧАС!K342,БАЛАНС_ДЕНЬ_ЧАС!K350,БАЛАНС_ДЕНЬ_ЧАС!K358,БАЛАНС_ДЕНЬ_ЧАС!K366,БАЛАНС_ДЕНЬ_ЧАС!K374,БАЛАНС_ДЕНЬ_ЧАС!K382,БАЛАНС_ДЕНЬ_ЧАС!K390,БАЛАНС_ДЕНЬ_ЧАС!K398,БАЛАНС_ДЕНЬ_ЧАС!K406,БАЛАНС_ДЕНЬ_ЧАС!K414,БАЛАНС_ДЕНЬ_ЧАС!K422,БАЛАНС_ДЕНЬ_ЧАС!K430,БАЛАНС_ДЕНЬ_ЧАС!K438,БАЛАНС_ДЕНЬ_ЧАС!K446,БАЛАНС_ДЕНЬ_ЧАС!K454,БАЛАНС_ДЕНЬ_ЧАС!K462,БАЛАНС_ДЕНЬ_ЧАС!K470,БАЛАНС_ДЕНЬ_ЧАС!K478,БАЛАНС_ДЕНЬ_ЧАС!K486,БАЛАНС_ДЕНЬ_ЧАС!K494,БАЛАНС_ДЕНЬ_ЧАС!K502,БАЛАНС_ДЕНЬ_ЧАС!K510,БАЛАНС_ДЕНЬ_ЧАС!K518,БАЛАНС_ДЕНЬ_ЧАС!K526,БАЛАНС_ДЕНЬ_ЧАС!K534,БАЛАНС_ДЕНЬ_ЧАС!K542,БАЛАНС_ДЕНЬ_ЧАС!K550,БАЛАНС_ДЕНЬ_ЧАС!K558,БАЛАНС_ДЕНЬ_ЧАС!K566,БАЛАНС_ДЕНЬ_ЧАС!K574,БАЛАНС_ДЕНЬ_ЧАС!K582,БАЛАНС_ДЕНЬ_ЧАС!K590,БАЛАНС_ДЕНЬ_ЧАС!K598,БАЛАНС_ДЕНЬ_ЧАС!K606,БАЛАНС_ДЕНЬ_ЧАС!K614,БАЛАНС_ДЕНЬ_ЧАС!K622,БАЛАНС_ДЕНЬ_ЧАС!K630,БАЛАНС_ДЕНЬ_ЧАС!K638,БАЛАНС_ДЕНЬ_ЧАС!K646,БАЛАНС_ДЕНЬ_ЧАС!K654,БАЛАНС_ДЕНЬ_ЧАС!K662,БАЛАНС_ДЕНЬ_ЧАС!K670,БАЛАНС_ДЕНЬ_ЧАС!K678,БАЛАНС_ДЕНЬ_ЧАС!K686,БАЛАНС_ДЕНЬ_ЧАС!K694,БАЛАНС_ДЕНЬ_ЧАС!K702,БАЛАНС_ДЕНЬ_ЧАС!K710,БАЛАНС_ДЕНЬ_ЧАС!K718,БАЛАНС_ДЕНЬ_ЧАС!K726,БАЛАНС_ДЕНЬ_ЧАС!K734,БАЛАНС_ДЕНЬ_ЧАС!K742,БАЛАНС_ДЕНЬ_ЧАС!K750,БАЛАНС_ДЕНЬ_ЧАС!K758,БАЛАНС_ДЕНЬ_ЧАС!K766,БАЛАНС_ДЕНЬ_ЧАС!K774,БАЛАНС_ДЕНЬ_ЧАС!K782,БАЛАНС_ДЕНЬ_ЧАС!K790,БАЛАНС_ДЕНЬ_ЧАС!K798,БАЛАНС_ДЕНЬ_ЧАС!K806,БАЛАНС_ДЕНЬ_ЧАС!K814,БАЛАНС_ДЕНЬ_ЧАС!K822,БАЛАНС_ДЕНЬ_ЧАС!K830,БАЛАНС_ДЕНЬ_ЧАС!K838,БАЛАНС_ДЕНЬ_ЧАС!K846)</f>
        <v>0.9725</v>
      </c>
      <c r="O29" s="11" t="str">
        <f aca="false">IF(N29&gt;0,"BLOCKED","PASS")</f>
        <v>BLOCKED</v>
      </c>
      <c r="P29" s="11" t="s">
        <v>145</v>
      </c>
    </row>
    <row r="30" customFormat="false" ht="15" hidden="false" customHeight="false" outlineLevel="0" collapsed="false">
      <c r="A30" s="11" t="n">
        <v>20</v>
      </c>
      <c r="B30" s="11" t="s">
        <v>174</v>
      </c>
      <c r="C30" s="11" t="s">
        <v>176</v>
      </c>
      <c r="D30" s="11" t="s">
        <v>83</v>
      </c>
      <c r="E30" s="12" t="n">
        <v>360</v>
      </c>
      <c r="F30" s="12" t="n">
        <f aca="false">SUMIF(СПРОС_ДЕНЬ_ЧАС_МЕНЮ!$C$11:$C$3265,A30,СПРОС_ДЕНЬ_ЧАС_МЕНЮ!$I$11:$I$3265)</f>
        <v>121.979</v>
      </c>
      <c r="G30" s="12" t="n">
        <f aca="false">MAX(СПРОС_ДЕНЬ_ЧАС_МЕНЮ!I30,СПРОС_ДЕНЬ_ЧАС_МЕНЮ!I61,СПРОС_ДЕНЬ_ЧАС_МЕНЮ!I92,СПРОС_ДЕНЬ_ЧАС_МЕНЮ!I123,СПРОС_ДЕНЬ_ЧАС_МЕНЮ!I154,СПРОС_ДЕНЬ_ЧАС_МЕНЮ!I185,СПРОС_ДЕНЬ_ЧАС_МЕНЮ!I216,СПРОС_ДЕНЬ_ЧАС_МЕНЮ!I247,СПРОС_ДЕНЬ_ЧАС_МЕНЮ!I278,СПРОС_ДЕНЬ_ЧАС_МЕНЮ!I309,СПРОС_ДЕНЬ_ЧАС_МЕНЮ!I340,СПРОС_ДЕНЬ_ЧАС_МЕНЮ!I371,СПРОС_ДЕНЬ_ЧАС_МЕНЮ!I402,СПРОС_ДЕНЬ_ЧАС_МЕНЮ!I433,СПРОС_ДЕНЬ_ЧАС_МЕНЮ!I464,СПРОС_ДЕНЬ_ЧАС_МЕНЮ!I495,СПРОС_ДЕНЬ_ЧАС_МЕНЮ!I526,СПРОС_ДЕНЬ_ЧАС_МЕНЮ!I557,СПРОС_ДЕНЬ_ЧАС_МЕНЮ!I588,СПРОС_ДЕНЬ_ЧАС_МЕНЮ!I619,СПРОС_ДЕНЬ_ЧАС_МЕНЮ!I650,СПРОС_ДЕНЬ_ЧАС_МЕНЮ!I681,СПРОС_ДЕНЬ_ЧАС_МЕНЮ!I712,СПРОС_ДЕНЬ_ЧАС_МЕНЮ!I743,СПРОС_ДЕНЬ_ЧАС_МЕНЮ!I774,СПРОС_ДЕНЬ_ЧАС_МЕНЮ!I805,СПРОС_ДЕНЬ_ЧАС_МЕНЮ!I836,СПРОС_ДЕНЬ_ЧАС_МЕНЮ!I867,СПРОС_ДЕНЬ_ЧАС_МЕНЮ!I898,СПРОС_ДЕНЬ_ЧАС_МЕНЮ!I929,СПРОС_ДЕНЬ_ЧАС_МЕНЮ!I960,СПРОС_ДЕНЬ_ЧАС_МЕНЮ!I991,СПРОС_ДЕНЬ_ЧАС_МЕНЮ!I1022,СПРОС_ДЕНЬ_ЧАС_МЕНЮ!I1053,СПРОС_ДЕНЬ_ЧАС_МЕНЮ!I1084,СПРОС_ДЕНЬ_ЧАС_МЕНЮ!I1115,СПРОС_ДЕНЬ_ЧАС_МЕНЮ!I1146,СПРОС_ДЕНЬ_ЧАС_МЕНЮ!I1177,СПРОС_ДЕНЬ_ЧАС_МЕНЮ!I1208,СПРОС_ДЕНЬ_ЧАС_МЕНЮ!I1239,СПРОС_ДЕНЬ_ЧАС_МЕНЮ!I1270,СПРОС_ДЕНЬ_ЧАС_МЕНЮ!I1301,СПРОС_ДЕНЬ_ЧАС_МЕНЮ!I1332,СПРОС_ДЕНЬ_ЧАС_МЕНЮ!I1363,СПРОС_ДЕНЬ_ЧАС_МЕНЮ!I1394,СПРОС_ДЕНЬ_ЧАС_МЕНЮ!I1425,СПРОС_ДЕНЬ_ЧАС_МЕНЮ!I1456,СПРОС_ДЕНЬ_ЧАС_МЕНЮ!I1487,СПРОС_ДЕНЬ_ЧАС_МЕНЮ!I1518,СПРОС_ДЕНЬ_ЧАС_МЕНЮ!I1549,СПРОС_ДЕНЬ_ЧАС_МЕНЮ!I1580,СПРОС_ДЕНЬ_ЧАС_МЕНЮ!I1611,СПРОС_ДЕНЬ_ЧАС_МЕНЮ!I1642,СПРОС_ДЕНЬ_ЧАС_МЕНЮ!I1673,СПРОС_ДЕНЬ_ЧАС_МЕНЮ!I1704,СПРОС_ДЕНЬ_ЧАС_МЕНЮ!I1735,СПРОС_ДЕНЬ_ЧАС_МЕНЮ!I1766,СПРОС_ДЕНЬ_ЧАС_МЕНЮ!I1797,СПРОС_ДЕНЬ_ЧАС_МЕНЮ!I1828,СПРОС_ДЕНЬ_ЧАС_МЕНЮ!I1859,СПРОС_ДЕНЬ_ЧАС_МЕНЮ!I1890,СПРОС_ДЕНЬ_ЧАС_МЕНЮ!I1921,СПРОС_ДЕНЬ_ЧАС_МЕНЮ!I1952,СПРОС_ДЕНЬ_ЧАС_МЕНЮ!I1983,СПРОС_ДЕНЬ_ЧАС_МЕНЮ!I2014,СПРОС_ДЕНЬ_ЧАС_МЕНЮ!I2045,СПРОС_ДЕНЬ_ЧАС_МЕНЮ!I2076,СПРОС_ДЕНЬ_ЧАС_МЕНЮ!I2107,СПРОС_ДЕНЬ_ЧАС_МЕНЮ!I2138,СПРОС_ДЕНЬ_ЧАС_МЕНЮ!I2169,СПРОС_ДЕНЬ_ЧАС_МЕНЮ!I2200,СПРОС_ДЕНЬ_ЧАС_МЕНЮ!I2231,СПРОС_ДЕНЬ_ЧАС_МЕНЮ!I2262,СПРОС_ДЕНЬ_ЧАС_МЕНЮ!I2293,СПРОС_ДЕНЬ_ЧАС_МЕНЮ!I2324,СПРОС_ДЕНЬ_ЧАС_МЕНЮ!I2355,СПРОС_ДЕНЬ_ЧАС_МЕНЮ!I2386,СПРОС_ДЕНЬ_ЧАС_МЕНЮ!I2417,СПРОС_ДЕНЬ_ЧАС_МЕНЮ!I2448,СПРОС_ДЕНЬ_ЧАС_МЕНЮ!I2479,СПРОС_ДЕНЬ_ЧАС_МЕНЮ!I2510,СПРОС_ДЕНЬ_ЧАС_МЕНЮ!I2541,СПРОС_ДЕНЬ_ЧАС_МЕНЮ!I2572,СПРОС_ДЕНЬ_ЧАС_МЕНЮ!I2603,СПРОС_ДЕНЬ_ЧАС_МЕНЮ!I2634,СПРОС_ДЕНЬ_ЧАС_МЕНЮ!I2665,СПРОС_ДЕНЬ_ЧАС_МЕНЮ!I2696,СПРОС_ДЕНЬ_ЧАС_МЕНЮ!I2727,СПРОС_ДЕНЬ_ЧАС_МЕНЮ!I2758,СПРОС_ДЕНЬ_ЧАС_МЕНЮ!I2789,СПРОС_ДЕНЬ_ЧАС_МЕНЮ!I2820,СПРОС_ДЕНЬ_ЧАС_МЕНЮ!I2851,СПРОС_ДЕНЬ_ЧАС_МЕНЮ!I2882,СПРОС_ДЕНЬ_ЧАС_МЕНЮ!I2913,СПРОС_ДЕНЬ_ЧАС_МЕНЮ!I2944,СПРОС_ДЕНЬ_ЧАС_МЕНЮ!I2975,СПРОС_ДЕНЬ_ЧАС_МЕНЮ!I3006,СПРОС_ДЕНЬ_ЧАС_МЕНЮ!I3037,СПРОС_ДЕНЬ_ЧАС_МЕНЮ!I3068,СПРОС_ДЕНЬ_ЧАС_МЕНЮ!I3099,СПРОС_ДЕНЬ_ЧАС_МЕНЮ!I3130,СПРОС_ДЕНЬ_ЧАС_МЕНЮ!I3161,СПРОС_ДЕНЬ_ЧАС_МЕНЮ!I3192,СПРОС_ДЕНЬ_ЧАС_МЕНЮ!I3223,СПРОС_ДЕНЬ_ЧАС_МЕНЮ!I3254)</f>
        <v>3.971</v>
      </c>
      <c r="H30" s="12" t="s">
        <v>112</v>
      </c>
      <c r="I30" s="12" t="s">
        <v>137</v>
      </c>
      <c r="J30" s="12" t="n">
        <f aca="false">MAX(БАЛАНС_ДЕНЬ_ЧАС!F14,БАЛАНС_ДЕНЬ_ЧАС!F22,БАЛАНС_ДЕНЬ_ЧАС!F30,БАЛАНС_ДЕНЬ_ЧАС!F38,БАЛАНС_ДЕНЬ_ЧАС!F46,БАЛАНС_ДЕНЬ_ЧАС!F54,БАЛАНС_ДЕНЬ_ЧАС!F62,БАЛАНС_ДЕНЬ_ЧАС!F70,БАЛАНС_ДЕНЬ_ЧАС!F78,БАЛАНС_ДЕНЬ_ЧАС!F86,БАЛАНС_ДЕНЬ_ЧАС!F94,БАЛАНС_ДЕНЬ_ЧАС!F102,БАЛАНС_ДЕНЬ_ЧАС!F110,БАЛАНС_ДЕНЬ_ЧАС!F118,БАЛАНС_ДЕНЬ_ЧАС!F126,БАЛАНС_ДЕНЬ_ЧАС!F134,БАЛАНС_ДЕНЬ_ЧАС!F142,БАЛАНС_ДЕНЬ_ЧАС!F150,БАЛАНС_ДЕНЬ_ЧАС!F158,БАЛАНС_ДЕНЬ_ЧАС!F166,БАЛАНС_ДЕНЬ_ЧАС!F174,БАЛАНС_ДЕНЬ_ЧАС!F182,БАЛАНС_ДЕНЬ_ЧАС!F190,БАЛАНС_ДЕНЬ_ЧАС!F198,БАЛАНС_ДЕНЬ_ЧАС!F206,БАЛАНС_ДЕНЬ_ЧАС!F214,БАЛАНС_ДЕНЬ_ЧАС!F222,БАЛАНС_ДЕНЬ_ЧАС!F230,БАЛАНС_ДЕНЬ_ЧАС!F238,БАЛАНС_ДЕНЬ_ЧАС!F246,БАЛАНС_ДЕНЬ_ЧАС!F254,БАЛАНС_ДЕНЬ_ЧАС!F262,БАЛАНС_ДЕНЬ_ЧАС!F270,БАЛАНС_ДЕНЬ_ЧАС!F278,БАЛАНС_ДЕНЬ_ЧАС!F286,БАЛАНС_ДЕНЬ_ЧАС!F294,БАЛАНС_ДЕНЬ_ЧАС!F302,БАЛАНС_ДЕНЬ_ЧАС!F310,БАЛАНС_ДЕНЬ_ЧАС!F318,БАЛАНС_ДЕНЬ_ЧАС!F326,БАЛАНС_ДЕНЬ_ЧАС!F334,БАЛАНС_ДЕНЬ_ЧАС!F342,БАЛАНС_ДЕНЬ_ЧАС!F350,БАЛАНС_ДЕНЬ_ЧАС!F358,БАЛАНС_ДЕНЬ_ЧАС!F366,БАЛАНС_ДЕНЬ_ЧАС!F374,БАЛАНС_ДЕНЬ_ЧАС!F382,БАЛАНС_ДЕНЬ_ЧАС!F390,БАЛАНС_ДЕНЬ_ЧАС!F398,БАЛАНС_ДЕНЬ_ЧАС!F406,БАЛАНС_ДЕНЬ_ЧАС!F414,БАЛАНС_ДЕНЬ_ЧАС!F422,БАЛАНС_ДЕНЬ_ЧАС!F430,БАЛАНС_ДЕНЬ_ЧАС!F438,БАЛАНС_ДЕНЬ_ЧАС!F446,БАЛАНС_ДЕНЬ_ЧАС!F454,БАЛАНС_ДЕНЬ_ЧАС!F462,БАЛАНС_ДЕНЬ_ЧАС!F470,БАЛАНС_ДЕНЬ_ЧАС!F478,БАЛАНС_ДЕНЬ_ЧАС!F486,БАЛАНС_ДЕНЬ_ЧАС!F494,БАЛАНС_ДЕНЬ_ЧАС!F502,БАЛАНС_ДЕНЬ_ЧАС!F510,БАЛАНС_ДЕНЬ_ЧАС!F518,БАЛАНС_ДЕНЬ_ЧАС!F526,БАЛАНС_ДЕНЬ_ЧАС!F534,БАЛАНС_ДЕНЬ_ЧАС!F542,БАЛАНС_ДЕНЬ_ЧАС!F550,БАЛАНС_ДЕНЬ_ЧАС!F558,БАЛАНС_ДЕНЬ_ЧАС!F566,БАЛАНС_ДЕНЬ_ЧАС!F574,БАЛАНС_ДЕНЬ_ЧАС!F582,БАЛАНС_ДЕНЬ_ЧАС!F590,БАЛАНС_ДЕНЬ_ЧАС!F598,БАЛАНС_ДЕНЬ_ЧАС!F606,БАЛАНС_ДЕНЬ_ЧАС!F614,БАЛАНС_ДЕНЬ_ЧАС!F622,БАЛАНС_ДЕНЬ_ЧАС!F630,БАЛАНС_ДЕНЬ_ЧАС!F638,БАЛАНС_ДЕНЬ_ЧАС!F646,БАЛАНС_ДЕНЬ_ЧАС!F654,БАЛАНС_ДЕНЬ_ЧАС!F662,БАЛАНС_ДЕНЬ_ЧАС!F670,БАЛАНС_ДЕНЬ_ЧАС!F678,БАЛАНС_ДЕНЬ_ЧАС!F686,БАЛАНС_ДЕНЬ_ЧАС!F694,БАЛАНС_ДЕНЬ_ЧАС!F702,БАЛАНС_ДЕНЬ_ЧАС!F710,БАЛАНС_ДЕНЬ_ЧАС!F718,БАЛАНС_ДЕНЬ_ЧАС!F726,БАЛАНС_ДЕНЬ_ЧАС!F734,БАЛАНС_ДЕНЬ_ЧАС!F742,БАЛАНС_ДЕНЬ_ЧАС!F750,БАЛАНС_ДЕНЬ_ЧАС!F758,БАЛАНС_ДЕНЬ_ЧАС!F766,БАЛАНС_ДЕНЬ_ЧАС!F774,БАЛАНС_ДЕНЬ_ЧАС!F782,БАЛАНС_ДЕНЬ_ЧАС!F790,БАЛАНС_ДЕНЬ_ЧАС!F798,БАЛАНС_ДЕНЬ_ЧАС!F806,БАЛАНС_ДЕНЬ_ЧАС!F814,БАЛАНС_ДЕНЬ_ЧАС!F822,БАЛАНС_ДЕНЬ_ЧАС!F830,БАЛАНС_ДЕНЬ_ЧАС!F838,БАЛАНС_ДЕНЬ_ЧАС!F846)</f>
        <v>21.9725</v>
      </c>
      <c r="K30" s="12" t="n">
        <f aca="false">ПАРАМЕТРЫ!D23</f>
        <v>21</v>
      </c>
      <c r="L30" s="12" t="n">
        <f aca="false">MAX(БАЛАНС_ДЕНЬ_ЧАС!I14,БАЛАНС_ДЕНЬ_ЧАС!I22,БАЛАНС_ДЕНЬ_ЧАС!I30,БАЛАНС_ДЕНЬ_ЧАС!I38,БАЛАНС_ДЕНЬ_ЧАС!I46,БАЛАНС_ДЕНЬ_ЧАС!I54,БАЛАНС_ДЕНЬ_ЧАС!I62,БАЛАНС_ДЕНЬ_ЧАС!I70,БАЛАНС_ДЕНЬ_ЧАС!I78,БАЛАНС_ДЕНЬ_ЧАС!I86,БАЛАНС_ДЕНЬ_ЧАС!I94,БАЛАНС_ДЕНЬ_ЧАС!I102,БАЛАНС_ДЕНЬ_ЧАС!I110,БАЛАНС_ДЕНЬ_ЧАС!I118,БАЛАНС_ДЕНЬ_ЧАС!I126,БАЛАНС_ДЕНЬ_ЧАС!I134,БАЛАНС_ДЕНЬ_ЧАС!I142,БАЛАНС_ДЕНЬ_ЧАС!I150,БАЛАНС_ДЕНЬ_ЧАС!I158,БАЛАНС_ДЕНЬ_ЧАС!I166,БАЛАНС_ДЕНЬ_ЧАС!I174,БАЛАНС_ДЕНЬ_ЧАС!I182,БАЛАНС_ДЕНЬ_ЧАС!I190,БАЛАНС_ДЕНЬ_ЧАС!I198,БАЛАНС_ДЕНЬ_ЧАС!I206,БАЛАНС_ДЕНЬ_ЧАС!I214,БАЛАНС_ДЕНЬ_ЧАС!I222,БАЛАНС_ДЕНЬ_ЧАС!I230,БАЛАНС_ДЕНЬ_ЧАС!I238,БАЛАНС_ДЕНЬ_ЧАС!I246,БАЛАНС_ДЕНЬ_ЧАС!I254,БАЛАНС_ДЕНЬ_ЧАС!I262,БАЛАНС_ДЕНЬ_ЧАС!I270,БАЛАНС_ДЕНЬ_ЧАС!I278,БАЛАНС_ДЕНЬ_ЧАС!I286,БАЛАНС_ДЕНЬ_ЧАС!I294,БАЛАНС_ДЕНЬ_ЧАС!I302,БАЛАНС_ДЕНЬ_ЧАС!I310,БАЛАНС_ДЕНЬ_ЧАС!I318,БАЛАНС_ДЕНЬ_ЧАС!I326,БАЛАНС_ДЕНЬ_ЧАС!I334,БАЛАНС_ДЕНЬ_ЧАС!I342,БАЛАНС_ДЕНЬ_ЧАС!I350,БАЛАНС_ДЕНЬ_ЧАС!I358,БАЛАНС_ДЕНЬ_ЧАС!I366,БАЛАНС_ДЕНЬ_ЧАС!I374,БАЛАНС_ДЕНЬ_ЧАС!I382,БАЛАНС_ДЕНЬ_ЧАС!I390,БАЛАНС_ДЕНЬ_ЧАС!I398,БАЛАНС_ДЕНЬ_ЧАС!I406,БАЛАНС_ДЕНЬ_ЧАС!I414,БАЛАНС_ДЕНЬ_ЧАС!I422,БАЛАНС_ДЕНЬ_ЧАС!I430,БАЛАНС_ДЕНЬ_ЧАС!I438,БАЛАНС_ДЕНЬ_ЧАС!I446,БАЛАНС_ДЕНЬ_ЧАС!I454,БАЛАНС_ДЕНЬ_ЧАС!I462,БАЛАНС_ДЕНЬ_ЧАС!I470,БАЛАНС_ДЕНЬ_ЧАС!I478,БАЛАНС_ДЕНЬ_ЧАС!I486,БАЛАНС_ДЕНЬ_ЧАС!I494,БАЛАНС_ДЕНЬ_ЧАС!I502,БАЛАНС_ДЕНЬ_ЧАС!I510,БАЛАНС_ДЕНЬ_ЧАС!I518,БАЛАНС_ДЕНЬ_ЧАС!I526,БАЛАНС_ДЕНЬ_ЧАС!I534,БАЛАНС_ДЕНЬ_ЧАС!I542,БАЛАНС_ДЕНЬ_ЧАС!I550,БАЛАНС_ДЕНЬ_ЧАС!I558,БАЛАНС_ДЕНЬ_ЧАС!I566,БАЛАНС_ДЕНЬ_ЧАС!I574,БАЛАНС_ДЕНЬ_ЧАС!I582,БАЛАНС_ДЕНЬ_ЧАС!I590,БАЛАНС_ДЕНЬ_ЧАС!I598,БАЛАНС_ДЕНЬ_ЧАС!I606,БАЛАНС_ДЕНЬ_ЧАС!I614,БАЛАНС_ДЕНЬ_ЧАС!I622,БАЛАНС_ДЕНЬ_ЧАС!I630,БАЛАНС_ДЕНЬ_ЧАС!I638,БАЛАНС_ДЕНЬ_ЧАС!I646,БАЛАНС_ДЕНЬ_ЧАС!I654,БАЛАНС_ДЕНЬ_ЧАС!I662,БАЛАНС_ДЕНЬ_ЧАС!I670,БАЛАНС_ДЕНЬ_ЧАС!I678,БАЛАНС_ДЕНЬ_ЧАС!I686,БАЛАНС_ДЕНЬ_ЧАС!I694,БАЛАНС_ДЕНЬ_ЧАС!I702,БАЛАНС_ДЕНЬ_ЧАС!I710,БАЛАНС_ДЕНЬ_ЧАС!I718,БАЛАНС_ДЕНЬ_ЧАС!I726,БАЛАНС_ДЕНЬ_ЧАС!I734,БАЛАНС_ДЕНЬ_ЧАС!I742,БАЛАНС_ДЕНЬ_ЧАС!I750,БАЛАНС_ДЕНЬ_ЧАС!I758,БАЛАНС_ДЕНЬ_ЧАС!I766,БАЛАНС_ДЕНЬ_ЧАС!I774,БАЛАНС_ДЕНЬ_ЧАС!I782,БАЛАНС_ДЕНЬ_ЧАС!I790,БАЛАНС_ДЕНЬ_ЧАС!I798,БАЛАНС_ДЕНЬ_ЧАС!I806,БАЛАНС_ДЕНЬ_ЧАС!I814,БАЛАНС_ДЕНЬ_ЧАС!I822,БАЛАНС_ДЕНЬ_ЧАС!I830,БАЛАНС_ДЕНЬ_ЧАС!I838,БАЛАНС_ДЕНЬ_ЧАС!I846)</f>
        <v>21</v>
      </c>
      <c r="M30" s="12" t="n">
        <f aca="false">MAX(БАЛАНС_ДЕНЬ_ЧАС!J14,БАЛАНС_ДЕНЬ_ЧАС!J22,БАЛАНС_ДЕНЬ_ЧАС!J30,БАЛАНС_ДЕНЬ_ЧАС!J38,БАЛАНС_ДЕНЬ_ЧАС!J46,БАЛАНС_ДЕНЬ_ЧАС!J54,БАЛАНС_ДЕНЬ_ЧАС!J62,БАЛАНС_ДЕНЬ_ЧАС!J70,БАЛАНС_ДЕНЬ_ЧАС!J78,БАЛАНС_ДЕНЬ_ЧАС!J86,БАЛАНС_ДЕНЬ_ЧАС!J94,БАЛАНС_ДЕНЬ_ЧАС!J102,БАЛАНС_ДЕНЬ_ЧАС!J110,БАЛАНС_ДЕНЬ_ЧАС!J118,БАЛАНС_ДЕНЬ_ЧАС!J126,БАЛАНС_ДЕНЬ_ЧАС!J134,БАЛАНС_ДЕНЬ_ЧАС!J142,БАЛАНС_ДЕНЬ_ЧАС!J150,БАЛАНС_ДЕНЬ_ЧАС!J158,БАЛАНС_ДЕНЬ_ЧАС!J166,БАЛАНС_ДЕНЬ_ЧАС!J174,БАЛАНС_ДЕНЬ_ЧАС!J182,БАЛАНС_ДЕНЬ_ЧАС!J190,БАЛАНС_ДЕНЬ_ЧАС!J198,БАЛАНС_ДЕНЬ_ЧАС!J206,БАЛАНС_ДЕНЬ_ЧАС!J214,БАЛАНС_ДЕНЬ_ЧАС!J222,БАЛАНС_ДЕНЬ_ЧАС!J230,БАЛАНС_ДЕНЬ_ЧАС!J238,БАЛАНС_ДЕНЬ_ЧАС!J246,БАЛАНС_ДЕНЬ_ЧАС!J254,БАЛАНС_ДЕНЬ_ЧАС!J262,БАЛАНС_ДЕНЬ_ЧАС!J270,БАЛАНС_ДЕНЬ_ЧАС!J278,БАЛАНС_ДЕНЬ_ЧАС!J286,БАЛАНС_ДЕНЬ_ЧАС!J294,БАЛАНС_ДЕНЬ_ЧАС!J302,БАЛАНС_ДЕНЬ_ЧАС!J310,БАЛАНС_ДЕНЬ_ЧАС!J318,БАЛАНС_ДЕНЬ_ЧАС!J326,БАЛАНС_ДЕНЬ_ЧАС!J334,БАЛАНС_ДЕНЬ_ЧАС!J342,БАЛАНС_ДЕНЬ_ЧАС!J350,БАЛАНС_ДЕНЬ_ЧАС!J358,БАЛАНС_ДЕНЬ_ЧАС!J366,БАЛАНС_ДЕНЬ_ЧАС!J374,БАЛАНС_ДЕНЬ_ЧАС!J382,БАЛАНС_ДЕНЬ_ЧАС!J390,БАЛАНС_ДЕНЬ_ЧАС!J398,БАЛАНС_ДЕНЬ_ЧАС!J406,БАЛАНС_ДЕНЬ_ЧАС!J414,БАЛАНС_ДЕНЬ_ЧАС!J422,БАЛАНС_ДЕНЬ_ЧАС!J430,БАЛАНС_ДЕНЬ_ЧАС!J438,БАЛАНС_ДЕНЬ_ЧАС!J446,БАЛАНС_ДЕНЬ_ЧАС!J454,БАЛАНС_ДЕНЬ_ЧАС!J462,БАЛАНС_ДЕНЬ_ЧАС!J470,БАЛАНС_ДЕНЬ_ЧАС!J478,БАЛАНС_ДЕНЬ_ЧАС!J486,БАЛАНС_ДЕНЬ_ЧАС!J494,БАЛАНС_ДЕНЬ_ЧАС!J502,БАЛАНС_ДЕНЬ_ЧАС!J510,БАЛАНС_ДЕНЬ_ЧАС!J518,БАЛАНС_ДЕНЬ_ЧАС!J526,БАЛАНС_ДЕНЬ_ЧАС!J534,БАЛАНС_ДЕНЬ_ЧАС!J542,БАЛАНС_ДЕНЬ_ЧАС!J550,БАЛАНС_ДЕНЬ_ЧАС!J558,БАЛАНС_ДЕНЬ_ЧАС!J566,БАЛАНС_ДЕНЬ_ЧАС!J574,БАЛАНС_ДЕНЬ_ЧАС!J582,БАЛАНС_ДЕНЬ_ЧАС!J590,БАЛАНС_ДЕНЬ_ЧАС!J598,БАЛАНС_ДЕНЬ_ЧАС!J606,БАЛАНС_ДЕНЬ_ЧАС!J614,БАЛАНС_ДЕНЬ_ЧАС!J622,БАЛАНС_ДЕНЬ_ЧАС!J630,БАЛАНС_ДЕНЬ_ЧАС!J638,БАЛАНС_ДЕНЬ_ЧАС!J646,БАЛАНС_ДЕНЬ_ЧАС!J654,БАЛАНС_ДЕНЬ_ЧАС!J662,БАЛАНС_ДЕНЬ_ЧАС!J670,БАЛАНС_ДЕНЬ_ЧАС!J678,БАЛАНС_ДЕНЬ_ЧАС!J686,БАЛАНС_ДЕНЬ_ЧАС!J694,БАЛАНС_ДЕНЬ_ЧАС!J702,БАЛАНС_ДЕНЬ_ЧАС!J710,БАЛАНС_ДЕНЬ_ЧАС!J718,БАЛАНС_ДЕНЬ_ЧАС!J726,БАЛАНС_ДЕНЬ_ЧАС!J734,БАЛАНС_ДЕНЬ_ЧАС!J742,БАЛАНС_ДЕНЬ_ЧАС!J750,БАЛАНС_ДЕНЬ_ЧАС!J758,БАЛАНС_ДЕНЬ_ЧАС!J766,БАЛАНС_ДЕНЬ_ЧАС!J774,БАЛАНС_ДЕНЬ_ЧАС!J782,БАЛАНС_ДЕНЬ_ЧАС!J790,БАЛАНС_ДЕНЬ_ЧАС!J798,БАЛАНС_ДЕНЬ_ЧАС!J806,БАЛАНС_ДЕНЬ_ЧАС!J814,БАЛАНС_ДЕНЬ_ЧАС!J822,БАЛАНС_ДЕНЬ_ЧАС!J830,БАЛАНС_ДЕНЬ_ЧАС!J838,БАЛАНС_ДЕНЬ_ЧАС!J846)</f>
        <v>21</v>
      </c>
      <c r="N30" s="12" t="n">
        <f aca="false">MAX(БАЛАНС_ДЕНЬ_ЧАС!K14,БАЛАНС_ДЕНЬ_ЧАС!K22,БАЛАНС_ДЕНЬ_ЧАС!K30,БАЛАНС_ДЕНЬ_ЧАС!K38,БАЛАНС_ДЕНЬ_ЧАС!K46,БАЛАНС_ДЕНЬ_ЧАС!K54,БАЛАНС_ДЕНЬ_ЧАС!K62,БАЛАНС_ДЕНЬ_ЧАС!K70,БАЛАНС_ДЕНЬ_ЧАС!K78,БАЛАНС_ДЕНЬ_ЧАС!K86,БАЛАНС_ДЕНЬ_ЧАС!K94,БАЛАНС_ДЕНЬ_ЧАС!K102,БАЛАНС_ДЕНЬ_ЧАС!K110,БАЛАНС_ДЕНЬ_ЧАС!K118,БАЛАНС_ДЕНЬ_ЧАС!K126,БАЛАНС_ДЕНЬ_ЧАС!K134,БАЛАНС_ДЕНЬ_ЧАС!K142,БАЛАНС_ДЕНЬ_ЧАС!K150,БАЛАНС_ДЕНЬ_ЧАС!K158,БАЛАНС_ДЕНЬ_ЧАС!K166,БАЛАНС_ДЕНЬ_ЧАС!K174,БАЛАНС_ДЕНЬ_ЧАС!K182,БАЛАНС_ДЕНЬ_ЧАС!K190,БАЛАНС_ДЕНЬ_ЧАС!K198,БАЛАНС_ДЕНЬ_ЧАС!K206,БАЛАНС_ДЕНЬ_ЧАС!K214,БАЛАНС_ДЕНЬ_ЧАС!K222,БАЛАНС_ДЕНЬ_ЧАС!K230,БАЛАНС_ДЕНЬ_ЧАС!K238,БАЛАНС_ДЕНЬ_ЧАС!K246,БАЛАНС_ДЕНЬ_ЧАС!K254,БАЛАНС_ДЕНЬ_ЧАС!K262,БАЛАНС_ДЕНЬ_ЧАС!K270,БАЛАНС_ДЕНЬ_ЧАС!K278,БАЛАНС_ДЕНЬ_ЧАС!K286,БАЛАНС_ДЕНЬ_ЧАС!K294,БАЛАНС_ДЕНЬ_ЧАС!K302,БАЛАНС_ДЕНЬ_ЧАС!K310,БАЛАНС_ДЕНЬ_ЧАС!K318,БАЛАНС_ДЕНЬ_ЧАС!K326,БАЛАНС_ДЕНЬ_ЧАС!K334,БАЛАНС_ДЕНЬ_ЧАС!K342,БАЛАНС_ДЕНЬ_ЧАС!K350,БАЛАНС_ДЕНЬ_ЧАС!K358,БАЛАНС_ДЕНЬ_ЧАС!K366,БАЛАНС_ДЕНЬ_ЧАС!K374,БАЛАНС_ДЕНЬ_ЧАС!K382,БАЛАНС_ДЕНЬ_ЧАС!K390,БАЛАНС_ДЕНЬ_ЧАС!K398,БАЛАНС_ДЕНЬ_ЧАС!K406,БАЛАНС_ДЕНЬ_ЧАС!K414,БАЛАНС_ДЕНЬ_ЧАС!K422,БАЛАНС_ДЕНЬ_ЧАС!K430,БАЛАНС_ДЕНЬ_ЧАС!K438,БАЛАНС_ДЕНЬ_ЧАС!K446,БАЛАНС_ДЕНЬ_ЧАС!K454,БАЛАНС_ДЕНЬ_ЧАС!K462,БАЛАНС_ДЕНЬ_ЧАС!K470,БАЛАНС_ДЕНЬ_ЧАС!K478,БАЛАНС_ДЕНЬ_ЧАС!K486,БАЛАНС_ДЕНЬ_ЧАС!K494,БАЛАНС_ДЕНЬ_ЧАС!K502,БАЛАНС_ДЕНЬ_ЧАС!K510,БАЛАНС_ДЕНЬ_ЧАС!K518,БАЛАНС_ДЕНЬ_ЧАС!K526,БАЛАНС_ДЕНЬ_ЧАС!K534,БАЛАНС_ДЕНЬ_ЧАС!K542,БАЛАНС_ДЕНЬ_ЧАС!K550,БАЛАНС_ДЕНЬ_ЧАС!K558,БАЛАНС_ДЕНЬ_ЧАС!K566,БАЛАНС_ДЕНЬ_ЧАС!K574,БАЛАНС_ДЕНЬ_ЧАС!K582,БАЛАНС_ДЕНЬ_ЧАС!K590,БАЛАНС_ДЕНЬ_ЧАС!K598,БАЛАНС_ДЕНЬ_ЧАС!K606,БАЛАНС_ДЕНЬ_ЧАС!K614,БАЛАНС_ДЕНЬ_ЧАС!K622,БАЛАНС_ДЕНЬ_ЧАС!K630,БАЛАНС_ДЕНЬ_ЧАС!K638,БАЛАНС_ДЕНЬ_ЧАС!K646,БАЛАНС_ДЕНЬ_ЧАС!K654,БАЛАНС_ДЕНЬ_ЧАС!K662,БАЛАНС_ДЕНЬ_ЧАС!K670,БАЛАНС_ДЕНЬ_ЧАС!K678,БАЛАНС_ДЕНЬ_ЧАС!K686,БАЛАНС_ДЕНЬ_ЧАС!K694,БАЛАНС_ДЕНЬ_ЧАС!K702,БАЛАНС_ДЕНЬ_ЧАС!K710,БАЛАНС_ДЕНЬ_ЧАС!K718,БАЛАНС_ДЕНЬ_ЧАС!K726,БАЛАНС_ДЕНЬ_ЧАС!K734,БАЛАНС_ДЕНЬ_ЧАС!K742,БАЛАНС_ДЕНЬ_ЧАС!K750,БАЛАНС_ДЕНЬ_ЧАС!K758,БАЛАНС_ДЕНЬ_ЧАС!K766,БАЛАНС_ДЕНЬ_ЧАС!K774,БАЛАНС_ДЕНЬ_ЧАС!K782,БАЛАНС_ДЕНЬ_ЧАС!K790,БАЛАНС_ДЕНЬ_ЧАС!K798,БАЛАНС_ДЕНЬ_ЧАС!K806,БАЛАНС_ДЕНЬ_ЧАС!K814,БАЛАНС_ДЕНЬ_ЧАС!K822,БАЛАНС_ДЕНЬ_ЧАС!K830,БАЛАНС_ДЕНЬ_ЧАС!K838,БАЛАНС_ДЕНЬ_ЧАС!K846)</f>
        <v>0.9725</v>
      </c>
      <c r="O30" s="11" t="str">
        <f aca="false">IF(N30&gt;0,"BLOCKED","PASS")</f>
        <v>BLOCKED</v>
      </c>
      <c r="P30" s="11" t="s">
        <v>145</v>
      </c>
    </row>
    <row r="31" customFormat="false" ht="15" hidden="false" customHeight="false" outlineLevel="0" collapsed="false">
      <c r="A31" s="11" t="n">
        <v>21</v>
      </c>
      <c r="B31" s="11" t="s">
        <v>174</v>
      </c>
      <c r="C31" s="11" t="s">
        <v>177</v>
      </c>
      <c r="D31" s="11" t="s">
        <v>83</v>
      </c>
      <c r="E31" s="12" t="n">
        <v>350</v>
      </c>
      <c r="F31" s="12" t="n">
        <f aca="false">SUMIF(СПРОС_ДЕНЬ_ЧАС_МЕНЮ!$C$11:$C$3265,A31,СПРОС_ДЕНЬ_ЧАС_МЕНЮ!$I$11:$I$3265)</f>
        <v>190.916</v>
      </c>
      <c r="G31" s="12" t="n">
        <f aca="false">MAX(СПРОС_ДЕНЬ_ЧАС_МЕНЮ!I31,СПРОС_ДЕНЬ_ЧАС_МЕНЮ!I62,СПРОС_ДЕНЬ_ЧАС_МЕНЮ!I93,СПРОС_ДЕНЬ_ЧАС_МЕНЮ!I124,СПРОС_ДЕНЬ_ЧАС_МЕНЮ!I155,СПРОС_ДЕНЬ_ЧАС_МЕНЮ!I186,СПРОС_ДЕНЬ_ЧАС_МЕНЮ!I217,СПРОС_ДЕНЬ_ЧАС_МЕНЮ!I248,СПРОС_ДЕНЬ_ЧАС_МЕНЮ!I279,СПРОС_ДЕНЬ_ЧАС_МЕНЮ!I310,СПРОС_ДЕНЬ_ЧАС_МЕНЮ!I341,СПРОС_ДЕНЬ_ЧАС_МЕНЮ!I372,СПРОС_ДЕНЬ_ЧАС_МЕНЮ!I403,СПРОС_ДЕНЬ_ЧАС_МЕНЮ!I434,СПРОС_ДЕНЬ_ЧАС_МЕНЮ!I465,СПРОС_ДЕНЬ_ЧАС_МЕНЮ!I496,СПРОС_ДЕНЬ_ЧАС_МЕНЮ!I527,СПРОС_ДЕНЬ_ЧАС_МЕНЮ!I558,СПРОС_ДЕНЬ_ЧАС_МЕНЮ!I589,СПРОС_ДЕНЬ_ЧАС_МЕНЮ!I620,СПРОС_ДЕНЬ_ЧАС_МЕНЮ!I651,СПРОС_ДЕНЬ_ЧАС_МЕНЮ!I682,СПРОС_ДЕНЬ_ЧАС_МЕНЮ!I713,СПРОС_ДЕНЬ_ЧАС_МЕНЮ!I744,СПРОС_ДЕНЬ_ЧАС_МЕНЮ!I775,СПРОС_ДЕНЬ_ЧАС_МЕНЮ!I806,СПРОС_ДЕНЬ_ЧАС_МЕНЮ!I837,СПРОС_ДЕНЬ_ЧАС_МЕНЮ!I868,СПРОС_ДЕНЬ_ЧАС_МЕНЮ!I899,СПРОС_ДЕНЬ_ЧАС_МЕНЮ!I930,СПРОС_ДЕНЬ_ЧАС_МЕНЮ!I961,СПРОС_ДЕНЬ_ЧАС_МЕНЮ!I992,СПРОС_ДЕНЬ_ЧАС_МЕНЮ!I1023,СПРОС_ДЕНЬ_ЧАС_МЕНЮ!I1054,СПРОС_ДЕНЬ_ЧАС_МЕНЮ!I1085,СПРОС_ДЕНЬ_ЧАС_МЕНЮ!I1116,СПРОС_ДЕНЬ_ЧАС_МЕНЮ!I1147,СПРОС_ДЕНЬ_ЧАС_МЕНЮ!I1178,СПРОС_ДЕНЬ_ЧАС_МЕНЮ!I1209,СПРОС_ДЕНЬ_ЧАС_МЕНЮ!I1240,СПРОС_ДЕНЬ_ЧАС_МЕНЮ!I1271,СПРОС_ДЕНЬ_ЧАС_МЕНЮ!I1302,СПРОС_ДЕНЬ_ЧАС_МЕНЮ!I1333,СПРОС_ДЕНЬ_ЧАС_МЕНЮ!I1364,СПРОС_ДЕНЬ_ЧАС_МЕНЮ!I1395,СПРОС_ДЕНЬ_ЧАС_МЕНЮ!I1426,СПРОС_ДЕНЬ_ЧАС_МЕНЮ!I1457,СПРОС_ДЕНЬ_ЧАС_МЕНЮ!I1488,СПРОС_ДЕНЬ_ЧАС_МЕНЮ!I1519,СПРОС_ДЕНЬ_ЧАС_МЕНЮ!I1550,СПРОС_ДЕНЬ_ЧАС_МЕНЮ!I1581,СПРОС_ДЕНЬ_ЧАС_МЕНЮ!I1612,СПРОС_ДЕНЬ_ЧАС_МЕНЮ!I1643,СПРОС_ДЕНЬ_ЧАС_МЕНЮ!I1674,СПРОС_ДЕНЬ_ЧАС_МЕНЮ!I1705,СПРОС_ДЕНЬ_ЧАС_МЕНЮ!I1736,СПРОС_ДЕНЬ_ЧАС_МЕНЮ!I1767,СПРОС_ДЕНЬ_ЧАС_МЕНЮ!I1798,СПРОС_ДЕНЬ_ЧАС_МЕНЮ!I1829,СПРОС_ДЕНЬ_ЧАС_МЕНЮ!I1860,СПРОС_ДЕНЬ_ЧАС_МЕНЮ!I1891,СПРОС_ДЕНЬ_ЧАС_МЕНЮ!I1922,СПРОС_ДЕНЬ_ЧАС_МЕНЮ!I1953,СПРОС_ДЕНЬ_ЧАС_МЕНЮ!I1984,СПРОС_ДЕНЬ_ЧАС_МЕНЮ!I2015,СПРОС_ДЕНЬ_ЧАС_МЕНЮ!I2046,СПРОС_ДЕНЬ_ЧАС_МЕНЮ!I2077,СПРОС_ДЕНЬ_ЧАС_МЕНЮ!I2108,СПРОС_ДЕНЬ_ЧАС_МЕНЮ!I2139,СПРОС_ДЕНЬ_ЧАС_МЕНЮ!I2170,СПРОС_ДЕНЬ_ЧАС_МЕНЮ!I2201,СПРОС_ДЕНЬ_ЧАС_МЕНЮ!I2232,СПРОС_ДЕНЬ_ЧАС_МЕНЮ!I2263,СПРОС_ДЕНЬ_ЧАС_МЕНЮ!I2294,СПРОС_ДЕНЬ_ЧАС_МЕНЮ!I2325,СПРОС_ДЕНЬ_ЧАС_МЕНЮ!I2356,СПРОС_ДЕНЬ_ЧАС_МЕНЮ!I2387,СПРОС_ДЕНЬ_ЧАС_МЕНЮ!I2418,СПРОС_ДЕНЬ_ЧАС_МЕНЮ!I2449,СПРОС_ДЕНЬ_ЧАС_МЕНЮ!I2480,СПРОС_ДЕНЬ_ЧАС_МЕНЮ!I2511,СПРОС_ДЕНЬ_ЧАС_МЕНЮ!I2542,СПРОС_ДЕНЬ_ЧАС_МЕНЮ!I2573,СПРОС_ДЕНЬ_ЧАС_МЕНЮ!I2604,СПРОС_ДЕНЬ_ЧАС_МЕНЮ!I2635,СПРОС_ДЕНЬ_ЧАС_МЕНЮ!I2666,СПРОС_ДЕНЬ_ЧАС_МЕНЮ!I2697,СПРОС_ДЕНЬ_ЧАС_МЕНЮ!I2728,СПРОС_ДЕНЬ_ЧАС_МЕНЮ!I2759,СПРОС_ДЕНЬ_ЧАС_МЕНЮ!I2790,СПРОС_ДЕНЬ_ЧАС_МЕНЮ!I2821,СПРОС_ДЕНЬ_ЧАС_МЕНЮ!I2852,СПРОС_ДЕНЬ_ЧАС_МЕНЮ!I2883,СПРОС_ДЕНЬ_ЧАС_МЕНЮ!I2914,СПРОС_ДЕНЬ_ЧАС_МЕНЮ!I2945,СПРОС_ДЕНЬ_ЧАС_МЕНЮ!I2976,СПРОС_ДЕНЬ_ЧАС_МЕНЮ!I3007,СПРОС_ДЕНЬ_ЧАС_МЕНЮ!I3038,СПРОС_ДЕНЬ_ЧАС_МЕНЮ!I3069,СПРОС_ДЕНЬ_ЧАС_МЕНЮ!I3100,СПРОС_ДЕНЬ_ЧАС_МЕНЮ!I3131,СПРОС_ДЕНЬ_ЧАС_МЕНЮ!I3162,СПРОС_ДЕНЬ_ЧАС_МЕНЮ!I3193,СПРОС_ДЕНЬ_ЧАС_МЕНЮ!I3224,СПРОС_ДЕНЬ_ЧАС_МЕНЮ!I3255)</f>
        <v>5.92845</v>
      </c>
      <c r="H31" s="12" t="s">
        <v>112</v>
      </c>
      <c r="I31" s="12" t="s">
        <v>137</v>
      </c>
      <c r="J31" s="12" t="n">
        <f aca="false">MAX(БАЛАНС_ДЕНЬ_ЧАС!F14,БАЛАНС_ДЕНЬ_ЧАС!F22,БАЛАНС_ДЕНЬ_ЧАС!F30,БАЛАНС_ДЕНЬ_ЧАС!F38,БАЛАНС_ДЕНЬ_ЧАС!F46,БАЛАНС_ДЕНЬ_ЧАС!F54,БАЛАНС_ДЕНЬ_ЧАС!F62,БАЛАНС_ДЕНЬ_ЧАС!F70,БАЛАНС_ДЕНЬ_ЧАС!F78,БАЛАНС_ДЕНЬ_ЧАС!F86,БАЛАНС_ДЕНЬ_ЧАС!F94,БАЛАНС_ДЕНЬ_ЧАС!F102,БАЛАНС_ДЕНЬ_ЧАС!F110,БАЛАНС_ДЕНЬ_ЧАС!F118,БАЛАНС_ДЕНЬ_ЧАС!F126,БАЛАНС_ДЕНЬ_ЧАС!F134,БАЛАНС_ДЕНЬ_ЧАС!F142,БАЛАНС_ДЕНЬ_ЧАС!F150,БАЛАНС_ДЕНЬ_ЧАС!F158,БАЛАНС_ДЕНЬ_ЧАС!F166,БАЛАНС_ДЕНЬ_ЧАС!F174,БАЛАНС_ДЕНЬ_ЧАС!F182,БАЛАНС_ДЕНЬ_ЧАС!F190,БАЛАНС_ДЕНЬ_ЧАС!F198,БАЛАНС_ДЕНЬ_ЧАС!F206,БАЛАНС_ДЕНЬ_ЧАС!F214,БАЛАНС_ДЕНЬ_ЧАС!F222,БАЛАНС_ДЕНЬ_ЧАС!F230,БАЛАНС_ДЕНЬ_ЧАС!F238,БАЛАНС_ДЕНЬ_ЧАС!F246,БАЛАНС_ДЕНЬ_ЧАС!F254,БАЛАНС_ДЕНЬ_ЧАС!F262,БАЛАНС_ДЕНЬ_ЧАС!F270,БАЛАНС_ДЕНЬ_ЧАС!F278,БАЛАНС_ДЕНЬ_ЧАС!F286,БАЛАНС_ДЕНЬ_ЧАС!F294,БАЛАНС_ДЕНЬ_ЧАС!F302,БАЛАНС_ДЕНЬ_ЧАС!F310,БАЛАНС_ДЕНЬ_ЧАС!F318,БАЛАНС_ДЕНЬ_ЧАС!F326,БАЛАНС_ДЕНЬ_ЧАС!F334,БАЛАНС_ДЕНЬ_ЧАС!F342,БАЛАНС_ДЕНЬ_ЧАС!F350,БАЛАНС_ДЕНЬ_ЧАС!F358,БАЛАНС_ДЕНЬ_ЧАС!F366,БАЛАНС_ДЕНЬ_ЧАС!F374,БАЛАНС_ДЕНЬ_ЧАС!F382,БАЛАНС_ДЕНЬ_ЧАС!F390,БАЛАНС_ДЕНЬ_ЧАС!F398,БАЛАНС_ДЕНЬ_ЧАС!F406,БАЛАНС_ДЕНЬ_ЧАС!F414,БАЛАНС_ДЕНЬ_ЧАС!F422,БАЛАНС_ДЕНЬ_ЧАС!F430,БАЛАНС_ДЕНЬ_ЧАС!F438,БАЛАНС_ДЕНЬ_ЧАС!F446,БАЛАНС_ДЕНЬ_ЧАС!F454,БАЛАНС_ДЕНЬ_ЧАС!F462,БАЛАНС_ДЕНЬ_ЧАС!F470,БАЛАНС_ДЕНЬ_ЧАС!F478,БАЛАНС_ДЕНЬ_ЧАС!F486,БАЛАНС_ДЕНЬ_ЧАС!F494,БАЛАНС_ДЕНЬ_ЧАС!F502,БАЛАНС_ДЕНЬ_ЧАС!F510,БАЛАНС_ДЕНЬ_ЧАС!F518,БАЛАНС_ДЕНЬ_ЧАС!F526,БАЛАНС_ДЕНЬ_ЧАС!F534,БАЛАНС_ДЕНЬ_ЧАС!F542,БАЛАНС_ДЕНЬ_ЧАС!F550,БАЛАНС_ДЕНЬ_ЧАС!F558,БАЛАНС_ДЕНЬ_ЧАС!F566,БАЛАНС_ДЕНЬ_ЧАС!F574,БАЛАНС_ДЕНЬ_ЧАС!F582,БАЛАНС_ДЕНЬ_ЧАС!F590,БАЛАНС_ДЕНЬ_ЧАС!F598,БАЛАНС_ДЕНЬ_ЧАС!F606,БАЛАНС_ДЕНЬ_ЧАС!F614,БАЛАНС_ДЕНЬ_ЧАС!F622,БАЛАНС_ДЕНЬ_ЧАС!F630,БАЛАНС_ДЕНЬ_ЧАС!F638,БАЛАНС_ДЕНЬ_ЧАС!F646,БАЛАНС_ДЕНЬ_ЧАС!F654,БАЛАНС_ДЕНЬ_ЧАС!F662,БАЛАНС_ДЕНЬ_ЧАС!F670,БАЛАНС_ДЕНЬ_ЧАС!F678,БАЛАНС_ДЕНЬ_ЧАС!F686,БАЛАНС_ДЕНЬ_ЧАС!F694,БАЛАНС_ДЕНЬ_ЧАС!F702,БАЛАНС_ДЕНЬ_ЧАС!F710,БАЛАНС_ДЕНЬ_ЧАС!F718,БАЛАНС_ДЕНЬ_ЧАС!F726,БАЛАНС_ДЕНЬ_ЧАС!F734,БАЛАНС_ДЕНЬ_ЧАС!F742,БАЛАНС_ДЕНЬ_ЧАС!F750,БАЛАНС_ДЕНЬ_ЧАС!F758,БАЛАНС_ДЕНЬ_ЧАС!F766,БАЛАНС_ДЕНЬ_ЧАС!F774,БАЛАНС_ДЕНЬ_ЧАС!F782,БАЛАНС_ДЕНЬ_ЧАС!F790,БАЛАНС_ДЕНЬ_ЧАС!F798,БАЛАНС_ДЕНЬ_ЧАС!F806,БАЛАНС_ДЕНЬ_ЧАС!F814,БАЛАНС_ДЕНЬ_ЧАС!F822,БАЛАНС_ДЕНЬ_ЧАС!F830,БАЛАНС_ДЕНЬ_ЧАС!F838,БАЛАНС_ДЕНЬ_ЧАС!F846)</f>
        <v>21.9725</v>
      </c>
      <c r="K31" s="12" t="n">
        <f aca="false">ПАРАМЕТРЫ!D23</f>
        <v>21</v>
      </c>
      <c r="L31" s="12" t="n">
        <f aca="false">MAX(БАЛАНС_ДЕНЬ_ЧАС!I14,БАЛАНС_ДЕНЬ_ЧАС!I22,БАЛАНС_ДЕНЬ_ЧАС!I30,БАЛАНС_ДЕНЬ_ЧАС!I38,БАЛАНС_ДЕНЬ_ЧАС!I46,БАЛАНС_ДЕНЬ_ЧАС!I54,БАЛАНС_ДЕНЬ_ЧАС!I62,БАЛАНС_ДЕНЬ_ЧАС!I70,БАЛАНС_ДЕНЬ_ЧАС!I78,БАЛАНС_ДЕНЬ_ЧАС!I86,БАЛАНС_ДЕНЬ_ЧАС!I94,БАЛАНС_ДЕНЬ_ЧАС!I102,БАЛАНС_ДЕНЬ_ЧАС!I110,БАЛАНС_ДЕНЬ_ЧАС!I118,БАЛАНС_ДЕНЬ_ЧАС!I126,БАЛАНС_ДЕНЬ_ЧАС!I134,БАЛАНС_ДЕНЬ_ЧАС!I142,БАЛАНС_ДЕНЬ_ЧАС!I150,БАЛАНС_ДЕНЬ_ЧАС!I158,БАЛАНС_ДЕНЬ_ЧАС!I166,БАЛАНС_ДЕНЬ_ЧАС!I174,БАЛАНС_ДЕНЬ_ЧАС!I182,БАЛАНС_ДЕНЬ_ЧАС!I190,БАЛАНС_ДЕНЬ_ЧАС!I198,БАЛАНС_ДЕНЬ_ЧАС!I206,БАЛАНС_ДЕНЬ_ЧАС!I214,БАЛАНС_ДЕНЬ_ЧАС!I222,БАЛАНС_ДЕНЬ_ЧАС!I230,БАЛАНС_ДЕНЬ_ЧАС!I238,БАЛАНС_ДЕНЬ_ЧАС!I246,БАЛАНС_ДЕНЬ_ЧАС!I254,БАЛАНС_ДЕНЬ_ЧАС!I262,БАЛАНС_ДЕНЬ_ЧАС!I270,БАЛАНС_ДЕНЬ_ЧАС!I278,БАЛАНС_ДЕНЬ_ЧАС!I286,БАЛАНС_ДЕНЬ_ЧАС!I294,БАЛАНС_ДЕНЬ_ЧАС!I302,БАЛАНС_ДЕНЬ_ЧАС!I310,БАЛАНС_ДЕНЬ_ЧАС!I318,БАЛАНС_ДЕНЬ_ЧАС!I326,БАЛАНС_ДЕНЬ_ЧАС!I334,БАЛАНС_ДЕНЬ_ЧАС!I342,БАЛАНС_ДЕНЬ_ЧАС!I350,БАЛАНС_ДЕНЬ_ЧАС!I358,БАЛАНС_ДЕНЬ_ЧАС!I366,БАЛАНС_ДЕНЬ_ЧАС!I374,БАЛАНС_ДЕНЬ_ЧАС!I382,БАЛАНС_ДЕНЬ_ЧАС!I390,БАЛАНС_ДЕНЬ_ЧАС!I398,БАЛАНС_ДЕНЬ_ЧАС!I406,БАЛАНС_ДЕНЬ_ЧАС!I414,БАЛАНС_ДЕНЬ_ЧАС!I422,БАЛАНС_ДЕНЬ_ЧАС!I430,БАЛАНС_ДЕНЬ_ЧАС!I438,БАЛАНС_ДЕНЬ_ЧАС!I446,БАЛАНС_ДЕНЬ_ЧАС!I454,БАЛАНС_ДЕНЬ_ЧАС!I462,БАЛАНС_ДЕНЬ_ЧАС!I470,БАЛАНС_ДЕНЬ_ЧАС!I478,БАЛАНС_ДЕНЬ_ЧАС!I486,БАЛАНС_ДЕНЬ_ЧАС!I494,БАЛАНС_ДЕНЬ_ЧАС!I502,БАЛАНС_ДЕНЬ_ЧАС!I510,БАЛАНС_ДЕНЬ_ЧАС!I518,БАЛАНС_ДЕНЬ_ЧАС!I526,БАЛАНС_ДЕНЬ_ЧАС!I534,БАЛАНС_ДЕНЬ_ЧАС!I542,БАЛАНС_ДЕНЬ_ЧАС!I550,БАЛАНС_ДЕНЬ_ЧАС!I558,БАЛАНС_ДЕНЬ_ЧАС!I566,БАЛАНС_ДЕНЬ_ЧАС!I574,БАЛАНС_ДЕНЬ_ЧАС!I582,БАЛАНС_ДЕНЬ_ЧАС!I590,БАЛАНС_ДЕНЬ_ЧАС!I598,БАЛАНС_ДЕНЬ_ЧАС!I606,БАЛАНС_ДЕНЬ_ЧАС!I614,БАЛАНС_ДЕНЬ_ЧАС!I622,БАЛАНС_ДЕНЬ_ЧАС!I630,БАЛАНС_ДЕНЬ_ЧАС!I638,БАЛАНС_ДЕНЬ_ЧАС!I646,БАЛАНС_ДЕНЬ_ЧАС!I654,БАЛАНС_ДЕНЬ_ЧАС!I662,БАЛАНС_ДЕНЬ_ЧАС!I670,БАЛАНС_ДЕНЬ_ЧАС!I678,БАЛАНС_ДЕНЬ_ЧАС!I686,БАЛАНС_ДЕНЬ_ЧАС!I694,БАЛАНС_ДЕНЬ_ЧАС!I702,БАЛАНС_ДЕНЬ_ЧАС!I710,БАЛАНС_ДЕНЬ_ЧАС!I718,БАЛАНС_ДЕНЬ_ЧАС!I726,БАЛАНС_ДЕНЬ_ЧАС!I734,БАЛАНС_ДЕНЬ_ЧАС!I742,БАЛАНС_ДЕНЬ_ЧАС!I750,БАЛАНС_ДЕНЬ_ЧАС!I758,БАЛАНС_ДЕНЬ_ЧАС!I766,БАЛАНС_ДЕНЬ_ЧАС!I774,БАЛАНС_ДЕНЬ_ЧАС!I782,БАЛАНС_ДЕНЬ_ЧАС!I790,БАЛАНС_ДЕНЬ_ЧАС!I798,БАЛАНС_ДЕНЬ_ЧАС!I806,БАЛАНС_ДЕНЬ_ЧАС!I814,БАЛАНС_ДЕНЬ_ЧАС!I822,БАЛАНС_ДЕНЬ_ЧАС!I830,БАЛАНС_ДЕНЬ_ЧАС!I838,БАЛАНС_ДЕНЬ_ЧАС!I846)</f>
        <v>21</v>
      </c>
      <c r="M31" s="12" t="n">
        <f aca="false">MAX(БАЛАНС_ДЕНЬ_ЧАС!J14,БАЛАНС_ДЕНЬ_ЧАС!J22,БАЛАНС_ДЕНЬ_ЧАС!J30,БАЛАНС_ДЕНЬ_ЧАС!J38,БАЛАНС_ДЕНЬ_ЧАС!J46,БАЛАНС_ДЕНЬ_ЧАС!J54,БАЛАНС_ДЕНЬ_ЧАС!J62,БАЛАНС_ДЕНЬ_ЧАС!J70,БАЛАНС_ДЕНЬ_ЧАС!J78,БАЛАНС_ДЕНЬ_ЧАС!J86,БАЛАНС_ДЕНЬ_ЧАС!J94,БАЛАНС_ДЕНЬ_ЧАС!J102,БАЛАНС_ДЕНЬ_ЧАС!J110,БАЛАНС_ДЕНЬ_ЧАС!J118,БАЛАНС_ДЕНЬ_ЧАС!J126,БАЛАНС_ДЕНЬ_ЧАС!J134,БАЛАНС_ДЕНЬ_ЧАС!J142,БАЛАНС_ДЕНЬ_ЧАС!J150,БАЛАНС_ДЕНЬ_ЧАС!J158,БАЛАНС_ДЕНЬ_ЧАС!J166,БАЛАНС_ДЕНЬ_ЧАС!J174,БАЛАНС_ДЕНЬ_ЧАС!J182,БАЛАНС_ДЕНЬ_ЧАС!J190,БАЛАНС_ДЕНЬ_ЧАС!J198,БАЛАНС_ДЕНЬ_ЧАС!J206,БАЛАНС_ДЕНЬ_ЧАС!J214,БАЛАНС_ДЕНЬ_ЧАС!J222,БАЛАНС_ДЕНЬ_ЧАС!J230,БАЛАНС_ДЕНЬ_ЧАС!J238,БАЛАНС_ДЕНЬ_ЧАС!J246,БАЛАНС_ДЕНЬ_ЧАС!J254,БАЛАНС_ДЕНЬ_ЧАС!J262,БАЛАНС_ДЕНЬ_ЧАС!J270,БАЛАНС_ДЕНЬ_ЧАС!J278,БАЛАНС_ДЕНЬ_ЧАС!J286,БАЛАНС_ДЕНЬ_ЧАС!J294,БАЛАНС_ДЕНЬ_ЧАС!J302,БАЛАНС_ДЕНЬ_ЧАС!J310,БАЛАНС_ДЕНЬ_ЧАС!J318,БАЛАНС_ДЕНЬ_ЧАС!J326,БАЛАНС_ДЕНЬ_ЧАС!J334,БАЛАНС_ДЕНЬ_ЧАС!J342,БАЛАНС_ДЕНЬ_ЧАС!J350,БАЛАНС_ДЕНЬ_ЧАС!J358,БАЛАНС_ДЕНЬ_ЧАС!J366,БАЛАНС_ДЕНЬ_ЧАС!J374,БАЛАНС_ДЕНЬ_ЧАС!J382,БАЛАНС_ДЕНЬ_ЧАС!J390,БАЛАНС_ДЕНЬ_ЧАС!J398,БАЛАНС_ДЕНЬ_ЧАС!J406,БАЛАНС_ДЕНЬ_ЧАС!J414,БАЛАНС_ДЕНЬ_ЧАС!J422,БАЛАНС_ДЕНЬ_ЧАС!J430,БАЛАНС_ДЕНЬ_ЧАС!J438,БАЛАНС_ДЕНЬ_ЧАС!J446,БАЛАНС_ДЕНЬ_ЧАС!J454,БАЛАНС_ДЕНЬ_ЧАС!J462,БАЛАНС_ДЕНЬ_ЧАС!J470,БАЛАНС_ДЕНЬ_ЧАС!J478,БАЛАНС_ДЕНЬ_ЧАС!J486,БАЛАНС_ДЕНЬ_ЧАС!J494,БАЛАНС_ДЕНЬ_ЧАС!J502,БАЛАНС_ДЕНЬ_ЧАС!J510,БАЛАНС_ДЕНЬ_ЧАС!J518,БАЛАНС_ДЕНЬ_ЧАС!J526,БАЛАНС_ДЕНЬ_ЧАС!J534,БАЛАНС_ДЕНЬ_ЧАС!J542,БАЛАНС_ДЕНЬ_ЧАС!J550,БАЛАНС_ДЕНЬ_ЧАС!J558,БАЛАНС_ДЕНЬ_ЧАС!J566,БАЛАНС_ДЕНЬ_ЧАС!J574,БАЛАНС_ДЕНЬ_ЧАС!J582,БАЛАНС_ДЕНЬ_ЧАС!J590,БАЛАНС_ДЕНЬ_ЧАС!J598,БАЛАНС_ДЕНЬ_ЧАС!J606,БАЛАНС_ДЕНЬ_ЧАС!J614,БАЛАНС_ДЕНЬ_ЧАС!J622,БАЛАНС_ДЕНЬ_ЧАС!J630,БАЛАНС_ДЕНЬ_ЧАС!J638,БАЛАНС_ДЕНЬ_ЧАС!J646,БАЛАНС_ДЕНЬ_ЧАС!J654,БАЛАНС_ДЕНЬ_ЧАС!J662,БАЛАНС_ДЕНЬ_ЧАС!J670,БАЛАНС_ДЕНЬ_ЧАС!J678,БАЛАНС_ДЕНЬ_ЧАС!J686,БАЛАНС_ДЕНЬ_ЧАС!J694,БАЛАНС_ДЕНЬ_ЧАС!J702,БАЛАНС_ДЕНЬ_ЧАС!J710,БАЛАНС_ДЕНЬ_ЧАС!J718,БАЛАНС_ДЕНЬ_ЧАС!J726,БАЛАНС_ДЕНЬ_ЧАС!J734,БАЛАНС_ДЕНЬ_ЧАС!J742,БАЛАНС_ДЕНЬ_ЧАС!J750,БАЛАНС_ДЕНЬ_ЧАС!J758,БАЛАНС_ДЕНЬ_ЧАС!J766,БАЛАНС_ДЕНЬ_ЧАС!J774,БАЛАНС_ДЕНЬ_ЧАС!J782,БАЛАНС_ДЕНЬ_ЧАС!J790,БАЛАНС_ДЕНЬ_ЧАС!J798,БАЛАНС_ДЕНЬ_ЧАС!J806,БАЛАНС_ДЕНЬ_ЧАС!J814,БАЛАНС_ДЕНЬ_ЧАС!J822,БАЛАНС_ДЕНЬ_ЧАС!J830,БАЛАНС_ДЕНЬ_ЧАС!J838,БАЛАНС_ДЕНЬ_ЧАС!J846)</f>
        <v>21</v>
      </c>
      <c r="N31" s="12" t="n">
        <f aca="false">MAX(БАЛАНС_ДЕНЬ_ЧАС!K14,БАЛАНС_ДЕНЬ_ЧАС!K22,БАЛАНС_ДЕНЬ_ЧАС!K30,БАЛАНС_ДЕНЬ_ЧАС!K38,БАЛАНС_ДЕНЬ_ЧАС!K46,БАЛАНС_ДЕНЬ_ЧАС!K54,БАЛАНС_ДЕНЬ_ЧАС!K62,БАЛАНС_ДЕНЬ_ЧАС!K70,БАЛАНС_ДЕНЬ_ЧАС!K78,БАЛАНС_ДЕНЬ_ЧАС!K86,БАЛАНС_ДЕНЬ_ЧАС!K94,БАЛАНС_ДЕНЬ_ЧАС!K102,БАЛАНС_ДЕНЬ_ЧАС!K110,БАЛАНС_ДЕНЬ_ЧАС!K118,БАЛАНС_ДЕНЬ_ЧАС!K126,БАЛАНС_ДЕНЬ_ЧАС!K134,БАЛАНС_ДЕНЬ_ЧАС!K142,БАЛАНС_ДЕНЬ_ЧАС!K150,БАЛАНС_ДЕНЬ_ЧАС!K158,БАЛАНС_ДЕНЬ_ЧАС!K166,БАЛАНС_ДЕНЬ_ЧАС!K174,БАЛАНС_ДЕНЬ_ЧАС!K182,БАЛАНС_ДЕНЬ_ЧАС!K190,БАЛАНС_ДЕНЬ_ЧАС!K198,БАЛАНС_ДЕНЬ_ЧАС!K206,БАЛАНС_ДЕНЬ_ЧАС!K214,БАЛАНС_ДЕНЬ_ЧАС!K222,БАЛАНС_ДЕНЬ_ЧАС!K230,БАЛАНС_ДЕНЬ_ЧАС!K238,БАЛАНС_ДЕНЬ_ЧАС!K246,БАЛАНС_ДЕНЬ_ЧАС!K254,БАЛАНС_ДЕНЬ_ЧАС!K262,БАЛАНС_ДЕНЬ_ЧАС!K270,БАЛАНС_ДЕНЬ_ЧАС!K278,БАЛАНС_ДЕНЬ_ЧАС!K286,БАЛАНС_ДЕНЬ_ЧАС!K294,БАЛАНС_ДЕНЬ_ЧАС!K302,БАЛАНС_ДЕНЬ_ЧАС!K310,БАЛАНС_ДЕНЬ_ЧАС!K318,БАЛАНС_ДЕНЬ_ЧАС!K326,БАЛАНС_ДЕНЬ_ЧАС!K334,БАЛАНС_ДЕНЬ_ЧАС!K342,БАЛАНС_ДЕНЬ_ЧАС!K350,БАЛАНС_ДЕНЬ_ЧАС!K358,БАЛАНС_ДЕНЬ_ЧАС!K366,БАЛАНС_ДЕНЬ_ЧАС!K374,БАЛАНС_ДЕНЬ_ЧАС!K382,БАЛАНС_ДЕНЬ_ЧАС!K390,БАЛАНС_ДЕНЬ_ЧАС!K398,БАЛАНС_ДЕНЬ_ЧАС!K406,БАЛАНС_ДЕНЬ_ЧАС!K414,БАЛАНС_ДЕНЬ_ЧАС!K422,БАЛАНС_ДЕНЬ_ЧАС!K430,БАЛАНС_ДЕНЬ_ЧАС!K438,БАЛАНС_ДЕНЬ_ЧАС!K446,БАЛАНС_ДЕНЬ_ЧАС!K454,БАЛАНС_ДЕНЬ_ЧАС!K462,БАЛАНС_ДЕНЬ_ЧАС!K470,БАЛАНС_ДЕНЬ_ЧАС!K478,БАЛАНС_ДЕНЬ_ЧАС!K486,БАЛАНС_ДЕНЬ_ЧАС!K494,БАЛАНС_ДЕНЬ_ЧАС!K502,БАЛАНС_ДЕНЬ_ЧАС!K510,БАЛАНС_ДЕНЬ_ЧАС!K518,БАЛАНС_ДЕНЬ_ЧАС!K526,БАЛАНС_ДЕНЬ_ЧАС!K534,БАЛАНС_ДЕНЬ_ЧАС!K542,БАЛАНС_ДЕНЬ_ЧАС!K550,БАЛАНС_ДЕНЬ_ЧАС!K558,БАЛАНС_ДЕНЬ_ЧАС!K566,БАЛАНС_ДЕНЬ_ЧАС!K574,БАЛАНС_ДЕНЬ_ЧАС!K582,БАЛАНС_ДЕНЬ_ЧАС!K590,БАЛАНС_ДЕНЬ_ЧАС!K598,БАЛАНС_ДЕНЬ_ЧАС!K606,БАЛАНС_ДЕНЬ_ЧАС!K614,БАЛАНС_ДЕНЬ_ЧАС!K622,БАЛАНС_ДЕНЬ_ЧАС!K630,БАЛАНС_ДЕНЬ_ЧАС!K638,БАЛАНС_ДЕНЬ_ЧАС!K646,БАЛАНС_ДЕНЬ_ЧАС!K654,БАЛАНС_ДЕНЬ_ЧАС!K662,БАЛАНС_ДЕНЬ_ЧАС!K670,БАЛАНС_ДЕНЬ_ЧАС!K678,БАЛАНС_ДЕНЬ_ЧАС!K686,БАЛАНС_ДЕНЬ_ЧАС!K694,БАЛАНС_ДЕНЬ_ЧАС!K702,БАЛАНС_ДЕНЬ_ЧАС!K710,БАЛАНС_ДЕНЬ_ЧАС!K718,БАЛАНС_ДЕНЬ_ЧАС!K726,БАЛАНС_ДЕНЬ_ЧАС!K734,БАЛАНС_ДЕНЬ_ЧАС!K742,БАЛАНС_ДЕНЬ_ЧАС!K750,БАЛАНС_ДЕНЬ_ЧАС!K758,БАЛАНС_ДЕНЬ_ЧАС!K766,БАЛАНС_ДЕНЬ_ЧАС!K774,БАЛАНС_ДЕНЬ_ЧАС!K782,БАЛАНС_ДЕНЬ_ЧАС!K790,БАЛАНС_ДЕНЬ_ЧАС!K798,БАЛАНС_ДЕНЬ_ЧАС!K806,БАЛАНС_ДЕНЬ_ЧАС!K814,БАЛАНС_ДЕНЬ_ЧАС!K822,БАЛАНС_ДЕНЬ_ЧАС!K830,БАЛАНС_ДЕНЬ_ЧАС!K838,БАЛАНС_ДЕНЬ_ЧАС!K846)</f>
        <v>0.9725</v>
      </c>
      <c r="O31" s="11" t="str">
        <f aca="false">IF(N31&gt;0,"BLOCKED","PASS")</f>
        <v>BLOCKED</v>
      </c>
      <c r="P31" s="11" t="s">
        <v>145</v>
      </c>
    </row>
    <row r="32" customFormat="false" ht="15" hidden="false" customHeight="false" outlineLevel="0" collapsed="false">
      <c r="A32" s="11" t="n">
        <v>22</v>
      </c>
      <c r="B32" s="11" t="s">
        <v>174</v>
      </c>
      <c r="C32" s="11" t="s">
        <v>178</v>
      </c>
      <c r="D32" s="11" t="s">
        <v>83</v>
      </c>
      <c r="E32" s="12" t="n">
        <v>300</v>
      </c>
      <c r="F32" s="12" t="n">
        <f aca="false">SUMIF(СПРОС_ДЕНЬ_ЧАС_МЕНЮ!$C$11:$C$3265,A32,СПРОС_ДЕНЬ_ЧАС_МЕНЮ!$I$11:$I$3265)</f>
        <v>116.66875</v>
      </c>
      <c r="G32" s="12" t="n">
        <f aca="false">MAX(СПРОС_ДЕНЬ_ЧАС_МЕНЮ!I32,СПРОС_ДЕНЬ_ЧАС_МЕНЮ!I63,СПРОС_ДЕНЬ_ЧАС_МЕНЮ!I94,СПРОС_ДЕНЬ_ЧАС_МЕНЮ!I125,СПРОС_ДЕНЬ_ЧАС_МЕНЮ!I156,СПРОС_ДЕНЬ_ЧАС_МЕНЮ!I187,СПРОС_ДЕНЬ_ЧАС_МЕНЮ!I218,СПРОС_ДЕНЬ_ЧАС_МЕНЮ!I249,СПРОС_ДЕНЬ_ЧАС_МЕНЮ!I280,СПРОС_ДЕНЬ_ЧАС_МЕНЮ!I311,СПРОС_ДЕНЬ_ЧАС_МЕНЮ!I342,СПРОС_ДЕНЬ_ЧАС_МЕНЮ!I373,СПРОС_ДЕНЬ_ЧАС_МЕНЮ!I404,СПРОС_ДЕНЬ_ЧАС_МЕНЮ!I435,СПРОС_ДЕНЬ_ЧАС_МЕНЮ!I466,СПРОС_ДЕНЬ_ЧАС_МЕНЮ!I497,СПРОС_ДЕНЬ_ЧАС_МЕНЮ!I528,СПРОС_ДЕНЬ_ЧАС_МЕНЮ!I559,СПРОС_ДЕНЬ_ЧАС_МЕНЮ!I590,СПРОС_ДЕНЬ_ЧАС_МЕНЮ!I621,СПРОС_ДЕНЬ_ЧАС_МЕНЮ!I652,СПРОС_ДЕНЬ_ЧАС_МЕНЮ!I683,СПРОС_ДЕНЬ_ЧАС_МЕНЮ!I714,СПРОС_ДЕНЬ_ЧАС_МЕНЮ!I745,СПРОС_ДЕНЬ_ЧАС_МЕНЮ!I776,СПРОС_ДЕНЬ_ЧАС_МЕНЮ!I807,СПРОС_ДЕНЬ_ЧАС_МЕНЮ!I838,СПРОС_ДЕНЬ_ЧАС_МЕНЮ!I869,СПРОС_ДЕНЬ_ЧАС_МЕНЮ!I900,СПРОС_ДЕНЬ_ЧАС_МЕНЮ!I931,СПРОС_ДЕНЬ_ЧАС_МЕНЮ!I962,СПРОС_ДЕНЬ_ЧАС_МЕНЮ!I993,СПРОС_ДЕНЬ_ЧАС_МЕНЮ!I1024,СПРОС_ДЕНЬ_ЧАС_МЕНЮ!I1055,СПРОС_ДЕНЬ_ЧАС_МЕНЮ!I1086,СПРОС_ДЕНЬ_ЧАС_МЕНЮ!I1117,СПРОС_ДЕНЬ_ЧАС_МЕНЮ!I1148,СПРОС_ДЕНЬ_ЧАС_МЕНЮ!I1179,СПРОС_ДЕНЬ_ЧАС_МЕНЮ!I1210,СПРОС_ДЕНЬ_ЧАС_МЕНЮ!I1241,СПРОС_ДЕНЬ_ЧАС_МЕНЮ!I1272,СПРОС_ДЕНЬ_ЧАС_МЕНЮ!I1303,СПРОС_ДЕНЬ_ЧАС_МЕНЮ!I1334,СПРОС_ДЕНЬ_ЧАС_МЕНЮ!I1365,СПРОС_ДЕНЬ_ЧАС_МЕНЮ!I1396,СПРОС_ДЕНЬ_ЧАС_МЕНЮ!I1427,СПРОС_ДЕНЬ_ЧАС_МЕНЮ!I1458,СПРОС_ДЕНЬ_ЧАС_МЕНЮ!I1489,СПРОС_ДЕНЬ_ЧАС_МЕНЮ!I1520,СПРОС_ДЕНЬ_ЧАС_МЕНЮ!I1551,СПРОС_ДЕНЬ_ЧАС_МЕНЮ!I1582,СПРОС_ДЕНЬ_ЧАС_МЕНЮ!I1613,СПРОС_ДЕНЬ_ЧАС_МЕНЮ!I1644,СПРОС_ДЕНЬ_ЧАС_МЕНЮ!I1675,СПРОС_ДЕНЬ_ЧАС_МЕНЮ!I1706,СПРОС_ДЕНЬ_ЧАС_МЕНЮ!I1737,СПРОС_ДЕНЬ_ЧАС_МЕНЮ!I1768,СПРОС_ДЕНЬ_ЧАС_МЕНЮ!I1799,СПРОС_ДЕНЬ_ЧАС_МЕНЮ!I1830,СПРОС_ДЕНЬ_ЧАС_МЕНЮ!I1861,СПРОС_ДЕНЬ_ЧАС_МЕНЮ!I1892,СПРОС_ДЕНЬ_ЧАС_МЕНЮ!I1923,СПРОС_ДЕНЬ_ЧАС_МЕНЮ!I1954,СПРОС_ДЕНЬ_ЧАС_МЕНЮ!I1985,СПРОС_ДЕНЬ_ЧАС_МЕНЮ!I2016,СПРОС_ДЕНЬ_ЧАС_МЕНЮ!I2047,СПРОС_ДЕНЬ_ЧАС_МЕНЮ!I2078,СПРОС_ДЕНЬ_ЧАС_МЕНЮ!I2109,СПРОС_ДЕНЬ_ЧАС_МЕНЮ!I2140,СПРОС_ДЕНЬ_ЧАС_МЕНЮ!I2171,СПРОС_ДЕНЬ_ЧАС_МЕНЮ!I2202,СПРОС_ДЕНЬ_ЧАС_МЕНЮ!I2233,СПРОС_ДЕНЬ_ЧАС_МЕНЮ!I2264,СПРОС_ДЕНЬ_ЧАС_МЕНЮ!I2295,СПРОС_ДЕНЬ_ЧАС_МЕНЮ!I2326,СПРОС_ДЕНЬ_ЧАС_МЕНЮ!I2357,СПРОС_ДЕНЬ_ЧАС_МЕНЮ!I2388,СПРОС_ДЕНЬ_ЧАС_МЕНЮ!I2419,СПРОС_ДЕНЬ_ЧАС_МЕНЮ!I2450,СПРОС_ДЕНЬ_ЧАС_МЕНЮ!I2481,СПРОС_ДЕНЬ_ЧАС_МЕНЮ!I2512,СПРОС_ДЕНЬ_ЧАС_МЕНЮ!I2543,СПРОС_ДЕНЬ_ЧАС_МЕНЮ!I2574,СПРОС_ДЕНЬ_ЧАС_МЕНЮ!I2605,СПРОС_ДЕНЬ_ЧАС_МЕНЮ!I2636,СПРОС_ДЕНЬ_ЧАС_МЕНЮ!I2667,СПРОС_ДЕНЬ_ЧАС_МЕНЮ!I2698,СПРОС_ДЕНЬ_ЧАС_МЕНЮ!I2729,СПРОС_ДЕНЬ_ЧАС_МЕНЮ!I2760,СПРОС_ДЕНЬ_ЧАС_МЕНЮ!I2791,СПРОС_ДЕНЬ_ЧАС_МЕНЮ!I2822,СПРОС_ДЕНЬ_ЧАС_МЕНЮ!I2853,СПРОС_ДЕНЬ_ЧАС_МЕНЮ!I2884,СПРОС_ДЕНЬ_ЧАС_МЕНЮ!I2915,СПРОС_ДЕНЬ_ЧАС_МЕНЮ!I2946,СПРОС_ДЕНЬ_ЧАС_МЕНЮ!I2977,СПРОС_ДЕНЬ_ЧАС_МЕНЮ!I3008,СПРОС_ДЕНЬ_ЧАС_МЕНЮ!I3039,СПРОС_ДЕНЬ_ЧАС_МЕНЮ!I3070,СПРОС_ДЕНЬ_ЧАС_МЕНЮ!I3101,СПРОС_ДЕНЬ_ЧАС_МЕНЮ!I3132,СПРОС_ДЕНЬ_ЧАС_МЕНЮ!I3163,СПРОС_ДЕНЬ_ЧАС_МЕНЮ!I3194,СПРОС_ДЕНЬ_ЧАС_МЕНЮ!I3225,СПРОС_ДЕНЬ_ЧАС_МЕНЮ!I3256)</f>
        <v>4.23445</v>
      </c>
      <c r="H32" s="12" t="s">
        <v>112</v>
      </c>
      <c r="I32" s="12" t="s">
        <v>137</v>
      </c>
      <c r="J32" s="12" t="n">
        <f aca="false">MAX(БАЛАНС_ДЕНЬ_ЧАС!F14,БАЛАНС_ДЕНЬ_ЧАС!F22,БАЛАНС_ДЕНЬ_ЧАС!F30,БАЛАНС_ДЕНЬ_ЧАС!F38,БАЛАНС_ДЕНЬ_ЧАС!F46,БАЛАНС_ДЕНЬ_ЧАС!F54,БАЛАНС_ДЕНЬ_ЧАС!F62,БАЛАНС_ДЕНЬ_ЧАС!F70,БАЛАНС_ДЕНЬ_ЧАС!F78,БАЛАНС_ДЕНЬ_ЧАС!F86,БАЛАНС_ДЕНЬ_ЧАС!F94,БАЛАНС_ДЕНЬ_ЧАС!F102,БАЛАНС_ДЕНЬ_ЧАС!F110,БАЛАНС_ДЕНЬ_ЧАС!F118,БАЛАНС_ДЕНЬ_ЧАС!F126,БАЛАНС_ДЕНЬ_ЧАС!F134,БАЛАНС_ДЕНЬ_ЧАС!F142,БАЛАНС_ДЕНЬ_ЧАС!F150,БАЛАНС_ДЕНЬ_ЧАС!F158,БАЛАНС_ДЕНЬ_ЧАС!F166,БАЛАНС_ДЕНЬ_ЧАС!F174,БАЛАНС_ДЕНЬ_ЧАС!F182,БАЛАНС_ДЕНЬ_ЧАС!F190,БАЛАНС_ДЕНЬ_ЧАС!F198,БАЛАНС_ДЕНЬ_ЧАС!F206,БАЛАНС_ДЕНЬ_ЧАС!F214,БАЛАНС_ДЕНЬ_ЧАС!F222,БАЛАНС_ДЕНЬ_ЧАС!F230,БАЛАНС_ДЕНЬ_ЧАС!F238,БАЛАНС_ДЕНЬ_ЧАС!F246,БАЛАНС_ДЕНЬ_ЧАС!F254,БАЛАНС_ДЕНЬ_ЧАС!F262,БАЛАНС_ДЕНЬ_ЧАС!F270,БАЛАНС_ДЕНЬ_ЧАС!F278,БАЛАНС_ДЕНЬ_ЧАС!F286,БАЛАНС_ДЕНЬ_ЧАС!F294,БАЛАНС_ДЕНЬ_ЧАС!F302,БАЛАНС_ДЕНЬ_ЧАС!F310,БАЛАНС_ДЕНЬ_ЧАС!F318,БАЛАНС_ДЕНЬ_ЧАС!F326,БАЛАНС_ДЕНЬ_ЧАС!F334,БАЛАНС_ДЕНЬ_ЧАС!F342,БАЛАНС_ДЕНЬ_ЧАС!F350,БАЛАНС_ДЕНЬ_ЧАС!F358,БАЛАНС_ДЕНЬ_ЧАС!F366,БАЛАНС_ДЕНЬ_ЧАС!F374,БАЛАНС_ДЕНЬ_ЧАС!F382,БАЛАНС_ДЕНЬ_ЧАС!F390,БАЛАНС_ДЕНЬ_ЧАС!F398,БАЛАНС_ДЕНЬ_ЧАС!F406,БАЛАНС_ДЕНЬ_ЧАС!F414,БАЛАНС_ДЕНЬ_ЧАС!F422,БАЛАНС_ДЕНЬ_ЧАС!F430,БАЛАНС_ДЕНЬ_ЧАС!F438,БАЛАНС_ДЕНЬ_ЧАС!F446,БАЛАНС_ДЕНЬ_ЧАС!F454,БАЛАНС_ДЕНЬ_ЧАС!F462,БАЛАНС_ДЕНЬ_ЧАС!F470,БАЛАНС_ДЕНЬ_ЧАС!F478,БАЛАНС_ДЕНЬ_ЧАС!F486,БАЛАНС_ДЕНЬ_ЧАС!F494,БАЛАНС_ДЕНЬ_ЧАС!F502,БАЛАНС_ДЕНЬ_ЧАС!F510,БАЛАНС_ДЕНЬ_ЧАС!F518,БАЛАНС_ДЕНЬ_ЧАС!F526,БАЛАНС_ДЕНЬ_ЧАС!F534,БАЛАНС_ДЕНЬ_ЧАС!F542,БАЛАНС_ДЕНЬ_ЧАС!F550,БАЛАНС_ДЕНЬ_ЧАС!F558,БАЛАНС_ДЕНЬ_ЧАС!F566,БАЛАНС_ДЕНЬ_ЧАС!F574,БАЛАНС_ДЕНЬ_ЧАС!F582,БАЛАНС_ДЕНЬ_ЧАС!F590,БАЛАНС_ДЕНЬ_ЧАС!F598,БАЛАНС_ДЕНЬ_ЧАС!F606,БАЛАНС_ДЕНЬ_ЧАС!F614,БАЛАНС_ДЕНЬ_ЧАС!F622,БАЛАНС_ДЕНЬ_ЧАС!F630,БАЛАНС_ДЕНЬ_ЧАС!F638,БАЛАНС_ДЕНЬ_ЧАС!F646,БАЛАНС_ДЕНЬ_ЧАС!F654,БАЛАНС_ДЕНЬ_ЧАС!F662,БАЛАНС_ДЕНЬ_ЧАС!F670,БАЛАНС_ДЕНЬ_ЧАС!F678,БАЛАНС_ДЕНЬ_ЧАС!F686,БАЛАНС_ДЕНЬ_ЧАС!F694,БАЛАНС_ДЕНЬ_ЧАС!F702,БАЛАНС_ДЕНЬ_ЧАС!F710,БАЛАНС_ДЕНЬ_ЧАС!F718,БАЛАНС_ДЕНЬ_ЧАС!F726,БАЛАНС_ДЕНЬ_ЧАС!F734,БАЛАНС_ДЕНЬ_ЧАС!F742,БАЛАНС_ДЕНЬ_ЧАС!F750,БАЛАНС_ДЕНЬ_ЧАС!F758,БАЛАНС_ДЕНЬ_ЧАС!F766,БАЛАНС_ДЕНЬ_ЧАС!F774,БАЛАНС_ДЕНЬ_ЧАС!F782,БАЛАНС_ДЕНЬ_ЧАС!F790,БАЛАНС_ДЕНЬ_ЧАС!F798,БАЛАНС_ДЕНЬ_ЧАС!F806,БАЛАНС_ДЕНЬ_ЧАС!F814,БАЛАНС_ДЕНЬ_ЧАС!F822,БАЛАНС_ДЕНЬ_ЧАС!F830,БАЛАНС_ДЕНЬ_ЧАС!F838,БАЛАНС_ДЕНЬ_ЧАС!F846)</f>
        <v>21.9725</v>
      </c>
      <c r="K32" s="12" t="n">
        <f aca="false">ПАРАМЕТРЫ!D23</f>
        <v>21</v>
      </c>
      <c r="L32" s="12" t="n">
        <f aca="false">MAX(БАЛАНС_ДЕНЬ_ЧАС!I14,БАЛАНС_ДЕНЬ_ЧАС!I22,БАЛАНС_ДЕНЬ_ЧАС!I30,БАЛАНС_ДЕНЬ_ЧАС!I38,БАЛАНС_ДЕНЬ_ЧАС!I46,БАЛАНС_ДЕНЬ_ЧАС!I54,БАЛАНС_ДЕНЬ_ЧАС!I62,БАЛАНС_ДЕНЬ_ЧАС!I70,БАЛАНС_ДЕНЬ_ЧАС!I78,БАЛАНС_ДЕНЬ_ЧАС!I86,БАЛАНС_ДЕНЬ_ЧАС!I94,БАЛАНС_ДЕНЬ_ЧАС!I102,БАЛАНС_ДЕНЬ_ЧАС!I110,БАЛАНС_ДЕНЬ_ЧАС!I118,БАЛАНС_ДЕНЬ_ЧАС!I126,БАЛАНС_ДЕНЬ_ЧАС!I134,БАЛАНС_ДЕНЬ_ЧАС!I142,БАЛАНС_ДЕНЬ_ЧАС!I150,БАЛАНС_ДЕНЬ_ЧАС!I158,БАЛАНС_ДЕНЬ_ЧАС!I166,БАЛАНС_ДЕНЬ_ЧАС!I174,БАЛАНС_ДЕНЬ_ЧАС!I182,БАЛАНС_ДЕНЬ_ЧАС!I190,БАЛАНС_ДЕНЬ_ЧАС!I198,БАЛАНС_ДЕНЬ_ЧАС!I206,БАЛАНС_ДЕНЬ_ЧАС!I214,БАЛАНС_ДЕНЬ_ЧАС!I222,БАЛАНС_ДЕНЬ_ЧАС!I230,БАЛАНС_ДЕНЬ_ЧАС!I238,БАЛАНС_ДЕНЬ_ЧАС!I246,БАЛАНС_ДЕНЬ_ЧАС!I254,БАЛАНС_ДЕНЬ_ЧАС!I262,БАЛАНС_ДЕНЬ_ЧАС!I270,БАЛАНС_ДЕНЬ_ЧАС!I278,БАЛАНС_ДЕНЬ_ЧАС!I286,БАЛАНС_ДЕНЬ_ЧАС!I294,БАЛАНС_ДЕНЬ_ЧАС!I302,БАЛАНС_ДЕНЬ_ЧАС!I310,БАЛАНС_ДЕНЬ_ЧАС!I318,БАЛАНС_ДЕНЬ_ЧАС!I326,БАЛАНС_ДЕНЬ_ЧАС!I334,БАЛАНС_ДЕНЬ_ЧАС!I342,БАЛАНС_ДЕНЬ_ЧАС!I350,БАЛАНС_ДЕНЬ_ЧАС!I358,БАЛАНС_ДЕНЬ_ЧАС!I366,БАЛАНС_ДЕНЬ_ЧАС!I374,БАЛАНС_ДЕНЬ_ЧАС!I382,БАЛАНС_ДЕНЬ_ЧАС!I390,БАЛАНС_ДЕНЬ_ЧАС!I398,БАЛАНС_ДЕНЬ_ЧАС!I406,БАЛАНС_ДЕНЬ_ЧАС!I414,БАЛАНС_ДЕНЬ_ЧАС!I422,БАЛАНС_ДЕНЬ_ЧАС!I430,БАЛАНС_ДЕНЬ_ЧАС!I438,БАЛАНС_ДЕНЬ_ЧАС!I446,БАЛАНС_ДЕНЬ_ЧАС!I454,БАЛАНС_ДЕНЬ_ЧАС!I462,БАЛАНС_ДЕНЬ_ЧАС!I470,БАЛАНС_ДЕНЬ_ЧАС!I478,БАЛАНС_ДЕНЬ_ЧАС!I486,БАЛАНС_ДЕНЬ_ЧАС!I494,БАЛАНС_ДЕНЬ_ЧАС!I502,БАЛАНС_ДЕНЬ_ЧАС!I510,БАЛАНС_ДЕНЬ_ЧАС!I518,БАЛАНС_ДЕНЬ_ЧАС!I526,БАЛАНС_ДЕНЬ_ЧАС!I534,БАЛАНС_ДЕНЬ_ЧАС!I542,БАЛАНС_ДЕНЬ_ЧАС!I550,БАЛАНС_ДЕНЬ_ЧАС!I558,БАЛАНС_ДЕНЬ_ЧАС!I566,БАЛАНС_ДЕНЬ_ЧАС!I574,БАЛАНС_ДЕНЬ_ЧАС!I582,БАЛАНС_ДЕНЬ_ЧАС!I590,БАЛАНС_ДЕНЬ_ЧАС!I598,БАЛАНС_ДЕНЬ_ЧАС!I606,БАЛАНС_ДЕНЬ_ЧАС!I614,БАЛАНС_ДЕНЬ_ЧАС!I622,БАЛАНС_ДЕНЬ_ЧАС!I630,БАЛАНС_ДЕНЬ_ЧАС!I638,БАЛАНС_ДЕНЬ_ЧАС!I646,БАЛАНС_ДЕНЬ_ЧАС!I654,БАЛАНС_ДЕНЬ_ЧАС!I662,БАЛАНС_ДЕНЬ_ЧАС!I670,БАЛАНС_ДЕНЬ_ЧАС!I678,БАЛАНС_ДЕНЬ_ЧАС!I686,БАЛАНС_ДЕНЬ_ЧАС!I694,БАЛАНС_ДЕНЬ_ЧАС!I702,БАЛАНС_ДЕНЬ_ЧАС!I710,БАЛАНС_ДЕНЬ_ЧАС!I718,БАЛАНС_ДЕНЬ_ЧАС!I726,БАЛАНС_ДЕНЬ_ЧАС!I734,БАЛАНС_ДЕНЬ_ЧАС!I742,БАЛАНС_ДЕНЬ_ЧАС!I750,БАЛАНС_ДЕНЬ_ЧАС!I758,БАЛАНС_ДЕНЬ_ЧАС!I766,БАЛАНС_ДЕНЬ_ЧАС!I774,БАЛАНС_ДЕНЬ_ЧАС!I782,БАЛАНС_ДЕНЬ_ЧАС!I790,БАЛАНС_ДЕНЬ_ЧАС!I798,БАЛАНС_ДЕНЬ_ЧАС!I806,БАЛАНС_ДЕНЬ_ЧАС!I814,БАЛАНС_ДЕНЬ_ЧАС!I822,БАЛАНС_ДЕНЬ_ЧАС!I830,БАЛАНС_ДЕНЬ_ЧАС!I838,БАЛАНС_ДЕНЬ_ЧАС!I846)</f>
        <v>21</v>
      </c>
      <c r="M32" s="12" t="n">
        <f aca="false">MAX(БАЛАНС_ДЕНЬ_ЧАС!J14,БАЛАНС_ДЕНЬ_ЧАС!J22,БАЛАНС_ДЕНЬ_ЧАС!J30,БАЛАНС_ДЕНЬ_ЧАС!J38,БАЛАНС_ДЕНЬ_ЧАС!J46,БАЛАНС_ДЕНЬ_ЧАС!J54,БАЛАНС_ДЕНЬ_ЧАС!J62,БАЛАНС_ДЕНЬ_ЧАС!J70,БАЛАНС_ДЕНЬ_ЧАС!J78,БАЛАНС_ДЕНЬ_ЧАС!J86,БАЛАНС_ДЕНЬ_ЧАС!J94,БАЛАНС_ДЕНЬ_ЧАС!J102,БАЛАНС_ДЕНЬ_ЧАС!J110,БАЛАНС_ДЕНЬ_ЧАС!J118,БАЛАНС_ДЕНЬ_ЧАС!J126,БАЛАНС_ДЕНЬ_ЧАС!J134,БАЛАНС_ДЕНЬ_ЧАС!J142,БАЛАНС_ДЕНЬ_ЧАС!J150,БАЛАНС_ДЕНЬ_ЧАС!J158,БАЛАНС_ДЕНЬ_ЧАС!J166,БАЛАНС_ДЕНЬ_ЧАС!J174,БАЛАНС_ДЕНЬ_ЧАС!J182,БАЛАНС_ДЕНЬ_ЧАС!J190,БАЛАНС_ДЕНЬ_ЧАС!J198,БАЛАНС_ДЕНЬ_ЧАС!J206,БАЛАНС_ДЕНЬ_ЧАС!J214,БАЛАНС_ДЕНЬ_ЧАС!J222,БАЛАНС_ДЕНЬ_ЧАС!J230,БАЛАНС_ДЕНЬ_ЧАС!J238,БАЛАНС_ДЕНЬ_ЧАС!J246,БАЛАНС_ДЕНЬ_ЧАС!J254,БАЛАНС_ДЕНЬ_ЧАС!J262,БАЛАНС_ДЕНЬ_ЧАС!J270,БАЛАНС_ДЕНЬ_ЧАС!J278,БАЛАНС_ДЕНЬ_ЧАС!J286,БАЛАНС_ДЕНЬ_ЧАС!J294,БАЛАНС_ДЕНЬ_ЧАС!J302,БАЛАНС_ДЕНЬ_ЧАС!J310,БАЛАНС_ДЕНЬ_ЧАС!J318,БАЛАНС_ДЕНЬ_ЧАС!J326,БАЛАНС_ДЕНЬ_ЧАС!J334,БАЛАНС_ДЕНЬ_ЧАС!J342,БАЛАНС_ДЕНЬ_ЧАС!J350,БАЛАНС_ДЕНЬ_ЧАС!J358,БАЛАНС_ДЕНЬ_ЧАС!J366,БАЛАНС_ДЕНЬ_ЧАС!J374,БАЛАНС_ДЕНЬ_ЧАС!J382,БАЛАНС_ДЕНЬ_ЧАС!J390,БАЛАНС_ДЕНЬ_ЧАС!J398,БАЛАНС_ДЕНЬ_ЧАС!J406,БАЛАНС_ДЕНЬ_ЧАС!J414,БАЛАНС_ДЕНЬ_ЧАС!J422,БАЛАНС_ДЕНЬ_ЧАС!J430,БАЛАНС_ДЕНЬ_ЧАС!J438,БАЛАНС_ДЕНЬ_ЧАС!J446,БАЛАНС_ДЕНЬ_ЧАС!J454,БАЛАНС_ДЕНЬ_ЧАС!J462,БАЛАНС_ДЕНЬ_ЧАС!J470,БАЛАНС_ДЕНЬ_ЧАС!J478,БАЛАНС_ДЕНЬ_ЧАС!J486,БАЛАНС_ДЕНЬ_ЧАС!J494,БАЛАНС_ДЕНЬ_ЧАС!J502,БАЛАНС_ДЕНЬ_ЧАС!J510,БАЛАНС_ДЕНЬ_ЧАС!J518,БАЛАНС_ДЕНЬ_ЧАС!J526,БАЛАНС_ДЕНЬ_ЧАС!J534,БАЛАНС_ДЕНЬ_ЧАС!J542,БАЛАНС_ДЕНЬ_ЧАС!J550,БАЛАНС_ДЕНЬ_ЧАС!J558,БАЛАНС_ДЕНЬ_ЧАС!J566,БАЛАНС_ДЕНЬ_ЧАС!J574,БАЛАНС_ДЕНЬ_ЧАС!J582,БАЛАНС_ДЕНЬ_ЧАС!J590,БАЛАНС_ДЕНЬ_ЧАС!J598,БАЛАНС_ДЕНЬ_ЧАС!J606,БАЛАНС_ДЕНЬ_ЧАС!J614,БАЛАНС_ДЕНЬ_ЧАС!J622,БАЛАНС_ДЕНЬ_ЧАС!J630,БАЛАНС_ДЕНЬ_ЧАС!J638,БАЛАНС_ДЕНЬ_ЧАС!J646,БАЛАНС_ДЕНЬ_ЧАС!J654,БАЛАНС_ДЕНЬ_ЧАС!J662,БАЛАНС_ДЕНЬ_ЧАС!J670,БАЛАНС_ДЕНЬ_ЧАС!J678,БАЛАНС_ДЕНЬ_ЧАС!J686,БАЛАНС_ДЕНЬ_ЧАС!J694,БАЛАНС_ДЕНЬ_ЧАС!J702,БАЛАНС_ДЕНЬ_ЧАС!J710,БАЛАНС_ДЕНЬ_ЧАС!J718,БАЛАНС_ДЕНЬ_ЧАС!J726,БАЛАНС_ДЕНЬ_ЧАС!J734,БАЛАНС_ДЕНЬ_ЧАС!J742,БАЛАНС_ДЕНЬ_ЧАС!J750,БАЛАНС_ДЕНЬ_ЧАС!J758,БАЛАНС_ДЕНЬ_ЧАС!J766,БАЛАНС_ДЕНЬ_ЧАС!J774,БАЛАНС_ДЕНЬ_ЧАС!J782,БАЛАНС_ДЕНЬ_ЧАС!J790,БАЛАНС_ДЕНЬ_ЧАС!J798,БАЛАНС_ДЕНЬ_ЧАС!J806,БАЛАНС_ДЕНЬ_ЧАС!J814,БАЛАНС_ДЕНЬ_ЧАС!J822,БАЛАНС_ДЕНЬ_ЧАС!J830,БАЛАНС_ДЕНЬ_ЧАС!J838,БАЛАНС_ДЕНЬ_ЧАС!J846)</f>
        <v>21</v>
      </c>
      <c r="N32" s="12" t="n">
        <f aca="false">MAX(БАЛАНС_ДЕНЬ_ЧАС!K14,БАЛАНС_ДЕНЬ_ЧАС!K22,БАЛАНС_ДЕНЬ_ЧАС!K30,БАЛАНС_ДЕНЬ_ЧАС!K38,БАЛАНС_ДЕНЬ_ЧАС!K46,БАЛАНС_ДЕНЬ_ЧАС!K54,БАЛАНС_ДЕНЬ_ЧАС!K62,БАЛАНС_ДЕНЬ_ЧАС!K70,БАЛАНС_ДЕНЬ_ЧАС!K78,БАЛАНС_ДЕНЬ_ЧАС!K86,БАЛАНС_ДЕНЬ_ЧАС!K94,БАЛАНС_ДЕНЬ_ЧАС!K102,БАЛАНС_ДЕНЬ_ЧАС!K110,БАЛАНС_ДЕНЬ_ЧАС!K118,БАЛАНС_ДЕНЬ_ЧАС!K126,БАЛАНС_ДЕНЬ_ЧАС!K134,БАЛАНС_ДЕНЬ_ЧАС!K142,БАЛАНС_ДЕНЬ_ЧАС!K150,БАЛАНС_ДЕНЬ_ЧАС!K158,БАЛАНС_ДЕНЬ_ЧАС!K166,БАЛАНС_ДЕНЬ_ЧАС!K174,БАЛАНС_ДЕНЬ_ЧАС!K182,БАЛАНС_ДЕНЬ_ЧАС!K190,БАЛАНС_ДЕНЬ_ЧАС!K198,БАЛАНС_ДЕНЬ_ЧАС!K206,БАЛАНС_ДЕНЬ_ЧАС!K214,БАЛАНС_ДЕНЬ_ЧАС!K222,БАЛАНС_ДЕНЬ_ЧАС!K230,БАЛАНС_ДЕНЬ_ЧАС!K238,БАЛАНС_ДЕНЬ_ЧАС!K246,БАЛАНС_ДЕНЬ_ЧАС!K254,БАЛАНС_ДЕНЬ_ЧАС!K262,БАЛАНС_ДЕНЬ_ЧАС!K270,БАЛАНС_ДЕНЬ_ЧАС!K278,БАЛАНС_ДЕНЬ_ЧАС!K286,БАЛАНС_ДЕНЬ_ЧАС!K294,БАЛАНС_ДЕНЬ_ЧАС!K302,БАЛАНС_ДЕНЬ_ЧАС!K310,БАЛАНС_ДЕНЬ_ЧАС!K318,БАЛАНС_ДЕНЬ_ЧАС!K326,БАЛАНС_ДЕНЬ_ЧАС!K334,БАЛАНС_ДЕНЬ_ЧАС!K342,БАЛАНС_ДЕНЬ_ЧАС!K350,БАЛАНС_ДЕНЬ_ЧАС!K358,БАЛАНС_ДЕНЬ_ЧАС!K366,БАЛАНС_ДЕНЬ_ЧАС!K374,БАЛАНС_ДЕНЬ_ЧАС!K382,БАЛАНС_ДЕНЬ_ЧАС!K390,БАЛАНС_ДЕНЬ_ЧАС!K398,БАЛАНС_ДЕНЬ_ЧАС!K406,БАЛАНС_ДЕНЬ_ЧАС!K414,БАЛАНС_ДЕНЬ_ЧАС!K422,БАЛАНС_ДЕНЬ_ЧАС!K430,БАЛАНС_ДЕНЬ_ЧАС!K438,БАЛАНС_ДЕНЬ_ЧАС!K446,БАЛАНС_ДЕНЬ_ЧАС!K454,БАЛАНС_ДЕНЬ_ЧАС!K462,БАЛАНС_ДЕНЬ_ЧАС!K470,БАЛАНС_ДЕНЬ_ЧАС!K478,БАЛАНС_ДЕНЬ_ЧАС!K486,БАЛАНС_ДЕНЬ_ЧАС!K494,БАЛАНС_ДЕНЬ_ЧАС!K502,БАЛАНС_ДЕНЬ_ЧАС!K510,БАЛАНС_ДЕНЬ_ЧАС!K518,БАЛАНС_ДЕНЬ_ЧАС!K526,БАЛАНС_ДЕНЬ_ЧАС!K534,БАЛАНС_ДЕНЬ_ЧАС!K542,БАЛАНС_ДЕНЬ_ЧАС!K550,БАЛАНС_ДЕНЬ_ЧАС!K558,БАЛАНС_ДЕНЬ_ЧАС!K566,БАЛАНС_ДЕНЬ_ЧАС!K574,БАЛАНС_ДЕНЬ_ЧАС!K582,БАЛАНС_ДЕНЬ_ЧАС!K590,БАЛАНС_ДЕНЬ_ЧАС!K598,БАЛАНС_ДЕНЬ_ЧАС!K606,БАЛАНС_ДЕНЬ_ЧАС!K614,БАЛАНС_ДЕНЬ_ЧАС!K622,БАЛАНС_ДЕНЬ_ЧАС!K630,БАЛАНС_ДЕНЬ_ЧАС!K638,БАЛАНС_ДЕНЬ_ЧАС!K646,БАЛАНС_ДЕНЬ_ЧАС!K654,БАЛАНС_ДЕНЬ_ЧАС!K662,БАЛАНС_ДЕНЬ_ЧАС!K670,БАЛАНС_ДЕНЬ_ЧАС!K678,БАЛАНС_ДЕНЬ_ЧАС!K686,БАЛАНС_ДЕНЬ_ЧАС!K694,БАЛАНС_ДЕНЬ_ЧАС!K702,БАЛАНС_ДЕНЬ_ЧАС!K710,БАЛАНС_ДЕНЬ_ЧАС!K718,БАЛАНС_ДЕНЬ_ЧАС!K726,БАЛАНС_ДЕНЬ_ЧАС!K734,БАЛАНС_ДЕНЬ_ЧАС!K742,БАЛАНС_ДЕНЬ_ЧАС!K750,БАЛАНС_ДЕНЬ_ЧАС!K758,БАЛАНС_ДЕНЬ_ЧАС!K766,БАЛАНС_ДЕНЬ_ЧАС!K774,БАЛАНС_ДЕНЬ_ЧАС!K782,БАЛАНС_ДЕНЬ_ЧАС!K790,БАЛАНС_ДЕНЬ_ЧАС!K798,БАЛАНС_ДЕНЬ_ЧАС!K806,БАЛАНС_ДЕНЬ_ЧАС!K814,БАЛАНС_ДЕНЬ_ЧАС!K822,БАЛАНС_ДЕНЬ_ЧАС!K830,БАЛАНС_ДЕНЬ_ЧАС!K838,БАЛАНС_ДЕНЬ_ЧАС!K846)</f>
        <v>0.9725</v>
      </c>
      <c r="O32" s="11" t="str">
        <f aca="false">IF(N32&gt;0,"BLOCKED","PASS")</f>
        <v>BLOCKED</v>
      </c>
      <c r="P32" s="11" t="s">
        <v>145</v>
      </c>
    </row>
    <row r="33" customFormat="false" ht="15" hidden="false" customHeight="false" outlineLevel="0" collapsed="false">
      <c r="A33" s="11" t="n">
        <v>23</v>
      </c>
      <c r="B33" s="11" t="s">
        <v>86</v>
      </c>
      <c r="C33" s="11" t="s">
        <v>179</v>
      </c>
      <c r="D33" s="11" t="s">
        <v>85</v>
      </c>
      <c r="E33" s="12" t="n">
        <v>150</v>
      </c>
      <c r="F33" s="12" t="n">
        <f aca="false">SUMIF(СПРОС_ДЕНЬ_ЧАС_МЕНЮ!$C$11:$C$3265,A33,СПРОС_ДЕНЬ_ЧАС_МЕНЮ!$I$11:$I$3265)</f>
        <v>124.7622475</v>
      </c>
      <c r="G33" s="12" t="n">
        <f aca="false">MAX(СПРОС_ДЕНЬ_ЧАС_МЕНЮ!I33,СПРОС_ДЕНЬ_ЧАС_МЕНЮ!I64,СПРОС_ДЕНЬ_ЧАС_МЕНЮ!I95,СПРОС_ДЕНЬ_ЧАС_МЕНЮ!I126,СПРОС_ДЕНЬ_ЧАС_МЕНЮ!I157,СПРОС_ДЕНЬ_ЧАС_МЕНЮ!I188,СПРОС_ДЕНЬ_ЧАС_МЕНЮ!I219,СПРОС_ДЕНЬ_ЧАС_МЕНЮ!I250,СПРОС_ДЕНЬ_ЧАС_МЕНЮ!I281,СПРОС_ДЕНЬ_ЧАС_МЕНЮ!I312,СПРОС_ДЕНЬ_ЧАС_МЕНЮ!I343,СПРОС_ДЕНЬ_ЧАС_МЕНЮ!I374,СПРОС_ДЕНЬ_ЧАС_МЕНЮ!I405,СПРОС_ДЕНЬ_ЧАС_МЕНЮ!I436,СПРОС_ДЕНЬ_ЧАС_МЕНЮ!I467,СПРОС_ДЕНЬ_ЧАС_МЕНЮ!I498,СПРОС_ДЕНЬ_ЧАС_МЕНЮ!I529,СПРОС_ДЕНЬ_ЧАС_МЕНЮ!I560,СПРОС_ДЕНЬ_ЧАС_МЕНЮ!I591,СПРОС_ДЕНЬ_ЧАС_МЕНЮ!I622,СПРОС_ДЕНЬ_ЧАС_МЕНЮ!I653,СПРОС_ДЕНЬ_ЧАС_МЕНЮ!I684,СПРОС_ДЕНЬ_ЧАС_МЕНЮ!I715,СПРОС_ДЕНЬ_ЧАС_МЕНЮ!I746,СПРОС_ДЕНЬ_ЧАС_МЕНЮ!I777,СПРОС_ДЕНЬ_ЧАС_МЕНЮ!I808,СПРОС_ДЕНЬ_ЧАС_МЕНЮ!I839,СПРОС_ДЕНЬ_ЧАС_МЕНЮ!I870,СПРОС_ДЕНЬ_ЧАС_МЕНЮ!I901,СПРОС_ДЕНЬ_ЧАС_МЕНЮ!I932,СПРОС_ДЕНЬ_ЧАС_МЕНЮ!I963,СПРОС_ДЕНЬ_ЧАС_МЕНЮ!I994,СПРОС_ДЕНЬ_ЧАС_МЕНЮ!I1025,СПРОС_ДЕНЬ_ЧАС_МЕНЮ!I1056,СПРОС_ДЕНЬ_ЧАС_МЕНЮ!I1087,СПРОС_ДЕНЬ_ЧАС_МЕНЮ!I1118,СПРОС_ДЕНЬ_ЧАС_МЕНЮ!I1149,СПРОС_ДЕНЬ_ЧАС_МЕНЮ!I1180,СПРОС_ДЕНЬ_ЧАС_МЕНЮ!I1211,СПРОС_ДЕНЬ_ЧАС_МЕНЮ!I1242,СПРОС_ДЕНЬ_ЧАС_МЕНЮ!I1273,СПРОС_ДЕНЬ_ЧАС_МЕНЮ!I1304,СПРОС_ДЕНЬ_ЧАС_МЕНЮ!I1335,СПРОС_ДЕНЬ_ЧАС_МЕНЮ!I1366,СПРОС_ДЕНЬ_ЧАС_МЕНЮ!I1397,СПРОС_ДЕНЬ_ЧАС_МЕНЮ!I1428,СПРОС_ДЕНЬ_ЧАС_МЕНЮ!I1459,СПРОС_ДЕНЬ_ЧАС_МЕНЮ!I1490,СПРОС_ДЕНЬ_ЧАС_МЕНЮ!I1521,СПРОС_ДЕНЬ_ЧАС_МЕНЮ!I1552,СПРОС_ДЕНЬ_ЧАС_МЕНЮ!I1583,СПРОС_ДЕНЬ_ЧАС_МЕНЮ!I1614,СПРОС_ДЕНЬ_ЧАС_МЕНЮ!I1645,СПРОС_ДЕНЬ_ЧАС_МЕНЮ!I1676,СПРОС_ДЕНЬ_ЧАС_МЕНЮ!I1707,СПРОС_ДЕНЬ_ЧАС_МЕНЮ!I1738,СПРОС_ДЕНЬ_ЧАС_МЕНЮ!I1769,СПРОС_ДЕНЬ_ЧАС_МЕНЮ!I1800,СПРОС_ДЕНЬ_ЧАС_МЕНЮ!I1831,СПРОС_ДЕНЬ_ЧАС_МЕНЮ!I1862,СПРОС_ДЕНЬ_ЧАС_МЕНЮ!I1893,СПРОС_ДЕНЬ_ЧАС_МЕНЮ!I1924,СПРОС_ДЕНЬ_ЧАС_МЕНЮ!I1955,СПРОС_ДЕНЬ_ЧАС_МЕНЮ!I1986,СПРОС_ДЕНЬ_ЧАС_МЕНЮ!I2017,СПРОС_ДЕНЬ_ЧАС_МЕНЮ!I2048,СПРОС_ДЕНЬ_ЧАС_МЕНЮ!I2079,СПРОС_ДЕНЬ_ЧАС_МЕНЮ!I2110,СПРОС_ДЕНЬ_ЧАС_МЕНЮ!I2141,СПРОС_ДЕНЬ_ЧАС_МЕНЮ!I2172,СПРОС_ДЕНЬ_ЧАС_МЕНЮ!I2203,СПРОС_ДЕНЬ_ЧАС_МЕНЮ!I2234,СПРОС_ДЕНЬ_ЧАС_МЕНЮ!I2265,СПРОС_ДЕНЬ_ЧАС_МЕНЮ!I2296,СПРОС_ДЕНЬ_ЧАС_МЕНЮ!I2327,СПРОС_ДЕНЬ_ЧАС_МЕНЮ!I2358,СПРОС_ДЕНЬ_ЧАС_МЕНЮ!I2389,СПРОС_ДЕНЬ_ЧАС_МЕНЮ!I2420,СПРОС_ДЕНЬ_ЧАС_МЕНЮ!I2451,СПРОС_ДЕНЬ_ЧАС_МЕНЮ!I2482,СПРОС_ДЕНЬ_ЧАС_МЕНЮ!I2513,СПРОС_ДЕНЬ_ЧАС_МЕНЮ!I2544,СПРОС_ДЕНЬ_ЧАС_МЕНЮ!I2575,СПРОС_ДЕНЬ_ЧАС_МЕНЮ!I2606,СПРОС_ДЕНЬ_ЧАС_МЕНЮ!I2637,СПРОС_ДЕНЬ_ЧАС_МЕНЮ!I2668,СПРОС_ДЕНЬ_ЧАС_МЕНЮ!I2699,СПРОС_ДЕНЬ_ЧАС_МЕНЮ!I2730,СПРОС_ДЕНЬ_ЧАС_МЕНЮ!I2761,СПРОС_ДЕНЬ_ЧАС_МЕНЮ!I2792,СПРОС_ДЕНЬ_ЧАС_МЕНЮ!I2823,СПРОС_ДЕНЬ_ЧАС_МЕНЮ!I2854,СПРОС_ДЕНЬ_ЧАС_МЕНЮ!I2885,СПРОС_ДЕНЬ_ЧАС_МЕНЮ!I2916,СПРОС_ДЕНЬ_ЧАС_МЕНЮ!I2947,СПРОС_ДЕНЬ_ЧАС_МЕНЮ!I2978,СПРОС_ДЕНЬ_ЧАС_МЕНЮ!I3009,СПРОС_ДЕНЬ_ЧАС_МЕНЮ!I3040,СПРОС_ДЕНЬ_ЧАС_МЕНЮ!I3071,СПРОС_ДЕНЬ_ЧАС_МЕНЮ!I3102,СПРОС_ДЕНЬ_ЧАС_МЕНЮ!I3133,СПРОС_ДЕНЬ_ЧАС_МЕНЮ!I3164,СПРОС_ДЕНЬ_ЧАС_МЕНЮ!I3195,СПРОС_ДЕНЬ_ЧАС_МЕНЮ!I3226,СПРОС_ДЕНЬ_ЧАС_МЕНЮ!I3257)</f>
        <v>4.38504</v>
      </c>
      <c r="H33" s="12" t="s">
        <v>111</v>
      </c>
      <c r="I33" s="12" t="s">
        <v>130</v>
      </c>
      <c r="J33" s="12" t="n">
        <f aca="false">MAX(БАЛАНС_ДЕНЬ_ЧАС!F15,БАЛАНС_ДЕНЬ_ЧАС!F23,БАЛАНС_ДЕНЬ_ЧАС!F31,БАЛАНС_ДЕНЬ_ЧАС!F39,БАЛАНС_ДЕНЬ_ЧАС!F47,БАЛАНС_ДЕНЬ_ЧАС!F55,БАЛАНС_ДЕНЬ_ЧАС!F63,БАЛАНС_ДЕНЬ_ЧАС!F71,БАЛАНС_ДЕНЬ_ЧАС!F79,БАЛАНС_ДЕНЬ_ЧАС!F87,БАЛАНС_ДЕНЬ_ЧАС!F95,БАЛАНС_ДЕНЬ_ЧАС!F103,БАЛАНС_ДЕНЬ_ЧАС!F111,БАЛАНС_ДЕНЬ_ЧАС!F119,БАЛАНС_ДЕНЬ_ЧАС!F127,БАЛАНС_ДЕНЬ_ЧАС!F135,БАЛАНС_ДЕНЬ_ЧАС!F143,БАЛАНС_ДЕНЬ_ЧАС!F151,БАЛАНС_ДЕНЬ_ЧАС!F159,БАЛАНС_ДЕНЬ_ЧАС!F167,БАЛАНС_ДЕНЬ_ЧАС!F175,БАЛАНС_ДЕНЬ_ЧАС!F183,БАЛАНС_ДЕНЬ_ЧАС!F191,БАЛАНС_ДЕНЬ_ЧАС!F199,БАЛАНС_ДЕНЬ_ЧАС!F207,БАЛАНС_ДЕНЬ_ЧАС!F215,БАЛАНС_ДЕНЬ_ЧАС!F223,БАЛАНС_ДЕНЬ_ЧАС!F231,БАЛАНС_ДЕНЬ_ЧАС!F239,БАЛАНС_ДЕНЬ_ЧАС!F247,БАЛАНС_ДЕНЬ_ЧАС!F255,БАЛАНС_ДЕНЬ_ЧАС!F263,БАЛАНС_ДЕНЬ_ЧАС!F271,БАЛАНС_ДЕНЬ_ЧАС!F279,БАЛАНС_ДЕНЬ_ЧАС!F287,БАЛАНС_ДЕНЬ_ЧАС!F295,БАЛАНС_ДЕНЬ_ЧАС!F303,БАЛАНС_ДЕНЬ_ЧАС!F311,БАЛАНС_ДЕНЬ_ЧАС!F319,БАЛАНС_ДЕНЬ_ЧАС!F327,БАЛАНС_ДЕНЬ_ЧАС!F335,БАЛАНС_ДЕНЬ_ЧАС!F343,БАЛАНС_ДЕНЬ_ЧАС!F351,БАЛАНС_ДЕНЬ_ЧАС!F359,БАЛАНС_ДЕНЬ_ЧАС!F367,БАЛАНС_ДЕНЬ_ЧАС!F375,БАЛАНС_ДЕНЬ_ЧАС!F383,БАЛАНС_ДЕНЬ_ЧАС!F391,БАЛАНС_ДЕНЬ_ЧАС!F399,БАЛАНС_ДЕНЬ_ЧАС!F407,БАЛАНС_ДЕНЬ_ЧАС!F415,БАЛАНС_ДЕНЬ_ЧАС!F423,БАЛАНС_ДЕНЬ_ЧАС!F431,БАЛАНС_ДЕНЬ_ЧАС!F439,БАЛАНС_ДЕНЬ_ЧАС!F447,БАЛАНС_ДЕНЬ_ЧАС!F455,БАЛАНС_ДЕНЬ_ЧАС!F463,БАЛАНС_ДЕНЬ_ЧАС!F471,БАЛАНС_ДЕНЬ_ЧАС!F479,БАЛАНС_ДЕНЬ_ЧАС!F487,БАЛАНС_ДЕНЬ_ЧАС!F495,БАЛАНС_ДЕНЬ_ЧАС!F503,БАЛАНС_ДЕНЬ_ЧАС!F511,БАЛАНС_ДЕНЬ_ЧАС!F519,БАЛАНС_ДЕНЬ_ЧАС!F527,БАЛАНС_ДЕНЬ_ЧАС!F535,БАЛАНС_ДЕНЬ_ЧАС!F543,БАЛАНС_ДЕНЬ_ЧАС!F551,БАЛАНС_ДЕНЬ_ЧАС!F559,БАЛАНС_ДЕНЬ_ЧАС!F567,БАЛАНС_ДЕНЬ_ЧАС!F575,БАЛАНС_ДЕНЬ_ЧАС!F583,БАЛАНС_ДЕНЬ_ЧАС!F591,БАЛАНС_ДЕНЬ_ЧАС!F599,БАЛАНС_ДЕНЬ_ЧАС!F607,БАЛАНС_ДЕНЬ_ЧАС!F615,БАЛАНС_ДЕНЬ_ЧАС!F623,БАЛАНС_ДЕНЬ_ЧАС!F631,БАЛАНС_ДЕНЬ_ЧАС!F639,БАЛАНС_ДЕНЬ_ЧАС!F647,БАЛАНС_ДЕНЬ_ЧАС!F655,БАЛАНС_ДЕНЬ_ЧАС!F663,БАЛАНС_ДЕНЬ_ЧАС!F671,БАЛАНС_ДЕНЬ_ЧАС!F679,БАЛАНС_ДЕНЬ_ЧАС!F687,БАЛАНС_ДЕНЬ_ЧАС!F695,БАЛАНС_ДЕНЬ_ЧАС!F703,БАЛАНС_ДЕНЬ_ЧАС!F711,БАЛАНС_ДЕНЬ_ЧАС!F719,БАЛАНС_ДЕНЬ_ЧАС!F727,БАЛАНС_ДЕНЬ_ЧАС!F735,БАЛАНС_ДЕНЬ_ЧАС!F743,БАЛАНС_ДЕНЬ_ЧАС!F751,БАЛАНС_ДЕНЬ_ЧАС!F759,БАЛАНС_ДЕНЬ_ЧАС!F767,БАЛАНС_ДЕНЬ_ЧАС!F775,БАЛАНС_ДЕНЬ_ЧАС!F783,БАЛАНС_ДЕНЬ_ЧАС!F791,БАЛАНС_ДЕНЬ_ЧАС!F799,БАЛАНС_ДЕНЬ_ЧАС!F807,БАЛАНС_ДЕНЬ_ЧАС!F815,БАЛАНС_ДЕНЬ_ЧАС!F823,БАЛАНС_ДЕНЬ_ЧАС!F831,БАЛАНС_ДЕНЬ_ЧАС!F839,БАЛАНС_ДЕНЬ_ЧАС!F847)</f>
        <v>9.1579125</v>
      </c>
      <c r="K33" s="12" t="n">
        <f aca="false">ПАРАМЕТРЫ!D24</f>
        <v>12</v>
      </c>
      <c r="L33" s="12" t="n">
        <f aca="false">MAX(БАЛАНС_ДЕНЬ_ЧАС!I15,БАЛАНС_ДЕНЬ_ЧАС!I23,БАЛАНС_ДЕНЬ_ЧАС!I31,БАЛАНС_ДЕНЬ_ЧАС!I39,БАЛАНС_ДЕНЬ_ЧАС!I47,БАЛАНС_ДЕНЬ_ЧАС!I55,БАЛАНС_ДЕНЬ_ЧАС!I63,БАЛАНС_ДЕНЬ_ЧАС!I71,БАЛАНС_ДЕНЬ_ЧАС!I79,БАЛАНС_ДЕНЬ_ЧАС!I87,БАЛАНС_ДЕНЬ_ЧАС!I95,БАЛАНС_ДЕНЬ_ЧАС!I103,БАЛАНС_ДЕНЬ_ЧАС!I111,БАЛАНС_ДЕНЬ_ЧАС!I119,БАЛАНС_ДЕНЬ_ЧАС!I127,БАЛАНС_ДЕНЬ_ЧАС!I135,БАЛАНС_ДЕНЬ_ЧАС!I143,БАЛАНС_ДЕНЬ_ЧАС!I151,БАЛАНС_ДЕНЬ_ЧАС!I159,БАЛАНС_ДЕНЬ_ЧАС!I167,БАЛАНС_ДЕНЬ_ЧАС!I175,БАЛАНС_ДЕНЬ_ЧАС!I183,БАЛАНС_ДЕНЬ_ЧАС!I191,БАЛАНС_ДЕНЬ_ЧАС!I199,БАЛАНС_ДЕНЬ_ЧАС!I207,БАЛАНС_ДЕНЬ_ЧАС!I215,БАЛАНС_ДЕНЬ_ЧАС!I223,БАЛАНС_ДЕНЬ_ЧАС!I231,БАЛАНС_ДЕНЬ_ЧАС!I239,БАЛАНС_ДЕНЬ_ЧАС!I247,БАЛАНС_ДЕНЬ_ЧАС!I255,БАЛАНС_ДЕНЬ_ЧАС!I263,БАЛАНС_ДЕНЬ_ЧАС!I271,БАЛАНС_ДЕНЬ_ЧАС!I279,БАЛАНС_ДЕНЬ_ЧАС!I287,БАЛАНС_ДЕНЬ_ЧАС!I295,БАЛАНС_ДЕНЬ_ЧАС!I303,БАЛАНС_ДЕНЬ_ЧАС!I311,БАЛАНС_ДЕНЬ_ЧАС!I319,БАЛАНС_ДЕНЬ_ЧАС!I327,БАЛАНС_ДЕНЬ_ЧАС!I335,БАЛАНС_ДЕНЬ_ЧАС!I343,БАЛАНС_ДЕНЬ_ЧАС!I351,БАЛАНС_ДЕНЬ_ЧАС!I359,БАЛАНС_ДЕНЬ_ЧАС!I367,БАЛАНС_ДЕНЬ_ЧАС!I375,БАЛАНС_ДЕНЬ_ЧАС!I383,БАЛАНС_ДЕНЬ_ЧАС!I391,БАЛАНС_ДЕНЬ_ЧАС!I399,БАЛАНС_ДЕНЬ_ЧАС!I407,БАЛАНС_ДЕНЬ_ЧАС!I415,БАЛАНС_ДЕНЬ_ЧАС!I423,БАЛАНС_ДЕНЬ_ЧАС!I431,БАЛАНС_ДЕНЬ_ЧАС!I439,БАЛАНС_ДЕНЬ_ЧАС!I447,БАЛАНС_ДЕНЬ_ЧАС!I455,БАЛАНС_ДЕНЬ_ЧАС!I463,БАЛАНС_ДЕНЬ_ЧАС!I471,БАЛАНС_ДЕНЬ_ЧАС!I479,БАЛАНС_ДЕНЬ_ЧАС!I487,БАЛАНС_ДЕНЬ_ЧАС!I495,БАЛАНС_ДЕНЬ_ЧАС!I503,БАЛАНС_ДЕНЬ_ЧАС!I511,БАЛАНС_ДЕНЬ_ЧАС!I519,БАЛАНС_ДЕНЬ_ЧАС!I527,БАЛАНС_ДЕНЬ_ЧАС!I535,БАЛАНС_ДЕНЬ_ЧАС!I543,БАЛАНС_ДЕНЬ_ЧАС!I551,БАЛАНС_ДЕНЬ_ЧАС!I559,БАЛАНС_ДЕНЬ_ЧАС!I567,БАЛАНС_ДЕНЬ_ЧАС!I575,БАЛАНС_ДЕНЬ_ЧАС!I583,БАЛАНС_ДЕНЬ_ЧАС!I591,БАЛАНС_ДЕНЬ_ЧАС!I599,БАЛАНС_ДЕНЬ_ЧАС!I607,БАЛАНС_ДЕНЬ_ЧАС!I615,БАЛАНС_ДЕНЬ_ЧАС!I623,БАЛАНС_ДЕНЬ_ЧАС!I631,БАЛАНС_ДЕНЬ_ЧАС!I639,БАЛАНС_ДЕНЬ_ЧАС!I647,БАЛАНС_ДЕНЬ_ЧАС!I655,БАЛАНС_ДЕНЬ_ЧАС!I663,БАЛАНС_ДЕНЬ_ЧАС!I671,БАЛАНС_ДЕНЬ_ЧАС!I679,БАЛАНС_ДЕНЬ_ЧАС!I687,БАЛАНС_ДЕНЬ_ЧАС!I695,БАЛАНС_ДЕНЬ_ЧАС!I703,БАЛАНС_ДЕНЬ_ЧАС!I711,БАЛАНС_ДЕНЬ_ЧАС!I719,БАЛАНС_ДЕНЬ_ЧАС!I727,БАЛАНС_ДЕНЬ_ЧАС!I735,БАЛАНС_ДЕНЬ_ЧАС!I743,БАЛАНС_ДЕНЬ_ЧАС!I751,БАЛАНС_ДЕНЬ_ЧАС!I759,БАЛАНС_ДЕНЬ_ЧАС!I767,БАЛАНС_ДЕНЬ_ЧАС!I775,БАЛАНС_ДЕНЬ_ЧАС!I783,БАЛАНС_ДЕНЬ_ЧАС!I791,БАЛАНС_ДЕНЬ_ЧАС!I799,БАЛАНС_ДЕНЬ_ЧАС!I807,БАЛАНС_ДЕНЬ_ЧАС!I815,БАЛАНС_ДЕНЬ_ЧАС!I823,БАЛАНС_ДЕНЬ_ЧАС!I831,БАЛАНС_ДЕНЬ_ЧАС!I839,БАЛАНС_ДЕНЬ_ЧАС!I847)</f>
        <v>12</v>
      </c>
      <c r="M33" s="12" t="n">
        <f aca="false">MAX(БАЛАНС_ДЕНЬ_ЧАС!J15,БАЛАНС_ДЕНЬ_ЧАС!J23,БАЛАНС_ДЕНЬ_ЧАС!J31,БАЛАНС_ДЕНЬ_ЧАС!J39,БАЛАНС_ДЕНЬ_ЧАС!J47,БАЛАНС_ДЕНЬ_ЧАС!J55,БАЛАНС_ДЕНЬ_ЧАС!J63,БАЛАНС_ДЕНЬ_ЧАС!J71,БАЛАНС_ДЕНЬ_ЧАС!J79,БАЛАНС_ДЕНЬ_ЧАС!J87,БАЛАНС_ДЕНЬ_ЧАС!J95,БАЛАНС_ДЕНЬ_ЧАС!J103,БАЛАНС_ДЕНЬ_ЧАС!J111,БАЛАНС_ДЕНЬ_ЧАС!J119,БАЛАНС_ДЕНЬ_ЧАС!J127,БАЛАНС_ДЕНЬ_ЧАС!J135,БАЛАНС_ДЕНЬ_ЧАС!J143,БАЛАНС_ДЕНЬ_ЧАС!J151,БАЛАНС_ДЕНЬ_ЧАС!J159,БАЛАНС_ДЕНЬ_ЧАС!J167,БАЛАНС_ДЕНЬ_ЧАС!J175,БАЛАНС_ДЕНЬ_ЧАС!J183,БАЛАНС_ДЕНЬ_ЧАС!J191,БАЛАНС_ДЕНЬ_ЧАС!J199,БАЛАНС_ДЕНЬ_ЧАС!J207,БАЛАНС_ДЕНЬ_ЧАС!J215,БАЛАНС_ДЕНЬ_ЧАС!J223,БАЛАНС_ДЕНЬ_ЧАС!J231,БАЛАНС_ДЕНЬ_ЧАС!J239,БАЛАНС_ДЕНЬ_ЧАС!J247,БАЛАНС_ДЕНЬ_ЧАС!J255,БАЛАНС_ДЕНЬ_ЧАС!J263,БАЛАНС_ДЕНЬ_ЧАС!J271,БАЛАНС_ДЕНЬ_ЧАС!J279,БАЛАНС_ДЕНЬ_ЧАС!J287,БАЛАНС_ДЕНЬ_ЧАС!J295,БАЛАНС_ДЕНЬ_ЧАС!J303,БАЛАНС_ДЕНЬ_ЧАС!J311,БАЛАНС_ДЕНЬ_ЧАС!J319,БАЛАНС_ДЕНЬ_ЧАС!J327,БАЛАНС_ДЕНЬ_ЧАС!J335,БАЛАНС_ДЕНЬ_ЧАС!J343,БАЛАНС_ДЕНЬ_ЧАС!J351,БАЛАНС_ДЕНЬ_ЧАС!J359,БАЛАНС_ДЕНЬ_ЧАС!J367,БАЛАНС_ДЕНЬ_ЧАС!J375,БАЛАНС_ДЕНЬ_ЧАС!J383,БАЛАНС_ДЕНЬ_ЧАС!J391,БАЛАНС_ДЕНЬ_ЧАС!J399,БАЛАНС_ДЕНЬ_ЧАС!J407,БАЛАНС_ДЕНЬ_ЧАС!J415,БАЛАНС_ДЕНЬ_ЧАС!J423,БАЛАНС_ДЕНЬ_ЧАС!J431,БАЛАНС_ДЕНЬ_ЧАС!J439,БАЛАНС_ДЕНЬ_ЧАС!J447,БАЛАНС_ДЕНЬ_ЧАС!J455,БАЛАНС_ДЕНЬ_ЧАС!J463,БАЛАНС_ДЕНЬ_ЧАС!J471,БАЛАНС_ДЕНЬ_ЧАС!J479,БАЛАНС_ДЕНЬ_ЧАС!J487,БАЛАНС_ДЕНЬ_ЧАС!J495,БАЛАНС_ДЕНЬ_ЧАС!J503,БАЛАНС_ДЕНЬ_ЧАС!J511,БАЛАНС_ДЕНЬ_ЧАС!J519,БАЛАНС_ДЕНЬ_ЧАС!J527,БАЛАНС_ДЕНЬ_ЧАС!J535,БАЛАНС_ДЕНЬ_ЧАС!J543,БАЛАНС_ДЕНЬ_ЧАС!J551,БАЛАНС_ДЕНЬ_ЧАС!J559,БАЛАНС_ДЕНЬ_ЧАС!J567,БАЛАНС_ДЕНЬ_ЧАС!J575,БАЛАНС_ДЕНЬ_ЧАС!J583,БАЛАНС_ДЕНЬ_ЧАС!J591,БАЛАНС_ДЕНЬ_ЧАС!J599,БАЛАНС_ДЕНЬ_ЧАС!J607,БАЛАНС_ДЕНЬ_ЧАС!J615,БАЛАНС_ДЕНЬ_ЧАС!J623,БАЛАНС_ДЕНЬ_ЧАС!J631,БАЛАНС_ДЕНЬ_ЧАС!J639,БАЛАНС_ДЕНЬ_ЧАС!J647,БАЛАНС_ДЕНЬ_ЧАС!J655,БАЛАНС_ДЕНЬ_ЧАС!J663,БАЛАНС_ДЕНЬ_ЧАС!J671,БАЛАНС_ДЕНЬ_ЧАС!J679,БАЛАНС_ДЕНЬ_ЧАС!J687,БАЛАНС_ДЕНЬ_ЧАС!J695,БАЛАНС_ДЕНЬ_ЧАС!J703,БАЛАНС_ДЕНЬ_ЧАС!J711,БАЛАНС_ДЕНЬ_ЧАС!J719,БАЛАНС_ДЕНЬ_ЧАС!J727,БАЛАНС_ДЕНЬ_ЧАС!J735,БАЛАНС_ДЕНЬ_ЧАС!J743,БАЛАНС_ДЕНЬ_ЧАС!J751,БАЛАНС_ДЕНЬ_ЧАС!J759,БАЛАНС_ДЕНЬ_ЧАС!J767,БАЛАНС_ДЕНЬ_ЧАС!J775,БАЛАНС_ДЕНЬ_ЧАС!J783,БАЛАНС_ДЕНЬ_ЧАС!J791,БАЛАНС_ДЕНЬ_ЧАС!J799,БАЛАНС_ДЕНЬ_ЧАС!J807,БАЛАНС_ДЕНЬ_ЧАС!J815,БАЛАНС_ДЕНЬ_ЧАС!J823,БАЛАНС_ДЕНЬ_ЧАС!J831,БАЛАНС_ДЕНЬ_ЧАС!J839,БАЛАНС_ДЕНЬ_ЧАС!J847)</f>
        <v>12</v>
      </c>
      <c r="N33" s="12" t="n">
        <f aca="false">MAX(БАЛАНС_ДЕНЬ_ЧАС!K15,БАЛАНС_ДЕНЬ_ЧАС!K23,БАЛАНС_ДЕНЬ_ЧАС!K31,БАЛАНС_ДЕНЬ_ЧАС!K39,БАЛАНС_ДЕНЬ_ЧАС!K47,БАЛАНС_ДЕНЬ_ЧАС!K55,БАЛАНС_ДЕНЬ_ЧАС!K63,БАЛАНС_ДЕНЬ_ЧАС!K71,БАЛАНС_ДЕНЬ_ЧАС!K79,БАЛАНС_ДЕНЬ_ЧАС!K87,БАЛАНС_ДЕНЬ_ЧАС!K95,БАЛАНС_ДЕНЬ_ЧАС!K103,БАЛАНС_ДЕНЬ_ЧАС!K111,БАЛАНС_ДЕНЬ_ЧАС!K119,БАЛАНС_ДЕНЬ_ЧАС!K127,БАЛАНС_ДЕНЬ_ЧАС!K135,БАЛАНС_ДЕНЬ_ЧАС!K143,БАЛАНС_ДЕНЬ_ЧАС!K151,БАЛАНС_ДЕНЬ_ЧАС!K159,БАЛАНС_ДЕНЬ_ЧАС!K167,БАЛАНС_ДЕНЬ_ЧАС!K175,БАЛАНС_ДЕНЬ_ЧАС!K183,БАЛАНС_ДЕНЬ_ЧАС!K191,БАЛАНС_ДЕНЬ_ЧАС!K199,БАЛАНС_ДЕНЬ_ЧАС!K207,БАЛАНС_ДЕНЬ_ЧАС!K215,БАЛАНС_ДЕНЬ_ЧАС!K223,БАЛАНС_ДЕНЬ_ЧАС!K231,БАЛАНС_ДЕНЬ_ЧАС!K239,БАЛАНС_ДЕНЬ_ЧАС!K247,БАЛАНС_ДЕНЬ_ЧАС!K255,БАЛАНС_ДЕНЬ_ЧАС!K263,БАЛАНС_ДЕНЬ_ЧАС!K271,БАЛАНС_ДЕНЬ_ЧАС!K279,БАЛАНС_ДЕНЬ_ЧАС!K287,БАЛАНС_ДЕНЬ_ЧАС!K295,БАЛАНС_ДЕНЬ_ЧАС!K303,БАЛАНС_ДЕНЬ_ЧАС!K311,БАЛАНС_ДЕНЬ_ЧАС!K319,БАЛАНС_ДЕНЬ_ЧАС!K327,БАЛАНС_ДЕНЬ_ЧАС!K335,БАЛАНС_ДЕНЬ_ЧАС!K343,БАЛАНС_ДЕНЬ_ЧАС!K351,БАЛАНС_ДЕНЬ_ЧАС!K359,БАЛАНС_ДЕНЬ_ЧАС!K367,БАЛАНС_ДЕНЬ_ЧАС!K375,БАЛАНС_ДЕНЬ_ЧАС!K383,БАЛАНС_ДЕНЬ_ЧАС!K391,БАЛАНС_ДЕНЬ_ЧАС!K399,БАЛАНС_ДЕНЬ_ЧАС!K407,БАЛАНС_ДЕНЬ_ЧАС!K415,БАЛАНС_ДЕНЬ_ЧАС!K423,БАЛАНС_ДЕНЬ_ЧАС!K431,БАЛАНС_ДЕНЬ_ЧАС!K439,БАЛАНС_ДЕНЬ_ЧАС!K447,БАЛАНС_ДЕНЬ_ЧАС!K455,БАЛАНС_ДЕНЬ_ЧАС!K463,БАЛАНС_ДЕНЬ_ЧАС!K471,БАЛАНС_ДЕНЬ_ЧАС!K479,БАЛАНС_ДЕНЬ_ЧАС!K487,БАЛАНС_ДЕНЬ_ЧАС!K495,БАЛАНС_ДЕНЬ_ЧАС!K503,БАЛАНС_ДЕНЬ_ЧАС!K511,БАЛАНС_ДЕНЬ_ЧАС!K519,БАЛАНС_ДЕНЬ_ЧАС!K527,БАЛАНС_ДЕНЬ_ЧАС!K535,БАЛАНС_ДЕНЬ_ЧАС!K543,БАЛАНС_ДЕНЬ_ЧАС!K551,БАЛАНС_ДЕНЬ_ЧАС!K559,БАЛАНС_ДЕНЬ_ЧАС!K567,БАЛАНС_ДЕНЬ_ЧАС!K575,БАЛАНС_ДЕНЬ_ЧАС!K583,БАЛАНС_ДЕНЬ_ЧАС!K591,БАЛАНС_ДЕНЬ_ЧАС!K599,БАЛАНС_ДЕНЬ_ЧАС!K607,БАЛАНС_ДЕНЬ_ЧАС!K615,БАЛАНС_ДЕНЬ_ЧАС!K623,БАЛАНС_ДЕНЬ_ЧАС!K631,БАЛАНС_ДЕНЬ_ЧАС!K639,БАЛАНС_ДЕНЬ_ЧАС!K647,БАЛАНС_ДЕНЬ_ЧАС!K655,БАЛАНС_ДЕНЬ_ЧАС!K663,БАЛАНС_ДЕНЬ_ЧАС!K671,БАЛАНС_ДЕНЬ_ЧАС!K679,БАЛАНС_ДЕНЬ_ЧАС!K687,БАЛАНС_ДЕНЬ_ЧАС!K695,БАЛАНС_ДЕНЬ_ЧАС!K703,БАЛАНС_ДЕНЬ_ЧАС!K711,БАЛАНС_ДЕНЬ_ЧАС!K719,БАЛАНС_ДЕНЬ_ЧАС!K727,БАЛАНС_ДЕНЬ_ЧАС!K735,БАЛАНС_ДЕНЬ_ЧАС!K743,БАЛАНС_ДЕНЬ_ЧАС!K751,БАЛАНС_ДЕНЬ_ЧАС!K759,БАЛАНС_ДЕНЬ_ЧАС!K767,БАЛАНС_ДЕНЬ_ЧАС!K775,БАЛАНС_ДЕНЬ_ЧАС!K783,БАЛАНС_ДЕНЬ_ЧАС!K791,БАЛАНС_ДЕНЬ_ЧАС!K799,БАЛАНС_ДЕНЬ_ЧАС!K807,БАЛАНС_ДЕНЬ_ЧАС!K815,БАЛАНС_ДЕНЬ_ЧАС!K823,БАЛАНС_ДЕНЬ_ЧАС!K831,БАЛАНС_ДЕНЬ_ЧАС!K839,БАЛАНС_ДЕНЬ_ЧАС!K847)</f>
        <v>0</v>
      </c>
      <c r="O33" s="11" t="str">
        <f aca="false">IF(N33&gt;0,"BLOCKED","PASS")</f>
        <v>PASS</v>
      </c>
      <c r="P33" s="11" t="s">
        <v>147</v>
      </c>
    </row>
    <row r="34" customFormat="false" ht="15" hidden="false" customHeight="false" outlineLevel="0" collapsed="false">
      <c r="A34" s="11" t="n">
        <v>24</v>
      </c>
      <c r="B34" s="11" t="s">
        <v>86</v>
      </c>
      <c r="C34" s="11" t="s">
        <v>180</v>
      </c>
      <c r="D34" s="11" t="s">
        <v>85</v>
      </c>
      <c r="E34" s="12" t="n">
        <v>150</v>
      </c>
      <c r="F34" s="12" t="n">
        <f aca="false">SUMIF(СПРОС_ДЕНЬ_ЧАС_МЕНЮ!$C$11:$C$3265,A34,СПРОС_ДЕНЬ_ЧАС_МЕНЮ!$I$11:$I$3265)</f>
        <v>58.476605</v>
      </c>
      <c r="G34" s="12" t="n">
        <f aca="false">MAX(СПРОС_ДЕНЬ_ЧАС_МЕНЮ!I34,СПРОС_ДЕНЬ_ЧАС_МЕНЮ!I65,СПРОС_ДЕНЬ_ЧАС_МЕНЮ!I96,СПРОС_ДЕНЬ_ЧАС_МЕНЮ!I127,СПРОС_ДЕНЬ_ЧАС_МЕНЮ!I158,СПРОС_ДЕНЬ_ЧАС_МЕНЮ!I189,СПРОС_ДЕНЬ_ЧАС_МЕНЮ!I220,СПРОС_ДЕНЬ_ЧАС_МЕНЮ!I251,СПРОС_ДЕНЬ_ЧАС_МЕНЮ!I282,СПРОС_ДЕНЬ_ЧАС_МЕНЮ!I313,СПРОС_ДЕНЬ_ЧАС_МЕНЮ!I344,СПРОС_ДЕНЬ_ЧАС_МЕНЮ!I375,СПРОС_ДЕНЬ_ЧАС_МЕНЮ!I406,СПРОС_ДЕНЬ_ЧАС_МЕНЮ!I437,СПРОС_ДЕНЬ_ЧАС_МЕНЮ!I468,СПРОС_ДЕНЬ_ЧАС_МЕНЮ!I499,СПРОС_ДЕНЬ_ЧАС_МЕНЮ!I530,СПРОС_ДЕНЬ_ЧАС_МЕНЮ!I561,СПРОС_ДЕНЬ_ЧАС_МЕНЮ!I592,СПРОС_ДЕНЬ_ЧАС_МЕНЮ!I623,СПРОС_ДЕНЬ_ЧАС_МЕНЮ!I654,СПРОС_ДЕНЬ_ЧАС_МЕНЮ!I685,СПРОС_ДЕНЬ_ЧАС_МЕНЮ!I716,СПРОС_ДЕНЬ_ЧАС_МЕНЮ!I747,СПРОС_ДЕНЬ_ЧАС_МЕНЮ!I778,СПРОС_ДЕНЬ_ЧАС_МЕНЮ!I809,СПРОС_ДЕНЬ_ЧАС_МЕНЮ!I840,СПРОС_ДЕНЬ_ЧАС_МЕНЮ!I871,СПРОС_ДЕНЬ_ЧАС_МЕНЮ!I902,СПРОС_ДЕНЬ_ЧАС_МЕНЮ!I933,СПРОС_ДЕНЬ_ЧАС_МЕНЮ!I964,СПРОС_ДЕНЬ_ЧАС_МЕНЮ!I995,СПРОС_ДЕНЬ_ЧАС_МЕНЮ!I1026,СПРОС_ДЕНЬ_ЧАС_МЕНЮ!I1057,СПРОС_ДЕНЬ_ЧАС_МЕНЮ!I1088,СПРОС_ДЕНЬ_ЧАС_МЕНЮ!I1119,СПРОС_ДЕНЬ_ЧАС_МЕНЮ!I1150,СПРОС_ДЕНЬ_ЧАС_МЕНЮ!I1181,СПРОС_ДЕНЬ_ЧАС_МЕНЮ!I1212,СПРОС_ДЕНЬ_ЧАС_МЕНЮ!I1243,СПРОС_ДЕНЬ_ЧАС_МЕНЮ!I1274,СПРОС_ДЕНЬ_ЧАС_МЕНЮ!I1305,СПРОС_ДЕНЬ_ЧАС_МЕНЮ!I1336,СПРОС_ДЕНЬ_ЧАС_МЕНЮ!I1367,СПРОС_ДЕНЬ_ЧАС_МЕНЮ!I1398,СПРОС_ДЕНЬ_ЧАС_МЕНЮ!I1429,СПРОС_ДЕНЬ_ЧАС_МЕНЮ!I1460,СПРОС_ДЕНЬ_ЧАС_МЕНЮ!I1491,СПРОС_ДЕНЬ_ЧАС_МЕНЮ!I1522,СПРОС_ДЕНЬ_ЧАС_МЕНЮ!I1553,СПРОС_ДЕНЬ_ЧАС_МЕНЮ!I1584,СПРОС_ДЕНЬ_ЧАС_МЕНЮ!I1615,СПРОС_ДЕНЬ_ЧАС_МЕНЮ!I1646,СПРОС_ДЕНЬ_ЧАС_МЕНЮ!I1677,СПРОС_ДЕНЬ_ЧАС_МЕНЮ!I1708,СПРОС_ДЕНЬ_ЧАС_МЕНЮ!I1739,СПРОС_ДЕНЬ_ЧАС_МЕНЮ!I1770,СПРОС_ДЕНЬ_ЧАС_МЕНЮ!I1801,СПРОС_ДЕНЬ_ЧАС_МЕНЮ!I1832,СПРОС_ДЕНЬ_ЧАС_МЕНЮ!I1863,СПРОС_ДЕНЬ_ЧАС_МЕНЮ!I1894,СПРОС_ДЕНЬ_ЧАС_МЕНЮ!I1925,СПРОС_ДЕНЬ_ЧАС_МЕНЮ!I1956,СПРОС_ДЕНЬ_ЧАС_МЕНЮ!I1987,СПРОС_ДЕНЬ_ЧАС_МЕНЮ!I2018,СПРОС_ДЕНЬ_ЧАС_МЕНЮ!I2049,СПРОС_ДЕНЬ_ЧАС_МЕНЮ!I2080,СПРОС_ДЕНЬ_ЧАС_МЕНЮ!I2111,СПРОС_ДЕНЬ_ЧАС_МЕНЮ!I2142,СПРОС_ДЕНЬ_ЧАС_МЕНЮ!I2173,СПРОС_ДЕНЬ_ЧАС_МЕНЮ!I2204,СПРОС_ДЕНЬ_ЧАС_МЕНЮ!I2235,СПРОС_ДЕНЬ_ЧАС_МЕНЮ!I2266,СПРОС_ДЕНЬ_ЧАС_МЕНЮ!I2297,СПРОС_ДЕНЬ_ЧАС_МЕНЮ!I2328,СПРОС_ДЕНЬ_ЧАС_МЕНЮ!I2359,СПРОС_ДЕНЬ_ЧАС_МЕНЮ!I2390,СПРОС_ДЕНЬ_ЧАС_МЕНЮ!I2421,СПРОС_ДЕНЬ_ЧАС_МЕНЮ!I2452,СПРОС_ДЕНЬ_ЧАС_МЕНЮ!I2483,СПРОС_ДЕНЬ_ЧАС_МЕНЮ!I2514,СПРОС_ДЕНЬ_ЧАС_МЕНЮ!I2545,СПРОС_ДЕНЬ_ЧАС_МЕНЮ!I2576,СПРОС_ДЕНЬ_ЧАС_МЕНЮ!I2607,СПРОС_ДЕНЬ_ЧАС_МЕНЮ!I2638,СПРОС_ДЕНЬ_ЧАС_МЕНЮ!I2669,СПРОС_ДЕНЬ_ЧАС_МЕНЮ!I2700,СПРОС_ДЕНЬ_ЧАС_МЕНЮ!I2731,СПРОС_ДЕНЬ_ЧАС_МЕНЮ!I2762,СПРОС_ДЕНЬ_ЧАС_МЕНЮ!I2793,СПРОС_ДЕНЬ_ЧАС_МЕНЮ!I2824,СПРОС_ДЕНЬ_ЧАС_МЕНЮ!I2855,СПРОС_ДЕНЬ_ЧАС_МЕНЮ!I2886,СПРОС_ДЕНЬ_ЧАС_МЕНЮ!I2917,СПРОС_ДЕНЬ_ЧАС_МЕНЮ!I2948,СПРОС_ДЕНЬ_ЧАС_МЕНЮ!I2979,СПРОС_ДЕНЬ_ЧАС_МЕНЮ!I3010,СПРОС_ДЕНЬ_ЧАС_МЕНЮ!I3041,СПРОС_ДЕНЬ_ЧАС_МЕНЮ!I3072,СПРОС_ДЕНЬ_ЧАС_МЕНЮ!I3103,СПРОС_ДЕНЬ_ЧАС_МЕНЮ!I3134,СПРОС_ДЕНЬ_ЧАС_МЕНЮ!I3165,СПРОС_ДЕНЬ_ЧАС_МЕНЮ!I3196,СПРОС_ДЕНЬ_ЧАС_МЕНЮ!I3227,СПРОС_ДЕНЬ_ЧАС_МЕНЮ!I3258)</f>
        <v>1.8315825</v>
      </c>
      <c r="H34" s="12" t="s">
        <v>111</v>
      </c>
      <c r="I34" s="12" t="s">
        <v>130</v>
      </c>
      <c r="J34" s="12" t="n">
        <f aca="false">MAX(БАЛАНС_ДЕНЬ_ЧАС!F15,БАЛАНС_ДЕНЬ_ЧАС!F23,БАЛАНС_ДЕНЬ_ЧАС!F31,БАЛАНС_ДЕНЬ_ЧАС!F39,БАЛАНС_ДЕНЬ_ЧАС!F47,БАЛАНС_ДЕНЬ_ЧАС!F55,БАЛАНС_ДЕНЬ_ЧАС!F63,БАЛАНС_ДЕНЬ_ЧАС!F71,БАЛАНС_ДЕНЬ_ЧАС!F79,БАЛАНС_ДЕНЬ_ЧАС!F87,БАЛАНС_ДЕНЬ_ЧАС!F95,БАЛАНС_ДЕНЬ_ЧАС!F103,БАЛАНС_ДЕНЬ_ЧАС!F111,БАЛАНС_ДЕНЬ_ЧАС!F119,БАЛАНС_ДЕНЬ_ЧАС!F127,БАЛАНС_ДЕНЬ_ЧАС!F135,БАЛАНС_ДЕНЬ_ЧАС!F143,БАЛАНС_ДЕНЬ_ЧАС!F151,БАЛАНС_ДЕНЬ_ЧАС!F159,БАЛАНС_ДЕНЬ_ЧАС!F167,БАЛАНС_ДЕНЬ_ЧАС!F175,БАЛАНС_ДЕНЬ_ЧАС!F183,БАЛАНС_ДЕНЬ_ЧАС!F191,БАЛАНС_ДЕНЬ_ЧАС!F199,БАЛАНС_ДЕНЬ_ЧАС!F207,БАЛАНС_ДЕНЬ_ЧАС!F215,БАЛАНС_ДЕНЬ_ЧАС!F223,БАЛАНС_ДЕНЬ_ЧАС!F231,БАЛАНС_ДЕНЬ_ЧАС!F239,БАЛАНС_ДЕНЬ_ЧАС!F247,БАЛАНС_ДЕНЬ_ЧАС!F255,БАЛАНС_ДЕНЬ_ЧАС!F263,БАЛАНС_ДЕНЬ_ЧАС!F271,БАЛАНС_ДЕНЬ_ЧАС!F279,БАЛАНС_ДЕНЬ_ЧАС!F287,БАЛАНС_ДЕНЬ_ЧАС!F295,БАЛАНС_ДЕНЬ_ЧАС!F303,БАЛАНС_ДЕНЬ_ЧАС!F311,БАЛАНС_ДЕНЬ_ЧАС!F319,БАЛАНС_ДЕНЬ_ЧАС!F327,БАЛАНС_ДЕНЬ_ЧАС!F335,БАЛАНС_ДЕНЬ_ЧАС!F343,БАЛАНС_ДЕНЬ_ЧАС!F351,БАЛАНС_ДЕНЬ_ЧАС!F359,БАЛАНС_ДЕНЬ_ЧАС!F367,БАЛАНС_ДЕНЬ_ЧАС!F375,БАЛАНС_ДЕНЬ_ЧАС!F383,БАЛАНС_ДЕНЬ_ЧАС!F391,БАЛАНС_ДЕНЬ_ЧАС!F399,БАЛАНС_ДЕНЬ_ЧАС!F407,БАЛАНС_ДЕНЬ_ЧАС!F415,БАЛАНС_ДЕНЬ_ЧАС!F423,БАЛАНС_ДЕНЬ_ЧАС!F431,БАЛАНС_ДЕНЬ_ЧАС!F439,БАЛАНС_ДЕНЬ_ЧАС!F447,БАЛАНС_ДЕНЬ_ЧАС!F455,БАЛАНС_ДЕНЬ_ЧАС!F463,БАЛАНС_ДЕНЬ_ЧАС!F471,БАЛАНС_ДЕНЬ_ЧАС!F479,БАЛАНС_ДЕНЬ_ЧАС!F487,БАЛАНС_ДЕНЬ_ЧАС!F495,БАЛАНС_ДЕНЬ_ЧАС!F503,БАЛАНС_ДЕНЬ_ЧАС!F511,БАЛАНС_ДЕНЬ_ЧАС!F519,БАЛАНС_ДЕНЬ_ЧАС!F527,БАЛАНС_ДЕНЬ_ЧАС!F535,БАЛАНС_ДЕНЬ_ЧАС!F543,БАЛАНС_ДЕНЬ_ЧАС!F551,БАЛАНС_ДЕНЬ_ЧАС!F559,БАЛАНС_ДЕНЬ_ЧАС!F567,БАЛАНС_ДЕНЬ_ЧАС!F575,БАЛАНС_ДЕНЬ_ЧАС!F583,БАЛАНС_ДЕНЬ_ЧАС!F591,БАЛАНС_ДЕНЬ_ЧАС!F599,БАЛАНС_ДЕНЬ_ЧАС!F607,БАЛАНС_ДЕНЬ_ЧАС!F615,БАЛАНС_ДЕНЬ_ЧАС!F623,БАЛАНС_ДЕНЬ_ЧАС!F631,БАЛАНС_ДЕНЬ_ЧАС!F639,БАЛАНС_ДЕНЬ_ЧАС!F647,БАЛАНС_ДЕНЬ_ЧАС!F655,БАЛАНС_ДЕНЬ_ЧАС!F663,БАЛАНС_ДЕНЬ_ЧАС!F671,БАЛАНС_ДЕНЬ_ЧАС!F679,БАЛАНС_ДЕНЬ_ЧАС!F687,БАЛАНС_ДЕНЬ_ЧАС!F695,БАЛАНС_ДЕНЬ_ЧАС!F703,БАЛАНС_ДЕНЬ_ЧАС!F711,БАЛАНС_ДЕНЬ_ЧАС!F719,БАЛАНС_ДЕНЬ_ЧАС!F727,БАЛАНС_ДЕНЬ_ЧАС!F735,БАЛАНС_ДЕНЬ_ЧАС!F743,БАЛАНС_ДЕНЬ_ЧАС!F751,БАЛАНС_ДЕНЬ_ЧАС!F759,БАЛАНС_ДЕНЬ_ЧАС!F767,БАЛАНС_ДЕНЬ_ЧАС!F775,БАЛАНС_ДЕНЬ_ЧАС!F783,БАЛАНС_ДЕНЬ_ЧАС!F791,БАЛАНС_ДЕНЬ_ЧАС!F799,БАЛАНС_ДЕНЬ_ЧАС!F807,БАЛАНС_ДЕНЬ_ЧАС!F815,БАЛАНС_ДЕНЬ_ЧАС!F823,БАЛАНС_ДЕНЬ_ЧАС!F831,БАЛАНС_ДЕНЬ_ЧАС!F839,БАЛАНС_ДЕНЬ_ЧАС!F847)</f>
        <v>9.1579125</v>
      </c>
      <c r="K34" s="12" t="n">
        <f aca="false">ПАРАМЕТРЫ!D24</f>
        <v>12</v>
      </c>
      <c r="L34" s="12" t="n">
        <f aca="false">MAX(БАЛАНС_ДЕНЬ_ЧАС!I15,БАЛАНС_ДЕНЬ_ЧАС!I23,БАЛАНС_ДЕНЬ_ЧАС!I31,БАЛАНС_ДЕНЬ_ЧАС!I39,БАЛАНС_ДЕНЬ_ЧАС!I47,БАЛАНС_ДЕНЬ_ЧАС!I55,БАЛАНС_ДЕНЬ_ЧАС!I63,БАЛАНС_ДЕНЬ_ЧАС!I71,БАЛАНС_ДЕНЬ_ЧАС!I79,БАЛАНС_ДЕНЬ_ЧАС!I87,БАЛАНС_ДЕНЬ_ЧАС!I95,БАЛАНС_ДЕНЬ_ЧАС!I103,БАЛАНС_ДЕНЬ_ЧАС!I111,БАЛАНС_ДЕНЬ_ЧАС!I119,БАЛАНС_ДЕНЬ_ЧАС!I127,БАЛАНС_ДЕНЬ_ЧАС!I135,БАЛАНС_ДЕНЬ_ЧАС!I143,БАЛАНС_ДЕНЬ_ЧАС!I151,БАЛАНС_ДЕНЬ_ЧАС!I159,БАЛАНС_ДЕНЬ_ЧАС!I167,БАЛАНС_ДЕНЬ_ЧАС!I175,БАЛАНС_ДЕНЬ_ЧАС!I183,БАЛАНС_ДЕНЬ_ЧАС!I191,БАЛАНС_ДЕНЬ_ЧАС!I199,БАЛАНС_ДЕНЬ_ЧАС!I207,БАЛАНС_ДЕНЬ_ЧАС!I215,БАЛАНС_ДЕНЬ_ЧАС!I223,БАЛАНС_ДЕНЬ_ЧАС!I231,БАЛАНС_ДЕНЬ_ЧАС!I239,БАЛАНС_ДЕНЬ_ЧАС!I247,БАЛАНС_ДЕНЬ_ЧАС!I255,БАЛАНС_ДЕНЬ_ЧАС!I263,БАЛАНС_ДЕНЬ_ЧАС!I271,БАЛАНС_ДЕНЬ_ЧАС!I279,БАЛАНС_ДЕНЬ_ЧАС!I287,БАЛАНС_ДЕНЬ_ЧАС!I295,БАЛАНС_ДЕНЬ_ЧАС!I303,БАЛАНС_ДЕНЬ_ЧАС!I311,БАЛАНС_ДЕНЬ_ЧАС!I319,БАЛАНС_ДЕНЬ_ЧАС!I327,БАЛАНС_ДЕНЬ_ЧАС!I335,БАЛАНС_ДЕНЬ_ЧАС!I343,БАЛАНС_ДЕНЬ_ЧАС!I351,БАЛАНС_ДЕНЬ_ЧАС!I359,БАЛАНС_ДЕНЬ_ЧАС!I367,БАЛАНС_ДЕНЬ_ЧАС!I375,БАЛАНС_ДЕНЬ_ЧАС!I383,БАЛАНС_ДЕНЬ_ЧАС!I391,БАЛАНС_ДЕНЬ_ЧАС!I399,БАЛАНС_ДЕНЬ_ЧАС!I407,БАЛАНС_ДЕНЬ_ЧАС!I415,БАЛАНС_ДЕНЬ_ЧАС!I423,БАЛАНС_ДЕНЬ_ЧАС!I431,БАЛАНС_ДЕНЬ_ЧАС!I439,БАЛАНС_ДЕНЬ_ЧАС!I447,БАЛАНС_ДЕНЬ_ЧАС!I455,БАЛАНС_ДЕНЬ_ЧАС!I463,БАЛАНС_ДЕНЬ_ЧАС!I471,БАЛАНС_ДЕНЬ_ЧАС!I479,БАЛАНС_ДЕНЬ_ЧАС!I487,БАЛАНС_ДЕНЬ_ЧАС!I495,БАЛАНС_ДЕНЬ_ЧАС!I503,БАЛАНС_ДЕНЬ_ЧАС!I511,БАЛАНС_ДЕНЬ_ЧАС!I519,БАЛАНС_ДЕНЬ_ЧАС!I527,БАЛАНС_ДЕНЬ_ЧАС!I535,БАЛАНС_ДЕНЬ_ЧАС!I543,БАЛАНС_ДЕНЬ_ЧАС!I551,БАЛАНС_ДЕНЬ_ЧАС!I559,БАЛАНС_ДЕНЬ_ЧАС!I567,БАЛАНС_ДЕНЬ_ЧАС!I575,БАЛАНС_ДЕНЬ_ЧАС!I583,БАЛАНС_ДЕНЬ_ЧАС!I591,БАЛАНС_ДЕНЬ_ЧАС!I599,БАЛАНС_ДЕНЬ_ЧАС!I607,БАЛАНС_ДЕНЬ_ЧАС!I615,БАЛАНС_ДЕНЬ_ЧАС!I623,БАЛАНС_ДЕНЬ_ЧАС!I631,БАЛАНС_ДЕНЬ_ЧАС!I639,БАЛАНС_ДЕНЬ_ЧАС!I647,БАЛАНС_ДЕНЬ_ЧАС!I655,БАЛАНС_ДЕНЬ_ЧАС!I663,БАЛАНС_ДЕНЬ_ЧАС!I671,БАЛАНС_ДЕНЬ_ЧАС!I679,БАЛАНС_ДЕНЬ_ЧАС!I687,БАЛАНС_ДЕНЬ_ЧАС!I695,БАЛАНС_ДЕНЬ_ЧАС!I703,БАЛАНС_ДЕНЬ_ЧАС!I711,БАЛАНС_ДЕНЬ_ЧАС!I719,БАЛАНС_ДЕНЬ_ЧАС!I727,БАЛАНС_ДЕНЬ_ЧАС!I735,БАЛАНС_ДЕНЬ_ЧАС!I743,БАЛАНС_ДЕНЬ_ЧАС!I751,БАЛАНС_ДЕНЬ_ЧАС!I759,БАЛАНС_ДЕНЬ_ЧАС!I767,БАЛАНС_ДЕНЬ_ЧАС!I775,БАЛАНС_ДЕНЬ_ЧАС!I783,БАЛАНС_ДЕНЬ_ЧАС!I791,БАЛАНС_ДЕНЬ_ЧАС!I799,БАЛАНС_ДЕНЬ_ЧАС!I807,БАЛАНС_ДЕНЬ_ЧАС!I815,БАЛАНС_ДЕНЬ_ЧАС!I823,БАЛАНС_ДЕНЬ_ЧАС!I831,БАЛАНС_ДЕНЬ_ЧАС!I839,БАЛАНС_ДЕНЬ_ЧАС!I847)</f>
        <v>12</v>
      </c>
      <c r="M34" s="12" t="n">
        <f aca="false">MAX(БАЛАНС_ДЕНЬ_ЧАС!J15,БАЛАНС_ДЕНЬ_ЧАС!J23,БАЛАНС_ДЕНЬ_ЧАС!J31,БАЛАНС_ДЕНЬ_ЧАС!J39,БАЛАНС_ДЕНЬ_ЧАС!J47,БАЛАНС_ДЕНЬ_ЧАС!J55,БАЛАНС_ДЕНЬ_ЧАС!J63,БАЛАНС_ДЕНЬ_ЧАС!J71,БАЛАНС_ДЕНЬ_ЧАС!J79,БАЛАНС_ДЕНЬ_ЧАС!J87,БАЛАНС_ДЕНЬ_ЧАС!J95,БАЛАНС_ДЕНЬ_ЧАС!J103,БАЛАНС_ДЕНЬ_ЧАС!J111,БАЛАНС_ДЕНЬ_ЧАС!J119,БАЛАНС_ДЕНЬ_ЧАС!J127,БАЛАНС_ДЕНЬ_ЧАС!J135,БАЛАНС_ДЕНЬ_ЧАС!J143,БАЛАНС_ДЕНЬ_ЧАС!J151,БАЛАНС_ДЕНЬ_ЧАС!J159,БАЛАНС_ДЕНЬ_ЧАС!J167,БАЛАНС_ДЕНЬ_ЧАС!J175,БАЛАНС_ДЕНЬ_ЧАС!J183,БАЛАНС_ДЕНЬ_ЧАС!J191,БАЛАНС_ДЕНЬ_ЧАС!J199,БАЛАНС_ДЕНЬ_ЧАС!J207,БАЛАНС_ДЕНЬ_ЧАС!J215,БАЛАНС_ДЕНЬ_ЧАС!J223,БАЛАНС_ДЕНЬ_ЧАС!J231,БАЛАНС_ДЕНЬ_ЧАС!J239,БАЛАНС_ДЕНЬ_ЧАС!J247,БАЛАНС_ДЕНЬ_ЧАС!J255,БАЛАНС_ДЕНЬ_ЧАС!J263,БАЛАНС_ДЕНЬ_ЧАС!J271,БАЛАНС_ДЕНЬ_ЧАС!J279,БАЛАНС_ДЕНЬ_ЧАС!J287,БАЛАНС_ДЕНЬ_ЧАС!J295,БАЛАНС_ДЕНЬ_ЧАС!J303,БАЛАНС_ДЕНЬ_ЧАС!J311,БАЛАНС_ДЕНЬ_ЧАС!J319,БАЛАНС_ДЕНЬ_ЧАС!J327,БАЛАНС_ДЕНЬ_ЧАС!J335,БАЛАНС_ДЕНЬ_ЧАС!J343,БАЛАНС_ДЕНЬ_ЧАС!J351,БАЛАНС_ДЕНЬ_ЧАС!J359,БАЛАНС_ДЕНЬ_ЧАС!J367,БАЛАНС_ДЕНЬ_ЧАС!J375,БАЛАНС_ДЕНЬ_ЧАС!J383,БАЛАНС_ДЕНЬ_ЧАС!J391,БАЛАНС_ДЕНЬ_ЧАС!J399,БАЛАНС_ДЕНЬ_ЧАС!J407,БАЛАНС_ДЕНЬ_ЧАС!J415,БАЛАНС_ДЕНЬ_ЧАС!J423,БАЛАНС_ДЕНЬ_ЧАС!J431,БАЛАНС_ДЕНЬ_ЧАС!J439,БАЛАНС_ДЕНЬ_ЧАС!J447,БАЛАНС_ДЕНЬ_ЧАС!J455,БАЛАНС_ДЕНЬ_ЧАС!J463,БАЛАНС_ДЕНЬ_ЧАС!J471,БАЛАНС_ДЕНЬ_ЧАС!J479,БАЛАНС_ДЕНЬ_ЧАС!J487,БАЛАНС_ДЕНЬ_ЧАС!J495,БАЛАНС_ДЕНЬ_ЧАС!J503,БАЛАНС_ДЕНЬ_ЧАС!J511,БАЛАНС_ДЕНЬ_ЧАС!J519,БАЛАНС_ДЕНЬ_ЧАС!J527,БАЛАНС_ДЕНЬ_ЧАС!J535,БАЛАНС_ДЕНЬ_ЧАС!J543,БАЛАНС_ДЕНЬ_ЧАС!J551,БАЛАНС_ДЕНЬ_ЧАС!J559,БАЛАНС_ДЕНЬ_ЧАС!J567,БАЛАНС_ДЕНЬ_ЧАС!J575,БАЛАНС_ДЕНЬ_ЧАС!J583,БАЛАНС_ДЕНЬ_ЧАС!J591,БАЛАНС_ДЕНЬ_ЧАС!J599,БАЛАНС_ДЕНЬ_ЧАС!J607,БАЛАНС_ДЕНЬ_ЧАС!J615,БАЛАНС_ДЕНЬ_ЧАС!J623,БАЛАНС_ДЕНЬ_ЧАС!J631,БАЛАНС_ДЕНЬ_ЧАС!J639,БАЛАНС_ДЕНЬ_ЧАС!J647,БАЛАНС_ДЕНЬ_ЧАС!J655,БАЛАНС_ДЕНЬ_ЧАС!J663,БАЛАНС_ДЕНЬ_ЧАС!J671,БАЛАНС_ДЕНЬ_ЧАС!J679,БАЛАНС_ДЕНЬ_ЧАС!J687,БАЛАНС_ДЕНЬ_ЧАС!J695,БАЛАНС_ДЕНЬ_ЧАС!J703,БАЛАНС_ДЕНЬ_ЧАС!J711,БАЛАНС_ДЕНЬ_ЧАС!J719,БАЛАНС_ДЕНЬ_ЧАС!J727,БАЛАНС_ДЕНЬ_ЧАС!J735,БАЛАНС_ДЕНЬ_ЧАС!J743,БАЛАНС_ДЕНЬ_ЧАС!J751,БАЛАНС_ДЕНЬ_ЧАС!J759,БАЛАНС_ДЕНЬ_ЧАС!J767,БАЛАНС_ДЕНЬ_ЧАС!J775,БАЛАНС_ДЕНЬ_ЧАС!J783,БАЛАНС_ДЕНЬ_ЧАС!J791,БАЛАНС_ДЕНЬ_ЧАС!J799,БАЛАНС_ДЕНЬ_ЧАС!J807,БАЛАНС_ДЕНЬ_ЧАС!J815,БАЛАНС_ДЕНЬ_ЧАС!J823,БАЛАНС_ДЕНЬ_ЧАС!J831,БАЛАНС_ДЕНЬ_ЧАС!J839,БАЛАНС_ДЕНЬ_ЧАС!J847)</f>
        <v>12</v>
      </c>
      <c r="N34" s="12" t="n">
        <f aca="false">MAX(БАЛАНС_ДЕНЬ_ЧАС!K15,БАЛАНС_ДЕНЬ_ЧАС!K23,БАЛАНС_ДЕНЬ_ЧАС!K31,БАЛАНС_ДЕНЬ_ЧАС!K39,БАЛАНС_ДЕНЬ_ЧАС!K47,БАЛАНС_ДЕНЬ_ЧАС!K55,БАЛАНС_ДЕНЬ_ЧАС!K63,БАЛАНС_ДЕНЬ_ЧАС!K71,БАЛАНС_ДЕНЬ_ЧАС!K79,БАЛАНС_ДЕНЬ_ЧАС!K87,БАЛАНС_ДЕНЬ_ЧАС!K95,БАЛАНС_ДЕНЬ_ЧАС!K103,БАЛАНС_ДЕНЬ_ЧАС!K111,БАЛАНС_ДЕНЬ_ЧАС!K119,БАЛАНС_ДЕНЬ_ЧАС!K127,БАЛАНС_ДЕНЬ_ЧАС!K135,БАЛАНС_ДЕНЬ_ЧАС!K143,БАЛАНС_ДЕНЬ_ЧАС!K151,БАЛАНС_ДЕНЬ_ЧАС!K159,БАЛАНС_ДЕНЬ_ЧАС!K167,БАЛАНС_ДЕНЬ_ЧАС!K175,БАЛАНС_ДЕНЬ_ЧАС!K183,БАЛАНС_ДЕНЬ_ЧАС!K191,БАЛАНС_ДЕНЬ_ЧАС!K199,БАЛАНС_ДЕНЬ_ЧАС!K207,БАЛАНС_ДЕНЬ_ЧАС!K215,БАЛАНС_ДЕНЬ_ЧАС!K223,БАЛАНС_ДЕНЬ_ЧАС!K231,БАЛАНС_ДЕНЬ_ЧАС!K239,БАЛАНС_ДЕНЬ_ЧАС!K247,БАЛАНС_ДЕНЬ_ЧАС!K255,БАЛАНС_ДЕНЬ_ЧАС!K263,БАЛАНС_ДЕНЬ_ЧАС!K271,БАЛАНС_ДЕНЬ_ЧАС!K279,БАЛАНС_ДЕНЬ_ЧАС!K287,БАЛАНС_ДЕНЬ_ЧАС!K295,БАЛАНС_ДЕНЬ_ЧАС!K303,БАЛАНС_ДЕНЬ_ЧАС!K311,БАЛАНС_ДЕНЬ_ЧАС!K319,БАЛАНС_ДЕНЬ_ЧАС!K327,БАЛАНС_ДЕНЬ_ЧАС!K335,БАЛАНС_ДЕНЬ_ЧАС!K343,БАЛАНС_ДЕНЬ_ЧАС!K351,БАЛАНС_ДЕНЬ_ЧАС!K359,БАЛАНС_ДЕНЬ_ЧАС!K367,БАЛАНС_ДЕНЬ_ЧАС!K375,БАЛАНС_ДЕНЬ_ЧАС!K383,БАЛАНС_ДЕНЬ_ЧАС!K391,БАЛАНС_ДЕНЬ_ЧАС!K399,БАЛАНС_ДЕНЬ_ЧАС!K407,БАЛАНС_ДЕНЬ_ЧАС!K415,БАЛАНС_ДЕНЬ_ЧАС!K423,БАЛАНС_ДЕНЬ_ЧАС!K431,БАЛАНС_ДЕНЬ_ЧАС!K439,БАЛАНС_ДЕНЬ_ЧАС!K447,БАЛАНС_ДЕНЬ_ЧАС!K455,БАЛАНС_ДЕНЬ_ЧАС!K463,БАЛАНС_ДЕНЬ_ЧАС!K471,БАЛАНС_ДЕНЬ_ЧАС!K479,БАЛАНС_ДЕНЬ_ЧАС!K487,БАЛАНС_ДЕНЬ_ЧАС!K495,БАЛАНС_ДЕНЬ_ЧАС!K503,БАЛАНС_ДЕНЬ_ЧАС!K511,БАЛАНС_ДЕНЬ_ЧАС!K519,БАЛАНС_ДЕНЬ_ЧАС!K527,БАЛАНС_ДЕНЬ_ЧАС!K535,БАЛАНС_ДЕНЬ_ЧАС!K543,БАЛАНС_ДЕНЬ_ЧАС!K551,БАЛАНС_ДЕНЬ_ЧАС!K559,БАЛАНС_ДЕНЬ_ЧАС!K567,БАЛАНС_ДЕНЬ_ЧАС!K575,БАЛАНС_ДЕНЬ_ЧАС!K583,БАЛАНС_ДЕНЬ_ЧАС!K591,БАЛАНС_ДЕНЬ_ЧАС!K599,БАЛАНС_ДЕНЬ_ЧАС!K607,БАЛАНС_ДЕНЬ_ЧАС!K615,БАЛАНС_ДЕНЬ_ЧАС!K623,БАЛАНС_ДЕНЬ_ЧАС!K631,БАЛАНС_ДЕНЬ_ЧАС!K639,БАЛАНС_ДЕНЬ_ЧАС!K647,БАЛАНС_ДЕНЬ_ЧАС!K655,БАЛАНС_ДЕНЬ_ЧАС!K663,БАЛАНС_ДЕНЬ_ЧАС!K671,БАЛАНС_ДЕНЬ_ЧАС!K679,БАЛАНС_ДЕНЬ_ЧАС!K687,БАЛАНС_ДЕНЬ_ЧАС!K695,БАЛАНС_ДЕНЬ_ЧАС!K703,БАЛАНС_ДЕНЬ_ЧАС!K711,БАЛАНС_ДЕНЬ_ЧАС!K719,БАЛАНС_ДЕНЬ_ЧАС!K727,БАЛАНС_ДЕНЬ_ЧАС!K735,БАЛАНС_ДЕНЬ_ЧАС!K743,БАЛАНС_ДЕНЬ_ЧАС!K751,БАЛАНС_ДЕНЬ_ЧАС!K759,БАЛАНС_ДЕНЬ_ЧАС!K767,БАЛАНС_ДЕНЬ_ЧАС!K775,БАЛАНС_ДЕНЬ_ЧАС!K783,БАЛАНС_ДЕНЬ_ЧАС!K791,БАЛАНС_ДЕНЬ_ЧАС!K799,БАЛАНС_ДЕНЬ_ЧАС!K807,БАЛАНС_ДЕНЬ_ЧАС!K815,БАЛАНС_ДЕНЬ_ЧАС!K823,БАЛАНС_ДЕНЬ_ЧАС!K831,БАЛАНС_ДЕНЬ_ЧАС!K839,БАЛАНС_ДЕНЬ_ЧАС!K847)</f>
        <v>0</v>
      </c>
      <c r="O34" s="11" t="str">
        <f aca="false">IF(N34&gt;0,"BLOCKED","PASS")</f>
        <v>PASS</v>
      </c>
      <c r="P34" s="11" t="s">
        <v>147</v>
      </c>
    </row>
    <row r="35" customFormat="false" ht="15" hidden="false" customHeight="false" outlineLevel="0" collapsed="false">
      <c r="A35" s="11" t="n">
        <v>25</v>
      </c>
      <c r="B35" s="11" t="s">
        <v>86</v>
      </c>
      <c r="C35" s="11" t="s">
        <v>181</v>
      </c>
      <c r="D35" s="11" t="s">
        <v>85</v>
      </c>
      <c r="E35" s="12" t="n">
        <v>150</v>
      </c>
      <c r="F35" s="12" t="n">
        <f aca="false">SUMIF(СПРОС_ДЕНЬ_ЧАС_МЕНЮ!$C$11:$C$3265,A35,СПРОС_ДЕНЬ_ЧАС_МЕНЮ!$I$11:$I$3265)</f>
        <v>109.1441725</v>
      </c>
      <c r="G35" s="12" t="n">
        <f aca="false">MAX(СПРОС_ДЕНЬ_ЧАС_МЕНЮ!I35,СПРОС_ДЕНЬ_ЧАС_МЕНЮ!I66,СПРОС_ДЕНЬ_ЧАС_МЕНЮ!I97,СПРОС_ДЕНЬ_ЧАС_МЕНЮ!I128,СПРОС_ДЕНЬ_ЧАС_МЕНЮ!I159,СПРОС_ДЕНЬ_ЧАС_МЕНЮ!I190,СПРОС_ДЕНЬ_ЧАС_МЕНЮ!I221,СПРОС_ДЕНЬ_ЧАС_МЕНЮ!I252,СПРОС_ДЕНЬ_ЧАС_МЕНЮ!I283,СПРОС_ДЕНЬ_ЧАС_МЕНЮ!I314,СПРОС_ДЕНЬ_ЧАС_МЕНЮ!I345,СПРОС_ДЕНЬ_ЧАС_МЕНЮ!I376,СПРОС_ДЕНЬ_ЧАС_МЕНЮ!I407,СПРОС_ДЕНЬ_ЧАС_МЕНЮ!I438,СПРОС_ДЕНЬ_ЧАС_МЕНЮ!I469,СПРОС_ДЕНЬ_ЧАС_МЕНЮ!I500,СПРОС_ДЕНЬ_ЧАС_МЕНЮ!I531,СПРОС_ДЕНЬ_ЧАС_МЕНЮ!I562,СПРОС_ДЕНЬ_ЧАС_МЕНЮ!I593,СПРОС_ДЕНЬ_ЧАС_МЕНЮ!I624,СПРОС_ДЕНЬ_ЧАС_МЕНЮ!I655,СПРОС_ДЕНЬ_ЧАС_МЕНЮ!I686,СПРОС_ДЕНЬ_ЧАС_МЕНЮ!I717,СПРОС_ДЕНЬ_ЧАС_МЕНЮ!I748,СПРОС_ДЕНЬ_ЧАС_МЕНЮ!I779,СПРОС_ДЕНЬ_ЧАС_МЕНЮ!I810,СПРОС_ДЕНЬ_ЧАС_МЕНЮ!I841,СПРОС_ДЕНЬ_ЧАС_МЕНЮ!I872,СПРОС_ДЕНЬ_ЧАС_МЕНЮ!I903,СПРОС_ДЕНЬ_ЧАС_МЕНЮ!I934,СПРОС_ДЕНЬ_ЧАС_МЕНЮ!I965,СПРОС_ДЕНЬ_ЧАС_МЕНЮ!I996,СПРОС_ДЕНЬ_ЧАС_МЕНЮ!I1027,СПРОС_ДЕНЬ_ЧАС_МЕНЮ!I1058,СПРОС_ДЕНЬ_ЧАС_МЕНЮ!I1089,СПРОС_ДЕНЬ_ЧАС_МЕНЮ!I1120,СПРОС_ДЕНЬ_ЧАС_МЕНЮ!I1151,СПРОС_ДЕНЬ_ЧАС_МЕНЮ!I1182,СПРОС_ДЕНЬ_ЧАС_МЕНЮ!I1213,СПРОС_ДЕНЬ_ЧАС_МЕНЮ!I1244,СПРОС_ДЕНЬ_ЧАС_МЕНЮ!I1275,СПРОС_ДЕНЬ_ЧАС_МЕНЮ!I1306,СПРОС_ДЕНЬ_ЧАС_МЕНЮ!I1337,СПРОС_ДЕНЬ_ЧАС_МЕНЮ!I1368,СПРОС_ДЕНЬ_ЧАС_МЕНЮ!I1399,СПРОС_ДЕНЬ_ЧАС_МЕНЮ!I1430,СПРОС_ДЕНЬ_ЧАС_МЕНЮ!I1461,СПРОС_ДЕНЬ_ЧАС_МЕНЮ!I1492,СПРОС_ДЕНЬ_ЧАС_МЕНЮ!I1523,СПРОС_ДЕНЬ_ЧАС_МЕНЮ!I1554,СПРОС_ДЕНЬ_ЧАС_МЕНЮ!I1585,СПРОС_ДЕНЬ_ЧАС_МЕНЮ!I1616,СПРОС_ДЕНЬ_ЧАС_МЕНЮ!I1647,СПРОС_ДЕНЬ_ЧАС_МЕНЮ!I1678,СПРОС_ДЕНЬ_ЧАС_МЕНЮ!I1709,СПРОС_ДЕНЬ_ЧАС_МЕНЮ!I1740,СПРОС_ДЕНЬ_ЧАС_МЕНЮ!I1771,СПРОС_ДЕНЬ_ЧАС_МЕНЮ!I1802,СПРОС_ДЕНЬ_ЧАС_МЕНЮ!I1833,СПРОС_ДЕНЬ_ЧАС_МЕНЮ!I1864,СПРОС_ДЕНЬ_ЧАС_МЕНЮ!I1895,СПРОС_ДЕНЬ_ЧАС_МЕНЮ!I1926,СПРОС_ДЕНЬ_ЧАС_МЕНЮ!I1957,СПРОС_ДЕНЬ_ЧАС_МЕНЮ!I1988,СПРОС_ДЕНЬ_ЧАС_МЕНЮ!I2019,СПРОС_ДЕНЬ_ЧАС_МЕНЮ!I2050,СПРОС_ДЕНЬ_ЧАС_МЕНЮ!I2081,СПРОС_ДЕНЬ_ЧАС_МЕНЮ!I2112,СПРОС_ДЕНЬ_ЧАС_МЕНЮ!I2143,СПРОС_ДЕНЬ_ЧАС_МЕНЮ!I2174,СПРОС_ДЕНЬ_ЧАС_МЕНЮ!I2205,СПРОС_ДЕНЬ_ЧАС_МЕНЮ!I2236,СПРОС_ДЕНЬ_ЧАС_МЕНЮ!I2267,СПРОС_ДЕНЬ_ЧАС_МЕНЮ!I2298,СПРОС_ДЕНЬ_ЧАС_МЕНЮ!I2329,СПРОС_ДЕНЬ_ЧАС_МЕНЮ!I2360,СПРОС_ДЕНЬ_ЧАС_МЕНЮ!I2391,СПРОС_ДЕНЬ_ЧАС_МЕНЮ!I2422,СПРОС_ДЕНЬ_ЧАС_МЕНЮ!I2453,СПРОС_ДЕНЬ_ЧАС_МЕНЮ!I2484,СПРОС_ДЕНЬ_ЧАС_МЕНЮ!I2515,СПРОС_ДЕНЬ_ЧАС_МЕНЮ!I2546,СПРОС_ДЕНЬ_ЧАС_МЕНЮ!I2577,СПРОС_ДЕНЬ_ЧАС_МЕНЮ!I2608,СПРОС_ДЕНЬ_ЧАС_МЕНЮ!I2639,СПРОС_ДЕНЬ_ЧАС_МЕНЮ!I2670,СПРОС_ДЕНЬ_ЧАС_МЕНЮ!I2701,СПРОС_ДЕНЬ_ЧАС_МЕНЮ!I2732,СПРОС_ДЕНЬ_ЧАС_МЕНЮ!I2763,СПРОС_ДЕНЬ_ЧАС_МЕНЮ!I2794,СПРОС_ДЕНЬ_ЧАС_МЕНЮ!I2825,СПРОС_ДЕНЬ_ЧАС_МЕНЮ!I2856,СПРОС_ДЕНЬ_ЧАС_МЕНЮ!I2887,СПРОС_ДЕНЬ_ЧАС_МЕНЮ!I2918,СПРОС_ДЕНЬ_ЧАС_МЕНЮ!I2949,СПРОС_ДЕНЬ_ЧАС_МЕНЮ!I2980,СПРОС_ДЕНЬ_ЧАС_МЕНЮ!I3011,СПРОС_ДЕНЬ_ЧАС_МЕНЮ!I3042,СПРОС_ДЕНЬ_ЧАС_МЕНЮ!I3073,СПРОС_ДЕНЬ_ЧАС_МЕНЮ!I3104,СПРОС_ДЕНЬ_ЧАС_МЕНЮ!I3135,СПРОС_ДЕНЬ_ЧАС_МЕНЮ!I3166,СПРОС_ДЕНЬ_ЧАС_МЕНЮ!I3197,СПРОС_ДЕНЬ_ЧАС_МЕНЮ!I3228,СПРОС_ДЕНЬ_ЧАС_МЕНЮ!I3259)</f>
        <v>3.72354125</v>
      </c>
      <c r="H35" s="12" t="s">
        <v>112</v>
      </c>
      <c r="I35" s="12" t="s">
        <v>137</v>
      </c>
      <c r="J35" s="12" t="n">
        <f aca="false">MAX(БАЛАНС_ДЕНЬ_ЧАС!F15,БАЛАНС_ДЕНЬ_ЧАС!F23,БАЛАНС_ДЕНЬ_ЧАС!F31,БАЛАНС_ДЕНЬ_ЧАС!F39,БАЛАНС_ДЕНЬ_ЧАС!F47,БАЛАНС_ДЕНЬ_ЧАС!F55,БАЛАНС_ДЕНЬ_ЧАС!F63,БАЛАНС_ДЕНЬ_ЧАС!F71,БАЛАНС_ДЕНЬ_ЧАС!F79,БАЛАНС_ДЕНЬ_ЧАС!F87,БАЛАНС_ДЕНЬ_ЧАС!F95,БАЛАНС_ДЕНЬ_ЧАС!F103,БАЛАНС_ДЕНЬ_ЧАС!F111,БАЛАНС_ДЕНЬ_ЧАС!F119,БАЛАНС_ДЕНЬ_ЧАС!F127,БАЛАНС_ДЕНЬ_ЧАС!F135,БАЛАНС_ДЕНЬ_ЧАС!F143,БАЛАНС_ДЕНЬ_ЧАС!F151,БАЛАНС_ДЕНЬ_ЧАС!F159,БАЛАНС_ДЕНЬ_ЧАС!F167,БАЛАНС_ДЕНЬ_ЧАС!F175,БАЛАНС_ДЕНЬ_ЧАС!F183,БАЛАНС_ДЕНЬ_ЧАС!F191,БАЛАНС_ДЕНЬ_ЧАС!F199,БАЛАНС_ДЕНЬ_ЧАС!F207,БАЛАНС_ДЕНЬ_ЧАС!F215,БАЛАНС_ДЕНЬ_ЧАС!F223,БАЛАНС_ДЕНЬ_ЧАС!F231,БАЛАНС_ДЕНЬ_ЧАС!F239,БАЛАНС_ДЕНЬ_ЧАС!F247,БАЛАНС_ДЕНЬ_ЧАС!F255,БАЛАНС_ДЕНЬ_ЧАС!F263,БАЛАНС_ДЕНЬ_ЧАС!F271,БАЛАНС_ДЕНЬ_ЧАС!F279,БАЛАНС_ДЕНЬ_ЧАС!F287,БАЛАНС_ДЕНЬ_ЧАС!F295,БАЛАНС_ДЕНЬ_ЧАС!F303,БАЛАНС_ДЕНЬ_ЧАС!F311,БАЛАНС_ДЕНЬ_ЧАС!F319,БАЛАНС_ДЕНЬ_ЧАС!F327,БАЛАНС_ДЕНЬ_ЧАС!F335,БАЛАНС_ДЕНЬ_ЧАС!F343,БАЛАНС_ДЕНЬ_ЧАС!F351,БАЛАНС_ДЕНЬ_ЧАС!F359,БАЛАНС_ДЕНЬ_ЧАС!F367,БАЛАНС_ДЕНЬ_ЧАС!F375,БАЛАНС_ДЕНЬ_ЧАС!F383,БАЛАНС_ДЕНЬ_ЧАС!F391,БАЛАНС_ДЕНЬ_ЧАС!F399,БАЛАНС_ДЕНЬ_ЧАС!F407,БАЛАНС_ДЕНЬ_ЧАС!F415,БАЛАНС_ДЕНЬ_ЧАС!F423,БАЛАНС_ДЕНЬ_ЧАС!F431,БАЛАНС_ДЕНЬ_ЧАС!F439,БАЛАНС_ДЕНЬ_ЧАС!F447,БАЛАНС_ДЕНЬ_ЧАС!F455,БАЛАНС_ДЕНЬ_ЧАС!F463,БАЛАНС_ДЕНЬ_ЧАС!F471,БАЛАНС_ДЕНЬ_ЧАС!F479,БАЛАНС_ДЕНЬ_ЧАС!F487,БАЛАНС_ДЕНЬ_ЧАС!F495,БАЛАНС_ДЕНЬ_ЧАС!F503,БАЛАНС_ДЕНЬ_ЧАС!F511,БАЛАНС_ДЕНЬ_ЧАС!F519,БАЛАНС_ДЕНЬ_ЧАС!F527,БАЛАНС_ДЕНЬ_ЧАС!F535,БАЛАНС_ДЕНЬ_ЧАС!F543,БАЛАНС_ДЕНЬ_ЧАС!F551,БАЛАНС_ДЕНЬ_ЧАС!F559,БАЛАНС_ДЕНЬ_ЧАС!F567,БАЛАНС_ДЕНЬ_ЧАС!F575,БАЛАНС_ДЕНЬ_ЧАС!F583,БАЛАНС_ДЕНЬ_ЧАС!F591,БАЛАНС_ДЕНЬ_ЧАС!F599,БАЛАНС_ДЕНЬ_ЧАС!F607,БАЛАНС_ДЕНЬ_ЧАС!F615,БАЛАНС_ДЕНЬ_ЧАС!F623,БАЛАНС_ДЕНЬ_ЧАС!F631,БАЛАНС_ДЕНЬ_ЧАС!F639,БАЛАНС_ДЕНЬ_ЧАС!F647,БАЛАНС_ДЕНЬ_ЧАС!F655,БАЛАНС_ДЕНЬ_ЧАС!F663,БАЛАНС_ДЕНЬ_ЧАС!F671,БАЛАНС_ДЕНЬ_ЧАС!F679,БАЛАНС_ДЕНЬ_ЧАС!F687,БАЛАНС_ДЕНЬ_ЧАС!F695,БАЛАНС_ДЕНЬ_ЧАС!F703,БАЛАНС_ДЕНЬ_ЧАС!F711,БАЛАНС_ДЕНЬ_ЧАС!F719,БАЛАНС_ДЕНЬ_ЧАС!F727,БАЛАНС_ДЕНЬ_ЧАС!F735,БАЛАНС_ДЕНЬ_ЧАС!F743,БАЛАНС_ДЕНЬ_ЧАС!F751,БАЛАНС_ДЕНЬ_ЧАС!F759,БАЛАНС_ДЕНЬ_ЧАС!F767,БАЛАНС_ДЕНЬ_ЧАС!F775,БАЛАНС_ДЕНЬ_ЧАС!F783,БАЛАНС_ДЕНЬ_ЧАС!F791,БАЛАНС_ДЕНЬ_ЧАС!F799,БАЛАНС_ДЕНЬ_ЧАС!F807,БАЛАНС_ДЕНЬ_ЧАС!F815,БАЛАНС_ДЕНЬ_ЧАС!F823,БАЛАНС_ДЕНЬ_ЧАС!F831,БАЛАНС_ДЕНЬ_ЧАС!F839,БАЛАНС_ДЕНЬ_ЧАС!F847)</f>
        <v>9.1579125</v>
      </c>
      <c r="K35" s="12" t="n">
        <f aca="false">ПАРАМЕТРЫ!D24</f>
        <v>12</v>
      </c>
      <c r="L35" s="12" t="n">
        <f aca="false">MAX(БАЛАНС_ДЕНЬ_ЧАС!I15,БАЛАНС_ДЕНЬ_ЧАС!I23,БАЛАНС_ДЕНЬ_ЧАС!I31,БАЛАНС_ДЕНЬ_ЧАС!I39,БАЛАНС_ДЕНЬ_ЧАС!I47,БАЛАНС_ДЕНЬ_ЧАС!I55,БАЛАНС_ДЕНЬ_ЧАС!I63,БАЛАНС_ДЕНЬ_ЧАС!I71,БАЛАНС_ДЕНЬ_ЧАС!I79,БАЛАНС_ДЕНЬ_ЧАС!I87,БАЛАНС_ДЕНЬ_ЧАС!I95,БАЛАНС_ДЕНЬ_ЧАС!I103,БАЛАНС_ДЕНЬ_ЧАС!I111,БАЛАНС_ДЕНЬ_ЧАС!I119,БАЛАНС_ДЕНЬ_ЧАС!I127,БАЛАНС_ДЕНЬ_ЧАС!I135,БАЛАНС_ДЕНЬ_ЧАС!I143,БАЛАНС_ДЕНЬ_ЧАС!I151,БАЛАНС_ДЕНЬ_ЧАС!I159,БАЛАНС_ДЕНЬ_ЧАС!I167,БАЛАНС_ДЕНЬ_ЧАС!I175,БАЛАНС_ДЕНЬ_ЧАС!I183,БАЛАНС_ДЕНЬ_ЧАС!I191,БАЛАНС_ДЕНЬ_ЧАС!I199,БАЛАНС_ДЕНЬ_ЧАС!I207,БАЛАНС_ДЕНЬ_ЧАС!I215,БАЛАНС_ДЕНЬ_ЧАС!I223,БАЛАНС_ДЕНЬ_ЧАС!I231,БАЛАНС_ДЕНЬ_ЧАС!I239,БАЛАНС_ДЕНЬ_ЧАС!I247,БАЛАНС_ДЕНЬ_ЧАС!I255,БАЛАНС_ДЕНЬ_ЧАС!I263,БАЛАНС_ДЕНЬ_ЧАС!I271,БАЛАНС_ДЕНЬ_ЧАС!I279,БАЛАНС_ДЕНЬ_ЧАС!I287,БАЛАНС_ДЕНЬ_ЧАС!I295,БАЛАНС_ДЕНЬ_ЧАС!I303,БАЛАНС_ДЕНЬ_ЧАС!I311,БАЛАНС_ДЕНЬ_ЧАС!I319,БАЛАНС_ДЕНЬ_ЧАС!I327,БАЛАНС_ДЕНЬ_ЧАС!I335,БАЛАНС_ДЕНЬ_ЧАС!I343,БАЛАНС_ДЕНЬ_ЧАС!I351,БАЛАНС_ДЕНЬ_ЧАС!I359,БАЛАНС_ДЕНЬ_ЧАС!I367,БАЛАНС_ДЕНЬ_ЧАС!I375,БАЛАНС_ДЕНЬ_ЧАС!I383,БАЛАНС_ДЕНЬ_ЧАС!I391,БАЛАНС_ДЕНЬ_ЧАС!I399,БАЛАНС_ДЕНЬ_ЧАС!I407,БАЛАНС_ДЕНЬ_ЧАС!I415,БАЛАНС_ДЕНЬ_ЧАС!I423,БАЛАНС_ДЕНЬ_ЧАС!I431,БАЛАНС_ДЕНЬ_ЧАС!I439,БАЛАНС_ДЕНЬ_ЧАС!I447,БАЛАНС_ДЕНЬ_ЧАС!I455,БАЛАНС_ДЕНЬ_ЧАС!I463,БАЛАНС_ДЕНЬ_ЧАС!I471,БАЛАНС_ДЕНЬ_ЧАС!I479,БАЛАНС_ДЕНЬ_ЧАС!I487,БАЛАНС_ДЕНЬ_ЧАС!I495,БАЛАНС_ДЕНЬ_ЧАС!I503,БАЛАНС_ДЕНЬ_ЧАС!I511,БАЛАНС_ДЕНЬ_ЧАС!I519,БАЛАНС_ДЕНЬ_ЧАС!I527,БАЛАНС_ДЕНЬ_ЧАС!I535,БАЛАНС_ДЕНЬ_ЧАС!I543,БАЛАНС_ДЕНЬ_ЧАС!I551,БАЛАНС_ДЕНЬ_ЧАС!I559,БАЛАНС_ДЕНЬ_ЧАС!I567,БАЛАНС_ДЕНЬ_ЧАС!I575,БАЛАНС_ДЕНЬ_ЧАС!I583,БАЛАНС_ДЕНЬ_ЧАС!I591,БАЛАНС_ДЕНЬ_ЧАС!I599,БАЛАНС_ДЕНЬ_ЧАС!I607,БАЛАНС_ДЕНЬ_ЧАС!I615,БАЛАНС_ДЕНЬ_ЧАС!I623,БАЛАНС_ДЕНЬ_ЧАС!I631,БАЛАНС_ДЕНЬ_ЧАС!I639,БАЛАНС_ДЕНЬ_ЧАС!I647,БАЛАНС_ДЕНЬ_ЧАС!I655,БАЛАНС_ДЕНЬ_ЧАС!I663,БАЛАНС_ДЕНЬ_ЧАС!I671,БАЛАНС_ДЕНЬ_ЧАС!I679,БАЛАНС_ДЕНЬ_ЧАС!I687,БАЛАНС_ДЕНЬ_ЧАС!I695,БАЛАНС_ДЕНЬ_ЧАС!I703,БАЛАНС_ДЕНЬ_ЧАС!I711,БАЛАНС_ДЕНЬ_ЧАС!I719,БАЛАНС_ДЕНЬ_ЧАС!I727,БАЛАНС_ДЕНЬ_ЧАС!I735,БАЛАНС_ДЕНЬ_ЧАС!I743,БАЛАНС_ДЕНЬ_ЧАС!I751,БАЛАНС_ДЕНЬ_ЧАС!I759,БАЛАНС_ДЕНЬ_ЧАС!I767,БАЛАНС_ДЕНЬ_ЧАС!I775,БАЛАНС_ДЕНЬ_ЧАС!I783,БАЛАНС_ДЕНЬ_ЧАС!I791,БАЛАНС_ДЕНЬ_ЧАС!I799,БАЛАНС_ДЕНЬ_ЧАС!I807,БАЛАНС_ДЕНЬ_ЧАС!I815,БАЛАНС_ДЕНЬ_ЧАС!I823,БАЛАНС_ДЕНЬ_ЧАС!I831,БАЛАНС_ДЕНЬ_ЧАС!I839,БАЛАНС_ДЕНЬ_ЧАС!I847)</f>
        <v>12</v>
      </c>
      <c r="M35" s="12" t="n">
        <f aca="false">MAX(БАЛАНС_ДЕНЬ_ЧАС!J15,БАЛАНС_ДЕНЬ_ЧАС!J23,БАЛАНС_ДЕНЬ_ЧАС!J31,БАЛАНС_ДЕНЬ_ЧАС!J39,БАЛАНС_ДЕНЬ_ЧАС!J47,БАЛАНС_ДЕНЬ_ЧАС!J55,БАЛАНС_ДЕНЬ_ЧАС!J63,БАЛАНС_ДЕНЬ_ЧАС!J71,БАЛАНС_ДЕНЬ_ЧАС!J79,БАЛАНС_ДЕНЬ_ЧАС!J87,БАЛАНС_ДЕНЬ_ЧАС!J95,БАЛАНС_ДЕНЬ_ЧАС!J103,БАЛАНС_ДЕНЬ_ЧАС!J111,БАЛАНС_ДЕНЬ_ЧАС!J119,БАЛАНС_ДЕНЬ_ЧАС!J127,БАЛАНС_ДЕНЬ_ЧАС!J135,БАЛАНС_ДЕНЬ_ЧАС!J143,БАЛАНС_ДЕНЬ_ЧАС!J151,БАЛАНС_ДЕНЬ_ЧАС!J159,БАЛАНС_ДЕНЬ_ЧАС!J167,БАЛАНС_ДЕНЬ_ЧАС!J175,БАЛАНС_ДЕНЬ_ЧАС!J183,БАЛАНС_ДЕНЬ_ЧАС!J191,БАЛАНС_ДЕНЬ_ЧАС!J199,БАЛАНС_ДЕНЬ_ЧАС!J207,БАЛАНС_ДЕНЬ_ЧАС!J215,БАЛАНС_ДЕНЬ_ЧАС!J223,БАЛАНС_ДЕНЬ_ЧАС!J231,БАЛАНС_ДЕНЬ_ЧАС!J239,БАЛАНС_ДЕНЬ_ЧАС!J247,БАЛАНС_ДЕНЬ_ЧАС!J255,БАЛАНС_ДЕНЬ_ЧАС!J263,БАЛАНС_ДЕНЬ_ЧАС!J271,БАЛАНС_ДЕНЬ_ЧАС!J279,БАЛАНС_ДЕНЬ_ЧАС!J287,БАЛАНС_ДЕНЬ_ЧАС!J295,БАЛАНС_ДЕНЬ_ЧАС!J303,БАЛАНС_ДЕНЬ_ЧАС!J311,БАЛАНС_ДЕНЬ_ЧАС!J319,БАЛАНС_ДЕНЬ_ЧАС!J327,БАЛАНС_ДЕНЬ_ЧАС!J335,БАЛАНС_ДЕНЬ_ЧАС!J343,БАЛАНС_ДЕНЬ_ЧАС!J351,БАЛАНС_ДЕНЬ_ЧАС!J359,БАЛАНС_ДЕНЬ_ЧАС!J367,БАЛАНС_ДЕНЬ_ЧАС!J375,БАЛАНС_ДЕНЬ_ЧАС!J383,БАЛАНС_ДЕНЬ_ЧАС!J391,БАЛАНС_ДЕНЬ_ЧАС!J399,БАЛАНС_ДЕНЬ_ЧАС!J407,БАЛАНС_ДЕНЬ_ЧАС!J415,БАЛАНС_ДЕНЬ_ЧАС!J423,БАЛАНС_ДЕНЬ_ЧАС!J431,БАЛАНС_ДЕНЬ_ЧАС!J439,БАЛАНС_ДЕНЬ_ЧАС!J447,БАЛАНС_ДЕНЬ_ЧАС!J455,БАЛАНС_ДЕНЬ_ЧАС!J463,БАЛАНС_ДЕНЬ_ЧАС!J471,БАЛАНС_ДЕНЬ_ЧАС!J479,БАЛАНС_ДЕНЬ_ЧАС!J487,БАЛАНС_ДЕНЬ_ЧАС!J495,БАЛАНС_ДЕНЬ_ЧАС!J503,БАЛАНС_ДЕНЬ_ЧАС!J511,БАЛАНС_ДЕНЬ_ЧАС!J519,БАЛАНС_ДЕНЬ_ЧАС!J527,БАЛАНС_ДЕНЬ_ЧАС!J535,БАЛАНС_ДЕНЬ_ЧАС!J543,БАЛАНС_ДЕНЬ_ЧАС!J551,БАЛАНС_ДЕНЬ_ЧАС!J559,БАЛАНС_ДЕНЬ_ЧАС!J567,БАЛАНС_ДЕНЬ_ЧАС!J575,БАЛАНС_ДЕНЬ_ЧАС!J583,БАЛАНС_ДЕНЬ_ЧАС!J591,БАЛАНС_ДЕНЬ_ЧАС!J599,БАЛАНС_ДЕНЬ_ЧАС!J607,БАЛАНС_ДЕНЬ_ЧАС!J615,БАЛАНС_ДЕНЬ_ЧАС!J623,БАЛАНС_ДЕНЬ_ЧАС!J631,БАЛАНС_ДЕНЬ_ЧАС!J639,БАЛАНС_ДЕНЬ_ЧАС!J647,БАЛАНС_ДЕНЬ_ЧАС!J655,БАЛАНС_ДЕНЬ_ЧАС!J663,БАЛАНС_ДЕНЬ_ЧАС!J671,БАЛАНС_ДЕНЬ_ЧАС!J679,БАЛАНС_ДЕНЬ_ЧАС!J687,БАЛАНС_ДЕНЬ_ЧАС!J695,БАЛАНС_ДЕНЬ_ЧАС!J703,БАЛАНС_ДЕНЬ_ЧАС!J711,БАЛАНС_ДЕНЬ_ЧАС!J719,БАЛАНС_ДЕНЬ_ЧАС!J727,БАЛАНС_ДЕНЬ_ЧАС!J735,БАЛАНС_ДЕНЬ_ЧАС!J743,БАЛАНС_ДЕНЬ_ЧАС!J751,БАЛАНС_ДЕНЬ_ЧАС!J759,БАЛАНС_ДЕНЬ_ЧАС!J767,БАЛАНС_ДЕНЬ_ЧАС!J775,БАЛАНС_ДЕНЬ_ЧАС!J783,БАЛАНС_ДЕНЬ_ЧАС!J791,БАЛАНС_ДЕНЬ_ЧАС!J799,БАЛАНС_ДЕНЬ_ЧАС!J807,БАЛАНС_ДЕНЬ_ЧАС!J815,БАЛАНС_ДЕНЬ_ЧАС!J823,БАЛАНС_ДЕНЬ_ЧАС!J831,БАЛАНС_ДЕНЬ_ЧАС!J839,БАЛАНС_ДЕНЬ_ЧАС!J847)</f>
        <v>12</v>
      </c>
      <c r="N35" s="12" t="n">
        <f aca="false">MAX(БАЛАНС_ДЕНЬ_ЧАС!K15,БАЛАНС_ДЕНЬ_ЧАС!K23,БАЛАНС_ДЕНЬ_ЧАС!K31,БАЛАНС_ДЕНЬ_ЧАС!K39,БАЛАНС_ДЕНЬ_ЧАС!K47,БАЛАНС_ДЕНЬ_ЧАС!K55,БАЛАНС_ДЕНЬ_ЧАС!K63,БАЛАНС_ДЕНЬ_ЧАС!K71,БАЛАНС_ДЕНЬ_ЧАС!K79,БАЛАНС_ДЕНЬ_ЧАС!K87,БАЛАНС_ДЕНЬ_ЧАС!K95,БАЛАНС_ДЕНЬ_ЧАС!K103,БАЛАНС_ДЕНЬ_ЧАС!K111,БАЛАНС_ДЕНЬ_ЧАС!K119,БАЛАНС_ДЕНЬ_ЧАС!K127,БАЛАНС_ДЕНЬ_ЧАС!K135,БАЛАНС_ДЕНЬ_ЧАС!K143,БАЛАНС_ДЕНЬ_ЧАС!K151,БАЛАНС_ДЕНЬ_ЧАС!K159,БАЛАНС_ДЕНЬ_ЧАС!K167,БАЛАНС_ДЕНЬ_ЧАС!K175,БАЛАНС_ДЕНЬ_ЧАС!K183,БАЛАНС_ДЕНЬ_ЧАС!K191,БАЛАНС_ДЕНЬ_ЧАС!K199,БАЛАНС_ДЕНЬ_ЧАС!K207,БАЛАНС_ДЕНЬ_ЧАС!K215,БАЛАНС_ДЕНЬ_ЧАС!K223,БАЛАНС_ДЕНЬ_ЧАС!K231,БАЛАНС_ДЕНЬ_ЧАС!K239,БАЛАНС_ДЕНЬ_ЧАС!K247,БАЛАНС_ДЕНЬ_ЧАС!K255,БАЛАНС_ДЕНЬ_ЧАС!K263,БАЛАНС_ДЕНЬ_ЧАС!K271,БАЛАНС_ДЕНЬ_ЧАС!K279,БАЛАНС_ДЕНЬ_ЧАС!K287,БАЛАНС_ДЕНЬ_ЧАС!K295,БАЛАНС_ДЕНЬ_ЧАС!K303,БАЛАНС_ДЕНЬ_ЧАС!K311,БАЛАНС_ДЕНЬ_ЧАС!K319,БАЛАНС_ДЕНЬ_ЧАС!K327,БАЛАНС_ДЕНЬ_ЧАС!K335,БАЛАНС_ДЕНЬ_ЧАС!K343,БАЛАНС_ДЕНЬ_ЧАС!K351,БАЛАНС_ДЕНЬ_ЧАС!K359,БАЛАНС_ДЕНЬ_ЧАС!K367,БАЛАНС_ДЕНЬ_ЧАС!K375,БАЛАНС_ДЕНЬ_ЧАС!K383,БАЛАНС_ДЕНЬ_ЧАС!K391,БАЛАНС_ДЕНЬ_ЧАС!K399,БАЛАНС_ДЕНЬ_ЧАС!K407,БАЛАНС_ДЕНЬ_ЧАС!K415,БАЛАНС_ДЕНЬ_ЧАС!K423,БАЛАНС_ДЕНЬ_ЧАС!K431,БАЛАНС_ДЕНЬ_ЧАС!K439,БАЛАНС_ДЕНЬ_ЧАС!K447,БАЛАНС_ДЕНЬ_ЧАС!K455,БАЛАНС_ДЕНЬ_ЧАС!K463,БАЛАНС_ДЕНЬ_ЧАС!K471,БАЛАНС_ДЕНЬ_ЧАС!K479,БАЛАНС_ДЕНЬ_ЧАС!K487,БАЛАНС_ДЕНЬ_ЧАС!K495,БАЛАНС_ДЕНЬ_ЧАС!K503,БАЛАНС_ДЕНЬ_ЧАС!K511,БАЛАНС_ДЕНЬ_ЧАС!K519,БАЛАНС_ДЕНЬ_ЧАС!K527,БАЛАНС_ДЕНЬ_ЧАС!K535,БАЛАНС_ДЕНЬ_ЧАС!K543,БАЛАНС_ДЕНЬ_ЧАС!K551,БАЛАНС_ДЕНЬ_ЧАС!K559,БАЛАНС_ДЕНЬ_ЧАС!K567,БАЛАНС_ДЕНЬ_ЧАС!K575,БАЛАНС_ДЕНЬ_ЧАС!K583,БАЛАНС_ДЕНЬ_ЧАС!K591,БАЛАНС_ДЕНЬ_ЧАС!K599,БАЛАНС_ДЕНЬ_ЧАС!K607,БАЛАНС_ДЕНЬ_ЧАС!K615,БАЛАНС_ДЕНЬ_ЧАС!K623,БАЛАНС_ДЕНЬ_ЧАС!K631,БАЛАНС_ДЕНЬ_ЧАС!K639,БАЛАНС_ДЕНЬ_ЧАС!K647,БАЛАНС_ДЕНЬ_ЧАС!K655,БАЛАНС_ДЕНЬ_ЧАС!K663,БАЛАНС_ДЕНЬ_ЧАС!K671,БАЛАНС_ДЕНЬ_ЧАС!K679,БАЛАНС_ДЕНЬ_ЧАС!K687,БАЛАНС_ДЕНЬ_ЧАС!K695,БАЛАНС_ДЕНЬ_ЧАС!K703,БАЛАНС_ДЕНЬ_ЧАС!K711,БАЛАНС_ДЕНЬ_ЧАС!K719,БАЛАНС_ДЕНЬ_ЧАС!K727,БАЛАНС_ДЕНЬ_ЧАС!K735,БАЛАНС_ДЕНЬ_ЧАС!K743,БАЛАНС_ДЕНЬ_ЧАС!K751,БАЛАНС_ДЕНЬ_ЧАС!K759,БАЛАНС_ДЕНЬ_ЧАС!K767,БАЛАНС_ДЕНЬ_ЧАС!K775,БАЛАНС_ДЕНЬ_ЧАС!K783,БАЛАНС_ДЕНЬ_ЧАС!K791,БАЛАНС_ДЕНЬ_ЧАС!K799,БАЛАНС_ДЕНЬ_ЧАС!K807,БАЛАНС_ДЕНЬ_ЧАС!K815,БАЛАНС_ДЕНЬ_ЧАС!K823,БАЛАНС_ДЕНЬ_ЧАС!K831,БАЛАНС_ДЕНЬ_ЧАС!K839,БАЛАНС_ДЕНЬ_ЧАС!K847)</f>
        <v>0</v>
      </c>
      <c r="O35" s="11" t="str">
        <f aca="false">IF(N35&gt;0,"BLOCKED","PASS")</f>
        <v>PASS</v>
      </c>
      <c r="P35" s="11" t="s">
        <v>147</v>
      </c>
    </row>
    <row r="36" customFormat="false" ht="15" hidden="false" customHeight="false" outlineLevel="0" collapsed="false">
      <c r="A36" s="11" t="n">
        <v>26</v>
      </c>
      <c r="B36" s="11" t="s">
        <v>89</v>
      </c>
      <c r="C36" s="11" t="s">
        <v>182</v>
      </c>
      <c r="D36" s="11" t="s">
        <v>88</v>
      </c>
      <c r="E36" s="12" t="n">
        <v>225</v>
      </c>
      <c r="F36" s="12" t="n">
        <f aca="false">SUMIF(СПРОС_ДЕНЬ_ЧАС_МЕНЮ!$C$11:$C$3265,A36,СПРОС_ДЕНЬ_ЧАС_МЕНЮ!$I$11:$I$3265)</f>
        <v>57.75</v>
      </c>
      <c r="G36" s="12" t="n">
        <f aca="false">MAX(СПРОС_ДЕНЬ_ЧАС_МЕНЮ!I36,СПРОС_ДЕНЬ_ЧАС_МЕНЮ!I67,СПРОС_ДЕНЬ_ЧАС_МЕНЮ!I98,СПРОС_ДЕНЬ_ЧАС_МЕНЮ!I129,СПРОС_ДЕНЬ_ЧАС_МЕНЮ!I160,СПРОС_ДЕНЬ_ЧАС_МЕНЮ!I191,СПРОС_ДЕНЬ_ЧАС_МЕНЮ!I222,СПРОС_ДЕНЬ_ЧАС_МЕНЮ!I253,СПРОС_ДЕНЬ_ЧАС_МЕНЮ!I284,СПРОС_ДЕНЬ_ЧАС_МЕНЮ!I315,СПРОС_ДЕНЬ_ЧАС_МЕНЮ!I346,СПРОС_ДЕНЬ_ЧАС_МЕНЮ!I377,СПРОС_ДЕНЬ_ЧАС_МЕНЮ!I408,СПРОС_ДЕНЬ_ЧАС_МЕНЮ!I439,СПРОС_ДЕНЬ_ЧАС_МЕНЮ!I470,СПРОС_ДЕНЬ_ЧАС_МЕНЮ!I501,СПРОС_ДЕНЬ_ЧАС_МЕНЮ!I532,СПРОС_ДЕНЬ_ЧАС_МЕНЮ!I563,СПРОС_ДЕНЬ_ЧАС_МЕНЮ!I594,СПРОС_ДЕНЬ_ЧАС_МЕНЮ!I625,СПРОС_ДЕНЬ_ЧАС_МЕНЮ!I656,СПРОС_ДЕНЬ_ЧАС_МЕНЮ!I687,СПРОС_ДЕНЬ_ЧАС_МЕНЮ!I718,СПРОС_ДЕНЬ_ЧАС_МЕНЮ!I749,СПРОС_ДЕНЬ_ЧАС_МЕНЮ!I780,СПРОС_ДЕНЬ_ЧАС_МЕНЮ!I811,СПРОС_ДЕНЬ_ЧАС_МЕНЮ!I842,СПРОС_ДЕНЬ_ЧАС_МЕНЮ!I873,СПРОС_ДЕНЬ_ЧАС_МЕНЮ!I904,СПРОС_ДЕНЬ_ЧАС_МЕНЮ!I935,СПРОС_ДЕНЬ_ЧАС_МЕНЮ!I966,СПРОС_ДЕНЬ_ЧАС_МЕНЮ!I997,СПРОС_ДЕНЬ_ЧАС_МЕНЮ!I1028,СПРОС_ДЕНЬ_ЧАС_МЕНЮ!I1059,СПРОС_ДЕНЬ_ЧАС_МЕНЮ!I1090,СПРОС_ДЕНЬ_ЧАС_МЕНЮ!I1121,СПРОС_ДЕНЬ_ЧАС_МЕНЮ!I1152,СПРОС_ДЕНЬ_ЧАС_МЕНЮ!I1183,СПРОС_ДЕНЬ_ЧАС_МЕНЮ!I1214,СПРОС_ДЕНЬ_ЧАС_МЕНЮ!I1245,СПРОС_ДЕНЬ_ЧАС_МЕНЮ!I1276,СПРОС_ДЕНЬ_ЧАС_МЕНЮ!I1307,СПРОС_ДЕНЬ_ЧАС_МЕНЮ!I1338,СПРОС_ДЕНЬ_ЧАС_МЕНЮ!I1369,СПРОС_ДЕНЬ_ЧАС_МЕНЮ!I1400,СПРОС_ДЕНЬ_ЧАС_МЕНЮ!I1431,СПРОС_ДЕНЬ_ЧАС_МЕНЮ!I1462,СПРОС_ДЕНЬ_ЧАС_МЕНЮ!I1493,СПРОС_ДЕНЬ_ЧАС_МЕНЮ!I1524,СПРОС_ДЕНЬ_ЧАС_МЕНЮ!I1555,СПРОС_ДЕНЬ_ЧАС_МЕНЮ!I1586,СПРОС_ДЕНЬ_ЧАС_МЕНЮ!I1617,СПРОС_ДЕНЬ_ЧАС_МЕНЮ!I1648,СПРОС_ДЕНЬ_ЧАС_МЕНЮ!I1679,СПРОС_ДЕНЬ_ЧАС_МЕНЮ!I1710,СПРОС_ДЕНЬ_ЧАС_МЕНЮ!I1741,СПРОС_ДЕНЬ_ЧАС_МЕНЮ!I1772,СПРОС_ДЕНЬ_ЧАС_МЕНЮ!I1803,СПРОС_ДЕНЬ_ЧАС_МЕНЮ!I1834,СПРОС_ДЕНЬ_ЧАС_МЕНЮ!I1865,СПРОС_ДЕНЬ_ЧАС_МЕНЮ!I1896,СПРОС_ДЕНЬ_ЧАС_МЕНЮ!I1927,СПРОС_ДЕНЬ_ЧАС_МЕНЮ!I1958,СПРОС_ДЕНЬ_ЧАС_МЕНЮ!I1989,СПРОС_ДЕНЬ_ЧАС_МЕНЮ!I2020,СПРОС_ДЕНЬ_ЧАС_МЕНЮ!I2051,СПРОС_ДЕНЬ_ЧАС_МЕНЮ!I2082,СПРОС_ДЕНЬ_ЧАС_МЕНЮ!I2113,СПРОС_ДЕНЬ_ЧАС_МЕНЮ!I2144,СПРОС_ДЕНЬ_ЧАС_МЕНЮ!I2175,СПРОС_ДЕНЬ_ЧАС_МЕНЮ!I2206,СПРОС_ДЕНЬ_ЧАС_МЕНЮ!I2237,СПРОС_ДЕНЬ_ЧАС_МЕНЮ!I2268,СПРОС_ДЕНЬ_ЧАС_МЕНЮ!I2299,СПРОС_ДЕНЬ_ЧАС_МЕНЮ!I2330,СПРОС_ДЕНЬ_ЧАС_МЕНЮ!I2361,СПРОС_ДЕНЬ_ЧАС_МЕНЮ!I2392,СПРОС_ДЕНЬ_ЧАС_МЕНЮ!I2423,СПРОС_ДЕНЬ_ЧАС_МЕНЮ!I2454,СПРОС_ДЕНЬ_ЧАС_МЕНЮ!I2485,СПРОС_ДЕНЬ_ЧАС_МЕНЮ!I2516,СПРОС_ДЕНЬ_ЧАС_МЕНЮ!I2547,СПРОС_ДЕНЬ_ЧАС_МЕНЮ!I2578,СПРОС_ДЕНЬ_ЧАС_МЕНЮ!I2609,СПРОС_ДЕНЬ_ЧАС_МЕНЮ!I2640,СПРОС_ДЕНЬ_ЧАС_МЕНЮ!I2671,СПРОС_ДЕНЬ_ЧАС_МЕНЮ!I2702,СПРОС_ДЕНЬ_ЧАС_МЕНЮ!I2733,СПРОС_ДЕНЬ_ЧАС_МЕНЮ!I2764,СПРОС_ДЕНЬ_ЧАС_МЕНЮ!I2795,СПРОС_ДЕНЬ_ЧАС_МЕНЮ!I2826,СПРОС_ДЕНЬ_ЧАС_МЕНЮ!I2857,СПРОС_ДЕНЬ_ЧАС_МЕНЮ!I2888,СПРОС_ДЕНЬ_ЧАС_МЕНЮ!I2919,СПРОС_ДЕНЬ_ЧАС_МЕНЮ!I2950,СПРОС_ДЕНЬ_ЧАС_МЕНЮ!I2981,СПРОС_ДЕНЬ_ЧАС_МЕНЮ!I3012,СПРОС_ДЕНЬ_ЧАС_МЕНЮ!I3043,СПРОС_ДЕНЬ_ЧАС_МЕНЮ!I3074,СПРОС_ДЕНЬ_ЧАС_МЕНЮ!I3105,СПРОС_ДЕНЬ_ЧАС_МЕНЮ!I3136,СПРОС_ДЕНЬ_ЧАС_МЕНЮ!I3167,СПРОС_ДЕНЬ_ЧАС_МЕНЮ!I3198,СПРОС_ДЕНЬ_ЧАС_МЕНЮ!I3229,СПРОС_ДЕНЬ_ЧАС_МЕНЮ!I3260)</f>
        <v>2.8875</v>
      </c>
      <c r="H36" s="12" t="s">
        <v>107</v>
      </c>
      <c r="I36" s="12" t="s">
        <v>125</v>
      </c>
      <c r="J36" s="12" t="n">
        <f aca="false">MAX(БАЛАНС_ДЕНЬ_ЧАС!F16,БАЛАНС_ДЕНЬ_ЧАС!F24,БАЛАНС_ДЕНЬ_ЧАС!F32,БАЛАНС_ДЕНЬ_ЧАС!F40,БАЛАНС_ДЕНЬ_ЧАС!F48,БАЛАНС_ДЕНЬ_ЧАС!F56,БАЛАНС_ДЕНЬ_ЧАС!F64,БАЛАНС_ДЕНЬ_ЧАС!F72,БАЛАНС_ДЕНЬ_ЧАС!F80,БАЛАНС_ДЕНЬ_ЧАС!F88,БАЛАНС_ДЕНЬ_ЧАС!F96,БАЛАНС_ДЕНЬ_ЧАС!F104,БАЛАНС_ДЕНЬ_ЧАС!F112,БАЛАНС_ДЕНЬ_ЧАС!F120,БАЛАНС_ДЕНЬ_ЧАС!F128,БАЛАНС_ДЕНЬ_ЧАС!F136,БАЛАНС_ДЕНЬ_ЧАС!F144,БАЛАНС_ДЕНЬ_ЧАС!F152,БАЛАНС_ДЕНЬ_ЧАС!F160,БАЛАНС_ДЕНЬ_ЧАС!F168,БАЛАНС_ДЕНЬ_ЧАС!F176,БАЛАНС_ДЕНЬ_ЧАС!F184,БАЛАНС_ДЕНЬ_ЧАС!F192,БАЛАНС_ДЕНЬ_ЧАС!F200,БАЛАНС_ДЕНЬ_ЧАС!F208,БАЛАНС_ДЕНЬ_ЧАС!F216,БАЛАНС_ДЕНЬ_ЧАС!F224,БАЛАНС_ДЕНЬ_ЧАС!F232,БАЛАНС_ДЕНЬ_ЧАС!F240,БАЛАНС_ДЕНЬ_ЧАС!F248,БАЛАНС_ДЕНЬ_ЧАС!F256,БАЛАНС_ДЕНЬ_ЧАС!F264,БАЛАНС_ДЕНЬ_ЧАС!F272,БАЛАНС_ДЕНЬ_ЧАС!F280,БАЛАНС_ДЕНЬ_ЧАС!F288,БАЛАНС_ДЕНЬ_ЧАС!F296,БАЛАНС_ДЕНЬ_ЧАС!F304,БАЛАНС_ДЕНЬ_ЧАС!F312,БАЛАНС_ДЕНЬ_ЧАС!F320,БАЛАНС_ДЕНЬ_ЧАС!F328,БАЛАНС_ДЕНЬ_ЧАС!F336,БАЛАНС_ДЕНЬ_ЧАС!F344,БАЛАНС_ДЕНЬ_ЧАС!F352,БАЛАНС_ДЕНЬ_ЧАС!F360,БАЛАНС_ДЕНЬ_ЧАС!F368,БАЛАНС_ДЕНЬ_ЧАС!F376,БАЛАНС_ДЕНЬ_ЧАС!F384,БАЛАНС_ДЕНЬ_ЧАС!F392,БАЛАНС_ДЕНЬ_ЧАС!F400,БАЛАНС_ДЕНЬ_ЧАС!F408,БАЛАНС_ДЕНЬ_ЧАС!F416,БАЛАНС_ДЕНЬ_ЧАС!F424,БАЛАНС_ДЕНЬ_ЧАС!F432,БАЛАНС_ДЕНЬ_ЧАС!F440,БАЛАНС_ДЕНЬ_ЧАС!F448,БАЛАНС_ДЕНЬ_ЧАС!F456,БАЛАНС_ДЕНЬ_ЧАС!F464,БАЛАНС_ДЕНЬ_ЧАС!F472,БАЛАНС_ДЕНЬ_ЧАС!F480,БАЛАНС_ДЕНЬ_ЧАС!F488,БАЛАНС_ДЕНЬ_ЧАС!F496,БАЛАНС_ДЕНЬ_ЧАС!F504,БАЛАНС_ДЕНЬ_ЧАС!F512,БАЛАНС_ДЕНЬ_ЧАС!F520,БАЛАНС_ДЕНЬ_ЧАС!F528,БАЛАНС_ДЕНЬ_ЧАС!F536,БАЛАНС_ДЕНЬ_ЧАС!F544,БАЛАНС_ДЕНЬ_ЧАС!F552,БАЛАНС_ДЕНЬ_ЧАС!F560,БАЛАНС_ДЕНЬ_ЧАС!F568,БАЛАНС_ДЕНЬ_ЧАС!F576,БАЛАНС_ДЕНЬ_ЧАС!F584,БАЛАНС_ДЕНЬ_ЧАС!F592,БАЛАНС_ДЕНЬ_ЧАС!F600,БАЛАНС_ДЕНЬ_ЧАС!F608,БАЛАНС_ДЕНЬ_ЧАС!F616,БАЛАНС_ДЕНЬ_ЧАС!F624,БАЛАНС_ДЕНЬ_ЧАС!F632,БАЛАНС_ДЕНЬ_ЧАС!F640,БАЛАНС_ДЕНЬ_ЧАС!F648,БАЛАНС_ДЕНЬ_ЧАС!F656,БАЛАНС_ДЕНЬ_ЧАС!F664,БАЛАНС_ДЕНЬ_ЧАС!F672,БАЛАНС_ДЕНЬ_ЧАС!F680,БАЛАНС_ДЕНЬ_ЧАС!F688,БАЛАНС_ДЕНЬ_ЧАС!F696,БАЛАНС_ДЕНЬ_ЧАС!F704,БАЛАНС_ДЕНЬ_ЧАС!F712,БАЛАНС_ДЕНЬ_ЧАС!F720,БАЛАНС_ДЕНЬ_ЧАС!F728,БАЛАНС_ДЕНЬ_ЧАС!F736,БАЛАНС_ДЕНЬ_ЧАС!F744,БАЛАНС_ДЕНЬ_ЧАС!F752,БАЛАНС_ДЕНЬ_ЧАС!F760,БАЛАНС_ДЕНЬ_ЧАС!F768,БАЛАНС_ДЕНЬ_ЧАС!F776,БАЛАНС_ДЕНЬ_ЧАС!F784,БАЛАНС_ДЕНЬ_ЧАС!F792,БАЛАНС_ДЕНЬ_ЧАС!F800,БАЛАНС_ДЕНЬ_ЧАС!F808,БАЛАНС_ДЕНЬ_ЧАС!F816,БАЛАНС_ДЕНЬ_ЧАС!F824,БАЛАНС_ДЕНЬ_ЧАС!F832,БАЛАНС_ДЕНЬ_ЧАС!F840,БАЛАНС_ДЕНЬ_ЧАС!F848)</f>
        <v>7.7</v>
      </c>
      <c r="K36" s="12" t="n">
        <f aca="false">ПАРАМЕТРЫ!D25</f>
        <v>15</v>
      </c>
      <c r="L36" s="12" t="n">
        <f aca="false">MAX(БАЛАНС_ДЕНЬ_ЧАС!I16,БАЛАНС_ДЕНЬ_ЧАС!I24,БАЛАНС_ДЕНЬ_ЧАС!I32,БАЛАНС_ДЕНЬ_ЧАС!I40,БАЛАНС_ДЕНЬ_ЧАС!I48,БАЛАНС_ДЕНЬ_ЧАС!I56,БАЛАНС_ДЕНЬ_ЧАС!I64,БАЛАНС_ДЕНЬ_ЧАС!I72,БАЛАНС_ДЕНЬ_ЧАС!I80,БАЛАНС_ДЕНЬ_ЧАС!I88,БАЛАНС_ДЕНЬ_ЧАС!I96,БАЛАНС_ДЕНЬ_ЧАС!I104,БАЛАНС_ДЕНЬ_ЧАС!I112,БАЛАНС_ДЕНЬ_ЧАС!I120,БАЛАНС_ДЕНЬ_ЧАС!I128,БАЛАНС_ДЕНЬ_ЧАС!I136,БАЛАНС_ДЕНЬ_ЧАС!I144,БАЛАНС_ДЕНЬ_ЧАС!I152,БАЛАНС_ДЕНЬ_ЧАС!I160,БАЛАНС_ДЕНЬ_ЧАС!I168,БАЛАНС_ДЕНЬ_ЧАС!I176,БАЛАНС_ДЕНЬ_ЧАС!I184,БАЛАНС_ДЕНЬ_ЧАС!I192,БАЛАНС_ДЕНЬ_ЧАС!I200,БАЛАНС_ДЕНЬ_ЧАС!I208,БАЛАНС_ДЕНЬ_ЧАС!I216,БАЛАНС_ДЕНЬ_ЧАС!I224,БАЛАНС_ДЕНЬ_ЧАС!I232,БАЛАНС_ДЕНЬ_ЧАС!I240,БАЛАНС_ДЕНЬ_ЧАС!I248,БАЛАНС_ДЕНЬ_ЧАС!I256,БАЛАНС_ДЕНЬ_ЧАС!I264,БАЛАНС_ДЕНЬ_ЧАС!I272,БАЛАНС_ДЕНЬ_ЧАС!I280,БАЛАНС_ДЕНЬ_ЧАС!I288,БАЛАНС_ДЕНЬ_ЧАС!I296,БАЛАНС_ДЕНЬ_ЧАС!I304,БАЛАНС_ДЕНЬ_ЧАС!I312,БАЛАНС_ДЕНЬ_ЧАС!I320,БАЛАНС_ДЕНЬ_ЧАС!I328,БАЛАНС_ДЕНЬ_ЧАС!I336,БАЛАНС_ДЕНЬ_ЧАС!I344,БАЛАНС_ДЕНЬ_ЧАС!I352,БАЛАНС_ДЕНЬ_ЧАС!I360,БАЛАНС_ДЕНЬ_ЧАС!I368,БАЛАНС_ДЕНЬ_ЧАС!I376,БАЛАНС_ДЕНЬ_ЧАС!I384,БАЛАНС_ДЕНЬ_ЧАС!I392,БАЛАНС_ДЕНЬ_ЧАС!I400,БАЛАНС_ДЕНЬ_ЧАС!I408,БАЛАНС_ДЕНЬ_ЧАС!I416,БАЛАНС_ДЕНЬ_ЧАС!I424,БАЛАНС_ДЕНЬ_ЧАС!I432,БАЛАНС_ДЕНЬ_ЧАС!I440,БАЛАНС_ДЕНЬ_ЧАС!I448,БАЛАНС_ДЕНЬ_ЧАС!I456,БАЛАНС_ДЕНЬ_ЧАС!I464,БАЛАНС_ДЕНЬ_ЧАС!I472,БАЛАНС_ДЕНЬ_ЧАС!I480,БАЛАНС_ДЕНЬ_ЧАС!I488,БАЛАНС_ДЕНЬ_ЧАС!I496,БАЛАНС_ДЕНЬ_ЧАС!I504,БАЛАНС_ДЕНЬ_ЧАС!I512,БАЛАНС_ДЕНЬ_ЧАС!I520,БАЛАНС_ДЕНЬ_ЧАС!I528,БАЛАНС_ДЕНЬ_ЧАС!I536,БАЛАНС_ДЕНЬ_ЧАС!I544,БАЛАНС_ДЕНЬ_ЧАС!I552,БАЛАНС_ДЕНЬ_ЧАС!I560,БАЛАНС_ДЕНЬ_ЧАС!I568,БАЛАНС_ДЕНЬ_ЧАС!I576,БАЛАНС_ДЕНЬ_ЧАС!I584,БАЛАНС_ДЕНЬ_ЧАС!I592,БАЛАНС_ДЕНЬ_ЧАС!I600,БАЛАНС_ДЕНЬ_ЧАС!I608,БАЛАНС_ДЕНЬ_ЧАС!I616,БАЛАНС_ДЕНЬ_ЧАС!I624,БАЛАНС_ДЕНЬ_ЧАС!I632,БАЛАНС_ДЕНЬ_ЧАС!I640,БАЛАНС_ДЕНЬ_ЧАС!I648,БАЛАНС_ДЕНЬ_ЧАС!I656,БАЛАНС_ДЕНЬ_ЧАС!I664,БАЛАНС_ДЕНЬ_ЧАС!I672,БАЛАНС_ДЕНЬ_ЧАС!I680,БАЛАНС_ДЕНЬ_ЧАС!I688,БАЛАНС_ДЕНЬ_ЧАС!I696,БАЛАНС_ДЕНЬ_ЧАС!I704,БАЛАНС_ДЕНЬ_ЧАС!I712,БАЛАНС_ДЕНЬ_ЧАС!I720,БАЛАНС_ДЕНЬ_ЧАС!I728,БАЛАНС_ДЕНЬ_ЧАС!I736,БАЛАНС_ДЕНЬ_ЧАС!I744,БАЛАНС_ДЕНЬ_ЧАС!I752,БАЛАНС_ДЕНЬ_ЧАС!I760,БАЛАНС_ДЕНЬ_ЧАС!I768,БАЛАНС_ДЕНЬ_ЧАС!I776,БАЛАНС_ДЕНЬ_ЧАС!I784,БАЛАНС_ДЕНЬ_ЧАС!I792,БАЛАНС_ДЕНЬ_ЧАС!I800,БАЛАНС_ДЕНЬ_ЧАС!I808,БАЛАНС_ДЕНЬ_ЧАС!I816,БАЛАНС_ДЕНЬ_ЧАС!I824,БАЛАНС_ДЕНЬ_ЧАС!I832,БАЛАНС_ДЕНЬ_ЧАС!I840,БАЛАНС_ДЕНЬ_ЧАС!I848)</f>
        <v>10</v>
      </c>
      <c r="M36" s="12" t="n">
        <f aca="false">MAX(БАЛАНС_ДЕНЬ_ЧАС!J16,БАЛАНС_ДЕНЬ_ЧАС!J24,БАЛАНС_ДЕНЬ_ЧАС!J32,БАЛАНС_ДЕНЬ_ЧАС!J40,БАЛАНС_ДЕНЬ_ЧАС!J48,БАЛАНС_ДЕНЬ_ЧАС!J56,БАЛАНС_ДЕНЬ_ЧАС!J64,БАЛАНС_ДЕНЬ_ЧАС!J72,БАЛАНС_ДЕНЬ_ЧАС!J80,БАЛАНС_ДЕНЬ_ЧАС!J88,БАЛАНС_ДЕНЬ_ЧАС!J96,БАЛАНС_ДЕНЬ_ЧАС!J104,БАЛАНС_ДЕНЬ_ЧАС!J112,БАЛАНС_ДЕНЬ_ЧАС!J120,БАЛАНС_ДЕНЬ_ЧАС!J128,БАЛАНС_ДЕНЬ_ЧАС!J136,БАЛАНС_ДЕНЬ_ЧАС!J144,БАЛАНС_ДЕНЬ_ЧАС!J152,БАЛАНС_ДЕНЬ_ЧАС!J160,БАЛАНС_ДЕНЬ_ЧАС!J168,БАЛАНС_ДЕНЬ_ЧАС!J176,БАЛАНС_ДЕНЬ_ЧАС!J184,БАЛАНС_ДЕНЬ_ЧАС!J192,БАЛАНС_ДЕНЬ_ЧАС!J200,БАЛАНС_ДЕНЬ_ЧАС!J208,БАЛАНС_ДЕНЬ_ЧАС!J216,БАЛАНС_ДЕНЬ_ЧАС!J224,БАЛАНС_ДЕНЬ_ЧАС!J232,БАЛАНС_ДЕНЬ_ЧАС!J240,БАЛАНС_ДЕНЬ_ЧАС!J248,БАЛАНС_ДЕНЬ_ЧАС!J256,БАЛАНС_ДЕНЬ_ЧАС!J264,БАЛАНС_ДЕНЬ_ЧАС!J272,БАЛАНС_ДЕНЬ_ЧАС!J280,БАЛАНС_ДЕНЬ_ЧАС!J288,БАЛАНС_ДЕНЬ_ЧАС!J296,БАЛАНС_ДЕНЬ_ЧАС!J304,БАЛАНС_ДЕНЬ_ЧАС!J312,БАЛАНС_ДЕНЬ_ЧАС!J320,БАЛАНС_ДЕНЬ_ЧАС!J328,БАЛАНС_ДЕНЬ_ЧАС!J336,БАЛАНС_ДЕНЬ_ЧАС!J344,БАЛАНС_ДЕНЬ_ЧАС!J352,БАЛАНС_ДЕНЬ_ЧАС!J360,БАЛАНС_ДЕНЬ_ЧАС!J368,БАЛАНС_ДЕНЬ_ЧАС!J376,БАЛАНС_ДЕНЬ_ЧАС!J384,БАЛАНС_ДЕНЬ_ЧАС!J392,БАЛАНС_ДЕНЬ_ЧАС!J400,БАЛАНС_ДЕНЬ_ЧАС!J408,БАЛАНС_ДЕНЬ_ЧАС!J416,БАЛАНС_ДЕНЬ_ЧАС!J424,БАЛАНС_ДЕНЬ_ЧАС!J432,БАЛАНС_ДЕНЬ_ЧАС!J440,БАЛАНС_ДЕНЬ_ЧАС!J448,БАЛАНС_ДЕНЬ_ЧАС!J456,БАЛАНС_ДЕНЬ_ЧАС!J464,БАЛАНС_ДЕНЬ_ЧАС!J472,БАЛАНС_ДЕНЬ_ЧАС!J480,БАЛАНС_ДЕНЬ_ЧАС!J488,БАЛАНС_ДЕНЬ_ЧАС!J496,БАЛАНС_ДЕНЬ_ЧАС!J504,БАЛАНС_ДЕНЬ_ЧАС!J512,БАЛАНС_ДЕНЬ_ЧАС!J520,БАЛАНС_ДЕНЬ_ЧАС!J528,БАЛАНС_ДЕНЬ_ЧАС!J536,БАЛАНС_ДЕНЬ_ЧАС!J544,БАЛАНС_ДЕНЬ_ЧАС!J552,БАЛАНС_ДЕНЬ_ЧАС!J560,БАЛАНС_ДЕНЬ_ЧАС!J568,БАЛАНС_ДЕНЬ_ЧАС!J576,БАЛАНС_ДЕНЬ_ЧАС!J584,БАЛАНС_ДЕНЬ_ЧАС!J592,БАЛАНС_ДЕНЬ_ЧАС!J600,БАЛАНС_ДЕНЬ_ЧАС!J608,БАЛАНС_ДЕНЬ_ЧАС!J616,БАЛАНС_ДЕНЬ_ЧАС!J624,БАЛАНС_ДЕНЬ_ЧАС!J632,БАЛАНС_ДЕНЬ_ЧАС!J640,БАЛАНС_ДЕНЬ_ЧАС!J648,БАЛАНС_ДЕНЬ_ЧАС!J656,БАЛАНС_ДЕНЬ_ЧАС!J664,БАЛАНС_ДЕНЬ_ЧАС!J672,БАЛАНС_ДЕНЬ_ЧАС!J680,БАЛАНС_ДЕНЬ_ЧАС!J688,БАЛАНС_ДЕНЬ_ЧАС!J696,БАЛАНС_ДЕНЬ_ЧАС!J704,БАЛАНС_ДЕНЬ_ЧАС!J712,БАЛАНС_ДЕНЬ_ЧАС!J720,БАЛАНС_ДЕНЬ_ЧАС!J728,БАЛАНС_ДЕНЬ_ЧАС!J736,БАЛАНС_ДЕНЬ_ЧАС!J744,БАЛАНС_ДЕНЬ_ЧАС!J752,БАЛАНС_ДЕНЬ_ЧАС!J760,БАЛАНС_ДЕНЬ_ЧАС!J768,БАЛАНС_ДЕНЬ_ЧАС!J776,БАЛАНС_ДЕНЬ_ЧАС!J784,БАЛАНС_ДЕНЬ_ЧАС!J792,БАЛАНС_ДЕНЬ_ЧАС!J800,БАЛАНС_ДЕНЬ_ЧАС!J808,БАЛАНС_ДЕНЬ_ЧАС!J816,БАЛАНС_ДЕНЬ_ЧАС!J824,БАЛАНС_ДЕНЬ_ЧАС!J832,БАЛАНС_ДЕНЬ_ЧАС!J840,БАЛАНС_ДЕНЬ_ЧАС!J848)</f>
        <v>10</v>
      </c>
      <c r="N36" s="12" t="n">
        <f aca="false">MAX(БАЛАНС_ДЕНЬ_ЧАС!K16,БАЛАНС_ДЕНЬ_ЧАС!K24,БАЛАНС_ДЕНЬ_ЧАС!K32,БАЛАНС_ДЕНЬ_ЧАС!K40,БАЛАНС_ДЕНЬ_ЧАС!K48,БАЛАНС_ДЕНЬ_ЧАС!K56,БАЛАНС_ДЕНЬ_ЧАС!K64,БАЛАНС_ДЕНЬ_ЧАС!K72,БАЛАНС_ДЕНЬ_ЧАС!K80,БАЛАНС_ДЕНЬ_ЧАС!K88,БАЛАНС_ДЕНЬ_ЧАС!K96,БАЛАНС_ДЕНЬ_ЧАС!K104,БАЛАНС_ДЕНЬ_ЧАС!K112,БАЛАНС_ДЕНЬ_ЧАС!K120,БАЛАНС_ДЕНЬ_ЧАС!K128,БАЛАНС_ДЕНЬ_ЧАС!K136,БАЛАНС_ДЕНЬ_ЧАС!K144,БАЛАНС_ДЕНЬ_ЧАС!K152,БАЛАНС_ДЕНЬ_ЧАС!K160,БАЛАНС_ДЕНЬ_ЧАС!K168,БАЛАНС_ДЕНЬ_ЧАС!K176,БАЛАНС_ДЕНЬ_ЧАС!K184,БАЛАНС_ДЕНЬ_ЧАС!K192,БАЛАНС_ДЕНЬ_ЧАС!K200,БАЛАНС_ДЕНЬ_ЧАС!K208,БАЛАНС_ДЕНЬ_ЧАС!K216,БАЛАНС_ДЕНЬ_ЧАС!K224,БАЛАНС_ДЕНЬ_ЧАС!K232,БАЛАНС_ДЕНЬ_ЧАС!K240,БАЛАНС_ДЕНЬ_ЧАС!K248,БАЛАНС_ДЕНЬ_ЧАС!K256,БАЛАНС_ДЕНЬ_ЧАС!K264,БАЛАНС_ДЕНЬ_ЧАС!K272,БАЛАНС_ДЕНЬ_ЧАС!K280,БАЛАНС_ДЕНЬ_ЧАС!K288,БАЛАНС_ДЕНЬ_ЧАС!K296,БАЛАНС_ДЕНЬ_ЧАС!K304,БАЛАНС_ДЕНЬ_ЧАС!K312,БАЛАНС_ДЕНЬ_ЧАС!K320,БАЛАНС_ДЕНЬ_ЧАС!K328,БАЛАНС_ДЕНЬ_ЧАС!K336,БАЛАНС_ДЕНЬ_ЧАС!K344,БАЛАНС_ДЕНЬ_ЧАС!K352,БАЛАНС_ДЕНЬ_ЧАС!K360,БАЛАНС_ДЕНЬ_ЧАС!K368,БАЛАНС_ДЕНЬ_ЧАС!K376,БАЛАНС_ДЕНЬ_ЧАС!K384,БАЛАНС_ДЕНЬ_ЧАС!K392,БАЛАНС_ДЕНЬ_ЧАС!K400,БАЛАНС_ДЕНЬ_ЧАС!K408,БАЛАНС_ДЕНЬ_ЧАС!K416,БАЛАНС_ДЕНЬ_ЧАС!K424,БАЛАНС_ДЕНЬ_ЧАС!K432,БАЛАНС_ДЕНЬ_ЧАС!K440,БАЛАНС_ДЕНЬ_ЧАС!K448,БАЛАНС_ДЕНЬ_ЧАС!K456,БАЛАНС_ДЕНЬ_ЧАС!K464,БАЛАНС_ДЕНЬ_ЧАС!K472,БАЛАНС_ДЕНЬ_ЧАС!K480,БАЛАНС_ДЕНЬ_ЧАС!K488,БАЛАНС_ДЕНЬ_ЧАС!K496,БАЛАНС_ДЕНЬ_ЧАС!K504,БАЛАНС_ДЕНЬ_ЧАС!K512,БАЛАНС_ДЕНЬ_ЧАС!K520,БАЛАНС_ДЕНЬ_ЧАС!K528,БАЛАНС_ДЕНЬ_ЧАС!K536,БАЛАНС_ДЕНЬ_ЧАС!K544,БАЛАНС_ДЕНЬ_ЧАС!K552,БАЛАНС_ДЕНЬ_ЧАС!K560,БАЛАНС_ДЕНЬ_ЧАС!K568,БАЛАНС_ДЕНЬ_ЧАС!K576,БАЛАНС_ДЕНЬ_ЧАС!K584,БАЛАНС_ДЕНЬ_ЧАС!K592,БАЛАНС_ДЕНЬ_ЧАС!K600,БАЛАНС_ДЕНЬ_ЧАС!K608,БАЛАНС_ДЕНЬ_ЧАС!K616,БАЛАНС_ДЕНЬ_ЧАС!K624,БАЛАНС_ДЕНЬ_ЧАС!K632,БАЛАНС_ДЕНЬ_ЧАС!K640,БАЛАНС_ДЕНЬ_ЧАС!K648,БАЛАНС_ДЕНЬ_ЧАС!K656,БАЛАНС_ДЕНЬ_ЧАС!K664,БАЛАНС_ДЕНЬ_ЧАС!K672,БАЛАНС_ДЕНЬ_ЧАС!K680,БАЛАНС_ДЕНЬ_ЧАС!K688,БАЛАНС_ДЕНЬ_ЧАС!K696,БАЛАНС_ДЕНЬ_ЧАС!K704,БАЛАНС_ДЕНЬ_ЧАС!K712,БАЛАНС_ДЕНЬ_ЧАС!K720,БАЛАНС_ДЕНЬ_ЧАС!K728,БАЛАНС_ДЕНЬ_ЧАС!K736,БАЛАНС_ДЕНЬ_ЧАС!K744,БАЛАНС_ДЕНЬ_ЧАС!K752,БАЛАНС_ДЕНЬ_ЧАС!K760,БАЛАНС_ДЕНЬ_ЧАС!K768,БАЛАНС_ДЕНЬ_ЧАС!K776,БАЛАНС_ДЕНЬ_ЧАС!K784,БАЛАНС_ДЕНЬ_ЧАС!K792,БАЛАНС_ДЕНЬ_ЧАС!K800,БАЛАНС_ДЕНЬ_ЧАС!K808,БАЛАНС_ДЕНЬ_ЧАС!K816,БАЛАНС_ДЕНЬ_ЧАС!K824,БАЛАНС_ДЕНЬ_ЧАС!K832,БАЛАНС_ДЕНЬ_ЧАС!K840,БАЛАНС_ДЕНЬ_ЧАС!K848)</f>
        <v>0</v>
      </c>
      <c r="O36" s="11" t="str">
        <f aca="false">IF(N36&gt;0,"BLOCKED","PASS")</f>
        <v>PASS</v>
      </c>
      <c r="P36" s="11" t="s">
        <v>145</v>
      </c>
    </row>
    <row r="37" customFormat="false" ht="15" hidden="false" customHeight="false" outlineLevel="0" collapsed="false">
      <c r="A37" s="11" t="n">
        <v>27</v>
      </c>
      <c r="B37" s="11" t="s">
        <v>89</v>
      </c>
      <c r="C37" s="11" t="s">
        <v>183</v>
      </c>
      <c r="D37" s="11" t="s">
        <v>88</v>
      </c>
      <c r="E37" s="12" t="n">
        <v>265</v>
      </c>
      <c r="F37" s="12" t="n">
        <f aca="false">SUMIF(СПРОС_ДЕНЬ_ЧАС_МЕНЮ!$C$11:$C$3265,A37,СПРОС_ДЕНЬ_ЧАС_МЕНЮ!$I$11:$I$3265)</f>
        <v>57.75</v>
      </c>
      <c r="G37" s="12" t="n">
        <f aca="false">MAX(СПРОС_ДЕНЬ_ЧАС_МЕНЮ!I37,СПРОС_ДЕНЬ_ЧАС_МЕНЮ!I68,СПРОС_ДЕНЬ_ЧАС_МЕНЮ!I99,СПРОС_ДЕНЬ_ЧАС_МЕНЮ!I130,СПРОС_ДЕНЬ_ЧАС_МЕНЮ!I161,СПРОС_ДЕНЬ_ЧАС_МЕНЮ!I192,СПРОС_ДЕНЬ_ЧАС_МЕНЮ!I223,СПРОС_ДЕНЬ_ЧАС_МЕНЮ!I254,СПРОС_ДЕНЬ_ЧАС_МЕНЮ!I285,СПРОС_ДЕНЬ_ЧАС_МЕНЮ!I316,СПРОС_ДЕНЬ_ЧАС_МЕНЮ!I347,СПРОС_ДЕНЬ_ЧАС_МЕНЮ!I378,СПРОС_ДЕНЬ_ЧАС_МЕНЮ!I409,СПРОС_ДЕНЬ_ЧАС_МЕНЮ!I440,СПРОС_ДЕНЬ_ЧАС_МЕНЮ!I471,СПРОС_ДЕНЬ_ЧАС_МЕНЮ!I502,СПРОС_ДЕНЬ_ЧАС_МЕНЮ!I533,СПРОС_ДЕНЬ_ЧАС_МЕНЮ!I564,СПРОС_ДЕНЬ_ЧАС_МЕНЮ!I595,СПРОС_ДЕНЬ_ЧАС_МЕНЮ!I626,СПРОС_ДЕНЬ_ЧАС_МЕНЮ!I657,СПРОС_ДЕНЬ_ЧАС_МЕНЮ!I688,СПРОС_ДЕНЬ_ЧАС_МЕНЮ!I719,СПРОС_ДЕНЬ_ЧАС_МЕНЮ!I750,СПРОС_ДЕНЬ_ЧАС_МЕНЮ!I781,СПРОС_ДЕНЬ_ЧАС_МЕНЮ!I812,СПРОС_ДЕНЬ_ЧАС_МЕНЮ!I843,СПРОС_ДЕНЬ_ЧАС_МЕНЮ!I874,СПРОС_ДЕНЬ_ЧАС_МЕНЮ!I905,СПРОС_ДЕНЬ_ЧАС_МЕНЮ!I936,СПРОС_ДЕНЬ_ЧАС_МЕНЮ!I967,СПРОС_ДЕНЬ_ЧАС_МЕНЮ!I998,СПРОС_ДЕНЬ_ЧАС_МЕНЮ!I1029,СПРОС_ДЕНЬ_ЧАС_МЕНЮ!I1060,СПРОС_ДЕНЬ_ЧАС_МЕНЮ!I1091,СПРОС_ДЕНЬ_ЧАС_МЕНЮ!I1122,СПРОС_ДЕНЬ_ЧАС_МЕНЮ!I1153,СПРОС_ДЕНЬ_ЧАС_МЕНЮ!I1184,СПРОС_ДЕНЬ_ЧАС_МЕНЮ!I1215,СПРОС_ДЕНЬ_ЧАС_МЕНЮ!I1246,СПРОС_ДЕНЬ_ЧАС_МЕНЮ!I1277,СПРОС_ДЕНЬ_ЧАС_МЕНЮ!I1308,СПРОС_ДЕНЬ_ЧАС_МЕНЮ!I1339,СПРОС_ДЕНЬ_ЧАС_МЕНЮ!I1370,СПРОС_ДЕНЬ_ЧАС_МЕНЮ!I1401,СПРОС_ДЕНЬ_ЧАС_МЕНЮ!I1432,СПРОС_ДЕНЬ_ЧАС_МЕНЮ!I1463,СПРОС_ДЕНЬ_ЧАС_МЕНЮ!I1494,СПРОС_ДЕНЬ_ЧАС_МЕНЮ!I1525,СПРОС_ДЕНЬ_ЧАС_МЕНЮ!I1556,СПРОС_ДЕНЬ_ЧАС_МЕНЮ!I1587,СПРОС_ДЕНЬ_ЧАС_МЕНЮ!I1618,СПРОС_ДЕНЬ_ЧАС_МЕНЮ!I1649,СПРОС_ДЕНЬ_ЧАС_МЕНЮ!I1680,СПРОС_ДЕНЬ_ЧАС_МЕНЮ!I1711,СПРОС_ДЕНЬ_ЧАС_МЕНЮ!I1742,СПРОС_ДЕНЬ_ЧАС_МЕНЮ!I1773,СПРОС_ДЕНЬ_ЧАС_МЕНЮ!I1804,СПРОС_ДЕНЬ_ЧАС_МЕНЮ!I1835,СПРОС_ДЕНЬ_ЧАС_МЕНЮ!I1866,СПРОС_ДЕНЬ_ЧАС_МЕНЮ!I1897,СПРОС_ДЕНЬ_ЧАС_МЕНЮ!I1928,СПРОС_ДЕНЬ_ЧАС_МЕНЮ!I1959,СПРОС_ДЕНЬ_ЧАС_МЕНЮ!I1990,СПРОС_ДЕНЬ_ЧАС_МЕНЮ!I2021,СПРОС_ДЕНЬ_ЧАС_МЕНЮ!I2052,СПРОС_ДЕНЬ_ЧАС_МЕНЮ!I2083,СПРОС_ДЕНЬ_ЧАС_МЕНЮ!I2114,СПРОС_ДЕНЬ_ЧАС_МЕНЮ!I2145,СПРОС_ДЕНЬ_ЧАС_МЕНЮ!I2176,СПРОС_ДЕНЬ_ЧАС_МЕНЮ!I2207,СПРОС_ДЕНЬ_ЧАС_МЕНЮ!I2238,СПРОС_ДЕНЬ_ЧАС_МЕНЮ!I2269,СПРОС_ДЕНЬ_ЧАС_МЕНЮ!I2300,СПРОС_ДЕНЬ_ЧАС_МЕНЮ!I2331,СПРОС_ДЕНЬ_ЧАС_МЕНЮ!I2362,СПРОС_ДЕНЬ_ЧАС_МЕНЮ!I2393,СПРОС_ДЕНЬ_ЧАС_МЕНЮ!I2424,СПРОС_ДЕНЬ_ЧАС_МЕНЮ!I2455,СПРОС_ДЕНЬ_ЧАС_МЕНЮ!I2486,СПРОС_ДЕНЬ_ЧАС_МЕНЮ!I2517,СПРОС_ДЕНЬ_ЧАС_МЕНЮ!I2548,СПРОС_ДЕНЬ_ЧАС_МЕНЮ!I2579,СПРОС_ДЕНЬ_ЧАС_МЕНЮ!I2610,СПРОС_ДЕНЬ_ЧАС_МЕНЮ!I2641,СПРОС_ДЕНЬ_ЧАС_МЕНЮ!I2672,СПРОС_ДЕНЬ_ЧАС_МЕНЮ!I2703,СПРОС_ДЕНЬ_ЧАС_МЕНЮ!I2734,СПРОС_ДЕНЬ_ЧАС_МЕНЮ!I2765,СПРОС_ДЕНЬ_ЧАС_МЕНЮ!I2796,СПРОС_ДЕНЬ_ЧАС_МЕНЮ!I2827,СПРОС_ДЕНЬ_ЧАС_МЕНЮ!I2858,СПРОС_ДЕНЬ_ЧАС_МЕНЮ!I2889,СПРОС_ДЕНЬ_ЧАС_МЕНЮ!I2920,СПРОС_ДЕНЬ_ЧАС_МЕНЮ!I2951,СПРОС_ДЕНЬ_ЧАС_МЕНЮ!I2982,СПРОС_ДЕНЬ_ЧАС_МЕНЮ!I3013,СПРОС_ДЕНЬ_ЧАС_МЕНЮ!I3044,СПРОС_ДЕНЬ_ЧАС_МЕНЮ!I3075,СПРОС_ДЕНЬ_ЧАС_МЕНЮ!I3106,СПРОС_ДЕНЬ_ЧАС_МЕНЮ!I3137,СПРОС_ДЕНЬ_ЧАС_МЕНЮ!I3168,СПРОС_ДЕНЬ_ЧАС_МЕНЮ!I3199,СПРОС_ДЕНЬ_ЧАС_МЕНЮ!I3230,СПРОС_ДЕНЬ_ЧАС_МЕНЮ!I3261)</f>
        <v>2.8875</v>
      </c>
      <c r="H37" s="12" t="s">
        <v>107</v>
      </c>
      <c r="I37" s="12" t="s">
        <v>125</v>
      </c>
      <c r="J37" s="12" t="n">
        <f aca="false">MAX(БАЛАНС_ДЕНЬ_ЧАС!F16,БАЛАНС_ДЕНЬ_ЧАС!F24,БАЛАНС_ДЕНЬ_ЧАС!F32,БАЛАНС_ДЕНЬ_ЧАС!F40,БАЛАНС_ДЕНЬ_ЧАС!F48,БАЛАНС_ДЕНЬ_ЧАС!F56,БАЛАНС_ДЕНЬ_ЧАС!F64,БАЛАНС_ДЕНЬ_ЧАС!F72,БАЛАНС_ДЕНЬ_ЧАС!F80,БАЛАНС_ДЕНЬ_ЧАС!F88,БАЛАНС_ДЕНЬ_ЧАС!F96,БАЛАНС_ДЕНЬ_ЧАС!F104,БАЛАНС_ДЕНЬ_ЧАС!F112,БАЛАНС_ДЕНЬ_ЧАС!F120,БАЛАНС_ДЕНЬ_ЧАС!F128,БАЛАНС_ДЕНЬ_ЧАС!F136,БАЛАНС_ДЕНЬ_ЧАС!F144,БАЛАНС_ДЕНЬ_ЧАС!F152,БАЛАНС_ДЕНЬ_ЧАС!F160,БАЛАНС_ДЕНЬ_ЧАС!F168,БАЛАНС_ДЕНЬ_ЧАС!F176,БАЛАНС_ДЕНЬ_ЧАС!F184,БАЛАНС_ДЕНЬ_ЧАС!F192,БАЛАНС_ДЕНЬ_ЧАС!F200,БАЛАНС_ДЕНЬ_ЧАС!F208,БАЛАНС_ДЕНЬ_ЧАС!F216,БАЛАНС_ДЕНЬ_ЧАС!F224,БАЛАНС_ДЕНЬ_ЧАС!F232,БАЛАНС_ДЕНЬ_ЧАС!F240,БАЛАНС_ДЕНЬ_ЧАС!F248,БАЛАНС_ДЕНЬ_ЧАС!F256,БАЛАНС_ДЕНЬ_ЧАС!F264,БАЛАНС_ДЕНЬ_ЧАС!F272,БАЛАНС_ДЕНЬ_ЧАС!F280,БАЛАНС_ДЕНЬ_ЧАС!F288,БАЛАНС_ДЕНЬ_ЧАС!F296,БАЛАНС_ДЕНЬ_ЧАС!F304,БАЛАНС_ДЕНЬ_ЧАС!F312,БАЛАНС_ДЕНЬ_ЧАС!F320,БАЛАНС_ДЕНЬ_ЧАС!F328,БАЛАНС_ДЕНЬ_ЧАС!F336,БАЛАНС_ДЕНЬ_ЧАС!F344,БАЛАНС_ДЕНЬ_ЧАС!F352,БАЛАНС_ДЕНЬ_ЧАС!F360,БАЛАНС_ДЕНЬ_ЧАС!F368,БАЛАНС_ДЕНЬ_ЧАС!F376,БАЛАНС_ДЕНЬ_ЧАС!F384,БАЛАНС_ДЕНЬ_ЧАС!F392,БАЛАНС_ДЕНЬ_ЧАС!F400,БАЛАНС_ДЕНЬ_ЧАС!F408,БАЛАНС_ДЕНЬ_ЧАС!F416,БАЛАНС_ДЕНЬ_ЧАС!F424,БАЛАНС_ДЕНЬ_ЧАС!F432,БАЛАНС_ДЕНЬ_ЧАС!F440,БАЛАНС_ДЕНЬ_ЧАС!F448,БАЛАНС_ДЕНЬ_ЧАС!F456,БАЛАНС_ДЕНЬ_ЧАС!F464,БАЛАНС_ДЕНЬ_ЧАС!F472,БАЛАНС_ДЕНЬ_ЧАС!F480,БАЛАНС_ДЕНЬ_ЧАС!F488,БАЛАНС_ДЕНЬ_ЧАС!F496,БАЛАНС_ДЕНЬ_ЧАС!F504,БАЛАНС_ДЕНЬ_ЧАС!F512,БАЛАНС_ДЕНЬ_ЧАС!F520,БАЛАНС_ДЕНЬ_ЧАС!F528,БАЛАНС_ДЕНЬ_ЧАС!F536,БАЛАНС_ДЕНЬ_ЧАС!F544,БАЛАНС_ДЕНЬ_ЧАС!F552,БАЛАНС_ДЕНЬ_ЧАС!F560,БАЛАНС_ДЕНЬ_ЧАС!F568,БАЛАНС_ДЕНЬ_ЧАС!F576,БАЛАНС_ДЕНЬ_ЧАС!F584,БАЛАНС_ДЕНЬ_ЧАС!F592,БАЛАНС_ДЕНЬ_ЧАС!F600,БАЛАНС_ДЕНЬ_ЧАС!F608,БАЛАНС_ДЕНЬ_ЧАС!F616,БАЛАНС_ДЕНЬ_ЧАС!F624,БАЛАНС_ДЕНЬ_ЧАС!F632,БАЛАНС_ДЕНЬ_ЧАС!F640,БАЛАНС_ДЕНЬ_ЧАС!F648,БАЛАНС_ДЕНЬ_ЧАС!F656,БАЛАНС_ДЕНЬ_ЧАС!F664,БАЛАНС_ДЕНЬ_ЧАС!F672,БАЛАНС_ДЕНЬ_ЧАС!F680,БАЛАНС_ДЕНЬ_ЧАС!F688,БАЛАНС_ДЕНЬ_ЧАС!F696,БАЛАНС_ДЕНЬ_ЧАС!F704,БАЛАНС_ДЕНЬ_ЧАС!F712,БАЛАНС_ДЕНЬ_ЧАС!F720,БАЛАНС_ДЕНЬ_ЧАС!F728,БАЛАНС_ДЕНЬ_ЧАС!F736,БАЛАНС_ДЕНЬ_ЧАС!F744,БАЛАНС_ДЕНЬ_ЧАС!F752,БАЛАНС_ДЕНЬ_ЧАС!F760,БАЛАНС_ДЕНЬ_ЧАС!F768,БАЛАНС_ДЕНЬ_ЧАС!F776,БАЛАНС_ДЕНЬ_ЧАС!F784,БАЛАНС_ДЕНЬ_ЧАС!F792,БАЛАНС_ДЕНЬ_ЧАС!F800,БАЛАНС_ДЕНЬ_ЧАС!F808,БАЛАНС_ДЕНЬ_ЧАС!F816,БАЛАНС_ДЕНЬ_ЧАС!F824,БАЛАНС_ДЕНЬ_ЧАС!F832,БАЛАНС_ДЕНЬ_ЧАС!F840,БАЛАНС_ДЕНЬ_ЧАС!F848)</f>
        <v>7.7</v>
      </c>
      <c r="K37" s="12" t="n">
        <f aca="false">ПАРАМЕТРЫ!D25</f>
        <v>15</v>
      </c>
      <c r="L37" s="12" t="n">
        <f aca="false">MAX(БАЛАНС_ДЕНЬ_ЧАС!I16,БАЛАНС_ДЕНЬ_ЧАС!I24,БАЛАНС_ДЕНЬ_ЧАС!I32,БАЛАНС_ДЕНЬ_ЧАС!I40,БАЛАНС_ДЕНЬ_ЧАС!I48,БАЛАНС_ДЕНЬ_ЧАС!I56,БАЛАНС_ДЕНЬ_ЧАС!I64,БАЛАНС_ДЕНЬ_ЧАС!I72,БАЛАНС_ДЕНЬ_ЧАС!I80,БАЛАНС_ДЕНЬ_ЧАС!I88,БАЛАНС_ДЕНЬ_ЧАС!I96,БАЛАНС_ДЕНЬ_ЧАС!I104,БАЛАНС_ДЕНЬ_ЧАС!I112,БАЛАНС_ДЕНЬ_ЧАС!I120,БАЛАНС_ДЕНЬ_ЧАС!I128,БАЛАНС_ДЕНЬ_ЧАС!I136,БАЛАНС_ДЕНЬ_ЧАС!I144,БАЛАНС_ДЕНЬ_ЧАС!I152,БАЛАНС_ДЕНЬ_ЧАС!I160,БАЛАНС_ДЕНЬ_ЧАС!I168,БАЛАНС_ДЕНЬ_ЧАС!I176,БАЛАНС_ДЕНЬ_ЧАС!I184,БАЛАНС_ДЕНЬ_ЧАС!I192,БАЛАНС_ДЕНЬ_ЧАС!I200,БАЛАНС_ДЕНЬ_ЧАС!I208,БАЛАНС_ДЕНЬ_ЧАС!I216,БАЛАНС_ДЕНЬ_ЧАС!I224,БАЛАНС_ДЕНЬ_ЧАС!I232,БАЛАНС_ДЕНЬ_ЧАС!I240,БАЛАНС_ДЕНЬ_ЧАС!I248,БАЛАНС_ДЕНЬ_ЧАС!I256,БАЛАНС_ДЕНЬ_ЧАС!I264,БАЛАНС_ДЕНЬ_ЧАС!I272,БАЛАНС_ДЕНЬ_ЧАС!I280,БАЛАНС_ДЕНЬ_ЧАС!I288,БАЛАНС_ДЕНЬ_ЧАС!I296,БАЛАНС_ДЕНЬ_ЧАС!I304,БАЛАНС_ДЕНЬ_ЧАС!I312,БАЛАНС_ДЕНЬ_ЧАС!I320,БАЛАНС_ДЕНЬ_ЧАС!I328,БАЛАНС_ДЕНЬ_ЧАС!I336,БАЛАНС_ДЕНЬ_ЧАС!I344,БАЛАНС_ДЕНЬ_ЧАС!I352,БАЛАНС_ДЕНЬ_ЧАС!I360,БАЛАНС_ДЕНЬ_ЧАС!I368,БАЛАНС_ДЕНЬ_ЧАС!I376,БАЛАНС_ДЕНЬ_ЧАС!I384,БАЛАНС_ДЕНЬ_ЧАС!I392,БАЛАНС_ДЕНЬ_ЧАС!I400,БАЛАНС_ДЕНЬ_ЧАС!I408,БАЛАНС_ДЕНЬ_ЧАС!I416,БАЛАНС_ДЕНЬ_ЧАС!I424,БАЛАНС_ДЕНЬ_ЧАС!I432,БАЛАНС_ДЕНЬ_ЧАС!I440,БАЛАНС_ДЕНЬ_ЧАС!I448,БАЛАНС_ДЕНЬ_ЧАС!I456,БАЛАНС_ДЕНЬ_ЧАС!I464,БАЛАНС_ДЕНЬ_ЧАС!I472,БАЛАНС_ДЕНЬ_ЧАС!I480,БАЛАНС_ДЕНЬ_ЧАС!I488,БАЛАНС_ДЕНЬ_ЧАС!I496,БАЛАНС_ДЕНЬ_ЧАС!I504,БАЛАНС_ДЕНЬ_ЧАС!I512,БАЛАНС_ДЕНЬ_ЧАС!I520,БАЛАНС_ДЕНЬ_ЧАС!I528,БАЛАНС_ДЕНЬ_ЧАС!I536,БАЛАНС_ДЕНЬ_ЧАС!I544,БАЛАНС_ДЕНЬ_ЧАС!I552,БАЛАНС_ДЕНЬ_ЧАС!I560,БАЛАНС_ДЕНЬ_ЧАС!I568,БАЛАНС_ДЕНЬ_ЧАС!I576,БАЛАНС_ДЕНЬ_ЧАС!I584,БАЛАНС_ДЕНЬ_ЧАС!I592,БАЛАНС_ДЕНЬ_ЧАС!I600,БАЛАНС_ДЕНЬ_ЧАС!I608,БАЛАНС_ДЕНЬ_ЧАС!I616,БАЛАНС_ДЕНЬ_ЧАС!I624,БАЛАНС_ДЕНЬ_ЧАС!I632,БАЛАНС_ДЕНЬ_ЧАС!I640,БАЛАНС_ДЕНЬ_ЧАС!I648,БАЛАНС_ДЕНЬ_ЧАС!I656,БАЛАНС_ДЕНЬ_ЧАС!I664,БАЛАНС_ДЕНЬ_ЧАС!I672,БАЛАНС_ДЕНЬ_ЧАС!I680,БАЛАНС_ДЕНЬ_ЧАС!I688,БАЛАНС_ДЕНЬ_ЧАС!I696,БАЛАНС_ДЕНЬ_ЧАС!I704,БАЛАНС_ДЕНЬ_ЧАС!I712,БАЛАНС_ДЕНЬ_ЧАС!I720,БАЛАНС_ДЕНЬ_ЧАС!I728,БАЛАНС_ДЕНЬ_ЧАС!I736,БАЛАНС_ДЕНЬ_ЧАС!I744,БАЛАНС_ДЕНЬ_ЧАС!I752,БАЛАНС_ДЕНЬ_ЧАС!I760,БАЛАНС_ДЕНЬ_ЧАС!I768,БАЛАНС_ДЕНЬ_ЧАС!I776,БАЛАНС_ДЕНЬ_ЧАС!I784,БАЛАНС_ДЕНЬ_ЧАС!I792,БАЛАНС_ДЕНЬ_ЧАС!I800,БАЛАНС_ДЕНЬ_ЧАС!I808,БАЛАНС_ДЕНЬ_ЧАС!I816,БАЛАНС_ДЕНЬ_ЧАС!I824,БАЛАНС_ДЕНЬ_ЧАС!I832,БАЛАНС_ДЕНЬ_ЧАС!I840,БАЛАНС_ДЕНЬ_ЧАС!I848)</f>
        <v>10</v>
      </c>
      <c r="M37" s="12" t="n">
        <f aca="false">MAX(БАЛАНС_ДЕНЬ_ЧАС!J16,БАЛАНС_ДЕНЬ_ЧАС!J24,БАЛАНС_ДЕНЬ_ЧАС!J32,БАЛАНС_ДЕНЬ_ЧАС!J40,БАЛАНС_ДЕНЬ_ЧАС!J48,БАЛАНС_ДЕНЬ_ЧАС!J56,БАЛАНС_ДЕНЬ_ЧАС!J64,БАЛАНС_ДЕНЬ_ЧАС!J72,БАЛАНС_ДЕНЬ_ЧАС!J80,БАЛАНС_ДЕНЬ_ЧАС!J88,БАЛАНС_ДЕНЬ_ЧАС!J96,БАЛАНС_ДЕНЬ_ЧАС!J104,БАЛАНС_ДЕНЬ_ЧАС!J112,БАЛАНС_ДЕНЬ_ЧАС!J120,БАЛАНС_ДЕНЬ_ЧАС!J128,БАЛАНС_ДЕНЬ_ЧАС!J136,БАЛАНС_ДЕНЬ_ЧАС!J144,БАЛАНС_ДЕНЬ_ЧАС!J152,БАЛАНС_ДЕНЬ_ЧАС!J160,БАЛАНС_ДЕНЬ_ЧАС!J168,БАЛАНС_ДЕНЬ_ЧАС!J176,БАЛАНС_ДЕНЬ_ЧАС!J184,БАЛАНС_ДЕНЬ_ЧАС!J192,БАЛАНС_ДЕНЬ_ЧАС!J200,БАЛАНС_ДЕНЬ_ЧАС!J208,БАЛАНС_ДЕНЬ_ЧАС!J216,БАЛАНС_ДЕНЬ_ЧАС!J224,БАЛАНС_ДЕНЬ_ЧАС!J232,БАЛАНС_ДЕНЬ_ЧАС!J240,БАЛАНС_ДЕНЬ_ЧАС!J248,БАЛАНС_ДЕНЬ_ЧАС!J256,БАЛАНС_ДЕНЬ_ЧАС!J264,БАЛАНС_ДЕНЬ_ЧАС!J272,БАЛАНС_ДЕНЬ_ЧАС!J280,БАЛАНС_ДЕНЬ_ЧАС!J288,БАЛАНС_ДЕНЬ_ЧАС!J296,БАЛАНС_ДЕНЬ_ЧАС!J304,БАЛАНС_ДЕНЬ_ЧАС!J312,БАЛАНС_ДЕНЬ_ЧАС!J320,БАЛАНС_ДЕНЬ_ЧАС!J328,БАЛАНС_ДЕНЬ_ЧАС!J336,БАЛАНС_ДЕНЬ_ЧАС!J344,БАЛАНС_ДЕНЬ_ЧАС!J352,БАЛАНС_ДЕНЬ_ЧАС!J360,БАЛАНС_ДЕНЬ_ЧАС!J368,БАЛАНС_ДЕНЬ_ЧАС!J376,БАЛАНС_ДЕНЬ_ЧАС!J384,БАЛАНС_ДЕНЬ_ЧАС!J392,БАЛАНС_ДЕНЬ_ЧАС!J400,БАЛАНС_ДЕНЬ_ЧАС!J408,БАЛАНС_ДЕНЬ_ЧАС!J416,БАЛАНС_ДЕНЬ_ЧАС!J424,БАЛАНС_ДЕНЬ_ЧАС!J432,БАЛАНС_ДЕНЬ_ЧАС!J440,БАЛАНС_ДЕНЬ_ЧАС!J448,БАЛАНС_ДЕНЬ_ЧАС!J456,БАЛАНС_ДЕНЬ_ЧАС!J464,БАЛАНС_ДЕНЬ_ЧАС!J472,БАЛАНС_ДЕНЬ_ЧАС!J480,БАЛАНС_ДЕНЬ_ЧАС!J488,БАЛАНС_ДЕНЬ_ЧАС!J496,БАЛАНС_ДЕНЬ_ЧАС!J504,БАЛАНС_ДЕНЬ_ЧАС!J512,БАЛАНС_ДЕНЬ_ЧАС!J520,БАЛАНС_ДЕНЬ_ЧАС!J528,БАЛАНС_ДЕНЬ_ЧАС!J536,БАЛАНС_ДЕНЬ_ЧАС!J544,БАЛАНС_ДЕНЬ_ЧАС!J552,БАЛАНС_ДЕНЬ_ЧАС!J560,БАЛАНС_ДЕНЬ_ЧАС!J568,БАЛАНС_ДЕНЬ_ЧАС!J576,БАЛАНС_ДЕНЬ_ЧАС!J584,БАЛАНС_ДЕНЬ_ЧАС!J592,БАЛАНС_ДЕНЬ_ЧАС!J600,БАЛАНС_ДЕНЬ_ЧАС!J608,БАЛАНС_ДЕНЬ_ЧАС!J616,БАЛАНС_ДЕНЬ_ЧАС!J624,БАЛАНС_ДЕНЬ_ЧАС!J632,БАЛАНС_ДЕНЬ_ЧАС!J640,БАЛАНС_ДЕНЬ_ЧАС!J648,БАЛАНС_ДЕНЬ_ЧАС!J656,БАЛАНС_ДЕНЬ_ЧАС!J664,БАЛАНС_ДЕНЬ_ЧАС!J672,БАЛАНС_ДЕНЬ_ЧАС!J680,БАЛАНС_ДЕНЬ_ЧАС!J688,БАЛАНС_ДЕНЬ_ЧАС!J696,БАЛАНС_ДЕНЬ_ЧАС!J704,БАЛАНС_ДЕНЬ_ЧАС!J712,БАЛАНС_ДЕНЬ_ЧАС!J720,БАЛАНС_ДЕНЬ_ЧАС!J728,БАЛАНС_ДЕНЬ_ЧАС!J736,БАЛАНС_ДЕНЬ_ЧАС!J744,БАЛАНС_ДЕНЬ_ЧАС!J752,БАЛАНС_ДЕНЬ_ЧАС!J760,БАЛАНС_ДЕНЬ_ЧАС!J768,БАЛАНС_ДЕНЬ_ЧАС!J776,БАЛАНС_ДЕНЬ_ЧАС!J784,БАЛАНС_ДЕНЬ_ЧАС!J792,БАЛАНС_ДЕНЬ_ЧАС!J800,БАЛАНС_ДЕНЬ_ЧАС!J808,БАЛАНС_ДЕНЬ_ЧАС!J816,БАЛАНС_ДЕНЬ_ЧАС!J824,БАЛАНС_ДЕНЬ_ЧАС!J832,БАЛАНС_ДЕНЬ_ЧАС!J840,БАЛАНС_ДЕНЬ_ЧАС!J848)</f>
        <v>10</v>
      </c>
      <c r="N37" s="12" t="n">
        <f aca="false">MAX(БАЛАНС_ДЕНЬ_ЧАС!K16,БАЛАНС_ДЕНЬ_ЧАС!K24,БАЛАНС_ДЕНЬ_ЧАС!K32,БАЛАНС_ДЕНЬ_ЧАС!K40,БАЛАНС_ДЕНЬ_ЧАС!K48,БАЛАНС_ДЕНЬ_ЧАС!K56,БАЛАНС_ДЕНЬ_ЧАС!K64,БАЛАНС_ДЕНЬ_ЧАС!K72,БАЛАНС_ДЕНЬ_ЧАС!K80,БАЛАНС_ДЕНЬ_ЧАС!K88,БАЛАНС_ДЕНЬ_ЧАС!K96,БАЛАНС_ДЕНЬ_ЧАС!K104,БАЛАНС_ДЕНЬ_ЧАС!K112,БАЛАНС_ДЕНЬ_ЧАС!K120,БАЛАНС_ДЕНЬ_ЧАС!K128,БАЛАНС_ДЕНЬ_ЧАС!K136,БАЛАНС_ДЕНЬ_ЧАС!K144,БАЛАНС_ДЕНЬ_ЧАС!K152,БАЛАНС_ДЕНЬ_ЧАС!K160,БАЛАНС_ДЕНЬ_ЧАС!K168,БАЛАНС_ДЕНЬ_ЧАС!K176,БАЛАНС_ДЕНЬ_ЧАС!K184,БАЛАНС_ДЕНЬ_ЧАС!K192,БАЛАНС_ДЕНЬ_ЧАС!K200,БАЛАНС_ДЕНЬ_ЧАС!K208,БАЛАНС_ДЕНЬ_ЧАС!K216,БАЛАНС_ДЕНЬ_ЧАС!K224,БАЛАНС_ДЕНЬ_ЧАС!K232,БАЛАНС_ДЕНЬ_ЧАС!K240,БАЛАНС_ДЕНЬ_ЧАС!K248,БАЛАНС_ДЕНЬ_ЧАС!K256,БАЛАНС_ДЕНЬ_ЧАС!K264,БАЛАНС_ДЕНЬ_ЧАС!K272,БАЛАНС_ДЕНЬ_ЧАС!K280,БАЛАНС_ДЕНЬ_ЧАС!K288,БАЛАНС_ДЕНЬ_ЧАС!K296,БАЛАНС_ДЕНЬ_ЧАС!K304,БАЛАНС_ДЕНЬ_ЧАС!K312,БАЛАНС_ДЕНЬ_ЧАС!K320,БАЛАНС_ДЕНЬ_ЧАС!K328,БАЛАНС_ДЕНЬ_ЧАС!K336,БАЛАНС_ДЕНЬ_ЧАС!K344,БАЛАНС_ДЕНЬ_ЧАС!K352,БАЛАНС_ДЕНЬ_ЧАС!K360,БАЛАНС_ДЕНЬ_ЧАС!K368,БАЛАНС_ДЕНЬ_ЧАС!K376,БАЛАНС_ДЕНЬ_ЧАС!K384,БАЛАНС_ДЕНЬ_ЧАС!K392,БАЛАНС_ДЕНЬ_ЧАС!K400,БАЛАНС_ДЕНЬ_ЧАС!K408,БАЛАНС_ДЕНЬ_ЧАС!K416,БАЛАНС_ДЕНЬ_ЧАС!K424,БАЛАНС_ДЕНЬ_ЧАС!K432,БАЛАНС_ДЕНЬ_ЧАС!K440,БАЛАНС_ДЕНЬ_ЧАС!K448,БАЛАНС_ДЕНЬ_ЧАС!K456,БАЛАНС_ДЕНЬ_ЧАС!K464,БАЛАНС_ДЕНЬ_ЧАС!K472,БАЛАНС_ДЕНЬ_ЧАС!K480,БАЛАНС_ДЕНЬ_ЧАС!K488,БАЛАНС_ДЕНЬ_ЧАС!K496,БАЛАНС_ДЕНЬ_ЧАС!K504,БАЛАНС_ДЕНЬ_ЧАС!K512,БАЛАНС_ДЕНЬ_ЧАС!K520,БАЛАНС_ДЕНЬ_ЧАС!K528,БАЛАНС_ДЕНЬ_ЧАС!K536,БАЛАНС_ДЕНЬ_ЧАС!K544,БАЛАНС_ДЕНЬ_ЧАС!K552,БАЛАНС_ДЕНЬ_ЧАС!K560,БАЛАНС_ДЕНЬ_ЧАС!K568,БАЛАНС_ДЕНЬ_ЧАС!K576,БАЛАНС_ДЕНЬ_ЧАС!K584,БАЛАНС_ДЕНЬ_ЧАС!K592,БАЛАНС_ДЕНЬ_ЧАС!K600,БАЛАНС_ДЕНЬ_ЧАС!K608,БАЛАНС_ДЕНЬ_ЧАС!K616,БАЛАНС_ДЕНЬ_ЧАС!K624,БАЛАНС_ДЕНЬ_ЧАС!K632,БАЛАНС_ДЕНЬ_ЧАС!K640,БАЛАНС_ДЕНЬ_ЧАС!K648,БАЛАНС_ДЕНЬ_ЧАС!K656,БАЛАНС_ДЕНЬ_ЧАС!K664,БАЛАНС_ДЕНЬ_ЧАС!K672,БАЛАНС_ДЕНЬ_ЧАС!K680,БАЛАНС_ДЕНЬ_ЧАС!K688,БАЛАНС_ДЕНЬ_ЧАС!K696,БАЛАНС_ДЕНЬ_ЧАС!K704,БАЛАНС_ДЕНЬ_ЧАС!K712,БАЛАНС_ДЕНЬ_ЧАС!K720,БАЛАНС_ДЕНЬ_ЧАС!K728,БАЛАНС_ДЕНЬ_ЧАС!K736,БАЛАНС_ДЕНЬ_ЧАС!K744,БАЛАНС_ДЕНЬ_ЧАС!K752,БАЛАНС_ДЕНЬ_ЧАС!K760,БАЛАНС_ДЕНЬ_ЧАС!K768,БАЛАНС_ДЕНЬ_ЧАС!K776,БАЛАНС_ДЕНЬ_ЧАС!K784,БАЛАНС_ДЕНЬ_ЧАС!K792,БАЛАНС_ДЕНЬ_ЧАС!K800,БАЛАНС_ДЕНЬ_ЧАС!K808,БАЛАНС_ДЕНЬ_ЧАС!K816,БАЛАНС_ДЕНЬ_ЧАС!K824,БАЛАНС_ДЕНЬ_ЧАС!K832,БАЛАНС_ДЕНЬ_ЧАС!K840,БАЛАНС_ДЕНЬ_ЧАС!K848)</f>
        <v>0</v>
      </c>
      <c r="O37" s="11" t="str">
        <f aca="false">IF(N37&gt;0,"BLOCKED","PASS")</f>
        <v>PASS</v>
      </c>
      <c r="P37" s="11" t="s">
        <v>145</v>
      </c>
    </row>
    <row r="38" customFormat="false" ht="15" hidden="false" customHeight="false" outlineLevel="0" collapsed="false">
      <c r="A38" s="11" t="n">
        <v>28</v>
      </c>
      <c r="B38" s="11" t="s">
        <v>89</v>
      </c>
      <c r="C38" s="11" t="s">
        <v>184</v>
      </c>
      <c r="D38" s="11" t="s">
        <v>88</v>
      </c>
      <c r="E38" s="12" t="n">
        <v>355</v>
      </c>
      <c r="F38" s="12" t="n">
        <f aca="false">SUMIF(СПРОС_ДЕНЬ_ЧАС_МЕНЮ!$C$11:$C$3265,A38,СПРОС_ДЕНЬ_ЧАС_МЕНЮ!$I$11:$I$3265)</f>
        <v>38.5</v>
      </c>
      <c r="G38" s="12" t="n">
        <f aca="false">MAX(СПРОС_ДЕНЬ_ЧАС_МЕНЮ!I38,СПРОС_ДЕНЬ_ЧАС_МЕНЮ!I69,СПРОС_ДЕНЬ_ЧАС_МЕНЮ!I100,СПРОС_ДЕНЬ_ЧАС_МЕНЮ!I131,СПРОС_ДЕНЬ_ЧАС_МЕНЮ!I162,СПРОС_ДЕНЬ_ЧАС_МЕНЮ!I193,СПРОС_ДЕНЬ_ЧАС_МЕНЮ!I224,СПРОС_ДЕНЬ_ЧАС_МЕНЮ!I255,СПРОС_ДЕНЬ_ЧАС_МЕНЮ!I286,СПРОС_ДЕНЬ_ЧАС_МЕНЮ!I317,СПРОС_ДЕНЬ_ЧАС_МЕНЮ!I348,СПРОС_ДЕНЬ_ЧАС_МЕНЮ!I379,СПРОС_ДЕНЬ_ЧАС_МЕНЮ!I410,СПРОС_ДЕНЬ_ЧАС_МЕНЮ!I441,СПРОС_ДЕНЬ_ЧАС_МЕНЮ!I472,СПРОС_ДЕНЬ_ЧАС_МЕНЮ!I503,СПРОС_ДЕНЬ_ЧАС_МЕНЮ!I534,СПРОС_ДЕНЬ_ЧАС_МЕНЮ!I565,СПРОС_ДЕНЬ_ЧАС_МЕНЮ!I596,СПРОС_ДЕНЬ_ЧАС_МЕНЮ!I627,СПРОС_ДЕНЬ_ЧАС_МЕНЮ!I658,СПРОС_ДЕНЬ_ЧАС_МЕНЮ!I689,СПРОС_ДЕНЬ_ЧАС_МЕНЮ!I720,СПРОС_ДЕНЬ_ЧАС_МЕНЮ!I751,СПРОС_ДЕНЬ_ЧАС_МЕНЮ!I782,СПРОС_ДЕНЬ_ЧАС_МЕНЮ!I813,СПРОС_ДЕНЬ_ЧАС_МЕНЮ!I844,СПРОС_ДЕНЬ_ЧАС_МЕНЮ!I875,СПРОС_ДЕНЬ_ЧАС_МЕНЮ!I906,СПРОС_ДЕНЬ_ЧАС_МЕНЮ!I937,СПРОС_ДЕНЬ_ЧАС_МЕНЮ!I968,СПРОС_ДЕНЬ_ЧАС_МЕНЮ!I999,СПРОС_ДЕНЬ_ЧАС_МЕНЮ!I1030,СПРОС_ДЕНЬ_ЧАС_МЕНЮ!I1061,СПРОС_ДЕНЬ_ЧАС_МЕНЮ!I1092,СПРОС_ДЕНЬ_ЧАС_МЕНЮ!I1123,СПРОС_ДЕНЬ_ЧАС_МЕНЮ!I1154,СПРОС_ДЕНЬ_ЧАС_МЕНЮ!I1185,СПРОС_ДЕНЬ_ЧАС_МЕНЮ!I1216,СПРОС_ДЕНЬ_ЧАС_МЕНЮ!I1247,СПРОС_ДЕНЬ_ЧАС_МЕНЮ!I1278,СПРОС_ДЕНЬ_ЧАС_МЕНЮ!I1309,СПРОС_ДЕНЬ_ЧАС_МЕНЮ!I1340,СПРОС_ДЕНЬ_ЧАС_МЕНЮ!I1371,СПРОС_ДЕНЬ_ЧАС_МЕНЮ!I1402,СПРОС_ДЕНЬ_ЧАС_МЕНЮ!I1433,СПРОС_ДЕНЬ_ЧАС_МЕНЮ!I1464,СПРОС_ДЕНЬ_ЧАС_МЕНЮ!I1495,СПРОС_ДЕНЬ_ЧАС_МЕНЮ!I1526,СПРОС_ДЕНЬ_ЧАС_МЕНЮ!I1557,СПРОС_ДЕНЬ_ЧАС_МЕНЮ!I1588,СПРОС_ДЕНЬ_ЧАС_МЕНЮ!I1619,СПРОС_ДЕНЬ_ЧАС_МЕНЮ!I1650,СПРОС_ДЕНЬ_ЧАС_МЕНЮ!I1681,СПРОС_ДЕНЬ_ЧАС_МЕНЮ!I1712,СПРОС_ДЕНЬ_ЧАС_МЕНЮ!I1743,СПРОС_ДЕНЬ_ЧАС_МЕНЮ!I1774,СПРОС_ДЕНЬ_ЧАС_МЕНЮ!I1805,СПРОС_ДЕНЬ_ЧАС_МЕНЮ!I1836,СПРОС_ДЕНЬ_ЧАС_МЕНЮ!I1867,СПРОС_ДЕНЬ_ЧАС_МЕНЮ!I1898,СПРОС_ДЕНЬ_ЧАС_МЕНЮ!I1929,СПРОС_ДЕНЬ_ЧАС_МЕНЮ!I1960,СПРОС_ДЕНЬ_ЧАС_МЕНЮ!I1991,СПРОС_ДЕНЬ_ЧАС_МЕНЮ!I2022,СПРОС_ДЕНЬ_ЧАС_МЕНЮ!I2053,СПРОС_ДЕНЬ_ЧАС_МЕНЮ!I2084,СПРОС_ДЕНЬ_ЧАС_МЕНЮ!I2115,СПРОС_ДЕНЬ_ЧАС_МЕНЮ!I2146,СПРОС_ДЕНЬ_ЧАС_МЕНЮ!I2177,СПРОС_ДЕНЬ_ЧАС_МЕНЮ!I2208,СПРОС_ДЕНЬ_ЧАС_МЕНЮ!I2239,СПРОС_ДЕНЬ_ЧАС_МЕНЮ!I2270,СПРОС_ДЕНЬ_ЧАС_МЕНЮ!I2301,СПРОС_ДЕНЬ_ЧАС_МЕНЮ!I2332,СПРОС_ДЕНЬ_ЧАС_МЕНЮ!I2363,СПРОС_ДЕНЬ_ЧАС_МЕНЮ!I2394,СПРОС_ДЕНЬ_ЧАС_МЕНЮ!I2425,СПРОС_ДЕНЬ_ЧАС_МЕНЮ!I2456,СПРОС_ДЕНЬ_ЧАС_МЕНЮ!I2487,СПРОС_ДЕНЬ_ЧАС_МЕНЮ!I2518,СПРОС_ДЕНЬ_ЧАС_МЕНЮ!I2549,СПРОС_ДЕНЬ_ЧАС_МЕНЮ!I2580,СПРОС_ДЕНЬ_ЧАС_МЕНЮ!I2611,СПРОС_ДЕНЬ_ЧАС_МЕНЮ!I2642,СПРОС_ДЕНЬ_ЧАС_МЕНЮ!I2673,СПРОС_ДЕНЬ_ЧАС_МЕНЮ!I2704,СПРОС_ДЕНЬ_ЧАС_МЕНЮ!I2735,СПРОС_ДЕНЬ_ЧАС_МЕНЮ!I2766,СПРОС_ДЕНЬ_ЧАС_МЕНЮ!I2797,СПРОС_ДЕНЬ_ЧАС_МЕНЮ!I2828,СПРОС_ДЕНЬ_ЧАС_МЕНЮ!I2859,СПРОС_ДЕНЬ_ЧАС_МЕНЮ!I2890,СПРОС_ДЕНЬ_ЧАС_МЕНЮ!I2921,СПРОС_ДЕНЬ_ЧАС_МЕНЮ!I2952,СПРОС_ДЕНЬ_ЧАС_МЕНЮ!I2983,СПРОС_ДЕНЬ_ЧАС_МЕНЮ!I3014,СПРОС_ДЕНЬ_ЧАС_МЕНЮ!I3045,СПРОС_ДЕНЬ_ЧАС_МЕНЮ!I3076,СПРОС_ДЕНЬ_ЧАС_МЕНЮ!I3107,СПРОС_ДЕНЬ_ЧАС_МЕНЮ!I3138,СПРОС_ДЕНЬ_ЧАС_МЕНЮ!I3169,СПРОС_ДЕНЬ_ЧАС_МЕНЮ!I3200,СПРОС_ДЕНЬ_ЧАС_МЕНЮ!I3231,СПРОС_ДЕНЬ_ЧАС_МЕНЮ!I3262)</f>
        <v>1.925</v>
      </c>
      <c r="H38" s="12" t="s">
        <v>107</v>
      </c>
      <c r="I38" s="12" t="s">
        <v>125</v>
      </c>
      <c r="J38" s="12" t="n">
        <f aca="false">MAX(БАЛАНС_ДЕНЬ_ЧАС!F16,БАЛАНС_ДЕНЬ_ЧАС!F24,БАЛАНС_ДЕНЬ_ЧАС!F32,БАЛАНС_ДЕНЬ_ЧАС!F40,БАЛАНС_ДЕНЬ_ЧАС!F48,БАЛАНС_ДЕНЬ_ЧАС!F56,БАЛАНС_ДЕНЬ_ЧАС!F64,БАЛАНС_ДЕНЬ_ЧАС!F72,БАЛАНС_ДЕНЬ_ЧАС!F80,БАЛАНС_ДЕНЬ_ЧАС!F88,БАЛАНС_ДЕНЬ_ЧАС!F96,БАЛАНС_ДЕНЬ_ЧАС!F104,БАЛАНС_ДЕНЬ_ЧАС!F112,БАЛАНС_ДЕНЬ_ЧАС!F120,БАЛАНС_ДЕНЬ_ЧАС!F128,БАЛАНС_ДЕНЬ_ЧАС!F136,БАЛАНС_ДЕНЬ_ЧАС!F144,БАЛАНС_ДЕНЬ_ЧАС!F152,БАЛАНС_ДЕНЬ_ЧАС!F160,БАЛАНС_ДЕНЬ_ЧАС!F168,БАЛАНС_ДЕНЬ_ЧАС!F176,БАЛАНС_ДЕНЬ_ЧАС!F184,БАЛАНС_ДЕНЬ_ЧАС!F192,БАЛАНС_ДЕНЬ_ЧАС!F200,БАЛАНС_ДЕНЬ_ЧАС!F208,БАЛАНС_ДЕНЬ_ЧАС!F216,БАЛАНС_ДЕНЬ_ЧАС!F224,БАЛАНС_ДЕНЬ_ЧАС!F232,БАЛАНС_ДЕНЬ_ЧАС!F240,БАЛАНС_ДЕНЬ_ЧАС!F248,БАЛАНС_ДЕНЬ_ЧАС!F256,БАЛАНС_ДЕНЬ_ЧАС!F264,БАЛАНС_ДЕНЬ_ЧАС!F272,БАЛАНС_ДЕНЬ_ЧАС!F280,БАЛАНС_ДЕНЬ_ЧАС!F288,БАЛАНС_ДЕНЬ_ЧАС!F296,БАЛАНС_ДЕНЬ_ЧАС!F304,БАЛАНС_ДЕНЬ_ЧАС!F312,БАЛАНС_ДЕНЬ_ЧАС!F320,БАЛАНС_ДЕНЬ_ЧАС!F328,БАЛАНС_ДЕНЬ_ЧАС!F336,БАЛАНС_ДЕНЬ_ЧАС!F344,БАЛАНС_ДЕНЬ_ЧАС!F352,БАЛАНС_ДЕНЬ_ЧАС!F360,БАЛАНС_ДЕНЬ_ЧАС!F368,БАЛАНС_ДЕНЬ_ЧАС!F376,БАЛАНС_ДЕНЬ_ЧАС!F384,БАЛАНС_ДЕНЬ_ЧАС!F392,БАЛАНС_ДЕНЬ_ЧАС!F400,БАЛАНС_ДЕНЬ_ЧАС!F408,БАЛАНС_ДЕНЬ_ЧАС!F416,БАЛАНС_ДЕНЬ_ЧАС!F424,БАЛАНС_ДЕНЬ_ЧАС!F432,БАЛАНС_ДЕНЬ_ЧАС!F440,БАЛАНС_ДЕНЬ_ЧАС!F448,БАЛАНС_ДЕНЬ_ЧАС!F456,БАЛАНС_ДЕНЬ_ЧАС!F464,БАЛАНС_ДЕНЬ_ЧАС!F472,БАЛАНС_ДЕНЬ_ЧАС!F480,БАЛАНС_ДЕНЬ_ЧАС!F488,БАЛАНС_ДЕНЬ_ЧАС!F496,БАЛАНС_ДЕНЬ_ЧАС!F504,БАЛАНС_ДЕНЬ_ЧАС!F512,БАЛАНС_ДЕНЬ_ЧАС!F520,БАЛАНС_ДЕНЬ_ЧАС!F528,БАЛАНС_ДЕНЬ_ЧАС!F536,БАЛАНС_ДЕНЬ_ЧАС!F544,БАЛАНС_ДЕНЬ_ЧАС!F552,БАЛАНС_ДЕНЬ_ЧАС!F560,БАЛАНС_ДЕНЬ_ЧАС!F568,БАЛАНС_ДЕНЬ_ЧАС!F576,БАЛАНС_ДЕНЬ_ЧАС!F584,БАЛАНС_ДЕНЬ_ЧАС!F592,БАЛАНС_ДЕНЬ_ЧАС!F600,БАЛАНС_ДЕНЬ_ЧАС!F608,БАЛАНС_ДЕНЬ_ЧАС!F616,БАЛАНС_ДЕНЬ_ЧАС!F624,БАЛАНС_ДЕНЬ_ЧАС!F632,БАЛАНС_ДЕНЬ_ЧАС!F640,БАЛАНС_ДЕНЬ_ЧАС!F648,БАЛАНС_ДЕНЬ_ЧАС!F656,БАЛАНС_ДЕНЬ_ЧАС!F664,БАЛАНС_ДЕНЬ_ЧАС!F672,БАЛАНС_ДЕНЬ_ЧАС!F680,БАЛАНС_ДЕНЬ_ЧАС!F688,БАЛАНС_ДЕНЬ_ЧАС!F696,БАЛАНС_ДЕНЬ_ЧАС!F704,БАЛАНС_ДЕНЬ_ЧАС!F712,БАЛАНС_ДЕНЬ_ЧАС!F720,БАЛАНС_ДЕНЬ_ЧАС!F728,БАЛАНС_ДЕНЬ_ЧАС!F736,БАЛАНС_ДЕНЬ_ЧАС!F744,БАЛАНС_ДЕНЬ_ЧАС!F752,БАЛАНС_ДЕНЬ_ЧАС!F760,БАЛАНС_ДЕНЬ_ЧАС!F768,БАЛАНС_ДЕНЬ_ЧАС!F776,БАЛАНС_ДЕНЬ_ЧАС!F784,БАЛАНС_ДЕНЬ_ЧАС!F792,БАЛАНС_ДЕНЬ_ЧАС!F800,БАЛАНС_ДЕНЬ_ЧАС!F808,БАЛАНС_ДЕНЬ_ЧАС!F816,БАЛАНС_ДЕНЬ_ЧАС!F824,БАЛАНС_ДЕНЬ_ЧАС!F832,БАЛАНС_ДЕНЬ_ЧАС!F840,БАЛАНС_ДЕНЬ_ЧАС!F848)</f>
        <v>7.7</v>
      </c>
      <c r="K38" s="12" t="n">
        <f aca="false">ПАРАМЕТРЫ!D25</f>
        <v>15</v>
      </c>
      <c r="L38" s="12" t="n">
        <f aca="false">MAX(БАЛАНС_ДЕНЬ_ЧАС!I16,БАЛАНС_ДЕНЬ_ЧАС!I24,БАЛАНС_ДЕНЬ_ЧАС!I32,БАЛАНС_ДЕНЬ_ЧАС!I40,БАЛАНС_ДЕНЬ_ЧАС!I48,БАЛАНС_ДЕНЬ_ЧАС!I56,БАЛАНС_ДЕНЬ_ЧАС!I64,БАЛАНС_ДЕНЬ_ЧАС!I72,БАЛАНС_ДЕНЬ_ЧАС!I80,БАЛАНС_ДЕНЬ_ЧАС!I88,БАЛАНС_ДЕНЬ_ЧАС!I96,БАЛАНС_ДЕНЬ_ЧАС!I104,БАЛАНС_ДЕНЬ_ЧАС!I112,БАЛАНС_ДЕНЬ_ЧАС!I120,БАЛАНС_ДЕНЬ_ЧАС!I128,БАЛАНС_ДЕНЬ_ЧАС!I136,БАЛАНС_ДЕНЬ_ЧАС!I144,БАЛАНС_ДЕНЬ_ЧАС!I152,БАЛАНС_ДЕНЬ_ЧАС!I160,БАЛАНС_ДЕНЬ_ЧАС!I168,БАЛАНС_ДЕНЬ_ЧАС!I176,БАЛАНС_ДЕНЬ_ЧАС!I184,БАЛАНС_ДЕНЬ_ЧАС!I192,БАЛАНС_ДЕНЬ_ЧАС!I200,БАЛАНС_ДЕНЬ_ЧАС!I208,БАЛАНС_ДЕНЬ_ЧАС!I216,БАЛАНС_ДЕНЬ_ЧАС!I224,БАЛАНС_ДЕНЬ_ЧАС!I232,БАЛАНС_ДЕНЬ_ЧАС!I240,БАЛАНС_ДЕНЬ_ЧАС!I248,БАЛАНС_ДЕНЬ_ЧАС!I256,БАЛАНС_ДЕНЬ_ЧАС!I264,БАЛАНС_ДЕНЬ_ЧАС!I272,БАЛАНС_ДЕНЬ_ЧАС!I280,БАЛАНС_ДЕНЬ_ЧАС!I288,БАЛАНС_ДЕНЬ_ЧАС!I296,БАЛАНС_ДЕНЬ_ЧАС!I304,БАЛАНС_ДЕНЬ_ЧАС!I312,БАЛАНС_ДЕНЬ_ЧАС!I320,БАЛАНС_ДЕНЬ_ЧАС!I328,БАЛАНС_ДЕНЬ_ЧАС!I336,БАЛАНС_ДЕНЬ_ЧАС!I344,БАЛАНС_ДЕНЬ_ЧАС!I352,БАЛАНС_ДЕНЬ_ЧАС!I360,БАЛАНС_ДЕНЬ_ЧАС!I368,БАЛАНС_ДЕНЬ_ЧАС!I376,БАЛАНС_ДЕНЬ_ЧАС!I384,БАЛАНС_ДЕНЬ_ЧАС!I392,БАЛАНС_ДЕНЬ_ЧАС!I400,БАЛАНС_ДЕНЬ_ЧАС!I408,БАЛАНС_ДЕНЬ_ЧАС!I416,БАЛАНС_ДЕНЬ_ЧАС!I424,БАЛАНС_ДЕНЬ_ЧАС!I432,БАЛАНС_ДЕНЬ_ЧАС!I440,БАЛАНС_ДЕНЬ_ЧАС!I448,БАЛАНС_ДЕНЬ_ЧАС!I456,БАЛАНС_ДЕНЬ_ЧАС!I464,БАЛАНС_ДЕНЬ_ЧАС!I472,БАЛАНС_ДЕНЬ_ЧАС!I480,БАЛАНС_ДЕНЬ_ЧАС!I488,БАЛАНС_ДЕНЬ_ЧАС!I496,БАЛАНС_ДЕНЬ_ЧАС!I504,БАЛАНС_ДЕНЬ_ЧАС!I512,БАЛАНС_ДЕНЬ_ЧАС!I520,БАЛАНС_ДЕНЬ_ЧАС!I528,БАЛАНС_ДЕНЬ_ЧАС!I536,БАЛАНС_ДЕНЬ_ЧАС!I544,БАЛАНС_ДЕНЬ_ЧАС!I552,БАЛАНС_ДЕНЬ_ЧАС!I560,БАЛАНС_ДЕНЬ_ЧАС!I568,БАЛАНС_ДЕНЬ_ЧАС!I576,БАЛАНС_ДЕНЬ_ЧАС!I584,БАЛАНС_ДЕНЬ_ЧАС!I592,БАЛАНС_ДЕНЬ_ЧАС!I600,БАЛАНС_ДЕНЬ_ЧАС!I608,БАЛАНС_ДЕНЬ_ЧАС!I616,БАЛАНС_ДЕНЬ_ЧАС!I624,БАЛАНС_ДЕНЬ_ЧАС!I632,БАЛАНС_ДЕНЬ_ЧАС!I640,БАЛАНС_ДЕНЬ_ЧАС!I648,БАЛАНС_ДЕНЬ_ЧАС!I656,БАЛАНС_ДЕНЬ_ЧАС!I664,БАЛАНС_ДЕНЬ_ЧАС!I672,БАЛАНС_ДЕНЬ_ЧАС!I680,БАЛАНС_ДЕНЬ_ЧАС!I688,БАЛАНС_ДЕНЬ_ЧАС!I696,БАЛАНС_ДЕНЬ_ЧАС!I704,БАЛАНС_ДЕНЬ_ЧАС!I712,БАЛАНС_ДЕНЬ_ЧАС!I720,БАЛАНС_ДЕНЬ_ЧАС!I728,БАЛАНС_ДЕНЬ_ЧАС!I736,БАЛАНС_ДЕНЬ_ЧАС!I744,БАЛАНС_ДЕНЬ_ЧАС!I752,БАЛАНС_ДЕНЬ_ЧАС!I760,БАЛАНС_ДЕНЬ_ЧАС!I768,БАЛАНС_ДЕНЬ_ЧАС!I776,БАЛАНС_ДЕНЬ_ЧАС!I784,БАЛАНС_ДЕНЬ_ЧАС!I792,БАЛАНС_ДЕНЬ_ЧАС!I800,БАЛАНС_ДЕНЬ_ЧАС!I808,БАЛАНС_ДЕНЬ_ЧАС!I816,БАЛАНС_ДЕНЬ_ЧАС!I824,БАЛАНС_ДЕНЬ_ЧАС!I832,БАЛАНС_ДЕНЬ_ЧАС!I840,БАЛАНС_ДЕНЬ_ЧАС!I848)</f>
        <v>10</v>
      </c>
      <c r="M38" s="12" t="n">
        <f aca="false">MAX(БАЛАНС_ДЕНЬ_ЧАС!J16,БАЛАНС_ДЕНЬ_ЧАС!J24,БАЛАНС_ДЕНЬ_ЧАС!J32,БАЛАНС_ДЕНЬ_ЧАС!J40,БАЛАНС_ДЕНЬ_ЧАС!J48,БАЛАНС_ДЕНЬ_ЧАС!J56,БАЛАНС_ДЕНЬ_ЧАС!J64,БАЛАНС_ДЕНЬ_ЧАС!J72,БАЛАНС_ДЕНЬ_ЧАС!J80,БАЛАНС_ДЕНЬ_ЧАС!J88,БАЛАНС_ДЕНЬ_ЧАС!J96,БАЛАНС_ДЕНЬ_ЧАС!J104,БАЛАНС_ДЕНЬ_ЧАС!J112,БАЛАНС_ДЕНЬ_ЧАС!J120,БАЛАНС_ДЕНЬ_ЧАС!J128,БАЛАНС_ДЕНЬ_ЧАС!J136,БАЛАНС_ДЕНЬ_ЧАС!J144,БАЛАНС_ДЕНЬ_ЧАС!J152,БАЛАНС_ДЕНЬ_ЧАС!J160,БАЛАНС_ДЕНЬ_ЧАС!J168,БАЛАНС_ДЕНЬ_ЧАС!J176,БАЛАНС_ДЕНЬ_ЧАС!J184,БАЛАНС_ДЕНЬ_ЧАС!J192,БАЛАНС_ДЕНЬ_ЧАС!J200,БАЛАНС_ДЕНЬ_ЧАС!J208,БАЛАНС_ДЕНЬ_ЧАС!J216,БАЛАНС_ДЕНЬ_ЧАС!J224,БАЛАНС_ДЕНЬ_ЧАС!J232,БАЛАНС_ДЕНЬ_ЧАС!J240,БАЛАНС_ДЕНЬ_ЧАС!J248,БАЛАНС_ДЕНЬ_ЧАС!J256,БАЛАНС_ДЕНЬ_ЧАС!J264,БАЛАНС_ДЕНЬ_ЧАС!J272,БАЛАНС_ДЕНЬ_ЧАС!J280,БАЛАНС_ДЕНЬ_ЧАС!J288,БАЛАНС_ДЕНЬ_ЧАС!J296,БАЛАНС_ДЕНЬ_ЧАС!J304,БАЛАНС_ДЕНЬ_ЧАС!J312,БАЛАНС_ДЕНЬ_ЧАС!J320,БАЛАНС_ДЕНЬ_ЧАС!J328,БАЛАНС_ДЕНЬ_ЧАС!J336,БАЛАНС_ДЕНЬ_ЧАС!J344,БАЛАНС_ДЕНЬ_ЧАС!J352,БАЛАНС_ДЕНЬ_ЧАС!J360,БАЛАНС_ДЕНЬ_ЧАС!J368,БАЛАНС_ДЕНЬ_ЧАС!J376,БАЛАНС_ДЕНЬ_ЧАС!J384,БАЛАНС_ДЕНЬ_ЧАС!J392,БАЛАНС_ДЕНЬ_ЧАС!J400,БАЛАНС_ДЕНЬ_ЧАС!J408,БАЛАНС_ДЕНЬ_ЧАС!J416,БАЛАНС_ДЕНЬ_ЧАС!J424,БАЛАНС_ДЕНЬ_ЧАС!J432,БАЛАНС_ДЕНЬ_ЧАС!J440,БАЛАНС_ДЕНЬ_ЧАС!J448,БАЛАНС_ДЕНЬ_ЧАС!J456,БАЛАНС_ДЕНЬ_ЧАС!J464,БАЛАНС_ДЕНЬ_ЧАС!J472,БАЛАНС_ДЕНЬ_ЧАС!J480,БАЛАНС_ДЕНЬ_ЧАС!J488,БАЛАНС_ДЕНЬ_ЧАС!J496,БАЛАНС_ДЕНЬ_ЧАС!J504,БАЛАНС_ДЕНЬ_ЧАС!J512,БАЛАНС_ДЕНЬ_ЧАС!J520,БАЛАНС_ДЕНЬ_ЧАС!J528,БАЛАНС_ДЕНЬ_ЧАС!J536,БАЛАНС_ДЕНЬ_ЧАС!J544,БАЛАНС_ДЕНЬ_ЧАС!J552,БАЛАНС_ДЕНЬ_ЧАС!J560,БАЛАНС_ДЕНЬ_ЧАС!J568,БАЛАНС_ДЕНЬ_ЧАС!J576,БАЛАНС_ДЕНЬ_ЧАС!J584,БАЛАНС_ДЕНЬ_ЧАС!J592,БАЛАНС_ДЕНЬ_ЧАС!J600,БАЛАНС_ДЕНЬ_ЧАС!J608,БАЛАНС_ДЕНЬ_ЧАС!J616,БАЛАНС_ДЕНЬ_ЧАС!J624,БАЛАНС_ДЕНЬ_ЧАС!J632,БАЛАНС_ДЕНЬ_ЧАС!J640,БАЛАНС_ДЕНЬ_ЧАС!J648,БАЛАНС_ДЕНЬ_ЧАС!J656,БАЛАНС_ДЕНЬ_ЧАС!J664,БАЛАНС_ДЕНЬ_ЧАС!J672,БАЛАНС_ДЕНЬ_ЧАС!J680,БАЛАНС_ДЕНЬ_ЧАС!J688,БАЛАНС_ДЕНЬ_ЧАС!J696,БАЛАНС_ДЕНЬ_ЧАС!J704,БАЛАНС_ДЕНЬ_ЧАС!J712,БАЛАНС_ДЕНЬ_ЧАС!J720,БАЛАНС_ДЕНЬ_ЧАС!J728,БАЛАНС_ДЕНЬ_ЧАС!J736,БАЛАНС_ДЕНЬ_ЧАС!J744,БАЛАНС_ДЕНЬ_ЧАС!J752,БАЛАНС_ДЕНЬ_ЧАС!J760,БАЛАНС_ДЕНЬ_ЧАС!J768,БАЛАНС_ДЕНЬ_ЧАС!J776,БАЛАНС_ДЕНЬ_ЧАС!J784,БАЛАНС_ДЕНЬ_ЧАС!J792,БАЛАНС_ДЕНЬ_ЧАС!J800,БАЛАНС_ДЕНЬ_ЧАС!J808,БАЛАНС_ДЕНЬ_ЧАС!J816,БАЛАНС_ДЕНЬ_ЧАС!J824,БАЛАНС_ДЕНЬ_ЧАС!J832,БАЛАНС_ДЕНЬ_ЧАС!J840,БАЛАНС_ДЕНЬ_ЧАС!J848)</f>
        <v>10</v>
      </c>
      <c r="N38" s="12" t="n">
        <f aca="false">MAX(БАЛАНС_ДЕНЬ_ЧАС!K16,БАЛАНС_ДЕНЬ_ЧАС!K24,БАЛАНС_ДЕНЬ_ЧАС!K32,БАЛАНС_ДЕНЬ_ЧАС!K40,БАЛАНС_ДЕНЬ_ЧАС!K48,БАЛАНС_ДЕНЬ_ЧАС!K56,БАЛАНС_ДЕНЬ_ЧАС!K64,БАЛАНС_ДЕНЬ_ЧАС!K72,БАЛАНС_ДЕНЬ_ЧАС!K80,БАЛАНС_ДЕНЬ_ЧАС!K88,БАЛАНС_ДЕНЬ_ЧАС!K96,БАЛАНС_ДЕНЬ_ЧАС!K104,БАЛАНС_ДЕНЬ_ЧАС!K112,БАЛАНС_ДЕНЬ_ЧАС!K120,БАЛАНС_ДЕНЬ_ЧАС!K128,БАЛАНС_ДЕНЬ_ЧАС!K136,БАЛАНС_ДЕНЬ_ЧАС!K144,БАЛАНС_ДЕНЬ_ЧАС!K152,БАЛАНС_ДЕНЬ_ЧАС!K160,БАЛАНС_ДЕНЬ_ЧАС!K168,БАЛАНС_ДЕНЬ_ЧАС!K176,БАЛАНС_ДЕНЬ_ЧАС!K184,БАЛАНС_ДЕНЬ_ЧАС!K192,БАЛАНС_ДЕНЬ_ЧАС!K200,БАЛАНС_ДЕНЬ_ЧАС!K208,БАЛАНС_ДЕНЬ_ЧАС!K216,БАЛАНС_ДЕНЬ_ЧАС!K224,БАЛАНС_ДЕНЬ_ЧАС!K232,БАЛАНС_ДЕНЬ_ЧАС!K240,БАЛАНС_ДЕНЬ_ЧАС!K248,БАЛАНС_ДЕНЬ_ЧАС!K256,БАЛАНС_ДЕНЬ_ЧАС!K264,БАЛАНС_ДЕНЬ_ЧАС!K272,БАЛАНС_ДЕНЬ_ЧАС!K280,БАЛАНС_ДЕНЬ_ЧАС!K288,БАЛАНС_ДЕНЬ_ЧАС!K296,БАЛАНС_ДЕНЬ_ЧАС!K304,БАЛАНС_ДЕНЬ_ЧАС!K312,БАЛАНС_ДЕНЬ_ЧАС!K320,БАЛАНС_ДЕНЬ_ЧАС!K328,БАЛАНС_ДЕНЬ_ЧАС!K336,БАЛАНС_ДЕНЬ_ЧАС!K344,БАЛАНС_ДЕНЬ_ЧАС!K352,БАЛАНС_ДЕНЬ_ЧАС!K360,БАЛАНС_ДЕНЬ_ЧАС!K368,БАЛАНС_ДЕНЬ_ЧАС!K376,БАЛАНС_ДЕНЬ_ЧАС!K384,БАЛАНС_ДЕНЬ_ЧАС!K392,БАЛАНС_ДЕНЬ_ЧАС!K400,БАЛАНС_ДЕНЬ_ЧАС!K408,БАЛАНС_ДЕНЬ_ЧАС!K416,БАЛАНС_ДЕНЬ_ЧАС!K424,БАЛАНС_ДЕНЬ_ЧАС!K432,БАЛАНС_ДЕНЬ_ЧАС!K440,БАЛАНС_ДЕНЬ_ЧАС!K448,БАЛАНС_ДЕНЬ_ЧАС!K456,БАЛАНС_ДЕНЬ_ЧАС!K464,БАЛАНС_ДЕНЬ_ЧАС!K472,БАЛАНС_ДЕНЬ_ЧАС!K480,БАЛАНС_ДЕНЬ_ЧАС!K488,БАЛАНС_ДЕНЬ_ЧАС!K496,БАЛАНС_ДЕНЬ_ЧАС!K504,БАЛАНС_ДЕНЬ_ЧАС!K512,БАЛАНС_ДЕНЬ_ЧАС!K520,БАЛАНС_ДЕНЬ_ЧАС!K528,БАЛАНС_ДЕНЬ_ЧАС!K536,БАЛАНС_ДЕНЬ_ЧАС!K544,БАЛАНС_ДЕНЬ_ЧАС!K552,БАЛАНС_ДЕНЬ_ЧАС!K560,БАЛАНС_ДЕНЬ_ЧАС!K568,БАЛАНС_ДЕНЬ_ЧАС!K576,БАЛАНС_ДЕНЬ_ЧАС!K584,БАЛАНС_ДЕНЬ_ЧАС!K592,БАЛАНС_ДЕНЬ_ЧАС!K600,БАЛАНС_ДЕНЬ_ЧАС!K608,БАЛАНС_ДЕНЬ_ЧАС!K616,БАЛАНС_ДЕНЬ_ЧАС!K624,БАЛАНС_ДЕНЬ_ЧАС!K632,БАЛАНС_ДЕНЬ_ЧАС!K640,БАЛАНС_ДЕНЬ_ЧАС!K648,БАЛАНС_ДЕНЬ_ЧАС!K656,БАЛАНС_ДЕНЬ_ЧАС!K664,БАЛАНС_ДЕНЬ_ЧАС!K672,БАЛАНС_ДЕНЬ_ЧАС!K680,БАЛАНС_ДЕНЬ_ЧАС!K688,БАЛАНС_ДЕНЬ_ЧАС!K696,БАЛАНС_ДЕНЬ_ЧАС!K704,БАЛАНС_ДЕНЬ_ЧАС!K712,БАЛАНС_ДЕНЬ_ЧАС!K720,БАЛАНС_ДЕНЬ_ЧАС!K728,БАЛАНС_ДЕНЬ_ЧАС!K736,БАЛАНС_ДЕНЬ_ЧАС!K744,БАЛАНС_ДЕНЬ_ЧАС!K752,БАЛАНС_ДЕНЬ_ЧАС!K760,БАЛАНС_ДЕНЬ_ЧАС!K768,БАЛАНС_ДЕНЬ_ЧАС!K776,БАЛАНС_ДЕНЬ_ЧАС!K784,БАЛАНС_ДЕНЬ_ЧАС!K792,БАЛАНС_ДЕНЬ_ЧАС!K800,БАЛАНС_ДЕНЬ_ЧАС!K808,БАЛАНС_ДЕНЬ_ЧАС!K816,БАЛАНС_ДЕНЬ_ЧАС!K824,БАЛАНС_ДЕНЬ_ЧАС!K832,БАЛАНС_ДЕНЬ_ЧАС!K840,БАЛАНС_ДЕНЬ_ЧАС!K848)</f>
        <v>0</v>
      </c>
      <c r="O38" s="11" t="str">
        <f aca="false">IF(N38&gt;0,"BLOCKED","PASS")</f>
        <v>PASS</v>
      </c>
      <c r="P38" s="11" t="s">
        <v>145</v>
      </c>
    </row>
    <row r="39" customFormat="false" ht="15" hidden="false" customHeight="false" outlineLevel="0" collapsed="false">
      <c r="A39" s="11" t="n">
        <v>29</v>
      </c>
      <c r="B39" s="11" t="s">
        <v>92</v>
      </c>
      <c r="C39" s="11" t="s">
        <v>185</v>
      </c>
      <c r="D39" s="11" t="s">
        <v>91</v>
      </c>
      <c r="E39" s="12" t="n">
        <v>150</v>
      </c>
      <c r="F39" s="12" t="n">
        <f aca="false">SUMIF(СПРОС_ДЕНЬ_ЧАС_МЕНЮ!$C$11:$C$3265,A39,СПРОС_ДЕНЬ_ЧАС_МЕНЮ!$I$11:$I$3265)</f>
        <v>35.178</v>
      </c>
      <c r="G39" s="12" t="n">
        <f aca="false">MAX(СПРОС_ДЕНЬ_ЧАС_МЕНЮ!I39,СПРОС_ДЕНЬ_ЧАС_МЕНЮ!I70,СПРОС_ДЕНЬ_ЧАС_МЕНЮ!I101,СПРОС_ДЕНЬ_ЧАС_МЕНЮ!I132,СПРОС_ДЕНЬ_ЧАС_МЕНЮ!I163,СПРОС_ДЕНЬ_ЧАС_МЕНЮ!I194,СПРОС_ДЕНЬ_ЧАС_МЕНЮ!I225,СПРОС_ДЕНЬ_ЧАС_МЕНЮ!I256,СПРОС_ДЕНЬ_ЧАС_МЕНЮ!I287,СПРОС_ДЕНЬ_ЧАС_МЕНЮ!I318,СПРОС_ДЕНЬ_ЧАС_МЕНЮ!I349,СПРОС_ДЕНЬ_ЧАС_МЕНЮ!I380,СПРОС_ДЕНЬ_ЧАС_МЕНЮ!I411,СПРОС_ДЕНЬ_ЧАС_МЕНЮ!I442,СПРОС_ДЕНЬ_ЧАС_МЕНЮ!I473,СПРОС_ДЕНЬ_ЧАС_МЕНЮ!I504,СПРОС_ДЕНЬ_ЧАС_МЕНЮ!I535,СПРОС_ДЕНЬ_ЧАС_МЕНЮ!I566,СПРОС_ДЕНЬ_ЧАС_МЕНЮ!I597,СПРОС_ДЕНЬ_ЧАС_МЕНЮ!I628,СПРОС_ДЕНЬ_ЧАС_МЕНЮ!I659,СПРОС_ДЕНЬ_ЧАС_МЕНЮ!I690,СПРОС_ДЕНЬ_ЧАС_МЕНЮ!I721,СПРОС_ДЕНЬ_ЧАС_МЕНЮ!I752,СПРОС_ДЕНЬ_ЧАС_МЕНЮ!I783,СПРОС_ДЕНЬ_ЧАС_МЕНЮ!I814,СПРОС_ДЕНЬ_ЧАС_МЕНЮ!I845,СПРОС_ДЕНЬ_ЧАС_МЕНЮ!I876,СПРОС_ДЕНЬ_ЧАС_МЕНЮ!I907,СПРОС_ДЕНЬ_ЧАС_МЕНЮ!I938,СПРОС_ДЕНЬ_ЧАС_МЕНЮ!I969,СПРОС_ДЕНЬ_ЧАС_МЕНЮ!I1000,СПРОС_ДЕНЬ_ЧАС_МЕНЮ!I1031,СПРОС_ДЕНЬ_ЧАС_МЕНЮ!I1062,СПРОС_ДЕНЬ_ЧАС_МЕНЮ!I1093,СПРОС_ДЕНЬ_ЧАС_МЕНЮ!I1124,СПРОС_ДЕНЬ_ЧАС_МЕНЮ!I1155,СПРОС_ДЕНЬ_ЧАС_МЕНЮ!I1186,СПРОС_ДЕНЬ_ЧАС_МЕНЮ!I1217,СПРОС_ДЕНЬ_ЧАС_МЕНЮ!I1248,СПРОС_ДЕНЬ_ЧАС_МЕНЮ!I1279,СПРОС_ДЕНЬ_ЧАС_МЕНЮ!I1310,СПРОС_ДЕНЬ_ЧАС_МЕНЮ!I1341,СПРОС_ДЕНЬ_ЧАС_МЕНЮ!I1372,СПРОС_ДЕНЬ_ЧАС_МЕНЮ!I1403,СПРОС_ДЕНЬ_ЧАС_МЕНЮ!I1434,СПРОС_ДЕНЬ_ЧАС_МЕНЮ!I1465,СПРОС_ДЕНЬ_ЧАС_МЕНЮ!I1496,СПРОС_ДЕНЬ_ЧАС_МЕНЮ!I1527,СПРОС_ДЕНЬ_ЧАС_МЕНЮ!I1558,СПРОС_ДЕНЬ_ЧАС_МЕНЮ!I1589,СПРОС_ДЕНЬ_ЧАС_МЕНЮ!I1620,СПРОС_ДЕНЬ_ЧАС_МЕНЮ!I1651,СПРОС_ДЕНЬ_ЧАС_МЕНЮ!I1682,СПРОС_ДЕНЬ_ЧАС_МЕНЮ!I1713,СПРОС_ДЕНЬ_ЧАС_МЕНЮ!I1744,СПРОС_ДЕНЬ_ЧАС_МЕНЮ!I1775,СПРОС_ДЕНЬ_ЧАС_МЕНЮ!I1806,СПРОС_ДЕНЬ_ЧАС_МЕНЮ!I1837,СПРОС_ДЕНЬ_ЧАС_МЕНЮ!I1868,СПРОС_ДЕНЬ_ЧАС_МЕНЮ!I1899,СПРОС_ДЕНЬ_ЧАС_МЕНЮ!I1930,СПРОС_ДЕНЬ_ЧАС_МЕНЮ!I1961,СПРОС_ДЕНЬ_ЧАС_МЕНЮ!I1992,СПРОС_ДЕНЬ_ЧАС_МЕНЮ!I2023,СПРОС_ДЕНЬ_ЧАС_МЕНЮ!I2054,СПРОС_ДЕНЬ_ЧАС_МЕНЮ!I2085,СПРОС_ДЕНЬ_ЧАС_МЕНЮ!I2116,СПРОС_ДЕНЬ_ЧАС_МЕНЮ!I2147,СПРОС_ДЕНЬ_ЧАС_МЕНЮ!I2178,СПРОС_ДЕНЬ_ЧАС_МЕНЮ!I2209,СПРОС_ДЕНЬ_ЧАС_МЕНЮ!I2240,СПРОС_ДЕНЬ_ЧАС_МЕНЮ!I2271,СПРОС_ДЕНЬ_ЧАС_МЕНЮ!I2302,СПРОС_ДЕНЬ_ЧАС_МЕНЮ!I2333,СПРОС_ДЕНЬ_ЧАС_МЕНЮ!I2364,СПРОС_ДЕНЬ_ЧАС_МЕНЮ!I2395,СПРОС_ДЕНЬ_ЧАС_МЕНЮ!I2426,СПРОС_ДЕНЬ_ЧАС_МЕНЮ!I2457,СПРОС_ДЕНЬ_ЧАС_МЕНЮ!I2488,СПРОС_ДЕНЬ_ЧАС_МЕНЮ!I2519,СПРОС_ДЕНЬ_ЧАС_МЕНЮ!I2550,СПРОС_ДЕНЬ_ЧАС_МЕНЮ!I2581,СПРОС_ДЕНЬ_ЧАС_МЕНЮ!I2612,СПРОС_ДЕНЬ_ЧАС_МЕНЮ!I2643,СПРОС_ДЕНЬ_ЧАС_МЕНЮ!I2674,СПРОС_ДЕНЬ_ЧАС_МЕНЮ!I2705,СПРОС_ДЕНЬ_ЧАС_МЕНЮ!I2736,СПРОС_ДЕНЬ_ЧАС_МЕНЮ!I2767,СПРОС_ДЕНЬ_ЧАС_МЕНЮ!I2798,СПРОС_ДЕНЬ_ЧАС_МЕНЮ!I2829,СПРОС_ДЕНЬ_ЧАС_МЕНЮ!I2860,СПРОС_ДЕНЬ_ЧАС_МЕНЮ!I2891,СПРОС_ДЕНЬ_ЧАС_МЕНЮ!I2922,СПРОС_ДЕНЬ_ЧАС_МЕНЮ!I2953,СПРОС_ДЕНЬ_ЧАС_МЕНЮ!I2984,СПРОС_ДЕНЬ_ЧАС_МЕНЮ!I3015,СПРОС_ДЕНЬ_ЧАС_МЕНЮ!I3046,СПРОС_ДЕНЬ_ЧАС_МЕНЮ!I3077,СПРОС_ДЕНЬ_ЧАС_МЕНЮ!I3108,СПРОС_ДЕНЬ_ЧАС_МЕНЮ!I3139,СПРОС_ДЕНЬ_ЧАС_МЕНЮ!I3170,СПРОС_ДЕНЬ_ЧАС_МЕНЮ!I3201,СПРОС_ДЕНЬ_ЧАС_МЕНЮ!I3232,СПРОС_ДЕНЬ_ЧАС_МЕНЮ!I3263)</f>
        <v>1.1352</v>
      </c>
      <c r="H39" s="12" t="s">
        <v>112</v>
      </c>
      <c r="I39" s="12" t="s">
        <v>137</v>
      </c>
      <c r="J39" s="12" t="n">
        <f aca="false">MAX(БАЛАНС_ДЕНЬ_ЧАС!F17,БАЛАНС_ДЕНЬ_ЧАС!F25,БАЛАНС_ДЕНЬ_ЧАС!F33,БАЛАНС_ДЕНЬ_ЧАС!F41,БАЛАНС_ДЕНЬ_ЧАС!F49,БАЛАНС_ДЕНЬ_ЧАС!F57,БАЛАНС_ДЕНЬ_ЧАС!F65,БАЛАНС_ДЕНЬ_ЧАС!F73,БАЛАНС_ДЕНЬ_ЧАС!F81,БАЛАНС_ДЕНЬ_ЧАС!F89,БАЛАНС_ДЕНЬ_ЧАС!F97,БАЛАНС_ДЕНЬ_ЧАС!F105,БАЛАНС_ДЕНЬ_ЧАС!F113,БАЛАНС_ДЕНЬ_ЧАС!F121,БАЛАНС_ДЕНЬ_ЧАС!F129,БАЛАНС_ДЕНЬ_ЧАС!F137,БАЛАНС_ДЕНЬ_ЧАС!F145,БАЛАНС_ДЕНЬ_ЧАС!F153,БАЛАНС_ДЕНЬ_ЧАС!F161,БАЛАНС_ДЕНЬ_ЧАС!F169,БАЛАНС_ДЕНЬ_ЧАС!F177,БАЛАНС_ДЕНЬ_ЧАС!F185,БАЛАНС_ДЕНЬ_ЧАС!F193,БАЛАНС_ДЕНЬ_ЧАС!F201,БАЛАНС_ДЕНЬ_ЧАС!F209,БАЛАНС_ДЕНЬ_ЧАС!F217,БАЛАНС_ДЕНЬ_ЧАС!F225,БАЛАНС_ДЕНЬ_ЧАС!F233,БАЛАНС_ДЕНЬ_ЧАС!F241,БАЛАНС_ДЕНЬ_ЧАС!F249,БАЛАНС_ДЕНЬ_ЧАС!F257,БАЛАНС_ДЕНЬ_ЧАС!F265,БАЛАНС_ДЕНЬ_ЧАС!F273,БАЛАНС_ДЕНЬ_ЧАС!F281,БАЛАНС_ДЕНЬ_ЧАС!F289,БАЛАНС_ДЕНЬ_ЧАС!F297,БАЛАНС_ДЕНЬ_ЧАС!F305,БАЛАНС_ДЕНЬ_ЧАС!F313,БАЛАНС_ДЕНЬ_ЧАС!F321,БАЛАНС_ДЕНЬ_ЧАС!F329,БАЛАНС_ДЕНЬ_ЧАС!F337,БАЛАНС_ДЕНЬ_ЧАС!F345,БАЛАНС_ДЕНЬ_ЧАС!F353,БАЛАНС_ДЕНЬ_ЧАС!F361,БАЛАНС_ДЕНЬ_ЧАС!F369,БАЛАНС_ДЕНЬ_ЧАС!F377,БАЛАНС_ДЕНЬ_ЧАС!F385,БАЛАНС_ДЕНЬ_ЧАС!F393,БАЛАНС_ДЕНЬ_ЧАС!F401,БАЛАНС_ДЕНЬ_ЧАС!F409,БАЛАНС_ДЕНЬ_ЧАС!F417,БАЛАНС_ДЕНЬ_ЧАС!F425,БАЛАНС_ДЕНЬ_ЧАС!F433,БАЛАНС_ДЕНЬ_ЧАС!F441,БАЛАНС_ДЕНЬ_ЧАС!F449,БАЛАНС_ДЕНЬ_ЧАС!F457,БАЛАНС_ДЕНЬ_ЧАС!F465,БАЛАНС_ДЕНЬ_ЧАС!F473,БАЛАНС_ДЕНЬ_ЧАС!F481,БАЛАНС_ДЕНЬ_ЧАС!F489,БАЛАНС_ДЕНЬ_ЧАС!F497,БАЛАНС_ДЕНЬ_ЧАС!F505,БАЛАНС_ДЕНЬ_ЧАС!F513,БАЛАНС_ДЕНЬ_ЧАС!F521,БАЛАНС_ДЕНЬ_ЧАС!F529,БАЛАНС_ДЕНЬ_ЧАС!F537,БАЛАНС_ДЕНЬ_ЧАС!F545,БАЛАНС_ДЕНЬ_ЧАС!F553,БАЛАНС_ДЕНЬ_ЧАС!F561,БАЛАНС_ДЕНЬ_ЧАС!F569,БАЛАНС_ДЕНЬ_ЧАС!F577,БАЛАНС_ДЕНЬ_ЧАС!F585,БАЛАНС_ДЕНЬ_ЧАС!F593,БАЛАНС_ДЕНЬ_ЧАС!F601,БАЛАНС_ДЕНЬ_ЧАС!F609,БАЛАНС_ДЕНЬ_ЧАС!F617,БАЛАНС_ДЕНЬ_ЧАС!F625,БАЛАНС_ДЕНЬ_ЧАС!F633,БАЛАНС_ДЕНЬ_ЧАС!F641,БАЛАНС_ДЕНЬ_ЧАС!F649,БАЛАНС_ДЕНЬ_ЧАС!F657,БАЛАНС_ДЕНЬ_ЧАС!F665,БАЛАНС_ДЕНЬ_ЧАС!F673,БАЛАНС_ДЕНЬ_ЧАС!F681,БАЛАНС_ДЕНЬ_ЧАС!F689,БАЛАНС_ДЕНЬ_ЧАС!F697,БАЛАНС_ДЕНЬ_ЧАС!F705,БАЛАНС_ДЕНЬ_ЧАС!F713,БАЛАНС_ДЕНЬ_ЧАС!F721,БАЛАНС_ДЕНЬ_ЧАС!F729,БАЛАНС_ДЕНЬ_ЧАС!F737,БАЛАНС_ДЕНЬ_ЧАС!F745,БАЛАНС_ДЕНЬ_ЧАС!F753,БАЛАНС_ДЕНЬ_ЧАС!F761,БАЛАНС_ДЕНЬ_ЧАС!F769,БАЛАНС_ДЕНЬ_ЧАС!F777,БАЛАНС_ДЕНЬ_ЧАС!F785,БАЛАНС_ДЕНЬ_ЧАС!F793,БАЛАНС_ДЕНЬ_ЧАС!F801,БАЛАНС_ДЕНЬ_ЧАС!F809,БАЛАНС_ДЕНЬ_ЧАС!F817,БАЛАНС_ДЕНЬ_ЧАС!F825,БАЛАНС_ДЕНЬ_ЧАС!F833,БАЛАНС_ДЕНЬ_ЧАС!F841,БАЛАНС_ДЕНЬ_ЧАС!F849)</f>
        <v>3.234</v>
      </c>
      <c r="K39" s="12" t="n">
        <f aca="false">ПАРАМЕТРЫ!D26</f>
        <v>20</v>
      </c>
      <c r="L39" s="12" t="n">
        <f aca="false">MAX(БАЛАНС_ДЕНЬ_ЧАС!I17,БАЛАНС_ДЕНЬ_ЧАС!I25,БАЛАНС_ДЕНЬ_ЧАС!I33,БАЛАНС_ДЕНЬ_ЧАС!I41,БАЛАНС_ДЕНЬ_ЧАС!I49,БАЛАНС_ДЕНЬ_ЧАС!I57,БАЛАНС_ДЕНЬ_ЧАС!I65,БАЛАНС_ДЕНЬ_ЧАС!I73,БАЛАНС_ДЕНЬ_ЧАС!I81,БАЛАНС_ДЕНЬ_ЧАС!I89,БАЛАНС_ДЕНЬ_ЧАС!I97,БАЛАНС_ДЕНЬ_ЧАС!I105,БАЛАНС_ДЕНЬ_ЧАС!I113,БАЛАНС_ДЕНЬ_ЧАС!I121,БАЛАНС_ДЕНЬ_ЧАС!I129,БАЛАНС_ДЕНЬ_ЧАС!I137,БАЛАНС_ДЕНЬ_ЧАС!I145,БАЛАНС_ДЕНЬ_ЧАС!I153,БАЛАНС_ДЕНЬ_ЧАС!I161,БАЛАНС_ДЕНЬ_ЧАС!I169,БАЛАНС_ДЕНЬ_ЧАС!I177,БАЛАНС_ДЕНЬ_ЧАС!I185,БАЛАНС_ДЕНЬ_ЧАС!I193,БАЛАНС_ДЕНЬ_ЧАС!I201,БАЛАНС_ДЕНЬ_ЧАС!I209,БАЛАНС_ДЕНЬ_ЧАС!I217,БАЛАНС_ДЕНЬ_ЧАС!I225,БАЛАНС_ДЕНЬ_ЧАС!I233,БАЛАНС_ДЕНЬ_ЧАС!I241,БАЛАНС_ДЕНЬ_ЧАС!I249,БАЛАНС_ДЕНЬ_ЧАС!I257,БАЛАНС_ДЕНЬ_ЧАС!I265,БАЛАНС_ДЕНЬ_ЧАС!I273,БАЛАНС_ДЕНЬ_ЧАС!I281,БАЛАНС_ДЕНЬ_ЧАС!I289,БАЛАНС_ДЕНЬ_ЧАС!I297,БАЛАНС_ДЕНЬ_ЧАС!I305,БАЛАНС_ДЕНЬ_ЧАС!I313,БАЛАНС_ДЕНЬ_ЧАС!I321,БАЛАНС_ДЕНЬ_ЧАС!I329,БАЛАНС_ДЕНЬ_ЧАС!I337,БАЛАНС_ДЕНЬ_ЧАС!I345,БАЛАНС_ДЕНЬ_ЧАС!I353,БАЛАНС_ДЕНЬ_ЧАС!I361,БАЛАНС_ДЕНЬ_ЧАС!I369,БАЛАНС_ДЕНЬ_ЧАС!I377,БАЛАНС_ДЕНЬ_ЧАС!I385,БАЛАНС_ДЕНЬ_ЧАС!I393,БАЛАНС_ДЕНЬ_ЧАС!I401,БАЛАНС_ДЕНЬ_ЧАС!I409,БАЛАНС_ДЕНЬ_ЧАС!I417,БАЛАНС_ДЕНЬ_ЧАС!I425,БАЛАНС_ДЕНЬ_ЧАС!I433,БАЛАНС_ДЕНЬ_ЧАС!I441,БАЛАНС_ДЕНЬ_ЧАС!I449,БАЛАНС_ДЕНЬ_ЧАС!I457,БАЛАНС_ДЕНЬ_ЧАС!I465,БАЛАНС_ДЕНЬ_ЧАС!I473,БАЛАНС_ДЕНЬ_ЧАС!I481,БАЛАНС_ДЕНЬ_ЧАС!I489,БАЛАНС_ДЕНЬ_ЧАС!I497,БАЛАНС_ДЕНЬ_ЧАС!I505,БАЛАНС_ДЕНЬ_ЧАС!I513,БАЛАНС_ДЕНЬ_ЧАС!I521,БАЛАНС_ДЕНЬ_ЧАС!I529,БАЛАНС_ДЕНЬ_ЧАС!I537,БАЛАНС_ДЕНЬ_ЧАС!I545,БАЛАНС_ДЕНЬ_ЧАС!I553,БАЛАНС_ДЕНЬ_ЧАС!I561,БАЛАНС_ДЕНЬ_ЧАС!I569,БАЛАНС_ДЕНЬ_ЧАС!I577,БАЛАНС_ДЕНЬ_ЧАС!I585,БАЛАНС_ДЕНЬ_ЧАС!I593,БАЛАНС_ДЕНЬ_ЧАС!I601,БАЛАНС_ДЕНЬ_ЧАС!I609,БАЛАНС_ДЕНЬ_ЧАС!I617,БАЛАНС_ДЕНЬ_ЧАС!I625,БАЛАНС_ДЕНЬ_ЧАС!I633,БАЛАНС_ДЕНЬ_ЧАС!I641,БАЛАНС_ДЕНЬ_ЧАС!I649,БАЛАНС_ДЕНЬ_ЧАС!I657,БАЛАНС_ДЕНЬ_ЧАС!I665,БАЛАНС_ДЕНЬ_ЧАС!I673,БАЛАНС_ДЕНЬ_ЧАС!I681,БАЛАНС_ДЕНЬ_ЧАС!I689,БАЛАНС_ДЕНЬ_ЧАС!I697,БАЛАНС_ДЕНЬ_ЧАС!I705,БАЛАНС_ДЕНЬ_ЧАС!I713,БАЛАНС_ДЕНЬ_ЧАС!I721,БАЛАНС_ДЕНЬ_ЧАС!I729,БАЛАНС_ДЕНЬ_ЧАС!I737,БАЛАНС_ДЕНЬ_ЧАС!I745,БАЛАНС_ДЕНЬ_ЧАС!I753,БАЛАНС_ДЕНЬ_ЧАС!I761,БАЛАНС_ДЕНЬ_ЧАС!I769,БАЛАНС_ДЕНЬ_ЧАС!I777,БАЛАНС_ДЕНЬ_ЧАС!I785,БАЛАНС_ДЕНЬ_ЧАС!I793,БАЛАНС_ДЕНЬ_ЧАС!I801,БАЛАНС_ДЕНЬ_ЧАС!I809,БАЛАНС_ДЕНЬ_ЧАС!I817,БАЛАНС_ДЕНЬ_ЧАС!I825,БАЛАНС_ДЕНЬ_ЧАС!I833,БАЛАНС_ДЕНЬ_ЧАС!I841,БАЛАНС_ДЕНЬ_ЧАС!I849)</f>
        <v>10</v>
      </c>
      <c r="M39" s="12" t="n">
        <f aca="false">MAX(БАЛАНС_ДЕНЬ_ЧАС!J17,БАЛАНС_ДЕНЬ_ЧАС!J25,БАЛАНС_ДЕНЬ_ЧАС!J33,БАЛАНС_ДЕНЬ_ЧАС!J41,БАЛАНС_ДЕНЬ_ЧАС!J49,БАЛАНС_ДЕНЬ_ЧАС!J57,БАЛАНС_ДЕНЬ_ЧАС!J65,БАЛАНС_ДЕНЬ_ЧАС!J73,БАЛАНС_ДЕНЬ_ЧАС!J81,БАЛАНС_ДЕНЬ_ЧАС!J89,БАЛАНС_ДЕНЬ_ЧАС!J97,БАЛАНС_ДЕНЬ_ЧАС!J105,БАЛАНС_ДЕНЬ_ЧАС!J113,БАЛАНС_ДЕНЬ_ЧАС!J121,БАЛАНС_ДЕНЬ_ЧАС!J129,БАЛАНС_ДЕНЬ_ЧАС!J137,БАЛАНС_ДЕНЬ_ЧАС!J145,БАЛАНС_ДЕНЬ_ЧАС!J153,БАЛАНС_ДЕНЬ_ЧАС!J161,БАЛАНС_ДЕНЬ_ЧАС!J169,БАЛАНС_ДЕНЬ_ЧАС!J177,БАЛАНС_ДЕНЬ_ЧАС!J185,БАЛАНС_ДЕНЬ_ЧАС!J193,БАЛАНС_ДЕНЬ_ЧАС!J201,БАЛАНС_ДЕНЬ_ЧАС!J209,БАЛАНС_ДЕНЬ_ЧАС!J217,БАЛАНС_ДЕНЬ_ЧАС!J225,БАЛАНС_ДЕНЬ_ЧАС!J233,БАЛАНС_ДЕНЬ_ЧАС!J241,БАЛАНС_ДЕНЬ_ЧАС!J249,БАЛАНС_ДЕНЬ_ЧАС!J257,БАЛАНС_ДЕНЬ_ЧАС!J265,БАЛАНС_ДЕНЬ_ЧАС!J273,БАЛАНС_ДЕНЬ_ЧАС!J281,БАЛАНС_ДЕНЬ_ЧАС!J289,БАЛАНС_ДЕНЬ_ЧАС!J297,БАЛАНС_ДЕНЬ_ЧАС!J305,БАЛАНС_ДЕНЬ_ЧАС!J313,БАЛАНС_ДЕНЬ_ЧАС!J321,БАЛАНС_ДЕНЬ_ЧАС!J329,БАЛАНС_ДЕНЬ_ЧАС!J337,БАЛАНС_ДЕНЬ_ЧАС!J345,БАЛАНС_ДЕНЬ_ЧАС!J353,БАЛАНС_ДЕНЬ_ЧАС!J361,БАЛАНС_ДЕНЬ_ЧАС!J369,БАЛАНС_ДЕНЬ_ЧАС!J377,БАЛАНС_ДЕНЬ_ЧАС!J385,БАЛАНС_ДЕНЬ_ЧАС!J393,БАЛАНС_ДЕНЬ_ЧАС!J401,БАЛАНС_ДЕНЬ_ЧАС!J409,БАЛАНС_ДЕНЬ_ЧАС!J417,БАЛАНС_ДЕНЬ_ЧАС!J425,БАЛАНС_ДЕНЬ_ЧАС!J433,БАЛАНС_ДЕНЬ_ЧАС!J441,БАЛАНС_ДЕНЬ_ЧАС!J449,БАЛАНС_ДЕНЬ_ЧАС!J457,БАЛАНС_ДЕНЬ_ЧАС!J465,БАЛАНС_ДЕНЬ_ЧАС!J473,БАЛАНС_ДЕНЬ_ЧАС!J481,БАЛАНС_ДЕНЬ_ЧАС!J489,БАЛАНС_ДЕНЬ_ЧАС!J497,БАЛАНС_ДЕНЬ_ЧАС!J505,БАЛАНС_ДЕНЬ_ЧАС!J513,БАЛАНС_ДЕНЬ_ЧАС!J521,БАЛАНС_ДЕНЬ_ЧАС!J529,БАЛАНС_ДЕНЬ_ЧАС!J537,БАЛАНС_ДЕНЬ_ЧАС!J545,БАЛАНС_ДЕНЬ_ЧАС!J553,БАЛАНС_ДЕНЬ_ЧАС!J561,БАЛАНС_ДЕНЬ_ЧАС!J569,БАЛАНС_ДЕНЬ_ЧАС!J577,БАЛАНС_ДЕНЬ_ЧАС!J585,БАЛАНС_ДЕНЬ_ЧАС!J593,БАЛАНС_ДЕНЬ_ЧАС!J601,БАЛАНС_ДЕНЬ_ЧАС!J609,БАЛАНС_ДЕНЬ_ЧАС!J617,БАЛАНС_ДЕНЬ_ЧАС!J625,БАЛАНС_ДЕНЬ_ЧАС!J633,БАЛАНС_ДЕНЬ_ЧАС!J641,БАЛАНС_ДЕНЬ_ЧАС!J649,БАЛАНС_ДЕНЬ_ЧАС!J657,БАЛАНС_ДЕНЬ_ЧАС!J665,БАЛАНС_ДЕНЬ_ЧАС!J673,БАЛАНС_ДЕНЬ_ЧАС!J681,БАЛАНС_ДЕНЬ_ЧАС!J689,БАЛАНС_ДЕНЬ_ЧАС!J697,БАЛАНС_ДЕНЬ_ЧАС!J705,БАЛАНС_ДЕНЬ_ЧАС!J713,БАЛАНС_ДЕНЬ_ЧАС!J721,БАЛАНС_ДЕНЬ_ЧАС!J729,БАЛАНС_ДЕНЬ_ЧАС!J737,БАЛАНС_ДЕНЬ_ЧАС!J745,БАЛАНС_ДЕНЬ_ЧАС!J753,БАЛАНС_ДЕНЬ_ЧАС!J761,БАЛАНС_ДЕНЬ_ЧАС!J769,БАЛАНС_ДЕНЬ_ЧАС!J777,БАЛАНС_ДЕНЬ_ЧАС!J785,БАЛАНС_ДЕНЬ_ЧАС!J793,БАЛАНС_ДЕНЬ_ЧАС!J801,БАЛАНС_ДЕНЬ_ЧАС!J809,БАЛАНС_ДЕНЬ_ЧАС!J817,БАЛАНС_ДЕНЬ_ЧАС!J825,БАЛАНС_ДЕНЬ_ЧАС!J833,БАЛАНС_ДЕНЬ_ЧАС!J841,БАЛАНС_ДЕНЬ_ЧАС!J849)</f>
        <v>10</v>
      </c>
      <c r="N39" s="12" t="n">
        <f aca="false">MAX(БАЛАНС_ДЕНЬ_ЧАС!K17,БАЛАНС_ДЕНЬ_ЧАС!K25,БАЛАНС_ДЕНЬ_ЧАС!K33,БАЛАНС_ДЕНЬ_ЧАС!K41,БАЛАНС_ДЕНЬ_ЧАС!K49,БАЛАНС_ДЕНЬ_ЧАС!K57,БАЛАНС_ДЕНЬ_ЧАС!K65,БАЛАНС_ДЕНЬ_ЧАС!K73,БАЛАНС_ДЕНЬ_ЧАС!K81,БАЛАНС_ДЕНЬ_ЧАС!K89,БАЛАНС_ДЕНЬ_ЧАС!K97,БАЛАНС_ДЕНЬ_ЧАС!K105,БАЛАНС_ДЕНЬ_ЧАС!K113,БАЛАНС_ДЕНЬ_ЧАС!K121,БАЛАНС_ДЕНЬ_ЧАС!K129,БАЛАНС_ДЕНЬ_ЧАС!K137,БАЛАНС_ДЕНЬ_ЧАС!K145,БАЛАНС_ДЕНЬ_ЧАС!K153,БАЛАНС_ДЕНЬ_ЧАС!K161,БАЛАНС_ДЕНЬ_ЧАС!K169,БАЛАНС_ДЕНЬ_ЧАС!K177,БАЛАНС_ДЕНЬ_ЧАС!K185,БАЛАНС_ДЕНЬ_ЧАС!K193,БАЛАНС_ДЕНЬ_ЧАС!K201,БАЛАНС_ДЕНЬ_ЧАС!K209,БАЛАНС_ДЕНЬ_ЧАС!K217,БАЛАНС_ДЕНЬ_ЧАС!K225,БАЛАНС_ДЕНЬ_ЧАС!K233,БАЛАНС_ДЕНЬ_ЧАС!K241,БАЛАНС_ДЕНЬ_ЧАС!K249,БАЛАНС_ДЕНЬ_ЧАС!K257,БАЛАНС_ДЕНЬ_ЧАС!K265,БАЛАНС_ДЕНЬ_ЧАС!K273,БАЛАНС_ДЕНЬ_ЧАС!K281,БАЛАНС_ДЕНЬ_ЧАС!K289,БАЛАНС_ДЕНЬ_ЧАС!K297,БАЛАНС_ДЕНЬ_ЧАС!K305,БАЛАНС_ДЕНЬ_ЧАС!K313,БАЛАНС_ДЕНЬ_ЧАС!K321,БАЛАНС_ДЕНЬ_ЧАС!K329,БАЛАНС_ДЕНЬ_ЧАС!K337,БАЛАНС_ДЕНЬ_ЧАС!K345,БАЛАНС_ДЕНЬ_ЧАС!K353,БАЛАНС_ДЕНЬ_ЧАС!K361,БАЛАНС_ДЕНЬ_ЧАС!K369,БАЛАНС_ДЕНЬ_ЧАС!K377,БАЛАНС_ДЕНЬ_ЧАС!K385,БАЛАНС_ДЕНЬ_ЧАС!K393,БАЛАНС_ДЕНЬ_ЧАС!K401,БАЛАНС_ДЕНЬ_ЧАС!K409,БАЛАНС_ДЕНЬ_ЧАС!K417,БАЛАНС_ДЕНЬ_ЧАС!K425,БАЛАНС_ДЕНЬ_ЧАС!K433,БАЛАНС_ДЕНЬ_ЧАС!K441,БАЛАНС_ДЕНЬ_ЧАС!K449,БАЛАНС_ДЕНЬ_ЧАС!K457,БАЛАНС_ДЕНЬ_ЧАС!K465,БАЛАНС_ДЕНЬ_ЧАС!K473,БАЛАНС_ДЕНЬ_ЧАС!K481,БАЛАНС_ДЕНЬ_ЧАС!K489,БАЛАНС_ДЕНЬ_ЧАС!K497,БАЛАНС_ДЕНЬ_ЧАС!K505,БАЛАНС_ДЕНЬ_ЧАС!K513,БАЛАНС_ДЕНЬ_ЧАС!K521,БАЛАНС_ДЕНЬ_ЧАС!K529,БАЛАНС_ДЕНЬ_ЧАС!K537,БАЛАНС_ДЕНЬ_ЧАС!K545,БАЛАНС_ДЕНЬ_ЧАС!K553,БАЛАНС_ДЕНЬ_ЧАС!K561,БАЛАНС_ДЕНЬ_ЧАС!K569,БАЛАНС_ДЕНЬ_ЧАС!K577,БАЛАНС_ДЕНЬ_ЧАС!K585,БАЛАНС_ДЕНЬ_ЧАС!K593,БАЛАНС_ДЕНЬ_ЧАС!K601,БАЛАНС_ДЕНЬ_ЧАС!K609,БАЛАНС_ДЕНЬ_ЧАС!K617,БАЛАНС_ДЕНЬ_ЧАС!K625,БАЛАНС_ДЕНЬ_ЧАС!K633,БАЛАНС_ДЕНЬ_ЧАС!K641,БАЛАНС_ДЕНЬ_ЧАС!K649,БАЛАНС_ДЕНЬ_ЧАС!K657,БАЛАНС_ДЕНЬ_ЧАС!K665,БАЛАНС_ДЕНЬ_ЧАС!K673,БАЛАНС_ДЕНЬ_ЧАС!K681,БАЛАНС_ДЕНЬ_ЧАС!K689,БАЛАНС_ДЕНЬ_ЧАС!K697,БАЛАНС_ДЕНЬ_ЧАС!K705,БАЛАНС_ДЕНЬ_ЧАС!K713,БАЛАНС_ДЕНЬ_ЧАС!K721,БАЛАНС_ДЕНЬ_ЧАС!K729,БАЛАНС_ДЕНЬ_ЧАС!K737,БАЛАНС_ДЕНЬ_ЧАС!K745,БАЛАНС_ДЕНЬ_ЧАС!K753,БАЛАНС_ДЕНЬ_ЧАС!K761,БАЛАНС_ДЕНЬ_ЧАС!K769,БАЛАНС_ДЕНЬ_ЧАС!K777,БАЛАНС_ДЕНЬ_ЧАС!K785,БАЛАНС_ДЕНЬ_ЧАС!K793,БАЛАНС_ДЕНЬ_ЧАС!K801,БАЛАНС_ДЕНЬ_ЧАС!K809,БАЛАНС_ДЕНЬ_ЧАС!K817,БАЛАНС_ДЕНЬ_ЧАС!K825,БАЛАНС_ДЕНЬ_ЧАС!K833,БАЛАНС_ДЕНЬ_ЧАС!K841,БАЛАНС_ДЕНЬ_ЧАС!K849)</f>
        <v>0</v>
      </c>
      <c r="O39" s="11" t="str">
        <f aca="false">IF(N39&gt;0,"BLOCKED","PASS")</f>
        <v>PASS</v>
      </c>
      <c r="P39" s="11" t="s">
        <v>145</v>
      </c>
    </row>
    <row r="40" customFormat="false" ht="15" hidden="false" customHeight="false" outlineLevel="0" collapsed="false">
      <c r="A40" s="11" t="n">
        <v>30</v>
      </c>
      <c r="B40" s="11" t="s">
        <v>92</v>
      </c>
      <c r="C40" s="11" t="s">
        <v>186</v>
      </c>
      <c r="D40" s="11" t="s">
        <v>91</v>
      </c>
      <c r="E40" s="12" t="n">
        <v>120</v>
      </c>
      <c r="F40" s="12" t="n">
        <f aca="false">SUMIF(СПРОС_ДЕНЬ_ЧАС_МЕНЮ!$C$11:$C$3265,A40,СПРОС_ДЕНЬ_ЧАС_МЕНЮ!$I$11:$I$3265)</f>
        <v>42.878</v>
      </c>
      <c r="G40" s="12" t="n">
        <f aca="false">MAX(СПРОС_ДЕНЬ_ЧАС_МЕНЮ!I40,СПРОС_ДЕНЬ_ЧАС_МЕНЮ!I71,СПРОС_ДЕНЬ_ЧАС_МЕНЮ!I102,СПРОС_ДЕНЬ_ЧАС_МЕНЮ!I133,СПРОС_ДЕНЬ_ЧАС_МЕНЮ!I164,СПРОС_ДЕНЬ_ЧАС_МЕНЮ!I195,СПРОС_ДЕНЬ_ЧАС_МЕНЮ!I226,СПРОС_ДЕНЬ_ЧАС_МЕНЮ!I257,СПРОС_ДЕНЬ_ЧАС_МЕНЮ!I288,СПРОС_ДЕНЬ_ЧАС_МЕНЮ!I319,СПРОС_ДЕНЬ_ЧАС_МЕНЮ!I350,СПРОС_ДЕНЬ_ЧАС_МЕНЮ!I381,СПРОС_ДЕНЬ_ЧАС_МЕНЮ!I412,СПРОС_ДЕНЬ_ЧАС_МЕНЮ!I443,СПРОС_ДЕНЬ_ЧАС_МЕНЮ!I474,СПРОС_ДЕНЬ_ЧАС_МЕНЮ!I505,СПРОС_ДЕНЬ_ЧАС_МЕНЮ!I536,СПРОС_ДЕНЬ_ЧАС_МЕНЮ!I567,СПРОС_ДЕНЬ_ЧАС_МЕНЮ!I598,СПРОС_ДЕНЬ_ЧАС_МЕНЮ!I629,СПРОС_ДЕНЬ_ЧАС_МЕНЮ!I660,СПРОС_ДЕНЬ_ЧАС_МЕНЮ!I691,СПРОС_ДЕНЬ_ЧАС_МЕНЮ!I722,СПРОС_ДЕНЬ_ЧАС_МЕНЮ!I753,СПРОС_ДЕНЬ_ЧАС_МЕНЮ!I784,СПРОС_ДЕНЬ_ЧАС_МЕНЮ!I815,СПРОС_ДЕНЬ_ЧАС_МЕНЮ!I846,СПРОС_ДЕНЬ_ЧАС_МЕНЮ!I877,СПРОС_ДЕНЬ_ЧАС_МЕНЮ!I908,СПРОС_ДЕНЬ_ЧАС_МЕНЮ!I939,СПРОС_ДЕНЬ_ЧАС_МЕНЮ!I970,СПРОС_ДЕНЬ_ЧАС_МЕНЮ!I1001,СПРОС_ДЕНЬ_ЧАС_МЕНЮ!I1032,СПРОС_ДЕНЬ_ЧАС_МЕНЮ!I1063,СПРОС_ДЕНЬ_ЧАС_МЕНЮ!I1094,СПРОС_ДЕНЬ_ЧАС_МЕНЮ!I1125,СПРОС_ДЕНЬ_ЧАС_МЕНЮ!I1156,СПРОС_ДЕНЬ_ЧАС_МЕНЮ!I1187,СПРОС_ДЕНЬ_ЧАС_МЕНЮ!I1218,СПРОС_ДЕНЬ_ЧАС_МЕНЮ!I1249,СПРОС_ДЕНЬ_ЧАС_МЕНЮ!I1280,СПРОС_ДЕНЬ_ЧАС_МЕНЮ!I1311,СПРОС_ДЕНЬ_ЧАС_МЕНЮ!I1342,СПРОС_ДЕНЬ_ЧАС_МЕНЮ!I1373,СПРОС_ДЕНЬ_ЧАС_МЕНЮ!I1404,СПРОС_ДЕНЬ_ЧАС_МЕНЮ!I1435,СПРОС_ДЕНЬ_ЧАС_МЕНЮ!I1466,СПРОС_ДЕНЬ_ЧАС_МЕНЮ!I1497,СПРОС_ДЕНЬ_ЧАС_МЕНЮ!I1528,СПРОС_ДЕНЬ_ЧАС_МЕНЮ!I1559,СПРОС_ДЕНЬ_ЧАС_МЕНЮ!I1590,СПРОС_ДЕНЬ_ЧАС_МЕНЮ!I1621,СПРОС_ДЕНЬ_ЧАС_МЕНЮ!I1652,СПРОС_ДЕНЬ_ЧАС_МЕНЮ!I1683,СПРОС_ДЕНЬ_ЧАС_МЕНЮ!I1714,СПРОС_ДЕНЬ_ЧАС_МЕНЮ!I1745,СПРОС_ДЕНЬ_ЧАС_МЕНЮ!I1776,СПРОС_ДЕНЬ_ЧАС_МЕНЮ!I1807,СПРОС_ДЕНЬ_ЧАС_МЕНЮ!I1838,СПРОС_ДЕНЬ_ЧАС_МЕНЮ!I1869,СПРОС_ДЕНЬ_ЧАС_МЕНЮ!I1900,СПРОС_ДЕНЬ_ЧАС_МЕНЮ!I1931,СПРОС_ДЕНЬ_ЧАС_МЕНЮ!I1962,СПРОС_ДЕНЬ_ЧАС_МЕНЮ!I1993,СПРОС_ДЕНЬ_ЧАС_МЕНЮ!I2024,СПРОС_ДЕНЬ_ЧАС_МЕНЮ!I2055,СПРОС_ДЕНЬ_ЧАС_МЕНЮ!I2086,СПРОС_ДЕНЬ_ЧАС_МЕНЮ!I2117,СПРОС_ДЕНЬ_ЧАС_МЕНЮ!I2148,СПРОС_ДЕНЬ_ЧАС_МЕНЮ!I2179,СПРОС_ДЕНЬ_ЧАС_МЕНЮ!I2210,СПРОС_ДЕНЬ_ЧАС_МЕНЮ!I2241,СПРОС_ДЕНЬ_ЧАС_МЕНЮ!I2272,СПРОС_ДЕНЬ_ЧАС_МЕНЮ!I2303,СПРОС_ДЕНЬ_ЧАС_МЕНЮ!I2334,СПРОС_ДЕНЬ_ЧАС_МЕНЮ!I2365,СПРОС_ДЕНЬ_ЧАС_МЕНЮ!I2396,СПРОС_ДЕНЬ_ЧАС_МЕНЮ!I2427,СПРОС_ДЕНЬ_ЧАС_МЕНЮ!I2458,СПРОС_ДЕНЬ_ЧАС_МЕНЮ!I2489,СПРОС_ДЕНЬ_ЧАС_МЕНЮ!I2520,СПРОС_ДЕНЬ_ЧАС_МЕНЮ!I2551,СПРОС_ДЕНЬ_ЧАС_МЕНЮ!I2582,СПРОС_ДЕНЬ_ЧАС_МЕНЮ!I2613,СПРОС_ДЕНЬ_ЧАС_МЕНЮ!I2644,СПРОС_ДЕНЬ_ЧАС_МЕНЮ!I2675,СПРОС_ДЕНЬ_ЧАС_МЕНЮ!I2706,СПРОС_ДЕНЬ_ЧАС_МЕНЮ!I2737,СПРОС_ДЕНЬ_ЧАС_МЕНЮ!I2768,СПРОС_ДЕНЬ_ЧАС_МЕНЮ!I2799,СПРОС_ДЕНЬ_ЧАС_МЕНЮ!I2830,СПРОС_ДЕНЬ_ЧАС_МЕНЮ!I2861,СПРОС_ДЕНЬ_ЧАС_МЕНЮ!I2892,СПРОС_ДЕНЬ_ЧАС_МЕНЮ!I2923,СПРОС_ДЕНЬ_ЧАС_МЕНЮ!I2954,СПРОС_ДЕНЬ_ЧАС_МЕНЮ!I2985,СПРОС_ДЕНЬ_ЧАС_МЕНЮ!I3016,СПРОС_ДЕНЬ_ЧАС_МЕНЮ!I3047,СПРОС_ДЕНЬ_ЧАС_МЕНЮ!I3078,СПРОС_ДЕНЬ_ЧАС_МЕНЮ!I3109,СПРОС_ДЕНЬ_ЧАС_МЕНЮ!I3140,СПРОС_ДЕНЬ_ЧАС_МЕНЮ!I3171,СПРОС_ДЕНЬ_ЧАС_МЕНЮ!I3202,СПРОС_ДЕНЬ_ЧАС_МЕНЮ!I3233,СПРОС_ДЕНЬ_ЧАС_МЕНЮ!I3264)</f>
        <v>1.4652</v>
      </c>
      <c r="H40" s="12" t="s">
        <v>112</v>
      </c>
      <c r="I40" s="12" t="s">
        <v>137</v>
      </c>
      <c r="J40" s="12" t="n">
        <f aca="false">MAX(БАЛАНС_ДЕНЬ_ЧАС!F17,БАЛАНС_ДЕНЬ_ЧАС!F25,БАЛАНС_ДЕНЬ_ЧАС!F33,БАЛАНС_ДЕНЬ_ЧАС!F41,БАЛАНС_ДЕНЬ_ЧАС!F49,БАЛАНС_ДЕНЬ_ЧАС!F57,БАЛАНС_ДЕНЬ_ЧАС!F65,БАЛАНС_ДЕНЬ_ЧАС!F73,БАЛАНС_ДЕНЬ_ЧАС!F81,БАЛАНС_ДЕНЬ_ЧАС!F89,БАЛАНС_ДЕНЬ_ЧАС!F97,БАЛАНС_ДЕНЬ_ЧАС!F105,БАЛАНС_ДЕНЬ_ЧАС!F113,БАЛАНС_ДЕНЬ_ЧАС!F121,БАЛАНС_ДЕНЬ_ЧАС!F129,БАЛАНС_ДЕНЬ_ЧАС!F137,БАЛАНС_ДЕНЬ_ЧАС!F145,БАЛАНС_ДЕНЬ_ЧАС!F153,БАЛАНС_ДЕНЬ_ЧАС!F161,БАЛАНС_ДЕНЬ_ЧАС!F169,БАЛАНС_ДЕНЬ_ЧАС!F177,БАЛАНС_ДЕНЬ_ЧАС!F185,БАЛАНС_ДЕНЬ_ЧАС!F193,БАЛАНС_ДЕНЬ_ЧАС!F201,БАЛАНС_ДЕНЬ_ЧАС!F209,БАЛАНС_ДЕНЬ_ЧАС!F217,БАЛАНС_ДЕНЬ_ЧАС!F225,БАЛАНС_ДЕНЬ_ЧАС!F233,БАЛАНС_ДЕНЬ_ЧАС!F241,БАЛАНС_ДЕНЬ_ЧАС!F249,БАЛАНС_ДЕНЬ_ЧАС!F257,БАЛАНС_ДЕНЬ_ЧАС!F265,БАЛАНС_ДЕНЬ_ЧАС!F273,БАЛАНС_ДЕНЬ_ЧАС!F281,БАЛАНС_ДЕНЬ_ЧАС!F289,БАЛАНС_ДЕНЬ_ЧАС!F297,БАЛАНС_ДЕНЬ_ЧАС!F305,БАЛАНС_ДЕНЬ_ЧАС!F313,БАЛАНС_ДЕНЬ_ЧАС!F321,БАЛАНС_ДЕНЬ_ЧАС!F329,БАЛАНС_ДЕНЬ_ЧАС!F337,БАЛАНС_ДЕНЬ_ЧАС!F345,БАЛАНС_ДЕНЬ_ЧАС!F353,БАЛАНС_ДЕНЬ_ЧАС!F361,БАЛАНС_ДЕНЬ_ЧАС!F369,БАЛАНС_ДЕНЬ_ЧАС!F377,БАЛАНС_ДЕНЬ_ЧАС!F385,БАЛАНС_ДЕНЬ_ЧАС!F393,БАЛАНС_ДЕНЬ_ЧАС!F401,БАЛАНС_ДЕНЬ_ЧАС!F409,БАЛАНС_ДЕНЬ_ЧАС!F417,БАЛАНС_ДЕНЬ_ЧАС!F425,БАЛАНС_ДЕНЬ_ЧАС!F433,БАЛАНС_ДЕНЬ_ЧАС!F441,БАЛАНС_ДЕНЬ_ЧАС!F449,БАЛАНС_ДЕНЬ_ЧАС!F457,БАЛАНС_ДЕНЬ_ЧАС!F465,БАЛАНС_ДЕНЬ_ЧАС!F473,БАЛАНС_ДЕНЬ_ЧАС!F481,БАЛАНС_ДЕНЬ_ЧАС!F489,БАЛАНС_ДЕНЬ_ЧАС!F497,БАЛАНС_ДЕНЬ_ЧАС!F505,БАЛАНС_ДЕНЬ_ЧАС!F513,БАЛАНС_ДЕНЬ_ЧАС!F521,БАЛАНС_ДЕНЬ_ЧАС!F529,БАЛАНС_ДЕНЬ_ЧАС!F537,БАЛАНС_ДЕНЬ_ЧАС!F545,БАЛАНС_ДЕНЬ_ЧАС!F553,БАЛАНС_ДЕНЬ_ЧАС!F561,БАЛАНС_ДЕНЬ_ЧАС!F569,БАЛАНС_ДЕНЬ_ЧАС!F577,БАЛАНС_ДЕНЬ_ЧАС!F585,БАЛАНС_ДЕНЬ_ЧАС!F593,БАЛАНС_ДЕНЬ_ЧАС!F601,БАЛАНС_ДЕНЬ_ЧАС!F609,БАЛАНС_ДЕНЬ_ЧАС!F617,БАЛАНС_ДЕНЬ_ЧАС!F625,БАЛАНС_ДЕНЬ_ЧАС!F633,БАЛАНС_ДЕНЬ_ЧАС!F641,БАЛАНС_ДЕНЬ_ЧАС!F649,БАЛАНС_ДЕНЬ_ЧАС!F657,БАЛАНС_ДЕНЬ_ЧАС!F665,БАЛАНС_ДЕНЬ_ЧАС!F673,БАЛАНС_ДЕНЬ_ЧАС!F681,БАЛАНС_ДЕНЬ_ЧАС!F689,БАЛАНС_ДЕНЬ_ЧАС!F697,БАЛАНС_ДЕНЬ_ЧАС!F705,БАЛАНС_ДЕНЬ_ЧАС!F713,БАЛАНС_ДЕНЬ_ЧАС!F721,БАЛАНС_ДЕНЬ_ЧАС!F729,БАЛАНС_ДЕНЬ_ЧАС!F737,БАЛАНС_ДЕНЬ_ЧАС!F745,БАЛАНС_ДЕНЬ_ЧАС!F753,БАЛАНС_ДЕНЬ_ЧАС!F761,БАЛАНС_ДЕНЬ_ЧАС!F769,БАЛАНС_ДЕНЬ_ЧАС!F777,БАЛАНС_ДЕНЬ_ЧАС!F785,БАЛАНС_ДЕНЬ_ЧАС!F793,БАЛАНС_ДЕНЬ_ЧАС!F801,БАЛАНС_ДЕНЬ_ЧАС!F809,БАЛАНС_ДЕНЬ_ЧАС!F817,БАЛАНС_ДЕНЬ_ЧАС!F825,БАЛАНС_ДЕНЬ_ЧАС!F833,БАЛАНС_ДЕНЬ_ЧАС!F841,БАЛАНС_ДЕНЬ_ЧАС!F849)</f>
        <v>3.234</v>
      </c>
      <c r="K40" s="12" t="n">
        <f aca="false">ПАРАМЕТРЫ!D26</f>
        <v>20</v>
      </c>
      <c r="L40" s="12" t="n">
        <f aca="false">MAX(БАЛАНС_ДЕНЬ_ЧАС!I17,БАЛАНС_ДЕНЬ_ЧАС!I25,БАЛАНС_ДЕНЬ_ЧАС!I33,БАЛАНС_ДЕНЬ_ЧАС!I41,БАЛАНС_ДЕНЬ_ЧАС!I49,БАЛАНС_ДЕНЬ_ЧАС!I57,БАЛАНС_ДЕНЬ_ЧАС!I65,БАЛАНС_ДЕНЬ_ЧАС!I73,БАЛАНС_ДЕНЬ_ЧАС!I81,БАЛАНС_ДЕНЬ_ЧАС!I89,БАЛАНС_ДЕНЬ_ЧАС!I97,БАЛАНС_ДЕНЬ_ЧАС!I105,БАЛАНС_ДЕНЬ_ЧАС!I113,БАЛАНС_ДЕНЬ_ЧАС!I121,БАЛАНС_ДЕНЬ_ЧАС!I129,БАЛАНС_ДЕНЬ_ЧАС!I137,БАЛАНС_ДЕНЬ_ЧАС!I145,БАЛАНС_ДЕНЬ_ЧАС!I153,БАЛАНС_ДЕНЬ_ЧАС!I161,БАЛАНС_ДЕНЬ_ЧАС!I169,БАЛАНС_ДЕНЬ_ЧАС!I177,БАЛАНС_ДЕНЬ_ЧАС!I185,БАЛАНС_ДЕНЬ_ЧАС!I193,БАЛАНС_ДЕНЬ_ЧАС!I201,БАЛАНС_ДЕНЬ_ЧАС!I209,БАЛАНС_ДЕНЬ_ЧАС!I217,БАЛАНС_ДЕНЬ_ЧАС!I225,БАЛАНС_ДЕНЬ_ЧАС!I233,БАЛАНС_ДЕНЬ_ЧАС!I241,БАЛАНС_ДЕНЬ_ЧАС!I249,БАЛАНС_ДЕНЬ_ЧАС!I257,БАЛАНС_ДЕНЬ_ЧАС!I265,БАЛАНС_ДЕНЬ_ЧАС!I273,БАЛАНС_ДЕНЬ_ЧАС!I281,БАЛАНС_ДЕНЬ_ЧАС!I289,БАЛАНС_ДЕНЬ_ЧАС!I297,БАЛАНС_ДЕНЬ_ЧАС!I305,БАЛАНС_ДЕНЬ_ЧАС!I313,БАЛАНС_ДЕНЬ_ЧАС!I321,БАЛАНС_ДЕНЬ_ЧАС!I329,БАЛАНС_ДЕНЬ_ЧАС!I337,БАЛАНС_ДЕНЬ_ЧАС!I345,БАЛАНС_ДЕНЬ_ЧАС!I353,БАЛАНС_ДЕНЬ_ЧАС!I361,БАЛАНС_ДЕНЬ_ЧАС!I369,БАЛАНС_ДЕНЬ_ЧАС!I377,БАЛАНС_ДЕНЬ_ЧАС!I385,БАЛАНС_ДЕНЬ_ЧАС!I393,БАЛАНС_ДЕНЬ_ЧАС!I401,БАЛАНС_ДЕНЬ_ЧАС!I409,БАЛАНС_ДЕНЬ_ЧАС!I417,БАЛАНС_ДЕНЬ_ЧАС!I425,БАЛАНС_ДЕНЬ_ЧАС!I433,БАЛАНС_ДЕНЬ_ЧАС!I441,БАЛАНС_ДЕНЬ_ЧАС!I449,БАЛАНС_ДЕНЬ_ЧАС!I457,БАЛАНС_ДЕНЬ_ЧАС!I465,БАЛАНС_ДЕНЬ_ЧАС!I473,БАЛАНС_ДЕНЬ_ЧАС!I481,БАЛАНС_ДЕНЬ_ЧАС!I489,БАЛАНС_ДЕНЬ_ЧАС!I497,БАЛАНС_ДЕНЬ_ЧАС!I505,БАЛАНС_ДЕНЬ_ЧАС!I513,БАЛАНС_ДЕНЬ_ЧАС!I521,БАЛАНС_ДЕНЬ_ЧАС!I529,БАЛАНС_ДЕНЬ_ЧАС!I537,БАЛАНС_ДЕНЬ_ЧАС!I545,БАЛАНС_ДЕНЬ_ЧАС!I553,БАЛАНС_ДЕНЬ_ЧАС!I561,БАЛАНС_ДЕНЬ_ЧАС!I569,БАЛАНС_ДЕНЬ_ЧАС!I577,БАЛАНС_ДЕНЬ_ЧАС!I585,БАЛАНС_ДЕНЬ_ЧАС!I593,БАЛАНС_ДЕНЬ_ЧАС!I601,БАЛАНС_ДЕНЬ_ЧАС!I609,БАЛАНС_ДЕНЬ_ЧАС!I617,БАЛАНС_ДЕНЬ_ЧАС!I625,БАЛАНС_ДЕНЬ_ЧАС!I633,БАЛАНС_ДЕНЬ_ЧАС!I641,БАЛАНС_ДЕНЬ_ЧАС!I649,БАЛАНС_ДЕНЬ_ЧАС!I657,БАЛАНС_ДЕНЬ_ЧАС!I665,БАЛАНС_ДЕНЬ_ЧАС!I673,БАЛАНС_ДЕНЬ_ЧАС!I681,БАЛАНС_ДЕНЬ_ЧАС!I689,БАЛАНС_ДЕНЬ_ЧАС!I697,БАЛАНС_ДЕНЬ_ЧАС!I705,БАЛАНС_ДЕНЬ_ЧАС!I713,БАЛАНС_ДЕНЬ_ЧАС!I721,БАЛАНС_ДЕНЬ_ЧАС!I729,БАЛАНС_ДЕНЬ_ЧАС!I737,БАЛАНС_ДЕНЬ_ЧАС!I745,БАЛАНС_ДЕНЬ_ЧАС!I753,БАЛАНС_ДЕНЬ_ЧАС!I761,БАЛАНС_ДЕНЬ_ЧАС!I769,БАЛАНС_ДЕНЬ_ЧАС!I777,БАЛАНС_ДЕНЬ_ЧАС!I785,БАЛАНС_ДЕНЬ_ЧАС!I793,БАЛАНС_ДЕНЬ_ЧАС!I801,БАЛАНС_ДЕНЬ_ЧАС!I809,БАЛАНС_ДЕНЬ_ЧАС!I817,БАЛАНС_ДЕНЬ_ЧАС!I825,БАЛАНС_ДЕНЬ_ЧАС!I833,БАЛАНС_ДЕНЬ_ЧАС!I841,БАЛАНС_ДЕНЬ_ЧАС!I849)</f>
        <v>10</v>
      </c>
      <c r="M40" s="12" t="n">
        <f aca="false">MAX(БАЛАНС_ДЕНЬ_ЧАС!J17,БАЛАНС_ДЕНЬ_ЧАС!J25,БАЛАНС_ДЕНЬ_ЧАС!J33,БАЛАНС_ДЕНЬ_ЧАС!J41,БАЛАНС_ДЕНЬ_ЧАС!J49,БАЛАНС_ДЕНЬ_ЧАС!J57,БАЛАНС_ДЕНЬ_ЧАС!J65,БАЛАНС_ДЕНЬ_ЧАС!J73,БАЛАНС_ДЕНЬ_ЧАС!J81,БАЛАНС_ДЕНЬ_ЧАС!J89,БАЛАНС_ДЕНЬ_ЧАС!J97,БАЛАНС_ДЕНЬ_ЧАС!J105,БАЛАНС_ДЕНЬ_ЧАС!J113,БАЛАНС_ДЕНЬ_ЧАС!J121,БАЛАНС_ДЕНЬ_ЧАС!J129,БАЛАНС_ДЕНЬ_ЧАС!J137,БАЛАНС_ДЕНЬ_ЧАС!J145,БАЛАНС_ДЕНЬ_ЧАС!J153,БАЛАНС_ДЕНЬ_ЧАС!J161,БАЛАНС_ДЕНЬ_ЧАС!J169,БАЛАНС_ДЕНЬ_ЧАС!J177,БАЛАНС_ДЕНЬ_ЧАС!J185,БАЛАНС_ДЕНЬ_ЧАС!J193,БАЛАНС_ДЕНЬ_ЧАС!J201,БАЛАНС_ДЕНЬ_ЧАС!J209,БАЛАНС_ДЕНЬ_ЧАС!J217,БАЛАНС_ДЕНЬ_ЧАС!J225,БАЛАНС_ДЕНЬ_ЧАС!J233,БАЛАНС_ДЕНЬ_ЧАС!J241,БАЛАНС_ДЕНЬ_ЧАС!J249,БАЛАНС_ДЕНЬ_ЧАС!J257,БАЛАНС_ДЕНЬ_ЧАС!J265,БАЛАНС_ДЕНЬ_ЧАС!J273,БАЛАНС_ДЕНЬ_ЧАС!J281,БАЛАНС_ДЕНЬ_ЧАС!J289,БАЛАНС_ДЕНЬ_ЧАС!J297,БАЛАНС_ДЕНЬ_ЧАС!J305,БАЛАНС_ДЕНЬ_ЧАС!J313,БАЛАНС_ДЕНЬ_ЧАС!J321,БАЛАНС_ДЕНЬ_ЧАС!J329,БАЛАНС_ДЕНЬ_ЧАС!J337,БАЛАНС_ДЕНЬ_ЧАС!J345,БАЛАНС_ДЕНЬ_ЧАС!J353,БАЛАНС_ДЕНЬ_ЧАС!J361,БАЛАНС_ДЕНЬ_ЧАС!J369,БАЛАНС_ДЕНЬ_ЧАС!J377,БАЛАНС_ДЕНЬ_ЧАС!J385,БАЛАНС_ДЕНЬ_ЧАС!J393,БАЛАНС_ДЕНЬ_ЧАС!J401,БАЛАНС_ДЕНЬ_ЧАС!J409,БАЛАНС_ДЕНЬ_ЧАС!J417,БАЛАНС_ДЕНЬ_ЧАС!J425,БАЛАНС_ДЕНЬ_ЧАС!J433,БАЛАНС_ДЕНЬ_ЧАС!J441,БАЛАНС_ДЕНЬ_ЧАС!J449,БАЛАНС_ДЕНЬ_ЧАС!J457,БАЛАНС_ДЕНЬ_ЧАС!J465,БАЛАНС_ДЕНЬ_ЧАС!J473,БАЛАНС_ДЕНЬ_ЧАС!J481,БАЛАНС_ДЕНЬ_ЧАС!J489,БАЛАНС_ДЕНЬ_ЧАС!J497,БАЛАНС_ДЕНЬ_ЧАС!J505,БАЛАНС_ДЕНЬ_ЧАС!J513,БАЛАНС_ДЕНЬ_ЧАС!J521,БАЛАНС_ДЕНЬ_ЧАС!J529,БАЛАНС_ДЕНЬ_ЧАС!J537,БАЛАНС_ДЕНЬ_ЧАС!J545,БАЛАНС_ДЕНЬ_ЧАС!J553,БАЛАНС_ДЕНЬ_ЧАС!J561,БАЛАНС_ДЕНЬ_ЧАС!J569,БАЛАНС_ДЕНЬ_ЧАС!J577,БАЛАНС_ДЕНЬ_ЧАС!J585,БАЛАНС_ДЕНЬ_ЧАС!J593,БАЛАНС_ДЕНЬ_ЧАС!J601,БАЛАНС_ДЕНЬ_ЧАС!J609,БАЛАНС_ДЕНЬ_ЧАС!J617,БАЛАНС_ДЕНЬ_ЧАС!J625,БАЛАНС_ДЕНЬ_ЧАС!J633,БАЛАНС_ДЕНЬ_ЧАС!J641,БАЛАНС_ДЕНЬ_ЧАС!J649,БАЛАНС_ДЕНЬ_ЧАС!J657,БАЛАНС_ДЕНЬ_ЧАС!J665,БАЛАНС_ДЕНЬ_ЧАС!J673,БАЛАНС_ДЕНЬ_ЧАС!J681,БАЛАНС_ДЕНЬ_ЧАС!J689,БАЛАНС_ДЕНЬ_ЧАС!J697,БАЛАНС_ДЕНЬ_ЧАС!J705,БАЛАНС_ДЕНЬ_ЧАС!J713,БАЛАНС_ДЕНЬ_ЧАС!J721,БАЛАНС_ДЕНЬ_ЧАС!J729,БАЛАНС_ДЕНЬ_ЧАС!J737,БАЛАНС_ДЕНЬ_ЧАС!J745,БАЛАНС_ДЕНЬ_ЧАС!J753,БАЛАНС_ДЕНЬ_ЧАС!J761,БАЛАНС_ДЕНЬ_ЧАС!J769,БАЛАНС_ДЕНЬ_ЧАС!J777,БАЛАНС_ДЕНЬ_ЧАС!J785,БАЛАНС_ДЕНЬ_ЧАС!J793,БАЛАНС_ДЕНЬ_ЧАС!J801,БАЛАНС_ДЕНЬ_ЧАС!J809,БАЛАНС_ДЕНЬ_ЧАС!J817,БАЛАНС_ДЕНЬ_ЧАС!J825,БАЛАНС_ДЕНЬ_ЧАС!J833,БАЛАНС_ДЕНЬ_ЧАС!J841,БАЛАНС_ДЕНЬ_ЧАС!J849)</f>
        <v>10</v>
      </c>
      <c r="N40" s="12" t="n">
        <f aca="false">MAX(БАЛАНС_ДЕНЬ_ЧАС!K17,БАЛАНС_ДЕНЬ_ЧАС!K25,БАЛАНС_ДЕНЬ_ЧАС!K33,БАЛАНС_ДЕНЬ_ЧАС!K41,БАЛАНС_ДЕНЬ_ЧАС!K49,БАЛАНС_ДЕНЬ_ЧАС!K57,БАЛАНС_ДЕНЬ_ЧАС!K65,БАЛАНС_ДЕНЬ_ЧАС!K73,БАЛАНС_ДЕНЬ_ЧАС!K81,БАЛАНС_ДЕНЬ_ЧАС!K89,БАЛАНС_ДЕНЬ_ЧАС!K97,БАЛАНС_ДЕНЬ_ЧАС!K105,БАЛАНС_ДЕНЬ_ЧАС!K113,БАЛАНС_ДЕНЬ_ЧАС!K121,БАЛАНС_ДЕНЬ_ЧАС!K129,БАЛАНС_ДЕНЬ_ЧАС!K137,БАЛАНС_ДЕНЬ_ЧАС!K145,БАЛАНС_ДЕНЬ_ЧАС!K153,БАЛАНС_ДЕНЬ_ЧАС!K161,БАЛАНС_ДЕНЬ_ЧАС!K169,БАЛАНС_ДЕНЬ_ЧАС!K177,БАЛАНС_ДЕНЬ_ЧАС!K185,БАЛАНС_ДЕНЬ_ЧАС!K193,БАЛАНС_ДЕНЬ_ЧАС!K201,БАЛАНС_ДЕНЬ_ЧАС!K209,БАЛАНС_ДЕНЬ_ЧАС!K217,БАЛАНС_ДЕНЬ_ЧАС!K225,БАЛАНС_ДЕНЬ_ЧАС!K233,БАЛАНС_ДЕНЬ_ЧАС!K241,БАЛАНС_ДЕНЬ_ЧАС!K249,БАЛАНС_ДЕНЬ_ЧАС!K257,БАЛАНС_ДЕНЬ_ЧАС!K265,БАЛАНС_ДЕНЬ_ЧАС!K273,БАЛАНС_ДЕНЬ_ЧАС!K281,БАЛАНС_ДЕНЬ_ЧАС!K289,БАЛАНС_ДЕНЬ_ЧАС!K297,БАЛАНС_ДЕНЬ_ЧАС!K305,БАЛАНС_ДЕНЬ_ЧАС!K313,БАЛАНС_ДЕНЬ_ЧАС!K321,БАЛАНС_ДЕНЬ_ЧАС!K329,БАЛАНС_ДЕНЬ_ЧАС!K337,БАЛАНС_ДЕНЬ_ЧАС!K345,БАЛАНС_ДЕНЬ_ЧАС!K353,БАЛАНС_ДЕНЬ_ЧАС!K361,БАЛАНС_ДЕНЬ_ЧАС!K369,БАЛАНС_ДЕНЬ_ЧАС!K377,БАЛАНС_ДЕНЬ_ЧАС!K385,БАЛАНС_ДЕНЬ_ЧАС!K393,БАЛАНС_ДЕНЬ_ЧАС!K401,БАЛАНС_ДЕНЬ_ЧАС!K409,БАЛАНС_ДЕНЬ_ЧАС!K417,БАЛАНС_ДЕНЬ_ЧАС!K425,БАЛАНС_ДЕНЬ_ЧАС!K433,БАЛАНС_ДЕНЬ_ЧАС!K441,БАЛАНС_ДЕНЬ_ЧАС!K449,БАЛАНС_ДЕНЬ_ЧАС!K457,БАЛАНС_ДЕНЬ_ЧАС!K465,БАЛАНС_ДЕНЬ_ЧАС!K473,БАЛАНС_ДЕНЬ_ЧАС!K481,БАЛАНС_ДЕНЬ_ЧАС!K489,БАЛАНС_ДЕНЬ_ЧАС!K497,БАЛАНС_ДЕНЬ_ЧАС!K505,БАЛАНС_ДЕНЬ_ЧАС!K513,БАЛАНС_ДЕНЬ_ЧАС!K521,БАЛАНС_ДЕНЬ_ЧАС!K529,БАЛАНС_ДЕНЬ_ЧАС!K537,БАЛАНС_ДЕНЬ_ЧАС!K545,БАЛАНС_ДЕНЬ_ЧАС!K553,БАЛАНС_ДЕНЬ_ЧАС!K561,БАЛАНС_ДЕНЬ_ЧАС!K569,БАЛАНС_ДЕНЬ_ЧАС!K577,БАЛАНС_ДЕНЬ_ЧАС!K585,БАЛАНС_ДЕНЬ_ЧАС!K593,БАЛАНС_ДЕНЬ_ЧАС!K601,БАЛАНС_ДЕНЬ_ЧАС!K609,БАЛАНС_ДЕНЬ_ЧАС!K617,БАЛАНС_ДЕНЬ_ЧАС!K625,БАЛАНС_ДЕНЬ_ЧАС!K633,БАЛАНС_ДЕНЬ_ЧАС!K641,БАЛАНС_ДЕНЬ_ЧАС!K649,БАЛАНС_ДЕНЬ_ЧАС!K657,БАЛАНС_ДЕНЬ_ЧАС!K665,БАЛАНС_ДЕНЬ_ЧАС!K673,БАЛАНС_ДЕНЬ_ЧАС!K681,БАЛАНС_ДЕНЬ_ЧАС!K689,БАЛАНС_ДЕНЬ_ЧАС!K697,БАЛАНС_ДЕНЬ_ЧАС!K705,БАЛАНС_ДЕНЬ_ЧАС!K713,БАЛАНС_ДЕНЬ_ЧАС!K721,БАЛАНС_ДЕНЬ_ЧАС!K729,БАЛАНС_ДЕНЬ_ЧАС!K737,БАЛАНС_ДЕНЬ_ЧАС!K745,БАЛАНС_ДЕНЬ_ЧАС!K753,БАЛАНС_ДЕНЬ_ЧАС!K761,БАЛАНС_ДЕНЬ_ЧАС!K769,БАЛАНС_ДЕНЬ_ЧАС!K777,БАЛАНС_ДЕНЬ_ЧАС!K785,БАЛАНС_ДЕНЬ_ЧАС!K793,БАЛАНС_ДЕНЬ_ЧАС!K801,БАЛАНС_ДЕНЬ_ЧАС!K809,БАЛАНС_ДЕНЬ_ЧАС!K817,БАЛАНС_ДЕНЬ_ЧАС!K825,БАЛАНС_ДЕНЬ_ЧАС!K833,БАЛАНС_ДЕНЬ_ЧАС!K841,БАЛАНС_ДЕНЬ_ЧАС!K849)</f>
        <v>0</v>
      </c>
      <c r="O40" s="11" t="str">
        <f aca="false">IF(N40&gt;0,"BLOCKED","PASS")</f>
        <v>PASS</v>
      </c>
      <c r="P40" s="11" t="s">
        <v>145</v>
      </c>
    </row>
    <row r="41" customFormat="false" ht="15" hidden="false" customHeight="false" outlineLevel="0" collapsed="false">
      <c r="A41" s="11" t="n">
        <v>31</v>
      </c>
      <c r="B41" s="11" t="s">
        <v>92</v>
      </c>
      <c r="C41" s="11" t="s">
        <v>187</v>
      </c>
      <c r="D41" s="11" t="s">
        <v>91</v>
      </c>
      <c r="E41" s="12" t="n">
        <v>60</v>
      </c>
      <c r="F41" s="12" t="n">
        <f aca="false">SUMIF(СПРОС_ДЕНЬ_ЧАС_МЕНЮ!$C$11:$C$3265,A41,СПРОС_ДЕНЬ_ЧАС_МЕНЮ!$I$11:$I$3265)</f>
        <v>29.139</v>
      </c>
      <c r="G41" s="12" t="n">
        <f aca="false">MAX(СПРОС_ДЕНЬ_ЧАС_МЕНЮ!I41,СПРОС_ДЕНЬ_ЧАС_МЕНЮ!I72,СПРОС_ДЕНЬ_ЧАС_МЕНЮ!I103,СПРОС_ДЕНЬ_ЧАС_МЕНЮ!I134,СПРОС_ДЕНЬ_ЧАС_МЕНЮ!I165,СПРОС_ДЕНЬ_ЧАС_МЕНЮ!I196,СПРОС_ДЕНЬ_ЧАС_МЕНЮ!I227,СПРОС_ДЕНЬ_ЧАС_МЕНЮ!I258,СПРОС_ДЕНЬ_ЧАС_МЕНЮ!I289,СПРОС_ДЕНЬ_ЧАС_МЕНЮ!I320,СПРОС_ДЕНЬ_ЧАС_МЕНЮ!I351,СПРОС_ДЕНЬ_ЧАС_МЕНЮ!I382,СПРОС_ДЕНЬ_ЧАС_МЕНЮ!I413,СПРОС_ДЕНЬ_ЧАС_МЕНЮ!I444,СПРОС_ДЕНЬ_ЧАС_МЕНЮ!I475,СПРОС_ДЕНЬ_ЧАС_МЕНЮ!I506,СПРОС_ДЕНЬ_ЧАС_МЕНЮ!I537,СПРОС_ДЕНЬ_ЧАС_МЕНЮ!I568,СПРОС_ДЕНЬ_ЧАС_МЕНЮ!I599,СПРОС_ДЕНЬ_ЧАС_МЕНЮ!I630,СПРОС_ДЕНЬ_ЧАС_МЕНЮ!I661,СПРОС_ДЕНЬ_ЧАС_МЕНЮ!I692,СПРОС_ДЕНЬ_ЧАС_МЕНЮ!I723,СПРОС_ДЕНЬ_ЧАС_МЕНЮ!I754,СПРОС_ДЕНЬ_ЧАС_МЕНЮ!I785,СПРОС_ДЕНЬ_ЧАС_МЕНЮ!I816,СПРОС_ДЕНЬ_ЧАС_МЕНЮ!I847,СПРОС_ДЕНЬ_ЧАС_МЕНЮ!I878,СПРОС_ДЕНЬ_ЧАС_МЕНЮ!I909,СПРОС_ДЕНЬ_ЧАС_МЕНЮ!I940,СПРОС_ДЕНЬ_ЧАС_МЕНЮ!I971,СПРОС_ДЕНЬ_ЧАС_МЕНЮ!I1002,СПРОС_ДЕНЬ_ЧАС_МЕНЮ!I1033,СПРОС_ДЕНЬ_ЧАС_МЕНЮ!I1064,СПРОС_ДЕНЬ_ЧАС_МЕНЮ!I1095,СПРОС_ДЕНЬ_ЧАС_МЕНЮ!I1126,СПРОС_ДЕНЬ_ЧАС_МЕНЮ!I1157,СПРОС_ДЕНЬ_ЧАС_МЕНЮ!I1188,СПРОС_ДЕНЬ_ЧАС_МЕНЮ!I1219,СПРОС_ДЕНЬ_ЧАС_МЕНЮ!I1250,СПРОС_ДЕНЬ_ЧАС_МЕНЮ!I1281,СПРОС_ДЕНЬ_ЧАС_МЕНЮ!I1312,СПРОС_ДЕНЬ_ЧАС_МЕНЮ!I1343,СПРОС_ДЕНЬ_ЧАС_МЕНЮ!I1374,СПРОС_ДЕНЬ_ЧАС_МЕНЮ!I1405,СПРОС_ДЕНЬ_ЧАС_МЕНЮ!I1436,СПРОС_ДЕНЬ_ЧАС_МЕНЮ!I1467,СПРОС_ДЕНЬ_ЧАС_МЕНЮ!I1498,СПРОС_ДЕНЬ_ЧАС_МЕНЮ!I1529,СПРОС_ДЕНЬ_ЧАС_МЕНЮ!I1560,СПРОС_ДЕНЬ_ЧАС_МЕНЮ!I1591,СПРОС_ДЕНЬ_ЧАС_МЕНЮ!I1622,СПРОС_ДЕНЬ_ЧАС_МЕНЮ!I1653,СПРОС_ДЕНЬ_ЧАС_МЕНЮ!I1684,СПРОС_ДЕНЬ_ЧАС_МЕНЮ!I1715,СПРОС_ДЕНЬ_ЧАС_МЕНЮ!I1746,СПРОС_ДЕНЬ_ЧАС_МЕНЮ!I1777,СПРОС_ДЕНЬ_ЧАС_МЕНЮ!I1808,СПРОС_ДЕНЬ_ЧАС_МЕНЮ!I1839,СПРОС_ДЕНЬ_ЧАС_МЕНЮ!I1870,СПРОС_ДЕНЬ_ЧАС_МЕНЮ!I1901,СПРОС_ДЕНЬ_ЧАС_МЕНЮ!I1932,СПРОС_ДЕНЬ_ЧАС_МЕНЮ!I1963,СПРОС_ДЕНЬ_ЧАС_МЕНЮ!I1994,СПРОС_ДЕНЬ_ЧАС_МЕНЮ!I2025,СПРОС_ДЕНЬ_ЧАС_МЕНЮ!I2056,СПРОС_ДЕНЬ_ЧАС_МЕНЮ!I2087,СПРОС_ДЕНЬ_ЧАС_МЕНЮ!I2118,СПРОС_ДЕНЬ_ЧАС_МЕНЮ!I2149,СПРОС_ДЕНЬ_ЧАС_МЕНЮ!I2180,СПРОС_ДЕНЬ_ЧАС_МЕНЮ!I2211,СПРОС_ДЕНЬ_ЧАС_МЕНЮ!I2242,СПРОС_ДЕНЬ_ЧАС_МЕНЮ!I2273,СПРОС_ДЕНЬ_ЧАС_МЕНЮ!I2304,СПРОС_ДЕНЬ_ЧАС_МЕНЮ!I2335,СПРОС_ДЕНЬ_ЧАС_МЕНЮ!I2366,СПРОС_ДЕНЬ_ЧАС_МЕНЮ!I2397,СПРОС_ДЕНЬ_ЧАС_МЕНЮ!I2428,СПРОС_ДЕНЬ_ЧАС_МЕНЮ!I2459,СПРОС_ДЕНЬ_ЧАС_МЕНЮ!I2490,СПРОС_ДЕНЬ_ЧАС_МЕНЮ!I2521,СПРОС_ДЕНЬ_ЧАС_МЕНЮ!I2552,СПРОС_ДЕНЬ_ЧАС_МЕНЮ!I2583,СПРОС_ДЕНЬ_ЧАС_МЕНЮ!I2614,СПРОС_ДЕНЬ_ЧАС_МЕНЮ!I2645,СПРОС_ДЕНЬ_ЧАС_МЕНЮ!I2676,СПРОС_ДЕНЬ_ЧАС_МЕНЮ!I2707,СПРОС_ДЕНЬ_ЧАС_МЕНЮ!I2738,СПРОС_ДЕНЬ_ЧАС_МЕНЮ!I2769,СПРОС_ДЕНЬ_ЧАС_МЕНЮ!I2800,СПРОС_ДЕНЬ_ЧАС_МЕНЮ!I2831,СПРОС_ДЕНЬ_ЧАС_МЕНЮ!I2862,СПРОС_ДЕНЬ_ЧАС_МЕНЮ!I2893,СПРОС_ДЕНЬ_ЧАС_МЕНЮ!I2924,СПРОС_ДЕНЬ_ЧАС_МЕНЮ!I2955,СПРОС_ДЕНЬ_ЧАС_МЕНЮ!I2986,СПРОС_ДЕНЬ_ЧАС_МЕНЮ!I3017,СПРОС_ДЕНЬ_ЧАС_МЕНЮ!I3048,СПРОС_ДЕНЬ_ЧАС_МЕНЮ!I3079,СПРОС_ДЕНЬ_ЧАС_МЕНЮ!I3110,СПРОС_ДЕНЬ_ЧАС_МЕНЮ!I3141,СПРОС_ДЕНЬ_ЧАС_МЕНЮ!I3172,СПРОС_ДЕНЬ_ЧАС_МЕНЮ!I3203,СПРОС_ДЕНЬ_ЧАС_МЕНЮ!I3234,СПРОС_ДЕНЬ_ЧАС_МЕНЮ!I3265)</f>
        <v>0.6336</v>
      </c>
      <c r="H41" s="12" t="s">
        <v>112</v>
      </c>
      <c r="I41" s="12" t="s">
        <v>137</v>
      </c>
      <c r="J41" s="12" t="n">
        <f aca="false">MAX(БАЛАНС_ДЕНЬ_ЧАС!F17,БАЛАНС_ДЕНЬ_ЧАС!F25,БАЛАНС_ДЕНЬ_ЧАС!F33,БАЛАНС_ДЕНЬ_ЧАС!F41,БАЛАНС_ДЕНЬ_ЧАС!F49,БАЛАНС_ДЕНЬ_ЧАС!F57,БАЛАНС_ДЕНЬ_ЧАС!F65,БАЛАНС_ДЕНЬ_ЧАС!F73,БАЛАНС_ДЕНЬ_ЧАС!F81,БАЛАНС_ДЕНЬ_ЧАС!F89,БАЛАНС_ДЕНЬ_ЧАС!F97,БАЛАНС_ДЕНЬ_ЧАС!F105,БАЛАНС_ДЕНЬ_ЧАС!F113,БАЛАНС_ДЕНЬ_ЧАС!F121,БАЛАНС_ДЕНЬ_ЧАС!F129,БАЛАНС_ДЕНЬ_ЧАС!F137,БАЛАНС_ДЕНЬ_ЧАС!F145,БАЛАНС_ДЕНЬ_ЧАС!F153,БАЛАНС_ДЕНЬ_ЧАС!F161,БАЛАНС_ДЕНЬ_ЧАС!F169,БАЛАНС_ДЕНЬ_ЧАС!F177,БАЛАНС_ДЕНЬ_ЧАС!F185,БАЛАНС_ДЕНЬ_ЧАС!F193,БАЛАНС_ДЕНЬ_ЧАС!F201,БАЛАНС_ДЕНЬ_ЧАС!F209,БАЛАНС_ДЕНЬ_ЧАС!F217,БАЛАНС_ДЕНЬ_ЧАС!F225,БАЛАНС_ДЕНЬ_ЧАС!F233,БАЛАНС_ДЕНЬ_ЧАС!F241,БАЛАНС_ДЕНЬ_ЧАС!F249,БАЛАНС_ДЕНЬ_ЧАС!F257,БАЛАНС_ДЕНЬ_ЧАС!F265,БАЛАНС_ДЕНЬ_ЧАС!F273,БАЛАНС_ДЕНЬ_ЧАС!F281,БАЛАНС_ДЕНЬ_ЧАС!F289,БАЛАНС_ДЕНЬ_ЧАС!F297,БАЛАНС_ДЕНЬ_ЧАС!F305,БАЛАНС_ДЕНЬ_ЧАС!F313,БАЛАНС_ДЕНЬ_ЧАС!F321,БАЛАНС_ДЕНЬ_ЧАС!F329,БАЛАНС_ДЕНЬ_ЧАС!F337,БАЛАНС_ДЕНЬ_ЧАС!F345,БАЛАНС_ДЕНЬ_ЧАС!F353,БАЛАНС_ДЕНЬ_ЧАС!F361,БАЛАНС_ДЕНЬ_ЧАС!F369,БАЛАНС_ДЕНЬ_ЧАС!F377,БАЛАНС_ДЕНЬ_ЧАС!F385,БАЛАНС_ДЕНЬ_ЧАС!F393,БАЛАНС_ДЕНЬ_ЧАС!F401,БАЛАНС_ДЕНЬ_ЧАС!F409,БАЛАНС_ДЕНЬ_ЧАС!F417,БАЛАНС_ДЕНЬ_ЧАС!F425,БАЛАНС_ДЕНЬ_ЧАС!F433,БАЛАНС_ДЕНЬ_ЧАС!F441,БАЛАНС_ДЕНЬ_ЧАС!F449,БАЛАНС_ДЕНЬ_ЧАС!F457,БАЛАНС_ДЕНЬ_ЧАС!F465,БАЛАНС_ДЕНЬ_ЧАС!F473,БАЛАНС_ДЕНЬ_ЧАС!F481,БАЛАНС_ДЕНЬ_ЧАС!F489,БАЛАНС_ДЕНЬ_ЧАС!F497,БАЛАНС_ДЕНЬ_ЧАС!F505,БАЛАНС_ДЕНЬ_ЧАС!F513,БАЛАНС_ДЕНЬ_ЧАС!F521,БАЛАНС_ДЕНЬ_ЧАС!F529,БАЛАНС_ДЕНЬ_ЧАС!F537,БАЛАНС_ДЕНЬ_ЧАС!F545,БАЛАНС_ДЕНЬ_ЧАС!F553,БАЛАНС_ДЕНЬ_ЧАС!F561,БАЛАНС_ДЕНЬ_ЧАС!F569,БАЛАНС_ДЕНЬ_ЧАС!F577,БАЛАНС_ДЕНЬ_ЧАС!F585,БАЛАНС_ДЕНЬ_ЧАС!F593,БАЛАНС_ДЕНЬ_ЧАС!F601,БАЛАНС_ДЕНЬ_ЧАС!F609,БАЛАНС_ДЕНЬ_ЧАС!F617,БАЛАНС_ДЕНЬ_ЧАС!F625,БАЛАНС_ДЕНЬ_ЧАС!F633,БАЛАНС_ДЕНЬ_ЧАС!F641,БАЛАНС_ДЕНЬ_ЧАС!F649,БАЛАНС_ДЕНЬ_ЧАС!F657,БАЛАНС_ДЕНЬ_ЧАС!F665,БАЛАНС_ДЕНЬ_ЧАС!F673,БАЛАНС_ДЕНЬ_ЧАС!F681,БАЛАНС_ДЕНЬ_ЧАС!F689,БАЛАНС_ДЕНЬ_ЧАС!F697,БАЛАНС_ДЕНЬ_ЧАС!F705,БАЛАНС_ДЕНЬ_ЧАС!F713,БАЛАНС_ДЕНЬ_ЧАС!F721,БАЛАНС_ДЕНЬ_ЧАС!F729,БАЛАНС_ДЕНЬ_ЧАС!F737,БАЛАНС_ДЕНЬ_ЧАС!F745,БАЛАНС_ДЕНЬ_ЧАС!F753,БАЛАНС_ДЕНЬ_ЧАС!F761,БАЛАНС_ДЕНЬ_ЧАС!F769,БАЛАНС_ДЕНЬ_ЧАС!F777,БАЛАНС_ДЕНЬ_ЧАС!F785,БАЛАНС_ДЕНЬ_ЧАС!F793,БАЛАНС_ДЕНЬ_ЧАС!F801,БАЛАНС_ДЕНЬ_ЧАС!F809,БАЛАНС_ДЕНЬ_ЧАС!F817,БАЛАНС_ДЕНЬ_ЧАС!F825,БАЛАНС_ДЕНЬ_ЧАС!F833,БАЛАНС_ДЕНЬ_ЧАС!F841,БАЛАНС_ДЕНЬ_ЧАС!F849)</f>
        <v>3.234</v>
      </c>
      <c r="K41" s="12" t="n">
        <f aca="false">ПАРАМЕТРЫ!D26</f>
        <v>20</v>
      </c>
      <c r="L41" s="12" t="n">
        <f aca="false">MAX(БАЛАНС_ДЕНЬ_ЧАС!I17,БАЛАНС_ДЕНЬ_ЧАС!I25,БАЛАНС_ДЕНЬ_ЧАС!I33,БАЛАНС_ДЕНЬ_ЧАС!I41,БАЛАНС_ДЕНЬ_ЧАС!I49,БАЛАНС_ДЕНЬ_ЧАС!I57,БАЛАНС_ДЕНЬ_ЧАС!I65,БАЛАНС_ДЕНЬ_ЧАС!I73,БАЛАНС_ДЕНЬ_ЧАС!I81,БАЛАНС_ДЕНЬ_ЧАС!I89,БАЛАНС_ДЕНЬ_ЧАС!I97,БАЛАНС_ДЕНЬ_ЧАС!I105,БАЛАНС_ДЕНЬ_ЧАС!I113,БАЛАНС_ДЕНЬ_ЧАС!I121,БАЛАНС_ДЕНЬ_ЧАС!I129,БАЛАНС_ДЕНЬ_ЧАС!I137,БАЛАНС_ДЕНЬ_ЧАС!I145,БАЛАНС_ДЕНЬ_ЧАС!I153,БАЛАНС_ДЕНЬ_ЧАС!I161,БАЛАНС_ДЕНЬ_ЧАС!I169,БАЛАНС_ДЕНЬ_ЧАС!I177,БАЛАНС_ДЕНЬ_ЧАС!I185,БАЛАНС_ДЕНЬ_ЧАС!I193,БАЛАНС_ДЕНЬ_ЧАС!I201,БАЛАНС_ДЕНЬ_ЧАС!I209,БАЛАНС_ДЕНЬ_ЧАС!I217,БАЛАНС_ДЕНЬ_ЧАС!I225,БАЛАНС_ДЕНЬ_ЧАС!I233,БАЛАНС_ДЕНЬ_ЧАС!I241,БАЛАНС_ДЕНЬ_ЧАС!I249,БАЛАНС_ДЕНЬ_ЧАС!I257,БАЛАНС_ДЕНЬ_ЧАС!I265,БАЛАНС_ДЕНЬ_ЧАС!I273,БАЛАНС_ДЕНЬ_ЧАС!I281,БАЛАНС_ДЕНЬ_ЧАС!I289,БАЛАНС_ДЕНЬ_ЧАС!I297,БАЛАНС_ДЕНЬ_ЧАС!I305,БАЛАНС_ДЕНЬ_ЧАС!I313,БАЛАНС_ДЕНЬ_ЧАС!I321,БАЛАНС_ДЕНЬ_ЧАС!I329,БАЛАНС_ДЕНЬ_ЧАС!I337,БАЛАНС_ДЕНЬ_ЧАС!I345,БАЛАНС_ДЕНЬ_ЧАС!I353,БАЛАНС_ДЕНЬ_ЧАС!I361,БАЛАНС_ДЕНЬ_ЧАС!I369,БАЛАНС_ДЕНЬ_ЧАС!I377,БАЛАНС_ДЕНЬ_ЧАС!I385,БАЛАНС_ДЕНЬ_ЧАС!I393,БАЛАНС_ДЕНЬ_ЧАС!I401,БАЛАНС_ДЕНЬ_ЧАС!I409,БАЛАНС_ДЕНЬ_ЧАС!I417,БАЛАНС_ДЕНЬ_ЧАС!I425,БАЛАНС_ДЕНЬ_ЧАС!I433,БАЛАНС_ДЕНЬ_ЧАС!I441,БАЛАНС_ДЕНЬ_ЧАС!I449,БАЛАНС_ДЕНЬ_ЧАС!I457,БАЛАНС_ДЕНЬ_ЧАС!I465,БАЛАНС_ДЕНЬ_ЧАС!I473,БАЛАНС_ДЕНЬ_ЧАС!I481,БАЛАНС_ДЕНЬ_ЧАС!I489,БАЛАНС_ДЕНЬ_ЧАС!I497,БАЛАНС_ДЕНЬ_ЧАС!I505,БАЛАНС_ДЕНЬ_ЧАС!I513,БАЛАНС_ДЕНЬ_ЧАС!I521,БАЛАНС_ДЕНЬ_ЧАС!I529,БАЛАНС_ДЕНЬ_ЧАС!I537,БАЛАНС_ДЕНЬ_ЧАС!I545,БАЛАНС_ДЕНЬ_ЧАС!I553,БАЛАНС_ДЕНЬ_ЧАС!I561,БАЛАНС_ДЕНЬ_ЧАС!I569,БАЛАНС_ДЕНЬ_ЧАС!I577,БАЛАНС_ДЕНЬ_ЧАС!I585,БАЛАНС_ДЕНЬ_ЧАС!I593,БАЛАНС_ДЕНЬ_ЧАС!I601,БАЛАНС_ДЕНЬ_ЧАС!I609,БАЛАНС_ДЕНЬ_ЧАС!I617,БАЛАНС_ДЕНЬ_ЧАС!I625,БАЛАНС_ДЕНЬ_ЧАС!I633,БАЛАНС_ДЕНЬ_ЧАС!I641,БАЛАНС_ДЕНЬ_ЧАС!I649,БАЛАНС_ДЕНЬ_ЧАС!I657,БАЛАНС_ДЕНЬ_ЧАС!I665,БАЛАНС_ДЕНЬ_ЧАС!I673,БАЛАНС_ДЕНЬ_ЧАС!I681,БАЛАНС_ДЕНЬ_ЧАС!I689,БАЛАНС_ДЕНЬ_ЧАС!I697,БАЛАНС_ДЕНЬ_ЧАС!I705,БАЛАНС_ДЕНЬ_ЧАС!I713,БАЛАНС_ДЕНЬ_ЧАС!I721,БАЛАНС_ДЕНЬ_ЧАС!I729,БАЛАНС_ДЕНЬ_ЧАС!I737,БАЛАНС_ДЕНЬ_ЧАС!I745,БАЛАНС_ДЕНЬ_ЧАС!I753,БАЛАНС_ДЕНЬ_ЧАС!I761,БАЛАНС_ДЕНЬ_ЧАС!I769,БАЛАНС_ДЕНЬ_ЧАС!I777,БАЛАНС_ДЕНЬ_ЧАС!I785,БАЛАНС_ДЕНЬ_ЧАС!I793,БАЛАНС_ДЕНЬ_ЧАС!I801,БАЛАНС_ДЕНЬ_ЧАС!I809,БАЛАНС_ДЕНЬ_ЧАС!I817,БАЛАНС_ДЕНЬ_ЧАС!I825,БАЛАНС_ДЕНЬ_ЧАС!I833,БАЛАНС_ДЕНЬ_ЧАС!I841,БАЛАНС_ДЕНЬ_ЧАС!I849)</f>
        <v>10</v>
      </c>
      <c r="M41" s="12" t="n">
        <f aca="false">MAX(БАЛАНС_ДЕНЬ_ЧАС!J17,БАЛАНС_ДЕНЬ_ЧАС!J25,БАЛАНС_ДЕНЬ_ЧАС!J33,БАЛАНС_ДЕНЬ_ЧАС!J41,БАЛАНС_ДЕНЬ_ЧАС!J49,БАЛАНС_ДЕНЬ_ЧАС!J57,БАЛАНС_ДЕНЬ_ЧАС!J65,БАЛАНС_ДЕНЬ_ЧАС!J73,БАЛАНС_ДЕНЬ_ЧАС!J81,БАЛАНС_ДЕНЬ_ЧАС!J89,БАЛАНС_ДЕНЬ_ЧАС!J97,БАЛАНС_ДЕНЬ_ЧАС!J105,БАЛАНС_ДЕНЬ_ЧАС!J113,БАЛАНС_ДЕНЬ_ЧАС!J121,БАЛАНС_ДЕНЬ_ЧАС!J129,БАЛАНС_ДЕНЬ_ЧАС!J137,БАЛАНС_ДЕНЬ_ЧАС!J145,БАЛАНС_ДЕНЬ_ЧАС!J153,БАЛАНС_ДЕНЬ_ЧАС!J161,БАЛАНС_ДЕНЬ_ЧАС!J169,БАЛАНС_ДЕНЬ_ЧАС!J177,БАЛАНС_ДЕНЬ_ЧАС!J185,БАЛАНС_ДЕНЬ_ЧАС!J193,БАЛАНС_ДЕНЬ_ЧАС!J201,БАЛАНС_ДЕНЬ_ЧАС!J209,БАЛАНС_ДЕНЬ_ЧАС!J217,БАЛАНС_ДЕНЬ_ЧАС!J225,БАЛАНС_ДЕНЬ_ЧАС!J233,БАЛАНС_ДЕНЬ_ЧАС!J241,БАЛАНС_ДЕНЬ_ЧАС!J249,БАЛАНС_ДЕНЬ_ЧАС!J257,БАЛАНС_ДЕНЬ_ЧАС!J265,БАЛАНС_ДЕНЬ_ЧАС!J273,БАЛАНС_ДЕНЬ_ЧАС!J281,БАЛАНС_ДЕНЬ_ЧАС!J289,БАЛАНС_ДЕНЬ_ЧАС!J297,БАЛАНС_ДЕНЬ_ЧАС!J305,БАЛАНС_ДЕНЬ_ЧАС!J313,БАЛАНС_ДЕНЬ_ЧАС!J321,БАЛАНС_ДЕНЬ_ЧАС!J329,БАЛАНС_ДЕНЬ_ЧАС!J337,БАЛАНС_ДЕНЬ_ЧАС!J345,БАЛАНС_ДЕНЬ_ЧАС!J353,БАЛАНС_ДЕНЬ_ЧАС!J361,БАЛАНС_ДЕНЬ_ЧАС!J369,БАЛАНС_ДЕНЬ_ЧАС!J377,БАЛАНС_ДЕНЬ_ЧАС!J385,БАЛАНС_ДЕНЬ_ЧАС!J393,БАЛАНС_ДЕНЬ_ЧАС!J401,БАЛАНС_ДЕНЬ_ЧАС!J409,БАЛАНС_ДЕНЬ_ЧАС!J417,БАЛАНС_ДЕНЬ_ЧАС!J425,БАЛАНС_ДЕНЬ_ЧАС!J433,БАЛАНС_ДЕНЬ_ЧАС!J441,БАЛАНС_ДЕНЬ_ЧАС!J449,БАЛАНС_ДЕНЬ_ЧАС!J457,БАЛАНС_ДЕНЬ_ЧАС!J465,БАЛАНС_ДЕНЬ_ЧАС!J473,БАЛАНС_ДЕНЬ_ЧАС!J481,БАЛАНС_ДЕНЬ_ЧАС!J489,БАЛАНС_ДЕНЬ_ЧАС!J497,БАЛАНС_ДЕНЬ_ЧАС!J505,БАЛАНС_ДЕНЬ_ЧАС!J513,БАЛАНС_ДЕНЬ_ЧАС!J521,БАЛАНС_ДЕНЬ_ЧАС!J529,БАЛАНС_ДЕНЬ_ЧАС!J537,БАЛАНС_ДЕНЬ_ЧАС!J545,БАЛАНС_ДЕНЬ_ЧАС!J553,БАЛАНС_ДЕНЬ_ЧАС!J561,БАЛАНС_ДЕНЬ_ЧАС!J569,БАЛАНС_ДЕНЬ_ЧАС!J577,БАЛАНС_ДЕНЬ_ЧАС!J585,БАЛАНС_ДЕНЬ_ЧАС!J593,БАЛАНС_ДЕНЬ_ЧАС!J601,БАЛАНС_ДЕНЬ_ЧАС!J609,БАЛАНС_ДЕНЬ_ЧАС!J617,БАЛАНС_ДЕНЬ_ЧАС!J625,БАЛАНС_ДЕНЬ_ЧАС!J633,БАЛАНС_ДЕНЬ_ЧАС!J641,БАЛАНС_ДЕНЬ_ЧАС!J649,БАЛАНС_ДЕНЬ_ЧАС!J657,БАЛАНС_ДЕНЬ_ЧАС!J665,БАЛАНС_ДЕНЬ_ЧАС!J673,БАЛАНС_ДЕНЬ_ЧАС!J681,БАЛАНС_ДЕНЬ_ЧАС!J689,БАЛАНС_ДЕНЬ_ЧАС!J697,БАЛАНС_ДЕНЬ_ЧАС!J705,БАЛАНС_ДЕНЬ_ЧАС!J713,БАЛАНС_ДЕНЬ_ЧАС!J721,БАЛАНС_ДЕНЬ_ЧАС!J729,БАЛАНС_ДЕНЬ_ЧАС!J737,БАЛАНС_ДЕНЬ_ЧАС!J745,БАЛАНС_ДЕНЬ_ЧАС!J753,БАЛАНС_ДЕНЬ_ЧАС!J761,БАЛАНС_ДЕНЬ_ЧАС!J769,БАЛАНС_ДЕНЬ_ЧАС!J777,БАЛАНС_ДЕНЬ_ЧАС!J785,БАЛАНС_ДЕНЬ_ЧАС!J793,БАЛАНС_ДЕНЬ_ЧАС!J801,БАЛАНС_ДЕНЬ_ЧАС!J809,БАЛАНС_ДЕНЬ_ЧАС!J817,БАЛАНС_ДЕНЬ_ЧАС!J825,БАЛАНС_ДЕНЬ_ЧАС!J833,БАЛАНС_ДЕНЬ_ЧАС!J841,БАЛАНС_ДЕНЬ_ЧАС!J849)</f>
        <v>10</v>
      </c>
      <c r="N41" s="12" t="n">
        <f aca="false">MAX(БАЛАНС_ДЕНЬ_ЧАС!K17,БАЛАНС_ДЕНЬ_ЧАС!K25,БАЛАНС_ДЕНЬ_ЧАС!K33,БАЛАНС_ДЕНЬ_ЧАС!K41,БАЛАНС_ДЕНЬ_ЧАС!K49,БАЛАНС_ДЕНЬ_ЧАС!K57,БАЛАНС_ДЕНЬ_ЧАС!K65,БАЛАНС_ДЕНЬ_ЧАС!K73,БАЛАНС_ДЕНЬ_ЧАС!K81,БАЛАНС_ДЕНЬ_ЧАС!K89,БАЛАНС_ДЕНЬ_ЧАС!K97,БАЛАНС_ДЕНЬ_ЧАС!K105,БАЛАНС_ДЕНЬ_ЧАС!K113,БАЛАНС_ДЕНЬ_ЧАС!K121,БАЛАНС_ДЕНЬ_ЧАС!K129,БАЛАНС_ДЕНЬ_ЧАС!K137,БАЛАНС_ДЕНЬ_ЧАС!K145,БАЛАНС_ДЕНЬ_ЧАС!K153,БАЛАНС_ДЕНЬ_ЧАС!K161,БАЛАНС_ДЕНЬ_ЧАС!K169,БАЛАНС_ДЕНЬ_ЧАС!K177,БАЛАНС_ДЕНЬ_ЧАС!K185,БАЛАНС_ДЕНЬ_ЧАС!K193,БАЛАНС_ДЕНЬ_ЧАС!K201,БАЛАНС_ДЕНЬ_ЧАС!K209,БАЛАНС_ДЕНЬ_ЧАС!K217,БАЛАНС_ДЕНЬ_ЧАС!K225,БАЛАНС_ДЕНЬ_ЧАС!K233,БАЛАНС_ДЕНЬ_ЧАС!K241,БАЛАНС_ДЕНЬ_ЧАС!K249,БАЛАНС_ДЕНЬ_ЧАС!K257,БАЛАНС_ДЕНЬ_ЧАС!K265,БАЛАНС_ДЕНЬ_ЧАС!K273,БАЛАНС_ДЕНЬ_ЧАС!K281,БАЛАНС_ДЕНЬ_ЧАС!K289,БАЛАНС_ДЕНЬ_ЧАС!K297,БАЛАНС_ДЕНЬ_ЧАС!K305,БАЛАНС_ДЕНЬ_ЧАС!K313,БАЛАНС_ДЕНЬ_ЧАС!K321,БАЛАНС_ДЕНЬ_ЧАС!K329,БАЛАНС_ДЕНЬ_ЧАС!K337,БАЛАНС_ДЕНЬ_ЧАС!K345,БАЛАНС_ДЕНЬ_ЧАС!K353,БАЛАНС_ДЕНЬ_ЧАС!K361,БАЛАНС_ДЕНЬ_ЧАС!K369,БАЛАНС_ДЕНЬ_ЧАС!K377,БАЛАНС_ДЕНЬ_ЧАС!K385,БАЛАНС_ДЕНЬ_ЧАС!K393,БАЛАНС_ДЕНЬ_ЧАС!K401,БАЛАНС_ДЕНЬ_ЧАС!K409,БАЛАНС_ДЕНЬ_ЧАС!K417,БАЛАНС_ДЕНЬ_ЧАС!K425,БАЛАНС_ДЕНЬ_ЧАС!K433,БАЛАНС_ДЕНЬ_ЧАС!K441,БАЛАНС_ДЕНЬ_ЧАС!K449,БАЛАНС_ДЕНЬ_ЧАС!K457,БАЛАНС_ДЕНЬ_ЧАС!K465,БАЛАНС_ДЕНЬ_ЧАС!K473,БАЛАНС_ДЕНЬ_ЧАС!K481,БАЛАНС_ДЕНЬ_ЧАС!K489,БАЛАНС_ДЕНЬ_ЧАС!K497,БАЛАНС_ДЕНЬ_ЧАС!K505,БАЛАНС_ДЕНЬ_ЧАС!K513,БАЛАНС_ДЕНЬ_ЧАС!K521,БАЛАНС_ДЕНЬ_ЧАС!K529,БАЛАНС_ДЕНЬ_ЧАС!K537,БАЛАНС_ДЕНЬ_ЧАС!K545,БАЛАНС_ДЕНЬ_ЧАС!K553,БАЛАНС_ДЕНЬ_ЧАС!K561,БАЛАНС_ДЕНЬ_ЧАС!K569,БАЛАНС_ДЕНЬ_ЧАС!K577,БАЛАНС_ДЕНЬ_ЧАС!K585,БАЛАНС_ДЕНЬ_ЧАС!K593,БАЛАНС_ДЕНЬ_ЧАС!K601,БАЛАНС_ДЕНЬ_ЧАС!K609,БАЛАНС_ДЕНЬ_ЧАС!K617,БАЛАНС_ДЕНЬ_ЧАС!K625,БАЛАНС_ДЕНЬ_ЧАС!K633,БАЛАНС_ДЕНЬ_ЧАС!K641,БАЛАНС_ДЕНЬ_ЧАС!K649,БАЛАНС_ДЕНЬ_ЧАС!K657,БАЛАНС_ДЕНЬ_ЧАС!K665,БАЛАНС_ДЕНЬ_ЧАС!K673,БАЛАНС_ДЕНЬ_ЧАС!K681,БАЛАНС_ДЕНЬ_ЧАС!K689,БАЛАНС_ДЕНЬ_ЧАС!K697,БАЛАНС_ДЕНЬ_ЧАС!K705,БАЛАНС_ДЕНЬ_ЧАС!K713,БАЛАНС_ДЕНЬ_ЧАС!K721,БАЛАНС_ДЕНЬ_ЧАС!K729,БАЛАНС_ДЕНЬ_ЧАС!K737,БАЛАНС_ДЕНЬ_ЧАС!K745,БАЛАНС_ДЕНЬ_ЧАС!K753,БАЛАНС_ДЕНЬ_ЧАС!K761,БАЛАНС_ДЕНЬ_ЧАС!K769,БАЛАНС_ДЕНЬ_ЧАС!K777,БАЛАНС_ДЕНЬ_ЧАС!K785,БАЛАНС_ДЕНЬ_ЧАС!K793,БАЛАНС_ДЕНЬ_ЧАС!K801,БАЛАНС_ДЕНЬ_ЧАС!K809,БАЛАНС_ДЕНЬ_ЧАС!K817,БАЛАНС_ДЕНЬ_ЧАС!K825,БАЛАНС_ДЕНЬ_ЧАС!K833,БАЛАНС_ДЕНЬ_ЧАС!K841,БАЛАНС_ДЕНЬ_ЧАС!K849)</f>
        <v>0</v>
      </c>
      <c r="O41" s="11" t="str">
        <f aca="false">IF(N41&gt;0,"BLOCKED","PASS")</f>
        <v>PASS</v>
      </c>
      <c r="P41" s="11" t="s">
        <v>145</v>
      </c>
    </row>
  </sheetData>
  <mergeCells count="7">
    <mergeCell ref="A1:P1"/>
    <mergeCell ref="A2:P2"/>
    <mergeCell ref="A4:P4"/>
    <mergeCell ref="B5:P5"/>
    <mergeCell ref="B6:P6"/>
    <mergeCell ref="B7:P7"/>
    <mergeCell ref="B8:P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6"/>
    <col collapsed="false" customWidth="true" hidden="false" outlineLevel="0" max="5" min="5" style="0" width="14"/>
    <col collapsed="false" customWidth="true" hidden="false" outlineLevel="0" max="6" min="6" style="0" width="52"/>
  </cols>
  <sheetData>
    <row r="1" customFormat="false" ht="30" hidden="false" customHeight="true" outlineLevel="0" collapsed="false">
      <c r="A1" s="1" t="s">
        <v>255</v>
      </c>
      <c r="B1" s="1"/>
      <c r="C1" s="1"/>
      <c r="D1" s="1"/>
      <c r="E1" s="1"/>
      <c r="F1" s="1"/>
    </row>
    <row r="2" customFormat="false" ht="34" hidden="false" customHeight="true" outlineLevel="0" collapsed="false">
      <c r="A2" s="2" t="s">
        <v>256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3" t="s">
        <v>2</v>
      </c>
      <c r="B4" s="3"/>
      <c r="C4" s="3"/>
      <c r="D4" s="3"/>
      <c r="E4" s="3"/>
      <c r="F4" s="3"/>
    </row>
    <row r="5" customFormat="false" ht="15" hidden="false" customHeight="true" outlineLevel="0" collapsed="false">
      <c r="A5" s="6" t="s">
        <v>257</v>
      </c>
      <c r="B5" s="7" t="s">
        <v>258</v>
      </c>
      <c r="C5" s="7"/>
      <c r="D5" s="7"/>
      <c r="E5" s="7"/>
      <c r="F5" s="7"/>
    </row>
    <row r="6" customFormat="false" ht="15" hidden="false" customHeight="true" outlineLevel="0" collapsed="false">
      <c r="A6" s="4" t="s">
        <v>259</v>
      </c>
      <c r="B6" s="5" t="s">
        <v>260</v>
      </c>
      <c r="C6" s="5"/>
      <c r="D6" s="5"/>
      <c r="E6" s="5"/>
      <c r="F6" s="5"/>
    </row>
    <row r="7" customFormat="false" ht="15" hidden="false" customHeight="true" outlineLevel="0" collapsed="false">
      <c r="A7" s="6" t="s">
        <v>261</v>
      </c>
      <c r="B7" s="7" t="s">
        <v>262</v>
      </c>
      <c r="C7" s="7"/>
      <c r="D7" s="7"/>
      <c r="E7" s="7"/>
      <c r="F7" s="7"/>
    </row>
    <row r="8" customFormat="false" ht="15" hidden="false" customHeight="true" outlineLevel="0" collapsed="false">
      <c r="A8" s="6" t="s">
        <v>58</v>
      </c>
      <c r="B8" s="7" t="s">
        <v>263</v>
      </c>
      <c r="C8" s="7"/>
      <c r="D8" s="7"/>
      <c r="E8" s="7"/>
      <c r="F8" s="7"/>
    </row>
    <row r="10" customFormat="false" ht="15" hidden="false" customHeight="false" outlineLevel="0" collapsed="false">
      <c r="A10" s="8" t="s">
        <v>264</v>
      </c>
      <c r="B10" s="8" t="s">
        <v>257</v>
      </c>
      <c r="C10" s="8" t="s">
        <v>259</v>
      </c>
      <c r="D10" s="8" t="s">
        <v>261</v>
      </c>
      <c r="E10" s="8" t="s">
        <v>58</v>
      </c>
      <c r="F10" s="8" t="s">
        <v>232</v>
      </c>
    </row>
    <row r="11" customFormat="false" ht="15" hidden="false" customHeight="false" outlineLevel="0" collapsed="false">
      <c r="A11" s="9" t="s">
        <v>265</v>
      </c>
      <c r="B11" s="9" t="n">
        <f aca="false">COUNTA(КОЭФФИЦИЕНТЫ_ВЫБОРА!A11:A41)</f>
        <v>31</v>
      </c>
      <c r="C11" s="25" t="n">
        <v>31</v>
      </c>
      <c r="D11" s="9" t="n">
        <f aca="false">B11-C11</f>
        <v>0</v>
      </c>
      <c r="E11" s="29" t="str">
        <f aca="false">IF(D11=0,"OK","FAIL")</f>
        <v>OK</v>
      </c>
      <c r="F11" s="9" t="s">
        <v>266</v>
      </c>
    </row>
    <row r="12" customFormat="false" ht="15" hidden="false" customHeight="false" outlineLevel="0" collapsed="false">
      <c r="A12" s="11" t="s">
        <v>267</v>
      </c>
      <c r="B12" s="11" t="n">
        <f aca="false">COUNTA(ПОТОКИ!A11:A17)</f>
        <v>7</v>
      </c>
      <c r="C12" s="27" t="n">
        <v>7</v>
      </c>
      <c r="D12" s="11" t="n">
        <f aca="false">B12-C12</f>
        <v>0</v>
      </c>
      <c r="E12" s="23" t="str">
        <f aca="false">IF(D12=0,"OK","FAIL")</f>
        <v>OK</v>
      </c>
      <c r="F12" s="11" t="s">
        <v>268</v>
      </c>
    </row>
    <row r="13" customFormat="false" ht="15" hidden="false" customHeight="false" outlineLevel="0" collapsed="false">
      <c r="A13" s="11" t="s">
        <v>269</v>
      </c>
      <c r="B13" s="11" t="n">
        <f aca="false">COUNTA(ЧАСОВЫЕ_ПРОФИЛИ!A11:A25)</f>
        <v>15</v>
      </c>
      <c r="C13" s="27" t="n">
        <v>15</v>
      </c>
      <c r="D13" s="11" t="n">
        <f aca="false">B13-C13</f>
        <v>0</v>
      </c>
      <c r="E13" s="23" t="str">
        <f aca="false">IF(D13=0,"OK","FAIL")</f>
        <v>OK</v>
      </c>
      <c r="F13" s="11" t="s">
        <v>270</v>
      </c>
    </row>
    <row r="14" customFormat="false" ht="15" hidden="false" customHeight="false" outlineLevel="0" collapsed="false">
      <c r="A14" s="11" t="s">
        <v>271</v>
      </c>
      <c r="B14" s="11" t="n">
        <f aca="false">COUNTA(СПРОС_ДЕНЬ_ЧАС_МЕНЮ!A11:A3265)</f>
        <v>3255</v>
      </c>
      <c r="C14" s="27" t="n">
        <v>3255</v>
      </c>
      <c r="D14" s="11" t="n">
        <f aca="false">B14-C14</f>
        <v>0</v>
      </c>
      <c r="E14" s="23" t="str">
        <f aca="false">IF(D14=0,"OK","FAIL")</f>
        <v>OK</v>
      </c>
      <c r="F14" s="11" t="s">
        <v>272</v>
      </c>
    </row>
    <row r="15" customFormat="false" ht="15" hidden="false" customHeight="false" outlineLevel="0" collapsed="false">
      <c r="A15" s="11" t="s">
        <v>273</v>
      </c>
      <c r="B15" s="11" t="n">
        <f aca="false">COUNTA(БАЛАНС_ДЕНЬ_ЧАС!A11:A850)</f>
        <v>840</v>
      </c>
      <c r="C15" s="27" t="n">
        <v>840</v>
      </c>
      <c r="D15" s="11" t="n">
        <f aca="false">B15-C15</f>
        <v>0</v>
      </c>
      <c r="E15" s="23" t="str">
        <f aca="false">IF(D15=0,"OK","FAIL")</f>
        <v>OK</v>
      </c>
      <c r="F15" s="11" t="s">
        <v>274</v>
      </c>
    </row>
    <row r="16" customFormat="false" ht="15" hidden="false" customHeight="false" outlineLevel="0" collapsed="false">
      <c r="A16" s="11" t="s">
        <v>275</v>
      </c>
      <c r="B16" s="11" t="n">
        <f aca="false">COUNTIF(ЧАСОВЫЕ_ПРОФИЛИ!B26:G26,1)</f>
        <v>4</v>
      </c>
      <c r="C16" s="27" t="n">
        <v>6</v>
      </c>
      <c r="D16" s="11" t="n">
        <f aca="false">B16-C16</f>
        <v>-2</v>
      </c>
      <c r="E16" s="23" t="str">
        <f aca="false">IF(D16=0,"OK","FAIL")</f>
        <v>FAIL</v>
      </c>
      <c r="F16" s="11" t="s">
        <v>276</v>
      </c>
    </row>
    <row r="17" customFormat="false" ht="15" hidden="false" customHeight="false" outlineLevel="0" collapsed="false">
      <c r="A17" s="11" t="s">
        <v>277</v>
      </c>
      <c r="B17" s="11" t="n">
        <f aca="false">COUNTIF(КОЭФФИЦИЕНТЫ_ВЫБОРА!L11:L41,"PRELIMINARY_SPLIT")</f>
        <v>7</v>
      </c>
      <c r="C17" s="27" t="n">
        <v>7</v>
      </c>
      <c r="D17" s="11" t="n">
        <f aca="false">B17-C17</f>
        <v>0</v>
      </c>
      <c r="E17" s="23" t="str">
        <f aca="false">IF(D17=0,"OK","FAIL")</f>
        <v>OK</v>
      </c>
      <c r="F17" s="11" t="s">
        <v>278</v>
      </c>
    </row>
    <row r="18" customFormat="false" ht="15" hidden="false" customHeight="false" outlineLevel="0" collapsed="false">
      <c r="A18" s="11" t="s">
        <v>279</v>
      </c>
      <c r="B18" s="11" t="n">
        <f aca="false">COUNTIF(БАЛАНС_ДЕНЬ_ЧАС!K11:K850,"&lt;0")</f>
        <v>0</v>
      </c>
      <c r="C18" s="27" t="n">
        <v>0</v>
      </c>
      <c r="D18" s="11" t="n">
        <f aca="false">B18-C18</f>
        <v>0</v>
      </c>
      <c r="E18" s="23" t="str">
        <f aca="false">IF(D18=0,"OK","FAIL")</f>
        <v>OK</v>
      </c>
      <c r="F18" s="11" t="s">
        <v>280</v>
      </c>
    </row>
    <row r="19" customFormat="false" ht="15" hidden="false" customHeight="false" outlineLevel="0" collapsed="false">
      <c r="A19" s="11" t="s">
        <v>281</v>
      </c>
      <c r="B19" s="11" t="n">
        <f aca="false">0</f>
        <v>0</v>
      </c>
      <c r="C19" s="27" t="n">
        <v>0</v>
      </c>
      <c r="D19" s="11" t="n">
        <f aca="false">B19-C19</f>
        <v>0</v>
      </c>
      <c r="E19" s="23" t="str">
        <f aca="false">IF(D19=0,"OK","FAIL")</f>
        <v>OK</v>
      </c>
      <c r="F19" s="11" t="s">
        <v>282</v>
      </c>
    </row>
  </sheetData>
  <mergeCells count="7">
    <mergeCell ref="A1:F1"/>
    <mergeCell ref="A2:F2"/>
    <mergeCell ref="A4:F4"/>
    <mergeCell ref="B5:F5"/>
    <mergeCell ref="B6:F6"/>
    <mergeCell ref="B7:F7"/>
    <mergeCell ref="B8:F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LibreOfficeDev/26.8.0.0.alpha0$Linux_X86_64 LibreOffice_project/2c87e51eeaa2b413ff4ae097b2705eea1995d8e5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revision>0</cp:revision>
  <dc:subject/>
  <dc:title/>
</cp:coreProperties>
</file>