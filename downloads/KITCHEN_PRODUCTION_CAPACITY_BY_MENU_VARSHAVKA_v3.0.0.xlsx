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302452d5684b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АСПОРТ" sheetId="1" r:id="Re7cb000d02554281"/>
    <x:sheet xmlns:r="http://schemas.openxmlformats.org/officeDocument/2006/relationships" name="МОЩНОСТЬ_ПО_МЕНЮ" sheetId="2" r:id="R857bedaa3c97409b"/>
    <x:sheet xmlns:r="http://schemas.openxmlformats.org/officeDocument/2006/relationships" name="МОЩНОСТЬ_УЧАСТКОВ" sheetId="3" r:id="R7e347a8b9f2b45bb"/>
    <x:sheet xmlns:r="http://schemas.openxmlformats.org/officeDocument/2006/relationships" name="ШТАТ_ПИК" sheetId="4" r:id="R01a155e58fb74f3d"/>
    <x:sheet xmlns:r="http://schemas.openxmlformats.org/officeDocument/2006/relationships" name="КОНТРОЛЬ" sheetId="5" r:id="Rb144c4862fd84d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"/>
    <x:numFmt numFmtId="202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000000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4CCCC"/>
      </x:patternFill>
    </x:fill>
    <x:fill>
      <x:patternFill patternType="solid">
        <x:fgColor rgb="FFE2F0D9"/>
      </x:patternFill>
    </x:fill>
  </x:fills>
  <x:borders count="4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200" fontId="0" fillId="5" borderId="3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1" fontId="0" fillId="0" borderId="3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6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5cb49a100749b4" /><Relationship Type="http://schemas.openxmlformats.org/officeDocument/2006/relationships/theme" Target="/xl/theme/theme1.xml" Id="R4f97bea3f48742a4" /><Relationship Type="http://schemas.openxmlformats.org/officeDocument/2006/relationships/sharedStrings" Target="/xl/sharedStrings.xml" Id="Rca8fb35e12244259" /><Relationship Type="http://schemas.openxmlformats.org/officeDocument/2006/relationships/worksheet" Target="/xl/worksheets/sheet1.xml" Id="Re7cb000d02554281" /><Relationship Type="http://schemas.openxmlformats.org/officeDocument/2006/relationships/worksheet" Target="/xl/worksheets/sheet2.xml" Id="R857bedaa3c97409b" /><Relationship Type="http://schemas.openxmlformats.org/officeDocument/2006/relationships/worksheet" Target="/xl/worksheets/sheet3.xml" Id="R7e347a8b9f2b45bb" /><Relationship Type="http://schemas.openxmlformats.org/officeDocument/2006/relationships/worksheet" Target="/xl/worksheets/sheet4.xml" Id="R01a155e58fb74f3d" /><Relationship Type="http://schemas.openxmlformats.org/officeDocument/2006/relationships/worksheet" Target="/xl/worksheets/sheet5.xml" Id="Rb144c4862fd84d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18" hidden="0" customWidth="1"/>
    <x:col min="3" max="3" width="20" hidden="0" customWidth="1"/>
    <x:col min="4" max="4" width="54" hidden="0" customWidth="1"/>
  </x:cols>
  <x:sheetData>
    <x:row r="1" ht="30" customHeight="1">
      <x:c r="A1" s="3" t="str">
        <x:v>ПРОИЗВОДСТВЕННАЯ МОЩНОСТЬ КУХНИ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Разрез 31 позиции меню • оборудование + ограничения утверждённой штатной структуры • 28 июля 2026 года</x:v>
      </x:c>
      <x:c r="B2" s="7"/>
      <x:c r="C2" s="7"/>
      <x:c r="D2" s="7"/>
      <x:c r="E2" s="7"/>
      <x:c r="F2" s="7"/>
      <x:c r="G2" s="7"/>
      <x:c r="H2" s="7"/>
    </x:row>
    <x:row r="4">
      <x:c r="A4" s="13" t="str">
        <x:v>Показатель</x:v>
      </x:c>
      <x:c r="B4" s="13" t="str">
        <x:v>Значение</x:v>
      </x:c>
      <x:c r="C4" s="13" t="str">
        <x:v>Единица</x:v>
      </x:c>
      <x:c r="D4" s="13" t="str">
        <x:v>Комментарий</x:v>
      </x:c>
    </x:row>
    <x:row r="5">
      <x:c r="A5" s="18" t="str">
        <x:v>Максимальный обычный день первых 3 месяцев</x:v>
      </x:c>
      <x:c r="B5" s="20" t="n">
        <x:v>109.725</x:v>
      </x:c>
      <x:c r="C5" s="18" t="str">
        <x:v>кг/день</x:v>
      </x:c>
      <x:c r="D5" s="18" t="str">
        <x:v>Суббота; S04</x:v>
      </x:c>
    </x:row>
    <x:row r="6">
      <x:c r="A6" s="19" t="str">
        <x:v>Максимальный обычный день после 3 месяцев</x:v>
      </x:c>
      <x:c r="B6" s="21" t="n">
        <x:v>105.61</x:v>
      </x:c>
      <x:c r="C6" s="19" t="str">
        <x:v>кг/день</x:v>
      </x:c>
      <x:c r="D6" s="19" t="str">
        <x:v>Суббота; S04</x:v>
      </x:c>
    </x:row>
    <x:row r="7">
      <x:c r="A7" s="19" t="str">
        <x:v>Максимальный банкетный день первых 3 месяцев</x:v>
      </x:c>
      <x:c r="B7" s="21" t="n">
        <x:v>104.83</x:v>
      </x:c>
      <x:c r="C7" s="19" t="str">
        <x:v>кг/день</x:v>
      </x:c>
      <x:c r="D7" s="19" t="str">
        <x:v>Пятница; включает 27,55 кг банкета</x:v>
      </x:c>
    </x:row>
    <x:row r="8">
      <x:c r="A8" s="19" t="str">
        <x:v>Пиковая гостевая выдача</x:v>
      </x:c>
      <x:c r="B8" s="21" t="n">
        <x:v>50</x:v>
      </x:c>
      <x:c r="C8" s="19" t="str">
        <x:v>позиций/ч</x:v>
      </x:c>
      <x:c r="D8" s="19" t="str">
        <x:v>Суббота 20:00–21:00</x:v>
      </x:c>
    </x:row>
    <x:row r="9">
      <x:c r="A9" s="19" t="str">
        <x:v>Проектная пропускная способность раздачи</x:v>
      </x:c>
      <x:c r="B9" s="21" t="n">
        <x:v>60</x:v>
      </x:c>
      <x:c r="C9" s="19" t="str">
        <x:v>позиций/ч</x:v>
      </x:c>
      <x:c r="D9" s="19" t="str">
        <x:v>20% инженерного запаса</x:v>
      </x:c>
    </x:row>
    <x:row r="10">
      <x:c r="A10" s="19" t="str">
        <x:v>Производственные специалисты в субботний пик</x:v>
      </x:c>
      <x:c r="B10" s="21" t="n">
        <x:v>3</x:v>
      </x:c>
      <x:c r="C10" s="19" t="str">
        <x:v>чел.</x:v>
      </x:c>
      <x:c r="D10" s="19" t="str">
        <x:v>Пицца, холодный и горячий участки</x:v>
      </x:c>
    </x:row>
    <x:row r="11">
      <x:c r="A11" s="22" t="str">
        <x:v>Производственные специалисты в пятницу после 18:00</x:v>
      </x:c>
      <x:c r="B11" s="23" t="n">
        <x:v>1</x:v>
      </x:c>
      <x:c r="C11" s="22" t="str">
        <x:v>чел.</x:v>
      </x:c>
      <x:c r="D11" s="22" t="str">
        <x:v>Критическое ограничение</x:v>
      </x:c>
    </x:row>
    <x:row r="12">
      <x:c r="A12" s="19" t="str">
        <x:v>Требование для обычного вечернего пика</x:v>
      </x:c>
      <x:c r="B12" s="21" t="n">
        <x:v>3</x:v>
      </x:c>
      <x:c r="C12" s="19" t="str">
        <x:v>чел.</x:v>
      </x:c>
      <x:c r="D12" s="19" t="str">
        <x:v>Экспедитор и упаковщик учитываются отдельно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21" hidden="0" customWidth="1"/>
    <x:col min="3" max="3" width="43" hidden="0" customWidth="1"/>
    <x:col min="4" max="4" width="26" hidden="0" customWidth="1"/>
    <x:col min="5" max="5" width="20" hidden="0" customWidth="1"/>
    <x:col min="6" max="6" width="18" hidden="0" customWidth="1"/>
    <x:col min="7" max="7" width="33" hidden="0" customWidth="1"/>
    <x:col min="8" max="8" width="19" hidden="0" customWidth="1"/>
    <x:col min="9" max="9" width="18" hidden="0" customWidth="1"/>
    <x:col min="10" max="10" width="16" hidden="0" customWidth="1"/>
    <x:col min="11" max="11" width="19" hidden="0" customWidth="1"/>
    <x:col min="12" max="12" width="21" hidden="0" customWidth="1"/>
    <x:col min="13" max="13" width="58" hidden="0" customWidth="1"/>
    <x:col min="14" max="14" width="24" hidden="0" customWidth="1"/>
  </x:cols>
  <x:sheetData>
    <x:row r="1" ht="30" customHeight="1">
      <x:c r="A1" s="3" t="str">
        <x:v>Мощность в разрезе активного меню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Мощность повторяется для позиций одного участка и НЕ суммируется по строкам; итог участка приведён на отдельном листе.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13" t="str">
        <x:v>№</x:v>
      </x:c>
      <x:c r="B4" s="13" t="str">
        <x:v>Раздел</x:v>
      </x:c>
      <x:c r="C4" s="13" t="str">
        <x:v>Наименование</x:v>
      </x:c>
      <x:c r="D4" s="13" t="str">
        <x:v>Единица продажи</x:v>
      </x:c>
      <x:c r="E4" s="13" t="str">
        <x:v>Выход</x:v>
      </x:c>
      <x:c r="F4" s="13" t="str">
        <x:v>Группа общей мощности</x:v>
      </x:c>
      <x:c r="G4" s="13" t="str">
        <x:v>Основное оборудование</x:v>
      </x:c>
      <x:c r="H4" s="13" t="str">
        <x:v>Установленная мощность участка</x:v>
      </x:c>
      <x:c r="I4" s="13" t="str">
        <x:v>Единица мощности</x:v>
      </x:c>
      <x:c r="J4" s="13" t="str">
        <x:v>Специалистов в пике</x:v>
      </x:c>
      <x:c r="K4" s="13" t="str">
        <x:v>Мощность 1 специалиста</x:v>
      </x:c>
      <x:c r="L4" s="13" t="str">
        <x:v>Пиковая мощность с учётом штата</x:v>
      </x:c>
      <x:c r="M4" s="13" t="str">
        <x:v>Ограничение/правило</x:v>
      </x:c>
      <x:c r="N4" s="13" t="str">
        <x:v>Статус</x:v>
      </x:c>
    </x:row>
    <x:row r="5">
      <x:c r="A5" s="24" t="n">
        <x:v>1</x:v>
      </x:c>
      <x:c r="B5" s="18" t="str">
        <x:v>Пицца</x:v>
      </x:c>
      <x:c r="C5" s="18" t="str">
        <x:v>Маргарита</x:v>
      </x:c>
      <x:c r="D5" s="18" t="str">
        <x:v>1 пицца</x:v>
      </x:c>
      <x:c r="E5" s="18" t="str">
        <x:v>450 г</x:v>
      </x:c>
      <x:c r="F5" s="18" t="str">
        <x:v>PIZZA</x:v>
      </x:c>
      <x:c r="G5" s="18" t="str">
        <x:v>Печь для пиццы BAK-01</x:v>
      </x:c>
      <x:c r="H5" s="26" t="n">
        <x:v>25</x:v>
      </x:c>
      <x:c r="I5" s="26" t="str">
        <x:v>порций/ч</x:v>
      </x:c>
      <x:c r="J5" s="26" t="n">
        <x:v>1</x:v>
      </x:c>
      <x:c r="K5" s="26" t="n">
        <x:v>10</x:v>
      </x:c>
      <x:c r="L5" s="26" t="n">
        <x:v>10</x:v>
      </x:c>
      <x:c r="M5" s="18" t="str">
        <x:v>Подтверждённое требование 20–25 пицц/ч; кадровый пик 1 специалист</x:v>
      </x:c>
      <x:c r="N5" s="18" t="str">
        <x:v>PRELIMINARY_UNTIL_TEST</x:v>
      </x:c>
    </x:row>
    <x:row r="6">
      <x:c r="A6" s="25" t="n">
        <x:v>2</x:v>
      </x:c>
      <x:c r="B6" s="19" t="str">
        <x:v>Пицца</x:v>
      </x:c>
      <x:c r="C6" s="19" t="str">
        <x:v>Четыре сыра</x:v>
      </x:c>
      <x:c r="D6" s="19" t="str">
        <x:v>1 пицца</x:v>
      </x:c>
      <x:c r="E6" s="19" t="str">
        <x:v>480 г</x:v>
      </x:c>
      <x:c r="F6" s="19" t="str">
        <x:v>PIZZA</x:v>
      </x:c>
      <x:c r="G6" s="19" t="str">
        <x:v>Печь для пиццы BAK-01</x:v>
      </x:c>
      <x:c r="H6" s="27" t="n">
        <x:v>25</x:v>
      </x:c>
      <x:c r="I6" s="27" t="str">
        <x:v>порций/ч</x:v>
      </x:c>
      <x:c r="J6" s="27" t="n">
        <x:v>1</x:v>
      </x:c>
      <x:c r="K6" s="27" t="n">
        <x:v>10</x:v>
      </x:c>
      <x:c r="L6" s="27" t="n">
        <x:v>10</x:v>
      </x:c>
      <x:c r="M6" s="19" t="str">
        <x:v>Подтверждённое требование 20–25 пицц/ч; кадровый пик 1 специалист</x:v>
      </x:c>
      <x:c r="N6" s="19" t="str">
        <x:v>PRELIMINARY_UNTIL_TEST</x:v>
      </x:c>
    </x:row>
    <x:row r="7">
      <x:c r="A7" s="25" t="n">
        <x:v>3</x:v>
      </x:c>
      <x:c r="B7" s="19" t="str">
        <x:v>Пицца</x:v>
      </x:c>
      <x:c r="C7" s="19" t="str">
        <x:v>Грибная с ветчиной</x:v>
      </x:c>
      <x:c r="D7" s="19" t="str">
        <x:v>1 пицца</x:v>
      </x:c>
      <x:c r="E7" s="19" t="str">
        <x:v>500 г</x:v>
      </x:c>
      <x:c r="F7" s="19" t="str">
        <x:v>PIZZA</x:v>
      </x:c>
      <x:c r="G7" s="19" t="str">
        <x:v>Печь для пиццы BAK-01</x:v>
      </x:c>
      <x:c r="H7" s="27" t="n">
        <x:v>25</x:v>
      </x:c>
      <x:c r="I7" s="27" t="str">
        <x:v>порций/ч</x:v>
      </x:c>
      <x:c r="J7" s="27" t="n">
        <x:v>1</x:v>
      </x:c>
      <x:c r="K7" s="27" t="n">
        <x:v>10</x:v>
      </x:c>
      <x:c r="L7" s="27" t="n">
        <x:v>10</x:v>
      </x:c>
      <x:c r="M7" s="19" t="str">
        <x:v>Подтверждённое требование 20–25 пицц/ч; кадровый пик 1 специалист</x:v>
      </x:c>
      <x:c r="N7" s="19" t="str">
        <x:v>PRELIMINARY_UNTIL_TEST</x:v>
      </x:c>
    </x:row>
    <x:row r="8">
      <x:c r="A8" s="25" t="n">
        <x:v>4</x:v>
      </x:c>
      <x:c r="B8" s="19" t="str">
        <x:v>Пицца</x:v>
      </x:c>
      <x:c r="C8" s="19" t="str">
        <x:v>Пепперони</x:v>
      </x:c>
      <x:c r="D8" s="19" t="str">
        <x:v>1 пицца</x:v>
      </x:c>
      <x:c r="E8" s="19" t="str">
        <x:v>500 г</x:v>
      </x:c>
      <x:c r="F8" s="19" t="str">
        <x:v>PIZZA</x:v>
      </x:c>
      <x:c r="G8" s="19" t="str">
        <x:v>Печь для пиццы BAK-01</x:v>
      </x:c>
      <x:c r="H8" s="27" t="n">
        <x:v>25</x:v>
      </x:c>
      <x:c r="I8" s="27" t="str">
        <x:v>порций/ч</x:v>
      </x:c>
      <x:c r="J8" s="27" t="n">
        <x:v>1</x:v>
      </x:c>
      <x:c r="K8" s="27" t="n">
        <x:v>10</x:v>
      </x:c>
      <x:c r="L8" s="27" t="n">
        <x:v>10</x:v>
      </x:c>
      <x:c r="M8" s="19" t="str">
        <x:v>Подтверждённое требование 20–25 пицц/ч; кадровый пик 1 специалист</x:v>
      </x:c>
      <x:c r="N8" s="19" t="str">
        <x:v>PRELIMINARY_UNTIL_TEST</x:v>
      </x:c>
    </x:row>
    <x:row r="9">
      <x:c r="A9" s="25" t="n">
        <x:v>5</x:v>
      </x:c>
      <x:c r="B9" s="19" t="str">
        <x:v>Хлеб</x:v>
      </x:c>
      <x:c r="C9" s="19" t="str">
        <x:v>Белая чиабатта</x:v>
      </x:c>
      <x:c r="D9" s="19" t="str">
        <x:v>1 изделие</x:v>
      </x:c>
      <x:c r="E9" s="19" t="str">
        <x:v>100 г</x:v>
      </x:c>
      <x:c r="F9" s="19" t="str">
        <x:v>BAKERY</x:v>
      </x:c>
      <x:c r="G9" s="19" t="str">
        <x:v>Пекарская печь BAK-02</x:v>
      </x:c>
      <x:c r="H9" s="27" t="n">
        <x:v>6</x:v>
      </x:c>
      <x:c r="I9" s="27" t="str">
        <x:v>противней/цикл</x:v>
      </x:c>
      <x:c r="J9" s="27" t="n">
        <x:v>1</x:v>
      </x:c>
      <x:c r="K9" s="27" t="n">
        <x:v>3</x:v>
      </x:c>
      <x:c r="L9" s="27" t="n">
        <x:v>3</x:v>
      </x:c>
      <x:c r="M9" s="19" t="str">
        <x:v>Один ранний работник закрывает только 50% совмещённой потребности; требуется отдельная пекарская функция</x:v>
      </x:c>
      <x:c r="N9" s="19" t="str">
        <x:v>PRELIMINARY_UNTIL_TEST</x:v>
      </x:c>
    </x:row>
    <x:row r="10">
      <x:c r="A10" s="25" t="n">
        <x:v>6</x:v>
      </x:c>
      <x:c r="B10" s="19" t="str">
        <x:v>Хлеб</x:v>
      </x:c>
      <x:c r="C10" s="19" t="str">
        <x:v>Томатная чиабатта</x:v>
      </x:c>
      <x:c r="D10" s="19" t="str">
        <x:v>1 изделие</x:v>
      </x:c>
      <x:c r="E10" s="19" t="str">
        <x:v>100 г</x:v>
      </x:c>
      <x:c r="F10" s="19" t="str">
        <x:v>BAKERY</x:v>
      </x:c>
      <x:c r="G10" s="19" t="str">
        <x:v>Пекарская печь BAK-02</x:v>
      </x:c>
      <x:c r="H10" s="27" t="n">
        <x:v>6</x:v>
      </x:c>
      <x:c r="I10" s="27" t="str">
        <x:v>противней/цикл</x:v>
      </x:c>
      <x:c r="J10" s="27" t="n">
        <x:v>1</x:v>
      </x:c>
      <x:c r="K10" s="27" t="n">
        <x:v>3</x:v>
      </x:c>
      <x:c r="L10" s="27" t="n">
        <x:v>3</x:v>
      </x:c>
      <x:c r="M10" s="19" t="str">
        <x:v>Один ранний работник закрывает только 50% совмещённой потребности; требуется отдельная пекарская функция</x:v>
      </x:c>
      <x:c r="N10" s="19" t="str">
        <x:v>PRELIMINARY_UNTIL_TEST</x:v>
      </x:c>
    </x:row>
    <x:row r="11">
      <x:c r="A11" s="25" t="n">
        <x:v>7</x:v>
      </x:c>
      <x:c r="B11" s="19" t="str">
        <x:v>Хлеб</x:v>
      </x:c>
      <x:c r="C11" s="19" t="str">
        <x:v>Бородинский хлеб</x:v>
      </x:c>
      <x:c r="D11" s="19" t="str">
        <x:v>1 буханка</x:v>
      </x:c>
      <x:c r="E11" s="19" t="str">
        <x:v>350 г</x:v>
      </x:c>
      <x:c r="F11" s="19" t="str">
        <x:v>BAKERY</x:v>
      </x:c>
      <x:c r="G11" s="19" t="str">
        <x:v>Пекарская печь BAK-02</x:v>
      </x:c>
      <x:c r="H11" s="27" t="n">
        <x:v>6</x:v>
      </x:c>
      <x:c r="I11" s="27" t="str">
        <x:v>противней/цикл</x:v>
      </x:c>
      <x:c r="J11" s="27" t="n">
        <x:v>1</x:v>
      </x:c>
      <x:c r="K11" s="27" t="n">
        <x:v>3</x:v>
      </x:c>
      <x:c r="L11" s="27" t="n">
        <x:v>3</x:v>
      </x:c>
      <x:c r="M11" s="19" t="str">
        <x:v>Один ранний работник закрывает только 50% совмещённой потребности; требуется отдельная пекарская функция</x:v>
      </x:c>
      <x:c r="N11" s="19" t="str">
        <x:v>PRELIMINARY_UNTIL_TEST</x:v>
      </x:c>
    </x:row>
    <x:row r="12">
      <x:c r="A12" s="25" t="n">
        <x:v>8</x:v>
      </x:c>
      <x:c r="B12" s="19" t="str">
        <x:v>Хлеб</x:v>
      </x:c>
      <x:c r="C12" s="19" t="str">
        <x:v>Бриошь</x:v>
      </x:c>
      <x:c r="D12" s="19" t="str">
        <x:v>1 изделие</x:v>
      </x:c>
      <x:c r="E12" s="19" t="str">
        <x:v>85 г</x:v>
      </x:c>
      <x:c r="F12" s="19" t="str">
        <x:v>BAKERY</x:v>
      </x:c>
      <x:c r="G12" s="19" t="str">
        <x:v>Пекарская печь BAK-02</x:v>
      </x:c>
      <x:c r="H12" s="27" t="n">
        <x:v>6</x:v>
      </x:c>
      <x:c r="I12" s="27" t="str">
        <x:v>противней/цикл</x:v>
      </x:c>
      <x:c r="J12" s="27" t="n">
        <x:v>1</x:v>
      </x:c>
      <x:c r="K12" s="27" t="n">
        <x:v>3</x:v>
      </x:c>
      <x:c r="L12" s="27" t="n">
        <x:v>3</x:v>
      </x:c>
      <x:c r="M12" s="19" t="str">
        <x:v>Один ранний работник закрывает только 50% совмещённой потребности; требуется отдельная пекарская функция</x:v>
      </x:c>
      <x:c r="N12" s="19" t="str">
        <x:v>PRELIMINARY_UNTIL_TEST</x:v>
      </x:c>
    </x:row>
    <x:row r="13">
      <x:c r="A13" s="25" t="n">
        <x:v>9</x:v>
      </x:c>
      <x:c r="B13" s="19" t="str">
        <x:v>Салаты</x:v>
      </x:c>
      <x:c r="C13" s="19" t="str">
        <x:v>Буррата с томатами</x:v>
      </x:c>
      <x:c r="D13" s="19" t="str">
        <x:v>1 порция</x:v>
      </x:c>
      <x:c r="E13" s="19" t="str">
        <x:v>300 г</x:v>
      </x:c>
      <x:c r="F13" s="19" t="str">
        <x:v>COLD</x:v>
      </x:c>
      <x:c r="G13" s="19" t="str">
        <x:v>Холодный участок CLD</x:v>
      </x:c>
      <x:c r="H13" s="27" t="n">
        <x:v>16</x:v>
      </x:c>
      <x:c r="I13" s="27" t="str">
        <x:v>порций/ч</x:v>
      </x:c>
      <x:c r="J13" s="27" t="n">
        <x:v>1</x:v>
      </x:c>
      <x:c r="K13" s="27" t="n">
        <x:v>16</x:v>
      </x:c>
      <x:c r="L13" s="27" t="n">
        <x:v>16</x:v>
      </x:c>
      <x:c r="M13" s="19" t="str">
        <x:v>Один холодный специалист только при полной подготовке и отдельном экспедиторе</x:v>
      </x:c>
      <x:c r="N13" s="19" t="str">
        <x:v>PRELIMINARY_UNTIL_TEST</x:v>
      </x:c>
    </x:row>
    <x:row r="14">
      <x:c r="A14" s="25" t="n">
        <x:v>10</x:v>
      </x:c>
      <x:c r="B14" s="19" t="str">
        <x:v>Салаты</x:v>
      </x:c>
      <x:c r="C14" s="19" t="str">
        <x:v>Микс-салат с креветками и яблоком</x:v>
      </x:c>
      <x:c r="D14" s="19" t="str">
        <x:v>1 порция</x:v>
      </x:c>
      <x:c r="E14" s="19" t="str">
        <x:v>280 г</x:v>
      </x:c>
      <x:c r="F14" s="19" t="str">
        <x:v>COLD</x:v>
      </x:c>
      <x:c r="G14" s="19" t="str">
        <x:v>Холодный участок CLD</x:v>
      </x:c>
      <x:c r="H14" s="27" t="n">
        <x:v>16</x:v>
      </x:c>
      <x:c r="I14" s="27" t="str">
        <x:v>порций/ч</x:v>
      </x:c>
      <x:c r="J14" s="27" t="n">
        <x:v>1</x:v>
      </x:c>
      <x:c r="K14" s="27" t="n">
        <x:v>16</x:v>
      </x:c>
      <x:c r="L14" s="27" t="n">
        <x:v>16</x:v>
      </x:c>
      <x:c r="M14" s="19" t="str">
        <x:v>Один холодный специалист только при полной подготовке и отдельном экспедиторе</x:v>
      </x:c>
      <x:c r="N14" s="19" t="str">
        <x:v>PRELIMINARY_UNTIL_TEST</x:v>
      </x:c>
    </x:row>
    <x:row r="15">
      <x:c r="A15" s="25" t="n">
        <x:v>11</x:v>
      </x:c>
      <x:c r="B15" s="19" t="str">
        <x:v>Салаты</x:v>
      </x:c>
      <x:c r="C15" s="19" t="str">
        <x:v>Греческий</x:v>
      </x:c>
      <x:c r="D15" s="19" t="str">
        <x:v>1 порция</x:v>
      </x:c>
      <x:c r="E15" s="19" t="str">
        <x:v>270 г</x:v>
      </x:c>
      <x:c r="F15" s="19" t="str">
        <x:v>COLD</x:v>
      </x:c>
      <x:c r="G15" s="19" t="str">
        <x:v>Холодный участок CLD</x:v>
      </x:c>
      <x:c r="H15" s="27" t="n">
        <x:v>16</x:v>
      </x:c>
      <x:c r="I15" s="27" t="str">
        <x:v>порций/ч</x:v>
      </x:c>
      <x:c r="J15" s="27" t="n">
        <x:v>1</x:v>
      </x:c>
      <x:c r="K15" s="27" t="n">
        <x:v>16</x:v>
      </x:c>
      <x:c r="L15" s="27" t="n">
        <x:v>16</x:v>
      </x:c>
      <x:c r="M15" s="19" t="str">
        <x:v>Один холодный специалист только при полной подготовке и отдельном экспедиторе</x:v>
      </x:c>
      <x:c r="N15" s="19" t="str">
        <x:v>PRELIMINARY_UNTIL_TEST</x:v>
      </x:c>
    </x:row>
    <x:row r="16">
      <x:c r="A16" s="25" t="n">
        <x:v>12</x:v>
      </x:c>
      <x:c r="B16" s="19" t="str">
        <x:v>Салаты</x:v>
      </x:c>
      <x:c r="C16" s="19" t="str">
        <x:v>Винегрет</x:v>
      </x:c>
      <x:c r="D16" s="19" t="str">
        <x:v>1 порция</x:v>
      </x:c>
      <x:c r="E16" s="19" t="str">
        <x:v>240 г</x:v>
      </x:c>
      <x:c r="F16" s="19" t="str">
        <x:v>COLD</x:v>
      </x:c>
      <x:c r="G16" s="19" t="str">
        <x:v>Холодный участок CLD</x:v>
      </x:c>
      <x:c r="H16" s="27" t="n">
        <x:v>16</x:v>
      </x:c>
      <x:c r="I16" s="27" t="str">
        <x:v>порций/ч</x:v>
      </x:c>
      <x:c r="J16" s="27" t="n">
        <x:v>1</x:v>
      </x:c>
      <x:c r="K16" s="27" t="n">
        <x:v>16</x:v>
      </x:c>
      <x:c r="L16" s="27" t="n">
        <x:v>16</x:v>
      </x:c>
      <x:c r="M16" s="19" t="str">
        <x:v>Один холодный специалист только при полной подготовке и отдельном экспедиторе</x:v>
      </x:c>
      <x:c r="N16" s="19" t="str">
        <x:v>PRELIMINARY_UNTIL_TEST</x:v>
      </x:c>
    </x:row>
    <x:row r="17">
      <x:c r="A17" s="25" t="n">
        <x:v>13</x:v>
      </x:c>
      <x:c r="B17" s="19" t="str">
        <x:v>Холодные закуски</x:v>
      </x:c>
      <x:c r="C17" s="19" t="str">
        <x:v>Слабосолёный лосось</x:v>
      </x:c>
      <x:c r="D17" s="19" t="str">
        <x:v>1 порция</x:v>
      </x:c>
      <x:c r="E17" s="19" t="str">
        <x:v>130 г</x:v>
      </x:c>
      <x:c r="F17" s="19" t="str">
        <x:v>COLD</x:v>
      </x:c>
      <x:c r="G17" s="19" t="str">
        <x:v>Холодный участок CLD</x:v>
      </x:c>
      <x:c r="H17" s="27" t="n">
        <x:v>16</x:v>
      </x:c>
      <x:c r="I17" s="27" t="str">
        <x:v>порций/ч</x:v>
      </x:c>
      <x:c r="J17" s="27" t="n">
        <x:v>1</x:v>
      </x:c>
      <x:c r="K17" s="27" t="n">
        <x:v>16</x:v>
      </x:c>
      <x:c r="L17" s="27" t="n">
        <x:v>16</x:v>
      </x:c>
      <x:c r="M17" s="19" t="str">
        <x:v>Мощность общая с салатами; строки группы не суммируются</x:v>
      </x:c>
      <x:c r="N17" s="19" t="str">
        <x:v>PRELIMINARY_UNTIL_TEST</x:v>
      </x:c>
    </x:row>
    <x:row r="18">
      <x:c r="A18" s="25" t="n">
        <x:v>14</x:v>
      </x:c>
      <x:c r="B18" s="19" t="str">
        <x:v>Холодные закуски</x:v>
      </x:c>
      <x:c r="C18" s="19" t="str">
        <x:v>Сельдь с запечённым картофелем</x:v>
      </x:c>
      <x:c r="D18" s="19" t="str">
        <x:v>1 порция</x:v>
      </x:c>
      <x:c r="E18" s="19" t="str">
        <x:v>250 г</x:v>
      </x:c>
      <x:c r="F18" s="19" t="str">
        <x:v>COLD</x:v>
      </x:c>
      <x:c r="G18" s="19" t="str">
        <x:v>Холодный участок CLD</x:v>
      </x:c>
      <x:c r="H18" s="27" t="n">
        <x:v>16</x:v>
      </x:c>
      <x:c r="I18" s="27" t="str">
        <x:v>порций/ч</x:v>
      </x:c>
      <x:c r="J18" s="27" t="n">
        <x:v>1</x:v>
      </x:c>
      <x:c r="K18" s="27" t="n">
        <x:v>16</x:v>
      </x:c>
      <x:c r="L18" s="27" t="n">
        <x:v>16</x:v>
      </x:c>
      <x:c r="M18" s="19" t="str">
        <x:v>Мощность общая с салатами; строки группы не суммируются</x:v>
      </x:c>
      <x:c r="N18" s="19" t="str">
        <x:v>PRELIMINARY_UNTIL_TEST</x:v>
      </x:c>
    </x:row>
    <x:row r="19">
      <x:c r="A19" s="25" t="n">
        <x:v>15</x:v>
      </x:c>
      <x:c r="B19" s="19" t="str">
        <x:v>Холодные закуски</x:v>
      </x:c>
      <x:c r="C19" s="19" t="str">
        <x:v>Оливки и маслины</x:v>
      </x:c>
      <x:c r="D19" s="19" t="str">
        <x:v>1 порция</x:v>
      </x:c>
      <x:c r="E19" s="19" t="str">
        <x:v>120 г</x:v>
      </x:c>
      <x:c r="F19" s="19" t="str">
        <x:v>COLD</x:v>
      </x:c>
      <x:c r="G19" s="19" t="str">
        <x:v>Холодный участок CLD</x:v>
      </x:c>
      <x:c r="H19" s="27" t="n">
        <x:v>16</x:v>
      </x:c>
      <x:c r="I19" s="27" t="str">
        <x:v>порций/ч</x:v>
      </x:c>
      <x:c r="J19" s="27" t="n">
        <x:v>1</x:v>
      </x:c>
      <x:c r="K19" s="27" t="n">
        <x:v>16</x:v>
      </x:c>
      <x:c r="L19" s="27" t="n">
        <x:v>16</x:v>
      </x:c>
      <x:c r="M19" s="19" t="str">
        <x:v>Мощность общая с салатами; строки группы не суммируются</x:v>
      </x:c>
      <x:c r="N19" s="19" t="str">
        <x:v>PRELIMINARY_UNTIL_TEST</x:v>
      </x:c>
    </x:row>
    <x:row r="20">
      <x:c r="A20" s="25" t="n">
        <x:v>16</x:v>
      </x:c>
      <x:c r="B20" s="19" t="str">
        <x:v>Холодные закуски</x:v>
      </x:c>
      <x:c r="C20" s="19" t="str">
        <x:v>Ассорти фирменных солений</x:v>
      </x:c>
      <x:c r="D20" s="19" t="str">
        <x:v>1 порция</x:v>
      </x:c>
      <x:c r="E20" s="19" t="str">
        <x:v>180 г</x:v>
      </x:c>
      <x:c r="F20" s="19" t="str">
        <x:v>COLD</x:v>
      </x:c>
      <x:c r="G20" s="19" t="str">
        <x:v>Холодный участок CLD</x:v>
      </x:c>
      <x:c r="H20" s="27" t="n">
        <x:v>16</x:v>
      </x:c>
      <x:c r="I20" s="27" t="str">
        <x:v>порций/ч</x:v>
      </x:c>
      <x:c r="J20" s="27" t="n">
        <x:v>1</x:v>
      </x:c>
      <x:c r="K20" s="27" t="n">
        <x:v>16</x:v>
      </x:c>
      <x:c r="L20" s="27" t="n">
        <x:v>16</x:v>
      </x:c>
      <x:c r="M20" s="19" t="str">
        <x:v>Мощность общая с салатами; строки группы не суммируются</x:v>
      </x:c>
      <x:c r="N20" s="19" t="str">
        <x:v>PRELIMINARY_UNTIL_TEST</x:v>
      </x:c>
    </x:row>
    <x:row r="21">
      <x:c r="A21" s="25" t="n">
        <x:v>17</x:v>
      </x:c>
      <x:c r="B21" s="19" t="str">
        <x:v>Холодные закуски</x:v>
      </x:c>
      <x:c r="C21" s="19" t="str">
        <x:v>Ростбиф с луком и гренкой</x:v>
      </x:c>
      <x:c r="D21" s="19" t="str">
        <x:v>1 порция</x:v>
      </x:c>
      <x:c r="E21" s="19" t="str">
        <x:v>180 г</x:v>
      </x:c>
      <x:c r="F21" s="19" t="str">
        <x:v>COLD</x:v>
      </x:c>
      <x:c r="G21" s="19" t="str">
        <x:v>Холодный участок CLD</x:v>
      </x:c>
      <x:c r="H21" s="27" t="n">
        <x:v>16</x:v>
      </x:c>
      <x:c r="I21" s="27" t="str">
        <x:v>порций/ч</x:v>
      </x:c>
      <x:c r="J21" s="27" t="n">
        <x:v>1</x:v>
      </x:c>
      <x:c r="K21" s="27" t="n">
        <x:v>16</x:v>
      </x:c>
      <x:c r="L21" s="27" t="n">
        <x:v>16</x:v>
      </x:c>
      <x:c r="M21" s="19" t="str">
        <x:v>Мощность общая с салатами; строки группы не суммируются</x:v>
      </x:c>
      <x:c r="N21" s="19" t="str">
        <x:v>PRELIMINARY_UNTIL_TEST</x:v>
      </x:c>
    </x:row>
    <x:row r="22">
      <x:c r="A22" s="25" t="n">
        <x:v>18</x:v>
      </x:c>
      <x:c r="B22" s="19" t="str">
        <x:v>Супы</x:v>
      </x:c>
      <x:c r="C22" s="19" t="str">
        <x:v>Традиционный красный борщ</x:v>
      </x:c>
      <x:c r="D22" s="19" t="str">
        <x:v>1 гостевая подача</x:v>
      </x:c>
      <x:c r="E22" s="19" t="str">
        <x:v>400 г</x:v>
      </x:c>
      <x:c r="F22" s="19" t="str">
        <x:v>HOT</x:v>
      </x:c>
      <x:c r="G22" s="19" t="str">
        <x:v>Пароконвектомат/индукция HOT</x:v>
      </x:c>
      <x:c r="H22" s="27" t="n">
        <x:v>21</x:v>
      </x:c>
      <x:c r="I22" s="27" t="str">
        <x:v>порций/ч</x:v>
      </x:c>
      <x:c r="J22" s="27" t="n">
        <x:v>1</x:v>
      </x:c>
      <x:c r="K22" s="27" t="n">
        <x:v>21</x:v>
      </x:c>
      <x:c r="L22" s="27" t="n">
        <x:v>21</x:v>
      </x:c>
      <x:c r="M22" s="19" t="str">
        <x:v>Мощность общая с горячими блюдами; строки группы не суммируются</x:v>
      </x:c>
      <x:c r="N22" s="19" t="str">
        <x:v>PRELIMINARY_UNTIL_TEST</x:v>
      </x:c>
    </x:row>
    <x:row r="23">
      <x:c r="A23" s="25" t="n">
        <x:v>19</x:v>
      </x:c>
      <x:c r="B23" s="19" t="str">
        <x:v>Горячие блюда</x:v>
      </x:c>
      <x:c r="C23" s="19" t="str">
        <x:v>Мурманская треска со сливочно-горчичным соусом</x:v>
      </x:c>
      <x:c r="D23" s="19" t="str">
        <x:v>1 порция</x:v>
      </x:c>
      <x:c r="E23" s="19" t="str">
        <x:v>300 г</x:v>
      </x:c>
      <x:c r="F23" s="19" t="str">
        <x:v>HOT</x:v>
      </x:c>
      <x:c r="G23" s="19" t="str">
        <x:v>Горячий участок HOT</x:v>
      </x:c>
      <x:c r="H23" s="27" t="n">
        <x:v>21</x:v>
      </x:c>
      <x:c r="I23" s="27" t="str">
        <x:v>порций/ч</x:v>
      </x:c>
      <x:c r="J23" s="27" t="n">
        <x:v>1</x:v>
      </x:c>
      <x:c r="K23" s="27" t="n">
        <x:v>21</x:v>
      </x:c>
      <x:c r="L23" s="27" t="n">
        <x:v>21</x:v>
      </x:c>
      <x:c r="M23" s="19" t="str">
        <x:v>Расчётная мощность горячего участка с инженерным запасом</x:v>
      </x:c>
      <x:c r="N23" s="19" t="str">
        <x:v>PRELIMINARY_UNTIL_TEST</x:v>
      </x:c>
    </x:row>
    <x:row r="24">
      <x:c r="A24" s="25" t="n">
        <x:v>20</x:v>
      </x:c>
      <x:c r="B24" s="19" t="str">
        <x:v>Горячие блюда</x:v>
      </x:c>
      <x:c r="C24" s="19" t="str">
        <x:v>Креветки по-тайски</x:v>
      </x:c>
      <x:c r="D24" s="19" t="str">
        <x:v>1 порция</x:v>
      </x:c>
      <x:c r="E24" s="19" t="str">
        <x:v>360 г</x:v>
      </x:c>
      <x:c r="F24" s="19" t="str">
        <x:v>HOT</x:v>
      </x:c>
      <x:c r="G24" s="19" t="str">
        <x:v>Горячий участок HOT</x:v>
      </x:c>
      <x:c r="H24" s="27" t="n">
        <x:v>21</x:v>
      </x:c>
      <x:c r="I24" s="27" t="str">
        <x:v>порций/ч</x:v>
      </x:c>
      <x:c r="J24" s="27" t="n">
        <x:v>1</x:v>
      </x:c>
      <x:c r="K24" s="27" t="n">
        <x:v>21</x:v>
      </x:c>
      <x:c r="L24" s="27" t="n">
        <x:v>21</x:v>
      </x:c>
      <x:c r="M24" s="19" t="str">
        <x:v>Расчётная мощность горячего участка с инженерным запасом</x:v>
      </x:c>
      <x:c r="N24" s="19" t="str">
        <x:v>PRELIMINARY_UNTIL_TEST</x:v>
      </x:c>
    </x:row>
    <x:row r="25">
      <x:c r="A25" s="25" t="n">
        <x:v>21</x:v>
      </x:c>
      <x:c r="B25" s="19" t="str">
        <x:v>Горячие блюда</x:v>
      </x:c>
      <x:c r="C25" s="19" t="str">
        <x:v>Бургер VARSHAVKA</x:v>
      </x:c>
      <x:c r="D25" s="19" t="str">
        <x:v>1 бургер</x:v>
      </x:c>
      <x:c r="E25" s="19" t="str">
        <x:v>350 г</x:v>
      </x:c>
      <x:c r="F25" s="19" t="str">
        <x:v>HOT</x:v>
      </x:c>
      <x:c r="G25" s="19" t="str">
        <x:v>Горячий участок HOT</x:v>
      </x:c>
      <x:c r="H25" s="27" t="n">
        <x:v>21</x:v>
      </x:c>
      <x:c r="I25" s="27" t="str">
        <x:v>порций/ч</x:v>
      </x:c>
      <x:c r="J25" s="27" t="n">
        <x:v>1</x:v>
      </x:c>
      <x:c r="K25" s="27" t="n">
        <x:v>21</x:v>
      </x:c>
      <x:c r="L25" s="27" t="n">
        <x:v>21</x:v>
      </x:c>
      <x:c r="M25" s="19" t="str">
        <x:v>Расчётная мощность горячего участка с инженерным запасом</x:v>
      </x:c>
      <x:c r="N25" s="19" t="str">
        <x:v>PRELIMINARY_UNTIL_TEST</x:v>
      </x:c>
    </x:row>
    <x:row r="26">
      <x:c r="A26" s="25" t="n">
        <x:v>22</x:v>
      </x:c>
      <x:c r="B26" s="19" t="str">
        <x:v>Горячие блюда</x:v>
      </x:c>
      <x:c r="C26" s="19" t="str">
        <x:v>Миньоны из говяжьей вырезки</x:v>
      </x:c>
      <x:c r="D26" s="19" t="str">
        <x:v>1 порция, 2 миньона</x:v>
      </x:c>
      <x:c r="E26" s="19" t="str">
        <x:v>300 г</x:v>
      </x:c>
      <x:c r="F26" s="19" t="str">
        <x:v>HOT</x:v>
      </x:c>
      <x:c r="G26" s="19" t="str">
        <x:v>Горячий участок HOT</x:v>
      </x:c>
      <x:c r="H26" s="27" t="n">
        <x:v>21</x:v>
      </x:c>
      <x:c r="I26" s="27" t="str">
        <x:v>порций/ч</x:v>
      </x:c>
      <x:c r="J26" s="27" t="n">
        <x:v>1</x:v>
      </x:c>
      <x:c r="K26" s="27" t="n">
        <x:v>21</x:v>
      </x:c>
      <x:c r="L26" s="27" t="n">
        <x:v>21</x:v>
      </x:c>
      <x:c r="M26" s="19" t="str">
        <x:v>Расчётная мощность горячего участка с инженерным запасом</x:v>
      </x:c>
      <x:c r="N26" s="19" t="str">
        <x:v>PRELIMINARY_UNTIL_TEST</x:v>
      </x:c>
    </x:row>
    <x:row r="27">
      <x:c r="A27" s="25" t="n">
        <x:v>23</x:v>
      </x:c>
      <x:c r="B27" s="19" t="str">
        <x:v>Гарниры</x:v>
      </x:c>
      <x:c r="C27" s="19" t="str">
        <x:v>Запечённый картофель</x:v>
      </x:c>
      <x:c r="D27" s="19" t="str">
        <x:v>1 порция</x:v>
      </x:c>
      <x:c r="E27" s="19" t="str">
        <x:v>150 г</x:v>
      </x:c>
      <x:c r="F27" s="19" t="str">
        <x:v>SIDE</x:v>
      </x:c>
      <x:c r="G27" s="19" t="str">
        <x:v>HOT-01/HOT-03/HOT-06</x:v>
      </x:c>
      <x:c r="H27" s="27" t="n">
        <x:v>12</x:v>
      </x:c>
      <x:c r="I27" s="27" t="str">
        <x:v>порций/ч</x:v>
      </x:c>
      <x:c r="J27" s="27" t="n">
        <x:v>1</x:v>
      </x:c>
      <x:c r="K27" s="27" t="n">
        <x:v>12</x:v>
      </x:c>
      <x:c r="L27" s="27" t="n">
        <x:v>12</x:v>
      </x:c>
      <x:c r="M27" s="19" t="str">
        <x:v>Использует того же горячего специалиста; не суммировать с HOT</x:v>
      </x:c>
      <x:c r="N27" s="19" t="str">
        <x:v>PRELIMINARY_UNTIL_TEST</x:v>
      </x:c>
    </x:row>
    <x:row r="28">
      <x:c r="A28" s="25" t="n">
        <x:v>24</x:v>
      </x:c>
      <x:c r="B28" s="19" t="str">
        <x:v>Гарниры</x:v>
      </x:c>
      <x:c r="C28" s="19" t="str">
        <x:v>Рис жасмин</x:v>
      </x:c>
      <x:c r="D28" s="19" t="str">
        <x:v>1 порция</x:v>
      </x:c>
      <x:c r="E28" s="19" t="str">
        <x:v>150 г</x:v>
      </x:c>
      <x:c r="F28" s="19" t="str">
        <x:v>SIDE</x:v>
      </x:c>
      <x:c r="G28" s="19" t="str">
        <x:v>HOT-01/HOT-03/HOT-06</x:v>
      </x:c>
      <x:c r="H28" s="27" t="n">
        <x:v>12</x:v>
      </x:c>
      <x:c r="I28" s="27" t="str">
        <x:v>порций/ч</x:v>
      </x:c>
      <x:c r="J28" s="27" t="n">
        <x:v>1</x:v>
      </x:c>
      <x:c r="K28" s="27" t="n">
        <x:v>12</x:v>
      </x:c>
      <x:c r="L28" s="27" t="n">
        <x:v>12</x:v>
      </x:c>
      <x:c r="M28" s="19" t="str">
        <x:v>Использует того же горячего специалиста; не суммировать с HOT</x:v>
      </x:c>
      <x:c r="N28" s="19" t="str">
        <x:v>PRELIMINARY_UNTIL_TEST</x:v>
      </x:c>
    </x:row>
    <x:row r="29">
      <x:c r="A29" s="25" t="n">
        <x:v>25</x:v>
      </x:c>
      <x:c r="B29" s="19" t="str">
        <x:v>Гарниры</x:v>
      </x:c>
      <x:c r="C29" s="19" t="str">
        <x:v>Горячие овощи</x:v>
      </x:c>
      <x:c r="D29" s="19" t="str">
        <x:v>1 порция</x:v>
      </x:c>
      <x:c r="E29" s="19" t="str">
        <x:v>150 г</x:v>
      </x:c>
      <x:c r="F29" s="19" t="str">
        <x:v>SIDE</x:v>
      </x:c>
      <x:c r="G29" s="19" t="str">
        <x:v>HOT-01/HOT-03/HOT-06</x:v>
      </x:c>
      <x:c r="H29" s="27" t="n">
        <x:v>12</x:v>
      </x:c>
      <x:c r="I29" s="27" t="str">
        <x:v>порций/ч</x:v>
      </x:c>
      <x:c r="J29" s="27" t="n">
        <x:v>1</x:v>
      </x:c>
      <x:c r="K29" s="27" t="n">
        <x:v>12</x:v>
      </x:c>
      <x:c r="L29" s="27" t="n">
        <x:v>12</x:v>
      </x:c>
      <x:c r="M29" s="19" t="str">
        <x:v>Использует того же горячего специалиста; не суммировать с HOT</x:v>
      </x:c>
      <x:c r="N29" s="19" t="str">
        <x:v>PRELIMINARY_UNTIL_TEST</x:v>
      </x:c>
    </x:row>
    <x:row r="30">
      <x:c r="A30" s="25" t="n">
        <x:v>26</x:v>
      </x:c>
      <x:c r="B30" s="19" t="str">
        <x:v>Гостиничные завтраки</x:v>
      </x:c>
      <x:c r="C30" s="19" t="str">
        <x:v>Яичница, круассан и сыр двух видов</x:v>
      </x:c>
      <x:c r="D30" s="19" t="str">
        <x:v>1 закрытый комплекс</x:v>
      </x:c>
      <x:c r="E30" s="19" t="str">
        <x:v>225 г + напиток 200 мл</x:v>
      </x:c>
      <x:c r="F30" s="19" t="str">
        <x:v>BREAKFAST</x:v>
      </x:c>
      <x:c r="G30" s="19" t="str">
        <x:v>HOT/BRK/BAK</x:v>
      </x:c>
      <x:c r="H30" s="27" t="n">
        <x:v>15</x:v>
      </x:c>
      <x:c r="I30" s="27" t="str">
        <x:v>комплексов/ч</x:v>
      </x:c>
      <x:c r="J30" s="27" t="n">
        <x:v>1</x:v>
      </x:c>
      <x:c r="K30" s="27" t="n">
        <x:v>10</x:v>
      </x:c>
      <x:c r="L30" s="27" t="n">
        <x:v>10</x:v>
      </x:c>
      <x:c r="M30" s="19" t="str">
        <x:v>Установленная мощность 15; штатный пик ограничен одним ранним работником</x:v>
      </x:c>
      <x:c r="N30" s="19" t="str">
        <x:v>PRELIMINARY_UNTIL_TEST</x:v>
      </x:c>
    </x:row>
    <x:row r="31">
      <x:c r="A31" s="25" t="n">
        <x:v>27</x:v>
      </x:c>
      <x:c r="B31" s="19" t="str">
        <x:v>Гостиничные завтраки</x:v>
      </x:c>
      <x:c r="C31" s="19" t="str">
        <x:v>Омлет, круассан и сыр двух видов</x:v>
      </x:c>
      <x:c r="D31" s="19" t="str">
        <x:v>1 закрытый комплекс</x:v>
      </x:c>
      <x:c r="E31" s="19" t="str">
        <x:v>265 г + напиток 200 мл</x:v>
      </x:c>
      <x:c r="F31" s="19" t="str">
        <x:v>BREAKFAST</x:v>
      </x:c>
      <x:c r="G31" s="19" t="str">
        <x:v>HOT/BRK/BAK</x:v>
      </x:c>
      <x:c r="H31" s="27" t="n">
        <x:v>15</x:v>
      </x:c>
      <x:c r="I31" s="27" t="str">
        <x:v>комплексов/ч</x:v>
      </x:c>
      <x:c r="J31" s="27" t="n">
        <x:v>1</x:v>
      </x:c>
      <x:c r="K31" s="27" t="n">
        <x:v>10</x:v>
      </x:c>
      <x:c r="L31" s="27" t="n">
        <x:v>10</x:v>
      </x:c>
      <x:c r="M31" s="19" t="str">
        <x:v>Установленная мощность 15; штатный пик ограничен одним ранним работником</x:v>
      </x:c>
      <x:c r="N31" s="19" t="str">
        <x:v>PRELIMINARY_UNTIL_TEST</x:v>
      </x:c>
    </x:row>
    <x:row r="32">
      <x:c r="A32" s="25" t="n">
        <x:v>28</x:v>
      </x:c>
      <x:c r="B32" s="19" t="str">
        <x:v>Гостиничные завтраки</x:v>
      </x:c>
      <x:c r="C32" s="19" t="str">
        <x:v>Овсяная каша, круассан и сыр двух видов</x:v>
      </x:c>
      <x:c r="D32" s="19" t="str">
        <x:v>1 закрытый комплекс</x:v>
      </x:c>
      <x:c r="E32" s="19" t="str">
        <x:v>355 г + напиток 200 мл</x:v>
      </x:c>
      <x:c r="F32" s="19" t="str">
        <x:v>BREAKFAST</x:v>
      </x:c>
      <x:c r="G32" s="19" t="str">
        <x:v>HOT/BRK/BAK</x:v>
      </x:c>
      <x:c r="H32" s="27" t="n">
        <x:v>15</x:v>
      </x:c>
      <x:c r="I32" s="27" t="str">
        <x:v>комплексов/ч</x:v>
      </x:c>
      <x:c r="J32" s="27" t="n">
        <x:v>1</x:v>
      </x:c>
      <x:c r="K32" s="27" t="n">
        <x:v>10</x:v>
      </x:c>
      <x:c r="L32" s="27" t="n">
        <x:v>10</x:v>
      </x:c>
      <x:c r="M32" s="19" t="str">
        <x:v>Установленная мощность 15; штатный пик ограничен одним ранним работником</x:v>
      </x:c>
      <x:c r="N32" s="19" t="str">
        <x:v>PRELIMINARY_UNTIL_TEST</x:v>
      </x:c>
    </x:row>
    <x:row r="33">
      <x:c r="A33" s="25" t="n">
        <x:v>29</x:v>
      </x:c>
      <x:c r="B33" s="19" t="str">
        <x:v>Десерты</x:v>
      </x:c>
      <x:c r="C33" s="19" t="str">
        <x:v>Черничный торт VARSHAVKA</x:v>
      </x:c>
      <x:c r="D33" s="19" t="str">
        <x:v>1 торт / 12 порций</x:v>
      </x:c>
      <x:c r="E33" s="19" t="str">
        <x:v>1 800 г / 150 г</x:v>
      </x:c>
      <x:c r="F33" s="19" t="str">
        <x:v>PASTRY</x:v>
      </x:c>
      <x:c r="G33" s="19" t="str">
        <x:v>Пекарская печь BAK-02</x:v>
      </x:c>
      <x:c r="H33" s="27" t="n">
        <x:v>6</x:v>
      </x:c>
      <x:c r="I33" s="27" t="str">
        <x:v>противней/цикл</x:v>
      </x:c>
      <x:c r="J33" s="27" t="n">
        <x:v>1</x:v>
      </x:c>
      <x:c r="K33" s="27" t="n">
        <x:v>3</x:v>
      </x:c>
      <x:c r="L33" s="27" t="n">
        <x:v>3</x:v>
      </x:c>
      <x:c r="M33" s="19" t="str">
        <x:v>Общая ранняя функция с хлебом и завтраками; подтвердить хронометражем</x:v>
      </x:c>
      <x:c r="N33" s="19" t="str">
        <x:v>PRELIMINARY_UNTIL_TEST</x:v>
      </x:c>
    </x:row>
    <x:row r="34">
      <x:c r="A34" s="25" t="n">
        <x:v>30</x:v>
      </x:c>
      <x:c r="B34" s="19" t="str">
        <x:v>Десерты</x:v>
      </x:c>
      <x:c r="C34" s="19" t="str">
        <x:v>Кростата с солёной карамелью</x:v>
      </x:c>
      <x:c r="D34" s="19" t="str">
        <x:v>1 кростата / 10 порций</x:v>
      </x:c>
      <x:c r="E34" s="19" t="str">
        <x:v>1 200 г / 120 г</x:v>
      </x:c>
      <x:c r="F34" s="19" t="str">
        <x:v>PASTRY</x:v>
      </x:c>
      <x:c r="G34" s="19" t="str">
        <x:v>Пекарская печь BAK-02</x:v>
      </x:c>
      <x:c r="H34" s="27" t="n">
        <x:v>6</x:v>
      </x:c>
      <x:c r="I34" s="27" t="str">
        <x:v>противней/цикл</x:v>
      </x:c>
      <x:c r="J34" s="27" t="n">
        <x:v>1</x:v>
      </x:c>
      <x:c r="K34" s="27" t="n">
        <x:v>3</x:v>
      </x:c>
      <x:c r="L34" s="27" t="n">
        <x:v>3</x:v>
      </x:c>
      <x:c r="M34" s="19" t="str">
        <x:v>Общая ранняя функция с хлебом и завтраками; подтвердить хронометражем</x:v>
      </x:c>
      <x:c r="N34" s="19" t="str">
        <x:v>PRELIMINARY_UNTIL_TEST</x:v>
      </x:c>
    </x:row>
    <x:row r="35">
      <x:c r="A35" s="25" t="n">
        <x:v>31</x:v>
      </x:c>
      <x:c r="B35" s="19" t="str">
        <x:v>Десерты</x:v>
      </x:c>
      <x:c r="C35" s="19" t="str">
        <x:v>Мадлен</x:v>
      </x:c>
      <x:c r="D35" s="19" t="str">
        <x:v>партия 20 шт. / продажа 2 шт.</x:v>
      </x:c>
      <x:c r="E35" s="19" t="str">
        <x:v>600 г / 60 г</x:v>
      </x:c>
      <x:c r="F35" s="19" t="str">
        <x:v>PASTRY</x:v>
      </x:c>
      <x:c r="G35" s="19" t="str">
        <x:v>Пекарская печь BAK-02</x:v>
      </x:c>
      <x:c r="H35" s="27" t="n">
        <x:v>6</x:v>
      </x:c>
      <x:c r="I35" s="27" t="str">
        <x:v>противней/цикл</x:v>
      </x:c>
      <x:c r="J35" s="27" t="n">
        <x:v>1</x:v>
      </x:c>
      <x:c r="K35" s="27" t="n">
        <x:v>3</x:v>
      </x:c>
      <x:c r="L35" s="27" t="n">
        <x:v>3</x:v>
      </x:c>
      <x:c r="M35" s="19" t="str">
        <x:v>Общая ранняя функция с хлебом и завтраками; подтвердить хронометражем</x:v>
      </x:c>
      <x:c r="N35" s="19" t="str">
        <x:v>PRELIMINARY_UNTIL_TEST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4" hidden="0" customWidth="1"/>
    <x:col min="3" max="3" width="30" hidden="0" customWidth="1"/>
    <x:col min="4" max="4" width="20" hidden="0" customWidth="1"/>
    <x:col min="5" max="5" width="20" hidden="0" customWidth="1"/>
    <x:col min="6" max="6" width="18" hidden="0" customWidth="1"/>
    <x:col min="7" max="7" width="21" hidden="0" customWidth="1"/>
    <x:col min="8" max="8" width="22" hidden="0" customWidth="1"/>
    <x:col min="9" max="9" width="58" hidden="0" customWidth="1"/>
  </x:cols>
  <x:sheetData>
    <x:row r="1" ht="30" customHeight="1">
      <x:c r="A1" s="3" t="str">
        <x:v>Мощность производственных участков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Эти строки являются уникальными мощностями и могут использоваться для планирования нагрузки.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13" t="str">
        <x:v>Код группы</x:v>
      </x:c>
      <x:c r="B4" s="13" t="str">
        <x:v>Участок</x:v>
      </x:c>
      <x:c r="C4" s="13" t="str">
        <x:v>Оборудование</x:v>
      </x:c>
      <x:c r="D4" s="13" t="str">
        <x:v>Установленная мощность</x:v>
      </x:c>
      <x:c r="E4" s="13" t="str">
        <x:v>Единица</x:v>
      </x:c>
      <x:c r="F4" s="13" t="str">
        <x:v>Специалистов в пике</x:v>
      </x:c>
      <x:c r="G4" s="13" t="str">
        <x:v>Мощность 1 специалиста</x:v>
      </x:c>
      <x:c r="H4" s="13" t="str">
        <x:v>Пиковая мощность по штату</x:v>
      </x:c>
      <x:c r="I4" s="13" t="str">
        <x:v>Комментарий</x:v>
      </x:c>
    </x:row>
    <x:row r="5">
      <x:c r="A5" s="18" t="str">
        <x:v>PIZZA</x:v>
      </x:c>
      <x:c r="B5" s="18" t="str">
        <x:v>Пицца</x:v>
      </x:c>
      <x:c r="C5" s="18" t="str">
        <x:v>BAK-01</x:v>
      </x:c>
      <x:c r="D5" s="26" t="n">
        <x:v>25</x:v>
      </x:c>
      <x:c r="E5" s="26" t="str">
        <x:v>порций/ч</x:v>
      </x:c>
      <x:c r="F5" s="26" t="n">
        <x:v>1</x:v>
      </x:c>
      <x:c r="G5" s="26" t="n">
        <x:v>10</x:v>
      </x:c>
      <x:c r="H5" s="26" t="n">
        <x:v>10</x:v>
      </x:c>
      <x:c r="I5" s="18" t="str">
        <x:v>Отдельный специалист в пик</x:v>
      </x:c>
    </x:row>
    <x:row r="6">
      <x:c r="A6" s="19" t="str">
        <x:v>BAKERY</x:v>
      </x:c>
      <x:c r="B6" s="19" t="str">
        <x:v>Хлеб</x:v>
      </x:c>
      <x:c r="C6" s="19" t="str">
        <x:v>BAK-02</x:v>
      </x:c>
      <x:c r="D6" s="27" t="n">
        <x:v>6</x:v>
      </x:c>
      <x:c r="E6" s="27" t="str">
        <x:v>противней/цикл</x:v>
      </x:c>
      <x:c r="F6" s="27" t="n">
        <x:v>1</x:v>
      </x:c>
      <x:c r="G6" s="27" t="n">
        <x:v>3</x:v>
      </x:c>
      <x:c r="H6" s="27" t="n">
        <x:v>3</x:v>
      </x:c>
      <x:c r="I6" s="19" t="str">
        <x:v>Дефицит отдельной ранней функции</x:v>
      </x:c>
    </x:row>
    <x:row r="7">
      <x:c r="A7" s="19" t="str">
        <x:v>COLD</x:v>
      </x:c>
      <x:c r="B7" s="19" t="str">
        <x:v>Салаты и холодные закуски</x:v>
      </x:c>
      <x:c r="C7" s="19" t="str">
        <x:v>CLD</x:v>
      </x:c>
      <x:c r="D7" s="27" t="n">
        <x:v>16</x:v>
      </x:c>
      <x:c r="E7" s="27" t="str">
        <x:v>порций/ч</x:v>
      </x:c>
      <x:c r="F7" s="27" t="n">
        <x:v>1</x:v>
      </x:c>
      <x:c r="G7" s="27" t="n">
        <x:v>16</x:v>
      </x:c>
      <x:c r="H7" s="27" t="n">
        <x:v>16</x:v>
      </x:c>
      <x:c r="I7" s="19" t="str">
        <x:v>Только с подготовленными компонентами и экспедитором</x:v>
      </x:c>
    </x:row>
    <x:row r="8">
      <x:c r="A8" s="19" t="str">
        <x:v>HOT</x:v>
      </x:c>
      <x:c r="B8" s="19" t="str">
        <x:v>Супы и горячие блюда</x:v>
      </x:c>
      <x:c r="C8" s="19" t="str">
        <x:v>HOT</x:v>
      </x:c>
      <x:c r="D8" s="27" t="n">
        <x:v>21</x:v>
      </x:c>
      <x:c r="E8" s="27" t="str">
        <x:v>порций/ч</x:v>
      </x:c>
      <x:c r="F8" s="27" t="n">
        <x:v>1</x:v>
      </x:c>
      <x:c r="G8" s="27" t="n">
        <x:v>21</x:v>
      </x:c>
      <x:c r="H8" s="27" t="n">
        <x:v>21</x:v>
      </x:c>
      <x:c r="I8" s="19" t="str">
        <x:v>Гарниры используют тот же трудовой ресурс</x:v>
      </x:c>
    </x:row>
    <x:row r="9">
      <x:c r="A9" s="19" t="str">
        <x:v>SIDE</x:v>
      </x:c>
      <x:c r="B9" s="19" t="str">
        <x:v>Гарниры</x:v>
      </x:c>
      <x:c r="C9" s="19" t="str">
        <x:v>HOT-01/HOT-03/HOT-06</x:v>
      </x:c>
      <x:c r="D9" s="27" t="n">
        <x:v>12</x:v>
      </x:c>
      <x:c r="E9" s="27" t="str">
        <x:v>порций/ч</x:v>
      </x:c>
      <x:c r="F9" s="27" t="n">
        <x:v>1</x:v>
      </x:c>
      <x:c r="G9" s="27" t="n">
        <x:v>12</x:v>
      </x:c>
      <x:c r="H9" s="27" t="n">
        <x:v>12</x:v>
      </x:c>
      <x:c r="I9" s="19" t="str">
        <x:v>Не прибавлять к HOT</x:v>
      </x:c>
    </x:row>
    <x:row r="10">
      <x:c r="A10" s="19" t="str">
        <x:v>BREAKFAST</x:v>
      </x:c>
      <x:c r="B10" s="19" t="str">
        <x:v>Гостиничные завтраки</x:v>
      </x:c>
      <x:c r="C10" s="19" t="str">
        <x:v>HOT/BRK/BAK</x:v>
      </x:c>
      <x:c r="D10" s="27" t="n">
        <x:v>15</x:v>
      </x:c>
      <x:c r="E10" s="27" t="str">
        <x:v>комплексов/ч</x:v>
      </x:c>
      <x:c r="F10" s="27" t="n">
        <x:v>1</x:v>
      </x:c>
      <x:c r="G10" s="27" t="n">
        <x:v>10</x:v>
      </x:c>
      <x:c r="H10" s="27" t="n">
        <x:v>10</x:v>
      </x:c>
      <x:c r="I10" s="19" t="str">
        <x:v>Конфликт с выпечкой и подготовкой</x:v>
      </x:c>
    </x:row>
    <x:row r="11">
      <x:c r="A11" s="19" t="str">
        <x:v>PASTRY</x:v>
      </x:c>
      <x:c r="B11" s="19" t="str">
        <x:v>Десерты</x:v>
      </x:c>
      <x:c r="C11" s="19" t="str">
        <x:v>BAK-02</x:v>
      </x:c>
      <x:c r="D11" s="27" t="n">
        <x:v>6</x:v>
      </x:c>
      <x:c r="E11" s="27" t="str">
        <x:v>противней/цикл</x:v>
      </x:c>
      <x:c r="F11" s="27" t="n">
        <x:v>1</x:v>
      </x:c>
      <x:c r="G11" s="27" t="n">
        <x:v>3</x:v>
      </x:c>
      <x:c r="H11" s="27" t="n">
        <x:v>3</x:v>
      </x:c>
      <x:c r="I11" s="19" t="str">
        <x:v>Общая ранняя функция с хлебом</x:v>
      </x:c>
    </x:row>
    <x:row r="12">
      <x:c r="A12" s="19" t="str">
        <x:v>DISPATCH</x:v>
      </x:c>
      <x:c r="B12" s="19" t="str">
        <x:v>Раздача</x:v>
      </x:c>
      <x:c r="C12" s="19" t="str">
        <x:v>DSP</x:v>
      </x:c>
      <x:c r="D12" s="27" t="n">
        <x:v>60</x:v>
      </x:c>
      <x:c r="E12" s="27" t="str">
        <x:v>позиций/ч</x:v>
      </x:c>
      <x:c r="F12" s="27" t="n">
        <x:v>1</x:v>
      </x:c>
      <x:c r="G12" s="27" t="n">
        <x:v>60</x:v>
      </x:c>
      <x:c r="H12" s="27" t="n">
        <x:v>60</x:v>
      </x:c>
      <x:c r="I12" s="19" t="str">
        <x:v>Отдельный экспедитор</x:v>
      </x:c>
    </x:row>
    <x:row r="13">
      <x:c r="A13" s="19" t="str">
        <x:v>PACK</x:v>
      </x:c>
      <x:c r="B13" s="19" t="str">
        <x:v>Упаковка</x:v>
      </x:c>
      <x:c r="C13" s="19" t="str">
        <x:v>DSP-07/DSP-09</x:v>
      </x:c>
      <x:c r="D13" s="27" t="n">
        <x:v>30</x:v>
      </x:c>
      <x:c r="E13" s="27" t="str">
        <x:v>изделий/ч</x:v>
      </x:c>
      <x:c r="F13" s="27" t="n">
        <x:v>1</x:v>
      </x:c>
      <x:c r="G13" s="27" t="n">
        <x:v>30</x:v>
      </x:c>
      <x:c r="H13" s="27" t="n">
        <x:v>30</x:v>
      </x:c>
      <x:c r="I13" s="19" t="str">
        <x:v>Около 14 заказов/ч</x:v>
      </x:c>
    </x:row>
    <x:row r="14">
      <x:c r="A14" s="19" t="str">
        <x:v>WASH</x:v>
      </x:c>
      <x:c r="B14" s="19" t="str">
        <x:v>Мойка</x:v>
      </x:c>
      <x:c r="C14" s="19" t="str">
        <x:v>WSH-01</x:v>
      </x:c>
      <x:c r="D14" s="27" t="n">
        <x:v>25</x:v>
      </x:c>
      <x:c r="E14" s="27" t="str">
        <x:v>кассет/ч</x:v>
      </x:c>
      <x:c r="F14" s="27" t="n">
        <x:v>1</x:v>
      </x:c>
      <x:c r="G14" s="27" t="n">
        <x:v>25</x:v>
      </x:c>
      <x:c r="H14" s="27" t="n">
        <x:v>25</x:v>
      </x:c>
      <x:c r="I14" s="19" t="str">
        <x:v>112 ч/нед. против 84 ч/нед.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4" hidden="0" customWidth="1"/>
    <x:col min="3" max="3" width="27" hidden="0" customWidth="1"/>
    <x:col min="4" max="4" width="20" hidden="0" customWidth="1"/>
    <x:col min="5" max="5" width="22" hidden="0" customWidth="1"/>
    <x:col min="6" max="6" width="22" hidden="0" customWidth="1"/>
    <x:col min="7" max="7" width="14" hidden="0" customWidth="1"/>
    <x:col min="8" max="8" width="14" hidden="0" customWidth="1"/>
    <x:col min="9" max="9" width="16" hidden="0" customWidth="1"/>
    <x:col min="10" max="10" width="58" hidden="0" customWidth="1"/>
  </x:cols>
  <x:sheetData>
    <x:row r="1" ht="30" customHeight="1">
      <x:c r="A1" s="3" t="str">
        <x:v>Штатные ограничения пиковой мощности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Производственные специалисты, экспедиция, упаковка и мойка учитываются раздельно.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13" t="str">
        <x:v>Сценарий</x:v>
      </x:c>
      <x:c r="B4" s="13" t="str">
        <x:v>Интервал</x:v>
      </x:c>
      <x:c r="C4" s="13" t="str">
        <x:v>Гостевая нагрузка</x:v>
      </x:c>
      <x:c r="D4" s="13" t="str">
        <x:v>Единица</x:v>
      </x:c>
      <x:c r="E4" s="13" t="str">
        <x:v>Фактически доступно производственных специалистов</x:v>
      </x:c>
      <x:c r="F4" s="13" t="str">
        <x:v>Требуется производственных специалистов</x:v>
      </x:c>
      <x:c r="G4" s="13" t="str">
        <x:v>Дефицит</x:v>
      </x:c>
      <x:c r="H4" s="13" t="str">
        <x:v>Экспедитор</x:v>
      </x:c>
      <x:c r="I4" s="13" t="str">
        <x:v>Упаковщик</x:v>
      </x:c>
      <x:c r="J4" s="13" t="str">
        <x:v>Статус/решение</x:v>
      </x:c>
    </x:row>
    <x:row r="5">
      <x:c r="A5" s="18" t="str">
        <x:v>Обычная пятница</x:v>
      </x:c>
      <x:c r="B5" s="18" t="str">
        <x:v>18:00–21:00</x:v>
      </x:c>
      <x:c r="C5" s="18" t="str">
        <x:v>32–33</x:v>
      </x:c>
      <x:c r="D5" s="18" t="str">
        <x:v>позиций/ч</x:v>
      </x:c>
      <x:c r="E5" s="26" t="n">
        <x:v>1</x:v>
      </x:c>
      <x:c r="F5" s="26" t="n">
        <x:v>3</x:v>
      </x:c>
      <x:c r="G5" s="26" t="n">
        <x:f>MAX(F5-E5,0)</x:f>
        <x:v>2</x:v>
      </x:c>
      <x:c r="H5" s="18" t="n">
        <x:v>1</x:v>
      </x:c>
      <x:c r="I5" s="18" t="str">
        <x:v>при Доставке</x:v>
      </x:c>
      <x:c r="J5" s="18" t="str">
        <x:v>BLOCKED: добавить 2 производственных работников</x:v>
      </x:c>
    </x:row>
    <x:row r="6">
      <x:c r="A6" s="19" t="str">
        <x:v>Обычная суббота</x:v>
      </x:c>
      <x:c r="B6" s="19" t="str">
        <x:v>20:00–21:00</x:v>
      </x:c>
      <x:c r="C6" s="19" t="n">
        <x:v>50</x:v>
      </x:c>
      <x:c r="D6" s="19" t="str">
        <x:v>позиций/ч</x:v>
      </x:c>
      <x:c r="E6" s="27" t="n">
        <x:v>3</x:v>
      </x:c>
      <x:c r="F6" s="27" t="n">
        <x:v>3</x:v>
      </x:c>
      <x:c r="G6" s="27" t="n">
        <x:f>MAX(F6-E6,0)</x:f>
        <x:v>0</x:v>
      </x:c>
      <x:c r="H6" s="19" t="n">
        <x:v>1</x:v>
      </x:c>
      <x:c r="I6" s="19" t="str">
        <x:v>при Доставке</x:v>
      </x:c>
      <x:c r="J6" s="19" t="str">
        <x:v>CONDITIONAL PASS: подтвердить стресс-тестом 60 позиций/ч</x:v>
      </x:c>
    </x:row>
    <x:row r="7">
      <x:c r="A7" s="19" t="str">
        <x:v>Банкетная пятница</x:v>
      </x:c>
      <x:c r="B7" s="19" t="str">
        <x:v>19:30, 10–15 минут</x:v>
      </x:c>
      <x:c r="C7" s="19" t="str">
        <x:v>21 горячая тарелка + КАФЕ</x:v>
      </x:c>
      <x:c r="D7" s="19" t="str">
        <x:v>комплект</x:v>
      </x:c>
      <x:c r="E7" s="27" t="n">
        <x:v>1</x:v>
      </x:c>
      <x:c r="F7" s="27" t="n">
        <x:v>5</x:v>
      </x:c>
      <x:c r="G7" s="27" t="n">
        <x:f>MAX(F7-E7,0)</x:f>
        <x:v>4</x:v>
      </x:c>
      <x:c r="H7" s="19" t="n">
        <x:v>2</x:v>
      </x:c>
      <x:c r="I7" s="19" t="str">
        <x:v>при Доставке</x:v>
      </x:c>
      <x:c r="J7" s="19" t="str">
        <x:v>BLOCKED: дополнительная банкетная смена 4 человека</x:v>
      </x:c>
    </x:row>
    <x:row r="8">
      <x:c r="A8" s="19" t="str">
        <x:v>Ранняя выпечка и завтраки</x:v>
      </x:c>
      <x:c r="B8" s="19" t="str">
        <x:v>06:00–11:00</x:v>
      </x:c>
      <x:c r="C8" s="19" t="str">
        <x:v>15 завтраков + выпечка</x:v>
      </x:c>
      <x:c r="D8" s="19" t="str">
        <x:v>комплексов/ч</x:v>
      </x:c>
      <x:c r="E8" s="27" t="n">
        <x:v>1</x:v>
      </x:c>
      <x:c r="F8" s="27" t="n">
        <x:v>2</x:v>
      </x:c>
      <x:c r="G8" s="27" t="n">
        <x:f>MAX(F8-E8,0)</x:f>
        <x:v>1</x:v>
      </x:c>
      <x:c r="H8" s="19" t="n">
        <x:v>0</x:v>
      </x:c>
      <x:c r="I8" s="19" t="n">
        <x:v>0</x:v>
      </x:c>
      <x:c r="J8" s="19" t="str">
        <x:v>BLOCKED: отдельная пекарско-пиццейная функция</x:v>
      </x:c>
    </x:row>
    <x:row r="9">
      <x:c r="A9" s="19" t="str">
        <x:v>Моечный контур</x:v>
      </x:c>
      <x:c r="B9" s="19" t="str">
        <x:v>неделя</x:v>
      </x:c>
      <x:c r="C9" s="19" t="n">
        <x:v>112</x:v>
      </x:c>
      <x:c r="D9" s="19" t="str">
        <x:v>чел.-ч/нед.</x:v>
      </x:c>
      <x:c r="E9" s="27" t="n">
        <x:v>84</x:v>
      </x:c>
      <x:c r="F9" s="27" t="n">
        <x:v>112</x:v>
      </x:c>
      <x:c r="G9" s="27" t="n">
        <x:f>MAX(F9-E9,0)</x:f>
        <x:v>28</x:v>
      </x:c>
      <x:c r="H9" s="19" t="n">
        <x:v>0</x:v>
      </x:c>
      <x:c r="I9" s="19" t="n">
        <x:v>0</x:v>
      </x:c>
      <x:c r="J9" s="19" t="str">
        <x:v>BLOCKED: дефицит не менее 28 часов</x:v>
      </x:c>
    </x:row>
    <x:row r="10">
      <x:c r="A10" s="19" t="str">
        <x:v>Раздача</x:v>
      </x:c>
      <x:c r="B10" s="19" t="str">
        <x:v>вечерний пик</x:v>
      </x:c>
      <x:c r="C10" s="19" t="n">
        <x:v>60</x:v>
      </x:c>
      <x:c r="D10" s="19" t="str">
        <x:v>позиций/ч</x:v>
      </x:c>
      <x:c r="E10" s="27" t="n">
        <x:v>0</x:v>
      </x:c>
      <x:c r="F10" s="27" t="n">
        <x:v>1</x:v>
      </x:c>
      <x:c r="G10" s="27" t="n">
        <x:f>MAX(F10-E10,0)</x:f>
        <x:v>1</x:v>
      </x:c>
      <x:c r="H10" s="19" t="n">
        <x:v>1</x:v>
      </x:c>
      <x:c r="I10" s="19" t="n">
        <x:v>0</x:v>
      </x:c>
      <x:c r="J10" s="19" t="str">
        <x:v>Экспедитор не заменяет производственного специалиста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5" hidden="0" customWidth="1"/>
    <x:col min="3" max="3" width="15" hidden="0" customWidth="1"/>
    <x:col min="4" max="4" width="15" hidden="0" customWidth="1"/>
    <x:col min="5" max="5" width="14" hidden="0" customWidth="1"/>
    <x:col min="6" max="6" width="48" hidden="0" customWidth="1"/>
  </x:cols>
  <x:sheetData>
    <x:row r="1" ht="30" customHeight="1">
      <x:c r="A1" s="3" t="str">
        <x:v>Контроль производственной мощности</x:v>
      </x:c>
      <x:c r="B1" s="3"/>
      <x:c r="C1" s="3"/>
      <x:c r="D1" s="3"/>
      <x:c r="E1" s="3"/>
      <x:c r="F1" s="3"/>
    </x:row>
    <x:row r="2" ht="34" customHeight="1">
      <x:c r="A2" s="7" t="str">
        <x:v>Проверки полноты меню и ключевых утверждённых пиков.</x:v>
      </x:c>
      <x:c r="B2" s="7"/>
      <x:c r="C2" s="7"/>
      <x:c r="D2" s="7"/>
      <x:c r="E2" s="7"/>
      <x:c r="F2" s="7"/>
    </x:row>
    <x:row r="4">
      <x:c r="A4" s="13" t="str">
        <x:v>Проверка</x:v>
      </x:c>
      <x:c r="B4" s="13" t="str">
        <x:v>Факт</x:v>
      </x:c>
      <x:c r="C4" s="13" t="str">
        <x:v>Норматив</x:v>
      </x:c>
      <x:c r="D4" s="13" t="str">
        <x:v>Отклонение</x:v>
      </x:c>
      <x:c r="E4" s="13" t="str">
        <x:v>Статус</x:v>
      </x:c>
      <x:c r="F4" s="13" t="str">
        <x:v>Комментарий</x:v>
      </x:c>
    </x:row>
    <x:row r="5">
      <x:c r="A5" s="18" t="str">
        <x:v>Строк активного меню</x:v>
      </x:c>
      <x:c r="B5" s="18" t="n">
        <x:f>COUNTA('МОЩНОСТЬ_ПО_МЕНЮ'!A5:A35)</x:f>
        <x:v>31</x:v>
      </x:c>
      <x:c r="C5" s="18" t="n">
        <x:v>31</x:v>
      </x:c>
      <x:c r="D5" s="18" t="n">
        <x:f>B5-C5</x:f>
        <x:v>0</x:v>
      </x:c>
      <x:c r="E5" s="28" t="str">
        <x:f>IF(D5=0,"OK","FAIL")</x:f>
        <x:v>OK</x:v>
      </x:c>
      <x:c r="F5" s="18" t="str">
        <x:v>Должны присутствовать все активные позиции</x:v>
      </x:c>
    </x:row>
    <x:row r="6">
      <x:c r="A6" s="19" t="str">
        <x:v>Пиковая гостевая выдача</x:v>
      </x:c>
      <x:c r="B6" s="19" t="n">
        <x:v>50</x:v>
      </x:c>
      <x:c r="C6" s="19" t="n">
        <x:v>50</x:v>
      </x:c>
      <x:c r="D6" s="19" t="n">
        <x:f>B6-C6</x:f>
        <x:v>0</x:v>
      </x:c>
      <x:c r="E6" s="29" t="str">
        <x:f>IF(D6=0,"OK","FAIL")</x:f>
        <x:v>OK</x:v>
      </x:c>
      <x:c r="F6" s="19" t="str">
        <x:v>Суббота 20:00–21:00</x:v>
      </x:c>
    </x:row>
    <x:row r="7">
      <x:c r="A7" s="19" t="str">
        <x:v>Проектная раздача</x:v>
      </x:c>
      <x:c r="B7" s="19" t="n">
        <x:v>60</x:v>
      </x:c>
      <x:c r="C7" s="19" t="n">
        <x:v>60</x:v>
      </x:c>
      <x:c r="D7" s="19" t="n">
        <x:f>B7-C7</x:f>
        <x:v>0</x:v>
      </x:c>
      <x:c r="E7" s="29" t="str">
        <x:f>IF(D7=0,"OK","FAIL")</x:f>
        <x:v>OK</x:v>
      </x:c>
      <x:c r="F7" s="19" t="str">
        <x:v>20% инженерного запаса</x:v>
      </x:c>
    </x:row>
    <x:row r="8">
      <x:c r="A8" s="19" t="str">
        <x:v>Пицца: проектная мощность</x:v>
      </x:c>
      <x:c r="B8" s="19" t="n">
        <x:v>25</x:v>
      </x:c>
      <x:c r="C8" s="19" t="n">
        <x:v>25</x:v>
      </x:c>
      <x:c r="D8" s="19" t="n">
        <x:f>B8-C8</x:f>
        <x:v>0</x:v>
      </x:c>
      <x:c r="E8" s="29" t="str">
        <x:f>IF(D8=0,"OK","FAIL")</x:f>
        <x:v>OK</x:v>
      </x:c>
      <x:c r="F8" s="19" t="str">
        <x:v>Верхняя граница требования 20–25</x:v>
      </x:c>
    </x:row>
    <x:row r="9">
      <x:c r="A9" s="19" t="str">
        <x:v>Холодный участок</x:v>
      </x:c>
      <x:c r="B9" s="19" t="n">
        <x:v>16</x:v>
      </x:c>
      <x:c r="C9" s="19" t="n">
        <x:v>16</x:v>
      </x:c>
      <x:c r="D9" s="19" t="n">
        <x:f>B9-C9</x:f>
        <x:v>0</x:v>
      </x:c>
      <x:c r="E9" s="29" t="str">
        <x:f>IF(D9=0,"OK","FAIL")</x:f>
        <x:v>OK</x:v>
      </x:c>
      <x:c r="F9" s="19" t="str">
        <x:v>Проектная мощность</x:v>
      </x:c>
    </x:row>
    <x:row r="10">
      <x:c r="A10" s="19" t="str">
        <x:v>Горячий участок</x:v>
      </x:c>
      <x:c r="B10" s="19" t="n">
        <x:v>21</x:v>
      </x:c>
      <x:c r="C10" s="19" t="n">
        <x:v>21</x:v>
      </x:c>
      <x:c r="D10" s="19" t="n">
        <x:f>B10-C10</x:f>
        <x:v>0</x:v>
      </x:c>
      <x:c r="E10" s="29" t="str">
        <x:f>IF(D10=0,"OK","FAIL")</x:f>
        <x:v>OK</x:v>
      </x:c>
      <x:c r="F10" s="19" t="str">
        <x:v>Проектная мощность</x:v>
      </x:c>
    </x:row>
  </x:sheetData>
  <x:mergeCells>
    <x:mergeCell ref="A1:F1"/>
    <x:mergeCell ref="A2:F2"/>
  </x:mergeCells>
  <x:pageMargins left="0.7" right="0.7" top="0.75" bottom="0.75" header="0.3" footer="0.3"/>
</x:worksheet>
</file>