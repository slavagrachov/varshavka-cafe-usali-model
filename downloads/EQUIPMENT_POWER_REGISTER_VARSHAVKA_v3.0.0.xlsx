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b063f05f8e4c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АСПОРТ" sheetId="1" r:id="R79d7f93637f7494a"/>
    <x:sheet xmlns:r="http://schemas.openxmlformats.org/officeDocument/2006/relationships" name="РЕЕСТР" sheetId="2" r:id="Rf9b24296d27d469f"/>
    <x:sheet xmlns:r="http://schemas.openxmlformats.org/officeDocument/2006/relationships" name="КОНТРОЛЬ" sheetId="3" r:id="R664d31f66d6042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000000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5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bottom style="double">
        <x:color rgb="FF17365D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20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200" fontId="0" fillId="5" borderId="3" xfId="0" applyNumberFormat="1" applyFont="1" applyFill="1" applyBorder="1" applyAlignment="1">
      <x:alignment vertical="top" wrapText="1"/>
    </x:xf>
    <x:xf numFmtId="0" fontId="0" fillId="6" borderId="3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4" xfId="0" applyNumberFormat="1" applyFont="1" applyFill="1" applyBorder="1"/>
    <x:xf numFmtId="200" fontId="3" fillId="2" borderId="4" xfId="0" applyNumberFormat="1" applyFont="1" applyFill="1" applyBorder="1"/>
    <x:xf numFmtId="201" fontId="0" fillId="0" borderId="2" xfId="0" applyNumberFormat="1" applyFont="1" applyFill="1" applyBorder="1" applyAlignment="1">
      <x:alignment vertical="top" wrapText="1"/>
    </x:xf>
    <x:xf numFmtId="201" fontId="0" fillId="0" borderId="3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b7cb53cb8b4f09" /><Relationship Type="http://schemas.openxmlformats.org/officeDocument/2006/relationships/theme" Target="/xl/theme/theme1.xml" Id="Rf7816343c97a42d3" /><Relationship Type="http://schemas.openxmlformats.org/officeDocument/2006/relationships/sharedStrings" Target="/xl/sharedStrings.xml" Id="R8f7e1b3327404ac7" /><Relationship Type="http://schemas.openxmlformats.org/officeDocument/2006/relationships/worksheet" Target="/xl/worksheets/sheet1.xml" Id="R79d7f93637f7494a" /><Relationship Type="http://schemas.openxmlformats.org/officeDocument/2006/relationships/worksheet" Target="/xl/worksheets/sheet2.xml" Id="Rf9b24296d27d469f" /><Relationship Type="http://schemas.openxmlformats.org/officeDocument/2006/relationships/worksheet" Target="/xl/worksheets/sheet3.xml" Id="R664d31f66d6042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22" hidden="0" customWidth="1"/>
    <x:col min="3" max="3" width="36" hidden="0" customWidth="1"/>
    <x:col min="4" max="4" width="28" hidden="0" customWidth="1"/>
  </x:cols>
  <x:sheetData>
    <x:row r="1" ht="30" customHeight="1">
      <x:c r="A1" s="3" t="str">
        <x:v>РЕЕСТР МОЩНОСТИ ОБОРУДОВАНИЯ</x:v>
      </x:c>
      <x:c r="B1" s="3"/>
      <x:c r="C1" s="3"/>
      <x:c r="D1" s="3"/>
      <x:c r="E1" s="3"/>
      <x:c r="F1" s="3"/>
      <x:c r="G1" s="3"/>
    </x:row>
    <x:row r="2" ht="34" customHeight="1">
      <x:c r="A2" s="7" t="str">
        <x:v>VARSHAVKA v3.0.0 • базовый электрический контур Кухни • до выбора моделей значения являются предварительными</x:v>
      </x:c>
      <x:c r="B2" s="7"/>
      <x:c r="C2" s="7"/>
      <x:c r="D2" s="7"/>
      <x:c r="E2" s="7"/>
      <x:c r="F2" s="7"/>
      <x:c r="G2" s="7"/>
    </x:row>
    <x:row r="4">
      <x:c r="A4" s="13" t="str">
        <x:v>Показатель</x:v>
      </x:c>
      <x:c r="B4" s="13" t="str">
        <x:v>Расчёт</x:v>
      </x:c>
      <x:c r="C4" s="13" t="str">
        <x:v>Утверждённый коридор/сценарий</x:v>
      </x:c>
      <x:c r="D4" s="13" t="str">
        <x:v>Статус</x:v>
      </x:c>
    </x:row>
    <x:row r="5">
      <x:c r="A5" s="22" t="str">
        <x:v>Итого установленная мощность, кВт</x:v>
      </x:c>
      <x:c r="B5" s="23" t="n">
        <x:f>SUM('РЕЕСТР'!H5:H42)</x:f>
        <x:v>94.22999999999999</x:v>
      </x:c>
      <x:c r="C5" s="22" t="str">
        <x:v>85–103 кВт</x:v>
      </x:c>
      <x:c r="D5" s="22" t="str">
        <x:v>Формула из реестра</x:v>
      </x:c>
    </x:row>
    <x:row r="6">
      <x:c r="A6" s="24" t="str">
        <x:v>Итого пиковая одновременная мощность, кВт</x:v>
      </x:c>
      <x:c r="B6" s="25" t="n">
        <x:f>SUM('РЕЕСТР'!I5:I42)</x:f>
        <x:v>72.00000000000001</x:v>
      </x:c>
      <x:c r="C6" s="24" t="str">
        <x:v>62–75 кВт</x:v>
      </x:c>
      <x:c r="D6" s="24" t="str">
        <x:v>Формула из реестра</x:v>
      </x:c>
    </x:row>
    <x:row r="7">
      <x:c r="A7" s="19" t="str">
        <x:v>Предпочтительная присоединённая мощность объекта, кВт</x:v>
      </x:c>
      <x:c r="B7" s="21" t="n">
        <x:v>125</x:v>
      </x:c>
      <x:c r="C7" s="19" t="str">
        <x:v>Сценарий дальнейшей проверки</x:v>
      </x:c>
      <x:c r="D7" s="19" t="str">
        <x:v>Не является итоговыми ТУ</x:v>
      </x:c>
    </x:row>
    <x:row r="8">
      <x:c r="A8" s="19" t="str">
        <x:v>Полная проверка КАФЕ и БАНКЕТОВ, кВт</x:v>
      </x:c>
      <x:c r="B8" s="21" t="n">
        <x:v>150</x:v>
      </x:c>
      <x:c r="C8" s="19" t="str">
        <x:v>Сценарий проверки</x:v>
      </x:c>
      <x:c r="D8" s="19" t="str">
        <x:v>Не является закупочным решением</x:v>
      </x:c>
    </x:row>
    <x:row r="9">
      <x:c r="A9" s="19" t="str">
        <x:v>Бар</x:v>
      </x:c>
      <x:c r="B9" s="21" t="n">
        <x:v>0</x:v>
      </x:c>
      <x:c r="C9" s="19" t="str">
        <x:v>Исключён из данного итога</x:v>
      </x:c>
      <x:c r="D9" s="19" t="str">
        <x:v>Рассчитывается отдельно</x:v>
      </x:c>
    </x:row>
    <x:row r="10">
      <x:c r="A10" s="19" t="str">
        <x:v>Вентиляция, кондиционирование, освещение</x:v>
      </x:c>
      <x:c r="B10" s="19" t="n">
        <x:v>0</x:v>
      </x:c>
      <x:c r="C10" s="19" t="str">
        <x:v>Исключены из данного итога</x:v>
      </x:c>
      <x:c r="D10" s="19" t="str">
        <x:v>Рассчитываются инженерным проектом</x:v>
      </x:c>
    </x:row>
    <x:row r="11">
      <x:c r="A11" s="26" t="str">
        <x:v>Паспорта выбранных моделей</x:v>
      </x:c>
      <x:c r="B11" s="26" t="str">
        <x:v>Не получены</x:v>
      </x:c>
      <x:c r="C11" s="26" t="str">
        <x:v>Обязательны до закупки</x:v>
      </x:c>
      <x:c r="D11" s="26" t="str">
        <x:v>BLOCKED</x:v>
      </x:c>
    </x:row>
    <x:row r="12">
      <x:c r="A12" s="19" t="str">
        <x:v>Правило</x:v>
      </x:c>
      <x:c r="B12" s="19" t="str">
        <x:v>Пиковая мощность = вклад единицы в расчёт одновременной нагрузки</x:v>
      </x:c>
      <x:c r="C12" s="19" t="str">
        <x:v>Не равна производственному резерву</x:v>
      </x:c>
      <x:c r="D12" s="19" t="str">
        <x:v>Применено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3" hidden="0" customWidth="1"/>
    <x:col min="3" max="3" width="44" hidden="0" customWidth="1"/>
    <x:col min="4" max="4" width="17" hidden="0" customWidth="1"/>
    <x:col min="5" max="5" width="20" hidden="0" customWidth="1"/>
    <x:col min="6" max="6" width="20" hidden="0" customWidth="1"/>
    <x:col min="7" max="7" width="12" hidden="0" customWidth="1"/>
    <x:col min="8" max="8" width="20" hidden="0" customWidth="1"/>
    <x:col min="9" max="9" width="20" hidden="0" customWidth="1"/>
    <x:col min="10" max="10" width="18" hidden="0" customWidth="1"/>
    <x:col min="11" max="11" width="18" hidden="0" customWidth="1"/>
    <x:col min="12" max="12" width="52" hidden="0" customWidth="1"/>
  </x:cols>
  <x:sheetData>
    <x:row r="1" ht="30" customHeight="1">
      <x:c r="A1" s="3" t="str">
        <x:v>Оборудование Кухни: установленная и пиковая мощность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7" t="str">
        <x:v>Итоги рассчитываются формулами. Значения мощности заменяются паспортными после выбора моделей.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>
      <x:c r="A4" s="13" t="str">
        <x:v>Функциональный код</x:v>
      </x:c>
      <x:c r="B4" s="13" t="str">
        <x:v>Участок</x:v>
      </x:c>
      <x:c r="C4" s="13" t="str">
        <x:v>Наименование оборудования</x:v>
      </x:c>
      <x:c r="D4" s="13" t="str">
        <x:v>Единица измерения</x:v>
      </x:c>
      <x:c r="E4" s="13" t="str">
        <x:v>Установленная мощность единицы, кВт</x:v>
      </x:c>
      <x:c r="F4" s="13" t="str">
        <x:v>Пиковая мощность единицы, кВт</x:v>
      </x:c>
      <x:c r="G4" s="13" t="str">
        <x:v>Количество</x:v>
      </x:c>
      <x:c r="H4" s="13" t="str">
        <x:v>Итого установленная, кВт</x:v>
      </x:c>
      <x:c r="I4" s="13" t="str">
        <x:v>Итого пиковая, кВт</x:v>
      </x:c>
      <x:c r="J4" s="13" t="str">
        <x:v>Коэффициент одновременности</x:v>
      </x:c>
      <x:c r="K4" s="13" t="str">
        <x:v>Статус данных</x:v>
      </x:c>
      <x:c r="L4" s="13" t="str">
        <x:v>Основание/примечание</x:v>
      </x:c>
    </x:row>
    <x:row r="5">
      <x:c r="A5" s="18" t="str">
        <x:v>STO-01</x:v>
      </x:c>
      <x:c r="B5" s="18" t="str">
        <x:v>Хранение</x:v>
      </x:c>
      <x:c r="C5" s="18" t="str">
        <x:v>Стол и весы приёмки</x:v>
      </x:c>
      <x:c r="D5" s="18" t="str">
        <x:v>комплект</x:v>
      </x:c>
      <x:c r="E5" s="32" t="n">
        <x:v>0.02</x:v>
      </x:c>
      <x:c r="F5" s="32" t="n">
        <x:v>0.02</x:v>
      </x:c>
      <x:c r="G5" s="32" t="n">
        <x:v>1</x:v>
      </x:c>
      <x:c r="H5" s="20" t="n">
        <x:f>E5*G5</x:f>
        <x:v>0.02</x:v>
      </x:c>
      <x:c r="I5" s="20" t="n">
        <x:f>F5*G5</x:f>
        <x:v>0.02</x:v>
      </x:c>
      <x:c r="J5" s="30" t="n">
        <x:f>IFERROR(F5/E5,0)</x:f>
        <x:v>1</x:v>
      </x:c>
      <x:c r="K5" s="18" t="str">
        <x:v>PRELIMINARY</x:v>
      </x:c>
      <x:c r="L5" s="18" t="str">
        <x:v>Паспорт весов</x:v>
      </x:c>
    </x:row>
    <x:row r="6">
      <x:c r="A6" s="19" t="str">
        <x:v>STO-02</x:v>
      </x:c>
      <x:c r="B6" s="19" t="str">
        <x:v>Хранение</x:v>
      </x:c>
      <x:c r="C6" s="19" t="str">
        <x:v>Морозильник рыбы и креветок</x:v>
      </x:c>
      <x:c r="D6" s="19" t="str">
        <x:v>шт.</x:v>
      </x:c>
      <x:c r="E6" s="33" t="n">
        <x:v>0.6</x:v>
      </x:c>
      <x:c r="F6" s="33" t="n">
        <x:v>0.5</x:v>
      </x:c>
      <x:c r="G6" s="33" t="n">
        <x:v>1</x:v>
      </x:c>
      <x:c r="H6" s="21" t="n">
        <x:f>E6*G6</x:f>
        <x:v>0.6</x:v>
      </x:c>
      <x:c r="I6" s="21" t="n">
        <x:f>F6*G6</x:f>
        <x:v>0.5</x:v>
      </x:c>
      <x:c r="J6" s="31" t="n">
        <x:f>IFERROR(F6/E6,0)</x:f>
        <x:v>0.8333333333333334</x:v>
      </x:c>
      <x:c r="K6" s="19" t="str">
        <x:v>PRELIMINARY</x:v>
      </x:c>
      <x:c r="L6" s="19" t="str">
        <x:v>Предварительная инженерная оценка</x:v>
      </x:c>
    </x:row>
    <x:row r="7">
      <x:c r="A7" s="19" t="str">
        <x:v>STO-03</x:v>
      </x:c>
      <x:c r="B7" s="19" t="str">
        <x:v>Хранение</x:v>
      </x:c>
      <x:c r="C7" s="19" t="str">
        <x:v>Морозильник прочей продукции</x:v>
      </x:c>
      <x:c r="D7" s="19" t="str">
        <x:v>шт.</x:v>
      </x:c>
      <x:c r="E7" s="33" t="n">
        <x:v>0.6</x:v>
      </x:c>
      <x:c r="F7" s="33" t="n">
        <x:v>0.5</x:v>
      </x:c>
      <x:c r="G7" s="33" t="n">
        <x:v>1</x:v>
      </x:c>
      <x:c r="H7" s="21" t="n">
        <x:f>E7*G7</x:f>
        <x:v>0.6</x:v>
      </x:c>
      <x:c r="I7" s="21" t="n">
        <x:f>F7*G7</x:f>
        <x:v>0.5</x:v>
      </x:c>
      <x:c r="J7" s="31" t="n">
        <x:f>IFERROR(F7/E7,0)</x:f>
        <x:v>0.8333333333333334</x:v>
      </x:c>
      <x:c r="K7" s="19" t="str">
        <x:v>PRELIMINARY</x:v>
      </x:c>
      <x:c r="L7" s="19" t="str">
        <x:v>Предварительная инженерная оценка</x:v>
      </x:c>
    </x:row>
    <x:row r="8">
      <x:c r="A8" s="19" t="str">
        <x:v>STO-04</x:v>
      </x:c>
      <x:c r="B8" s="19" t="str">
        <x:v>Хранение</x:v>
      </x:c>
      <x:c r="C8" s="19" t="str">
        <x:v>Холодильный контур сырой говядины</x:v>
      </x:c>
      <x:c r="D8" s="19" t="str">
        <x:v>контур</x:v>
      </x:c>
      <x:c r="E8" s="33" t="n">
        <x:v>0.4</x:v>
      </x:c>
      <x:c r="F8" s="33" t="n">
        <x:v>0.35</x:v>
      </x:c>
      <x:c r="G8" s="33" t="n">
        <x:v>1</x:v>
      </x:c>
      <x:c r="H8" s="21" t="n">
        <x:f>E8*G8</x:f>
        <x:v>0.4</x:v>
      </x:c>
      <x:c r="I8" s="21" t="n">
        <x:f>F8*G8</x:f>
        <x:v>0.35</x:v>
      </x:c>
      <x:c r="J8" s="31" t="n">
        <x:f>IFERROR(F8/E8,0)</x:f>
        <x:v>0.8749999999999999</x:v>
      </x:c>
      <x:c r="K8" s="19" t="str">
        <x:v>PRELIMINARY</x:v>
      </x:c>
      <x:c r="L8" s="19" t="str">
        <x:v>Предварительная инженерная оценка</x:v>
      </x:c>
    </x:row>
    <x:row r="9">
      <x:c r="A9" s="19" t="str">
        <x:v>STO-05</x:v>
      </x:c>
      <x:c r="B9" s="19" t="str">
        <x:v>Хранение</x:v>
      </x:c>
      <x:c r="C9" s="19" t="str">
        <x:v>Шкаф контролируемого размораживания</x:v>
      </x:c>
      <x:c r="D9" s="19" t="str">
        <x:v>шт.</x:v>
      </x:c>
      <x:c r="E9" s="33" t="n">
        <x:v>0.7</x:v>
      </x:c>
      <x:c r="F9" s="33" t="n">
        <x:v>0.6</x:v>
      </x:c>
      <x:c r="G9" s="33" t="n">
        <x:v>1</x:v>
      </x:c>
      <x:c r="H9" s="21" t="n">
        <x:f>E9*G9</x:f>
        <x:v>0.7</x:v>
      </x:c>
      <x:c r="I9" s="21" t="n">
        <x:f>F9*G9</x:f>
        <x:v>0.6</x:v>
      </x:c>
      <x:c r="J9" s="31" t="n">
        <x:f>IFERROR(F9/E9,0)</x:f>
        <x:v>0.8571428571428572</x:v>
      </x:c>
      <x:c r="K9" s="19" t="str">
        <x:v>PRELIMINARY</x:v>
      </x:c>
      <x:c r="L9" s="19" t="str">
        <x:v>Предварительная инженерная оценка</x:v>
      </x:c>
    </x:row>
    <x:row r="10">
      <x:c r="A10" s="19" t="str">
        <x:v>STO-06</x:v>
      </x:c>
      <x:c r="B10" s="19" t="str">
        <x:v>Хранение</x:v>
      </x:c>
      <x:c r="C10" s="19" t="str">
        <x:v>Молочная и готовая продукция</x:v>
      </x:c>
      <x:c r="D10" s="19" t="str">
        <x:v>контур</x:v>
      </x:c>
      <x:c r="E10" s="33" t="n">
        <x:v>0.4</x:v>
      </x:c>
      <x:c r="F10" s="33" t="n">
        <x:v>0.35</x:v>
      </x:c>
      <x:c r="G10" s="33" t="n">
        <x:v>1</x:v>
      </x:c>
      <x:c r="H10" s="21" t="n">
        <x:f>E10*G10</x:f>
        <x:v>0.4</x:v>
      </x:c>
      <x:c r="I10" s="21" t="n">
        <x:f>F10*G10</x:f>
        <x:v>0.35</x:v>
      </x:c>
      <x:c r="J10" s="31" t="n">
        <x:f>IFERROR(F10/E10,0)</x:f>
        <x:v>0.8749999999999999</x:v>
      </x:c>
      <x:c r="K10" s="19" t="str">
        <x:v>PRELIMINARY</x:v>
      </x:c>
      <x:c r="L10" s="19" t="str">
        <x:v>Предварительная инженерная оценка</x:v>
      </x:c>
    </x:row>
    <x:row r="11">
      <x:c r="A11" s="19" t="str">
        <x:v>STO-07</x:v>
      </x:c>
      <x:c r="B11" s="19" t="str">
        <x:v>Хранение</x:v>
      </x:c>
      <x:c r="C11" s="19" t="str">
        <x:v>Овощи и зелень</x:v>
      </x:c>
      <x:c r="D11" s="19" t="str">
        <x:v>контур</x:v>
      </x:c>
      <x:c r="E11" s="33" t="n">
        <x:v>0.4</x:v>
      </x:c>
      <x:c r="F11" s="33" t="n">
        <x:v>0.35</x:v>
      </x:c>
      <x:c r="G11" s="33" t="n">
        <x:v>1</x:v>
      </x:c>
      <x:c r="H11" s="21" t="n">
        <x:f>E11*G11</x:f>
        <x:v>0.4</x:v>
      </x:c>
      <x:c r="I11" s="21" t="n">
        <x:f>F11*G11</x:f>
        <x:v>0.35</x:v>
      </x:c>
      <x:c r="J11" s="31" t="n">
        <x:f>IFERROR(F11/E11,0)</x:f>
        <x:v>0.8749999999999999</x:v>
      </x:c>
      <x:c r="K11" s="19" t="str">
        <x:v>PRELIMINARY</x:v>
      </x:c>
      <x:c r="L11" s="19" t="str">
        <x:v>Предварительная инженерная оценка</x:v>
      </x:c>
    </x:row>
    <x:row r="12">
      <x:c r="A12" s="19" t="str">
        <x:v>STO-08</x:v>
      </x:c>
      <x:c r="B12" s="19" t="str">
        <x:v>Хранение</x:v>
      </x:c>
      <x:c r="C12" s="19" t="str">
        <x:v>Холодная ферментация теста</x:v>
      </x:c>
      <x:c r="D12" s="19" t="str">
        <x:v>секция</x:v>
      </x:c>
      <x:c r="E12" s="33" t="n">
        <x:v>0.6</x:v>
      </x:c>
      <x:c r="F12" s="33" t="n">
        <x:v>0.45</x:v>
      </x:c>
      <x:c r="G12" s="33" t="n">
        <x:v>2</x:v>
      </x:c>
      <x:c r="H12" s="21" t="n">
        <x:f>E12*G12</x:f>
        <x:v>1.2</x:v>
      </x:c>
      <x:c r="I12" s="21" t="n">
        <x:f>F12*G12</x:f>
        <x:v>0.9</x:v>
      </x:c>
      <x:c r="J12" s="31" t="n">
        <x:f>IFERROR(F12/E12,0)</x:f>
        <x:v>0.75</x:v>
      </x:c>
      <x:c r="K12" s="19" t="str">
        <x:v>PRELIMINARY</x:v>
      </x:c>
      <x:c r="L12" s="19" t="str">
        <x:v>Две независимые секции; предварительно</x:v>
      </x:c>
    </x:row>
    <x:row r="13">
      <x:c r="A13" s="19" t="str">
        <x:v>STO-09</x:v>
      </x:c>
      <x:c r="B13" s="19" t="str">
        <x:v>Хранение</x:v>
      </x:c>
      <x:c r="C13" s="19" t="str">
        <x:v>Кондитерское хранение</x:v>
      </x:c>
      <x:c r="D13" s="19" t="str">
        <x:v>контур</x:v>
      </x:c>
      <x:c r="E13" s="33" t="n">
        <x:v>0.4</x:v>
      </x:c>
      <x:c r="F13" s="33" t="n">
        <x:v>0.35</x:v>
      </x:c>
      <x:c r="G13" s="33" t="n">
        <x:v>1</x:v>
      </x:c>
      <x:c r="H13" s="21" t="n">
        <x:f>E13*G13</x:f>
        <x:v>0.4</x:v>
      </x:c>
      <x:c r="I13" s="21" t="n">
        <x:f>F13*G13</x:f>
        <x:v>0.35</x:v>
      </x:c>
      <x:c r="J13" s="31" t="n">
        <x:f>IFERROR(F13/E13,0)</x:f>
        <x:v>0.8749999999999999</x:v>
      </x:c>
      <x:c r="K13" s="19" t="str">
        <x:v>PRELIMINARY</x:v>
      </x:c>
      <x:c r="L13" s="19" t="str">
        <x:v>Предварительная инженерная оценка</x:v>
      </x:c>
    </x:row>
    <x:row r="14">
      <x:c r="A14" s="19" t="str">
        <x:v>STO-10</x:v>
      </x:c>
      <x:c r="B14" s="19" t="str">
        <x:v>Хранение</x:v>
      </x:c>
      <x:c r="C14" s="19" t="str">
        <x:v>Готовые полуфабрикаты</x:v>
      </x:c>
      <x:c r="D14" s="19" t="str">
        <x:v>контур</x:v>
      </x:c>
      <x:c r="E14" s="33" t="n">
        <x:v>0.4</x:v>
      </x:c>
      <x:c r="F14" s="33" t="n">
        <x:v>0.35</x:v>
      </x:c>
      <x:c r="G14" s="33" t="n">
        <x:v>1</x:v>
      </x:c>
      <x:c r="H14" s="21" t="n">
        <x:f>E14*G14</x:f>
        <x:v>0.4</x:v>
      </x:c>
      <x:c r="I14" s="21" t="n">
        <x:f>F14*G14</x:f>
        <x:v>0.35</x:v>
      </x:c>
      <x:c r="J14" s="31" t="n">
        <x:f>IFERROR(F14/E14,0)</x:f>
        <x:v>0.8749999999999999</x:v>
      </x:c>
      <x:c r="K14" s="19" t="str">
        <x:v>PRELIMINARY</x:v>
      </x:c>
      <x:c r="L14" s="19" t="str">
        <x:v>Предварительная инженерная оценка</x:v>
      </x:c>
    </x:row>
    <x:row r="15">
      <x:c r="A15" s="19" t="str">
        <x:v>HOT-01</x:v>
      </x:c>
      <x:c r="B15" s="19" t="str">
        <x:v>Горячий участок</x:v>
      </x:c>
      <x:c r="C15" s="19" t="str">
        <x:v>Пароконвектомат 6 × GN 1/1</x:v>
      </x:c>
      <x:c r="D15" s="19" t="str">
        <x:v>шт.</x:v>
      </x:c>
      <x:c r="E15" s="33" t="n">
        <x:v>10.8</x:v>
      </x:c>
      <x:c r="F15" s="33" t="n">
        <x:v>9.35</x:v>
      </x:c>
      <x:c r="G15" s="33" t="n">
        <x:v>1</x:v>
      </x:c>
      <x:c r="H15" s="21" t="n">
        <x:f>E15*G15</x:f>
        <x:v>10.8</x:v>
      </x:c>
      <x:c r="I15" s="21" t="n">
        <x:f>F15*G15</x:f>
        <x:v>9.35</x:v>
      </x:c>
      <x:c r="J15" s="31" t="n">
        <x:f>IFERROR(F15/E15,0)</x:f>
        <x:v>0.8657407407407407</x:v>
      </x:c>
      <x:c r="K15" s="19" t="str">
        <x:v>PRELIMINARY</x:v>
      </x:c>
      <x:c r="L15" s="19" t="str">
        <x:v>Проектная схема; подтвердить паспортом</x:v>
      </x:c>
    </x:row>
    <x:row r="16">
      <x:c r="A16" s="19" t="str">
        <x:v>HOT-02</x:v>
      </x:c>
      <x:c r="B16" s="19" t="str">
        <x:v>Горячий участок</x:v>
      </x:c>
      <x:c r="C16" s="19" t="str">
        <x:v>Двухзонный теппан</x:v>
      </x:c>
      <x:c r="D16" s="19" t="str">
        <x:v>шт.</x:v>
      </x:c>
      <x:c r="E16" s="33" t="n">
        <x:v>9</x:v>
      </x:c>
      <x:c r="F16" s="33" t="n">
        <x:v>8</x:v>
      </x:c>
      <x:c r="G16" s="33" t="n">
        <x:v>1</x:v>
      </x:c>
      <x:c r="H16" s="21" t="n">
        <x:f>E16*G16</x:f>
        <x:v>9</x:v>
      </x:c>
      <x:c r="I16" s="21" t="n">
        <x:f>F16*G16</x:f>
        <x:v>8</x:v>
      </x:c>
      <x:c r="J16" s="31" t="n">
        <x:f>IFERROR(F16/E16,0)</x:f>
        <x:v>0.8888888888888888</x:v>
      </x:c>
      <x:c r="K16" s="19" t="str">
        <x:v>PRELIMINARY</x:v>
      </x:c>
      <x:c r="L16" s="19" t="str">
        <x:v>≥16 мясных изделий/час; предварительно</x:v>
      </x:c>
    </x:row>
    <x:row r="17">
      <x:c r="A17" s="19" t="str">
        <x:v>HOT-03</x:v>
      </x:c>
      <x:c r="B17" s="19" t="str">
        <x:v>Горячий участок</x:v>
      </x:c>
      <x:c r="C17" s="19" t="str">
        <x:v>WOK-пост</x:v>
      </x:c>
      <x:c r="D17" s="19" t="str">
        <x:v>шт.</x:v>
      </x:c>
      <x:c r="E17" s="33" t="n">
        <x:v>5</x:v>
      </x:c>
      <x:c r="F17" s="33" t="n">
        <x:v>4</x:v>
      </x:c>
      <x:c r="G17" s="33" t="n">
        <x:v>1</x:v>
      </x:c>
      <x:c r="H17" s="21" t="n">
        <x:f>E17*G17</x:f>
        <x:v>5</x:v>
      </x:c>
      <x:c r="I17" s="21" t="n">
        <x:f>F17*G17</x:f>
        <x:v>4</x:v>
      </x:c>
      <x:c r="J17" s="31" t="n">
        <x:f>IFERROR(F17/E17,0)</x:f>
        <x:v>0.8</x:v>
      </x:c>
      <x:c r="K17" s="19" t="str">
        <x:v>PRELIMINARY</x:v>
      </x:c>
      <x:c r="L17" s="19" t="str">
        <x:v>≥5 порций/час; предварительно</x:v>
      </x:c>
    </x:row>
    <x:row r="18">
      <x:c r="A18" s="19" t="str">
        <x:v>HOT-05A</x:v>
      </x:c>
      <x:c r="B18" s="19" t="str">
        <x:v>Горячий участок</x:v>
      </x:c>
      <x:c r="C18" s="19" t="str">
        <x:v>Индукционная плита 4 зоны</x:v>
      </x:c>
      <x:c r="D18" s="19" t="str">
        <x:v>шт.</x:v>
      </x:c>
      <x:c r="E18" s="33" t="n">
        <x:v>10</x:v>
      </x:c>
      <x:c r="F18" s="33" t="n">
        <x:v>7</x:v>
      </x:c>
      <x:c r="G18" s="33" t="n">
        <x:v>1</x:v>
      </x:c>
      <x:c r="H18" s="21" t="n">
        <x:f>E18*G18</x:f>
        <x:v>10</x:v>
      </x:c>
      <x:c r="I18" s="21" t="n">
        <x:f>F18*G18</x:f>
        <x:v>7</x:v>
      </x:c>
      <x:c r="J18" s="31" t="n">
        <x:f>IFERROR(F18/E18,0)</x:f>
        <x:v>0.7</x:v>
      </x:c>
      <x:c r="K18" s="19" t="str">
        <x:v>PRELIMINARY</x:v>
      </x:c>
      <x:c r="L18" s="19" t="str">
        <x:v>Предварительная инженерная оценка</x:v>
      </x:c>
    </x:row>
    <x:row r="19">
      <x:c r="A19" s="19" t="str">
        <x:v>HOT-05B</x:v>
      </x:c>
      <x:c r="B19" s="19" t="str">
        <x:v>Горячий участок</x:v>
      </x:c>
      <x:c r="C19" s="19" t="str">
        <x:v>Индукционная плита 2 зоны</x:v>
      </x:c>
      <x:c r="D19" s="19" t="str">
        <x:v>шт.</x:v>
      </x:c>
      <x:c r="E19" s="33" t="n">
        <x:v>5</x:v>
      </x:c>
      <x:c r="F19" s="33" t="n">
        <x:v>3.5</x:v>
      </x:c>
      <x:c r="G19" s="33" t="n">
        <x:v>1</x:v>
      </x:c>
      <x:c r="H19" s="21" t="n">
        <x:f>E19*G19</x:f>
        <x:v>5</x:v>
      </x:c>
      <x:c r="I19" s="21" t="n">
        <x:f>F19*G19</x:f>
        <x:v>3.5</x:v>
      </x:c>
      <x:c r="J19" s="31" t="n">
        <x:f>IFERROR(F19/E19,0)</x:f>
        <x:v>0.7</x:v>
      </x:c>
      <x:c r="K19" s="19" t="str">
        <x:v>PRELIMINARY</x:v>
      </x:c>
      <x:c r="L19" s="19" t="str">
        <x:v>Предварительная инженерная оценка</x:v>
      </x:c>
    </x:row>
    <x:row r="20">
      <x:c r="A20" s="19" t="str">
        <x:v>HOT-06</x:v>
      </x:c>
      <x:c r="B20" s="19" t="str">
        <x:v>Горячий участок</x:v>
      </x:c>
      <x:c r="C20" s="19" t="str">
        <x:v>Рисоварка</x:v>
      </x:c>
      <x:c r="D20" s="19" t="str">
        <x:v>шт.</x:v>
      </x:c>
      <x:c r="E20" s="33" t="n">
        <x:v>2</x:v>
      </x:c>
      <x:c r="F20" s="33" t="n">
        <x:v>1.6</x:v>
      </x:c>
      <x:c r="G20" s="33" t="n">
        <x:v>1</x:v>
      </x:c>
      <x:c r="H20" s="21" t="n">
        <x:f>E20*G20</x:f>
        <x:v>2</x:v>
      </x:c>
      <x:c r="I20" s="21" t="n">
        <x:f>F20*G20</x:f>
        <x:v>1.6</x:v>
      </x:c>
      <x:c r="J20" s="31" t="n">
        <x:f>IFERROR(F20/E20,0)</x:f>
        <x:v>0.8</x:v>
      </x:c>
      <x:c r="K20" s="19" t="str">
        <x:v>PRELIMINARY</x:v>
      </x:c>
      <x:c r="L20" s="19" t="str">
        <x:v>≥20 порций по 150 г/цикл; предварительно</x:v>
      </x:c>
    </x:row>
    <x:row r="21">
      <x:c r="A21" s="19" t="str">
        <x:v>HOT-07</x:v>
      </x:c>
      <x:c r="B21" s="19" t="str">
        <x:v>Горячий участок</x:v>
      </x:c>
      <x:c r="C21" s="19" t="str">
        <x:v>Холодильный стол горячего участка</x:v>
      </x:c>
      <x:c r="D21" s="19" t="str">
        <x:v>шт.</x:v>
      </x:c>
      <x:c r="E21" s="33" t="n">
        <x:v>0.5</x:v>
      </x:c>
      <x:c r="F21" s="33" t="n">
        <x:v>0.45</x:v>
      </x:c>
      <x:c r="G21" s="33" t="n">
        <x:v>1</x:v>
      </x:c>
      <x:c r="H21" s="21" t="n">
        <x:f>E21*G21</x:f>
        <x:v>0.5</x:v>
      </x:c>
      <x:c r="I21" s="21" t="n">
        <x:f>F21*G21</x:f>
        <x:v>0.45</x:v>
      </x:c>
      <x:c r="J21" s="31" t="n">
        <x:f>IFERROR(F21/E21,0)</x:f>
        <x:v>0.9</x:v>
      </x:c>
      <x:c r="K21" s="19" t="str">
        <x:v>PRELIMINARY</x:v>
      </x:c>
      <x:c r="L21" s="19" t="str">
        <x:v>Предварительная инженерная оценка</x:v>
      </x:c>
    </x:row>
    <x:row r="22">
      <x:c r="A22" s="19" t="str">
        <x:v>HOT-08</x:v>
      </x:c>
      <x:c r="B22" s="19" t="str">
        <x:v>Горячий участок</x:v>
      </x:c>
      <x:c r="C22" s="19" t="str">
        <x:v>Мясорубка</x:v>
      </x:c>
      <x:c r="D22" s="19" t="str">
        <x:v>шт.</x:v>
      </x:c>
      <x:c r="E22" s="33" t="n">
        <x:v>1</x:v>
      </x:c>
      <x:c r="F22" s="33" t="n">
        <x:v>0.5</x:v>
      </x:c>
      <x:c r="G22" s="33" t="n">
        <x:v>1</x:v>
      </x:c>
      <x:c r="H22" s="21" t="n">
        <x:f>E22*G22</x:f>
        <x:v>1</x:v>
      </x:c>
      <x:c r="I22" s="21" t="n">
        <x:f>F22*G22</x:f>
        <x:v>0.5</x:v>
      </x:c>
      <x:c r="J22" s="31" t="n">
        <x:f>IFERROR(F22/E22,0)</x:f>
        <x:v>0.5</x:v>
      </x:c>
      <x:c r="K22" s="19" t="str">
        <x:v>PRELIMINARY</x:v>
      </x:c>
      <x:c r="L22" s="19" t="str">
        <x:v>Предварительная инженерная оценка</x:v>
      </x:c>
    </x:row>
    <x:row r="23">
      <x:c r="A23" s="19" t="str">
        <x:v>HOT-09</x:v>
      </x:c>
      <x:c r="B23" s="19" t="str">
        <x:v>Горячий участок</x:v>
      </x:c>
      <x:c r="C23" s="19" t="str">
        <x:v>Шкаф интенсивного охлаждения ≥10 кг/цикл</x:v>
      </x:c>
      <x:c r="D23" s="19" t="str">
        <x:v>шт.</x:v>
      </x:c>
      <x:c r="E23" s="33" t="n">
        <x:v>3.5</x:v>
      </x:c>
      <x:c r="F23" s="33" t="n">
        <x:v>3.5</x:v>
      </x:c>
      <x:c r="G23" s="33" t="n">
        <x:v>1</x:v>
      </x:c>
      <x:c r="H23" s="21" t="n">
        <x:f>E23*G23</x:f>
        <x:v>3.5</x:v>
      </x:c>
      <x:c r="I23" s="21" t="n">
        <x:f>F23*G23</x:f>
        <x:v>3.5</x:v>
      </x:c>
      <x:c r="J23" s="31" t="n">
        <x:f>IFERROR(F23/E23,0)</x:f>
        <x:v>1</x:v>
      </x:c>
      <x:c r="K23" s="19" t="str">
        <x:v>PRELIMINARY</x:v>
      </x:c>
      <x:c r="L23" s="19" t="str">
        <x:v>Предварительная инженерная оценка</x:v>
      </x:c>
    </x:row>
    <x:row r="24">
      <x:c r="A24" s="19" t="str">
        <x:v>BAK-01</x:v>
      </x:c>
      <x:c r="B24" s="19" t="str">
        <x:v>Пицца, хлеб, десерты</x:v>
      </x:c>
      <x:c r="C24" s="19" t="str">
        <x:v>Печь для пиццы</x:v>
      </x:c>
      <x:c r="D24" s="19" t="str">
        <x:v>шт.</x:v>
      </x:c>
      <x:c r="E24" s="33" t="n">
        <x:v>8.8</x:v>
      </x:c>
      <x:c r="F24" s="33" t="n">
        <x:v>8.8</x:v>
      </x:c>
      <x:c r="G24" s="33" t="n">
        <x:v>1</x:v>
      </x:c>
      <x:c r="H24" s="21" t="n">
        <x:f>E24*G24</x:f>
        <x:v>8.8</x:v>
      </x:c>
      <x:c r="I24" s="21" t="n">
        <x:f>F24*G24</x:f>
        <x:v>8.8</x:v>
      </x:c>
      <x:c r="J24" s="31" t="n">
        <x:f>IFERROR(F24/E24,0)</x:f>
        <x:v>1</x:v>
      </x:c>
      <x:c r="K24" s="19" t="str">
        <x:v>PRELIMINARY</x:v>
      </x:c>
      <x:c r="L24" s="19" t="str">
        <x:v>20–25 пицц/час; проектная оценка</x:v>
      </x:c>
    </x:row>
    <x:row r="25">
      <x:c r="A25" s="19" t="str">
        <x:v>BAK-02</x:v>
      </x:c>
      <x:c r="B25" s="19" t="str">
        <x:v>Пицца, хлеб, десерты</x:v>
      </x:c>
      <x:c r="C25" s="19" t="str">
        <x:v>Пекарская печь 6 × 600 × 400</x:v>
      </x:c>
      <x:c r="D25" s="19" t="str">
        <x:v>шт.</x:v>
      </x:c>
      <x:c r="E25" s="33" t="n">
        <x:v>10.8</x:v>
      </x:c>
      <x:c r="F25" s="33" t="n">
        <x:v>3</x:v>
      </x:c>
      <x:c r="G25" s="33" t="n">
        <x:v>1</x:v>
      </x:c>
      <x:c r="H25" s="21" t="n">
        <x:f>E25*G25</x:f>
        <x:v>10.8</x:v>
      </x:c>
      <x:c r="I25" s="21" t="n">
        <x:f>F25*G25</x:f>
        <x:v>3</x:v>
      </x:c>
      <x:c r="J25" s="31" t="n">
        <x:f>IFERROR(F25/E25,0)</x:f>
        <x:v>0.27777777777777773</x:v>
      </x:c>
      <x:c r="K25" s="19" t="str">
        <x:v>PRELIMINARY</x:v>
      </x:c>
      <x:c r="L25" s="19" t="str">
        <x:v>Установленная оценка; пик учитывает разнесение режимов</x:v>
      </x:c>
    </x:row>
    <x:row r="26">
      <x:c r="A26" s="19" t="str">
        <x:v>BAK-03</x:v>
      </x:c>
      <x:c r="B26" s="19" t="str">
        <x:v>Пицца, хлеб, десерты</x:v>
      </x:c>
      <x:c r="C26" s="19" t="str">
        <x:v>Спиральный тестомес</x:v>
      </x:c>
      <x:c r="D26" s="19" t="str">
        <x:v>шт.</x:v>
      </x:c>
      <x:c r="E26" s="33" t="n">
        <x:v>1.5</x:v>
      </x:c>
      <x:c r="F26" s="33" t="n">
        <x:v>0.9</x:v>
      </x:c>
      <x:c r="G26" s="33" t="n">
        <x:v>1</x:v>
      </x:c>
      <x:c r="H26" s="21" t="n">
        <x:f>E26*G26</x:f>
        <x:v>1.5</x:v>
      </x:c>
      <x:c r="I26" s="21" t="n">
        <x:f>F26*G26</x:f>
        <x:v>0.9</x:v>
      </x:c>
      <x:c r="J26" s="31" t="n">
        <x:f>IFERROR(F26/E26,0)</x:f>
        <x:v>0.6</x:v>
      </x:c>
      <x:c r="K26" s="19" t="str">
        <x:v>PRELIMINARY</x:v>
      </x:c>
      <x:c r="L26" s="19" t="str">
        <x:v>Диапазон теста 2–25 кг; предварительно</x:v>
      </x:c>
    </x:row>
    <x:row r="27">
      <x:c r="A27" s="19" t="str">
        <x:v>BAK-04</x:v>
      </x:c>
      <x:c r="B27" s="19" t="str">
        <x:v>Пицца, хлеб, десерты</x:v>
      </x:c>
      <x:c r="C27" s="19" t="str">
        <x:v>Планетарный миксер</x:v>
      </x:c>
      <x:c r="D27" s="19" t="str">
        <x:v>шт.</x:v>
      </x:c>
      <x:c r="E27" s="33" t="n">
        <x:v>1.2</x:v>
      </x:c>
      <x:c r="F27" s="33" t="n">
        <x:v>0.8</x:v>
      </x:c>
      <x:c r="G27" s="33" t="n">
        <x:v>1</x:v>
      </x:c>
      <x:c r="H27" s="21" t="n">
        <x:f>E27*G27</x:f>
        <x:v>1.2</x:v>
      </x:c>
      <x:c r="I27" s="21" t="n">
        <x:f>F27*G27</x:f>
        <x:v>0.8</x:v>
      </x:c>
      <x:c r="J27" s="31" t="n">
        <x:f>IFERROR(F27/E27,0)</x:f>
        <x:v>0.6666666666666667</x:v>
      </x:c>
      <x:c r="K27" s="19" t="str">
        <x:v>PRELIMINARY</x:v>
      </x:c>
      <x:c r="L27" s="19" t="str">
        <x:v>10–20 л; предварительно</x:v>
      </x:c>
    </x:row>
    <x:row r="28">
      <x:c r="A28" s="19" t="str">
        <x:v>BAK-05</x:v>
      </x:c>
      <x:c r="B28" s="19" t="str">
        <x:v>Пицца, хлеб, десерты</x:v>
      </x:c>
      <x:c r="C28" s="19" t="str">
        <x:v>Программируемый расстоечный шкаф</x:v>
      </x:c>
      <x:c r="D28" s="19" t="str">
        <x:v>шт.</x:v>
      </x:c>
      <x:c r="E28" s="33" t="n">
        <x:v>2.5</x:v>
      </x:c>
      <x:c r="F28" s="33" t="n">
        <x:v>2</x:v>
      </x:c>
      <x:c r="G28" s="33" t="n">
        <x:v>1</x:v>
      </x:c>
      <x:c r="H28" s="21" t="n">
        <x:f>E28*G28</x:f>
        <x:v>2.5</x:v>
      </x:c>
      <x:c r="I28" s="21" t="n">
        <x:f>F28*G28</x:f>
        <x:v>2</x:v>
      </x:c>
      <x:c r="J28" s="31" t="n">
        <x:f>IFERROR(F28/E28,0)</x:f>
        <x:v>0.8</x:v>
      </x:c>
      <x:c r="K28" s="19" t="str">
        <x:v>PRELIMINARY</x:v>
      </x:c>
      <x:c r="L28" s="19" t="str">
        <x:v>12–16 противней; предварительно</x:v>
      </x:c>
    </x:row>
    <x:row r="29">
      <x:c r="A29" s="19" t="str">
        <x:v>BAK-12</x:v>
      </x:c>
      <x:c r="B29" s="19" t="str">
        <x:v>Пицца, хлеб, десерты</x:v>
      </x:c>
      <x:c r="C29" s="19" t="str">
        <x:v>Холодильный пицца-стол</x:v>
      </x:c>
      <x:c r="D29" s="19" t="str">
        <x:v>шт.</x:v>
      </x:c>
      <x:c r="E29" s="33" t="n">
        <x:v>0.55</x:v>
      </x:c>
      <x:c r="F29" s="33" t="n">
        <x:v>0.5</x:v>
      </x:c>
      <x:c r="G29" s="33" t="n">
        <x:v>1</x:v>
      </x:c>
      <x:c r="H29" s="21" t="n">
        <x:f>E29*G29</x:f>
        <x:v>0.55</x:v>
      </x:c>
      <x:c r="I29" s="21" t="n">
        <x:f>F29*G29</x:f>
        <x:v>0.5</x:v>
      </x:c>
      <x:c r="J29" s="31" t="n">
        <x:f>IFERROR(F29/E29,0)</x:f>
        <x:v>0.9090909090909091</x:v>
      </x:c>
      <x:c r="K29" s="19" t="str">
        <x:v>PRELIMINARY</x:v>
      </x:c>
      <x:c r="L29" s="19" t="str">
        <x:v>Предварительная инженерная оценка</x:v>
      </x:c>
    </x:row>
    <x:row r="30">
      <x:c r="A30" s="19" t="str">
        <x:v>CLD-01</x:v>
      </x:c>
      <x:c r="B30" s="19" t="str">
        <x:v>Холодный участок</x:v>
      </x:c>
      <x:c r="C30" s="19" t="str">
        <x:v>Трёхдверный холодильный стол</x:v>
      </x:c>
      <x:c r="D30" s="19" t="str">
        <x:v>шт.</x:v>
      </x:c>
      <x:c r="E30" s="33" t="n">
        <x:v>0.5</x:v>
      </x:c>
      <x:c r="F30" s="33" t="n">
        <x:v>0.45</x:v>
      </x:c>
      <x:c r="G30" s="33" t="n">
        <x:v>1</x:v>
      </x:c>
      <x:c r="H30" s="21" t="n">
        <x:f>E30*G30</x:f>
        <x:v>0.5</x:v>
      </x:c>
      <x:c r="I30" s="21" t="n">
        <x:f>F30*G30</x:f>
        <x:v>0.45</x:v>
      </x:c>
      <x:c r="J30" s="31" t="n">
        <x:f>IFERROR(F30/E30,0)</x:f>
        <x:v>0.9</x:v>
      </x:c>
      <x:c r="K30" s="19" t="str">
        <x:v>PRELIMINARY</x:v>
      </x:c>
      <x:c r="L30" s="19" t="str">
        <x:v>Полезный объём ≥270 л; предварительно</x:v>
      </x:c>
    </x:row>
    <x:row r="31">
      <x:c r="A31" s="19" t="str">
        <x:v>CLD-02</x:v>
      </x:c>
      <x:c r="B31" s="19" t="str">
        <x:v>Холодный участок</x:v>
      </x:c>
      <x:c r="C31" s="19" t="str">
        <x:v>Охлаждаемая надстройка</x:v>
      </x:c>
      <x:c r="D31" s="19" t="str">
        <x:v>шт.</x:v>
      </x:c>
      <x:c r="E31" s="33" t="n">
        <x:v>0.25</x:v>
      </x:c>
      <x:c r="F31" s="33" t="n">
        <x:v>0.22</x:v>
      </x:c>
      <x:c r="G31" s="33" t="n">
        <x:v>1</x:v>
      </x:c>
      <x:c r="H31" s="21" t="n">
        <x:f>E31*G31</x:f>
        <x:v>0.25</x:v>
      </x:c>
      <x:c r="I31" s="21" t="n">
        <x:f>F31*G31</x:f>
        <x:v>0.22</x:v>
      </x:c>
      <x:c r="J31" s="31" t="n">
        <x:f>IFERROR(F31/E31,0)</x:f>
        <x:v>0.88</x:v>
      </x:c>
      <x:c r="K31" s="19" t="str">
        <x:v>PRELIMINARY</x:v>
      </x:c>
      <x:c r="L31" s="19" t="str">
        <x:v>≥12 GN 1/3; предварительно</x:v>
      </x:c>
    </x:row>
    <x:row r="32">
      <x:c r="A32" s="19" t="str">
        <x:v>CLD-07</x:v>
      </x:c>
      <x:c r="B32" s="19" t="str">
        <x:v>Холодный участок</x:v>
      </x:c>
      <x:c r="C32" s="19" t="str">
        <x:v>Весы холодного участка</x:v>
      </x:c>
      <x:c r="D32" s="19" t="str">
        <x:v>комплект</x:v>
      </x:c>
      <x:c r="E32" s="33" t="n">
        <x:v>0.02</x:v>
      </x:c>
      <x:c r="F32" s="33" t="n">
        <x:v>0.02</x:v>
      </x:c>
      <x:c r="G32" s="33" t="n">
        <x:v>2</x:v>
      </x:c>
      <x:c r="H32" s="21" t="n">
        <x:f>E32*G32</x:f>
        <x:v>0.04</x:v>
      </x:c>
      <x:c r="I32" s="21" t="n">
        <x:f>F32*G32</x:f>
        <x:v>0.04</x:v>
      </x:c>
      <x:c r="J32" s="31" t="n">
        <x:f>IFERROR(F32/E32,0)</x:f>
        <x:v>1</x:v>
      </x:c>
      <x:c r="K32" s="19" t="str">
        <x:v>PRELIMINARY</x:v>
      </x:c>
      <x:c r="L32" s="19" t="str">
        <x:v>Два комплекта; предварительно</x:v>
      </x:c>
    </x:row>
    <x:row r="33">
      <x:c r="A33" s="19" t="str">
        <x:v>BRK-04</x:v>
      </x:c>
      <x:c r="B33" s="19" t="str">
        <x:v>Завтраки</x:v>
      </x:c>
      <x:c r="C33" s="19" t="str">
        <x:v>Весы и термощуп завтраков</x:v>
      </x:c>
      <x:c r="D33" s="19" t="str">
        <x:v>комплект</x:v>
      </x:c>
      <x:c r="E33" s="33" t="n">
        <x:v>0.02</x:v>
      </x:c>
      <x:c r="F33" s="33" t="n">
        <x:v>0.02</x:v>
      </x:c>
      <x:c r="G33" s="33" t="n">
        <x:v>1</x:v>
      </x:c>
      <x:c r="H33" s="21" t="n">
        <x:f>E33*G33</x:f>
        <x:v>0.02</x:v>
      </x:c>
      <x:c r="I33" s="21" t="n">
        <x:f>F33*G33</x:f>
        <x:v>0.02</x:v>
      </x:c>
      <x:c r="J33" s="31" t="n">
        <x:f>IFERROR(F33/E33,0)</x:f>
        <x:v>1</x:v>
      </x:c>
      <x:c r="K33" s="19" t="str">
        <x:v>PRELIMINARY</x:v>
      </x:c>
      <x:c r="L33" s="19" t="str">
        <x:v>Предварительно</x:v>
      </x:c>
    </x:row>
    <x:row r="34">
      <x:c r="A34" s="19" t="str">
        <x:v>BRK-05</x:v>
      </x:c>
      <x:c r="B34" s="19" t="str">
        <x:v>Завтраки</x:v>
      </x:c>
      <x:c r="C34" s="19" t="str">
        <x:v>Маркировочный комплект завтраков</x:v>
      </x:c>
      <x:c r="D34" s="19" t="str">
        <x:v>комплект</x:v>
      </x:c>
      <x:c r="E34" s="33" t="n">
        <x:v>0.05</x:v>
      </x:c>
      <x:c r="F34" s="33" t="n">
        <x:v>0.05</x:v>
      </x:c>
      <x:c r="G34" s="33" t="n">
        <x:v>1</x:v>
      </x:c>
      <x:c r="H34" s="21" t="n">
        <x:f>E34*G34</x:f>
        <x:v>0.05</x:v>
      </x:c>
      <x:c r="I34" s="21" t="n">
        <x:f>F34*G34</x:f>
        <x:v>0.05</x:v>
      </x:c>
      <x:c r="J34" s="31" t="n">
        <x:f>IFERROR(F34/E34,0)</x:f>
        <x:v>1</x:v>
      </x:c>
      <x:c r="K34" s="19" t="str">
        <x:v>PRELIMINARY</x:v>
      </x:c>
      <x:c r="L34" s="19" t="str">
        <x:v>При использовании принтера; предварительно</x:v>
      </x:c>
    </x:row>
    <x:row r="35">
      <x:c r="A35" s="19" t="str">
        <x:v>DSP-02</x:v>
      </x:c>
      <x:c r="B35" s="19" t="str">
        <x:v>Раздача</x:v>
      </x:c>
      <x:c r="C35" s="19" t="str">
        <x:v>Тепловой мост</x:v>
      </x:c>
      <x:c r="D35" s="19" t="str">
        <x:v>шт.</x:v>
      </x:c>
      <x:c r="E35" s="33" t="n">
        <x:v>1.5</x:v>
      </x:c>
      <x:c r="F35" s="33" t="n">
        <x:v>1.5</x:v>
      </x:c>
      <x:c r="G35" s="33" t="n">
        <x:v>1</x:v>
      </x:c>
      <x:c r="H35" s="21" t="n">
        <x:f>E35*G35</x:f>
        <x:v>1.5</x:v>
      </x:c>
      <x:c r="I35" s="21" t="n">
        <x:f>F35*G35</x:f>
        <x:v>1.5</x:v>
      </x:c>
      <x:c r="J35" s="31" t="n">
        <x:f>IFERROR(F35/E35,0)</x:f>
        <x:v>1</x:v>
      </x:c>
      <x:c r="K35" s="19" t="str">
        <x:v>PRELIMINARY</x:v>
      </x:c>
      <x:c r="L35" s="19" t="str">
        <x:v>6–8 тарелок; предварительно</x:v>
      </x:c>
    </x:row>
    <x:row r="36">
      <x:c r="A36" s="19" t="str">
        <x:v>DSP-03</x:v>
      </x:c>
      <x:c r="B36" s="19" t="str">
        <x:v>Раздача</x:v>
      </x:c>
      <x:c r="C36" s="19" t="str">
        <x:v>Подогреватель тарелок</x:v>
      </x:c>
      <x:c r="D36" s="19" t="str">
        <x:v>шт.</x:v>
      </x:c>
      <x:c r="E36" s="33" t="n">
        <x:v>2.5</x:v>
      </x:c>
      <x:c r="F36" s="33" t="n">
        <x:v>2.5</x:v>
      </x:c>
      <x:c r="G36" s="33" t="n">
        <x:v>1</x:v>
      </x:c>
      <x:c r="H36" s="21" t="n">
        <x:f>E36*G36</x:f>
        <x:v>2.5</x:v>
      </x:c>
      <x:c r="I36" s="21" t="n">
        <x:f>F36*G36</x:f>
        <x:v>2.5</x:v>
      </x:c>
      <x:c r="J36" s="31" t="n">
        <x:f>IFERROR(F36/E36,0)</x:f>
        <x:v>1</x:v>
      </x:c>
      <x:c r="K36" s="19" t="str">
        <x:v>PRELIMINARY</x:v>
      </x:c>
      <x:c r="L36" s="19" t="str">
        <x:v>40–60 тарелок; предварительно</x:v>
      </x:c>
    </x:row>
    <x:row r="37">
      <x:c r="A37" s="19" t="str">
        <x:v>DSP-04</x:v>
      </x:c>
      <x:c r="B37" s="19" t="str">
        <x:v>Раздача</x:v>
      </x:c>
      <x:c r="C37" s="19" t="str">
        <x:v>Холодная постановка</x:v>
      </x:c>
      <x:c r="D37" s="19" t="str">
        <x:v>позиция</x:v>
      </x:c>
      <x:c r="E37" s="33" t="n">
        <x:v>0.5</x:v>
      </x:c>
      <x:c r="F37" s="33" t="n">
        <x:v>0.45</x:v>
      </x:c>
      <x:c r="G37" s="33" t="n">
        <x:v>1</x:v>
      </x:c>
      <x:c r="H37" s="21" t="n">
        <x:f>E37*G37</x:f>
        <x:v>0.5</x:v>
      </x:c>
      <x:c r="I37" s="21" t="n">
        <x:f>F37*G37</x:f>
        <x:v>0.45</x:v>
      </x:c>
      <x:c r="J37" s="31" t="n">
        <x:f>IFERROR(F37/E37,0)</x:f>
        <x:v>0.9</x:v>
      </x:c>
      <x:c r="K37" s="19" t="str">
        <x:v>PRELIMINARY</x:v>
      </x:c>
      <x:c r="L37" s="19" t="str">
        <x:v>При активном охлаждении; предварительно</x:v>
      </x:c>
    </x:row>
    <x:row r="38">
      <x:c r="A38" s="19" t="str">
        <x:v>DSP-05</x:v>
      </x:c>
      <x:c r="B38" s="19" t="str">
        <x:v>Раздача</x:v>
      </x:c>
      <x:c r="C38" s="19" t="str">
        <x:v>Стол экспедитора и терминал</x:v>
      </x:c>
      <x:c r="D38" s="19" t="str">
        <x:v>шт.</x:v>
      </x:c>
      <x:c r="E38" s="33" t="n">
        <x:v>0.1</x:v>
      </x:c>
      <x:c r="F38" s="33" t="n">
        <x:v>0.1</x:v>
      </x:c>
      <x:c r="G38" s="33" t="n">
        <x:v>1</x:v>
      </x:c>
      <x:c r="H38" s="21" t="n">
        <x:f>E38*G38</x:f>
        <x:v>0.1</x:v>
      </x:c>
      <x:c r="I38" s="21" t="n">
        <x:f>F38*G38</x:f>
        <x:v>0.1</x:v>
      </x:c>
      <x:c r="J38" s="31" t="n">
        <x:f>IFERROR(F38/E38,0)</x:f>
        <x:v>1</x:v>
      </x:c>
      <x:c r="K38" s="19" t="str">
        <x:v>PRELIMINARY</x:v>
      </x:c>
      <x:c r="L38" s="19" t="str">
        <x:v>Предварительно</x:v>
      </x:c>
    </x:row>
    <x:row r="39">
      <x:c r="A39" s="19" t="str">
        <x:v>DSP-07</x:v>
      </x:c>
      <x:c r="B39" s="19" t="str">
        <x:v>Раздача</x:v>
      </x:c>
      <x:c r="C39" s="19" t="str">
        <x:v>Стол упаковки и терминал</x:v>
      </x:c>
      <x:c r="D39" s="19" t="str">
        <x:v>шт.</x:v>
      </x:c>
      <x:c r="E39" s="33" t="n">
        <x:v>0.1</x:v>
      </x:c>
      <x:c r="F39" s="33" t="n">
        <x:v>0.1</x:v>
      </x:c>
      <x:c r="G39" s="33" t="n">
        <x:v>1</x:v>
      </x:c>
      <x:c r="H39" s="21" t="n">
        <x:f>E39*G39</x:f>
        <x:v>0.1</x:v>
      </x:c>
      <x:c r="I39" s="21" t="n">
        <x:f>F39*G39</x:f>
        <x:v>0.1</x:v>
      </x:c>
      <x:c r="J39" s="31" t="n">
        <x:f>IFERROR(F39/E39,0)</x:f>
        <x:v>1</x:v>
      </x:c>
      <x:c r="K39" s="19" t="str">
        <x:v>PRELIMINARY</x:v>
      </x:c>
      <x:c r="L39" s="19" t="str">
        <x:v>Предварительно</x:v>
      </x:c>
    </x:row>
    <x:row r="40">
      <x:c r="A40" s="19" t="str">
        <x:v>DSP-09</x:v>
      </x:c>
      <x:c r="B40" s="19" t="str">
        <x:v>Раздача</x:v>
      </x:c>
      <x:c r="C40" s="19" t="str">
        <x:v>Принтеры этикеток и весы</x:v>
      </x:c>
      <x:c r="D40" s="19" t="str">
        <x:v>комплект</x:v>
      </x:c>
      <x:c r="E40" s="33" t="n">
        <x:v>0.2</x:v>
      </x:c>
      <x:c r="F40" s="33" t="n">
        <x:v>0.2</x:v>
      </x:c>
      <x:c r="G40" s="33" t="n">
        <x:v>1</x:v>
      </x:c>
      <x:c r="H40" s="21" t="n">
        <x:f>E40*G40</x:f>
        <x:v>0.2</x:v>
      </x:c>
      <x:c r="I40" s="21" t="n">
        <x:f>F40*G40</x:f>
        <x:v>0.2</x:v>
      </x:c>
      <x:c r="J40" s="31" t="n">
        <x:f>IFERROR(F40/E40,0)</x:f>
        <x:v>1</x:v>
      </x:c>
      <x:c r="K40" s="19" t="str">
        <x:v>PRELIMINARY</x:v>
      </x:c>
      <x:c r="L40" s="19" t="str">
        <x:v>Предварительно</x:v>
      </x:c>
    </x:row>
    <x:row r="41">
      <x:c r="A41" s="19" t="str">
        <x:v>DSP-10</x:v>
      </x:c>
      <x:c r="B41" s="19" t="str">
        <x:v>Раздача</x:v>
      </x:c>
      <x:c r="C41" s="19" t="str">
        <x:v>KDS и экраны участков</x:v>
      </x:c>
      <x:c r="D41" s="19" t="str">
        <x:v>экран</x:v>
      </x:c>
      <x:c r="E41" s="33" t="n">
        <x:v>0.05</x:v>
      </x:c>
      <x:c r="F41" s="33" t="n">
        <x:v>0.05</x:v>
      </x:c>
      <x:c r="G41" s="33" t="n">
        <x:v>4</x:v>
      </x:c>
      <x:c r="H41" s="21" t="n">
        <x:f>E41*G41</x:f>
        <x:v>0.2</x:v>
      </x:c>
      <x:c r="I41" s="21" t="n">
        <x:f>F41*G41</x:f>
        <x:v>0.2</x:v>
      </x:c>
      <x:c r="J41" s="31" t="n">
        <x:f>IFERROR(F41/E41,0)</x:f>
        <x:v>1</x:v>
      </x:c>
      <x:c r="K41" s="19" t="str">
        <x:v>PRELIMINARY</x:v>
      </x:c>
      <x:c r="L41" s="19" t="str">
        <x:v>Четыре экрана; предварительно</x:v>
      </x:c>
    </x:row>
    <x:row r="42">
      <x:c r="A42" s="19" t="str">
        <x:v>WSH-01</x:v>
      </x:c>
      <x:c r="B42" s="19" t="str">
        <x:v>Мойка</x:v>
      </x:c>
      <x:c r="C42" s="19" t="str">
        <x:v>Купольная посудомоечная машина</x:v>
      </x:c>
      <x:c r="D42" s="19" t="str">
        <x:v>шт.</x:v>
      </x:c>
      <x:c r="E42" s="33" t="n">
        <x:v>11</x:v>
      </x:c>
      <x:c r="F42" s="33" t="n">
        <x:v>8</x:v>
      </x:c>
      <x:c r="G42" s="33" t="n">
        <x:v>1</x:v>
      </x:c>
      <x:c r="H42" s="21" t="n">
        <x:f>E42*G42</x:f>
        <x:v>11</x:v>
      </x:c>
      <x:c r="I42" s="21" t="n">
        <x:f>F42*G42</x:f>
        <x:v>8</x:v>
      </x:c>
      <x:c r="J42" s="31" t="n">
        <x:f>IFERROR(F42/E42,0)</x:f>
        <x:v>0.7272727272727273</x:v>
      </x:c>
      <x:c r="K42" s="19" t="str">
        <x:v>PRELIMINARY</x:v>
      </x:c>
      <x:c r="L42" s="19" t="str">
        <x:v>Паспорт 8–15 кВт; ≥40 кассет/час</x:v>
      </x:c>
    </x:row>
    <x:row r="43">
      <x:c r="A43" s="28" t="str">
        <x:v>ИТОГО</x:v>
      </x:c>
      <x:c r="B43" s="28" t="str"/>
      <x:c r="C43" s="28" t="str"/>
      <x:c r="D43" s="28" t="str"/>
      <x:c r="E43" s="29" t="str"/>
      <x:c r="F43" s="29" t="str"/>
      <x:c r="G43" s="29" t="str"/>
      <x:c r="H43" s="29" t="n">
        <x:f>SUM(H5:H42)</x:f>
        <x:v>94.22999999999999</x:v>
      </x:c>
      <x:c r="I43" s="29" t="n">
        <x:f>SUM(I5:I42)</x:f>
        <x:v>72.00000000000001</x:v>
      </x:c>
      <x:c r="J43" s="28" t="str"/>
      <x:c r="K43" s="28" t="str"/>
      <x:c r="L43" s="28" t="str"/>
    </x:row>
  </x:sheetData>
  <x:mergeCells>
    <x:mergeCell ref="A1:L1"/>
    <x:mergeCell ref="A2:L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5" hidden="0" customWidth="1"/>
    <x:col min="3" max="3" width="15" hidden="0" customWidth="1"/>
    <x:col min="4" max="4" width="15" hidden="0" customWidth="1"/>
    <x:col min="5" max="5" width="18" hidden="0" customWidth="1"/>
    <x:col min="6" max="6" width="18" hidden="0" customWidth="1"/>
    <x:col min="7" max="7" width="14" hidden="0" customWidth="1"/>
  </x:cols>
  <x:sheetData>
    <x:row r="1" ht="30" customHeight="1">
      <x:c r="A1" s="3" t="str">
        <x:v>Контроль энергетического реестра</x:v>
      </x:c>
      <x:c r="B1" s="3"/>
      <x:c r="C1" s="3"/>
      <x:c r="D1" s="3"/>
      <x:c r="E1" s="3"/>
      <x:c r="F1" s="3"/>
      <x:c r="G1" s="3"/>
    </x:row>
    <x:row r="2" ht="34" customHeight="1">
      <x:c r="A2" s="7" t="str">
        <x:v>Коридоры зафиксированы решениями проекта; расчётные суммы должны находиться внутри них.</x:v>
      </x:c>
      <x:c r="B2" s="7"/>
      <x:c r="C2" s="7"/>
      <x:c r="D2" s="7"/>
      <x:c r="E2" s="7"/>
      <x:c r="F2" s="7"/>
      <x:c r="G2" s="7"/>
    </x:row>
    <x:row r="4">
      <x:c r="A4" s="13" t="str">
        <x:v>Проверка</x:v>
      </x:c>
      <x:c r="B4" s="13" t="str">
        <x:v>Факт</x:v>
      </x:c>
      <x:c r="C4" s="13" t="str">
        <x:v>Минимум</x:v>
      </x:c>
      <x:c r="D4" s="13" t="str">
        <x:v>Максимум</x:v>
      </x:c>
      <x:c r="E4" s="13" t="str">
        <x:v>Отклонение ниже</x:v>
      </x:c>
      <x:c r="F4" s="13" t="str">
        <x:v>Отклонение выше</x:v>
      </x:c>
      <x:c r="G4" s="13" t="str">
        <x:v>Статус</x:v>
      </x:c>
    </x:row>
    <x:row r="5">
      <x:c r="A5" s="18" t="str">
        <x:v>Установленная мощность Кухни, кВт</x:v>
      </x:c>
      <x:c r="B5" s="20" t="n">
        <x:f>'РЕЕСТР'!H43</x:f>
        <x:v>94.22999999999999</x:v>
      </x:c>
      <x:c r="C5" s="20" t="n">
        <x:v>85</x:v>
      </x:c>
      <x:c r="D5" s="20" t="n">
        <x:v>103</x:v>
      </x:c>
      <x:c r="E5" s="20" t="n">
        <x:f>MAX(C5-B5,0)</x:f>
        <x:v>0</x:v>
      </x:c>
      <x:c r="F5" s="20" t="n">
        <x:f>MAX(B5-D5,0)</x:f>
        <x:v>0</x:v>
      </x:c>
      <x:c r="G5" s="22" t="str">
        <x:f>IF(AND(E5=0,F5=0),"OK","FAIL")</x:f>
        <x:v>OK</x:v>
      </x:c>
    </x:row>
    <x:row r="6">
      <x:c r="A6" s="19" t="str">
        <x:v>Пиковая одновременная мощность Кухни, кВт</x:v>
      </x:c>
      <x:c r="B6" s="21" t="n">
        <x:f>'РЕЕСТР'!I43</x:f>
        <x:v>72.00000000000001</x:v>
      </x:c>
      <x:c r="C6" s="21" t="n">
        <x:v>62</x:v>
      </x:c>
      <x:c r="D6" s="21" t="n">
        <x:v>75</x:v>
      </x:c>
      <x:c r="E6" s="21" t="n">
        <x:f>MAX(C6-B6,0)</x:f>
        <x:v>0</x:v>
      </x:c>
      <x:c r="F6" s="21" t="n">
        <x:f>MAX(B6-D6,0)</x:f>
        <x:v>0</x:v>
      </x:c>
      <x:c r="G6" s="24" t="str">
        <x:f>IF(AND(E6=0,F6=0),"OK","FAIL")</x:f>
        <x:v>OK</x:v>
      </x:c>
    </x:row>
    <x:row r="7">
      <x:c r="A7" s="19" t="str">
        <x:v>Количество строк оборудования</x:v>
      </x:c>
      <x:c r="B7" s="21" t="n">
        <x:f>COUNTA('РЕЕСТР'!A5:A42)</x:f>
        <x:v>38</x:v>
      </x:c>
      <x:c r="C7" s="21" t="n">
        <x:v>38</x:v>
      </x:c>
      <x:c r="D7" s="21" t="n">
        <x:v>38</x:v>
      </x:c>
      <x:c r="E7" s="21" t="n">
        <x:f>MAX(C7-B7,0)</x:f>
        <x:v>0</x:v>
      </x:c>
      <x:c r="F7" s="21" t="n">
        <x:f>MAX(B7-D7,0)</x:f>
        <x:v>0</x:v>
      </x:c>
      <x:c r="G7" s="24" t="str">
        <x:f>IF(AND(E7=0,F7=0),"OK","FAIL")</x:f>
        <x:v>OK</x:v>
      </x:c>
    </x:row>
    <x:row r="8">
      <x:c r="A8" s="19" t="str">
        <x:v>Пустые мощности</x:v>
      </x:c>
      <x:c r="B8" s="21" t="n">
        <x:f>COUNTBLANK('РЕЕСТР'!E5:F42)</x:f>
        <x:v>0</x:v>
      </x:c>
      <x:c r="C8" s="21" t="n">
        <x:v>0</x:v>
      </x:c>
      <x:c r="D8" s="21" t="n">
        <x:v>0</x:v>
      </x:c>
      <x:c r="E8" s="21" t="n">
        <x:f>MAX(C8-B8,0)</x:f>
        <x:v>0</x:v>
      </x:c>
      <x:c r="F8" s="21" t="n">
        <x:f>MAX(B8-D8,0)</x:f>
        <x:v>0</x:v>
      </x:c>
      <x:c r="G8" s="24" t="str">
        <x:f>IF(AND(E8=0,F8=0),"OK","FAIL")</x:f>
        <x:v>OK</x:v>
      </x:c>
    </x:row>
  </x:sheetData>
  <x:mergeCells>
    <x:mergeCell ref="A1:G1"/>
    <x:mergeCell ref="A2:G2"/>
  </x:mergeCells>
  <x:pageMargins left="0.7" right="0.7" top="0.75" bottom="0.75" header="0.3" footer="0.3"/>
</x:worksheet>
</file>