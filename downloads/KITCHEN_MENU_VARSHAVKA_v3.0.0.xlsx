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2502b662a54d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АСПОРТ" sheetId="1" r:id="Re17dd4361aad4ebe"/>
    <x:sheet xmlns:r="http://schemas.openxmlformats.org/officeDocument/2006/relationships" name="АКТИВНОЕ_МЕНЮ" sheetId="2" r:id="Rf8a6eb89360f46eb"/>
    <x:sheet xmlns:r="http://schemas.openxmlformats.org/officeDocument/2006/relationships" name="АРХИВ" sheetId="3" r:id="R54ddd80a900a404c"/>
    <x:sheet xmlns:r="http://schemas.openxmlformats.org/officeDocument/2006/relationships" name="КОНТРОЛЬ" sheetId="4" r:id="R2e44d8f9147341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000000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</x:fills>
  <x:borders count="4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7277e01012421e" /><Relationship Type="http://schemas.openxmlformats.org/officeDocument/2006/relationships/theme" Target="/xl/theme/theme1.xml" Id="R2d112c4b80fe4625" /><Relationship Type="http://schemas.openxmlformats.org/officeDocument/2006/relationships/sharedStrings" Target="/xl/sharedStrings.xml" Id="R796a8ed782284fb0" /><Relationship Type="http://schemas.openxmlformats.org/officeDocument/2006/relationships/worksheet" Target="/xl/worksheets/sheet1.xml" Id="Re17dd4361aad4ebe" /><Relationship Type="http://schemas.openxmlformats.org/officeDocument/2006/relationships/worksheet" Target="/xl/worksheets/sheet2.xml" Id="Rf8a6eb89360f46eb" /><Relationship Type="http://schemas.openxmlformats.org/officeDocument/2006/relationships/worksheet" Target="/xl/worksheets/sheet3.xml" Id="R54ddd80a900a404c" /><Relationship Type="http://schemas.openxmlformats.org/officeDocument/2006/relationships/worksheet" Target="/xl/worksheets/sheet4.xml" Id="R2e44d8f9147341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72" hidden="0" customWidth="1"/>
  </x:cols>
  <x:sheetData>
    <x:row r="1" ht="30" customHeight="1">
      <x:c r="A1" s="3" t="str">
        <x:v>МЕНЮ КУХНИ VARSHAVKA 3.0.0</x:v>
      </x:c>
      <x:c r="B1" s="3"/>
      <x:c r="C1" s="3"/>
      <x:c r="D1" s="3"/>
      <x:c r="E1" s="3"/>
      <x:c r="F1" s="3"/>
    </x:row>
    <x:row r="2" ht="34" customHeight="1">
      <x:c r="A2" s="7" t="str">
        <x:v>Скачиваемая консолидированная редакция • состояние на 28 июля 2026 года</x:v>
      </x:c>
      <x:c r="B2" s="7"/>
      <x:c r="C2" s="7"/>
      <x:c r="D2" s="7"/>
      <x:c r="E2" s="7"/>
      <x:c r="F2" s="7"/>
    </x:row>
    <x:row r="4">
      <x:c r="A4" s="13" t="str">
        <x:v>Показатель</x:v>
      </x:c>
      <x:c r="B4" s="13" t="str">
        <x:v>Значение</x:v>
      </x:c>
    </x:row>
    <x:row r="5">
      <x:c r="A5" s="18" t="str">
        <x:v>Версия</x:v>
      </x:c>
      <x:c r="B5" s="18" t="str">
        <x:v>3.0.0</x:v>
      </x:c>
    </x:row>
    <x:row r="6">
      <x:c r="A6" s="19" t="str">
        <x:v>Активных стартовых позиций</x:v>
      </x:c>
      <x:c r="B6" s="19" t="n">
        <x:v>31</x:v>
      </x:c>
    </x:row>
    <x:row r="7">
      <x:c r="A7" s="19" t="str">
        <x:v>Статус</x:v>
      </x:c>
      <x:c r="B7" s="19" t="str">
        <x:v>Условно утверждено до контрольных проработок и документов поставщиков</x:v>
      </x:c>
    </x:row>
    <x:row r="8">
      <x:c r="A8" s="19" t="str">
        <x:v>Горячие блюда</x:v>
      </x:c>
      <x:c r="B8" s="19" t="str">
        <x:v>Не менее 300 г; обязательный гарнир отсутствует</x:v>
      </x:c>
    </x:row>
    <x:row r="9">
      <x:c r="A9" s="19" t="str">
        <x:v>Гостиничный завтрак</x:v>
      </x:c>
      <x:c r="B9" s="19" t="str">
        <x:v>Закрытое меню; внешняя продажа и доплаты отсутствуют</x:v>
      </x:c>
    </x:row>
    <x:row r="10">
      <x:c r="A10" s="19" t="str">
        <x:v>КОФЕ&amp;ЧАЙ</x:v>
      </x:c>
      <x:c r="B10" s="19" t="str">
        <x:v>Продукция Кухни отсутствует; напиток производит бариста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21" hidden="0" customWidth="1"/>
    <x:col min="3" max="3" width="42" hidden="0" customWidth="1"/>
    <x:col min="4" max="4" width="28" hidden="0" customWidth="1"/>
    <x:col min="5" max="5" width="22" hidden="0" customWidth="1"/>
    <x:col min="6" max="6" width="37" hidden="0" customWidth="1"/>
    <x:col min="7" max="7" width="48" hidden="0" customWidth="1"/>
    <x:col min="8" max="8" width="22" hidden="0" customWidth="1"/>
  </x:cols>
  <x:sheetData>
    <x:row r="1" ht="30" customHeight="1">
      <x:c r="A1" s="3" t="str">
        <x:v>31 активная позиция Кухни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Строки являются единицами производства и продажи; обязательные компоненты внутри блюд повторно не учитываются.</x:v>
      </x:c>
      <x:c r="B2" s="7"/>
      <x:c r="C2" s="7"/>
      <x:c r="D2" s="7"/>
      <x:c r="E2" s="7"/>
      <x:c r="F2" s="7"/>
      <x:c r="G2" s="7"/>
      <x:c r="H2" s="7"/>
    </x:row>
    <x:row r="4">
      <x:c r="A4" s="13" t="str">
        <x:v>№</x:v>
      </x:c>
      <x:c r="B4" s="13" t="str">
        <x:v>Раздел</x:v>
      </x:c>
      <x:c r="C4" s="13" t="str">
        <x:v>Наименование</x:v>
      </x:c>
      <x:c r="D4" s="13" t="str">
        <x:v>Единица производства и продажи</x:v>
      </x:c>
      <x:c r="E4" s="13" t="str">
        <x:v>Нормативный выход</x:v>
      </x:c>
      <x:c r="F4" s="13" t="str">
        <x:v>Производственная модель</x:v>
      </x:c>
      <x:c r="G4" s="13" t="str">
        <x:v>Направления бизнеса</x:v>
      </x:c>
      <x:c r="H4" s="13" t="str">
        <x:v>Статус</x:v>
      </x:c>
    </x:row>
    <x:row r="5">
      <x:c r="A5" s="20" t="n">
        <x:v>1</x:v>
      </x:c>
      <x:c r="B5" s="18" t="str">
        <x:v>Пицца</x:v>
      </x:c>
      <x:c r="C5" s="18" t="str">
        <x:v>Маргарита</x:v>
      </x:c>
      <x:c r="D5" s="18" t="str">
        <x:v>1 пицца</x:v>
      </x:c>
      <x:c r="E5" s="18" t="str">
        <x:v>450 г</x:v>
      </x:c>
      <x:c r="F5" s="18" t="str">
        <x:v>Собственное производство</x:v>
      </x:c>
      <x:c r="G5" s="18" t="str">
        <x:v>À la carte; Бизнес-ланч; Гостиничные ужины; Доставка</x:v>
      </x:c>
      <x:c r="H5" s="18" t="str">
        <x:v>Условно утверждено</x:v>
      </x:c>
    </x:row>
    <x:row r="6">
      <x:c r="A6" s="21" t="n">
        <x:v>2</x:v>
      </x:c>
      <x:c r="B6" s="19" t="str">
        <x:v>Пицца</x:v>
      </x:c>
      <x:c r="C6" s="19" t="str">
        <x:v>Четыре сыра</x:v>
      </x:c>
      <x:c r="D6" s="19" t="str">
        <x:v>1 пицца</x:v>
      </x:c>
      <x:c r="E6" s="19" t="str">
        <x:v>480 г</x:v>
      </x:c>
      <x:c r="F6" s="19" t="str">
        <x:v>Собственное производство</x:v>
      </x:c>
      <x:c r="G6" s="19" t="str">
        <x:v>À la carte; Бизнес-ланч; Гостиничные ужины; Доставка</x:v>
      </x:c>
      <x:c r="H6" s="19" t="str">
        <x:v>Условно утверждено</x:v>
      </x:c>
    </x:row>
    <x:row r="7">
      <x:c r="A7" s="21" t="n">
        <x:v>3</x:v>
      </x:c>
      <x:c r="B7" s="19" t="str">
        <x:v>Пицца</x:v>
      </x:c>
      <x:c r="C7" s="19" t="str">
        <x:v>Грибная с ветчиной</x:v>
      </x:c>
      <x:c r="D7" s="19" t="str">
        <x:v>1 пицца</x:v>
      </x:c>
      <x:c r="E7" s="19" t="str">
        <x:v>500 г</x:v>
      </x:c>
      <x:c r="F7" s="19" t="str">
        <x:v>Собственное производство</x:v>
      </x:c>
      <x:c r="G7" s="19" t="str">
        <x:v>À la carte; Бизнес-ланч; Гостиничные ужины; Доставка</x:v>
      </x:c>
      <x:c r="H7" s="19" t="str">
        <x:v>Условно утверждено</x:v>
      </x:c>
    </x:row>
    <x:row r="8">
      <x:c r="A8" s="21" t="n">
        <x:v>4</x:v>
      </x:c>
      <x:c r="B8" s="19" t="str">
        <x:v>Пицца</x:v>
      </x:c>
      <x:c r="C8" s="19" t="str">
        <x:v>Пепперони</x:v>
      </x:c>
      <x:c r="D8" s="19" t="str">
        <x:v>1 пицца</x:v>
      </x:c>
      <x:c r="E8" s="19" t="str">
        <x:v>500 г</x:v>
      </x:c>
      <x:c r="F8" s="19" t="str">
        <x:v>Собственное производство</x:v>
      </x:c>
      <x:c r="G8" s="19" t="str">
        <x:v>À la carte; Бизнес-ланч; Гостиничные ужины; Доставка</x:v>
      </x:c>
      <x:c r="H8" s="19" t="str">
        <x:v>Условно утверждено</x:v>
      </x:c>
    </x:row>
    <x:row r="9">
      <x:c r="A9" s="21" t="n">
        <x:v>5</x:v>
      </x:c>
      <x:c r="B9" s="19" t="str">
        <x:v>Хлеб</x:v>
      </x:c>
      <x:c r="C9" s="19" t="str">
        <x:v>Белая чиабатта</x:v>
      </x:c>
      <x:c r="D9" s="19" t="str">
        <x:v>1 изделие</x:v>
      </x:c>
      <x:c r="E9" s="19" t="str">
        <x:v>100 г</x:v>
      </x:c>
      <x:c r="F9" s="19" t="str">
        <x:v>Собственное производство</x:v>
      </x:c>
      <x:c r="G9" s="19" t="str">
        <x:v>Все применимые направления КАФЕ; обязательные компоненты</x:v>
      </x:c>
      <x:c r="H9" s="19" t="str">
        <x:v>Условно утверждено</x:v>
      </x:c>
    </x:row>
    <x:row r="10">
      <x:c r="A10" s="21" t="n">
        <x:v>6</x:v>
      </x:c>
      <x:c r="B10" s="19" t="str">
        <x:v>Хлеб</x:v>
      </x:c>
      <x:c r="C10" s="19" t="str">
        <x:v>Томатная чиабатта</x:v>
      </x:c>
      <x:c r="D10" s="19" t="str">
        <x:v>1 изделие</x:v>
      </x:c>
      <x:c r="E10" s="19" t="str">
        <x:v>100 г</x:v>
      </x:c>
      <x:c r="F10" s="19" t="str">
        <x:v>Собственное производство</x:v>
      </x:c>
      <x:c r="G10" s="19" t="str">
        <x:v>Все применимые направления КАФЕ</x:v>
      </x:c>
      <x:c r="H10" s="19" t="str">
        <x:v>Условно утверждено</x:v>
      </x:c>
    </x:row>
    <x:row r="11">
      <x:c r="A11" s="21" t="n">
        <x:v>7</x:v>
      </x:c>
      <x:c r="B11" s="19" t="str">
        <x:v>Хлеб</x:v>
      </x:c>
      <x:c r="C11" s="19" t="str">
        <x:v>Бородинский хлеб</x:v>
      </x:c>
      <x:c r="D11" s="19" t="str">
        <x:v>1 буханка</x:v>
      </x:c>
      <x:c r="E11" s="19" t="str">
        <x:v>350 г</x:v>
      </x:c>
      <x:c r="F11" s="19" t="str">
        <x:v>Собственное производство</x:v>
      </x:c>
      <x:c r="G11" s="19" t="str">
        <x:v>Все применимые направления КАФЕ; обязательные компоненты</x:v>
      </x:c>
      <x:c r="H11" s="19" t="str">
        <x:v>Условно утверждено</x:v>
      </x:c>
    </x:row>
    <x:row r="12">
      <x:c r="A12" s="21" t="n">
        <x:v>8</x:v>
      </x:c>
      <x:c r="B12" s="19" t="str">
        <x:v>Хлеб</x:v>
      </x:c>
      <x:c r="C12" s="19" t="str">
        <x:v>Бриошь</x:v>
      </x:c>
      <x:c r="D12" s="19" t="str">
        <x:v>1 изделие</x:v>
      </x:c>
      <x:c r="E12" s="19" t="str">
        <x:v>85 г</x:v>
      </x:c>
      <x:c r="F12" s="19" t="str">
        <x:v>Собственное производство</x:v>
      </x:c>
      <x:c r="G12" s="19" t="str">
        <x:v>Все применимые направления КАФЕ; бургер</x:v>
      </x:c>
      <x:c r="H12" s="19" t="str">
        <x:v>Условно утверждено</x:v>
      </x:c>
    </x:row>
    <x:row r="13">
      <x:c r="A13" s="21" t="n">
        <x:v>9</x:v>
      </x:c>
      <x:c r="B13" s="19" t="str">
        <x:v>Салаты</x:v>
      </x:c>
      <x:c r="C13" s="19" t="str">
        <x:v>Буррата с томатами</x:v>
      </x:c>
      <x:c r="D13" s="19" t="str">
        <x:v>1 порция</x:v>
      </x:c>
      <x:c r="E13" s="19" t="str">
        <x:v>300 г</x:v>
      </x:c>
      <x:c r="F13" s="19" t="str">
        <x:v>Сборка Кухни</x:v>
      </x:c>
      <x:c r="G13" s="19" t="str">
        <x:v>À la carte; Бизнес-ланч; Гостиничные ужины; Доставка</x:v>
      </x:c>
      <x:c r="H13" s="19" t="str">
        <x:v>Условно утверждено</x:v>
      </x:c>
    </x:row>
    <x:row r="14">
      <x:c r="A14" s="21" t="n">
        <x:v>10</x:v>
      </x:c>
      <x:c r="B14" s="19" t="str">
        <x:v>Салаты</x:v>
      </x:c>
      <x:c r="C14" s="19" t="str">
        <x:v>Микс-салат с креветками и яблоком</x:v>
      </x:c>
      <x:c r="D14" s="19" t="str">
        <x:v>1 порция</x:v>
      </x:c>
      <x:c r="E14" s="19" t="str">
        <x:v>280 г</x:v>
      </x:c>
      <x:c r="F14" s="19" t="str">
        <x:v>Сборка Кухни</x:v>
      </x:c>
      <x:c r="G14" s="19" t="str">
        <x:v>À la carte; Бизнес-ланч; Гостиничные ужины; Доставка</x:v>
      </x:c>
      <x:c r="H14" s="19" t="str">
        <x:v>Условно утверждено</x:v>
      </x:c>
    </x:row>
    <x:row r="15">
      <x:c r="A15" s="21" t="n">
        <x:v>11</x:v>
      </x:c>
      <x:c r="B15" s="19" t="str">
        <x:v>Салаты</x:v>
      </x:c>
      <x:c r="C15" s="19" t="str">
        <x:v>Греческий</x:v>
      </x:c>
      <x:c r="D15" s="19" t="str">
        <x:v>1 порция</x:v>
      </x:c>
      <x:c r="E15" s="19" t="str">
        <x:v>270 г</x:v>
      </x:c>
      <x:c r="F15" s="19" t="str">
        <x:v>Сборка Кухни</x:v>
      </x:c>
      <x:c r="G15" s="19" t="str">
        <x:v>À la carte; Бизнес-ланч; Гостиничные ужины; Доставка</x:v>
      </x:c>
      <x:c r="H15" s="19" t="str">
        <x:v>Условно утверждено</x:v>
      </x:c>
    </x:row>
    <x:row r="16">
      <x:c r="A16" s="21" t="n">
        <x:v>12</x:v>
      </x:c>
      <x:c r="B16" s="19" t="str">
        <x:v>Салаты</x:v>
      </x:c>
      <x:c r="C16" s="19" t="str">
        <x:v>Винегрет</x:v>
      </x:c>
      <x:c r="D16" s="19" t="str">
        <x:v>1 порция</x:v>
      </x:c>
      <x:c r="E16" s="19" t="str">
        <x:v>240 г</x:v>
      </x:c>
      <x:c r="F16" s="19" t="str">
        <x:v>Собственные полуфабрикаты и сборка</x:v>
      </x:c>
      <x:c r="G16" s="19" t="str">
        <x:v>À la carte; Бизнес-ланч; Гостиничные ужины; Доставка</x:v>
      </x:c>
      <x:c r="H16" s="19" t="str">
        <x:v>Условно утверждено</x:v>
      </x:c>
    </x:row>
    <x:row r="17">
      <x:c r="A17" s="21" t="n">
        <x:v>13</x:v>
      </x:c>
      <x:c r="B17" s="19" t="str">
        <x:v>Холодные закуски</x:v>
      </x:c>
      <x:c r="C17" s="19" t="str">
        <x:v>Слабосолёный лосось</x:v>
      </x:c>
      <x:c r="D17" s="19" t="str">
        <x:v>1 порция</x:v>
      </x:c>
      <x:c r="E17" s="19" t="str">
        <x:v>130 г</x:v>
      </x:c>
      <x:c r="F17" s="19" t="str">
        <x:v>Готовое филе поставщика; порционирование Кухни</x:v>
      </x:c>
      <x:c r="G17" s="19" t="str">
        <x:v>À la carte; Бизнес-ланч; Гостиничные ужины</x:v>
      </x:c>
      <x:c r="H17" s="19" t="str">
        <x:v>Условно утверждено</x:v>
      </x:c>
    </x:row>
    <x:row r="18">
      <x:c r="A18" s="21" t="n">
        <x:v>14</x:v>
      </x:c>
      <x:c r="B18" s="19" t="str">
        <x:v>Холодные закуски</x:v>
      </x:c>
      <x:c r="C18" s="19" t="str">
        <x:v>Сельдь с запечённым картофелем</x:v>
      </x:c>
      <x:c r="D18" s="19" t="str">
        <x:v>1 порция</x:v>
      </x:c>
      <x:c r="E18" s="19" t="str">
        <x:v>250 г</x:v>
      </x:c>
      <x:c r="F18" s="19" t="str">
        <x:v>Разделка и сборка Кухни</x:v>
      </x:c>
      <x:c r="G18" s="19" t="str">
        <x:v>À la carte; Бизнес-ланч; Гостиничные ужины</x:v>
      </x:c>
      <x:c r="H18" s="19" t="str">
        <x:v>Условно утверждено</x:v>
      </x:c>
    </x:row>
    <x:row r="19">
      <x:c r="A19" s="21" t="n">
        <x:v>15</x:v>
      </x:c>
      <x:c r="B19" s="19" t="str">
        <x:v>Холодные закуски</x:v>
      </x:c>
      <x:c r="C19" s="19" t="str">
        <x:v>Оливки и маслины</x:v>
      </x:c>
      <x:c r="D19" s="19" t="str">
        <x:v>1 порция</x:v>
      </x:c>
      <x:c r="E19" s="19" t="str">
        <x:v>120 г</x:v>
      </x:c>
      <x:c r="F19" s="19" t="str">
        <x:v>Подготовка и маринование Кухни</x:v>
      </x:c>
      <x:c r="G19" s="19" t="str">
        <x:v>À la carte; Бизнес-ланч; Гостиничные ужины</x:v>
      </x:c>
      <x:c r="H19" s="19" t="str">
        <x:v>Условно утверждено</x:v>
      </x:c>
    </x:row>
    <x:row r="20">
      <x:c r="A20" s="21" t="n">
        <x:v>16</x:v>
      </x:c>
      <x:c r="B20" s="19" t="str">
        <x:v>Холодные закуски</x:v>
      </x:c>
      <x:c r="C20" s="19" t="str">
        <x:v>Ассорти фирменных солений</x:v>
      </x:c>
      <x:c r="D20" s="19" t="str">
        <x:v>1 порция</x:v>
      </x:c>
      <x:c r="E20" s="19" t="str">
        <x:v>180 г</x:v>
      </x:c>
      <x:c r="F20" s="19" t="str">
        <x:v>Раздельное быстрое маринование</x:v>
      </x:c>
      <x:c r="G20" s="19" t="str">
        <x:v>À la carte; Бизнес-ланч; Гостиничные ужины</x:v>
      </x:c>
      <x:c r="H20" s="19" t="str">
        <x:v>Условно утверждено</x:v>
      </x:c>
    </x:row>
    <x:row r="21">
      <x:c r="A21" s="21" t="n">
        <x:v>17</x:v>
      </x:c>
      <x:c r="B21" s="19" t="str">
        <x:v>Холодные закуски</x:v>
      </x:c>
      <x:c r="C21" s="19" t="str">
        <x:v>Ростбиф с луком и гренкой</x:v>
      </x:c>
      <x:c r="D21" s="19" t="str">
        <x:v>1 порция</x:v>
      </x:c>
      <x:c r="E21" s="19" t="str">
        <x:v>180 г</x:v>
      </x:c>
      <x:c r="F21" s="19" t="str">
        <x:v>Готовый охлаждённый ростбиф; сборка Кухни</x:v>
      </x:c>
      <x:c r="G21" s="19" t="str">
        <x:v>À la carte; Бизнес-ланч; Гостиничные ужины</x:v>
      </x:c>
      <x:c r="H21" s="19" t="str">
        <x:v>Условно утверждено</x:v>
      </x:c>
    </x:row>
    <x:row r="22">
      <x:c r="A22" s="21" t="n">
        <x:v>18</x:v>
      </x:c>
      <x:c r="B22" s="19" t="str">
        <x:v>Супы</x:v>
      </x:c>
      <x:c r="C22" s="19" t="str">
        <x:v>Традиционный красный борщ</x:v>
      </x:c>
      <x:c r="D22" s="19" t="str">
        <x:v>1 гостевая подача</x:v>
      </x:c>
      <x:c r="E22" s="19" t="str">
        <x:v>400 г</x:v>
      </x:c>
      <x:c r="F22" s="19" t="str">
        <x:v>Собственное производство</x:v>
      </x:c>
      <x:c r="G22" s="19" t="str">
        <x:v>À la carte; Бизнес-ланч</x:v>
      </x:c>
      <x:c r="H22" s="19" t="str">
        <x:v>Условно утверждено</x:v>
      </x:c>
    </x:row>
    <x:row r="23">
      <x:c r="A23" s="21" t="n">
        <x:v>19</x:v>
      </x:c>
      <x:c r="B23" s="19" t="str">
        <x:v>Горячие блюда</x:v>
      </x:c>
      <x:c r="C23" s="19" t="str">
        <x:v>Мурманская треска со сливочно-горчичным соусом</x:v>
      </x:c>
      <x:c r="D23" s="19" t="str">
        <x:v>1 порция</x:v>
      </x:c>
      <x:c r="E23" s="19" t="str">
        <x:v>300 г</x:v>
      </x:c>
      <x:c r="F23" s="19" t="str">
        <x:v>Собственное производство</x:v>
      </x:c>
      <x:c r="G23" s="19" t="str">
        <x:v>À la carte; Бизнес-ланч; Гостиничные ужины; Доставка</x:v>
      </x:c>
      <x:c r="H23" s="19" t="str">
        <x:v>Условно утверждено</x:v>
      </x:c>
    </x:row>
    <x:row r="24">
      <x:c r="A24" s="21" t="n">
        <x:v>20</x:v>
      </x:c>
      <x:c r="B24" s="19" t="str">
        <x:v>Горячие блюда</x:v>
      </x:c>
      <x:c r="C24" s="19" t="str">
        <x:v>Креветки по-тайски</x:v>
      </x:c>
      <x:c r="D24" s="19" t="str">
        <x:v>1 порция</x:v>
      </x:c>
      <x:c r="E24" s="19" t="str">
        <x:v>360 г</x:v>
      </x:c>
      <x:c r="F24" s="19" t="str">
        <x:v>Собственное производство</x:v>
      </x:c>
      <x:c r="G24" s="19" t="str">
        <x:v>À la carte; Бизнес-ланч; Гостиничные ужины; Доставка</x:v>
      </x:c>
      <x:c r="H24" s="19" t="str">
        <x:v>Условно утверждено</x:v>
      </x:c>
    </x:row>
    <x:row r="25">
      <x:c r="A25" s="21" t="n">
        <x:v>21</x:v>
      </x:c>
      <x:c r="B25" s="19" t="str">
        <x:v>Горячие блюда</x:v>
      </x:c>
      <x:c r="C25" s="19" t="str">
        <x:v>Бургер VARSHAVKA</x:v>
      </x:c>
      <x:c r="D25" s="19" t="str">
        <x:v>1 бургер</x:v>
      </x:c>
      <x:c r="E25" s="19" t="str">
        <x:v>350 г</x:v>
      </x:c>
      <x:c r="F25" s="19" t="str">
        <x:v>Котлета, бриошь и сборка Кухни</x:v>
      </x:c>
      <x:c r="G25" s="19" t="str">
        <x:v>À la carte; Бизнес-ланч; Гостиничные ужины; Доставка</x:v>
      </x:c>
      <x:c r="H25" s="19" t="str">
        <x:v>Условно утверждено</x:v>
      </x:c>
    </x:row>
    <x:row r="26">
      <x:c r="A26" s="21" t="n">
        <x:v>22</x:v>
      </x:c>
      <x:c r="B26" s="19" t="str">
        <x:v>Горячие блюда</x:v>
      </x:c>
      <x:c r="C26" s="19" t="str">
        <x:v>Миньоны из говяжьей вырезки</x:v>
      </x:c>
      <x:c r="D26" s="19" t="str">
        <x:v>1 порция, 2 миньона</x:v>
      </x:c>
      <x:c r="E26" s="19" t="str">
        <x:v>300 г</x:v>
      </x:c>
      <x:c r="F26" s="19" t="str">
        <x:v>Собственное производство</x:v>
      </x:c>
      <x:c r="G26" s="19" t="str">
        <x:v>À la carte; Бизнес-ланч; Гостиничные ужины; Доставка</x:v>
      </x:c>
      <x:c r="H26" s="19" t="str">
        <x:v>Условно утверждено</x:v>
      </x:c>
    </x:row>
    <x:row r="27">
      <x:c r="A27" s="21" t="n">
        <x:v>23</x:v>
      </x:c>
      <x:c r="B27" s="19" t="str">
        <x:v>Гарниры</x:v>
      </x:c>
      <x:c r="C27" s="19" t="str">
        <x:v>Запечённый картофель</x:v>
      </x:c>
      <x:c r="D27" s="19" t="str">
        <x:v>1 порция</x:v>
      </x:c>
      <x:c r="E27" s="19" t="str">
        <x:v>150 г</x:v>
      </x:c>
      <x:c r="F27" s="19" t="str">
        <x:v>Собственное производство</x:v>
      </x:c>
      <x:c r="G27" s="19" t="str">
        <x:v>À la carte; Бизнес-ланч; Гостиничные ужины</x:v>
      </x:c>
      <x:c r="H27" s="19" t="str">
        <x:v>Условно утверждено</x:v>
      </x:c>
    </x:row>
    <x:row r="28">
      <x:c r="A28" s="21" t="n">
        <x:v>24</x:v>
      </x:c>
      <x:c r="B28" s="19" t="str">
        <x:v>Гарниры</x:v>
      </x:c>
      <x:c r="C28" s="19" t="str">
        <x:v>Рис жасмин</x:v>
      </x:c>
      <x:c r="D28" s="19" t="str">
        <x:v>1 порция</x:v>
      </x:c>
      <x:c r="E28" s="19" t="str">
        <x:v>150 г</x:v>
      </x:c>
      <x:c r="F28" s="19" t="str">
        <x:v>Собственное производство</x:v>
      </x:c>
      <x:c r="G28" s="19" t="str">
        <x:v>À la carte; Бизнес-ланч; Гостиничные ужины</x:v>
      </x:c>
      <x:c r="H28" s="19" t="str">
        <x:v>Условно утверждено</x:v>
      </x:c>
    </x:row>
    <x:row r="29">
      <x:c r="A29" s="21" t="n">
        <x:v>25</x:v>
      </x:c>
      <x:c r="B29" s="19" t="str">
        <x:v>Гарниры</x:v>
      </x:c>
      <x:c r="C29" s="19" t="str">
        <x:v>Горячие овощи</x:v>
      </x:c>
      <x:c r="D29" s="19" t="str">
        <x:v>1 порция</x:v>
      </x:c>
      <x:c r="E29" s="19" t="str">
        <x:v>150 г</x:v>
      </x:c>
      <x:c r="F29" s="19" t="str">
        <x:v>Собственное производство</x:v>
      </x:c>
      <x:c r="G29" s="19" t="str">
        <x:v>À la carte; Бизнес-ланч; Гостиничные ужины</x:v>
      </x:c>
      <x:c r="H29" s="19" t="str">
        <x:v>Условно утверждено</x:v>
      </x:c>
    </x:row>
    <x:row r="30">
      <x:c r="A30" s="21" t="n">
        <x:v>26</x:v>
      </x:c>
      <x:c r="B30" s="19" t="str">
        <x:v>Гостиничные завтраки</x:v>
      </x:c>
      <x:c r="C30" s="19" t="str">
        <x:v>Яичница, круассан и сыр двух видов</x:v>
      </x:c>
      <x:c r="D30" s="19" t="str">
        <x:v>1 закрытый комплекс</x:v>
      </x:c>
      <x:c r="E30" s="19" t="str">
        <x:v>225 г + напиток 200 мл</x:v>
      </x:c>
      <x:c r="F30" s="19" t="str">
        <x:v>Порционная выдача</x:v>
      </x:c>
      <x:c r="G30" s="19" t="str">
        <x:v>Гостиница</x:v>
      </x:c>
      <x:c r="H30" s="19" t="str">
        <x:v>Условно утверждено</x:v>
      </x:c>
    </x:row>
    <x:row r="31">
      <x:c r="A31" s="21" t="n">
        <x:v>27</x:v>
      </x:c>
      <x:c r="B31" s="19" t="str">
        <x:v>Гостиничные завтраки</x:v>
      </x:c>
      <x:c r="C31" s="19" t="str">
        <x:v>Омлет, круассан и сыр двух видов</x:v>
      </x:c>
      <x:c r="D31" s="19" t="str">
        <x:v>1 закрытый комплекс</x:v>
      </x:c>
      <x:c r="E31" s="19" t="str">
        <x:v>265 г + напиток 200 мл</x:v>
      </x:c>
      <x:c r="F31" s="19" t="str">
        <x:v>Порционная выдача</x:v>
      </x:c>
      <x:c r="G31" s="19" t="str">
        <x:v>Гостиница</x:v>
      </x:c>
      <x:c r="H31" s="19" t="str">
        <x:v>Условно утверждено</x:v>
      </x:c>
    </x:row>
    <x:row r="32">
      <x:c r="A32" s="21" t="n">
        <x:v>28</x:v>
      </x:c>
      <x:c r="B32" s="19" t="str">
        <x:v>Гостиничные завтраки</x:v>
      </x:c>
      <x:c r="C32" s="19" t="str">
        <x:v>Овсяная каша, круассан и сыр двух видов</x:v>
      </x:c>
      <x:c r="D32" s="19" t="str">
        <x:v>1 закрытый комплекс</x:v>
      </x:c>
      <x:c r="E32" s="19" t="str">
        <x:v>355 г + напиток 200 мл</x:v>
      </x:c>
      <x:c r="F32" s="19" t="str">
        <x:v>Групповая каша; порционная комплектация</x:v>
      </x:c>
      <x:c r="G32" s="19" t="str">
        <x:v>Гостиница</x:v>
      </x:c>
      <x:c r="H32" s="19" t="str">
        <x:v>Условно утверждено</x:v>
      </x:c>
    </x:row>
    <x:row r="33">
      <x:c r="A33" s="21" t="n">
        <x:v>29</x:v>
      </x:c>
      <x:c r="B33" s="19" t="str">
        <x:v>Десерты</x:v>
      </x:c>
      <x:c r="C33" s="19" t="str">
        <x:v>Черничный торт VARSHAVKA</x:v>
      </x:c>
      <x:c r="D33" s="19" t="str">
        <x:v>1 торт / 12 порций</x:v>
      </x:c>
      <x:c r="E33" s="19" t="str">
        <x:v>1 800 г / 150 г</x:v>
      </x:c>
      <x:c r="F33" s="19" t="str">
        <x:v>Собственное производство</x:v>
      </x:c>
      <x:c r="G33" s="19" t="str">
        <x:v>À la carte; Навынос</x:v>
      </x:c>
      <x:c r="H33" s="19" t="str">
        <x:v>Условно утверждено</x:v>
      </x:c>
    </x:row>
    <x:row r="34">
      <x:c r="A34" s="21" t="n">
        <x:v>30</x:v>
      </x:c>
      <x:c r="B34" s="19" t="str">
        <x:v>Десерты</x:v>
      </x:c>
      <x:c r="C34" s="19" t="str">
        <x:v>Кростата с солёной карамелью</x:v>
      </x:c>
      <x:c r="D34" s="19" t="str">
        <x:v>1 кростата / 10 порций</x:v>
      </x:c>
      <x:c r="E34" s="19" t="str">
        <x:v>1 200 г / 120 г</x:v>
      </x:c>
      <x:c r="F34" s="19" t="str">
        <x:v>Собственное производство</x:v>
      </x:c>
      <x:c r="G34" s="19" t="str">
        <x:v>À la carte; Гостиничные ужины; Навынос</x:v>
      </x:c>
      <x:c r="H34" s="19" t="str">
        <x:v>Условно утверждено</x:v>
      </x:c>
    </x:row>
    <x:row r="35">
      <x:c r="A35" s="21" t="n">
        <x:v>31</x:v>
      </x:c>
      <x:c r="B35" s="19" t="str">
        <x:v>Десерты</x:v>
      </x:c>
      <x:c r="C35" s="19" t="str">
        <x:v>Мадлен</x:v>
      </x:c>
      <x:c r="D35" s="19" t="str">
        <x:v>партия 20 шт. / продажа 2 шт.</x:v>
      </x:c>
      <x:c r="E35" s="19" t="str">
        <x:v>600 г / 60 г</x:v>
      </x:c>
      <x:c r="F35" s="19" t="str">
        <x:v>Собственное производство</x:v>
      </x:c>
      <x:c r="G35" s="19" t="str">
        <x:v>À la carte; Навынос</x:v>
      </x:c>
      <x:c r="H35" s="19" t="str">
        <x:v>Условно утверждено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4" hidden="0" customWidth="1"/>
    <x:col min="3" max="3" width="48" hidden="0" customWidth="1"/>
    <x:col min="4" max="4" width="52" hidden="0" customWidth="1"/>
  </x:cols>
  <x:sheetData>
    <x:row r="1" ht="30" customHeight="1">
      <x:c r="A1" s="3" t="str">
        <x:v>Архивные неактивные рецептуры</x:v>
      </x:c>
      <x:c r="B1" s="3"/>
      <x:c r="C1" s="3"/>
      <x:c r="D1" s="3"/>
    </x:row>
    <x:row r="2" ht="34" customHeight="1">
      <x:c r="A2" s="7" t="str">
        <x:v>Архивные позиции не входят в 31 активную позицию и могут быть возвращены только отдельным решением.</x:v>
      </x:c>
      <x:c r="B2" s="7"/>
      <x:c r="C2" s="7"/>
      <x:c r="D2" s="7"/>
    </x:row>
    <x:row r="4">
      <x:c r="A4" s="13" t="str">
        <x:v>Наименование</x:v>
      </x:c>
      <x:c r="B4" s="13" t="str">
        <x:v>Последний нормативный выход</x:v>
      </x:c>
      <x:c r="C4" s="13" t="str">
        <x:v>Причина исключения</x:v>
      </x:c>
      <x:c r="D4" s="13" t="str">
        <x:v>Статус</x:v>
      </x:c>
    </x:row>
    <x:row r="5">
      <x:c r="A5" s="18" t="str">
        <x:v>Яйца Бенедикт с лососем на бриоши</x:v>
      </x:c>
      <x:c r="B5" s="18" t="str">
        <x:v>300 г</x:v>
      </x:c>
      <x:c r="C5" s="18" t="str">
        <x:v>Предварительный food cost 79,53% при тарифе 550 руб.</x:v>
      </x:c>
      <x:c r="D5" s="18" t="str">
        <x:v>Неактивная позиция; спрос, закупка и контрольные партии = 0</x:v>
      </x:c>
    </x:row>
    <x:row r="6">
      <x:c r="A6" s="19" t="str">
        <x:v>Круассан со слабосолёным лососем</x:v>
      </x:c>
      <x:c r="B6" s="19" t="str">
        <x:v>200 г</x:v>
      </x:c>
      <x:c r="C6" s="19" t="str">
        <x:v>Предварительный food cost 67,86% при тарифе 550 руб.</x:v>
      </x:c>
      <x:c r="D6" s="19" t="str">
        <x:v>Неактивная позиция; спрос, закупка и контрольные партии = 0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 ht="30" customHeight="1">
      <x:c r="A1" s="3" t="str">
        <x:v>Контроль комплектности меню</x:v>
      </x:c>
      <x:c r="B1" s="3"/>
      <x:c r="C1" s="3"/>
      <x:c r="D1" s="3"/>
      <x:c r="E1" s="3"/>
    </x:row>
    <x:row r="2" ht="34" customHeight="1">
      <x:c r="A2" s="7" t="str">
        <x:v>Автоматические проверки количества и статусов.</x:v>
      </x:c>
      <x:c r="B2" s="7"/>
      <x:c r="C2" s="7"/>
      <x:c r="D2" s="7"/>
      <x:c r="E2" s="7"/>
    </x:row>
    <x:row r="4">
      <x:c r="A4" s="13" t="str">
        <x:v>Проверка</x:v>
      </x:c>
      <x:c r="B4" s="13" t="str">
        <x:v>Факт</x:v>
      </x:c>
      <x:c r="C4" s="13" t="str">
        <x:v>Норматив</x:v>
      </x:c>
      <x:c r="D4" s="13" t="str">
        <x:v>Отклонение</x:v>
      </x:c>
      <x:c r="E4" s="13" t="str">
        <x:v>Статус</x:v>
      </x:c>
    </x:row>
    <x:row r="5">
      <x:c r="A5" s="18" t="str">
        <x:v>Число активных позиций</x:v>
      </x:c>
      <x:c r="B5" s="18" t="n">
        <x:f>COUNTA('АКТИВНОЕ_МЕНЮ'!A5:A35)</x:f>
        <x:v>31</x:v>
      </x:c>
      <x:c r="C5" s="18" t="n">
        <x:v>31</x:v>
      </x:c>
      <x:c r="D5" s="18" t="n">
        <x:f>B5-C5</x:f>
        <x:v>0</x:v>
      </x:c>
      <x:c r="E5" s="22" t="str">
        <x:f>IF(D5=0,"OK","FAIL")</x:f>
        <x:v>OK</x:v>
      </x:c>
    </x:row>
    <x:row r="6">
      <x:c r="A6" s="19" t="str">
        <x:v>Число архивных позиций</x:v>
      </x:c>
      <x:c r="B6" s="19" t="n">
        <x:f>COUNTA('АРХИВ'!A5:A6)</x:f>
        <x:v>2</x:v>
      </x:c>
      <x:c r="C6" s="19" t="n">
        <x:v>2</x:v>
      </x:c>
      <x:c r="D6" s="19" t="n">
        <x:f>B6-C6</x:f>
        <x:v>0</x:v>
      </x:c>
      <x:c r="E6" s="23" t="str">
        <x:f>IF(D6=0,"OK","FAIL")</x:f>
        <x:v>OK</x:v>
      </x:c>
    </x:row>
    <x:row r="7">
      <x:c r="A7" s="19" t="str">
        <x:v>Позиции с пустым направлением</x:v>
      </x:c>
      <x:c r="B7" s="19" t="n">
        <x:f>COUNTBLANK('АКТИВНОЕ_МЕНЮ'!G5:G35)</x:f>
        <x:v>0</x:v>
      </x:c>
      <x:c r="C7" s="19" t="n">
        <x:v>0</x:v>
      </x:c>
      <x:c r="D7" s="19" t="n">
        <x:f>B7-C7</x:f>
        <x:v>0</x:v>
      </x:c>
      <x:c r="E7" s="23" t="str">
        <x:f>IF(D7=0,"OK","FAIL")</x:f>
        <x:v>OK</x:v>
      </x:c>
    </x:row>
  </x:sheetData>
  <x:mergeCells>
    <x:mergeCell ref="A1:E1"/>
    <x:mergeCell ref="A2:E2"/>
  </x:mergeCells>
  <x:pageMargins left="0.7" right="0.7" top="0.75" bottom="0.75" header="0.3" footer="0.3"/>
</x:worksheet>
</file>