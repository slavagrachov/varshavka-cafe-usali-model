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РЕЗЮМЕ" sheetId="1" state="visible" r:id="rId1"/>
    <sheet name="01_ВВОД" sheetId="2" state="visible" r:id="rId2"/>
    <sheet name="02_КАЛЕНДАРЬ" sheetId="3" state="visible" r:id="rId3"/>
    <sheet name="03_ДОХОДЫ" sheetId="4" state="visible" r:id="rId4"/>
    <sheet name="04_СЕБЕСТОИМОСТЬ" sheetId="5" state="visible" r:id="rId5"/>
    <sheet name="05_ФОТ" sheetId="6" state="visible" r:id="rId6"/>
    <sheet name="06_OPEX_USALI" sheetId="7" state="visible" r:id="rId7"/>
    <sheet name="07_PNL_НАЛОГИ" sheetId="8" state="visible" r:id="rId8"/>
    <sheet name="08_ПРОВЕРКИ" sheetId="9" state="visible" r:id="rId9"/>
    <sheet name="09_СРАВНЕНИЕ_S03" sheetId="10" state="visible" r:id="rId10"/>
    <sheet name="10_СРАВНЕНИЕ_S02_S03" sheetId="11" state="visible" r:id="rId11"/>
  </sheets>
  <definedNames>
    <definedName name="_xlnm._FilterDatabase" localSheetId="10" hidden="1">'10_СРАВНЕНИЕ_S02_S03'!$A$19:$G$31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;[Red](#,##0);-"/>
    <numFmt numFmtId="166" formatCode="0.0%;[Red](0.0%);-"/>
    <numFmt numFmtId="167" formatCode="0.0"/>
  </numFmts>
  <fonts count="15">
    <font>
      <name val="Carlito"/>
      <sz val="11"/>
    </font>
    <font>
      <name val="Carlito"/>
      <b val="1"/>
      <color rgb="FFFFFFFF"/>
      <sz val="15"/>
    </font>
    <font>
      <name val="Carlito"/>
      <i val="1"/>
      <color rgb="FF595959"/>
      <sz val="11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color rgb="FF000000"/>
      <sz val="11"/>
    </font>
    <font>
      <name val="Carlito"/>
      <color rgb="FF008000"/>
      <sz val="11"/>
    </font>
    <font>
      <name val="Carlito"/>
      <color rgb="FFFFFFFF"/>
      <sz val="11"/>
    </font>
    <font>
      <name val="Carlito"/>
      <b val="1"/>
      <sz val="11"/>
    </font>
    <font>
      <name val="Carlito"/>
      <b val="1"/>
      <color rgb="FF008000"/>
      <sz val="11"/>
    </font>
    <font>
      <name val="Carlito"/>
      <b val="1"/>
      <color rgb="FF9C6500"/>
      <sz val="11"/>
    </font>
    <font>
      <name val="Carlito"/>
      <b val="1"/>
      <color rgb="FFFFFFFF"/>
      <sz val="16"/>
    </font>
    <font>
      <name val="Carlito"/>
      <i val="1"/>
      <sz val="11"/>
    </font>
    <font>
      <b val="1"/>
      <color rgb="00FFFFFF"/>
      <sz val="16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6B78"/>
      </patternFill>
    </fill>
  </fills>
  <borders count="3">
    <border/>
    <border/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1"/>
  </cellStyleXfs>
  <cellXfs count="2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4" borderId="0" pivotButton="0" quotePrefix="0" xfId="0"/>
    <xf numFmtId="0" fontId="5" fillId="4" borderId="1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6" borderId="0" pivotButton="0" quotePrefix="0" xfId="0"/>
    <xf numFmtId="0" fontId="4" fillId="6" borderId="1" pivotButton="0" quotePrefix="0" xfId="0"/>
    <xf numFmtId="164" fontId="4" fillId="5" borderId="0" pivotButton="0" quotePrefix="0" xfId="0"/>
    <xf numFmtId="164" fontId="4" fillId="5" borderId="1" pivotButton="0" quotePrefix="0" xfId="0"/>
    <xf numFmtId="164" fontId="4" fillId="0" borderId="0" pivotButton="0" quotePrefix="0" xfId="0"/>
    <xf numFmtId="164" fontId="4" fillId="0" borderId="1" pivotButton="0" quotePrefix="0" xfId="0"/>
    <xf numFmtId="165" fontId="4" fillId="5" borderId="0" pivotButton="0" quotePrefix="0" xfId="0"/>
    <xf numFmtId="165" fontId="4" fillId="5" borderId="1" pivotButton="0" quotePrefix="0" xfId="0"/>
    <xf numFmtId="165" fontId="5" fillId="4" borderId="0" pivotButton="0" quotePrefix="0" xfId="0"/>
    <xf numFmtId="165" fontId="5" fillId="4" borderId="1" pivotButton="0" quotePrefix="0" xfId="0"/>
    <xf numFmtId="166" fontId="4" fillId="5" borderId="0" pivotButton="0" quotePrefix="0" xfId="0"/>
    <xf numFmtId="166" fontId="4" fillId="5" borderId="1" pivotButton="0" quotePrefix="0" xfId="0"/>
    <xf numFmtId="166" fontId="4" fillId="0" borderId="0" pivotButton="0" quotePrefix="0" xfId="0"/>
    <xf numFmtId="166" fontId="4" fillId="0" borderId="1" pivotButton="0" quotePrefix="0" xfId="0"/>
    <xf numFmtId="166" fontId="4" fillId="6" borderId="0" pivotButton="0" quotePrefix="0" xfId="0"/>
    <xf numFmtId="166" fontId="4" fillId="6" borderId="1" pivotButton="0" quotePrefix="0" xfId="0"/>
    <xf numFmtId="166" fontId="5" fillId="4" borderId="0" pivotButton="0" quotePrefix="0" xfId="0"/>
    <xf numFmtId="166" fontId="5" fillId="4" borderId="1" pivotButton="0" quotePrefix="0" xfId="0"/>
    <xf numFmtId="165" fontId="4" fillId="6" borderId="0" pivotButton="0" quotePrefix="0" xfId="0"/>
    <xf numFmtId="165" fontId="4" fillId="6" borderId="1" pivotButton="0" quotePrefix="0" xfId="0"/>
    <xf numFmtId="0" fontId="0" fillId="0" borderId="0" applyAlignment="1" pivotButton="0" quotePrefix="0" xfId="0">
      <alignment wrapText="1"/>
    </xf>
    <xf numFmtId="164" fontId="4" fillId="5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5" borderId="0" applyAlignment="1" pivotButton="0" quotePrefix="0" xfId="0">
      <alignment wrapText="1"/>
    </xf>
    <xf numFmtId="165" fontId="5" fillId="4" borderId="0" applyAlignment="1" pivotButton="0" quotePrefix="0" xfId="0">
      <alignment wrapText="1"/>
    </xf>
    <xf numFmtId="166" fontId="4" fillId="5" borderId="0" applyAlignment="1" pivotButton="0" quotePrefix="0" xfId="0">
      <alignment wrapText="1"/>
    </xf>
    <xf numFmtId="166" fontId="4" fillId="0" borderId="0" applyAlignment="1" pivotButton="0" quotePrefix="0" xfId="0">
      <alignment wrapText="1"/>
    </xf>
    <xf numFmtId="166" fontId="4" fillId="6" borderId="0" applyAlignment="1" pivotButton="0" quotePrefix="0" xfId="0">
      <alignment wrapText="1"/>
    </xf>
    <xf numFmtId="166" fontId="5" fillId="4" borderId="0" applyAlignment="1" pivotButton="0" quotePrefix="0" xfId="0">
      <alignment wrapText="1"/>
    </xf>
    <xf numFmtId="165" fontId="4" fillId="6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4" fillId="5" borderId="1" applyAlignment="1" pivotButton="0" quotePrefix="0" xfId="0">
      <alignment wrapText="1"/>
    </xf>
    <xf numFmtId="164" fontId="4" fillId="0" borderId="1" applyAlignment="1" pivotButton="0" quotePrefix="0" xfId="0">
      <alignment wrapText="1"/>
    </xf>
    <xf numFmtId="165" fontId="4" fillId="5" borderId="1" applyAlignment="1" pivotButton="0" quotePrefix="0" xfId="0">
      <alignment wrapText="1"/>
    </xf>
    <xf numFmtId="165" fontId="5" fillId="4" borderId="1" applyAlignment="1" pivotButton="0" quotePrefix="0" xfId="0">
      <alignment wrapText="1"/>
    </xf>
    <xf numFmtId="166" fontId="4" fillId="5" borderId="1" applyAlignment="1" pivotButton="0" quotePrefix="0" xfId="0">
      <alignment wrapText="1"/>
    </xf>
    <xf numFmtId="166" fontId="4" fillId="0" borderId="1" applyAlignment="1" pivotButton="0" quotePrefix="0" xfId="0">
      <alignment wrapText="1"/>
    </xf>
    <xf numFmtId="166" fontId="4" fillId="6" borderId="1" applyAlignment="1" pivotButton="0" quotePrefix="0" xfId="0">
      <alignment wrapText="1"/>
    </xf>
    <xf numFmtId="166" fontId="5" fillId="4" borderId="1" applyAlignment="1" pivotButton="0" quotePrefix="0" xfId="0">
      <alignment wrapText="1"/>
    </xf>
    <xf numFmtId="165" fontId="4" fillId="6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5" fontId="0" fillId="6" borderId="0" pivotButton="0" quotePrefix="0" xfId="0"/>
    <xf numFmtId="165" fontId="0" fillId="6" borderId="1" pivotButton="0" quotePrefix="0" xfId="0"/>
    <xf numFmtId="165" fontId="0" fillId="5" borderId="0" pivotButton="0" quotePrefix="0" xfId="0"/>
    <xf numFmtId="165" fontId="0" fillId="5" borderId="1" pivotButton="0" quotePrefix="0" xfId="0"/>
    <xf numFmtId="165" fontId="6" fillId="0" borderId="0" pivotButton="0" quotePrefix="0" xfId="0"/>
    <xf numFmtId="165" fontId="6" fillId="0" borderId="1" pivotButton="0" quotePrefix="0" xfId="0"/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6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6" fillId="0" borderId="1" applyAlignment="1" pivotButton="0" quotePrefix="0" xfId="0">
      <alignment wrapText="1"/>
    </xf>
    <xf numFmtId="0" fontId="7" fillId="0" borderId="0" pivotButton="0" quotePrefix="0" xfId="0"/>
    <xf numFmtId="0" fontId="7" fillId="0" borderId="1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0" fillId="7" borderId="0" pivotButton="0" quotePrefix="0" xfId="0"/>
    <xf numFmtId="165" fontId="0" fillId="7" borderId="0" pivotButton="0" quotePrefix="0" xfId="0"/>
    <xf numFmtId="0" fontId="8" fillId="7" borderId="0" pivotButton="0" quotePrefix="0" xfId="0"/>
    <xf numFmtId="165" fontId="8" fillId="7" borderId="0" pivotButton="0" quotePrefix="0" xfId="0"/>
    <xf numFmtId="0" fontId="0" fillId="7" borderId="1" pivotButton="0" quotePrefix="0" xfId="0"/>
    <xf numFmtId="165" fontId="0" fillId="7" borderId="1" pivotButton="0" quotePrefix="0" xfId="0"/>
    <xf numFmtId="0" fontId="8" fillId="7" borderId="1" pivotButton="0" quotePrefix="0" xfId="0"/>
    <xf numFmtId="165" fontId="8" fillId="7" borderId="1" pivotButton="0" quotePrefix="0" xfId="0"/>
    <xf numFmtId="0" fontId="0" fillId="8" borderId="0" pivotButton="0" quotePrefix="0" xfId="0"/>
    <xf numFmtId="165" fontId="0" fillId="8" borderId="0" pivotButton="0" quotePrefix="0" xfId="0"/>
    <xf numFmtId="0" fontId="8" fillId="8" borderId="0" pivotButton="0" quotePrefix="0" xfId="0"/>
    <xf numFmtId="165" fontId="8" fillId="8" borderId="0" pivotButton="0" quotePrefix="0" xfId="0"/>
    <xf numFmtId="0" fontId="0" fillId="8" borderId="1" pivotButton="0" quotePrefix="0" xfId="0"/>
    <xf numFmtId="165" fontId="0" fillId="8" borderId="1" pivotButton="0" quotePrefix="0" xfId="0"/>
    <xf numFmtId="0" fontId="8" fillId="8" borderId="1" pivotButton="0" quotePrefix="0" xfId="0"/>
    <xf numFmtId="165" fontId="8" fillId="8" borderId="1" pivotButton="0" quotePrefix="0" xfId="0"/>
    <xf numFmtId="165" fontId="9" fillId="7" borderId="0" pivotButton="0" quotePrefix="0" xfId="0"/>
    <xf numFmtId="165" fontId="9" fillId="8" borderId="0" pivotButton="0" quotePrefix="0" xfId="0"/>
    <xf numFmtId="165" fontId="9" fillId="7" borderId="1" pivotButton="0" quotePrefix="0" xfId="0"/>
    <xf numFmtId="165" fontId="9" fillId="8" borderId="1" pivotButton="0" quotePrefix="0" xfId="0"/>
    <xf numFmtId="0" fontId="8" fillId="0" borderId="0" pivotButton="0" quotePrefix="0" xfId="0"/>
    <xf numFmtId="0" fontId="8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wrapText="1"/>
    </xf>
    <xf numFmtId="0" fontId="8" fillId="7" borderId="0" applyAlignment="1" pivotButton="0" quotePrefix="0" xfId="0">
      <alignment wrapText="1"/>
    </xf>
    <xf numFmtId="165" fontId="9" fillId="7" borderId="0" applyAlignment="1" pivotButton="0" quotePrefix="0" xfId="0">
      <alignment wrapText="1"/>
    </xf>
    <xf numFmtId="0" fontId="8" fillId="8" borderId="0" applyAlignment="1" pivotButton="0" quotePrefix="0" xfId="0">
      <alignment wrapText="1"/>
    </xf>
    <xf numFmtId="165" fontId="9" fillId="8" borderId="0" applyAlignment="1" pivotButton="0" quotePrefix="0" xfId="0">
      <alignment wrapText="1"/>
    </xf>
    <xf numFmtId="0" fontId="3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wrapText="1"/>
    </xf>
    <xf numFmtId="0" fontId="8" fillId="7" borderId="1" applyAlignment="1" pivotButton="0" quotePrefix="0" xfId="0">
      <alignment wrapText="1"/>
    </xf>
    <xf numFmtId="165" fontId="9" fillId="7" borderId="1" applyAlignment="1" pivotButton="0" quotePrefix="0" xfId="0">
      <alignment wrapText="1"/>
    </xf>
    <xf numFmtId="0" fontId="8" fillId="8" borderId="1" applyAlignment="1" pivotButton="0" quotePrefix="0" xfId="0">
      <alignment wrapText="1"/>
    </xf>
    <xf numFmtId="165" fontId="9" fillId="8" borderId="1" applyAlignment="1" pivotButton="0" quotePrefix="0" xfId="0">
      <alignment wrapText="1"/>
    </xf>
    <xf numFmtId="165" fontId="6" fillId="8" borderId="0" pivotButton="0" quotePrefix="0" xfId="0"/>
    <xf numFmtId="165" fontId="6" fillId="8" borderId="1" pivotButton="0" quotePrefix="0" xfId="0"/>
    <xf numFmtId="165" fontId="6" fillId="7" borderId="0" pivotButton="0" quotePrefix="0" xfId="0"/>
    <xf numFmtId="165" fontId="6" fillId="7" borderId="1" pivotButton="0" quotePrefix="0" xfId="0"/>
    <xf numFmtId="0" fontId="1" fillId="2" borderId="0" applyAlignment="1" pivotButton="0" quotePrefix="0" xfId="0">
      <alignment horizontal="left" vertical="center" wrapText="1"/>
    </xf>
    <xf numFmtId="165" fontId="8" fillId="7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165" fontId="8" fillId="7" borderId="1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6" fillId="0" borderId="0" pivotButton="0" quotePrefix="0" xfId="0"/>
    <xf numFmtId="0" fontId="6" fillId="0" borderId="1" pivotButton="0" quotePrefix="0" xfId="0"/>
    <xf numFmtId="164" fontId="6" fillId="0" borderId="0" pivotButton="0" quotePrefix="0" xfId="0"/>
    <xf numFmtId="164" fontId="6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6" fontId="6" fillId="0" borderId="0" pivotButton="0" quotePrefix="0" xfId="0"/>
    <xf numFmtId="166" fontId="6" fillId="0" borderId="1" pivotButton="0" quotePrefix="0" xfId="0"/>
    <xf numFmtId="164" fontId="6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4" fontId="6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0" fontId="0" fillId="6" borderId="0" pivotButton="0" quotePrefix="0" xfId="0"/>
    <xf numFmtId="0" fontId="10" fillId="6" borderId="0" pivotButton="0" quotePrefix="0" xfId="0"/>
    <xf numFmtId="0" fontId="10" fillId="6" borderId="0" applyAlignment="1" pivotButton="0" quotePrefix="0" xfId="0">
      <alignment wrapText="1"/>
    </xf>
    <xf numFmtId="0" fontId="0" fillId="6" borderId="1" pivotButton="0" quotePrefix="0" xfId="0"/>
    <xf numFmtId="0" fontId="10" fillId="6" borderId="1" pivotButton="0" quotePrefix="0" xfId="0"/>
    <xf numFmtId="0" fontId="10" fillId="6" borderId="1" applyAlignment="1" pivotButton="0" quotePrefix="0" xfId="0">
      <alignment wrapText="1"/>
    </xf>
    <xf numFmtId="49" fontId="6" fillId="0" borderId="0" applyAlignment="1" pivotButton="0" quotePrefix="0" xfId="0">
      <alignment wrapText="1"/>
    </xf>
    <xf numFmtId="49" fontId="6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49" fontId="5" fillId="0" borderId="0" applyAlignment="1" pivotButton="0" quotePrefix="0" xfId="0">
      <alignment wrapText="1"/>
    </xf>
    <xf numFmtId="49" fontId="5" fillId="0" borderId="1" applyAlignment="1" pivotButton="0" quotePrefix="0" xfId="0">
      <alignment wrapText="1"/>
    </xf>
    <xf numFmtId="167" fontId="6" fillId="0" borderId="0" applyAlignment="1" pivotButton="0" quotePrefix="0" xfId="0">
      <alignment wrapText="1"/>
    </xf>
    <xf numFmtId="167" fontId="6" fillId="0" borderId="1" applyAlignment="1" pivotButton="0" quotePrefix="0" xfId="0">
      <alignment wrapText="1"/>
    </xf>
    <xf numFmtId="0" fontId="0" fillId="0" borderId="0" pivotButton="0" quotePrefix="0" xfId="0"/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0" fillId="10" borderId="0" pivotButton="0" quotePrefix="0" xfId="0"/>
    <xf numFmtId="0" fontId="4" fillId="10" borderId="0" pivotButton="0" quotePrefix="0" xfId="0"/>
    <xf numFmtId="0" fontId="0" fillId="0" borderId="0" pivotButton="0" quotePrefix="0" xfId="0"/>
    <xf numFmtId="0" fontId="11" fillId="9" borderId="0" pivotButton="0" quotePrefix="0" xfId="0"/>
    <xf numFmtId="0" fontId="11" fillId="9" borderId="0" applyAlignment="1" pivotButton="0" quotePrefix="0" xfId="0">
      <alignment horizontal="center"/>
    </xf>
    <xf numFmtId="0" fontId="0" fillId="11" borderId="0" pivotButton="0" quotePrefix="0" xfId="0"/>
    <xf numFmtId="0" fontId="12" fillId="11" borderId="0" pivotButton="0" quotePrefix="0" xfId="0"/>
    <xf numFmtId="0" fontId="12" fillId="11" borderId="0" applyAlignment="1" pivotButton="0" quotePrefix="0" xfId="0">
      <alignment wrapText="1"/>
    </xf>
    <xf numFmtId="0" fontId="3" fillId="9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2" fillId="11" borderId="0" applyAlignment="1" pivotButton="0" quotePrefix="0" xfId="0">
      <alignment wrapText="1"/>
    </xf>
    <xf numFmtId="0" fontId="3" fillId="9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49" fontId="5" fillId="0" borderId="0" applyAlignment="1" pivotButton="0" quotePrefix="0" xfId="0">
      <alignment wrapText="1"/>
    </xf>
    <xf numFmtId="167" fontId="6" fillId="0" borderId="0" applyAlignment="1" pivotButton="0" quotePrefix="0" xfId="0">
      <alignment wrapText="1"/>
    </xf>
    <xf numFmtId="165" fontId="6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5" fontId="9" fillId="7" borderId="0" applyAlignment="1" pivotButton="0" quotePrefix="0" xfId="0">
      <alignment wrapText="1"/>
    </xf>
    <xf numFmtId="164" fontId="4" fillId="5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5" borderId="0" applyAlignment="1" pivotButton="0" quotePrefix="0" xfId="0">
      <alignment wrapText="1"/>
    </xf>
    <xf numFmtId="165" fontId="5" fillId="4" borderId="0" applyAlignment="1" pivotButton="0" quotePrefix="0" xfId="0">
      <alignment wrapText="1"/>
    </xf>
    <xf numFmtId="166" fontId="4" fillId="5" borderId="0" applyAlignment="1" pivotButton="0" quotePrefix="0" xfId="0">
      <alignment wrapText="1"/>
    </xf>
    <xf numFmtId="166" fontId="4" fillId="0" borderId="0" applyAlignment="1" pivotButton="0" quotePrefix="0" xfId="0">
      <alignment wrapText="1"/>
    </xf>
    <xf numFmtId="166" fontId="4" fillId="6" borderId="0" applyAlignment="1" pivotButton="0" quotePrefix="0" xfId="0">
      <alignment wrapText="1"/>
    </xf>
    <xf numFmtId="166" fontId="5" fillId="4" borderId="0" applyAlignment="1" pivotButton="0" quotePrefix="0" xfId="0">
      <alignment wrapText="1"/>
    </xf>
    <xf numFmtId="165" fontId="4" fillId="6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9" fillId="8" borderId="0" applyAlignment="1" pivotButton="0" quotePrefix="0" xfId="0">
      <alignment wrapText="1"/>
    </xf>
    <xf numFmtId="165" fontId="8" fillId="7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0" fontId="13" fillId="12" borderId="1" pivotButton="0" quotePrefix="0" xfId="0"/>
    <xf numFmtId="0" fontId="0" fillId="13" borderId="1" applyAlignment="1" pivotButton="0" quotePrefix="0" xfId="0">
      <alignment wrapText="1"/>
    </xf>
    <xf numFmtId="0" fontId="14" fillId="12" borderId="2" applyAlignment="1" pivotButton="0" quotePrefix="0" xfId="0">
      <alignment horizontal="center" wrapText="1"/>
    </xf>
    <xf numFmtId="0" fontId="0" fillId="0" borderId="2" pivotButton="0" quotePrefix="0" xfId="0"/>
    <xf numFmtId="0" fontId="14" fillId="14" borderId="2" applyAlignment="1" pivotButton="0" quotePrefix="0" xfId="0">
      <alignment horizontal="center" wrapText="1"/>
    </xf>
  </cellXfs>
  <cellStyles count="1">
    <cellStyle name="Normal" xfId="0"/>
  </cellStyles>
  <dxfs count="7">
    <dxf>
      <font>
        <b val="1"/>
        <color rgb="FF9C0006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Кафе</v>
          </tx>
          <spPr>
            <a:ln>
              <a:prstDash val="solid"/>
            </a:ln>
          </spPr>
          <cat>
            <strRef>
              <f>'00_РЕЗЮМЕ'!$B$23:$M$23</f>
              <strCache>
                <ptCount val="0"/>
              </strCache>
            </strRef>
          </cat>
          <val>
            <numRef>
              <f>'00_РЕЗЮМЕ'!$B$24:$M$24</f>
              <numCache>
                <formatCode>#,##0;[Red](#,##0);-</formatCode>
                <ptCount val="0"/>
              </numCache>
            </numRef>
          </val>
        </ser>
        <ser>
          <idx val="1"/>
          <order val="1"/>
          <tx>
            <v>Банкеты</v>
          </tx>
          <spPr>
            <a:ln>
              <a:prstDash val="solid"/>
            </a:ln>
          </spPr>
          <cat>
            <strRef>
              <f>'00_РЕЗЮМЕ'!$B$23:$M$23</f>
              <strCache>
                <ptCount val="0"/>
              </strCache>
            </strRef>
          </cat>
          <val>
            <numRef>
              <f>'00_РЕЗЮМЕ'!$B$25:$M$25</f>
              <numCache>
                <formatCode>#,##0;[Red](#,##0);-</formatCode>
                <ptCount val="0"/>
              </numCache>
            </numRef>
          </val>
        </ser>
        <ser>
          <idx val="2"/>
          <order val="2"/>
          <tx>
            <v>Проект</v>
          </tx>
          <spPr>
            <a:ln>
              <a:prstDash val="solid"/>
            </a:ln>
          </spPr>
          <cat>
            <strRef>
              <f>'00_РЕЗЮМЕ'!$B$23:$M$23</f>
              <strCache>
                <ptCount val="0"/>
              </strCache>
            </strRef>
          </cat>
          <val>
            <numRef>
              <f>'00_РЕЗЮМЕ'!$B$26:$M$26</f>
              <numCache>
                <formatCode>#,##0;[Red](#,##0);-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3</row>
      <rowOff>0</rowOff>
    </from>
    <to>
      <col>18</col>
      <colOff>0</colOff>
      <row>19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38" customWidth="1" style="174" min="1" max="1"/>
    <col width="14" customWidth="1" style="174" min="2" max="2"/>
    <col width="14" customWidth="1" style="174" min="3" max="3"/>
    <col width="14" customWidth="1" style="174" min="4" max="4"/>
    <col width="14" customWidth="1" style="174" min="5" max="5"/>
    <col width="14" customWidth="1" style="174" min="6" max="6"/>
    <col width="14" customWidth="1" style="174" min="7" max="7"/>
    <col width="14" customWidth="1" style="174" min="8" max="8"/>
    <col width="14" customWidth="1" style="174" min="9" max="9"/>
    <col width="14" customWidth="1" style="174" min="10" max="10"/>
    <col width="14" customWidth="1" style="174" min="11" max="11"/>
    <col width="14" customWidth="1" style="174" min="12" max="12"/>
    <col width="14" customWidth="1" style="174" min="13" max="13"/>
    <col width="13" customWidth="1" style="174" min="14" max="14"/>
    <col width="13" customWidth="1" style="174" min="15" max="15"/>
    <col width="13" customWidth="1" style="174" min="16" max="16"/>
    <col width="13" customWidth="1" style="174" min="17" max="17"/>
    <col width="13" customWidth="1" style="174" min="18" max="18"/>
  </cols>
  <sheetData>
    <row r="1" ht="28" customHeight="1" s="174">
      <c r="A1" s="134" t="inlineStr">
        <is>
          <t>VARSHAVKA — Сценарий S03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3" t="inlineStr">
        <is>
          <t>Банкетный день: дневная работа до 17:00; а-ля карт 20%; бизнес-ланч, доставка и самовывоз 100%; ужины гостиницы 50% от завтраков.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</row>
    <row r="4">
      <c r="A4" s="122" t="inlineStr">
        <is>
          <t>ПАСПОРТ МОДЕЛИ</t>
        </is>
      </c>
      <c r="B4" s="1" t="n"/>
      <c r="C4" s="1" t="n"/>
      <c r="D4" s="1" t="n"/>
      <c r="E4" s="1" t="n"/>
      <c r="F4" s="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</row>
    <row r="5">
      <c r="A5" s="52" t="inlineStr">
        <is>
          <t>Начало периода</t>
        </is>
      </c>
      <c r="B5" s="186" t="inlineStr">
        <is>
          <t>01.09.2026</t>
        </is>
      </c>
      <c r="C5" s="147" t="n"/>
      <c r="D5" s="147" t="inlineStr">
        <is>
          <t>Окончание периода</t>
        </is>
      </c>
      <c r="E5" s="186" t="inlineStr">
        <is>
          <t>31.08.2027</t>
        </is>
      </c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</row>
    <row r="6">
      <c r="A6" s="52" t="inlineStr">
        <is>
          <t>Площадь кафе, м²</t>
        </is>
      </c>
      <c r="B6" s="187">
        <f>'01_ВВОД'!$D$7</f>
        <v/>
      </c>
      <c r="C6" s="147" t="n"/>
      <c r="D6" s="147" t="inlineStr">
        <is>
          <t>Посадочных мест</t>
        </is>
      </c>
      <c r="E6" s="188">
        <f>'01_ВВОД'!$D$10</f>
        <v/>
      </c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</row>
    <row r="7">
      <c r="A7" s="52" t="inlineStr">
        <is>
          <t>Аренда, руб./мес.</t>
        </is>
      </c>
      <c r="B7" s="188">
        <f>'01_ВВОД'!$D$9</f>
        <v/>
      </c>
      <c r="C7" s="147" t="n"/>
      <c r="D7" s="147" t="inlineStr">
        <is>
          <t>Банкетов за год</t>
        </is>
      </c>
      <c r="E7" s="188">
        <f>'01_ВВОД'!$D$52</f>
        <v/>
      </c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</row>
    <row r="8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</row>
    <row r="9">
      <c r="A9" s="122" t="inlineStr">
        <is>
          <t>КЛЮЧЕВЫЕ РЕЗУЛЬТАТЫ</t>
        </is>
      </c>
      <c r="B9" s="1" t="n"/>
      <c r="C9" s="1" t="n"/>
      <c r="D9" s="1" t="n"/>
      <c r="E9" s="1" t="n"/>
      <c r="F9" s="1" t="n"/>
      <c r="G9" s="1" t="n"/>
      <c r="H9" s="1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>
      <c r="A10" s="18" t="inlineStr">
        <is>
          <t>Показатель</t>
        </is>
      </c>
      <c r="B10" s="18" t="inlineStr">
        <is>
          <t>За операционный год</t>
        </is>
      </c>
      <c r="C10" s="18" t="inlineStr">
        <is>
          <t>Среднее за месяц</t>
        </is>
      </c>
      <c r="D10" s="52" t="n"/>
      <c r="E10" s="18" t="inlineStr">
        <is>
          <t>Показатель</t>
        </is>
      </c>
      <c r="F10" s="18" t="inlineStr">
        <is>
          <t>Значение</t>
        </is>
      </c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>
      <c r="A11" s="52" t="inlineStr">
        <is>
          <t>Доходы кафе</t>
        </is>
      </c>
      <c r="B11" s="188">
        <f>'07_PNL_НАЛОГИ'!P6</f>
        <v/>
      </c>
      <c r="C11" s="188">
        <f>'07_PNL_НАЛОГИ'!Q6</f>
        <v/>
      </c>
      <c r="D11" s="52" t="n"/>
      <c r="E11" s="52" t="inlineStr">
        <is>
          <t>Валовая маржа кафе</t>
        </is>
      </c>
      <c r="F11" s="189">
        <f>IF('07_PNL_НАЛОГИ'!P6=0,0,'07_PNL_НАЛОГИ'!P8/'07_PNL_НАЛОГИ'!P6)</f>
        <v/>
      </c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>
      <c r="A12" s="52" t="inlineStr">
        <is>
          <t>Прибыль кафе до налога</t>
        </is>
      </c>
      <c r="B12" s="188">
        <f>'07_PNL_НАЛОГИ'!P20</f>
        <v/>
      </c>
      <c r="C12" s="188">
        <f>'07_PNL_НАЛОГИ'!Q20</f>
        <v/>
      </c>
      <c r="D12" s="52" t="n"/>
      <c r="E12" s="52" t="inlineStr">
        <is>
          <t>Маржинальность кафе</t>
        </is>
      </c>
      <c r="F12" s="189">
        <f>IF('07_PNL_НАЛОГИ'!P6=0,0,'07_PNL_НАЛОГИ'!P10/'07_PNL_НАЛОГИ'!P6)</f>
        <v/>
      </c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>
      <c r="A13" s="52" t="inlineStr">
        <is>
          <t>Чистый результат кафе</t>
        </is>
      </c>
      <c r="B13" s="188">
        <f>'07_PNL_НАЛОГИ'!P40</f>
        <v/>
      </c>
      <c r="C13" s="188">
        <f>'07_PNL_НАЛОГИ'!Q40</f>
        <v/>
      </c>
      <c r="D13" s="52" t="n"/>
      <c r="E13" s="52" t="inlineStr">
        <is>
          <t>ФОТ / доходы кафе</t>
        </is>
      </c>
      <c r="F13" s="189">
        <f>IF('07_PNL_НАЛОГИ'!P6=0,0,'07_PNL_НАЛОГИ'!P11/'07_PNL_НАЛОГИ'!P6)</f>
        <v/>
      </c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>
      <c r="A14" s="52" t="inlineStr">
        <is>
          <t>Доходы банкетов</t>
        </is>
      </c>
      <c r="B14" s="188">
        <f>'07_PNL_НАЛОГИ'!P25</f>
        <v/>
      </c>
      <c r="C14" s="188">
        <f>'07_PNL_НАЛОГИ'!Q25</f>
        <v/>
      </c>
      <c r="D14" s="52" t="n"/>
      <c r="E14" s="52" t="inlineStr">
        <is>
          <t>Чистая рентабельность кафе</t>
        </is>
      </c>
      <c r="F14" s="189">
        <f>IF('07_PNL_НАЛОГИ'!P6=0,0,'07_PNL_НАЛОГИ'!P40/'07_PNL_НАЛОГИ'!P6)</f>
        <v/>
      </c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>
      <c r="A15" s="52" t="inlineStr">
        <is>
          <t>Прибыль банкетов до налога</t>
        </is>
      </c>
      <c r="B15" s="188">
        <f>'07_PNL_НАЛОГИ'!P29</f>
        <v/>
      </c>
      <c r="C15" s="188">
        <f>'07_PNL_НАЛОГИ'!Q29</f>
        <v/>
      </c>
      <c r="D15" s="52" t="n"/>
      <c r="E15" s="52" t="inlineStr">
        <is>
          <t>Рентабельность банкетов до налога</t>
        </is>
      </c>
      <c r="F15" s="189">
        <f>IF('07_PNL_НАЛОГИ'!P25=0,0,'07_PNL_НАЛОГИ'!P29/'07_PNL_НАЛОГИ'!P25)</f>
        <v/>
      </c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>
      <c r="A16" s="52" t="inlineStr">
        <is>
          <t>Чистый результат банкетов</t>
        </is>
      </c>
      <c r="B16" s="188">
        <f>'07_PNL_НАЛОГИ'!P41</f>
        <v/>
      </c>
      <c r="C16" s="188">
        <f>'07_PNL_НАЛОГИ'!Q41</f>
        <v/>
      </c>
      <c r="D16" s="52" t="n"/>
      <c r="E16" s="52" t="inlineStr">
        <is>
          <t>Упущенные доходы кафе из-за банкетов</t>
        </is>
      </c>
      <c r="F16" s="188">
        <f>'03_ДОХОДЫ'!P30</f>
        <v/>
      </c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>
      <c r="A17" s="52" t="inlineStr">
        <is>
          <t>Совокупные доходы проекта</t>
        </is>
      </c>
      <c r="B17" s="188">
        <f>'07_PNL_НАЛОГИ'!P33</f>
        <v/>
      </c>
      <c r="C17" s="188">
        <f>'07_PNL_НАЛОГИ'!Q33</f>
        <v/>
      </c>
      <c r="D17" s="52" t="n"/>
      <c r="E17" s="52" t="inlineStr">
        <is>
          <t>Доходы кафе на 1 м²</t>
        </is>
      </c>
      <c r="F17" s="188">
        <f>IF('01_ВВОД'!$D$7=0,0,'07_PNL_НАЛОГИ'!P6/'01_ВВОД'!$D$7)</f>
        <v/>
      </c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>
      <c r="A18" s="52" t="inlineStr">
        <is>
          <t>Налог к уплате</t>
        </is>
      </c>
      <c r="B18" s="188">
        <f>'07_PNL_НАЛОГИ'!P37</f>
        <v/>
      </c>
      <c r="C18" s="188">
        <f>'07_PNL_НАЛОГИ'!Q37</f>
        <v/>
      </c>
      <c r="D18" s="52" t="n"/>
      <c r="E18" s="52" t="inlineStr">
        <is>
          <t>Гостиничных заказов за год</t>
        </is>
      </c>
      <c r="F18" s="188">
        <f>'03_ДОХОДЫ'!P22</f>
        <v/>
      </c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>
      <c r="A19" s="118" t="inlineStr">
        <is>
          <t>Чистая прибыль проекта</t>
        </is>
      </c>
      <c r="B19" s="190">
        <f>'07_PNL_НАЛОГИ'!P42</f>
        <v/>
      </c>
      <c r="C19" s="190">
        <f>'07_PNL_НАЛОГИ'!Q42</f>
        <v/>
      </c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</row>
    <row r="20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</row>
    <row r="2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</row>
    <row r="22">
      <c r="A22" s="122" t="inlineStr">
        <is>
          <t>ПОМЕСЯЧНЫЙ ЧИСТЫЙ РЕЗУЛЬТАТ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2" t="n"/>
      <c r="O22" s="52" t="n"/>
      <c r="P22" s="52" t="n"/>
      <c r="Q22" s="52" t="n"/>
      <c r="R22" s="52" t="n"/>
    </row>
    <row r="23">
      <c r="A23" s="18" t="inlineStr">
        <is>
          <t>Показатель</t>
        </is>
      </c>
      <c r="B23" s="18" t="inlineStr">
        <is>
          <t>Сен-26</t>
        </is>
      </c>
      <c r="C23" s="18" t="inlineStr">
        <is>
          <t>Окт-26</t>
        </is>
      </c>
      <c r="D23" s="18" t="inlineStr">
        <is>
          <t>Ноя-26</t>
        </is>
      </c>
      <c r="E23" s="18" t="inlineStr">
        <is>
          <t>Дек-26</t>
        </is>
      </c>
      <c r="F23" s="18" t="inlineStr">
        <is>
          <t>Янв-27</t>
        </is>
      </c>
      <c r="G23" s="18" t="inlineStr">
        <is>
          <t>Фев-27</t>
        </is>
      </c>
      <c r="H23" s="18" t="inlineStr">
        <is>
          <t>Мар-27</t>
        </is>
      </c>
      <c r="I23" s="18" t="inlineStr">
        <is>
          <t>Апр-27</t>
        </is>
      </c>
      <c r="J23" s="18" t="inlineStr">
        <is>
          <t>Май-27</t>
        </is>
      </c>
      <c r="K23" s="18" t="inlineStr">
        <is>
          <t>Июн-27</t>
        </is>
      </c>
      <c r="L23" s="18" t="inlineStr">
        <is>
          <t>Июл-27</t>
        </is>
      </c>
      <c r="M23" s="18" t="inlineStr">
        <is>
          <t>Авг-27</t>
        </is>
      </c>
      <c r="N23" s="52" t="n"/>
      <c r="O23" s="52" t="n"/>
      <c r="P23" s="52" t="n"/>
      <c r="Q23" s="52" t="n"/>
      <c r="R23" s="52" t="n"/>
    </row>
    <row r="24">
      <c r="A24" s="52" t="inlineStr">
        <is>
          <t>Кафе</t>
        </is>
      </c>
      <c r="B24" s="188">
        <f>'07_PNL_НАЛОГИ'!D40</f>
        <v/>
      </c>
      <c r="C24" s="188">
        <f>'07_PNL_НАЛОГИ'!E40</f>
        <v/>
      </c>
      <c r="D24" s="188">
        <f>'07_PNL_НАЛОГИ'!F40</f>
        <v/>
      </c>
      <c r="E24" s="188">
        <f>'07_PNL_НАЛОГИ'!G40</f>
        <v/>
      </c>
      <c r="F24" s="188">
        <f>'07_PNL_НАЛОГИ'!H40</f>
        <v/>
      </c>
      <c r="G24" s="188">
        <f>'07_PNL_НАЛОГИ'!I40</f>
        <v/>
      </c>
      <c r="H24" s="188">
        <f>'07_PNL_НАЛОГИ'!J40</f>
        <v/>
      </c>
      <c r="I24" s="188">
        <f>'07_PNL_НАЛОГИ'!K40</f>
        <v/>
      </c>
      <c r="J24" s="188">
        <f>'07_PNL_НАЛОГИ'!L40</f>
        <v/>
      </c>
      <c r="K24" s="188">
        <f>'07_PNL_НАЛОГИ'!M40</f>
        <v/>
      </c>
      <c r="L24" s="188">
        <f>'07_PNL_НАЛОГИ'!N40</f>
        <v/>
      </c>
      <c r="M24" s="188">
        <f>'07_PNL_НАЛОГИ'!O40</f>
        <v/>
      </c>
      <c r="N24" s="52" t="n"/>
      <c r="O24" s="52" t="n"/>
      <c r="P24" s="52" t="n"/>
      <c r="Q24" s="52" t="n"/>
      <c r="R24" s="52" t="n"/>
    </row>
    <row r="25">
      <c r="A25" s="52" t="inlineStr">
        <is>
          <t>Банкеты</t>
        </is>
      </c>
      <c r="B25" s="188">
        <f>'07_PNL_НАЛОГИ'!D41</f>
        <v/>
      </c>
      <c r="C25" s="188">
        <f>'07_PNL_НАЛОГИ'!E41</f>
        <v/>
      </c>
      <c r="D25" s="188">
        <f>'07_PNL_НАЛОГИ'!F41</f>
        <v/>
      </c>
      <c r="E25" s="188">
        <f>'07_PNL_НАЛОГИ'!G41</f>
        <v/>
      </c>
      <c r="F25" s="188">
        <f>'07_PNL_НАЛОГИ'!H41</f>
        <v/>
      </c>
      <c r="G25" s="188">
        <f>'07_PNL_НАЛОГИ'!I41</f>
        <v/>
      </c>
      <c r="H25" s="188">
        <f>'07_PNL_НАЛОГИ'!J41</f>
        <v/>
      </c>
      <c r="I25" s="188">
        <f>'07_PNL_НАЛОГИ'!K41</f>
        <v/>
      </c>
      <c r="J25" s="188">
        <f>'07_PNL_НАЛОГИ'!L41</f>
        <v/>
      </c>
      <c r="K25" s="188">
        <f>'07_PNL_НАЛОГИ'!M41</f>
        <v/>
      </c>
      <c r="L25" s="188">
        <f>'07_PNL_НАЛОГИ'!N41</f>
        <v/>
      </c>
      <c r="M25" s="188">
        <f>'07_PNL_НАЛОГИ'!O41</f>
        <v/>
      </c>
      <c r="N25" s="52" t="n"/>
      <c r="O25" s="52" t="n"/>
      <c r="P25" s="52" t="n"/>
      <c r="Q25" s="52" t="n"/>
      <c r="R25" s="52" t="n"/>
    </row>
    <row r="26">
      <c r="A26" s="52" t="inlineStr">
        <is>
          <t>Проект</t>
        </is>
      </c>
      <c r="B26" s="188">
        <f>'07_PNL_НАЛОГИ'!D42</f>
        <v/>
      </c>
      <c r="C26" s="188">
        <f>'07_PNL_НАЛОГИ'!E42</f>
        <v/>
      </c>
      <c r="D26" s="188">
        <f>'07_PNL_НАЛОГИ'!F42</f>
        <v/>
      </c>
      <c r="E26" s="188">
        <f>'07_PNL_НАЛОГИ'!G42</f>
        <v/>
      </c>
      <c r="F26" s="188">
        <f>'07_PNL_НАЛОГИ'!H42</f>
        <v/>
      </c>
      <c r="G26" s="188">
        <f>'07_PNL_НАЛОГИ'!I42</f>
        <v/>
      </c>
      <c r="H26" s="188">
        <f>'07_PNL_НАЛОГИ'!J42</f>
        <v/>
      </c>
      <c r="I26" s="188">
        <f>'07_PNL_НАЛОГИ'!K42</f>
        <v/>
      </c>
      <c r="J26" s="188">
        <f>'07_PNL_НАЛОГИ'!L42</f>
        <v/>
      </c>
      <c r="K26" s="188">
        <f>'07_PNL_НАЛОГИ'!M42</f>
        <v/>
      </c>
      <c r="L26" s="188">
        <f>'07_PNL_НАЛОГИ'!N42</f>
        <v/>
      </c>
      <c r="M26" s="188">
        <f>'07_PNL_НАЛОГИ'!O42</f>
        <v/>
      </c>
      <c r="N26" s="52" t="n"/>
      <c r="O26" s="52" t="n"/>
      <c r="P26" s="52" t="n"/>
      <c r="Q26" s="52" t="n"/>
      <c r="R26" s="52" t="n"/>
    </row>
    <row r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</row>
    <row r="29">
      <c r="A29" s="122" t="inlineStr">
        <is>
          <t>ВАЖНЫЕ ДОПУЩЕНИЯ</t>
        </is>
      </c>
      <c r="B29" s="1" t="n"/>
      <c r="C29" s="1" t="n"/>
      <c r="D29" s="1" t="n"/>
      <c r="E29" s="1" t="n"/>
      <c r="F29" s="1" t="n"/>
      <c r="G29" s="1" t="n"/>
      <c r="H29" s="1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</row>
    <row r="30" ht="34" customHeight="1" s="174">
      <c r="A30" s="162" t="inlineStr">
        <is>
          <t>1</t>
        </is>
      </c>
      <c r="B30" s="62" t="inlineStr">
        <is>
          <t>Праздничные переносы 2027 года в календаре требуют обновления после официального утверждения.</t>
        </is>
      </c>
      <c r="C30" s="1" t="n"/>
      <c r="D30" s="1" t="n"/>
      <c r="E30" s="1" t="n"/>
      <c r="F30" s="1" t="n"/>
      <c r="G30" s="1" t="n"/>
      <c r="H30" s="1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</row>
    <row r="31" ht="34" customHeight="1" s="174">
      <c r="A31" s="162" t="inlineStr">
        <is>
          <t>2</t>
        </is>
      </c>
      <c r="B31" s="62" t="inlineStr">
        <is>
          <t>НДС в модели установлен 0%; налоговую схему необходимо подтвердить отдельно.</t>
        </is>
      </c>
      <c r="C31" s="1" t="n"/>
      <c r="D31" s="1" t="n"/>
      <c r="E31" s="1" t="n"/>
      <c r="F31" s="1" t="n"/>
      <c r="G31" s="1" t="n"/>
      <c r="H31" s="1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</row>
    <row r="32" ht="34" customHeight="1" s="174">
      <c r="A32" s="162" t="inlineStr">
        <is>
          <t>3</t>
        </is>
      </c>
      <c r="B32" s="62" t="inlineStr">
        <is>
          <t>Оценочные расходы USALI выделены в 01_ВВОД и могут быть заменены без изменения формул.</t>
        </is>
      </c>
      <c r="C32" s="1" t="n"/>
      <c r="D32" s="1" t="n"/>
      <c r="E32" s="1" t="n"/>
      <c r="F32" s="1" t="n"/>
      <c r="G32" s="1" t="n"/>
      <c r="H32" s="1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</row>
    <row r="33" ht="34" customHeight="1" s="174">
      <c r="A33" s="162" t="inlineStr">
        <is>
          <t>4</t>
        </is>
      </c>
      <c r="B33" s="62" t="inlineStr">
        <is>
          <t>Налог УСН рассчитан консолидированно; распределение между кафе и банкетами — управленческое, по выручке.</t>
        </is>
      </c>
      <c r="C33" s="1" t="n"/>
      <c r="D33" s="1" t="n"/>
      <c r="E33" s="1" t="n"/>
      <c r="F33" s="1" t="n"/>
      <c r="G33" s="1" t="n"/>
      <c r="H33" s="1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</row>
  </sheetData>
  <mergeCells count="11">
    <mergeCell ref="B32:H32"/>
    <mergeCell ref="E9:H9"/>
    <mergeCell ref="A29:H29"/>
    <mergeCell ref="A2:R2"/>
    <mergeCell ref="A22:M22"/>
    <mergeCell ref="A9:F9"/>
    <mergeCell ref="B30:H30"/>
    <mergeCell ref="A1:R1"/>
    <mergeCell ref="A4:F4"/>
    <mergeCell ref="B33:H33"/>
    <mergeCell ref="B31:H3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8" customWidth="1" style="174" min="1" max="1"/>
    <col width="19" customWidth="1" style="174" min="2" max="2"/>
    <col width="42" customWidth="1" style="174" min="3" max="3"/>
    <col width="16" customWidth="1" style="174" min="4" max="4"/>
    <col width="16" customWidth="1" style="174" min="5" max="5"/>
    <col width="18" customWidth="1" style="174" min="6" max="6"/>
    <col width="48" customWidth="1" style="174" min="7" max="7"/>
  </cols>
  <sheetData>
    <row r="1" ht="28" customHeight="1" s="174">
      <c r="A1" s="9" t="inlineStr">
        <is>
          <t>VARSHAVKA — исходные данные операционной модели</t>
        </is>
      </c>
      <c r="B1" s="1" t="n"/>
      <c r="C1" s="1" t="n"/>
      <c r="D1" s="1" t="n"/>
      <c r="E1" s="1" t="n"/>
      <c r="F1" s="1" t="n"/>
      <c r="G1" s="1" t="n"/>
    </row>
    <row r="2">
      <c r="A2" s="13" t="inlineStr">
        <is>
          <t>Операционный год: сентябрь 2026 — август 2027. Синие ячейки — изменяемые входные данные; жёлтая/оранжевая заливка — допущения, требующие проверки.</t>
        </is>
      </c>
      <c r="B2" s="1" t="n"/>
      <c r="C2" s="1" t="n"/>
      <c r="D2" s="1" t="n"/>
      <c r="E2" s="1" t="n"/>
      <c r="F2" s="1" t="n"/>
      <c r="G2" s="1" t="n"/>
    </row>
    <row r="4">
      <c r="A4" s="18" t="inlineStr">
        <is>
          <t>Код</t>
        </is>
      </c>
      <c r="B4" s="18" t="inlineStr">
        <is>
          <t>Раздел</t>
        </is>
      </c>
      <c r="C4" s="18" t="inlineStr">
        <is>
          <t>Параметр</t>
        </is>
      </c>
      <c r="D4" s="18" t="inlineStr">
        <is>
          <t>Значение</t>
        </is>
      </c>
      <c r="E4" s="18" t="inlineStr">
        <is>
          <t>Ед.</t>
        </is>
      </c>
      <c r="F4" s="18" t="inlineStr">
        <is>
          <t>Статус</t>
        </is>
      </c>
      <c r="G4" s="18" t="inlineStr">
        <is>
          <t>Источник / комментарий</t>
        </is>
      </c>
    </row>
    <row r="5">
      <c r="A5" s="52" t="inlineStr">
        <is>
          <t>START_DATE</t>
        </is>
      </c>
      <c r="B5" s="52" t="inlineStr">
        <is>
          <t>Проект</t>
        </is>
      </c>
      <c r="C5" s="52" t="inlineStr">
        <is>
          <t>Начало операционной деятельности</t>
        </is>
      </c>
      <c r="D5" s="191" t="n">
        <v>46266</v>
      </c>
      <c r="E5" s="52" t="inlineStr">
        <is>
          <t>дата</t>
        </is>
      </c>
      <c r="F5" s="52" t="inlineStr">
        <is>
          <t>Подтверждено</t>
        </is>
      </c>
      <c r="G5" s="52" t="inlineStr">
        <is>
          <t>Пользователь</t>
        </is>
      </c>
    </row>
    <row r="6">
      <c r="A6" s="52" t="inlineStr">
        <is>
          <t>END_DATE</t>
        </is>
      </c>
      <c r="B6" s="52" t="inlineStr">
        <is>
          <t>Проект</t>
        </is>
      </c>
      <c r="C6" s="52" t="inlineStr">
        <is>
          <t>Окончание операционного года</t>
        </is>
      </c>
      <c r="D6" s="192" t="n">
        <v>46630</v>
      </c>
      <c r="E6" s="52" t="inlineStr">
        <is>
          <t>дата</t>
        </is>
      </c>
      <c r="F6" s="52" t="inlineStr">
        <is>
          <t>Расчёт</t>
        </is>
      </c>
      <c r="G6" s="52" t="inlineStr">
        <is>
          <t>12 месяцев от старта</t>
        </is>
      </c>
    </row>
    <row r="7">
      <c r="A7" s="52" t="inlineStr">
        <is>
          <t>AREA</t>
        </is>
      </c>
      <c r="B7" s="52" t="inlineStr">
        <is>
          <t>Объект</t>
        </is>
      </c>
      <c r="C7" s="52" t="inlineStr">
        <is>
          <t>Площадь помещений №19, №20, №39</t>
        </is>
      </c>
      <c r="D7" s="193" t="n">
        <v>80.90000000000001</v>
      </c>
      <c r="E7" s="52" t="inlineStr">
        <is>
          <t>м²</t>
        </is>
      </c>
      <c r="F7" s="52" t="inlineStr">
        <is>
          <t>Подтверждено</t>
        </is>
      </c>
      <c r="G7" s="52" t="inlineStr">
        <is>
          <t>Схема помещений №19, №20, №39; https://drive.google.com/drive/folders/1VLrgg-vLogvAVUFPkVmkNqlbE9rJ0BNx?usp=drive_link</t>
        </is>
      </c>
    </row>
    <row r="8">
      <c r="A8" s="52" t="inlineStr">
        <is>
          <t>RENT_RATE</t>
        </is>
      </c>
      <c r="B8" s="52" t="inlineStr">
        <is>
          <t>Объект</t>
        </is>
      </c>
      <c r="C8" s="52" t="inlineStr">
        <is>
          <t>Ставка аренды</t>
        </is>
      </c>
      <c r="D8" s="193" t="n">
        <v>1000</v>
      </c>
      <c r="E8" s="52" t="inlineStr">
        <is>
          <t>руб./м²/мес.</t>
        </is>
      </c>
      <c r="F8" s="52" t="inlineStr">
        <is>
          <t>Подтверждено</t>
        </is>
      </c>
      <c r="G8" s="52" t="inlineStr">
        <is>
          <t>Пользователь</t>
        </is>
      </c>
    </row>
    <row r="9">
      <c r="A9" s="52" t="inlineStr">
        <is>
          <t>RENT_MONTH</t>
        </is>
      </c>
      <c r="B9" s="52" t="inlineStr">
        <is>
          <t>Объект</t>
        </is>
      </c>
      <c r="C9" s="52" t="inlineStr">
        <is>
          <t>Арендный платёж в месяц</t>
        </is>
      </c>
      <c r="D9" s="194">
        <f>D7*D8</f>
        <v/>
      </c>
      <c r="E9" s="52" t="inlineStr">
        <is>
          <t>руб./мес.</t>
        </is>
      </c>
      <c r="F9" s="52" t="inlineStr">
        <is>
          <t>Расчёт</t>
        </is>
      </c>
      <c r="G9" s="52" t="inlineStr">
        <is>
          <t>Площадь × ставка</t>
        </is>
      </c>
    </row>
    <row r="10">
      <c r="A10" s="52" t="inlineStr">
        <is>
          <t>SEATS</t>
        </is>
      </c>
      <c r="B10" s="52" t="inlineStr">
        <is>
          <t>Объект</t>
        </is>
      </c>
      <c r="C10" s="52" t="inlineStr">
        <is>
          <t>Расчётное число посадочных мест</t>
        </is>
      </c>
      <c r="D10" s="193" t="n">
        <v>20</v>
      </c>
      <c r="E10" s="52" t="inlineStr">
        <is>
          <t>мест</t>
        </is>
      </c>
      <c r="F10" s="52" t="inlineStr">
        <is>
          <t>Подтверждено</t>
        </is>
      </c>
      <c r="G10" s="52" t="inlineStr">
        <is>
          <t>Пользователь</t>
        </is>
      </c>
    </row>
    <row r="11">
      <c r="A11" s="52" t="inlineStr">
        <is>
          <t>MAX_SEATS</t>
        </is>
      </c>
      <c r="B11" s="52" t="inlineStr">
        <is>
          <t>Объект</t>
        </is>
      </c>
      <c r="C11" s="52" t="inlineStr">
        <is>
          <t>Максимальное число мест</t>
        </is>
      </c>
      <c r="D11" s="193" t="n">
        <v>26</v>
      </c>
      <c r="E11" s="52" t="inlineStr">
        <is>
          <t>мест</t>
        </is>
      </c>
      <c r="F11" s="52" t="inlineStr">
        <is>
          <t>Подтверждено</t>
        </is>
      </c>
      <c r="G11" s="52" t="inlineStr">
        <is>
          <t>Пользователь</t>
        </is>
      </c>
    </row>
    <row r="12">
      <c r="A12" s="52" t="inlineStr">
        <is>
          <t>USN_RATE</t>
        </is>
      </c>
      <c r="B12" s="52" t="inlineStr">
        <is>
          <t>Налоги</t>
        </is>
      </c>
      <c r="C12" s="52" t="inlineStr">
        <is>
          <t>УСН «Доходы минус расходы»</t>
        </is>
      </c>
      <c r="D12" s="195" t="n">
        <v>0.15</v>
      </c>
      <c r="E12" s="52" t="inlineStr">
        <is>
          <t>%</t>
        </is>
      </c>
      <c r="F12" s="52" t="inlineStr">
        <is>
          <t>Подтверждено</t>
        </is>
      </c>
      <c r="G12" s="52" t="inlineStr">
        <is>
          <t>Пользователь; справочно: https://www.nalog.gov.ru/rn77/taxation/taxes/usn/</t>
        </is>
      </c>
    </row>
    <row r="13">
      <c r="A13" s="52" t="inlineStr">
        <is>
          <t>MIN_TAX_RATE</t>
        </is>
      </c>
      <c r="B13" s="52" t="inlineStr">
        <is>
          <t>Налоги</t>
        </is>
      </c>
      <c r="C13" s="52" t="inlineStr">
        <is>
          <t>Минимальный налог УСН</t>
        </is>
      </c>
      <c r="D13" s="196" t="n">
        <v>0.01</v>
      </c>
      <c r="E13" s="52" t="inlineStr">
        <is>
          <t>%</t>
        </is>
      </c>
      <c r="F13" s="52" t="inlineStr">
        <is>
          <t>Методика</t>
        </is>
      </c>
      <c r="G13" s="52" t="inlineStr">
        <is>
          <t>https://www.nalog.gov.ru/rn77/taxation/taxes/usn/</t>
        </is>
      </c>
    </row>
    <row r="14">
      <c r="A14" s="52" t="inlineStr">
        <is>
          <t>ACQ_RATE</t>
        </is>
      </c>
      <c r="B14" s="52" t="inlineStr">
        <is>
          <t>Налоги и комиссии</t>
        </is>
      </c>
      <c r="C14" s="52" t="inlineStr">
        <is>
          <t>Эквайринг</t>
        </is>
      </c>
      <c r="D14" s="195" t="n">
        <v>0.015</v>
      </c>
      <c r="E14" s="52" t="inlineStr">
        <is>
          <t>% выручки</t>
        </is>
      </c>
      <c r="F14" s="52" t="inlineStr">
        <is>
          <t>Подтверждено</t>
        </is>
      </c>
      <c r="G14" s="52" t="inlineStr">
        <is>
          <t>Пользователь</t>
        </is>
      </c>
    </row>
    <row r="15">
      <c r="A15" s="52" t="inlineStr">
        <is>
          <t>VAT_RATE</t>
        </is>
      </c>
      <c r="B15" s="52" t="inlineStr">
        <is>
          <t>Налоги</t>
        </is>
      </c>
      <c r="C15" s="52" t="inlineStr">
        <is>
          <t>НДС в модели</t>
        </is>
      </c>
      <c r="D15" s="197" t="n">
        <v>0</v>
      </c>
      <c r="E15" s="52" t="inlineStr">
        <is>
          <t>%</t>
        </is>
      </c>
      <c r="F15" s="52" t="inlineStr">
        <is>
          <t>Требует решения</t>
        </is>
      </c>
      <c r="G15" s="52" t="inlineStr">
        <is>
          <t>Пока 0%; проверить: https://www.nalog.gov.ru/rn77/taxation/taxes/nds_usn/</t>
        </is>
      </c>
    </row>
    <row r="16">
      <c r="A16" s="52" t="inlineStr">
        <is>
          <t>SPOILAGE_RATE</t>
        </is>
      </c>
      <c r="B16" s="52" t="inlineStr">
        <is>
          <t>Себестоимость</t>
        </is>
      </c>
      <c r="C16" s="52" t="inlineStr">
        <is>
          <t>Списания и порча</t>
        </is>
      </c>
      <c r="D16" s="197" t="n">
        <v>0.015</v>
      </c>
      <c r="E16" s="52" t="inlineStr">
        <is>
          <t>% food cost</t>
        </is>
      </c>
      <c r="F16" s="52" t="inlineStr">
        <is>
          <t>Допущение</t>
        </is>
      </c>
      <c r="G16" s="52" t="inlineStr">
        <is>
          <t>Рабочий резерв</t>
        </is>
      </c>
    </row>
    <row r="17">
      <c r="A17" s="52" t="inlineStr">
        <is>
          <t>INV_DIFF_RATE</t>
        </is>
      </c>
      <c r="B17" s="52" t="inlineStr">
        <is>
          <t>Себестоимость</t>
        </is>
      </c>
      <c r="C17" s="52" t="inlineStr">
        <is>
          <t>Инвентаризационные расхождения</t>
        </is>
      </c>
      <c r="D17" s="197" t="n">
        <v>0.005</v>
      </c>
      <c r="E17" s="52" t="inlineStr">
        <is>
          <t>% food cost</t>
        </is>
      </c>
      <c r="F17" s="52" t="inlineStr">
        <is>
          <t>Допущение</t>
        </is>
      </c>
      <c r="G17" s="52" t="inlineStr">
        <is>
          <t>Рабочий резерв</t>
        </is>
      </c>
    </row>
    <row r="18">
      <c r="A18" s="52" t="inlineStr">
        <is>
          <t>ALA_CHECK</t>
        </is>
      </c>
      <c r="B18" s="52" t="inlineStr">
        <is>
          <t>А-ля карт</t>
        </is>
      </c>
      <c r="C18" s="52" t="inlineStr">
        <is>
          <t>Средний чек на гостя</t>
        </is>
      </c>
      <c r="D18" s="193" t="n">
        <v>1000</v>
      </c>
      <c r="E18" s="52" t="inlineStr">
        <is>
          <t>руб./гость</t>
        </is>
      </c>
      <c r="F18" s="52" t="inlineStr">
        <is>
          <t>Подтверждено</t>
        </is>
      </c>
      <c r="G18" s="52" t="inlineStr">
        <is>
          <t>Пользователь</t>
        </is>
      </c>
    </row>
    <row r="19">
      <c r="A19" s="52" t="inlineStr">
        <is>
          <t>ALA_MON_THU</t>
        </is>
      </c>
      <c r="B19" s="52" t="inlineStr">
        <is>
          <t>А-ля карт</t>
        </is>
      </c>
      <c r="C19" s="52" t="inlineStr">
        <is>
          <t>Гостей понедельник–четверг</t>
        </is>
      </c>
      <c r="D19" s="193" t="n">
        <v>32</v>
      </c>
      <c r="E19" s="52" t="inlineStr">
        <is>
          <t>гостей/день</t>
        </is>
      </c>
      <c r="F19" s="52" t="inlineStr">
        <is>
          <t>Подтверждено</t>
        </is>
      </c>
      <c r="G19" s="52" t="inlineStr">
        <is>
          <t>Пользователь</t>
        </is>
      </c>
    </row>
    <row r="20">
      <c r="A20" s="52" t="inlineStr">
        <is>
          <t>ALA_FRI</t>
        </is>
      </c>
      <c r="B20" s="52" t="inlineStr">
        <is>
          <t>А-ля карт</t>
        </is>
      </c>
      <c r="C20" s="52" t="inlineStr">
        <is>
          <t>Гостей в пятницу</t>
        </is>
      </c>
      <c r="D20" s="193" t="n">
        <v>45</v>
      </c>
      <c r="E20" s="52" t="inlineStr">
        <is>
          <t>гостей/день</t>
        </is>
      </c>
      <c r="F20" s="52" t="inlineStr">
        <is>
          <t>Подтверждено</t>
        </is>
      </c>
      <c r="G20" s="52" t="inlineStr">
        <is>
          <t>Пользователь</t>
        </is>
      </c>
    </row>
    <row r="21">
      <c r="A21" s="52" t="inlineStr">
        <is>
          <t>ALA_SAT</t>
        </is>
      </c>
      <c r="B21" s="52" t="inlineStr">
        <is>
          <t>А-ля карт</t>
        </is>
      </c>
      <c r="C21" s="52" t="inlineStr">
        <is>
          <t>Гостей в субботу</t>
        </is>
      </c>
      <c r="D21" s="193" t="n">
        <v>80</v>
      </c>
      <c r="E21" s="52" t="inlineStr">
        <is>
          <t>гостей/день</t>
        </is>
      </c>
      <c r="F21" s="52" t="inlineStr">
        <is>
          <t>Подтверждено</t>
        </is>
      </c>
      <c r="G21" s="52" t="inlineStr">
        <is>
          <t>Пользователь</t>
        </is>
      </c>
    </row>
    <row r="22">
      <c r="A22" s="52" t="inlineStr">
        <is>
          <t>ALA_SUN</t>
        </is>
      </c>
      <c r="B22" s="52" t="inlineStr">
        <is>
          <t>А-ля карт</t>
        </is>
      </c>
      <c r="C22" s="52" t="inlineStr">
        <is>
          <t>Гостей в воскресенье</t>
        </is>
      </c>
      <c r="D22" s="193" t="n">
        <v>70</v>
      </c>
      <c r="E22" s="52" t="inlineStr">
        <is>
          <t>гостей/день</t>
        </is>
      </c>
      <c r="F22" s="52" t="inlineStr">
        <is>
          <t>Подтверждено</t>
        </is>
      </c>
      <c r="G22" s="52" t="inlineStr">
        <is>
          <t>Пользователь</t>
        </is>
      </c>
    </row>
    <row r="23">
      <c r="A23" s="52" t="inlineStr">
        <is>
          <t>ALA_HOL</t>
        </is>
      </c>
      <c r="B23" s="52" t="inlineStr">
        <is>
          <t>А-ля карт</t>
        </is>
      </c>
      <c r="C23" s="52" t="inlineStr">
        <is>
          <t>Гостей в праздничный день</t>
        </is>
      </c>
      <c r="D23" s="193" t="n">
        <v>70</v>
      </c>
      <c r="E23" s="52" t="inlineStr">
        <is>
          <t>гостей/день</t>
        </is>
      </c>
      <c r="F23" s="52" t="inlineStr">
        <is>
          <t>Подтверждено</t>
        </is>
      </c>
      <c r="G23" s="52" t="inlineStr">
        <is>
          <t>Как воскресенье</t>
        </is>
      </c>
    </row>
    <row r="24">
      <c r="A24" s="52" t="inlineStr">
        <is>
          <t>ALA_COGS</t>
        </is>
      </c>
      <c r="B24" s="52" t="inlineStr">
        <is>
          <t>А-ля карт</t>
        </is>
      </c>
      <c r="C24" s="52" t="inlineStr">
        <is>
          <t>Food cost</t>
        </is>
      </c>
      <c r="D24" s="195" t="n">
        <v>0.3</v>
      </c>
      <c r="E24" s="52" t="inlineStr">
        <is>
          <t>% выручки</t>
        </is>
      </c>
      <c r="F24" s="52" t="inlineStr">
        <is>
          <t>Подтверждено</t>
        </is>
      </c>
      <c r="G24" s="52" t="inlineStr">
        <is>
          <t>Пользователь</t>
        </is>
      </c>
    </row>
    <row r="25">
      <c r="A25" s="52" t="inlineStr">
        <is>
          <t>ALA_CASHLESS</t>
        </is>
      </c>
      <c r="B25" s="52" t="inlineStr">
        <is>
          <t>А-ля карт</t>
        </is>
      </c>
      <c r="C25" s="52" t="inlineStr">
        <is>
          <t>Доля безналичной оплаты</t>
        </is>
      </c>
      <c r="D25" s="197" t="n">
        <v>1</v>
      </c>
      <c r="E25" s="52" t="inlineStr">
        <is>
          <t>%</t>
        </is>
      </c>
      <c r="F25" s="52" t="inlineStr">
        <is>
          <t>Допущение</t>
        </is>
      </c>
      <c r="G25" s="52" t="inlineStr">
        <is>
          <t>До уточнения — 100%</t>
        </is>
      </c>
    </row>
    <row r="26">
      <c r="A26" s="52" t="inlineStr">
        <is>
          <t>LUNCH_GUESTS</t>
        </is>
      </c>
      <c r="B26" s="52" t="inlineStr">
        <is>
          <t>Бизнес-ланч</t>
        </is>
      </c>
      <c r="C26" s="52" t="inlineStr">
        <is>
          <t>Гостей в рабочий день</t>
        </is>
      </c>
      <c r="D26" s="193" t="n">
        <v>40</v>
      </c>
      <c r="E26" s="52" t="inlineStr">
        <is>
          <t>гостей/день</t>
        </is>
      </c>
      <c r="F26" s="52" t="inlineStr">
        <is>
          <t>Подтверждено</t>
        </is>
      </c>
      <c r="G26" s="52" t="inlineStr">
        <is>
          <t>Пользователь</t>
        </is>
      </c>
    </row>
    <row r="27">
      <c r="A27" s="52" t="inlineStr">
        <is>
          <t>LUNCH_DISCOUNT</t>
        </is>
      </c>
      <c r="B27" s="52" t="inlineStr">
        <is>
          <t>Бизнес-ланч</t>
        </is>
      </c>
      <c r="C27" s="52" t="inlineStr">
        <is>
          <t>Скидка к а-ля карт</t>
        </is>
      </c>
      <c r="D27" s="195" t="n">
        <v>0.25</v>
      </c>
      <c r="E27" s="52" t="inlineStr">
        <is>
          <t>%</t>
        </is>
      </c>
      <c r="F27" s="52" t="inlineStr">
        <is>
          <t>Подтверждено</t>
        </is>
      </c>
      <c r="G27" s="52" t="inlineStr">
        <is>
          <t>Пользователь, 17.07.2026; скидка 25% от среднего чека a-la carte</t>
        </is>
      </c>
    </row>
    <row r="28">
      <c r="A28" s="52" t="inlineStr">
        <is>
          <t>LUNCH_CHECK</t>
        </is>
      </c>
      <c r="B28" s="52" t="inlineStr">
        <is>
          <t>Бизнес-ланч</t>
        </is>
      </c>
      <c r="C28" s="52" t="inlineStr">
        <is>
          <t>Средний чек после скидки</t>
        </is>
      </c>
      <c r="D28" s="194">
        <f>D18*(1-D27)</f>
        <v/>
      </c>
      <c r="E28" s="52" t="inlineStr">
        <is>
          <t>руб./гость</t>
        </is>
      </c>
      <c r="F28" s="52" t="inlineStr">
        <is>
          <t>Расчёт</t>
        </is>
      </c>
      <c r="G28" s="52" t="inlineStr">
        <is>
          <t>Средний чек a-la carte × (1 − скидка) = 1 000 × 75% = 750 руб.</t>
        </is>
      </c>
    </row>
    <row r="29">
      <c r="A29" s="52" t="inlineStr">
        <is>
          <t>LUNCH_COGS</t>
        </is>
      </c>
      <c r="B29" s="52" t="inlineStr">
        <is>
          <t>Бизнес-ланч</t>
        </is>
      </c>
      <c r="C29" s="52" t="inlineStr">
        <is>
          <t>Эффективный food cost</t>
        </is>
      </c>
      <c r="D29" s="198">
        <f>D24/(1-D27)</f>
        <v/>
      </c>
      <c r="E29" s="52" t="inlineStr">
        <is>
          <t>% выручки</t>
        </is>
      </c>
      <c r="F29" s="52" t="inlineStr">
        <is>
          <t>Расчёт</t>
        </is>
      </c>
      <c r="G29" s="52" t="inlineStr">
        <is>
          <t>30% / (1 − 25%)</t>
        </is>
      </c>
    </row>
    <row r="30">
      <c r="A30" s="52" t="inlineStr">
        <is>
          <t>LUNCH_CASHLESS</t>
        </is>
      </c>
      <c r="B30" s="52" t="inlineStr">
        <is>
          <t>Бизнес-ланч</t>
        </is>
      </c>
      <c r="C30" s="52" t="inlineStr">
        <is>
          <t>Доля безналичной оплаты</t>
        </is>
      </c>
      <c r="D30" s="197" t="n">
        <v>1</v>
      </c>
      <c r="E30" s="52" t="inlineStr">
        <is>
          <t>%</t>
        </is>
      </c>
      <c r="F30" s="52" t="inlineStr">
        <is>
          <t>Допущение</t>
        </is>
      </c>
      <c r="G30" s="52" t="inlineStr">
        <is>
          <t>До уточнения — 100%</t>
        </is>
      </c>
    </row>
    <row r="31">
      <c r="A31" s="52" t="inlineStr">
        <is>
          <t>DELIV_CHECK</t>
        </is>
      </c>
      <c r="B31" s="52" t="inlineStr">
        <is>
          <t>Доставка</t>
        </is>
      </c>
      <c r="C31" s="52" t="inlineStr">
        <is>
          <t>Средний чек</t>
        </is>
      </c>
      <c r="D31" s="193" t="n">
        <v>1200</v>
      </c>
      <c r="E31" s="52" t="inlineStr">
        <is>
          <t>руб./заказ</t>
        </is>
      </c>
      <c r="F31" s="52" t="inlineStr">
        <is>
          <t>Подтверждено</t>
        </is>
      </c>
      <c r="G31" s="52" t="inlineStr">
        <is>
          <t>Пользователь</t>
        </is>
      </c>
    </row>
    <row r="32">
      <c r="A32" s="52" t="inlineStr">
        <is>
          <t>DELIV_WEEKDAY</t>
        </is>
      </c>
      <c r="B32" s="52" t="inlineStr">
        <is>
          <t>Доставка</t>
        </is>
      </c>
      <c r="C32" s="52" t="inlineStr">
        <is>
          <t>Заказов в будний день</t>
        </is>
      </c>
      <c r="D32" s="193" t="n">
        <v>15</v>
      </c>
      <c r="E32" s="52" t="inlineStr">
        <is>
          <t>заказов/день</t>
        </is>
      </c>
      <c r="F32" s="52" t="inlineStr">
        <is>
          <t>Подтверждено</t>
        </is>
      </c>
      <c r="G32" s="52" t="inlineStr">
        <is>
          <t>Пользователь</t>
        </is>
      </c>
    </row>
    <row r="33">
      <c r="A33" s="52" t="inlineStr">
        <is>
          <t>DELIV_WEEKEND</t>
        </is>
      </c>
      <c r="B33" s="52" t="inlineStr">
        <is>
          <t>Доставка</t>
        </is>
      </c>
      <c r="C33" s="52" t="inlineStr">
        <is>
          <t>Заказов в субботу/воскресенье</t>
        </is>
      </c>
      <c r="D33" s="193" t="n">
        <v>30</v>
      </c>
      <c r="E33" s="52" t="inlineStr">
        <is>
          <t>заказов/день</t>
        </is>
      </c>
      <c r="F33" s="52" t="inlineStr">
        <is>
          <t>Подтверждено</t>
        </is>
      </c>
      <c r="G33" s="52" t="inlineStr">
        <is>
          <t>Пользователь</t>
        </is>
      </c>
    </row>
    <row r="34">
      <c r="A34" s="52" t="inlineStr">
        <is>
          <t>DELIV_HOL</t>
        </is>
      </c>
      <c r="B34" s="52" t="inlineStr">
        <is>
          <t>Доставка</t>
        </is>
      </c>
      <c r="C34" s="52" t="inlineStr">
        <is>
          <t>Заказов в праздничный день</t>
        </is>
      </c>
      <c r="D34" s="199" t="n">
        <v>30</v>
      </c>
      <c r="E34" s="52" t="inlineStr">
        <is>
          <t>заказов/день</t>
        </is>
      </c>
      <c r="F34" s="52" t="inlineStr">
        <is>
          <t>Допущение</t>
        </is>
      </c>
      <c r="G34" s="52" t="inlineStr">
        <is>
          <t>Как выходной</t>
        </is>
      </c>
    </row>
    <row r="35">
      <c r="A35" s="52" t="inlineStr">
        <is>
          <t>DELIV_COGS</t>
        </is>
      </c>
      <c r="B35" s="52" t="inlineStr">
        <is>
          <t>Доставка</t>
        </is>
      </c>
      <c r="C35" s="52" t="inlineStr">
        <is>
          <t>Food cost</t>
        </is>
      </c>
      <c r="D35" s="195" t="n">
        <v>0.3</v>
      </c>
      <c r="E35" s="52" t="inlineStr">
        <is>
          <t>% выручки</t>
        </is>
      </c>
      <c r="F35" s="52" t="inlineStr">
        <is>
          <t>Подтверждено</t>
        </is>
      </c>
      <c r="G35" s="52" t="inlineStr">
        <is>
          <t>Пользователь</t>
        </is>
      </c>
    </row>
    <row r="36">
      <c r="A36" s="52" t="inlineStr">
        <is>
          <t>DELIV_COURIER</t>
        </is>
      </c>
      <c r="B36" s="52" t="inlineStr">
        <is>
          <t>Доставка</t>
        </is>
      </c>
      <c r="C36" s="52" t="inlineStr">
        <is>
          <t>Оплата доставщику</t>
        </is>
      </c>
      <c r="D36" s="193" t="n">
        <v>200</v>
      </c>
      <c r="E36" s="52" t="inlineStr">
        <is>
          <t>руб./заказ</t>
        </is>
      </c>
      <c r="F36" s="52" t="inlineStr">
        <is>
          <t>Подтверждено</t>
        </is>
      </c>
      <c r="G36" s="52" t="inlineStr">
        <is>
          <t>Пользователь</t>
        </is>
      </c>
    </row>
    <row r="37">
      <c r="A37" s="52" t="inlineStr">
        <is>
          <t>DELIV_PACK</t>
        </is>
      </c>
      <c r="B37" s="52" t="inlineStr">
        <is>
          <t>Доставка</t>
        </is>
      </c>
      <c r="C37" s="52" t="inlineStr">
        <is>
          <t>Упаковка</t>
        </is>
      </c>
      <c r="D37" s="199" t="n">
        <v>65</v>
      </c>
      <c r="E37" s="52" t="inlineStr">
        <is>
          <t>руб./заказ</t>
        </is>
      </c>
      <c r="F37" s="52" t="inlineStr">
        <is>
          <t>Допущение</t>
        </is>
      </c>
      <c r="G37" s="52" t="inlineStr">
        <is>
          <t>Середина диапазона 50–80 руб.; заменить на факт</t>
        </is>
      </c>
    </row>
    <row r="38">
      <c r="A38" s="52" t="inlineStr">
        <is>
          <t>DELIV_CASHLESS</t>
        </is>
      </c>
      <c r="B38" s="52" t="inlineStr">
        <is>
          <t>Доставка</t>
        </is>
      </c>
      <c r="C38" s="52" t="inlineStr">
        <is>
          <t>Доля безналичной оплаты</t>
        </is>
      </c>
      <c r="D38" s="197" t="n">
        <v>1</v>
      </c>
      <c r="E38" s="52" t="inlineStr">
        <is>
          <t>%</t>
        </is>
      </c>
      <c r="F38" s="52" t="inlineStr">
        <is>
          <t>Допущение</t>
        </is>
      </c>
      <c r="G38" s="52" t="inlineStr">
        <is>
          <t>До уточнения — 100%</t>
        </is>
      </c>
    </row>
    <row r="39">
      <c r="A39" s="52" t="inlineStr">
        <is>
          <t>PICK_CHECK</t>
        </is>
      </c>
      <c r="B39" s="52" t="inlineStr">
        <is>
          <t>Самовывоз</t>
        </is>
      </c>
      <c r="C39" s="52" t="inlineStr">
        <is>
          <t>Средний чек</t>
        </is>
      </c>
      <c r="D39" s="193" t="n">
        <v>400</v>
      </c>
      <c r="E39" s="52" t="inlineStr">
        <is>
          <t>руб./заказ</t>
        </is>
      </c>
      <c r="F39" s="52" t="inlineStr">
        <is>
          <t>Подтверждено</t>
        </is>
      </c>
      <c r="G39" s="52" t="inlineStr">
        <is>
          <t>Пользователь</t>
        </is>
      </c>
    </row>
    <row r="40">
      <c r="A40" s="52" t="inlineStr">
        <is>
          <t>PICK_ORDERS</t>
        </is>
      </c>
      <c r="B40" s="52" t="inlineStr">
        <is>
          <t>Самовывоз</t>
        </is>
      </c>
      <c r="C40" s="52" t="inlineStr">
        <is>
          <t>Заказов в календарный день</t>
        </is>
      </c>
      <c r="D40" s="193" t="n">
        <v>12</v>
      </c>
      <c r="E40" s="52" t="inlineStr">
        <is>
          <t>заказов/день</t>
        </is>
      </c>
      <c r="F40" s="52" t="inlineStr">
        <is>
          <t>Подтверждено</t>
        </is>
      </c>
      <c r="G40" s="52" t="inlineStr">
        <is>
          <t>Пользователь</t>
        </is>
      </c>
    </row>
    <row r="41">
      <c r="A41" s="52" t="inlineStr">
        <is>
          <t>PICK_DISCOUNT</t>
        </is>
      </c>
      <c r="B41" s="52" t="inlineStr">
        <is>
          <t>Самовывоз</t>
        </is>
      </c>
      <c r="C41" s="52" t="inlineStr">
        <is>
          <t>Скидка к а-ля карт</t>
        </is>
      </c>
      <c r="D41" s="195" t="n">
        <v>0.3</v>
      </c>
      <c r="E41" s="52" t="inlineStr">
        <is>
          <t>%</t>
        </is>
      </c>
      <c r="F41" s="52" t="inlineStr">
        <is>
          <t>Подтверждено</t>
        </is>
      </c>
      <c r="G41" s="52" t="inlineStr">
        <is>
          <t>Пользователь</t>
        </is>
      </c>
    </row>
    <row r="42">
      <c r="A42" s="52" t="inlineStr">
        <is>
          <t>PICK_COGS</t>
        </is>
      </c>
      <c r="B42" s="52" t="inlineStr">
        <is>
          <t>Самовывоз</t>
        </is>
      </c>
      <c r="C42" s="52" t="inlineStr">
        <is>
          <t>Эффективный food cost</t>
        </is>
      </c>
      <c r="D42" s="198">
        <f>D24/(1-D41)</f>
        <v/>
      </c>
      <c r="E42" s="52" t="inlineStr">
        <is>
          <t>% выручки</t>
        </is>
      </c>
      <c r="F42" s="52" t="inlineStr">
        <is>
          <t>Расчёт</t>
        </is>
      </c>
      <c r="G42" s="52" t="inlineStr">
        <is>
          <t>30% / (1 − 30%)</t>
        </is>
      </c>
    </row>
    <row r="43">
      <c r="A43" s="52" t="inlineStr">
        <is>
          <t>PICK_PACK</t>
        </is>
      </c>
      <c r="B43" s="52" t="inlineStr">
        <is>
          <t>Самовывоз</t>
        </is>
      </c>
      <c r="C43" s="52" t="inlineStr">
        <is>
          <t>Упаковка</t>
        </is>
      </c>
      <c r="D43" s="199" t="n">
        <v>40</v>
      </c>
      <c r="E43" s="52" t="inlineStr">
        <is>
          <t>руб./заказ</t>
        </is>
      </c>
      <c r="F43" s="52" t="inlineStr">
        <is>
          <t>Допущение</t>
        </is>
      </c>
      <c r="G43" s="52" t="inlineStr">
        <is>
          <t>Середина диапазона 30–50 руб.; заменить на факт</t>
        </is>
      </c>
    </row>
    <row r="44">
      <c r="A44" s="52" t="inlineStr">
        <is>
          <t>PICK_CASHLESS</t>
        </is>
      </c>
      <c r="B44" s="52" t="inlineStr">
        <is>
          <t>Самовывоз</t>
        </is>
      </c>
      <c r="C44" s="52" t="inlineStr">
        <is>
          <t>Доля безналичной оплаты</t>
        </is>
      </c>
      <c r="D44" s="197" t="n">
        <v>1</v>
      </c>
      <c r="E44" s="52" t="inlineStr">
        <is>
          <t>%</t>
        </is>
      </c>
      <c r="F44" s="52" t="inlineStr">
        <is>
          <t>Допущение</t>
        </is>
      </c>
      <c r="G44" s="52" t="inlineStr">
        <is>
          <t>До уточнения — 100%</t>
        </is>
      </c>
    </row>
    <row r="45">
      <c r="A45" s="52" t="inlineStr">
        <is>
          <t>HOTEL_CHECK</t>
        </is>
      </c>
      <c r="B45" s="52" t="inlineStr">
        <is>
          <t>Гостиничный канал</t>
        </is>
      </c>
      <c r="C45" s="52" t="inlineStr">
        <is>
          <t>Средний чек</t>
        </is>
      </c>
      <c r="D45" s="193" t="n">
        <v>550</v>
      </c>
      <c r="E45" s="52" t="inlineStr">
        <is>
          <t>руб./заказ</t>
        </is>
      </c>
      <c r="F45" s="52" t="inlineStr">
        <is>
          <t>Подтверждено</t>
        </is>
      </c>
      <c r="G45" s="52" t="inlineStr">
        <is>
          <t>Пользователь; сумма с НДС</t>
        </is>
      </c>
    </row>
    <row r="46">
      <c r="A46" s="52" t="inlineStr">
        <is>
          <t>HOTEL_ORDERS</t>
        </is>
      </c>
      <c r="B46" s="52" t="inlineStr">
        <is>
          <t>Гостиничный канал</t>
        </is>
      </c>
      <c r="C46" s="52" t="inlineStr">
        <is>
          <t>Заказов каждый календарный день</t>
        </is>
      </c>
      <c r="D46" s="193" t="n">
        <v>20</v>
      </c>
      <c r="E46" s="52" t="inlineStr">
        <is>
          <t>заказов/день</t>
        </is>
      </c>
      <c r="F46" s="52" t="inlineStr">
        <is>
          <t>Подтверждено</t>
        </is>
      </c>
      <c r="G46" s="52" t="inlineStr">
        <is>
          <t>Работает все 365 дней, включая банкеты</t>
        </is>
      </c>
    </row>
    <row r="47">
      <c r="A47" s="52" t="inlineStr">
        <is>
          <t>HOTEL_COGS</t>
        </is>
      </c>
      <c r="B47" s="52" t="inlineStr">
        <is>
          <t>Гостиничный канал</t>
        </is>
      </c>
      <c r="C47" s="52" t="inlineStr">
        <is>
          <t>Food cost</t>
        </is>
      </c>
      <c r="D47" s="195" t="n">
        <v>0.5</v>
      </c>
      <c r="E47" s="52" t="inlineStr">
        <is>
          <t>% выручки</t>
        </is>
      </c>
      <c r="F47" s="52" t="inlineStr">
        <is>
          <t>Подтверждено</t>
        </is>
      </c>
      <c r="G47" s="52" t="inlineStr">
        <is>
          <t>Пользователь</t>
        </is>
      </c>
    </row>
    <row r="48">
      <c r="A48" s="52" t="inlineStr">
        <is>
          <t>HOTEL_PACK</t>
        </is>
      </c>
      <c r="B48" s="52" t="inlineStr">
        <is>
          <t>Гостиничный канал</t>
        </is>
      </c>
      <c r="C48" s="52" t="inlineStr">
        <is>
          <t>Упаковка / расходники</t>
        </is>
      </c>
      <c r="D48" s="199" t="n">
        <v>0</v>
      </c>
      <c r="E48" s="52" t="inlineStr">
        <is>
          <t>руб./заказ</t>
        </is>
      </c>
      <c r="F48" s="52" t="inlineStr">
        <is>
          <t>Требует уточнения</t>
        </is>
      </c>
      <c r="G48" s="52" t="inlineStr">
        <is>
          <t>Пока 0</t>
        </is>
      </c>
    </row>
    <row r="49">
      <c r="A49" s="52" t="inlineStr">
        <is>
          <t>HOTEL_CASHLESS</t>
        </is>
      </c>
      <c r="B49" s="52" t="inlineStr">
        <is>
          <t>Гостиничный канал</t>
        </is>
      </c>
      <c r="C49" s="52" t="inlineStr">
        <is>
          <t>Доля безналичной оплаты</t>
        </is>
      </c>
      <c r="D49" s="197" t="n">
        <v>1</v>
      </c>
      <c r="E49" s="52" t="inlineStr">
        <is>
          <t>%</t>
        </is>
      </c>
      <c r="F49" s="52" t="inlineStr">
        <is>
          <t>Допущение</t>
        </is>
      </c>
      <c r="G49" s="52" t="inlineStr">
        <is>
          <t>До уточнения — 100%</t>
        </is>
      </c>
    </row>
    <row r="50">
      <c r="A50" s="52" t="inlineStr">
        <is>
          <t>BANQ_START</t>
        </is>
      </c>
      <c r="B50" s="52" t="inlineStr">
        <is>
          <t>Банкеты</t>
        </is>
      </c>
      <c r="C50" s="52" t="inlineStr">
        <is>
          <t>Начало банкетов</t>
        </is>
      </c>
      <c r="D50" s="191" t="n">
        <v>46327</v>
      </c>
      <c r="E50" s="52" t="inlineStr">
        <is>
          <t>дата</t>
        </is>
      </c>
      <c r="F50" s="52" t="inlineStr">
        <is>
          <t>Подтверждено</t>
        </is>
      </c>
      <c r="G50" s="52" t="inlineStr">
        <is>
          <t>Сентябрь–октябрь без банкетов</t>
        </is>
      </c>
    </row>
    <row r="51">
      <c r="A51" s="52" t="inlineStr">
        <is>
          <t>BANQ_PER_MONTH</t>
        </is>
      </c>
      <c r="B51" s="52" t="inlineStr">
        <is>
          <t>Банкеты</t>
        </is>
      </c>
      <c r="C51" s="52" t="inlineStr">
        <is>
          <t>Банкетов в месяц с ноября</t>
        </is>
      </c>
      <c r="D51" s="193" t="n">
        <v>6</v>
      </c>
      <c r="E51" s="52" t="inlineStr">
        <is>
          <t>банкетов/мес.</t>
        </is>
      </c>
      <c r="F51" s="52" t="inlineStr">
        <is>
          <t>Подтверждено</t>
        </is>
      </c>
      <c r="G51" s="52" t="inlineStr">
        <is>
          <t>60 банкетов за 10 месяцев</t>
        </is>
      </c>
    </row>
    <row r="52">
      <c r="A52" s="52" t="inlineStr">
        <is>
          <t>BANQ_TOTAL</t>
        </is>
      </c>
      <c r="B52" s="52" t="inlineStr">
        <is>
          <t>Банкеты</t>
        </is>
      </c>
      <c r="C52" s="52" t="inlineStr">
        <is>
          <t>Банкетов за операционный год</t>
        </is>
      </c>
      <c r="D52" s="193" t="n">
        <v>60</v>
      </c>
      <c r="E52" s="52" t="inlineStr">
        <is>
          <t>банкетов/год</t>
        </is>
      </c>
      <c r="F52" s="52" t="inlineStr">
        <is>
          <t>Подтверждено</t>
        </is>
      </c>
      <c r="G52" s="52" t="inlineStr">
        <is>
          <t>Пользователь</t>
        </is>
      </c>
    </row>
    <row r="53">
      <c r="A53" s="52" t="inlineStr">
        <is>
          <t>BANQ_PART</t>
        </is>
      </c>
      <c r="B53" s="52" t="inlineStr">
        <is>
          <t>Банкеты</t>
        </is>
      </c>
      <c r="C53" s="52" t="inlineStr">
        <is>
          <t>Участников на банкет</t>
        </is>
      </c>
      <c r="D53" s="193" t="n">
        <v>20</v>
      </c>
      <c r="E53" s="52" t="inlineStr">
        <is>
          <t>чел.</t>
        </is>
      </c>
      <c r="F53" s="52" t="inlineStr">
        <is>
          <t>Подтверждено</t>
        </is>
      </c>
      <c r="G53" s="52" t="inlineStr">
        <is>
          <t>Пользователь</t>
        </is>
      </c>
    </row>
    <row r="54">
      <c r="A54" s="52" t="inlineStr">
        <is>
          <t>BANQ_CHECK</t>
        </is>
      </c>
      <c r="B54" s="52" t="inlineStr">
        <is>
          <t>Банкеты</t>
        </is>
      </c>
      <c r="C54" s="52" t="inlineStr">
        <is>
          <t>Средний чек на человека</t>
        </is>
      </c>
      <c r="D54" s="193" t="n">
        <v>3000</v>
      </c>
      <c r="E54" s="52" t="inlineStr">
        <is>
          <t>руб./чел.</t>
        </is>
      </c>
      <c r="F54" s="52" t="inlineStr">
        <is>
          <t>Подтверждено</t>
        </is>
      </c>
      <c r="G54" s="52" t="inlineStr">
        <is>
          <t>Пользователь</t>
        </is>
      </c>
    </row>
    <row r="55">
      <c r="A55" s="52" t="inlineStr">
        <is>
          <t>BANQ_COGS</t>
        </is>
      </c>
      <c r="B55" s="52" t="inlineStr">
        <is>
          <t>Банкеты</t>
        </is>
      </c>
      <c r="C55" s="52" t="inlineStr">
        <is>
          <t>Food cost</t>
        </is>
      </c>
      <c r="D55" s="195" t="n">
        <v>0.4</v>
      </c>
      <c r="E55" s="52" t="inlineStr">
        <is>
          <t>% выручки</t>
        </is>
      </c>
      <c r="F55" s="52" t="inlineStr">
        <is>
          <t>Подтверждено</t>
        </is>
      </c>
      <c r="G55" s="52" t="inlineStr">
        <is>
          <t>Пользователь</t>
        </is>
      </c>
    </row>
    <row r="56">
      <c r="A56" s="52" t="inlineStr">
        <is>
          <t>BANQ_AGENT</t>
        </is>
      </c>
      <c r="B56" s="52" t="inlineStr">
        <is>
          <t>Банкеты</t>
        </is>
      </c>
      <c r="C56" s="52" t="inlineStr">
        <is>
          <t>Комиссия агента</t>
        </is>
      </c>
      <c r="D56" s="195" t="n">
        <v>0.1</v>
      </c>
      <c r="E56" s="52" t="inlineStr">
        <is>
          <t>% выручки</t>
        </is>
      </c>
      <c r="F56" s="52" t="inlineStr">
        <is>
          <t>Подтверждено</t>
        </is>
      </c>
      <c r="G56" s="52" t="inlineStr">
        <is>
          <t>Пользователь</t>
        </is>
      </c>
    </row>
    <row r="57">
      <c r="A57" s="52" t="inlineStr">
        <is>
          <t>BANQ_CASHLESS</t>
        </is>
      </c>
      <c r="B57" s="52" t="inlineStr">
        <is>
          <t>Банкеты</t>
        </is>
      </c>
      <c r="C57" s="52" t="inlineStr">
        <is>
          <t>Доля безналичной оплаты</t>
        </is>
      </c>
      <c r="D57" s="197" t="n">
        <v>1</v>
      </c>
      <c r="E57" s="52" t="inlineStr">
        <is>
          <t>%</t>
        </is>
      </c>
      <c r="F57" s="52" t="inlineStr">
        <is>
          <t>Допущение</t>
        </is>
      </c>
      <c r="G57" s="52" t="inlineStr">
        <is>
          <t>До уточнения — 100%</t>
        </is>
      </c>
    </row>
    <row r="58">
      <c r="A58" s="52" t="inlineStr">
        <is>
          <t>BANQ_FSS_SHARE</t>
        </is>
      </c>
      <c r="B58" s="52" t="inlineStr">
        <is>
          <t>Банкеты</t>
        </is>
      </c>
      <c r="C58" s="52" t="inlineStr">
        <is>
          <t>Доля пятница–воскресенье</t>
        </is>
      </c>
      <c r="D58" s="195" t="n">
        <v>0.7</v>
      </c>
      <c r="E58" s="52" t="inlineStr">
        <is>
          <t>%</t>
        </is>
      </c>
      <c r="F58" s="52" t="inlineStr">
        <is>
          <t>Подтверждено</t>
        </is>
      </c>
      <c r="G58" s="52" t="inlineStr">
        <is>
          <t>42 из 60</t>
        </is>
      </c>
    </row>
    <row r="59">
      <c r="A59" s="52" t="inlineStr">
        <is>
          <t>BANQ_WD_SHARE</t>
        </is>
      </c>
      <c r="B59" s="52" t="inlineStr">
        <is>
          <t>Банкеты</t>
        </is>
      </c>
      <c r="C59" s="52" t="inlineStr">
        <is>
          <t>Доля понедельник–четверг</t>
        </is>
      </c>
      <c r="D59" s="195" t="n">
        <v>0.3</v>
      </c>
      <c r="E59" s="52" t="inlineStr">
        <is>
          <t>%</t>
        </is>
      </c>
      <c r="F59" s="52" t="inlineStr">
        <is>
          <t>Подтверждено</t>
        </is>
      </c>
      <c r="G59" s="52" t="inlineStr">
        <is>
          <t>18 из 60</t>
        </is>
      </c>
    </row>
    <row r="60">
      <c r="A60" s="52" t="inlineStr">
        <is>
          <t>NDFL_RATE</t>
        </is>
      </c>
      <c r="B60" s="52" t="inlineStr">
        <is>
          <t>ФОТ</t>
        </is>
      </c>
      <c r="C60" s="52" t="inlineStr">
        <is>
          <t>НДФЛ</t>
        </is>
      </c>
      <c r="D60" s="195" t="n">
        <v>0.13</v>
      </c>
      <c r="E60" s="52" t="inlineStr">
        <is>
          <t>% gross</t>
        </is>
      </c>
      <c r="F60" s="52" t="inlineStr">
        <is>
          <t>Подтверждено</t>
        </is>
      </c>
      <c r="G60" s="52" t="inlineStr">
        <is>
          <t>Расчёт net → gross</t>
        </is>
      </c>
    </row>
    <row r="61">
      <c r="A61" s="52" t="inlineStr">
        <is>
          <t>INS_RATE</t>
        </is>
      </c>
      <c r="B61" s="52" t="inlineStr">
        <is>
          <t>ФОТ</t>
        </is>
      </c>
      <c r="C61" s="52" t="inlineStr">
        <is>
          <t>Страховые взносы</t>
        </is>
      </c>
      <c r="D61" s="195" t="n">
        <v>0.3</v>
      </c>
      <c r="E61" s="52" t="inlineStr">
        <is>
          <t>% gross</t>
        </is>
      </c>
      <c r="F61" s="52" t="inlineStr">
        <is>
          <t>Подтверждено</t>
        </is>
      </c>
      <c r="G61" s="52" t="inlineStr">
        <is>
          <t>Пользователь</t>
        </is>
      </c>
    </row>
    <row r="62">
      <c r="A62" s="52" t="inlineStr">
        <is>
          <t>PAYROLL_RESERVE</t>
        </is>
      </c>
      <c r="B62" s="52" t="inlineStr">
        <is>
          <t>ФОТ</t>
        </is>
      </c>
      <c r="C62" s="52" t="inlineStr">
        <is>
          <t>Резерв отпусков, болезней и замещений</t>
        </is>
      </c>
      <c r="D62" s="197" t="n">
        <v>0.05</v>
      </c>
      <c r="E62" s="52" t="inlineStr">
        <is>
          <t>% gross ФОТ</t>
        </is>
      </c>
      <c r="F62" s="52" t="inlineStr">
        <is>
          <t>Допущение</t>
        </is>
      </c>
      <c r="G62" s="52" t="inlineStr">
        <is>
          <t>Рабочий резерв USALI</t>
        </is>
      </c>
    </row>
    <row r="63">
      <c r="A63" s="52" t="inlineStr">
        <is>
          <t>CHEF_RATE</t>
        </is>
      </c>
      <c r="B63" s="52" t="inlineStr">
        <is>
          <t>ФОТ</t>
        </is>
      </c>
      <c r="C63" s="52" t="inlineStr">
        <is>
          <t>Шеф — ставка за смену</t>
        </is>
      </c>
      <c r="D63" s="193" t="n">
        <v>6000</v>
      </c>
      <c r="E63" s="52" t="inlineStr">
        <is>
          <t>руб./день</t>
        </is>
      </c>
      <c r="F63" s="52" t="inlineStr">
        <is>
          <t>Подтверждено</t>
        </is>
      </c>
      <c r="G63" s="52" t="inlineStr">
        <is>
          <t>Пользователь</t>
        </is>
      </c>
    </row>
    <row r="64">
      <c r="A64" s="52" t="inlineStr">
        <is>
          <t>CHEF_DAYS</t>
        </is>
      </c>
      <c r="B64" s="52" t="inlineStr">
        <is>
          <t>ФОТ</t>
        </is>
      </c>
      <c r="C64" s="52" t="inlineStr">
        <is>
          <t>Шеф — дней в месяц</t>
        </is>
      </c>
      <c r="D64" s="193" t="n">
        <v>22</v>
      </c>
      <c r="E64" s="52" t="inlineStr">
        <is>
          <t>дней</t>
        </is>
      </c>
      <c r="F64" s="52" t="inlineStr">
        <is>
          <t>Подтверждено</t>
        </is>
      </c>
      <c r="G64" s="52" t="inlineStr">
        <is>
          <t>Пользователь</t>
        </is>
      </c>
    </row>
    <row r="65">
      <c r="A65" s="52" t="inlineStr">
        <is>
          <t>SOUS_RATE</t>
        </is>
      </c>
      <c r="B65" s="52" t="inlineStr">
        <is>
          <t>ФОТ</t>
        </is>
      </c>
      <c r="C65" s="52" t="inlineStr">
        <is>
          <t>Су-шеф — ставка за смену</t>
        </is>
      </c>
      <c r="D65" s="193" t="n">
        <v>6000</v>
      </c>
      <c r="E65" s="52" t="inlineStr">
        <is>
          <t>руб./день</t>
        </is>
      </c>
      <c r="F65" s="52" t="inlineStr">
        <is>
          <t>Подтверждено</t>
        </is>
      </c>
      <c r="G65" s="52" t="inlineStr">
        <is>
          <t>Пользователь</t>
        </is>
      </c>
    </row>
    <row r="66">
      <c r="A66" s="52" t="inlineStr">
        <is>
          <t>SOUS_DAYS</t>
        </is>
      </c>
      <c r="B66" s="52" t="inlineStr">
        <is>
          <t>ФОТ</t>
        </is>
      </c>
      <c r="C66" s="52" t="inlineStr">
        <is>
          <t>Су-шеф — дней в месяц</t>
        </is>
      </c>
      <c r="D66" s="193" t="n">
        <v>22</v>
      </c>
      <c r="E66" s="52" t="inlineStr">
        <is>
          <t>дней</t>
        </is>
      </c>
      <c r="F66" s="52" t="inlineStr">
        <is>
          <t>Подтверждено</t>
        </is>
      </c>
      <c r="G66" s="52" t="inlineStr">
        <is>
          <t>Пользователь</t>
        </is>
      </c>
    </row>
    <row r="67">
      <c r="A67" s="52" t="inlineStr">
        <is>
          <t>COOK_RATE</t>
        </is>
      </c>
      <c r="B67" s="52" t="inlineStr">
        <is>
          <t>ФОТ</t>
        </is>
      </c>
      <c r="C67" s="52" t="inlineStr">
        <is>
          <t>Повар — ставка за смену</t>
        </is>
      </c>
      <c r="D67" s="193" t="n">
        <v>5000</v>
      </c>
      <c r="E67" s="52" t="inlineStr">
        <is>
          <t>руб./день</t>
        </is>
      </c>
      <c r="F67" s="52" t="inlineStr">
        <is>
          <t>Подтверждено</t>
        </is>
      </c>
      <c r="G67" s="52" t="inlineStr">
        <is>
          <t>Пользователь</t>
        </is>
      </c>
    </row>
    <row r="68">
      <c r="A68" s="52" t="inlineStr">
        <is>
          <t>COOK_DAYS</t>
        </is>
      </c>
      <c r="B68" s="52" t="inlineStr">
        <is>
          <t>ФОТ</t>
        </is>
      </c>
      <c r="C68" s="52" t="inlineStr">
        <is>
          <t>Повар — дней в месяц</t>
        </is>
      </c>
      <c r="D68" s="193" t="n">
        <v>22</v>
      </c>
      <c r="E68" s="52" t="inlineStr">
        <is>
          <t>дней</t>
        </is>
      </c>
      <c r="F68" s="52" t="inlineStr">
        <is>
          <t>Подтверждено</t>
        </is>
      </c>
      <c r="G68" s="52" t="inlineStr">
        <is>
          <t>Пользователь</t>
        </is>
      </c>
    </row>
    <row r="69">
      <c r="A69" s="52" t="inlineStr">
        <is>
          <t>BAR_RATE</t>
        </is>
      </c>
      <c r="B69" s="52" t="inlineStr">
        <is>
          <t>ФОТ</t>
        </is>
      </c>
      <c r="C69" s="52" t="inlineStr">
        <is>
          <t>Бармен-бариста-кассир — ставка</t>
        </is>
      </c>
      <c r="D69" s="193" t="n">
        <v>5000</v>
      </c>
      <c r="E69" s="52" t="inlineStr">
        <is>
          <t>руб./день</t>
        </is>
      </c>
      <c r="F69" s="52" t="inlineStr">
        <is>
          <t>Подтверждено</t>
        </is>
      </c>
      <c r="G69" s="52" t="inlineStr">
        <is>
          <t>Пользователь</t>
        </is>
      </c>
    </row>
    <row r="70">
      <c r="A70" s="52" t="inlineStr">
        <is>
          <t>BAR_DAYS</t>
        </is>
      </c>
      <c r="B70" s="52" t="inlineStr">
        <is>
          <t>ФОТ</t>
        </is>
      </c>
      <c r="C70" s="52" t="inlineStr">
        <is>
          <t>Бармен-бариста-кассир — дней</t>
        </is>
      </c>
      <c r="D70" s="193" t="n">
        <v>31</v>
      </c>
      <c r="E70" s="52" t="inlineStr">
        <is>
          <t>дней</t>
        </is>
      </c>
      <c r="F70" s="52" t="inlineStr">
        <is>
          <t>Подтверждено</t>
        </is>
      </c>
      <c r="G70" s="52" t="inlineStr">
        <is>
          <t>Пользователь</t>
        </is>
      </c>
    </row>
    <row r="71">
      <c r="A71" s="52" t="inlineStr">
        <is>
          <t>GM_RATE</t>
        </is>
      </c>
      <c r="B71" s="52" t="inlineStr">
        <is>
          <t>ФОТ</t>
        </is>
      </c>
      <c r="C71" s="52" t="inlineStr">
        <is>
          <t>Управляющий — ставка</t>
        </is>
      </c>
      <c r="D71" s="193" t="n">
        <v>6000</v>
      </c>
      <c r="E71" s="52" t="inlineStr">
        <is>
          <t>руб./день</t>
        </is>
      </c>
      <c r="F71" s="52" t="inlineStr">
        <is>
          <t>Подтверждено</t>
        </is>
      </c>
      <c r="G71" s="52" t="inlineStr">
        <is>
          <t>Пользователь</t>
        </is>
      </c>
    </row>
    <row r="72">
      <c r="A72" s="52" t="inlineStr">
        <is>
          <t>GM_DAYS</t>
        </is>
      </c>
      <c r="B72" s="52" t="inlineStr">
        <is>
          <t>ФОТ</t>
        </is>
      </c>
      <c r="C72" s="52" t="inlineStr">
        <is>
          <t>Управляющий — дней</t>
        </is>
      </c>
      <c r="D72" s="193" t="n">
        <v>22</v>
      </c>
      <c r="E72" s="52" t="inlineStr">
        <is>
          <t>дней</t>
        </is>
      </c>
      <c r="F72" s="52" t="inlineStr">
        <is>
          <t>Подтверждено</t>
        </is>
      </c>
      <c r="G72" s="52" t="inlineStr">
        <is>
          <t>Пользователь</t>
        </is>
      </c>
    </row>
    <row r="73">
      <c r="A73" s="52" t="inlineStr">
        <is>
          <t>MGR_RATE</t>
        </is>
      </c>
      <c r="B73" s="52" t="inlineStr">
        <is>
          <t>ФОТ</t>
        </is>
      </c>
      <c r="C73" s="52" t="inlineStr">
        <is>
          <t>Менеджер — ставка</t>
        </is>
      </c>
      <c r="D73" s="193" t="n">
        <v>6000</v>
      </c>
      <c r="E73" s="52" t="inlineStr">
        <is>
          <t>руб./день</t>
        </is>
      </c>
      <c r="F73" s="52" t="inlineStr">
        <is>
          <t>Подтверждено</t>
        </is>
      </c>
      <c r="G73" s="52" t="inlineStr">
        <is>
          <t>Пользователь</t>
        </is>
      </c>
    </row>
    <row r="74">
      <c r="A74" s="52" t="inlineStr">
        <is>
          <t>MGR_DAYS</t>
        </is>
      </c>
      <c r="B74" s="52" t="inlineStr">
        <is>
          <t>ФОТ</t>
        </is>
      </c>
      <c r="C74" s="52" t="inlineStr">
        <is>
          <t>Менеджер — дней</t>
        </is>
      </c>
      <c r="D74" s="193" t="n">
        <v>22</v>
      </c>
      <c r="E74" s="52" t="inlineStr">
        <is>
          <t>дней</t>
        </is>
      </c>
      <c r="F74" s="52" t="inlineStr">
        <is>
          <t>Подтверждено</t>
        </is>
      </c>
      <c r="G74" s="52" t="inlineStr">
        <is>
          <t>Пользователь</t>
        </is>
      </c>
    </row>
    <row r="75">
      <c r="A75" s="52" t="inlineStr">
        <is>
          <t>CLEAN_RATE</t>
        </is>
      </c>
      <c r="B75" s="52" t="inlineStr">
        <is>
          <t>ФОТ</t>
        </is>
      </c>
      <c r="C75" s="52" t="inlineStr">
        <is>
          <t>Уборщица-посудомойка — ставка</t>
        </is>
      </c>
      <c r="D75" s="193" t="n">
        <v>5000</v>
      </c>
      <c r="E75" s="52" t="inlineStr">
        <is>
          <t>руб./день</t>
        </is>
      </c>
      <c r="F75" s="52" t="inlineStr">
        <is>
          <t>Подтверждено</t>
        </is>
      </c>
      <c r="G75" s="52" t="inlineStr">
        <is>
          <t>Пользователь</t>
        </is>
      </c>
    </row>
    <row r="76">
      <c r="A76" s="52" t="inlineStr">
        <is>
          <t>CLEAN_DAYS</t>
        </is>
      </c>
      <c r="B76" s="52" t="inlineStr">
        <is>
          <t>ФОТ</t>
        </is>
      </c>
      <c r="C76" s="52" t="inlineStr">
        <is>
          <t>Уборщица-посудомойка — дней</t>
        </is>
      </c>
      <c r="D76" s="193" t="n">
        <v>31</v>
      </c>
      <c r="E76" s="52" t="inlineStr">
        <is>
          <t>дней</t>
        </is>
      </c>
      <c r="F76" s="52" t="inlineStr">
        <is>
          <t>Подтверждено</t>
        </is>
      </c>
      <c r="G76" s="52" t="inlineStr">
        <is>
          <t>Пользователь</t>
        </is>
      </c>
    </row>
    <row r="77">
      <c r="A77" s="52" t="inlineStr">
        <is>
          <t>BUY_RATE</t>
        </is>
      </c>
      <c r="B77" s="52" t="inlineStr">
        <is>
          <t>ФОТ</t>
        </is>
      </c>
      <c r="C77" s="52" t="inlineStr">
        <is>
          <t>Снабженец — ставка</t>
        </is>
      </c>
      <c r="D77" s="193" t="n">
        <v>7000</v>
      </c>
      <c r="E77" s="52" t="inlineStr">
        <is>
          <t>руб./день</t>
        </is>
      </c>
      <c r="F77" s="52" t="inlineStr">
        <is>
          <t>Подтверждено</t>
        </is>
      </c>
      <c r="G77" s="52" t="inlineStr">
        <is>
          <t>Пользователь</t>
        </is>
      </c>
    </row>
    <row r="78">
      <c r="A78" s="52" t="inlineStr">
        <is>
          <t>BUY_DAYS</t>
        </is>
      </c>
      <c r="B78" s="52" t="inlineStr">
        <is>
          <t>ФОТ</t>
        </is>
      </c>
      <c r="C78" s="52" t="inlineStr">
        <is>
          <t>Снабженец — дней</t>
        </is>
      </c>
      <c r="D78" s="193" t="n">
        <v>10</v>
      </c>
      <c r="E78" s="52" t="inlineStr">
        <is>
          <t>дней</t>
        </is>
      </c>
      <c r="F78" s="52" t="inlineStr">
        <is>
          <t>Подтверждено</t>
        </is>
      </c>
      <c r="G78" s="52" t="inlineStr">
        <is>
          <t>Пользователь</t>
        </is>
      </c>
    </row>
    <row r="79">
      <c r="A79" s="52" t="inlineStr">
        <is>
          <t>DEL_MGR_RATE</t>
        </is>
      </c>
      <c r="B79" s="52" t="inlineStr">
        <is>
          <t>ФОТ</t>
        </is>
      </c>
      <c r="C79" s="52" t="inlineStr">
        <is>
          <t>Менеджер доставки — ставка</t>
        </is>
      </c>
      <c r="D79" s="193" t="n">
        <v>5000</v>
      </c>
      <c r="E79" s="52" t="inlineStr">
        <is>
          <t>руб./день</t>
        </is>
      </c>
      <c r="F79" s="52" t="inlineStr">
        <is>
          <t>Подтверждено</t>
        </is>
      </c>
      <c r="G79" s="52" t="inlineStr">
        <is>
          <t>Пользователь</t>
        </is>
      </c>
    </row>
    <row r="80">
      <c r="A80" s="52" t="inlineStr">
        <is>
          <t>DEL_MGR_DAYS</t>
        </is>
      </c>
      <c r="B80" s="52" t="inlineStr">
        <is>
          <t>ФОТ</t>
        </is>
      </c>
      <c r="C80" s="52" t="inlineStr">
        <is>
          <t>Менеджер доставки — дней</t>
        </is>
      </c>
      <c r="D80" s="193" t="n">
        <v>31</v>
      </c>
      <c r="E80" s="52" t="inlineStr">
        <is>
          <t>дней</t>
        </is>
      </c>
      <c r="F80" s="52" t="inlineStr">
        <is>
          <t>Подтверждено</t>
        </is>
      </c>
      <c r="G80" s="52" t="inlineStr">
        <is>
          <t>Пользователь</t>
        </is>
      </c>
    </row>
    <row r="81">
      <c r="A81" s="52" t="inlineStr">
        <is>
          <t>ACC_MONTH</t>
        </is>
      </c>
      <c r="B81" s="52" t="inlineStr">
        <is>
          <t>ФОТ</t>
        </is>
      </c>
      <c r="C81" s="52" t="inlineStr">
        <is>
          <t>Бухгалтер + бухгалтер-калькулятор</t>
        </is>
      </c>
      <c r="D81" s="193" t="n">
        <v>80000</v>
      </c>
      <c r="E81" s="52" t="inlineStr">
        <is>
          <t>руб./мес.</t>
        </is>
      </c>
      <c r="F81" s="52" t="inlineStr">
        <is>
          <t>Подтверждено</t>
        </is>
      </c>
      <c r="G81" s="52" t="inlineStr">
        <is>
          <t>Самозанятые</t>
        </is>
      </c>
    </row>
    <row r="82">
      <c r="A82" s="52" t="inlineStr">
        <is>
          <t>IT_MONTH</t>
        </is>
      </c>
      <c r="B82" s="52" t="inlineStr">
        <is>
          <t>ФОТ</t>
        </is>
      </c>
      <c r="C82" s="52" t="inlineStr">
        <is>
          <t>ИТ-специалист</t>
        </is>
      </c>
      <c r="D82" s="193" t="n">
        <v>30000</v>
      </c>
      <c r="E82" s="52" t="inlineStr">
        <is>
          <t>руб./мес.</t>
        </is>
      </c>
      <c r="F82" s="52" t="inlineStr">
        <is>
          <t>Подтверждено</t>
        </is>
      </c>
      <c r="G82" s="52" t="inlineStr">
        <is>
          <t>Самозанятый</t>
        </is>
      </c>
    </row>
    <row r="83">
      <c r="A83" s="52" t="inlineStr">
        <is>
          <t>UTILITIES</t>
        </is>
      </c>
      <c r="B83" s="52" t="inlineStr">
        <is>
          <t>Utilities</t>
        </is>
      </c>
      <c r="C83" s="52" t="inlineStr">
        <is>
          <t>Коммунальные платежи</t>
        </is>
      </c>
      <c r="D83" s="193" t="n">
        <v>70000</v>
      </c>
      <c r="E83" s="52" t="inlineStr">
        <is>
          <t>руб./мес.</t>
        </is>
      </c>
      <c r="F83" s="52" t="inlineStr">
        <is>
          <t>Подтверждено</t>
        </is>
      </c>
      <c r="G83" s="52" t="inlineStr">
        <is>
          <t>Пользователь</t>
        </is>
      </c>
    </row>
    <row r="84">
      <c r="A84" s="52" t="inlineStr">
        <is>
          <t>WASTE</t>
        </is>
      </c>
      <c r="B84" s="52" t="inlineStr">
        <is>
          <t>Utilities</t>
        </is>
      </c>
      <c r="C84" s="52" t="inlineStr">
        <is>
          <t>Вывоз мусора</t>
        </is>
      </c>
      <c r="D84" s="193" t="n">
        <v>10000</v>
      </c>
      <c r="E84" s="52" t="inlineStr">
        <is>
          <t>руб./мес.</t>
        </is>
      </c>
      <c r="F84" s="52" t="inlineStr">
        <is>
          <t>Подтверждено</t>
        </is>
      </c>
      <c r="G84" s="52" t="inlineStr">
        <is>
          <t>Пользователь</t>
        </is>
      </c>
    </row>
    <row r="85">
      <c r="A85" s="52" t="inlineStr">
        <is>
          <t>INTERNET</t>
        </is>
      </c>
      <c r="B85" s="52" t="inlineStr">
        <is>
          <t>A&amp;G</t>
        </is>
      </c>
      <c r="C85" s="52" t="inlineStr">
        <is>
          <t>Интернет и связь</t>
        </is>
      </c>
      <c r="D85" s="193" t="n">
        <v>10000</v>
      </c>
      <c r="E85" s="52" t="inlineStr">
        <is>
          <t>руб./мес.</t>
        </is>
      </c>
      <c r="F85" s="52" t="inlineStr">
        <is>
          <t>Подтверждено</t>
        </is>
      </c>
      <c r="G85" s="52" t="inlineStr">
        <is>
          <t>Пользователь</t>
        </is>
      </c>
    </row>
    <row r="86">
      <c r="A86" s="52" t="inlineStr">
        <is>
          <t>MARKETING</t>
        </is>
      </c>
      <c r="B86" s="52" t="inlineStr">
        <is>
          <t>Sales &amp; Marketing</t>
        </is>
      </c>
      <c r="C86" s="52" t="inlineStr">
        <is>
          <t>Маркетинг</t>
        </is>
      </c>
      <c r="D86" s="193" t="n">
        <v>20000</v>
      </c>
      <c r="E86" s="52" t="inlineStr">
        <is>
          <t>руб./мес.</t>
        </is>
      </c>
      <c r="F86" s="52" t="inlineStr">
        <is>
          <t>Подтверждено</t>
        </is>
      </c>
      <c r="G86" s="52" t="inlineStr">
        <is>
          <t>Пользователь</t>
        </is>
      </c>
    </row>
    <row r="87">
      <c r="A87" s="52" t="inlineStr">
        <is>
          <t>HOUSEHOLD</t>
        </is>
      </c>
      <c r="B87" s="52" t="inlineStr">
        <is>
          <t>F&amp;B Departmental</t>
        </is>
      </c>
      <c r="C87" s="52" t="inlineStr">
        <is>
          <t>Хозяйственные расходы</t>
        </is>
      </c>
      <c r="D87" s="193" t="n">
        <v>50000</v>
      </c>
      <c r="E87" s="52" t="inlineStr">
        <is>
          <t>руб./мес.</t>
        </is>
      </c>
      <c r="F87" s="52" t="inlineStr">
        <is>
          <t>Подтверждено</t>
        </is>
      </c>
      <c r="G87" s="52" t="inlineStr">
        <is>
          <t>Пользователь</t>
        </is>
      </c>
    </row>
    <row r="88">
      <c r="A88" s="52" t="inlineStr">
        <is>
          <t>EQUIP_MAINT</t>
        </is>
      </c>
      <c r="B88" s="52" t="inlineStr">
        <is>
          <t>POM</t>
        </is>
      </c>
      <c r="C88" s="52" t="inlineStr">
        <is>
          <t>Обслуживание холодильного и теплового оборудования</t>
        </is>
      </c>
      <c r="D88" s="193" t="n">
        <v>0</v>
      </c>
      <c r="E88" s="52" t="inlineStr">
        <is>
          <t>руб./мес.</t>
        </is>
      </c>
      <c r="F88" s="52" t="inlineStr">
        <is>
          <t>Подтверждено</t>
        </is>
      </c>
      <c r="G88" s="52" t="inlineStr">
        <is>
          <t>Пользователь</t>
        </is>
      </c>
    </row>
    <row r="89">
      <c r="A89" s="52" t="inlineStr">
        <is>
          <t>CASH_RENT</t>
        </is>
      </c>
      <c r="B89" s="52" t="inlineStr">
        <is>
          <t>A&amp;G</t>
        </is>
      </c>
      <c r="C89" s="52" t="inlineStr">
        <is>
          <t>Аренда кассового оборудования</t>
        </is>
      </c>
      <c r="D89" s="193" t="n">
        <v>0</v>
      </c>
      <c r="E89" s="52" t="inlineStr">
        <is>
          <t>руб./мес.</t>
        </is>
      </c>
      <c r="F89" s="52" t="inlineStr">
        <is>
          <t>Подтверждено</t>
        </is>
      </c>
      <c r="G89" s="52" t="inlineStr">
        <is>
          <t>Пользователь</t>
        </is>
      </c>
    </row>
    <row r="90">
      <c r="A90" s="52" t="inlineStr">
        <is>
          <t>COFFEE_RENT</t>
        </is>
      </c>
      <c r="B90" s="52" t="inlineStr">
        <is>
          <t>F&amp;B Departmental</t>
        </is>
      </c>
      <c r="C90" s="52" t="inlineStr">
        <is>
          <t>Аренда кофемашины</t>
        </is>
      </c>
      <c r="D90" s="193" t="n">
        <v>0</v>
      </c>
      <c r="E90" s="52" t="inlineStr">
        <is>
          <t>руб./мес.</t>
        </is>
      </c>
      <c r="F90" s="52" t="inlineStr">
        <is>
          <t>Подтверждено</t>
        </is>
      </c>
      <c r="G90" s="52" t="inlineStr">
        <is>
          <t>Пользователь</t>
        </is>
      </c>
    </row>
    <row r="91">
      <c r="A91" s="52" t="inlineStr">
        <is>
          <t>SES</t>
        </is>
      </c>
      <c r="B91" s="52" t="inlineStr">
        <is>
          <t>F&amp;B Departmental</t>
        </is>
      </c>
      <c r="C91" s="52" t="inlineStr">
        <is>
          <t>СЭС / санитарные услуги</t>
        </is>
      </c>
      <c r="D91" s="193" t="n">
        <v>2000</v>
      </c>
      <c r="E91" s="52" t="inlineStr">
        <is>
          <t>руб./мес.</t>
        </is>
      </c>
      <c r="F91" s="52" t="inlineStr">
        <is>
          <t>Подтверждено</t>
        </is>
      </c>
      <c r="G91" s="52" t="inlineStr">
        <is>
          <t>Пользователь; проверить состав услуг</t>
        </is>
      </c>
    </row>
    <row r="92">
      <c r="A92" s="52" t="inlineStr">
        <is>
          <t>MUSIC</t>
        </is>
      </c>
      <c r="B92" s="52" t="inlineStr">
        <is>
          <t>F&amp;B Departmental</t>
        </is>
      </c>
      <c r="C92" s="52" t="inlineStr">
        <is>
          <t>Музыка / авторские права</t>
        </is>
      </c>
      <c r="D92" s="193" t="n">
        <v>3500</v>
      </c>
      <c r="E92" s="52" t="inlineStr">
        <is>
          <t>руб./мес.</t>
        </is>
      </c>
      <c r="F92" s="52" t="inlineStr">
        <is>
          <t>Подтверждено</t>
        </is>
      </c>
      <c r="G92" s="52" t="inlineStr">
        <is>
          <t>Пользователь</t>
        </is>
      </c>
    </row>
    <row r="93">
      <c r="A93" s="52" t="inlineStr">
        <is>
          <t>VENT</t>
        </is>
      </c>
      <c r="B93" s="52" t="inlineStr">
        <is>
          <t>POM</t>
        </is>
      </c>
      <c r="C93" s="52" t="inlineStr">
        <is>
          <t>Обслуживание приточно-вытяжной вентиляции</t>
        </is>
      </c>
      <c r="D93" s="193" t="n">
        <v>2000</v>
      </c>
      <c r="E93" s="52" t="inlineStr">
        <is>
          <t>руб./мес.</t>
        </is>
      </c>
      <c r="F93" s="52" t="inlineStr">
        <is>
          <t>Подтверждено</t>
        </is>
      </c>
      <c r="G93" s="52" t="inlineStr">
        <is>
          <t>Пользователь</t>
        </is>
      </c>
    </row>
    <row r="94">
      <c r="A94" s="52" t="inlineStr">
        <is>
          <t>SMALLWARE</t>
        </is>
      </c>
      <c r="B94" s="52" t="inlineStr">
        <is>
          <t>F&amp;B Departmental</t>
        </is>
      </c>
      <c r="C94" s="52" t="inlineStr">
        <is>
          <t>Малоценка и инвентарь</t>
        </is>
      </c>
      <c r="D94" s="193" t="n">
        <v>10000</v>
      </c>
      <c r="E94" s="52" t="inlineStr">
        <is>
          <t>руб./мес.</t>
        </is>
      </c>
      <c r="F94" s="52" t="inlineStr">
        <is>
          <t>Подтверждено</t>
        </is>
      </c>
      <c r="G94" s="52" t="inlineStr">
        <is>
          <t>Пользователь</t>
        </is>
      </c>
    </row>
    <row r="95">
      <c r="A95" s="52" t="inlineStr">
        <is>
          <t>CARPETS</t>
        </is>
      </c>
      <c r="B95" s="52" t="inlineStr">
        <is>
          <t>POM</t>
        </is>
      </c>
      <c r="C95" s="52" t="inlineStr">
        <is>
          <t>Сервис грязезащитных ковров</t>
        </is>
      </c>
      <c r="D95" s="199" t="n">
        <v>5000</v>
      </c>
      <c r="E95" s="52" t="inlineStr">
        <is>
          <t>руб./мес. окт–апр</t>
        </is>
      </c>
      <c r="F95" s="52" t="inlineStr">
        <is>
          <t>Допущение</t>
        </is>
      </c>
      <c r="G95" s="52" t="inlineStr">
        <is>
          <t>Рабочий рыночный резерв</t>
        </is>
      </c>
    </row>
    <row r="96">
      <c r="A96" s="52" t="inlineStr">
        <is>
          <t>INSURANCE</t>
        </is>
      </c>
      <c r="B96" s="52" t="inlineStr">
        <is>
          <t>Fixed Charges</t>
        </is>
      </c>
      <c r="C96" s="52" t="inlineStr">
        <is>
          <t>Страхование имущества и ответственности</t>
        </is>
      </c>
      <c r="D96" s="199" t="n">
        <v>100000</v>
      </c>
      <c r="E96" s="52" t="inlineStr">
        <is>
          <t>руб./год</t>
        </is>
      </c>
      <c r="F96" s="52" t="inlineStr">
        <is>
          <t>Допущение</t>
        </is>
      </c>
      <c r="G96" s="52" t="inlineStr">
        <is>
          <t>Договор аренды в папке требует страхование; резерв до КП: https://drive.google.com/drive/folders/1VLrgg-vLogvAVUFPkVmkNqlbE9rJ0BNx?usp=drive_link</t>
        </is>
      </c>
    </row>
    <row r="97">
      <c r="A97" s="52" t="inlineStr">
        <is>
          <t>CURRENT_REPAIR</t>
        </is>
      </c>
      <c r="B97" s="52" t="inlineStr">
        <is>
          <t>POM</t>
        </is>
      </c>
      <c r="C97" s="52" t="inlineStr">
        <is>
          <t>Текущий ремонт помещений</t>
        </is>
      </c>
      <c r="D97" s="199" t="n">
        <v>20000</v>
      </c>
      <c r="E97" s="52" t="inlineStr">
        <is>
          <t>руб./мес.</t>
        </is>
      </c>
      <c r="F97" s="52" t="inlineStr">
        <is>
          <t>Допущение</t>
        </is>
      </c>
      <c r="G97" s="52" t="inlineStr">
        <is>
          <t>Требование договора / резерв</t>
        </is>
      </c>
    </row>
    <row r="98">
      <c r="A98" s="52" t="inlineStr">
        <is>
          <t>EMERG_REPAIR</t>
        </is>
      </c>
      <c r="B98" s="52" t="inlineStr">
        <is>
          <t>POM</t>
        </is>
      </c>
      <c r="C98" s="52" t="inlineStr">
        <is>
          <t>Аварийный ремонт оборудования</t>
        </is>
      </c>
      <c r="D98" s="199" t="n">
        <v>20000</v>
      </c>
      <c r="E98" s="52" t="inlineStr">
        <is>
          <t>руб./мес.</t>
        </is>
      </c>
      <c r="F98" s="52" t="inlineStr">
        <is>
          <t>Допущение</t>
        </is>
      </c>
      <c r="G98" s="52" t="inlineStr">
        <is>
          <t>Рабочий резерв</t>
        </is>
      </c>
    </row>
    <row r="99">
      <c r="A99" s="52" t="inlineStr">
        <is>
          <t>PEST</t>
        </is>
      </c>
      <c r="B99" s="52" t="inlineStr">
        <is>
          <t>F&amp;B Departmental</t>
        </is>
      </c>
      <c r="C99" s="52" t="inlineStr">
        <is>
          <t>Дезинсекция и дератизация</t>
        </is>
      </c>
      <c r="D99" s="199" t="n">
        <v>5000</v>
      </c>
      <c r="E99" s="52" t="inlineStr">
        <is>
          <t>руб./мес.</t>
        </is>
      </c>
      <c r="F99" s="52" t="inlineStr">
        <is>
          <t>Допущение</t>
        </is>
      </c>
      <c r="G99" s="52" t="inlineStr">
        <is>
          <t>Проверить, не входит ли в СЭС</t>
        </is>
      </c>
    </row>
    <row r="100">
      <c r="A100" s="52" t="inlineStr">
        <is>
          <t>GEN_CLEAN</t>
        </is>
      </c>
      <c r="B100" s="52" t="inlineStr">
        <is>
          <t>F&amp;B Departmental</t>
        </is>
      </c>
      <c r="C100" s="52" t="inlineStr">
        <is>
          <t>Генеральная уборка</t>
        </is>
      </c>
      <c r="D100" s="199" t="n">
        <v>15000</v>
      </c>
      <c r="E100" s="52" t="inlineStr">
        <is>
          <t>руб./мес.</t>
        </is>
      </c>
      <c r="F100" s="52" t="inlineStr">
        <is>
          <t>Допущение</t>
        </is>
      </c>
      <c r="G100" s="52" t="inlineStr">
        <is>
          <t>Рабочий резерв</t>
        </is>
      </c>
    </row>
    <row r="101">
      <c r="A101" s="52" t="inlineStr">
        <is>
          <t>GREASE</t>
        </is>
      </c>
      <c r="B101" s="52" t="inlineStr">
        <is>
          <t>F&amp;B Departmental</t>
        </is>
      </c>
      <c r="C101" s="52" t="inlineStr">
        <is>
          <t>Жироуловитель / канализация</t>
        </is>
      </c>
      <c r="D101" s="199" t="n">
        <v>0</v>
      </c>
      <c r="E101" s="52" t="inlineStr">
        <is>
          <t>руб./мес.</t>
        </is>
      </c>
      <c r="F101" s="52" t="inlineStr">
        <is>
          <t>Допущение</t>
        </is>
      </c>
      <c r="G101" s="52" t="inlineStr">
        <is>
          <t>Рабочий резерв</t>
        </is>
      </c>
    </row>
    <row r="102">
      <c r="A102" s="52" t="inlineStr">
        <is>
          <t>LAUNDRY</t>
        </is>
      </c>
      <c r="B102" s="52" t="inlineStr">
        <is>
          <t>F&amp;B Departmental</t>
        </is>
      </c>
      <c r="C102" s="52" t="inlineStr">
        <is>
          <t>Стирка текстиля / униформы</t>
        </is>
      </c>
      <c r="D102" s="199" t="n">
        <v>0</v>
      </c>
      <c r="E102" s="52" t="inlineStr">
        <is>
          <t>руб./мес.</t>
        </is>
      </c>
      <c r="F102" s="52" t="inlineStr">
        <is>
          <t>Допущение</t>
        </is>
      </c>
      <c r="G102" s="52" t="inlineStr">
        <is>
          <t>Рабочий резерв</t>
        </is>
      </c>
    </row>
    <row r="103">
      <c r="A103" s="52" t="inlineStr">
        <is>
          <t>FIRE_ALARM</t>
        </is>
      </c>
      <c r="B103" s="52" t="inlineStr">
        <is>
          <t>POM</t>
        </is>
      </c>
      <c r="C103" s="52" t="inlineStr">
        <is>
          <t>Обслуживание пожарной сигнализации</t>
        </is>
      </c>
      <c r="D103" s="199" t="n">
        <v>5000</v>
      </c>
      <c r="E103" s="52" t="inlineStr">
        <is>
          <t>руб./мес.</t>
        </is>
      </c>
      <c r="F103" s="52" t="inlineStr">
        <is>
          <t>Допущение</t>
        </is>
      </c>
      <c r="G103" s="52" t="inlineStr">
        <is>
          <t>Рабочий резерв</t>
        </is>
      </c>
    </row>
    <row r="104">
      <c r="A104" s="52" t="inlineStr">
        <is>
          <t>POS</t>
        </is>
      </c>
      <c r="B104" s="52" t="inlineStr">
        <is>
          <t>A&amp;G</t>
        </is>
      </c>
      <c r="C104" s="52" t="inlineStr">
        <is>
          <t>POS / учётная система</t>
        </is>
      </c>
      <c r="D104" s="199" t="n">
        <v>20000</v>
      </c>
      <c r="E104" s="52" t="inlineStr">
        <is>
          <t>руб./мес.</t>
        </is>
      </c>
      <c r="F104" s="52" t="inlineStr">
        <is>
          <t>Допущение</t>
        </is>
      </c>
      <c r="G104" s="52" t="inlineStr">
        <is>
          <t>iiko/r_keeper — уточнить</t>
        </is>
      </c>
    </row>
    <row r="105">
      <c r="A105" s="52" t="inlineStr">
        <is>
          <t>SECURITY</t>
        </is>
      </c>
      <c r="B105" s="52" t="inlineStr">
        <is>
          <t>POM</t>
        </is>
      </c>
      <c r="C105" s="52" t="inlineStr">
        <is>
          <t>Охрана / тревожная кнопка</t>
        </is>
      </c>
      <c r="D105" s="199" t="n">
        <v>6000</v>
      </c>
      <c r="E105" s="52" t="inlineStr">
        <is>
          <t>руб./мес.</t>
        </is>
      </c>
      <c r="F105" s="52" t="inlineStr">
        <is>
          <t>Допущение</t>
        </is>
      </c>
      <c r="G105" s="52" t="inlineStr">
        <is>
          <t>Рабочий резерв</t>
        </is>
      </c>
    </row>
    <row r="106">
      <c r="A106" s="52" t="inlineStr">
        <is>
          <t>BANK_FEES</t>
        </is>
      </c>
      <c r="B106" s="52" t="inlineStr">
        <is>
          <t>A&amp;G</t>
        </is>
      </c>
      <c r="C106" s="52" t="inlineStr">
        <is>
          <t>Банковские комиссии и РКО</t>
        </is>
      </c>
      <c r="D106" s="199" t="n">
        <v>8000</v>
      </c>
      <c r="E106" s="52" t="inlineStr">
        <is>
          <t>руб./мес.</t>
        </is>
      </c>
      <c r="F106" s="52" t="inlineStr">
        <is>
          <t>Допущение</t>
        </is>
      </c>
      <c r="G106" s="52" t="inlineStr">
        <is>
          <t>Кроме эквайринга</t>
        </is>
      </c>
    </row>
    <row r="107">
      <c r="A107" s="52" t="inlineStr">
        <is>
          <t>LEGAL</t>
        </is>
      </c>
      <c r="B107" s="52" t="inlineStr">
        <is>
          <t>A&amp;G</t>
        </is>
      </c>
      <c r="C107" s="52" t="inlineStr">
        <is>
          <t>Юридическое сопровождение</t>
        </is>
      </c>
      <c r="D107" s="199" t="n">
        <v>0</v>
      </c>
      <c r="E107" s="52" t="inlineStr">
        <is>
          <t>руб./мес.</t>
        </is>
      </c>
      <c r="F107" s="52" t="inlineStr">
        <is>
          <t>Допущение</t>
        </is>
      </c>
      <c r="G107" s="52" t="inlineStr">
        <is>
          <t>Рабочий резерв</t>
        </is>
      </c>
    </row>
    <row r="108">
      <c r="A108" s="52" t="inlineStr">
        <is>
          <t>CLOUD</t>
        </is>
      </c>
      <c r="B108" s="52" t="inlineStr">
        <is>
          <t>A&amp;G</t>
        </is>
      </c>
      <c r="C108" s="52" t="inlineStr">
        <is>
          <t>Резервный интернет / облачные сервисы</t>
        </is>
      </c>
      <c r="D108" s="199" t="n">
        <v>4000</v>
      </c>
      <c r="E108" s="52" t="inlineStr">
        <is>
          <t>руб./мес.</t>
        </is>
      </c>
      <c r="F108" s="52" t="inlineStr">
        <is>
          <t>Допущение</t>
        </is>
      </c>
      <c r="G108" s="52" t="inlineStr">
        <is>
          <t>Рабочий резерв</t>
        </is>
      </c>
    </row>
    <row r="109">
      <c r="A109" s="52" t="inlineStr">
        <is>
          <t>DUCT_CLEAN</t>
        </is>
      </c>
      <c r="B109" s="52" t="inlineStr">
        <is>
          <t>POM</t>
        </is>
      </c>
      <c r="C109" s="52" t="inlineStr">
        <is>
          <t>Глубокая очистка вытяжки и воздуховодов</t>
        </is>
      </c>
      <c r="D109" s="199" t="n">
        <v>120000</v>
      </c>
      <c r="E109" s="52" t="inlineStr">
        <is>
          <t>руб./год</t>
        </is>
      </c>
      <c r="F109" s="52" t="inlineStr">
        <is>
          <t>Допущение</t>
        </is>
      </c>
      <c r="G109" s="52" t="inlineStr">
        <is>
          <t>Начисляется равномерно</t>
        </is>
      </c>
    </row>
    <row r="110">
      <c r="A110" s="52" t="inlineStr">
        <is>
          <t>ELECTRO</t>
        </is>
      </c>
      <c r="B110" s="52" t="inlineStr">
        <is>
          <t>POM</t>
        </is>
      </c>
      <c r="C110" s="52" t="inlineStr">
        <is>
          <t>Электроизмерения</t>
        </is>
      </c>
      <c r="D110" s="199" t="n">
        <v>30000</v>
      </c>
      <c r="E110" s="52" t="inlineStr">
        <is>
          <t>руб./год</t>
        </is>
      </c>
      <c r="F110" s="52" t="inlineStr">
        <is>
          <t>Допущение</t>
        </is>
      </c>
      <c r="G110" s="52" t="inlineStr">
        <is>
          <t>Начисляется равномерно</t>
        </is>
      </c>
    </row>
    <row r="111">
      <c r="A111" s="52" t="inlineStr">
        <is>
          <t>FIRE_CHECK</t>
        </is>
      </c>
      <c r="B111" s="52" t="inlineStr">
        <is>
          <t>POM</t>
        </is>
      </c>
      <c r="C111" s="52" t="inlineStr">
        <is>
          <t>Огнетушители и пожарные проверки</t>
        </is>
      </c>
      <c r="D111" s="199" t="n">
        <v>25000</v>
      </c>
      <c r="E111" s="52" t="inlineStr">
        <is>
          <t>руб./год</t>
        </is>
      </c>
      <c r="F111" s="52" t="inlineStr">
        <is>
          <t>Допущение</t>
        </is>
      </c>
      <c r="G111" s="52" t="inlineStr">
        <is>
          <t>Начисляется равномерно</t>
        </is>
      </c>
    </row>
    <row r="112">
      <c r="A112" s="52" t="inlineStr">
        <is>
          <t>MEDICAL</t>
        </is>
      </c>
      <c r="B112" s="52" t="inlineStr">
        <is>
          <t>F&amp;B Departmental</t>
        </is>
      </c>
      <c r="C112" s="52" t="inlineStr">
        <is>
          <t>Медкнижки и обучение</t>
        </is>
      </c>
      <c r="D112" s="199" t="n">
        <v>100000</v>
      </c>
      <c r="E112" s="52" t="inlineStr">
        <is>
          <t>руб./год</t>
        </is>
      </c>
      <c r="F112" s="52" t="inlineStr">
        <is>
          <t>Допущение</t>
        </is>
      </c>
      <c r="G112" s="52" t="inlineStr">
        <is>
          <t>Начисляется равномерно</t>
        </is>
      </c>
    </row>
    <row r="113">
      <c r="A113" s="52" t="inlineStr">
        <is>
          <t>UNIFORM</t>
        </is>
      </c>
      <c r="B113" s="52" t="inlineStr">
        <is>
          <t>F&amp;B Departmental</t>
        </is>
      </c>
      <c r="C113" s="52" t="inlineStr">
        <is>
          <t>Униформа</t>
        </is>
      </c>
      <c r="D113" s="199" t="n">
        <v>150000</v>
      </c>
      <c r="E113" s="52" t="inlineStr">
        <is>
          <t>руб./год</t>
        </is>
      </c>
      <c r="F113" s="52" t="inlineStr">
        <is>
          <t>Допущение</t>
        </is>
      </c>
      <c r="G113" s="52" t="inlineStr">
        <is>
          <t>Начисляется равномерно</t>
        </is>
      </c>
    </row>
    <row r="114">
      <c r="A114" s="52" t="inlineStr">
        <is>
          <t>OFD_EDO</t>
        </is>
      </c>
      <c r="B114" s="52" t="inlineStr">
        <is>
          <t>A&amp;G</t>
        </is>
      </c>
      <c r="C114" s="52" t="inlineStr">
        <is>
          <t>ОФД, ЭЦП, ЭДО</t>
        </is>
      </c>
      <c r="D114" s="199" t="n">
        <v>40000</v>
      </c>
      <c r="E114" s="52" t="inlineStr">
        <is>
          <t>руб./год</t>
        </is>
      </c>
      <c r="F114" s="52" t="inlineStr">
        <is>
          <t>Допущение</t>
        </is>
      </c>
      <c r="G114" s="52" t="inlineStr">
        <is>
          <t>Начисляется равномерно</t>
        </is>
      </c>
    </row>
    <row r="115">
      <c r="A115" s="52" t="inlineStr">
        <is>
          <t>WINDOWS</t>
        </is>
      </c>
      <c r="B115" s="52" t="inlineStr">
        <is>
          <t>POM</t>
        </is>
      </c>
      <c r="C115" s="52" t="inlineStr">
        <is>
          <t>Мытьё окон / чистка мебели</t>
        </is>
      </c>
      <c r="D115" s="199" t="n">
        <v>54000</v>
      </c>
      <c r="E115" s="52" t="inlineStr">
        <is>
          <t>руб./год</t>
        </is>
      </c>
      <c r="F115" s="52" t="inlineStr">
        <is>
          <t>Допущение</t>
        </is>
      </c>
      <c r="G115" s="52" t="inlineStr">
        <is>
          <t>Начисляется равномерно</t>
        </is>
      </c>
    </row>
    <row r="116">
      <c r="A116" s="52" t="inlineStr">
        <is>
          <t>STAFF_MEALS</t>
        </is>
      </c>
      <c r="B116" s="52" t="inlineStr">
        <is>
          <t>F&amp;B Departmental</t>
        </is>
      </c>
      <c r="C116" s="52" t="inlineStr">
        <is>
          <t>Питание персонала</t>
        </is>
      </c>
      <c r="D116" s="199" t="n">
        <v>15000</v>
      </c>
      <c r="E116" s="52" t="inlineStr">
        <is>
          <t>руб./мес.</t>
        </is>
      </c>
      <c r="F116" s="52" t="inlineStr">
        <is>
          <t>Требует уточнения</t>
        </is>
      </c>
      <c r="G116" s="52" t="inlineStr">
        <is>
          <t>Строка предусмотрена; пока 0</t>
        </is>
      </c>
    </row>
    <row r="117">
      <c r="A117" s="171" t="inlineStr">
        <is>
          <t>СЦЕНАРИЙ S03 — ПЕРЕСМОТР УЖИНОВ И OPEX</t>
        </is>
      </c>
      <c r="B117" s="171" t="n"/>
      <c r="C117" s="171" t="n"/>
      <c r="D117" s="171" t="n"/>
      <c r="E117" s="171" t="n"/>
      <c r="F117" s="171" t="n"/>
      <c r="G117" s="171" t="n"/>
    </row>
    <row r="118">
      <c r="A118" t="inlineStr">
        <is>
          <t>S03_BANQ_ALA_SHARE</t>
        </is>
      </c>
      <c r="B118" t="inlineStr">
        <is>
          <t>Сценарий S03</t>
        </is>
      </c>
      <c r="C118" t="inlineStr">
        <is>
          <t>Доля а-ля карт в банкетный день</t>
        </is>
      </c>
      <c r="D118" s="173" t="n">
        <v>0.2</v>
      </c>
      <c r="E118" t="inlineStr">
        <is>
          <t>% обычного объёма</t>
        </is>
      </c>
      <c r="F118" t="inlineStr">
        <is>
          <t>Подтверждено</t>
        </is>
      </c>
      <c r="G118" t="inlineStr">
        <is>
          <t>Наследовано из S02 / Issue #4; включено в S03 / Issue #9</t>
        </is>
      </c>
    </row>
    <row r="119">
      <c r="A119" t="inlineStr">
        <is>
          <t>S03_DAY_END</t>
        </is>
      </c>
      <c r="B119" t="inlineStr">
        <is>
          <t>Сценарий S03</t>
        </is>
      </c>
      <c r="C119" t="inlineStr">
        <is>
          <t>Окончание дневной работы в банкетный день</t>
        </is>
      </c>
      <c r="D119" s="173" t="n">
        <v>17</v>
      </c>
      <c r="E119" t="inlineStr">
        <is>
          <t>час</t>
        </is>
      </c>
      <c r="F119" t="inlineStr">
        <is>
          <t>Подтверждено</t>
        </is>
      </c>
      <c r="G119" t="inlineStr">
        <is>
          <t>Наследовано из S02 / Issue #4; включено в S03 / Issue #9</t>
        </is>
      </c>
    </row>
    <row r="120">
      <c r="A120" t="inlineStr">
        <is>
          <t>S03_DINNER_RATIO</t>
        </is>
      </c>
      <c r="B120" t="inlineStr">
        <is>
          <t>Гостиница — ужины</t>
        </is>
      </c>
      <c r="C120" t="inlineStr">
        <is>
          <t>Количество ужинов к завтракам</t>
        </is>
      </c>
      <c r="D120" s="173" t="n">
        <v>0.5</v>
      </c>
      <c r="E120" t="inlineStr">
        <is>
          <t>% завтраков</t>
        </is>
      </c>
      <c r="F120" t="inlineStr">
        <is>
          <t>Подтверждено</t>
        </is>
      </c>
      <c r="G120" t="inlineStr">
        <is>
          <t>Наследовано из S02 / Issue #4; включено в S03 / Issue #9</t>
        </is>
      </c>
    </row>
    <row r="121">
      <c r="A121" t="inlineStr">
        <is>
          <t>S03_DINNER_CHECK</t>
        </is>
      </c>
      <c r="B121" t="inlineStr">
        <is>
          <t>Гостиница — ужины</t>
        </is>
      </c>
      <c r="C121" t="inlineStr">
        <is>
          <t>Средний чек ужина</t>
        </is>
      </c>
      <c r="D121" s="173" t="n">
        <v>1000</v>
      </c>
      <c r="E121" t="inlineStr">
        <is>
          <t>руб./ужин</t>
        </is>
      </c>
      <c r="F121" t="inlineStr">
        <is>
          <t>Рабочее допущение</t>
        </is>
      </c>
      <c r="G121" t="inlineStr">
        <is>
          <t>Средний чек ужина 1 000 руб.; требуется бизнес-подтверждение.</t>
        </is>
      </c>
    </row>
    <row r="122">
      <c r="A122" t="inlineStr">
        <is>
          <t>S03_DINNER_COGS</t>
        </is>
      </c>
      <c r="B122" t="inlineStr">
        <is>
          <t>Гостиница — ужины</t>
        </is>
      </c>
      <c r="C122" t="inlineStr">
        <is>
          <t>Food cost ужина — как a-la carte</t>
        </is>
      </c>
      <c r="D122" s="28">
        <f>D24</f>
        <v/>
      </c>
      <c r="E122" t="inlineStr">
        <is>
          <t>% выручки</t>
        </is>
      </c>
      <c r="F122" t="inlineStr">
        <is>
          <t>Расчёт</t>
        </is>
      </c>
      <c r="G122" t="inlineStr">
        <is>
          <t>Автоматически связано с ALA_COGS: food cost ужина равен food cost a-la carte.</t>
        </is>
      </c>
    </row>
    <row r="123">
      <c r="A123" t="inlineStr">
        <is>
          <t>S03_DINNER_PACK</t>
        </is>
      </c>
      <c r="B123" t="inlineStr">
        <is>
          <t>Гостиница — ужины</t>
        </is>
      </c>
      <c r="C123" t="inlineStr">
        <is>
          <t>Упаковка / расходники ужина</t>
        </is>
      </c>
      <c r="D123" s="173" t="n">
        <v>0</v>
      </c>
      <c r="E123" t="inlineStr">
        <is>
          <t>руб./ужин</t>
        </is>
      </c>
      <c r="F123" t="inlineStr">
        <is>
          <t>Рабочее допущение</t>
        </is>
      </c>
      <c r="G123" t="inlineStr">
        <is>
          <t>Наследовано из S02; требует подтверждения.</t>
        </is>
      </c>
    </row>
    <row r="124">
      <c r="A124" t="inlineStr">
        <is>
          <t>S03_DINNER_CASHLESS</t>
        </is>
      </c>
      <c r="B124" t="inlineStr">
        <is>
          <t>Гостиница — ужины</t>
        </is>
      </c>
      <c r="C124" t="inlineStr">
        <is>
          <t>Доля безналичной оплаты ужина</t>
        </is>
      </c>
      <c r="D124" s="173" t="n">
        <v>1</v>
      </c>
      <c r="E124" t="inlineStr">
        <is>
          <t>%</t>
        </is>
      </c>
      <c r="F124" t="inlineStr">
        <is>
          <t>Рабочее допущение</t>
        </is>
      </c>
      <c r="G124" t="inlineStr">
        <is>
          <t>Наследовано из S02; требует подтверждения.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9"/>
  <sheetViews>
    <sheetView workbookViewId="0">
      <selection activeCell="A1" sqref="A1"/>
    </sheetView>
  </sheetViews>
  <sheetFormatPr baseColWidth="8" defaultRowHeight="15"/>
  <cols>
    <col width="12" customWidth="1" style="174" min="1" max="1"/>
    <col width="9" customWidth="1" style="174" min="2" max="2"/>
    <col width="10" customWidth="1" style="174" min="3" max="3"/>
    <col width="11" customWidth="1" style="174" min="4" max="4"/>
    <col width="11" customWidth="1" style="174" min="5" max="5"/>
    <col width="10" customWidth="1" style="174" min="6" max="6"/>
    <col width="34" customWidth="1" style="174" min="7" max="7"/>
    <col width="10" customWidth="1" style="174" min="8" max="8"/>
    <col width="14" customWidth="1" style="174" min="9" max="9"/>
    <col width="12" customWidth="1" style="174" min="10" max="10"/>
    <col width="12" customWidth="1" style="174" min="11" max="11"/>
    <col width="14" customWidth="1" style="174" min="12" max="12"/>
    <col width="14" customWidth="1" style="174" min="13" max="13"/>
    <col width="14" customWidth="1" style="174" min="14" max="14"/>
    <col width="14" customWidth="1" style="174" min="15" max="15"/>
    <col width="14" customWidth="1" style="174" min="16" max="16"/>
    <col width="14" customWidth="1" style="174" min="17" max="17"/>
    <col width="14" customWidth="1" style="174" min="18" max="18"/>
    <col width="14" customWidth="1" style="174" min="19" max="19"/>
    <col width="14" customWidth="1" style="174" min="20" max="20"/>
    <col width="18" customWidth="1" style="174" min="21" max="21"/>
  </cols>
  <sheetData>
    <row r="1" ht="28" customHeight="1" s="174">
      <c r="A1" s="9" t="inlineStr">
        <is>
          <t>Календарь операционной модели: 01.09.2026–31.08.2027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3" t="inlineStr">
        <is>
          <t>Банкеты: с ноября по 6 в месяц. В банкетный день завтраки, бизнес-ланч, доставка и самовывоз работают на 100%; а-ля карт — 20% до 17:00. Ужины гостиницы — 50% от завтраков ежедневно.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4">
      <c r="A4" s="18" t="inlineStr">
        <is>
          <t>Дата</t>
        </is>
      </c>
      <c r="B4" s="18" t="inlineStr">
        <is>
          <t>№ месяца</t>
        </is>
      </c>
      <c r="C4" s="18" t="inlineStr">
        <is>
          <t>Месяц</t>
        </is>
      </c>
      <c r="D4" s="18" t="inlineStr">
        <is>
          <t>№ дня недели</t>
        </is>
      </c>
      <c r="E4" s="18" t="inlineStr">
        <is>
          <t>День недели</t>
        </is>
      </c>
      <c r="F4" s="18" t="inlineStr">
        <is>
          <t>Праздник 1/0</t>
        </is>
      </c>
      <c r="G4" s="18" t="inlineStr">
        <is>
          <t>Статус праздника</t>
        </is>
      </c>
      <c r="H4" s="18" t="inlineStr">
        <is>
          <t>Банкет 1/0</t>
        </is>
      </c>
      <c r="I4" s="18" t="inlineStr">
        <is>
          <t>Категория банкета</t>
        </is>
      </c>
      <c r="J4" s="18" t="inlineStr">
        <is>
          <t>Кафе открыто</t>
        </is>
      </c>
      <c r="K4" s="18" t="inlineStr">
        <is>
          <t>Рабочий день</t>
        </is>
      </c>
      <c r="L4" s="18" t="inlineStr">
        <is>
          <t>Норма а-ля карт</t>
        </is>
      </c>
      <c r="M4" s="18" t="inlineStr">
        <is>
          <t>Гости а-ля карт</t>
        </is>
      </c>
      <c r="N4" s="18" t="inlineStr">
        <is>
          <t>Гости бизнес-ланча</t>
        </is>
      </c>
      <c r="O4" s="18" t="inlineStr">
        <is>
          <t>Норма доставки</t>
        </is>
      </c>
      <c r="P4" s="18" t="inlineStr">
        <is>
          <t>Заказы доставки</t>
        </is>
      </c>
      <c r="Q4" s="18" t="inlineStr">
        <is>
          <t>Самовывоз</t>
        </is>
      </c>
      <c r="R4" s="18" t="inlineStr">
        <is>
          <t>Завтраки гостиницы</t>
        </is>
      </c>
      <c r="S4" s="18" t="inlineStr">
        <is>
          <t>Банкеты</t>
        </is>
      </c>
      <c r="T4" s="18" t="inlineStr">
        <is>
          <t>Активные продажи кафе в банкет</t>
        </is>
      </c>
      <c r="U4" t="inlineStr">
        <is>
          <t>Ужины гостиницы</t>
        </is>
      </c>
    </row>
    <row r="5">
      <c r="A5" s="200" t="n">
        <v>46266</v>
      </c>
      <c r="B5" s="201" t="n">
        <v>1</v>
      </c>
      <c r="C5" s="201" t="inlineStr">
        <is>
          <t>Сен-26</t>
        </is>
      </c>
      <c r="D5" s="201" t="n">
        <v>2</v>
      </c>
      <c r="E5" s="201" t="inlineStr">
        <is>
          <t>Вт</t>
        </is>
      </c>
      <c r="F5" s="199" t="n">
        <v>0</v>
      </c>
      <c r="G5" s="201" t="str"/>
      <c r="H5" s="193" t="n">
        <v>0</v>
      </c>
      <c r="I5" s="201" t="str"/>
      <c r="J5" s="188">
        <f>1</f>
        <v/>
      </c>
      <c r="K5" s="188">
        <f>IF(AND(D5&lt;=5,F5=0),1,0)</f>
        <v/>
      </c>
      <c r="L5" s="188">
        <f>IF(F5=1,'01_ВВОД'!$D$23,CHOOSE(D5,'01_ВВОД'!$D$19,'01_ВВОД'!$D$19,'01_ВВОД'!$D$19,'01_ВВОД'!$D$19,'01_ВВОД'!$D$20,'01_ВВОД'!$D$21,'01_ВВОД'!$D$22))</f>
        <v/>
      </c>
      <c r="M5" s="188">
        <f>L5*IF(H5=1,'01_ВВОД'!$D$118,1)</f>
        <v/>
      </c>
      <c r="N5" s="188">
        <f>IF(K5=1,'01_ВВОД'!$D$26,0)</f>
        <v/>
      </c>
      <c r="O5" s="188">
        <f>IF(F5=1,'01_ВВОД'!$D$34,IF(D5&lt;=5,'01_ВВОД'!$D$32,'01_ВВОД'!$D$33))</f>
        <v/>
      </c>
      <c r="P5" s="188">
        <f>O5</f>
        <v/>
      </c>
      <c r="Q5" s="188">
        <f>'01_ВВОД'!$D$40</f>
        <v/>
      </c>
      <c r="R5" s="188">
        <f>'01_ВВОД'!$D$46</f>
        <v/>
      </c>
      <c r="S5" s="188">
        <f>H5</f>
        <v/>
      </c>
      <c r="T5" s="188">
        <f>IF(H5=1,M5+N5+P5+Q5,0)</f>
        <v/>
      </c>
      <c r="U5">
        <f>R5*'01_ВВОД'!$D$120</f>
        <v/>
      </c>
    </row>
    <row r="6">
      <c r="A6" s="200" t="n">
        <v>46267</v>
      </c>
      <c r="B6" s="201" t="n">
        <v>1</v>
      </c>
      <c r="C6" s="201" t="inlineStr">
        <is>
          <t>Сен-26</t>
        </is>
      </c>
      <c r="D6" s="201" t="n">
        <v>3</v>
      </c>
      <c r="E6" s="201" t="inlineStr">
        <is>
          <t>Ср</t>
        </is>
      </c>
      <c r="F6" s="199" t="n">
        <v>0</v>
      </c>
      <c r="G6" s="201" t="str"/>
      <c r="H6" s="193" t="n">
        <v>0</v>
      </c>
      <c r="I6" s="201" t="str"/>
      <c r="J6" s="188">
        <f>1</f>
        <v/>
      </c>
      <c r="K6" s="188">
        <f>IF(AND(D6&lt;=5,F6=0),1,0)</f>
        <v/>
      </c>
      <c r="L6" s="188">
        <f>IF(F6=1,'01_ВВОД'!$D$23,CHOOSE(D6,'01_ВВОД'!$D$19,'01_ВВОД'!$D$19,'01_ВВОД'!$D$19,'01_ВВОД'!$D$19,'01_ВВОД'!$D$20,'01_ВВОД'!$D$21,'01_ВВОД'!$D$22))</f>
        <v/>
      </c>
      <c r="M6" s="188">
        <f>L6*IF(H6=1,'01_ВВОД'!$D$118,1)</f>
        <v/>
      </c>
      <c r="N6" s="188">
        <f>IF(K6=1,'01_ВВОД'!$D$26,0)</f>
        <v/>
      </c>
      <c r="O6" s="188">
        <f>IF(F6=1,'01_ВВОД'!$D$34,IF(D6&lt;=5,'01_ВВОД'!$D$32,'01_ВВОД'!$D$33))</f>
        <v/>
      </c>
      <c r="P6" s="188">
        <f>O6</f>
        <v/>
      </c>
      <c r="Q6" s="188">
        <f>'01_ВВОД'!$D$40</f>
        <v/>
      </c>
      <c r="R6" s="188">
        <f>'01_ВВОД'!$D$46</f>
        <v/>
      </c>
      <c r="S6" s="188">
        <f>H6</f>
        <v/>
      </c>
      <c r="T6" s="188">
        <f>IF(H6=1,M6+N6+P6+Q6,0)</f>
        <v/>
      </c>
      <c r="U6">
        <f>R6*'01_ВВОД'!$D$120</f>
        <v/>
      </c>
    </row>
    <row r="7">
      <c r="A7" s="200" t="n">
        <v>46268</v>
      </c>
      <c r="B7" s="201" t="n">
        <v>1</v>
      </c>
      <c r="C7" s="201" t="inlineStr">
        <is>
          <t>Сен-26</t>
        </is>
      </c>
      <c r="D7" s="201" t="n">
        <v>4</v>
      </c>
      <c r="E7" s="201" t="inlineStr">
        <is>
          <t>Чт</t>
        </is>
      </c>
      <c r="F7" s="199" t="n">
        <v>0</v>
      </c>
      <c r="G7" s="201" t="str"/>
      <c r="H7" s="193" t="n">
        <v>0</v>
      </c>
      <c r="I7" s="201" t="str"/>
      <c r="J7" s="188">
        <f>1</f>
        <v/>
      </c>
      <c r="K7" s="188">
        <f>IF(AND(D7&lt;=5,F7=0),1,0)</f>
        <v/>
      </c>
      <c r="L7" s="188">
        <f>IF(F7=1,'01_ВВОД'!$D$23,CHOOSE(D7,'01_ВВОД'!$D$19,'01_ВВОД'!$D$19,'01_ВВОД'!$D$19,'01_ВВОД'!$D$19,'01_ВВОД'!$D$20,'01_ВВОД'!$D$21,'01_ВВОД'!$D$22))</f>
        <v/>
      </c>
      <c r="M7" s="188">
        <f>L7*IF(H7=1,'01_ВВОД'!$D$118,1)</f>
        <v/>
      </c>
      <c r="N7" s="188">
        <f>IF(K7=1,'01_ВВОД'!$D$26,0)</f>
        <v/>
      </c>
      <c r="O7" s="188">
        <f>IF(F7=1,'01_ВВОД'!$D$34,IF(D7&lt;=5,'01_ВВОД'!$D$32,'01_ВВОД'!$D$33))</f>
        <v/>
      </c>
      <c r="P7" s="188">
        <f>O7</f>
        <v/>
      </c>
      <c r="Q7" s="188">
        <f>'01_ВВОД'!$D$40</f>
        <v/>
      </c>
      <c r="R7" s="188">
        <f>'01_ВВОД'!$D$46</f>
        <v/>
      </c>
      <c r="S7" s="188">
        <f>H7</f>
        <v/>
      </c>
      <c r="T7" s="188">
        <f>IF(H7=1,M7+N7+P7+Q7,0)</f>
        <v/>
      </c>
      <c r="U7">
        <f>R7*'01_ВВОД'!$D$120</f>
        <v/>
      </c>
    </row>
    <row r="8">
      <c r="A8" s="200" t="n">
        <v>46269</v>
      </c>
      <c r="B8" s="201" t="n">
        <v>1</v>
      </c>
      <c r="C8" s="201" t="inlineStr">
        <is>
          <t>Сен-26</t>
        </is>
      </c>
      <c r="D8" s="201" t="n">
        <v>5</v>
      </c>
      <c r="E8" s="201" t="inlineStr">
        <is>
          <t>Пт</t>
        </is>
      </c>
      <c r="F8" s="199" t="n">
        <v>0</v>
      </c>
      <c r="G8" s="201" t="str"/>
      <c r="H8" s="193" t="n">
        <v>0</v>
      </c>
      <c r="I8" s="201" t="str"/>
      <c r="J8" s="188">
        <f>1</f>
        <v/>
      </c>
      <c r="K8" s="188">
        <f>IF(AND(D8&lt;=5,F8=0),1,0)</f>
        <v/>
      </c>
      <c r="L8" s="188">
        <f>IF(F8=1,'01_ВВОД'!$D$23,CHOOSE(D8,'01_ВВОД'!$D$19,'01_ВВОД'!$D$19,'01_ВВОД'!$D$19,'01_ВВОД'!$D$19,'01_ВВОД'!$D$20,'01_ВВОД'!$D$21,'01_ВВОД'!$D$22))</f>
        <v/>
      </c>
      <c r="M8" s="188">
        <f>L8*IF(H8=1,'01_ВВОД'!$D$118,1)</f>
        <v/>
      </c>
      <c r="N8" s="188">
        <f>IF(K8=1,'01_ВВОД'!$D$26,0)</f>
        <v/>
      </c>
      <c r="O8" s="188">
        <f>IF(F8=1,'01_ВВОД'!$D$34,IF(D8&lt;=5,'01_ВВОД'!$D$32,'01_ВВОД'!$D$33))</f>
        <v/>
      </c>
      <c r="P8" s="188">
        <f>O8</f>
        <v/>
      </c>
      <c r="Q8" s="188">
        <f>'01_ВВОД'!$D$40</f>
        <v/>
      </c>
      <c r="R8" s="188">
        <f>'01_ВВОД'!$D$46</f>
        <v/>
      </c>
      <c r="S8" s="188">
        <f>H8</f>
        <v/>
      </c>
      <c r="T8" s="188">
        <f>IF(H8=1,M8+N8+P8+Q8,0)</f>
        <v/>
      </c>
      <c r="U8">
        <f>R8*'01_ВВОД'!$D$120</f>
        <v/>
      </c>
    </row>
    <row r="9">
      <c r="A9" s="200" t="n">
        <v>46270</v>
      </c>
      <c r="B9" s="201" t="n">
        <v>1</v>
      </c>
      <c r="C9" s="201" t="inlineStr">
        <is>
          <t>Сен-26</t>
        </is>
      </c>
      <c r="D9" s="201" t="n">
        <v>6</v>
      </c>
      <c r="E9" s="201" t="inlineStr">
        <is>
          <t>Сб</t>
        </is>
      </c>
      <c r="F9" s="199" t="n">
        <v>0</v>
      </c>
      <c r="G9" s="201" t="str"/>
      <c r="H9" s="193" t="n">
        <v>0</v>
      </c>
      <c r="I9" s="201" t="str"/>
      <c r="J9" s="188">
        <f>1</f>
        <v/>
      </c>
      <c r="K9" s="188">
        <f>IF(AND(D9&lt;=5,F9=0),1,0)</f>
        <v/>
      </c>
      <c r="L9" s="188">
        <f>IF(F9=1,'01_ВВОД'!$D$23,CHOOSE(D9,'01_ВВОД'!$D$19,'01_ВВОД'!$D$19,'01_ВВОД'!$D$19,'01_ВВОД'!$D$19,'01_ВВОД'!$D$20,'01_ВВОД'!$D$21,'01_ВВОД'!$D$22))</f>
        <v/>
      </c>
      <c r="M9" s="188">
        <f>L9*IF(H9=1,'01_ВВОД'!$D$118,1)</f>
        <v/>
      </c>
      <c r="N9" s="188">
        <f>IF(K9=1,'01_ВВОД'!$D$26,0)</f>
        <v/>
      </c>
      <c r="O9" s="188">
        <f>IF(F9=1,'01_ВВОД'!$D$34,IF(D9&lt;=5,'01_ВВОД'!$D$32,'01_ВВОД'!$D$33))</f>
        <v/>
      </c>
      <c r="P9" s="188">
        <f>O9</f>
        <v/>
      </c>
      <c r="Q9" s="188">
        <f>'01_ВВОД'!$D$40</f>
        <v/>
      </c>
      <c r="R9" s="188">
        <f>'01_ВВОД'!$D$46</f>
        <v/>
      </c>
      <c r="S9" s="188">
        <f>H9</f>
        <v/>
      </c>
      <c r="T9" s="188">
        <f>IF(H9=1,M9+N9+P9+Q9,0)</f>
        <v/>
      </c>
      <c r="U9">
        <f>R9*'01_ВВОД'!$D$120</f>
        <v/>
      </c>
    </row>
    <row r="10">
      <c r="A10" s="200" t="n">
        <v>46271</v>
      </c>
      <c r="B10" s="201" t="n">
        <v>1</v>
      </c>
      <c r="C10" s="201" t="inlineStr">
        <is>
          <t>Сен-26</t>
        </is>
      </c>
      <c r="D10" s="201" t="n">
        <v>7</v>
      </c>
      <c r="E10" s="201" t="inlineStr">
        <is>
          <t>Вс</t>
        </is>
      </c>
      <c r="F10" s="199" t="n">
        <v>0</v>
      </c>
      <c r="G10" s="201" t="str"/>
      <c r="H10" s="193" t="n">
        <v>0</v>
      </c>
      <c r="I10" s="201" t="str"/>
      <c r="J10" s="188">
        <f>1</f>
        <v/>
      </c>
      <c r="K10" s="188">
        <f>IF(AND(D10&lt;=5,F10=0),1,0)</f>
        <v/>
      </c>
      <c r="L10" s="188">
        <f>IF(F10=1,'01_ВВОД'!$D$23,CHOOSE(D10,'01_ВВОД'!$D$19,'01_ВВОД'!$D$19,'01_ВВОД'!$D$19,'01_ВВОД'!$D$19,'01_ВВОД'!$D$20,'01_ВВОД'!$D$21,'01_ВВОД'!$D$22))</f>
        <v/>
      </c>
      <c r="M10" s="188">
        <f>L10*IF(H10=1,'01_ВВОД'!$D$118,1)</f>
        <v/>
      </c>
      <c r="N10" s="188">
        <f>IF(K10=1,'01_ВВОД'!$D$26,0)</f>
        <v/>
      </c>
      <c r="O10" s="188">
        <f>IF(F10=1,'01_ВВОД'!$D$34,IF(D10&lt;=5,'01_ВВОД'!$D$32,'01_ВВОД'!$D$33))</f>
        <v/>
      </c>
      <c r="P10" s="188">
        <f>O10</f>
        <v/>
      </c>
      <c r="Q10" s="188">
        <f>'01_ВВОД'!$D$40</f>
        <v/>
      </c>
      <c r="R10" s="188">
        <f>'01_ВВОД'!$D$46</f>
        <v/>
      </c>
      <c r="S10" s="188">
        <f>H10</f>
        <v/>
      </c>
      <c r="T10" s="188">
        <f>IF(H10=1,M10+N10+P10+Q10,0)</f>
        <v/>
      </c>
      <c r="U10">
        <f>R10*'01_ВВОД'!$D$120</f>
        <v/>
      </c>
    </row>
    <row r="11">
      <c r="A11" s="200" t="n">
        <v>46272</v>
      </c>
      <c r="B11" s="201" t="n">
        <v>1</v>
      </c>
      <c r="C11" s="201" t="inlineStr">
        <is>
          <t>Сен-26</t>
        </is>
      </c>
      <c r="D11" s="201" t="n">
        <v>1</v>
      </c>
      <c r="E11" s="201" t="inlineStr">
        <is>
          <t>Пн</t>
        </is>
      </c>
      <c r="F11" s="199" t="n">
        <v>0</v>
      </c>
      <c r="G11" s="201" t="str"/>
      <c r="H11" s="193" t="n">
        <v>0</v>
      </c>
      <c r="I11" s="201" t="str"/>
      <c r="J11" s="188">
        <f>1</f>
        <v/>
      </c>
      <c r="K11" s="188">
        <f>IF(AND(D11&lt;=5,F11=0),1,0)</f>
        <v/>
      </c>
      <c r="L11" s="188">
        <f>IF(F11=1,'01_ВВОД'!$D$23,CHOOSE(D11,'01_ВВОД'!$D$19,'01_ВВОД'!$D$19,'01_ВВОД'!$D$19,'01_ВВОД'!$D$19,'01_ВВОД'!$D$20,'01_ВВОД'!$D$21,'01_ВВОД'!$D$22))</f>
        <v/>
      </c>
      <c r="M11" s="188">
        <f>L11*IF(H11=1,'01_ВВОД'!$D$118,1)</f>
        <v/>
      </c>
      <c r="N11" s="188">
        <f>IF(K11=1,'01_ВВОД'!$D$26,0)</f>
        <v/>
      </c>
      <c r="O11" s="188">
        <f>IF(F11=1,'01_ВВОД'!$D$34,IF(D11&lt;=5,'01_ВВОД'!$D$32,'01_ВВОД'!$D$33))</f>
        <v/>
      </c>
      <c r="P11" s="188">
        <f>O11</f>
        <v/>
      </c>
      <c r="Q11" s="188">
        <f>'01_ВВОД'!$D$40</f>
        <v/>
      </c>
      <c r="R11" s="188">
        <f>'01_ВВОД'!$D$46</f>
        <v/>
      </c>
      <c r="S11" s="188">
        <f>H11</f>
        <v/>
      </c>
      <c r="T11" s="188">
        <f>IF(H11=1,M11+N11+P11+Q11,0)</f>
        <v/>
      </c>
      <c r="U11">
        <f>R11*'01_ВВОД'!$D$120</f>
        <v/>
      </c>
    </row>
    <row r="12">
      <c r="A12" s="200" t="n">
        <v>46273</v>
      </c>
      <c r="B12" s="201" t="n">
        <v>1</v>
      </c>
      <c r="C12" s="201" t="inlineStr">
        <is>
          <t>Сен-26</t>
        </is>
      </c>
      <c r="D12" s="201" t="n">
        <v>2</v>
      </c>
      <c r="E12" s="201" t="inlineStr">
        <is>
          <t>Вт</t>
        </is>
      </c>
      <c r="F12" s="199" t="n">
        <v>0</v>
      </c>
      <c r="G12" s="201" t="str"/>
      <c r="H12" s="193" t="n">
        <v>0</v>
      </c>
      <c r="I12" s="201" t="str"/>
      <c r="J12" s="188">
        <f>1</f>
        <v/>
      </c>
      <c r="K12" s="188">
        <f>IF(AND(D12&lt;=5,F12=0),1,0)</f>
        <v/>
      </c>
      <c r="L12" s="188">
        <f>IF(F12=1,'01_ВВОД'!$D$23,CHOOSE(D12,'01_ВВОД'!$D$19,'01_ВВОД'!$D$19,'01_ВВОД'!$D$19,'01_ВВОД'!$D$19,'01_ВВОД'!$D$20,'01_ВВОД'!$D$21,'01_ВВОД'!$D$22))</f>
        <v/>
      </c>
      <c r="M12" s="188">
        <f>L12*IF(H12=1,'01_ВВОД'!$D$118,1)</f>
        <v/>
      </c>
      <c r="N12" s="188">
        <f>IF(K12=1,'01_ВВОД'!$D$26,0)</f>
        <v/>
      </c>
      <c r="O12" s="188">
        <f>IF(F12=1,'01_ВВОД'!$D$34,IF(D12&lt;=5,'01_ВВОД'!$D$32,'01_ВВОД'!$D$33))</f>
        <v/>
      </c>
      <c r="P12" s="188">
        <f>O12</f>
        <v/>
      </c>
      <c r="Q12" s="188">
        <f>'01_ВВОД'!$D$40</f>
        <v/>
      </c>
      <c r="R12" s="188">
        <f>'01_ВВОД'!$D$46</f>
        <v/>
      </c>
      <c r="S12" s="188">
        <f>H12</f>
        <v/>
      </c>
      <c r="T12" s="188">
        <f>IF(H12=1,M12+N12+P12+Q12,0)</f>
        <v/>
      </c>
      <c r="U12">
        <f>R12*'01_ВВОД'!$D$120</f>
        <v/>
      </c>
    </row>
    <row r="13">
      <c r="A13" s="200" t="n">
        <v>46274</v>
      </c>
      <c r="B13" s="201" t="n">
        <v>1</v>
      </c>
      <c r="C13" s="201" t="inlineStr">
        <is>
          <t>Сен-26</t>
        </is>
      </c>
      <c r="D13" s="201" t="n">
        <v>3</v>
      </c>
      <c r="E13" s="201" t="inlineStr">
        <is>
          <t>Ср</t>
        </is>
      </c>
      <c r="F13" s="199" t="n">
        <v>0</v>
      </c>
      <c r="G13" s="201" t="str"/>
      <c r="H13" s="193" t="n">
        <v>0</v>
      </c>
      <c r="I13" s="201" t="str"/>
      <c r="J13" s="188">
        <f>1</f>
        <v/>
      </c>
      <c r="K13" s="188">
        <f>IF(AND(D13&lt;=5,F13=0),1,0)</f>
        <v/>
      </c>
      <c r="L13" s="188">
        <f>IF(F13=1,'01_ВВОД'!$D$23,CHOOSE(D13,'01_ВВОД'!$D$19,'01_ВВОД'!$D$19,'01_ВВОД'!$D$19,'01_ВВОД'!$D$19,'01_ВВОД'!$D$20,'01_ВВОД'!$D$21,'01_ВВОД'!$D$22))</f>
        <v/>
      </c>
      <c r="M13" s="188">
        <f>L13*IF(H13=1,'01_ВВОД'!$D$118,1)</f>
        <v/>
      </c>
      <c r="N13" s="188">
        <f>IF(K13=1,'01_ВВОД'!$D$26,0)</f>
        <v/>
      </c>
      <c r="O13" s="188">
        <f>IF(F13=1,'01_ВВОД'!$D$34,IF(D13&lt;=5,'01_ВВОД'!$D$32,'01_ВВОД'!$D$33))</f>
        <v/>
      </c>
      <c r="P13" s="188">
        <f>O13</f>
        <v/>
      </c>
      <c r="Q13" s="188">
        <f>'01_ВВОД'!$D$40</f>
        <v/>
      </c>
      <c r="R13" s="188">
        <f>'01_ВВОД'!$D$46</f>
        <v/>
      </c>
      <c r="S13" s="188">
        <f>H13</f>
        <v/>
      </c>
      <c r="T13" s="188">
        <f>IF(H13=1,M13+N13+P13+Q13,0)</f>
        <v/>
      </c>
      <c r="U13">
        <f>R13*'01_ВВОД'!$D$120</f>
        <v/>
      </c>
    </row>
    <row r="14">
      <c r="A14" s="200" t="n">
        <v>46275</v>
      </c>
      <c r="B14" s="201" t="n">
        <v>1</v>
      </c>
      <c r="C14" s="201" t="inlineStr">
        <is>
          <t>Сен-26</t>
        </is>
      </c>
      <c r="D14" s="201" t="n">
        <v>4</v>
      </c>
      <c r="E14" s="201" t="inlineStr">
        <is>
          <t>Чт</t>
        </is>
      </c>
      <c r="F14" s="199" t="n">
        <v>0</v>
      </c>
      <c r="G14" s="201" t="str"/>
      <c r="H14" s="193" t="n">
        <v>0</v>
      </c>
      <c r="I14" s="201" t="str"/>
      <c r="J14" s="188">
        <f>1</f>
        <v/>
      </c>
      <c r="K14" s="188">
        <f>IF(AND(D14&lt;=5,F14=0),1,0)</f>
        <v/>
      </c>
      <c r="L14" s="188">
        <f>IF(F14=1,'01_ВВОД'!$D$23,CHOOSE(D14,'01_ВВОД'!$D$19,'01_ВВОД'!$D$19,'01_ВВОД'!$D$19,'01_ВВОД'!$D$19,'01_ВВОД'!$D$20,'01_ВВОД'!$D$21,'01_ВВОД'!$D$22))</f>
        <v/>
      </c>
      <c r="M14" s="188">
        <f>L14*IF(H14=1,'01_ВВОД'!$D$118,1)</f>
        <v/>
      </c>
      <c r="N14" s="188">
        <f>IF(K14=1,'01_ВВОД'!$D$26,0)</f>
        <v/>
      </c>
      <c r="O14" s="188">
        <f>IF(F14=1,'01_ВВОД'!$D$34,IF(D14&lt;=5,'01_ВВОД'!$D$32,'01_ВВОД'!$D$33))</f>
        <v/>
      </c>
      <c r="P14" s="188">
        <f>O14</f>
        <v/>
      </c>
      <c r="Q14" s="188">
        <f>'01_ВВОД'!$D$40</f>
        <v/>
      </c>
      <c r="R14" s="188">
        <f>'01_ВВОД'!$D$46</f>
        <v/>
      </c>
      <c r="S14" s="188">
        <f>H14</f>
        <v/>
      </c>
      <c r="T14" s="188">
        <f>IF(H14=1,M14+N14+P14+Q14,0)</f>
        <v/>
      </c>
      <c r="U14">
        <f>R14*'01_ВВОД'!$D$120</f>
        <v/>
      </c>
    </row>
    <row r="15">
      <c r="A15" s="200" t="n">
        <v>46276</v>
      </c>
      <c r="B15" s="201" t="n">
        <v>1</v>
      </c>
      <c r="C15" s="201" t="inlineStr">
        <is>
          <t>Сен-26</t>
        </is>
      </c>
      <c r="D15" s="201" t="n">
        <v>5</v>
      </c>
      <c r="E15" s="201" t="inlineStr">
        <is>
          <t>Пт</t>
        </is>
      </c>
      <c r="F15" s="199" t="n">
        <v>0</v>
      </c>
      <c r="G15" s="201" t="str"/>
      <c r="H15" s="193" t="n">
        <v>0</v>
      </c>
      <c r="I15" s="201" t="str"/>
      <c r="J15" s="188">
        <f>1</f>
        <v/>
      </c>
      <c r="K15" s="188">
        <f>IF(AND(D15&lt;=5,F15=0),1,0)</f>
        <v/>
      </c>
      <c r="L15" s="188">
        <f>IF(F15=1,'01_ВВОД'!$D$23,CHOOSE(D15,'01_ВВОД'!$D$19,'01_ВВОД'!$D$19,'01_ВВОД'!$D$19,'01_ВВОД'!$D$19,'01_ВВОД'!$D$20,'01_ВВОД'!$D$21,'01_ВВОД'!$D$22))</f>
        <v/>
      </c>
      <c r="M15" s="188">
        <f>L15*IF(H15=1,'01_ВВОД'!$D$118,1)</f>
        <v/>
      </c>
      <c r="N15" s="188">
        <f>IF(K15=1,'01_ВВОД'!$D$26,0)</f>
        <v/>
      </c>
      <c r="O15" s="188">
        <f>IF(F15=1,'01_ВВОД'!$D$34,IF(D15&lt;=5,'01_ВВОД'!$D$32,'01_ВВОД'!$D$33))</f>
        <v/>
      </c>
      <c r="P15" s="188">
        <f>O15</f>
        <v/>
      </c>
      <c r="Q15" s="188">
        <f>'01_ВВОД'!$D$40</f>
        <v/>
      </c>
      <c r="R15" s="188">
        <f>'01_ВВОД'!$D$46</f>
        <v/>
      </c>
      <c r="S15" s="188">
        <f>H15</f>
        <v/>
      </c>
      <c r="T15" s="188">
        <f>IF(H15=1,M15+N15+P15+Q15,0)</f>
        <v/>
      </c>
      <c r="U15">
        <f>R15*'01_ВВОД'!$D$120</f>
        <v/>
      </c>
    </row>
    <row r="16">
      <c r="A16" s="200" t="n">
        <v>46277</v>
      </c>
      <c r="B16" s="201" t="n">
        <v>1</v>
      </c>
      <c r="C16" s="201" t="inlineStr">
        <is>
          <t>Сен-26</t>
        </is>
      </c>
      <c r="D16" s="201" t="n">
        <v>6</v>
      </c>
      <c r="E16" s="201" t="inlineStr">
        <is>
          <t>Сб</t>
        </is>
      </c>
      <c r="F16" s="199" t="n">
        <v>0</v>
      </c>
      <c r="G16" s="201" t="str"/>
      <c r="H16" s="193" t="n">
        <v>0</v>
      </c>
      <c r="I16" s="201" t="str"/>
      <c r="J16" s="188">
        <f>1</f>
        <v/>
      </c>
      <c r="K16" s="188">
        <f>IF(AND(D16&lt;=5,F16=0),1,0)</f>
        <v/>
      </c>
      <c r="L16" s="188">
        <f>IF(F16=1,'01_ВВОД'!$D$23,CHOOSE(D16,'01_ВВОД'!$D$19,'01_ВВОД'!$D$19,'01_ВВОД'!$D$19,'01_ВВОД'!$D$19,'01_ВВОД'!$D$20,'01_ВВОД'!$D$21,'01_ВВОД'!$D$22))</f>
        <v/>
      </c>
      <c r="M16" s="188">
        <f>L16*IF(H16=1,'01_ВВОД'!$D$118,1)</f>
        <v/>
      </c>
      <c r="N16" s="188">
        <f>IF(K16=1,'01_ВВОД'!$D$26,0)</f>
        <v/>
      </c>
      <c r="O16" s="188">
        <f>IF(F16=1,'01_ВВОД'!$D$34,IF(D16&lt;=5,'01_ВВОД'!$D$32,'01_ВВОД'!$D$33))</f>
        <v/>
      </c>
      <c r="P16" s="188">
        <f>O16</f>
        <v/>
      </c>
      <c r="Q16" s="188">
        <f>'01_ВВОД'!$D$40</f>
        <v/>
      </c>
      <c r="R16" s="188">
        <f>'01_ВВОД'!$D$46</f>
        <v/>
      </c>
      <c r="S16" s="188">
        <f>H16</f>
        <v/>
      </c>
      <c r="T16" s="188">
        <f>IF(H16=1,M16+N16+P16+Q16,0)</f>
        <v/>
      </c>
      <c r="U16">
        <f>R16*'01_ВВОД'!$D$120</f>
        <v/>
      </c>
    </row>
    <row r="17">
      <c r="A17" s="200" t="n">
        <v>46278</v>
      </c>
      <c r="B17" s="201" t="n">
        <v>1</v>
      </c>
      <c r="C17" s="201" t="inlineStr">
        <is>
          <t>Сен-26</t>
        </is>
      </c>
      <c r="D17" s="201" t="n">
        <v>7</v>
      </c>
      <c r="E17" s="201" t="inlineStr">
        <is>
          <t>Вс</t>
        </is>
      </c>
      <c r="F17" s="199" t="n">
        <v>0</v>
      </c>
      <c r="G17" s="201" t="str"/>
      <c r="H17" s="193" t="n">
        <v>0</v>
      </c>
      <c r="I17" s="201" t="str"/>
      <c r="J17" s="188">
        <f>1</f>
        <v/>
      </c>
      <c r="K17" s="188">
        <f>IF(AND(D17&lt;=5,F17=0),1,0)</f>
        <v/>
      </c>
      <c r="L17" s="188">
        <f>IF(F17=1,'01_ВВОД'!$D$23,CHOOSE(D17,'01_ВВОД'!$D$19,'01_ВВОД'!$D$19,'01_ВВОД'!$D$19,'01_ВВОД'!$D$19,'01_ВВОД'!$D$20,'01_ВВОД'!$D$21,'01_ВВОД'!$D$22))</f>
        <v/>
      </c>
      <c r="M17" s="188">
        <f>L17*IF(H17=1,'01_ВВОД'!$D$118,1)</f>
        <v/>
      </c>
      <c r="N17" s="188">
        <f>IF(K17=1,'01_ВВОД'!$D$26,0)</f>
        <v/>
      </c>
      <c r="O17" s="188">
        <f>IF(F17=1,'01_ВВОД'!$D$34,IF(D17&lt;=5,'01_ВВОД'!$D$32,'01_ВВОД'!$D$33))</f>
        <v/>
      </c>
      <c r="P17" s="188">
        <f>O17</f>
        <v/>
      </c>
      <c r="Q17" s="188">
        <f>'01_ВВОД'!$D$40</f>
        <v/>
      </c>
      <c r="R17" s="188">
        <f>'01_ВВОД'!$D$46</f>
        <v/>
      </c>
      <c r="S17" s="188">
        <f>H17</f>
        <v/>
      </c>
      <c r="T17" s="188">
        <f>IF(H17=1,M17+N17+P17+Q17,0)</f>
        <v/>
      </c>
      <c r="U17">
        <f>R17*'01_ВВОД'!$D$120</f>
        <v/>
      </c>
    </row>
    <row r="18">
      <c r="A18" s="200" t="n">
        <v>46279</v>
      </c>
      <c r="B18" s="201" t="n">
        <v>1</v>
      </c>
      <c r="C18" s="201" t="inlineStr">
        <is>
          <t>Сен-26</t>
        </is>
      </c>
      <c r="D18" s="201" t="n">
        <v>1</v>
      </c>
      <c r="E18" s="201" t="inlineStr">
        <is>
          <t>Пн</t>
        </is>
      </c>
      <c r="F18" s="199" t="n">
        <v>0</v>
      </c>
      <c r="G18" s="201" t="str"/>
      <c r="H18" s="193" t="n">
        <v>0</v>
      </c>
      <c r="I18" s="201" t="str"/>
      <c r="J18" s="188">
        <f>1</f>
        <v/>
      </c>
      <c r="K18" s="188">
        <f>IF(AND(D18&lt;=5,F18=0),1,0)</f>
        <v/>
      </c>
      <c r="L18" s="188">
        <f>IF(F18=1,'01_ВВОД'!$D$23,CHOOSE(D18,'01_ВВОД'!$D$19,'01_ВВОД'!$D$19,'01_ВВОД'!$D$19,'01_ВВОД'!$D$19,'01_ВВОД'!$D$20,'01_ВВОД'!$D$21,'01_ВВОД'!$D$22))</f>
        <v/>
      </c>
      <c r="M18" s="188">
        <f>L18*IF(H18=1,'01_ВВОД'!$D$118,1)</f>
        <v/>
      </c>
      <c r="N18" s="188">
        <f>IF(K18=1,'01_ВВОД'!$D$26,0)</f>
        <v/>
      </c>
      <c r="O18" s="188">
        <f>IF(F18=1,'01_ВВОД'!$D$34,IF(D18&lt;=5,'01_ВВОД'!$D$32,'01_ВВОД'!$D$33))</f>
        <v/>
      </c>
      <c r="P18" s="188">
        <f>O18</f>
        <v/>
      </c>
      <c r="Q18" s="188">
        <f>'01_ВВОД'!$D$40</f>
        <v/>
      </c>
      <c r="R18" s="188">
        <f>'01_ВВОД'!$D$46</f>
        <v/>
      </c>
      <c r="S18" s="188">
        <f>H18</f>
        <v/>
      </c>
      <c r="T18" s="188">
        <f>IF(H18=1,M18+N18+P18+Q18,0)</f>
        <v/>
      </c>
      <c r="U18">
        <f>R18*'01_ВВОД'!$D$120</f>
        <v/>
      </c>
    </row>
    <row r="19">
      <c r="A19" s="200" t="n">
        <v>46280</v>
      </c>
      <c r="B19" s="201" t="n">
        <v>1</v>
      </c>
      <c r="C19" s="201" t="inlineStr">
        <is>
          <t>Сен-26</t>
        </is>
      </c>
      <c r="D19" s="201" t="n">
        <v>2</v>
      </c>
      <c r="E19" s="201" t="inlineStr">
        <is>
          <t>Вт</t>
        </is>
      </c>
      <c r="F19" s="199" t="n">
        <v>0</v>
      </c>
      <c r="G19" s="201" t="str"/>
      <c r="H19" s="193" t="n">
        <v>0</v>
      </c>
      <c r="I19" s="201" t="str"/>
      <c r="J19" s="188">
        <f>1</f>
        <v/>
      </c>
      <c r="K19" s="188">
        <f>IF(AND(D19&lt;=5,F19=0),1,0)</f>
        <v/>
      </c>
      <c r="L19" s="188">
        <f>IF(F19=1,'01_ВВОД'!$D$23,CHOOSE(D19,'01_ВВОД'!$D$19,'01_ВВОД'!$D$19,'01_ВВОД'!$D$19,'01_ВВОД'!$D$19,'01_ВВОД'!$D$20,'01_ВВОД'!$D$21,'01_ВВОД'!$D$22))</f>
        <v/>
      </c>
      <c r="M19" s="188">
        <f>L19*IF(H19=1,'01_ВВОД'!$D$118,1)</f>
        <v/>
      </c>
      <c r="N19" s="188">
        <f>IF(K19=1,'01_ВВОД'!$D$26,0)</f>
        <v/>
      </c>
      <c r="O19" s="188">
        <f>IF(F19=1,'01_ВВОД'!$D$34,IF(D19&lt;=5,'01_ВВОД'!$D$32,'01_ВВОД'!$D$33))</f>
        <v/>
      </c>
      <c r="P19" s="188">
        <f>O19</f>
        <v/>
      </c>
      <c r="Q19" s="188">
        <f>'01_ВВОД'!$D$40</f>
        <v/>
      </c>
      <c r="R19" s="188">
        <f>'01_ВВОД'!$D$46</f>
        <v/>
      </c>
      <c r="S19" s="188">
        <f>H19</f>
        <v/>
      </c>
      <c r="T19" s="188">
        <f>IF(H19=1,M19+N19+P19+Q19,0)</f>
        <v/>
      </c>
      <c r="U19">
        <f>R19*'01_ВВОД'!$D$120</f>
        <v/>
      </c>
    </row>
    <row r="20">
      <c r="A20" s="200" t="n">
        <v>46281</v>
      </c>
      <c r="B20" s="201" t="n">
        <v>1</v>
      </c>
      <c r="C20" s="201" t="inlineStr">
        <is>
          <t>Сен-26</t>
        </is>
      </c>
      <c r="D20" s="201" t="n">
        <v>3</v>
      </c>
      <c r="E20" s="201" t="inlineStr">
        <is>
          <t>Ср</t>
        </is>
      </c>
      <c r="F20" s="199" t="n">
        <v>0</v>
      </c>
      <c r="G20" s="201" t="str"/>
      <c r="H20" s="193" t="n">
        <v>0</v>
      </c>
      <c r="I20" s="201" t="str"/>
      <c r="J20" s="188">
        <f>1</f>
        <v/>
      </c>
      <c r="K20" s="188">
        <f>IF(AND(D20&lt;=5,F20=0),1,0)</f>
        <v/>
      </c>
      <c r="L20" s="188">
        <f>IF(F20=1,'01_ВВОД'!$D$23,CHOOSE(D20,'01_ВВОД'!$D$19,'01_ВВОД'!$D$19,'01_ВВОД'!$D$19,'01_ВВОД'!$D$19,'01_ВВОД'!$D$20,'01_ВВОД'!$D$21,'01_ВВОД'!$D$22))</f>
        <v/>
      </c>
      <c r="M20" s="188">
        <f>L20*IF(H20=1,'01_ВВОД'!$D$118,1)</f>
        <v/>
      </c>
      <c r="N20" s="188">
        <f>IF(K20=1,'01_ВВОД'!$D$26,0)</f>
        <v/>
      </c>
      <c r="O20" s="188">
        <f>IF(F20=1,'01_ВВОД'!$D$34,IF(D20&lt;=5,'01_ВВОД'!$D$32,'01_ВВОД'!$D$33))</f>
        <v/>
      </c>
      <c r="P20" s="188">
        <f>O20</f>
        <v/>
      </c>
      <c r="Q20" s="188">
        <f>'01_ВВОД'!$D$40</f>
        <v/>
      </c>
      <c r="R20" s="188">
        <f>'01_ВВОД'!$D$46</f>
        <v/>
      </c>
      <c r="S20" s="188">
        <f>H20</f>
        <v/>
      </c>
      <c r="T20" s="188">
        <f>IF(H20=1,M20+N20+P20+Q20,0)</f>
        <v/>
      </c>
      <c r="U20">
        <f>R20*'01_ВВОД'!$D$120</f>
        <v/>
      </c>
    </row>
    <row r="21">
      <c r="A21" s="200" t="n">
        <v>46282</v>
      </c>
      <c r="B21" s="201" t="n">
        <v>1</v>
      </c>
      <c r="C21" s="201" t="inlineStr">
        <is>
          <t>Сен-26</t>
        </is>
      </c>
      <c r="D21" s="201" t="n">
        <v>4</v>
      </c>
      <c r="E21" s="201" t="inlineStr">
        <is>
          <t>Чт</t>
        </is>
      </c>
      <c r="F21" s="199" t="n">
        <v>0</v>
      </c>
      <c r="G21" s="201" t="str"/>
      <c r="H21" s="193" t="n">
        <v>0</v>
      </c>
      <c r="I21" s="201" t="str"/>
      <c r="J21" s="188">
        <f>1</f>
        <v/>
      </c>
      <c r="K21" s="188">
        <f>IF(AND(D21&lt;=5,F21=0),1,0)</f>
        <v/>
      </c>
      <c r="L21" s="188">
        <f>IF(F21=1,'01_ВВОД'!$D$23,CHOOSE(D21,'01_ВВОД'!$D$19,'01_ВВОД'!$D$19,'01_ВВОД'!$D$19,'01_ВВОД'!$D$19,'01_ВВОД'!$D$20,'01_ВВОД'!$D$21,'01_ВВОД'!$D$22))</f>
        <v/>
      </c>
      <c r="M21" s="188">
        <f>L21*IF(H21=1,'01_ВВОД'!$D$118,1)</f>
        <v/>
      </c>
      <c r="N21" s="188">
        <f>IF(K21=1,'01_ВВОД'!$D$26,0)</f>
        <v/>
      </c>
      <c r="O21" s="188">
        <f>IF(F21=1,'01_ВВОД'!$D$34,IF(D21&lt;=5,'01_ВВОД'!$D$32,'01_ВВОД'!$D$33))</f>
        <v/>
      </c>
      <c r="P21" s="188">
        <f>O21</f>
        <v/>
      </c>
      <c r="Q21" s="188">
        <f>'01_ВВОД'!$D$40</f>
        <v/>
      </c>
      <c r="R21" s="188">
        <f>'01_ВВОД'!$D$46</f>
        <v/>
      </c>
      <c r="S21" s="188">
        <f>H21</f>
        <v/>
      </c>
      <c r="T21" s="188">
        <f>IF(H21=1,M21+N21+P21+Q21,0)</f>
        <v/>
      </c>
      <c r="U21">
        <f>R21*'01_ВВОД'!$D$120</f>
        <v/>
      </c>
    </row>
    <row r="22">
      <c r="A22" s="200" t="n">
        <v>46283</v>
      </c>
      <c r="B22" s="201" t="n">
        <v>1</v>
      </c>
      <c r="C22" s="201" t="inlineStr">
        <is>
          <t>Сен-26</t>
        </is>
      </c>
      <c r="D22" s="201" t="n">
        <v>5</v>
      </c>
      <c r="E22" s="201" t="inlineStr">
        <is>
          <t>Пт</t>
        </is>
      </c>
      <c r="F22" s="199" t="n">
        <v>0</v>
      </c>
      <c r="G22" s="201" t="str"/>
      <c r="H22" s="193" t="n">
        <v>0</v>
      </c>
      <c r="I22" s="201" t="str"/>
      <c r="J22" s="188">
        <f>1</f>
        <v/>
      </c>
      <c r="K22" s="188">
        <f>IF(AND(D22&lt;=5,F22=0),1,0)</f>
        <v/>
      </c>
      <c r="L22" s="188">
        <f>IF(F22=1,'01_ВВОД'!$D$23,CHOOSE(D22,'01_ВВОД'!$D$19,'01_ВВОД'!$D$19,'01_ВВОД'!$D$19,'01_ВВОД'!$D$19,'01_ВВОД'!$D$20,'01_ВВОД'!$D$21,'01_ВВОД'!$D$22))</f>
        <v/>
      </c>
      <c r="M22" s="188">
        <f>L22*IF(H22=1,'01_ВВОД'!$D$118,1)</f>
        <v/>
      </c>
      <c r="N22" s="188">
        <f>IF(K22=1,'01_ВВОД'!$D$26,0)</f>
        <v/>
      </c>
      <c r="O22" s="188">
        <f>IF(F22=1,'01_ВВОД'!$D$34,IF(D22&lt;=5,'01_ВВОД'!$D$32,'01_ВВОД'!$D$33))</f>
        <v/>
      </c>
      <c r="P22" s="188">
        <f>O22</f>
        <v/>
      </c>
      <c r="Q22" s="188">
        <f>'01_ВВОД'!$D$40</f>
        <v/>
      </c>
      <c r="R22" s="188">
        <f>'01_ВВОД'!$D$46</f>
        <v/>
      </c>
      <c r="S22" s="188">
        <f>H22</f>
        <v/>
      </c>
      <c r="T22" s="188">
        <f>IF(H22=1,M22+N22+P22+Q22,0)</f>
        <v/>
      </c>
      <c r="U22">
        <f>R22*'01_ВВОД'!$D$120</f>
        <v/>
      </c>
    </row>
    <row r="23">
      <c r="A23" s="200" t="n">
        <v>46284</v>
      </c>
      <c r="B23" s="201" t="n">
        <v>1</v>
      </c>
      <c r="C23" s="201" t="inlineStr">
        <is>
          <t>Сен-26</t>
        </is>
      </c>
      <c r="D23" s="201" t="n">
        <v>6</v>
      </c>
      <c r="E23" s="201" t="inlineStr">
        <is>
          <t>Сб</t>
        </is>
      </c>
      <c r="F23" s="199" t="n">
        <v>0</v>
      </c>
      <c r="G23" s="201" t="str"/>
      <c r="H23" s="193" t="n">
        <v>0</v>
      </c>
      <c r="I23" s="201" t="str"/>
      <c r="J23" s="188">
        <f>1</f>
        <v/>
      </c>
      <c r="K23" s="188">
        <f>IF(AND(D23&lt;=5,F23=0),1,0)</f>
        <v/>
      </c>
      <c r="L23" s="188">
        <f>IF(F23=1,'01_ВВОД'!$D$23,CHOOSE(D23,'01_ВВОД'!$D$19,'01_ВВОД'!$D$19,'01_ВВОД'!$D$19,'01_ВВОД'!$D$19,'01_ВВОД'!$D$20,'01_ВВОД'!$D$21,'01_ВВОД'!$D$22))</f>
        <v/>
      </c>
      <c r="M23" s="188">
        <f>L23*IF(H23=1,'01_ВВОД'!$D$118,1)</f>
        <v/>
      </c>
      <c r="N23" s="188">
        <f>IF(K23=1,'01_ВВОД'!$D$26,0)</f>
        <v/>
      </c>
      <c r="O23" s="188">
        <f>IF(F23=1,'01_ВВОД'!$D$34,IF(D23&lt;=5,'01_ВВОД'!$D$32,'01_ВВОД'!$D$33))</f>
        <v/>
      </c>
      <c r="P23" s="188">
        <f>O23</f>
        <v/>
      </c>
      <c r="Q23" s="188">
        <f>'01_ВВОД'!$D$40</f>
        <v/>
      </c>
      <c r="R23" s="188">
        <f>'01_ВВОД'!$D$46</f>
        <v/>
      </c>
      <c r="S23" s="188">
        <f>H23</f>
        <v/>
      </c>
      <c r="T23" s="188">
        <f>IF(H23=1,M23+N23+P23+Q23,0)</f>
        <v/>
      </c>
      <c r="U23">
        <f>R23*'01_ВВОД'!$D$120</f>
        <v/>
      </c>
    </row>
    <row r="24">
      <c r="A24" s="200" t="n">
        <v>46285</v>
      </c>
      <c r="B24" s="201" t="n">
        <v>1</v>
      </c>
      <c r="C24" s="201" t="inlineStr">
        <is>
          <t>Сен-26</t>
        </is>
      </c>
      <c r="D24" s="201" t="n">
        <v>7</v>
      </c>
      <c r="E24" s="201" t="inlineStr">
        <is>
          <t>Вс</t>
        </is>
      </c>
      <c r="F24" s="199" t="n">
        <v>0</v>
      </c>
      <c r="G24" s="201" t="str"/>
      <c r="H24" s="193" t="n">
        <v>0</v>
      </c>
      <c r="I24" s="201" t="str"/>
      <c r="J24" s="188">
        <f>1</f>
        <v/>
      </c>
      <c r="K24" s="188">
        <f>IF(AND(D24&lt;=5,F24=0),1,0)</f>
        <v/>
      </c>
      <c r="L24" s="188">
        <f>IF(F24=1,'01_ВВОД'!$D$23,CHOOSE(D24,'01_ВВОД'!$D$19,'01_ВВОД'!$D$19,'01_ВВОД'!$D$19,'01_ВВОД'!$D$19,'01_ВВОД'!$D$20,'01_ВВОД'!$D$21,'01_ВВОД'!$D$22))</f>
        <v/>
      </c>
      <c r="M24" s="188">
        <f>L24*IF(H24=1,'01_ВВОД'!$D$118,1)</f>
        <v/>
      </c>
      <c r="N24" s="188">
        <f>IF(K24=1,'01_ВВОД'!$D$26,0)</f>
        <v/>
      </c>
      <c r="O24" s="188">
        <f>IF(F24=1,'01_ВВОД'!$D$34,IF(D24&lt;=5,'01_ВВОД'!$D$32,'01_ВВОД'!$D$33))</f>
        <v/>
      </c>
      <c r="P24" s="188">
        <f>O24</f>
        <v/>
      </c>
      <c r="Q24" s="188">
        <f>'01_ВВОД'!$D$40</f>
        <v/>
      </c>
      <c r="R24" s="188">
        <f>'01_ВВОД'!$D$46</f>
        <v/>
      </c>
      <c r="S24" s="188">
        <f>H24</f>
        <v/>
      </c>
      <c r="T24" s="188">
        <f>IF(H24=1,M24+N24+P24+Q24,0)</f>
        <v/>
      </c>
      <c r="U24">
        <f>R24*'01_ВВОД'!$D$120</f>
        <v/>
      </c>
    </row>
    <row r="25">
      <c r="A25" s="200" t="n">
        <v>46286</v>
      </c>
      <c r="B25" s="201" t="n">
        <v>1</v>
      </c>
      <c r="C25" s="201" t="inlineStr">
        <is>
          <t>Сен-26</t>
        </is>
      </c>
      <c r="D25" s="201" t="n">
        <v>1</v>
      </c>
      <c r="E25" s="201" t="inlineStr">
        <is>
          <t>Пн</t>
        </is>
      </c>
      <c r="F25" s="199" t="n">
        <v>0</v>
      </c>
      <c r="G25" s="201" t="str"/>
      <c r="H25" s="193" t="n">
        <v>0</v>
      </c>
      <c r="I25" s="201" t="str"/>
      <c r="J25" s="188">
        <f>1</f>
        <v/>
      </c>
      <c r="K25" s="188">
        <f>IF(AND(D25&lt;=5,F25=0),1,0)</f>
        <v/>
      </c>
      <c r="L25" s="188">
        <f>IF(F25=1,'01_ВВОД'!$D$23,CHOOSE(D25,'01_ВВОД'!$D$19,'01_ВВОД'!$D$19,'01_ВВОД'!$D$19,'01_ВВОД'!$D$19,'01_ВВОД'!$D$20,'01_ВВОД'!$D$21,'01_ВВОД'!$D$22))</f>
        <v/>
      </c>
      <c r="M25" s="188">
        <f>L25*IF(H25=1,'01_ВВОД'!$D$118,1)</f>
        <v/>
      </c>
      <c r="N25" s="188">
        <f>IF(K25=1,'01_ВВОД'!$D$26,0)</f>
        <v/>
      </c>
      <c r="O25" s="188">
        <f>IF(F25=1,'01_ВВОД'!$D$34,IF(D25&lt;=5,'01_ВВОД'!$D$32,'01_ВВОД'!$D$33))</f>
        <v/>
      </c>
      <c r="P25" s="188">
        <f>O25</f>
        <v/>
      </c>
      <c r="Q25" s="188">
        <f>'01_ВВОД'!$D$40</f>
        <v/>
      </c>
      <c r="R25" s="188">
        <f>'01_ВВОД'!$D$46</f>
        <v/>
      </c>
      <c r="S25" s="188">
        <f>H25</f>
        <v/>
      </c>
      <c r="T25" s="188">
        <f>IF(H25=1,M25+N25+P25+Q25,0)</f>
        <v/>
      </c>
      <c r="U25">
        <f>R25*'01_ВВОД'!$D$120</f>
        <v/>
      </c>
    </row>
    <row r="26">
      <c r="A26" s="200" t="n">
        <v>46287</v>
      </c>
      <c r="B26" s="201" t="n">
        <v>1</v>
      </c>
      <c r="C26" s="201" t="inlineStr">
        <is>
          <t>Сен-26</t>
        </is>
      </c>
      <c r="D26" s="201" t="n">
        <v>2</v>
      </c>
      <c r="E26" s="201" t="inlineStr">
        <is>
          <t>Вт</t>
        </is>
      </c>
      <c r="F26" s="199" t="n">
        <v>0</v>
      </c>
      <c r="G26" s="201" t="str"/>
      <c r="H26" s="193" t="n">
        <v>0</v>
      </c>
      <c r="I26" s="201" t="str"/>
      <c r="J26" s="188">
        <f>1</f>
        <v/>
      </c>
      <c r="K26" s="188">
        <f>IF(AND(D26&lt;=5,F26=0),1,0)</f>
        <v/>
      </c>
      <c r="L26" s="188">
        <f>IF(F26=1,'01_ВВОД'!$D$23,CHOOSE(D26,'01_ВВОД'!$D$19,'01_ВВОД'!$D$19,'01_ВВОД'!$D$19,'01_ВВОД'!$D$19,'01_ВВОД'!$D$20,'01_ВВОД'!$D$21,'01_ВВОД'!$D$22))</f>
        <v/>
      </c>
      <c r="M26" s="188">
        <f>L26*IF(H26=1,'01_ВВОД'!$D$118,1)</f>
        <v/>
      </c>
      <c r="N26" s="188">
        <f>IF(K26=1,'01_ВВОД'!$D$26,0)</f>
        <v/>
      </c>
      <c r="O26" s="188">
        <f>IF(F26=1,'01_ВВОД'!$D$34,IF(D26&lt;=5,'01_ВВОД'!$D$32,'01_ВВОД'!$D$33))</f>
        <v/>
      </c>
      <c r="P26" s="188">
        <f>O26</f>
        <v/>
      </c>
      <c r="Q26" s="188">
        <f>'01_ВВОД'!$D$40</f>
        <v/>
      </c>
      <c r="R26" s="188">
        <f>'01_ВВОД'!$D$46</f>
        <v/>
      </c>
      <c r="S26" s="188">
        <f>H26</f>
        <v/>
      </c>
      <c r="T26" s="188">
        <f>IF(H26=1,M26+N26+P26+Q26,0)</f>
        <v/>
      </c>
      <c r="U26">
        <f>R26*'01_ВВОД'!$D$120</f>
        <v/>
      </c>
    </row>
    <row r="27">
      <c r="A27" s="200" t="n">
        <v>46288</v>
      </c>
      <c r="B27" s="201" t="n">
        <v>1</v>
      </c>
      <c r="C27" s="201" t="inlineStr">
        <is>
          <t>Сен-26</t>
        </is>
      </c>
      <c r="D27" s="201" t="n">
        <v>3</v>
      </c>
      <c r="E27" s="201" t="inlineStr">
        <is>
          <t>Ср</t>
        </is>
      </c>
      <c r="F27" s="199" t="n">
        <v>0</v>
      </c>
      <c r="G27" s="201" t="str"/>
      <c r="H27" s="193" t="n">
        <v>0</v>
      </c>
      <c r="I27" s="201" t="str"/>
      <c r="J27" s="188">
        <f>1</f>
        <v/>
      </c>
      <c r="K27" s="188">
        <f>IF(AND(D27&lt;=5,F27=0),1,0)</f>
        <v/>
      </c>
      <c r="L27" s="188">
        <f>IF(F27=1,'01_ВВОД'!$D$23,CHOOSE(D27,'01_ВВОД'!$D$19,'01_ВВОД'!$D$19,'01_ВВОД'!$D$19,'01_ВВОД'!$D$19,'01_ВВОД'!$D$20,'01_ВВОД'!$D$21,'01_ВВОД'!$D$22))</f>
        <v/>
      </c>
      <c r="M27" s="188">
        <f>L27*IF(H27=1,'01_ВВОД'!$D$118,1)</f>
        <v/>
      </c>
      <c r="N27" s="188">
        <f>IF(K27=1,'01_ВВОД'!$D$26,0)</f>
        <v/>
      </c>
      <c r="O27" s="188">
        <f>IF(F27=1,'01_ВВОД'!$D$34,IF(D27&lt;=5,'01_ВВОД'!$D$32,'01_ВВОД'!$D$33))</f>
        <v/>
      </c>
      <c r="P27" s="188">
        <f>O27</f>
        <v/>
      </c>
      <c r="Q27" s="188">
        <f>'01_ВВОД'!$D$40</f>
        <v/>
      </c>
      <c r="R27" s="188">
        <f>'01_ВВОД'!$D$46</f>
        <v/>
      </c>
      <c r="S27" s="188">
        <f>H27</f>
        <v/>
      </c>
      <c r="T27" s="188">
        <f>IF(H27=1,M27+N27+P27+Q27,0)</f>
        <v/>
      </c>
      <c r="U27">
        <f>R27*'01_ВВОД'!$D$120</f>
        <v/>
      </c>
    </row>
    <row r="28">
      <c r="A28" s="200" t="n">
        <v>46289</v>
      </c>
      <c r="B28" s="201" t="n">
        <v>1</v>
      </c>
      <c r="C28" s="201" t="inlineStr">
        <is>
          <t>Сен-26</t>
        </is>
      </c>
      <c r="D28" s="201" t="n">
        <v>4</v>
      </c>
      <c r="E28" s="201" t="inlineStr">
        <is>
          <t>Чт</t>
        </is>
      </c>
      <c r="F28" s="199" t="n">
        <v>0</v>
      </c>
      <c r="G28" s="201" t="str"/>
      <c r="H28" s="193" t="n">
        <v>0</v>
      </c>
      <c r="I28" s="201" t="str"/>
      <c r="J28" s="188">
        <f>1</f>
        <v/>
      </c>
      <c r="K28" s="188">
        <f>IF(AND(D28&lt;=5,F28=0),1,0)</f>
        <v/>
      </c>
      <c r="L28" s="188">
        <f>IF(F28=1,'01_ВВОД'!$D$23,CHOOSE(D28,'01_ВВОД'!$D$19,'01_ВВОД'!$D$19,'01_ВВОД'!$D$19,'01_ВВОД'!$D$19,'01_ВВОД'!$D$20,'01_ВВОД'!$D$21,'01_ВВОД'!$D$22))</f>
        <v/>
      </c>
      <c r="M28" s="188">
        <f>L28*IF(H28=1,'01_ВВОД'!$D$118,1)</f>
        <v/>
      </c>
      <c r="N28" s="188">
        <f>IF(K28=1,'01_ВВОД'!$D$26,0)</f>
        <v/>
      </c>
      <c r="O28" s="188">
        <f>IF(F28=1,'01_ВВОД'!$D$34,IF(D28&lt;=5,'01_ВВОД'!$D$32,'01_ВВОД'!$D$33))</f>
        <v/>
      </c>
      <c r="P28" s="188">
        <f>O28</f>
        <v/>
      </c>
      <c r="Q28" s="188">
        <f>'01_ВВОД'!$D$40</f>
        <v/>
      </c>
      <c r="R28" s="188">
        <f>'01_ВВОД'!$D$46</f>
        <v/>
      </c>
      <c r="S28" s="188">
        <f>H28</f>
        <v/>
      </c>
      <c r="T28" s="188">
        <f>IF(H28=1,M28+N28+P28+Q28,0)</f>
        <v/>
      </c>
      <c r="U28">
        <f>R28*'01_ВВОД'!$D$120</f>
        <v/>
      </c>
    </row>
    <row r="29">
      <c r="A29" s="200" t="n">
        <v>46290</v>
      </c>
      <c r="B29" s="201" t="n">
        <v>1</v>
      </c>
      <c r="C29" s="201" t="inlineStr">
        <is>
          <t>Сен-26</t>
        </is>
      </c>
      <c r="D29" s="201" t="n">
        <v>5</v>
      </c>
      <c r="E29" s="201" t="inlineStr">
        <is>
          <t>Пт</t>
        </is>
      </c>
      <c r="F29" s="199" t="n">
        <v>0</v>
      </c>
      <c r="G29" s="201" t="str"/>
      <c r="H29" s="193" t="n">
        <v>0</v>
      </c>
      <c r="I29" s="201" t="str"/>
      <c r="J29" s="188">
        <f>1</f>
        <v/>
      </c>
      <c r="K29" s="188">
        <f>IF(AND(D29&lt;=5,F29=0),1,0)</f>
        <v/>
      </c>
      <c r="L29" s="188">
        <f>IF(F29=1,'01_ВВОД'!$D$23,CHOOSE(D29,'01_ВВОД'!$D$19,'01_ВВОД'!$D$19,'01_ВВОД'!$D$19,'01_ВВОД'!$D$19,'01_ВВОД'!$D$20,'01_ВВОД'!$D$21,'01_ВВОД'!$D$22))</f>
        <v/>
      </c>
      <c r="M29" s="188">
        <f>L29*IF(H29=1,'01_ВВОД'!$D$118,1)</f>
        <v/>
      </c>
      <c r="N29" s="188">
        <f>IF(K29=1,'01_ВВОД'!$D$26,0)</f>
        <v/>
      </c>
      <c r="O29" s="188">
        <f>IF(F29=1,'01_ВВОД'!$D$34,IF(D29&lt;=5,'01_ВВОД'!$D$32,'01_ВВОД'!$D$33))</f>
        <v/>
      </c>
      <c r="P29" s="188">
        <f>O29</f>
        <v/>
      </c>
      <c r="Q29" s="188">
        <f>'01_ВВОД'!$D$40</f>
        <v/>
      </c>
      <c r="R29" s="188">
        <f>'01_ВВОД'!$D$46</f>
        <v/>
      </c>
      <c r="S29" s="188">
        <f>H29</f>
        <v/>
      </c>
      <c r="T29" s="188">
        <f>IF(H29=1,M29+N29+P29+Q29,0)</f>
        <v/>
      </c>
      <c r="U29">
        <f>R29*'01_ВВОД'!$D$120</f>
        <v/>
      </c>
    </row>
    <row r="30">
      <c r="A30" s="200" t="n">
        <v>46291</v>
      </c>
      <c r="B30" s="201" t="n">
        <v>1</v>
      </c>
      <c r="C30" s="201" t="inlineStr">
        <is>
          <t>Сен-26</t>
        </is>
      </c>
      <c r="D30" s="201" t="n">
        <v>6</v>
      </c>
      <c r="E30" s="201" t="inlineStr">
        <is>
          <t>Сб</t>
        </is>
      </c>
      <c r="F30" s="199" t="n">
        <v>0</v>
      </c>
      <c r="G30" s="201" t="str"/>
      <c r="H30" s="193" t="n">
        <v>0</v>
      </c>
      <c r="I30" s="201" t="str"/>
      <c r="J30" s="188">
        <f>1</f>
        <v/>
      </c>
      <c r="K30" s="188">
        <f>IF(AND(D30&lt;=5,F30=0),1,0)</f>
        <v/>
      </c>
      <c r="L30" s="188">
        <f>IF(F30=1,'01_ВВОД'!$D$23,CHOOSE(D30,'01_ВВОД'!$D$19,'01_ВВОД'!$D$19,'01_ВВОД'!$D$19,'01_ВВОД'!$D$19,'01_ВВОД'!$D$20,'01_ВВОД'!$D$21,'01_ВВОД'!$D$22))</f>
        <v/>
      </c>
      <c r="M30" s="188">
        <f>L30*IF(H30=1,'01_ВВОД'!$D$118,1)</f>
        <v/>
      </c>
      <c r="N30" s="188">
        <f>IF(K30=1,'01_ВВОД'!$D$26,0)</f>
        <v/>
      </c>
      <c r="O30" s="188">
        <f>IF(F30=1,'01_ВВОД'!$D$34,IF(D30&lt;=5,'01_ВВОД'!$D$32,'01_ВВОД'!$D$33))</f>
        <v/>
      </c>
      <c r="P30" s="188">
        <f>O30</f>
        <v/>
      </c>
      <c r="Q30" s="188">
        <f>'01_ВВОД'!$D$40</f>
        <v/>
      </c>
      <c r="R30" s="188">
        <f>'01_ВВОД'!$D$46</f>
        <v/>
      </c>
      <c r="S30" s="188">
        <f>H30</f>
        <v/>
      </c>
      <c r="T30" s="188">
        <f>IF(H30=1,M30+N30+P30+Q30,0)</f>
        <v/>
      </c>
      <c r="U30">
        <f>R30*'01_ВВОД'!$D$120</f>
        <v/>
      </c>
    </row>
    <row r="31">
      <c r="A31" s="200" t="n">
        <v>46292</v>
      </c>
      <c r="B31" s="201" t="n">
        <v>1</v>
      </c>
      <c r="C31" s="201" t="inlineStr">
        <is>
          <t>Сен-26</t>
        </is>
      </c>
      <c r="D31" s="201" t="n">
        <v>7</v>
      </c>
      <c r="E31" s="201" t="inlineStr">
        <is>
          <t>Вс</t>
        </is>
      </c>
      <c r="F31" s="199" t="n">
        <v>0</v>
      </c>
      <c r="G31" s="201" t="str"/>
      <c r="H31" s="193" t="n">
        <v>0</v>
      </c>
      <c r="I31" s="201" t="str"/>
      <c r="J31" s="188">
        <f>1</f>
        <v/>
      </c>
      <c r="K31" s="188">
        <f>IF(AND(D31&lt;=5,F31=0),1,0)</f>
        <v/>
      </c>
      <c r="L31" s="188">
        <f>IF(F31=1,'01_ВВОД'!$D$23,CHOOSE(D31,'01_ВВОД'!$D$19,'01_ВВОД'!$D$19,'01_ВВОД'!$D$19,'01_ВВОД'!$D$19,'01_ВВОД'!$D$20,'01_ВВОД'!$D$21,'01_ВВОД'!$D$22))</f>
        <v/>
      </c>
      <c r="M31" s="188">
        <f>L31*IF(H31=1,'01_ВВОД'!$D$118,1)</f>
        <v/>
      </c>
      <c r="N31" s="188">
        <f>IF(K31=1,'01_ВВОД'!$D$26,0)</f>
        <v/>
      </c>
      <c r="O31" s="188">
        <f>IF(F31=1,'01_ВВОД'!$D$34,IF(D31&lt;=5,'01_ВВОД'!$D$32,'01_ВВОД'!$D$33))</f>
        <v/>
      </c>
      <c r="P31" s="188">
        <f>O31</f>
        <v/>
      </c>
      <c r="Q31" s="188">
        <f>'01_ВВОД'!$D$40</f>
        <v/>
      </c>
      <c r="R31" s="188">
        <f>'01_ВВОД'!$D$46</f>
        <v/>
      </c>
      <c r="S31" s="188">
        <f>H31</f>
        <v/>
      </c>
      <c r="T31" s="188">
        <f>IF(H31=1,M31+N31+P31+Q31,0)</f>
        <v/>
      </c>
      <c r="U31">
        <f>R31*'01_ВВОД'!$D$120</f>
        <v/>
      </c>
    </row>
    <row r="32">
      <c r="A32" s="200" t="n">
        <v>46293</v>
      </c>
      <c r="B32" s="201" t="n">
        <v>1</v>
      </c>
      <c r="C32" s="201" t="inlineStr">
        <is>
          <t>Сен-26</t>
        </is>
      </c>
      <c r="D32" s="201" t="n">
        <v>1</v>
      </c>
      <c r="E32" s="201" t="inlineStr">
        <is>
          <t>Пн</t>
        </is>
      </c>
      <c r="F32" s="199" t="n">
        <v>0</v>
      </c>
      <c r="G32" s="201" t="str"/>
      <c r="H32" s="193" t="n">
        <v>0</v>
      </c>
      <c r="I32" s="201" t="str"/>
      <c r="J32" s="188">
        <f>1</f>
        <v/>
      </c>
      <c r="K32" s="188">
        <f>IF(AND(D32&lt;=5,F32=0),1,0)</f>
        <v/>
      </c>
      <c r="L32" s="188">
        <f>IF(F32=1,'01_ВВОД'!$D$23,CHOOSE(D32,'01_ВВОД'!$D$19,'01_ВВОД'!$D$19,'01_ВВОД'!$D$19,'01_ВВОД'!$D$19,'01_ВВОД'!$D$20,'01_ВВОД'!$D$21,'01_ВВОД'!$D$22))</f>
        <v/>
      </c>
      <c r="M32" s="188">
        <f>L32*IF(H32=1,'01_ВВОД'!$D$118,1)</f>
        <v/>
      </c>
      <c r="N32" s="188">
        <f>IF(K32=1,'01_ВВОД'!$D$26,0)</f>
        <v/>
      </c>
      <c r="O32" s="188">
        <f>IF(F32=1,'01_ВВОД'!$D$34,IF(D32&lt;=5,'01_ВВОД'!$D$32,'01_ВВОД'!$D$33))</f>
        <v/>
      </c>
      <c r="P32" s="188">
        <f>O32</f>
        <v/>
      </c>
      <c r="Q32" s="188">
        <f>'01_ВВОД'!$D$40</f>
        <v/>
      </c>
      <c r="R32" s="188">
        <f>'01_ВВОД'!$D$46</f>
        <v/>
      </c>
      <c r="S32" s="188">
        <f>H32</f>
        <v/>
      </c>
      <c r="T32" s="188">
        <f>IF(H32=1,M32+N32+P32+Q32,0)</f>
        <v/>
      </c>
      <c r="U32">
        <f>R32*'01_ВВОД'!$D$120</f>
        <v/>
      </c>
    </row>
    <row r="33">
      <c r="A33" s="200" t="n">
        <v>46294</v>
      </c>
      <c r="B33" s="201" t="n">
        <v>1</v>
      </c>
      <c r="C33" s="201" t="inlineStr">
        <is>
          <t>Сен-26</t>
        </is>
      </c>
      <c r="D33" s="201" t="n">
        <v>2</v>
      </c>
      <c r="E33" s="201" t="inlineStr">
        <is>
          <t>Вт</t>
        </is>
      </c>
      <c r="F33" s="199" t="n">
        <v>0</v>
      </c>
      <c r="G33" s="201" t="str"/>
      <c r="H33" s="193" t="n">
        <v>0</v>
      </c>
      <c r="I33" s="201" t="str"/>
      <c r="J33" s="188">
        <f>1</f>
        <v/>
      </c>
      <c r="K33" s="188">
        <f>IF(AND(D33&lt;=5,F33=0),1,0)</f>
        <v/>
      </c>
      <c r="L33" s="188">
        <f>IF(F33=1,'01_ВВОД'!$D$23,CHOOSE(D33,'01_ВВОД'!$D$19,'01_ВВОД'!$D$19,'01_ВВОД'!$D$19,'01_ВВОД'!$D$19,'01_ВВОД'!$D$20,'01_ВВОД'!$D$21,'01_ВВОД'!$D$22))</f>
        <v/>
      </c>
      <c r="M33" s="188">
        <f>L33*IF(H33=1,'01_ВВОД'!$D$118,1)</f>
        <v/>
      </c>
      <c r="N33" s="188">
        <f>IF(K33=1,'01_ВВОД'!$D$26,0)</f>
        <v/>
      </c>
      <c r="O33" s="188">
        <f>IF(F33=1,'01_ВВОД'!$D$34,IF(D33&lt;=5,'01_ВВОД'!$D$32,'01_ВВОД'!$D$33))</f>
        <v/>
      </c>
      <c r="P33" s="188">
        <f>O33</f>
        <v/>
      </c>
      <c r="Q33" s="188">
        <f>'01_ВВОД'!$D$40</f>
        <v/>
      </c>
      <c r="R33" s="188">
        <f>'01_ВВОД'!$D$46</f>
        <v/>
      </c>
      <c r="S33" s="188">
        <f>H33</f>
        <v/>
      </c>
      <c r="T33" s="188">
        <f>IF(H33=1,M33+N33+P33+Q33,0)</f>
        <v/>
      </c>
      <c r="U33">
        <f>R33*'01_ВВОД'!$D$120</f>
        <v/>
      </c>
    </row>
    <row r="34">
      <c r="A34" s="200" t="n">
        <v>46295</v>
      </c>
      <c r="B34" s="201" t="n">
        <v>1</v>
      </c>
      <c r="C34" s="201" t="inlineStr">
        <is>
          <t>Сен-26</t>
        </is>
      </c>
      <c r="D34" s="201" t="n">
        <v>3</v>
      </c>
      <c r="E34" s="201" t="inlineStr">
        <is>
          <t>Ср</t>
        </is>
      </c>
      <c r="F34" s="199" t="n">
        <v>0</v>
      </c>
      <c r="G34" s="201" t="str"/>
      <c r="H34" s="193" t="n">
        <v>0</v>
      </c>
      <c r="I34" s="201" t="str"/>
      <c r="J34" s="188">
        <f>1</f>
        <v/>
      </c>
      <c r="K34" s="188">
        <f>IF(AND(D34&lt;=5,F34=0),1,0)</f>
        <v/>
      </c>
      <c r="L34" s="188">
        <f>IF(F34=1,'01_ВВОД'!$D$23,CHOOSE(D34,'01_ВВОД'!$D$19,'01_ВВОД'!$D$19,'01_ВВОД'!$D$19,'01_ВВОД'!$D$19,'01_ВВОД'!$D$20,'01_ВВОД'!$D$21,'01_ВВОД'!$D$22))</f>
        <v/>
      </c>
      <c r="M34" s="188">
        <f>L34*IF(H34=1,'01_ВВОД'!$D$118,1)</f>
        <v/>
      </c>
      <c r="N34" s="188">
        <f>IF(K34=1,'01_ВВОД'!$D$26,0)</f>
        <v/>
      </c>
      <c r="O34" s="188">
        <f>IF(F34=1,'01_ВВОД'!$D$34,IF(D34&lt;=5,'01_ВВОД'!$D$32,'01_ВВОД'!$D$33))</f>
        <v/>
      </c>
      <c r="P34" s="188">
        <f>O34</f>
        <v/>
      </c>
      <c r="Q34" s="188">
        <f>'01_ВВОД'!$D$40</f>
        <v/>
      </c>
      <c r="R34" s="188">
        <f>'01_ВВОД'!$D$46</f>
        <v/>
      </c>
      <c r="S34" s="188">
        <f>H34</f>
        <v/>
      </c>
      <c r="T34" s="188">
        <f>IF(H34=1,M34+N34+P34+Q34,0)</f>
        <v/>
      </c>
      <c r="U34">
        <f>R34*'01_ВВОД'!$D$120</f>
        <v/>
      </c>
    </row>
    <row r="35">
      <c r="A35" s="200" t="n">
        <v>46296</v>
      </c>
      <c r="B35" s="201" t="n">
        <v>2</v>
      </c>
      <c r="C35" s="201" t="inlineStr">
        <is>
          <t>Окт-26</t>
        </is>
      </c>
      <c r="D35" s="201" t="n">
        <v>4</v>
      </c>
      <c r="E35" s="201" t="inlineStr">
        <is>
          <t>Чт</t>
        </is>
      </c>
      <c r="F35" s="199" t="n">
        <v>0</v>
      </c>
      <c r="G35" s="201" t="str"/>
      <c r="H35" s="193" t="n">
        <v>0</v>
      </c>
      <c r="I35" s="201" t="str"/>
      <c r="J35" s="188">
        <f>1</f>
        <v/>
      </c>
      <c r="K35" s="188">
        <f>IF(AND(D35&lt;=5,F35=0),1,0)</f>
        <v/>
      </c>
      <c r="L35" s="188">
        <f>IF(F35=1,'01_ВВОД'!$D$23,CHOOSE(D35,'01_ВВОД'!$D$19,'01_ВВОД'!$D$19,'01_ВВОД'!$D$19,'01_ВВОД'!$D$19,'01_ВВОД'!$D$20,'01_ВВОД'!$D$21,'01_ВВОД'!$D$22))</f>
        <v/>
      </c>
      <c r="M35" s="188">
        <f>L35*IF(H35=1,'01_ВВОД'!$D$118,1)</f>
        <v/>
      </c>
      <c r="N35" s="188">
        <f>IF(K35=1,'01_ВВОД'!$D$26,0)</f>
        <v/>
      </c>
      <c r="O35" s="188">
        <f>IF(F35=1,'01_ВВОД'!$D$34,IF(D35&lt;=5,'01_ВВОД'!$D$32,'01_ВВОД'!$D$33))</f>
        <v/>
      </c>
      <c r="P35" s="188">
        <f>O35</f>
        <v/>
      </c>
      <c r="Q35" s="188">
        <f>'01_ВВОД'!$D$40</f>
        <v/>
      </c>
      <c r="R35" s="188">
        <f>'01_ВВОД'!$D$46</f>
        <v/>
      </c>
      <c r="S35" s="188">
        <f>H35</f>
        <v/>
      </c>
      <c r="T35" s="188">
        <f>IF(H35=1,M35+N35+P35+Q35,0)</f>
        <v/>
      </c>
      <c r="U35">
        <f>R35*'01_ВВОД'!$D$120</f>
        <v/>
      </c>
    </row>
    <row r="36">
      <c r="A36" s="200" t="n">
        <v>46297</v>
      </c>
      <c r="B36" s="201" t="n">
        <v>2</v>
      </c>
      <c r="C36" s="201" t="inlineStr">
        <is>
          <t>Окт-26</t>
        </is>
      </c>
      <c r="D36" s="201" t="n">
        <v>5</v>
      </c>
      <c r="E36" s="201" t="inlineStr">
        <is>
          <t>Пт</t>
        </is>
      </c>
      <c r="F36" s="199" t="n">
        <v>0</v>
      </c>
      <c r="G36" s="201" t="str"/>
      <c r="H36" s="193" t="n">
        <v>0</v>
      </c>
      <c r="I36" s="201" t="str"/>
      <c r="J36" s="188">
        <f>1</f>
        <v/>
      </c>
      <c r="K36" s="188">
        <f>IF(AND(D36&lt;=5,F36=0),1,0)</f>
        <v/>
      </c>
      <c r="L36" s="188">
        <f>IF(F36=1,'01_ВВОД'!$D$23,CHOOSE(D36,'01_ВВОД'!$D$19,'01_ВВОД'!$D$19,'01_ВВОД'!$D$19,'01_ВВОД'!$D$19,'01_ВВОД'!$D$20,'01_ВВОД'!$D$21,'01_ВВОД'!$D$22))</f>
        <v/>
      </c>
      <c r="M36" s="188">
        <f>L36*IF(H36=1,'01_ВВОД'!$D$118,1)</f>
        <v/>
      </c>
      <c r="N36" s="188">
        <f>IF(K36=1,'01_ВВОД'!$D$26,0)</f>
        <v/>
      </c>
      <c r="O36" s="188">
        <f>IF(F36=1,'01_ВВОД'!$D$34,IF(D36&lt;=5,'01_ВВОД'!$D$32,'01_ВВОД'!$D$33))</f>
        <v/>
      </c>
      <c r="P36" s="188">
        <f>O36</f>
        <v/>
      </c>
      <c r="Q36" s="188">
        <f>'01_ВВОД'!$D$40</f>
        <v/>
      </c>
      <c r="R36" s="188">
        <f>'01_ВВОД'!$D$46</f>
        <v/>
      </c>
      <c r="S36" s="188">
        <f>H36</f>
        <v/>
      </c>
      <c r="T36" s="188">
        <f>IF(H36=1,M36+N36+P36+Q36,0)</f>
        <v/>
      </c>
      <c r="U36">
        <f>R36*'01_ВВОД'!$D$120</f>
        <v/>
      </c>
    </row>
    <row r="37">
      <c r="A37" s="200" t="n">
        <v>46298</v>
      </c>
      <c r="B37" s="201" t="n">
        <v>2</v>
      </c>
      <c r="C37" s="201" t="inlineStr">
        <is>
          <t>Окт-26</t>
        </is>
      </c>
      <c r="D37" s="201" t="n">
        <v>6</v>
      </c>
      <c r="E37" s="201" t="inlineStr">
        <is>
          <t>Сб</t>
        </is>
      </c>
      <c r="F37" s="199" t="n">
        <v>0</v>
      </c>
      <c r="G37" s="201" t="str"/>
      <c r="H37" s="193" t="n">
        <v>0</v>
      </c>
      <c r="I37" s="201" t="str"/>
      <c r="J37" s="188">
        <f>1</f>
        <v/>
      </c>
      <c r="K37" s="188">
        <f>IF(AND(D37&lt;=5,F37=0),1,0)</f>
        <v/>
      </c>
      <c r="L37" s="188">
        <f>IF(F37=1,'01_ВВОД'!$D$23,CHOOSE(D37,'01_ВВОД'!$D$19,'01_ВВОД'!$D$19,'01_ВВОД'!$D$19,'01_ВВОД'!$D$19,'01_ВВОД'!$D$20,'01_ВВОД'!$D$21,'01_ВВОД'!$D$22))</f>
        <v/>
      </c>
      <c r="M37" s="188">
        <f>L37*IF(H37=1,'01_ВВОД'!$D$118,1)</f>
        <v/>
      </c>
      <c r="N37" s="188">
        <f>IF(K37=1,'01_ВВОД'!$D$26,0)</f>
        <v/>
      </c>
      <c r="O37" s="188">
        <f>IF(F37=1,'01_ВВОД'!$D$34,IF(D37&lt;=5,'01_ВВОД'!$D$32,'01_ВВОД'!$D$33))</f>
        <v/>
      </c>
      <c r="P37" s="188">
        <f>O37</f>
        <v/>
      </c>
      <c r="Q37" s="188">
        <f>'01_ВВОД'!$D$40</f>
        <v/>
      </c>
      <c r="R37" s="188">
        <f>'01_ВВОД'!$D$46</f>
        <v/>
      </c>
      <c r="S37" s="188">
        <f>H37</f>
        <v/>
      </c>
      <c r="T37" s="188">
        <f>IF(H37=1,M37+N37+P37+Q37,0)</f>
        <v/>
      </c>
      <c r="U37">
        <f>R37*'01_ВВОД'!$D$120</f>
        <v/>
      </c>
    </row>
    <row r="38">
      <c r="A38" s="200" t="n">
        <v>46299</v>
      </c>
      <c r="B38" s="201" t="n">
        <v>2</v>
      </c>
      <c r="C38" s="201" t="inlineStr">
        <is>
          <t>Окт-26</t>
        </is>
      </c>
      <c r="D38" s="201" t="n">
        <v>7</v>
      </c>
      <c r="E38" s="201" t="inlineStr">
        <is>
          <t>Вс</t>
        </is>
      </c>
      <c r="F38" s="199" t="n">
        <v>0</v>
      </c>
      <c r="G38" s="201" t="str"/>
      <c r="H38" s="193" t="n">
        <v>0</v>
      </c>
      <c r="I38" s="201" t="str"/>
      <c r="J38" s="188">
        <f>1</f>
        <v/>
      </c>
      <c r="K38" s="188">
        <f>IF(AND(D38&lt;=5,F38=0),1,0)</f>
        <v/>
      </c>
      <c r="L38" s="188">
        <f>IF(F38=1,'01_ВВОД'!$D$23,CHOOSE(D38,'01_ВВОД'!$D$19,'01_ВВОД'!$D$19,'01_ВВОД'!$D$19,'01_ВВОД'!$D$19,'01_ВВОД'!$D$20,'01_ВВОД'!$D$21,'01_ВВОД'!$D$22))</f>
        <v/>
      </c>
      <c r="M38" s="188">
        <f>L38*IF(H38=1,'01_ВВОД'!$D$118,1)</f>
        <v/>
      </c>
      <c r="N38" s="188">
        <f>IF(K38=1,'01_ВВОД'!$D$26,0)</f>
        <v/>
      </c>
      <c r="O38" s="188">
        <f>IF(F38=1,'01_ВВОД'!$D$34,IF(D38&lt;=5,'01_ВВОД'!$D$32,'01_ВВОД'!$D$33))</f>
        <v/>
      </c>
      <c r="P38" s="188">
        <f>O38</f>
        <v/>
      </c>
      <c r="Q38" s="188">
        <f>'01_ВВОД'!$D$40</f>
        <v/>
      </c>
      <c r="R38" s="188">
        <f>'01_ВВОД'!$D$46</f>
        <v/>
      </c>
      <c r="S38" s="188">
        <f>H38</f>
        <v/>
      </c>
      <c r="T38" s="188">
        <f>IF(H38=1,M38+N38+P38+Q38,0)</f>
        <v/>
      </c>
      <c r="U38">
        <f>R38*'01_ВВОД'!$D$120</f>
        <v/>
      </c>
    </row>
    <row r="39">
      <c r="A39" s="200" t="n">
        <v>46300</v>
      </c>
      <c r="B39" s="201" t="n">
        <v>2</v>
      </c>
      <c r="C39" s="201" t="inlineStr">
        <is>
          <t>Окт-26</t>
        </is>
      </c>
      <c r="D39" s="201" t="n">
        <v>1</v>
      </c>
      <c r="E39" s="201" t="inlineStr">
        <is>
          <t>Пн</t>
        </is>
      </c>
      <c r="F39" s="199" t="n">
        <v>0</v>
      </c>
      <c r="G39" s="201" t="str"/>
      <c r="H39" s="193" t="n">
        <v>0</v>
      </c>
      <c r="I39" s="201" t="str"/>
      <c r="J39" s="188">
        <f>1</f>
        <v/>
      </c>
      <c r="K39" s="188">
        <f>IF(AND(D39&lt;=5,F39=0),1,0)</f>
        <v/>
      </c>
      <c r="L39" s="188">
        <f>IF(F39=1,'01_ВВОД'!$D$23,CHOOSE(D39,'01_ВВОД'!$D$19,'01_ВВОД'!$D$19,'01_ВВОД'!$D$19,'01_ВВОД'!$D$19,'01_ВВОД'!$D$20,'01_ВВОД'!$D$21,'01_ВВОД'!$D$22))</f>
        <v/>
      </c>
      <c r="M39" s="188">
        <f>L39*IF(H39=1,'01_ВВОД'!$D$118,1)</f>
        <v/>
      </c>
      <c r="N39" s="188">
        <f>IF(K39=1,'01_ВВОД'!$D$26,0)</f>
        <v/>
      </c>
      <c r="O39" s="188">
        <f>IF(F39=1,'01_ВВОД'!$D$34,IF(D39&lt;=5,'01_ВВОД'!$D$32,'01_ВВОД'!$D$33))</f>
        <v/>
      </c>
      <c r="P39" s="188">
        <f>O39</f>
        <v/>
      </c>
      <c r="Q39" s="188">
        <f>'01_ВВОД'!$D$40</f>
        <v/>
      </c>
      <c r="R39" s="188">
        <f>'01_ВВОД'!$D$46</f>
        <v/>
      </c>
      <c r="S39" s="188">
        <f>H39</f>
        <v/>
      </c>
      <c r="T39" s="188">
        <f>IF(H39=1,M39+N39+P39+Q39,0)</f>
        <v/>
      </c>
      <c r="U39">
        <f>R39*'01_ВВОД'!$D$120</f>
        <v/>
      </c>
    </row>
    <row r="40">
      <c r="A40" s="200" t="n">
        <v>46301</v>
      </c>
      <c r="B40" s="201" t="n">
        <v>2</v>
      </c>
      <c r="C40" s="201" t="inlineStr">
        <is>
          <t>Окт-26</t>
        </is>
      </c>
      <c r="D40" s="201" t="n">
        <v>2</v>
      </c>
      <c r="E40" s="201" t="inlineStr">
        <is>
          <t>Вт</t>
        </is>
      </c>
      <c r="F40" s="199" t="n">
        <v>0</v>
      </c>
      <c r="G40" s="201" t="str"/>
      <c r="H40" s="193" t="n">
        <v>0</v>
      </c>
      <c r="I40" s="201" t="str"/>
      <c r="J40" s="188">
        <f>1</f>
        <v/>
      </c>
      <c r="K40" s="188">
        <f>IF(AND(D40&lt;=5,F40=0),1,0)</f>
        <v/>
      </c>
      <c r="L40" s="188">
        <f>IF(F40=1,'01_ВВОД'!$D$23,CHOOSE(D40,'01_ВВОД'!$D$19,'01_ВВОД'!$D$19,'01_ВВОД'!$D$19,'01_ВВОД'!$D$19,'01_ВВОД'!$D$20,'01_ВВОД'!$D$21,'01_ВВОД'!$D$22))</f>
        <v/>
      </c>
      <c r="M40" s="188">
        <f>L40*IF(H40=1,'01_ВВОД'!$D$118,1)</f>
        <v/>
      </c>
      <c r="N40" s="188">
        <f>IF(K40=1,'01_ВВОД'!$D$26,0)</f>
        <v/>
      </c>
      <c r="O40" s="188">
        <f>IF(F40=1,'01_ВВОД'!$D$34,IF(D40&lt;=5,'01_ВВОД'!$D$32,'01_ВВОД'!$D$33))</f>
        <v/>
      </c>
      <c r="P40" s="188">
        <f>O40</f>
        <v/>
      </c>
      <c r="Q40" s="188">
        <f>'01_ВВОД'!$D$40</f>
        <v/>
      </c>
      <c r="R40" s="188">
        <f>'01_ВВОД'!$D$46</f>
        <v/>
      </c>
      <c r="S40" s="188">
        <f>H40</f>
        <v/>
      </c>
      <c r="T40" s="188">
        <f>IF(H40=1,M40+N40+P40+Q40,0)</f>
        <v/>
      </c>
      <c r="U40">
        <f>R40*'01_ВВОД'!$D$120</f>
        <v/>
      </c>
    </row>
    <row r="41">
      <c r="A41" s="200" t="n">
        <v>46302</v>
      </c>
      <c r="B41" s="201" t="n">
        <v>2</v>
      </c>
      <c r="C41" s="201" t="inlineStr">
        <is>
          <t>Окт-26</t>
        </is>
      </c>
      <c r="D41" s="201" t="n">
        <v>3</v>
      </c>
      <c r="E41" s="201" t="inlineStr">
        <is>
          <t>Ср</t>
        </is>
      </c>
      <c r="F41" s="199" t="n">
        <v>0</v>
      </c>
      <c r="G41" s="201" t="str"/>
      <c r="H41" s="193" t="n">
        <v>0</v>
      </c>
      <c r="I41" s="201" t="str"/>
      <c r="J41" s="188">
        <f>1</f>
        <v/>
      </c>
      <c r="K41" s="188">
        <f>IF(AND(D41&lt;=5,F41=0),1,0)</f>
        <v/>
      </c>
      <c r="L41" s="188">
        <f>IF(F41=1,'01_ВВОД'!$D$23,CHOOSE(D41,'01_ВВОД'!$D$19,'01_ВВОД'!$D$19,'01_ВВОД'!$D$19,'01_ВВОД'!$D$19,'01_ВВОД'!$D$20,'01_ВВОД'!$D$21,'01_ВВОД'!$D$22))</f>
        <v/>
      </c>
      <c r="M41" s="188">
        <f>L41*IF(H41=1,'01_ВВОД'!$D$118,1)</f>
        <v/>
      </c>
      <c r="N41" s="188">
        <f>IF(K41=1,'01_ВВОД'!$D$26,0)</f>
        <v/>
      </c>
      <c r="O41" s="188">
        <f>IF(F41=1,'01_ВВОД'!$D$34,IF(D41&lt;=5,'01_ВВОД'!$D$32,'01_ВВОД'!$D$33))</f>
        <v/>
      </c>
      <c r="P41" s="188">
        <f>O41</f>
        <v/>
      </c>
      <c r="Q41" s="188">
        <f>'01_ВВОД'!$D$40</f>
        <v/>
      </c>
      <c r="R41" s="188">
        <f>'01_ВВОД'!$D$46</f>
        <v/>
      </c>
      <c r="S41" s="188">
        <f>H41</f>
        <v/>
      </c>
      <c r="T41" s="188">
        <f>IF(H41=1,M41+N41+P41+Q41,0)</f>
        <v/>
      </c>
      <c r="U41">
        <f>R41*'01_ВВОД'!$D$120</f>
        <v/>
      </c>
    </row>
    <row r="42">
      <c r="A42" s="200" t="n">
        <v>46303</v>
      </c>
      <c r="B42" s="201" t="n">
        <v>2</v>
      </c>
      <c r="C42" s="201" t="inlineStr">
        <is>
          <t>Окт-26</t>
        </is>
      </c>
      <c r="D42" s="201" t="n">
        <v>4</v>
      </c>
      <c r="E42" s="201" t="inlineStr">
        <is>
          <t>Чт</t>
        </is>
      </c>
      <c r="F42" s="199" t="n">
        <v>0</v>
      </c>
      <c r="G42" s="201" t="str"/>
      <c r="H42" s="193" t="n">
        <v>0</v>
      </c>
      <c r="I42" s="201" t="str"/>
      <c r="J42" s="188">
        <f>1</f>
        <v/>
      </c>
      <c r="K42" s="188">
        <f>IF(AND(D42&lt;=5,F42=0),1,0)</f>
        <v/>
      </c>
      <c r="L42" s="188">
        <f>IF(F42=1,'01_ВВОД'!$D$23,CHOOSE(D42,'01_ВВОД'!$D$19,'01_ВВОД'!$D$19,'01_ВВОД'!$D$19,'01_ВВОД'!$D$19,'01_ВВОД'!$D$20,'01_ВВОД'!$D$21,'01_ВВОД'!$D$22))</f>
        <v/>
      </c>
      <c r="M42" s="188">
        <f>L42*IF(H42=1,'01_ВВОД'!$D$118,1)</f>
        <v/>
      </c>
      <c r="N42" s="188">
        <f>IF(K42=1,'01_ВВОД'!$D$26,0)</f>
        <v/>
      </c>
      <c r="O42" s="188">
        <f>IF(F42=1,'01_ВВОД'!$D$34,IF(D42&lt;=5,'01_ВВОД'!$D$32,'01_ВВОД'!$D$33))</f>
        <v/>
      </c>
      <c r="P42" s="188">
        <f>O42</f>
        <v/>
      </c>
      <c r="Q42" s="188">
        <f>'01_ВВОД'!$D$40</f>
        <v/>
      </c>
      <c r="R42" s="188">
        <f>'01_ВВОД'!$D$46</f>
        <v/>
      </c>
      <c r="S42" s="188">
        <f>H42</f>
        <v/>
      </c>
      <c r="T42" s="188">
        <f>IF(H42=1,M42+N42+P42+Q42,0)</f>
        <v/>
      </c>
      <c r="U42">
        <f>R42*'01_ВВОД'!$D$120</f>
        <v/>
      </c>
    </row>
    <row r="43">
      <c r="A43" s="200" t="n">
        <v>46304</v>
      </c>
      <c r="B43" s="201" t="n">
        <v>2</v>
      </c>
      <c r="C43" s="201" t="inlineStr">
        <is>
          <t>Окт-26</t>
        </is>
      </c>
      <c r="D43" s="201" t="n">
        <v>5</v>
      </c>
      <c r="E43" s="201" t="inlineStr">
        <is>
          <t>Пт</t>
        </is>
      </c>
      <c r="F43" s="199" t="n">
        <v>0</v>
      </c>
      <c r="G43" s="201" t="str"/>
      <c r="H43" s="193" t="n">
        <v>0</v>
      </c>
      <c r="I43" s="201" t="str"/>
      <c r="J43" s="188">
        <f>1</f>
        <v/>
      </c>
      <c r="K43" s="188">
        <f>IF(AND(D43&lt;=5,F43=0),1,0)</f>
        <v/>
      </c>
      <c r="L43" s="188">
        <f>IF(F43=1,'01_ВВОД'!$D$23,CHOOSE(D43,'01_ВВОД'!$D$19,'01_ВВОД'!$D$19,'01_ВВОД'!$D$19,'01_ВВОД'!$D$19,'01_ВВОД'!$D$20,'01_ВВОД'!$D$21,'01_ВВОД'!$D$22))</f>
        <v/>
      </c>
      <c r="M43" s="188">
        <f>L43*IF(H43=1,'01_ВВОД'!$D$118,1)</f>
        <v/>
      </c>
      <c r="N43" s="188">
        <f>IF(K43=1,'01_ВВОД'!$D$26,0)</f>
        <v/>
      </c>
      <c r="O43" s="188">
        <f>IF(F43=1,'01_ВВОД'!$D$34,IF(D43&lt;=5,'01_ВВОД'!$D$32,'01_ВВОД'!$D$33))</f>
        <v/>
      </c>
      <c r="P43" s="188">
        <f>O43</f>
        <v/>
      </c>
      <c r="Q43" s="188">
        <f>'01_ВВОД'!$D$40</f>
        <v/>
      </c>
      <c r="R43" s="188">
        <f>'01_ВВОД'!$D$46</f>
        <v/>
      </c>
      <c r="S43" s="188">
        <f>H43</f>
        <v/>
      </c>
      <c r="T43" s="188">
        <f>IF(H43=1,M43+N43+P43+Q43,0)</f>
        <v/>
      </c>
      <c r="U43">
        <f>R43*'01_ВВОД'!$D$120</f>
        <v/>
      </c>
    </row>
    <row r="44">
      <c r="A44" s="200" t="n">
        <v>46305</v>
      </c>
      <c r="B44" s="201" t="n">
        <v>2</v>
      </c>
      <c r="C44" s="201" t="inlineStr">
        <is>
          <t>Окт-26</t>
        </is>
      </c>
      <c r="D44" s="201" t="n">
        <v>6</v>
      </c>
      <c r="E44" s="201" t="inlineStr">
        <is>
          <t>Сб</t>
        </is>
      </c>
      <c r="F44" s="199" t="n">
        <v>0</v>
      </c>
      <c r="G44" s="201" t="str"/>
      <c r="H44" s="193" t="n">
        <v>0</v>
      </c>
      <c r="I44" s="201" t="str"/>
      <c r="J44" s="188">
        <f>1</f>
        <v/>
      </c>
      <c r="K44" s="188">
        <f>IF(AND(D44&lt;=5,F44=0),1,0)</f>
        <v/>
      </c>
      <c r="L44" s="188">
        <f>IF(F44=1,'01_ВВОД'!$D$23,CHOOSE(D44,'01_ВВОД'!$D$19,'01_ВВОД'!$D$19,'01_ВВОД'!$D$19,'01_ВВОД'!$D$19,'01_ВВОД'!$D$20,'01_ВВОД'!$D$21,'01_ВВОД'!$D$22))</f>
        <v/>
      </c>
      <c r="M44" s="188">
        <f>L44*IF(H44=1,'01_ВВОД'!$D$118,1)</f>
        <v/>
      </c>
      <c r="N44" s="188">
        <f>IF(K44=1,'01_ВВОД'!$D$26,0)</f>
        <v/>
      </c>
      <c r="O44" s="188">
        <f>IF(F44=1,'01_ВВОД'!$D$34,IF(D44&lt;=5,'01_ВВОД'!$D$32,'01_ВВОД'!$D$33))</f>
        <v/>
      </c>
      <c r="P44" s="188">
        <f>O44</f>
        <v/>
      </c>
      <c r="Q44" s="188">
        <f>'01_ВВОД'!$D$40</f>
        <v/>
      </c>
      <c r="R44" s="188">
        <f>'01_ВВОД'!$D$46</f>
        <v/>
      </c>
      <c r="S44" s="188">
        <f>H44</f>
        <v/>
      </c>
      <c r="T44" s="188">
        <f>IF(H44=1,M44+N44+P44+Q44,0)</f>
        <v/>
      </c>
      <c r="U44">
        <f>R44*'01_ВВОД'!$D$120</f>
        <v/>
      </c>
    </row>
    <row r="45">
      <c r="A45" s="200" t="n">
        <v>46306</v>
      </c>
      <c r="B45" s="201" t="n">
        <v>2</v>
      </c>
      <c r="C45" s="201" t="inlineStr">
        <is>
          <t>Окт-26</t>
        </is>
      </c>
      <c r="D45" s="201" t="n">
        <v>7</v>
      </c>
      <c r="E45" s="201" t="inlineStr">
        <is>
          <t>Вс</t>
        </is>
      </c>
      <c r="F45" s="199" t="n">
        <v>0</v>
      </c>
      <c r="G45" s="201" t="str"/>
      <c r="H45" s="193" t="n">
        <v>0</v>
      </c>
      <c r="I45" s="201" t="str"/>
      <c r="J45" s="188">
        <f>1</f>
        <v/>
      </c>
      <c r="K45" s="188">
        <f>IF(AND(D45&lt;=5,F45=0),1,0)</f>
        <v/>
      </c>
      <c r="L45" s="188">
        <f>IF(F45=1,'01_ВВОД'!$D$23,CHOOSE(D45,'01_ВВОД'!$D$19,'01_ВВОД'!$D$19,'01_ВВОД'!$D$19,'01_ВВОД'!$D$19,'01_ВВОД'!$D$20,'01_ВВОД'!$D$21,'01_ВВОД'!$D$22))</f>
        <v/>
      </c>
      <c r="M45" s="188">
        <f>L45*IF(H45=1,'01_ВВОД'!$D$118,1)</f>
        <v/>
      </c>
      <c r="N45" s="188">
        <f>IF(K45=1,'01_ВВОД'!$D$26,0)</f>
        <v/>
      </c>
      <c r="O45" s="188">
        <f>IF(F45=1,'01_ВВОД'!$D$34,IF(D45&lt;=5,'01_ВВОД'!$D$32,'01_ВВОД'!$D$33))</f>
        <v/>
      </c>
      <c r="P45" s="188">
        <f>O45</f>
        <v/>
      </c>
      <c r="Q45" s="188">
        <f>'01_ВВОД'!$D$40</f>
        <v/>
      </c>
      <c r="R45" s="188">
        <f>'01_ВВОД'!$D$46</f>
        <v/>
      </c>
      <c r="S45" s="188">
        <f>H45</f>
        <v/>
      </c>
      <c r="T45" s="188">
        <f>IF(H45=1,M45+N45+P45+Q45,0)</f>
        <v/>
      </c>
      <c r="U45">
        <f>R45*'01_ВВОД'!$D$120</f>
        <v/>
      </c>
    </row>
    <row r="46">
      <c r="A46" s="200" t="n">
        <v>46307</v>
      </c>
      <c r="B46" s="201" t="n">
        <v>2</v>
      </c>
      <c r="C46" s="201" t="inlineStr">
        <is>
          <t>Окт-26</t>
        </is>
      </c>
      <c r="D46" s="201" t="n">
        <v>1</v>
      </c>
      <c r="E46" s="201" t="inlineStr">
        <is>
          <t>Пн</t>
        </is>
      </c>
      <c r="F46" s="199" t="n">
        <v>0</v>
      </c>
      <c r="G46" s="201" t="str"/>
      <c r="H46" s="193" t="n">
        <v>0</v>
      </c>
      <c r="I46" s="201" t="str"/>
      <c r="J46" s="188">
        <f>1</f>
        <v/>
      </c>
      <c r="K46" s="188">
        <f>IF(AND(D46&lt;=5,F46=0),1,0)</f>
        <v/>
      </c>
      <c r="L46" s="188">
        <f>IF(F46=1,'01_ВВОД'!$D$23,CHOOSE(D46,'01_ВВОД'!$D$19,'01_ВВОД'!$D$19,'01_ВВОД'!$D$19,'01_ВВОД'!$D$19,'01_ВВОД'!$D$20,'01_ВВОД'!$D$21,'01_ВВОД'!$D$22))</f>
        <v/>
      </c>
      <c r="M46" s="188">
        <f>L46*IF(H46=1,'01_ВВОД'!$D$118,1)</f>
        <v/>
      </c>
      <c r="N46" s="188">
        <f>IF(K46=1,'01_ВВОД'!$D$26,0)</f>
        <v/>
      </c>
      <c r="O46" s="188">
        <f>IF(F46=1,'01_ВВОД'!$D$34,IF(D46&lt;=5,'01_ВВОД'!$D$32,'01_ВВОД'!$D$33))</f>
        <v/>
      </c>
      <c r="P46" s="188">
        <f>O46</f>
        <v/>
      </c>
      <c r="Q46" s="188">
        <f>'01_ВВОД'!$D$40</f>
        <v/>
      </c>
      <c r="R46" s="188">
        <f>'01_ВВОД'!$D$46</f>
        <v/>
      </c>
      <c r="S46" s="188">
        <f>H46</f>
        <v/>
      </c>
      <c r="T46" s="188">
        <f>IF(H46=1,M46+N46+P46+Q46,0)</f>
        <v/>
      </c>
      <c r="U46">
        <f>R46*'01_ВВОД'!$D$120</f>
        <v/>
      </c>
    </row>
    <row r="47">
      <c r="A47" s="200" t="n">
        <v>46308</v>
      </c>
      <c r="B47" s="201" t="n">
        <v>2</v>
      </c>
      <c r="C47" s="201" t="inlineStr">
        <is>
          <t>Окт-26</t>
        </is>
      </c>
      <c r="D47" s="201" t="n">
        <v>2</v>
      </c>
      <c r="E47" s="201" t="inlineStr">
        <is>
          <t>Вт</t>
        </is>
      </c>
      <c r="F47" s="199" t="n">
        <v>0</v>
      </c>
      <c r="G47" s="201" t="str"/>
      <c r="H47" s="193" t="n">
        <v>0</v>
      </c>
      <c r="I47" s="201" t="str"/>
      <c r="J47" s="188">
        <f>1</f>
        <v/>
      </c>
      <c r="K47" s="188">
        <f>IF(AND(D47&lt;=5,F47=0),1,0)</f>
        <v/>
      </c>
      <c r="L47" s="188">
        <f>IF(F47=1,'01_ВВОД'!$D$23,CHOOSE(D47,'01_ВВОД'!$D$19,'01_ВВОД'!$D$19,'01_ВВОД'!$D$19,'01_ВВОД'!$D$19,'01_ВВОД'!$D$20,'01_ВВОД'!$D$21,'01_ВВОД'!$D$22))</f>
        <v/>
      </c>
      <c r="M47" s="188">
        <f>L47*IF(H47=1,'01_ВВОД'!$D$118,1)</f>
        <v/>
      </c>
      <c r="N47" s="188">
        <f>IF(K47=1,'01_ВВОД'!$D$26,0)</f>
        <v/>
      </c>
      <c r="O47" s="188">
        <f>IF(F47=1,'01_ВВОД'!$D$34,IF(D47&lt;=5,'01_ВВОД'!$D$32,'01_ВВОД'!$D$33))</f>
        <v/>
      </c>
      <c r="P47" s="188">
        <f>O47</f>
        <v/>
      </c>
      <c r="Q47" s="188">
        <f>'01_ВВОД'!$D$40</f>
        <v/>
      </c>
      <c r="R47" s="188">
        <f>'01_ВВОД'!$D$46</f>
        <v/>
      </c>
      <c r="S47" s="188">
        <f>H47</f>
        <v/>
      </c>
      <c r="T47" s="188">
        <f>IF(H47=1,M47+N47+P47+Q47,0)</f>
        <v/>
      </c>
      <c r="U47">
        <f>R47*'01_ВВОД'!$D$120</f>
        <v/>
      </c>
    </row>
    <row r="48">
      <c r="A48" s="200" t="n">
        <v>46309</v>
      </c>
      <c r="B48" s="201" t="n">
        <v>2</v>
      </c>
      <c r="C48" s="201" t="inlineStr">
        <is>
          <t>Окт-26</t>
        </is>
      </c>
      <c r="D48" s="201" t="n">
        <v>3</v>
      </c>
      <c r="E48" s="201" t="inlineStr">
        <is>
          <t>Ср</t>
        </is>
      </c>
      <c r="F48" s="199" t="n">
        <v>0</v>
      </c>
      <c r="G48" s="201" t="str"/>
      <c r="H48" s="193" t="n">
        <v>0</v>
      </c>
      <c r="I48" s="201" t="str"/>
      <c r="J48" s="188">
        <f>1</f>
        <v/>
      </c>
      <c r="K48" s="188">
        <f>IF(AND(D48&lt;=5,F48=0),1,0)</f>
        <v/>
      </c>
      <c r="L48" s="188">
        <f>IF(F48=1,'01_ВВОД'!$D$23,CHOOSE(D48,'01_ВВОД'!$D$19,'01_ВВОД'!$D$19,'01_ВВОД'!$D$19,'01_ВВОД'!$D$19,'01_ВВОД'!$D$20,'01_ВВОД'!$D$21,'01_ВВОД'!$D$22))</f>
        <v/>
      </c>
      <c r="M48" s="188">
        <f>L48*IF(H48=1,'01_ВВОД'!$D$118,1)</f>
        <v/>
      </c>
      <c r="N48" s="188">
        <f>IF(K48=1,'01_ВВОД'!$D$26,0)</f>
        <v/>
      </c>
      <c r="O48" s="188">
        <f>IF(F48=1,'01_ВВОД'!$D$34,IF(D48&lt;=5,'01_ВВОД'!$D$32,'01_ВВОД'!$D$33))</f>
        <v/>
      </c>
      <c r="P48" s="188">
        <f>O48</f>
        <v/>
      </c>
      <c r="Q48" s="188">
        <f>'01_ВВОД'!$D$40</f>
        <v/>
      </c>
      <c r="R48" s="188">
        <f>'01_ВВОД'!$D$46</f>
        <v/>
      </c>
      <c r="S48" s="188">
        <f>H48</f>
        <v/>
      </c>
      <c r="T48" s="188">
        <f>IF(H48=1,M48+N48+P48+Q48,0)</f>
        <v/>
      </c>
      <c r="U48">
        <f>R48*'01_ВВОД'!$D$120</f>
        <v/>
      </c>
    </row>
    <row r="49">
      <c r="A49" s="200" t="n">
        <v>46310</v>
      </c>
      <c r="B49" s="201" t="n">
        <v>2</v>
      </c>
      <c r="C49" s="201" t="inlineStr">
        <is>
          <t>Окт-26</t>
        </is>
      </c>
      <c r="D49" s="201" t="n">
        <v>4</v>
      </c>
      <c r="E49" s="201" t="inlineStr">
        <is>
          <t>Чт</t>
        </is>
      </c>
      <c r="F49" s="199" t="n">
        <v>0</v>
      </c>
      <c r="G49" s="201" t="str"/>
      <c r="H49" s="193" t="n">
        <v>0</v>
      </c>
      <c r="I49" s="201" t="str"/>
      <c r="J49" s="188">
        <f>1</f>
        <v/>
      </c>
      <c r="K49" s="188">
        <f>IF(AND(D49&lt;=5,F49=0),1,0)</f>
        <v/>
      </c>
      <c r="L49" s="188">
        <f>IF(F49=1,'01_ВВОД'!$D$23,CHOOSE(D49,'01_ВВОД'!$D$19,'01_ВВОД'!$D$19,'01_ВВОД'!$D$19,'01_ВВОД'!$D$19,'01_ВВОД'!$D$20,'01_ВВОД'!$D$21,'01_ВВОД'!$D$22))</f>
        <v/>
      </c>
      <c r="M49" s="188">
        <f>L49*IF(H49=1,'01_ВВОД'!$D$118,1)</f>
        <v/>
      </c>
      <c r="N49" s="188">
        <f>IF(K49=1,'01_ВВОД'!$D$26,0)</f>
        <v/>
      </c>
      <c r="O49" s="188">
        <f>IF(F49=1,'01_ВВОД'!$D$34,IF(D49&lt;=5,'01_ВВОД'!$D$32,'01_ВВОД'!$D$33))</f>
        <v/>
      </c>
      <c r="P49" s="188">
        <f>O49</f>
        <v/>
      </c>
      <c r="Q49" s="188">
        <f>'01_ВВОД'!$D$40</f>
        <v/>
      </c>
      <c r="R49" s="188">
        <f>'01_ВВОД'!$D$46</f>
        <v/>
      </c>
      <c r="S49" s="188">
        <f>H49</f>
        <v/>
      </c>
      <c r="T49" s="188">
        <f>IF(H49=1,M49+N49+P49+Q49,0)</f>
        <v/>
      </c>
      <c r="U49">
        <f>R49*'01_ВВОД'!$D$120</f>
        <v/>
      </c>
    </row>
    <row r="50">
      <c r="A50" s="200" t="n">
        <v>46311</v>
      </c>
      <c r="B50" s="201" t="n">
        <v>2</v>
      </c>
      <c r="C50" s="201" t="inlineStr">
        <is>
          <t>Окт-26</t>
        </is>
      </c>
      <c r="D50" s="201" t="n">
        <v>5</v>
      </c>
      <c r="E50" s="201" t="inlineStr">
        <is>
          <t>Пт</t>
        </is>
      </c>
      <c r="F50" s="199" t="n">
        <v>0</v>
      </c>
      <c r="G50" s="201" t="str"/>
      <c r="H50" s="193" t="n">
        <v>0</v>
      </c>
      <c r="I50" s="201" t="str"/>
      <c r="J50" s="188">
        <f>1</f>
        <v/>
      </c>
      <c r="K50" s="188">
        <f>IF(AND(D50&lt;=5,F50=0),1,0)</f>
        <v/>
      </c>
      <c r="L50" s="188">
        <f>IF(F50=1,'01_ВВОД'!$D$23,CHOOSE(D50,'01_ВВОД'!$D$19,'01_ВВОД'!$D$19,'01_ВВОД'!$D$19,'01_ВВОД'!$D$19,'01_ВВОД'!$D$20,'01_ВВОД'!$D$21,'01_ВВОД'!$D$22))</f>
        <v/>
      </c>
      <c r="M50" s="188">
        <f>L50*IF(H50=1,'01_ВВОД'!$D$118,1)</f>
        <v/>
      </c>
      <c r="N50" s="188">
        <f>IF(K50=1,'01_ВВОД'!$D$26,0)</f>
        <v/>
      </c>
      <c r="O50" s="188">
        <f>IF(F50=1,'01_ВВОД'!$D$34,IF(D50&lt;=5,'01_ВВОД'!$D$32,'01_ВВОД'!$D$33))</f>
        <v/>
      </c>
      <c r="P50" s="188">
        <f>O50</f>
        <v/>
      </c>
      <c r="Q50" s="188">
        <f>'01_ВВОД'!$D$40</f>
        <v/>
      </c>
      <c r="R50" s="188">
        <f>'01_ВВОД'!$D$46</f>
        <v/>
      </c>
      <c r="S50" s="188">
        <f>H50</f>
        <v/>
      </c>
      <c r="T50" s="188">
        <f>IF(H50=1,M50+N50+P50+Q50,0)</f>
        <v/>
      </c>
      <c r="U50">
        <f>R50*'01_ВВОД'!$D$120</f>
        <v/>
      </c>
    </row>
    <row r="51">
      <c r="A51" s="200" t="n">
        <v>46312</v>
      </c>
      <c r="B51" s="201" t="n">
        <v>2</v>
      </c>
      <c r="C51" s="201" t="inlineStr">
        <is>
          <t>Окт-26</t>
        </is>
      </c>
      <c r="D51" s="201" t="n">
        <v>6</v>
      </c>
      <c r="E51" s="201" t="inlineStr">
        <is>
          <t>Сб</t>
        </is>
      </c>
      <c r="F51" s="199" t="n">
        <v>0</v>
      </c>
      <c r="G51" s="201" t="str"/>
      <c r="H51" s="193" t="n">
        <v>0</v>
      </c>
      <c r="I51" s="201" t="str"/>
      <c r="J51" s="188">
        <f>1</f>
        <v/>
      </c>
      <c r="K51" s="188">
        <f>IF(AND(D51&lt;=5,F51=0),1,0)</f>
        <v/>
      </c>
      <c r="L51" s="188">
        <f>IF(F51=1,'01_ВВОД'!$D$23,CHOOSE(D51,'01_ВВОД'!$D$19,'01_ВВОД'!$D$19,'01_ВВОД'!$D$19,'01_ВВОД'!$D$19,'01_ВВОД'!$D$20,'01_ВВОД'!$D$21,'01_ВВОД'!$D$22))</f>
        <v/>
      </c>
      <c r="M51" s="188">
        <f>L51*IF(H51=1,'01_ВВОД'!$D$118,1)</f>
        <v/>
      </c>
      <c r="N51" s="188">
        <f>IF(K51=1,'01_ВВОД'!$D$26,0)</f>
        <v/>
      </c>
      <c r="O51" s="188">
        <f>IF(F51=1,'01_ВВОД'!$D$34,IF(D51&lt;=5,'01_ВВОД'!$D$32,'01_ВВОД'!$D$33))</f>
        <v/>
      </c>
      <c r="P51" s="188">
        <f>O51</f>
        <v/>
      </c>
      <c r="Q51" s="188">
        <f>'01_ВВОД'!$D$40</f>
        <v/>
      </c>
      <c r="R51" s="188">
        <f>'01_ВВОД'!$D$46</f>
        <v/>
      </c>
      <c r="S51" s="188">
        <f>H51</f>
        <v/>
      </c>
      <c r="T51" s="188">
        <f>IF(H51=1,M51+N51+P51+Q51,0)</f>
        <v/>
      </c>
      <c r="U51">
        <f>R51*'01_ВВОД'!$D$120</f>
        <v/>
      </c>
    </row>
    <row r="52">
      <c r="A52" s="200" t="n">
        <v>46313</v>
      </c>
      <c r="B52" s="201" t="n">
        <v>2</v>
      </c>
      <c r="C52" s="201" t="inlineStr">
        <is>
          <t>Окт-26</t>
        </is>
      </c>
      <c r="D52" s="201" t="n">
        <v>7</v>
      </c>
      <c r="E52" s="201" t="inlineStr">
        <is>
          <t>Вс</t>
        </is>
      </c>
      <c r="F52" s="199" t="n">
        <v>0</v>
      </c>
      <c r="G52" s="201" t="str"/>
      <c r="H52" s="193" t="n">
        <v>0</v>
      </c>
      <c r="I52" s="201" t="str"/>
      <c r="J52" s="188">
        <f>1</f>
        <v/>
      </c>
      <c r="K52" s="188">
        <f>IF(AND(D52&lt;=5,F52=0),1,0)</f>
        <v/>
      </c>
      <c r="L52" s="188">
        <f>IF(F52=1,'01_ВВОД'!$D$23,CHOOSE(D52,'01_ВВОД'!$D$19,'01_ВВОД'!$D$19,'01_ВВОД'!$D$19,'01_ВВОД'!$D$19,'01_ВВОД'!$D$20,'01_ВВОД'!$D$21,'01_ВВОД'!$D$22))</f>
        <v/>
      </c>
      <c r="M52" s="188">
        <f>L52*IF(H52=1,'01_ВВОД'!$D$118,1)</f>
        <v/>
      </c>
      <c r="N52" s="188">
        <f>IF(K52=1,'01_ВВОД'!$D$26,0)</f>
        <v/>
      </c>
      <c r="O52" s="188">
        <f>IF(F52=1,'01_ВВОД'!$D$34,IF(D52&lt;=5,'01_ВВОД'!$D$32,'01_ВВОД'!$D$33))</f>
        <v/>
      </c>
      <c r="P52" s="188">
        <f>O52</f>
        <v/>
      </c>
      <c r="Q52" s="188">
        <f>'01_ВВОД'!$D$40</f>
        <v/>
      </c>
      <c r="R52" s="188">
        <f>'01_ВВОД'!$D$46</f>
        <v/>
      </c>
      <c r="S52" s="188">
        <f>H52</f>
        <v/>
      </c>
      <c r="T52" s="188">
        <f>IF(H52=1,M52+N52+P52+Q52,0)</f>
        <v/>
      </c>
      <c r="U52">
        <f>R52*'01_ВВОД'!$D$120</f>
        <v/>
      </c>
    </row>
    <row r="53">
      <c r="A53" s="200" t="n">
        <v>46314</v>
      </c>
      <c r="B53" s="201" t="n">
        <v>2</v>
      </c>
      <c r="C53" s="201" t="inlineStr">
        <is>
          <t>Окт-26</t>
        </is>
      </c>
      <c r="D53" s="201" t="n">
        <v>1</v>
      </c>
      <c r="E53" s="201" t="inlineStr">
        <is>
          <t>Пн</t>
        </is>
      </c>
      <c r="F53" s="199" t="n">
        <v>0</v>
      </c>
      <c r="G53" s="201" t="str"/>
      <c r="H53" s="193" t="n">
        <v>0</v>
      </c>
      <c r="I53" s="201" t="str"/>
      <c r="J53" s="188">
        <f>1</f>
        <v/>
      </c>
      <c r="K53" s="188">
        <f>IF(AND(D53&lt;=5,F53=0),1,0)</f>
        <v/>
      </c>
      <c r="L53" s="188">
        <f>IF(F53=1,'01_ВВОД'!$D$23,CHOOSE(D53,'01_ВВОД'!$D$19,'01_ВВОД'!$D$19,'01_ВВОД'!$D$19,'01_ВВОД'!$D$19,'01_ВВОД'!$D$20,'01_ВВОД'!$D$21,'01_ВВОД'!$D$22))</f>
        <v/>
      </c>
      <c r="M53" s="188">
        <f>L53*IF(H53=1,'01_ВВОД'!$D$118,1)</f>
        <v/>
      </c>
      <c r="N53" s="188">
        <f>IF(K53=1,'01_ВВОД'!$D$26,0)</f>
        <v/>
      </c>
      <c r="O53" s="188">
        <f>IF(F53=1,'01_ВВОД'!$D$34,IF(D53&lt;=5,'01_ВВОД'!$D$32,'01_ВВОД'!$D$33))</f>
        <v/>
      </c>
      <c r="P53" s="188">
        <f>O53</f>
        <v/>
      </c>
      <c r="Q53" s="188">
        <f>'01_ВВОД'!$D$40</f>
        <v/>
      </c>
      <c r="R53" s="188">
        <f>'01_ВВОД'!$D$46</f>
        <v/>
      </c>
      <c r="S53" s="188">
        <f>H53</f>
        <v/>
      </c>
      <c r="T53" s="188">
        <f>IF(H53=1,M53+N53+P53+Q53,0)</f>
        <v/>
      </c>
      <c r="U53">
        <f>R53*'01_ВВОД'!$D$120</f>
        <v/>
      </c>
    </row>
    <row r="54">
      <c r="A54" s="200" t="n">
        <v>46315</v>
      </c>
      <c r="B54" s="201" t="n">
        <v>2</v>
      </c>
      <c r="C54" s="201" t="inlineStr">
        <is>
          <t>Окт-26</t>
        </is>
      </c>
      <c r="D54" s="201" t="n">
        <v>2</v>
      </c>
      <c r="E54" s="201" t="inlineStr">
        <is>
          <t>Вт</t>
        </is>
      </c>
      <c r="F54" s="199" t="n">
        <v>0</v>
      </c>
      <c r="G54" s="201" t="str"/>
      <c r="H54" s="193" t="n">
        <v>0</v>
      </c>
      <c r="I54" s="201" t="str"/>
      <c r="J54" s="188">
        <f>1</f>
        <v/>
      </c>
      <c r="K54" s="188">
        <f>IF(AND(D54&lt;=5,F54=0),1,0)</f>
        <v/>
      </c>
      <c r="L54" s="188">
        <f>IF(F54=1,'01_ВВОД'!$D$23,CHOOSE(D54,'01_ВВОД'!$D$19,'01_ВВОД'!$D$19,'01_ВВОД'!$D$19,'01_ВВОД'!$D$19,'01_ВВОД'!$D$20,'01_ВВОД'!$D$21,'01_ВВОД'!$D$22))</f>
        <v/>
      </c>
      <c r="M54" s="188">
        <f>L54*IF(H54=1,'01_ВВОД'!$D$118,1)</f>
        <v/>
      </c>
      <c r="N54" s="188">
        <f>IF(K54=1,'01_ВВОД'!$D$26,0)</f>
        <v/>
      </c>
      <c r="O54" s="188">
        <f>IF(F54=1,'01_ВВОД'!$D$34,IF(D54&lt;=5,'01_ВВОД'!$D$32,'01_ВВОД'!$D$33))</f>
        <v/>
      </c>
      <c r="P54" s="188">
        <f>O54</f>
        <v/>
      </c>
      <c r="Q54" s="188">
        <f>'01_ВВОД'!$D$40</f>
        <v/>
      </c>
      <c r="R54" s="188">
        <f>'01_ВВОД'!$D$46</f>
        <v/>
      </c>
      <c r="S54" s="188">
        <f>H54</f>
        <v/>
      </c>
      <c r="T54" s="188">
        <f>IF(H54=1,M54+N54+P54+Q54,0)</f>
        <v/>
      </c>
      <c r="U54">
        <f>R54*'01_ВВОД'!$D$120</f>
        <v/>
      </c>
    </row>
    <row r="55">
      <c r="A55" s="200" t="n">
        <v>46316</v>
      </c>
      <c r="B55" s="201" t="n">
        <v>2</v>
      </c>
      <c r="C55" s="201" t="inlineStr">
        <is>
          <t>Окт-26</t>
        </is>
      </c>
      <c r="D55" s="201" t="n">
        <v>3</v>
      </c>
      <c r="E55" s="201" t="inlineStr">
        <is>
          <t>Ср</t>
        </is>
      </c>
      <c r="F55" s="199" t="n">
        <v>0</v>
      </c>
      <c r="G55" s="201" t="str"/>
      <c r="H55" s="193" t="n">
        <v>0</v>
      </c>
      <c r="I55" s="201" t="str"/>
      <c r="J55" s="188">
        <f>1</f>
        <v/>
      </c>
      <c r="K55" s="188">
        <f>IF(AND(D55&lt;=5,F55=0),1,0)</f>
        <v/>
      </c>
      <c r="L55" s="188">
        <f>IF(F55=1,'01_ВВОД'!$D$23,CHOOSE(D55,'01_ВВОД'!$D$19,'01_ВВОД'!$D$19,'01_ВВОД'!$D$19,'01_ВВОД'!$D$19,'01_ВВОД'!$D$20,'01_ВВОД'!$D$21,'01_ВВОД'!$D$22))</f>
        <v/>
      </c>
      <c r="M55" s="188">
        <f>L55*IF(H55=1,'01_ВВОД'!$D$118,1)</f>
        <v/>
      </c>
      <c r="N55" s="188">
        <f>IF(K55=1,'01_ВВОД'!$D$26,0)</f>
        <v/>
      </c>
      <c r="O55" s="188">
        <f>IF(F55=1,'01_ВВОД'!$D$34,IF(D55&lt;=5,'01_ВВОД'!$D$32,'01_ВВОД'!$D$33))</f>
        <v/>
      </c>
      <c r="P55" s="188">
        <f>O55</f>
        <v/>
      </c>
      <c r="Q55" s="188">
        <f>'01_ВВОД'!$D$40</f>
        <v/>
      </c>
      <c r="R55" s="188">
        <f>'01_ВВОД'!$D$46</f>
        <v/>
      </c>
      <c r="S55" s="188">
        <f>H55</f>
        <v/>
      </c>
      <c r="T55" s="188">
        <f>IF(H55=1,M55+N55+P55+Q55,0)</f>
        <v/>
      </c>
      <c r="U55">
        <f>R55*'01_ВВОД'!$D$120</f>
        <v/>
      </c>
    </row>
    <row r="56">
      <c r="A56" s="200" t="n">
        <v>46317</v>
      </c>
      <c r="B56" s="201" t="n">
        <v>2</v>
      </c>
      <c r="C56" s="201" t="inlineStr">
        <is>
          <t>Окт-26</t>
        </is>
      </c>
      <c r="D56" s="201" t="n">
        <v>4</v>
      </c>
      <c r="E56" s="201" t="inlineStr">
        <is>
          <t>Чт</t>
        </is>
      </c>
      <c r="F56" s="199" t="n">
        <v>0</v>
      </c>
      <c r="G56" s="201" t="str"/>
      <c r="H56" s="193" t="n">
        <v>0</v>
      </c>
      <c r="I56" s="201" t="str"/>
      <c r="J56" s="188">
        <f>1</f>
        <v/>
      </c>
      <c r="K56" s="188">
        <f>IF(AND(D56&lt;=5,F56=0),1,0)</f>
        <v/>
      </c>
      <c r="L56" s="188">
        <f>IF(F56=1,'01_ВВОД'!$D$23,CHOOSE(D56,'01_ВВОД'!$D$19,'01_ВВОД'!$D$19,'01_ВВОД'!$D$19,'01_ВВОД'!$D$19,'01_ВВОД'!$D$20,'01_ВВОД'!$D$21,'01_ВВОД'!$D$22))</f>
        <v/>
      </c>
      <c r="M56" s="188">
        <f>L56*IF(H56=1,'01_ВВОД'!$D$118,1)</f>
        <v/>
      </c>
      <c r="N56" s="188">
        <f>IF(K56=1,'01_ВВОД'!$D$26,0)</f>
        <v/>
      </c>
      <c r="O56" s="188">
        <f>IF(F56=1,'01_ВВОД'!$D$34,IF(D56&lt;=5,'01_ВВОД'!$D$32,'01_ВВОД'!$D$33))</f>
        <v/>
      </c>
      <c r="P56" s="188">
        <f>O56</f>
        <v/>
      </c>
      <c r="Q56" s="188">
        <f>'01_ВВОД'!$D$40</f>
        <v/>
      </c>
      <c r="R56" s="188">
        <f>'01_ВВОД'!$D$46</f>
        <v/>
      </c>
      <c r="S56" s="188">
        <f>H56</f>
        <v/>
      </c>
      <c r="T56" s="188">
        <f>IF(H56=1,M56+N56+P56+Q56,0)</f>
        <v/>
      </c>
      <c r="U56">
        <f>R56*'01_ВВОД'!$D$120</f>
        <v/>
      </c>
    </row>
    <row r="57">
      <c r="A57" s="200" t="n">
        <v>46318</v>
      </c>
      <c r="B57" s="201" t="n">
        <v>2</v>
      </c>
      <c r="C57" s="201" t="inlineStr">
        <is>
          <t>Окт-26</t>
        </is>
      </c>
      <c r="D57" s="201" t="n">
        <v>5</v>
      </c>
      <c r="E57" s="201" t="inlineStr">
        <is>
          <t>Пт</t>
        </is>
      </c>
      <c r="F57" s="199" t="n">
        <v>0</v>
      </c>
      <c r="G57" s="201" t="str"/>
      <c r="H57" s="193" t="n">
        <v>0</v>
      </c>
      <c r="I57" s="201" t="str"/>
      <c r="J57" s="188">
        <f>1</f>
        <v/>
      </c>
      <c r="K57" s="188">
        <f>IF(AND(D57&lt;=5,F57=0),1,0)</f>
        <v/>
      </c>
      <c r="L57" s="188">
        <f>IF(F57=1,'01_ВВОД'!$D$23,CHOOSE(D57,'01_ВВОД'!$D$19,'01_ВВОД'!$D$19,'01_ВВОД'!$D$19,'01_ВВОД'!$D$19,'01_ВВОД'!$D$20,'01_ВВОД'!$D$21,'01_ВВОД'!$D$22))</f>
        <v/>
      </c>
      <c r="M57" s="188">
        <f>L57*IF(H57=1,'01_ВВОД'!$D$118,1)</f>
        <v/>
      </c>
      <c r="N57" s="188">
        <f>IF(K57=1,'01_ВВОД'!$D$26,0)</f>
        <v/>
      </c>
      <c r="O57" s="188">
        <f>IF(F57=1,'01_ВВОД'!$D$34,IF(D57&lt;=5,'01_ВВОД'!$D$32,'01_ВВОД'!$D$33))</f>
        <v/>
      </c>
      <c r="P57" s="188">
        <f>O57</f>
        <v/>
      </c>
      <c r="Q57" s="188">
        <f>'01_ВВОД'!$D$40</f>
        <v/>
      </c>
      <c r="R57" s="188">
        <f>'01_ВВОД'!$D$46</f>
        <v/>
      </c>
      <c r="S57" s="188">
        <f>H57</f>
        <v/>
      </c>
      <c r="T57" s="188">
        <f>IF(H57=1,M57+N57+P57+Q57,0)</f>
        <v/>
      </c>
      <c r="U57">
        <f>R57*'01_ВВОД'!$D$120</f>
        <v/>
      </c>
    </row>
    <row r="58">
      <c r="A58" s="200" t="n">
        <v>46319</v>
      </c>
      <c r="B58" s="201" t="n">
        <v>2</v>
      </c>
      <c r="C58" s="201" t="inlineStr">
        <is>
          <t>Окт-26</t>
        </is>
      </c>
      <c r="D58" s="201" t="n">
        <v>6</v>
      </c>
      <c r="E58" s="201" t="inlineStr">
        <is>
          <t>Сб</t>
        </is>
      </c>
      <c r="F58" s="199" t="n">
        <v>0</v>
      </c>
      <c r="G58" s="201" t="str"/>
      <c r="H58" s="193" t="n">
        <v>0</v>
      </c>
      <c r="I58" s="201" t="str"/>
      <c r="J58" s="188">
        <f>1</f>
        <v/>
      </c>
      <c r="K58" s="188">
        <f>IF(AND(D58&lt;=5,F58=0),1,0)</f>
        <v/>
      </c>
      <c r="L58" s="188">
        <f>IF(F58=1,'01_ВВОД'!$D$23,CHOOSE(D58,'01_ВВОД'!$D$19,'01_ВВОД'!$D$19,'01_ВВОД'!$D$19,'01_ВВОД'!$D$19,'01_ВВОД'!$D$20,'01_ВВОД'!$D$21,'01_ВВОД'!$D$22))</f>
        <v/>
      </c>
      <c r="M58" s="188">
        <f>L58*IF(H58=1,'01_ВВОД'!$D$118,1)</f>
        <v/>
      </c>
      <c r="N58" s="188">
        <f>IF(K58=1,'01_ВВОД'!$D$26,0)</f>
        <v/>
      </c>
      <c r="O58" s="188">
        <f>IF(F58=1,'01_ВВОД'!$D$34,IF(D58&lt;=5,'01_ВВОД'!$D$32,'01_ВВОД'!$D$33))</f>
        <v/>
      </c>
      <c r="P58" s="188">
        <f>O58</f>
        <v/>
      </c>
      <c r="Q58" s="188">
        <f>'01_ВВОД'!$D$40</f>
        <v/>
      </c>
      <c r="R58" s="188">
        <f>'01_ВВОД'!$D$46</f>
        <v/>
      </c>
      <c r="S58" s="188">
        <f>H58</f>
        <v/>
      </c>
      <c r="T58" s="188">
        <f>IF(H58=1,M58+N58+P58+Q58,0)</f>
        <v/>
      </c>
      <c r="U58">
        <f>R58*'01_ВВОД'!$D$120</f>
        <v/>
      </c>
    </row>
    <row r="59">
      <c r="A59" s="200" t="n">
        <v>46320</v>
      </c>
      <c r="B59" s="201" t="n">
        <v>2</v>
      </c>
      <c r="C59" s="201" t="inlineStr">
        <is>
          <t>Окт-26</t>
        </is>
      </c>
      <c r="D59" s="201" t="n">
        <v>7</v>
      </c>
      <c r="E59" s="201" t="inlineStr">
        <is>
          <t>Вс</t>
        </is>
      </c>
      <c r="F59" s="199" t="n">
        <v>0</v>
      </c>
      <c r="G59" s="201" t="str"/>
      <c r="H59" s="193" t="n">
        <v>0</v>
      </c>
      <c r="I59" s="201" t="str"/>
      <c r="J59" s="188">
        <f>1</f>
        <v/>
      </c>
      <c r="K59" s="188">
        <f>IF(AND(D59&lt;=5,F59=0),1,0)</f>
        <v/>
      </c>
      <c r="L59" s="188">
        <f>IF(F59=1,'01_ВВОД'!$D$23,CHOOSE(D59,'01_ВВОД'!$D$19,'01_ВВОД'!$D$19,'01_ВВОД'!$D$19,'01_ВВОД'!$D$19,'01_ВВОД'!$D$20,'01_ВВОД'!$D$21,'01_ВВОД'!$D$22))</f>
        <v/>
      </c>
      <c r="M59" s="188">
        <f>L59*IF(H59=1,'01_ВВОД'!$D$118,1)</f>
        <v/>
      </c>
      <c r="N59" s="188">
        <f>IF(K59=1,'01_ВВОД'!$D$26,0)</f>
        <v/>
      </c>
      <c r="O59" s="188">
        <f>IF(F59=1,'01_ВВОД'!$D$34,IF(D59&lt;=5,'01_ВВОД'!$D$32,'01_ВВОД'!$D$33))</f>
        <v/>
      </c>
      <c r="P59" s="188">
        <f>O59</f>
        <v/>
      </c>
      <c r="Q59" s="188">
        <f>'01_ВВОД'!$D$40</f>
        <v/>
      </c>
      <c r="R59" s="188">
        <f>'01_ВВОД'!$D$46</f>
        <v/>
      </c>
      <c r="S59" s="188">
        <f>H59</f>
        <v/>
      </c>
      <c r="T59" s="188">
        <f>IF(H59=1,M59+N59+P59+Q59,0)</f>
        <v/>
      </c>
      <c r="U59">
        <f>R59*'01_ВВОД'!$D$120</f>
        <v/>
      </c>
    </row>
    <row r="60">
      <c r="A60" s="200" t="n">
        <v>46321</v>
      </c>
      <c r="B60" s="201" t="n">
        <v>2</v>
      </c>
      <c r="C60" s="201" t="inlineStr">
        <is>
          <t>Окт-26</t>
        </is>
      </c>
      <c r="D60" s="201" t="n">
        <v>1</v>
      </c>
      <c r="E60" s="201" t="inlineStr">
        <is>
          <t>Пн</t>
        </is>
      </c>
      <c r="F60" s="199" t="n">
        <v>0</v>
      </c>
      <c r="G60" s="201" t="str"/>
      <c r="H60" s="193" t="n">
        <v>0</v>
      </c>
      <c r="I60" s="201" t="str"/>
      <c r="J60" s="188">
        <f>1</f>
        <v/>
      </c>
      <c r="K60" s="188">
        <f>IF(AND(D60&lt;=5,F60=0),1,0)</f>
        <v/>
      </c>
      <c r="L60" s="188">
        <f>IF(F60=1,'01_ВВОД'!$D$23,CHOOSE(D60,'01_ВВОД'!$D$19,'01_ВВОД'!$D$19,'01_ВВОД'!$D$19,'01_ВВОД'!$D$19,'01_ВВОД'!$D$20,'01_ВВОД'!$D$21,'01_ВВОД'!$D$22))</f>
        <v/>
      </c>
      <c r="M60" s="188">
        <f>L60*IF(H60=1,'01_ВВОД'!$D$118,1)</f>
        <v/>
      </c>
      <c r="N60" s="188">
        <f>IF(K60=1,'01_ВВОД'!$D$26,0)</f>
        <v/>
      </c>
      <c r="O60" s="188">
        <f>IF(F60=1,'01_ВВОД'!$D$34,IF(D60&lt;=5,'01_ВВОД'!$D$32,'01_ВВОД'!$D$33))</f>
        <v/>
      </c>
      <c r="P60" s="188">
        <f>O60</f>
        <v/>
      </c>
      <c r="Q60" s="188">
        <f>'01_ВВОД'!$D$40</f>
        <v/>
      </c>
      <c r="R60" s="188">
        <f>'01_ВВОД'!$D$46</f>
        <v/>
      </c>
      <c r="S60" s="188">
        <f>H60</f>
        <v/>
      </c>
      <c r="T60" s="188">
        <f>IF(H60=1,M60+N60+P60+Q60,0)</f>
        <v/>
      </c>
      <c r="U60">
        <f>R60*'01_ВВОД'!$D$120</f>
        <v/>
      </c>
    </row>
    <row r="61">
      <c r="A61" s="200" t="n">
        <v>46322</v>
      </c>
      <c r="B61" s="201" t="n">
        <v>2</v>
      </c>
      <c r="C61" s="201" t="inlineStr">
        <is>
          <t>Окт-26</t>
        </is>
      </c>
      <c r="D61" s="201" t="n">
        <v>2</v>
      </c>
      <c r="E61" s="201" t="inlineStr">
        <is>
          <t>Вт</t>
        </is>
      </c>
      <c r="F61" s="199" t="n">
        <v>0</v>
      </c>
      <c r="G61" s="201" t="str"/>
      <c r="H61" s="193" t="n">
        <v>0</v>
      </c>
      <c r="I61" s="201" t="str"/>
      <c r="J61" s="188">
        <f>1</f>
        <v/>
      </c>
      <c r="K61" s="188">
        <f>IF(AND(D61&lt;=5,F61=0),1,0)</f>
        <v/>
      </c>
      <c r="L61" s="188">
        <f>IF(F61=1,'01_ВВОД'!$D$23,CHOOSE(D61,'01_ВВОД'!$D$19,'01_ВВОД'!$D$19,'01_ВВОД'!$D$19,'01_ВВОД'!$D$19,'01_ВВОД'!$D$20,'01_ВВОД'!$D$21,'01_ВВОД'!$D$22))</f>
        <v/>
      </c>
      <c r="M61" s="188">
        <f>L61*IF(H61=1,'01_ВВОД'!$D$118,1)</f>
        <v/>
      </c>
      <c r="N61" s="188">
        <f>IF(K61=1,'01_ВВОД'!$D$26,0)</f>
        <v/>
      </c>
      <c r="O61" s="188">
        <f>IF(F61=1,'01_ВВОД'!$D$34,IF(D61&lt;=5,'01_ВВОД'!$D$32,'01_ВВОД'!$D$33))</f>
        <v/>
      </c>
      <c r="P61" s="188">
        <f>O61</f>
        <v/>
      </c>
      <c r="Q61" s="188">
        <f>'01_ВВОД'!$D$40</f>
        <v/>
      </c>
      <c r="R61" s="188">
        <f>'01_ВВОД'!$D$46</f>
        <v/>
      </c>
      <c r="S61" s="188">
        <f>H61</f>
        <v/>
      </c>
      <c r="T61" s="188">
        <f>IF(H61=1,M61+N61+P61+Q61,0)</f>
        <v/>
      </c>
      <c r="U61">
        <f>R61*'01_ВВОД'!$D$120</f>
        <v/>
      </c>
    </row>
    <row r="62">
      <c r="A62" s="200" t="n">
        <v>46323</v>
      </c>
      <c r="B62" s="201" t="n">
        <v>2</v>
      </c>
      <c r="C62" s="201" t="inlineStr">
        <is>
          <t>Окт-26</t>
        </is>
      </c>
      <c r="D62" s="201" t="n">
        <v>3</v>
      </c>
      <c r="E62" s="201" t="inlineStr">
        <is>
          <t>Ср</t>
        </is>
      </c>
      <c r="F62" s="199" t="n">
        <v>0</v>
      </c>
      <c r="G62" s="201" t="str"/>
      <c r="H62" s="193" t="n">
        <v>0</v>
      </c>
      <c r="I62" s="201" t="str"/>
      <c r="J62" s="188">
        <f>1</f>
        <v/>
      </c>
      <c r="K62" s="188">
        <f>IF(AND(D62&lt;=5,F62=0),1,0)</f>
        <v/>
      </c>
      <c r="L62" s="188">
        <f>IF(F62=1,'01_ВВОД'!$D$23,CHOOSE(D62,'01_ВВОД'!$D$19,'01_ВВОД'!$D$19,'01_ВВОД'!$D$19,'01_ВВОД'!$D$19,'01_ВВОД'!$D$20,'01_ВВОД'!$D$21,'01_ВВОД'!$D$22))</f>
        <v/>
      </c>
      <c r="M62" s="188">
        <f>L62*IF(H62=1,'01_ВВОД'!$D$118,1)</f>
        <v/>
      </c>
      <c r="N62" s="188">
        <f>IF(K62=1,'01_ВВОД'!$D$26,0)</f>
        <v/>
      </c>
      <c r="O62" s="188">
        <f>IF(F62=1,'01_ВВОД'!$D$34,IF(D62&lt;=5,'01_ВВОД'!$D$32,'01_ВВОД'!$D$33))</f>
        <v/>
      </c>
      <c r="P62" s="188">
        <f>O62</f>
        <v/>
      </c>
      <c r="Q62" s="188">
        <f>'01_ВВОД'!$D$40</f>
        <v/>
      </c>
      <c r="R62" s="188">
        <f>'01_ВВОД'!$D$46</f>
        <v/>
      </c>
      <c r="S62" s="188">
        <f>H62</f>
        <v/>
      </c>
      <c r="T62" s="188">
        <f>IF(H62=1,M62+N62+P62+Q62,0)</f>
        <v/>
      </c>
      <c r="U62">
        <f>R62*'01_ВВОД'!$D$120</f>
        <v/>
      </c>
    </row>
    <row r="63">
      <c r="A63" s="200" t="n">
        <v>46324</v>
      </c>
      <c r="B63" s="201" t="n">
        <v>2</v>
      </c>
      <c r="C63" s="201" t="inlineStr">
        <is>
          <t>Окт-26</t>
        </is>
      </c>
      <c r="D63" s="201" t="n">
        <v>4</v>
      </c>
      <c r="E63" s="201" t="inlineStr">
        <is>
          <t>Чт</t>
        </is>
      </c>
      <c r="F63" s="199" t="n">
        <v>0</v>
      </c>
      <c r="G63" s="201" t="str"/>
      <c r="H63" s="193" t="n">
        <v>0</v>
      </c>
      <c r="I63" s="201" t="str"/>
      <c r="J63" s="188">
        <f>1</f>
        <v/>
      </c>
      <c r="K63" s="188">
        <f>IF(AND(D63&lt;=5,F63=0),1,0)</f>
        <v/>
      </c>
      <c r="L63" s="188">
        <f>IF(F63=1,'01_ВВОД'!$D$23,CHOOSE(D63,'01_ВВОД'!$D$19,'01_ВВОД'!$D$19,'01_ВВОД'!$D$19,'01_ВВОД'!$D$19,'01_ВВОД'!$D$20,'01_ВВОД'!$D$21,'01_ВВОД'!$D$22))</f>
        <v/>
      </c>
      <c r="M63" s="188">
        <f>L63*IF(H63=1,'01_ВВОД'!$D$118,1)</f>
        <v/>
      </c>
      <c r="N63" s="188">
        <f>IF(K63=1,'01_ВВОД'!$D$26,0)</f>
        <v/>
      </c>
      <c r="O63" s="188">
        <f>IF(F63=1,'01_ВВОД'!$D$34,IF(D63&lt;=5,'01_ВВОД'!$D$32,'01_ВВОД'!$D$33))</f>
        <v/>
      </c>
      <c r="P63" s="188">
        <f>O63</f>
        <v/>
      </c>
      <c r="Q63" s="188">
        <f>'01_ВВОД'!$D$40</f>
        <v/>
      </c>
      <c r="R63" s="188">
        <f>'01_ВВОД'!$D$46</f>
        <v/>
      </c>
      <c r="S63" s="188">
        <f>H63</f>
        <v/>
      </c>
      <c r="T63" s="188">
        <f>IF(H63=1,M63+N63+P63+Q63,0)</f>
        <v/>
      </c>
      <c r="U63">
        <f>R63*'01_ВВОД'!$D$120</f>
        <v/>
      </c>
    </row>
    <row r="64">
      <c r="A64" s="200" t="n">
        <v>46325</v>
      </c>
      <c r="B64" s="201" t="n">
        <v>2</v>
      </c>
      <c r="C64" s="201" t="inlineStr">
        <is>
          <t>Окт-26</t>
        </is>
      </c>
      <c r="D64" s="201" t="n">
        <v>5</v>
      </c>
      <c r="E64" s="201" t="inlineStr">
        <is>
          <t>Пт</t>
        </is>
      </c>
      <c r="F64" s="199" t="n">
        <v>0</v>
      </c>
      <c r="G64" s="201" t="str"/>
      <c r="H64" s="193" t="n">
        <v>0</v>
      </c>
      <c r="I64" s="201" t="str"/>
      <c r="J64" s="188">
        <f>1</f>
        <v/>
      </c>
      <c r="K64" s="188">
        <f>IF(AND(D64&lt;=5,F64=0),1,0)</f>
        <v/>
      </c>
      <c r="L64" s="188">
        <f>IF(F64=1,'01_ВВОД'!$D$23,CHOOSE(D64,'01_ВВОД'!$D$19,'01_ВВОД'!$D$19,'01_ВВОД'!$D$19,'01_ВВОД'!$D$19,'01_ВВОД'!$D$20,'01_ВВОД'!$D$21,'01_ВВОД'!$D$22))</f>
        <v/>
      </c>
      <c r="M64" s="188">
        <f>L64*IF(H64=1,'01_ВВОД'!$D$118,1)</f>
        <v/>
      </c>
      <c r="N64" s="188">
        <f>IF(K64=1,'01_ВВОД'!$D$26,0)</f>
        <v/>
      </c>
      <c r="O64" s="188">
        <f>IF(F64=1,'01_ВВОД'!$D$34,IF(D64&lt;=5,'01_ВВОД'!$D$32,'01_ВВОД'!$D$33))</f>
        <v/>
      </c>
      <c r="P64" s="188">
        <f>O64</f>
        <v/>
      </c>
      <c r="Q64" s="188">
        <f>'01_ВВОД'!$D$40</f>
        <v/>
      </c>
      <c r="R64" s="188">
        <f>'01_ВВОД'!$D$46</f>
        <v/>
      </c>
      <c r="S64" s="188">
        <f>H64</f>
        <v/>
      </c>
      <c r="T64" s="188">
        <f>IF(H64=1,M64+N64+P64+Q64,0)</f>
        <v/>
      </c>
      <c r="U64">
        <f>R64*'01_ВВОД'!$D$120</f>
        <v/>
      </c>
    </row>
    <row r="65">
      <c r="A65" s="200" t="n">
        <v>46326</v>
      </c>
      <c r="B65" s="201" t="n">
        <v>2</v>
      </c>
      <c r="C65" s="201" t="inlineStr">
        <is>
          <t>Окт-26</t>
        </is>
      </c>
      <c r="D65" s="201" t="n">
        <v>6</v>
      </c>
      <c r="E65" s="201" t="inlineStr">
        <is>
          <t>Сб</t>
        </is>
      </c>
      <c r="F65" s="199" t="n">
        <v>0</v>
      </c>
      <c r="G65" s="201" t="str"/>
      <c r="H65" s="193" t="n">
        <v>0</v>
      </c>
      <c r="I65" s="201" t="str"/>
      <c r="J65" s="188">
        <f>1</f>
        <v/>
      </c>
      <c r="K65" s="188">
        <f>IF(AND(D65&lt;=5,F65=0),1,0)</f>
        <v/>
      </c>
      <c r="L65" s="188">
        <f>IF(F65=1,'01_ВВОД'!$D$23,CHOOSE(D65,'01_ВВОД'!$D$19,'01_ВВОД'!$D$19,'01_ВВОД'!$D$19,'01_ВВОД'!$D$19,'01_ВВОД'!$D$20,'01_ВВОД'!$D$21,'01_ВВОД'!$D$22))</f>
        <v/>
      </c>
      <c r="M65" s="188">
        <f>L65*IF(H65=1,'01_ВВОД'!$D$118,1)</f>
        <v/>
      </c>
      <c r="N65" s="188">
        <f>IF(K65=1,'01_ВВОД'!$D$26,0)</f>
        <v/>
      </c>
      <c r="O65" s="188">
        <f>IF(F65=1,'01_ВВОД'!$D$34,IF(D65&lt;=5,'01_ВВОД'!$D$32,'01_ВВОД'!$D$33))</f>
        <v/>
      </c>
      <c r="P65" s="188">
        <f>O65</f>
        <v/>
      </c>
      <c r="Q65" s="188">
        <f>'01_ВВОД'!$D$40</f>
        <v/>
      </c>
      <c r="R65" s="188">
        <f>'01_ВВОД'!$D$46</f>
        <v/>
      </c>
      <c r="S65" s="188">
        <f>H65</f>
        <v/>
      </c>
      <c r="T65" s="188">
        <f>IF(H65=1,M65+N65+P65+Q65,0)</f>
        <v/>
      </c>
      <c r="U65">
        <f>R65*'01_ВВОД'!$D$120</f>
        <v/>
      </c>
    </row>
    <row r="66">
      <c r="A66" s="200" t="n">
        <v>46327</v>
      </c>
      <c r="B66" s="201" t="n">
        <v>3</v>
      </c>
      <c r="C66" s="201" t="inlineStr">
        <is>
          <t>Ноя-26</t>
        </is>
      </c>
      <c r="D66" s="201" t="n">
        <v>7</v>
      </c>
      <c r="E66" s="201" t="inlineStr">
        <is>
          <t>Вс</t>
        </is>
      </c>
      <c r="F66" s="199" t="n">
        <v>0</v>
      </c>
      <c r="G66" s="201" t="str"/>
      <c r="H66" s="193" t="n">
        <v>0</v>
      </c>
      <c r="I66" s="201" t="str"/>
      <c r="J66" s="188">
        <f>1</f>
        <v/>
      </c>
      <c r="K66" s="188">
        <f>IF(AND(D66&lt;=5,F66=0),1,0)</f>
        <v/>
      </c>
      <c r="L66" s="188">
        <f>IF(F66=1,'01_ВВОД'!$D$23,CHOOSE(D66,'01_ВВОД'!$D$19,'01_ВВОД'!$D$19,'01_ВВОД'!$D$19,'01_ВВОД'!$D$19,'01_ВВОД'!$D$20,'01_ВВОД'!$D$21,'01_ВВОД'!$D$22))</f>
        <v/>
      </c>
      <c r="M66" s="188">
        <f>L66*IF(H66=1,'01_ВВОД'!$D$118,1)</f>
        <v/>
      </c>
      <c r="N66" s="188">
        <f>IF(K66=1,'01_ВВОД'!$D$26,0)</f>
        <v/>
      </c>
      <c r="O66" s="188">
        <f>IF(F66=1,'01_ВВОД'!$D$34,IF(D66&lt;=5,'01_ВВОД'!$D$32,'01_ВВОД'!$D$33))</f>
        <v/>
      </c>
      <c r="P66" s="188">
        <f>O66</f>
        <v/>
      </c>
      <c r="Q66" s="188">
        <f>'01_ВВОД'!$D$40</f>
        <v/>
      </c>
      <c r="R66" s="188">
        <f>'01_ВВОД'!$D$46</f>
        <v/>
      </c>
      <c r="S66" s="188">
        <f>H66</f>
        <v/>
      </c>
      <c r="T66" s="188">
        <f>IF(H66=1,M66+N66+P66+Q66,0)</f>
        <v/>
      </c>
      <c r="U66">
        <f>R66*'01_ВВОД'!$D$120</f>
        <v/>
      </c>
    </row>
    <row r="67">
      <c r="A67" s="200" t="n">
        <v>46328</v>
      </c>
      <c r="B67" s="201" t="n">
        <v>3</v>
      </c>
      <c r="C67" s="201" t="inlineStr">
        <is>
          <t>Ноя-26</t>
        </is>
      </c>
      <c r="D67" s="201" t="n">
        <v>1</v>
      </c>
      <c r="E67" s="201" t="inlineStr">
        <is>
          <t>Пн</t>
        </is>
      </c>
      <c r="F67" s="199" t="n">
        <v>0</v>
      </c>
      <c r="G67" s="201" t="str"/>
      <c r="H67" s="193" t="n">
        <v>0</v>
      </c>
      <c r="I67" s="201" t="str"/>
      <c r="J67" s="188">
        <f>1</f>
        <v/>
      </c>
      <c r="K67" s="188">
        <f>IF(AND(D67&lt;=5,F67=0),1,0)</f>
        <v/>
      </c>
      <c r="L67" s="188">
        <f>IF(F67=1,'01_ВВОД'!$D$23,CHOOSE(D67,'01_ВВОД'!$D$19,'01_ВВОД'!$D$19,'01_ВВОД'!$D$19,'01_ВВОД'!$D$19,'01_ВВОД'!$D$20,'01_ВВОД'!$D$21,'01_ВВОД'!$D$22))</f>
        <v/>
      </c>
      <c r="M67" s="188">
        <f>L67*IF(H67=1,'01_ВВОД'!$D$118,1)</f>
        <v/>
      </c>
      <c r="N67" s="188">
        <f>IF(K67=1,'01_ВВОД'!$D$26,0)</f>
        <v/>
      </c>
      <c r="O67" s="188">
        <f>IF(F67=1,'01_ВВОД'!$D$34,IF(D67&lt;=5,'01_ВВОД'!$D$32,'01_ВВОД'!$D$33))</f>
        <v/>
      </c>
      <c r="P67" s="188">
        <f>O67</f>
        <v/>
      </c>
      <c r="Q67" s="188">
        <f>'01_ВВОД'!$D$40</f>
        <v/>
      </c>
      <c r="R67" s="188">
        <f>'01_ВВОД'!$D$46</f>
        <v/>
      </c>
      <c r="S67" s="188">
        <f>H67</f>
        <v/>
      </c>
      <c r="T67" s="188">
        <f>IF(H67=1,M67+N67+P67+Q67,0)</f>
        <v/>
      </c>
      <c r="U67">
        <f>R67*'01_ВВОД'!$D$120</f>
        <v/>
      </c>
    </row>
    <row r="68">
      <c r="A68" s="200" t="n">
        <v>46329</v>
      </c>
      <c r="B68" s="201" t="n">
        <v>3</v>
      </c>
      <c r="C68" s="201" t="inlineStr">
        <is>
          <t>Ноя-26</t>
        </is>
      </c>
      <c r="D68" s="201" t="n">
        <v>2</v>
      </c>
      <c r="E68" s="201" t="inlineStr">
        <is>
          <t>Вт</t>
        </is>
      </c>
      <c r="F68" s="199" t="n">
        <v>0</v>
      </c>
      <c r="G68" s="201" t="str"/>
      <c r="H68" s="193" t="n">
        <v>0</v>
      </c>
      <c r="I68" s="201" t="str"/>
      <c r="J68" s="188">
        <f>1</f>
        <v/>
      </c>
      <c r="K68" s="188">
        <f>IF(AND(D68&lt;=5,F68=0),1,0)</f>
        <v/>
      </c>
      <c r="L68" s="188">
        <f>IF(F68=1,'01_ВВОД'!$D$23,CHOOSE(D68,'01_ВВОД'!$D$19,'01_ВВОД'!$D$19,'01_ВВОД'!$D$19,'01_ВВОД'!$D$19,'01_ВВОД'!$D$20,'01_ВВОД'!$D$21,'01_ВВОД'!$D$22))</f>
        <v/>
      </c>
      <c r="M68" s="188">
        <f>L68*IF(H68=1,'01_ВВОД'!$D$118,1)</f>
        <v/>
      </c>
      <c r="N68" s="188">
        <f>IF(K68=1,'01_ВВОД'!$D$26,0)</f>
        <v/>
      </c>
      <c r="O68" s="188">
        <f>IF(F68=1,'01_ВВОД'!$D$34,IF(D68&lt;=5,'01_ВВОД'!$D$32,'01_ВВОД'!$D$33))</f>
        <v/>
      </c>
      <c r="P68" s="188">
        <f>O68</f>
        <v/>
      </c>
      <c r="Q68" s="188">
        <f>'01_ВВОД'!$D$40</f>
        <v/>
      </c>
      <c r="R68" s="188">
        <f>'01_ВВОД'!$D$46</f>
        <v/>
      </c>
      <c r="S68" s="188">
        <f>H68</f>
        <v/>
      </c>
      <c r="T68" s="188">
        <f>IF(H68=1,M68+N68+P68+Q68,0)</f>
        <v/>
      </c>
      <c r="U68">
        <f>R68*'01_ВВОД'!$D$120</f>
        <v/>
      </c>
    </row>
    <row r="69">
      <c r="A69" s="200" t="n">
        <v>46330</v>
      </c>
      <c r="B69" s="201" t="n">
        <v>3</v>
      </c>
      <c r="C69" s="201" t="inlineStr">
        <is>
          <t>Ноя-26</t>
        </is>
      </c>
      <c r="D69" s="201" t="n">
        <v>3</v>
      </c>
      <c r="E69" s="201" t="inlineStr">
        <is>
          <t>Ср</t>
        </is>
      </c>
      <c r="F69" s="199" t="n">
        <v>1</v>
      </c>
      <c r="G69" s="201" t="inlineStr">
        <is>
          <t>Подтверждено для 2026</t>
        </is>
      </c>
      <c r="H69" s="193" t="n">
        <v>0</v>
      </c>
      <c r="I69" s="201" t="str"/>
      <c r="J69" s="188">
        <f>1</f>
        <v/>
      </c>
      <c r="K69" s="188">
        <f>IF(AND(D69&lt;=5,F69=0),1,0)</f>
        <v/>
      </c>
      <c r="L69" s="188">
        <f>IF(F69=1,'01_ВВОД'!$D$23,CHOOSE(D69,'01_ВВОД'!$D$19,'01_ВВОД'!$D$19,'01_ВВОД'!$D$19,'01_ВВОД'!$D$19,'01_ВВОД'!$D$20,'01_ВВОД'!$D$21,'01_ВВОД'!$D$22))</f>
        <v/>
      </c>
      <c r="M69" s="188">
        <f>L69*IF(H69=1,'01_ВВОД'!$D$118,1)</f>
        <v/>
      </c>
      <c r="N69" s="188">
        <f>IF(K69=1,'01_ВВОД'!$D$26,0)</f>
        <v/>
      </c>
      <c r="O69" s="188">
        <f>IF(F69=1,'01_ВВОД'!$D$34,IF(D69&lt;=5,'01_ВВОД'!$D$32,'01_ВВОД'!$D$33))</f>
        <v/>
      </c>
      <c r="P69" s="188">
        <f>O69</f>
        <v/>
      </c>
      <c r="Q69" s="188">
        <f>'01_ВВОД'!$D$40</f>
        <v/>
      </c>
      <c r="R69" s="188">
        <f>'01_ВВОД'!$D$46</f>
        <v/>
      </c>
      <c r="S69" s="188">
        <f>H69</f>
        <v/>
      </c>
      <c r="T69" s="188">
        <f>IF(H69=1,M69+N69+P69+Q69,0)</f>
        <v/>
      </c>
      <c r="U69">
        <f>R69*'01_ВВОД'!$D$120</f>
        <v/>
      </c>
    </row>
    <row r="70">
      <c r="A70" s="200" t="n">
        <v>46331</v>
      </c>
      <c r="B70" s="201" t="n">
        <v>3</v>
      </c>
      <c r="C70" s="201" t="inlineStr">
        <is>
          <t>Ноя-26</t>
        </is>
      </c>
      <c r="D70" s="201" t="n">
        <v>4</v>
      </c>
      <c r="E70" s="201" t="inlineStr">
        <is>
          <t>Чт</t>
        </is>
      </c>
      <c r="F70" s="199" t="n">
        <v>0</v>
      </c>
      <c r="G70" s="201" t="str"/>
      <c r="H70" s="193" t="n">
        <v>0</v>
      </c>
      <c r="I70" s="201" t="str"/>
      <c r="J70" s="188">
        <f>1</f>
        <v/>
      </c>
      <c r="K70" s="188">
        <f>IF(AND(D70&lt;=5,F70=0),1,0)</f>
        <v/>
      </c>
      <c r="L70" s="188">
        <f>IF(F70=1,'01_ВВОД'!$D$23,CHOOSE(D70,'01_ВВОД'!$D$19,'01_ВВОД'!$D$19,'01_ВВОД'!$D$19,'01_ВВОД'!$D$19,'01_ВВОД'!$D$20,'01_ВВОД'!$D$21,'01_ВВОД'!$D$22))</f>
        <v/>
      </c>
      <c r="M70" s="188">
        <f>L70*IF(H70=1,'01_ВВОД'!$D$118,1)</f>
        <v/>
      </c>
      <c r="N70" s="188">
        <f>IF(K70=1,'01_ВВОД'!$D$26,0)</f>
        <v/>
      </c>
      <c r="O70" s="188">
        <f>IF(F70=1,'01_ВВОД'!$D$34,IF(D70&lt;=5,'01_ВВОД'!$D$32,'01_ВВОД'!$D$33))</f>
        <v/>
      </c>
      <c r="P70" s="188">
        <f>O70</f>
        <v/>
      </c>
      <c r="Q70" s="188">
        <f>'01_ВВОД'!$D$40</f>
        <v/>
      </c>
      <c r="R70" s="188">
        <f>'01_ВВОД'!$D$46</f>
        <v/>
      </c>
      <c r="S70" s="188">
        <f>H70</f>
        <v/>
      </c>
      <c r="T70" s="188">
        <f>IF(H70=1,M70+N70+P70+Q70,0)</f>
        <v/>
      </c>
      <c r="U70">
        <f>R70*'01_ВВОД'!$D$120</f>
        <v/>
      </c>
    </row>
    <row r="71">
      <c r="A71" s="200" t="n">
        <v>46332</v>
      </c>
      <c r="B71" s="201" t="n">
        <v>3</v>
      </c>
      <c r="C71" s="201" t="inlineStr">
        <is>
          <t>Ноя-26</t>
        </is>
      </c>
      <c r="D71" s="201" t="n">
        <v>5</v>
      </c>
      <c r="E71" s="201" t="inlineStr">
        <is>
          <t>Пт</t>
        </is>
      </c>
      <c r="F71" s="199" t="n">
        <v>0</v>
      </c>
      <c r="G71" s="201" t="str"/>
      <c r="H71" s="193" t="n">
        <v>0</v>
      </c>
      <c r="I71" s="201" t="str"/>
      <c r="J71" s="188">
        <f>1</f>
        <v/>
      </c>
      <c r="K71" s="188">
        <f>IF(AND(D71&lt;=5,F71=0),1,0)</f>
        <v/>
      </c>
      <c r="L71" s="188">
        <f>IF(F71=1,'01_ВВОД'!$D$23,CHOOSE(D71,'01_ВВОД'!$D$19,'01_ВВОД'!$D$19,'01_ВВОД'!$D$19,'01_ВВОД'!$D$19,'01_ВВОД'!$D$20,'01_ВВОД'!$D$21,'01_ВВОД'!$D$22))</f>
        <v/>
      </c>
      <c r="M71" s="188">
        <f>L71*IF(H71=1,'01_ВВОД'!$D$118,1)</f>
        <v/>
      </c>
      <c r="N71" s="188">
        <f>IF(K71=1,'01_ВВОД'!$D$26,0)</f>
        <v/>
      </c>
      <c r="O71" s="188">
        <f>IF(F71=1,'01_ВВОД'!$D$34,IF(D71&lt;=5,'01_ВВОД'!$D$32,'01_ВВОД'!$D$33))</f>
        <v/>
      </c>
      <c r="P71" s="188">
        <f>O71</f>
        <v/>
      </c>
      <c r="Q71" s="188">
        <f>'01_ВВОД'!$D$40</f>
        <v/>
      </c>
      <c r="R71" s="188">
        <f>'01_ВВОД'!$D$46</f>
        <v/>
      </c>
      <c r="S71" s="188">
        <f>H71</f>
        <v/>
      </c>
      <c r="T71" s="188">
        <f>IF(H71=1,M71+N71+P71+Q71,0)</f>
        <v/>
      </c>
      <c r="U71">
        <f>R71*'01_ВВОД'!$D$120</f>
        <v/>
      </c>
    </row>
    <row r="72">
      <c r="A72" s="200" t="n">
        <v>46333</v>
      </c>
      <c r="B72" s="201" t="n">
        <v>3</v>
      </c>
      <c r="C72" s="201" t="inlineStr">
        <is>
          <t>Ноя-26</t>
        </is>
      </c>
      <c r="D72" s="201" t="n">
        <v>6</v>
      </c>
      <c r="E72" s="201" t="inlineStr">
        <is>
          <t>Сб</t>
        </is>
      </c>
      <c r="F72" s="199" t="n">
        <v>0</v>
      </c>
      <c r="G72" s="201" t="str"/>
      <c r="H72" s="193" t="n">
        <v>1</v>
      </c>
      <c r="I72" s="201" t="inlineStr">
        <is>
          <t>Пт–Вс</t>
        </is>
      </c>
      <c r="J72" s="188">
        <f>1</f>
        <v/>
      </c>
      <c r="K72" s="188">
        <f>IF(AND(D72&lt;=5,F72=0),1,0)</f>
        <v/>
      </c>
      <c r="L72" s="188">
        <f>IF(F72=1,'01_ВВОД'!$D$23,CHOOSE(D72,'01_ВВОД'!$D$19,'01_ВВОД'!$D$19,'01_ВВОД'!$D$19,'01_ВВОД'!$D$19,'01_ВВОД'!$D$20,'01_ВВОД'!$D$21,'01_ВВОД'!$D$22))</f>
        <v/>
      </c>
      <c r="M72" s="188">
        <f>L72*IF(H72=1,'01_ВВОД'!$D$118,1)</f>
        <v/>
      </c>
      <c r="N72" s="188">
        <f>IF(K72=1,'01_ВВОД'!$D$26,0)</f>
        <v/>
      </c>
      <c r="O72" s="188">
        <f>IF(F72=1,'01_ВВОД'!$D$34,IF(D72&lt;=5,'01_ВВОД'!$D$32,'01_ВВОД'!$D$33))</f>
        <v/>
      </c>
      <c r="P72" s="188">
        <f>O72</f>
        <v/>
      </c>
      <c r="Q72" s="188">
        <f>'01_ВВОД'!$D$40</f>
        <v/>
      </c>
      <c r="R72" s="188">
        <f>'01_ВВОД'!$D$46</f>
        <v/>
      </c>
      <c r="S72" s="188">
        <f>H72</f>
        <v/>
      </c>
      <c r="T72" s="188">
        <f>IF(H72=1,M72+N72+P72+Q72,0)</f>
        <v/>
      </c>
      <c r="U72">
        <f>R72*'01_ВВОД'!$D$120</f>
        <v/>
      </c>
    </row>
    <row r="73">
      <c r="A73" s="200" t="n">
        <v>46334</v>
      </c>
      <c r="B73" s="201" t="n">
        <v>3</v>
      </c>
      <c r="C73" s="201" t="inlineStr">
        <is>
          <t>Ноя-26</t>
        </is>
      </c>
      <c r="D73" s="201" t="n">
        <v>7</v>
      </c>
      <c r="E73" s="201" t="inlineStr">
        <is>
          <t>Вс</t>
        </is>
      </c>
      <c r="F73" s="199" t="n">
        <v>0</v>
      </c>
      <c r="G73" s="201" t="str"/>
      <c r="H73" s="193" t="n">
        <v>0</v>
      </c>
      <c r="I73" s="201" t="str"/>
      <c r="J73" s="188">
        <f>1</f>
        <v/>
      </c>
      <c r="K73" s="188">
        <f>IF(AND(D73&lt;=5,F73=0),1,0)</f>
        <v/>
      </c>
      <c r="L73" s="188">
        <f>IF(F73=1,'01_ВВОД'!$D$23,CHOOSE(D73,'01_ВВОД'!$D$19,'01_ВВОД'!$D$19,'01_ВВОД'!$D$19,'01_ВВОД'!$D$19,'01_ВВОД'!$D$20,'01_ВВОД'!$D$21,'01_ВВОД'!$D$22))</f>
        <v/>
      </c>
      <c r="M73" s="188">
        <f>L73*IF(H73=1,'01_ВВОД'!$D$118,1)</f>
        <v/>
      </c>
      <c r="N73" s="188">
        <f>IF(K73=1,'01_ВВОД'!$D$26,0)</f>
        <v/>
      </c>
      <c r="O73" s="188">
        <f>IF(F73=1,'01_ВВОД'!$D$34,IF(D73&lt;=5,'01_ВВОД'!$D$32,'01_ВВОД'!$D$33))</f>
        <v/>
      </c>
      <c r="P73" s="188">
        <f>O73</f>
        <v/>
      </c>
      <c r="Q73" s="188">
        <f>'01_ВВОД'!$D$40</f>
        <v/>
      </c>
      <c r="R73" s="188">
        <f>'01_ВВОД'!$D$46</f>
        <v/>
      </c>
      <c r="S73" s="188">
        <f>H73</f>
        <v/>
      </c>
      <c r="T73" s="188">
        <f>IF(H73=1,M73+N73+P73+Q73,0)</f>
        <v/>
      </c>
      <c r="U73">
        <f>R73*'01_ВВОД'!$D$120</f>
        <v/>
      </c>
    </row>
    <row r="74">
      <c r="A74" s="200" t="n">
        <v>46335</v>
      </c>
      <c r="B74" s="201" t="n">
        <v>3</v>
      </c>
      <c r="C74" s="201" t="inlineStr">
        <is>
          <t>Ноя-26</t>
        </is>
      </c>
      <c r="D74" s="201" t="n">
        <v>1</v>
      </c>
      <c r="E74" s="201" t="inlineStr">
        <is>
          <t>Пн</t>
        </is>
      </c>
      <c r="F74" s="199" t="n">
        <v>0</v>
      </c>
      <c r="G74" s="201" t="str"/>
      <c r="H74" s="193" t="n">
        <v>0</v>
      </c>
      <c r="I74" s="201" t="str"/>
      <c r="J74" s="188">
        <f>1</f>
        <v/>
      </c>
      <c r="K74" s="188">
        <f>IF(AND(D74&lt;=5,F74=0),1,0)</f>
        <v/>
      </c>
      <c r="L74" s="188">
        <f>IF(F74=1,'01_ВВОД'!$D$23,CHOOSE(D74,'01_ВВОД'!$D$19,'01_ВВОД'!$D$19,'01_ВВОД'!$D$19,'01_ВВОД'!$D$19,'01_ВВОД'!$D$20,'01_ВВОД'!$D$21,'01_ВВОД'!$D$22))</f>
        <v/>
      </c>
      <c r="M74" s="188">
        <f>L74*IF(H74=1,'01_ВВОД'!$D$118,1)</f>
        <v/>
      </c>
      <c r="N74" s="188">
        <f>IF(K74=1,'01_ВВОД'!$D$26,0)</f>
        <v/>
      </c>
      <c r="O74" s="188">
        <f>IF(F74=1,'01_ВВОД'!$D$34,IF(D74&lt;=5,'01_ВВОД'!$D$32,'01_ВВОД'!$D$33))</f>
        <v/>
      </c>
      <c r="P74" s="188">
        <f>O74</f>
        <v/>
      </c>
      <c r="Q74" s="188">
        <f>'01_ВВОД'!$D$40</f>
        <v/>
      </c>
      <c r="R74" s="188">
        <f>'01_ВВОД'!$D$46</f>
        <v/>
      </c>
      <c r="S74" s="188">
        <f>H74</f>
        <v/>
      </c>
      <c r="T74" s="188">
        <f>IF(H74=1,M74+N74+P74+Q74,0)</f>
        <v/>
      </c>
      <c r="U74">
        <f>R74*'01_ВВОД'!$D$120</f>
        <v/>
      </c>
    </row>
    <row r="75">
      <c r="A75" s="200" t="n">
        <v>46336</v>
      </c>
      <c r="B75" s="201" t="n">
        <v>3</v>
      </c>
      <c r="C75" s="201" t="inlineStr">
        <is>
          <t>Ноя-26</t>
        </is>
      </c>
      <c r="D75" s="201" t="n">
        <v>2</v>
      </c>
      <c r="E75" s="201" t="inlineStr">
        <is>
          <t>Вт</t>
        </is>
      </c>
      <c r="F75" s="199" t="n">
        <v>0</v>
      </c>
      <c r="G75" s="201" t="str"/>
      <c r="H75" s="193" t="n">
        <v>0</v>
      </c>
      <c r="I75" s="201" t="str"/>
      <c r="J75" s="188">
        <f>1</f>
        <v/>
      </c>
      <c r="K75" s="188">
        <f>IF(AND(D75&lt;=5,F75=0),1,0)</f>
        <v/>
      </c>
      <c r="L75" s="188">
        <f>IF(F75=1,'01_ВВОД'!$D$23,CHOOSE(D75,'01_ВВОД'!$D$19,'01_ВВОД'!$D$19,'01_ВВОД'!$D$19,'01_ВВОД'!$D$19,'01_ВВОД'!$D$20,'01_ВВОД'!$D$21,'01_ВВОД'!$D$22))</f>
        <v/>
      </c>
      <c r="M75" s="188">
        <f>L75*IF(H75=1,'01_ВВОД'!$D$118,1)</f>
        <v/>
      </c>
      <c r="N75" s="188">
        <f>IF(K75=1,'01_ВВОД'!$D$26,0)</f>
        <v/>
      </c>
      <c r="O75" s="188">
        <f>IF(F75=1,'01_ВВОД'!$D$34,IF(D75&lt;=5,'01_ВВОД'!$D$32,'01_ВВОД'!$D$33))</f>
        <v/>
      </c>
      <c r="P75" s="188">
        <f>O75</f>
        <v/>
      </c>
      <c r="Q75" s="188">
        <f>'01_ВВОД'!$D$40</f>
        <v/>
      </c>
      <c r="R75" s="188">
        <f>'01_ВВОД'!$D$46</f>
        <v/>
      </c>
      <c r="S75" s="188">
        <f>H75</f>
        <v/>
      </c>
      <c r="T75" s="188">
        <f>IF(H75=1,M75+N75+P75+Q75,0)</f>
        <v/>
      </c>
      <c r="U75">
        <f>R75*'01_ВВОД'!$D$120</f>
        <v/>
      </c>
    </row>
    <row r="76">
      <c r="A76" s="200" t="n">
        <v>46337</v>
      </c>
      <c r="B76" s="201" t="n">
        <v>3</v>
      </c>
      <c r="C76" s="201" t="inlineStr">
        <is>
          <t>Ноя-26</t>
        </is>
      </c>
      <c r="D76" s="201" t="n">
        <v>3</v>
      </c>
      <c r="E76" s="201" t="inlineStr">
        <is>
          <t>Ср</t>
        </is>
      </c>
      <c r="F76" s="199" t="n">
        <v>0</v>
      </c>
      <c r="G76" s="201" t="str"/>
      <c r="H76" s="193" t="n">
        <v>0</v>
      </c>
      <c r="I76" s="201" t="str"/>
      <c r="J76" s="188">
        <f>1</f>
        <v/>
      </c>
      <c r="K76" s="188">
        <f>IF(AND(D76&lt;=5,F76=0),1,0)</f>
        <v/>
      </c>
      <c r="L76" s="188">
        <f>IF(F76=1,'01_ВВОД'!$D$23,CHOOSE(D76,'01_ВВОД'!$D$19,'01_ВВОД'!$D$19,'01_ВВОД'!$D$19,'01_ВВОД'!$D$19,'01_ВВОД'!$D$20,'01_ВВОД'!$D$21,'01_ВВОД'!$D$22))</f>
        <v/>
      </c>
      <c r="M76" s="188">
        <f>L76*IF(H76=1,'01_ВВОД'!$D$118,1)</f>
        <v/>
      </c>
      <c r="N76" s="188">
        <f>IF(K76=1,'01_ВВОД'!$D$26,0)</f>
        <v/>
      </c>
      <c r="O76" s="188">
        <f>IF(F76=1,'01_ВВОД'!$D$34,IF(D76&lt;=5,'01_ВВОД'!$D$32,'01_ВВОД'!$D$33))</f>
        <v/>
      </c>
      <c r="P76" s="188">
        <f>O76</f>
        <v/>
      </c>
      <c r="Q76" s="188">
        <f>'01_ВВОД'!$D$40</f>
        <v/>
      </c>
      <c r="R76" s="188">
        <f>'01_ВВОД'!$D$46</f>
        <v/>
      </c>
      <c r="S76" s="188">
        <f>H76</f>
        <v/>
      </c>
      <c r="T76" s="188">
        <f>IF(H76=1,M76+N76+P76+Q76,0)</f>
        <v/>
      </c>
      <c r="U76">
        <f>R76*'01_ВВОД'!$D$120</f>
        <v/>
      </c>
    </row>
    <row r="77">
      <c r="A77" s="200" t="n">
        <v>46338</v>
      </c>
      <c r="B77" s="201" t="n">
        <v>3</v>
      </c>
      <c r="C77" s="201" t="inlineStr">
        <is>
          <t>Ноя-26</t>
        </is>
      </c>
      <c r="D77" s="201" t="n">
        <v>4</v>
      </c>
      <c r="E77" s="201" t="inlineStr">
        <is>
          <t>Чт</t>
        </is>
      </c>
      <c r="F77" s="199" t="n">
        <v>0</v>
      </c>
      <c r="G77" s="201" t="str"/>
      <c r="H77" s="193" t="n">
        <v>0</v>
      </c>
      <c r="I77" s="201" t="str"/>
      <c r="J77" s="188">
        <f>1</f>
        <v/>
      </c>
      <c r="K77" s="188">
        <f>IF(AND(D77&lt;=5,F77=0),1,0)</f>
        <v/>
      </c>
      <c r="L77" s="188">
        <f>IF(F77=1,'01_ВВОД'!$D$23,CHOOSE(D77,'01_ВВОД'!$D$19,'01_ВВОД'!$D$19,'01_ВВОД'!$D$19,'01_ВВОД'!$D$19,'01_ВВОД'!$D$20,'01_ВВОД'!$D$21,'01_ВВОД'!$D$22))</f>
        <v/>
      </c>
      <c r="M77" s="188">
        <f>L77*IF(H77=1,'01_ВВОД'!$D$118,1)</f>
        <v/>
      </c>
      <c r="N77" s="188">
        <f>IF(K77=1,'01_ВВОД'!$D$26,0)</f>
        <v/>
      </c>
      <c r="O77" s="188">
        <f>IF(F77=1,'01_ВВОД'!$D$34,IF(D77&lt;=5,'01_ВВОД'!$D$32,'01_ВВОД'!$D$33))</f>
        <v/>
      </c>
      <c r="P77" s="188">
        <f>O77</f>
        <v/>
      </c>
      <c r="Q77" s="188">
        <f>'01_ВВОД'!$D$40</f>
        <v/>
      </c>
      <c r="R77" s="188">
        <f>'01_ВВОД'!$D$46</f>
        <v/>
      </c>
      <c r="S77" s="188">
        <f>H77</f>
        <v/>
      </c>
      <c r="T77" s="188">
        <f>IF(H77=1,M77+N77+P77+Q77,0)</f>
        <v/>
      </c>
      <c r="U77">
        <f>R77*'01_ВВОД'!$D$120</f>
        <v/>
      </c>
    </row>
    <row r="78">
      <c r="A78" s="200" t="n">
        <v>46339</v>
      </c>
      <c r="B78" s="201" t="n">
        <v>3</v>
      </c>
      <c r="C78" s="201" t="inlineStr">
        <is>
          <t>Ноя-26</t>
        </is>
      </c>
      <c r="D78" s="201" t="n">
        <v>5</v>
      </c>
      <c r="E78" s="201" t="inlineStr">
        <is>
          <t>Пт</t>
        </is>
      </c>
      <c r="F78" s="199" t="n">
        <v>0</v>
      </c>
      <c r="G78" s="201" t="str"/>
      <c r="H78" s="193" t="n">
        <v>1</v>
      </c>
      <c r="I78" s="201" t="inlineStr">
        <is>
          <t>Пт–Вс</t>
        </is>
      </c>
      <c r="J78" s="188">
        <f>1</f>
        <v/>
      </c>
      <c r="K78" s="188">
        <f>IF(AND(D78&lt;=5,F78=0),1,0)</f>
        <v/>
      </c>
      <c r="L78" s="188">
        <f>IF(F78=1,'01_ВВОД'!$D$23,CHOOSE(D78,'01_ВВОД'!$D$19,'01_ВВОД'!$D$19,'01_ВВОД'!$D$19,'01_ВВОД'!$D$19,'01_ВВОД'!$D$20,'01_ВВОД'!$D$21,'01_ВВОД'!$D$22))</f>
        <v/>
      </c>
      <c r="M78" s="188">
        <f>L78*IF(H78=1,'01_ВВОД'!$D$118,1)</f>
        <v/>
      </c>
      <c r="N78" s="188">
        <f>IF(K78=1,'01_ВВОД'!$D$26,0)</f>
        <v/>
      </c>
      <c r="O78" s="188">
        <f>IF(F78=1,'01_ВВОД'!$D$34,IF(D78&lt;=5,'01_ВВОД'!$D$32,'01_ВВОД'!$D$33))</f>
        <v/>
      </c>
      <c r="P78" s="188">
        <f>O78</f>
        <v/>
      </c>
      <c r="Q78" s="188">
        <f>'01_ВВОД'!$D$40</f>
        <v/>
      </c>
      <c r="R78" s="188">
        <f>'01_ВВОД'!$D$46</f>
        <v/>
      </c>
      <c r="S78" s="188">
        <f>H78</f>
        <v/>
      </c>
      <c r="T78" s="188">
        <f>IF(H78=1,M78+N78+P78+Q78,0)</f>
        <v/>
      </c>
      <c r="U78">
        <f>R78*'01_ВВОД'!$D$120</f>
        <v/>
      </c>
    </row>
    <row r="79">
      <c r="A79" s="200" t="n">
        <v>46340</v>
      </c>
      <c r="B79" s="201" t="n">
        <v>3</v>
      </c>
      <c r="C79" s="201" t="inlineStr">
        <is>
          <t>Ноя-26</t>
        </is>
      </c>
      <c r="D79" s="201" t="n">
        <v>6</v>
      </c>
      <c r="E79" s="201" t="inlineStr">
        <is>
          <t>Сб</t>
        </is>
      </c>
      <c r="F79" s="199" t="n">
        <v>0</v>
      </c>
      <c r="G79" s="201" t="str"/>
      <c r="H79" s="193" t="n">
        <v>0</v>
      </c>
      <c r="I79" s="201" t="str"/>
      <c r="J79" s="188">
        <f>1</f>
        <v/>
      </c>
      <c r="K79" s="188">
        <f>IF(AND(D79&lt;=5,F79=0),1,0)</f>
        <v/>
      </c>
      <c r="L79" s="188">
        <f>IF(F79=1,'01_ВВОД'!$D$23,CHOOSE(D79,'01_ВВОД'!$D$19,'01_ВВОД'!$D$19,'01_ВВОД'!$D$19,'01_ВВОД'!$D$19,'01_ВВОД'!$D$20,'01_ВВОД'!$D$21,'01_ВВОД'!$D$22))</f>
        <v/>
      </c>
      <c r="M79" s="188">
        <f>L79*IF(H79=1,'01_ВВОД'!$D$118,1)</f>
        <v/>
      </c>
      <c r="N79" s="188">
        <f>IF(K79=1,'01_ВВОД'!$D$26,0)</f>
        <v/>
      </c>
      <c r="O79" s="188">
        <f>IF(F79=1,'01_ВВОД'!$D$34,IF(D79&lt;=5,'01_ВВОД'!$D$32,'01_ВВОД'!$D$33))</f>
        <v/>
      </c>
      <c r="P79" s="188">
        <f>O79</f>
        <v/>
      </c>
      <c r="Q79" s="188">
        <f>'01_ВВОД'!$D$40</f>
        <v/>
      </c>
      <c r="R79" s="188">
        <f>'01_ВВОД'!$D$46</f>
        <v/>
      </c>
      <c r="S79" s="188">
        <f>H79</f>
        <v/>
      </c>
      <c r="T79" s="188">
        <f>IF(H79=1,M79+N79+P79+Q79,0)</f>
        <v/>
      </c>
      <c r="U79">
        <f>R79*'01_ВВОД'!$D$120</f>
        <v/>
      </c>
    </row>
    <row r="80">
      <c r="A80" s="200" t="n">
        <v>46341</v>
      </c>
      <c r="B80" s="201" t="n">
        <v>3</v>
      </c>
      <c r="C80" s="201" t="inlineStr">
        <is>
          <t>Ноя-26</t>
        </is>
      </c>
      <c r="D80" s="201" t="n">
        <v>7</v>
      </c>
      <c r="E80" s="201" t="inlineStr">
        <is>
          <t>Вс</t>
        </is>
      </c>
      <c r="F80" s="199" t="n">
        <v>0</v>
      </c>
      <c r="G80" s="201" t="str"/>
      <c r="H80" s="193" t="n">
        <v>1</v>
      </c>
      <c r="I80" s="201" t="inlineStr">
        <is>
          <t>Пт–Вс</t>
        </is>
      </c>
      <c r="J80" s="188">
        <f>1</f>
        <v/>
      </c>
      <c r="K80" s="188">
        <f>IF(AND(D80&lt;=5,F80=0),1,0)</f>
        <v/>
      </c>
      <c r="L80" s="188">
        <f>IF(F80=1,'01_ВВОД'!$D$23,CHOOSE(D80,'01_ВВОД'!$D$19,'01_ВВОД'!$D$19,'01_ВВОД'!$D$19,'01_ВВОД'!$D$19,'01_ВВОД'!$D$20,'01_ВВОД'!$D$21,'01_ВВОД'!$D$22))</f>
        <v/>
      </c>
      <c r="M80" s="188">
        <f>L80*IF(H80=1,'01_ВВОД'!$D$118,1)</f>
        <v/>
      </c>
      <c r="N80" s="188">
        <f>IF(K80=1,'01_ВВОД'!$D$26,0)</f>
        <v/>
      </c>
      <c r="O80" s="188">
        <f>IF(F80=1,'01_ВВОД'!$D$34,IF(D80&lt;=5,'01_ВВОД'!$D$32,'01_ВВОД'!$D$33))</f>
        <v/>
      </c>
      <c r="P80" s="188">
        <f>O80</f>
        <v/>
      </c>
      <c r="Q80" s="188">
        <f>'01_ВВОД'!$D$40</f>
        <v/>
      </c>
      <c r="R80" s="188">
        <f>'01_ВВОД'!$D$46</f>
        <v/>
      </c>
      <c r="S80" s="188">
        <f>H80</f>
        <v/>
      </c>
      <c r="T80" s="188">
        <f>IF(H80=1,M80+N80+P80+Q80,0)</f>
        <v/>
      </c>
      <c r="U80">
        <f>R80*'01_ВВОД'!$D$120</f>
        <v/>
      </c>
    </row>
    <row r="81">
      <c r="A81" s="200" t="n">
        <v>46342</v>
      </c>
      <c r="B81" s="201" t="n">
        <v>3</v>
      </c>
      <c r="C81" s="201" t="inlineStr">
        <is>
          <t>Ноя-26</t>
        </is>
      </c>
      <c r="D81" s="201" t="n">
        <v>1</v>
      </c>
      <c r="E81" s="201" t="inlineStr">
        <is>
          <t>Пн</t>
        </is>
      </c>
      <c r="F81" s="199" t="n">
        <v>0</v>
      </c>
      <c r="G81" s="201" t="str"/>
      <c r="H81" s="193" t="n">
        <v>1</v>
      </c>
      <c r="I81" s="201" t="inlineStr">
        <is>
          <t>Пн–Чт</t>
        </is>
      </c>
      <c r="J81" s="188">
        <f>1</f>
        <v/>
      </c>
      <c r="K81" s="188">
        <f>IF(AND(D81&lt;=5,F81=0),1,0)</f>
        <v/>
      </c>
      <c r="L81" s="188">
        <f>IF(F81=1,'01_ВВОД'!$D$23,CHOOSE(D81,'01_ВВОД'!$D$19,'01_ВВОД'!$D$19,'01_ВВОД'!$D$19,'01_ВВОД'!$D$19,'01_ВВОД'!$D$20,'01_ВВОД'!$D$21,'01_ВВОД'!$D$22))</f>
        <v/>
      </c>
      <c r="M81" s="188">
        <f>L81*IF(H81=1,'01_ВВОД'!$D$118,1)</f>
        <v/>
      </c>
      <c r="N81" s="188">
        <f>IF(K81=1,'01_ВВОД'!$D$26,0)</f>
        <v/>
      </c>
      <c r="O81" s="188">
        <f>IF(F81=1,'01_ВВОД'!$D$34,IF(D81&lt;=5,'01_ВВОД'!$D$32,'01_ВВОД'!$D$33))</f>
        <v/>
      </c>
      <c r="P81" s="188">
        <f>O81</f>
        <v/>
      </c>
      <c r="Q81" s="188">
        <f>'01_ВВОД'!$D$40</f>
        <v/>
      </c>
      <c r="R81" s="188">
        <f>'01_ВВОД'!$D$46</f>
        <v/>
      </c>
      <c r="S81" s="188">
        <f>H81</f>
        <v/>
      </c>
      <c r="T81" s="188">
        <f>IF(H81=1,M81+N81+P81+Q81,0)</f>
        <v/>
      </c>
      <c r="U81">
        <f>R81*'01_ВВОД'!$D$120</f>
        <v/>
      </c>
    </row>
    <row r="82">
      <c r="A82" s="200" t="n">
        <v>46343</v>
      </c>
      <c r="B82" s="201" t="n">
        <v>3</v>
      </c>
      <c r="C82" s="201" t="inlineStr">
        <is>
          <t>Ноя-26</t>
        </is>
      </c>
      <c r="D82" s="201" t="n">
        <v>2</v>
      </c>
      <c r="E82" s="201" t="inlineStr">
        <is>
          <t>Вт</t>
        </is>
      </c>
      <c r="F82" s="199" t="n">
        <v>0</v>
      </c>
      <c r="G82" s="201" t="str"/>
      <c r="H82" s="193" t="n">
        <v>0</v>
      </c>
      <c r="I82" s="201" t="str"/>
      <c r="J82" s="188">
        <f>1</f>
        <v/>
      </c>
      <c r="K82" s="188">
        <f>IF(AND(D82&lt;=5,F82=0),1,0)</f>
        <v/>
      </c>
      <c r="L82" s="188">
        <f>IF(F82=1,'01_ВВОД'!$D$23,CHOOSE(D82,'01_ВВОД'!$D$19,'01_ВВОД'!$D$19,'01_ВВОД'!$D$19,'01_ВВОД'!$D$19,'01_ВВОД'!$D$20,'01_ВВОД'!$D$21,'01_ВВОД'!$D$22))</f>
        <v/>
      </c>
      <c r="M82" s="188">
        <f>L82*IF(H82=1,'01_ВВОД'!$D$118,1)</f>
        <v/>
      </c>
      <c r="N82" s="188">
        <f>IF(K82=1,'01_ВВОД'!$D$26,0)</f>
        <v/>
      </c>
      <c r="O82" s="188">
        <f>IF(F82=1,'01_ВВОД'!$D$34,IF(D82&lt;=5,'01_ВВОД'!$D$32,'01_ВВОД'!$D$33))</f>
        <v/>
      </c>
      <c r="P82" s="188">
        <f>O82</f>
        <v/>
      </c>
      <c r="Q82" s="188">
        <f>'01_ВВОД'!$D$40</f>
        <v/>
      </c>
      <c r="R82" s="188">
        <f>'01_ВВОД'!$D$46</f>
        <v/>
      </c>
      <c r="S82" s="188">
        <f>H82</f>
        <v/>
      </c>
      <c r="T82" s="188">
        <f>IF(H82=1,M82+N82+P82+Q82,0)</f>
        <v/>
      </c>
      <c r="U82">
        <f>R82*'01_ВВОД'!$D$120</f>
        <v/>
      </c>
    </row>
    <row r="83">
      <c r="A83" s="200" t="n">
        <v>46344</v>
      </c>
      <c r="B83" s="201" t="n">
        <v>3</v>
      </c>
      <c r="C83" s="201" t="inlineStr">
        <is>
          <t>Ноя-26</t>
        </is>
      </c>
      <c r="D83" s="201" t="n">
        <v>3</v>
      </c>
      <c r="E83" s="201" t="inlineStr">
        <is>
          <t>Ср</t>
        </is>
      </c>
      <c r="F83" s="199" t="n">
        <v>0</v>
      </c>
      <c r="G83" s="201" t="str"/>
      <c r="H83" s="193" t="n">
        <v>0</v>
      </c>
      <c r="I83" s="201" t="str"/>
      <c r="J83" s="188">
        <f>1</f>
        <v/>
      </c>
      <c r="K83" s="188">
        <f>IF(AND(D83&lt;=5,F83=0),1,0)</f>
        <v/>
      </c>
      <c r="L83" s="188">
        <f>IF(F83=1,'01_ВВОД'!$D$23,CHOOSE(D83,'01_ВВОД'!$D$19,'01_ВВОД'!$D$19,'01_ВВОД'!$D$19,'01_ВВОД'!$D$19,'01_ВВОД'!$D$20,'01_ВВОД'!$D$21,'01_ВВОД'!$D$22))</f>
        <v/>
      </c>
      <c r="M83" s="188">
        <f>L83*IF(H83=1,'01_ВВОД'!$D$118,1)</f>
        <v/>
      </c>
      <c r="N83" s="188">
        <f>IF(K83=1,'01_ВВОД'!$D$26,0)</f>
        <v/>
      </c>
      <c r="O83" s="188">
        <f>IF(F83=1,'01_ВВОД'!$D$34,IF(D83&lt;=5,'01_ВВОД'!$D$32,'01_ВВОД'!$D$33))</f>
        <v/>
      </c>
      <c r="P83" s="188">
        <f>O83</f>
        <v/>
      </c>
      <c r="Q83" s="188">
        <f>'01_ВВОД'!$D$40</f>
        <v/>
      </c>
      <c r="R83" s="188">
        <f>'01_ВВОД'!$D$46</f>
        <v/>
      </c>
      <c r="S83" s="188">
        <f>H83</f>
        <v/>
      </c>
      <c r="T83" s="188">
        <f>IF(H83=1,M83+N83+P83+Q83,0)</f>
        <v/>
      </c>
      <c r="U83">
        <f>R83*'01_ВВОД'!$D$120</f>
        <v/>
      </c>
    </row>
    <row r="84">
      <c r="A84" s="200" t="n">
        <v>46345</v>
      </c>
      <c r="B84" s="201" t="n">
        <v>3</v>
      </c>
      <c r="C84" s="201" t="inlineStr">
        <is>
          <t>Ноя-26</t>
        </is>
      </c>
      <c r="D84" s="201" t="n">
        <v>4</v>
      </c>
      <c r="E84" s="201" t="inlineStr">
        <is>
          <t>Чт</t>
        </is>
      </c>
      <c r="F84" s="199" t="n">
        <v>0</v>
      </c>
      <c r="G84" s="201" t="str"/>
      <c r="H84" s="193" t="n">
        <v>0</v>
      </c>
      <c r="I84" s="201" t="str"/>
      <c r="J84" s="188">
        <f>1</f>
        <v/>
      </c>
      <c r="K84" s="188">
        <f>IF(AND(D84&lt;=5,F84=0),1,0)</f>
        <v/>
      </c>
      <c r="L84" s="188">
        <f>IF(F84=1,'01_ВВОД'!$D$23,CHOOSE(D84,'01_ВВОД'!$D$19,'01_ВВОД'!$D$19,'01_ВВОД'!$D$19,'01_ВВОД'!$D$19,'01_ВВОД'!$D$20,'01_ВВОД'!$D$21,'01_ВВОД'!$D$22))</f>
        <v/>
      </c>
      <c r="M84" s="188">
        <f>L84*IF(H84=1,'01_ВВОД'!$D$118,1)</f>
        <v/>
      </c>
      <c r="N84" s="188">
        <f>IF(K84=1,'01_ВВОД'!$D$26,0)</f>
        <v/>
      </c>
      <c r="O84" s="188">
        <f>IF(F84=1,'01_ВВОД'!$D$34,IF(D84&lt;=5,'01_ВВОД'!$D$32,'01_ВВОД'!$D$33))</f>
        <v/>
      </c>
      <c r="P84" s="188">
        <f>O84</f>
        <v/>
      </c>
      <c r="Q84" s="188">
        <f>'01_ВВОД'!$D$40</f>
        <v/>
      </c>
      <c r="R84" s="188">
        <f>'01_ВВОД'!$D$46</f>
        <v/>
      </c>
      <c r="S84" s="188">
        <f>H84</f>
        <v/>
      </c>
      <c r="T84" s="188">
        <f>IF(H84=1,M84+N84+P84+Q84,0)</f>
        <v/>
      </c>
      <c r="U84">
        <f>R84*'01_ВВОД'!$D$120</f>
        <v/>
      </c>
    </row>
    <row r="85">
      <c r="A85" s="200" t="n">
        <v>46346</v>
      </c>
      <c r="B85" s="201" t="n">
        <v>3</v>
      </c>
      <c r="C85" s="201" t="inlineStr">
        <is>
          <t>Ноя-26</t>
        </is>
      </c>
      <c r="D85" s="201" t="n">
        <v>5</v>
      </c>
      <c r="E85" s="201" t="inlineStr">
        <is>
          <t>Пт</t>
        </is>
      </c>
      <c r="F85" s="199" t="n">
        <v>0</v>
      </c>
      <c r="G85" s="201" t="str"/>
      <c r="H85" s="193" t="n">
        <v>1</v>
      </c>
      <c r="I85" s="201" t="inlineStr">
        <is>
          <t>Пт–Вс</t>
        </is>
      </c>
      <c r="J85" s="188">
        <f>1</f>
        <v/>
      </c>
      <c r="K85" s="188">
        <f>IF(AND(D85&lt;=5,F85=0),1,0)</f>
        <v/>
      </c>
      <c r="L85" s="188">
        <f>IF(F85=1,'01_ВВОД'!$D$23,CHOOSE(D85,'01_ВВОД'!$D$19,'01_ВВОД'!$D$19,'01_ВВОД'!$D$19,'01_ВВОД'!$D$19,'01_ВВОД'!$D$20,'01_ВВОД'!$D$21,'01_ВВОД'!$D$22))</f>
        <v/>
      </c>
      <c r="M85" s="188">
        <f>L85*IF(H85=1,'01_ВВОД'!$D$118,1)</f>
        <v/>
      </c>
      <c r="N85" s="188">
        <f>IF(K85=1,'01_ВВОД'!$D$26,0)</f>
        <v/>
      </c>
      <c r="O85" s="188">
        <f>IF(F85=1,'01_ВВОД'!$D$34,IF(D85&lt;=5,'01_ВВОД'!$D$32,'01_ВВОД'!$D$33))</f>
        <v/>
      </c>
      <c r="P85" s="188">
        <f>O85</f>
        <v/>
      </c>
      <c r="Q85" s="188">
        <f>'01_ВВОД'!$D$40</f>
        <v/>
      </c>
      <c r="R85" s="188">
        <f>'01_ВВОД'!$D$46</f>
        <v/>
      </c>
      <c r="S85" s="188">
        <f>H85</f>
        <v/>
      </c>
      <c r="T85" s="188">
        <f>IF(H85=1,M85+N85+P85+Q85,0)</f>
        <v/>
      </c>
      <c r="U85">
        <f>R85*'01_ВВОД'!$D$120</f>
        <v/>
      </c>
    </row>
    <row r="86">
      <c r="A86" s="200" t="n">
        <v>46347</v>
      </c>
      <c r="B86" s="201" t="n">
        <v>3</v>
      </c>
      <c r="C86" s="201" t="inlineStr">
        <is>
          <t>Ноя-26</t>
        </is>
      </c>
      <c r="D86" s="201" t="n">
        <v>6</v>
      </c>
      <c r="E86" s="201" t="inlineStr">
        <is>
          <t>Сб</t>
        </is>
      </c>
      <c r="F86" s="199" t="n">
        <v>0</v>
      </c>
      <c r="G86" s="201" t="str"/>
      <c r="H86" s="193" t="n">
        <v>0</v>
      </c>
      <c r="I86" s="201" t="str"/>
      <c r="J86" s="188">
        <f>1</f>
        <v/>
      </c>
      <c r="K86" s="188">
        <f>IF(AND(D86&lt;=5,F86=0),1,0)</f>
        <v/>
      </c>
      <c r="L86" s="188">
        <f>IF(F86=1,'01_ВВОД'!$D$23,CHOOSE(D86,'01_ВВОД'!$D$19,'01_ВВОД'!$D$19,'01_ВВОД'!$D$19,'01_ВВОД'!$D$19,'01_ВВОД'!$D$20,'01_ВВОД'!$D$21,'01_ВВОД'!$D$22))</f>
        <v/>
      </c>
      <c r="M86" s="188">
        <f>L86*IF(H86=1,'01_ВВОД'!$D$118,1)</f>
        <v/>
      </c>
      <c r="N86" s="188">
        <f>IF(K86=1,'01_ВВОД'!$D$26,0)</f>
        <v/>
      </c>
      <c r="O86" s="188">
        <f>IF(F86=1,'01_ВВОД'!$D$34,IF(D86&lt;=5,'01_ВВОД'!$D$32,'01_ВВОД'!$D$33))</f>
        <v/>
      </c>
      <c r="P86" s="188">
        <f>O86</f>
        <v/>
      </c>
      <c r="Q86" s="188">
        <f>'01_ВВОД'!$D$40</f>
        <v/>
      </c>
      <c r="R86" s="188">
        <f>'01_ВВОД'!$D$46</f>
        <v/>
      </c>
      <c r="S86" s="188">
        <f>H86</f>
        <v/>
      </c>
      <c r="T86" s="188">
        <f>IF(H86=1,M86+N86+P86+Q86,0)</f>
        <v/>
      </c>
      <c r="U86">
        <f>R86*'01_ВВОД'!$D$120</f>
        <v/>
      </c>
    </row>
    <row r="87">
      <c r="A87" s="200" t="n">
        <v>46348</v>
      </c>
      <c r="B87" s="201" t="n">
        <v>3</v>
      </c>
      <c r="C87" s="201" t="inlineStr">
        <is>
          <t>Ноя-26</t>
        </is>
      </c>
      <c r="D87" s="201" t="n">
        <v>7</v>
      </c>
      <c r="E87" s="201" t="inlineStr">
        <is>
          <t>Вс</t>
        </is>
      </c>
      <c r="F87" s="199" t="n">
        <v>0</v>
      </c>
      <c r="G87" s="201" t="str"/>
      <c r="H87" s="193" t="n">
        <v>0</v>
      </c>
      <c r="I87" s="201" t="str"/>
      <c r="J87" s="188">
        <f>1</f>
        <v/>
      </c>
      <c r="K87" s="188">
        <f>IF(AND(D87&lt;=5,F87=0),1,0)</f>
        <v/>
      </c>
      <c r="L87" s="188">
        <f>IF(F87=1,'01_ВВОД'!$D$23,CHOOSE(D87,'01_ВВОД'!$D$19,'01_ВВОД'!$D$19,'01_ВВОД'!$D$19,'01_ВВОД'!$D$19,'01_ВВОД'!$D$20,'01_ВВОД'!$D$21,'01_ВВОД'!$D$22))</f>
        <v/>
      </c>
      <c r="M87" s="188">
        <f>L87*IF(H87=1,'01_ВВОД'!$D$118,1)</f>
        <v/>
      </c>
      <c r="N87" s="188">
        <f>IF(K87=1,'01_ВВОД'!$D$26,0)</f>
        <v/>
      </c>
      <c r="O87" s="188">
        <f>IF(F87=1,'01_ВВОД'!$D$34,IF(D87&lt;=5,'01_ВВОД'!$D$32,'01_ВВОД'!$D$33))</f>
        <v/>
      </c>
      <c r="P87" s="188">
        <f>O87</f>
        <v/>
      </c>
      <c r="Q87" s="188">
        <f>'01_ВВОД'!$D$40</f>
        <v/>
      </c>
      <c r="R87" s="188">
        <f>'01_ВВОД'!$D$46</f>
        <v/>
      </c>
      <c r="S87" s="188">
        <f>H87</f>
        <v/>
      </c>
      <c r="T87" s="188">
        <f>IF(H87=1,M87+N87+P87+Q87,0)</f>
        <v/>
      </c>
      <c r="U87">
        <f>R87*'01_ВВОД'!$D$120</f>
        <v/>
      </c>
    </row>
    <row r="88">
      <c r="A88" s="200" t="n">
        <v>46349</v>
      </c>
      <c r="B88" s="201" t="n">
        <v>3</v>
      </c>
      <c r="C88" s="201" t="inlineStr">
        <is>
          <t>Ноя-26</t>
        </is>
      </c>
      <c r="D88" s="201" t="n">
        <v>1</v>
      </c>
      <c r="E88" s="201" t="inlineStr">
        <is>
          <t>Пн</t>
        </is>
      </c>
      <c r="F88" s="199" t="n">
        <v>0</v>
      </c>
      <c r="G88" s="201" t="str"/>
      <c r="H88" s="193" t="n">
        <v>0</v>
      </c>
      <c r="I88" s="201" t="str"/>
      <c r="J88" s="188">
        <f>1</f>
        <v/>
      </c>
      <c r="K88" s="188">
        <f>IF(AND(D88&lt;=5,F88=0),1,0)</f>
        <v/>
      </c>
      <c r="L88" s="188">
        <f>IF(F88=1,'01_ВВОД'!$D$23,CHOOSE(D88,'01_ВВОД'!$D$19,'01_ВВОД'!$D$19,'01_ВВОД'!$D$19,'01_ВВОД'!$D$19,'01_ВВОД'!$D$20,'01_ВВОД'!$D$21,'01_ВВОД'!$D$22))</f>
        <v/>
      </c>
      <c r="M88" s="188">
        <f>L88*IF(H88=1,'01_ВВОД'!$D$118,1)</f>
        <v/>
      </c>
      <c r="N88" s="188">
        <f>IF(K88=1,'01_ВВОД'!$D$26,0)</f>
        <v/>
      </c>
      <c r="O88" s="188">
        <f>IF(F88=1,'01_ВВОД'!$D$34,IF(D88&lt;=5,'01_ВВОД'!$D$32,'01_ВВОД'!$D$33))</f>
        <v/>
      </c>
      <c r="P88" s="188">
        <f>O88</f>
        <v/>
      </c>
      <c r="Q88" s="188">
        <f>'01_ВВОД'!$D$40</f>
        <v/>
      </c>
      <c r="R88" s="188">
        <f>'01_ВВОД'!$D$46</f>
        <v/>
      </c>
      <c r="S88" s="188">
        <f>H88</f>
        <v/>
      </c>
      <c r="T88" s="188">
        <f>IF(H88=1,M88+N88+P88+Q88,0)</f>
        <v/>
      </c>
      <c r="U88">
        <f>R88*'01_ВВОД'!$D$120</f>
        <v/>
      </c>
    </row>
    <row r="89">
      <c r="A89" s="200" t="n">
        <v>46350</v>
      </c>
      <c r="B89" s="201" t="n">
        <v>3</v>
      </c>
      <c r="C89" s="201" t="inlineStr">
        <is>
          <t>Ноя-26</t>
        </is>
      </c>
      <c r="D89" s="201" t="n">
        <v>2</v>
      </c>
      <c r="E89" s="201" t="inlineStr">
        <is>
          <t>Вт</t>
        </is>
      </c>
      <c r="F89" s="199" t="n">
        <v>0</v>
      </c>
      <c r="G89" s="201" t="str"/>
      <c r="H89" s="193" t="n">
        <v>0</v>
      </c>
      <c r="I89" s="201" t="str"/>
      <c r="J89" s="188">
        <f>1</f>
        <v/>
      </c>
      <c r="K89" s="188">
        <f>IF(AND(D89&lt;=5,F89=0),1,0)</f>
        <v/>
      </c>
      <c r="L89" s="188">
        <f>IF(F89=1,'01_ВВОД'!$D$23,CHOOSE(D89,'01_ВВОД'!$D$19,'01_ВВОД'!$D$19,'01_ВВОД'!$D$19,'01_ВВОД'!$D$19,'01_ВВОД'!$D$20,'01_ВВОД'!$D$21,'01_ВВОД'!$D$22))</f>
        <v/>
      </c>
      <c r="M89" s="188">
        <f>L89*IF(H89=1,'01_ВВОД'!$D$118,1)</f>
        <v/>
      </c>
      <c r="N89" s="188">
        <f>IF(K89=1,'01_ВВОД'!$D$26,0)</f>
        <v/>
      </c>
      <c r="O89" s="188">
        <f>IF(F89=1,'01_ВВОД'!$D$34,IF(D89&lt;=5,'01_ВВОД'!$D$32,'01_ВВОД'!$D$33))</f>
        <v/>
      </c>
      <c r="P89" s="188">
        <f>O89</f>
        <v/>
      </c>
      <c r="Q89" s="188">
        <f>'01_ВВОД'!$D$40</f>
        <v/>
      </c>
      <c r="R89" s="188">
        <f>'01_ВВОД'!$D$46</f>
        <v/>
      </c>
      <c r="S89" s="188">
        <f>H89</f>
        <v/>
      </c>
      <c r="T89" s="188">
        <f>IF(H89=1,M89+N89+P89+Q89,0)</f>
        <v/>
      </c>
      <c r="U89">
        <f>R89*'01_ВВОД'!$D$120</f>
        <v/>
      </c>
    </row>
    <row r="90">
      <c r="A90" s="200" t="n">
        <v>46351</v>
      </c>
      <c r="B90" s="201" t="n">
        <v>3</v>
      </c>
      <c r="C90" s="201" t="inlineStr">
        <is>
          <t>Ноя-26</t>
        </is>
      </c>
      <c r="D90" s="201" t="n">
        <v>3</v>
      </c>
      <c r="E90" s="201" t="inlineStr">
        <is>
          <t>Ср</t>
        </is>
      </c>
      <c r="F90" s="199" t="n">
        <v>0</v>
      </c>
      <c r="G90" s="201" t="str"/>
      <c r="H90" s="193" t="n">
        <v>0</v>
      </c>
      <c r="I90" s="201" t="str"/>
      <c r="J90" s="188">
        <f>1</f>
        <v/>
      </c>
      <c r="K90" s="188">
        <f>IF(AND(D90&lt;=5,F90=0),1,0)</f>
        <v/>
      </c>
      <c r="L90" s="188">
        <f>IF(F90=1,'01_ВВОД'!$D$23,CHOOSE(D90,'01_ВВОД'!$D$19,'01_ВВОД'!$D$19,'01_ВВОД'!$D$19,'01_ВВОД'!$D$19,'01_ВВОД'!$D$20,'01_ВВОД'!$D$21,'01_ВВОД'!$D$22))</f>
        <v/>
      </c>
      <c r="M90" s="188">
        <f>L90*IF(H90=1,'01_ВВОД'!$D$118,1)</f>
        <v/>
      </c>
      <c r="N90" s="188">
        <f>IF(K90=1,'01_ВВОД'!$D$26,0)</f>
        <v/>
      </c>
      <c r="O90" s="188">
        <f>IF(F90=1,'01_ВВОД'!$D$34,IF(D90&lt;=5,'01_ВВОД'!$D$32,'01_ВВОД'!$D$33))</f>
        <v/>
      </c>
      <c r="P90" s="188">
        <f>O90</f>
        <v/>
      </c>
      <c r="Q90" s="188">
        <f>'01_ВВОД'!$D$40</f>
        <v/>
      </c>
      <c r="R90" s="188">
        <f>'01_ВВОД'!$D$46</f>
        <v/>
      </c>
      <c r="S90" s="188">
        <f>H90</f>
        <v/>
      </c>
      <c r="T90" s="188">
        <f>IF(H90=1,M90+N90+P90+Q90,0)</f>
        <v/>
      </c>
      <c r="U90">
        <f>R90*'01_ВВОД'!$D$120</f>
        <v/>
      </c>
    </row>
    <row r="91">
      <c r="A91" s="200" t="n">
        <v>46352</v>
      </c>
      <c r="B91" s="201" t="n">
        <v>3</v>
      </c>
      <c r="C91" s="201" t="inlineStr">
        <is>
          <t>Ноя-26</t>
        </is>
      </c>
      <c r="D91" s="201" t="n">
        <v>4</v>
      </c>
      <c r="E91" s="201" t="inlineStr">
        <is>
          <t>Чт</t>
        </is>
      </c>
      <c r="F91" s="199" t="n">
        <v>0</v>
      </c>
      <c r="G91" s="201" t="str"/>
      <c r="H91" s="193" t="n">
        <v>0</v>
      </c>
      <c r="I91" s="201" t="str"/>
      <c r="J91" s="188">
        <f>1</f>
        <v/>
      </c>
      <c r="K91" s="188">
        <f>IF(AND(D91&lt;=5,F91=0),1,0)</f>
        <v/>
      </c>
      <c r="L91" s="188">
        <f>IF(F91=1,'01_ВВОД'!$D$23,CHOOSE(D91,'01_ВВОД'!$D$19,'01_ВВОД'!$D$19,'01_ВВОД'!$D$19,'01_ВВОД'!$D$19,'01_ВВОД'!$D$20,'01_ВВОД'!$D$21,'01_ВВОД'!$D$22))</f>
        <v/>
      </c>
      <c r="M91" s="188">
        <f>L91*IF(H91=1,'01_ВВОД'!$D$118,1)</f>
        <v/>
      </c>
      <c r="N91" s="188">
        <f>IF(K91=1,'01_ВВОД'!$D$26,0)</f>
        <v/>
      </c>
      <c r="O91" s="188">
        <f>IF(F91=1,'01_ВВОД'!$D$34,IF(D91&lt;=5,'01_ВВОД'!$D$32,'01_ВВОД'!$D$33))</f>
        <v/>
      </c>
      <c r="P91" s="188">
        <f>O91</f>
        <v/>
      </c>
      <c r="Q91" s="188">
        <f>'01_ВВОД'!$D$40</f>
        <v/>
      </c>
      <c r="R91" s="188">
        <f>'01_ВВОД'!$D$46</f>
        <v/>
      </c>
      <c r="S91" s="188">
        <f>H91</f>
        <v/>
      </c>
      <c r="T91" s="188">
        <f>IF(H91=1,M91+N91+P91+Q91,0)</f>
        <v/>
      </c>
      <c r="U91">
        <f>R91*'01_ВВОД'!$D$120</f>
        <v/>
      </c>
    </row>
    <row r="92">
      <c r="A92" s="200" t="n">
        <v>46353</v>
      </c>
      <c r="B92" s="201" t="n">
        <v>3</v>
      </c>
      <c r="C92" s="201" t="inlineStr">
        <is>
          <t>Ноя-26</t>
        </is>
      </c>
      <c r="D92" s="201" t="n">
        <v>5</v>
      </c>
      <c r="E92" s="201" t="inlineStr">
        <is>
          <t>Пт</t>
        </is>
      </c>
      <c r="F92" s="199" t="n">
        <v>0</v>
      </c>
      <c r="G92" s="201" t="str"/>
      <c r="H92" s="193" t="n">
        <v>0</v>
      </c>
      <c r="I92" s="201" t="str"/>
      <c r="J92" s="188">
        <f>1</f>
        <v/>
      </c>
      <c r="K92" s="188">
        <f>IF(AND(D92&lt;=5,F92=0),1,0)</f>
        <v/>
      </c>
      <c r="L92" s="188">
        <f>IF(F92=1,'01_ВВОД'!$D$23,CHOOSE(D92,'01_ВВОД'!$D$19,'01_ВВОД'!$D$19,'01_ВВОД'!$D$19,'01_ВВОД'!$D$19,'01_ВВОД'!$D$20,'01_ВВОД'!$D$21,'01_ВВОД'!$D$22))</f>
        <v/>
      </c>
      <c r="M92" s="188">
        <f>L92*IF(H92=1,'01_ВВОД'!$D$118,1)</f>
        <v/>
      </c>
      <c r="N92" s="188">
        <f>IF(K92=1,'01_ВВОД'!$D$26,0)</f>
        <v/>
      </c>
      <c r="O92" s="188">
        <f>IF(F92=1,'01_ВВОД'!$D$34,IF(D92&lt;=5,'01_ВВОД'!$D$32,'01_ВВОД'!$D$33))</f>
        <v/>
      </c>
      <c r="P92" s="188">
        <f>O92</f>
        <v/>
      </c>
      <c r="Q92" s="188">
        <f>'01_ВВОД'!$D$40</f>
        <v/>
      </c>
      <c r="R92" s="188">
        <f>'01_ВВОД'!$D$46</f>
        <v/>
      </c>
      <c r="S92" s="188">
        <f>H92</f>
        <v/>
      </c>
      <c r="T92" s="188">
        <f>IF(H92=1,M92+N92+P92+Q92,0)</f>
        <v/>
      </c>
      <c r="U92">
        <f>R92*'01_ВВОД'!$D$120</f>
        <v/>
      </c>
    </row>
    <row r="93">
      <c r="A93" s="200" t="n">
        <v>46354</v>
      </c>
      <c r="B93" s="201" t="n">
        <v>3</v>
      </c>
      <c r="C93" s="201" t="inlineStr">
        <is>
          <t>Ноя-26</t>
        </is>
      </c>
      <c r="D93" s="201" t="n">
        <v>6</v>
      </c>
      <c r="E93" s="201" t="inlineStr">
        <is>
          <t>Сб</t>
        </is>
      </c>
      <c r="F93" s="199" t="n">
        <v>0</v>
      </c>
      <c r="G93" s="201" t="str"/>
      <c r="H93" s="193" t="n">
        <v>0</v>
      </c>
      <c r="I93" s="201" t="str"/>
      <c r="J93" s="188">
        <f>1</f>
        <v/>
      </c>
      <c r="K93" s="188">
        <f>IF(AND(D93&lt;=5,F93=0),1,0)</f>
        <v/>
      </c>
      <c r="L93" s="188">
        <f>IF(F93=1,'01_ВВОД'!$D$23,CHOOSE(D93,'01_ВВОД'!$D$19,'01_ВВОД'!$D$19,'01_ВВОД'!$D$19,'01_ВВОД'!$D$19,'01_ВВОД'!$D$20,'01_ВВОД'!$D$21,'01_ВВОД'!$D$22))</f>
        <v/>
      </c>
      <c r="M93" s="188">
        <f>L93*IF(H93=1,'01_ВВОД'!$D$118,1)</f>
        <v/>
      </c>
      <c r="N93" s="188">
        <f>IF(K93=1,'01_ВВОД'!$D$26,0)</f>
        <v/>
      </c>
      <c r="O93" s="188">
        <f>IF(F93=1,'01_ВВОД'!$D$34,IF(D93&lt;=5,'01_ВВОД'!$D$32,'01_ВВОД'!$D$33))</f>
        <v/>
      </c>
      <c r="P93" s="188">
        <f>O93</f>
        <v/>
      </c>
      <c r="Q93" s="188">
        <f>'01_ВВОД'!$D$40</f>
        <v/>
      </c>
      <c r="R93" s="188">
        <f>'01_ВВОД'!$D$46</f>
        <v/>
      </c>
      <c r="S93" s="188">
        <f>H93</f>
        <v/>
      </c>
      <c r="T93" s="188">
        <f>IF(H93=1,M93+N93+P93+Q93,0)</f>
        <v/>
      </c>
      <c r="U93">
        <f>R93*'01_ВВОД'!$D$120</f>
        <v/>
      </c>
    </row>
    <row r="94">
      <c r="A94" s="200" t="n">
        <v>46355</v>
      </c>
      <c r="B94" s="201" t="n">
        <v>3</v>
      </c>
      <c r="C94" s="201" t="inlineStr">
        <is>
          <t>Ноя-26</t>
        </is>
      </c>
      <c r="D94" s="201" t="n">
        <v>7</v>
      </c>
      <c r="E94" s="201" t="inlineStr">
        <is>
          <t>Вс</t>
        </is>
      </c>
      <c r="F94" s="199" t="n">
        <v>0</v>
      </c>
      <c r="G94" s="201" t="str"/>
      <c r="H94" s="193" t="n">
        <v>0</v>
      </c>
      <c r="I94" s="201" t="str"/>
      <c r="J94" s="188">
        <f>1</f>
        <v/>
      </c>
      <c r="K94" s="188">
        <f>IF(AND(D94&lt;=5,F94=0),1,0)</f>
        <v/>
      </c>
      <c r="L94" s="188">
        <f>IF(F94=1,'01_ВВОД'!$D$23,CHOOSE(D94,'01_ВВОД'!$D$19,'01_ВВОД'!$D$19,'01_ВВОД'!$D$19,'01_ВВОД'!$D$19,'01_ВВОД'!$D$20,'01_ВВОД'!$D$21,'01_ВВОД'!$D$22))</f>
        <v/>
      </c>
      <c r="M94" s="188">
        <f>L94*IF(H94=1,'01_ВВОД'!$D$118,1)</f>
        <v/>
      </c>
      <c r="N94" s="188">
        <f>IF(K94=1,'01_ВВОД'!$D$26,0)</f>
        <v/>
      </c>
      <c r="O94" s="188">
        <f>IF(F94=1,'01_ВВОД'!$D$34,IF(D94&lt;=5,'01_ВВОД'!$D$32,'01_ВВОД'!$D$33))</f>
        <v/>
      </c>
      <c r="P94" s="188">
        <f>O94</f>
        <v/>
      </c>
      <c r="Q94" s="188">
        <f>'01_ВВОД'!$D$40</f>
        <v/>
      </c>
      <c r="R94" s="188">
        <f>'01_ВВОД'!$D$46</f>
        <v/>
      </c>
      <c r="S94" s="188">
        <f>H94</f>
        <v/>
      </c>
      <c r="T94" s="188">
        <f>IF(H94=1,M94+N94+P94+Q94,0)</f>
        <v/>
      </c>
      <c r="U94">
        <f>R94*'01_ВВОД'!$D$120</f>
        <v/>
      </c>
    </row>
    <row r="95">
      <c r="A95" s="200" t="n">
        <v>46356</v>
      </c>
      <c r="B95" s="201" t="n">
        <v>3</v>
      </c>
      <c r="C95" s="201" t="inlineStr">
        <is>
          <t>Ноя-26</t>
        </is>
      </c>
      <c r="D95" s="201" t="n">
        <v>1</v>
      </c>
      <c r="E95" s="201" t="inlineStr">
        <is>
          <t>Пн</t>
        </is>
      </c>
      <c r="F95" s="199" t="n">
        <v>0</v>
      </c>
      <c r="G95" s="201" t="str"/>
      <c r="H95" s="193" t="n">
        <v>1</v>
      </c>
      <c r="I95" s="201" t="inlineStr">
        <is>
          <t>Пн–Чт</t>
        </is>
      </c>
      <c r="J95" s="188">
        <f>1</f>
        <v/>
      </c>
      <c r="K95" s="188">
        <f>IF(AND(D95&lt;=5,F95=0),1,0)</f>
        <v/>
      </c>
      <c r="L95" s="188">
        <f>IF(F95=1,'01_ВВОД'!$D$23,CHOOSE(D95,'01_ВВОД'!$D$19,'01_ВВОД'!$D$19,'01_ВВОД'!$D$19,'01_ВВОД'!$D$19,'01_ВВОД'!$D$20,'01_ВВОД'!$D$21,'01_ВВОД'!$D$22))</f>
        <v/>
      </c>
      <c r="M95" s="188">
        <f>L95*IF(H95=1,'01_ВВОД'!$D$118,1)</f>
        <v/>
      </c>
      <c r="N95" s="188">
        <f>IF(K95=1,'01_ВВОД'!$D$26,0)</f>
        <v/>
      </c>
      <c r="O95" s="188">
        <f>IF(F95=1,'01_ВВОД'!$D$34,IF(D95&lt;=5,'01_ВВОД'!$D$32,'01_ВВОД'!$D$33))</f>
        <v/>
      </c>
      <c r="P95" s="188">
        <f>O95</f>
        <v/>
      </c>
      <c r="Q95" s="188">
        <f>'01_ВВОД'!$D$40</f>
        <v/>
      </c>
      <c r="R95" s="188">
        <f>'01_ВВОД'!$D$46</f>
        <v/>
      </c>
      <c r="S95" s="188">
        <f>H95</f>
        <v/>
      </c>
      <c r="T95" s="188">
        <f>IF(H95=1,M95+N95+P95+Q95,0)</f>
        <v/>
      </c>
      <c r="U95">
        <f>R95*'01_ВВОД'!$D$120</f>
        <v/>
      </c>
    </row>
    <row r="96">
      <c r="A96" s="200" t="n">
        <v>46357</v>
      </c>
      <c r="B96" s="201" t="n">
        <v>4</v>
      </c>
      <c r="C96" s="201" t="inlineStr">
        <is>
          <t>Дек-26</t>
        </is>
      </c>
      <c r="D96" s="201" t="n">
        <v>2</v>
      </c>
      <c r="E96" s="201" t="inlineStr">
        <is>
          <t>Вт</t>
        </is>
      </c>
      <c r="F96" s="199" t="n">
        <v>0</v>
      </c>
      <c r="G96" s="201" t="str"/>
      <c r="H96" s="193" t="n">
        <v>0</v>
      </c>
      <c r="I96" s="201" t="str"/>
      <c r="J96" s="188">
        <f>1</f>
        <v/>
      </c>
      <c r="K96" s="188">
        <f>IF(AND(D96&lt;=5,F96=0),1,0)</f>
        <v/>
      </c>
      <c r="L96" s="188">
        <f>IF(F96=1,'01_ВВОД'!$D$23,CHOOSE(D96,'01_ВВОД'!$D$19,'01_ВВОД'!$D$19,'01_ВВОД'!$D$19,'01_ВВОД'!$D$19,'01_ВВОД'!$D$20,'01_ВВОД'!$D$21,'01_ВВОД'!$D$22))</f>
        <v/>
      </c>
      <c r="M96" s="188">
        <f>L96*IF(H96=1,'01_ВВОД'!$D$118,1)</f>
        <v/>
      </c>
      <c r="N96" s="188">
        <f>IF(K96=1,'01_ВВОД'!$D$26,0)</f>
        <v/>
      </c>
      <c r="O96" s="188">
        <f>IF(F96=1,'01_ВВОД'!$D$34,IF(D96&lt;=5,'01_ВВОД'!$D$32,'01_ВВОД'!$D$33))</f>
        <v/>
      </c>
      <c r="P96" s="188">
        <f>O96</f>
        <v/>
      </c>
      <c r="Q96" s="188">
        <f>'01_ВВОД'!$D$40</f>
        <v/>
      </c>
      <c r="R96" s="188">
        <f>'01_ВВОД'!$D$46</f>
        <v/>
      </c>
      <c r="S96" s="188">
        <f>H96</f>
        <v/>
      </c>
      <c r="T96" s="188">
        <f>IF(H96=1,M96+N96+P96+Q96,0)</f>
        <v/>
      </c>
      <c r="U96">
        <f>R96*'01_ВВОД'!$D$120</f>
        <v/>
      </c>
    </row>
    <row r="97">
      <c r="A97" s="200" t="n">
        <v>46358</v>
      </c>
      <c r="B97" s="201" t="n">
        <v>4</v>
      </c>
      <c r="C97" s="201" t="inlineStr">
        <is>
          <t>Дек-26</t>
        </is>
      </c>
      <c r="D97" s="201" t="n">
        <v>3</v>
      </c>
      <c r="E97" s="201" t="inlineStr">
        <is>
          <t>Ср</t>
        </is>
      </c>
      <c r="F97" s="199" t="n">
        <v>0</v>
      </c>
      <c r="G97" s="201" t="str"/>
      <c r="H97" s="193" t="n">
        <v>0</v>
      </c>
      <c r="I97" s="201" t="str"/>
      <c r="J97" s="188">
        <f>1</f>
        <v/>
      </c>
      <c r="K97" s="188">
        <f>IF(AND(D97&lt;=5,F97=0),1,0)</f>
        <v/>
      </c>
      <c r="L97" s="188">
        <f>IF(F97=1,'01_ВВОД'!$D$23,CHOOSE(D97,'01_ВВОД'!$D$19,'01_ВВОД'!$D$19,'01_ВВОД'!$D$19,'01_ВВОД'!$D$19,'01_ВВОД'!$D$20,'01_ВВОД'!$D$21,'01_ВВОД'!$D$22))</f>
        <v/>
      </c>
      <c r="M97" s="188">
        <f>L97*IF(H97=1,'01_ВВОД'!$D$118,1)</f>
        <v/>
      </c>
      <c r="N97" s="188">
        <f>IF(K97=1,'01_ВВОД'!$D$26,0)</f>
        <v/>
      </c>
      <c r="O97" s="188">
        <f>IF(F97=1,'01_ВВОД'!$D$34,IF(D97&lt;=5,'01_ВВОД'!$D$32,'01_ВВОД'!$D$33))</f>
        <v/>
      </c>
      <c r="P97" s="188">
        <f>O97</f>
        <v/>
      </c>
      <c r="Q97" s="188">
        <f>'01_ВВОД'!$D$40</f>
        <v/>
      </c>
      <c r="R97" s="188">
        <f>'01_ВВОД'!$D$46</f>
        <v/>
      </c>
      <c r="S97" s="188">
        <f>H97</f>
        <v/>
      </c>
      <c r="T97" s="188">
        <f>IF(H97=1,M97+N97+P97+Q97,0)</f>
        <v/>
      </c>
      <c r="U97">
        <f>R97*'01_ВВОД'!$D$120</f>
        <v/>
      </c>
    </row>
    <row r="98">
      <c r="A98" s="200" t="n">
        <v>46359</v>
      </c>
      <c r="B98" s="201" t="n">
        <v>4</v>
      </c>
      <c r="C98" s="201" t="inlineStr">
        <is>
          <t>Дек-26</t>
        </is>
      </c>
      <c r="D98" s="201" t="n">
        <v>4</v>
      </c>
      <c r="E98" s="201" t="inlineStr">
        <is>
          <t>Чт</t>
        </is>
      </c>
      <c r="F98" s="199" t="n">
        <v>0</v>
      </c>
      <c r="G98" s="201" t="str"/>
      <c r="H98" s="193" t="n">
        <v>0</v>
      </c>
      <c r="I98" s="201" t="str"/>
      <c r="J98" s="188">
        <f>1</f>
        <v/>
      </c>
      <c r="K98" s="188">
        <f>IF(AND(D98&lt;=5,F98=0),1,0)</f>
        <v/>
      </c>
      <c r="L98" s="188">
        <f>IF(F98=1,'01_ВВОД'!$D$23,CHOOSE(D98,'01_ВВОД'!$D$19,'01_ВВОД'!$D$19,'01_ВВОД'!$D$19,'01_ВВОД'!$D$19,'01_ВВОД'!$D$20,'01_ВВОД'!$D$21,'01_ВВОД'!$D$22))</f>
        <v/>
      </c>
      <c r="M98" s="188">
        <f>L98*IF(H98=1,'01_ВВОД'!$D$118,1)</f>
        <v/>
      </c>
      <c r="N98" s="188">
        <f>IF(K98=1,'01_ВВОД'!$D$26,0)</f>
        <v/>
      </c>
      <c r="O98" s="188">
        <f>IF(F98=1,'01_ВВОД'!$D$34,IF(D98&lt;=5,'01_ВВОД'!$D$32,'01_ВВОД'!$D$33))</f>
        <v/>
      </c>
      <c r="P98" s="188">
        <f>O98</f>
        <v/>
      </c>
      <c r="Q98" s="188">
        <f>'01_ВВОД'!$D$40</f>
        <v/>
      </c>
      <c r="R98" s="188">
        <f>'01_ВВОД'!$D$46</f>
        <v/>
      </c>
      <c r="S98" s="188">
        <f>H98</f>
        <v/>
      </c>
      <c r="T98" s="188">
        <f>IF(H98=1,M98+N98+P98+Q98,0)</f>
        <v/>
      </c>
      <c r="U98">
        <f>R98*'01_ВВОД'!$D$120</f>
        <v/>
      </c>
    </row>
    <row r="99">
      <c r="A99" s="200" t="n">
        <v>46360</v>
      </c>
      <c r="B99" s="201" t="n">
        <v>4</v>
      </c>
      <c r="C99" s="201" t="inlineStr">
        <is>
          <t>Дек-26</t>
        </is>
      </c>
      <c r="D99" s="201" t="n">
        <v>5</v>
      </c>
      <c r="E99" s="201" t="inlineStr">
        <is>
          <t>Пт</t>
        </is>
      </c>
      <c r="F99" s="199" t="n">
        <v>0</v>
      </c>
      <c r="G99" s="201" t="str"/>
      <c r="H99" s="193" t="n">
        <v>0</v>
      </c>
      <c r="I99" s="201" t="str"/>
      <c r="J99" s="188">
        <f>1</f>
        <v/>
      </c>
      <c r="K99" s="188">
        <f>IF(AND(D99&lt;=5,F99=0),1,0)</f>
        <v/>
      </c>
      <c r="L99" s="188">
        <f>IF(F99=1,'01_ВВОД'!$D$23,CHOOSE(D99,'01_ВВОД'!$D$19,'01_ВВОД'!$D$19,'01_ВВОД'!$D$19,'01_ВВОД'!$D$19,'01_ВВОД'!$D$20,'01_ВВОД'!$D$21,'01_ВВОД'!$D$22))</f>
        <v/>
      </c>
      <c r="M99" s="188">
        <f>L99*IF(H99=1,'01_ВВОД'!$D$118,1)</f>
        <v/>
      </c>
      <c r="N99" s="188">
        <f>IF(K99=1,'01_ВВОД'!$D$26,0)</f>
        <v/>
      </c>
      <c r="O99" s="188">
        <f>IF(F99=1,'01_ВВОД'!$D$34,IF(D99&lt;=5,'01_ВВОД'!$D$32,'01_ВВОД'!$D$33))</f>
        <v/>
      </c>
      <c r="P99" s="188">
        <f>O99</f>
        <v/>
      </c>
      <c r="Q99" s="188">
        <f>'01_ВВОД'!$D$40</f>
        <v/>
      </c>
      <c r="R99" s="188">
        <f>'01_ВВОД'!$D$46</f>
        <v/>
      </c>
      <c r="S99" s="188">
        <f>H99</f>
        <v/>
      </c>
      <c r="T99" s="188">
        <f>IF(H99=1,M99+N99+P99+Q99,0)</f>
        <v/>
      </c>
      <c r="U99">
        <f>R99*'01_ВВОД'!$D$120</f>
        <v/>
      </c>
    </row>
    <row r="100">
      <c r="A100" s="200" t="n">
        <v>46361</v>
      </c>
      <c r="B100" s="201" t="n">
        <v>4</v>
      </c>
      <c r="C100" s="201" t="inlineStr">
        <is>
          <t>Дек-26</t>
        </is>
      </c>
      <c r="D100" s="201" t="n">
        <v>6</v>
      </c>
      <c r="E100" s="201" t="inlineStr">
        <is>
          <t>Сб</t>
        </is>
      </c>
      <c r="F100" s="199" t="n">
        <v>0</v>
      </c>
      <c r="G100" s="201" t="str"/>
      <c r="H100" s="193" t="n">
        <v>1</v>
      </c>
      <c r="I100" s="201" t="inlineStr">
        <is>
          <t>Пт–Вс</t>
        </is>
      </c>
      <c r="J100" s="188">
        <f>1</f>
        <v/>
      </c>
      <c r="K100" s="188">
        <f>IF(AND(D100&lt;=5,F100=0),1,0)</f>
        <v/>
      </c>
      <c r="L100" s="188">
        <f>IF(F100=1,'01_ВВОД'!$D$23,CHOOSE(D100,'01_ВВОД'!$D$19,'01_ВВОД'!$D$19,'01_ВВОД'!$D$19,'01_ВВОД'!$D$19,'01_ВВОД'!$D$20,'01_ВВОД'!$D$21,'01_ВВОД'!$D$22))</f>
        <v/>
      </c>
      <c r="M100" s="188">
        <f>L100*IF(H100=1,'01_ВВОД'!$D$118,1)</f>
        <v/>
      </c>
      <c r="N100" s="188">
        <f>IF(K100=1,'01_ВВОД'!$D$26,0)</f>
        <v/>
      </c>
      <c r="O100" s="188">
        <f>IF(F100=1,'01_ВВОД'!$D$34,IF(D100&lt;=5,'01_ВВОД'!$D$32,'01_ВВОД'!$D$33))</f>
        <v/>
      </c>
      <c r="P100" s="188">
        <f>O100</f>
        <v/>
      </c>
      <c r="Q100" s="188">
        <f>'01_ВВОД'!$D$40</f>
        <v/>
      </c>
      <c r="R100" s="188">
        <f>'01_ВВОД'!$D$46</f>
        <v/>
      </c>
      <c r="S100" s="188">
        <f>H100</f>
        <v/>
      </c>
      <c r="T100" s="188">
        <f>IF(H100=1,M100+N100+P100+Q100,0)</f>
        <v/>
      </c>
      <c r="U100">
        <f>R100*'01_ВВОД'!$D$120</f>
        <v/>
      </c>
    </row>
    <row r="101">
      <c r="A101" s="200" t="n">
        <v>46362</v>
      </c>
      <c r="B101" s="201" t="n">
        <v>4</v>
      </c>
      <c r="C101" s="201" t="inlineStr">
        <is>
          <t>Дек-26</t>
        </is>
      </c>
      <c r="D101" s="201" t="n">
        <v>7</v>
      </c>
      <c r="E101" s="201" t="inlineStr">
        <is>
          <t>Вс</t>
        </is>
      </c>
      <c r="F101" s="199" t="n">
        <v>0</v>
      </c>
      <c r="G101" s="201" t="str"/>
      <c r="H101" s="193" t="n">
        <v>0</v>
      </c>
      <c r="I101" s="201" t="str"/>
      <c r="J101" s="188">
        <f>1</f>
        <v/>
      </c>
      <c r="K101" s="188">
        <f>IF(AND(D101&lt;=5,F101=0),1,0)</f>
        <v/>
      </c>
      <c r="L101" s="188">
        <f>IF(F101=1,'01_ВВОД'!$D$23,CHOOSE(D101,'01_ВВОД'!$D$19,'01_ВВОД'!$D$19,'01_ВВОД'!$D$19,'01_ВВОД'!$D$19,'01_ВВОД'!$D$20,'01_ВВОД'!$D$21,'01_ВВОД'!$D$22))</f>
        <v/>
      </c>
      <c r="M101" s="188">
        <f>L101*IF(H101=1,'01_ВВОД'!$D$118,1)</f>
        <v/>
      </c>
      <c r="N101" s="188">
        <f>IF(K101=1,'01_ВВОД'!$D$26,0)</f>
        <v/>
      </c>
      <c r="O101" s="188">
        <f>IF(F101=1,'01_ВВОД'!$D$34,IF(D101&lt;=5,'01_ВВОД'!$D$32,'01_ВВОД'!$D$33))</f>
        <v/>
      </c>
      <c r="P101" s="188">
        <f>O101</f>
        <v/>
      </c>
      <c r="Q101" s="188">
        <f>'01_ВВОД'!$D$40</f>
        <v/>
      </c>
      <c r="R101" s="188">
        <f>'01_ВВОД'!$D$46</f>
        <v/>
      </c>
      <c r="S101" s="188">
        <f>H101</f>
        <v/>
      </c>
      <c r="T101" s="188">
        <f>IF(H101=1,M101+N101+P101+Q101,0)</f>
        <v/>
      </c>
      <c r="U101">
        <f>R101*'01_ВВОД'!$D$120</f>
        <v/>
      </c>
    </row>
    <row r="102">
      <c r="A102" s="200" t="n">
        <v>46363</v>
      </c>
      <c r="B102" s="201" t="n">
        <v>4</v>
      </c>
      <c r="C102" s="201" t="inlineStr">
        <is>
          <t>Дек-26</t>
        </is>
      </c>
      <c r="D102" s="201" t="n">
        <v>1</v>
      </c>
      <c r="E102" s="201" t="inlineStr">
        <is>
          <t>Пн</t>
        </is>
      </c>
      <c r="F102" s="199" t="n">
        <v>0</v>
      </c>
      <c r="G102" s="201" t="str"/>
      <c r="H102" s="193" t="n">
        <v>0</v>
      </c>
      <c r="I102" s="201" t="str"/>
      <c r="J102" s="188">
        <f>1</f>
        <v/>
      </c>
      <c r="K102" s="188">
        <f>IF(AND(D102&lt;=5,F102=0),1,0)</f>
        <v/>
      </c>
      <c r="L102" s="188">
        <f>IF(F102=1,'01_ВВОД'!$D$23,CHOOSE(D102,'01_ВВОД'!$D$19,'01_ВВОД'!$D$19,'01_ВВОД'!$D$19,'01_ВВОД'!$D$19,'01_ВВОД'!$D$20,'01_ВВОД'!$D$21,'01_ВВОД'!$D$22))</f>
        <v/>
      </c>
      <c r="M102" s="188">
        <f>L102*IF(H102=1,'01_ВВОД'!$D$118,1)</f>
        <v/>
      </c>
      <c r="N102" s="188">
        <f>IF(K102=1,'01_ВВОД'!$D$26,0)</f>
        <v/>
      </c>
      <c r="O102" s="188">
        <f>IF(F102=1,'01_ВВОД'!$D$34,IF(D102&lt;=5,'01_ВВОД'!$D$32,'01_ВВОД'!$D$33))</f>
        <v/>
      </c>
      <c r="P102" s="188">
        <f>O102</f>
        <v/>
      </c>
      <c r="Q102" s="188">
        <f>'01_ВВОД'!$D$40</f>
        <v/>
      </c>
      <c r="R102" s="188">
        <f>'01_ВВОД'!$D$46</f>
        <v/>
      </c>
      <c r="S102" s="188">
        <f>H102</f>
        <v/>
      </c>
      <c r="T102" s="188">
        <f>IF(H102=1,M102+N102+P102+Q102,0)</f>
        <v/>
      </c>
      <c r="U102">
        <f>R102*'01_ВВОД'!$D$120</f>
        <v/>
      </c>
    </row>
    <row r="103">
      <c r="A103" s="200" t="n">
        <v>46364</v>
      </c>
      <c r="B103" s="201" t="n">
        <v>4</v>
      </c>
      <c r="C103" s="201" t="inlineStr">
        <is>
          <t>Дек-26</t>
        </is>
      </c>
      <c r="D103" s="201" t="n">
        <v>2</v>
      </c>
      <c r="E103" s="201" t="inlineStr">
        <is>
          <t>Вт</t>
        </is>
      </c>
      <c r="F103" s="199" t="n">
        <v>0</v>
      </c>
      <c r="G103" s="201" t="str"/>
      <c r="H103" s="193" t="n">
        <v>1</v>
      </c>
      <c r="I103" s="201" t="inlineStr">
        <is>
          <t>Пн–Чт</t>
        </is>
      </c>
      <c r="J103" s="188">
        <f>1</f>
        <v/>
      </c>
      <c r="K103" s="188">
        <f>IF(AND(D103&lt;=5,F103=0),1,0)</f>
        <v/>
      </c>
      <c r="L103" s="188">
        <f>IF(F103=1,'01_ВВОД'!$D$23,CHOOSE(D103,'01_ВВОД'!$D$19,'01_ВВОД'!$D$19,'01_ВВОД'!$D$19,'01_ВВОД'!$D$19,'01_ВВОД'!$D$20,'01_ВВОД'!$D$21,'01_ВВОД'!$D$22))</f>
        <v/>
      </c>
      <c r="M103" s="188">
        <f>L103*IF(H103=1,'01_ВВОД'!$D$118,1)</f>
        <v/>
      </c>
      <c r="N103" s="188">
        <f>IF(K103=1,'01_ВВОД'!$D$26,0)</f>
        <v/>
      </c>
      <c r="O103" s="188">
        <f>IF(F103=1,'01_ВВОД'!$D$34,IF(D103&lt;=5,'01_ВВОД'!$D$32,'01_ВВОД'!$D$33))</f>
        <v/>
      </c>
      <c r="P103" s="188">
        <f>O103</f>
        <v/>
      </c>
      <c r="Q103" s="188">
        <f>'01_ВВОД'!$D$40</f>
        <v/>
      </c>
      <c r="R103" s="188">
        <f>'01_ВВОД'!$D$46</f>
        <v/>
      </c>
      <c r="S103" s="188">
        <f>H103</f>
        <v/>
      </c>
      <c r="T103" s="188">
        <f>IF(H103=1,M103+N103+P103+Q103,0)</f>
        <v/>
      </c>
      <c r="U103">
        <f>R103*'01_ВВОД'!$D$120</f>
        <v/>
      </c>
    </row>
    <row r="104">
      <c r="A104" s="200" t="n">
        <v>46365</v>
      </c>
      <c r="B104" s="201" t="n">
        <v>4</v>
      </c>
      <c r="C104" s="201" t="inlineStr">
        <is>
          <t>Дек-26</t>
        </is>
      </c>
      <c r="D104" s="201" t="n">
        <v>3</v>
      </c>
      <c r="E104" s="201" t="inlineStr">
        <is>
          <t>Ср</t>
        </is>
      </c>
      <c r="F104" s="199" t="n">
        <v>0</v>
      </c>
      <c r="G104" s="201" t="str"/>
      <c r="H104" s="193" t="n">
        <v>0</v>
      </c>
      <c r="I104" s="201" t="str"/>
      <c r="J104" s="188">
        <f>1</f>
        <v/>
      </c>
      <c r="K104" s="188">
        <f>IF(AND(D104&lt;=5,F104=0),1,0)</f>
        <v/>
      </c>
      <c r="L104" s="188">
        <f>IF(F104=1,'01_ВВОД'!$D$23,CHOOSE(D104,'01_ВВОД'!$D$19,'01_ВВОД'!$D$19,'01_ВВОД'!$D$19,'01_ВВОД'!$D$19,'01_ВВОД'!$D$20,'01_ВВОД'!$D$21,'01_ВВОД'!$D$22))</f>
        <v/>
      </c>
      <c r="M104" s="188">
        <f>L104*IF(H104=1,'01_ВВОД'!$D$118,1)</f>
        <v/>
      </c>
      <c r="N104" s="188">
        <f>IF(K104=1,'01_ВВОД'!$D$26,0)</f>
        <v/>
      </c>
      <c r="O104" s="188">
        <f>IF(F104=1,'01_ВВОД'!$D$34,IF(D104&lt;=5,'01_ВВОД'!$D$32,'01_ВВОД'!$D$33))</f>
        <v/>
      </c>
      <c r="P104" s="188">
        <f>O104</f>
        <v/>
      </c>
      <c r="Q104" s="188">
        <f>'01_ВВОД'!$D$40</f>
        <v/>
      </c>
      <c r="R104" s="188">
        <f>'01_ВВОД'!$D$46</f>
        <v/>
      </c>
      <c r="S104" s="188">
        <f>H104</f>
        <v/>
      </c>
      <c r="T104" s="188">
        <f>IF(H104=1,M104+N104+P104+Q104,0)</f>
        <v/>
      </c>
      <c r="U104">
        <f>R104*'01_ВВОД'!$D$120</f>
        <v/>
      </c>
    </row>
    <row r="105">
      <c r="A105" s="200" t="n">
        <v>46366</v>
      </c>
      <c r="B105" s="201" t="n">
        <v>4</v>
      </c>
      <c r="C105" s="201" t="inlineStr">
        <is>
          <t>Дек-26</t>
        </is>
      </c>
      <c r="D105" s="201" t="n">
        <v>4</v>
      </c>
      <c r="E105" s="201" t="inlineStr">
        <is>
          <t>Чт</t>
        </is>
      </c>
      <c r="F105" s="199" t="n">
        <v>0</v>
      </c>
      <c r="G105" s="201" t="str"/>
      <c r="H105" s="193" t="n">
        <v>1</v>
      </c>
      <c r="I105" s="201" t="inlineStr">
        <is>
          <t>Пн–Чт</t>
        </is>
      </c>
      <c r="J105" s="188">
        <f>1</f>
        <v/>
      </c>
      <c r="K105" s="188">
        <f>IF(AND(D105&lt;=5,F105=0),1,0)</f>
        <v/>
      </c>
      <c r="L105" s="188">
        <f>IF(F105=1,'01_ВВОД'!$D$23,CHOOSE(D105,'01_ВВОД'!$D$19,'01_ВВОД'!$D$19,'01_ВВОД'!$D$19,'01_ВВОД'!$D$19,'01_ВВОД'!$D$20,'01_ВВОД'!$D$21,'01_ВВОД'!$D$22))</f>
        <v/>
      </c>
      <c r="M105" s="188">
        <f>L105*IF(H105=1,'01_ВВОД'!$D$118,1)</f>
        <v/>
      </c>
      <c r="N105" s="188">
        <f>IF(K105=1,'01_ВВОД'!$D$26,0)</f>
        <v/>
      </c>
      <c r="O105" s="188">
        <f>IF(F105=1,'01_ВВОД'!$D$34,IF(D105&lt;=5,'01_ВВОД'!$D$32,'01_ВВОД'!$D$33))</f>
        <v/>
      </c>
      <c r="P105" s="188">
        <f>O105</f>
        <v/>
      </c>
      <c r="Q105" s="188">
        <f>'01_ВВОД'!$D$40</f>
        <v/>
      </c>
      <c r="R105" s="188">
        <f>'01_ВВОД'!$D$46</f>
        <v/>
      </c>
      <c r="S105" s="188">
        <f>H105</f>
        <v/>
      </c>
      <c r="T105" s="188">
        <f>IF(H105=1,M105+N105+P105+Q105,0)</f>
        <v/>
      </c>
      <c r="U105">
        <f>R105*'01_ВВОД'!$D$120</f>
        <v/>
      </c>
    </row>
    <row r="106">
      <c r="A106" s="200" t="n">
        <v>46367</v>
      </c>
      <c r="B106" s="201" t="n">
        <v>4</v>
      </c>
      <c r="C106" s="201" t="inlineStr">
        <is>
          <t>Дек-26</t>
        </is>
      </c>
      <c r="D106" s="201" t="n">
        <v>5</v>
      </c>
      <c r="E106" s="201" t="inlineStr">
        <is>
          <t>Пт</t>
        </is>
      </c>
      <c r="F106" s="199" t="n">
        <v>0</v>
      </c>
      <c r="G106" s="201" t="str"/>
      <c r="H106" s="193" t="n">
        <v>0</v>
      </c>
      <c r="I106" s="201" t="str"/>
      <c r="J106" s="188">
        <f>1</f>
        <v/>
      </c>
      <c r="K106" s="188">
        <f>IF(AND(D106&lt;=5,F106=0),1,0)</f>
        <v/>
      </c>
      <c r="L106" s="188">
        <f>IF(F106=1,'01_ВВОД'!$D$23,CHOOSE(D106,'01_ВВОД'!$D$19,'01_ВВОД'!$D$19,'01_ВВОД'!$D$19,'01_ВВОД'!$D$19,'01_ВВОД'!$D$20,'01_ВВОД'!$D$21,'01_ВВОД'!$D$22))</f>
        <v/>
      </c>
      <c r="M106" s="188">
        <f>L106*IF(H106=1,'01_ВВОД'!$D$118,1)</f>
        <v/>
      </c>
      <c r="N106" s="188">
        <f>IF(K106=1,'01_ВВОД'!$D$26,0)</f>
        <v/>
      </c>
      <c r="O106" s="188">
        <f>IF(F106=1,'01_ВВОД'!$D$34,IF(D106&lt;=5,'01_ВВОД'!$D$32,'01_ВВОД'!$D$33))</f>
        <v/>
      </c>
      <c r="P106" s="188">
        <f>O106</f>
        <v/>
      </c>
      <c r="Q106" s="188">
        <f>'01_ВВОД'!$D$40</f>
        <v/>
      </c>
      <c r="R106" s="188">
        <f>'01_ВВОД'!$D$46</f>
        <v/>
      </c>
      <c r="S106" s="188">
        <f>H106</f>
        <v/>
      </c>
      <c r="T106" s="188">
        <f>IF(H106=1,M106+N106+P106+Q106,0)</f>
        <v/>
      </c>
      <c r="U106">
        <f>R106*'01_ВВОД'!$D$120</f>
        <v/>
      </c>
    </row>
    <row r="107">
      <c r="A107" s="200" t="n">
        <v>46368</v>
      </c>
      <c r="B107" s="201" t="n">
        <v>4</v>
      </c>
      <c r="C107" s="201" t="inlineStr">
        <is>
          <t>Дек-26</t>
        </is>
      </c>
      <c r="D107" s="201" t="n">
        <v>6</v>
      </c>
      <c r="E107" s="201" t="inlineStr">
        <is>
          <t>Сб</t>
        </is>
      </c>
      <c r="F107" s="199" t="n">
        <v>0</v>
      </c>
      <c r="G107" s="201" t="str"/>
      <c r="H107" s="193" t="n">
        <v>0</v>
      </c>
      <c r="I107" s="201" t="str"/>
      <c r="J107" s="188">
        <f>1</f>
        <v/>
      </c>
      <c r="K107" s="188">
        <f>IF(AND(D107&lt;=5,F107=0),1,0)</f>
        <v/>
      </c>
      <c r="L107" s="188">
        <f>IF(F107=1,'01_ВВОД'!$D$23,CHOOSE(D107,'01_ВВОД'!$D$19,'01_ВВОД'!$D$19,'01_ВВОД'!$D$19,'01_ВВОД'!$D$19,'01_ВВОД'!$D$20,'01_ВВОД'!$D$21,'01_ВВОД'!$D$22))</f>
        <v/>
      </c>
      <c r="M107" s="188">
        <f>L107*IF(H107=1,'01_ВВОД'!$D$118,1)</f>
        <v/>
      </c>
      <c r="N107" s="188">
        <f>IF(K107=1,'01_ВВОД'!$D$26,0)</f>
        <v/>
      </c>
      <c r="O107" s="188">
        <f>IF(F107=1,'01_ВВОД'!$D$34,IF(D107&lt;=5,'01_ВВОД'!$D$32,'01_ВВОД'!$D$33))</f>
        <v/>
      </c>
      <c r="P107" s="188">
        <f>O107</f>
        <v/>
      </c>
      <c r="Q107" s="188">
        <f>'01_ВВОД'!$D$40</f>
        <v/>
      </c>
      <c r="R107" s="188">
        <f>'01_ВВОД'!$D$46</f>
        <v/>
      </c>
      <c r="S107" s="188">
        <f>H107</f>
        <v/>
      </c>
      <c r="T107" s="188">
        <f>IF(H107=1,M107+N107+P107+Q107,0)</f>
        <v/>
      </c>
      <c r="U107">
        <f>R107*'01_ВВОД'!$D$120</f>
        <v/>
      </c>
    </row>
    <row r="108">
      <c r="A108" s="200" t="n">
        <v>46369</v>
      </c>
      <c r="B108" s="201" t="n">
        <v>4</v>
      </c>
      <c r="C108" s="201" t="inlineStr">
        <is>
          <t>Дек-26</t>
        </is>
      </c>
      <c r="D108" s="201" t="n">
        <v>7</v>
      </c>
      <c r="E108" s="201" t="inlineStr">
        <is>
          <t>Вс</t>
        </is>
      </c>
      <c r="F108" s="199" t="n">
        <v>0</v>
      </c>
      <c r="G108" s="201" t="str"/>
      <c r="H108" s="193" t="n">
        <v>1</v>
      </c>
      <c r="I108" s="201" t="inlineStr">
        <is>
          <t>Пт–Вс</t>
        </is>
      </c>
      <c r="J108" s="188">
        <f>1</f>
        <v/>
      </c>
      <c r="K108" s="188">
        <f>IF(AND(D108&lt;=5,F108=0),1,0)</f>
        <v/>
      </c>
      <c r="L108" s="188">
        <f>IF(F108=1,'01_ВВОД'!$D$23,CHOOSE(D108,'01_ВВОД'!$D$19,'01_ВВОД'!$D$19,'01_ВВОД'!$D$19,'01_ВВОД'!$D$19,'01_ВВОД'!$D$20,'01_ВВОД'!$D$21,'01_ВВОД'!$D$22))</f>
        <v/>
      </c>
      <c r="M108" s="188">
        <f>L108*IF(H108=1,'01_ВВОД'!$D$118,1)</f>
        <v/>
      </c>
      <c r="N108" s="188">
        <f>IF(K108=1,'01_ВВОД'!$D$26,0)</f>
        <v/>
      </c>
      <c r="O108" s="188">
        <f>IF(F108=1,'01_ВВОД'!$D$34,IF(D108&lt;=5,'01_ВВОД'!$D$32,'01_ВВОД'!$D$33))</f>
        <v/>
      </c>
      <c r="P108" s="188">
        <f>O108</f>
        <v/>
      </c>
      <c r="Q108" s="188">
        <f>'01_ВВОД'!$D$40</f>
        <v/>
      </c>
      <c r="R108" s="188">
        <f>'01_ВВОД'!$D$46</f>
        <v/>
      </c>
      <c r="S108" s="188">
        <f>H108</f>
        <v/>
      </c>
      <c r="T108" s="188">
        <f>IF(H108=1,M108+N108+P108+Q108,0)</f>
        <v/>
      </c>
      <c r="U108">
        <f>R108*'01_ВВОД'!$D$120</f>
        <v/>
      </c>
    </row>
    <row r="109">
      <c r="A109" s="200" t="n">
        <v>46370</v>
      </c>
      <c r="B109" s="201" t="n">
        <v>4</v>
      </c>
      <c r="C109" s="201" t="inlineStr">
        <is>
          <t>Дек-26</t>
        </is>
      </c>
      <c r="D109" s="201" t="n">
        <v>1</v>
      </c>
      <c r="E109" s="201" t="inlineStr">
        <is>
          <t>Пн</t>
        </is>
      </c>
      <c r="F109" s="199" t="n">
        <v>0</v>
      </c>
      <c r="G109" s="201" t="str"/>
      <c r="H109" s="193" t="n">
        <v>0</v>
      </c>
      <c r="I109" s="201" t="str"/>
      <c r="J109" s="188">
        <f>1</f>
        <v/>
      </c>
      <c r="K109" s="188">
        <f>IF(AND(D109&lt;=5,F109=0),1,0)</f>
        <v/>
      </c>
      <c r="L109" s="188">
        <f>IF(F109=1,'01_ВВОД'!$D$23,CHOOSE(D109,'01_ВВОД'!$D$19,'01_ВВОД'!$D$19,'01_ВВОД'!$D$19,'01_ВВОД'!$D$19,'01_ВВОД'!$D$20,'01_ВВОД'!$D$21,'01_ВВОД'!$D$22))</f>
        <v/>
      </c>
      <c r="M109" s="188">
        <f>L109*IF(H109=1,'01_ВВОД'!$D$118,1)</f>
        <v/>
      </c>
      <c r="N109" s="188">
        <f>IF(K109=1,'01_ВВОД'!$D$26,0)</f>
        <v/>
      </c>
      <c r="O109" s="188">
        <f>IF(F109=1,'01_ВВОД'!$D$34,IF(D109&lt;=5,'01_ВВОД'!$D$32,'01_ВВОД'!$D$33))</f>
        <v/>
      </c>
      <c r="P109" s="188">
        <f>O109</f>
        <v/>
      </c>
      <c r="Q109" s="188">
        <f>'01_ВВОД'!$D$40</f>
        <v/>
      </c>
      <c r="R109" s="188">
        <f>'01_ВВОД'!$D$46</f>
        <v/>
      </c>
      <c r="S109" s="188">
        <f>H109</f>
        <v/>
      </c>
      <c r="T109" s="188">
        <f>IF(H109=1,M109+N109+P109+Q109,0)</f>
        <v/>
      </c>
      <c r="U109">
        <f>R109*'01_ВВОД'!$D$120</f>
        <v/>
      </c>
    </row>
    <row r="110">
      <c r="A110" s="200" t="n">
        <v>46371</v>
      </c>
      <c r="B110" s="201" t="n">
        <v>4</v>
      </c>
      <c r="C110" s="201" t="inlineStr">
        <is>
          <t>Дек-26</t>
        </is>
      </c>
      <c r="D110" s="201" t="n">
        <v>2</v>
      </c>
      <c r="E110" s="201" t="inlineStr">
        <is>
          <t>Вт</t>
        </is>
      </c>
      <c r="F110" s="199" t="n">
        <v>0</v>
      </c>
      <c r="G110" s="201" t="str"/>
      <c r="H110" s="193" t="n">
        <v>0</v>
      </c>
      <c r="I110" s="201" t="str"/>
      <c r="J110" s="188">
        <f>1</f>
        <v/>
      </c>
      <c r="K110" s="188">
        <f>IF(AND(D110&lt;=5,F110=0),1,0)</f>
        <v/>
      </c>
      <c r="L110" s="188">
        <f>IF(F110=1,'01_ВВОД'!$D$23,CHOOSE(D110,'01_ВВОД'!$D$19,'01_ВВОД'!$D$19,'01_ВВОД'!$D$19,'01_ВВОД'!$D$19,'01_ВВОД'!$D$20,'01_ВВОД'!$D$21,'01_ВВОД'!$D$22))</f>
        <v/>
      </c>
      <c r="M110" s="188">
        <f>L110*IF(H110=1,'01_ВВОД'!$D$118,1)</f>
        <v/>
      </c>
      <c r="N110" s="188">
        <f>IF(K110=1,'01_ВВОД'!$D$26,0)</f>
        <v/>
      </c>
      <c r="O110" s="188">
        <f>IF(F110=1,'01_ВВОД'!$D$34,IF(D110&lt;=5,'01_ВВОД'!$D$32,'01_ВВОД'!$D$33))</f>
        <v/>
      </c>
      <c r="P110" s="188">
        <f>O110</f>
        <v/>
      </c>
      <c r="Q110" s="188">
        <f>'01_ВВОД'!$D$40</f>
        <v/>
      </c>
      <c r="R110" s="188">
        <f>'01_ВВОД'!$D$46</f>
        <v/>
      </c>
      <c r="S110" s="188">
        <f>H110</f>
        <v/>
      </c>
      <c r="T110" s="188">
        <f>IF(H110=1,M110+N110+P110+Q110,0)</f>
        <v/>
      </c>
      <c r="U110">
        <f>R110*'01_ВВОД'!$D$120</f>
        <v/>
      </c>
    </row>
    <row r="111">
      <c r="A111" s="200" t="n">
        <v>46372</v>
      </c>
      <c r="B111" s="201" t="n">
        <v>4</v>
      </c>
      <c r="C111" s="201" t="inlineStr">
        <is>
          <t>Дек-26</t>
        </is>
      </c>
      <c r="D111" s="201" t="n">
        <v>3</v>
      </c>
      <c r="E111" s="201" t="inlineStr">
        <is>
          <t>Ср</t>
        </is>
      </c>
      <c r="F111" s="199" t="n">
        <v>0</v>
      </c>
      <c r="G111" s="201" t="str"/>
      <c r="H111" s="193" t="n">
        <v>0</v>
      </c>
      <c r="I111" s="201" t="str"/>
      <c r="J111" s="188">
        <f>1</f>
        <v/>
      </c>
      <c r="K111" s="188">
        <f>IF(AND(D111&lt;=5,F111=0),1,0)</f>
        <v/>
      </c>
      <c r="L111" s="188">
        <f>IF(F111=1,'01_ВВОД'!$D$23,CHOOSE(D111,'01_ВВОД'!$D$19,'01_ВВОД'!$D$19,'01_ВВОД'!$D$19,'01_ВВОД'!$D$19,'01_ВВОД'!$D$20,'01_ВВОД'!$D$21,'01_ВВОД'!$D$22))</f>
        <v/>
      </c>
      <c r="M111" s="188">
        <f>L111*IF(H111=1,'01_ВВОД'!$D$118,1)</f>
        <v/>
      </c>
      <c r="N111" s="188">
        <f>IF(K111=1,'01_ВВОД'!$D$26,0)</f>
        <v/>
      </c>
      <c r="O111" s="188">
        <f>IF(F111=1,'01_ВВОД'!$D$34,IF(D111&lt;=5,'01_ВВОД'!$D$32,'01_ВВОД'!$D$33))</f>
        <v/>
      </c>
      <c r="P111" s="188">
        <f>O111</f>
        <v/>
      </c>
      <c r="Q111" s="188">
        <f>'01_ВВОД'!$D$40</f>
        <v/>
      </c>
      <c r="R111" s="188">
        <f>'01_ВВОД'!$D$46</f>
        <v/>
      </c>
      <c r="S111" s="188">
        <f>H111</f>
        <v/>
      </c>
      <c r="T111" s="188">
        <f>IF(H111=1,M111+N111+P111+Q111,0)</f>
        <v/>
      </c>
      <c r="U111">
        <f>R111*'01_ВВОД'!$D$120</f>
        <v/>
      </c>
    </row>
    <row r="112">
      <c r="A112" s="200" t="n">
        <v>46373</v>
      </c>
      <c r="B112" s="201" t="n">
        <v>4</v>
      </c>
      <c r="C112" s="201" t="inlineStr">
        <is>
          <t>Дек-26</t>
        </is>
      </c>
      <c r="D112" s="201" t="n">
        <v>4</v>
      </c>
      <c r="E112" s="201" t="inlineStr">
        <is>
          <t>Чт</t>
        </is>
      </c>
      <c r="F112" s="199" t="n">
        <v>0</v>
      </c>
      <c r="G112" s="201" t="str"/>
      <c r="H112" s="193" t="n">
        <v>0</v>
      </c>
      <c r="I112" s="201" t="str"/>
      <c r="J112" s="188">
        <f>1</f>
        <v/>
      </c>
      <c r="K112" s="188">
        <f>IF(AND(D112&lt;=5,F112=0),1,0)</f>
        <v/>
      </c>
      <c r="L112" s="188">
        <f>IF(F112=1,'01_ВВОД'!$D$23,CHOOSE(D112,'01_ВВОД'!$D$19,'01_ВВОД'!$D$19,'01_ВВОД'!$D$19,'01_ВВОД'!$D$19,'01_ВВОД'!$D$20,'01_ВВОД'!$D$21,'01_ВВОД'!$D$22))</f>
        <v/>
      </c>
      <c r="M112" s="188">
        <f>L112*IF(H112=1,'01_ВВОД'!$D$118,1)</f>
        <v/>
      </c>
      <c r="N112" s="188">
        <f>IF(K112=1,'01_ВВОД'!$D$26,0)</f>
        <v/>
      </c>
      <c r="O112" s="188">
        <f>IF(F112=1,'01_ВВОД'!$D$34,IF(D112&lt;=5,'01_ВВОД'!$D$32,'01_ВВОД'!$D$33))</f>
        <v/>
      </c>
      <c r="P112" s="188">
        <f>O112</f>
        <v/>
      </c>
      <c r="Q112" s="188">
        <f>'01_ВВОД'!$D$40</f>
        <v/>
      </c>
      <c r="R112" s="188">
        <f>'01_ВВОД'!$D$46</f>
        <v/>
      </c>
      <c r="S112" s="188">
        <f>H112</f>
        <v/>
      </c>
      <c r="T112" s="188">
        <f>IF(H112=1,M112+N112+P112+Q112,0)</f>
        <v/>
      </c>
      <c r="U112">
        <f>R112*'01_ВВОД'!$D$120</f>
        <v/>
      </c>
    </row>
    <row r="113">
      <c r="A113" s="200" t="n">
        <v>46374</v>
      </c>
      <c r="B113" s="201" t="n">
        <v>4</v>
      </c>
      <c r="C113" s="201" t="inlineStr">
        <is>
          <t>Дек-26</t>
        </is>
      </c>
      <c r="D113" s="201" t="n">
        <v>5</v>
      </c>
      <c r="E113" s="201" t="inlineStr">
        <is>
          <t>Пт</t>
        </is>
      </c>
      <c r="F113" s="199" t="n">
        <v>0</v>
      </c>
      <c r="G113" s="201" t="str"/>
      <c r="H113" s="193" t="n">
        <v>1</v>
      </c>
      <c r="I113" s="201" t="inlineStr">
        <is>
          <t>Пт–Вс</t>
        </is>
      </c>
      <c r="J113" s="188">
        <f>1</f>
        <v/>
      </c>
      <c r="K113" s="188">
        <f>IF(AND(D113&lt;=5,F113=0),1,0)</f>
        <v/>
      </c>
      <c r="L113" s="188">
        <f>IF(F113=1,'01_ВВОД'!$D$23,CHOOSE(D113,'01_ВВОД'!$D$19,'01_ВВОД'!$D$19,'01_ВВОД'!$D$19,'01_ВВОД'!$D$19,'01_ВВОД'!$D$20,'01_ВВОД'!$D$21,'01_ВВОД'!$D$22))</f>
        <v/>
      </c>
      <c r="M113" s="188">
        <f>L113*IF(H113=1,'01_ВВОД'!$D$118,1)</f>
        <v/>
      </c>
      <c r="N113" s="188">
        <f>IF(K113=1,'01_ВВОД'!$D$26,0)</f>
        <v/>
      </c>
      <c r="O113" s="188">
        <f>IF(F113=1,'01_ВВОД'!$D$34,IF(D113&lt;=5,'01_ВВОД'!$D$32,'01_ВВОД'!$D$33))</f>
        <v/>
      </c>
      <c r="P113" s="188">
        <f>O113</f>
        <v/>
      </c>
      <c r="Q113" s="188">
        <f>'01_ВВОД'!$D$40</f>
        <v/>
      </c>
      <c r="R113" s="188">
        <f>'01_ВВОД'!$D$46</f>
        <v/>
      </c>
      <c r="S113" s="188">
        <f>H113</f>
        <v/>
      </c>
      <c r="T113" s="188">
        <f>IF(H113=1,M113+N113+P113+Q113,0)</f>
        <v/>
      </c>
      <c r="U113">
        <f>R113*'01_ВВОД'!$D$120</f>
        <v/>
      </c>
    </row>
    <row r="114">
      <c r="A114" s="200" t="n">
        <v>46375</v>
      </c>
      <c r="B114" s="201" t="n">
        <v>4</v>
      </c>
      <c r="C114" s="201" t="inlineStr">
        <is>
          <t>Дек-26</t>
        </is>
      </c>
      <c r="D114" s="201" t="n">
        <v>6</v>
      </c>
      <c r="E114" s="201" t="inlineStr">
        <is>
          <t>Сб</t>
        </is>
      </c>
      <c r="F114" s="199" t="n">
        <v>0</v>
      </c>
      <c r="G114" s="201" t="str"/>
      <c r="H114" s="193" t="n">
        <v>0</v>
      </c>
      <c r="I114" s="201" t="str"/>
      <c r="J114" s="188">
        <f>1</f>
        <v/>
      </c>
      <c r="K114" s="188">
        <f>IF(AND(D114&lt;=5,F114=0),1,0)</f>
        <v/>
      </c>
      <c r="L114" s="188">
        <f>IF(F114=1,'01_ВВОД'!$D$23,CHOOSE(D114,'01_ВВОД'!$D$19,'01_ВВОД'!$D$19,'01_ВВОД'!$D$19,'01_ВВОД'!$D$19,'01_ВВОД'!$D$20,'01_ВВОД'!$D$21,'01_ВВОД'!$D$22))</f>
        <v/>
      </c>
      <c r="M114" s="188">
        <f>L114*IF(H114=1,'01_ВВОД'!$D$118,1)</f>
        <v/>
      </c>
      <c r="N114" s="188">
        <f>IF(K114=1,'01_ВВОД'!$D$26,0)</f>
        <v/>
      </c>
      <c r="O114" s="188">
        <f>IF(F114=1,'01_ВВОД'!$D$34,IF(D114&lt;=5,'01_ВВОД'!$D$32,'01_ВВОД'!$D$33))</f>
        <v/>
      </c>
      <c r="P114" s="188">
        <f>O114</f>
        <v/>
      </c>
      <c r="Q114" s="188">
        <f>'01_ВВОД'!$D$40</f>
        <v/>
      </c>
      <c r="R114" s="188">
        <f>'01_ВВОД'!$D$46</f>
        <v/>
      </c>
      <c r="S114" s="188">
        <f>H114</f>
        <v/>
      </c>
      <c r="T114" s="188">
        <f>IF(H114=1,M114+N114+P114+Q114,0)</f>
        <v/>
      </c>
      <c r="U114">
        <f>R114*'01_ВВОД'!$D$120</f>
        <v/>
      </c>
    </row>
    <row r="115">
      <c r="A115" s="200" t="n">
        <v>46376</v>
      </c>
      <c r="B115" s="201" t="n">
        <v>4</v>
      </c>
      <c r="C115" s="201" t="inlineStr">
        <is>
          <t>Дек-26</t>
        </is>
      </c>
      <c r="D115" s="201" t="n">
        <v>7</v>
      </c>
      <c r="E115" s="201" t="inlineStr">
        <is>
          <t>Вс</t>
        </is>
      </c>
      <c r="F115" s="199" t="n">
        <v>0</v>
      </c>
      <c r="G115" s="201" t="str"/>
      <c r="H115" s="193" t="n">
        <v>0</v>
      </c>
      <c r="I115" s="201" t="str"/>
      <c r="J115" s="188">
        <f>1</f>
        <v/>
      </c>
      <c r="K115" s="188">
        <f>IF(AND(D115&lt;=5,F115=0),1,0)</f>
        <v/>
      </c>
      <c r="L115" s="188">
        <f>IF(F115=1,'01_ВВОД'!$D$23,CHOOSE(D115,'01_ВВОД'!$D$19,'01_ВВОД'!$D$19,'01_ВВОД'!$D$19,'01_ВВОД'!$D$19,'01_ВВОД'!$D$20,'01_ВВОД'!$D$21,'01_ВВОД'!$D$22))</f>
        <v/>
      </c>
      <c r="M115" s="188">
        <f>L115*IF(H115=1,'01_ВВОД'!$D$118,1)</f>
        <v/>
      </c>
      <c r="N115" s="188">
        <f>IF(K115=1,'01_ВВОД'!$D$26,0)</f>
        <v/>
      </c>
      <c r="O115" s="188">
        <f>IF(F115=1,'01_ВВОД'!$D$34,IF(D115&lt;=5,'01_ВВОД'!$D$32,'01_ВВОД'!$D$33))</f>
        <v/>
      </c>
      <c r="P115" s="188">
        <f>O115</f>
        <v/>
      </c>
      <c r="Q115" s="188">
        <f>'01_ВВОД'!$D$40</f>
        <v/>
      </c>
      <c r="R115" s="188">
        <f>'01_ВВОД'!$D$46</f>
        <v/>
      </c>
      <c r="S115" s="188">
        <f>H115</f>
        <v/>
      </c>
      <c r="T115" s="188">
        <f>IF(H115=1,M115+N115+P115+Q115,0)</f>
        <v/>
      </c>
      <c r="U115">
        <f>R115*'01_ВВОД'!$D$120</f>
        <v/>
      </c>
    </row>
    <row r="116">
      <c r="A116" s="200" t="n">
        <v>46377</v>
      </c>
      <c r="B116" s="201" t="n">
        <v>4</v>
      </c>
      <c r="C116" s="201" t="inlineStr">
        <is>
          <t>Дек-26</t>
        </is>
      </c>
      <c r="D116" s="201" t="n">
        <v>1</v>
      </c>
      <c r="E116" s="201" t="inlineStr">
        <is>
          <t>Пн</t>
        </is>
      </c>
      <c r="F116" s="199" t="n">
        <v>0</v>
      </c>
      <c r="G116" s="201" t="str"/>
      <c r="H116" s="193" t="n">
        <v>0</v>
      </c>
      <c r="I116" s="201" t="str"/>
      <c r="J116" s="188">
        <f>1</f>
        <v/>
      </c>
      <c r="K116" s="188">
        <f>IF(AND(D116&lt;=5,F116=0),1,0)</f>
        <v/>
      </c>
      <c r="L116" s="188">
        <f>IF(F116=1,'01_ВВОД'!$D$23,CHOOSE(D116,'01_ВВОД'!$D$19,'01_ВВОД'!$D$19,'01_ВВОД'!$D$19,'01_ВВОД'!$D$19,'01_ВВОД'!$D$20,'01_ВВОД'!$D$21,'01_ВВОД'!$D$22))</f>
        <v/>
      </c>
      <c r="M116" s="188">
        <f>L116*IF(H116=1,'01_ВВОД'!$D$118,1)</f>
        <v/>
      </c>
      <c r="N116" s="188">
        <f>IF(K116=1,'01_ВВОД'!$D$26,0)</f>
        <v/>
      </c>
      <c r="O116" s="188">
        <f>IF(F116=1,'01_ВВОД'!$D$34,IF(D116&lt;=5,'01_ВВОД'!$D$32,'01_ВВОД'!$D$33))</f>
        <v/>
      </c>
      <c r="P116" s="188">
        <f>O116</f>
        <v/>
      </c>
      <c r="Q116" s="188">
        <f>'01_ВВОД'!$D$40</f>
        <v/>
      </c>
      <c r="R116" s="188">
        <f>'01_ВВОД'!$D$46</f>
        <v/>
      </c>
      <c r="S116" s="188">
        <f>H116</f>
        <v/>
      </c>
      <c r="T116" s="188">
        <f>IF(H116=1,M116+N116+P116+Q116,0)</f>
        <v/>
      </c>
      <c r="U116">
        <f>R116*'01_ВВОД'!$D$120</f>
        <v/>
      </c>
    </row>
    <row r="117">
      <c r="A117" s="200" t="n">
        <v>46378</v>
      </c>
      <c r="B117" s="201" t="n">
        <v>4</v>
      </c>
      <c r="C117" s="201" t="inlineStr">
        <is>
          <t>Дек-26</t>
        </is>
      </c>
      <c r="D117" s="201" t="n">
        <v>2</v>
      </c>
      <c r="E117" s="201" t="inlineStr">
        <is>
          <t>Вт</t>
        </is>
      </c>
      <c r="F117" s="199" t="n">
        <v>0</v>
      </c>
      <c r="G117" s="201" t="str"/>
      <c r="H117" s="193" t="n">
        <v>0</v>
      </c>
      <c r="I117" s="201" t="str"/>
      <c r="J117" s="188">
        <f>1</f>
        <v/>
      </c>
      <c r="K117" s="188">
        <f>IF(AND(D117&lt;=5,F117=0),1,0)</f>
        <v/>
      </c>
      <c r="L117" s="188">
        <f>IF(F117=1,'01_ВВОД'!$D$23,CHOOSE(D117,'01_ВВОД'!$D$19,'01_ВВОД'!$D$19,'01_ВВОД'!$D$19,'01_ВВОД'!$D$19,'01_ВВОД'!$D$20,'01_ВВОД'!$D$21,'01_ВВОД'!$D$22))</f>
        <v/>
      </c>
      <c r="M117" s="188">
        <f>L117*IF(H117=1,'01_ВВОД'!$D$118,1)</f>
        <v/>
      </c>
      <c r="N117" s="188">
        <f>IF(K117=1,'01_ВВОД'!$D$26,0)</f>
        <v/>
      </c>
      <c r="O117" s="188">
        <f>IF(F117=1,'01_ВВОД'!$D$34,IF(D117&lt;=5,'01_ВВОД'!$D$32,'01_ВВОД'!$D$33))</f>
        <v/>
      </c>
      <c r="P117" s="188">
        <f>O117</f>
        <v/>
      </c>
      <c r="Q117" s="188">
        <f>'01_ВВОД'!$D$40</f>
        <v/>
      </c>
      <c r="R117" s="188">
        <f>'01_ВВОД'!$D$46</f>
        <v/>
      </c>
      <c r="S117" s="188">
        <f>H117</f>
        <v/>
      </c>
      <c r="T117" s="188">
        <f>IF(H117=1,M117+N117+P117+Q117,0)</f>
        <v/>
      </c>
      <c r="U117">
        <f>R117*'01_ВВОД'!$D$120</f>
        <v/>
      </c>
    </row>
    <row r="118">
      <c r="A118" s="200" t="n">
        <v>46379</v>
      </c>
      <c r="B118" s="201" t="n">
        <v>4</v>
      </c>
      <c r="C118" s="201" t="inlineStr">
        <is>
          <t>Дек-26</t>
        </is>
      </c>
      <c r="D118" s="201" t="n">
        <v>3</v>
      </c>
      <c r="E118" s="201" t="inlineStr">
        <is>
          <t>Ср</t>
        </is>
      </c>
      <c r="F118" s="199" t="n">
        <v>0</v>
      </c>
      <c r="G118" s="201" t="str"/>
      <c r="H118" s="193" t="n">
        <v>0</v>
      </c>
      <c r="I118" s="201" t="str"/>
      <c r="J118" s="188">
        <f>1</f>
        <v/>
      </c>
      <c r="K118" s="188">
        <f>IF(AND(D118&lt;=5,F118=0),1,0)</f>
        <v/>
      </c>
      <c r="L118" s="188">
        <f>IF(F118=1,'01_ВВОД'!$D$23,CHOOSE(D118,'01_ВВОД'!$D$19,'01_ВВОД'!$D$19,'01_ВВОД'!$D$19,'01_ВВОД'!$D$19,'01_ВВОД'!$D$20,'01_ВВОД'!$D$21,'01_ВВОД'!$D$22))</f>
        <v/>
      </c>
      <c r="M118" s="188">
        <f>L118*IF(H118=1,'01_ВВОД'!$D$118,1)</f>
        <v/>
      </c>
      <c r="N118" s="188">
        <f>IF(K118=1,'01_ВВОД'!$D$26,0)</f>
        <v/>
      </c>
      <c r="O118" s="188">
        <f>IF(F118=1,'01_ВВОД'!$D$34,IF(D118&lt;=5,'01_ВВОД'!$D$32,'01_ВВОД'!$D$33))</f>
        <v/>
      </c>
      <c r="P118" s="188">
        <f>O118</f>
        <v/>
      </c>
      <c r="Q118" s="188">
        <f>'01_ВВОД'!$D$40</f>
        <v/>
      </c>
      <c r="R118" s="188">
        <f>'01_ВВОД'!$D$46</f>
        <v/>
      </c>
      <c r="S118" s="188">
        <f>H118</f>
        <v/>
      </c>
      <c r="T118" s="188">
        <f>IF(H118=1,M118+N118+P118+Q118,0)</f>
        <v/>
      </c>
      <c r="U118">
        <f>R118*'01_ВВОД'!$D$120</f>
        <v/>
      </c>
    </row>
    <row r="119">
      <c r="A119" s="200" t="n">
        <v>46380</v>
      </c>
      <c r="B119" s="201" t="n">
        <v>4</v>
      </c>
      <c r="C119" s="201" t="inlineStr">
        <is>
          <t>Дек-26</t>
        </is>
      </c>
      <c r="D119" s="201" t="n">
        <v>4</v>
      </c>
      <c r="E119" s="201" t="inlineStr">
        <is>
          <t>Чт</t>
        </is>
      </c>
      <c r="F119" s="199" t="n">
        <v>0</v>
      </c>
      <c r="G119" s="201" t="str"/>
      <c r="H119" s="193" t="n">
        <v>0</v>
      </c>
      <c r="I119" s="201" t="str"/>
      <c r="J119" s="188">
        <f>1</f>
        <v/>
      </c>
      <c r="K119" s="188">
        <f>IF(AND(D119&lt;=5,F119=0),1,0)</f>
        <v/>
      </c>
      <c r="L119" s="188">
        <f>IF(F119=1,'01_ВВОД'!$D$23,CHOOSE(D119,'01_ВВОД'!$D$19,'01_ВВОД'!$D$19,'01_ВВОД'!$D$19,'01_ВВОД'!$D$19,'01_ВВОД'!$D$20,'01_ВВОД'!$D$21,'01_ВВОД'!$D$22))</f>
        <v/>
      </c>
      <c r="M119" s="188">
        <f>L119*IF(H119=1,'01_ВВОД'!$D$118,1)</f>
        <v/>
      </c>
      <c r="N119" s="188">
        <f>IF(K119=1,'01_ВВОД'!$D$26,0)</f>
        <v/>
      </c>
      <c r="O119" s="188">
        <f>IF(F119=1,'01_ВВОД'!$D$34,IF(D119&lt;=5,'01_ВВОД'!$D$32,'01_ВВОД'!$D$33))</f>
        <v/>
      </c>
      <c r="P119" s="188">
        <f>O119</f>
        <v/>
      </c>
      <c r="Q119" s="188">
        <f>'01_ВВОД'!$D$40</f>
        <v/>
      </c>
      <c r="R119" s="188">
        <f>'01_ВВОД'!$D$46</f>
        <v/>
      </c>
      <c r="S119" s="188">
        <f>H119</f>
        <v/>
      </c>
      <c r="T119" s="188">
        <f>IF(H119=1,M119+N119+P119+Q119,0)</f>
        <v/>
      </c>
      <c r="U119">
        <f>R119*'01_ВВОД'!$D$120</f>
        <v/>
      </c>
    </row>
    <row r="120">
      <c r="A120" s="200" t="n">
        <v>46381</v>
      </c>
      <c r="B120" s="201" t="n">
        <v>4</v>
      </c>
      <c r="C120" s="201" t="inlineStr">
        <is>
          <t>Дек-26</t>
        </is>
      </c>
      <c r="D120" s="201" t="n">
        <v>5</v>
      </c>
      <c r="E120" s="201" t="inlineStr">
        <is>
          <t>Пт</t>
        </is>
      </c>
      <c r="F120" s="199" t="n">
        <v>0</v>
      </c>
      <c r="G120" s="201" t="str"/>
      <c r="H120" s="193" t="n">
        <v>0</v>
      </c>
      <c r="I120" s="201" t="str"/>
      <c r="J120" s="188">
        <f>1</f>
        <v/>
      </c>
      <c r="K120" s="188">
        <f>IF(AND(D120&lt;=5,F120=0),1,0)</f>
        <v/>
      </c>
      <c r="L120" s="188">
        <f>IF(F120=1,'01_ВВОД'!$D$23,CHOOSE(D120,'01_ВВОД'!$D$19,'01_ВВОД'!$D$19,'01_ВВОД'!$D$19,'01_ВВОД'!$D$19,'01_ВВОД'!$D$20,'01_ВВОД'!$D$21,'01_ВВОД'!$D$22))</f>
        <v/>
      </c>
      <c r="M120" s="188">
        <f>L120*IF(H120=1,'01_ВВОД'!$D$118,1)</f>
        <v/>
      </c>
      <c r="N120" s="188">
        <f>IF(K120=1,'01_ВВОД'!$D$26,0)</f>
        <v/>
      </c>
      <c r="O120" s="188">
        <f>IF(F120=1,'01_ВВОД'!$D$34,IF(D120&lt;=5,'01_ВВОД'!$D$32,'01_ВВОД'!$D$33))</f>
        <v/>
      </c>
      <c r="P120" s="188">
        <f>O120</f>
        <v/>
      </c>
      <c r="Q120" s="188">
        <f>'01_ВВОД'!$D$40</f>
        <v/>
      </c>
      <c r="R120" s="188">
        <f>'01_ВВОД'!$D$46</f>
        <v/>
      </c>
      <c r="S120" s="188">
        <f>H120</f>
        <v/>
      </c>
      <c r="T120" s="188">
        <f>IF(H120=1,M120+N120+P120+Q120,0)</f>
        <v/>
      </c>
      <c r="U120">
        <f>R120*'01_ВВОД'!$D$120</f>
        <v/>
      </c>
    </row>
    <row r="121">
      <c r="A121" s="200" t="n">
        <v>46382</v>
      </c>
      <c r="B121" s="201" t="n">
        <v>4</v>
      </c>
      <c r="C121" s="201" t="inlineStr">
        <is>
          <t>Дек-26</t>
        </is>
      </c>
      <c r="D121" s="201" t="n">
        <v>6</v>
      </c>
      <c r="E121" s="201" t="inlineStr">
        <is>
          <t>Сб</t>
        </is>
      </c>
      <c r="F121" s="199" t="n">
        <v>0</v>
      </c>
      <c r="G121" s="201" t="str"/>
      <c r="H121" s="193" t="n">
        <v>0</v>
      </c>
      <c r="I121" s="201" t="str"/>
      <c r="J121" s="188">
        <f>1</f>
        <v/>
      </c>
      <c r="K121" s="188">
        <f>IF(AND(D121&lt;=5,F121=0),1,0)</f>
        <v/>
      </c>
      <c r="L121" s="188">
        <f>IF(F121=1,'01_ВВОД'!$D$23,CHOOSE(D121,'01_ВВОД'!$D$19,'01_ВВОД'!$D$19,'01_ВВОД'!$D$19,'01_ВВОД'!$D$19,'01_ВВОД'!$D$20,'01_ВВОД'!$D$21,'01_ВВОД'!$D$22))</f>
        <v/>
      </c>
      <c r="M121" s="188">
        <f>L121*IF(H121=1,'01_ВВОД'!$D$118,1)</f>
        <v/>
      </c>
      <c r="N121" s="188">
        <f>IF(K121=1,'01_ВВОД'!$D$26,0)</f>
        <v/>
      </c>
      <c r="O121" s="188">
        <f>IF(F121=1,'01_ВВОД'!$D$34,IF(D121&lt;=5,'01_ВВОД'!$D$32,'01_ВВОД'!$D$33))</f>
        <v/>
      </c>
      <c r="P121" s="188">
        <f>O121</f>
        <v/>
      </c>
      <c r="Q121" s="188">
        <f>'01_ВВОД'!$D$40</f>
        <v/>
      </c>
      <c r="R121" s="188">
        <f>'01_ВВОД'!$D$46</f>
        <v/>
      </c>
      <c r="S121" s="188">
        <f>H121</f>
        <v/>
      </c>
      <c r="T121" s="188">
        <f>IF(H121=1,M121+N121+P121+Q121,0)</f>
        <v/>
      </c>
      <c r="U121">
        <f>R121*'01_ВВОД'!$D$120</f>
        <v/>
      </c>
    </row>
    <row r="122">
      <c r="A122" s="200" t="n">
        <v>46383</v>
      </c>
      <c r="B122" s="201" t="n">
        <v>4</v>
      </c>
      <c r="C122" s="201" t="inlineStr">
        <is>
          <t>Дек-26</t>
        </is>
      </c>
      <c r="D122" s="201" t="n">
        <v>7</v>
      </c>
      <c r="E122" s="201" t="inlineStr">
        <is>
          <t>Вс</t>
        </is>
      </c>
      <c r="F122" s="199" t="n">
        <v>0</v>
      </c>
      <c r="G122" s="201" t="str"/>
      <c r="H122" s="193" t="n">
        <v>1</v>
      </c>
      <c r="I122" s="201" t="inlineStr">
        <is>
          <t>Пт–Вс</t>
        </is>
      </c>
      <c r="J122" s="188">
        <f>1</f>
        <v/>
      </c>
      <c r="K122" s="188">
        <f>IF(AND(D122&lt;=5,F122=0),1,0)</f>
        <v/>
      </c>
      <c r="L122" s="188">
        <f>IF(F122=1,'01_ВВОД'!$D$23,CHOOSE(D122,'01_ВВОД'!$D$19,'01_ВВОД'!$D$19,'01_ВВОД'!$D$19,'01_ВВОД'!$D$19,'01_ВВОД'!$D$20,'01_ВВОД'!$D$21,'01_ВВОД'!$D$22))</f>
        <v/>
      </c>
      <c r="M122" s="188">
        <f>L122*IF(H122=1,'01_ВВОД'!$D$118,1)</f>
        <v/>
      </c>
      <c r="N122" s="188">
        <f>IF(K122=1,'01_ВВОД'!$D$26,0)</f>
        <v/>
      </c>
      <c r="O122" s="188">
        <f>IF(F122=1,'01_ВВОД'!$D$34,IF(D122&lt;=5,'01_ВВОД'!$D$32,'01_ВВОД'!$D$33))</f>
        <v/>
      </c>
      <c r="P122" s="188">
        <f>O122</f>
        <v/>
      </c>
      <c r="Q122" s="188">
        <f>'01_ВВОД'!$D$40</f>
        <v/>
      </c>
      <c r="R122" s="188">
        <f>'01_ВВОД'!$D$46</f>
        <v/>
      </c>
      <c r="S122" s="188">
        <f>H122</f>
        <v/>
      </c>
      <c r="T122" s="188">
        <f>IF(H122=1,M122+N122+P122+Q122,0)</f>
        <v/>
      </c>
      <c r="U122">
        <f>R122*'01_ВВОД'!$D$120</f>
        <v/>
      </c>
    </row>
    <row r="123">
      <c r="A123" s="200" t="n">
        <v>46384</v>
      </c>
      <c r="B123" s="201" t="n">
        <v>4</v>
      </c>
      <c r="C123" s="201" t="inlineStr">
        <is>
          <t>Дек-26</t>
        </is>
      </c>
      <c r="D123" s="201" t="n">
        <v>1</v>
      </c>
      <c r="E123" s="201" t="inlineStr">
        <is>
          <t>Пн</t>
        </is>
      </c>
      <c r="F123" s="199" t="n">
        <v>0</v>
      </c>
      <c r="G123" s="201" t="str"/>
      <c r="H123" s="193" t="n">
        <v>0</v>
      </c>
      <c r="I123" s="201" t="str"/>
      <c r="J123" s="188">
        <f>1</f>
        <v/>
      </c>
      <c r="K123" s="188">
        <f>IF(AND(D123&lt;=5,F123=0),1,0)</f>
        <v/>
      </c>
      <c r="L123" s="188">
        <f>IF(F123=1,'01_ВВОД'!$D$23,CHOOSE(D123,'01_ВВОД'!$D$19,'01_ВВОД'!$D$19,'01_ВВОД'!$D$19,'01_ВВОД'!$D$19,'01_ВВОД'!$D$20,'01_ВВОД'!$D$21,'01_ВВОД'!$D$22))</f>
        <v/>
      </c>
      <c r="M123" s="188">
        <f>L123*IF(H123=1,'01_ВВОД'!$D$118,1)</f>
        <v/>
      </c>
      <c r="N123" s="188">
        <f>IF(K123=1,'01_ВВОД'!$D$26,0)</f>
        <v/>
      </c>
      <c r="O123" s="188">
        <f>IF(F123=1,'01_ВВОД'!$D$34,IF(D123&lt;=5,'01_ВВОД'!$D$32,'01_ВВОД'!$D$33))</f>
        <v/>
      </c>
      <c r="P123" s="188">
        <f>O123</f>
        <v/>
      </c>
      <c r="Q123" s="188">
        <f>'01_ВВОД'!$D$40</f>
        <v/>
      </c>
      <c r="R123" s="188">
        <f>'01_ВВОД'!$D$46</f>
        <v/>
      </c>
      <c r="S123" s="188">
        <f>H123</f>
        <v/>
      </c>
      <c r="T123" s="188">
        <f>IF(H123=1,M123+N123+P123+Q123,0)</f>
        <v/>
      </c>
      <c r="U123">
        <f>R123*'01_ВВОД'!$D$120</f>
        <v/>
      </c>
    </row>
    <row r="124">
      <c r="A124" s="200" t="n">
        <v>46385</v>
      </c>
      <c r="B124" s="201" t="n">
        <v>4</v>
      </c>
      <c r="C124" s="201" t="inlineStr">
        <is>
          <t>Дек-26</t>
        </is>
      </c>
      <c r="D124" s="201" t="n">
        <v>2</v>
      </c>
      <c r="E124" s="201" t="inlineStr">
        <is>
          <t>Вт</t>
        </is>
      </c>
      <c r="F124" s="199" t="n">
        <v>0</v>
      </c>
      <c r="G124" s="201" t="str"/>
      <c r="H124" s="193" t="n">
        <v>0</v>
      </c>
      <c r="I124" s="201" t="str"/>
      <c r="J124" s="188">
        <f>1</f>
        <v/>
      </c>
      <c r="K124" s="188">
        <f>IF(AND(D124&lt;=5,F124=0),1,0)</f>
        <v/>
      </c>
      <c r="L124" s="188">
        <f>IF(F124=1,'01_ВВОД'!$D$23,CHOOSE(D124,'01_ВВОД'!$D$19,'01_ВВОД'!$D$19,'01_ВВОД'!$D$19,'01_ВВОД'!$D$19,'01_ВВОД'!$D$20,'01_ВВОД'!$D$21,'01_ВВОД'!$D$22))</f>
        <v/>
      </c>
      <c r="M124" s="188">
        <f>L124*IF(H124=1,'01_ВВОД'!$D$118,1)</f>
        <v/>
      </c>
      <c r="N124" s="188">
        <f>IF(K124=1,'01_ВВОД'!$D$26,0)</f>
        <v/>
      </c>
      <c r="O124" s="188">
        <f>IF(F124=1,'01_ВВОД'!$D$34,IF(D124&lt;=5,'01_ВВОД'!$D$32,'01_ВВОД'!$D$33))</f>
        <v/>
      </c>
      <c r="P124" s="188">
        <f>O124</f>
        <v/>
      </c>
      <c r="Q124" s="188">
        <f>'01_ВВОД'!$D$40</f>
        <v/>
      </c>
      <c r="R124" s="188">
        <f>'01_ВВОД'!$D$46</f>
        <v/>
      </c>
      <c r="S124" s="188">
        <f>H124</f>
        <v/>
      </c>
      <c r="T124" s="188">
        <f>IF(H124=1,M124+N124+P124+Q124,0)</f>
        <v/>
      </c>
      <c r="U124">
        <f>R124*'01_ВВОД'!$D$120</f>
        <v/>
      </c>
    </row>
    <row r="125">
      <c r="A125" s="200" t="n">
        <v>46386</v>
      </c>
      <c r="B125" s="201" t="n">
        <v>4</v>
      </c>
      <c r="C125" s="201" t="inlineStr">
        <is>
          <t>Дек-26</t>
        </is>
      </c>
      <c r="D125" s="201" t="n">
        <v>3</v>
      </c>
      <c r="E125" s="201" t="inlineStr">
        <is>
          <t>Ср</t>
        </is>
      </c>
      <c r="F125" s="199" t="n">
        <v>0</v>
      </c>
      <c r="G125" s="201" t="str"/>
      <c r="H125" s="193" t="n">
        <v>0</v>
      </c>
      <c r="I125" s="201" t="str"/>
      <c r="J125" s="188">
        <f>1</f>
        <v/>
      </c>
      <c r="K125" s="188">
        <f>IF(AND(D125&lt;=5,F125=0),1,0)</f>
        <v/>
      </c>
      <c r="L125" s="188">
        <f>IF(F125=1,'01_ВВОД'!$D$23,CHOOSE(D125,'01_ВВОД'!$D$19,'01_ВВОД'!$D$19,'01_ВВОД'!$D$19,'01_ВВОД'!$D$19,'01_ВВОД'!$D$20,'01_ВВОД'!$D$21,'01_ВВОД'!$D$22))</f>
        <v/>
      </c>
      <c r="M125" s="188">
        <f>L125*IF(H125=1,'01_ВВОД'!$D$118,1)</f>
        <v/>
      </c>
      <c r="N125" s="188">
        <f>IF(K125=1,'01_ВВОД'!$D$26,0)</f>
        <v/>
      </c>
      <c r="O125" s="188">
        <f>IF(F125=1,'01_ВВОД'!$D$34,IF(D125&lt;=5,'01_ВВОД'!$D$32,'01_ВВОД'!$D$33))</f>
        <v/>
      </c>
      <c r="P125" s="188">
        <f>O125</f>
        <v/>
      </c>
      <c r="Q125" s="188">
        <f>'01_ВВОД'!$D$40</f>
        <v/>
      </c>
      <c r="R125" s="188">
        <f>'01_ВВОД'!$D$46</f>
        <v/>
      </c>
      <c r="S125" s="188">
        <f>H125</f>
        <v/>
      </c>
      <c r="T125" s="188">
        <f>IF(H125=1,M125+N125+P125+Q125,0)</f>
        <v/>
      </c>
      <c r="U125">
        <f>R125*'01_ВВОД'!$D$120</f>
        <v/>
      </c>
    </row>
    <row r="126">
      <c r="A126" s="200" t="n">
        <v>46387</v>
      </c>
      <c r="B126" s="201" t="n">
        <v>4</v>
      </c>
      <c r="C126" s="201" t="inlineStr">
        <is>
          <t>Дек-26</t>
        </is>
      </c>
      <c r="D126" s="201" t="n">
        <v>4</v>
      </c>
      <c r="E126" s="201" t="inlineStr">
        <is>
          <t>Чт</t>
        </is>
      </c>
      <c r="F126" s="199" t="n">
        <v>1</v>
      </c>
      <c r="G126" s="201" t="inlineStr">
        <is>
          <t>Подтверждено для 2026</t>
        </is>
      </c>
      <c r="H126" s="193" t="n">
        <v>0</v>
      </c>
      <c r="I126" s="201" t="str"/>
      <c r="J126" s="188">
        <f>1</f>
        <v/>
      </c>
      <c r="K126" s="188">
        <f>IF(AND(D126&lt;=5,F126=0),1,0)</f>
        <v/>
      </c>
      <c r="L126" s="188">
        <f>IF(F126=1,'01_ВВОД'!$D$23,CHOOSE(D126,'01_ВВОД'!$D$19,'01_ВВОД'!$D$19,'01_ВВОД'!$D$19,'01_ВВОД'!$D$19,'01_ВВОД'!$D$20,'01_ВВОД'!$D$21,'01_ВВОД'!$D$22))</f>
        <v/>
      </c>
      <c r="M126" s="188">
        <f>L126*IF(H126=1,'01_ВВОД'!$D$118,1)</f>
        <v/>
      </c>
      <c r="N126" s="188">
        <f>IF(K126=1,'01_ВВОД'!$D$26,0)</f>
        <v/>
      </c>
      <c r="O126" s="188">
        <f>IF(F126=1,'01_ВВОД'!$D$34,IF(D126&lt;=5,'01_ВВОД'!$D$32,'01_ВВОД'!$D$33))</f>
        <v/>
      </c>
      <c r="P126" s="188">
        <f>O126</f>
        <v/>
      </c>
      <c r="Q126" s="188">
        <f>'01_ВВОД'!$D$40</f>
        <v/>
      </c>
      <c r="R126" s="188">
        <f>'01_ВВОД'!$D$46</f>
        <v/>
      </c>
      <c r="S126" s="188">
        <f>H126</f>
        <v/>
      </c>
      <c r="T126" s="188">
        <f>IF(H126=1,M126+N126+P126+Q126,0)</f>
        <v/>
      </c>
      <c r="U126">
        <f>R126*'01_ВВОД'!$D$120</f>
        <v/>
      </c>
    </row>
    <row r="127">
      <c r="A127" s="200" t="n">
        <v>46388</v>
      </c>
      <c r="B127" s="201" t="n">
        <v>5</v>
      </c>
      <c r="C127" s="201" t="inlineStr">
        <is>
          <t>Янв-27</t>
        </is>
      </c>
      <c r="D127" s="201" t="n">
        <v>5</v>
      </c>
      <c r="E127" s="201" t="inlineStr">
        <is>
          <t>Пт</t>
        </is>
      </c>
      <c r="F127" s="199" t="n">
        <v>1</v>
      </c>
      <c r="G127" s="201" t="inlineStr">
        <is>
          <t>Фиксированный праздник 2027; переносы уточнить</t>
        </is>
      </c>
      <c r="H127" s="193" t="n">
        <v>0</v>
      </c>
      <c r="I127" s="201" t="str"/>
      <c r="J127" s="188">
        <f>1</f>
        <v/>
      </c>
      <c r="K127" s="188">
        <f>IF(AND(D127&lt;=5,F127=0),1,0)</f>
        <v/>
      </c>
      <c r="L127" s="188">
        <f>IF(F127=1,'01_ВВОД'!$D$23,CHOOSE(D127,'01_ВВОД'!$D$19,'01_ВВОД'!$D$19,'01_ВВОД'!$D$19,'01_ВВОД'!$D$19,'01_ВВОД'!$D$20,'01_ВВОД'!$D$21,'01_ВВОД'!$D$22))</f>
        <v/>
      </c>
      <c r="M127" s="188">
        <f>L127*IF(H127=1,'01_ВВОД'!$D$118,1)</f>
        <v/>
      </c>
      <c r="N127" s="188">
        <f>IF(K127=1,'01_ВВОД'!$D$26,0)</f>
        <v/>
      </c>
      <c r="O127" s="188">
        <f>IF(F127=1,'01_ВВОД'!$D$34,IF(D127&lt;=5,'01_ВВОД'!$D$32,'01_ВВОД'!$D$33))</f>
        <v/>
      </c>
      <c r="P127" s="188">
        <f>O127</f>
        <v/>
      </c>
      <c r="Q127" s="188">
        <f>'01_ВВОД'!$D$40</f>
        <v/>
      </c>
      <c r="R127" s="188">
        <f>'01_ВВОД'!$D$46</f>
        <v/>
      </c>
      <c r="S127" s="188">
        <f>H127</f>
        <v/>
      </c>
      <c r="T127" s="188">
        <f>IF(H127=1,M127+N127+P127+Q127,0)</f>
        <v/>
      </c>
      <c r="U127">
        <f>R127*'01_ВВОД'!$D$120</f>
        <v/>
      </c>
    </row>
    <row r="128">
      <c r="A128" s="200" t="n">
        <v>46389</v>
      </c>
      <c r="B128" s="201" t="n">
        <v>5</v>
      </c>
      <c r="C128" s="201" t="inlineStr">
        <is>
          <t>Янв-27</t>
        </is>
      </c>
      <c r="D128" s="201" t="n">
        <v>6</v>
      </c>
      <c r="E128" s="201" t="inlineStr">
        <is>
          <t>Сб</t>
        </is>
      </c>
      <c r="F128" s="199" t="n">
        <v>1</v>
      </c>
      <c r="G128" s="201" t="inlineStr">
        <is>
          <t>Фиксированный праздник 2027; переносы уточнить</t>
        </is>
      </c>
      <c r="H128" s="193" t="n">
        <v>0</v>
      </c>
      <c r="I128" s="201" t="str"/>
      <c r="J128" s="188">
        <f>1</f>
        <v/>
      </c>
      <c r="K128" s="188">
        <f>IF(AND(D128&lt;=5,F128=0),1,0)</f>
        <v/>
      </c>
      <c r="L128" s="188">
        <f>IF(F128=1,'01_ВВОД'!$D$23,CHOOSE(D128,'01_ВВОД'!$D$19,'01_ВВОД'!$D$19,'01_ВВОД'!$D$19,'01_ВВОД'!$D$19,'01_ВВОД'!$D$20,'01_ВВОД'!$D$21,'01_ВВОД'!$D$22))</f>
        <v/>
      </c>
      <c r="M128" s="188">
        <f>L128*IF(H128=1,'01_ВВОД'!$D$118,1)</f>
        <v/>
      </c>
      <c r="N128" s="188">
        <f>IF(K128=1,'01_ВВОД'!$D$26,0)</f>
        <v/>
      </c>
      <c r="O128" s="188">
        <f>IF(F128=1,'01_ВВОД'!$D$34,IF(D128&lt;=5,'01_ВВОД'!$D$32,'01_ВВОД'!$D$33))</f>
        <v/>
      </c>
      <c r="P128" s="188">
        <f>O128</f>
        <v/>
      </c>
      <c r="Q128" s="188">
        <f>'01_ВВОД'!$D$40</f>
        <v/>
      </c>
      <c r="R128" s="188">
        <f>'01_ВВОД'!$D$46</f>
        <v/>
      </c>
      <c r="S128" s="188">
        <f>H128</f>
        <v/>
      </c>
      <c r="T128" s="188">
        <f>IF(H128=1,M128+N128+P128+Q128,0)</f>
        <v/>
      </c>
      <c r="U128">
        <f>R128*'01_ВВОД'!$D$120</f>
        <v/>
      </c>
    </row>
    <row r="129">
      <c r="A129" s="200" t="n">
        <v>46390</v>
      </c>
      <c r="B129" s="201" t="n">
        <v>5</v>
      </c>
      <c r="C129" s="201" t="inlineStr">
        <is>
          <t>Янв-27</t>
        </is>
      </c>
      <c r="D129" s="201" t="n">
        <v>7</v>
      </c>
      <c r="E129" s="201" t="inlineStr">
        <is>
          <t>Вс</t>
        </is>
      </c>
      <c r="F129" s="199" t="n">
        <v>1</v>
      </c>
      <c r="G129" s="201" t="inlineStr">
        <is>
          <t>Фиксированный праздник 2027; переносы уточнить</t>
        </is>
      </c>
      <c r="H129" s="193" t="n">
        <v>0</v>
      </c>
      <c r="I129" s="201" t="str"/>
      <c r="J129" s="188">
        <f>1</f>
        <v/>
      </c>
      <c r="K129" s="188">
        <f>IF(AND(D129&lt;=5,F129=0),1,0)</f>
        <v/>
      </c>
      <c r="L129" s="188">
        <f>IF(F129=1,'01_ВВОД'!$D$23,CHOOSE(D129,'01_ВВОД'!$D$19,'01_ВВОД'!$D$19,'01_ВВОД'!$D$19,'01_ВВОД'!$D$19,'01_ВВОД'!$D$20,'01_ВВОД'!$D$21,'01_ВВОД'!$D$22))</f>
        <v/>
      </c>
      <c r="M129" s="188">
        <f>L129*IF(H129=1,'01_ВВОД'!$D$118,1)</f>
        <v/>
      </c>
      <c r="N129" s="188">
        <f>IF(K129=1,'01_ВВОД'!$D$26,0)</f>
        <v/>
      </c>
      <c r="O129" s="188">
        <f>IF(F129=1,'01_ВВОД'!$D$34,IF(D129&lt;=5,'01_ВВОД'!$D$32,'01_ВВОД'!$D$33))</f>
        <v/>
      </c>
      <c r="P129" s="188">
        <f>O129</f>
        <v/>
      </c>
      <c r="Q129" s="188">
        <f>'01_ВВОД'!$D$40</f>
        <v/>
      </c>
      <c r="R129" s="188">
        <f>'01_ВВОД'!$D$46</f>
        <v/>
      </c>
      <c r="S129" s="188">
        <f>H129</f>
        <v/>
      </c>
      <c r="T129" s="188">
        <f>IF(H129=1,M129+N129+P129+Q129,0)</f>
        <v/>
      </c>
      <c r="U129">
        <f>R129*'01_ВВОД'!$D$120</f>
        <v/>
      </c>
    </row>
    <row r="130">
      <c r="A130" s="200" t="n">
        <v>46391</v>
      </c>
      <c r="B130" s="201" t="n">
        <v>5</v>
      </c>
      <c r="C130" s="201" t="inlineStr">
        <is>
          <t>Янв-27</t>
        </is>
      </c>
      <c r="D130" s="201" t="n">
        <v>1</v>
      </c>
      <c r="E130" s="201" t="inlineStr">
        <is>
          <t>Пн</t>
        </is>
      </c>
      <c r="F130" s="199" t="n">
        <v>1</v>
      </c>
      <c r="G130" s="201" t="inlineStr">
        <is>
          <t>Фиксированный праздник 2027; переносы уточнить</t>
        </is>
      </c>
      <c r="H130" s="193" t="n">
        <v>0</v>
      </c>
      <c r="I130" s="201" t="str"/>
      <c r="J130" s="188">
        <f>1</f>
        <v/>
      </c>
      <c r="K130" s="188">
        <f>IF(AND(D130&lt;=5,F130=0),1,0)</f>
        <v/>
      </c>
      <c r="L130" s="188">
        <f>IF(F130=1,'01_ВВОД'!$D$23,CHOOSE(D130,'01_ВВОД'!$D$19,'01_ВВОД'!$D$19,'01_ВВОД'!$D$19,'01_ВВОД'!$D$19,'01_ВВОД'!$D$20,'01_ВВОД'!$D$21,'01_ВВОД'!$D$22))</f>
        <v/>
      </c>
      <c r="M130" s="188">
        <f>L130*IF(H130=1,'01_ВВОД'!$D$118,1)</f>
        <v/>
      </c>
      <c r="N130" s="188">
        <f>IF(K130=1,'01_ВВОД'!$D$26,0)</f>
        <v/>
      </c>
      <c r="O130" s="188">
        <f>IF(F130=1,'01_ВВОД'!$D$34,IF(D130&lt;=5,'01_ВВОД'!$D$32,'01_ВВОД'!$D$33))</f>
        <v/>
      </c>
      <c r="P130" s="188">
        <f>O130</f>
        <v/>
      </c>
      <c r="Q130" s="188">
        <f>'01_ВВОД'!$D$40</f>
        <v/>
      </c>
      <c r="R130" s="188">
        <f>'01_ВВОД'!$D$46</f>
        <v/>
      </c>
      <c r="S130" s="188">
        <f>H130</f>
        <v/>
      </c>
      <c r="T130" s="188">
        <f>IF(H130=1,M130+N130+P130+Q130,0)</f>
        <v/>
      </c>
      <c r="U130">
        <f>R130*'01_ВВОД'!$D$120</f>
        <v/>
      </c>
    </row>
    <row r="131">
      <c r="A131" s="200" t="n">
        <v>46392</v>
      </c>
      <c r="B131" s="201" t="n">
        <v>5</v>
      </c>
      <c r="C131" s="201" t="inlineStr">
        <is>
          <t>Янв-27</t>
        </is>
      </c>
      <c r="D131" s="201" t="n">
        <v>2</v>
      </c>
      <c r="E131" s="201" t="inlineStr">
        <is>
          <t>Вт</t>
        </is>
      </c>
      <c r="F131" s="199" t="n">
        <v>1</v>
      </c>
      <c r="G131" s="201" t="inlineStr">
        <is>
          <t>Фиксированный праздник 2027; переносы уточнить</t>
        </is>
      </c>
      <c r="H131" s="193" t="n">
        <v>0</v>
      </c>
      <c r="I131" s="201" t="str"/>
      <c r="J131" s="188">
        <f>1</f>
        <v/>
      </c>
      <c r="K131" s="188">
        <f>IF(AND(D131&lt;=5,F131=0),1,0)</f>
        <v/>
      </c>
      <c r="L131" s="188">
        <f>IF(F131=1,'01_ВВОД'!$D$23,CHOOSE(D131,'01_ВВОД'!$D$19,'01_ВВОД'!$D$19,'01_ВВОД'!$D$19,'01_ВВОД'!$D$19,'01_ВВОД'!$D$20,'01_ВВОД'!$D$21,'01_ВВОД'!$D$22))</f>
        <v/>
      </c>
      <c r="M131" s="188">
        <f>L131*IF(H131=1,'01_ВВОД'!$D$118,1)</f>
        <v/>
      </c>
      <c r="N131" s="188">
        <f>IF(K131=1,'01_ВВОД'!$D$26,0)</f>
        <v/>
      </c>
      <c r="O131" s="188">
        <f>IF(F131=1,'01_ВВОД'!$D$34,IF(D131&lt;=5,'01_ВВОД'!$D$32,'01_ВВОД'!$D$33))</f>
        <v/>
      </c>
      <c r="P131" s="188">
        <f>O131</f>
        <v/>
      </c>
      <c r="Q131" s="188">
        <f>'01_ВВОД'!$D$40</f>
        <v/>
      </c>
      <c r="R131" s="188">
        <f>'01_ВВОД'!$D$46</f>
        <v/>
      </c>
      <c r="S131" s="188">
        <f>H131</f>
        <v/>
      </c>
      <c r="T131" s="188">
        <f>IF(H131=1,M131+N131+P131+Q131,0)</f>
        <v/>
      </c>
      <c r="U131">
        <f>R131*'01_ВВОД'!$D$120</f>
        <v/>
      </c>
    </row>
    <row r="132">
      <c r="A132" s="200" t="n">
        <v>46393</v>
      </c>
      <c r="B132" s="201" t="n">
        <v>5</v>
      </c>
      <c r="C132" s="201" t="inlineStr">
        <is>
          <t>Янв-27</t>
        </is>
      </c>
      <c r="D132" s="201" t="n">
        <v>3</v>
      </c>
      <c r="E132" s="201" t="inlineStr">
        <is>
          <t>Ср</t>
        </is>
      </c>
      <c r="F132" s="199" t="n">
        <v>1</v>
      </c>
      <c r="G132" s="201" t="inlineStr">
        <is>
          <t>Фиксированный праздник 2027; переносы уточнить</t>
        </is>
      </c>
      <c r="H132" s="193" t="n">
        <v>0</v>
      </c>
      <c r="I132" s="201" t="str"/>
      <c r="J132" s="188">
        <f>1</f>
        <v/>
      </c>
      <c r="K132" s="188">
        <f>IF(AND(D132&lt;=5,F132=0),1,0)</f>
        <v/>
      </c>
      <c r="L132" s="188">
        <f>IF(F132=1,'01_ВВОД'!$D$23,CHOOSE(D132,'01_ВВОД'!$D$19,'01_ВВОД'!$D$19,'01_ВВОД'!$D$19,'01_ВВОД'!$D$19,'01_ВВОД'!$D$20,'01_ВВОД'!$D$21,'01_ВВОД'!$D$22))</f>
        <v/>
      </c>
      <c r="M132" s="188">
        <f>L132*IF(H132=1,'01_ВВОД'!$D$118,1)</f>
        <v/>
      </c>
      <c r="N132" s="188">
        <f>IF(K132=1,'01_ВВОД'!$D$26,0)</f>
        <v/>
      </c>
      <c r="O132" s="188">
        <f>IF(F132=1,'01_ВВОД'!$D$34,IF(D132&lt;=5,'01_ВВОД'!$D$32,'01_ВВОД'!$D$33))</f>
        <v/>
      </c>
      <c r="P132" s="188">
        <f>O132</f>
        <v/>
      </c>
      <c r="Q132" s="188">
        <f>'01_ВВОД'!$D$40</f>
        <v/>
      </c>
      <c r="R132" s="188">
        <f>'01_ВВОД'!$D$46</f>
        <v/>
      </c>
      <c r="S132" s="188">
        <f>H132</f>
        <v/>
      </c>
      <c r="T132" s="188">
        <f>IF(H132=1,M132+N132+P132+Q132,0)</f>
        <v/>
      </c>
      <c r="U132">
        <f>R132*'01_ВВОД'!$D$120</f>
        <v/>
      </c>
    </row>
    <row r="133">
      <c r="A133" s="200" t="n">
        <v>46394</v>
      </c>
      <c r="B133" s="201" t="n">
        <v>5</v>
      </c>
      <c r="C133" s="201" t="inlineStr">
        <is>
          <t>Янв-27</t>
        </is>
      </c>
      <c r="D133" s="201" t="n">
        <v>4</v>
      </c>
      <c r="E133" s="201" t="inlineStr">
        <is>
          <t>Чт</t>
        </is>
      </c>
      <c r="F133" s="199" t="n">
        <v>1</v>
      </c>
      <c r="G133" s="201" t="inlineStr">
        <is>
          <t>Фиксированный праздник 2027; переносы уточнить</t>
        </is>
      </c>
      <c r="H133" s="193" t="n">
        <v>0</v>
      </c>
      <c r="I133" s="201" t="str"/>
      <c r="J133" s="188">
        <f>1</f>
        <v/>
      </c>
      <c r="K133" s="188">
        <f>IF(AND(D133&lt;=5,F133=0),1,0)</f>
        <v/>
      </c>
      <c r="L133" s="188">
        <f>IF(F133=1,'01_ВВОД'!$D$23,CHOOSE(D133,'01_ВВОД'!$D$19,'01_ВВОД'!$D$19,'01_ВВОД'!$D$19,'01_ВВОД'!$D$19,'01_ВВОД'!$D$20,'01_ВВОД'!$D$21,'01_ВВОД'!$D$22))</f>
        <v/>
      </c>
      <c r="M133" s="188">
        <f>L133*IF(H133=1,'01_ВВОД'!$D$118,1)</f>
        <v/>
      </c>
      <c r="N133" s="188">
        <f>IF(K133=1,'01_ВВОД'!$D$26,0)</f>
        <v/>
      </c>
      <c r="O133" s="188">
        <f>IF(F133=1,'01_ВВОД'!$D$34,IF(D133&lt;=5,'01_ВВОД'!$D$32,'01_ВВОД'!$D$33))</f>
        <v/>
      </c>
      <c r="P133" s="188">
        <f>O133</f>
        <v/>
      </c>
      <c r="Q133" s="188">
        <f>'01_ВВОД'!$D$40</f>
        <v/>
      </c>
      <c r="R133" s="188">
        <f>'01_ВВОД'!$D$46</f>
        <v/>
      </c>
      <c r="S133" s="188">
        <f>H133</f>
        <v/>
      </c>
      <c r="T133" s="188">
        <f>IF(H133=1,M133+N133+P133+Q133,0)</f>
        <v/>
      </c>
      <c r="U133">
        <f>R133*'01_ВВОД'!$D$120</f>
        <v/>
      </c>
    </row>
    <row r="134">
      <c r="A134" s="200" t="n">
        <v>46395</v>
      </c>
      <c r="B134" s="201" t="n">
        <v>5</v>
      </c>
      <c r="C134" s="201" t="inlineStr">
        <is>
          <t>Янв-27</t>
        </is>
      </c>
      <c r="D134" s="201" t="n">
        <v>5</v>
      </c>
      <c r="E134" s="201" t="inlineStr">
        <is>
          <t>Пт</t>
        </is>
      </c>
      <c r="F134" s="199" t="n">
        <v>1</v>
      </c>
      <c r="G134" s="201" t="inlineStr">
        <is>
          <t>Фиксированный праздник 2027; переносы уточнить</t>
        </is>
      </c>
      <c r="H134" s="193" t="n">
        <v>0</v>
      </c>
      <c r="I134" s="201" t="str"/>
      <c r="J134" s="188">
        <f>1</f>
        <v/>
      </c>
      <c r="K134" s="188">
        <f>IF(AND(D134&lt;=5,F134=0),1,0)</f>
        <v/>
      </c>
      <c r="L134" s="188">
        <f>IF(F134=1,'01_ВВОД'!$D$23,CHOOSE(D134,'01_ВВОД'!$D$19,'01_ВВОД'!$D$19,'01_ВВОД'!$D$19,'01_ВВОД'!$D$19,'01_ВВОД'!$D$20,'01_ВВОД'!$D$21,'01_ВВОД'!$D$22))</f>
        <v/>
      </c>
      <c r="M134" s="188">
        <f>L134*IF(H134=1,'01_ВВОД'!$D$118,1)</f>
        <v/>
      </c>
      <c r="N134" s="188">
        <f>IF(K134=1,'01_ВВОД'!$D$26,0)</f>
        <v/>
      </c>
      <c r="O134" s="188">
        <f>IF(F134=1,'01_ВВОД'!$D$34,IF(D134&lt;=5,'01_ВВОД'!$D$32,'01_ВВОД'!$D$33))</f>
        <v/>
      </c>
      <c r="P134" s="188">
        <f>O134</f>
        <v/>
      </c>
      <c r="Q134" s="188">
        <f>'01_ВВОД'!$D$40</f>
        <v/>
      </c>
      <c r="R134" s="188">
        <f>'01_ВВОД'!$D$46</f>
        <v/>
      </c>
      <c r="S134" s="188">
        <f>H134</f>
        <v/>
      </c>
      <c r="T134" s="188">
        <f>IF(H134=1,M134+N134+P134+Q134,0)</f>
        <v/>
      </c>
      <c r="U134">
        <f>R134*'01_ВВОД'!$D$120</f>
        <v/>
      </c>
    </row>
    <row r="135">
      <c r="A135" s="200" t="n">
        <v>46396</v>
      </c>
      <c r="B135" s="201" t="n">
        <v>5</v>
      </c>
      <c r="C135" s="201" t="inlineStr">
        <is>
          <t>Янв-27</t>
        </is>
      </c>
      <c r="D135" s="201" t="n">
        <v>6</v>
      </c>
      <c r="E135" s="201" t="inlineStr">
        <is>
          <t>Сб</t>
        </is>
      </c>
      <c r="F135" s="199" t="n">
        <v>0</v>
      </c>
      <c r="G135" s="201" t="str"/>
      <c r="H135" s="193" t="n">
        <v>0</v>
      </c>
      <c r="I135" s="201" t="str"/>
      <c r="J135" s="188">
        <f>1</f>
        <v/>
      </c>
      <c r="K135" s="188">
        <f>IF(AND(D135&lt;=5,F135=0),1,0)</f>
        <v/>
      </c>
      <c r="L135" s="188">
        <f>IF(F135=1,'01_ВВОД'!$D$23,CHOOSE(D135,'01_ВВОД'!$D$19,'01_ВВОД'!$D$19,'01_ВВОД'!$D$19,'01_ВВОД'!$D$19,'01_ВВОД'!$D$20,'01_ВВОД'!$D$21,'01_ВВОД'!$D$22))</f>
        <v/>
      </c>
      <c r="M135" s="188">
        <f>L135*IF(H135=1,'01_ВВОД'!$D$118,1)</f>
        <v/>
      </c>
      <c r="N135" s="188">
        <f>IF(K135=1,'01_ВВОД'!$D$26,0)</f>
        <v/>
      </c>
      <c r="O135" s="188">
        <f>IF(F135=1,'01_ВВОД'!$D$34,IF(D135&lt;=5,'01_ВВОД'!$D$32,'01_ВВОД'!$D$33))</f>
        <v/>
      </c>
      <c r="P135" s="188">
        <f>O135</f>
        <v/>
      </c>
      <c r="Q135" s="188">
        <f>'01_ВВОД'!$D$40</f>
        <v/>
      </c>
      <c r="R135" s="188">
        <f>'01_ВВОД'!$D$46</f>
        <v/>
      </c>
      <c r="S135" s="188">
        <f>H135</f>
        <v/>
      </c>
      <c r="T135" s="188">
        <f>IF(H135=1,M135+N135+P135+Q135,0)</f>
        <v/>
      </c>
      <c r="U135">
        <f>R135*'01_ВВОД'!$D$120</f>
        <v/>
      </c>
    </row>
    <row r="136">
      <c r="A136" s="200" t="n">
        <v>46397</v>
      </c>
      <c r="B136" s="201" t="n">
        <v>5</v>
      </c>
      <c r="C136" s="201" t="inlineStr">
        <is>
          <t>Янв-27</t>
        </is>
      </c>
      <c r="D136" s="201" t="n">
        <v>7</v>
      </c>
      <c r="E136" s="201" t="inlineStr">
        <is>
          <t>Вс</t>
        </is>
      </c>
      <c r="F136" s="199" t="n">
        <v>0</v>
      </c>
      <c r="G136" s="201" t="str"/>
      <c r="H136" s="193" t="n">
        <v>0</v>
      </c>
      <c r="I136" s="201" t="str"/>
      <c r="J136" s="188">
        <f>1</f>
        <v/>
      </c>
      <c r="K136" s="188">
        <f>IF(AND(D136&lt;=5,F136=0),1,0)</f>
        <v/>
      </c>
      <c r="L136" s="188">
        <f>IF(F136=1,'01_ВВОД'!$D$23,CHOOSE(D136,'01_ВВОД'!$D$19,'01_ВВОД'!$D$19,'01_ВВОД'!$D$19,'01_ВВОД'!$D$19,'01_ВВОД'!$D$20,'01_ВВОД'!$D$21,'01_ВВОД'!$D$22))</f>
        <v/>
      </c>
      <c r="M136" s="188">
        <f>L136*IF(H136=1,'01_ВВОД'!$D$118,1)</f>
        <v/>
      </c>
      <c r="N136" s="188">
        <f>IF(K136=1,'01_ВВОД'!$D$26,0)</f>
        <v/>
      </c>
      <c r="O136" s="188">
        <f>IF(F136=1,'01_ВВОД'!$D$34,IF(D136&lt;=5,'01_ВВОД'!$D$32,'01_ВВОД'!$D$33))</f>
        <v/>
      </c>
      <c r="P136" s="188">
        <f>O136</f>
        <v/>
      </c>
      <c r="Q136" s="188">
        <f>'01_ВВОД'!$D$40</f>
        <v/>
      </c>
      <c r="R136" s="188">
        <f>'01_ВВОД'!$D$46</f>
        <v/>
      </c>
      <c r="S136" s="188">
        <f>H136</f>
        <v/>
      </c>
      <c r="T136" s="188">
        <f>IF(H136=1,M136+N136+P136+Q136,0)</f>
        <v/>
      </c>
      <c r="U136">
        <f>R136*'01_ВВОД'!$D$120</f>
        <v/>
      </c>
    </row>
    <row r="137">
      <c r="A137" s="200" t="n">
        <v>46398</v>
      </c>
      <c r="B137" s="201" t="n">
        <v>5</v>
      </c>
      <c r="C137" s="201" t="inlineStr">
        <is>
          <t>Янв-27</t>
        </is>
      </c>
      <c r="D137" s="201" t="n">
        <v>1</v>
      </c>
      <c r="E137" s="201" t="inlineStr">
        <is>
          <t>Пн</t>
        </is>
      </c>
      <c r="F137" s="199" t="n">
        <v>0</v>
      </c>
      <c r="G137" s="201" t="str"/>
      <c r="H137" s="193" t="n">
        <v>0</v>
      </c>
      <c r="I137" s="201" t="str"/>
      <c r="J137" s="188">
        <f>1</f>
        <v/>
      </c>
      <c r="K137" s="188">
        <f>IF(AND(D137&lt;=5,F137=0),1,0)</f>
        <v/>
      </c>
      <c r="L137" s="188">
        <f>IF(F137=1,'01_ВВОД'!$D$23,CHOOSE(D137,'01_ВВОД'!$D$19,'01_ВВОД'!$D$19,'01_ВВОД'!$D$19,'01_ВВОД'!$D$19,'01_ВВОД'!$D$20,'01_ВВОД'!$D$21,'01_ВВОД'!$D$22))</f>
        <v/>
      </c>
      <c r="M137" s="188">
        <f>L137*IF(H137=1,'01_ВВОД'!$D$118,1)</f>
        <v/>
      </c>
      <c r="N137" s="188">
        <f>IF(K137=1,'01_ВВОД'!$D$26,0)</f>
        <v/>
      </c>
      <c r="O137" s="188">
        <f>IF(F137=1,'01_ВВОД'!$D$34,IF(D137&lt;=5,'01_ВВОД'!$D$32,'01_ВВОД'!$D$33))</f>
        <v/>
      </c>
      <c r="P137" s="188">
        <f>O137</f>
        <v/>
      </c>
      <c r="Q137" s="188">
        <f>'01_ВВОД'!$D$40</f>
        <v/>
      </c>
      <c r="R137" s="188">
        <f>'01_ВВОД'!$D$46</f>
        <v/>
      </c>
      <c r="S137" s="188">
        <f>H137</f>
        <v/>
      </c>
      <c r="T137" s="188">
        <f>IF(H137=1,M137+N137+P137+Q137,0)</f>
        <v/>
      </c>
      <c r="U137">
        <f>R137*'01_ВВОД'!$D$120</f>
        <v/>
      </c>
    </row>
    <row r="138">
      <c r="A138" s="200" t="n">
        <v>46399</v>
      </c>
      <c r="B138" s="201" t="n">
        <v>5</v>
      </c>
      <c r="C138" s="201" t="inlineStr">
        <is>
          <t>Янв-27</t>
        </is>
      </c>
      <c r="D138" s="201" t="n">
        <v>2</v>
      </c>
      <c r="E138" s="201" t="inlineStr">
        <is>
          <t>Вт</t>
        </is>
      </c>
      <c r="F138" s="199" t="n">
        <v>0</v>
      </c>
      <c r="G138" s="201" t="str"/>
      <c r="H138" s="193" t="n">
        <v>0</v>
      </c>
      <c r="I138" s="201" t="str"/>
      <c r="J138" s="188">
        <f>1</f>
        <v/>
      </c>
      <c r="K138" s="188">
        <f>IF(AND(D138&lt;=5,F138=0),1,0)</f>
        <v/>
      </c>
      <c r="L138" s="188">
        <f>IF(F138=1,'01_ВВОД'!$D$23,CHOOSE(D138,'01_ВВОД'!$D$19,'01_ВВОД'!$D$19,'01_ВВОД'!$D$19,'01_ВВОД'!$D$19,'01_ВВОД'!$D$20,'01_ВВОД'!$D$21,'01_ВВОД'!$D$22))</f>
        <v/>
      </c>
      <c r="M138" s="188">
        <f>L138*IF(H138=1,'01_ВВОД'!$D$118,1)</f>
        <v/>
      </c>
      <c r="N138" s="188">
        <f>IF(K138=1,'01_ВВОД'!$D$26,0)</f>
        <v/>
      </c>
      <c r="O138" s="188">
        <f>IF(F138=1,'01_ВВОД'!$D$34,IF(D138&lt;=5,'01_ВВОД'!$D$32,'01_ВВОД'!$D$33))</f>
        <v/>
      </c>
      <c r="P138" s="188">
        <f>O138</f>
        <v/>
      </c>
      <c r="Q138" s="188">
        <f>'01_ВВОД'!$D$40</f>
        <v/>
      </c>
      <c r="R138" s="188">
        <f>'01_ВВОД'!$D$46</f>
        <v/>
      </c>
      <c r="S138" s="188">
        <f>H138</f>
        <v/>
      </c>
      <c r="T138" s="188">
        <f>IF(H138=1,M138+N138+P138+Q138,0)</f>
        <v/>
      </c>
      <c r="U138">
        <f>R138*'01_ВВОД'!$D$120</f>
        <v/>
      </c>
    </row>
    <row r="139">
      <c r="A139" s="200" t="n">
        <v>46400</v>
      </c>
      <c r="B139" s="201" t="n">
        <v>5</v>
      </c>
      <c r="C139" s="201" t="inlineStr">
        <is>
          <t>Янв-27</t>
        </is>
      </c>
      <c r="D139" s="201" t="n">
        <v>3</v>
      </c>
      <c r="E139" s="201" t="inlineStr">
        <is>
          <t>Ср</t>
        </is>
      </c>
      <c r="F139" s="199" t="n">
        <v>0</v>
      </c>
      <c r="G139" s="201" t="str"/>
      <c r="H139" s="193" t="n">
        <v>1</v>
      </c>
      <c r="I139" s="201" t="inlineStr">
        <is>
          <t>Пн–Чт</t>
        </is>
      </c>
      <c r="J139" s="188">
        <f>1</f>
        <v/>
      </c>
      <c r="K139" s="188">
        <f>IF(AND(D139&lt;=5,F139=0),1,0)</f>
        <v/>
      </c>
      <c r="L139" s="188">
        <f>IF(F139=1,'01_ВВОД'!$D$23,CHOOSE(D139,'01_ВВОД'!$D$19,'01_ВВОД'!$D$19,'01_ВВОД'!$D$19,'01_ВВОД'!$D$19,'01_ВВОД'!$D$20,'01_ВВОД'!$D$21,'01_ВВОД'!$D$22))</f>
        <v/>
      </c>
      <c r="M139" s="188">
        <f>L139*IF(H139=1,'01_ВВОД'!$D$118,1)</f>
        <v/>
      </c>
      <c r="N139" s="188">
        <f>IF(K139=1,'01_ВВОД'!$D$26,0)</f>
        <v/>
      </c>
      <c r="O139" s="188">
        <f>IF(F139=1,'01_ВВОД'!$D$34,IF(D139&lt;=5,'01_ВВОД'!$D$32,'01_ВВОД'!$D$33))</f>
        <v/>
      </c>
      <c r="P139" s="188">
        <f>O139</f>
        <v/>
      </c>
      <c r="Q139" s="188">
        <f>'01_ВВОД'!$D$40</f>
        <v/>
      </c>
      <c r="R139" s="188">
        <f>'01_ВВОД'!$D$46</f>
        <v/>
      </c>
      <c r="S139" s="188">
        <f>H139</f>
        <v/>
      </c>
      <c r="T139" s="188">
        <f>IF(H139=1,M139+N139+P139+Q139,0)</f>
        <v/>
      </c>
      <c r="U139">
        <f>R139*'01_ВВОД'!$D$120</f>
        <v/>
      </c>
    </row>
    <row r="140">
      <c r="A140" s="200" t="n">
        <v>46401</v>
      </c>
      <c r="B140" s="201" t="n">
        <v>5</v>
      </c>
      <c r="C140" s="201" t="inlineStr">
        <is>
          <t>Янв-27</t>
        </is>
      </c>
      <c r="D140" s="201" t="n">
        <v>4</v>
      </c>
      <c r="E140" s="201" t="inlineStr">
        <is>
          <t>Чт</t>
        </is>
      </c>
      <c r="F140" s="199" t="n">
        <v>0</v>
      </c>
      <c r="G140" s="201" t="str"/>
      <c r="H140" s="193" t="n">
        <v>0</v>
      </c>
      <c r="I140" s="201" t="str"/>
      <c r="J140" s="188">
        <f>1</f>
        <v/>
      </c>
      <c r="K140" s="188">
        <f>IF(AND(D140&lt;=5,F140=0),1,0)</f>
        <v/>
      </c>
      <c r="L140" s="188">
        <f>IF(F140=1,'01_ВВОД'!$D$23,CHOOSE(D140,'01_ВВОД'!$D$19,'01_ВВОД'!$D$19,'01_ВВОД'!$D$19,'01_ВВОД'!$D$19,'01_ВВОД'!$D$20,'01_ВВОД'!$D$21,'01_ВВОД'!$D$22))</f>
        <v/>
      </c>
      <c r="M140" s="188">
        <f>L140*IF(H140=1,'01_ВВОД'!$D$118,1)</f>
        <v/>
      </c>
      <c r="N140" s="188">
        <f>IF(K140=1,'01_ВВОД'!$D$26,0)</f>
        <v/>
      </c>
      <c r="O140" s="188">
        <f>IF(F140=1,'01_ВВОД'!$D$34,IF(D140&lt;=5,'01_ВВОД'!$D$32,'01_ВВОД'!$D$33))</f>
        <v/>
      </c>
      <c r="P140" s="188">
        <f>O140</f>
        <v/>
      </c>
      <c r="Q140" s="188">
        <f>'01_ВВОД'!$D$40</f>
        <v/>
      </c>
      <c r="R140" s="188">
        <f>'01_ВВОД'!$D$46</f>
        <v/>
      </c>
      <c r="S140" s="188">
        <f>H140</f>
        <v/>
      </c>
      <c r="T140" s="188">
        <f>IF(H140=1,M140+N140+P140+Q140,0)</f>
        <v/>
      </c>
      <c r="U140">
        <f>R140*'01_ВВОД'!$D$120</f>
        <v/>
      </c>
    </row>
    <row r="141">
      <c r="A141" s="200" t="n">
        <v>46402</v>
      </c>
      <c r="B141" s="201" t="n">
        <v>5</v>
      </c>
      <c r="C141" s="201" t="inlineStr">
        <is>
          <t>Янв-27</t>
        </is>
      </c>
      <c r="D141" s="201" t="n">
        <v>5</v>
      </c>
      <c r="E141" s="201" t="inlineStr">
        <is>
          <t>Пт</t>
        </is>
      </c>
      <c r="F141" s="199" t="n">
        <v>0</v>
      </c>
      <c r="G141" s="201" t="str"/>
      <c r="H141" s="193" t="n">
        <v>0</v>
      </c>
      <c r="I141" s="201" t="str"/>
      <c r="J141" s="188">
        <f>1</f>
        <v/>
      </c>
      <c r="K141" s="188">
        <f>IF(AND(D141&lt;=5,F141=0),1,0)</f>
        <v/>
      </c>
      <c r="L141" s="188">
        <f>IF(F141=1,'01_ВВОД'!$D$23,CHOOSE(D141,'01_ВВОД'!$D$19,'01_ВВОД'!$D$19,'01_ВВОД'!$D$19,'01_ВВОД'!$D$19,'01_ВВОД'!$D$20,'01_ВВОД'!$D$21,'01_ВВОД'!$D$22))</f>
        <v/>
      </c>
      <c r="M141" s="188">
        <f>L141*IF(H141=1,'01_ВВОД'!$D$118,1)</f>
        <v/>
      </c>
      <c r="N141" s="188">
        <f>IF(K141=1,'01_ВВОД'!$D$26,0)</f>
        <v/>
      </c>
      <c r="O141" s="188">
        <f>IF(F141=1,'01_ВВОД'!$D$34,IF(D141&lt;=5,'01_ВВОД'!$D$32,'01_ВВОД'!$D$33))</f>
        <v/>
      </c>
      <c r="P141" s="188">
        <f>O141</f>
        <v/>
      </c>
      <c r="Q141" s="188">
        <f>'01_ВВОД'!$D$40</f>
        <v/>
      </c>
      <c r="R141" s="188">
        <f>'01_ВВОД'!$D$46</f>
        <v/>
      </c>
      <c r="S141" s="188">
        <f>H141</f>
        <v/>
      </c>
      <c r="T141" s="188">
        <f>IF(H141=1,M141+N141+P141+Q141,0)</f>
        <v/>
      </c>
      <c r="U141">
        <f>R141*'01_ВВОД'!$D$120</f>
        <v/>
      </c>
    </row>
    <row r="142">
      <c r="A142" s="200" t="n">
        <v>46403</v>
      </c>
      <c r="B142" s="201" t="n">
        <v>5</v>
      </c>
      <c r="C142" s="201" t="inlineStr">
        <is>
          <t>Янв-27</t>
        </is>
      </c>
      <c r="D142" s="201" t="n">
        <v>6</v>
      </c>
      <c r="E142" s="201" t="inlineStr">
        <is>
          <t>Сб</t>
        </is>
      </c>
      <c r="F142" s="199" t="n">
        <v>0</v>
      </c>
      <c r="G142" s="201" t="str"/>
      <c r="H142" s="193" t="n">
        <v>1</v>
      </c>
      <c r="I142" s="201" t="inlineStr">
        <is>
          <t>Пт–Вс</t>
        </is>
      </c>
      <c r="J142" s="188">
        <f>1</f>
        <v/>
      </c>
      <c r="K142" s="188">
        <f>IF(AND(D142&lt;=5,F142=0),1,0)</f>
        <v/>
      </c>
      <c r="L142" s="188">
        <f>IF(F142=1,'01_ВВОД'!$D$23,CHOOSE(D142,'01_ВВОД'!$D$19,'01_ВВОД'!$D$19,'01_ВВОД'!$D$19,'01_ВВОД'!$D$19,'01_ВВОД'!$D$20,'01_ВВОД'!$D$21,'01_ВВОД'!$D$22))</f>
        <v/>
      </c>
      <c r="M142" s="188">
        <f>L142*IF(H142=1,'01_ВВОД'!$D$118,1)</f>
        <v/>
      </c>
      <c r="N142" s="188">
        <f>IF(K142=1,'01_ВВОД'!$D$26,0)</f>
        <v/>
      </c>
      <c r="O142" s="188">
        <f>IF(F142=1,'01_ВВОД'!$D$34,IF(D142&lt;=5,'01_ВВОД'!$D$32,'01_ВВОД'!$D$33))</f>
        <v/>
      </c>
      <c r="P142" s="188">
        <f>O142</f>
        <v/>
      </c>
      <c r="Q142" s="188">
        <f>'01_ВВОД'!$D$40</f>
        <v/>
      </c>
      <c r="R142" s="188">
        <f>'01_ВВОД'!$D$46</f>
        <v/>
      </c>
      <c r="S142" s="188">
        <f>H142</f>
        <v/>
      </c>
      <c r="T142" s="188">
        <f>IF(H142=1,M142+N142+P142+Q142,0)</f>
        <v/>
      </c>
      <c r="U142">
        <f>R142*'01_ВВОД'!$D$120</f>
        <v/>
      </c>
    </row>
    <row r="143">
      <c r="A143" s="200" t="n">
        <v>46404</v>
      </c>
      <c r="B143" s="201" t="n">
        <v>5</v>
      </c>
      <c r="C143" s="201" t="inlineStr">
        <is>
          <t>Янв-27</t>
        </is>
      </c>
      <c r="D143" s="201" t="n">
        <v>7</v>
      </c>
      <c r="E143" s="201" t="inlineStr">
        <is>
          <t>Вс</t>
        </is>
      </c>
      <c r="F143" s="199" t="n">
        <v>0</v>
      </c>
      <c r="G143" s="201" t="str"/>
      <c r="H143" s="193" t="n">
        <v>1</v>
      </c>
      <c r="I143" s="201" t="inlineStr">
        <is>
          <t>Пт–Вс</t>
        </is>
      </c>
      <c r="J143" s="188">
        <f>1</f>
        <v/>
      </c>
      <c r="K143" s="188">
        <f>IF(AND(D143&lt;=5,F143=0),1,0)</f>
        <v/>
      </c>
      <c r="L143" s="188">
        <f>IF(F143=1,'01_ВВОД'!$D$23,CHOOSE(D143,'01_ВВОД'!$D$19,'01_ВВОД'!$D$19,'01_ВВОД'!$D$19,'01_ВВОД'!$D$19,'01_ВВОД'!$D$20,'01_ВВОД'!$D$21,'01_ВВОД'!$D$22))</f>
        <v/>
      </c>
      <c r="M143" s="188">
        <f>L143*IF(H143=1,'01_ВВОД'!$D$118,1)</f>
        <v/>
      </c>
      <c r="N143" s="188">
        <f>IF(K143=1,'01_ВВОД'!$D$26,0)</f>
        <v/>
      </c>
      <c r="O143" s="188">
        <f>IF(F143=1,'01_ВВОД'!$D$34,IF(D143&lt;=5,'01_ВВОД'!$D$32,'01_ВВОД'!$D$33))</f>
        <v/>
      </c>
      <c r="P143" s="188">
        <f>O143</f>
        <v/>
      </c>
      <c r="Q143" s="188">
        <f>'01_ВВОД'!$D$40</f>
        <v/>
      </c>
      <c r="R143" s="188">
        <f>'01_ВВОД'!$D$46</f>
        <v/>
      </c>
      <c r="S143" s="188">
        <f>H143</f>
        <v/>
      </c>
      <c r="T143" s="188">
        <f>IF(H143=1,M143+N143+P143+Q143,0)</f>
        <v/>
      </c>
      <c r="U143">
        <f>R143*'01_ВВОД'!$D$120</f>
        <v/>
      </c>
    </row>
    <row r="144">
      <c r="A144" s="200" t="n">
        <v>46405</v>
      </c>
      <c r="B144" s="201" t="n">
        <v>5</v>
      </c>
      <c r="C144" s="201" t="inlineStr">
        <is>
          <t>Янв-27</t>
        </is>
      </c>
      <c r="D144" s="201" t="n">
        <v>1</v>
      </c>
      <c r="E144" s="201" t="inlineStr">
        <is>
          <t>Пн</t>
        </is>
      </c>
      <c r="F144" s="199" t="n">
        <v>0</v>
      </c>
      <c r="G144" s="201" t="str"/>
      <c r="H144" s="193" t="n">
        <v>0</v>
      </c>
      <c r="I144" s="201" t="str"/>
      <c r="J144" s="188">
        <f>1</f>
        <v/>
      </c>
      <c r="K144" s="188">
        <f>IF(AND(D144&lt;=5,F144=0),1,0)</f>
        <v/>
      </c>
      <c r="L144" s="188">
        <f>IF(F144=1,'01_ВВОД'!$D$23,CHOOSE(D144,'01_ВВОД'!$D$19,'01_ВВОД'!$D$19,'01_ВВОД'!$D$19,'01_ВВОД'!$D$19,'01_ВВОД'!$D$20,'01_ВВОД'!$D$21,'01_ВВОД'!$D$22))</f>
        <v/>
      </c>
      <c r="M144" s="188">
        <f>L144*IF(H144=1,'01_ВВОД'!$D$118,1)</f>
        <v/>
      </c>
      <c r="N144" s="188">
        <f>IF(K144=1,'01_ВВОД'!$D$26,0)</f>
        <v/>
      </c>
      <c r="O144" s="188">
        <f>IF(F144=1,'01_ВВОД'!$D$34,IF(D144&lt;=5,'01_ВВОД'!$D$32,'01_ВВОД'!$D$33))</f>
        <v/>
      </c>
      <c r="P144" s="188">
        <f>O144</f>
        <v/>
      </c>
      <c r="Q144" s="188">
        <f>'01_ВВОД'!$D$40</f>
        <v/>
      </c>
      <c r="R144" s="188">
        <f>'01_ВВОД'!$D$46</f>
        <v/>
      </c>
      <c r="S144" s="188">
        <f>H144</f>
        <v/>
      </c>
      <c r="T144" s="188">
        <f>IF(H144=1,M144+N144+P144+Q144,0)</f>
        <v/>
      </c>
      <c r="U144">
        <f>R144*'01_ВВОД'!$D$120</f>
        <v/>
      </c>
    </row>
    <row r="145">
      <c r="A145" s="200" t="n">
        <v>46406</v>
      </c>
      <c r="B145" s="201" t="n">
        <v>5</v>
      </c>
      <c r="C145" s="201" t="inlineStr">
        <is>
          <t>Янв-27</t>
        </is>
      </c>
      <c r="D145" s="201" t="n">
        <v>2</v>
      </c>
      <c r="E145" s="201" t="inlineStr">
        <is>
          <t>Вт</t>
        </is>
      </c>
      <c r="F145" s="199" t="n">
        <v>0</v>
      </c>
      <c r="G145" s="201" t="str"/>
      <c r="H145" s="193" t="n">
        <v>0</v>
      </c>
      <c r="I145" s="201" t="str"/>
      <c r="J145" s="188">
        <f>1</f>
        <v/>
      </c>
      <c r="K145" s="188">
        <f>IF(AND(D145&lt;=5,F145=0),1,0)</f>
        <v/>
      </c>
      <c r="L145" s="188">
        <f>IF(F145=1,'01_ВВОД'!$D$23,CHOOSE(D145,'01_ВВОД'!$D$19,'01_ВВОД'!$D$19,'01_ВВОД'!$D$19,'01_ВВОД'!$D$19,'01_ВВОД'!$D$20,'01_ВВОД'!$D$21,'01_ВВОД'!$D$22))</f>
        <v/>
      </c>
      <c r="M145" s="188">
        <f>L145*IF(H145=1,'01_ВВОД'!$D$118,1)</f>
        <v/>
      </c>
      <c r="N145" s="188">
        <f>IF(K145=1,'01_ВВОД'!$D$26,0)</f>
        <v/>
      </c>
      <c r="O145" s="188">
        <f>IF(F145=1,'01_ВВОД'!$D$34,IF(D145&lt;=5,'01_ВВОД'!$D$32,'01_ВВОД'!$D$33))</f>
        <v/>
      </c>
      <c r="P145" s="188">
        <f>O145</f>
        <v/>
      </c>
      <c r="Q145" s="188">
        <f>'01_ВВОД'!$D$40</f>
        <v/>
      </c>
      <c r="R145" s="188">
        <f>'01_ВВОД'!$D$46</f>
        <v/>
      </c>
      <c r="S145" s="188">
        <f>H145</f>
        <v/>
      </c>
      <c r="T145" s="188">
        <f>IF(H145=1,M145+N145+P145+Q145,0)</f>
        <v/>
      </c>
      <c r="U145">
        <f>R145*'01_ВВОД'!$D$120</f>
        <v/>
      </c>
    </row>
    <row r="146">
      <c r="A146" s="200" t="n">
        <v>46407</v>
      </c>
      <c r="B146" s="201" t="n">
        <v>5</v>
      </c>
      <c r="C146" s="201" t="inlineStr">
        <is>
          <t>Янв-27</t>
        </is>
      </c>
      <c r="D146" s="201" t="n">
        <v>3</v>
      </c>
      <c r="E146" s="201" t="inlineStr">
        <is>
          <t>Ср</t>
        </is>
      </c>
      <c r="F146" s="199" t="n">
        <v>0</v>
      </c>
      <c r="G146" s="201" t="str"/>
      <c r="H146" s="193" t="n">
        <v>0</v>
      </c>
      <c r="I146" s="201" t="str"/>
      <c r="J146" s="188">
        <f>1</f>
        <v/>
      </c>
      <c r="K146" s="188">
        <f>IF(AND(D146&lt;=5,F146=0),1,0)</f>
        <v/>
      </c>
      <c r="L146" s="188">
        <f>IF(F146=1,'01_ВВОД'!$D$23,CHOOSE(D146,'01_ВВОД'!$D$19,'01_ВВОД'!$D$19,'01_ВВОД'!$D$19,'01_ВВОД'!$D$19,'01_ВВОД'!$D$20,'01_ВВОД'!$D$21,'01_ВВОД'!$D$22))</f>
        <v/>
      </c>
      <c r="M146" s="188">
        <f>L146*IF(H146=1,'01_ВВОД'!$D$118,1)</f>
        <v/>
      </c>
      <c r="N146" s="188">
        <f>IF(K146=1,'01_ВВОД'!$D$26,0)</f>
        <v/>
      </c>
      <c r="O146" s="188">
        <f>IF(F146=1,'01_ВВОД'!$D$34,IF(D146&lt;=5,'01_ВВОД'!$D$32,'01_ВВОД'!$D$33))</f>
        <v/>
      </c>
      <c r="P146" s="188">
        <f>O146</f>
        <v/>
      </c>
      <c r="Q146" s="188">
        <f>'01_ВВОД'!$D$40</f>
        <v/>
      </c>
      <c r="R146" s="188">
        <f>'01_ВВОД'!$D$46</f>
        <v/>
      </c>
      <c r="S146" s="188">
        <f>H146</f>
        <v/>
      </c>
      <c r="T146" s="188">
        <f>IF(H146=1,M146+N146+P146+Q146,0)</f>
        <v/>
      </c>
      <c r="U146">
        <f>R146*'01_ВВОД'!$D$120</f>
        <v/>
      </c>
    </row>
    <row r="147">
      <c r="A147" s="200" t="n">
        <v>46408</v>
      </c>
      <c r="B147" s="201" t="n">
        <v>5</v>
      </c>
      <c r="C147" s="201" t="inlineStr">
        <is>
          <t>Янв-27</t>
        </is>
      </c>
      <c r="D147" s="201" t="n">
        <v>4</v>
      </c>
      <c r="E147" s="201" t="inlineStr">
        <is>
          <t>Чт</t>
        </is>
      </c>
      <c r="F147" s="199" t="n">
        <v>0</v>
      </c>
      <c r="G147" s="201" t="str"/>
      <c r="H147" s="193" t="n">
        <v>0</v>
      </c>
      <c r="I147" s="201" t="str"/>
      <c r="J147" s="188">
        <f>1</f>
        <v/>
      </c>
      <c r="K147" s="188">
        <f>IF(AND(D147&lt;=5,F147=0),1,0)</f>
        <v/>
      </c>
      <c r="L147" s="188">
        <f>IF(F147=1,'01_ВВОД'!$D$23,CHOOSE(D147,'01_ВВОД'!$D$19,'01_ВВОД'!$D$19,'01_ВВОД'!$D$19,'01_ВВОД'!$D$19,'01_ВВОД'!$D$20,'01_ВВОД'!$D$21,'01_ВВОД'!$D$22))</f>
        <v/>
      </c>
      <c r="M147" s="188">
        <f>L147*IF(H147=1,'01_ВВОД'!$D$118,1)</f>
        <v/>
      </c>
      <c r="N147" s="188">
        <f>IF(K147=1,'01_ВВОД'!$D$26,0)</f>
        <v/>
      </c>
      <c r="O147" s="188">
        <f>IF(F147=1,'01_ВВОД'!$D$34,IF(D147&lt;=5,'01_ВВОД'!$D$32,'01_ВВОД'!$D$33))</f>
        <v/>
      </c>
      <c r="P147" s="188">
        <f>O147</f>
        <v/>
      </c>
      <c r="Q147" s="188">
        <f>'01_ВВОД'!$D$40</f>
        <v/>
      </c>
      <c r="R147" s="188">
        <f>'01_ВВОД'!$D$46</f>
        <v/>
      </c>
      <c r="S147" s="188">
        <f>H147</f>
        <v/>
      </c>
      <c r="T147" s="188">
        <f>IF(H147=1,M147+N147+P147+Q147,0)</f>
        <v/>
      </c>
      <c r="U147">
        <f>R147*'01_ВВОД'!$D$120</f>
        <v/>
      </c>
    </row>
    <row r="148">
      <c r="A148" s="200" t="n">
        <v>46409</v>
      </c>
      <c r="B148" s="201" t="n">
        <v>5</v>
      </c>
      <c r="C148" s="201" t="inlineStr">
        <is>
          <t>Янв-27</t>
        </is>
      </c>
      <c r="D148" s="201" t="n">
        <v>5</v>
      </c>
      <c r="E148" s="201" t="inlineStr">
        <is>
          <t>Пт</t>
        </is>
      </c>
      <c r="F148" s="199" t="n">
        <v>0</v>
      </c>
      <c r="G148" s="201" t="str"/>
      <c r="H148" s="193" t="n">
        <v>1</v>
      </c>
      <c r="I148" s="201" t="inlineStr">
        <is>
          <t>Пт–Вс</t>
        </is>
      </c>
      <c r="J148" s="188">
        <f>1</f>
        <v/>
      </c>
      <c r="K148" s="188">
        <f>IF(AND(D148&lt;=5,F148=0),1,0)</f>
        <v/>
      </c>
      <c r="L148" s="188">
        <f>IF(F148=1,'01_ВВОД'!$D$23,CHOOSE(D148,'01_ВВОД'!$D$19,'01_ВВОД'!$D$19,'01_ВВОД'!$D$19,'01_ВВОД'!$D$19,'01_ВВОД'!$D$20,'01_ВВОД'!$D$21,'01_ВВОД'!$D$22))</f>
        <v/>
      </c>
      <c r="M148" s="188">
        <f>L148*IF(H148=1,'01_ВВОД'!$D$118,1)</f>
        <v/>
      </c>
      <c r="N148" s="188">
        <f>IF(K148=1,'01_ВВОД'!$D$26,0)</f>
        <v/>
      </c>
      <c r="O148" s="188">
        <f>IF(F148=1,'01_ВВОД'!$D$34,IF(D148&lt;=5,'01_ВВОД'!$D$32,'01_ВВОД'!$D$33))</f>
        <v/>
      </c>
      <c r="P148" s="188">
        <f>O148</f>
        <v/>
      </c>
      <c r="Q148" s="188">
        <f>'01_ВВОД'!$D$40</f>
        <v/>
      </c>
      <c r="R148" s="188">
        <f>'01_ВВОД'!$D$46</f>
        <v/>
      </c>
      <c r="S148" s="188">
        <f>H148</f>
        <v/>
      </c>
      <c r="T148" s="188">
        <f>IF(H148=1,M148+N148+P148+Q148,0)</f>
        <v/>
      </c>
      <c r="U148">
        <f>R148*'01_ВВОД'!$D$120</f>
        <v/>
      </c>
    </row>
    <row r="149">
      <c r="A149" s="200" t="n">
        <v>46410</v>
      </c>
      <c r="B149" s="201" t="n">
        <v>5</v>
      </c>
      <c r="C149" s="201" t="inlineStr">
        <is>
          <t>Янв-27</t>
        </is>
      </c>
      <c r="D149" s="201" t="n">
        <v>6</v>
      </c>
      <c r="E149" s="201" t="inlineStr">
        <is>
          <t>Сб</t>
        </is>
      </c>
      <c r="F149" s="199" t="n">
        <v>0</v>
      </c>
      <c r="G149" s="201" t="str"/>
      <c r="H149" s="193" t="n">
        <v>0</v>
      </c>
      <c r="I149" s="201" t="str"/>
      <c r="J149" s="188">
        <f>1</f>
        <v/>
      </c>
      <c r="K149" s="188">
        <f>IF(AND(D149&lt;=5,F149=0),1,0)</f>
        <v/>
      </c>
      <c r="L149" s="188">
        <f>IF(F149=1,'01_ВВОД'!$D$23,CHOOSE(D149,'01_ВВОД'!$D$19,'01_ВВОД'!$D$19,'01_ВВОД'!$D$19,'01_ВВОД'!$D$19,'01_ВВОД'!$D$20,'01_ВВОД'!$D$21,'01_ВВОД'!$D$22))</f>
        <v/>
      </c>
      <c r="M149" s="188">
        <f>L149*IF(H149=1,'01_ВВОД'!$D$118,1)</f>
        <v/>
      </c>
      <c r="N149" s="188">
        <f>IF(K149=1,'01_ВВОД'!$D$26,0)</f>
        <v/>
      </c>
      <c r="O149" s="188">
        <f>IF(F149=1,'01_ВВОД'!$D$34,IF(D149&lt;=5,'01_ВВОД'!$D$32,'01_ВВОД'!$D$33))</f>
        <v/>
      </c>
      <c r="P149" s="188">
        <f>O149</f>
        <v/>
      </c>
      <c r="Q149" s="188">
        <f>'01_ВВОД'!$D$40</f>
        <v/>
      </c>
      <c r="R149" s="188">
        <f>'01_ВВОД'!$D$46</f>
        <v/>
      </c>
      <c r="S149" s="188">
        <f>H149</f>
        <v/>
      </c>
      <c r="T149" s="188">
        <f>IF(H149=1,M149+N149+P149+Q149,0)</f>
        <v/>
      </c>
      <c r="U149">
        <f>R149*'01_ВВОД'!$D$120</f>
        <v/>
      </c>
    </row>
    <row r="150">
      <c r="A150" s="200" t="n">
        <v>46411</v>
      </c>
      <c r="B150" s="201" t="n">
        <v>5</v>
      </c>
      <c r="C150" s="201" t="inlineStr">
        <is>
          <t>Янв-27</t>
        </is>
      </c>
      <c r="D150" s="201" t="n">
        <v>7</v>
      </c>
      <c r="E150" s="201" t="inlineStr">
        <is>
          <t>Вс</t>
        </is>
      </c>
      <c r="F150" s="199" t="n">
        <v>0</v>
      </c>
      <c r="G150" s="201" t="str"/>
      <c r="H150" s="193" t="n">
        <v>1</v>
      </c>
      <c r="I150" s="201" t="inlineStr">
        <is>
          <t>Пт–Вс</t>
        </is>
      </c>
      <c r="J150" s="188">
        <f>1</f>
        <v/>
      </c>
      <c r="K150" s="188">
        <f>IF(AND(D150&lt;=5,F150=0),1,0)</f>
        <v/>
      </c>
      <c r="L150" s="188">
        <f>IF(F150=1,'01_ВВОД'!$D$23,CHOOSE(D150,'01_ВВОД'!$D$19,'01_ВВОД'!$D$19,'01_ВВОД'!$D$19,'01_ВВОД'!$D$19,'01_ВВОД'!$D$20,'01_ВВОД'!$D$21,'01_ВВОД'!$D$22))</f>
        <v/>
      </c>
      <c r="M150" s="188">
        <f>L150*IF(H150=1,'01_ВВОД'!$D$118,1)</f>
        <v/>
      </c>
      <c r="N150" s="188">
        <f>IF(K150=1,'01_ВВОД'!$D$26,0)</f>
        <v/>
      </c>
      <c r="O150" s="188">
        <f>IF(F150=1,'01_ВВОД'!$D$34,IF(D150&lt;=5,'01_ВВОД'!$D$32,'01_ВВОД'!$D$33))</f>
        <v/>
      </c>
      <c r="P150" s="188">
        <f>O150</f>
        <v/>
      </c>
      <c r="Q150" s="188">
        <f>'01_ВВОД'!$D$40</f>
        <v/>
      </c>
      <c r="R150" s="188">
        <f>'01_ВВОД'!$D$46</f>
        <v/>
      </c>
      <c r="S150" s="188">
        <f>H150</f>
        <v/>
      </c>
      <c r="T150" s="188">
        <f>IF(H150=1,M150+N150+P150+Q150,0)</f>
        <v/>
      </c>
      <c r="U150">
        <f>R150*'01_ВВОД'!$D$120</f>
        <v/>
      </c>
    </row>
    <row r="151">
      <c r="A151" s="200" t="n">
        <v>46412</v>
      </c>
      <c r="B151" s="201" t="n">
        <v>5</v>
      </c>
      <c r="C151" s="201" t="inlineStr">
        <is>
          <t>Янв-27</t>
        </is>
      </c>
      <c r="D151" s="201" t="n">
        <v>1</v>
      </c>
      <c r="E151" s="201" t="inlineStr">
        <is>
          <t>Пн</t>
        </is>
      </c>
      <c r="F151" s="199" t="n">
        <v>0</v>
      </c>
      <c r="G151" s="201" t="str"/>
      <c r="H151" s="193" t="n">
        <v>0</v>
      </c>
      <c r="I151" s="201" t="str"/>
      <c r="J151" s="188">
        <f>1</f>
        <v/>
      </c>
      <c r="K151" s="188">
        <f>IF(AND(D151&lt;=5,F151=0),1,0)</f>
        <v/>
      </c>
      <c r="L151" s="188">
        <f>IF(F151=1,'01_ВВОД'!$D$23,CHOOSE(D151,'01_ВВОД'!$D$19,'01_ВВОД'!$D$19,'01_ВВОД'!$D$19,'01_ВВОД'!$D$19,'01_ВВОД'!$D$20,'01_ВВОД'!$D$21,'01_ВВОД'!$D$22))</f>
        <v/>
      </c>
      <c r="M151" s="188">
        <f>L151*IF(H151=1,'01_ВВОД'!$D$118,1)</f>
        <v/>
      </c>
      <c r="N151" s="188">
        <f>IF(K151=1,'01_ВВОД'!$D$26,0)</f>
        <v/>
      </c>
      <c r="O151" s="188">
        <f>IF(F151=1,'01_ВВОД'!$D$34,IF(D151&lt;=5,'01_ВВОД'!$D$32,'01_ВВОД'!$D$33))</f>
        <v/>
      </c>
      <c r="P151" s="188">
        <f>O151</f>
        <v/>
      </c>
      <c r="Q151" s="188">
        <f>'01_ВВОД'!$D$40</f>
        <v/>
      </c>
      <c r="R151" s="188">
        <f>'01_ВВОД'!$D$46</f>
        <v/>
      </c>
      <c r="S151" s="188">
        <f>H151</f>
        <v/>
      </c>
      <c r="T151" s="188">
        <f>IF(H151=1,M151+N151+P151+Q151,0)</f>
        <v/>
      </c>
      <c r="U151">
        <f>R151*'01_ВВОД'!$D$120</f>
        <v/>
      </c>
    </row>
    <row r="152">
      <c r="A152" s="200" t="n">
        <v>46413</v>
      </c>
      <c r="B152" s="201" t="n">
        <v>5</v>
      </c>
      <c r="C152" s="201" t="inlineStr">
        <is>
          <t>Янв-27</t>
        </is>
      </c>
      <c r="D152" s="201" t="n">
        <v>2</v>
      </c>
      <c r="E152" s="201" t="inlineStr">
        <is>
          <t>Вт</t>
        </is>
      </c>
      <c r="F152" s="199" t="n">
        <v>0</v>
      </c>
      <c r="G152" s="201" t="str"/>
      <c r="H152" s="193" t="n">
        <v>0</v>
      </c>
      <c r="I152" s="201" t="str"/>
      <c r="J152" s="188">
        <f>1</f>
        <v/>
      </c>
      <c r="K152" s="188">
        <f>IF(AND(D152&lt;=5,F152=0),1,0)</f>
        <v/>
      </c>
      <c r="L152" s="188">
        <f>IF(F152=1,'01_ВВОД'!$D$23,CHOOSE(D152,'01_ВВОД'!$D$19,'01_ВВОД'!$D$19,'01_ВВОД'!$D$19,'01_ВВОД'!$D$19,'01_ВВОД'!$D$20,'01_ВВОД'!$D$21,'01_ВВОД'!$D$22))</f>
        <v/>
      </c>
      <c r="M152" s="188">
        <f>L152*IF(H152=1,'01_ВВОД'!$D$118,1)</f>
        <v/>
      </c>
      <c r="N152" s="188">
        <f>IF(K152=1,'01_ВВОД'!$D$26,0)</f>
        <v/>
      </c>
      <c r="O152" s="188">
        <f>IF(F152=1,'01_ВВОД'!$D$34,IF(D152&lt;=5,'01_ВВОД'!$D$32,'01_ВВОД'!$D$33))</f>
        <v/>
      </c>
      <c r="P152" s="188">
        <f>O152</f>
        <v/>
      </c>
      <c r="Q152" s="188">
        <f>'01_ВВОД'!$D$40</f>
        <v/>
      </c>
      <c r="R152" s="188">
        <f>'01_ВВОД'!$D$46</f>
        <v/>
      </c>
      <c r="S152" s="188">
        <f>H152</f>
        <v/>
      </c>
      <c r="T152" s="188">
        <f>IF(H152=1,M152+N152+P152+Q152,0)</f>
        <v/>
      </c>
      <c r="U152">
        <f>R152*'01_ВВОД'!$D$120</f>
        <v/>
      </c>
    </row>
    <row r="153">
      <c r="A153" s="200" t="n">
        <v>46414</v>
      </c>
      <c r="B153" s="201" t="n">
        <v>5</v>
      </c>
      <c r="C153" s="201" t="inlineStr">
        <is>
          <t>Янв-27</t>
        </is>
      </c>
      <c r="D153" s="201" t="n">
        <v>3</v>
      </c>
      <c r="E153" s="201" t="inlineStr">
        <is>
          <t>Ср</t>
        </is>
      </c>
      <c r="F153" s="199" t="n">
        <v>0</v>
      </c>
      <c r="G153" s="201" t="str"/>
      <c r="H153" s="193" t="n">
        <v>0</v>
      </c>
      <c r="I153" s="201" t="str"/>
      <c r="J153" s="188">
        <f>1</f>
        <v/>
      </c>
      <c r="K153" s="188">
        <f>IF(AND(D153&lt;=5,F153=0),1,0)</f>
        <v/>
      </c>
      <c r="L153" s="188">
        <f>IF(F153=1,'01_ВВОД'!$D$23,CHOOSE(D153,'01_ВВОД'!$D$19,'01_ВВОД'!$D$19,'01_ВВОД'!$D$19,'01_ВВОД'!$D$19,'01_ВВОД'!$D$20,'01_ВВОД'!$D$21,'01_ВВОД'!$D$22))</f>
        <v/>
      </c>
      <c r="M153" s="188">
        <f>L153*IF(H153=1,'01_ВВОД'!$D$118,1)</f>
        <v/>
      </c>
      <c r="N153" s="188">
        <f>IF(K153=1,'01_ВВОД'!$D$26,0)</f>
        <v/>
      </c>
      <c r="O153" s="188">
        <f>IF(F153=1,'01_ВВОД'!$D$34,IF(D153&lt;=5,'01_ВВОД'!$D$32,'01_ВВОД'!$D$33))</f>
        <v/>
      </c>
      <c r="P153" s="188">
        <f>O153</f>
        <v/>
      </c>
      <c r="Q153" s="188">
        <f>'01_ВВОД'!$D$40</f>
        <v/>
      </c>
      <c r="R153" s="188">
        <f>'01_ВВОД'!$D$46</f>
        <v/>
      </c>
      <c r="S153" s="188">
        <f>H153</f>
        <v/>
      </c>
      <c r="T153" s="188">
        <f>IF(H153=1,M153+N153+P153+Q153,0)</f>
        <v/>
      </c>
      <c r="U153">
        <f>R153*'01_ВВОД'!$D$120</f>
        <v/>
      </c>
    </row>
    <row r="154">
      <c r="A154" s="200" t="n">
        <v>46415</v>
      </c>
      <c r="B154" s="201" t="n">
        <v>5</v>
      </c>
      <c r="C154" s="201" t="inlineStr">
        <is>
          <t>Янв-27</t>
        </is>
      </c>
      <c r="D154" s="201" t="n">
        <v>4</v>
      </c>
      <c r="E154" s="201" t="inlineStr">
        <is>
          <t>Чт</t>
        </is>
      </c>
      <c r="F154" s="199" t="n">
        <v>0</v>
      </c>
      <c r="G154" s="201" t="str"/>
      <c r="H154" s="193" t="n">
        <v>0</v>
      </c>
      <c r="I154" s="201" t="str"/>
      <c r="J154" s="188">
        <f>1</f>
        <v/>
      </c>
      <c r="K154" s="188">
        <f>IF(AND(D154&lt;=5,F154=0),1,0)</f>
        <v/>
      </c>
      <c r="L154" s="188">
        <f>IF(F154=1,'01_ВВОД'!$D$23,CHOOSE(D154,'01_ВВОД'!$D$19,'01_ВВОД'!$D$19,'01_ВВОД'!$D$19,'01_ВВОД'!$D$19,'01_ВВОД'!$D$20,'01_ВВОД'!$D$21,'01_ВВОД'!$D$22))</f>
        <v/>
      </c>
      <c r="M154" s="188">
        <f>L154*IF(H154=1,'01_ВВОД'!$D$118,1)</f>
        <v/>
      </c>
      <c r="N154" s="188">
        <f>IF(K154=1,'01_ВВОД'!$D$26,0)</f>
        <v/>
      </c>
      <c r="O154" s="188">
        <f>IF(F154=1,'01_ВВОД'!$D$34,IF(D154&lt;=5,'01_ВВОД'!$D$32,'01_ВВОД'!$D$33))</f>
        <v/>
      </c>
      <c r="P154" s="188">
        <f>O154</f>
        <v/>
      </c>
      <c r="Q154" s="188">
        <f>'01_ВВОД'!$D$40</f>
        <v/>
      </c>
      <c r="R154" s="188">
        <f>'01_ВВОД'!$D$46</f>
        <v/>
      </c>
      <c r="S154" s="188">
        <f>H154</f>
        <v/>
      </c>
      <c r="T154" s="188">
        <f>IF(H154=1,M154+N154+P154+Q154,0)</f>
        <v/>
      </c>
      <c r="U154">
        <f>R154*'01_ВВОД'!$D$120</f>
        <v/>
      </c>
    </row>
    <row r="155">
      <c r="A155" s="200" t="n">
        <v>46416</v>
      </c>
      <c r="B155" s="201" t="n">
        <v>5</v>
      </c>
      <c r="C155" s="201" t="inlineStr">
        <is>
          <t>Янв-27</t>
        </is>
      </c>
      <c r="D155" s="201" t="n">
        <v>5</v>
      </c>
      <c r="E155" s="201" t="inlineStr">
        <is>
          <t>Пт</t>
        </is>
      </c>
      <c r="F155" s="199" t="n">
        <v>0</v>
      </c>
      <c r="G155" s="201" t="str"/>
      <c r="H155" s="193" t="n">
        <v>0</v>
      </c>
      <c r="I155" s="201" t="str"/>
      <c r="J155" s="188">
        <f>1</f>
        <v/>
      </c>
      <c r="K155" s="188">
        <f>IF(AND(D155&lt;=5,F155=0),1,0)</f>
        <v/>
      </c>
      <c r="L155" s="188">
        <f>IF(F155=1,'01_ВВОД'!$D$23,CHOOSE(D155,'01_ВВОД'!$D$19,'01_ВВОД'!$D$19,'01_ВВОД'!$D$19,'01_ВВОД'!$D$19,'01_ВВОД'!$D$20,'01_ВВОД'!$D$21,'01_ВВОД'!$D$22))</f>
        <v/>
      </c>
      <c r="M155" s="188">
        <f>L155*IF(H155=1,'01_ВВОД'!$D$118,1)</f>
        <v/>
      </c>
      <c r="N155" s="188">
        <f>IF(K155=1,'01_ВВОД'!$D$26,0)</f>
        <v/>
      </c>
      <c r="O155" s="188">
        <f>IF(F155=1,'01_ВВОД'!$D$34,IF(D155&lt;=5,'01_ВВОД'!$D$32,'01_ВВОД'!$D$33))</f>
        <v/>
      </c>
      <c r="P155" s="188">
        <f>O155</f>
        <v/>
      </c>
      <c r="Q155" s="188">
        <f>'01_ВВОД'!$D$40</f>
        <v/>
      </c>
      <c r="R155" s="188">
        <f>'01_ВВОД'!$D$46</f>
        <v/>
      </c>
      <c r="S155" s="188">
        <f>H155</f>
        <v/>
      </c>
      <c r="T155" s="188">
        <f>IF(H155=1,M155+N155+P155+Q155,0)</f>
        <v/>
      </c>
      <c r="U155">
        <f>R155*'01_ВВОД'!$D$120</f>
        <v/>
      </c>
    </row>
    <row r="156">
      <c r="A156" s="200" t="n">
        <v>46417</v>
      </c>
      <c r="B156" s="201" t="n">
        <v>5</v>
      </c>
      <c r="C156" s="201" t="inlineStr">
        <is>
          <t>Янв-27</t>
        </is>
      </c>
      <c r="D156" s="201" t="n">
        <v>6</v>
      </c>
      <c r="E156" s="201" t="inlineStr">
        <is>
          <t>Сб</t>
        </is>
      </c>
      <c r="F156" s="199" t="n">
        <v>0</v>
      </c>
      <c r="G156" s="201" t="str"/>
      <c r="H156" s="193" t="n">
        <v>0</v>
      </c>
      <c r="I156" s="201" t="str"/>
      <c r="J156" s="188">
        <f>1</f>
        <v/>
      </c>
      <c r="K156" s="188">
        <f>IF(AND(D156&lt;=5,F156=0),1,0)</f>
        <v/>
      </c>
      <c r="L156" s="188">
        <f>IF(F156=1,'01_ВВОД'!$D$23,CHOOSE(D156,'01_ВВОД'!$D$19,'01_ВВОД'!$D$19,'01_ВВОД'!$D$19,'01_ВВОД'!$D$19,'01_ВВОД'!$D$20,'01_ВВОД'!$D$21,'01_ВВОД'!$D$22))</f>
        <v/>
      </c>
      <c r="M156" s="188">
        <f>L156*IF(H156=1,'01_ВВОД'!$D$118,1)</f>
        <v/>
      </c>
      <c r="N156" s="188">
        <f>IF(K156=1,'01_ВВОД'!$D$26,0)</f>
        <v/>
      </c>
      <c r="O156" s="188">
        <f>IF(F156=1,'01_ВВОД'!$D$34,IF(D156&lt;=5,'01_ВВОД'!$D$32,'01_ВВОД'!$D$33))</f>
        <v/>
      </c>
      <c r="P156" s="188">
        <f>O156</f>
        <v/>
      </c>
      <c r="Q156" s="188">
        <f>'01_ВВОД'!$D$40</f>
        <v/>
      </c>
      <c r="R156" s="188">
        <f>'01_ВВОД'!$D$46</f>
        <v/>
      </c>
      <c r="S156" s="188">
        <f>H156</f>
        <v/>
      </c>
      <c r="T156" s="188">
        <f>IF(H156=1,M156+N156+P156+Q156,0)</f>
        <v/>
      </c>
      <c r="U156">
        <f>R156*'01_ВВОД'!$D$120</f>
        <v/>
      </c>
    </row>
    <row r="157">
      <c r="A157" s="200" t="n">
        <v>46418</v>
      </c>
      <c r="B157" s="201" t="n">
        <v>5</v>
      </c>
      <c r="C157" s="201" t="inlineStr">
        <is>
          <t>Янв-27</t>
        </is>
      </c>
      <c r="D157" s="201" t="n">
        <v>7</v>
      </c>
      <c r="E157" s="201" t="inlineStr">
        <is>
          <t>Вс</t>
        </is>
      </c>
      <c r="F157" s="199" t="n">
        <v>0</v>
      </c>
      <c r="G157" s="201" t="str"/>
      <c r="H157" s="193" t="n">
        <v>1</v>
      </c>
      <c r="I157" s="201" t="inlineStr">
        <is>
          <t>Пт–Вс</t>
        </is>
      </c>
      <c r="J157" s="188">
        <f>1</f>
        <v/>
      </c>
      <c r="K157" s="188">
        <f>IF(AND(D157&lt;=5,F157=0),1,0)</f>
        <v/>
      </c>
      <c r="L157" s="188">
        <f>IF(F157=1,'01_ВВОД'!$D$23,CHOOSE(D157,'01_ВВОД'!$D$19,'01_ВВОД'!$D$19,'01_ВВОД'!$D$19,'01_ВВОД'!$D$19,'01_ВВОД'!$D$20,'01_ВВОД'!$D$21,'01_ВВОД'!$D$22))</f>
        <v/>
      </c>
      <c r="M157" s="188">
        <f>L157*IF(H157=1,'01_ВВОД'!$D$118,1)</f>
        <v/>
      </c>
      <c r="N157" s="188">
        <f>IF(K157=1,'01_ВВОД'!$D$26,0)</f>
        <v/>
      </c>
      <c r="O157" s="188">
        <f>IF(F157=1,'01_ВВОД'!$D$34,IF(D157&lt;=5,'01_ВВОД'!$D$32,'01_ВВОД'!$D$33))</f>
        <v/>
      </c>
      <c r="P157" s="188">
        <f>O157</f>
        <v/>
      </c>
      <c r="Q157" s="188">
        <f>'01_ВВОД'!$D$40</f>
        <v/>
      </c>
      <c r="R157" s="188">
        <f>'01_ВВОД'!$D$46</f>
        <v/>
      </c>
      <c r="S157" s="188">
        <f>H157</f>
        <v/>
      </c>
      <c r="T157" s="188">
        <f>IF(H157=1,M157+N157+P157+Q157,0)</f>
        <v/>
      </c>
      <c r="U157">
        <f>R157*'01_ВВОД'!$D$120</f>
        <v/>
      </c>
    </row>
    <row r="158">
      <c r="A158" s="200" t="n">
        <v>46419</v>
      </c>
      <c r="B158" s="201" t="n">
        <v>6</v>
      </c>
      <c r="C158" s="201" t="inlineStr">
        <is>
          <t>Фев-27</t>
        </is>
      </c>
      <c r="D158" s="201" t="n">
        <v>1</v>
      </c>
      <c r="E158" s="201" t="inlineStr">
        <is>
          <t>Пн</t>
        </is>
      </c>
      <c r="F158" s="199" t="n">
        <v>0</v>
      </c>
      <c r="G158" s="201" t="str"/>
      <c r="H158" s="193" t="n">
        <v>0</v>
      </c>
      <c r="I158" s="201" t="str"/>
      <c r="J158" s="188">
        <f>1</f>
        <v/>
      </c>
      <c r="K158" s="188">
        <f>IF(AND(D158&lt;=5,F158=0),1,0)</f>
        <v/>
      </c>
      <c r="L158" s="188">
        <f>IF(F158=1,'01_ВВОД'!$D$23,CHOOSE(D158,'01_ВВОД'!$D$19,'01_ВВОД'!$D$19,'01_ВВОД'!$D$19,'01_ВВОД'!$D$19,'01_ВВОД'!$D$20,'01_ВВОД'!$D$21,'01_ВВОД'!$D$22))</f>
        <v/>
      </c>
      <c r="M158" s="188">
        <f>L158*IF(H158=1,'01_ВВОД'!$D$118,1)</f>
        <v/>
      </c>
      <c r="N158" s="188">
        <f>IF(K158=1,'01_ВВОД'!$D$26,0)</f>
        <v/>
      </c>
      <c r="O158" s="188">
        <f>IF(F158=1,'01_ВВОД'!$D$34,IF(D158&lt;=5,'01_ВВОД'!$D$32,'01_ВВОД'!$D$33))</f>
        <v/>
      </c>
      <c r="P158" s="188">
        <f>O158</f>
        <v/>
      </c>
      <c r="Q158" s="188">
        <f>'01_ВВОД'!$D$40</f>
        <v/>
      </c>
      <c r="R158" s="188">
        <f>'01_ВВОД'!$D$46</f>
        <v/>
      </c>
      <c r="S158" s="188">
        <f>H158</f>
        <v/>
      </c>
      <c r="T158" s="188">
        <f>IF(H158=1,M158+N158+P158+Q158,0)</f>
        <v/>
      </c>
      <c r="U158">
        <f>R158*'01_ВВОД'!$D$120</f>
        <v/>
      </c>
    </row>
    <row r="159">
      <c r="A159" s="200" t="n">
        <v>46420</v>
      </c>
      <c r="B159" s="201" t="n">
        <v>6</v>
      </c>
      <c r="C159" s="201" t="inlineStr">
        <is>
          <t>Фев-27</t>
        </is>
      </c>
      <c r="D159" s="201" t="n">
        <v>2</v>
      </c>
      <c r="E159" s="201" t="inlineStr">
        <is>
          <t>Вт</t>
        </is>
      </c>
      <c r="F159" s="199" t="n">
        <v>0</v>
      </c>
      <c r="G159" s="201" t="str"/>
      <c r="H159" s="193" t="n">
        <v>0</v>
      </c>
      <c r="I159" s="201" t="str"/>
      <c r="J159" s="188">
        <f>1</f>
        <v/>
      </c>
      <c r="K159" s="188">
        <f>IF(AND(D159&lt;=5,F159=0),1,0)</f>
        <v/>
      </c>
      <c r="L159" s="188">
        <f>IF(F159=1,'01_ВВОД'!$D$23,CHOOSE(D159,'01_ВВОД'!$D$19,'01_ВВОД'!$D$19,'01_ВВОД'!$D$19,'01_ВВОД'!$D$19,'01_ВВОД'!$D$20,'01_ВВОД'!$D$21,'01_ВВОД'!$D$22))</f>
        <v/>
      </c>
      <c r="M159" s="188">
        <f>L159*IF(H159=1,'01_ВВОД'!$D$118,1)</f>
        <v/>
      </c>
      <c r="N159" s="188">
        <f>IF(K159=1,'01_ВВОД'!$D$26,0)</f>
        <v/>
      </c>
      <c r="O159" s="188">
        <f>IF(F159=1,'01_ВВОД'!$D$34,IF(D159&lt;=5,'01_ВВОД'!$D$32,'01_ВВОД'!$D$33))</f>
        <v/>
      </c>
      <c r="P159" s="188">
        <f>O159</f>
        <v/>
      </c>
      <c r="Q159" s="188">
        <f>'01_ВВОД'!$D$40</f>
        <v/>
      </c>
      <c r="R159" s="188">
        <f>'01_ВВОД'!$D$46</f>
        <v/>
      </c>
      <c r="S159" s="188">
        <f>H159</f>
        <v/>
      </c>
      <c r="T159" s="188">
        <f>IF(H159=1,M159+N159+P159+Q159,0)</f>
        <v/>
      </c>
      <c r="U159">
        <f>R159*'01_ВВОД'!$D$120</f>
        <v/>
      </c>
    </row>
    <row r="160">
      <c r="A160" s="200" t="n">
        <v>46421</v>
      </c>
      <c r="B160" s="201" t="n">
        <v>6</v>
      </c>
      <c r="C160" s="201" t="inlineStr">
        <is>
          <t>Фев-27</t>
        </is>
      </c>
      <c r="D160" s="201" t="n">
        <v>3</v>
      </c>
      <c r="E160" s="201" t="inlineStr">
        <is>
          <t>Ср</t>
        </is>
      </c>
      <c r="F160" s="199" t="n">
        <v>0</v>
      </c>
      <c r="G160" s="201" t="str"/>
      <c r="H160" s="193" t="n">
        <v>0</v>
      </c>
      <c r="I160" s="201" t="str"/>
      <c r="J160" s="188">
        <f>1</f>
        <v/>
      </c>
      <c r="K160" s="188">
        <f>IF(AND(D160&lt;=5,F160=0),1,0)</f>
        <v/>
      </c>
      <c r="L160" s="188">
        <f>IF(F160=1,'01_ВВОД'!$D$23,CHOOSE(D160,'01_ВВОД'!$D$19,'01_ВВОД'!$D$19,'01_ВВОД'!$D$19,'01_ВВОД'!$D$19,'01_ВВОД'!$D$20,'01_ВВОД'!$D$21,'01_ВВОД'!$D$22))</f>
        <v/>
      </c>
      <c r="M160" s="188">
        <f>L160*IF(H160=1,'01_ВВОД'!$D$118,1)</f>
        <v/>
      </c>
      <c r="N160" s="188">
        <f>IF(K160=1,'01_ВВОД'!$D$26,0)</f>
        <v/>
      </c>
      <c r="O160" s="188">
        <f>IF(F160=1,'01_ВВОД'!$D$34,IF(D160&lt;=5,'01_ВВОД'!$D$32,'01_ВВОД'!$D$33))</f>
        <v/>
      </c>
      <c r="P160" s="188">
        <f>O160</f>
        <v/>
      </c>
      <c r="Q160" s="188">
        <f>'01_ВВОД'!$D$40</f>
        <v/>
      </c>
      <c r="R160" s="188">
        <f>'01_ВВОД'!$D$46</f>
        <v/>
      </c>
      <c r="S160" s="188">
        <f>H160</f>
        <v/>
      </c>
      <c r="T160" s="188">
        <f>IF(H160=1,M160+N160+P160+Q160,0)</f>
        <v/>
      </c>
      <c r="U160">
        <f>R160*'01_ВВОД'!$D$120</f>
        <v/>
      </c>
    </row>
    <row r="161">
      <c r="A161" s="200" t="n">
        <v>46422</v>
      </c>
      <c r="B161" s="201" t="n">
        <v>6</v>
      </c>
      <c r="C161" s="201" t="inlineStr">
        <is>
          <t>Фев-27</t>
        </is>
      </c>
      <c r="D161" s="201" t="n">
        <v>4</v>
      </c>
      <c r="E161" s="201" t="inlineStr">
        <is>
          <t>Чт</t>
        </is>
      </c>
      <c r="F161" s="199" t="n">
        <v>0</v>
      </c>
      <c r="G161" s="201" t="str"/>
      <c r="H161" s="193" t="n">
        <v>0</v>
      </c>
      <c r="I161" s="201" t="str"/>
      <c r="J161" s="188">
        <f>1</f>
        <v/>
      </c>
      <c r="K161" s="188">
        <f>IF(AND(D161&lt;=5,F161=0),1,0)</f>
        <v/>
      </c>
      <c r="L161" s="188">
        <f>IF(F161=1,'01_ВВОД'!$D$23,CHOOSE(D161,'01_ВВОД'!$D$19,'01_ВВОД'!$D$19,'01_ВВОД'!$D$19,'01_ВВОД'!$D$19,'01_ВВОД'!$D$20,'01_ВВОД'!$D$21,'01_ВВОД'!$D$22))</f>
        <v/>
      </c>
      <c r="M161" s="188">
        <f>L161*IF(H161=1,'01_ВВОД'!$D$118,1)</f>
        <v/>
      </c>
      <c r="N161" s="188">
        <f>IF(K161=1,'01_ВВОД'!$D$26,0)</f>
        <v/>
      </c>
      <c r="O161" s="188">
        <f>IF(F161=1,'01_ВВОД'!$D$34,IF(D161&lt;=5,'01_ВВОД'!$D$32,'01_ВВОД'!$D$33))</f>
        <v/>
      </c>
      <c r="P161" s="188">
        <f>O161</f>
        <v/>
      </c>
      <c r="Q161" s="188">
        <f>'01_ВВОД'!$D$40</f>
        <v/>
      </c>
      <c r="R161" s="188">
        <f>'01_ВВОД'!$D$46</f>
        <v/>
      </c>
      <c r="S161" s="188">
        <f>H161</f>
        <v/>
      </c>
      <c r="T161" s="188">
        <f>IF(H161=1,M161+N161+P161+Q161,0)</f>
        <v/>
      </c>
      <c r="U161">
        <f>R161*'01_ВВОД'!$D$120</f>
        <v/>
      </c>
    </row>
    <row r="162">
      <c r="A162" s="200" t="n">
        <v>46423</v>
      </c>
      <c r="B162" s="201" t="n">
        <v>6</v>
      </c>
      <c r="C162" s="201" t="inlineStr">
        <is>
          <t>Фев-27</t>
        </is>
      </c>
      <c r="D162" s="201" t="n">
        <v>5</v>
      </c>
      <c r="E162" s="201" t="inlineStr">
        <is>
          <t>Пт</t>
        </is>
      </c>
      <c r="F162" s="199" t="n">
        <v>0</v>
      </c>
      <c r="G162" s="201" t="str"/>
      <c r="H162" s="193" t="n">
        <v>0</v>
      </c>
      <c r="I162" s="201" t="str"/>
      <c r="J162" s="188">
        <f>1</f>
        <v/>
      </c>
      <c r="K162" s="188">
        <f>IF(AND(D162&lt;=5,F162=0),1,0)</f>
        <v/>
      </c>
      <c r="L162" s="188">
        <f>IF(F162=1,'01_ВВОД'!$D$23,CHOOSE(D162,'01_ВВОД'!$D$19,'01_ВВОД'!$D$19,'01_ВВОД'!$D$19,'01_ВВОД'!$D$19,'01_ВВОД'!$D$20,'01_ВВОД'!$D$21,'01_ВВОД'!$D$22))</f>
        <v/>
      </c>
      <c r="M162" s="188">
        <f>L162*IF(H162=1,'01_ВВОД'!$D$118,1)</f>
        <v/>
      </c>
      <c r="N162" s="188">
        <f>IF(K162=1,'01_ВВОД'!$D$26,0)</f>
        <v/>
      </c>
      <c r="O162" s="188">
        <f>IF(F162=1,'01_ВВОД'!$D$34,IF(D162&lt;=5,'01_ВВОД'!$D$32,'01_ВВОД'!$D$33))</f>
        <v/>
      </c>
      <c r="P162" s="188">
        <f>O162</f>
        <v/>
      </c>
      <c r="Q162" s="188">
        <f>'01_ВВОД'!$D$40</f>
        <v/>
      </c>
      <c r="R162" s="188">
        <f>'01_ВВОД'!$D$46</f>
        <v/>
      </c>
      <c r="S162" s="188">
        <f>H162</f>
        <v/>
      </c>
      <c r="T162" s="188">
        <f>IF(H162=1,M162+N162+P162+Q162,0)</f>
        <v/>
      </c>
      <c r="U162">
        <f>R162*'01_ВВОД'!$D$120</f>
        <v/>
      </c>
    </row>
    <row r="163">
      <c r="A163" s="200" t="n">
        <v>46424</v>
      </c>
      <c r="B163" s="201" t="n">
        <v>6</v>
      </c>
      <c r="C163" s="201" t="inlineStr">
        <is>
          <t>Фев-27</t>
        </is>
      </c>
      <c r="D163" s="201" t="n">
        <v>6</v>
      </c>
      <c r="E163" s="201" t="inlineStr">
        <is>
          <t>Сб</t>
        </is>
      </c>
      <c r="F163" s="199" t="n">
        <v>0</v>
      </c>
      <c r="G163" s="201" t="str"/>
      <c r="H163" s="193" t="n">
        <v>0</v>
      </c>
      <c r="I163" s="201" t="str"/>
      <c r="J163" s="188">
        <f>1</f>
        <v/>
      </c>
      <c r="K163" s="188">
        <f>IF(AND(D163&lt;=5,F163=0),1,0)</f>
        <v/>
      </c>
      <c r="L163" s="188">
        <f>IF(F163=1,'01_ВВОД'!$D$23,CHOOSE(D163,'01_ВВОД'!$D$19,'01_ВВОД'!$D$19,'01_ВВОД'!$D$19,'01_ВВОД'!$D$19,'01_ВВОД'!$D$20,'01_ВВОД'!$D$21,'01_ВВОД'!$D$22))</f>
        <v/>
      </c>
      <c r="M163" s="188">
        <f>L163*IF(H163=1,'01_ВВОД'!$D$118,1)</f>
        <v/>
      </c>
      <c r="N163" s="188">
        <f>IF(K163=1,'01_ВВОД'!$D$26,0)</f>
        <v/>
      </c>
      <c r="O163" s="188">
        <f>IF(F163=1,'01_ВВОД'!$D$34,IF(D163&lt;=5,'01_ВВОД'!$D$32,'01_ВВОД'!$D$33))</f>
        <v/>
      </c>
      <c r="P163" s="188">
        <f>O163</f>
        <v/>
      </c>
      <c r="Q163" s="188">
        <f>'01_ВВОД'!$D$40</f>
        <v/>
      </c>
      <c r="R163" s="188">
        <f>'01_ВВОД'!$D$46</f>
        <v/>
      </c>
      <c r="S163" s="188">
        <f>H163</f>
        <v/>
      </c>
      <c r="T163" s="188">
        <f>IF(H163=1,M163+N163+P163+Q163,0)</f>
        <v/>
      </c>
      <c r="U163">
        <f>R163*'01_ВВОД'!$D$120</f>
        <v/>
      </c>
    </row>
    <row r="164">
      <c r="A164" s="200" t="n">
        <v>46425</v>
      </c>
      <c r="B164" s="201" t="n">
        <v>6</v>
      </c>
      <c r="C164" s="201" t="inlineStr">
        <is>
          <t>Фев-27</t>
        </is>
      </c>
      <c r="D164" s="201" t="n">
        <v>7</v>
      </c>
      <c r="E164" s="201" t="inlineStr">
        <is>
          <t>Вс</t>
        </is>
      </c>
      <c r="F164" s="199" t="n">
        <v>0</v>
      </c>
      <c r="G164" s="201" t="str"/>
      <c r="H164" s="193" t="n">
        <v>1</v>
      </c>
      <c r="I164" s="201" t="inlineStr">
        <is>
          <t>Пт–Вс</t>
        </is>
      </c>
      <c r="J164" s="188">
        <f>1</f>
        <v/>
      </c>
      <c r="K164" s="188">
        <f>IF(AND(D164&lt;=5,F164=0),1,0)</f>
        <v/>
      </c>
      <c r="L164" s="188">
        <f>IF(F164=1,'01_ВВОД'!$D$23,CHOOSE(D164,'01_ВВОД'!$D$19,'01_ВВОД'!$D$19,'01_ВВОД'!$D$19,'01_ВВОД'!$D$19,'01_ВВОД'!$D$20,'01_ВВОД'!$D$21,'01_ВВОД'!$D$22))</f>
        <v/>
      </c>
      <c r="M164" s="188">
        <f>L164*IF(H164=1,'01_ВВОД'!$D$118,1)</f>
        <v/>
      </c>
      <c r="N164" s="188">
        <f>IF(K164=1,'01_ВВОД'!$D$26,0)</f>
        <v/>
      </c>
      <c r="O164" s="188">
        <f>IF(F164=1,'01_ВВОД'!$D$34,IF(D164&lt;=5,'01_ВВОД'!$D$32,'01_ВВОД'!$D$33))</f>
        <v/>
      </c>
      <c r="P164" s="188">
        <f>O164</f>
        <v/>
      </c>
      <c r="Q164" s="188">
        <f>'01_ВВОД'!$D$40</f>
        <v/>
      </c>
      <c r="R164" s="188">
        <f>'01_ВВОД'!$D$46</f>
        <v/>
      </c>
      <c r="S164" s="188">
        <f>H164</f>
        <v/>
      </c>
      <c r="T164" s="188">
        <f>IF(H164=1,M164+N164+P164+Q164,0)</f>
        <v/>
      </c>
      <c r="U164">
        <f>R164*'01_ВВОД'!$D$120</f>
        <v/>
      </c>
    </row>
    <row r="165">
      <c r="A165" s="200" t="n">
        <v>46426</v>
      </c>
      <c r="B165" s="201" t="n">
        <v>6</v>
      </c>
      <c r="C165" s="201" t="inlineStr">
        <is>
          <t>Фев-27</t>
        </is>
      </c>
      <c r="D165" s="201" t="n">
        <v>1</v>
      </c>
      <c r="E165" s="201" t="inlineStr">
        <is>
          <t>Пн</t>
        </is>
      </c>
      <c r="F165" s="199" t="n">
        <v>0</v>
      </c>
      <c r="G165" s="201" t="str"/>
      <c r="H165" s="193" t="n">
        <v>0</v>
      </c>
      <c r="I165" s="201" t="str"/>
      <c r="J165" s="188">
        <f>1</f>
        <v/>
      </c>
      <c r="K165" s="188">
        <f>IF(AND(D165&lt;=5,F165=0),1,0)</f>
        <v/>
      </c>
      <c r="L165" s="188">
        <f>IF(F165=1,'01_ВВОД'!$D$23,CHOOSE(D165,'01_ВВОД'!$D$19,'01_ВВОД'!$D$19,'01_ВВОД'!$D$19,'01_ВВОД'!$D$19,'01_ВВОД'!$D$20,'01_ВВОД'!$D$21,'01_ВВОД'!$D$22))</f>
        <v/>
      </c>
      <c r="M165" s="188">
        <f>L165*IF(H165=1,'01_ВВОД'!$D$118,1)</f>
        <v/>
      </c>
      <c r="N165" s="188">
        <f>IF(K165=1,'01_ВВОД'!$D$26,0)</f>
        <v/>
      </c>
      <c r="O165" s="188">
        <f>IF(F165=1,'01_ВВОД'!$D$34,IF(D165&lt;=5,'01_ВВОД'!$D$32,'01_ВВОД'!$D$33))</f>
        <v/>
      </c>
      <c r="P165" s="188">
        <f>O165</f>
        <v/>
      </c>
      <c r="Q165" s="188">
        <f>'01_ВВОД'!$D$40</f>
        <v/>
      </c>
      <c r="R165" s="188">
        <f>'01_ВВОД'!$D$46</f>
        <v/>
      </c>
      <c r="S165" s="188">
        <f>H165</f>
        <v/>
      </c>
      <c r="T165" s="188">
        <f>IF(H165=1,M165+N165+P165+Q165,0)</f>
        <v/>
      </c>
      <c r="U165">
        <f>R165*'01_ВВОД'!$D$120</f>
        <v/>
      </c>
    </row>
    <row r="166">
      <c r="A166" s="200" t="n">
        <v>46427</v>
      </c>
      <c r="B166" s="201" t="n">
        <v>6</v>
      </c>
      <c r="C166" s="201" t="inlineStr">
        <is>
          <t>Фев-27</t>
        </is>
      </c>
      <c r="D166" s="201" t="n">
        <v>2</v>
      </c>
      <c r="E166" s="201" t="inlineStr">
        <is>
          <t>Вт</t>
        </is>
      </c>
      <c r="F166" s="199" t="n">
        <v>0</v>
      </c>
      <c r="G166" s="201" t="str"/>
      <c r="H166" s="193" t="n">
        <v>1</v>
      </c>
      <c r="I166" s="201" t="inlineStr">
        <is>
          <t>Пн–Чт</t>
        </is>
      </c>
      <c r="J166" s="188">
        <f>1</f>
        <v/>
      </c>
      <c r="K166" s="188">
        <f>IF(AND(D166&lt;=5,F166=0),1,0)</f>
        <v/>
      </c>
      <c r="L166" s="188">
        <f>IF(F166=1,'01_ВВОД'!$D$23,CHOOSE(D166,'01_ВВОД'!$D$19,'01_ВВОД'!$D$19,'01_ВВОД'!$D$19,'01_ВВОД'!$D$19,'01_ВВОД'!$D$20,'01_ВВОД'!$D$21,'01_ВВОД'!$D$22))</f>
        <v/>
      </c>
      <c r="M166" s="188">
        <f>L166*IF(H166=1,'01_ВВОД'!$D$118,1)</f>
        <v/>
      </c>
      <c r="N166" s="188">
        <f>IF(K166=1,'01_ВВОД'!$D$26,0)</f>
        <v/>
      </c>
      <c r="O166" s="188">
        <f>IF(F166=1,'01_ВВОД'!$D$34,IF(D166&lt;=5,'01_ВВОД'!$D$32,'01_ВВОД'!$D$33))</f>
        <v/>
      </c>
      <c r="P166" s="188">
        <f>O166</f>
        <v/>
      </c>
      <c r="Q166" s="188">
        <f>'01_ВВОД'!$D$40</f>
        <v/>
      </c>
      <c r="R166" s="188">
        <f>'01_ВВОД'!$D$46</f>
        <v/>
      </c>
      <c r="S166" s="188">
        <f>H166</f>
        <v/>
      </c>
      <c r="T166" s="188">
        <f>IF(H166=1,M166+N166+P166+Q166,0)</f>
        <v/>
      </c>
      <c r="U166">
        <f>R166*'01_ВВОД'!$D$120</f>
        <v/>
      </c>
    </row>
    <row r="167">
      <c r="A167" s="200" t="n">
        <v>46428</v>
      </c>
      <c r="B167" s="201" t="n">
        <v>6</v>
      </c>
      <c r="C167" s="201" t="inlineStr">
        <is>
          <t>Фев-27</t>
        </is>
      </c>
      <c r="D167" s="201" t="n">
        <v>3</v>
      </c>
      <c r="E167" s="201" t="inlineStr">
        <is>
          <t>Ср</t>
        </is>
      </c>
      <c r="F167" s="199" t="n">
        <v>0</v>
      </c>
      <c r="G167" s="201" t="str"/>
      <c r="H167" s="193" t="n">
        <v>1</v>
      </c>
      <c r="I167" s="201" t="inlineStr">
        <is>
          <t>Пн–Чт</t>
        </is>
      </c>
      <c r="J167" s="188">
        <f>1</f>
        <v/>
      </c>
      <c r="K167" s="188">
        <f>IF(AND(D167&lt;=5,F167=0),1,0)</f>
        <v/>
      </c>
      <c r="L167" s="188">
        <f>IF(F167=1,'01_ВВОД'!$D$23,CHOOSE(D167,'01_ВВОД'!$D$19,'01_ВВОД'!$D$19,'01_ВВОД'!$D$19,'01_ВВОД'!$D$19,'01_ВВОД'!$D$20,'01_ВВОД'!$D$21,'01_ВВОД'!$D$22))</f>
        <v/>
      </c>
      <c r="M167" s="188">
        <f>L167*IF(H167=1,'01_ВВОД'!$D$118,1)</f>
        <v/>
      </c>
      <c r="N167" s="188">
        <f>IF(K167=1,'01_ВВОД'!$D$26,0)</f>
        <v/>
      </c>
      <c r="O167" s="188">
        <f>IF(F167=1,'01_ВВОД'!$D$34,IF(D167&lt;=5,'01_ВВОД'!$D$32,'01_ВВОД'!$D$33))</f>
        <v/>
      </c>
      <c r="P167" s="188">
        <f>O167</f>
        <v/>
      </c>
      <c r="Q167" s="188">
        <f>'01_ВВОД'!$D$40</f>
        <v/>
      </c>
      <c r="R167" s="188">
        <f>'01_ВВОД'!$D$46</f>
        <v/>
      </c>
      <c r="S167" s="188">
        <f>H167</f>
        <v/>
      </c>
      <c r="T167" s="188">
        <f>IF(H167=1,M167+N167+P167+Q167,0)</f>
        <v/>
      </c>
      <c r="U167">
        <f>R167*'01_ВВОД'!$D$120</f>
        <v/>
      </c>
    </row>
    <row r="168">
      <c r="A168" s="200" t="n">
        <v>46429</v>
      </c>
      <c r="B168" s="201" t="n">
        <v>6</v>
      </c>
      <c r="C168" s="201" t="inlineStr">
        <is>
          <t>Фев-27</t>
        </is>
      </c>
      <c r="D168" s="201" t="n">
        <v>4</v>
      </c>
      <c r="E168" s="201" t="inlineStr">
        <is>
          <t>Чт</t>
        </is>
      </c>
      <c r="F168" s="199" t="n">
        <v>0</v>
      </c>
      <c r="G168" s="201" t="str"/>
      <c r="H168" s="193" t="n">
        <v>0</v>
      </c>
      <c r="I168" s="201" t="str"/>
      <c r="J168" s="188">
        <f>1</f>
        <v/>
      </c>
      <c r="K168" s="188">
        <f>IF(AND(D168&lt;=5,F168=0),1,0)</f>
        <v/>
      </c>
      <c r="L168" s="188">
        <f>IF(F168=1,'01_ВВОД'!$D$23,CHOOSE(D168,'01_ВВОД'!$D$19,'01_ВВОД'!$D$19,'01_ВВОД'!$D$19,'01_ВВОД'!$D$19,'01_ВВОД'!$D$20,'01_ВВОД'!$D$21,'01_ВВОД'!$D$22))</f>
        <v/>
      </c>
      <c r="M168" s="188">
        <f>L168*IF(H168=1,'01_ВВОД'!$D$118,1)</f>
        <v/>
      </c>
      <c r="N168" s="188">
        <f>IF(K168=1,'01_ВВОД'!$D$26,0)</f>
        <v/>
      </c>
      <c r="O168" s="188">
        <f>IF(F168=1,'01_ВВОД'!$D$34,IF(D168&lt;=5,'01_ВВОД'!$D$32,'01_ВВОД'!$D$33))</f>
        <v/>
      </c>
      <c r="P168" s="188">
        <f>O168</f>
        <v/>
      </c>
      <c r="Q168" s="188">
        <f>'01_ВВОД'!$D$40</f>
        <v/>
      </c>
      <c r="R168" s="188">
        <f>'01_ВВОД'!$D$46</f>
        <v/>
      </c>
      <c r="S168" s="188">
        <f>H168</f>
        <v/>
      </c>
      <c r="T168" s="188">
        <f>IF(H168=1,M168+N168+P168+Q168,0)</f>
        <v/>
      </c>
      <c r="U168">
        <f>R168*'01_ВВОД'!$D$120</f>
        <v/>
      </c>
    </row>
    <row r="169">
      <c r="A169" s="200" t="n">
        <v>46430</v>
      </c>
      <c r="B169" s="201" t="n">
        <v>6</v>
      </c>
      <c r="C169" s="201" t="inlineStr">
        <is>
          <t>Фев-27</t>
        </is>
      </c>
      <c r="D169" s="201" t="n">
        <v>5</v>
      </c>
      <c r="E169" s="201" t="inlineStr">
        <is>
          <t>Пт</t>
        </is>
      </c>
      <c r="F169" s="199" t="n">
        <v>0</v>
      </c>
      <c r="G169" s="201" t="str"/>
      <c r="H169" s="193" t="n">
        <v>0</v>
      </c>
      <c r="I169" s="201" t="str"/>
      <c r="J169" s="188">
        <f>1</f>
        <v/>
      </c>
      <c r="K169" s="188">
        <f>IF(AND(D169&lt;=5,F169=0),1,0)</f>
        <v/>
      </c>
      <c r="L169" s="188">
        <f>IF(F169=1,'01_ВВОД'!$D$23,CHOOSE(D169,'01_ВВОД'!$D$19,'01_ВВОД'!$D$19,'01_ВВОД'!$D$19,'01_ВВОД'!$D$19,'01_ВВОД'!$D$20,'01_ВВОД'!$D$21,'01_ВВОД'!$D$22))</f>
        <v/>
      </c>
      <c r="M169" s="188">
        <f>L169*IF(H169=1,'01_ВВОД'!$D$118,1)</f>
        <v/>
      </c>
      <c r="N169" s="188">
        <f>IF(K169=1,'01_ВВОД'!$D$26,0)</f>
        <v/>
      </c>
      <c r="O169" s="188">
        <f>IF(F169=1,'01_ВВОД'!$D$34,IF(D169&lt;=5,'01_ВВОД'!$D$32,'01_ВВОД'!$D$33))</f>
        <v/>
      </c>
      <c r="P169" s="188">
        <f>O169</f>
        <v/>
      </c>
      <c r="Q169" s="188">
        <f>'01_ВВОД'!$D$40</f>
        <v/>
      </c>
      <c r="R169" s="188">
        <f>'01_ВВОД'!$D$46</f>
        <v/>
      </c>
      <c r="S169" s="188">
        <f>H169</f>
        <v/>
      </c>
      <c r="T169" s="188">
        <f>IF(H169=1,M169+N169+P169+Q169,0)</f>
        <v/>
      </c>
      <c r="U169">
        <f>R169*'01_ВВОД'!$D$120</f>
        <v/>
      </c>
    </row>
    <row r="170">
      <c r="A170" s="200" t="n">
        <v>46431</v>
      </c>
      <c r="B170" s="201" t="n">
        <v>6</v>
      </c>
      <c r="C170" s="201" t="inlineStr">
        <is>
          <t>Фев-27</t>
        </is>
      </c>
      <c r="D170" s="201" t="n">
        <v>6</v>
      </c>
      <c r="E170" s="201" t="inlineStr">
        <is>
          <t>Сб</t>
        </is>
      </c>
      <c r="F170" s="199" t="n">
        <v>0</v>
      </c>
      <c r="G170" s="201" t="str"/>
      <c r="H170" s="193" t="n">
        <v>0</v>
      </c>
      <c r="I170" s="201" t="str"/>
      <c r="J170" s="188">
        <f>1</f>
        <v/>
      </c>
      <c r="K170" s="188">
        <f>IF(AND(D170&lt;=5,F170=0),1,0)</f>
        <v/>
      </c>
      <c r="L170" s="188">
        <f>IF(F170=1,'01_ВВОД'!$D$23,CHOOSE(D170,'01_ВВОД'!$D$19,'01_ВВОД'!$D$19,'01_ВВОД'!$D$19,'01_ВВОД'!$D$19,'01_ВВОД'!$D$20,'01_ВВОД'!$D$21,'01_ВВОД'!$D$22))</f>
        <v/>
      </c>
      <c r="M170" s="188">
        <f>L170*IF(H170=1,'01_ВВОД'!$D$118,1)</f>
        <v/>
      </c>
      <c r="N170" s="188">
        <f>IF(K170=1,'01_ВВОД'!$D$26,0)</f>
        <v/>
      </c>
      <c r="O170" s="188">
        <f>IF(F170=1,'01_ВВОД'!$D$34,IF(D170&lt;=5,'01_ВВОД'!$D$32,'01_ВВОД'!$D$33))</f>
        <v/>
      </c>
      <c r="P170" s="188">
        <f>O170</f>
        <v/>
      </c>
      <c r="Q170" s="188">
        <f>'01_ВВОД'!$D$40</f>
        <v/>
      </c>
      <c r="R170" s="188">
        <f>'01_ВВОД'!$D$46</f>
        <v/>
      </c>
      <c r="S170" s="188">
        <f>H170</f>
        <v/>
      </c>
      <c r="T170" s="188">
        <f>IF(H170=1,M170+N170+P170+Q170,0)</f>
        <v/>
      </c>
      <c r="U170">
        <f>R170*'01_ВВОД'!$D$120</f>
        <v/>
      </c>
    </row>
    <row r="171">
      <c r="A171" s="200" t="n">
        <v>46432</v>
      </c>
      <c r="B171" s="201" t="n">
        <v>6</v>
      </c>
      <c r="C171" s="201" t="inlineStr">
        <is>
          <t>Фев-27</t>
        </is>
      </c>
      <c r="D171" s="201" t="n">
        <v>7</v>
      </c>
      <c r="E171" s="201" t="inlineStr">
        <is>
          <t>Вс</t>
        </is>
      </c>
      <c r="F171" s="199" t="n">
        <v>0</v>
      </c>
      <c r="G171" s="201" t="str"/>
      <c r="H171" s="193" t="n">
        <v>0</v>
      </c>
      <c r="I171" s="201" t="str"/>
      <c r="J171" s="188">
        <f>1</f>
        <v/>
      </c>
      <c r="K171" s="188">
        <f>IF(AND(D171&lt;=5,F171=0),1,0)</f>
        <v/>
      </c>
      <c r="L171" s="188">
        <f>IF(F171=1,'01_ВВОД'!$D$23,CHOOSE(D171,'01_ВВОД'!$D$19,'01_ВВОД'!$D$19,'01_ВВОД'!$D$19,'01_ВВОД'!$D$19,'01_ВВОД'!$D$20,'01_ВВОД'!$D$21,'01_ВВОД'!$D$22))</f>
        <v/>
      </c>
      <c r="M171" s="188">
        <f>L171*IF(H171=1,'01_ВВОД'!$D$118,1)</f>
        <v/>
      </c>
      <c r="N171" s="188">
        <f>IF(K171=1,'01_ВВОД'!$D$26,0)</f>
        <v/>
      </c>
      <c r="O171" s="188">
        <f>IF(F171=1,'01_ВВОД'!$D$34,IF(D171&lt;=5,'01_ВВОД'!$D$32,'01_ВВОД'!$D$33))</f>
        <v/>
      </c>
      <c r="P171" s="188">
        <f>O171</f>
        <v/>
      </c>
      <c r="Q171" s="188">
        <f>'01_ВВОД'!$D$40</f>
        <v/>
      </c>
      <c r="R171" s="188">
        <f>'01_ВВОД'!$D$46</f>
        <v/>
      </c>
      <c r="S171" s="188">
        <f>H171</f>
        <v/>
      </c>
      <c r="T171" s="188">
        <f>IF(H171=1,M171+N171+P171+Q171,0)</f>
        <v/>
      </c>
      <c r="U171">
        <f>R171*'01_ВВОД'!$D$120</f>
        <v/>
      </c>
    </row>
    <row r="172">
      <c r="A172" s="200" t="n">
        <v>46433</v>
      </c>
      <c r="B172" s="201" t="n">
        <v>6</v>
      </c>
      <c r="C172" s="201" t="inlineStr">
        <is>
          <t>Фев-27</t>
        </is>
      </c>
      <c r="D172" s="201" t="n">
        <v>1</v>
      </c>
      <c r="E172" s="201" t="inlineStr">
        <is>
          <t>Пн</t>
        </is>
      </c>
      <c r="F172" s="199" t="n">
        <v>0</v>
      </c>
      <c r="G172" s="201" t="str"/>
      <c r="H172" s="193" t="n">
        <v>0</v>
      </c>
      <c r="I172" s="201" t="str"/>
      <c r="J172" s="188">
        <f>1</f>
        <v/>
      </c>
      <c r="K172" s="188">
        <f>IF(AND(D172&lt;=5,F172=0),1,0)</f>
        <v/>
      </c>
      <c r="L172" s="188">
        <f>IF(F172=1,'01_ВВОД'!$D$23,CHOOSE(D172,'01_ВВОД'!$D$19,'01_ВВОД'!$D$19,'01_ВВОД'!$D$19,'01_ВВОД'!$D$19,'01_ВВОД'!$D$20,'01_ВВОД'!$D$21,'01_ВВОД'!$D$22))</f>
        <v/>
      </c>
      <c r="M172" s="188">
        <f>L172*IF(H172=1,'01_ВВОД'!$D$118,1)</f>
        <v/>
      </c>
      <c r="N172" s="188">
        <f>IF(K172=1,'01_ВВОД'!$D$26,0)</f>
        <v/>
      </c>
      <c r="O172" s="188">
        <f>IF(F172=1,'01_ВВОД'!$D$34,IF(D172&lt;=5,'01_ВВОД'!$D$32,'01_ВВОД'!$D$33))</f>
        <v/>
      </c>
      <c r="P172" s="188">
        <f>O172</f>
        <v/>
      </c>
      <c r="Q172" s="188">
        <f>'01_ВВОД'!$D$40</f>
        <v/>
      </c>
      <c r="R172" s="188">
        <f>'01_ВВОД'!$D$46</f>
        <v/>
      </c>
      <c r="S172" s="188">
        <f>H172</f>
        <v/>
      </c>
      <c r="T172" s="188">
        <f>IF(H172=1,M172+N172+P172+Q172,0)</f>
        <v/>
      </c>
      <c r="U172">
        <f>R172*'01_ВВОД'!$D$120</f>
        <v/>
      </c>
    </row>
    <row r="173">
      <c r="A173" s="200" t="n">
        <v>46434</v>
      </c>
      <c r="B173" s="201" t="n">
        <v>6</v>
      </c>
      <c r="C173" s="201" t="inlineStr">
        <is>
          <t>Фев-27</t>
        </is>
      </c>
      <c r="D173" s="201" t="n">
        <v>2</v>
      </c>
      <c r="E173" s="201" t="inlineStr">
        <is>
          <t>Вт</t>
        </is>
      </c>
      <c r="F173" s="199" t="n">
        <v>0</v>
      </c>
      <c r="G173" s="201" t="str"/>
      <c r="H173" s="193" t="n">
        <v>0</v>
      </c>
      <c r="I173" s="201" t="str"/>
      <c r="J173" s="188">
        <f>1</f>
        <v/>
      </c>
      <c r="K173" s="188">
        <f>IF(AND(D173&lt;=5,F173=0),1,0)</f>
        <v/>
      </c>
      <c r="L173" s="188">
        <f>IF(F173=1,'01_ВВОД'!$D$23,CHOOSE(D173,'01_ВВОД'!$D$19,'01_ВВОД'!$D$19,'01_ВВОД'!$D$19,'01_ВВОД'!$D$19,'01_ВВОД'!$D$20,'01_ВВОД'!$D$21,'01_ВВОД'!$D$22))</f>
        <v/>
      </c>
      <c r="M173" s="188">
        <f>L173*IF(H173=1,'01_ВВОД'!$D$118,1)</f>
        <v/>
      </c>
      <c r="N173" s="188">
        <f>IF(K173=1,'01_ВВОД'!$D$26,0)</f>
        <v/>
      </c>
      <c r="O173" s="188">
        <f>IF(F173=1,'01_ВВОД'!$D$34,IF(D173&lt;=5,'01_ВВОД'!$D$32,'01_ВВОД'!$D$33))</f>
        <v/>
      </c>
      <c r="P173" s="188">
        <f>O173</f>
        <v/>
      </c>
      <c r="Q173" s="188">
        <f>'01_ВВОД'!$D$40</f>
        <v/>
      </c>
      <c r="R173" s="188">
        <f>'01_ВВОД'!$D$46</f>
        <v/>
      </c>
      <c r="S173" s="188">
        <f>H173</f>
        <v/>
      </c>
      <c r="T173" s="188">
        <f>IF(H173=1,M173+N173+P173+Q173,0)</f>
        <v/>
      </c>
      <c r="U173">
        <f>R173*'01_ВВОД'!$D$120</f>
        <v/>
      </c>
    </row>
    <row r="174">
      <c r="A174" s="200" t="n">
        <v>46435</v>
      </c>
      <c r="B174" s="201" t="n">
        <v>6</v>
      </c>
      <c r="C174" s="201" t="inlineStr">
        <is>
          <t>Фев-27</t>
        </is>
      </c>
      <c r="D174" s="201" t="n">
        <v>3</v>
      </c>
      <c r="E174" s="201" t="inlineStr">
        <is>
          <t>Ср</t>
        </is>
      </c>
      <c r="F174" s="199" t="n">
        <v>0</v>
      </c>
      <c r="G174" s="201" t="str"/>
      <c r="H174" s="193" t="n">
        <v>0</v>
      </c>
      <c r="I174" s="201" t="str"/>
      <c r="J174" s="188">
        <f>1</f>
        <v/>
      </c>
      <c r="K174" s="188">
        <f>IF(AND(D174&lt;=5,F174=0),1,0)</f>
        <v/>
      </c>
      <c r="L174" s="188">
        <f>IF(F174=1,'01_ВВОД'!$D$23,CHOOSE(D174,'01_ВВОД'!$D$19,'01_ВВОД'!$D$19,'01_ВВОД'!$D$19,'01_ВВОД'!$D$19,'01_ВВОД'!$D$20,'01_ВВОД'!$D$21,'01_ВВОД'!$D$22))</f>
        <v/>
      </c>
      <c r="M174" s="188">
        <f>L174*IF(H174=1,'01_ВВОД'!$D$118,1)</f>
        <v/>
      </c>
      <c r="N174" s="188">
        <f>IF(K174=1,'01_ВВОД'!$D$26,0)</f>
        <v/>
      </c>
      <c r="O174" s="188">
        <f>IF(F174=1,'01_ВВОД'!$D$34,IF(D174&lt;=5,'01_ВВОД'!$D$32,'01_ВВОД'!$D$33))</f>
        <v/>
      </c>
      <c r="P174" s="188">
        <f>O174</f>
        <v/>
      </c>
      <c r="Q174" s="188">
        <f>'01_ВВОД'!$D$40</f>
        <v/>
      </c>
      <c r="R174" s="188">
        <f>'01_ВВОД'!$D$46</f>
        <v/>
      </c>
      <c r="S174" s="188">
        <f>H174</f>
        <v/>
      </c>
      <c r="T174" s="188">
        <f>IF(H174=1,M174+N174+P174+Q174,0)</f>
        <v/>
      </c>
      <c r="U174">
        <f>R174*'01_ВВОД'!$D$120</f>
        <v/>
      </c>
    </row>
    <row r="175">
      <c r="A175" s="200" t="n">
        <v>46436</v>
      </c>
      <c r="B175" s="201" t="n">
        <v>6</v>
      </c>
      <c r="C175" s="201" t="inlineStr">
        <is>
          <t>Фев-27</t>
        </is>
      </c>
      <c r="D175" s="201" t="n">
        <v>4</v>
      </c>
      <c r="E175" s="201" t="inlineStr">
        <is>
          <t>Чт</t>
        </is>
      </c>
      <c r="F175" s="199" t="n">
        <v>0</v>
      </c>
      <c r="G175" s="201" t="str"/>
      <c r="H175" s="193" t="n">
        <v>0</v>
      </c>
      <c r="I175" s="201" t="str"/>
      <c r="J175" s="188">
        <f>1</f>
        <v/>
      </c>
      <c r="K175" s="188">
        <f>IF(AND(D175&lt;=5,F175=0),1,0)</f>
        <v/>
      </c>
      <c r="L175" s="188">
        <f>IF(F175=1,'01_ВВОД'!$D$23,CHOOSE(D175,'01_ВВОД'!$D$19,'01_ВВОД'!$D$19,'01_ВВОД'!$D$19,'01_ВВОД'!$D$19,'01_ВВОД'!$D$20,'01_ВВОД'!$D$21,'01_ВВОД'!$D$22))</f>
        <v/>
      </c>
      <c r="M175" s="188">
        <f>L175*IF(H175=1,'01_ВВОД'!$D$118,1)</f>
        <v/>
      </c>
      <c r="N175" s="188">
        <f>IF(K175=1,'01_ВВОД'!$D$26,0)</f>
        <v/>
      </c>
      <c r="O175" s="188">
        <f>IF(F175=1,'01_ВВОД'!$D$34,IF(D175&lt;=5,'01_ВВОД'!$D$32,'01_ВВОД'!$D$33))</f>
        <v/>
      </c>
      <c r="P175" s="188">
        <f>O175</f>
        <v/>
      </c>
      <c r="Q175" s="188">
        <f>'01_ВВОД'!$D$40</f>
        <v/>
      </c>
      <c r="R175" s="188">
        <f>'01_ВВОД'!$D$46</f>
        <v/>
      </c>
      <c r="S175" s="188">
        <f>H175</f>
        <v/>
      </c>
      <c r="T175" s="188">
        <f>IF(H175=1,M175+N175+P175+Q175,0)</f>
        <v/>
      </c>
      <c r="U175">
        <f>R175*'01_ВВОД'!$D$120</f>
        <v/>
      </c>
    </row>
    <row r="176">
      <c r="A176" s="200" t="n">
        <v>46437</v>
      </c>
      <c r="B176" s="201" t="n">
        <v>6</v>
      </c>
      <c r="C176" s="201" t="inlineStr">
        <is>
          <t>Фев-27</t>
        </is>
      </c>
      <c r="D176" s="201" t="n">
        <v>5</v>
      </c>
      <c r="E176" s="201" t="inlineStr">
        <is>
          <t>Пт</t>
        </is>
      </c>
      <c r="F176" s="199" t="n">
        <v>0</v>
      </c>
      <c r="G176" s="201" t="str"/>
      <c r="H176" s="193" t="n">
        <v>1</v>
      </c>
      <c r="I176" s="201" t="inlineStr">
        <is>
          <t>Пт–Вс</t>
        </is>
      </c>
      <c r="J176" s="188">
        <f>1</f>
        <v/>
      </c>
      <c r="K176" s="188">
        <f>IF(AND(D176&lt;=5,F176=0),1,0)</f>
        <v/>
      </c>
      <c r="L176" s="188">
        <f>IF(F176=1,'01_ВВОД'!$D$23,CHOOSE(D176,'01_ВВОД'!$D$19,'01_ВВОД'!$D$19,'01_ВВОД'!$D$19,'01_ВВОД'!$D$19,'01_ВВОД'!$D$20,'01_ВВОД'!$D$21,'01_ВВОД'!$D$22))</f>
        <v/>
      </c>
      <c r="M176" s="188">
        <f>L176*IF(H176=1,'01_ВВОД'!$D$118,1)</f>
        <v/>
      </c>
      <c r="N176" s="188">
        <f>IF(K176=1,'01_ВВОД'!$D$26,0)</f>
        <v/>
      </c>
      <c r="O176" s="188">
        <f>IF(F176=1,'01_ВВОД'!$D$34,IF(D176&lt;=5,'01_ВВОД'!$D$32,'01_ВВОД'!$D$33))</f>
        <v/>
      </c>
      <c r="P176" s="188">
        <f>O176</f>
        <v/>
      </c>
      <c r="Q176" s="188">
        <f>'01_ВВОД'!$D$40</f>
        <v/>
      </c>
      <c r="R176" s="188">
        <f>'01_ВВОД'!$D$46</f>
        <v/>
      </c>
      <c r="S176" s="188">
        <f>H176</f>
        <v/>
      </c>
      <c r="T176" s="188">
        <f>IF(H176=1,M176+N176+P176+Q176,0)</f>
        <v/>
      </c>
      <c r="U176">
        <f>R176*'01_ВВОД'!$D$120</f>
        <v/>
      </c>
    </row>
    <row r="177">
      <c r="A177" s="200" t="n">
        <v>46438</v>
      </c>
      <c r="B177" s="201" t="n">
        <v>6</v>
      </c>
      <c r="C177" s="201" t="inlineStr">
        <is>
          <t>Фев-27</t>
        </is>
      </c>
      <c r="D177" s="201" t="n">
        <v>6</v>
      </c>
      <c r="E177" s="201" t="inlineStr">
        <is>
          <t>Сб</t>
        </is>
      </c>
      <c r="F177" s="199" t="n">
        <v>0</v>
      </c>
      <c r="G177" s="201" t="str"/>
      <c r="H177" s="193" t="n">
        <v>0</v>
      </c>
      <c r="I177" s="201" t="str"/>
      <c r="J177" s="188">
        <f>1</f>
        <v/>
      </c>
      <c r="K177" s="188">
        <f>IF(AND(D177&lt;=5,F177=0),1,0)</f>
        <v/>
      </c>
      <c r="L177" s="188">
        <f>IF(F177=1,'01_ВВОД'!$D$23,CHOOSE(D177,'01_ВВОД'!$D$19,'01_ВВОД'!$D$19,'01_ВВОД'!$D$19,'01_ВВОД'!$D$19,'01_ВВОД'!$D$20,'01_ВВОД'!$D$21,'01_ВВОД'!$D$22))</f>
        <v/>
      </c>
      <c r="M177" s="188">
        <f>L177*IF(H177=1,'01_ВВОД'!$D$118,1)</f>
        <v/>
      </c>
      <c r="N177" s="188">
        <f>IF(K177=1,'01_ВВОД'!$D$26,0)</f>
        <v/>
      </c>
      <c r="O177" s="188">
        <f>IF(F177=1,'01_ВВОД'!$D$34,IF(D177&lt;=5,'01_ВВОД'!$D$32,'01_ВВОД'!$D$33))</f>
        <v/>
      </c>
      <c r="P177" s="188">
        <f>O177</f>
        <v/>
      </c>
      <c r="Q177" s="188">
        <f>'01_ВВОД'!$D$40</f>
        <v/>
      </c>
      <c r="R177" s="188">
        <f>'01_ВВОД'!$D$46</f>
        <v/>
      </c>
      <c r="S177" s="188">
        <f>H177</f>
        <v/>
      </c>
      <c r="T177" s="188">
        <f>IF(H177=1,M177+N177+P177+Q177,0)</f>
        <v/>
      </c>
      <c r="U177">
        <f>R177*'01_ВВОД'!$D$120</f>
        <v/>
      </c>
    </row>
    <row r="178">
      <c r="A178" s="200" t="n">
        <v>46439</v>
      </c>
      <c r="B178" s="201" t="n">
        <v>6</v>
      </c>
      <c r="C178" s="201" t="inlineStr">
        <is>
          <t>Фев-27</t>
        </is>
      </c>
      <c r="D178" s="201" t="n">
        <v>7</v>
      </c>
      <c r="E178" s="201" t="inlineStr">
        <is>
          <t>Вс</t>
        </is>
      </c>
      <c r="F178" s="199" t="n">
        <v>0</v>
      </c>
      <c r="G178" s="201" t="str"/>
      <c r="H178" s="193" t="n">
        <v>0</v>
      </c>
      <c r="I178" s="201" t="str"/>
      <c r="J178" s="188">
        <f>1</f>
        <v/>
      </c>
      <c r="K178" s="188">
        <f>IF(AND(D178&lt;=5,F178=0),1,0)</f>
        <v/>
      </c>
      <c r="L178" s="188">
        <f>IF(F178=1,'01_ВВОД'!$D$23,CHOOSE(D178,'01_ВВОД'!$D$19,'01_ВВОД'!$D$19,'01_ВВОД'!$D$19,'01_ВВОД'!$D$19,'01_ВВОД'!$D$20,'01_ВВОД'!$D$21,'01_ВВОД'!$D$22))</f>
        <v/>
      </c>
      <c r="M178" s="188">
        <f>L178*IF(H178=1,'01_ВВОД'!$D$118,1)</f>
        <v/>
      </c>
      <c r="N178" s="188">
        <f>IF(K178=1,'01_ВВОД'!$D$26,0)</f>
        <v/>
      </c>
      <c r="O178" s="188">
        <f>IF(F178=1,'01_ВВОД'!$D$34,IF(D178&lt;=5,'01_ВВОД'!$D$32,'01_ВВОД'!$D$33))</f>
        <v/>
      </c>
      <c r="P178" s="188">
        <f>O178</f>
        <v/>
      </c>
      <c r="Q178" s="188">
        <f>'01_ВВОД'!$D$40</f>
        <v/>
      </c>
      <c r="R178" s="188">
        <f>'01_ВВОД'!$D$46</f>
        <v/>
      </c>
      <c r="S178" s="188">
        <f>H178</f>
        <v/>
      </c>
      <c r="T178" s="188">
        <f>IF(H178=1,M178+N178+P178+Q178,0)</f>
        <v/>
      </c>
      <c r="U178">
        <f>R178*'01_ВВОД'!$D$120</f>
        <v/>
      </c>
    </row>
    <row r="179">
      <c r="A179" s="200" t="n">
        <v>46440</v>
      </c>
      <c r="B179" s="201" t="n">
        <v>6</v>
      </c>
      <c r="C179" s="201" t="inlineStr">
        <is>
          <t>Фев-27</t>
        </is>
      </c>
      <c r="D179" s="201" t="n">
        <v>1</v>
      </c>
      <c r="E179" s="201" t="inlineStr">
        <is>
          <t>Пн</t>
        </is>
      </c>
      <c r="F179" s="199" t="n">
        <v>0</v>
      </c>
      <c r="G179" s="201" t="str"/>
      <c r="H179" s="193" t="n">
        <v>0</v>
      </c>
      <c r="I179" s="201" t="str"/>
      <c r="J179" s="188">
        <f>1</f>
        <v/>
      </c>
      <c r="K179" s="188">
        <f>IF(AND(D179&lt;=5,F179=0),1,0)</f>
        <v/>
      </c>
      <c r="L179" s="188">
        <f>IF(F179=1,'01_ВВОД'!$D$23,CHOOSE(D179,'01_ВВОД'!$D$19,'01_ВВОД'!$D$19,'01_ВВОД'!$D$19,'01_ВВОД'!$D$19,'01_ВВОД'!$D$20,'01_ВВОД'!$D$21,'01_ВВОД'!$D$22))</f>
        <v/>
      </c>
      <c r="M179" s="188">
        <f>L179*IF(H179=1,'01_ВВОД'!$D$118,1)</f>
        <v/>
      </c>
      <c r="N179" s="188">
        <f>IF(K179=1,'01_ВВОД'!$D$26,0)</f>
        <v/>
      </c>
      <c r="O179" s="188">
        <f>IF(F179=1,'01_ВВОД'!$D$34,IF(D179&lt;=5,'01_ВВОД'!$D$32,'01_ВВОД'!$D$33))</f>
        <v/>
      </c>
      <c r="P179" s="188">
        <f>O179</f>
        <v/>
      </c>
      <c r="Q179" s="188">
        <f>'01_ВВОД'!$D$40</f>
        <v/>
      </c>
      <c r="R179" s="188">
        <f>'01_ВВОД'!$D$46</f>
        <v/>
      </c>
      <c r="S179" s="188">
        <f>H179</f>
        <v/>
      </c>
      <c r="T179" s="188">
        <f>IF(H179=1,M179+N179+P179+Q179,0)</f>
        <v/>
      </c>
      <c r="U179">
        <f>R179*'01_ВВОД'!$D$120</f>
        <v/>
      </c>
    </row>
    <row r="180">
      <c r="A180" s="200" t="n">
        <v>46441</v>
      </c>
      <c r="B180" s="201" t="n">
        <v>6</v>
      </c>
      <c r="C180" s="201" t="inlineStr">
        <is>
          <t>Фев-27</t>
        </is>
      </c>
      <c r="D180" s="201" t="n">
        <v>2</v>
      </c>
      <c r="E180" s="201" t="inlineStr">
        <is>
          <t>Вт</t>
        </is>
      </c>
      <c r="F180" s="199" t="n">
        <v>1</v>
      </c>
      <c r="G180" s="201" t="inlineStr">
        <is>
          <t>Фиксированный праздник 2027; переносы уточнить</t>
        </is>
      </c>
      <c r="H180" s="193" t="n">
        <v>0</v>
      </c>
      <c r="I180" s="201" t="str"/>
      <c r="J180" s="188">
        <f>1</f>
        <v/>
      </c>
      <c r="K180" s="188">
        <f>IF(AND(D180&lt;=5,F180=0),1,0)</f>
        <v/>
      </c>
      <c r="L180" s="188">
        <f>IF(F180=1,'01_ВВОД'!$D$23,CHOOSE(D180,'01_ВВОД'!$D$19,'01_ВВОД'!$D$19,'01_ВВОД'!$D$19,'01_ВВОД'!$D$19,'01_ВВОД'!$D$20,'01_ВВОД'!$D$21,'01_ВВОД'!$D$22))</f>
        <v/>
      </c>
      <c r="M180" s="188">
        <f>L180*IF(H180=1,'01_ВВОД'!$D$118,1)</f>
        <v/>
      </c>
      <c r="N180" s="188">
        <f>IF(K180=1,'01_ВВОД'!$D$26,0)</f>
        <v/>
      </c>
      <c r="O180" s="188">
        <f>IF(F180=1,'01_ВВОД'!$D$34,IF(D180&lt;=5,'01_ВВОД'!$D$32,'01_ВВОД'!$D$33))</f>
        <v/>
      </c>
      <c r="P180" s="188">
        <f>O180</f>
        <v/>
      </c>
      <c r="Q180" s="188">
        <f>'01_ВВОД'!$D$40</f>
        <v/>
      </c>
      <c r="R180" s="188">
        <f>'01_ВВОД'!$D$46</f>
        <v/>
      </c>
      <c r="S180" s="188">
        <f>H180</f>
        <v/>
      </c>
      <c r="T180" s="188">
        <f>IF(H180=1,M180+N180+P180+Q180,0)</f>
        <v/>
      </c>
      <c r="U180">
        <f>R180*'01_ВВОД'!$D$120</f>
        <v/>
      </c>
    </row>
    <row r="181">
      <c r="A181" s="200" t="n">
        <v>46442</v>
      </c>
      <c r="B181" s="201" t="n">
        <v>6</v>
      </c>
      <c r="C181" s="201" t="inlineStr">
        <is>
          <t>Фев-27</t>
        </is>
      </c>
      <c r="D181" s="201" t="n">
        <v>3</v>
      </c>
      <c r="E181" s="201" t="inlineStr">
        <is>
          <t>Ср</t>
        </is>
      </c>
      <c r="F181" s="199" t="n">
        <v>0</v>
      </c>
      <c r="G181" s="201" t="str"/>
      <c r="H181" s="193" t="n">
        <v>0</v>
      </c>
      <c r="I181" s="201" t="str"/>
      <c r="J181" s="188">
        <f>1</f>
        <v/>
      </c>
      <c r="K181" s="188">
        <f>IF(AND(D181&lt;=5,F181=0),1,0)</f>
        <v/>
      </c>
      <c r="L181" s="188">
        <f>IF(F181=1,'01_ВВОД'!$D$23,CHOOSE(D181,'01_ВВОД'!$D$19,'01_ВВОД'!$D$19,'01_ВВОД'!$D$19,'01_ВВОД'!$D$19,'01_ВВОД'!$D$20,'01_ВВОД'!$D$21,'01_ВВОД'!$D$22))</f>
        <v/>
      </c>
      <c r="M181" s="188">
        <f>L181*IF(H181=1,'01_ВВОД'!$D$118,1)</f>
        <v/>
      </c>
      <c r="N181" s="188">
        <f>IF(K181=1,'01_ВВОД'!$D$26,0)</f>
        <v/>
      </c>
      <c r="O181" s="188">
        <f>IF(F181=1,'01_ВВОД'!$D$34,IF(D181&lt;=5,'01_ВВОД'!$D$32,'01_ВВОД'!$D$33))</f>
        <v/>
      </c>
      <c r="P181" s="188">
        <f>O181</f>
        <v/>
      </c>
      <c r="Q181" s="188">
        <f>'01_ВВОД'!$D$40</f>
        <v/>
      </c>
      <c r="R181" s="188">
        <f>'01_ВВОД'!$D$46</f>
        <v/>
      </c>
      <c r="S181" s="188">
        <f>H181</f>
        <v/>
      </c>
      <c r="T181" s="188">
        <f>IF(H181=1,M181+N181+P181+Q181,0)</f>
        <v/>
      </c>
      <c r="U181">
        <f>R181*'01_ВВОД'!$D$120</f>
        <v/>
      </c>
    </row>
    <row r="182">
      <c r="A182" s="200" t="n">
        <v>46443</v>
      </c>
      <c r="B182" s="201" t="n">
        <v>6</v>
      </c>
      <c r="C182" s="201" t="inlineStr">
        <is>
          <t>Фев-27</t>
        </is>
      </c>
      <c r="D182" s="201" t="n">
        <v>4</v>
      </c>
      <c r="E182" s="201" t="inlineStr">
        <is>
          <t>Чт</t>
        </is>
      </c>
      <c r="F182" s="199" t="n">
        <v>0</v>
      </c>
      <c r="G182" s="201" t="str"/>
      <c r="H182" s="193" t="n">
        <v>0</v>
      </c>
      <c r="I182" s="201" t="str"/>
      <c r="J182" s="188">
        <f>1</f>
        <v/>
      </c>
      <c r="K182" s="188">
        <f>IF(AND(D182&lt;=5,F182=0),1,0)</f>
        <v/>
      </c>
      <c r="L182" s="188">
        <f>IF(F182=1,'01_ВВОД'!$D$23,CHOOSE(D182,'01_ВВОД'!$D$19,'01_ВВОД'!$D$19,'01_ВВОД'!$D$19,'01_ВВОД'!$D$19,'01_ВВОД'!$D$20,'01_ВВОД'!$D$21,'01_ВВОД'!$D$22))</f>
        <v/>
      </c>
      <c r="M182" s="188">
        <f>L182*IF(H182=1,'01_ВВОД'!$D$118,1)</f>
        <v/>
      </c>
      <c r="N182" s="188">
        <f>IF(K182=1,'01_ВВОД'!$D$26,0)</f>
        <v/>
      </c>
      <c r="O182" s="188">
        <f>IF(F182=1,'01_ВВОД'!$D$34,IF(D182&lt;=5,'01_ВВОД'!$D$32,'01_ВВОД'!$D$33))</f>
        <v/>
      </c>
      <c r="P182" s="188">
        <f>O182</f>
        <v/>
      </c>
      <c r="Q182" s="188">
        <f>'01_ВВОД'!$D$40</f>
        <v/>
      </c>
      <c r="R182" s="188">
        <f>'01_ВВОД'!$D$46</f>
        <v/>
      </c>
      <c r="S182" s="188">
        <f>H182</f>
        <v/>
      </c>
      <c r="T182" s="188">
        <f>IF(H182=1,M182+N182+P182+Q182,0)</f>
        <v/>
      </c>
      <c r="U182">
        <f>R182*'01_ВВОД'!$D$120</f>
        <v/>
      </c>
    </row>
    <row r="183">
      <c r="A183" s="200" t="n">
        <v>46444</v>
      </c>
      <c r="B183" s="201" t="n">
        <v>6</v>
      </c>
      <c r="C183" s="201" t="inlineStr">
        <is>
          <t>Фев-27</t>
        </is>
      </c>
      <c r="D183" s="201" t="n">
        <v>5</v>
      </c>
      <c r="E183" s="201" t="inlineStr">
        <is>
          <t>Пт</t>
        </is>
      </c>
      <c r="F183" s="199" t="n">
        <v>0</v>
      </c>
      <c r="G183" s="201" t="str"/>
      <c r="H183" s="193" t="n">
        <v>1</v>
      </c>
      <c r="I183" s="201" t="inlineStr">
        <is>
          <t>Пт–Вс</t>
        </is>
      </c>
      <c r="J183" s="188">
        <f>1</f>
        <v/>
      </c>
      <c r="K183" s="188">
        <f>IF(AND(D183&lt;=5,F183=0),1,0)</f>
        <v/>
      </c>
      <c r="L183" s="188">
        <f>IF(F183=1,'01_ВВОД'!$D$23,CHOOSE(D183,'01_ВВОД'!$D$19,'01_ВВОД'!$D$19,'01_ВВОД'!$D$19,'01_ВВОД'!$D$19,'01_ВВОД'!$D$20,'01_ВВОД'!$D$21,'01_ВВОД'!$D$22))</f>
        <v/>
      </c>
      <c r="M183" s="188">
        <f>L183*IF(H183=1,'01_ВВОД'!$D$118,1)</f>
        <v/>
      </c>
      <c r="N183" s="188">
        <f>IF(K183=1,'01_ВВОД'!$D$26,0)</f>
        <v/>
      </c>
      <c r="O183" s="188">
        <f>IF(F183=1,'01_ВВОД'!$D$34,IF(D183&lt;=5,'01_ВВОД'!$D$32,'01_ВВОД'!$D$33))</f>
        <v/>
      </c>
      <c r="P183" s="188">
        <f>O183</f>
        <v/>
      </c>
      <c r="Q183" s="188">
        <f>'01_ВВОД'!$D$40</f>
        <v/>
      </c>
      <c r="R183" s="188">
        <f>'01_ВВОД'!$D$46</f>
        <v/>
      </c>
      <c r="S183" s="188">
        <f>H183</f>
        <v/>
      </c>
      <c r="T183" s="188">
        <f>IF(H183=1,M183+N183+P183+Q183,0)</f>
        <v/>
      </c>
      <c r="U183">
        <f>R183*'01_ВВОД'!$D$120</f>
        <v/>
      </c>
    </row>
    <row r="184">
      <c r="A184" s="200" t="n">
        <v>46445</v>
      </c>
      <c r="B184" s="201" t="n">
        <v>6</v>
      </c>
      <c r="C184" s="201" t="inlineStr">
        <is>
          <t>Фев-27</t>
        </is>
      </c>
      <c r="D184" s="201" t="n">
        <v>6</v>
      </c>
      <c r="E184" s="201" t="inlineStr">
        <is>
          <t>Сб</t>
        </is>
      </c>
      <c r="F184" s="199" t="n">
        <v>0</v>
      </c>
      <c r="G184" s="201" t="str"/>
      <c r="H184" s="193" t="n">
        <v>1</v>
      </c>
      <c r="I184" s="201" t="inlineStr">
        <is>
          <t>Пт–Вс</t>
        </is>
      </c>
      <c r="J184" s="188">
        <f>1</f>
        <v/>
      </c>
      <c r="K184" s="188">
        <f>IF(AND(D184&lt;=5,F184=0),1,0)</f>
        <v/>
      </c>
      <c r="L184" s="188">
        <f>IF(F184=1,'01_ВВОД'!$D$23,CHOOSE(D184,'01_ВВОД'!$D$19,'01_ВВОД'!$D$19,'01_ВВОД'!$D$19,'01_ВВОД'!$D$19,'01_ВВОД'!$D$20,'01_ВВОД'!$D$21,'01_ВВОД'!$D$22))</f>
        <v/>
      </c>
      <c r="M184" s="188">
        <f>L184*IF(H184=1,'01_ВВОД'!$D$118,1)</f>
        <v/>
      </c>
      <c r="N184" s="188">
        <f>IF(K184=1,'01_ВВОД'!$D$26,0)</f>
        <v/>
      </c>
      <c r="O184" s="188">
        <f>IF(F184=1,'01_ВВОД'!$D$34,IF(D184&lt;=5,'01_ВВОД'!$D$32,'01_ВВОД'!$D$33))</f>
        <v/>
      </c>
      <c r="P184" s="188">
        <f>O184</f>
        <v/>
      </c>
      <c r="Q184" s="188">
        <f>'01_ВВОД'!$D$40</f>
        <v/>
      </c>
      <c r="R184" s="188">
        <f>'01_ВВОД'!$D$46</f>
        <v/>
      </c>
      <c r="S184" s="188">
        <f>H184</f>
        <v/>
      </c>
      <c r="T184" s="188">
        <f>IF(H184=1,M184+N184+P184+Q184,0)</f>
        <v/>
      </c>
      <c r="U184">
        <f>R184*'01_ВВОД'!$D$120</f>
        <v/>
      </c>
    </row>
    <row r="185">
      <c r="A185" s="200" t="n">
        <v>46446</v>
      </c>
      <c r="B185" s="201" t="n">
        <v>6</v>
      </c>
      <c r="C185" s="201" t="inlineStr">
        <is>
          <t>Фев-27</t>
        </is>
      </c>
      <c r="D185" s="201" t="n">
        <v>7</v>
      </c>
      <c r="E185" s="201" t="inlineStr">
        <is>
          <t>Вс</t>
        </is>
      </c>
      <c r="F185" s="199" t="n">
        <v>0</v>
      </c>
      <c r="G185" s="201" t="str"/>
      <c r="H185" s="193" t="n">
        <v>0</v>
      </c>
      <c r="I185" s="201" t="str"/>
      <c r="J185" s="188">
        <f>1</f>
        <v/>
      </c>
      <c r="K185" s="188">
        <f>IF(AND(D185&lt;=5,F185=0),1,0)</f>
        <v/>
      </c>
      <c r="L185" s="188">
        <f>IF(F185=1,'01_ВВОД'!$D$23,CHOOSE(D185,'01_ВВОД'!$D$19,'01_ВВОД'!$D$19,'01_ВВОД'!$D$19,'01_ВВОД'!$D$19,'01_ВВОД'!$D$20,'01_ВВОД'!$D$21,'01_ВВОД'!$D$22))</f>
        <v/>
      </c>
      <c r="M185" s="188">
        <f>L185*IF(H185=1,'01_ВВОД'!$D$118,1)</f>
        <v/>
      </c>
      <c r="N185" s="188">
        <f>IF(K185=1,'01_ВВОД'!$D$26,0)</f>
        <v/>
      </c>
      <c r="O185" s="188">
        <f>IF(F185=1,'01_ВВОД'!$D$34,IF(D185&lt;=5,'01_ВВОД'!$D$32,'01_ВВОД'!$D$33))</f>
        <v/>
      </c>
      <c r="P185" s="188">
        <f>O185</f>
        <v/>
      </c>
      <c r="Q185" s="188">
        <f>'01_ВВОД'!$D$40</f>
        <v/>
      </c>
      <c r="R185" s="188">
        <f>'01_ВВОД'!$D$46</f>
        <v/>
      </c>
      <c r="S185" s="188">
        <f>H185</f>
        <v/>
      </c>
      <c r="T185" s="188">
        <f>IF(H185=1,M185+N185+P185+Q185,0)</f>
        <v/>
      </c>
      <c r="U185">
        <f>R185*'01_ВВОД'!$D$120</f>
        <v/>
      </c>
    </row>
    <row r="186">
      <c r="A186" s="200" t="n">
        <v>46447</v>
      </c>
      <c r="B186" s="201" t="n">
        <v>7</v>
      </c>
      <c r="C186" s="201" t="inlineStr">
        <is>
          <t>Мар-27</t>
        </is>
      </c>
      <c r="D186" s="201" t="n">
        <v>1</v>
      </c>
      <c r="E186" s="201" t="inlineStr">
        <is>
          <t>Пн</t>
        </is>
      </c>
      <c r="F186" s="199" t="n">
        <v>0</v>
      </c>
      <c r="G186" s="201" t="str"/>
      <c r="H186" s="193" t="n">
        <v>0</v>
      </c>
      <c r="I186" s="201" t="str"/>
      <c r="J186" s="188">
        <f>1</f>
        <v/>
      </c>
      <c r="K186" s="188">
        <f>IF(AND(D186&lt;=5,F186=0),1,0)</f>
        <v/>
      </c>
      <c r="L186" s="188">
        <f>IF(F186=1,'01_ВВОД'!$D$23,CHOOSE(D186,'01_ВВОД'!$D$19,'01_ВВОД'!$D$19,'01_ВВОД'!$D$19,'01_ВВОД'!$D$19,'01_ВВОД'!$D$20,'01_ВВОД'!$D$21,'01_ВВОД'!$D$22))</f>
        <v/>
      </c>
      <c r="M186" s="188">
        <f>L186*IF(H186=1,'01_ВВОД'!$D$118,1)</f>
        <v/>
      </c>
      <c r="N186" s="188">
        <f>IF(K186=1,'01_ВВОД'!$D$26,0)</f>
        <v/>
      </c>
      <c r="O186" s="188">
        <f>IF(F186=1,'01_ВВОД'!$D$34,IF(D186&lt;=5,'01_ВВОД'!$D$32,'01_ВВОД'!$D$33))</f>
        <v/>
      </c>
      <c r="P186" s="188">
        <f>O186</f>
        <v/>
      </c>
      <c r="Q186" s="188">
        <f>'01_ВВОД'!$D$40</f>
        <v/>
      </c>
      <c r="R186" s="188">
        <f>'01_ВВОД'!$D$46</f>
        <v/>
      </c>
      <c r="S186" s="188">
        <f>H186</f>
        <v/>
      </c>
      <c r="T186" s="188">
        <f>IF(H186=1,M186+N186+P186+Q186,0)</f>
        <v/>
      </c>
      <c r="U186">
        <f>R186*'01_ВВОД'!$D$120</f>
        <v/>
      </c>
    </row>
    <row r="187">
      <c r="A187" s="200" t="n">
        <v>46448</v>
      </c>
      <c r="B187" s="201" t="n">
        <v>7</v>
      </c>
      <c r="C187" s="201" t="inlineStr">
        <is>
          <t>Мар-27</t>
        </is>
      </c>
      <c r="D187" s="201" t="n">
        <v>2</v>
      </c>
      <c r="E187" s="201" t="inlineStr">
        <is>
          <t>Вт</t>
        </is>
      </c>
      <c r="F187" s="199" t="n">
        <v>0</v>
      </c>
      <c r="G187" s="201" t="str"/>
      <c r="H187" s="193" t="n">
        <v>0</v>
      </c>
      <c r="I187" s="201" t="str"/>
      <c r="J187" s="188">
        <f>1</f>
        <v/>
      </c>
      <c r="K187" s="188">
        <f>IF(AND(D187&lt;=5,F187=0),1,0)</f>
        <v/>
      </c>
      <c r="L187" s="188">
        <f>IF(F187=1,'01_ВВОД'!$D$23,CHOOSE(D187,'01_ВВОД'!$D$19,'01_ВВОД'!$D$19,'01_ВВОД'!$D$19,'01_ВВОД'!$D$19,'01_ВВОД'!$D$20,'01_ВВОД'!$D$21,'01_ВВОД'!$D$22))</f>
        <v/>
      </c>
      <c r="M187" s="188">
        <f>L187*IF(H187=1,'01_ВВОД'!$D$118,1)</f>
        <v/>
      </c>
      <c r="N187" s="188">
        <f>IF(K187=1,'01_ВВОД'!$D$26,0)</f>
        <v/>
      </c>
      <c r="O187" s="188">
        <f>IF(F187=1,'01_ВВОД'!$D$34,IF(D187&lt;=5,'01_ВВОД'!$D$32,'01_ВВОД'!$D$33))</f>
        <v/>
      </c>
      <c r="P187" s="188">
        <f>O187</f>
        <v/>
      </c>
      <c r="Q187" s="188">
        <f>'01_ВВОД'!$D$40</f>
        <v/>
      </c>
      <c r="R187" s="188">
        <f>'01_ВВОД'!$D$46</f>
        <v/>
      </c>
      <c r="S187" s="188">
        <f>H187</f>
        <v/>
      </c>
      <c r="T187" s="188">
        <f>IF(H187=1,M187+N187+P187+Q187,0)</f>
        <v/>
      </c>
      <c r="U187">
        <f>R187*'01_ВВОД'!$D$120</f>
        <v/>
      </c>
    </row>
    <row r="188">
      <c r="A188" s="200" t="n">
        <v>46449</v>
      </c>
      <c r="B188" s="201" t="n">
        <v>7</v>
      </c>
      <c r="C188" s="201" t="inlineStr">
        <is>
          <t>Мар-27</t>
        </is>
      </c>
      <c r="D188" s="201" t="n">
        <v>3</v>
      </c>
      <c r="E188" s="201" t="inlineStr">
        <is>
          <t>Ср</t>
        </is>
      </c>
      <c r="F188" s="199" t="n">
        <v>0</v>
      </c>
      <c r="G188" s="201" t="str"/>
      <c r="H188" s="193" t="n">
        <v>0</v>
      </c>
      <c r="I188" s="201" t="str"/>
      <c r="J188" s="188">
        <f>1</f>
        <v/>
      </c>
      <c r="K188" s="188">
        <f>IF(AND(D188&lt;=5,F188=0),1,0)</f>
        <v/>
      </c>
      <c r="L188" s="188">
        <f>IF(F188=1,'01_ВВОД'!$D$23,CHOOSE(D188,'01_ВВОД'!$D$19,'01_ВВОД'!$D$19,'01_ВВОД'!$D$19,'01_ВВОД'!$D$19,'01_ВВОД'!$D$20,'01_ВВОД'!$D$21,'01_ВВОД'!$D$22))</f>
        <v/>
      </c>
      <c r="M188" s="188">
        <f>L188*IF(H188=1,'01_ВВОД'!$D$118,1)</f>
        <v/>
      </c>
      <c r="N188" s="188">
        <f>IF(K188=1,'01_ВВОД'!$D$26,0)</f>
        <v/>
      </c>
      <c r="O188" s="188">
        <f>IF(F188=1,'01_ВВОД'!$D$34,IF(D188&lt;=5,'01_ВВОД'!$D$32,'01_ВВОД'!$D$33))</f>
        <v/>
      </c>
      <c r="P188" s="188">
        <f>O188</f>
        <v/>
      </c>
      <c r="Q188" s="188">
        <f>'01_ВВОД'!$D$40</f>
        <v/>
      </c>
      <c r="R188" s="188">
        <f>'01_ВВОД'!$D$46</f>
        <v/>
      </c>
      <c r="S188" s="188">
        <f>H188</f>
        <v/>
      </c>
      <c r="T188" s="188">
        <f>IF(H188=1,M188+N188+P188+Q188,0)</f>
        <v/>
      </c>
      <c r="U188">
        <f>R188*'01_ВВОД'!$D$120</f>
        <v/>
      </c>
    </row>
    <row r="189">
      <c r="A189" s="200" t="n">
        <v>46450</v>
      </c>
      <c r="B189" s="201" t="n">
        <v>7</v>
      </c>
      <c r="C189" s="201" t="inlineStr">
        <is>
          <t>Мар-27</t>
        </is>
      </c>
      <c r="D189" s="201" t="n">
        <v>4</v>
      </c>
      <c r="E189" s="201" t="inlineStr">
        <is>
          <t>Чт</t>
        </is>
      </c>
      <c r="F189" s="199" t="n">
        <v>0</v>
      </c>
      <c r="G189" s="201" t="str"/>
      <c r="H189" s="193" t="n">
        <v>0</v>
      </c>
      <c r="I189" s="201" t="str"/>
      <c r="J189" s="188">
        <f>1</f>
        <v/>
      </c>
      <c r="K189" s="188">
        <f>IF(AND(D189&lt;=5,F189=0),1,0)</f>
        <v/>
      </c>
      <c r="L189" s="188">
        <f>IF(F189=1,'01_ВВОД'!$D$23,CHOOSE(D189,'01_ВВОД'!$D$19,'01_ВВОД'!$D$19,'01_ВВОД'!$D$19,'01_ВВОД'!$D$19,'01_ВВОД'!$D$20,'01_ВВОД'!$D$21,'01_ВВОД'!$D$22))</f>
        <v/>
      </c>
      <c r="M189" s="188">
        <f>L189*IF(H189=1,'01_ВВОД'!$D$118,1)</f>
        <v/>
      </c>
      <c r="N189" s="188">
        <f>IF(K189=1,'01_ВВОД'!$D$26,0)</f>
        <v/>
      </c>
      <c r="O189" s="188">
        <f>IF(F189=1,'01_ВВОД'!$D$34,IF(D189&lt;=5,'01_ВВОД'!$D$32,'01_ВВОД'!$D$33))</f>
        <v/>
      </c>
      <c r="P189" s="188">
        <f>O189</f>
        <v/>
      </c>
      <c r="Q189" s="188">
        <f>'01_ВВОД'!$D$40</f>
        <v/>
      </c>
      <c r="R189" s="188">
        <f>'01_ВВОД'!$D$46</f>
        <v/>
      </c>
      <c r="S189" s="188">
        <f>H189</f>
        <v/>
      </c>
      <c r="T189" s="188">
        <f>IF(H189=1,M189+N189+P189+Q189,0)</f>
        <v/>
      </c>
      <c r="U189">
        <f>R189*'01_ВВОД'!$D$120</f>
        <v/>
      </c>
    </row>
    <row r="190">
      <c r="A190" s="200" t="n">
        <v>46451</v>
      </c>
      <c r="B190" s="201" t="n">
        <v>7</v>
      </c>
      <c r="C190" s="201" t="inlineStr">
        <is>
          <t>Мар-27</t>
        </is>
      </c>
      <c r="D190" s="201" t="n">
        <v>5</v>
      </c>
      <c r="E190" s="201" t="inlineStr">
        <is>
          <t>Пт</t>
        </is>
      </c>
      <c r="F190" s="199" t="n">
        <v>0</v>
      </c>
      <c r="G190" s="201" t="str"/>
      <c r="H190" s="193" t="n">
        <v>0</v>
      </c>
      <c r="I190" s="201" t="str"/>
      <c r="J190" s="188">
        <f>1</f>
        <v/>
      </c>
      <c r="K190" s="188">
        <f>IF(AND(D190&lt;=5,F190=0),1,0)</f>
        <v/>
      </c>
      <c r="L190" s="188">
        <f>IF(F190=1,'01_ВВОД'!$D$23,CHOOSE(D190,'01_ВВОД'!$D$19,'01_ВВОД'!$D$19,'01_ВВОД'!$D$19,'01_ВВОД'!$D$19,'01_ВВОД'!$D$20,'01_ВВОД'!$D$21,'01_ВВОД'!$D$22))</f>
        <v/>
      </c>
      <c r="M190" s="188">
        <f>L190*IF(H190=1,'01_ВВОД'!$D$118,1)</f>
        <v/>
      </c>
      <c r="N190" s="188">
        <f>IF(K190=1,'01_ВВОД'!$D$26,0)</f>
        <v/>
      </c>
      <c r="O190" s="188">
        <f>IF(F190=1,'01_ВВОД'!$D$34,IF(D190&lt;=5,'01_ВВОД'!$D$32,'01_ВВОД'!$D$33))</f>
        <v/>
      </c>
      <c r="P190" s="188">
        <f>O190</f>
        <v/>
      </c>
      <c r="Q190" s="188">
        <f>'01_ВВОД'!$D$40</f>
        <v/>
      </c>
      <c r="R190" s="188">
        <f>'01_ВВОД'!$D$46</f>
        <v/>
      </c>
      <c r="S190" s="188">
        <f>H190</f>
        <v/>
      </c>
      <c r="T190" s="188">
        <f>IF(H190=1,M190+N190+P190+Q190,0)</f>
        <v/>
      </c>
      <c r="U190">
        <f>R190*'01_ВВОД'!$D$120</f>
        <v/>
      </c>
    </row>
    <row r="191">
      <c r="A191" s="200" t="n">
        <v>46452</v>
      </c>
      <c r="B191" s="201" t="n">
        <v>7</v>
      </c>
      <c r="C191" s="201" t="inlineStr">
        <is>
          <t>Мар-27</t>
        </is>
      </c>
      <c r="D191" s="201" t="n">
        <v>6</v>
      </c>
      <c r="E191" s="201" t="inlineStr">
        <is>
          <t>Сб</t>
        </is>
      </c>
      <c r="F191" s="199" t="n">
        <v>0</v>
      </c>
      <c r="G191" s="201" t="str"/>
      <c r="H191" s="193" t="n">
        <v>0</v>
      </c>
      <c r="I191" s="201" t="str"/>
      <c r="J191" s="188">
        <f>1</f>
        <v/>
      </c>
      <c r="K191" s="188">
        <f>IF(AND(D191&lt;=5,F191=0),1,0)</f>
        <v/>
      </c>
      <c r="L191" s="188">
        <f>IF(F191=1,'01_ВВОД'!$D$23,CHOOSE(D191,'01_ВВОД'!$D$19,'01_ВВОД'!$D$19,'01_ВВОД'!$D$19,'01_ВВОД'!$D$19,'01_ВВОД'!$D$20,'01_ВВОД'!$D$21,'01_ВВОД'!$D$22))</f>
        <v/>
      </c>
      <c r="M191" s="188">
        <f>L191*IF(H191=1,'01_ВВОД'!$D$118,1)</f>
        <v/>
      </c>
      <c r="N191" s="188">
        <f>IF(K191=1,'01_ВВОД'!$D$26,0)</f>
        <v/>
      </c>
      <c r="O191" s="188">
        <f>IF(F191=1,'01_ВВОД'!$D$34,IF(D191&lt;=5,'01_ВВОД'!$D$32,'01_ВВОД'!$D$33))</f>
        <v/>
      </c>
      <c r="P191" s="188">
        <f>O191</f>
        <v/>
      </c>
      <c r="Q191" s="188">
        <f>'01_ВВОД'!$D$40</f>
        <v/>
      </c>
      <c r="R191" s="188">
        <f>'01_ВВОД'!$D$46</f>
        <v/>
      </c>
      <c r="S191" s="188">
        <f>H191</f>
        <v/>
      </c>
      <c r="T191" s="188">
        <f>IF(H191=1,M191+N191+P191+Q191,0)</f>
        <v/>
      </c>
      <c r="U191">
        <f>R191*'01_ВВОД'!$D$120</f>
        <v/>
      </c>
    </row>
    <row r="192">
      <c r="A192" s="200" t="n">
        <v>46453</v>
      </c>
      <c r="B192" s="201" t="n">
        <v>7</v>
      </c>
      <c r="C192" s="201" t="inlineStr">
        <is>
          <t>Мар-27</t>
        </is>
      </c>
      <c r="D192" s="201" t="n">
        <v>7</v>
      </c>
      <c r="E192" s="201" t="inlineStr">
        <is>
          <t>Вс</t>
        </is>
      </c>
      <c r="F192" s="199" t="n">
        <v>0</v>
      </c>
      <c r="G192" s="201" t="str"/>
      <c r="H192" s="193" t="n">
        <v>1</v>
      </c>
      <c r="I192" s="201" t="inlineStr">
        <is>
          <t>Пт–Вс</t>
        </is>
      </c>
      <c r="J192" s="188">
        <f>1</f>
        <v/>
      </c>
      <c r="K192" s="188">
        <f>IF(AND(D192&lt;=5,F192=0),1,0)</f>
        <v/>
      </c>
      <c r="L192" s="188">
        <f>IF(F192=1,'01_ВВОД'!$D$23,CHOOSE(D192,'01_ВВОД'!$D$19,'01_ВВОД'!$D$19,'01_ВВОД'!$D$19,'01_ВВОД'!$D$19,'01_ВВОД'!$D$20,'01_ВВОД'!$D$21,'01_ВВОД'!$D$22))</f>
        <v/>
      </c>
      <c r="M192" s="188">
        <f>L192*IF(H192=1,'01_ВВОД'!$D$118,1)</f>
        <v/>
      </c>
      <c r="N192" s="188">
        <f>IF(K192=1,'01_ВВОД'!$D$26,0)</f>
        <v/>
      </c>
      <c r="O192" s="188">
        <f>IF(F192=1,'01_ВВОД'!$D$34,IF(D192&lt;=5,'01_ВВОД'!$D$32,'01_ВВОД'!$D$33))</f>
        <v/>
      </c>
      <c r="P192" s="188">
        <f>O192</f>
        <v/>
      </c>
      <c r="Q192" s="188">
        <f>'01_ВВОД'!$D$40</f>
        <v/>
      </c>
      <c r="R192" s="188">
        <f>'01_ВВОД'!$D$46</f>
        <v/>
      </c>
      <c r="S192" s="188">
        <f>H192</f>
        <v/>
      </c>
      <c r="T192" s="188">
        <f>IF(H192=1,M192+N192+P192+Q192,0)</f>
        <v/>
      </c>
      <c r="U192">
        <f>R192*'01_ВВОД'!$D$120</f>
        <v/>
      </c>
    </row>
    <row r="193">
      <c r="A193" s="200" t="n">
        <v>46454</v>
      </c>
      <c r="B193" s="201" t="n">
        <v>7</v>
      </c>
      <c r="C193" s="201" t="inlineStr">
        <is>
          <t>Мар-27</t>
        </is>
      </c>
      <c r="D193" s="201" t="n">
        <v>1</v>
      </c>
      <c r="E193" s="201" t="inlineStr">
        <is>
          <t>Пн</t>
        </is>
      </c>
      <c r="F193" s="199" t="n">
        <v>1</v>
      </c>
      <c r="G193" s="201" t="inlineStr">
        <is>
          <t>Фиксированный праздник 2027; переносы уточнить</t>
        </is>
      </c>
      <c r="H193" s="193" t="n">
        <v>0</v>
      </c>
      <c r="I193" s="201" t="str"/>
      <c r="J193" s="188">
        <f>1</f>
        <v/>
      </c>
      <c r="K193" s="188">
        <f>IF(AND(D193&lt;=5,F193=0),1,0)</f>
        <v/>
      </c>
      <c r="L193" s="188">
        <f>IF(F193=1,'01_ВВОД'!$D$23,CHOOSE(D193,'01_ВВОД'!$D$19,'01_ВВОД'!$D$19,'01_ВВОД'!$D$19,'01_ВВОД'!$D$19,'01_ВВОД'!$D$20,'01_ВВОД'!$D$21,'01_ВВОД'!$D$22))</f>
        <v/>
      </c>
      <c r="M193" s="188">
        <f>L193*IF(H193=1,'01_ВВОД'!$D$118,1)</f>
        <v/>
      </c>
      <c r="N193" s="188">
        <f>IF(K193=1,'01_ВВОД'!$D$26,0)</f>
        <v/>
      </c>
      <c r="O193" s="188">
        <f>IF(F193=1,'01_ВВОД'!$D$34,IF(D193&lt;=5,'01_ВВОД'!$D$32,'01_ВВОД'!$D$33))</f>
        <v/>
      </c>
      <c r="P193" s="188">
        <f>O193</f>
        <v/>
      </c>
      <c r="Q193" s="188">
        <f>'01_ВВОД'!$D$40</f>
        <v/>
      </c>
      <c r="R193" s="188">
        <f>'01_ВВОД'!$D$46</f>
        <v/>
      </c>
      <c r="S193" s="188">
        <f>H193</f>
        <v/>
      </c>
      <c r="T193" s="188">
        <f>IF(H193=1,M193+N193+P193+Q193,0)</f>
        <v/>
      </c>
      <c r="U193">
        <f>R193*'01_ВВОД'!$D$120</f>
        <v/>
      </c>
    </row>
    <row r="194">
      <c r="A194" s="200" t="n">
        <v>46455</v>
      </c>
      <c r="B194" s="201" t="n">
        <v>7</v>
      </c>
      <c r="C194" s="201" t="inlineStr">
        <is>
          <t>Мар-27</t>
        </is>
      </c>
      <c r="D194" s="201" t="n">
        <v>2</v>
      </c>
      <c r="E194" s="201" t="inlineStr">
        <is>
          <t>Вт</t>
        </is>
      </c>
      <c r="F194" s="199" t="n">
        <v>0</v>
      </c>
      <c r="G194" s="201" t="str"/>
      <c r="H194" s="193" t="n">
        <v>0</v>
      </c>
      <c r="I194" s="201" t="str"/>
      <c r="J194" s="188">
        <f>1</f>
        <v/>
      </c>
      <c r="K194" s="188">
        <f>IF(AND(D194&lt;=5,F194=0),1,0)</f>
        <v/>
      </c>
      <c r="L194" s="188">
        <f>IF(F194=1,'01_ВВОД'!$D$23,CHOOSE(D194,'01_ВВОД'!$D$19,'01_ВВОД'!$D$19,'01_ВВОД'!$D$19,'01_ВВОД'!$D$19,'01_ВВОД'!$D$20,'01_ВВОД'!$D$21,'01_ВВОД'!$D$22))</f>
        <v/>
      </c>
      <c r="M194" s="188">
        <f>L194*IF(H194=1,'01_ВВОД'!$D$118,1)</f>
        <v/>
      </c>
      <c r="N194" s="188">
        <f>IF(K194=1,'01_ВВОД'!$D$26,0)</f>
        <v/>
      </c>
      <c r="O194" s="188">
        <f>IF(F194=1,'01_ВВОД'!$D$34,IF(D194&lt;=5,'01_ВВОД'!$D$32,'01_ВВОД'!$D$33))</f>
        <v/>
      </c>
      <c r="P194" s="188">
        <f>O194</f>
        <v/>
      </c>
      <c r="Q194" s="188">
        <f>'01_ВВОД'!$D$40</f>
        <v/>
      </c>
      <c r="R194" s="188">
        <f>'01_ВВОД'!$D$46</f>
        <v/>
      </c>
      <c r="S194" s="188">
        <f>H194</f>
        <v/>
      </c>
      <c r="T194" s="188">
        <f>IF(H194=1,M194+N194+P194+Q194,0)</f>
        <v/>
      </c>
      <c r="U194">
        <f>R194*'01_ВВОД'!$D$120</f>
        <v/>
      </c>
    </row>
    <row r="195">
      <c r="A195" s="200" t="n">
        <v>46456</v>
      </c>
      <c r="B195" s="201" t="n">
        <v>7</v>
      </c>
      <c r="C195" s="201" t="inlineStr">
        <is>
          <t>Мар-27</t>
        </is>
      </c>
      <c r="D195" s="201" t="n">
        <v>3</v>
      </c>
      <c r="E195" s="201" t="inlineStr">
        <is>
          <t>Ср</t>
        </is>
      </c>
      <c r="F195" s="199" t="n">
        <v>0</v>
      </c>
      <c r="G195" s="201" t="str"/>
      <c r="H195" s="193" t="n">
        <v>0</v>
      </c>
      <c r="I195" s="201" t="str"/>
      <c r="J195" s="188">
        <f>1</f>
        <v/>
      </c>
      <c r="K195" s="188">
        <f>IF(AND(D195&lt;=5,F195=0),1,0)</f>
        <v/>
      </c>
      <c r="L195" s="188">
        <f>IF(F195=1,'01_ВВОД'!$D$23,CHOOSE(D195,'01_ВВОД'!$D$19,'01_ВВОД'!$D$19,'01_ВВОД'!$D$19,'01_ВВОД'!$D$19,'01_ВВОД'!$D$20,'01_ВВОД'!$D$21,'01_ВВОД'!$D$22))</f>
        <v/>
      </c>
      <c r="M195" s="188">
        <f>L195*IF(H195=1,'01_ВВОД'!$D$118,1)</f>
        <v/>
      </c>
      <c r="N195" s="188">
        <f>IF(K195=1,'01_ВВОД'!$D$26,0)</f>
        <v/>
      </c>
      <c r="O195" s="188">
        <f>IF(F195=1,'01_ВВОД'!$D$34,IF(D195&lt;=5,'01_ВВОД'!$D$32,'01_ВВОД'!$D$33))</f>
        <v/>
      </c>
      <c r="P195" s="188">
        <f>O195</f>
        <v/>
      </c>
      <c r="Q195" s="188">
        <f>'01_ВВОД'!$D$40</f>
        <v/>
      </c>
      <c r="R195" s="188">
        <f>'01_ВВОД'!$D$46</f>
        <v/>
      </c>
      <c r="S195" s="188">
        <f>H195</f>
        <v/>
      </c>
      <c r="T195" s="188">
        <f>IF(H195=1,M195+N195+P195+Q195,0)</f>
        <v/>
      </c>
      <c r="U195">
        <f>R195*'01_ВВОД'!$D$120</f>
        <v/>
      </c>
    </row>
    <row r="196">
      <c r="A196" s="200" t="n">
        <v>46457</v>
      </c>
      <c r="B196" s="201" t="n">
        <v>7</v>
      </c>
      <c r="C196" s="201" t="inlineStr">
        <is>
          <t>Мар-27</t>
        </is>
      </c>
      <c r="D196" s="201" t="n">
        <v>4</v>
      </c>
      <c r="E196" s="201" t="inlineStr">
        <is>
          <t>Чт</t>
        </is>
      </c>
      <c r="F196" s="199" t="n">
        <v>0</v>
      </c>
      <c r="G196" s="201" t="str"/>
      <c r="H196" s="193" t="n">
        <v>0</v>
      </c>
      <c r="I196" s="201" t="str"/>
      <c r="J196" s="188">
        <f>1</f>
        <v/>
      </c>
      <c r="K196" s="188">
        <f>IF(AND(D196&lt;=5,F196=0),1,0)</f>
        <v/>
      </c>
      <c r="L196" s="188">
        <f>IF(F196=1,'01_ВВОД'!$D$23,CHOOSE(D196,'01_ВВОД'!$D$19,'01_ВВОД'!$D$19,'01_ВВОД'!$D$19,'01_ВВОД'!$D$19,'01_ВВОД'!$D$20,'01_ВВОД'!$D$21,'01_ВВОД'!$D$22))</f>
        <v/>
      </c>
      <c r="M196" s="188">
        <f>L196*IF(H196=1,'01_ВВОД'!$D$118,1)</f>
        <v/>
      </c>
      <c r="N196" s="188">
        <f>IF(K196=1,'01_ВВОД'!$D$26,0)</f>
        <v/>
      </c>
      <c r="O196" s="188">
        <f>IF(F196=1,'01_ВВОД'!$D$34,IF(D196&lt;=5,'01_ВВОД'!$D$32,'01_ВВОД'!$D$33))</f>
        <v/>
      </c>
      <c r="P196" s="188">
        <f>O196</f>
        <v/>
      </c>
      <c r="Q196" s="188">
        <f>'01_ВВОД'!$D$40</f>
        <v/>
      </c>
      <c r="R196" s="188">
        <f>'01_ВВОД'!$D$46</f>
        <v/>
      </c>
      <c r="S196" s="188">
        <f>H196</f>
        <v/>
      </c>
      <c r="T196" s="188">
        <f>IF(H196=1,M196+N196+P196+Q196,0)</f>
        <v/>
      </c>
      <c r="U196">
        <f>R196*'01_ВВОД'!$D$120</f>
        <v/>
      </c>
    </row>
    <row r="197">
      <c r="A197" s="200" t="n">
        <v>46458</v>
      </c>
      <c r="B197" s="201" t="n">
        <v>7</v>
      </c>
      <c r="C197" s="201" t="inlineStr">
        <is>
          <t>Мар-27</t>
        </is>
      </c>
      <c r="D197" s="201" t="n">
        <v>5</v>
      </c>
      <c r="E197" s="201" t="inlineStr">
        <is>
          <t>Пт</t>
        </is>
      </c>
      <c r="F197" s="199" t="n">
        <v>0</v>
      </c>
      <c r="G197" s="201" t="str"/>
      <c r="H197" s="193" t="n">
        <v>1</v>
      </c>
      <c r="I197" s="201" t="inlineStr">
        <is>
          <t>Пт–Вс</t>
        </is>
      </c>
      <c r="J197" s="188">
        <f>1</f>
        <v/>
      </c>
      <c r="K197" s="188">
        <f>IF(AND(D197&lt;=5,F197=0),1,0)</f>
        <v/>
      </c>
      <c r="L197" s="188">
        <f>IF(F197=1,'01_ВВОД'!$D$23,CHOOSE(D197,'01_ВВОД'!$D$19,'01_ВВОД'!$D$19,'01_ВВОД'!$D$19,'01_ВВОД'!$D$19,'01_ВВОД'!$D$20,'01_ВВОД'!$D$21,'01_ВВОД'!$D$22))</f>
        <v/>
      </c>
      <c r="M197" s="188">
        <f>L197*IF(H197=1,'01_ВВОД'!$D$118,1)</f>
        <v/>
      </c>
      <c r="N197" s="188">
        <f>IF(K197=1,'01_ВВОД'!$D$26,0)</f>
        <v/>
      </c>
      <c r="O197" s="188">
        <f>IF(F197=1,'01_ВВОД'!$D$34,IF(D197&lt;=5,'01_ВВОД'!$D$32,'01_ВВОД'!$D$33))</f>
        <v/>
      </c>
      <c r="P197" s="188">
        <f>O197</f>
        <v/>
      </c>
      <c r="Q197" s="188">
        <f>'01_ВВОД'!$D$40</f>
        <v/>
      </c>
      <c r="R197" s="188">
        <f>'01_ВВОД'!$D$46</f>
        <v/>
      </c>
      <c r="S197" s="188">
        <f>H197</f>
        <v/>
      </c>
      <c r="T197" s="188">
        <f>IF(H197=1,M197+N197+P197+Q197,0)</f>
        <v/>
      </c>
      <c r="U197">
        <f>R197*'01_ВВОД'!$D$120</f>
        <v/>
      </c>
    </row>
    <row r="198">
      <c r="A198" s="200" t="n">
        <v>46459</v>
      </c>
      <c r="B198" s="201" t="n">
        <v>7</v>
      </c>
      <c r="C198" s="201" t="inlineStr">
        <is>
          <t>Мар-27</t>
        </is>
      </c>
      <c r="D198" s="201" t="n">
        <v>6</v>
      </c>
      <c r="E198" s="201" t="inlineStr">
        <is>
          <t>Сб</t>
        </is>
      </c>
      <c r="F198" s="199" t="n">
        <v>0</v>
      </c>
      <c r="G198" s="201" t="str"/>
      <c r="H198" s="193" t="n">
        <v>1</v>
      </c>
      <c r="I198" s="201" t="inlineStr">
        <is>
          <t>Пт–Вс</t>
        </is>
      </c>
      <c r="J198" s="188">
        <f>1</f>
        <v/>
      </c>
      <c r="K198" s="188">
        <f>IF(AND(D198&lt;=5,F198=0),1,0)</f>
        <v/>
      </c>
      <c r="L198" s="188">
        <f>IF(F198=1,'01_ВВОД'!$D$23,CHOOSE(D198,'01_ВВОД'!$D$19,'01_ВВОД'!$D$19,'01_ВВОД'!$D$19,'01_ВВОД'!$D$19,'01_ВВОД'!$D$20,'01_ВВОД'!$D$21,'01_ВВОД'!$D$22))</f>
        <v/>
      </c>
      <c r="M198" s="188">
        <f>L198*IF(H198=1,'01_ВВОД'!$D$118,1)</f>
        <v/>
      </c>
      <c r="N198" s="188">
        <f>IF(K198=1,'01_ВВОД'!$D$26,0)</f>
        <v/>
      </c>
      <c r="O198" s="188">
        <f>IF(F198=1,'01_ВВОД'!$D$34,IF(D198&lt;=5,'01_ВВОД'!$D$32,'01_ВВОД'!$D$33))</f>
        <v/>
      </c>
      <c r="P198" s="188">
        <f>O198</f>
        <v/>
      </c>
      <c r="Q198" s="188">
        <f>'01_ВВОД'!$D$40</f>
        <v/>
      </c>
      <c r="R198" s="188">
        <f>'01_ВВОД'!$D$46</f>
        <v/>
      </c>
      <c r="S198" s="188">
        <f>H198</f>
        <v/>
      </c>
      <c r="T198" s="188">
        <f>IF(H198=1,M198+N198+P198+Q198,0)</f>
        <v/>
      </c>
      <c r="U198">
        <f>R198*'01_ВВОД'!$D$120</f>
        <v/>
      </c>
    </row>
    <row r="199">
      <c r="A199" s="200" t="n">
        <v>46460</v>
      </c>
      <c r="B199" s="201" t="n">
        <v>7</v>
      </c>
      <c r="C199" s="201" t="inlineStr">
        <is>
          <t>Мар-27</t>
        </is>
      </c>
      <c r="D199" s="201" t="n">
        <v>7</v>
      </c>
      <c r="E199" s="201" t="inlineStr">
        <is>
          <t>Вс</t>
        </is>
      </c>
      <c r="F199" s="199" t="n">
        <v>0</v>
      </c>
      <c r="G199" s="201" t="str"/>
      <c r="H199" s="193" t="n">
        <v>0</v>
      </c>
      <c r="I199" s="201" t="str"/>
      <c r="J199" s="188">
        <f>1</f>
        <v/>
      </c>
      <c r="K199" s="188">
        <f>IF(AND(D199&lt;=5,F199=0),1,0)</f>
        <v/>
      </c>
      <c r="L199" s="188">
        <f>IF(F199=1,'01_ВВОД'!$D$23,CHOOSE(D199,'01_ВВОД'!$D$19,'01_ВВОД'!$D$19,'01_ВВОД'!$D$19,'01_ВВОД'!$D$19,'01_ВВОД'!$D$20,'01_ВВОД'!$D$21,'01_ВВОД'!$D$22))</f>
        <v/>
      </c>
      <c r="M199" s="188">
        <f>L199*IF(H199=1,'01_ВВОД'!$D$118,1)</f>
        <v/>
      </c>
      <c r="N199" s="188">
        <f>IF(K199=1,'01_ВВОД'!$D$26,0)</f>
        <v/>
      </c>
      <c r="O199" s="188">
        <f>IF(F199=1,'01_ВВОД'!$D$34,IF(D199&lt;=5,'01_ВВОД'!$D$32,'01_ВВОД'!$D$33))</f>
        <v/>
      </c>
      <c r="P199" s="188">
        <f>O199</f>
        <v/>
      </c>
      <c r="Q199" s="188">
        <f>'01_ВВОД'!$D$40</f>
        <v/>
      </c>
      <c r="R199" s="188">
        <f>'01_ВВОД'!$D$46</f>
        <v/>
      </c>
      <c r="S199" s="188">
        <f>H199</f>
        <v/>
      </c>
      <c r="T199" s="188">
        <f>IF(H199=1,M199+N199+P199+Q199,0)</f>
        <v/>
      </c>
      <c r="U199">
        <f>R199*'01_ВВОД'!$D$120</f>
        <v/>
      </c>
    </row>
    <row r="200">
      <c r="A200" s="200" t="n">
        <v>46461</v>
      </c>
      <c r="B200" s="201" t="n">
        <v>7</v>
      </c>
      <c r="C200" s="201" t="inlineStr">
        <is>
          <t>Мар-27</t>
        </is>
      </c>
      <c r="D200" s="201" t="n">
        <v>1</v>
      </c>
      <c r="E200" s="201" t="inlineStr">
        <is>
          <t>Пн</t>
        </is>
      </c>
      <c r="F200" s="199" t="n">
        <v>0</v>
      </c>
      <c r="G200" s="201" t="str"/>
      <c r="H200" s="193" t="n">
        <v>0</v>
      </c>
      <c r="I200" s="201" t="str"/>
      <c r="J200" s="188">
        <f>1</f>
        <v/>
      </c>
      <c r="K200" s="188">
        <f>IF(AND(D200&lt;=5,F200=0),1,0)</f>
        <v/>
      </c>
      <c r="L200" s="188">
        <f>IF(F200=1,'01_ВВОД'!$D$23,CHOOSE(D200,'01_ВВОД'!$D$19,'01_ВВОД'!$D$19,'01_ВВОД'!$D$19,'01_ВВОД'!$D$19,'01_ВВОД'!$D$20,'01_ВВОД'!$D$21,'01_ВВОД'!$D$22))</f>
        <v/>
      </c>
      <c r="M200" s="188">
        <f>L200*IF(H200=1,'01_ВВОД'!$D$118,1)</f>
        <v/>
      </c>
      <c r="N200" s="188">
        <f>IF(K200=1,'01_ВВОД'!$D$26,0)</f>
        <v/>
      </c>
      <c r="O200" s="188">
        <f>IF(F200=1,'01_ВВОД'!$D$34,IF(D200&lt;=5,'01_ВВОД'!$D$32,'01_ВВОД'!$D$33))</f>
        <v/>
      </c>
      <c r="P200" s="188">
        <f>O200</f>
        <v/>
      </c>
      <c r="Q200" s="188">
        <f>'01_ВВОД'!$D$40</f>
        <v/>
      </c>
      <c r="R200" s="188">
        <f>'01_ВВОД'!$D$46</f>
        <v/>
      </c>
      <c r="S200" s="188">
        <f>H200</f>
        <v/>
      </c>
      <c r="T200" s="188">
        <f>IF(H200=1,M200+N200+P200+Q200,0)</f>
        <v/>
      </c>
      <c r="U200">
        <f>R200*'01_ВВОД'!$D$120</f>
        <v/>
      </c>
    </row>
    <row r="201">
      <c r="A201" s="200" t="n">
        <v>46462</v>
      </c>
      <c r="B201" s="201" t="n">
        <v>7</v>
      </c>
      <c r="C201" s="201" t="inlineStr">
        <is>
          <t>Мар-27</t>
        </is>
      </c>
      <c r="D201" s="201" t="n">
        <v>2</v>
      </c>
      <c r="E201" s="201" t="inlineStr">
        <is>
          <t>Вт</t>
        </is>
      </c>
      <c r="F201" s="199" t="n">
        <v>0</v>
      </c>
      <c r="G201" s="201" t="str"/>
      <c r="H201" s="193" t="n">
        <v>0</v>
      </c>
      <c r="I201" s="201" t="str"/>
      <c r="J201" s="188">
        <f>1</f>
        <v/>
      </c>
      <c r="K201" s="188">
        <f>IF(AND(D201&lt;=5,F201=0),1,0)</f>
        <v/>
      </c>
      <c r="L201" s="188">
        <f>IF(F201=1,'01_ВВОД'!$D$23,CHOOSE(D201,'01_ВВОД'!$D$19,'01_ВВОД'!$D$19,'01_ВВОД'!$D$19,'01_ВВОД'!$D$19,'01_ВВОД'!$D$20,'01_ВВОД'!$D$21,'01_ВВОД'!$D$22))</f>
        <v/>
      </c>
      <c r="M201" s="188">
        <f>L201*IF(H201=1,'01_ВВОД'!$D$118,1)</f>
        <v/>
      </c>
      <c r="N201" s="188">
        <f>IF(K201=1,'01_ВВОД'!$D$26,0)</f>
        <v/>
      </c>
      <c r="O201" s="188">
        <f>IF(F201=1,'01_ВВОД'!$D$34,IF(D201&lt;=5,'01_ВВОД'!$D$32,'01_ВВОД'!$D$33))</f>
        <v/>
      </c>
      <c r="P201" s="188">
        <f>O201</f>
        <v/>
      </c>
      <c r="Q201" s="188">
        <f>'01_ВВОД'!$D$40</f>
        <v/>
      </c>
      <c r="R201" s="188">
        <f>'01_ВВОД'!$D$46</f>
        <v/>
      </c>
      <c r="S201" s="188">
        <f>H201</f>
        <v/>
      </c>
      <c r="T201" s="188">
        <f>IF(H201=1,M201+N201+P201+Q201,0)</f>
        <v/>
      </c>
      <c r="U201">
        <f>R201*'01_ВВОД'!$D$120</f>
        <v/>
      </c>
    </row>
    <row r="202">
      <c r="A202" s="200" t="n">
        <v>46463</v>
      </c>
      <c r="B202" s="201" t="n">
        <v>7</v>
      </c>
      <c r="C202" s="201" t="inlineStr">
        <is>
          <t>Мар-27</t>
        </is>
      </c>
      <c r="D202" s="201" t="n">
        <v>3</v>
      </c>
      <c r="E202" s="201" t="inlineStr">
        <is>
          <t>Ср</t>
        </is>
      </c>
      <c r="F202" s="199" t="n">
        <v>0</v>
      </c>
      <c r="G202" s="201" t="str"/>
      <c r="H202" s="193" t="n">
        <v>0</v>
      </c>
      <c r="I202" s="201" t="str"/>
      <c r="J202" s="188">
        <f>1</f>
        <v/>
      </c>
      <c r="K202" s="188">
        <f>IF(AND(D202&lt;=5,F202=0),1,0)</f>
        <v/>
      </c>
      <c r="L202" s="188">
        <f>IF(F202=1,'01_ВВОД'!$D$23,CHOOSE(D202,'01_ВВОД'!$D$19,'01_ВВОД'!$D$19,'01_ВВОД'!$D$19,'01_ВВОД'!$D$19,'01_ВВОД'!$D$20,'01_ВВОД'!$D$21,'01_ВВОД'!$D$22))</f>
        <v/>
      </c>
      <c r="M202" s="188">
        <f>L202*IF(H202=1,'01_ВВОД'!$D$118,1)</f>
        <v/>
      </c>
      <c r="N202" s="188">
        <f>IF(K202=1,'01_ВВОД'!$D$26,0)</f>
        <v/>
      </c>
      <c r="O202" s="188">
        <f>IF(F202=1,'01_ВВОД'!$D$34,IF(D202&lt;=5,'01_ВВОД'!$D$32,'01_ВВОД'!$D$33))</f>
        <v/>
      </c>
      <c r="P202" s="188">
        <f>O202</f>
        <v/>
      </c>
      <c r="Q202" s="188">
        <f>'01_ВВОД'!$D$40</f>
        <v/>
      </c>
      <c r="R202" s="188">
        <f>'01_ВВОД'!$D$46</f>
        <v/>
      </c>
      <c r="S202" s="188">
        <f>H202</f>
        <v/>
      </c>
      <c r="T202" s="188">
        <f>IF(H202=1,M202+N202+P202+Q202,0)</f>
        <v/>
      </c>
      <c r="U202">
        <f>R202*'01_ВВОД'!$D$120</f>
        <v/>
      </c>
    </row>
    <row r="203">
      <c r="A203" s="200" t="n">
        <v>46464</v>
      </c>
      <c r="B203" s="201" t="n">
        <v>7</v>
      </c>
      <c r="C203" s="201" t="inlineStr">
        <is>
          <t>Мар-27</t>
        </is>
      </c>
      <c r="D203" s="201" t="n">
        <v>4</v>
      </c>
      <c r="E203" s="201" t="inlineStr">
        <is>
          <t>Чт</t>
        </is>
      </c>
      <c r="F203" s="199" t="n">
        <v>0</v>
      </c>
      <c r="G203" s="201" t="str"/>
      <c r="H203" s="193" t="n">
        <v>0</v>
      </c>
      <c r="I203" s="201" t="str"/>
      <c r="J203" s="188">
        <f>1</f>
        <v/>
      </c>
      <c r="K203" s="188">
        <f>IF(AND(D203&lt;=5,F203=0),1,0)</f>
        <v/>
      </c>
      <c r="L203" s="188">
        <f>IF(F203=1,'01_ВВОД'!$D$23,CHOOSE(D203,'01_ВВОД'!$D$19,'01_ВВОД'!$D$19,'01_ВВОД'!$D$19,'01_ВВОД'!$D$19,'01_ВВОД'!$D$20,'01_ВВОД'!$D$21,'01_ВВОД'!$D$22))</f>
        <v/>
      </c>
      <c r="M203" s="188">
        <f>L203*IF(H203=1,'01_ВВОД'!$D$118,1)</f>
        <v/>
      </c>
      <c r="N203" s="188">
        <f>IF(K203=1,'01_ВВОД'!$D$26,0)</f>
        <v/>
      </c>
      <c r="O203" s="188">
        <f>IF(F203=1,'01_ВВОД'!$D$34,IF(D203&lt;=5,'01_ВВОД'!$D$32,'01_ВВОД'!$D$33))</f>
        <v/>
      </c>
      <c r="P203" s="188">
        <f>O203</f>
        <v/>
      </c>
      <c r="Q203" s="188">
        <f>'01_ВВОД'!$D$40</f>
        <v/>
      </c>
      <c r="R203" s="188">
        <f>'01_ВВОД'!$D$46</f>
        <v/>
      </c>
      <c r="S203" s="188">
        <f>H203</f>
        <v/>
      </c>
      <c r="T203" s="188">
        <f>IF(H203=1,M203+N203+P203+Q203,0)</f>
        <v/>
      </c>
      <c r="U203">
        <f>R203*'01_ВВОД'!$D$120</f>
        <v/>
      </c>
    </row>
    <row r="204">
      <c r="A204" s="200" t="n">
        <v>46465</v>
      </c>
      <c r="B204" s="201" t="n">
        <v>7</v>
      </c>
      <c r="C204" s="201" t="inlineStr">
        <is>
          <t>Мар-27</t>
        </is>
      </c>
      <c r="D204" s="201" t="n">
        <v>5</v>
      </c>
      <c r="E204" s="201" t="inlineStr">
        <is>
          <t>Пт</t>
        </is>
      </c>
      <c r="F204" s="199" t="n">
        <v>0</v>
      </c>
      <c r="G204" s="201" t="str"/>
      <c r="H204" s="193" t="n">
        <v>1</v>
      </c>
      <c r="I204" s="201" t="inlineStr">
        <is>
          <t>Пт–Вс</t>
        </is>
      </c>
      <c r="J204" s="188">
        <f>1</f>
        <v/>
      </c>
      <c r="K204" s="188">
        <f>IF(AND(D204&lt;=5,F204=0),1,0)</f>
        <v/>
      </c>
      <c r="L204" s="188">
        <f>IF(F204=1,'01_ВВОД'!$D$23,CHOOSE(D204,'01_ВВОД'!$D$19,'01_ВВОД'!$D$19,'01_ВВОД'!$D$19,'01_ВВОД'!$D$19,'01_ВВОД'!$D$20,'01_ВВОД'!$D$21,'01_ВВОД'!$D$22))</f>
        <v/>
      </c>
      <c r="M204" s="188">
        <f>L204*IF(H204=1,'01_ВВОД'!$D$118,1)</f>
        <v/>
      </c>
      <c r="N204" s="188">
        <f>IF(K204=1,'01_ВВОД'!$D$26,0)</f>
        <v/>
      </c>
      <c r="O204" s="188">
        <f>IF(F204=1,'01_ВВОД'!$D$34,IF(D204&lt;=5,'01_ВВОД'!$D$32,'01_ВВОД'!$D$33))</f>
        <v/>
      </c>
      <c r="P204" s="188">
        <f>O204</f>
        <v/>
      </c>
      <c r="Q204" s="188">
        <f>'01_ВВОД'!$D$40</f>
        <v/>
      </c>
      <c r="R204" s="188">
        <f>'01_ВВОД'!$D$46</f>
        <v/>
      </c>
      <c r="S204" s="188">
        <f>H204</f>
        <v/>
      </c>
      <c r="T204" s="188">
        <f>IF(H204=1,M204+N204+P204+Q204,0)</f>
        <v/>
      </c>
      <c r="U204">
        <f>R204*'01_ВВОД'!$D$120</f>
        <v/>
      </c>
    </row>
    <row r="205">
      <c r="A205" s="200" t="n">
        <v>46466</v>
      </c>
      <c r="B205" s="201" t="n">
        <v>7</v>
      </c>
      <c r="C205" s="201" t="inlineStr">
        <is>
          <t>Мар-27</t>
        </is>
      </c>
      <c r="D205" s="201" t="n">
        <v>6</v>
      </c>
      <c r="E205" s="201" t="inlineStr">
        <is>
          <t>Сб</t>
        </is>
      </c>
      <c r="F205" s="199" t="n">
        <v>0</v>
      </c>
      <c r="G205" s="201" t="str"/>
      <c r="H205" s="193" t="n">
        <v>0</v>
      </c>
      <c r="I205" s="201" t="str"/>
      <c r="J205" s="188">
        <f>1</f>
        <v/>
      </c>
      <c r="K205" s="188">
        <f>IF(AND(D205&lt;=5,F205=0),1,0)</f>
        <v/>
      </c>
      <c r="L205" s="188">
        <f>IF(F205=1,'01_ВВОД'!$D$23,CHOOSE(D205,'01_ВВОД'!$D$19,'01_ВВОД'!$D$19,'01_ВВОД'!$D$19,'01_ВВОД'!$D$19,'01_ВВОД'!$D$20,'01_ВВОД'!$D$21,'01_ВВОД'!$D$22))</f>
        <v/>
      </c>
      <c r="M205" s="188">
        <f>L205*IF(H205=1,'01_ВВОД'!$D$118,1)</f>
        <v/>
      </c>
      <c r="N205" s="188">
        <f>IF(K205=1,'01_ВВОД'!$D$26,0)</f>
        <v/>
      </c>
      <c r="O205" s="188">
        <f>IF(F205=1,'01_ВВОД'!$D$34,IF(D205&lt;=5,'01_ВВОД'!$D$32,'01_ВВОД'!$D$33))</f>
        <v/>
      </c>
      <c r="P205" s="188">
        <f>O205</f>
        <v/>
      </c>
      <c r="Q205" s="188">
        <f>'01_ВВОД'!$D$40</f>
        <v/>
      </c>
      <c r="R205" s="188">
        <f>'01_ВВОД'!$D$46</f>
        <v/>
      </c>
      <c r="S205" s="188">
        <f>H205</f>
        <v/>
      </c>
      <c r="T205" s="188">
        <f>IF(H205=1,M205+N205+P205+Q205,0)</f>
        <v/>
      </c>
      <c r="U205">
        <f>R205*'01_ВВОД'!$D$120</f>
        <v/>
      </c>
    </row>
    <row r="206">
      <c r="A206" s="200" t="n">
        <v>46467</v>
      </c>
      <c r="B206" s="201" t="n">
        <v>7</v>
      </c>
      <c r="C206" s="201" t="inlineStr">
        <is>
          <t>Мар-27</t>
        </is>
      </c>
      <c r="D206" s="201" t="n">
        <v>7</v>
      </c>
      <c r="E206" s="201" t="inlineStr">
        <is>
          <t>Вс</t>
        </is>
      </c>
      <c r="F206" s="199" t="n">
        <v>0</v>
      </c>
      <c r="G206" s="201" t="str"/>
      <c r="H206" s="193" t="n">
        <v>0</v>
      </c>
      <c r="I206" s="201" t="str"/>
      <c r="J206" s="188">
        <f>1</f>
        <v/>
      </c>
      <c r="K206" s="188">
        <f>IF(AND(D206&lt;=5,F206=0),1,0)</f>
        <v/>
      </c>
      <c r="L206" s="188">
        <f>IF(F206=1,'01_ВВОД'!$D$23,CHOOSE(D206,'01_ВВОД'!$D$19,'01_ВВОД'!$D$19,'01_ВВОД'!$D$19,'01_ВВОД'!$D$19,'01_ВВОД'!$D$20,'01_ВВОД'!$D$21,'01_ВВОД'!$D$22))</f>
        <v/>
      </c>
      <c r="M206" s="188">
        <f>L206*IF(H206=1,'01_ВВОД'!$D$118,1)</f>
        <v/>
      </c>
      <c r="N206" s="188">
        <f>IF(K206=1,'01_ВВОД'!$D$26,0)</f>
        <v/>
      </c>
      <c r="O206" s="188">
        <f>IF(F206=1,'01_ВВОД'!$D$34,IF(D206&lt;=5,'01_ВВОД'!$D$32,'01_ВВОД'!$D$33))</f>
        <v/>
      </c>
      <c r="P206" s="188">
        <f>O206</f>
        <v/>
      </c>
      <c r="Q206" s="188">
        <f>'01_ВВОД'!$D$40</f>
        <v/>
      </c>
      <c r="R206" s="188">
        <f>'01_ВВОД'!$D$46</f>
        <v/>
      </c>
      <c r="S206" s="188">
        <f>H206</f>
        <v/>
      </c>
      <c r="T206" s="188">
        <f>IF(H206=1,M206+N206+P206+Q206,0)</f>
        <v/>
      </c>
      <c r="U206">
        <f>R206*'01_ВВОД'!$D$120</f>
        <v/>
      </c>
    </row>
    <row r="207">
      <c r="A207" s="200" t="n">
        <v>46468</v>
      </c>
      <c r="B207" s="201" t="n">
        <v>7</v>
      </c>
      <c r="C207" s="201" t="inlineStr">
        <is>
          <t>Мар-27</t>
        </is>
      </c>
      <c r="D207" s="201" t="n">
        <v>1</v>
      </c>
      <c r="E207" s="201" t="inlineStr">
        <is>
          <t>Пн</t>
        </is>
      </c>
      <c r="F207" s="199" t="n">
        <v>0</v>
      </c>
      <c r="G207" s="201" t="str"/>
      <c r="H207" s="193" t="n">
        <v>0</v>
      </c>
      <c r="I207" s="201" t="str"/>
      <c r="J207" s="188">
        <f>1</f>
        <v/>
      </c>
      <c r="K207" s="188">
        <f>IF(AND(D207&lt;=5,F207=0),1,0)</f>
        <v/>
      </c>
      <c r="L207" s="188">
        <f>IF(F207=1,'01_ВВОД'!$D$23,CHOOSE(D207,'01_ВВОД'!$D$19,'01_ВВОД'!$D$19,'01_ВВОД'!$D$19,'01_ВВОД'!$D$19,'01_ВВОД'!$D$20,'01_ВВОД'!$D$21,'01_ВВОД'!$D$22))</f>
        <v/>
      </c>
      <c r="M207" s="188">
        <f>L207*IF(H207=1,'01_ВВОД'!$D$118,1)</f>
        <v/>
      </c>
      <c r="N207" s="188">
        <f>IF(K207=1,'01_ВВОД'!$D$26,0)</f>
        <v/>
      </c>
      <c r="O207" s="188">
        <f>IF(F207=1,'01_ВВОД'!$D$34,IF(D207&lt;=5,'01_ВВОД'!$D$32,'01_ВВОД'!$D$33))</f>
        <v/>
      </c>
      <c r="P207" s="188">
        <f>O207</f>
        <v/>
      </c>
      <c r="Q207" s="188">
        <f>'01_ВВОД'!$D$40</f>
        <v/>
      </c>
      <c r="R207" s="188">
        <f>'01_ВВОД'!$D$46</f>
        <v/>
      </c>
      <c r="S207" s="188">
        <f>H207</f>
        <v/>
      </c>
      <c r="T207" s="188">
        <f>IF(H207=1,M207+N207+P207+Q207,0)</f>
        <v/>
      </c>
      <c r="U207">
        <f>R207*'01_ВВОД'!$D$120</f>
        <v/>
      </c>
    </row>
    <row r="208">
      <c r="A208" s="200" t="n">
        <v>46469</v>
      </c>
      <c r="B208" s="201" t="n">
        <v>7</v>
      </c>
      <c r="C208" s="201" t="inlineStr">
        <is>
          <t>Мар-27</t>
        </is>
      </c>
      <c r="D208" s="201" t="n">
        <v>2</v>
      </c>
      <c r="E208" s="201" t="inlineStr">
        <is>
          <t>Вт</t>
        </is>
      </c>
      <c r="F208" s="199" t="n">
        <v>0</v>
      </c>
      <c r="G208" s="201" t="str"/>
      <c r="H208" s="193" t="n">
        <v>0</v>
      </c>
      <c r="I208" s="201" t="str"/>
      <c r="J208" s="188">
        <f>1</f>
        <v/>
      </c>
      <c r="K208" s="188">
        <f>IF(AND(D208&lt;=5,F208=0),1,0)</f>
        <v/>
      </c>
      <c r="L208" s="188">
        <f>IF(F208=1,'01_ВВОД'!$D$23,CHOOSE(D208,'01_ВВОД'!$D$19,'01_ВВОД'!$D$19,'01_ВВОД'!$D$19,'01_ВВОД'!$D$19,'01_ВВОД'!$D$20,'01_ВВОД'!$D$21,'01_ВВОД'!$D$22))</f>
        <v/>
      </c>
      <c r="M208" s="188">
        <f>L208*IF(H208=1,'01_ВВОД'!$D$118,1)</f>
        <v/>
      </c>
      <c r="N208" s="188">
        <f>IF(K208=1,'01_ВВОД'!$D$26,0)</f>
        <v/>
      </c>
      <c r="O208" s="188">
        <f>IF(F208=1,'01_ВВОД'!$D$34,IF(D208&lt;=5,'01_ВВОД'!$D$32,'01_ВВОД'!$D$33))</f>
        <v/>
      </c>
      <c r="P208" s="188">
        <f>O208</f>
        <v/>
      </c>
      <c r="Q208" s="188">
        <f>'01_ВВОД'!$D$40</f>
        <v/>
      </c>
      <c r="R208" s="188">
        <f>'01_ВВОД'!$D$46</f>
        <v/>
      </c>
      <c r="S208" s="188">
        <f>H208</f>
        <v/>
      </c>
      <c r="T208" s="188">
        <f>IF(H208=1,M208+N208+P208+Q208,0)</f>
        <v/>
      </c>
      <c r="U208">
        <f>R208*'01_ВВОД'!$D$120</f>
        <v/>
      </c>
    </row>
    <row r="209">
      <c r="A209" s="200" t="n">
        <v>46470</v>
      </c>
      <c r="B209" s="201" t="n">
        <v>7</v>
      </c>
      <c r="C209" s="201" t="inlineStr">
        <is>
          <t>Мар-27</t>
        </is>
      </c>
      <c r="D209" s="201" t="n">
        <v>3</v>
      </c>
      <c r="E209" s="201" t="inlineStr">
        <is>
          <t>Ср</t>
        </is>
      </c>
      <c r="F209" s="199" t="n">
        <v>0</v>
      </c>
      <c r="G209" s="201" t="str"/>
      <c r="H209" s="193" t="n">
        <v>0</v>
      </c>
      <c r="I209" s="201" t="str"/>
      <c r="J209" s="188">
        <f>1</f>
        <v/>
      </c>
      <c r="K209" s="188">
        <f>IF(AND(D209&lt;=5,F209=0),1,0)</f>
        <v/>
      </c>
      <c r="L209" s="188">
        <f>IF(F209=1,'01_ВВОД'!$D$23,CHOOSE(D209,'01_ВВОД'!$D$19,'01_ВВОД'!$D$19,'01_ВВОД'!$D$19,'01_ВВОД'!$D$19,'01_ВВОД'!$D$20,'01_ВВОД'!$D$21,'01_ВВОД'!$D$22))</f>
        <v/>
      </c>
      <c r="M209" s="188">
        <f>L209*IF(H209=1,'01_ВВОД'!$D$118,1)</f>
        <v/>
      </c>
      <c r="N209" s="188">
        <f>IF(K209=1,'01_ВВОД'!$D$26,0)</f>
        <v/>
      </c>
      <c r="O209" s="188">
        <f>IF(F209=1,'01_ВВОД'!$D$34,IF(D209&lt;=5,'01_ВВОД'!$D$32,'01_ВВОД'!$D$33))</f>
        <v/>
      </c>
      <c r="P209" s="188">
        <f>O209</f>
        <v/>
      </c>
      <c r="Q209" s="188">
        <f>'01_ВВОД'!$D$40</f>
        <v/>
      </c>
      <c r="R209" s="188">
        <f>'01_ВВОД'!$D$46</f>
        <v/>
      </c>
      <c r="S209" s="188">
        <f>H209</f>
        <v/>
      </c>
      <c r="T209" s="188">
        <f>IF(H209=1,M209+N209+P209+Q209,0)</f>
        <v/>
      </c>
      <c r="U209">
        <f>R209*'01_ВВОД'!$D$120</f>
        <v/>
      </c>
    </row>
    <row r="210">
      <c r="A210" s="200" t="n">
        <v>46471</v>
      </c>
      <c r="B210" s="201" t="n">
        <v>7</v>
      </c>
      <c r="C210" s="201" t="inlineStr">
        <is>
          <t>Мар-27</t>
        </is>
      </c>
      <c r="D210" s="201" t="n">
        <v>4</v>
      </c>
      <c r="E210" s="201" t="inlineStr">
        <is>
          <t>Чт</t>
        </is>
      </c>
      <c r="F210" s="199" t="n">
        <v>0</v>
      </c>
      <c r="G210" s="201" t="str"/>
      <c r="H210" s="193" t="n">
        <v>0</v>
      </c>
      <c r="I210" s="201" t="str"/>
      <c r="J210" s="188">
        <f>1</f>
        <v/>
      </c>
      <c r="K210" s="188">
        <f>IF(AND(D210&lt;=5,F210=0),1,0)</f>
        <v/>
      </c>
      <c r="L210" s="188">
        <f>IF(F210=1,'01_ВВОД'!$D$23,CHOOSE(D210,'01_ВВОД'!$D$19,'01_ВВОД'!$D$19,'01_ВВОД'!$D$19,'01_ВВОД'!$D$19,'01_ВВОД'!$D$20,'01_ВВОД'!$D$21,'01_ВВОД'!$D$22))</f>
        <v/>
      </c>
      <c r="M210" s="188">
        <f>L210*IF(H210=1,'01_ВВОД'!$D$118,1)</f>
        <v/>
      </c>
      <c r="N210" s="188">
        <f>IF(K210=1,'01_ВВОД'!$D$26,0)</f>
        <v/>
      </c>
      <c r="O210" s="188">
        <f>IF(F210=1,'01_ВВОД'!$D$34,IF(D210&lt;=5,'01_ВВОД'!$D$32,'01_ВВОД'!$D$33))</f>
        <v/>
      </c>
      <c r="P210" s="188">
        <f>O210</f>
        <v/>
      </c>
      <c r="Q210" s="188">
        <f>'01_ВВОД'!$D$40</f>
        <v/>
      </c>
      <c r="R210" s="188">
        <f>'01_ВВОД'!$D$46</f>
        <v/>
      </c>
      <c r="S210" s="188">
        <f>H210</f>
        <v/>
      </c>
      <c r="T210" s="188">
        <f>IF(H210=1,M210+N210+P210+Q210,0)</f>
        <v/>
      </c>
      <c r="U210">
        <f>R210*'01_ВВОД'!$D$120</f>
        <v/>
      </c>
    </row>
    <row r="211">
      <c r="A211" s="200" t="n">
        <v>46472</v>
      </c>
      <c r="B211" s="201" t="n">
        <v>7</v>
      </c>
      <c r="C211" s="201" t="inlineStr">
        <is>
          <t>Мар-27</t>
        </is>
      </c>
      <c r="D211" s="201" t="n">
        <v>5</v>
      </c>
      <c r="E211" s="201" t="inlineStr">
        <is>
          <t>Пт</t>
        </is>
      </c>
      <c r="F211" s="199" t="n">
        <v>0</v>
      </c>
      <c r="G211" s="201" t="str"/>
      <c r="H211" s="193" t="n">
        <v>0</v>
      </c>
      <c r="I211" s="201" t="str"/>
      <c r="J211" s="188">
        <f>1</f>
        <v/>
      </c>
      <c r="K211" s="188">
        <f>IF(AND(D211&lt;=5,F211=0),1,0)</f>
        <v/>
      </c>
      <c r="L211" s="188">
        <f>IF(F211=1,'01_ВВОД'!$D$23,CHOOSE(D211,'01_ВВОД'!$D$19,'01_ВВОД'!$D$19,'01_ВВОД'!$D$19,'01_ВВОД'!$D$19,'01_ВВОД'!$D$20,'01_ВВОД'!$D$21,'01_ВВОД'!$D$22))</f>
        <v/>
      </c>
      <c r="M211" s="188">
        <f>L211*IF(H211=1,'01_ВВОД'!$D$118,1)</f>
        <v/>
      </c>
      <c r="N211" s="188">
        <f>IF(K211=1,'01_ВВОД'!$D$26,0)</f>
        <v/>
      </c>
      <c r="O211" s="188">
        <f>IF(F211=1,'01_ВВОД'!$D$34,IF(D211&lt;=5,'01_ВВОД'!$D$32,'01_ВВОД'!$D$33))</f>
        <v/>
      </c>
      <c r="P211" s="188">
        <f>O211</f>
        <v/>
      </c>
      <c r="Q211" s="188">
        <f>'01_ВВОД'!$D$40</f>
        <v/>
      </c>
      <c r="R211" s="188">
        <f>'01_ВВОД'!$D$46</f>
        <v/>
      </c>
      <c r="S211" s="188">
        <f>H211</f>
        <v/>
      </c>
      <c r="T211" s="188">
        <f>IF(H211=1,M211+N211+P211+Q211,0)</f>
        <v/>
      </c>
      <c r="U211">
        <f>R211*'01_ВВОД'!$D$120</f>
        <v/>
      </c>
    </row>
    <row r="212">
      <c r="A212" s="200" t="n">
        <v>46473</v>
      </c>
      <c r="B212" s="201" t="n">
        <v>7</v>
      </c>
      <c r="C212" s="201" t="inlineStr">
        <is>
          <t>Мар-27</t>
        </is>
      </c>
      <c r="D212" s="201" t="n">
        <v>6</v>
      </c>
      <c r="E212" s="201" t="inlineStr">
        <is>
          <t>Сб</t>
        </is>
      </c>
      <c r="F212" s="199" t="n">
        <v>0</v>
      </c>
      <c r="G212" s="201" t="str"/>
      <c r="H212" s="193" t="n">
        <v>1</v>
      </c>
      <c r="I212" s="201" t="inlineStr">
        <is>
          <t>Пт–Вс</t>
        </is>
      </c>
      <c r="J212" s="188">
        <f>1</f>
        <v/>
      </c>
      <c r="K212" s="188">
        <f>IF(AND(D212&lt;=5,F212=0),1,0)</f>
        <v/>
      </c>
      <c r="L212" s="188">
        <f>IF(F212=1,'01_ВВОД'!$D$23,CHOOSE(D212,'01_ВВОД'!$D$19,'01_ВВОД'!$D$19,'01_ВВОД'!$D$19,'01_ВВОД'!$D$19,'01_ВВОД'!$D$20,'01_ВВОД'!$D$21,'01_ВВОД'!$D$22))</f>
        <v/>
      </c>
      <c r="M212" s="188">
        <f>L212*IF(H212=1,'01_ВВОД'!$D$118,1)</f>
        <v/>
      </c>
      <c r="N212" s="188">
        <f>IF(K212=1,'01_ВВОД'!$D$26,0)</f>
        <v/>
      </c>
      <c r="O212" s="188">
        <f>IF(F212=1,'01_ВВОД'!$D$34,IF(D212&lt;=5,'01_ВВОД'!$D$32,'01_ВВОД'!$D$33))</f>
        <v/>
      </c>
      <c r="P212" s="188">
        <f>O212</f>
        <v/>
      </c>
      <c r="Q212" s="188">
        <f>'01_ВВОД'!$D$40</f>
        <v/>
      </c>
      <c r="R212" s="188">
        <f>'01_ВВОД'!$D$46</f>
        <v/>
      </c>
      <c r="S212" s="188">
        <f>H212</f>
        <v/>
      </c>
      <c r="T212" s="188">
        <f>IF(H212=1,M212+N212+P212+Q212,0)</f>
        <v/>
      </c>
      <c r="U212">
        <f>R212*'01_ВВОД'!$D$120</f>
        <v/>
      </c>
    </row>
    <row r="213">
      <c r="A213" s="200" t="n">
        <v>46474</v>
      </c>
      <c r="B213" s="201" t="n">
        <v>7</v>
      </c>
      <c r="C213" s="201" t="inlineStr">
        <is>
          <t>Мар-27</t>
        </is>
      </c>
      <c r="D213" s="201" t="n">
        <v>7</v>
      </c>
      <c r="E213" s="201" t="inlineStr">
        <is>
          <t>Вс</t>
        </is>
      </c>
      <c r="F213" s="199" t="n">
        <v>0</v>
      </c>
      <c r="G213" s="201" t="str"/>
      <c r="H213" s="193" t="n">
        <v>0</v>
      </c>
      <c r="I213" s="201" t="str"/>
      <c r="J213" s="188">
        <f>1</f>
        <v/>
      </c>
      <c r="K213" s="188">
        <f>IF(AND(D213&lt;=5,F213=0),1,0)</f>
        <v/>
      </c>
      <c r="L213" s="188">
        <f>IF(F213=1,'01_ВВОД'!$D$23,CHOOSE(D213,'01_ВВОД'!$D$19,'01_ВВОД'!$D$19,'01_ВВОД'!$D$19,'01_ВВОД'!$D$19,'01_ВВОД'!$D$20,'01_ВВОД'!$D$21,'01_ВВОД'!$D$22))</f>
        <v/>
      </c>
      <c r="M213" s="188">
        <f>L213*IF(H213=1,'01_ВВОД'!$D$118,1)</f>
        <v/>
      </c>
      <c r="N213" s="188">
        <f>IF(K213=1,'01_ВВОД'!$D$26,0)</f>
        <v/>
      </c>
      <c r="O213" s="188">
        <f>IF(F213=1,'01_ВВОД'!$D$34,IF(D213&lt;=5,'01_ВВОД'!$D$32,'01_ВВОД'!$D$33))</f>
        <v/>
      </c>
      <c r="P213" s="188">
        <f>O213</f>
        <v/>
      </c>
      <c r="Q213" s="188">
        <f>'01_ВВОД'!$D$40</f>
        <v/>
      </c>
      <c r="R213" s="188">
        <f>'01_ВВОД'!$D$46</f>
        <v/>
      </c>
      <c r="S213" s="188">
        <f>H213</f>
        <v/>
      </c>
      <c r="T213" s="188">
        <f>IF(H213=1,M213+N213+P213+Q213,0)</f>
        <v/>
      </c>
      <c r="U213">
        <f>R213*'01_ВВОД'!$D$120</f>
        <v/>
      </c>
    </row>
    <row r="214">
      <c r="A214" s="200" t="n">
        <v>46475</v>
      </c>
      <c r="B214" s="201" t="n">
        <v>7</v>
      </c>
      <c r="C214" s="201" t="inlineStr">
        <is>
          <t>Мар-27</t>
        </is>
      </c>
      <c r="D214" s="201" t="n">
        <v>1</v>
      </c>
      <c r="E214" s="201" t="inlineStr">
        <is>
          <t>Пн</t>
        </is>
      </c>
      <c r="F214" s="199" t="n">
        <v>0</v>
      </c>
      <c r="G214" s="201" t="str"/>
      <c r="H214" s="193" t="n">
        <v>1</v>
      </c>
      <c r="I214" s="201" t="inlineStr">
        <is>
          <t>Пн–Чт</t>
        </is>
      </c>
      <c r="J214" s="188">
        <f>1</f>
        <v/>
      </c>
      <c r="K214" s="188">
        <f>IF(AND(D214&lt;=5,F214=0),1,0)</f>
        <v/>
      </c>
      <c r="L214" s="188">
        <f>IF(F214=1,'01_ВВОД'!$D$23,CHOOSE(D214,'01_ВВОД'!$D$19,'01_ВВОД'!$D$19,'01_ВВОД'!$D$19,'01_ВВОД'!$D$19,'01_ВВОД'!$D$20,'01_ВВОД'!$D$21,'01_ВВОД'!$D$22))</f>
        <v/>
      </c>
      <c r="M214" s="188">
        <f>L214*IF(H214=1,'01_ВВОД'!$D$118,1)</f>
        <v/>
      </c>
      <c r="N214" s="188">
        <f>IF(K214=1,'01_ВВОД'!$D$26,0)</f>
        <v/>
      </c>
      <c r="O214" s="188">
        <f>IF(F214=1,'01_ВВОД'!$D$34,IF(D214&lt;=5,'01_ВВОД'!$D$32,'01_ВВОД'!$D$33))</f>
        <v/>
      </c>
      <c r="P214" s="188">
        <f>O214</f>
        <v/>
      </c>
      <c r="Q214" s="188">
        <f>'01_ВВОД'!$D$40</f>
        <v/>
      </c>
      <c r="R214" s="188">
        <f>'01_ВВОД'!$D$46</f>
        <v/>
      </c>
      <c r="S214" s="188">
        <f>H214</f>
        <v/>
      </c>
      <c r="T214" s="188">
        <f>IF(H214=1,M214+N214+P214+Q214,0)</f>
        <v/>
      </c>
      <c r="U214">
        <f>R214*'01_ВВОД'!$D$120</f>
        <v/>
      </c>
    </row>
    <row r="215">
      <c r="A215" s="200" t="n">
        <v>46476</v>
      </c>
      <c r="B215" s="201" t="n">
        <v>7</v>
      </c>
      <c r="C215" s="201" t="inlineStr">
        <is>
          <t>Мар-27</t>
        </is>
      </c>
      <c r="D215" s="201" t="n">
        <v>2</v>
      </c>
      <c r="E215" s="201" t="inlineStr">
        <is>
          <t>Вт</t>
        </is>
      </c>
      <c r="F215" s="199" t="n">
        <v>0</v>
      </c>
      <c r="G215" s="201" t="str"/>
      <c r="H215" s="193" t="n">
        <v>0</v>
      </c>
      <c r="I215" s="201" t="str"/>
      <c r="J215" s="188">
        <f>1</f>
        <v/>
      </c>
      <c r="K215" s="188">
        <f>IF(AND(D215&lt;=5,F215=0),1,0)</f>
        <v/>
      </c>
      <c r="L215" s="188">
        <f>IF(F215=1,'01_ВВОД'!$D$23,CHOOSE(D215,'01_ВВОД'!$D$19,'01_ВВОД'!$D$19,'01_ВВОД'!$D$19,'01_ВВОД'!$D$19,'01_ВВОД'!$D$20,'01_ВВОД'!$D$21,'01_ВВОД'!$D$22))</f>
        <v/>
      </c>
      <c r="M215" s="188">
        <f>L215*IF(H215=1,'01_ВВОД'!$D$118,1)</f>
        <v/>
      </c>
      <c r="N215" s="188">
        <f>IF(K215=1,'01_ВВОД'!$D$26,0)</f>
        <v/>
      </c>
      <c r="O215" s="188">
        <f>IF(F215=1,'01_ВВОД'!$D$34,IF(D215&lt;=5,'01_ВВОД'!$D$32,'01_ВВОД'!$D$33))</f>
        <v/>
      </c>
      <c r="P215" s="188">
        <f>O215</f>
        <v/>
      </c>
      <c r="Q215" s="188">
        <f>'01_ВВОД'!$D$40</f>
        <v/>
      </c>
      <c r="R215" s="188">
        <f>'01_ВВОД'!$D$46</f>
        <v/>
      </c>
      <c r="S215" s="188">
        <f>H215</f>
        <v/>
      </c>
      <c r="T215" s="188">
        <f>IF(H215=1,M215+N215+P215+Q215,0)</f>
        <v/>
      </c>
      <c r="U215">
        <f>R215*'01_ВВОД'!$D$120</f>
        <v/>
      </c>
    </row>
    <row r="216">
      <c r="A216" s="200" t="n">
        <v>46477</v>
      </c>
      <c r="B216" s="201" t="n">
        <v>7</v>
      </c>
      <c r="C216" s="201" t="inlineStr">
        <is>
          <t>Мар-27</t>
        </is>
      </c>
      <c r="D216" s="201" t="n">
        <v>3</v>
      </c>
      <c r="E216" s="201" t="inlineStr">
        <is>
          <t>Ср</t>
        </is>
      </c>
      <c r="F216" s="199" t="n">
        <v>0</v>
      </c>
      <c r="G216" s="201" t="str"/>
      <c r="H216" s="193" t="n">
        <v>0</v>
      </c>
      <c r="I216" s="201" t="str"/>
      <c r="J216" s="188">
        <f>1</f>
        <v/>
      </c>
      <c r="K216" s="188">
        <f>IF(AND(D216&lt;=5,F216=0),1,0)</f>
        <v/>
      </c>
      <c r="L216" s="188">
        <f>IF(F216=1,'01_ВВОД'!$D$23,CHOOSE(D216,'01_ВВОД'!$D$19,'01_ВВОД'!$D$19,'01_ВВОД'!$D$19,'01_ВВОД'!$D$19,'01_ВВОД'!$D$20,'01_ВВОД'!$D$21,'01_ВВОД'!$D$22))</f>
        <v/>
      </c>
      <c r="M216" s="188">
        <f>L216*IF(H216=1,'01_ВВОД'!$D$118,1)</f>
        <v/>
      </c>
      <c r="N216" s="188">
        <f>IF(K216=1,'01_ВВОД'!$D$26,0)</f>
        <v/>
      </c>
      <c r="O216" s="188">
        <f>IF(F216=1,'01_ВВОД'!$D$34,IF(D216&lt;=5,'01_ВВОД'!$D$32,'01_ВВОД'!$D$33))</f>
        <v/>
      </c>
      <c r="P216" s="188">
        <f>O216</f>
        <v/>
      </c>
      <c r="Q216" s="188">
        <f>'01_ВВОД'!$D$40</f>
        <v/>
      </c>
      <c r="R216" s="188">
        <f>'01_ВВОД'!$D$46</f>
        <v/>
      </c>
      <c r="S216" s="188">
        <f>H216</f>
        <v/>
      </c>
      <c r="T216" s="188">
        <f>IF(H216=1,M216+N216+P216+Q216,0)</f>
        <v/>
      </c>
      <c r="U216">
        <f>R216*'01_ВВОД'!$D$120</f>
        <v/>
      </c>
    </row>
    <row r="217">
      <c r="A217" s="200" t="n">
        <v>46478</v>
      </c>
      <c r="B217" s="201" t="n">
        <v>8</v>
      </c>
      <c r="C217" s="201" t="inlineStr">
        <is>
          <t>Апр-27</t>
        </is>
      </c>
      <c r="D217" s="201" t="n">
        <v>4</v>
      </c>
      <c r="E217" s="201" t="inlineStr">
        <is>
          <t>Чт</t>
        </is>
      </c>
      <c r="F217" s="199" t="n">
        <v>0</v>
      </c>
      <c r="G217" s="201" t="str"/>
      <c r="H217" s="193" t="n">
        <v>0</v>
      </c>
      <c r="I217" s="201" t="str"/>
      <c r="J217" s="188">
        <f>1</f>
        <v/>
      </c>
      <c r="K217" s="188">
        <f>IF(AND(D217&lt;=5,F217=0),1,0)</f>
        <v/>
      </c>
      <c r="L217" s="188">
        <f>IF(F217=1,'01_ВВОД'!$D$23,CHOOSE(D217,'01_ВВОД'!$D$19,'01_ВВОД'!$D$19,'01_ВВОД'!$D$19,'01_ВВОД'!$D$19,'01_ВВОД'!$D$20,'01_ВВОД'!$D$21,'01_ВВОД'!$D$22))</f>
        <v/>
      </c>
      <c r="M217" s="188">
        <f>L217*IF(H217=1,'01_ВВОД'!$D$118,1)</f>
        <v/>
      </c>
      <c r="N217" s="188">
        <f>IF(K217=1,'01_ВВОД'!$D$26,0)</f>
        <v/>
      </c>
      <c r="O217" s="188">
        <f>IF(F217=1,'01_ВВОД'!$D$34,IF(D217&lt;=5,'01_ВВОД'!$D$32,'01_ВВОД'!$D$33))</f>
        <v/>
      </c>
      <c r="P217" s="188">
        <f>O217</f>
        <v/>
      </c>
      <c r="Q217" s="188">
        <f>'01_ВВОД'!$D$40</f>
        <v/>
      </c>
      <c r="R217" s="188">
        <f>'01_ВВОД'!$D$46</f>
        <v/>
      </c>
      <c r="S217" s="188">
        <f>H217</f>
        <v/>
      </c>
      <c r="T217" s="188">
        <f>IF(H217=1,M217+N217+P217+Q217,0)</f>
        <v/>
      </c>
      <c r="U217">
        <f>R217*'01_ВВОД'!$D$120</f>
        <v/>
      </c>
    </row>
    <row r="218">
      <c r="A218" s="200" t="n">
        <v>46479</v>
      </c>
      <c r="B218" s="201" t="n">
        <v>8</v>
      </c>
      <c r="C218" s="201" t="inlineStr">
        <is>
          <t>Апр-27</t>
        </is>
      </c>
      <c r="D218" s="201" t="n">
        <v>5</v>
      </c>
      <c r="E218" s="201" t="inlineStr">
        <is>
          <t>Пт</t>
        </is>
      </c>
      <c r="F218" s="199" t="n">
        <v>0</v>
      </c>
      <c r="G218" s="201" t="str"/>
      <c r="H218" s="193" t="n">
        <v>0</v>
      </c>
      <c r="I218" s="201" t="str"/>
      <c r="J218" s="188">
        <f>1</f>
        <v/>
      </c>
      <c r="K218" s="188">
        <f>IF(AND(D218&lt;=5,F218=0),1,0)</f>
        <v/>
      </c>
      <c r="L218" s="188">
        <f>IF(F218=1,'01_ВВОД'!$D$23,CHOOSE(D218,'01_ВВОД'!$D$19,'01_ВВОД'!$D$19,'01_ВВОД'!$D$19,'01_ВВОД'!$D$19,'01_ВВОД'!$D$20,'01_ВВОД'!$D$21,'01_ВВОД'!$D$22))</f>
        <v/>
      </c>
      <c r="M218" s="188">
        <f>L218*IF(H218=1,'01_ВВОД'!$D$118,1)</f>
        <v/>
      </c>
      <c r="N218" s="188">
        <f>IF(K218=1,'01_ВВОД'!$D$26,0)</f>
        <v/>
      </c>
      <c r="O218" s="188">
        <f>IF(F218=1,'01_ВВОД'!$D$34,IF(D218&lt;=5,'01_ВВОД'!$D$32,'01_ВВОД'!$D$33))</f>
        <v/>
      </c>
      <c r="P218" s="188">
        <f>O218</f>
        <v/>
      </c>
      <c r="Q218" s="188">
        <f>'01_ВВОД'!$D$40</f>
        <v/>
      </c>
      <c r="R218" s="188">
        <f>'01_ВВОД'!$D$46</f>
        <v/>
      </c>
      <c r="S218" s="188">
        <f>H218</f>
        <v/>
      </c>
      <c r="T218" s="188">
        <f>IF(H218=1,M218+N218+P218+Q218,0)</f>
        <v/>
      </c>
      <c r="U218">
        <f>R218*'01_ВВОД'!$D$120</f>
        <v/>
      </c>
    </row>
    <row r="219">
      <c r="A219" s="200" t="n">
        <v>46480</v>
      </c>
      <c r="B219" s="201" t="n">
        <v>8</v>
      </c>
      <c r="C219" s="201" t="inlineStr">
        <is>
          <t>Апр-27</t>
        </is>
      </c>
      <c r="D219" s="201" t="n">
        <v>6</v>
      </c>
      <c r="E219" s="201" t="inlineStr">
        <is>
          <t>Сб</t>
        </is>
      </c>
      <c r="F219" s="199" t="n">
        <v>0</v>
      </c>
      <c r="G219" s="201" t="str"/>
      <c r="H219" s="193" t="n">
        <v>0</v>
      </c>
      <c r="I219" s="201" t="str"/>
      <c r="J219" s="188">
        <f>1</f>
        <v/>
      </c>
      <c r="K219" s="188">
        <f>IF(AND(D219&lt;=5,F219=0),1,0)</f>
        <v/>
      </c>
      <c r="L219" s="188">
        <f>IF(F219=1,'01_ВВОД'!$D$23,CHOOSE(D219,'01_ВВОД'!$D$19,'01_ВВОД'!$D$19,'01_ВВОД'!$D$19,'01_ВВОД'!$D$19,'01_ВВОД'!$D$20,'01_ВВОД'!$D$21,'01_ВВОД'!$D$22))</f>
        <v/>
      </c>
      <c r="M219" s="188">
        <f>L219*IF(H219=1,'01_ВВОД'!$D$118,1)</f>
        <v/>
      </c>
      <c r="N219" s="188">
        <f>IF(K219=1,'01_ВВОД'!$D$26,0)</f>
        <v/>
      </c>
      <c r="O219" s="188">
        <f>IF(F219=1,'01_ВВОД'!$D$34,IF(D219&lt;=5,'01_ВВОД'!$D$32,'01_ВВОД'!$D$33))</f>
        <v/>
      </c>
      <c r="P219" s="188">
        <f>O219</f>
        <v/>
      </c>
      <c r="Q219" s="188">
        <f>'01_ВВОД'!$D$40</f>
        <v/>
      </c>
      <c r="R219" s="188">
        <f>'01_ВВОД'!$D$46</f>
        <v/>
      </c>
      <c r="S219" s="188">
        <f>H219</f>
        <v/>
      </c>
      <c r="T219" s="188">
        <f>IF(H219=1,M219+N219+P219+Q219,0)</f>
        <v/>
      </c>
      <c r="U219">
        <f>R219*'01_ВВОД'!$D$120</f>
        <v/>
      </c>
    </row>
    <row r="220">
      <c r="A220" s="200" t="n">
        <v>46481</v>
      </c>
      <c r="B220" s="201" t="n">
        <v>8</v>
      </c>
      <c r="C220" s="201" t="inlineStr">
        <is>
          <t>Апр-27</t>
        </is>
      </c>
      <c r="D220" s="201" t="n">
        <v>7</v>
      </c>
      <c r="E220" s="201" t="inlineStr">
        <is>
          <t>Вс</t>
        </is>
      </c>
      <c r="F220" s="199" t="n">
        <v>0</v>
      </c>
      <c r="G220" s="201" t="str"/>
      <c r="H220" s="193" t="n">
        <v>0</v>
      </c>
      <c r="I220" s="201" t="str"/>
      <c r="J220" s="188">
        <f>1</f>
        <v/>
      </c>
      <c r="K220" s="188">
        <f>IF(AND(D220&lt;=5,F220=0),1,0)</f>
        <v/>
      </c>
      <c r="L220" s="188">
        <f>IF(F220=1,'01_ВВОД'!$D$23,CHOOSE(D220,'01_ВВОД'!$D$19,'01_ВВОД'!$D$19,'01_ВВОД'!$D$19,'01_ВВОД'!$D$19,'01_ВВОД'!$D$20,'01_ВВОД'!$D$21,'01_ВВОД'!$D$22))</f>
        <v/>
      </c>
      <c r="M220" s="188">
        <f>L220*IF(H220=1,'01_ВВОД'!$D$118,1)</f>
        <v/>
      </c>
      <c r="N220" s="188">
        <f>IF(K220=1,'01_ВВОД'!$D$26,0)</f>
        <v/>
      </c>
      <c r="O220" s="188">
        <f>IF(F220=1,'01_ВВОД'!$D$34,IF(D220&lt;=5,'01_ВВОД'!$D$32,'01_ВВОД'!$D$33))</f>
        <v/>
      </c>
      <c r="P220" s="188">
        <f>O220</f>
        <v/>
      </c>
      <c r="Q220" s="188">
        <f>'01_ВВОД'!$D$40</f>
        <v/>
      </c>
      <c r="R220" s="188">
        <f>'01_ВВОД'!$D$46</f>
        <v/>
      </c>
      <c r="S220" s="188">
        <f>H220</f>
        <v/>
      </c>
      <c r="T220" s="188">
        <f>IF(H220=1,M220+N220+P220+Q220,0)</f>
        <v/>
      </c>
      <c r="U220">
        <f>R220*'01_ВВОД'!$D$120</f>
        <v/>
      </c>
    </row>
    <row r="221">
      <c r="A221" s="200" t="n">
        <v>46482</v>
      </c>
      <c r="B221" s="201" t="n">
        <v>8</v>
      </c>
      <c r="C221" s="201" t="inlineStr">
        <is>
          <t>Апр-27</t>
        </is>
      </c>
      <c r="D221" s="201" t="n">
        <v>1</v>
      </c>
      <c r="E221" s="201" t="inlineStr">
        <is>
          <t>Пн</t>
        </is>
      </c>
      <c r="F221" s="199" t="n">
        <v>0</v>
      </c>
      <c r="G221" s="201" t="str"/>
      <c r="H221" s="193" t="n">
        <v>0</v>
      </c>
      <c r="I221" s="201" t="str"/>
      <c r="J221" s="188">
        <f>1</f>
        <v/>
      </c>
      <c r="K221" s="188">
        <f>IF(AND(D221&lt;=5,F221=0),1,0)</f>
        <v/>
      </c>
      <c r="L221" s="188">
        <f>IF(F221=1,'01_ВВОД'!$D$23,CHOOSE(D221,'01_ВВОД'!$D$19,'01_ВВОД'!$D$19,'01_ВВОД'!$D$19,'01_ВВОД'!$D$19,'01_ВВОД'!$D$20,'01_ВВОД'!$D$21,'01_ВВОД'!$D$22))</f>
        <v/>
      </c>
      <c r="M221" s="188">
        <f>L221*IF(H221=1,'01_ВВОД'!$D$118,1)</f>
        <v/>
      </c>
      <c r="N221" s="188">
        <f>IF(K221=1,'01_ВВОД'!$D$26,0)</f>
        <v/>
      </c>
      <c r="O221" s="188">
        <f>IF(F221=1,'01_ВВОД'!$D$34,IF(D221&lt;=5,'01_ВВОД'!$D$32,'01_ВВОД'!$D$33))</f>
        <v/>
      </c>
      <c r="P221" s="188">
        <f>O221</f>
        <v/>
      </c>
      <c r="Q221" s="188">
        <f>'01_ВВОД'!$D$40</f>
        <v/>
      </c>
      <c r="R221" s="188">
        <f>'01_ВВОД'!$D$46</f>
        <v/>
      </c>
      <c r="S221" s="188">
        <f>H221</f>
        <v/>
      </c>
      <c r="T221" s="188">
        <f>IF(H221=1,M221+N221+P221+Q221,0)</f>
        <v/>
      </c>
      <c r="U221">
        <f>R221*'01_ВВОД'!$D$120</f>
        <v/>
      </c>
    </row>
    <row r="222">
      <c r="A222" s="200" t="n">
        <v>46483</v>
      </c>
      <c r="B222" s="201" t="n">
        <v>8</v>
      </c>
      <c r="C222" s="201" t="inlineStr">
        <is>
          <t>Апр-27</t>
        </is>
      </c>
      <c r="D222" s="201" t="n">
        <v>2</v>
      </c>
      <c r="E222" s="201" t="inlineStr">
        <is>
          <t>Вт</t>
        </is>
      </c>
      <c r="F222" s="199" t="n">
        <v>0</v>
      </c>
      <c r="G222" s="201" t="str"/>
      <c r="H222" s="193" t="n">
        <v>0</v>
      </c>
      <c r="I222" s="201" t="str"/>
      <c r="J222" s="188">
        <f>1</f>
        <v/>
      </c>
      <c r="K222" s="188">
        <f>IF(AND(D222&lt;=5,F222=0),1,0)</f>
        <v/>
      </c>
      <c r="L222" s="188">
        <f>IF(F222=1,'01_ВВОД'!$D$23,CHOOSE(D222,'01_ВВОД'!$D$19,'01_ВВОД'!$D$19,'01_ВВОД'!$D$19,'01_ВВОД'!$D$19,'01_ВВОД'!$D$20,'01_ВВОД'!$D$21,'01_ВВОД'!$D$22))</f>
        <v/>
      </c>
      <c r="M222" s="188">
        <f>L222*IF(H222=1,'01_ВВОД'!$D$118,1)</f>
        <v/>
      </c>
      <c r="N222" s="188">
        <f>IF(K222=1,'01_ВВОД'!$D$26,0)</f>
        <v/>
      </c>
      <c r="O222" s="188">
        <f>IF(F222=1,'01_ВВОД'!$D$34,IF(D222&lt;=5,'01_ВВОД'!$D$32,'01_ВВОД'!$D$33))</f>
        <v/>
      </c>
      <c r="P222" s="188">
        <f>O222</f>
        <v/>
      </c>
      <c r="Q222" s="188">
        <f>'01_ВВОД'!$D$40</f>
        <v/>
      </c>
      <c r="R222" s="188">
        <f>'01_ВВОД'!$D$46</f>
        <v/>
      </c>
      <c r="S222" s="188">
        <f>H222</f>
        <v/>
      </c>
      <c r="T222" s="188">
        <f>IF(H222=1,M222+N222+P222+Q222,0)</f>
        <v/>
      </c>
      <c r="U222">
        <f>R222*'01_ВВОД'!$D$120</f>
        <v/>
      </c>
    </row>
    <row r="223">
      <c r="A223" s="200" t="n">
        <v>46484</v>
      </c>
      <c r="B223" s="201" t="n">
        <v>8</v>
      </c>
      <c r="C223" s="201" t="inlineStr">
        <is>
          <t>Апр-27</t>
        </is>
      </c>
      <c r="D223" s="201" t="n">
        <v>3</v>
      </c>
      <c r="E223" s="201" t="inlineStr">
        <is>
          <t>Ср</t>
        </is>
      </c>
      <c r="F223" s="199" t="n">
        <v>0</v>
      </c>
      <c r="G223" s="201" t="str"/>
      <c r="H223" s="193" t="n">
        <v>0</v>
      </c>
      <c r="I223" s="201" t="str"/>
      <c r="J223" s="188">
        <f>1</f>
        <v/>
      </c>
      <c r="K223" s="188">
        <f>IF(AND(D223&lt;=5,F223=0),1,0)</f>
        <v/>
      </c>
      <c r="L223" s="188">
        <f>IF(F223=1,'01_ВВОД'!$D$23,CHOOSE(D223,'01_ВВОД'!$D$19,'01_ВВОД'!$D$19,'01_ВВОД'!$D$19,'01_ВВОД'!$D$19,'01_ВВОД'!$D$20,'01_ВВОД'!$D$21,'01_ВВОД'!$D$22))</f>
        <v/>
      </c>
      <c r="M223" s="188">
        <f>L223*IF(H223=1,'01_ВВОД'!$D$118,1)</f>
        <v/>
      </c>
      <c r="N223" s="188">
        <f>IF(K223=1,'01_ВВОД'!$D$26,0)</f>
        <v/>
      </c>
      <c r="O223" s="188">
        <f>IF(F223=1,'01_ВВОД'!$D$34,IF(D223&lt;=5,'01_ВВОД'!$D$32,'01_ВВОД'!$D$33))</f>
        <v/>
      </c>
      <c r="P223" s="188">
        <f>O223</f>
        <v/>
      </c>
      <c r="Q223" s="188">
        <f>'01_ВВОД'!$D$40</f>
        <v/>
      </c>
      <c r="R223" s="188">
        <f>'01_ВВОД'!$D$46</f>
        <v/>
      </c>
      <c r="S223" s="188">
        <f>H223</f>
        <v/>
      </c>
      <c r="T223" s="188">
        <f>IF(H223=1,M223+N223+P223+Q223,0)</f>
        <v/>
      </c>
      <c r="U223">
        <f>R223*'01_ВВОД'!$D$120</f>
        <v/>
      </c>
    </row>
    <row r="224">
      <c r="A224" s="200" t="n">
        <v>46485</v>
      </c>
      <c r="B224" s="201" t="n">
        <v>8</v>
      </c>
      <c r="C224" s="201" t="inlineStr">
        <is>
          <t>Апр-27</t>
        </is>
      </c>
      <c r="D224" s="201" t="n">
        <v>4</v>
      </c>
      <c r="E224" s="201" t="inlineStr">
        <is>
          <t>Чт</t>
        </is>
      </c>
      <c r="F224" s="199" t="n">
        <v>0</v>
      </c>
      <c r="G224" s="201" t="str"/>
      <c r="H224" s="193" t="n">
        <v>1</v>
      </c>
      <c r="I224" s="201" t="inlineStr">
        <is>
          <t>Пн–Чт</t>
        </is>
      </c>
      <c r="J224" s="188">
        <f>1</f>
        <v/>
      </c>
      <c r="K224" s="188">
        <f>IF(AND(D224&lt;=5,F224=0),1,0)</f>
        <v/>
      </c>
      <c r="L224" s="188">
        <f>IF(F224=1,'01_ВВОД'!$D$23,CHOOSE(D224,'01_ВВОД'!$D$19,'01_ВВОД'!$D$19,'01_ВВОД'!$D$19,'01_ВВОД'!$D$19,'01_ВВОД'!$D$20,'01_ВВОД'!$D$21,'01_ВВОД'!$D$22))</f>
        <v/>
      </c>
      <c r="M224" s="188">
        <f>L224*IF(H224=1,'01_ВВОД'!$D$118,1)</f>
        <v/>
      </c>
      <c r="N224" s="188">
        <f>IF(K224=1,'01_ВВОД'!$D$26,0)</f>
        <v/>
      </c>
      <c r="O224" s="188">
        <f>IF(F224=1,'01_ВВОД'!$D$34,IF(D224&lt;=5,'01_ВВОД'!$D$32,'01_ВВОД'!$D$33))</f>
        <v/>
      </c>
      <c r="P224" s="188">
        <f>O224</f>
        <v/>
      </c>
      <c r="Q224" s="188">
        <f>'01_ВВОД'!$D$40</f>
        <v/>
      </c>
      <c r="R224" s="188">
        <f>'01_ВВОД'!$D$46</f>
        <v/>
      </c>
      <c r="S224" s="188">
        <f>H224</f>
        <v/>
      </c>
      <c r="T224" s="188">
        <f>IF(H224=1,M224+N224+P224+Q224,0)</f>
        <v/>
      </c>
      <c r="U224">
        <f>R224*'01_ВВОД'!$D$120</f>
        <v/>
      </c>
    </row>
    <row r="225">
      <c r="A225" s="200" t="n">
        <v>46486</v>
      </c>
      <c r="B225" s="201" t="n">
        <v>8</v>
      </c>
      <c r="C225" s="201" t="inlineStr">
        <is>
          <t>Апр-27</t>
        </is>
      </c>
      <c r="D225" s="201" t="n">
        <v>5</v>
      </c>
      <c r="E225" s="201" t="inlineStr">
        <is>
          <t>Пт</t>
        </is>
      </c>
      <c r="F225" s="199" t="n">
        <v>0</v>
      </c>
      <c r="G225" s="201" t="str"/>
      <c r="H225" s="193" t="n">
        <v>1</v>
      </c>
      <c r="I225" s="201" t="inlineStr">
        <is>
          <t>Пт–Вс</t>
        </is>
      </c>
      <c r="J225" s="188">
        <f>1</f>
        <v/>
      </c>
      <c r="K225" s="188">
        <f>IF(AND(D225&lt;=5,F225=0),1,0)</f>
        <v/>
      </c>
      <c r="L225" s="188">
        <f>IF(F225=1,'01_ВВОД'!$D$23,CHOOSE(D225,'01_ВВОД'!$D$19,'01_ВВОД'!$D$19,'01_ВВОД'!$D$19,'01_ВВОД'!$D$19,'01_ВВОД'!$D$20,'01_ВВОД'!$D$21,'01_ВВОД'!$D$22))</f>
        <v/>
      </c>
      <c r="M225" s="188">
        <f>L225*IF(H225=1,'01_ВВОД'!$D$118,1)</f>
        <v/>
      </c>
      <c r="N225" s="188">
        <f>IF(K225=1,'01_ВВОД'!$D$26,0)</f>
        <v/>
      </c>
      <c r="O225" s="188">
        <f>IF(F225=1,'01_ВВОД'!$D$34,IF(D225&lt;=5,'01_ВВОД'!$D$32,'01_ВВОД'!$D$33))</f>
        <v/>
      </c>
      <c r="P225" s="188">
        <f>O225</f>
        <v/>
      </c>
      <c r="Q225" s="188">
        <f>'01_ВВОД'!$D$40</f>
        <v/>
      </c>
      <c r="R225" s="188">
        <f>'01_ВВОД'!$D$46</f>
        <v/>
      </c>
      <c r="S225" s="188">
        <f>H225</f>
        <v/>
      </c>
      <c r="T225" s="188">
        <f>IF(H225=1,M225+N225+P225+Q225,0)</f>
        <v/>
      </c>
      <c r="U225">
        <f>R225*'01_ВВОД'!$D$120</f>
        <v/>
      </c>
    </row>
    <row r="226">
      <c r="A226" s="200" t="n">
        <v>46487</v>
      </c>
      <c r="B226" s="201" t="n">
        <v>8</v>
      </c>
      <c r="C226" s="201" t="inlineStr">
        <is>
          <t>Апр-27</t>
        </is>
      </c>
      <c r="D226" s="201" t="n">
        <v>6</v>
      </c>
      <c r="E226" s="201" t="inlineStr">
        <is>
          <t>Сб</t>
        </is>
      </c>
      <c r="F226" s="199" t="n">
        <v>0</v>
      </c>
      <c r="G226" s="201" t="str"/>
      <c r="H226" s="193" t="n">
        <v>0</v>
      </c>
      <c r="I226" s="201" t="str"/>
      <c r="J226" s="188">
        <f>1</f>
        <v/>
      </c>
      <c r="K226" s="188">
        <f>IF(AND(D226&lt;=5,F226=0),1,0)</f>
        <v/>
      </c>
      <c r="L226" s="188">
        <f>IF(F226=1,'01_ВВОД'!$D$23,CHOOSE(D226,'01_ВВОД'!$D$19,'01_ВВОД'!$D$19,'01_ВВОД'!$D$19,'01_ВВОД'!$D$19,'01_ВВОД'!$D$20,'01_ВВОД'!$D$21,'01_ВВОД'!$D$22))</f>
        <v/>
      </c>
      <c r="M226" s="188">
        <f>L226*IF(H226=1,'01_ВВОД'!$D$118,1)</f>
        <v/>
      </c>
      <c r="N226" s="188">
        <f>IF(K226=1,'01_ВВОД'!$D$26,0)</f>
        <v/>
      </c>
      <c r="O226" s="188">
        <f>IF(F226=1,'01_ВВОД'!$D$34,IF(D226&lt;=5,'01_ВВОД'!$D$32,'01_ВВОД'!$D$33))</f>
        <v/>
      </c>
      <c r="P226" s="188">
        <f>O226</f>
        <v/>
      </c>
      <c r="Q226" s="188">
        <f>'01_ВВОД'!$D$40</f>
        <v/>
      </c>
      <c r="R226" s="188">
        <f>'01_ВВОД'!$D$46</f>
        <v/>
      </c>
      <c r="S226" s="188">
        <f>H226</f>
        <v/>
      </c>
      <c r="T226" s="188">
        <f>IF(H226=1,M226+N226+P226+Q226,0)</f>
        <v/>
      </c>
      <c r="U226">
        <f>R226*'01_ВВОД'!$D$120</f>
        <v/>
      </c>
    </row>
    <row r="227">
      <c r="A227" s="200" t="n">
        <v>46488</v>
      </c>
      <c r="B227" s="201" t="n">
        <v>8</v>
      </c>
      <c r="C227" s="201" t="inlineStr">
        <is>
          <t>Апр-27</t>
        </is>
      </c>
      <c r="D227" s="201" t="n">
        <v>7</v>
      </c>
      <c r="E227" s="201" t="inlineStr">
        <is>
          <t>Вс</t>
        </is>
      </c>
      <c r="F227" s="199" t="n">
        <v>0</v>
      </c>
      <c r="G227" s="201" t="str"/>
      <c r="H227" s="193" t="n">
        <v>1</v>
      </c>
      <c r="I227" s="201" t="inlineStr">
        <is>
          <t>Пт–Вс</t>
        </is>
      </c>
      <c r="J227" s="188">
        <f>1</f>
        <v/>
      </c>
      <c r="K227" s="188">
        <f>IF(AND(D227&lt;=5,F227=0),1,0)</f>
        <v/>
      </c>
      <c r="L227" s="188">
        <f>IF(F227=1,'01_ВВОД'!$D$23,CHOOSE(D227,'01_ВВОД'!$D$19,'01_ВВОД'!$D$19,'01_ВВОД'!$D$19,'01_ВВОД'!$D$19,'01_ВВОД'!$D$20,'01_ВВОД'!$D$21,'01_ВВОД'!$D$22))</f>
        <v/>
      </c>
      <c r="M227" s="188">
        <f>L227*IF(H227=1,'01_ВВОД'!$D$118,1)</f>
        <v/>
      </c>
      <c r="N227" s="188">
        <f>IF(K227=1,'01_ВВОД'!$D$26,0)</f>
        <v/>
      </c>
      <c r="O227" s="188">
        <f>IF(F227=1,'01_ВВОД'!$D$34,IF(D227&lt;=5,'01_ВВОД'!$D$32,'01_ВВОД'!$D$33))</f>
        <v/>
      </c>
      <c r="P227" s="188">
        <f>O227</f>
        <v/>
      </c>
      <c r="Q227" s="188">
        <f>'01_ВВОД'!$D$40</f>
        <v/>
      </c>
      <c r="R227" s="188">
        <f>'01_ВВОД'!$D$46</f>
        <v/>
      </c>
      <c r="S227" s="188">
        <f>H227</f>
        <v/>
      </c>
      <c r="T227" s="188">
        <f>IF(H227=1,M227+N227+P227+Q227,0)</f>
        <v/>
      </c>
      <c r="U227">
        <f>R227*'01_ВВОД'!$D$120</f>
        <v/>
      </c>
    </row>
    <row r="228">
      <c r="A228" s="200" t="n">
        <v>46489</v>
      </c>
      <c r="B228" s="201" t="n">
        <v>8</v>
      </c>
      <c r="C228" s="201" t="inlineStr">
        <is>
          <t>Апр-27</t>
        </is>
      </c>
      <c r="D228" s="201" t="n">
        <v>1</v>
      </c>
      <c r="E228" s="201" t="inlineStr">
        <is>
          <t>Пн</t>
        </is>
      </c>
      <c r="F228" s="199" t="n">
        <v>0</v>
      </c>
      <c r="G228" s="201" t="str"/>
      <c r="H228" s="193" t="n">
        <v>0</v>
      </c>
      <c r="I228" s="201" t="str"/>
      <c r="J228" s="188">
        <f>1</f>
        <v/>
      </c>
      <c r="K228" s="188">
        <f>IF(AND(D228&lt;=5,F228=0),1,0)</f>
        <v/>
      </c>
      <c r="L228" s="188">
        <f>IF(F228=1,'01_ВВОД'!$D$23,CHOOSE(D228,'01_ВВОД'!$D$19,'01_ВВОД'!$D$19,'01_ВВОД'!$D$19,'01_ВВОД'!$D$19,'01_ВВОД'!$D$20,'01_ВВОД'!$D$21,'01_ВВОД'!$D$22))</f>
        <v/>
      </c>
      <c r="M228" s="188">
        <f>L228*IF(H228=1,'01_ВВОД'!$D$118,1)</f>
        <v/>
      </c>
      <c r="N228" s="188">
        <f>IF(K228=1,'01_ВВОД'!$D$26,0)</f>
        <v/>
      </c>
      <c r="O228" s="188">
        <f>IF(F228=1,'01_ВВОД'!$D$34,IF(D228&lt;=5,'01_ВВОД'!$D$32,'01_ВВОД'!$D$33))</f>
        <v/>
      </c>
      <c r="P228" s="188">
        <f>O228</f>
        <v/>
      </c>
      <c r="Q228" s="188">
        <f>'01_ВВОД'!$D$40</f>
        <v/>
      </c>
      <c r="R228" s="188">
        <f>'01_ВВОД'!$D$46</f>
        <v/>
      </c>
      <c r="S228" s="188">
        <f>H228</f>
        <v/>
      </c>
      <c r="T228" s="188">
        <f>IF(H228=1,M228+N228+P228+Q228,0)</f>
        <v/>
      </c>
      <c r="U228">
        <f>R228*'01_ВВОД'!$D$120</f>
        <v/>
      </c>
    </row>
    <row r="229">
      <c r="A229" s="200" t="n">
        <v>46490</v>
      </c>
      <c r="B229" s="201" t="n">
        <v>8</v>
      </c>
      <c r="C229" s="201" t="inlineStr">
        <is>
          <t>Апр-27</t>
        </is>
      </c>
      <c r="D229" s="201" t="n">
        <v>2</v>
      </c>
      <c r="E229" s="201" t="inlineStr">
        <is>
          <t>Вт</t>
        </is>
      </c>
      <c r="F229" s="199" t="n">
        <v>0</v>
      </c>
      <c r="G229" s="201" t="str"/>
      <c r="H229" s="193" t="n">
        <v>0</v>
      </c>
      <c r="I229" s="201" t="str"/>
      <c r="J229" s="188">
        <f>1</f>
        <v/>
      </c>
      <c r="K229" s="188">
        <f>IF(AND(D229&lt;=5,F229=0),1,0)</f>
        <v/>
      </c>
      <c r="L229" s="188">
        <f>IF(F229=1,'01_ВВОД'!$D$23,CHOOSE(D229,'01_ВВОД'!$D$19,'01_ВВОД'!$D$19,'01_ВВОД'!$D$19,'01_ВВОД'!$D$19,'01_ВВОД'!$D$20,'01_ВВОД'!$D$21,'01_ВВОД'!$D$22))</f>
        <v/>
      </c>
      <c r="M229" s="188">
        <f>L229*IF(H229=1,'01_ВВОД'!$D$118,1)</f>
        <v/>
      </c>
      <c r="N229" s="188">
        <f>IF(K229=1,'01_ВВОД'!$D$26,0)</f>
        <v/>
      </c>
      <c r="O229" s="188">
        <f>IF(F229=1,'01_ВВОД'!$D$34,IF(D229&lt;=5,'01_ВВОД'!$D$32,'01_ВВОД'!$D$33))</f>
        <v/>
      </c>
      <c r="P229" s="188">
        <f>O229</f>
        <v/>
      </c>
      <c r="Q229" s="188">
        <f>'01_ВВОД'!$D$40</f>
        <v/>
      </c>
      <c r="R229" s="188">
        <f>'01_ВВОД'!$D$46</f>
        <v/>
      </c>
      <c r="S229" s="188">
        <f>H229</f>
        <v/>
      </c>
      <c r="T229" s="188">
        <f>IF(H229=1,M229+N229+P229+Q229,0)</f>
        <v/>
      </c>
      <c r="U229">
        <f>R229*'01_ВВОД'!$D$120</f>
        <v/>
      </c>
    </row>
    <row r="230">
      <c r="A230" s="200" t="n">
        <v>46491</v>
      </c>
      <c r="B230" s="201" t="n">
        <v>8</v>
      </c>
      <c r="C230" s="201" t="inlineStr">
        <is>
          <t>Апр-27</t>
        </is>
      </c>
      <c r="D230" s="201" t="n">
        <v>3</v>
      </c>
      <c r="E230" s="201" t="inlineStr">
        <is>
          <t>Ср</t>
        </is>
      </c>
      <c r="F230" s="199" t="n">
        <v>0</v>
      </c>
      <c r="G230" s="201" t="str"/>
      <c r="H230" s="193" t="n">
        <v>0</v>
      </c>
      <c r="I230" s="201" t="str"/>
      <c r="J230" s="188">
        <f>1</f>
        <v/>
      </c>
      <c r="K230" s="188">
        <f>IF(AND(D230&lt;=5,F230=0),1,0)</f>
        <v/>
      </c>
      <c r="L230" s="188">
        <f>IF(F230=1,'01_ВВОД'!$D$23,CHOOSE(D230,'01_ВВОД'!$D$19,'01_ВВОД'!$D$19,'01_ВВОД'!$D$19,'01_ВВОД'!$D$19,'01_ВВОД'!$D$20,'01_ВВОД'!$D$21,'01_ВВОД'!$D$22))</f>
        <v/>
      </c>
      <c r="M230" s="188">
        <f>L230*IF(H230=1,'01_ВВОД'!$D$118,1)</f>
        <v/>
      </c>
      <c r="N230" s="188">
        <f>IF(K230=1,'01_ВВОД'!$D$26,0)</f>
        <v/>
      </c>
      <c r="O230" s="188">
        <f>IF(F230=1,'01_ВВОД'!$D$34,IF(D230&lt;=5,'01_ВВОД'!$D$32,'01_ВВОД'!$D$33))</f>
        <v/>
      </c>
      <c r="P230" s="188">
        <f>O230</f>
        <v/>
      </c>
      <c r="Q230" s="188">
        <f>'01_ВВОД'!$D$40</f>
        <v/>
      </c>
      <c r="R230" s="188">
        <f>'01_ВВОД'!$D$46</f>
        <v/>
      </c>
      <c r="S230" s="188">
        <f>H230</f>
        <v/>
      </c>
      <c r="T230" s="188">
        <f>IF(H230=1,M230+N230+P230+Q230,0)</f>
        <v/>
      </c>
      <c r="U230">
        <f>R230*'01_ВВОД'!$D$120</f>
        <v/>
      </c>
    </row>
    <row r="231">
      <c r="A231" s="200" t="n">
        <v>46492</v>
      </c>
      <c r="B231" s="201" t="n">
        <v>8</v>
      </c>
      <c r="C231" s="201" t="inlineStr">
        <is>
          <t>Апр-27</t>
        </is>
      </c>
      <c r="D231" s="201" t="n">
        <v>4</v>
      </c>
      <c r="E231" s="201" t="inlineStr">
        <is>
          <t>Чт</t>
        </is>
      </c>
      <c r="F231" s="199" t="n">
        <v>0</v>
      </c>
      <c r="G231" s="201" t="str"/>
      <c r="H231" s="193" t="n">
        <v>1</v>
      </c>
      <c r="I231" s="201" t="inlineStr">
        <is>
          <t>Пн–Чт</t>
        </is>
      </c>
      <c r="J231" s="188">
        <f>1</f>
        <v/>
      </c>
      <c r="K231" s="188">
        <f>IF(AND(D231&lt;=5,F231=0),1,0)</f>
        <v/>
      </c>
      <c r="L231" s="188">
        <f>IF(F231=1,'01_ВВОД'!$D$23,CHOOSE(D231,'01_ВВОД'!$D$19,'01_ВВОД'!$D$19,'01_ВВОД'!$D$19,'01_ВВОД'!$D$19,'01_ВВОД'!$D$20,'01_ВВОД'!$D$21,'01_ВВОД'!$D$22))</f>
        <v/>
      </c>
      <c r="M231" s="188">
        <f>L231*IF(H231=1,'01_ВВОД'!$D$118,1)</f>
        <v/>
      </c>
      <c r="N231" s="188">
        <f>IF(K231=1,'01_ВВОД'!$D$26,0)</f>
        <v/>
      </c>
      <c r="O231" s="188">
        <f>IF(F231=1,'01_ВВОД'!$D$34,IF(D231&lt;=5,'01_ВВОД'!$D$32,'01_ВВОД'!$D$33))</f>
        <v/>
      </c>
      <c r="P231" s="188">
        <f>O231</f>
        <v/>
      </c>
      <c r="Q231" s="188">
        <f>'01_ВВОД'!$D$40</f>
        <v/>
      </c>
      <c r="R231" s="188">
        <f>'01_ВВОД'!$D$46</f>
        <v/>
      </c>
      <c r="S231" s="188">
        <f>H231</f>
        <v/>
      </c>
      <c r="T231" s="188">
        <f>IF(H231=1,M231+N231+P231+Q231,0)</f>
        <v/>
      </c>
      <c r="U231">
        <f>R231*'01_ВВОД'!$D$120</f>
        <v/>
      </c>
    </row>
    <row r="232">
      <c r="A232" s="200" t="n">
        <v>46493</v>
      </c>
      <c r="B232" s="201" t="n">
        <v>8</v>
      </c>
      <c r="C232" s="201" t="inlineStr">
        <is>
          <t>Апр-27</t>
        </is>
      </c>
      <c r="D232" s="201" t="n">
        <v>5</v>
      </c>
      <c r="E232" s="201" t="inlineStr">
        <is>
          <t>Пт</t>
        </is>
      </c>
      <c r="F232" s="199" t="n">
        <v>0</v>
      </c>
      <c r="G232" s="201" t="str"/>
      <c r="H232" s="193" t="n">
        <v>0</v>
      </c>
      <c r="I232" s="201" t="str"/>
      <c r="J232" s="188">
        <f>1</f>
        <v/>
      </c>
      <c r="K232" s="188">
        <f>IF(AND(D232&lt;=5,F232=0),1,0)</f>
        <v/>
      </c>
      <c r="L232" s="188">
        <f>IF(F232=1,'01_ВВОД'!$D$23,CHOOSE(D232,'01_ВВОД'!$D$19,'01_ВВОД'!$D$19,'01_ВВОД'!$D$19,'01_ВВОД'!$D$19,'01_ВВОД'!$D$20,'01_ВВОД'!$D$21,'01_ВВОД'!$D$22))</f>
        <v/>
      </c>
      <c r="M232" s="188">
        <f>L232*IF(H232=1,'01_ВВОД'!$D$118,1)</f>
        <v/>
      </c>
      <c r="N232" s="188">
        <f>IF(K232=1,'01_ВВОД'!$D$26,0)</f>
        <v/>
      </c>
      <c r="O232" s="188">
        <f>IF(F232=1,'01_ВВОД'!$D$34,IF(D232&lt;=5,'01_ВВОД'!$D$32,'01_ВВОД'!$D$33))</f>
        <v/>
      </c>
      <c r="P232" s="188">
        <f>O232</f>
        <v/>
      </c>
      <c r="Q232" s="188">
        <f>'01_ВВОД'!$D$40</f>
        <v/>
      </c>
      <c r="R232" s="188">
        <f>'01_ВВОД'!$D$46</f>
        <v/>
      </c>
      <c r="S232" s="188">
        <f>H232</f>
        <v/>
      </c>
      <c r="T232" s="188">
        <f>IF(H232=1,M232+N232+P232+Q232,0)</f>
        <v/>
      </c>
      <c r="U232">
        <f>R232*'01_ВВОД'!$D$120</f>
        <v/>
      </c>
    </row>
    <row r="233">
      <c r="A233" s="200" t="n">
        <v>46494</v>
      </c>
      <c r="B233" s="201" t="n">
        <v>8</v>
      </c>
      <c r="C233" s="201" t="inlineStr">
        <is>
          <t>Апр-27</t>
        </is>
      </c>
      <c r="D233" s="201" t="n">
        <v>6</v>
      </c>
      <c r="E233" s="201" t="inlineStr">
        <is>
          <t>Сб</t>
        </is>
      </c>
      <c r="F233" s="199" t="n">
        <v>0</v>
      </c>
      <c r="G233" s="201" t="str"/>
      <c r="H233" s="193" t="n">
        <v>0</v>
      </c>
      <c r="I233" s="201" t="str"/>
      <c r="J233" s="188">
        <f>1</f>
        <v/>
      </c>
      <c r="K233" s="188">
        <f>IF(AND(D233&lt;=5,F233=0),1,0)</f>
        <v/>
      </c>
      <c r="L233" s="188">
        <f>IF(F233=1,'01_ВВОД'!$D$23,CHOOSE(D233,'01_ВВОД'!$D$19,'01_ВВОД'!$D$19,'01_ВВОД'!$D$19,'01_ВВОД'!$D$19,'01_ВВОД'!$D$20,'01_ВВОД'!$D$21,'01_ВВОД'!$D$22))</f>
        <v/>
      </c>
      <c r="M233" s="188">
        <f>L233*IF(H233=1,'01_ВВОД'!$D$118,1)</f>
        <v/>
      </c>
      <c r="N233" s="188">
        <f>IF(K233=1,'01_ВВОД'!$D$26,0)</f>
        <v/>
      </c>
      <c r="O233" s="188">
        <f>IF(F233=1,'01_ВВОД'!$D$34,IF(D233&lt;=5,'01_ВВОД'!$D$32,'01_ВВОД'!$D$33))</f>
        <v/>
      </c>
      <c r="P233" s="188">
        <f>O233</f>
        <v/>
      </c>
      <c r="Q233" s="188">
        <f>'01_ВВОД'!$D$40</f>
        <v/>
      </c>
      <c r="R233" s="188">
        <f>'01_ВВОД'!$D$46</f>
        <v/>
      </c>
      <c r="S233" s="188">
        <f>H233</f>
        <v/>
      </c>
      <c r="T233" s="188">
        <f>IF(H233=1,M233+N233+P233+Q233,0)</f>
        <v/>
      </c>
      <c r="U233">
        <f>R233*'01_ВВОД'!$D$120</f>
        <v/>
      </c>
    </row>
    <row r="234">
      <c r="A234" s="200" t="n">
        <v>46495</v>
      </c>
      <c r="B234" s="201" t="n">
        <v>8</v>
      </c>
      <c r="C234" s="201" t="inlineStr">
        <is>
          <t>Апр-27</t>
        </is>
      </c>
      <c r="D234" s="201" t="n">
        <v>7</v>
      </c>
      <c r="E234" s="201" t="inlineStr">
        <is>
          <t>Вс</t>
        </is>
      </c>
      <c r="F234" s="199" t="n">
        <v>0</v>
      </c>
      <c r="G234" s="201" t="str"/>
      <c r="H234" s="193" t="n">
        <v>1</v>
      </c>
      <c r="I234" s="201" t="inlineStr">
        <is>
          <t>Пт–Вс</t>
        </is>
      </c>
      <c r="J234" s="188">
        <f>1</f>
        <v/>
      </c>
      <c r="K234" s="188">
        <f>IF(AND(D234&lt;=5,F234=0),1,0)</f>
        <v/>
      </c>
      <c r="L234" s="188">
        <f>IF(F234=1,'01_ВВОД'!$D$23,CHOOSE(D234,'01_ВВОД'!$D$19,'01_ВВОД'!$D$19,'01_ВВОД'!$D$19,'01_ВВОД'!$D$19,'01_ВВОД'!$D$20,'01_ВВОД'!$D$21,'01_ВВОД'!$D$22))</f>
        <v/>
      </c>
      <c r="M234" s="188">
        <f>L234*IF(H234=1,'01_ВВОД'!$D$118,1)</f>
        <v/>
      </c>
      <c r="N234" s="188">
        <f>IF(K234=1,'01_ВВОД'!$D$26,0)</f>
        <v/>
      </c>
      <c r="O234" s="188">
        <f>IF(F234=1,'01_ВВОД'!$D$34,IF(D234&lt;=5,'01_ВВОД'!$D$32,'01_ВВОД'!$D$33))</f>
        <v/>
      </c>
      <c r="P234" s="188">
        <f>O234</f>
        <v/>
      </c>
      <c r="Q234" s="188">
        <f>'01_ВВОД'!$D$40</f>
        <v/>
      </c>
      <c r="R234" s="188">
        <f>'01_ВВОД'!$D$46</f>
        <v/>
      </c>
      <c r="S234" s="188">
        <f>H234</f>
        <v/>
      </c>
      <c r="T234" s="188">
        <f>IF(H234=1,M234+N234+P234+Q234,0)</f>
        <v/>
      </c>
      <c r="U234">
        <f>R234*'01_ВВОД'!$D$120</f>
        <v/>
      </c>
    </row>
    <row r="235">
      <c r="A235" s="200" t="n">
        <v>46496</v>
      </c>
      <c r="B235" s="201" t="n">
        <v>8</v>
      </c>
      <c r="C235" s="201" t="inlineStr">
        <is>
          <t>Апр-27</t>
        </is>
      </c>
      <c r="D235" s="201" t="n">
        <v>1</v>
      </c>
      <c r="E235" s="201" t="inlineStr">
        <is>
          <t>Пн</t>
        </is>
      </c>
      <c r="F235" s="199" t="n">
        <v>0</v>
      </c>
      <c r="G235" s="201" t="str"/>
      <c r="H235" s="193" t="n">
        <v>0</v>
      </c>
      <c r="I235" s="201" t="str"/>
      <c r="J235" s="188">
        <f>1</f>
        <v/>
      </c>
      <c r="K235" s="188">
        <f>IF(AND(D235&lt;=5,F235=0),1,0)</f>
        <v/>
      </c>
      <c r="L235" s="188">
        <f>IF(F235=1,'01_ВВОД'!$D$23,CHOOSE(D235,'01_ВВОД'!$D$19,'01_ВВОД'!$D$19,'01_ВВОД'!$D$19,'01_ВВОД'!$D$19,'01_ВВОД'!$D$20,'01_ВВОД'!$D$21,'01_ВВОД'!$D$22))</f>
        <v/>
      </c>
      <c r="M235" s="188">
        <f>L235*IF(H235=1,'01_ВВОД'!$D$118,1)</f>
        <v/>
      </c>
      <c r="N235" s="188">
        <f>IF(K235=1,'01_ВВОД'!$D$26,0)</f>
        <v/>
      </c>
      <c r="O235" s="188">
        <f>IF(F235=1,'01_ВВОД'!$D$34,IF(D235&lt;=5,'01_ВВОД'!$D$32,'01_ВВОД'!$D$33))</f>
        <v/>
      </c>
      <c r="P235" s="188">
        <f>O235</f>
        <v/>
      </c>
      <c r="Q235" s="188">
        <f>'01_ВВОД'!$D$40</f>
        <v/>
      </c>
      <c r="R235" s="188">
        <f>'01_ВВОД'!$D$46</f>
        <v/>
      </c>
      <c r="S235" s="188">
        <f>H235</f>
        <v/>
      </c>
      <c r="T235" s="188">
        <f>IF(H235=1,M235+N235+P235+Q235,0)</f>
        <v/>
      </c>
      <c r="U235">
        <f>R235*'01_ВВОД'!$D$120</f>
        <v/>
      </c>
    </row>
    <row r="236">
      <c r="A236" s="200" t="n">
        <v>46497</v>
      </c>
      <c r="B236" s="201" t="n">
        <v>8</v>
      </c>
      <c r="C236" s="201" t="inlineStr">
        <is>
          <t>Апр-27</t>
        </is>
      </c>
      <c r="D236" s="201" t="n">
        <v>2</v>
      </c>
      <c r="E236" s="201" t="inlineStr">
        <is>
          <t>Вт</t>
        </is>
      </c>
      <c r="F236" s="199" t="n">
        <v>0</v>
      </c>
      <c r="G236" s="201" t="str"/>
      <c r="H236" s="193" t="n">
        <v>0</v>
      </c>
      <c r="I236" s="201" t="str"/>
      <c r="J236" s="188">
        <f>1</f>
        <v/>
      </c>
      <c r="K236" s="188">
        <f>IF(AND(D236&lt;=5,F236=0),1,0)</f>
        <v/>
      </c>
      <c r="L236" s="188">
        <f>IF(F236=1,'01_ВВОД'!$D$23,CHOOSE(D236,'01_ВВОД'!$D$19,'01_ВВОД'!$D$19,'01_ВВОД'!$D$19,'01_ВВОД'!$D$19,'01_ВВОД'!$D$20,'01_ВВОД'!$D$21,'01_ВВОД'!$D$22))</f>
        <v/>
      </c>
      <c r="M236" s="188">
        <f>L236*IF(H236=1,'01_ВВОД'!$D$118,1)</f>
        <v/>
      </c>
      <c r="N236" s="188">
        <f>IF(K236=1,'01_ВВОД'!$D$26,0)</f>
        <v/>
      </c>
      <c r="O236" s="188">
        <f>IF(F236=1,'01_ВВОД'!$D$34,IF(D236&lt;=5,'01_ВВОД'!$D$32,'01_ВВОД'!$D$33))</f>
        <v/>
      </c>
      <c r="P236" s="188">
        <f>O236</f>
        <v/>
      </c>
      <c r="Q236" s="188">
        <f>'01_ВВОД'!$D$40</f>
        <v/>
      </c>
      <c r="R236" s="188">
        <f>'01_ВВОД'!$D$46</f>
        <v/>
      </c>
      <c r="S236" s="188">
        <f>H236</f>
        <v/>
      </c>
      <c r="T236" s="188">
        <f>IF(H236=1,M236+N236+P236+Q236,0)</f>
        <v/>
      </c>
      <c r="U236">
        <f>R236*'01_ВВОД'!$D$120</f>
        <v/>
      </c>
    </row>
    <row r="237">
      <c r="A237" s="200" t="n">
        <v>46498</v>
      </c>
      <c r="B237" s="201" t="n">
        <v>8</v>
      </c>
      <c r="C237" s="201" t="inlineStr">
        <is>
          <t>Апр-27</t>
        </is>
      </c>
      <c r="D237" s="201" t="n">
        <v>3</v>
      </c>
      <c r="E237" s="201" t="inlineStr">
        <is>
          <t>Ср</t>
        </is>
      </c>
      <c r="F237" s="199" t="n">
        <v>0</v>
      </c>
      <c r="G237" s="201" t="str"/>
      <c r="H237" s="193" t="n">
        <v>0</v>
      </c>
      <c r="I237" s="201" t="str"/>
      <c r="J237" s="188">
        <f>1</f>
        <v/>
      </c>
      <c r="K237" s="188">
        <f>IF(AND(D237&lt;=5,F237=0),1,0)</f>
        <v/>
      </c>
      <c r="L237" s="188">
        <f>IF(F237=1,'01_ВВОД'!$D$23,CHOOSE(D237,'01_ВВОД'!$D$19,'01_ВВОД'!$D$19,'01_ВВОД'!$D$19,'01_ВВОД'!$D$19,'01_ВВОД'!$D$20,'01_ВВОД'!$D$21,'01_ВВОД'!$D$22))</f>
        <v/>
      </c>
      <c r="M237" s="188">
        <f>L237*IF(H237=1,'01_ВВОД'!$D$118,1)</f>
        <v/>
      </c>
      <c r="N237" s="188">
        <f>IF(K237=1,'01_ВВОД'!$D$26,0)</f>
        <v/>
      </c>
      <c r="O237" s="188">
        <f>IF(F237=1,'01_ВВОД'!$D$34,IF(D237&lt;=5,'01_ВВОД'!$D$32,'01_ВВОД'!$D$33))</f>
        <v/>
      </c>
      <c r="P237" s="188">
        <f>O237</f>
        <v/>
      </c>
      <c r="Q237" s="188">
        <f>'01_ВВОД'!$D$40</f>
        <v/>
      </c>
      <c r="R237" s="188">
        <f>'01_ВВОД'!$D$46</f>
        <v/>
      </c>
      <c r="S237" s="188">
        <f>H237</f>
        <v/>
      </c>
      <c r="T237" s="188">
        <f>IF(H237=1,M237+N237+P237+Q237,0)</f>
        <v/>
      </c>
      <c r="U237">
        <f>R237*'01_ВВОД'!$D$120</f>
        <v/>
      </c>
    </row>
    <row r="238">
      <c r="A238" s="200" t="n">
        <v>46499</v>
      </c>
      <c r="B238" s="201" t="n">
        <v>8</v>
      </c>
      <c r="C238" s="201" t="inlineStr">
        <is>
          <t>Апр-27</t>
        </is>
      </c>
      <c r="D238" s="201" t="n">
        <v>4</v>
      </c>
      <c r="E238" s="201" t="inlineStr">
        <is>
          <t>Чт</t>
        </is>
      </c>
      <c r="F238" s="199" t="n">
        <v>0</v>
      </c>
      <c r="G238" s="201" t="str"/>
      <c r="H238" s="193" t="n">
        <v>0</v>
      </c>
      <c r="I238" s="201" t="str"/>
      <c r="J238" s="188">
        <f>1</f>
        <v/>
      </c>
      <c r="K238" s="188">
        <f>IF(AND(D238&lt;=5,F238=0),1,0)</f>
        <v/>
      </c>
      <c r="L238" s="188">
        <f>IF(F238=1,'01_ВВОД'!$D$23,CHOOSE(D238,'01_ВВОД'!$D$19,'01_ВВОД'!$D$19,'01_ВВОД'!$D$19,'01_ВВОД'!$D$19,'01_ВВОД'!$D$20,'01_ВВОД'!$D$21,'01_ВВОД'!$D$22))</f>
        <v/>
      </c>
      <c r="M238" s="188">
        <f>L238*IF(H238=1,'01_ВВОД'!$D$118,1)</f>
        <v/>
      </c>
      <c r="N238" s="188">
        <f>IF(K238=1,'01_ВВОД'!$D$26,0)</f>
        <v/>
      </c>
      <c r="O238" s="188">
        <f>IF(F238=1,'01_ВВОД'!$D$34,IF(D238&lt;=5,'01_ВВОД'!$D$32,'01_ВВОД'!$D$33))</f>
        <v/>
      </c>
      <c r="P238" s="188">
        <f>O238</f>
        <v/>
      </c>
      <c r="Q238" s="188">
        <f>'01_ВВОД'!$D$40</f>
        <v/>
      </c>
      <c r="R238" s="188">
        <f>'01_ВВОД'!$D$46</f>
        <v/>
      </c>
      <c r="S238" s="188">
        <f>H238</f>
        <v/>
      </c>
      <c r="T238" s="188">
        <f>IF(H238=1,M238+N238+P238+Q238,0)</f>
        <v/>
      </c>
      <c r="U238">
        <f>R238*'01_ВВОД'!$D$120</f>
        <v/>
      </c>
    </row>
    <row r="239">
      <c r="A239" s="200" t="n">
        <v>46500</v>
      </c>
      <c r="B239" s="201" t="n">
        <v>8</v>
      </c>
      <c r="C239" s="201" t="inlineStr">
        <is>
          <t>Апр-27</t>
        </is>
      </c>
      <c r="D239" s="201" t="n">
        <v>5</v>
      </c>
      <c r="E239" s="201" t="inlineStr">
        <is>
          <t>Пт</t>
        </is>
      </c>
      <c r="F239" s="199" t="n">
        <v>0</v>
      </c>
      <c r="G239" s="201" t="str"/>
      <c r="H239" s="193" t="n">
        <v>1</v>
      </c>
      <c r="I239" s="201" t="inlineStr">
        <is>
          <t>Пт–Вс</t>
        </is>
      </c>
      <c r="J239" s="188">
        <f>1</f>
        <v/>
      </c>
      <c r="K239" s="188">
        <f>IF(AND(D239&lt;=5,F239=0),1,0)</f>
        <v/>
      </c>
      <c r="L239" s="188">
        <f>IF(F239=1,'01_ВВОД'!$D$23,CHOOSE(D239,'01_ВВОД'!$D$19,'01_ВВОД'!$D$19,'01_ВВОД'!$D$19,'01_ВВОД'!$D$19,'01_ВВОД'!$D$20,'01_ВВОД'!$D$21,'01_ВВОД'!$D$22))</f>
        <v/>
      </c>
      <c r="M239" s="188">
        <f>L239*IF(H239=1,'01_ВВОД'!$D$118,1)</f>
        <v/>
      </c>
      <c r="N239" s="188">
        <f>IF(K239=1,'01_ВВОД'!$D$26,0)</f>
        <v/>
      </c>
      <c r="O239" s="188">
        <f>IF(F239=1,'01_ВВОД'!$D$34,IF(D239&lt;=5,'01_ВВОД'!$D$32,'01_ВВОД'!$D$33))</f>
        <v/>
      </c>
      <c r="P239" s="188">
        <f>O239</f>
        <v/>
      </c>
      <c r="Q239" s="188">
        <f>'01_ВВОД'!$D$40</f>
        <v/>
      </c>
      <c r="R239" s="188">
        <f>'01_ВВОД'!$D$46</f>
        <v/>
      </c>
      <c r="S239" s="188">
        <f>H239</f>
        <v/>
      </c>
      <c r="T239" s="188">
        <f>IF(H239=1,M239+N239+P239+Q239,0)</f>
        <v/>
      </c>
      <c r="U239">
        <f>R239*'01_ВВОД'!$D$120</f>
        <v/>
      </c>
    </row>
    <row r="240">
      <c r="A240" s="200" t="n">
        <v>46501</v>
      </c>
      <c r="B240" s="201" t="n">
        <v>8</v>
      </c>
      <c r="C240" s="201" t="inlineStr">
        <is>
          <t>Апр-27</t>
        </is>
      </c>
      <c r="D240" s="201" t="n">
        <v>6</v>
      </c>
      <c r="E240" s="201" t="inlineStr">
        <is>
          <t>Сб</t>
        </is>
      </c>
      <c r="F240" s="199" t="n">
        <v>0</v>
      </c>
      <c r="G240" s="201" t="str"/>
      <c r="H240" s="193" t="n">
        <v>0</v>
      </c>
      <c r="I240" s="201" t="str"/>
      <c r="J240" s="188">
        <f>1</f>
        <v/>
      </c>
      <c r="K240" s="188">
        <f>IF(AND(D240&lt;=5,F240=0),1,0)</f>
        <v/>
      </c>
      <c r="L240" s="188">
        <f>IF(F240=1,'01_ВВОД'!$D$23,CHOOSE(D240,'01_ВВОД'!$D$19,'01_ВВОД'!$D$19,'01_ВВОД'!$D$19,'01_ВВОД'!$D$19,'01_ВВОД'!$D$20,'01_ВВОД'!$D$21,'01_ВВОД'!$D$22))</f>
        <v/>
      </c>
      <c r="M240" s="188">
        <f>L240*IF(H240=1,'01_ВВОД'!$D$118,1)</f>
        <v/>
      </c>
      <c r="N240" s="188">
        <f>IF(K240=1,'01_ВВОД'!$D$26,0)</f>
        <v/>
      </c>
      <c r="O240" s="188">
        <f>IF(F240=1,'01_ВВОД'!$D$34,IF(D240&lt;=5,'01_ВВОД'!$D$32,'01_ВВОД'!$D$33))</f>
        <v/>
      </c>
      <c r="P240" s="188">
        <f>O240</f>
        <v/>
      </c>
      <c r="Q240" s="188">
        <f>'01_ВВОД'!$D$40</f>
        <v/>
      </c>
      <c r="R240" s="188">
        <f>'01_ВВОД'!$D$46</f>
        <v/>
      </c>
      <c r="S240" s="188">
        <f>H240</f>
        <v/>
      </c>
      <c r="T240" s="188">
        <f>IF(H240=1,M240+N240+P240+Q240,0)</f>
        <v/>
      </c>
      <c r="U240">
        <f>R240*'01_ВВОД'!$D$120</f>
        <v/>
      </c>
    </row>
    <row r="241">
      <c r="A241" s="200" t="n">
        <v>46502</v>
      </c>
      <c r="B241" s="201" t="n">
        <v>8</v>
      </c>
      <c r="C241" s="201" t="inlineStr">
        <is>
          <t>Апр-27</t>
        </is>
      </c>
      <c r="D241" s="201" t="n">
        <v>7</v>
      </c>
      <c r="E241" s="201" t="inlineStr">
        <is>
          <t>Вс</t>
        </is>
      </c>
      <c r="F241" s="199" t="n">
        <v>0</v>
      </c>
      <c r="G241" s="201" t="str"/>
      <c r="H241" s="193" t="n">
        <v>0</v>
      </c>
      <c r="I241" s="201" t="str"/>
      <c r="J241" s="188">
        <f>1</f>
        <v/>
      </c>
      <c r="K241" s="188">
        <f>IF(AND(D241&lt;=5,F241=0),1,0)</f>
        <v/>
      </c>
      <c r="L241" s="188">
        <f>IF(F241=1,'01_ВВОД'!$D$23,CHOOSE(D241,'01_ВВОД'!$D$19,'01_ВВОД'!$D$19,'01_ВВОД'!$D$19,'01_ВВОД'!$D$19,'01_ВВОД'!$D$20,'01_ВВОД'!$D$21,'01_ВВОД'!$D$22))</f>
        <v/>
      </c>
      <c r="M241" s="188">
        <f>L241*IF(H241=1,'01_ВВОД'!$D$118,1)</f>
        <v/>
      </c>
      <c r="N241" s="188">
        <f>IF(K241=1,'01_ВВОД'!$D$26,0)</f>
        <v/>
      </c>
      <c r="O241" s="188">
        <f>IF(F241=1,'01_ВВОД'!$D$34,IF(D241&lt;=5,'01_ВВОД'!$D$32,'01_ВВОД'!$D$33))</f>
        <v/>
      </c>
      <c r="P241" s="188">
        <f>O241</f>
        <v/>
      </c>
      <c r="Q241" s="188">
        <f>'01_ВВОД'!$D$40</f>
        <v/>
      </c>
      <c r="R241" s="188">
        <f>'01_ВВОД'!$D$46</f>
        <v/>
      </c>
      <c r="S241" s="188">
        <f>H241</f>
        <v/>
      </c>
      <c r="T241" s="188">
        <f>IF(H241=1,M241+N241+P241+Q241,0)</f>
        <v/>
      </c>
      <c r="U241">
        <f>R241*'01_ВВОД'!$D$120</f>
        <v/>
      </c>
    </row>
    <row r="242">
      <c r="A242" s="200" t="n">
        <v>46503</v>
      </c>
      <c r="B242" s="201" t="n">
        <v>8</v>
      </c>
      <c r="C242" s="201" t="inlineStr">
        <is>
          <t>Апр-27</t>
        </is>
      </c>
      <c r="D242" s="201" t="n">
        <v>1</v>
      </c>
      <c r="E242" s="201" t="inlineStr">
        <is>
          <t>Пн</t>
        </is>
      </c>
      <c r="F242" s="199" t="n">
        <v>0</v>
      </c>
      <c r="G242" s="201" t="str"/>
      <c r="H242" s="193" t="n">
        <v>0</v>
      </c>
      <c r="I242" s="201" t="str"/>
      <c r="J242" s="188">
        <f>1</f>
        <v/>
      </c>
      <c r="K242" s="188">
        <f>IF(AND(D242&lt;=5,F242=0),1,0)</f>
        <v/>
      </c>
      <c r="L242" s="188">
        <f>IF(F242=1,'01_ВВОД'!$D$23,CHOOSE(D242,'01_ВВОД'!$D$19,'01_ВВОД'!$D$19,'01_ВВОД'!$D$19,'01_ВВОД'!$D$19,'01_ВВОД'!$D$20,'01_ВВОД'!$D$21,'01_ВВОД'!$D$22))</f>
        <v/>
      </c>
      <c r="M242" s="188">
        <f>L242*IF(H242=1,'01_ВВОД'!$D$118,1)</f>
        <v/>
      </c>
      <c r="N242" s="188">
        <f>IF(K242=1,'01_ВВОД'!$D$26,0)</f>
        <v/>
      </c>
      <c r="O242" s="188">
        <f>IF(F242=1,'01_ВВОД'!$D$34,IF(D242&lt;=5,'01_ВВОД'!$D$32,'01_ВВОД'!$D$33))</f>
        <v/>
      </c>
      <c r="P242" s="188">
        <f>O242</f>
        <v/>
      </c>
      <c r="Q242" s="188">
        <f>'01_ВВОД'!$D$40</f>
        <v/>
      </c>
      <c r="R242" s="188">
        <f>'01_ВВОД'!$D$46</f>
        <v/>
      </c>
      <c r="S242" s="188">
        <f>H242</f>
        <v/>
      </c>
      <c r="T242" s="188">
        <f>IF(H242=1,M242+N242+P242+Q242,0)</f>
        <v/>
      </c>
      <c r="U242">
        <f>R242*'01_ВВОД'!$D$120</f>
        <v/>
      </c>
    </row>
    <row r="243">
      <c r="A243" s="200" t="n">
        <v>46504</v>
      </c>
      <c r="B243" s="201" t="n">
        <v>8</v>
      </c>
      <c r="C243" s="201" t="inlineStr">
        <is>
          <t>Апр-27</t>
        </is>
      </c>
      <c r="D243" s="201" t="n">
        <v>2</v>
      </c>
      <c r="E243" s="201" t="inlineStr">
        <is>
          <t>Вт</t>
        </is>
      </c>
      <c r="F243" s="199" t="n">
        <v>0</v>
      </c>
      <c r="G243" s="201" t="str"/>
      <c r="H243" s="193" t="n">
        <v>0</v>
      </c>
      <c r="I243" s="201" t="str"/>
      <c r="J243" s="188">
        <f>1</f>
        <v/>
      </c>
      <c r="K243" s="188">
        <f>IF(AND(D243&lt;=5,F243=0),1,0)</f>
        <v/>
      </c>
      <c r="L243" s="188">
        <f>IF(F243=1,'01_ВВОД'!$D$23,CHOOSE(D243,'01_ВВОД'!$D$19,'01_ВВОД'!$D$19,'01_ВВОД'!$D$19,'01_ВВОД'!$D$19,'01_ВВОД'!$D$20,'01_ВВОД'!$D$21,'01_ВВОД'!$D$22))</f>
        <v/>
      </c>
      <c r="M243" s="188">
        <f>L243*IF(H243=1,'01_ВВОД'!$D$118,1)</f>
        <v/>
      </c>
      <c r="N243" s="188">
        <f>IF(K243=1,'01_ВВОД'!$D$26,0)</f>
        <v/>
      </c>
      <c r="O243" s="188">
        <f>IF(F243=1,'01_ВВОД'!$D$34,IF(D243&lt;=5,'01_ВВОД'!$D$32,'01_ВВОД'!$D$33))</f>
        <v/>
      </c>
      <c r="P243" s="188">
        <f>O243</f>
        <v/>
      </c>
      <c r="Q243" s="188">
        <f>'01_ВВОД'!$D$40</f>
        <v/>
      </c>
      <c r="R243" s="188">
        <f>'01_ВВОД'!$D$46</f>
        <v/>
      </c>
      <c r="S243" s="188">
        <f>H243</f>
        <v/>
      </c>
      <c r="T243" s="188">
        <f>IF(H243=1,M243+N243+P243+Q243,0)</f>
        <v/>
      </c>
      <c r="U243">
        <f>R243*'01_ВВОД'!$D$120</f>
        <v/>
      </c>
    </row>
    <row r="244">
      <c r="A244" s="200" t="n">
        <v>46505</v>
      </c>
      <c r="B244" s="201" t="n">
        <v>8</v>
      </c>
      <c r="C244" s="201" t="inlineStr">
        <is>
          <t>Апр-27</t>
        </is>
      </c>
      <c r="D244" s="201" t="n">
        <v>3</v>
      </c>
      <c r="E244" s="201" t="inlineStr">
        <is>
          <t>Ср</t>
        </is>
      </c>
      <c r="F244" s="199" t="n">
        <v>0</v>
      </c>
      <c r="G244" s="201" t="str"/>
      <c r="H244" s="193" t="n">
        <v>0</v>
      </c>
      <c r="I244" s="201" t="str"/>
      <c r="J244" s="188">
        <f>1</f>
        <v/>
      </c>
      <c r="K244" s="188">
        <f>IF(AND(D244&lt;=5,F244=0),1,0)</f>
        <v/>
      </c>
      <c r="L244" s="188">
        <f>IF(F244=1,'01_ВВОД'!$D$23,CHOOSE(D244,'01_ВВОД'!$D$19,'01_ВВОД'!$D$19,'01_ВВОД'!$D$19,'01_ВВОД'!$D$19,'01_ВВОД'!$D$20,'01_ВВОД'!$D$21,'01_ВВОД'!$D$22))</f>
        <v/>
      </c>
      <c r="M244" s="188">
        <f>L244*IF(H244=1,'01_ВВОД'!$D$118,1)</f>
        <v/>
      </c>
      <c r="N244" s="188">
        <f>IF(K244=1,'01_ВВОД'!$D$26,0)</f>
        <v/>
      </c>
      <c r="O244" s="188">
        <f>IF(F244=1,'01_ВВОД'!$D$34,IF(D244&lt;=5,'01_ВВОД'!$D$32,'01_ВВОД'!$D$33))</f>
        <v/>
      </c>
      <c r="P244" s="188">
        <f>O244</f>
        <v/>
      </c>
      <c r="Q244" s="188">
        <f>'01_ВВОД'!$D$40</f>
        <v/>
      </c>
      <c r="R244" s="188">
        <f>'01_ВВОД'!$D$46</f>
        <v/>
      </c>
      <c r="S244" s="188">
        <f>H244</f>
        <v/>
      </c>
      <c r="T244" s="188">
        <f>IF(H244=1,M244+N244+P244+Q244,0)</f>
        <v/>
      </c>
      <c r="U244">
        <f>R244*'01_ВВОД'!$D$120</f>
        <v/>
      </c>
    </row>
    <row r="245">
      <c r="A245" s="200" t="n">
        <v>46506</v>
      </c>
      <c r="B245" s="201" t="n">
        <v>8</v>
      </c>
      <c r="C245" s="201" t="inlineStr">
        <is>
          <t>Апр-27</t>
        </is>
      </c>
      <c r="D245" s="201" t="n">
        <v>4</v>
      </c>
      <c r="E245" s="201" t="inlineStr">
        <is>
          <t>Чт</t>
        </is>
      </c>
      <c r="F245" s="199" t="n">
        <v>0</v>
      </c>
      <c r="G245" s="201" t="str"/>
      <c r="H245" s="193" t="n">
        <v>0</v>
      </c>
      <c r="I245" s="201" t="str"/>
      <c r="J245" s="188">
        <f>1</f>
        <v/>
      </c>
      <c r="K245" s="188">
        <f>IF(AND(D245&lt;=5,F245=0),1,0)</f>
        <v/>
      </c>
      <c r="L245" s="188">
        <f>IF(F245=1,'01_ВВОД'!$D$23,CHOOSE(D245,'01_ВВОД'!$D$19,'01_ВВОД'!$D$19,'01_ВВОД'!$D$19,'01_ВВОД'!$D$19,'01_ВВОД'!$D$20,'01_ВВОД'!$D$21,'01_ВВОД'!$D$22))</f>
        <v/>
      </c>
      <c r="M245" s="188">
        <f>L245*IF(H245=1,'01_ВВОД'!$D$118,1)</f>
        <v/>
      </c>
      <c r="N245" s="188">
        <f>IF(K245=1,'01_ВВОД'!$D$26,0)</f>
        <v/>
      </c>
      <c r="O245" s="188">
        <f>IF(F245=1,'01_ВВОД'!$D$34,IF(D245&lt;=5,'01_ВВОД'!$D$32,'01_ВВОД'!$D$33))</f>
        <v/>
      </c>
      <c r="P245" s="188">
        <f>O245</f>
        <v/>
      </c>
      <c r="Q245" s="188">
        <f>'01_ВВОД'!$D$40</f>
        <v/>
      </c>
      <c r="R245" s="188">
        <f>'01_ВВОД'!$D$46</f>
        <v/>
      </c>
      <c r="S245" s="188">
        <f>H245</f>
        <v/>
      </c>
      <c r="T245" s="188">
        <f>IF(H245=1,M245+N245+P245+Q245,0)</f>
        <v/>
      </c>
      <c r="U245">
        <f>R245*'01_ВВОД'!$D$120</f>
        <v/>
      </c>
    </row>
    <row r="246">
      <c r="A246" s="200" t="n">
        <v>46507</v>
      </c>
      <c r="B246" s="201" t="n">
        <v>8</v>
      </c>
      <c r="C246" s="201" t="inlineStr">
        <is>
          <t>Апр-27</t>
        </is>
      </c>
      <c r="D246" s="201" t="n">
        <v>5</v>
      </c>
      <c r="E246" s="201" t="inlineStr">
        <is>
          <t>Пт</t>
        </is>
      </c>
      <c r="F246" s="199" t="n">
        <v>0</v>
      </c>
      <c r="G246" s="201" t="str"/>
      <c r="H246" s="193" t="n">
        <v>0</v>
      </c>
      <c r="I246" s="201" t="str"/>
      <c r="J246" s="188">
        <f>1</f>
        <v/>
      </c>
      <c r="K246" s="188">
        <f>IF(AND(D246&lt;=5,F246=0),1,0)</f>
        <v/>
      </c>
      <c r="L246" s="188">
        <f>IF(F246=1,'01_ВВОД'!$D$23,CHOOSE(D246,'01_ВВОД'!$D$19,'01_ВВОД'!$D$19,'01_ВВОД'!$D$19,'01_ВВОД'!$D$19,'01_ВВОД'!$D$20,'01_ВВОД'!$D$21,'01_ВВОД'!$D$22))</f>
        <v/>
      </c>
      <c r="M246" s="188">
        <f>L246*IF(H246=1,'01_ВВОД'!$D$118,1)</f>
        <v/>
      </c>
      <c r="N246" s="188">
        <f>IF(K246=1,'01_ВВОД'!$D$26,0)</f>
        <v/>
      </c>
      <c r="O246" s="188">
        <f>IF(F246=1,'01_ВВОД'!$D$34,IF(D246&lt;=5,'01_ВВОД'!$D$32,'01_ВВОД'!$D$33))</f>
        <v/>
      </c>
      <c r="P246" s="188">
        <f>O246</f>
        <v/>
      </c>
      <c r="Q246" s="188">
        <f>'01_ВВОД'!$D$40</f>
        <v/>
      </c>
      <c r="R246" s="188">
        <f>'01_ВВОД'!$D$46</f>
        <v/>
      </c>
      <c r="S246" s="188">
        <f>H246</f>
        <v/>
      </c>
      <c r="T246" s="188">
        <f>IF(H246=1,M246+N246+P246+Q246,0)</f>
        <v/>
      </c>
      <c r="U246">
        <f>R246*'01_ВВОД'!$D$120</f>
        <v/>
      </c>
    </row>
    <row r="247">
      <c r="A247" s="200" t="n">
        <v>46508</v>
      </c>
      <c r="B247" s="201" t="n">
        <v>9</v>
      </c>
      <c r="C247" s="201" t="inlineStr">
        <is>
          <t>Май-27</t>
        </is>
      </c>
      <c r="D247" s="201" t="n">
        <v>6</v>
      </c>
      <c r="E247" s="201" t="inlineStr">
        <is>
          <t>Сб</t>
        </is>
      </c>
      <c r="F247" s="199" t="n">
        <v>1</v>
      </c>
      <c r="G247" s="201" t="inlineStr">
        <is>
          <t>Фиксированный праздник 2027; переносы уточнить</t>
        </is>
      </c>
      <c r="H247" s="193" t="n">
        <v>0</v>
      </c>
      <c r="I247" s="201" t="str"/>
      <c r="J247" s="188">
        <f>1</f>
        <v/>
      </c>
      <c r="K247" s="188">
        <f>IF(AND(D247&lt;=5,F247=0),1,0)</f>
        <v/>
      </c>
      <c r="L247" s="188">
        <f>IF(F247=1,'01_ВВОД'!$D$23,CHOOSE(D247,'01_ВВОД'!$D$19,'01_ВВОД'!$D$19,'01_ВВОД'!$D$19,'01_ВВОД'!$D$19,'01_ВВОД'!$D$20,'01_ВВОД'!$D$21,'01_ВВОД'!$D$22))</f>
        <v/>
      </c>
      <c r="M247" s="188">
        <f>L247*IF(H247=1,'01_ВВОД'!$D$118,1)</f>
        <v/>
      </c>
      <c r="N247" s="188">
        <f>IF(K247=1,'01_ВВОД'!$D$26,0)</f>
        <v/>
      </c>
      <c r="O247" s="188">
        <f>IF(F247=1,'01_ВВОД'!$D$34,IF(D247&lt;=5,'01_ВВОД'!$D$32,'01_ВВОД'!$D$33))</f>
        <v/>
      </c>
      <c r="P247" s="188">
        <f>O247</f>
        <v/>
      </c>
      <c r="Q247" s="188">
        <f>'01_ВВОД'!$D$40</f>
        <v/>
      </c>
      <c r="R247" s="188">
        <f>'01_ВВОД'!$D$46</f>
        <v/>
      </c>
      <c r="S247" s="188">
        <f>H247</f>
        <v/>
      </c>
      <c r="T247" s="188">
        <f>IF(H247=1,M247+N247+P247+Q247,0)</f>
        <v/>
      </c>
      <c r="U247">
        <f>R247*'01_ВВОД'!$D$120</f>
        <v/>
      </c>
    </row>
    <row r="248">
      <c r="A248" s="200" t="n">
        <v>46509</v>
      </c>
      <c r="B248" s="201" t="n">
        <v>9</v>
      </c>
      <c r="C248" s="201" t="inlineStr">
        <is>
          <t>Май-27</t>
        </is>
      </c>
      <c r="D248" s="201" t="n">
        <v>7</v>
      </c>
      <c r="E248" s="201" t="inlineStr">
        <is>
          <t>Вс</t>
        </is>
      </c>
      <c r="F248" s="199" t="n">
        <v>0</v>
      </c>
      <c r="G248" s="201" t="str"/>
      <c r="H248" s="193" t="n">
        <v>0</v>
      </c>
      <c r="I248" s="201" t="str"/>
      <c r="J248" s="188">
        <f>1</f>
        <v/>
      </c>
      <c r="K248" s="188">
        <f>IF(AND(D248&lt;=5,F248=0),1,0)</f>
        <v/>
      </c>
      <c r="L248" s="188">
        <f>IF(F248=1,'01_ВВОД'!$D$23,CHOOSE(D248,'01_ВВОД'!$D$19,'01_ВВОД'!$D$19,'01_ВВОД'!$D$19,'01_ВВОД'!$D$19,'01_ВВОД'!$D$20,'01_ВВОД'!$D$21,'01_ВВОД'!$D$22))</f>
        <v/>
      </c>
      <c r="M248" s="188">
        <f>L248*IF(H248=1,'01_ВВОД'!$D$118,1)</f>
        <v/>
      </c>
      <c r="N248" s="188">
        <f>IF(K248=1,'01_ВВОД'!$D$26,0)</f>
        <v/>
      </c>
      <c r="O248" s="188">
        <f>IF(F248=1,'01_ВВОД'!$D$34,IF(D248&lt;=5,'01_ВВОД'!$D$32,'01_ВВОД'!$D$33))</f>
        <v/>
      </c>
      <c r="P248" s="188">
        <f>O248</f>
        <v/>
      </c>
      <c r="Q248" s="188">
        <f>'01_ВВОД'!$D$40</f>
        <v/>
      </c>
      <c r="R248" s="188">
        <f>'01_ВВОД'!$D$46</f>
        <v/>
      </c>
      <c r="S248" s="188">
        <f>H248</f>
        <v/>
      </c>
      <c r="T248" s="188">
        <f>IF(H248=1,M248+N248+P248+Q248,0)</f>
        <v/>
      </c>
      <c r="U248">
        <f>R248*'01_ВВОД'!$D$120</f>
        <v/>
      </c>
    </row>
    <row r="249">
      <c r="A249" s="200" t="n">
        <v>46510</v>
      </c>
      <c r="B249" s="201" t="n">
        <v>9</v>
      </c>
      <c r="C249" s="201" t="inlineStr">
        <is>
          <t>Май-27</t>
        </is>
      </c>
      <c r="D249" s="201" t="n">
        <v>1</v>
      </c>
      <c r="E249" s="201" t="inlineStr">
        <is>
          <t>Пн</t>
        </is>
      </c>
      <c r="F249" s="199" t="n">
        <v>0</v>
      </c>
      <c r="G249" s="201" t="str"/>
      <c r="H249" s="193" t="n">
        <v>0</v>
      </c>
      <c r="I249" s="201" t="str"/>
      <c r="J249" s="188">
        <f>1</f>
        <v/>
      </c>
      <c r="K249" s="188">
        <f>IF(AND(D249&lt;=5,F249=0),1,0)</f>
        <v/>
      </c>
      <c r="L249" s="188">
        <f>IF(F249=1,'01_ВВОД'!$D$23,CHOOSE(D249,'01_ВВОД'!$D$19,'01_ВВОД'!$D$19,'01_ВВОД'!$D$19,'01_ВВОД'!$D$19,'01_ВВОД'!$D$20,'01_ВВОД'!$D$21,'01_ВВОД'!$D$22))</f>
        <v/>
      </c>
      <c r="M249" s="188">
        <f>L249*IF(H249=1,'01_ВВОД'!$D$118,1)</f>
        <v/>
      </c>
      <c r="N249" s="188">
        <f>IF(K249=1,'01_ВВОД'!$D$26,0)</f>
        <v/>
      </c>
      <c r="O249" s="188">
        <f>IF(F249=1,'01_ВВОД'!$D$34,IF(D249&lt;=5,'01_ВВОД'!$D$32,'01_ВВОД'!$D$33))</f>
        <v/>
      </c>
      <c r="P249" s="188">
        <f>O249</f>
        <v/>
      </c>
      <c r="Q249" s="188">
        <f>'01_ВВОД'!$D$40</f>
        <v/>
      </c>
      <c r="R249" s="188">
        <f>'01_ВВОД'!$D$46</f>
        <v/>
      </c>
      <c r="S249" s="188">
        <f>H249</f>
        <v/>
      </c>
      <c r="T249" s="188">
        <f>IF(H249=1,M249+N249+P249+Q249,0)</f>
        <v/>
      </c>
      <c r="U249">
        <f>R249*'01_ВВОД'!$D$120</f>
        <v/>
      </c>
    </row>
    <row r="250">
      <c r="A250" s="200" t="n">
        <v>46511</v>
      </c>
      <c r="B250" s="201" t="n">
        <v>9</v>
      </c>
      <c r="C250" s="201" t="inlineStr">
        <is>
          <t>Май-27</t>
        </is>
      </c>
      <c r="D250" s="201" t="n">
        <v>2</v>
      </c>
      <c r="E250" s="201" t="inlineStr">
        <is>
          <t>Вт</t>
        </is>
      </c>
      <c r="F250" s="199" t="n">
        <v>0</v>
      </c>
      <c r="G250" s="201" t="str"/>
      <c r="H250" s="193" t="n">
        <v>0</v>
      </c>
      <c r="I250" s="201" t="str"/>
      <c r="J250" s="188">
        <f>1</f>
        <v/>
      </c>
      <c r="K250" s="188">
        <f>IF(AND(D250&lt;=5,F250=0),1,0)</f>
        <v/>
      </c>
      <c r="L250" s="188">
        <f>IF(F250=1,'01_ВВОД'!$D$23,CHOOSE(D250,'01_ВВОД'!$D$19,'01_ВВОД'!$D$19,'01_ВВОД'!$D$19,'01_ВВОД'!$D$19,'01_ВВОД'!$D$20,'01_ВВОД'!$D$21,'01_ВВОД'!$D$22))</f>
        <v/>
      </c>
      <c r="M250" s="188">
        <f>L250*IF(H250=1,'01_ВВОД'!$D$118,1)</f>
        <v/>
      </c>
      <c r="N250" s="188">
        <f>IF(K250=1,'01_ВВОД'!$D$26,0)</f>
        <v/>
      </c>
      <c r="O250" s="188">
        <f>IF(F250=1,'01_ВВОД'!$D$34,IF(D250&lt;=5,'01_ВВОД'!$D$32,'01_ВВОД'!$D$33))</f>
        <v/>
      </c>
      <c r="P250" s="188">
        <f>O250</f>
        <v/>
      </c>
      <c r="Q250" s="188">
        <f>'01_ВВОД'!$D$40</f>
        <v/>
      </c>
      <c r="R250" s="188">
        <f>'01_ВВОД'!$D$46</f>
        <v/>
      </c>
      <c r="S250" s="188">
        <f>H250</f>
        <v/>
      </c>
      <c r="T250" s="188">
        <f>IF(H250=1,M250+N250+P250+Q250,0)</f>
        <v/>
      </c>
      <c r="U250">
        <f>R250*'01_ВВОД'!$D$120</f>
        <v/>
      </c>
    </row>
    <row r="251">
      <c r="A251" s="200" t="n">
        <v>46512</v>
      </c>
      <c r="B251" s="201" t="n">
        <v>9</v>
      </c>
      <c r="C251" s="201" t="inlineStr">
        <is>
          <t>Май-27</t>
        </is>
      </c>
      <c r="D251" s="201" t="n">
        <v>3</v>
      </c>
      <c r="E251" s="201" t="inlineStr">
        <is>
          <t>Ср</t>
        </is>
      </c>
      <c r="F251" s="199" t="n">
        <v>0</v>
      </c>
      <c r="G251" s="201" t="str"/>
      <c r="H251" s="193" t="n">
        <v>0</v>
      </c>
      <c r="I251" s="201" t="str"/>
      <c r="J251" s="188">
        <f>1</f>
        <v/>
      </c>
      <c r="K251" s="188">
        <f>IF(AND(D251&lt;=5,F251=0),1,0)</f>
        <v/>
      </c>
      <c r="L251" s="188">
        <f>IF(F251=1,'01_ВВОД'!$D$23,CHOOSE(D251,'01_ВВОД'!$D$19,'01_ВВОД'!$D$19,'01_ВВОД'!$D$19,'01_ВВОД'!$D$19,'01_ВВОД'!$D$20,'01_ВВОД'!$D$21,'01_ВВОД'!$D$22))</f>
        <v/>
      </c>
      <c r="M251" s="188">
        <f>L251*IF(H251=1,'01_ВВОД'!$D$118,1)</f>
        <v/>
      </c>
      <c r="N251" s="188">
        <f>IF(K251=1,'01_ВВОД'!$D$26,0)</f>
        <v/>
      </c>
      <c r="O251" s="188">
        <f>IF(F251=1,'01_ВВОД'!$D$34,IF(D251&lt;=5,'01_ВВОД'!$D$32,'01_ВВОД'!$D$33))</f>
        <v/>
      </c>
      <c r="P251" s="188">
        <f>O251</f>
        <v/>
      </c>
      <c r="Q251" s="188">
        <f>'01_ВВОД'!$D$40</f>
        <v/>
      </c>
      <c r="R251" s="188">
        <f>'01_ВВОД'!$D$46</f>
        <v/>
      </c>
      <c r="S251" s="188">
        <f>H251</f>
        <v/>
      </c>
      <c r="T251" s="188">
        <f>IF(H251=1,M251+N251+P251+Q251,0)</f>
        <v/>
      </c>
      <c r="U251">
        <f>R251*'01_ВВОД'!$D$120</f>
        <v/>
      </c>
    </row>
    <row r="252">
      <c r="A252" s="200" t="n">
        <v>46513</v>
      </c>
      <c r="B252" s="201" t="n">
        <v>9</v>
      </c>
      <c r="C252" s="201" t="inlineStr">
        <is>
          <t>Май-27</t>
        </is>
      </c>
      <c r="D252" s="201" t="n">
        <v>4</v>
      </c>
      <c r="E252" s="201" t="inlineStr">
        <is>
          <t>Чт</t>
        </is>
      </c>
      <c r="F252" s="199" t="n">
        <v>0</v>
      </c>
      <c r="G252" s="201" t="str"/>
      <c r="H252" s="193" t="n">
        <v>0</v>
      </c>
      <c r="I252" s="201" t="str"/>
      <c r="J252" s="188">
        <f>1</f>
        <v/>
      </c>
      <c r="K252" s="188">
        <f>IF(AND(D252&lt;=5,F252=0),1,0)</f>
        <v/>
      </c>
      <c r="L252" s="188">
        <f>IF(F252=1,'01_ВВОД'!$D$23,CHOOSE(D252,'01_ВВОД'!$D$19,'01_ВВОД'!$D$19,'01_ВВОД'!$D$19,'01_ВВОД'!$D$19,'01_ВВОД'!$D$20,'01_ВВОД'!$D$21,'01_ВВОД'!$D$22))</f>
        <v/>
      </c>
      <c r="M252" s="188">
        <f>L252*IF(H252=1,'01_ВВОД'!$D$118,1)</f>
        <v/>
      </c>
      <c r="N252" s="188">
        <f>IF(K252=1,'01_ВВОД'!$D$26,0)</f>
        <v/>
      </c>
      <c r="O252" s="188">
        <f>IF(F252=1,'01_ВВОД'!$D$34,IF(D252&lt;=5,'01_ВВОД'!$D$32,'01_ВВОД'!$D$33))</f>
        <v/>
      </c>
      <c r="P252" s="188">
        <f>O252</f>
        <v/>
      </c>
      <c r="Q252" s="188">
        <f>'01_ВВОД'!$D$40</f>
        <v/>
      </c>
      <c r="R252" s="188">
        <f>'01_ВВОД'!$D$46</f>
        <v/>
      </c>
      <c r="S252" s="188">
        <f>H252</f>
        <v/>
      </c>
      <c r="T252" s="188">
        <f>IF(H252=1,M252+N252+P252+Q252,0)</f>
        <v/>
      </c>
      <c r="U252">
        <f>R252*'01_ВВОД'!$D$120</f>
        <v/>
      </c>
    </row>
    <row r="253">
      <c r="A253" s="200" t="n">
        <v>46514</v>
      </c>
      <c r="B253" s="201" t="n">
        <v>9</v>
      </c>
      <c r="C253" s="201" t="inlineStr">
        <is>
          <t>Май-27</t>
        </is>
      </c>
      <c r="D253" s="201" t="n">
        <v>5</v>
      </c>
      <c r="E253" s="201" t="inlineStr">
        <is>
          <t>Пт</t>
        </is>
      </c>
      <c r="F253" s="199" t="n">
        <v>0</v>
      </c>
      <c r="G253" s="201" t="str"/>
      <c r="H253" s="193" t="n">
        <v>1</v>
      </c>
      <c r="I253" s="201" t="inlineStr">
        <is>
          <t>Пт–Вс</t>
        </is>
      </c>
      <c r="J253" s="188">
        <f>1</f>
        <v/>
      </c>
      <c r="K253" s="188">
        <f>IF(AND(D253&lt;=5,F253=0),1,0)</f>
        <v/>
      </c>
      <c r="L253" s="188">
        <f>IF(F253=1,'01_ВВОД'!$D$23,CHOOSE(D253,'01_ВВОД'!$D$19,'01_ВВОД'!$D$19,'01_ВВОД'!$D$19,'01_ВВОД'!$D$19,'01_ВВОД'!$D$20,'01_ВВОД'!$D$21,'01_ВВОД'!$D$22))</f>
        <v/>
      </c>
      <c r="M253" s="188">
        <f>L253*IF(H253=1,'01_ВВОД'!$D$118,1)</f>
        <v/>
      </c>
      <c r="N253" s="188">
        <f>IF(K253=1,'01_ВВОД'!$D$26,0)</f>
        <v/>
      </c>
      <c r="O253" s="188">
        <f>IF(F253=1,'01_ВВОД'!$D$34,IF(D253&lt;=5,'01_ВВОД'!$D$32,'01_ВВОД'!$D$33))</f>
        <v/>
      </c>
      <c r="P253" s="188">
        <f>O253</f>
        <v/>
      </c>
      <c r="Q253" s="188">
        <f>'01_ВВОД'!$D$40</f>
        <v/>
      </c>
      <c r="R253" s="188">
        <f>'01_ВВОД'!$D$46</f>
        <v/>
      </c>
      <c r="S253" s="188">
        <f>H253</f>
        <v/>
      </c>
      <c r="T253" s="188">
        <f>IF(H253=1,M253+N253+P253+Q253,0)</f>
        <v/>
      </c>
      <c r="U253">
        <f>R253*'01_ВВОД'!$D$120</f>
        <v/>
      </c>
    </row>
    <row r="254">
      <c r="A254" s="200" t="n">
        <v>46515</v>
      </c>
      <c r="B254" s="201" t="n">
        <v>9</v>
      </c>
      <c r="C254" s="201" t="inlineStr">
        <is>
          <t>Май-27</t>
        </is>
      </c>
      <c r="D254" s="201" t="n">
        <v>6</v>
      </c>
      <c r="E254" s="201" t="inlineStr">
        <is>
          <t>Сб</t>
        </is>
      </c>
      <c r="F254" s="199" t="n">
        <v>0</v>
      </c>
      <c r="G254" s="201" t="str"/>
      <c r="H254" s="193" t="n">
        <v>1</v>
      </c>
      <c r="I254" s="201" t="inlineStr">
        <is>
          <t>Пт–Вс</t>
        </is>
      </c>
      <c r="J254" s="188">
        <f>1</f>
        <v/>
      </c>
      <c r="K254" s="188">
        <f>IF(AND(D254&lt;=5,F254=0),1,0)</f>
        <v/>
      </c>
      <c r="L254" s="188">
        <f>IF(F254=1,'01_ВВОД'!$D$23,CHOOSE(D254,'01_ВВОД'!$D$19,'01_ВВОД'!$D$19,'01_ВВОД'!$D$19,'01_ВВОД'!$D$19,'01_ВВОД'!$D$20,'01_ВВОД'!$D$21,'01_ВВОД'!$D$22))</f>
        <v/>
      </c>
      <c r="M254" s="188">
        <f>L254*IF(H254=1,'01_ВВОД'!$D$118,1)</f>
        <v/>
      </c>
      <c r="N254" s="188">
        <f>IF(K254=1,'01_ВВОД'!$D$26,0)</f>
        <v/>
      </c>
      <c r="O254" s="188">
        <f>IF(F254=1,'01_ВВОД'!$D$34,IF(D254&lt;=5,'01_ВВОД'!$D$32,'01_ВВОД'!$D$33))</f>
        <v/>
      </c>
      <c r="P254" s="188">
        <f>O254</f>
        <v/>
      </c>
      <c r="Q254" s="188">
        <f>'01_ВВОД'!$D$40</f>
        <v/>
      </c>
      <c r="R254" s="188">
        <f>'01_ВВОД'!$D$46</f>
        <v/>
      </c>
      <c r="S254" s="188">
        <f>H254</f>
        <v/>
      </c>
      <c r="T254" s="188">
        <f>IF(H254=1,M254+N254+P254+Q254,0)</f>
        <v/>
      </c>
      <c r="U254">
        <f>R254*'01_ВВОД'!$D$120</f>
        <v/>
      </c>
    </row>
    <row r="255">
      <c r="A255" s="200" t="n">
        <v>46516</v>
      </c>
      <c r="B255" s="201" t="n">
        <v>9</v>
      </c>
      <c r="C255" s="201" t="inlineStr">
        <is>
          <t>Май-27</t>
        </is>
      </c>
      <c r="D255" s="201" t="n">
        <v>7</v>
      </c>
      <c r="E255" s="201" t="inlineStr">
        <is>
          <t>Вс</t>
        </is>
      </c>
      <c r="F255" s="199" t="n">
        <v>1</v>
      </c>
      <c r="G255" s="201" t="inlineStr">
        <is>
          <t>Фиксированный праздник 2027; переносы уточнить</t>
        </is>
      </c>
      <c r="H255" s="193" t="n">
        <v>0</v>
      </c>
      <c r="I255" s="201" t="str"/>
      <c r="J255" s="188">
        <f>1</f>
        <v/>
      </c>
      <c r="K255" s="188">
        <f>IF(AND(D255&lt;=5,F255=0),1,0)</f>
        <v/>
      </c>
      <c r="L255" s="188">
        <f>IF(F255=1,'01_ВВОД'!$D$23,CHOOSE(D255,'01_ВВОД'!$D$19,'01_ВВОД'!$D$19,'01_ВВОД'!$D$19,'01_ВВОД'!$D$19,'01_ВВОД'!$D$20,'01_ВВОД'!$D$21,'01_ВВОД'!$D$22))</f>
        <v/>
      </c>
      <c r="M255" s="188">
        <f>L255*IF(H255=1,'01_ВВОД'!$D$118,1)</f>
        <v/>
      </c>
      <c r="N255" s="188">
        <f>IF(K255=1,'01_ВВОД'!$D$26,0)</f>
        <v/>
      </c>
      <c r="O255" s="188">
        <f>IF(F255=1,'01_ВВОД'!$D$34,IF(D255&lt;=5,'01_ВВОД'!$D$32,'01_ВВОД'!$D$33))</f>
        <v/>
      </c>
      <c r="P255" s="188">
        <f>O255</f>
        <v/>
      </c>
      <c r="Q255" s="188">
        <f>'01_ВВОД'!$D$40</f>
        <v/>
      </c>
      <c r="R255" s="188">
        <f>'01_ВВОД'!$D$46</f>
        <v/>
      </c>
      <c r="S255" s="188">
        <f>H255</f>
        <v/>
      </c>
      <c r="T255" s="188">
        <f>IF(H255=1,M255+N255+P255+Q255,0)</f>
        <v/>
      </c>
      <c r="U255">
        <f>R255*'01_ВВОД'!$D$120</f>
        <v/>
      </c>
    </row>
    <row r="256">
      <c r="A256" s="200" t="n">
        <v>46517</v>
      </c>
      <c r="B256" s="201" t="n">
        <v>9</v>
      </c>
      <c r="C256" s="201" t="inlineStr">
        <is>
          <t>Май-27</t>
        </is>
      </c>
      <c r="D256" s="201" t="n">
        <v>1</v>
      </c>
      <c r="E256" s="201" t="inlineStr">
        <is>
          <t>Пн</t>
        </is>
      </c>
      <c r="F256" s="199" t="n">
        <v>0</v>
      </c>
      <c r="G256" s="201" t="str"/>
      <c r="H256" s="193" t="n">
        <v>0</v>
      </c>
      <c r="I256" s="201" t="str"/>
      <c r="J256" s="188">
        <f>1</f>
        <v/>
      </c>
      <c r="K256" s="188">
        <f>IF(AND(D256&lt;=5,F256=0),1,0)</f>
        <v/>
      </c>
      <c r="L256" s="188">
        <f>IF(F256=1,'01_ВВОД'!$D$23,CHOOSE(D256,'01_ВВОД'!$D$19,'01_ВВОД'!$D$19,'01_ВВОД'!$D$19,'01_ВВОД'!$D$19,'01_ВВОД'!$D$20,'01_ВВОД'!$D$21,'01_ВВОД'!$D$22))</f>
        <v/>
      </c>
      <c r="M256" s="188">
        <f>L256*IF(H256=1,'01_ВВОД'!$D$118,1)</f>
        <v/>
      </c>
      <c r="N256" s="188">
        <f>IF(K256=1,'01_ВВОД'!$D$26,0)</f>
        <v/>
      </c>
      <c r="O256" s="188">
        <f>IF(F256=1,'01_ВВОД'!$D$34,IF(D256&lt;=5,'01_ВВОД'!$D$32,'01_ВВОД'!$D$33))</f>
        <v/>
      </c>
      <c r="P256" s="188">
        <f>O256</f>
        <v/>
      </c>
      <c r="Q256" s="188">
        <f>'01_ВВОД'!$D$40</f>
        <v/>
      </c>
      <c r="R256" s="188">
        <f>'01_ВВОД'!$D$46</f>
        <v/>
      </c>
      <c r="S256" s="188">
        <f>H256</f>
        <v/>
      </c>
      <c r="T256" s="188">
        <f>IF(H256=1,M256+N256+P256+Q256,0)</f>
        <v/>
      </c>
      <c r="U256">
        <f>R256*'01_ВВОД'!$D$120</f>
        <v/>
      </c>
    </row>
    <row r="257">
      <c r="A257" s="200" t="n">
        <v>46518</v>
      </c>
      <c r="B257" s="201" t="n">
        <v>9</v>
      </c>
      <c r="C257" s="201" t="inlineStr">
        <is>
          <t>Май-27</t>
        </is>
      </c>
      <c r="D257" s="201" t="n">
        <v>2</v>
      </c>
      <c r="E257" s="201" t="inlineStr">
        <is>
          <t>Вт</t>
        </is>
      </c>
      <c r="F257" s="199" t="n">
        <v>0</v>
      </c>
      <c r="G257" s="201" t="str"/>
      <c r="H257" s="193" t="n">
        <v>0</v>
      </c>
      <c r="I257" s="201" t="str"/>
      <c r="J257" s="188">
        <f>1</f>
        <v/>
      </c>
      <c r="K257" s="188">
        <f>IF(AND(D257&lt;=5,F257=0),1,0)</f>
        <v/>
      </c>
      <c r="L257" s="188">
        <f>IF(F257=1,'01_ВВОД'!$D$23,CHOOSE(D257,'01_ВВОД'!$D$19,'01_ВВОД'!$D$19,'01_ВВОД'!$D$19,'01_ВВОД'!$D$19,'01_ВВОД'!$D$20,'01_ВВОД'!$D$21,'01_ВВОД'!$D$22))</f>
        <v/>
      </c>
      <c r="M257" s="188">
        <f>L257*IF(H257=1,'01_ВВОД'!$D$118,1)</f>
        <v/>
      </c>
      <c r="N257" s="188">
        <f>IF(K257=1,'01_ВВОД'!$D$26,0)</f>
        <v/>
      </c>
      <c r="O257" s="188">
        <f>IF(F257=1,'01_ВВОД'!$D$34,IF(D257&lt;=5,'01_ВВОД'!$D$32,'01_ВВОД'!$D$33))</f>
        <v/>
      </c>
      <c r="P257" s="188">
        <f>O257</f>
        <v/>
      </c>
      <c r="Q257" s="188">
        <f>'01_ВВОД'!$D$40</f>
        <v/>
      </c>
      <c r="R257" s="188">
        <f>'01_ВВОД'!$D$46</f>
        <v/>
      </c>
      <c r="S257" s="188">
        <f>H257</f>
        <v/>
      </c>
      <c r="T257" s="188">
        <f>IF(H257=1,M257+N257+P257+Q257,0)</f>
        <v/>
      </c>
      <c r="U257">
        <f>R257*'01_ВВОД'!$D$120</f>
        <v/>
      </c>
    </row>
    <row r="258">
      <c r="A258" s="200" t="n">
        <v>46519</v>
      </c>
      <c r="B258" s="201" t="n">
        <v>9</v>
      </c>
      <c r="C258" s="201" t="inlineStr">
        <is>
          <t>Май-27</t>
        </is>
      </c>
      <c r="D258" s="201" t="n">
        <v>3</v>
      </c>
      <c r="E258" s="201" t="inlineStr">
        <is>
          <t>Ср</t>
        </is>
      </c>
      <c r="F258" s="199" t="n">
        <v>0</v>
      </c>
      <c r="G258" s="201" t="str"/>
      <c r="H258" s="193" t="n">
        <v>0</v>
      </c>
      <c r="I258" s="201" t="str"/>
      <c r="J258" s="188">
        <f>1</f>
        <v/>
      </c>
      <c r="K258" s="188">
        <f>IF(AND(D258&lt;=5,F258=0),1,0)</f>
        <v/>
      </c>
      <c r="L258" s="188">
        <f>IF(F258=1,'01_ВВОД'!$D$23,CHOOSE(D258,'01_ВВОД'!$D$19,'01_ВВОД'!$D$19,'01_ВВОД'!$D$19,'01_ВВОД'!$D$19,'01_ВВОД'!$D$20,'01_ВВОД'!$D$21,'01_ВВОД'!$D$22))</f>
        <v/>
      </c>
      <c r="M258" s="188">
        <f>L258*IF(H258=1,'01_ВВОД'!$D$118,1)</f>
        <v/>
      </c>
      <c r="N258" s="188">
        <f>IF(K258=1,'01_ВВОД'!$D$26,0)</f>
        <v/>
      </c>
      <c r="O258" s="188">
        <f>IF(F258=1,'01_ВВОД'!$D$34,IF(D258&lt;=5,'01_ВВОД'!$D$32,'01_ВВОД'!$D$33))</f>
        <v/>
      </c>
      <c r="P258" s="188">
        <f>O258</f>
        <v/>
      </c>
      <c r="Q258" s="188">
        <f>'01_ВВОД'!$D$40</f>
        <v/>
      </c>
      <c r="R258" s="188">
        <f>'01_ВВОД'!$D$46</f>
        <v/>
      </c>
      <c r="S258" s="188">
        <f>H258</f>
        <v/>
      </c>
      <c r="T258" s="188">
        <f>IF(H258=1,M258+N258+P258+Q258,0)</f>
        <v/>
      </c>
      <c r="U258">
        <f>R258*'01_ВВОД'!$D$120</f>
        <v/>
      </c>
    </row>
    <row r="259">
      <c r="A259" s="200" t="n">
        <v>46520</v>
      </c>
      <c r="B259" s="201" t="n">
        <v>9</v>
      </c>
      <c r="C259" s="201" t="inlineStr">
        <is>
          <t>Май-27</t>
        </is>
      </c>
      <c r="D259" s="201" t="n">
        <v>4</v>
      </c>
      <c r="E259" s="201" t="inlineStr">
        <is>
          <t>Чт</t>
        </is>
      </c>
      <c r="F259" s="199" t="n">
        <v>0</v>
      </c>
      <c r="G259" s="201" t="str"/>
      <c r="H259" s="193" t="n">
        <v>0</v>
      </c>
      <c r="I259" s="201" t="str"/>
      <c r="J259" s="188">
        <f>1</f>
        <v/>
      </c>
      <c r="K259" s="188">
        <f>IF(AND(D259&lt;=5,F259=0),1,0)</f>
        <v/>
      </c>
      <c r="L259" s="188">
        <f>IF(F259=1,'01_ВВОД'!$D$23,CHOOSE(D259,'01_ВВОД'!$D$19,'01_ВВОД'!$D$19,'01_ВВОД'!$D$19,'01_ВВОД'!$D$19,'01_ВВОД'!$D$20,'01_ВВОД'!$D$21,'01_ВВОД'!$D$22))</f>
        <v/>
      </c>
      <c r="M259" s="188">
        <f>L259*IF(H259=1,'01_ВВОД'!$D$118,1)</f>
        <v/>
      </c>
      <c r="N259" s="188">
        <f>IF(K259=1,'01_ВВОД'!$D$26,0)</f>
        <v/>
      </c>
      <c r="O259" s="188">
        <f>IF(F259=1,'01_ВВОД'!$D$34,IF(D259&lt;=5,'01_ВВОД'!$D$32,'01_ВВОД'!$D$33))</f>
        <v/>
      </c>
      <c r="P259" s="188">
        <f>O259</f>
        <v/>
      </c>
      <c r="Q259" s="188">
        <f>'01_ВВОД'!$D$40</f>
        <v/>
      </c>
      <c r="R259" s="188">
        <f>'01_ВВОД'!$D$46</f>
        <v/>
      </c>
      <c r="S259" s="188">
        <f>H259</f>
        <v/>
      </c>
      <c r="T259" s="188">
        <f>IF(H259=1,M259+N259+P259+Q259,0)</f>
        <v/>
      </c>
      <c r="U259">
        <f>R259*'01_ВВОД'!$D$120</f>
        <v/>
      </c>
    </row>
    <row r="260">
      <c r="A260" s="200" t="n">
        <v>46521</v>
      </c>
      <c r="B260" s="201" t="n">
        <v>9</v>
      </c>
      <c r="C260" s="201" t="inlineStr">
        <is>
          <t>Май-27</t>
        </is>
      </c>
      <c r="D260" s="201" t="n">
        <v>5</v>
      </c>
      <c r="E260" s="201" t="inlineStr">
        <is>
          <t>Пт</t>
        </is>
      </c>
      <c r="F260" s="199" t="n">
        <v>0</v>
      </c>
      <c r="G260" s="201" t="str"/>
      <c r="H260" s="193" t="n">
        <v>1</v>
      </c>
      <c r="I260" s="201" t="inlineStr">
        <is>
          <t>Пт–Вс</t>
        </is>
      </c>
      <c r="J260" s="188">
        <f>1</f>
        <v/>
      </c>
      <c r="K260" s="188">
        <f>IF(AND(D260&lt;=5,F260=0),1,0)</f>
        <v/>
      </c>
      <c r="L260" s="188">
        <f>IF(F260=1,'01_ВВОД'!$D$23,CHOOSE(D260,'01_ВВОД'!$D$19,'01_ВВОД'!$D$19,'01_ВВОД'!$D$19,'01_ВВОД'!$D$19,'01_ВВОД'!$D$20,'01_ВВОД'!$D$21,'01_ВВОД'!$D$22))</f>
        <v/>
      </c>
      <c r="M260" s="188">
        <f>L260*IF(H260=1,'01_ВВОД'!$D$118,1)</f>
        <v/>
      </c>
      <c r="N260" s="188">
        <f>IF(K260=1,'01_ВВОД'!$D$26,0)</f>
        <v/>
      </c>
      <c r="O260" s="188">
        <f>IF(F260=1,'01_ВВОД'!$D$34,IF(D260&lt;=5,'01_ВВОД'!$D$32,'01_ВВОД'!$D$33))</f>
        <v/>
      </c>
      <c r="P260" s="188">
        <f>O260</f>
        <v/>
      </c>
      <c r="Q260" s="188">
        <f>'01_ВВОД'!$D$40</f>
        <v/>
      </c>
      <c r="R260" s="188">
        <f>'01_ВВОД'!$D$46</f>
        <v/>
      </c>
      <c r="S260" s="188">
        <f>H260</f>
        <v/>
      </c>
      <c r="T260" s="188">
        <f>IF(H260=1,M260+N260+P260+Q260,0)</f>
        <v/>
      </c>
      <c r="U260">
        <f>R260*'01_ВВОД'!$D$120</f>
        <v/>
      </c>
    </row>
    <row r="261">
      <c r="A261" s="200" t="n">
        <v>46522</v>
      </c>
      <c r="B261" s="201" t="n">
        <v>9</v>
      </c>
      <c r="C261" s="201" t="inlineStr">
        <is>
          <t>Май-27</t>
        </is>
      </c>
      <c r="D261" s="201" t="n">
        <v>6</v>
      </c>
      <c r="E261" s="201" t="inlineStr">
        <is>
          <t>Сб</t>
        </is>
      </c>
      <c r="F261" s="199" t="n">
        <v>0</v>
      </c>
      <c r="G261" s="201" t="str"/>
      <c r="H261" s="193" t="n">
        <v>0</v>
      </c>
      <c r="I261" s="201" t="str"/>
      <c r="J261" s="188">
        <f>1</f>
        <v/>
      </c>
      <c r="K261" s="188">
        <f>IF(AND(D261&lt;=5,F261=0),1,0)</f>
        <v/>
      </c>
      <c r="L261" s="188">
        <f>IF(F261=1,'01_ВВОД'!$D$23,CHOOSE(D261,'01_ВВОД'!$D$19,'01_ВВОД'!$D$19,'01_ВВОД'!$D$19,'01_ВВОД'!$D$19,'01_ВВОД'!$D$20,'01_ВВОД'!$D$21,'01_ВВОД'!$D$22))</f>
        <v/>
      </c>
      <c r="M261" s="188">
        <f>L261*IF(H261=1,'01_ВВОД'!$D$118,1)</f>
        <v/>
      </c>
      <c r="N261" s="188">
        <f>IF(K261=1,'01_ВВОД'!$D$26,0)</f>
        <v/>
      </c>
      <c r="O261" s="188">
        <f>IF(F261=1,'01_ВВОД'!$D$34,IF(D261&lt;=5,'01_ВВОД'!$D$32,'01_ВВОД'!$D$33))</f>
        <v/>
      </c>
      <c r="P261" s="188">
        <f>O261</f>
        <v/>
      </c>
      <c r="Q261" s="188">
        <f>'01_ВВОД'!$D$40</f>
        <v/>
      </c>
      <c r="R261" s="188">
        <f>'01_ВВОД'!$D$46</f>
        <v/>
      </c>
      <c r="S261" s="188">
        <f>H261</f>
        <v/>
      </c>
      <c r="T261" s="188">
        <f>IF(H261=1,M261+N261+P261+Q261,0)</f>
        <v/>
      </c>
      <c r="U261">
        <f>R261*'01_ВВОД'!$D$120</f>
        <v/>
      </c>
    </row>
    <row r="262">
      <c r="A262" s="200" t="n">
        <v>46523</v>
      </c>
      <c r="B262" s="201" t="n">
        <v>9</v>
      </c>
      <c r="C262" s="201" t="inlineStr">
        <is>
          <t>Май-27</t>
        </is>
      </c>
      <c r="D262" s="201" t="n">
        <v>7</v>
      </c>
      <c r="E262" s="201" t="inlineStr">
        <is>
          <t>Вс</t>
        </is>
      </c>
      <c r="F262" s="199" t="n">
        <v>0</v>
      </c>
      <c r="G262" s="201" t="str"/>
      <c r="H262" s="193" t="n">
        <v>0</v>
      </c>
      <c r="I262" s="201" t="str"/>
      <c r="J262" s="188">
        <f>1</f>
        <v/>
      </c>
      <c r="K262" s="188">
        <f>IF(AND(D262&lt;=5,F262=0),1,0)</f>
        <v/>
      </c>
      <c r="L262" s="188">
        <f>IF(F262=1,'01_ВВОД'!$D$23,CHOOSE(D262,'01_ВВОД'!$D$19,'01_ВВОД'!$D$19,'01_ВВОД'!$D$19,'01_ВВОД'!$D$19,'01_ВВОД'!$D$20,'01_ВВОД'!$D$21,'01_ВВОД'!$D$22))</f>
        <v/>
      </c>
      <c r="M262" s="188">
        <f>L262*IF(H262=1,'01_ВВОД'!$D$118,1)</f>
        <v/>
      </c>
      <c r="N262" s="188">
        <f>IF(K262=1,'01_ВВОД'!$D$26,0)</f>
        <v/>
      </c>
      <c r="O262" s="188">
        <f>IF(F262=1,'01_ВВОД'!$D$34,IF(D262&lt;=5,'01_ВВОД'!$D$32,'01_ВВОД'!$D$33))</f>
        <v/>
      </c>
      <c r="P262" s="188">
        <f>O262</f>
        <v/>
      </c>
      <c r="Q262" s="188">
        <f>'01_ВВОД'!$D$40</f>
        <v/>
      </c>
      <c r="R262" s="188">
        <f>'01_ВВОД'!$D$46</f>
        <v/>
      </c>
      <c r="S262" s="188">
        <f>H262</f>
        <v/>
      </c>
      <c r="T262" s="188">
        <f>IF(H262=1,M262+N262+P262+Q262,0)</f>
        <v/>
      </c>
      <c r="U262">
        <f>R262*'01_ВВОД'!$D$120</f>
        <v/>
      </c>
    </row>
    <row r="263">
      <c r="A263" s="200" t="n">
        <v>46524</v>
      </c>
      <c r="B263" s="201" t="n">
        <v>9</v>
      </c>
      <c r="C263" s="201" t="inlineStr">
        <is>
          <t>Май-27</t>
        </is>
      </c>
      <c r="D263" s="201" t="n">
        <v>1</v>
      </c>
      <c r="E263" s="201" t="inlineStr">
        <is>
          <t>Пн</t>
        </is>
      </c>
      <c r="F263" s="199" t="n">
        <v>0</v>
      </c>
      <c r="G263" s="201" t="str"/>
      <c r="H263" s="193" t="n">
        <v>0</v>
      </c>
      <c r="I263" s="201" t="str"/>
      <c r="J263" s="188">
        <f>1</f>
        <v/>
      </c>
      <c r="K263" s="188">
        <f>IF(AND(D263&lt;=5,F263=0),1,0)</f>
        <v/>
      </c>
      <c r="L263" s="188">
        <f>IF(F263=1,'01_ВВОД'!$D$23,CHOOSE(D263,'01_ВВОД'!$D$19,'01_ВВОД'!$D$19,'01_ВВОД'!$D$19,'01_ВВОД'!$D$19,'01_ВВОД'!$D$20,'01_ВВОД'!$D$21,'01_ВВОД'!$D$22))</f>
        <v/>
      </c>
      <c r="M263" s="188">
        <f>L263*IF(H263=1,'01_ВВОД'!$D$118,1)</f>
        <v/>
      </c>
      <c r="N263" s="188">
        <f>IF(K263=1,'01_ВВОД'!$D$26,0)</f>
        <v/>
      </c>
      <c r="O263" s="188">
        <f>IF(F263=1,'01_ВВОД'!$D$34,IF(D263&lt;=5,'01_ВВОД'!$D$32,'01_ВВОД'!$D$33))</f>
        <v/>
      </c>
      <c r="P263" s="188">
        <f>O263</f>
        <v/>
      </c>
      <c r="Q263" s="188">
        <f>'01_ВВОД'!$D$40</f>
        <v/>
      </c>
      <c r="R263" s="188">
        <f>'01_ВВОД'!$D$46</f>
        <v/>
      </c>
      <c r="S263" s="188">
        <f>H263</f>
        <v/>
      </c>
      <c r="T263" s="188">
        <f>IF(H263=1,M263+N263+P263+Q263,0)</f>
        <v/>
      </c>
      <c r="U263">
        <f>R263*'01_ВВОД'!$D$120</f>
        <v/>
      </c>
    </row>
    <row r="264">
      <c r="A264" s="200" t="n">
        <v>46525</v>
      </c>
      <c r="B264" s="201" t="n">
        <v>9</v>
      </c>
      <c r="C264" s="201" t="inlineStr">
        <is>
          <t>Май-27</t>
        </is>
      </c>
      <c r="D264" s="201" t="n">
        <v>2</v>
      </c>
      <c r="E264" s="201" t="inlineStr">
        <is>
          <t>Вт</t>
        </is>
      </c>
      <c r="F264" s="199" t="n">
        <v>0</v>
      </c>
      <c r="G264" s="201" t="str"/>
      <c r="H264" s="193" t="n">
        <v>0</v>
      </c>
      <c r="I264" s="201" t="str"/>
      <c r="J264" s="188">
        <f>1</f>
        <v/>
      </c>
      <c r="K264" s="188">
        <f>IF(AND(D264&lt;=5,F264=0),1,0)</f>
        <v/>
      </c>
      <c r="L264" s="188">
        <f>IF(F264=1,'01_ВВОД'!$D$23,CHOOSE(D264,'01_ВВОД'!$D$19,'01_ВВОД'!$D$19,'01_ВВОД'!$D$19,'01_ВВОД'!$D$19,'01_ВВОД'!$D$20,'01_ВВОД'!$D$21,'01_ВВОД'!$D$22))</f>
        <v/>
      </c>
      <c r="M264" s="188">
        <f>L264*IF(H264=1,'01_ВВОД'!$D$118,1)</f>
        <v/>
      </c>
      <c r="N264" s="188">
        <f>IF(K264=1,'01_ВВОД'!$D$26,0)</f>
        <v/>
      </c>
      <c r="O264" s="188">
        <f>IF(F264=1,'01_ВВОД'!$D$34,IF(D264&lt;=5,'01_ВВОД'!$D$32,'01_ВВОД'!$D$33))</f>
        <v/>
      </c>
      <c r="P264" s="188">
        <f>O264</f>
        <v/>
      </c>
      <c r="Q264" s="188">
        <f>'01_ВВОД'!$D$40</f>
        <v/>
      </c>
      <c r="R264" s="188">
        <f>'01_ВВОД'!$D$46</f>
        <v/>
      </c>
      <c r="S264" s="188">
        <f>H264</f>
        <v/>
      </c>
      <c r="T264" s="188">
        <f>IF(H264=1,M264+N264+P264+Q264,0)</f>
        <v/>
      </c>
      <c r="U264">
        <f>R264*'01_ВВОД'!$D$120</f>
        <v/>
      </c>
    </row>
    <row r="265">
      <c r="A265" s="200" t="n">
        <v>46526</v>
      </c>
      <c r="B265" s="201" t="n">
        <v>9</v>
      </c>
      <c r="C265" s="201" t="inlineStr">
        <is>
          <t>Май-27</t>
        </is>
      </c>
      <c r="D265" s="201" t="n">
        <v>3</v>
      </c>
      <c r="E265" s="201" t="inlineStr">
        <is>
          <t>Ср</t>
        </is>
      </c>
      <c r="F265" s="199" t="n">
        <v>0</v>
      </c>
      <c r="G265" s="201" t="str"/>
      <c r="H265" s="193" t="n">
        <v>1</v>
      </c>
      <c r="I265" s="201" t="inlineStr">
        <is>
          <t>Пн–Чт</t>
        </is>
      </c>
      <c r="J265" s="188">
        <f>1</f>
        <v/>
      </c>
      <c r="K265" s="188">
        <f>IF(AND(D265&lt;=5,F265=0),1,0)</f>
        <v/>
      </c>
      <c r="L265" s="188">
        <f>IF(F265=1,'01_ВВОД'!$D$23,CHOOSE(D265,'01_ВВОД'!$D$19,'01_ВВОД'!$D$19,'01_ВВОД'!$D$19,'01_ВВОД'!$D$19,'01_ВВОД'!$D$20,'01_ВВОД'!$D$21,'01_ВВОД'!$D$22))</f>
        <v/>
      </c>
      <c r="M265" s="188">
        <f>L265*IF(H265=1,'01_ВВОД'!$D$118,1)</f>
        <v/>
      </c>
      <c r="N265" s="188">
        <f>IF(K265=1,'01_ВВОД'!$D$26,0)</f>
        <v/>
      </c>
      <c r="O265" s="188">
        <f>IF(F265=1,'01_ВВОД'!$D$34,IF(D265&lt;=5,'01_ВВОД'!$D$32,'01_ВВОД'!$D$33))</f>
        <v/>
      </c>
      <c r="P265" s="188">
        <f>O265</f>
        <v/>
      </c>
      <c r="Q265" s="188">
        <f>'01_ВВОД'!$D$40</f>
        <v/>
      </c>
      <c r="R265" s="188">
        <f>'01_ВВОД'!$D$46</f>
        <v/>
      </c>
      <c r="S265" s="188">
        <f>H265</f>
        <v/>
      </c>
      <c r="T265" s="188">
        <f>IF(H265=1,M265+N265+P265+Q265,0)</f>
        <v/>
      </c>
      <c r="U265">
        <f>R265*'01_ВВОД'!$D$120</f>
        <v/>
      </c>
    </row>
    <row r="266">
      <c r="A266" s="200" t="n">
        <v>46527</v>
      </c>
      <c r="B266" s="201" t="n">
        <v>9</v>
      </c>
      <c r="C266" s="201" t="inlineStr">
        <is>
          <t>Май-27</t>
        </is>
      </c>
      <c r="D266" s="201" t="n">
        <v>4</v>
      </c>
      <c r="E266" s="201" t="inlineStr">
        <is>
          <t>Чт</t>
        </is>
      </c>
      <c r="F266" s="199" t="n">
        <v>0</v>
      </c>
      <c r="G266" s="201" t="str"/>
      <c r="H266" s="193" t="n">
        <v>0</v>
      </c>
      <c r="I266" s="201" t="str"/>
      <c r="J266" s="188">
        <f>1</f>
        <v/>
      </c>
      <c r="K266" s="188">
        <f>IF(AND(D266&lt;=5,F266=0),1,0)</f>
        <v/>
      </c>
      <c r="L266" s="188">
        <f>IF(F266=1,'01_ВВОД'!$D$23,CHOOSE(D266,'01_ВВОД'!$D$19,'01_ВВОД'!$D$19,'01_ВВОД'!$D$19,'01_ВВОД'!$D$19,'01_ВВОД'!$D$20,'01_ВВОД'!$D$21,'01_ВВОД'!$D$22))</f>
        <v/>
      </c>
      <c r="M266" s="188">
        <f>L266*IF(H266=1,'01_ВВОД'!$D$118,1)</f>
        <v/>
      </c>
      <c r="N266" s="188">
        <f>IF(K266=1,'01_ВВОД'!$D$26,0)</f>
        <v/>
      </c>
      <c r="O266" s="188">
        <f>IF(F266=1,'01_ВВОД'!$D$34,IF(D266&lt;=5,'01_ВВОД'!$D$32,'01_ВВОД'!$D$33))</f>
        <v/>
      </c>
      <c r="P266" s="188">
        <f>O266</f>
        <v/>
      </c>
      <c r="Q266" s="188">
        <f>'01_ВВОД'!$D$40</f>
        <v/>
      </c>
      <c r="R266" s="188">
        <f>'01_ВВОД'!$D$46</f>
        <v/>
      </c>
      <c r="S266" s="188">
        <f>H266</f>
        <v/>
      </c>
      <c r="T266" s="188">
        <f>IF(H266=1,M266+N266+P266+Q266,0)</f>
        <v/>
      </c>
      <c r="U266">
        <f>R266*'01_ВВОД'!$D$120</f>
        <v/>
      </c>
    </row>
    <row r="267">
      <c r="A267" s="200" t="n">
        <v>46528</v>
      </c>
      <c r="B267" s="201" t="n">
        <v>9</v>
      </c>
      <c r="C267" s="201" t="inlineStr">
        <is>
          <t>Май-27</t>
        </is>
      </c>
      <c r="D267" s="201" t="n">
        <v>5</v>
      </c>
      <c r="E267" s="201" t="inlineStr">
        <is>
          <t>Пт</t>
        </is>
      </c>
      <c r="F267" s="199" t="n">
        <v>0</v>
      </c>
      <c r="G267" s="201" t="str"/>
      <c r="H267" s="193" t="n">
        <v>0</v>
      </c>
      <c r="I267" s="201" t="str"/>
      <c r="J267" s="188">
        <f>1</f>
        <v/>
      </c>
      <c r="K267" s="188">
        <f>IF(AND(D267&lt;=5,F267=0),1,0)</f>
        <v/>
      </c>
      <c r="L267" s="188">
        <f>IF(F267=1,'01_ВВОД'!$D$23,CHOOSE(D267,'01_ВВОД'!$D$19,'01_ВВОД'!$D$19,'01_ВВОД'!$D$19,'01_ВВОД'!$D$19,'01_ВВОД'!$D$20,'01_ВВОД'!$D$21,'01_ВВОД'!$D$22))</f>
        <v/>
      </c>
      <c r="M267" s="188">
        <f>L267*IF(H267=1,'01_ВВОД'!$D$118,1)</f>
        <v/>
      </c>
      <c r="N267" s="188">
        <f>IF(K267=1,'01_ВВОД'!$D$26,0)</f>
        <v/>
      </c>
      <c r="O267" s="188">
        <f>IF(F267=1,'01_ВВОД'!$D$34,IF(D267&lt;=5,'01_ВВОД'!$D$32,'01_ВВОД'!$D$33))</f>
        <v/>
      </c>
      <c r="P267" s="188">
        <f>O267</f>
        <v/>
      </c>
      <c r="Q267" s="188">
        <f>'01_ВВОД'!$D$40</f>
        <v/>
      </c>
      <c r="R267" s="188">
        <f>'01_ВВОД'!$D$46</f>
        <v/>
      </c>
      <c r="S267" s="188">
        <f>H267</f>
        <v/>
      </c>
      <c r="T267" s="188">
        <f>IF(H267=1,M267+N267+P267+Q267,0)</f>
        <v/>
      </c>
      <c r="U267">
        <f>R267*'01_ВВОД'!$D$120</f>
        <v/>
      </c>
    </row>
    <row r="268">
      <c r="A268" s="200" t="n">
        <v>46529</v>
      </c>
      <c r="B268" s="201" t="n">
        <v>9</v>
      </c>
      <c r="C268" s="201" t="inlineStr">
        <is>
          <t>Май-27</t>
        </is>
      </c>
      <c r="D268" s="201" t="n">
        <v>6</v>
      </c>
      <c r="E268" s="201" t="inlineStr">
        <is>
          <t>Сб</t>
        </is>
      </c>
      <c r="F268" s="199" t="n">
        <v>0</v>
      </c>
      <c r="G268" s="201" t="str"/>
      <c r="H268" s="193" t="n">
        <v>1</v>
      </c>
      <c r="I268" s="201" t="inlineStr">
        <is>
          <t>Пт–Вс</t>
        </is>
      </c>
      <c r="J268" s="188">
        <f>1</f>
        <v/>
      </c>
      <c r="K268" s="188">
        <f>IF(AND(D268&lt;=5,F268=0),1,0)</f>
        <v/>
      </c>
      <c r="L268" s="188">
        <f>IF(F268=1,'01_ВВОД'!$D$23,CHOOSE(D268,'01_ВВОД'!$D$19,'01_ВВОД'!$D$19,'01_ВВОД'!$D$19,'01_ВВОД'!$D$19,'01_ВВОД'!$D$20,'01_ВВОД'!$D$21,'01_ВВОД'!$D$22))</f>
        <v/>
      </c>
      <c r="M268" s="188">
        <f>L268*IF(H268=1,'01_ВВОД'!$D$118,1)</f>
        <v/>
      </c>
      <c r="N268" s="188">
        <f>IF(K268=1,'01_ВВОД'!$D$26,0)</f>
        <v/>
      </c>
      <c r="O268" s="188">
        <f>IF(F268=1,'01_ВВОД'!$D$34,IF(D268&lt;=5,'01_ВВОД'!$D$32,'01_ВВОД'!$D$33))</f>
        <v/>
      </c>
      <c r="P268" s="188">
        <f>O268</f>
        <v/>
      </c>
      <c r="Q268" s="188">
        <f>'01_ВВОД'!$D$40</f>
        <v/>
      </c>
      <c r="R268" s="188">
        <f>'01_ВВОД'!$D$46</f>
        <v/>
      </c>
      <c r="S268" s="188">
        <f>H268</f>
        <v/>
      </c>
      <c r="T268" s="188">
        <f>IF(H268=1,M268+N268+P268+Q268,0)</f>
        <v/>
      </c>
      <c r="U268">
        <f>R268*'01_ВВОД'!$D$120</f>
        <v/>
      </c>
    </row>
    <row r="269">
      <c r="A269" s="200" t="n">
        <v>46530</v>
      </c>
      <c r="B269" s="201" t="n">
        <v>9</v>
      </c>
      <c r="C269" s="201" t="inlineStr">
        <is>
          <t>Май-27</t>
        </is>
      </c>
      <c r="D269" s="201" t="n">
        <v>7</v>
      </c>
      <c r="E269" s="201" t="inlineStr">
        <is>
          <t>Вс</t>
        </is>
      </c>
      <c r="F269" s="199" t="n">
        <v>0</v>
      </c>
      <c r="G269" s="201" t="str"/>
      <c r="H269" s="193" t="n">
        <v>0</v>
      </c>
      <c r="I269" s="201" t="str"/>
      <c r="J269" s="188">
        <f>1</f>
        <v/>
      </c>
      <c r="K269" s="188">
        <f>IF(AND(D269&lt;=5,F269=0),1,0)</f>
        <v/>
      </c>
      <c r="L269" s="188">
        <f>IF(F269=1,'01_ВВОД'!$D$23,CHOOSE(D269,'01_ВВОД'!$D$19,'01_ВВОД'!$D$19,'01_ВВОД'!$D$19,'01_ВВОД'!$D$19,'01_ВВОД'!$D$20,'01_ВВОД'!$D$21,'01_ВВОД'!$D$22))</f>
        <v/>
      </c>
      <c r="M269" s="188">
        <f>L269*IF(H269=1,'01_ВВОД'!$D$118,1)</f>
        <v/>
      </c>
      <c r="N269" s="188">
        <f>IF(K269=1,'01_ВВОД'!$D$26,0)</f>
        <v/>
      </c>
      <c r="O269" s="188">
        <f>IF(F269=1,'01_ВВОД'!$D$34,IF(D269&lt;=5,'01_ВВОД'!$D$32,'01_ВВОД'!$D$33))</f>
        <v/>
      </c>
      <c r="P269" s="188">
        <f>O269</f>
        <v/>
      </c>
      <c r="Q269" s="188">
        <f>'01_ВВОД'!$D$40</f>
        <v/>
      </c>
      <c r="R269" s="188">
        <f>'01_ВВОД'!$D$46</f>
        <v/>
      </c>
      <c r="S269" s="188">
        <f>H269</f>
        <v/>
      </c>
      <c r="T269" s="188">
        <f>IF(H269=1,M269+N269+P269+Q269,0)</f>
        <v/>
      </c>
      <c r="U269">
        <f>R269*'01_ВВОД'!$D$120</f>
        <v/>
      </c>
    </row>
    <row r="270">
      <c r="A270" s="200" t="n">
        <v>46531</v>
      </c>
      <c r="B270" s="201" t="n">
        <v>9</v>
      </c>
      <c r="C270" s="201" t="inlineStr">
        <is>
          <t>Май-27</t>
        </is>
      </c>
      <c r="D270" s="201" t="n">
        <v>1</v>
      </c>
      <c r="E270" s="201" t="inlineStr">
        <is>
          <t>Пн</t>
        </is>
      </c>
      <c r="F270" s="199" t="n">
        <v>0</v>
      </c>
      <c r="G270" s="201" t="str"/>
      <c r="H270" s="193" t="n">
        <v>0</v>
      </c>
      <c r="I270" s="201" t="str"/>
      <c r="J270" s="188">
        <f>1</f>
        <v/>
      </c>
      <c r="K270" s="188">
        <f>IF(AND(D270&lt;=5,F270=0),1,0)</f>
        <v/>
      </c>
      <c r="L270" s="188">
        <f>IF(F270=1,'01_ВВОД'!$D$23,CHOOSE(D270,'01_ВВОД'!$D$19,'01_ВВОД'!$D$19,'01_ВВОД'!$D$19,'01_ВВОД'!$D$19,'01_ВВОД'!$D$20,'01_ВВОД'!$D$21,'01_ВВОД'!$D$22))</f>
        <v/>
      </c>
      <c r="M270" s="188">
        <f>L270*IF(H270=1,'01_ВВОД'!$D$118,1)</f>
        <v/>
      </c>
      <c r="N270" s="188">
        <f>IF(K270=1,'01_ВВОД'!$D$26,0)</f>
        <v/>
      </c>
      <c r="O270" s="188">
        <f>IF(F270=1,'01_ВВОД'!$D$34,IF(D270&lt;=5,'01_ВВОД'!$D$32,'01_ВВОД'!$D$33))</f>
        <v/>
      </c>
      <c r="P270" s="188">
        <f>O270</f>
        <v/>
      </c>
      <c r="Q270" s="188">
        <f>'01_ВВОД'!$D$40</f>
        <v/>
      </c>
      <c r="R270" s="188">
        <f>'01_ВВОД'!$D$46</f>
        <v/>
      </c>
      <c r="S270" s="188">
        <f>H270</f>
        <v/>
      </c>
      <c r="T270" s="188">
        <f>IF(H270=1,M270+N270+P270+Q270,0)</f>
        <v/>
      </c>
      <c r="U270">
        <f>R270*'01_ВВОД'!$D$120</f>
        <v/>
      </c>
    </row>
    <row r="271">
      <c r="A271" s="200" t="n">
        <v>46532</v>
      </c>
      <c r="B271" s="201" t="n">
        <v>9</v>
      </c>
      <c r="C271" s="201" t="inlineStr">
        <is>
          <t>Май-27</t>
        </is>
      </c>
      <c r="D271" s="201" t="n">
        <v>2</v>
      </c>
      <c r="E271" s="201" t="inlineStr">
        <is>
          <t>Вт</t>
        </is>
      </c>
      <c r="F271" s="199" t="n">
        <v>0</v>
      </c>
      <c r="G271" s="201" t="str"/>
      <c r="H271" s="193" t="n">
        <v>0</v>
      </c>
      <c r="I271" s="201" t="str"/>
      <c r="J271" s="188">
        <f>1</f>
        <v/>
      </c>
      <c r="K271" s="188">
        <f>IF(AND(D271&lt;=5,F271=0),1,0)</f>
        <v/>
      </c>
      <c r="L271" s="188">
        <f>IF(F271=1,'01_ВВОД'!$D$23,CHOOSE(D271,'01_ВВОД'!$D$19,'01_ВВОД'!$D$19,'01_ВВОД'!$D$19,'01_ВВОД'!$D$19,'01_ВВОД'!$D$20,'01_ВВОД'!$D$21,'01_ВВОД'!$D$22))</f>
        <v/>
      </c>
      <c r="M271" s="188">
        <f>L271*IF(H271=1,'01_ВВОД'!$D$118,1)</f>
        <v/>
      </c>
      <c r="N271" s="188">
        <f>IF(K271=1,'01_ВВОД'!$D$26,0)</f>
        <v/>
      </c>
      <c r="O271" s="188">
        <f>IF(F271=1,'01_ВВОД'!$D$34,IF(D271&lt;=5,'01_ВВОД'!$D$32,'01_ВВОД'!$D$33))</f>
        <v/>
      </c>
      <c r="P271" s="188">
        <f>O271</f>
        <v/>
      </c>
      <c r="Q271" s="188">
        <f>'01_ВВОД'!$D$40</f>
        <v/>
      </c>
      <c r="R271" s="188">
        <f>'01_ВВОД'!$D$46</f>
        <v/>
      </c>
      <c r="S271" s="188">
        <f>H271</f>
        <v/>
      </c>
      <c r="T271" s="188">
        <f>IF(H271=1,M271+N271+P271+Q271,0)</f>
        <v/>
      </c>
      <c r="U271">
        <f>R271*'01_ВВОД'!$D$120</f>
        <v/>
      </c>
    </row>
    <row r="272">
      <c r="A272" s="200" t="n">
        <v>46533</v>
      </c>
      <c r="B272" s="201" t="n">
        <v>9</v>
      </c>
      <c r="C272" s="201" t="inlineStr">
        <is>
          <t>Май-27</t>
        </is>
      </c>
      <c r="D272" s="201" t="n">
        <v>3</v>
      </c>
      <c r="E272" s="201" t="inlineStr">
        <is>
          <t>Ср</t>
        </is>
      </c>
      <c r="F272" s="199" t="n">
        <v>0</v>
      </c>
      <c r="G272" s="201" t="str"/>
      <c r="H272" s="193" t="n">
        <v>0</v>
      </c>
      <c r="I272" s="201" t="str"/>
      <c r="J272" s="188">
        <f>1</f>
        <v/>
      </c>
      <c r="K272" s="188">
        <f>IF(AND(D272&lt;=5,F272=0),1,0)</f>
        <v/>
      </c>
      <c r="L272" s="188">
        <f>IF(F272=1,'01_ВВОД'!$D$23,CHOOSE(D272,'01_ВВОД'!$D$19,'01_ВВОД'!$D$19,'01_ВВОД'!$D$19,'01_ВВОД'!$D$19,'01_ВВОД'!$D$20,'01_ВВОД'!$D$21,'01_ВВОД'!$D$22))</f>
        <v/>
      </c>
      <c r="M272" s="188">
        <f>L272*IF(H272=1,'01_ВВОД'!$D$118,1)</f>
        <v/>
      </c>
      <c r="N272" s="188">
        <f>IF(K272=1,'01_ВВОД'!$D$26,0)</f>
        <v/>
      </c>
      <c r="O272" s="188">
        <f>IF(F272=1,'01_ВВОД'!$D$34,IF(D272&lt;=5,'01_ВВОД'!$D$32,'01_ВВОД'!$D$33))</f>
        <v/>
      </c>
      <c r="P272" s="188">
        <f>O272</f>
        <v/>
      </c>
      <c r="Q272" s="188">
        <f>'01_ВВОД'!$D$40</f>
        <v/>
      </c>
      <c r="R272" s="188">
        <f>'01_ВВОД'!$D$46</f>
        <v/>
      </c>
      <c r="S272" s="188">
        <f>H272</f>
        <v/>
      </c>
      <c r="T272" s="188">
        <f>IF(H272=1,M272+N272+P272+Q272,0)</f>
        <v/>
      </c>
      <c r="U272">
        <f>R272*'01_ВВОД'!$D$120</f>
        <v/>
      </c>
    </row>
    <row r="273">
      <c r="A273" s="200" t="n">
        <v>46534</v>
      </c>
      <c r="B273" s="201" t="n">
        <v>9</v>
      </c>
      <c r="C273" s="201" t="inlineStr">
        <is>
          <t>Май-27</t>
        </is>
      </c>
      <c r="D273" s="201" t="n">
        <v>4</v>
      </c>
      <c r="E273" s="201" t="inlineStr">
        <is>
          <t>Чт</t>
        </is>
      </c>
      <c r="F273" s="199" t="n">
        <v>0</v>
      </c>
      <c r="G273" s="201" t="str"/>
      <c r="H273" s="193" t="n">
        <v>1</v>
      </c>
      <c r="I273" s="201" t="inlineStr">
        <is>
          <t>Пн–Чт</t>
        </is>
      </c>
      <c r="J273" s="188">
        <f>1</f>
        <v/>
      </c>
      <c r="K273" s="188">
        <f>IF(AND(D273&lt;=5,F273=0),1,0)</f>
        <v/>
      </c>
      <c r="L273" s="188">
        <f>IF(F273=1,'01_ВВОД'!$D$23,CHOOSE(D273,'01_ВВОД'!$D$19,'01_ВВОД'!$D$19,'01_ВВОД'!$D$19,'01_ВВОД'!$D$19,'01_ВВОД'!$D$20,'01_ВВОД'!$D$21,'01_ВВОД'!$D$22))</f>
        <v/>
      </c>
      <c r="M273" s="188">
        <f>L273*IF(H273=1,'01_ВВОД'!$D$118,1)</f>
        <v/>
      </c>
      <c r="N273" s="188">
        <f>IF(K273=1,'01_ВВОД'!$D$26,0)</f>
        <v/>
      </c>
      <c r="O273" s="188">
        <f>IF(F273=1,'01_ВВОД'!$D$34,IF(D273&lt;=5,'01_ВВОД'!$D$32,'01_ВВОД'!$D$33))</f>
        <v/>
      </c>
      <c r="P273" s="188">
        <f>O273</f>
        <v/>
      </c>
      <c r="Q273" s="188">
        <f>'01_ВВОД'!$D$40</f>
        <v/>
      </c>
      <c r="R273" s="188">
        <f>'01_ВВОД'!$D$46</f>
        <v/>
      </c>
      <c r="S273" s="188">
        <f>H273</f>
        <v/>
      </c>
      <c r="T273" s="188">
        <f>IF(H273=1,M273+N273+P273+Q273,0)</f>
        <v/>
      </c>
      <c r="U273">
        <f>R273*'01_ВВОД'!$D$120</f>
        <v/>
      </c>
    </row>
    <row r="274">
      <c r="A274" s="200" t="n">
        <v>46535</v>
      </c>
      <c r="B274" s="201" t="n">
        <v>9</v>
      </c>
      <c r="C274" s="201" t="inlineStr">
        <is>
          <t>Май-27</t>
        </is>
      </c>
      <c r="D274" s="201" t="n">
        <v>5</v>
      </c>
      <c r="E274" s="201" t="inlineStr">
        <is>
          <t>Пт</t>
        </is>
      </c>
      <c r="F274" s="199" t="n">
        <v>0</v>
      </c>
      <c r="G274" s="201" t="str"/>
      <c r="H274" s="193" t="n">
        <v>0</v>
      </c>
      <c r="I274" s="201" t="str"/>
      <c r="J274" s="188">
        <f>1</f>
        <v/>
      </c>
      <c r="K274" s="188">
        <f>IF(AND(D274&lt;=5,F274=0),1,0)</f>
        <v/>
      </c>
      <c r="L274" s="188">
        <f>IF(F274=1,'01_ВВОД'!$D$23,CHOOSE(D274,'01_ВВОД'!$D$19,'01_ВВОД'!$D$19,'01_ВВОД'!$D$19,'01_ВВОД'!$D$19,'01_ВВОД'!$D$20,'01_ВВОД'!$D$21,'01_ВВОД'!$D$22))</f>
        <v/>
      </c>
      <c r="M274" s="188">
        <f>L274*IF(H274=1,'01_ВВОД'!$D$118,1)</f>
        <v/>
      </c>
      <c r="N274" s="188">
        <f>IF(K274=1,'01_ВВОД'!$D$26,0)</f>
        <v/>
      </c>
      <c r="O274" s="188">
        <f>IF(F274=1,'01_ВВОД'!$D$34,IF(D274&lt;=5,'01_ВВОД'!$D$32,'01_ВВОД'!$D$33))</f>
        <v/>
      </c>
      <c r="P274" s="188">
        <f>O274</f>
        <v/>
      </c>
      <c r="Q274" s="188">
        <f>'01_ВВОД'!$D$40</f>
        <v/>
      </c>
      <c r="R274" s="188">
        <f>'01_ВВОД'!$D$46</f>
        <v/>
      </c>
      <c r="S274" s="188">
        <f>H274</f>
        <v/>
      </c>
      <c r="T274" s="188">
        <f>IF(H274=1,M274+N274+P274+Q274,0)</f>
        <v/>
      </c>
      <c r="U274">
        <f>R274*'01_ВВОД'!$D$120</f>
        <v/>
      </c>
    </row>
    <row r="275">
      <c r="A275" s="200" t="n">
        <v>46536</v>
      </c>
      <c r="B275" s="201" t="n">
        <v>9</v>
      </c>
      <c r="C275" s="201" t="inlineStr">
        <is>
          <t>Май-27</t>
        </is>
      </c>
      <c r="D275" s="201" t="n">
        <v>6</v>
      </c>
      <c r="E275" s="201" t="inlineStr">
        <is>
          <t>Сб</t>
        </is>
      </c>
      <c r="F275" s="199" t="n">
        <v>0</v>
      </c>
      <c r="G275" s="201" t="str"/>
      <c r="H275" s="193" t="n">
        <v>0</v>
      </c>
      <c r="I275" s="201" t="str"/>
      <c r="J275" s="188">
        <f>1</f>
        <v/>
      </c>
      <c r="K275" s="188">
        <f>IF(AND(D275&lt;=5,F275=0),1,0)</f>
        <v/>
      </c>
      <c r="L275" s="188">
        <f>IF(F275=1,'01_ВВОД'!$D$23,CHOOSE(D275,'01_ВВОД'!$D$19,'01_ВВОД'!$D$19,'01_ВВОД'!$D$19,'01_ВВОД'!$D$19,'01_ВВОД'!$D$20,'01_ВВОД'!$D$21,'01_ВВОД'!$D$22))</f>
        <v/>
      </c>
      <c r="M275" s="188">
        <f>L275*IF(H275=1,'01_ВВОД'!$D$118,1)</f>
        <v/>
      </c>
      <c r="N275" s="188">
        <f>IF(K275=1,'01_ВВОД'!$D$26,0)</f>
        <v/>
      </c>
      <c r="O275" s="188">
        <f>IF(F275=1,'01_ВВОД'!$D$34,IF(D275&lt;=5,'01_ВВОД'!$D$32,'01_ВВОД'!$D$33))</f>
        <v/>
      </c>
      <c r="P275" s="188">
        <f>O275</f>
        <v/>
      </c>
      <c r="Q275" s="188">
        <f>'01_ВВОД'!$D$40</f>
        <v/>
      </c>
      <c r="R275" s="188">
        <f>'01_ВВОД'!$D$46</f>
        <v/>
      </c>
      <c r="S275" s="188">
        <f>H275</f>
        <v/>
      </c>
      <c r="T275" s="188">
        <f>IF(H275=1,M275+N275+P275+Q275,0)</f>
        <v/>
      </c>
      <c r="U275">
        <f>R275*'01_ВВОД'!$D$120</f>
        <v/>
      </c>
    </row>
    <row r="276">
      <c r="A276" s="200" t="n">
        <v>46537</v>
      </c>
      <c r="B276" s="201" t="n">
        <v>9</v>
      </c>
      <c r="C276" s="201" t="inlineStr">
        <is>
          <t>Май-27</t>
        </is>
      </c>
      <c r="D276" s="201" t="n">
        <v>7</v>
      </c>
      <c r="E276" s="201" t="inlineStr">
        <is>
          <t>Вс</t>
        </is>
      </c>
      <c r="F276" s="199" t="n">
        <v>0</v>
      </c>
      <c r="G276" s="201" t="str"/>
      <c r="H276" s="193" t="n">
        <v>0</v>
      </c>
      <c r="I276" s="201" t="str"/>
      <c r="J276" s="188">
        <f>1</f>
        <v/>
      </c>
      <c r="K276" s="188">
        <f>IF(AND(D276&lt;=5,F276=0),1,0)</f>
        <v/>
      </c>
      <c r="L276" s="188">
        <f>IF(F276=1,'01_ВВОД'!$D$23,CHOOSE(D276,'01_ВВОД'!$D$19,'01_ВВОД'!$D$19,'01_ВВОД'!$D$19,'01_ВВОД'!$D$19,'01_ВВОД'!$D$20,'01_ВВОД'!$D$21,'01_ВВОД'!$D$22))</f>
        <v/>
      </c>
      <c r="M276" s="188">
        <f>L276*IF(H276=1,'01_ВВОД'!$D$118,1)</f>
        <v/>
      </c>
      <c r="N276" s="188">
        <f>IF(K276=1,'01_ВВОД'!$D$26,0)</f>
        <v/>
      </c>
      <c r="O276" s="188">
        <f>IF(F276=1,'01_ВВОД'!$D$34,IF(D276&lt;=5,'01_ВВОД'!$D$32,'01_ВВОД'!$D$33))</f>
        <v/>
      </c>
      <c r="P276" s="188">
        <f>O276</f>
        <v/>
      </c>
      <c r="Q276" s="188">
        <f>'01_ВВОД'!$D$40</f>
        <v/>
      </c>
      <c r="R276" s="188">
        <f>'01_ВВОД'!$D$46</f>
        <v/>
      </c>
      <c r="S276" s="188">
        <f>H276</f>
        <v/>
      </c>
      <c r="T276" s="188">
        <f>IF(H276=1,M276+N276+P276+Q276,0)</f>
        <v/>
      </c>
      <c r="U276">
        <f>R276*'01_ВВОД'!$D$120</f>
        <v/>
      </c>
    </row>
    <row r="277">
      <c r="A277" s="200" t="n">
        <v>46538</v>
      </c>
      <c r="B277" s="201" t="n">
        <v>9</v>
      </c>
      <c r="C277" s="201" t="inlineStr">
        <is>
          <t>Май-27</t>
        </is>
      </c>
      <c r="D277" s="201" t="n">
        <v>1</v>
      </c>
      <c r="E277" s="201" t="inlineStr">
        <is>
          <t>Пн</t>
        </is>
      </c>
      <c r="F277" s="199" t="n">
        <v>0</v>
      </c>
      <c r="G277" s="201" t="str"/>
      <c r="H277" s="193" t="n">
        <v>0</v>
      </c>
      <c r="I277" s="201" t="str"/>
      <c r="J277" s="188">
        <f>1</f>
        <v/>
      </c>
      <c r="K277" s="188">
        <f>IF(AND(D277&lt;=5,F277=0),1,0)</f>
        <v/>
      </c>
      <c r="L277" s="188">
        <f>IF(F277=1,'01_ВВОД'!$D$23,CHOOSE(D277,'01_ВВОД'!$D$19,'01_ВВОД'!$D$19,'01_ВВОД'!$D$19,'01_ВВОД'!$D$19,'01_ВВОД'!$D$20,'01_ВВОД'!$D$21,'01_ВВОД'!$D$22))</f>
        <v/>
      </c>
      <c r="M277" s="188">
        <f>L277*IF(H277=1,'01_ВВОД'!$D$118,1)</f>
        <v/>
      </c>
      <c r="N277" s="188">
        <f>IF(K277=1,'01_ВВОД'!$D$26,0)</f>
        <v/>
      </c>
      <c r="O277" s="188">
        <f>IF(F277=1,'01_ВВОД'!$D$34,IF(D277&lt;=5,'01_ВВОД'!$D$32,'01_ВВОД'!$D$33))</f>
        <v/>
      </c>
      <c r="P277" s="188">
        <f>O277</f>
        <v/>
      </c>
      <c r="Q277" s="188">
        <f>'01_ВВОД'!$D$40</f>
        <v/>
      </c>
      <c r="R277" s="188">
        <f>'01_ВВОД'!$D$46</f>
        <v/>
      </c>
      <c r="S277" s="188">
        <f>H277</f>
        <v/>
      </c>
      <c r="T277" s="188">
        <f>IF(H277=1,M277+N277+P277+Q277,0)</f>
        <v/>
      </c>
      <c r="U277">
        <f>R277*'01_ВВОД'!$D$120</f>
        <v/>
      </c>
    </row>
    <row r="278">
      <c r="A278" s="200" t="n">
        <v>46539</v>
      </c>
      <c r="B278" s="201" t="n">
        <v>10</v>
      </c>
      <c r="C278" s="201" t="inlineStr">
        <is>
          <t>Июн-27</t>
        </is>
      </c>
      <c r="D278" s="201" t="n">
        <v>2</v>
      </c>
      <c r="E278" s="201" t="inlineStr">
        <is>
          <t>Вт</t>
        </is>
      </c>
      <c r="F278" s="199" t="n">
        <v>0</v>
      </c>
      <c r="G278" s="201" t="str"/>
      <c r="H278" s="193" t="n">
        <v>1</v>
      </c>
      <c r="I278" s="201" t="inlineStr">
        <is>
          <t>Пн–Чт</t>
        </is>
      </c>
      <c r="J278" s="188">
        <f>1</f>
        <v/>
      </c>
      <c r="K278" s="188">
        <f>IF(AND(D278&lt;=5,F278=0),1,0)</f>
        <v/>
      </c>
      <c r="L278" s="188">
        <f>IF(F278=1,'01_ВВОД'!$D$23,CHOOSE(D278,'01_ВВОД'!$D$19,'01_ВВОД'!$D$19,'01_ВВОД'!$D$19,'01_ВВОД'!$D$19,'01_ВВОД'!$D$20,'01_ВВОД'!$D$21,'01_ВВОД'!$D$22))</f>
        <v/>
      </c>
      <c r="M278" s="188">
        <f>L278*IF(H278=1,'01_ВВОД'!$D$118,1)</f>
        <v/>
      </c>
      <c r="N278" s="188">
        <f>IF(K278=1,'01_ВВОД'!$D$26,0)</f>
        <v/>
      </c>
      <c r="O278" s="188">
        <f>IF(F278=1,'01_ВВОД'!$D$34,IF(D278&lt;=5,'01_ВВОД'!$D$32,'01_ВВОД'!$D$33))</f>
        <v/>
      </c>
      <c r="P278" s="188">
        <f>O278</f>
        <v/>
      </c>
      <c r="Q278" s="188">
        <f>'01_ВВОД'!$D$40</f>
        <v/>
      </c>
      <c r="R278" s="188">
        <f>'01_ВВОД'!$D$46</f>
        <v/>
      </c>
      <c r="S278" s="188">
        <f>H278</f>
        <v/>
      </c>
      <c r="T278" s="188">
        <f>IF(H278=1,M278+N278+P278+Q278,0)</f>
        <v/>
      </c>
      <c r="U278">
        <f>R278*'01_ВВОД'!$D$120</f>
        <v/>
      </c>
    </row>
    <row r="279">
      <c r="A279" s="200" t="n">
        <v>46540</v>
      </c>
      <c r="B279" s="201" t="n">
        <v>10</v>
      </c>
      <c r="C279" s="201" t="inlineStr">
        <is>
          <t>Июн-27</t>
        </is>
      </c>
      <c r="D279" s="201" t="n">
        <v>3</v>
      </c>
      <c r="E279" s="201" t="inlineStr">
        <is>
          <t>Ср</t>
        </is>
      </c>
      <c r="F279" s="199" t="n">
        <v>0</v>
      </c>
      <c r="G279" s="201" t="str"/>
      <c r="H279" s="193" t="n">
        <v>0</v>
      </c>
      <c r="I279" s="201" t="str"/>
      <c r="J279" s="188">
        <f>1</f>
        <v/>
      </c>
      <c r="K279" s="188">
        <f>IF(AND(D279&lt;=5,F279=0),1,0)</f>
        <v/>
      </c>
      <c r="L279" s="188">
        <f>IF(F279=1,'01_ВВОД'!$D$23,CHOOSE(D279,'01_ВВОД'!$D$19,'01_ВВОД'!$D$19,'01_ВВОД'!$D$19,'01_ВВОД'!$D$19,'01_ВВОД'!$D$20,'01_ВВОД'!$D$21,'01_ВВОД'!$D$22))</f>
        <v/>
      </c>
      <c r="M279" s="188">
        <f>L279*IF(H279=1,'01_ВВОД'!$D$118,1)</f>
        <v/>
      </c>
      <c r="N279" s="188">
        <f>IF(K279=1,'01_ВВОД'!$D$26,0)</f>
        <v/>
      </c>
      <c r="O279" s="188">
        <f>IF(F279=1,'01_ВВОД'!$D$34,IF(D279&lt;=5,'01_ВВОД'!$D$32,'01_ВВОД'!$D$33))</f>
        <v/>
      </c>
      <c r="P279" s="188">
        <f>O279</f>
        <v/>
      </c>
      <c r="Q279" s="188">
        <f>'01_ВВОД'!$D$40</f>
        <v/>
      </c>
      <c r="R279" s="188">
        <f>'01_ВВОД'!$D$46</f>
        <v/>
      </c>
      <c r="S279" s="188">
        <f>H279</f>
        <v/>
      </c>
      <c r="T279" s="188">
        <f>IF(H279=1,M279+N279+P279+Q279,0)</f>
        <v/>
      </c>
      <c r="U279">
        <f>R279*'01_ВВОД'!$D$120</f>
        <v/>
      </c>
    </row>
    <row r="280">
      <c r="A280" s="200" t="n">
        <v>46541</v>
      </c>
      <c r="B280" s="201" t="n">
        <v>10</v>
      </c>
      <c r="C280" s="201" t="inlineStr">
        <is>
          <t>Июн-27</t>
        </is>
      </c>
      <c r="D280" s="201" t="n">
        <v>4</v>
      </c>
      <c r="E280" s="201" t="inlineStr">
        <is>
          <t>Чт</t>
        </is>
      </c>
      <c r="F280" s="199" t="n">
        <v>0</v>
      </c>
      <c r="G280" s="201" t="str"/>
      <c r="H280" s="193" t="n">
        <v>0</v>
      </c>
      <c r="I280" s="201" t="str"/>
      <c r="J280" s="188">
        <f>1</f>
        <v/>
      </c>
      <c r="K280" s="188">
        <f>IF(AND(D280&lt;=5,F280=0),1,0)</f>
        <v/>
      </c>
      <c r="L280" s="188">
        <f>IF(F280=1,'01_ВВОД'!$D$23,CHOOSE(D280,'01_ВВОД'!$D$19,'01_ВВОД'!$D$19,'01_ВВОД'!$D$19,'01_ВВОД'!$D$19,'01_ВВОД'!$D$20,'01_ВВОД'!$D$21,'01_ВВОД'!$D$22))</f>
        <v/>
      </c>
      <c r="M280" s="188">
        <f>L280*IF(H280=1,'01_ВВОД'!$D$118,1)</f>
        <v/>
      </c>
      <c r="N280" s="188">
        <f>IF(K280=1,'01_ВВОД'!$D$26,0)</f>
        <v/>
      </c>
      <c r="O280" s="188">
        <f>IF(F280=1,'01_ВВОД'!$D$34,IF(D280&lt;=5,'01_ВВОД'!$D$32,'01_ВВОД'!$D$33))</f>
        <v/>
      </c>
      <c r="P280" s="188">
        <f>O280</f>
        <v/>
      </c>
      <c r="Q280" s="188">
        <f>'01_ВВОД'!$D$40</f>
        <v/>
      </c>
      <c r="R280" s="188">
        <f>'01_ВВОД'!$D$46</f>
        <v/>
      </c>
      <c r="S280" s="188">
        <f>H280</f>
        <v/>
      </c>
      <c r="T280" s="188">
        <f>IF(H280=1,M280+N280+P280+Q280,0)</f>
        <v/>
      </c>
      <c r="U280">
        <f>R280*'01_ВВОД'!$D$120</f>
        <v/>
      </c>
    </row>
    <row r="281">
      <c r="A281" s="200" t="n">
        <v>46542</v>
      </c>
      <c r="B281" s="201" t="n">
        <v>10</v>
      </c>
      <c r="C281" s="201" t="inlineStr">
        <is>
          <t>Июн-27</t>
        </is>
      </c>
      <c r="D281" s="201" t="n">
        <v>5</v>
      </c>
      <c r="E281" s="201" t="inlineStr">
        <is>
          <t>Пт</t>
        </is>
      </c>
      <c r="F281" s="199" t="n">
        <v>0</v>
      </c>
      <c r="G281" s="201" t="str"/>
      <c r="H281" s="193" t="n">
        <v>0</v>
      </c>
      <c r="I281" s="201" t="str"/>
      <c r="J281" s="188">
        <f>1</f>
        <v/>
      </c>
      <c r="K281" s="188">
        <f>IF(AND(D281&lt;=5,F281=0),1,0)</f>
        <v/>
      </c>
      <c r="L281" s="188">
        <f>IF(F281=1,'01_ВВОД'!$D$23,CHOOSE(D281,'01_ВВОД'!$D$19,'01_ВВОД'!$D$19,'01_ВВОД'!$D$19,'01_ВВОД'!$D$19,'01_ВВОД'!$D$20,'01_ВВОД'!$D$21,'01_ВВОД'!$D$22))</f>
        <v/>
      </c>
      <c r="M281" s="188">
        <f>L281*IF(H281=1,'01_ВВОД'!$D$118,1)</f>
        <v/>
      </c>
      <c r="N281" s="188">
        <f>IF(K281=1,'01_ВВОД'!$D$26,0)</f>
        <v/>
      </c>
      <c r="O281" s="188">
        <f>IF(F281=1,'01_ВВОД'!$D$34,IF(D281&lt;=5,'01_ВВОД'!$D$32,'01_ВВОД'!$D$33))</f>
        <v/>
      </c>
      <c r="P281" s="188">
        <f>O281</f>
        <v/>
      </c>
      <c r="Q281" s="188">
        <f>'01_ВВОД'!$D$40</f>
        <v/>
      </c>
      <c r="R281" s="188">
        <f>'01_ВВОД'!$D$46</f>
        <v/>
      </c>
      <c r="S281" s="188">
        <f>H281</f>
        <v/>
      </c>
      <c r="T281" s="188">
        <f>IF(H281=1,M281+N281+P281+Q281,0)</f>
        <v/>
      </c>
      <c r="U281">
        <f>R281*'01_ВВОД'!$D$120</f>
        <v/>
      </c>
    </row>
    <row r="282">
      <c r="A282" s="200" t="n">
        <v>46543</v>
      </c>
      <c r="B282" s="201" t="n">
        <v>10</v>
      </c>
      <c r="C282" s="201" t="inlineStr">
        <is>
          <t>Июн-27</t>
        </is>
      </c>
      <c r="D282" s="201" t="n">
        <v>6</v>
      </c>
      <c r="E282" s="201" t="inlineStr">
        <is>
          <t>Сб</t>
        </is>
      </c>
      <c r="F282" s="199" t="n">
        <v>0</v>
      </c>
      <c r="G282" s="201" t="str"/>
      <c r="H282" s="193" t="n">
        <v>0</v>
      </c>
      <c r="I282" s="201" t="str"/>
      <c r="J282" s="188">
        <f>1</f>
        <v/>
      </c>
      <c r="K282" s="188">
        <f>IF(AND(D282&lt;=5,F282=0),1,0)</f>
        <v/>
      </c>
      <c r="L282" s="188">
        <f>IF(F282=1,'01_ВВОД'!$D$23,CHOOSE(D282,'01_ВВОД'!$D$19,'01_ВВОД'!$D$19,'01_ВВОД'!$D$19,'01_ВВОД'!$D$19,'01_ВВОД'!$D$20,'01_ВВОД'!$D$21,'01_ВВОД'!$D$22))</f>
        <v/>
      </c>
      <c r="M282" s="188">
        <f>L282*IF(H282=1,'01_ВВОД'!$D$118,1)</f>
        <v/>
      </c>
      <c r="N282" s="188">
        <f>IF(K282=1,'01_ВВОД'!$D$26,0)</f>
        <v/>
      </c>
      <c r="O282" s="188">
        <f>IF(F282=1,'01_ВВОД'!$D$34,IF(D282&lt;=5,'01_ВВОД'!$D$32,'01_ВВОД'!$D$33))</f>
        <v/>
      </c>
      <c r="P282" s="188">
        <f>O282</f>
        <v/>
      </c>
      <c r="Q282" s="188">
        <f>'01_ВВОД'!$D$40</f>
        <v/>
      </c>
      <c r="R282" s="188">
        <f>'01_ВВОД'!$D$46</f>
        <v/>
      </c>
      <c r="S282" s="188">
        <f>H282</f>
        <v/>
      </c>
      <c r="T282" s="188">
        <f>IF(H282=1,M282+N282+P282+Q282,0)</f>
        <v/>
      </c>
      <c r="U282">
        <f>R282*'01_ВВОД'!$D$120</f>
        <v/>
      </c>
    </row>
    <row r="283">
      <c r="A283" s="200" t="n">
        <v>46544</v>
      </c>
      <c r="B283" s="201" t="n">
        <v>10</v>
      </c>
      <c r="C283" s="201" t="inlineStr">
        <is>
          <t>Июн-27</t>
        </is>
      </c>
      <c r="D283" s="201" t="n">
        <v>7</v>
      </c>
      <c r="E283" s="201" t="inlineStr">
        <is>
          <t>Вс</t>
        </is>
      </c>
      <c r="F283" s="199" t="n">
        <v>0</v>
      </c>
      <c r="G283" s="201" t="str"/>
      <c r="H283" s="193" t="n">
        <v>0</v>
      </c>
      <c r="I283" s="201" t="str"/>
      <c r="J283" s="188">
        <f>1</f>
        <v/>
      </c>
      <c r="K283" s="188">
        <f>IF(AND(D283&lt;=5,F283=0),1,0)</f>
        <v/>
      </c>
      <c r="L283" s="188">
        <f>IF(F283=1,'01_ВВОД'!$D$23,CHOOSE(D283,'01_ВВОД'!$D$19,'01_ВВОД'!$D$19,'01_ВВОД'!$D$19,'01_ВВОД'!$D$19,'01_ВВОД'!$D$20,'01_ВВОД'!$D$21,'01_ВВОД'!$D$22))</f>
        <v/>
      </c>
      <c r="M283" s="188">
        <f>L283*IF(H283=1,'01_ВВОД'!$D$118,1)</f>
        <v/>
      </c>
      <c r="N283" s="188">
        <f>IF(K283=1,'01_ВВОД'!$D$26,0)</f>
        <v/>
      </c>
      <c r="O283" s="188">
        <f>IF(F283=1,'01_ВВОД'!$D$34,IF(D283&lt;=5,'01_ВВОД'!$D$32,'01_ВВОД'!$D$33))</f>
        <v/>
      </c>
      <c r="P283" s="188">
        <f>O283</f>
        <v/>
      </c>
      <c r="Q283" s="188">
        <f>'01_ВВОД'!$D$40</f>
        <v/>
      </c>
      <c r="R283" s="188">
        <f>'01_ВВОД'!$D$46</f>
        <v/>
      </c>
      <c r="S283" s="188">
        <f>H283</f>
        <v/>
      </c>
      <c r="T283" s="188">
        <f>IF(H283=1,M283+N283+P283+Q283,0)</f>
        <v/>
      </c>
      <c r="U283">
        <f>R283*'01_ВВОД'!$D$120</f>
        <v/>
      </c>
    </row>
    <row r="284">
      <c r="A284" s="200" t="n">
        <v>46545</v>
      </c>
      <c r="B284" s="201" t="n">
        <v>10</v>
      </c>
      <c r="C284" s="201" t="inlineStr">
        <is>
          <t>Июн-27</t>
        </is>
      </c>
      <c r="D284" s="201" t="n">
        <v>1</v>
      </c>
      <c r="E284" s="201" t="inlineStr">
        <is>
          <t>Пн</t>
        </is>
      </c>
      <c r="F284" s="199" t="n">
        <v>0</v>
      </c>
      <c r="G284" s="201" t="str"/>
      <c r="H284" s="193" t="n">
        <v>1</v>
      </c>
      <c r="I284" s="201" t="inlineStr">
        <is>
          <t>Пн–Чт</t>
        </is>
      </c>
      <c r="J284" s="188">
        <f>1</f>
        <v/>
      </c>
      <c r="K284" s="188">
        <f>IF(AND(D284&lt;=5,F284=0),1,0)</f>
        <v/>
      </c>
      <c r="L284" s="188">
        <f>IF(F284=1,'01_ВВОД'!$D$23,CHOOSE(D284,'01_ВВОД'!$D$19,'01_ВВОД'!$D$19,'01_ВВОД'!$D$19,'01_ВВОД'!$D$19,'01_ВВОД'!$D$20,'01_ВВОД'!$D$21,'01_ВВОД'!$D$22))</f>
        <v/>
      </c>
      <c r="M284" s="188">
        <f>L284*IF(H284=1,'01_ВВОД'!$D$118,1)</f>
        <v/>
      </c>
      <c r="N284" s="188">
        <f>IF(K284=1,'01_ВВОД'!$D$26,0)</f>
        <v/>
      </c>
      <c r="O284" s="188">
        <f>IF(F284=1,'01_ВВОД'!$D$34,IF(D284&lt;=5,'01_ВВОД'!$D$32,'01_ВВОД'!$D$33))</f>
        <v/>
      </c>
      <c r="P284" s="188">
        <f>O284</f>
        <v/>
      </c>
      <c r="Q284" s="188">
        <f>'01_ВВОД'!$D$40</f>
        <v/>
      </c>
      <c r="R284" s="188">
        <f>'01_ВВОД'!$D$46</f>
        <v/>
      </c>
      <c r="S284" s="188">
        <f>H284</f>
        <v/>
      </c>
      <c r="T284" s="188">
        <f>IF(H284=1,M284+N284+P284+Q284,0)</f>
        <v/>
      </c>
      <c r="U284">
        <f>R284*'01_ВВОД'!$D$120</f>
        <v/>
      </c>
    </row>
    <row r="285">
      <c r="A285" s="200" t="n">
        <v>46546</v>
      </c>
      <c r="B285" s="201" t="n">
        <v>10</v>
      </c>
      <c r="C285" s="201" t="inlineStr">
        <is>
          <t>Июн-27</t>
        </is>
      </c>
      <c r="D285" s="201" t="n">
        <v>2</v>
      </c>
      <c r="E285" s="201" t="inlineStr">
        <is>
          <t>Вт</t>
        </is>
      </c>
      <c r="F285" s="199" t="n">
        <v>0</v>
      </c>
      <c r="G285" s="201" t="str"/>
      <c r="H285" s="193" t="n">
        <v>0</v>
      </c>
      <c r="I285" s="201" t="str"/>
      <c r="J285" s="188">
        <f>1</f>
        <v/>
      </c>
      <c r="K285" s="188">
        <f>IF(AND(D285&lt;=5,F285=0),1,0)</f>
        <v/>
      </c>
      <c r="L285" s="188">
        <f>IF(F285=1,'01_ВВОД'!$D$23,CHOOSE(D285,'01_ВВОД'!$D$19,'01_ВВОД'!$D$19,'01_ВВОД'!$D$19,'01_ВВОД'!$D$19,'01_ВВОД'!$D$20,'01_ВВОД'!$D$21,'01_ВВОД'!$D$22))</f>
        <v/>
      </c>
      <c r="M285" s="188">
        <f>L285*IF(H285=1,'01_ВВОД'!$D$118,1)</f>
        <v/>
      </c>
      <c r="N285" s="188">
        <f>IF(K285=1,'01_ВВОД'!$D$26,0)</f>
        <v/>
      </c>
      <c r="O285" s="188">
        <f>IF(F285=1,'01_ВВОД'!$D$34,IF(D285&lt;=5,'01_ВВОД'!$D$32,'01_ВВОД'!$D$33))</f>
        <v/>
      </c>
      <c r="P285" s="188">
        <f>O285</f>
        <v/>
      </c>
      <c r="Q285" s="188">
        <f>'01_ВВОД'!$D$40</f>
        <v/>
      </c>
      <c r="R285" s="188">
        <f>'01_ВВОД'!$D$46</f>
        <v/>
      </c>
      <c r="S285" s="188">
        <f>H285</f>
        <v/>
      </c>
      <c r="T285" s="188">
        <f>IF(H285=1,M285+N285+P285+Q285,0)</f>
        <v/>
      </c>
      <c r="U285">
        <f>R285*'01_ВВОД'!$D$120</f>
        <v/>
      </c>
    </row>
    <row r="286">
      <c r="A286" s="200" t="n">
        <v>46547</v>
      </c>
      <c r="B286" s="201" t="n">
        <v>10</v>
      </c>
      <c r="C286" s="201" t="inlineStr">
        <is>
          <t>Июн-27</t>
        </is>
      </c>
      <c r="D286" s="201" t="n">
        <v>3</v>
      </c>
      <c r="E286" s="201" t="inlineStr">
        <is>
          <t>Ср</t>
        </is>
      </c>
      <c r="F286" s="199" t="n">
        <v>0</v>
      </c>
      <c r="G286" s="201" t="str"/>
      <c r="H286" s="193" t="n">
        <v>0</v>
      </c>
      <c r="I286" s="201" t="str"/>
      <c r="J286" s="188">
        <f>1</f>
        <v/>
      </c>
      <c r="K286" s="188">
        <f>IF(AND(D286&lt;=5,F286=0),1,0)</f>
        <v/>
      </c>
      <c r="L286" s="188">
        <f>IF(F286=1,'01_ВВОД'!$D$23,CHOOSE(D286,'01_ВВОД'!$D$19,'01_ВВОД'!$D$19,'01_ВВОД'!$D$19,'01_ВВОД'!$D$19,'01_ВВОД'!$D$20,'01_ВВОД'!$D$21,'01_ВВОД'!$D$22))</f>
        <v/>
      </c>
      <c r="M286" s="188">
        <f>L286*IF(H286=1,'01_ВВОД'!$D$118,1)</f>
        <v/>
      </c>
      <c r="N286" s="188">
        <f>IF(K286=1,'01_ВВОД'!$D$26,0)</f>
        <v/>
      </c>
      <c r="O286" s="188">
        <f>IF(F286=1,'01_ВВОД'!$D$34,IF(D286&lt;=5,'01_ВВОД'!$D$32,'01_ВВОД'!$D$33))</f>
        <v/>
      </c>
      <c r="P286" s="188">
        <f>O286</f>
        <v/>
      </c>
      <c r="Q286" s="188">
        <f>'01_ВВОД'!$D$40</f>
        <v/>
      </c>
      <c r="R286" s="188">
        <f>'01_ВВОД'!$D$46</f>
        <v/>
      </c>
      <c r="S286" s="188">
        <f>H286</f>
        <v/>
      </c>
      <c r="T286" s="188">
        <f>IF(H286=1,M286+N286+P286+Q286,0)</f>
        <v/>
      </c>
      <c r="U286">
        <f>R286*'01_ВВОД'!$D$120</f>
        <v/>
      </c>
    </row>
    <row r="287">
      <c r="A287" s="200" t="n">
        <v>46548</v>
      </c>
      <c r="B287" s="201" t="n">
        <v>10</v>
      </c>
      <c r="C287" s="201" t="inlineStr">
        <is>
          <t>Июн-27</t>
        </is>
      </c>
      <c r="D287" s="201" t="n">
        <v>4</v>
      </c>
      <c r="E287" s="201" t="inlineStr">
        <is>
          <t>Чт</t>
        </is>
      </c>
      <c r="F287" s="199" t="n">
        <v>0</v>
      </c>
      <c r="G287" s="201" t="str"/>
      <c r="H287" s="193" t="n">
        <v>0</v>
      </c>
      <c r="I287" s="201" t="str"/>
      <c r="J287" s="188">
        <f>1</f>
        <v/>
      </c>
      <c r="K287" s="188">
        <f>IF(AND(D287&lt;=5,F287=0),1,0)</f>
        <v/>
      </c>
      <c r="L287" s="188">
        <f>IF(F287=1,'01_ВВОД'!$D$23,CHOOSE(D287,'01_ВВОД'!$D$19,'01_ВВОД'!$D$19,'01_ВВОД'!$D$19,'01_ВВОД'!$D$19,'01_ВВОД'!$D$20,'01_ВВОД'!$D$21,'01_ВВОД'!$D$22))</f>
        <v/>
      </c>
      <c r="M287" s="188">
        <f>L287*IF(H287=1,'01_ВВОД'!$D$118,1)</f>
        <v/>
      </c>
      <c r="N287" s="188">
        <f>IF(K287=1,'01_ВВОД'!$D$26,0)</f>
        <v/>
      </c>
      <c r="O287" s="188">
        <f>IF(F287=1,'01_ВВОД'!$D$34,IF(D287&lt;=5,'01_ВВОД'!$D$32,'01_ВВОД'!$D$33))</f>
        <v/>
      </c>
      <c r="P287" s="188">
        <f>O287</f>
        <v/>
      </c>
      <c r="Q287" s="188">
        <f>'01_ВВОД'!$D$40</f>
        <v/>
      </c>
      <c r="R287" s="188">
        <f>'01_ВВОД'!$D$46</f>
        <v/>
      </c>
      <c r="S287" s="188">
        <f>H287</f>
        <v/>
      </c>
      <c r="T287" s="188">
        <f>IF(H287=1,M287+N287+P287+Q287,0)</f>
        <v/>
      </c>
      <c r="U287">
        <f>R287*'01_ВВОД'!$D$120</f>
        <v/>
      </c>
    </row>
    <row r="288">
      <c r="A288" s="200" t="n">
        <v>46549</v>
      </c>
      <c r="B288" s="201" t="n">
        <v>10</v>
      </c>
      <c r="C288" s="201" t="inlineStr">
        <is>
          <t>Июн-27</t>
        </is>
      </c>
      <c r="D288" s="201" t="n">
        <v>5</v>
      </c>
      <c r="E288" s="201" t="inlineStr">
        <is>
          <t>Пт</t>
        </is>
      </c>
      <c r="F288" s="199" t="n">
        <v>0</v>
      </c>
      <c r="G288" s="201" t="str"/>
      <c r="H288" s="193" t="n">
        <v>1</v>
      </c>
      <c r="I288" s="201" t="inlineStr">
        <is>
          <t>Пт–Вс</t>
        </is>
      </c>
      <c r="J288" s="188">
        <f>1</f>
        <v/>
      </c>
      <c r="K288" s="188">
        <f>IF(AND(D288&lt;=5,F288=0),1,0)</f>
        <v/>
      </c>
      <c r="L288" s="188">
        <f>IF(F288=1,'01_ВВОД'!$D$23,CHOOSE(D288,'01_ВВОД'!$D$19,'01_ВВОД'!$D$19,'01_ВВОД'!$D$19,'01_ВВОД'!$D$19,'01_ВВОД'!$D$20,'01_ВВОД'!$D$21,'01_ВВОД'!$D$22))</f>
        <v/>
      </c>
      <c r="M288" s="188">
        <f>L288*IF(H288=1,'01_ВВОД'!$D$118,1)</f>
        <v/>
      </c>
      <c r="N288" s="188">
        <f>IF(K288=1,'01_ВВОД'!$D$26,0)</f>
        <v/>
      </c>
      <c r="O288" s="188">
        <f>IF(F288=1,'01_ВВОД'!$D$34,IF(D288&lt;=5,'01_ВВОД'!$D$32,'01_ВВОД'!$D$33))</f>
        <v/>
      </c>
      <c r="P288" s="188">
        <f>O288</f>
        <v/>
      </c>
      <c r="Q288" s="188">
        <f>'01_ВВОД'!$D$40</f>
        <v/>
      </c>
      <c r="R288" s="188">
        <f>'01_ВВОД'!$D$46</f>
        <v/>
      </c>
      <c r="S288" s="188">
        <f>H288</f>
        <v/>
      </c>
      <c r="T288" s="188">
        <f>IF(H288=1,M288+N288+P288+Q288,0)</f>
        <v/>
      </c>
      <c r="U288">
        <f>R288*'01_ВВОД'!$D$120</f>
        <v/>
      </c>
    </row>
    <row r="289">
      <c r="A289" s="200" t="n">
        <v>46550</v>
      </c>
      <c r="B289" s="201" t="n">
        <v>10</v>
      </c>
      <c r="C289" s="201" t="inlineStr">
        <is>
          <t>Июн-27</t>
        </is>
      </c>
      <c r="D289" s="201" t="n">
        <v>6</v>
      </c>
      <c r="E289" s="201" t="inlineStr">
        <is>
          <t>Сб</t>
        </is>
      </c>
      <c r="F289" s="199" t="n">
        <v>1</v>
      </c>
      <c r="G289" s="201" t="inlineStr">
        <is>
          <t>Фиксированный праздник 2027; переносы уточнить</t>
        </is>
      </c>
      <c r="H289" s="193" t="n">
        <v>0</v>
      </c>
      <c r="I289" s="201" t="str"/>
      <c r="J289" s="188">
        <f>1</f>
        <v/>
      </c>
      <c r="K289" s="188">
        <f>IF(AND(D289&lt;=5,F289=0),1,0)</f>
        <v/>
      </c>
      <c r="L289" s="188">
        <f>IF(F289=1,'01_ВВОД'!$D$23,CHOOSE(D289,'01_ВВОД'!$D$19,'01_ВВОД'!$D$19,'01_ВВОД'!$D$19,'01_ВВОД'!$D$19,'01_ВВОД'!$D$20,'01_ВВОД'!$D$21,'01_ВВОД'!$D$22))</f>
        <v/>
      </c>
      <c r="M289" s="188">
        <f>L289*IF(H289=1,'01_ВВОД'!$D$118,1)</f>
        <v/>
      </c>
      <c r="N289" s="188">
        <f>IF(K289=1,'01_ВВОД'!$D$26,0)</f>
        <v/>
      </c>
      <c r="O289" s="188">
        <f>IF(F289=1,'01_ВВОД'!$D$34,IF(D289&lt;=5,'01_ВВОД'!$D$32,'01_ВВОД'!$D$33))</f>
        <v/>
      </c>
      <c r="P289" s="188">
        <f>O289</f>
        <v/>
      </c>
      <c r="Q289" s="188">
        <f>'01_ВВОД'!$D$40</f>
        <v/>
      </c>
      <c r="R289" s="188">
        <f>'01_ВВОД'!$D$46</f>
        <v/>
      </c>
      <c r="S289" s="188">
        <f>H289</f>
        <v/>
      </c>
      <c r="T289" s="188">
        <f>IF(H289=1,M289+N289+P289+Q289,0)</f>
        <v/>
      </c>
      <c r="U289">
        <f>R289*'01_ВВОД'!$D$120</f>
        <v/>
      </c>
    </row>
    <row r="290">
      <c r="A290" s="200" t="n">
        <v>46551</v>
      </c>
      <c r="B290" s="201" t="n">
        <v>10</v>
      </c>
      <c r="C290" s="201" t="inlineStr">
        <is>
          <t>Июн-27</t>
        </is>
      </c>
      <c r="D290" s="201" t="n">
        <v>7</v>
      </c>
      <c r="E290" s="201" t="inlineStr">
        <is>
          <t>Вс</t>
        </is>
      </c>
      <c r="F290" s="199" t="n">
        <v>0</v>
      </c>
      <c r="G290" s="201" t="str"/>
      <c r="H290" s="193" t="n">
        <v>1</v>
      </c>
      <c r="I290" s="201" t="inlineStr">
        <is>
          <t>Пт–Вс</t>
        </is>
      </c>
      <c r="J290" s="188">
        <f>1</f>
        <v/>
      </c>
      <c r="K290" s="188">
        <f>IF(AND(D290&lt;=5,F290=0),1,0)</f>
        <v/>
      </c>
      <c r="L290" s="188">
        <f>IF(F290=1,'01_ВВОД'!$D$23,CHOOSE(D290,'01_ВВОД'!$D$19,'01_ВВОД'!$D$19,'01_ВВОД'!$D$19,'01_ВВОД'!$D$19,'01_ВВОД'!$D$20,'01_ВВОД'!$D$21,'01_ВВОД'!$D$22))</f>
        <v/>
      </c>
      <c r="M290" s="188">
        <f>L290*IF(H290=1,'01_ВВОД'!$D$118,1)</f>
        <v/>
      </c>
      <c r="N290" s="188">
        <f>IF(K290=1,'01_ВВОД'!$D$26,0)</f>
        <v/>
      </c>
      <c r="O290" s="188">
        <f>IF(F290=1,'01_ВВОД'!$D$34,IF(D290&lt;=5,'01_ВВОД'!$D$32,'01_ВВОД'!$D$33))</f>
        <v/>
      </c>
      <c r="P290" s="188">
        <f>O290</f>
        <v/>
      </c>
      <c r="Q290" s="188">
        <f>'01_ВВОД'!$D$40</f>
        <v/>
      </c>
      <c r="R290" s="188">
        <f>'01_ВВОД'!$D$46</f>
        <v/>
      </c>
      <c r="S290" s="188">
        <f>H290</f>
        <v/>
      </c>
      <c r="T290" s="188">
        <f>IF(H290=1,M290+N290+P290+Q290,0)</f>
        <v/>
      </c>
      <c r="U290">
        <f>R290*'01_ВВОД'!$D$120</f>
        <v/>
      </c>
    </row>
    <row r="291">
      <c r="A291" s="200" t="n">
        <v>46552</v>
      </c>
      <c r="B291" s="201" t="n">
        <v>10</v>
      </c>
      <c r="C291" s="201" t="inlineStr">
        <is>
          <t>Июн-27</t>
        </is>
      </c>
      <c r="D291" s="201" t="n">
        <v>1</v>
      </c>
      <c r="E291" s="201" t="inlineStr">
        <is>
          <t>Пн</t>
        </is>
      </c>
      <c r="F291" s="199" t="n">
        <v>0</v>
      </c>
      <c r="G291" s="201" t="str"/>
      <c r="H291" s="193" t="n">
        <v>0</v>
      </c>
      <c r="I291" s="201" t="str"/>
      <c r="J291" s="188">
        <f>1</f>
        <v/>
      </c>
      <c r="K291" s="188">
        <f>IF(AND(D291&lt;=5,F291=0),1,0)</f>
        <v/>
      </c>
      <c r="L291" s="188">
        <f>IF(F291=1,'01_ВВОД'!$D$23,CHOOSE(D291,'01_ВВОД'!$D$19,'01_ВВОД'!$D$19,'01_ВВОД'!$D$19,'01_ВВОД'!$D$19,'01_ВВОД'!$D$20,'01_ВВОД'!$D$21,'01_ВВОД'!$D$22))</f>
        <v/>
      </c>
      <c r="M291" s="188">
        <f>L291*IF(H291=1,'01_ВВОД'!$D$118,1)</f>
        <v/>
      </c>
      <c r="N291" s="188">
        <f>IF(K291=1,'01_ВВОД'!$D$26,0)</f>
        <v/>
      </c>
      <c r="O291" s="188">
        <f>IF(F291=1,'01_ВВОД'!$D$34,IF(D291&lt;=5,'01_ВВОД'!$D$32,'01_ВВОД'!$D$33))</f>
        <v/>
      </c>
      <c r="P291" s="188">
        <f>O291</f>
        <v/>
      </c>
      <c r="Q291" s="188">
        <f>'01_ВВОД'!$D$40</f>
        <v/>
      </c>
      <c r="R291" s="188">
        <f>'01_ВВОД'!$D$46</f>
        <v/>
      </c>
      <c r="S291" s="188">
        <f>H291</f>
        <v/>
      </c>
      <c r="T291" s="188">
        <f>IF(H291=1,M291+N291+P291+Q291,0)</f>
        <v/>
      </c>
      <c r="U291">
        <f>R291*'01_ВВОД'!$D$120</f>
        <v/>
      </c>
    </row>
    <row r="292">
      <c r="A292" s="200" t="n">
        <v>46553</v>
      </c>
      <c r="B292" s="201" t="n">
        <v>10</v>
      </c>
      <c r="C292" s="201" t="inlineStr">
        <is>
          <t>Июн-27</t>
        </is>
      </c>
      <c r="D292" s="201" t="n">
        <v>2</v>
      </c>
      <c r="E292" s="201" t="inlineStr">
        <is>
          <t>Вт</t>
        </is>
      </c>
      <c r="F292" s="199" t="n">
        <v>0</v>
      </c>
      <c r="G292" s="201" t="str"/>
      <c r="H292" s="193" t="n">
        <v>0</v>
      </c>
      <c r="I292" s="201" t="str"/>
      <c r="J292" s="188">
        <f>1</f>
        <v/>
      </c>
      <c r="K292" s="188">
        <f>IF(AND(D292&lt;=5,F292=0),1,0)</f>
        <v/>
      </c>
      <c r="L292" s="188">
        <f>IF(F292=1,'01_ВВОД'!$D$23,CHOOSE(D292,'01_ВВОД'!$D$19,'01_ВВОД'!$D$19,'01_ВВОД'!$D$19,'01_ВВОД'!$D$19,'01_ВВОД'!$D$20,'01_ВВОД'!$D$21,'01_ВВОД'!$D$22))</f>
        <v/>
      </c>
      <c r="M292" s="188">
        <f>L292*IF(H292=1,'01_ВВОД'!$D$118,1)</f>
        <v/>
      </c>
      <c r="N292" s="188">
        <f>IF(K292=1,'01_ВВОД'!$D$26,0)</f>
        <v/>
      </c>
      <c r="O292" s="188">
        <f>IF(F292=1,'01_ВВОД'!$D$34,IF(D292&lt;=5,'01_ВВОД'!$D$32,'01_ВВОД'!$D$33))</f>
        <v/>
      </c>
      <c r="P292" s="188">
        <f>O292</f>
        <v/>
      </c>
      <c r="Q292" s="188">
        <f>'01_ВВОД'!$D$40</f>
        <v/>
      </c>
      <c r="R292" s="188">
        <f>'01_ВВОД'!$D$46</f>
        <v/>
      </c>
      <c r="S292" s="188">
        <f>H292</f>
        <v/>
      </c>
      <c r="T292" s="188">
        <f>IF(H292=1,M292+N292+P292+Q292,0)</f>
        <v/>
      </c>
      <c r="U292">
        <f>R292*'01_ВВОД'!$D$120</f>
        <v/>
      </c>
    </row>
    <row r="293">
      <c r="A293" s="200" t="n">
        <v>46554</v>
      </c>
      <c r="B293" s="201" t="n">
        <v>10</v>
      </c>
      <c r="C293" s="201" t="inlineStr">
        <is>
          <t>Июн-27</t>
        </is>
      </c>
      <c r="D293" s="201" t="n">
        <v>3</v>
      </c>
      <c r="E293" s="201" t="inlineStr">
        <is>
          <t>Ср</t>
        </is>
      </c>
      <c r="F293" s="199" t="n">
        <v>0</v>
      </c>
      <c r="G293" s="201" t="str"/>
      <c r="H293" s="193" t="n">
        <v>0</v>
      </c>
      <c r="I293" s="201" t="str"/>
      <c r="J293" s="188">
        <f>1</f>
        <v/>
      </c>
      <c r="K293" s="188">
        <f>IF(AND(D293&lt;=5,F293=0),1,0)</f>
        <v/>
      </c>
      <c r="L293" s="188">
        <f>IF(F293=1,'01_ВВОД'!$D$23,CHOOSE(D293,'01_ВВОД'!$D$19,'01_ВВОД'!$D$19,'01_ВВОД'!$D$19,'01_ВВОД'!$D$19,'01_ВВОД'!$D$20,'01_ВВОД'!$D$21,'01_ВВОД'!$D$22))</f>
        <v/>
      </c>
      <c r="M293" s="188">
        <f>L293*IF(H293=1,'01_ВВОД'!$D$118,1)</f>
        <v/>
      </c>
      <c r="N293" s="188">
        <f>IF(K293=1,'01_ВВОД'!$D$26,0)</f>
        <v/>
      </c>
      <c r="O293" s="188">
        <f>IF(F293=1,'01_ВВОД'!$D$34,IF(D293&lt;=5,'01_ВВОД'!$D$32,'01_ВВОД'!$D$33))</f>
        <v/>
      </c>
      <c r="P293" s="188">
        <f>O293</f>
        <v/>
      </c>
      <c r="Q293" s="188">
        <f>'01_ВВОД'!$D$40</f>
        <v/>
      </c>
      <c r="R293" s="188">
        <f>'01_ВВОД'!$D$46</f>
        <v/>
      </c>
      <c r="S293" s="188">
        <f>H293</f>
        <v/>
      </c>
      <c r="T293" s="188">
        <f>IF(H293=1,M293+N293+P293+Q293,0)</f>
        <v/>
      </c>
      <c r="U293">
        <f>R293*'01_ВВОД'!$D$120</f>
        <v/>
      </c>
    </row>
    <row r="294">
      <c r="A294" s="200" t="n">
        <v>46555</v>
      </c>
      <c r="B294" s="201" t="n">
        <v>10</v>
      </c>
      <c r="C294" s="201" t="inlineStr">
        <is>
          <t>Июн-27</t>
        </is>
      </c>
      <c r="D294" s="201" t="n">
        <v>4</v>
      </c>
      <c r="E294" s="201" t="inlineStr">
        <is>
          <t>Чт</t>
        </is>
      </c>
      <c r="F294" s="199" t="n">
        <v>0</v>
      </c>
      <c r="G294" s="201" t="str"/>
      <c r="H294" s="193" t="n">
        <v>0</v>
      </c>
      <c r="I294" s="201" t="str"/>
      <c r="J294" s="188">
        <f>1</f>
        <v/>
      </c>
      <c r="K294" s="188">
        <f>IF(AND(D294&lt;=5,F294=0),1,0)</f>
        <v/>
      </c>
      <c r="L294" s="188">
        <f>IF(F294=1,'01_ВВОД'!$D$23,CHOOSE(D294,'01_ВВОД'!$D$19,'01_ВВОД'!$D$19,'01_ВВОД'!$D$19,'01_ВВОД'!$D$19,'01_ВВОД'!$D$20,'01_ВВОД'!$D$21,'01_ВВОД'!$D$22))</f>
        <v/>
      </c>
      <c r="M294" s="188">
        <f>L294*IF(H294=1,'01_ВВОД'!$D$118,1)</f>
        <v/>
      </c>
      <c r="N294" s="188">
        <f>IF(K294=1,'01_ВВОД'!$D$26,0)</f>
        <v/>
      </c>
      <c r="O294" s="188">
        <f>IF(F294=1,'01_ВВОД'!$D$34,IF(D294&lt;=5,'01_ВВОД'!$D$32,'01_ВВОД'!$D$33))</f>
        <v/>
      </c>
      <c r="P294" s="188">
        <f>O294</f>
        <v/>
      </c>
      <c r="Q294" s="188">
        <f>'01_ВВОД'!$D$40</f>
        <v/>
      </c>
      <c r="R294" s="188">
        <f>'01_ВВОД'!$D$46</f>
        <v/>
      </c>
      <c r="S294" s="188">
        <f>H294</f>
        <v/>
      </c>
      <c r="T294" s="188">
        <f>IF(H294=1,M294+N294+P294+Q294,0)</f>
        <v/>
      </c>
      <c r="U294">
        <f>R294*'01_ВВОД'!$D$120</f>
        <v/>
      </c>
    </row>
    <row r="295">
      <c r="A295" s="200" t="n">
        <v>46556</v>
      </c>
      <c r="B295" s="201" t="n">
        <v>10</v>
      </c>
      <c r="C295" s="201" t="inlineStr">
        <is>
          <t>Июн-27</t>
        </is>
      </c>
      <c r="D295" s="201" t="n">
        <v>5</v>
      </c>
      <c r="E295" s="201" t="inlineStr">
        <is>
          <t>Пт</t>
        </is>
      </c>
      <c r="F295" s="199" t="n">
        <v>0</v>
      </c>
      <c r="G295" s="201" t="str"/>
      <c r="H295" s="193" t="n">
        <v>0</v>
      </c>
      <c r="I295" s="201" t="str"/>
      <c r="J295" s="188">
        <f>1</f>
        <v/>
      </c>
      <c r="K295" s="188">
        <f>IF(AND(D295&lt;=5,F295=0),1,0)</f>
        <v/>
      </c>
      <c r="L295" s="188">
        <f>IF(F295=1,'01_ВВОД'!$D$23,CHOOSE(D295,'01_ВВОД'!$D$19,'01_ВВОД'!$D$19,'01_ВВОД'!$D$19,'01_ВВОД'!$D$19,'01_ВВОД'!$D$20,'01_ВВОД'!$D$21,'01_ВВОД'!$D$22))</f>
        <v/>
      </c>
      <c r="M295" s="188">
        <f>L295*IF(H295=1,'01_ВВОД'!$D$118,1)</f>
        <v/>
      </c>
      <c r="N295" s="188">
        <f>IF(K295=1,'01_ВВОД'!$D$26,0)</f>
        <v/>
      </c>
      <c r="O295" s="188">
        <f>IF(F295=1,'01_ВВОД'!$D$34,IF(D295&lt;=5,'01_ВВОД'!$D$32,'01_ВВОД'!$D$33))</f>
        <v/>
      </c>
      <c r="P295" s="188">
        <f>O295</f>
        <v/>
      </c>
      <c r="Q295" s="188">
        <f>'01_ВВОД'!$D$40</f>
        <v/>
      </c>
      <c r="R295" s="188">
        <f>'01_ВВОД'!$D$46</f>
        <v/>
      </c>
      <c r="S295" s="188">
        <f>H295</f>
        <v/>
      </c>
      <c r="T295" s="188">
        <f>IF(H295=1,M295+N295+P295+Q295,0)</f>
        <v/>
      </c>
      <c r="U295">
        <f>R295*'01_ВВОД'!$D$120</f>
        <v/>
      </c>
    </row>
    <row r="296">
      <c r="A296" s="200" t="n">
        <v>46557</v>
      </c>
      <c r="B296" s="201" t="n">
        <v>10</v>
      </c>
      <c r="C296" s="201" t="inlineStr">
        <is>
          <t>Июн-27</t>
        </is>
      </c>
      <c r="D296" s="201" t="n">
        <v>6</v>
      </c>
      <c r="E296" s="201" t="inlineStr">
        <is>
          <t>Сб</t>
        </is>
      </c>
      <c r="F296" s="199" t="n">
        <v>0</v>
      </c>
      <c r="G296" s="201" t="str"/>
      <c r="H296" s="193" t="n">
        <v>1</v>
      </c>
      <c r="I296" s="201" t="inlineStr">
        <is>
          <t>Пт–Вс</t>
        </is>
      </c>
      <c r="J296" s="188">
        <f>1</f>
        <v/>
      </c>
      <c r="K296" s="188">
        <f>IF(AND(D296&lt;=5,F296=0),1,0)</f>
        <v/>
      </c>
      <c r="L296" s="188">
        <f>IF(F296=1,'01_ВВОД'!$D$23,CHOOSE(D296,'01_ВВОД'!$D$19,'01_ВВОД'!$D$19,'01_ВВОД'!$D$19,'01_ВВОД'!$D$19,'01_ВВОД'!$D$20,'01_ВВОД'!$D$21,'01_ВВОД'!$D$22))</f>
        <v/>
      </c>
      <c r="M296" s="188">
        <f>L296*IF(H296=1,'01_ВВОД'!$D$118,1)</f>
        <v/>
      </c>
      <c r="N296" s="188">
        <f>IF(K296=1,'01_ВВОД'!$D$26,0)</f>
        <v/>
      </c>
      <c r="O296" s="188">
        <f>IF(F296=1,'01_ВВОД'!$D$34,IF(D296&lt;=5,'01_ВВОД'!$D$32,'01_ВВОД'!$D$33))</f>
        <v/>
      </c>
      <c r="P296" s="188">
        <f>O296</f>
        <v/>
      </c>
      <c r="Q296" s="188">
        <f>'01_ВВОД'!$D$40</f>
        <v/>
      </c>
      <c r="R296" s="188">
        <f>'01_ВВОД'!$D$46</f>
        <v/>
      </c>
      <c r="S296" s="188">
        <f>H296</f>
        <v/>
      </c>
      <c r="T296" s="188">
        <f>IF(H296=1,M296+N296+P296+Q296,0)</f>
        <v/>
      </c>
      <c r="U296">
        <f>R296*'01_ВВОД'!$D$120</f>
        <v/>
      </c>
    </row>
    <row r="297">
      <c r="A297" s="200" t="n">
        <v>46558</v>
      </c>
      <c r="B297" s="201" t="n">
        <v>10</v>
      </c>
      <c r="C297" s="201" t="inlineStr">
        <is>
          <t>Июн-27</t>
        </is>
      </c>
      <c r="D297" s="201" t="n">
        <v>7</v>
      </c>
      <c r="E297" s="201" t="inlineStr">
        <is>
          <t>Вс</t>
        </is>
      </c>
      <c r="F297" s="199" t="n">
        <v>0</v>
      </c>
      <c r="G297" s="201" t="str"/>
      <c r="H297" s="193" t="n">
        <v>1</v>
      </c>
      <c r="I297" s="201" t="inlineStr">
        <is>
          <t>Пт–Вс</t>
        </is>
      </c>
      <c r="J297" s="188">
        <f>1</f>
        <v/>
      </c>
      <c r="K297" s="188">
        <f>IF(AND(D297&lt;=5,F297=0),1,0)</f>
        <v/>
      </c>
      <c r="L297" s="188">
        <f>IF(F297=1,'01_ВВОД'!$D$23,CHOOSE(D297,'01_ВВОД'!$D$19,'01_ВВОД'!$D$19,'01_ВВОД'!$D$19,'01_ВВОД'!$D$19,'01_ВВОД'!$D$20,'01_ВВОД'!$D$21,'01_ВВОД'!$D$22))</f>
        <v/>
      </c>
      <c r="M297" s="188">
        <f>L297*IF(H297=1,'01_ВВОД'!$D$118,1)</f>
        <v/>
      </c>
      <c r="N297" s="188">
        <f>IF(K297=1,'01_ВВОД'!$D$26,0)</f>
        <v/>
      </c>
      <c r="O297" s="188">
        <f>IF(F297=1,'01_ВВОД'!$D$34,IF(D297&lt;=5,'01_ВВОД'!$D$32,'01_ВВОД'!$D$33))</f>
        <v/>
      </c>
      <c r="P297" s="188">
        <f>O297</f>
        <v/>
      </c>
      <c r="Q297" s="188">
        <f>'01_ВВОД'!$D$40</f>
        <v/>
      </c>
      <c r="R297" s="188">
        <f>'01_ВВОД'!$D$46</f>
        <v/>
      </c>
      <c r="S297" s="188">
        <f>H297</f>
        <v/>
      </c>
      <c r="T297" s="188">
        <f>IF(H297=1,M297+N297+P297+Q297,0)</f>
        <v/>
      </c>
      <c r="U297">
        <f>R297*'01_ВВОД'!$D$120</f>
        <v/>
      </c>
    </row>
    <row r="298">
      <c r="A298" s="200" t="n">
        <v>46559</v>
      </c>
      <c r="B298" s="201" t="n">
        <v>10</v>
      </c>
      <c r="C298" s="201" t="inlineStr">
        <is>
          <t>Июн-27</t>
        </is>
      </c>
      <c r="D298" s="201" t="n">
        <v>1</v>
      </c>
      <c r="E298" s="201" t="inlineStr">
        <is>
          <t>Пн</t>
        </is>
      </c>
      <c r="F298" s="199" t="n">
        <v>0</v>
      </c>
      <c r="G298" s="201" t="str"/>
      <c r="H298" s="193" t="n">
        <v>0</v>
      </c>
      <c r="I298" s="201" t="str"/>
      <c r="J298" s="188">
        <f>1</f>
        <v/>
      </c>
      <c r="K298" s="188">
        <f>IF(AND(D298&lt;=5,F298=0),1,0)</f>
        <v/>
      </c>
      <c r="L298" s="188">
        <f>IF(F298=1,'01_ВВОД'!$D$23,CHOOSE(D298,'01_ВВОД'!$D$19,'01_ВВОД'!$D$19,'01_ВВОД'!$D$19,'01_ВВОД'!$D$19,'01_ВВОД'!$D$20,'01_ВВОД'!$D$21,'01_ВВОД'!$D$22))</f>
        <v/>
      </c>
      <c r="M298" s="188">
        <f>L298*IF(H298=1,'01_ВВОД'!$D$118,1)</f>
        <v/>
      </c>
      <c r="N298" s="188">
        <f>IF(K298=1,'01_ВВОД'!$D$26,0)</f>
        <v/>
      </c>
      <c r="O298" s="188">
        <f>IF(F298=1,'01_ВВОД'!$D$34,IF(D298&lt;=5,'01_ВВОД'!$D$32,'01_ВВОД'!$D$33))</f>
        <v/>
      </c>
      <c r="P298" s="188">
        <f>O298</f>
        <v/>
      </c>
      <c r="Q298" s="188">
        <f>'01_ВВОД'!$D$40</f>
        <v/>
      </c>
      <c r="R298" s="188">
        <f>'01_ВВОД'!$D$46</f>
        <v/>
      </c>
      <c r="S298" s="188">
        <f>H298</f>
        <v/>
      </c>
      <c r="T298" s="188">
        <f>IF(H298=1,M298+N298+P298+Q298,0)</f>
        <v/>
      </c>
      <c r="U298">
        <f>R298*'01_ВВОД'!$D$120</f>
        <v/>
      </c>
    </row>
    <row r="299">
      <c r="A299" s="200" t="n">
        <v>46560</v>
      </c>
      <c r="B299" s="201" t="n">
        <v>10</v>
      </c>
      <c r="C299" s="201" t="inlineStr">
        <is>
          <t>Июн-27</t>
        </is>
      </c>
      <c r="D299" s="201" t="n">
        <v>2</v>
      </c>
      <c r="E299" s="201" t="inlineStr">
        <is>
          <t>Вт</t>
        </is>
      </c>
      <c r="F299" s="199" t="n">
        <v>0</v>
      </c>
      <c r="G299" s="201" t="str"/>
      <c r="H299" s="193" t="n">
        <v>0</v>
      </c>
      <c r="I299" s="201" t="str"/>
      <c r="J299" s="188">
        <f>1</f>
        <v/>
      </c>
      <c r="K299" s="188">
        <f>IF(AND(D299&lt;=5,F299=0),1,0)</f>
        <v/>
      </c>
      <c r="L299" s="188">
        <f>IF(F299=1,'01_ВВОД'!$D$23,CHOOSE(D299,'01_ВВОД'!$D$19,'01_ВВОД'!$D$19,'01_ВВОД'!$D$19,'01_ВВОД'!$D$19,'01_ВВОД'!$D$20,'01_ВВОД'!$D$21,'01_ВВОД'!$D$22))</f>
        <v/>
      </c>
      <c r="M299" s="188">
        <f>L299*IF(H299=1,'01_ВВОД'!$D$118,1)</f>
        <v/>
      </c>
      <c r="N299" s="188">
        <f>IF(K299=1,'01_ВВОД'!$D$26,0)</f>
        <v/>
      </c>
      <c r="O299" s="188">
        <f>IF(F299=1,'01_ВВОД'!$D$34,IF(D299&lt;=5,'01_ВВОД'!$D$32,'01_ВВОД'!$D$33))</f>
        <v/>
      </c>
      <c r="P299" s="188">
        <f>O299</f>
        <v/>
      </c>
      <c r="Q299" s="188">
        <f>'01_ВВОД'!$D$40</f>
        <v/>
      </c>
      <c r="R299" s="188">
        <f>'01_ВВОД'!$D$46</f>
        <v/>
      </c>
      <c r="S299" s="188">
        <f>H299</f>
        <v/>
      </c>
      <c r="T299" s="188">
        <f>IF(H299=1,M299+N299+P299+Q299,0)</f>
        <v/>
      </c>
      <c r="U299">
        <f>R299*'01_ВВОД'!$D$120</f>
        <v/>
      </c>
    </row>
    <row r="300">
      <c r="A300" s="200" t="n">
        <v>46561</v>
      </c>
      <c r="B300" s="201" t="n">
        <v>10</v>
      </c>
      <c r="C300" s="201" t="inlineStr">
        <is>
          <t>Июн-27</t>
        </is>
      </c>
      <c r="D300" s="201" t="n">
        <v>3</v>
      </c>
      <c r="E300" s="201" t="inlineStr">
        <is>
          <t>Ср</t>
        </is>
      </c>
      <c r="F300" s="199" t="n">
        <v>0</v>
      </c>
      <c r="G300" s="201" t="str"/>
      <c r="H300" s="193" t="n">
        <v>0</v>
      </c>
      <c r="I300" s="201" t="str"/>
      <c r="J300" s="188">
        <f>1</f>
        <v/>
      </c>
      <c r="K300" s="188">
        <f>IF(AND(D300&lt;=5,F300=0),1,0)</f>
        <v/>
      </c>
      <c r="L300" s="188">
        <f>IF(F300=1,'01_ВВОД'!$D$23,CHOOSE(D300,'01_ВВОД'!$D$19,'01_ВВОД'!$D$19,'01_ВВОД'!$D$19,'01_ВВОД'!$D$19,'01_ВВОД'!$D$20,'01_ВВОД'!$D$21,'01_ВВОД'!$D$22))</f>
        <v/>
      </c>
      <c r="M300" s="188">
        <f>L300*IF(H300=1,'01_ВВОД'!$D$118,1)</f>
        <v/>
      </c>
      <c r="N300" s="188">
        <f>IF(K300=1,'01_ВВОД'!$D$26,0)</f>
        <v/>
      </c>
      <c r="O300" s="188">
        <f>IF(F300=1,'01_ВВОД'!$D$34,IF(D300&lt;=5,'01_ВВОД'!$D$32,'01_ВВОД'!$D$33))</f>
        <v/>
      </c>
      <c r="P300" s="188">
        <f>O300</f>
        <v/>
      </c>
      <c r="Q300" s="188">
        <f>'01_ВВОД'!$D$40</f>
        <v/>
      </c>
      <c r="R300" s="188">
        <f>'01_ВВОД'!$D$46</f>
        <v/>
      </c>
      <c r="S300" s="188">
        <f>H300</f>
        <v/>
      </c>
      <c r="T300" s="188">
        <f>IF(H300=1,M300+N300+P300+Q300,0)</f>
        <v/>
      </c>
      <c r="U300">
        <f>R300*'01_ВВОД'!$D$120</f>
        <v/>
      </c>
    </row>
    <row r="301">
      <c r="A301" s="200" t="n">
        <v>46562</v>
      </c>
      <c r="B301" s="201" t="n">
        <v>10</v>
      </c>
      <c r="C301" s="201" t="inlineStr">
        <is>
          <t>Июн-27</t>
        </is>
      </c>
      <c r="D301" s="201" t="n">
        <v>4</v>
      </c>
      <c r="E301" s="201" t="inlineStr">
        <is>
          <t>Чт</t>
        </is>
      </c>
      <c r="F301" s="199" t="n">
        <v>0</v>
      </c>
      <c r="G301" s="201" t="str"/>
      <c r="H301" s="193" t="n">
        <v>0</v>
      </c>
      <c r="I301" s="201" t="str"/>
      <c r="J301" s="188">
        <f>1</f>
        <v/>
      </c>
      <c r="K301" s="188">
        <f>IF(AND(D301&lt;=5,F301=0),1,0)</f>
        <v/>
      </c>
      <c r="L301" s="188">
        <f>IF(F301=1,'01_ВВОД'!$D$23,CHOOSE(D301,'01_ВВОД'!$D$19,'01_ВВОД'!$D$19,'01_ВВОД'!$D$19,'01_ВВОД'!$D$19,'01_ВВОД'!$D$20,'01_ВВОД'!$D$21,'01_ВВОД'!$D$22))</f>
        <v/>
      </c>
      <c r="M301" s="188">
        <f>L301*IF(H301=1,'01_ВВОД'!$D$118,1)</f>
        <v/>
      </c>
      <c r="N301" s="188">
        <f>IF(K301=1,'01_ВВОД'!$D$26,0)</f>
        <v/>
      </c>
      <c r="O301" s="188">
        <f>IF(F301=1,'01_ВВОД'!$D$34,IF(D301&lt;=5,'01_ВВОД'!$D$32,'01_ВВОД'!$D$33))</f>
        <v/>
      </c>
      <c r="P301" s="188">
        <f>O301</f>
        <v/>
      </c>
      <c r="Q301" s="188">
        <f>'01_ВВОД'!$D$40</f>
        <v/>
      </c>
      <c r="R301" s="188">
        <f>'01_ВВОД'!$D$46</f>
        <v/>
      </c>
      <c r="S301" s="188">
        <f>H301</f>
        <v/>
      </c>
      <c r="T301" s="188">
        <f>IF(H301=1,M301+N301+P301+Q301,0)</f>
        <v/>
      </c>
      <c r="U301">
        <f>R301*'01_ВВОД'!$D$120</f>
        <v/>
      </c>
    </row>
    <row r="302">
      <c r="A302" s="200" t="n">
        <v>46563</v>
      </c>
      <c r="B302" s="201" t="n">
        <v>10</v>
      </c>
      <c r="C302" s="201" t="inlineStr">
        <is>
          <t>Июн-27</t>
        </is>
      </c>
      <c r="D302" s="201" t="n">
        <v>5</v>
      </c>
      <c r="E302" s="201" t="inlineStr">
        <is>
          <t>Пт</t>
        </is>
      </c>
      <c r="F302" s="199" t="n">
        <v>0</v>
      </c>
      <c r="G302" s="201" t="str"/>
      <c r="H302" s="193" t="n">
        <v>0</v>
      </c>
      <c r="I302" s="201" t="str"/>
      <c r="J302" s="188">
        <f>1</f>
        <v/>
      </c>
      <c r="K302" s="188">
        <f>IF(AND(D302&lt;=5,F302=0),1,0)</f>
        <v/>
      </c>
      <c r="L302" s="188">
        <f>IF(F302=1,'01_ВВОД'!$D$23,CHOOSE(D302,'01_ВВОД'!$D$19,'01_ВВОД'!$D$19,'01_ВВОД'!$D$19,'01_ВВОД'!$D$19,'01_ВВОД'!$D$20,'01_ВВОД'!$D$21,'01_ВВОД'!$D$22))</f>
        <v/>
      </c>
      <c r="M302" s="188">
        <f>L302*IF(H302=1,'01_ВВОД'!$D$118,1)</f>
        <v/>
      </c>
      <c r="N302" s="188">
        <f>IF(K302=1,'01_ВВОД'!$D$26,0)</f>
        <v/>
      </c>
      <c r="O302" s="188">
        <f>IF(F302=1,'01_ВВОД'!$D$34,IF(D302&lt;=5,'01_ВВОД'!$D$32,'01_ВВОД'!$D$33))</f>
        <v/>
      </c>
      <c r="P302" s="188">
        <f>O302</f>
        <v/>
      </c>
      <c r="Q302" s="188">
        <f>'01_ВВОД'!$D$40</f>
        <v/>
      </c>
      <c r="R302" s="188">
        <f>'01_ВВОД'!$D$46</f>
        <v/>
      </c>
      <c r="S302" s="188">
        <f>H302</f>
        <v/>
      </c>
      <c r="T302" s="188">
        <f>IF(H302=1,M302+N302+P302+Q302,0)</f>
        <v/>
      </c>
      <c r="U302">
        <f>R302*'01_ВВОД'!$D$120</f>
        <v/>
      </c>
    </row>
    <row r="303">
      <c r="A303" s="200" t="n">
        <v>46564</v>
      </c>
      <c r="B303" s="201" t="n">
        <v>10</v>
      </c>
      <c r="C303" s="201" t="inlineStr">
        <is>
          <t>Июн-27</t>
        </is>
      </c>
      <c r="D303" s="201" t="n">
        <v>6</v>
      </c>
      <c r="E303" s="201" t="inlineStr">
        <is>
          <t>Сб</t>
        </is>
      </c>
      <c r="F303" s="199" t="n">
        <v>0</v>
      </c>
      <c r="G303" s="201" t="str"/>
      <c r="H303" s="193" t="n">
        <v>0</v>
      </c>
      <c r="I303" s="201" t="str"/>
      <c r="J303" s="188">
        <f>1</f>
        <v/>
      </c>
      <c r="K303" s="188">
        <f>IF(AND(D303&lt;=5,F303=0),1,0)</f>
        <v/>
      </c>
      <c r="L303" s="188">
        <f>IF(F303=1,'01_ВВОД'!$D$23,CHOOSE(D303,'01_ВВОД'!$D$19,'01_ВВОД'!$D$19,'01_ВВОД'!$D$19,'01_ВВОД'!$D$19,'01_ВВОД'!$D$20,'01_ВВОД'!$D$21,'01_ВВОД'!$D$22))</f>
        <v/>
      </c>
      <c r="M303" s="188">
        <f>L303*IF(H303=1,'01_ВВОД'!$D$118,1)</f>
        <v/>
      </c>
      <c r="N303" s="188">
        <f>IF(K303=1,'01_ВВОД'!$D$26,0)</f>
        <v/>
      </c>
      <c r="O303" s="188">
        <f>IF(F303=1,'01_ВВОД'!$D$34,IF(D303&lt;=5,'01_ВВОД'!$D$32,'01_ВВОД'!$D$33))</f>
        <v/>
      </c>
      <c r="P303" s="188">
        <f>O303</f>
        <v/>
      </c>
      <c r="Q303" s="188">
        <f>'01_ВВОД'!$D$40</f>
        <v/>
      </c>
      <c r="R303" s="188">
        <f>'01_ВВОД'!$D$46</f>
        <v/>
      </c>
      <c r="S303" s="188">
        <f>H303</f>
        <v/>
      </c>
      <c r="T303" s="188">
        <f>IF(H303=1,M303+N303+P303+Q303,0)</f>
        <v/>
      </c>
      <c r="U303">
        <f>R303*'01_ВВОД'!$D$120</f>
        <v/>
      </c>
    </row>
    <row r="304">
      <c r="A304" s="200" t="n">
        <v>46565</v>
      </c>
      <c r="B304" s="201" t="n">
        <v>10</v>
      </c>
      <c r="C304" s="201" t="inlineStr">
        <is>
          <t>Июн-27</t>
        </is>
      </c>
      <c r="D304" s="201" t="n">
        <v>7</v>
      </c>
      <c r="E304" s="201" t="inlineStr">
        <is>
          <t>Вс</t>
        </is>
      </c>
      <c r="F304" s="199" t="n">
        <v>0</v>
      </c>
      <c r="G304" s="201" t="str"/>
      <c r="H304" s="193" t="n">
        <v>0</v>
      </c>
      <c r="I304" s="201" t="str"/>
      <c r="J304" s="188">
        <f>1</f>
        <v/>
      </c>
      <c r="K304" s="188">
        <f>IF(AND(D304&lt;=5,F304=0),1,0)</f>
        <v/>
      </c>
      <c r="L304" s="188">
        <f>IF(F304=1,'01_ВВОД'!$D$23,CHOOSE(D304,'01_ВВОД'!$D$19,'01_ВВОД'!$D$19,'01_ВВОД'!$D$19,'01_ВВОД'!$D$19,'01_ВВОД'!$D$20,'01_ВВОД'!$D$21,'01_ВВОД'!$D$22))</f>
        <v/>
      </c>
      <c r="M304" s="188">
        <f>L304*IF(H304=1,'01_ВВОД'!$D$118,1)</f>
        <v/>
      </c>
      <c r="N304" s="188">
        <f>IF(K304=1,'01_ВВОД'!$D$26,0)</f>
        <v/>
      </c>
      <c r="O304" s="188">
        <f>IF(F304=1,'01_ВВОД'!$D$34,IF(D304&lt;=5,'01_ВВОД'!$D$32,'01_ВВОД'!$D$33))</f>
        <v/>
      </c>
      <c r="P304" s="188">
        <f>O304</f>
        <v/>
      </c>
      <c r="Q304" s="188">
        <f>'01_ВВОД'!$D$40</f>
        <v/>
      </c>
      <c r="R304" s="188">
        <f>'01_ВВОД'!$D$46</f>
        <v/>
      </c>
      <c r="S304" s="188">
        <f>H304</f>
        <v/>
      </c>
      <c r="T304" s="188">
        <f>IF(H304=1,M304+N304+P304+Q304,0)</f>
        <v/>
      </c>
      <c r="U304">
        <f>R304*'01_ВВОД'!$D$120</f>
        <v/>
      </c>
    </row>
    <row r="305">
      <c r="A305" s="200" t="n">
        <v>46566</v>
      </c>
      <c r="B305" s="201" t="n">
        <v>10</v>
      </c>
      <c r="C305" s="201" t="inlineStr">
        <is>
          <t>Июн-27</t>
        </is>
      </c>
      <c r="D305" s="201" t="n">
        <v>1</v>
      </c>
      <c r="E305" s="201" t="inlineStr">
        <is>
          <t>Пн</t>
        </is>
      </c>
      <c r="F305" s="199" t="n">
        <v>0</v>
      </c>
      <c r="G305" s="201" t="str"/>
      <c r="H305" s="193" t="n">
        <v>0</v>
      </c>
      <c r="I305" s="201" t="str"/>
      <c r="J305" s="188">
        <f>1</f>
        <v/>
      </c>
      <c r="K305" s="188">
        <f>IF(AND(D305&lt;=5,F305=0),1,0)</f>
        <v/>
      </c>
      <c r="L305" s="188">
        <f>IF(F305=1,'01_ВВОД'!$D$23,CHOOSE(D305,'01_ВВОД'!$D$19,'01_ВВОД'!$D$19,'01_ВВОД'!$D$19,'01_ВВОД'!$D$19,'01_ВВОД'!$D$20,'01_ВВОД'!$D$21,'01_ВВОД'!$D$22))</f>
        <v/>
      </c>
      <c r="M305" s="188">
        <f>L305*IF(H305=1,'01_ВВОД'!$D$118,1)</f>
        <v/>
      </c>
      <c r="N305" s="188">
        <f>IF(K305=1,'01_ВВОД'!$D$26,0)</f>
        <v/>
      </c>
      <c r="O305" s="188">
        <f>IF(F305=1,'01_ВВОД'!$D$34,IF(D305&lt;=5,'01_ВВОД'!$D$32,'01_ВВОД'!$D$33))</f>
        <v/>
      </c>
      <c r="P305" s="188">
        <f>O305</f>
        <v/>
      </c>
      <c r="Q305" s="188">
        <f>'01_ВВОД'!$D$40</f>
        <v/>
      </c>
      <c r="R305" s="188">
        <f>'01_ВВОД'!$D$46</f>
        <v/>
      </c>
      <c r="S305" s="188">
        <f>H305</f>
        <v/>
      </c>
      <c r="T305" s="188">
        <f>IF(H305=1,M305+N305+P305+Q305,0)</f>
        <v/>
      </c>
      <c r="U305">
        <f>R305*'01_ВВОД'!$D$120</f>
        <v/>
      </c>
    </row>
    <row r="306">
      <c r="A306" s="200" t="n">
        <v>46567</v>
      </c>
      <c r="B306" s="201" t="n">
        <v>10</v>
      </c>
      <c r="C306" s="201" t="inlineStr">
        <is>
          <t>Июн-27</t>
        </is>
      </c>
      <c r="D306" s="201" t="n">
        <v>2</v>
      </c>
      <c r="E306" s="201" t="inlineStr">
        <is>
          <t>Вт</t>
        </is>
      </c>
      <c r="F306" s="199" t="n">
        <v>0</v>
      </c>
      <c r="G306" s="201" t="str"/>
      <c r="H306" s="193" t="n">
        <v>0</v>
      </c>
      <c r="I306" s="201" t="str"/>
      <c r="J306" s="188">
        <f>1</f>
        <v/>
      </c>
      <c r="K306" s="188">
        <f>IF(AND(D306&lt;=5,F306=0),1,0)</f>
        <v/>
      </c>
      <c r="L306" s="188">
        <f>IF(F306=1,'01_ВВОД'!$D$23,CHOOSE(D306,'01_ВВОД'!$D$19,'01_ВВОД'!$D$19,'01_ВВОД'!$D$19,'01_ВВОД'!$D$19,'01_ВВОД'!$D$20,'01_ВВОД'!$D$21,'01_ВВОД'!$D$22))</f>
        <v/>
      </c>
      <c r="M306" s="188">
        <f>L306*IF(H306=1,'01_ВВОД'!$D$118,1)</f>
        <v/>
      </c>
      <c r="N306" s="188">
        <f>IF(K306=1,'01_ВВОД'!$D$26,0)</f>
        <v/>
      </c>
      <c r="O306" s="188">
        <f>IF(F306=1,'01_ВВОД'!$D$34,IF(D306&lt;=5,'01_ВВОД'!$D$32,'01_ВВОД'!$D$33))</f>
        <v/>
      </c>
      <c r="P306" s="188">
        <f>O306</f>
        <v/>
      </c>
      <c r="Q306" s="188">
        <f>'01_ВВОД'!$D$40</f>
        <v/>
      </c>
      <c r="R306" s="188">
        <f>'01_ВВОД'!$D$46</f>
        <v/>
      </c>
      <c r="S306" s="188">
        <f>H306</f>
        <v/>
      </c>
      <c r="T306" s="188">
        <f>IF(H306=1,M306+N306+P306+Q306,0)</f>
        <v/>
      </c>
      <c r="U306">
        <f>R306*'01_ВВОД'!$D$120</f>
        <v/>
      </c>
    </row>
    <row r="307">
      <c r="A307" s="200" t="n">
        <v>46568</v>
      </c>
      <c r="B307" s="201" t="n">
        <v>10</v>
      </c>
      <c r="C307" s="201" t="inlineStr">
        <is>
          <t>Июн-27</t>
        </is>
      </c>
      <c r="D307" s="201" t="n">
        <v>3</v>
      </c>
      <c r="E307" s="201" t="inlineStr">
        <is>
          <t>Ср</t>
        </is>
      </c>
      <c r="F307" s="199" t="n">
        <v>0</v>
      </c>
      <c r="G307" s="201" t="str"/>
      <c r="H307" s="193" t="n">
        <v>0</v>
      </c>
      <c r="I307" s="201" t="str"/>
      <c r="J307" s="188">
        <f>1</f>
        <v/>
      </c>
      <c r="K307" s="188">
        <f>IF(AND(D307&lt;=5,F307=0),1,0)</f>
        <v/>
      </c>
      <c r="L307" s="188">
        <f>IF(F307=1,'01_ВВОД'!$D$23,CHOOSE(D307,'01_ВВОД'!$D$19,'01_ВВОД'!$D$19,'01_ВВОД'!$D$19,'01_ВВОД'!$D$19,'01_ВВОД'!$D$20,'01_ВВОД'!$D$21,'01_ВВОД'!$D$22))</f>
        <v/>
      </c>
      <c r="M307" s="188">
        <f>L307*IF(H307=1,'01_ВВОД'!$D$118,1)</f>
        <v/>
      </c>
      <c r="N307" s="188">
        <f>IF(K307=1,'01_ВВОД'!$D$26,0)</f>
        <v/>
      </c>
      <c r="O307" s="188">
        <f>IF(F307=1,'01_ВВОД'!$D$34,IF(D307&lt;=5,'01_ВВОД'!$D$32,'01_ВВОД'!$D$33))</f>
        <v/>
      </c>
      <c r="P307" s="188">
        <f>O307</f>
        <v/>
      </c>
      <c r="Q307" s="188">
        <f>'01_ВВОД'!$D$40</f>
        <v/>
      </c>
      <c r="R307" s="188">
        <f>'01_ВВОД'!$D$46</f>
        <v/>
      </c>
      <c r="S307" s="188">
        <f>H307</f>
        <v/>
      </c>
      <c r="T307" s="188">
        <f>IF(H307=1,M307+N307+P307+Q307,0)</f>
        <v/>
      </c>
      <c r="U307">
        <f>R307*'01_ВВОД'!$D$120</f>
        <v/>
      </c>
    </row>
    <row r="308">
      <c r="A308" s="200" t="n">
        <v>46569</v>
      </c>
      <c r="B308" s="201" t="n">
        <v>11</v>
      </c>
      <c r="C308" s="201" t="inlineStr">
        <is>
          <t>Июл-27</t>
        </is>
      </c>
      <c r="D308" s="201" t="n">
        <v>4</v>
      </c>
      <c r="E308" s="201" t="inlineStr">
        <is>
          <t>Чт</t>
        </is>
      </c>
      <c r="F308" s="199" t="n">
        <v>0</v>
      </c>
      <c r="G308" s="201" t="str"/>
      <c r="H308" s="193" t="n">
        <v>0</v>
      </c>
      <c r="I308" s="201" t="str"/>
      <c r="J308" s="188">
        <f>1</f>
        <v/>
      </c>
      <c r="K308" s="188">
        <f>IF(AND(D308&lt;=5,F308=0),1,0)</f>
        <v/>
      </c>
      <c r="L308" s="188">
        <f>IF(F308=1,'01_ВВОД'!$D$23,CHOOSE(D308,'01_ВВОД'!$D$19,'01_ВВОД'!$D$19,'01_ВВОД'!$D$19,'01_ВВОД'!$D$19,'01_ВВОД'!$D$20,'01_ВВОД'!$D$21,'01_ВВОД'!$D$22))</f>
        <v/>
      </c>
      <c r="M308" s="188">
        <f>L308*IF(H308=1,'01_ВВОД'!$D$118,1)</f>
        <v/>
      </c>
      <c r="N308" s="188">
        <f>IF(K308=1,'01_ВВОД'!$D$26,0)</f>
        <v/>
      </c>
      <c r="O308" s="188">
        <f>IF(F308=1,'01_ВВОД'!$D$34,IF(D308&lt;=5,'01_ВВОД'!$D$32,'01_ВВОД'!$D$33))</f>
        <v/>
      </c>
      <c r="P308" s="188">
        <f>O308</f>
        <v/>
      </c>
      <c r="Q308" s="188">
        <f>'01_ВВОД'!$D$40</f>
        <v/>
      </c>
      <c r="R308" s="188">
        <f>'01_ВВОД'!$D$46</f>
        <v/>
      </c>
      <c r="S308" s="188">
        <f>H308</f>
        <v/>
      </c>
      <c r="T308" s="188">
        <f>IF(H308=1,M308+N308+P308+Q308,0)</f>
        <v/>
      </c>
      <c r="U308">
        <f>R308*'01_ВВОД'!$D$120</f>
        <v/>
      </c>
    </row>
    <row r="309">
      <c r="A309" s="200" t="n">
        <v>46570</v>
      </c>
      <c r="B309" s="201" t="n">
        <v>11</v>
      </c>
      <c r="C309" s="201" t="inlineStr">
        <is>
          <t>Июл-27</t>
        </is>
      </c>
      <c r="D309" s="201" t="n">
        <v>5</v>
      </c>
      <c r="E309" s="201" t="inlineStr">
        <is>
          <t>Пт</t>
        </is>
      </c>
      <c r="F309" s="199" t="n">
        <v>0</v>
      </c>
      <c r="G309" s="201" t="str"/>
      <c r="H309" s="193" t="n">
        <v>0</v>
      </c>
      <c r="I309" s="201" t="str"/>
      <c r="J309" s="188">
        <f>1</f>
        <v/>
      </c>
      <c r="K309" s="188">
        <f>IF(AND(D309&lt;=5,F309=0),1,0)</f>
        <v/>
      </c>
      <c r="L309" s="188">
        <f>IF(F309=1,'01_ВВОД'!$D$23,CHOOSE(D309,'01_ВВОД'!$D$19,'01_ВВОД'!$D$19,'01_ВВОД'!$D$19,'01_ВВОД'!$D$19,'01_ВВОД'!$D$20,'01_ВВОД'!$D$21,'01_ВВОД'!$D$22))</f>
        <v/>
      </c>
      <c r="M309" s="188">
        <f>L309*IF(H309=1,'01_ВВОД'!$D$118,1)</f>
        <v/>
      </c>
      <c r="N309" s="188">
        <f>IF(K309=1,'01_ВВОД'!$D$26,0)</f>
        <v/>
      </c>
      <c r="O309" s="188">
        <f>IF(F309=1,'01_ВВОД'!$D$34,IF(D309&lt;=5,'01_ВВОД'!$D$32,'01_ВВОД'!$D$33))</f>
        <v/>
      </c>
      <c r="P309" s="188">
        <f>O309</f>
        <v/>
      </c>
      <c r="Q309" s="188">
        <f>'01_ВВОД'!$D$40</f>
        <v/>
      </c>
      <c r="R309" s="188">
        <f>'01_ВВОД'!$D$46</f>
        <v/>
      </c>
      <c r="S309" s="188">
        <f>H309</f>
        <v/>
      </c>
      <c r="T309" s="188">
        <f>IF(H309=1,M309+N309+P309+Q309,0)</f>
        <v/>
      </c>
      <c r="U309">
        <f>R309*'01_ВВОД'!$D$120</f>
        <v/>
      </c>
    </row>
    <row r="310">
      <c r="A310" s="200" t="n">
        <v>46571</v>
      </c>
      <c r="B310" s="201" t="n">
        <v>11</v>
      </c>
      <c r="C310" s="201" t="inlineStr">
        <is>
          <t>Июл-27</t>
        </is>
      </c>
      <c r="D310" s="201" t="n">
        <v>6</v>
      </c>
      <c r="E310" s="201" t="inlineStr">
        <is>
          <t>Сб</t>
        </is>
      </c>
      <c r="F310" s="199" t="n">
        <v>0</v>
      </c>
      <c r="G310" s="201" t="str"/>
      <c r="H310" s="193" t="n">
        <v>0</v>
      </c>
      <c r="I310" s="201" t="str"/>
      <c r="J310" s="188">
        <f>1</f>
        <v/>
      </c>
      <c r="K310" s="188">
        <f>IF(AND(D310&lt;=5,F310=0),1,0)</f>
        <v/>
      </c>
      <c r="L310" s="188">
        <f>IF(F310=1,'01_ВВОД'!$D$23,CHOOSE(D310,'01_ВВОД'!$D$19,'01_ВВОД'!$D$19,'01_ВВОД'!$D$19,'01_ВВОД'!$D$19,'01_ВВОД'!$D$20,'01_ВВОД'!$D$21,'01_ВВОД'!$D$22))</f>
        <v/>
      </c>
      <c r="M310" s="188">
        <f>L310*IF(H310=1,'01_ВВОД'!$D$118,1)</f>
        <v/>
      </c>
      <c r="N310" s="188">
        <f>IF(K310=1,'01_ВВОД'!$D$26,0)</f>
        <v/>
      </c>
      <c r="O310" s="188">
        <f>IF(F310=1,'01_ВВОД'!$D$34,IF(D310&lt;=5,'01_ВВОД'!$D$32,'01_ВВОД'!$D$33))</f>
        <v/>
      </c>
      <c r="P310" s="188">
        <f>O310</f>
        <v/>
      </c>
      <c r="Q310" s="188">
        <f>'01_ВВОД'!$D$40</f>
        <v/>
      </c>
      <c r="R310" s="188">
        <f>'01_ВВОД'!$D$46</f>
        <v/>
      </c>
      <c r="S310" s="188">
        <f>H310</f>
        <v/>
      </c>
      <c r="T310" s="188">
        <f>IF(H310=1,M310+N310+P310+Q310,0)</f>
        <v/>
      </c>
      <c r="U310">
        <f>R310*'01_ВВОД'!$D$120</f>
        <v/>
      </c>
    </row>
    <row r="311">
      <c r="A311" s="200" t="n">
        <v>46572</v>
      </c>
      <c r="B311" s="201" t="n">
        <v>11</v>
      </c>
      <c r="C311" s="201" t="inlineStr">
        <is>
          <t>Июл-27</t>
        </is>
      </c>
      <c r="D311" s="201" t="n">
        <v>7</v>
      </c>
      <c r="E311" s="201" t="inlineStr">
        <is>
          <t>Вс</t>
        </is>
      </c>
      <c r="F311" s="199" t="n">
        <v>0</v>
      </c>
      <c r="G311" s="201" t="str"/>
      <c r="H311" s="193" t="n">
        <v>0</v>
      </c>
      <c r="I311" s="201" t="str"/>
      <c r="J311" s="188">
        <f>1</f>
        <v/>
      </c>
      <c r="K311" s="188">
        <f>IF(AND(D311&lt;=5,F311=0),1,0)</f>
        <v/>
      </c>
      <c r="L311" s="188">
        <f>IF(F311=1,'01_ВВОД'!$D$23,CHOOSE(D311,'01_ВВОД'!$D$19,'01_ВВОД'!$D$19,'01_ВВОД'!$D$19,'01_ВВОД'!$D$19,'01_ВВОД'!$D$20,'01_ВВОД'!$D$21,'01_ВВОД'!$D$22))</f>
        <v/>
      </c>
      <c r="M311" s="188">
        <f>L311*IF(H311=1,'01_ВВОД'!$D$118,1)</f>
        <v/>
      </c>
      <c r="N311" s="188">
        <f>IF(K311=1,'01_ВВОД'!$D$26,0)</f>
        <v/>
      </c>
      <c r="O311" s="188">
        <f>IF(F311=1,'01_ВВОД'!$D$34,IF(D311&lt;=5,'01_ВВОД'!$D$32,'01_ВВОД'!$D$33))</f>
        <v/>
      </c>
      <c r="P311" s="188">
        <f>O311</f>
        <v/>
      </c>
      <c r="Q311" s="188">
        <f>'01_ВВОД'!$D$40</f>
        <v/>
      </c>
      <c r="R311" s="188">
        <f>'01_ВВОД'!$D$46</f>
        <v/>
      </c>
      <c r="S311" s="188">
        <f>H311</f>
        <v/>
      </c>
      <c r="T311" s="188">
        <f>IF(H311=1,M311+N311+P311+Q311,0)</f>
        <v/>
      </c>
      <c r="U311">
        <f>R311*'01_ВВОД'!$D$120</f>
        <v/>
      </c>
    </row>
    <row r="312">
      <c r="A312" s="200" t="n">
        <v>46573</v>
      </c>
      <c r="B312" s="201" t="n">
        <v>11</v>
      </c>
      <c r="C312" s="201" t="inlineStr">
        <is>
          <t>Июл-27</t>
        </is>
      </c>
      <c r="D312" s="201" t="n">
        <v>1</v>
      </c>
      <c r="E312" s="201" t="inlineStr">
        <is>
          <t>Пн</t>
        </is>
      </c>
      <c r="F312" s="199" t="n">
        <v>0</v>
      </c>
      <c r="G312" s="201" t="str"/>
      <c r="H312" s="193" t="n">
        <v>0</v>
      </c>
      <c r="I312" s="201" t="str"/>
      <c r="J312" s="188">
        <f>1</f>
        <v/>
      </c>
      <c r="K312" s="188">
        <f>IF(AND(D312&lt;=5,F312=0),1,0)</f>
        <v/>
      </c>
      <c r="L312" s="188">
        <f>IF(F312=1,'01_ВВОД'!$D$23,CHOOSE(D312,'01_ВВОД'!$D$19,'01_ВВОД'!$D$19,'01_ВВОД'!$D$19,'01_ВВОД'!$D$19,'01_ВВОД'!$D$20,'01_ВВОД'!$D$21,'01_ВВОД'!$D$22))</f>
        <v/>
      </c>
      <c r="M312" s="188">
        <f>L312*IF(H312=1,'01_ВВОД'!$D$118,1)</f>
        <v/>
      </c>
      <c r="N312" s="188">
        <f>IF(K312=1,'01_ВВОД'!$D$26,0)</f>
        <v/>
      </c>
      <c r="O312" s="188">
        <f>IF(F312=1,'01_ВВОД'!$D$34,IF(D312&lt;=5,'01_ВВОД'!$D$32,'01_ВВОД'!$D$33))</f>
        <v/>
      </c>
      <c r="P312" s="188">
        <f>O312</f>
        <v/>
      </c>
      <c r="Q312" s="188">
        <f>'01_ВВОД'!$D$40</f>
        <v/>
      </c>
      <c r="R312" s="188">
        <f>'01_ВВОД'!$D$46</f>
        <v/>
      </c>
      <c r="S312" s="188">
        <f>H312</f>
        <v/>
      </c>
      <c r="T312" s="188">
        <f>IF(H312=1,M312+N312+P312+Q312,0)</f>
        <v/>
      </c>
      <c r="U312">
        <f>R312*'01_ВВОД'!$D$120</f>
        <v/>
      </c>
    </row>
    <row r="313">
      <c r="A313" s="200" t="n">
        <v>46574</v>
      </c>
      <c r="B313" s="201" t="n">
        <v>11</v>
      </c>
      <c r="C313" s="201" t="inlineStr">
        <is>
          <t>Июл-27</t>
        </is>
      </c>
      <c r="D313" s="201" t="n">
        <v>2</v>
      </c>
      <c r="E313" s="201" t="inlineStr">
        <is>
          <t>Вт</t>
        </is>
      </c>
      <c r="F313" s="199" t="n">
        <v>0</v>
      </c>
      <c r="G313" s="201" t="str"/>
      <c r="H313" s="193" t="n">
        <v>1</v>
      </c>
      <c r="I313" s="201" t="inlineStr">
        <is>
          <t>Пн–Чт</t>
        </is>
      </c>
      <c r="J313" s="188">
        <f>1</f>
        <v/>
      </c>
      <c r="K313" s="188">
        <f>IF(AND(D313&lt;=5,F313=0),1,0)</f>
        <v/>
      </c>
      <c r="L313" s="188">
        <f>IF(F313=1,'01_ВВОД'!$D$23,CHOOSE(D313,'01_ВВОД'!$D$19,'01_ВВОД'!$D$19,'01_ВВОД'!$D$19,'01_ВВОД'!$D$19,'01_ВВОД'!$D$20,'01_ВВОД'!$D$21,'01_ВВОД'!$D$22))</f>
        <v/>
      </c>
      <c r="M313" s="188">
        <f>L313*IF(H313=1,'01_ВВОД'!$D$118,1)</f>
        <v/>
      </c>
      <c r="N313" s="188">
        <f>IF(K313=1,'01_ВВОД'!$D$26,0)</f>
        <v/>
      </c>
      <c r="O313" s="188">
        <f>IF(F313=1,'01_ВВОД'!$D$34,IF(D313&lt;=5,'01_ВВОД'!$D$32,'01_ВВОД'!$D$33))</f>
        <v/>
      </c>
      <c r="P313" s="188">
        <f>O313</f>
        <v/>
      </c>
      <c r="Q313" s="188">
        <f>'01_ВВОД'!$D$40</f>
        <v/>
      </c>
      <c r="R313" s="188">
        <f>'01_ВВОД'!$D$46</f>
        <v/>
      </c>
      <c r="S313" s="188">
        <f>H313</f>
        <v/>
      </c>
      <c r="T313" s="188">
        <f>IF(H313=1,M313+N313+P313+Q313,0)</f>
        <v/>
      </c>
      <c r="U313">
        <f>R313*'01_ВВОД'!$D$120</f>
        <v/>
      </c>
    </row>
    <row r="314">
      <c r="A314" s="200" t="n">
        <v>46575</v>
      </c>
      <c r="B314" s="201" t="n">
        <v>11</v>
      </c>
      <c r="C314" s="201" t="inlineStr">
        <is>
          <t>Июл-27</t>
        </is>
      </c>
      <c r="D314" s="201" t="n">
        <v>3</v>
      </c>
      <c r="E314" s="201" t="inlineStr">
        <is>
          <t>Ср</t>
        </is>
      </c>
      <c r="F314" s="199" t="n">
        <v>0</v>
      </c>
      <c r="G314" s="201" t="str"/>
      <c r="H314" s="193" t="n">
        <v>0</v>
      </c>
      <c r="I314" s="201" t="str"/>
      <c r="J314" s="188">
        <f>1</f>
        <v/>
      </c>
      <c r="K314" s="188">
        <f>IF(AND(D314&lt;=5,F314=0),1,0)</f>
        <v/>
      </c>
      <c r="L314" s="188">
        <f>IF(F314=1,'01_ВВОД'!$D$23,CHOOSE(D314,'01_ВВОД'!$D$19,'01_ВВОД'!$D$19,'01_ВВОД'!$D$19,'01_ВВОД'!$D$19,'01_ВВОД'!$D$20,'01_ВВОД'!$D$21,'01_ВВОД'!$D$22))</f>
        <v/>
      </c>
      <c r="M314" s="188">
        <f>L314*IF(H314=1,'01_ВВОД'!$D$118,1)</f>
        <v/>
      </c>
      <c r="N314" s="188">
        <f>IF(K314=1,'01_ВВОД'!$D$26,0)</f>
        <v/>
      </c>
      <c r="O314" s="188">
        <f>IF(F314=1,'01_ВВОД'!$D$34,IF(D314&lt;=5,'01_ВВОД'!$D$32,'01_ВВОД'!$D$33))</f>
        <v/>
      </c>
      <c r="P314" s="188">
        <f>O314</f>
        <v/>
      </c>
      <c r="Q314" s="188">
        <f>'01_ВВОД'!$D$40</f>
        <v/>
      </c>
      <c r="R314" s="188">
        <f>'01_ВВОД'!$D$46</f>
        <v/>
      </c>
      <c r="S314" s="188">
        <f>H314</f>
        <v/>
      </c>
      <c r="T314" s="188">
        <f>IF(H314=1,M314+N314+P314+Q314,0)</f>
        <v/>
      </c>
      <c r="U314">
        <f>R314*'01_ВВОД'!$D$120</f>
        <v/>
      </c>
    </row>
    <row r="315">
      <c r="A315" s="200" t="n">
        <v>46576</v>
      </c>
      <c r="B315" s="201" t="n">
        <v>11</v>
      </c>
      <c r="C315" s="201" t="inlineStr">
        <is>
          <t>Июл-27</t>
        </is>
      </c>
      <c r="D315" s="201" t="n">
        <v>4</v>
      </c>
      <c r="E315" s="201" t="inlineStr">
        <is>
          <t>Чт</t>
        </is>
      </c>
      <c r="F315" s="199" t="n">
        <v>0</v>
      </c>
      <c r="G315" s="201" t="str"/>
      <c r="H315" s="193" t="n">
        <v>0</v>
      </c>
      <c r="I315" s="201" t="str"/>
      <c r="J315" s="188">
        <f>1</f>
        <v/>
      </c>
      <c r="K315" s="188">
        <f>IF(AND(D315&lt;=5,F315=0),1,0)</f>
        <v/>
      </c>
      <c r="L315" s="188">
        <f>IF(F315=1,'01_ВВОД'!$D$23,CHOOSE(D315,'01_ВВОД'!$D$19,'01_ВВОД'!$D$19,'01_ВВОД'!$D$19,'01_ВВОД'!$D$19,'01_ВВОД'!$D$20,'01_ВВОД'!$D$21,'01_ВВОД'!$D$22))</f>
        <v/>
      </c>
      <c r="M315" s="188">
        <f>L315*IF(H315=1,'01_ВВОД'!$D$118,1)</f>
        <v/>
      </c>
      <c r="N315" s="188">
        <f>IF(K315=1,'01_ВВОД'!$D$26,0)</f>
        <v/>
      </c>
      <c r="O315" s="188">
        <f>IF(F315=1,'01_ВВОД'!$D$34,IF(D315&lt;=5,'01_ВВОД'!$D$32,'01_ВВОД'!$D$33))</f>
        <v/>
      </c>
      <c r="P315" s="188">
        <f>O315</f>
        <v/>
      </c>
      <c r="Q315" s="188">
        <f>'01_ВВОД'!$D$40</f>
        <v/>
      </c>
      <c r="R315" s="188">
        <f>'01_ВВОД'!$D$46</f>
        <v/>
      </c>
      <c r="S315" s="188">
        <f>H315</f>
        <v/>
      </c>
      <c r="T315" s="188">
        <f>IF(H315=1,M315+N315+P315+Q315,0)</f>
        <v/>
      </c>
      <c r="U315">
        <f>R315*'01_ВВОД'!$D$120</f>
        <v/>
      </c>
    </row>
    <row r="316">
      <c r="A316" s="200" t="n">
        <v>46577</v>
      </c>
      <c r="B316" s="201" t="n">
        <v>11</v>
      </c>
      <c r="C316" s="201" t="inlineStr">
        <is>
          <t>Июл-27</t>
        </is>
      </c>
      <c r="D316" s="201" t="n">
        <v>5</v>
      </c>
      <c r="E316" s="201" t="inlineStr">
        <is>
          <t>Пт</t>
        </is>
      </c>
      <c r="F316" s="199" t="n">
        <v>0</v>
      </c>
      <c r="G316" s="201" t="str"/>
      <c r="H316" s="193" t="n">
        <v>1</v>
      </c>
      <c r="I316" s="201" t="inlineStr">
        <is>
          <t>Пт–Вс</t>
        </is>
      </c>
      <c r="J316" s="188">
        <f>1</f>
        <v/>
      </c>
      <c r="K316" s="188">
        <f>IF(AND(D316&lt;=5,F316=0),1,0)</f>
        <v/>
      </c>
      <c r="L316" s="188">
        <f>IF(F316=1,'01_ВВОД'!$D$23,CHOOSE(D316,'01_ВВОД'!$D$19,'01_ВВОД'!$D$19,'01_ВВОД'!$D$19,'01_ВВОД'!$D$19,'01_ВВОД'!$D$20,'01_ВВОД'!$D$21,'01_ВВОД'!$D$22))</f>
        <v/>
      </c>
      <c r="M316" s="188">
        <f>L316*IF(H316=1,'01_ВВОД'!$D$118,1)</f>
        <v/>
      </c>
      <c r="N316" s="188">
        <f>IF(K316=1,'01_ВВОД'!$D$26,0)</f>
        <v/>
      </c>
      <c r="O316" s="188">
        <f>IF(F316=1,'01_ВВОД'!$D$34,IF(D316&lt;=5,'01_ВВОД'!$D$32,'01_ВВОД'!$D$33))</f>
        <v/>
      </c>
      <c r="P316" s="188">
        <f>O316</f>
        <v/>
      </c>
      <c r="Q316" s="188">
        <f>'01_ВВОД'!$D$40</f>
        <v/>
      </c>
      <c r="R316" s="188">
        <f>'01_ВВОД'!$D$46</f>
        <v/>
      </c>
      <c r="S316" s="188">
        <f>H316</f>
        <v/>
      </c>
      <c r="T316" s="188">
        <f>IF(H316=1,M316+N316+P316+Q316,0)</f>
        <v/>
      </c>
      <c r="U316">
        <f>R316*'01_ВВОД'!$D$120</f>
        <v/>
      </c>
    </row>
    <row r="317">
      <c r="A317" s="200" t="n">
        <v>46578</v>
      </c>
      <c r="B317" s="201" t="n">
        <v>11</v>
      </c>
      <c r="C317" s="201" t="inlineStr">
        <is>
          <t>Июл-27</t>
        </is>
      </c>
      <c r="D317" s="201" t="n">
        <v>6</v>
      </c>
      <c r="E317" s="201" t="inlineStr">
        <is>
          <t>Сб</t>
        </is>
      </c>
      <c r="F317" s="199" t="n">
        <v>0</v>
      </c>
      <c r="G317" s="201" t="str"/>
      <c r="H317" s="193" t="n">
        <v>0</v>
      </c>
      <c r="I317" s="201" t="str"/>
      <c r="J317" s="188">
        <f>1</f>
        <v/>
      </c>
      <c r="K317" s="188">
        <f>IF(AND(D317&lt;=5,F317=0),1,0)</f>
        <v/>
      </c>
      <c r="L317" s="188">
        <f>IF(F317=1,'01_ВВОД'!$D$23,CHOOSE(D317,'01_ВВОД'!$D$19,'01_ВВОД'!$D$19,'01_ВВОД'!$D$19,'01_ВВОД'!$D$19,'01_ВВОД'!$D$20,'01_ВВОД'!$D$21,'01_ВВОД'!$D$22))</f>
        <v/>
      </c>
      <c r="M317" s="188">
        <f>L317*IF(H317=1,'01_ВВОД'!$D$118,1)</f>
        <v/>
      </c>
      <c r="N317" s="188">
        <f>IF(K317=1,'01_ВВОД'!$D$26,0)</f>
        <v/>
      </c>
      <c r="O317" s="188">
        <f>IF(F317=1,'01_ВВОД'!$D$34,IF(D317&lt;=5,'01_ВВОД'!$D$32,'01_ВВОД'!$D$33))</f>
        <v/>
      </c>
      <c r="P317" s="188">
        <f>O317</f>
        <v/>
      </c>
      <c r="Q317" s="188">
        <f>'01_ВВОД'!$D$40</f>
        <v/>
      </c>
      <c r="R317" s="188">
        <f>'01_ВВОД'!$D$46</f>
        <v/>
      </c>
      <c r="S317" s="188">
        <f>H317</f>
        <v/>
      </c>
      <c r="T317" s="188">
        <f>IF(H317=1,M317+N317+P317+Q317,0)</f>
        <v/>
      </c>
      <c r="U317">
        <f>R317*'01_ВВОД'!$D$120</f>
        <v/>
      </c>
    </row>
    <row r="318">
      <c r="A318" s="200" t="n">
        <v>46579</v>
      </c>
      <c r="B318" s="201" t="n">
        <v>11</v>
      </c>
      <c r="C318" s="201" t="inlineStr">
        <is>
          <t>Июл-27</t>
        </is>
      </c>
      <c r="D318" s="201" t="n">
        <v>7</v>
      </c>
      <c r="E318" s="201" t="inlineStr">
        <is>
          <t>Вс</t>
        </is>
      </c>
      <c r="F318" s="199" t="n">
        <v>0</v>
      </c>
      <c r="G318" s="201" t="str"/>
      <c r="H318" s="193" t="n">
        <v>1</v>
      </c>
      <c r="I318" s="201" t="inlineStr">
        <is>
          <t>Пт–Вс</t>
        </is>
      </c>
      <c r="J318" s="188">
        <f>1</f>
        <v/>
      </c>
      <c r="K318" s="188">
        <f>IF(AND(D318&lt;=5,F318=0),1,0)</f>
        <v/>
      </c>
      <c r="L318" s="188">
        <f>IF(F318=1,'01_ВВОД'!$D$23,CHOOSE(D318,'01_ВВОД'!$D$19,'01_ВВОД'!$D$19,'01_ВВОД'!$D$19,'01_ВВОД'!$D$19,'01_ВВОД'!$D$20,'01_ВВОД'!$D$21,'01_ВВОД'!$D$22))</f>
        <v/>
      </c>
      <c r="M318" s="188">
        <f>L318*IF(H318=1,'01_ВВОД'!$D$118,1)</f>
        <v/>
      </c>
      <c r="N318" s="188">
        <f>IF(K318=1,'01_ВВОД'!$D$26,0)</f>
        <v/>
      </c>
      <c r="O318" s="188">
        <f>IF(F318=1,'01_ВВОД'!$D$34,IF(D318&lt;=5,'01_ВВОД'!$D$32,'01_ВВОД'!$D$33))</f>
        <v/>
      </c>
      <c r="P318" s="188">
        <f>O318</f>
        <v/>
      </c>
      <c r="Q318" s="188">
        <f>'01_ВВОД'!$D$40</f>
        <v/>
      </c>
      <c r="R318" s="188">
        <f>'01_ВВОД'!$D$46</f>
        <v/>
      </c>
      <c r="S318" s="188">
        <f>H318</f>
        <v/>
      </c>
      <c r="T318" s="188">
        <f>IF(H318=1,M318+N318+P318+Q318,0)</f>
        <v/>
      </c>
      <c r="U318">
        <f>R318*'01_ВВОД'!$D$120</f>
        <v/>
      </c>
    </row>
    <row r="319">
      <c r="A319" s="200" t="n">
        <v>46580</v>
      </c>
      <c r="B319" s="201" t="n">
        <v>11</v>
      </c>
      <c r="C319" s="201" t="inlineStr">
        <is>
          <t>Июл-27</t>
        </is>
      </c>
      <c r="D319" s="201" t="n">
        <v>1</v>
      </c>
      <c r="E319" s="201" t="inlineStr">
        <is>
          <t>Пн</t>
        </is>
      </c>
      <c r="F319" s="199" t="n">
        <v>0</v>
      </c>
      <c r="G319" s="201" t="str"/>
      <c r="H319" s="193" t="n">
        <v>0</v>
      </c>
      <c r="I319" s="201" t="str"/>
      <c r="J319" s="188">
        <f>1</f>
        <v/>
      </c>
      <c r="K319" s="188">
        <f>IF(AND(D319&lt;=5,F319=0),1,0)</f>
        <v/>
      </c>
      <c r="L319" s="188">
        <f>IF(F319=1,'01_ВВОД'!$D$23,CHOOSE(D319,'01_ВВОД'!$D$19,'01_ВВОД'!$D$19,'01_ВВОД'!$D$19,'01_ВВОД'!$D$19,'01_ВВОД'!$D$20,'01_ВВОД'!$D$21,'01_ВВОД'!$D$22))</f>
        <v/>
      </c>
      <c r="M319" s="188">
        <f>L319*IF(H319=1,'01_ВВОД'!$D$118,1)</f>
        <v/>
      </c>
      <c r="N319" s="188">
        <f>IF(K319=1,'01_ВВОД'!$D$26,0)</f>
        <v/>
      </c>
      <c r="O319" s="188">
        <f>IF(F319=1,'01_ВВОД'!$D$34,IF(D319&lt;=5,'01_ВВОД'!$D$32,'01_ВВОД'!$D$33))</f>
        <v/>
      </c>
      <c r="P319" s="188">
        <f>O319</f>
        <v/>
      </c>
      <c r="Q319" s="188">
        <f>'01_ВВОД'!$D$40</f>
        <v/>
      </c>
      <c r="R319" s="188">
        <f>'01_ВВОД'!$D$46</f>
        <v/>
      </c>
      <c r="S319" s="188">
        <f>H319</f>
        <v/>
      </c>
      <c r="T319" s="188">
        <f>IF(H319=1,M319+N319+P319+Q319,0)</f>
        <v/>
      </c>
      <c r="U319">
        <f>R319*'01_ВВОД'!$D$120</f>
        <v/>
      </c>
    </row>
    <row r="320">
      <c r="A320" s="200" t="n">
        <v>46581</v>
      </c>
      <c r="B320" s="201" t="n">
        <v>11</v>
      </c>
      <c r="C320" s="201" t="inlineStr">
        <is>
          <t>Июл-27</t>
        </is>
      </c>
      <c r="D320" s="201" t="n">
        <v>2</v>
      </c>
      <c r="E320" s="201" t="inlineStr">
        <is>
          <t>Вт</t>
        </is>
      </c>
      <c r="F320" s="199" t="n">
        <v>0</v>
      </c>
      <c r="G320" s="201" t="str"/>
      <c r="H320" s="193" t="n">
        <v>0</v>
      </c>
      <c r="I320" s="201" t="str"/>
      <c r="J320" s="188">
        <f>1</f>
        <v/>
      </c>
      <c r="K320" s="188">
        <f>IF(AND(D320&lt;=5,F320=0),1,0)</f>
        <v/>
      </c>
      <c r="L320" s="188">
        <f>IF(F320=1,'01_ВВОД'!$D$23,CHOOSE(D320,'01_ВВОД'!$D$19,'01_ВВОД'!$D$19,'01_ВВОД'!$D$19,'01_ВВОД'!$D$19,'01_ВВОД'!$D$20,'01_ВВОД'!$D$21,'01_ВВОД'!$D$22))</f>
        <v/>
      </c>
      <c r="M320" s="188">
        <f>L320*IF(H320=1,'01_ВВОД'!$D$118,1)</f>
        <v/>
      </c>
      <c r="N320" s="188">
        <f>IF(K320=1,'01_ВВОД'!$D$26,0)</f>
        <v/>
      </c>
      <c r="O320" s="188">
        <f>IF(F320=1,'01_ВВОД'!$D$34,IF(D320&lt;=5,'01_ВВОД'!$D$32,'01_ВВОД'!$D$33))</f>
        <v/>
      </c>
      <c r="P320" s="188">
        <f>O320</f>
        <v/>
      </c>
      <c r="Q320" s="188">
        <f>'01_ВВОД'!$D$40</f>
        <v/>
      </c>
      <c r="R320" s="188">
        <f>'01_ВВОД'!$D$46</f>
        <v/>
      </c>
      <c r="S320" s="188">
        <f>H320</f>
        <v/>
      </c>
      <c r="T320" s="188">
        <f>IF(H320=1,M320+N320+P320+Q320,0)</f>
        <v/>
      </c>
      <c r="U320">
        <f>R320*'01_ВВОД'!$D$120</f>
        <v/>
      </c>
    </row>
    <row r="321">
      <c r="A321" s="200" t="n">
        <v>46582</v>
      </c>
      <c r="B321" s="201" t="n">
        <v>11</v>
      </c>
      <c r="C321" s="201" t="inlineStr">
        <is>
          <t>Июл-27</t>
        </is>
      </c>
      <c r="D321" s="201" t="n">
        <v>3</v>
      </c>
      <c r="E321" s="201" t="inlineStr">
        <is>
          <t>Ср</t>
        </is>
      </c>
      <c r="F321" s="199" t="n">
        <v>0</v>
      </c>
      <c r="G321" s="201" t="str"/>
      <c r="H321" s="193" t="n">
        <v>0</v>
      </c>
      <c r="I321" s="201" t="str"/>
      <c r="J321" s="188">
        <f>1</f>
        <v/>
      </c>
      <c r="K321" s="188">
        <f>IF(AND(D321&lt;=5,F321=0),1,0)</f>
        <v/>
      </c>
      <c r="L321" s="188">
        <f>IF(F321=1,'01_ВВОД'!$D$23,CHOOSE(D321,'01_ВВОД'!$D$19,'01_ВВОД'!$D$19,'01_ВВОД'!$D$19,'01_ВВОД'!$D$19,'01_ВВОД'!$D$20,'01_ВВОД'!$D$21,'01_ВВОД'!$D$22))</f>
        <v/>
      </c>
      <c r="M321" s="188">
        <f>L321*IF(H321=1,'01_ВВОД'!$D$118,1)</f>
        <v/>
      </c>
      <c r="N321" s="188">
        <f>IF(K321=1,'01_ВВОД'!$D$26,0)</f>
        <v/>
      </c>
      <c r="O321" s="188">
        <f>IF(F321=1,'01_ВВОД'!$D$34,IF(D321&lt;=5,'01_ВВОД'!$D$32,'01_ВВОД'!$D$33))</f>
        <v/>
      </c>
      <c r="P321" s="188">
        <f>O321</f>
        <v/>
      </c>
      <c r="Q321" s="188">
        <f>'01_ВВОД'!$D$40</f>
        <v/>
      </c>
      <c r="R321" s="188">
        <f>'01_ВВОД'!$D$46</f>
        <v/>
      </c>
      <c r="S321" s="188">
        <f>H321</f>
        <v/>
      </c>
      <c r="T321" s="188">
        <f>IF(H321=1,M321+N321+P321+Q321,0)</f>
        <v/>
      </c>
      <c r="U321">
        <f>R321*'01_ВВОД'!$D$120</f>
        <v/>
      </c>
    </row>
    <row r="322">
      <c r="A322" s="200" t="n">
        <v>46583</v>
      </c>
      <c r="B322" s="201" t="n">
        <v>11</v>
      </c>
      <c r="C322" s="201" t="inlineStr">
        <is>
          <t>Июл-27</t>
        </is>
      </c>
      <c r="D322" s="201" t="n">
        <v>4</v>
      </c>
      <c r="E322" s="201" t="inlineStr">
        <is>
          <t>Чт</t>
        </is>
      </c>
      <c r="F322" s="199" t="n">
        <v>0</v>
      </c>
      <c r="G322" s="201" t="str"/>
      <c r="H322" s="193" t="n">
        <v>0</v>
      </c>
      <c r="I322" s="201" t="str"/>
      <c r="J322" s="188">
        <f>1</f>
        <v/>
      </c>
      <c r="K322" s="188">
        <f>IF(AND(D322&lt;=5,F322=0),1,0)</f>
        <v/>
      </c>
      <c r="L322" s="188">
        <f>IF(F322=1,'01_ВВОД'!$D$23,CHOOSE(D322,'01_ВВОД'!$D$19,'01_ВВОД'!$D$19,'01_ВВОД'!$D$19,'01_ВВОД'!$D$19,'01_ВВОД'!$D$20,'01_ВВОД'!$D$21,'01_ВВОД'!$D$22))</f>
        <v/>
      </c>
      <c r="M322" s="188">
        <f>L322*IF(H322=1,'01_ВВОД'!$D$118,1)</f>
        <v/>
      </c>
      <c r="N322" s="188">
        <f>IF(K322=1,'01_ВВОД'!$D$26,0)</f>
        <v/>
      </c>
      <c r="O322" s="188">
        <f>IF(F322=1,'01_ВВОД'!$D$34,IF(D322&lt;=5,'01_ВВОД'!$D$32,'01_ВВОД'!$D$33))</f>
        <v/>
      </c>
      <c r="P322" s="188">
        <f>O322</f>
        <v/>
      </c>
      <c r="Q322" s="188">
        <f>'01_ВВОД'!$D$40</f>
        <v/>
      </c>
      <c r="R322" s="188">
        <f>'01_ВВОД'!$D$46</f>
        <v/>
      </c>
      <c r="S322" s="188">
        <f>H322</f>
        <v/>
      </c>
      <c r="T322" s="188">
        <f>IF(H322=1,M322+N322+P322+Q322,0)</f>
        <v/>
      </c>
      <c r="U322">
        <f>R322*'01_ВВОД'!$D$120</f>
        <v/>
      </c>
    </row>
    <row r="323">
      <c r="A323" s="200" t="n">
        <v>46584</v>
      </c>
      <c r="B323" s="201" t="n">
        <v>11</v>
      </c>
      <c r="C323" s="201" t="inlineStr">
        <is>
          <t>Июл-27</t>
        </is>
      </c>
      <c r="D323" s="201" t="n">
        <v>5</v>
      </c>
      <c r="E323" s="201" t="inlineStr">
        <is>
          <t>Пт</t>
        </is>
      </c>
      <c r="F323" s="199" t="n">
        <v>0</v>
      </c>
      <c r="G323" s="201" t="str"/>
      <c r="H323" s="193" t="n">
        <v>0</v>
      </c>
      <c r="I323" s="201" t="str"/>
      <c r="J323" s="188">
        <f>1</f>
        <v/>
      </c>
      <c r="K323" s="188">
        <f>IF(AND(D323&lt;=5,F323=0),1,0)</f>
        <v/>
      </c>
      <c r="L323" s="188">
        <f>IF(F323=1,'01_ВВОД'!$D$23,CHOOSE(D323,'01_ВВОД'!$D$19,'01_ВВОД'!$D$19,'01_ВВОД'!$D$19,'01_ВВОД'!$D$19,'01_ВВОД'!$D$20,'01_ВВОД'!$D$21,'01_ВВОД'!$D$22))</f>
        <v/>
      </c>
      <c r="M323" s="188">
        <f>L323*IF(H323=1,'01_ВВОД'!$D$118,1)</f>
        <v/>
      </c>
      <c r="N323" s="188">
        <f>IF(K323=1,'01_ВВОД'!$D$26,0)</f>
        <v/>
      </c>
      <c r="O323" s="188">
        <f>IF(F323=1,'01_ВВОД'!$D$34,IF(D323&lt;=5,'01_ВВОД'!$D$32,'01_ВВОД'!$D$33))</f>
        <v/>
      </c>
      <c r="P323" s="188">
        <f>O323</f>
        <v/>
      </c>
      <c r="Q323" s="188">
        <f>'01_ВВОД'!$D$40</f>
        <v/>
      </c>
      <c r="R323" s="188">
        <f>'01_ВВОД'!$D$46</f>
        <v/>
      </c>
      <c r="S323" s="188">
        <f>H323</f>
        <v/>
      </c>
      <c r="T323" s="188">
        <f>IF(H323=1,M323+N323+P323+Q323,0)</f>
        <v/>
      </c>
      <c r="U323">
        <f>R323*'01_ВВОД'!$D$120</f>
        <v/>
      </c>
    </row>
    <row r="324">
      <c r="A324" s="200" t="n">
        <v>46585</v>
      </c>
      <c r="B324" s="201" t="n">
        <v>11</v>
      </c>
      <c r="C324" s="201" t="inlineStr">
        <is>
          <t>Июл-27</t>
        </is>
      </c>
      <c r="D324" s="201" t="n">
        <v>6</v>
      </c>
      <c r="E324" s="201" t="inlineStr">
        <is>
          <t>Сб</t>
        </is>
      </c>
      <c r="F324" s="199" t="n">
        <v>0</v>
      </c>
      <c r="G324" s="201" t="str"/>
      <c r="H324" s="193" t="n">
        <v>0</v>
      </c>
      <c r="I324" s="201" t="str"/>
      <c r="J324" s="188">
        <f>1</f>
        <v/>
      </c>
      <c r="K324" s="188">
        <f>IF(AND(D324&lt;=5,F324=0),1,0)</f>
        <v/>
      </c>
      <c r="L324" s="188">
        <f>IF(F324=1,'01_ВВОД'!$D$23,CHOOSE(D324,'01_ВВОД'!$D$19,'01_ВВОД'!$D$19,'01_ВВОД'!$D$19,'01_ВВОД'!$D$19,'01_ВВОД'!$D$20,'01_ВВОД'!$D$21,'01_ВВОД'!$D$22))</f>
        <v/>
      </c>
      <c r="M324" s="188">
        <f>L324*IF(H324=1,'01_ВВОД'!$D$118,1)</f>
        <v/>
      </c>
      <c r="N324" s="188">
        <f>IF(K324=1,'01_ВВОД'!$D$26,0)</f>
        <v/>
      </c>
      <c r="O324" s="188">
        <f>IF(F324=1,'01_ВВОД'!$D$34,IF(D324&lt;=5,'01_ВВОД'!$D$32,'01_ВВОД'!$D$33))</f>
        <v/>
      </c>
      <c r="P324" s="188">
        <f>O324</f>
        <v/>
      </c>
      <c r="Q324" s="188">
        <f>'01_ВВОД'!$D$40</f>
        <v/>
      </c>
      <c r="R324" s="188">
        <f>'01_ВВОД'!$D$46</f>
        <v/>
      </c>
      <c r="S324" s="188">
        <f>H324</f>
        <v/>
      </c>
      <c r="T324" s="188">
        <f>IF(H324=1,M324+N324+P324+Q324,0)</f>
        <v/>
      </c>
      <c r="U324">
        <f>R324*'01_ВВОД'!$D$120</f>
        <v/>
      </c>
    </row>
    <row r="325">
      <c r="A325" s="200" t="n">
        <v>46586</v>
      </c>
      <c r="B325" s="201" t="n">
        <v>11</v>
      </c>
      <c r="C325" s="201" t="inlineStr">
        <is>
          <t>Июл-27</t>
        </is>
      </c>
      <c r="D325" s="201" t="n">
        <v>7</v>
      </c>
      <c r="E325" s="201" t="inlineStr">
        <is>
          <t>Вс</t>
        </is>
      </c>
      <c r="F325" s="199" t="n">
        <v>0</v>
      </c>
      <c r="G325" s="201" t="str"/>
      <c r="H325" s="193" t="n">
        <v>1</v>
      </c>
      <c r="I325" s="201" t="inlineStr">
        <is>
          <t>Пт–Вс</t>
        </is>
      </c>
      <c r="J325" s="188">
        <f>1</f>
        <v/>
      </c>
      <c r="K325" s="188">
        <f>IF(AND(D325&lt;=5,F325=0),1,0)</f>
        <v/>
      </c>
      <c r="L325" s="188">
        <f>IF(F325=1,'01_ВВОД'!$D$23,CHOOSE(D325,'01_ВВОД'!$D$19,'01_ВВОД'!$D$19,'01_ВВОД'!$D$19,'01_ВВОД'!$D$19,'01_ВВОД'!$D$20,'01_ВВОД'!$D$21,'01_ВВОД'!$D$22))</f>
        <v/>
      </c>
      <c r="M325" s="188">
        <f>L325*IF(H325=1,'01_ВВОД'!$D$118,1)</f>
        <v/>
      </c>
      <c r="N325" s="188">
        <f>IF(K325=1,'01_ВВОД'!$D$26,0)</f>
        <v/>
      </c>
      <c r="O325" s="188">
        <f>IF(F325=1,'01_ВВОД'!$D$34,IF(D325&lt;=5,'01_ВВОД'!$D$32,'01_ВВОД'!$D$33))</f>
        <v/>
      </c>
      <c r="P325" s="188">
        <f>O325</f>
        <v/>
      </c>
      <c r="Q325" s="188">
        <f>'01_ВВОД'!$D$40</f>
        <v/>
      </c>
      <c r="R325" s="188">
        <f>'01_ВВОД'!$D$46</f>
        <v/>
      </c>
      <c r="S325" s="188">
        <f>H325</f>
        <v/>
      </c>
      <c r="T325" s="188">
        <f>IF(H325=1,M325+N325+P325+Q325,0)</f>
        <v/>
      </c>
      <c r="U325">
        <f>R325*'01_ВВОД'!$D$120</f>
        <v/>
      </c>
    </row>
    <row r="326">
      <c r="A326" s="200" t="n">
        <v>46587</v>
      </c>
      <c r="B326" s="201" t="n">
        <v>11</v>
      </c>
      <c r="C326" s="201" t="inlineStr">
        <is>
          <t>Июл-27</t>
        </is>
      </c>
      <c r="D326" s="201" t="n">
        <v>1</v>
      </c>
      <c r="E326" s="201" t="inlineStr">
        <is>
          <t>Пн</t>
        </is>
      </c>
      <c r="F326" s="199" t="n">
        <v>0</v>
      </c>
      <c r="G326" s="201" t="str"/>
      <c r="H326" s="193" t="n">
        <v>0</v>
      </c>
      <c r="I326" s="201" t="str"/>
      <c r="J326" s="188">
        <f>1</f>
        <v/>
      </c>
      <c r="K326" s="188">
        <f>IF(AND(D326&lt;=5,F326=0),1,0)</f>
        <v/>
      </c>
      <c r="L326" s="188">
        <f>IF(F326=1,'01_ВВОД'!$D$23,CHOOSE(D326,'01_ВВОД'!$D$19,'01_ВВОД'!$D$19,'01_ВВОД'!$D$19,'01_ВВОД'!$D$19,'01_ВВОД'!$D$20,'01_ВВОД'!$D$21,'01_ВВОД'!$D$22))</f>
        <v/>
      </c>
      <c r="M326" s="188">
        <f>L326*IF(H326=1,'01_ВВОД'!$D$118,1)</f>
        <v/>
      </c>
      <c r="N326" s="188">
        <f>IF(K326=1,'01_ВВОД'!$D$26,0)</f>
        <v/>
      </c>
      <c r="O326" s="188">
        <f>IF(F326=1,'01_ВВОД'!$D$34,IF(D326&lt;=5,'01_ВВОД'!$D$32,'01_ВВОД'!$D$33))</f>
        <v/>
      </c>
      <c r="P326" s="188">
        <f>O326</f>
        <v/>
      </c>
      <c r="Q326" s="188">
        <f>'01_ВВОД'!$D$40</f>
        <v/>
      </c>
      <c r="R326" s="188">
        <f>'01_ВВОД'!$D$46</f>
        <v/>
      </c>
      <c r="S326" s="188">
        <f>H326</f>
        <v/>
      </c>
      <c r="T326" s="188">
        <f>IF(H326=1,M326+N326+P326+Q326,0)</f>
        <v/>
      </c>
      <c r="U326">
        <f>R326*'01_ВВОД'!$D$120</f>
        <v/>
      </c>
    </row>
    <row r="327">
      <c r="A327" s="200" t="n">
        <v>46588</v>
      </c>
      <c r="B327" s="201" t="n">
        <v>11</v>
      </c>
      <c r="C327" s="201" t="inlineStr">
        <is>
          <t>Июл-27</t>
        </is>
      </c>
      <c r="D327" s="201" t="n">
        <v>2</v>
      </c>
      <c r="E327" s="201" t="inlineStr">
        <is>
          <t>Вт</t>
        </is>
      </c>
      <c r="F327" s="199" t="n">
        <v>0</v>
      </c>
      <c r="G327" s="201" t="str"/>
      <c r="H327" s="193" t="n">
        <v>0</v>
      </c>
      <c r="I327" s="201" t="str"/>
      <c r="J327" s="188">
        <f>1</f>
        <v/>
      </c>
      <c r="K327" s="188">
        <f>IF(AND(D327&lt;=5,F327=0),1,0)</f>
        <v/>
      </c>
      <c r="L327" s="188">
        <f>IF(F327=1,'01_ВВОД'!$D$23,CHOOSE(D327,'01_ВВОД'!$D$19,'01_ВВОД'!$D$19,'01_ВВОД'!$D$19,'01_ВВОД'!$D$19,'01_ВВОД'!$D$20,'01_ВВОД'!$D$21,'01_ВВОД'!$D$22))</f>
        <v/>
      </c>
      <c r="M327" s="188">
        <f>L327*IF(H327=1,'01_ВВОД'!$D$118,1)</f>
        <v/>
      </c>
      <c r="N327" s="188">
        <f>IF(K327=1,'01_ВВОД'!$D$26,0)</f>
        <v/>
      </c>
      <c r="O327" s="188">
        <f>IF(F327=1,'01_ВВОД'!$D$34,IF(D327&lt;=5,'01_ВВОД'!$D$32,'01_ВВОД'!$D$33))</f>
        <v/>
      </c>
      <c r="P327" s="188">
        <f>O327</f>
        <v/>
      </c>
      <c r="Q327" s="188">
        <f>'01_ВВОД'!$D$40</f>
        <v/>
      </c>
      <c r="R327" s="188">
        <f>'01_ВВОД'!$D$46</f>
        <v/>
      </c>
      <c r="S327" s="188">
        <f>H327</f>
        <v/>
      </c>
      <c r="T327" s="188">
        <f>IF(H327=1,M327+N327+P327+Q327,0)</f>
        <v/>
      </c>
      <c r="U327">
        <f>R327*'01_ВВОД'!$D$120</f>
        <v/>
      </c>
    </row>
    <row r="328">
      <c r="A328" s="200" t="n">
        <v>46589</v>
      </c>
      <c r="B328" s="201" t="n">
        <v>11</v>
      </c>
      <c r="C328" s="201" t="inlineStr">
        <is>
          <t>Июл-27</t>
        </is>
      </c>
      <c r="D328" s="201" t="n">
        <v>3</v>
      </c>
      <c r="E328" s="201" t="inlineStr">
        <is>
          <t>Ср</t>
        </is>
      </c>
      <c r="F328" s="199" t="n">
        <v>0</v>
      </c>
      <c r="G328" s="201" t="str"/>
      <c r="H328" s="193" t="n">
        <v>0</v>
      </c>
      <c r="I328" s="201" t="str"/>
      <c r="J328" s="188">
        <f>1</f>
        <v/>
      </c>
      <c r="K328" s="188">
        <f>IF(AND(D328&lt;=5,F328=0),1,0)</f>
        <v/>
      </c>
      <c r="L328" s="188">
        <f>IF(F328=1,'01_ВВОД'!$D$23,CHOOSE(D328,'01_ВВОД'!$D$19,'01_ВВОД'!$D$19,'01_ВВОД'!$D$19,'01_ВВОД'!$D$19,'01_ВВОД'!$D$20,'01_ВВОД'!$D$21,'01_ВВОД'!$D$22))</f>
        <v/>
      </c>
      <c r="M328" s="188">
        <f>L328*IF(H328=1,'01_ВВОД'!$D$118,1)</f>
        <v/>
      </c>
      <c r="N328" s="188">
        <f>IF(K328=1,'01_ВВОД'!$D$26,0)</f>
        <v/>
      </c>
      <c r="O328" s="188">
        <f>IF(F328=1,'01_ВВОД'!$D$34,IF(D328&lt;=5,'01_ВВОД'!$D$32,'01_ВВОД'!$D$33))</f>
        <v/>
      </c>
      <c r="P328" s="188">
        <f>O328</f>
        <v/>
      </c>
      <c r="Q328" s="188">
        <f>'01_ВВОД'!$D$40</f>
        <v/>
      </c>
      <c r="R328" s="188">
        <f>'01_ВВОД'!$D$46</f>
        <v/>
      </c>
      <c r="S328" s="188">
        <f>H328</f>
        <v/>
      </c>
      <c r="T328" s="188">
        <f>IF(H328=1,M328+N328+P328+Q328,0)</f>
        <v/>
      </c>
      <c r="U328">
        <f>R328*'01_ВВОД'!$D$120</f>
        <v/>
      </c>
    </row>
    <row r="329">
      <c r="A329" s="200" t="n">
        <v>46590</v>
      </c>
      <c r="B329" s="201" t="n">
        <v>11</v>
      </c>
      <c r="C329" s="201" t="inlineStr">
        <is>
          <t>Июл-27</t>
        </is>
      </c>
      <c r="D329" s="201" t="n">
        <v>4</v>
      </c>
      <c r="E329" s="201" t="inlineStr">
        <is>
          <t>Чт</t>
        </is>
      </c>
      <c r="F329" s="199" t="n">
        <v>0</v>
      </c>
      <c r="G329" s="201" t="str"/>
      <c r="H329" s="193" t="n">
        <v>0</v>
      </c>
      <c r="I329" s="201" t="str"/>
      <c r="J329" s="188">
        <f>1</f>
        <v/>
      </c>
      <c r="K329" s="188">
        <f>IF(AND(D329&lt;=5,F329=0),1,0)</f>
        <v/>
      </c>
      <c r="L329" s="188">
        <f>IF(F329=1,'01_ВВОД'!$D$23,CHOOSE(D329,'01_ВВОД'!$D$19,'01_ВВОД'!$D$19,'01_ВВОД'!$D$19,'01_ВВОД'!$D$19,'01_ВВОД'!$D$20,'01_ВВОД'!$D$21,'01_ВВОД'!$D$22))</f>
        <v/>
      </c>
      <c r="M329" s="188">
        <f>L329*IF(H329=1,'01_ВВОД'!$D$118,1)</f>
        <v/>
      </c>
      <c r="N329" s="188">
        <f>IF(K329=1,'01_ВВОД'!$D$26,0)</f>
        <v/>
      </c>
      <c r="O329" s="188">
        <f>IF(F329=1,'01_ВВОД'!$D$34,IF(D329&lt;=5,'01_ВВОД'!$D$32,'01_ВВОД'!$D$33))</f>
        <v/>
      </c>
      <c r="P329" s="188">
        <f>O329</f>
        <v/>
      </c>
      <c r="Q329" s="188">
        <f>'01_ВВОД'!$D$40</f>
        <v/>
      </c>
      <c r="R329" s="188">
        <f>'01_ВВОД'!$D$46</f>
        <v/>
      </c>
      <c r="S329" s="188">
        <f>H329</f>
        <v/>
      </c>
      <c r="T329" s="188">
        <f>IF(H329=1,M329+N329+P329+Q329,0)</f>
        <v/>
      </c>
      <c r="U329">
        <f>R329*'01_ВВОД'!$D$120</f>
        <v/>
      </c>
    </row>
    <row r="330">
      <c r="A330" s="200" t="n">
        <v>46591</v>
      </c>
      <c r="B330" s="201" t="n">
        <v>11</v>
      </c>
      <c r="C330" s="201" t="inlineStr">
        <is>
          <t>Июл-27</t>
        </is>
      </c>
      <c r="D330" s="201" t="n">
        <v>5</v>
      </c>
      <c r="E330" s="201" t="inlineStr">
        <is>
          <t>Пт</t>
        </is>
      </c>
      <c r="F330" s="199" t="n">
        <v>0</v>
      </c>
      <c r="G330" s="201" t="str"/>
      <c r="H330" s="193" t="n">
        <v>0</v>
      </c>
      <c r="I330" s="201" t="str"/>
      <c r="J330" s="188">
        <f>1</f>
        <v/>
      </c>
      <c r="K330" s="188">
        <f>IF(AND(D330&lt;=5,F330=0),1,0)</f>
        <v/>
      </c>
      <c r="L330" s="188">
        <f>IF(F330=1,'01_ВВОД'!$D$23,CHOOSE(D330,'01_ВВОД'!$D$19,'01_ВВОД'!$D$19,'01_ВВОД'!$D$19,'01_ВВОД'!$D$19,'01_ВВОД'!$D$20,'01_ВВОД'!$D$21,'01_ВВОД'!$D$22))</f>
        <v/>
      </c>
      <c r="M330" s="188">
        <f>L330*IF(H330=1,'01_ВВОД'!$D$118,1)</f>
        <v/>
      </c>
      <c r="N330" s="188">
        <f>IF(K330=1,'01_ВВОД'!$D$26,0)</f>
        <v/>
      </c>
      <c r="O330" s="188">
        <f>IF(F330=1,'01_ВВОД'!$D$34,IF(D330&lt;=5,'01_ВВОД'!$D$32,'01_ВВОД'!$D$33))</f>
        <v/>
      </c>
      <c r="P330" s="188">
        <f>O330</f>
        <v/>
      </c>
      <c r="Q330" s="188">
        <f>'01_ВВОД'!$D$40</f>
        <v/>
      </c>
      <c r="R330" s="188">
        <f>'01_ВВОД'!$D$46</f>
        <v/>
      </c>
      <c r="S330" s="188">
        <f>H330</f>
        <v/>
      </c>
      <c r="T330" s="188">
        <f>IF(H330=1,M330+N330+P330+Q330,0)</f>
        <v/>
      </c>
      <c r="U330">
        <f>R330*'01_ВВОД'!$D$120</f>
        <v/>
      </c>
    </row>
    <row r="331">
      <c r="A331" s="200" t="n">
        <v>46592</v>
      </c>
      <c r="B331" s="201" t="n">
        <v>11</v>
      </c>
      <c r="C331" s="201" t="inlineStr">
        <is>
          <t>Июл-27</t>
        </is>
      </c>
      <c r="D331" s="201" t="n">
        <v>6</v>
      </c>
      <c r="E331" s="201" t="inlineStr">
        <is>
          <t>Сб</t>
        </is>
      </c>
      <c r="F331" s="199" t="n">
        <v>0</v>
      </c>
      <c r="G331" s="201" t="str"/>
      <c r="H331" s="193" t="n">
        <v>0</v>
      </c>
      <c r="I331" s="201" t="str"/>
      <c r="J331" s="188">
        <f>1</f>
        <v/>
      </c>
      <c r="K331" s="188">
        <f>IF(AND(D331&lt;=5,F331=0),1,0)</f>
        <v/>
      </c>
      <c r="L331" s="188">
        <f>IF(F331=1,'01_ВВОД'!$D$23,CHOOSE(D331,'01_ВВОД'!$D$19,'01_ВВОД'!$D$19,'01_ВВОД'!$D$19,'01_ВВОД'!$D$19,'01_ВВОД'!$D$20,'01_ВВОД'!$D$21,'01_ВВОД'!$D$22))</f>
        <v/>
      </c>
      <c r="M331" s="188">
        <f>L331*IF(H331=1,'01_ВВОД'!$D$118,1)</f>
        <v/>
      </c>
      <c r="N331" s="188">
        <f>IF(K331=1,'01_ВВОД'!$D$26,0)</f>
        <v/>
      </c>
      <c r="O331" s="188">
        <f>IF(F331=1,'01_ВВОД'!$D$34,IF(D331&lt;=5,'01_ВВОД'!$D$32,'01_ВВОД'!$D$33))</f>
        <v/>
      </c>
      <c r="P331" s="188">
        <f>O331</f>
        <v/>
      </c>
      <c r="Q331" s="188">
        <f>'01_ВВОД'!$D$40</f>
        <v/>
      </c>
      <c r="R331" s="188">
        <f>'01_ВВОД'!$D$46</f>
        <v/>
      </c>
      <c r="S331" s="188">
        <f>H331</f>
        <v/>
      </c>
      <c r="T331" s="188">
        <f>IF(H331=1,M331+N331+P331+Q331,0)</f>
        <v/>
      </c>
      <c r="U331">
        <f>R331*'01_ВВОД'!$D$120</f>
        <v/>
      </c>
    </row>
    <row r="332">
      <c r="A332" s="200" t="n">
        <v>46593</v>
      </c>
      <c r="B332" s="201" t="n">
        <v>11</v>
      </c>
      <c r="C332" s="201" t="inlineStr">
        <is>
          <t>Июл-27</t>
        </is>
      </c>
      <c r="D332" s="201" t="n">
        <v>7</v>
      </c>
      <c r="E332" s="201" t="inlineStr">
        <is>
          <t>Вс</t>
        </is>
      </c>
      <c r="F332" s="199" t="n">
        <v>0</v>
      </c>
      <c r="G332" s="201" t="str"/>
      <c r="H332" s="193" t="n">
        <v>0</v>
      </c>
      <c r="I332" s="201" t="str"/>
      <c r="J332" s="188">
        <f>1</f>
        <v/>
      </c>
      <c r="K332" s="188">
        <f>IF(AND(D332&lt;=5,F332=0),1,0)</f>
        <v/>
      </c>
      <c r="L332" s="188">
        <f>IF(F332=1,'01_ВВОД'!$D$23,CHOOSE(D332,'01_ВВОД'!$D$19,'01_ВВОД'!$D$19,'01_ВВОД'!$D$19,'01_ВВОД'!$D$19,'01_ВВОД'!$D$20,'01_ВВОД'!$D$21,'01_ВВОД'!$D$22))</f>
        <v/>
      </c>
      <c r="M332" s="188">
        <f>L332*IF(H332=1,'01_ВВОД'!$D$118,1)</f>
        <v/>
      </c>
      <c r="N332" s="188">
        <f>IF(K332=1,'01_ВВОД'!$D$26,0)</f>
        <v/>
      </c>
      <c r="O332" s="188">
        <f>IF(F332=1,'01_ВВОД'!$D$34,IF(D332&lt;=5,'01_ВВОД'!$D$32,'01_ВВОД'!$D$33))</f>
        <v/>
      </c>
      <c r="P332" s="188">
        <f>O332</f>
        <v/>
      </c>
      <c r="Q332" s="188">
        <f>'01_ВВОД'!$D$40</f>
        <v/>
      </c>
      <c r="R332" s="188">
        <f>'01_ВВОД'!$D$46</f>
        <v/>
      </c>
      <c r="S332" s="188">
        <f>H332</f>
        <v/>
      </c>
      <c r="T332" s="188">
        <f>IF(H332=1,M332+N332+P332+Q332,0)</f>
        <v/>
      </c>
      <c r="U332">
        <f>R332*'01_ВВОД'!$D$120</f>
        <v/>
      </c>
    </row>
    <row r="333">
      <c r="A333" s="200" t="n">
        <v>46594</v>
      </c>
      <c r="B333" s="201" t="n">
        <v>11</v>
      </c>
      <c r="C333" s="201" t="inlineStr">
        <is>
          <t>Июл-27</t>
        </is>
      </c>
      <c r="D333" s="201" t="n">
        <v>1</v>
      </c>
      <c r="E333" s="201" t="inlineStr">
        <is>
          <t>Пн</t>
        </is>
      </c>
      <c r="F333" s="199" t="n">
        <v>0</v>
      </c>
      <c r="G333" s="201" t="str"/>
      <c r="H333" s="193" t="n">
        <v>0</v>
      </c>
      <c r="I333" s="201" t="str"/>
      <c r="J333" s="188">
        <f>1</f>
        <v/>
      </c>
      <c r="K333" s="188">
        <f>IF(AND(D333&lt;=5,F333=0),1,0)</f>
        <v/>
      </c>
      <c r="L333" s="188">
        <f>IF(F333=1,'01_ВВОД'!$D$23,CHOOSE(D333,'01_ВВОД'!$D$19,'01_ВВОД'!$D$19,'01_ВВОД'!$D$19,'01_ВВОД'!$D$19,'01_ВВОД'!$D$20,'01_ВВОД'!$D$21,'01_ВВОД'!$D$22))</f>
        <v/>
      </c>
      <c r="M333" s="188">
        <f>L333*IF(H333=1,'01_ВВОД'!$D$118,1)</f>
        <v/>
      </c>
      <c r="N333" s="188">
        <f>IF(K333=1,'01_ВВОД'!$D$26,0)</f>
        <v/>
      </c>
      <c r="O333" s="188">
        <f>IF(F333=1,'01_ВВОД'!$D$34,IF(D333&lt;=5,'01_ВВОД'!$D$32,'01_ВВОД'!$D$33))</f>
        <v/>
      </c>
      <c r="P333" s="188">
        <f>O333</f>
        <v/>
      </c>
      <c r="Q333" s="188">
        <f>'01_ВВОД'!$D$40</f>
        <v/>
      </c>
      <c r="R333" s="188">
        <f>'01_ВВОД'!$D$46</f>
        <v/>
      </c>
      <c r="S333" s="188">
        <f>H333</f>
        <v/>
      </c>
      <c r="T333" s="188">
        <f>IF(H333=1,M333+N333+P333+Q333,0)</f>
        <v/>
      </c>
      <c r="U333">
        <f>R333*'01_ВВОД'!$D$120</f>
        <v/>
      </c>
    </row>
    <row r="334">
      <c r="A334" s="200" t="n">
        <v>46595</v>
      </c>
      <c r="B334" s="201" t="n">
        <v>11</v>
      </c>
      <c r="C334" s="201" t="inlineStr">
        <is>
          <t>Июл-27</t>
        </is>
      </c>
      <c r="D334" s="201" t="n">
        <v>2</v>
      </c>
      <c r="E334" s="201" t="inlineStr">
        <is>
          <t>Вт</t>
        </is>
      </c>
      <c r="F334" s="199" t="n">
        <v>0</v>
      </c>
      <c r="G334" s="201" t="str"/>
      <c r="H334" s="193" t="n">
        <v>1</v>
      </c>
      <c r="I334" s="201" t="inlineStr">
        <is>
          <t>Пн–Чт</t>
        </is>
      </c>
      <c r="J334" s="188">
        <f>1</f>
        <v/>
      </c>
      <c r="K334" s="188">
        <f>IF(AND(D334&lt;=5,F334=0),1,0)</f>
        <v/>
      </c>
      <c r="L334" s="188">
        <f>IF(F334=1,'01_ВВОД'!$D$23,CHOOSE(D334,'01_ВВОД'!$D$19,'01_ВВОД'!$D$19,'01_ВВОД'!$D$19,'01_ВВОД'!$D$19,'01_ВВОД'!$D$20,'01_ВВОД'!$D$21,'01_ВВОД'!$D$22))</f>
        <v/>
      </c>
      <c r="M334" s="188">
        <f>L334*IF(H334=1,'01_ВВОД'!$D$118,1)</f>
        <v/>
      </c>
      <c r="N334" s="188">
        <f>IF(K334=1,'01_ВВОД'!$D$26,0)</f>
        <v/>
      </c>
      <c r="O334" s="188">
        <f>IF(F334=1,'01_ВВОД'!$D$34,IF(D334&lt;=5,'01_ВВОД'!$D$32,'01_ВВОД'!$D$33))</f>
        <v/>
      </c>
      <c r="P334" s="188">
        <f>O334</f>
        <v/>
      </c>
      <c r="Q334" s="188">
        <f>'01_ВВОД'!$D$40</f>
        <v/>
      </c>
      <c r="R334" s="188">
        <f>'01_ВВОД'!$D$46</f>
        <v/>
      </c>
      <c r="S334" s="188">
        <f>H334</f>
        <v/>
      </c>
      <c r="T334" s="188">
        <f>IF(H334=1,M334+N334+P334+Q334,0)</f>
        <v/>
      </c>
      <c r="U334">
        <f>R334*'01_ВВОД'!$D$120</f>
        <v/>
      </c>
    </row>
    <row r="335">
      <c r="A335" s="200" t="n">
        <v>46596</v>
      </c>
      <c r="B335" s="201" t="n">
        <v>11</v>
      </c>
      <c r="C335" s="201" t="inlineStr">
        <is>
          <t>Июл-27</t>
        </is>
      </c>
      <c r="D335" s="201" t="n">
        <v>3</v>
      </c>
      <c r="E335" s="201" t="inlineStr">
        <is>
          <t>Ср</t>
        </is>
      </c>
      <c r="F335" s="199" t="n">
        <v>0</v>
      </c>
      <c r="G335" s="201" t="str"/>
      <c r="H335" s="193" t="n">
        <v>0</v>
      </c>
      <c r="I335" s="201" t="str"/>
      <c r="J335" s="188">
        <f>1</f>
        <v/>
      </c>
      <c r="K335" s="188">
        <f>IF(AND(D335&lt;=5,F335=0),1,0)</f>
        <v/>
      </c>
      <c r="L335" s="188">
        <f>IF(F335=1,'01_ВВОД'!$D$23,CHOOSE(D335,'01_ВВОД'!$D$19,'01_ВВОД'!$D$19,'01_ВВОД'!$D$19,'01_ВВОД'!$D$19,'01_ВВОД'!$D$20,'01_ВВОД'!$D$21,'01_ВВОД'!$D$22))</f>
        <v/>
      </c>
      <c r="M335" s="188">
        <f>L335*IF(H335=1,'01_ВВОД'!$D$118,1)</f>
        <v/>
      </c>
      <c r="N335" s="188">
        <f>IF(K335=1,'01_ВВОД'!$D$26,0)</f>
        <v/>
      </c>
      <c r="O335" s="188">
        <f>IF(F335=1,'01_ВВОД'!$D$34,IF(D335&lt;=5,'01_ВВОД'!$D$32,'01_ВВОД'!$D$33))</f>
        <v/>
      </c>
      <c r="P335" s="188">
        <f>O335</f>
        <v/>
      </c>
      <c r="Q335" s="188">
        <f>'01_ВВОД'!$D$40</f>
        <v/>
      </c>
      <c r="R335" s="188">
        <f>'01_ВВОД'!$D$46</f>
        <v/>
      </c>
      <c r="S335" s="188">
        <f>H335</f>
        <v/>
      </c>
      <c r="T335" s="188">
        <f>IF(H335=1,M335+N335+P335+Q335,0)</f>
        <v/>
      </c>
      <c r="U335">
        <f>R335*'01_ВВОД'!$D$120</f>
        <v/>
      </c>
    </row>
    <row r="336">
      <c r="A336" s="200" t="n">
        <v>46597</v>
      </c>
      <c r="B336" s="201" t="n">
        <v>11</v>
      </c>
      <c r="C336" s="201" t="inlineStr">
        <is>
          <t>Июл-27</t>
        </is>
      </c>
      <c r="D336" s="201" t="n">
        <v>4</v>
      </c>
      <c r="E336" s="201" t="inlineStr">
        <is>
          <t>Чт</t>
        </is>
      </c>
      <c r="F336" s="199" t="n">
        <v>0</v>
      </c>
      <c r="G336" s="201" t="str"/>
      <c r="H336" s="193" t="n">
        <v>0</v>
      </c>
      <c r="I336" s="201" t="str"/>
      <c r="J336" s="188">
        <f>1</f>
        <v/>
      </c>
      <c r="K336" s="188">
        <f>IF(AND(D336&lt;=5,F336=0),1,0)</f>
        <v/>
      </c>
      <c r="L336" s="188">
        <f>IF(F336=1,'01_ВВОД'!$D$23,CHOOSE(D336,'01_ВВОД'!$D$19,'01_ВВОД'!$D$19,'01_ВВОД'!$D$19,'01_ВВОД'!$D$19,'01_ВВОД'!$D$20,'01_ВВОД'!$D$21,'01_ВВОД'!$D$22))</f>
        <v/>
      </c>
      <c r="M336" s="188">
        <f>L336*IF(H336=1,'01_ВВОД'!$D$118,1)</f>
        <v/>
      </c>
      <c r="N336" s="188">
        <f>IF(K336=1,'01_ВВОД'!$D$26,0)</f>
        <v/>
      </c>
      <c r="O336" s="188">
        <f>IF(F336=1,'01_ВВОД'!$D$34,IF(D336&lt;=5,'01_ВВОД'!$D$32,'01_ВВОД'!$D$33))</f>
        <v/>
      </c>
      <c r="P336" s="188">
        <f>O336</f>
        <v/>
      </c>
      <c r="Q336" s="188">
        <f>'01_ВВОД'!$D$40</f>
        <v/>
      </c>
      <c r="R336" s="188">
        <f>'01_ВВОД'!$D$46</f>
        <v/>
      </c>
      <c r="S336" s="188">
        <f>H336</f>
        <v/>
      </c>
      <c r="T336" s="188">
        <f>IF(H336=1,M336+N336+P336+Q336,0)</f>
        <v/>
      </c>
      <c r="U336">
        <f>R336*'01_ВВОД'!$D$120</f>
        <v/>
      </c>
    </row>
    <row r="337">
      <c r="A337" s="200" t="n">
        <v>46598</v>
      </c>
      <c r="B337" s="201" t="n">
        <v>11</v>
      </c>
      <c r="C337" s="201" t="inlineStr">
        <is>
          <t>Июл-27</t>
        </is>
      </c>
      <c r="D337" s="201" t="n">
        <v>5</v>
      </c>
      <c r="E337" s="201" t="inlineStr">
        <is>
          <t>Пт</t>
        </is>
      </c>
      <c r="F337" s="199" t="n">
        <v>0</v>
      </c>
      <c r="G337" s="201" t="str"/>
      <c r="H337" s="193" t="n">
        <v>1</v>
      </c>
      <c r="I337" s="201" t="inlineStr">
        <is>
          <t>Пт–Вс</t>
        </is>
      </c>
      <c r="J337" s="188">
        <f>1</f>
        <v/>
      </c>
      <c r="K337" s="188">
        <f>IF(AND(D337&lt;=5,F337=0),1,0)</f>
        <v/>
      </c>
      <c r="L337" s="188">
        <f>IF(F337=1,'01_ВВОД'!$D$23,CHOOSE(D337,'01_ВВОД'!$D$19,'01_ВВОД'!$D$19,'01_ВВОД'!$D$19,'01_ВВОД'!$D$19,'01_ВВОД'!$D$20,'01_ВВОД'!$D$21,'01_ВВОД'!$D$22))</f>
        <v/>
      </c>
      <c r="M337" s="188">
        <f>L337*IF(H337=1,'01_ВВОД'!$D$118,1)</f>
        <v/>
      </c>
      <c r="N337" s="188">
        <f>IF(K337=1,'01_ВВОД'!$D$26,0)</f>
        <v/>
      </c>
      <c r="O337" s="188">
        <f>IF(F337=1,'01_ВВОД'!$D$34,IF(D337&lt;=5,'01_ВВОД'!$D$32,'01_ВВОД'!$D$33))</f>
        <v/>
      </c>
      <c r="P337" s="188">
        <f>O337</f>
        <v/>
      </c>
      <c r="Q337" s="188">
        <f>'01_ВВОД'!$D$40</f>
        <v/>
      </c>
      <c r="R337" s="188">
        <f>'01_ВВОД'!$D$46</f>
        <v/>
      </c>
      <c r="S337" s="188">
        <f>H337</f>
        <v/>
      </c>
      <c r="T337" s="188">
        <f>IF(H337=1,M337+N337+P337+Q337,0)</f>
        <v/>
      </c>
      <c r="U337">
        <f>R337*'01_ВВОД'!$D$120</f>
        <v/>
      </c>
    </row>
    <row r="338">
      <c r="A338" s="200" t="n">
        <v>46599</v>
      </c>
      <c r="B338" s="201" t="n">
        <v>11</v>
      </c>
      <c r="C338" s="201" t="inlineStr">
        <is>
          <t>Июл-27</t>
        </is>
      </c>
      <c r="D338" s="201" t="n">
        <v>6</v>
      </c>
      <c r="E338" s="201" t="inlineStr">
        <is>
          <t>Сб</t>
        </is>
      </c>
      <c r="F338" s="199" t="n">
        <v>0</v>
      </c>
      <c r="G338" s="201" t="str"/>
      <c r="H338" s="193" t="n">
        <v>0</v>
      </c>
      <c r="I338" s="201" t="str"/>
      <c r="J338" s="188">
        <f>1</f>
        <v/>
      </c>
      <c r="K338" s="188">
        <f>IF(AND(D338&lt;=5,F338=0),1,0)</f>
        <v/>
      </c>
      <c r="L338" s="188">
        <f>IF(F338=1,'01_ВВОД'!$D$23,CHOOSE(D338,'01_ВВОД'!$D$19,'01_ВВОД'!$D$19,'01_ВВОД'!$D$19,'01_ВВОД'!$D$19,'01_ВВОД'!$D$20,'01_ВВОД'!$D$21,'01_ВВОД'!$D$22))</f>
        <v/>
      </c>
      <c r="M338" s="188">
        <f>L338*IF(H338=1,'01_ВВОД'!$D$118,1)</f>
        <v/>
      </c>
      <c r="N338" s="188">
        <f>IF(K338=1,'01_ВВОД'!$D$26,0)</f>
        <v/>
      </c>
      <c r="O338" s="188">
        <f>IF(F338=1,'01_ВВОД'!$D$34,IF(D338&lt;=5,'01_ВВОД'!$D$32,'01_ВВОД'!$D$33))</f>
        <v/>
      </c>
      <c r="P338" s="188">
        <f>O338</f>
        <v/>
      </c>
      <c r="Q338" s="188">
        <f>'01_ВВОД'!$D$40</f>
        <v/>
      </c>
      <c r="R338" s="188">
        <f>'01_ВВОД'!$D$46</f>
        <v/>
      </c>
      <c r="S338" s="188">
        <f>H338</f>
        <v/>
      </c>
      <c r="T338" s="188">
        <f>IF(H338=1,M338+N338+P338+Q338,0)</f>
        <v/>
      </c>
      <c r="U338">
        <f>R338*'01_ВВОД'!$D$120</f>
        <v/>
      </c>
    </row>
    <row r="339">
      <c r="A339" s="200" t="n">
        <v>46600</v>
      </c>
      <c r="B339" s="201" t="n">
        <v>12</v>
      </c>
      <c r="C339" s="201" t="inlineStr">
        <is>
          <t>Авг-27</t>
        </is>
      </c>
      <c r="D339" s="201" t="n">
        <v>7</v>
      </c>
      <c r="E339" s="201" t="inlineStr">
        <is>
          <t>Вс</t>
        </is>
      </c>
      <c r="F339" s="199" t="n">
        <v>0</v>
      </c>
      <c r="G339" s="201" t="str"/>
      <c r="H339" s="193" t="n">
        <v>0</v>
      </c>
      <c r="I339" s="201" t="str"/>
      <c r="J339" s="188">
        <f>1</f>
        <v/>
      </c>
      <c r="K339" s="188">
        <f>IF(AND(D339&lt;=5,F339=0),1,0)</f>
        <v/>
      </c>
      <c r="L339" s="188">
        <f>IF(F339=1,'01_ВВОД'!$D$23,CHOOSE(D339,'01_ВВОД'!$D$19,'01_ВВОД'!$D$19,'01_ВВОД'!$D$19,'01_ВВОД'!$D$19,'01_ВВОД'!$D$20,'01_ВВОД'!$D$21,'01_ВВОД'!$D$22))</f>
        <v/>
      </c>
      <c r="M339" s="188">
        <f>L339*IF(H339=1,'01_ВВОД'!$D$118,1)</f>
        <v/>
      </c>
      <c r="N339" s="188">
        <f>IF(K339=1,'01_ВВОД'!$D$26,0)</f>
        <v/>
      </c>
      <c r="O339" s="188">
        <f>IF(F339=1,'01_ВВОД'!$D$34,IF(D339&lt;=5,'01_ВВОД'!$D$32,'01_ВВОД'!$D$33))</f>
        <v/>
      </c>
      <c r="P339" s="188">
        <f>O339</f>
        <v/>
      </c>
      <c r="Q339" s="188">
        <f>'01_ВВОД'!$D$40</f>
        <v/>
      </c>
      <c r="R339" s="188">
        <f>'01_ВВОД'!$D$46</f>
        <v/>
      </c>
      <c r="S339" s="188">
        <f>H339</f>
        <v/>
      </c>
      <c r="T339" s="188">
        <f>IF(H339=1,M339+N339+P339+Q339,0)</f>
        <v/>
      </c>
      <c r="U339">
        <f>R339*'01_ВВОД'!$D$120</f>
        <v/>
      </c>
    </row>
    <row r="340">
      <c r="A340" s="200" t="n">
        <v>46601</v>
      </c>
      <c r="B340" s="201" t="n">
        <v>12</v>
      </c>
      <c r="C340" s="201" t="inlineStr">
        <is>
          <t>Авг-27</t>
        </is>
      </c>
      <c r="D340" s="201" t="n">
        <v>1</v>
      </c>
      <c r="E340" s="201" t="inlineStr">
        <is>
          <t>Пн</t>
        </is>
      </c>
      <c r="F340" s="199" t="n">
        <v>0</v>
      </c>
      <c r="G340" s="201" t="str"/>
      <c r="H340" s="193" t="n">
        <v>0</v>
      </c>
      <c r="I340" s="201" t="str"/>
      <c r="J340" s="188">
        <f>1</f>
        <v/>
      </c>
      <c r="K340" s="188">
        <f>IF(AND(D340&lt;=5,F340=0),1,0)</f>
        <v/>
      </c>
      <c r="L340" s="188">
        <f>IF(F340=1,'01_ВВОД'!$D$23,CHOOSE(D340,'01_ВВОД'!$D$19,'01_ВВОД'!$D$19,'01_ВВОД'!$D$19,'01_ВВОД'!$D$19,'01_ВВОД'!$D$20,'01_ВВОД'!$D$21,'01_ВВОД'!$D$22))</f>
        <v/>
      </c>
      <c r="M340" s="188">
        <f>L340*IF(H340=1,'01_ВВОД'!$D$118,1)</f>
        <v/>
      </c>
      <c r="N340" s="188">
        <f>IF(K340=1,'01_ВВОД'!$D$26,0)</f>
        <v/>
      </c>
      <c r="O340" s="188">
        <f>IF(F340=1,'01_ВВОД'!$D$34,IF(D340&lt;=5,'01_ВВОД'!$D$32,'01_ВВОД'!$D$33))</f>
        <v/>
      </c>
      <c r="P340" s="188">
        <f>O340</f>
        <v/>
      </c>
      <c r="Q340" s="188">
        <f>'01_ВВОД'!$D$40</f>
        <v/>
      </c>
      <c r="R340" s="188">
        <f>'01_ВВОД'!$D$46</f>
        <v/>
      </c>
      <c r="S340" s="188">
        <f>H340</f>
        <v/>
      </c>
      <c r="T340" s="188">
        <f>IF(H340=1,M340+N340+P340+Q340,0)</f>
        <v/>
      </c>
      <c r="U340">
        <f>R340*'01_ВВОД'!$D$120</f>
        <v/>
      </c>
    </row>
    <row r="341">
      <c r="A341" s="200" t="n">
        <v>46602</v>
      </c>
      <c r="B341" s="201" t="n">
        <v>12</v>
      </c>
      <c r="C341" s="201" t="inlineStr">
        <is>
          <t>Авг-27</t>
        </is>
      </c>
      <c r="D341" s="201" t="n">
        <v>2</v>
      </c>
      <c r="E341" s="201" t="inlineStr">
        <is>
          <t>Вт</t>
        </is>
      </c>
      <c r="F341" s="199" t="n">
        <v>0</v>
      </c>
      <c r="G341" s="201" t="str"/>
      <c r="H341" s="193" t="n">
        <v>0</v>
      </c>
      <c r="I341" s="201" t="str"/>
      <c r="J341" s="188">
        <f>1</f>
        <v/>
      </c>
      <c r="K341" s="188">
        <f>IF(AND(D341&lt;=5,F341=0),1,0)</f>
        <v/>
      </c>
      <c r="L341" s="188">
        <f>IF(F341=1,'01_ВВОД'!$D$23,CHOOSE(D341,'01_ВВОД'!$D$19,'01_ВВОД'!$D$19,'01_ВВОД'!$D$19,'01_ВВОД'!$D$19,'01_ВВОД'!$D$20,'01_ВВОД'!$D$21,'01_ВВОД'!$D$22))</f>
        <v/>
      </c>
      <c r="M341" s="188">
        <f>L341*IF(H341=1,'01_ВВОД'!$D$118,1)</f>
        <v/>
      </c>
      <c r="N341" s="188">
        <f>IF(K341=1,'01_ВВОД'!$D$26,0)</f>
        <v/>
      </c>
      <c r="O341" s="188">
        <f>IF(F341=1,'01_ВВОД'!$D$34,IF(D341&lt;=5,'01_ВВОД'!$D$32,'01_ВВОД'!$D$33))</f>
        <v/>
      </c>
      <c r="P341" s="188">
        <f>O341</f>
        <v/>
      </c>
      <c r="Q341" s="188">
        <f>'01_ВВОД'!$D$40</f>
        <v/>
      </c>
      <c r="R341" s="188">
        <f>'01_ВВОД'!$D$46</f>
        <v/>
      </c>
      <c r="S341" s="188">
        <f>H341</f>
        <v/>
      </c>
      <c r="T341" s="188">
        <f>IF(H341=1,M341+N341+P341+Q341,0)</f>
        <v/>
      </c>
      <c r="U341">
        <f>R341*'01_ВВОД'!$D$120</f>
        <v/>
      </c>
    </row>
    <row r="342">
      <c r="A342" s="200" t="n">
        <v>46603</v>
      </c>
      <c r="B342" s="201" t="n">
        <v>12</v>
      </c>
      <c r="C342" s="201" t="inlineStr">
        <is>
          <t>Авг-27</t>
        </is>
      </c>
      <c r="D342" s="201" t="n">
        <v>3</v>
      </c>
      <c r="E342" s="201" t="inlineStr">
        <is>
          <t>Ср</t>
        </is>
      </c>
      <c r="F342" s="199" t="n">
        <v>0</v>
      </c>
      <c r="G342" s="201" t="str"/>
      <c r="H342" s="193" t="n">
        <v>0</v>
      </c>
      <c r="I342" s="201" t="str"/>
      <c r="J342" s="188">
        <f>1</f>
        <v/>
      </c>
      <c r="K342" s="188">
        <f>IF(AND(D342&lt;=5,F342=0),1,0)</f>
        <v/>
      </c>
      <c r="L342" s="188">
        <f>IF(F342=1,'01_ВВОД'!$D$23,CHOOSE(D342,'01_ВВОД'!$D$19,'01_ВВОД'!$D$19,'01_ВВОД'!$D$19,'01_ВВОД'!$D$19,'01_ВВОД'!$D$20,'01_ВВОД'!$D$21,'01_ВВОД'!$D$22))</f>
        <v/>
      </c>
      <c r="M342" s="188">
        <f>L342*IF(H342=1,'01_ВВОД'!$D$118,1)</f>
        <v/>
      </c>
      <c r="N342" s="188">
        <f>IF(K342=1,'01_ВВОД'!$D$26,0)</f>
        <v/>
      </c>
      <c r="O342" s="188">
        <f>IF(F342=1,'01_ВВОД'!$D$34,IF(D342&lt;=5,'01_ВВОД'!$D$32,'01_ВВОД'!$D$33))</f>
        <v/>
      </c>
      <c r="P342" s="188">
        <f>O342</f>
        <v/>
      </c>
      <c r="Q342" s="188">
        <f>'01_ВВОД'!$D$40</f>
        <v/>
      </c>
      <c r="R342" s="188">
        <f>'01_ВВОД'!$D$46</f>
        <v/>
      </c>
      <c r="S342" s="188">
        <f>H342</f>
        <v/>
      </c>
      <c r="T342" s="188">
        <f>IF(H342=1,M342+N342+P342+Q342,0)</f>
        <v/>
      </c>
      <c r="U342">
        <f>R342*'01_ВВОД'!$D$120</f>
        <v/>
      </c>
    </row>
    <row r="343">
      <c r="A343" s="200" t="n">
        <v>46604</v>
      </c>
      <c r="B343" s="201" t="n">
        <v>12</v>
      </c>
      <c r="C343" s="201" t="inlineStr">
        <is>
          <t>Авг-27</t>
        </is>
      </c>
      <c r="D343" s="201" t="n">
        <v>4</v>
      </c>
      <c r="E343" s="201" t="inlineStr">
        <is>
          <t>Чт</t>
        </is>
      </c>
      <c r="F343" s="199" t="n">
        <v>0</v>
      </c>
      <c r="G343" s="201" t="str"/>
      <c r="H343" s="193" t="n">
        <v>0</v>
      </c>
      <c r="I343" s="201" t="str"/>
      <c r="J343" s="188">
        <f>1</f>
        <v/>
      </c>
      <c r="K343" s="188">
        <f>IF(AND(D343&lt;=5,F343=0),1,0)</f>
        <v/>
      </c>
      <c r="L343" s="188">
        <f>IF(F343=1,'01_ВВОД'!$D$23,CHOOSE(D343,'01_ВВОД'!$D$19,'01_ВВОД'!$D$19,'01_ВВОД'!$D$19,'01_ВВОД'!$D$19,'01_ВВОД'!$D$20,'01_ВВОД'!$D$21,'01_ВВОД'!$D$22))</f>
        <v/>
      </c>
      <c r="M343" s="188">
        <f>L343*IF(H343=1,'01_ВВОД'!$D$118,1)</f>
        <v/>
      </c>
      <c r="N343" s="188">
        <f>IF(K343=1,'01_ВВОД'!$D$26,0)</f>
        <v/>
      </c>
      <c r="O343" s="188">
        <f>IF(F343=1,'01_ВВОД'!$D$34,IF(D343&lt;=5,'01_ВВОД'!$D$32,'01_ВВОД'!$D$33))</f>
        <v/>
      </c>
      <c r="P343" s="188">
        <f>O343</f>
        <v/>
      </c>
      <c r="Q343" s="188">
        <f>'01_ВВОД'!$D$40</f>
        <v/>
      </c>
      <c r="R343" s="188">
        <f>'01_ВВОД'!$D$46</f>
        <v/>
      </c>
      <c r="S343" s="188">
        <f>H343</f>
        <v/>
      </c>
      <c r="T343" s="188">
        <f>IF(H343=1,M343+N343+P343+Q343,0)</f>
        <v/>
      </c>
      <c r="U343">
        <f>R343*'01_ВВОД'!$D$120</f>
        <v/>
      </c>
    </row>
    <row r="344">
      <c r="A344" s="200" t="n">
        <v>46605</v>
      </c>
      <c r="B344" s="201" t="n">
        <v>12</v>
      </c>
      <c r="C344" s="201" t="inlineStr">
        <is>
          <t>Авг-27</t>
        </is>
      </c>
      <c r="D344" s="201" t="n">
        <v>5</v>
      </c>
      <c r="E344" s="201" t="inlineStr">
        <is>
          <t>Пт</t>
        </is>
      </c>
      <c r="F344" s="199" t="n">
        <v>0</v>
      </c>
      <c r="G344" s="201" t="str"/>
      <c r="H344" s="193" t="n">
        <v>0</v>
      </c>
      <c r="I344" s="201" t="str"/>
      <c r="J344" s="188">
        <f>1</f>
        <v/>
      </c>
      <c r="K344" s="188">
        <f>IF(AND(D344&lt;=5,F344=0),1,0)</f>
        <v/>
      </c>
      <c r="L344" s="188">
        <f>IF(F344=1,'01_ВВОД'!$D$23,CHOOSE(D344,'01_ВВОД'!$D$19,'01_ВВОД'!$D$19,'01_ВВОД'!$D$19,'01_ВВОД'!$D$19,'01_ВВОД'!$D$20,'01_ВВОД'!$D$21,'01_ВВОД'!$D$22))</f>
        <v/>
      </c>
      <c r="M344" s="188">
        <f>L344*IF(H344=1,'01_ВВОД'!$D$118,1)</f>
        <v/>
      </c>
      <c r="N344" s="188">
        <f>IF(K344=1,'01_ВВОД'!$D$26,0)</f>
        <v/>
      </c>
      <c r="O344" s="188">
        <f>IF(F344=1,'01_ВВОД'!$D$34,IF(D344&lt;=5,'01_ВВОД'!$D$32,'01_ВВОД'!$D$33))</f>
        <v/>
      </c>
      <c r="P344" s="188">
        <f>O344</f>
        <v/>
      </c>
      <c r="Q344" s="188">
        <f>'01_ВВОД'!$D$40</f>
        <v/>
      </c>
      <c r="R344" s="188">
        <f>'01_ВВОД'!$D$46</f>
        <v/>
      </c>
      <c r="S344" s="188">
        <f>H344</f>
        <v/>
      </c>
      <c r="T344" s="188">
        <f>IF(H344=1,M344+N344+P344+Q344,0)</f>
        <v/>
      </c>
      <c r="U344">
        <f>R344*'01_ВВОД'!$D$120</f>
        <v/>
      </c>
    </row>
    <row r="345">
      <c r="A345" s="200" t="n">
        <v>46606</v>
      </c>
      <c r="B345" s="201" t="n">
        <v>12</v>
      </c>
      <c r="C345" s="201" t="inlineStr">
        <is>
          <t>Авг-27</t>
        </is>
      </c>
      <c r="D345" s="201" t="n">
        <v>6</v>
      </c>
      <c r="E345" s="201" t="inlineStr">
        <is>
          <t>Сб</t>
        </is>
      </c>
      <c r="F345" s="199" t="n">
        <v>0</v>
      </c>
      <c r="G345" s="201" t="str"/>
      <c r="H345" s="193" t="n">
        <v>0</v>
      </c>
      <c r="I345" s="201" t="str"/>
      <c r="J345" s="188">
        <f>1</f>
        <v/>
      </c>
      <c r="K345" s="188">
        <f>IF(AND(D345&lt;=5,F345=0),1,0)</f>
        <v/>
      </c>
      <c r="L345" s="188">
        <f>IF(F345=1,'01_ВВОД'!$D$23,CHOOSE(D345,'01_ВВОД'!$D$19,'01_ВВОД'!$D$19,'01_ВВОД'!$D$19,'01_ВВОД'!$D$19,'01_ВВОД'!$D$20,'01_ВВОД'!$D$21,'01_ВВОД'!$D$22))</f>
        <v/>
      </c>
      <c r="M345" s="188">
        <f>L345*IF(H345=1,'01_ВВОД'!$D$118,1)</f>
        <v/>
      </c>
      <c r="N345" s="188">
        <f>IF(K345=1,'01_ВВОД'!$D$26,0)</f>
        <v/>
      </c>
      <c r="O345" s="188">
        <f>IF(F345=1,'01_ВВОД'!$D$34,IF(D345&lt;=5,'01_ВВОД'!$D$32,'01_ВВОД'!$D$33))</f>
        <v/>
      </c>
      <c r="P345" s="188">
        <f>O345</f>
        <v/>
      </c>
      <c r="Q345" s="188">
        <f>'01_ВВОД'!$D$40</f>
        <v/>
      </c>
      <c r="R345" s="188">
        <f>'01_ВВОД'!$D$46</f>
        <v/>
      </c>
      <c r="S345" s="188">
        <f>H345</f>
        <v/>
      </c>
      <c r="T345" s="188">
        <f>IF(H345=1,M345+N345+P345+Q345,0)</f>
        <v/>
      </c>
      <c r="U345">
        <f>R345*'01_ВВОД'!$D$120</f>
        <v/>
      </c>
    </row>
    <row r="346">
      <c r="A346" s="200" t="n">
        <v>46607</v>
      </c>
      <c r="B346" s="201" t="n">
        <v>12</v>
      </c>
      <c r="C346" s="201" t="inlineStr">
        <is>
          <t>Авг-27</t>
        </is>
      </c>
      <c r="D346" s="201" t="n">
        <v>7</v>
      </c>
      <c r="E346" s="201" t="inlineStr">
        <is>
          <t>Вс</t>
        </is>
      </c>
      <c r="F346" s="199" t="n">
        <v>0</v>
      </c>
      <c r="G346" s="201" t="str"/>
      <c r="H346" s="193" t="n">
        <v>1</v>
      </c>
      <c r="I346" s="201" t="inlineStr">
        <is>
          <t>Пт–Вс</t>
        </is>
      </c>
      <c r="J346" s="188">
        <f>1</f>
        <v/>
      </c>
      <c r="K346" s="188">
        <f>IF(AND(D346&lt;=5,F346=0),1,0)</f>
        <v/>
      </c>
      <c r="L346" s="188">
        <f>IF(F346=1,'01_ВВОД'!$D$23,CHOOSE(D346,'01_ВВОД'!$D$19,'01_ВВОД'!$D$19,'01_ВВОД'!$D$19,'01_ВВОД'!$D$19,'01_ВВОД'!$D$20,'01_ВВОД'!$D$21,'01_ВВОД'!$D$22))</f>
        <v/>
      </c>
      <c r="M346" s="188">
        <f>L346*IF(H346=1,'01_ВВОД'!$D$118,1)</f>
        <v/>
      </c>
      <c r="N346" s="188">
        <f>IF(K346=1,'01_ВВОД'!$D$26,0)</f>
        <v/>
      </c>
      <c r="O346" s="188">
        <f>IF(F346=1,'01_ВВОД'!$D$34,IF(D346&lt;=5,'01_ВВОД'!$D$32,'01_ВВОД'!$D$33))</f>
        <v/>
      </c>
      <c r="P346" s="188">
        <f>O346</f>
        <v/>
      </c>
      <c r="Q346" s="188">
        <f>'01_ВВОД'!$D$40</f>
        <v/>
      </c>
      <c r="R346" s="188">
        <f>'01_ВВОД'!$D$46</f>
        <v/>
      </c>
      <c r="S346" s="188">
        <f>H346</f>
        <v/>
      </c>
      <c r="T346" s="188">
        <f>IF(H346=1,M346+N346+P346+Q346,0)</f>
        <v/>
      </c>
      <c r="U346">
        <f>R346*'01_ВВОД'!$D$120</f>
        <v/>
      </c>
    </row>
    <row r="347">
      <c r="A347" s="200" t="n">
        <v>46608</v>
      </c>
      <c r="B347" s="201" t="n">
        <v>12</v>
      </c>
      <c r="C347" s="201" t="inlineStr">
        <is>
          <t>Авг-27</t>
        </is>
      </c>
      <c r="D347" s="201" t="n">
        <v>1</v>
      </c>
      <c r="E347" s="201" t="inlineStr">
        <is>
          <t>Пн</t>
        </is>
      </c>
      <c r="F347" s="199" t="n">
        <v>0</v>
      </c>
      <c r="G347" s="201" t="str"/>
      <c r="H347" s="193" t="n">
        <v>1</v>
      </c>
      <c r="I347" s="201" t="inlineStr">
        <is>
          <t>Пн–Чт</t>
        </is>
      </c>
      <c r="J347" s="188">
        <f>1</f>
        <v/>
      </c>
      <c r="K347" s="188">
        <f>IF(AND(D347&lt;=5,F347=0),1,0)</f>
        <v/>
      </c>
      <c r="L347" s="188">
        <f>IF(F347=1,'01_ВВОД'!$D$23,CHOOSE(D347,'01_ВВОД'!$D$19,'01_ВВОД'!$D$19,'01_ВВОД'!$D$19,'01_ВВОД'!$D$19,'01_ВВОД'!$D$20,'01_ВВОД'!$D$21,'01_ВВОД'!$D$22))</f>
        <v/>
      </c>
      <c r="M347" s="188">
        <f>L347*IF(H347=1,'01_ВВОД'!$D$118,1)</f>
        <v/>
      </c>
      <c r="N347" s="188">
        <f>IF(K347=1,'01_ВВОД'!$D$26,0)</f>
        <v/>
      </c>
      <c r="O347" s="188">
        <f>IF(F347=1,'01_ВВОД'!$D$34,IF(D347&lt;=5,'01_ВВОД'!$D$32,'01_ВВОД'!$D$33))</f>
        <v/>
      </c>
      <c r="P347" s="188">
        <f>O347</f>
        <v/>
      </c>
      <c r="Q347" s="188">
        <f>'01_ВВОД'!$D$40</f>
        <v/>
      </c>
      <c r="R347" s="188">
        <f>'01_ВВОД'!$D$46</f>
        <v/>
      </c>
      <c r="S347" s="188">
        <f>H347</f>
        <v/>
      </c>
      <c r="T347" s="188">
        <f>IF(H347=1,M347+N347+P347+Q347,0)</f>
        <v/>
      </c>
      <c r="U347">
        <f>R347*'01_ВВОД'!$D$120</f>
        <v/>
      </c>
    </row>
    <row r="348">
      <c r="A348" s="200" t="n">
        <v>46609</v>
      </c>
      <c r="B348" s="201" t="n">
        <v>12</v>
      </c>
      <c r="C348" s="201" t="inlineStr">
        <is>
          <t>Авг-27</t>
        </is>
      </c>
      <c r="D348" s="201" t="n">
        <v>2</v>
      </c>
      <c r="E348" s="201" t="inlineStr">
        <is>
          <t>Вт</t>
        </is>
      </c>
      <c r="F348" s="199" t="n">
        <v>0</v>
      </c>
      <c r="G348" s="201" t="str"/>
      <c r="H348" s="193" t="n">
        <v>0</v>
      </c>
      <c r="I348" s="201" t="str"/>
      <c r="J348" s="188">
        <f>1</f>
        <v/>
      </c>
      <c r="K348" s="188">
        <f>IF(AND(D348&lt;=5,F348=0),1,0)</f>
        <v/>
      </c>
      <c r="L348" s="188">
        <f>IF(F348=1,'01_ВВОД'!$D$23,CHOOSE(D348,'01_ВВОД'!$D$19,'01_ВВОД'!$D$19,'01_ВВОД'!$D$19,'01_ВВОД'!$D$19,'01_ВВОД'!$D$20,'01_ВВОД'!$D$21,'01_ВВОД'!$D$22))</f>
        <v/>
      </c>
      <c r="M348" s="188">
        <f>L348*IF(H348=1,'01_ВВОД'!$D$118,1)</f>
        <v/>
      </c>
      <c r="N348" s="188">
        <f>IF(K348=1,'01_ВВОД'!$D$26,0)</f>
        <v/>
      </c>
      <c r="O348" s="188">
        <f>IF(F348=1,'01_ВВОД'!$D$34,IF(D348&lt;=5,'01_ВВОД'!$D$32,'01_ВВОД'!$D$33))</f>
        <v/>
      </c>
      <c r="P348" s="188">
        <f>O348</f>
        <v/>
      </c>
      <c r="Q348" s="188">
        <f>'01_ВВОД'!$D$40</f>
        <v/>
      </c>
      <c r="R348" s="188">
        <f>'01_ВВОД'!$D$46</f>
        <v/>
      </c>
      <c r="S348" s="188">
        <f>H348</f>
        <v/>
      </c>
      <c r="T348" s="188">
        <f>IF(H348=1,M348+N348+P348+Q348,0)</f>
        <v/>
      </c>
      <c r="U348">
        <f>R348*'01_ВВОД'!$D$120</f>
        <v/>
      </c>
    </row>
    <row r="349">
      <c r="A349" s="200" t="n">
        <v>46610</v>
      </c>
      <c r="B349" s="201" t="n">
        <v>12</v>
      </c>
      <c r="C349" s="201" t="inlineStr">
        <is>
          <t>Авг-27</t>
        </is>
      </c>
      <c r="D349" s="201" t="n">
        <v>3</v>
      </c>
      <c r="E349" s="201" t="inlineStr">
        <is>
          <t>Ср</t>
        </is>
      </c>
      <c r="F349" s="199" t="n">
        <v>0</v>
      </c>
      <c r="G349" s="201" t="str"/>
      <c r="H349" s="193" t="n">
        <v>0</v>
      </c>
      <c r="I349" s="201" t="str"/>
      <c r="J349" s="188">
        <f>1</f>
        <v/>
      </c>
      <c r="K349" s="188">
        <f>IF(AND(D349&lt;=5,F349=0),1,0)</f>
        <v/>
      </c>
      <c r="L349" s="188">
        <f>IF(F349=1,'01_ВВОД'!$D$23,CHOOSE(D349,'01_ВВОД'!$D$19,'01_ВВОД'!$D$19,'01_ВВОД'!$D$19,'01_ВВОД'!$D$19,'01_ВВОД'!$D$20,'01_ВВОД'!$D$21,'01_ВВОД'!$D$22))</f>
        <v/>
      </c>
      <c r="M349" s="188">
        <f>L349*IF(H349=1,'01_ВВОД'!$D$118,1)</f>
        <v/>
      </c>
      <c r="N349" s="188">
        <f>IF(K349=1,'01_ВВОД'!$D$26,0)</f>
        <v/>
      </c>
      <c r="O349" s="188">
        <f>IF(F349=1,'01_ВВОД'!$D$34,IF(D349&lt;=5,'01_ВВОД'!$D$32,'01_ВВОД'!$D$33))</f>
        <v/>
      </c>
      <c r="P349" s="188">
        <f>O349</f>
        <v/>
      </c>
      <c r="Q349" s="188">
        <f>'01_ВВОД'!$D$40</f>
        <v/>
      </c>
      <c r="R349" s="188">
        <f>'01_ВВОД'!$D$46</f>
        <v/>
      </c>
      <c r="S349" s="188">
        <f>H349</f>
        <v/>
      </c>
      <c r="T349" s="188">
        <f>IF(H349=1,M349+N349+P349+Q349,0)</f>
        <v/>
      </c>
      <c r="U349">
        <f>R349*'01_ВВОД'!$D$120</f>
        <v/>
      </c>
    </row>
    <row r="350">
      <c r="A350" s="200" t="n">
        <v>46611</v>
      </c>
      <c r="B350" s="201" t="n">
        <v>12</v>
      </c>
      <c r="C350" s="201" t="inlineStr">
        <is>
          <t>Авг-27</t>
        </is>
      </c>
      <c r="D350" s="201" t="n">
        <v>4</v>
      </c>
      <c r="E350" s="201" t="inlineStr">
        <is>
          <t>Чт</t>
        </is>
      </c>
      <c r="F350" s="199" t="n">
        <v>0</v>
      </c>
      <c r="G350" s="201" t="str"/>
      <c r="H350" s="193" t="n">
        <v>0</v>
      </c>
      <c r="I350" s="201" t="str"/>
      <c r="J350" s="188">
        <f>1</f>
        <v/>
      </c>
      <c r="K350" s="188">
        <f>IF(AND(D350&lt;=5,F350=0),1,0)</f>
        <v/>
      </c>
      <c r="L350" s="188">
        <f>IF(F350=1,'01_ВВОД'!$D$23,CHOOSE(D350,'01_ВВОД'!$D$19,'01_ВВОД'!$D$19,'01_ВВОД'!$D$19,'01_ВВОД'!$D$19,'01_ВВОД'!$D$20,'01_ВВОД'!$D$21,'01_ВВОД'!$D$22))</f>
        <v/>
      </c>
      <c r="M350" s="188">
        <f>L350*IF(H350=1,'01_ВВОД'!$D$118,1)</f>
        <v/>
      </c>
      <c r="N350" s="188">
        <f>IF(K350=1,'01_ВВОД'!$D$26,0)</f>
        <v/>
      </c>
      <c r="O350" s="188">
        <f>IF(F350=1,'01_ВВОД'!$D$34,IF(D350&lt;=5,'01_ВВОД'!$D$32,'01_ВВОД'!$D$33))</f>
        <v/>
      </c>
      <c r="P350" s="188">
        <f>O350</f>
        <v/>
      </c>
      <c r="Q350" s="188">
        <f>'01_ВВОД'!$D$40</f>
        <v/>
      </c>
      <c r="R350" s="188">
        <f>'01_ВВОД'!$D$46</f>
        <v/>
      </c>
      <c r="S350" s="188">
        <f>H350</f>
        <v/>
      </c>
      <c r="T350" s="188">
        <f>IF(H350=1,M350+N350+P350+Q350,0)</f>
        <v/>
      </c>
      <c r="U350">
        <f>R350*'01_ВВОД'!$D$120</f>
        <v/>
      </c>
    </row>
    <row r="351">
      <c r="A351" s="200" t="n">
        <v>46612</v>
      </c>
      <c r="B351" s="201" t="n">
        <v>12</v>
      </c>
      <c r="C351" s="201" t="inlineStr">
        <is>
          <t>Авг-27</t>
        </is>
      </c>
      <c r="D351" s="201" t="n">
        <v>5</v>
      </c>
      <c r="E351" s="201" t="inlineStr">
        <is>
          <t>Пт</t>
        </is>
      </c>
      <c r="F351" s="199" t="n">
        <v>0</v>
      </c>
      <c r="G351" s="201" t="str"/>
      <c r="H351" s="193" t="n">
        <v>0</v>
      </c>
      <c r="I351" s="201" t="str"/>
      <c r="J351" s="188">
        <f>1</f>
        <v/>
      </c>
      <c r="K351" s="188">
        <f>IF(AND(D351&lt;=5,F351=0),1,0)</f>
        <v/>
      </c>
      <c r="L351" s="188">
        <f>IF(F351=1,'01_ВВОД'!$D$23,CHOOSE(D351,'01_ВВОД'!$D$19,'01_ВВОД'!$D$19,'01_ВВОД'!$D$19,'01_ВВОД'!$D$19,'01_ВВОД'!$D$20,'01_ВВОД'!$D$21,'01_ВВОД'!$D$22))</f>
        <v/>
      </c>
      <c r="M351" s="188">
        <f>L351*IF(H351=1,'01_ВВОД'!$D$118,1)</f>
        <v/>
      </c>
      <c r="N351" s="188">
        <f>IF(K351=1,'01_ВВОД'!$D$26,0)</f>
        <v/>
      </c>
      <c r="O351" s="188">
        <f>IF(F351=1,'01_ВВОД'!$D$34,IF(D351&lt;=5,'01_ВВОД'!$D$32,'01_ВВОД'!$D$33))</f>
        <v/>
      </c>
      <c r="P351" s="188">
        <f>O351</f>
        <v/>
      </c>
      <c r="Q351" s="188">
        <f>'01_ВВОД'!$D$40</f>
        <v/>
      </c>
      <c r="R351" s="188">
        <f>'01_ВВОД'!$D$46</f>
        <v/>
      </c>
      <c r="S351" s="188">
        <f>H351</f>
        <v/>
      </c>
      <c r="T351" s="188">
        <f>IF(H351=1,M351+N351+P351+Q351,0)</f>
        <v/>
      </c>
      <c r="U351">
        <f>R351*'01_ВВОД'!$D$120</f>
        <v/>
      </c>
    </row>
    <row r="352">
      <c r="A352" s="200" t="n">
        <v>46613</v>
      </c>
      <c r="B352" s="201" t="n">
        <v>12</v>
      </c>
      <c r="C352" s="201" t="inlineStr">
        <is>
          <t>Авг-27</t>
        </is>
      </c>
      <c r="D352" s="201" t="n">
        <v>6</v>
      </c>
      <c r="E352" s="201" t="inlineStr">
        <is>
          <t>Сб</t>
        </is>
      </c>
      <c r="F352" s="199" t="n">
        <v>0</v>
      </c>
      <c r="G352" s="201" t="str"/>
      <c r="H352" s="193" t="n">
        <v>0</v>
      </c>
      <c r="I352" s="201" t="str"/>
      <c r="J352" s="188">
        <f>1</f>
        <v/>
      </c>
      <c r="K352" s="188">
        <f>IF(AND(D352&lt;=5,F352=0),1,0)</f>
        <v/>
      </c>
      <c r="L352" s="188">
        <f>IF(F352=1,'01_ВВОД'!$D$23,CHOOSE(D352,'01_ВВОД'!$D$19,'01_ВВОД'!$D$19,'01_ВВОД'!$D$19,'01_ВВОД'!$D$19,'01_ВВОД'!$D$20,'01_ВВОД'!$D$21,'01_ВВОД'!$D$22))</f>
        <v/>
      </c>
      <c r="M352" s="188">
        <f>L352*IF(H352=1,'01_ВВОД'!$D$118,1)</f>
        <v/>
      </c>
      <c r="N352" s="188">
        <f>IF(K352=1,'01_ВВОД'!$D$26,0)</f>
        <v/>
      </c>
      <c r="O352" s="188">
        <f>IF(F352=1,'01_ВВОД'!$D$34,IF(D352&lt;=5,'01_ВВОД'!$D$32,'01_ВВОД'!$D$33))</f>
        <v/>
      </c>
      <c r="P352" s="188">
        <f>O352</f>
        <v/>
      </c>
      <c r="Q352" s="188">
        <f>'01_ВВОД'!$D$40</f>
        <v/>
      </c>
      <c r="R352" s="188">
        <f>'01_ВВОД'!$D$46</f>
        <v/>
      </c>
      <c r="S352" s="188">
        <f>H352</f>
        <v/>
      </c>
      <c r="T352" s="188">
        <f>IF(H352=1,M352+N352+P352+Q352,0)</f>
        <v/>
      </c>
      <c r="U352">
        <f>R352*'01_ВВОД'!$D$120</f>
        <v/>
      </c>
    </row>
    <row r="353">
      <c r="A353" s="200" t="n">
        <v>46614</v>
      </c>
      <c r="B353" s="201" t="n">
        <v>12</v>
      </c>
      <c r="C353" s="201" t="inlineStr">
        <is>
          <t>Авг-27</t>
        </is>
      </c>
      <c r="D353" s="201" t="n">
        <v>7</v>
      </c>
      <c r="E353" s="201" t="inlineStr">
        <is>
          <t>Вс</t>
        </is>
      </c>
      <c r="F353" s="199" t="n">
        <v>0</v>
      </c>
      <c r="G353" s="201" t="str"/>
      <c r="H353" s="193" t="n">
        <v>0</v>
      </c>
      <c r="I353" s="201" t="str"/>
      <c r="J353" s="188">
        <f>1</f>
        <v/>
      </c>
      <c r="K353" s="188">
        <f>IF(AND(D353&lt;=5,F353=0),1,0)</f>
        <v/>
      </c>
      <c r="L353" s="188">
        <f>IF(F353=1,'01_ВВОД'!$D$23,CHOOSE(D353,'01_ВВОД'!$D$19,'01_ВВОД'!$D$19,'01_ВВОД'!$D$19,'01_ВВОД'!$D$19,'01_ВВОД'!$D$20,'01_ВВОД'!$D$21,'01_ВВОД'!$D$22))</f>
        <v/>
      </c>
      <c r="M353" s="188">
        <f>L353*IF(H353=1,'01_ВВОД'!$D$118,1)</f>
        <v/>
      </c>
      <c r="N353" s="188">
        <f>IF(K353=1,'01_ВВОД'!$D$26,0)</f>
        <v/>
      </c>
      <c r="O353" s="188">
        <f>IF(F353=1,'01_ВВОД'!$D$34,IF(D353&lt;=5,'01_ВВОД'!$D$32,'01_ВВОД'!$D$33))</f>
        <v/>
      </c>
      <c r="P353" s="188">
        <f>O353</f>
        <v/>
      </c>
      <c r="Q353" s="188">
        <f>'01_ВВОД'!$D$40</f>
        <v/>
      </c>
      <c r="R353" s="188">
        <f>'01_ВВОД'!$D$46</f>
        <v/>
      </c>
      <c r="S353" s="188">
        <f>H353</f>
        <v/>
      </c>
      <c r="T353" s="188">
        <f>IF(H353=1,M353+N353+P353+Q353,0)</f>
        <v/>
      </c>
      <c r="U353">
        <f>R353*'01_ВВОД'!$D$120</f>
        <v/>
      </c>
    </row>
    <row r="354">
      <c r="A354" s="200" t="n">
        <v>46615</v>
      </c>
      <c r="B354" s="201" t="n">
        <v>12</v>
      </c>
      <c r="C354" s="201" t="inlineStr">
        <is>
          <t>Авг-27</t>
        </is>
      </c>
      <c r="D354" s="201" t="n">
        <v>1</v>
      </c>
      <c r="E354" s="201" t="inlineStr">
        <is>
          <t>Пн</t>
        </is>
      </c>
      <c r="F354" s="199" t="n">
        <v>0</v>
      </c>
      <c r="G354" s="201" t="str"/>
      <c r="H354" s="193" t="n">
        <v>0</v>
      </c>
      <c r="I354" s="201" t="str"/>
      <c r="J354" s="188">
        <f>1</f>
        <v/>
      </c>
      <c r="K354" s="188">
        <f>IF(AND(D354&lt;=5,F354=0),1,0)</f>
        <v/>
      </c>
      <c r="L354" s="188">
        <f>IF(F354=1,'01_ВВОД'!$D$23,CHOOSE(D354,'01_ВВОД'!$D$19,'01_ВВОД'!$D$19,'01_ВВОД'!$D$19,'01_ВВОД'!$D$19,'01_ВВОД'!$D$20,'01_ВВОД'!$D$21,'01_ВВОД'!$D$22))</f>
        <v/>
      </c>
      <c r="M354" s="188">
        <f>L354*IF(H354=1,'01_ВВОД'!$D$118,1)</f>
        <v/>
      </c>
      <c r="N354" s="188">
        <f>IF(K354=1,'01_ВВОД'!$D$26,0)</f>
        <v/>
      </c>
      <c r="O354" s="188">
        <f>IF(F354=1,'01_ВВОД'!$D$34,IF(D354&lt;=5,'01_ВВОД'!$D$32,'01_ВВОД'!$D$33))</f>
        <v/>
      </c>
      <c r="P354" s="188">
        <f>O354</f>
        <v/>
      </c>
      <c r="Q354" s="188">
        <f>'01_ВВОД'!$D$40</f>
        <v/>
      </c>
      <c r="R354" s="188">
        <f>'01_ВВОД'!$D$46</f>
        <v/>
      </c>
      <c r="S354" s="188">
        <f>H354</f>
        <v/>
      </c>
      <c r="T354" s="188">
        <f>IF(H354=1,M354+N354+P354+Q354,0)</f>
        <v/>
      </c>
      <c r="U354">
        <f>R354*'01_ВВОД'!$D$120</f>
        <v/>
      </c>
    </row>
    <row r="355">
      <c r="A355" s="200" t="n">
        <v>46616</v>
      </c>
      <c r="B355" s="201" t="n">
        <v>12</v>
      </c>
      <c r="C355" s="201" t="inlineStr">
        <is>
          <t>Авг-27</t>
        </is>
      </c>
      <c r="D355" s="201" t="n">
        <v>2</v>
      </c>
      <c r="E355" s="201" t="inlineStr">
        <is>
          <t>Вт</t>
        </is>
      </c>
      <c r="F355" s="199" t="n">
        <v>0</v>
      </c>
      <c r="G355" s="201" t="str"/>
      <c r="H355" s="193" t="n">
        <v>0</v>
      </c>
      <c r="I355" s="201" t="str"/>
      <c r="J355" s="188">
        <f>1</f>
        <v/>
      </c>
      <c r="K355" s="188">
        <f>IF(AND(D355&lt;=5,F355=0),1,0)</f>
        <v/>
      </c>
      <c r="L355" s="188">
        <f>IF(F355=1,'01_ВВОД'!$D$23,CHOOSE(D355,'01_ВВОД'!$D$19,'01_ВВОД'!$D$19,'01_ВВОД'!$D$19,'01_ВВОД'!$D$19,'01_ВВОД'!$D$20,'01_ВВОД'!$D$21,'01_ВВОД'!$D$22))</f>
        <v/>
      </c>
      <c r="M355" s="188">
        <f>L355*IF(H355=1,'01_ВВОД'!$D$118,1)</f>
        <v/>
      </c>
      <c r="N355" s="188">
        <f>IF(K355=1,'01_ВВОД'!$D$26,0)</f>
        <v/>
      </c>
      <c r="O355" s="188">
        <f>IF(F355=1,'01_ВВОД'!$D$34,IF(D355&lt;=5,'01_ВВОД'!$D$32,'01_ВВОД'!$D$33))</f>
        <v/>
      </c>
      <c r="P355" s="188">
        <f>O355</f>
        <v/>
      </c>
      <c r="Q355" s="188">
        <f>'01_ВВОД'!$D$40</f>
        <v/>
      </c>
      <c r="R355" s="188">
        <f>'01_ВВОД'!$D$46</f>
        <v/>
      </c>
      <c r="S355" s="188">
        <f>H355</f>
        <v/>
      </c>
      <c r="T355" s="188">
        <f>IF(H355=1,M355+N355+P355+Q355,0)</f>
        <v/>
      </c>
      <c r="U355">
        <f>R355*'01_ВВОД'!$D$120</f>
        <v/>
      </c>
    </row>
    <row r="356">
      <c r="A356" s="200" t="n">
        <v>46617</v>
      </c>
      <c r="B356" s="201" t="n">
        <v>12</v>
      </c>
      <c r="C356" s="201" t="inlineStr">
        <is>
          <t>Авг-27</t>
        </is>
      </c>
      <c r="D356" s="201" t="n">
        <v>3</v>
      </c>
      <c r="E356" s="201" t="inlineStr">
        <is>
          <t>Ср</t>
        </is>
      </c>
      <c r="F356" s="199" t="n">
        <v>0</v>
      </c>
      <c r="G356" s="201" t="str"/>
      <c r="H356" s="193" t="n">
        <v>1</v>
      </c>
      <c r="I356" s="201" t="inlineStr">
        <is>
          <t>Пн–Чт</t>
        </is>
      </c>
      <c r="J356" s="188">
        <f>1</f>
        <v/>
      </c>
      <c r="K356" s="188">
        <f>IF(AND(D356&lt;=5,F356=0),1,0)</f>
        <v/>
      </c>
      <c r="L356" s="188">
        <f>IF(F356=1,'01_ВВОД'!$D$23,CHOOSE(D356,'01_ВВОД'!$D$19,'01_ВВОД'!$D$19,'01_ВВОД'!$D$19,'01_ВВОД'!$D$19,'01_ВВОД'!$D$20,'01_ВВОД'!$D$21,'01_ВВОД'!$D$22))</f>
        <v/>
      </c>
      <c r="M356" s="188">
        <f>L356*IF(H356=1,'01_ВВОД'!$D$118,1)</f>
        <v/>
      </c>
      <c r="N356" s="188">
        <f>IF(K356=1,'01_ВВОД'!$D$26,0)</f>
        <v/>
      </c>
      <c r="O356" s="188">
        <f>IF(F356=1,'01_ВВОД'!$D$34,IF(D356&lt;=5,'01_ВВОД'!$D$32,'01_ВВОД'!$D$33))</f>
        <v/>
      </c>
      <c r="P356" s="188">
        <f>O356</f>
        <v/>
      </c>
      <c r="Q356" s="188">
        <f>'01_ВВОД'!$D$40</f>
        <v/>
      </c>
      <c r="R356" s="188">
        <f>'01_ВВОД'!$D$46</f>
        <v/>
      </c>
      <c r="S356" s="188">
        <f>H356</f>
        <v/>
      </c>
      <c r="T356" s="188">
        <f>IF(H356=1,M356+N356+P356+Q356,0)</f>
        <v/>
      </c>
      <c r="U356">
        <f>R356*'01_ВВОД'!$D$120</f>
        <v/>
      </c>
    </row>
    <row r="357">
      <c r="A357" s="200" t="n">
        <v>46618</v>
      </c>
      <c r="B357" s="201" t="n">
        <v>12</v>
      </c>
      <c r="C357" s="201" t="inlineStr">
        <is>
          <t>Авг-27</t>
        </is>
      </c>
      <c r="D357" s="201" t="n">
        <v>4</v>
      </c>
      <c r="E357" s="201" t="inlineStr">
        <is>
          <t>Чт</t>
        </is>
      </c>
      <c r="F357" s="199" t="n">
        <v>0</v>
      </c>
      <c r="G357" s="201" t="str"/>
      <c r="H357" s="193" t="n">
        <v>0</v>
      </c>
      <c r="I357" s="201" t="str"/>
      <c r="J357" s="188">
        <f>1</f>
        <v/>
      </c>
      <c r="K357" s="188">
        <f>IF(AND(D357&lt;=5,F357=0),1,0)</f>
        <v/>
      </c>
      <c r="L357" s="188">
        <f>IF(F357=1,'01_ВВОД'!$D$23,CHOOSE(D357,'01_ВВОД'!$D$19,'01_ВВОД'!$D$19,'01_ВВОД'!$D$19,'01_ВВОД'!$D$19,'01_ВВОД'!$D$20,'01_ВВОД'!$D$21,'01_ВВОД'!$D$22))</f>
        <v/>
      </c>
      <c r="M357" s="188">
        <f>L357*IF(H357=1,'01_ВВОД'!$D$118,1)</f>
        <v/>
      </c>
      <c r="N357" s="188">
        <f>IF(K357=1,'01_ВВОД'!$D$26,0)</f>
        <v/>
      </c>
      <c r="O357" s="188">
        <f>IF(F357=1,'01_ВВОД'!$D$34,IF(D357&lt;=5,'01_ВВОД'!$D$32,'01_ВВОД'!$D$33))</f>
        <v/>
      </c>
      <c r="P357" s="188">
        <f>O357</f>
        <v/>
      </c>
      <c r="Q357" s="188">
        <f>'01_ВВОД'!$D$40</f>
        <v/>
      </c>
      <c r="R357" s="188">
        <f>'01_ВВОД'!$D$46</f>
        <v/>
      </c>
      <c r="S357" s="188">
        <f>H357</f>
        <v/>
      </c>
      <c r="T357" s="188">
        <f>IF(H357=1,M357+N357+P357+Q357,0)</f>
        <v/>
      </c>
      <c r="U357">
        <f>R357*'01_ВВОД'!$D$120</f>
        <v/>
      </c>
    </row>
    <row r="358">
      <c r="A358" s="200" t="n">
        <v>46619</v>
      </c>
      <c r="B358" s="201" t="n">
        <v>12</v>
      </c>
      <c r="C358" s="201" t="inlineStr">
        <is>
          <t>Авг-27</t>
        </is>
      </c>
      <c r="D358" s="201" t="n">
        <v>5</v>
      </c>
      <c r="E358" s="201" t="inlineStr">
        <is>
          <t>Пт</t>
        </is>
      </c>
      <c r="F358" s="199" t="n">
        <v>0</v>
      </c>
      <c r="G358" s="201" t="str"/>
      <c r="H358" s="193" t="n">
        <v>0</v>
      </c>
      <c r="I358" s="201" t="str"/>
      <c r="J358" s="188">
        <f>1</f>
        <v/>
      </c>
      <c r="K358" s="188">
        <f>IF(AND(D358&lt;=5,F358=0),1,0)</f>
        <v/>
      </c>
      <c r="L358" s="188">
        <f>IF(F358=1,'01_ВВОД'!$D$23,CHOOSE(D358,'01_ВВОД'!$D$19,'01_ВВОД'!$D$19,'01_ВВОД'!$D$19,'01_ВВОД'!$D$19,'01_ВВОД'!$D$20,'01_ВВОД'!$D$21,'01_ВВОД'!$D$22))</f>
        <v/>
      </c>
      <c r="M358" s="188">
        <f>L358*IF(H358=1,'01_ВВОД'!$D$118,1)</f>
        <v/>
      </c>
      <c r="N358" s="188">
        <f>IF(K358=1,'01_ВВОД'!$D$26,0)</f>
        <v/>
      </c>
      <c r="O358" s="188">
        <f>IF(F358=1,'01_ВВОД'!$D$34,IF(D358&lt;=5,'01_ВВОД'!$D$32,'01_ВВОД'!$D$33))</f>
        <v/>
      </c>
      <c r="P358" s="188">
        <f>O358</f>
        <v/>
      </c>
      <c r="Q358" s="188">
        <f>'01_ВВОД'!$D$40</f>
        <v/>
      </c>
      <c r="R358" s="188">
        <f>'01_ВВОД'!$D$46</f>
        <v/>
      </c>
      <c r="S358" s="188">
        <f>H358</f>
        <v/>
      </c>
      <c r="T358" s="188">
        <f>IF(H358=1,M358+N358+P358+Q358,0)</f>
        <v/>
      </c>
      <c r="U358">
        <f>R358*'01_ВВОД'!$D$120</f>
        <v/>
      </c>
    </row>
    <row r="359">
      <c r="A359" s="200" t="n">
        <v>46620</v>
      </c>
      <c r="B359" s="201" t="n">
        <v>12</v>
      </c>
      <c r="C359" s="201" t="inlineStr">
        <is>
          <t>Авг-27</t>
        </is>
      </c>
      <c r="D359" s="201" t="n">
        <v>6</v>
      </c>
      <c r="E359" s="201" t="inlineStr">
        <is>
          <t>Сб</t>
        </is>
      </c>
      <c r="F359" s="199" t="n">
        <v>0</v>
      </c>
      <c r="G359" s="201" t="str"/>
      <c r="H359" s="193" t="n">
        <v>1</v>
      </c>
      <c r="I359" s="201" t="inlineStr">
        <is>
          <t>Пт–Вс</t>
        </is>
      </c>
      <c r="J359" s="188">
        <f>1</f>
        <v/>
      </c>
      <c r="K359" s="188">
        <f>IF(AND(D359&lt;=5,F359=0),1,0)</f>
        <v/>
      </c>
      <c r="L359" s="188">
        <f>IF(F359=1,'01_ВВОД'!$D$23,CHOOSE(D359,'01_ВВОД'!$D$19,'01_ВВОД'!$D$19,'01_ВВОД'!$D$19,'01_ВВОД'!$D$19,'01_ВВОД'!$D$20,'01_ВВОД'!$D$21,'01_ВВОД'!$D$22))</f>
        <v/>
      </c>
      <c r="M359" s="188">
        <f>L359*IF(H359=1,'01_ВВОД'!$D$118,1)</f>
        <v/>
      </c>
      <c r="N359" s="188">
        <f>IF(K359=1,'01_ВВОД'!$D$26,0)</f>
        <v/>
      </c>
      <c r="O359" s="188">
        <f>IF(F359=1,'01_ВВОД'!$D$34,IF(D359&lt;=5,'01_ВВОД'!$D$32,'01_ВВОД'!$D$33))</f>
        <v/>
      </c>
      <c r="P359" s="188">
        <f>O359</f>
        <v/>
      </c>
      <c r="Q359" s="188">
        <f>'01_ВВОД'!$D$40</f>
        <v/>
      </c>
      <c r="R359" s="188">
        <f>'01_ВВОД'!$D$46</f>
        <v/>
      </c>
      <c r="S359" s="188">
        <f>H359</f>
        <v/>
      </c>
      <c r="T359" s="188">
        <f>IF(H359=1,M359+N359+P359+Q359,0)</f>
        <v/>
      </c>
      <c r="U359">
        <f>R359*'01_ВВОД'!$D$120</f>
        <v/>
      </c>
    </row>
    <row r="360">
      <c r="A360" s="200" t="n">
        <v>46621</v>
      </c>
      <c r="B360" s="201" t="n">
        <v>12</v>
      </c>
      <c r="C360" s="201" t="inlineStr">
        <is>
          <t>Авг-27</t>
        </is>
      </c>
      <c r="D360" s="201" t="n">
        <v>7</v>
      </c>
      <c r="E360" s="201" t="inlineStr">
        <is>
          <t>Вс</t>
        </is>
      </c>
      <c r="F360" s="199" t="n">
        <v>0</v>
      </c>
      <c r="G360" s="201" t="str"/>
      <c r="H360" s="193" t="n">
        <v>0</v>
      </c>
      <c r="I360" s="201" t="str"/>
      <c r="J360" s="188">
        <f>1</f>
        <v/>
      </c>
      <c r="K360" s="188">
        <f>IF(AND(D360&lt;=5,F360=0),1,0)</f>
        <v/>
      </c>
      <c r="L360" s="188">
        <f>IF(F360=1,'01_ВВОД'!$D$23,CHOOSE(D360,'01_ВВОД'!$D$19,'01_ВВОД'!$D$19,'01_ВВОД'!$D$19,'01_ВВОД'!$D$19,'01_ВВОД'!$D$20,'01_ВВОД'!$D$21,'01_ВВОД'!$D$22))</f>
        <v/>
      </c>
      <c r="M360" s="188">
        <f>L360*IF(H360=1,'01_ВВОД'!$D$118,1)</f>
        <v/>
      </c>
      <c r="N360" s="188">
        <f>IF(K360=1,'01_ВВОД'!$D$26,0)</f>
        <v/>
      </c>
      <c r="O360" s="188">
        <f>IF(F360=1,'01_ВВОД'!$D$34,IF(D360&lt;=5,'01_ВВОД'!$D$32,'01_ВВОД'!$D$33))</f>
        <v/>
      </c>
      <c r="P360" s="188">
        <f>O360</f>
        <v/>
      </c>
      <c r="Q360" s="188">
        <f>'01_ВВОД'!$D$40</f>
        <v/>
      </c>
      <c r="R360" s="188">
        <f>'01_ВВОД'!$D$46</f>
        <v/>
      </c>
      <c r="S360" s="188">
        <f>H360</f>
        <v/>
      </c>
      <c r="T360" s="188">
        <f>IF(H360=1,M360+N360+P360+Q360,0)</f>
        <v/>
      </c>
      <c r="U360">
        <f>R360*'01_ВВОД'!$D$120</f>
        <v/>
      </c>
    </row>
    <row r="361">
      <c r="A361" s="200" t="n">
        <v>46622</v>
      </c>
      <c r="B361" s="201" t="n">
        <v>12</v>
      </c>
      <c r="C361" s="201" t="inlineStr">
        <is>
          <t>Авг-27</t>
        </is>
      </c>
      <c r="D361" s="201" t="n">
        <v>1</v>
      </c>
      <c r="E361" s="201" t="inlineStr">
        <is>
          <t>Пн</t>
        </is>
      </c>
      <c r="F361" s="199" t="n">
        <v>0</v>
      </c>
      <c r="G361" s="201" t="str"/>
      <c r="H361" s="193" t="n">
        <v>0</v>
      </c>
      <c r="I361" s="201" t="str"/>
      <c r="J361" s="188">
        <f>1</f>
        <v/>
      </c>
      <c r="K361" s="188">
        <f>IF(AND(D361&lt;=5,F361=0),1,0)</f>
        <v/>
      </c>
      <c r="L361" s="188">
        <f>IF(F361=1,'01_ВВОД'!$D$23,CHOOSE(D361,'01_ВВОД'!$D$19,'01_ВВОД'!$D$19,'01_ВВОД'!$D$19,'01_ВВОД'!$D$19,'01_ВВОД'!$D$20,'01_ВВОД'!$D$21,'01_ВВОД'!$D$22))</f>
        <v/>
      </c>
      <c r="M361" s="188">
        <f>L361*IF(H361=1,'01_ВВОД'!$D$118,1)</f>
        <v/>
      </c>
      <c r="N361" s="188">
        <f>IF(K361=1,'01_ВВОД'!$D$26,0)</f>
        <v/>
      </c>
      <c r="O361" s="188">
        <f>IF(F361=1,'01_ВВОД'!$D$34,IF(D361&lt;=5,'01_ВВОД'!$D$32,'01_ВВОД'!$D$33))</f>
        <v/>
      </c>
      <c r="P361" s="188">
        <f>O361</f>
        <v/>
      </c>
      <c r="Q361" s="188">
        <f>'01_ВВОД'!$D$40</f>
        <v/>
      </c>
      <c r="R361" s="188">
        <f>'01_ВВОД'!$D$46</f>
        <v/>
      </c>
      <c r="S361" s="188">
        <f>H361</f>
        <v/>
      </c>
      <c r="T361" s="188">
        <f>IF(H361=1,M361+N361+P361+Q361,0)</f>
        <v/>
      </c>
      <c r="U361">
        <f>R361*'01_ВВОД'!$D$120</f>
        <v/>
      </c>
    </row>
    <row r="362">
      <c r="A362" s="200" t="n">
        <v>46623</v>
      </c>
      <c r="B362" s="201" t="n">
        <v>12</v>
      </c>
      <c r="C362" s="201" t="inlineStr">
        <is>
          <t>Авг-27</t>
        </is>
      </c>
      <c r="D362" s="201" t="n">
        <v>2</v>
      </c>
      <c r="E362" s="201" t="inlineStr">
        <is>
          <t>Вт</t>
        </is>
      </c>
      <c r="F362" s="199" t="n">
        <v>0</v>
      </c>
      <c r="G362" s="201" t="str"/>
      <c r="H362" s="193" t="n">
        <v>0</v>
      </c>
      <c r="I362" s="201" t="str"/>
      <c r="J362" s="188">
        <f>1</f>
        <v/>
      </c>
      <c r="K362" s="188">
        <f>IF(AND(D362&lt;=5,F362=0),1,0)</f>
        <v/>
      </c>
      <c r="L362" s="188">
        <f>IF(F362=1,'01_ВВОД'!$D$23,CHOOSE(D362,'01_ВВОД'!$D$19,'01_ВВОД'!$D$19,'01_ВВОД'!$D$19,'01_ВВОД'!$D$19,'01_ВВОД'!$D$20,'01_ВВОД'!$D$21,'01_ВВОД'!$D$22))</f>
        <v/>
      </c>
      <c r="M362" s="188">
        <f>L362*IF(H362=1,'01_ВВОД'!$D$118,1)</f>
        <v/>
      </c>
      <c r="N362" s="188">
        <f>IF(K362=1,'01_ВВОД'!$D$26,0)</f>
        <v/>
      </c>
      <c r="O362" s="188">
        <f>IF(F362=1,'01_ВВОД'!$D$34,IF(D362&lt;=5,'01_ВВОД'!$D$32,'01_ВВОД'!$D$33))</f>
        <v/>
      </c>
      <c r="P362" s="188">
        <f>O362</f>
        <v/>
      </c>
      <c r="Q362" s="188">
        <f>'01_ВВОД'!$D$40</f>
        <v/>
      </c>
      <c r="R362" s="188">
        <f>'01_ВВОД'!$D$46</f>
        <v/>
      </c>
      <c r="S362" s="188">
        <f>H362</f>
        <v/>
      </c>
      <c r="T362" s="188">
        <f>IF(H362=1,M362+N362+P362+Q362,0)</f>
        <v/>
      </c>
      <c r="U362">
        <f>R362*'01_ВВОД'!$D$120</f>
        <v/>
      </c>
    </row>
    <row r="363">
      <c r="A363" s="200" t="n">
        <v>46624</v>
      </c>
      <c r="B363" s="201" t="n">
        <v>12</v>
      </c>
      <c r="C363" s="201" t="inlineStr">
        <is>
          <t>Авг-27</t>
        </is>
      </c>
      <c r="D363" s="201" t="n">
        <v>3</v>
      </c>
      <c r="E363" s="201" t="inlineStr">
        <is>
          <t>Ср</t>
        </is>
      </c>
      <c r="F363" s="199" t="n">
        <v>0</v>
      </c>
      <c r="G363" s="201" t="str"/>
      <c r="H363" s="193" t="n">
        <v>0</v>
      </c>
      <c r="I363" s="201" t="str"/>
      <c r="J363" s="188">
        <f>1</f>
        <v/>
      </c>
      <c r="K363" s="188">
        <f>IF(AND(D363&lt;=5,F363=0),1,0)</f>
        <v/>
      </c>
      <c r="L363" s="188">
        <f>IF(F363=1,'01_ВВОД'!$D$23,CHOOSE(D363,'01_ВВОД'!$D$19,'01_ВВОД'!$D$19,'01_ВВОД'!$D$19,'01_ВВОД'!$D$19,'01_ВВОД'!$D$20,'01_ВВОД'!$D$21,'01_ВВОД'!$D$22))</f>
        <v/>
      </c>
      <c r="M363" s="188">
        <f>L363*IF(H363=1,'01_ВВОД'!$D$118,1)</f>
        <v/>
      </c>
      <c r="N363" s="188">
        <f>IF(K363=1,'01_ВВОД'!$D$26,0)</f>
        <v/>
      </c>
      <c r="O363" s="188">
        <f>IF(F363=1,'01_ВВОД'!$D$34,IF(D363&lt;=5,'01_ВВОД'!$D$32,'01_ВВОД'!$D$33))</f>
        <v/>
      </c>
      <c r="P363" s="188">
        <f>O363</f>
        <v/>
      </c>
      <c r="Q363" s="188">
        <f>'01_ВВОД'!$D$40</f>
        <v/>
      </c>
      <c r="R363" s="188">
        <f>'01_ВВОД'!$D$46</f>
        <v/>
      </c>
      <c r="S363" s="188">
        <f>H363</f>
        <v/>
      </c>
      <c r="T363" s="188">
        <f>IF(H363=1,M363+N363+P363+Q363,0)</f>
        <v/>
      </c>
      <c r="U363">
        <f>R363*'01_ВВОД'!$D$120</f>
        <v/>
      </c>
    </row>
    <row r="364">
      <c r="A364" s="200" t="n">
        <v>46625</v>
      </c>
      <c r="B364" s="201" t="n">
        <v>12</v>
      </c>
      <c r="C364" s="201" t="inlineStr">
        <is>
          <t>Авг-27</t>
        </is>
      </c>
      <c r="D364" s="201" t="n">
        <v>4</v>
      </c>
      <c r="E364" s="201" t="inlineStr">
        <is>
          <t>Чт</t>
        </is>
      </c>
      <c r="F364" s="199" t="n">
        <v>0</v>
      </c>
      <c r="G364" s="201" t="str"/>
      <c r="H364" s="193" t="n">
        <v>0</v>
      </c>
      <c r="I364" s="201" t="str"/>
      <c r="J364" s="188">
        <f>1</f>
        <v/>
      </c>
      <c r="K364" s="188">
        <f>IF(AND(D364&lt;=5,F364=0),1,0)</f>
        <v/>
      </c>
      <c r="L364" s="188">
        <f>IF(F364=1,'01_ВВОД'!$D$23,CHOOSE(D364,'01_ВВОД'!$D$19,'01_ВВОД'!$D$19,'01_ВВОД'!$D$19,'01_ВВОД'!$D$19,'01_ВВОД'!$D$20,'01_ВВОД'!$D$21,'01_ВВОД'!$D$22))</f>
        <v/>
      </c>
      <c r="M364" s="188">
        <f>L364*IF(H364=1,'01_ВВОД'!$D$118,1)</f>
        <v/>
      </c>
      <c r="N364" s="188">
        <f>IF(K364=1,'01_ВВОД'!$D$26,0)</f>
        <v/>
      </c>
      <c r="O364" s="188">
        <f>IF(F364=1,'01_ВВОД'!$D$34,IF(D364&lt;=5,'01_ВВОД'!$D$32,'01_ВВОД'!$D$33))</f>
        <v/>
      </c>
      <c r="P364" s="188">
        <f>O364</f>
        <v/>
      </c>
      <c r="Q364" s="188">
        <f>'01_ВВОД'!$D$40</f>
        <v/>
      </c>
      <c r="R364" s="188">
        <f>'01_ВВОД'!$D$46</f>
        <v/>
      </c>
      <c r="S364" s="188">
        <f>H364</f>
        <v/>
      </c>
      <c r="T364" s="188">
        <f>IF(H364=1,M364+N364+P364+Q364,0)</f>
        <v/>
      </c>
      <c r="U364">
        <f>R364*'01_ВВОД'!$D$120</f>
        <v/>
      </c>
    </row>
    <row r="365">
      <c r="A365" s="200" t="n">
        <v>46626</v>
      </c>
      <c r="B365" s="201" t="n">
        <v>12</v>
      </c>
      <c r="C365" s="201" t="inlineStr">
        <is>
          <t>Авг-27</t>
        </is>
      </c>
      <c r="D365" s="201" t="n">
        <v>5</v>
      </c>
      <c r="E365" s="201" t="inlineStr">
        <is>
          <t>Пт</t>
        </is>
      </c>
      <c r="F365" s="199" t="n">
        <v>0</v>
      </c>
      <c r="G365" s="201" t="str"/>
      <c r="H365" s="193" t="n">
        <v>1</v>
      </c>
      <c r="I365" s="201" t="inlineStr">
        <is>
          <t>Пт–Вс</t>
        </is>
      </c>
      <c r="J365" s="188">
        <f>1</f>
        <v/>
      </c>
      <c r="K365" s="188">
        <f>IF(AND(D365&lt;=5,F365=0),1,0)</f>
        <v/>
      </c>
      <c r="L365" s="188">
        <f>IF(F365=1,'01_ВВОД'!$D$23,CHOOSE(D365,'01_ВВОД'!$D$19,'01_ВВОД'!$D$19,'01_ВВОД'!$D$19,'01_ВВОД'!$D$19,'01_ВВОД'!$D$20,'01_ВВОД'!$D$21,'01_ВВОД'!$D$22))</f>
        <v/>
      </c>
      <c r="M365" s="188">
        <f>L365*IF(H365=1,'01_ВВОД'!$D$118,1)</f>
        <v/>
      </c>
      <c r="N365" s="188">
        <f>IF(K365=1,'01_ВВОД'!$D$26,0)</f>
        <v/>
      </c>
      <c r="O365" s="188">
        <f>IF(F365=1,'01_ВВОД'!$D$34,IF(D365&lt;=5,'01_ВВОД'!$D$32,'01_ВВОД'!$D$33))</f>
        <v/>
      </c>
      <c r="P365" s="188">
        <f>O365</f>
        <v/>
      </c>
      <c r="Q365" s="188">
        <f>'01_ВВОД'!$D$40</f>
        <v/>
      </c>
      <c r="R365" s="188">
        <f>'01_ВВОД'!$D$46</f>
        <v/>
      </c>
      <c r="S365" s="188">
        <f>H365</f>
        <v/>
      </c>
      <c r="T365" s="188">
        <f>IF(H365=1,M365+N365+P365+Q365,0)</f>
        <v/>
      </c>
      <c r="U365">
        <f>R365*'01_ВВОД'!$D$120</f>
        <v/>
      </c>
    </row>
    <row r="366">
      <c r="A366" s="200" t="n">
        <v>46627</v>
      </c>
      <c r="B366" s="201" t="n">
        <v>12</v>
      </c>
      <c r="C366" s="201" t="inlineStr">
        <is>
          <t>Авг-27</t>
        </is>
      </c>
      <c r="D366" s="201" t="n">
        <v>6</v>
      </c>
      <c r="E366" s="201" t="inlineStr">
        <is>
          <t>Сб</t>
        </is>
      </c>
      <c r="F366" s="199" t="n">
        <v>0</v>
      </c>
      <c r="G366" s="201" t="str"/>
      <c r="H366" s="193" t="n">
        <v>1</v>
      </c>
      <c r="I366" s="201" t="inlineStr">
        <is>
          <t>Пт–Вс</t>
        </is>
      </c>
      <c r="J366" s="188">
        <f>1</f>
        <v/>
      </c>
      <c r="K366" s="188">
        <f>IF(AND(D366&lt;=5,F366=0),1,0)</f>
        <v/>
      </c>
      <c r="L366" s="188">
        <f>IF(F366=1,'01_ВВОД'!$D$23,CHOOSE(D366,'01_ВВОД'!$D$19,'01_ВВОД'!$D$19,'01_ВВОД'!$D$19,'01_ВВОД'!$D$19,'01_ВВОД'!$D$20,'01_ВВОД'!$D$21,'01_ВВОД'!$D$22))</f>
        <v/>
      </c>
      <c r="M366" s="188">
        <f>L366*IF(H366=1,'01_ВВОД'!$D$118,1)</f>
        <v/>
      </c>
      <c r="N366" s="188">
        <f>IF(K366=1,'01_ВВОД'!$D$26,0)</f>
        <v/>
      </c>
      <c r="O366" s="188">
        <f>IF(F366=1,'01_ВВОД'!$D$34,IF(D366&lt;=5,'01_ВВОД'!$D$32,'01_ВВОД'!$D$33))</f>
        <v/>
      </c>
      <c r="P366" s="188">
        <f>O366</f>
        <v/>
      </c>
      <c r="Q366" s="188">
        <f>'01_ВВОД'!$D$40</f>
        <v/>
      </c>
      <c r="R366" s="188">
        <f>'01_ВВОД'!$D$46</f>
        <v/>
      </c>
      <c r="S366" s="188">
        <f>H366</f>
        <v/>
      </c>
      <c r="T366" s="188">
        <f>IF(H366=1,M366+N366+P366+Q366,0)</f>
        <v/>
      </c>
      <c r="U366">
        <f>R366*'01_ВВОД'!$D$120</f>
        <v/>
      </c>
    </row>
    <row r="367">
      <c r="A367" s="200" t="n">
        <v>46628</v>
      </c>
      <c r="B367" s="201" t="n">
        <v>12</v>
      </c>
      <c r="C367" s="201" t="inlineStr">
        <is>
          <t>Авг-27</t>
        </is>
      </c>
      <c r="D367" s="201" t="n">
        <v>7</v>
      </c>
      <c r="E367" s="201" t="inlineStr">
        <is>
          <t>Вс</t>
        </is>
      </c>
      <c r="F367" s="199" t="n">
        <v>0</v>
      </c>
      <c r="G367" s="201" t="str"/>
      <c r="H367" s="193" t="n">
        <v>0</v>
      </c>
      <c r="I367" s="201" t="str"/>
      <c r="J367" s="188">
        <f>1</f>
        <v/>
      </c>
      <c r="K367" s="188">
        <f>IF(AND(D367&lt;=5,F367=0),1,0)</f>
        <v/>
      </c>
      <c r="L367" s="188">
        <f>IF(F367=1,'01_ВВОД'!$D$23,CHOOSE(D367,'01_ВВОД'!$D$19,'01_ВВОД'!$D$19,'01_ВВОД'!$D$19,'01_ВВОД'!$D$19,'01_ВВОД'!$D$20,'01_ВВОД'!$D$21,'01_ВВОД'!$D$22))</f>
        <v/>
      </c>
      <c r="M367" s="188">
        <f>L367*IF(H367=1,'01_ВВОД'!$D$118,1)</f>
        <v/>
      </c>
      <c r="N367" s="188">
        <f>IF(K367=1,'01_ВВОД'!$D$26,0)</f>
        <v/>
      </c>
      <c r="O367" s="188">
        <f>IF(F367=1,'01_ВВОД'!$D$34,IF(D367&lt;=5,'01_ВВОД'!$D$32,'01_ВВОД'!$D$33))</f>
        <v/>
      </c>
      <c r="P367" s="188">
        <f>O367</f>
        <v/>
      </c>
      <c r="Q367" s="188">
        <f>'01_ВВОД'!$D$40</f>
        <v/>
      </c>
      <c r="R367" s="188">
        <f>'01_ВВОД'!$D$46</f>
        <v/>
      </c>
      <c r="S367" s="188">
        <f>H367</f>
        <v/>
      </c>
      <c r="T367" s="188">
        <f>IF(H367=1,M367+N367+P367+Q367,0)</f>
        <v/>
      </c>
      <c r="U367">
        <f>R367*'01_ВВОД'!$D$120</f>
        <v/>
      </c>
    </row>
    <row r="368">
      <c r="A368" s="200" t="n">
        <v>46629</v>
      </c>
      <c r="B368" s="201" t="n">
        <v>12</v>
      </c>
      <c r="C368" s="201" t="inlineStr">
        <is>
          <t>Авг-27</t>
        </is>
      </c>
      <c r="D368" s="201" t="n">
        <v>1</v>
      </c>
      <c r="E368" s="201" t="inlineStr">
        <is>
          <t>Пн</t>
        </is>
      </c>
      <c r="F368" s="199" t="n">
        <v>0</v>
      </c>
      <c r="G368" s="201" t="str"/>
      <c r="H368" s="193" t="n">
        <v>0</v>
      </c>
      <c r="I368" s="201" t="str"/>
      <c r="J368" s="188">
        <f>1</f>
        <v/>
      </c>
      <c r="K368" s="188">
        <f>IF(AND(D368&lt;=5,F368=0),1,0)</f>
        <v/>
      </c>
      <c r="L368" s="188">
        <f>IF(F368=1,'01_ВВОД'!$D$23,CHOOSE(D368,'01_ВВОД'!$D$19,'01_ВВОД'!$D$19,'01_ВВОД'!$D$19,'01_ВВОД'!$D$19,'01_ВВОД'!$D$20,'01_ВВОД'!$D$21,'01_ВВОД'!$D$22))</f>
        <v/>
      </c>
      <c r="M368" s="188">
        <f>L368*IF(H368=1,'01_ВВОД'!$D$118,1)</f>
        <v/>
      </c>
      <c r="N368" s="188">
        <f>IF(K368=1,'01_ВВОД'!$D$26,0)</f>
        <v/>
      </c>
      <c r="O368" s="188">
        <f>IF(F368=1,'01_ВВОД'!$D$34,IF(D368&lt;=5,'01_ВВОД'!$D$32,'01_ВВОД'!$D$33))</f>
        <v/>
      </c>
      <c r="P368" s="188">
        <f>O368</f>
        <v/>
      </c>
      <c r="Q368" s="188">
        <f>'01_ВВОД'!$D$40</f>
        <v/>
      </c>
      <c r="R368" s="188">
        <f>'01_ВВОД'!$D$46</f>
        <v/>
      </c>
      <c r="S368" s="188">
        <f>H368</f>
        <v/>
      </c>
      <c r="T368" s="188">
        <f>IF(H368=1,M368+N368+P368+Q368,0)</f>
        <v/>
      </c>
      <c r="U368">
        <f>R368*'01_ВВОД'!$D$120</f>
        <v/>
      </c>
    </row>
    <row r="369">
      <c r="A369" s="200" t="n">
        <v>46630</v>
      </c>
      <c r="B369" s="201" t="n">
        <v>12</v>
      </c>
      <c r="C369" s="201" t="inlineStr">
        <is>
          <t>Авг-27</t>
        </is>
      </c>
      <c r="D369" s="201" t="n">
        <v>2</v>
      </c>
      <c r="E369" s="201" t="inlineStr">
        <is>
          <t>Вт</t>
        </is>
      </c>
      <c r="F369" s="199" t="n">
        <v>0</v>
      </c>
      <c r="G369" s="201" t="str"/>
      <c r="H369" s="193" t="n">
        <v>0</v>
      </c>
      <c r="I369" s="201" t="str"/>
      <c r="J369" s="188">
        <f>1</f>
        <v/>
      </c>
      <c r="K369" s="188">
        <f>IF(AND(D369&lt;=5,F369=0),1,0)</f>
        <v/>
      </c>
      <c r="L369" s="188">
        <f>IF(F369=1,'01_ВВОД'!$D$23,CHOOSE(D369,'01_ВВОД'!$D$19,'01_ВВОД'!$D$19,'01_ВВОД'!$D$19,'01_ВВОД'!$D$19,'01_ВВОД'!$D$20,'01_ВВОД'!$D$21,'01_ВВОД'!$D$22))</f>
        <v/>
      </c>
      <c r="M369" s="188">
        <f>L369*IF(H369=1,'01_ВВОД'!$D$118,1)</f>
        <v/>
      </c>
      <c r="N369" s="188">
        <f>IF(K369=1,'01_ВВОД'!$D$26,0)</f>
        <v/>
      </c>
      <c r="O369" s="188">
        <f>IF(F369=1,'01_ВВОД'!$D$34,IF(D369&lt;=5,'01_ВВОД'!$D$32,'01_ВВОД'!$D$33))</f>
        <v/>
      </c>
      <c r="P369" s="188">
        <f>O369</f>
        <v/>
      </c>
      <c r="Q369" s="188">
        <f>'01_ВВОД'!$D$40</f>
        <v/>
      </c>
      <c r="R369" s="188">
        <f>'01_ВВОД'!$D$46</f>
        <v/>
      </c>
      <c r="S369" s="188">
        <f>H369</f>
        <v/>
      </c>
      <c r="T369" s="188">
        <f>IF(H369=1,M369+N369+P369+Q369,0)</f>
        <v/>
      </c>
      <c r="U369">
        <f>R369*'01_ВВОД'!$D$120</f>
        <v/>
      </c>
    </row>
  </sheetData>
  <mergeCells count="2">
    <mergeCell ref="A1:T1"/>
    <mergeCell ref="A2:T2"/>
  </mergeCells>
  <conditionalFormatting sqref="H5:H369">
    <cfRule type="expression" priority="1" dxfId="0">
      <formula>H5=1</formula>
    </cfRule>
  </conditionalFormatting>
  <conditionalFormatting sqref="F5:F369">
    <cfRule type="expression" priority="2" dxfId="1">
      <formula>F5=1</formula>
    </cfRule>
  </conditionalFormatting>
  <dataValidations count="2">
    <dataValidation sqref="F5:F369" showDropDown="0" showInputMessage="0" showErrorMessage="0" allowBlank="0" type="list">
      <formula1>"0,1"</formula1>
    </dataValidation>
    <dataValidation sqref="H5:H369" showDropDown="0" showInputMessage="0" showErrorMessage="0" allowBlank="0" type="list">
      <formula1>"0,1"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6" customWidth="1" style="174" min="1" max="1"/>
    <col width="24" customWidth="1" style="174" min="2" max="2"/>
    <col width="43" customWidth="1" style="174" min="3" max="3"/>
    <col width="13" customWidth="1" style="174" min="4" max="4"/>
    <col width="13" customWidth="1" style="174" min="5" max="5"/>
    <col width="13" customWidth="1" style="174" min="6" max="6"/>
    <col width="13" customWidth="1" style="174" min="7" max="7"/>
    <col width="13" customWidth="1" style="174" min="8" max="8"/>
    <col width="13" customWidth="1" style="174" min="9" max="9"/>
    <col width="13" customWidth="1" style="174" min="10" max="10"/>
    <col width="13" customWidth="1" style="174" min="11" max="11"/>
    <col width="13" customWidth="1" style="174" min="12" max="12"/>
    <col width="13" customWidth="1" style="174" min="13" max="13"/>
    <col width="13" customWidth="1" style="174" min="14" max="14"/>
    <col width="13" customWidth="1" style="174" min="15" max="15"/>
    <col width="13" customWidth="1" style="174" min="16" max="16"/>
    <col width="13" customWidth="1" style="174" min="17" max="17"/>
    <col width="14" customWidth="1" style="174" min="18" max="18"/>
  </cols>
  <sheetData>
    <row r="1" ht="28" customHeight="1" s="174">
      <c r="A1" s="9" t="inlineStr">
        <is>
          <t>Доходы по направлениям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3" t="inlineStr">
        <is>
          <t>Сценарий S03 наследует бизнес-ланч S02. Чек ужина — 1 000 руб.; food cost ужина равен food cost a-la carte; пересмотрены OPEX-inputs.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" customHeight="1" s="174">
      <c r="D3" s="88" t="n">
        <v>1</v>
      </c>
      <c r="E3" s="88" t="n">
        <v>2</v>
      </c>
      <c r="F3" s="88" t="n">
        <v>3</v>
      </c>
      <c r="G3" s="88" t="n">
        <v>4</v>
      </c>
      <c r="H3" s="88" t="n">
        <v>5</v>
      </c>
      <c r="I3" s="88" t="n">
        <v>6</v>
      </c>
      <c r="J3" s="88" t="n">
        <v>7</v>
      </c>
      <c r="K3" s="88" t="n">
        <v>8</v>
      </c>
      <c r="L3" s="88" t="n">
        <v>9</v>
      </c>
      <c r="M3" s="88" t="n">
        <v>10</v>
      </c>
      <c r="N3" s="88" t="n">
        <v>11</v>
      </c>
      <c r="O3" s="88" t="n">
        <v>12</v>
      </c>
    </row>
    <row r="4">
      <c r="A4" s="18" t="inlineStr">
        <is>
          <t>Код</t>
        </is>
      </c>
      <c r="B4" s="18" t="inlineStr">
        <is>
          <t>Раздел</t>
        </is>
      </c>
      <c r="C4" s="18" t="inlineStr">
        <is>
          <t>Показатель</t>
        </is>
      </c>
      <c r="D4" s="18" t="inlineStr">
        <is>
          <t>Сен-26</t>
        </is>
      </c>
      <c r="E4" s="18" t="inlineStr">
        <is>
          <t>Окт-26</t>
        </is>
      </c>
      <c r="F4" s="18" t="inlineStr">
        <is>
          <t>Ноя-26</t>
        </is>
      </c>
      <c r="G4" s="18" t="inlineStr">
        <is>
          <t>Дек-26</t>
        </is>
      </c>
      <c r="H4" s="18" t="inlineStr">
        <is>
          <t>Янв-27</t>
        </is>
      </c>
      <c r="I4" s="18" t="inlineStr">
        <is>
          <t>Фев-27</t>
        </is>
      </c>
      <c r="J4" s="18" t="inlineStr">
        <is>
          <t>Мар-27</t>
        </is>
      </c>
      <c r="K4" s="18" t="inlineStr">
        <is>
          <t>Апр-27</t>
        </is>
      </c>
      <c r="L4" s="18" t="inlineStr">
        <is>
          <t>Май-27</t>
        </is>
      </c>
      <c r="M4" s="18" t="inlineStr">
        <is>
          <t>Июн-27</t>
        </is>
      </c>
      <c r="N4" s="18" t="inlineStr">
        <is>
          <t>Июл-27</t>
        </is>
      </c>
      <c r="O4" s="18" t="inlineStr">
        <is>
          <t>Авг-27</t>
        </is>
      </c>
      <c r="P4" s="18" t="inlineStr">
        <is>
          <t>Итого за год</t>
        </is>
      </c>
      <c r="Q4" s="18" t="inlineStr">
        <is>
          <t>Среднее за месяц</t>
        </is>
      </c>
      <c r="R4" s="18" t="inlineStr">
        <is>
          <t>Ед.</t>
        </is>
      </c>
    </row>
    <row r="5">
      <c r="A5" s="122" t="inlineStr">
        <is>
          <t>БИЗНЕС 1 — КАФЕ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52" t="inlineStr">
        <is>
          <t>REV.ALA.QTY</t>
        </is>
      </c>
      <c r="B6" s="52" t="inlineStr">
        <is>
          <t>Кафе — а-ля карт</t>
        </is>
      </c>
      <c r="C6" s="52" t="inlineStr">
        <is>
          <t>Гости а-ля карт</t>
        </is>
      </c>
      <c r="D6" s="188">
        <f>SUMIF('02_КАЛЕНДАРЬ'!$B$5:$B$369,D$3,'02_КАЛЕНДАРЬ'!$M$5:$M$369)</f>
        <v/>
      </c>
      <c r="E6" s="188">
        <f>SUMIF('02_КАЛЕНДАРЬ'!$B$5:$B$369,E$3,'02_КАЛЕНДАРЬ'!$M$5:$M$369)</f>
        <v/>
      </c>
      <c r="F6" s="188">
        <f>SUMIF('02_КАЛЕНДАРЬ'!$B$5:$B$369,F$3,'02_КАЛЕНДАРЬ'!$M$5:$M$369)</f>
        <v/>
      </c>
      <c r="G6" s="188">
        <f>SUMIF('02_КАЛЕНДАРЬ'!$B$5:$B$369,G$3,'02_КАЛЕНДАРЬ'!$M$5:$M$369)</f>
        <v/>
      </c>
      <c r="H6" s="188">
        <f>SUMIF('02_КАЛЕНДАРЬ'!$B$5:$B$369,H$3,'02_КАЛЕНДАРЬ'!$M$5:$M$369)</f>
        <v/>
      </c>
      <c r="I6" s="188">
        <f>SUMIF('02_КАЛЕНДАРЬ'!$B$5:$B$369,I$3,'02_КАЛЕНДАРЬ'!$M$5:$M$369)</f>
        <v/>
      </c>
      <c r="J6" s="188">
        <f>SUMIF('02_КАЛЕНДАРЬ'!$B$5:$B$369,J$3,'02_КАЛЕНДАРЬ'!$M$5:$M$369)</f>
        <v/>
      </c>
      <c r="K6" s="188">
        <f>SUMIF('02_КАЛЕНДАРЬ'!$B$5:$B$369,K$3,'02_КАЛЕНДАРЬ'!$M$5:$M$369)</f>
        <v/>
      </c>
      <c r="L6" s="188">
        <f>SUMIF('02_КАЛЕНДАРЬ'!$B$5:$B$369,L$3,'02_КАЛЕНДАРЬ'!$M$5:$M$369)</f>
        <v/>
      </c>
      <c r="M6" s="188">
        <f>SUMIF('02_КАЛЕНДАРЬ'!$B$5:$B$369,M$3,'02_КАЛЕНДАРЬ'!$M$5:$M$369)</f>
        <v/>
      </c>
      <c r="N6" s="188">
        <f>SUMIF('02_КАЛЕНДАРЬ'!$B$5:$B$369,N$3,'02_КАЛЕНДАРЬ'!$M$5:$M$369)</f>
        <v/>
      </c>
      <c r="O6" s="188">
        <f>SUMIF('02_КАЛЕНДАРЬ'!$B$5:$B$369,O$3,'02_КАЛЕНДАРЬ'!$M$5:$M$369)</f>
        <v/>
      </c>
      <c r="P6" s="188">
        <f>SUM(D6:O6)</f>
        <v/>
      </c>
      <c r="Q6" s="188">
        <f>P6/12</f>
        <v/>
      </c>
      <c r="R6" s="52" t="inlineStr">
        <is>
          <t>гостей</t>
        </is>
      </c>
    </row>
    <row r="7">
      <c r="A7" s="52" t="inlineStr">
        <is>
          <t>REV.ALA.CHECK</t>
        </is>
      </c>
      <c r="B7" s="52" t="inlineStr">
        <is>
          <t>Кафе — а-ля карт</t>
        </is>
      </c>
      <c r="C7" s="52" t="inlineStr">
        <is>
          <t>Средний чек</t>
        </is>
      </c>
      <c r="D7" s="188">
        <f>'01_ВВОД'!$D$18</f>
        <v/>
      </c>
      <c r="E7" s="188">
        <f>'01_ВВОД'!$D$18</f>
        <v/>
      </c>
      <c r="F7" s="188">
        <f>'01_ВВОД'!$D$18</f>
        <v/>
      </c>
      <c r="G7" s="188">
        <f>'01_ВВОД'!$D$18</f>
        <v/>
      </c>
      <c r="H7" s="188">
        <f>'01_ВВОД'!$D$18</f>
        <v/>
      </c>
      <c r="I7" s="188">
        <f>'01_ВВОД'!$D$18</f>
        <v/>
      </c>
      <c r="J7" s="188">
        <f>'01_ВВОД'!$D$18</f>
        <v/>
      </c>
      <c r="K7" s="188">
        <f>'01_ВВОД'!$D$18</f>
        <v/>
      </c>
      <c r="L7" s="188">
        <f>'01_ВВОД'!$D$18</f>
        <v/>
      </c>
      <c r="M7" s="188">
        <f>'01_ВВОД'!$D$18</f>
        <v/>
      </c>
      <c r="N7" s="188">
        <f>'01_ВВОД'!$D$18</f>
        <v/>
      </c>
      <c r="O7" s="188">
        <f>'01_ВВОД'!$D$18</f>
        <v/>
      </c>
      <c r="P7" s="188">
        <f>AVERAGE(D7:O7)</f>
        <v/>
      </c>
      <c r="Q7" s="188">
        <f>P7</f>
        <v/>
      </c>
      <c r="R7" s="52" t="inlineStr">
        <is>
          <t>руб./гость</t>
        </is>
      </c>
    </row>
    <row r="8">
      <c r="A8" s="52" t="inlineStr">
        <is>
          <t>REV.ALA</t>
        </is>
      </c>
      <c r="B8" s="52" t="inlineStr">
        <is>
          <t>Кафе — а-ля карт</t>
        </is>
      </c>
      <c r="C8" s="117" t="inlineStr">
        <is>
          <t>Доходы а-ля карт</t>
        </is>
      </c>
      <c r="D8" s="188">
        <f>D6*D7</f>
        <v/>
      </c>
      <c r="E8" s="188">
        <f>E6*E7</f>
        <v/>
      </c>
      <c r="F8" s="188">
        <f>F6*F7</f>
        <v/>
      </c>
      <c r="G8" s="188">
        <f>G6*G7</f>
        <v/>
      </c>
      <c r="H8" s="188">
        <f>H6*H7</f>
        <v/>
      </c>
      <c r="I8" s="188">
        <f>I6*I7</f>
        <v/>
      </c>
      <c r="J8" s="188">
        <f>J6*J7</f>
        <v/>
      </c>
      <c r="K8" s="188">
        <f>K6*K7</f>
        <v/>
      </c>
      <c r="L8" s="188">
        <f>L6*L7</f>
        <v/>
      </c>
      <c r="M8" s="188">
        <f>M6*M7</f>
        <v/>
      </c>
      <c r="N8" s="188">
        <f>N6*N7</f>
        <v/>
      </c>
      <c r="O8" s="188">
        <f>O6*O7</f>
        <v/>
      </c>
      <c r="P8" s="188">
        <f>SUM(D8:O8)</f>
        <v/>
      </c>
      <c r="Q8" s="188">
        <f>P8/12</f>
        <v/>
      </c>
      <c r="R8" s="52" t="inlineStr">
        <is>
          <t>руб.</t>
        </is>
      </c>
    </row>
    <row r="9">
      <c r="A9" s="52" t="n"/>
      <c r="B9" s="52" t="n"/>
      <c r="C9" s="52" t="n"/>
      <c r="D9" s="188" t="n"/>
      <c r="E9" s="188" t="n"/>
      <c r="F9" s="188" t="n"/>
      <c r="G9" s="188" t="n"/>
      <c r="H9" s="188" t="n"/>
      <c r="I9" s="188" t="n"/>
      <c r="J9" s="188" t="n"/>
      <c r="K9" s="188" t="n"/>
      <c r="L9" s="188" t="n"/>
      <c r="M9" s="188" t="n"/>
      <c r="N9" s="188" t="n"/>
      <c r="O9" s="188" t="n"/>
      <c r="P9" s="188" t="n"/>
      <c r="Q9" s="188" t="n"/>
      <c r="R9" s="52" t="n"/>
    </row>
    <row r="10">
      <c r="A10" s="52" t="inlineStr">
        <is>
          <t>REV.LUNCH.QTY</t>
        </is>
      </c>
      <c r="B10" s="52" t="inlineStr">
        <is>
          <t>Кафе — бизнес-ланч</t>
        </is>
      </c>
      <c r="C10" s="52" t="inlineStr">
        <is>
          <t>Гости бизнес-ланча</t>
        </is>
      </c>
      <c r="D10" s="188">
        <f>SUMIF('02_КАЛЕНДАРЬ'!$B$5:$B$369,D$3,'02_КАЛЕНДАРЬ'!$N$5:$N$369)</f>
        <v/>
      </c>
      <c r="E10" s="188">
        <f>SUMIF('02_КАЛЕНДАРЬ'!$B$5:$B$369,E$3,'02_КАЛЕНДАРЬ'!$N$5:$N$369)</f>
        <v/>
      </c>
      <c r="F10" s="188">
        <f>SUMIF('02_КАЛЕНДАРЬ'!$B$5:$B$369,F$3,'02_КАЛЕНДАРЬ'!$N$5:$N$369)</f>
        <v/>
      </c>
      <c r="G10" s="188">
        <f>SUMIF('02_КАЛЕНДАРЬ'!$B$5:$B$369,G$3,'02_КАЛЕНДАРЬ'!$N$5:$N$369)</f>
        <v/>
      </c>
      <c r="H10" s="188">
        <f>SUMIF('02_КАЛЕНДАРЬ'!$B$5:$B$369,H$3,'02_КАЛЕНДАРЬ'!$N$5:$N$369)</f>
        <v/>
      </c>
      <c r="I10" s="188">
        <f>SUMIF('02_КАЛЕНДАРЬ'!$B$5:$B$369,I$3,'02_КАЛЕНДАРЬ'!$N$5:$N$369)</f>
        <v/>
      </c>
      <c r="J10" s="188">
        <f>SUMIF('02_КАЛЕНДАРЬ'!$B$5:$B$369,J$3,'02_КАЛЕНДАРЬ'!$N$5:$N$369)</f>
        <v/>
      </c>
      <c r="K10" s="188">
        <f>SUMIF('02_КАЛЕНДАРЬ'!$B$5:$B$369,K$3,'02_КАЛЕНДАРЬ'!$N$5:$N$369)</f>
        <v/>
      </c>
      <c r="L10" s="188">
        <f>SUMIF('02_КАЛЕНДАРЬ'!$B$5:$B$369,L$3,'02_КАЛЕНДАРЬ'!$N$5:$N$369)</f>
        <v/>
      </c>
      <c r="M10" s="188">
        <f>SUMIF('02_КАЛЕНДАРЬ'!$B$5:$B$369,M$3,'02_КАЛЕНДАРЬ'!$N$5:$N$369)</f>
        <v/>
      </c>
      <c r="N10" s="188">
        <f>SUMIF('02_КАЛЕНДАРЬ'!$B$5:$B$369,N$3,'02_КАЛЕНДАРЬ'!$N$5:$N$369)</f>
        <v/>
      </c>
      <c r="O10" s="188">
        <f>SUMIF('02_КАЛЕНДАРЬ'!$B$5:$B$369,O$3,'02_КАЛЕНДАРЬ'!$N$5:$N$369)</f>
        <v/>
      </c>
      <c r="P10" s="188">
        <f>SUM(D10:O10)</f>
        <v/>
      </c>
      <c r="Q10" s="188">
        <f>P10/12</f>
        <v/>
      </c>
      <c r="R10" s="52" t="inlineStr">
        <is>
          <t>гостей</t>
        </is>
      </c>
    </row>
    <row r="11">
      <c r="A11" s="52" t="inlineStr">
        <is>
          <t>REV.LUNCH.CHECK</t>
        </is>
      </c>
      <c r="B11" s="52" t="inlineStr">
        <is>
          <t>Кафе — бизнес-ланч</t>
        </is>
      </c>
      <c r="C11" s="52" t="inlineStr">
        <is>
          <t>Средний чек</t>
        </is>
      </c>
      <c r="D11" s="188">
        <f>'01_ВВОД'!$D$28</f>
        <v/>
      </c>
      <c r="E11" s="188">
        <f>'01_ВВОД'!$D$28</f>
        <v/>
      </c>
      <c r="F11" s="188">
        <f>'01_ВВОД'!$D$28</f>
        <v/>
      </c>
      <c r="G11" s="188">
        <f>'01_ВВОД'!$D$28</f>
        <v/>
      </c>
      <c r="H11" s="188">
        <f>'01_ВВОД'!$D$28</f>
        <v/>
      </c>
      <c r="I11" s="188">
        <f>'01_ВВОД'!$D$28</f>
        <v/>
      </c>
      <c r="J11" s="188">
        <f>'01_ВВОД'!$D$28</f>
        <v/>
      </c>
      <c r="K11" s="188">
        <f>'01_ВВОД'!$D$28</f>
        <v/>
      </c>
      <c r="L11" s="188">
        <f>'01_ВВОД'!$D$28</f>
        <v/>
      </c>
      <c r="M11" s="188">
        <f>'01_ВВОД'!$D$28</f>
        <v/>
      </c>
      <c r="N11" s="188">
        <f>'01_ВВОД'!$D$28</f>
        <v/>
      </c>
      <c r="O11" s="188">
        <f>'01_ВВОД'!$D$28</f>
        <v/>
      </c>
      <c r="P11" s="188">
        <f>AVERAGE(D11:O11)</f>
        <v/>
      </c>
      <c r="Q11" s="188">
        <f>P11</f>
        <v/>
      </c>
      <c r="R11" s="52" t="inlineStr">
        <is>
          <t>руб./гость</t>
        </is>
      </c>
    </row>
    <row r="12">
      <c r="A12" s="52" t="inlineStr">
        <is>
          <t>REV.LUNCH</t>
        </is>
      </c>
      <c r="B12" s="52" t="inlineStr">
        <is>
          <t>Кафе — бизнес-ланч</t>
        </is>
      </c>
      <c r="C12" s="117" t="inlineStr">
        <is>
          <t>Доходы бизнес-ланча</t>
        </is>
      </c>
      <c r="D12" s="188">
        <f>D10*D11</f>
        <v/>
      </c>
      <c r="E12" s="188">
        <f>E10*E11</f>
        <v/>
      </c>
      <c r="F12" s="188">
        <f>F10*F11</f>
        <v/>
      </c>
      <c r="G12" s="188">
        <f>G10*G11</f>
        <v/>
      </c>
      <c r="H12" s="188">
        <f>H10*H11</f>
        <v/>
      </c>
      <c r="I12" s="188">
        <f>I10*I11</f>
        <v/>
      </c>
      <c r="J12" s="188">
        <f>J10*J11</f>
        <v/>
      </c>
      <c r="K12" s="188">
        <f>K10*K11</f>
        <v/>
      </c>
      <c r="L12" s="188">
        <f>L10*L11</f>
        <v/>
      </c>
      <c r="M12" s="188">
        <f>M10*M11</f>
        <v/>
      </c>
      <c r="N12" s="188">
        <f>N10*N11</f>
        <v/>
      </c>
      <c r="O12" s="188">
        <f>O10*O11</f>
        <v/>
      </c>
      <c r="P12" s="188">
        <f>SUM(D12:O12)</f>
        <v/>
      </c>
      <c r="Q12" s="188">
        <f>P12/12</f>
        <v/>
      </c>
      <c r="R12" s="52" t="inlineStr">
        <is>
          <t>руб.</t>
        </is>
      </c>
    </row>
    <row r="13">
      <c r="A13" s="52" t="n"/>
      <c r="B13" s="52" t="n"/>
      <c r="C13" s="52" t="n"/>
      <c r="D13" s="188" t="n"/>
      <c r="E13" s="188" t="n"/>
      <c r="F13" s="188" t="n"/>
      <c r="G13" s="188" t="n"/>
      <c r="H13" s="188" t="n"/>
      <c r="I13" s="188" t="n"/>
      <c r="J13" s="188" t="n"/>
      <c r="K13" s="188" t="n"/>
      <c r="L13" s="188" t="n"/>
      <c r="M13" s="188" t="n"/>
      <c r="N13" s="188" t="n"/>
      <c r="O13" s="188" t="n"/>
      <c r="P13" s="188" t="n"/>
      <c r="Q13" s="188" t="n"/>
      <c r="R13" s="52" t="n"/>
    </row>
    <row r="14">
      <c r="A14" s="52" t="inlineStr">
        <is>
          <t>REV.DEL.QTY</t>
        </is>
      </c>
      <c r="B14" s="52" t="inlineStr">
        <is>
          <t>Кафе — доставка</t>
        </is>
      </c>
      <c r="C14" s="52" t="inlineStr">
        <is>
          <t>Заказы доставки</t>
        </is>
      </c>
      <c r="D14" s="188">
        <f>SUMIF('02_КАЛЕНДАРЬ'!$B$5:$B$369,D$3,'02_КАЛЕНДАРЬ'!$P$5:$P$369)</f>
        <v/>
      </c>
      <c r="E14" s="188">
        <f>SUMIF('02_КАЛЕНДАРЬ'!$B$5:$B$369,E$3,'02_КАЛЕНДАРЬ'!$P$5:$P$369)</f>
        <v/>
      </c>
      <c r="F14" s="188">
        <f>SUMIF('02_КАЛЕНДАРЬ'!$B$5:$B$369,F$3,'02_КАЛЕНДАРЬ'!$P$5:$P$369)</f>
        <v/>
      </c>
      <c r="G14" s="188">
        <f>SUMIF('02_КАЛЕНДАРЬ'!$B$5:$B$369,G$3,'02_КАЛЕНДАРЬ'!$P$5:$P$369)</f>
        <v/>
      </c>
      <c r="H14" s="188">
        <f>SUMIF('02_КАЛЕНДАРЬ'!$B$5:$B$369,H$3,'02_КАЛЕНДАРЬ'!$P$5:$P$369)</f>
        <v/>
      </c>
      <c r="I14" s="188">
        <f>SUMIF('02_КАЛЕНДАРЬ'!$B$5:$B$369,I$3,'02_КАЛЕНДАРЬ'!$P$5:$P$369)</f>
        <v/>
      </c>
      <c r="J14" s="188">
        <f>SUMIF('02_КАЛЕНДАРЬ'!$B$5:$B$369,J$3,'02_КАЛЕНДАРЬ'!$P$5:$P$369)</f>
        <v/>
      </c>
      <c r="K14" s="188">
        <f>SUMIF('02_КАЛЕНДАРЬ'!$B$5:$B$369,K$3,'02_КАЛЕНДАРЬ'!$P$5:$P$369)</f>
        <v/>
      </c>
      <c r="L14" s="188">
        <f>SUMIF('02_КАЛЕНДАРЬ'!$B$5:$B$369,L$3,'02_КАЛЕНДАРЬ'!$P$5:$P$369)</f>
        <v/>
      </c>
      <c r="M14" s="188">
        <f>SUMIF('02_КАЛЕНДАРЬ'!$B$5:$B$369,M$3,'02_КАЛЕНДАРЬ'!$P$5:$P$369)</f>
        <v/>
      </c>
      <c r="N14" s="188">
        <f>SUMIF('02_КАЛЕНДАРЬ'!$B$5:$B$369,N$3,'02_КАЛЕНДАРЬ'!$P$5:$P$369)</f>
        <v/>
      </c>
      <c r="O14" s="188">
        <f>SUMIF('02_КАЛЕНДАРЬ'!$B$5:$B$369,O$3,'02_КАЛЕНДАРЬ'!$P$5:$P$369)</f>
        <v/>
      </c>
      <c r="P14" s="188">
        <f>SUM(D14:O14)</f>
        <v/>
      </c>
      <c r="Q14" s="188">
        <f>P14/12</f>
        <v/>
      </c>
      <c r="R14" s="52" t="inlineStr">
        <is>
          <t>заказов</t>
        </is>
      </c>
    </row>
    <row r="15">
      <c r="A15" s="52" t="inlineStr">
        <is>
          <t>REV.DEL.CHECK</t>
        </is>
      </c>
      <c r="B15" s="52" t="inlineStr">
        <is>
          <t>Кафе — доставка</t>
        </is>
      </c>
      <c r="C15" s="52" t="inlineStr">
        <is>
          <t>Средний чек</t>
        </is>
      </c>
      <c r="D15" s="188">
        <f>'01_ВВОД'!$D$31</f>
        <v/>
      </c>
      <c r="E15" s="188">
        <f>'01_ВВОД'!$D$31</f>
        <v/>
      </c>
      <c r="F15" s="188">
        <f>'01_ВВОД'!$D$31</f>
        <v/>
      </c>
      <c r="G15" s="188">
        <f>'01_ВВОД'!$D$31</f>
        <v/>
      </c>
      <c r="H15" s="188">
        <f>'01_ВВОД'!$D$31</f>
        <v/>
      </c>
      <c r="I15" s="188">
        <f>'01_ВВОД'!$D$31</f>
        <v/>
      </c>
      <c r="J15" s="188">
        <f>'01_ВВОД'!$D$31</f>
        <v/>
      </c>
      <c r="K15" s="188">
        <f>'01_ВВОД'!$D$31</f>
        <v/>
      </c>
      <c r="L15" s="188">
        <f>'01_ВВОД'!$D$31</f>
        <v/>
      </c>
      <c r="M15" s="188">
        <f>'01_ВВОД'!$D$31</f>
        <v/>
      </c>
      <c r="N15" s="188">
        <f>'01_ВВОД'!$D$31</f>
        <v/>
      </c>
      <c r="O15" s="188">
        <f>'01_ВВОД'!$D$31</f>
        <v/>
      </c>
      <c r="P15" s="188">
        <f>AVERAGE(D15:O15)</f>
        <v/>
      </c>
      <c r="Q15" s="188">
        <f>P15</f>
        <v/>
      </c>
      <c r="R15" s="52" t="inlineStr">
        <is>
          <t>руб./заказ</t>
        </is>
      </c>
    </row>
    <row r="16">
      <c r="A16" s="52" t="inlineStr">
        <is>
          <t>REV.DEL</t>
        </is>
      </c>
      <c r="B16" s="52" t="inlineStr">
        <is>
          <t>Кафе — доставка</t>
        </is>
      </c>
      <c r="C16" s="117" t="inlineStr">
        <is>
          <t>Доходы доставки</t>
        </is>
      </c>
      <c r="D16" s="188">
        <f>D14*D15</f>
        <v/>
      </c>
      <c r="E16" s="188">
        <f>E14*E15</f>
        <v/>
      </c>
      <c r="F16" s="188">
        <f>F14*F15</f>
        <v/>
      </c>
      <c r="G16" s="188">
        <f>G14*G15</f>
        <v/>
      </c>
      <c r="H16" s="188">
        <f>H14*H15</f>
        <v/>
      </c>
      <c r="I16" s="188">
        <f>I14*I15</f>
        <v/>
      </c>
      <c r="J16" s="188">
        <f>J14*J15</f>
        <v/>
      </c>
      <c r="K16" s="188">
        <f>K14*K15</f>
        <v/>
      </c>
      <c r="L16" s="188">
        <f>L14*L15</f>
        <v/>
      </c>
      <c r="M16" s="188">
        <f>M14*M15</f>
        <v/>
      </c>
      <c r="N16" s="188">
        <f>N14*N15</f>
        <v/>
      </c>
      <c r="O16" s="188">
        <f>O14*O15</f>
        <v/>
      </c>
      <c r="P16" s="188">
        <f>SUM(D16:O16)</f>
        <v/>
      </c>
      <c r="Q16" s="188">
        <f>P16/12</f>
        <v/>
      </c>
      <c r="R16" s="52" t="inlineStr">
        <is>
          <t>руб.</t>
        </is>
      </c>
    </row>
    <row r="17">
      <c r="A17" s="52" t="n"/>
      <c r="B17" s="52" t="n"/>
      <c r="C17" s="52" t="n"/>
      <c r="D17" s="188" t="n"/>
      <c r="E17" s="188" t="n"/>
      <c r="F17" s="188" t="n"/>
      <c r="G17" s="188" t="n"/>
      <c r="H17" s="188" t="n"/>
      <c r="I17" s="188" t="n"/>
      <c r="J17" s="188" t="n"/>
      <c r="K17" s="188" t="n"/>
      <c r="L17" s="188" t="n"/>
      <c r="M17" s="188" t="n"/>
      <c r="N17" s="188" t="n"/>
      <c r="O17" s="188" t="n"/>
      <c r="P17" s="188" t="n"/>
      <c r="Q17" s="188" t="n"/>
      <c r="R17" s="52" t="n"/>
    </row>
    <row r="18">
      <c r="A18" s="52" t="inlineStr">
        <is>
          <t>REV.PICK.QTY</t>
        </is>
      </c>
      <c r="B18" s="52" t="inlineStr">
        <is>
          <t>Кафе — самовывоз</t>
        </is>
      </c>
      <c r="C18" s="52" t="inlineStr">
        <is>
          <t>Заказы самовывоза</t>
        </is>
      </c>
      <c r="D18" s="188">
        <f>SUMIF('02_КАЛЕНДАРЬ'!$B$5:$B$369,D$3,'02_КАЛЕНДАРЬ'!$Q$5:$Q$369)</f>
        <v/>
      </c>
      <c r="E18" s="188">
        <f>SUMIF('02_КАЛЕНДАРЬ'!$B$5:$B$369,E$3,'02_КАЛЕНДАРЬ'!$Q$5:$Q$369)</f>
        <v/>
      </c>
      <c r="F18" s="188">
        <f>SUMIF('02_КАЛЕНДАРЬ'!$B$5:$B$369,F$3,'02_КАЛЕНДАРЬ'!$Q$5:$Q$369)</f>
        <v/>
      </c>
      <c r="G18" s="188">
        <f>SUMIF('02_КАЛЕНДАРЬ'!$B$5:$B$369,G$3,'02_КАЛЕНДАРЬ'!$Q$5:$Q$369)</f>
        <v/>
      </c>
      <c r="H18" s="188">
        <f>SUMIF('02_КАЛЕНДАРЬ'!$B$5:$B$369,H$3,'02_КАЛЕНДАРЬ'!$Q$5:$Q$369)</f>
        <v/>
      </c>
      <c r="I18" s="188">
        <f>SUMIF('02_КАЛЕНДАРЬ'!$B$5:$B$369,I$3,'02_КАЛЕНДАРЬ'!$Q$5:$Q$369)</f>
        <v/>
      </c>
      <c r="J18" s="188">
        <f>SUMIF('02_КАЛЕНДАРЬ'!$B$5:$B$369,J$3,'02_КАЛЕНДАРЬ'!$Q$5:$Q$369)</f>
        <v/>
      </c>
      <c r="K18" s="188">
        <f>SUMIF('02_КАЛЕНДАРЬ'!$B$5:$B$369,K$3,'02_КАЛЕНДАРЬ'!$Q$5:$Q$369)</f>
        <v/>
      </c>
      <c r="L18" s="188">
        <f>SUMIF('02_КАЛЕНДАРЬ'!$B$5:$B$369,L$3,'02_КАЛЕНДАРЬ'!$Q$5:$Q$369)</f>
        <v/>
      </c>
      <c r="M18" s="188">
        <f>SUMIF('02_КАЛЕНДАРЬ'!$B$5:$B$369,M$3,'02_КАЛЕНДАРЬ'!$Q$5:$Q$369)</f>
        <v/>
      </c>
      <c r="N18" s="188">
        <f>SUMIF('02_КАЛЕНДАРЬ'!$B$5:$B$369,N$3,'02_КАЛЕНДАРЬ'!$Q$5:$Q$369)</f>
        <v/>
      </c>
      <c r="O18" s="188">
        <f>SUMIF('02_КАЛЕНДАРЬ'!$B$5:$B$369,O$3,'02_КАЛЕНДАРЬ'!$Q$5:$Q$369)</f>
        <v/>
      </c>
      <c r="P18" s="188">
        <f>SUM(D18:O18)</f>
        <v/>
      </c>
      <c r="Q18" s="188">
        <f>P18/12</f>
        <v/>
      </c>
      <c r="R18" s="52" t="inlineStr">
        <is>
          <t>заказов</t>
        </is>
      </c>
    </row>
    <row r="19">
      <c r="A19" s="52" t="inlineStr">
        <is>
          <t>REV.PICK.CHECK</t>
        </is>
      </c>
      <c r="B19" s="52" t="inlineStr">
        <is>
          <t>Кафе — самовывоз</t>
        </is>
      </c>
      <c r="C19" s="52" t="inlineStr">
        <is>
          <t>Средний чек</t>
        </is>
      </c>
      <c r="D19" s="188">
        <f>'01_ВВОД'!$D$39</f>
        <v/>
      </c>
      <c r="E19" s="188">
        <f>'01_ВВОД'!$D$39</f>
        <v/>
      </c>
      <c r="F19" s="188">
        <f>'01_ВВОД'!$D$39</f>
        <v/>
      </c>
      <c r="G19" s="188">
        <f>'01_ВВОД'!$D$39</f>
        <v/>
      </c>
      <c r="H19" s="188">
        <f>'01_ВВОД'!$D$39</f>
        <v/>
      </c>
      <c r="I19" s="188">
        <f>'01_ВВОД'!$D$39</f>
        <v/>
      </c>
      <c r="J19" s="188">
        <f>'01_ВВОД'!$D$39</f>
        <v/>
      </c>
      <c r="K19" s="188">
        <f>'01_ВВОД'!$D$39</f>
        <v/>
      </c>
      <c r="L19" s="188">
        <f>'01_ВВОД'!$D$39</f>
        <v/>
      </c>
      <c r="M19" s="188">
        <f>'01_ВВОД'!$D$39</f>
        <v/>
      </c>
      <c r="N19" s="188">
        <f>'01_ВВОД'!$D$39</f>
        <v/>
      </c>
      <c r="O19" s="188">
        <f>'01_ВВОД'!$D$39</f>
        <v/>
      </c>
      <c r="P19" s="188">
        <f>AVERAGE(D19:O19)</f>
        <v/>
      </c>
      <c r="Q19" s="188">
        <f>P19</f>
        <v/>
      </c>
      <c r="R19" s="52" t="inlineStr">
        <is>
          <t>руб./заказ</t>
        </is>
      </c>
    </row>
    <row r="20">
      <c r="A20" s="52" t="inlineStr">
        <is>
          <t>REV.PICK</t>
        </is>
      </c>
      <c r="B20" s="52" t="inlineStr">
        <is>
          <t>Кафе — самовывоз</t>
        </is>
      </c>
      <c r="C20" s="117" t="inlineStr">
        <is>
          <t>Доходы самовывоза</t>
        </is>
      </c>
      <c r="D20" s="188">
        <f>D18*D19</f>
        <v/>
      </c>
      <c r="E20" s="188">
        <f>E18*E19</f>
        <v/>
      </c>
      <c r="F20" s="188">
        <f>F18*F19</f>
        <v/>
      </c>
      <c r="G20" s="188">
        <f>G18*G19</f>
        <v/>
      </c>
      <c r="H20" s="188">
        <f>H18*H19</f>
        <v/>
      </c>
      <c r="I20" s="188">
        <f>I18*I19</f>
        <v/>
      </c>
      <c r="J20" s="188">
        <f>J18*J19</f>
        <v/>
      </c>
      <c r="K20" s="188">
        <f>K18*K19</f>
        <v/>
      </c>
      <c r="L20" s="188">
        <f>L18*L19</f>
        <v/>
      </c>
      <c r="M20" s="188">
        <f>M18*M19</f>
        <v/>
      </c>
      <c r="N20" s="188">
        <f>N18*N19</f>
        <v/>
      </c>
      <c r="O20" s="188">
        <f>O18*O19</f>
        <v/>
      </c>
      <c r="P20" s="188">
        <f>SUM(D20:O20)</f>
        <v/>
      </c>
      <c r="Q20" s="188">
        <f>P20/12</f>
        <v/>
      </c>
      <c r="R20" s="52" t="inlineStr">
        <is>
          <t>руб.</t>
        </is>
      </c>
    </row>
    <row r="21">
      <c r="A21" s="52" t="n"/>
      <c r="B21" s="52" t="n"/>
      <c r="C21" s="52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52" t="n"/>
    </row>
    <row r="22">
      <c r="A22" s="52" t="inlineStr">
        <is>
          <t>REV.HOTEL.QTY</t>
        </is>
      </c>
      <c r="B22" s="52" t="inlineStr">
        <is>
          <t>Кафе — гостиница</t>
        </is>
      </c>
      <c r="C22" s="52" t="inlineStr">
        <is>
          <t>Заказы гостиничного канала</t>
        </is>
      </c>
      <c r="D22" s="188">
        <f>SUMIF('02_КАЛЕНДАРЬ'!$B$5:$B$369,D$3,'02_КАЛЕНДАРЬ'!$R$5:$R$369)</f>
        <v/>
      </c>
      <c r="E22" s="188">
        <f>SUMIF('02_КАЛЕНДАРЬ'!$B$5:$B$369,E$3,'02_КАЛЕНДАРЬ'!$R$5:$R$369)</f>
        <v/>
      </c>
      <c r="F22" s="188">
        <f>SUMIF('02_КАЛЕНДАРЬ'!$B$5:$B$369,F$3,'02_КАЛЕНДАРЬ'!$R$5:$R$369)</f>
        <v/>
      </c>
      <c r="G22" s="188">
        <f>SUMIF('02_КАЛЕНДАРЬ'!$B$5:$B$369,G$3,'02_КАЛЕНДАРЬ'!$R$5:$R$369)</f>
        <v/>
      </c>
      <c r="H22" s="188">
        <f>SUMIF('02_КАЛЕНДАРЬ'!$B$5:$B$369,H$3,'02_КАЛЕНДАРЬ'!$R$5:$R$369)</f>
        <v/>
      </c>
      <c r="I22" s="188">
        <f>SUMIF('02_КАЛЕНДАРЬ'!$B$5:$B$369,I$3,'02_КАЛЕНДАРЬ'!$R$5:$R$369)</f>
        <v/>
      </c>
      <c r="J22" s="188">
        <f>SUMIF('02_КАЛЕНДАРЬ'!$B$5:$B$369,J$3,'02_КАЛЕНДАРЬ'!$R$5:$R$369)</f>
        <v/>
      </c>
      <c r="K22" s="188">
        <f>SUMIF('02_КАЛЕНДАРЬ'!$B$5:$B$369,K$3,'02_КАЛЕНДАРЬ'!$R$5:$R$369)</f>
        <v/>
      </c>
      <c r="L22" s="188">
        <f>SUMIF('02_КАЛЕНДАРЬ'!$B$5:$B$369,L$3,'02_КАЛЕНДАРЬ'!$R$5:$R$369)</f>
        <v/>
      </c>
      <c r="M22" s="188">
        <f>SUMIF('02_КАЛЕНДАРЬ'!$B$5:$B$369,M$3,'02_КАЛЕНДАРЬ'!$R$5:$R$369)</f>
        <v/>
      </c>
      <c r="N22" s="188">
        <f>SUMIF('02_КАЛЕНДАРЬ'!$B$5:$B$369,N$3,'02_КАЛЕНДАРЬ'!$R$5:$R$369)</f>
        <v/>
      </c>
      <c r="O22" s="188">
        <f>SUMIF('02_КАЛЕНДАРЬ'!$B$5:$B$369,O$3,'02_КАЛЕНДАРЬ'!$R$5:$R$369)</f>
        <v/>
      </c>
      <c r="P22" s="188">
        <f>SUM(D22:O22)</f>
        <v/>
      </c>
      <c r="Q22" s="188">
        <f>P22/12</f>
        <v/>
      </c>
      <c r="R22" s="52" t="inlineStr">
        <is>
          <t>заказов</t>
        </is>
      </c>
    </row>
    <row r="23">
      <c r="A23" s="52" t="inlineStr">
        <is>
          <t>REV.HOTEL.CHECK</t>
        </is>
      </c>
      <c r="B23" s="52" t="inlineStr">
        <is>
          <t>Кафе — гостиница</t>
        </is>
      </c>
      <c r="C23" s="52" t="inlineStr">
        <is>
          <t>Средний чек</t>
        </is>
      </c>
      <c r="D23" s="188">
        <f>'01_ВВОД'!$D$45</f>
        <v/>
      </c>
      <c r="E23" s="188">
        <f>'01_ВВОД'!$D$45</f>
        <v/>
      </c>
      <c r="F23" s="188">
        <f>'01_ВВОД'!$D$45</f>
        <v/>
      </c>
      <c r="G23" s="188">
        <f>'01_ВВОД'!$D$45</f>
        <v/>
      </c>
      <c r="H23" s="188">
        <f>'01_ВВОД'!$D$45</f>
        <v/>
      </c>
      <c r="I23" s="188">
        <f>'01_ВВОД'!$D$45</f>
        <v/>
      </c>
      <c r="J23" s="188">
        <f>'01_ВВОД'!$D$45</f>
        <v/>
      </c>
      <c r="K23" s="188">
        <f>'01_ВВОД'!$D$45</f>
        <v/>
      </c>
      <c r="L23" s="188">
        <f>'01_ВВОД'!$D$45</f>
        <v/>
      </c>
      <c r="M23" s="188">
        <f>'01_ВВОД'!$D$45</f>
        <v/>
      </c>
      <c r="N23" s="188">
        <f>'01_ВВОД'!$D$45</f>
        <v/>
      </c>
      <c r="O23" s="188">
        <f>'01_ВВОД'!$D$45</f>
        <v/>
      </c>
      <c r="P23" s="188">
        <f>AVERAGE(D23:O23)</f>
        <v/>
      </c>
      <c r="Q23" s="188">
        <f>P23</f>
        <v/>
      </c>
      <c r="R23" s="52" t="inlineStr">
        <is>
          <t>руб./заказ</t>
        </is>
      </c>
    </row>
    <row r="24">
      <c r="A24" s="52" t="inlineStr">
        <is>
          <t>REV.HOTEL</t>
        </is>
      </c>
      <c r="B24" s="52" t="inlineStr">
        <is>
          <t>Кафе — гостиница</t>
        </is>
      </c>
      <c r="C24" s="117" t="inlineStr">
        <is>
          <t>Доходы гостиничного канала</t>
        </is>
      </c>
      <c r="D24" s="188">
        <f>D22*D23</f>
        <v/>
      </c>
      <c r="E24" s="188">
        <f>E22*E23</f>
        <v/>
      </c>
      <c r="F24" s="188">
        <f>F22*F23</f>
        <v/>
      </c>
      <c r="G24" s="188">
        <f>G22*G23</f>
        <v/>
      </c>
      <c r="H24" s="188">
        <f>H22*H23</f>
        <v/>
      </c>
      <c r="I24" s="188">
        <f>I22*I23</f>
        <v/>
      </c>
      <c r="J24" s="188">
        <f>J22*J23</f>
        <v/>
      </c>
      <c r="K24" s="188">
        <f>K22*K23</f>
        <v/>
      </c>
      <c r="L24" s="188">
        <f>L22*L23</f>
        <v/>
      </c>
      <c r="M24" s="188">
        <f>M22*M23</f>
        <v/>
      </c>
      <c r="N24" s="188">
        <f>N22*N23</f>
        <v/>
      </c>
      <c r="O24" s="188">
        <f>O22*O23</f>
        <v/>
      </c>
      <c r="P24" s="188">
        <f>SUM(D24:O24)</f>
        <v/>
      </c>
      <c r="Q24" s="188">
        <f>P24/12</f>
        <v/>
      </c>
      <c r="R24" s="52" t="inlineStr">
        <is>
          <t>руб.</t>
        </is>
      </c>
    </row>
    <row r="25">
      <c r="A25" s="52" t="n"/>
      <c r="B25" s="52" t="n"/>
      <c r="C25" s="52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52" t="n"/>
    </row>
    <row r="26">
      <c r="A26" s="118" t="inlineStr">
        <is>
          <t>REV.CAFE</t>
        </is>
      </c>
      <c r="B26" s="118" t="inlineStr">
        <is>
          <t>Кафе</t>
        </is>
      </c>
      <c r="C26" s="118" t="inlineStr">
        <is>
          <t>ИТОГО ДОХОДЫ КАФЕ</t>
        </is>
      </c>
      <c r="D26" s="190">
        <f>SUM(D8,D12,D16,D20,D24,D41)</f>
        <v/>
      </c>
      <c r="E26" s="190">
        <f>SUM(E8,E12,E16,E20,E24,E41)</f>
        <v/>
      </c>
      <c r="F26" s="190">
        <f>SUM(F8,F12,F16,F20,F24,F41)</f>
        <v/>
      </c>
      <c r="G26" s="190">
        <f>SUM(G8,G12,G16,G20,G24,G41)</f>
        <v/>
      </c>
      <c r="H26" s="190">
        <f>SUM(H8,H12,H16,H20,H24,H41)</f>
        <v/>
      </c>
      <c r="I26" s="190">
        <f>SUM(I8,I12,I16,I20,I24,I41)</f>
        <v/>
      </c>
      <c r="J26" s="190">
        <f>SUM(J8,J12,J16,J20,J24,J41)</f>
        <v/>
      </c>
      <c r="K26" s="190">
        <f>SUM(K8,K12,K16,K20,K24,K41)</f>
        <v/>
      </c>
      <c r="L26" s="190">
        <f>SUM(L8,L12,L16,L20,L24,L41)</f>
        <v/>
      </c>
      <c r="M26" s="190">
        <f>SUM(M8,M12,M16,M20,M24,M41)</f>
        <v/>
      </c>
      <c r="N26" s="190">
        <f>SUM(N8,N12,N16,N20,N24,N41)</f>
        <v/>
      </c>
      <c r="O26" s="190">
        <f>SUM(O8,O12,O16,O20,O24,O41)</f>
        <v/>
      </c>
      <c r="P26" s="190">
        <f>SUM(D26:O26)</f>
        <v/>
      </c>
      <c r="Q26" s="190">
        <f>P26/12</f>
        <v/>
      </c>
      <c r="R26" s="118" t="inlineStr">
        <is>
          <t>руб.</t>
        </is>
      </c>
    </row>
    <row r="27">
      <c r="A27" s="52" t="n"/>
      <c r="B27" s="52" t="n"/>
      <c r="C27" s="52" t="n"/>
      <c r="D27" s="188" t="n"/>
      <c r="E27" s="188" t="n"/>
      <c r="F27" s="188" t="n"/>
      <c r="G27" s="188" t="n"/>
      <c r="H27" s="188" t="n"/>
      <c r="I27" s="188" t="n"/>
      <c r="J27" s="188" t="n"/>
      <c r="K27" s="188" t="n"/>
      <c r="L27" s="188" t="n"/>
      <c r="M27" s="188" t="n"/>
      <c r="N27" s="188" t="n"/>
      <c r="O27" s="188" t="n"/>
      <c r="P27" s="188" t="n"/>
      <c r="Q27" s="188" t="n"/>
      <c r="R27" s="52" t="n"/>
    </row>
    <row r="28">
      <c r="A28" s="122" t="inlineStr">
        <is>
          <t>УПУЩЕННАЯ ВЫРУЧКА КАФЕ ИЗ-ЗА БАНКЕТНЫХ ДНЕЙ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52" t="inlineStr">
        <is>
          <t>REV.CAFE.POT</t>
        </is>
      </c>
      <c r="B29" s="52" t="inlineStr">
        <is>
          <t>Кафе</t>
        </is>
      </c>
      <c r="C29" s="117" t="inlineStr">
        <is>
          <t>Потенциальные доходы кафе без банкетных закрытий</t>
        </is>
      </c>
      <c r="D29" s="188">
        <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+D41</f>
        <v/>
      </c>
      <c r="E29" s="188">
        <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+E41</f>
        <v/>
      </c>
      <c r="F29" s="188">
        <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+F41</f>
        <v/>
      </c>
      <c r="G29" s="188">
        <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+G41</f>
        <v/>
      </c>
      <c r="H29" s="188">
        <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+H41</f>
        <v/>
      </c>
      <c r="I29" s="188">
        <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+I41</f>
        <v/>
      </c>
      <c r="J29" s="188">
        <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+J41</f>
        <v/>
      </c>
      <c r="K29" s="188">
        <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+K41</f>
        <v/>
      </c>
      <c r="L29" s="188">
        <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+L41</f>
        <v/>
      </c>
      <c r="M29" s="188">
        <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+M41</f>
        <v/>
      </c>
      <c r="N29" s="188">
        <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+N41</f>
        <v/>
      </c>
      <c r="O29" s="188">
        <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+O41</f>
        <v/>
      </c>
      <c r="P29" s="188">
        <f>SUM(D29:O29)</f>
        <v/>
      </c>
      <c r="Q29" s="188">
        <f>P29/12</f>
        <v/>
      </c>
      <c r="R29" s="52" t="inlineStr">
        <is>
          <t>руб.</t>
        </is>
      </c>
    </row>
    <row r="30">
      <c r="A30" s="120" t="inlineStr">
        <is>
          <t>REV.CAFE.LOST</t>
        </is>
      </c>
      <c r="B30" s="120" t="inlineStr">
        <is>
          <t>Кафе</t>
        </is>
      </c>
      <c r="C30" s="120" t="inlineStr">
        <is>
          <t>Упущенные доходы кафе из-за банкетов</t>
        </is>
      </c>
      <c r="D30" s="202">
        <f>D29-D26</f>
        <v/>
      </c>
      <c r="E30" s="202">
        <f>E29-E26</f>
        <v/>
      </c>
      <c r="F30" s="202">
        <f>F29-F26</f>
        <v/>
      </c>
      <c r="G30" s="202">
        <f>G29-G26</f>
        <v/>
      </c>
      <c r="H30" s="202">
        <f>H29-H26</f>
        <v/>
      </c>
      <c r="I30" s="202">
        <f>I29-I26</f>
        <v/>
      </c>
      <c r="J30" s="202">
        <f>J29-J26</f>
        <v/>
      </c>
      <c r="K30" s="202">
        <f>K29-K26</f>
        <v/>
      </c>
      <c r="L30" s="202">
        <f>L29-L26</f>
        <v/>
      </c>
      <c r="M30" s="202">
        <f>M29-M26</f>
        <v/>
      </c>
      <c r="N30" s="202">
        <f>N29-N26</f>
        <v/>
      </c>
      <c r="O30" s="202">
        <f>O29-O26</f>
        <v/>
      </c>
      <c r="P30" s="202">
        <f>SUM(D30:O30)</f>
        <v/>
      </c>
      <c r="Q30" s="202">
        <f>P30/12</f>
        <v/>
      </c>
      <c r="R30" s="120" t="inlineStr">
        <is>
          <t>руб.</t>
        </is>
      </c>
    </row>
    <row r="31">
      <c r="A31" s="52" t="n"/>
      <c r="B31" s="52" t="n"/>
      <c r="C31" s="52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8" t="n"/>
      <c r="M31" s="188" t="n"/>
      <c r="N31" s="188" t="n"/>
      <c r="O31" s="188" t="n"/>
      <c r="P31" s="188" t="n"/>
      <c r="Q31" s="188" t="n"/>
      <c r="R31" s="52" t="n"/>
    </row>
    <row r="32">
      <c r="A32" s="122" t="inlineStr">
        <is>
          <t>БИЗНЕС 2 — БАНКЕТЫ (ОТДЕЛЬНЫЙ ДОХОД)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52" t="inlineStr">
        <is>
          <t>REV.BANQ.QTY</t>
        </is>
      </c>
      <c r="B33" s="52" t="inlineStr">
        <is>
          <t>Банкеты</t>
        </is>
      </c>
      <c r="C33" s="52" t="inlineStr">
        <is>
          <t>Количество банкетов</t>
        </is>
      </c>
      <c r="D33" s="188">
        <f>SUMIF('02_КАЛЕНДАРЬ'!$B$5:$B$369,D$3,'02_КАЛЕНДАРЬ'!$S$5:$S$369)</f>
        <v/>
      </c>
      <c r="E33" s="188">
        <f>SUMIF('02_КАЛЕНДАРЬ'!$B$5:$B$369,E$3,'02_КАЛЕНДАРЬ'!$S$5:$S$369)</f>
        <v/>
      </c>
      <c r="F33" s="188">
        <f>SUMIF('02_КАЛЕНДАРЬ'!$B$5:$B$369,F$3,'02_КАЛЕНДАРЬ'!$S$5:$S$369)</f>
        <v/>
      </c>
      <c r="G33" s="188">
        <f>SUMIF('02_КАЛЕНДАРЬ'!$B$5:$B$369,G$3,'02_КАЛЕНДАРЬ'!$S$5:$S$369)</f>
        <v/>
      </c>
      <c r="H33" s="188">
        <f>SUMIF('02_КАЛЕНДАРЬ'!$B$5:$B$369,H$3,'02_КАЛЕНДАРЬ'!$S$5:$S$369)</f>
        <v/>
      </c>
      <c r="I33" s="188">
        <f>SUMIF('02_КАЛЕНДАРЬ'!$B$5:$B$369,I$3,'02_КАЛЕНДАРЬ'!$S$5:$S$369)</f>
        <v/>
      </c>
      <c r="J33" s="188">
        <f>SUMIF('02_КАЛЕНДАРЬ'!$B$5:$B$369,J$3,'02_КАЛЕНДАРЬ'!$S$5:$S$369)</f>
        <v/>
      </c>
      <c r="K33" s="188">
        <f>SUMIF('02_КАЛЕНДАРЬ'!$B$5:$B$369,K$3,'02_КАЛЕНДАРЬ'!$S$5:$S$369)</f>
        <v/>
      </c>
      <c r="L33" s="188">
        <f>SUMIF('02_КАЛЕНДАРЬ'!$B$5:$B$369,L$3,'02_КАЛЕНДАРЬ'!$S$5:$S$369)</f>
        <v/>
      </c>
      <c r="M33" s="188">
        <f>SUMIF('02_КАЛЕНДАРЬ'!$B$5:$B$369,M$3,'02_КАЛЕНДАРЬ'!$S$5:$S$369)</f>
        <v/>
      </c>
      <c r="N33" s="188">
        <f>SUMIF('02_КАЛЕНДАРЬ'!$B$5:$B$369,N$3,'02_КАЛЕНДАРЬ'!$S$5:$S$369)</f>
        <v/>
      </c>
      <c r="O33" s="188">
        <f>SUMIF('02_КАЛЕНДАРЬ'!$B$5:$B$369,O$3,'02_КАЛЕНДАРЬ'!$S$5:$S$369)</f>
        <v/>
      </c>
      <c r="P33" s="188">
        <f>SUM(D33:O33)</f>
        <v/>
      </c>
      <c r="Q33" s="188">
        <f>P33/12</f>
        <v/>
      </c>
      <c r="R33" s="52" t="inlineStr">
        <is>
          <t>банкетов</t>
        </is>
      </c>
    </row>
    <row r="34">
      <c r="A34" s="52" t="inlineStr">
        <is>
          <t>REV.BANQ.PART</t>
        </is>
      </c>
      <c r="B34" s="52" t="inlineStr">
        <is>
          <t>Банкеты</t>
        </is>
      </c>
      <c r="C34" s="52" t="inlineStr">
        <is>
          <t>Участников на банкет</t>
        </is>
      </c>
      <c r="D34" s="188">
        <f>'01_ВВОД'!$D$53</f>
        <v/>
      </c>
      <c r="E34" s="188">
        <f>'01_ВВОД'!$D$53</f>
        <v/>
      </c>
      <c r="F34" s="188">
        <f>'01_ВВОД'!$D$53</f>
        <v/>
      </c>
      <c r="G34" s="188">
        <f>'01_ВВОД'!$D$53</f>
        <v/>
      </c>
      <c r="H34" s="188">
        <f>'01_ВВОД'!$D$53</f>
        <v/>
      </c>
      <c r="I34" s="188">
        <f>'01_ВВОД'!$D$53</f>
        <v/>
      </c>
      <c r="J34" s="188">
        <f>'01_ВВОД'!$D$53</f>
        <v/>
      </c>
      <c r="K34" s="188">
        <f>'01_ВВОД'!$D$53</f>
        <v/>
      </c>
      <c r="L34" s="188">
        <f>'01_ВВОД'!$D$53</f>
        <v/>
      </c>
      <c r="M34" s="188">
        <f>'01_ВВОД'!$D$53</f>
        <v/>
      </c>
      <c r="N34" s="188">
        <f>'01_ВВОД'!$D$53</f>
        <v/>
      </c>
      <c r="O34" s="188">
        <f>'01_ВВОД'!$D$53</f>
        <v/>
      </c>
      <c r="P34" s="188">
        <f>AVERAGE(D34:O34)</f>
        <v/>
      </c>
      <c r="Q34" s="188">
        <f>P34</f>
        <v/>
      </c>
      <c r="R34" s="52" t="inlineStr">
        <is>
          <t>чел.</t>
        </is>
      </c>
    </row>
    <row r="35">
      <c r="A35" s="52" t="inlineStr">
        <is>
          <t>REV.BANQ.CHECK</t>
        </is>
      </c>
      <c r="B35" s="52" t="inlineStr">
        <is>
          <t>Банкеты</t>
        </is>
      </c>
      <c r="C35" s="52" t="inlineStr">
        <is>
          <t>Средний чек на человека</t>
        </is>
      </c>
      <c r="D35" s="188">
        <f>'01_ВВОД'!$D$54</f>
        <v/>
      </c>
      <c r="E35" s="188">
        <f>'01_ВВОД'!$D$54</f>
        <v/>
      </c>
      <c r="F35" s="188">
        <f>'01_ВВОД'!$D$54</f>
        <v/>
      </c>
      <c r="G35" s="188">
        <f>'01_ВВОД'!$D$54</f>
        <v/>
      </c>
      <c r="H35" s="188">
        <f>'01_ВВОД'!$D$54</f>
        <v/>
      </c>
      <c r="I35" s="188">
        <f>'01_ВВОД'!$D$54</f>
        <v/>
      </c>
      <c r="J35" s="188">
        <f>'01_ВВОД'!$D$54</f>
        <v/>
      </c>
      <c r="K35" s="188">
        <f>'01_ВВОД'!$D$54</f>
        <v/>
      </c>
      <c r="L35" s="188">
        <f>'01_ВВОД'!$D$54</f>
        <v/>
      </c>
      <c r="M35" s="188">
        <f>'01_ВВОД'!$D$54</f>
        <v/>
      </c>
      <c r="N35" s="188">
        <f>'01_ВВОД'!$D$54</f>
        <v/>
      </c>
      <c r="O35" s="188">
        <f>'01_ВВОД'!$D$54</f>
        <v/>
      </c>
      <c r="P35" s="188">
        <f>AVERAGE(D35:O35)</f>
        <v/>
      </c>
      <c r="Q35" s="188">
        <f>P35</f>
        <v/>
      </c>
      <c r="R35" s="52" t="inlineStr">
        <is>
          <t>руб./чел.</t>
        </is>
      </c>
    </row>
    <row r="36">
      <c r="A36" s="118" t="inlineStr">
        <is>
          <t>REV.BANQ</t>
        </is>
      </c>
      <c r="B36" s="118" t="inlineStr">
        <is>
          <t>Банкеты</t>
        </is>
      </c>
      <c r="C36" s="118" t="inlineStr">
        <is>
          <t>ДОХОДЫ БАНКЕТОВ</t>
        </is>
      </c>
      <c r="D36" s="190">
        <f>D33*D34*D35</f>
        <v/>
      </c>
      <c r="E36" s="190">
        <f>E33*E34*E35</f>
        <v/>
      </c>
      <c r="F36" s="190">
        <f>F33*F34*F35</f>
        <v/>
      </c>
      <c r="G36" s="190">
        <f>G33*G34*G35</f>
        <v/>
      </c>
      <c r="H36" s="190">
        <f>H33*H34*H35</f>
        <v/>
      </c>
      <c r="I36" s="190">
        <f>I33*I34*I35</f>
        <v/>
      </c>
      <c r="J36" s="190">
        <f>J33*J34*J35</f>
        <v/>
      </c>
      <c r="K36" s="190">
        <f>K33*K34*K35</f>
        <v/>
      </c>
      <c r="L36" s="190">
        <f>L33*L34*L35</f>
        <v/>
      </c>
      <c r="M36" s="190">
        <f>M33*M34*M35</f>
        <v/>
      </c>
      <c r="N36" s="190">
        <f>N33*N34*N35</f>
        <v/>
      </c>
      <c r="O36" s="190">
        <f>O33*O34*O35</f>
        <v/>
      </c>
      <c r="P36" s="190">
        <f>SUM(D36:O36)</f>
        <v/>
      </c>
      <c r="Q36" s="190">
        <f>P36/12</f>
        <v/>
      </c>
      <c r="R36" s="118" t="inlineStr">
        <is>
          <t>руб.</t>
        </is>
      </c>
    </row>
    <row r="37">
      <c r="A37" s="52" t="n"/>
      <c r="B37" s="52" t="n"/>
      <c r="C37" s="52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8" t="n"/>
      <c r="M37" s="188" t="n"/>
      <c r="N37" s="188" t="n"/>
      <c r="O37" s="188" t="n"/>
      <c r="P37" s="188" t="n"/>
      <c r="Q37" s="188" t="n"/>
      <c r="R37" s="52" t="n"/>
    </row>
    <row r="38">
      <c r="A38" s="118" t="inlineStr">
        <is>
          <t>REV.PROJECT</t>
        </is>
      </c>
      <c r="B38" s="118" t="inlineStr">
        <is>
          <t>Проект</t>
        </is>
      </c>
      <c r="C38" s="118" t="inlineStr">
        <is>
          <t>СОВОКУПНЫЕ ДОХОДЫ ПРОЕКТА</t>
        </is>
      </c>
      <c r="D38" s="190">
        <f>D26+D36</f>
        <v/>
      </c>
      <c r="E38" s="190">
        <f>E26+E36</f>
        <v/>
      </c>
      <c r="F38" s="190">
        <f>F26+F36</f>
        <v/>
      </c>
      <c r="G38" s="190">
        <f>G26+G36</f>
        <v/>
      </c>
      <c r="H38" s="190">
        <f>H26+H36</f>
        <v/>
      </c>
      <c r="I38" s="190">
        <f>I26+I36</f>
        <v/>
      </c>
      <c r="J38" s="190">
        <f>J26+J36</f>
        <v/>
      </c>
      <c r="K38" s="190">
        <f>K26+K36</f>
        <v/>
      </c>
      <c r="L38" s="190">
        <f>L26+L36</f>
        <v/>
      </c>
      <c r="M38" s="190">
        <f>M26+M36</f>
        <v/>
      </c>
      <c r="N38" s="190">
        <f>N26+N36</f>
        <v/>
      </c>
      <c r="O38" s="190">
        <f>O26+O36</f>
        <v/>
      </c>
      <c r="P38" s="190">
        <f>SUM(D38:O38)</f>
        <v/>
      </c>
      <c r="Q38" s="190">
        <f>P38/12</f>
        <v/>
      </c>
      <c r="R38" s="118" t="inlineStr">
        <is>
          <t>руб.</t>
        </is>
      </c>
    </row>
    <row r="39">
      <c r="A39" t="inlineStr">
        <is>
          <t>REV.DINNER.QTY</t>
        </is>
      </c>
      <c r="B39" t="inlineStr">
        <is>
          <t>Кафе — гостиница</t>
        </is>
      </c>
      <c r="C39" t="inlineStr">
        <is>
          <t>Ужины гостиницы</t>
        </is>
      </c>
      <c r="D39">
        <f>SUMIF('02_КАЛЕНДАРЬ'!$B$5:$B$369,D$3,'02_КАЛЕНДАРЬ'!$U$5:$U$369)</f>
        <v/>
      </c>
      <c r="E39">
        <f>SUMIF('02_КАЛЕНДАРЬ'!$B$5:$B$369,E$3,'02_КАЛЕНДАРЬ'!$U$5:$U$369)</f>
        <v/>
      </c>
      <c r="F39">
        <f>SUMIF('02_КАЛЕНДАРЬ'!$B$5:$B$369,F$3,'02_КАЛЕНДАРЬ'!$U$5:$U$369)</f>
        <v/>
      </c>
      <c r="G39">
        <f>SUMIF('02_КАЛЕНДАРЬ'!$B$5:$B$369,G$3,'02_КАЛЕНДАРЬ'!$U$5:$U$369)</f>
        <v/>
      </c>
      <c r="H39">
        <f>SUMIF('02_КАЛЕНДАРЬ'!$B$5:$B$369,H$3,'02_КАЛЕНДАРЬ'!$U$5:$U$369)</f>
        <v/>
      </c>
      <c r="I39">
        <f>SUMIF('02_КАЛЕНДАРЬ'!$B$5:$B$369,I$3,'02_КАЛЕНДАРЬ'!$U$5:$U$369)</f>
        <v/>
      </c>
      <c r="J39">
        <f>SUMIF('02_КАЛЕНДАРЬ'!$B$5:$B$369,J$3,'02_КАЛЕНДАРЬ'!$U$5:$U$369)</f>
        <v/>
      </c>
      <c r="K39">
        <f>SUMIF('02_КАЛЕНДАРЬ'!$B$5:$B$369,K$3,'02_КАЛЕНДАРЬ'!$U$5:$U$369)</f>
        <v/>
      </c>
      <c r="L39">
        <f>SUMIF('02_КАЛЕНДАРЬ'!$B$5:$B$369,L$3,'02_КАЛЕНДАРЬ'!$U$5:$U$369)</f>
        <v/>
      </c>
      <c r="M39">
        <f>SUMIF('02_КАЛЕНДАРЬ'!$B$5:$B$369,M$3,'02_КАЛЕНДАРЬ'!$U$5:$U$369)</f>
        <v/>
      </c>
      <c r="N39">
        <f>SUMIF('02_КАЛЕНДАРЬ'!$B$5:$B$369,N$3,'02_КАЛЕНДАРЬ'!$U$5:$U$369)</f>
        <v/>
      </c>
      <c r="O39">
        <f>SUMIF('02_КАЛЕНДАРЬ'!$B$5:$B$369,O$3,'02_КАЛЕНДАРЬ'!$U$5:$U$369)</f>
        <v/>
      </c>
      <c r="P39">
        <f>SUM(D39:O39)</f>
        <v/>
      </c>
      <c r="Q39">
        <f>P39/12</f>
        <v/>
      </c>
      <c r="R39" t="inlineStr">
        <is>
          <t>ужинов</t>
        </is>
      </c>
    </row>
    <row r="40">
      <c r="A40" t="inlineStr">
        <is>
          <t>REV.DINNER.CHECK</t>
        </is>
      </c>
      <c r="B40" t="inlineStr">
        <is>
          <t>Кафе — гостиница</t>
        </is>
      </c>
      <c r="C40" t="inlineStr">
        <is>
          <t>Средний чек ужина</t>
        </is>
      </c>
      <c r="D40">
        <f>'01_ВВОД'!$D$121</f>
        <v/>
      </c>
      <c r="E40">
        <f>'01_ВВОД'!$D$121</f>
        <v/>
      </c>
      <c r="F40">
        <f>'01_ВВОД'!$D$121</f>
        <v/>
      </c>
      <c r="G40">
        <f>'01_ВВОД'!$D$121</f>
        <v/>
      </c>
      <c r="H40">
        <f>'01_ВВОД'!$D$121</f>
        <v/>
      </c>
      <c r="I40">
        <f>'01_ВВОД'!$D$121</f>
        <v/>
      </c>
      <c r="J40">
        <f>'01_ВВОД'!$D$121</f>
        <v/>
      </c>
      <c r="K40">
        <f>'01_ВВОД'!$D$121</f>
        <v/>
      </c>
      <c r="L40">
        <f>'01_ВВОД'!$D$121</f>
        <v/>
      </c>
      <c r="M40">
        <f>'01_ВВОД'!$D$121</f>
        <v/>
      </c>
      <c r="N40">
        <f>'01_ВВОД'!$D$121</f>
        <v/>
      </c>
      <c r="O40">
        <f>'01_ВВОД'!$D$121</f>
        <v/>
      </c>
      <c r="P40">
        <f>AVERAGE(D40:O40)</f>
        <v/>
      </c>
      <c r="Q40">
        <f>P40</f>
        <v/>
      </c>
      <c r="R40" t="inlineStr">
        <is>
          <t>руб./ужин</t>
        </is>
      </c>
    </row>
    <row r="41">
      <c r="A41" t="inlineStr">
        <is>
          <t>REV.DINNER</t>
        </is>
      </c>
      <c r="B41" t="inlineStr">
        <is>
          <t>Кафе — гостиница</t>
        </is>
      </c>
      <c r="C41" t="inlineStr">
        <is>
          <t>Доходы ужинов гостиницы</t>
        </is>
      </c>
      <c r="D41">
        <f>D39*D40</f>
        <v/>
      </c>
      <c r="E41">
        <f>E39*E40</f>
        <v/>
      </c>
      <c r="F41">
        <f>F39*F40</f>
        <v/>
      </c>
      <c r="G41">
        <f>G39*G40</f>
        <v/>
      </c>
      <c r="H41">
        <f>H39*H40</f>
        <v/>
      </c>
      <c r="I41">
        <f>I39*I40</f>
        <v/>
      </c>
      <c r="J41">
        <f>J39*J40</f>
        <v/>
      </c>
      <c r="K41">
        <f>K39*K40</f>
        <v/>
      </c>
      <c r="L41">
        <f>L39*L40</f>
        <v/>
      </c>
      <c r="M41">
        <f>M39*M40</f>
        <v/>
      </c>
      <c r="N41">
        <f>N39*N40</f>
        <v/>
      </c>
      <c r="O41">
        <f>O39*O40</f>
        <v/>
      </c>
      <c r="P41">
        <f>SUM(D41:O41)</f>
        <v/>
      </c>
      <c r="Q41">
        <f>P41/12</f>
        <v/>
      </c>
      <c r="R41" t="inlineStr">
        <is>
          <t>руб.</t>
        </is>
      </c>
    </row>
  </sheetData>
  <mergeCells count="5">
    <mergeCell ref="A2:R2"/>
    <mergeCell ref="A28:R28"/>
    <mergeCell ref="A32:R32"/>
    <mergeCell ref="A1:R1"/>
    <mergeCell ref="A5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6" customWidth="1" style="174" min="1" max="1"/>
    <col width="22" customWidth="1" style="174" min="2" max="2"/>
    <col width="42" customWidth="1" style="174" min="3" max="3"/>
    <col width="13" customWidth="1" style="174" min="4" max="4"/>
    <col width="13" customWidth="1" style="174" min="5" max="5"/>
    <col width="13" customWidth="1" style="174" min="6" max="6"/>
    <col width="13" customWidth="1" style="174" min="7" max="7"/>
    <col width="13" customWidth="1" style="174" min="8" max="8"/>
    <col width="13" customWidth="1" style="174" min="9" max="9"/>
    <col width="13" customWidth="1" style="174" min="10" max="10"/>
    <col width="13" customWidth="1" style="174" min="11" max="11"/>
    <col width="13" customWidth="1" style="174" min="12" max="12"/>
    <col width="13" customWidth="1" style="174" min="13" max="13"/>
    <col width="13" customWidth="1" style="174" min="14" max="14"/>
    <col width="13" customWidth="1" style="174" min="15" max="15"/>
    <col width="13" customWidth="1" style="174" min="16" max="16"/>
    <col width="13" customWidth="1" style="174" min="17" max="17"/>
    <col width="12" customWidth="1" style="174" min="18" max="18"/>
  </cols>
  <sheetData>
    <row r="1" ht="28" customHeight="1" s="174">
      <c r="A1" s="9" t="inlineStr">
        <is>
          <t>Себестоимость и прямые переменные расходы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3" t="inlineStr">
        <is>
          <t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" customHeight="1" s="174">
      <c r="D3" s="88" t="n">
        <v>1</v>
      </c>
      <c r="E3" s="88" t="n">
        <v>2</v>
      </c>
      <c r="F3" s="88" t="n">
        <v>3</v>
      </c>
      <c r="G3" s="88" t="n">
        <v>4</v>
      </c>
      <c r="H3" s="88" t="n">
        <v>5</v>
      </c>
      <c r="I3" s="88" t="n">
        <v>6</v>
      </c>
      <c r="J3" s="88" t="n">
        <v>7</v>
      </c>
      <c r="K3" s="88" t="n">
        <v>8</v>
      </c>
      <c r="L3" s="88" t="n">
        <v>9</v>
      </c>
      <c r="M3" s="88" t="n">
        <v>10</v>
      </c>
      <c r="N3" s="88" t="n">
        <v>11</v>
      </c>
      <c r="O3" s="88" t="n">
        <v>12</v>
      </c>
    </row>
    <row r="4">
      <c r="A4" s="18" t="inlineStr">
        <is>
          <t>Код</t>
        </is>
      </c>
      <c r="B4" s="18" t="inlineStr">
        <is>
          <t>Раздел</t>
        </is>
      </c>
      <c r="C4" s="18" t="inlineStr">
        <is>
          <t>Показатель</t>
        </is>
      </c>
      <c r="D4" s="18" t="inlineStr">
        <is>
          <t>Сен-26</t>
        </is>
      </c>
      <c r="E4" s="18" t="inlineStr">
        <is>
          <t>Окт-26</t>
        </is>
      </c>
      <c r="F4" s="18" t="inlineStr">
        <is>
          <t>Ноя-26</t>
        </is>
      </c>
      <c r="G4" s="18" t="inlineStr">
        <is>
          <t>Дек-26</t>
        </is>
      </c>
      <c r="H4" s="18" t="inlineStr">
        <is>
          <t>Янв-27</t>
        </is>
      </c>
      <c r="I4" s="18" t="inlineStr">
        <is>
          <t>Фев-27</t>
        </is>
      </c>
      <c r="J4" s="18" t="inlineStr">
        <is>
          <t>Мар-27</t>
        </is>
      </c>
      <c r="K4" s="18" t="inlineStr">
        <is>
          <t>Апр-27</t>
        </is>
      </c>
      <c r="L4" s="18" t="inlineStr">
        <is>
          <t>Май-27</t>
        </is>
      </c>
      <c r="M4" s="18" t="inlineStr">
        <is>
          <t>Июн-27</t>
        </is>
      </c>
      <c r="N4" s="18" t="inlineStr">
        <is>
          <t>Июл-27</t>
        </is>
      </c>
      <c r="O4" s="18" t="inlineStr">
        <is>
          <t>Авг-27</t>
        </is>
      </c>
      <c r="P4" s="18" t="inlineStr">
        <is>
          <t>Итого за год</t>
        </is>
      </c>
      <c r="Q4" s="18" t="inlineStr">
        <is>
          <t>Среднее за месяц</t>
        </is>
      </c>
      <c r="R4" s="18" t="inlineStr">
        <is>
          <t>Ед.</t>
        </is>
      </c>
    </row>
    <row r="5">
      <c r="A5" s="122" t="inlineStr">
        <is>
          <t>БИЗНЕС 1 — КАФЕ: СЕБЕСТОИМОСТЬ ПРОДУКТОВ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52" t="inlineStr">
        <is>
          <t>COGS.ALA.REV</t>
        </is>
      </c>
      <c r="B6" s="52" t="inlineStr">
        <is>
          <t>А-ля карт</t>
        </is>
      </c>
      <c r="C6" s="52" t="inlineStr">
        <is>
          <t>Доходы</t>
        </is>
      </c>
      <c r="D6" s="188">
        <f>'03_ДОХОДЫ'!D8</f>
        <v/>
      </c>
      <c r="E6" s="188">
        <f>'03_ДОХОДЫ'!E8</f>
        <v/>
      </c>
      <c r="F6" s="188">
        <f>'03_ДОХОДЫ'!F8</f>
        <v/>
      </c>
      <c r="G6" s="188">
        <f>'03_ДОХОДЫ'!G8</f>
        <v/>
      </c>
      <c r="H6" s="188">
        <f>'03_ДОХОДЫ'!H8</f>
        <v/>
      </c>
      <c r="I6" s="188">
        <f>'03_ДОХОДЫ'!I8</f>
        <v/>
      </c>
      <c r="J6" s="188">
        <f>'03_ДОХОДЫ'!J8</f>
        <v/>
      </c>
      <c r="K6" s="188">
        <f>'03_ДОХОДЫ'!K8</f>
        <v/>
      </c>
      <c r="L6" s="188">
        <f>'03_ДОХОДЫ'!L8</f>
        <v/>
      </c>
      <c r="M6" s="188">
        <f>'03_ДОХОДЫ'!M8</f>
        <v/>
      </c>
      <c r="N6" s="188">
        <f>'03_ДОХОДЫ'!N8</f>
        <v/>
      </c>
      <c r="O6" s="188">
        <f>'03_ДОХОДЫ'!O8</f>
        <v/>
      </c>
      <c r="P6" s="188">
        <f>SUM(D6:O6)</f>
        <v/>
      </c>
      <c r="Q6" s="188">
        <f>P6/12</f>
        <v/>
      </c>
      <c r="R6" s="52" t="inlineStr">
        <is>
          <t>руб.</t>
        </is>
      </c>
    </row>
    <row r="7">
      <c r="A7" s="52" t="inlineStr">
        <is>
          <t>COGS.ALA</t>
        </is>
      </c>
      <c r="B7" s="52" t="inlineStr">
        <is>
          <t>А-ля карт</t>
        </is>
      </c>
      <c r="C7" s="52" t="inlineStr">
        <is>
          <t>Food cost 30%</t>
        </is>
      </c>
      <c r="D7" s="188">
        <f>D6*'01_ВВОД'!$D$24</f>
        <v/>
      </c>
      <c r="E7" s="188">
        <f>E6*'01_ВВОД'!$D$24</f>
        <v/>
      </c>
      <c r="F7" s="188">
        <f>F6*'01_ВВОД'!$D$24</f>
        <v/>
      </c>
      <c r="G7" s="188">
        <f>G6*'01_ВВОД'!$D$24</f>
        <v/>
      </c>
      <c r="H7" s="188">
        <f>H6*'01_ВВОД'!$D$24</f>
        <v/>
      </c>
      <c r="I7" s="188">
        <f>I6*'01_ВВОД'!$D$24</f>
        <v/>
      </c>
      <c r="J7" s="188">
        <f>J6*'01_ВВОД'!$D$24</f>
        <v/>
      </c>
      <c r="K7" s="188">
        <f>K6*'01_ВВОД'!$D$24</f>
        <v/>
      </c>
      <c r="L7" s="188">
        <f>L6*'01_ВВОД'!$D$24</f>
        <v/>
      </c>
      <c r="M7" s="188">
        <f>M6*'01_ВВОД'!$D$24</f>
        <v/>
      </c>
      <c r="N7" s="188">
        <f>N6*'01_ВВОД'!$D$24</f>
        <v/>
      </c>
      <c r="O7" s="188">
        <f>O6*'01_ВВОД'!$D$24</f>
        <v/>
      </c>
      <c r="P7" s="188">
        <f>SUM(D7:O7)</f>
        <v/>
      </c>
      <c r="Q7" s="188">
        <f>P7/12</f>
        <v/>
      </c>
      <c r="R7" s="52" t="inlineStr">
        <is>
          <t>руб.</t>
        </is>
      </c>
    </row>
    <row r="8">
      <c r="A8" s="52" t="inlineStr">
        <is>
          <t>COGS.LUNCH.REV</t>
        </is>
      </c>
      <c r="B8" s="52" t="inlineStr">
        <is>
          <t>Бизнес-ланч</t>
        </is>
      </c>
      <c r="C8" s="52" t="inlineStr">
        <is>
          <t>Доходы</t>
        </is>
      </c>
      <c r="D8" s="188">
        <f>'03_ДОХОДЫ'!D12</f>
        <v/>
      </c>
      <c r="E8" s="188">
        <f>'03_ДОХОДЫ'!E12</f>
        <v/>
      </c>
      <c r="F8" s="188">
        <f>'03_ДОХОДЫ'!F12</f>
        <v/>
      </c>
      <c r="G8" s="188">
        <f>'03_ДОХОДЫ'!G12</f>
        <v/>
      </c>
      <c r="H8" s="188">
        <f>'03_ДОХОДЫ'!H12</f>
        <v/>
      </c>
      <c r="I8" s="188">
        <f>'03_ДОХОДЫ'!I12</f>
        <v/>
      </c>
      <c r="J8" s="188">
        <f>'03_ДОХОДЫ'!J12</f>
        <v/>
      </c>
      <c r="K8" s="188">
        <f>'03_ДОХОДЫ'!K12</f>
        <v/>
      </c>
      <c r="L8" s="188">
        <f>'03_ДОХОДЫ'!L12</f>
        <v/>
      </c>
      <c r="M8" s="188">
        <f>'03_ДОХОДЫ'!M12</f>
        <v/>
      </c>
      <c r="N8" s="188">
        <f>'03_ДОХОДЫ'!N12</f>
        <v/>
      </c>
      <c r="O8" s="188">
        <f>'03_ДОХОДЫ'!O12</f>
        <v/>
      </c>
      <c r="P8" s="188">
        <f>SUM(D8:O8)</f>
        <v/>
      </c>
      <c r="Q8" s="188">
        <f>P8/12</f>
        <v/>
      </c>
      <c r="R8" s="52" t="inlineStr">
        <is>
          <t>руб.</t>
        </is>
      </c>
    </row>
    <row r="9">
      <c r="A9" s="52" t="inlineStr">
        <is>
          <t>COGS.LUNCH</t>
        </is>
      </c>
      <c r="B9" s="52" t="inlineStr">
        <is>
          <t>Бизнес-ланч</t>
        </is>
      </c>
      <c r="C9" s="52" t="inlineStr">
        <is>
          <t>Эффективный food cost</t>
        </is>
      </c>
      <c r="D9" s="188">
        <f>D8*'01_ВВОД'!$D$29</f>
        <v/>
      </c>
      <c r="E9" s="188">
        <f>E8*'01_ВВОД'!$D$29</f>
        <v/>
      </c>
      <c r="F9" s="188">
        <f>F8*'01_ВВОД'!$D$29</f>
        <v/>
      </c>
      <c r="G9" s="188">
        <f>G8*'01_ВВОД'!$D$29</f>
        <v/>
      </c>
      <c r="H9" s="188">
        <f>H8*'01_ВВОД'!$D$29</f>
        <v/>
      </c>
      <c r="I9" s="188">
        <f>I8*'01_ВВОД'!$D$29</f>
        <v/>
      </c>
      <c r="J9" s="188">
        <f>J8*'01_ВВОД'!$D$29</f>
        <v/>
      </c>
      <c r="K9" s="188">
        <f>K8*'01_ВВОД'!$D$29</f>
        <v/>
      </c>
      <c r="L9" s="188">
        <f>L8*'01_ВВОД'!$D$29</f>
        <v/>
      </c>
      <c r="M9" s="188">
        <f>M8*'01_ВВОД'!$D$29</f>
        <v/>
      </c>
      <c r="N9" s="188">
        <f>N8*'01_ВВОД'!$D$29</f>
        <v/>
      </c>
      <c r="O9" s="188">
        <f>O8*'01_ВВОД'!$D$29</f>
        <v/>
      </c>
      <c r="P9" s="188">
        <f>SUM(D9:O9)</f>
        <v/>
      </c>
      <c r="Q9" s="188">
        <f>P9/12</f>
        <v/>
      </c>
      <c r="R9" s="52" t="inlineStr">
        <is>
          <t>руб.</t>
        </is>
      </c>
    </row>
    <row r="10">
      <c r="A10" s="52" t="inlineStr">
        <is>
          <t>COGS.DEL.REV</t>
        </is>
      </c>
      <c r="B10" s="52" t="inlineStr">
        <is>
          <t>Доставка</t>
        </is>
      </c>
      <c r="C10" s="52" t="inlineStr">
        <is>
          <t>Доходы</t>
        </is>
      </c>
      <c r="D10" s="188">
        <f>'03_ДОХОДЫ'!D16</f>
        <v/>
      </c>
      <c r="E10" s="188">
        <f>'03_ДОХОДЫ'!E16</f>
        <v/>
      </c>
      <c r="F10" s="188">
        <f>'03_ДОХОДЫ'!F16</f>
        <v/>
      </c>
      <c r="G10" s="188">
        <f>'03_ДОХОДЫ'!G16</f>
        <v/>
      </c>
      <c r="H10" s="188">
        <f>'03_ДОХОДЫ'!H16</f>
        <v/>
      </c>
      <c r="I10" s="188">
        <f>'03_ДОХОДЫ'!I16</f>
        <v/>
      </c>
      <c r="J10" s="188">
        <f>'03_ДОХОДЫ'!J16</f>
        <v/>
      </c>
      <c r="K10" s="188">
        <f>'03_ДОХОДЫ'!K16</f>
        <v/>
      </c>
      <c r="L10" s="188">
        <f>'03_ДОХОДЫ'!L16</f>
        <v/>
      </c>
      <c r="M10" s="188">
        <f>'03_ДОХОДЫ'!M16</f>
        <v/>
      </c>
      <c r="N10" s="188">
        <f>'03_ДОХОДЫ'!N16</f>
        <v/>
      </c>
      <c r="O10" s="188">
        <f>'03_ДОХОДЫ'!O16</f>
        <v/>
      </c>
      <c r="P10" s="188">
        <f>SUM(D10:O10)</f>
        <v/>
      </c>
      <c r="Q10" s="188">
        <f>P10/12</f>
        <v/>
      </c>
      <c r="R10" s="52" t="inlineStr">
        <is>
          <t>руб.</t>
        </is>
      </c>
    </row>
    <row r="11">
      <c r="A11" s="52" t="inlineStr">
        <is>
          <t>COGS.DEL</t>
        </is>
      </c>
      <c r="B11" s="52" t="inlineStr">
        <is>
          <t>Доставка</t>
        </is>
      </c>
      <c r="C11" s="52" t="inlineStr">
        <is>
          <t>Food cost 30%</t>
        </is>
      </c>
      <c r="D11" s="188">
        <f>D10*'01_ВВОД'!$D$35</f>
        <v/>
      </c>
      <c r="E11" s="188">
        <f>E10*'01_ВВОД'!$D$35</f>
        <v/>
      </c>
      <c r="F11" s="188">
        <f>F10*'01_ВВОД'!$D$35</f>
        <v/>
      </c>
      <c r="G11" s="188">
        <f>G10*'01_ВВОД'!$D$35</f>
        <v/>
      </c>
      <c r="H11" s="188">
        <f>H10*'01_ВВОД'!$D$35</f>
        <v/>
      </c>
      <c r="I11" s="188">
        <f>I10*'01_ВВОД'!$D$35</f>
        <v/>
      </c>
      <c r="J11" s="188">
        <f>J10*'01_ВВОД'!$D$35</f>
        <v/>
      </c>
      <c r="K11" s="188">
        <f>K10*'01_ВВОД'!$D$35</f>
        <v/>
      </c>
      <c r="L11" s="188">
        <f>L10*'01_ВВОД'!$D$35</f>
        <v/>
      </c>
      <c r="M11" s="188">
        <f>M10*'01_ВВОД'!$D$35</f>
        <v/>
      </c>
      <c r="N11" s="188">
        <f>N10*'01_ВВОД'!$D$35</f>
        <v/>
      </c>
      <c r="O11" s="188">
        <f>O10*'01_ВВОД'!$D$35</f>
        <v/>
      </c>
      <c r="P11" s="188">
        <f>SUM(D11:O11)</f>
        <v/>
      </c>
      <c r="Q11" s="188">
        <f>P11/12</f>
        <v/>
      </c>
      <c r="R11" s="52" t="inlineStr">
        <is>
          <t>руб.</t>
        </is>
      </c>
    </row>
    <row r="12">
      <c r="A12" s="52" t="inlineStr">
        <is>
          <t>COGS.PICK.REV</t>
        </is>
      </c>
      <c r="B12" s="52" t="inlineStr">
        <is>
          <t>Самовывоз</t>
        </is>
      </c>
      <c r="C12" s="52" t="inlineStr">
        <is>
          <t>Доходы</t>
        </is>
      </c>
      <c r="D12" s="188">
        <f>'03_ДОХОДЫ'!D20</f>
        <v/>
      </c>
      <c r="E12" s="188">
        <f>'03_ДОХОДЫ'!E20</f>
        <v/>
      </c>
      <c r="F12" s="188">
        <f>'03_ДОХОДЫ'!F20</f>
        <v/>
      </c>
      <c r="G12" s="188">
        <f>'03_ДОХОДЫ'!G20</f>
        <v/>
      </c>
      <c r="H12" s="188">
        <f>'03_ДОХОДЫ'!H20</f>
        <v/>
      </c>
      <c r="I12" s="188">
        <f>'03_ДОХОДЫ'!I20</f>
        <v/>
      </c>
      <c r="J12" s="188">
        <f>'03_ДОХОДЫ'!J20</f>
        <v/>
      </c>
      <c r="K12" s="188">
        <f>'03_ДОХОДЫ'!K20</f>
        <v/>
      </c>
      <c r="L12" s="188">
        <f>'03_ДОХОДЫ'!L20</f>
        <v/>
      </c>
      <c r="M12" s="188">
        <f>'03_ДОХОДЫ'!M20</f>
        <v/>
      </c>
      <c r="N12" s="188">
        <f>'03_ДОХОДЫ'!N20</f>
        <v/>
      </c>
      <c r="O12" s="188">
        <f>'03_ДОХОДЫ'!O20</f>
        <v/>
      </c>
      <c r="P12" s="188">
        <f>SUM(D12:O12)</f>
        <v/>
      </c>
      <c r="Q12" s="188">
        <f>P12/12</f>
        <v/>
      </c>
      <c r="R12" s="52" t="inlineStr">
        <is>
          <t>руб.</t>
        </is>
      </c>
    </row>
    <row r="13">
      <c r="A13" s="52" t="inlineStr">
        <is>
          <t>COGS.PICK</t>
        </is>
      </c>
      <c r="B13" s="52" t="inlineStr">
        <is>
          <t>Самовывоз</t>
        </is>
      </c>
      <c r="C13" s="52" t="inlineStr">
        <is>
          <t>Эффективный food cost</t>
        </is>
      </c>
      <c r="D13" s="188">
        <f>D12*'01_ВВОД'!$D$42</f>
        <v/>
      </c>
      <c r="E13" s="188">
        <f>E12*'01_ВВОД'!$D$42</f>
        <v/>
      </c>
      <c r="F13" s="188">
        <f>F12*'01_ВВОД'!$D$42</f>
        <v/>
      </c>
      <c r="G13" s="188">
        <f>G12*'01_ВВОД'!$D$42</f>
        <v/>
      </c>
      <c r="H13" s="188">
        <f>H12*'01_ВВОД'!$D$42</f>
        <v/>
      </c>
      <c r="I13" s="188">
        <f>I12*'01_ВВОД'!$D$42</f>
        <v/>
      </c>
      <c r="J13" s="188">
        <f>J12*'01_ВВОД'!$D$42</f>
        <v/>
      </c>
      <c r="K13" s="188">
        <f>K12*'01_ВВОД'!$D$42</f>
        <v/>
      </c>
      <c r="L13" s="188">
        <f>L12*'01_ВВОД'!$D$42</f>
        <v/>
      </c>
      <c r="M13" s="188">
        <f>M12*'01_ВВОД'!$D$42</f>
        <v/>
      </c>
      <c r="N13" s="188">
        <f>N12*'01_ВВОД'!$D$42</f>
        <v/>
      </c>
      <c r="O13" s="188">
        <f>O12*'01_ВВОД'!$D$42</f>
        <v/>
      </c>
      <c r="P13" s="188">
        <f>SUM(D13:O13)</f>
        <v/>
      </c>
      <c r="Q13" s="188">
        <f>P13/12</f>
        <v/>
      </c>
      <c r="R13" s="52" t="inlineStr">
        <is>
          <t>руб.</t>
        </is>
      </c>
    </row>
    <row r="14">
      <c r="A14" s="52" t="inlineStr">
        <is>
          <t>COGS.HOTEL.REV</t>
        </is>
      </c>
      <c r="B14" s="52" t="inlineStr">
        <is>
          <t>Гостиничный канал</t>
        </is>
      </c>
      <c r="C14" s="52" t="inlineStr">
        <is>
          <t>Доходы</t>
        </is>
      </c>
      <c r="D14" s="188">
        <f>'03_ДОХОДЫ'!D24</f>
        <v/>
      </c>
      <c r="E14" s="188">
        <f>'03_ДОХОДЫ'!E24</f>
        <v/>
      </c>
      <c r="F14" s="188">
        <f>'03_ДОХОДЫ'!F24</f>
        <v/>
      </c>
      <c r="G14" s="188">
        <f>'03_ДОХОДЫ'!G24</f>
        <v/>
      </c>
      <c r="H14" s="188">
        <f>'03_ДОХОДЫ'!H24</f>
        <v/>
      </c>
      <c r="I14" s="188">
        <f>'03_ДОХОДЫ'!I24</f>
        <v/>
      </c>
      <c r="J14" s="188">
        <f>'03_ДОХОДЫ'!J24</f>
        <v/>
      </c>
      <c r="K14" s="188">
        <f>'03_ДОХОДЫ'!K24</f>
        <v/>
      </c>
      <c r="L14" s="188">
        <f>'03_ДОХОДЫ'!L24</f>
        <v/>
      </c>
      <c r="M14" s="188">
        <f>'03_ДОХОДЫ'!M24</f>
        <v/>
      </c>
      <c r="N14" s="188">
        <f>'03_ДОХОДЫ'!N24</f>
        <v/>
      </c>
      <c r="O14" s="188">
        <f>'03_ДОХОДЫ'!O24</f>
        <v/>
      </c>
      <c r="P14" s="188">
        <f>SUM(D14:O14)</f>
        <v/>
      </c>
      <c r="Q14" s="188">
        <f>P14/12</f>
        <v/>
      </c>
      <c r="R14" s="52" t="inlineStr">
        <is>
          <t>руб.</t>
        </is>
      </c>
    </row>
    <row r="15">
      <c r="A15" s="52" t="inlineStr">
        <is>
          <t>COGS.HOTEL</t>
        </is>
      </c>
      <c r="B15" s="52" t="inlineStr">
        <is>
          <t>Гостиничный канал</t>
        </is>
      </c>
      <c r="C15" s="52" t="inlineStr">
        <is>
          <t>Food cost 50%</t>
        </is>
      </c>
      <c r="D15" s="188">
        <f>D14*'01_ВВОД'!$D$47</f>
        <v/>
      </c>
      <c r="E15" s="188">
        <f>E14*'01_ВВОД'!$D$47</f>
        <v/>
      </c>
      <c r="F15" s="188">
        <f>F14*'01_ВВОД'!$D$47</f>
        <v/>
      </c>
      <c r="G15" s="188">
        <f>G14*'01_ВВОД'!$D$47</f>
        <v/>
      </c>
      <c r="H15" s="188">
        <f>H14*'01_ВВОД'!$D$47</f>
        <v/>
      </c>
      <c r="I15" s="188">
        <f>I14*'01_ВВОД'!$D$47</f>
        <v/>
      </c>
      <c r="J15" s="188">
        <f>J14*'01_ВВОД'!$D$47</f>
        <v/>
      </c>
      <c r="K15" s="188">
        <f>K14*'01_ВВОД'!$D$47</f>
        <v/>
      </c>
      <c r="L15" s="188">
        <f>L14*'01_ВВОД'!$D$47</f>
        <v/>
      </c>
      <c r="M15" s="188">
        <f>M14*'01_ВВОД'!$D$47</f>
        <v/>
      </c>
      <c r="N15" s="188">
        <f>N14*'01_ВВОД'!$D$47</f>
        <v/>
      </c>
      <c r="O15" s="188">
        <f>O14*'01_ВВОД'!$D$47</f>
        <v/>
      </c>
      <c r="P15" s="188">
        <f>SUM(D15:O15)</f>
        <v/>
      </c>
      <c r="Q15" s="188">
        <f>P15/12</f>
        <v/>
      </c>
      <c r="R15" s="52" t="inlineStr">
        <is>
          <t>руб.</t>
        </is>
      </c>
    </row>
    <row r="16">
      <c r="A16" s="52" t="inlineStr">
        <is>
          <t>COGS.BASE</t>
        </is>
      </c>
      <c r="B16" s="52" t="inlineStr">
        <is>
          <t>Кафе</t>
        </is>
      </c>
      <c r="C16" s="52" t="inlineStr">
        <is>
          <t>Продуктовая себестоимость до потерь</t>
        </is>
      </c>
      <c r="D16" s="188">
        <f>SUM(D7,D9,D11,D13,D15,D42)</f>
        <v/>
      </c>
      <c r="E16" s="188">
        <f>SUM(E7,E9,E11,E13,E15,E42)</f>
        <v/>
      </c>
      <c r="F16" s="188">
        <f>SUM(F7,F9,F11,F13,F15,F42)</f>
        <v/>
      </c>
      <c r="G16" s="188">
        <f>SUM(G7,G9,G11,G13,G15,G42)</f>
        <v/>
      </c>
      <c r="H16" s="188">
        <f>SUM(H7,H9,H11,H13,H15,H42)</f>
        <v/>
      </c>
      <c r="I16" s="188">
        <f>SUM(I7,I9,I11,I13,I15,I42)</f>
        <v/>
      </c>
      <c r="J16" s="188">
        <f>SUM(J7,J9,J11,J13,J15,J42)</f>
        <v/>
      </c>
      <c r="K16" s="188">
        <f>SUM(K7,K9,K11,K13,K15,K42)</f>
        <v/>
      </c>
      <c r="L16" s="188">
        <f>SUM(L7,L9,L11,L13,L15,L42)</f>
        <v/>
      </c>
      <c r="M16" s="188">
        <f>SUM(M7,M9,M11,M13,M15,M42)</f>
        <v/>
      </c>
      <c r="N16" s="188">
        <f>SUM(N7,N9,N11,N13,N15,N42)</f>
        <v/>
      </c>
      <c r="O16" s="188">
        <f>SUM(O7,O9,O11,O13,O15,O42)</f>
        <v/>
      </c>
      <c r="P16" s="188">
        <f>SUM(D16:O16)</f>
        <v/>
      </c>
      <c r="Q16" s="188">
        <f>P16/12</f>
        <v/>
      </c>
      <c r="R16" s="52" t="inlineStr">
        <is>
          <t>руб.</t>
        </is>
      </c>
    </row>
    <row r="17">
      <c r="A17" s="52" t="inlineStr">
        <is>
          <t>COGS.SPOIL</t>
        </is>
      </c>
      <c r="B17" s="52" t="inlineStr">
        <is>
          <t>Кафе</t>
        </is>
      </c>
      <c r="C17" s="52" t="inlineStr">
        <is>
          <t>Списания и порча</t>
        </is>
      </c>
      <c r="D17" s="188">
        <f>D16*'01_ВВОД'!$D$16</f>
        <v/>
      </c>
      <c r="E17" s="188">
        <f>E16*'01_ВВОД'!$D$16</f>
        <v/>
      </c>
      <c r="F17" s="188">
        <f>F16*'01_ВВОД'!$D$16</f>
        <v/>
      </c>
      <c r="G17" s="188">
        <f>G16*'01_ВВОД'!$D$16</f>
        <v/>
      </c>
      <c r="H17" s="188">
        <f>H16*'01_ВВОД'!$D$16</f>
        <v/>
      </c>
      <c r="I17" s="188">
        <f>I16*'01_ВВОД'!$D$16</f>
        <v/>
      </c>
      <c r="J17" s="188">
        <f>J16*'01_ВВОД'!$D$16</f>
        <v/>
      </c>
      <c r="K17" s="188">
        <f>K16*'01_ВВОД'!$D$16</f>
        <v/>
      </c>
      <c r="L17" s="188">
        <f>L16*'01_ВВОД'!$D$16</f>
        <v/>
      </c>
      <c r="M17" s="188">
        <f>M16*'01_ВВОД'!$D$16</f>
        <v/>
      </c>
      <c r="N17" s="188">
        <f>N16*'01_ВВОД'!$D$16</f>
        <v/>
      </c>
      <c r="O17" s="188">
        <f>O16*'01_ВВОД'!$D$16</f>
        <v/>
      </c>
      <c r="P17" s="188">
        <f>SUM(D17:O17)</f>
        <v/>
      </c>
      <c r="Q17" s="188">
        <f>P17/12</f>
        <v/>
      </c>
      <c r="R17" s="52" t="inlineStr">
        <is>
          <t>руб.</t>
        </is>
      </c>
    </row>
    <row r="18">
      <c r="A18" s="52" t="inlineStr">
        <is>
          <t>COGS.INV</t>
        </is>
      </c>
      <c r="B18" s="52" t="inlineStr">
        <is>
          <t>Кафе</t>
        </is>
      </c>
      <c r="C18" s="52" t="inlineStr">
        <is>
          <t>Инвентаризационные расхождения</t>
        </is>
      </c>
      <c r="D18" s="188">
        <f>D16*'01_ВВОД'!$D$17</f>
        <v/>
      </c>
      <c r="E18" s="188">
        <f>E16*'01_ВВОД'!$D$17</f>
        <v/>
      </c>
      <c r="F18" s="188">
        <f>F16*'01_ВВОД'!$D$17</f>
        <v/>
      </c>
      <c r="G18" s="188">
        <f>G16*'01_ВВОД'!$D$17</f>
        <v/>
      </c>
      <c r="H18" s="188">
        <f>H16*'01_ВВОД'!$D$17</f>
        <v/>
      </c>
      <c r="I18" s="188">
        <f>I16*'01_ВВОД'!$D$17</f>
        <v/>
      </c>
      <c r="J18" s="188">
        <f>J16*'01_ВВОД'!$D$17</f>
        <v/>
      </c>
      <c r="K18" s="188">
        <f>K16*'01_ВВОД'!$D$17</f>
        <v/>
      </c>
      <c r="L18" s="188">
        <f>L16*'01_ВВОД'!$D$17</f>
        <v/>
      </c>
      <c r="M18" s="188">
        <f>M16*'01_ВВОД'!$D$17</f>
        <v/>
      </c>
      <c r="N18" s="188">
        <f>N16*'01_ВВОД'!$D$17</f>
        <v/>
      </c>
      <c r="O18" s="188">
        <f>O16*'01_ВВОД'!$D$17</f>
        <v/>
      </c>
      <c r="P18" s="188">
        <f>SUM(D18:O18)</f>
        <v/>
      </c>
      <c r="Q18" s="188">
        <f>P18/12</f>
        <v/>
      </c>
      <c r="R18" s="52" t="inlineStr">
        <is>
          <t>руб.</t>
        </is>
      </c>
    </row>
    <row r="19">
      <c r="A19" s="120" t="inlineStr">
        <is>
          <t>COGS.TOTAL</t>
        </is>
      </c>
      <c r="B19" s="120" t="inlineStr">
        <is>
          <t>Кафе</t>
        </is>
      </c>
      <c r="C19" s="120" t="inlineStr">
        <is>
          <t>ИТОГО СЕБЕСТОИМОСТЬ КАФЕ</t>
        </is>
      </c>
      <c r="D19" s="202">
        <f>SUM(D16:D18)</f>
        <v/>
      </c>
      <c r="E19" s="202">
        <f>SUM(E16:E18)</f>
        <v/>
      </c>
      <c r="F19" s="202">
        <f>SUM(F16:F18)</f>
        <v/>
      </c>
      <c r="G19" s="202">
        <f>SUM(G16:G18)</f>
        <v/>
      </c>
      <c r="H19" s="202">
        <f>SUM(H16:H18)</f>
        <v/>
      </c>
      <c r="I19" s="202">
        <f>SUM(I16:I18)</f>
        <v/>
      </c>
      <c r="J19" s="202">
        <f>SUM(J16:J18)</f>
        <v/>
      </c>
      <c r="K19" s="202">
        <f>SUM(K16:K18)</f>
        <v/>
      </c>
      <c r="L19" s="202">
        <f>SUM(L16:L18)</f>
        <v/>
      </c>
      <c r="M19" s="202">
        <f>SUM(M16:M18)</f>
        <v/>
      </c>
      <c r="N19" s="202">
        <f>SUM(N16:N18)</f>
        <v/>
      </c>
      <c r="O19" s="202">
        <f>SUM(O16:O18)</f>
        <v/>
      </c>
      <c r="P19" s="202">
        <f>SUM(D19:O19)</f>
        <v/>
      </c>
      <c r="Q19" s="202">
        <f>P19/12</f>
        <v/>
      </c>
      <c r="R19" s="120" t="inlineStr">
        <is>
          <t>руб.</t>
        </is>
      </c>
    </row>
    <row r="20">
      <c r="A20" s="118" t="inlineStr">
        <is>
          <t>GROSS.PROFIT</t>
        </is>
      </c>
      <c r="B20" s="118" t="inlineStr">
        <is>
          <t>Кафе</t>
        </is>
      </c>
      <c r="C20" s="118" t="inlineStr">
        <is>
          <t>ВАЛОВАЯ ПРИБЫЛЬ КАФЕ</t>
        </is>
      </c>
      <c r="D20" s="190">
        <f>'03_ДОХОДЫ'!D26-D19</f>
        <v/>
      </c>
      <c r="E20" s="190">
        <f>'03_ДОХОДЫ'!E26-E19</f>
        <v/>
      </c>
      <c r="F20" s="190">
        <f>'03_ДОХОДЫ'!F26-F19</f>
        <v/>
      </c>
      <c r="G20" s="190">
        <f>'03_ДОХОДЫ'!G26-G19</f>
        <v/>
      </c>
      <c r="H20" s="190">
        <f>'03_ДОХОДЫ'!H26-H19</f>
        <v/>
      </c>
      <c r="I20" s="190">
        <f>'03_ДОХОДЫ'!I26-I19</f>
        <v/>
      </c>
      <c r="J20" s="190">
        <f>'03_ДОХОДЫ'!J26-J19</f>
        <v/>
      </c>
      <c r="K20" s="190">
        <f>'03_ДОХОДЫ'!K26-K19</f>
        <v/>
      </c>
      <c r="L20" s="190">
        <f>'03_ДОХОДЫ'!L26-L19</f>
        <v/>
      </c>
      <c r="M20" s="190">
        <f>'03_ДОХОДЫ'!M26-M19</f>
        <v/>
      </c>
      <c r="N20" s="190">
        <f>'03_ДОХОДЫ'!N26-N19</f>
        <v/>
      </c>
      <c r="O20" s="190">
        <f>'03_ДОХОДЫ'!O26-O19</f>
        <v/>
      </c>
      <c r="P20" s="190">
        <f>SUM(D20:O20)</f>
        <v/>
      </c>
      <c r="Q20" s="190">
        <f>P20/12</f>
        <v/>
      </c>
      <c r="R20" s="118" t="inlineStr">
        <is>
          <t>руб.</t>
        </is>
      </c>
    </row>
    <row r="21">
      <c r="A21" s="52" t="n"/>
      <c r="B21" s="52" t="n"/>
      <c r="C21" s="52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52" t="n"/>
    </row>
    <row r="22">
      <c r="A22" s="122" t="inlineStr">
        <is>
          <t>БИЗНЕС 1 — КАФЕ: ПРОЧИЕ ПРЯМЫЕ ПЕРЕМЕННЫЕ РАСХОДЫ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52" t="inlineStr">
        <is>
          <t>VAR.COURIER</t>
        </is>
      </c>
      <c r="B23" s="52" t="inlineStr">
        <is>
          <t>Доставка</t>
        </is>
      </c>
      <c r="C23" s="52" t="inlineStr">
        <is>
          <t>Доставщик</t>
        </is>
      </c>
      <c r="D23" s="188">
        <f>'03_ДОХОДЫ'!D14*'01_ВВОД'!$D$36</f>
        <v/>
      </c>
      <c r="E23" s="188">
        <f>'03_ДОХОДЫ'!E14*'01_ВВОД'!$D$36</f>
        <v/>
      </c>
      <c r="F23" s="188">
        <f>'03_ДОХОДЫ'!F14*'01_ВВОД'!$D$36</f>
        <v/>
      </c>
      <c r="G23" s="188">
        <f>'03_ДОХОДЫ'!G14*'01_ВВОД'!$D$36</f>
        <v/>
      </c>
      <c r="H23" s="188">
        <f>'03_ДОХОДЫ'!H14*'01_ВВОД'!$D$36</f>
        <v/>
      </c>
      <c r="I23" s="188">
        <f>'03_ДОХОДЫ'!I14*'01_ВВОД'!$D$36</f>
        <v/>
      </c>
      <c r="J23" s="188">
        <f>'03_ДОХОДЫ'!J14*'01_ВВОД'!$D$36</f>
        <v/>
      </c>
      <c r="K23" s="188">
        <f>'03_ДОХОДЫ'!K14*'01_ВВОД'!$D$36</f>
        <v/>
      </c>
      <c r="L23" s="188">
        <f>'03_ДОХОДЫ'!L14*'01_ВВОД'!$D$36</f>
        <v/>
      </c>
      <c r="M23" s="188">
        <f>'03_ДОХОДЫ'!M14*'01_ВВОД'!$D$36</f>
        <v/>
      </c>
      <c r="N23" s="188">
        <f>'03_ДОХОДЫ'!N14*'01_ВВОД'!$D$36</f>
        <v/>
      </c>
      <c r="O23" s="188">
        <f>'03_ДОХОДЫ'!O14*'01_ВВОД'!$D$36</f>
        <v/>
      </c>
      <c r="P23" s="188">
        <f>SUM(D23:O23)</f>
        <v/>
      </c>
      <c r="Q23" s="188">
        <f>P23/12</f>
        <v/>
      </c>
      <c r="R23" s="52" t="inlineStr">
        <is>
          <t>руб.</t>
        </is>
      </c>
    </row>
    <row r="24">
      <c r="A24" s="52" t="inlineStr">
        <is>
          <t>VAR.DEL.PACK</t>
        </is>
      </c>
      <c r="B24" s="52" t="inlineStr">
        <is>
          <t>Доставка</t>
        </is>
      </c>
      <c r="C24" s="52" t="inlineStr">
        <is>
          <t>Упаковка</t>
        </is>
      </c>
      <c r="D24" s="188">
        <f>'03_ДОХОДЫ'!D14*'01_ВВОД'!$D$37</f>
        <v/>
      </c>
      <c r="E24" s="188">
        <f>'03_ДОХОДЫ'!E14*'01_ВВОД'!$D$37</f>
        <v/>
      </c>
      <c r="F24" s="188">
        <f>'03_ДОХОДЫ'!F14*'01_ВВОД'!$D$37</f>
        <v/>
      </c>
      <c r="G24" s="188">
        <f>'03_ДОХОДЫ'!G14*'01_ВВОД'!$D$37</f>
        <v/>
      </c>
      <c r="H24" s="188">
        <f>'03_ДОХОДЫ'!H14*'01_ВВОД'!$D$37</f>
        <v/>
      </c>
      <c r="I24" s="188">
        <f>'03_ДОХОДЫ'!I14*'01_ВВОД'!$D$37</f>
        <v/>
      </c>
      <c r="J24" s="188">
        <f>'03_ДОХОДЫ'!J14*'01_ВВОД'!$D$37</f>
        <v/>
      </c>
      <c r="K24" s="188">
        <f>'03_ДОХОДЫ'!K14*'01_ВВОД'!$D$37</f>
        <v/>
      </c>
      <c r="L24" s="188">
        <f>'03_ДОХОДЫ'!L14*'01_ВВОД'!$D$37</f>
        <v/>
      </c>
      <c r="M24" s="188">
        <f>'03_ДОХОДЫ'!M14*'01_ВВОД'!$D$37</f>
        <v/>
      </c>
      <c r="N24" s="188">
        <f>'03_ДОХОДЫ'!N14*'01_ВВОД'!$D$37</f>
        <v/>
      </c>
      <c r="O24" s="188">
        <f>'03_ДОХОДЫ'!O14*'01_ВВОД'!$D$37</f>
        <v/>
      </c>
      <c r="P24" s="188">
        <f>SUM(D24:O24)</f>
        <v/>
      </c>
      <c r="Q24" s="188">
        <f>P24/12</f>
        <v/>
      </c>
      <c r="R24" s="52" t="inlineStr">
        <is>
          <t>руб.</t>
        </is>
      </c>
    </row>
    <row r="25">
      <c r="A25" s="52" t="inlineStr">
        <is>
          <t>VAR.PICK.PACK</t>
        </is>
      </c>
      <c r="B25" s="52" t="inlineStr">
        <is>
          <t>Самовывоз</t>
        </is>
      </c>
      <c r="C25" s="52" t="inlineStr">
        <is>
          <t>Упаковка</t>
        </is>
      </c>
      <c r="D25" s="188">
        <f>'03_ДОХОДЫ'!D18*'01_ВВОД'!$D$43</f>
        <v/>
      </c>
      <c r="E25" s="188">
        <f>'03_ДОХОДЫ'!E18*'01_ВВОД'!$D$43</f>
        <v/>
      </c>
      <c r="F25" s="188">
        <f>'03_ДОХОДЫ'!F18*'01_ВВОД'!$D$43</f>
        <v/>
      </c>
      <c r="G25" s="188">
        <f>'03_ДОХОДЫ'!G18*'01_ВВОД'!$D$43</f>
        <v/>
      </c>
      <c r="H25" s="188">
        <f>'03_ДОХОДЫ'!H18*'01_ВВОД'!$D$43</f>
        <v/>
      </c>
      <c r="I25" s="188">
        <f>'03_ДОХОДЫ'!I18*'01_ВВОД'!$D$43</f>
        <v/>
      </c>
      <c r="J25" s="188">
        <f>'03_ДОХОДЫ'!J18*'01_ВВОД'!$D$43</f>
        <v/>
      </c>
      <c r="K25" s="188">
        <f>'03_ДОХОДЫ'!K18*'01_ВВОД'!$D$43</f>
        <v/>
      </c>
      <c r="L25" s="188">
        <f>'03_ДОХОДЫ'!L18*'01_ВВОД'!$D$43</f>
        <v/>
      </c>
      <c r="M25" s="188">
        <f>'03_ДОХОДЫ'!M18*'01_ВВОД'!$D$43</f>
        <v/>
      </c>
      <c r="N25" s="188">
        <f>'03_ДОХОДЫ'!N18*'01_ВВОД'!$D$43</f>
        <v/>
      </c>
      <c r="O25" s="188">
        <f>'03_ДОХОДЫ'!O18*'01_ВВОД'!$D$43</f>
        <v/>
      </c>
      <c r="P25" s="188">
        <f>SUM(D25:O25)</f>
        <v/>
      </c>
      <c r="Q25" s="188">
        <f>P25/12</f>
        <v/>
      </c>
      <c r="R25" s="52" t="inlineStr">
        <is>
          <t>руб.</t>
        </is>
      </c>
    </row>
    <row r="26">
      <c r="A26" s="52" t="inlineStr">
        <is>
          <t>VAR.HOTEL.PACK</t>
        </is>
      </c>
      <c r="B26" s="52" t="inlineStr">
        <is>
          <t>Гостиница</t>
        </is>
      </c>
      <c r="C26" s="52" t="inlineStr">
        <is>
          <t>Упаковка / расходники</t>
        </is>
      </c>
      <c r="D26" s="188">
        <f>'03_ДОХОДЫ'!D22*'01_ВВОД'!$D$48</f>
        <v/>
      </c>
      <c r="E26" s="188">
        <f>'03_ДОХОДЫ'!E22*'01_ВВОД'!$D$48</f>
        <v/>
      </c>
      <c r="F26" s="188">
        <f>'03_ДОХОДЫ'!F22*'01_ВВОД'!$D$48</f>
        <v/>
      </c>
      <c r="G26" s="188">
        <f>'03_ДОХОДЫ'!G22*'01_ВВОД'!$D$48</f>
        <v/>
      </c>
      <c r="H26" s="188">
        <f>'03_ДОХОДЫ'!H22*'01_ВВОД'!$D$48</f>
        <v/>
      </c>
      <c r="I26" s="188">
        <f>'03_ДОХОДЫ'!I22*'01_ВВОД'!$D$48</f>
        <v/>
      </c>
      <c r="J26" s="188">
        <f>'03_ДОХОДЫ'!J22*'01_ВВОД'!$D$48</f>
        <v/>
      </c>
      <c r="K26" s="188">
        <f>'03_ДОХОДЫ'!K22*'01_ВВОД'!$D$48</f>
        <v/>
      </c>
      <c r="L26" s="188">
        <f>'03_ДОХОДЫ'!L22*'01_ВВОД'!$D$48</f>
        <v/>
      </c>
      <c r="M26" s="188">
        <f>'03_ДОХОДЫ'!M22*'01_ВВОД'!$D$48</f>
        <v/>
      </c>
      <c r="N26" s="188">
        <f>'03_ДОХОДЫ'!N22*'01_ВВОД'!$D$48</f>
        <v/>
      </c>
      <c r="O26" s="188">
        <f>'03_ДОХОДЫ'!O22*'01_ВВОД'!$D$48</f>
        <v/>
      </c>
      <c r="P26" s="188">
        <f>SUM(D26:O26)</f>
        <v/>
      </c>
      <c r="Q26" s="188">
        <f>P26/12</f>
        <v/>
      </c>
      <c r="R26" s="52" t="inlineStr">
        <is>
          <t>руб.</t>
        </is>
      </c>
    </row>
    <row r="27">
      <c r="A27" s="52" t="inlineStr">
        <is>
          <t>VAR.ACQ</t>
        </is>
      </c>
      <c r="B27" s="52" t="inlineStr">
        <is>
          <t>Кафе</t>
        </is>
      </c>
      <c r="C27" s="52" t="inlineStr">
        <is>
          <t>Эквайринг</t>
        </is>
      </c>
      <c r="D27" s="188">
        <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</f>
        <v/>
      </c>
      <c r="E27" s="188">
        <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</f>
        <v/>
      </c>
      <c r="F27" s="188">
        <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</f>
        <v/>
      </c>
      <c r="G27" s="188">
        <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</f>
        <v/>
      </c>
      <c r="H27" s="188">
        <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</f>
        <v/>
      </c>
      <c r="I27" s="188">
        <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</f>
        <v/>
      </c>
      <c r="J27" s="188">
        <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</f>
        <v/>
      </c>
      <c r="K27" s="188">
        <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</f>
        <v/>
      </c>
      <c r="L27" s="188">
        <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</f>
        <v/>
      </c>
      <c r="M27" s="188">
        <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</f>
        <v/>
      </c>
      <c r="N27" s="188">
        <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</f>
        <v/>
      </c>
      <c r="O27" s="188">
        <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</f>
        <v/>
      </c>
      <c r="P27" s="188">
        <f>SUM(D27:O27)</f>
        <v/>
      </c>
      <c r="Q27" s="188">
        <f>P27/12</f>
        <v/>
      </c>
      <c r="R27" s="52" t="inlineStr">
        <is>
          <t>руб.</t>
        </is>
      </c>
    </row>
    <row r="28">
      <c r="A28" s="120" t="inlineStr">
        <is>
          <t>VAR.TOTAL</t>
        </is>
      </c>
      <c r="B28" s="120" t="inlineStr">
        <is>
          <t>Кафе</t>
        </is>
      </c>
      <c r="C28" s="120" t="inlineStr">
        <is>
          <t>ИТОГО ПРОЧИЕ ПРЯМЫЕ РАСХОДЫ</t>
        </is>
      </c>
      <c r="D28" s="202">
        <f>SUM(D23:D27,D29)</f>
        <v/>
      </c>
      <c r="E28" s="202">
        <f>SUM(E23:E27,E29)</f>
        <v/>
      </c>
      <c r="F28" s="202">
        <f>SUM(F23:F27,F29)</f>
        <v/>
      </c>
      <c r="G28" s="202">
        <f>SUM(G23:G27,G29)</f>
        <v/>
      </c>
      <c r="H28" s="202">
        <f>SUM(H23:H27,H29)</f>
        <v/>
      </c>
      <c r="I28" s="202">
        <f>SUM(I23:I27,I29)</f>
        <v/>
      </c>
      <c r="J28" s="202">
        <f>SUM(J23:J27,J29)</f>
        <v/>
      </c>
      <c r="K28" s="202">
        <f>SUM(K23:K27,K29)</f>
        <v/>
      </c>
      <c r="L28" s="202">
        <f>SUM(L23:L27,L29)</f>
        <v/>
      </c>
      <c r="M28" s="202">
        <f>SUM(M23:M27,M29)</f>
        <v/>
      </c>
      <c r="N28" s="202">
        <f>SUM(N23:N27,N29)</f>
        <v/>
      </c>
      <c r="O28" s="202">
        <f>SUM(O23:O27,O29)</f>
        <v/>
      </c>
      <c r="P28" s="202">
        <f>SUM(D28:O28)</f>
        <v/>
      </c>
      <c r="Q28" s="202">
        <f>P28/12</f>
        <v/>
      </c>
      <c r="R28" s="120" t="inlineStr">
        <is>
          <t>руб.</t>
        </is>
      </c>
    </row>
    <row r="29">
      <c r="A29" s="118" t="inlineStr">
        <is>
          <t>VAR.DINNER.PACK</t>
        </is>
      </c>
      <c r="B29" s="118" t="inlineStr">
        <is>
          <t>Гостиница — ужины</t>
        </is>
      </c>
      <c r="C29" s="118" t="inlineStr">
        <is>
          <t>Упаковка / расходники ужинов</t>
        </is>
      </c>
      <c r="D29" s="190">
        <f>'03_ДОХОДЫ'!D39*'01_ВВОД'!$D$123</f>
        <v/>
      </c>
      <c r="E29" s="190">
        <f>'03_ДОХОДЫ'!E39*'01_ВВОД'!$D$123</f>
        <v/>
      </c>
      <c r="F29" s="190">
        <f>'03_ДОХОДЫ'!F39*'01_ВВОД'!$D$123</f>
        <v/>
      </c>
      <c r="G29" s="190">
        <f>'03_ДОХОДЫ'!G39*'01_ВВОД'!$D$123</f>
        <v/>
      </c>
      <c r="H29" s="190">
        <f>'03_ДОХОДЫ'!H39*'01_ВВОД'!$D$123</f>
        <v/>
      </c>
      <c r="I29" s="190">
        <f>'03_ДОХОДЫ'!I39*'01_ВВОД'!$D$123</f>
        <v/>
      </c>
      <c r="J29" s="190">
        <f>'03_ДОХОДЫ'!J39*'01_ВВОД'!$D$123</f>
        <v/>
      </c>
      <c r="K29" s="190">
        <f>'03_ДОХОДЫ'!K39*'01_ВВОД'!$D$123</f>
        <v/>
      </c>
      <c r="L29" s="190">
        <f>'03_ДОХОДЫ'!L39*'01_ВВОД'!$D$123</f>
        <v/>
      </c>
      <c r="M29" s="190">
        <f>'03_ДОХОДЫ'!M39*'01_ВВОД'!$D$123</f>
        <v/>
      </c>
      <c r="N29" s="190">
        <f>'03_ДОХОДЫ'!N39*'01_ВВОД'!$D$123</f>
        <v/>
      </c>
      <c r="O29" s="190">
        <f>'03_ДОХОДЫ'!O39*'01_ВВОД'!$D$123</f>
        <v/>
      </c>
      <c r="P29" s="190">
        <f>SUM(D29:O29)</f>
        <v/>
      </c>
      <c r="Q29" s="190">
        <f>P29/12</f>
        <v/>
      </c>
      <c r="R29" s="118" t="inlineStr">
        <is>
          <t>руб.</t>
        </is>
      </c>
    </row>
    <row r="30">
      <c r="A30" s="52" t="inlineStr">
        <is>
          <t>CONTRIB.CAFE</t>
        </is>
      </c>
      <c r="B30" s="52" t="inlineStr">
        <is>
          <t>Кафе</t>
        </is>
      </c>
      <c r="C30" s="52" t="inlineStr">
        <is>
          <t>МАРЖИНАЛЬНЫЙ ДОХОД КАФЕ</t>
        </is>
      </c>
      <c r="D30" s="188">
        <f>D20-D28</f>
        <v/>
      </c>
      <c r="E30" s="188">
        <f>E20-E28</f>
        <v/>
      </c>
      <c r="F30" s="188">
        <f>F20-F28</f>
        <v/>
      </c>
      <c r="G30" s="188">
        <f>G20-G28</f>
        <v/>
      </c>
      <c r="H30" s="188">
        <f>H20-H28</f>
        <v/>
      </c>
      <c r="I30" s="188">
        <f>I20-I28</f>
        <v/>
      </c>
      <c r="J30" s="188">
        <f>J20-J28</f>
        <v/>
      </c>
      <c r="K30" s="188">
        <f>K20-K28</f>
        <v/>
      </c>
      <c r="L30" s="188">
        <f>L20-L28</f>
        <v/>
      </c>
      <c r="M30" s="188">
        <f>M20-M28</f>
        <v/>
      </c>
      <c r="N30" s="188">
        <f>N20-N28</f>
        <v/>
      </c>
      <c r="O30" s="188">
        <f>O20-O28</f>
        <v/>
      </c>
      <c r="P30" s="188">
        <f>SUM(D30:O30)</f>
        <v/>
      </c>
      <c r="Q30" s="188">
        <f>P30/12</f>
        <v/>
      </c>
      <c r="R30" s="52" t="inlineStr">
        <is>
          <t>руб.</t>
        </is>
      </c>
    </row>
    <row r="31">
      <c r="A31" s="52" t="n"/>
      <c r="B31" s="52" t="n"/>
      <c r="C31" s="52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8" t="n"/>
      <c r="M31" s="188" t="n"/>
      <c r="N31" s="188" t="n"/>
      <c r="O31" s="188" t="n"/>
      <c r="P31" s="188" t="n"/>
      <c r="Q31" s="188" t="n"/>
      <c r="R31" s="52" t="n"/>
    </row>
    <row r="32">
      <c r="A32" s="122" t="inlineStr">
        <is>
          <t>БИЗНЕС 2 — БАНКЕТЫ: ПРЯМОЙ ФИНАНСОВЫЙ РЕЗУЛЬТАТ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52" t="inlineStr">
        <is>
          <t>BANQ.REV</t>
        </is>
      </c>
      <c r="B33" s="52" t="inlineStr">
        <is>
          <t>Банкеты</t>
        </is>
      </c>
      <c r="C33" s="52" t="inlineStr">
        <is>
          <t>Доходы банкетов</t>
        </is>
      </c>
      <c r="D33" s="188">
        <f>'03_ДОХОДЫ'!D36</f>
        <v/>
      </c>
      <c r="E33" s="188">
        <f>'03_ДОХОДЫ'!E36</f>
        <v/>
      </c>
      <c r="F33" s="188">
        <f>'03_ДОХОДЫ'!F36</f>
        <v/>
      </c>
      <c r="G33" s="188">
        <f>'03_ДОХОДЫ'!G36</f>
        <v/>
      </c>
      <c r="H33" s="188">
        <f>'03_ДОХОДЫ'!H36</f>
        <v/>
      </c>
      <c r="I33" s="188">
        <f>'03_ДОХОДЫ'!I36</f>
        <v/>
      </c>
      <c r="J33" s="188">
        <f>'03_ДОХОДЫ'!J36</f>
        <v/>
      </c>
      <c r="K33" s="188">
        <f>'03_ДОХОДЫ'!K36</f>
        <v/>
      </c>
      <c r="L33" s="188">
        <f>'03_ДОХОДЫ'!L36</f>
        <v/>
      </c>
      <c r="M33" s="188">
        <f>'03_ДОХОДЫ'!M36</f>
        <v/>
      </c>
      <c r="N33" s="188">
        <f>'03_ДОХОДЫ'!N36</f>
        <v/>
      </c>
      <c r="O33" s="188">
        <f>'03_ДОХОДЫ'!O36</f>
        <v/>
      </c>
      <c r="P33" s="188">
        <f>SUM(D33:O33)</f>
        <v/>
      </c>
      <c r="Q33" s="188">
        <f>P33/12</f>
        <v/>
      </c>
      <c r="R33" s="52" t="inlineStr">
        <is>
          <t>руб.</t>
        </is>
      </c>
    </row>
    <row r="34">
      <c r="A34" s="52" t="inlineStr">
        <is>
          <t>BANQ.COGS</t>
        </is>
      </c>
      <c r="B34" s="52" t="inlineStr">
        <is>
          <t>Банкеты</t>
        </is>
      </c>
      <c r="C34" s="52" t="inlineStr">
        <is>
          <t>Себестоимость 40%</t>
        </is>
      </c>
      <c r="D34" s="188">
        <f>D33*'01_ВВОД'!$D$55</f>
        <v/>
      </c>
      <c r="E34" s="188">
        <f>E33*'01_ВВОД'!$D$55</f>
        <v/>
      </c>
      <c r="F34" s="188">
        <f>F33*'01_ВВОД'!$D$55</f>
        <v/>
      </c>
      <c r="G34" s="188">
        <f>G33*'01_ВВОД'!$D$55</f>
        <v/>
      </c>
      <c r="H34" s="188">
        <f>H33*'01_ВВОД'!$D$55</f>
        <v/>
      </c>
      <c r="I34" s="188">
        <f>I33*'01_ВВОД'!$D$55</f>
        <v/>
      </c>
      <c r="J34" s="188">
        <f>J33*'01_ВВОД'!$D$55</f>
        <v/>
      </c>
      <c r="K34" s="188">
        <f>K33*'01_ВВОД'!$D$55</f>
        <v/>
      </c>
      <c r="L34" s="188">
        <f>L33*'01_ВВОД'!$D$55</f>
        <v/>
      </c>
      <c r="M34" s="188">
        <f>M33*'01_ВВОД'!$D$55</f>
        <v/>
      </c>
      <c r="N34" s="188">
        <f>N33*'01_ВВОД'!$D$55</f>
        <v/>
      </c>
      <c r="O34" s="188">
        <f>O33*'01_ВВОД'!$D$55</f>
        <v/>
      </c>
      <c r="P34" s="188">
        <f>SUM(D34:O34)</f>
        <v/>
      </c>
      <c r="Q34" s="188">
        <f>P34/12</f>
        <v/>
      </c>
      <c r="R34" s="52" t="inlineStr">
        <is>
          <t>руб.</t>
        </is>
      </c>
    </row>
    <row r="35">
      <c r="A35" s="52" t="inlineStr">
        <is>
          <t>BANQ.GROSS</t>
        </is>
      </c>
      <c r="B35" s="52" t="inlineStr">
        <is>
          <t>Банкеты</t>
        </is>
      </c>
      <c r="C35" s="52" t="inlineStr">
        <is>
          <t>Валовая прибыль</t>
        </is>
      </c>
      <c r="D35" s="188">
        <f>D33-D34</f>
        <v/>
      </c>
      <c r="E35" s="188">
        <f>E33-E34</f>
        <v/>
      </c>
      <c r="F35" s="188">
        <f>F33-F34</f>
        <v/>
      </c>
      <c r="G35" s="188">
        <f>G33-G34</f>
        <v/>
      </c>
      <c r="H35" s="188">
        <f>H33-H34</f>
        <v/>
      </c>
      <c r="I35" s="188">
        <f>I33-I34</f>
        <v/>
      </c>
      <c r="J35" s="188">
        <f>J33-J34</f>
        <v/>
      </c>
      <c r="K35" s="188">
        <f>K33-K34</f>
        <v/>
      </c>
      <c r="L35" s="188">
        <f>L33-L34</f>
        <v/>
      </c>
      <c r="M35" s="188">
        <f>M33-M34</f>
        <v/>
      </c>
      <c r="N35" s="188">
        <f>N33-N34</f>
        <v/>
      </c>
      <c r="O35" s="188">
        <f>O33-O34</f>
        <v/>
      </c>
      <c r="P35" s="188">
        <f>SUM(D35:O35)</f>
        <v/>
      </c>
      <c r="Q35" s="188">
        <f>P35/12</f>
        <v/>
      </c>
      <c r="R35" s="52" t="inlineStr">
        <is>
          <t>руб.</t>
        </is>
      </c>
    </row>
    <row r="36">
      <c r="A36" s="52" t="inlineStr">
        <is>
          <t>BANQ.AGENT</t>
        </is>
      </c>
      <c r="B36" s="52" t="inlineStr">
        <is>
          <t>Банкеты</t>
        </is>
      </c>
      <c r="C36" s="52" t="inlineStr">
        <is>
          <t>Комиссия агента 10%</t>
        </is>
      </c>
      <c r="D36" s="188">
        <f>D33*'01_ВВОД'!$D$56</f>
        <v/>
      </c>
      <c r="E36" s="188">
        <f>E33*'01_ВВОД'!$D$56</f>
        <v/>
      </c>
      <c r="F36" s="188">
        <f>F33*'01_ВВОД'!$D$56</f>
        <v/>
      </c>
      <c r="G36" s="188">
        <f>G33*'01_ВВОД'!$D$56</f>
        <v/>
      </c>
      <c r="H36" s="188">
        <f>H33*'01_ВВОД'!$D$56</f>
        <v/>
      </c>
      <c r="I36" s="188">
        <f>I33*'01_ВВОД'!$D$56</f>
        <v/>
      </c>
      <c r="J36" s="188">
        <f>J33*'01_ВВОД'!$D$56</f>
        <v/>
      </c>
      <c r="K36" s="188">
        <f>K33*'01_ВВОД'!$D$56</f>
        <v/>
      </c>
      <c r="L36" s="188">
        <f>L33*'01_ВВОД'!$D$56</f>
        <v/>
      </c>
      <c r="M36" s="188">
        <f>M33*'01_ВВОД'!$D$56</f>
        <v/>
      </c>
      <c r="N36" s="188">
        <f>N33*'01_ВВОД'!$D$56</f>
        <v/>
      </c>
      <c r="O36" s="188">
        <f>O33*'01_ВВОД'!$D$56</f>
        <v/>
      </c>
      <c r="P36" s="188">
        <f>SUM(D36:O36)</f>
        <v/>
      </c>
      <c r="Q36" s="188">
        <f>P36/12</f>
        <v/>
      </c>
      <c r="R36" s="52" t="inlineStr">
        <is>
          <t>руб.</t>
        </is>
      </c>
    </row>
    <row r="37">
      <c r="A37" s="52" t="inlineStr">
        <is>
          <t>BANQ.ACQ</t>
        </is>
      </c>
      <c r="B37" s="52" t="inlineStr">
        <is>
          <t>Банкеты</t>
        </is>
      </c>
      <c r="C37" s="52" t="inlineStr">
        <is>
          <t>Эквайринг</t>
        </is>
      </c>
      <c r="D37" s="188">
        <f>D33*'01_ВВОД'!$D$57*'01_ВВОД'!$D$14</f>
        <v/>
      </c>
      <c r="E37" s="188">
        <f>E33*'01_ВВОД'!$D$57*'01_ВВОД'!$D$14</f>
        <v/>
      </c>
      <c r="F37" s="188">
        <f>F33*'01_ВВОД'!$D$57*'01_ВВОД'!$D$14</f>
        <v/>
      </c>
      <c r="G37" s="188">
        <f>G33*'01_ВВОД'!$D$57*'01_ВВОД'!$D$14</f>
        <v/>
      </c>
      <c r="H37" s="188">
        <f>H33*'01_ВВОД'!$D$57*'01_ВВОД'!$D$14</f>
        <v/>
      </c>
      <c r="I37" s="188">
        <f>I33*'01_ВВОД'!$D$57*'01_ВВОД'!$D$14</f>
        <v/>
      </c>
      <c r="J37" s="188">
        <f>J33*'01_ВВОД'!$D$57*'01_ВВОД'!$D$14</f>
        <v/>
      </c>
      <c r="K37" s="188">
        <f>K33*'01_ВВОД'!$D$57*'01_ВВОД'!$D$14</f>
        <v/>
      </c>
      <c r="L37" s="188">
        <f>L33*'01_ВВОД'!$D$57*'01_ВВОД'!$D$14</f>
        <v/>
      </c>
      <c r="M37" s="188">
        <f>M33*'01_ВВОД'!$D$57*'01_ВВОД'!$D$14</f>
        <v/>
      </c>
      <c r="N37" s="188">
        <f>N33*'01_ВВОД'!$D$57*'01_ВВОД'!$D$14</f>
        <v/>
      </c>
      <c r="O37" s="188">
        <f>O33*'01_ВВОД'!$D$57*'01_ВВОД'!$D$14</f>
        <v/>
      </c>
      <c r="P37" s="188">
        <f>SUM(D37:O37)</f>
        <v/>
      </c>
      <c r="Q37" s="188">
        <f>P37/12</f>
        <v/>
      </c>
      <c r="R37" s="52" t="inlineStr">
        <is>
          <t>руб.</t>
        </is>
      </c>
    </row>
    <row r="38">
      <c r="A38" s="118" t="inlineStr">
        <is>
          <t>BANQ.RESULT</t>
        </is>
      </c>
      <c r="B38" s="118" t="inlineStr">
        <is>
          <t>Банкеты</t>
        </is>
      </c>
      <c r="C38" s="118" t="inlineStr">
        <is>
          <t>ФИНАНСОВЫЙ РЕЗУЛЬТАТ ДО НАЛОГА</t>
        </is>
      </c>
      <c r="D38" s="190">
        <f>D35-D36-D37</f>
        <v/>
      </c>
      <c r="E38" s="190">
        <f>E35-E36-E37</f>
        <v/>
      </c>
      <c r="F38" s="190">
        <f>F35-F36-F37</f>
        <v/>
      </c>
      <c r="G38" s="190">
        <f>G35-G36-G37</f>
        <v/>
      </c>
      <c r="H38" s="190">
        <f>H35-H36-H37</f>
        <v/>
      </c>
      <c r="I38" s="190">
        <f>I35-I36-I37</f>
        <v/>
      </c>
      <c r="J38" s="190">
        <f>J35-J36-J37</f>
        <v/>
      </c>
      <c r="K38" s="190">
        <f>K35-K36-K37</f>
        <v/>
      </c>
      <c r="L38" s="190">
        <f>L35-L36-L37</f>
        <v/>
      </c>
      <c r="M38" s="190">
        <f>M35-M36-M37</f>
        <v/>
      </c>
      <c r="N38" s="190">
        <f>N35-N36-N37</f>
        <v/>
      </c>
      <c r="O38" s="190">
        <f>O35-O36-O37</f>
        <v/>
      </c>
      <c r="P38" s="190">
        <f>SUM(D38:O38)</f>
        <v/>
      </c>
      <c r="Q38" s="190">
        <f>P38/12</f>
        <v/>
      </c>
      <c r="R38" s="118" t="inlineStr">
        <is>
          <t>руб.</t>
        </is>
      </c>
    </row>
    <row r="39">
      <c r="A39" s="52" t="n"/>
      <c r="B39" s="52" t="n"/>
      <c r="C39" s="52" t="n"/>
      <c r="D39" s="188" t="n"/>
      <c r="E39" s="188" t="n"/>
      <c r="F39" s="188" t="n"/>
      <c r="G39" s="188" t="n"/>
      <c r="H39" s="188" t="n"/>
      <c r="I39" s="188" t="n"/>
      <c r="J39" s="188" t="n"/>
      <c r="K39" s="188" t="n"/>
      <c r="L39" s="188" t="n"/>
      <c r="M39" s="188" t="n"/>
      <c r="N39" s="188" t="n"/>
      <c r="O39" s="188" t="n"/>
      <c r="P39" s="188" t="n"/>
      <c r="Q39" s="188" t="n"/>
      <c r="R39" s="52" t="n"/>
    </row>
    <row r="40">
      <c r="A40" s="118" t="inlineStr">
        <is>
          <t>CONTRIB.PROJECT</t>
        </is>
      </c>
      <c r="B40" s="118" t="inlineStr">
        <is>
          <t>Проект</t>
        </is>
      </c>
      <c r="C40" s="118" t="inlineStr">
        <is>
          <t>СОВОКУПНЫЙ МАРЖИНАЛЬНЫЙ РЕЗУЛЬТАТ</t>
        </is>
      </c>
      <c r="D40" s="190">
        <f>D30+D38</f>
        <v/>
      </c>
      <c r="E40" s="190">
        <f>E30+E38</f>
        <v/>
      </c>
      <c r="F40" s="190">
        <f>F30+F38</f>
        <v/>
      </c>
      <c r="G40" s="190">
        <f>G30+G38</f>
        <v/>
      </c>
      <c r="H40" s="190">
        <f>H30+H38</f>
        <v/>
      </c>
      <c r="I40" s="190">
        <f>I30+I38</f>
        <v/>
      </c>
      <c r="J40" s="190">
        <f>J30+J38</f>
        <v/>
      </c>
      <c r="K40" s="190">
        <f>K30+K38</f>
        <v/>
      </c>
      <c r="L40" s="190">
        <f>L30+L38</f>
        <v/>
      </c>
      <c r="M40" s="190">
        <f>M30+M38</f>
        <v/>
      </c>
      <c r="N40" s="190">
        <f>N30+N38</f>
        <v/>
      </c>
      <c r="O40" s="190">
        <f>O30+O38</f>
        <v/>
      </c>
      <c r="P40" s="190">
        <f>SUM(D40:O40)</f>
        <v/>
      </c>
      <c r="Q40" s="190">
        <f>P40/12</f>
        <v/>
      </c>
      <c r="R40" s="118" t="inlineStr">
        <is>
          <t>руб.</t>
        </is>
      </c>
    </row>
    <row r="41">
      <c r="A41" t="inlineStr">
        <is>
          <t>COGS.DINNER.REV</t>
        </is>
      </c>
      <c r="B41" t="inlineStr">
        <is>
          <t>Гостиница — ужины</t>
        </is>
      </c>
      <c r="C41" t="inlineStr">
        <is>
          <t>Доходы ужинов</t>
        </is>
      </c>
      <c r="D41">
        <f>'03_ДОХОДЫ'!D41</f>
        <v/>
      </c>
      <c r="E41">
        <f>'03_ДОХОДЫ'!E41</f>
        <v/>
      </c>
      <c r="F41">
        <f>'03_ДОХОДЫ'!F41</f>
        <v/>
      </c>
      <c r="G41">
        <f>'03_ДОХОДЫ'!G41</f>
        <v/>
      </c>
      <c r="H41">
        <f>'03_ДОХОДЫ'!H41</f>
        <v/>
      </c>
      <c r="I41">
        <f>'03_ДОХОДЫ'!I41</f>
        <v/>
      </c>
      <c r="J41">
        <f>'03_ДОХОДЫ'!J41</f>
        <v/>
      </c>
      <c r="K41">
        <f>'03_ДОХОДЫ'!K41</f>
        <v/>
      </c>
      <c r="L41">
        <f>'03_ДОХОДЫ'!L41</f>
        <v/>
      </c>
      <c r="M41">
        <f>'03_ДОХОДЫ'!M41</f>
        <v/>
      </c>
      <c r="N41">
        <f>'03_ДОХОДЫ'!N41</f>
        <v/>
      </c>
      <c r="O41">
        <f>'03_ДОХОДЫ'!O41</f>
        <v/>
      </c>
      <c r="P41">
        <f>SUM(D41:O41)</f>
        <v/>
      </c>
      <c r="Q41">
        <f>P41/12</f>
        <v/>
      </c>
      <c r="R41" t="inlineStr">
        <is>
          <t>руб.</t>
        </is>
      </c>
    </row>
    <row r="42">
      <c r="A42" t="inlineStr">
        <is>
          <t>COGS.DINNER</t>
        </is>
      </c>
      <c r="B42" t="inlineStr">
        <is>
          <t>Гостиница — ужины</t>
        </is>
      </c>
      <c r="C42" t="inlineStr">
        <is>
          <t>Food cost ужинов 30% — как a-la carte</t>
        </is>
      </c>
      <c r="D42">
        <f>D41*'01_ВВОД'!$D$122</f>
        <v/>
      </c>
      <c r="E42">
        <f>E41*'01_ВВОД'!$D$122</f>
        <v/>
      </c>
      <c r="F42">
        <f>F41*'01_ВВОД'!$D$122</f>
        <v/>
      </c>
      <c r="G42">
        <f>G41*'01_ВВОД'!$D$122</f>
        <v/>
      </c>
      <c r="H42">
        <f>H41*'01_ВВОД'!$D$122</f>
        <v/>
      </c>
      <c r="I42">
        <f>I41*'01_ВВОД'!$D$122</f>
        <v/>
      </c>
      <c r="J42">
        <f>J41*'01_ВВОД'!$D$122</f>
        <v/>
      </c>
      <c r="K42">
        <f>K41*'01_ВВОД'!$D$122</f>
        <v/>
      </c>
      <c r="L42">
        <f>L41*'01_ВВОД'!$D$122</f>
        <v/>
      </c>
      <c r="M42">
        <f>M41*'01_ВВОД'!$D$122</f>
        <v/>
      </c>
      <c r="N42">
        <f>N41*'01_ВВОД'!$D$122</f>
        <v/>
      </c>
      <c r="O42">
        <f>O41*'01_ВВОД'!$D$122</f>
        <v/>
      </c>
      <c r="P42">
        <f>SUM(D42:O42)</f>
        <v/>
      </c>
      <c r="Q42">
        <f>P42/12</f>
        <v/>
      </c>
      <c r="R42" t="inlineStr">
        <is>
          <t>руб.</t>
        </is>
      </c>
    </row>
  </sheetData>
  <mergeCells count="5">
    <mergeCell ref="A2:R2"/>
    <mergeCell ref="A32:R32"/>
    <mergeCell ref="A1:R1"/>
    <mergeCell ref="A5:R5"/>
    <mergeCell ref="A22:R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5" customWidth="1" style="174" min="1" max="1"/>
    <col width="30" customWidth="1" style="174" min="2" max="2"/>
    <col width="16" customWidth="1" style="174" min="3" max="3"/>
    <col width="16" customWidth="1" style="174" min="4" max="4"/>
    <col width="16" customWidth="1" style="174" min="5" max="5"/>
    <col width="16" customWidth="1" style="174" min="6" max="6"/>
    <col width="16" customWidth="1" style="174" min="7" max="7"/>
    <col width="16" customWidth="1" style="174" min="8" max="8"/>
    <col width="16" customWidth="1" style="174" min="9" max="9"/>
    <col width="24" customWidth="1" style="174" min="10" max="10"/>
    <col width="13" customWidth="1" style="174" min="11" max="11"/>
    <col width="13" customWidth="1" style="174" min="12" max="12"/>
    <col width="13" customWidth="1" style="174" min="13" max="13"/>
    <col width="13" customWidth="1" style="174" min="14" max="14"/>
    <col width="13" customWidth="1" style="174" min="15" max="15"/>
    <col width="13" customWidth="1" style="174" min="16" max="16"/>
    <col width="13" customWidth="1" style="174" min="17" max="17"/>
    <col width="13" customWidth="1" style="174" min="18" max="18"/>
  </cols>
  <sheetData>
    <row r="1" ht="28" customHeight="1" s="174">
      <c r="A1" s="134" t="inlineStr">
        <is>
          <t>ФОТ, НДФЛ, страховые взносы и подрядчики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3" t="inlineStr">
        <is>
          <t>Ставки сотрудников заданы как суммы «на руки». Gross = Net / (1 − НДФЛ). Страховые взносы начисляются только на штат; бухгалтерия и ИТ — самозанятые.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</row>
    <row r="4">
      <c r="A4" s="122" t="inlineStr">
        <is>
          <t>ДЕТАЛИЗАЦИЯ ШТАТА КАФЕ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52" t="n"/>
      <c r="L4" s="52" t="n"/>
      <c r="M4" s="52" t="n"/>
      <c r="N4" s="52" t="n"/>
      <c r="O4" s="52" t="n"/>
      <c r="P4" s="52" t="n"/>
      <c r="Q4" s="52" t="n"/>
      <c r="R4" s="52" t="n"/>
    </row>
    <row r="5">
      <c r="A5" s="18" t="inlineStr">
        <is>
          <t>Код</t>
        </is>
      </c>
      <c r="B5" s="18" t="inlineStr">
        <is>
          <t>Должность</t>
        </is>
      </c>
      <c r="C5" s="18" t="inlineStr">
        <is>
          <t>Ставка net, руб./день</t>
        </is>
      </c>
      <c r="D5" s="18" t="inlineStr">
        <is>
          <t>Дней/мес.</t>
        </is>
      </c>
      <c r="E5" s="18" t="inlineStr">
        <is>
          <t>Net, руб./мес.</t>
        </is>
      </c>
      <c r="F5" s="18" t="inlineStr">
        <is>
          <t>Gross, руб./мес.</t>
        </is>
      </c>
      <c r="G5" s="18" t="inlineStr">
        <is>
          <t>НДФЛ</t>
        </is>
      </c>
      <c r="H5" s="18" t="inlineStr">
        <is>
          <t>Страховые взносы</t>
        </is>
      </c>
      <c r="I5" s="18" t="inlineStr">
        <is>
          <t>Стоимость работодателя</t>
        </is>
      </c>
      <c r="J5" s="18" t="inlineStr">
        <is>
          <t>USALI</t>
        </is>
      </c>
      <c r="K5" s="52" t="n"/>
      <c r="L5" s="52" t="n"/>
      <c r="M5" s="52" t="n"/>
      <c r="N5" s="52" t="n"/>
      <c r="O5" s="52" t="n"/>
      <c r="P5" s="52" t="n"/>
      <c r="Q5" s="52" t="n"/>
      <c r="R5" s="52" t="n"/>
    </row>
    <row r="6">
      <c r="A6" s="52" t="inlineStr">
        <is>
          <t>PAY.CHEF</t>
        </is>
      </c>
      <c r="B6" s="52" t="inlineStr">
        <is>
          <t>Шеф</t>
        </is>
      </c>
      <c r="C6" s="188">
        <f>'01_ВВОД'!$D$63</f>
        <v/>
      </c>
      <c r="D6" s="188">
        <f>'01_ВВОД'!$D$64</f>
        <v/>
      </c>
      <c r="E6" s="188">
        <f>C6*D6</f>
        <v/>
      </c>
      <c r="F6" s="188">
        <f>E6/(1-'01_ВВОД'!$D$60)</f>
        <v/>
      </c>
      <c r="G6" s="188">
        <f>F6-E6</f>
        <v/>
      </c>
      <c r="H6" s="188">
        <f>F6*'01_ВВОД'!$D$61</f>
        <v/>
      </c>
      <c r="I6" s="188">
        <f>F6+H6</f>
        <v/>
      </c>
      <c r="J6" s="52" t="inlineStr">
        <is>
          <t>Kitchen Payroll</t>
        </is>
      </c>
      <c r="K6" s="52" t="n"/>
      <c r="L6" s="52" t="n"/>
      <c r="M6" s="52" t="n"/>
      <c r="N6" s="52" t="n"/>
      <c r="O6" s="52" t="n"/>
      <c r="P6" s="52" t="n"/>
      <c r="Q6" s="52" t="n"/>
      <c r="R6" s="52" t="n"/>
    </row>
    <row r="7">
      <c r="A7" s="52" t="inlineStr">
        <is>
          <t>PAY.SOUS</t>
        </is>
      </c>
      <c r="B7" s="52" t="inlineStr">
        <is>
          <t>Су-шеф</t>
        </is>
      </c>
      <c r="C7" s="188">
        <f>'01_ВВОД'!$D$65</f>
        <v/>
      </c>
      <c r="D7" s="188">
        <f>'01_ВВОД'!$D$66</f>
        <v/>
      </c>
      <c r="E7" s="188">
        <f>C7*D7</f>
        <v/>
      </c>
      <c r="F7" s="188">
        <f>E7/(1-'01_ВВОД'!$D$60)</f>
        <v/>
      </c>
      <c r="G7" s="188">
        <f>F7-E7</f>
        <v/>
      </c>
      <c r="H7" s="188">
        <f>F7*'01_ВВОД'!$D$61</f>
        <v/>
      </c>
      <c r="I7" s="188">
        <f>F7+H7</f>
        <v/>
      </c>
      <c r="J7" s="52" t="inlineStr">
        <is>
          <t>Kitchen Payroll</t>
        </is>
      </c>
      <c r="K7" s="52" t="n"/>
      <c r="L7" s="52" t="n"/>
      <c r="M7" s="52" t="n"/>
      <c r="N7" s="52" t="n"/>
      <c r="O7" s="52" t="n"/>
      <c r="P7" s="52" t="n"/>
      <c r="Q7" s="52" t="n"/>
      <c r="R7" s="52" t="n"/>
    </row>
    <row r="8">
      <c r="A8" s="52" t="inlineStr">
        <is>
          <t>PAY.COOK</t>
        </is>
      </c>
      <c r="B8" s="52" t="inlineStr">
        <is>
          <t>Повар</t>
        </is>
      </c>
      <c r="C8" s="188">
        <f>'01_ВВОД'!$D$67</f>
        <v/>
      </c>
      <c r="D8" s="188">
        <f>'01_ВВОД'!$D$68</f>
        <v/>
      </c>
      <c r="E8" s="188">
        <f>C8*D8</f>
        <v/>
      </c>
      <c r="F8" s="188">
        <f>E8/(1-'01_ВВОД'!$D$60)</f>
        <v/>
      </c>
      <c r="G8" s="188">
        <f>F8-E8</f>
        <v/>
      </c>
      <c r="H8" s="188">
        <f>F8*'01_ВВОД'!$D$61</f>
        <v/>
      </c>
      <c r="I8" s="188">
        <f>F8+H8</f>
        <v/>
      </c>
      <c r="J8" s="52" t="inlineStr">
        <is>
          <t>Kitchen Payroll</t>
        </is>
      </c>
      <c r="K8" s="52" t="n"/>
      <c r="L8" s="52" t="n"/>
      <c r="M8" s="52" t="n"/>
      <c r="N8" s="52" t="n"/>
      <c r="O8" s="52" t="n"/>
      <c r="P8" s="52" t="n"/>
      <c r="Q8" s="52" t="n"/>
      <c r="R8" s="52" t="n"/>
    </row>
    <row r="9">
      <c r="A9" s="52" t="inlineStr">
        <is>
          <t>PAY.BAR</t>
        </is>
      </c>
      <c r="B9" s="52" t="inlineStr">
        <is>
          <t>Бармен-бариста-кассир</t>
        </is>
      </c>
      <c r="C9" s="188">
        <f>'01_ВВОД'!$D$69</f>
        <v/>
      </c>
      <c r="D9" s="188">
        <f>'01_ВВОД'!$D$70</f>
        <v/>
      </c>
      <c r="E9" s="188">
        <f>C9*D9</f>
        <v/>
      </c>
      <c r="F9" s="188">
        <f>E9/(1-'01_ВВОД'!$D$60)</f>
        <v/>
      </c>
      <c r="G9" s="188">
        <f>F9-E9</f>
        <v/>
      </c>
      <c r="H9" s="188">
        <f>F9*'01_ВВОД'!$D$61</f>
        <v/>
      </c>
      <c r="I9" s="188">
        <f>F9+H9</f>
        <v/>
      </c>
      <c r="J9" s="52" t="inlineStr">
        <is>
          <t>Restaurant Payroll</t>
        </is>
      </c>
      <c r="K9" s="52" t="n"/>
      <c r="L9" s="52" t="n"/>
      <c r="M9" s="52" t="n"/>
      <c r="N9" s="52" t="n"/>
      <c r="O9" s="52" t="n"/>
      <c r="P9" s="52" t="n"/>
      <c r="Q9" s="52" t="n"/>
      <c r="R9" s="52" t="n"/>
    </row>
    <row r="10">
      <c r="A10" s="52" t="inlineStr">
        <is>
          <t>PAY.GM</t>
        </is>
      </c>
      <c r="B10" s="52" t="inlineStr">
        <is>
          <t>Управляющий</t>
        </is>
      </c>
      <c r="C10" s="188">
        <f>'01_ВВОД'!$D$71</f>
        <v/>
      </c>
      <c r="D10" s="188">
        <f>'01_ВВОД'!$D$72</f>
        <v/>
      </c>
      <c r="E10" s="188">
        <f>C10*D10</f>
        <v/>
      </c>
      <c r="F10" s="188">
        <f>E10/(1-'01_ВВОД'!$D$60)</f>
        <v/>
      </c>
      <c r="G10" s="188">
        <f>F10-E10</f>
        <v/>
      </c>
      <c r="H10" s="188">
        <f>F10*'01_ВВОД'!$D$61</f>
        <v/>
      </c>
      <c r="I10" s="188">
        <f>F10+H10</f>
        <v/>
      </c>
      <c r="J10" s="52" t="inlineStr">
        <is>
          <t>F&amp;B Management</t>
        </is>
      </c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>
      <c r="A11" s="52" t="inlineStr">
        <is>
          <t>PAY.MGR</t>
        </is>
      </c>
      <c r="B11" s="52" t="inlineStr">
        <is>
          <t>Менеджер</t>
        </is>
      </c>
      <c r="C11" s="188">
        <f>'01_ВВОД'!$D$73</f>
        <v/>
      </c>
      <c r="D11" s="188">
        <f>'01_ВВОД'!$D$74</f>
        <v/>
      </c>
      <c r="E11" s="188">
        <f>C11*D11</f>
        <v/>
      </c>
      <c r="F11" s="188">
        <f>E11/(1-'01_ВВОД'!$D$60)</f>
        <v/>
      </c>
      <c r="G11" s="188">
        <f>F11-E11</f>
        <v/>
      </c>
      <c r="H11" s="188">
        <f>F11*'01_ВВОД'!$D$61</f>
        <v/>
      </c>
      <c r="I11" s="188">
        <f>F11+H11</f>
        <v/>
      </c>
      <c r="J11" s="52" t="inlineStr">
        <is>
          <t>F&amp;B Management</t>
        </is>
      </c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>
      <c r="A12" s="52" t="inlineStr">
        <is>
          <t>PAY.CLEAN</t>
        </is>
      </c>
      <c r="B12" s="52" t="inlineStr">
        <is>
          <t>Уборщица-посудомойка</t>
        </is>
      </c>
      <c r="C12" s="188">
        <f>'01_ВВОД'!$D$75</f>
        <v/>
      </c>
      <c r="D12" s="188">
        <f>'01_ВВОД'!$D$76</f>
        <v/>
      </c>
      <c r="E12" s="188">
        <f>C12*D12</f>
        <v/>
      </c>
      <c r="F12" s="188">
        <f>E12/(1-'01_ВВОД'!$D$60)</f>
        <v/>
      </c>
      <c r="G12" s="188">
        <f>F12-E12</f>
        <v/>
      </c>
      <c r="H12" s="188">
        <f>F12*'01_ВВОД'!$D$61</f>
        <v/>
      </c>
      <c r="I12" s="188">
        <f>F12+H12</f>
        <v/>
      </c>
      <c r="J12" s="52" t="inlineStr">
        <is>
          <t>Stewarding Payroll</t>
        </is>
      </c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>
      <c r="A13" s="52" t="inlineStr">
        <is>
          <t>PAY.BUY</t>
        </is>
      </c>
      <c r="B13" s="52" t="inlineStr">
        <is>
          <t>Снабженец</t>
        </is>
      </c>
      <c r="C13" s="188">
        <f>'01_ВВОД'!$D$77</f>
        <v/>
      </c>
      <c r="D13" s="188">
        <f>'01_ВВОД'!$D$78</f>
        <v/>
      </c>
      <c r="E13" s="188">
        <f>C13*D13</f>
        <v/>
      </c>
      <c r="F13" s="188">
        <f>E13/(1-'01_ВВОД'!$D$60)</f>
        <v/>
      </c>
      <c r="G13" s="188">
        <f>F13-E13</f>
        <v/>
      </c>
      <c r="H13" s="188">
        <f>F13*'01_ВВОД'!$D$61</f>
        <v/>
      </c>
      <c r="I13" s="188">
        <f>F13+H13</f>
        <v/>
      </c>
      <c r="J13" s="52" t="inlineStr">
        <is>
          <t>Purchasing Payroll</t>
        </is>
      </c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>
      <c r="A14" s="52" t="inlineStr">
        <is>
          <t>PAY.DELMGR</t>
        </is>
      </c>
      <c r="B14" s="52" t="inlineStr">
        <is>
          <t>Менеджер доставки</t>
        </is>
      </c>
      <c r="C14" s="188">
        <f>'01_ВВОД'!$D$79</f>
        <v/>
      </c>
      <c r="D14" s="188">
        <f>'01_ВВОД'!$D$80</f>
        <v/>
      </c>
      <c r="E14" s="188">
        <f>C14*D14</f>
        <v/>
      </c>
      <c r="F14" s="188">
        <f>E14/(1-'01_ВВОД'!$D$60)</f>
        <v/>
      </c>
      <c r="G14" s="188">
        <f>F14-E14</f>
        <v/>
      </c>
      <c r="H14" s="188">
        <f>F14*'01_ВВОД'!$D$61</f>
        <v/>
      </c>
      <c r="I14" s="188">
        <f>F14+H14</f>
        <v/>
      </c>
      <c r="J14" s="52" t="inlineStr">
        <is>
          <t>Delivery Payroll</t>
        </is>
      </c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>
      <c r="A15" s="124" t="inlineStr">
        <is>
          <t>ИТОГО ШТАТ</t>
        </is>
      </c>
      <c r="B15" s="1" t="n"/>
      <c r="C15" s="1" t="n"/>
      <c r="D15" s="1" t="n"/>
      <c r="E15" s="203">
        <f>SUM(E6:E14)</f>
        <v/>
      </c>
      <c r="F15" s="203">
        <f>SUM(F6:F14)</f>
        <v/>
      </c>
      <c r="G15" s="203">
        <f>SUM(G6:G14)</f>
        <v/>
      </c>
      <c r="H15" s="203">
        <f>SUM(H6:H14)</f>
        <v/>
      </c>
      <c r="I15" s="203">
        <f>SUM(I6:I14)</f>
        <v/>
      </c>
      <c r="J15" s="118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>
      <c r="A18" s="122" t="inlineStr">
        <is>
          <t>ПОДРЯДЧИКИ / САМОЗАНЯТЫЕ</t>
        </is>
      </c>
      <c r="B18" s="1" t="n"/>
      <c r="C18" s="1" t="n"/>
      <c r="D18" s="1" t="n"/>
      <c r="E18" s="1" t="n"/>
      <c r="F18" s="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>
      <c r="A19" s="18" t="inlineStr">
        <is>
          <t>Код</t>
        </is>
      </c>
      <c r="B19" s="18" t="inlineStr">
        <is>
          <t>Исполнитель</t>
        </is>
      </c>
      <c r="C19" s="18" t="inlineStr">
        <is>
          <t>Сумма, руб./мес.</t>
        </is>
      </c>
      <c r="D19" s="18" t="inlineStr">
        <is>
          <t>НДФЛ работодателя</t>
        </is>
      </c>
      <c r="E19" s="18" t="inlineStr">
        <is>
          <t>Страховые взносы</t>
        </is>
      </c>
      <c r="F19" s="18" t="inlineStr">
        <is>
          <t>USALI</t>
        </is>
      </c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</row>
    <row r="20">
      <c r="A20" s="52" t="inlineStr">
        <is>
          <t>CONT.ACC</t>
        </is>
      </c>
      <c r="B20" s="52" t="inlineStr">
        <is>
          <t>Бухгалтер + бухгалтер-калькулятор</t>
        </is>
      </c>
      <c r="C20" s="188">
        <f>'01_ВВОД'!$D$81</f>
        <v/>
      </c>
      <c r="D20" s="201" t="n">
        <v>0</v>
      </c>
      <c r="E20" s="201" t="n">
        <v>0</v>
      </c>
      <c r="F20" s="52" t="inlineStr">
        <is>
          <t>Administrative &amp; General</t>
        </is>
      </c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</row>
    <row r="21">
      <c r="A21" s="52" t="inlineStr">
        <is>
          <t>CONT.IT</t>
        </is>
      </c>
      <c r="B21" s="52" t="inlineStr">
        <is>
          <t>ИТ-специалист</t>
        </is>
      </c>
      <c r="C21" s="188">
        <f>'01_ВВОД'!$D$82</f>
        <v/>
      </c>
      <c r="D21" s="201" t="n">
        <v>0</v>
      </c>
      <c r="E21" s="201" t="n">
        <v>0</v>
      </c>
      <c r="F21" s="52" t="inlineStr">
        <is>
          <t>Information Systems / A&amp;G</t>
        </is>
      </c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</row>
    <row r="22">
      <c r="A22" s="124" t="inlineStr">
        <is>
          <t>ИТОГО ПОДРЯДЧИКИ</t>
        </is>
      </c>
      <c r="B22" s="1" t="n"/>
      <c r="C22" s="203">
        <f>SUM(C20:C21)</f>
        <v/>
      </c>
      <c r="D22" s="203" t="n"/>
      <c r="E22" s="203" t="n"/>
      <c r="F22" s="118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</row>
    <row r="23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</row>
    <row r="24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</row>
    <row r="25">
      <c r="A25" s="122" t="inlineStr">
        <is>
          <t>ПОМЕСЯЧНЫЙ РАСЧЁТ РАСХОДОВ НА ПЕРСОНАЛ КАФЕ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8" t="inlineStr">
        <is>
          <t>Код</t>
        </is>
      </c>
      <c r="B26" s="18" t="inlineStr">
        <is>
          <t>Раздел</t>
        </is>
      </c>
      <c r="C26" s="18" t="inlineStr">
        <is>
          <t>Показатель</t>
        </is>
      </c>
      <c r="D26" s="18" t="inlineStr">
        <is>
          <t>Сен-26</t>
        </is>
      </c>
      <c r="E26" s="18" t="inlineStr">
        <is>
          <t>Окт-26</t>
        </is>
      </c>
      <c r="F26" s="18" t="inlineStr">
        <is>
          <t>Ноя-26</t>
        </is>
      </c>
      <c r="G26" s="18" t="inlineStr">
        <is>
          <t>Дек-26</t>
        </is>
      </c>
      <c r="H26" s="18" t="inlineStr">
        <is>
          <t>Янв-27</t>
        </is>
      </c>
      <c r="I26" s="18" t="inlineStr">
        <is>
          <t>Фев-27</t>
        </is>
      </c>
      <c r="J26" s="18" t="inlineStr">
        <is>
          <t>Мар-27</t>
        </is>
      </c>
      <c r="K26" s="18" t="inlineStr">
        <is>
          <t>Апр-27</t>
        </is>
      </c>
      <c r="L26" s="18" t="inlineStr">
        <is>
          <t>Май-27</t>
        </is>
      </c>
      <c r="M26" s="18" t="inlineStr">
        <is>
          <t>Июн-27</t>
        </is>
      </c>
      <c r="N26" s="18" t="inlineStr">
        <is>
          <t>Июл-27</t>
        </is>
      </c>
      <c r="O26" s="18" t="inlineStr">
        <is>
          <t>Авг-27</t>
        </is>
      </c>
      <c r="P26" s="18" t="inlineStr">
        <is>
          <t>Итого за год</t>
        </is>
      </c>
      <c r="Q26" s="18" t="inlineStr">
        <is>
          <t>Среднее за месяц</t>
        </is>
      </c>
      <c r="R26" s="18" t="inlineStr">
        <is>
          <t>Ед.</t>
        </is>
      </c>
    </row>
    <row r="27">
      <c r="A27" s="52" t="inlineStr">
        <is>
          <t>PAY.NET</t>
        </is>
      </c>
      <c r="B27" s="52" t="inlineStr">
        <is>
          <t>Штат</t>
        </is>
      </c>
      <c r="C27" s="52" t="inlineStr">
        <is>
          <t>Net-ФОТ</t>
        </is>
      </c>
      <c r="D27" s="188">
        <f>$E$15</f>
        <v/>
      </c>
      <c r="E27" s="188">
        <f>$E$15</f>
        <v/>
      </c>
      <c r="F27" s="188">
        <f>$E$15</f>
        <v/>
      </c>
      <c r="G27" s="188">
        <f>$E$15</f>
        <v/>
      </c>
      <c r="H27" s="188">
        <f>$E$15</f>
        <v/>
      </c>
      <c r="I27" s="188">
        <f>$E$15</f>
        <v/>
      </c>
      <c r="J27" s="188">
        <f>$E$15</f>
        <v/>
      </c>
      <c r="K27" s="188">
        <f>$E$15</f>
        <v/>
      </c>
      <c r="L27" s="188">
        <f>$E$15</f>
        <v/>
      </c>
      <c r="M27" s="188">
        <f>$E$15</f>
        <v/>
      </c>
      <c r="N27" s="188">
        <f>$E$15</f>
        <v/>
      </c>
      <c r="O27" s="188">
        <f>$E$15</f>
        <v/>
      </c>
      <c r="P27" s="188">
        <f>SUM(D27:O27)</f>
        <v/>
      </c>
      <c r="Q27" s="188">
        <f>P27/12</f>
        <v/>
      </c>
      <c r="R27" s="52" t="inlineStr">
        <is>
          <t>руб.</t>
        </is>
      </c>
    </row>
    <row r="28">
      <c r="A28" s="52" t="inlineStr">
        <is>
          <t>PAY.GROSS</t>
        </is>
      </c>
      <c r="B28" s="52" t="inlineStr">
        <is>
          <t>Штат</t>
        </is>
      </c>
      <c r="C28" s="52" t="inlineStr">
        <is>
          <t>Gross-ФОТ</t>
        </is>
      </c>
      <c r="D28" s="188">
        <f>$F$15</f>
        <v/>
      </c>
      <c r="E28" s="188">
        <f>$F$15</f>
        <v/>
      </c>
      <c r="F28" s="188">
        <f>$F$15</f>
        <v/>
      </c>
      <c r="G28" s="188">
        <f>$F$15</f>
        <v/>
      </c>
      <c r="H28" s="188">
        <f>$F$15</f>
        <v/>
      </c>
      <c r="I28" s="188">
        <f>$F$15</f>
        <v/>
      </c>
      <c r="J28" s="188">
        <f>$F$15</f>
        <v/>
      </c>
      <c r="K28" s="188">
        <f>$F$15</f>
        <v/>
      </c>
      <c r="L28" s="188">
        <f>$F$15</f>
        <v/>
      </c>
      <c r="M28" s="188">
        <f>$F$15</f>
        <v/>
      </c>
      <c r="N28" s="188">
        <f>$F$15</f>
        <v/>
      </c>
      <c r="O28" s="188">
        <f>$F$15</f>
        <v/>
      </c>
      <c r="P28" s="188">
        <f>SUM(D28:O28)</f>
        <v/>
      </c>
      <c r="Q28" s="188">
        <f>P28/12</f>
        <v/>
      </c>
      <c r="R28" s="52" t="inlineStr">
        <is>
          <t>руб.</t>
        </is>
      </c>
    </row>
    <row r="29">
      <c r="A29" s="52" t="inlineStr">
        <is>
          <t>PAY.NDFL</t>
        </is>
      </c>
      <c r="B29" s="52" t="inlineStr">
        <is>
          <t>Штат</t>
        </is>
      </c>
      <c r="C29" s="52" t="inlineStr">
        <is>
          <t>НДФЛ</t>
        </is>
      </c>
      <c r="D29" s="188">
        <f>$G$15</f>
        <v/>
      </c>
      <c r="E29" s="188">
        <f>$G$15</f>
        <v/>
      </c>
      <c r="F29" s="188">
        <f>$G$15</f>
        <v/>
      </c>
      <c r="G29" s="188">
        <f>$G$15</f>
        <v/>
      </c>
      <c r="H29" s="188">
        <f>$G$15</f>
        <v/>
      </c>
      <c r="I29" s="188">
        <f>$G$15</f>
        <v/>
      </c>
      <c r="J29" s="188">
        <f>$G$15</f>
        <v/>
      </c>
      <c r="K29" s="188">
        <f>$G$15</f>
        <v/>
      </c>
      <c r="L29" s="188">
        <f>$G$15</f>
        <v/>
      </c>
      <c r="M29" s="188">
        <f>$G$15</f>
        <v/>
      </c>
      <c r="N29" s="188">
        <f>$G$15</f>
        <v/>
      </c>
      <c r="O29" s="188">
        <f>$G$15</f>
        <v/>
      </c>
      <c r="P29" s="188">
        <f>SUM(D29:O29)</f>
        <v/>
      </c>
      <c r="Q29" s="188">
        <f>P29/12</f>
        <v/>
      </c>
      <c r="R29" s="52" t="inlineStr">
        <is>
          <t>руб.</t>
        </is>
      </c>
    </row>
    <row r="30">
      <c r="A30" s="52" t="inlineStr">
        <is>
          <t>PAY.INS</t>
        </is>
      </c>
      <c r="B30" s="52" t="inlineStr">
        <is>
          <t>Штат</t>
        </is>
      </c>
      <c r="C30" s="52" t="inlineStr">
        <is>
          <t>Страховые взносы</t>
        </is>
      </c>
      <c r="D30" s="188">
        <f>$H$15</f>
        <v/>
      </c>
      <c r="E30" s="188">
        <f>$H$15</f>
        <v/>
      </c>
      <c r="F30" s="188">
        <f>$H$15</f>
        <v/>
      </c>
      <c r="G30" s="188">
        <f>$H$15</f>
        <v/>
      </c>
      <c r="H30" s="188">
        <f>$H$15</f>
        <v/>
      </c>
      <c r="I30" s="188">
        <f>$H$15</f>
        <v/>
      </c>
      <c r="J30" s="188">
        <f>$H$15</f>
        <v/>
      </c>
      <c r="K30" s="188">
        <f>$H$15</f>
        <v/>
      </c>
      <c r="L30" s="188">
        <f>$H$15</f>
        <v/>
      </c>
      <c r="M30" s="188">
        <f>$H$15</f>
        <v/>
      </c>
      <c r="N30" s="188">
        <f>$H$15</f>
        <v/>
      </c>
      <c r="O30" s="188">
        <f>$H$15</f>
        <v/>
      </c>
      <c r="P30" s="188">
        <f>SUM(D30:O30)</f>
        <v/>
      </c>
      <c r="Q30" s="188">
        <f>P30/12</f>
        <v/>
      </c>
      <c r="R30" s="52" t="inlineStr">
        <is>
          <t>руб.</t>
        </is>
      </c>
    </row>
    <row r="31">
      <c r="A31" s="52" t="inlineStr">
        <is>
          <t>PAY.EMPLOYER</t>
        </is>
      </c>
      <c r="B31" s="52" t="inlineStr">
        <is>
          <t>Штат</t>
        </is>
      </c>
      <c r="C31" s="52" t="inlineStr">
        <is>
          <t>Полная стоимость штата</t>
        </is>
      </c>
      <c r="D31" s="188">
        <f>$I$15</f>
        <v/>
      </c>
      <c r="E31" s="188">
        <f>$I$15</f>
        <v/>
      </c>
      <c r="F31" s="188">
        <f>$I$15</f>
        <v/>
      </c>
      <c r="G31" s="188">
        <f>$I$15</f>
        <v/>
      </c>
      <c r="H31" s="188">
        <f>$I$15</f>
        <v/>
      </c>
      <c r="I31" s="188">
        <f>$I$15</f>
        <v/>
      </c>
      <c r="J31" s="188">
        <f>$I$15</f>
        <v/>
      </c>
      <c r="K31" s="188">
        <f>$I$15</f>
        <v/>
      </c>
      <c r="L31" s="188">
        <f>$I$15</f>
        <v/>
      </c>
      <c r="M31" s="188">
        <f>$I$15</f>
        <v/>
      </c>
      <c r="N31" s="188">
        <f>$I$15</f>
        <v/>
      </c>
      <c r="O31" s="188">
        <f>$I$15</f>
        <v/>
      </c>
      <c r="P31" s="188">
        <f>SUM(D31:O31)</f>
        <v/>
      </c>
      <c r="Q31" s="188">
        <f>P31/12</f>
        <v/>
      </c>
      <c r="R31" s="52" t="inlineStr">
        <is>
          <t>руб.</t>
        </is>
      </c>
    </row>
    <row r="32">
      <c r="A32" s="52" t="inlineStr">
        <is>
          <t>PAY.RESERVE</t>
        </is>
      </c>
      <c r="B32" s="52" t="inlineStr">
        <is>
          <t>Штат</t>
        </is>
      </c>
      <c r="C32" s="52" t="inlineStr">
        <is>
          <t>Резерв отпусков / болезней / замещений</t>
        </is>
      </c>
      <c r="D32" s="188">
        <f>D28*'01_ВВОД'!$D$62</f>
        <v/>
      </c>
      <c r="E32" s="188">
        <f>E28*'01_ВВОД'!$D$62</f>
        <v/>
      </c>
      <c r="F32" s="188">
        <f>F28*'01_ВВОД'!$D$62</f>
        <v/>
      </c>
      <c r="G32" s="188">
        <f>G28*'01_ВВОД'!$D$62</f>
        <v/>
      </c>
      <c r="H32" s="188">
        <f>H28*'01_ВВОД'!$D$62</f>
        <v/>
      </c>
      <c r="I32" s="188">
        <f>I28*'01_ВВОД'!$D$62</f>
        <v/>
      </c>
      <c r="J32" s="188">
        <f>J28*'01_ВВОД'!$D$62</f>
        <v/>
      </c>
      <c r="K32" s="188">
        <f>K28*'01_ВВОД'!$D$62</f>
        <v/>
      </c>
      <c r="L32" s="188">
        <f>L28*'01_ВВОД'!$D$62</f>
        <v/>
      </c>
      <c r="M32" s="188">
        <f>M28*'01_ВВОД'!$D$62</f>
        <v/>
      </c>
      <c r="N32" s="188">
        <f>N28*'01_ВВОД'!$D$62</f>
        <v/>
      </c>
      <c r="O32" s="188">
        <f>O28*'01_ВВОД'!$D$62</f>
        <v/>
      </c>
      <c r="P32" s="188">
        <f>SUM(D32:O32)</f>
        <v/>
      </c>
      <c r="Q32" s="188">
        <f>P32/12</f>
        <v/>
      </c>
      <c r="R32" s="52" t="inlineStr">
        <is>
          <t>руб.</t>
        </is>
      </c>
    </row>
    <row r="33">
      <c r="A33" s="52" t="inlineStr">
        <is>
          <t>PAY.CONTRACT</t>
        </is>
      </c>
      <c r="B33" s="52" t="inlineStr">
        <is>
          <t>Подрядчики</t>
        </is>
      </c>
      <c r="C33" s="52" t="inlineStr">
        <is>
          <t>Бухгалтерия и ИТ</t>
        </is>
      </c>
      <c r="D33" s="188">
        <f>$C$22</f>
        <v/>
      </c>
      <c r="E33" s="188">
        <f>$C$22</f>
        <v/>
      </c>
      <c r="F33" s="188">
        <f>$C$22</f>
        <v/>
      </c>
      <c r="G33" s="188">
        <f>$C$22</f>
        <v/>
      </c>
      <c r="H33" s="188">
        <f>$C$22</f>
        <v/>
      </c>
      <c r="I33" s="188">
        <f>$C$22</f>
        <v/>
      </c>
      <c r="J33" s="188">
        <f>$C$22</f>
        <v/>
      </c>
      <c r="K33" s="188">
        <f>$C$22</f>
        <v/>
      </c>
      <c r="L33" s="188">
        <f>$C$22</f>
        <v/>
      </c>
      <c r="M33" s="188">
        <f>$C$22</f>
        <v/>
      </c>
      <c r="N33" s="188">
        <f>$C$22</f>
        <v/>
      </c>
      <c r="O33" s="188">
        <f>$C$22</f>
        <v/>
      </c>
      <c r="P33" s="188">
        <f>SUM(D33:O33)</f>
        <v/>
      </c>
      <c r="Q33" s="188">
        <f>P33/12</f>
        <v/>
      </c>
      <c r="R33" s="52" t="inlineStr">
        <is>
          <t>руб.</t>
        </is>
      </c>
    </row>
    <row r="34">
      <c r="A34" s="118" t="inlineStr">
        <is>
          <t>PAY.TOTAL</t>
        </is>
      </c>
      <c r="B34" s="118" t="inlineStr">
        <is>
          <t>Кафе</t>
        </is>
      </c>
      <c r="C34" s="118" t="inlineStr">
        <is>
          <t>ИТОГО РАСХОДЫ НА ПЕРСОНАЛ</t>
        </is>
      </c>
      <c r="D34" s="190">
        <f>SUM(D31:D33)</f>
        <v/>
      </c>
      <c r="E34" s="190">
        <f>SUM(E31:E33)</f>
        <v/>
      </c>
      <c r="F34" s="190">
        <f>SUM(F31:F33)</f>
        <v/>
      </c>
      <c r="G34" s="190">
        <f>SUM(G31:G33)</f>
        <v/>
      </c>
      <c r="H34" s="190">
        <f>SUM(H31:H33)</f>
        <v/>
      </c>
      <c r="I34" s="190">
        <f>SUM(I31:I33)</f>
        <v/>
      </c>
      <c r="J34" s="190">
        <f>SUM(J31:J33)</f>
        <v/>
      </c>
      <c r="K34" s="190">
        <f>SUM(K31:K33)</f>
        <v/>
      </c>
      <c r="L34" s="190">
        <f>SUM(L31:L33)</f>
        <v/>
      </c>
      <c r="M34" s="190">
        <f>SUM(M31:M33)</f>
        <v/>
      </c>
      <c r="N34" s="190">
        <f>SUM(N31:N33)</f>
        <v/>
      </c>
      <c r="O34" s="190">
        <f>SUM(O31:O33)</f>
        <v/>
      </c>
      <c r="P34" s="190">
        <f>SUM(D34:O34)</f>
        <v/>
      </c>
      <c r="Q34" s="190">
        <f>P34/12</f>
        <v/>
      </c>
      <c r="R34" s="118" t="inlineStr">
        <is>
          <t>руб.</t>
        </is>
      </c>
    </row>
  </sheetData>
  <mergeCells count="7">
    <mergeCell ref="A25:R25"/>
    <mergeCell ref="A2:R2"/>
    <mergeCell ref="A15:D15"/>
    <mergeCell ref="A4:J4"/>
    <mergeCell ref="A1:R1"/>
    <mergeCell ref="A18:F18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24" customWidth="1" style="174" min="1" max="1"/>
    <col width="37" customWidth="1" style="174" min="2" max="2"/>
    <col width="48" customWidth="1" style="174" min="3" max="3"/>
    <col width="13" customWidth="1" style="174" min="4" max="4"/>
    <col width="13" customWidth="1" style="174" min="5" max="5"/>
    <col width="13" customWidth="1" style="174" min="6" max="6"/>
    <col width="13" customWidth="1" style="174" min="7" max="7"/>
    <col width="13" customWidth="1" style="174" min="8" max="8"/>
    <col width="13" customWidth="1" style="174" min="9" max="9"/>
    <col width="13" customWidth="1" style="174" min="10" max="10"/>
    <col width="13" customWidth="1" style="174" min="11" max="11"/>
    <col width="13" customWidth="1" style="174" min="12" max="12"/>
    <col width="13" customWidth="1" style="174" min="13" max="13"/>
    <col width="13" customWidth="1" style="174" min="14" max="14"/>
    <col width="13" customWidth="1" style="174" min="15" max="15"/>
    <col width="13" customWidth="1" style="174" min="16" max="16"/>
    <col width="13" customWidth="1" style="174" min="17" max="17"/>
    <col width="30" customWidth="1" style="174" min="18" max="18"/>
  </cols>
  <sheetData>
    <row r="1" ht="28" customHeight="1" s="174">
      <c r="A1" s="134" t="inlineStr">
        <is>
          <t>Операционные расходы кафе по USALI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3" t="inlineStr">
        <is>
          <t>Все постоянные операционные расходы относятся на кафе. Годовые расходы начисляются равномерно по 1/12; сервис ковров — только октябрь–апрель.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" customHeight="1" s="174">
      <c r="A3" s="52" t="n"/>
      <c r="B3" s="52" t="n"/>
      <c r="C3" s="52" t="n"/>
      <c r="D3" s="136" t="n">
        <v>1</v>
      </c>
      <c r="E3" s="136" t="n">
        <v>2</v>
      </c>
      <c r="F3" s="136" t="n">
        <v>3</v>
      </c>
      <c r="G3" s="136" t="n">
        <v>4</v>
      </c>
      <c r="H3" s="136" t="n">
        <v>5</v>
      </c>
      <c r="I3" s="136" t="n">
        <v>6</v>
      </c>
      <c r="J3" s="136" t="n">
        <v>7</v>
      </c>
      <c r="K3" s="136" t="n">
        <v>8</v>
      </c>
      <c r="L3" s="136" t="n">
        <v>9</v>
      </c>
      <c r="M3" s="136" t="n">
        <v>10</v>
      </c>
      <c r="N3" s="136" t="n">
        <v>11</v>
      </c>
      <c r="O3" s="136" t="n">
        <v>12</v>
      </c>
      <c r="P3" s="52" t="n"/>
      <c r="Q3" s="52" t="n"/>
      <c r="R3" s="52" t="n"/>
    </row>
    <row r="4">
      <c r="A4" s="18" t="inlineStr">
        <is>
          <t>Код</t>
        </is>
      </c>
      <c r="B4" s="18" t="inlineStr">
        <is>
          <t>USALI-группа</t>
        </is>
      </c>
      <c r="C4" s="18" t="inlineStr">
        <is>
          <t>Статья</t>
        </is>
      </c>
      <c r="D4" s="18" t="inlineStr">
        <is>
          <t>Сен-26</t>
        </is>
      </c>
      <c r="E4" s="18" t="inlineStr">
        <is>
          <t>Окт-26</t>
        </is>
      </c>
      <c r="F4" s="18" t="inlineStr">
        <is>
          <t>Ноя-26</t>
        </is>
      </c>
      <c r="G4" s="18" t="inlineStr">
        <is>
          <t>Дек-26</t>
        </is>
      </c>
      <c r="H4" s="18" t="inlineStr">
        <is>
          <t>Янв-27</t>
        </is>
      </c>
      <c r="I4" s="18" t="inlineStr">
        <is>
          <t>Фев-27</t>
        </is>
      </c>
      <c r="J4" s="18" t="inlineStr">
        <is>
          <t>Мар-27</t>
        </is>
      </c>
      <c r="K4" s="18" t="inlineStr">
        <is>
          <t>Апр-27</t>
        </is>
      </c>
      <c r="L4" s="18" t="inlineStr">
        <is>
          <t>Май-27</t>
        </is>
      </c>
      <c r="M4" s="18" t="inlineStr">
        <is>
          <t>Июн-27</t>
        </is>
      </c>
      <c r="N4" s="18" t="inlineStr">
        <is>
          <t>Июл-27</t>
        </is>
      </c>
      <c r="O4" s="18" t="inlineStr">
        <is>
          <t>Авг-27</t>
        </is>
      </c>
      <c r="P4" s="18" t="inlineStr">
        <is>
          <t>Итого за год</t>
        </is>
      </c>
      <c r="Q4" s="18" t="inlineStr">
        <is>
          <t>Среднее за месяц</t>
        </is>
      </c>
      <c r="R4" s="18" t="inlineStr">
        <is>
          <t>Основание / статус</t>
        </is>
      </c>
    </row>
    <row r="5">
      <c r="A5" s="122" t="inlineStr">
        <is>
          <t>F&amp;B DEPARTMENTAL EXPENSES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52" t="inlineStr">
        <is>
          <t>OPEX.HOUSEHOLD</t>
        </is>
      </c>
      <c r="B6" s="52" t="inlineStr">
        <is>
          <t>F&amp;B DEPARTMENTAL EXPENSES</t>
        </is>
      </c>
      <c r="C6" s="52" t="inlineStr">
        <is>
          <t>Хозяйственные расходы</t>
        </is>
      </c>
      <c r="D6" s="188">
        <f>'01_ВВОД'!$D$87</f>
        <v/>
      </c>
      <c r="E6" s="188">
        <f>'01_ВВОД'!$D$87</f>
        <v/>
      </c>
      <c r="F6" s="188">
        <f>'01_ВВОД'!$D$87</f>
        <v/>
      </c>
      <c r="G6" s="188">
        <f>'01_ВВОД'!$D$87</f>
        <v/>
      </c>
      <c r="H6" s="188">
        <f>'01_ВВОД'!$D$87</f>
        <v/>
      </c>
      <c r="I6" s="188">
        <f>'01_ВВОД'!$D$87</f>
        <v/>
      </c>
      <c r="J6" s="188">
        <f>'01_ВВОД'!$D$87</f>
        <v/>
      </c>
      <c r="K6" s="188">
        <f>'01_ВВОД'!$D$87</f>
        <v/>
      </c>
      <c r="L6" s="188">
        <f>'01_ВВОД'!$D$87</f>
        <v/>
      </c>
      <c r="M6" s="188">
        <f>'01_ВВОД'!$D$87</f>
        <v/>
      </c>
      <c r="N6" s="188">
        <f>'01_ВВОД'!$D$87</f>
        <v/>
      </c>
      <c r="O6" s="188">
        <f>'01_ВВОД'!$D$87</f>
        <v/>
      </c>
      <c r="P6" s="188">
        <f>SUM(D6:O6)</f>
        <v/>
      </c>
      <c r="Q6" s="188">
        <f>P6/12</f>
        <v/>
      </c>
      <c r="R6" s="52" t="inlineStr">
        <is>
          <t>ежемесячно; Подтверждено</t>
        </is>
      </c>
    </row>
    <row r="7">
      <c r="A7" s="52" t="inlineStr">
        <is>
          <t>OPEX.COFFEE_RENT</t>
        </is>
      </c>
      <c r="B7" s="52" t="inlineStr">
        <is>
          <t>F&amp;B DEPARTMENTAL EXPENSES</t>
        </is>
      </c>
      <c r="C7" s="52" t="inlineStr">
        <is>
          <t>Аренда кофемашины</t>
        </is>
      </c>
      <c r="D7" s="188">
        <f>'01_ВВОД'!$D$90</f>
        <v/>
      </c>
      <c r="E7" s="188">
        <f>'01_ВВОД'!$D$90</f>
        <v/>
      </c>
      <c r="F7" s="188">
        <f>'01_ВВОД'!$D$90</f>
        <v/>
      </c>
      <c r="G7" s="188">
        <f>'01_ВВОД'!$D$90</f>
        <v/>
      </c>
      <c r="H7" s="188">
        <f>'01_ВВОД'!$D$90</f>
        <v/>
      </c>
      <c r="I7" s="188">
        <f>'01_ВВОД'!$D$90</f>
        <v/>
      </c>
      <c r="J7" s="188">
        <f>'01_ВВОД'!$D$90</f>
        <v/>
      </c>
      <c r="K7" s="188">
        <f>'01_ВВОД'!$D$90</f>
        <v/>
      </c>
      <c r="L7" s="188">
        <f>'01_ВВОД'!$D$90</f>
        <v/>
      </c>
      <c r="M7" s="188">
        <f>'01_ВВОД'!$D$90</f>
        <v/>
      </c>
      <c r="N7" s="188">
        <f>'01_ВВОД'!$D$90</f>
        <v/>
      </c>
      <c r="O7" s="188">
        <f>'01_ВВОД'!$D$90</f>
        <v/>
      </c>
      <c r="P7" s="188">
        <f>SUM(D7:O7)</f>
        <v/>
      </c>
      <c r="Q7" s="188">
        <f>P7/12</f>
        <v/>
      </c>
      <c r="R7" s="52" t="inlineStr">
        <is>
          <t>ежемесячно; Подтверждено</t>
        </is>
      </c>
    </row>
    <row r="8">
      <c r="A8" s="52" t="inlineStr">
        <is>
          <t>OPEX.SES</t>
        </is>
      </c>
      <c r="B8" s="52" t="inlineStr">
        <is>
          <t>F&amp;B DEPARTMENTAL EXPENSES</t>
        </is>
      </c>
      <c r="C8" s="52" t="inlineStr">
        <is>
          <t>СЭС / санитарные услуги</t>
        </is>
      </c>
      <c r="D8" s="188">
        <f>'01_ВВОД'!$D$91</f>
        <v/>
      </c>
      <c r="E8" s="188">
        <f>'01_ВВОД'!$D$91</f>
        <v/>
      </c>
      <c r="F8" s="188">
        <f>'01_ВВОД'!$D$91</f>
        <v/>
      </c>
      <c r="G8" s="188">
        <f>'01_ВВОД'!$D$91</f>
        <v/>
      </c>
      <c r="H8" s="188">
        <f>'01_ВВОД'!$D$91</f>
        <v/>
      </c>
      <c r="I8" s="188">
        <f>'01_ВВОД'!$D$91</f>
        <v/>
      </c>
      <c r="J8" s="188">
        <f>'01_ВВОД'!$D$91</f>
        <v/>
      </c>
      <c r="K8" s="188">
        <f>'01_ВВОД'!$D$91</f>
        <v/>
      </c>
      <c r="L8" s="188">
        <f>'01_ВВОД'!$D$91</f>
        <v/>
      </c>
      <c r="M8" s="188">
        <f>'01_ВВОД'!$D$91</f>
        <v/>
      </c>
      <c r="N8" s="188">
        <f>'01_ВВОД'!$D$91</f>
        <v/>
      </c>
      <c r="O8" s="188">
        <f>'01_ВВОД'!$D$91</f>
        <v/>
      </c>
      <c r="P8" s="188">
        <f>SUM(D8:O8)</f>
        <v/>
      </c>
      <c r="Q8" s="188">
        <f>P8/12</f>
        <v/>
      </c>
      <c r="R8" s="52" t="inlineStr">
        <is>
          <t>ежемесячно; Подтверждено</t>
        </is>
      </c>
    </row>
    <row r="9">
      <c r="A9" s="52" t="inlineStr">
        <is>
          <t>OPEX.MUSIC</t>
        </is>
      </c>
      <c r="B9" s="52" t="inlineStr">
        <is>
          <t>F&amp;B DEPARTMENTAL EXPENSES</t>
        </is>
      </c>
      <c r="C9" s="52" t="inlineStr">
        <is>
          <t>Музыка / авторские права</t>
        </is>
      </c>
      <c r="D9" s="188">
        <f>'01_ВВОД'!$D$92</f>
        <v/>
      </c>
      <c r="E9" s="188">
        <f>'01_ВВОД'!$D$92</f>
        <v/>
      </c>
      <c r="F9" s="188">
        <f>'01_ВВОД'!$D$92</f>
        <v/>
      </c>
      <c r="G9" s="188">
        <f>'01_ВВОД'!$D$92</f>
        <v/>
      </c>
      <c r="H9" s="188">
        <f>'01_ВВОД'!$D$92</f>
        <v/>
      </c>
      <c r="I9" s="188">
        <f>'01_ВВОД'!$D$92</f>
        <v/>
      </c>
      <c r="J9" s="188">
        <f>'01_ВВОД'!$D$92</f>
        <v/>
      </c>
      <c r="K9" s="188">
        <f>'01_ВВОД'!$D$92</f>
        <v/>
      </c>
      <c r="L9" s="188">
        <f>'01_ВВОД'!$D$92</f>
        <v/>
      </c>
      <c r="M9" s="188">
        <f>'01_ВВОД'!$D$92</f>
        <v/>
      </c>
      <c r="N9" s="188">
        <f>'01_ВВОД'!$D$92</f>
        <v/>
      </c>
      <c r="O9" s="188">
        <f>'01_ВВОД'!$D$92</f>
        <v/>
      </c>
      <c r="P9" s="188">
        <f>SUM(D9:O9)</f>
        <v/>
      </c>
      <c r="Q9" s="188">
        <f>P9/12</f>
        <v/>
      </c>
      <c r="R9" s="52" t="inlineStr">
        <is>
          <t>ежемесячно; Подтверждено</t>
        </is>
      </c>
    </row>
    <row r="10">
      <c r="A10" s="52" t="inlineStr">
        <is>
          <t>OPEX.SMALLWARE</t>
        </is>
      </c>
      <c r="B10" s="52" t="inlineStr">
        <is>
          <t>F&amp;B DEPARTMENTAL EXPENSES</t>
        </is>
      </c>
      <c r="C10" s="52" t="inlineStr">
        <is>
          <t>Малоценка и инвентарь</t>
        </is>
      </c>
      <c r="D10" s="188">
        <f>'01_ВВОД'!$D$94</f>
        <v/>
      </c>
      <c r="E10" s="188">
        <f>'01_ВВОД'!$D$94</f>
        <v/>
      </c>
      <c r="F10" s="188">
        <f>'01_ВВОД'!$D$94</f>
        <v/>
      </c>
      <c r="G10" s="188">
        <f>'01_ВВОД'!$D$94</f>
        <v/>
      </c>
      <c r="H10" s="188">
        <f>'01_ВВОД'!$D$94</f>
        <v/>
      </c>
      <c r="I10" s="188">
        <f>'01_ВВОД'!$D$94</f>
        <v/>
      </c>
      <c r="J10" s="188">
        <f>'01_ВВОД'!$D$94</f>
        <v/>
      </c>
      <c r="K10" s="188">
        <f>'01_ВВОД'!$D$94</f>
        <v/>
      </c>
      <c r="L10" s="188">
        <f>'01_ВВОД'!$D$94</f>
        <v/>
      </c>
      <c r="M10" s="188">
        <f>'01_ВВОД'!$D$94</f>
        <v/>
      </c>
      <c r="N10" s="188">
        <f>'01_ВВОД'!$D$94</f>
        <v/>
      </c>
      <c r="O10" s="188">
        <f>'01_ВВОД'!$D$94</f>
        <v/>
      </c>
      <c r="P10" s="188">
        <f>SUM(D10:O10)</f>
        <v/>
      </c>
      <c r="Q10" s="188">
        <f>P10/12</f>
        <v/>
      </c>
      <c r="R10" s="52" t="inlineStr">
        <is>
          <t>ежемесячно; Подтверждено</t>
        </is>
      </c>
    </row>
    <row r="11">
      <c r="A11" s="52" t="inlineStr">
        <is>
          <t>OPEX.PEST</t>
        </is>
      </c>
      <c r="B11" s="52" t="inlineStr">
        <is>
          <t>F&amp;B DEPARTMENTAL EXPENSES</t>
        </is>
      </c>
      <c r="C11" s="52" t="inlineStr">
        <is>
          <t>Дезинсекция и дератизация</t>
        </is>
      </c>
      <c r="D11" s="188">
        <f>'01_ВВОД'!$D$99</f>
        <v/>
      </c>
      <c r="E11" s="188">
        <f>'01_ВВОД'!$D$99</f>
        <v/>
      </c>
      <c r="F11" s="188">
        <f>'01_ВВОД'!$D$99</f>
        <v/>
      </c>
      <c r="G11" s="188">
        <f>'01_ВВОД'!$D$99</f>
        <v/>
      </c>
      <c r="H11" s="188">
        <f>'01_ВВОД'!$D$99</f>
        <v/>
      </c>
      <c r="I11" s="188">
        <f>'01_ВВОД'!$D$99</f>
        <v/>
      </c>
      <c r="J11" s="188">
        <f>'01_ВВОД'!$D$99</f>
        <v/>
      </c>
      <c r="K11" s="188">
        <f>'01_ВВОД'!$D$99</f>
        <v/>
      </c>
      <c r="L11" s="188">
        <f>'01_ВВОД'!$D$99</f>
        <v/>
      </c>
      <c r="M11" s="188">
        <f>'01_ВВОД'!$D$99</f>
        <v/>
      </c>
      <c r="N11" s="188">
        <f>'01_ВВОД'!$D$99</f>
        <v/>
      </c>
      <c r="O11" s="188">
        <f>'01_ВВОД'!$D$99</f>
        <v/>
      </c>
      <c r="P11" s="188">
        <f>SUM(D11:O11)</f>
        <v/>
      </c>
      <c r="Q11" s="188">
        <f>P11/12</f>
        <v/>
      </c>
      <c r="R11" s="52" t="inlineStr">
        <is>
          <t>ежемесячно; Допущение</t>
        </is>
      </c>
    </row>
    <row r="12">
      <c r="A12" s="52" t="inlineStr">
        <is>
          <t>OPEX.GEN_CLEAN</t>
        </is>
      </c>
      <c r="B12" s="52" t="inlineStr">
        <is>
          <t>F&amp;B DEPARTMENTAL EXPENSES</t>
        </is>
      </c>
      <c r="C12" s="52" t="inlineStr">
        <is>
          <t>Генеральная уборка</t>
        </is>
      </c>
      <c r="D12" s="188">
        <f>'01_ВВОД'!$D$100</f>
        <v/>
      </c>
      <c r="E12" s="188">
        <f>'01_ВВОД'!$D$100</f>
        <v/>
      </c>
      <c r="F12" s="188">
        <f>'01_ВВОД'!$D$100</f>
        <v/>
      </c>
      <c r="G12" s="188">
        <f>'01_ВВОД'!$D$100</f>
        <v/>
      </c>
      <c r="H12" s="188">
        <f>'01_ВВОД'!$D$100</f>
        <v/>
      </c>
      <c r="I12" s="188">
        <f>'01_ВВОД'!$D$100</f>
        <v/>
      </c>
      <c r="J12" s="188">
        <f>'01_ВВОД'!$D$100</f>
        <v/>
      </c>
      <c r="K12" s="188">
        <f>'01_ВВОД'!$D$100</f>
        <v/>
      </c>
      <c r="L12" s="188">
        <f>'01_ВВОД'!$D$100</f>
        <v/>
      </c>
      <c r="M12" s="188">
        <f>'01_ВВОД'!$D$100</f>
        <v/>
      </c>
      <c r="N12" s="188">
        <f>'01_ВВОД'!$D$100</f>
        <v/>
      </c>
      <c r="O12" s="188">
        <f>'01_ВВОД'!$D$100</f>
        <v/>
      </c>
      <c r="P12" s="188">
        <f>SUM(D12:O12)</f>
        <v/>
      </c>
      <c r="Q12" s="188">
        <f>P12/12</f>
        <v/>
      </c>
      <c r="R12" s="52" t="inlineStr">
        <is>
          <t>ежемесячно; Допущение</t>
        </is>
      </c>
    </row>
    <row r="13">
      <c r="A13" s="52" t="inlineStr">
        <is>
          <t>OPEX.GREASE</t>
        </is>
      </c>
      <c r="B13" s="52" t="inlineStr">
        <is>
          <t>F&amp;B DEPARTMENTAL EXPENSES</t>
        </is>
      </c>
      <c r="C13" s="52" t="inlineStr">
        <is>
          <t>Жироуловитель / канализация</t>
        </is>
      </c>
      <c r="D13" s="188">
        <f>'01_ВВОД'!$D$101</f>
        <v/>
      </c>
      <c r="E13" s="188">
        <f>'01_ВВОД'!$D$101</f>
        <v/>
      </c>
      <c r="F13" s="188">
        <f>'01_ВВОД'!$D$101</f>
        <v/>
      </c>
      <c r="G13" s="188">
        <f>'01_ВВОД'!$D$101</f>
        <v/>
      </c>
      <c r="H13" s="188">
        <f>'01_ВВОД'!$D$101</f>
        <v/>
      </c>
      <c r="I13" s="188">
        <f>'01_ВВОД'!$D$101</f>
        <v/>
      </c>
      <c r="J13" s="188">
        <f>'01_ВВОД'!$D$101</f>
        <v/>
      </c>
      <c r="K13" s="188">
        <f>'01_ВВОД'!$D$101</f>
        <v/>
      </c>
      <c r="L13" s="188">
        <f>'01_ВВОД'!$D$101</f>
        <v/>
      </c>
      <c r="M13" s="188">
        <f>'01_ВВОД'!$D$101</f>
        <v/>
      </c>
      <c r="N13" s="188">
        <f>'01_ВВОД'!$D$101</f>
        <v/>
      </c>
      <c r="O13" s="188">
        <f>'01_ВВОД'!$D$101</f>
        <v/>
      </c>
      <c r="P13" s="188">
        <f>SUM(D13:O13)</f>
        <v/>
      </c>
      <c r="Q13" s="188">
        <f>P13/12</f>
        <v/>
      </c>
      <c r="R13" s="52" t="inlineStr">
        <is>
          <t>ежемесячно; Допущение</t>
        </is>
      </c>
    </row>
    <row r="14">
      <c r="A14" s="52" t="inlineStr">
        <is>
          <t>OPEX.LAUNDRY</t>
        </is>
      </c>
      <c r="B14" s="52" t="inlineStr">
        <is>
          <t>F&amp;B DEPARTMENTAL EXPENSES</t>
        </is>
      </c>
      <c r="C14" s="52" t="inlineStr">
        <is>
          <t>Стирка текстиля / униформы</t>
        </is>
      </c>
      <c r="D14" s="188">
        <f>'01_ВВОД'!$D$102</f>
        <v/>
      </c>
      <c r="E14" s="188">
        <f>'01_ВВОД'!$D$102</f>
        <v/>
      </c>
      <c r="F14" s="188">
        <f>'01_ВВОД'!$D$102</f>
        <v/>
      </c>
      <c r="G14" s="188">
        <f>'01_ВВОД'!$D$102</f>
        <v/>
      </c>
      <c r="H14" s="188">
        <f>'01_ВВОД'!$D$102</f>
        <v/>
      </c>
      <c r="I14" s="188">
        <f>'01_ВВОД'!$D$102</f>
        <v/>
      </c>
      <c r="J14" s="188">
        <f>'01_ВВОД'!$D$102</f>
        <v/>
      </c>
      <c r="K14" s="188">
        <f>'01_ВВОД'!$D$102</f>
        <v/>
      </c>
      <c r="L14" s="188">
        <f>'01_ВВОД'!$D$102</f>
        <v/>
      </c>
      <c r="M14" s="188">
        <f>'01_ВВОД'!$D$102</f>
        <v/>
      </c>
      <c r="N14" s="188">
        <f>'01_ВВОД'!$D$102</f>
        <v/>
      </c>
      <c r="O14" s="188">
        <f>'01_ВВОД'!$D$102</f>
        <v/>
      </c>
      <c r="P14" s="188">
        <f>SUM(D14:O14)</f>
        <v/>
      </c>
      <c r="Q14" s="188">
        <f>P14/12</f>
        <v/>
      </c>
      <c r="R14" s="52" t="inlineStr">
        <is>
          <t>ежемесячно; Допущение</t>
        </is>
      </c>
    </row>
    <row r="15">
      <c r="A15" s="52" t="inlineStr">
        <is>
          <t>OPEX.MEDICAL</t>
        </is>
      </c>
      <c r="B15" s="52" t="inlineStr">
        <is>
          <t>F&amp;B DEPARTMENTAL EXPENSES</t>
        </is>
      </c>
      <c r="C15" s="52" t="inlineStr">
        <is>
          <t>Медкнижки и обучение</t>
        </is>
      </c>
      <c r="D15" s="188">
        <f>'01_ВВОД'!$D$112/12</f>
        <v/>
      </c>
      <c r="E15" s="188">
        <f>'01_ВВОД'!$D$112/12</f>
        <v/>
      </c>
      <c r="F15" s="188">
        <f>'01_ВВОД'!$D$112/12</f>
        <v/>
      </c>
      <c r="G15" s="188">
        <f>'01_ВВОД'!$D$112/12</f>
        <v/>
      </c>
      <c r="H15" s="188">
        <f>'01_ВВОД'!$D$112/12</f>
        <v/>
      </c>
      <c r="I15" s="188">
        <f>'01_ВВОД'!$D$112/12</f>
        <v/>
      </c>
      <c r="J15" s="188">
        <f>'01_ВВОД'!$D$112/12</f>
        <v/>
      </c>
      <c r="K15" s="188">
        <f>'01_ВВОД'!$D$112/12</f>
        <v/>
      </c>
      <c r="L15" s="188">
        <f>'01_ВВОД'!$D$112/12</f>
        <v/>
      </c>
      <c r="M15" s="188">
        <f>'01_ВВОД'!$D$112/12</f>
        <v/>
      </c>
      <c r="N15" s="188">
        <f>'01_ВВОД'!$D$112/12</f>
        <v/>
      </c>
      <c r="O15" s="188">
        <f>'01_ВВОД'!$D$112/12</f>
        <v/>
      </c>
      <c r="P15" s="188">
        <f>SUM(D15:O15)</f>
        <v/>
      </c>
      <c r="Q15" s="188">
        <f>P15/12</f>
        <v/>
      </c>
      <c r="R15" s="52" t="inlineStr">
        <is>
          <t>год / 12; Допущение</t>
        </is>
      </c>
    </row>
    <row r="16">
      <c r="A16" s="52" t="inlineStr">
        <is>
          <t>OPEX.UNIFORM</t>
        </is>
      </c>
      <c r="B16" s="52" t="inlineStr">
        <is>
          <t>F&amp;B DEPARTMENTAL EXPENSES</t>
        </is>
      </c>
      <c r="C16" s="52" t="inlineStr">
        <is>
          <t>Униформа</t>
        </is>
      </c>
      <c r="D16" s="188">
        <f>'01_ВВОД'!$D$113/12</f>
        <v/>
      </c>
      <c r="E16" s="188">
        <f>'01_ВВОД'!$D$113/12</f>
        <v/>
      </c>
      <c r="F16" s="188">
        <f>'01_ВВОД'!$D$113/12</f>
        <v/>
      </c>
      <c r="G16" s="188">
        <f>'01_ВВОД'!$D$113/12</f>
        <v/>
      </c>
      <c r="H16" s="188">
        <f>'01_ВВОД'!$D$113/12</f>
        <v/>
      </c>
      <c r="I16" s="188">
        <f>'01_ВВОД'!$D$113/12</f>
        <v/>
      </c>
      <c r="J16" s="188">
        <f>'01_ВВОД'!$D$113/12</f>
        <v/>
      </c>
      <c r="K16" s="188">
        <f>'01_ВВОД'!$D$113/12</f>
        <v/>
      </c>
      <c r="L16" s="188">
        <f>'01_ВВОД'!$D$113/12</f>
        <v/>
      </c>
      <c r="M16" s="188">
        <f>'01_ВВОД'!$D$113/12</f>
        <v/>
      </c>
      <c r="N16" s="188">
        <f>'01_ВВОД'!$D$113/12</f>
        <v/>
      </c>
      <c r="O16" s="188">
        <f>'01_ВВОД'!$D$113/12</f>
        <v/>
      </c>
      <c r="P16" s="188">
        <f>SUM(D16:O16)</f>
        <v/>
      </c>
      <c r="Q16" s="188">
        <f>P16/12</f>
        <v/>
      </c>
      <c r="R16" s="52" t="inlineStr">
        <is>
          <t>год / 12; Допущение</t>
        </is>
      </c>
    </row>
    <row r="17">
      <c r="A17" s="52" t="inlineStr">
        <is>
          <t>OPEX.STAFF_MEALS</t>
        </is>
      </c>
      <c r="B17" s="52" t="inlineStr">
        <is>
          <t>F&amp;B DEPARTMENTAL EXPENSES</t>
        </is>
      </c>
      <c r="C17" s="52" t="inlineStr">
        <is>
          <t>Питание персонала</t>
        </is>
      </c>
      <c r="D17" s="188">
        <f>'01_ВВОД'!$D$116</f>
        <v/>
      </c>
      <c r="E17" s="188">
        <f>'01_ВВОД'!$D$116</f>
        <v/>
      </c>
      <c r="F17" s="188">
        <f>'01_ВВОД'!$D$116</f>
        <v/>
      </c>
      <c r="G17" s="188">
        <f>'01_ВВОД'!$D$116</f>
        <v/>
      </c>
      <c r="H17" s="188">
        <f>'01_ВВОД'!$D$116</f>
        <v/>
      </c>
      <c r="I17" s="188">
        <f>'01_ВВОД'!$D$116</f>
        <v/>
      </c>
      <c r="J17" s="188">
        <f>'01_ВВОД'!$D$116</f>
        <v/>
      </c>
      <c r="K17" s="188">
        <f>'01_ВВОД'!$D$116</f>
        <v/>
      </c>
      <c r="L17" s="188">
        <f>'01_ВВОД'!$D$116</f>
        <v/>
      </c>
      <c r="M17" s="188">
        <f>'01_ВВОД'!$D$116</f>
        <v/>
      </c>
      <c r="N17" s="188">
        <f>'01_ВВОД'!$D$116</f>
        <v/>
      </c>
      <c r="O17" s="188">
        <f>'01_ВВОД'!$D$116</f>
        <v/>
      </c>
      <c r="P17" s="188">
        <f>SUM(D17:O17)</f>
        <v/>
      </c>
      <c r="Q17" s="188">
        <f>P17/12</f>
        <v/>
      </c>
      <c r="R17" s="52" t="inlineStr">
        <is>
          <t>ежемесячно; Требует уточнения</t>
        </is>
      </c>
    </row>
    <row r="18">
      <c r="A18" s="120" t="inlineStr">
        <is>
          <t>OPEX.F&amp;B DEPARTMENTAL EXPENSES.TOTAL</t>
        </is>
      </c>
      <c r="B18" s="120" t="inlineStr">
        <is>
          <t>F&amp;B DEPARTMENTAL EXPENSES</t>
        </is>
      </c>
      <c r="C18" s="120" t="inlineStr">
        <is>
          <t>ИТОГО F&amp;B DEPARTMENTAL EXPENSES</t>
        </is>
      </c>
      <c r="D18" s="202">
        <f>SUM(D6:D17)</f>
        <v/>
      </c>
      <c r="E18" s="202">
        <f>SUM(E6:E17)</f>
        <v/>
      </c>
      <c r="F18" s="202">
        <f>SUM(F6:F17)</f>
        <v/>
      </c>
      <c r="G18" s="202">
        <f>SUM(G6:G17)</f>
        <v/>
      </c>
      <c r="H18" s="202">
        <f>SUM(H6:H17)</f>
        <v/>
      </c>
      <c r="I18" s="202">
        <f>SUM(I6:I17)</f>
        <v/>
      </c>
      <c r="J18" s="202">
        <f>SUM(J6:J17)</f>
        <v/>
      </c>
      <c r="K18" s="202">
        <f>SUM(K6:K17)</f>
        <v/>
      </c>
      <c r="L18" s="202">
        <f>SUM(L6:L17)</f>
        <v/>
      </c>
      <c r="M18" s="202">
        <f>SUM(M6:M17)</f>
        <v/>
      </c>
      <c r="N18" s="202">
        <f>SUM(N6:N17)</f>
        <v/>
      </c>
      <c r="O18" s="202">
        <f>SUM(O6:O17)</f>
        <v/>
      </c>
      <c r="P18" s="202">
        <f>SUM(P6:P17)</f>
        <v/>
      </c>
      <c r="Q18" s="202">
        <f>P18/12</f>
        <v/>
      </c>
      <c r="R18" s="120" t="n"/>
    </row>
    <row r="19">
      <c r="A19" s="122" t="inlineStr">
        <is>
          <t>ADMINISTRATIVE &amp; GENERAL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52" t="inlineStr">
        <is>
          <t>OPEX.INTERNET</t>
        </is>
      </c>
      <c r="B20" s="52" t="inlineStr">
        <is>
          <t>ADMINISTRATIVE &amp; GENERAL</t>
        </is>
      </c>
      <c r="C20" s="52" t="inlineStr">
        <is>
          <t>Интернет и связь</t>
        </is>
      </c>
      <c r="D20" s="188">
        <f>'01_ВВОД'!$D$85</f>
        <v/>
      </c>
      <c r="E20" s="188">
        <f>'01_ВВОД'!$D$85</f>
        <v/>
      </c>
      <c r="F20" s="188">
        <f>'01_ВВОД'!$D$85</f>
        <v/>
      </c>
      <c r="G20" s="188">
        <f>'01_ВВОД'!$D$85</f>
        <v/>
      </c>
      <c r="H20" s="188">
        <f>'01_ВВОД'!$D$85</f>
        <v/>
      </c>
      <c r="I20" s="188">
        <f>'01_ВВОД'!$D$85</f>
        <v/>
      </c>
      <c r="J20" s="188">
        <f>'01_ВВОД'!$D$85</f>
        <v/>
      </c>
      <c r="K20" s="188">
        <f>'01_ВВОД'!$D$85</f>
        <v/>
      </c>
      <c r="L20" s="188">
        <f>'01_ВВОД'!$D$85</f>
        <v/>
      </c>
      <c r="M20" s="188">
        <f>'01_ВВОД'!$D$85</f>
        <v/>
      </c>
      <c r="N20" s="188">
        <f>'01_ВВОД'!$D$85</f>
        <v/>
      </c>
      <c r="O20" s="188">
        <f>'01_ВВОД'!$D$85</f>
        <v/>
      </c>
      <c r="P20" s="188">
        <f>SUM(D20:O20)</f>
        <v/>
      </c>
      <c r="Q20" s="188">
        <f>P20/12</f>
        <v/>
      </c>
      <c r="R20" s="52" t="inlineStr">
        <is>
          <t>ежемесячно; Подтверждено</t>
        </is>
      </c>
    </row>
    <row r="21">
      <c r="A21" s="52" t="inlineStr">
        <is>
          <t>OPEX.CASH_RENT</t>
        </is>
      </c>
      <c r="B21" s="52" t="inlineStr">
        <is>
          <t>ADMINISTRATIVE &amp; GENERAL</t>
        </is>
      </c>
      <c r="C21" s="52" t="inlineStr">
        <is>
          <t>Аренда кассового оборудования</t>
        </is>
      </c>
      <c r="D21" s="188">
        <f>'01_ВВОД'!$D$89</f>
        <v/>
      </c>
      <c r="E21" s="188">
        <f>'01_ВВОД'!$D$89</f>
        <v/>
      </c>
      <c r="F21" s="188">
        <f>'01_ВВОД'!$D$89</f>
        <v/>
      </c>
      <c r="G21" s="188">
        <f>'01_ВВОД'!$D$89</f>
        <v/>
      </c>
      <c r="H21" s="188">
        <f>'01_ВВОД'!$D$89</f>
        <v/>
      </c>
      <c r="I21" s="188">
        <f>'01_ВВОД'!$D$89</f>
        <v/>
      </c>
      <c r="J21" s="188">
        <f>'01_ВВОД'!$D$89</f>
        <v/>
      </c>
      <c r="K21" s="188">
        <f>'01_ВВОД'!$D$89</f>
        <v/>
      </c>
      <c r="L21" s="188">
        <f>'01_ВВОД'!$D$89</f>
        <v/>
      </c>
      <c r="M21" s="188">
        <f>'01_ВВОД'!$D$89</f>
        <v/>
      </c>
      <c r="N21" s="188">
        <f>'01_ВВОД'!$D$89</f>
        <v/>
      </c>
      <c r="O21" s="188">
        <f>'01_ВВОД'!$D$89</f>
        <v/>
      </c>
      <c r="P21" s="188">
        <f>SUM(D21:O21)</f>
        <v/>
      </c>
      <c r="Q21" s="188">
        <f>P21/12</f>
        <v/>
      </c>
      <c r="R21" s="52" t="inlineStr">
        <is>
          <t>ежемесячно; Подтверждено</t>
        </is>
      </c>
    </row>
    <row r="22">
      <c r="A22" s="52" t="inlineStr">
        <is>
          <t>OPEX.POS</t>
        </is>
      </c>
      <c r="B22" s="52" t="inlineStr">
        <is>
          <t>ADMINISTRATIVE &amp; GENERAL</t>
        </is>
      </c>
      <c r="C22" s="52" t="inlineStr">
        <is>
          <t>POS / учётная система</t>
        </is>
      </c>
      <c r="D22" s="188">
        <f>'01_ВВОД'!$D$104</f>
        <v/>
      </c>
      <c r="E22" s="188">
        <f>'01_ВВОД'!$D$104</f>
        <v/>
      </c>
      <c r="F22" s="188">
        <f>'01_ВВОД'!$D$104</f>
        <v/>
      </c>
      <c r="G22" s="188">
        <f>'01_ВВОД'!$D$104</f>
        <v/>
      </c>
      <c r="H22" s="188">
        <f>'01_ВВОД'!$D$104</f>
        <v/>
      </c>
      <c r="I22" s="188">
        <f>'01_ВВОД'!$D$104</f>
        <v/>
      </c>
      <c r="J22" s="188">
        <f>'01_ВВОД'!$D$104</f>
        <v/>
      </c>
      <c r="K22" s="188">
        <f>'01_ВВОД'!$D$104</f>
        <v/>
      </c>
      <c r="L22" s="188">
        <f>'01_ВВОД'!$D$104</f>
        <v/>
      </c>
      <c r="M22" s="188">
        <f>'01_ВВОД'!$D$104</f>
        <v/>
      </c>
      <c r="N22" s="188">
        <f>'01_ВВОД'!$D$104</f>
        <v/>
      </c>
      <c r="O22" s="188">
        <f>'01_ВВОД'!$D$104</f>
        <v/>
      </c>
      <c r="P22" s="188">
        <f>SUM(D22:O22)</f>
        <v/>
      </c>
      <c r="Q22" s="188">
        <f>P22/12</f>
        <v/>
      </c>
      <c r="R22" s="52" t="inlineStr">
        <is>
          <t>ежемесячно; Допущение</t>
        </is>
      </c>
    </row>
    <row r="23">
      <c r="A23" s="52" t="inlineStr">
        <is>
          <t>OPEX.BANK_FEES</t>
        </is>
      </c>
      <c r="B23" s="52" t="inlineStr">
        <is>
          <t>ADMINISTRATIVE &amp; GENERAL</t>
        </is>
      </c>
      <c r="C23" s="52" t="inlineStr">
        <is>
          <t>Банковские комиссии и РКО</t>
        </is>
      </c>
      <c r="D23" s="188">
        <f>'01_ВВОД'!$D$106</f>
        <v/>
      </c>
      <c r="E23" s="188">
        <f>'01_ВВОД'!$D$106</f>
        <v/>
      </c>
      <c r="F23" s="188">
        <f>'01_ВВОД'!$D$106</f>
        <v/>
      </c>
      <c r="G23" s="188">
        <f>'01_ВВОД'!$D$106</f>
        <v/>
      </c>
      <c r="H23" s="188">
        <f>'01_ВВОД'!$D$106</f>
        <v/>
      </c>
      <c r="I23" s="188">
        <f>'01_ВВОД'!$D$106</f>
        <v/>
      </c>
      <c r="J23" s="188">
        <f>'01_ВВОД'!$D$106</f>
        <v/>
      </c>
      <c r="K23" s="188">
        <f>'01_ВВОД'!$D$106</f>
        <v/>
      </c>
      <c r="L23" s="188">
        <f>'01_ВВОД'!$D$106</f>
        <v/>
      </c>
      <c r="M23" s="188">
        <f>'01_ВВОД'!$D$106</f>
        <v/>
      </c>
      <c r="N23" s="188">
        <f>'01_ВВОД'!$D$106</f>
        <v/>
      </c>
      <c r="O23" s="188">
        <f>'01_ВВОД'!$D$106</f>
        <v/>
      </c>
      <c r="P23" s="188">
        <f>SUM(D23:O23)</f>
        <v/>
      </c>
      <c r="Q23" s="188">
        <f>P23/12</f>
        <v/>
      </c>
      <c r="R23" s="52" t="inlineStr">
        <is>
          <t>ежемесячно; Допущение</t>
        </is>
      </c>
    </row>
    <row r="24">
      <c r="A24" s="52" t="inlineStr">
        <is>
          <t>OPEX.LEGAL</t>
        </is>
      </c>
      <c r="B24" s="52" t="inlineStr">
        <is>
          <t>ADMINISTRATIVE &amp; GENERAL</t>
        </is>
      </c>
      <c r="C24" s="52" t="inlineStr">
        <is>
          <t>Юридическое сопровождение</t>
        </is>
      </c>
      <c r="D24" s="188">
        <f>'01_ВВОД'!$D$107</f>
        <v/>
      </c>
      <c r="E24" s="188">
        <f>'01_ВВОД'!$D$107</f>
        <v/>
      </c>
      <c r="F24" s="188">
        <f>'01_ВВОД'!$D$107</f>
        <v/>
      </c>
      <c r="G24" s="188">
        <f>'01_ВВОД'!$D$107</f>
        <v/>
      </c>
      <c r="H24" s="188">
        <f>'01_ВВОД'!$D$107</f>
        <v/>
      </c>
      <c r="I24" s="188">
        <f>'01_ВВОД'!$D$107</f>
        <v/>
      </c>
      <c r="J24" s="188">
        <f>'01_ВВОД'!$D$107</f>
        <v/>
      </c>
      <c r="K24" s="188">
        <f>'01_ВВОД'!$D$107</f>
        <v/>
      </c>
      <c r="L24" s="188">
        <f>'01_ВВОД'!$D$107</f>
        <v/>
      </c>
      <c r="M24" s="188">
        <f>'01_ВВОД'!$D$107</f>
        <v/>
      </c>
      <c r="N24" s="188">
        <f>'01_ВВОД'!$D$107</f>
        <v/>
      </c>
      <c r="O24" s="188">
        <f>'01_ВВОД'!$D$107</f>
        <v/>
      </c>
      <c r="P24" s="188">
        <f>SUM(D24:O24)</f>
        <v/>
      </c>
      <c r="Q24" s="188">
        <f>P24/12</f>
        <v/>
      </c>
      <c r="R24" s="52" t="inlineStr">
        <is>
          <t>ежемесячно; Допущение</t>
        </is>
      </c>
    </row>
    <row r="25">
      <c r="A25" s="52" t="inlineStr">
        <is>
          <t>OPEX.CLOUD</t>
        </is>
      </c>
      <c r="B25" s="52" t="inlineStr">
        <is>
          <t>ADMINISTRATIVE &amp; GENERAL</t>
        </is>
      </c>
      <c r="C25" s="52" t="inlineStr">
        <is>
          <t>Резервный интернет / облачные сервисы</t>
        </is>
      </c>
      <c r="D25" s="188">
        <f>'01_ВВОД'!$D$108</f>
        <v/>
      </c>
      <c r="E25" s="188">
        <f>'01_ВВОД'!$D$108</f>
        <v/>
      </c>
      <c r="F25" s="188">
        <f>'01_ВВОД'!$D$108</f>
        <v/>
      </c>
      <c r="G25" s="188">
        <f>'01_ВВОД'!$D$108</f>
        <v/>
      </c>
      <c r="H25" s="188">
        <f>'01_ВВОД'!$D$108</f>
        <v/>
      </c>
      <c r="I25" s="188">
        <f>'01_ВВОД'!$D$108</f>
        <v/>
      </c>
      <c r="J25" s="188">
        <f>'01_ВВОД'!$D$108</f>
        <v/>
      </c>
      <c r="K25" s="188">
        <f>'01_ВВОД'!$D$108</f>
        <v/>
      </c>
      <c r="L25" s="188">
        <f>'01_ВВОД'!$D$108</f>
        <v/>
      </c>
      <c r="M25" s="188">
        <f>'01_ВВОД'!$D$108</f>
        <v/>
      </c>
      <c r="N25" s="188">
        <f>'01_ВВОД'!$D$108</f>
        <v/>
      </c>
      <c r="O25" s="188">
        <f>'01_ВВОД'!$D$108</f>
        <v/>
      </c>
      <c r="P25" s="188">
        <f>SUM(D25:O25)</f>
        <v/>
      </c>
      <c r="Q25" s="188">
        <f>P25/12</f>
        <v/>
      </c>
      <c r="R25" s="52" t="inlineStr">
        <is>
          <t>ежемесячно; Допущение</t>
        </is>
      </c>
    </row>
    <row r="26">
      <c r="A26" s="52" t="inlineStr">
        <is>
          <t>OPEX.OFD_EDO</t>
        </is>
      </c>
      <c r="B26" s="52" t="inlineStr">
        <is>
          <t>ADMINISTRATIVE &amp; GENERAL</t>
        </is>
      </c>
      <c r="C26" s="52" t="inlineStr">
        <is>
          <t>ОФД, ЭЦП, ЭДО</t>
        </is>
      </c>
      <c r="D26" s="188">
        <f>'01_ВВОД'!$D$114/12</f>
        <v/>
      </c>
      <c r="E26" s="188">
        <f>'01_ВВОД'!$D$114/12</f>
        <v/>
      </c>
      <c r="F26" s="188">
        <f>'01_ВВОД'!$D$114/12</f>
        <v/>
      </c>
      <c r="G26" s="188">
        <f>'01_ВВОД'!$D$114/12</f>
        <v/>
      </c>
      <c r="H26" s="188">
        <f>'01_ВВОД'!$D$114/12</f>
        <v/>
      </c>
      <c r="I26" s="188">
        <f>'01_ВВОД'!$D$114/12</f>
        <v/>
      </c>
      <c r="J26" s="188">
        <f>'01_ВВОД'!$D$114/12</f>
        <v/>
      </c>
      <c r="K26" s="188">
        <f>'01_ВВОД'!$D$114/12</f>
        <v/>
      </c>
      <c r="L26" s="188">
        <f>'01_ВВОД'!$D$114/12</f>
        <v/>
      </c>
      <c r="M26" s="188">
        <f>'01_ВВОД'!$D$114/12</f>
        <v/>
      </c>
      <c r="N26" s="188">
        <f>'01_ВВОД'!$D$114/12</f>
        <v/>
      </c>
      <c r="O26" s="188">
        <f>'01_ВВОД'!$D$114/12</f>
        <v/>
      </c>
      <c r="P26" s="188">
        <f>SUM(D26:O26)</f>
        <v/>
      </c>
      <c r="Q26" s="188">
        <f>P26/12</f>
        <v/>
      </c>
      <c r="R26" s="52" t="inlineStr">
        <is>
          <t>год / 12; Допущение</t>
        </is>
      </c>
    </row>
    <row r="27">
      <c r="A27" s="120" t="inlineStr">
        <is>
          <t>OPEX.ADMINISTRATIVE &amp; GENERAL.TOTAL</t>
        </is>
      </c>
      <c r="B27" s="120" t="inlineStr">
        <is>
          <t>ADMINISTRATIVE &amp; GENERAL</t>
        </is>
      </c>
      <c r="C27" s="120" t="inlineStr">
        <is>
          <t>ИТОГО ADMINISTRATIVE &amp; GENERAL</t>
        </is>
      </c>
      <c r="D27" s="202">
        <f>SUM(D20:D26)</f>
        <v/>
      </c>
      <c r="E27" s="202">
        <f>SUM(E20:E26)</f>
        <v/>
      </c>
      <c r="F27" s="202">
        <f>SUM(F20:F26)</f>
        <v/>
      </c>
      <c r="G27" s="202">
        <f>SUM(G20:G26)</f>
        <v/>
      </c>
      <c r="H27" s="202">
        <f>SUM(H20:H26)</f>
        <v/>
      </c>
      <c r="I27" s="202">
        <f>SUM(I20:I26)</f>
        <v/>
      </c>
      <c r="J27" s="202">
        <f>SUM(J20:J26)</f>
        <v/>
      </c>
      <c r="K27" s="202">
        <f>SUM(K20:K26)</f>
        <v/>
      </c>
      <c r="L27" s="202">
        <f>SUM(L20:L26)</f>
        <v/>
      </c>
      <c r="M27" s="202">
        <f>SUM(M20:M26)</f>
        <v/>
      </c>
      <c r="N27" s="202">
        <f>SUM(N20:N26)</f>
        <v/>
      </c>
      <c r="O27" s="202">
        <f>SUM(O20:O26)</f>
        <v/>
      </c>
      <c r="P27" s="202">
        <f>SUM(P20:P26)</f>
        <v/>
      </c>
      <c r="Q27" s="202">
        <f>P27/12</f>
        <v/>
      </c>
      <c r="R27" s="120" t="n"/>
    </row>
    <row r="28">
      <c r="A28" s="122" t="inlineStr">
        <is>
          <t>SALES &amp; MARKETING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52" t="inlineStr">
        <is>
          <t>OPEX.MARKETING</t>
        </is>
      </c>
      <c r="B29" s="52" t="inlineStr">
        <is>
          <t>SALES &amp; MARKETING</t>
        </is>
      </c>
      <c r="C29" s="52" t="inlineStr">
        <is>
          <t>Маркетинг</t>
        </is>
      </c>
      <c r="D29" s="188">
        <f>'01_ВВОД'!$D$86</f>
        <v/>
      </c>
      <c r="E29" s="188">
        <f>'01_ВВОД'!$D$86</f>
        <v/>
      </c>
      <c r="F29" s="188">
        <f>'01_ВВОД'!$D$86</f>
        <v/>
      </c>
      <c r="G29" s="188">
        <f>'01_ВВОД'!$D$86</f>
        <v/>
      </c>
      <c r="H29" s="188">
        <f>'01_ВВОД'!$D$86</f>
        <v/>
      </c>
      <c r="I29" s="188">
        <f>'01_ВВОД'!$D$86</f>
        <v/>
      </c>
      <c r="J29" s="188">
        <f>'01_ВВОД'!$D$86</f>
        <v/>
      </c>
      <c r="K29" s="188">
        <f>'01_ВВОД'!$D$86</f>
        <v/>
      </c>
      <c r="L29" s="188">
        <f>'01_ВВОД'!$D$86</f>
        <v/>
      </c>
      <c r="M29" s="188">
        <f>'01_ВВОД'!$D$86</f>
        <v/>
      </c>
      <c r="N29" s="188">
        <f>'01_ВВОД'!$D$86</f>
        <v/>
      </c>
      <c r="O29" s="188">
        <f>'01_ВВОД'!$D$86</f>
        <v/>
      </c>
      <c r="P29" s="188">
        <f>SUM(D29:O29)</f>
        <v/>
      </c>
      <c r="Q29" s="188">
        <f>P29/12</f>
        <v/>
      </c>
      <c r="R29" s="52" t="inlineStr">
        <is>
          <t>ежемесячно; Подтверждено</t>
        </is>
      </c>
    </row>
    <row r="30">
      <c r="A30" s="120" t="inlineStr">
        <is>
          <t>OPEX.SALES &amp; MARKETING.TOTAL</t>
        </is>
      </c>
      <c r="B30" s="120" t="inlineStr">
        <is>
          <t>SALES &amp; MARKETING</t>
        </is>
      </c>
      <c r="C30" s="120" t="inlineStr">
        <is>
          <t>ИТОГО SALES &amp; MARKETING</t>
        </is>
      </c>
      <c r="D30" s="202">
        <f>SUM(D29:D29)</f>
        <v/>
      </c>
      <c r="E30" s="202">
        <f>SUM(E29:E29)</f>
        <v/>
      </c>
      <c r="F30" s="202">
        <f>SUM(F29:F29)</f>
        <v/>
      </c>
      <c r="G30" s="202">
        <f>SUM(G29:G29)</f>
        <v/>
      </c>
      <c r="H30" s="202">
        <f>SUM(H29:H29)</f>
        <v/>
      </c>
      <c r="I30" s="202">
        <f>SUM(I29:I29)</f>
        <v/>
      </c>
      <c r="J30" s="202">
        <f>SUM(J29:J29)</f>
        <v/>
      </c>
      <c r="K30" s="202">
        <f>SUM(K29:K29)</f>
        <v/>
      </c>
      <c r="L30" s="202">
        <f>SUM(L29:L29)</f>
        <v/>
      </c>
      <c r="M30" s="202">
        <f>SUM(M29:M29)</f>
        <v/>
      </c>
      <c r="N30" s="202">
        <f>SUM(N29:N29)</f>
        <v/>
      </c>
      <c r="O30" s="202">
        <f>SUM(O29:O29)</f>
        <v/>
      </c>
      <c r="P30" s="202">
        <f>SUM(P29:P29)</f>
        <v/>
      </c>
      <c r="Q30" s="202">
        <f>P30/12</f>
        <v/>
      </c>
      <c r="R30" s="120" t="n"/>
    </row>
    <row r="31">
      <c r="A31" s="122" t="inlineStr">
        <is>
          <t>PROPERTY OPERATIONS &amp; MAINTENANCE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52" t="inlineStr">
        <is>
          <t>OPEX.EQUIP_MAINT</t>
        </is>
      </c>
      <c r="B32" s="52" t="inlineStr">
        <is>
          <t>PROPERTY OPERATIONS &amp; MAINTENANCE</t>
        </is>
      </c>
      <c r="C32" s="52" t="inlineStr">
        <is>
          <t>Обслуживание холодильного и теплового оборудования</t>
        </is>
      </c>
      <c r="D32" s="188">
        <f>'01_ВВОД'!$D$88</f>
        <v/>
      </c>
      <c r="E32" s="188">
        <f>'01_ВВОД'!$D$88</f>
        <v/>
      </c>
      <c r="F32" s="188">
        <f>'01_ВВОД'!$D$88</f>
        <v/>
      </c>
      <c r="G32" s="188">
        <f>'01_ВВОД'!$D$88</f>
        <v/>
      </c>
      <c r="H32" s="188">
        <f>'01_ВВОД'!$D$88</f>
        <v/>
      </c>
      <c r="I32" s="188">
        <f>'01_ВВОД'!$D$88</f>
        <v/>
      </c>
      <c r="J32" s="188">
        <f>'01_ВВОД'!$D$88</f>
        <v/>
      </c>
      <c r="K32" s="188">
        <f>'01_ВВОД'!$D$88</f>
        <v/>
      </c>
      <c r="L32" s="188">
        <f>'01_ВВОД'!$D$88</f>
        <v/>
      </c>
      <c r="M32" s="188">
        <f>'01_ВВОД'!$D$88</f>
        <v/>
      </c>
      <c r="N32" s="188">
        <f>'01_ВВОД'!$D$88</f>
        <v/>
      </c>
      <c r="O32" s="188">
        <f>'01_ВВОД'!$D$88</f>
        <v/>
      </c>
      <c r="P32" s="188">
        <f>SUM(D32:O32)</f>
        <v/>
      </c>
      <c r="Q32" s="188">
        <f>P32/12</f>
        <v/>
      </c>
      <c r="R32" s="52" t="inlineStr">
        <is>
          <t>ежемесячно; Подтверждено</t>
        </is>
      </c>
    </row>
    <row r="33">
      <c r="A33" s="52" t="inlineStr">
        <is>
          <t>OPEX.VENT</t>
        </is>
      </c>
      <c r="B33" s="52" t="inlineStr">
        <is>
          <t>PROPERTY OPERATIONS &amp; MAINTENANCE</t>
        </is>
      </c>
      <c r="C33" s="52" t="inlineStr">
        <is>
          <t>Обслуживание вентиляции</t>
        </is>
      </c>
      <c r="D33" s="188">
        <f>'01_ВВОД'!$D$93</f>
        <v/>
      </c>
      <c r="E33" s="188">
        <f>'01_ВВОД'!$D$93</f>
        <v/>
      </c>
      <c r="F33" s="188">
        <f>'01_ВВОД'!$D$93</f>
        <v/>
      </c>
      <c r="G33" s="188">
        <f>'01_ВВОД'!$D$93</f>
        <v/>
      </c>
      <c r="H33" s="188">
        <f>'01_ВВОД'!$D$93</f>
        <v/>
      </c>
      <c r="I33" s="188">
        <f>'01_ВВОД'!$D$93</f>
        <v/>
      </c>
      <c r="J33" s="188">
        <f>'01_ВВОД'!$D$93</f>
        <v/>
      </c>
      <c r="K33" s="188">
        <f>'01_ВВОД'!$D$93</f>
        <v/>
      </c>
      <c r="L33" s="188">
        <f>'01_ВВОД'!$D$93</f>
        <v/>
      </c>
      <c r="M33" s="188">
        <f>'01_ВВОД'!$D$93</f>
        <v/>
      </c>
      <c r="N33" s="188">
        <f>'01_ВВОД'!$D$93</f>
        <v/>
      </c>
      <c r="O33" s="188">
        <f>'01_ВВОД'!$D$93</f>
        <v/>
      </c>
      <c r="P33" s="188">
        <f>SUM(D33:O33)</f>
        <v/>
      </c>
      <c r="Q33" s="188">
        <f>P33/12</f>
        <v/>
      </c>
      <c r="R33" s="52" t="inlineStr">
        <is>
          <t>ежемесячно; Подтверждено</t>
        </is>
      </c>
    </row>
    <row r="34">
      <c r="A34" s="52" t="inlineStr">
        <is>
          <t>OPEX.CARPETS</t>
        </is>
      </c>
      <c r="B34" s="52" t="inlineStr">
        <is>
          <t>PROPERTY OPERATIONS &amp; MAINTENANCE</t>
        </is>
      </c>
      <c r="C34" s="52" t="inlineStr">
        <is>
          <t>Сервис грязезащитных ковров</t>
        </is>
      </c>
      <c r="D34" s="188">
        <f>IF(AND(D$3&gt;=2,D$3&lt;=8),'01_ВВОД'!$D$95,0)</f>
        <v/>
      </c>
      <c r="E34" s="188">
        <f>IF(AND(E$3&gt;=2,E$3&lt;=8),'01_ВВОД'!$D$95,0)</f>
        <v/>
      </c>
      <c r="F34" s="188">
        <f>IF(AND(F$3&gt;=2,F$3&lt;=8),'01_ВВОД'!$D$95,0)</f>
        <v/>
      </c>
      <c r="G34" s="188">
        <f>IF(AND(G$3&gt;=2,G$3&lt;=8),'01_ВВОД'!$D$95,0)</f>
        <v/>
      </c>
      <c r="H34" s="188">
        <f>IF(AND(H$3&gt;=2,H$3&lt;=8),'01_ВВОД'!$D$95,0)</f>
        <v/>
      </c>
      <c r="I34" s="188">
        <f>IF(AND(I$3&gt;=2,I$3&lt;=8),'01_ВВОД'!$D$95,0)</f>
        <v/>
      </c>
      <c r="J34" s="188">
        <f>IF(AND(J$3&gt;=2,J$3&lt;=8),'01_ВВОД'!$D$95,0)</f>
        <v/>
      </c>
      <c r="K34" s="188">
        <f>IF(AND(K$3&gt;=2,K$3&lt;=8),'01_ВВОД'!$D$95,0)</f>
        <v/>
      </c>
      <c r="L34" s="188">
        <f>IF(AND(L$3&gt;=2,L$3&lt;=8),'01_ВВОД'!$D$95,0)</f>
        <v/>
      </c>
      <c r="M34" s="188">
        <f>IF(AND(M$3&gt;=2,M$3&lt;=8),'01_ВВОД'!$D$95,0)</f>
        <v/>
      </c>
      <c r="N34" s="188">
        <f>IF(AND(N$3&gt;=2,N$3&lt;=8),'01_ВВОД'!$D$95,0)</f>
        <v/>
      </c>
      <c r="O34" s="188">
        <f>IF(AND(O$3&gt;=2,O$3&lt;=8),'01_ВВОД'!$D$95,0)</f>
        <v/>
      </c>
      <c r="P34" s="188">
        <f>SUM(D34:O34)</f>
        <v/>
      </c>
      <c r="Q34" s="188">
        <f>P34/12</f>
        <v/>
      </c>
      <c r="R34" s="52" t="inlineStr">
        <is>
          <t>октябрь–апрель; Допущение</t>
        </is>
      </c>
    </row>
    <row r="35">
      <c r="A35" s="52" t="inlineStr">
        <is>
          <t>OPEX.CURRENT_REPAIR</t>
        </is>
      </c>
      <c r="B35" s="52" t="inlineStr">
        <is>
          <t>PROPERTY OPERATIONS &amp; MAINTENANCE</t>
        </is>
      </c>
      <c r="C35" s="52" t="inlineStr">
        <is>
          <t>Текущий ремонт помещений</t>
        </is>
      </c>
      <c r="D35" s="188">
        <f>'01_ВВОД'!$D$97</f>
        <v/>
      </c>
      <c r="E35" s="188">
        <f>'01_ВВОД'!$D$97</f>
        <v/>
      </c>
      <c r="F35" s="188">
        <f>'01_ВВОД'!$D$97</f>
        <v/>
      </c>
      <c r="G35" s="188">
        <f>'01_ВВОД'!$D$97</f>
        <v/>
      </c>
      <c r="H35" s="188">
        <f>'01_ВВОД'!$D$97</f>
        <v/>
      </c>
      <c r="I35" s="188">
        <f>'01_ВВОД'!$D$97</f>
        <v/>
      </c>
      <c r="J35" s="188">
        <f>'01_ВВОД'!$D$97</f>
        <v/>
      </c>
      <c r="K35" s="188">
        <f>'01_ВВОД'!$D$97</f>
        <v/>
      </c>
      <c r="L35" s="188">
        <f>'01_ВВОД'!$D$97</f>
        <v/>
      </c>
      <c r="M35" s="188">
        <f>'01_ВВОД'!$D$97</f>
        <v/>
      </c>
      <c r="N35" s="188">
        <f>'01_ВВОД'!$D$97</f>
        <v/>
      </c>
      <c r="O35" s="188">
        <f>'01_ВВОД'!$D$97</f>
        <v/>
      </c>
      <c r="P35" s="188">
        <f>SUM(D35:O35)</f>
        <v/>
      </c>
      <c r="Q35" s="188">
        <f>P35/12</f>
        <v/>
      </c>
      <c r="R35" s="52" t="inlineStr">
        <is>
          <t>ежемесячно; Допущение</t>
        </is>
      </c>
    </row>
    <row r="36">
      <c r="A36" s="52" t="inlineStr">
        <is>
          <t>OPEX.EMERG_REPAIR</t>
        </is>
      </c>
      <c r="B36" s="52" t="inlineStr">
        <is>
          <t>PROPERTY OPERATIONS &amp; MAINTENANCE</t>
        </is>
      </c>
      <c r="C36" s="52" t="inlineStr">
        <is>
          <t>Аварийный ремонт оборудования</t>
        </is>
      </c>
      <c r="D36" s="188">
        <f>'01_ВВОД'!$D$98</f>
        <v/>
      </c>
      <c r="E36" s="188">
        <f>'01_ВВОД'!$D$98</f>
        <v/>
      </c>
      <c r="F36" s="188">
        <f>'01_ВВОД'!$D$98</f>
        <v/>
      </c>
      <c r="G36" s="188">
        <f>'01_ВВОД'!$D$98</f>
        <v/>
      </c>
      <c r="H36" s="188">
        <f>'01_ВВОД'!$D$98</f>
        <v/>
      </c>
      <c r="I36" s="188">
        <f>'01_ВВОД'!$D$98</f>
        <v/>
      </c>
      <c r="J36" s="188">
        <f>'01_ВВОД'!$D$98</f>
        <v/>
      </c>
      <c r="K36" s="188">
        <f>'01_ВВОД'!$D$98</f>
        <v/>
      </c>
      <c r="L36" s="188">
        <f>'01_ВВОД'!$D$98</f>
        <v/>
      </c>
      <c r="M36" s="188">
        <f>'01_ВВОД'!$D$98</f>
        <v/>
      </c>
      <c r="N36" s="188">
        <f>'01_ВВОД'!$D$98</f>
        <v/>
      </c>
      <c r="O36" s="188">
        <f>'01_ВВОД'!$D$98</f>
        <v/>
      </c>
      <c r="P36" s="188">
        <f>SUM(D36:O36)</f>
        <v/>
      </c>
      <c r="Q36" s="188">
        <f>P36/12</f>
        <v/>
      </c>
      <c r="R36" s="52" t="inlineStr">
        <is>
          <t>ежемесячно; Допущение</t>
        </is>
      </c>
    </row>
    <row r="37">
      <c r="A37" s="52" t="inlineStr">
        <is>
          <t>OPEX.FIRE_ALARM</t>
        </is>
      </c>
      <c r="B37" s="52" t="inlineStr">
        <is>
          <t>PROPERTY OPERATIONS &amp; MAINTENANCE</t>
        </is>
      </c>
      <c r="C37" s="52" t="inlineStr">
        <is>
          <t>Обслуживание пожарной сигнализации</t>
        </is>
      </c>
      <c r="D37" s="188">
        <f>'01_ВВОД'!$D$103</f>
        <v/>
      </c>
      <c r="E37" s="188">
        <f>'01_ВВОД'!$D$103</f>
        <v/>
      </c>
      <c r="F37" s="188">
        <f>'01_ВВОД'!$D$103</f>
        <v/>
      </c>
      <c r="G37" s="188">
        <f>'01_ВВОД'!$D$103</f>
        <v/>
      </c>
      <c r="H37" s="188">
        <f>'01_ВВОД'!$D$103</f>
        <v/>
      </c>
      <c r="I37" s="188">
        <f>'01_ВВОД'!$D$103</f>
        <v/>
      </c>
      <c r="J37" s="188">
        <f>'01_ВВОД'!$D$103</f>
        <v/>
      </c>
      <c r="K37" s="188">
        <f>'01_ВВОД'!$D$103</f>
        <v/>
      </c>
      <c r="L37" s="188">
        <f>'01_ВВОД'!$D$103</f>
        <v/>
      </c>
      <c r="M37" s="188">
        <f>'01_ВВОД'!$D$103</f>
        <v/>
      </c>
      <c r="N37" s="188">
        <f>'01_ВВОД'!$D$103</f>
        <v/>
      </c>
      <c r="O37" s="188">
        <f>'01_ВВОД'!$D$103</f>
        <v/>
      </c>
      <c r="P37" s="188">
        <f>SUM(D37:O37)</f>
        <v/>
      </c>
      <c r="Q37" s="188">
        <f>P37/12</f>
        <v/>
      </c>
      <c r="R37" s="52" t="inlineStr">
        <is>
          <t>ежемесячно; Допущение</t>
        </is>
      </c>
    </row>
    <row r="38">
      <c r="A38" s="52" t="inlineStr">
        <is>
          <t>OPEX.SECURITY</t>
        </is>
      </c>
      <c r="B38" s="52" t="inlineStr">
        <is>
          <t>PROPERTY OPERATIONS &amp; MAINTENANCE</t>
        </is>
      </c>
      <c r="C38" s="52" t="inlineStr">
        <is>
          <t>Охрана / тревожная кнопка</t>
        </is>
      </c>
      <c r="D38" s="188">
        <f>'01_ВВОД'!$D$105</f>
        <v/>
      </c>
      <c r="E38" s="188">
        <f>'01_ВВОД'!$D$105</f>
        <v/>
      </c>
      <c r="F38" s="188">
        <f>'01_ВВОД'!$D$105</f>
        <v/>
      </c>
      <c r="G38" s="188">
        <f>'01_ВВОД'!$D$105</f>
        <v/>
      </c>
      <c r="H38" s="188">
        <f>'01_ВВОД'!$D$105</f>
        <v/>
      </c>
      <c r="I38" s="188">
        <f>'01_ВВОД'!$D$105</f>
        <v/>
      </c>
      <c r="J38" s="188">
        <f>'01_ВВОД'!$D$105</f>
        <v/>
      </c>
      <c r="K38" s="188">
        <f>'01_ВВОД'!$D$105</f>
        <v/>
      </c>
      <c r="L38" s="188">
        <f>'01_ВВОД'!$D$105</f>
        <v/>
      </c>
      <c r="M38" s="188">
        <f>'01_ВВОД'!$D$105</f>
        <v/>
      </c>
      <c r="N38" s="188">
        <f>'01_ВВОД'!$D$105</f>
        <v/>
      </c>
      <c r="O38" s="188">
        <f>'01_ВВОД'!$D$105</f>
        <v/>
      </c>
      <c r="P38" s="188">
        <f>SUM(D38:O38)</f>
        <v/>
      </c>
      <c r="Q38" s="188">
        <f>P38/12</f>
        <v/>
      </c>
      <c r="R38" s="52" t="inlineStr">
        <is>
          <t>ежемесячно; Допущение</t>
        </is>
      </c>
    </row>
    <row r="39">
      <c r="A39" s="52" t="inlineStr">
        <is>
          <t>OPEX.DUCT_CLEAN</t>
        </is>
      </c>
      <c r="B39" s="52" t="inlineStr">
        <is>
          <t>PROPERTY OPERATIONS &amp; MAINTENANCE</t>
        </is>
      </c>
      <c r="C39" s="52" t="inlineStr">
        <is>
          <t>Очистка вытяжки и воздуховодов</t>
        </is>
      </c>
      <c r="D39" s="188">
        <f>'01_ВВОД'!$D$109/12</f>
        <v/>
      </c>
      <c r="E39" s="188">
        <f>'01_ВВОД'!$D$109/12</f>
        <v/>
      </c>
      <c r="F39" s="188">
        <f>'01_ВВОД'!$D$109/12</f>
        <v/>
      </c>
      <c r="G39" s="188">
        <f>'01_ВВОД'!$D$109/12</f>
        <v/>
      </c>
      <c r="H39" s="188">
        <f>'01_ВВОД'!$D$109/12</f>
        <v/>
      </c>
      <c r="I39" s="188">
        <f>'01_ВВОД'!$D$109/12</f>
        <v/>
      </c>
      <c r="J39" s="188">
        <f>'01_ВВОД'!$D$109/12</f>
        <v/>
      </c>
      <c r="K39" s="188">
        <f>'01_ВВОД'!$D$109/12</f>
        <v/>
      </c>
      <c r="L39" s="188">
        <f>'01_ВВОД'!$D$109/12</f>
        <v/>
      </c>
      <c r="M39" s="188">
        <f>'01_ВВОД'!$D$109/12</f>
        <v/>
      </c>
      <c r="N39" s="188">
        <f>'01_ВВОД'!$D$109/12</f>
        <v/>
      </c>
      <c r="O39" s="188">
        <f>'01_ВВОД'!$D$109/12</f>
        <v/>
      </c>
      <c r="P39" s="188">
        <f>SUM(D39:O39)</f>
        <v/>
      </c>
      <c r="Q39" s="188">
        <f>P39/12</f>
        <v/>
      </c>
      <c r="R39" s="52" t="inlineStr">
        <is>
          <t>год / 12; Допущение</t>
        </is>
      </c>
    </row>
    <row r="40">
      <c r="A40" s="52" t="inlineStr">
        <is>
          <t>OPEX.ELECTRO</t>
        </is>
      </c>
      <c r="B40" s="52" t="inlineStr">
        <is>
          <t>PROPERTY OPERATIONS &amp; MAINTENANCE</t>
        </is>
      </c>
      <c r="C40" s="52" t="inlineStr">
        <is>
          <t>Электроизмерения</t>
        </is>
      </c>
      <c r="D40" s="188">
        <f>'01_ВВОД'!$D$110/12</f>
        <v/>
      </c>
      <c r="E40" s="188">
        <f>'01_ВВОД'!$D$110/12</f>
        <v/>
      </c>
      <c r="F40" s="188">
        <f>'01_ВВОД'!$D$110/12</f>
        <v/>
      </c>
      <c r="G40" s="188">
        <f>'01_ВВОД'!$D$110/12</f>
        <v/>
      </c>
      <c r="H40" s="188">
        <f>'01_ВВОД'!$D$110/12</f>
        <v/>
      </c>
      <c r="I40" s="188">
        <f>'01_ВВОД'!$D$110/12</f>
        <v/>
      </c>
      <c r="J40" s="188">
        <f>'01_ВВОД'!$D$110/12</f>
        <v/>
      </c>
      <c r="K40" s="188">
        <f>'01_ВВОД'!$D$110/12</f>
        <v/>
      </c>
      <c r="L40" s="188">
        <f>'01_ВВОД'!$D$110/12</f>
        <v/>
      </c>
      <c r="M40" s="188">
        <f>'01_ВВОД'!$D$110/12</f>
        <v/>
      </c>
      <c r="N40" s="188">
        <f>'01_ВВОД'!$D$110/12</f>
        <v/>
      </c>
      <c r="O40" s="188">
        <f>'01_ВВОД'!$D$110/12</f>
        <v/>
      </c>
      <c r="P40" s="188">
        <f>SUM(D40:O40)</f>
        <v/>
      </c>
      <c r="Q40" s="188">
        <f>P40/12</f>
        <v/>
      </c>
      <c r="R40" s="52" t="inlineStr">
        <is>
          <t>год / 12; Допущение</t>
        </is>
      </c>
    </row>
    <row r="41">
      <c r="A41" s="52" t="inlineStr">
        <is>
          <t>OPEX.FIRE_CHECK</t>
        </is>
      </c>
      <c r="B41" s="52" t="inlineStr">
        <is>
          <t>PROPERTY OPERATIONS &amp; MAINTENANCE</t>
        </is>
      </c>
      <c r="C41" s="52" t="inlineStr">
        <is>
          <t>Огнетушители и пожарные проверки</t>
        </is>
      </c>
      <c r="D41" s="188">
        <f>'01_ВВОД'!$D$111/12</f>
        <v/>
      </c>
      <c r="E41" s="188">
        <f>'01_ВВОД'!$D$111/12</f>
        <v/>
      </c>
      <c r="F41" s="188">
        <f>'01_ВВОД'!$D$111/12</f>
        <v/>
      </c>
      <c r="G41" s="188">
        <f>'01_ВВОД'!$D$111/12</f>
        <v/>
      </c>
      <c r="H41" s="188">
        <f>'01_ВВОД'!$D$111/12</f>
        <v/>
      </c>
      <c r="I41" s="188">
        <f>'01_ВВОД'!$D$111/12</f>
        <v/>
      </c>
      <c r="J41" s="188">
        <f>'01_ВВОД'!$D$111/12</f>
        <v/>
      </c>
      <c r="K41" s="188">
        <f>'01_ВВОД'!$D$111/12</f>
        <v/>
      </c>
      <c r="L41" s="188">
        <f>'01_ВВОД'!$D$111/12</f>
        <v/>
      </c>
      <c r="M41" s="188">
        <f>'01_ВВОД'!$D$111/12</f>
        <v/>
      </c>
      <c r="N41" s="188">
        <f>'01_ВВОД'!$D$111/12</f>
        <v/>
      </c>
      <c r="O41" s="188">
        <f>'01_ВВОД'!$D$111/12</f>
        <v/>
      </c>
      <c r="P41" s="188">
        <f>SUM(D41:O41)</f>
        <v/>
      </c>
      <c r="Q41" s="188">
        <f>P41/12</f>
        <v/>
      </c>
      <c r="R41" s="52" t="inlineStr">
        <is>
          <t>год / 12; Допущение</t>
        </is>
      </c>
    </row>
    <row r="42">
      <c r="A42" s="52" t="inlineStr">
        <is>
          <t>OPEX.WINDOWS</t>
        </is>
      </c>
      <c r="B42" s="52" t="inlineStr">
        <is>
          <t>PROPERTY OPERATIONS &amp; MAINTENANCE</t>
        </is>
      </c>
      <c r="C42" s="52" t="inlineStr">
        <is>
          <t>Мытьё окон / чистка мебели</t>
        </is>
      </c>
      <c r="D42" s="188">
        <f>'01_ВВОД'!$D$115/12</f>
        <v/>
      </c>
      <c r="E42" s="188">
        <f>'01_ВВОД'!$D$115/12</f>
        <v/>
      </c>
      <c r="F42" s="188">
        <f>'01_ВВОД'!$D$115/12</f>
        <v/>
      </c>
      <c r="G42" s="188">
        <f>'01_ВВОД'!$D$115/12</f>
        <v/>
      </c>
      <c r="H42" s="188">
        <f>'01_ВВОД'!$D$115/12</f>
        <v/>
      </c>
      <c r="I42" s="188">
        <f>'01_ВВОД'!$D$115/12</f>
        <v/>
      </c>
      <c r="J42" s="188">
        <f>'01_ВВОД'!$D$115/12</f>
        <v/>
      </c>
      <c r="K42" s="188">
        <f>'01_ВВОД'!$D$115/12</f>
        <v/>
      </c>
      <c r="L42" s="188">
        <f>'01_ВВОД'!$D$115/12</f>
        <v/>
      </c>
      <c r="M42" s="188">
        <f>'01_ВВОД'!$D$115/12</f>
        <v/>
      </c>
      <c r="N42" s="188">
        <f>'01_ВВОД'!$D$115/12</f>
        <v/>
      </c>
      <c r="O42" s="188">
        <f>'01_ВВОД'!$D$115/12</f>
        <v/>
      </c>
      <c r="P42" s="188">
        <f>SUM(D42:O42)</f>
        <v/>
      </c>
      <c r="Q42" s="188">
        <f>P42/12</f>
        <v/>
      </c>
      <c r="R42" s="52" t="inlineStr">
        <is>
          <t>год / 12; Допущение</t>
        </is>
      </c>
    </row>
    <row r="43">
      <c r="A43" s="120" t="inlineStr">
        <is>
          <t>OPEX.PROPERTY OPERATIONS &amp; MAINTENANCE.TOTAL</t>
        </is>
      </c>
      <c r="B43" s="120" t="inlineStr">
        <is>
          <t>PROPERTY OPERATIONS &amp; MAINTENANCE</t>
        </is>
      </c>
      <c r="C43" s="120" t="inlineStr">
        <is>
          <t>ИТОГО PROPERTY OPERATIONS &amp; MAINTENANCE</t>
        </is>
      </c>
      <c r="D43" s="202">
        <f>SUM(D32:D42)</f>
        <v/>
      </c>
      <c r="E43" s="202">
        <f>SUM(E32:E42)</f>
        <v/>
      </c>
      <c r="F43" s="202">
        <f>SUM(F32:F42)</f>
        <v/>
      </c>
      <c r="G43" s="202">
        <f>SUM(G32:G42)</f>
        <v/>
      </c>
      <c r="H43" s="202">
        <f>SUM(H32:H42)</f>
        <v/>
      </c>
      <c r="I43" s="202">
        <f>SUM(I32:I42)</f>
        <v/>
      </c>
      <c r="J43" s="202">
        <f>SUM(J32:J42)</f>
        <v/>
      </c>
      <c r="K43" s="202">
        <f>SUM(K32:K42)</f>
        <v/>
      </c>
      <c r="L43" s="202">
        <f>SUM(L32:L42)</f>
        <v/>
      </c>
      <c r="M43" s="202">
        <f>SUM(M32:M42)</f>
        <v/>
      </c>
      <c r="N43" s="202">
        <f>SUM(N32:N42)</f>
        <v/>
      </c>
      <c r="O43" s="202">
        <f>SUM(O32:O42)</f>
        <v/>
      </c>
      <c r="P43" s="202">
        <f>SUM(P32:P42)</f>
        <v/>
      </c>
      <c r="Q43" s="202">
        <f>P43/12</f>
        <v/>
      </c>
      <c r="R43" s="120" t="n"/>
    </row>
    <row r="44">
      <c r="A44" s="122" t="inlineStr">
        <is>
          <t>UTILITIES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52" t="inlineStr">
        <is>
          <t>OPEX.UTILITIES</t>
        </is>
      </c>
      <c r="B45" s="52" t="inlineStr">
        <is>
          <t>UTILITIES</t>
        </is>
      </c>
      <c r="C45" s="52" t="inlineStr">
        <is>
          <t>Коммунальные платежи</t>
        </is>
      </c>
      <c r="D45" s="188">
        <f>'01_ВВОД'!$D$83</f>
        <v/>
      </c>
      <c r="E45" s="188">
        <f>'01_ВВОД'!$D$83</f>
        <v/>
      </c>
      <c r="F45" s="188">
        <f>'01_ВВОД'!$D$83</f>
        <v/>
      </c>
      <c r="G45" s="188">
        <f>'01_ВВОД'!$D$83</f>
        <v/>
      </c>
      <c r="H45" s="188">
        <f>'01_ВВОД'!$D$83</f>
        <v/>
      </c>
      <c r="I45" s="188">
        <f>'01_ВВОД'!$D$83</f>
        <v/>
      </c>
      <c r="J45" s="188">
        <f>'01_ВВОД'!$D$83</f>
        <v/>
      </c>
      <c r="K45" s="188">
        <f>'01_ВВОД'!$D$83</f>
        <v/>
      </c>
      <c r="L45" s="188">
        <f>'01_ВВОД'!$D$83</f>
        <v/>
      </c>
      <c r="M45" s="188">
        <f>'01_ВВОД'!$D$83</f>
        <v/>
      </c>
      <c r="N45" s="188">
        <f>'01_ВВОД'!$D$83</f>
        <v/>
      </c>
      <c r="O45" s="188">
        <f>'01_ВВОД'!$D$83</f>
        <v/>
      </c>
      <c r="P45" s="188">
        <f>SUM(D45:O45)</f>
        <v/>
      </c>
      <c r="Q45" s="188">
        <f>P45/12</f>
        <v/>
      </c>
      <c r="R45" s="52" t="inlineStr">
        <is>
          <t>ежемесячно; Подтверждено</t>
        </is>
      </c>
    </row>
    <row r="46">
      <c r="A46" s="52" t="inlineStr">
        <is>
          <t>OPEX.WASTE</t>
        </is>
      </c>
      <c r="B46" s="52" t="inlineStr">
        <is>
          <t>UTILITIES</t>
        </is>
      </c>
      <c r="C46" s="52" t="inlineStr">
        <is>
          <t>Вывоз мусора</t>
        </is>
      </c>
      <c r="D46" s="188">
        <f>'01_ВВОД'!$D$84</f>
        <v/>
      </c>
      <c r="E46" s="188">
        <f>'01_ВВОД'!$D$84</f>
        <v/>
      </c>
      <c r="F46" s="188">
        <f>'01_ВВОД'!$D$84</f>
        <v/>
      </c>
      <c r="G46" s="188">
        <f>'01_ВВОД'!$D$84</f>
        <v/>
      </c>
      <c r="H46" s="188">
        <f>'01_ВВОД'!$D$84</f>
        <v/>
      </c>
      <c r="I46" s="188">
        <f>'01_ВВОД'!$D$84</f>
        <v/>
      </c>
      <c r="J46" s="188">
        <f>'01_ВВОД'!$D$84</f>
        <v/>
      </c>
      <c r="K46" s="188">
        <f>'01_ВВОД'!$D$84</f>
        <v/>
      </c>
      <c r="L46" s="188">
        <f>'01_ВВОД'!$D$84</f>
        <v/>
      </c>
      <c r="M46" s="188">
        <f>'01_ВВОД'!$D$84</f>
        <v/>
      </c>
      <c r="N46" s="188">
        <f>'01_ВВОД'!$D$84</f>
        <v/>
      </c>
      <c r="O46" s="188">
        <f>'01_ВВОД'!$D$84</f>
        <v/>
      </c>
      <c r="P46" s="188">
        <f>SUM(D46:O46)</f>
        <v/>
      </c>
      <c r="Q46" s="188">
        <f>P46/12</f>
        <v/>
      </c>
      <c r="R46" s="52" t="inlineStr">
        <is>
          <t>ежемесячно; Подтверждено</t>
        </is>
      </c>
    </row>
    <row r="47">
      <c r="A47" s="120" t="inlineStr">
        <is>
          <t>OPEX.UTILITIES.TOTAL</t>
        </is>
      </c>
      <c r="B47" s="120" t="inlineStr">
        <is>
          <t>UTILITIES</t>
        </is>
      </c>
      <c r="C47" s="120" t="inlineStr">
        <is>
          <t>ИТОГО UTILITIES</t>
        </is>
      </c>
      <c r="D47" s="202">
        <f>SUM(D45:D46)</f>
        <v/>
      </c>
      <c r="E47" s="202">
        <f>SUM(E45:E46)</f>
        <v/>
      </c>
      <c r="F47" s="202">
        <f>SUM(F45:F46)</f>
        <v/>
      </c>
      <c r="G47" s="202">
        <f>SUM(G45:G46)</f>
        <v/>
      </c>
      <c r="H47" s="202">
        <f>SUM(H45:H46)</f>
        <v/>
      </c>
      <c r="I47" s="202">
        <f>SUM(I45:I46)</f>
        <v/>
      </c>
      <c r="J47" s="202">
        <f>SUM(J45:J46)</f>
        <v/>
      </c>
      <c r="K47" s="202">
        <f>SUM(K45:K46)</f>
        <v/>
      </c>
      <c r="L47" s="202">
        <f>SUM(L45:L46)</f>
        <v/>
      </c>
      <c r="M47" s="202">
        <f>SUM(M45:M46)</f>
        <v/>
      </c>
      <c r="N47" s="202">
        <f>SUM(N45:N46)</f>
        <v/>
      </c>
      <c r="O47" s="202">
        <f>SUM(O45:O46)</f>
        <v/>
      </c>
      <c r="P47" s="202">
        <f>SUM(P45:P46)</f>
        <v/>
      </c>
      <c r="Q47" s="202">
        <f>P47/12</f>
        <v/>
      </c>
      <c r="R47" s="120" t="n"/>
    </row>
    <row r="48">
      <c r="A48" s="122" t="inlineStr">
        <is>
          <t>FIXED CHARGES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52" t="inlineStr">
        <is>
          <t>OPEX.RENT_MONTH</t>
        </is>
      </c>
      <c r="B49" s="52" t="inlineStr">
        <is>
          <t>FIXED CHARGES</t>
        </is>
      </c>
      <c r="C49" s="52" t="inlineStr">
        <is>
          <t>Аренда: 80,9 м² × 1 000 руб./м²</t>
        </is>
      </c>
      <c r="D49" s="188">
        <f>'01_ВВОД'!$D$9</f>
        <v/>
      </c>
      <c r="E49" s="188">
        <f>'01_ВВОД'!$D$9</f>
        <v/>
      </c>
      <c r="F49" s="188">
        <f>'01_ВВОД'!$D$9</f>
        <v/>
      </c>
      <c r="G49" s="188">
        <f>'01_ВВОД'!$D$9</f>
        <v/>
      </c>
      <c r="H49" s="188">
        <f>'01_ВВОД'!$D$9</f>
        <v/>
      </c>
      <c r="I49" s="188">
        <f>'01_ВВОД'!$D$9</f>
        <v/>
      </c>
      <c r="J49" s="188">
        <f>'01_ВВОД'!$D$9</f>
        <v/>
      </c>
      <c r="K49" s="188">
        <f>'01_ВВОД'!$D$9</f>
        <v/>
      </c>
      <c r="L49" s="188">
        <f>'01_ВВОД'!$D$9</f>
        <v/>
      </c>
      <c r="M49" s="188">
        <f>'01_ВВОД'!$D$9</f>
        <v/>
      </c>
      <c r="N49" s="188">
        <f>'01_ВВОД'!$D$9</f>
        <v/>
      </c>
      <c r="O49" s="188">
        <f>'01_ВВОД'!$D$9</f>
        <v/>
      </c>
      <c r="P49" s="188">
        <f>SUM(D49:O49)</f>
        <v/>
      </c>
      <c r="Q49" s="188">
        <f>P49/12</f>
        <v/>
      </c>
      <c r="R49" s="52" t="inlineStr">
        <is>
          <t>ежемесячно; Расчёт</t>
        </is>
      </c>
    </row>
    <row r="50">
      <c r="A50" s="52" t="inlineStr">
        <is>
          <t>OPEX.INSURANCE</t>
        </is>
      </c>
      <c r="B50" s="52" t="inlineStr">
        <is>
          <t>FIXED CHARGES</t>
        </is>
      </c>
      <c r="C50" s="52" t="inlineStr">
        <is>
          <t>Страхование имущества и ответственности</t>
        </is>
      </c>
      <c r="D50" s="188">
        <f>'01_ВВОД'!$D$96/12</f>
        <v/>
      </c>
      <c r="E50" s="188">
        <f>'01_ВВОД'!$D$96/12</f>
        <v/>
      </c>
      <c r="F50" s="188">
        <f>'01_ВВОД'!$D$96/12</f>
        <v/>
      </c>
      <c r="G50" s="188">
        <f>'01_ВВОД'!$D$96/12</f>
        <v/>
      </c>
      <c r="H50" s="188">
        <f>'01_ВВОД'!$D$96/12</f>
        <v/>
      </c>
      <c r="I50" s="188">
        <f>'01_ВВОД'!$D$96/12</f>
        <v/>
      </c>
      <c r="J50" s="188">
        <f>'01_ВВОД'!$D$96/12</f>
        <v/>
      </c>
      <c r="K50" s="188">
        <f>'01_ВВОД'!$D$96/12</f>
        <v/>
      </c>
      <c r="L50" s="188">
        <f>'01_ВВОД'!$D$96/12</f>
        <v/>
      </c>
      <c r="M50" s="188">
        <f>'01_ВВОД'!$D$96/12</f>
        <v/>
      </c>
      <c r="N50" s="188">
        <f>'01_ВВОД'!$D$96/12</f>
        <v/>
      </c>
      <c r="O50" s="188">
        <f>'01_ВВОД'!$D$96/12</f>
        <v/>
      </c>
      <c r="P50" s="188">
        <f>SUM(D50:O50)</f>
        <v/>
      </c>
      <c r="Q50" s="188">
        <f>P50/12</f>
        <v/>
      </c>
      <c r="R50" s="52" t="inlineStr">
        <is>
          <t>год / 12; Допущение</t>
        </is>
      </c>
    </row>
    <row r="51">
      <c r="A51" s="120" t="inlineStr">
        <is>
          <t>OPEX.FIXED CHARGES.TOTAL</t>
        </is>
      </c>
      <c r="B51" s="120" t="inlineStr">
        <is>
          <t>FIXED CHARGES</t>
        </is>
      </c>
      <c r="C51" s="120" t="inlineStr">
        <is>
          <t>ИТОГО FIXED CHARGES</t>
        </is>
      </c>
      <c r="D51" s="202">
        <f>SUM(D49:D50)</f>
        <v/>
      </c>
      <c r="E51" s="202">
        <f>SUM(E49:E50)</f>
        <v/>
      </c>
      <c r="F51" s="202">
        <f>SUM(F49:F50)</f>
        <v/>
      </c>
      <c r="G51" s="202">
        <f>SUM(G49:G50)</f>
        <v/>
      </c>
      <c r="H51" s="202">
        <f>SUM(H49:H50)</f>
        <v/>
      </c>
      <c r="I51" s="202">
        <f>SUM(I49:I50)</f>
        <v/>
      </c>
      <c r="J51" s="202">
        <f>SUM(J49:J50)</f>
        <v/>
      </c>
      <c r="K51" s="202">
        <f>SUM(K49:K50)</f>
        <v/>
      </c>
      <c r="L51" s="202">
        <f>SUM(L49:L50)</f>
        <v/>
      </c>
      <c r="M51" s="202">
        <f>SUM(M49:M50)</f>
        <v/>
      </c>
      <c r="N51" s="202">
        <f>SUM(N49:N50)</f>
        <v/>
      </c>
      <c r="O51" s="202">
        <f>SUM(O49:O50)</f>
        <v/>
      </c>
      <c r="P51" s="202">
        <f>SUM(P49:P50)</f>
        <v/>
      </c>
      <c r="Q51" s="202">
        <f>P51/12</f>
        <v/>
      </c>
      <c r="R51" s="120" t="n"/>
    </row>
    <row r="52">
      <c r="A52" s="118" t="inlineStr">
        <is>
          <t>OPEX.TOTAL</t>
        </is>
      </c>
      <c r="B52" s="118" t="inlineStr">
        <is>
          <t>Кафе</t>
        </is>
      </c>
      <c r="C52" s="118" t="inlineStr">
        <is>
          <t>ИТОГО OPEX КАФЕ БЕЗ ПЕРСОНАЛА</t>
        </is>
      </c>
      <c r="D52" s="190">
        <f>SUM(D18,D27,D30,D43,D47,D51)</f>
        <v/>
      </c>
      <c r="E52" s="190">
        <f>SUM(E18,E27,E30,E43,E47,E51)</f>
        <v/>
      </c>
      <c r="F52" s="190">
        <f>SUM(F18,F27,F30,F43,F47,F51)</f>
        <v/>
      </c>
      <c r="G52" s="190">
        <f>SUM(G18,G27,G30,G43,G47,G51)</f>
        <v/>
      </c>
      <c r="H52" s="190">
        <f>SUM(H18,H27,H30,H43,H47,H51)</f>
        <v/>
      </c>
      <c r="I52" s="190">
        <f>SUM(I18,I27,I30,I43,I47,I51)</f>
        <v/>
      </c>
      <c r="J52" s="190">
        <f>SUM(J18,J27,J30,J43,J47,J51)</f>
        <v/>
      </c>
      <c r="K52" s="190">
        <f>SUM(K18,K27,K30,K43,K47,K51)</f>
        <v/>
      </c>
      <c r="L52" s="190">
        <f>SUM(L18,L27,L30,L43,L47,L51)</f>
        <v/>
      </c>
      <c r="M52" s="190">
        <f>SUM(M18,M27,M30,M43,M47,M51)</f>
        <v/>
      </c>
      <c r="N52" s="190">
        <f>SUM(N18,N27,N30,N43,N47,N51)</f>
        <v/>
      </c>
      <c r="O52" s="190">
        <f>SUM(O18,O27,O30,O43,O47,O51)</f>
        <v/>
      </c>
      <c r="P52" s="190">
        <f>SUM(D52:O52)</f>
        <v/>
      </c>
      <c r="Q52" s="190">
        <f>P52/12</f>
        <v/>
      </c>
      <c r="R52" s="118" t="n"/>
    </row>
  </sheetData>
  <mergeCells count="8">
    <mergeCell ref="A48:R48"/>
    <mergeCell ref="A2:R2"/>
    <mergeCell ref="A19:R19"/>
    <mergeCell ref="A28:R28"/>
    <mergeCell ref="A44:R44"/>
    <mergeCell ref="A1:R1"/>
    <mergeCell ref="A5:R5"/>
    <mergeCell ref="A31:R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8" customWidth="1" style="174" min="1" max="1"/>
    <col width="18" customWidth="1" style="174" min="2" max="2"/>
    <col width="45" customWidth="1" style="174" min="3" max="3"/>
    <col width="13" customWidth="1" style="174" min="4" max="4"/>
    <col width="13" customWidth="1" style="174" min="5" max="5"/>
    <col width="13" customWidth="1" style="174" min="6" max="6"/>
    <col width="13" customWidth="1" style="174" min="7" max="7"/>
    <col width="13" customWidth="1" style="174" min="8" max="8"/>
    <col width="13" customWidth="1" style="174" min="9" max="9"/>
    <col width="13" customWidth="1" style="174" min="10" max="10"/>
    <col width="13" customWidth="1" style="174" min="11" max="11"/>
    <col width="13" customWidth="1" style="174" min="12" max="12"/>
    <col width="13" customWidth="1" style="174" min="13" max="13"/>
    <col width="13" customWidth="1" style="174" min="14" max="14"/>
    <col width="13" customWidth="1" style="174" min="15" max="15"/>
    <col width="13" customWidth="1" style="174" min="16" max="16"/>
    <col width="13" customWidth="1" style="174" min="17" max="17"/>
    <col width="12" customWidth="1" style="174" min="18" max="18"/>
  </cols>
  <sheetData>
    <row r="1" ht="28" customHeight="1" s="174">
      <c r="A1" s="134" t="inlineStr">
        <is>
          <t>P&amp;L, налоги и прибыль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3" t="inlineStr">
        <is>
          <t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" customHeight="1" s="174">
      <c r="A3" s="52" t="n"/>
      <c r="B3" s="52" t="n"/>
      <c r="C3" s="52" t="n"/>
      <c r="D3" s="136" t="n">
        <v>1</v>
      </c>
      <c r="E3" s="136" t="n">
        <v>2</v>
      </c>
      <c r="F3" s="136" t="n">
        <v>3</v>
      </c>
      <c r="G3" s="136" t="n">
        <v>4</v>
      </c>
      <c r="H3" s="136" t="n">
        <v>5</v>
      </c>
      <c r="I3" s="136" t="n">
        <v>6</v>
      </c>
      <c r="J3" s="136" t="n">
        <v>7</v>
      </c>
      <c r="K3" s="136" t="n">
        <v>8</v>
      </c>
      <c r="L3" s="136" t="n">
        <v>9</v>
      </c>
      <c r="M3" s="136" t="n">
        <v>10</v>
      </c>
      <c r="N3" s="136" t="n">
        <v>11</v>
      </c>
      <c r="O3" s="136" t="n">
        <v>12</v>
      </c>
      <c r="P3" s="52" t="n"/>
      <c r="Q3" s="52" t="n"/>
      <c r="R3" s="52" t="n"/>
    </row>
    <row r="4">
      <c r="A4" s="18" t="inlineStr">
        <is>
          <t>Код</t>
        </is>
      </c>
      <c r="B4" s="18" t="inlineStr">
        <is>
          <t>Бизнес / уровень</t>
        </is>
      </c>
      <c r="C4" s="18" t="inlineStr">
        <is>
          <t>Показатель</t>
        </is>
      </c>
      <c r="D4" s="18" t="inlineStr">
        <is>
          <t>Сен-26</t>
        </is>
      </c>
      <c r="E4" s="18" t="inlineStr">
        <is>
          <t>Окт-26</t>
        </is>
      </c>
      <c r="F4" s="18" t="inlineStr">
        <is>
          <t>Ноя-26</t>
        </is>
      </c>
      <c r="G4" s="18" t="inlineStr">
        <is>
          <t>Дек-26</t>
        </is>
      </c>
      <c r="H4" s="18" t="inlineStr">
        <is>
          <t>Янв-27</t>
        </is>
      </c>
      <c r="I4" s="18" t="inlineStr">
        <is>
          <t>Фев-27</t>
        </is>
      </c>
      <c r="J4" s="18" t="inlineStr">
        <is>
          <t>Мар-27</t>
        </is>
      </c>
      <c r="K4" s="18" t="inlineStr">
        <is>
          <t>Апр-27</t>
        </is>
      </c>
      <c r="L4" s="18" t="inlineStr">
        <is>
          <t>Май-27</t>
        </is>
      </c>
      <c r="M4" s="18" t="inlineStr">
        <is>
          <t>Июн-27</t>
        </is>
      </c>
      <c r="N4" s="18" t="inlineStr">
        <is>
          <t>Июл-27</t>
        </is>
      </c>
      <c r="O4" s="18" t="inlineStr">
        <is>
          <t>Авг-27</t>
        </is>
      </c>
      <c r="P4" s="18" t="inlineStr">
        <is>
          <t>Итого за год</t>
        </is>
      </c>
      <c r="Q4" s="18" t="inlineStr">
        <is>
          <t>Среднее за месяц</t>
        </is>
      </c>
      <c r="R4" s="18" t="inlineStr">
        <is>
          <t>Ед.</t>
        </is>
      </c>
    </row>
    <row r="5">
      <c r="A5" s="122" t="inlineStr">
        <is>
          <t>БИЗНЕС 1 — КАФЕ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52" t="inlineStr">
        <is>
          <t>PNL.CAFE.REV</t>
        </is>
      </c>
      <c r="B6" s="52" t="inlineStr">
        <is>
          <t>Кафе</t>
        </is>
      </c>
      <c r="C6" s="52" t="inlineStr">
        <is>
          <t>Доходы кафе</t>
        </is>
      </c>
      <c r="D6" s="188">
        <f>'03_ДОХОДЫ'!D26</f>
        <v/>
      </c>
      <c r="E6" s="188">
        <f>'03_ДОХОДЫ'!E26</f>
        <v/>
      </c>
      <c r="F6" s="188">
        <f>'03_ДОХОДЫ'!F26</f>
        <v/>
      </c>
      <c r="G6" s="188">
        <f>'03_ДОХОДЫ'!G26</f>
        <v/>
      </c>
      <c r="H6" s="188">
        <f>'03_ДОХОДЫ'!H26</f>
        <v/>
      </c>
      <c r="I6" s="188">
        <f>'03_ДОХОДЫ'!I26</f>
        <v/>
      </c>
      <c r="J6" s="188">
        <f>'03_ДОХОДЫ'!J26</f>
        <v/>
      </c>
      <c r="K6" s="188">
        <f>'03_ДОХОДЫ'!K26</f>
        <v/>
      </c>
      <c r="L6" s="188">
        <f>'03_ДОХОДЫ'!L26</f>
        <v/>
      </c>
      <c r="M6" s="188">
        <f>'03_ДОХОДЫ'!M26</f>
        <v/>
      </c>
      <c r="N6" s="188">
        <f>'03_ДОХОДЫ'!N26</f>
        <v/>
      </c>
      <c r="O6" s="188">
        <f>'03_ДОХОДЫ'!O26</f>
        <v/>
      </c>
      <c r="P6" s="188">
        <f>SUM(D6:O6)</f>
        <v/>
      </c>
      <c r="Q6" s="188">
        <f>P6/12</f>
        <v/>
      </c>
      <c r="R6" s="52" t="inlineStr">
        <is>
          <t>руб.</t>
        </is>
      </c>
    </row>
    <row r="7">
      <c r="A7" s="52" t="inlineStr">
        <is>
          <t>PNL.CAFE.COGS</t>
        </is>
      </c>
      <c r="B7" s="52" t="inlineStr">
        <is>
          <t>Кафе</t>
        </is>
      </c>
      <c r="C7" s="52" t="inlineStr">
        <is>
          <t>Себестоимость кафе</t>
        </is>
      </c>
      <c r="D7" s="188">
        <f>'04_СЕБЕСТОИМОСТЬ'!D19</f>
        <v/>
      </c>
      <c r="E7" s="188">
        <f>'04_СЕБЕСТОИМОСТЬ'!E19</f>
        <v/>
      </c>
      <c r="F7" s="188">
        <f>'04_СЕБЕСТОИМОСТЬ'!F19</f>
        <v/>
      </c>
      <c r="G7" s="188">
        <f>'04_СЕБЕСТОИМОСТЬ'!G19</f>
        <v/>
      </c>
      <c r="H7" s="188">
        <f>'04_СЕБЕСТОИМОСТЬ'!H19</f>
        <v/>
      </c>
      <c r="I7" s="188">
        <f>'04_СЕБЕСТОИМОСТЬ'!I19</f>
        <v/>
      </c>
      <c r="J7" s="188">
        <f>'04_СЕБЕСТОИМОСТЬ'!J19</f>
        <v/>
      </c>
      <c r="K7" s="188">
        <f>'04_СЕБЕСТОИМОСТЬ'!K19</f>
        <v/>
      </c>
      <c r="L7" s="188">
        <f>'04_СЕБЕСТОИМОСТЬ'!L19</f>
        <v/>
      </c>
      <c r="M7" s="188">
        <f>'04_СЕБЕСТОИМОСТЬ'!M19</f>
        <v/>
      </c>
      <c r="N7" s="188">
        <f>'04_СЕБЕСТОИМОСТЬ'!N19</f>
        <v/>
      </c>
      <c r="O7" s="188">
        <f>'04_СЕБЕСТОИМОСТЬ'!O19</f>
        <v/>
      </c>
      <c r="P7" s="188">
        <f>SUM(D7:O7)</f>
        <v/>
      </c>
      <c r="Q7" s="188">
        <f>P7/12</f>
        <v/>
      </c>
      <c r="R7" s="52" t="inlineStr">
        <is>
          <t>руб.</t>
        </is>
      </c>
    </row>
    <row r="8">
      <c r="A8" s="120" t="inlineStr">
        <is>
          <t>PNL.CAFE.GROSS</t>
        </is>
      </c>
      <c r="B8" s="120" t="inlineStr">
        <is>
          <t>Кафе</t>
        </is>
      </c>
      <c r="C8" s="120" t="inlineStr">
        <is>
          <t>ВАЛОВАЯ ПРИБЫЛЬ</t>
        </is>
      </c>
      <c r="D8" s="202">
        <f>D6-D7</f>
        <v/>
      </c>
      <c r="E8" s="202">
        <f>E6-E7</f>
        <v/>
      </c>
      <c r="F8" s="202">
        <f>F6-F7</f>
        <v/>
      </c>
      <c r="G8" s="202">
        <f>G6-G7</f>
        <v/>
      </c>
      <c r="H8" s="202">
        <f>H6-H7</f>
        <v/>
      </c>
      <c r="I8" s="202">
        <f>I6-I7</f>
        <v/>
      </c>
      <c r="J8" s="202">
        <f>J6-J7</f>
        <v/>
      </c>
      <c r="K8" s="202">
        <f>K6-K7</f>
        <v/>
      </c>
      <c r="L8" s="202">
        <f>L6-L7</f>
        <v/>
      </c>
      <c r="M8" s="202">
        <f>M6-M7</f>
        <v/>
      </c>
      <c r="N8" s="202">
        <f>N6-N7</f>
        <v/>
      </c>
      <c r="O8" s="202">
        <f>O6-O7</f>
        <v/>
      </c>
      <c r="P8" s="202">
        <f>SUM(D8:O8)</f>
        <v/>
      </c>
      <c r="Q8" s="202">
        <f>P8/12</f>
        <v/>
      </c>
      <c r="R8" s="120" t="inlineStr">
        <is>
          <t>руб.</t>
        </is>
      </c>
    </row>
    <row r="9">
      <c r="A9" s="52" t="inlineStr">
        <is>
          <t>PNL.CAFE.VAR</t>
        </is>
      </c>
      <c r="B9" s="52" t="inlineStr">
        <is>
          <t>Кафе</t>
        </is>
      </c>
      <c r="C9" s="52" t="inlineStr">
        <is>
          <t>Прочие прямые переменные расходы</t>
        </is>
      </c>
      <c r="D9" s="188">
        <f>'04_СЕБЕСТОИМОСТЬ'!D28</f>
        <v/>
      </c>
      <c r="E9" s="188">
        <f>'04_СЕБЕСТОИМОСТЬ'!E28</f>
        <v/>
      </c>
      <c r="F9" s="188">
        <f>'04_СЕБЕСТОИМОСТЬ'!F28</f>
        <v/>
      </c>
      <c r="G9" s="188">
        <f>'04_СЕБЕСТОИМОСТЬ'!G28</f>
        <v/>
      </c>
      <c r="H9" s="188">
        <f>'04_СЕБЕСТОИМОСТЬ'!H28</f>
        <v/>
      </c>
      <c r="I9" s="188">
        <f>'04_СЕБЕСТОИМОСТЬ'!I28</f>
        <v/>
      </c>
      <c r="J9" s="188">
        <f>'04_СЕБЕСТОИМОСТЬ'!J28</f>
        <v/>
      </c>
      <c r="K9" s="188">
        <f>'04_СЕБЕСТОИМОСТЬ'!K28</f>
        <v/>
      </c>
      <c r="L9" s="188">
        <f>'04_СЕБЕСТОИМОСТЬ'!L28</f>
        <v/>
      </c>
      <c r="M9" s="188">
        <f>'04_СЕБЕСТОИМОСТЬ'!M28</f>
        <v/>
      </c>
      <c r="N9" s="188">
        <f>'04_СЕБЕСТОИМОСТЬ'!N28</f>
        <v/>
      </c>
      <c r="O9" s="188">
        <f>'04_СЕБЕСТОИМОСТЬ'!O28</f>
        <v/>
      </c>
      <c r="P9" s="188">
        <f>SUM(D9:O9)</f>
        <v/>
      </c>
      <c r="Q9" s="188">
        <f>P9/12</f>
        <v/>
      </c>
      <c r="R9" s="52" t="inlineStr">
        <is>
          <t>руб.</t>
        </is>
      </c>
    </row>
    <row r="10">
      <c r="A10" s="118" t="inlineStr">
        <is>
          <t>PNL.CAFE.CONTRIB</t>
        </is>
      </c>
      <c r="B10" s="118" t="inlineStr">
        <is>
          <t>Кафе</t>
        </is>
      </c>
      <c r="C10" s="118" t="inlineStr">
        <is>
          <t>МАРЖИНАЛЬНЫЙ ДОХОД</t>
        </is>
      </c>
      <c r="D10" s="190">
        <f>D8-D9</f>
        <v/>
      </c>
      <c r="E10" s="190">
        <f>E8-E9</f>
        <v/>
      </c>
      <c r="F10" s="190">
        <f>F8-F9</f>
        <v/>
      </c>
      <c r="G10" s="190">
        <f>G8-G9</f>
        <v/>
      </c>
      <c r="H10" s="190">
        <f>H8-H9</f>
        <v/>
      </c>
      <c r="I10" s="190">
        <f>I8-I9</f>
        <v/>
      </c>
      <c r="J10" s="190">
        <f>J8-J9</f>
        <v/>
      </c>
      <c r="K10" s="190">
        <f>K8-K9</f>
        <v/>
      </c>
      <c r="L10" s="190">
        <f>L8-L9</f>
        <v/>
      </c>
      <c r="M10" s="190">
        <f>M8-M9</f>
        <v/>
      </c>
      <c r="N10" s="190">
        <f>N8-N9</f>
        <v/>
      </c>
      <c r="O10" s="190">
        <f>O8-O9</f>
        <v/>
      </c>
      <c r="P10" s="190">
        <f>SUM(D10:O10)</f>
        <v/>
      </c>
      <c r="Q10" s="190">
        <f>P10/12</f>
        <v/>
      </c>
      <c r="R10" s="118" t="inlineStr">
        <is>
          <t>руб.</t>
        </is>
      </c>
    </row>
    <row r="11">
      <c r="A11" s="52" t="inlineStr">
        <is>
          <t>PNL.CAFE.PAY</t>
        </is>
      </c>
      <c r="B11" s="52" t="inlineStr">
        <is>
          <t>Кафе</t>
        </is>
      </c>
      <c r="C11" s="52" t="inlineStr">
        <is>
          <t>ФОТ и подрядчики</t>
        </is>
      </c>
      <c r="D11" s="188">
        <f>'05_ФОТ'!D34</f>
        <v/>
      </c>
      <c r="E11" s="188">
        <f>'05_ФОТ'!E34</f>
        <v/>
      </c>
      <c r="F11" s="188">
        <f>'05_ФОТ'!F34</f>
        <v/>
      </c>
      <c r="G11" s="188">
        <f>'05_ФОТ'!G34</f>
        <v/>
      </c>
      <c r="H11" s="188">
        <f>'05_ФОТ'!H34</f>
        <v/>
      </c>
      <c r="I11" s="188">
        <f>'05_ФОТ'!I34</f>
        <v/>
      </c>
      <c r="J11" s="188">
        <f>'05_ФОТ'!J34</f>
        <v/>
      </c>
      <c r="K11" s="188">
        <f>'05_ФОТ'!K34</f>
        <v/>
      </c>
      <c r="L11" s="188">
        <f>'05_ФОТ'!L34</f>
        <v/>
      </c>
      <c r="M11" s="188">
        <f>'05_ФОТ'!M34</f>
        <v/>
      </c>
      <c r="N11" s="188">
        <f>'05_ФОТ'!N34</f>
        <v/>
      </c>
      <c r="O11" s="188">
        <f>'05_ФОТ'!O34</f>
        <v/>
      </c>
      <c r="P11" s="188">
        <f>SUM(D11:O11)</f>
        <v/>
      </c>
      <c r="Q11" s="188">
        <f>P11/12</f>
        <v/>
      </c>
      <c r="R11" s="52" t="inlineStr">
        <is>
          <t>руб.</t>
        </is>
      </c>
    </row>
    <row r="12">
      <c r="A12" s="52" t="inlineStr">
        <is>
          <t>PNL.CAFE.FB</t>
        </is>
      </c>
      <c r="B12" s="52" t="inlineStr">
        <is>
          <t>Кафе</t>
        </is>
      </c>
      <c r="C12" s="52" t="inlineStr">
        <is>
          <t>F&amp;B Departmental Expenses</t>
        </is>
      </c>
      <c r="D12" s="188">
        <f>'06_OPEX_USALI'!D18</f>
        <v/>
      </c>
      <c r="E12" s="188">
        <f>'06_OPEX_USALI'!E18</f>
        <v/>
      </c>
      <c r="F12" s="188">
        <f>'06_OPEX_USALI'!F18</f>
        <v/>
      </c>
      <c r="G12" s="188">
        <f>'06_OPEX_USALI'!G18</f>
        <v/>
      </c>
      <c r="H12" s="188">
        <f>'06_OPEX_USALI'!H18</f>
        <v/>
      </c>
      <c r="I12" s="188">
        <f>'06_OPEX_USALI'!I18</f>
        <v/>
      </c>
      <c r="J12" s="188">
        <f>'06_OPEX_USALI'!J18</f>
        <v/>
      </c>
      <c r="K12" s="188">
        <f>'06_OPEX_USALI'!K18</f>
        <v/>
      </c>
      <c r="L12" s="188">
        <f>'06_OPEX_USALI'!L18</f>
        <v/>
      </c>
      <c r="M12" s="188">
        <f>'06_OPEX_USALI'!M18</f>
        <v/>
      </c>
      <c r="N12" s="188">
        <f>'06_OPEX_USALI'!N18</f>
        <v/>
      </c>
      <c r="O12" s="188">
        <f>'06_OPEX_USALI'!O18</f>
        <v/>
      </c>
      <c r="P12" s="188">
        <f>SUM(D12:O12)</f>
        <v/>
      </c>
      <c r="Q12" s="188">
        <f>P12/12</f>
        <v/>
      </c>
      <c r="R12" s="52" t="inlineStr">
        <is>
          <t>руб.</t>
        </is>
      </c>
    </row>
    <row r="13">
      <c r="A13" s="120" t="inlineStr">
        <is>
          <t>PNL.CAFE.DEP</t>
        </is>
      </c>
      <c r="B13" s="120" t="inlineStr">
        <is>
          <t>Кафе</t>
        </is>
      </c>
      <c r="C13" s="120" t="inlineStr">
        <is>
          <t>ПРИБЫЛЬ ПОДРАЗДЕЛЕНИЯ</t>
        </is>
      </c>
      <c r="D13" s="202">
        <f>D10-D11-D12</f>
        <v/>
      </c>
      <c r="E13" s="202">
        <f>E10-E11-E12</f>
        <v/>
      </c>
      <c r="F13" s="202">
        <f>F10-F11-F12</f>
        <v/>
      </c>
      <c r="G13" s="202">
        <f>G10-G11-G12</f>
        <v/>
      </c>
      <c r="H13" s="202">
        <f>H10-H11-H12</f>
        <v/>
      </c>
      <c r="I13" s="202">
        <f>I10-I11-I12</f>
        <v/>
      </c>
      <c r="J13" s="202">
        <f>J10-J11-J12</f>
        <v/>
      </c>
      <c r="K13" s="202">
        <f>K10-K11-K12</f>
        <v/>
      </c>
      <c r="L13" s="202">
        <f>L10-L11-L12</f>
        <v/>
      </c>
      <c r="M13" s="202">
        <f>M10-M11-M12</f>
        <v/>
      </c>
      <c r="N13" s="202">
        <f>N10-N11-N12</f>
        <v/>
      </c>
      <c r="O13" s="202">
        <f>O10-O11-O12</f>
        <v/>
      </c>
      <c r="P13" s="202">
        <f>SUM(D13:O13)</f>
        <v/>
      </c>
      <c r="Q13" s="202">
        <f>P13/12</f>
        <v/>
      </c>
      <c r="R13" s="120" t="inlineStr">
        <is>
          <t>руб.</t>
        </is>
      </c>
    </row>
    <row r="14">
      <c r="A14" s="52" t="inlineStr">
        <is>
          <t>PNL.CAFE.AG</t>
        </is>
      </c>
      <c r="B14" s="52" t="inlineStr">
        <is>
          <t>Кафе</t>
        </is>
      </c>
      <c r="C14" s="52" t="inlineStr">
        <is>
          <t>Administrative &amp; General</t>
        </is>
      </c>
      <c r="D14" s="188">
        <f>'06_OPEX_USALI'!D27</f>
        <v/>
      </c>
      <c r="E14" s="188">
        <f>'06_OPEX_USALI'!E27</f>
        <v/>
      </c>
      <c r="F14" s="188">
        <f>'06_OPEX_USALI'!F27</f>
        <v/>
      </c>
      <c r="G14" s="188">
        <f>'06_OPEX_USALI'!G27</f>
        <v/>
      </c>
      <c r="H14" s="188">
        <f>'06_OPEX_USALI'!H27</f>
        <v/>
      </c>
      <c r="I14" s="188">
        <f>'06_OPEX_USALI'!I27</f>
        <v/>
      </c>
      <c r="J14" s="188">
        <f>'06_OPEX_USALI'!J27</f>
        <v/>
      </c>
      <c r="K14" s="188">
        <f>'06_OPEX_USALI'!K27</f>
        <v/>
      </c>
      <c r="L14" s="188">
        <f>'06_OPEX_USALI'!L27</f>
        <v/>
      </c>
      <c r="M14" s="188">
        <f>'06_OPEX_USALI'!M27</f>
        <v/>
      </c>
      <c r="N14" s="188">
        <f>'06_OPEX_USALI'!N27</f>
        <v/>
      </c>
      <c r="O14" s="188">
        <f>'06_OPEX_USALI'!O27</f>
        <v/>
      </c>
      <c r="P14" s="188">
        <f>SUM(D14:O14)</f>
        <v/>
      </c>
      <c r="Q14" s="188">
        <f>P14/12</f>
        <v/>
      </c>
      <c r="R14" s="52" t="inlineStr">
        <is>
          <t>руб.</t>
        </is>
      </c>
    </row>
    <row r="15">
      <c r="A15" s="52" t="inlineStr">
        <is>
          <t>PNL.CAFE.SM</t>
        </is>
      </c>
      <c r="B15" s="52" t="inlineStr">
        <is>
          <t>Кафе</t>
        </is>
      </c>
      <c r="C15" s="52" t="inlineStr">
        <is>
          <t>Sales &amp; Marketing</t>
        </is>
      </c>
      <c r="D15" s="188">
        <f>'06_OPEX_USALI'!D30</f>
        <v/>
      </c>
      <c r="E15" s="188">
        <f>'06_OPEX_USALI'!E30</f>
        <v/>
      </c>
      <c r="F15" s="188">
        <f>'06_OPEX_USALI'!F30</f>
        <v/>
      </c>
      <c r="G15" s="188">
        <f>'06_OPEX_USALI'!G30</f>
        <v/>
      </c>
      <c r="H15" s="188">
        <f>'06_OPEX_USALI'!H30</f>
        <v/>
      </c>
      <c r="I15" s="188">
        <f>'06_OPEX_USALI'!I30</f>
        <v/>
      </c>
      <c r="J15" s="188">
        <f>'06_OPEX_USALI'!J30</f>
        <v/>
      </c>
      <c r="K15" s="188">
        <f>'06_OPEX_USALI'!K30</f>
        <v/>
      </c>
      <c r="L15" s="188">
        <f>'06_OPEX_USALI'!L30</f>
        <v/>
      </c>
      <c r="M15" s="188">
        <f>'06_OPEX_USALI'!M30</f>
        <v/>
      </c>
      <c r="N15" s="188">
        <f>'06_OPEX_USALI'!N30</f>
        <v/>
      </c>
      <c r="O15" s="188">
        <f>'06_OPEX_USALI'!O30</f>
        <v/>
      </c>
      <c r="P15" s="188">
        <f>SUM(D15:O15)</f>
        <v/>
      </c>
      <c r="Q15" s="188">
        <f>P15/12</f>
        <v/>
      </c>
      <c r="R15" s="52" t="inlineStr">
        <is>
          <t>руб.</t>
        </is>
      </c>
    </row>
    <row r="16">
      <c r="A16" s="52" t="inlineStr">
        <is>
          <t>PNL.CAFE.POM</t>
        </is>
      </c>
      <c r="B16" s="52" t="inlineStr">
        <is>
          <t>Кафе</t>
        </is>
      </c>
      <c r="C16" s="52" t="inlineStr">
        <is>
          <t>Property Operations &amp; Maintenance</t>
        </is>
      </c>
      <c r="D16" s="188">
        <f>'06_OPEX_USALI'!D43</f>
        <v/>
      </c>
      <c r="E16" s="188">
        <f>'06_OPEX_USALI'!E43</f>
        <v/>
      </c>
      <c r="F16" s="188">
        <f>'06_OPEX_USALI'!F43</f>
        <v/>
      </c>
      <c r="G16" s="188">
        <f>'06_OPEX_USALI'!G43</f>
        <v/>
      </c>
      <c r="H16" s="188">
        <f>'06_OPEX_USALI'!H43</f>
        <v/>
      </c>
      <c r="I16" s="188">
        <f>'06_OPEX_USALI'!I43</f>
        <v/>
      </c>
      <c r="J16" s="188">
        <f>'06_OPEX_USALI'!J43</f>
        <v/>
      </c>
      <c r="K16" s="188">
        <f>'06_OPEX_USALI'!K43</f>
        <v/>
      </c>
      <c r="L16" s="188">
        <f>'06_OPEX_USALI'!L43</f>
        <v/>
      </c>
      <c r="M16" s="188">
        <f>'06_OPEX_USALI'!M43</f>
        <v/>
      </c>
      <c r="N16" s="188">
        <f>'06_OPEX_USALI'!N43</f>
        <v/>
      </c>
      <c r="O16" s="188">
        <f>'06_OPEX_USALI'!O43</f>
        <v/>
      </c>
      <c r="P16" s="188">
        <f>SUM(D16:O16)</f>
        <v/>
      </c>
      <c r="Q16" s="188">
        <f>P16/12</f>
        <v/>
      </c>
      <c r="R16" s="52" t="inlineStr">
        <is>
          <t>руб.</t>
        </is>
      </c>
    </row>
    <row r="17">
      <c r="A17" s="52" t="inlineStr">
        <is>
          <t>PNL.CAFE.UTIL</t>
        </is>
      </c>
      <c r="B17" s="52" t="inlineStr">
        <is>
          <t>Кафе</t>
        </is>
      </c>
      <c r="C17" s="52" t="inlineStr">
        <is>
          <t>Utilities</t>
        </is>
      </c>
      <c r="D17" s="188">
        <f>'06_OPEX_USALI'!D47</f>
        <v/>
      </c>
      <c r="E17" s="188">
        <f>'06_OPEX_USALI'!E47</f>
        <v/>
      </c>
      <c r="F17" s="188">
        <f>'06_OPEX_USALI'!F47</f>
        <v/>
      </c>
      <c r="G17" s="188">
        <f>'06_OPEX_USALI'!G47</f>
        <v/>
      </c>
      <c r="H17" s="188">
        <f>'06_OPEX_USALI'!H47</f>
        <v/>
      </c>
      <c r="I17" s="188">
        <f>'06_OPEX_USALI'!I47</f>
        <v/>
      </c>
      <c r="J17" s="188">
        <f>'06_OPEX_USALI'!J47</f>
        <v/>
      </c>
      <c r="K17" s="188">
        <f>'06_OPEX_USALI'!K47</f>
        <v/>
      </c>
      <c r="L17" s="188">
        <f>'06_OPEX_USALI'!L47</f>
        <v/>
      </c>
      <c r="M17" s="188">
        <f>'06_OPEX_USALI'!M47</f>
        <v/>
      </c>
      <c r="N17" s="188">
        <f>'06_OPEX_USALI'!N47</f>
        <v/>
      </c>
      <c r="O17" s="188">
        <f>'06_OPEX_USALI'!O47</f>
        <v/>
      </c>
      <c r="P17" s="188">
        <f>SUM(D17:O17)</f>
        <v/>
      </c>
      <c r="Q17" s="188">
        <f>P17/12</f>
        <v/>
      </c>
      <c r="R17" s="52" t="inlineStr">
        <is>
          <t>руб.</t>
        </is>
      </c>
    </row>
    <row r="18">
      <c r="A18" s="118" t="inlineStr">
        <is>
          <t>PNL.CAFE.GOP</t>
        </is>
      </c>
      <c r="B18" s="118" t="inlineStr">
        <is>
          <t>Кафе</t>
        </is>
      </c>
      <c r="C18" s="118" t="inlineStr">
        <is>
          <t>GOP / ОПЕРАЦИОННАЯ ПРИБЫЛЬ</t>
        </is>
      </c>
      <c r="D18" s="190">
        <f>D13-SUM(D14:D17)</f>
        <v/>
      </c>
      <c r="E18" s="190">
        <f>E13-SUM(E14:E17)</f>
        <v/>
      </c>
      <c r="F18" s="190">
        <f>F13-SUM(F14:F17)</f>
        <v/>
      </c>
      <c r="G18" s="190">
        <f>G13-SUM(G14:G17)</f>
        <v/>
      </c>
      <c r="H18" s="190">
        <f>H13-SUM(H14:H17)</f>
        <v/>
      </c>
      <c r="I18" s="190">
        <f>I13-SUM(I14:I17)</f>
        <v/>
      </c>
      <c r="J18" s="190">
        <f>J13-SUM(J14:J17)</f>
        <v/>
      </c>
      <c r="K18" s="190">
        <f>K13-SUM(K14:K17)</f>
        <v/>
      </c>
      <c r="L18" s="190">
        <f>L13-SUM(L14:L17)</f>
        <v/>
      </c>
      <c r="M18" s="190">
        <f>M13-SUM(M14:M17)</f>
        <v/>
      </c>
      <c r="N18" s="190">
        <f>N13-SUM(N14:N17)</f>
        <v/>
      </c>
      <c r="O18" s="190">
        <f>O13-SUM(O14:O17)</f>
        <v/>
      </c>
      <c r="P18" s="190">
        <f>SUM(D18:O18)</f>
        <v/>
      </c>
      <c r="Q18" s="190">
        <f>P18/12</f>
        <v/>
      </c>
      <c r="R18" s="118" t="inlineStr">
        <is>
          <t>руб.</t>
        </is>
      </c>
    </row>
    <row r="19">
      <c r="A19" s="52" t="inlineStr">
        <is>
          <t>PNL.CAFE.FIX</t>
        </is>
      </c>
      <c r="B19" s="52" t="inlineStr">
        <is>
          <t>Кафе</t>
        </is>
      </c>
      <c r="C19" s="52" t="inlineStr">
        <is>
          <t>Fixed Charges: аренда и страхование</t>
        </is>
      </c>
      <c r="D19" s="188">
        <f>'06_OPEX_USALI'!D51</f>
        <v/>
      </c>
      <c r="E19" s="188">
        <f>'06_OPEX_USALI'!E51</f>
        <v/>
      </c>
      <c r="F19" s="188">
        <f>'06_OPEX_USALI'!F51</f>
        <v/>
      </c>
      <c r="G19" s="188">
        <f>'06_OPEX_USALI'!G51</f>
        <v/>
      </c>
      <c r="H19" s="188">
        <f>'06_OPEX_USALI'!H51</f>
        <v/>
      </c>
      <c r="I19" s="188">
        <f>'06_OPEX_USALI'!I51</f>
        <v/>
      </c>
      <c r="J19" s="188">
        <f>'06_OPEX_USALI'!J51</f>
        <v/>
      </c>
      <c r="K19" s="188">
        <f>'06_OPEX_USALI'!K51</f>
        <v/>
      </c>
      <c r="L19" s="188">
        <f>'06_OPEX_USALI'!L51</f>
        <v/>
      </c>
      <c r="M19" s="188">
        <f>'06_OPEX_USALI'!M51</f>
        <v/>
      </c>
      <c r="N19" s="188">
        <f>'06_OPEX_USALI'!N51</f>
        <v/>
      </c>
      <c r="O19" s="188">
        <f>'06_OPEX_USALI'!O51</f>
        <v/>
      </c>
      <c r="P19" s="188">
        <f>SUM(D19:O19)</f>
        <v/>
      </c>
      <c r="Q19" s="188">
        <f>P19/12</f>
        <v/>
      </c>
      <c r="R19" s="52" t="inlineStr">
        <is>
          <t>руб.</t>
        </is>
      </c>
    </row>
    <row r="20">
      <c r="A20" s="118" t="inlineStr">
        <is>
          <t>PNL.CAFE.PBT</t>
        </is>
      </c>
      <c r="B20" s="118" t="inlineStr">
        <is>
          <t>Кафе</t>
        </is>
      </c>
      <c r="C20" s="118" t="inlineStr">
        <is>
          <t>ПРИБЫЛЬ КАФЕ ДО НАЛОГА</t>
        </is>
      </c>
      <c r="D20" s="190">
        <f>D18-D19</f>
        <v/>
      </c>
      <c r="E20" s="190">
        <f>E18-E19</f>
        <v/>
      </c>
      <c r="F20" s="190">
        <f>F18-F19</f>
        <v/>
      </c>
      <c r="G20" s="190">
        <f>G18-G19</f>
        <v/>
      </c>
      <c r="H20" s="190">
        <f>H18-H19</f>
        <v/>
      </c>
      <c r="I20" s="190">
        <f>I18-I19</f>
        <v/>
      </c>
      <c r="J20" s="190">
        <f>J18-J19</f>
        <v/>
      </c>
      <c r="K20" s="190">
        <f>K18-K19</f>
        <v/>
      </c>
      <c r="L20" s="190">
        <f>L18-L19</f>
        <v/>
      </c>
      <c r="M20" s="190">
        <f>M18-M19</f>
        <v/>
      </c>
      <c r="N20" s="190">
        <f>N18-N19</f>
        <v/>
      </c>
      <c r="O20" s="190">
        <f>O18-O19</f>
        <v/>
      </c>
      <c r="P20" s="190">
        <f>SUM(D20:O20)</f>
        <v/>
      </c>
      <c r="Q20" s="190">
        <f>P20/12</f>
        <v/>
      </c>
      <c r="R20" s="118" t="inlineStr">
        <is>
          <t>руб.</t>
        </is>
      </c>
    </row>
    <row r="21">
      <c r="A21" s="52" t="inlineStr">
        <is>
          <t>PNL.DINNER.REV</t>
        </is>
      </c>
      <c r="B21" s="52" t="inlineStr">
        <is>
          <t>Кафе — гостиница</t>
        </is>
      </c>
      <c r="C21" s="52" t="inlineStr">
        <is>
          <t>Доходы ужинов</t>
        </is>
      </c>
      <c r="D21" s="188">
        <f>'03_ДОХОДЫ'!D41</f>
        <v/>
      </c>
      <c r="E21" s="188">
        <f>'03_ДОХОДЫ'!E41</f>
        <v/>
      </c>
      <c r="F21" s="188">
        <f>'03_ДОХОДЫ'!F41</f>
        <v/>
      </c>
      <c r="G21" s="188">
        <f>'03_ДОХОДЫ'!G41</f>
        <v/>
      </c>
      <c r="H21" s="188">
        <f>'03_ДОХОДЫ'!H41</f>
        <v/>
      </c>
      <c r="I21" s="188">
        <f>'03_ДОХОДЫ'!I41</f>
        <v/>
      </c>
      <c r="J21" s="188">
        <f>'03_ДОХОДЫ'!J41</f>
        <v/>
      </c>
      <c r="K21" s="188">
        <f>'03_ДОХОДЫ'!K41</f>
        <v/>
      </c>
      <c r="L21" s="188">
        <f>'03_ДОХОДЫ'!L41</f>
        <v/>
      </c>
      <c r="M21" s="188">
        <f>'03_ДОХОДЫ'!M41</f>
        <v/>
      </c>
      <c r="N21" s="188">
        <f>'03_ДОХОДЫ'!N41</f>
        <v/>
      </c>
      <c r="O21" s="188">
        <f>'03_ДОХОДЫ'!O41</f>
        <v/>
      </c>
      <c r="P21" s="188">
        <f>SUM(D21:O21)</f>
        <v/>
      </c>
      <c r="Q21" s="188">
        <f>P21/12</f>
        <v/>
      </c>
      <c r="R21" s="52" t="inlineStr">
        <is>
          <t>руб.</t>
        </is>
      </c>
    </row>
    <row r="22">
      <c r="A22" s="52" t="inlineStr">
        <is>
          <t>PNL.DINNER.COGS</t>
        </is>
      </c>
      <c r="B22" s="52" t="inlineStr">
        <is>
          <t>Кафе — гостиница</t>
        </is>
      </c>
      <c r="C22" s="52" t="inlineStr">
        <is>
          <t>Себестоимость ужинов — 30% как a-la carte</t>
        </is>
      </c>
      <c r="D22" s="188">
        <f>'04_СЕБЕСТОИМОСТЬ'!D42+'04_СЕБЕСТОИМОСТЬ'!D29</f>
        <v/>
      </c>
      <c r="E22" s="188">
        <f>'04_СЕБЕСТОИМОСТЬ'!E42+'04_СЕБЕСТОИМОСТЬ'!E29</f>
        <v/>
      </c>
      <c r="F22" s="188">
        <f>'04_СЕБЕСТОИМОСТЬ'!F42+'04_СЕБЕСТОИМОСТЬ'!F29</f>
        <v/>
      </c>
      <c r="G22" s="188">
        <f>'04_СЕБЕСТОИМОСТЬ'!G42+'04_СЕБЕСТОИМОСТЬ'!G29</f>
        <v/>
      </c>
      <c r="H22" s="188">
        <f>'04_СЕБЕСТОИМОСТЬ'!H42+'04_СЕБЕСТОИМОСТЬ'!H29</f>
        <v/>
      </c>
      <c r="I22" s="188">
        <f>'04_СЕБЕСТОИМОСТЬ'!I42+'04_СЕБЕСТОИМОСТЬ'!I29</f>
        <v/>
      </c>
      <c r="J22" s="188">
        <f>'04_СЕБЕСТОИМОСТЬ'!J42+'04_СЕБЕСТОИМОСТЬ'!J29</f>
        <v/>
      </c>
      <c r="K22" s="188">
        <f>'04_СЕБЕСТОИМОСТЬ'!K42+'04_СЕБЕСТОИМОСТЬ'!K29</f>
        <v/>
      </c>
      <c r="L22" s="188">
        <f>'04_СЕБЕСТОИМОСТЬ'!L42+'04_СЕБЕСТОИМОСТЬ'!L29</f>
        <v/>
      </c>
      <c r="M22" s="188">
        <f>'04_СЕБЕСТОИМОСТЬ'!M42+'04_СЕБЕСТОИМОСТЬ'!M29</f>
        <v/>
      </c>
      <c r="N22" s="188">
        <f>'04_СЕБЕСТОИМОСТЬ'!N42+'04_СЕБЕСТОИМОСТЬ'!N29</f>
        <v/>
      </c>
      <c r="O22" s="188">
        <f>'04_СЕБЕСТОИМОСТЬ'!O42+'04_СЕБЕСТОИМОСТЬ'!O29</f>
        <v/>
      </c>
      <c r="P22" s="188">
        <f>SUM(D22:O22)</f>
        <v/>
      </c>
      <c r="Q22" s="188">
        <f>P22/12</f>
        <v/>
      </c>
      <c r="R22" s="52" t="inlineStr">
        <is>
          <t>руб.</t>
        </is>
      </c>
    </row>
    <row r="23">
      <c r="A23" s="52" t="inlineStr">
        <is>
          <t>PNL.DINNER.CONTRIB</t>
        </is>
      </c>
      <c r="B23" s="52" t="inlineStr">
        <is>
          <t>Кафе — гостиница</t>
        </is>
      </c>
      <c r="C23" s="52" t="inlineStr">
        <is>
          <t>Маржинальный результат ужинов</t>
        </is>
      </c>
      <c r="D23" s="188">
        <f>D21-D22</f>
        <v/>
      </c>
      <c r="E23" s="188">
        <f>E21-E22</f>
        <v/>
      </c>
      <c r="F23" s="188">
        <f>F21-F22</f>
        <v/>
      </c>
      <c r="G23" s="188">
        <f>G21-G22</f>
        <v/>
      </c>
      <c r="H23" s="188">
        <f>H21-H22</f>
        <v/>
      </c>
      <c r="I23" s="188">
        <f>I21-I22</f>
        <v/>
      </c>
      <c r="J23" s="188">
        <f>J21-J22</f>
        <v/>
      </c>
      <c r="K23" s="188">
        <f>K21-K22</f>
        <v/>
      </c>
      <c r="L23" s="188">
        <f>L21-L22</f>
        <v/>
      </c>
      <c r="M23" s="188">
        <f>M21-M22</f>
        <v/>
      </c>
      <c r="N23" s="188">
        <f>N21-N22</f>
        <v/>
      </c>
      <c r="O23" s="188">
        <f>O21-O22</f>
        <v/>
      </c>
      <c r="P23" s="188">
        <f>SUM(D23:O23)</f>
        <v/>
      </c>
      <c r="Q23" s="188">
        <f>P23/12</f>
        <v/>
      </c>
      <c r="R23" s="52" t="inlineStr">
        <is>
          <t>руб.</t>
        </is>
      </c>
    </row>
    <row r="24">
      <c r="A24" s="122" t="inlineStr">
        <is>
          <t>БИЗНЕС 2 — БАНКЕТЫ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52" t="inlineStr">
        <is>
          <t>PNL.BANQ.REV</t>
        </is>
      </c>
      <c r="B25" s="52" t="inlineStr">
        <is>
          <t>Банкеты</t>
        </is>
      </c>
      <c r="C25" s="52" t="inlineStr">
        <is>
          <t>Доходы банкетов</t>
        </is>
      </c>
      <c r="D25" s="188">
        <f>'03_ДОХОДЫ'!D36</f>
        <v/>
      </c>
      <c r="E25" s="188">
        <f>'03_ДОХОДЫ'!E36</f>
        <v/>
      </c>
      <c r="F25" s="188">
        <f>'03_ДОХОДЫ'!F36</f>
        <v/>
      </c>
      <c r="G25" s="188">
        <f>'03_ДОХОДЫ'!G36</f>
        <v/>
      </c>
      <c r="H25" s="188">
        <f>'03_ДОХОДЫ'!H36</f>
        <v/>
      </c>
      <c r="I25" s="188">
        <f>'03_ДОХОДЫ'!I36</f>
        <v/>
      </c>
      <c r="J25" s="188">
        <f>'03_ДОХОДЫ'!J36</f>
        <v/>
      </c>
      <c r="K25" s="188">
        <f>'03_ДОХОДЫ'!K36</f>
        <v/>
      </c>
      <c r="L25" s="188">
        <f>'03_ДОХОДЫ'!L36</f>
        <v/>
      </c>
      <c r="M25" s="188">
        <f>'03_ДОХОДЫ'!M36</f>
        <v/>
      </c>
      <c r="N25" s="188">
        <f>'03_ДОХОДЫ'!N36</f>
        <v/>
      </c>
      <c r="O25" s="188">
        <f>'03_ДОХОДЫ'!O36</f>
        <v/>
      </c>
      <c r="P25" s="188">
        <f>SUM(D25:O25)</f>
        <v/>
      </c>
      <c r="Q25" s="188">
        <f>P25/12</f>
        <v/>
      </c>
      <c r="R25" s="52" t="inlineStr">
        <is>
          <t>руб.</t>
        </is>
      </c>
    </row>
    <row r="26">
      <c r="A26" s="52" t="inlineStr">
        <is>
          <t>PNL.BANQ.COGS</t>
        </is>
      </c>
      <c r="B26" s="52" t="inlineStr">
        <is>
          <t>Банкеты</t>
        </is>
      </c>
      <c r="C26" s="52" t="inlineStr">
        <is>
          <t>Себестоимость</t>
        </is>
      </c>
      <c r="D26" s="188">
        <f>'04_СЕБЕСТОИМОСТЬ'!D34</f>
        <v/>
      </c>
      <c r="E26" s="188">
        <f>'04_СЕБЕСТОИМОСТЬ'!E34</f>
        <v/>
      </c>
      <c r="F26" s="188">
        <f>'04_СЕБЕСТОИМОСТЬ'!F34</f>
        <v/>
      </c>
      <c r="G26" s="188">
        <f>'04_СЕБЕСТОИМОСТЬ'!G34</f>
        <v/>
      </c>
      <c r="H26" s="188">
        <f>'04_СЕБЕСТОИМОСТЬ'!H34</f>
        <v/>
      </c>
      <c r="I26" s="188">
        <f>'04_СЕБЕСТОИМОСТЬ'!I34</f>
        <v/>
      </c>
      <c r="J26" s="188">
        <f>'04_СЕБЕСТОИМОСТЬ'!J34</f>
        <v/>
      </c>
      <c r="K26" s="188">
        <f>'04_СЕБЕСТОИМОСТЬ'!K34</f>
        <v/>
      </c>
      <c r="L26" s="188">
        <f>'04_СЕБЕСТОИМОСТЬ'!L34</f>
        <v/>
      </c>
      <c r="M26" s="188">
        <f>'04_СЕБЕСТОИМОСТЬ'!M34</f>
        <v/>
      </c>
      <c r="N26" s="188">
        <f>'04_СЕБЕСТОИМОСТЬ'!N34</f>
        <v/>
      </c>
      <c r="O26" s="188">
        <f>'04_СЕБЕСТОИМОСТЬ'!O34</f>
        <v/>
      </c>
      <c r="P26" s="188">
        <f>SUM(D26:O26)</f>
        <v/>
      </c>
      <c r="Q26" s="188">
        <f>P26/12</f>
        <v/>
      </c>
      <c r="R26" s="52" t="inlineStr">
        <is>
          <t>руб.</t>
        </is>
      </c>
    </row>
    <row r="27">
      <c r="A27" s="120" t="inlineStr">
        <is>
          <t>PNL.BANQ.GROSS</t>
        </is>
      </c>
      <c r="B27" s="120" t="inlineStr">
        <is>
          <t>Банкеты</t>
        </is>
      </c>
      <c r="C27" s="120" t="inlineStr">
        <is>
          <t>Валовая прибыль</t>
        </is>
      </c>
      <c r="D27" s="202">
        <f>D25-D26</f>
        <v/>
      </c>
      <c r="E27" s="202">
        <f>E25-E26</f>
        <v/>
      </c>
      <c r="F27" s="202">
        <f>F25-F26</f>
        <v/>
      </c>
      <c r="G27" s="202">
        <f>G25-G26</f>
        <v/>
      </c>
      <c r="H27" s="202">
        <f>H25-H26</f>
        <v/>
      </c>
      <c r="I27" s="202">
        <f>I25-I26</f>
        <v/>
      </c>
      <c r="J27" s="202">
        <f>J25-J26</f>
        <v/>
      </c>
      <c r="K27" s="202">
        <f>K25-K26</f>
        <v/>
      </c>
      <c r="L27" s="202">
        <f>L25-L26</f>
        <v/>
      </c>
      <c r="M27" s="202">
        <f>M25-M26</f>
        <v/>
      </c>
      <c r="N27" s="202">
        <f>N25-N26</f>
        <v/>
      </c>
      <c r="O27" s="202">
        <f>O25-O26</f>
        <v/>
      </c>
      <c r="P27" s="202">
        <f>SUM(D27:O27)</f>
        <v/>
      </c>
      <c r="Q27" s="202">
        <f>P27/12</f>
        <v/>
      </c>
      <c r="R27" s="120" t="inlineStr">
        <is>
          <t>руб.</t>
        </is>
      </c>
    </row>
    <row r="28">
      <c r="A28" s="52" t="inlineStr">
        <is>
          <t>PNL.BANQ.AGENT</t>
        </is>
      </c>
      <c r="B28" s="52" t="inlineStr">
        <is>
          <t>Банкеты</t>
        </is>
      </c>
      <c r="C28" s="52" t="inlineStr">
        <is>
          <t>Агент и эквайринг</t>
        </is>
      </c>
      <c r="D28" s="188">
        <f>'04_СЕБЕСТОИМОСТЬ'!D36+'04_СЕБЕСТОИМОСТЬ'!D37</f>
        <v/>
      </c>
      <c r="E28" s="188">
        <f>'04_СЕБЕСТОИМОСТЬ'!E36+'04_СЕБЕСТОИМОСТЬ'!E37</f>
        <v/>
      </c>
      <c r="F28" s="188">
        <f>'04_СЕБЕСТОИМОСТЬ'!F36+'04_СЕБЕСТОИМОСТЬ'!F37</f>
        <v/>
      </c>
      <c r="G28" s="188">
        <f>'04_СЕБЕСТОИМОСТЬ'!G36+'04_СЕБЕСТОИМОСТЬ'!G37</f>
        <v/>
      </c>
      <c r="H28" s="188">
        <f>'04_СЕБЕСТОИМОСТЬ'!H36+'04_СЕБЕСТОИМОСТЬ'!H37</f>
        <v/>
      </c>
      <c r="I28" s="188">
        <f>'04_СЕБЕСТОИМОСТЬ'!I36+'04_СЕБЕСТОИМОСТЬ'!I37</f>
        <v/>
      </c>
      <c r="J28" s="188">
        <f>'04_СЕБЕСТОИМОСТЬ'!J36+'04_СЕБЕСТОИМОСТЬ'!J37</f>
        <v/>
      </c>
      <c r="K28" s="188">
        <f>'04_СЕБЕСТОИМОСТЬ'!K36+'04_СЕБЕСТОИМОСТЬ'!K37</f>
        <v/>
      </c>
      <c r="L28" s="188">
        <f>'04_СЕБЕСТОИМОСТЬ'!L36+'04_СЕБЕСТОИМОСТЬ'!L37</f>
        <v/>
      </c>
      <c r="M28" s="188">
        <f>'04_СЕБЕСТОИМОСТЬ'!M36+'04_СЕБЕСТОИМОСТЬ'!M37</f>
        <v/>
      </c>
      <c r="N28" s="188">
        <f>'04_СЕБЕСТОИМОСТЬ'!N36+'04_СЕБЕСТОИМОСТЬ'!N37</f>
        <v/>
      </c>
      <c r="O28" s="188">
        <f>'04_СЕБЕСТОИМОСТЬ'!O36+'04_СЕБЕСТОИМОСТЬ'!O37</f>
        <v/>
      </c>
      <c r="P28" s="188">
        <f>SUM(D28:O28)</f>
        <v/>
      </c>
      <c r="Q28" s="188">
        <f>P28/12</f>
        <v/>
      </c>
      <c r="R28" s="52" t="inlineStr">
        <is>
          <t>руб.</t>
        </is>
      </c>
    </row>
    <row r="29">
      <c r="A29" s="118" t="inlineStr">
        <is>
          <t>PNL.BANQ.PBT</t>
        </is>
      </c>
      <c r="B29" s="118" t="inlineStr">
        <is>
          <t>Банкеты</t>
        </is>
      </c>
      <c r="C29" s="118" t="inlineStr">
        <is>
          <t>ПРИБЫЛЬ БАНКЕТОВ ДО НАЛОГА</t>
        </is>
      </c>
      <c r="D29" s="190">
        <f>D27-D28</f>
        <v/>
      </c>
      <c r="E29" s="190">
        <f>E27-E28</f>
        <v/>
      </c>
      <c r="F29" s="190">
        <f>F27-F28</f>
        <v/>
      </c>
      <c r="G29" s="190">
        <f>G27-G28</f>
        <v/>
      </c>
      <c r="H29" s="190">
        <f>H27-H28</f>
        <v/>
      </c>
      <c r="I29" s="190">
        <f>I27-I28</f>
        <v/>
      </c>
      <c r="J29" s="190">
        <f>J27-J28</f>
        <v/>
      </c>
      <c r="K29" s="190">
        <f>K27-K28</f>
        <v/>
      </c>
      <c r="L29" s="190">
        <f>L27-L28</f>
        <v/>
      </c>
      <c r="M29" s="190">
        <f>M27-M28</f>
        <v/>
      </c>
      <c r="N29" s="190">
        <f>N27-N28</f>
        <v/>
      </c>
      <c r="O29" s="190">
        <f>O27-O28</f>
        <v/>
      </c>
      <c r="P29" s="190">
        <f>SUM(D29:O29)</f>
        <v/>
      </c>
      <c r="Q29" s="190">
        <f>P29/12</f>
        <v/>
      </c>
      <c r="R29" s="118" t="inlineStr">
        <is>
          <t>руб.</t>
        </is>
      </c>
    </row>
    <row r="30">
      <c r="A30" s="52" t="n"/>
      <c r="B30" s="52" t="n"/>
      <c r="C30" s="52" t="n"/>
      <c r="D30" s="188" t="n"/>
      <c r="E30" s="188" t="n"/>
      <c r="F30" s="188" t="n"/>
      <c r="G30" s="188" t="n"/>
      <c r="H30" s="188" t="n"/>
      <c r="I30" s="188" t="n"/>
      <c r="J30" s="188" t="n"/>
      <c r="K30" s="188" t="n"/>
      <c r="L30" s="188" t="n"/>
      <c r="M30" s="188" t="n"/>
      <c r="N30" s="188" t="n"/>
      <c r="O30" s="188" t="n"/>
      <c r="P30" s="188" t="n"/>
      <c r="Q30" s="188" t="n"/>
      <c r="R30" s="52" t="n"/>
    </row>
    <row r="31">
      <c r="A31" s="52" t="n"/>
      <c r="B31" s="52" t="n"/>
      <c r="C31" s="52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8" t="n"/>
      <c r="M31" s="188" t="n"/>
      <c r="N31" s="188" t="n"/>
      <c r="O31" s="188" t="n"/>
      <c r="P31" s="188" t="n"/>
      <c r="Q31" s="188" t="n"/>
      <c r="R31" s="52" t="n"/>
    </row>
    <row r="32">
      <c r="A32" s="122" t="inlineStr">
        <is>
          <t>КОНСОЛИДИРОВАННЫЙ НАЛОГ И ЧИСТАЯ ПРИБЫЛЬ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52" t="inlineStr">
        <is>
          <t>PNL.PROJ.REV</t>
        </is>
      </c>
      <c r="B33" s="52" t="inlineStr">
        <is>
          <t>Проект</t>
        </is>
      </c>
      <c r="C33" s="52" t="inlineStr">
        <is>
          <t>Совокупные доходы</t>
        </is>
      </c>
      <c r="D33" s="188">
        <f>D6+D25</f>
        <v/>
      </c>
      <c r="E33" s="188">
        <f>E6+E25</f>
        <v/>
      </c>
      <c r="F33" s="188">
        <f>F6+F25</f>
        <v/>
      </c>
      <c r="G33" s="188">
        <f>G6+G25</f>
        <v/>
      </c>
      <c r="H33" s="188">
        <f>H6+H25</f>
        <v/>
      </c>
      <c r="I33" s="188">
        <f>I6+I25</f>
        <v/>
      </c>
      <c r="J33" s="188">
        <f>J6+J25</f>
        <v/>
      </c>
      <c r="K33" s="188">
        <f>K6+K25</f>
        <v/>
      </c>
      <c r="L33" s="188">
        <f>L6+L25</f>
        <v/>
      </c>
      <c r="M33" s="188">
        <f>M6+M25</f>
        <v/>
      </c>
      <c r="N33" s="188">
        <f>N6+N25</f>
        <v/>
      </c>
      <c r="O33" s="188">
        <f>O6+O25</f>
        <v/>
      </c>
      <c r="P33" s="188">
        <f>SUM(D33:O33)</f>
        <v/>
      </c>
      <c r="Q33" s="188">
        <f>P33/12</f>
        <v/>
      </c>
      <c r="R33" s="52" t="inlineStr">
        <is>
          <t>руб.</t>
        </is>
      </c>
    </row>
    <row r="34">
      <c r="A34" s="52" t="inlineStr">
        <is>
          <t>PNL.PROJ.PBT</t>
        </is>
      </c>
      <c r="B34" s="52" t="inlineStr">
        <is>
          <t>Проект</t>
        </is>
      </c>
      <c r="C34" s="52" t="inlineStr">
        <is>
          <t>Совокупная прибыль до налога</t>
        </is>
      </c>
      <c r="D34" s="188">
        <f>D20+D29</f>
        <v/>
      </c>
      <c r="E34" s="188">
        <f>E20+E29</f>
        <v/>
      </c>
      <c r="F34" s="188">
        <f>F20+F29</f>
        <v/>
      </c>
      <c r="G34" s="188">
        <f>G20+G29</f>
        <v/>
      </c>
      <c r="H34" s="188">
        <f>H20+H29</f>
        <v/>
      </c>
      <c r="I34" s="188">
        <f>I20+I29</f>
        <v/>
      </c>
      <c r="J34" s="188">
        <f>J20+J29</f>
        <v/>
      </c>
      <c r="K34" s="188">
        <f>K20+K29</f>
        <v/>
      </c>
      <c r="L34" s="188">
        <f>L20+L29</f>
        <v/>
      </c>
      <c r="M34" s="188">
        <f>M20+M29</f>
        <v/>
      </c>
      <c r="N34" s="188">
        <f>N20+N29</f>
        <v/>
      </c>
      <c r="O34" s="188">
        <f>O20+O29</f>
        <v/>
      </c>
      <c r="P34" s="188">
        <f>SUM(D34:O34)</f>
        <v/>
      </c>
      <c r="Q34" s="188">
        <f>P34/12</f>
        <v/>
      </c>
      <c r="R34" s="52" t="inlineStr">
        <is>
          <t>руб.</t>
        </is>
      </c>
    </row>
    <row r="35">
      <c r="A35" s="52" t="inlineStr">
        <is>
          <t>TAX.USN15</t>
        </is>
      </c>
      <c r="B35" s="52" t="inlineStr">
        <is>
          <t>Налоги</t>
        </is>
      </c>
      <c r="C35" s="52" t="inlineStr">
        <is>
          <t>УСН 15% от положительной базы</t>
        </is>
      </c>
      <c r="D35" s="188">
        <f>IF($P$33=0,0,$P$35*D33/$P$33)</f>
        <v/>
      </c>
      <c r="E35" s="188">
        <f>IF($P$33=0,0,$P$35*E33/$P$33)</f>
        <v/>
      </c>
      <c r="F35" s="188">
        <f>IF($P$33=0,0,$P$35*F33/$P$33)</f>
        <v/>
      </c>
      <c r="G35" s="188">
        <f>IF($P$33=0,0,$P$35*G33/$P$33)</f>
        <v/>
      </c>
      <c r="H35" s="188">
        <f>IF($P$33=0,0,$P$35*H33/$P$33)</f>
        <v/>
      </c>
      <c r="I35" s="188">
        <f>IF($P$33=0,0,$P$35*I33/$P$33)</f>
        <v/>
      </c>
      <c r="J35" s="188">
        <f>IF($P$33=0,0,$P$35*J33/$P$33)</f>
        <v/>
      </c>
      <c r="K35" s="188">
        <f>IF($P$33=0,0,$P$35*K33/$P$33)</f>
        <v/>
      </c>
      <c r="L35" s="188">
        <f>IF($P$33=0,0,$P$35*L33/$P$33)</f>
        <v/>
      </c>
      <c r="M35" s="188">
        <f>IF($P$33=0,0,$P$35*M33/$P$33)</f>
        <v/>
      </c>
      <c r="N35" s="188">
        <f>IF($P$33=0,0,$P$35*N33/$P$33)</f>
        <v/>
      </c>
      <c r="O35" s="188">
        <f>IF($P$33=0,0,$P$35*O33/$P$33)</f>
        <v/>
      </c>
      <c r="P35" s="188">
        <f>MAX(P34,0)*'01_ВВОД'!$D$12</f>
        <v/>
      </c>
      <c r="Q35" s="188">
        <f>P35/12</f>
        <v/>
      </c>
      <c r="R35" s="52" t="inlineStr">
        <is>
          <t>руб.</t>
        </is>
      </c>
    </row>
    <row r="36">
      <c r="A36" s="52" t="inlineStr">
        <is>
          <t>TAX.MIN1</t>
        </is>
      </c>
      <c r="B36" s="52" t="inlineStr">
        <is>
          <t>Налоги</t>
        </is>
      </c>
      <c r="C36" s="52" t="inlineStr">
        <is>
          <t>Минимальный налог 1% доходов</t>
        </is>
      </c>
      <c r="D36" s="188">
        <f>IF($P$33=0,0,$P$36*D33/$P$33)</f>
        <v/>
      </c>
      <c r="E36" s="188">
        <f>IF($P$33=0,0,$P$36*E33/$P$33)</f>
        <v/>
      </c>
      <c r="F36" s="188">
        <f>IF($P$33=0,0,$P$36*F33/$P$33)</f>
        <v/>
      </c>
      <c r="G36" s="188">
        <f>IF($P$33=0,0,$P$36*G33/$P$33)</f>
        <v/>
      </c>
      <c r="H36" s="188">
        <f>IF($P$33=0,0,$P$36*H33/$P$33)</f>
        <v/>
      </c>
      <c r="I36" s="188">
        <f>IF($P$33=0,0,$P$36*I33/$P$33)</f>
        <v/>
      </c>
      <c r="J36" s="188">
        <f>IF($P$33=0,0,$P$36*J33/$P$33)</f>
        <v/>
      </c>
      <c r="K36" s="188">
        <f>IF($P$33=0,0,$P$36*K33/$P$33)</f>
        <v/>
      </c>
      <c r="L36" s="188">
        <f>IF($P$33=0,0,$P$36*L33/$P$33)</f>
        <v/>
      </c>
      <c r="M36" s="188">
        <f>IF($P$33=0,0,$P$36*M33/$P$33)</f>
        <v/>
      </c>
      <c r="N36" s="188">
        <f>IF($P$33=0,0,$P$36*N33/$P$33)</f>
        <v/>
      </c>
      <c r="O36" s="188">
        <f>IF($P$33=0,0,$P$36*O33/$P$33)</f>
        <v/>
      </c>
      <c r="P36" s="188">
        <f>P33*'01_ВВОД'!$D$13</f>
        <v/>
      </c>
      <c r="Q36" s="188">
        <f>P36/12</f>
        <v/>
      </c>
      <c r="R36" s="52" t="inlineStr">
        <is>
          <t>руб.</t>
        </is>
      </c>
    </row>
    <row r="37">
      <c r="A37" s="118" t="inlineStr">
        <is>
          <t>TAX.PAYABLE</t>
        </is>
      </c>
      <c r="B37" s="118" t="inlineStr">
        <is>
          <t>Налоги</t>
        </is>
      </c>
      <c r="C37" s="118" t="inlineStr">
        <is>
          <t>НАЛОГ К УПЛАТЕ</t>
        </is>
      </c>
      <c r="D37" s="190">
        <f>IF($P$33=0,0,$P$37*D33/$P$33)</f>
        <v/>
      </c>
      <c r="E37" s="190">
        <f>IF($P$33=0,0,$P$37*E33/$P$33)</f>
        <v/>
      </c>
      <c r="F37" s="190">
        <f>IF($P$33=0,0,$P$37*F33/$P$33)</f>
        <v/>
      </c>
      <c r="G37" s="190">
        <f>IF($P$33=0,0,$P$37*G33/$P$33)</f>
        <v/>
      </c>
      <c r="H37" s="190">
        <f>IF($P$33=0,0,$P$37*H33/$P$33)</f>
        <v/>
      </c>
      <c r="I37" s="190">
        <f>IF($P$33=0,0,$P$37*I33/$P$33)</f>
        <v/>
      </c>
      <c r="J37" s="190">
        <f>IF($P$33=0,0,$P$37*J33/$P$33)</f>
        <v/>
      </c>
      <c r="K37" s="190">
        <f>IF($P$33=0,0,$P$37*K33/$P$33)</f>
        <v/>
      </c>
      <c r="L37" s="190">
        <f>IF($P$33=0,0,$P$37*L33/$P$33)</f>
        <v/>
      </c>
      <c r="M37" s="190">
        <f>IF($P$33=0,0,$P$37*M33/$P$33)</f>
        <v/>
      </c>
      <c r="N37" s="190">
        <f>IF($P$33=0,0,$P$37*N33/$P$33)</f>
        <v/>
      </c>
      <c r="O37" s="190">
        <f>IF($P$33=0,0,$P$37*O33/$P$33)</f>
        <v/>
      </c>
      <c r="P37" s="190">
        <f>MAX(P35,P36)</f>
        <v/>
      </c>
      <c r="Q37" s="190">
        <f>P37/12</f>
        <v/>
      </c>
      <c r="R37" s="118" t="inlineStr">
        <is>
          <t>руб.</t>
        </is>
      </c>
    </row>
    <row r="38">
      <c r="A38" s="52" t="inlineStr">
        <is>
          <t>TAX.CAFE</t>
        </is>
      </c>
      <c r="B38" s="52" t="inlineStr">
        <is>
          <t>Кафе</t>
        </is>
      </c>
      <c r="C38" s="52" t="inlineStr">
        <is>
          <t>Налог, распределённый по выручке</t>
        </is>
      </c>
      <c r="D38" s="188">
        <f>IF($P$33=0,0,$P$37*D6/$P$33)</f>
        <v/>
      </c>
      <c r="E38" s="188">
        <f>IF($P$33=0,0,$P$37*E6/$P$33)</f>
        <v/>
      </c>
      <c r="F38" s="188">
        <f>IF($P$33=0,0,$P$37*F6/$P$33)</f>
        <v/>
      </c>
      <c r="G38" s="188">
        <f>IF($P$33=0,0,$P$37*G6/$P$33)</f>
        <v/>
      </c>
      <c r="H38" s="188">
        <f>IF($P$33=0,0,$P$37*H6/$P$33)</f>
        <v/>
      </c>
      <c r="I38" s="188">
        <f>IF($P$33=0,0,$P$37*I6/$P$33)</f>
        <v/>
      </c>
      <c r="J38" s="188">
        <f>IF($P$33=0,0,$P$37*J6/$P$33)</f>
        <v/>
      </c>
      <c r="K38" s="188">
        <f>IF($P$33=0,0,$P$37*K6/$P$33)</f>
        <v/>
      </c>
      <c r="L38" s="188">
        <f>IF($P$33=0,0,$P$37*L6/$P$33)</f>
        <v/>
      </c>
      <c r="M38" s="188">
        <f>IF($P$33=0,0,$P$37*M6/$P$33)</f>
        <v/>
      </c>
      <c r="N38" s="188">
        <f>IF($P$33=0,0,$P$37*N6/$P$33)</f>
        <v/>
      </c>
      <c r="O38" s="188">
        <f>IF($P$33=0,0,$P$37*O6/$P$33)</f>
        <v/>
      </c>
      <c r="P38" s="188">
        <f>SUM(D38:O38)</f>
        <v/>
      </c>
      <c r="Q38" s="188">
        <f>P38/12</f>
        <v/>
      </c>
      <c r="R38" s="52" t="inlineStr">
        <is>
          <t>руб.</t>
        </is>
      </c>
    </row>
    <row r="39">
      <c r="A39" s="52" t="inlineStr">
        <is>
          <t>TAX.BANQ</t>
        </is>
      </c>
      <c r="B39" s="52" t="inlineStr">
        <is>
          <t>Банкеты</t>
        </is>
      </c>
      <c r="C39" s="52" t="inlineStr">
        <is>
          <t>Налог, распределённый по выручке</t>
        </is>
      </c>
      <c r="D39" s="188">
        <f>IF($P$33=0,0,$P$37*D25/$P$33)</f>
        <v/>
      </c>
      <c r="E39" s="188">
        <f>IF($P$33=0,0,$P$37*E25/$P$33)</f>
        <v/>
      </c>
      <c r="F39" s="188">
        <f>IF($P$33=0,0,$P$37*F25/$P$33)</f>
        <v/>
      </c>
      <c r="G39" s="188">
        <f>IF($P$33=0,0,$P$37*G25/$P$33)</f>
        <v/>
      </c>
      <c r="H39" s="188">
        <f>IF($P$33=0,0,$P$37*H25/$P$33)</f>
        <v/>
      </c>
      <c r="I39" s="188">
        <f>IF($P$33=0,0,$P$37*I25/$P$33)</f>
        <v/>
      </c>
      <c r="J39" s="188">
        <f>IF($P$33=0,0,$P$37*J25/$P$33)</f>
        <v/>
      </c>
      <c r="K39" s="188">
        <f>IF($P$33=0,0,$P$37*K25/$P$33)</f>
        <v/>
      </c>
      <c r="L39" s="188">
        <f>IF($P$33=0,0,$P$37*L25/$P$33)</f>
        <v/>
      </c>
      <c r="M39" s="188">
        <f>IF($P$33=0,0,$P$37*M25/$P$33)</f>
        <v/>
      </c>
      <c r="N39" s="188">
        <f>IF($P$33=0,0,$P$37*N25/$P$33)</f>
        <v/>
      </c>
      <c r="O39" s="188">
        <f>IF($P$33=0,0,$P$37*O25/$P$33)</f>
        <v/>
      </c>
      <c r="P39" s="188">
        <f>SUM(D39:O39)</f>
        <v/>
      </c>
      <c r="Q39" s="188">
        <f>P39/12</f>
        <v/>
      </c>
      <c r="R39" s="52" t="inlineStr">
        <is>
          <t>руб.</t>
        </is>
      </c>
    </row>
    <row r="40">
      <c r="A40" s="118" t="inlineStr">
        <is>
          <t>PNL.CAFE.NET</t>
        </is>
      </c>
      <c r="B40" s="118" t="inlineStr">
        <is>
          <t>Кафе</t>
        </is>
      </c>
      <c r="C40" s="118" t="inlineStr">
        <is>
          <t>ЧИСТЫЙ РЕЗУЛЬТАТ КАФЕ</t>
        </is>
      </c>
      <c r="D40" s="190">
        <f>D20-D38</f>
        <v/>
      </c>
      <c r="E40" s="190">
        <f>E20-E38</f>
        <v/>
      </c>
      <c r="F40" s="190">
        <f>F20-F38</f>
        <v/>
      </c>
      <c r="G40" s="190">
        <f>G20-G38</f>
        <v/>
      </c>
      <c r="H40" s="190">
        <f>H20-H38</f>
        <v/>
      </c>
      <c r="I40" s="190">
        <f>I20-I38</f>
        <v/>
      </c>
      <c r="J40" s="190">
        <f>J20-J38</f>
        <v/>
      </c>
      <c r="K40" s="190">
        <f>K20-K38</f>
        <v/>
      </c>
      <c r="L40" s="190">
        <f>L20-L38</f>
        <v/>
      </c>
      <c r="M40" s="190">
        <f>M20-M38</f>
        <v/>
      </c>
      <c r="N40" s="190">
        <f>N20-N38</f>
        <v/>
      </c>
      <c r="O40" s="190">
        <f>O20-O38</f>
        <v/>
      </c>
      <c r="P40" s="190">
        <f>SUM(D40:O40)</f>
        <v/>
      </c>
      <c r="Q40" s="190">
        <f>P40/12</f>
        <v/>
      </c>
      <c r="R40" s="118" t="inlineStr">
        <is>
          <t>руб.</t>
        </is>
      </c>
    </row>
    <row r="41">
      <c r="A41" s="118" t="inlineStr">
        <is>
          <t>PNL.BANQ.NET</t>
        </is>
      </c>
      <c r="B41" s="118" t="inlineStr">
        <is>
          <t>Банкеты</t>
        </is>
      </c>
      <c r="C41" s="118" t="inlineStr">
        <is>
          <t>ЧИСТЫЙ РЕЗУЛЬТАТ БАНКЕТОВ</t>
        </is>
      </c>
      <c r="D41" s="190">
        <f>D29-D39</f>
        <v/>
      </c>
      <c r="E41" s="190">
        <f>E29-E39</f>
        <v/>
      </c>
      <c r="F41" s="190">
        <f>F29-F39</f>
        <v/>
      </c>
      <c r="G41" s="190">
        <f>G29-G39</f>
        <v/>
      </c>
      <c r="H41" s="190">
        <f>H29-H39</f>
        <v/>
      </c>
      <c r="I41" s="190">
        <f>I29-I39</f>
        <v/>
      </c>
      <c r="J41" s="190">
        <f>J29-J39</f>
        <v/>
      </c>
      <c r="K41" s="190">
        <f>K29-K39</f>
        <v/>
      </c>
      <c r="L41" s="190">
        <f>L29-L39</f>
        <v/>
      </c>
      <c r="M41" s="190">
        <f>M29-M39</f>
        <v/>
      </c>
      <c r="N41" s="190">
        <f>N29-N39</f>
        <v/>
      </c>
      <c r="O41" s="190">
        <f>O29-O39</f>
        <v/>
      </c>
      <c r="P41" s="190">
        <f>SUM(D41:O41)</f>
        <v/>
      </c>
      <c r="Q41" s="190">
        <f>P41/12</f>
        <v/>
      </c>
      <c r="R41" s="118" t="inlineStr">
        <is>
          <t>руб.</t>
        </is>
      </c>
    </row>
    <row r="42">
      <c r="A42" s="118" t="inlineStr">
        <is>
          <t>PNL.PROJ.NET</t>
        </is>
      </c>
      <c r="B42" s="118" t="inlineStr">
        <is>
          <t>Проект</t>
        </is>
      </c>
      <c r="C42" s="118" t="inlineStr">
        <is>
          <t>ЧИСТАЯ ПРИБЫЛЬ ПРОЕКТА</t>
        </is>
      </c>
      <c r="D42" s="190">
        <f>D40+D41</f>
        <v/>
      </c>
      <c r="E42" s="190">
        <f>E40+E41</f>
        <v/>
      </c>
      <c r="F42" s="190">
        <f>F40+F41</f>
        <v/>
      </c>
      <c r="G42" s="190">
        <f>G40+G41</f>
        <v/>
      </c>
      <c r="H42" s="190">
        <f>H40+H41</f>
        <v/>
      </c>
      <c r="I42" s="190">
        <f>I40+I41</f>
        <v/>
      </c>
      <c r="J42" s="190">
        <f>J40+J41</f>
        <v/>
      </c>
      <c r="K42" s="190">
        <f>K40+K41</f>
        <v/>
      </c>
      <c r="L42" s="190">
        <f>L40+L41</f>
        <v/>
      </c>
      <c r="M42" s="190">
        <f>M40+M41</f>
        <v/>
      </c>
      <c r="N42" s="190">
        <f>N40+N41</f>
        <v/>
      </c>
      <c r="O42" s="190">
        <f>O40+O41</f>
        <v/>
      </c>
      <c r="P42" s="190">
        <f>SUM(D42:O42)</f>
        <v/>
      </c>
      <c r="Q42" s="190">
        <f>P42/12</f>
        <v/>
      </c>
      <c r="R42" s="118" t="inlineStr">
        <is>
          <t>руб.</t>
        </is>
      </c>
    </row>
  </sheetData>
  <mergeCells count="5">
    <mergeCell ref="A24:R24"/>
    <mergeCell ref="A2:R2"/>
    <mergeCell ref="A32:R32"/>
    <mergeCell ref="A1:R1"/>
    <mergeCell ref="A5:R5"/>
  </mergeCells>
  <conditionalFormatting sqref="D20:Q20">
    <cfRule type="expression" priority="1" dxfId="2">
      <formula>D20&lt;0</formula>
    </cfRule>
  </conditionalFormatting>
  <conditionalFormatting sqref="D29:Q29">
    <cfRule type="expression" priority="2" dxfId="2">
      <formula>D29&lt;0</formula>
    </cfRule>
  </conditionalFormatting>
  <conditionalFormatting sqref="D40:Q42">
    <cfRule type="expression" priority="3" dxfId="2">
      <formula>D40&lt;0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style="174" min="1" max="1"/>
    <col width="42" customWidth="1" style="174" min="2" max="2"/>
    <col width="16" customWidth="1" style="174" min="3" max="3"/>
    <col width="16" customWidth="1" style="174" min="4" max="4"/>
    <col width="16" customWidth="1" style="174" min="5" max="5"/>
    <col width="14" customWidth="1" style="174" min="6" max="6"/>
    <col width="42" customWidth="1" style="174" min="7" max="7"/>
  </cols>
  <sheetData>
    <row r="1" ht="28" customHeight="1" s="174">
      <c r="A1" s="134" t="inlineStr">
        <is>
          <t>Контроль качества модели</t>
        </is>
      </c>
      <c r="B1" s="1" t="n"/>
      <c r="C1" s="1" t="n"/>
      <c r="D1" s="1" t="n"/>
      <c r="E1" s="1" t="n"/>
      <c r="F1" s="1" t="n"/>
      <c r="G1" s="1" t="n"/>
    </row>
    <row r="2">
      <c r="A2" s="13" t="inlineStr">
        <is>
          <t>Статус OK означает, что ключевые связи и ограничения модели соблюдены.</t>
        </is>
      </c>
      <c r="B2" s="1" t="n"/>
      <c r="C2" s="1" t="n"/>
      <c r="D2" s="1" t="n"/>
      <c r="E2" s="1" t="n"/>
      <c r="F2" s="1" t="n"/>
      <c r="G2" s="1" t="n"/>
    </row>
    <row r="3">
      <c r="A3" s="52" t="n"/>
      <c r="B3" s="52" t="n"/>
      <c r="C3" s="52" t="n"/>
      <c r="D3" s="52" t="n"/>
      <c r="E3" s="52" t="n"/>
      <c r="F3" s="52" t="n"/>
      <c r="G3" s="52" t="n"/>
    </row>
    <row r="4">
      <c r="A4" s="18" t="inlineStr">
        <is>
          <t>Код</t>
        </is>
      </c>
      <c r="B4" s="18" t="inlineStr">
        <is>
          <t>Проверка</t>
        </is>
      </c>
      <c r="C4" s="18" t="inlineStr">
        <is>
          <t>Ожидается</t>
        </is>
      </c>
      <c r="D4" s="18" t="inlineStr">
        <is>
          <t>Факт</t>
        </is>
      </c>
      <c r="E4" s="18" t="inlineStr">
        <is>
          <t>Отклонение</t>
        </is>
      </c>
      <c r="F4" s="18" t="inlineStr">
        <is>
          <t>Статус</t>
        </is>
      </c>
      <c r="G4" s="18" t="inlineStr">
        <is>
          <t>Комментарий</t>
        </is>
      </c>
    </row>
    <row r="5">
      <c r="A5" s="52" t="inlineStr">
        <is>
          <t>CHK.DAYS</t>
        </is>
      </c>
      <c r="B5" s="52" t="inlineStr">
        <is>
          <t>Количество календарных дней</t>
        </is>
      </c>
      <c r="C5" s="201" t="n">
        <v>365</v>
      </c>
      <c r="D5" s="188">
        <f>COUNTA('02_КАЛЕНДАРЬ'!$A$5:$A$369)</f>
        <v/>
      </c>
      <c r="E5" s="188">
        <f>D5-C5</f>
        <v/>
      </c>
      <c r="F5" s="147">
        <f>IF(E5=0,"OK","ОШИБКА")</f>
        <v/>
      </c>
      <c r="G5" s="52" t="inlineStr">
        <is>
          <t>Период 01.09.2026–31.08.2027</t>
        </is>
      </c>
    </row>
    <row r="6">
      <c r="A6" s="52" t="inlineStr">
        <is>
          <t>CHK.MONTHS</t>
        </is>
      </c>
      <c r="B6" s="52" t="inlineStr">
        <is>
          <t>Количество месяцев</t>
        </is>
      </c>
      <c r="C6" s="201" t="n">
        <v>12</v>
      </c>
      <c r="D6" s="188">
        <f>COUNTA('03_ДОХОДЫ'!$D$4:$O$4)</f>
        <v/>
      </c>
      <c r="E6" s="188">
        <f>D6-C6</f>
        <v/>
      </c>
      <c r="F6" s="147">
        <f>IF(E6=0,"OK","ОШИБКА")</f>
        <v/>
      </c>
      <c r="G6" s="52" t="str"/>
    </row>
    <row r="7">
      <c r="A7" s="52" t="inlineStr">
        <is>
          <t>CHK.BANQ</t>
        </is>
      </c>
      <c r="B7" s="52" t="inlineStr">
        <is>
          <t>Количество банкетов</t>
        </is>
      </c>
      <c r="C7" s="201" t="n">
        <v>60</v>
      </c>
      <c r="D7" s="188">
        <f>SUM('02_КАЛЕНДАРЬ'!$H$5:$H$369)</f>
        <v/>
      </c>
      <c r="E7" s="188">
        <f>D7-C7</f>
        <v/>
      </c>
      <c r="F7" s="147">
        <f>IF(E7=0,"OK","ОШИБКА")</f>
        <v/>
      </c>
      <c r="G7" s="52" t="str"/>
    </row>
    <row r="8">
      <c r="A8" s="52" t="inlineStr">
        <is>
          <t>CHK.BANQ.SEP.OCT</t>
        </is>
      </c>
      <c r="B8" s="52" t="inlineStr">
        <is>
          <t>Банкеты в сентябре–октябре</t>
        </is>
      </c>
      <c r="C8" s="201" t="n">
        <v>0</v>
      </c>
      <c r="D8" s="188">
        <f>SUMIFS('02_КАЛЕНДАРЬ'!$H$5:$H$369,'02_КАЛЕНДАРЬ'!$B$5:$B$369,"&lt;=2")</f>
        <v/>
      </c>
      <c r="E8" s="188">
        <f>D8-C8</f>
        <v/>
      </c>
      <c r="F8" s="147">
        <f>IF(E8=0,"OK","ОШИБКА")</f>
        <v/>
      </c>
      <c r="G8" s="52" t="str"/>
    </row>
    <row r="9">
      <c r="A9" s="52" t="inlineStr">
        <is>
          <t>CHK.BANQ.FSS</t>
        </is>
      </c>
      <c r="B9" s="52" t="inlineStr">
        <is>
          <t>Банкеты пятница–воскресенье</t>
        </is>
      </c>
      <c r="C9" s="201" t="n">
        <v>42</v>
      </c>
      <c r="D9" s="188">
        <f>COUNTIFS('02_КАЛЕНДАРЬ'!$H$5:$H$369,1,'02_КАЛЕНДАРЬ'!$I$5:$I$369,"Пт–Вс")</f>
        <v/>
      </c>
      <c r="E9" s="188">
        <f>D9-C9</f>
        <v/>
      </c>
      <c r="F9" s="147">
        <f>IF(E9=0,"OK","ОШИБКА")</f>
        <v/>
      </c>
      <c r="G9" s="52" t="inlineStr">
        <is>
          <t>70%</t>
        </is>
      </c>
    </row>
    <row r="10">
      <c r="A10" s="52" t="inlineStr">
        <is>
          <t>CHK.BANQ.WD</t>
        </is>
      </c>
      <c r="B10" s="52" t="inlineStr">
        <is>
          <t>Банкеты понедельник–четверг</t>
        </is>
      </c>
      <c r="C10" s="201" t="n">
        <v>18</v>
      </c>
      <c r="D10" s="188">
        <f>COUNTIFS('02_КАЛЕНДАРЬ'!$H$5:$H$369,1,'02_КАЛЕНДАРЬ'!$I$5:$I$369,"Пн–Чт")</f>
        <v/>
      </c>
      <c r="E10" s="188">
        <f>D10-C10</f>
        <v/>
      </c>
      <c r="F10" s="147">
        <f>IF(E10=0,"OK","ОШИБКА")</f>
        <v/>
      </c>
      <c r="G10" s="52" t="inlineStr">
        <is>
          <t>30%</t>
        </is>
      </c>
    </row>
    <row r="11">
      <c r="A11" s="52" t="inlineStr">
        <is>
          <t>CHK.HOTEL</t>
        </is>
      </c>
      <c r="B11" s="52" t="inlineStr">
        <is>
          <t>Гостиничные заказы за год</t>
        </is>
      </c>
      <c r="C11" s="201" t="n">
        <v>7300</v>
      </c>
      <c r="D11" s="188">
        <f>'03_ДОХОДЫ'!P22</f>
        <v/>
      </c>
      <c r="E11" s="188">
        <f>D11-C11</f>
        <v/>
      </c>
      <c r="F11" s="147">
        <f>IF(E11=0,"OK","ОШИБКА")</f>
        <v/>
      </c>
      <c r="G11" s="52" t="inlineStr">
        <is>
          <t>20 заказов × 365 дней</t>
        </is>
      </c>
    </row>
    <row r="12">
      <c r="A12" s="52" t="inlineStr">
        <is>
          <t>CHK.BANQ.ACTIVE</t>
        </is>
      </c>
      <c r="B12" s="52" t="inlineStr">
        <is>
          <t>Продажи кафе в банкетные дни</t>
        </is>
      </c>
      <c r="C12" s="201" t="inlineStr">
        <is>
          <t>Больше 0</t>
        </is>
      </c>
      <c r="D12" s="188">
        <f>SUM('02_КАЛЕНДАРЬ'!$T$5:$T$369)</f>
        <v/>
      </c>
      <c r="E12" s="188">
        <f>IF(D12&gt;0,0,1)</f>
        <v/>
      </c>
      <c r="F12" s="147">
        <f>IF(D12&gt;0,"OK","ОШИБКА")</f>
        <v/>
      </c>
      <c r="G12" s="52" t="inlineStr">
        <is>
          <t>Без завтраков/ужинов</t>
        </is>
      </c>
    </row>
    <row r="13">
      <c r="A13" s="52" t="inlineStr">
        <is>
          <t>CHK.REV.LINK</t>
        </is>
      </c>
      <c r="B13" s="52" t="inlineStr">
        <is>
          <t>Связь доходов проекта</t>
        </is>
      </c>
      <c r="C13" s="201" t="n">
        <v>0</v>
      </c>
      <c r="D13" s="188">
        <f>'03_ДОХОДЫ'!P38-'07_PNL_НАЛОГИ'!P33</f>
        <v/>
      </c>
      <c r="E13" s="188">
        <f>D13-C13</f>
        <v/>
      </c>
      <c r="F13" s="147">
        <f>IF(ABS(E13)&lt;0.01,"OK","ОШИБКА")</f>
        <v/>
      </c>
      <c r="G13" s="52" t="str"/>
    </row>
    <row r="14">
      <c r="A14" s="52" t="inlineStr">
        <is>
          <t>CHK.CONTRIB.LINK</t>
        </is>
      </c>
      <c r="B14" s="52" t="inlineStr">
        <is>
          <t>Связь маржинального дохода кафе</t>
        </is>
      </c>
      <c r="C14" s="201" t="n">
        <v>0</v>
      </c>
      <c r="D14" s="188">
        <f>'04_СЕБЕСТОИМОСТЬ'!P30-'07_PNL_НАЛОГИ'!P10</f>
        <v/>
      </c>
      <c r="E14" s="188">
        <f>D14-C14</f>
        <v/>
      </c>
      <c r="F14" s="147">
        <f>IF(ABS(E14)&lt;0.01,"OK","ОШИБКА")</f>
        <v/>
      </c>
      <c r="G14" s="52" t="str"/>
    </row>
    <row r="15">
      <c r="A15" s="52" t="inlineStr">
        <is>
          <t>CHK.PAY.LINK</t>
        </is>
      </c>
      <c r="B15" s="52" t="inlineStr">
        <is>
          <t>Связь расходов на персонал</t>
        </is>
      </c>
      <c r="C15" s="201" t="n">
        <v>0</v>
      </c>
      <c r="D15" s="188">
        <f>'05_ФОТ'!P34-'07_PNL_НАЛОГИ'!P11</f>
        <v/>
      </c>
      <c r="E15" s="188">
        <f>D15-C15</f>
        <v/>
      </c>
      <c r="F15" s="147">
        <f>IF(ABS(E15)&lt;0.01,"OK","ОШИБКА")</f>
        <v/>
      </c>
      <c r="G15" s="52" t="str"/>
    </row>
    <row r="16">
      <c r="A16" s="52" t="inlineStr">
        <is>
          <t>CHK.OPEX.LINK</t>
        </is>
      </c>
      <c r="B16" s="52" t="inlineStr">
        <is>
          <t>Связь OPEX</t>
        </is>
      </c>
      <c r="C16" s="201" t="n">
        <v>0</v>
      </c>
      <c r="D16" s="188">
        <f>'06_OPEX_USALI'!P52-SUM('07_PNL_НАЛОГИ'!P12,'07_PNL_НАЛОГИ'!P14:P17,'07_PNL_НАЛОГИ'!P19)</f>
        <v/>
      </c>
      <c r="E16" s="188">
        <f>D16-C16</f>
        <v/>
      </c>
      <c r="F16" s="147">
        <f>IF(ABS(E16)&lt;0.01,"OK","ОШИБКА")</f>
        <v/>
      </c>
      <c r="G16" s="52" t="str"/>
    </row>
    <row r="17">
      <c r="A17" s="52" t="inlineStr">
        <is>
          <t>CHK.TAX.ALLOC</t>
        </is>
      </c>
      <c r="B17" s="52" t="inlineStr">
        <is>
          <t>Распределение налога</t>
        </is>
      </c>
      <c r="C17" s="201" t="n">
        <v>0</v>
      </c>
      <c r="D17" s="188">
        <f>'07_PNL_НАЛОГИ'!P38+'07_PNL_НАЛОГИ'!P39-'07_PNL_НАЛОГИ'!P37</f>
        <v/>
      </c>
      <c r="E17" s="188">
        <f>D17-C17</f>
        <v/>
      </c>
      <c r="F17" s="147">
        <f>IF(ABS(E17)&lt;0.01,"OK","ОШИБКА")</f>
        <v/>
      </c>
      <c r="G17" s="52" t="str"/>
    </row>
    <row r="18">
      <c r="A18" s="52" t="inlineStr">
        <is>
          <t>CHK.NET</t>
        </is>
      </c>
      <c r="B18" s="52" t="inlineStr">
        <is>
          <t>Консолидация чистой прибыли</t>
        </is>
      </c>
      <c r="C18" s="201" t="n">
        <v>0</v>
      </c>
      <c r="D18" s="188">
        <f>'07_PNL_НАЛОГИ'!P40+'07_PNL_НАЛОГИ'!P41-'07_PNL_НАЛОГИ'!P42</f>
        <v/>
      </c>
      <c r="E18" s="188">
        <f>D18-C18</f>
        <v/>
      </c>
      <c r="F18" s="147">
        <f>IF(ABS(E18)&lt;0.01,"OK","ОШИБКА")</f>
        <v/>
      </c>
      <c r="G18" s="52" t="str"/>
    </row>
    <row r="19">
      <c r="A19" s="52" t="inlineStr">
        <is>
          <t>CHK.S03.ALA</t>
        </is>
      </c>
      <c r="B19" s="52" t="inlineStr">
        <is>
          <t>А-ля карт в банкетный день = 20%</t>
        </is>
      </c>
      <c r="C19" s="52" t="n">
        <v>0</v>
      </c>
      <c r="D19" s="52">
        <f>ABS(SUMPRODUCT('02_КАЛЕНДАРЬ'!$H$5:$H$369,'02_КАЛЕНДАРЬ'!$M$5:$M$369)-SUMPRODUCT('02_КАЛЕНДАРЬ'!$H$5:$H$369,'02_КАЛЕНДАРЬ'!$L$5:$L$369)*'01_ВВОД'!$D$118)</f>
        <v/>
      </c>
      <c r="E19" s="52">
        <f>D19</f>
        <v/>
      </c>
      <c r="F19" s="52">
        <f>IF(ABS(E19)&lt;0.01,"OK","ОШИБКА")</f>
        <v/>
      </c>
      <c r="G19" s="52" t="inlineStr">
        <is>
          <t>Проверка 60 банкетных дат</t>
        </is>
      </c>
    </row>
    <row r="20">
      <c r="A20" s="157" t="inlineStr">
        <is>
          <t>CHK.S03.LUNCH</t>
        </is>
      </c>
      <c r="B20" s="1" t="n"/>
      <c r="C20" s="1" t="n"/>
      <c r="D20" s="1" t="n"/>
      <c r="E20" s="1" t="n"/>
      <c r="F20" s="1" t="n"/>
      <c r="G20" s="1" t="n"/>
    </row>
    <row r="21">
      <c r="A21" t="inlineStr">
        <is>
          <t>CHK.S03.DEL</t>
        </is>
      </c>
      <c r="B21" t="inlineStr">
        <is>
          <t>Доставка не обнуляется в банкетный день</t>
        </is>
      </c>
      <c r="C21" t="n">
        <v>0</v>
      </c>
      <c r="D21">
        <f>SUMPRODUCT('02_КАЛЕНДАРЬ'!$H$5:$H$369,--('02_КАЛЕНДАРЬ'!$P$5:$P$369=0))</f>
        <v/>
      </c>
      <c r="E21">
        <f>D21</f>
        <v/>
      </c>
      <c r="F21">
        <f>IF(ABS(E21)&lt;0.01,"OK","ОШИБКА")</f>
        <v/>
      </c>
      <c r="G21" t="inlineStr">
        <is>
          <t>100% нормы</t>
        </is>
      </c>
    </row>
    <row r="22">
      <c r="A22" t="inlineStr">
        <is>
          <t>CHK.S03.PICK</t>
        </is>
      </c>
      <c r="B22" t="inlineStr">
        <is>
          <t>Самовывоз не обнуляется в банкетный день</t>
        </is>
      </c>
      <c r="C22" t="n">
        <v>0</v>
      </c>
      <c r="D22">
        <f>SUMPRODUCT('02_КАЛЕНДАРЬ'!$H$5:$H$369,--('02_КАЛЕНДАРЬ'!$Q$5:$Q$369=0))</f>
        <v/>
      </c>
      <c r="E22">
        <f>D22</f>
        <v/>
      </c>
      <c r="F22">
        <f>IF(ABS(E22)&lt;0.01,"OK","ОШИБКА")</f>
        <v/>
      </c>
      <c r="G22" t="inlineStr">
        <is>
          <t>100% нормы</t>
        </is>
      </c>
    </row>
    <row r="23">
      <c r="A23" t="inlineStr">
        <is>
          <t>CHK.S03.DINNER</t>
        </is>
      </c>
      <c r="B23" t="inlineStr">
        <is>
          <t>Ужины = 50% завтраков</t>
        </is>
      </c>
      <c r="C23" t="n">
        <v>0</v>
      </c>
      <c r="D23">
        <f>ABS(SUM('02_КАЛЕНДАРЬ'!$U$5:$U$369)-SUM('02_КАЛЕНДАРЬ'!$R$5:$R$369)*'01_ВВОД'!$D$120)</f>
        <v/>
      </c>
      <c r="E23">
        <f>D23</f>
        <v/>
      </c>
      <c r="F23">
        <f>IF(ABS(E23)&lt;0.01,"OK","ОШИБКА")</f>
        <v/>
      </c>
      <c r="G23" t="inlineStr">
        <is>
          <t>Все 365 дней</t>
        </is>
      </c>
    </row>
    <row r="24">
      <c r="A24" t="inlineStr">
        <is>
          <t>CHK.S03.DINNER.REV</t>
        </is>
      </c>
      <c r="B24" t="inlineStr">
        <is>
          <t>Доходы ужинов связаны с календарём</t>
        </is>
      </c>
      <c r="C24" t="n">
        <v>0</v>
      </c>
      <c r="D24">
        <f>ABS('03_ДОХОДЫ'!P41-SUM('02_КАЛЕНДАРЬ'!$U$5:$U$369)*'01_ВВОД'!$D$121)</f>
        <v/>
      </c>
      <c r="E24">
        <f>D24</f>
        <v/>
      </c>
      <c r="F24">
        <f>IF(ABS(E24)&lt;0.01,"OK","ОШИБКА")</f>
        <v/>
      </c>
      <c r="G24" t="inlineStr">
        <is>
          <t>Годовая сверка</t>
        </is>
      </c>
    </row>
    <row r="25">
      <c r="A25" t="inlineStr">
        <is>
          <t>CHK.S03.BASE</t>
        </is>
      </c>
      <c r="B25" t="inlineStr">
        <is>
          <t>Базовый файл не перезаписан</t>
        </is>
      </c>
      <c r="C25" t="inlineStr">
        <is>
          <t>Отдельный сценарий</t>
        </is>
      </c>
      <c r="D25" t="inlineStr">
        <is>
          <t>S03</t>
        </is>
      </c>
      <c r="E25" t="n">
        <v>0</v>
      </c>
      <c r="F25" t="inlineStr">
        <is>
          <t>OK</t>
        </is>
      </c>
      <c r="G25" t="inlineStr">
        <is>
          <t>Отдельное имя файла сценария S03</t>
        </is>
      </c>
    </row>
    <row r="26">
      <c r="A26" t="inlineStr">
        <is>
          <t>CHK.S03.DINNER.COGS</t>
        </is>
      </c>
      <c r="B26" t="inlineStr">
        <is>
          <t>Food cost ужина связан с food cost a-la carte</t>
        </is>
      </c>
      <c r="C26" t="n">
        <v>0</v>
      </c>
      <c r="D26">
        <f>ABS('01_ВВОД'!$D$122-'01_ВВОД'!$D$24)</f>
        <v/>
      </c>
      <c r="E26">
        <f>D26-C26</f>
        <v/>
      </c>
      <c r="F26">
        <f>IF(ABS(E26)&lt;0.000001,"OK","ERROR")</f>
        <v/>
      </c>
      <c r="G26" t="inlineStr">
        <is>
          <t>S03_DINNER_COGS = ALA_COGS</t>
        </is>
      </c>
    </row>
    <row r="27">
      <c r="A27" t="inlineStr">
        <is>
          <t>ВНИМАНИЕ: чек ужина и OPEX требуют подтверждения. Food cost ужина связан с ALA_COGS и равен 30%.</t>
        </is>
      </c>
    </row>
  </sheetData>
  <mergeCells count="3">
    <mergeCell ref="A20:G20"/>
    <mergeCell ref="A2:G2"/>
    <mergeCell ref="A1:G1"/>
  </mergeCells>
  <conditionalFormatting sqref="F5:F18">
    <cfRule type="expression" priority="1" dxfId="5">
      <formula>F5="OK"</formula>
    </cfRule>
    <cfRule type="expression" priority="2" dxfId="6">
      <formula>F5="ОШИБКА"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style="174" min="1" max="1"/>
    <col width="20" customWidth="1" style="174" min="2" max="2"/>
    <col width="20" customWidth="1" style="174" min="3" max="3"/>
    <col width="20" customWidth="1" style="174" min="4" max="4"/>
    <col width="20" customWidth="1" style="174" min="5" max="5"/>
  </cols>
  <sheetData>
    <row r="1">
      <c r="A1" s="181" t="inlineStr">
        <is>
          <t>Сценарий S03 — сравнение с базовой моделью v0.1.0</t>
        </is>
      </c>
      <c r="B1" s="181" t="n"/>
      <c r="C1" s="181" t="n"/>
      <c r="D1" s="181" t="n"/>
      <c r="E1" s="181" t="n"/>
    </row>
    <row r="2">
      <c r="A2" s="182" t="inlineStr">
        <is>
          <t>Issue #9 | Ветка scenario/9-revised-dinner-pricing-and-opex</t>
        </is>
      </c>
      <c r="B2" s="182" t="n"/>
      <c r="C2" s="182" t="n"/>
      <c r="D2" s="182" t="n"/>
      <c r="E2" s="182" t="n"/>
    </row>
    <row r="3"/>
    <row r="4">
      <c r="A4" s="183" t="inlineStr">
        <is>
          <t>Показатель</t>
        </is>
      </c>
      <c r="B4" s="183" t="inlineStr">
        <is>
          <t>Базовая модель, руб.</t>
        </is>
      </c>
      <c r="C4" s="183" t="inlineStr">
        <is>
          <t>Сценарий S03, руб.</t>
        </is>
      </c>
      <c r="D4" s="183" t="inlineStr">
        <is>
          <t>Изменение, руб.</t>
        </is>
      </c>
      <c r="E4" s="183" t="inlineStr">
        <is>
          <t>Изменение, %</t>
        </is>
      </c>
    </row>
    <row r="5">
      <c r="A5" t="inlineStr">
        <is>
          <t>Доходы кафе</t>
        </is>
      </c>
      <c r="B5" s="204" t="n">
        <v>32989000</v>
      </c>
      <c r="C5" s="204">
        <f>'07_PNL_НАЛОГИ'!P6</f>
        <v/>
      </c>
      <c r="D5" s="204">
        <f>C5-B5</f>
        <v/>
      </c>
      <c r="E5" s="205">
        <f>IF(B5=0,IF(C5=0,0,1),D5/ABS(B5))</f>
        <v/>
      </c>
    </row>
    <row r="6">
      <c r="A6" t="inlineStr">
        <is>
          <t>Доходы банкетов</t>
        </is>
      </c>
      <c r="B6" s="204" t="n">
        <v>3600000</v>
      </c>
      <c r="C6" s="204">
        <f>'07_PNL_НАЛОГИ'!P25</f>
        <v/>
      </c>
      <c r="D6" s="204">
        <f>C6-B6</f>
        <v/>
      </c>
      <c r="E6" s="205">
        <f>IF(B6=0,IF(C6=0,0,1),D6/ABS(B6))</f>
        <v/>
      </c>
    </row>
    <row r="7">
      <c r="A7" t="inlineStr">
        <is>
          <t>Совокупные доходы</t>
        </is>
      </c>
      <c r="B7" s="204" t="n">
        <v>36589000</v>
      </c>
      <c r="C7" s="204">
        <f>'07_PNL_НАЛОГИ'!P33</f>
        <v/>
      </c>
      <c r="D7" s="204">
        <f>C7-B7</f>
        <v/>
      </c>
      <c r="E7" s="205">
        <f>IF(B7=0,IF(C7=0,0,1),D7/ABS(B7))</f>
        <v/>
      </c>
    </row>
    <row r="8">
      <c r="A8" t="inlineStr">
        <is>
          <t>Себестоимость кафе</t>
        </is>
      </c>
      <c r="B8" s="204" t="n">
        <v>11769707.14285714</v>
      </c>
      <c r="C8" s="204">
        <f>'07_PNL_НАЛОГИ'!P7</f>
        <v/>
      </c>
      <c r="D8" s="204">
        <f>C8-B8</f>
        <v/>
      </c>
      <c r="E8" s="205">
        <f>IF(B8=0,IF(C8=0,0,1),D8/ABS(B8))</f>
        <v/>
      </c>
    </row>
    <row r="9">
      <c r="A9" t="inlineStr">
        <is>
          <t>Маржинальный доход кафе</t>
        </is>
      </c>
      <c r="B9" s="204" t="n">
        <v>19015882.85714286</v>
      </c>
      <c r="C9" s="204">
        <f>'07_PNL_НАЛОГИ'!P10</f>
        <v/>
      </c>
      <c r="D9" s="204">
        <f>C9-B9</f>
        <v/>
      </c>
      <c r="E9" s="205">
        <f>IF(B9=0,IF(C9=0,0,1),D9/ABS(B9))</f>
        <v/>
      </c>
    </row>
    <row r="10">
      <c r="A10" t="inlineStr">
        <is>
          <t>GOP кафе</t>
        </is>
      </c>
      <c r="B10" s="204" t="n">
        <v>-9063186.10837438</v>
      </c>
      <c r="C10" s="204">
        <f>'07_PNL_НАЛОГИ'!P18</f>
        <v/>
      </c>
      <c r="D10" s="204">
        <f>C10-B10</f>
        <v/>
      </c>
      <c r="E10" s="205">
        <f>IF(B10=0,IF(C10=0,0,1),D10/ABS(B10))</f>
        <v/>
      </c>
    </row>
    <row r="11">
      <c r="A11" t="inlineStr">
        <is>
          <t>Чистый результат кафе</t>
        </is>
      </c>
      <c r="B11" s="204" t="n">
        <v>-10463876.10837438</v>
      </c>
      <c r="C11" s="204">
        <f>'07_PNL_НАЛОГИ'!P40</f>
        <v/>
      </c>
      <c r="D11" s="204">
        <f>C11-B11</f>
        <v/>
      </c>
      <c r="E11" s="205">
        <f>IF(B11=0,IF(C11=0,0,1),D11/ABS(B11))</f>
        <v/>
      </c>
    </row>
    <row r="12">
      <c r="A12" t="inlineStr">
        <is>
          <t>Чистый результат банкетов</t>
        </is>
      </c>
      <c r="B12" s="204" t="n">
        <v>1710000</v>
      </c>
      <c r="C12" s="204">
        <f>'07_PNL_НАЛОГИ'!P41</f>
        <v/>
      </c>
      <c r="D12" s="204">
        <f>C12-B12</f>
        <v/>
      </c>
      <c r="E12" s="205">
        <f>IF(B12=0,IF(C12=0,0,1),D12/ABS(B12))</f>
        <v/>
      </c>
    </row>
    <row r="13">
      <c r="A13" t="inlineStr">
        <is>
          <t>Чистая прибыль проекта</t>
        </is>
      </c>
      <c r="B13" s="204" t="n">
        <v>-8753876.108374383</v>
      </c>
      <c r="C13" s="204">
        <f>'07_PNL_НАЛОГИ'!P42</f>
        <v/>
      </c>
      <c r="D13" s="204">
        <f>C13-B13</f>
        <v/>
      </c>
      <c r="E13" s="205">
        <f>IF(B13=0,IF(C13=0,0,1),D13/ABS(B13))</f>
        <v/>
      </c>
    </row>
    <row r="14">
      <c r="A14" t="inlineStr">
        <is>
          <t>Упущенная выручка кафе</t>
        </is>
      </c>
      <c r="B14" s="204" t="n">
        <v>6082000</v>
      </c>
      <c r="C14" s="204">
        <f>'03_ДОХОДЫ'!P30</f>
        <v/>
      </c>
      <c r="D14" s="204">
        <f>C14-B14</f>
        <v/>
      </c>
      <c r="E14" s="205">
        <f>IF(B14=0,IF(C14=0,0,1),D14/ABS(B14))</f>
        <v/>
      </c>
    </row>
    <row r="15">
      <c r="A15" t="inlineStr">
        <is>
          <t>Доходы ужинов</t>
        </is>
      </c>
      <c r="B15" s="204" t="n">
        <v>0</v>
      </c>
      <c r="C15" s="204">
        <f>'03_ДОХОДЫ'!P41</f>
        <v/>
      </c>
      <c r="D15" s="204">
        <f>C15-B15</f>
        <v/>
      </c>
      <c r="E15" s="205">
        <f>IF(B15=0,IF(C15=0,0,1),D15/ABS(B15))</f>
        <v/>
      </c>
    </row>
    <row r="16"/>
    <row r="17"/>
    <row r="18">
      <c r="A18" t="inlineStr">
        <is>
          <t>Ключевые правила S03</t>
        </is>
      </c>
      <c r="B18" t="inlineStr">
        <is>
          <t>Завтраки 100%</t>
        </is>
      </c>
      <c r="C18" t="inlineStr">
        <is>
          <t>Бизнес-ланч 100%</t>
        </is>
      </c>
      <c r="D18" t="inlineStr">
        <is>
          <t>А-ля карт 20%</t>
        </is>
      </c>
      <c r="E18" t="inlineStr">
        <is>
          <t>Доставка/самовывоз 100%</t>
        </is>
      </c>
    </row>
    <row r="19">
      <c r="A19" t="inlineStr">
        <is>
          <t>Ужины гостиницы</t>
        </is>
      </c>
      <c r="B19" t="inlineStr">
        <is>
          <t>50% завтраков</t>
        </is>
      </c>
      <c r="C19" t="inlineStr">
        <is>
          <t>Ежедневно</t>
        </is>
      </c>
      <c r="D19" t="inlineStr">
        <is>
          <t>Включая банкеты</t>
        </is>
      </c>
      <c r="E19" t="inlineStr">
        <is>
          <t>Редактируемые inputs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style="174" min="1" max="1"/>
    <col width="32" customWidth="1" style="174" min="2" max="2"/>
    <col width="17" customWidth="1" style="174" min="3" max="3"/>
    <col width="18" customWidth="1" style="174" min="4" max="4"/>
    <col width="17" customWidth="1" style="174" min="5" max="5"/>
    <col width="20" customWidth="1" style="174" min="6" max="6"/>
    <col width="64" customWidth="1" style="174" min="7" max="7"/>
  </cols>
  <sheetData>
    <row r="1">
      <c r="A1" s="206" t="inlineStr">
        <is>
          <t>Сравнение сценариев S02 и S03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07" t="inlineStr">
        <is>
          <t>S03 повышает чек ужина, связывает food cost ужина с a-la carte и пересматривает OPEX.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208" t="inlineStr">
        <is>
          <t>Показатель</t>
        </is>
      </c>
      <c r="B4" s="208" t="inlineStr">
        <is>
          <t>S02, руб.</t>
        </is>
      </c>
      <c r="C4" s="208" t="inlineStr">
        <is>
          <t>S03, руб.</t>
        </is>
      </c>
      <c r="D4" s="208" t="inlineStr">
        <is>
          <t>Изменение, руб.</t>
        </is>
      </c>
      <c r="E4" s="208" t="inlineStr">
        <is>
          <t>Изменение, %</t>
        </is>
      </c>
      <c r="F4" s="208" t="n"/>
      <c r="G4" s="208" t="n"/>
    </row>
    <row r="5">
      <c r="A5" s="209" t="inlineStr">
        <is>
          <t>Доходы кафе</t>
        </is>
      </c>
      <c r="B5" s="209" t="n">
        <v>38497700</v>
      </c>
      <c r="C5" s="209">
        <f>'07_PNL_НАЛОГИ'!P6</f>
        <v/>
      </c>
      <c r="D5" s="209">
        <f>C5-B5</f>
        <v/>
      </c>
      <c r="E5" s="209">
        <f>IF(B5=0,0,D5/ABS(B5))</f>
        <v/>
      </c>
      <c r="F5" s="209" t="n"/>
      <c r="G5" s="209" t="n"/>
    </row>
    <row r="6">
      <c r="A6" s="209" t="inlineStr">
        <is>
          <t>Доходы банкетов</t>
        </is>
      </c>
      <c r="B6" s="209" t="n">
        <v>3600000</v>
      </c>
      <c r="C6" s="209">
        <f>'07_PNL_НАЛОГИ'!P25</f>
        <v/>
      </c>
      <c r="D6" s="209">
        <f>C6-B6</f>
        <v/>
      </c>
      <c r="E6" s="209">
        <f>IF(B6=0,0,D6/ABS(B6))</f>
        <v/>
      </c>
      <c r="F6" s="209" t="n"/>
      <c r="G6" s="209" t="n"/>
    </row>
    <row r="7">
      <c r="A7" s="209" t="inlineStr">
        <is>
          <t>Совокупные доходы</t>
        </is>
      </c>
      <c r="B7" s="209" t="n">
        <v>42097700</v>
      </c>
      <c r="C7" s="209">
        <f>'07_PNL_НАЛОГИ'!P33</f>
        <v/>
      </c>
      <c r="D7" s="209">
        <f>C7-B7</f>
        <v/>
      </c>
      <c r="E7" s="209">
        <f>IF(B7=0,0,D7/ABS(B7))</f>
        <v/>
      </c>
      <c r="F7" s="209" t="n"/>
      <c r="G7" s="209" t="n"/>
    </row>
    <row r="8">
      <c r="A8" s="209" t="inlineStr">
        <is>
          <t>Себестоимость кафе</t>
        </is>
      </c>
      <c r="B8" s="209" t="n">
        <v>14006708.48571429</v>
      </c>
      <c r="C8" s="209">
        <f>'07_PNL_НАЛОГИ'!P7</f>
        <v/>
      </c>
      <c r="D8" s="209">
        <f>C8-B8</f>
        <v/>
      </c>
      <c r="E8" s="209">
        <f>IF(B8=0,0,D8/ABS(B8))</f>
        <v/>
      </c>
      <c r="F8" s="209" t="n"/>
      <c r="G8" s="209" t="n"/>
    </row>
    <row r="9">
      <c r="A9" s="209" t="inlineStr">
        <is>
          <t>Маржинальный доход кафе</t>
        </is>
      </c>
      <c r="B9" s="209" t="n">
        <v>21864413.51428571</v>
      </c>
      <c r="C9" s="209">
        <f>'07_PNL_НАЛОГИ'!P10</f>
        <v/>
      </c>
      <c r="D9" s="209">
        <f>C9-B9</f>
        <v/>
      </c>
      <c r="E9" s="209">
        <f>IF(B9=0,0,D9/ABS(B9))</f>
        <v/>
      </c>
      <c r="F9" s="209" t="n"/>
      <c r="G9" s="209" t="n"/>
    </row>
    <row r="10">
      <c r="A10" s="209" t="inlineStr">
        <is>
          <t>OPEX кафе</t>
        </is>
      </c>
      <c r="B10" s="209" t="n">
        <v>4917000</v>
      </c>
      <c r="C10" s="209">
        <f>SUM('07_PNL_НАЛОГИ'!P12,'07_PNL_НАЛОГИ'!P14:P17)</f>
        <v/>
      </c>
      <c r="D10" s="209">
        <f>C10-B10</f>
        <v/>
      </c>
      <c r="E10" s="209">
        <f>IF(B10=0,0,D10/ABS(B10))</f>
        <v/>
      </c>
      <c r="F10" s="209" t="n"/>
      <c r="G10" s="209" t="n"/>
    </row>
    <row r="11">
      <c r="A11" s="209" t="inlineStr">
        <is>
          <t>GOP кафе</t>
        </is>
      </c>
      <c r="B11" s="209" t="n">
        <v>-6214655.451231526</v>
      </c>
      <c r="C11" s="209">
        <f>'07_PNL_НАЛОГИ'!P18</f>
        <v/>
      </c>
      <c r="D11" s="209">
        <f>C11-B11</f>
        <v/>
      </c>
      <c r="E11" s="209">
        <f>IF(B11=0,0,D11/ABS(B11))</f>
        <v/>
      </c>
      <c r="F11" s="209" t="n"/>
      <c r="G11" s="209" t="n"/>
    </row>
    <row r="12">
      <c r="A12" s="209" t="inlineStr">
        <is>
          <t>Прибыль проекта до налога</t>
        </is>
      </c>
      <c r="B12" s="209" t="n">
        <v>-5539455.451231525</v>
      </c>
      <c r="C12" s="209">
        <f>'07_PNL_НАЛОГИ'!P34</f>
        <v/>
      </c>
      <c r="D12" s="209">
        <f>C12-B12</f>
        <v/>
      </c>
      <c r="E12" s="209">
        <f>IF(B12=0,0,D12/ABS(B12))</f>
        <v/>
      </c>
      <c r="F12" s="209" t="n"/>
      <c r="G12" s="209" t="n"/>
    </row>
    <row r="13">
      <c r="A13" s="209" t="inlineStr">
        <is>
          <t>Налог к уплате</t>
        </is>
      </c>
      <c r="B13" s="209" t="n">
        <v>420977</v>
      </c>
      <c r="C13" s="209">
        <f>'07_PNL_НАЛОГИ'!P37</f>
        <v/>
      </c>
      <c r="D13" s="209">
        <f>C13-B13</f>
        <v/>
      </c>
      <c r="E13" s="209">
        <f>IF(B13=0,0,D13/ABS(B13))</f>
        <v/>
      </c>
      <c r="F13" s="209" t="n"/>
      <c r="G13" s="209" t="n"/>
    </row>
    <row r="14">
      <c r="A14" s="209" t="inlineStr">
        <is>
          <t>Чистая прибыль проекта</t>
        </is>
      </c>
      <c r="B14" s="209" t="n">
        <v>-5960432.451231525</v>
      </c>
      <c r="C14" s="209">
        <f>'07_PNL_НАЛОГИ'!P42</f>
        <v/>
      </c>
      <c r="D14" s="209">
        <f>C14-B14</f>
        <v/>
      </c>
      <c r="E14" s="209">
        <f>IF(B14=0,0,D14/ABS(B14))</f>
        <v/>
      </c>
      <c r="F14" s="209" t="n"/>
      <c r="G14" s="209" t="n"/>
    </row>
    <row r="15">
      <c r="A15" s="209" t="inlineStr">
        <is>
          <t>Доходы ужинов</t>
        </is>
      </c>
      <c r="B15" s="209" t="n">
        <v>2007500</v>
      </c>
      <c r="C15" s="209">
        <f>'07_PNL_НАЛОГИ'!P21</f>
        <v/>
      </c>
      <c r="D15" s="209">
        <f>C15-B15</f>
        <v/>
      </c>
      <c r="E15" s="209">
        <f>IF(B15=0,0,D15/ABS(B15))</f>
        <v/>
      </c>
      <c r="F15" s="209" t="n"/>
      <c r="G15" s="209" t="n"/>
    </row>
    <row r="16">
      <c r="A16" s="209" t="inlineStr">
        <is>
          <t>Себестоимость ужинов</t>
        </is>
      </c>
      <c r="B16" s="209" t="n">
        <v>1003750</v>
      </c>
      <c r="C16" s="209">
        <f>'07_PNL_НАЛОГИ'!P22</f>
        <v/>
      </c>
      <c r="D16" s="209">
        <f>C16-B16</f>
        <v/>
      </c>
      <c r="E16" s="209">
        <f>IF(B16=0,0,D16/ABS(B16))</f>
        <v/>
      </c>
      <c r="F16" s="209" t="n"/>
      <c r="G16" s="209" t="n"/>
    </row>
    <row r="19">
      <c r="A19" s="210" t="inlineStr">
        <is>
          <t>Код input</t>
        </is>
      </c>
      <c r="B19" s="210" t="inlineStr">
        <is>
          <t>Параметр</t>
        </is>
      </c>
      <c r="C19" s="210" t="inlineStr">
        <is>
          <t>S02</t>
        </is>
      </c>
      <c r="D19" s="210" t="inlineStr">
        <is>
          <t>S03</t>
        </is>
      </c>
      <c r="E19" s="210" t="inlineStr">
        <is>
          <t>Изменение</t>
        </is>
      </c>
      <c r="F19" s="210" t="inlineStr">
        <is>
          <t>Статус</t>
        </is>
      </c>
      <c r="G19" s="210" t="inlineStr">
        <is>
          <t>Комментарий</t>
        </is>
      </c>
    </row>
    <row r="20">
      <c r="A20" s="209" t="inlineStr">
        <is>
          <t>CARPETS</t>
        </is>
      </c>
      <c r="B20" s="209" t="inlineStr">
        <is>
          <t>Ковры</t>
        </is>
      </c>
      <c r="C20" s="209" t="n">
        <v>12000</v>
      </c>
      <c r="D20" s="209" t="n">
        <v>5000</v>
      </c>
      <c r="E20" s="209" t="n">
        <v>-7000</v>
      </c>
      <c r="F20" s="209" t="inlineStr">
        <is>
          <t>Допущение</t>
        </is>
      </c>
      <c r="G20" s="209" t="inlineStr">
        <is>
          <t>Изменение зафиксировано в S03 v0.1.4.</t>
        </is>
      </c>
    </row>
    <row r="21">
      <c r="A21" s="209" t="inlineStr">
        <is>
          <t>CASH_RENT</t>
        </is>
      </c>
      <c r="B21" s="209" t="inlineStr">
        <is>
          <t>Аренда касс</t>
        </is>
      </c>
      <c r="C21" s="209" t="n">
        <v>9000</v>
      </c>
      <c r="D21" s="209" t="n">
        <v>0</v>
      </c>
      <c r="E21" s="209" t="n">
        <v>-9000</v>
      </c>
      <c r="F21" s="209" t="inlineStr">
        <is>
          <t>Подтверждено</t>
        </is>
      </c>
      <c r="G21" s="209" t="inlineStr">
        <is>
          <t>Изменение зафиксировано в S03 v0.1.4.</t>
        </is>
      </c>
    </row>
    <row r="22">
      <c r="A22" s="209" t="inlineStr">
        <is>
          <t>COFFEE_RENT</t>
        </is>
      </c>
      <c r="B22" s="209" t="inlineStr">
        <is>
          <t>Аренда кофемашины</t>
        </is>
      </c>
      <c r="C22" s="209" t="n">
        <v>10000</v>
      </c>
      <c r="D22" s="209" t="n">
        <v>0</v>
      </c>
      <c r="E22" s="209" t="n">
        <v>-10000</v>
      </c>
      <c r="F22" s="209" t="inlineStr">
        <is>
          <t>Подтверждено</t>
        </is>
      </c>
      <c r="G22" s="209" t="inlineStr">
        <is>
          <t>Изменение зафиксировано в S03 v0.1.4.</t>
        </is>
      </c>
    </row>
    <row r="23">
      <c r="A23" s="209" t="inlineStr">
        <is>
          <t>EQUIP_MAINT</t>
        </is>
      </c>
      <c r="B23" s="209" t="inlineStr">
        <is>
          <t>Обслуживание оборудования</t>
        </is>
      </c>
      <c r="C23" s="209" t="n">
        <v>10000</v>
      </c>
      <c r="D23" s="209" t="n">
        <v>0</v>
      </c>
      <c r="E23" s="209" t="n">
        <v>-10000</v>
      </c>
      <c r="F23" s="209" t="inlineStr">
        <is>
          <t>Подтверждено</t>
        </is>
      </c>
      <c r="G23" s="209" t="inlineStr">
        <is>
          <t>Изменение зафиксировано в S03 v0.1.4.</t>
        </is>
      </c>
    </row>
    <row r="24">
      <c r="A24" s="209" t="inlineStr">
        <is>
          <t>GREASE</t>
        </is>
      </c>
      <c r="B24" s="209" t="inlineStr">
        <is>
          <t>Жироуловитель</t>
        </is>
      </c>
      <c r="C24" s="209" t="n">
        <v>8000</v>
      </c>
      <c r="D24" s="209" t="n">
        <v>0</v>
      </c>
      <c r="E24" s="209" t="n">
        <v>-8000</v>
      </c>
      <c r="F24" s="209" t="inlineStr">
        <is>
          <t>Допущение</t>
        </is>
      </c>
      <c r="G24" s="209" t="inlineStr">
        <is>
          <t>Изменение зафиксировано в S03 v0.1.4.</t>
        </is>
      </c>
    </row>
    <row r="25">
      <c r="A25" s="209" t="inlineStr">
        <is>
          <t>LAUNDRY</t>
        </is>
      </c>
      <c r="B25" s="209" t="inlineStr">
        <is>
          <t>Стирка</t>
        </is>
      </c>
      <c r="C25" s="209" t="n">
        <v>15000</v>
      </c>
      <c r="D25" s="209" t="n">
        <v>0</v>
      </c>
      <c r="E25" s="209" t="n">
        <v>-15000</v>
      </c>
      <c r="F25" s="209" t="inlineStr">
        <is>
          <t>Допущение</t>
        </is>
      </c>
      <c r="G25" s="209" t="inlineStr">
        <is>
          <t>Изменение зафиксировано в S03 v0.1.4.</t>
        </is>
      </c>
    </row>
    <row r="26">
      <c r="A26" s="209" t="inlineStr">
        <is>
          <t>LEGAL</t>
        </is>
      </c>
      <c r="B26" s="209" t="inlineStr">
        <is>
          <t>Юридические услуги</t>
        </is>
      </c>
      <c r="C26" s="209" t="n">
        <v>10000</v>
      </c>
      <c r="D26" s="209" t="n">
        <v>0</v>
      </c>
      <c r="E26" s="209" t="n">
        <v>-10000</v>
      </c>
      <c r="F26" s="209" t="inlineStr">
        <is>
          <t>Допущение</t>
        </is>
      </c>
      <c r="G26" s="209" t="inlineStr">
        <is>
          <t>Изменение зафиксировано в S03 v0.1.4.</t>
        </is>
      </c>
    </row>
    <row r="27">
      <c r="A27" s="209" t="inlineStr">
        <is>
          <t>S03_DINNER_CHECK</t>
        </is>
      </c>
      <c r="B27" s="209" t="inlineStr">
        <is>
          <t>Средний чек ужина</t>
        </is>
      </c>
      <c r="C27" s="209" t="n">
        <v>550</v>
      </c>
      <c r="D27" s="209" t="n">
        <v>1000</v>
      </c>
      <c r="E27" s="209" t="n">
        <v>450</v>
      </c>
      <c r="F27" s="209" t="inlineStr">
        <is>
          <t>Рабочее допущение</t>
        </is>
      </c>
      <c r="G27" s="209" t="inlineStr">
        <is>
          <t>Изменение зафиксировано в S03 v0.1.4.</t>
        </is>
      </c>
    </row>
    <row r="28">
      <c r="A28" s="209" t="inlineStr">
        <is>
          <t>SES</t>
        </is>
      </c>
      <c r="B28" s="209" t="inlineStr">
        <is>
          <t>СЭС</t>
        </is>
      </c>
      <c r="C28" s="209" t="n">
        <v>15000</v>
      </c>
      <c r="D28" s="209" t="n">
        <v>2000</v>
      </c>
      <c r="E28" s="209" t="n">
        <v>-13000</v>
      </c>
      <c r="F28" s="209" t="inlineStr">
        <is>
          <t>Подтверждено</t>
        </is>
      </c>
      <c r="G28" s="209" t="inlineStr">
        <is>
          <t>Изменение зафиксировано в S03 v0.1.4.</t>
        </is>
      </c>
    </row>
    <row r="29">
      <c r="A29" s="209" t="inlineStr">
        <is>
          <t>STAFF_MEALS</t>
        </is>
      </c>
      <c r="B29" s="209" t="inlineStr">
        <is>
          <t>Питание персонала</t>
        </is>
      </c>
      <c r="C29" s="209" t="n">
        <v>0</v>
      </c>
      <c r="D29" s="209" t="n">
        <v>15000</v>
      </c>
      <c r="E29" s="209" t="n">
        <v>15000</v>
      </c>
      <c r="F29" s="209" t="inlineStr">
        <is>
          <t>Требует уточнения</t>
        </is>
      </c>
      <c r="G29" s="209" t="inlineStr">
        <is>
          <t>Изменение зафиксировано в S03 v0.1.4.</t>
        </is>
      </c>
    </row>
    <row r="30">
      <c r="A30" s="209" t="inlineStr">
        <is>
          <t>VENT</t>
        </is>
      </c>
      <c r="B30" s="209" t="inlineStr">
        <is>
          <t>Вентиляция</t>
        </is>
      </c>
      <c r="C30" s="209" t="n">
        <v>6000</v>
      </c>
      <c r="D30" s="209" t="n">
        <v>2000</v>
      </c>
      <c r="E30" s="209" t="n">
        <v>-4000</v>
      </c>
      <c r="F30" s="209" t="inlineStr">
        <is>
          <t>Подтверждено</t>
        </is>
      </c>
      <c r="G30" s="209" t="inlineStr">
        <is>
          <t>Изменение зафиксировано в S03 v0.1.4.</t>
        </is>
      </c>
    </row>
    <row r="31">
      <c r="A31" s="209" t="inlineStr">
        <is>
          <t>S03_DINNER_COGS</t>
        </is>
      </c>
      <c r="B31" s="209" t="inlineStr">
        <is>
          <t>Food cost ужина</t>
        </is>
      </c>
      <c r="C31" s="209" t="n">
        <v>0.5</v>
      </c>
      <c r="D31" s="209" t="n">
        <v>0.3</v>
      </c>
      <c r="E31" s="209" t="n">
        <v>-0.2</v>
      </c>
      <c r="F31" s="209" t="inlineStr">
        <is>
          <t>Расчёт / связано</t>
        </is>
      </c>
      <c r="G31" s="209" t="inlineStr">
        <is>
          <t>Изменение зафиксировано в S03 v0.1.4.</t>
        </is>
      </c>
    </row>
    <row r="33">
      <c r="A33" s="208" t="inlineStr">
        <is>
          <t>Техническая проверка</t>
        </is>
      </c>
      <c r="B33" s="208" t="inlineStr">
        <is>
          <t>S02</t>
        </is>
      </c>
      <c r="C33" s="208" t="inlineStr">
        <is>
          <t>Source v0.2.0</t>
        </is>
      </c>
      <c r="D33" s="208" t="inlineStr">
        <is>
          <t>Публикационный S03</t>
        </is>
      </c>
      <c r="E33" s="208" t="n"/>
      <c r="F33" s="208" t="n"/>
      <c r="G33" s="208" t="n"/>
    </row>
    <row r="34">
      <c r="A34" s="209" t="inlineStr">
        <is>
          <t>Количество формул</t>
        </is>
      </c>
      <c r="B34" s="209" t="n">
        <v>6588</v>
      </c>
      <c r="C34" s="209" t="n">
        <v>6588</v>
      </c>
      <c r="D34" s="209" t="n">
        <v>6589</v>
      </c>
      <c r="E34" s="209" t="n"/>
      <c r="F34" s="209" t="n"/>
      <c r="G34" s="209" t="n"/>
    </row>
    <row r="35">
      <c r="A35" s="209" t="inlineStr">
        <is>
          <t>Контрольные строки</t>
        </is>
      </c>
      <c r="B35" s="209" t="n">
        <v>21</v>
      </c>
      <c r="C35" s="209" t="n">
        <v>21</v>
      </c>
      <c r="D35" s="209" t="n">
        <v>22</v>
      </c>
      <c r="E35" s="209" t="n"/>
      <c r="F35" s="209" t="n"/>
      <c r="G35" s="209" t="n"/>
    </row>
    <row r="36">
      <c r="A36" s="209" t="inlineStr">
        <is>
          <t>Формульные ошибки</t>
        </is>
      </c>
      <c r="B36" s="209" t="inlineStr">
        <is>
          <t>0</t>
        </is>
      </c>
      <c r="C36" s="209" t="inlineStr">
        <is>
          <t>0</t>
        </is>
      </c>
      <c r="D36" s="209" t="inlineStr">
        <is>
          <t>0</t>
        </is>
      </c>
      <c r="E36" s="209" t="n"/>
      <c r="F36" s="209" t="n"/>
      <c r="G36" s="209" t="n"/>
    </row>
  </sheetData>
  <autoFilter ref="A19:G3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2026-07-17T08:47:39Z</dcterms:created>
  <dcterms:modified xsi:type="dcterms:W3CDTF">2026-07-17T08:47:39Z</dcterms:modified>
</cp:coreProperties>
</file>