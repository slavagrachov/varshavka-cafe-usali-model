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b29a14044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РЕЗЮМЕ" sheetId="1" r:id="Rb8a7e905d6744237"/>
    <x:sheet xmlns:r="http://schemas.openxmlformats.org/officeDocument/2006/relationships" name="01_ВВОД" sheetId="2" r:id="R2c24666be3d94b00"/>
    <x:sheet xmlns:r="http://schemas.openxmlformats.org/officeDocument/2006/relationships" name="02_КАЛЕНДАРЬ" sheetId="3" r:id="R66157b91cb7347b5"/>
    <x:sheet xmlns:r="http://schemas.openxmlformats.org/officeDocument/2006/relationships" name="03_ДОХОДЫ" sheetId="4" r:id="Rd52bfaee3430470b"/>
    <x:sheet xmlns:r="http://schemas.openxmlformats.org/officeDocument/2006/relationships" name="04_СЕБЕСТОИМОСТЬ" sheetId="5" r:id="R2e498195cd2b4ffd"/>
    <x:sheet xmlns:r="http://schemas.openxmlformats.org/officeDocument/2006/relationships" name="05_ФОТ" sheetId="6" r:id="R27e69086957e4a9c"/>
    <x:sheet xmlns:r="http://schemas.openxmlformats.org/officeDocument/2006/relationships" name="06_OPEX_USALI" sheetId="7" r:id="R88486be932434288"/>
    <x:sheet xmlns:r="http://schemas.openxmlformats.org/officeDocument/2006/relationships" name="07_PNL_НАЛОГИ" sheetId="8" r:id="R96e19468363e4dbd"/>
    <x:sheet xmlns:r="http://schemas.openxmlformats.org/officeDocument/2006/relationships" name="08_ПРОВЕРКИ" sheetId="9" r:id="Rfa19c3ae80194824"/>
    <x:sheet xmlns:r="http://schemas.openxmlformats.org/officeDocument/2006/relationships" name="09_СРАВНЕНИЕ_S03" sheetId="10" r:id="Rafc464448a8c41bc"/>
    <x:sheet xmlns:r="http://schemas.openxmlformats.org/officeDocument/2006/relationships" name="10_СРАВНЕНИЕ_S02_S03" sheetId="11" r:id="R34d4cc699f2740c0"/>
    <x:sheet xmlns:r="http://schemas.openxmlformats.org/officeDocument/2006/relationships" name="11_ПОСУДА" sheetId="12" r:id="R006582c8aad34429"/>
    <x:sheet xmlns:r="http://schemas.openxmlformats.org/officeDocument/2006/relationships" name="12_ЦЕНТР_ИНВЕСТИЦИЙ" sheetId="13" r:id="Rdf9964657ff940df"/>
    <x:sheet xmlns:r="http://schemas.openxmlformats.org/officeDocument/2006/relationships" name="13_ИЗМЕНЕНИЯ_v0.1.6" sheetId="14" r:id="R613475c91d5d4e94"/>
    <x:sheet xmlns:r="http://schemas.openxmlformats.org/officeDocument/2006/relationships" name="14_ПРОГРАММА_КУХНИ" sheetId="15" r:id="R66c36aa73d40426e"/>
    <x:sheet xmlns:r="http://schemas.openxmlformats.org/officeDocument/2006/relationships" name="15_ЗАВТРАК_v0.1.7" sheetId="16" r:id="R3704e41d7176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164" formatCode="dd.mm.yyyy"/>
    <x:numFmt numFmtId="165" formatCode="#,##0;[Red](#,##0);-"/>
    <x:numFmt numFmtId="166" formatCode="0.0%;[Red](0.0%);-"/>
    <x:numFmt numFmtId="167" formatCode="0.0"/>
    <x:numFmt numFmtId="200" formatCode="#,##0"/>
    <x:numFmt numFmtId="201" formatCode="0.00"/>
    <x:numFmt numFmtId="202" formatCode="0.0%"/>
    <x:numFmt numFmtId="203" formatCode="#,##0.0;[Red](#,##0.0);-"/>
    <x:numFmt numFmtId="204" formatCode="#,##0.00;[Red](#,##0.00);-"/>
    <x:numFmt numFmtId="205" formatCode="#,##0.000;[Red](#,##0.000);-"/>
    <x:numFmt numFmtId="206" formatCode="0.00%"/>
    <x:numFmt numFmtId="207" formatCode="#,##0.0000;[Red](#,##0.0000);-"/>
  </x:numFmts>
  <x:fonts count="2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FFFFFF"/>
      <x:name val="Carlito"/>
    </x:font>
    <x:font>
      <x:b/>
      <x:sz val="11"/>
      <x:name val="Carlito"/>
    </x:font>
    <x:font>
      <x:b/>
      <x:sz val="11"/>
      <x:color rgb="FF008000"/>
      <x:name val="Carlito"/>
    </x:font>
    <x:font>
      <x:b/>
      <x:sz val="11"/>
      <x:color rgb="FF9C6500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6"/>
      <x:color rgb="FFFFFFFF"/>
    </x:font>
    <x:font>
      <x:b/>
      <x:color rgb="FFFFFFFF"/>
    </x:font>
    <x:font>
      <x:i/>
      <x:sz val="10"/>
      <x:color rgb="FF595959"/>
      <x:name val="Carlito"/>
    </x:font>
    <x:font>
      <x:b/>
      <x:sz val="10"/>
      <x:color rgb="FF1F1F1F"/>
      <x:name val="Carlito"/>
    </x:font>
    <x:font>
      <x:sz val="10"/>
      <x:name val="Carlito"/>
    </x:font>
    <x:font>
      <x:sz val="10"/>
      <x:color rgb="FF0563C1"/>
      <x:name val="Carlito"/>
    </x:font>
    <x:font>
      <x:b/>
      <x:sz val="10"/>
      <x:color rgb="FFFFFFFF"/>
      <x:name val="Carlito"/>
    </x:font>
    <x:font>
      <x:b/>
      <x:sz val="10"/>
      <x:color rgb="FF006100"/>
      <x:name val="Carlito"/>
    </x:font>
    <x:font>
      <x:i/>
      <x:sz val="11"/>
      <x:color rgb="FF17365D"/>
      <x:name val="Carlito"/>
    </x:font>
    <x:font>
      <x:b/>
      <x:sz val="16"/>
      <x:color rgb="FFFFFFFF"/>
      <x:name val="Arial"/>
    </x:font>
    <x:font>
      <x:i/>
      <x:sz val="11"/>
      <x:color rgb="FF17365D"/>
      <x:name val="Arial"/>
    </x:font>
    <x:font>
      <x:sz val="11"/>
      <x:name val="Arial"/>
    </x:font>
    <x:font>
      <x:b/>
      <x:sz val="11"/>
      <x:color rgb="FFFFFFFF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1"/>
  </x:cellStyleXfs>
  <x:cellXfs count="297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horizontal="center" wrapText="1"/>
    </x:xf>
    <x:xf numFmtId="0" fontId="3" fillId="3" borderId="0" xfId="0" applyAlignment="1">
      <x:alignment horizontal="center" vertical="center"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horizontal="center" wrapText="1"/>
    </x:xf>
    <x:xf numFmtId="0" fontId="3" fillId="3" borderId="1" xfId="0" applyAlignment="1">
      <x:alignment horizontal="center" vertical="center" wrapText="1"/>
    </x:xf>
    <x:xf numFmtId="0" fontId="4" fillId="0" borderId="0" xfId="0"/>
    <x:xf numFmtId="0" fontId="4" fillId="0" borderId="1" xfId="0"/>
    <x:xf numFmtId="0" fontId="5" fillId="0" borderId="0" xfId="0"/>
    <x:xf numFmtId="0" fontId="5" fillId="0" borderId="1" xfId="0"/>
    <x:xf numFmtId="0" fontId="5" fillId="4" borderId="0" xfId="0"/>
    <x:xf numFmtId="0" fontId="5" fillId="4" borderId="1" xfId="0"/>
    <x:xf numFmtId="0" fontId="4" fillId="5" borderId="0" xfId="0"/>
    <x:xf numFmtId="0" fontId="4" fillId="5" borderId="1" xfId="0"/>
    <x:xf numFmtId="0" fontId="4" fillId="6" borderId="0" xfId="0"/>
    <x:xf numFmtId="0" fontId="4" fillId="6" borderId="1" xfId="0"/>
    <x:xf numFmtId="164" fontId="4" fillId="5" borderId="0" xfId="0"/>
    <x:xf numFmtId="164" fontId="4" fillId="5" borderId="1" xfId="0"/>
    <x:xf numFmtId="164" fontId="4" fillId="0" borderId="0" xfId="0"/>
    <x:xf numFmtId="164" fontId="4" fillId="0" borderId="1" xfId="0"/>
    <x:xf numFmtId="165" fontId="4" fillId="5" borderId="0" xfId="0"/>
    <x:xf numFmtId="165" fontId="4" fillId="5" borderId="1" xfId="0"/>
    <x:xf numFmtId="165" fontId="5" fillId="4" borderId="0" xfId="0"/>
    <x:xf numFmtId="165" fontId="5" fillId="4" borderId="1" xfId="0"/>
    <x:xf numFmtId="166" fontId="4" fillId="5" borderId="0" xfId="0"/>
    <x:xf numFmtId="166" fontId="4" fillId="5" borderId="1" xfId="0"/>
    <x:xf numFmtId="166" fontId="4" fillId="0" borderId="0" xfId="0"/>
    <x:xf numFmtId="166" fontId="4" fillId="0" borderId="1" xfId="0"/>
    <x:xf numFmtId="166" fontId="4" fillId="6" borderId="0" xfId="0"/>
    <x:xf numFmtId="166" fontId="4" fillId="6" borderId="1" xfId="0"/>
    <x:xf numFmtId="166" fontId="5" fillId="4" borderId="0" xfId="0"/>
    <x:xf numFmtId="166" fontId="5" fillId="4" borderId="1" xfId="0"/>
    <x:xf numFmtId="165" fontId="4" fillId="6" borderId="0" xfId="0"/>
    <x:xf numFmtId="165" fontId="4" fillId="6" borderId="1" xfId="0"/>
    <x:xf numFmtId="0" fontId="0" fillId="0" borderId="0" xfId="0" applyAlignment="1">
      <x:alignment wrapText="1"/>
    </x:xf>
    <x:xf numFmtId="164" fontId="4" fillId="5" borderId="0" xfId="0" applyAlignment="1">
      <x:alignment wrapText="1"/>
    </x:xf>
    <x:xf numFmtId="164" fontId="4" fillId="0" borderId="0" xfId="0" applyAlignment="1">
      <x:alignment wrapText="1"/>
    </x:xf>
    <x:xf numFmtId="165" fontId="4" fillId="5" borderId="0" xfId="0" applyAlignment="1">
      <x:alignment wrapText="1"/>
    </x:xf>
    <x:xf numFmtId="165" fontId="5" fillId="4" borderId="0" xfId="0" applyAlignment="1">
      <x:alignment wrapText="1"/>
    </x:xf>
    <x:xf numFmtId="166" fontId="4" fillId="5" borderId="0" xfId="0" applyAlignment="1">
      <x:alignment wrapText="1"/>
    </x:xf>
    <x:xf numFmtId="166" fontId="4" fillId="0" borderId="0" xfId="0" applyAlignment="1">
      <x:alignment wrapText="1"/>
    </x:xf>
    <x:xf numFmtId="166" fontId="4" fillId="6" borderId="0" xfId="0" applyAlignment="1">
      <x:alignment wrapText="1"/>
    </x:xf>
    <x:xf numFmtId="166" fontId="5" fillId="4" borderId="0" xfId="0" applyAlignment="1">
      <x:alignment wrapText="1"/>
    </x:xf>
    <x:xf numFmtId="165" fontId="4" fillId="6" borderId="0" xfId="0" applyAlignment="1">
      <x:alignment wrapText="1"/>
    </x:xf>
    <x:xf numFmtId="0" fontId="0" fillId="0" borderId="1" xfId="0" applyAlignment="1">
      <x:alignment wrapText="1"/>
    </x:xf>
    <x:xf numFmtId="164" fontId="4" fillId="5" borderId="1" xfId="0" applyAlignment="1">
      <x:alignment wrapText="1"/>
    </x:xf>
    <x:xf numFmtId="164" fontId="4" fillId="0" borderId="1" xfId="0" applyAlignment="1">
      <x:alignment wrapText="1"/>
    </x:xf>
    <x:xf numFmtId="165" fontId="4" fillId="5" borderId="1" xfId="0" applyAlignment="1">
      <x:alignment wrapText="1"/>
    </x:xf>
    <x:xf numFmtId="165" fontId="5" fillId="4" borderId="1" xfId="0" applyAlignment="1">
      <x:alignment wrapText="1"/>
    </x:xf>
    <x:xf numFmtId="166" fontId="4" fillId="5" borderId="1" xfId="0" applyAlignment="1">
      <x:alignment wrapText="1"/>
    </x:xf>
    <x:xf numFmtId="166" fontId="4" fillId="0" borderId="1" xfId="0" applyAlignment="1">
      <x:alignment wrapText="1"/>
    </x:xf>
    <x:xf numFmtId="166" fontId="4" fillId="6" borderId="1" xfId="0" applyAlignment="1">
      <x:alignment wrapText="1"/>
    </x:xf>
    <x:xf numFmtId="166" fontId="5" fillId="4" borderId="1" xfId="0" applyAlignment="1">
      <x:alignment wrapText="1"/>
    </x:xf>
    <x:xf numFmtId="165" fontId="4" fillId="6" borderId="1" xfId="0" applyAlignment="1">
      <x:alignment wrapText="1"/>
    </x:xf>
    <x:xf numFmtId="164" fontId="0" fillId="0" borderId="0" xfId="0"/>
    <x:xf numFmtId="164" fontId="0" fillId="0" borderId="1" xfId="0"/>
    <x:xf numFmtId="165" fontId="0" fillId="0" borderId="0" xfId="0"/>
    <x:xf numFmtId="165" fontId="0" fillId="0" borderId="1" xfId="0"/>
    <x:xf numFmtId="165" fontId="0" fillId="6" borderId="0" xfId="0"/>
    <x:xf numFmtId="165" fontId="0" fillId="6" borderId="1" xfId="0"/>
    <x:xf numFmtId="165" fontId="0" fillId="5" borderId="0" xfId="0"/>
    <x:xf numFmtId="165" fontId="0" fillId="5" borderId="1" xfId="0"/>
    <x:xf numFmtId="165" fontId="6" fillId="0" borderId="0" xfId="0"/>
    <x:xf numFmtId="165" fontId="6" fillId="0" borderId="1" xfId="0"/>
    <x:xf numFmtId="164" fontId="0" fillId="0" borderId="0" xfId="0" applyAlignment="1">
      <x:alignment wrapText="1"/>
    </x:xf>
    <x:xf numFmtId="165" fontId="0" fillId="0" borderId="0" xfId="0" applyAlignment="1">
      <x:alignment wrapText="1"/>
    </x:xf>
    <x:xf numFmtId="165" fontId="6" fillId="0" borderId="0" xfId="0" applyAlignment="1">
      <x:alignment wrapText="1"/>
    </x:xf>
    <x:xf numFmtId="164" fontId="0" fillId="0" borderId="1" xfId="0" applyAlignment="1">
      <x:alignment wrapText="1"/>
    </x:xf>
    <x:xf numFmtId="165" fontId="0" fillId="0" borderId="1" xfId="0" applyAlignment="1">
      <x:alignment wrapText="1"/>
    </x:xf>
    <x:xf numFmtId="165" fontId="6" fillId="0" borderId="1" xfId="0" applyAlignment="1">
      <x:alignment wrapText="1"/>
    </x:xf>
    <x:xf numFmtId="0" fontId="7" fillId="0" borderId="0" xfId="0"/>
    <x:xf numFmtId="0" fontId="7" fillId="0" borderId="1" xfId="0"/>
    <x:xf numFmtId="0" fontId="3" fillId="3" borderId="0" xfId="0" applyAlignment="1">
      <x:alignment horizontal="left"/>
    </x:xf>
    <x:xf numFmtId="0" fontId="3" fillId="3" borderId="0" xfId="0" applyAlignment="1">
      <x:alignment horizontal="left" vertical="center"/>
    </x:xf>
    <x:xf numFmtId="0" fontId="3" fillId="3" borderId="1" xfId="0" applyAlignment="1">
      <x:alignment horizontal="left"/>
    </x:xf>
    <x:xf numFmtId="0" fontId="3" fillId="3" borderId="1" xfId="0" applyAlignment="1">
      <x:alignment horizontal="left" vertical="center"/>
    </x:xf>
    <x:xf numFmtId="0" fontId="0" fillId="7" borderId="0" xfId="0"/>
    <x:xf numFmtId="165" fontId="0" fillId="7" borderId="0" xfId="0"/>
    <x:xf numFmtId="0" fontId="8" fillId="7" borderId="0" xfId="0"/>
    <x:xf numFmtId="165" fontId="8" fillId="7" borderId="0" xfId="0"/>
    <x:xf numFmtId="0" fontId="0" fillId="7" borderId="1" xfId="0"/>
    <x:xf numFmtId="165" fontId="0" fillId="7" borderId="1" xfId="0"/>
    <x:xf numFmtId="0" fontId="8" fillId="7" borderId="1" xfId="0"/>
    <x:xf numFmtId="165" fontId="8" fillId="7" borderId="1" xfId="0"/>
    <x:xf numFmtId="0" fontId="0" fillId="8" borderId="0" xfId="0"/>
    <x:xf numFmtId="165" fontId="0" fillId="8" borderId="0" xfId="0"/>
    <x:xf numFmtId="0" fontId="8" fillId="8" borderId="0" xfId="0"/>
    <x:xf numFmtId="165" fontId="8" fillId="8" borderId="0" xfId="0"/>
    <x:xf numFmtId="0" fontId="0" fillId="8" borderId="1" xfId="0"/>
    <x:xf numFmtId="165" fontId="0" fillId="8" borderId="1" xfId="0"/>
    <x:xf numFmtId="0" fontId="8" fillId="8" borderId="1" xfId="0"/>
    <x:xf numFmtId="165" fontId="8" fillId="8" borderId="1" xfId="0"/>
    <x:xf numFmtId="165" fontId="9" fillId="7" borderId="0" xfId="0"/>
    <x:xf numFmtId="165" fontId="9" fillId="8" borderId="0" xfId="0"/>
    <x:xf numFmtId="165" fontId="9" fillId="7" borderId="1" xfId="0"/>
    <x:xf numFmtId="165" fontId="9" fillId="8" borderId="1" xfId="0"/>
    <x:xf numFmtId="0" fontId="8" fillId="0" borderId="0" xfId="0"/>
    <x:xf numFmtId="0" fontId="8" fillId="0" borderId="1" xfId="0"/>
    <x:xf numFmtId="0" fontId="3" fillId="3" borderId="0" xfId="0" applyAlignment="1">
      <x:alignment horizontal="left" vertical="center" wrapText="1"/>
    </x:xf>
    <x:xf numFmtId="0" fontId="8" fillId="0" borderId="0" xfId="0" applyAlignment="1">
      <x:alignment wrapText="1"/>
    </x:xf>
    <x:xf numFmtId="0" fontId="8" fillId="7" borderId="0" xfId="0" applyAlignment="1">
      <x:alignment wrapText="1"/>
    </x:xf>
    <x:xf numFmtId="165" fontId="9" fillId="7" borderId="0" xfId="0" applyAlignment="1">
      <x:alignment wrapText="1"/>
    </x:xf>
    <x:xf numFmtId="0" fontId="8" fillId="8" borderId="0" xfId="0" applyAlignment="1">
      <x:alignment wrapText="1"/>
    </x:xf>
    <x:xf numFmtId="165" fontId="9" fillId="8" borderId="0" xfId="0" applyAlignment="1">
      <x:alignment wrapText="1"/>
    </x:xf>
    <x:xf numFmtId="0" fontId="3" fillId="3" borderId="1" xfId="0" applyAlignment="1">
      <x:alignment horizontal="left" vertical="center" wrapText="1"/>
    </x:xf>
    <x:xf numFmtId="0" fontId="8" fillId="0" borderId="1" xfId="0" applyAlignment="1">
      <x:alignment wrapText="1"/>
    </x:xf>
    <x:xf numFmtId="0" fontId="8" fillId="7" borderId="1" xfId="0" applyAlignment="1">
      <x:alignment wrapText="1"/>
    </x:xf>
    <x:xf numFmtId="165" fontId="9" fillId="7" borderId="1" xfId="0" applyAlignment="1">
      <x:alignment wrapText="1"/>
    </x:xf>
    <x:xf numFmtId="0" fontId="8" fillId="8" borderId="1" xfId="0" applyAlignment="1">
      <x:alignment wrapText="1"/>
    </x:xf>
    <x:xf numFmtId="165" fontId="9" fillId="8" borderId="1" xfId="0" applyAlignment="1">
      <x:alignment wrapText="1"/>
    </x:xf>
    <x:xf numFmtId="165" fontId="6" fillId="8" borderId="0" xfId="0"/>
    <x:xf numFmtId="165" fontId="6" fillId="8" borderId="1" xfId="0"/>
    <x:xf numFmtId="165" fontId="6" fillId="7" borderId="0" xfId="0"/>
    <x:xf numFmtId="165" fontId="6" fillId="7" borderId="1" xfId="0"/>
    <x:xf numFmtId="0" fontId="1" fillId="2" borderId="0" xfId="0" applyAlignment="1">
      <x:alignment horizontal="left" vertical="center" wrapText="1"/>
    </x:xf>
    <x:xf numFmtId="165" fontId="8" fillId="7" borderId="0" xfId="0" applyAlignment="1">
      <x:alignment wrapText="1"/>
    </x:xf>
    <x:xf numFmtId="0" fontId="1" fillId="2" borderId="1" xfId="0" applyAlignment="1">
      <x:alignment horizontal="left" vertical="center" wrapText="1"/>
    </x:xf>
    <x:xf numFmtId="165" fontId="8" fillId="7" borderId="1" xfId="0" applyAlignment="1">
      <x:alignment wrapText="1"/>
    </x:xf>
    <x:xf numFmtId="0" fontId="7" fillId="0" borderId="0" xfId="0" applyAlignment="1">
      <x:alignment wrapText="1"/>
    </x:xf>
    <x:xf numFmtId="0" fontId="7" fillId="0" borderId="1" xfId="0" applyAlignment="1">
      <x:alignment wrapText="1"/>
    </x:xf>
    <x:xf numFmtId="0" fontId="6" fillId="0" borderId="0" xfId="0"/>
    <x:xf numFmtId="0" fontId="6" fillId="0" borderId="1" xfId="0"/>
    <x:xf numFmtId="164" fontId="6" fillId="0" borderId="0" xfId="0"/>
    <x:xf numFmtId="164" fontId="6" fillId="0" borderId="1" xfId="0"/>
    <x:xf numFmtId="166" fontId="0" fillId="0" borderId="0" xfId="0"/>
    <x:xf numFmtId="166" fontId="0" fillId="0" borderId="1" xfId="0"/>
    <x:xf numFmtId="166" fontId="6" fillId="0" borderId="0" xfId="0"/>
    <x:xf numFmtId="166" fontId="6" fillId="0" borderId="1" xfId="0"/>
    <x:xf numFmtId="164" fontId="6" fillId="0" borderId="0" xfId="0" applyAlignment="1">
      <x:alignment wrapText="1"/>
    </x:xf>
    <x:xf numFmtId="0" fontId="6" fillId="0" borderId="0" xfId="0" applyAlignment="1">
      <x:alignment wrapText="1"/>
    </x:xf>
    <x:xf numFmtId="166" fontId="6" fillId="0" borderId="0" xfId="0" applyAlignment="1">
      <x:alignment wrapText="1"/>
    </x:xf>
    <x:xf numFmtId="164" fontId="6" fillId="0" borderId="1" xfId="0" applyAlignment="1">
      <x:alignment wrapText="1"/>
    </x:xf>
    <x:xf numFmtId="0" fontId="6" fillId="0" borderId="1" xfId="0" applyAlignment="1">
      <x:alignment wrapText="1"/>
    </x:xf>
    <x:xf numFmtId="166" fontId="6" fillId="0" borderId="1" xfId="0" applyAlignment="1">
      <x:alignment wrapText="1"/>
    </x:xf>
    <x:xf numFmtId="0" fontId="0" fillId="6" borderId="0" xfId="0"/>
    <x:xf numFmtId="0" fontId="10" fillId="6" borderId="0" xfId="0"/>
    <x:xf numFmtId="0" fontId="10" fillId="6" borderId="0" xfId="0" applyAlignment="1">
      <x:alignment wrapText="1"/>
    </x:xf>
    <x:xf numFmtId="0" fontId="0" fillId="6" borderId="1" xfId="0"/>
    <x:xf numFmtId="0" fontId="10" fillId="6" borderId="1" xfId="0"/>
    <x:xf numFmtId="0" fontId="10" fillId="6" borderId="1" xfId="0" applyAlignment="1">
      <x:alignment wrapText="1"/>
    </x:xf>
    <x:xf numFmtId="49" fontId="6" fillId="0" borderId="0" xfId="0" applyAlignment="1">
      <x:alignment wrapText="1"/>
    </x:xf>
    <x:xf numFmtId="49" fontId="6" fillId="0" borderId="1" xfId="0" applyAlignment="1">
      <x:alignment wrapText="1"/>
    </x:xf>
    <x:xf numFmtId="0" fontId="0" fillId="0" borderId="0" xfId="0" applyAlignment="1">
      <x:alignment horizontal="center" wrapText="1"/>
    </x:xf>
    <x:xf numFmtId="0" fontId="0" fillId="0" borderId="1" xfId="0" applyAlignment="1">
      <x:alignment horizontal="center" wrapText="1"/>
    </x:xf>
    <x:xf numFmtId="0" fontId="0" fillId="0" borderId="0" xfId="0" applyAlignment="1">
      <x:alignment horizontal="center" vertical="top" wrapText="1"/>
    </x:xf>
    <x:xf numFmtId="0" fontId="0" fillId="0" borderId="1" xfId="0" applyAlignment="1">
      <x:alignment horizontal="center" vertical="top" wrapText="1"/>
    </x:xf>
    <x:xf numFmtId="49" fontId="5" fillId="0" borderId="0" xfId="0" applyAlignment="1">
      <x:alignment wrapText="1"/>
    </x:xf>
    <x:xf numFmtId="49" fontId="5" fillId="0" borderId="1" xfId="0" applyAlignment="1">
      <x:alignment wrapText="1"/>
    </x:xf>
    <x:xf numFmtId="167" fontId="6" fillId="0" borderId="0" xfId="0" applyAlignment="1">
      <x:alignment wrapText="1"/>
    </x:xf>
    <x:xf numFmtId="167" fontId="6" fillId="0" borderId="1" xfId="0" applyAlignment="1">
      <x:alignment wrapText="1"/>
    </x:xf>
    <x:xf numFmtId="0" fontId="0" fillId="0" borderId="0" xfId="0"/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0" fillId="10" borderId="0" xfId="0"/>
    <x:xf numFmtId="0" fontId="4" fillId="10" borderId="0" xfId="0"/>
    <x:xf numFmtId="0" fontId="0" fillId="0" borderId="0" xfId="0"/>
    <x:xf numFmtId="0" fontId="11" fillId="9" borderId="0" xfId="0"/>
    <x:xf numFmtId="0" fontId="11" fillId="9" borderId="0" xfId="0" applyAlignment="1">
      <x:alignment horizontal="center"/>
    </x:xf>
    <x:xf numFmtId="0" fontId="0" fillId="11" borderId="0" xfId="0"/>
    <x:xf numFmtId="0" fontId="12" fillId="11" borderId="0" xfId="0"/>
    <x:xf numFmtId="0" fontId="12" fillId="11" borderId="0" xfId="0" applyAlignment="1">
      <x:alignment wrapText="1"/>
    </x:xf>
    <x:xf numFmtId="0" fontId="3" fillId="9" borderId="0" xfId="0" applyAlignment="1">
      <x:alignment horizontal="center"/>
    </x:xf>
    <x:xf numFmtId="0" fontId="11" fillId="9" borderId="0" xfId="0" applyAlignment="1">
      <x:alignment horizontal="center"/>
    </x:xf>
    <x:xf numFmtId="0" fontId="12" fillId="11" borderId="0" xfId="0" applyAlignment="1">
      <x:alignment wrapText="1"/>
    </x:xf>
    <x:xf numFmtId="0" fontId="3" fillId="9" borderId="0" xfId="0" applyAlignment="1">
      <x:alignment horizontal="center"/>
    </x:xf>
    <x:xf numFmtId="165" fontId="0" fillId="0" borderId="0" xfId="0"/>
    <x:xf numFmtId="166" fontId="0" fillId="0" borderId="0" xfId="0"/>
    <x:xf numFmtId="49" fontId="5" fillId="0" borderId="0" xfId="0" applyAlignment="1">
      <x:alignment wrapText="1"/>
    </x:xf>
    <x:xf numFmtId="167" fontId="6" fillId="0" borderId="0" xfId="0" applyAlignment="1">
      <x:alignment wrapText="1"/>
    </x:xf>
    <x:xf numFmtId="165" fontId="6" fillId="0" borderId="0" xfId="0" applyAlignment="1">
      <x:alignment wrapText="1"/>
    </x:xf>
    <x:xf numFmtId="166" fontId="6" fillId="0" borderId="0" xfId="0" applyAlignment="1">
      <x:alignment wrapText="1"/>
    </x:xf>
    <x:xf numFmtId="165" fontId="9" fillId="7" borderId="0" xfId="0" applyAlignment="1">
      <x:alignment wrapText="1"/>
    </x:xf>
    <x:xf numFmtId="164" fontId="4" fillId="5" borderId="0" xfId="0" applyAlignment="1">
      <x:alignment wrapText="1"/>
    </x:xf>
    <x:xf numFmtId="164" fontId="4" fillId="0" borderId="0" xfId="0" applyAlignment="1">
      <x:alignment wrapText="1"/>
    </x:xf>
    <x:xf numFmtId="165" fontId="4" fillId="5" borderId="0" xfId="0" applyAlignment="1">
      <x:alignment wrapText="1"/>
    </x:xf>
    <x:xf numFmtId="165" fontId="5" fillId="4" borderId="0" xfId="0" applyAlignment="1">
      <x:alignment wrapText="1"/>
    </x:xf>
    <x:xf numFmtId="166" fontId="4" fillId="5" borderId="0" xfId="0" applyAlignment="1">
      <x:alignment wrapText="1"/>
    </x:xf>
    <x:xf numFmtId="166" fontId="4" fillId="0" borderId="0" xfId="0" applyAlignment="1">
      <x:alignment wrapText="1"/>
    </x:xf>
    <x:xf numFmtId="166" fontId="4" fillId="6" borderId="0" xfId="0" applyAlignment="1">
      <x:alignment wrapText="1"/>
    </x:xf>
    <x:xf numFmtId="166" fontId="5" fillId="4" borderId="0" xfId="0" applyAlignment="1">
      <x:alignment wrapText="1"/>
    </x:xf>
    <x:xf numFmtId="165" fontId="4" fillId="6" borderId="0" xfId="0" applyAlignment="1">
      <x:alignment wrapText="1"/>
    </x:xf>
    <x:xf numFmtId="164" fontId="0" fillId="0" borderId="0" xfId="0" applyAlignment="1">
      <x:alignment wrapText="1"/>
    </x:xf>
    <x:xf numFmtId="165" fontId="0" fillId="0" borderId="0" xfId="0" applyAlignment="1">
      <x:alignment wrapText="1"/>
    </x:xf>
    <x:xf numFmtId="165" fontId="9" fillId="8" borderId="0" xfId="0" applyAlignment="1">
      <x:alignment wrapText="1"/>
    </x:xf>
    <x:xf numFmtId="165" fontId="8" fillId="7" borderId="0" xfId="0" applyAlignment="1">
      <x:alignment wrapText="1"/>
    </x:xf>
    <x:xf numFmtId="165" fontId="0" fillId="0" borderId="0" xfId="0"/>
    <x:xf numFmtId="166" fontId="0" fillId="0" borderId="0" xfId="0"/>
    <x:xf numFmtId="0" fontId="13" fillId="12" borderId="1" xfId="0"/>
    <x:xf numFmtId="0" fontId="0" fillId="13" borderId="1" xfId="0" applyAlignment="1">
      <x:alignment wrapText="1"/>
    </x:xf>
    <x:xf numFmtId="0" fontId="14" fillId="12" borderId="2" xfId="0" applyAlignment="1">
      <x:alignment horizontal="center" wrapText="1"/>
    </x:xf>
    <x:xf numFmtId="0" fontId="0" fillId="0" borderId="2" xfId="0"/>
    <x:xf numFmtId="0" fontId="14" fillId="14" borderId="2" xfId="0" applyAlignment="1">
      <x:alignment horizont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vertical="center" wrapText="1"/>
    </x:xf>
    <x:xf numFmtId="165" fontId="0" fillId="0" borderId="0" xfId="0" applyNumberFormat="1" applyFont="1" applyFill="1" applyBorder="1"/>
    <x:xf numFmtId="0" fontId="18" fillId="0" borderId="0" xfId="0" applyNumberFormat="1" applyFont="1" applyFill="1" applyBorder="1"/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horizontal="center" wrapText="1"/>
    </x:xf>
    <x:xf numFmtId="0" fontId="19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 applyAlignment="1">
      <x:alignment vertical="center" wrapText="1"/>
    </x:xf>
    <x:xf numFmtId="200" fontId="20" fillId="18" borderId="0" xfId="0" applyNumberFormat="1" applyFont="1" applyFill="1" applyBorder="1" applyAlignment="1">
      <x:alignment vertical="center"/>
    </x:xf>
    <x:xf numFmtId="165" fontId="17" fillId="0" borderId="0" xfId="0" applyNumberFormat="1" applyFont="1" applyFill="1" applyBorder="1" applyAlignment="1">
      <x:alignment vertical="center" wrapText="1"/>
    </x:xf>
    <x:xf numFmtId="165" fontId="20" fillId="18" borderId="0" xfId="0" applyNumberFormat="1" applyFont="1" applyFill="1" applyBorder="1" applyAlignment="1">
      <x:alignment vertical="center"/>
    </x:xf>
    <x:xf numFmtId="201" fontId="17" fillId="0" borderId="0" xfId="0" applyNumberFormat="1" applyFont="1" applyFill="1" applyBorder="1" applyAlignment="1">
      <x:alignment vertical="center" wrapText="1"/>
    </x:xf>
    <x:xf numFmtId="202" fontId="17" fillId="0" borderId="0" xfId="0" applyNumberFormat="1" applyFont="1" applyFill="1" applyBorder="1" applyAlignment="1">
      <x:alignment vertical="center" wrapText="1"/>
    </x:xf>
    <x:xf numFmtId="203" fontId="17" fillId="0" borderId="0" xfId="0" applyNumberFormat="1" applyFont="1" applyFill="1" applyBorder="1" applyAlignment="1">
      <x:alignment vertical="center" wrapText="1"/>
    </x:xf>
    <x:xf numFmtId="203" fontId="20" fillId="18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/>
    </x:xf>
    <x:xf numFmtId="0" fontId="17" fillId="18" borderId="0" xfId="0" applyNumberFormat="1" applyFont="1" applyFill="1" applyBorder="1" applyAlignment="1">
      <x:alignment vertical="center" wrapText="1"/>
    </x:xf>
    <x:xf numFmtId="165" fontId="17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20" fillId="18" borderId="0" xfId="0" applyNumberFormat="1" applyFont="1" applyFill="1" applyBorder="1" applyAlignment="1">
      <x:alignment vertical="center" wrapText="1"/>
    </x:xf>
    <x:xf numFmtId="165" fontId="20" fillId="18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204" fontId="17" fillId="0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2" xfId="0" applyNumberFormat="1" applyFont="1" applyFill="1" applyBorder="1"/>
    <x:xf numFmtId="0" fontId="3" fillId="21" borderId="2" xfId="0" applyNumberFormat="1" applyFont="1" applyFill="1" applyBorder="1" applyAlignment="1">
      <x:alignment wrapText="1"/>
    </x:xf>
    <x:xf numFmtId="0" fontId="3" fillId="21" borderId="2" xfId="0" applyNumberFormat="1" applyFont="1" applyFill="1" applyBorder="1" applyAlignment="1">
      <x:alignment horizontal="center" wrapText="1"/>
    </x:xf>
    <x:xf numFmtId="0" fontId="3" fillId="21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204" fontId="0" fillId="0" borderId="3" xfId="0" applyNumberFormat="1" applyFont="1" applyFill="1" applyBorder="1" applyAlignment="1">
      <x:alignment vertical="top" wrapText="1"/>
    </x:xf>
    <x:xf numFmtId="0" fontId="22" fillId="19" borderId="0" xfId="0" applyNumberFormat="1" applyFont="1" applyFill="1" applyBorder="1"/>
    <x:xf numFmtId="0" fontId="23" fillId="2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/>
    <x:xf numFmtId="0" fontId="25" fillId="21" borderId="2" xfId="0" applyNumberFormat="1" applyFont="1" applyFill="1" applyBorder="1" applyAlignment="1">
      <x:alignment horizontal="center" vertical="center" wrapText="1"/>
    </x:xf>
    <x:xf numFmtId="0" fontId="24" fillId="0" borderId="3" xfId="0" applyNumberFormat="1" applyFont="1" applyFill="1" applyBorder="1" applyAlignment="1">
      <x:alignment vertical="top" wrapText="1"/>
    </x:xf>
    <x:xf numFmtId="204" fontId="24" fillId="0" borderId="3" xfId="0" applyNumberFormat="1" applyFont="1" applyFill="1" applyBorder="1" applyAlignment="1">
      <x:alignment vertical="top" wrapText="1"/>
    </x:xf>
    <x:xf numFmtId="205" fontId="0" fillId="0" borderId="3" xfId="0" applyNumberFormat="1" applyFont="1" applyFill="1" applyBorder="1" applyAlignment="1">
      <x:alignment vertical="top" wrapText="1"/>
    </x:xf>
    <x:xf numFmtId="205" fontId="24" fillId="0" borderId="3" xfId="0" applyNumberFormat="1" applyFont="1" applyFill="1" applyBorder="1" applyAlignment="1">
      <x:alignment vertical="top" wrapText="1"/>
    </x:xf>
    <x:xf numFmtId="206" fontId="24" fillId="0" borderId="0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2" xfId="0" applyNumberFormat="1" applyFont="1" applyFill="1" applyBorder="1"/>
    <x:xf numFmtId="0" fontId="3" fillId="22" borderId="2" xfId="0" applyNumberFormat="1" applyFont="1" applyFill="1" applyBorder="1" applyAlignment="1">
      <x:alignment wrapText="1"/>
    </x:xf>
    <x:xf numFmtId="0" fontId="3" fillId="22" borderId="2" xfId="0" applyNumberFormat="1" applyFont="1" applyFill="1" applyBorder="1" applyAlignment="1">
      <x:alignment horizontal="center" wrapText="1"/>
    </x:xf>
    <x:xf numFmtId="0" fontId="3" fillId="22" borderId="2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11" fillId="23" borderId="0" xfId="0" applyNumberFormat="1" applyFont="1" applyFill="1" applyBorder="1"/>
    <x:xf numFmtId="0" fontId="0" fillId="24" borderId="0" xfId="0" applyNumberFormat="1" applyFont="1" applyFill="1" applyBorder="1"/>
    <x:xf numFmtId="0" fontId="21" fillId="24" borderId="0" xfId="0" applyNumberFormat="1" applyFont="1" applyFill="1" applyBorder="1"/>
    <x:xf numFmtId="0" fontId="21" fillId="24" borderId="0" xfId="0" applyNumberFormat="1" applyFont="1" applyFill="1" applyBorder="1" applyAlignment="1">
      <x:alignment wrapText="1"/>
    </x:xf>
    <x:xf numFmtId="206" fontId="0" fillId="0" borderId="3" xfId="0" applyNumberFormat="1" applyFont="1" applyFill="1" applyBorder="1" applyAlignment="1">
      <x:alignment vertical="top" wrapText="1"/>
    </x:xf>
    <x:xf numFmtId="207" fontId="0" fillId="0" borderId="3" xfId="0" applyNumberFormat="1" applyFont="1" applyFill="1" applyBorder="1" applyAlignment="1">
      <x:alignment vertical="top" wrapText="1"/>
    </x:xf>
    <x:xf numFmtId="0" fontId="22" fillId="23" borderId="0" xfId="0" applyNumberFormat="1" applyFont="1" applyFill="1" applyBorder="1"/>
    <x:xf numFmtId="0" fontId="23" fillId="24" borderId="0" xfId="0" applyNumberFormat="1" applyFont="1" applyFill="1" applyBorder="1" applyAlignment="1">
      <x:alignment wrapText="1"/>
    </x:xf>
    <x:xf numFmtId="0" fontId="25" fillId="22" borderId="2" xfId="0" applyNumberFormat="1" applyFont="1" applyFill="1" applyBorder="1" applyAlignment="1">
      <x:alignment horizontal="center" vertical="center" wrapText="1"/>
    </x:xf>
    <x:xf numFmtId="206" fontId="24" fillId="0" borderId="3" xfId="0" applyNumberFormat="1" applyFont="1" applyFill="1" applyBorder="1" applyAlignment="1">
      <x:alignment vertical="top" wrapText="1"/>
    </x:xf>
    <x:xf numFmtId="207" fontId="2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91b1b17e341f5" /><Relationship Type="http://schemas.openxmlformats.org/officeDocument/2006/relationships/theme" Target="/xl/theme/theme1.xml" Id="R25469c724a5f4372" /><Relationship Type="http://schemas.openxmlformats.org/officeDocument/2006/relationships/sharedStrings" Target="/xl/sharedStrings.xml" Id="R1eba8049a84a4812" /><Relationship Type="http://schemas.openxmlformats.org/officeDocument/2006/relationships/worksheet" Target="/xl/worksheets/sheet1.xml" Id="Rb8a7e905d6744237" /><Relationship Type="http://schemas.openxmlformats.org/officeDocument/2006/relationships/worksheet" Target="/xl/worksheets/sheet2.xml" Id="R2c24666be3d94b00" /><Relationship Type="http://schemas.openxmlformats.org/officeDocument/2006/relationships/worksheet" Target="/xl/worksheets/sheet3.xml" Id="R66157b91cb7347b5" /><Relationship Type="http://schemas.openxmlformats.org/officeDocument/2006/relationships/worksheet" Target="/xl/worksheets/sheet4.xml" Id="Rd52bfaee3430470b" /><Relationship Type="http://schemas.openxmlformats.org/officeDocument/2006/relationships/worksheet" Target="/xl/worksheets/sheet5.xml" Id="R2e498195cd2b4ffd" /><Relationship Type="http://schemas.openxmlformats.org/officeDocument/2006/relationships/worksheet" Target="/xl/worksheets/sheet6.xml" Id="R27e69086957e4a9c" /><Relationship Type="http://schemas.openxmlformats.org/officeDocument/2006/relationships/worksheet" Target="/xl/worksheets/sheet7.xml" Id="R88486be932434288" /><Relationship Type="http://schemas.openxmlformats.org/officeDocument/2006/relationships/worksheet" Target="/xl/worksheets/sheet8.xml" Id="R96e19468363e4dbd" /><Relationship Type="http://schemas.openxmlformats.org/officeDocument/2006/relationships/worksheet" Target="/xl/worksheets/sheet9.xml" Id="Rfa19c3ae80194824" /><Relationship Type="http://schemas.openxmlformats.org/officeDocument/2006/relationships/worksheet" Target="/xl/worksheets/sheet10.xml" Id="Rafc464448a8c41bc" /><Relationship Type="http://schemas.openxmlformats.org/officeDocument/2006/relationships/worksheet" Target="/xl/worksheets/sheet11.xml" Id="R34d4cc699f2740c0" /><Relationship Type="http://schemas.openxmlformats.org/officeDocument/2006/relationships/worksheet" Target="/xl/worksheets/sheet12.xml" Id="R006582c8aad34429" /><Relationship Type="http://schemas.openxmlformats.org/officeDocument/2006/relationships/worksheet" Target="/xl/worksheets/sheet13.xml" Id="Rdf9964657ff940df" /><Relationship Type="http://schemas.openxmlformats.org/officeDocument/2006/relationships/worksheet" Target="/xl/worksheets/sheet14.xml" Id="R613475c91d5d4e94" /><Relationship Type="http://schemas.openxmlformats.org/officeDocument/2006/relationships/worksheet" Target="/xl/worksheets/sheet15.xml" Id="R66c36aa73d40426e" /><Relationship Type="http://schemas.openxmlformats.org/officeDocument/2006/relationships/worksheet" Target="/xl/worksheets/sheet16.xml" Id="R3704e41d717642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e3ef3319da4860" /></Relationships>
</file>

<file path=xl/drawings/charts/chart1.xml><?xml version="1.0" encoding="utf-8"?>
<c:chartSpace xmlns:c="http://schemas.openxmlformats.org/drawingml/2006/chart">
  <c:lang val="en-US"/>
  <c:chart>
    <c:plotArea>
      <c:barChart>
        <c:barDir val="col"/>
        <c:grouping val="clustered"/>
        <c:varyColors val="0"/>
        <c:ser>
          <c:idx val="0"/>
          <c:order val="0"/>
          <c:tx>
            <c:v>Кафе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'00_РЕЗЮМЕ'!$B$24:$M$24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Банкеты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'00_РЕЗЮМЕ'!$B$25:$M$25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Проект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'00_РЕЗЮМЕ'!$B$26:$M$26</c:f>
              <c:numCache>
                <c:formatCode>#,##0;[Red](#,##0);-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e3ef3319da486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d14dbb238b48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https://github.com/slavagrachov/varshavka-cafe-usali-model/blob/main/sources/tableware/2026-07-25_complexbar_hall_tableware.eml" TargetMode="External" Id="Ra8e542564d424a26" /><Relationship Type="http://schemas.openxmlformats.org/officeDocument/2006/relationships/hyperlink" Target="https://github.com/slavagrachov/varshavka-cafe-usali-model/blob/main/sources/tableware/2026-07-25_complexbar_bar_glassware.eml" TargetMode="External" Id="Re4932e683c19453c" /><Relationship Type="http://schemas.openxmlformats.org/officeDocument/2006/relationships/hyperlink" Target="https://github.com/slavagrachov/varshavka-cafe-usali-model/blob/main/sources/tableware/2026-07-25_complexbar_tableware_register.csv" TargetMode="External" Id="R786f73f407324974" /><Relationship Type="http://schemas.openxmlformats.org/officeDocument/2006/relationships/hyperlink" Target="https://complexbar.ru/product/tarelka-melkaya-bez-borta-kunstwerk-03011857/" TargetMode="External" Id="R6a7373a5e3c9478b" /><Relationship Type="http://schemas.openxmlformats.org/officeDocument/2006/relationships/hyperlink" Target="https://complexbar.ru/product/tarelka-melkaya-bez-borta-kunstwerk-03011456/" TargetMode="External" Id="R1fe19cf7ff3f4b94" /><Relationship Type="http://schemas.openxmlformats.org/officeDocument/2006/relationships/hyperlink" Target="https://complexbar.ru/product/tarelka-melkaya-bez-borta-kunstwerk-03010413/" TargetMode="External" Id="Rfce7ca2631984b62" /><Relationship Type="http://schemas.openxmlformats.org/officeDocument/2006/relationships/hyperlink" Target="https://complexbar.ru/product/tarelka-glubokaya-kunstwerk-03010981/" TargetMode="External" Id="R8492b42ef94e42f5" /><Relationship Type="http://schemas.openxmlformats.org/officeDocument/2006/relationships/hyperlink" Target="https://complexbar.ru/product/para-chaynaya-kunstwerk-03140689/" TargetMode="External" Id="R7fcb7ccace524239" /><Relationship Type="http://schemas.openxmlformats.org/officeDocument/2006/relationships/hyperlink" Target="https://complexbar.ru/product/chaynik-kunstwerk-03150420/" TargetMode="External" Id="Refb622796f5b4321" /><Relationship Type="http://schemas.openxmlformats.org/officeDocument/2006/relationships/hyperlink" Target="https://complexbar.ru/product/sousnik-kunstwerk-03040142/" TargetMode="External" Id="R8b44f2d5db754fa5" /><Relationship Type="http://schemas.openxmlformats.org/officeDocument/2006/relationships/hyperlink" Target="https://complexbar.ru/product/nabor-d-speciy-3-predm-na-podstavke-kunstwerk-03173703/" TargetMode="External" Id="R0e4df110e27241be" /><Relationship Type="http://schemas.openxmlformats.org/officeDocument/2006/relationships/hyperlink" Target="https://complexbar.ru/product/salfetnica-kunstwerk-03172334/" TargetMode="External" Id="R4771c43ada584a9e" /><Relationship Type="http://schemas.openxmlformats.org/officeDocument/2006/relationships/hyperlink" Target="https://complexbar.ru/product/para-kofeynaya-kunstwerk-03130448/" TargetMode="External" Id="R08d6ccb2e5fc4188" /><Relationship Type="http://schemas.openxmlformats.org/officeDocument/2006/relationships/hyperlink" Target="https://complexbar.ru/product/para-kofeynaya-kunstwerk-03130278/" TargetMode="External" Id="Rae313d4b76884346" /><Relationship Type="http://schemas.openxmlformats.org/officeDocument/2006/relationships/hyperlink" Target="https://complexbar.ru/product/saharnica-s-kryshkoy-kunstwerk-03171983/" TargetMode="External" Id="R58cf65d77f3e4b59" /><Relationship Type="http://schemas.openxmlformats.org/officeDocument/2006/relationships/hyperlink" Target="https://complexbar.ru/product/vilka-stolovaya-kunstwerk-03112213/" TargetMode="External" Id="R0628b754a346495f" /><Relationship Type="http://schemas.openxmlformats.org/officeDocument/2006/relationships/hyperlink" Target="https://complexbar.ru/product/lozhka-chaynaya-kunstwerk-03111782/" TargetMode="External" Id="R279b30a40459434f" /><Relationship Type="http://schemas.openxmlformats.org/officeDocument/2006/relationships/hyperlink" Target="https://complexbar.ru/product/nozh-stolovyy-kunstwerk-03114123/" TargetMode="External" Id="Ra74da0b2e19045f9" /><Relationship Type="http://schemas.openxmlformats.org/officeDocument/2006/relationships/hyperlink" Target="https://complexbar.ru/product/lozhka-stolovaya-eternum-03110167/" TargetMode="External" Id="Ra0719c31b9f54c21" /><Relationship Type="http://schemas.openxmlformats.org/officeDocument/2006/relationships/hyperlink" Target="https://complexbar.ru/product/bokal-dlya-vina-chef-and-sommelier-01011643/" TargetMode="External" Id="R732ce7a352eb4a90" /><Relationship Type="http://schemas.openxmlformats.org/officeDocument/2006/relationships/hyperlink" Target="https://complexbar.ru/product/shampan-blyudce-chef-and-sommelier-01060610/" TargetMode="External" Id="R6ef7f33592654f52" /><Relationship Type="http://schemas.openxmlformats.org/officeDocument/2006/relationships/hyperlink" Target="https://complexbar.ru/product/ryumka-pasabahce-01071637/" TargetMode="External" Id="Rb35290db1dd24a67" /><Relationship Type="http://schemas.openxmlformats.org/officeDocument/2006/relationships/hyperlink" Target="https://complexbar.ru/product/old-feshn-bormioli-rocco-01020542/" TargetMode="External" Id="R612c9539a31f4080" /><Relationship Type="http://schemas.openxmlformats.org/officeDocument/2006/relationships/hyperlink" Target="https://complexbar.ru/product/haybol-pasabahce-01011610/" TargetMode="External" Id="R32164e18e8a540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hyperlink" Target="https://github.com/slavagrachov/varshavka-cafe-usali-model/blob/main/sources/tableware/2026-07-25_complexbar_hall_tableware.eml" TargetMode="External" Id="R332e9d7ca6a444a0" /><Relationship Type="http://schemas.openxmlformats.org/officeDocument/2006/relationships/hyperlink" Target="https://github.com/slavagrachov/varshavka-cafe-usali-model/blob/main/sources/tableware/2026-07-25_complexbar_bar_glassware.eml" TargetMode="External" Id="R19146d3e9e344387" /><Relationship Type="http://schemas.openxmlformats.org/officeDocument/2006/relationships/hyperlink" Target="https://github.com/slavagrachov/varshavka-cafe-usali-model/blob/main/sources/tableware/2026-07-25_complexbar_tableware_register.csv" TargetMode="External" Id="R05c307c880ff4ee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8" style="174" customWidth="1"/>
    <x:col min="2" max="2" width="14" style="174" customWidth="1"/>
    <x:col min="3" max="3" width="14" style="174" customWidth="1"/>
    <x:col min="4" max="4" width="14" style="174" customWidth="1"/>
    <x:col min="5" max="5" width="14" style="174" customWidth="1"/>
    <x:col min="6" max="6" width="14" style="174" customWidth="1"/>
    <x:col min="7" max="7" width="14" style="174" customWidth="1"/>
    <x:col min="8" max="8" width="14" style="174" customWidth="1"/>
    <x:col min="9" max="9" width="14" style="174" customWidth="1"/>
    <x:col min="10" max="10" width="14" style="174" customWidth="1"/>
    <x:col min="11" max="11" width="14" style="174" customWidth="1"/>
    <x:col min="12" max="12" width="14" style="174" customWidth="1"/>
    <x:col min="13" max="13" width="14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3" style="174" customWidth="1"/>
  </x:cols>
  <x:sheetData>
    <x:row r="1" s="174" customFormat="1" ht="28" customHeight="1">
      <x:c r="A1" s="134" t="str">
        <x:v>VARSHAVKA — Сценарий S03 v0.1.7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str">
        <x:v>VARSHAVKA 3.0.0: 31 активная позиция Кухни; гостиничный завтрак — три варианта по внутреннему тарифу 550 руб. с НДС.</x:v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  <x:c r="H3" s="52" t="n"/>
      <x:c r="I3" s="52" t="n"/>
      <x:c r="J3" s="52" t="n"/>
      <x:c r="K3" s="52" t="n"/>
      <x:c r="L3" s="52" t="n"/>
      <x:c r="M3" s="52" t="n"/>
      <x:c r="N3" s="52" t="n"/>
      <x:c r="O3" s="52" t="n"/>
      <x:c r="P3" s="52" t="n"/>
      <x:c r="Q3" s="52" t="n"/>
      <x:c r="R3" s="52" t="n"/>
    </x:row>
    <x:row r="4">
      <x:c r="A4" s="122" t="inlineStr">
        <x:is>
          <x:t xml:space="preserve">ПАСПОРТ МОДЕЛИ</x:t>
        </x:is>
      </x:c>
      <x:c r="B4" s="1" t="n"/>
      <x:c r="C4" s="1" t="n"/>
      <x:c r="D4" s="1" t="n"/>
      <x:c r="E4" s="1" t="n"/>
      <x:c r="F4" s="1" t="n"/>
      <x:c r="G4" s="52" t="n"/>
      <x:c r="H4" s="52" t="n"/>
      <x:c r="I4" s="52" t="n"/>
      <x:c r="J4" s="52" t="n"/>
      <x:c r="K4" s="52" t="n"/>
      <x:c r="L4" s="52" t="n"/>
      <x:c r="M4" s="52" t="n"/>
      <x:c r="N4" s="52" t="n"/>
      <x:c r="O4" s="52" t="n"/>
      <x:c r="P4" s="52" t="n"/>
      <x:c r="Q4" s="52" t="n"/>
      <x:c r="R4" s="52" t="n"/>
    </x:row>
    <x:row r="5">
      <x:c r="A5" s="52" t="inlineStr">
        <x:is>
          <x:t xml:space="preserve">Начало периода</x:t>
        </x:is>
      </x:c>
      <x:c r="B5" s="186" t="inlineStr">
        <x:is>
          <x:t xml:space="preserve">01.09.2026</x:t>
        </x:is>
      </x:c>
      <x:c r="C5" s="147" t="n"/>
      <x:c r="D5" s="147" t="inlineStr">
        <x:is>
          <x:t xml:space="preserve">Окончание периода</x:t>
        </x:is>
      </x:c>
      <x:c r="E5" s="186" t="inlineStr">
        <x:is>
          <x:t xml:space="preserve">31.08.2027</x:t>
        </x:is>
      </x:c>
      <x:c r="F5" s="52" t="n"/>
      <x:c r="G5" s="251" t="str">
        <x:v>Версия модели</x:v>
      </x:c>
      <x:c r="H5" s="251" t="str">
        <x:v>S03 v0.1.7</x:v>
      </x:c>
      <x:c r="I5" s="52" t="n"/>
      <x:c r="J5" s="52" t="n"/>
      <x:c r="K5" s="52" t="n"/>
      <x:c r="L5" s="52" t="n"/>
      <x:c r="M5" s="52" t="n"/>
      <x:c r="N5" s="52" t="n"/>
      <x:c r="O5" s="52" t="n"/>
      <x:c r="P5" s="52" t="n"/>
      <x:c r="Q5" s="52" t="n"/>
      <x:c r="R5" s="52" t="n"/>
    </x:row>
    <x:row r="6">
      <x:c r="A6" s="52" t="inlineStr">
        <x:is>
          <x:t xml:space="preserve">Площадь кафе, м²</x:t>
        </x:is>
      </x:c>
      <x:c r="B6" s="187" t="n">
        <x:f>'01_ВВОД'!$D$7</x:f>
        <x:v>80.9</x:v>
      </x:c>
      <x:c r="C6" s="147" t="n"/>
      <x:c r="D6" s="147" t="inlineStr">
        <x:is>
          <x:t xml:space="preserve">Посадочных мест</x:t>
        </x:is>
      </x:c>
      <x:c r="E6" s="188" t="n">
        <x:f>'01_ВВОД'!$D$10</x:f>
        <x:v>20</x:v>
      </x:c>
      <x:c r="F6" s="52" t="n"/>
      <x:c r="G6" s="52" t="n"/>
      <x:c r="H6" s="52" t="n"/>
      <x:c r="I6" s="52" t="n"/>
      <x:c r="J6" s="52" t="n"/>
      <x:c r="K6" s="52" t="n"/>
      <x:c r="L6" s="52" t="n"/>
      <x:c r="M6" s="52" t="n"/>
      <x:c r="N6" s="52" t="n"/>
      <x:c r="O6" s="52" t="n"/>
      <x:c r="P6" s="52" t="n"/>
      <x:c r="Q6" s="52" t="n"/>
      <x:c r="R6" s="52" t="n"/>
    </x:row>
    <x:row r="7">
      <x:c r="A7" s="52" t="inlineStr">
        <x:is>
          <x:t xml:space="preserve">Аренда, руб./мес.</x:t>
        </x:is>
      </x:c>
      <x:c r="B7" s="188" t="n">
        <x:f>'01_ВВОД'!$D$9</x:f>
        <x:v>80900</x:v>
      </x:c>
      <x:c r="C7" s="147" t="n"/>
      <x:c r="D7" s="147" t="inlineStr">
        <x:is>
          <x:t xml:space="preserve">Банкетов за год</x:t>
        </x:is>
      </x:c>
      <x:c r="E7" s="188" t="n">
        <x:f>'01_ВВОД'!$D$52</x:f>
        <x:v>60</x:v>
      </x:c>
      <x:c r="F7" s="52" t="n"/>
      <x:c r="G7" s="52" t="n"/>
      <x:c r="H7" s="52" t="n"/>
      <x:c r="I7" s="52" t="n"/>
      <x:c r="J7" s="52" t="n"/>
      <x:c r="K7" s="52" t="n"/>
      <x:c r="L7" s="52" t="n"/>
      <x:c r="M7" s="52" t="n"/>
      <x:c r="N7" s="52" t="n"/>
      <x:c r="O7" s="52" t="n"/>
      <x:c r="P7" s="52" t="n"/>
      <x:c r="Q7" s="52" t="n"/>
      <x:c r="R7" s="52" t="n"/>
    </x:row>
    <x:row r="8">
      <x:c r="A8" s="52" t="n"/>
      <x:c r="B8" s="52" t="n"/>
      <x:c r="C8" s="52" t="n"/>
      <x:c r="D8" s="52" t="n"/>
      <x:c r="E8" s="52" t="n"/>
      <x:c r="F8" s="52" t="n"/>
      <x:c r="G8" s="52" t="n"/>
      <x:c r="H8" s="52" t="n"/>
      <x:c r="I8" s="52" t="n"/>
      <x:c r="J8" s="52" t="n"/>
      <x:c r="K8" s="52" t="n"/>
      <x:c r="L8" s="52" t="n"/>
      <x:c r="M8" s="52" t="n"/>
      <x:c r="N8" s="52" t="n"/>
      <x:c r="O8" s="52" t="n"/>
      <x:c r="P8" s="52" t="n"/>
      <x:c r="Q8" s="52" t="n"/>
      <x:c r="R8" s="52" t="n"/>
    </x:row>
    <x:row r="9">
      <x:c r="A9" s="122" t="inlineStr">
        <x:is>
          <x:t xml:space="preserve">КЛЮЧЕВЫЕ РЕЗУЛЬТАТЫ</x:t>
        </x:is>
      </x:c>
      <x:c r="B9" s="1" t="n"/>
      <x:c r="C9" s="1" t="n"/>
      <x:c r="D9" s="1" t="n"/>
      <x:c r="E9" s="1" t="n"/>
      <x:c r="F9" s="1" t="n"/>
      <x:c r="G9" s="1" t="n"/>
      <x:c r="H9" s="1" t="n"/>
      <x:c r="I9" s="52" t="n"/>
      <x:c r="J9" s="52" t="n"/>
      <x:c r="K9" s="52" t="n"/>
      <x:c r="L9" s="52" t="n"/>
      <x:c r="M9" s="52" t="n"/>
      <x:c r="N9" s="52" t="n"/>
      <x:c r="O9" s="52" t="n"/>
      <x:c r="P9" s="52" t="n"/>
      <x:c r="Q9" s="52" t="n"/>
      <x:c r="R9" s="52" t="n"/>
    </x:row>
    <x:row r="10">
      <x:c r="A10" s="18" t="inlineStr">
        <x:is>
          <x:t xml:space="preserve">Показатель</x:t>
        </x:is>
      </x:c>
      <x:c r="B10" s="18" t="inlineStr">
        <x:is>
          <x:t xml:space="preserve">За операционный год</x:t>
        </x:is>
      </x:c>
      <x:c r="C10" s="18" t="inlineStr">
        <x:is>
          <x:t xml:space="preserve">Среднее за месяц</x:t>
        </x:is>
      </x:c>
      <x:c r="D10" s="52" t="n"/>
      <x:c r="E10" s="18" t="inlineStr">
        <x:is>
          <x:t xml:space="preserve">Показатель</x:t>
        </x:is>
      </x:c>
      <x:c r="F10" s="18" t="inlineStr">
        <x:is>
          <x:t xml:space="preserve">Значение</x:t>
        </x:is>
      </x:c>
      <x:c r="G10" s="52" t="n"/>
      <x:c r="H10" s="52" t="n"/>
      <x:c r="I10" s="52" t="n"/>
      <x:c r="J10" s="52" t="n"/>
      <x:c r="K10" s="52" t="n"/>
      <x:c r="L10" s="52" t="n"/>
      <x:c r="M10" s="52" t="n"/>
      <x:c r="N10" s="52" t="n"/>
      <x:c r="O10" s="52" t="n"/>
      <x:c r="P10" s="52" t="n"/>
      <x:c r="Q10" s="52" t="n"/>
      <x:c r="R10" s="52" t="n"/>
    </x:row>
    <x:row r="11">
      <x:c r="A11" s="52" t="inlineStr">
        <x:is>
          <x:t xml:space="preserve">Доходы кафе</x:t>
        </x:is>
      </x:c>
      <x:c r="B11" s="188" t="n">
        <x:f>'07_PNL_НАЛОГИ'!P6</x:f>
        <x:v>45465800</x:v>
      </x:c>
      <x:c r="C11" s="188" t="n">
        <x:f>'07_PNL_НАЛОГИ'!Q6</x:f>
        <x:v>3788816.6666666665</x:v>
      </x:c>
      <x:c r="D11" s="52" t="n"/>
      <x:c r="E11" s="52" t="inlineStr">
        <x:is>
          <x:t xml:space="preserve">Валовая маржа кафе</x:t>
        </x:is>
      </x:c>
      <x:c r="F11" s="189" t="n">
        <x:f>IF('07_PNL_НАЛОГИ'!P6=0,0,'07_PNL_НАЛОГИ'!P8/'07_PNL_НАЛОГИ'!P6)</x:f>
        <x:v>0.6793685516758908</x:v>
      </x:c>
      <x:c r="G11" s="52" t="n"/>
      <x:c r="H11" s="52" t="n"/>
      <x:c r="I11" s="52" t="n"/>
      <x:c r="J11" s="52" t="n"/>
      <x:c r="K11" s="52" t="n"/>
      <x:c r="L11" s="52" t="n"/>
      <x:c r="M11" s="52" t="n"/>
      <x:c r="N11" s="52" t="n"/>
      <x:c r="O11" s="52" t="n"/>
      <x:c r="P11" s="52" t="n"/>
      <x:c r="Q11" s="52" t="n"/>
      <x:c r="R11" s="52" t="n"/>
    </x:row>
    <x:row r="12">
      <x:c r="A12" s="52" t="inlineStr">
        <x:is>
          <x:t xml:space="preserve">Прибыль кафе до налога</x:t>
        </x:is>
      </x:c>
      <x:c r="B12" s="188" t="n">
        <x:f>'07_PNL_НАЛОГИ'!P20</x:f>
        <x:v>-276436.82873152586</x:v>
      </x:c>
      <x:c r="C12" s="188" t="n">
        <x:f>'07_PNL_НАЛОГИ'!Q20</x:f>
        <x:v>-23036.402394293822</x:v>
      </x:c>
      <x:c r="D12" s="52" t="n"/>
      <x:c r="E12" s="52" t="inlineStr">
        <x:is>
          <x:t xml:space="preserve">Маржинальность кафе</x:t>
        </x:is>
      </x:c>
      <x:c r="F12" s="189" t="n">
        <x:f>IF('07_PNL_НАЛОГИ'!P6=0,0,'07_PNL_НАЛОГИ'!P10/'07_PNL_НАЛОГИ'!P6)</x:f>
        <x:v>0.6199615468502857</x:v>
      </x:c>
      <x:c r="G12" s="52" t="n"/>
      <x:c r="H12" s="52" t="n"/>
      <x:c r="I12" s="52" t="n"/>
      <x:c r="J12" s="52" t="n"/>
      <x:c r="K12" s="52" t="n"/>
      <x:c r="L12" s="52" t="n"/>
      <x:c r="M12" s="52" t="n"/>
      <x:c r="N12" s="52" t="n"/>
      <x:c r="O12" s="52" t="n"/>
      <x:c r="P12" s="52" t="n"/>
      <x:c r="Q12" s="52" t="n"/>
      <x:c r="R12" s="52" t="n"/>
    </x:row>
    <x:row r="13">
      <x:c r="A13" s="52" t="inlineStr">
        <x:is>
          <x:t xml:space="preserve">Чистый результат кафе</x:t>
        </x:is>
      </x:c>
      <x:c r="B13" s="188" t="n">
        <x:f>'07_PNL_НАЛОГИ'!P40</x:f>
        <x:v>-731094.8287315257</x:v>
      </x:c>
      <x:c r="C13" s="188" t="n">
        <x:f>'07_PNL_НАЛОГИ'!Q40</x:f>
        <x:v>-60924.56906096047</x:v>
      </x:c>
      <x:c r="D13" s="52" t="n"/>
      <x:c r="E13" s="52" t="inlineStr">
        <x:is>
          <x:t xml:space="preserve">ФОТ / доходы кафе</x:t>
        </x:is>
      </x:c>
      <x:c r="F13" s="189" t="n">
        <x:f>IF('07_PNL_НАЛОГИ'!P6=0,0,'07_PNL_НАЛОГИ'!P11/'07_PNL_НАЛОГИ'!P6)</x:f>
        <x:v>0.5094393800508786</x:v>
      </x:c>
      <x:c r="G13" s="52" t="n"/>
      <x:c r="H13" s="52" t="n"/>
      <x:c r="I13" s="52" t="n"/>
      <x:c r="J13" s="52" t="n"/>
      <x:c r="K13" s="52" t="n"/>
      <x:c r="L13" s="52" t="n"/>
      <x:c r="M13" s="52" t="n"/>
      <x:c r="N13" s="52" t="n"/>
      <x:c r="O13" s="52" t="n"/>
      <x:c r="P13" s="52" t="n"/>
      <x:c r="Q13" s="52" t="n"/>
      <x:c r="R13" s="52" t="n"/>
    </x:row>
    <x:row r="14">
      <x:c r="A14" s="52" t="inlineStr">
        <x:is>
          <x:t xml:space="preserve">Доходы банкетов</x:t>
        </x:is>
      </x:c>
      <x:c r="B14" s="188" t="n">
        <x:f>'07_PNL_НАЛОГИ'!P25</x:f>
        <x:v>3600000</x:v>
      </x:c>
      <x:c r="C14" s="188" t="n">
        <x:f>'07_PNL_НАЛОГИ'!Q25</x:f>
        <x:v>300000</x:v>
      </x:c>
      <x:c r="D14" s="52" t="n"/>
      <x:c r="E14" s="52" t="inlineStr">
        <x:is>
          <x:t xml:space="preserve">Чистая рентабельность кафе</x:t>
        </x:is>
      </x:c>
      <x:c r="F14" s="189" t="n">
        <x:f>IF('07_PNL_НАЛОГИ'!P6=0,0,'07_PNL_НАЛОГИ'!P40/'07_PNL_НАЛОГИ'!P6)</x:f>
        <x:v>-0.016080104798145544</x:v>
      </x:c>
      <x:c r="G14" s="52" t="n"/>
      <x:c r="H14" s="52" t="n"/>
      <x:c r="I14" s="52" t="n"/>
      <x:c r="J14" s="52" t="n"/>
      <x:c r="K14" s="52" t="n"/>
      <x:c r="L14" s="52" t="n"/>
      <x:c r="M14" s="52" t="n"/>
      <x:c r="N14" s="52" t="n"/>
      <x:c r="O14" s="52" t="n"/>
      <x:c r="P14" s="52" t="n"/>
      <x:c r="Q14" s="52" t="n"/>
      <x:c r="R14" s="52" t="n"/>
    </x:row>
    <x:row r="15">
      <x:c r="A15" s="52" t="inlineStr">
        <x:is>
          <x:t xml:space="preserve">Прибыль банкетов до налога</x:t>
        </x:is>
      </x:c>
      <x:c r="B15" s="188" t="n">
        <x:f>'07_PNL_НАЛОГИ'!P29</x:f>
        <x:v>1800000</x:v>
      </x:c>
      <x:c r="C15" s="188" t="n">
        <x:f>'07_PNL_НАЛОГИ'!Q29</x:f>
        <x:v>150000</x:v>
      </x:c>
      <x:c r="D15" s="52" t="n"/>
      <x:c r="E15" s="52" t="inlineStr">
        <x:is>
          <x:t xml:space="preserve">Рентабельность банкетов до налога</x:t>
        </x:is>
      </x:c>
      <x:c r="F15" s="189" t="n">
        <x:f>IF('07_PNL_НАЛОГИ'!P25=0,0,'07_PNL_НАЛОГИ'!P29/'07_PNL_НАЛОГИ'!P25)</x:f>
        <x:v>0.5</x:v>
      </x:c>
      <x:c r="G15" s="52" t="n"/>
      <x:c r="H15" s="52" t="n"/>
      <x:c r="I15" s="52" t="n"/>
      <x:c r="J15" s="52" t="n"/>
      <x:c r="K15" s="52" t="n"/>
      <x:c r="L15" s="52" t="n"/>
      <x:c r="M15" s="52" t="n"/>
      <x:c r="N15" s="52" t="n"/>
      <x:c r="O15" s="52" t="n"/>
      <x:c r="P15" s="52" t="n"/>
      <x:c r="Q15" s="52" t="n"/>
      <x:c r="R15" s="52" t="n"/>
    </x:row>
    <x:row r="16">
      <x:c r="A16" s="52" t="inlineStr">
        <x:is>
          <x:t xml:space="preserve">Чистый результат банкетов</x:t>
        </x:is>
      </x:c>
      <x:c r="B16" s="188" t="n">
        <x:f>'07_PNL_НАЛОГИ'!P41</x:f>
        <x:v>1764000</x:v>
      </x:c>
      <x:c r="C16" s="188" t="n">
        <x:f>'07_PNL_НАЛОГИ'!Q41</x:f>
        <x:v>147000</x:v>
      </x:c>
      <x:c r="D16" s="52" t="n"/>
      <x:c r="E16" s="52" t="inlineStr">
        <x:is>
          <x:t xml:space="preserve">Упущенные доходы кафе из-за банкетов</x:t>
        </x:is>
      </x:c>
      <x:c r="F16" s="188" t="n">
        <x:f>'03_ДОХОДЫ'!P30</x:f>
        <x:v>2969000</x:v>
      </x:c>
      <x:c r="G16" s="52" t="n"/>
      <x:c r="H16" s="52" t="n"/>
      <x:c r="I16" s="52" t="n"/>
      <x:c r="J16" s="52" t="n"/>
      <x:c r="K16" s="52" t="n"/>
      <x:c r="L16" s="52" t="n"/>
      <x:c r="M16" s="52" t="n"/>
      <x:c r="N16" s="52" t="n"/>
      <x:c r="O16" s="52" t="n"/>
      <x:c r="P16" s="52" t="n"/>
      <x:c r="Q16" s="52" t="n"/>
      <x:c r="R16" s="52" t="n"/>
    </x:row>
    <x:row r="17">
      <x:c r="A17" s="52" t="inlineStr">
        <x:is>
          <x:t xml:space="preserve">Совокупные доходы проекта</x:t>
        </x:is>
      </x:c>
      <x:c r="B17" s="188" t="n">
        <x:f>'07_PNL_НАЛОГИ'!P33</x:f>
        <x:v>49065800</x:v>
      </x:c>
      <x:c r="C17" s="188" t="n">
        <x:f>'07_PNL_НАЛОГИ'!Q33</x:f>
        <x:v>4088816.6666666665</x:v>
      </x:c>
      <x:c r="D17" s="52" t="n"/>
      <x:c r="E17" s="52" t="inlineStr">
        <x:is>
          <x:t xml:space="preserve">Доходы кафе на 1 м²</x:t>
        </x:is>
      </x:c>
      <x:c r="F17" s="188" t="n">
        <x:f>IF('01_ВВОД'!$D$7=0,0,'07_PNL_НАЛОГИ'!P6/'01_ВВОД'!$D$7)</x:f>
        <x:v>562000</x:v>
      </x:c>
      <x:c r="G17" s="52" t="n"/>
      <x:c r="H17" s="52" t="n"/>
      <x:c r="I17" s="52" t="n"/>
      <x:c r="J17" s="52" t="n"/>
      <x:c r="K17" s="52" t="n"/>
      <x:c r="L17" s="52" t="n"/>
      <x:c r="M17" s="52" t="n"/>
      <x:c r="N17" s="52" t="n"/>
      <x:c r="O17" s="52" t="n"/>
      <x:c r="P17" s="52" t="n"/>
      <x:c r="Q17" s="52" t="n"/>
      <x:c r="R17" s="52" t="n"/>
    </x:row>
    <x:row r="18">
      <x:c r="A18" s="52" t="inlineStr">
        <x:is>
          <x:t xml:space="preserve">Налог к уплате</x:t>
        </x:is>
      </x:c>
      <x:c r="B18" s="188" t="n">
        <x:f>'07_PNL_НАЛОГИ'!P37</x:f>
        <x:v>490658</x:v>
      </x:c>
      <x:c r="C18" s="188" t="n">
        <x:f>'07_PNL_НАЛОГИ'!Q37</x:f>
        <x:v>40888.166666666664</x:v>
      </x:c>
      <x:c r="D18" s="52" t="n"/>
      <x:c r="E18" s="52" t="str">
        <x:v>Гостиничных обслуживаний за год</x:v>
      </x:c>
      <x:c r="F18" s="188" t="n">
        <x:f>'03_ДОХОДЫ'!P22+'03_ДОХОДЫ'!P39</x:f>
        <x:v>10950</x:v>
      </x:c>
      <x:c r="G18" s="52" t="n"/>
      <x:c r="H18" s="52" t="n"/>
      <x:c r="I18" s="52" t="n"/>
      <x:c r="J18" s="52" t="n"/>
      <x:c r="K18" s="52" t="n"/>
      <x:c r="L18" s="52" t="n"/>
      <x:c r="M18" s="52" t="n"/>
      <x:c r="N18" s="52" t="n"/>
      <x:c r="O18" s="52" t="n"/>
      <x:c r="P18" s="52" t="n"/>
      <x:c r="Q18" s="52" t="n"/>
      <x:c r="R18" s="52" t="n"/>
    </x:row>
    <x:row r="19">
      <x:c r="A19" s="118" t="inlineStr">
        <x:is>
          <x:t xml:space="preserve">Чистая прибыль проекта</x:t>
        </x:is>
      </x:c>
      <x:c r="B19" s="190" t="n">
        <x:f>'07_PNL_НАЛОГИ'!P42</x:f>
        <x:v>1032905.171268474</x:v>
      </x:c>
      <x:c r="C19" s="190" t="n">
        <x:f>'07_PNL_НАЛОГИ'!Q42</x:f>
        <x:v>86075.43093903949</x:v>
      </x:c>
      <x:c r="D19" s="52" t="n"/>
      <x:c r="E19" s="52" t="str">
        <x:v>Напитков КОФЕ&amp;ЧАЙ за год</x:v>
      </x:c>
      <x:c r="F19" s="52" t="n">
        <x:f>'03_ДОХОДЫ'!P44</x:f>
        <x:v>17752</x:v>
      </x:c>
      <x:c r="G19" s="52" t="n"/>
      <x:c r="H19" s="52" t="n"/>
      <x:c r="I19" s="52" t="n"/>
      <x:c r="J19" s="52" t="n"/>
      <x:c r="K19" s="52" t="n"/>
      <x:c r="L19" s="52" t="n"/>
      <x:c r="M19" s="52" t="n"/>
      <x:c r="N19" s="52" t="n"/>
      <x:c r="O19" s="52" t="n"/>
      <x:c r="P19" s="52" t="n"/>
      <x:c r="Q19" s="52" t="n"/>
      <x:c r="R19" s="52" t="n"/>
    </x:row>
    <x:row r="20">
      <x:c r="A20" s="52" t="n"/>
      <x:c r="B20" s="52" t="n"/>
      <x:c r="C20" s="52" t="n"/>
      <x:c r="D20" s="52" t="n"/>
      <x:c r="E20" s="52" t="str">
        <x:v>Food cost гостиничного завтрака</x:v>
      </x:c>
      <x:c r="F20" s="277" t="n">
        <x:f>'01_ВВОД'!$D$143</x:f>
        <x:v>0.35142954545454547</x:v>
      </x:c>
      <x:c r="G20" s="52" t="n"/>
      <x:c r="H20" s="52" t="n"/>
      <x:c r="I20" s="52" t="n"/>
      <x:c r="J20" s="52" t="n"/>
      <x:c r="K20" s="52" t="n"/>
      <x:c r="L20" s="52" t="n"/>
      <x:c r="M20" s="52" t="n"/>
      <x:c r="N20" s="52" t="n"/>
      <x:c r="O20" s="52" t="n"/>
      <x:c r="P20" s="52" t="n"/>
      <x:c r="Q20" s="52" t="n"/>
      <x:c r="R20" s="52" t="n"/>
    </x:row>
    <x:row r="21">
      <x:c r="A21" s="52" t="n"/>
      <x:c r="B21" s="52" t="n"/>
      <x:c r="C21" s="52" t="n"/>
      <x:c r="D21" s="52" t="n"/>
      <x:c r="E21" s="52" t="n"/>
      <x:c r="F21" s="52" t="n"/>
      <x:c r="G21" s="52" t="n"/>
      <x:c r="H21" s="52" t="n"/>
      <x:c r="I21" s="52" t="n"/>
      <x:c r="J21" s="52" t="n"/>
      <x:c r="K21" s="52" t="n"/>
      <x:c r="L21" s="52" t="n"/>
      <x:c r="M21" s="52" t="n"/>
      <x:c r="N21" s="52" t="n"/>
      <x:c r="O21" s="52" t="n"/>
      <x:c r="P21" s="52" t="n"/>
      <x:c r="Q21" s="52" t="n"/>
      <x:c r="R21" s="52" t="n"/>
    </x:row>
    <x:row r="22">
      <x:c r="A22" s="122" t="inlineStr">
        <x:is>
          <x:t xml:space="preserve">ПОМЕСЯЧНЫЙ ЧИСТЫЙ РЕЗУЛЬТАТ</x:t>
        </x:is>
      </x:c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52" t="n"/>
      <x:c r="O22" s="52" t="n"/>
      <x:c r="P22" s="52" t="n"/>
      <x:c r="Q22" s="52" t="n"/>
      <x:c r="R22" s="52" t="n"/>
    </x:row>
    <x:row r="23">
      <x:c r="A23" s="18" t="inlineStr">
        <x:is>
          <x:t xml:space="preserve">Показатель</x:t>
        </x:is>
      </x:c>
      <x:c r="B23" s="18" t="inlineStr">
        <x:is>
          <x:t xml:space="preserve">Сен-26</x:t>
        </x:is>
      </x:c>
      <x:c r="C23" s="18" t="inlineStr">
        <x:is>
          <x:t xml:space="preserve">Окт-26</x:t>
        </x:is>
      </x:c>
      <x:c r="D23" s="18" t="inlineStr">
        <x:is>
          <x:t xml:space="preserve">Ноя-26</x:t>
        </x:is>
      </x:c>
      <x:c r="E23" s="18" t="inlineStr">
        <x:is>
          <x:t xml:space="preserve">Дек-26</x:t>
        </x:is>
      </x:c>
      <x:c r="F23" s="18" t="inlineStr">
        <x:is>
          <x:t xml:space="preserve">Янв-27</x:t>
        </x:is>
      </x:c>
      <x:c r="G23" s="18" t="inlineStr">
        <x:is>
          <x:t xml:space="preserve">Фев-27</x:t>
        </x:is>
      </x:c>
      <x:c r="H23" s="18" t="inlineStr">
        <x:is>
          <x:t xml:space="preserve">Мар-27</x:t>
        </x:is>
      </x:c>
      <x:c r="I23" s="18" t="inlineStr">
        <x:is>
          <x:t xml:space="preserve">Апр-27</x:t>
        </x:is>
      </x:c>
      <x:c r="J23" s="18" t="inlineStr">
        <x:is>
          <x:t xml:space="preserve">Май-27</x:t>
        </x:is>
      </x:c>
      <x:c r="K23" s="18" t="inlineStr">
        <x:is>
          <x:t xml:space="preserve">Июн-27</x:t>
        </x:is>
      </x:c>
      <x:c r="L23" s="18" t="inlineStr">
        <x:is>
          <x:t xml:space="preserve">Июл-27</x:t>
        </x:is>
      </x:c>
      <x:c r="M23" s="18" t="inlineStr">
        <x:is>
          <x:t xml:space="preserve">Авг-27</x:t>
        </x:is>
      </x:c>
      <x:c r="N23" s="52" t="n"/>
      <x:c r="O23" s="52" t="n"/>
      <x:c r="P23" s="52" t="n"/>
      <x:c r="Q23" s="52" t="n"/>
      <x:c r="R23" s="52" t="n"/>
    </x:row>
    <x:row r="24">
      <x:c r="A24" s="52" t="inlineStr">
        <x:is>
          <x:t xml:space="preserve">Кафе</x:t>
        </x:is>
      </x:c>
      <x:c r="B24" s="188" t="n">
        <x:f>'07_PNL_НАЛОГИ'!D40</x:f>
        <x:v>53265.66644499179</x:v>
      </x:c>
      <x:c r="C24" s="188" t="n">
        <x:f>'07_PNL_НАЛОГИ'!E40</x:f>
        <x:v>156464.64123070618</x:v>
      </x:c>
      <x:c r="D24" s="188" t="n">
        <x:f>'07_PNL_НАЛОГИ'!F40</x:f>
        <x:v>-110158.33355500821</x:v>
      </x:c>
      <x:c r="E24" s="188" t="n">
        <x:f>'07_PNL_НАЛОГИ'!G40</x:f>
        <x:v>-68079.05876929399</x:v>
      </x:c>
      <x:c r="F24" s="188" t="n">
        <x:f>'07_PNL_НАЛОГИ'!H40</x:f>
        <x:v>11762.941230706012</x:v>
      </x:c>
      <x:c r="G24" s="188" t="n">
        <x:f>'07_PNL_НАЛОГИ'!I40</x:f>
        <x:v>-274445.9831264363</x:v>
      </x:c>
      <x:c r="H24" s="188" t="n">
        <x:f>'07_PNL_НАЛОГИ'!J40</x:f>
        <x:v>-82470.3587692938</x:v>
      </x:c>
      <x:c r="I24" s="188" t="n">
        <x:f>'07_PNL_НАЛОГИ'!K40</x:f>
        <x:v>-126291.73355500765</x:v>
      </x:c>
      <x:c r="J24" s="188" t="n">
        <x:f>'07_PNL_НАЛОГИ'!L40</x:f>
        <x:v>-37415.55876929399</x:v>
      </x:c>
      <x:c r="K24" s="188" t="n">
        <x:f>'07_PNL_НАЛОГИ'!M40</x:f>
        <x:v>-161193.23355500767</x:v>
      </x:c>
      <x:c r="L24" s="188" t="n">
        <x:f>'07_PNL_НАЛОГИ'!N40</x:f>
        <x:v>-23177.558769293988</x:v>
      </x:c>
      <x:c r="M24" s="188" t="n">
        <x:f>'07_PNL_НАЛОГИ'!O40</x:f>
        <x:v>-69356.25876929417</x:v>
      </x:c>
      <x:c r="N24" s="52" t="n"/>
      <x:c r="O24" s="52" t="n"/>
      <x:c r="P24" s="52" t="n"/>
      <x:c r="Q24" s="52" t="n"/>
      <x:c r="R24" s="52" t="n"/>
    </x:row>
    <x:row r="25">
      <x:c r="A25" s="52" t="inlineStr">
        <x:is>
          <x:t xml:space="preserve">Банкеты</x:t>
        </x:is>
      </x:c>
      <x:c r="B25" s="188" t="n">
        <x:f>'07_PNL_НАЛОГИ'!D41</x:f>
        <x:v>0</x:v>
      </x:c>
      <x:c r="C25" s="188" t="n">
        <x:f>'07_PNL_НАЛОГИ'!E41</x:f>
        <x:v>0</x:v>
      </x:c>
      <x:c r="D25" s="188" t="n">
        <x:f>'07_PNL_НАЛОГИ'!F41</x:f>
        <x:v>176400</x:v>
      </x:c>
      <x:c r="E25" s="188" t="n">
        <x:f>'07_PNL_НАЛОГИ'!G41</x:f>
        <x:v>176400</x:v>
      </x:c>
      <x:c r="F25" s="188" t="n">
        <x:f>'07_PNL_НАЛОГИ'!H41</x:f>
        <x:v>176400</x:v>
      </x:c>
      <x:c r="G25" s="188" t="n">
        <x:f>'07_PNL_НАЛОГИ'!I41</x:f>
        <x:v>176400</x:v>
      </x:c>
      <x:c r="H25" s="188" t="n">
        <x:f>'07_PNL_НАЛОГИ'!J41</x:f>
        <x:v>176400</x:v>
      </x:c>
      <x:c r="I25" s="188" t="n">
        <x:f>'07_PNL_НАЛОГИ'!K41</x:f>
        <x:v>176400</x:v>
      </x:c>
      <x:c r="J25" s="188" t="n">
        <x:f>'07_PNL_НАЛОГИ'!L41</x:f>
        <x:v>176400</x:v>
      </x:c>
      <x:c r="K25" s="188" t="n">
        <x:f>'07_PNL_НАЛОГИ'!M41</x:f>
        <x:v>176400</x:v>
      </x:c>
      <x:c r="L25" s="188" t="n">
        <x:f>'07_PNL_НАЛОГИ'!N41</x:f>
        <x:v>176400</x:v>
      </x:c>
      <x:c r="M25" s="188" t="n">
        <x:f>'07_PNL_НАЛОГИ'!O41</x:f>
        <x:v>176400</x:v>
      </x:c>
      <x:c r="N25" s="52" t="n"/>
      <x:c r="O25" s="52" t="n"/>
      <x:c r="P25" s="52" t="n"/>
      <x:c r="Q25" s="52" t="n"/>
      <x:c r="R25" s="52" t="n"/>
    </x:row>
    <x:row r="26">
      <x:c r="A26" s="52" t="inlineStr">
        <x:is>
          <x:t xml:space="preserve">Проект</x:t>
        </x:is>
      </x:c>
      <x:c r="B26" s="188" t="n">
        <x:f>'07_PNL_НАЛОГИ'!D42</x:f>
        <x:v>53265.66644499179</x:v>
      </x:c>
      <x:c r="C26" s="188" t="n">
        <x:f>'07_PNL_НАЛОГИ'!E42</x:f>
        <x:v>156464.64123070618</x:v>
      </x:c>
      <x:c r="D26" s="188" t="n">
        <x:f>'07_PNL_НАЛОГИ'!F42</x:f>
        <x:v>66241.66644499179</x:v>
      </x:c>
      <x:c r="E26" s="188" t="n">
        <x:f>'07_PNL_НАЛОГИ'!G42</x:f>
        <x:v>108320.94123070601</x:v>
      </x:c>
      <x:c r="F26" s="188" t="n">
        <x:f>'07_PNL_НАЛОГИ'!H42</x:f>
        <x:v>188162.941230706</x:v>
      </x:c>
      <x:c r="G26" s="188" t="n">
        <x:f>'07_PNL_НАЛОГИ'!I42</x:f>
        <x:v>-98045.9831264363</x:v>
      </x:c>
      <x:c r="H26" s="188" t="n">
        <x:f>'07_PNL_НАЛОГИ'!J42</x:f>
        <x:v>93929.6412307062</x:v>
      </x:c>
      <x:c r="I26" s="188" t="n">
        <x:f>'07_PNL_НАЛОГИ'!K42</x:f>
        <x:v>50108.26644499235</x:v>
      </x:c>
      <x:c r="J26" s="188" t="n">
        <x:f>'07_PNL_НАЛОГИ'!L42</x:f>
        <x:v>138984.441230706</x:v>
      </x:c>
      <x:c r="K26" s="188" t="n">
        <x:f>'07_PNL_НАЛОГИ'!M42</x:f>
        <x:v>15206.766444992332</x:v>
      </x:c>
      <x:c r="L26" s="188" t="n">
        <x:f>'07_PNL_НАЛОГИ'!N42</x:f>
        <x:v>153222.441230706</x:v>
      </x:c>
      <x:c r="M26" s="188" t="n">
        <x:f>'07_PNL_НАЛОГИ'!O42</x:f>
        <x:v>107043.74123070583</x:v>
      </x:c>
      <x:c r="N26" s="52" t="n"/>
      <x:c r="O26" s="52" t="n"/>
      <x:c r="P26" s="52" t="n"/>
      <x:c r="Q26" s="52" t="n"/>
      <x:c r="R26" s="52" t="n"/>
    </x:row>
    <x:row r="27">
      <x:c r="A27" s="52" t="n"/>
      <x:c r="B27" s="52" t="n"/>
      <x:c r="C27" s="52" t="n"/>
      <x:c r="D27" s="52" t="n"/>
      <x:c r="E27" s="52" t="n"/>
      <x:c r="F27" s="52" t="n"/>
      <x:c r="G27" s="52" t="n"/>
      <x:c r="H27" s="52" t="n"/>
      <x:c r="I27" s="52" t="n"/>
      <x:c r="J27" s="52" t="n"/>
      <x:c r="K27" s="52" t="n"/>
      <x:c r="L27" s="52" t="n"/>
      <x:c r="M27" s="52" t="n"/>
      <x:c r="N27" s="52" t="n"/>
      <x:c r="O27" s="52" t="n"/>
      <x:c r="P27" s="52" t="n"/>
      <x:c r="Q27" s="52" t="n"/>
      <x:c r="R27" s="52" t="n"/>
    </x:row>
    <x:row r="28">
      <x:c r="A28" s="52" t="n"/>
      <x:c r="B28" s="52" t="n"/>
      <x:c r="C28" s="52" t="n"/>
      <x:c r="D28" s="52" t="n"/>
      <x:c r="E28" s="52" t="n"/>
      <x:c r="F28" s="52" t="n"/>
      <x:c r="G28" s="52" t="n"/>
      <x:c r="H28" s="52" t="n"/>
      <x:c r="I28" s="52" t="n"/>
      <x:c r="J28" s="52" t="n"/>
      <x:c r="K28" s="52" t="n"/>
      <x:c r="L28" s="52" t="n"/>
      <x:c r="M28" s="52" t="n"/>
      <x:c r="N28" s="52" t="n"/>
      <x:c r="O28" s="52" t="n"/>
      <x:c r="P28" s="52" t="n"/>
      <x:c r="Q28" s="52" t="n"/>
      <x:c r="R28" s="52" t="n"/>
    </x:row>
    <x:row r="29">
      <x:c r="A29" s="122" t="inlineStr">
        <x:is>
          <x:t xml:space="preserve">ВАЖНЫЕ ДОПУЩЕНИЯ</x:t>
        </x:is>
      </x:c>
      <x:c r="B29" s="1" t="n"/>
      <x:c r="C29" s="1" t="n"/>
      <x:c r="D29" s="1" t="n"/>
      <x:c r="E29" s="1" t="n"/>
      <x:c r="F29" s="1" t="n"/>
      <x:c r="G29" s="1" t="n"/>
      <x:c r="H29" s="1" t="n"/>
      <x:c r="I29" s="52" t="n"/>
      <x:c r="J29" s="52" t="n"/>
      <x:c r="K29" s="52" t="n"/>
      <x:c r="L29" s="52" t="n"/>
      <x:c r="M29" s="52" t="n"/>
      <x:c r="N29" s="52" t="n"/>
      <x:c r="O29" s="52" t="n"/>
      <x:c r="P29" s="52" t="n"/>
      <x:c r="Q29" s="52" t="n"/>
      <x:c r="R29" s="52" t="n"/>
    </x:row>
    <x:row r="30" s="174" customFormat="1" ht="34" customHeight="1">
      <x:c r="A30" s="162" t="inlineStr">
        <x:is>
          <x:t xml:space="preserve">1</x:t>
        </x:is>
      </x:c>
      <x:c r="B30" s="62" t="inlineStr">
        <x:is>
          <x:t xml:space="preserve">Праздничные переносы 2027 года в календаре требуют обновления после официального утверждения.</x:t>
        </x:is>
      </x:c>
      <x:c r="C30" s="1" t="n"/>
      <x:c r="D30" s="1" t="n"/>
      <x:c r="E30" s="1" t="n"/>
      <x:c r="F30" s="1" t="n"/>
      <x:c r="G30" s="1" t="n"/>
      <x:c r="H30" s="1" t="n"/>
      <x:c r="I30" s="52" t="n"/>
      <x:c r="J30" s="52" t="n"/>
      <x:c r="K30" s="52" t="n"/>
      <x:c r="L30" s="52" t="n"/>
      <x:c r="M30" s="52" t="n"/>
      <x:c r="N30" s="52" t="n"/>
      <x:c r="O30" s="52" t="n"/>
      <x:c r="P30" s="52" t="n"/>
      <x:c r="Q30" s="52" t="n"/>
      <x:c r="R30" s="52" t="n"/>
    </x:row>
    <x:row r="31" s="174" customFormat="1" ht="34" customHeight="1">
      <x:c r="A31" s="162" t="inlineStr">
        <x:is>
          <x:t xml:space="preserve">2</x:t>
        </x:is>
      </x:c>
      <x:c r="B31" s="62" t="inlineStr">
        <x:is>
          <x:t xml:space="preserve">НДС в модели установлен 0%; налоговую схему необходимо подтвердить отдельно.</x:t>
        </x:is>
      </x:c>
      <x:c r="C31" s="1" t="n"/>
      <x:c r="D31" s="1" t="n"/>
      <x:c r="E31" s="1" t="n"/>
      <x:c r="F31" s="1" t="n"/>
      <x:c r="G31" s="1" t="n"/>
      <x:c r="H31" s="1" t="n"/>
      <x:c r="I31" s="52" t="n"/>
      <x:c r="J31" s="52" t="n"/>
      <x:c r="K31" s="52" t="n"/>
      <x:c r="L31" s="52" t="n"/>
      <x:c r="M31" s="52" t="n"/>
      <x:c r="N31" s="52" t="n"/>
      <x:c r="O31" s="52" t="n"/>
      <x:c r="P31" s="52" t="n"/>
      <x:c r="Q31" s="52" t="n"/>
      <x:c r="R31" s="52" t="n"/>
    </x:row>
    <x:row r="32" s="174" customFormat="1" ht="34" customHeight="1">
      <x:c r="A32" s="162" t="inlineStr">
        <x:is>
          <x:t xml:space="preserve">3</x:t>
        </x:is>
      </x:c>
      <x:c r="B32" s="62" t="inlineStr">
        <x:is>
          <x:t xml:space="preserve">Оценочные расходы USALI выделены в 01_ВВОД и могут быть заменены без изменения формул.</x:t>
        </x:is>
      </x:c>
      <x:c r="C32" s="1" t="n"/>
      <x:c r="D32" s="1" t="n"/>
      <x:c r="E32" s="1" t="n"/>
      <x:c r="F32" s="1" t="n"/>
      <x:c r="G32" s="1" t="n"/>
      <x:c r="H32" s="1" t="n"/>
      <x:c r="I32" s="52" t="n"/>
      <x:c r="J32" s="52" t="n"/>
      <x:c r="K32" s="52" t="n"/>
      <x:c r="L32" s="52" t="n"/>
      <x:c r="M32" s="52" t="n"/>
      <x:c r="N32" s="52" t="n"/>
      <x:c r="O32" s="52" t="n"/>
      <x:c r="P32" s="52" t="n"/>
      <x:c r="Q32" s="52" t="n"/>
      <x:c r="R32" s="52" t="n"/>
    </x:row>
    <x:row r="33" s="174" customFormat="1" ht="34" customHeight="1">
      <x:c r="A33" s="162" t="inlineStr">
        <x:is>
          <x:t xml:space="preserve">4</x:t>
        </x:is>
      </x:c>
      <x:c r="B33" s="62" t="inlineStr">
        <x:is>
          <x:t xml:space="preserve">Налог УСН рассчитан консолидированно; распределение между кафе и банкетами — управленческое, по выручке.</x:t>
        </x:is>
      </x:c>
      <x:c r="C33" s="1" t="n"/>
      <x:c r="D33" s="1" t="n"/>
      <x:c r="E33" s="1" t="n"/>
      <x:c r="F33" s="1" t="n"/>
      <x:c r="G33" s="1" t="n"/>
      <x:c r="H33" s="1" t="n"/>
      <x:c r="I33" s="52" t="n"/>
      <x:c r="J33" s="52" t="n"/>
      <x:c r="K33" s="52" t="n"/>
      <x:c r="L33" s="52" t="n"/>
      <x:c r="M33" s="52" t="n"/>
      <x:c r="N33" s="52" t="n"/>
      <x:c r="O33" s="52" t="n"/>
      <x:c r="P33" s="52" t="n"/>
      <x:c r="Q33" s="52" t="n"/>
      <x:c r="R33" s="52" t="n"/>
    </x:row>
    <x:row r="34">
      <x:c r="A34" t="str">
        <x:v>5</x:v>
      </x:c>
      <x:c r="B34" t="str">
        <x:v>Комплект посуды достаточен на старте; для сохранения пар-уровня на горизонте 3–6 месяцев предусмотрен ежемесячный резерв на бой и оперативный дозаказ.</x:v>
      </x:c>
    </x:row>
    <x:row r="35">
      <x:c r="A35" t="str">
        <x:v>6</x:v>
      </x:c>
      <x:c r="B35" t="str">
        <x:v>Гостиничный завтрак: три варианта, 550 руб. с НДС, внешняя продажа отсутствует; себестоимость предварительная до документов поставщиков.</x:v>
      </x:c>
      <x:c r="C35"/>
      <x:c r="D35"/>
      <x:c r="E35"/>
      <x:c r="F35"/>
      <x:c r="G35"/>
      <x:c r="H35"/>
      <x:c r="I35"/>
      <x:c r="J35"/>
      <x:c r="K35"/>
      <x:c r="L35"/>
      <x:c r="M35"/>
    </x:row>
    <x:row r="36">
      <x:c r="A36" s="244" t="str">
        <x:v>ИНВЕСТИЦИИ В ПОСУДУ</x:v>
      </x:c>
      <x:c r="B36" s="244"/>
      <x:c r="C36" s="244"/>
      <x:c r="D36" s="244"/>
      <x:c r="E36" s="244"/>
      <x:c r="F36" s="244"/>
    </x:row>
    <x:row r="37">
      <x:c r="A37" s="223" t="str">
        <x:v>Первоначальная закупка, руб.</x:v>
      </x:c>
      <x:c r="B37" s="236" t="n">
        <x:f>'12_ЦЕНТР_ИНВЕСТИЦИЙ'!$D$7</x:f>
        <x:v>372013</x:v>
      </x:c>
      <x:c r="C37" s="223"/>
      <x:c r="D37" s="223" t="str">
        <x:v>Позиций в заказе</x:v>
      </x:c>
      <x:c r="E37" s="234" t="n">
        <x:f>COUNTA('11_ПОСУДА'!$D$9:$D$29)</x:f>
        <x:v>21</x:v>
      </x:c>
      <x:c r="F37" s="223"/>
    </x:row>
    <x:row r="38">
      <x:c r="A38" s="223" t="str">
        <x:v>Резерв пополнения / мес., руб.</x:v>
      </x:c>
      <x:c r="B38" s="236" t="n">
        <x:f>'11_ПОСУДА'!$F$5</x:f>
        <x:v>10884.63</x:v>
      </x:c>
      <x:c r="C38" s="223"/>
      <x:c r="D38" s="223" t="str">
        <x:v>Риск дозаказа к 6 мес.</x:v>
      </x:c>
      <x:c r="E38" s="234" t="n">
        <x:f>'11_ПОСУДА'!$M$5</x:f>
        <x:v>5</x:v>
      </x:c>
      <x:c r="F38" s="223"/>
    </x:row>
    <x:row r="39">
      <x:c r="A39" s="223" t="str">
        <x:v>Потребность на первые 6 мес., руб.</x:v>
      </x:c>
      <x:c r="B39" s="236" t="n">
        <x:f>'12_ЦЕНТР_ИНВЕСТИЦИЙ'!$D$9</x:f>
        <x:v>437320.78</x:v>
      </x:c>
      <x:c r="C39" s="223"/>
      <x:c r="D39" s="223" t="str">
        <x:v>Статус</x:v>
      </x:c>
      <x:c r="E39" s="223" t="str">
        <x:f>'11_ПОСУДА'!$P$5</x:f>
        <x:v>Достаточно на старте; нужен плановый дозаказ</x:v>
      </x:c>
      <x:c r="F39" s="223"/>
    </x:row>
  </x:sheetData>
  <x:mergeCells>
    <x:mergeCell ref="B32:H32"/>
    <x:mergeCell ref="E9:H9"/>
    <x:mergeCell ref="A29:H29"/>
    <x:mergeCell ref="A2:R2"/>
    <x:mergeCell ref="A22:M22"/>
    <x:mergeCell ref="A9:F9"/>
    <x:mergeCell ref="B30:H30"/>
    <x:mergeCell ref="A1:R1"/>
    <x:mergeCell ref="A4:F4"/>
    <x:mergeCell ref="B33:H33"/>
    <x:mergeCell ref="B31:H31"/>
    <x:mergeCell ref="A36:F36"/>
  </x:mergeCells>
  <x:pageMargins left="0.7" right="0.7" top="0.75" bottom="0.75" header="0.3" footer="0.3"/>
  <x:drawing xmlns:r="http://schemas.openxmlformats.org/officeDocument/2006/relationships" r:id="R52d14dbb238b4814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19" style="174" customWidth="1"/>
    <x:col min="3" max="3" width="42" style="174" customWidth="1"/>
    <x:col min="4" max="4" width="16" style="174" customWidth="1"/>
    <x:col min="5" max="5" width="16" style="174" customWidth="1"/>
    <x:col min="6" max="6" width="18" style="174" customWidth="1"/>
    <x:col min="7" max="7" width="48" style="174" customWidth="1"/>
  </x:cols>
  <x:sheetData>
    <x:row r="1" s="174" customFormat="1" ht="28" customHeight="1">
      <x:c r="A1" s="9" t="inlineStr">
        <x:is>
          <x:t xml:space="preserve">VARSHAVKA — исходные данные операционной модели</x:t>
        </x:is>
      </x:c>
      <x:c r="B1" s="1" t="n"/>
      <x:c r="C1" s="1" t="n"/>
      <x:c r="D1" s="1" t="n"/>
      <x:c r="E1" s="1" t="n"/>
      <x:c r="F1" s="1" t="n"/>
      <x:c r="G1" s="1" t="n"/>
    </x:row>
    <x:row r="2">
      <x:c r="A2" s="13" t="inlineStr">
        <x:is>
          <x:t xml:space="preserve">Операционный год: сентябрь 2026 — август 2027. Синие ячейки — изменяемые входные данные; жёлтая/оранжевая заливка — допущения, требующие проверки.</x:t>
        </x:is>
      </x:c>
      <x:c r="B2" s="1" t="n"/>
      <x:c r="C2" s="1" t="n"/>
      <x:c r="D2" s="1" t="n"/>
      <x:c r="E2" s="1" t="n"/>
      <x:c r="F2" s="1" t="n"/>
      <x:c r="G2" s="1" t="n"/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Параметр</x:t>
        </x:is>
      </x:c>
      <x:c r="D4" s="18" t="inlineStr">
        <x:is>
          <x:t xml:space="preserve">Значение</x:t>
        </x:is>
      </x:c>
      <x:c r="E4" s="18" t="inlineStr">
        <x:is>
          <x:t xml:space="preserve">Ед.</x:t>
        </x:is>
      </x:c>
      <x:c r="F4" s="18" t="inlineStr">
        <x:is>
          <x:t xml:space="preserve">Статус</x:t>
        </x:is>
      </x:c>
      <x:c r="G4" s="18" t="inlineStr">
        <x:is>
          <x:t xml:space="preserve">Источник / комментарий</x:t>
        </x:is>
      </x:c>
    </x:row>
    <x:row r="5">
      <x:c r="A5" s="52" t="inlineStr">
        <x:is>
          <x:t xml:space="preserve">START_DATE</x:t>
        </x:is>
      </x:c>
      <x:c r="B5" s="52" t="inlineStr">
        <x:is>
          <x:t xml:space="preserve">Проект</x:t>
        </x:is>
      </x:c>
      <x:c r="C5" s="52" t="inlineStr">
        <x:is>
          <x:t xml:space="preserve">Начало операционной деятельности</x:t>
        </x:is>
      </x:c>
      <x:c r="D5" s="191" t="n">
        <x:v>46266</x:v>
      </x:c>
      <x:c r="E5" s="52" t="inlineStr">
        <x:is>
          <x:t xml:space="preserve">дата</x:t>
        </x:is>
      </x:c>
      <x:c r="F5" s="52" t="inlineStr">
        <x:is>
          <x:t xml:space="preserve">Подтверждено</x:t>
        </x:is>
      </x:c>
      <x:c r="G5" s="52" t="inlineStr">
        <x:is>
          <x:t xml:space="preserve">Пользователь</x:t>
        </x:is>
      </x:c>
    </x:row>
    <x:row r="6">
      <x:c r="A6" s="52" t="inlineStr">
        <x:is>
          <x:t xml:space="preserve">END_DATE</x:t>
        </x:is>
      </x:c>
      <x:c r="B6" s="52" t="inlineStr">
        <x:is>
          <x:t xml:space="preserve">Проект</x:t>
        </x:is>
      </x:c>
      <x:c r="C6" s="52" t="inlineStr">
        <x:is>
          <x:t xml:space="preserve">Окончание операционного года</x:t>
        </x:is>
      </x:c>
      <x:c r="D6" s="192" t="n">
        <x:v>46630</x:v>
      </x:c>
      <x:c r="E6" s="52" t="inlineStr">
        <x:is>
          <x:t xml:space="preserve">дата</x:t>
        </x:is>
      </x:c>
      <x:c r="F6" s="52" t="inlineStr">
        <x:is>
          <x:t xml:space="preserve">Расчёт</x:t>
        </x:is>
      </x:c>
      <x:c r="G6" s="52" t="inlineStr">
        <x:is>
          <x:t xml:space="preserve">12 месяцев от старта</x:t>
        </x:is>
      </x:c>
    </x:row>
    <x:row r="7">
      <x:c r="A7" s="52" t="inlineStr">
        <x:is>
          <x:t xml:space="preserve">AREA</x:t>
        </x:is>
      </x:c>
      <x:c r="B7" s="52" t="inlineStr">
        <x:is>
          <x:t xml:space="preserve">Объект</x:t>
        </x:is>
      </x:c>
      <x:c r="C7" s="52" t="inlineStr">
        <x:is>
          <x:t xml:space="preserve">Площадь помещений №19, №20, №39</x:t>
        </x:is>
      </x:c>
      <x:c r="D7" s="193" t="n">
        <x:v>80.90000000000001</x:v>
      </x:c>
      <x:c r="E7" s="52" t="inlineStr">
        <x:is>
          <x:t xml:space="preserve">м²</x:t>
        </x:is>
      </x:c>
      <x:c r="F7" s="52" t="inlineStr">
        <x:is>
          <x:t xml:space="preserve">Подтверждено</x:t>
        </x:is>
      </x:c>
      <x:c r="G7" s="52" t="inlineStr">
        <x:is>
          <x:t xml:space="preserve">Схема помещений №19, №20, №39; https://drive.google.com/drive/folders/1VLrgg-vLogvAVUFPkVmkNqlbE9rJ0BNx?usp=drive_link</x:t>
        </x:is>
      </x:c>
    </x:row>
    <x:row r="8">
      <x:c r="A8" s="52" t="inlineStr">
        <x:is>
          <x:t xml:space="preserve">RENT_RATE</x:t>
        </x:is>
      </x:c>
      <x:c r="B8" s="52" t="inlineStr">
        <x:is>
          <x:t xml:space="preserve">Объект</x:t>
        </x:is>
      </x:c>
      <x:c r="C8" s="52" t="inlineStr">
        <x:is>
          <x:t xml:space="preserve">Ставка аренды</x:t>
        </x:is>
      </x:c>
      <x:c r="D8" s="193" t="n">
        <x:v>1000</x:v>
      </x:c>
      <x:c r="E8" s="52" t="inlineStr">
        <x:is>
          <x:t xml:space="preserve">руб./м²/мес.</x:t>
        </x:is>
      </x:c>
      <x:c r="F8" s="52" t="inlineStr">
        <x:is>
          <x:t xml:space="preserve">Подтверждено</x:t>
        </x:is>
      </x:c>
      <x:c r="G8" s="52" t="inlineStr">
        <x:is>
          <x:t xml:space="preserve">Пользователь</x:t>
        </x:is>
      </x:c>
    </x:row>
    <x:row r="9">
      <x:c r="A9" s="52" t="inlineStr">
        <x:is>
          <x:t xml:space="preserve">RENT_MONTH</x:t>
        </x:is>
      </x:c>
      <x:c r="B9" s="52" t="inlineStr">
        <x:is>
          <x:t xml:space="preserve">Объект</x:t>
        </x:is>
      </x:c>
      <x:c r="C9" s="52" t="inlineStr">
        <x:is>
          <x:t xml:space="preserve">Арендный платёж в месяц</x:t>
        </x:is>
      </x:c>
      <x:c r="D9" s="194" t="n">
        <x:f>D7*D8</x:f>
        <x:v>80900</x:v>
      </x:c>
      <x:c r="E9" s="52" t="inlineStr">
        <x:is>
          <x:t xml:space="preserve">руб./мес.</x:t>
        </x:is>
      </x:c>
      <x:c r="F9" s="52" t="inlineStr">
        <x:is>
          <x:t xml:space="preserve">Расчёт</x:t>
        </x:is>
      </x:c>
      <x:c r="G9" s="52" t="inlineStr">
        <x:is>
          <x:t xml:space="preserve">Площадь × ставка</x:t>
        </x:is>
      </x:c>
    </x:row>
    <x:row r="10">
      <x:c r="A10" s="52" t="inlineStr">
        <x:is>
          <x:t xml:space="preserve">SEATS</x:t>
        </x:is>
      </x:c>
      <x:c r="B10" s="52" t="inlineStr">
        <x:is>
          <x:t xml:space="preserve">Объект</x:t>
        </x:is>
      </x:c>
      <x:c r="C10" s="52" t="inlineStr">
        <x:is>
          <x:t xml:space="preserve">Расчётное число посадочных мест</x:t>
        </x:is>
      </x:c>
      <x:c r="D10" s="193" t="n">
        <x:v>20</x:v>
      </x:c>
      <x:c r="E10" s="52" t="inlineStr">
        <x:is>
          <x:t xml:space="preserve">мест</x:t>
        </x:is>
      </x:c>
      <x:c r="F10" s="52" t="inlineStr">
        <x:is>
          <x:t xml:space="preserve">Подтверждено</x:t>
        </x:is>
      </x:c>
      <x:c r="G10" s="52" t="inlineStr">
        <x:is>
          <x:t xml:space="preserve">Пользователь</x:t>
        </x:is>
      </x:c>
    </x:row>
    <x:row r="11">
      <x:c r="A11" s="52" t="inlineStr">
        <x:is>
          <x:t xml:space="preserve">MAX_SEATS</x:t>
        </x:is>
      </x:c>
      <x:c r="B11" s="52" t="inlineStr">
        <x:is>
          <x:t xml:space="preserve">Объект</x:t>
        </x:is>
      </x:c>
      <x:c r="C11" s="52" t="inlineStr">
        <x:is>
          <x:t xml:space="preserve">Максимальное число мест</x:t>
        </x:is>
      </x:c>
      <x:c r="D11" s="193" t="n">
        <x:v>26</x:v>
      </x:c>
      <x:c r="E11" s="52" t="inlineStr">
        <x:is>
          <x:t xml:space="preserve">мест</x:t>
        </x:is>
      </x:c>
      <x:c r="F11" s="52" t="inlineStr">
        <x:is>
          <x:t xml:space="preserve">Подтверждено</x:t>
        </x:is>
      </x:c>
      <x:c r="G11" s="52" t="inlineStr">
        <x:is>
          <x:t xml:space="preserve">Пользователь</x:t>
        </x:is>
      </x:c>
    </x:row>
    <x:row r="12">
      <x:c r="A12" s="52" t="inlineStr">
        <x:is>
          <x:t xml:space="preserve">USN_RATE</x:t>
        </x:is>
      </x:c>
      <x:c r="B12" s="52" t="inlineStr">
        <x:is>
          <x:t xml:space="preserve">Налоги</x:t>
        </x:is>
      </x:c>
      <x:c r="C12" s="52" t="inlineStr">
        <x:is>
          <x:t xml:space="preserve">УСН «Доходы минус расходы»</x:t>
        </x:is>
      </x:c>
      <x:c r="D12" s="195" t="n">
        <x:v>0.15</x:v>
      </x:c>
      <x:c r="E12" s="52" t="inlineStr">
        <x:is>
          <x:t xml:space="preserve">%</x:t>
        </x:is>
      </x:c>
      <x:c r="F12" s="52" t="inlineStr">
        <x:is>
          <x:t xml:space="preserve">Подтверждено</x:t>
        </x:is>
      </x:c>
      <x:c r="G12" s="52" t="inlineStr">
        <x:is>
          <x:t xml:space="preserve">Пользователь; справочно: https://www.nalog.gov.ru/rn77/taxation/taxes/usn/</x:t>
        </x:is>
      </x:c>
    </x:row>
    <x:row r="13">
      <x:c r="A13" s="52" t="inlineStr">
        <x:is>
          <x:t xml:space="preserve">MIN_TAX_RATE</x:t>
        </x:is>
      </x:c>
      <x:c r="B13" s="52" t="inlineStr">
        <x:is>
          <x:t xml:space="preserve">Налоги</x:t>
        </x:is>
      </x:c>
      <x:c r="C13" s="52" t="inlineStr">
        <x:is>
          <x:t xml:space="preserve">Минимальный налог УСН</x:t>
        </x:is>
      </x:c>
      <x:c r="D13" s="196" t="n">
        <x:v>0.01</x:v>
      </x:c>
      <x:c r="E13" s="52" t="inlineStr">
        <x:is>
          <x:t xml:space="preserve">%</x:t>
        </x:is>
      </x:c>
      <x:c r="F13" s="52" t="inlineStr">
        <x:is>
          <x:t xml:space="preserve">Методика</x:t>
        </x:is>
      </x:c>
      <x:c r="G13" s="52" t="inlineStr">
        <x:is>
          <x:t xml:space="preserve">https://www.nalog.gov.ru/rn77/taxation/taxes/usn/</x:t>
        </x:is>
      </x:c>
    </x:row>
    <x:row r="14">
      <x:c r="A14" s="52" t="inlineStr">
        <x:is>
          <x:t xml:space="preserve">ACQ_RATE</x:t>
        </x:is>
      </x:c>
      <x:c r="B14" s="52" t="inlineStr">
        <x:is>
          <x:t xml:space="preserve">Налоги и комиссии</x:t>
        </x:is>
      </x:c>
      <x:c r="C14" s="52" t="inlineStr">
        <x:is>
          <x:t xml:space="preserve">Эквайринг</x:t>
        </x:is>
      </x:c>
      <x:c r="D14" s="195" t="n">
        <x:v>0.015</x:v>
      </x:c>
      <x:c r="E14" s="52" t="inlineStr">
        <x:is>
          <x:t xml:space="preserve">% выручки</x:t>
        </x:is>
      </x:c>
      <x:c r="F14" s="52" t="inlineStr">
        <x:is>
          <x:t xml:space="preserve">Подтверждено</x:t>
        </x:is>
      </x:c>
      <x:c r="G14" s="52" t="inlineStr">
        <x:is>
          <x:t xml:space="preserve">Пользователь</x:t>
        </x:is>
      </x:c>
    </x:row>
    <x:row r="15">
      <x:c r="A15" s="52" t="inlineStr">
        <x:is>
          <x:t xml:space="preserve">VAT_RATE</x:t>
        </x:is>
      </x:c>
      <x:c r="B15" s="52" t="inlineStr">
        <x:is>
          <x:t xml:space="preserve">Налоги</x:t>
        </x:is>
      </x:c>
      <x:c r="C15" s="52" t="inlineStr">
        <x:is>
          <x:t xml:space="preserve">НДС в модели</x:t>
        </x:is>
      </x:c>
      <x:c r="D15" s="197" t="n">
        <x:v>0</x:v>
      </x:c>
      <x:c r="E15" s="52" t="inlineStr">
        <x:is>
          <x:t xml:space="preserve">%</x:t>
        </x:is>
      </x:c>
      <x:c r="F15" s="52" t="inlineStr">
        <x:is>
          <x:t xml:space="preserve">Требует решения</x:t>
        </x:is>
      </x:c>
      <x:c r="G15" s="52" t="inlineStr">
        <x:is>
          <x:t xml:space="preserve">Пока 0%; проверить: https://www.nalog.gov.ru/rn77/taxation/taxes/nds_usn/</x:t>
        </x:is>
      </x:c>
    </x:row>
    <x:row r="16">
      <x:c r="A16" s="52" t="inlineStr">
        <x:is>
          <x:t xml:space="preserve">SPOILAGE_RATE</x:t>
        </x:is>
      </x:c>
      <x:c r="B16" s="52" t="inlineStr">
        <x:is>
          <x:t xml:space="preserve">Себестоимость</x:t>
        </x:is>
      </x:c>
      <x:c r="C16" s="52" t="inlineStr">
        <x:is>
          <x:t xml:space="preserve">Списания и порча</x:t>
        </x:is>
      </x:c>
      <x:c r="D16" s="197" t="n">
        <x:v>0.015</x:v>
      </x:c>
      <x:c r="E16" s="52" t="inlineStr">
        <x:is>
          <x:t xml:space="preserve">% food cost</x:t>
        </x:is>
      </x:c>
      <x:c r="F16" s="52" t="inlineStr">
        <x:is>
          <x:t xml:space="preserve">Допущение</x:t>
        </x:is>
      </x:c>
      <x:c r="G16" s="52" t="inlineStr">
        <x:is>
          <x:t xml:space="preserve">Рабочий резерв</x:t>
        </x:is>
      </x:c>
    </x:row>
    <x:row r="17">
      <x:c r="A17" s="52" t="inlineStr">
        <x:is>
          <x:t xml:space="preserve">INV_DIFF_RATE</x:t>
        </x:is>
      </x:c>
      <x:c r="B17" s="52" t="inlineStr">
        <x:is>
          <x:t xml:space="preserve">Себестоимость</x:t>
        </x:is>
      </x:c>
      <x:c r="C17" s="52" t="inlineStr">
        <x:is>
          <x:t xml:space="preserve">Инвентаризационные расхождения</x:t>
        </x:is>
      </x:c>
      <x:c r="D17" s="197" t="n">
        <x:v>0.005</x:v>
      </x:c>
      <x:c r="E17" s="52" t="inlineStr">
        <x:is>
          <x:t xml:space="preserve">% food cost</x:t>
        </x:is>
      </x:c>
      <x:c r="F17" s="52" t="inlineStr">
        <x:is>
          <x:t xml:space="preserve">Допущение</x:t>
        </x:is>
      </x:c>
      <x:c r="G17" s="52" t="inlineStr">
        <x:is>
          <x:t xml:space="preserve">Рабочий резерв</x:t>
        </x:is>
      </x:c>
    </x:row>
    <x:row r="18">
      <x:c r="A18" s="52" t="inlineStr">
        <x:is>
          <x:t xml:space="preserve">ALA_CHECK</x:t>
        </x:is>
      </x:c>
      <x:c r="B18" s="52" t="inlineStr">
        <x:is>
          <x:t xml:space="preserve">А-ля карт</x:t>
        </x:is>
      </x:c>
      <x:c r="C18" s="52" t="inlineStr">
        <x:is>
          <x:t xml:space="preserve">Средний чек на гостя</x:t>
        </x:is>
      </x:c>
      <x:c r="D18" s="193" t="n">
        <x:v>1000</x:v>
      </x:c>
      <x:c r="E18" s="52" t="inlineStr">
        <x:is>
          <x:t xml:space="preserve">руб./гость</x:t>
        </x:is>
      </x:c>
      <x:c r="F18" s="52" t="inlineStr">
        <x:is>
          <x:t xml:space="preserve">Подтверждено</x:t>
        </x:is>
      </x:c>
      <x:c r="G18" s="52" t="inlineStr">
        <x:is>
          <x:t xml:space="preserve">Пользователь</x:t>
        </x:is>
      </x:c>
    </x:row>
    <x:row r="19">
      <x:c r="A19" s="52" t="inlineStr">
        <x:is>
          <x:t xml:space="preserve">ALA_MON_THU</x:t>
        </x:is>
      </x:c>
      <x:c r="B19" s="52" t="inlineStr">
        <x:is>
          <x:t xml:space="preserve">А-ля карт</x:t>
        </x:is>
      </x:c>
      <x:c r="C19" s="52" t="inlineStr">
        <x:is>
          <x:t xml:space="preserve">Гостей понедельник–четверг</x:t>
        </x:is>
      </x:c>
      <x:c r="D19" s="193" t="n">
        <x:v>32</x:v>
      </x:c>
      <x:c r="E19" s="52" t="inlineStr">
        <x:is>
          <x:t xml:space="preserve">гостей/день</x:t>
        </x:is>
      </x:c>
      <x:c r="F19" s="52" t="inlineStr">
        <x:is>
          <x:t xml:space="preserve">Подтверждено</x:t>
        </x:is>
      </x:c>
      <x:c r="G19" s="52" t="inlineStr">
        <x:is>
          <x:t xml:space="preserve">Пользователь</x:t>
        </x:is>
      </x:c>
    </x:row>
    <x:row r="20">
      <x:c r="A20" s="52" t="inlineStr">
        <x:is>
          <x:t xml:space="preserve">ALA_FRI</x:t>
        </x:is>
      </x:c>
      <x:c r="B20" s="52" t="inlineStr">
        <x:is>
          <x:t xml:space="preserve">А-ля карт</x:t>
        </x:is>
      </x:c>
      <x:c r="C20" s="52" t="inlineStr">
        <x:is>
          <x:t xml:space="preserve">Гостей в пятницу</x:t>
        </x:is>
      </x:c>
      <x:c r="D20" s="193" t="n">
        <x:v>45</x:v>
      </x:c>
      <x:c r="E20" s="52" t="inlineStr">
        <x:is>
          <x:t xml:space="preserve">гостей/день</x:t>
        </x:is>
      </x:c>
      <x:c r="F20" s="52" t="inlineStr">
        <x:is>
          <x:t xml:space="preserve">Подтверждено</x:t>
        </x:is>
      </x:c>
      <x:c r="G20" s="52" t="inlineStr">
        <x:is>
          <x:t xml:space="preserve">Пользователь</x:t>
        </x:is>
      </x:c>
    </x:row>
    <x:row r="21">
      <x:c r="A21" s="52" t="inlineStr">
        <x:is>
          <x:t xml:space="preserve">ALA_SAT</x:t>
        </x:is>
      </x:c>
      <x:c r="B21" s="52" t="inlineStr">
        <x:is>
          <x:t xml:space="preserve">А-ля карт</x:t>
        </x:is>
      </x:c>
      <x:c r="C21" s="52" t="inlineStr">
        <x:is>
          <x:t xml:space="preserve">Гостей в субботу</x:t>
        </x:is>
      </x:c>
      <x:c r="D21" s="193" t="n">
        <x:v>80</x:v>
      </x:c>
      <x:c r="E21" s="52" t="inlineStr">
        <x:is>
          <x:t xml:space="preserve">гостей/день</x:t>
        </x:is>
      </x:c>
      <x:c r="F21" s="52" t="inlineStr">
        <x:is>
          <x:t xml:space="preserve">Подтверждено</x:t>
        </x:is>
      </x:c>
      <x:c r="G21" s="52" t="inlineStr">
        <x:is>
          <x:t xml:space="preserve">Пользователь</x:t>
        </x:is>
      </x:c>
    </x:row>
    <x:row r="22">
      <x:c r="A22" s="52" t="inlineStr">
        <x:is>
          <x:t xml:space="preserve">ALA_SUN</x:t>
        </x:is>
      </x:c>
      <x:c r="B22" s="52" t="inlineStr">
        <x:is>
          <x:t xml:space="preserve">А-ля карт</x:t>
        </x:is>
      </x:c>
      <x:c r="C22" s="52" t="inlineStr">
        <x:is>
          <x:t xml:space="preserve">Гостей в воскресенье</x:t>
        </x:is>
      </x:c>
      <x:c r="D22" s="193" t="n">
        <x:v>70</x:v>
      </x:c>
      <x:c r="E22" s="52" t="inlineStr">
        <x:is>
          <x:t xml:space="preserve">гостей/день</x:t>
        </x:is>
      </x:c>
      <x:c r="F22" s="52" t="inlineStr">
        <x:is>
          <x:t xml:space="preserve">Подтверждено</x:t>
        </x:is>
      </x:c>
      <x:c r="G22" s="52" t="inlineStr">
        <x:is>
          <x:t xml:space="preserve">Пользователь</x:t>
        </x:is>
      </x:c>
    </x:row>
    <x:row r="23">
      <x:c r="A23" s="52" t="inlineStr">
        <x:is>
          <x:t xml:space="preserve">ALA_HOL</x:t>
        </x:is>
      </x:c>
      <x:c r="B23" s="52" t="inlineStr">
        <x:is>
          <x:t xml:space="preserve">А-ля карт</x:t>
        </x:is>
      </x:c>
      <x:c r="C23" s="52" t="inlineStr">
        <x:is>
          <x:t xml:space="preserve">Гостей в праздничный день</x:t>
        </x:is>
      </x:c>
      <x:c r="D23" s="193" t="n">
        <x:v>70</x:v>
      </x:c>
      <x:c r="E23" s="52" t="inlineStr">
        <x:is>
          <x:t xml:space="preserve">гостей/день</x:t>
        </x:is>
      </x:c>
      <x:c r="F23" s="52" t="inlineStr">
        <x:is>
          <x:t xml:space="preserve">Подтверждено</x:t>
        </x:is>
      </x:c>
      <x:c r="G23" s="52" t="inlineStr">
        <x:is>
          <x:t xml:space="preserve">Как воскресенье</x:t>
        </x:is>
      </x:c>
    </x:row>
    <x:row r="24">
      <x:c r="A24" s="52" t="inlineStr">
        <x:is>
          <x:t xml:space="preserve">ALA_COGS</x:t>
        </x:is>
      </x:c>
      <x:c r="B24" s="52" t="inlineStr">
        <x:is>
          <x:t xml:space="preserve">А-ля карт</x:t>
        </x:is>
      </x:c>
      <x:c r="C24" s="52" t="inlineStr">
        <x:is>
          <x:t xml:space="preserve">Food cost</x:t>
        </x:is>
      </x:c>
      <x:c r="D24" s="195" t="n">
        <x:v>0.3</x:v>
      </x:c>
      <x:c r="E24" s="52" t="inlineStr">
        <x:is>
          <x:t xml:space="preserve">% выручки</x:t>
        </x:is>
      </x:c>
      <x:c r="F24" s="52" t="inlineStr">
        <x:is>
          <x:t xml:space="preserve">Подтверждено</x:t>
        </x:is>
      </x:c>
      <x:c r="G24" s="52" t="inlineStr">
        <x:is>
          <x:t xml:space="preserve">Пользователь</x:t>
        </x:is>
      </x:c>
    </x:row>
    <x:row r="25">
      <x:c r="A25" s="52" t="inlineStr">
        <x:is>
          <x:t xml:space="preserve">ALA_CASHLESS</x:t>
        </x:is>
      </x:c>
      <x:c r="B25" s="52" t="inlineStr">
        <x:is>
          <x:t xml:space="preserve">А-ля карт</x:t>
        </x:is>
      </x:c>
      <x:c r="C25" s="52" t="inlineStr">
        <x:is>
          <x:t xml:space="preserve">Доля безналичной оплаты</x:t>
        </x:is>
      </x:c>
      <x:c r="D25" s="197" t="n">
        <x:v>1</x:v>
      </x:c>
      <x:c r="E25" s="52" t="inlineStr">
        <x:is>
          <x:t xml:space="preserve">%</x:t>
        </x:is>
      </x:c>
      <x:c r="F25" s="52" t="inlineStr">
        <x:is>
          <x:t xml:space="preserve">Допущение</x:t>
        </x:is>
      </x:c>
      <x:c r="G25" s="52" t="inlineStr">
        <x:is>
          <x:t xml:space="preserve">До уточнения — 100%</x:t>
        </x:is>
      </x:c>
    </x:row>
    <x:row r="26">
      <x:c r="A26" s="52" t="inlineStr">
        <x:is>
          <x:t xml:space="preserve">LUNCH_GUESTS</x:t>
        </x:is>
      </x:c>
      <x:c r="B26" s="52" t="inlineStr">
        <x:is>
          <x:t xml:space="preserve">Бизнес-ланч</x:t>
        </x:is>
      </x:c>
      <x:c r="C26" s="52" t="inlineStr">
        <x:is>
          <x:t xml:space="preserve">Гостей в рабочий день</x:t>
        </x:is>
      </x:c>
      <x:c r="D26" s="193" t="n">
        <x:v>40</x:v>
      </x:c>
      <x:c r="E26" s="52" t="inlineStr">
        <x:is>
          <x:t xml:space="preserve">гостей/день</x:t>
        </x:is>
      </x:c>
      <x:c r="F26" s="52" t="inlineStr">
        <x:is>
          <x:t xml:space="preserve">Подтверждено</x:t>
        </x:is>
      </x:c>
      <x:c r="G26" s="52" t="inlineStr">
        <x:is>
          <x:t xml:space="preserve">Пользователь</x:t>
        </x:is>
      </x:c>
    </x:row>
    <x:row r="27">
      <x:c r="A27" s="52" t="inlineStr">
        <x:is>
          <x:t xml:space="preserve">LUNCH_DISCOUNT</x:t>
        </x:is>
      </x:c>
      <x:c r="B27" s="52" t="inlineStr">
        <x:is>
          <x:t xml:space="preserve">Бизнес-ланч</x:t>
        </x:is>
      </x:c>
      <x:c r="C27" s="52" t="inlineStr">
        <x:is>
          <x:t xml:space="preserve">Скидка к а-ля карт</x:t>
        </x:is>
      </x:c>
      <x:c r="D27" s="195" t="n">
        <x:v>0.25</x:v>
      </x:c>
      <x:c r="E27" s="52" t="inlineStr">
        <x:is>
          <x:t xml:space="preserve">%</x:t>
        </x:is>
      </x:c>
      <x:c r="F27" s="52" t="inlineStr">
        <x:is>
          <x:t xml:space="preserve">Подтверждено</x:t>
        </x:is>
      </x:c>
      <x:c r="G27" s="52" t="inlineStr">
        <x:is>
          <x:t xml:space="preserve">Пользователь, 17.07.2026; скидка 25% от среднего чека a-la carte</x:t>
        </x:is>
      </x:c>
    </x:row>
    <x:row r="28">
      <x:c r="A28" s="52" t="inlineStr">
        <x:is>
          <x:t xml:space="preserve">LUNCH_CHECK</x:t>
        </x:is>
      </x:c>
      <x:c r="B28" s="52" t="inlineStr">
        <x:is>
          <x:t xml:space="preserve">Бизнес-ланч</x:t>
        </x:is>
      </x:c>
      <x:c r="C28" s="52" t="inlineStr">
        <x:is>
          <x:t xml:space="preserve">Средний чек после скидки</x:t>
        </x:is>
      </x:c>
      <x:c r="D28" s="194" t="n">
        <x:f>D18*(1-D27)</x:f>
        <x:v>750</x:v>
      </x:c>
      <x:c r="E28" s="52" t="inlineStr">
        <x:is>
          <x:t xml:space="preserve">руб./гость</x:t>
        </x:is>
      </x:c>
      <x:c r="F28" s="52" t="inlineStr">
        <x:is>
          <x:t xml:space="preserve">Расчёт</x:t>
        </x:is>
      </x:c>
      <x:c r="G28" s="52" t="inlineStr">
        <x:is>
          <x:t xml:space="preserve">Средний чек a-la carte × (1 − скидка) = 1 000 × 75% = 750 руб.</x:t>
        </x:is>
      </x:c>
    </x:row>
    <x:row r="29">
      <x:c r="A29" s="52" t="inlineStr">
        <x:is>
          <x:t xml:space="preserve">LUNCH_COGS</x:t>
        </x:is>
      </x:c>
      <x:c r="B29" s="52" t="inlineStr">
        <x:is>
          <x:t xml:space="preserve">Бизнес-ланч</x:t>
        </x:is>
      </x:c>
      <x:c r="C29" s="52" t="inlineStr">
        <x:is>
          <x:t xml:space="preserve">Эффективный food cost</x:t>
        </x:is>
      </x:c>
      <x:c r="D29" s="198" t="n">
        <x:f>D24/(1-D27)</x:f>
        <x:v>0.39999999999999997</x:v>
      </x:c>
      <x:c r="E29" s="52" t="inlineStr">
        <x:is>
          <x:t xml:space="preserve">% выручки</x:t>
        </x:is>
      </x:c>
      <x:c r="F29" s="52" t="inlineStr">
        <x:is>
          <x:t xml:space="preserve">Расчёт</x:t>
        </x:is>
      </x:c>
      <x:c r="G29" s="52" t="inlineStr">
        <x:is>
          <x:t xml:space="preserve">30% / (1 − 25%)</x:t>
        </x:is>
      </x:c>
    </x:row>
    <x:row r="30">
      <x:c r="A30" s="52" t="inlineStr">
        <x:is>
          <x:t xml:space="preserve">LUNCH_CASHLESS</x:t>
        </x:is>
      </x:c>
      <x:c r="B30" s="52" t="inlineStr">
        <x:is>
          <x:t xml:space="preserve">Бизнес-ланч</x:t>
        </x:is>
      </x:c>
      <x:c r="C30" s="52" t="inlineStr">
        <x:is>
          <x:t xml:space="preserve">Доля безналичной оплаты</x:t>
        </x:is>
      </x:c>
      <x:c r="D30" s="197" t="n">
        <x:v>1</x:v>
      </x:c>
      <x:c r="E30" s="52" t="inlineStr">
        <x:is>
          <x:t xml:space="preserve">%</x:t>
        </x:is>
      </x:c>
      <x:c r="F30" s="52" t="inlineStr">
        <x:is>
          <x:t xml:space="preserve">Допущение</x:t>
        </x:is>
      </x:c>
      <x:c r="G30" s="52" t="inlineStr">
        <x:is>
          <x:t xml:space="preserve">До уточнения — 100%</x:t>
        </x:is>
      </x:c>
    </x:row>
    <x:row r="31">
      <x:c r="A31" s="52" t="inlineStr">
        <x:is>
          <x:t xml:space="preserve">DELIV_CHECK</x:t>
        </x:is>
      </x:c>
      <x:c r="B31" s="52" t="inlineStr">
        <x:is>
          <x:t xml:space="preserve">Доставка</x:t>
        </x:is>
      </x:c>
      <x:c r="C31" s="52" t="inlineStr">
        <x:is>
          <x:t xml:space="preserve">Средний чек</x:t>
        </x:is>
      </x:c>
      <x:c r="D31" s="193" t="n">
        <x:v>1200</x:v>
      </x:c>
      <x:c r="E31" s="52" t="inlineStr">
        <x:is>
          <x:t xml:space="preserve">руб./заказ</x:t>
        </x:is>
      </x:c>
      <x:c r="F31" s="52" t="inlineStr">
        <x:is>
          <x:t xml:space="preserve">Подтверждено</x:t>
        </x:is>
      </x:c>
      <x:c r="G31" s="52" t="inlineStr">
        <x:is>
          <x:t xml:space="preserve">Пользователь</x:t>
        </x:is>
      </x:c>
    </x:row>
    <x:row r="32">
      <x:c r="A32" s="52" t="inlineStr">
        <x:is>
          <x:t xml:space="preserve">DELIV_WEEKDAY</x:t>
        </x:is>
      </x:c>
      <x:c r="B32" s="52" t="inlineStr">
        <x:is>
          <x:t xml:space="preserve">Доставка</x:t>
        </x:is>
      </x:c>
      <x:c r="C32" s="52" t="inlineStr">
        <x:is>
          <x:t xml:space="preserve">Заказов в будний день</x:t>
        </x:is>
      </x:c>
      <x:c r="D32" s="193" t="n">
        <x:v>15</x:v>
      </x:c>
      <x:c r="E32" s="52" t="inlineStr">
        <x:is>
          <x:t xml:space="preserve">заказов/день</x:t>
        </x:is>
      </x:c>
      <x:c r="F32" s="52" t="inlineStr">
        <x:is>
          <x:t xml:space="preserve">Подтверждено</x:t>
        </x:is>
      </x:c>
      <x:c r="G32" s="52" t="inlineStr">
        <x:is>
          <x:t xml:space="preserve">Пользователь</x:t>
        </x:is>
      </x:c>
    </x:row>
    <x:row r="33">
      <x:c r="A33" s="52" t="inlineStr">
        <x:is>
          <x:t xml:space="preserve">DELIV_WEEKEND</x:t>
        </x:is>
      </x:c>
      <x:c r="B33" s="52" t="inlineStr">
        <x:is>
          <x:t xml:space="preserve">Доставка</x:t>
        </x:is>
      </x:c>
      <x:c r="C33" s="52" t="inlineStr">
        <x:is>
          <x:t xml:space="preserve">Заказов в субботу/воскресенье</x:t>
        </x:is>
      </x:c>
      <x:c r="D33" s="193" t="n">
        <x:v>30</x:v>
      </x:c>
      <x:c r="E33" s="52" t="inlineStr">
        <x:is>
          <x:t xml:space="preserve">заказов/день</x:t>
        </x:is>
      </x:c>
      <x:c r="F33" s="52" t="inlineStr">
        <x:is>
          <x:t xml:space="preserve">Подтверждено</x:t>
        </x:is>
      </x:c>
      <x:c r="G33" s="52" t="inlineStr">
        <x:is>
          <x:t xml:space="preserve">Пользователь</x:t>
        </x:is>
      </x:c>
    </x:row>
    <x:row r="34">
      <x:c r="A34" s="52" t="inlineStr">
        <x:is>
          <x:t xml:space="preserve">DELIV_HOL</x:t>
        </x:is>
      </x:c>
      <x:c r="B34" s="52" t="inlineStr">
        <x:is>
          <x:t xml:space="preserve">Доставка</x:t>
        </x:is>
      </x:c>
      <x:c r="C34" s="52" t="inlineStr">
        <x:is>
          <x:t xml:space="preserve">Заказов в праздничный день</x:t>
        </x:is>
      </x:c>
      <x:c r="D34" s="199" t="n">
        <x:v>30</x:v>
      </x:c>
      <x:c r="E34" s="52" t="inlineStr">
        <x:is>
          <x:t xml:space="preserve">заказов/день</x:t>
        </x:is>
      </x:c>
      <x:c r="F34" s="52" t="inlineStr">
        <x:is>
          <x:t xml:space="preserve">Допущение</x:t>
        </x:is>
      </x:c>
      <x:c r="G34" s="52" t="inlineStr">
        <x:is>
          <x:t xml:space="preserve">Как выходной</x:t>
        </x:is>
      </x:c>
    </x:row>
    <x:row r="35">
      <x:c r="A35" s="52" t="inlineStr">
        <x:is>
          <x:t xml:space="preserve">DELIV_COGS</x:t>
        </x:is>
      </x:c>
      <x:c r="B35" s="52" t="inlineStr">
        <x:is>
          <x:t xml:space="preserve">Доставка</x:t>
        </x:is>
      </x:c>
      <x:c r="C35" s="52" t="inlineStr">
        <x:is>
          <x:t xml:space="preserve">Food cost</x:t>
        </x:is>
      </x:c>
      <x:c r="D35" s="195" t="n">
        <x:v>0.3</x:v>
      </x:c>
      <x:c r="E35" s="52" t="inlineStr">
        <x:is>
          <x:t xml:space="preserve">% выручки</x:t>
        </x:is>
      </x:c>
      <x:c r="F35" s="52" t="inlineStr">
        <x:is>
          <x:t xml:space="preserve">Подтверждено</x:t>
        </x:is>
      </x:c>
      <x:c r="G35" s="52" t="inlineStr">
        <x:is>
          <x:t xml:space="preserve">Пользователь</x:t>
        </x:is>
      </x:c>
    </x:row>
    <x:row r="36">
      <x:c r="A36" s="52" t="inlineStr">
        <x:is>
          <x:t xml:space="preserve">DELIV_COURIER</x:t>
        </x:is>
      </x:c>
      <x:c r="B36" s="52" t="inlineStr">
        <x:is>
          <x:t xml:space="preserve">Доставка</x:t>
        </x:is>
      </x:c>
      <x:c r="C36" s="52" t="inlineStr">
        <x:is>
          <x:t xml:space="preserve">Оплата доставщику</x:t>
        </x:is>
      </x:c>
      <x:c r="D36" s="193" t="n">
        <x:v>200</x:v>
      </x:c>
      <x:c r="E36" s="52" t="inlineStr">
        <x:is>
          <x:t xml:space="preserve">руб./заказ</x:t>
        </x:is>
      </x:c>
      <x:c r="F36" s="52" t="inlineStr">
        <x:is>
          <x:t xml:space="preserve">Подтверждено</x:t>
        </x:is>
      </x:c>
      <x:c r="G36" s="52" t="inlineStr">
        <x:is>
          <x:t xml:space="preserve">Пользователь</x:t>
        </x:is>
      </x:c>
    </x:row>
    <x:row r="37">
      <x:c r="A37" s="52" t="inlineStr">
        <x:is>
          <x:t xml:space="preserve">DELIV_PACK</x:t>
        </x:is>
      </x:c>
      <x:c r="B37" s="52" t="inlineStr">
        <x:is>
          <x:t xml:space="preserve">Доставка</x:t>
        </x:is>
      </x:c>
      <x:c r="C37" s="52" t="inlineStr">
        <x:is>
          <x:t xml:space="preserve">Упаковка</x:t>
        </x:is>
      </x:c>
      <x:c r="D37" s="199" t="n">
        <x:v>65</x:v>
      </x:c>
      <x:c r="E37" s="52" t="inlineStr">
        <x:is>
          <x:t xml:space="preserve">руб./заказ</x:t>
        </x:is>
      </x:c>
      <x:c r="F37" s="52" t="inlineStr">
        <x:is>
          <x:t xml:space="preserve">Допущение</x:t>
        </x:is>
      </x:c>
      <x:c r="G37" s="52" t="inlineStr">
        <x:is>
          <x:t xml:space="preserve">Середина диапазона 50–80 руб.; заменить на факт</x:t>
        </x:is>
      </x:c>
    </x:row>
    <x:row r="38">
      <x:c r="A38" s="52" t="inlineStr">
        <x:is>
          <x:t xml:space="preserve">DELIV_CASHLESS</x:t>
        </x:is>
      </x:c>
      <x:c r="B38" s="52" t="inlineStr">
        <x:is>
          <x:t xml:space="preserve">Доставка</x:t>
        </x:is>
      </x:c>
      <x:c r="C38" s="52" t="inlineStr">
        <x:is>
          <x:t xml:space="preserve">Доля безналичной оплаты</x:t>
        </x:is>
      </x:c>
      <x:c r="D38" s="197" t="n">
        <x:v>1</x:v>
      </x:c>
      <x:c r="E38" s="52" t="inlineStr">
        <x:is>
          <x:t xml:space="preserve">%</x:t>
        </x:is>
      </x:c>
      <x:c r="F38" s="52" t="inlineStr">
        <x:is>
          <x:t xml:space="preserve">Допущение</x:t>
        </x:is>
      </x:c>
      <x:c r="G38" s="52" t="inlineStr">
        <x:is>
          <x:t xml:space="preserve">До уточнения — 100%</x:t>
        </x:is>
      </x:c>
    </x:row>
    <x:row r="39">
      <x:c r="A39" s="52" t="inlineStr">
        <x:is>
          <x:t xml:space="preserve">PICK_CHECK</x:t>
        </x:is>
      </x:c>
      <x:c r="B39" s="52" t="inlineStr">
        <x:is>
          <x:t xml:space="preserve">Самовывоз</x:t>
        </x:is>
      </x:c>
      <x:c r="C39" s="52" t="inlineStr">
        <x:is>
          <x:t xml:space="preserve">Средний чек</x:t>
        </x:is>
      </x:c>
      <x:c r="D39" s="193" t="n">
        <x:v>400</x:v>
      </x:c>
      <x:c r="E39" s="52" t="inlineStr">
        <x:is>
          <x:t xml:space="preserve">руб./заказ</x:t>
        </x:is>
      </x:c>
      <x:c r="F39" s="52" t="inlineStr">
        <x:is>
          <x:t xml:space="preserve">Подтверждено</x:t>
        </x:is>
      </x:c>
      <x:c r="G39" s="52" t="inlineStr">
        <x:is>
          <x:t xml:space="preserve">Пользователь</x:t>
        </x:is>
      </x:c>
    </x:row>
    <x:row r="40">
      <x:c r="A40" s="52" t="inlineStr">
        <x:is>
          <x:t xml:space="preserve">PICK_ORDERS</x:t>
        </x:is>
      </x:c>
      <x:c r="B40" s="52" t="inlineStr">
        <x:is>
          <x:t xml:space="preserve">Самовывоз</x:t>
        </x:is>
      </x:c>
      <x:c r="C40" s="52" t="inlineStr">
        <x:is>
          <x:t xml:space="preserve">Заказов в календарный день</x:t>
        </x:is>
      </x:c>
      <x:c r="D40" s="193" t="n">
        <x:v>12</x:v>
      </x:c>
      <x:c r="E40" s="52" t="inlineStr">
        <x:is>
          <x:t xml:space="preserve">заказов/день</x:t>
        </x:is>
      </x:c>
      <x:c r="F40" s="52" t="inlineStr">
        <x:is>
          <x:t xml:space="preserve">Подтверждено</x:t>
        </x:is>
      </x:c>
      <x:c r="G40" s="52" t="inlineStr">
        <x:is>
          <x:t xml:space="preserve">Пользователь</x:t>
        </x:is>
      </x:c>
    </x:row>
    <x:row r="41">
      <x:c r="A41" s="52" t="inlineStr">
        <x:is>
          <x:t xml:space="preserve">PICK_DISCOUNT</x:t>
        </x:is>
      </x:c>
      <x:c r="B41" s="52" t="inlineStr">
        <x:is>
          <x:t xml:space="preserve">Самовывоз</x:t>
        </x:is>
      </x:c>
      <x:c r="C41" s="52" t="inlineStr">
        <x:is>
          <x:t xml:space="preserve">Скидка к а-ля карт</x:t>
        </x:is>
      </x:c>
      <x:c r="D41" s="195" t="n">
        <x:v>0.3</x:v>
      </x:c>
      <x:c r="E41" s="52" t="inlineStr">
        <x:is>
          <x:t xml:space="preserve">%</x:t>
        </x:is>
      </x:c>
      <x:c r="F41" s="52" t="inlineStr">
        <x:is>
          <x:t xml:space="preserve">Подтверждено</x:t>
        </x:is>
      </x:c>
      <x:c r="G41" s="52" t="inlineStr">
        <x:is>
          <x:t xml:space="preserve">Пользователь</x:t>
        </x:is>
      </x:c>
    </x:row>
    <x:row r="42">
      <x:c r="A42" s="52" t="inlineStr">
        <x:is>
          <x:t xml:space="preserve">PICK_COGS</x:t>
        </x:is>
      </x:c>
      <x:c r="B42" s="52" t="inlineStr">
        <x:is>
          <x:t xml:space="preserve">Самовывоз</x:t>
        </x:is>
      </x:c>
      <x:c r="C42" s="52" t="inlineStr">
        <x:is>
          <x:t xml:space="preserve">Эффективный food cost</x:t>
        </x:is>
      </x:c>
      <x:c r="D42" s="198" t="n">
        <x:f>D24/(1-D41)</x:f>
        <x:v>0.4285714285714286</x:v>
      </x:c>
      <x:c r="E42" s="52" t="inlineStr">
        <x:is>
          <x:t xml:space="preserve">% выручки</x:t>
        </x:is>
      </x:c>
      <x:c r="F42" s="52" t="inlineStr">
        <x:is>
          <x:t xml:space="preserve">Расчёт</x:t>
        </x:is>
      </x:c>
      <x:c r="G42" s="52" t="inlineStr">
        <x:is>
          <x:t xml:space="preserve">30% / (1 − 30%)</x:t>
        </x:is>
      </x:c>
    </x:row>
    <x:row r="43">
      <x:c r="A43" s="52" t="inlineStr">
        <x:is>
          <x:t xml:space="preserve">PICK_PACK</x:t>
        </x:is>
      </x:c>
      <x:c r="B43" s="52" t="inlineStr">
        <x:is>
          <x:t xml:space="preserve">Самовывоз</x:t>
        </x:is>
      </x:c>
      <x:c r="C43" s="52" t="inlineStr">
        <x:is>
          <x:t xml:space="preserve">Упаковка</x:t>
        </x:is>
      </x:c>
      <x:c r="D43" s="199" t="n">
        <x:v>40</x:v>
      </x:c>
      <x:c r="E43" s="52" t="inlineStr">
        <x:is>
          <x:t xml:space="preserve">руб./заказ</x:t>
        </x:is>
      </x:c>
      <x:c r="F43" s="52" t="inlineStr">
        <x:is>
          <x:t xml:space="preserve">Допущение</x:t>
        </x:is>
      </x:c>
      <x:c r="G43" s="52" t="inlineStr">
        <x:is>
          <x:t xml:space="preserve">Середина диапазона 30–50 руб.; заменить на факт</x:t>
        </x:is>
      </x:c>
    </x:row>
    <x:row r="44">
      <x:c r="A44" s="52" t="inlineStr">
        <x:is>
          <x:t xml:space="preserve">PICK_CASHLESS</x:t>
        </x:is>
      </x:c>
      <x:c r="B44" s="52" t="inlineStr">
        <x:is>
          <x:t xml:space="preserve">Самовывоз</x:t>
        </x:is>
      </x:c>
      <x:c r="C44" s="52" t="inlineStr">
        <x:is>
          <x:t xml:space="preserve">Доля безналичной оплаты</x:t>
        </x:is>
      </x:c>
      <x:c r="D44" s="197" t="n">
        <x:v>1</x:v>
      </x:c>
      <x:c r="E44" s="52" t="inlineStr">
        <x:is>
          <x:t xml:space="preserve">%</x:t>
        </x:is>
      </x:c>
      <x:c r="F44" s="52" t="inlineStr">
        <x:is>
          <x:t xml:space="preserve">Допущение</x:t>
        </x:is>
      </x:c>
      <x:c r="G44" s="52" t="inlineStr">
        <x:is>
          <x:t xml:space="preserve">До уточнения — 100%</x:t>
        </x:is>
      </x:c>
    </x:row>
    <x:row r="45">
      <x:c r="A45" s="52" t="str">
        <x:v>HOTEL_BREAKFAST_CHECK</x:v>
      </x:c>
      <x:c r="B45" s="52" t="str">
        <x:v>Гостиница — завтраки</x:v>
      </x:c>
      <x:c r="C45" s="52" t="str">
        <x:v>Внутренний тариф гостиничного завтрака с НДС</x:v>
      </x:c>
      <x:c r="D45" s="193" t="n">
        <x:v>550</x:v>
      </x:c>
      <x:c r="E45" s="52" t="inlineStr">
        <x:is>
          <x:t xml:space="preserve">руб./заказ</x:t>
        </x:is>
      </x:c>
      <x:c r="F45" s="52" t="str">
        <x:v>Подтверждено</x:v>
      </x:c>
      <x:c r="G45" s="52" t="str">
        <x:v>Включён в проживание; внешняя продажа и доплаты запрещены</x:v>
      </x:c>
    </x:row>
    <x:row r="46">
      <x:c r="A46" s="52" t="str">
        <x:v>HOTEL_BREAKFAST_ORDERS</x:v>
      </x:c>
      <x:c r="B46" s="52" t="str">
        <x:v>Гостиница — завтраки</x:v>
      </x:c>
      <x:c r="C46" s="52" t="str">
        <x:v>Завтраков каждый календарный день</x:v>
      </x:c>
      <x:c r="D46" s="193" t="n">
        <x:v>20</x:v>
      </x:c>
      <x:c r="E46" s="52" t="inlineStr">
        <x:is>
          <x:t xml:space="preserve">заказов/день</x:t>
        </x:is>
      </x:c>
      <x:c r="F46" s="52" t="inlineStr">
        <x:is>
          <x:t xml:space="preserve">Подтверждено</x:t>
        </x:is>
      </x:c>
      <x:c r="G46" s="52" t="str">
        <x:v>20 подтверждённых обслуживаний ежедневно</x:v>
      </x:c>
    </x:row>
    <x:row r="47">
      <x:c r="A47" s="52" t="str">
        <x:v>HOTEL_BREAKFAST_COGS</x:v>
      </x:c>
      <x:c r="B47" s="52" t="str">
        <x:v>Гостиница — завтраки</x:v>
      </x:c>
      <x:c r="C47" s="52" t="str">
        <x:v>Средневзвешенный food cost трёх вариантов</x:v>
      </x:c>
      <x:c r="D47" s="195" t="n">
        <x:f>'01_ВВОД'!$D$143</x:f>
        <x:v>0.35142954545454547</x:v>
      </x:c>
      <x:c r="E47" s="52" t="inlineStr">
        <x:is>
          <x:t xml:space="preserve">% выручки</x:t>
        </x:is>
      </x:c>
      <x:c r="F47" s="52" t="str">
        <x:v>Предварительный расчёт</x:v>
      </x:c>
      <x:c r="G47" s="52" t="str">
        <x:v>Формула от полной прямой себестоимости; заменить после документов поставщиков</x:v>
      </x:c>
    </x:row>
    <x:row r="48">
      <x:c r="A48" s="52" t="str">
        <x:v>HOTEL_BREAKFAST_PACK</x:v>
      </x:c>
      <x:c r="B48" s="52" t="str">
        <x:v>Гостиница — завтраки</x:v>
      </x:c>
      <x:c r="C48" s="52" t="str">
        <x:v>Упаковка / расходники завтрака</x:v>
      </x:c>
      <x:c r="D48" s="199" t="n">
        <x:v>0</x:v>
      </x:c>
      <x:c r="E48" s="52" t="inlineStr">
        <x:is>
          <x:t xml:space="preserve">руб./заказ</x:t>
        </x:is>
      </x:c>
      <x:c r="F48" s="52" t="str">
        <x:v>Подтверждено</x:v>
      </x:c>
      <x:c r="G48" s="52" t="str">
        <x:v>Многоразовая посуда; общие салфетки и сахар относятся в OPEX</x:v>
      </x:c>
    </x:row>
    <x:row r="49">
      <x:c r="A49" s="52" t="str">
        <x:v>HOTEL_BREAKFAST_CASHLESS</x:v>
      </x:c>
      <x:c r="B49" s="52" t="str">
        <x:v>Гостиница — завтраки</x:v>
      </x:c>
      <x:c r="C49" s="52" t="str">
        <x:v>Доля выручки завтрака с эквайрингом</x:v>
      </x:c>
      <x:c r="D49" s="197" t="n">
        <x:v>0</x:v>
      </x:c>
      <x:c r="E49" s="52" t="inlineStr">
        <x:is>
          <x:t xml:space="preserve">%</x:t>
        </x:is>
      </x:c>
      <x:c r="F49" s="52" t="str">
        <x:v>Расчёт</x:v>
      </x:c>
      <x:c r="G49" s="52" t="str">
        <x:v>Внутренний тариф Гостиницы; эквайринг гостя отсутствует, подтвердить договором</x:v>
      </x:c>
    </x:row>
    <x:row r="50">
      <x:c r="A50" s="52" t="inlineStr">
        <x:is>
          <x:t xml:space="preserve">BANQ_START</x:t>
        </x:is>
      </x:c>
      <x:c r="B50" s="52" t="inlineStr">
        <x:is>
          <x:t xml:space="preserve">Банкеты</x:t>
        </x:is>
      </x:c>
      <x:c r="C50" s="52" t="inlineStr">
        <x:is>
          <x:t xml:space="preserve">Начало банкетов</x:t>
        </x:is>
      </x:c>
      <x:c r="D50" s="191" t="n">
        <x:v>46327</x:v>
      </x:c>
      <x:c r="E50" s="52" t="inlineStr">
        <x:is>
          <x:t xml:space="preserve">дата</x:t>
        </x:is>
      </x:c>
      <x:c r="F50" s="52" t="inlineStr">
        <x:is>
          <x:t xml:space="preserve">Подтверждено</x:t>
        </x:is>
      </x:c>
      <x:c r="G50" s="52" t="inlineStr">
        <x:is>
          <x:t xml:space="preserve">Сентябрь–октябрь без банкетов</x:t>
        </x:is>
      </x:c>
    </x:row>
    <x:row r="51">
      <x:c r="A51" s="52" t="inlineStr">
        <x:is>
          <x:t xml:space="preserve">BANQ_PER_MONTH</x:t>
        </x:is>
      </x:c>
      <x:c r="B51" s="52" t="inlineStr">
        <x:is>
          <x:t xml:space="preserve">Банкеты</x:t>
        </x:is>
      </x:c>
      <x:c r="C51" s="52" t="inlineStr">
        <x:is>
          <x:t xml:space="preserve">Банкетов в месяц с ноября</x:t>
        </x:is>
      </x:c>
      <x:c r="D51" s="193" t="n">
        <x:v>6</x:v>
      </x:c>
      <x:c r="E51" s="52" t="inlineStr">
        <x:is>
          <x:t xml:space="preserve">банкетов/мес.</x:t>
        </x:is>
      </x:c>
      <x:c r="F51" s="52" t="inlineStr">
        <x:is>
          <x:t xml:space="preserve">Подтверждено</x:t>
        </x:is>
      </x:c>
      <x:c r="G51" s="52" t="inlineStr">
        <x:is>
          <x:t xml:space="preserve">60 банкетов за 10 месяцев</x:t>
        </x:is>
      </x:c>
    </x:row>
    <x:row r="52">
      <x:c r="A52" s="52" t="inlineStr">
        <x:is>
          <x:t xml:space="preserve">BANQ_TOTAL</x:t>
        </x:is>
      </x:c>
      <x:c r="B52" s="52" t="inlineStr">
        <x:is>
          <x:t xml:space="preserve">Банкеты</x:t>
        </x:is>
      </x:c>
      <x:c r="C52" s="52" t="inlineStr">
        <x:is>
          <x:t xml:space="preserve">Банкетов за операционный год</x:t>
        </x:is>
      </x:c>
      <x:c r="D52" s="193" t="n">
        <x:v>60</x:v>
      </x:c>
      <x:c r="E52" s="52" t="inlineStr">
        <x:is>
          <x:t xml:space="preserve">банкетов/год</x:t>
        </x:is>
      </x:c>
      <x:c r="F52" s="52" t="inlineStr">
        <x:is>
          <x:t xml:space="preserve">Подтверждено</x:t>
        </x:is>
      </x:c>
      <x:c r="G52" s="52" t="inlineStr">
        <x:is>
          <x:t xml:space="preserve">Пользователь</x:t>
        </x:is>
      </x:c>
    </x:row>
    <x:row r="53">
      <x:c r="A53" s="52" t="inlineStr">
        <x:is>
          <x:t xml:space="preserve">BANQ_PART</x:t>
        </x:is>
      </x:c>
      <x:c r="B53" s="52" t="inlineStr">
        <x:is>
          <x:t xml:space="preserve">Банкеты</x:t>
        </x:is>
      </x:c>
      <x:c r="C53" s="52" t="inlineStr">
        <x:is>
          <x:t xml:space="preserve">Участников на банкет</x:t>
        </x:is>
      </x:c>
      <x:c r="D53" s="193" t="n">
        <x:v>20</x:v>
      </x:c>
      <x:c r="E53" s="52" t="inlineStr">
        <x:is>
          <x:t xml:space="preserve">чел.</x:t>
        </x:is>
      </x:c>
      <x:c r="F53" s="52" t="inlineStr">
        <x:is>
          <x:t xml:space="preserve">Подтверждено</x:t>
        </x:is>
      </x:c>
      <x:c r="G53" s="52" t="inlineStr">
        <x:is>
          <x:t xml:space="preserve">Пользователь</x:t>
        </x:is>
      </x:c>
    </x:row>
    <x:row r="54">
      <x:c r="A54" s="52" t="inlineStr">
        <x:is>
          <x:t xml:space="preserve">BANQ_CHECK</x:t>
        </x:is>
      </x:c>
      <x:c r="B54" s="52" t="inlineStr">
        <x:is>
          <x:t xml:space="preserve">Банкеты</x:t>
        </x:is>
      </x:c>
      <x:c r="C54" s="52" t="inlineStr">
        <x:is>
          <x:t xml:space="preserve">Средний чек на человека</x:t>
        </x:is>
      </x:c>
      <x:c r="D54" s="193" t="n">
        <x:v>3000</x:v>
      </x:c>
      <x:c r="E54" s="52" t="inlineStr">
        <x:is>
          <x:t xml:space="preserve">руб./чел.</x:t>
        </x:is>
      </x:c>
      <x:c r="F54" s="52" t="inlineStr">
        <x:is>
          <x:t xml:space="preserve">Подтверждено</x:t>
        </x:is>
      </x:c>
      <x:c r="G54" s="52" t="inlineStr">
        <x:is>
          <x:t xml:space="preserve">Пользователь</x:t>
        </x:is>
      </x:c>
    </x:row>
    <x:row r="55">
      <x:c r="A55" s="52" t="inlineStr">
        <x:is>
          <x:t xml:space="preserve">BANQ_COGS</x:t>
        </x:is>
      </x:c>
      <x:c r="B55" s="52" t="inlineStr">
        <x:is>
          <x:t xml:space="preserve">Банкеты</x:t>
        </x:is>
      </x:c>
      <x:c r="C55" s="52" t="inlineStr">
        <x:is>
          <x:t xml:space="preserve">Food cost</x:t>
        </x:is>
      </x:c>
      <x:c r="D55" s="195" t="n">
        <x:v>0.4</x:v>
      </x:c>
      <x:c r="E55" s="52" t="inlineStr">
        <x:is>
          <x:t xml:space="preserve">% выручки</x:t>
        </x:is>
      </x:c>
      <x:c r="F55" s="52" t="inlineStr">
        <x:is>
          <x:t xml:space="preserve">Подтверждено</x:t>
        </x:is>
      </x:c>
      <x:c r="G55" s="52" t="inlineStr">
        <x:is>
          <x:t xml:space="preserve">Пользователь</x:t>
        </x:is>
      </x:c>
    </x:row>
    <x:row r="56">
      <x:c r="A56" s="52" t="inlineStr">
        <x:is>
          <x:t xml:space="preserve">BANQ_AGENT</x:t>
        </x:is>
      </x:c>
      <x:c r="B56" s="52" t="inlineStr">
        <x:is>
          <x:t xml:space="preserve">Банкеты</x:t>
        </x:is>
      </x:c>
      <x:c r="C56" s="52" t="inlineStr">
        <x:is>
          <x:t xml:space="preserve">Комиссия агента</x:t>
        </x:is>
      </x:c>
      <x:c r="D56" s="195" t="n">
        <x:v>0.1</x:v>
      </x:c>
      <x:c r="E56" s="52" t="inlineStr">
        <x:is>
          <x:t xml:space="preserve">% выручки</x:t>
        </x:is>
      </x:c>
      <x:c r="F56" s="52" t="inlineStr">
        <x:is>
          <x:t xml:space="preserve">Подтверждено</x:t>
        </x:is>
      </x:c>
      <x:c r="G56" s="52" t="inlineStr">
        <x:is>
          <x:t xml:space="preserve">Пользователь</x:t>
        </x:is>
      </x:c>
    </x:row>
    <x:row r="57">
      <x:c r="A57" s="52" t="inlineStr">
        <x:is>
          <x:t xml:space="preserve">BANQ_CASHLESS</x:t>
        </x:is>
      </x:c>
      <x:c r="B57" s="52" t="inlineStr">
        <x:is>
          <x:t xml:space="preserve">Банкеты</x:t>
        </x:is>
      </x:c>
      <x:c r="C57" s="52" t="inlineStr">
        <x:is>
          <x:t xml:space="preserve">Доля безналичной оплаты</x:t>
        </x:is>
      </x:c>
      <x:c r="D57" s="197" t="n">
        <x:v>0</x:v>
      </x:c>
      <x:c r="E57" s="52" t="inlineStr">
        <x:is>
          <x:t xml:space="preserve">%</x:t>
        </x:is>
      </x:c>
      <x:c r="F57" s="52" t="str">
        <x:v>Подтверждено</x:v>
      </x:c>
      <x:c r="G57" s="52" t="str">
        <x:v>100% наличной оплаты через ККТ; эквайринг отсутствует</x:v>
      </x:c>
    </x:row>
    <x:row r="58">
      <x:c r="A58" s="52" t="inlineStr">
        <x:is>
          <x:t xml:space="preserve">BANQ_FSS_SHARE</x:t>
        </x:is>
      </x:c>
      <x:c r="B58" s="52" t="inlineStr">
        <x:is>
          <x:t xml:space="preserve">Банкеты</x:t>
        </x:is>
      </x:c>
      <x:c r="C58" s="52" t="inlineStr">
        <x:is>
          <x:t xml:space="preserve">Доля пятница–воскресенье</x:t>
        </x:is>
      </x:c>
      <x:c r="D58" s="195" t="n">
        <x:v>0.7</x:v>
      </x:c>
      <x:c r="E58" s="52" t="inlineStr">
        <x:is>
          <x:t xml:space="preserve">%</x:t>
        </x:is>
      </x:c>
      <x:c r="F58" s="52" t="inlineStr">
        <x:is>
          <x:t xml:space="preserve">Подтверждено</x:t>
        </x:is>
      </x:c>
      <x:c r="G58" s="52" t="inlineStr">
        <x:is>
          <x:t xml:space="preserve">42 из 60</x:t>
        </x:is>
      </x:c>
    </x:row>
    <x:row r="59">
      <x:c r="A59" s="52" t="inlineStr">
        <x:is>
          <x:t xml:space="preserve">BANQ_WD_SHARE</x:t>
        </x:is>
      </x:c>
      <x:c r="B59" s="52" t="inlineStr">
        <x:is>
          <x:t xml:space="preserve">Банкеты</x:t>
        </x:is>
      </x:c>
      <x:c r="C59" s="52" t="inlineStr">
        <x:is>
          <x:t xml:space="preserve">Доля понедельник–четверг</x:t>
        </x:is>
      </x:c>
      <x:c r="D59" s="195" t="n">
        <x:v>0.3</x:v>
      </x:c>
      <x:c r="E59" s="52" t="inlineStr">
        <x:is>
          <x:t xml:space="preserve">%</x:t>
        </x:is>
      </x:c>
      <x:c r="F59" s="52" t="inlineStr">
        <x:is>
          <x:t xml:space="preserve">Подтверждено</x:t>
        </x:is>
      </x:c>
      <x:c r="G59" s="52" t="inlineStr">
        <x:is>
          <x:t xml:space="preserve">18 из 60</x:t>
        </x:is>
      </x:c>
    </x:row>
    <x:row r="60">
      <x:c r="A60" s="52" t="inlineStr">
        <x:is>
          <x:t xml:space="preserve">NDFL_RATE</x:t>
        </x:is>
      </x:c>
      <x:c r="B60" s="52" t="inlineStr">
        <x:is>
          <x:t xml:space="preserve">ФОТ</x:t>
        </x:is>
      </x:c>
      <x:c r="C60" s="52" t="inlineStr">
        <x:is>
          <x:t xml:space="preserve">НДФЛ</x:t>
        </x:is>
      </x:c>
      <x:c r="D60" s="195" t="n">
        <x:v>0.13</x:v>
      </x:c>
      <x:c r="E60" s="52" t="inlineStr">
        <x:is>
          <x:t xml:space="preserve">% gross</x:t>
        </x:is>
      </x:c>
      <x:c r="F60" s="52" t="inlineStr">
        <x:is>
          <x:t xml:space="preserve">Подтверждено</x:t>
        </x:is>
      </x:c>
      <x:c r="G60" s="52" t="inlineStr">
        <x:is>
          <x:t xml:space="preserve">Расчёт net → gross</x:t>
        </x:is>
      </x:c>
    </x:row>
    <x:row r="61">
      <x:c r="A61" s="52" t="inlineStr">
        <x:is>
          <x:t xml:space="preserve">INS_RATE</x:t>
        </x:is>
      </x:c>
      <x:c r="B61" s="52" t="inlineStr">
        <x:is>
          <x:t xml:space="preserve">ФОТ</x:t>
        </x:is>
      </x:c>
      <x:c r="C61" s="52" t="inlineStr">
        <x:is>
          <x:t xml:space="preserve">Страховые взносы</x:t>
        </x:is>
      </x:c>
      <x:c r="D61" s="195" t="n">
        <x:v>0.3</x:v>
      </x:c>
      <x:c r="E61" s="52" t="inlineStr">
        <x:is>
          <x:t xml:space="preserve">% gross</x:t>
        </x:is>
      </x:c>
      <x:c r="F61" s="52" t="inlineStr">
        <x:is>
          <x:t xml:space="preserve">Подтверждено</x:t>
        </x:is>
      </x:c>
      <x:c r="G61" s="52" t="inlineStr">
        <x:is>
          <x:t xml:space="preserve">Пользователь</x:t>
        </x:is>
      </x:c>
    </x:row>
    <x:row r="62">
      <x:c r="A62" s="52" t="inlineStr">
        <x:is>
          <x:t xml:space="preserve">PAYROLL_RESERVE</x:t>
        </x:is>
      </x:c>
      <x:c r="B62" s="52" t="inlineStr">
        <x:is>
          <x:t xml:space="preserve">ФОТ</x:t>
        </x:is>
      </x:c>
      <x:c r="C62" s="52" t="inlineStr">
        <x:is>
          <x:t xml:space="preserve">Резерв отпусков, болезней и замещений</x:t>
        </x:is>
      </x:c>
      <x:c r="D62" s="197" t="n">
        <x:v>0.05</x:v>
      </x:c>
      <x:c r="E62" s="52" t="inlineStr">
        <x:is>
          <x:t xml:space="preserve">% gross ФОТ</x:t>
        </x:is>
      </x:c>
      <x:c r="F62" s="52" t="inlineStr">
        <x:is>
          <x:t xml:space="preserve">Допущение</x:t>
        </x:is>
      </x:c>
      <x:c r="G62" s="52" t="inlineStr">
        <x:is>
          <x:t xml:space="preserve">Рабочий резерв USALI</x:t>
        </x:is>
      </x:c>
    </x:row>
    <x:row r="63">
      <x:c r="A63" s="52" t="inlineStr">
        <x:is>
          <x:t xml:space="preserve">CHEF_RATE</x:t>
        </x:is>
      </x:c>
      <x:c r="B63" s="52" t="inlineStr">
        <x:is>
          <x:t xml:space="preserve">ФОТ</x:t>
        </x:is>
      </x:c>
      <x:c r="C63" s="52" t="inlineStr">
        <x:is>
          <x:t xml:space="preserve">Шеф — ставка за смену</x:t>
        </x:is>
      </x:c>
      <x:c r="D63" s="193" t="n">
        <x:v>6000</x:v>
      </x:c>
      <x:c r="E63" s="52" t="inlineStr">
        <x:is>
          <x:t xml:space="preserve">руб./день</x:t>
        </x:is>
      </x:c>
      <x:c r="F63" s="52" t="inlineStr">
        <x:is>
          <x:t xml:space="preserve">Подтверждено</x:t>
        </x:is>
      </x:c>
      <x:c r="G63" s="52" t="inlineStr">
        <x:is>
          <x:t xml:space="preserve">Пользователь</x:t>
        </x:is>
      </x:c>
    </x:row>
    <x:row r="64">
      <x:c r="A64" s="52" t="inlineStr">
        <x:is>
          <x:t xml:space="preserve">CHEF_DAYS</x:t>
        </x:is>
      </x:c>
      <x:c r="B64" s="52" t="inlineStr">
        <x:is>
          <x:t xml:space="preserve">ФОТ</x:t>
        </x:is>
      </x:c>
      <x:c r="C64" s="52" t="inlineStr">
        <x:is>
          <x:t xml:space="preserve">Шеф — дней в месяц</x:t>
        </x:is>
      </x:c>
      <x:c r="D64" s="193" t="n">
        <x:v>22</x:v>
      </x:c>
      <x:c r="E64" s="52" t="inlineStr">
        <x:is>
          <x:t xml:space="preserve">дней</x:t>
        </x:is>
      </x:c>
      <x:c r="F64" s="52" t="inlineStr">
        <x:is>
          <x:t xml:space="preserve">Подтверждено</x:t>
        </x:is>
      </x:c>
      <x:c r="G64" s="52" t="inlineStr">
        <x:is>
          <x:t xml:space="preserve">Пользователь</x:t>
        </x:is>
      </x:c>
    </x:row>
    <x:row r="65">
      <x:c r="A65" s="52" t="inlineStr">
        <x:is>
          <x:t xml:space="preserve">SOUS_RATE</x:t>
        </x:is>
      </x:c>
      <x:c r="B65" s="52" t="inlineStr">
        <x:is>
          <x:t xml:space="preserve">ФОТ</x:t>
        </x:is>
      </x:c>
      <x:c r="C65" s="52" t="inlineStr">
        <x:is>
          <x:t xml:space="preserve">Су-шеф — ставка за смену</x:t>
        </x:is>
      </x:c>
      <x:c r="D65" s="193" t="n">
        <x:v>6000</x:v>
      </x:c>
      <x:c r="E65" s="52" t="inlineStr">
        <x:is>
          <x:t xml:space="preserve">руб./день</x:t>
        </x:is>
      </x:c>
      <x:c r="F65" s="52" t="inlineStr">
        <x:is>
          <x:t xml:space="preserve">Подтверждено</x:t>
        </x:is>
      </x:c>
      <x:c r="G65" s="52" t="inlineStr">
        <x:is>
          <x:t xml:space="preserve">Пользователь</x:t>
        </x:is>
      </x:c>
    </x:row>
    <x:row r="66">
      <x:c r="A66" s="52" t="inlineStr">
        <x:is>
          <x:t xml:space="preserve">SOUS_DAYS</x:t>
        </x:is>
      </x:c>
      <x:c r="B66" s="52" t="inlineStr">
        <x:is>
          <x:t xml:space="preserve">ФОТ</x:t>
        </x:is>
      </x:c>
      <x:c r="C66" s="52" t="inlineStr">
        <x:is>
          <x:t xml:space="preserve">Су-шеф — дней в месяц</x:t>
        </x:is>
      </x:c>
      <x:c r="D66" s="193" t="n">
        <x:v>22</x:v>
      </x:c>
      <x:c r="E66" s="52" t="inlineStr">
        <x:is>
          <x:t xml:space="preserve">дней</x:t>
        </x:is>
      </x:c>
      <x:c r="F66" s="52" t="inlineStr">
        <x:is>
          <x:t xml:space="preserve">Подтверждено</x:t>
        </x:is>
      </x:c>
      <x:c r="G66" s="52" t="inlineStr">
        <x:is>
          <x:t xml:space="preserve">Пользователь</x:t>
        </x:is>
      </x:c>
    </x:row>
    <x:row r="67">
      <x:c r="A67" s="52" t="inlineStr">
        <x:is>
          <x:t xml:space="preserve">COOK_RATE</x:t>
        </x:is>
      </x:c>
      <x:c r="B67" s="52" t="inlineStr">
        <x:is>
          <x:t xml:space="preserve">ФОТ</x:t>
        </x:is>
      </x:c>
      <x:c r="C67" s="52" t="inlineStr">
        <x:is>
          <x:t xml:space="preserve">Повар — ставка за смену</x:t>
        </x:is>
      </x:c>
      <x:c r="D67" s="193" t="n">
        <x:v>5000</x:v>
      </x:c>
      <x:c r="E67" s="52" t="inlineStr">
        <x:is>
          <x:t xml:space="preserve">руб./день</x:t>
        </x:is>
      </x:c>
      <x:c r="F67" s="52" t="inlineStr">
        <x:is>
          <x:t xml:space="preserve">Подтверждено</x:t>
        </x:is>
      </x:c>
      <x:c r="G67" s="52" t="inlineStr">
        <x:is>
          <x:t xml:space="preserve">Пользователь</x:t>
        </x:is>
      </x:c>
    </x:row>
    <x:row r="68">
      <x:c r="A68" s="52" t="inlineStr">
        <x:is>
          <x:t xml:space="preserve">COOK_DAYS</x:t>
        </x:is>
      </x:c>
      <x:c r="B68" s="52" t="inlineStr">
        <x:is>
          <x:t xml:space="preserve">ФОТ</x:t>
        </x:is>
      </x:c>
      <x:c r="C68" s="52" t="inlineStr">
        <x:is>
          <x:t xml:space="preserve">Повар — дней в месяц</x:t>
        </x:is>
      </x:c>
      <x:c r="D68" s="193" t="n">
        <x:v>22</x:v>
      </x:c>
      <x:c r="E68" s="52" t="inlineStr">
        <x:is>
          <x:t xml:space="preserve">дней</x:t>
        </x:is>
      </x:c>
      <x:c r="F68" s="52" t="inlineStr">
        <x:is>
          <x:t xml:space="preserve">Подтверждено</x:t>
        </x:is>
      </x:c>
      <x:c r="G68" s="52" t="inlineStr">
        <x:is>
          <x:t xml:space="preserve">Пользователь</x:t>
        </x:is>
      </x:c>
    </x:row>
    <x:row r="69">
      <x:c r="A69" s="52" t="inlineStr">
        <x:is>
          <x:t xml:space="preserve">BAR_RATE</x:t>
        </x:is>
      </x:c>
      <x:c r="B69" s="52" t="inlineStr">
        <x:is>
          <x:t xml:space="preserve">ФОТ</x:t>
        </x:is>
      </x:c>
      <x:c r="C69" s="52" t="inlineStr">
        <x:is>
          <x:t xml:space="preserve">Бармен-бариста-кассир — ставка</x:t>
        </x:is>
      </x:c>
      <x:c r="D69" s="193" t="n">
        <x:v>5000</x:v>
      </x:c>
      <x:c r="E69" s="52" t="inlineStr">
        <x:is>
          <x:t xml:space="preserve">руб./день</x:t>
        </x:is>
      </x:c>
      <x:c r="F69" s="52" t="inlineStr">
        <x:is>
          <x:t xml:space="preserve">Подтверждено</x:t>
        </x:is>
      </x:c>
      <x:c r="G69" s="52" t="inlineStr">
        <x:is>
          <x:t xml:space="preserve">Пользователь</x:t>
        </x:is>
      </x:c>
    </x:row>
    <x:row r="70">
      <x:c r="A70" s="52" t="inlineStr">
        <x:is>
          <x:t xml:space="preserve">BAR_DAYS</x:t>
        </x:is>
      </x:c>
      <x:c r="B70" s="52" t="inlineStr">
        <x:is>
          <x:t xml:space="preserve">ФОТ</x:t>
        </x:is>
      </x:c>
      <x:c r="C70" s="52" t="inlineStr">
        <x:is>
          <x:t xml:space="preserve">Бармен-бариста-кассир — дней</x:t>
        </x:is>
      </x:c>
      <x:c r="D70" s="193" t="n">
        <x:v>31</x:v>
      </x:c>
      <x:c r="E70" s="52" t="inlineStr">
        <x:is>
          <x:t xml:space="preserve">дней</x:t>
        </x:is>
      </x:c>
      <x:c r="F70" s="52" t="inlineStr">
        <x:is>
          <x:t xml:space="preserve">Подтверждено</x:t>
        </x:is>
      </x:c>
      <x:c r="G70" s="52" t="inlineStr">
        <x:is>
          <x:t xml:space="preserve">Пользователь</x:t>
        </x:is>
      </x:c>
    </x:row>
    <x:row r="71">
      <x:c r="A71" s="52" t="inlineStr">
        <x:is>
          <x:t xml:space="preserve">GM_RATE</x:t>
        </x:is>
      </x:c>
      <x:c r="B71" s="52" t="inlineStr">
        <x:is>
          <x:t xml:space="preserve">ФОТ</x:t>
        </x:is>
      </x:c>
      <x:c r="C71" s="52" t="inlineStr">
        <x:is>
          <x:t xml:space="preserve">Управляющий — ставка</x:t>
        </x:is>
      </x:c>
      <x:c r="D71" s="193" t="n">
        <x:v>6000</x:v>
      </x:c>
      <x:c r="E71" s="52" t="inlineStr">
        <x:is>
          <x:t xml:space="preserve">руб./день</x:t>
        </x:is>
      </x:c>
      <x:c r="F71" s="52" t="inlineStr">
        <x:is>
          <x:t xml:space="preserve">Подтверждено</x:t>
        </x:is>
      </x:c>
      <x:c r="G71" s="52" t="inlineStr">
        <x:is>
          <x:t xml:space="preserve">Пользователь</x:t>
        </x:is>
      </x:c>
    </x:row>
    <x:row r="72">
      <x:c r="A72" s="52" t="inlineStr">
        <x:is>
          <x:t xml:space="preserve">GM_DAYS</x:t>
        </x:is>
      </x:c>
      <x:c r="B72" s="52" t="inlineStr">
        <x:is>
          <x:t xml:space="preserve">ФОТ</x:t>
        </x:is>
      </x:c>
      <x:c r="C72" s="52" t="inlineStr">
        <x:is>
          <x:t xml:space="preserve">Управляющий — дней</x:t>
        </x:is>
      </x:c>
      <x:c r="D72" s="193" t="n">
        <x:v>22</x:v>
      </x:c>
      <x:c r="E72" s="52" t="inlineStr">
        <x:is>
          <x:t xml:space="preserve">дней</x:t>
        </x:is>
      </x:c>
      <x:c r="F72" s="52" t="inlineStr">
        <x:is>
          <x:t xml:space="preserve">Подтверждено</x:t>
        </x:is>
      </x:c>
      <x:c r="G72" s="52" t="inlineStr">
        <x:is>
          <x:t xml:space="preserve">Пользователь</x:t>
        </x:is>
      </x:c>
    </x:row>
    <x:row r="73">
      <x:c r="A73" s="52" t="inlineStr">
        <x:is>
          <x:t xml:space="preserve">MGR_RATE</x:t>
        </x:is>
      </x:c>
      <x:c r="B73" s="52" t="inlineStr">
        <x:is>
          <x:t xml:space="preserve">ФОТ</x:t>
        </x:is>
      </x:c>
      <x:c r="C73" s="52" t="inlineStr">
        <x:is>
          <x:t xml:space="preserve">Менеджер — ставка</x:t>
        </x:is>
      </x:c>
      <x:c r="D73" s="193" t="n">
        <x:v>6000</x:v>
      </x:c>
      <x:c r="E73" s="52" t="inlineStr">
        <x:is>
          <x:t xml:space="preserve">руб./день</x:t>
        </x:is>
      </x:c>
      <x:c r="F73" s="52" t="inlineStr">
        <x:is>
          <x:t xml:space="preserve">Подтверждено</x:t>
        </x:is>
      </x:c>
      <x:c r="G73" s="52" t="inlineStr">
        <x:is>
          <x:t xml:space="preserve">Пользователь</x:t>
        </x:is>
      </x:c>
    </x:row>
    <x:row r="74">
      <x:c r="A74" s="52" t="inlineStr">
        <x:is>
          <x:t xml:space="preserve">MGR_DAYS</x:t>
        </x:is>
      </x:c>
      <x:c r="B74" s="52" t="inlineStr">
        <x:is>
          <x:t xml:space="preserve">ФОТ</x:t>
        </x:is>
      </x:c>
      <x:c r="C74" s="52" t="inlineStr">
        <x:is>
          <x:t xml:space="preserve">Менеджер — дней</x:t>
        </x:is>
      </x:c>
      <x:c r="D74" s="193" t="n">
        <x:v>22</x:v>
      </x:c>
      <x:c r="E74" s="52" t="inlineStr">
        <x:is>
          <x:t xml:space="preserve">дней</x:t>
        </x:is>
      </x:c>
      <x:c r="F74" s="52" t="inlineStr">
        <x:is>
          <x:t xml:space="preserve">Подтверждено</x:t>
        </x:is>
      </x:c>
      <x:c r="G74" s="52" t="inlineStr">
        <x:is>
          <x:t xml:space="preserve">Пользователь</x:t>
        </x:is>
      </x:c>
    </x:row>
    <x:row r="75">
      <x:c r="A75" s="52" t="inlineStr">
        <x:is>
          <x:t xml:space="preserve">CLEAN_RATE</x:t>
        </x:is>
      </x:c>
      <x:c r="B75" s="52" t="inlineStr">
        <x:is>
          <x:t xml:space="preserve">ФОТ</x:t>
        </x:is>
      </x:c>
      <x:c r="C75" s="52" t="inlineStr">
        <x:is>
          <x:t xml:space="preserve">Уборщица-посудомойка — ставка</x:t>
        </x:is>
      </x:c>
      <x:c r="D75" s="193" t="n">
        <x:v>5000</x:v>
      </x:c>
      <x:c r="E75" s="52" t="inlineStr">
        <x:is>
          <x:t xml:space="preserve">руб./день</x:t>
        </x:is>
      </x:c>
      <x:c r="F75" s="52" t="inlineStr">
        <x:is>
          <x:t xml:space="preserve">Подтверждено</x:t>
        </x:is>
      </x:c>
      <x:c r="G75" s="52" t="inlineStr">
        <x:is>
          <x:t xml:space="preserve">Пользователь</x:t>
        </x:is>
      </x:c>
    </x:row>
    <x:row r="76">
      <x:c r="A76" s="52" t="inlineStr">
        <x:is>
          <x:t xml:space="preserve">CLEAN_DAYS</x:t>
        </x:is>
      </x:c>
      <x:c r="B76" s="52" t="inlineStr">
        <x:is>
          <x:t xml:space="preserve">ФОТ</x:t>
        </x:is>
      </x:c>
      <x:c r="C76" s="52" t="inlineStr">
        <x:is>
          <x:t xml:space="preserve">Уборщица-посудомойка — дней</x:t>
        </x:is>
      </x:c>
      <x:c r="D76" s="193" t="n">
        <x:v>31</x:v>
      </x:c>
      <x:c r="E76" s="52" t="inlineStr">
        <x:is>
          <x:t xml:space="preserve">дней</x:t>
        </x:is>
      </x:c>
      <x:c r="F76" s="52" t="inlineStr">
        <x:is>
          <x:t xml:space="preserve">Подтверждено</x:t>
        </x:is>
      </x:c>
      <x:c r="G76" s="52" t="inlineStr">
        <x:is>
          <x:t xml:space="preserve">Пользователь</x:t>
        </x:is>
      </x:c>
    </x:row>
    <x:row r="77">
      <x:c r="A77" s="52" t="inlineStr">
        <x:is>
          <x:t xml:space="preserve">BUY_RATE</x:t>
        </x:is>
      </x:c>
      <x:c r="B77" s="52" t="inlineStr">
        <x:is>
          <x:t xml:space="preserve">ФОТ</x:t>
        </x:is>
      </x:c>
      <x:c r="C77" s="52" t="inlineStr">
        <x:is>
          <x:t xml:space="preserve">Снабженец — ставка</x:t>
        </x:is>
      </x:c>
      <x:c r="D77" s="193" t="n">
        <x:v>7000</x:v>
      </x:c>
      <x:c r="E77" s="52" t="inlineStr">
        <x:is>
          <x:t xml:space="preserve">руб./день</x:t>
        </x:is>
      </x:c>
      <x:c r="F77" s="52" t="inlineStr">
        <x:is>
          <x:t xml:space="preserve">Подтверждено</x:t>
        </x:is>
      </x:c>
      <x:c r="G77" s="52" t="inlineStr">
        <x:is>
          <x:t xml:space="preserve">Пользователь</x:t>
        </x:is>
      </x:c>
    </x:row>
    <x:row r="78">
      <x:c r="A78" s="52" t="inlineStr">
        <x:is>
          <x:t xml:space="preserve">BUY_DAYS</x:t>
        </x:is>
      </x:c>
      <x:c r="B78" s="52" t="inlineStr">
        <x:is>
          <x:t xml:space="preserve">ФОТ</x:t>
        </x:is>
      </x:c>
      <x:c r="C78" s="52" t="inlineStr">
        <x:is>
          <x:t xml:space="preserve">Снабженец — дней</x:t>
        </x:is>
      </x:c>
      <x:c r="D78" s="193" t="n">
        <x:v>10</x:v>
      </x:c>
      <x:c r="E78" s="52" t="inlineStr">
        <x:is>
          <x:t xml:space="preserve">дней</x:t>
        </x:is>
      </x:c>
      <x:c r="F78" s="52" t="inlineStr">
        <x:is>
          <x:t xml:space="preserve">Подтверждено</x:t>
        </x:is>
      </x:c>
      <x:c r="G78" s="52" t="inlineStr">
        <x:is>
          <x:t xml:space="preserve">Пользователь</x:t>
        </x:is>
      </x:c>
    </x:row>
    <x:row r="79">
      <x:c r="A79" s="52" t="inlineStr">
        <x:is>
          <x:t xml:space="preserve">DEL_MGR_RATE</x:t>
        </x:is>
      </x:c>
      <x:c r="B79" s="52" t="inlineStr">
        <x:is>
          <x:t xml:space="preserve">ФОТ</x:t>
        </x:is>
      </x:c>
      <x:c r="C79" s="52" t="inlineStr">
        <x:is>
          <x:t xml:space="preserve">Менеджер доставки — ставка</x:t>
        </x:is>
      </x:c>
      <x:c r="D79" s="193" t="n">
        <x:v>5000</x:v>
      </x:c>
      <x:c r="E79" s="52" t="inlineStr">
        <x:is>
          <x:t xml:space="preserve">руб./день</x:t>
        </x:is>
      </x:c>
      <x:c r="F79" s="52" t="inlineStr">
        <x:is>
          <x:t xml:space="preserve">Подтверждено</x:t>
        </x:is>
      </x:c>
      <x:c r="G79" s="52" t="inlineStr">
        <x:is>
          <x:t xml:space="preserve">Пользователь</x:t>
        </x:is>
      </x:c>
    </x:row>
    <x:row r="80">
      <x:c r="A80" s="52" t="inlineStr">
        <x:is>
          <x:t xml:space="preserve">DEL_MGR_DAYS</x:t>
        </x:is>
      </x:c>
      <x:c r="B80" s="52" t="inlineStr">
        <x:is>
          <x:t xml:space="preserve">ФОТ</x:t>
        </x:is>
      </x:c>
      <x:c r="C80" s="52" t="inlineStr">
        <x:is>
          <x:t xml:space="preserve">Менеджер доставки — дней</x:t>
        </x:is>
      </x:c>
      <x:c r="D80" s="193" t="n">
        <x:v>31</x:v>
      </x:c>
      <x:c r="E80" s="52" t="inlineStr">
        <x:is>
          <x:t xml:space="preserve">дней</x:t>
        </x:is>
      </x:c>
      <x:c r="F80" s="52" t="inlineStr">
        <x:is>
          <x:t xml:space="preserve">Подтверждено</x:t>
        </x:is>
      </x:c>
      <x:c r="G80" s="52" t="inlineStr">
        <x:is>
          <x:t xml:space="preserve">Пользователь</x:t>
        </x:is>
      </x:c>
    </x:row>
    <x:row r="81">
      <x:c r="A81" s="52" t="inlineStr">
        <x:is>
          <x:t xml:space="preserve">ACC_MONTH</x:t>
        </x:is>
      </x:c>
      <x:c r="B81" s="52" t="inlineStr">
        <x:is>
          <x:t xml:space="preserve">ФОТ</x:t>
        </x:is>
      </x:c>
      <x:c r="C81" s="52" t="inlineStr">
        <x:is>
          <x:t xml:space="preserve">Бухгалтер + бухгалтер-калькулятор</x:t>
        </x:is>
      </x:c>
      <x:c r="D81" s="193" t="n">
        <x:v>80000</x:v>
      </x:c>
      <x:c r="E81" s="52" t="inlineStr">
        <x:is>
          <x:t xml:space="preserve">руб./мес.</x:t>
        </x:is>
      </x:c>
      <x:c r="F81" s="52" t="inlineStr">
        <x:is>
          <x:t xml:space="preserve">Подтверждено</x:t>
        </x:is>
      </x:c>
      <x:c r="G81" s="52" t="inlineStr">
        <x:is>
          <x:t xml:space="preserve">Самозанятые</x:t>
        </x:is>
      </x:c>
    </x:row>
    <x:row r="82">
      <x:c r="A82" s="52" t="inlineStr">
        <x:is>
          <x:t xml:space="preserve">IT_MONTH</x:t>
        </x:is>
      </x:c>
      <x:c r="B82" s="52" t="inlineStr">
        <x:is>
          <x:t xml:space="preserve">ФОТ</x:t>
        </x:is>
      </x:c>
      <x:c r="C82" s="52" t="inlineStr">
        <x:is>
          <x:t xml:space="preserve">ИТ-специалист</x:t>
        </x:is>
      </x:c>
      <x:c r="D82" s="193" t="n">
        <x:v>30000</x:v>
      </x:c>
      <x:c r="E82" s="52" t="inlineStr">
        <x:is>
          <x:t xml:space="preserve">руб./мес.</x:t>
        </x:is>
      </x:c>
      <x:c r="F82" s="52" t="inlineStr">
        <x:is>
          <x:t xml:space="preserve">Подтверждено</x:t>
        </x:is>
      </x:c>
      <x:c r="G82" s="52" t="inlineStr">
        <x:is>
          <x:t xml:space="preserve">Самозанятый</x:t>
        </x:is>
      </x:c>
    </x:row>
    <x:row r="83">
      <x:c r="A83" s="52" t="inlineStr">
        <x:is>
          <x:t xml:space="preserve">UTILITIES</x:t>
        </x:is>
      </x:c>
      <x:c r="B83" s="52" t="inlineStr">
        <x:is>
          <x:t xml:space="preserve">Utilities</x:t>
        </x:is>
      </x:c>
      <x:c r="C83" s="52" t="inlineStr">
        <x:is>
          <x:t xml:space="preserve">Коммунальные платежи</x:t>
        </x:is>
      </x:c>
      <x:c r="D83" s="193" t="n">
        <x:v>70000</x:v>
      </x:c>
      <x:c r="E83" s="52" t="inlineStr">
        <x:is>
          <x:t xml:space="preserve">руб./мес.</x:t>
        </x:is>
      </x:c>
      <x:c r="F83" s="52" t="inlineStr">
        <x:is>
          <x:t xml:space="preserve">Подтверждено</x:t>
        </x:is>
      </x:c>
      <x:c r="G83" s="52" t="inlineStr">
        <x:is>
          <x:t xml:space="preserve">Пользователь</x:t>
        </x:is>
      </x:c>
    </x:row>
    <x:row r="84">
      <x:c r="A84" s="52" t="inlineStr">
        <x:is>
          <x:t xml:space="preserve">WASTE</x:t>
        </x:is>
      </x:c>
      <x:c r="B84" s="52" t="inlineStr">
        <x:is>
          <x:t xml:space="preserve">Utilities</x:t>
        </x:is>
      </x:c>
      <x:c r="C84" s="52" t="inlineStr">
        <x:is>
          <x:t xml:space="preserve">Вывоз мусора</x:t>
        </x:is>
      </x:c>
      <x:c r="D84" s="193" t="n">
        <x:v>10000</x:v>
      </x:c>
      <x:c r="E84" s="52" t="inlineStr">
        <x:is>
          <x:t xml:space="preserve">руб./мес.</x:t>
        </x:is>
      </x:c>
      <x:c r="F84" s="52" t="inlineStr">
        <x:is>
          <x:t xml:space="preserve">Подтверждено</x:t>
        </x:is>
      </x:c>
      <x:c r="G84" s="52" t="inlineStr">
        <x:is>
          <x:t xml:space="preserve">Пользователь</x:t>
        </x:is>
      </x:c>
    </x:row>
    <x:row r="85">
      <x:c r="A85" s="52" t="inlineStr">
        <x:is>
          <x:t xml:space="preserve">INTERNET</x:t>
        </x:is>
      </x:c>
      <x:c r="B85" s="52" t="inlineStr">
        <x:is>
          <x:t xml:space="preserve">A&amp;G</x:t>
        </x:is>
      </x:c>
      <x:c r="C85" s="52" t="inlineStr">
        <x:is>
          <x:t xml:space="preserve">Интернет и связь</x:t>
        </x:is>
      </x:c>
      <x:c r="D85" s="193" t="n">
        <x:v>10000</x:v>
      </x:c>
      <x:c r="E85" s="52" t="inlineStr">
        <x:is>
          <x:t xml:space="preserve">руб./мес.</x:t>
        </x:is>
      </x:c>
      <x:c r="F85" s="52" t="inlineStr">
        <x:is>
          <x:t xml:space="preserve">Подтверждено</x:t>
        </x:is>
      </x:c>
      <x:c r="G85" s="52" t="inlineStr">
        <x:is>
          <x:t xml:space="preserve">Пользователь</x:t>
        </x:is>
      </x:c>
    </x:row>
    <x:row r="86">
      <x:c r="A86" s="52" t="inlineStr">
        <x:is>
          <x:t xml:space="preserve">MARKETING</x:t>
        </x:is>
      </x:c>
      <x:c r="B86" s="52" t="inlineStr">
        <x:is>
          <x:t xml:space="preserve">Sales &amp; Marketing</x:t>
        </x:is>
      </x:c>
      <x:c r="C86" s="52" t="inlineStr">
        <x:is>
          <x:t xml:space="preserve">Маркетинг</x:t>
        </x:is>
      </x:c>
      <x:c r="D86" s="193" t="n">
        <x:v>20000</x:v>
      </x:c>
      <x:c r="E86" s="52" t="inlineStr">
        <x:is>
          <x:t xml:space="preserve">руб./мес.</x:t>
        </x:is>
      </x:c>
      <x:c r="F86" s="52" t="inlineStr">
        <x:is>
          <x:t xml:space="preserve">Подтверждено</x:t>
        </x:is>
      </x:c>
      <x:c r="G86" s="52" t="inlineStr">
        <x:is>
          <x:t xml:space="preserve">Пользователь</x:t>
        </x:is>
      </x:c>
    </x:row>
    <x:row r="87">
      <x:c r="A87" s="52" t="inlineStr">
        <x:is>
          <x:t xml:space="preserve">HOUSEHOLD</x:t>
        </x:is>
      </x:c>
      <x:c r="B87" s="52" t="inlineStr">
        <x:is>
          <x:t xml:space="preserve">F&amp;B Departmental</x:t>
        </x:is>
      </x:c>
      <x:c r="C87" s="52" t="inlineStr">
        <x:is>
          <x:t xml:space="preserve">Хозяйственные расходы</x:t>
        </x:is>
      </x:c>
      <x:c r="D87" s="193" t="n">
        <x:v>50000</x:v>
      </x:c>
      <x:c r="E87" s="52" t="inlineStr">
        <x:is>
          <x:t xml:space="preserve">руб./мес.</x:t>
        </x:is>
      </x:c>
      <x:c r="F87" s="52" t="inlineStr">
        <x:is>
          <x:t xml:space="preserve">Подтверждено</x:t>
        </x:is>
      </x:c>
      <x:c r="G87" s="52" t="inlineStr">
        <x:is>
          <x:t xml:space="preserve">Пользователь</x:t>
        </x:is>
      </x:c>
    </x:row>
    <x:row r="88">
      <x:c r="A88" s="52" t="inlineStr">
        <x:is>
          <x:t xml:space="preserve">EQUIP_MAINT</x:t>
        </x:is>
      </x:c>
      <x:c r="B88" s="52" t="inlineStr">
        <x:is>
          <x:t xml:space="preserve">POM</x:t>
        </x:is>
      </x:c>
      <x:c r="C88" s="52" t="inlineStr">
        <x:is>
          <x:t xml:space="preserve">Обслуживание холодильного и теплового оборудования</x:t>
        </x:is>
      </x:c>
      <x:c r="D88" s="193" t="n">
        <x:v>0</x:v>
      </x:c>
      <x:c r="E88" s="52" t="inlineStr">
        <x:is>
          <x:t xml:space="preserve">руб./мес.</x:t>
        </x:is>
      </x:c>
      <x:c r="F88" s="52" t="inlineStr">
        <x:is>
          <x:t xml:space="preserve">Подтверждено</x:t>
        </x:is>
      </x:c>
      <x:c r="G88" s="52" t="inlineStr">
        <x:is>
          <x:t xml:space="preserve">Пользователь</x:t>
        </x:is>
      </x:c>
    </x:row>
    <x:row r="89">
      <x:c r="A89" s="52" t="inlineStr">
        <x:is>
          <x:t xml:space="preserve">CASH_RENT</x:t>
        </x:is>
      </x:c>
      <x:c r="B89" s="52" t="inlineStr">
        <x:is>
          <x:t xml:space="preserve">A&amp;G</x:t>
        </x:is>
      </x:c>
      <x:c r="C89" s="52" t="inlineStr">
        <x:is>
          <x:t xml:space="preserve">Аренда кассового оборудования</x:t>
        </x:is>
      </x:c>
      <x:c r="D89" s="193" t="n">
        <x:v>0</x:v>
      </x:c>
      <x:c r="E89" s="52" t="inlineStr">
        <x:is>
          <x:t xml:space="preserve">руб./мес.</x:t>
        </x:is>
      </x:c>
      <x:c r="F89" s="52" t="inlineStr">
        <x:is>
          <x:t xml:space="preserve">Подтверждено</x:t>
        </x:is>
      </x:c>
      <x:c r="G89" s="52" t="inlineStr">
        <x:is>
          <x:t xml:space="preserve">Пользователь</x:t>
        </x:is>
      </x:c>
    </x:row>
    <x:row r="90">
      <x:c r="A90" s="52" t="inlineStr">
        <x:is>
          <x:t xml:space="preserve">COFFEE_RENT</x:t>
        </x:is>
      </x:c>
      <x:c r="B90" s="52" t="inlineStr">
        <x:is>
          <x:t xml:space="preserve">F&amp;B Departmental</x:t>
        </x:is>
      </x:c>
      <x:c r="C90" s="52" t="inlineStr">
        <x:is>
          <x:t xml:space="preserve">Аренда кофемашины</x:t>
        </x:is>
      </x:c>
      <x:c r="D90" s="193" t="n">
        <x:v>0</x:v>
      </x:c>
      <x:c r="E90" s="52" t="inlineStr">
        <x:is>
          <x:t xml:space="preserve">руб./мес.</x:t>
        </x:is>
      </x:c>
      <x:c r="F90" s="52" t="inlineStr">
        <x:is>
          <x:t xml:space="preserve">Подтверждено</x:t>
        </x:is>
      </x:c>
      <x:c r="G90" s="52" t="inlineStr">
        <x:is>
          <x:t xml:space="preserve">Пользователь</x:t>
        </x:is>
      </x:c>
    </x:row>
    <x:row r="91">
      <x:c r="A91" s="52" t="inlineStr">
        <x:is>
          <x:t xml:space="preserve">SES</x:t>
        </x:is>
      </x:c>
      <x:c r="B91" s="52" t="inlineStr">
        <x:is>
          <x:t xml:space="preserve">F&amp;B Departmental</x:t>
        </x:is>
      </x:c>
      <x:c r="C91" s="52" t="inlineStr">
        <x:is>
          <x:t xml:space="preserve">СЭС / санитарные услуги</x:t>
        </x:is>
      </x:c>
      <x:c r="D91" s="193" t="n">
        <x:v>2000</x:v>
      </x:c>
      <x:c r="E91" s="52" t="inlineStr">
        <x:is>
          <x:t xml:space="preserve">руб./мес.</x:t>
        </x:is>
      </x:c>
      <x:c r="F91" s="52" t="inlineStr">
        <x:is>
          <x:t xml:space="preserve">Подтверждено</x:t>
        </x:is>
      </x:c>
      <x:c r="G91" s="52" t="inlineStr">
        <x:is>
          <x:t xml:space="preserve">Пользователь; проверить состав услуг</x:t>
        </x:is>
      </x:c>
    </x:row>
    <x:row r="92">
      <x:c r="A92" s="52" t="inlineStr">
        <x:is>
          <x:t xml:space="preserve">MUSIC</x:t>
        </x:is>
      </x:c>
      <x:c r="B92" s="52" t="inlineStr">
        <x:is>
          <x:t xml:space="preserve">F&amp;B Departmental</x:t>
        </x:is>
      </x:c>
      <x:c r="C92" s="52" t="inlineStr">
        <x:is>
          <x:t xml:space="preserve">Музыка / авторские права</x:t>
        </x:is>
      </x:c>
      <x:c r="D92" s="193" t="n">
        <x:v>3500</x:v>
      </x:c>
      <x:c r="E92" s="52" t="inlineStr">
        <x:is>
          <x:t xml:space="preserve">руб./мес.</x:t>
        </x:is>
      </x:c>
      <x:c r="F92" s="52" t="inlineStr">
        <x:is>
          <x:t xml:space="preserve">Подтверждено</x:t>
        </x:is>
      </x:c>
      <x:c r="G92" s="52" t="inlineStr">
        <x:is>
          <x:t xml:space="preserve">Пользователь</x:t>
        </x:is>
      </x:c>
    </x:row>
    <x:row r="93">
      <x:c r="A93" s="52" t="inlineStr">
        <x:is>
          <x:t xml:space="preserve">VENT</x:t>
        </x:is>
      </x:c>
      <x:c r="B93" s="52" t="inlineStr">
        <x:is>
          <x:t xml:space="preserve">POM</x:t>
        </x:is>
      </x:c>
      <x:c r="C93" s="52" t="inlineStr">
        <x:is>
          <x:t xml:space="preserve">Обслуживание приточно-вытяжной вентиляции</x:t>
        </x:is>
      </x:c>
      <x:c r="D93" s="193" t="n">
        <x:v>2000</x:v>
      </x:c>
      <x:c r="E93" s="52" t="inlineStr">
        <x:is>
          <x:t xml:space="preserve">руб./мес.</x:t>
        </x:is>
      </x:c>
      <x:c r="F93" s="52" t="inlineStr">
        <x:is>
          <x:t xml:space="preserve">Подтверждено</x:t>
        </x:is>
      </x:c>
      <x:c r="G93" s="52" t="inlineStr">
        <x:is>
          <x:t xml:space="preserve">Пользователь</x:t>
        </x:is>
      </x:c>
    </x:row>
    <x:row r="94">
      <x:c r="A94" s="52" t="inlineStr">
        <x:is>
          <x:t xml:space="preserve">SMALLWARE</x:t>
        </x:is>
      </x:c>
      <x:c r="B94" s="52" t="inlineStr">
        <x:is>
          <x:t xml:space="preserve">F&amp;B Departmental</x:t>
        </x:is>
      </x:c>
      <x:c r="C94" s="52" t="inlineStr">
        <x:is>
          <x:t xml:space="preserve">Малоценка и инвентарь</x:t>
        </x:is>
      </x:c>
      <x:c r="D94" s="193" t="n">
        <x:v>10000</x:v>
      </x:c>
      <x:c r="E94" s="52" t="inlineStr">
        <x:is>
          <x:t xml:space="preserve">руб./мес.</x:t>
        </x:is>
      </x:c>
      <x:c r="F94" s="52" t="inlineStr">
        <x:is>
          <x:t xml:space="preserve">Подтверждено</x:t>
        </x:is>
      </x:c>
      <x:c r="G94" s="52" t="inlineStr">
        <x:is>
          <x:t xml:space="preserve">Пользователь</x:t>
        </x:is>
      </x:c>
    </x:row>
    <x:row r="95">
      <x:c r="A95" s="52" t="inlineStr">
        <x:is>
          <x:t xml:space="preserve">CARPETS</x:t>
        </x:is>
      </x:c>
      <x:c r="B95" s="52" t="inlineStr">
        <x:is>
          <x:t xml:space="preserve">POM</x:t>
        </x:is>
      </x:c>
      <x:c r="C95" s="52" t="inlineStr">
        <x:is>
          <x:t xml:space="preserve">Сервис грязезащитных ковров</x:t>
        </x:is>
      </x:c>
      <x:c r="D95" s="199" t="n">
        <x:v>5000</x:v>
      </x:c>
      <x:c r="E95" s="52" t="inlineStr">
        <x:is>
          <x:t xml:space="preserve">руб./мес. окт–апр</x:t>
        </x:is>
      </x:c>
      <x:c r="F95" s="52" t="inlineStr">
        <x:is>
          <x:t xml:space="preserve">Допущение</x:t>
        </x:is>
      </x:c>
      <x:c r="G95" s="52" t="inlineStr">
        <x:is>
          <x:t xml:space="preserve">Рабочий рыночный резерв</x:t>
        </x:is>
      </x:c>
    </x:row>
    <x:row r="96">
      <x:c r="A96" s="52" t="inlineStr">
        <x:is>
          <x:t xml:space="preserve">INSURANCE</x:t>
        </x:is>
      </x:c>
      <x:c r="B96" s="52" t="inlineStr">
        <x:is>
          <x:t xml:space="preserve">Fixed Charges</x:t>
        </x:is>
      </x:c>
      <x:c r="C96" s="52" t="inlineStr">
        <x:is>
          <x:t xml:space="preserve">Страхование имущества и ответственности</x:t>
        </x:is>
      </x:c>
      <x:c r="D96" s="199" t="n">
        <x:v>100000</x:v>
      </x:c>
      <x:c r="E96" s="52" t="inlineStr">
        <x:is>
          <x:t xml:space="preserve">руб./год</x:t>
        </x:is>
      </x:c>
      <x:c r="F96" s="52" t="inlineStr">
        <x:is>
          <x:t xml:space="preserve">Допущение</x:t>
        </x:is>
      </x:c>
      <x:c r="G96" s="52" t="inlineStr">
        <x:is>
          <x:t xml:space="preserve">Договор аренды в папке требует страхование; резерв до КП: https://drive.google.com/drive/folders/1VLrgg-vLogvAVUFPkVmkNqlbE9rJ0BNx?usp=drive_link</x:t>
        </x:is>
      </x:c>
    </x:row>
    <x:row r="97">
      <x:c r="A97" s="52" t="inlineStr">
        <x:is>
          <x:t xml:space="preserve">CURRENT_REPAIR</x:t>
        </x:is>
      </x:c>
      <x:c r="B97" s="52" t="inlineStr">
        <x:is>
          <x:t xml:space="preserve">POM</x:t>
        </x:is>
      </x:c>
      <x:c r="C97" s="52" t="inlineStr">
        <x:is>
          <x:t xml:space="preserve">Текущий ремонт помещений</x:t>
        </x:is>
      </x:c>
      <x:c r="D97" s="199" t="n">
        <x:v>20000</x:v>
      </x:c>
      <x:c r="E97" s="52" t="inlineStr">
        <x:is>
          <x:t xml:space="preserve">руб./мес.</x:t>
        </x:is>
      </x:c>
      <x:c r="F97" s="52" t="inlineStr">
        <x:is>
          <x:t xml:space="preserve">Допущение</x:t>
        </x:is>
      </x:c>
      <x:c r="G97" s="52" t="inlineStr">
        <x:is>
          <x:t xml:space="preserve">Требование договора / резерв</x:t>
        </x:is>
      </x:c>
    </x:row>
    <x:row r="98">
      <x:c r="A98" s="52" t="inlineStr">
        <x:is>
          <x:t xml:space="preserve">EMERG_REPAIR</x:t>
        </x:is>
      </x:c>
      <x:c r="B98" s="52" t="inlineStr">
        <x:is>
          <x:t xml:space="preserve">POM</x:t>
        </x:is>
      </x:c>
      <x:c r="C98" s="52" t="inlineStr">
        <x:is>
          <x:t xml:space="preserve">Аварийный ремонт оборудования</x:t>
        </x:is>
      </x:c>
      <x:c r="D98" s="199" t="n">
        <x:v>20000</x:v>
      </x:c>
      <x:c r="E98" s="52" t="inlineStr">
        <x:is>
          <x:t xml:space="preserve">руб./мес.</x:t>
        </x:is>
      </x:c>
      <x:c r="F98" s="52" t="inlineStr">
        <x:is>
          <x:t xml:space="preserve">Допущение</x:t>
        </x:is>
      </x:c>
      <x:c r="G98" s="52" t="inlineStr">
        <x:is>
          <x:t xml:space="preserve">Рабочий резерв</x:t>
        </x:is>
      </x:c>
    </x:row>
    <x:row r="99">
      <x:c r="A99" s="52" t="inlineStr">
        <x:is>
          <x:t xml:space="preserve">PEST</x:t>
        </x:is>
      </x:c>
      <x:c r="B99" s="52" t="inlineStr">
        <x:is>
          <x:t xml:space="preserve">F&amp;B Departmental</x:t>
        </x:is>
      </x:c>
      <x:c r="C99" s="52" t="inlineStr">
        <x:is>
          <x:t xml:space="preserve">Дезинсекция и дератизация</x:t>
        </x:is>
      </x:c>
      <x:c r="D99" s="199" t="n">
        <x:v>5000</x:v>
      </x:c>
      <x:c r="E99" s="52" t="inlineStr">
        <x:is>
          <x:t xml:space="preserve">руб./мес.</x:t>
        </x:is>
      </x:c>
      <x:c r="F99" s="52" t="inlineStr">
        <x:is>
          <x:t xml:space="preserve">Допущение</x:t>
        </x:is>
      </x:c>
      <x:c r="G99" s="52" t="inlineStr">
        <x:is>
          <x:t xml:space="preserve">Проверить, не входит ли в СЭС</x:t>
        </x:is>
      </x:c>
    </x:row>
    <x:row r="100">
      <x:c r="A100" s="52" t="inlineStr">
        <x:is>
          <x:t xml:space="preserve">GEN_CLEAN</x:t>
        </x:is>
      </x:c>
      <x:c r="B100" s="52" t="inlineStr">
        <x:is>
          <x:t xml:space="preserve">F&amp;B Departmental</x:t>
        </x:is>
      </x:c>
      <x:c r="C100" s="52" t="inlineStr">
        <x:is>
          <x:t xml:space="preserve">Генеральная уборка</x:t>
        </x:is>
      </x:c>
      <x:c r="D100" s="199" t="n">
        <x:v>15000</x:v>
      </x:c>
      <x:c r="E100" s="52" t="inlineStr">
        <x:is>
          <x:t xml:space="preserve">руб./мес.</x:t>
        </x:is>
      </x:c>
      <x:c r="F100" s="52" t="inlineStr">
        <x:is>
          <x:t xml:space="preserve">Допущение</x:t>
        </x:is>
      </x:c>
      <x:c r="G100" s="52" t="inlineStr">
        <x:is>
          <x:t xml:space="preserve">Рабочий резерв</x:t>
        </x:is>
      </x:c>
    </x:row>
    <x:row r="101">
      <x:c r="A101" s="52" t="inlineStr">
        <x:is>
          <x:t xml:space="preserve">GREASE</x:t>
        </x:is>
      </x:c>
      <x:c r="B101" s="52" t="inlineStr">
        <x:is>
          <x:t xml:space="preserve">F&amp;B Departmental</x:t>
        </x:is>
      </x:c>
      <x:c r="C101" s="52" t="inlineStr">
        <x:is>
          <x:t xml:space="preserve">Жироуловитель / канализация</x:t>
        </x:is>
      </x:c>
      <x:c r="D101" s="199" t="n">
        <x:v>0</x:v>
      </x:c>
      <x:c r="E101" s="52" t="inlineStr">
        <x:is>
          <x:t xml:space="preserve">руб./мес.</x:t>
        </x:is>
      </x:c>
      <x:c r="F101" s="52" t="inlineStr">
        <x:is>
          <x:t xml:space="preserve">Допущение</x:t>
        </x:is>
      </x:c>
      <x:c r="G101" s="52" t="inlineStr">
        <x:is>
          <x:t xml:space="preserve">Рабочий резерв</x:t>
        </x:is>
      </x:c>
    </x:row>
    <x:row r="102">
      <x:c r="A102" s="52" t="inlineStr">
        <x:is>
          <x:t xml:space="preserve">LAUNDRY</x:t>
        </x:is>
      </x:c>
      <x:c r="B102" s="52" t="inlineStr">
        <x:is>
          <x:t xml:space="preserve">F&amp;B Departmental</x:t>
        </x:is>
      </x:c>
      <x:c r="C102" s="52" t="inlineStr">
        <x:is>
          <x:t xml:space="preserve">Стирка текстиля / униформы</x:t>
        </x:is>
      </x:c>
      <x:c r="D102" s="199" t="n">
        <x:v>0</x:v>
      </x:c>
      <x:c r="E102" s="52" t="inlineStr">
        <x:is>
          <x:t xml:space="preserve">руб./мес.</x:t>
        </x:is>
      </x:c>
      <x:c r="F102" s="52" t="inlineStr">
        <x:is>
          <x:t xml:space="preserve">Допущение</x:t>
        </x:is>
      </x:c>
      <x:c r="G102" s="52" t="inlineStr">
        <x:is>
          <x:t xml:space="preserve">Рабочий резерв</x:t>
        </x:is>
      </x:c>
    </x:row>
    <x:row r="103">
      <x:c r="A103" s="52" t="inlineStr">
        <x:is>
          <x:t xml:space="preserve">FIRE_ALARM</x:t>
        </x:is>
      </x:c>
      <x:c r="B103" s="52" t="inlineStr">
        <x:is>
          <x:t xml:space="preserve">POM</x:t>
        </x:is>
      </x:c>
      <x:c r="C103" s="52" t="inlineStr">
        <x:is>
          <x:t xml:space="preserve">Обслуживание пожарной сигнализации</x:t>
        </x:is>
      </x:c>
      <x:c r="D103" s="199" t="n">
        <x:v>5000</x:v>
      </x:c>
      <x:c r="E103" s="52" t="inlineStr">
        <x:is>
          <x:t xml:space="preserve">руб./мес.</x:t>
        </x:is>
      </x:c>
      <x:c r="F103" s="52" t="inlineStr">
        <x:is>
          <x:t xml:space="preserve">Допущение</x:t>
        </x:is>
      </x:c>
      <x:c r="G103" s="52" t="inlineStr">
        <x:is>
          <x:t xml:space="preserve">Рабочий резерв</x:t>
        </x:is>
      </x:c>
    </x:row>
    <x:row r="104">
      <x:c r="A104" s="52" t="inlineStr">
        <x:is>
          <x:t xml:space="preserve">POS</x:t>
        </x:is>
      </x:c>
      <x:c r="B104" s="52" t="inlineStr">
        <x:is>
          <x:t xml:space="preserve">A&amp;G</x:t>
        </x:is>
      </x:c>
      <x:c r="C104" s="52" t="inlineStr">
        <x:is>
          <x:t xml:space="preserve">POS / учётная система</x:t>
        </x:is>
      </x:c>
      <x:c r="D104" s="199" t="n">
        <x:v>20000</x:v>
      </x:c>
      <x:c r="E104" s="52" t="inlineStr">
        <x:is>
          <x:t xml:space="preserve">руб./мес.</x:t>
        </x:is>
      </x:c>
      <x:c r="F104" s="52" t="inlineStr">
        <x:is>
          <x:t xml:space="preserve">Допущение</x:t>
        </x:is>
      </x:c>
      <x:c r="G104" s="52" t="inlineStr">
        <x:is>
          <x:t xml:space="preserve">iiko/r_keeper — уточнить</x:t>
        </x:is>
      </x:c>
    </x:row>
    <x:row r="105">
      <x:c r="A105" s="52" t="inlineStr">
        <x:is>
          <x:t xml:space="preserve">SECURITY</x:t>
        </x:is>
      </x:c>
      <x:c r="B105" s="52" t="inlineStr">
        <x:is>
          <x:t xml:space="preserve">POM</x:t>
        </x:is>
      </x:c>
      <x:c r="C105" s="52" t="inlineStr">
        <x:is>
          <x:t xml:space="preserve">Охрана / тревожная кнопка</x:t>
        </x:is>
      </x:c>
      <x:c r="D105" s="199" t="n">
        <x:v>6000</x:v>
      </x:c>
      <x:c r="E105" s="52" t="inlineStr">
        <x:is>
          <x:t xml:space="preserve">руб./мес.</x:t>
        </x:is>
      </x:c>
      <x:c r="F105" s="52" t="inlineStr">
        <x:is>
          <x:t xml:space="preserve">Допущение</x:t>
        </x:is>
      </x:c>
      <x:c r="G105" s="52" t="inlineStr">
        <x:is>
          <x:t xml:space="preserve">Рабочий резерв</x:t>
        </x:is>
      </x:c>
    </x:row>
    <x:row r="106">
      <x:c r="A106" s="52" t="inlineStr">
        <x:is>
          <x:t xml:space="preserve">BANK_FEES</x:t>
        </x:is>
      </x:c>
      <x:c r="B106" s="52" t="inlineStr">
        <x:is>
          <x:t xml:space="preserve">A&amp;G</x:t>
        </x:is>
      </x:c>
      <x:c r="C106" s="52" t="inlineStr">
        <x:is>
          <x:t xml:space="preserve">Банковские комиссии и РКО</x:t>
        </x:is>
      </x:c>
      <x:c r="D106" s="199" t="n">
        <x:v>8000</x:v>
      </x:c>
      <x:c r="E106" s="52" t="inlineStr">
        <x:is>
          <x:t xml:space="preserve">руб./мес.</x:t>
        </x:is>
      </x:c>
      <x:c r="F106" s="52" t="inlineStr">
        <x:is>
          <x:t xml:space="preserve">Допущение</x:t>
        </x:is>
      </x:c>
      <x:c r="G106" s="52" t="inlineStr">
        <x:is>
          <x:t xml:space="preserve">Кроме эквайринга</x:t>
        </x:is>
      </x:c>
    </x:row>
    <x:row r="107">
      <x:c r="A107" s="52" t="inlineStr">
        <x:is>
          <x:t xml:space="preserve">LEGAL</x:t>
        </x:is>
      </x:c>
      <x:c r="B107" s="52" t="inlineStr">
        <x:is>
          <x:t xml:space="preserve">A&amp;G</x:t>
        </x:is>
      </x:c>
      <x:c r="C107" s="52" t="inlineStr">
        <x:is>
          <x:t xml:space="preserve">Юридическое сопровождение</x:t>
        </x:is>
      </x:c>
      <x:c r="D107" s="199" t="n">
        <x:v>0</x:v>
      </x:c>
      <x:c r="E107" s="52" t="inlineStr">
        <x:is>
          <x:t xml:space="preserve">руб./мес.</x:t>
        </x:is>
      </x:c>
      <x:c r="F107" s="52" t="inlineStr">
        <x:is>
          <x:t xml:space="preserve">Допущение</x:t>
        </x:is>
      </x:c>
      <x:c r="G107" s="52" t="inlineStr">
        <x:is>
          <x:t xml:space="preserve">Рабочий резерв</x:t>
        </x:is>
      </x:c>
    </x:row>
    <x:row r="108">
      <x:c r="A108" s="52" t="inlineStr">
        <x:is>
          <x:t xml:space="preserve">CLOUD</x:t>
        </x:is>
      </x:c>
      <x:c r="B108" s="52" t="inlineStr">
        <x:is>
          <x:t xml:space="preserve">A&amp;G</x:t>
        </x:is>
      </x:c>
      <x:c r="C108" s="52" t="inlineStr">
        <x:is>
          <x:t xml:space="preserve">Резервный интернет / облачные сервисы</x:t>
        </x:is>
      </x:c>
      <x:c r="D108" s="199" t="n">
        <x:v>4000</x:v>
      </x:c>
      <x:c r="E108" s="52" t="inlineStr">
        <x:is>
          <x:t xml:space="preserve">руб./мес.</x:t>
        </x:is>
      </x:c>
      <x:c r="F108" s="52" t="inlineStr">
        <x:is>
          <x:t xml:space="preserve">Допущение</x:t>
        </x:is>
      </x:c>
      <x:c r="G108" s="52" t="inlineStr">
        <x:is>
          <x:t xml:space="preserve">Рабочий резерв</x:t>
        </x:is>
      </x:c>
    </x:row>
    <x:row r="109">
      <x:c r="A109" s="52" t="inlineStr">
        <x:is>
          <x:t xml:space="preserve">DUCT_CLEAN</x:t>
        </x:is>
      </x:c>
      <x:c r="B109" s="52" t="inlineStr">
        <x:is>
          <x:t xml:space="preserve">POM</x:t>
        </x:is>
      </x:c>
      <x:c r="C109" s="52" t="inlineStr">
        <x:is>
          <x:t xml:space="preserve">Глубокая очистка вытяжки и воздуховодов</x:t>
        </x:is>
      </x:c>
      <x:c r="D109" s="199" t="n">
        <x:v>120000</x:v>
      </x:c>
      <x:c r="E109" s="52" t="inlineStr">
        <x:is>
          <x:t xml:space="preserve">руб./год</x:t>
        </x:is>
      </x:c>
      <x:c r="F109" s="52" t="inlineStr">
        <x:is>
          <x:t xml:space="preserve">Допущение</x:t>
        </x:is>
      </x:c>
      <x:c r="G109" s="52" t="inlineStr">
        <x:is>
          <x:t xml:space="preserve">Начисляется равномерно</x:t>
        </x:is>
      </x:c>
    </x:row>
    <x:row r="110">
      <x:c r="A110" s="52" t="inlineStr">
        <x:is>
          <x:t xml:space="preserve">ELECTRO</x:t>
        </x:is>
      </x:c>
      <x:c r="B110" s="52" t="inlineStr">
        <x:is>
          <x:t xml:space="preserve">POM</x:t>
        </x:is>
      </x:c>
      <x:c r="C110" s="52" t="inlineStr">
        <x:is>
          <x:t xml:space="preserve">Электроизмерения</x:t>
        </x:is>
      </x:c>
      <x:c r="D110" s="199" t="n">
        <x:v>30000</x:v>
      </x:c>
      <x:c r="E110" s="52" t="inlineStr">
        <x:is>
          <x:t xml:space="preserve">руб./год</x:t>
        </x:is>
      </x:c>
      <x:c r="F110" s="52" t="inlineStr">
        <x:is>
          <x:t xml:space="preserve">Допущение</x:t>
        </x:is>
      </x:c>
      <x:c r="G110" s="52" t="inlineStr">
        <x:is>
          <x:t xml:space="preserve">Начисляется равномерно</x:t>
        </x:is>
      </x:c>
    </x:row>
    <x:row r="111">
      <x:c r="A111" s="52" t="inlineStr">
        <x:is>
          <x:t xml:space="preserve">FIRE_CHECK</x:t>
        </x:is>
      </x:c>
      <x:c r="B111" s="52" t="inlineStr">
        <x:is>
          <x:t xml:space="preserve">POM</x:t>
        </x:is>
      </x:c>
      <x:c r="C111" s="52" t="inlineStr">
        <x:is>
          <x:t xml:space="preserve">Огнетушители и пожарные проверки</x:t>
        </x:is>
      </x:c>
      <x:c r="D111" s="199" t="n">
        <x:v>25000</x:v>
      </x:c>
      <x:c r="E111" s="52" t="inlineStr">
        <x:is>
          <x:t xml:space="preserve">руб./год</x:t>
        </x:is>
      </x:c>
      <x:c r="F111" s="52" t="inlineStr">
        <x:is>
          <x:t xml:space="preserve">Допущение</x:t>
        </x:is>
      </x:c>
      <x:c r="G111" s="52" t="inlineStr">
        <x:is>
          <x:t xml:space="preserve">Начисляется равномерно</x:t>
        </x:is>
      </x:c>
    </x:row>
    <x:row r="112">
      <x:c r="A112" s="52" t="inlineStr">
        <x:is>
          <x:t xml:space="preserve">MEDICAL</x:t>
        </x:is>
      </x:c>
      <x:c r="B112" s="52" t="inlineStr">
        <x:is>
          <x:t xml:space="preserve">F&amp;B Departmental</x:t>
        </x:is>
      </x:c>
      <x:c r="C112" s="52" t="inlineStr">
        <x:is>
          <x:t xml:space="preserve">Медкнижки и обучение</x:t>
        </x:is>
      </x:c>
      <x:c r="D112" s="199" t="n">
        <x:v>100000</x:v>
      </x:c>
      <x:c r="E112" s="52" t="inlineStr">
        <x:is>
          <x:t xml:space="preserve">руб./год</x:t>
        </x:is>
      </x:c>
      <x:c r="F112" s="52" t="inlineStr">
        <x:is>
          <x:t xml:space="preserve">Допущение</x:t>
        </x:is>
      </x:c>
      <x:c r="G112" s="52" t="inlineStr">
        <x:is>
          <x:t xml:space="preserve">Начисляется равномерно</x:t>
        </x:is>
      </x:c>
    </x:row>
    <x:row r="113">
      <x:c r="A113" s="52" t="inlineStr">
        <x:is>
          <x:t xml:space="preserve">UNIFORM</x:t>
        </x:is>
      </x:c>
      <x:c r="B113" s="52" t="inlineStr">
        <x:is>
          <x:t xml:space="preserve">F&amp;B Departmental</x:t>
        </x:is>
      </x:c>
      <x:c r="C113" s="52" t="inlineStr">
        <x:is>
          <x:t xml:space="preserve">Униформа</x:t>
        </x:is>
      </x:c>
      <x:c r="D113" s="199" t="n">
        <x:v>150000</x:v>
      </x:c>
      <x:c r="E113" s="52" t="inlineStr">
        <x:is>
          <x:t xml:space="preserve">руб./год</x:t>
        </x:is>
      </x:c>
      <x:c r="F113" s="52" t="inlineStr">
        <x:is>
          <x:t xml:space="preserve">Допущение</x:t>
        </x:is>
      </x:c>
      <x:c r="G113" s="52" t="inlineStr">
        <x:is>
          <x:t xml:space="preserve">Начисляется равномерно</x:t>
        </x:is>
      </x:c>
    </x:row>
    <x:row r="114">
      <x:c r="A114" s="52" t="inlineStr">
        <x:is>
          <x:t xml:space="preserve">OFD_EDO</x:t>
        </x:is>
      </x:c>
      <x:c r="B114" s="52" t="inlineStr">
        <x:is>
          <x:t xml:space="preserve">A&amp;G</x:t>
        </x:is>
      </x:c>
      <x:c r="C114" s="52" t="inlineStr">
        <x:is>
          <x:t xml:space="preserve">ОФД, ЭЦП, ЭДО</x:t>
        </x:is>
      </x:c>
      <x:c r="D114" s="199" t="n">
        <x:v>40000</x:v>
      </x:c>
      <x:c r="E114" s="52" t="inlineStr">
        <x:is>
          <x:t xml:space="preserve">руб./год</x:t>
        </x:is>
      </x:c>
      <x:c r="F114" s="52" t="inlineStr">
        <x:is>
          <x:t xml:space="preserve">Допущение</x:t>
        </x:is>
      </x:c>
      <x:c r="G114" s="52" t="inlineStr">
        <x:is>
          <x:t xml:space="preserve">Начисляется равномерно</x:t>
        </x:is>
      </x:c>
    </x:row>
    <x:row r="115">
      <x:c r="A115" s="52" t="inlineStr">
        <x:is>
          <x:t xml:space="preserve">WINDOWS</x:t>
        </x:is>
      </x:c>
      <x:c r="B115" s="52" t="inlineStr">
        <x:is>
          <x:t xml:space="preserve">POM</x:t>
        </x:is>
      </x:c>
      <x:c r="C115" s="52" t="inlineStr">
        <x:is>
          <x:t xml:space="preserve">Мытьё окон / чистка мебели</x:t>
        </x:is>
      </x:c>
      <x:c r="D115" s="199" t="n">
        <x:v>54000</x:v>
      </x:c>
      <x:c r="E115" s="52" t="inlineStr">
        <x:is>
          <x:t xml:space="preserve">руб./год</x:t>
        </x:is>
      </x:c>
      <x:c r="F115" s="52" t="inlineStr">
        <x:is>
          <x:t xml:space="preserve">Допущение</x:t>
        </x:is>
      </x:c>
      <x:c r="G115" s="52" t="inlineStr">
        <x:is>
          <x:t xml:space="preserve">Начисляется равномерно</x:t>
        </x:is>
      </x:c>
    </x:row>
    <x:row r="116">
      <x:c r="A116" s="52" t="inlineStr">
        <x:is>
          <x:t xml:space="preserve">STAFF_MEALS</x:t>
        </x:is>
      </x:c>
      <x:c r="B116" s="52" t="inlineStr">
        <x:is>
          <x:t xml:space="preserve">F&amp;B Departmental</x:t>
        </x:is>
      </x:c>
      <x:c r="C116" s="52" t="inlineStr">
        <x:is>
          <x:t xml:space="preserve">Питание персонала</x:t>
        </x:is>
      </x:c>
      <x:c r="D116" s="199" t="n">
        <x:v>15000</x:v>
      </x:c>
      <x:c r="E116" s="52" t="inlineStr">
        <x:is>
          <x:t xml:space="preserve">руб./мес.</x:t>
        </x:is>
      </x:c>
      <x:c r="F116" s="52" t="str">
        <x:v>Контрольный бюджет</x:v>
      </x:c>
      <x:c r="G116" s="52" t="str">
        <x:v>15 000 руб./мес. — неподтверждённый лимит; фактическая себестоимость определяется по Issue #41</x:v>
      </x:c>
    </x:row>
    <x:row r="117">
      <x:c r="A117" s="171" t="str">
        <x:v>СЦЕНАРИЙ S03 v0.1.6 — КАНАЛЫ VARSHAVKA 3.0.0</x:v>
      </x:c>
      <x:c r="B117" s="171" t="n"/>
      <x:c r="C117" s="171" t="n"/>
      <x:c r="D117" s="171" t="n"/>
      <x:c r="E117" s="171" t="n"/>
      <x:c r="F117" s="171" t="n"/>
      <x:c r="G117" s="171" t="n"/>
    </x:row>
    <x:row r="118">
      <x:c r="A118" t="inlineStr">
        <x:is>
          <x:t xml:space="preserve">S03_BANQ_ALA_SHARE</x:t>
        </x:is>
      </x:c>
      <x:c r="B118" t="inlineStr">
        <x:is>
          <x:t xml:space="preserve">Сценарий S03</x:t>
        </x:is>
      </x:c>
      <x:c r="C118" t="inlineStr">
        <x:is>
          <x:t xml:space="preserve">Доля а-ля карт в банкетный день</x:t>
        </x:is>
      </x:c>
      <x:c r="D118" s="173" t="n">
        <x:v>0.2</x:v>
      </x:c>
      <x:c r="E118" t="inlineStr">
        <x:is>
          <x:t xml:space="preserve">% обычного объёма</x:t>
        </x:is>
      </x:c>
      <x:c r="F118" t="inlineStr">
        <x:is>
          <x:t xml:space="preserve">Подтверждено</x:t>
        </x:is>
      </x:c>
      <x:c r="G118" t="inlineStr">
        <x:is>
          <x:t xml:space="preserve">Наследовано из S02 / Issue #4; включено в S03 / Issue #9</x:t>
        </x:is>
      </x:c>
    </x:row>
    <x:row r="119">
      <x:c r="A119" t="inlineStr">
        <x:is>
          <x:t xml:space="preserve">S03_DAY_END</x:t>
        </x:is>
      </x:c>
      <x:c r="B119" t="inlineStr">
        <x:is>
          <x:t xml:space="preserve">Сценарий S03</x:t>
        </x:is>
      </x:c>
      <x:c r="C119" t="inlineStr">
        <x:is>
          <x:t xml:space="preserve">Окончание дневной работы в банкетный день</x:t>
        </x:is>
      </x:c>
      <x:c r="D119" s="173" t="n">
        <x:v>17</x:v>
      </x:c>
      <x:c r="E119" t="inlineStr">
        <x:is>
          <x:t xml:space="preserve">час</x:t>
        </x:is>
      </x:c>
      <x:c r="F119" t="inlineStr">
        <x:is>
          <x:t xml:space="preserve">Подтверждено</x:t>
        </x:is>
      </x:c>
      <x:c r="G119" t="inlineStr">
        <x:is>
          <x:t xml:space="preserve">Наследовано из S02 / Issue #4; включено в S03 / Issue #9</x:t>
        </x:is>
      </x:c>
    </x:row>
    <x:row r="120">
      <x:c r="A120" t="str">
        <x:v>HOTEL_DINNER_ORDERS</x:v>
      </x:c>
      <x:c r="B120" t="str">
        <x:v>Гостиница — ужины</x:v>
      </x:c>
      <x:c r="C120" t="str">
        <x:v>Ужинов каждый календарный день</x:v>
      </x:c>
      <x:c r="D120" s="173" t="n">
        <x:v>10</x:v>
      </x:c>
      <x:c r="E120" t="str">
        <x:v>ужинов/день</x:v>
      </x:c>
      <x:c r="F120" t="str">
        <x:v>Подтверждено</x:v>
      </x:c>
      <x:c r="G120" t="str">
        <x:v>10 гостевых обслуживаний ужина ежедневно</x:v>
      </x:c>
    </x:row>
    <x:row r="121">
      <x:c r="A121" t="str">
        <x:v>HOTEL_DINNER_CHECK</x:v>
      </x:c>
      <x:c r="B121" t="str">
        <x:v>Гостиница — ужины</x:v>
      </x:c>
      <x:c r="C121" t="str">
        <x:v>Средний чек ужина</x:v>
      </x:c>
      <x:c r="D121" s="173" t="n">
        <x:v>1000</x:v>
      </x:c>
      <x:c r="E121" t="str">
        <x:v>руб./ужин</x:v>
      </x:c>
      <x:c r="F121" t="str">
        <x:v>Подтверждено</x:v>
      </x:c>
      <x:c r="G121" t="str">
        <x:v>Утверждённый средний чек гостиничного ужина</x:v>
      </x:c>
    </x:row>
    <x:row r="122">
      <x:c r="A122" t="str">
        <x:v>HOTEL_DINNER_COGS</x:v>
      </x:c>
      <x:c r="B122" t="str">
        <x:v>Гостиница — ужины</x:v>
      </x:c>
      <x:c r="C122" t="str">
        <x:v>Food cost ужина — как a-la carte</x:v>
      </x:c>
      <x:c r="D122" s="28" t="n">
        <x:f>'01_ВВОД'!$D$24</x:f>
        <x:v>0.3</x:v>
      </x:c>
      <x:c r="E122" t="str">
        <x:v>% выручки</x:v>
      </x:c>
      <x:c r="F122" t="str">
        <x:v>Расчёт</x:v>
      </x:c>
      <x:c r="G122" t="str">
        <x:v>Связан с ALA_COGS</x:v>
      </x:c>
    </x:row>
    <x:row r="123">
      <x:c r="A123" t="str">
        <x:v>HOTEL_DINNER_PACK</x:v>
      </x:c>
      <x:c r="B123" t="str">
        <x:v>Гостиница — ужины</x:v>
      </x:c>
      <x:c r="C123" t="str">
        <x:v>Упаковка / расходники ужина</x:v>
      </x:c>
      <x:c r="D123" s="173" t="n">
        <x:v>0</x:v>
      </x:c>
      <x:c r="E123" t="str">
        <x:v>руб./ужин</x:v>
      </x:c>
      <x:c r="F123" t="str">
        <x:v>Требует уточнения</x:v>
      </x:c>
      <x:c r="G123" t="str">
        <x:v>Пока 0; уточнить по порядку обслуживания Гостиницы</x:v>
      </x:c>
    </x:row>
    <x:row r="124">
      <x:c r="A124" t="str">
        <x:v>HOTEL_DINNER_CASHLESS</x:v>
      </x:c>
      <x:c r="B124" t="str">
        <x:v>Гостиница — ужины</x:v>
      </x:c>
      <x:c r="C124" t="str">
        <x:v>Доля безналичной оплаты ужина</x:v>
      </x:c>
      <x:c r="D124" s="173" t="n">
        <x:v>1</x:v>
      </x:c>
      <x:c r="E124" t="str">
        <x:v>%</x:v>
      </x:c>
      <x:c r="F124" t="str">
        <x:v>Допущение</x:v>
      </x:c>
      <x:c r="G124" t="str">
        <x:v>До уточнения — 100%</x:v>
      </x:c>
    </x:row>
    <x:row r="126">
      <x:c r="A126" t="str">
        <x:v>НАПРАВЛЕНИЕ КОФЕ&amp;ЧАЙ — ТОЛЬКО НАПИТОК БАРИСТА</x:v>
      </x:c>
      <x:c r="B126"/>
      <x:c r="C126"/>
      <x:c r="D126"/>
      <x:c r="E126"/>
      <x:c r="F126"/>
      <x:c r="G126"/>
    </x:row>
    <x:row r="127">
      <x:c r="A127" t="str">
        <x:v>COFFEE_TEA_GUEST_SHARE</x:v>
      </x:c>
      <x:c r="B127" t="str">
        <x:v>КОФЕ&amp;ЧАЙ</x:v>
      </x:c>
      <x:c r="C127" t="str">
        <x:v>Доля от гостей а-ля карт, Бизнес-ланча и Гостиницы</x:v>
      </x:c>
      <x:c r="D127" t="n">
        <x:v>0.5</x:v>
      </x:c>
      <x:c r="E127" t="str">
        <x:v>%</x:v>
      </x:c>
      <x:c r="F127" t="str">
        <x:v>Подтверждено</x:v>
      </x:c>
      <x:c r="G127" t="str">
        <x:v>Округление количества гостей вниз ежедневно; Доставка и Навынос не включаются</x:v>
      </x:c>
    </x:row>
    <x:row r="128">
      <x:c r="A128" t="str">
        <x:v>COFFEE_TEA_CHECK</x:v>
      </x:c>
      <x:c r="B128" t="str">
        <x:v>КОФЕ&amp;ЧАЙ</x:v>
      </x:c>
      <x:c r="C128" t="str">
        <x:v>Средний чек напитка бариста</x:v>
      </x:c>
      <x:c r="D128" t="n">
        <x:v>300</x:v>
      </x:c>
      <x:c r="E128" t="str">
        <x:v>руб./напиток</x:v>
      </x:c>
      <x:c r="F128" t="str">
        <x:v>Подтверждено</x:v>
      </x:c>
      <x:c r="G128" t="str">
        <x:v>Одна единица напитка бариста на гостя</x:v>
      </x:c>
    </x:row>
    <x:row r="129">
      <x:c r="A129" t="str">
        <x:v>COFFEE_TEA_UNIT_COGS</x:v>
      </x:c>
      <x:c r="B129" t="str">
        <x:v>КОФЕ&amp;ЧАЙ</x:v>
      </x:c>
      <x:c r="C129" t="str">
        <x:v>Прямая себестоимость напитка</x:v>
      </x:c>
      <x:c r="D129" t="n">
        <x:v>60</x:v>
      </x:c>
      <x:c r="E129" t="str">
        <x:v>руб./напиток</x:v>
      </x:c>
      <x:c r="F129" t="str">
        <x:v>Подтверждено</x:v>
      </x:c>
      <x:c r="G129" t="str">
        <x:v>Полностью относится к напитку бариста; продукция Кухни = 0</x:v>
      </x:c>
    </x:row>
    <x:row r="130">
      <x:c r="A130" t="str">
        <x:v>COFFEE_TEA_CASHLESS</x:v>
      </x:c>
      <x:c r="B130" t="str">
        <x:v>КОФЕ&amp;ЧАЙ</x:v>
      </x:c>
      <x:c r="C130" t="str">
        <x:v>Доля безналичной оплаты</x:v>
      </x:c>
      <x:c r="D130" t="n">
        <x:v>1</x:v>
      </x:c>
      <x:c r="E130" t="str">
        <x:v>%</x:v>
      </x:c>
      <x:c r="F130" t="str">
        <x:v>Допущение</x:v>
      </x:c>
      <x:c r="G130" t="str">
        <x:v>До решения Issue #51 — 100%</x:v>
      </x:c>
    </x:row>
    <x:row r="132">
      <x:c r="A132" t="str">
        <x:v>ПРОИЗВОДСТВЕННАЯ ПРОГРАММА ПИТАНИЯ СОТРУДНИКОВ</x:v>
      </x:c>
      <x:c r="B132"/>
      <x:c r="C132"/>
      <x:c r="D132"/>
      <x:c r="E132"/>
      <x:c r="F132"/>
      <x:c r="G132"/>
    </x:row>
    <x:row r="133">
      <x:c r="A133" t="str">
        <x:v>STAFF_MEALS_WEEKLY_QTY</x:v>
      </x:c>
      <x:c r="B133" t="str">
        <x:v>Питание сотрудников</x:v>
      </x:c>
      <x:c r="C133" t="str">
        <x:v>Комплексов в неделю</x:v>
      </x:c>
      <x:c r="D133" t="n">
        <x:v>84</x:v>
      </x:c>
      <x:c r="E133" t="str">
        <x:v>комплексов/нед.</x:v>
      </x:c>
      <x:c r="F133" t="str">
        <x:v>Подтверждено</x:v>
      </x:c>
      <x:c r="G133" t="str">
        <x:v>48 комплексов А + 36 комплексов Б; резерв не применяется</x:v>
      </x:c>
    </x:row>
    <x:row r="134">
      <x:c r="A134" t="str">
        <x:v>STAFF_MEALS_ANNUAL_QTY</x:v>
      </x:c>
      <x:c r="B134" t="str">
        <x:v>Питание сотрудников</x:v>
      </x:c>
      <x:c r="C134" t="str">
        <x:v>Комплексов за 52 недели</x:v>
      </x:c>
      <x:c r="D134" t="n">
        <x:f>'01_ВВОД'!$D$133*52</x:f>
        <x:v>4368</x:v>
      </x:c>
      <x:c r="E134" t="str">
        <x:v>комплексов/год</x:v>
      </x:c>
      <x:c r="F134" t="str">
        <x:v>Расчёт</x:v>
      </x:c>
      <x:c r="G134" t="str">
        <x:v>84 × 52; календарные месяцы рассчитываются дневной программой на следующем этапе</x:v>
      </x:c>
    </x:row>
    <x:row r="135">
      <x:c r="A135" t="str">
        <x:v>STAFF_MEALS_FOOD_WEEK</x:v>
      </x:c>
      <x:c r="B135" t="str">
        <x:v>Питание сотрудников</x:v>
      </x:c>
      <x:c r="C135" t="str">
        <x:v>Пищевая продукция в неделю</x:v>
      </x:c>
      <x:c r="D135" t="n">
        <x:v>54.6</x:v>
      </x:c>
      <x:c r="E135" t="str">
        <x:v>кг/нед.</x:v>
      </x:c>
      <x:c r="F135" t="str">
        <x:v>Подтверждено</x:v>
      </x:c>
      <x:c r="G135" t="str">
        <x:v>84 комплекса × 650 г</x:v>
      </x:c>
    </x:row>
    <x:row r="136">
      <x:c r="A136" t="str">
        <x:v>STAFF_MEALS_DRINK_WEEK</x:v>
      </x:c>
      <x:c r="B136" t="str">
        <x:v>Питание сотрудников</x:v>
      </x:c>
      <x:c r="C136" t="str">
        <x:v>Напитки в неделю</x:v>
      </x:c>
      <x:c r="D136" t="n">
        <x:v>16.8</x:v>
      </x:c>
      <x:c r="E136" t="str">
        <x:v>л/нед.</x:v>
      </x:c>
      <x:c r="F136" t="str">
        <x:v>Подтверждено</x:v>
      </x:c>
      <x:c r="G136" t="str">
        <x:v>84 комплекса × 200 мл; кофе бариста не входит</x:v>
      </x:c>
    </x:row>
    <x:row r="137">
      <x:c r="A137" s="270" t="str">
        <x:v>S03 v0.1.7 — ГОСТИНИЧНЫЙ ЗАВТРАК: 3 АКТИВНЫХ ВАРИАНТА</x:v>
      </x:c>
      <x:c r="B137" s="270"/>
      <x:c r="C137" s="270"/>
      <x:c r="D137" s="270"/>
      <x:c r="E137" s="270"/>
      <x:c r="F137" s="270"/>
      <x:c r="G137" s="270"/>
    </x:row>
    <x:row r="138">
      <x:c r="A138" s="270" t="str">
        <x:v>HOTEL_BREAKFAST_ACTIVE_VARIANTS</x:v>
      </x:c>
      <x:c r="B138" s="270" t="str">
        <x:v>Гостиница — завтраки</x:v>
      </x:c>
      <x:c r="C138" s="270" t="str">
        <x:v>Активных вариантов</x:v>
      </x:c>
      <x:c r="D138" s="270" t="n">
        <x:v>3</x:v>
      </x:c>
      <x:c r="E138" s="270" t="str">
        <x:v>варианта</x:v>
      </x:c>
      <x:c r="F138" s="270" t="str">
        <x:v>Подтверждено</x:v>
      </x:c>
      <x:c r="G138" s="270" t="str">
        <x:v>Яичница, омлет, овсяная каша</x:v>
      </x:c>
    </x:row>
    <x:row r="139">
      <x:c r="A139" s="270" t="str">
        <x:v>HOTEL_BREAKFAST_EXTERNAL_SALE</x:v>
      </x:c>
      <x:c r="B139" s="270" t="str">
        <x:v>Гостиница — завтраки</x:v>
      </x:c>
      <x:c r="C139" s="270" t="str">
        <x:v>Внешняя продажа</x:v>
      </x:c>
      <x:c r="D139" s="270" t="n">
        <x:v>0</x:v>
      </x:c>
      <x:c r="E139" s="270" t="str">
        <x:v>0/1</x:v>
      </x:c>
      <x:c r="F139" s="270" t="str">
        <x:v>Подтверждено</x:v>
      </x:c>
      <x:c r="G139" s="270" t="str">
        <x:v>Закрытое меню; продажа гостям КАФЕ запрещена</x:v>
      </x:c>
    </x:row>
    <x:row r="140">
      <x:c r="A140" s="270" t="str">
        <x:v>HOTEL_BREAKFAST_DRINK_COGS</x:v>
      </x:c>
      <x:c r="B140" s="270" t="str">
        <x:v>Гостиница — завтраки</x:v>
      </x:c>
      <x:c r="C140" s="270" t="str">
        <x:v>Себестоимость напитка бариста</x:v>
      </x:c>
      <x:c r="D140" s="270" t="n">
        <x:v>60</x:v>
      </x:c>
      <x:c r="E140" s="270" t="str">
        <x:v>руб./завтрак</x:v>
      </x:c>
      <x:c r="F140" s="270" t="str">
        <x:v>Подтверждено</x:v>
      </x:c>
      <x:c r="G140" s="270" t="str">
        <x:v>Относится к Гостинице; не входит в КОФЕ&amp;ЧАЙ</x:v>
      </x:c>
    </x:row>
    <x:row r="141">
      <x:c r="A141" s="270" t="str">
        <x:v>HOTEL_BREAKFAST_KITCHEN_COGS</x:v>
      </x:c>
      <x:c r="B141" s="270" t="str">
        <x:v>Гостиница — завтраки</x:v>
      </x:c>
      <x:c r="C141" s="270" t="str">
        <x:v>Средневзвешенная себестоимость Кухни</x:v>
      </x:c>
      <x:c r="D141" s="270" t="n">
        <x:v>133.28625</x:v>
      </x:c>
      <x:c r="E141" s="270" t="str">
        <x:v>руб./завтрак</x:v>
      </x:c>
      <x:c r="F141" s="270" t="str">
        <x:v>Предварительно</x:v>
      </x:c>
      <x:c r="G141" s="270" t="str">
        <x:v>Рыночные прокси; нужны документы поставщиков</x:v>
      </x:c>
    </x:row>
    <x:row r="142">
      <x:c r="A142" s="270" t="str">
        <x:v>HOTEL_BREAKFAST_UNIT_COGS</x:v>
      </x:c>
      <x:c r="B142" s="270" t="str">
        <x:v>Гостиница — завтраки</x:v>
      </x:c>
      <x:c r="C142" s="270" t="str">
        <x:v>Полная прямая себестоимость</x:v>
      </x:c>
      <x:c r="D142" s="270" t="n">
        <x:f>'01_ВВОД'!$D$140+'01_ВВОД'!$D$141</x:f>
        <x:v>193.28625</x:v>
      </x:c>
      <x:c r="E142" s="270" t="str">
        <x:v>руб./завтрак</x:v>
      </x:c>
      <x:c r="F142" s="270" t="str">
        <x:v>Расчёт</x:v>
      </x:c>
      <x:c r="G142" s="270" t="str">
        <x:v>Кухня + напиток бариста</x:v>
      </x:c>
    </x:row>
    <x:row r="143">
      <x:c r="A143" s="270" t="str">
        <x:v>HOTEL_BREAKFAST_RECIPE_FC</x:v>
      </x:c>
      <x:c r="B143" s="270" t="str">
        <x:v>Гостиница — завтраки</x:v>
      </x:c>
      <x:c r="C143" s="270" t="str">
        <x:v>Рецептурный food cost от тарифа с НДС</x:v>
      </x:c>
      <x:c r="D143" s="276" t="n">
        <x:f>'01_ВВОД'!$D$142/'01_ВВОД'!$D$45</x:f>
        <x:v>0.35142954545454547</x:v>
      </x:c>
      <x:c r="E143" s="270" t="str">
        <x:v>% выручки</x:v>
      </x:c>
      <x:c r="F143" s="270" t="str">
        <x:v>Расчёт</x:v>
      </x:c>
      <x:c r="G143" s="270" t="str">
        <x:v>Полная себестоимость / 550 руб.</x:v>
      </x:c>
    </x:row>
    <x:row r="144">
      <x:c r="A144" s="270" t="str">
        <x:v>HOTEL_BREAKFAST_EGG_SHARE</x:v>
      </x:c>
      <x:c r="B144" s="270" t="str">
        <x:v>Гостиница — завтраки</x:v>
      </x:c>
      <x:c r="C144" s="270" t="str">
        <x:v>Доля яичницы</x:v>
      </x:c>
      <x:c r="D144" s="276" t="n">
        <x:v>0.375</x:v>
      </x:c>
      <x:c r="E144" s="270" t="str">
        <x:v>%</x:v>
      </x:c>
      <x:c r="F144" s="270" t="str">
        <x:v>Подтверждено</x:v>
      </x:c>
      <x:c r="G144" s="270" t="str">
        <x:v>37,5%</x:v>
      </x:c>
    </x:row>
    <x:row r="145">
      <x:c r="A145" s="270" t="str">
        <x:v>HOTEL_BREAKFAST_OMELET_SHARE</x:v>
      </x:c>
      <x:c r="B145" s="270" t="str">
        <x:v>Гостиница — завтраки</x:v>
      </x:c>
      <x:c r="C145" s="270" t="str">
        <x:v>Доля омлета</x:v>
      </x:c>
      <x:c r="D145" s="276" t="n">
        <x:v>0.375</x:v>
      </x:c>
      <x:c r="E145" s="270" t="str">
        <x:v>%</x:v>
      </x:c>
      <x:c r="F145" s="270" t="str">
        <x:v>Подтверждено</x:v>
      </x:c>
      <x:c r="G145" s="270" t="str">
        <x:v>37,5%</x:v>
      </x:c>
    </x:row>
    <x:row r="146">
      <x:c r="A146" s="270" t="str">
        <x:v>HOTEL_BREAKFAST_OAT_SHARE</x:v>
      </x:c>
      <x:c r="B146" s="270" t="str">
        <x:v>Гостиница — завтраки</x:v>
      </x:c>
      <x:c r="C146" s="270" t="str">
        <x:v>Доля овсяной каши</x:v>
      </x:c>
      <x:c r="D146" s="276" t="n">
        <x:v>0.25</x:v>
      </x:c>
      <x:c r="E146" s="270" t="str">
        <x:v>%</x:v>
      </x:c>
      <x:c r="F146" s="270" t="str">
        <x:v>Подтверждено</x:v>
      </x:c>
      <x:c r="G146" s="270" t="str">
        <x:v>25%</x:v>
      </x:c>
    </x:row>
    <x:row r="147">
      <x:c r="A147" s="270" t="str">
        <x:v>HOTEL_BREAKFAST_EGG_COGS</x:v>
      </x:c>
      <x:c r="B147" s="270" t="str">
        <x:v>Гостиница — завтраки</x:v>
      </x:c>
      <x:c r="C147" s="270" t="str">
        <x:v>Полная себестоимость яичницы</x:v>
      </x:c>
      <x:c r="D147" s="270" t="n">
        <x:v>192.05</x:v>
      </x:c>
      <x:c r="E147" s="270" t="str">
        <x:v>руб./комплекс</x:v>
      </x:c>
      <x:c r="F147" s="270" t="str">
        <x:v>Предварительно</x:v>
      </x:c>
      <x:c r="G147" s="270" t="str">
        <x:v>Кухня 132,05 + напиток 60</x:v>
      </x:c>
    </x:row>
    <x:row r="148">
      <x:c r="A148" s="270" t="str">
        <x:v>HOTEL_BREAKFAST_OMELET_COGS</x:v>
      </x:c>
      <x:c r="B148" s="270" t="str">
        <x:v>Гостиница — завтраки</x:v>
      </x:c>
      <x:c r="C148" s="270" t="str">
        <x:v>Полная себестоимость омлета</x:v>
      </x:c>
      <x:c r="D148" s="270" t="n">
        <x:v>198.5</x:v>
      </x:c>
      <x:c r="E148" s="270" t="str">
        <x:v>руб./комплекс</x:v>
      </x:c>
      <x:c r="F148" s="270" t="str">
        <x:v>Предварительно</x:v>
      </x:c>
      <x:c r="G148" s="270" t="str">
        <x:v>Кухня 138,50 + напиток 60</x:v>
      </x:c>
    </x:row>
    <x:row r="149">
      <x:c r="A149" s="270" t="str">
        <x:v>HOTEL_BREAKFAST_OAT_COGS</x:v>
      </x:c>
      <x:c r="B149" s="270" t="str">
        <x:v>Гостиница — завтраки</x:v>
      </x:c>
      <x:c r="C149" s="270" t="str">
        <x:v>Полная себестоимость овсяной каши</x:v>
      </x:c>
      <x:c r="D149" s="270" t="n">
        <x:v>187.32</x:v>
      </x:c>
      <x:c r="E149" s="270" t="str">
        <x:v>руб./комплекс</x:v>
      </x:c>
      <x:c r="F149" s="270" t="str">
        <x:v>Предварительно</x:v>
      </x:c>
      <x:c r="G149" s="270" t="str">
        <x:v>Кухня 127,32 + напиток 60</x:v>
      </x:c>
    </x:row>
    <x:row r="150">
      <x:c r="A150" s="270" t="str">
        <x:v>HOTEL_BREAKFAST_BENEDICT_SHARE</x:v>
      </x:c>
      <x:c r="B150" s="270" t="str">
        <x:v>Гостиница — завтраки</x:v>
      </x:c>
      <x:c r="C150" s="270" t="str">
        <x:v>Доля яиц Бенедикт</x:v>
      </x:c>
      <x:c r="D150" s="270" t="n">
        <x:v>0</x:v>
      </x:c>
      <x:c r="E150" s="270" t="str">
        <x:v>%</x:v>
      </x:c>
      <x:c r="F150" s="270" t="str">
        <x:v>Подтверждено</x:v>
      </x:c>
      <x:c r="G150" s="270" t="str">
        <x:v>Неактивная архивная рецептура</x:v>
      </x:c>
    </x:row>
    <x:row r="151">
      <x:c r="A151" s="270" t="str">
        <x:v>HOTEL_BREAKFAST_SALMON_CROISSANT_SHARE</x:v>
      </x:c>
      <x:c r="B151" s="270" t="str">
        <x:v>Гостиница — завтраки</x:v>
      </x:c>
      <x:c r="C151" s="270" t="str">
        <x:v>Доля круассана с лососем</x:v>
      </x:c>
      <x:c r="D151" s="270" t="n">
        <x:v>0</x:v>
      </x:c>
      <x:c r="E151" s="270" t="str">
        <x:v>%</x:v>
      </x:c>
      <x:c r="F151" s="270" t="str">
        <x:v>Подтверждено</x:v>
      </x:c>
      <x:c r="G151" s="270" t="str">
        <x:v>Неактивная архивная рецептура</x:v>
      </x:c>
    </x:row>
    <x:row r="152">
      <x:c r="A152" s="270" t="str">
        <x:v>KITCHEN_ACTIVE_MENU_POSITIONS</x:v>
      </x:c>
      <x:c r="B152" s="270" t="str">
        <x:v>Кухня</x:v>
      </x:c>
      <x:c r="C152" s="270" t="str">
        <x:v>Активных стартовых позиций</x:v>
      </x:c>
      <x:c r="D152" s="270" t="n">
        <x:v>31</x:v>
      </x:c>
      <x:c r="E152" s="270" t="str">
        <x:v>позиция</x:v>
      </x:c>
      <x:c r="F152" s="270" t="str">
        <x:v>Подтверждено</x:v>
      </x:c>
      <x:c r="G152" s="270" t="str">
        <x:v>Две специальные позиции завтрака исключены</x:v>
      </x:c>
    </x:row>
    <x:row r="153">
      <x:c r="A153" s="270" t="str">
        <x:v>TRAINING_CONTROL_BATCHES</x:v>
      </x:c>
      <x:c r="B153" s="270" t="str">
        <x:v>Обучение</x:v>
      </x:c>
      <x:c r="C153" s="270" t="str">
        <x:v>Контрольных партий</x:v>
      </x:c>
      <x:c r="D153" s="270" t="n">
        <x:v>63</x:v>
      </x:c>
      <x:c r="E153" s="270" t="str">
        <x:v>партии</x:v>
      </x:c>
      <x:c r="F153" s="270" t="str">
        <x:v>Расчёт</x:v>
      </x:c>
      <x:c r="G153" s="270" t="str">
        <x:v>65 − 2 стартовые серии завтраков</x:v>
      </x:c>
    </x:row>
    <x:row r="154">
      <x:c r="A154" s="270" t="str">
        <x:v>TRAINING_CONTROL_UNITS</x:v>
      </x:c>
      <x:c r="B154" s="270" t="str">
        <x:v>Обучение</x:v>
      </x:c>
      <x:c r="C154" s="270" t="str">
        <x:v>Изделий и продаваемых порций</x:v>
      </x:c>
      <x:c r="D154" s="270" t="n">
        <x:v>636</x:v>
      </x:c>
      <x:c r="E154" s="270" t="str">
        <x:v>ед.</x:v>
      </x:c>
      <x:c r="F154" s="270" t="str">
        <x:v>Расчёт</x:v>
      </x:c>
      <x:c r="G154" s="270" t="str">
        <x:v>656 − 20 порций</x:v>
      </x:c>
    </x:row>
    <x:row r="155">
      <x:c r="A155" s="270" t="str">
        <x:v>TRAINING_CONTROL_KG</x:v>
      </x:c>
      <x:c r="B155" s="270" t="str">
        <x:v>Обучение</x:v>
      </x:c>
      <x:c r="C155" s="270" t="str">
        <x:v>Готовой продукции</x:v>
      </x:c>
      <x:c r="D155" s="270" t="n">
        <x:v>171.3</x:v>
      </x:c>
      <x:c r="E155" s="270" t="str">
        <x:v>кг</x:v>
      </x:c>
      <x:c r="F155" s="270" t="str">
        <x:v>Расчёт</x:v>
      </x:c>
      <x:c r="G155" s="270" t="str">
        <x:v>176,30 − 3,00 − 2,00 кг</x:v>
      </x:c>
    </x:row>
    <x:row r="156">
      <x:c r="A156" s="270" t="str">
        <x:v>HOTEL_BREAKFAST_LAUNCH_QTY</x:v>
      </x:c>
      <x:c r="B156" s="270" t="str">
        <x:v>Гостиница — завтраки</x:v>
      </x:c>
      <x:c r="C156" s="270" t="str">
        <x:v>План первых трёх месяцев</x:v>
      </x:c>
      <x:c r="D156" s="270" t="n">
        <x:v>22</x:v>
      </x:c>
      <x:c r="E156" s="270" t="str">
        <x:v>комплекса/день</x:v>
      </x:c>
      <x:c r="F156" s="270" t="str">
        <x:v>Подтверждено</x:v>
      </x:c>
      <x:c r="G156" s="270" t="str">
        <x:v>8 яичниц + 8 омлетов + 6 каш</x:v>
      </x:c>
    </x:row>
    <x:row r="157">
      <x:c r="A157" s="270" t="str">
        <x:v>HOTEL_BREAKFAST_STEADY_QTY</x:v>
      </x:c>
      <x:c r="B157" s="270" t="str">
        <x:v>Гостиница — завтраки</x:v>
      </x:c>
      <x:c r="C157" s="270" t="str">
        <x:v>План после трёх месяцев</x:v>
      </x:c>
      <x:c r="D157" s="270" t="n">
        <x:v>21</x:v>
      </x:c>
      <x:c r="E157" s="270" t="str">
        <x:v>комплекс/день</x:v>
      </x:c>
      <x:c r="F157" s="270" t="str">
        <x:v>Подтверждено</x:v>
      </x:c>
      <x:c r="G157" s="270" t="str">
        <x:v>8 яичниц + 8 омлетов + 5 каш</x:v>
      </x:c>
    </x:row>
    <x:row r="158">
      <x:c r="A158" s="270" t="str">
        <x:v>HOTEL_BREAKFAST_CONFIRMED_QTY</x:v>
      </x:c>
      <x:c r="B158" s="270" t="str">
        <x:v>Гостиница — завтраки</x:v>
      </x:c>
      <x:c r="C158" s="270" t="str">
        <x:v>Подтверждённые обслуживания</x:v>
      </x:c>
      <x:c r="D158" s="270" t="n">
        <x:v>20</x:v>
      </x:c>
      <x:c r="E158" s="270" t="str">
        <x:v>комплексов/день</x:v>
      </x:c>
      <x:c r="F158" s="270" t="str">
        <x:v>Подтверждено</x:v>
      </x:c>
      <x:c r="G158" s="270" t="str">
        <x:v>Нечётный день 8/7/5; чётный 7/8/5</x:v>
      </x:c>
    </x:row>
    <x:row r="159">
      <x:c r="A159" s="270" t="str">
        <x:v>HOTEL_BREAKFAST_SURCHARGE</x:v>
      </x:c>
      <x:c r="B159" s="270" t="str">
        <x:v>Гостиница — завтраки</x:v>
      </x:c>
      <x:c r="C159" s="270" t="str">
        <x:v>Доплата</x:v>
      </x:c>
      <x:c r="D159" s="270" t="n">
        <x:v>0</x:v>
      </x:c>
      <x:c r="E159" s="270" t="str">
        <x:v>руб./комплекс</x:v>
      </x:c>
      <x:c r="F159" s="270" t="str">
        <x:v>Подтверждено</x:v>
      </x:c>
      <x:c r="G159" s="270" t="str">
        <x:v>Доплаты запрещены</x:v>
      </x:c>
    </x:row>
    <x:row r="160">
      <x:c r="A160" s="270" t="str">
        <x:v>HOTEL_BREAKFAST_EGG_OUTPUT</x:v>
      </x:c>
      <x:c r="B160" s="270" t="str">
        <x:v>Гостиница — завтраки</x:v>
      </x:c>
      <x:c r="C160" s="270" t="str">
        <x:v>Выход комплекса с яичницей</x:v>
      </x:c>
      <x:c r="D160" s="270" t="n">
        <x:v>225</x:v>
      </x:c>
      <x:c r="E160" s="270" t="str">
        <x:v>г</x:v>
      </x:c>
      <x:c r="F160" s="270" t="str">
        <x:v>Подтверждено</x:v>
      </x:c>
      <x:c r="G160" s="270" t="str">
        <x:v>Основное блюдо + круассан + сыры</x:v>
      </x:c>
    </x:row>
    <x:row r="161">
      <x:c r="A161" s="270" t="str">
        <x:v>HOTEL_BREAKFAST_OMELET_OUTPUT</x:v>
      </x:c>
      <x:c r="B161" s="270" t="str">
        <x:v>Гостиница — завтраки</x:v>
      </x:c>
      <x:c r="C161" s="270" t="str">
        <x:v>Выход комплекса с омлетом</x:v>
      </x:c>
      <x:c r="D161" s="270" t="n">
        <x:v>265</x:v>
      </x:c>
      <x:c r="E161" s="270" t="str">
        <x:v>г</x:v>
      </x:c>
      <x:c r="F161" s="270" t="str">
        <x:v>Подтверждено</x:v>
      </x:c>
      <x:c r="G161" s="270" t="str">
        <x:v>Основное блюдо + круассан + сыры</x:v>
      </x:c>
    </x:row>
    <x:row r="162">
      <x:c r="A162" s="270" t="str">
        <x:v>HOTEL_BREAKFAST_OAT_OUTPUT</x:v>
      </x:c>
      <x:c r="B162" s="270" t="str">
        <x:v>Гостиница — завтраки</x:v>
      </x:c>
      <x:c r="C162" s="270" t="str">
        <x:v>Выход комплекса с овсяной кашей</x:v>
      </x:c>
      <x:c r="D162" s="270" t="n">
        <x:v>355</x:v>
      </x:c>
      <x:c r="E162" s="270" t="str">
        <x:v>г</x:v>
      </x:c>
      <x:c r="F162" s="270" t="str">
        <x:v>Подтверждено</x:v>
      </x:c>
      <x:c r="G162" s="270" t="str">
        <x:v>Основное блюдо + круассан + сыры</x:v>
      </x:c>
    </x:row>
    <x:row r="163">
      <x:c r="A163" s="270" t="str">
        <x:v>HOTEL_BREAKFAST_WEIGHTED_OUTPUT</x:v>
      </x:c>
      <x:c r="B163" s="270" t="str">
        <x:v>Гостиница — завтраки</x:v>
      </x:c>
      <x:c r="C163" s="270" t="str">
        <x:v>Средневзвешенный выход</x:v>
      </x:c>
      <x:c r="D163" s="270" t="n">
        <x:f>'01_ВВОД'!$D$144*'01_ВВОД'!$D$160+'01_ВВОД'!$D$145*'01_ВВОД'!$D$161+'01_ВВОД'!$D$146*'01_ВВОД'!$D$162</x:f>
        <x:v>272.5</x:v>
      </x:c>
      <x:c r="E163" s="270" t="str">
        <x:v>г/обслуживание</x:v>
      </x:c>
      <x:c r="F163" s="270" t="str">
        <x:v>Расчёт</x:v>
      </x:c>
      <x:c r="G163" s="270" t="str">
        <x:v>По структуре 37,5% / 37,5% / 25%</x:v>
      </x:c>
    </x:row>
    <x:row r="164">
      <x:c r="A164" s="270" t="str">
        <x:v>HOTEL_BREAKFAST_LAUNCH_OUTPUT</x:v>
      </x:c>
      <x:c r="B164" s="270" t="str">
        <x:v>Гостиница — завтраки</x:v>
      </x:c>
      <x:c r="C164" s="270" t="str">
        <x:v>Выпуск 22 комплексов</x:v>
      </x:c>
      <x:c r="D164" s="270" t="n">
        <x:v>6.05</x:v>
      </x:c>
      <x:c r="E164" s="270" t="str">
        <x:v>кг/день</x:v>
      </x:c>
      <x:c r="F164" s="270" t="str">
        <x:v>Расчёт</x:v>
      </x:c>
      <x:c r="G164" s="270" t="str">
        <x:v>8 × 225 + 8 × 265 + 6 × 355</x:v>
      </x:c>
    </x:row>
    <x:row r="165">
      <x:c r="A165" s="270" t="str">
        <x:v>HOTEL_BREAKFAST_STEADY_OUTPUT</x:v>
      </x:c>
      <x:c r="B165" s="270" t="str">
        <x:v>Гостиница — завтраки</x:v>
      </x:c>
      <x:c r="C165" s="270" t="str">
        <x:v>Выпуск 21 комплекса</x:v>
      </x:c>
      <x:c r="D165" s="270" t="n">
        <x:v>5.695</x:v>
      </x:c>
      <x:c r="E165" s="270" t="str">
        <x:v>кг/день</x:v>
      </x:c>
      <x:c r="F165" s="270" t="str">
        <x:v>Расчёт</x:v>
      </x:c>
      <x:c r="G165" s="270" t="str">
        <x:v>8 × 225 + 8 × 265 + 5 × 355</x:v>
      </x:c>
    </x:row>
    <x:row r="166">
      <x:c r="A166" s="270" t="str">
        <x:v>HOTEL_BREAKFAST_ODD_OUTPUT</x:v>
      </x:c>
      <x:c r="B166" s="270" t="str">
        <x:v>Гостиница — завтраки</x:v>
      </x:c>
      <x:c r="C166" s="270" t="str">
        <x:v>Выпуск 20 комплексов в нечётный день</x:v>
      </x:c>
      <x:c r="D166" s="270" t="n">
        <x:v>5.43</x:v>
      </x:c>
      <x:c r="E166" s="270" t="str">
        <x:v>кг/день</x:v>
      </x:c>
      <x:c r="F166" s="270" t="str">
        <x:v>Расчёт</x:v>
      </x:c>
      <x:c r="G166" s="270" t="str">
        <x:v>8 × 225 + 7 × 265 + 5 × 355</x:v>
      </x:c>
    </x:row>
    <x:row r="167">
      <x:c r="A167" s="270" t="str">
        <x:v>HOTEL_BREAKFAST_EVEN_OUTPUT</x:v>
      </x:c>
      <x:c r="B167" s="270" t="str">
        <x:v>Гостиница — завтраки</x:v>
      </x:c>
      <x:c r="C167" s="270" t="str">
        <x:v>Выпуск 20 комплексов в чётный день</x:v>
      </x:c>
      <x:c r="D167" s="270" t="n">
        <x:v>5.47</x:v>
      </x:c>
      <x:c r="E167" s="270" t="str">
        <x:v>кг/день</x:v>
      </x:c>
      <x:c r="F167" s="270" t="str">
        <x:v>Расчёт</x:v>
      </x:c>
      <x:c r="G167" s="270" t="str">
        <x:v>7 × 225 + 8 × 265 + 5 × 355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style="174" customWidth="1"/>
    <x:col min="2" max="2" width="9" style="174" customWidth="1"/>
    <x:col min="3" max="3" width="10" style="174" customWidth="1"/>
    <x:col min="4" max="4" width="11" style="174" customWidth="1"/>
    <x:col min="5" max="5" width="11" style="174" customWidth="1"/>
    <x:col min="6" max="6" width="10" style="174" customWidth="1"/>
    <x:col min="7" max="7" width="34" style="174" customWidth="1"/>
    <x:col min="8" max="8" width="10" style="174" customWidth="1"/>
    <x:col min="9" max="9" width="14" style="174" customWidth="1"/>
    <x:col min="10" max="10" width="12" style="174" customWidth="1"/>
    <x:col min="11" max="11" width="12" style="174" customWidth="1"/>
    <x:col min="12" max="12" width="14" style="174" customWidth="1"/>
    <x:col min="13" max="13" width="14" style="174" customWidth="1"/>
    <x:col min="14" max="14" width="14" style="174" customWidth="1"/>
    <x:col min="15" max="15" width="14" style="174" customWidth="1"/>
    <x:col min="16" max="16" width="14" style="174" customWidth="1"/>
    <x:col min="17" max="17" width="14" style="174" customWidth="1"/>
    <x:col min="18" max="18" width="14" style="174" customWidth="1"/>
    <x:col min="19" max="19" width="14" style="174" customWidth="1"/>
    <x:col min="20" max="20" width="14" style="174" customWidth="1"/>
    <x:col min="21" max="21" width="18" style="174" customWidth="1"/>
    <x:col min="22" max="22" width="18" hidden="0" customWidth="1"/>
    <x:col min="23" max="23" width="18" hidden="0" customWidth="1"/>
  </x:cols>
  <x:sheetData>
    <x:row r="1" s="174" customFormat="1" ht="28" customHeight="1">
      <x:c r="A1" s="9" t="inlineStr">
        <x:is>
          <x:t xml:space="preserve">Календарь операционной модели: 01.09.2026–31.08.2027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</x:row>
    <x:row r="2">
      <x:c r="A2" s="13" t="str">
        <x:v>Банкетный день: а-ля карт 20% до 17:00; остальные направления работают обычно. Гостиница: 20 завтраков и 10 ужинов ежедневно. КОФЕ&amp;ЧАЙ: 50% базы гостей, округление вниз.</x:v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</x:row>
    <x:row r="4">
      <x:c r="A4" s="18" t="inlineStr">
        <x:is>
          <x:t xml:space="preserve">Дата</x:t>
        </x:is>
      </x:c>
      <x:c r="B4" s="18" t="inlineStr">
        <x:is>
          <x:t xml:space="preserve">№ месяца</x:t>
        </x:is>
      </x:c>
      <x:c r="C4" s="18" t="inlineStr">
        <x:is>
          <x:t xml:space="preserve">Месяц</x:t>
        </x:is>
      </x:c>
      <x:c r="D4" s="18" t="inlineStr">
        <x:is>
          <x:t xml:space="preserve">№ дня недели</x:t>
        </x:is>
      </x:c>
      <x:c r="E4" s="18" t="inlineStr">
        <x:is>
          <x:t xml:space="preserve">День недели</x:t>
        </x:is>
      </x:c>
      <x:c r="F4" s="18" t="inlineStr">
        <x:is>
          <x:t xml:space="preserve">Праздник 1/0</x:t>
        </x:is>
      </x:c>
      <x:c r="G4" s="18" t="inlineStr">
        <x:is>
          <x:t xml:space="preserve">Статус праздника</x:t>
        </x:is>
      </x:c>
      <x:c r="H4" s="18" t="inlineStr">
        <x:is>
          <x:t xml:space="preserve">Банкет 1/0</x:t>
        </x:is>
      </x:c>
      <x:c r="I4" s="18" t="inlineStr">
        <x:is>
          <x:t xml:space="preserve">Категория банкета</x:t>
        </x:is>
      </x:c>
      <x:c r="J4" s="18" t="inlineStr">
        <x:is>
          <x:t xml:space="preserve">Кафе открыто</x:t>
        </x:is>
      </x:c>
      <x:c r="K4" s="18" t="inlineStr">
        <x:is>
          <x:t xml:space="preserve">Рабочий день</x:t>
        </x:is>
      </x:c>
      <x:c r="L4" s="18" t="inlineStr">
        <x:is>
          <x:t xml:space="preserve">Норма а-ля карт</x:t>
        </x:is>
      </x:c>
      <x:c r="M4" s="18" t="inlineStr">
        <x:is>
          <x:t xml:space="preserve">Гости а-ля карт</x:t>
        </x:is>
      </x:c>
      <x:c r="N4" s="18" t="inlineStr">
        <x:is>
          <x:t xml:space="preserve">Гости бизнес-ланча</x:t>
        </x:is>
      </x:c>
      <x:c r="O4" s="18" t="inlineStr">
        <x:is>
          <x:t xml:space="preserve">Норма доставки</x:t>
        </x:is>
      </x:c>
      <x:c r="P4" s="18" t="inlineStr">
        <x:is>
          <x:t xml:space="preserve">Заказы доставки</x:t>
        </x:is>
      </x:c>
      <x:c r="Q4" s="18" t="inlineStr">
        <x:is>
          <x:t xml:space="preserve">Самовывоз</x:t>
        </x:is>
      </x:c>
      <x:c r="R4" s="18" t="inlineStr">
        <x:is>
          <x:t xml:space="preserve">Завтраки гостиницы</x:t>
        </x:is>
      </x:c>
      <x:c r="S4" s="18" t="inlineStr">
        <x:is>
          <x:t xml:space="preserve">Банкеты</x:t>
        </x:is>
      </x:c>
      <x:c r="T4" s="18" t="inlineStr">
        <x:is>
          <x:t xml:space="preserve">Активные продажи кафе в банкет</x:t>
        </x:is>
      </x:c>
      <x:c r="U4" t="str">
        <x:v>Ужины гостиницы</x:v>
      </x:c>
      <x:c r="V4" t="str">
        <x:v>Гости КОФЕ&amp;ЧАЙ</x:v>
      </x:c>
      <x:c r="W4" t="str">
        <x:v>Потенциальные гости КОФЕ&amp;ЧАЙ</x:v>
      </x:c>
    </x:row>
    <x:row r="5">
      <x:c r="A5" s="200" t="n">
        <x:v>46266</x:v>
      </x:c>
      <x:c r="B5" s="201" t="n">
        <x:v>1</x:v>
      </x:c>
      <x:c r="C5" s="201" t="inlineStr">
        <x:is>
          <x:t xml:space="preserve">Сен-26</x:t>
        </x:is>
      </x:c>
      <x:c r="D5" s="201" t="n">
        <x:v>2</x:v>
      </x:c>
      <x:c r="E5" s="201" t="inlineStr">
        <x:is>
          <x:t xml:space="preserve">Вт</x:t>
        </x:is>
      </x:c>
      <x:c r="F5" s="199" t="n">
        <x:v>0</x:v>
      </x:c>
      <x:c r="G5" s="201" t="str"/>
      <x:c r="H5" s="193" t="n">
        <x:v>0</x:v>
      </x:c>
      <x:c r="I5" s="201" t="str"/>
      <x:c r="J5" s="188" t="n">
        <x:f>1</x:f>
        <x:v>1</x:v>
      </x:c>
      <x:c r="K5" s="188" t="n">
        <x:f>IF(AND(D5&lt;=5,F5=0),1,0)</x:f>
        <x:v>1</x:v>
      </x:c>
      <x:c r="L5" s="188" t="n">
        <x:f>IF(F5=1,'01_ВВОД'!$D$23,CHOOSE(D5,'01_ВВОД'!$D$19,'01_ВВОД'!$D$19,'01_ВВОД'!$D$19,'01_ВВОД'!$D$19,'01_ВВОД'!$D$20,'01_ВВОД'!$D$21,'01_ВВОД'!$D$22))</x:f>
        <x:v>32</x:v>
      </x:c>
      <x:c r="M5" s="188" t="n">
        <x:f>L5*IF(H5=1,'01_ВВОД'!$D$118,1)</x:f>
        <x:v>32</x:v>
      </x:c>
      <x:c r="N5" s="188" t="n">
        <x:f>IF(K5=1,'01_ВВОД'!$D$26,0)</x:f>
        <x:v>40</x:v>
      </x:c>
      <x:c r="O5" s="188" t="n">
        <x:f>IF(F5=1,'01_ВВОД'!$D$34,IF(D5&lt;=5,'01_ВВОД'!$D$32,'01_ВВОД'!$D$33))</x:f>
        <x:v>15</x:v>
      </x:c>
      <x:c r="P5" s="188" t="n">
        <x:f>O5</x:f>
        <x:v>15</x:v>
      </x:c>
      <x:c r="Q5" s="188" t="n">
        <x:f>'01_ВВОД'!$D$40</x:f>
        <x:v>12</x:v>
      </x:c>
      <x:c r="R5" s="188" t="n">
        <x:f>'01_ВВОД'!$D$46</x:f>
        <x:v>20</x:v>
      </x:c>
      <x:c r="S5" s="188" t="n">
        <x:f>H5</x:f>
        <x:v>0</x:v>
      </x:c>
      <x:c r="T5" s="188" t="n">
        <x:f>IF(H5=1,M5+N5+P5+Q5,0)</x:f>
        <x:v>0</x:v>
      </x:c>
      <x:c r="U5" t="n">
        <x:f>'01_ВВОД'!$D$120</x:f>
        <x:v>10</x:v>
      </x:c>
      <x:c r="V5" t="n">
        <x:f>ROUNDDOWN(SUM(M5,N5,R5,U5)*'01_ВВОД'!$D$127,0)</x:f>
        <x:v>51</x:v>
      </x:c>
      <x:c r="W5" t="n">
        <x:f>ROUNDDOWN(SUM(L5,N5,R5,U5)*'01_ВВОД'!$D$127,0)</x:f>
        <x:v>51</x:v>
      </x:c>
    </x:row>
    <x:row r="6">
      <x:c r="A6" s="200" t="n">
        <x:v>46267</x:v>
      </x:c>
      <x:c r="B6" s="201" t="n">
        <x:v>1</x:v>
      </x:c>
      <x:c r="C6" s="201" t="inlineStr">
        <x:is>
          <x:t xml:space="preserve">Сен-26</x:t>
        </x:is>
      </x:c>
      <x:c r="D6" s="201" t="n">
        <x:v>3</x:v>
      </x:c>
      <x:c r="E6" s="201" t="inlineStr">
        <x:is>
          <x:t xml:space="preserve">Ср</x:t>
        </x:is>
      </x:c>
      <x:c r="F6" s="199" t="n">
        <x:v>0</x:v>
      </x:c>
      <x:c r="G6" s="201" t="str"/>
      <x:c r="H6" s="193" t="n">
        <x:v>0</x:v>
      </x:c>
      <x:c r="I6" s="201" t="str"/>
      <x:c r="J6" s="188" t="n">
        <x:f>1</x:f>
        <x:v>1</x:v>
      </x:c>
      <x:c r="K6" s="188" t="n">
        <x:f>IF(AND(D6&lt;=5,F6=0),1,0)</x:f>
        <x:v>1</x:v>
      </x:c>
      <x:c r="L6" s="188" t="n">
        <x:f>IF(F6=1,'01_ВВОД'!$D$23,CHOOSE(D6,'01_ВВОД'!$D$19,'01_ВВОД'!$D$19,'01_ВВОД'!$D$19,'01_ВВОД'!$D$19,'01_ВВОД'!$D$20,'01_ВВОД'!$D$21,'01_ВВОД'!$D$22))</x:f>
        <x:v>32</x:v>
      </x:c>
      <x:c r="M6" s="188" t="n">
        <x:f>L6*IF(H6=1,'01_ВВОД'!$D$118,1)</x:f>
        <x:v>32</x:v>
      </x:c>
      <x:c r="N6" s="188" t="n">
        <x:f>IF(K6=1,'01_ВВОД'!$D$26,0)</x:f>
        <x:v>40</x:v>
      </x:c>
      <x:c r="O6" s="188" t="n">
        <x:f>IF(F6=1,'01_ВВОД'!$D$34,IF(D6&lt;=5,'01_ВВОД'!$D$32,'01_ВВОД'!$D$33))</x:f>
        <x:v>15</x:v>
      </x:c>
      <x:c r="P6" s="188" t="n">
        <x:f>O6</x:f>
        <x:v>15</x:v>
      </x:c>
      <x:c r="Q6" s="188" t="n">
        <x:f>'01_ВВОД'!$D$40</x:f>
        <x:v>12</x:v>
      </x:c>
      <x:c r="R6" s="188" t="n">
        <x:f>'01_ВВОД'!$D$46</x:f>
        <x:v>20</x:v>
      </x:c>
      <x:c r="S6" s="188" t="n">
        <x:f>H6</x:f>
        <x:v>0</x:v>
      </x:c>
      <x:c r="T6" s="188" t="n">
        <x:f>IF(H6=1,M6+N6+P6+Q6,0)</x:f>
        <x:v>0</x:v>
      </x:c>
      <x:c r="U6" t="n">
        <x:f>'01_ВВОД'!$D$120</x:f>
        <x:v>10</x:v>
      </x:c>
      <x:c r="V6" t="n">
        <x:f>ROUNDDOWN(SUM(M6,N6,R6,U6)*'01_ВВОД'!$D$127,0)</x:f>
        <x:v>51</x:v>
      </x:c>
      <x:c r="W6" t="n">
        <x:f>ROUNDDOWN(SUM(L6,N6,R6,U6)*'01_ВВОД'!$D$127,0)</x:f>
        <x:v>51</x:v>
      </x:c>
    </x:row>
    <x:row r="7">
      <x:c r="A7" s="200" t="n">
        <x:v>46268</x:v>
      </x:c>
      <x:c r="B7" s="201" t="n">
        <x:v>1</x:v>
      </x:c>
      <x:c r="C7" s="201" t="inlineStr">
        <x:is>
          <x:t xml:space="preserve">Сен-26</x:t>
        </x:is>
      </x:c>
      <x:c r="D7" s="201" t="n">
        <x:v>4</x:v>
      </x:c>
      <x:c r="E7" s="201" t="inlineStr">
        <x:is>
          <x:t xml:space="preserve">Чт</x:t>
        </x:is>
      </x:c>
      <x:c r="F7" s="199" t="n">
        <x:v>0</x:v>
      </x:c>
      <x:c r="G7" s="201" t="str"/>
      <x:c r="H7" s="193" t="n">
        <x:v>0</x:v>
      </x:c>
      <x:c r="I7" s="201" t="str"/>
      <x:c r="J7" s="188" t="n">
        <x:f>1</x:f>
        <x:v>1</x:v>
      </x:c>
      <x:c r="K7" s="188" t="n">
        <x:f>IF(AND(D7&lt;=5,F7=0),1,0)</x:f>
        <x:v>1</x:v>
      </x:c>
      <x:c r="L7" s="188" t="n">
        <x:f>IF(F7=1,'01_ВВОД'!$D$23,CHOOSE(D7,'01_ВВОД'!$D$19,'01_ВВОД'!$D$19,'01_ВВОД'!$D$19,'01_ВВОД'!$D$19,'01_ВВОД'!$D$20,'01_ВВОД'!$D$21,'01_ВВОД'!$D$22))</x:f>
        <x:v>32</x:v>
      </x:c>
      <x:c r="M7" s="188" t="n">
        <x:f>L7*IF(H7=1,'01_ВВОД'!$D$118,1)</x:f>
        <x:v>32</x:v>
      </x:c>
      <x:c r="N7" s="188" t="n">
        <x:f>IF(K7=1,'01_ВВОД'!$D$26,0)</x:f>
        <x:v>40</x:v>
      </x:c>
      <x:c r="O7" s="188" t="n">
        <x:f>IF(F7=1,'01_ВВОД'!$D$34,IF(D7&lt;=5,'01_ВВОД'!$D$32,'01_ВВОД'!$D$33))</x:f>
        <x:v>15</x:v>
      </x:c>
      <x:c r="P7" s="188" t="n">
        <x:f>O7</x:f>
        <x:v>15</x:v>
      </x:c>
      <x:c r="Q7" s="188" t="n">
        <x:f>'01_ВВОД'!$D$40</x:f>
        <x:v>12</x:v>
      </x:c>
      <x:c r="R7" s="188" t="n">
        <x:f>'01_ВВОД'!$D$46</x:f>
        <x:v>20</x:v>
      </x:c>
      <x:c r="S7" s="188" t="n">
        <x:f>H7</x:f>
        <x:v>0</x:v>
      </x:c>
      <x:c r="T7" s="188" t="n">
        <x:f>IF(H7=1,M7+N7+P7+Q7,0)</x:f>
        <x:v>0</x:v>
      </x:c>
      <x:c r="U7" t="n">
        <x:f>'01_ВВОД'!$D$120</x:f>
        <x:v>10</x:v>
      </x:c>
      <x:c r="V7" t="n">
        <x:f>ROUNDDOWN(SUM(M7,N7,R7,U7)*'01_ВВОД'!$D$127,0)</x:f>
        <x:v>51</x:v>
      </x:c>
      <x:c r="W7" t="n">
        <x:f>ROUNDDOWN(SUM(L7,N7,R7,U7)*'01_ВВОД'!$D$127,0)</x:f>
        <x:v>51</x:v>
      </x:c>
    </x:row>
    <x:row r="8">
      <x:c r="A8" s="200" t="n">
        <x:v>46269</x:v>
      </x:c>
      <x:c r="B8" s="201" t="n">
        <x:v>1</x:v>
      </x:c>
      <x:c r="C8" s="201" t="inlineStr">
        <x:is>
          <x:t xml:space="preserve">Сен-26</x:t>
        </x:is>
      </x:c>
      <x:c r="D8" s="201" t="n">
        <x:v>5</x:v>
      </x:c>
      <x:c r="E8" s="201" t="inlineStr">
        <x:is>
          <x:t xml:space="preserve">Пт</x:t>
        </x:is>
      </x:c>
      <x:c r="F8" s="199" t="n">
        <x:v>0</x:v>
      </x:c>
      <x:c r="G8" s="201" t="str"/>
      <x:c r="H8" s="193" t="n">
        <x:v>0</x:v>
      </x:c>
      <x:c r="I8" s="201" t="str"/>
      <x:c r="J8" s="188" t="n">
        <x:f>1</x:f>
        <x:v>1</x:v>
      </x:c>
      <x:c r="K8" s="188" t="n">
        <x:f>IF(AND(D8&lt;=5,F8=0),1,0)</x:f>
        <x:v>1</x:v>
      </x:c>
      <x:c r="L8" s="188" t="n">
        <x:f>IF(F8=1,'01_ВВОД'!$D$23,CHOOSE(D8,'01_ВВОД'!$D$19,'01_ВВОД'!$D$19,'01_ВВОД'!$D$19,'01_ВВОД'!$D$19,'01_ВВОД'!$D$20,'01_ВВОД'!$D$21,'01_ВВОД'!$D$22))</x:f>
        <x:v>45</x:v>
      </x:c>
      <x:c r="M8" s="188" t="n">
        <x:f>L8*IF(H8=1,'01_ВВОД'!$D$118,1)</x:f>
        <x:v>45</x:v>
      </x:c>
      <x:c r="N8" s="188" t="n">
        <x:f>IF(K8=1,'01_ВВОД'!$D$26,0)</x:f>
        <x:v>40</x:v>
      </x:c>
      <x:c r="O8" s="188" t="n">
        <x:f>IF(F8=1,'01_ВВОД'!$D$34,IF(D8&lt;=5,'01_ВВОД'!$D$32,'01_ВВОД'!$D$33))</x:f>
        <x:v>15</x:v>
      </x:c>
      <x:c r="P8" s="188" t="n">
        <x:f>O8</x:f>
        <x:v>15</x:v>
      </x:c>
      <x:c r="Q8" s="188" t="n">
        <x:f>'01_ВВОД'!$D$40</x:f>
        <x:v>12</x:v>
      </x:c>
      <x:c r="R8" s="188" t="n">
        <x:f>'01_ВВОД'!$D$46</x:f>
        <x:v>20</x:v>
      </x:c>
      <x:c r="S8" s="188" t="n">
        <x:f>H8</x:f>
        <x:v>0</x:v>
      </x:c>
      <x:c r="T8" s="188" t="n">
        <x:f>IF(H8=1,M8+N8+P8+Q8,0)</x:f>
        <x:v>0</x:v>
      </x:c>
      <x:c r="U8" t="n">
        <x:f>'01_ВВОД'!$D$120</x:f>
        <x:v>10</x:v>
      </x:c>
      <x:c r="V8" t="n">
        <x:f>ROUNDDOWN(SUM(M8,N8,R8,U8)*'01_ВВОД'!$D$127,0)</x:f>
        <x:v>57</x:v>
      </x:c>
      <x:c r="W8" t="n">
        <x:f>ROUNDDOWN(SUM(L8,N8,R8,U8)*'01_ВВОД'!$D$127,0)</x:f>
        <x:v>57</x:v>
      </x:c>
    </x:row>
    <x:row r="9">
      <x:c r="A9" s="200" t="n">
        <x:v>46270</x:v>
      </x:c>
      <x:c r="B9" s="201" t="n">
        <x:v>1</x:v>
      </x:c>
      <x:c r="C9" s="201" t="inlineStr">
        <x:is>
          <x:t xml:space="preserve">Сен-26</x:t>
        </x:is>
      </x:c>
      <x:c r="D9" s="201" t="n">
        <x:v>6</x:v>
      </x:c>
      <x:c r="E9" s="201" t="inlineStr">
        <x:is>
          <x:t xml:space="preserve">Сб</x:t>
        </x:is>
      </x:c>
      <x:c r="F9" s="199" t="n">
        <x:v>0</x:v>
      </x:c>
      <x:c r="G9" s="201" t="str"/>
      <x:c r="H9" s="193" t="n">
        <x:v>0</x:v>
      </x:c>
      <x:c r="I9" s="201" t="str"/>
      <x:c r="J9" s="188" t="n">
        <x:f>1</x:f>
        <x:v>1</x:v>
      </x:c>
      <x:c r="K9" s="188" t="n">
        <x:f>IF(AND(D9&lt;=5,F9=0),1,0)</x:f>
        <x:v>0</x:v>
      </x:c>
      <x:c r="L9" s="188" t="n">
        <x:f>IF(F9=1,'01_ВВОД'!$D$23,CHOOSE(D9,'01_ВВОД'!$D$19,'01_ВВОД'!$D$19,'01_ВВОД'!$D$19,'01_ВВОД'!$D$19,'01_ВВОД'!$D$20,'01_ВВОД'!$D$21,'01_ВВОД'!$D$22))</x:f>
        <x:v>80</x:v>
      </x:c>
      <x:c r="M9" s="188" t="n">
        <x:f>L9*IF(H9=1,'01_ВВОД'!$D$118,1)</x:f>
        <x:v>80</x:v>
      </x:c>
      <x:c r="N9" s="188" t="n">
        <x:f>IF(K9=1,'01_ВВОД'!$D$26,0)</x:f>
        <x:v>0</x:v>
      </x:c>
      <x:c r="O9" s="188" t="n">
        <x:f>IF(F9=1,'01_ВВОД'!$D$34,IF(D9&lt;=5,'01_ВВОД'!$D$32,'01_ВВОД'!$D$33))</x:f>
        <x:v>30</x:v>
      </x:c>
      <x:c r="P9" s="188" t="n">
        <x:f>O9</x:f>
        <x:v>30</x:v>
      </x:c>
      <x:c r="Q9" s="188" t="n">
        <x:f>'01_ВВОД'!$D$40</x:f>
        <x:v>12</x:v>
      </x:c>
      <x:c r="R9" s="188" t="n">
        <x:f>'01_ВВОД'!$D$46</x:f>
        <x:v>20</x:v>
      </x:c>
      <x:c r="S9" s="188" t="n">
        <x:f>H9</x:f>
        <x:v>0</x:v>
      </x:c>
      <x:c r="T9" s="188" t="n">
        <x:f>IF(H9=1,M9+N9+P9+Q9,0)</x:f>
        <x:v>0</x:v>
      </x:c>
      <x:c r="U9" t="n">
        <x:f>'01_ВВОД'!$D$120</x:f>
        <x:v>10</x:v>
      </x:c>
      <x:c r="V9" t="n">
        <x:f>ROUNDDOWN(SUM(M9,N9,R9,U9)*'01_ВВОД'!$D$127,0)</x:f>
        <x:v>55</x:v>
      </x:c>
      <x:c r="W9" t="n">
        <x:f>ROUNDDOWN(SUM(L9,N9,R9,U9)*'01_ВВОД'!$D$127,0)</x:f>
        <x:v>55</x:v>
      </x:c>
    </x:row>
    <x:row r="10">
      <x:c r="A10" s="200" t="n">
        <x:v>46271</x:v>
      </x:c>
      <x:c r="B10" s="201" t="n">
        <x:v>1</x:v>
      </x:c>
      <x:c r="C10" s="201" t="inlineStr">
        <x:is>
          <x:t xml:space="preserve">Сен-26</x:t>
        </x:is>
      </x:c>
      <x:c r="D10" s="201" t="n">
        <x:v>7</x:v>
      </x:c>
      <x:c r="E10" s="201" t="inlineStr">
        <x:is>
          <x:t xml:space="preserve">Вс</x:t>
        </x:is>
      </x:c>
      <x:c r="F10" s="199" t="n">
        <x:v>0</x:v>
      </x:c>
      <x:c r="G10" s="201" t="str"/>
      <x:c r="H10" s="193" t="n">
        <x:v>0</x:v>
      </x:c>
      <x:c r="I10" s="201" t="str"/>
      <x:c r="J10" s="188" t="n">
        <x:f>1</x:f>
        <x:v>1</x:v>
      </x:c>
      <x:c r="K10" s="188" t="n">
        <x:f>IF(AND(D10&lt;=5,F10=0),1,0)</x:f>
        <x:v>0</x:v>
      </x:c>
      <x:c r="L10" s="188" t="n">
        <x:f>IF(F10=1,'01_ВВОД'!$D$23,CHOOSE(D10,'01_ВВОД'!$D$19,'01_ВВОД'!$D$19,'01_ВВОД'!$D$19,'01_ВВОД'!$D$19,'01_ВВОД'!$D$20,'01_ВВОД'!$D$21,'01_ВВОД'!$D$22))</x:f>
        <x:v>70</x:v>
      </x:c>
      <x:c r="M10" s="188" t="n">
        <x:f>L10*IF(H10=1,'01_ВВОД'!$D$118,1)</x:f>
        <x:v>70</x:v>
      </x:c>
      <x:c r="N10" s="188" t="n">
        <x:f>IF(K10=1,'01_ВВОД'!$D$26,0)</x:f>
        <x:v>0</x:v>
      </x:c>
      <x:c r="O10" s="188" t="n">
        <x:f>IF(F10=1,'01_ВВОД'!$D$34,IF(D10&lt;=5,'01_ВВОД'!$D$32,'01_ВВОД'!$D$33))</x:f>
        <x:v>30</x:v>
      </x:c>
      <x:c r="P10" s="188" t="n">
        <x:f>O10</x:f>
        <x:v>30</x:v>
      </x:c>
      <x:c r="Q10" s="188" t="n">
        <x:f>'01_ВВОД'!$D$40</x:f>
        <x:v>12</x:v>
      </x:c>
      <x:c r="R10" s="188" t="n">
        <x:f>'01_ВВОД'!$D$46</x:f>
        <x:v>20</x:v>
      </x:c>
      <x:c r="S10" s="188" t="n">
        <x:f>H10</x:f>
        <x:v>0</x:v>
      </x:c>
      <x:c r="T10" s="188" t="n">
        <x:f>IF(H10=1,M10+N10+P10+Q10,0)</x:f>
        <x:v>0</x:v>
      </x:c>
      <x:c r="U10" t="n">
        <x:f>'01_ВВОД'!$D$120</x:f>
        <x:v>10</x:v>
      </x:c>
      <x:c r="V10" t="n">
        <x:f>ROUNDDOWN(SUM(M10,N10,R10,U10)*'01_ВВОД'!$D$127,0)</x:f>
        <x:v>50</x:v>
      </x:c>
      <x:c r="W10" t="n">
        <x:f>ROUNDDOWN(SUM(L10,N10,R10,U10)*'01_ВВОД'!$D$127,0)</x:f>
        <x:v>50</x:v>
      </x:c>
    </x:row>
    <x:row r="11">
      <x:c r="A11" s="200" t="n">
        <x:v>46272</x:v>
      </x:c>
      <x:c r="B11" s="201" t="n">
        <x:v>1</x:v>
      </x:c>
      <x:c r="C11" s="201" t="inlineStr">
        <x:is>
          <x:t xml:space="preserve">Сен-26</x:t>
        </x:is>
      </x:c>
      <x:c r="D11" s="201" t="n">
        <x:v>1</x:v>
      </x:c>
      <x:c r="E11" s="201" t="inlineStr">
        <x:is>
          <x:t xml:space="preserve">Пн</x:t>
        </x:is>
      </x:c>
      <x:c r="F11" s="199" t="n">
        <x:v>0</x:v>
      </x:c>
      <x:c r="G11" s="201" t="str"/>
      <x:c r="H11" s="193" t="n">
        <x:v>0</x:v>
      </x:c>
      <x:c r="I11" s="201" t="str"/>
      <x:c r="J11" s="188" t="n">
        <x:f>1</x:f>
        <x:v>1</x:v>
      </x:c>
      <x:c r="K11" s="188" t="n">
        <x:f>IF(AND(D11&lt;=5,F11=0),1,0)</x:f>
        <x:v>1</x:v>
      </x:c>
      <x:c r="L11" s="188" t="n">
        <x:f>IF(F11=1,'01_ВВОД'!$D$23,CHOOSE(D11,'01_ВВОД'!$D$19,'01_ВВОД'!$D$19,'01_ВВОД'!$D$19,'01_ВВОД'!$D$19,'01_ВВОД'!$D$20,'01_ВВОД'!$D$21,'01_ВВОД'!$D$22))</x:f>
        <x:v>32</x:v>
      </x:c>
      <x:c r="M11" s="188" t="n">
        <x:f>L11*IF(H11=1,'01_ВВОД'!$D$118,1)</x:f>
        <x:v>32</x:v>
      </x:c>
      <x:c r="N11" s="188" t="n">
        <x:f>IF(K11=1,'01_ВВОД'!$D$26,0)</x:f>
        <x:v>40</x:v>
      </x:c>
      <x:c r="O11" s="188" t="n">
        <x:f>IF(F11=1,'01_ВВОД'!$D$34,IF(D11&lt;=5,'01_ВВОД'!$D$32,'01_ВВОД'!$D$33))</x:f>
        <x:v>15</x:v>
      </x:c>
      <x:c r="P11" s="188" t="n">
        <x:f>O11</x:f>
        <x:v>15</x:v>
      </x:c>
      <x:c r="Q11" s="188" t="n">
        <x:f>'01_ВВОД'!$D$40</x:f>
        <x:v>12</x:v>
      </x:c>
      <x:c r="R11" s="188" t="n">
        <x:f>'01_ВВОД'!$D$46</x:f>
        <x:v>20</x:v>
      </x:c>
      <x:c r="S11" s="188" t="n">
        <x:f>H11</x:f>
        <x:v>0</x:v>
      </x:c>
      <x:c r="T11" s="188" t="n">
        <x:f>IF(H11=1,M11+N11+P11+Q11,0)</x:f>
        <x:v>0</x:v>
      </x:c>
      <x:c r="U11" t="n">
        <x:f>'01_ВВОД'!$D$120</x:f>
        <x:v>10</x:v>
      </x:c>
      <x:c r="V11" t="n">
        <x:f>ROUNDDOWN(SUM(M11,N11,R11,U11)*'01_ВВОД'!$D$127,0)</x:f>
        <x:v>51</x:v>
      </x:c>
      <x:c r="W11" t="n">
        <x:f>ROUNDDOWN(SUM(L11,N11,R11,U11)*'01_ВВОД'!$D$127,0)</x:f>
        <x:v>51</x:v>
      </x:c>
    </x:row>
    <x:row r="12">
      <x:c r="A12" s="200" t="n">
        <x:v>46273</x:v>
      </x:c>
      <x:c r="B12" s="201" t="n">
        <x:v>1</x:v>
      </x:c>
      <x:c r="C12" s="201" t="inlineStr">
        <x:is>
          <x:t xml:space="preserve">Сен-26</x:t>
        </x:is>
      </x:c>
      <x:c r="D12" s="201" t="n">
        <x:v>2</x:v>
      </x:c>
      <x:c r="E12" s="201" t="inlineStr">
        <x:is>
          <x:t xml:space="preserve">Вт</x:t>
        </x:is>
      </x:c>
      <x:c r="F12" s="199" t="n">
        <x:v>0</x:v>
      </x:c>
      <x:c r="G12" s="201" t="str"/>
      <x:c r="H12" s="193" t="n">
        <x:v>0</x:v>
      </x:c>
      <x:c r="I12" s="201" t="str"/>
      <x:c r="J12" s="188" t="n">
        <x:f>1</x:f>
        <x:v>1</x:v>
      </x:c>
      <x:c r="K12" s="188" t="n">
        <x:f>IF(AND(D12&lt;=5,F12=0),1,0)</x:f>
        <x:v>1</x:v>
      </x:c>
      <x:c r="L12" s="188" t="n">
        <x:f>IF(F12=1,'01_ВВОД'!$D$23,CHOOSE(D12,'01_ВВОД'!$D$19,'01_ВВОД'!$D$19,'01_ВВОД'!$D$19,'01_ВВОД'!$D$19,'01_ВВОД'!$D$20,'01_ВВОД'!$D$21,'01_ВВОД'!$D$22))</x:f>
        <x:v>32</x:v>
      </x:c>
      <x:c r="M12" s="188" t="n">
        <x:f>L12*IF(H12=1,'01_ВВОД'!$D$118,1)</x:f>
        <x:v>32</x:v>
      </x:c>
      <x:c r="N12" s="188" t="n">
        <x:f>IF(K12=1,'01_ВВОД'!$D$26,0)</x:f>
        <x:v>40</x:v>
      </x:c>
      <x:c r="O12" s="188" t="n">
        <x:f>IF(F12=1,'01_ВВОД'!$D$34,IF(D12&lt;=5,'01_ВВОД'!$D$32,'01_ВВОД'!$D$33))</x:f>
        <x:v>15</x:v>
      </x:c>
      <x:c r="P12" s="188" t="n">
        <x:f>O12</x:f>
        <x:v>15</x:v>
      </x:c>
      <x:c r="Q12" s="188" t="n">
        <x:f>'01_ВВОД'!$D$40</x:f>
        <x:v>12</x:v>
      </x:c>
      <x:c r="R12" s="188" t="n">
        <x:f>'01_ВВОД'!$D$46</x:f>
        <x:v>20</x:v>
      </x:c>
      <x:c r="S12" s="188" t="n">
        <x:f>H12</x:f>
        <x:v>0</x:v>
      </x:c>
      <x:c r="T12" s="188" t="n">
        <x:f>IF(H12=1,M12+N12+P12+Q12,0)</x:f>
        <x:v>0</x:v>
      </x:c>
      <x:c r="U12" t="n">
        <x:f>'01_ВВОД'!$D$120</x:f>
        <x:v>10</x:v>
      </x:c>
      <x:c r="V12" t="n">
        <x:f>ROUNDDOWN(SUM(M12,N12,R12,U12)*'01_ВВОД'!$D$127,0)</x:f>
        <x:v>51</x:v>
      </x:c>
      <x:c r="W12" t="n">
        <x:f>ROUNDDOWN(SUM(L12,N12,R12,U12)*'01_ВВОД'!$D$127,0)</x:f>
        <x:v>51</x:v>
      </x:c>
    </x:row>
    <x:row r="13">
      <x:c r="A13" s="200" t="n">
        <x:v>46274</x:v>
      </x:c>
      <x:c r="B13" s="201" t="n">
        <x:v>1</x:v>
      </x:c>
      <x:c r="C13" s="201" t="inlineStr">
        <x:is>
          <x:t xml:space="preserve">Сен-26</x:t>
        </x:is>
      </x:c>
      <x:c r="D13" s="201" t="n">
        <x:v>3</x:v>
      </x:c>
      <x:c r="E13" s="201" t="inlineStr">
        <x:is>
          <x:t xml:space="preserve">Ср</x:t>
        </x:is>
      </x:c>
      <x:c r="F13" s="199" t="n">
        <x:v>0</x:v>
      </x:c>
      <x:c r="G13" s="201" t="str"/>
      <x:c r="H13" s="193" t="n">
        <x:v>0</x:v>
      </x:c>
      <x:c r="I13" s="201" t="str"/>
      <x:c r="J13" s="188" t="n">
        <x:f>1</x:f>
        <x:v>1</x:v>
      </x:c>
      <x:c r="K13" s="188" t="n">
        <x:f>IF(AND(D13&lt;=5,F13=0),1,0)</x:f>
        <x:v>1</x:v>
      </x:c>
      <x:c r="L13" s="188" t="n">
        <x:f>IF(F13=1,'01_ВВОД'!$D$23,CHOOSE(D13,'01_ВВОД'!$D$19,'01_ВВОД'!$D$19,'01_ВВОД'!$D$19,'01_ВВОД'!$D$19,'01_ВВОД'!$D$20,'01_ВВОД'!$D$21,'01_ВВОД'!$D$22))</x:f>
        <x:v>32</x:v>
      </x:c>
      <x:c r="M13" s="188" t="n">
        <x:f>L13*IF(H13=1,'01_ВВОД'!$D$118,1)</x:f>
        <x:v>32</x:v>
      </x:c>
      <x:c r="N13" s="188" t="n">
        <x:f>IF(K13=1,'01_ВВОД'!$D$26,0)</x:f>
        <x:v>40</x:v>
      </x:c>
      <x:c r="O13" s="188" t="n">
        <x:f>IF(F13=1,'01_ВВОД'!$D$34,IF(D13&lt;=5,'01_ВВОД'!$D$32,'01_ВВОД'!$D$33))</x:f>
        <x:v>15</x:v>
      </x:c>
      <x:c r="P13" s="188" t="n">
        <x:f>O13</x:f>
        <x:v>15</x:v>
      </x:c>
      <x:c r="Q13" s="188" t="n">
        <x:f>'01_ВВОД'!$D$40</x:f>
        <x:v>12</x:v>
      </x:c>
      <x:c r="R13" s="188" t="n">
        <x:f>'01_ВВОД'!$D$46</x:f>
        <x:v>20</x:v>
      </x:c>
      <x:c r="S13" s="188" t="n">
        <x:f>H13</x:f>
        <x:v>0</x:v>
      </x:c>
      <x:c r="T13" s="188" t="n">
        <x:f>IF(H13=1,M13+N13+P13+Q13,0)</x:f>
        <x:v>0</x:v>
      </x:c>
      <x:c r="U13" t="n">
        <x:f>'01_ВВОД'!$D$120</x:f>
        <x:v>10</x:v>
      </x:c>
      <x:c r="V13" t="n">
        <x:f>ROUNDDOWN(SUM(M13,N13,R13,U13)*'01_ВВОД'!$D$127,0)</x:f>
        <x:v>51</x:v>
      </x:c>
      <x:c r="W13" t="n">
        <x:f>ROUNDDOWN(SUM(L13,N13,R13,U13)*'01_ВВОД'!$D$127,0)</x:f>
        <x:v>51</x:v>
      </x:c>
    </x:row>
    <x:row r="14">
      <x:c r="A14" s="200" t="n">
        <x:v>46275</x:v>
      </x:c>
      <x:c r="B14" s="201" t="n">
        <x:v>1</x:v>
      </x:c>
      <x:c r="C14" s="201" t="inlineStr">
        <x:is>
          <x:t xml:space="preserve">Сен-26</x:t>
        </x:is>
      </x:c>
      <x:c r="D14" s="201" t="n">
        <x:v>4</x:v>
      </x:c>
      <x:c r="E14" s="201" t="inlineStr">
        <x:is>
          <x:t xml:space="preserve">Чт</x:t>
        </x:is>
      </x:c>
      <x:c r="F14" s="199" t="n">
        <x:v>0</x:v>
      </x:c>
      <x:c r="G14" s="201" t="str"/>
      <x:c r="H14" s="193" t="n">
        <x:v>0</x:v>
      </x:c>
      <x:c r="I14" s="201" t="str"/>
      <x:c r="J14" s="188" t="n">
        <x:f>1</x:f>
        <x:v>1</x:v>
      </x:c>
      <x:c r="K14" s="188" t="n">
        <x:f>IF(AND(D14&lt;=5,F14=0),1,0)</x:f>
        <x:v>1</x:v>
      </x:c>
      <x:c r="L14" s="188" t="n">
        <x:f>IF(F14=1,'01_ВВОД'!$D$23,CHOOSE(D14,'01_ВВОД'!$D$19,'01_ВВОД'!$D$19,'01_ВВОД'!$D$19,'01_ВВОД'!$D$19,'01_ВВОД'!$D$20,'01_ВВОД'!$D$21,'01_ВВОД'!$D$22))</x:f>
        <x:v>32</x:v>
      </x:c>
      <x:c r="M14" s="188" t="n">
        <x:f>L14*IF(H14=1,'01_ВВОД'!$D$118,1)</x:f>
        <x:v>32</x:v>
      </x:c>
      <x:c r="N14" s="188" t="n">
        <x:f>IF(K14=1,'01_ВВОД'!$D$26,0)</x:f>
        <x:v>40</x:v>
      </x:c>
      <x:c r="O14" s="188" t="n">
        <x:f>IF(F14=1,'01_ВВОД'!$D$34,IF(D14&lt;=5,'01_ВВОД'!$D$32,'01_ВВОД'!$D$33))</x:f>
        <x:v>15</x:v>
      </x:c>
      <x:c r="P14" s="188" t="n">
        <x:f>O14</x:f>
        <x:v>15</x:v>
      </x:c>
      <x:c r="Q14" s="188" t="n">
        <x:f>'01_ВВОД'!$D$40</x:f>
        <x:v>12</x:v>
      </x:c>
      <x:c r="R14" s="188" t="n">
        <x:f>'01_ВВОД'!$D$46</x:f>
        <x:v>20</x:v>
      </x:c>
      <x:c r="S14" s="188" t="n">
        <x:f>H14</x:f>
        <x:v>0</x:v>
      </x:c>
      <x:c r="T14" s="188" t="n">
        <x:f>IF(H14=1,M14+N14+P14+Q14,0)</x:f>
        <x:v>0</x:v>
      </x:c>
      <x:c r="U14" t="n">
        <x:f>'01_ВВОД'!$D$120</x:f>
        <x:v>10</x:v>
      </x:c>
      <x:c r="V14" t="n">
        <x:f>ROUNDDOWN(SUM(M14,N14,R14,U14)*'01_ВВОД'!$D$127,0)</x:f>
        <x:v>51</x:v>
      </x:c>
      <x:c r="W14" t="n">
        <x:f>ROUNDDOWN(SUM(L14,N14,R14,U14)*'01_ВВОД'!$D$127,0)</x:f>
        <x:v>51</x:v>
      </x:c>
    </x:row>
    <x:row r="15">
      <x:c r="A15" s="200" t="n">
        <x:v>46276</x:v>
      </x:c>
      <x:c r="B15" s="201" t="n">
        <x:v>1</x:v>
      </x:c>
      <x:c r="C15" s="201" t="inlineStr">
        <x:is>
          <x:t xml:space="preserve">Сен-26</x:t>
        </x:is>
      </x:c>
      <x:c r="D15" s="201" t="n">
        <x:v>5</x:v>
      </x:c>
      <x:c r="E15" s="201" t="inlineStr">
        <x:is>
          <x:t xml:space="preserve">Пт</x:t>
        </x:is>
      </x:c>
      <x:c r="F15" s="199" t="n">
        <x:v>0</x:v>
      </x:c>
      <x:c r="G15" s="201" t="str"/>
      <x:c r="H15" s="193" t="n">
        <x:v>0</x:v>
      </x:c>
      <x:c r="I15" s="201" t="str"/>
      <x:c r="J15" s="188" t="n">
        <x:f>1</x:f>
        <x:v>1</x:v>
      </x:c>
      <x:c r="K15" s="188" t="n">
        <x:f>IF(AND(D15&lt;=5,F15=0),1,0)</x:f>
        <x:v>1</x:v>
      </x:c>
      <x:c r="L15" s="188" t="n">
        <x:f>IF(F15=1,'01_ВВОД'!$D$23,CHOOSE(D15,'01_ВВОД'!$D$19,'01_ВВОД'!$D$19,'01_ВВОД'!$D$19,'01_ВВОД'!$D$19,'01_ВВОД'!$D$20,'01_ВВОД'!$D$21,'01_ВВОД'!$D$22))</x:f>
        <x:v>45</x:v>
      </x:c>
      <x:c r="M15" s="188" t="n">
        <x:f>L15*IF(H15=1,'01_ВВОД'!$D$118,1)</x:f>
        <x:v>45</x:v>
      </x:c>
      <x:c r="N15" s="188" t="n">
        <x:f>IF(K15=1,'01_ВВОД'!$D$26,0)</x:f>
        <x:v>40</x:v>
      </x:c>
      <x:c r="O15" s="188" t="n">
        <x:f>IF(F15=1,'01_ВВОД'!$D$34,IF(D15&lt;=5,'01_ВВОД'!$D$32,'01_ВВОД'!$D$33))</x:f>
        <x:v>15</x:v>
      </x:c>
      <x:c r="P15" s="188" t="n">
        <x:f>O15</x:f>
        <x:v>15</x:v>
      </x:c>
      <x:c r="Q15" s="188" t="n">
        <x:f>'01_ВВОД'!$D$40</x:f>
        <x:v>12</x:v>
      </x:c>
      <x:c r="R15" s="188" t="n">
        <x:f>'01_ВВОД'!$D$46</x:f>
        <x:v>20</x:v>
      </x:c>
      <x:c r="S15" s="188" t="n">
        <x:f>H15</x:f>
        <x:v>0</x:v>
      </x:c>
      <x:c r="T15" s="188" t="n">
        <x:f>IF(H15=1,M15+N15+P15+Q15,0)</x:f>
        <x:v>0</x:v>
      </x:c>
      <x:c r="U15" t="n">
        <x:f>'01_ВВОД'!$D$120</x:f>
        <x:v>10</x:v>
      </x:c>
      <x:c r="V15" t="n">
        <x:f>ROUNDDOWN(SUM(M15,N15,R15,U15)*'01_ВВОД'!$D$127,0)</x:f>
        <x:v>57</x:v>
      </x:c>
      <x:c r="W15" t="n">
        <x:f>ROUNDDOWN(SUM(L15,N15,R15,U15)*'01_ВВОД'!$D$127,0)</x:f>
        <x:v>57</x:v>
      </x:c>
    </x:row>
    <x:row r="16">
      <x:c r="A16" s="200" t="n">
        <x:v>46277</x:v>
      </x:c>
      <x:c r="B16" s="201" t="n">
        <x:v>1</x:v>
      </x:c>
      <x:c r="C16" s="201" t="inlineStr">
        <x:is>
          <x:t xml:space="preserve">Сен-26</x:t>
        </x:is>
      </x:c>
      <x:c r="D16" s="201" t="n">
        <x:v>6</x:v>
      </x:c>
      <x:c r="E16" s="201" t="inlineStr">
        <x:is>
          <x:t xml:space="preserve">Сб</x:t>
        </x:is>
      </x:c>
      <x:c r="F16" s="199" t="n">
        <x:v>0</x:v>
      </x:c>
      <x:c r="G16" s="201" t="str"/>
      <x:c r="H16" s="193" t="n">
        <x:v>0</x:v>
      </x:c>
      <x:c r="I16" s="201" t="str"/>
      <x:c r="J16" s="188" t="n">
        <x:f>1</x:f>
        <x:v>1</x:v>
      </x:c>
      <x:c r="K16" s="188" t="n">
        <x:f>IF(AND(D16&lt;=5,F16=0),1,0)</x:f>
        <x:v>0</x:v>
      </x:c>
      <x:c r="L16" s="188" t="n">
        <x:f>IF(F16=1,'01_ВВОД'!$D$23,CHOOSE(D16,'01_ВВОД'!$D$19,'01_ВВОД'!$D$19,'01_ВВОД'!$D$19,'01_ВВОД'!$D$19,'01_ВВОД'!$D$20,'01_ВВОД'!$D$21,'01_ВВОД'!$D$22))</x:f>
        <x:v>80</x:v>
      </x:c>
      <x:c r="M16" s="188" t="n">
        <x:f>L16*IF(H16=1,'01_ВВОД'!$D$118,1)</x:f>
        <x:v>80</x:v>
      </x:c>
      <x:c r="N16" s="188" t="n">
        <x:f>IF(K16=1,'01_ВВОД'!$D$26,0)</x:f>
        <x:v>0</x:v>
      </x:c>
      <x:c r="O16" s="188" t="n">
        <x:f>IF(F16=1,'01_ВВОД'!$D$34,IF(D16&lt;=5,'01_ВВОД'!$D$32,'01_ВВОД'!$D$33))</x:f>
        <x:v>30</x:v>
      </x:c>
      <x:c r="P16" s="188" t="n">
        <x:f>O16</x:f>
        <x:v>30</x:v>
      </x:c>
      <x:c r="Q16" s="188" t="n">
        <x:f>'01_ВВОД'!$D$40</x:f>
        <x:v>12</x:v>
      </x:c>
      <x:c r="R16" s="188" t="n">
        <x:f>'01_ВВОД'!$D$46</x:f>
        <x:v>20</x:v>
      </x:c>
      <x:c r="S16" s="188" t="n">
        <x:f>H16</x:f>
        <x:v>0</x:v>
      </x:c>
      <x:c r="T16" s="188" t="n">
        <x:f>IF(H16=1,M16+N16+P16+Q16,0)</x:f>
        <x:v>0</x:v>
      </x:c>
      <x:c r="U16" t="n">
        <x:f>'01_ВВОД'!$D$120</x:f>
        <x:v>10</x:v>
      </x:c>
      <x:c r="V16" t="n">
        <x:f>ROUNDDOWN(SUM(M16,N16,R16,U16)*'01_ВВОД'!$D$127,0)</x:f>
        <x:v>55</x:v>
      </x:c>
      <x:c r="W16" t="n">
        <x:f>ROUNDDOWN(SUM(L16,N16,R16,U16)*'01_ВВОД'!$D$127,0)</x:f>
        <x:v>55</x:v>
      </x:c>
    </x:row>
    <x:row r="17">
      <x:c r="A17" s="200" t="n">
        <x:v>46278</x:v>
      </x:c>
      <x:c r="B17" s="201" t="n">
        <x:v>1</x:v>
      </x:c>
      <x:c r="C17" s="201" t="inlineStr">
        <x:is>
          <x:t xml:space="preserve">Сен-26</x:t>
        </x:is>
      </x:c>
      <x:c r="D17" s="201" t="n">
        <x:v>7</x:v>
      </x:c>
      <x:c r="E17" s="201" t="inlineStr">
        <x:is>
          <x:t xml:space="preserve">Вс</x:t>
        </x:is>
      </x:c>
      <x:c r="F17" s="199" t="n">
        <x:v>0</x:v>
      </x:c>
      <x:c r="G17" s="201" t="str"/>
      <x:c r="H17" s="193" t="n">
        <x:v>0</x:v>
      </x:c>
      <x:c r="I17" s="201" t="str"/>
      <x:c r="J17" s="188" t="n">
        <x:f>1</x:f>
        <x:v>1</x:v>
      </x:c>
      <x:c r="K17" s="188" t="n">
        <x:f>IF(AND(D17&lt;=5,F17=0),1,0)</x:f>
        <x:v>0</x:v>
      </x:c>
      <x:c r="L17" s="188" t="n">
        <x:f>IF(F17=1,'01_ВВОД'!$D$23,CHOOSE(D17,'01_ВВОД'!$D$19,'01_ВВОД'!$D$19,'01_ВВОД'!$D$19,'01_ВВОД'!$D$19,'01_ВВОД'!$D$20,'01_ВВОД'!$D$21,'01_ВВОД'!$D$22))</x:f>
        <x:v>70</x:v>
      </x:c>
      <x:c r="M17" s="188" t="n">
        <x:f>L17*IF(H17=1,'01_ВВОД'!$D$118,1)</x:f>
        <x:v>70</x:v>
      </x:c>
      <x:c r="N17" s="188" t="n">
        <x:f>IF(K17=1,'01_ВВОД'!$D$26,0)</x:f>
        <x:v>0</x:v>
      </x:c>
      <x:c r="O17" s="188" t="n">
        <x:f>IF(F17=1,'01_ВВОД'!$D$34,IF(D17&lt;=5,'01_ВВОД'!$D$32,'01_ВВОД'!$D$33))</x:f>
        <x:v>30</x:v>
      </x:c>
      <x:c r="P17" s="188" t="n">
        <x:f>O17</x:f>
        <x:v>30</x:v>
      </x:c>
      <x:c r="Q17" s="188" t="n">
        <x:f>'01_ВВОД'!$D$40</x:f>
        <x:v>12</x:v>
      </x:c>
      <x:c r="R17" s="188" t="n">
        <x:f>'01_ВВОД'!$D$46</x:f>
        <x:v>20</x:v>
      </x:c>
      <x:c r="S17" s="188" t="n">
        <x:f>H17</x:f>
        <x:v>0</x:v>
      </x:c>
      <x:c r="T17" s="188" t="n">
        <x:f>IF(H17=1,M17+N17+P17+Q17,0)</x:f>
        <x:v>0</x:v>
      </x:c>
      <x:c r="U17" t="n">
        <x:f>'01_ВВОД'!$D$120</x:f>
        <x:v>10</x:v>
      </x:c>
      <x:c r="V17" t="n">
        <x:f>ROUNDDOWN(SUM(M17,N17,R17,U17)*'01_ВВОД'!$D$127,0)</x:f>
        <x:v>50</x:v>
      </x:c>
      <x:c r="W17" t="n">
        <x:f>ROUNDDOWN(SUM(L17,N17,R17,U17)*'01_ВВОД'!$D$127,0)</x:f>
        <x:v>50</x:v>
      </x:c>
    </x:row>
    <x:row r="18">
      <x:c r="A18" s="200" t="n">
        <x:v>46279</x:v>
      </x:c>
      <x:c r="B18" s="201" t="n">
        <x:v>1</x:v>
      </x:c>
      <x:c r="C18" s="201" t="inlineStr">
        <x:is>
          <x:t xml:space="preserve">Сен-26</x:t>
        </x:is>
      </x:c>
      <x:c r="D18" s="201" t="n">
        <x:v>1</x:v>
      </x:c>
      <x:c r="E18" s="201" t="inlineStr">
        <x:is>
          <x:t xml:space="preserve">Пн</x:t>
        </x:is>
      </x:c>
      <x:c r="F18" s="199" t="n">
        <x:v>0</x:v>
      </x:c>
      <x:c r="G18" s="201" t="str"/>
      <x:c r="H18" s="193" t="n">
        <x:v>0</x:v>
      </x:c>
      <x:c r="I18" s="201" t="str"/>
      <x:c r="J18" s="188" t="n">
        <x:f>1</x:f>
        <x:v>1</x:v>
      </x:c>
      <x:c r="K18" s="188" t="n">
        <x:f>IF(AND(D18&lt;=5,F18=0),1,0)</x:f>
        <x:v>1</x:v>
      </x:c>
      <x:c r="L18" s="188" t="n">
        <x:f>IF(F18=1,'01_ВВОД'!$D$23,CHOOSE(D18,'01_ВВОД'!$D$19,'01_ВВОД'!$D$19,'01_ВВОД'!$D$19,'01_ВВОД'!$D$19,'01_ВВОД'!$D$20,'01_ВВОД'!$D$21,'01_ВВОД'!$D$22))</x:f>
        <x:v>32</x:v>
      </x:c>
      <x:c r="M18" s="188" t="n">
        <x:f>L18*IF(H18=1,'01_ВВОД'!$D$118,1)</x:f>
        <x:v>32</x:v>
      </x:c>
      <x:c r="N18" s="188" t="n">
        <x:f>IF(K18=1,'01_ВВОД'!$D$26,0)</x:f>
        <x:v>40</x:v>
      </x:c>
      <x:c r="O18" s="188" t="n">
        <x:f>IF(F18=1,'01_ВВОД'!$D$34,IF(D18&lt;=5,'01_ВВОД'!$D$32,'01_ВВОД'!$D$33))</x:f>
        <x:v>15</x:v>
      </x:c>
      <x:c r="P18" s="188" t="n">
        <x:f>O18</x:f>
        <x:v>15</x:v>
      </x:c>
      <x:c r="Q18" s="188" t="n">
        <x:f>'01_ВВОД'!$D$40</x:f>
        <x:v>12</x:v>
      </x:c>
      <x:c r="R18" s="188" t="n">
        <x:f>'01_ВВОД'!$D$46</x:f>
        <x:v>20</x:v>
      </x:c>
      <x:c r="S18" s="188" t="n">
        <x:f>H18</x:f>
        <x:v>0</x:v>
      </x:c>
      <x:c r="T18" s="188" t="n">
        <x:f>IF(H18=1,M18+N18+P18+Q18,0)</x:f>
        <x:v>0</x:v>
      </x:c>
      <x:c r="U18" t="n">
        <x:f>'01_ВВОД'!$D$120</x:f>
        <x:v>10</x:v>
      </x:c>
      <x:c r="V18" t="n">
        <x:f>ROUNDDOWN(SUM(M18,N18,R18,U18)*'01_ВВОД'!$D$127,0)</x:f>
        <x:v>51</x:v>
      </x:c>
      <x:c r="W18" t="n">
        <x:f>ROUNDDOWN(SUM(L18,N18,R18,U18)*'01_ВВОД'!$D$127,0)</x:f>
        <x:v>51</x:v>
      </x:c>
    </x:row>
    <x:row r="19">
      <x:c r="A19" s="200" t="n">
        <x:v>46280</x:v>
      </x:c>
      <x:c r="B19" s="201" t="n">
        <x:v>1</x:v>
      </x:c>
      <x:c r="C19" s="201" t="inlineStr">
        <x:is>
          <x:t xml:space="preserve">Сен-26</x:t>
        </x:is>
      </x:c>
      <x:c r="D19" s="201" t="n">
        <x:v>2</x:v>
      </x:c>
      <x:c r="E19" s="201" t="inlineStr">
        <x:is>
          <x:t xml:space="preserve">Вт</x:t>
        </x:is>
      </x:c>
      <x:c r="F19" s="199" t="n">
        <x:v>0</x:v>
      </x:c>
      <x:c r="G19" s="201" t="str"/>
      <x:c r="H19" s="193" t="n">
        <x:v>0</x:v>
      </x:c>
      <x:c r="I19" s="201" t="str"/>
      <x:c r="J19" s="188" t="n">
        <x:f>1</x:f>
        <x:v>1</x:v>
      </x:c>
      <x:c r="K19" s="188" t="n">
        <x:f>IF(AND(D19&lt;=5,F19=0),1,0)</x:f>
        <x:v>1</x:v>
      </x:c>
      <x:c r="L19" s="188" t="n">
        <x:f>IF(F19=1,'01_ВВОД'!$D$23,CHOOSE(D19,'01_ВВОД'!$D$19,'01_ВВОД'!$D$19,'01_ВВОД'!$D$19,'01_ВВОД'!$D$19,'01_ВВОД'!$D$20,'01_ВВОД'!$D$21,'01_ВВОД'!$D$22))</x:f>
        <x:v>32</x:v>
      </x:c>
      <x:c r="M19" s="188" t="n">
        <x:f>L19*IF(H19=1,'01_ВВОД'!$D$118,1)</x:f>
        <x:v>32</x:v>
      </x:c>
      <x:c r="N19" s="188" t="n">
        <x:f>IF(K19=1,'01_ВВОД'!$D$26,0)</x:f>
        <x:v>40</x:v>
      </x:c>
      <x:c r="O19" s="188" t="n">
        <x:f>IF(F19=1,'01_ВВОД'!$D$34,IF(D19&lt;=5,'01_ВВОД'!$D$32,'01_ВВОД'!$D$33))</x:f>
        <x:v>15</x:v>
      </x:c>
      <x:c r="P19" s="188" t="n">
        <x:f>O19</x:f>
        <x:v>15</x:v>
      </x:c>
      <x:c r="Q19" s="188" t="n">
        <x:f>'01_ВВОД'!$D$40</x:f>
        <x:v>12</x:v>
      </x:c>
      <x:c r="R19" s="188" t="n">
        <x:f>'01_ВВОД'!$D$46</x:f>
        <x:v>20</x:v>
      </x:c>
      <x:c r="S19" s="188" t="n">
        <x:f>H19</x:f>
        <x:v>0</x:v>
      </x:c>
      <x:c r="T19" s="188" t="n">
        <x:f>IF(H19=1,M19+N19+P19+Q19,0)</x:f>
        <x:v>0</x:v>
      </x:c>
      <x:c r="U19" t="n">
        <x:f>'01_ВВОД'!$D$120</x:f>
        <x:v>10</x:v>
      </x:c>
      <x:c r="V19" t="n">
        <x:f>ROUNDDOWN(SUM(M19,N19,R19,U19)*'01_ВВОД'!$D$127,0)</x:f>
        <x:v>51</x:v>
      </x:c>
      <x:c r="W19" t="n">
        <x:f>ROUNDDOWN(SUM(L19,N19,R19,U19)*'01_ВВОД'!$D$127,0)</x:f>
        <x:v>51</x:v>
      </x:c>
    </x:row>
    <x:row r="20">
      <x:c r="A20" s="200" t="n">
        <x:v>46281</x:v>
      </x:c>
      <x:c r="B20" s="201" t="n">
        <x:v>1</x:v>
      </x:c>
      <x:c r="C20" s="201" t="inlineStr">
        <x:is>
          <x:t xml:space="preserve">Сен-26</x:t>
        </x:is>
      </x:c>
      <x:c r="D20" s="201" t="n">
        <x:v>3</x:v>
      </x:c>
      <x:c r="E20" s="201" t="inlineStr">
        <x:is>
          <x:t xml:space="preserve">Ср</x:t>
        </x:is>
      </x:c>
      <x:c r="F20" s="199" t="n">
        <x:v>0</x:v>
      </x:c>
      <x:c r="G20" s="201" t="str"/>
      <x:c r="H20" s="193" t="n">
        <x:v>0</x:v>
      </x:c>
      <x:c r="I20" s="201" t="str"/>
      <x:c r="J20" s="188" t="n">
        <x:f>1</x:f>
        <x:v>1</x:v>
      </x:c>
      <x:c r="K20" s="188" t="n">
        <x:f>IF(AND(D20&lt;=5,F20=0),1,0)</x:f>
        <x:v>1</x:v>
      </x:c>
      <x:c r="L20" s="188" t="n">
        <x:f>IF(F20=1,'01_ВВОД'!$D$23,CHOOSE(D20,'01_ВВОД'!$D$19,'01_ВВОД'!$D$19,'01_ВВОД'!$D$19,'01_ВВОД'!$D$19,'01_ВВОД'!$D$20,'01_ВВОД'!$D$21,'01_ВВОД'!$D$22))</x:f>
        <x:v>32</x:v>
      </x:c>
      <x:c r="M20" s="188" t="n">
        <x:f>L20*IF(H20=1,'01_ВВОД'!$D$118,1)</x:f>
        <x:v>32</x:v>
      </x:c>
      <x:c r="N20" s="188" t="n">
        <x:f>IF(K20=1,'01_ВВОД'!$D$26,0)</x:f>
        <x:v>40</x:v>
      </x:c>
      <x:c r="O20" s="188" t="n">
        <x:f>IF(F20=1,'01_ВВОД'!$D$34,IF(D20&lt;=5,'01_ВВОД'!$D$32,'01_ВВОД'!$D$33))</x:f>
        <x:v>15</x:v>
      </x:c>
      <x:c r="P20" s="188" t="n">
        <x:f>O20</x:f>
        <x:v>15</x:v>
      </x:c>
      <x:c r="Q20" s="188" t="n">
        <x:f>'01_ВВОД'!$D$40</x:f>
        <x:v>12</x:v>
      </x:c>
      <x:c r="R20" s="188" t="n">
        <x:f>'01_ВВОД'!$D$46</x:f>
        <x:v>20</x:v>
      </x:c>
      <x:c r="S20" s="188" t="n">
        <x:f>H20</x:f>
        <x:v>0</x:v>
      </x:c>
      <x:c r="T20" s="188" t="n">
        <x:f>IF(H20=1,M20+N20+P20+Q20,0)</x:f>
        <x:v>0</x:v>
      </x:c>
      <x:c r="U20" t="n">
        <x:f>'01_ВВОД'!$D$120</x:f>
        <x:v>10</x:v>
      </x:c>
      <x:c r="V20" t="n">
        <x:f>ROUNDDOWN(SUM(M20,N20,R20,U20)*'01_ВВОД'!$D$127,0)</x:f>
        <x:v>51</x:v>
      </x:c>
      <x:c r="W20" t="n">
        <x:f>ROUNDDOWN(SUM(L20,N20,R20,U20)*'01_ВВОД'!$D$127,0)</x:f>
        <x:v>51</x:v>
      </x:c>
    </x:row>
    <x:row r="21">
      <x:c r="A21" s="200" t="n">
        <x:v>46282</x:v>
      </x:c>
      <x:c r="B21" s="201" t="n">
        <x:v>1</x:v>
      </x:c>
      <x:c r="C21" s="201" t="inlineStr">
        <x:is>
          <x:t xml:space="preserve">Сен-26</x:t>
        </x:is>
      </x:c>
      <x:c r="D21" s="201" t="n">
        <x:v>4</x:v>
      </x:c>
      <x:c r="E21" s="201" t="inlineStr">
        <x:is>
          <x:t xml:space="preserve">Чт</x:t>
        </x:is>
      </x:c>
      <x:c r="F21" s="199" t="n">
        <x:v>0</x:v>
      </x:c>
      <x:c r="G21" s="201" t="str"/>
      <x:c r="H21" s="193" t="n">
        <x:v>0</x:v>
      </x:c>
      <x:c r="I21" s="201" t="str"/>
      <x:c r="J21" s="188" t="n">
        <x:f>1</x:f>
        <x:v>1</x:v>
      </x:c>
      <x:c r="K21" s="188" t="n">
        <x:f>IF(AND(D21&lt;=5,F21=0),1,0)</x:f>
        <x:v>1</x:v>
      </x:c>
      <x:c r="L21" s="188" t="n">
        <x:f>IF(F21=1,'01_ВВОД'!$D$23,CHOOSE(D21,'01_ВВОД'!$D$19,'01_ВВОД'!$D$19,'01_ВВОД'!$D$19,'01_ВВОД'!$D$19,'01_ВВОД'!$D$20,'01_ВВОД'!$D$21,'01_ВВОД'!$D$22))</x:f>
        <x:v>32</x:v>
      </x:c>
      <x:c r="M21" s="188" t="n">
        <x:f>L21*IF(H21=1,'01_ВВОД'!$D$118,1)</x:f>
        <x:v>32</x:v>
      </x:c>
      <x:c r="N21" s="188" t="n">
        <x:f>IF(K21=1,'01_ВВОД'!$D$26,0)</x:f>
        <x:v>40</x:v>
      </x:c>
      <x:c r="O21" s="188" t="n">
        <x:f>IF(F21=1,'01_ВВОД'!$D$34,IF(D21&lt;=5,'01_ВВОД'!$D$32,'01_ВВОД'!$D$33))</x:f>
        <x:v>15</x:v>
      </x:c>
      <x:c r="P21" s="188" t="n">
        <x:f>O21</x:f>
        <x:v>15</x:v>
      </x:c>
      <x:c r="Q21" s="188" t="n">
        <x:f>'01_ВВОД'!$D$40</x:f>
        <x:v>12</x:v>
      </x:c>
      <x:c r="R21" s="188" t="n">
        <x:f>'01_ВВОД'!$D$46</x:f>
        <x:v>20</x:v>
      </x:c>
      <x:c r="S21" s="188" t="n">
        <x:f>H21</x:f>
        <x:v>0</x:v>
      </x:c>
      <x:c r="T21" s="188" t="n">
        <x:f>IF(H21=1,M21+N21+P21+Q21,0)</x:f>
        <x:v>0</x:v>
      </x:c>
      <x:c r="U21" t="n">
        <x:f>'01_ВВОД'!$D$120</x:f>
        <x:v>10</x:v>
      </x:c>
      <x:c r="V21" t="n">
        <x:f>ROUNDDOWN(SUM(M21,N21,R21,U21)*'01_ВВОД'!$D$127,0)</x:f>
        <x:v>51</x:v>
      </x:c>
      <x:c r="W21" t="n">
        <x:f>ROUNDDOWN(SUM(L21,N21,R21,U21)*'01_ВВОД'!$D$127,0)</x:f>
        <x:v>51</x:v>
      </x:c>
    </x:row>
    <x:row r="22">
      <x:c r="A22" s="200" t="n">
        <x:v>46283</x:v>
      </x:c>
      <x:c r="B22" s="201" t="n">
        <x:v>1</x:v>
      </x:c>
      <x:c r="C22" s="201" t="inlineStr">
        <x:is>
          <x:t xml:space="preserve">Сен-26</x:t>
        </x:is>
      </x:c>
      <x:c r="D22" s="201" t="n">
        <x:v>5</x:v>
      </x:c>
      <x:c r="E22" s="201" t="inlineStr">
        <x:is>
          <x:t xml:space="preserve">Пт</x:t>
        </x:is>
      </x:c>
      <x:c r="F22" s="199" t="n">
        <x:v>0</x:v>
      </x:c>
      <x:c r="G22" s="201" t="str"/>
      <x:c r="H22" s="193" t="n">
        <x:v>0</x:v>
      </x:c>
      <x:c r="I22" s="201" t="str"/>
      <x:c r="J22" s="188" t="n">
        <x:f>1</x:f>
        <x:v>1</x:v>
      </x:c>
      <x:c r="K22" s="188" t="n">
        <x:f>IF(AND(D22&lt;=5,F22=0),1,0)</x:f>
        <x:v>1</x:v>
      </x:c>
      <x:c r="L22" s="188" t="n">
        <x:f>IF(F22=1,'01_ВВОД'!$D$23,CHOOSE(D22,'01_ВВОД'!$D$19,'01_ВВОД'!$D$19,'01_ВВОД'!$D$19,'01_ВВОД'!$D$19,'01_ВВОД'!$D$20,'01_ВВОД'!$D$21,'01_ВВОД'!$D$22))</x:f>
        <x:v>45</x:v>
      </x:c>
      <x:c r="M22" s="188" t="n">
        <x:f>L22*IF(H22=1,'01_ВВОД'!$D$118,1)</x:f>
        <x:v>45</x:v>
      </x:c>
      <x:c r="N22" s="188" t="n">
        <x:f>IF(K22=1,'01_ВВОД'!$D$26,0)</x:f>
        <x:v>40</x:v>
      </x:c>
      <x:c r="O22" s="188" t="n">
        <x:f>IF(F22=1,'01_ВВОД'!$D$34,IF(D22&lt;=5,'01_ВВОД'!$D$32,'01_ВВОД'!$D$33))</x:f>
        <x:v>15</x:v>
      </x:c>
      <x:c r="P22" s="188" t="n">
        <x:f>O22</x:f>
        <x:v>15</x:v>
      </x:c>
      <x:c r="Q22" s="188" t="n">
        <x:f>'01_ВВОД'!$D$40</x:f>
        <x:v>12</x:v>
      </x:c>
      <x:c r="R22" s="188" t="n">
        <x:f>'01_ВВОД'!$D$46</x:f>
        <x:v>20</x:v>
      </x:c>
      <x:c r="S22" s="188" t="n">
        <x:f>H22</x:f>
        <x:v>0</x:v>
      </x:c>
      <x:c r="T22" s="188" t="n">
        <x:f>IF(H22=1,M22+N22+P22+Q22,0)</x:f>
        <x:v>0</x:v>
      </x:c>
      <x:c r="U22" t="n">
        <x:f>'01_ВВОД'!$D$120</x:f>
        <x:v>10</x:v>
      </x:c>
      <x:c r="V22" t="n">
        <x:f>ROUNDDOWN(SUM(M22,N22,R22,U22)*'01_ВВОД'!$D$127,0)</x:f>
        <x:v>57</x:v>
      </x:c>
      <x:c r="W22" t="n">
        <x:f>ROUNDDOWN(SUM(L22,N22,R22,U22)*'01_ВВОД'!$D$127,0)</x:f>
        <x:v>57</x:v>
      </x:c>
    </x:row>
    <x:row r="23">
      <x:c r="A23" s="200" t="n">
        <x:v>46284</x:v>
      </x:c>
      <x:c r="B23" s="201" t="n">
        <x:v>1</x:v>
      </x:c>
      <x:c r="C23" s="201" t="inlineStr">
        <x:is>
          <x:t xml:space="preserve">Сен-26</x:t>
        </x:is>
      </x:c>
      <x:c r="D23" s="201" t="n">
        <x:v>6</x:v>
      </x:c>
      <x:c r="E23" s="201" t="inlineStr">
        <x:is>
          <x:t xml:space="preserve">Сб</x:t>
        </x:is>
      </x:c>
      <x:c r="F23" s="199" t="n">
        <x:v>0</x:v>
      </x:c>
      <x:c r="G23" s="201" t="str"/>
      <x:c r="H23" s="193" t="n">
        <x:v>0</x:v>
      </x:c>
      <x:c r="I23" s="201" t="str"/>
      <x:c r="J23" s="188" t="n">
        <x:f>1</x:f>
        <x:v>1</x:v>
      </x:c>
      <x:c r="K23" s="188" t="n">
        <x:f>IF(AND(D23&lt;=5,F23=0),1,0)</x:f>
        <x:v>0</x:v>
      </x:c>
      <x:c r="L23" s="188" t="n">
        <x:f>IF(F23=1,'01_ВВОД'!$D$23,CHOOSE(D23,'01_ВВОД'!$D$19,'01_ВВОД'!$D$19,'01_ВВОД'!$D$19,'01_ВВОД'!$D$19,'01_ВВОД'!$D$20,'01_ВВОД'!$D$21,'01_ВВОД'!$D$22))</x:f>
        <x:v>80</x:v>
      </x:c>
      <x:c r="M23" s="188" t="n">
        <x:f>L23*IF(H23=1,'01_ВВОД'!$D$118,1)</x:f>
        <x:v>80</x:v>
      </x:c>
      <x:c r="N23" s="188" t="n">
        <x:f>IF(K23=1,'01_ВВОД'!$D$26,0)</x:f>
        <x:v>0</x:v>
      </x:c>
      <x:c r="O23" s="188" t="n">
        <x:f>IF(F23=1,'01_ВВОД'!$D$34,IF(D23&lt;=5,'01_ВВОД'!$D$32,'01_ВВОД'!$D$33))</x:f>
        <x:v>30</x:v>
      </x:c>
      <x:c r="P23" s="188" t="n">
        <x:f>O23</x:f>
        <x:v>30</x:v>
      </x:c>
      <x:c r="Q23" s="188" t="n">
        <x:f>'01_ВВОД'!$D$40</x:f>
        <x:v>12</x:v>
      </x:c>
      <x:c r="R23" s="188" t="n">
        <x:f>'01_ВВОД'!$D$46</x:f>
        <x:v>20</x:v>
      </x:c>
      <x:c r="S23" s="188" t="n">
        <x:f>H23</x:f>
        <x:v>0</x:v>
      </x:c>
      <x:c r="T23" s="188" t="n">
        <x:f>IF(H23=1,M23+N23+P23+Q23,0)</x:f>
        <x:v>0</x:v>
      </x:c>
      <x:c r="U23" t="n">
        <x:f>'01_ВВОД'!$D$120</x:f>
        <x:v>10</x:v>
      </x:c>
      <x:c r="V23" t="n">
        <x:f>ROUNDDOWN(SUM(M23,N23,R23,U23)*'01_ВВОД'!$D$127,0)</x:f>
        <x:v>55</x:v>
      </x:c>
      <x:c r="W23" t="n">
        <x:f>ROUNDDOWN(SUM(L23,N23,R23,U23)*'01_ВВОД'!$D$127,0)</x:f>
        <x:v>55</x:v>
      </x:c>
    </x:row>
    <x:row r="24">
      <x:c r="A24" s="200" t="n">
        <x:v>46285</x:v>
      </x:c>
      <x:c r="B24" s="201" t="n">
        <x:v>1</x:v>
      </x:c>
      <x:c r="C24" s="201" t="inlineStr">
        <x:is>
          <x:t xml:space="preserve">Сен-26</x:t>
        </x:is>
      </x:c>
      <x:c r="D24" s="201" t="n">
        <x:v>7</x:v>
      </x:c>
      <x:c r="E24" s="201" t="inlineStr">
        <x:is>
          <x:t xml:space="preserve">Вс</x:t>
        </x:is>
      </x:c>
      <x:c r="F24" s="199" t="n">
        <x:v>0</x:v>
      </x:c>
      <x:c r="G24" s="201" t="str"/>
      <x:c r="H24" s="193" t="n">
        <x:v>0</x:v>
      </x:c>
      <x:c r="I24" s="201" t="str"/>
      <x:c r="J24" s="188" t="n">
        <x:f>1</x:f>
        <x:v>1</x:v>
      </x:c>
      <x:c r="K24" s="188" t="n">
        <x:f>IF(AND(D24&lt;=5,F24=0),1,0)</x:f>
        <x:v>0</x:v>
      </x:c>
      <x:c r="L24" s="188" t="n">
        <x:f>IF(F24=1,'01_ВВОД'!$D$23,CHOOSE(D24,'01_ВВОД'!$D$19,'01_ВВОД'!$D$19,'01_ВВОД'!$D$19,'01_ВВОД'!$D$19,'01_ВВОД'!$D$20,'01_ВВОД'!$D$21,'01_ВВОД'!$D$22))</x:f>
        <x:v>70</x:v>
      </x:c>
      <x:c r="M24" s="188" t="n">
        <x:f>L24*IF(H24=1,'01_ВВОД'!$D$118,1)</x:f>
        <x:v>70</x:v>
      </x:c>
      <x:c r="N24" s="188" t="n">
        <x:f>IF(K24=1,'01_ВВОД'!$D$26,0)</x:f>
        <x:v>0</x:v>
      </x:c>
      <x:c r="O24" s="188" t="n">
        <x:f>IF(F24=1,'01_ВВОД'!$D$34,IF(D24&lt;=5,'01_ВВОД'!$D$32,'01_ВВОД'!$D$33))</x:f>
        <x:v>30</x:v>
      </x:c>
      <x:c r="P24" s="188" t="n">
        <x:f>O24</x:f>
        <x:v>30</x:v>
      </x:c>
      <x:c r="Q24" s="188" t="n">
        <x:f>'01_ВВОД'!$D$40</x:f>
        <x:v>12</x:v>
      </x:c>
      <x:c r="R24" s="188" t="n">
        <x:f>'01_ВВОД'!$D$46</x:f>
        <x:v>20</x:v>
      </x:c>
      <x:c r="S24" s="188" t="n">
        <x:f>H24</x:f>
        <x:v>0</x:v>
      </x:c>
      <x:c r="T24" s="188" t="n">
        <x:f>IF(H24=1,M24+N24+P24+Q24,0)</x:f>
        <x:v>0</x:v>
      </x:c>
      <x:c r="U24" t="n">
        <x:f>'01_ВВОД'!$D$120</x:f>
        <x:v>10</x:v>
      </x:c>
      <x:c r="V24" t="n">
        <x:f>ROUNDDOWN(SUM(M24,N24,R24,U24)*'01_ВВОД'!$D$127,0)</x:f>
        <x:v>50</x:v>
      </x:c>
      <x:c r="W24" t="n">
        <x:f>ROUNDDOWN(SUM(L24,N24,R24,U24)*'01_ВВОД'!$D$127,0)</x:f>
        <x:v>50</x:v>
      </x:c>
    </x:row>
    <x:row r="25">
      <x:c r="A25" s="200" t="n">
        <x:v>46286</x:v>
      </x:c>
      <x:c r="B25" s="201" t="n">
        <x:v>1</x:v>
      </x:c>
      <x:c r="C25" s="201" t="inlineStr">
        <x:is>
          <x:t xml:space="preserve">Сен-26</x:t>
        </x:is>
      </x:c>
      <x:c r="D25" s="201" t="n">
        <x:v>1</x:v>
      </x:c>
      <x:c r="E25" s="201" t="inlineStr">
        <x:is>
          <x:t xml:space="preserve">Пн</x:t>
        </x:is>
      </x:c>
      <x:c r="F25" s="199" t="n">
        <x:v>0</x:v>
      </x:c>
      <x:c r="G25" s="201" t="str"/>
      <x:c r="H25" s="193" t="n">
        <x:v>0</x:v>
      </x:c>
      <x:c r="I25" s="201" t="str"/>
      <x:c r="J25" s="188" t="n">
        <x:f>1</x:f>
        <x:v>1</x:v>
      </x:c>
      <x:c r="K25" s="188" t="n">
        <x:f>IF(AND(D25&lt;=5,F25=0),1,0)</x:f>
        <x:v>1</x:v>
      </x:c>
      <x:c r="L25" s="188" t="n">
        <x:f>IF(F25=1,'01_ВВОД'!$D$23,CHOOSE(D25,'01_ВВОД'!$D$19,'01_ВВОД'!$D$19,'01_ВВОД'!$D$19,'01_ВВОД'!$D$19,'01_ВВОД'!$D$20,'01_ВВОД'!$D$21,'01_ВВОД'!$D$22))</x:f>
        <x:v>32</x:v>
      </x:c>
      <x:c r="M25" s="188" t="n">
        <x:f>L25*IF(H25=1,'01_ВВОД'!$D$118,1)</x:f>
        <x:v>32</x:v>
      </x:c>
      <x:c r="N25" s="188" t="n">
        <x:f>IF(K25=1,'01_ВВОД'!$D$26,0)</x:f>
        <x:v>40</x:v>
      </x:c>
      <x:c r="O25" s="188" t="n">
        <x:f>IF(F25=1,'01_ВВОД'!$D$34,IF(D25&lt;=5,'01_ВВОД'!$D$32,'01_ВВОД'!$D$33))</x:f>
        <x:v>15</x:v>
      </x:c>
      <x:c r="P25" s="188" t="n">
        <x:f>O25</x:f>
        <x:v>15</x:v>
      </x:c>
      <x:c r="Q25" s="188" t="n">
        <x:f>'01_ВВОД'!$D$40</x:f>
        <x:v>12</x:v>
      </x:c>
      <x:c r="R25" s="188" t="n">
        <x:f>'01_ВВОД'!$D$46</x:f>
        <x:v>20</x:v>
      </x:c>
      <x:c r="S25" s="188" t="n">
        <x:f>H25</x:f>
        <x:v>0</x:v>
      </x:c>
      <x:c r="T25" s="188" t="n">
        <x:f>IF(H25=1,M25+N25+P25+Q25,0)</x:f>
        <x:v>0</x:v>
      </x:c>
      <x:c r="U25" t="n">
        <x:f>'01_ВВОД'!$D$120</x:f>
        <x:v>10</x:v>
      </x:c>
      <x:c r="V25" t="n">
        <x:f>ROUNDDOWN(SUM(M25,N25,R25,U25)*'01_ВВОД'!$D$127,0)</x:f>
        <x:v>51</x:v>
      </x:c>
      <x:c r="W25" t="n">
        <x:f>ROUNDDOWN(SUM(L25,N25,R25,U25)*'01_ВВОД'!$D$127,0)</x:f>
        <x:v>51</x:v>
      </x:c>
    </x:row>
    <x:row r="26">
      <x:c r="A26" s="200" t="n">
        <x:v>46287</x:v>
      </x:c>
      <x:c r="B26" s="201" t="n">
        <x:v>1</x:v>
      </x:c>
      <x:c r="C26" s="201" t="inlineStr">
        <x:is>
          <x:t xml:space="preserve">Сен-26</x:t>
        </x:is>
      </x:c>
      <x:c r="D26" s="201" t="n">
        <x:v>2</x:v>
      </x:c>
      <x:c r="E26" s="201" t="inlineStr">
        <x:is>
          <x:t xml:space="preserve">Вт</x:t>
        </x:is>
      </x:c>
      <x:c r="F26" s="199" t="n">
        <x:v>0</x:v>
      </x:c>
      <x:c r="G26" s="201" t="str"/>
      <x:c r="H26" s="193" t="n">
        <x:v>0</x:v>
      </x:c>
      <x:c r="I26" s="201" t="str"/>
      <x:c r="J26" s="188" t="n">
        <x:f>1</x:f>
        <x:v>1</x:v>
      </x:c>
      <x:c r="K26" s="188" t="n">
        <x:f>IF(AND(D26&lt;=5,F26=0),1,0)</x:f>
        <x:v>1</x:v>
      </x:c>
      <x:c r="L26" s="188" t="n">
        <x:f>IF(F26=1,'01_ВВОД'!$D$23,CHOOSE(D26,'01_ВВОД'!$D$19,'01_ВВОД'!$D$19,'01_ВВОД'!$D$19,'01_ВВОД'!$D$19,'01_ВВОД'!$D$20,'01_ВВОД'!$D$21,'01_ВВОД'!$D$22))</x:f>
        <x:v>32</x:v>
      </x:c>
      <x:c r="M26" s="188" t="n">
        <x:f>L26*IF(H26=1,'01_ВВОД'!$D$118,1)</x:f>
        <x:v>32</x:v>
      </x:c>
      <x:c r="N26" s="188" t="n">
        <x:f>IF(K26=1,'01_ВВОД'!$D$26,0)</x:f>
        <x:v>40</x:v>
      </x:c>
      <x:c r="O26" s="188" t="n">
        <x:f>IF(F26=1,'01_ВВОД'!$D$34,IF(D26&lt;=5,'01_ВВОД'!$D$32,'01_ВВОД'!$D$33))</x:f>
        <x:v>15</x:v>
      </x:c>
      <x:c r="P26" s="188" t="n">
        <x:f>O26</x:f>
        <x:v>15</x:v>
      </x:c>
      <x:c r="Q26" s="188" t="n">
        <x:f>'01_ВВОД'!$D$40</x:f>
        <x:v>12</x:v>
      </x:c>
      <x:c r="R26" s="188" t="n">
        <x:f>'01_ВВОД'!$D$46</x:f>
        <x:v>20</x:v>
      </x:c>
      <x:c r="S26" s="188" t="n">
        <x:f>H26</x:f>
        <x:v>0</x:v>
      </x:c>
      <x:c r="T26" s="188" t="n">
        <x:f>IF(H26=1,M26+N26+P26+Q26,0)</x:f>
        <x:v>0</x:v>
      </x:c>
      <x:c r="U26" t="n">
        <x:f>'01_ВВОД'!$D$120</x:f>
        <x:v>10</x:v>
      </x:c>
      <x:c r="V26" t="n">
        <x:f>ROUNDDOWN(SUM(M26,N26,R26,U26)*'01_ВВОД'!$D$127,0)</x:f>
        <x:v>51</x:v>
      </x:c>
      <x:c r="W26" t="n">
        <x:f>ROUNDDOWN(SUM(L26,N26,R26,U26)*'01_ВВОД'!$D$127,0)</x:f>
        <x:v>51</x:v>
      </x:c>
    </x:row>
    <x:row r="27">
      <x:c r="A27" s="200" t="n">
        <x:v>46288</x:v>
      </x:c>
      <x:c r="B27" s="201" t="n">
        <x:v>1</x:v>
      </x:c>
      <x:c r="C27" s="201" t="inlineStr">
        <x:is>
          <x:t xml:space="preserve">Сен-26</x:t>
        </x:is>
      </x:c>
      <x:c r="D27" s="201" t="n">
        <x:v>3</x:v>
      </x:c>
      <x:c r="E27" s="201" t="inlineStr">
        <x:is>
          <x:t xml:space="preserve">Ср</x:t>
        </x:is>
      </x:c>
      <x:c r="F27" s="199" t="n">
        <x:v>0</x:v>
      </x:c>
      <x:c r="G27" s="201" t="str"/>
      <x:c r="H27" s="193" t="n">
        <x:v>0</x:v>
      </x:c>
      <x:c r="I27" s="201" t="str"/>
      <x:c r="J27" s="188" t="n">
        <x:f>1</x:f>
        <x:v>1</x:v>
      </x:c>
      <x:c r="K27" s="188" t="n">
        <x:f>IF(AND(D27&lt;=5,F27=0),1,0)</x:f>
        <x:v>1</x:v>
      </x:c>
      <x:c r="L27" s="188" t="n">
        <x:f>IF(F27=1,'01_ВВОД'!$D$23,CHOOSE(D27,'01_ВВОД'!$D$19,'01_ВВОД'!$D$19,'01_ВВОД'!$D$19,'01_ВВОД'!$D$19,'01_ВВОД'!$D$20,'01_ВВОД'!$D$21,'01_ВВОД'!$D$22))</x:f>
        <x:v>32</x:v>
      </x:c>
      <x:c r="M27" s="188" t="n">
        <x:f>L27*IF(H27=1,'01_ВВОД'!$D$118,1)</x:f>
        <x:v>32</x:v>
      </x:c>
      <x:c r="N27" s="188" t="n">
        <x:f>IF(K27=1,'01_ВВОД'!$D$26,0)</x:f>
        <x:v>40</x:v>
      </x:c>
      <x:c r="O27" s="188" t="n">
        <x:f>IF(F27=1,'01_ВВОД'!$D$34,IF(D27&lt;=5,'01_ВВОД'!$D$32,'01_ВВОД'!$D$33))</x:f>
        <x:v>15</x:v>
      </x:c>
      <x:c r="P27" s="188" t="n">
        <x:f>O27</x:f>
        <x:v>15</x:v>
      </x:c>
      <x:c r="Q27" s="188" t="n">
        <x:f>'01_ВВОД'!$D$40</x:f>
        <x:v>12</x:v>
      </x:c>
      <x:c r="R27" s="188" t="n">
        <x:f>'01_ВВОД'!$D$46</x:f>
        <x:v>20</x:v>
      </x:c>
      <x:c r="S27" s="188" t="n">
        <x:f>H27</x:f>
        <x:v>0</x:v>
      </x:c>
      <x:c r="T27" s="188" t="n">
        <x:f>IF(H27=1,M27+N27+P27+Q27,0)</x:f>
        <x:v>0</x:v>
      </x:c>
      <x:c r="U27" t="n">
        <x:f>'01_ВВОД'!$D$120</x:f>
        <x:v>10</x:v>
      </x:c>
      <x:c r="V27" t="n">
        <x:f>ROUNDDOWN(SUM(M27,N27,R27,U27)*'01_ВВОД'!$D$127,0)</x:f>
        <x:v>51</x:v>
      </x:c>
      <x:c r="W27" t="n">
        <x:f>ROUNDDOWN(SUM(L27,N27,R27,U27)*'01_ВВОД'!$D$127,0)</x:f>
        <x:v>51</x:v>
      </x:c>
    </x:row>
    <x:row r="28">
      <x:c r="A28" s="200" t="n">
        <x:v>46289</x:v>
      </x:c>
      <x:c r="B28" s="201" t="n">
        <x:v>1</x:v>
      </x:c>
      <x:c r="C28" s="201" t="inlineStr">
        <x:is>
          <x:t xml:space="preserve">Сен-26</x:t>
        </x:is>
      </x:c>
      <x:c r="D28" s="201" t="n">
        <x:v>4</x:v>
      </x:c>
      <x:c r="E28" s="201" t="inlineStr">
        <x:is>
          <x:t xml:space="preserve">Чт</x:t>
        </x:is>
      </x:c>
      <x:c r="F28" s="199" t="n">
        <x:v>0</x:v>
      </x:c>
      <x:c r="G28" s="201" t="str"/>
      <x:c r="H28" s="193" t="n">
        <x:v>0</x:v>
      </x:c>
      <x:c r="I28" s="201" t="str"/>
      <x:c r="J28" s="188" t="n">
        <x:f>1</x:f>
        <x:v>1</x:v>
      </x:c>
      <x:c r="K28" s="188" t="n">
        <x:f>IF(AND(D28&lt;=5,F28=0),1,0)</x:f>
        <x:v>1</x:v>
      </x:c>
      <x:c r="L28" s="188" t="n">
        <x:f>IF(F28=1,'01_ВВОД'!$D$23,CHOOSE(D28,'01_ВВОД'!$D$19,'01_ВВОД'!$D$19,'01_ВВОД'!$D$19,'01_ВВОД'!$D$19,'01_ВВОД'!$D$20,'01_ВВОД'!$D$21,'01_ВВОД'!$D$22))</x:f>
        <x:v>32</x:v>
      </x:c>
      <x:c r="M28" s="188" t="n">
        <x:f>L28*IF(H28=1,'01_ВВОД'!$D$118,1)</x:f>
        <x:v>32</x:v>
      </x:c>
      <x:c r="N28" s="188" t="n">
        <x:f>IF(K28=1,'01_ВВОД'!$D$26,0)</x:f>
        <x:v>40</x:v>
      </x:c>
      <x:c r="O28" s="188" t="n">
        <x:f>IF(F28=1,'01_ВВОД'!$D$34,IF(D28&lt;=5,'01_ВВОД'!$D$32,'01_ВВОД'!$D$33))</x:f>
        <x:v>15</x:v>
      </x:c>
      <x:c r="P28" s="188" t="n">
        <x:f>O28</x:f>
        <x:v>15</x:v>
      </x:c>
      <x:c r="Q28" s="188" t="n">
        <x:f>'01_ВВОД'!$D$40</x:f>
        <x:v>12</x:v>
      </x:c>
      <x:c r="R28" s="188" t="n">
        <x:f>'01_ВВОД'!$D$46</x:f>
        <x:v>20</x:v>
      </x:c>
      <x:c r="S28" s="188" t="n">
        <x:f>H28</x:f>
        <x:v>0</x:v>
      </x:c>
      <x:c r="T28" s="188" t="n">
        <x:f>IF(H28=1,M28+N28+P28+Q28,0)</x:f>
        <x:v>0</x:v>
      </x:c>
      <x:c r="U28" t="n">
        <x:f>'01_ВВОД'!$D$120</x:f>
        <x:v>10</x:v>
      </x:c>
      <x:c r="V28" t="n">
        <x:f>ROUNDDOWN(SUM(M28,N28,R28,U28)*'01_ВВОД'!$D$127,0)</x:f>
        <x:v>51</x:v>
      </x:c>
      <x:c r="W28" t="n">
        <x:f>ROUNDDOWN(SUM(L28,N28,R28,U28)*'01_ВВОД'!$D$127,0)</x:f>
        <x:v>51</x:v>
      </x:c>
    </x:row>
    <x:row r="29">
      <x:c r="A29" s="200" t="n">
        <x:v>46290</x:v>
      </x:c>
      <x:c r="B29" s="201" t="n">
        <x:v>1</x:v>
      </x:c>
      <x:c r="C29" s="201" t="inlineStr">
        <x:is>
          <x:t xml:space="preserve">Сен-26</x:t>
        </x:is>
      </x:c>
      <x:c r="D29" s="201" t="n">
        <x:v>5</x:v>
      </x:c>
      <x:c r="E29" s="201" t="inlineStr">
        <x:is>
          <x:t xml:space="preserve">Пт</x:t>
        </x:is>
      </x:c>
      <x:c r="F29" s="199" t="n">
        <x:v>0</x:v>
      </x:c>
      <x:c r="G29" s="201" t="str"/>
      <x:c r="H29" s="193" t="n">
        <x:v>0</x:v>
      </x:c>
      <x:c r="I29" s="201" t="str"/>
      <x:c r="J29" s="188" t="n">
        <x:f>1</x:f>
        <x:v>1</x:v>
      </x:c>
      <x:c r="K29" s="188" t="n">
        <x:f>IF(AND(D29&lt;=5,F29=0),1,0)</x:f>
        <x:v>1</x:v>
      </x:c>
      <x:c r="L29" s="188" t="n">
        <x:f>IF(F29=1,'01_ВВОД'!$D$23,CHOOSE(D29,'01_ВВОД'!$D$19,'01_ВВОД'!$D$19,'01_ВВОД'!$D$19,'01_ВВОД'!$D$19,'01_ВВОД'!$D$20,'01_ВВОД'!$D$21,'01_ВВОД'!$D$22))</x:f>
        <x:v>45</x:v>
      </x:c>
      <x:c r="M29" s="188" t="n">
        <x:f>L29*IF(H29=1,'01_ВВОД'!$D$118,1)</x:f>
        <x:v>45</x:v>
      </x:c>
      <x:c r="N29" s="188" t="n">
        <x:f>IF(K29=1,'01_ВВОД'!$D$26,0)</x:f>
        <x:v>40</x:v>
      </x:c>
      <x:c r="O29" s="188" t="n">
        <x:f>IF(F29=1,'01_ВВОД'!$D$34,IF(D29&lt;=5,'01_ВВОД'!$D$32,'01_ВВОД'!$D$33))</x:f>
        <x:v>15</x:v>
      </x:c>
      <x:c r="P29" s="188" t="n">
        <x:f>O29</x:f>
        <x:v>15</x:v>
      </x:c>
      <x:c r="Q29" s="188" t="n">
        <x:f>'01_ВВОД'!$D$40</x:f>
        <x:v>12</x:v>
      </x:c>
      <x:c r="R29" s="188" t="n">
        <x:f>'01_ВВОД'!$D$46</x:f>
        <x:v>20</x:v>
      </x:c>
      <x:c r="S29" s="188" t="n">
        <x:f>H29</x:f>
        <x:v>0</x:v>
      </x:c>
      <x:c r="T29" s="188" t="n">
        <x:f>IF(H29=1,M29+N29+P29+Q29,0)</x:f>
        <x:v>0</x:v>
      </x:c>
      <x:c r="U29" t="n">
        <x:f>'01_ВВОД'!$D$120</x:f>
        <x:v>10</x:v>
      </x:c>
      <x:c r="V29" t="n">
        <x:f>ROUNDDOWN(SUM(M29,N29,R29,U29)*'01_ВВОД'!$D$127,0)</x:f>
        <x:v>57</x:v>
      </x:c>
      <x:c r="W29" t="n">
        <x:f>ROUNDDOWN(SUM(L29,N29,R29,U29)*'01_ВВОД'!$D$127,0)</x:f>
        <x:v>57</x:v>
      </x:c>
    </x:row>
    <x:row r="30">
      <x:c r="A30" s="200" t="n">
        <x:v>46291</x:v>
      </x:c>
      <x:c r="B30" s="201" t="n">
        <x:v>1</x:v>
      </x:c>
      <x:c r="C30" s="201" t="inlineStr">
        <x:is>
          <x:t xml:space="preserve">Сен-26</x:t>
        </x:is>
      </x:c>
      <x:c r="D30" s="201" t="n">
        <x:v>6</x:v>
      </x:c>
      <x:c r="E30" s="201" t="inlineStr">
        <x:is>
          <x:t xml:space="preserve">Сб</x:t>
        </x:is>
      </x:c>
      <x:c r="F30" s="199" t="n">
        <x:v>0</x:v>
      </x:c>
      <x:c r="G30" s="201" t="str"/>
      <x:c r="H30" s="193" t="n">
        <x:v>0</x:v>
      </x:c>
      <x:c r="I30" s="201" t="str"/>
      <x:c r="J30" s="188" t="n">
        <x:f>1</x:f>
        <x:v>1</x:v>
      </x:c>
      <x:c r="K30" s="188" t="n">
        <x:f>IF(AND(D30&lt;=5,F30=0),1,0)</x:f>
        <x:v>0</x:v>
      </x:c>
      <x:c r="L30" s="188" t="n">
        <x:f>IF(F30=1,'01_ВВОД'!$D$23,CHOOSE(D30,'01_ВВОД'!$D$19,'01_ВВОД'!$D$19,'01_ВВОД'!$D$19,'01_ВВОД'!$D$19,'01_ВВОД'!$D$20,'01_ВВОД'!$D$21,'01_ВВОД'!$D$22))</x:f>
        <x:v>80</x:v>
      </x:c>
      <x:c r="M30" s="188" t="n">
        <x:f>L30*IF(H30=1,'01_ВВОД'!$D$118,1)</x:f>
        <x:v>80</x:v>
      </x:c>
      <x:c r="N30" s="188" t="n">
        <x:f>IF(K30=1,'01_ВВОД'!$D$26,0)</x:f>
        <x:v>0</x:v>
      </x:c>
      <x:c r="O30" s="188" t="n">
        <x:f>IF(F30=1,'01_ВВОД'!$D$34,IF(D30&lt;=5,'01_ВВОД'!$D$32,'01_ВВОД'!$D$33))</x:f>
        <x:v>30</x:v>
      </x:c>
      <x:c r="P30" s="188" t="n">
        <x:f>O30</x:f>
        <x:v>30</x:v>
      </x:c>
      <x:c r="Q30" s="188" t="n">
        <x:f>'01_ВВОД'!$D$40</x:f>
        <x:v>12</x:v>
      </x:c>
      <x:c r="R30" s="188" t="n">
        <x:f>'01_ВВОД'!$D$46</x:f>
        <x:v>20</x:v>
      </x:c>
      <x:c r="S30" s="188" t="n">
        <x:f>H30</x:f>
        <x:v>0</x:v>
      </x:c>
      <x:c r="T30" s="188" t="n">
        <x:f>IF(H30=1,M30+N30+P30+Q30,0)</x:f>
        <x:v>0</x:v>
      </x:c>
      <x:c r="U30" t="n">
        <x:f>'01_ВВОД'!$D$120</x:f>
        <x:v>10</x:v>
      </x:c>
      <x:c r="V30" t="n">
        <x:f>ROUNDDOWN(SUM(M30,N30,R30,U30)*'01_ВВОД'!$D$127,0)</x:f>
        <x:v>55</x:v>
      </x:c>
      <x:c r="W30" t="n">
        <x:f>ROUNDDOWN(SUM(L30,N30,R30,U30)*'01_ВВОД'!$D$127,0)</x:f>
        <x:v>55</x:v>
      </x:c>
    </x:row>
    <x:row r="31">
      <x:c r="A31" s="200" t="n">
        <x:v>46292</x:v>
      </x:c>
      <x:c r="B31" s="201" t="n">
        <x:v>1</x:v>
      </x:c>
      <x:c r="C31" s="201" t="inlineStr">
        <x:is>
          <x:t xml:space="preserve">Сен-26</x:t>
        </x:is>
      </x:c>
      <x:c r="D31" s="201" t="n">
        <x:v>7</x:v>
      </x:c>
      <x:c r="E31" s="201" t="inlineStr">
        <x:is>
          <x:t xml:space="preserve">Вс</x:t>
        </x:is>
      </x:c>
      <x:c r="F31" s="199" t="n">
        <x:v>0</x:v>
      </x:c>
      <x:c r="G31" s="201" t="str"/>
      <x:c r="H31" s="193" t="n">
        <x:v>0</x:v>
      </x:c>
      <x:c r="I31" s="201" t="str"/>
      <x:c r="J31" s="188" t="n">
        <x:f>1</x:f>
        <x:v>1</x:v>
      </x:c>
      <x:c r="K31" s="188" t="n">
        <x:f>IF(AND(D31&lt;=5,F31=0),1,0)</x:f>
        <x:v>0</x:v>
      </x:c>
      <x:c r="L31" s="188" t="n">
        <x:f>IF(F31=1,'01_ВВОД'!$D$23,CHOOSE(D31,'01_ВВОД'!$D$19,'01_ВВОД'!$D$19,'01_ВВОД'!$D$19,'01_ВВОД'!$D$19,'01_ВВОД'!$D$20,'01_ВВОД'!$D$21,'01_ВВОД'!$D$22))</x:f>
        <x:v>70</x:v>
      </x:c>
      <x:c r="M31" s="188" t="n">
        <x:f>L31*IF(H31=1,'01_ВВОД'!$D$118,1)</x:f>
        <x:v>70</x:v>
      </x:c>
      <x:c r="N31" s="188" t="n">
        <x:f>IF(K31=1,'01_ВВОД'!$D$26,0)</x:f>
        <x:v>0</x:v>
      </x:c>
      <x:c r="O31" s="188" t="n">
        <x:f>IF(F31=1,'01_ВВОД'!$D$34,IF(D31&lt;=5,'01_ВВОД'!$D$32,'01_ВВОД'!$D$33))</x:f>
        <x:v>30</x:v>
      </x:c>
      <x:c r="P31" s="188" t="n">
        <x:f>O31</x:f>
        <x:v>30</x:v>
      </x:c>
      <x:c r="Q31" s="188" t="n">
        <x:f>'01_ВВОД'!$D$40</x:f>
        <x:v>12</x:v>
      </x:c>
      <x:c r="R31" s="188" t="n">
        <x:f>'01_ВВОД'!$D$46</x:f>
        <x:v>20</x:v>
      </x:c>
      <x:c r="S31" s="188" t="n">
        <x:f>H31</x:f>
        <x:v>0</x:v>
      </x:c>
      <x:c r="T31" s="188" t="n">
        <x:f>IF(H31=1,M31+N31+P31+Q31,0)</x:f>
        <x:v>0</x:v>
      </x:c>
      <x:c r="U31" t="n">
        <x:f>'01_ВВОД'!$D$120</x:f>
        <x:v>10</x:v>
      </x:c>
      <x:c r="V31" t="n">
        <x:f>ROUNDDOWN(SUM(M31,N31,R31,U31)*'01_ВВОД'!$D$127,0)</x:f>
        <x:v>50</x:v>
      </x:c>
      <x:c r="W31" t="n">
        <x:f>ROUNDDOWN(SUM(L31,N31,R31,U31)*'01_ВВОД'!$D$127,0)</x:f>
        <x:v>50</x:v>
      </x:c>
    </x:row>
    <x:row r="32">
      <x:c r="A32" s="200" t="n">
        <x:v>46293</x:v>
      </x:c>
      <x:c r="B32" s="201" t="n">
        <x:v>1</x:v>
      </x:c>
      <x:c r="C32" s="201" t="inlineStr">
        <x:is>
          <x:t xml:space="preserve">Сен-26</x:t>
        </x:is>
      </x:c>
      <x:c r="D32" s="201" t="n">
        <x:v>1</x:v>
      </x:c>
      <x:c r="E32" s="201" t="inlineStr">
        <x:is>
          <x:t xml:space="preserve">Пн</x:t>
        </x:is>
      </x:c>
      <x:c r="F32" s="199" t="n">
        <x:v>0</x:v>
      </x:c>
      <x:c r="G32" s="201" t="str"/>
      <x:c r="H32" s="193" t="n">
        <x:v>0</x:v>
      </x:c>
      <x:c r="I32" s="201" t="str"/>
      <x:c r="J32" s="188" t="n">
        <x:f>1</x:f>
        <x:v>1</x:v>
      </x:c>
      <x:c r="K32" s="188" t="n">
        <x:f>IF(AND(D32&lt;=5,F32=0),1,0)</x:f>
        <x:v>1</x:v>
      </x:c>
      <x:c r="L32" s="188" t="n">
        <x:f>IF(F32=1,'01_ВВОД'!$D$23,CHOOSE(D32,'01_ВВОД'!$D$19,'01_ВВОД'!$D$19,'01_ВВОД'!$D$19,'01_ВВОД'!$D$19,'01_ВВОД'!$D$20,'01_ВВОД'!$D$21,'01_ВВОД'!$D$22))</x:f>
        <x:v>32</x:v>
      </x:c>
      <x:c r="M32" s="188" t="n">
        <x:f>L32*IF(H32=1,'01_ВВОД'!$D$118,1)</x:f>
        <x:v>32</x:v>
      </x:c>
      <x:c r="N32" s="188" t="n">
        <x:f>IF(K32=1,'01_ВВОД'!$D$26,0)</x:f>
        <x:v>40</x:v>
      </x:c>
      <x:c r="O32" s="188" t="n">
        <x:f>IF(F32=1,'01_ВВОД'!$D$34,IF(D32&lt;=5,'01_ВВОД'!$D$32,'01_ВВОД'!$D$33))</x:f>
        <x:v>15</x:v>
      </x:c>
      <x:c r="P32" s="188" t="n">
        <x:f>O32</x:f>
        <x:v>15</x:v>
      </x:c>
      <x:c r="Q32" s="188" t="n">
        <x:f>'01_ВВОД'!$D$40</x:f>
        <x:v>12</x:v>
      </x:c>
      <x:c r="R32" s="188" t="n">
        <x:f>'01_ВВОД'!$D$46</x:f>
        <x:v>20</x:v>
      </x:c>
      <x:c r="S32" s="188" t="n">
        <x:f>H32</x:f>
        <x:v>0</x:v>
      </x:c>
      <x:c r="T32" s="188" t="n">
        <x:f>IF(H32=1,M32+N32+P32+Q32,0)</x:f>
        <x:v>0</x:v>
      </x:c>
      <x:c r="U32" t="n">
        <x:f>'01_ВВОД'!$D$120</x:f>
        <x:v>10</x:v>
      </x:c>
      <x:c r="V32" t="n">
        <x:f>ROUNDDOWN(SUM(M32,N32,R32,U32)*'01_ВВОД'!$D$127,0)</x:f>
        <x:v>51</x:v>
      </x:c>
      <x:c r="W32" t="n">
        <x:f>ROUNDDOWN(SUM(L32,N32,R32,U32)*'01_ВВОД'!$D$127,0)</x:f>
        <x:v>51</x:v>
      </x:c>
    </x:row>
    <x:row r="33">
      <x:c r="A33" s="200" t="n">
        <x:v>46294</x:v>
      </x:c>
      <x:c r="B33" s="201" t="n">
        <x:v>1</x:v>
      </x:c>
      <x:c r="C33" s="201" t="inlineStr">
        <x:is>
          <x:t xml:space="preserve">Сен-26</x:t>
        </x:is>
      </x:c>
      <x:c r="D33" s="201" t="n">
        <x:v>2</x:v>
      </x:c>
      <x:c r="E33" s="201" t="inlineStr">
        <x:is>
          <x:t xml:space="preserve">Вт</x:t>
        </x:is>
      </x:c>
      <x:c r="F33" s="199" t="n">
        <x:v>0</x:v>
      </x:c>
      <x:c r="G33" s="201" t="str"/>
      <x:c r="H33" s="193" t="n">
        <x:v>0</x:v>
      </x:c>
      <x:c r="I33" s="201" t="str"/>
      <x:c r="J33" s="188" t="n">
        <x:f>1</x:f>
        <x:v>1</x:v>
      </x:c>
      <x:c r="K33" s="188" t="n">
        <x:f>IF(AND(D33&lt;=5,F33=0),1,0)</x:f>
        <x:v>1</x:v>
      </x:c>
      <x:c r="L33" s="188" t="n">
        <x:f>IF(F33=1,'01_ВВОД'!$D$23,CHOOSE(D33,'01_ВВОД'!$D$19,'01_ВВОД'!$D$19,'01_ВВОД'!$D$19,'01_ВВОД'!$D$19,'01_ВВОД'!$D$20,'01_ВВОД'!$D$21,'01_ВВОД'!$D$22))</x:f>
        <x:v>32</x:v>
      </x:c>
      <x:c r="M33" s="188" t="n">
        <x:f>L33*IF(H33=1,'01_ВВОД'!$D$118,1)</x:f>
        <x:v>32</x:v>
      </x:c>
      <x:c r="N33" s="188" t="n">
        <x:f>IF(K33=1,'01_ВВОД'!$D$26,0)</x:f>
        <x:v>40</x:v>
      </x:c>
      <x:c r="O33" s="188" t="n">
        <x:f>IF(F33=1,'01_ВВОД'!$D$34,IF(D33&lt;=5,'01_ВВОД'!$D$32,'01_ВВОД'!$D$33))</x:f>
        <x:v>15</x:v>
      </x:c>
      <x:c r="P33" s="188" t="n">
        <x:f>O33</x:f>
        <x:v>15</x:v>
      </x:c>
      <x:c r="Q33" s="188" t="n">
        <x:f>'01_ВВОД'!$D$40</x:f>
        <x:v>12</x:v>
      </x:c>
      <x:c r="R33" s="188" t="n">
        <x:f>'01_ВВОД'!$D$46</x:f>
        <x:v>20</x:v>
      </x:c>
      <x:c r="S33" s="188" t="n">
        <x:f>H33</x:f>
        <x:v>0</x:v>
      </x:c>
      <x:c r="T33" s="188" t="n">
        <x:f>IF(H33=1,M33+N33+P33+Q33,0)</x:f>
        <x:v>0</x:v>
      </x:c>
      <x:c r="U33" t="n">
        <x:f>'01_ВВОД'!$D$120</x:f>
        <x:v>10</x:v>
      </x:c>
      <x:c r="V33" t="n">
        <x:f>ROUNDDOWN(SUM(M33,N33,R33,U33)*'01_ВВОД'!$D$127,0)</x:f>
        <x:v>51</x:v>
      </x:c>
      <x:c r="W33" t="n">
        <x:f>ROUNDDOWN(SUM(L33,N33,R33,U33)*'01_ВВОД'!$D$127,0)</x:f>
        <x:v>51</x:v>
      </x:c>
    </x:row>
    <x:row r="34">
      <x:c r="A34" s="200" t="n">
        <x:v>46295</x:v>
      </x:c>
      <x:c r="B34" s="201" t="n">
        <x:v>1</x:v>
      </x:c>
      <x:c r="C34" s="201" t="inlineStr">
        <x:is>
          <x:t xml:space="preserve">Сен-26</x:t>
        </x:is>
      </x:c>
      <x:c r="D34" s="201" t="n">
        <x:v>3</x:v>
      </x:c>
      <x:c r="E34" s="201" t="inlineStr">
        <x:is>
          <x:t xml:space="preserve">Ср</x:t>
        </x:is>
      </x:c>
      <x:c r="F34" s="199" t="n">
        <x:v>0</x:v>
      </x:c>
      <x:c r="G34" s="201" t="str"/>
      <x:c r="H34" s="193" t="n">
        <x:v>0</x:v>
      </x:c>
      <x:c r="I34" s="201" t="str"/>
      <x:c r="J34" s="188" t="n">
        <x:f>1</x:f>
        <x:v>1</x:v>
      </x:c>
      <x:c r="K34" s="188" t="n">
        <x:f>IF(AND(D34&lt;=5,F34=0),1,0)</x:f>
        <x:v>1</x:v>
      </x:c>
      <x:c r="L34" s="188" t="n">
        <x:f>IF(F34=1,'01_ВВОД'!$D$23,CHOOSE(D34,'01_ВВОД'!$D$19,'01_ВВОД'!$D$19,'01_ВВОД'!$D$19,'01_ВВОД'!$D$19,'01_ВВОД'!$D$20,'01_ВВОД'!$D$21,'01_ВВОД'!$D$22))</x:f>
        <x:v>32</x:v>
      </x:c>
      <x:c r="M34" s="188" t="n">
        <x:f>L34*IF(H34=1,'01_ВВОД'!$D$118,1)</x:f>
        <x:v>32</x:v>
      </x:c>
      <x:c r="N34" s="188" t="n">
        <x:f>IF(K34=1,'01_ВВОД'!$D$26,0)</x:f>
        <x:v>40</x:v>
      </x:c>
      <x:c r="O34" s="188" t="n">
        <x:f>IF(F34=1,'01_ВВОД'!$D$34,IF(D34&lt;=5,'01_ВВОД'!$D$32,'01_ВВОД'!$D$33))</x:f>
        <x:v>15</x:v>
      </x:c>
      <x:c r="P34" s="188" t="n">
        <x:f>O34</x:f>
        <x:v>15</x:v>
      </x:c>
      <x:c r="Q34" s="188" t="n">
        <x:f>'01_ВВОД'!$D$40</x:f>
        <x:v>12</x:v>
      </x:c>
      <x:c r="R34" s="188" t="n">
        <x:f>'01_ВВОД'!$D$46</x:f>
        <x:v>20</x:v>
      </x:c>
      <x:c r="S34" s="188" t="n">
        <x:f>H34</x:f>
        <x:v>0</x:v>
      </x:c>
      <x:c r="T34" s="188" t="n">
        <x:f>IF(H34=1,M34+N34+P34+Q34,0)</x:f>
        <x:v>0</x:v>
      </x:c>
      <x:c r="U34" t="n">
        <x:f>'01_ВВОД'!$D$120</x:f>
        <x:v>10</x:v>
      </x:c>
      <x:c r="V34" t="n">
        <x:f>ROUNDDOWN(SUM(M34,N34,R34,U34)*'01_ВВОД'!$D$127,0)</x:f>
        <x:v>51</x:v>
      </x:c>
      <x:c r="W34" t="n">
        <x:f>ROUNDDOWN(SUM(L34,N34,R34,U34)*'01_ВВОД'!$D$127,0)</x:f>
        <x:v>51</x:v>
      </x:c>
    </x:row>
    <x:row r="35">
      <x:c r="A35" s="200" t="n">
        <x:v>46296</x:v>
      </x:c>
      <x:c r="B35" s="201" t="n">
        <x:v>2</x:v>
      </x:c>
      <x:c r="C35" s="201" t="inlineStr">
        <x:is>
          <x:t xml:space="preserve">Окт-26</x:t>
        </x:is>
      </x:c>
      <x:c r="D35" s="201" t="n">
        <x:v>4</x:v>
      </x:c>
      <x:c r="E35" s="201" t="inlineStr">
        <x:is>
          <x:t xml:space="preserve">Чт</x:t>
        </x:is>
      </x:c>
      <x:c r="F35" s="199" t="n">
        <x:v>0</x:v>
      </x:c>
      <x:c r="G35" s="201" t="str"/>
      <x:c r="H35" s="193" t="n">
        <x:v>0</x:v>
      </x:c>
      <x:c r="I35" s="201" t="str"/>
      <x:c r="J35" s="188" t="n">
        <x:f>1</x:f>
        <x:v>1</x:v>
      </x:c>
      <x:c r="K35" s="188" t="n">
        <x:f>IF(AND(D35&lt;=5,F35=0),1,0)</x:f>
        <x:v>1</x:v>
      </x:c>
      <x:c r="L35" s="188" t="n">
        <x:f>IF(F35=1,'01_ВВОД'!$D$23,CHOOSE(D35,'01_ВВОД'!$D$19,'01_ВВОД'!$D$19,'01_ВВОД'!$D$19,'01_ВВОД'!$D$19,'01_ВВОД'!$D$20,'01_ВВОД'!$D$21,'01_ВВОД'!$D$22))</x:f>
        <x:v>32</x:v>
      </x:c>
      <x:c r="M35" s="188" t="n">
        <x:f>L35*IF(H35=1,'01_ВВОД'!$D$118,1)</x:f>
        <x:v>32</x:v>
      </x:c>
      <x:c r="N35" s="188" t="n">
        <x:f>IF(K35=1,'01_ВВОД'!$D$26,0)</x:f>
        <x:v>40</x:v>
      </x:c>
      <x:c r="O35" s="188" t="n">
        <x:f>IF(F35=1,'01_ВВОД'!$D$34,IF(D35&lt;=5,'01_ВВОД'!$D$32,'01_ВВОД'!$D$33))</x:f>
        <x:v>15</x:v>
      </x:c>
      <x:c r="P35" s="188" t="n">
        <x:f>O35</x:f>
        <x:v>15</x:v>
      </x:c>
      <x:c r="Q35" s="188" t="n">
        <x:f>'01_ВВОД'!$D$40</x:f>
        <x:v>12</x:v>
      </x:c>
      <x:c r="R35" s="188" t="n">
        <x:f>'01_ВВОД'!$D$46</x:f>
        <x:v>20</x:v>
      </x:c>
      <x:c r="S35" s="188" t="n">
        <x:f>H35</x:f>
        <x:v>0</x:v>
      </x:c>
      <x:c r="T35" s="188" t="n">
        <x:f>IF(H35=1,M35+N35+P35+Q35,0)</x:f>
        <x:v>0</x:v>
      </x:c>
      <x:c r="U35" t="n">
        <x:f>'01_ВВОД'!$D$120</x:f>
        <x:v>10</x:v>
      </x:c>
      <x:c r="V35" t="n">
        <x:f>ROUNDDOWN(SUM(M35,N35,R35,U35)*'01_ВВОД'!$D$127,0)</x:f>
        <x:v>51</x:v>
      </x:c>
      <x:c r="W35" t="n">
        <x:f>ROUNDDOWN(SUM(L35,N35,R35,U35)*'01_ВВОД'!$D$127,0)</x:f>
        <x:v>51</x:v>
      </x:c>
    </x:row>
    <x:row r="36">
      <x:c r="A36" s="200" t="n">
        <x:v>46297</x:v>
      </x:c>
      <x:c r="B36" s="201" t="n">
        <x:v>2</x:v>
      </x:c>
      <x:c r="C36" s="201" t="inlineStr">
        <x:is>
          <x:t xml:space="preserve">Окт-26</x:t>
        </x:is>
      </x:c>
      <x:c r="D36" s="201" t="n">
        <x:v>5</x:v>
      </x:c>
      <x:c r="E36" s="201" t="inlineStr">
        <x:is>
          <x:t xml:space="preserve">Пт</x:t>
        </x:is>
      </x:c>
      <x:c r="F36" s="199" t="n">
        <x:v>0</x:v>
      </x:c>
      <x:c r="G36" s="201" t="str"/>
      <x:c r="H36" s="193" t="n">
        <x:v>0</x:v>
      </x:c>
      <x:c r="I36" s="201" t="str"/>
      <x:c r="J36" s="188" t="n">
        <x:f>1</x:f>
        <x:v>1</x:v>
      </x:c>
      <x:c r="K36" s="188" t="n">
        <x:f>IF(AND(D36&lt;=5,F36=0),1,0)</x:f>
        <x:v>1</x:v>
      </x:c>
      <x:c r="L36" s="188" t="n">
        <x:f>IF(F36=1,'01_ВВОД'!$D$23,CHOOSE(D36,'01_ВВОД'!$D$19,'01_ВВОД'!$D$19,'01_ВВОД'!$D$19,'01_ВВОД'!$D$19,'01_ВВОД'!$D$20,'01_ВВОД'!$D$21,'01_ВВОД'!$D$22))</x:f>
        <x:v>45</x:v>
      </x:c>
      <x:c r="M36" s="188" t="n">
        <x:f>L36*IF(H36=1,'01_ВВОД'!$D$118,1)</x:f>
        <x:v>45</x:v>
      </x:c>
      <x:c r="N36" s="188" t="n">
        <x:f>IF(K36=1,'01_ВВОД'!$D$26,0)</x:f>
        <x:v>40</x:v>
      </x:c>
      <x:c r="O36" s="188" t="n">
        <x:f>IF(F36=1,'01_ВВОД'!$D$34,IF(D36&lt;=5,'01_ВВОД'!$D$32,'01_ВВОД'!$D$33))</x:f>
        <x:v>15</x:v>
      </x:c>
      <x:c r="P36" s="188" t="n">
        <x:f>O36</x:f>
        <x:v>15</x:v>
      </x:c>
      <x:c r="Q36" s="188" t="n">
        <x:f>'01_ВВОД'!$D$40</x:f>
        <x:v>12</x:v>
      </x:c>
      <x:c r="R36" s="188" t="n">
        <x:f>'01_ВВОД'!$D$46</x:f>
        <x:v>20</x:v>
      </x:c>
      <x:c r="S36" s="188" t="n">
        <x:f>H36</x:f>
        <x:v>0</x:v>
      </x:c>
      <x:c r="T36" s="188" t="n">
        <x:f>IF(H36=1,M36+N36+P36+Q36,0)</x:f>
        <x:v>0</x:v>
      </x:c>
      <x:c r="U36" t="n">
        <x:f>'01_ВВОД'!$D$120</x:f>
        <x:v>10</x:v>
      </x:c>
      <x:c r="V36" t="n">
        <x:f>ROUNDDOWN(SUM(M36,N36,R36,U36)*'01_ВВОД'!$D$127,0)</x:f>
        <x:v>57</x:v>
      </x:c>
      <x:c r="W36" t="n">
        <x:f>ROUNDDOWN(SUM(L36,N36,R36,U36)*'01_ВВОД'!$D$127,0)</x:f>
        <x:v>57</x:v>
      </x:c>
    </x:row>
    <x:row r="37">
      <x:c r="A37" s="200" t="n">
        <x:v>46298</x:v>
      </x:c>
      <x:c r="B37" s="201" t="n">
        <x:v>2</x:v>
      </x:c>
      <x:c r="C37" s="201" t="inlineStr">
        <x:is>
          <x:t xml:space="preserve">Окт-26</x:t>
        </x:is>
      </x:c>
      <x:c r="D37" s="201" t="n">
        <x:v>6</x:v>
      </x:c>
      <x:c r="E37" s="201" t="inlineStr">
        <x:is>
          <x:t xml:space="preserve">Сб</x:t>
        </x:is>
      </x:c>
      <x:c r="F37" s="199" t="n">
        <x:v>0</x:v>
      </x:c>
      <x:c r="G37" s="201" t="str"/>
      <x:c r="H37" s="193" t="n">
        <x:v>0</x:v>
      </x:c>
      <x:c r="I37" s="201" t="str"/>
      <x:c r="J37" s="188" t="n">
        <x:f>1</x:f>
        <x:v>1</x:v>
      </x:c>
      <x:c r="K37" s="188" t="n">
        <x:f>IF(AND(D37&lt;=5,F37=0),1,0)</x:f>
        <x:v>0</x:v>
      </x:c>
      <x:c r="L37" s="188" t="n">
        <x:f>IF(F37=1,'01_ВВОД'!$D$23,CHOOSE(D37,'01_ВВОД'!$D$19,'01_ВВОД'!$D$19,'01_ВВОД'!$D$19,'01_ВВОД'!$D$19,'01_ВВОД'!$D$20,'01_ВВОД'!$D$21,'01_ВВОД'!$D$22))</x:f>
        <x:v>80</x:v>
      </x:c>
      <x:c r="M37" s="188" t="n">
        <x:f>L37*IF(H37=1,'01_ВВОД'!$D$118,1)</x:f>
        <x:v>80</x:v>
      </x:c>
      <x:c r="N37" s="188" t="n">
        <x:f>IF(K37=1,'01_ВВОД'!$D$26,0)</x:f>
        <x:v>0</x:v>
      </x:c>
      <x:c r="O37" s="188" t="n">
        <x:f>IF(F37=1,'01_ВВОД'!$D$34,IF(D37&lt;=5,'01_ВВОД'!$D$32,'01_ВВОД'!$D$33))</x:f>
        <x:v>30</x:v>
      </x:c>
      <x:c r="P37" s="188" t="n">
        <x:f>O37</x:f>
        <x:v>30</x:v>
      </x:c>
      <x:c r="Q37" s="188" t="n">
        <x:f>'01_ВВОД'!$D$40</x:f>
        <x:v>12</x:v>
      </x:c>
      <x:c r="R37" s="188" t="n">
        <x:f>'01_ВВОД'!$D$46</x:f>
        <x:v>20</x:v>
      </x:c>
      <x:c r="S37" s="188" t="n">
        <x:f>H37</x:f>
        <x:v>0</x:v>
      </x:c>
      <x:c r="T37" s="188" t="n">
        <x:f>IF(H37=1,M37+N37+P37+Q37,0)</x:f>
        <x:v>0</x:v>
      </x:c>
      <x:c r="U37" t="n">
        <x:f>'01_ВВОД'!$D$120</x:f>
        <x:v>10</x:v>
      </x:c>
      <x:c r="V37" t="n">
        <x:f>ROUNDDOWN(SUM(M37,N37,R37,U37)*'01_ВВОД'!$D$127,0)</x:f>
        <x:v>55</x:v>
      </x:c>
      <x:c r="W37" t="n">
        <x:f>ROUNDDOWN(SUM(L37,N37,R37,U37)*'01_ВВОД'!$D$127,0)</x:f>
        <x:v>55</x:v>
      </x:c>
    </x:row>
    <x:row r="38">
      <x:c r="A38" s="200" t="n">
        <x:v>46299</x:v>
      </x:c>
      <x:c r="B38" s="201" t="n">
        <x:v>2</x:v>
      </x:c>
      <x:c r="C38" s="201" t="inlineStr">
        <x:is>
          <x:t xml:space="preserve">Окт-26</x:t>
        </x:is>
      </x:c>
      <x:c r="D38" s="201" t="n">
        <x:v>7</x:v>
      </x:c>
      <x:c r="E38" s="201" t="inlineStr">
        <x:is>
          <x:t xml:space="preserve">Вс</x:t>
        </x:is>
      </x:c>
      <x:c r="F38" s="199" t="n">
        <x:v>0</x:v>
      </x:c>
      <x:c r="G38" s="201" t="str"/>
      <x:c r="H38" s="193" t="n">
        <x:v>0</x:v>
      </x:c>
      <x:c r="I38" s="201" t="str"/>
      <x:c r="J38" s="188" t="n">
        <x:f>1</x:f>
        <x:v>1</x:v>
      </x:c>
      <x:c r="K38" s="188" t="n">
        <x:f>IF(AND(D38&lt;=5,F38=0),1,0)</x:f>
        <x:v>0</x:v>
      </x:c>
      <x:c r="L38" s="188" t="n">
        <x:f>IF(F38=1,'01_ВВОД'!$D$23,CHOOSE(D38,'01_ВВОД'!$D$19,'01_ВВОД'!$D$19,'01_ВВОД'!$D$19,'01_ВВОД'!$D$19,'01_ВВОД'!$D$20,'01_ВВОД'!$D$21,'01_ВВОД'!$D$22))</x:f>
        <x:v>70</x:v>
      </x:c>
      <x:c r="M38" s="188" t="n">
        <x:f>L38*IF(H38=1,'01_ВВОД'!$D$118,1)</x:f>
        <x:v>70</x:v>
      </x:c>
      <x:c r="N38" s="188" t="n">
        <x:f>IF(K38=1,'01_ВВОД'!$D$26,0)</x:f>
        <x:v>0</x:v>
      </x:c>
      <x:c r="O38" s="188" t="n">
        <x:f>IF(F38=1,'01_ВВОД'!$D$34,IF(D38&lt;=5,'01_ВВОД'!$D$32,'01_ВВОД'!$D$33))</x:f>
        <x:v>30</x:v>
      </x:c>
      <x:c r="P38" s="188" t="n">
        <x:f>O38</x:f>
        <x:v>30</x:v>
      </x:c>
      <x:c r="Q38" s="188" t="n">
        <x:f>'01_ВВОД'!$D$40</x:f>
        <x:v>12</x:v>
      </x:c>
      <x:c r="R38" s="188" t="n">
        <x:f>'01_ВВОД'!$D$46</x:f>
        <x:v>20</x:v>
      </x:c>
      <x:c r="S38" s="188" t="n">
        <x:f>H38</x:f>
        <x:v>0</x:v>
      </x:c>
      <x:c r="T38" s="188" t="n">
        <x:f>IF(H38=1,M38+N38+P38+Q38,0)</x:f>
        <x:v>0</x:v>
      </x:c>
      <x:c r="U38" t="n">
        <x:f>'01_ВВОД'!$D$120</x:f>
        <x:v>10</x:v>
      </x:c>
      <x:c r="V38" t="n">
        <x:f>ROUNDDOWN(SUM(M38,N38,R38,U38)*'01_ВВОД'!$D$127,0)</x:f>
        <x:v>50</x:v>
      </x:c>
      <x:c r="W38" t="n">
        <x:f>ROUNDDOWN(SUM(L38,N38,R38,U38)*'01_ВВОД'!$D$127,0)</x:f>
        <x:v>50</x:v>
      </x:c>
    </x:row>
    <x:row r="39">
      <x:c r="A39" s="200" t="n">
        <x:v>46300</x:v>
      </x:c>
      <x:c r="B39" s="201" t="n">
        <x:v>2</x:v>
      </x:c>
      <x:c r="C39" s="201" t="inlineStr">
        <x:is>
          <x:t xml:space="preserve">Окт-26</x:t>
        </x:is>
      </x:c>
      <x:c r="D39" s="201" t="n">
        <x:v>1</x:v>
      </x:c>
      <x:c r="E39" s="201" t="inlineStr">
        <x:is>
          <x:t xml:space="preserve">Пн</x:t>
        </x:is>
      </x:c>
      <x:c r="F39" s="199" t="n">
        <x:v>0</x:v>
      </x:c>
      <x:c r="G39" s="201" t="str"/>
      <x:c r="H39" s="193" t="n">
        <x:v>0</x:v>
      </x:c>
      <x:c r="I39" s="201" t="str"/>
      <x:c r="J39" s="188" t="n">
        <x:f>1</x:f>
        <x:v>1</x:v>
      </x:c>
      <x:c r="K39" s="188" t="n">
        <x:f>IF(AND(D39&lt;=5,F39=0),1,0)</x:f>
        <x:v>1</x:v>
      </x:c>
      <x:c r="L39" s="188" t="n">
        <x:f>IF(F39=1,'01_ВВОД'!$D$23,CHOOSE(D39,'01_ВВОД'!$D$19,'01_ВВОД'!$D$19,'01_ВВОД'!$D$19,'01_ВВОД'!$D$19,'01_ВВОД'!$D$20,'01_ВВОД'!$D$21,'01_ВВОД'!$D$22))</x:f>
        <x:v>32</x:v>
      </x:c>
      <x:c r="M39" s="188" t="n">
        <x:f>L39*IF(H39=1,'01_ВВОД'!$D$118,1)</x:f>
        <x:v>32</x:v>
      </x:c>
      <x:c r="N39" s="188" t="n">
        <x:f>IF(K39=1,'01_ВВОД'!$D$26,0)</x:f>
        <x:v>40</x:v>
      </x:c>
      <x:c r="O39" s="188" t="n">
        <x:f>IF(F39=1,'01_ВВОД'!$D$34,IF(D39&lt;=5,'01_ВВОД'!$D$32,'01_ВВОД'!$D$33))</x:f>
        <x:v>15</x:v>
      </x:c>
      <x:c r="P39" s="188" t="n">
        <x:f>O39</x:f>
        <x:v>15</x:v>
      </x:c>
      <x:c r="Q39" s="188" t="n">
        <x:f>'01_ВВОД'!$D$40</x:f>
        <x:v>12</x:v>
      </x:c>
      <x:c r="R39" s="188" t="n">
        <x:f>'01_ВВОД'!$D$46</x:f>
        <x:v>20</x:v>
      </x:c>
      <x:c r="S39" s="188" t="n">
        <x:f>H39</x:f>
        <x:v>0</x:v>
      </x:c>
      <x:c r="T39" s="188" t="n">
        <x:f>IF(H39=1,M39+N39+P39+Q39,0)</x:f>
        <x:v>0</x:v>
      </x:c>
      <x:c r="U39" t="n">
        <x:f>'01_ВВОД'!$D$120</x:f>
        <x:v>10</x:v>
      </x:c>
      <x:c r="V39" t="n">
        <x:f>ROUNDDOWN(SUM(M39,N39,R39,U39)*'01_ВВОД'!$D$127,0)</x:f>
        <x:v>51</x:v>
      </x:c>
      <x:c r="W39" t="n">
        <x:f>ROUNDDOWN(SUM(L39,N39,R39,U39)*'01_ВВОД'!$D$127,0)</x:f>
        <x:v>51</x:v>
      </x:c>
    </x:row>
    <x:row r="40">
      <x:c r="A40" s="200" t="n">
        <x:v>46301</x:v>
      </x:c>
      <x:c r="B40" s="201" t="n">
        <x:v>2</x:v>
      </x:c>
      <x:c r="C40" s="201" t="inlineStr">
        <x:is>
          <x:t xml:space="preserve">Окт-26</x:t>
        </x:is>
      </x:c>
      <x:c r="D40" s="201" t="n">
        <x:v>2</x:v>
      </x:c>
      <x:c r="E40" s="201" t="inlineStr">
        <x:is>
          <x:t xml:space="preserve">Вт</x:t>
        </x:is>
      </x:c>
      <x:c r="F40" s="199" t="n">
        <x:v>0</x:v>
      </x:c>
      <x:c r="G40" s="201" t="str"/>
      <x:c r="H40" s="193" t="n">
        <x:v>0</x:v>
      </x:c>
      <x:c r="I40" s="201" t="str"/>
      <x:c r="J40" s="188" t="n">
        <x:f>1</x:f>
        <x:v>1</x:v>
      </x:c>
      <x:c r="K40" s="188" t="n">
        <x:f>IF(AND(D40&lt;=5,F40=0),1,0)</x:f>
        <x:v>1</x:v>
      </x:c>
      <x:c r="L40" s="188" t="n">
        <x:f>IF(F40=1,'01_ВВОД'!$D$23,CHOOSE(D40,'01_ВВОД'!$D$19,'01_ВВОД'!$D$19,'01_ВВОД'!$D$19,'01_ВВОД'!$D$19,'01_ВВОД'!$D$20,'01_ВВОД'!$D$21,'01_ВВОД'!$D$22))</x:f>
        <x:v>32</x:v>
      </x:c>
      <x:c r="M40" s="188" t="n">
        <x:f>L40*IF(H40=1,'01_ВВОД'!$D$118,1)</x:f>
        <x:v>32</x:v>
      </x:c>
      <x:c r="N40" s="188" t="n">
        <x:f>IF(K40=1,'01_ВВОД'!$D$26,0)</x:f>
        <x:v>40</x:v>
      </x:c>
      <x:c r="O40" s="188" t="n">
        <x:f>IF(F40=1,'01_ВВОД'!$D$34,IF(D40&lt;=5,'01_ВВОД'!$D$32,'01_ВВОД'!$D$33))</x:f>
        <x:v>15</x:v>
      </x:c>
      <x:c r="P40" s="188" t="n">
        <x:f>O40</x:f>
        <x:v>15</x:v>
      </x:c>
      <x:c r="Q40" s="188" t="n">
        <x:f>'01_ВВОД'!$D$40</x:f>
        <x:v>12</x:v>
      </x:c>
      <x:c r="R40" s="188" t="n">
        <x:f>'01_ВВОД'!$D$46</x:f>
        <x:v>20</x:v>
      </x:c>
      <x:c r="S40" s="188" t="n">
        <x:f>H40</x:f>
        <x:v>0</x:v>
      </x:c>
      <x:c r="T40" s="188" t="n">
        <x:f>IF(H40=1,M40+N40+P40+Q40,0)</x:f>
        <x:v>0</x:v>
      </x:c>
      <x:c r="U40" t="n">
        <x:f>'01_ВВОД'!$D$120</x:f>
        <x:v>10</x:v>
      </x:c>
      <x:c r="V40" t="n">
        <x:f>ROUNDDOWN(SUM(M40,N40,R40,U40)*'01_ВВОД'!$D$127,0)</x:f>
        <x:v>51</x:v>
      </x:c>
      <x:c r="W40" t="n">
        <x:f>ROUNDDOWN(SUM(L40,N40,R40,U40)*'01_ВВОД'!$D$127,0)</x:f>
        <x:v>51</x:v>
      </x:c>
    </x:row>
    <x:row r="41">
      <x:c r="A41" s="200" t="n">
        <x:v>46302</x:v>
      </x:c>
      <x:c r="B41" s="201" t="n">
        <x:v>2</x:v>
      </x:c>
      <x:c r="C41" s="201" t="inlineStr">
        <x:is>
          <x:t xml:space="preserve">Окт-26</x:t>
        </x:is>
      </x:c>
      <x:c r="D41" s="201" t="n">
        <x:v>3</x:v>
      </x:c>
      <x:c r="E41" s="201" t="inlineStr">
        <x:is>
          <x:t xml:space="preserve">Ср</x:t>
        </x:is>
      </x:c>
      <x:c r="F41" s="199" t="n">
        <x:v>0</x:v>
      </x:c>
      <x:c r="G41" s="201" t="str"/>
      <x:c r="H41" s="193" t="n">
        <x:v>0</x:v>
      </x:c>
      <x:c r="I41" s="201" t="str"/>
      <x:c r="J41" s="188" t="n">
        <x:f>1</x:f>
        <x:v>1</x:v>
      </x:c>
      <x:c r="K41" s="188" t="n">
        <x:f>IF(AND(D41&lt;=5,F41=0),1,0)</x:f>
        <x:v>1</x:v>
      </x:c>
      <x:c r="L41" s="188" t="n">
        <x:f>IF(F41=1,'01_ВВОД'!$D$23,CHOOSE(D41,'01_ВВОД'!$D$19,'01_ВВОД'!$D$19,'01_ВВОД'!$D$19,'01_ВВОД'!$D$19,'01_ВВОД'!$D$20,'01_ВВОД'!$D$21,'01_ВВОД'!$D$22))</x:f>
        <x:v>32</x:v>
      </x:c>
      <x:c r="M41" s="188" t="n">
        <x:f>L41*IF(H41=1,'01_ВВОД'!$D$118,1)</x:f>
        <x:v>32</x:v>
      </x:c>
      <x:c r="N41" s="188" t="n">
        <x:f>IF(K41=1,'01_ВВОД'!$D$26,0)</x:f>
        <x:v>40</x:v>
      </x:c>
      <x:c r="O41" s="188" t="n">
        <x:f>IF(F41=1,'01_ВВОД'!$D$34,IF(D41&lt;=5,'01_ВВОД'!$D$32,'01_ВВОД'!$D$33))</x:f>
        <x:v>15</x:v>
      </x:c>
      <x:c r="P41" s="188" t="n">
        <x:f>O41</x:f>
        <x:v>15</x:v>
      </x:c>
      <x:c r="Q41" s="188" t="n">
        <x:f>'01_ВВОД'!$D$40</x:f>
        <x:v>12</x:v>
      </x:c>
      <x:c r="R41" s="188" t="n">
        <x:f>'01_ВВОД'!$D$46</x:f>
        <x:v>20</x:v>
      </x:c>
      <x:c r="S41" s="188" t="n">
        <x:f>H41</x:f>
        <x:v>0</x:v>
      </x:c>
      <x:c r="T41" s="188" t="n">
        <x:f>IF(H41=1,M41+N41+P41+Q41,0)</x:f>
        <x:v>0</x:v>
      </x:c>
      <x:c r="U41" t="n">
        <x:f>'01_ВВОД'!$D$120</x:f>
        <x:v>10</x:v>
      </x:c>
      <x:c r="V41" t="n">
        <x:f>ROUNDDOWN(SUM(M41,N41,R41,U41)*'01_ВВОД'!$D$127,0)</x:f>
        <x:v>51</x:v>
      </x:c>
      <x:c r="W41" t="n">
        <x:f>ROUNDDOWN(SUM(L41,N41,R41,U41)*'01_ВВОД'!$D$127,0)</x:f>
        <x:v>51</x:v>
      </x:c>
    </x:row>
    <x:row r="42">
      <x:c r="A42" s="200" t="n">
        <x:v>46303</x:v>
      </x:c>
      <x:c r="B42" s="201" t="n">
        <x:v>2</x:v>
      </x:c>
      <x:c r="C42" s="201" t="inlineStr">
        <x:is>
          <x:t xml:space="preserve">Окт-26</x:t>
        </x:is>
      </x:c>
      <x:c r="D42" s="201" t="n">
        <x:v>4</x:v>
      </x:c>
      <x:c r="E42" s="201" t="inlineStr">
        <x:is>
          <x:t xml:space="preserve">Чт</x:t>
        </x:is>
      </x:c>
      <x:c r="F42" s="199" t="n">
        <x:v>0</x:v>
      </x:c>
      <x:c r="G42" s="201" t="str"/>
      <x:c r="H42" s="193" t="n">
        <x:v>0</x:v>
      </x:c>
      <x:c r="I42" s="201" t="str"/>
      <x:c r="J42" s="188" t="n">
        <x:f>1</x:f>
        <x:v>1</x:v>
      </x:c>
      <x:c r="K42" s="188" t="n">
        <x:f>IF(AND(D42&lt;=5,F42=0),1,0)</x:f>
        <x:v>1</x:v>
      </x:c>
      <x:c r="L42" s="188" t="n">
        <x:f>IF(F42=1,'01_ВВОД'!$D$23,CHOOSE(D42,'01_ВВОД'!$D$19,'01_ВВОД'!$D$19,'01_ВВОД'!$D$19,'01_ВВОД'!$D$19,'01_ВВОД'!$D$20,'01_ВВОД'!$D$21,'01_ВВОД'!$D$22))</x:f>
        <x:v>32</x:v>
      </x:c>
      <x:c r="M42" s="188" t="n">
        <x:f>L42*IF(H42=1,'01_ВВОД'!$D$118,1)</x:f>
        <x:v>32</x:v>
      </x:c>
      <x:c r="N42" s="188" t="n">
        <x:f>IF(K42=1,'01_ВВОД'!$D$26,0)</x:f>
        <x:v>40</x:v>
      </x:c>
      <x:c r="O42" s="188" t="n">
        <x:f>IF(F42=1,'01_ВВОД'!$D$34,IF(D42&lt;=5,'01_ВВОД'!$D$32,'01_ВВОД'!$D$33))</x:f>
        <x:v>15</x:v>
      </x:c>
      <x:c r="P42" s="188" t="n">
        <x:f>O42</x:f>
        <x:v>15</x:v>
      </x:c>
      <x:c r="Q42" s="188" t="n">
        <x:f>'01_ВВОД'!$D$40</x:f>
        <x:v>12</x:v>
      </x:c>
      <x:c r="R42" s="188" t="n">
        <x:f>'01_ВВОД'!$D$46</x:f>
        <x:v>20</x:v>
      </x:c>
      <x:c r="S42" s="188" t="n">
        <x:f>H42</x:f>
        <x:v>0</x:v>
      </x:c>
      <x:c r="T42" s="188" t="n">
        <x:f>IF(H42=1,M42+N42+P42+Q42,0)</x:f>
        <x:v>0</x:v>
      </x:c>
      <x:c r="U42" t="n">
        <x:f>'01_ВВОД'!$D$120</x:f>
        <x:v>10</x:v>
      </x:c>
      <x:c r="V42" t="n">
        <x:f>ROUNDDOWN(SUM(M42,N42,R42,U42)*'01_ВВОД'!$D$127,0)</x:f>
        <x:v>51</x:v>
      </x:c>
      <x:c r="W42" t="n">
        <x:f>ROUNDDOWN(SUM(L42,N42,R42,U42)*'01_ВВОД'!$D$127,0)</x:f>
        <x:v>51</x:v>
      </x:c>
    </x:row>
    <x:row r="43">
      <x:c r="A43" s="200" t="n">
        <x:v>46304</x:v>
      </x:c>
      <x:c r="B43" s="201" t="n">
        <x:v>2</x:v>
      </x:c>
      <x:c r="C43" s="201" t="inlineStr">
        <x:is>
          <x:t xml:space="preserve">Окт-26</x:t>
        </x:is>
      </x:c>
      <x:c r="D43" s="201" t="n">
        <x:v>5</x:v>
      </x:c>
      <x:c r="E43" s="201" t="inlineStr">
        <x:is>
          <x:t xml:space="preserve">Пт</x:t>
        </x:is>
      </x:c>
      <x:c r="F43" s="199" t="n">
        <x:v>0</x:v>
      </x:c>
      <x:c r="G43" s="201" t="str"/>
      <x:c r="H43" s="193" t="n">
        <x:v>0</x:v>
      </x:c>
      <x:c r="I43" s="201" t="str"/>
      <x:c r="J43" s="188" t="n">
        <x:f>1</x:f>
        <x:v>1</x:v>
      </x:c>
      <x:c r="K43" s="188" t="n">
        <x:f>IF(AND(D43&lt;=5,F43=0),1,0)</x:f>
        <x:v>1</x:v>
      </x:c>
      <x:c r="L43" s="188" t="n">
        <x:f>IF(F43=1,'01_ВВОД'!$D$23,CHOOSE(D43,'01_ВВОД'!$D$19,'01_ВВОД'!$D$19,'01_ВВОД'!$D$19,'01_ВВОД'!$D$19,'01_ВВОД'!$D$20,'01_ВВОД'!$D$21,'01_ВВОД'!$D$22))</x:f>
        <x:v>45</x:v>
      </x:c>
      <x:c r="M43" s="188" t="n">
        <x:f>L43*IF(H43=1,'01_ВВОД'!$D$118,1)</x:f>
        <x:v>45</x:v>
      </x:c>
      <x:c r="N43" s="188" t="n">
        <x:f>IF(K43=1,'01_ВВОД'!$D$26,0)</x:f>
        <x:v>40</x:v>
      </x:c>
      <x:c r="O43" s="188" t="n">
        <x:f>IF(F43=1,'01_ВВОД'!$D$34,IF(D43&lt;=5,'01_ВВОД'!$D$32,'01_ВВОД'!$D$33))</x:f>
        <x:v>15</x:v>
      </x:c>
      <x:c r="P43" s="188" t="n">
        <x:f>O43</x:f>
        <x:v>15</x:v>
      </x:c>
      <x:c r="Q43" s="188" t="n">
        <x:f>'01_ВВОД'!$D$40</x:f>
        <x:v>12</x:v>
      </x:c>
      <x:c r="R43" s="188" t="n">
        <x:f>'01_ВВОД'!$D$46</x:f>
        <x:v>20</x:v>
      </x:c>
      <x:c r="S43" s="188" t="n">
        <x:f>H43</x:f>
        <x:v>0</x:v>
      </x:c>
      <x:c r="T43" s="188" t="n">
        <x:f>IF(H43=1,M43+N43+P43+Q43,0)</x:f>
        <x:v>0</x:v>
      </x:c>
      <x:c r="U43" t="n">
        <x:f>'01_ВВОД'!$D$120</x:f>
        <x:v>10</x:v>
      </x:c>
      <x:c r="V43" t="n">
        <x:f>ROUNDDOWN(SUM(M43,N43,R43,U43)*'01_ВВОД'!$D$127,0)</x:f>
        <x:v>57</x:v>
      </x:c>
      <x:c r="W43" t="n">
        <x:f>ROUNDDOWN(SUM(L43,N43,R43,U43)*'01_ВВОД'!$D$127,0)</x:f>
        <x:v>57</x:v>
      </x:c>
    </x:row>
    <x:row r="44">
      <x:c r="A44" s="200" t="n">
        <x:v>46305</x:v>
      </x:c>
      <x:c r="B44" s="201" t="n">
        <x:v>2</x:v>
      </x:c>
      <x:c r="C44" s="201" t="inlineStr">
        <x:is>
          <x:t xml:space="preserve">Окт-26</x:t>
        </x:is>
      </x:c>
      <x:c r="D44" s="201" t="n">
        <x:v>6</x:v>
      </x:c>
      <x:c r="E44" s="201" t="inlineStr">
        <x:is>
          <x:t xml:space="preserve">Сб</x:t>
        </x:is>
      </x:c>
      <x:c r="F44" s="199" t="n">
        <x:v>0</x:v>
      </x:c>
      <x:c r="G44" s="201" t="str"/>
      <x:c r="H44" s="193" t="n">
        <x:v>0</x:v>
      </x:c>
      <x:c r="I44" s="201" t="str"/>
      <x:c r="J44" s="188" t="n">
        <x:f>1</x:f>
        <x:v>1</x:v>
      </x:c>
      <x:c r="K44" s="188" t="n">
        <x:f>IF(AND(D44&lt;=5,F44=0),1,0)</x:f>
        <x:v>0</x:v>
      </x:c>
      <x:c r="L44" s="188" t="n">
        <x:f>IF(F44=1,'01_ВВОД'!$D$23,CHOOSE(D44,'01_ВВОД'!$D$19,'01_ВВОД'!$D$19,'01_ВВОД'!$D$19,'01_ВВОД'!$D$19,'01_ВВОД'!$D$20,'01_ВВОД'!$D$21,'01_ВВОД'!$D$22))</x:f>
        <x:v>80</x:v>
      </x:c>
      <x:c r="M44" s="188" t="n">
        <x:f>L44*IF(H44=1,'01_ВВОД'!$D$118,1)</x:f>
        <x:v>80</x:v>
      </x:c>
      <x:c r="N44" s="188" t="n">
        <x:f>IF(K44=1,'01_ВВОД'!$D$26,0)</x:f>
        <x:v>0</x:v>
      </x:c>
      <x:c r="O44" s="188" t="n">
        <x:f>IF(F44=1,'01_ВВОД'!$D$34,IF(D44&lt;=5,'01_ВВОД'!$D$32,'01_ВВОД'!$D$33))</x:f>
        <x:v>30</x:v>
      </x:c>
      <x:c r="P44" s="188" t="n">
        <x:f>O44</x:f>
        <x:v>30</x:v>
      </x:c>
      <x:c r="Q44" s="188" t="n">
        <x:f>'01_ВВОД'!$D$40</x:f>
        <x:v>12</x:v>
      </x:c>
      <x:c r="R44" s="188" t="n">
        <x:f>'01_ВВОД'!$D$46</x:f>
        <x:v>20</x:v>
      </x:c>
      <x:c r="S44" s="188" t="n">
        <x:f>H44</x:f>
        <x:v>0</x:v>
      </x:c>
      <x:c r="T44" s="188" t="n">
        <x:f>IF(H44=1,M44+N44+P44+Q44,0)</x:f>
        <x:v>0</x:v>
      </x:c>
      <x:c r="U44" t="n">
        <x:f>'01_ВВОД'!$D$120</x:f>
        <x:v>10</x:v>
      </x:c>
      <x:c r="V44" t="n">
        <x:f>ROUNDDOWN(SUM(M44,N44,R44,U44)*'01_ВВОД'!$D$127,0)</x:f>
        <x:v>55</x:v>
      </x:c>
      <x:c r="W44" t="n">
        <x:f>ROUNDDOWN(SUM(L44,N44,R44,U44)*'01_ВВОД'!$D$127,0)</x:f>
        <x:v>55</x:v>
      </x:c>
    </x:row>
    <x:row r="45">
      <x:c r="A45" s="200" t="n">
        <x:v>46306</x:v>
      </x:c>
      <x:c r="B45" s="201" t="n">
        <x:v>2</x:v>
      </x:c>
      <x:c r="C45" s="201" t="inlineStr">
        <x:is>
          <x:t xml:space="preserve">Окт-26</x:t>
        </x:is>
      </x:c>
      <x:c r="D45" s="201" t="n">
        <x:v>7</x:v>
      </x:c>
      <x:c r="E45" s="201" t="inlineStr">
        <x:is>
          <x:t xml:space="preserve">Вс</x:t>
        </x:is>
      </x:c>
      <x:c r="F45" s="199" t="n">
        <x:v>0</x:v>
      </x:c>
      <x:c r="G45" s="201" t="str"/>
      <x:c r="H45" s="193" t="n">
        <x:v>0</x:v>
      </x:c>
      <x:c r="I45" s="201" t="str"/>
      <x:c r="J45" s="188" t="n">
        <x:f>1</x:f>
        <x:v>1</x:v>
      </x:c>
      <x:c r="K45" s="188" t="n">
        <x:f>IF(AND(D45&lt;=5,F45=0),1,0)</x:f>
        <x:v>0</x:v>
      </x:c>
      <x:c r="L45" s="188" t="n">
        <x:f>IF(F45=1,'01_ВВОД'!$D$23,CHOOSE(D45,'01_ВВОД'!$D$19,'01_ВВОД'!$D$19,'01_ВВОД'!$D$19,'01_ВВОД'!$D$19,'01_ВВОД'!$D$20,'01_ВВОД'!$D$21,'01_ВВОД'!$D$22))</x:f>
        <x:v>70</x:v>
      </x:c>
      <x:c r="M45" s="188" t="n">
        <x:f>L45*IF(H45=1,'01_ВВОД'!$D$118,1)</x:f>
        <x:v>70</x:v>
      </x:c>
      <x:c r="N45" s="188" t="n">
        <x:f>IF(K45=1,'01_ВВОД'!$D$26,0)</x:f>
        <x:v>0</x:v>
      </x:c>
      <x:c r="O45" s="188" t="n">
        <x:f>IF(F45=1,'01_ВВОД'!$D$34,IF(D45&lt;=5,'01_ВВОД'!$D$32,'01_ВВОД'!$D$33))</x:f>
        <x:v>30</x:v>
      </x:c>
      <x:c r="P45" s="188" t="n">
        <x:f>O45</x:f>
        <x:v>30</x:v>
      </x:c>
      <x:c r="Q45" s="188" t="n">
        <x:f>'01_ВВОД'!$D$40</x:f>
        <x:v>12</x:v>
      </x:c>
      <x:c r="R45" s="188" t="n">
        <x:f>'01_ВВОД'!$D$46</x:f>
        <x:v>20</x:v>
      </x:c>
      <x:c r="S45" s="188" t="n">
        <x:f>H45</x:f>
        <x:v>0</x:v>
      </x:c>
      <x:c r="T45" s="188" t="n">
        <x:f>IF(H45=1,M45+N45+P45+Q45,0)</x:f>
        <x:v>0</x:v>
      </x:c>
      <x:c r="U45" t="n">
        <x:f>'01_ВВОД'!$D$120</x:f>
        <x:v>10</x:v>
      </x:c>
      <x:c r="V45" t="n">
        <x:f>ROUNDDOWN(SUM(M45,N45,R45,U45)*'01_ВВОД'!$D$127,0)</x:f>
        <x:v>50</x:v>
      </x:c>
      <x:c r="W45" t="n">
        <x:f>ROUNDDOWN(SUM(L45,N45,R45,U45)*'01_ВВОД'!$D$127,0)</x:f>
        <x:v>50</x:v>
      </x:c>
    </x:row>
    <x:row r="46">
      <x:c r="A46" s="200" t="n">
        <x:v>46307</x:v>
      </x:c>
      <x:c r="B46" s="201" t="n">
        <x:v>2</x:v>
      </x:c>
      <x:c r="C46" s="201" t="inlineStr">
        <x:is>
          <x:t xml:space="preserve">Окт-26</x:t>
        </x:is>
      </x:c>
      <x:c r="D46" s="201" t="n">
        <x:v>1</x:v>
      </x:c>
      <x:c r="E46" s="201" t="inlineStr">
        <x:is>
          <x:t xml:space="preserve">Пн</x:t>
        </x:is>
      </x:c>
      <x:c r="F46" s="199" t="n">
        <x:v>0</x:v>
      </x:c>
      <x:c r="G46" s="201" t="str"/>
      <x:c r="H46" s="193" t="n">
        <x:v>0</x:v>
      </x:c>
      <x:c r="I46" s="201" t="str"/>
      <x:c r="J46" s="188" t="n">
        <x:f>1</x:f>
        <x:v>1</x:v>
      </x:c>
      <x:c r="K46" s="188" t="n">
        <x:f>IF(AND(D46&lt;=5,F46=0),1,0)</x:f>
        <x:v>1</x:v>
      </x:c>
      <x:c r="L46" s="188" t="n">
        <x:f>IF(F46=1,'01_ВВОД'!$D$23,CHOOSE(D46,'01_ВВОД'!$D$19,'01_ВВОД'!$D$19,'01_ВВОД'!$D$19,'01_ВВОД'!$D$19,'01_ВВОД'!$D$20,'01_ВВОД'!$D$21,'01_ВВОД'!$D$22))</x:f>
        <x:v>32</x:v>
      </x:c>
      <x:c r="M46" s="188" t="n">
        <x:f>L46*IF(H46=1,'01_ВВОД'!$D$118,1)</x:f>
        <x:v>32</x:v>
      </x:c>
      <x:c r="N46" s="188" t="n">
        <x:f>IF(K46=1,'01_ВВОД'!$D$26,0)</x:f>
        <x:v>40</x:v>
      </x:c>
      <x:c r="O46" s="188" t="n">
        <x:f>IF(F46=1,'01_ВВОД'!$D$34,IF(D46&lt;=5,'01_ВВОД'!$D$32,'01_ВВОД'!$D$33))</x:f>
        <x:v>15</x:v>
      </x:c>
      <x:c r="P46" s="188" t="n">
        <x:f>O46</x:f>
        <x:v>15</x:v>
      </x:c>
      <x:c r="Q46" s="188" t="n">
        <x:f>'01_ВВОД'!$D$40</x:f>
        <x:v>12</x:v>
      </x:c>
      <x:c r="R46" s="188" t="n">
        <x:f>'01_ВВОД'!$D$46</x:f>
        <x:v>20</x:v>
      </x:c>
      <x:c r="S46" s="188" t="n">
        <x:f>H46</x:f>
        <x:v>0</x:v>
      </x:c>
      <x:c r="T46" s="188" t="n">
        <x:f>IF(H46=1,M46+N46+P46+Q46,0)</x:f>
        <x:v>0</x:v>
      </x:c>
      <x:c r="U46" t="n">
        <x:f>'01_ВВОД'!$D$120</x:f>
        <x:v>10</x:v>
      </x:c>
      <x:c r="V46" t="n">
        <x:f>ROUNDDOWN(SUM(M46,N46,R46,U46)*'01_ВВОД'!$D$127,0)</x:f>
        <x:v>51</x:v>
      </x:c>
      <x:c r="W46" t="n">
        <x:f>ROUNDDOWN(SUM(L46,N46,R46,U46)*'01_ВВОД'!$D$127,0)</x:f>
        <x:v>51</x:v>
      </x:c>
    </x:row>
    <x:row r="47">
      <x:c r="A47" s="200" t="n">
        <x:v>46308</x:v>
      </x:c>
      <x:c r="B47" s="201" t="n">
        <x:v>2</x:v>
      </x:c>
      <x:c r="C47" s="201" t="inlineStr">
        <x:is>
          <x:t xml:space="preserve">Окт-26</x:t>
        </x:is>
      </x:c>
      <x:c r="D47" s="201" t="n">
        <x:v>2</x:v>
      </x:c>
      <x:c r="E47" s="201" t="inlineStr">
        <x:is>
          <x:t xml:space="preserve">Вт</x:t>
        </x:is>
      </x:c>
      <x:c r="F47" s="199" t="n">
        <x:v>0</x:v>
      </x:c>
      <x:c r="G47" s="201" t="str"/>
      <x:c r="H47" s="193" t="n">
        <x:v>0</x:v>
      </x:c>
      <x:c r="I47" s="201" t="str"/>
      <x:c r="J47" s="188" t="n">
        <x:f>1</x:f>
        <x:v>1</x:v>
      </x:c>
      <x:c r="K47" s="188" t="n">
        <x:f>IF(AND(D47&lt;=5,F47=0),1,0)</x:f>
        <x:v>1</x:v>
      </x:c>
      <x:c r="L47" s="188" t="n">
        <x:f>IF(F47=1,'01_ВВОД'!$D$23,CHOOSE(D47,'01_ВВОД'!$D$19,'01_ВВОД'!$D$19,'01_ВВОД'!$D$19,'01_ВВОД'!$D$19,'01_ВВОД'!$D$20,'01_ВВОД'!$D$21,'01_ВВОД'!$D$22))</x:f>
        <x:v>32</x:v>
      </x:c>
      <x:c r="M47" s="188" t="n">
        <x:f>L47*IF(H47=1,'01_ВВОД'!$D$118,1)</x:f>
        <x:v>32</x:v>
      </x:c>
      <x:c r="N47" s="188" t="n">
        <x:f>IF(K47=1,'01_ВВОД'!$D$26,0)</x:f>
        <x:v>40</x:v>
      </x:c>
      <x:c r="O47" s="188" t="n">
        <x:f>IF(F47=1,'01_ВВОД'!$D$34,IF(D47&lt;=5,'01_ВВОД'!$D$32,'01_ВВОД'!$D$33))</x:f>
        <x:v>15</x:v>
      </x:c>
      <x:c r="P47" s="188" t="n">
        <x:f>O47</x:f>
        <x:v>15</x:v>
      </x:c>
      <x:c r="Q47" s="188" t="n">
        <x:f>'01_ВВОД'!$D$40</x:f>
        <x:v>12</x:v>
      </x:c>
      <x:c r="R47" s="188" t="n">
        <x:f>'01_ВВОД'!$D$46</x:f>
        <x:v>20</x:v>
      </x:c>
      <x:c r="S47" s="188" t="n">
        <x:f>H47</x:f>
        <x:v>0</x:v>
      </x:c>
      <x:c r="T47" s="188" t="n">
        <x:f>IF(H47=1,M47+N47+P47+Q47,0)</x:f>
        <x:v>0</x:v>
      </x:c>
      <x:c r="U47" t="n">
        <x:f>'01_ВВОД'!$D$120</x:f>
        <x:v>10</x:v>
      </x:c>
      <x:c r="V47" t="n">
        <x:f>ROUNDDOWN(SUM(M47,N47,R47,U47)*'01_ВВОД'!$D$127,0)</x:f>
        <x:v>51</x:v>
      </x:c>
      <x:c r="W47" t="n">
        <x:f>ROUNDDOWN(SUM(L47,N47,R47,U47)*'01_ВВОД'!$D$127,0)</x:f>
        <x:v>51</x:v>
      </x:c>
    </x:row>
    <x:row r="48">
      <x:c r="A48" s="200" t="n">
        <x:v>46309</x:v>
      </x:c>
      <x:c r="B48" s="201" t="n">
        <x:v>2</x:v>
      </x:c>
      <x:c r="C48" s="201" t="inlineStr">
        <x:is>
          <x:t xml:space="preserve">Окт-26</x:t>
        </x:is>
      </x:c>
      <x:c r="D48" s="201" t="n">
        <x:v>3</x:v>
      </x:c>
      <x:c r="E48" s="201" t="inlineStr">
        <x:is>
          <x:t xml:space="preserve">Ср</x:t>
        </x:is>
      </x:c>
      <x:c r="F48" s="199" t="n">
        <x:v>0</x:v>
      </x:c>
      <x:c r="G48" s="201" t="str"/>
      <x:c r="H48" s="193" t="n">
        <x:v>0</x:v>
      </x:c>
      <x:c r="I48" s="201" t="str"/>
      <x:c r="J48" s="188" t="n">
        <x:f>1</x:f>
        <x:v>1</x:v>
      </x:c>
      <x:c r="K48" s="188" t="n">
        <x:f>IF(AND(D48&lt;=5,F48=0),1,0)</x:f>
        <x:v>1</x:v>
      </x:c>
      <x:c r="L48" s="188" t="n">
        <x:f>IF(F48=1,'01_ВВОД'!$D$23,CHOOSE(D48,'01_ВВОД'!$D$19,'01_ВВОД'!$D$19,'01_ВВОД'!$D$19,'01_ВВОД'!$D$19,'01_ВВОД'!$D$20,'01_ВВОД'!$D$21,'01_ВВОД'!$D$22))</x:f>
        <x:v>32</x:v>
      </x:c>
      <x:c r="M48" s="188" t="n">
        <x:f>L48*IF(H48=1,'01_ВВОД'!$D$118,1)</x:f>
        <x:v>32</x:v>
      </x:c>
      <x:c r="N48" s="188" t="n">
        <x:f>IF(K48=1,'01_ВВОД'!$D$26,0)</x:f>
        <x:v>40</x:v>
      </x:c>
      <x:c r="O48" s="188" t="n">
        <x:f>IF(F48=1,'01_ВВОД'!$D$34,IF(D48&lt;=5,'01_ВВОД'!$D$32,'01_ВВОД'!$D$33))</x:f>
        <x:v>15</x:v>
      </x:c>
      <x:c r="P48" s="188" t="n">
        <x:f>O48</x:f>
        <x:v>15</x:v>
      </x:c>
      <x:c r="Q48" s="188" t="n">
        <x:f>'01_ВВОД'!$D$40</x:f>
        <x:v>12</x:v>
      </x:c>
      <x:c r="R48" s="188" t="n">
        <x:f>'01_ВВОД'!$D$46</x:f>
        <x:v>20</x:v>
      </x:c>
      <x:c r="S48" s="188" t="n">
        <x:f>H48</x:f>
        <x:v>0</x:v>
      </x:c>
      <x:c r="T48" s="188" t="n">
        <x:f>IF(H48=1,M48+N48+P48+Q48,0)</x:f>
        <x:v>0</x:v>
      </x:c>
      <x:c r="U48" t="n">
        <x:f>'01_ВВОД'!$D$120</x:f>
        <x:v>10</x:v>
      </x:c>
      <x:c r="V48" t="n">
        <x:f>ROUNDDOWN(SUM(M48,N48,R48,U48)*'01_ВВОД'!$D$127,0)</x:f>
        <x:v>51</x:v>
      </x:c>
      <x:c r="W48" t="n">
        <x:f>ROUNDDOWN(SUM(L48,N48,R48,U48)*'01_ВВОД'!$D$127,0)</x:f>
        <x:v>51</x:v>
      </x:c>
    </x:row>
    <x:row r="49">
      <x:c r="A49" s="200" t="n">
        <x:v>46310</x:v>
      </x:c>
      <x:c r="B49" s="201" t="n">
        <x:v>2</x:v>
      </x:c>
      <x:c r="C49" s="201" t="inlineStr">
        <x:is>
          <x:t xml:space="preserve">Окт-26</x:t>
        </x:is>
      </x:c>
      <x:c r="D49" s="201" t="n">
        <x:v>4</x:v>
      </x:c>
      <x:c r="E49" s="201" t="inlineStr">
        <x:is>
          <x:t xml:space="preserve">Чт</x:t>
        </x:is>
      </x:c>
      <x:c r="F49" s="199" t="n">
        <x:v>0</x:v>
      </x:c>
      <x:c r="G49" s="201" t="str"/>
      <x:c r="H49" s="193" t="n">
        <x:v>0</x:v>
      </x:c>
      <x:c r="I49" s="201" t="str"/>
      <x:c r="J49" s="188" t="n">
        <x:f>1</x:f>
        <x:v>1</x:v>
      </x:c>
      <x:c r="K49" s="188" t="n">
        <x:f>IF(AND(D49&lt;=5,F49=0),1,0)</x:f>
        <x:v>1</x:v>
      </x:c>
      <x:c r="L49" s="188" t="n">
        <x:f>IF(F49=1,'01_ВВОД'!$D$23,CHOOSE(D49,'01_ВВОД'!$D$19,'01_ВВОД'!$D$19,'01_ВВОД'!$D$19,'01_ВВОД'!$D$19,'01_ВВОД'!$D$20,'01_ВВОД'!$D$21,'01_ВВОД'!$D$22))</x:f>
        <x:v>32</x:v>
      </x:c>
      <x:c r="M49" s="188" t="n">
        <x:f>L49*IF(H49=1,'01_ВВОД'!$D$118,1)</x:f>
        <x:v>32</x:v>
      </x:c>
      <x:c r="N49" s="188" t="n">
        <x:f>IF(K49=1,'01_ВВОД'!$D$26,0)</x:f>
        <x:v>40</x:v>
      </x:c>
      <x:c r="O49" s="188" t="n">
        <x:f>IF(F49=1,'01_ВВОД'!$D$34,IF(D49&lt;=5,'01_ВВОД'!$D$32,'01_ВВОД'!$D$33))</x:f>
        <x:v>15</x:v>
      </x:c>
      <x:c r="P49" s="188" t="n">
        <x:f>O49</x:f>
        <x:v>15</x:v>
      </x:c>
      <x:c r="Q49" s="188" t="n">
        <x:f>'01_ВВОД'!$D$40</x:f>
        <x:v>12</x:v>
      </x:c>
      <x:c r="R49" s="188" t="n">
        <x:f>'01_ВВОД'!$D$46</x:f>
        <x:v>20</x:v>
      </x:c>
      <x:c r="S49" s="188" t="n">
        <x:f>H49</x:f>
        <x:v>0</x:v>
      </x:c>
      <x:c r="T49" s="188" t="n">
        <x:f>IF(H49=1,M49+N49+P49+Q49,0)</x:f>
        <x:v>0</x:v>
      </x:c>
      <x:c r="U49" t="n">
        <x:f>'01_ВВОД'!$D$120</x:f>
        <x:v>10</x:v>
      </x:c>
      <x:c r="V49" t="n">
        <x:f>ROUNDDOWN(SUM(M49,N49,R49,U49)*'01_ВВОД'!$D$127,0)</x:f>
        <x:v>51</x:v>
      </x:c>
      <x:c r="W49" t="n">
        <x:f>ROUNDDOWN(SUM(L49,N49,R49,U49)*'01_ВВОД'!$D$127,0)</x:f>
        <x:v>51</x:v>
      </x:c>
    </x:row>
    <x:row r="50">
      <x:c r="A50" s="200" t="n">
        <x:v>46311</x:v>
      </x:c>
      <x:c r="B50" s="201" t="n">
        <x:v>2</x:v>
      </x:c>
      <x:c r="C50" s="201" t="inlineStr">
        <x:is>
          <x:t xml:space="preserve">Окт-26</x:t>
        </x:is>
      </x:c>
      <x:c r="D50" s="201" t="n">
        <x:v>5</x:v>
      </x:c>
      <x:c r="E50" s="201" t="inlineStr">
        <x:is>
          <x:t xml:space="preserve">Пт</x:t>
        </x:is>
      </x:c>
      <x:c r="F50" s="199" t="n">
        <x:v>0</x:v>
      </x:c>
      <x:c r="G50" s="201" t="str"/>
      <x:c r="H50" s="193" t="n">
        <x:v>0</x:v>
      </x:c>
      <x:c r="I50" s="201" t="str"/>
      <x:c r="J50" s="188" t="n">
        <x:f>1</x:f>
        <x:v>1</x:v>
      </x:c>
      <x:c r="K50" s="188" t="n">
        <x:f>IF(AND(D50&lt;=5,F50=0),1,0)</x:f>
        <x:v>1</x:v>
      </x:c>
      <x:c r="L50" s="188" t="n">
        <x:f>IF(F50=1,'01_ВВОД'!$D$23,CHOOSE(D50,'01_ВВОД'!$D$19,'01_ВВОД'!$D$19,'01_ВВОД'!$D$19,'01_ВВОД'!$D$19,'01_ВВОД'!$D$20,'01_ВВОД'!$D$21,'01_ВВОД'!$D$22))</x:f>
        <x:v>45</x:v>
      </x:c>
      <x:c r="M50" s="188" t="n">
        <x:f>L50*IF(H50=1,'01_ВВОД'!$D$118,1)</x:f>
        <x:v>45</x:v>
      </x:c>
      <x:c r="N50" s="188" t="n">
        <x:f>IF(K50=1,'01_ВВОД'!$D$26,0)</x:f>
        <x:v>40</x:v>
      </x:c>
      <x:c r="O50" s="188" t="n">
        <x:f>IF(F50=1,'01_ВВОД'!$D$34,IF(D50&lt;=5,'01_ВВОД'!$D$32,'01_ВВОД'!$D$33))</x:f>
        <x:v>15</x:v>
      </x:c>
      <x:c r="P50" s="188" t="n">
        <x:f>O50</x:f>
        <x:v>15</x:v>
      </x:c>
      <x:c r="Q50" s="188" t="n">
        <x:f>'01_ВВОД'!$D$40</x:f>
        <x:v>12</x:v>
      </x:c>
      <x:c r="R50" s="188" t="n">
        <x:f>'01_ВВОД'!$D$46</x:f>
        <x:v>20</x:v>
      </x:c>
      <x:c r="S50" s="188" t="n">
        <x:f>H50</x:f>
        <x:v>0</x:v>
      </x:c>
      <x:c r="T50" s="188" t="n">
        <x:f>IF(H50=1,M50+N50+P50+Q50,0)</x:f>
        <x:v>0</x:v>
      </x:c>
      <x:c r="U50" t="n">
        <x:f>'01_ВВОД'!$D$120</x:f>
        <x:v>10</x:v>
      </x:c>
      <x:c r="V50" t="n">
        <x:f>ROUNDDOWN(SUM(M50,N50,R50,U50)*'01_ВВОД'!$D$127,0)</x:f>
        <x:v>57</x:v>
      </x:c>
      <x:c r="W50" t="n">
        <x:f>ROUNDDOWN(SUM(L50,N50,R50,U50)*'01_ВВОД'!$D$127,0)</x:f>
        <x:v>57</x:v>
      </x:c>
    </x:row>
    <x:row r="51">
      <x:c r="A51" s="200" t="n">
        <x:v>46312</x:v>
      </x:c>
      <x:c r="B51" s="201" t="n">
        <x:v>2</x:v>
      </x:c>
      <x:c r="C51" s="201" t="inlineStr">
        <x:is>
          <x:t xml:space="preserve">Окт-26</x:t>
        </x:is>
      </x:c>
      <x:c r="D51" s="201" t="n">
        <x:v>6</x:v>
      </x:c>
      <x:c r="E51" s="201" t="inlineStr">
        <x:is>
          <x:t xml:space="preserve">Сб</x:t>
        </x:is>
      </x:c>
      <x:c r="F51" s="199" t="n">
        <x:v>0</x:v>
      </x:c>
      <x:c r="G51" s="201" t="str"/>
      <x:c r="H51" s="193" t="n">
        <x:v>0</x:v>
      </x:c>
      <x:c r="I51" s="201" t="str"/>
      <x:c r="J51" s="188" t="n">
        <x:f>1</x:f>
        <x:v>1</x:v>
      </x:c>
      <x:c r="K51" s="188" t="n">
        <x:f>IF(AND(D51&lt;=5,F51=0),1,0)</x:f>
        <x:v>0</x:v>
      </x:c>
      <x:c r="L51" s="188" t="n">
        <x:f>IF(F51=1,'01_ВВОД'!$D$23,CHOOSE(D51,'01_ВВОД'!$D$19,'01_ВВОД'!$D$19,'01_ВВОД'!$D$19,'01_ВВОД'!$D$19,'01_ВВОД'!$D$20,'01_ВВОД'!$D$21,'01_ВВОД'!$D$22))</x:f>
        <x:v>80</x:v>
      </x:c>
      <x:c r="M51" s="188" t="n">
        <x:f>L51*IF(H51=1,'01_ВВОД'!$D$118,1)</x:f>
        <x:v>80</x:v>
      </x:c>
      <x:c r="N51" s="188" t="n">
        <x:f>IF(K51=1,'01_ВВОД'!$D$26,0)</x:f>
        <x:v>0</x:v>
      </x:c>
      <x:c r="O51" s="188" t="n">
        <x:f>IF(F51=1,'01_ВВОД'!$D$34,IF(D51&lt;=5,'01_ВВОД'!$D$32,'01_ВВОД'!$D$33))</x:f>
        <x:v>30</x:v>
      </x:c>
      <x:c r="P51" s="188" t="n">
        <x:f>O51</x:f>
        <x:v>30</x:v>
      </x:c>
      <x:c r="Q51" s="188" t="n">
        <x:f>'01_ВВОД'!$D$40</x:f>
        <x:v>12</x:v>
      </x:c>
      <x:c r="R51" s="188" t="n">
        <x:f>'01_ВВОД'!$D$46</x:f>
        <x:v>20</x:v>
      </x:c>
      <x:c r="S51" s="188" t="n">
        <x:f>H51</x:f>
        <x:v>0</x:v>
      </x:c>
      <x:c r="T51" s="188" t="n">
        <x:f>IF(H51=1,M51+N51+P51+Q51,0)</x:f>
        <x:v>0</x:v>
      </x:c>
      <x:c r="U51" t="n">
        <x:f>'01_ВВОД'!$D$120</x:f>
        <x:v>10</x:v>
      </x:c>
      <x:c r="V51" t="n">
        <x:f>ROUNDDOWN(SUM(M51,N51,R51,U51)*'01_ВВОД'!$D$127,0)</x:f>
        <x:v>55</x:v>
      </x:c>
      <x:c r="W51" t="n">
        <x:f>ROUNDDOWN(SUM(L51,N51,R51,U51)*'01_ВВОД'!$D$127,0)</x:f>
        <x:v>55</x:v>
      </x:c>
    </x:row>
    <x:row r="52">
      <x:c r="A52" s="200" t="n">
        <x:v>46313</x:v>
      </x:c>
      <x:c r="B52" s="201" t="n">
        <x:v>2</x:v>
      </x:c>
      <x:c r="C52" s="201" t="inlineStr">
        <x:is>
          <x:t xml:space="preserve">Окт-26</x:t>
        </x:is>
      </x:c>
      <x:c r="D52" s="201" t="n">
        <x:v>7</x:v>
      </x:c>
      <x:c r="E52" s="201" t="inlineStr">
        <x:is>
          <x:t xml:space="preserve">Вс</x:t>
        </x:is>
      </x:c>
      <x:c r="F52" s="199" t="n">
        <x:v>0</x:v>
      </x:c>
      <x:c r="G52" s="201" t="str"/>
      <x:c r="H52" s="193" t="n">
        <x:v>0</x:v>
      </x:c>
      <x:c r="I52" s="201" t="str"/>
      <x:c r="J52" s="188" t="n">
        <x:f>1</x:f>
        <x:v>1</x:v>
      </x:c>
      <x:c r="K52" s="188" t="n">
        <x:f>IF(AND(D52&lt;=5,F52=0),1,0)</x:f>
        <x:v>0</x:v>
      </x:c>
      <x:c r="L52" s="188" t="n">
        <x:f>IF(F52=1,'01_ВВОД'!$D$23,CHOOSE(D52,'01_ВВОД'!$D$19,'01_ВВОД'!$D$19,'01_ВВОД'!$D$19,'01_ВВОД'!$D$19,'01_ВВОД'!$D$20,'01_ВВОД'!$D$21,'01_ВВОД'!$D$22))</x:f>
        <x:v>70</x:v>
      </x:c>
      <x:c r="M52" s="188" t="n">
        <x:f>L52*IF(H52=1,'01_ВВОД'!$D$118,1)</x:f>
        <x:v>70</x:v>
      </x:c>
      <x:c r="N52" s="188" t="n">
        <x:f>IF(K52=1,'01_ВВОД'!$D$26,0)</x:f>
        <x:v>0</x:v>
      </x:c>
      <x:c r="O52" s="188" t="n">
        <x:f>IF(F52=1,'01_ВВОД'!$D$34,IF(D52&lt;=5,'01_ВВОД'!$D$32,'01_ВВОД'!$D$33))</x:f>
        <x:v>30</x:v>
      </x:c>
      <x:c r="P52" s="188" t="n">
        <x:f>O52</x:f>
        <x:v>30</x:v>
      </x:c>
      <x:c r="Q52" s="188" t="n">
        <x:f>'01_ВВОД'!$D$40</x:f>
        <x:v>12</x:v>
      </x:c>
      <x:c r="R52" s="188" t="n">
        <x:f>'01_ВВОД'!$D$46</x:f>
        <x:v>20</x:v>
      </x:c>
      <x:c r="S52" s="188" t="n">
        <x:f>H52</x:f>
        <x:v>0</x:v>
      </x:c>
      <x:c r="T52" s="188" t="n">
        <x:f>IF(H52=1,M52+N52+P52+Q52,0)</x:f>
        <x:v>0</x:v>
      </x:c>
      <x:c r="U52" t="n">
        <x:f>'01_ВВОД'!$D$120</x:f>
        <x:v>10</x:v>
      </x:c>
      <x:c r="V52" t="n">
        <x:f>ROUNDDOWN(SUM(M52,N52,R52,U52)*'01_ВВОД'!$D$127,0)</x:f>
        <x:v>50</x:v>
      </x:c>
      <x:c r="W52" t="n">
        <x:f>ROUNDDOWN(SUM(L52,N52,R52,U52)*'01_ВВОД'!$D$127,0)</x:f>
        <x:v>50</x:v>
      </x:c>
    </x:row>
    <x:row r="53">
      <x:c r="A53" s="200" t="n">
        <x:v>46314</x:v>
      </x:c>
      <x:c r="B53" s="201" t="n">
        <x:v>2</x:v>
      </x:c>
      <x:c r="C53" s="201" t="inlineStr">
        <x:is>
          <x:t xml:space="preserve">Окт-26</x:t>
        </x:is>
      </x:c>
      <x:c r="D53" s="201" t="n">
        <x:v>1</x:v>
      </x:c>
      <x:c r="E53" s="201" t="inlineStr">
        <x:is>
          <x:t xml:space="preserve">Пн</x:t>
        </x:is>
      </x:c>
      <x:c r="F53" s="199" t="n">
        <x:v>0</x:v>
      </x:c>
      <x:c r="G53" s="201" t="str"/>
      <x:c r="H53" s="193" t="n">
        <x:v>0</x:v>
      </x:c>
      <x:c r="I53" s="201" t="str"/>
      <x:c r="J53" s="188" t="n">
        <x:f>1</x:f>
        <x:v>1</x:v>
      </x:c>
      <x:c r="K53" s="188" t="n">
        <x:f>IF(AND(D53&lt;=5,F53=0),1,0)</x:f>
        <x:v>1</x:v>
      </x:c>
      <x:c r="L53" s="188" t="n">
        <x:f>IF(F53=1,'01_ВВОД'!$D$23,CHOOSE(D53,'01_ВВОД'!$D$19,'01_ВВОД'!$D$19,'01_ВВОД'!$D$19,'01_ВВОД'!$D$19,'01_ВВОД'!$D$20,'01_ВВОД'!$D$21,'01_ВВОД'!$D$22))</x:f>
        <x:v>32</x:v>
      </x:c>
      <x:c r="M53" s="188" t="n">
        <x:f>L53*IF(H53=1,'01_ВВОД'!$D$118,1)</x:f>
        <x:v>32</x:v>
      </x:c>
      <x:c r="N53" s="188" t="n">
        <x:f>IF(K53=1,'01_ВВОД'!$D$26,0)</x:f>
        <x:v>40</x:v>
      </x:c>
      <x:c r="O53" s="188" t="n">
        <x:f>IF(F53=1,'01_ВВОД'!$D$34,IF(D53&lt;=5,'01_ВВОД'!$D$32,'01_ВВОД'!$D$33))</x:f>
        <x:v>15</x:v>
      </x:c>
      <x:c r="P53" s="188" t="n">
        <x:f>O53</x:f>
        <x:v>15</x:v>
      </x:c>
      <x:c r="Q53" s="188" t="n">
        <x:f>'01_ВВОД'!$D$40</x:f>
        <x:v>12</x:v>
      </x:c>
      <x:c r="R53" s="188" t="n">
        <x:f>'01_ВВОД'!$D$46</x:f>
        <x:v>20</x:v>
      </x:c>
      <x:c r="S53" s="188" t="n">
        <x:f>H53</x:f>
        <x:v>0</x:v>
      </x:c>
      <x:c r="T53" s="188" t="n">
        <x:f>IF(H53=1,M53+N53+P53+Q53,0)</x:f>
        <x:v>0</x:v>
      </x:c>
      <x:c r="U53" t="n">
        <x:f>'01_ВВОД'!$D$120</x:f>
        <x:v>10</x:v>
      </x:c>
      <x:c r="V53" t="n">
        <x:f>ROUNDDOWN(SUM(M53,N53,R53,U53)*'01_ВВОД'!$D$127,0)</x:f>
        <x:v>51</x:v>
      </x:c>
      <x:c r="W53" t="n">
        <x:f>ROUNDDOWN(SUM(L53,N53,R53,U53)*'01_ВВОД'!$D$127,0)</x:f>
        <x:v>51</x:v>
      </x:c>
    </x:row>
    <x:row r="54">
      <x:c r="A54" s="200" t="n">
        <x:v>46315</x:v>
      </x:c>
      <x:c r="B54" s="201" t="n">
        <x:v>2</x:v>
      </x:c>
      <x:c r="C54" s="201" t="inlineStr">
        <x:is>
          <x:t xml:space="preserve">Окт-26</x:t>
        </x:is>
      </x:c>
      <x:c r="D54" s="201" t="n">
        <x:v>2</x:v>
      </x:c>
      <x:c r="E54" s="201" t="inlineStr">
        <x:is>
          <x:t xml:space="preserve">Вт</x:t>
        </x:is>
      </x:c>
      <x:c r="F54" s="199" t="n">
        <x:v>0</x:v>
      </x:c>
      <x:c r="G54" s="201" t="str"/>
      <x:c r="H54" s="193" t="n">
        <x:v>0</x:v>
      </x:c>
      <x:c r="I54" s="201" t="str"/>
      <x:c r="J54" s="188" t="n">
        <x:f>1</x:f>
        <x:v>1</x:v>
      </x:c>
      <x:c r="K54" s="188" t="n">
        <x:f>IF(AND(D54&lt;=5,F54=0),1,0)</x:f>
        <x:v>1</x:v>
      </x:c>
      <x:c r="L54" s="188" t="n">
        <x:f>IF(F54=1,'01_ВВОД'!$D$23,CHOOSE(D54,'01_ВВОД'!$D$19,'01_ВВОД'!$D$19,'01_ВВОД'!$D$19,'01_ВВОД'!$D$19,'01_ВВОД'!$D$20,'01_ВВОД'!$D$21,'01_ВВОД'!$D$22))</x:f>
        <x:v>32</x:v>
      </x:c>
      <x:c r="M54" s="188" t="n">
        <x:f>L54*IF(H54=1,'01_ВВОД'!$D$118,1)</x:f>
        <x:v>32</x:v>
      </x:c>
      <x:c r="N54" s="188" t="n">
        <x:f>IF(K54=1,'01_ВВОД'!$D$26,0)</x:f>
        <x:v>40</x:v>
      </x:c>
      <x:c r="O54" s="188" t="n">
        <x:f>IF(F54=1,'01_ВВОД'!$D$34,IF(D54&lt;=5,'01_ВВОД'!$D$32,'01_ВВОД'!$D$33))</x:f>
        <x:v>15</x:v>
      </x:c>
      <x:c r="P54" s="188" t="n">
        <x:f>O54</x:f>
        <x:v>15</x:v>
      </x:c>
      <x:c r="Q54" s="188" t="n">
        <x:f>'01_ВВОД'!$D$40</x:f>
        <x:v>12</x:v>
      </x:c>
      <x:c r="R54" s="188" t="n">
        <x:f>'01_ВВОД'!$D$46</x:f>
        <x:v>20</x:v>
      </x:c>
      <x:c r="S54" s="188" t="n">
        <x:f>H54</x:f>
        <x:v>0</x:v>
      </x:c>
      <x:c r="T54" s="188" t="n">
        <x:f>IF(H54=1,M54+N54+P54+Q54,0)</x:f>
        <x:v>0</x:v>
      </x:c>
      <x:c r="U54" t="n">
        <x:f>'01_ВВОД'!$D$120</x:f>
        <x:v>10</x:v>
      </x:c>
      <x:c r="V54" t="n">
        <x:f>ROUNDDOWN(SUM(M54,N54,R54,U54)*'01_ВВОД'!$D$127,0)</x:f>
        <x:v>51</x:v>
      </x:c>
      <x:c r="W54" t="n">
        <x:f>ROUNDDOWN(SUM(L54,N54,R54,U54)*'01_ВВОД'!$D$127,0)</x:f>
        <x:v>51</x:v>
      </x:c>
    </x:row>
    <x:row r="55">
      <x:c r="A55" s="200" t="n">
        <x:v>46316</x:v>
      </x:c>
      <x:c r="B55" s="201" t="n">
        <x:v>2</x:v>
      </x:c>
      <x:c r="C55" s="201" t="inlineStr">
        <x:is>
          <x:t xml:space="preserve">Окт-26</x:t>
        </x:is>
      </x:c>
      <x:c r="D55" s="201" t="n">
        <x:v>3</x:v>
      </x:c>
      <x:c r="E55" s="201" t="inlineStr">
        <x:is>
          <x:t xml:space="preserve">Ср</x:t>
        </x:is>
      </x:c>
      <x:c r="F55" s="199" t="n">
        <x:v>0</x:v>
      </x:c>
      <x:c r="G55" s="201" t="str"/>
      <x:c r="H55" s="193" t="n">
        <x:v>0</x:v>
      </x:c>
      <x:c r="I55" s="201" t="str"/>
      <x:c r="J55" s="188" t="n">
        <x:f>1</x:f>
        <x:v>1</x:v>
      </x:c>
      <x:c r="K55" s="188" t="n">
        <x:f>IF(AND(D55&lt;=5,F55=0),1,0)</x:f>
        <x:v>1</x:v>
      </x:c>
      <x:c r="L55" s="188" t="n">
        <x:f>IF(F55=1,'01_ВВОД'!$D$23,CHOOSE(D55,'01_ВВОД'!$D$19,'01_ВВОД'!$D$19,'01_ВВОД'!$D$19,'01_ВВОД'!$D$19,'01_ВВОД'!$D$20,'01_ВВОД'!$D$21,'01_ВВОД'!$D$22))</x:f>
        <x:v>32</x:v>
      </x:c>
      <x:c r="M55" s="188" t="n">
        <x:f>L55*IF(H55=1,'01_ВВОД'!$D$118,1)</x:f>
        <x:v>32</x:v>
      </x:c>
      <x:c r="N55" s="188" t="n">
        <x:f>IF(K55=1,'01_ВВОД'!$D$26,0)</x:f>
        <x:v>40</x:v>
      </x:c>
      <x:c r="O55" s="188" t="n">
        <x:f>IF(F55=1,'01_ВВОД'!$D$34,IF(D55&lt;=5,'01_ВВОД'!$D$32,'01_ВВОД'!$D$33))</x:f>
        <x:v>15</x:v>
      </x:c>
      <x:c r="P55" s="188" t="n">
        <x:f>O55</x:f>
        <x:v>15</x:v>
      </x:c>
      <x:c r="Q55" s="188" t="n">
        <x:f>'01_ВВОД'!$D$40</x:f>
        <x:v>12</x:v>
      </x:c>
      <x:c r="R55" s="188" t="n">
        <x:f>'01_ВВОД'!$D$46</x:f>
        <x:v>20</x:v>
      </x:c>
      <x:c r="S55" s="188" t="n">
        <x:f>H55</x:f>
        <x:v>0</x:v>
      </x:c>
      <x:c r="T55" s="188" t="n">
        <x:f>IF(H55=1,M55+N55+P55+Q55,0)</x:f>
        <x:v>0</x:v>
      </x:c>
      <x:c r="U55" t="n">
        <x:f>'01_ВВОД'!$D$120</x:f>
        <x:v>10</x:v>
      </x:c>
      <x:c r="V55" t="n">
        <x:f>ROUNDDOWN(SUM(M55,N55,R55,U55)*'01_ВВОД'!$D$127,0)</x:f>
        <x:v>51</x:v>
      </x:c>
      <x:c r="W55" t="n">
        <x:f>ROUNDDOWN(SUM(L55,N55,R55,U55)*'01_ВВОД'!$D$127,0)</x:f>
        <x:v>51</x:v>
      </x:c>
    </x:row>
    <x:row r="56">
      <x:c r="A56" s="200" t="n">
        <x:v>46317</x:v>
      </x:c>
      <x:c r="B56" s="201" t="n">
        <x:v>2</x:v>
      </x:c>
      <x:c r="C56" s="201" t="inlineStr">
        <x:is>
          <x:t xml:space="preserve">Окт-26</x:t>
        </x:is>
      </x:c>
      <x:c r="D56" s="201" t="n">
        <x:v>4</x:v>
      </x:c>
      <x:c r="E56" s="201" t="inlineStr">
        <x:is>
          <x:t xml:space="preserve">Чт</x:t>
        </x:is>
      </x:c>
      <x:c r="F56" s="199" t="n">
        <x:v>0</x:v>
      </x:c>
      <x:c r="G56" s="201" t="str"/>
      <x:c r="H56" s="193" t="n">
        <x:v>0</x:v>
      </x:c>
      <x:c r="I56" s="201" t="str"/>
      <x:c r="J56" s="188" t="n">
        <x:f>1</x:f>
        <x:v>1</x:v>
      </x:c>
      <x:c r="K56" s="188" t="n">
        <x:f>IF(AND(D56&lt;=5,F56=0),1,0)</x:f>
        <x:v>1</x:v>
      </x:c>
      <x:c r="L56" s="188" t="n">
        <x:f>IF(F56=1,'01_ВВОД'!$D$23,CHOOSE(D56,'01_ВВОД'!$D$19,'01_ВВОД'!$D$19,'01_ВВОД'!$D$19,'01_ВВОД'!$D$19,'01_ВВОД'!$D$20,'01_ВВОД'!$D$21,'01_ВВОД'!$D$22))</x:f>
        <x:v>32</x:v>
      </x:c>
      <x:c r="M56" s="188" t="n">
        <x:f>L56*IF(H56=1,'01_ВВОД'!$D$118,1)</x:f>
        <x:v>32</x:v>
      </x:c>
      <x:c r="N56" s="188" t="n">
        <x:f>IF(K56=1,'01_ВВОД'!$D$26,0)</x:f>
        <x:v>40</x:v>
      </x:c>
      <x:c r="O56" s="188" t="n">
        <x:f>IF(F56=1,'01_ВВОД'!$D$34,IF(D56&lt;=5,'01_ВВОД'!$D$32,'01_ВВОД'!$D$33))</x:f>
        <x:v>15</x:v>
      </x:c>
      <x:c r="P56" s="188" t="n">
        <x:f>O56</x:f>
        <x:v>15</x:v>
      </x:c>
      <x:c r="Q56" s="188" t="n">
        <x:f>'01_ВВОД'!$D$40</x:f>
        <x:v>12</x:v>
      </x:c>
      <x:c r="R56" s="188" t="n">
        <x:f>'01_ВВОД'!$D$46</x:f>
        <x:v>20</x:v>
      </x:c>
      <x:c r="S56" s="188" t="n">
        <x:f>H56</x:f>
        <x:v>0</x:v>
      </x:c>
      <x:c r="T56" s="188" t="n">
        <x:f>IF(H56=1,M56+N56+P56+Q56,0)</x:f>
        <x:v>0</x:v>
      </x:c>
      <x:c r="U56" t="n">
        <x:f>'01_ВВОД'!$D$120</x:f>
        <x:v>10</x:v>
      </x:c>
      <x:c r="V56" t="n">
        <x:f>ROUNDDOWN(SUM(M56,N56,R56,U56)*'01_ВВОД'!$D$127,0)</x:f>
        <x:v>51</x:v>
      </x:c>
      <x:c r="W56" t="n">
        <x:f>ROUNDDOWN(SUM(L56,N56,R56,U56)*'01_ВВОД'!$D$127,0)</x:f>
        <x:v>51</x:v>
      </x:c>
    </x:row>
    <x:row r="57">
      <x:c r="A57" s="200" t="n">
        <x:v>46318</x:v>
      </x:c>
      <x:c r="B57" s="201" t="n">
        <x:v>2</x:v>
      </x:c>
      <x:c r="C57" s="201" t="inlineStr">
        <x:is>
          <x:t xml:space="preserve">Окт-26</x:t>
        </x:is>
      </x:c>
      <x:c r="D57" s="201" t="n">
        <x:v>5</x:v>
      </x:c>
      <x:c r="E57" s="201" t="inlineStr">
        <x:is>
          <x:t xml:space="preserve">Пт</x:t>
        </x:is>
      </x:c>
      <x:c r="F57" s="199" t="n">
        <x:v>0</x:v>
      </x:c>
      <x:c r="G57" s="201" t="str"/>
      <x:c r="H57" s="193" t="n">
        <x:v>0</x:v>
      </x:c>
      <x:c r="I57" s="201" t="str"/>
      <x:c r="J57" s="188" t="n">
        <x:f>1</x:f>
        <x:v>1</x:v>
      </x:c>
      <x:c r="K57" s="188" t="n">
        <x:f>IF(AND(D57&lt;=5,F57=0),1,0)</x:f>
        <x:v>1</x:v>
      </x:c>
      <x:c r="L57" s="188" t="n">
        <x:f>IF(F57=1,'01_ВВОД'!$D$23,CHOOSE(D57,'01_ВВОД'!$D$19,'01_ВВОД'!$D$19,'01_ВВОД'!$D$19,'01_ВВОД'!$D$19,'01_ВВОД'!$D$20,'01_ВВОД'!$D$21,'01_ВВОД'!$D$22))</x:f>
        <x:v>45</x:v>
      </x:c>
      <x:c r="M57" s="188" t="n">
        <x:f>L57*IF(H57=1,'01_ВВОД'!$D$118,1)</x:f>
        <x:v>45</x:v>
      </x:c>
      <x:c r="N57" s="188" t="n">
        <x:f>IF(K57=1,'01_ВВОД'!$D$26,0)</x:f>
        <x:v>40</x:v>
      </x:c>
      <x:c r="O57" s="188" t="n">
        <x:f>IF(F57=1,'01_ВВОД'!$D$34,IF(D57&lt;=5,'01_ВВОД'!$D$32,'01_ВВОД'!$D$33))</x:f>
        <x:v>15</x:v>
      </x:c>
      <x:c r="P57" s="188" t="n">
        <x:f>O57</x:f>
        <x:v>15</x:v>
      </x:c>
      <x:c r="Q57" s="188" t="n">
        <x:f>'01_ВВОД'!$D$40</x:f>
        <x:v>12</x:v>
      </x:c>
      <x:c r="R57" s="188" t="n">
        <x:f>'01_ВВОД'!$D$46</x:f>
        <x:v>20</x:v>
      </x:c>
      <x:c r="S57" s="188" t="n">
        <x:f>H57</x:f>
        <x:v>0</x:v>
      </x:c>
      <x:c r="T57" s="188" t="n">
        <x:f>IF(H57=1,M57+N57+P57+Q57,0)</x:f>
        <x:v>0</x:v>
      </x:c>
      <x:c r="U57" t="n">
        <x:f>'01_ВВОД'!$D$120</x:f>
        <x:v>10</x:v>
      </x:c>
      <x:c r="V57" t="n">
        <x:f>ROUNDDOWN(SUM(M57,N57,R57,U57)*'01_ВВОД'!$D$127,0)</x:f>
        <x:v>57</x:v>
      </x:c>
      <x:c r="W57" t="n">
        <x:f>ROUNDDOWN(SUM(L57,N57,R57,U57)*'01_ВВОД'!$D$127,0)</x:f>
        <x:v>57</x:v>
      </x:c>
    </x:row>
    <x:row r="58">
      <x:c r="A58" s="200" t="n">
        <x:v>46319</x:v>
      </x:c>
      <x:c r="B58" s="201" t="n">
        <x:v>2</x:v>
      </x:c>
      <x:c r="C58" s="201" t="inlineStr">
        <x:is>
          <x:t xml:space="preserve">Окт-26</x:t>
        </x:is>
      </x:c>
      <x:c r="D58" s="201" t="n">
        <x:v>6</x:v>
      </x:c>
      <x:c r="E58" s="201" t="inlineStr">
        <x:is>
          <x:t xml:space="preserve">Сб</x:t>
        </x:is>
      </x:c>
      <x:c r="F58" s="199" t="n">
        <x:v>0</x:v>
      </x:c>
      <x:c r="G58" s="201" t="str"/>
      <x:c r="H58" s="193" t="n">
        <x:v>0</x:v>
      </x:c>
      <x:c r="I58" s="201" t="str"/>
      <x:c r="J58" s="188" t="n">
        <x:f>1</x:f>
        <x:v>1</x:v>
      </x:c>
      <x:c r="K58" s="188" t="n">
        <x:f>IF(AND(D58&lt;=5,F58=0),1,0)</x:f>
        <x:v>0</x:v>
      </x:c>
      <x:c r="L58" s="188" t="n">
        <x:f>IF(F58=1,'01_ВВОД'!$D$23,CHOOSE(D58,'01_ВВОД'!$D$19,'01_ВВОД'!$D$19,'01_ВВОД'!$D$19,'01_ВВОД'!$D$19,'01_ВВОД'!$D$20,'01_ВВОД'!$D$21,'01_ВВОД'!$D$22))</x:f>
        <x:v>80</x:v>
      </x:c>
      <x:c r="M58" s="188" t="n">
        <x:f>L58*IF(H58=1,'01_ВВОД'!$D$118,1)</x:f>
        <x:v>80</x:v>
      </x:c>
      <x:c r="N58" s="188" t="n">
        <x:f>IF(K58=1,'01_ВВОД'!$D$26,0)</x:f>
        <x:v>0</x:v>
      </x:c>
      <x:c r="O58" s="188" t="n">
        <x:f>IF(F58=1,'01_ВВОД'!$D$34,IF(D58&lt;=5,'01_ВВОД'!$D$32,'01_ВВОД'!$D$33))</x:f>
        <x:v>30</x:v>
      </x:c>
      <x:c r="P58" s="188" t="n">
        <x:f>O58</x:f>
        <x:v>30</x:v>
      </x:c>
      <x:c r="Q58" s="188" t="n">
        <x:f>'01_ВВОД'!$D$40</x:f>
        <x:v>12</x:v>
      </x:c>
      <x:c r="R58" s="188" t="n">
        <x:f>'01_ВВОД'!$D$46</x:f>
        <x:v>20</x:v>
      </x:c>
      <x:c r="S58" s="188" t="n">
        <x:f>H58</x:f>
        <x:v>0</x:v>
      </x:c>
      <x:c r="T58" s="188" t="n">
        <x:f>IF(H58=1,M58+N58+P58+Q58,0)</x:f>
        <x:v>0</x:v>
      </x:c>
      <x:c r="U58" t="n">
        <x:f>'01_ВВОД'!$D$120</x:f>
        <x:v>10</x:v>
      </x:c>
      <x:c r="V58" t="n">
        <x:f>ROUNDDOWN(SUM(M58,N58,R58,U58)*'01_ВВОД'!$D$127,0)</x:f>
        <x:v>55</x:v>
      </x:c>
      <x:c r="W58" t="n">
        <x:f>ROUNDDOWN(SUM(L58,N58,R58,U58)*'01_ВВОД'!$D$127,0)</x:f>
        <x:v>55</x:v>
      </x:c>
    </x:row>
    <x:row r="59">
      <x:c r="A59" s="200" t="n">
        <x:v>46320</x:v>
      </x:c>
      <x:c r="B59" s="201" t="n">
        <x:v>2</x:v>
      </x:c>
      <x:c r="C59" s="201" t="inlineStr">
        <x:is>
          <x:t xml:space="preserve">Окт-26</x:t>
        </x:is>
      </x:c>
      <x:c r="D59" s="201" t="n">
        <x:v>7</x:v>
      </x:c>
      <x:c r="E59" s="201" t="inlineStr">
        <x:is>
          <x:t xml:space="preserve">Вс</x:t>
        </x:is>
      </x:c>
      <x:c r="F59" s="199" t="n">
        <x:v>0</x:v>
      </x:c>
      <x:c r="G59" s="201" t="str"/>
      <x:c r="H59" s="193" t="n">
        <x:v>0</x:v>
      </x:c>
      <x:c r="I59" s="201" t="str"/>
      <x:c r="J59" s="188" t="n">
        <x:f>1</x:f>
        <x:v>1</x:v>
      </x:c>
      <x:c r="K59" s="188" t="n">
        <x:f>IF(AND(D59&lt;=5,F59=0),1,0)</x:f>
        <x:v>0</x:v>
      </x:c>
      <x:c r="L59" s="188" t="n">
        <x:f>IF(F59=1,'01_ВВОД'!$D$23,CHOOSE(D59,'01_ВВОД'!$D$19,'01_ВВОД'!$D$19,'01_ВВОД'!$D$19,'01_ВВОД'!$D$19,'01_ВВОД'!$D$20,'01_ВВОД'!$D$21,'01_ВВОД'!$D$22))</x:f>
        <x:v>70</x:v>
      </x:c>
      <x:c r="M59" s="188" t="n">
        <x:f>L59*IF(H59=1,'01_ВВОД'!$D$118,1)</x:f>
        <x:v>70</x:v>
      </x:c>
      <x:c r="N59" s="188" t="n">
        <x:f>IF(K59=1,'01_ВВОД'!$D$26,0)</x:f>
        <x:v>0</x:v>
      </x:c>
      <x:c r="O59" s="188" t="n">
        <x:f>IF(F59=1,'01_ВВОД'!$D$34,IF(D59&lt;=5,'01_ВВОД'!$D$32,'01_ВВОД'!$D$33))</x:f>
        <x:v>30</x:v>
      </x:c>
      <x:c r="P59" s="188" t="n">
        <x:f>O59</x:f>
        <x:v>30</x:v>
      </x:c>
      <x:c r="Q59" s="188" t="n">
        <x:f>'01_ВВОД'!$D$40</x:f>
        <x:v>12</x:v>
      </x:c>
      <x:c r="R59" s="188" t="n">
        <x:f>'01_ВВОД'!$D$46</x:f>
        <x:v>20</x:v>
      </x:c>
      <x:c r="S59" s="188" t="n">
        <x:f>H59</x:f>
        <x:v>0</x:v>
      </x:c>
      <x:c r="T59" s="188" t="n">
        <x:f>IF(H59=1,M59+N59+P59+Q59,0)</x:f>
        <x:v>0</x:v>
      </x:c>
      <x:c r="U59" t="n">
        <x:f>'01_ВВОД'!$D$120</x:f>
        <x:v>10</x:v>
      </x:c>
      <x:c r="V59" t="n">
        <x:f>ROUNDDOWN(SUM(M59,N59,R59,U59)*'01_ВВОД'!$D$127,0)</x:f>
        <x:v>50</x:v>
      </x:c>
      <x:c r="W59" t="n">
        <x:f>ROUNDDOWN(SUM(L59,N59,R59,U59)*'01_ВВОД'!$D$127,0)</x:f>
        <x:v>50</x:v>
      </x:c>
    </x:row>
    <x:row r="60">
      <x:c r="A60" s="200" t="n">
        <x:v>46321</x:v>
      </x:c>
      <x:c r="B60" s="201" t="n">
        <x:v>2</x:v>
      </x:c>
      <x:c r="C60" s="201" t="inlineStr">
        <x:is>
          <x:t xml:space="preserve">Окт-26</x:t>
        </x:is>
      </x:c>
      <x:c r="D60" s="201" t="n">
        <x:v>1</x:v>
      </x:c>
      <x:c r="E60" s="201" t="inlineStr">
        <x:is>
          <x:t xml:space="preserve">Пн</x:t>
        </x:is>
      </x:c>
      <x:c r="F60" s="199" t="n">
        <x:v>0</x:v>
      </x:c>
      <x:c r="G60" s="201" t="str"/>
      <x:c r="H60" s="193" t="n">
        <x:v>0</x:v>
      </x:c>
      <x:c r="I60" s="201" t="str"/>
      <x:c r="J60" s="188" t="n">
        <x:f>1</x:f>
        <x:v>1</x:v>
      </x:c>
      <x:c r="K60" s="188" t="n">
        <x:f>IF(AND(D60&lt;=5,F60=0),1,0)</x:f>
        <x:v>1</x:v>
      </x:c>
      <x:c r="L60" s="188" t="n">
        <x:f>IF(F60=1,'01_ВВОД'!$D$23,CHOOSE(D60,'01_ВВОД'!$D$19,'01_ВВОД'!$D$19,'01_ВВОД'!$D$19,'01_ВВОД'!$D$19,'01_ВВОД'!$D$20,'01_ВВОД'!$D$21,'01_ВВОД'!$D$22))</x:f>
        <x:v>32</x:v>
      </x:c>
      <x:c r="M60" s="188" t="n">
        <x:f>L60*IF(H60=1,'01_ВВОД'!$D$118,1)</x:f>
        <x:v>32</x:v>
      </x:c>
      <x:c r="N60" s="188" t="n">
        <x:f>IF(K60=1,'01_ВВОД'!$D$26,0)</x:f>
        <x:v>40</x:v>
      </x:c>
      <x:c r="O60" s="188" t="n">
        <x:f>IF(F60=1,'01_ВВОД'!$D$34,IF(D60&lt;=5,'01_ВВОД'!$D$32,'01_ВВОД'!$D$33))</x:f>
        <x:v>15</x:v>
      </x:c>
      <x:c r="P60" s="188" t="n">
        <x:f>O60</x:f>
        <x:v>15</x:v>
      </x:c>
      <x:c r="Q60" s="188" t="n">
        <x:f>'01_ВВОД'!$D$40</x:f>
        <x:v>12</x:v>
      </x:c>
      <x:c r="R60" s="188" t="n">
        <x:f>'01_ВВОД'!$D$46</x:f>
        <x:v>20</x:v>
      </x:c>
      <x:c r="S60" s="188" t="n">
        <x:f>H60</x:f>
        <x:v>0</x:v>
      </x:c>
      <x:c r="T60" s="188" t="n">
        <x:f>IF(H60=1,M60+N60+P60+Q60,0)</x:f>
        <x:v>0</x:v>
      </x:c>
      <x:c r="U60" t="n">
        <x:f>'01_ВВОД'!$D$120</x:f>
        <x:v>10</x:v>
      </x:c>
      <x:c r="V60" t="n">
        <x:f>ROUNDDOWN(SUM(M60,N60,R60,U60)*'01_ВВОД'!$D$127,0)</x:f>
        <x:v>51</x:v>
      </x:c>
      <x:c r="W60" t="n">
        <x:f>ROUNDDOWN(SUM(L60,N60,R60,U60)*'01_ВВОД'!$D$127,0)</x:f>
        <x:v>51</x:v>
      </x:c>
    </x:row>
    <x:row r="61">
      <x:c r="A61" s="200" t="n">
        <x:v>46322</x:v>
      </x:c>
      <x:c r="B61" s="201" t="n">
        <x:v>2</x:v>
      </x:c>
      <x:c r="C61" s="201" t="inlineStr">
        <x:is>
          <x:t xml:space="preserve">Окт-26</x:t>
        </x:is>
      </x:c>
      <x:c r="D61" s="201" t="n">
        <x:v>2</x:v>
      </x:c>
      <x:c r="E61" s="201" t="inlineStr">
        <x:is>
          <x:t xml:space="preserve">Вт</x:t>
        </x:is>
      </x:c>
      <x:c r="F61" s="199" t="n">
        <x:v>0</x:v>
      </x:c>
      <x:c r="G61" s="201" t="str"/>
      <x:c r="H61" s="193" t="n">
        <x:v>0</x:v>
      </x:c>
      <x:c r="I61" s="201" t="str"/>
      <x:c r="J61" s="188" t="n">
        <x:f>1</x:f>
        <x:v>1</x:v>
      </x:c>
      <x:c r="K61" s="188" t="n">
        <x:f>IF(AND(D61&lt;=5,F61=0),1,0)</x:f>
        <x:v>1</x:v>
      </x:c>
      <x:c r="L61" s="188" t="n">
        <x:f>IF(F61=1,'01_ВВОД'!$D$23,CHOOSE(D61,'01_ВВОД'!$D$19,'01_ВВОД'!$D$19,'01_ВВОД'!$D$19,'01_ВВОД'!$D$19,'01_ВВОД'!$D$20,'01_ВВОД'!$D$21,'01_ВВОД'!$D$22))</x:f>
        <x:v>32</x:v>
      </x:c>
      <x:c r="M61" s="188" t="n">
        <x:f>L61*IF(H61=1,'01_ВВОД'!$D$118,1)</x:f>
        <x:v>32</x:v>
      </x:c>
      <x:c r="N61" s="188" t="n">
        <x:f>IF(K61=1,'01_ВВОД'!$D$26,0)</x:f>
        <x:v>40</x:v>
      </x:c>
      <x:c r="O61" s="188" t="n">
        <x:f>IF(F61=1,'01_ВВОД'!$D$34,IF(D61&lt;=5,'01_ВВОД'!$D$32,'01_ВВОД'!$D$33))</x:f>
        <x:v>15</x:v>
      </x:c>
      <x:c r="P61" s="188" t="n">
        <x:f>O61</x:f>
        <x:v>15</x:v>
      </x:c>
      <x:c r="Q61" s="188" t="n">
        <x:f>'01_ВВОД'!$D$40</x:f>
        <x:v>12</x:v>
      </x:c>
      <x:c r="R61" s="188" t="n">
        <x:f>'01_ВВОД'!$D$46</x:f>
        <x:v>20</x:v>
      </x:c>
      <x:c r="S61" s="188" t="n">
        <x:f>H61</x:f>
        <x:v>0</x:v>
      </x:c>
      <x:c r="T61" s="188" t="n">
        <x:f>IF(H61=1,M61+N61+P61+Q61,0)</x:f>
        <x:v>0</x:v>
      </x:c>
      <x:c r="U61" t="n">
        <x:f>'01_ВВОД'!$D$120</x:f>
        <x:v>10</x:v>
      </x:c>
      <x:c r="V61" t="n">
        <x:f>ROUNDDOWN(SUM(M61,N61,R61,U61)*'01_ВВОД'!$D$127,0)</x:f>
        <x:v>51</x:v>
      </x:c>
      <x:c r="W61" t="n">
        <x:f>ROUNDDOWN(SUM(L61,N61,R61,U61)*'01_ВВОД'!$D$127,0)</x:f>
        <x:v>51</x:v>
      </x:c>
    </x:row>
    <x:row r="62">
      <x:c r="A62" s="200" t="n">
        <x:v>46323</x:v>
      </x:c>
      <x:c r="B62" s="201" t="n">
        <x:v>2</x:v>
      </x:c>
      <x:c r="C62" s="201" t="inlineStr">
        <x:is>
          <x:t xml:space="preserve">Окт-26</x:t>
        </x:is>
      </x:c>
      <x:c r="D62" s="201" t="n">
        <x:v>3</x:v>
      </x:c>
      <x:c r="E62" s="201" t="inlineStr">
        <x:is>
          <x:t xml:space="preserve">Ср</x:t>
        </x:is>
      </x:c>
      <x:c r="F62" s="199" t="n">
        <x:v>0</x:v>
      </x:c>
      <x:c r="G62" s="201" t="str"/>
      <x:c r="H62" s="193" t="n">
        <x:v>0</x:v>
      </x:c>
      <x:c r="I62" s="201" t="str"/>
      <x:c r="J62" s="188" t="n">
        <x:f>1</x:f>
        <x:v>1</x:v>
      </x:c>
      <x:c r="K62" s="188" t="n">
        <x:f>IF(AND(D62&lt;=5,F62=0),1,0)</x:f>
        <x:v>1</x:v>
      </x:c>
      <x:c r="L62" s="188" t="n">
        <x:f>IF(F62=1,'01_ВВОД'!$D$23,CHOOSE(D62,'01_ВВОД'!$D$19,'01_ВВОД'!$D$19,'01_ВВОД'!$D$19,'01_ВВОД'!$D$19,'01_ВВОД'!$D$20,'01_ВВОД'!$D$21,'01_ВВОД'!$D$22))</x:f>
        <x:v>32</x:v>
      </x:c>
      <x:c r="M62" s="188" t="n">
        <x:f>L62*IF(H62=1,'01_ВВОД'!$D$118,1)</x:f>
        <x:v>32</x:v>
      </x:c>
      <x:c r="N62" s="188" t="n">
        <x:f>IF(K62=1,'01_ВВОД'!$D$26,0)</x:f>
        <x:v>40</x:v>
      </x:c>
      <x:c r="O62" s="188" t="n">
        <x:f>IF(F62=1,'01_ВВОД'!$D$34,IF(D62&lt;=5,'01_ВВОД'!$D$32,'01_ВВОД'!$D$33))</x:f>
        <x:v>15</x:v>
      </x:c>
      <x:c r="P62" s="188" t="n">
        <x:f>O62</x:f>
        <x:v>15</x:v>
      </x:c>
      <x:c r="Q62" s="188" t="n">
        <x:f>'01_ВВОД'!$D$40</x:f>
        <x:v>12</x:v>
      </x:c>
      <x:c r="R62" s="188" t="n">
        <x:f>'01_ВВОД'!$D$46</x:f>
        <x:v>20</x:v>
      </x:c>
      <x:c r="S62" s="188" t="n">
        <x:f>H62</x:f>
        <x:v>0</x:v>
      </x:c>
      <x:c r="T62" s="188" t="n">
        <x:f>IF(H62=1,M62+N62+P62+Q62,0)</x:f>
        <x:v>0</x:v>
      </x:c>
      <x:c r="U62" t="n">
        <x:f>'01_ВВОД'!$D$120</x:f>
        <x:v>10</x:v>
      </x:c>
      <x:c r="V62" t="n">
        <x:f>ROUNDDOWN(SUM(M62,N62,R62,U62)*'01_ВВОД'!$D$127,0)</x:f>
        <x:v>51</x:v>
      </x:c>
      <x:c r="W62" t="n">
        <x:f>ROUNDDOWN(SUM(L62,N62,R62,U62)*'01_ВВОД'!$D$127,0)</x:f>
        <x:v>51</x:v>
      </x:c>
    </x:row>
    <x:row r="63">
      <x:c r="A63" s="200" t="n">
        <x:v>46324</x:v>
      </x:c>
      <x:c r="B63" s="201" t="n">
        <x:v>2</x:v>
      </x:c>
      <x:c r="C63" s="201" t="inlineStr">
        <x:is>
          <x:t xml:space="preserve">Окт-26</x:t>
        </x:is>
      </x:c>
      <x:c r="D63" s="201" t="n">
        <x:v>4</x:v>
      </x:c>
      <x:c r="E63" s="201" t="inlineStr">
        <x:is>
          <x:t xml:space="preserve">Чт</x:t>
        </x:is>
      </x:c>
      <x:c r="F63" s="199" t="n">
        <x:v>0</x:v>
      </x:c>
      <x:c r="G63" s="201" t="str"/>
      <x:c r="H63" s="193" t="n">
        <x:v>0</x:v>
      </x:c>
      <x:c r="I63" s="201" t="str"/>
      <x:c r="J63" s="188" t="n">
        <x:f>1</x:f>
        <x:v>1</x:v>
      </x:c>
      <x:c r="K63" s="188" t="n">
        <x:f>IF(AND(D63&lt;=5,F63=0),1,0)</x:f>
        <x:v>1</x:v>
      </x:c>
      <x:c r="L63" s="188" t="n">
        <x:f>IF(F63=1,'01_ВВОД'!$D$23,CHOOSE(D63,'01_ВВОД'!$D$19,'01_ВВОД'!$D$19,'01_ВВОД'!$D$19,'01_ВВОД'!$D$19,'01_ВВОД'!$D$20,'01_ВВОД'!$D$21,'01_ВВОД'!$D$22))</x:f>
        <x:v>32</x:v>
      </x:c>
      <x:c r="M63" s="188" t="n">
        <x:f>L63*IF(H63=1,'01_ВВОД'!$D$118,1)</x:f>
        <x:v>32</x:v>
      </x:c>
      <x:c r="N63" s="188" t="n">
        <x:f>IF(K63=1,'01_ВВОД'!$D$26,0)</x:f>
        <x:v>40</x:v>
      </x:c>
      <x:c r="O63" s="188" t="n">
        <x:f>IF(F63=1,'01_ВВОД'!$D$34,IF(D63&lt;=5,'01_ВВОД'!$D$32,'01_ВВОД'!$D$33))</x:f>
        <x:v>15</x:v>
      </x:c>
      <x:c r="P63" s="188" t="n">
        <x:f>O63</x:f>
        <x:v>15</x:v>
      </x:c>
      <x:c r="Q63" s="188" t="n">
        <x:f>'01_ВВОД'!$D$40</x:f>
        <x:v>12</x:v>
      </x:c>
      <x:c r="R63" s="188" t="n">
        <x:f>'01_ВВОД'!$D$46</x:f>
        <x:v>20</x:v>
      </x:c>
      <x:c r="S63" s="188" t="n">
        <x:f>H63</x:f>
        <x:v>0</x:v>
      </x:c>
      <x:c r="T63" s="188" t="n">
        <x:f>IF(H63=1,M63+N63+P63+Q63,0)</x:f>
        <x:v>0</x:v>
      </x:c>
      <x:c r="U63" t="n">
        <x:f>'01_ВВОД'!$D$120</x:f>
        <x:v>10</x:v>
      </x:c>
      <x:c r="V63" t="n">
        <x:f>ROUNDDOWN(SUM(M63,N63,R63,U63)*'01_ВВОД'!$D$127,0)</x:f>
        <x:v>51</x:v>
      </x:c>
      <x:c r="W63" t="n">
        <x:f>ROUNDDOWN(SUM(L63,N63,R63,U63)*'01_ВВОД'!$D$127,0)</x:f>
        <x:v>51</x:v>
      </x:c>
    </x:row>
    <x:row r="64">
      <x:c r="A64" s="200" t="n">
        <x:v>46325</x:v>
      </x:c>
      <x:c r="B64" s="201" t="n">
        <x:v>2</x:v>
      </x:c>
      <x:c r="C64" s="201" t="inlineStr">
        <x:is>
          <x:t xml:space="preserve">Окт-26</x:t>
        </x:is>
      </x:c>
      <x:c r="D64" s="201" t="n">
        <x:v>5</x:v>
      </x:c>
      <x:c r="E64" s="201" t="inlineStr">
        <x:is>
          <x:t xml:space="preserve">Пт</x:t>
        </x:is>
      </x:c>
      <x:c r="F64" s="199" t="n">
        <x:v>0</x:v>
      </x:c>
      <x:c r="G64" s="201" t="str"/>
      <x:c r="H64" s="193" t="n">
        <x:v>0</x:v>
      </x:c>
      <x:c r="I64" s="201" t="str"/>
      <x:c r="J64" s="188" t="n">
        <x:f>1</x:f>
        <x:v>1</x:v>
      </x:c>
      <x:c r="K64" s="188" t="n">
        <x:f>IF(AND(D64&lt;=5,F64=0),1,0)</x:f>
        <x:v>1</x:v>
      </x:c>
      <x:c r="L64" s="188" t="n">
        <x:f>IF(F64=1,'01_ВВОД'!$D$23,CHOOSE(D64,'01_ВВОД'!$D$19,'01_ВВОД'!$D$19,'01_ВВОД'!$D$19,'01_ВВОД'!$D$19,'01_ВВОД'!$D$20,'01_ВВОД'!$D$21,'01_ВВОД'!$D$22))</x:f>
        <x:v>45</x:v>
      </x:c>
      <x:c r="M64" s="188" t="n">
        <x:f>L64*IF(H64=1,'01_ВВОД'!$D$118,1)</x:f>
        <x:v>45</x:v>
      </x:c>
      <x:c r="N64" s="188" t="n">
        <x:f>IF(K64=1,'01_ВВОД'!$D$26,0)</x:f>
        <x:v>40</x:v>
      </x:c>
      <x:c r="O64" s="188" t="n">
        <x:f>IF(F64=1,'01_ВВОД'!$D$34,IF(D64&lt;=5,'01_ВВОД'!$D$32,'01_ВВОД'!$D$33))</x:f>
        <x:v>15</x:v>
      </x:c>
      <x:c r="P64" s="188" t="n">
        <x:f>O64</x:f>
        <x:v>15</x:v>
      </x:c>
      <x:c r="Q64" s="188" t="n">
        <x:f>'01_ВВОД'!$D$40</x:f>
        <x:v>12</x:v>
      </x:c>
      <x:c r="R64" s="188" t="n">
        <x:f>'01_ВВОД'!$D$46</x:f>
        <x:v>20</x:v>
      </x:c>
      <x:c r="S64" s="188" t="n">
        <x:f>H64</x:f>
        <x:v>0</x:v>
      </x:c>
      <x:c r="T64" s="188" t="n">
        <x:f>IF(H64=1,M64+N64+P64+Q64,0)</x:f>
        <x:v>0</x:v>
      </x:c>
      <x:c r="U64" t="n">
        <x:f>'01_ВВОД'!$D$120</x:f>
        <x:v>10</x:v>
      </x:c>
      <x:c r="V64" t="n">
        <x:f>ROUNDDOWN(SUM(M64,N64,R64,U64)*'01_ВВОД'!$D$127,0)</x:f>
        <x:v>57</x:v>
      </x:c>
      <x:c r="W64" t="n">
        <x:f>ROUNDDOWN(SUM(L64,N64,R64,U64)*'01_ВВОД'!$D$127,0)</x:f>
        <x:v>57</x:v>
      </x:c>
    </x:row>
    <x:row r="65">
      <x:c r="A65" s="200" t="n">
        <x:v>46326</x:v>
      </x:c>
      <x:c r="B65" s="201" t="n">
        <x:v>2</x:v>
      </x:c>
      <x:c r="C65" s="201" t="inlineStr">
        <x:is>
          <x:t xml:space="preserve">Окт-26</x:t>
        </x:is>
      </x:c>
      <x:c r="D65" s="201" t="n">
        <x:v>6</x:v>
      </x:c>
      <x:c r="E65" s="201" t="inlineStr">
        <x:is>
          <x:t xml:space="preserve">Сб</x:t>
        </x:is>
      </x:c>
      <x:c r="F65" s="199" t="n">
        <x:v>0</x:v>
      </x:c>
      <x:c r="G65" s="201" t="str"/>
      <x:c r="H65" s="193" t="n">
        <x:v>0</x:v>
      </x:c>
      <x:c r="I65" s="201" t="str"/>
      <x:c r="J65" s="188" t="n">
        <x:f>1</x:f>
        <x:v>1</x:v>
      </x:c>
      <x:c r="K65" s="188" t="n">
        <x:f>IF(AND(D65&lt;=5,F65=0),1,0)</x:f>
        <x:v>0</x:v>
      </x:c>
      <x:c r="L65" s="188" t="n">
        <x:f>IF(F65=1,'01_ВВОД'!$D$23,CHOOSE(D65,'01_ВВОД'!$D$19,'01_ВВОД'!$D$19,'01_ВВОД'!$D$19,'01_ВВОД'!$D$19,'01_ВВОД'!$D$20,'01_ВВОД'!$D$21,'01_ВВОД'!$D$22))</x:f>
        <x:v>80</x:v>
      </x:c>
      <x:c r="M65" s="188" t="n">
        <x:f>L65*IF(H65=1,'01_ВВОД'!$D$118,1)</x:f>
        <x:v>80</x:v>
      </x:c>
      <x:c r="N65" s="188" t="n">
        <x:f>IF(K65=1,'01_ВВОД'!$D$26,0)</x:f>
        <x:v>0</x:v>
      </x:c>
      <x:c r="O65" s="188" t="n">
        <x:f>IF(F65=1,'01_ВВОД'!$D$34,IF(D65&lt;=5,'01_ВВОД'!$D$32,'01_ВВОД'!$D$33))</x:f>
        <x:v>30</x:v>
      </x:c>
      <x:c r="P65" s="188" t="n">
        <x:f>O65</x:f>
        <x:v>30</x:v>
      </x:c>
      <x:c r="Q65" s="188" t="n">
        <x:f>'01_ВВОД'!$D$40</x:f>
        <x:v>12</x:v>
      </x:c>
      <x:c r="R65" s="188" t="n">
        <x:f>'01_ВВОД'!$D$46</x:f>
        <x:v>20</x:v>
      </x:c>
      <x:c r="S65" s="188" t="n">
        <x:f>H65</x:f>
        <x:v>0</x:v>
      </x:c>
      <x:c r="T65" s="188" t="n">
        <x:f>IF(H65=1,M65+N65+P65+Q65,0)</x:f>
        <x:v>0</x:v>
      </x:c>
      <x:c r="U65" t="n">
        <x:f>'01_ВВОД'!$D$120</x:f>
        <x:v>10</x:v>
      </x:c>
      <x:c r="V65" t="n">
        <x:f>ROUNDDOWN(SUM(M65,N65,R65,U65)*'01_ВВОД'!$D$127,0)</x:f>
        <x:v>55</x:v>
      </x:c>
      <x:c r="W65" t="n">
        <x:f>ROUNDDOWN(SUM(L65,N65,R65,U65)*'01_ВВОД'!$D$127,0)</x:f>
        <x:v>55</x:v>
      </x:c>
    </x:row>
    <x:row r="66">
      <x:c r="A66" s="200" t="n">
        <x:v>46327</x:v>
      </x:c>
      <x:c r="B66" s="201" t="n">
        <x:v>3</x:v>
      </x:c>
      <x:c r="C66" s="201" t="inlineStr">
        <x:is>
          <x:t xml:space="preserve">Ноя-26</x:t>
        </x:is>
      </x:c>
      <x:c r="D66" s="201" t="n">
        <x:v>7</x:v>
      </x:c>
      <x:c r="E66" s="201" t="inlineStr">
        <x:is>
          <x:t xml:space="preserve">Вс</x:t>
        </x:is>
      </x:c>
      <x:c r="F66" s="199" t="n">
        <x:v>0</x:v>
      </x:c>
      <x:c r="G66" s="201" t="str"/>
      <x:c r="H66" s="193" t="n">
        <x:v>0</x:v>
      </x:c>
      <x:c r="I66" s="201" t="str"/>
      <x:c r="J66" s="188" t="n">
        <x:f>1</x:f>
        <x:v>1</x:v>
      </x:c>
      <x:c r="K66" s="188" t="n">
        <x:f>IF(AND(D66&lt;=5,F66=0),1,0)</x:f>
        <x:v>0</x:v>
      </x:c>
      <x:c r="L66" s="188" t="n">
        <x:f>IF(F66=1,'01_ВВОД'!$D$23,CHOOSE(D66,'01_ВВОД'!$D$19,'01_ВВОД'!$D$19,'01_ВВОД'!$D$19,'01_ВВОД'!$D$19,'01_ВВОД'!$D$20,'01_ВВОД'!$D$21,'01_ВВОД'!$D$22))</x:f>
        <x:v>70</x:v>
      </x:c>
      <x:c r="M66" s="188" t="n">
        <x:f>L66*IF(H66=1,'01_ВВОД'!$D$118,1)</x:f>
        <x:v>70</x:v>
      </x:c>
      <x:c r="N66" s="188" t="n">
        <x:f>IF(K66=1,'01_ВВОД'!$D$26,0)</x:f>
        <x:v>0</x:v>
      </x:c>
      <x:c r="O66" s="188" t="n">
        <x:f>IF(F66=1,'01_ВВОД'!$D$34,IF(D66&lt;=5,'01_ВВОД'!$D$32,'01_ВВОД'!$D$33))</x:f>
        <x:v>30</x:v>
      </x:c>
      <x:c r="P66" s="188" t="n">
        <x:f>O66</x:f>
        <x:v>30</x:v>
      </x:c>
      <x:c r="Q66" s="188" t="n">
        <x:f>'01_ВВОД'!$D$40</x:f>
        <x:v>12</x:v>
      </x:c>
      <x:c r="R66" s="188" t="n">
        <x:f>'01_ВВОД'!$D$46</x:f>
        <x:v>20</x:v>
      </x:c>
      <x:c r="S66" s="188" t="n">
        <x:f>H66</x:f>
        <x:v>0</x:v>
      </x:c>
      <x:c r="T66" s="188" t="n">
        <x:f>IF(H66=1,M66+N66+P66+Q66,0)</x:f>
        <x:v>0</x:v>
      </x:c>
      <x:c r="U66" t="n">
        <x:f>'01_ВВОД'!$D$120</x:f>
        <x:v>10</x:v>
      </x:c>
      <x:c r="V66" t="n">
        <x:f>ROUNDDOWN(SUM(M66,N66,R66,U66)*'01_ВВОД'!$D$127,0)</x:f>
        <x:v>50</x:v>
      </x:c>
      <x:c r="W66" t="n">
        <x:f>ROUNDDOWN(SUM(L66,N66,R66,U66)*'01_ВВОД'!$D$127,0)</x:f>
        <x:v>50</x:v>
      </x:c>
    </x:row>
    <x:row r="67">
      <x:c r="A67" s="200" t="n">
        <x:v>46328</x:v>
      </x:c>
      <x:c r="B67" s="201" t="n">
        <x:v>3</x:v>
      </x:c>
      <x:c r="C67" s="201" t="inlineStr">
        <x:is>
          <x:t xml:space="preserve">Ноя-26</x:t>
        </x:is>
      </x:c>
      <x:c r="D67" s="201" t="n">
        <x:v>1</x:v>
      </x:c>
      <x:c r="E67" s="201" t="inlineStr">
        <x:is>
          <x:t xml:space="preserve">Пн</x:t>
        </x:is>
      </x:c>
      <x:c r="F67" s="199" t="n">
        <x:v>0</x:v>
      </x:c>
      <x:c r="G67" s="201" t="str"/>
      <x:c r="H67" s="193" t="n">
        <x:v>0</x:v>
      </x:c>
      <x:c r="I67" s="201" t="str"/>
      <x:c r="J67" s="188" t="n">
        <x:f>1</x:f>
        <x:v>1</x:v>
      </x:c>
      <x:c r="K67" s="188" t="n">
        <x:f>IF(AND(D67&lt;=5,F67=0),1,0)</x:f>
        <x:v>1</x:v>
      </x:c>
      <x:c r="L67" s="188" t="n">
        <x:f>IF(F67=1,'01_ВВОД'!$D$23,CHOOSE(D67,'01_ВВОД'!$D$19,'01_ВВОД'!$D$19,'01_ВВОД'!$D$19,'01_ВВОД'!$D$19,'01_ВВОД'!$D$20,'01_ВВОД'!$D$21,'01_ВВОД'!$D$22))</x:f>
        <x:v>32</x:v>
      </x:c>
      <x:c r="M67" s="188" t="n">
        <x:f>L67*IF(H67=1,'01_ВВОД'!$D$118,1)</x:f>
        <x:v>32</x:v>
      </x:c>
      <x:c r="N67" s="188" t="n">
        <x:f>IF(K67=1,'01_ВВОД'!$D$26,0)</x:f>
        <x:v>40</x:v>
      </x:c>
      <x:c r="O67" s="188" t="n">
        <x:f>IF(F67=1,'01_ВВОД'!$D$34,IF(D67&lt;=5,'01_ВВОД'!$D$32,'01_ВВОД'!$D$33))</x:f>
        <x:v>15</x:v>
      </x:c>
      <x:c r="P67" s="188" t="n">
        <x:f>O67</x:f>
        <x:v>15</x:v>
      </x:c>
      <x:c r="Q67" s="188" t="n">
        <x:f>'01_ВВОД'!$D$40</x:f>
        <x:v>12</x:v>
      </x:c>
      <x:c r="R67" s="188" t="n">
        <x:f>'01_ВВОД'!$D$46</x:f>
        <x:v>20</x:v>
      </x:c>
      <x:c r="S67" s="188" t="n">
        <x:f>H67</x:f>
        <x:v>0</x:v>
      </x:c>
      <x:c r="T67" s="188" t="n">
        <x:f>IF(H67=1,M67+N67+P67+Q67,0)</x:f>
        <x:v>0</x:v>
      </x:c>
      <x:c r="U67" t="n">
        <x:f>'01_ВВОД'!$D$120</x:f>
        <x:v>10</x:v>
      </x:c>
      <x:c r="V67" t="n">
        <x:f>ROUNDDOWN(SUM(M67,N67,R67,U67)*'01_ВВОД'!$D$127,0)</x:f>
        <x:v>51</x:v>
      </x:c>
      <x:c r="W67" t="n">
        <x:f>ROUNDDOWN(SUM(L67,N67,R67,U67)*'01_ВВОД'!$D$127,0)</x:f>
        <x:v>51</x:v>
      </x:c>
    </x:row>
    <x:row r="68">
      <x:c r="A68" s="200" t="n">
        <x:v>46329</x:v>
      </x:c>
      <x:c r="B68" s="201" t="n">
        <x:v>3</x:v>
      </x:c>
      <x:c r="C68" s="201" t="inlineStr">
        <x:is>
          <x:t xml:space="preserve">Ноя-26</x:t>
        </x:is>
      </x:c>
      <x:c r="D68" s="201" t="n">
        <x:v>2</x:v>
      </x:c>
      <x:c r="E68" s="201" t="inlineStr">
        <x:is>
          <x:t xml:space="preserve">Вт</x:t>
        </x:is>
      </x:c>
      <x:c r="F68" s="199" t="n">
        <x:v>0</x:v>
      </x:c>
      <x:c r="G68" s="201" t="str"/>
      <x:c r="H68" s="193" t="n">
        <x:v>0</x:v>
      </x:c>
      <x:c r="I68" s="201" t="str"/>
      <x:c r="J68" s="188" t="n">
        <x:f>1</x:f>
        <x:v>1</x:v>
      </x:c>
      <x:c r="K68" s="188" t="n">
        <x:f>IF(AND(D68&lt;=5,F68=0),1,0)</x:f>
        <x:v>1</x:v>
      </x:c>
      <x:c r="L68" s="188" t="n">
        <x:f>IF(F68=1,'01_ВВОД'!$D$23,CHOOSE(D68,'01_ВВОД'!$D$19,'01_ВВОД'!$D$19,'01_ВВОД'!$D$19,'01_ВВОД'!$D$19,'01_ВВОД'!$D$20,'01_ВВОД'!$D$21,'01_ВВОД'!$D$22))</x:f>
        <x:v>32</x:v>
      </x:c>
      <x:c r="M68" s="188" t="n">
        <x:f>L68*IF(H68=1,'01_ВВОД'!$D$118,1)</x:f>
        <x:v>32</x:v>
      </x:c>
      <x:c r="N68" s="188" t="n">
        <x:f>IF(K68=1,'01_ВВОД'!$D$26,0)</x:f>
        <x:v>40</x:v>
      </x:c>
      <x:c r="O68" s="188" t="n">
        <x:f>IF(F68=1,'01_ВВОД'!$D$34,IF(D68&lt;=5,'01_ВВОД'!$D$32,'01_ВВОД'!$D$33))</x:f>
        <x:v>15</x:v>
      </x:c>
      <x:c r="P68" s="188" t="n">
        <x:f>O68</x:f>
        <x:v>15</x:v>
      </x:c>
      <x:c r="Q68" s="188" t="n">
        <x:f>'01_ВВОД'!$D$40</x:f>
        <x:v>12</x:v>
      </x:c>
      <x:c r="R68" s="188" t="n">
        <x:f>'01_ВВОД'!$D$46</x:f>
        <x:v>20</x:v>
      </x:c>
      <x:c r="S68" s="188" t="n">
        <x:f>H68</x:f>
        <x:v>0</x:v>
      </x:c>
      <x:c r="T68" s="188" t="n">
        <x:f>IF(H68=1,M68+N68+P68+Q68,0)</x:f>
        <x:v>0</x:v>
      </x:c>
      <x:c r="U68" t="n">
        <x:f>'01_ВВОД'!$D$120</x:f>
        <x:v>10</x:v>
      </x:c>
      <x:c r="V68" t="n">
        <x:f>ROUNDDOWN(SUM(M68,N68,R68,U68)*'01_ВВОД'!$D$127,0)</x:f>
        <x:v>51</x:v>
      </x:c>
      <x:c r="W68" t="n">
        <x:f>ROUNDDOWN(SUM(L68,N68,R68,U68)*'01_ВВОД'!$D$127,0)</x:f>
        <x:v>51</x:v>
      </x:c>
    </x:row>
    <x:row r="69">
      <x:c r="A69" s="200" t="n">
        <x:v>46330</x:v>
      </x:c>
      <x:c r="B69" s="201" t="n">
        <x:v>3</x:v>
      </x:c>
      <x:c r="C69" s="201" t="inlineStr">
        <x:is>
          <x:t xml:space="preserve">Ноя-26</x:t>
        </x:is>
      </x:c>
      <x:c r="D69" s="201" t="n">
        <x:v>3</x:v>
      </x:c>
      <x:c r="E69" s="201" t="inlineStr">
        <x:is>
          <x:t xml:space="preserve">Ср</x:t>
        </x:is>
      </x:c>
      <x:c r="F69" s="199" t="n">
        <x:v>1</x:v>
      </x:c>
      <x:c r="G69" s="201" t="inlineStr">
        <x:is>
          <x:t xml:space="preserve">Подтверждено для 2026</x:t>
        </x:is>
      </x:c>
      <x:c r="H69" s="193" t="n">
        <x:v>0</x:v>
      </x:c>
      <x:c r="I69" s="201" t="str"/>
      <x:c r="J69" s="188" t="n">
        <x:f>1</x:f>
        <x:v>1</x:v>
      </x:c>
      <x:c r="K69" s="188" t="n">
        <x:f>IF(AND(D69&lt;=5,F69=0),1,0)</x:f>
        <x:v>0</x:v>
      </x:c>
      <x:c r="L69" s="188" t="n">
        <x:f>IF(F69=1,'01_ВВОД'!$D$23,CHOOSE(D69,'01_ВВОД'!$D$19,'01_ВВОД'!$D$19,'01_ВВОД'!$D$19,'01_ВВОД'!$D$19,'01_ВВОД'!$D$20,'01_ВВОД'!$D$21,'01_ВВОД'!$D$22))</x:f>
        <x:v>70</x:v>
      </x:c>
      <x:c r="M69" s="188" t="n">
        <x:f>L69*IF(H69=1,'01_ВВОД'!$D$118,1)</x:f>
        <x:v>70</x:v>
      </x:c>
      <x:c r="N69" s="188" t="n">
        <x:f>IF(K69=1,'01_ВВОД'!$D$26,0)</x:f>
        <x:v>0</x:v>
      </x:c>
      <x:c r="O69" s="188" t="n">
        <x:f>IF(F69=1,'01_ВВОД'!$D$34,IF(D69&lt;=5,'01_ВВОД'!$D$32,'01_ВВОД'!$D$33))</x:f>
        <x:v>30</x:v>
      </x:c>
      <x:c r="P69" s="188" t="n">
        <x:f>O69</x:f>
        <x:v>30</x:v>
      </x:c>
      <x:c r="Q69" s="188" t="n">
        <x:f>'01_ВВОД'!$D$40</x:f>
        <x:v>12</x:v>
      </x:c>
      <x:c r="R69" s="188" t="n">
        <x:f>'01_ВВОД'!$D$46</x:f>
        <x:v>20</x:v>
      </x:c>
      <x:c r="S69" s="188" t="n">
        <x:f>H69</x:f>
        <x:v>0</x:v>
      </x:c>
      <x:c r="T69" s="188" t="n">
        <x:f>IF(H69=1,M69+N69+P69+Q69,0)</x:f>
        <x:v>0</x:v>
      </x:c>
      <x:c r="U69" t="n">
        <x:f>'01_ВВОД'!$D$120</x:f>
        <x:v>10</x:v>
      </x:c>
      <x:c r="V69" t="n">
        <x:f>ROUNDDOWN(SUM(M69,N69,R69,U69)*'01_ВВОД'!$D$127,0)</x:f>
        <x:v>50</x:v>
      </x:c>
      <x:c r="W69" t="n">
        <x:f>ROUNDDOWN(SUM(L69,N69,R69,U69)*'01_ВВОД'!$D$127,0)</x:f>
        <x:v>50</x:v>
      </x:c>
    </x:row>
    <x:row r="70">
      <x:c r="A70" s="200" t="n">
        <x:v>46331</x:v>
      </x:c>
      <x:c r="B70" s="201" t="n">
        <x:v>3</x:v>
      </x:c>
      <x:c r="C70" s="201" t="inlineStr">
        <x:is>
          <x:t xml:space="preserve">Ноя-26</x:t>
        </x:is>
      </x:c>
      <x:c r="D70" s="201" t="n">
        <x:v>4</x:v>
      </x:c>
      <x:c r="E70" s="201" t="inlineStr">
        <x:is>
          <x:t xml:space="preserve">Чт</x:t>
        </x:is>
      </x:c>
      <x:c r="F70" s="199" t="n">
        <x:v>0</x:v>
      </x:c>
      <x:c r="G70" s="201" t="str"/>
      <x:c r="H70" s="193" t="n">
        <x:v>0</x:v>
      </x:c>
      <x:c r="I70" s="201" t="str"/>
      <x:c r="J70" s="188" t="n">
        <x:f>1</x:f>
        <x:v>1</x:v>
      </x:c>
      <x:c r="K70" s="188" t="n">
        <x:f>IF(AND(D70&lt;=5,F70=0),1,0)</x:f>
        <x:v>1</x:v>
      </x:c>
      <x:c r="L70" s="188" t="n">
        <x:f>IF(F70=1,'01_ВВОД'!$D$23,CHOOSE(D70,'01_ВВОД'!$D$19,'01_ВВОД'!$D$19,'01_ВВОД'!$D$19,'01_ВВОД'!$D$19,'01_ВВОД'!$D$20,'01_ВВОД'!$D$21,'01_ВВОД'!$D$22))</x:f>
        <x:v>32</x:v>
      </x:c>
      <x:c r="M70" s="188" t="n">
        <x:f>L70*IF(H70=1,'01_ВВОД'!$D$118,1)</x:f>
        <x:v>32</x:v>
      </x:c>
      <x:c r="N70" s="188" t="n">
        <x:f>IF(K70=1,'01_ВВОД'!$D$26,0)</x:f>
        <x:v>40</x:v>
      </x:c>
      <x:c r="O70" s="188" t="n">
        <x:f>IF(F70=1,'01_ВВОД'!$D$34,IF(D70&lt;=5,'01_ВВОД'!$D$32,'01_ВВОД'!$D$33))</x:f>
        <x:v>15</x:v>
      </x:c>
      <x:c r="P70" s="188" t="n">
        <x:f>O70</x:f>
        <x:v>15</x:v>
      </x:c>
      <x:c r="Q70" s="188" t="n">
        <x:f>'01_ВВОД'!$D$40</x:f>
        <x:v>12</x:v>
      </x:c>
      <x:c r="R70" s="188" t="n">
        <x:f>'01_ВВОД'!$D$46</x:f>
        <x:v>20</x:v>
      </x:c>
      <x:c r="S70" s="188" t="n">
        <x:f>H70</x:f>
        <x:v>0</x:v>
      </x:c>
      <x:c r="T70" s="188" t="n">
        <x:f>IF(H70=1,M70+N70+P70+Q70,0)</x:f>
        <x:v>0</x:v>
      </x:c>
      <x:c r="U70" t="n">
        <x:f>'01_ВВОД'!$D$120</x:f>
        <x:v>10</x:v>
      </x:c>
      <x:c r="V70" t="n">
        <x:f>ROUNDDOWN(SUM(M70,N70,R70,U70)*'01_ВВОД'!$D$127,0)</x:f>
        <x:v>51</x:v>
      </x:c>
      <x:c r="W70" t="n">
        <x:f>ROUNDDOWN(SUM(L70,N70,R70,U70)*'01_ВВОД'!$D$127,0)</x:f>
        <x:v>51</x:v>
      </x:c>
    </x:row>
    <x:row r="71">
      <x:c r="A71" s="200" t="n">
        <x:v>46332</x:v>
      </x:c>
      <x:c r="B71" s="201" t="n">
        <x:v>3</x:v>
      </x:c>
      <x:c r="C71" s="201" t="inlineStr">
        <x:is>
          <x:t xml:space="preserve">Ноя-26</x:t>
        </x:is>
      </x:c>
      <x:c r="D71" s="201" t="n">
        <x:v>5</x:v>
      </x:c>
      <x:c r="E71" s="201" t="inlineStr">
        <x:is>
          <x:t xml:space="preserve">Пт</x:t>
        </x:is>
      </x:c>
      <x:c r="F71" s="199" t="n">
        <x:v>0</x:v>
      </x:c>
      <x:c r="G71" s="201" t="str"/>
      <x:c r="H71" s="193" t="n">
        <x:v>0</x:v>
      </x:c>
      <x:c r="I71" s="201" t="str"/>
      <x:c r="J71" s="188" t="n">
        <x:f>1</x:f>
        <x:v>1</x:v>
      </x:c>
      <x:c r="K71" s="188" t="n">
        <x:f>IF(AND(D71&lt;=5,F71=0),1,0)</x:f>
        <x:v>1</x:v>
      </x:c>
      <x:c r="L71" s="188" t="n">
        <x:f>IF(F71=1,'01_ВВОД'!$D$23,CHOOSE(D71,'01_ВВОД'!$D$19,'01_ВВОД'!$D$19,'01_ВВОД'!$D$19,'01_ВВОД'!$D$19,'01_ВВОД'!$D$20,'01_ВВОД'!$D$21,'01_ВВОД'!$D$22))</x:f>
        <x:v>45</x:v>
      </x:c>
      <x:c r="M71" s="188" t="n">
        <x:f>L71*IF(H71=1,'01_ВВОД'!$D$118,1)</x:f>
        <x:v>45</x:v>
      </x:c>
      <x:c r="N71" s="188" t="n">
        <x:f>IF(K71=1,'01_ВВОД'!$D$26,0)</x:f>
        <x:v>40</x:v>
      </x:c>
      <x:c r="O71" s="188" t="n">
        <x:f>IF(F71=1,'01_ВВОД'!$D$34,IF(D71&lt;=5,'01_ВВОД'!$D$32,'01_ВВОД'!$D$33))</x:f>
        <x:v>15</x:v>
      </x:c>
      <x:c r="P71" s="188" t="n">
        <x:f>O71</x:f>
        <x:v>15</x:v>
      </x:c>
      <x:c r="Q71" s="188" t="n">
        <x:f>'01_ВВОД'!$D$40</x:f>
        <x:v>12</x:v>
      </x:c>
      <x:c r="R71" s="188" t="n">
        <x:f>'01_ВВОД'!$D$46</x:f>
        <x:v>20</x:v>
      </x:c>
      <x:c r="S71" s="188" t="n">
        <x:f>H71</x:f>
        <x:v>0</x:v>
      </x:c>
      <x:c r="T71" s="188" t="n">
        <x:f>IF(H71=1,M71+N71+P71+Q71,0)</x:f>
        <x:v>0</x:v>
      </x:c>
      <x:c r="U71" t="n">
        <x:f>'01_ВВОД'!$D$120</x:f>
        <x:v>10</x:v>
      </x:c>
      <x:c r="V71" t="n">
        <x:f>ROUNDDOWN(SUM(M71,N71,R71,U71)*'01_ВВОД'!$D$127,0)</x:f>
        <x:v>57</x:v>
      </x:c>
      <x:c r="W71" t="n">
        <x:f>ROUNDDOWN(SUM(L71,N71,R71,U71)*'01_ВВОД'!$D$127,0)</x:f>
        <x:v>57</x:v>
      </x:c>
    </x:row>
    <x:row r="72">
      <x:c r="A72" s="200" t="n">
        <x:v>46333</x:v>
      </x:c>
      <x:c r="B72" s="201" t="n">
        <x:v>3</x:v>
      </x:c>
      <x:c r="C72" s="201" t="inlineStr">
        <x:is>
          <x:t xml:space="preserve">Ноя-26</x:t>
        </x:is>
      </x:c>
      <x:c r="D72" s="201" t="n">
        <x:v>6</x:v>
      </x:c>
      <x:c r="E72" s="201" t="inlineStr">
        <x:is>
          <x:t xml:space="preserve">Сб</x:t>
        </x:is>
      </x:c>
      <x:c r="F72" s="199" t="n">
        <x:v>0</x:v>
      </x:c>
      <x:c r="G72" s="201" t="str"/>
      <x:c r="H72" s="193" t="n">
        <x:v>1</x:v>
      </x:c>
      <x:c r="I72" s="201" t="inlineStr">
        <x:is>
          <x:t xml:space="preserve">Пт–Вс</x:t>
        </x:is>
      </x:c>
      <x:c r="J72" s="188" t="n">
        <x:f>1</x:f>
        <x:v>1</x:v>
      </x:c>
      <x:c r="K72" s="188" t="n">
        <x:f>IF(AND(D72&lt;=5,F72=0),1,0)</x:f>
        <x:v>0</x:v>
      </x:c>
      <x:c r="L72" s="188" t="n">
        <x:f>IF(F72=1,'01_ВВОД'!$D$23,CHOOSE(D72,'01_ВВОД'!$D$19,'01_ВВОД'!$D$19,'01_ВВОД'!$D$19,'01_ВВОД'!$D$19,'01_ВВОД'!$D$20,'01_ВВОД'!$D$21,'01_ВВОД'!$D$22))</x:f>
        <x:v>80</x:v>
      </x:c>
      <x:c r="M72" s="188" t="n">
        <x:f>L72*IF(H72=1,'01_ВВОД'!$D$118,1)</x:f>
        <x:v>16</x:v>
      </x:c>
      <x:c r="N72" s="188" t="n">
        <x:f>IF(K72=1,'01_ВВОД'!$D$26,0)</x:f>
        <x:v>0</x:v>
      </x:c>
      <x:c r="O72" s="188" t="n">
        <x:f>IF(F72=1,'01_ВВОД'!$D$34,IF(D72&lt;=5,'01_ВВОД'!$D$32,'01_ВВОД'!$D$33))</x:f>
        <x:v>30</x:v>
      </x:c>
      <x:c r="P72" s="188" t="n">
        <x:f>O72</x:f>
        <x:v>30</x:v>
      </x:c>
      <x:c r="Q72" s="188" t="n">
        <x:f>'01_ВВОД'!$D$40</x:f>
        <x:v>12</x:v>
      </x:c>
      <x:c r="R72" s="188" t="n">
        <x:f>'01_ВВОД'!$D$46</x:f>
        <x:v>20</x:v>
      </x:c>
      <x:c r="S72" s="188" t="n">
        <x:f>H72</x:f>
        <x:v>1</x:v>
      </x:c>
      <x:c r="T72" s="188" t="n">
        <x:f>IF(H72=1,M72+N72+P72+Q72,0)</x:f>
        <x:v>58</x:v>
      </x:c>
      <x:c r="U72" t="n">
        <x:f>'01_ВВОД'!$D$120</x:f>
        <x:v>10</x:v>
      </x:c>
      <x:c r="V72" t="n">
        <x:f>ROUNDDOWN(SUM(M72,N72,R72,U72)*'01_ВВОД'!$D$127,0)</x:f>
        <x:v>23</x:v>
      </x:c>
      <x:c r="W72" t="n">
        <x:f>ROUNDDOWN(SUM(L72,N72,R72,U72)*'01_ВВОД'!$D$127,0)</x:f>
        <x:v>55</x:v>
      </x:c>
    </x:row>
    <x:row r="73">
      <x:c r="A73" s="200" t="n">
        <x:v>46334</x:v>
      </x:c>
      <x:c r="B73" s="201" t="n">
        <x:v>3</x:v>
      </x:c>
      <x:c r="C73" s="201" t="inlineStr">
        <x:is>
          <x:t xml:space="preserve">Ноя-26</x:t>
        </x:is>
      </x:c>
      <x:c r="D73" s="201" t="n">
        <x:v>7</x:v>
      </x:c>
      <x:c r="E73" s="201" t="inlineStr">
        <x:is>
          <x:t xml:space="preserve">Вс</x:t>
        </x:is>
      </x:c>
      <x:c r="F73" s="199" t="n">
        <x:v>0</x:v>
      </x:c>
      <x:c r="G73" s="201" t="str"/>
      <x:c r="H73" s="193" t="n">
        <x:v>0</x:v>
      </x:c>
      <x:c r="I73" s="201" t="str"/>
      <x:c r="J73" s="188" t="n">
        <x:f>1</x:f>
        <x:v>1</x:v>
      </x:c>
      <x:c r="K73" s="188" t="n">
        <x:f>IF(AND(D73&lt;=5,F73=0),1,0)</x:f>
        <x:v>0</x:v>
      </x:c>
      <x:c r="L73" s="188" t="n">
        <x:f>IF(F73=1,'01_ВВОД'!$D$23,CHOOSE(D73,'01_ВВОД'!$D$19,'01_ВВОД'!$D$19,'01_ВВОД'!$D$19,'01_ВВОД'!$D$19,'01_ВВОД'!$D$20,'01_ВВОД'!$D$21,'01_ВВОД'!$D$22))</x:f>
        <x:v>70</x:v>
      </x:c>
      <x:c r="M73" s="188" t="n">
        <x:f>L73*IF(H73=1,'01_ВВОД'!$D$118,1)</x:f>
        <x:v>70</x:v>
      </x:c>
      <x:c r="N73" s="188" t="n">
        <x:f>IF(K73=1,'01_ВВОД'!$D$26,0)</x:f>
        <x:v>0</x:v>
      </x:c>
      <x:c r="O73" s="188" t="n">
        <x:f>IF(F73=1,'01_ВВОД'!$D$34,IF(D73&lt;=5,'01_ВВОД'!$D$32,'01_ВВОД'!$D$33))</x:f>
        <x:v>30</x:v>
      </x:c>
      <x:c r="P73" s="188" t="n">
        <x:f>O73</x:f>
        <x:v>30</x:v>
      </x:c>
      <x:c r="Q73" s="188" t="n">
        <x:f>'01_ВВОД'!$D$40</x:f>
        <x:v>12</x:v>
      </x:c>
      <x:c r="R73" s="188" t="n">
        <x:f>'01_ВВОД'!$D$46</x:f>
        <x:v>20</x:v>
      </x:c>
      <x:c r="S73" s="188" t="n">
        <x:f>H73</x:f>
        <x:v>0</x:v>
      </x:c>
      <x:c r="T73" s="188" t="n">
        <x:f>IF(H73=1,M73+N73+P73+Q73,0)</x:f>
        <x:v>0</x:v>
      </x:c>
      <x:c r="U73" t="n">
        <x:f>'01_ВВОД'!$D$120</x:f>
        <x:v>10</x:v>
      </x:c>
      <x:c r="V73" t="n">
        <x:f>ROUNDDOWN(SUM(M73,N73,R73,U73)*'01_ВВОД'!$D$127,0)</x:f>
        <x:v>50</x:v>
      </x:c>
      <x:c r="W73" t="n">
        <x:f>ROUNDDOWN(SUM(L73,N73,R73,U73)*'01_ВВОД'!$D$127,0)</x:f>
        <x:v>50</x:v>
      </x:c>
    </x:row>
    <x:row r="74">
      <x:c r="A74" s="200" t="n">
        <x:v>46335</x:v>
      </x:c>
      <x:c r="B74" s="201" t="n">
        <x:v>3</x:v>
      </x:c>
      <x:c r="C74" s="201" t="inlineStr">
        <x:is>
          <x:t xml:space="preserve">Ноя-26</x:t>
        </x:is>
      </x:c>
      <x:c r="D74" s="201" t="n">
        <x:v>1</x:v>
      </x:c>
      <x:c r="E74" s="201" t="inlineStr">
        <x:is>
          <x:t xml:space="preserve">Пн</x:t>
        </x:is>
      </x:c>
      <x:c r="F74" s="199" t="n">
        <x:v>0</x:v>
      </x:c>
      <x:c r="G74" s="201" t="str"/>
      <x:c r="H74" s="193" t="n">
        <x:v>0</x:v>
      </x:c>
      <x:c r="I74" s="201" t="str"/>
      <x:c r="J74" s="188" t="n">
        <x:f>1</x:f>
        <x:v>1</x:v>
      </x:c>
      <x:c r="K74" s="188" t="n">
        <x:f>IF(AND(D74&lt;=5,F74=0),1,0)</x:f>
        <x:v>1</x:v>
      </x:c>
      <x:c r="L74" s="188" t="n">
        <x:f>IF(F74=1,'01_ВВОД'!$D$23,CHOOSE(D74,'01_ВВОД'!$D$19,'01_ВВОД'!$D$19,'01_ВВОД'!$D$19,'01_ВВОД'!$D$19,'01_ВВОД'!$D$20,'01_ВВОД'!$D$21,'01_ВВОД'!$D$22))</x:f>
        <x:v>32</x:v>
      </x:c>
      <x:c r="M74" s="188" t="n">
        <x:f>L74*IF(H74=1,'01_ВВОД'!$D$118,1)</x:f>
        <x:v>32</x:v>
      </x:c>
      <x:c r="N74" s="188" t="n">
        <x:f>IF(K74=1,'01_ВВОД'!$D$26,0)</x:f>
        <x:v>40</x:v>
      </x:c>
      <x:c r="O74" s="188" t="n">
        <x:f>IF(F74=1,'01_ВВОД'!$D$34,IF(D74&lt;=5,'01_ВВОД'!$D$32,'01_ВВОД'!$D$33))</x:f>
        <x:v>15</x:v>
      </x:c>
      <x:c r="P74" s="188" t="n">
        <x:f>O74</x:f>
        <x:v>15</x:v>
      </x:c>
      <x:c r="Q74" s="188" t="n">
        <x:f>'01_ВВОД'!$D$40</x:f>
        <x:v>12</x:v>
      </x:c>
      <x:c r="R74" s="188" t="n">
        <x:f>'01_ВВОД'!$D$46</x:f>
        <x:v>20</x:v>
      </x:c>
      <x:c r="S74" s="188" t="n">
        <x:f>H74</x:f>
        <x:v>0</x:v>
      </x:c>
      <x:c r="T74" s="188" t="n">
        <x:f>IF(H74=1,M74+N74+P74+Q74,0)</x:f>
        <x:v>0</x:v>
      </x:c>
      <x:c r="U74" t="n">
        <x:f>'01_ВВОД'!$D$120</x:f>
        <x:v>10</x:v>
      </x:c>
      <x:c r="V74" t="n">
        <x:f>ROUNDDOWN(SUM(M74,N74,R74,U74)*'01_ВВОД'!$D$127,0)</x:f>
        <x:v>51</x:v>
      </x:c>
      <x:c r="W74" t="n">
        <x:f>ROUNDDOWN(SUM(L74,N74,R74,U74)*'01_ВВОД'!$D$127,0)</x:f>
        <x:v>51</x:v>
      </x:c>
    </x:row>
    <x:row r="75">
      <x:c r="A75" s="200" t="n">
        <x:v>46336</x:v>
      </x:c>
      <x:c r="B75" s="201" t="n">
        <x:v>3</x:v>
      </x:c>
      <x:c r="C75" s="201" t="inlineStr">
        <x:is>
          <x:t xml:space="preserve">Ноя-26</x:t>
        </x:is>
      </x:c>
      <x:c r="D75" s="201" t="n">
        <x:v>2</x:v>
      </x:c>
      <x:c r="E75" s="201" t="inlineStr">
        <x:is>
          <x:t xml:space="preserve">Вт</x:t>
        </x:is>
      </x:c>
      <x:c r="F75" s="199" t="n">
        <x:v>0</x:v>
      </x:c>
      <x:c r="G75" s="201" t="str"/>
      <x:c r="H75" s="193" t="n">
        <x:v>0</x:v>
      </x:c>
      <x:c r="I75" s="201" t="str"/>
      <x:c r="J75" s="188" t="n">
        <x:f>1</x:f>
        <x:v>1</x:v>
      </x:c>
      <x:c r="K75" s="188" t="n">
        <x:f>IF(AND(D75&lt;=5,F75=0),1,0)</x:f>
        <x:v>1</x:v>
      </x:c>
      <x:c r="L75" s="188" t="n">
        <x:f>IF(F75=1,'01_ВВОД'!$D$23,CHOOSE(D75,'01_ВВОД'!$D$19,'01_ВВОД'!$D$19,'01_ВВОД'!$D$19,'01_ВВОД'!$D$19,'01_ВВОД'!$D$20,'01_ВВОД'!$D$21,'01_ВВОД'!$D$22))</x:f>
        <x:v>32</x:v>
      </x:c>
      <x:c r="M75" s="188" t="n">
        <x:f>L75*IF(H75=1,'01_ВВОД'!$D$118,1)</x:f>
        <x:v>32</x:v>
      </x:c>
      <x:c r="N75" s="188" t="n">
        <x:f>IF(K75=1,'01_ВВОД'!$D$26,0)</x:f>
        <x:v>40</x:v>
      </x:c>
      <x:c r="O75" s="188" t="n">
        <x:f>IF(F75=1,'01_ВВОД'!$D$34,IF(D75&lt;=5,'01_ВВОД'!$D$32,'01_ВВОД'!$D$33))</x:f>
        <x:v>15</x:v>
      </x:c>
      <x:c r="P75" s="188" t="n">
        <x:f>O75</x:f>
        <x:v>15</x:v>
      </x:c>
      <x:c r="Q75" s="188" t="n">
        <x:f>'01_ВВОД'!$D$40</x:f>
        <x:v>12</x:v>
      </x:c>
      <x:c r="R75" s="188" t="n">
        <x:f>'01_ВВОД'!$D$46</x:f>
        <x:v>20</x:v>
      </x:c>
      <x:c r="S75" s="188" t="n">
        <x:f>H75</x:f>
        <x:v>0</x:v>
      </x:c>
      <x:c r="T75" s="188" t="n">
        <x:f>IF(H75=1,M75+N75+P75+Q75,0)</x:f>
        <x:v>0</x:v>
      </x:c>
      <x:c r="U75" t="n">
        <x:f>'01_ВВОД'!$D$120</x:f>
        <x:v>10</x:v>
      </x:c>
      <x:c r="V75" t="n">
        <x:f>ROUNDDOWN(SUM(M75,N75,R75,U75)*'01_ВВОД'!$D$127,0)</x:f>
        <x:v>51</x:v>
      </x:c>
      <x:c r="W75" t="n">
        <x:f>ROUNDDOWN(SUM(L75,N75,R75,U75)*'01_ВВОД'!$D$127,0)</x:f>
        <x:v>51</x:v>
      </x:c>
    </x:row>
    <x:row r="76">
      <x:c r="A76" s="200" t="n">
        <x:v>46337</x:v>
      </x:c>
      <x:c r="B76" s="201" t="n">
        <x:v>3</x:v>
      </x:c>
      <x:c r="C76" s="201" t="inlineStr">
        <x:is>
          <x:t xml:space="preserve">Ноя-26</x:t>
        </x:is>
      </x:c>
      <x:c r="D76" s="201" t="n">
        <x:v>3</x:v>
      </x:c>
      <x:c r="E76" s="201" t="inlineStr">
        <x:is>
          <x:t xml:space="preserve">Ср</x:t>
        </x:is>
      </x:c>
      <x:c r="F76" s="199" t="n">
        <x:v>0</x:v>
      </x:c>
      <x:c r="G76" s="201" t="str"/>
      <x:c r="H76" s="193" t="n">
        <x:v>0</x:v>
      </x:c>
      <x:c r="I76" s="201" t="str"/>
      <x:c r="J76" s="188" t="n">
        <x:f>1</x:f>
        <x:v>1</x:v>
      </x:c>
      <x:c r="K76" s="188" t="n">
        <x:f>IF(AND(D76&lt;=5,F76=0),1,0)</x:f>
        <x:v>1</x:v>
      </x:c>
      <x:c r="L76" s="188" t="n">
        <x:f>IF(F76=1,'01_ВВОД'!$D$23,CHOOSE(D76,'01_ВВОД'!$D$19,'01_ВВОД'!$D$19,'01_ВВОД'!$D$19,'01_ВВОД'!$D$19,'01_ВВОД'!$D$20,'01_ВВОД'!$D$21,'01_ВВОД'!$D$22))</x:f>
        <x:v>32</x:v>
      </x:c>
      <x:c r="M76" s="188" t="n">
        <x:f>L76*IF(H76=1,'01_ВВОД'!$D$118,1)</x:f>
        <x:v>32</x:v>
      </x:c>
      <x:c r="N76" s="188" t="n">
        <x:f>IF(K76=1,'01_ВВОД'!$D$26,0)</x:f>
        <x:v>40</x:v>
      </x:c>
      <x:c r="O76" s="188" t="n">
        <x:f>IF(F76=1,'01_ВВОД'!$D$34,IF(D76&lt;=5,'01_ВВОД'!$D$32,'01_ВВОД'!$D$33))</x:f>
        <x:v>15</x:v>
      </x:c>
      <x:c r="P76" s="188" t="n">
        <x:f>O76</x:f>
        <x:v>15</x:v>
      </x:c>
      <x:c r="Q76" s="188" t="n">
        <x:f>'01_ВВОД'!$D$40</x:f>
        <x:v>12</x:v>
      </x:c>
      <x:c r="R76" s="188" t="n">
        <x:f>'01_ВВОД'!$D$46</x:f>
        <x:v>20</x:v>
      </x:c>
      <x:c r="S76" s="188" t="n">
        <x:f>H76</x:f>
        <x:v>0</x:v>
      </x:c>
      <x:c r="T76" s="188" t="n">
        <x:f>IF(H76=1,M76+N76+P76+Q76,0)</x:f>
        <x:v>0</x:v>
      </x:c>
      <x:c r="U76" t="n">
        <x:f>'01_ВВОД'!$D$120</x:f>
        <x:v>10</x:v>
      </x:c>
      <x:c r="V76" t="n">
        <x:f>ROUNDDOWN(SUM(M76,N76,R76,U76)*'01_ВВОД'!$D$127,0)</x:f>
        <x:v>51</x:v>
      </x:c>
      <x:c r="W76" t="n">
        <x:f>ROUNDDOWN(SUM(L76,N76,R76,U76)*'01_ВВОД'!$D$127,0)</x:f>
        <x:v>51</x:v>
      </x:c>
    </x:row>
    <x:row r="77">
      <x:c r="A77" s="200" t="n">
        <x:v>46338</x:v>
      </x:c>
      <x:c r="B77" s="201" t="n">
        <x:v>3</x:v>
      </x:c>
      <x:c r="C77" s="201" t="inlineStr">
        <x:is>
          <x:t xml:space="preserve">Ноя-26</x:t>
        </x:is>
      </x:c>
      <x:c r="D77" s="201" t="n">
        <x:v>4</x:v>
      </x:c>
      <x:c r="E77" s="201" t="inlineStr">
        <x:is>
          <x:t xml:space="preserve">Чт</x:t>
        </x:is>
      </x:c>
      <x:c r="F77" s="199" t="n">
        <x:v>0</x:v>
      </x:c>
      <x:c r="G77" s="201" t="str"/>
      <x:c r="H77" s="193" t="n">
        <x:v>0</x:v>
      </x:c>
      <x:c r="I77" s="201" t="str"/>
      <x:c r="J77" s="188" t="n">
        <x:f>1</x:f>
        <x:v>1</x:v>
      </x:c>
      <x:c r="K77" s="188" t="n">
        <x:f>IF(AND(D77&lt;=5,F77=0),1,0)</x:f>
        <x:v>1</x:v>
      </x:c>
      <x:c r="L77" s="188" t="n">
        <x:f>IF(F77=1,'01_ВВОД'!$D$23,CHOOSE(D77,'01_ВВОД'!$D$19,'01_ВВОД'!$D$19,'01_ВВОД'!$D$19,'01_ВВОД'!$D$19,'01_ВВОД'!$D$20,'01_ВВОД'!$D$21,'01_ВВОД'!$D$22))</x:f>
        <x:v>32</x:v>
      </x:c>
      <x:c r="M77" s="188" t="n">
        <x:f>L77*IF(H77=1,'01_ВВОД'!$D$118,1)</x:f>
        <x:v>32</x:v>
      </x:c>
      <x:c r="N77" s="188" t="n">
        <x:f>IF(K77=1,'01_ВВОД'!$D$26,0)</x:f>
        <x:v>40</x:v>
      </x:c>
      <x:c r="O77" s="188" t="n">
        <x:f>IF(F77=1,'01_ВВОД'!$D$34,IF(D77&lt;=5,'01_ВВОД'!$D$32,'01_ВВОД'!$D$33))</x:f>
        <x:v>15</x:v>
      </x:c>
      <x:c r="P77" s="188" t="n">
        <x:f>O77</x:f>
        <x:v>15</x:v>
      </x:c>
      <x:c r="Q77" s="188" t="n">
        <x:f>'01_ВВОД'!$D$40</x:f>
        <x:v>12</x:v>
      </x:c>
      <x:c r="R77" s="188" t="n">
        <x:f>'01_ВВОД'!$D$46</x:f>
        <x:v>20</x:v>
      </x:c>
      <x:c r="S77" s="188" t="n">
        <x:f>H77</x:f>
        <x:v>0</x:v>
      </x:c>
      <x:c r="T77" s="188" t="n">
        <x:f>IF(H77=1,M77+N77+P77+Q77,0)</x:f>
        <x:v>0</x:v>
      </x:c>
      <x:c r="U77" t="n">
        <x:f>'01_ВВОД'!$D$120</x:f>
        <x:v>10</x:v>
      </x:c>
      <x:c r="V77" t="n">
        <x:f>ROUNDDOWN(SUM(M77,N77,R77,U77)*'01_ВВОД'!$D$127,0)</x:f>
        <x:v>51</x:v>
      </x:c>
      <x:c r="W77" t="n">
        <x:f>ROUNDDOWN(SUM(L77,N77,R77,U77)*'01_ВВОД'!$D$127,0)</x:f>
        <x:v>51</x:v>
      </x:c>
    </x:row>
    <x:row r="78">
      <x:c r="A78" s="200" t="n">
        <x:v>46339</x:v>
      </x:c>
      <x:c r="B78" s="201" t="n">
        <x:v>3</x:v>
      </x:c>
      <x:c r="C78" s="201" t="inlineStr">
        <x:is>
          <x:t xml:space="preserve">Ноя-26</x:t>
        </x:is>
      </x:c>
      <x:c r="D78" s="201" t="n">
        <x:v>5</x:v>
      </x:c>
      <x:c r="E78" s="201" t="inlineStr">
        <x:is>
          <x:t xml:space="preserve">Пт</x:t>
        </x:is>
      </x:c>
      <x:c r="F78" s="199" t="n">
        <x:v>0</x:v>
      </x:c>
      <x:c r="G78" s="201" t="str"/>
      <x:c r="H78" s="193" t="n">
        <x:v>1</x:v>
      </x:c>
      <x:c r="I78" s="201" t="inlineStr">
        <x:is>
          <x:t xml:space="preserve">Пт–Вс</x:t>
        </x:is>
      </x:c>
      <x:c r="J78" s="188" t="n">
        <x:f>1</x:f>
        <x:v>1</x:v>
      </x:c>
      <x:c r="K78" s="188" t="n">
        <x:f>IF(AND(D78&lt;=5,F78=0),1,0)</x:f>
        <x:v>1</x:v>
      </x:c>
      <x:c r="L78" s="188" t="n">
        <x:f>IF(F78=1,'01_ВВОД'!$D$23,CHOOSE(D78,'01_ВВОД'!$D$19,'01_ВВОД'!$D$19,'01_ВВОД'!$D$19,'01_ВВОД'!$D$19,'01_ВВОД'!$D$20,'01_ВВОД'!$D$21,'01_ВВОД'!$D$22))</x:f>
        <x:v>45</x:v>
      </x:c>
      <x:c r="M78" s="188" t="n">
        <x:f>L78*IF(H78=1,'01_ВВОД'!$D$118,1)</x:f>
        <x:v>9</x:v>
      </x:c>
      <x:c r="N78" s="188" t="n">
        <x:f>IF(K78=1,'01_ВВОД'!$D$26,0)</x:f>
        <x:v>40</x:v>
      </x:c>
      <x:c r="O78" s="188" t="n">
        <x:f>IF(F78=1,'01_ВВОД'!$D$34,IF(D78&lt;=5,'01_ВВОД'!$D$32,'01_ВВОД'!$D$33))</x:f>
        <x:v>15</x:v>
      </x:c>
      <x:c r="P78" s="188" t="n">
        <x:f>O78</x:f>
        <x:v>15</x:v>
      </x:c>
      <x:c r="Q78" s="188" t="n">
        <x:f>'01_ВВОД'!$D$40</x:f>
        <x:v>12</x:v>
      </x:c>
      <x:c r="R78" s="188" t="n">
        <x:f>'01_ВВОД'!$D$46</x:f>
        <x:v>20</x:v>
      </x:c>
      <x:c r="S78" s="188" t="n">
        <x:f>H78</x:f>
        <x:v>1</x:v>
      </x:c>
      <x:c r="T78" s="188" t="n">
        <x:f>IF(H78=1,M78+N78+P78+Q78,0)</x:f>
        <x:v>76</x:v>
      </x:c>
      <x:c r="U78" t="n">
        <x:f>'01_ВВОД'!$D$120</x:f>
        <x:v>10</x:v>
      </x:c>
      <x:c r="V78" t="n">
        <x:f>ROUNDDOWN(SUM(M78,N78,R78,U78)*'01_ВВОД'!$D$127,0)</x:f>
        <x:v>39</x:v>
      </x:c>
      <x:c r="W78" t="n">
        <x:f>ROUNDDOWN(SUM(L78,N78,R78,U78)*'01_ВВОД'!$D$127,0)</x:f>
        <x:v>57</x:v>
      </x:c>
    </x:row>
    <x:row r="79">
      <x:c r="A79" s="200" t="n">
        <x:v>46340</x:v>
      </x:c>
      <x:c r="B79" s="201" t="n">
        <x:v>3</x:v>
      </x:c>
      <x:c r="C79" s="201" t="inlineStr">
        <x:is>
          <x:t xml:space="preserve">Ноя-26</x:t>
        </x:is>
      </x:c>
      <x:c r="D79" s="201" t="n">
        <x:v>6</x:v>
      </x:c>
      <x:c r="E79" s="201" t="inlineStr">
        <x:is>
          <x:t xml:space="preserve">Сб</x:t>
        </x:is>
      </x:c>
      <x:c r="F79" s="199" t="n">
        <x:v>0</x:v>
      </x:c>
      <x:c r="G79" s="201" t="str"/>
      <x:c r="H79" s="193" t="n">
        <x:v>0</x:v>
      </x:c>
      <x:c r="I79" s="201" t="str"/>
      <x:c r="J79" s="188" t="n">
        <x:f>1</x:f>
        <x:v>1</x:v>
      </x:c>
      <x:c r="K79" s="188" t="n">
        <x:f>IF(AND(D79&lt;=5,F79=0),1,0)</x:f>
        <x:v>0</x:v>
      </x:c>
      <x:c r="L79" s="188" t="n">
        <x:f>IF(F79=1,'01_ВВОД'!$D$23,CHOOSE(D79,'01_ВВОД'!$D$19,'01_ВВОД'!$D$19,'01_ВВОД'!$D$19,'01_ВВОД'!$D$19,'01_ВВОД'!$D$20,'01_ВВОД'!$D$21,'01_ВВОД'!$D$22))</x:f>
        <x:v>80</x:v>
      </x:c>
      <x:c r="M79" s="188" t="n">
        <x:f>L79*IF(H79=1,'01_ВВОД'!$D$118,1)</x:f>
        <x:v>80</x:v>
      </x:c>
      <x:c r="N79" s="188" t="n">
        <x:f>IF(K79=1,'01_ВВОД'!$D$26,0)</x:f>
        <x:v>0</x:v>
      </x:c>
      <x:c r="O79" s="188" t="n">
        <x:f>IF(F79=1,'01_ВВОД'!$D$34,IF(D79&lt;=5,'01_ВВОД'!$D$32,'01_ВВОД'!$D$33))</x:f>
        <x:v>30</x:v>
      </x:c>
      <x:c r="P79" s="188" t="n">
        <x:f>O79</x:f>
        <x:v>30</x:v>
      </x:c>
      <x:c r="Q79" s="188" t="n">
        <x:f>'01_ВВОД'!$D$40</x:f>
        <x:v>12</x:v>
      </x:c>
      <x:c r="R79" s="188" t="n">
        <x:f>'01_ВВОД'!$D$46</x:f>
        <x:v>20</x:v>
      </x:c>
      <x:c r="S79" s="188" t="n">
        <x:f>H79</x:f>
        <x:v>0</x:v>
      </x:c>
      <x:c r="T79" s="188" t="n">
        <x:f>IF(H79=1,M79+N79+P79+Q79,0)</x:f>
        <x:v>0</x:v>
      </x:c>
      <x:c r="U79" t="n">
        <x:f>'01_ВВОД'!$D$120</x:f>
        <x:v>10</x:v>
      </x:c>
      <x:c r="V79" t="n">
        <x:f>ROUNDDOWN(SUM(M79,N79,R79,U79)*'01_ВВОД'!$D$127,0)</x:f>
        <x:v>55</x:v>
      </x:c>
      <x:c r="W79" t="n">
        <x:f>ROUNDDOWN(SUM(L79,N79,R79,U79)*'01_ВВОД'!$D$127,0)</x:f>
        <x:v>55</x:v>
      </x:c>
    </x:row>
    <x:row r="80">
      <x:c r="A80" s="200" t="n">
        <x:v>46341</x:v>
      </x:c>
      <x:c r="B80" s="201" t="n">
        <x:v>3</x:v>
      </x:c>
      <x:c r="C80" s="201" t="inlineStr">
        <x:is>
          <x:t xml:space="preserve">Ноя-26</x:t>
        </x:is>
      </x:c>
      <x:c r="D80" s="201" t="n">
        <x:v>7</x:v>
      </x:c>
      <x:c r="E80" s="201" t="inlineStr">
        <x:is>
          <x:t xml:space="preserve">Вс</x:t>
        </x:is>
      </x:c>
      <x:c r="F80" s="199" t="n">
        <x:v>0</x:v>
      </x:c>
      <x:c r="G80" s="201" t="str"/>
      <x:c r="H80" s="193" t="n">
        <x:v>1</x:v>
      </x:c>
      <x:c r="I80" s="201" t="inlineStr">
        <x:is>
          <x:t xml:space="preserve">Пт–Вс</x:t>
        </x:is>
      </x:c>
      <x:c r="J80" s="188" t="n">
        <x:f>1</x:f>
        <x:v>1</x:v>
      </x:c>
      <x:c r="K80" s="188" t="n">
        <x:f>IF(AND(D80&lt;=5,F80=0),1,0)</x:f>
        <x:v>0</x:v>
      </x:c>
      <x:c r="L80" s="188" t="n">
        <x:f>IF(F80=1,'01_ВВОД'!$D$23,CHOOSE(D80,'01_ВВОД'!$D$19,'01_ВВОД'!$D$19,'01_ВВОД'!$D$19,'01_ВВОД'!$D$19,'01_ВВОД'!$D$20,'01_ВВОД'!$D$21,'01_ВВОД'!$D$22))</x:f>
        <x:v>70</x:v>
      </x:c>
      <x:c r="M80" s="188" t="n">
        <x:f>L80*IF(H80=1,'01_ВВОД'!$D$118,1)</x:f>
        <x:v>14</x:v>
      </x:c>
      <x:c r="N80" s="188" t="n">
        <x:f>IF(K80=1,'01_ВВОД'!$D$26,0)</x:f>
        <x:v>0</x:v>
      </x:c>
      <x:c r="O80" s="188" t="n">
        <x:f>IF(F80=1,'01_ВВОД'!$D$34,IF(D80&lt;=5,'01_ВВОД'!$D$32,'01_ВВОД'!$D$33))</x:f>
        <x:v>30</x:v>
      </x:c>
      <x:c r="P80" s="188" t="n">
        <x:f>O80</x:f>
        <x:v>30</x:v>
      </x:c>
      <x:c r="Q80" s="188" t="n">
        <x:f>'01_ВВОД'!$D$40</x:f>
        <x:v>12</x:v>
      </x:c>
      <x:c r="R80" s="188" t="n">
        <x:f>'01_ВВОД'!$D$46</x:f>
        <x:v>20</x:v>
      </x:c>
      <x:c r="S80" s="188" t="n">
        <x:f>H80</x:f>
        <x:v>1</x:v>
      </x:c>
      <x:c r="T80" s="188" t="n">
        <x:f>IF(H80=1,M80+N80+P80+Q80,0)</x:f>
        <x:v>56</x:v>
      </x:c>
      <x:c r="U80" t="n">
        <x:f>'01_ВВОД'!$D$120</x:f>
        <x:v>10</x:v>
      </x:c>
      <x:c r="V80" t="n">
        <x:f>ROUNDDOWN(SUM(M80,N80,R80,U80)*'01_ВВОД'!$D$127,0)</x:f>
        <x:v>22</x:v>
      </x:c>
      <x:c r="W80" t="n">
        <x:f>ROUNDDOWN(SUM(L80,N80,R80,U80)*'01_ВВОД'!$D$127,0)</x:f>
        <x:v>50</x:v>
      </x:c>
    </x:row>
    <x:row r="81">
      <x:c r="A81" s="200" t="n">
        <x:v>46342</x:v>
      </x:c>
      <x:c r="B81" s="201" t="n">
        <x:v>3</x:v>
      </x:c>
      <x:c r="C81" s="201" t="inlineStr">
        <x:is>
          <x:t xml:space="preserve">Ноя-26</x:t>
        </x:is>
      </x:c>
      <x:c r="D81" s="201" t="n">
        <x:v>1</x:v>
      </x:c>
      <x:c r="E81" s="201" t="inlineStr">
        <x:is>
          <x:t xml:space="preserve">Пн</x:t>
        </x:is>
      </x:c>
      <x:c r="F81" s="199" t="n">
        <x:v>0</x:v>
      </x:c>
      <x:c r="G81" s="201" t="str"/>
      <x:c r="H81" s="193" t="n">
        <x:v>1</x:v>
      </x:c>
      <x:c r="I81" s="201" t="inlineStr">
        <x:is>
          <x:t xml:space="preserve">Пн–Чт</x:t>
        </x:is>
      </x:c>
      <x:c r="J81" s="188" t="n">
        <x:f>1</x:f>
        <x:v>1</x:v>
      </x:c>
      <x:c r="K81" s="188" t="n">
        <x:f>IF(AND(D81&lt;=5,F81=0),1,0)</x:f>
        <x:v>1</x:v>
      </x:c>
      <x:c r="L81" s="188" t="n">
        <x:f>IF(F81=1,'01_ВВОД'!$D$23,CHOOSE(D81,'01_ВВОД'!$D$19,'01_ВВОД'!$D$19,'01_ВВОД'!$D$19,'01_ВВОД'!$D$19,'01_ВВОД'!$D$20,'01_ВВОД'!$D$21,'01_ВВОД'!$D$22))</x:f>
        <x:v>32</x:v>
      </x:c>
      <x:c r="M81" s="188" t="n">
        <x:f>L81*IF(H81=1,'01_ВВОД'!$D$118,1)</x:f>
        <x:v>6.4</x:v>
      </x:c>
      <x:c r="N81" s="188" t="n">
        <x:f>IF(K81=1,'01_ВВОД'!$D$26,0)</x:f>
        <x:v>40</x:v>
      </x:c>
      <x:c r="O81" s="188" t="n">
        <x:f>IF(F81=1,'01_ВВОД'!$D$34,IF(D81&lt;=5,'01_ВВОД'!$D$32,'01_ВВОД'!$D$33))</x:f>
        <x:v>15</x:v>
      </x:c>
      <x:c r="P81" s="188" t="n">
        <x:f>O81</x:f>
        <x:v>15</x:v>
      </x:c>
      <x:c r="Q81" s="188" t="n">
        <x:f>'01_ВВОД'!$D$40</x:f>
        <x:v>12</x:v>
      </x:c>
      <x:c r="R81" s="188" t="n">
        <x:f>'01_ВВОД'!$D$46</x:f>
        <x:v>20</x:v>
      </x:c>
      <x:c r="S81" s="188" t="n">
        <x:f>H81</x:f>
        <x:v>1</x:v>
      </x:c>
      <x:c r="T81" s="188" t="n">
        <x:f>IF(H81=1,M81+N81+P81+Q81,0)</x:f>
        <x:v>73.4</x:v>
      </x:c>
      <x:c r="U81" t="n">
        <x:f>'01_ВВОД'!$D$120</x:f>
        <x:v>10</x:v>
      </x:c>
      <x:c r="V81" t="n">
        <x:f>ROUNDDOWN(SUM(M81,N81,R81,U81)*'01_ВВОД'!$D$127,0)</x:f>
        <x:v>38</x:v>
      </x:c>
      <x:c r="W81" t="n">
        <x:f>ROUNDDOWN(SUM(L81,N81,R81,U81)*'01_ВВОД'!$D$127,0)</x:f>
        <x:v>51</x:v>
      </x:c>
    </x:row>
    <x:row r="82">
      <x:c r="A82" s="200" t="n">
        <x:v>46343</x:v>
      </x:c>
      <x:c r="B82" s="201" t="n">
        <x:v>3</x:v>
      </x:c>
      <x:c r="C82" s="201" t="inlineStr">
        <x:is>
          <x:t xml:space="preserve">Ноя-26</x:t>
        </x:is>
      </x:c>
      <x:c r="D82" s="201" t="n">
        <x:v>2</x:v>
      </x:c>
      <x:c r="E82" s="201" t="inlineStr">
        <x:is>
          <x:t xml:space="preserve">Вт</x:t>
        </x:is>
      </x:c>
      <x:c r="F82" s="199" t="n">
        <x:v>0</x:v>
      </x:c>
      <x:c r="G82" s="201" t="str"/>
      <x:c r="H82" s="193" t="n">
        <x:v>0</x:v>
      </x:c>
      <x:c r="I82" s="201" t="str"/>
      <x:c r="J82" s="188" t="n">
        <x:f>1</x:f>
        <x:v>1</x:v>
      </x:c>
      <x:c r="K82" s="188" t="n">
        <x:f>IF(AND(D82&lt;=5,F82=0),1,0)</x:f>
        <x:v>1</x:v>
      </x:c>
      <x:c r="L82" s="188" t="n">
        <x:f>IF(F82=1,'01_ВВОД'!$D$23,CHOOSE(D82,'01_ВВОД'!$D$19,'01_ВВОД'!$D$19,'01_ВВОД'!$D$19,'01_ВВОД'!$D$19,'01_ВВОД'!$D$20,'01_ВВОД'!$D$21,'01_ВВОД'!$D$22))</x:f>
        <x:v>32</x:v>
      </x:c>
      <x:c r="M82" s="188" t="n">
        <x:f>L82*IF(H82=1,'01_ВВОД'!$D$118,1)</x:f>
        <x:v>32</x:v>
      </x:c>
      <x:c r="N82" s="188" t="n">
        <x:f>IF(K82=1,'01_ВВОД'!$D$26,0)</x:f>
        <x:v>40</x:v>
      </x:c>
      <x:c r="O82" s="188" t="n">
        <x:f>IF(F82=1,'01_ВВОД'!$D$34,IF(D82&lt;=5,'01_ВВОД'!$D$32,'01_ВВОД'!$D$33))</x:f>
        <x:v>15</x:v>
      </x:c>
      <x:c r="P82" s="188" t="n">
        <x:f>O82</x:f>
        <x:v>15</x:v>
      </x:c>
      <x:c r="Q82" s="188" t="n">
        <x:f>'01_ВВОД'!$D$40</x:f>
        <x:v>12</x:v>
      </x:c>
      <x:c r="R82" s="188" t="n">
        <x:f>'01_ВВОД'!$D$46</x:f>
        <x:v>20</x:v>
      </x:c>
      <x:c r="S82" s="188" t="n">
        <x:f>H82</x:f>
        <x:v>0</x:v>
      </x:c>
      <x:c r="T82" s="188" t="n">
        <x:f>IF(H82=1,M82+N82+P82+Q82,0)</x:f>
        <x:v>0</x:v>
      </x:c>
      <x:c r="U82" t="n">
        <x:f>'01_ВВОД'!$D$120</x:f>
        <x:v>10</x:v>
      </x:c>
      <x:c r="V82" t="n">
        <x:f>ROUNDDOWN(SUM(M82,N82,R82,U82)*'01_ВВОД'!$D$127,0)</x:f>
        <x:v>51</x:v>
      </x:c>
      <x:c r="W82" t="n">
        <x:f>ROUNDDOWN(SUM(L82,N82,R82,U82)*'01_ВВОД'!$D$127,0)</x:f>
        <x:v>51</x:v>
      </x:c>
    </x:row>
    <x:row r="83">
      <x:c r="A83" s="200" t="n">
        <x:v>46344</x:v>
      </x:c>
      <x:c r="B83" s="201" t="n">
        <x:v>3</x:v>
      </x:c>
      <x:c r="C83" s="201" t="inlineStr">
        <x:is>
          <x:t xml:space="preserve">Ноя-26</x:t>
        </x:is>
      </x:c>
      <x:c r="D83" s="201" t="n">
        <x:v>3</x:v>
      </x:c>
      <x:c r="E83" s="201" t="inlineStr">
        <x:is>
          <x:t xml:space="preserve">Ср</x:t>
        </x:is>
      </x:c>
      <x:c r="F83" s="199" t="n">
        <x:v>0</x:v>
      </x:c>
      <x:c r="G83" s="201" t="str"/>
      <x:c r="H83" s="193" t="n">
        <x:v>0</x:v>
      </x:c>
      <x:c r="I83" s="201" t="str"/>
      <x:c r="J83" s="188" t="n">
        <x:f>1</x:f>
        <x:v>1</x:v>
      </x:c>
      <x:c r="K83" s="188" t="n">
        <x:f>IF(AND(D83&lt;=5,F83=0),1,0)</x:f>
        <x:v>1</x:v>
      </x:c>
      <x:c r="L83" s="188" t="n">
        <x:f>IF(F83=1,'01_ВВОД'!$D$23,CHOOSE(D83,'01_ВВОД'!$D$19,'01_ВВОД'!$D$19,'01_ВВОД'!$D$19,'01_ВВОД'!$D$19,'01_ВВОД'!$D$20,'01_ВВОД'!$D$21,'01_ВВОД'!$D$22))</x:f>
        <x:v>32</x:v>
      </x:c>
      <x:c r="M83" s="188" t="n">
        <x:f>L83*IF(H83=1,'01_ВВОД'!$D$118,1)</x:f>
        <x:v>32</x:v>
      </x:c>
      <x:c r="N83" s="188" t="n">
        <x:f>IF(K83=1,'01_ВВОД'!$D$26,0)</x:f>
        <x:v>40</x:v>
      </x:c>
      <x:c r="O83" s="188" t="n">
        <x:f>IF(F83=1,'01_ВВОД'!$D$34,IF(D83&lt;=5,'01_ВВОД'!$D$32,'01_ВВОД'!$D$33))</x:f>
        <x:v>15</x:v>
      </x:c>
      <x:c r="P83" s="188" t="n">
        <x:f>O83</x:f>
        <x:v>15</x:v>
      </x:c>
      <x:c r="Q83" s="188" t="n">
        <x:f>'01_ВВОД'!$D$40</x:f>
        <x:v>12</x:v>
      </x:c>
      <x:c r="R83" s="188" t="n">
        <x:f>'01_ВВОД'!$D$46</x:f>
        <x:v>20</x:v>
      </x:c>
      <x:c r="S83" s="188" t="n">
        <x:f>H83</x:f>
        <x:v>0</x:v>
      </x:c>
      <x:c r="T83" s="188" t="n">
        <x:f>IF(H83=1,M83+N83+P83+Q83,0)</x:f>
        <x:v>0</x:v>
      </x:c>
      <x:c r="U83" t="n">
        <x:f>'01_ВВОД'!$D$120</x:f>
        <x:v>10</x:v>
      </x:c>
      <x:c r="V83" t="n">
        <x:f>ROUNDDOWN(SUM(M83,N83,R83,U83)*'01_ВВОД'!$D$127,0)</x:f>
        <x:v>51</x:v>
      </x:c>
      <x:c r="W83" t="n">
        <x:f>ROUNDDOWN(SUM(L83,N83,R83,U83)*'01_ВВОД'!$D$127,0)</x:f>
        <x:v>51</x:v>
      </x:c>
    </x:row>
    <x:row r="84">
      <x:c r="A84" s="200" t="n">
        <x:v>46345</x:v>
      </x:c>
      <x:c r="B84" s="201" t="n">
        <x:v>3</x:v>
      </x:c>
      <x:c r="C84" s="201" t="inlineStr">
        <x:is>
          <x:t xml:space="preserve">Ноя-26</x:t>
        </x:is>
      </x:c>
      <x:c r="D84" s="201" t="n">
        <x:v>4</x:v>
      </x:c>
      <x:c r="E84" s="201" t="inlineStr">
        <x:is>
          <x:t xml:space="preserve">Чт</x:t>
        </x:is>
      </x:c>
      <x:c r="F84" s="199" t="n">
        <x:v>0</x:v>
      </x:c>
      <x:c r="G84" s="201" t="str"/>
      <x:c r="H84" s="193" t="n">
        <x:v>0</x:v>
      </x:c>
      <x:c r="I84" s="201" t="str"/>
      <x:c r="J84" s="188" t="n">
        <x:f>1</x:f>
        <x:v>1</x:v>
      </x:c>
      <x:c r="K84" s="188" t="n">
        <x:f>IF(AND(D84&lt;=5,F84=0),1,0)</x:f>
        <x:v>1</x:v>
      </x:c>
      <x:c r="L84" s="188" t="n">
        <x:f>IF(F84=1,'01_ВВОД'!$D$23,CHOOSE(D84,'01_ВВОД'!$D$19,'01_ВВОД'!$D$19,'01_ВВОД'!$D$19,'01_ВВОД'!$D$19,'01_ВВОД'!$D$20,'01_ВВОД'!$D$21,'01_ВВОД'!$D$22))</x:f>
        <x:v>32</x:v>
      </x:c>
      <x:c r="M84" s="188" t="n">
        <x:f>L84*IF(H84=1,'01_ВВОД'!$D$118,1)</x:f>
        <x:v>32</x:v>
      </x:c>
      <x:c r="N84" s="188" t="n">
        <x:f>IF(K84=1,'01_ВВОД'!$D$26,0)</x:f>
        <x:v>40</x:v>
      </x:c>
      <x:c r="O84" s="188" t="n">
        <x:f>IF(F84=1,'01_ВВОД'!$D$34,IF(D84&lt;=5,'01_ВВОД'!$D$32,'01_ВВОД'!$D$33))</x:f>
        <x:v>15</x:v>
      </x:c>
      <x:c r="P84" s="188" t="n">
        <x:f>O84</x:f>
        <x:v>15</x:v>
      </x:c>
      <x:c r="Q84" s="188" t="n">
        <x:f>'01_ВВОД'!$D$40</x:f>
        <x:v>12</x:v>
      </x:c>
      <x:c r="R84" s="188" t="n">
        <x:f>'01_ВВОД'!$D$46</x:f>
        <x:v>20</x:v>
      </x:c>
      <x:c r="S84" s="188" t="n">
        <x:f>H84</x:f>
        <x:v>0</x:v>
      </x:c>
      <x:c r="T84" s="188" t="n">
        <x:f>IF(H84=1,M84+N84+P84+Q84,0)</x:f>
        <x:v>0</x:v>
      </x:c>
      <x:c r="U84" t="n">
        <x:f>'01_ВВОД'!$D$120</x:f>
        <x:v>10</x:v>
      </x:c>
      <x:c r="V84" t="n">
        <x:f>ROUNDDOWN(SUM(M84,N84,R84,U84)*'01_ВВОД'!$D$127,0)</x:f>
        <x:v>51</x:v>
      </x:c>
      <x:c r="W84" t="n">
        <x:f>ROUNDDOWN(SUM(L84,N84,R84,U84)*'01_ВВОД'!$D$127,0)</x:f>
        <x:v>51</x:v>
      </x:c>
    </x:row>
    <x:row r="85">
      <x:c r="A85" s="200" t="n">
        <x:v>46346</x:v>
      </x:c>
      <x:c r="B85" s="201" t="n">
        <x:v>3</x:v>
      </x:c>
      <x:c r="C85" s="201" t="inlineStr">
        <x:is>
          <x:t xml:space="preserve">Ноя-26</x:t>
        </x:is>
      </x:c>
      <x:c r="D85" s="201" t="n">
        <x:v>5</x:v>
      </x:c>
      <x:c r="E85" s="201" t="inlineStr">
        <x:is>
          <x:t xml:space="preserve">Пт</x:t>
        </x:is>
      </x:c>
      <x:c r="F85" s="199" t="n">
        <x:v>0</x:v>
      </x:c>
      <x:c r="G85" s="201" t="str"/>
      <x:c r="H85" s="193" t="n">
        <x:v>1</x:v>
      </x:c>
      <x:c r="I85" s="201" t="inlineStr">
        <x:is>
          <x:t xml:space="preserve">Пт–Вс</x:t>
        </x:is>
      </x:c>
      <x:c r="J85" s="188" t="n">
        <x:f>1</x:f>
        <x:v>1</x:v>
      </x:c>
      <x:c r="K85" s="188" t="n">
        <x:f>IF(AND(D85&lt;=5,F85=0),1,0)</x:f>
        <x:v>1</x:v>
      </x:c>
      <x:c r="L85" s="188" t="n">
        <x:f>IF(F85=1,'01_ВВОД'!$D$23,CHOOSE(D85,'01_ВВОД'!$D$19,'01_ВВОД'!$D$19,'01_ВВОД'!$D$19,'01_ВВОД'!$D$19,'01_ВВОД'!$D$20,'01_ВВОД'!$D$21,'01_ВВОД'!$D$22))</x:f>
        <x:v>45</x:v>
      </x:c>
      <x:c r="M85" s="188" t="n">
        <x:f>L85*IF(H85=1,'01_ВВОД'!$D$118,1)</x:f>
        <x:v>9</x:v>
      </x:c>
      <x:c r="N85" s="188" t="n">
        <x:f>IF(K85=1,'01_ВВОД'!$D$26,0)</x:f>
        <x:v>40</x:v>
      </x:c>
      <x:c r="O85" s="188" t="n">
        <x:f>IF(F85=1,'01_ВВОД'!$D$34,IF(D85&lt;=5,'01_ВВОД'!$D$32,'01_ВВОД'!$D$33))</x:f>
        <x:v>15</x:v>
      </x:c>
      <x:c r="P85" s="188" t="n">
        <x:f>O85</x:f>
        <x:v>15</x:v>
      </x:c>
      <x:c r="Q85" s="188" t="n">
        <x:f>'01_ВВОД'!$D$40</x:f>
        <x:v>12</x:v>
      </x:c>
      <x:c r="R85" s="188" t="n">
        <x:f>'01_ВВОД'!$D$46</x:f>
        <x:v>20</x:v>
      </x:c>
      <x:c r="S85" s="188" t="n">
        <x:f>H85</x:f>
        <x:v>1</x:v>
      </x:c>
      <x:c r="T85" s="188" t="n">
        <x:f>IF(H85=1,M85+N85+P85+Q85,0)</x:f>
        <x:v>76</x:v>
      </x:c>
      <x:c r="U85" t="n">
        <x:f>'01_ВВОД'!$D$120</x:f>
        <x:v>10</x:v>
      </x:c>
      <x:c r="V85" t="n">
        <x:f>ROUNDDOWN(SUM(M85,N85,R85,U85)*'01_ВВОД'!$D$127,0)</x:f>
        <x:v>39</x:v>
      </x:c>
      <x:c r="W85" t="n">
        <x:f>ROUNDDOWN(SUM(L85,N85,R85,U85)*'01_ВВОД'!$D$127,0)</x:f>
        <x:v>57</x:v>
      </x:c>
    </x:row>
    <x:row r="86">
      <x:c r="A86" s="200" t="n">
        <x:v>46347</x:v>
      </x:c>
      <x:c r="B86" s="201" t="n">
        <x:v>3</x:v>
      </x:c>
      <x:c r="C86" s="201" t="inlineStr">
        <x:is>
          <x:t xml:space="preserve">Ноя-26</x:t>
        </x:is>
      </x:c>
      <x:c r="D86" s="201" t="n">
        <x:v>6</x:v>
      </x:c>
      <x:c r="E86" s="201" t="inlineStr">
        <x:is>
          <x:t xml:space="preserve">Сб</x:t>
        </x:is>
      </x:c>
      <x:c r="F86" s="199" t="n">
        <x:v>0</x:v>
      </x:c>
      <x:c r="G86" s="201" t="str"/>
      <x:c r="H86" s="193" t="n">
        <x:v>0</x:v>
      </x:c>
      <x:c r="I86" s="201" t="str"/>
      <x:c r="J86" s="188" t="n">
        <x:f>1</x:f>
        <x:v>1</x:v>
      </x:c>
      <x:c r="K86" s="188" t="n">
        <x:f>IF(AND(D86&lt;=5,F86=0),1,0)</x:f>
        <x:v>0</x:v>
      </x:c>
      <x:c r="L86" s="188" t="n">
        <x:f>IF(F86=1,'01_ВВОД'!$D$23,CHOOSE(D86,'01_ВВОД'!$D$19,'01_ВВОД'!$D$19,'01_ВВОД'!$D$19,'01_ВВОД'!$D$19,'01_ВВОД'!$D$20,'01_ВВОД'!$D$21,'01_ВВОД'!$D$22))</x:f>
        <x:v>80</x:v>
      </x:c>
      <x:c r="M86" s="188" t="n">
        <x:f>L86*IF(H86=1,'01_ВВОД'!$D$118,1)</x:f>
        <x:v>80</x:v>
      </x:c>
      <x:c r="N86" s="188" t="n">
        <x:f>IF(K86=1,'01_ВВОД'!$D$26,0)</x:f>
        <x:v>0</x:v>
      </x:c>
      <x:c r="O86" s="188" t="n">
        <x:f>IF(F86=1,'01_ВВОД'!$D$34,IF(D86&lt;=5,'01_ВВОД'!$D$32,'01_ВВОД'!$D$33))</x:f>
        <x:v>30</x:v>
      </x:c>
      <x:c r="P86" s="188" t="n">
        <x:f>O86</x:f>
        <x:v>30</x:v>
      </x:c>
      <x:c r="Q86" s="188" t="n">
        <x:f>'01_ВВОД'!$D$40</x:f>
        <x:v>12</x:v>
      </x:c>
      <x:c r="R86" s="188" t="n">
        <x:f>'01_ВВОД'!$D$46</x:f>
        <x:v>20</x:v>
      </x:c>
      <x:c r="S86" s="188" t="n">
        <x:f>H86</x:f>
        <x:v>0</x:v>
      </x:c>
      <x:c r="T86" s="188" t="n">
        <x:f>IF(H86=1,M86+N86+P86+Q86,0)</x:f>
        <x:v>0</x:v>
      </x:c>
      <x:c r="U86" t="n">
        <x:f>'01_ВВОД'!$D$120</x:f>
        <x:v>10</x:v>
      </x:c>
      <x:c r="V86" t="n">
        <x:f>ROUNDDOWN(SUM(M86,N86,R86,U86)*'01_ВВОД'!$D$127,0)</x:f>
        <x:v>55</x:v>
      </x:c>
      <x:c r="W86" t="n">
        <x:f>ROUNDDOWN(SUM(L86,N86,R86,U86)*'01_ВВОД'!$D$127,0)</x:f>
        <x:v>55</x:v>
      </x:c>
    </x:row>
    <x:row r="87">
      <x:c r="A87" s="200" t="n">
        <x:v>46348</x:v>
      </x:c>
      <x:c r="B87" s="201" t="n">
        <x:v>3</x:v>
      </x:c>
      <x:c r="C87" s="201" t="inlineStr">
        <x:is>
          <x:t xml:space="preserve">Ноя-26</x:t>
        </x:is>
      </x:c>
      <x:c r="D87" s="201" t="n">
        <x:v>7</x:v>
      </x:c>
      <x:c r="E87" s="201" t="inlineStr">
        <x:is>
          <x:t xml:space="preserve">Вс</x:t>
        </x:is>
      </x:c>
      <x:c r="F87" s="199" t="n">
        <x:v>0</x:v>
      </x:c>
      <x:c r="G87" s="201" t="str"/>
      <x:c r="H87" s="193" t="n">
        <x:v>0</x:v>
      </x:c>
      <x:c r="I87" s="201" t="str"/>
      <x:c r="J87" s="188" t="n">
        <x:f>1</x:f>
        <x:v>1</x:v>
      </x:c>
      <x:c r="K87" s="188" t="n">
        <x:f>IF(AND(D87&lt;=5,F87=0),1,0)</x:f>
        <x:v>0</x:v>
      </x:c>
      <x:c r="L87" s="188" t="n">
        <x:f>IF(F87=1,'01_ВВОД'!$D$23,CHOOSE(D87,'01_ВВОД'!$D$19,'01_ВВОД'!$D$19,'01_ВВОД'!$D$19,'01_ВВОД'!$D$19,'01_ВВОД'!$D$20,'01_ВВОД'!$D$21,'01_ВВОД'!$D$22))</x:f>
        <x:v>70</x:v>
      </x:c>
      <x:c r="M87" s="188" t="n">
        <x:f>L87*IF(H87=1,'01_ВВОД'!$D$118,1)</x:f>
        <x:v>70</x:v>
      </x:c>
      <x:c r="N87" s="188" t="n">
        <x:f>IF(K87=1,'01_ВВОД'!$D$26,0)</x:f>
        <x:v>0</x:v>
      </x:c>
      <x:c r="O87" s="188" t="n">
        <x:f>IF(F87=1,'01_ВВОД'!$D$34,IF(D87&lt;=5,'01_ВВОД'!$D$32,'01_ВВОД'!$D$33))</x:f>
        <x:v>30</x:v>
      </x:c>
      <x:c r="P87" s="188" t="n">
        <x:f>O87</x:f>
        <x:v>30</x:v>
      </x:c>
      <x:c r="Q87" s="188" t="n">
        <x:f>'01_ВВОД'!$D$40</x:f>
        <x:v>12</x:v>
      </x:c>
      <x:c r="R87" s="188" t="n">
        <x:f>'01_ВВОД'!$D$46</x:f>
        <x:v>20</x:v>
      </x:c>
      <x:c r="S87" s="188" t="n">
        <x:f>H87</x:f>
        <x:v>0</x:v>
      </x:c>
      <x:c r="T87" s="188" t="n">
        <x:f>IF(H87=1,M87+N87+P87+Q87,0)</x:f>
        <x:v>0</x:v>
      </x:c>
      <x:c r="U87" t="n">
        <x:f>'01_ВВОД'!$D$120</x:f>
        <x:v>10</x:v>
      </x:c>
      <x:c r="V87" t="n">
        <x:f>ROUNDDOWN(SUM(M87,N87,R87,U87)*'01_ВВОД'!$D$127,0)</x:f>
        <x:v>50</x:v>
      </x:c>
      <x:c r="W87" t="n">
        <x:f>ROUNDDOWN(SUM(L87,N87,R87,U87)*'01_ВВОД'!$D$127,0)</x:f>
        <x:v>50</x:v>
      </x:c>
    </x:row>
    <x:row r="88">
      <x:c r="A88" s="200" t="n">
        <x:v>46349</x:v>
      </x:c>
      <x:c r="B88" s="201" t="n">
        <x:v>3</x:v>
      </x:c>
      <x:c r="C88" s="201" t="inlineStr">
        <x:is>
          <x:t xml:space="preserve">Ноя-26</x:t>
        </x:is>
      </x:c>
      <x:c r="D88" s="201" t="n">
        <x:v>1</x:v>
      </x:c>
      <x:c r="E88" s="201" t="inlineStr">
        <x:is>
          <x:t xml:space="preserve">Пн</x:t>
        </x:is>
      </x:c>
      <x:c r="F88" s="199" t="n">
        <x:v>0</x:v>
      </x:c>
      <x:c r="G88" s="201" t="str"/>
      <x:c r="H88" s="193" t="n">
        <x:v>0</x:v>
      </x:c>
      <x:c r="I88" s="201" t="str"/>
      <x:c r="J88" s="188" t="n">
        <x:f>1</x:f>
        <x:v>1</x:v>
      </x:c>
      <x:c r="K88" s="188" t="n">
        <x:f>IF(AND(D88&lt;=5,F88=0),1,0)</x:f>
        <x:v>1</x:v>
      </x:c>
      <x:c r="L88" s="188" t="n">
        <x:f>IF(F88=1,'01_ВВОД'!$D$23,CHOOSE(D88,'01_ВВОД'!$D$19,'01_ВВОД'!$D$19,'01_ВВОД'!$D$19,'01_ВВОД'!$D$19,'01_ВВОД'!$D$20,'01_ВВОД'!$D$21,'01_ВВОД'!$D$22))</x:f>
        <x:v>32</x:v>
      </x:c>
      <x:c r="M88" s="188" t="n">
        <x:f>L88*IF(H88=1,'01_ВВОД'!$D$118,1)</x:f>
        <x:v>32</x:v>
      </x:c>
      <x:c r="N88" s="188" t="n">
        <x:f>IF(K88=1,'01_ВВОД'!$D$26,0)</x:f>
        <x:v>40</x:v>
      </x:c>
      <x:c r="O88" s="188" t="n">
        <x:f>IF(F88=1,'01_ВВОД'!$D$34,IF(D88&lt;=5,'01_ВВОД'!$D$32,'01_ВВОД'!$D$33))</x:f>
        <x:v>15</x:v>
      </x:c>
      <x:c r="P88" s="188" t="n">
        <x:f>O88</x:f>
        <x:v>15</x:v>
      </x:c>
      <x:c r="Q88" s="188" t="n">
        <x:f>'01_ВВОД'!$D$40</x:f>
        <x:v>12</x:v>
      </x:c>
      <x:c r="R88" s="188" t="n">
        <x:f>'01_ВВОД'!$D$46</x:f>
        <x:v>20</x:v>
      </x:c>
      <x:c r="S88" s="188" t="n">
        <x:f>H88</x:f>
        <x:v>0</x:v>
      </x:c>
      <x:c r="T88" s="188" t="n">
        <x:f>IF(H88=1,M88+N88+P88+Q88,0)</x:f>
        <x:v>0</x:v>
      </x:c>
      <x:c r="U88" t="n">
        <x:f>'01_ВВОД'!$D$120</x:f>
        <x:v>10</x:v>
      </x:c>
      <x:c r="V88" t="n">
        <x:f>ROUNDDOWN(SUM(M88,N88,R88,U88)*'01_ВВОД'!$D$127,0)</x:f>
        <x:v>51</x:v>
      </x:c>
      <x:c r="W88" t="n">
        <x:f>ROUNDDOWN(SUM(L88,N88,R88,U88)*'01_ВВОД'!$D$127,0)</x:f>
        <x:v>51</x:v>
      </x:c>
    </x:row>
    <x:row r="89">
      <x:c r="A89" s="200" t="n">
        <x:v>46350</x:v>
      </x:c>
      <x:c r="B89" s="201" t="n">
        <x:v>3</x:v>
      </x:c>
      <x:c r="C89" s="201" t="inlineStr">
        <x:is>
          <x:t xml:space="preserve">Ноя-26</x:t>
        </x:is>
      </x:c>
      <x:c r="D89" s="201" t="n">
        <x:v>2</x:v>
      </x:c>
      <x:c r="E89" s="201" t="inlineStr">
        <x:is>
          <x:t xml:space="preserve">Вт</x:t>
        </x:is>
      </x:c>
      <x:c r="F89" s="199" t="n">
        <x:v>0</x:v>
      </x:c>
      <x:c r="G89" s="201" t="str"/>
      <x:c r="H89" s="193" t="n">
        <x:v>0</x:v>
      </x:c>
      <x:c r="I89" s="201" t="str"/>
      <x:c r="J89" s="188" t="n">
        <x:f>1</x:f>
        <x:v>1</x:v>
      </x:c>
      <x:c r="K89" s="188" t="n">
        <x:f>IF(AND(D89&lt;=5,F89=0),1,0)</x:f>
        <x:v>1</x:v>
      </x:c>
      <x:c r="L89" s="188" t="n">
        <x:f>IF(F89=1,'01_ВВОД'!$D$23,CHOOSE(D89,'01_ВВОД'!$D$19,'01_ВВОД'!$D$19,'01_ВВОД'!$D$19,'01_ВВОД'!$D$19,'01_ВВОД'!$D$20,'01_ВВОД'!$D$21,'01_ВВОД'!$D$22))</x:f>
        <x:v>32</x:v>
      </x:c>
      <x:c r="M89" s="188" t="n">
        <x:f>L89*IF(H89=1,'01_ВВОД'!$D$118,1)</x:f>
        <x:v>32</x:v>
      </x:c>
      <x:c r="N89" s="188" t="n">
        <x:f>IF(K89=1,'01_ВВОД'!$D$26,0)</x:f>
        <x:v>40</x:v>
      </x:c>
      <x:c r="O89" s="188" t="n">
        <x:f>IF(F89=1,'01_ВВОД'!$D$34,IF(D89&lt;=5,'01_ВВОД'!$D$32,'01_ВВОД'!$D$33))</x:f>
        <x:v>15</x:v>
      </x:c>
      <x:c r="P89" s="188" t="n">
        <x:f>O89</x:f>
        <x:v>15</x:v>
      </x:c>
      <x:c r="Q89" s="188" t="n">
        <x:f>'01_ВВОД'!$D$40</x:f>
        <x:v>12</x:v>
      </x:c>
      <x:c r="R89" s="188" t="n">
        <x:f>'01_ВВОД'!$D$46</x:f>
        <x:v>20</x:v>
      </x:c>
      <x:c r="S89" s="188" t="n">
        <x:f>H89</x:f>
        <x:v>0</x:v>
      </x:c>
      <x:c r="T89" s="188" t="n">
        <x:f>IF(H89=1,M89+N89+P89+Q89,0)</x:f>
        <x:v>0</x:v>
      </x:c>
      <x:c r="U89" t="n">
        <x:f>'01_ВВОД'!$D$120</x:f>
        <x:v>10</x:v>
      </x:c>
      <x:c r="V89" t="n">
        <x:f>ROUNDDOWN(SUM(M89,N89,R89,U89)*'01_ВВОД'!$D$127,0)</x:f>
        <x:v>51</x:v>
      </x:c>
      <x:c r="W89" t="n">
        <x:f>ROUNDDOWN(SUM(L89,N89,R89,U89)*'01_ВВОД'!$D$127,0)</x:f>
        <x:v>51</x:v>
      </x:c>
    </x:row>
    <x:row r="90">
      <x:c r="A90" s="200" t="n">
        <x:v>46351</x:v>
      </x:c>
      <x:c r="B90" s="201" t="n">
        <x:v>3</x:v>
      </x:c>
      <x:c r="C90" s="201" t="inlineStr">
        <x:is>
          <x:t xml:space="preserve">Ноя-26</x:t>
        </x:is>
      </x:c>
      <x:c r="D90" s="201" t="n">
        <x:v>3</x:v>
      </x:c>
      <x:c r="E90" s="201" t="inlineStr">
        <x:is>
          <x:t xml:space="preserve">Ср</x:t>
        </x:is>
      </x:c>
      <x:c r="F90" s="199" t="n">
        <x:v>0</x:v>
      </x:c>
      <x:c r="G90" s="201" t="str"/>
      <x:c r="H90" s="193" t="n">
        <x:v>0</x:v>
      </x:c>
      <x:c r="I90" s="201" t="str"/>
      <x:c r="J90" s="188" t="n">
        <x:f>1</x:f>
        <x:v>1</x:v>
      </x:c>
      <x:c r="K90" s="188" t="n">
        <x:f>IF(AND(D90&lt;=5,F90=0),1,0)</x:f>
        <x:v>1</x:v>
      </x:c>
      <x:c r="L90" s="188" t="n">
        <x:f>IF(F90=1,'01_ВВОД'!$D$23,CHOOSE(D90,'01_ВВОД'!$D$19,'01_ВВОД'!$D$19,'01_ВВОД'!$D$19,'01_ВВОД'!$D$19,'01_ВВОД'!$D$20,'01_ВВОД'!$D$21,'01_ВВОД'!$D$22))</x:f>
        <x:v>32</x:v>
      </x:c>
      <x:c r="M90" s="188" t="n">
        <x:f>L90*IF(H90=1,'01_ВВОД'!$D$118,1)</x:f>
        <x:v>32</x:v>
      </x:c>
      <x:c r="N90" s="188" t="n">
        <x:f>IF(K90=1,'01_ВВОД'!$D$26,0)</x:f>
        <x:v>40</x:v>
      </x:c>
      <x:c r="O90" s="188" t="n">
        <x:f>IF(F90=1,'01_ВВОД'!$D$34,IF(D90&lt;=5,'01_ВВОД'!$D$32,'01_ВВОД'!$D$33))</x:f>
        <x:v>15</x:v>
      </x:c>
      <x:c r="P90" s="188" t="n">
        <x:f>O90</x:f>
        <x:v>15</x:v>
      </x:c>
      <x:c r="Q90" s="188" t="n">
        <x:f>'01_ВВОД'!$D$40</x:f>
        <x:v>12</x:v>
      </x:c>
      <x:c r="R90" s="188" t="n">
        <x:f>'01_ВВОД'!$D$46</x:f>
        <x:v>20</x:v>
      </x:c>
      <x:c r="S90" s="188" t="n">
        <x:f>H90</x:f>
        <x:v>0</x:v>
      </x:c>
      <x:c r="T90" s="188" t="n">
        <x:f>IF(H90=1,M90+N90+P90+Q90,0)</x:f>
        <x:v>0</x:v>
      </x:c>
      <x:c r="U90" t="n">
        <x:f>'01_ВВОД'!$D$120</x:f>
        <x:v>10</x:v>
      </x:c>
      <x:c r="V90" t="n">
        <x:f>ROUNDDOWN(SUM(M90,N90,R90,U90)*'01_ВВОД'!$D$127,0)</x:f>
        <x:v>51</x:v>
      </x:c>
      <x:c r="W90" t="n">
        <x:f>ROUNDDOWN(SUM(L90,N90,R90,U90)*'01_ВВОД'!$D$127,0)</x:f>
        <x:v>51</x:v>
      </x:c>
    </x:row>
    <x:row r="91">
      <x:c r="A91" s="200" t="n">
        <x:v>46352</x:v>
      </x:c>
      <x:c r="B91" s="201" t="n">
        <x:v>3</x:v>
      </x:c>
      <x:c r="C91" s="201" t="inlineStr">
        <x:is>
          <x:t xml:space="preserve">Ноя-26</x:t>
        </x:is>
      </x:c>
      <x:c r="D91" s="201" t="n">
        <x:v>4</x:v>
      </x:c>
      <x:c r="E91" s="201" t="inlineStr">
        <x:is>
          <x:t xml:space="preserve">Чт</x:t>
        </x:is>
      </x:c>
      <x:c r="F91" s="199" t="n">
        <x:v>0</x:v>
      </x:c>
      <x:c r="G91" s="201" t="str"/>
      <x:c r="H91" s="193" t="n">
        <x:v>0</x:v>
      </x:c>
      <x:c r="I91" s="201" t="str"/>
      <x:c r="J91" s="188" t="n">
        <x:f>1</x:f>
        <x:v>1</x:v>
      </x:c>
      <x:c r="K91" s="188" t="n">
        <x:f>IF(AND(D91&lt;=5,F91=0),1,0)</x:f>
        <x:v>1</x:v>
      </x:c>
      <x:c r="L91" s="188" t="n">
        <x:f>IF(F91=1,'01_ВВОД'!$D$23,CHOOSE(D91,'01_ВВОД'!$D$19,'01_ВВОД'!$D$19,'01_ВВОД'!$D$19,'01_ВВОД'!$D$19,'01_ВВОД'!$D$20,'01_ВВОД'!$D$21,'01_ВВОД'!$D$22))</x:f>
        <x:v>32</x:v>
      </x:c>
      <x:c r="M91" s="188" t="n">
        <x:f>L91*IF(H91=1,'01_ВВОД'!$D$118,1)</x:f>
        <x:v>32</x:v>
      </x:c>
      <x:c r="N91" s="188" t="n">
        <x:f>IF(K91=1,'01_ВВОД'!$D$26,0)</x:f>
        <x:v>40</x:v>
      </x:c>
      <x:c r="O91" s="188" t="n">
        <x:f>IF(F91=1,'01_ВВОД'!$D$34,IF(D91&lt;=5,'01_ВВОД'!$D$32,'01_ВВОД'!$D$33))</x:f>
        <x:v>15</x:v>
      </x:c>
      <x:c r="P91" s="188" t="n">
        <x:f>O91</x:f>
        <x:v>15</x:v>
      </x:c>
      <x:c r="Q91" s="188" t="n">
        <x:f>'01_ВВОД'!$D$40</x:f>
        <x:v>12</x:v>
      </x:c>
      <x:c r="R91" s="188" t="n">
        <x:f>'01_ВВОД'!$D$46</x:f>
        <x:v>20</x:v>
      </x:c>
      <x:c r="S91" s="188" t="n">
        <x:f>H91</x:f>
        <x:v>0</x:v>
      </x:c>
      <x:c r="T91" s="188" t="n">
        <x:f>IF(H91=1,M91+N91+P91+Q91,0)</x:f>
        <x:v>0</x:v>
      </x:c>
      <x:c r="U91" t="n">
        <x:f>'01_ВВОД'!$D$120</x:f>
        <x:v>10</x:v>
      </x:c>
      <x:c r="V91" t="n">
        <x:f>ROUNDDOWN(SUM(M91,N91,R91,U91)*'01_ВВОД'!$D$127,0)</x:f>
        <x:v>51</x:v>
      </x:c>
      <x:c r="W91" t="n">
        <x:f>ROUNDDOWN(SUM(L91,N91,R91,U91)*'01_ВВОД'!$D$127,0)</x:f>
        <x:v>51</x:v>
      </x:c>
    </x:row>
    <x:row r="92">
      <x:c r="A92" s="200" t="n">
        <x:v>46353</x:v>
      </x:c>
      <x:c r="B92" s="201" t="n">
        <x:v>3</x:v>
      </x:c>
      <x:c r="C92" s="201" t="inlineStr">
        <x:is>
          <x:t xml:space="preserve">Ноя-26</x:t>
        </x:is>
      </x:c>
      <x:c r="D92" s="201" t="n">
        <x:v>5</x:v>
      </x:c>
      <x:c r="E92" s="201" t="inlineStr">
        <x:is>
          <x:t xml:space="preserve">Пт</x:t>
        </x:is>
      </x:c>
      <x:c r="F92" s="199" t="n">
        <x:v>0</x:v>
      </x:c>
      <x:c r="G92" s="201" t="str"/>
      <x:c r="H92" s="193" t="n">
        <x:v>0</x:v>
      </x:c>
      <x:c r="I92" s="201" t="str"/>
      <x:c r="J92" s="188" t="n">
        <x:f>1</x:f>
        <x:v>1</x:v>
      </x:c>
      <x:c r="K92" s="188" t="n">
        <x:f>IF(AND(D92&lt;=5,F92=0),1,0)</x:f>
        <x:v>1</x:v>
      </x:c>
      <x:c r="L92" s="188" t="n">
        <x:f>IF(F92=1,'01_ВВОД'!$D$23,CHOOSE(D92,'01_ВВОД'!$D$19,'01_ВВОД'!$D$19,'01_ВВОД'!$D$19,'01_ВВОД'!$D$19,'01_ВВОД'!$D$20,'01_ВВОД'!$D$21,'01_ВВОД'!$D$22))</x:f>
        <x:v>45</x:v>
      </x:c>
      <x:c r="M92" s="188" t="n">
        <x:f>L92*IF(H92=1,'01_ВВОД'!$D$118,1)</x:f>
        <x:v>45</x:v>
      </x:c>
      <x:c r="N92" s="188" t="n">
        <x:f>IF(K92=1,'01_ВВОД'!$D$26,0)</x:f>
        <x:v>40</x:v>
      </x:c>
      <x:c r="O92" s="188" t="n">
        <x:f>IF(F92=1,'01_ВВОД'!$D$34,IF(D92&lt;=5,'01_ВВОД'!$D$32,'01_ВВОД'!$D$33))</x:f>
        <x:v>15</x:v>
      </x:c>
      <x:c r="P92" s="188" t="n">
        <x:f>O92</x:f>
        <x:v>15</x:v>
      </x:c>
      <x:c r="Q92" s="188" t="n">
        <x:f>'01_ВВОД'!$D$40</x:f>
        <x:v>12</x:v>
      </x:c>
      <x:c r="R92" s="188" t="n">
        <x:f>'01_ВВОД'!$D$46</x:f>
        <x:v>20</x:v>
      </x:c>
      <x:c r="S92" s="188" t="n">
        <x:f>H92</x:f>
        <x:v>0</x:v>
      </x:c>
      <x:c r="T92" s="188" t="n">
        <x:f>IF(H92=1,M92+N92+P92+Q92,0)</x:f>
        <x:v>0</x:v>
      </x:c>
      <x:c r="U92" t="n">
        <x:f>'01_ВВОД'!$D$120</x:f>
        <x:v>10</x:v>
      </x:c>
      <x:c r="V92" t="n">
        <x:f>ROUNDDOWN(SUM(M92,N92,R92,U92)*'01_ВВОД'!$D$127,0)</x:f>
        <x:v>57</x:v>
      </x:c>
      <x:c r="W92" t="n">
        <x:f>ROUNDDOWN(SUM(L92,N92,R92,U92)*'01_ВВОД'!$D$127,0)</x:f>
        <x:v>57</x:v>
      </x:c>
    </x:row>
    <x:row r="93">
      <x:c r="A93" s="200" t="n">
        <x:v>46354</x:v>
      </x:c>
      <x:c r="B93" s="201" t="n">
        <x:v>3</x:v>
      </x:c>
      <x:c r="C93" s="201" t="inlineStr">
        <x:is>
          <x:t xml:space="preserve">Ноя-26</x:t>
        </x:is>
      </x:c>
      <x:c r="D93" s="201" t="n">
        <x:v>6</x:v>
      </x:c>
      <x:c r="E93" s="201" t="inlineStr">
        <x:is>
          <x:t xml:space="preserve">Сб</x:t>
        </x:is>
      </x:c>
      <x:c r="F93" s="199" t="n">
        <x:v>0</x:v>
      </x:c>
      <x:c r="G93" s="201" t="str"/>
      <x:c r="H93" s="193" t="n">
        <x:v>0</x:v>
      </x:c>
      <x:c r="I93" s="201" t="str"/>
      <x:c r="J93" s="188" t="n">
        <x:f>1</x:f>
        <x:v>1</x:v>
      </x:c>
      <x:c r="K93" s="188" t="n">
        <x:f>IF(AND(D93&lt;=5,F93=0),1,0)</x:f>
        <x:v>0</x:v>
      </x:c>
      <x:c r="L93" s="188" t="n">
        <x:f>IF(F93=1,'01_ВВОД'!$D$23,CHOOSE(D93,'01_ВВОД'!$D$19,'01_ВВОД'!$D$19,'01_ВВОД'!$D$19,'01_ВВОД'!$D$19,'01_ВВОД'!$D$20,'01_ВВОД'!$D$21,'01_ВВОД'!$D$22))</x:f>
        <x:v>80</x:v>
      </x:c>
      <x:c r="M93" s="188" t="n">
        <x:f>L93*IF(H93=1,'01_ВВОД'!$D$118,1)</x:f>
        <x:v>80</x:v>
      </x:c>
      <x:c r="N93" s="188" t="n">
        <x:f>IF(K93=1,'01_ВВОД'!$D$26,0)</x:f>
        <x:v>0</x:v>
      </x:c>
      <x:c r="O93" s="188" t="n">
        <x:f>IF(F93=1,'01_ВВОД'!$D$34,IF(D93&lt;=5,'01_ВВОД'!$D$32,'01_ВВОД'!$D$33))</x:f>
        <x:v>30</x:v>
      </x:c>
      <x:c r="P93" s="188" t="n">
        <x:f>O93</x:f>
        <x:v>30</x:v>
      </x:c>
      <x:c r="Q93" s="188" t="n">
        <x:f>'01_ВВОД'!$D$40</x:f>
        <x:v>12</x:v>
      </x:c>
      <x:c r="R93" s="188" t="n">
        <x:f>'01_ВВОД'!$D$46</x:f>
        <x:v>20</x:v>
      </x:c>
      <x:c r="S93" s="188" t="n">
        <x:f>H93</x:f>
        <x:v>0</x:v>
      </x:c>
      <x:c r="T93" s="188" t="n">
        <x:f>IF(H93=1,M93+N93+P93+Q93,0)</x:f>
        <x:v>0</x:v>
      </x:c>
      <x:c r="U93" t="n">
        <x:f>'01_ВВОД'!$D$120</x:f>
        <x:v>10</x:v>
      </x:c>
      <x:c r="V93" t="n">
        <x:f>ROUNDDOWN(SUM(M93,N93,R93,U93)*'01_ВВОД'!$D$127,0)</x:f>
        <x:v>55</x:v>
      </x:c>
      <x:c r="W93" t="n">
        <x:f>ROUNDDOWN(SUM(L93,N93,R93,U93)*'01_ВВОД'!$D$127,0)</x:f>
        <x:v>55</x:v>
      </x:c>
    </x:row>
    <x:row r="94">
      <x:c r="A94" s="200" t="n">
        <x:v>46355</x:v>
      </x:c>
      <x:c r="B94" s="201" t="n">
        <x:v>3</x:v>
      </x:c>
      <x:c r="C94" s="201" t="inlineStr">
        <x:is>
          <x:t xml:space="preserve">Ноя-26</x:t>
        </x:is>
      </x:c>
      <x:c r="D94" s="201" t="n">
        <x:v>7</x:v>
      </x:c>
      <x:c r="E94" s="201" t="inlineStr">
        <x:is>
          <x:t xml:space="preserve">Вс</x:t>
        </x:is>
      </x:c>
      <x:c r="F94" s="199" t="n">
        <x:v>0</x:v>
      </x:c>
      <x:c r="G94" s="201" t="str"/>
      <x:c r="H94" s="193" t="n">
        <x:v>0</x:v>
      </x:c>
      <x:c r="I94" s="201" t="str"/>
      <x:c r="J94" s="188" t="n">
        <x:f>1</x:f>
        <x:v>1</x:v>
      </x:c>
      <x:c r="K94" s="188" t="n">
        <x:f>IF(AND(D94&lt;=5,F94=0),1,0)</x:f>
        <x:v>0</x:v>
      </x:c>
      <x:c r="L94" s="188" t="n">
        <x:f>IF(F94=1,'01_ВВОД'!$D$23,CHOOSE(D94,'01_ВВОД'!$D$19,'01_ВВОД'!$D$19,'01_ВВОД'!$D$19,'01_ВВОД'!$D$19,'01_ВВОД'!$D$20,'01_ВВОД'!$D$21,'01_ВВОД'!$D$22))</x:f>
        <x:v>70</x:v>
      </x:c>
      <x:c r="M94" s="188" t="n">
        <x:f>L94*IF(H94=1,'01_ВВОД'!$D$118,1)</x:f>
        <x:v>70</x:v>
      </x:c>
      <x:c r="N94" s="188" t="n">
        <x:f>IF(K94=1,'01_ВВОД'!$D$26,0)</x:f>
        <x:v>0</x:v>
      </x:c>
      <x:c r="O94" s="188" t="n">
        <x:f>IF(F94=1,'01_ВВОД'!$D$34,IF(D94&lt;=5,'01_ВВОД'!$D$32,'01_ВВОД'!$D$33))</x:f>
        <x:v>30</x:v>
      </x:c>
      <x:c r="P94" s="188" t="n">
        <x:f>O94</x:f>
        <x:v>30</x:v>
      </x:c>
      <x:c r="Q94" s="188" t="n">
        <x:f>'01_ВВОД'!$D$40</x:f>
        <x:v>12</x:v>
      </x:c>
      <x:c r="R94" s="188" t="n">
        <x:f>'01_ВВОД'!$D$46</x:f>
        <x:v>20</x:v>
      </x:c>
      <x:c r="S94" s="188" t="n">
        <x:f>H94</x:f>
        <x:v>0</x:v>
      </x:c>
      <x:c r="T94" s="188" t="n">
        <x:f>IF(H94=1,M94+N94+P94+Q94,0)</x:f>
        <x:v>0</x:v>
      </x:c>
      <x:c r="U94" t="n">
        <x:f>'01_ВВОД'!$D$120</x:f>
        <x:v>10</x:v>
      </x:c>
      <x:c r="V94" t="n">
        <x:f>ROUNDDOWN(SUM(M94,N94,R94,U94)*'01_ВВОД'!$D$127,0)</x:f>
        <x:v>50</x:v>
      </x:c>
      <x:c r="W94" t="n">
        <x:f>ROUNDDOWN(SUM(L94,N94,R94,U94)*'01_ВВОД'!$D$127,0)</x:f>
        <x:v>50</x:v>
      </x:c>
    </x:row>
    <x:row r="95">
      <x:c r="A95" s="200" t="n">
        <x:v>46356</x:v>
      </x:c>
      <x:c r="B95" s="201" t="n">
        <x:v>3</x:v>
      </x:c>
      <x:c r="C95" s="201" t="inlineStr">
        <x:is>
          <x:t xml:space="preserve">Ноя-26</x:t>
        </x:is>
      </x:c>
      <x:c r="D95" s="201" t="n">
        <x:v>1</x:v>
      </x:c>
      <x:c r="E95" s="201" t="inlineStr">
        <x:is>
          <x:t xml:space="preserve">Пн</x:t>
        </x:is>
      </x:c>
      <x:c r="F95" s="199" t="n">
        <x:v>0</x:v>
      </x:c>
      <x:c r="G95" s="201" t="str"/>
      <x:c r="H95" s="193" t="n">
        <x:v>1</x:v>
      </x:c>
      <x:c r="I95" s="201" t="inlineStr">
        <x:is>
          <x:t xml:space="preserve">Пн–Чт</x:t>
        </x:is>
      </x:c>
      <x:c r="J95" s="188" t="n">
        <x:f>1</x:f>
        <x:v>1</x:v>
      </x:c>
      <x:c r="K95" s="188" t="n">
        <x:f>IF(AND(D95&lt;=5,F95=0),1,0)</x:f>
        <x:v>1</x:v>
      </x:c>
      <x:c r="L95" s="188" t="n">
        <x:f>IF(F95=1,'01_ВВОД'!$D$23,CHOOSE(D95,'01_ВВОД'!$D$19,'01_ВВОД'!$D$19,'01_ВВОД'!$D$19,'01_ВВОД'!$D$19,'01_ВВОД'!$D$20,'01_ВВОД'!$D$21,'01_ВВОД'!$D$22))</x:f>
        <x:v>32</x:v>
      </x:c>
      <x:c r="M95" s="188" t="n">
        <x:f>L95*IF(H95=1,'01_ВВОД'!$D$118,1)</x:f>
        <x:v>6.4</x:v>
      </x:c>
      <x:c r="N95" s="188" t="n">
        <x:f>IF(K95=1,'01_ВВОД'!$D$26,0)</x:f>
        <x:v>40</x:v>
      </x:c>
      <x:c r="O95" s="188" t="n">
        <x:f>IF(F95=1,'01_ВВОД'!$D$34,IF(D95&lt;=5,'01_ВВОД'!$D$32,'01_ВВОД'!$D$33))</x:f>
        <x:v>15</x:v>
      </x:c>
      <x:c r="P95" s="188" t="n">
        <x:f>O95</x:f>
        <x:v>15</x:v>
      </x:c>
      <x:c r="Q95" s="188" t="n">
        <x:f>'01_ВВОД'!$D$40</x:f>
        <x:v>12</x:v>
      </x:c>
      <x:c r="R95" s="188" t="n">
        <x:f>'01_ВВОД'!$D$46</x:f>
        <x:v>20</x:v>
      </x:c>
      <x:c r="S95" s="188" t="n">
        <x:f>H95</x:f>
        <x:v>1</x:v>
      </x:c>
      <x:c r="T95" s="188" t="n">
        <x:f>IF(H95=1,M95+N95+P95+Q95,0)</x:f>
        <x:v>73.4</x:v>
      </x:c>
      <x:c r="U95" t="n">
        <x:f>'01_ВВОД'!$D$120</x:f>
        <x:v>10</x:v>
      </x:c>
      <x:c r="V95" t="n">
        <x:f>ROUNDDOWN(SUM(M95,N95,R95,U95)*'01_ВВОД'!$D$127,0)</x:f>
        <x:v>38</x:v>
      </x:c>
      <x:c r="W95" t="n">
        <x:f>ROUNDDOWN(SUM(L95,N95,R95,U95)*'01_ВВОД'!$D$127,0)</x:f>
        <x:v>51</x:v>
      </x:c>
    </x:row>
    <x:row r="96">
      <x:c r="A96" s="200" t="n">
        <x:v>46357</x:v>
      </x:c>
      <x:c r="B96" s="201" t="n">
        <x:v>4</x:v>
      </x:c>
      <x:c r="C96" s="201" t="inlineStr">
        <x:is>
          <x:t xml:space="preserve">Дек-26</x:t>
        </x:is>
      </x:c>
      <x:c r="D96" s="201" t="n">
        <x:v>2</x:v>
      </x:c>
      <x:c r="E96" s="201" t="inlineStr">
        <x:is>
          <x:t xml:space="preserve">Вт</x:t>
        </x:is>
      </x:c>
      <x:c r="F96" s="199" t="n">
        <x:v>0</x:v>
      </x:c>
      <x:c r="G96" s="201" t="str"/>
      <x:c r="H96" s="193" t="n">
        <x:v>0</x:v>
      </x:c>
      <x:c r="I96" s="201" t="str"/>
      <x:c r="J96" s="188" t="n">
        <x:f>1</x:f>
        <x:v>1</x:v>
      </x:c>
      <x:c r="K96" s="188" t="n">
        <x:f>IF(AND(D96&lt;=5,F96=0),1,0)</x:f>
        <x:v>1</x:v>
      </x:c>
      <x:c r="L96" s="188" t="n">
        <x:f>IF(F96=1,'01_ВВОД'!$D$23,CHOOSE(D96,'01_ВВОД'!$D$19,'01_ВВОД'!$D$19,'01_ВВОД'!$D$19,'01_ВВОД'!$D$19,'01_ВВОД'!$D$20,'01_ВВОД'!$D$21,'01_ВВОД'!$D$22))</x:f>
        <x:v>32</x:v>
      </x:c>
      <x:c r="M96" s="188" t="n">
        <x:f>L96*IF(H96=1,'01_ВВОД'!$D$118,1)</x:f>
        <x:v>32</x:v>
      </x:c>
      <x:c r="N96" s="188" t="n">
        <x:f>IF(K96=1,'01_ВВОД'!$D$26,0)</x:f>
        <x:v>40</x:v>
      </x:c>
      <x:c r="O96" s="188" t="n">
        <x:f>IF(F96=1,'01_ВВОД'!$D$34,IF(D96&lt;=5,'01_ВВОД'!$D$32,'01_ВВОД'!$D$33))</x:f>
        <x:v>15</x:v>
      </x:c>
      <x:c r="P96" s="188" t="n">
        <x:f>O96</x:f>
        <x:v>15</x:v>
      </x:c>
      <x:c r="Q96" s="188" t="n">
        <x:f>'01_ВВОД'!$D$40</x:f>
        <x:v>12</x:v>
      </x:c>
      <x:c r="R96" s="188" t="n">
        <x:f>'01_ВВОД'!$D$46</x:f>
        <x:v>20</x:v>
      </x:c>
      <x:c r="S96" s="188" t="n">
        <x:f>H96</x:f>
        <x:v>0</x:v>
      </x:c>
      <x:c r="T96" s="188" t="n">
        <x:f>IF(H96=1,M96+N96+P96+Q96,0)</x:f>
        <x:v>0</x:v>
      </x:c>
      <x:c r="U96" t="n">
        <x:f>'01_ВВОД'!$D$120</x:f>
        <x:v>10</x:v>
      </x:c>
      <x:c r="V96" t="n">
        <x:f>ROUNDDOWN(SUM(M96,N96,R96,U96)*'01_ВВОД'!$D$127,0)</x:f>
        <x:v>51</x:v>
      </x:c>
      <x:c r="W96" t="n">
        <x:f>ROUNDDOWN(SUM(L96,N96,R96,U96)*'01_ВВОД'!$D$127,0)</x:f>
        <x:v>51</x:v>
      </x:c>
    </x:row>
    <x:row r="97">
      <x:c r="A97" s="200" t="n">
        <x:v>46358</x:v>
      </x:c>
      <x:c r="B97" s="201" t="n">
        <x:v>4</x:v>
      </x:c>
      <x:c r="C97" s="201" t="inlineStr">
        <x:is>
          <x:t xml:space="preserve">Дек-26</x:t>
        </x:is>
      </x:c>
      <x:c r="D97" s="201" t="n">
        <x:v>3</x:v>
      </x:c>
      <x:c r="E97" s="201" t="inlineStr">
        <x:is>
          <x:t xml:space="preserve">Ср</x:t>
        </x:is>
      </x:c>
      <x:c r="F97" s="199" t="n">
        <x:v>0</x:v>
      </x:c>
      <x:c r="G97" s="201" t="str"/>
      <x:c r="H97" s="193" t="n">
        <x:v>0</x:v>
      </x:c>
      <x:c r="I97" s="201" t="str"/>
      <x:c r="J97" s="188" t="n">
        <x:f>1</x:f>
        <x:v>1</x:v>
      </x:c>
      <x:c r="K97" s="188" t="n">
        <x:f>IF(AND(D97&lt;=5,F97=0),1,0)</x:f>
        <x:v>1</x:v>
      </x:c>
      <x:c r="L97" s="188" t="n">
        <x:f>IF(F97=1,'01_ВВОД'!$D$23,CHOOSE(D97,'01_ВВОД'!$D$19,'01_ВВОД'!$D$19,'01_ВВОД'!$D$19,'01_ВВОД'!$D$19,'01_ВВОД'!$D$20,'01_ВВОД'!$D$21,'01_ВВОД'!$D$22))</x:f>
        <x:v>32</x:v>
      </x:c>
      <x:c r="M97" s="188" t="n">
        <x:f>L97*IF(H97=1,'01_ВВОД'!$D$118,1)</x:f>
        <x:v>32</x:v>
      </x:c>
      <x:c r="N97" s="188" t="n">
        <x:f>IF(K97=1,'01_ВВОД'!$D$26,0)</x:f>
        <x:v>40</x:v>
      </x:c>
      <x:c r="O97" s="188" t="n">
        <x:f>IF(F97=1,'01_ВВОД'!$D$34,IF(D97&lt;=5,'01_ВВОД'!$D$32,'01_ВВОД'!$D$33))</x:f>
        <x:v>15</x:v>
      </x:c>
      <x:c r="P97" s="188" t="n">
        <x:f>O97</x:f>
        <x:v>15</x:v>
      </x:c>
      <x:c r="Q97" s="188" t="n">
        <x:f>'01_ВВОД'!$D$40</x:f>
        <x:v>12</x:v>
      </x:c>
      <x:c r="R97" s="188" t="n">
        <x:f>'01_ВВОД'!$D$46</x:f>
        <x:v>20</x:v>
      </x:c>
      <x:c r="S97" s="188" t="n">
        <x:f>H97</x:f>
        <x:v>0</x:v>
      </x:c>
      <x:c r="T97" s="188" t="n">
        <x:f>IF(H97=1,M97+N97+P97+Q97,0)</x:f>
        <x:v>0</x:v>
      </x:c>
      <x:c r="U97" t="n">
        <x:f>'01_ВВОД'!$D$120</x:f>
        <x:v>10</x:v>
      </x:c>
      <x:c r="V97" t="n">
        <x:f>ROUNDDOWN(SUM(M97,N97,R97,U97)*'01_ВВОД'!$D$127,0)</x:f>
        <x:v>51</x:v>
      </x:c>
      <x:c r="W97" t="n">
        <x:f>ROUNDDOWN(SUM(L97,N97,R97,U97)*'01_ВВОД'!$D$127,0)</x:f>
        <x:v>51</x:v>
      </x:c>
    </x:row>
    <x:row r="98">
      <x:c r="A98" s="200" t="n">
        <x:v>46359</x:v>
      </x:c>
      <x:c r="B98" s="201" t="n">
        <x:v>4</x:v>
      </x:c>
      <x:c r="C98" s="201" t="inlineStr">
        <x:is>
          <x:t xml:space="preserve">Дек-26</x:t>
        </x:is>
      </x:c>
      <x:c r="D98" s="201" t="n">
        <x:v>4</x:v>
      </x:c>
      <x:c r="E98" s="201" t="inlineStr">
        <x:is>
          <x:t xml:space="preserve">Чт</x:t>
        </x:is>
      </x:c>
      <x:c r="F98" s="199" t="n">
        <x:v>0</x:v>
      </x:c>
      <x:c r="G98" s="201" t="str"/>
      <x:c r="H98" s="193" t="n">
        <x:v>0</x:v>
      </x:c>
      <x:c r="I98" s="201" t="str"/>
      <x:c r="J98" s="188" t="n">
        <x:f>1</x:f>
        <x:v>1</x:v>
      </x:c>
      <x:c r="K98" s="188" t="n">
        <x:f>IF(AND(D98&lt;=5,F98=0),1,0)</x:f>
        <x:v>1</x:v>
      </x:c>
      <x:c r="L98" s="188" t="n">
        <x:f>IF(F98=1,'01_ВВОД'!$D$23,CHOOSE(D98,'01_ВВОД'!$D$19,'01_ВВОД'!$D$19,'01_ВВОД'!$D$19,'01_ВВОД'!$D$19,'01_ВВОД'!$D$20,'01_ВВОД'!$D$21,'01_ВВОД'!$D$22))</x:f>
        <x:v>32</x:v>
      </x:c>
      <x:c r="M98" s="188" t="n">
        <x:f>L98*IF(H98=1,'01_ВВОД'!$D$118,1)</x:f>
        <x:v>32</x:v>
      </x:c>
      <x:c r="N98" s="188" t="n">
        <x:f>IF(K98=1,'01_ВВОД'!$D$26,0)</x:f>
        <x:v>40</x:v>
      </x:c>
      <x:c r="O98" s="188" t="n">
        <x:f>IF(F98=1,'01_ВВОД'!$D$34,IF(D98&lt;=5,'01_ВВОД'!$D$32,'01_ВВОД'!$D$33))</x:f>
        <x:v>15</x:v>
      </x:c>
      <x:c r="P98" s="188" t="n">
        <x:f>O98</x:f>
        <x:v>15</x:v>
      </x:c>
      <x:c r="Q98" s="188" t="n">
        <x:f>'01_ВВОД'!$D$40</x:f>
        <x:v>12</x:v>
      </x:c>
      <x:c r="R98" s="188" t="n">
        <x:f>'01_ВВОД'!$D$46</x:f>
        <x:v>20</x:v>
      </x:c>
      <x:c r="S98" s="188" t="n">
        <x:f>H98</x:f>
        <x:v>0</x:v>
      </x:c>
      <x:c r="T98" s="188" t="n">
        <x:f>IF(H98=1,M98+N98+P98+Q98,0)</x:f>
        <x:v>0</x:v>
      </x:c>
      <x:c r="U98" t="n">
        <x:f>'01_ВВОД'!$D$120</x:f>
        <x:v>10</x:v>
      </x:c>
      <x:c r="V98" t="n">
        <x:f>ROUNDDOWN(SUM(M98,N98,R98,U98)*'01_ВВОД'!$D$127,0)</x:f>
        <x:v>51</x:v>
      </x:c>
      <x:c r="W98" t="n">
        <x:f>ROUNDDOWN(SUM(L98,N98,R98,U98)*'01_ВВОД'!$D$127,0)</x:f>
        <x:v>51</x:v>
      </x:c>
    </x:row>
    <x:row r="99">
      <x:c r="A99" s="200" t="n">
        <x:v>46360</x:v>
      </x:c>
      <x:c r="B99" s="201" t="n">
        <x:v>4</x:v>
      </x:c>
      <x:c r="C99" s="201" t="inlineStr">
        <x:is>
          <x:t xml:space="preserve">Дек-26</x:t>
        </x:is>
      </x:c>
      <x:c r="D99" s="201" t="n">
        <x:v>5</x:v>
      </x:c>
      <x:c r="E99" s="201" t="inlineStr">
        <x:is>
          <x:t xml:space="preserve">Пт</x:t>
        </x:is>
      </x:c>
      <x:c r="F99" s="199" t="n">
        <x:v>0</x:v>
      </x:c>
      <x:c r="G99" s="201" t="str"/>
      <x:c r="H99" s="193" t="n">
        <x:v>0</x:v>
      </x:c>
      <x:c r="I99" s="201" t="str"/>
      <x:c r="J99" s="188" t="n">
        <x:f>1</x:f>
        <x:v>1</x:v>
      </x:c>
      <x:c r="K99" s="188" t="n">
        <x:f>IF(AND(D99&lt;=5,F99=0),1,0)</x:f>
        <x:v>1</x:v>
      </x:c>
      <x:c r="L99" s="188" t="n">
        <x:f>IF(F99=1,'01_ВВОД'!$D$23,CHOOSE(D99,'01_ВВОД'!$D$19,'01_ВВОД'!$D$19,'01_ВВОД'!$D$19,'01_ВВОД'!$D$19,'01_ВВОД'!$D$20,'01_ВВОД'!$D$21,'01_ВВОД'!$D$22))</x:f>
        <x:v>45</x:v>
      </x:c>
      <x:c r="M99" s="188" t="n">
        <x:f>L99*IF(H99=1,'01_ВВОД'!$D$118,1)</x:f>
        <x:v>45</x:v>
      </x:c>
      <x:c r="N99" s="188" t="n">
        <x:f>IF(K99=1,'01_ВВОД'!$D$26,0)</x:f>
        <x:v>40</x:v>
      </x:c>
      <x:c r="O99" s="188" t="n">
        <x:f>IF(F99=1,'01_ВВОД'!$D$34,IF(D99&lt;=5,'01_ВВОД'!$D$32,'01_ВВОД'!$D$33))</x:f>
        <x:v>15</x:v>
      </x:c>
      <x:c r="P99" s="188" t="n">
        <x:f>O99</x:f>
        <x:v>15</x:v>
      </x:c>
      <x:c r="Q99" s="188" t="n">
        <x:f>'01_ВВОД'!$D$40</x:f>
        <x:v>12</x:v>
      </x:c>
      <x:c r="R99" s="188" t="n">
        <x:f>'01_ВВОД'!$D$46</x:f>
        <x:v>20</x:v>
      </x:c>
      <x:c r="S99" s="188" t="n">
        <x:f>H99</x:f>
        <x:v>0</x:v>
      </x:c>
      <x:c r="T99" s="188" t="n">
        <x:f>IF(H99=1,M99+N99+P99+Q99,0)</x:f>
        <x:v>0</x:v>
      </x:c>
      <x:c r="U99" t="n">
        <x:f>'01_ВВОД'!$D$120</x:f>
        <x:v>10</x:v>
      </x:c>
      <x:c r="V99" t="n">
        <x:f>ROUNDDOWN(SUM(M99,N99,R99,U99)*'01_ВВОД'!$D$127,0)</x:f>
        <x:v>57</x:v>
      </x:c>
      <x:c r="W99" t="n">
        <x:f>ROUNDDOWN(SUM(L99,N99,R99,U99)*'01_ВВОД'!$D$127,0)</x:f>
        <x:v>57</x:v>
      </x:c>
    </x:row>
    <x:row r="100">
      <x:c r="A100" s="200" t="n">
        <x:v>46361</x:v>
      </x:c>
      <x:c r="B100" s="201" t="n">
        <x:v>4</x:v>
      </x:c>
      <x:c r="C100" s="201" t="inlineStr">
        <x:is>
          <x:t xml:space="preserve">Дек-26</x:t>
        </x:is>
      </x:c>
      <x:c r="D100" s="201" t="n">
        <x:v>6</x:v>
      </x:c>
      <x:c r="E100" s="201" t="inlineStr">
        <x:is>
          <x:t xml:space="preserve">Сб</x:t>
        </x:is>
      </x:c>
      <x:c r="F100" s="199" t="n">
        <x:v>0</x:v>
      </x:c>
      <x:c r="G100" s="201" t="str"/>
      <x:c r="H100" s="193" t="n">
        <x:v>1</x:v>
      </x:c>
      <x:c r="I100" s="201" t="inlineStr">
        <x:is>
          <x:t xml:space="preserve">Пт–Вс</x:t>
        </x:is>
      </x:c>
      <x:c r="J100" s="188" t="n">
        <x:f>1</x:f>
        <x:v>1</x:v>
      </x:c>
      <x:c r="K100" s="188" t="n">
        <x:f>IF(AND(D100&lt;=5,F100=0),1,0)</x:f>
        <x:v>0</x:v>
      </x:c>
      <x:c r="L100" s="188" t="n">
        <x:f>IF(F100=1,'01_ВВОД'!$D$23,CHOOSE(D100,'01_ВВОД'!$D$19,'01_ВВОД'!$D$19,'01_ВВОД'!$D$19,'01_ВВОД'!$D$19,'01_ВВОД'!$D$20,'01_ВВОД'!$D$21,'01_ВВОД'!$D$22))</x:f>
        <x:v>80</x:v>
      </x:c>
      <x:c r="M100" s="188" t="n">
        <x:f>L100*IF(H100=1,'01_ВВОД'!$D$118,1)</x:f>
        <x:v>16</x:v>
      </x:c>
      <x:c r="N100" s="188" t="n">
        <x:f>IF(K100=1,'01_ВВОД'!$D$26,0)</x:f>
        <x:v>0</x:v>
      </x:c>
      <x:c r="O100" s="188" t="n">
        <x:f>IF(F100=1,'01_ВВОД'!$D$34,IF(D100&lt;=5,'01_ВВОД'!$D$32,'01_ВВОД'!$D$33))</x:f>
        <x:v>30</x:v>
      </x:c>
      <x:c r="P100" s="188" t="n">
        <x:f>O100</x:f>
        <x:v>30</x:v>
      </x:c>
      <x:c r="Q100" s="188" t="n">
        <x:f>'01_ВВОД'!$D$40</x:f>
        <x:v>12</x:v>
      </x:c>
      <x:c r="R100" s="188" t="n">
        <x:f>'01_ВВОД'!$D$46</x:f>
        <x:v>20</x:v>
      </x:c>
      <x:c r="S100" s="188" t="n">
        <x:f>H100</x:f>
        <x:v>1</x:v>
      </x:c>
      <x:c r="T100" s="188" t="n">
        <x:f>IF(H100=1,M100+N100+P100+Q100,0)</x:f>
        <x:v>58</x:v>
      </x:c>
      <x:c r="U100" t="n">
        <x:f>'01_ВВОД'!$D$120</x:f>
        <x:v>10</x:v>
      </x:c>
      <x:c r="V100" t="n">
        <x:f>ROUNDDOWN(SUM(M100,N100,R100,U100)*'01_ВВОД'!$D$127,0)</x:f>
        <x:v>23</x:v>
      </x:c>
      <x:c r="W100" t="n">
        <x:f>ROUNDDOWN(SUM(L100,N100,R100,U100)*'01_ВВОД'!$D$127,0)</x:f>
        <x:v>55</x:v>
      </x:c>
    </x:row>
    <x:row r="101">
      <x:c r="A101" s="200" t="n">
        <x:v>46362</x:v>
      </x:c>
      <x:c r="B101" s="201" t="n">
        <x:v>4</x:v>
      </x:c>
      <x:c r="C101" s="201" t="inlineStr">
        <x:is>
          <x:t xml:space="preserve">Дек-26</x:t>
        </x:is>
      </x:c>
      <x:c r="D101" s="201" t="n">
        <x:v>7</x:v>
      </x:c>
      <x:c r="E101" s="201" t="inlineStr">
        <x:is>
          <x:t xml:space="preserve">Вс</x:t>
        </x:is>
      </x:c>
      <x:c r="F101" s="199" t="n">
        <x:v>0</x:v>
      </x:c>
      <x:c r="G101" s="201" t="str"/>
      <x:c r="H101" s="193" t="n">
        <x:v>0</x:v>
      </x:c>
      <x:c r="I101" s="201" t="str"/>
      <x:c r="J101" s="188" t="n">
        <x:f>1</x:f>
        <x:v>1</x:v>
      </x:c>
      <x:c r="K101" s="188" t="n">
        <x:f>IF(AND(D101&lt;=5,F101=0),1,0)</x:f>
        <x:v>0</x:v>
      </x:c>
      <x:c r="L101" s="188" t="n">
        <x:f>IF(F101=1,'01_ВВОД'!$D$23,CHOOSE(D101,'01_ВВОД'!$D$19,'01_ВВОД'!$D$19,'01_ВВОД'!$D$19,'01_ВВОД'!$D$19,'01_ВВОД'!$D$20,'01_ВВОД'!$D$21,'01_ВВОД'!$D$22))</x:f>
        <x:v>70</x:v>
      </x:c>
      <x:c r="M101" s="188" t="n">
        <x:f>L101*IF(H101=1,'01_ВВОД'!$D$118,1)</x:f>
        <x:v>70</x:v>
      </x:c>
      <x:c r="N101" s="188" t="n">
        <x:f>IF(K101=1,'01_ВВОД'!$D$26,0)</x:f>
        <x:v>0</x:v>
      </x:c>
      <x:c r="O101" s="188" t="n">
        <x:f>IF(F101=1,'01_ВВОД'!$D$34,IF(D101&lt;=5,'01_ВВОД'!$D$32,'01_ВВОД'!$D$33))</x:f>
        <x:v>30</x:v>
      </x:c>
      <x:c r="P101" s="188" t="n">
        <x:f>O101</x:f>
        <x:v>30</x:v>
      </x:c>
      <x:c r="Q101" s="188" t="n">
        <x:f>'01_ВВОД'!$D$40</x:f>
        <x:v>12</x:v>
      </x:c>
      <x:c r="R101" s="188" t="n">
        <x:f>'01_ВВОД'!$D$46</x:f>
        <x:v>20</x:v>
      </x:c>
      <x:c r="S101" s="188" t="n">
        <x:f>H101</x:f>
        <x:v>0</x:v>
      </x:c>
      <x:c r="T101" s="188" t="n">
        <x:f>IF(H101=1,M101+N101+P101+Q101,0)</x:f>
        <x:v>0</x:v>
      </x:c>
      <x:c r="U101" t="n">
        <x:f>'01_ВВОД'!$D$120</x:f>
        <x:v>10</x:v>
      </x:c>
      <x:c r="V101" t="n">
        <x:f>ROUNDDOWN(SUM(M101,N101,R101,U101)*'01_ВВОД'!$D$127,0)</x:f>
        <x:v>50</x:v>
      </x:c>
      <x:c r="W101" t="n">
        <x:f>ROUNDDOWN(SUM(L101,N101,R101,U101)*'01_ВВОД'!$D$127,0)</x:f>
        <x:v>50</x:v>
      </x:c>
    </x:row>
    <x:row r="102">
      <x:c r="A102" s="200" t="n">
        <x:v>46363</x:v>
      </x:c>
      <x:c r="B102" s="201" t="n">
        <x:v>4</x:v>
      </x:c>
      <x:c r="C102" s="201" t="inlineStr">
        <x:is>
          <x:t xml:space="preserve">Дек-26</x:t>
        </x:is>
      </x:c>
      <x:c r="D102" s="201" t="n">
        <x:v>1</x:v>
      </x:c>
      <x:c r="E102" s="201" t="inlineStr">
        <x:is>
          <x:t xml:space="preserve">Пн</x:t>
        </x:is>
      </x:c>
      <x:c r="F102" s="199" t="n">
        <x:v>0</x:v>
      </x:c>
      <x:c r="G102" s="201" t="str"/>
      <x:c r="H102" s="193" t="n">
        <x:v>0</x:v>
      </x:c>
      <x:c r="I102" s="201" t="str"/>
      <x:c r="J102" s="188" t="n">
        <x:f>1</x:f>
        <x:v>1</x:v>
      </x:c>
      <x:c r="K102" s="188" t="n">
        <x:f>IF(AND(D102&lt;=5,F102=0),1,0)</x:f>
        <x:v>1</x:v>
      </x:c>
      <x:c r="L102" s="188" t="n">
        <x:f>IF(F102=1,'01_ВВОД'!$D$23,CHOOSE(D102,'01_ВВОД'!$D$19,'01_ВВОД'!$D$19,'01_ВВОД'!$D$19,'01_ВВОД'!$D$19,'01_ВВОД'!$D$20,'01_ВВОД'!$D$21,'01_ВВОД'!$D$22))</x:f>
        <x:v>32</x:v>
      </x:c>
      <x:c r="M102" s="188" t="n">
        <x:f>L102*IF(H102=1,'01_ВВОД'!$D$118,1)</x:f>
        <x:v>32</x:v>
      </x:c>
      <x:c r="N102" s="188" t="n">
        <x:f>IF(K102=1,'01_ВВОД'!$D$26,0)</x:f>
        <x:v>40</x:v>
      </x:c>
      <x:c r="O102" s="188" t="n">
        <x:f>IF(F102=1,'01_ВВОД'!$D$34,IF(D102&lt;=5,'01_ВВОД'!$D$32,'01_ВВОД'!$D$33))</x:f>
        <x:v>15</x:v>
      </x:c>
      <x:c r="P102" s="188" t="n">
        <x:f>O102</x:f>
        <x:v>15</x:v>
      </x:c>
      <x:c r="Q102" s="188" t="n">
        <x:f>'01_ВВОД'!$D$40</x:f>
        <x:v>12</x:v>
      </x:c>
      <x:c r="R102" s="188" t="n">
        <x:f>'01_ВВОД'!$D$46</x:f>
        <x:v>20</x:v>
      </x:c>
      <x:c r="S102" s="188" t="n">
        <x:f>H102</x:f>
        <x:v>0</x:v>
      </x:c>
      <x:c r="T102" s="188" t="n">
        <x:f>IF(H102=1,M102+N102+P102+Q102,0)</x:f>
        <x:v>0</x:v>
      </x:c>
      <x:c r="U102" t="n">
        <x:f>'01_ВВОД'!$D$120</x:f>
        <x:v>10</x:v>
      </x:c>
      <x:c r="V102" t="n">
        <x:f>ROUNDDOWN(SUM(M102,N102,R102,U102)*'01_ВВОД'!$D$127,0)</x:f>
        <x:v>51</x:v>
      </x:c>
      <x:c r="W102" t="n">
        <x:f>ROUNDDOWN(SUM(L102,N102,R102,U102)*'01_ВВОД'!$D$127,0)</x:f>
        <x:v>51</x:v>
      </x:c>
    </x:row>
    <x:row r="103">
      <x:c r="A103" s="200" t="n">
        <x:v>46364</x:v>
      </x:c>
      <x:c r="B103" s="201" t="n">
        <x:v>4</x:v>
      </x:c>
      <x:c r="C103" s="201" t="inlineStr">
        <x:is>
          <x:t xml:space="preserve">Дек-26</x:t>
        </x:is>
      </x:c>
      <x:c r="D103" s="201" t="n">
        <x:v>2</x:v>
      </x:c>
      <x:c r="E103" s="201" t="inlineStr">
        <x:is>
          <x:t xml:space="preserve">Вт</x:t>
        </x:is>
      </x:c>
      <x:c r="F103" s="199" t="n">
        <x:v>0</x:v>
      </x:c>
      <x:c r="G103" s="201" t="str"/>
      <x:c r="H103" s="193" t="n">
        <x:v>1</x:v>
      </x:c>
      <x:c r="I103" s="201" t="inlineStr">
        <x:is>
          <x:t xml:space="preserve">Пн–Чт</x:t>
        </x:is>
      </x:c>
      <x:c r="J103" s="188" t="n">
        <x:f>1</x:f>
        <x:v>1</x:v>
      </x:c>
      <x:c r="K103" s="188" t="n">
        <x:f>IF(AND(D103&lt;=5,F103=0),1,0)</x:f>
        <x:v>1</x:v>
      </x:c>
      <x:c r="L103" s="188" t="n">
        <x:f>IF(F103=1,'01_ВВОД'!$D$23,CHOOSE(D103,'01_ВВОД'!$D$19,'01_ВВОД'!$D$19,'01_ВВОД'!$D$19,'01_ВВОД'!$D$19,'01_ВВОД'!$D$20,'01_ВВОД'!$D$21,'01_ВВОД'!$D$22))</x:f>
        <x:v>32</x:v>
      </x:c>
      <x:c r="M103" s="188" t="n">
        <x:f>L103*IF(H103=1,'01_ВВОД'!$D$118,1)</x:f>
        <x:v>6.4</x:v>
      </x:c>
      <x:c r="N103" s="188" t="n">
        <x:f>IF(K103=1,'01_ВВОД'!$D$26,0)</x:f>
        <x:v>40</x:v>
      </x:c>
      <x:c r="O103" s="188" t="n">
        <x:f>IF(F103=1,'01_ВВОД'!$D$34,IF(D103&lt;=5,'01_ВВОД'!$D$32,'01_ВВОД'!$D$33))</x:f>
        <x:v>15</x:v>
      </x:c>
      <x:c r="P103" s="188" t="n">
        <x:f>O103</x:f>
        <x:v>15</x:v>
      </x:c>
      <x:c r="Q103" s="188" t="n">
        <x:f>'01_ВВОД'!$D$40</x:f>
        <x:v>12</x:v>
      </x:c>
      <x:c r="R103" s="188" t="n">
        <x:f>'01_ВВОД'!$D$46</x:f>
        <x:v>20</x:v>
      </x:c>
      <x:c r="S103" s="188" t="n">
        <x:f>H103</x:f>
        <x:v>1</x:v>
      </x:c>
      <x:c r="T103" s="188" t="n">
        <x:f>IF(H103=1,M103+N103+P103+Q103,0)</x:f>
        <x:v>73.4</x:v>
      </x:c>
      <x:c r="U103" t="n">
        <x:f>'01_ВВОД'!$D$120</x:f>
        <x:v>10</x:v>
      </x:c>
      <x:c r="V103" t="n">
        <x:f>ROUNDDOWN(SUM(M103,N103,R103,U103)*'01_ВВОД'!$D$127,0)</x:f>
        <x:v>38</x:v>
      </x:c>
      <x:c r="W103" t="n">
        <x:f>ROUNDDOWN(SUM(L103,N103,R103,U103)*'01_ВВОД'!$D$127,0)</x:f>
        <x:v>51</x:v>
      </x:c>
    </x:row>
    <x:row r="104">
      <x:c r="A104" s="200" t="n">
        <x:v>46365</x:v>
      </x:c>
      <x:c r="B104" s="201" t="n">
        <x:v>4</x:v>
      </x:c>
      <x:c r="C104" s="201" t="inlineStr">
        <x:is>
          <x:t xml:space="preserve">Дек-26</x:t>
        </x:is>
      </x:c>
      <x:c r="D104" s="201" t="n">
        <x:v>3</x:v>
      </x:c>
      <x:c r="E104" s="201" t="inlineStr">
        <x:is>
          <x:t xml:space="preserve">Ср</x:t>
        </x:is>
      </x:c>
      <x:c r="F104" s="199" t="n">
        <x:v>0</x:v>
      </x:c>
      <x:c r="G104" s="201" t="str"/>
      <x:c r="H104" s="193" t="n">
        <x:v>0</x:v>
      </x:c>
      <x:c r="I104" s="201" t="str"/>
      <x:c r="J104" s="188" t="n">
        <x:f>1</x:f>
        <x:v>1</x:v>
      </x:c>
      <x:c r="K104" s="188" t="n">
        <x:f>IF(AND(D104&lt;=5,F104=0),1,0)</x:f>
        <x:v>1</x:v>
      </x:c>
      <x:c r="L104" s="188" t="n">
        <x:f>IF(F104=1,'01_ВВОД'!$D$23,CHOOSE(D104,'01_ВВОД'!$D$19,'01_ВВОД'!$D$19,'01_ВВОД'!$D$19,'01_ВВОД'!$D$19,'01_ВВОД'!$D$20,'01_ВВОД'!$D$21,'01_ВВОД'!$D$22))</x:f>
        <x:v>32</x:v>
      </x:c>
      <x:c r="M104" s="188" t="n">
        <x:f>L104*IF(H104=1,'01_ВВОД'!$D$118,1)</x:f>
        <x:v>32</x:v>
      </x:c>
      <x:c r="N104" s="188" t="n">
        <x:f>IF(K104=1,'01_ВВОД'!$D$26,0)</x:f>
        <x:v>40</x:v>
      </x:c>
      <x:c r="O104" s="188" t="n">
        <x:f>IF(F104=1,'01_ВВОД'!$D$34,IF(D104&lt;=5,'01_ВВОД'!$D$32,'01_ВВОД'!$D$33))</x:f>
        <x:v>15</x:v>
      </x:c>
      <x:c r="P104" s="188" t="n">
        <x:f>O104</x:f>
        <x:v>15</x:v>
      </x:c>
      <x:c r="Q104" s="188" t="n">
        <x:f>'01_ВВОД'!$D$40</x:f>
        <x:v>12</x:v>
      </x:c>
      <x:c r="R104" s="188" t="n">
        <x:f>'01_ВВОД'!$D$46</x:f>
        <x:v>20</x:v>
      </x:c>
      <x:c r="S104" s="188" t="n">
        <x:f>H104</x:f>
        <x:v>0</x:v>
      </x:c>
      <x:c r="T104" s="188" t="n">
        <x:f>IF(H104=1,M104+N104+P104+Q104,0)</x:f>
        <x:v>0</x:v>
      </x:c>
      <x:c r="U104" t="n">
        <x:f>'01_ВВОД'!$D$120</x:f>
        <x:v>10</x:v>
      </x:c>
      <x:c r="V104" t="n">
        <x:f>ROUNDDOWN(SUM(M104,N104,R104,U104)*'01_ВВОД'!$D$127,0)</x:f>
        <x:v>51</x:v>
      </x:c>
      <x:c r="W104" t="n">
        <x:f>ROUNDDOWN(SUM(L104,N104,R104,U104)*'01_ВВОД'!$D$127,0)</x:f>
        <x:v>51</x:v>
      </x:c>
    </x:row>
    <x:row r="105">
      <x:c r="A105" s="200" t="n">
        <x:v>46366</x:v>
      </x:c>
      <x:c r="B105" s="201" t="n">
        <x:v>4</x:v>
      </x:c>
      <x:c r="C105" s="201" t="inlineStr">
        <x:is>
          <x:t xml:space="preserve">Дек-26</x:t>
        </x:is>
      </x:c>
      <x:c r="D105" s="201" t="n">
        <x:v>4</x:v>
      </x:c>
      <x:c r="E105" s="201" t="inlineStr">
        <x:is>
          <x:t xml:space="preserve">Чт</x:t>
        </x:is>
      </x:c>
      <x:c r="F105" s="199" t="n">
        <x:v>0</x:v>
      </x:c>
      <x:c r="G105" s="201" t="str"/>
      <x:c r="H105" s="193" t="n">
        <x:v>1</x:v>
      </x:c>
      <x:c r="I105" s="201" t="inlineStr">
        <x:is>
          <x:t xml:space="preserve">Пн–Чт</x:t>
        </x:is>
      </x:c>
      <x:c r="J105" s="188" t="n">
        <x:f>1</x:f>
        <x:v>1</x:v>
      </x:c>
      <x:c r="K105" s="188" t="n">
        <x:f>IF(AND(D105&lt;=5,F105=0),1,0)</x:f>
        <x:v>1</x:v>
      </x:c>
      <x:c r="L105" s="188" t="n">
        <x:f>IF(F105=1,'01_ВВОД'!$D$23,CHOOSE(D105,'01_ВВОД'!$D$19,'01_ВВОД'!$D$19,'01_ВВОД'!$D$19,'01_ВВОД'!$D$19,'01_ВВОД'!$D$20,'01_ВВОД'!$D$21,'01_ВВОД'!$D$22))</x:f>
        <x:v>32</x:v>
      </x:c>
      <x:c r="M105" s="188" t="n">
        <x:f>L105*IF(H105=1,'01_ВВОД'!$D$118,1)</x:f>
        <x:v>6.4</x:v>
      </x:c>
      <x:c r="N105" s="188" t="n">
        <x:f>IF(K105=1,'01_ВВОД'!$D$26,0)</x:f>
        <x:v>40</x:v>
      </x:c>
      <x:c r="O105" s="188" t="n">
        <x:f>IF(F105=1,'01_ВВОД'!$D$34,IF(D105&lt;=5,'01_ВВОД'!$D$32,'01_ВВОД'!$D$33))</x:f>
        <x:v>15</x:v>
      </x:c>
      <x:c r="P105" s="188" t="n">
        <x:f>O105</x:f>
        <x:v>15</x:v>
      </x:c>
      <x:c r="Q105" s="188" t="n">
        <x:f>'01_ВВОД'!$D$40</x:f>
        <x:v>12</x:v>
      </x:c>
      <x:c r="R105" s="188" t="n">
        <x:f>'01_ВВОД'!$D$46</x:f>
        <x:v>20</x:v>
      </x:c>
      <x:c r="S105" s="188" t="n">
        <x:f>H105</x:f>
        <x:v>1</x:v>
      </x:c>
      <x:c r="T105" s="188" t="n">
        <x:f>IF(H105=1,M105+N105+P105+Q105,0)</x:f>
        <x:v>73.4</x:v>
      </x:c>
      <x:c r="U105" t="n">
        <x:f>'01_ВВОД'!$D$120</x:f>
        <x:v>10</x:v>
      </x:c>
      <x:c r="V105" t="n">
        <x:f>ROUNDDOWN(SUM(M105,N105,R105,U105)*'01_ВВОД'!$D$127,0)</x:f>
        <x:v>38</x:v>
      </x:c>
      <x:c r="W105" t="n">
        <x:f>ROUNDDOWN(SUM(L105,N105,R105,U105)*'01_ВВОД'!$D$127,0)</x:f>
        <x:v>51</x:v>
      </x:c>
    </x:row>
    <x:row r="106">
      <x:c r="A106" s="200" t="n">
        <x:v>46367</x:v>
      </x:c>
      <x:c r="B106" s="201" t="n">
        <x:v>4</x:v>
      </x:c>
      <x:c r="C106" s="201" t="inlineStr">
        <x:is>
          <x:t xml:space="preserve">Дек-26</x:t>
        </x:is>
      </x:c>
      <x:c r="D106" s="201" t="n">
        <x:v>5</x:v>
      </x:c>
      <x:c r="E106" s="201" t="inlineStr">
        <x:is>
          <x:t xml:space="preserve">Пт</x:t>
        </x:is>
      </x:c>
      <x:c r="F106" s="199" t="n">
        <x:v>0</x:v>
      </x:c>
      <x:c r="G106" s="201" t="str"/>
      <x:c r="H106" s="193" t="n">
        <x:v>0</x:v>
      </x:c>
      <x:c r="I106" s="201" t="str"/>
      <x:c r="J106" s="188" t="n">
        <x:f>1</x:f>
        <x:v>1</x:v>
      </x:c>
      <x:c r="K106" s="188" t="n">
        <x:f>IF(AND(D106&lt;=5,F106=0),1,0)</x:f>
        <x:v>1</x:v>
      </x:c>
      <x:c r="L106" s="188" t="n">
        <x:f>IF(F106=1,'01_ВВОД'!$D$23,CHOOSE(D106,'01_ВВОД'!$D$19,'01_ВВОД'!$D$19,'01_ВВОД'!$D$19,'01_ВВОД'!$D$19,'01_ВВОД'!$D$20,'01_ВВОД'!$D$21,'01_ВВОД'!$D$22))</x:f>
        <x:v>45</x:v>
      </x:c>
      <x:c r="M106" s="188" t="n">
        <x:f>L106*IF(H106=1,'01_ВВОД'!$D$118,1)</x:f>
        <x:v>45</x:v>
      </x:c>
      <x:c r="N106" s="188" t="n">
        <x:f>IF(K106=1,'01_ВВОД'!$D$26,0)</x:f>
        <x:v>40</x:v>
      </x:c>
      <x:c r="O106" s="188" t="n">
        <x:f>IF(F106=1,'01_ВВОД'!$D$34,IF(D106&lt;=5,'01_ВВОД'!$D$32,'01_ВВОД'!$D$33))</x:f>
        <x:v>15</x:v>
      </x:c>
      <x:c r="P106" s="188" t="n">
        <x:f>O106</x:f>
        <x:v>15</x:v>
      </x:c>
      <x:c r="Q106" s="188" t="n">
        <x:f>'01_ВВОД'!$D$40</x:f>
        <x:v>12</x:v>
      </x:c>
      <x:c r="R106" s="188" t="n">
        <x:f>'01_ВВОД'!$D$46</x:f>
        <x:v>20</x:v>
      </x:c>
      <x:c r="S106" s="188" t="n">
        <x:f>H106</x:f>
        <x:v>0</x:v>
      </x:c>
      <x:c r="T106" s="188" t="n">
        <x:f>IF(H106=1,M106+N106+P106+Q106,0)</x:f>
        <x:v>0</x:v>
      </x:c>
      <x:c r="U106" t="n">
        <x:f>'01_ВВОД'!$D$120</x:f>
        <x:v>10</x:v>
      </x:c>
      <x:c r="V106" t="n">
        <x:f>ROUNDDOWN(SUM(M106,N106,R106,U106)*'01_ВВОД'!$D$127,0)</x:f>
        <x:v>57</x:v>
      </x:c>
      <x:c r="W106" t="n">
        <x:f>ROUNDDOWN(SUM(L106,N106,R106,U106)*'01_ВВОД'!$D$127,0)</x:f>
        <x:v>57</x:v>
      </x:c>
    </x:row>
    <x:row r="107">
      <x:c r="A107" s="200" t="n">
        <x:v>46368</x:v>
      </x:c>
      <x:c r="B107" s="201" t="n">
        <x:v>4</x:v>
      </x:c>
      <x:c r="C107" s="201" t="inlineStr">
        <x:is>
          <x:t xml:space="preserve">Дек-26</x:t>
        </x:is>
      </x:c>
      <x:c r="D107" s="201" t="n">
        <x:v>6</x:v>
      </x:c>
      <x:c r="E107" s="201" t="inlineStr">
        <x:is>
          <x:t xml:space="preserve">Сб</x:t>
        </x:is>
      </x:c>
      <x:c r="F107" s="199" t="n">
        <x:v>0</x:v>
      </x:c>
      <x:c r="G107" s="201" t="str"/>
      <x:c r="H107" s="193" t="n">
        <x:v>0</x:v>
      </x:c>
      <x:c r="I107" s="201" t="str"/>
      <x:c r="J107" s="188" t="n">
        <x:f>1</x:f>
        <x:v>1</x:v>
      </x:c>
      <x:c r="K107" s="188" t="n">
        <x:f>IF(AND(D107&lt;=5,F107=0),1,0)</x:f>
        <x:v>0</x:v>
      </x:c>
      <x:c r="L107" s="188" t="n">
        <x:f>IF(F107=1,'01_ВВОД'!$D$23,CHOOSE(D107,'01_ВВОД'!$D$19,'01_ВВОД'!$D$19,'01_ВВОД'!$D$19,'01_ВВОД'!$D$19,'01_ВВОД'!$D$20,'01_ВВОД'!$D$21,'01_ВВОД'!$D$22))</x:f>
        <x:v>80</x:v>
      </x:c>
      <x:c r="M107" s="188" t="n">
        <x:f>L107*IF(H107=1,'01_ВВОД'!$D$118,1)</x:f>
        <x:v>80</x:v>
      </x:c>
      <x:c r="N107" s="188" t="n">
        <x:f>IF(K107=1,'01_ВВОД'!$D$26,0)</x:f>
        <x:v>0</x:v>
      </x:c>
      <x:c r="O107" s="188" t="n">
        <x:f>IF(F107=1,'01_ВВОД'!$D$34,IF(D107&lt;=5,'01_ВВОД'!$D$32,'01_ВВОД'!$D$33))</x:f>
        <x:v>30</x:v>
      </x:c>
      <x:c r="P107" s="188" t="n">
        <x:f>O107</x:f>
        <x:v>30</x:v>
      </x:c>
      <x:c r="Q107" s="188" t="n">
        <x:f>'01_ВВОД'!$D$40</x:f>
        <x:v>12</x:v>
      </x:c>
      <x:c r="R107" s="188" t="n">
        <x:f>'01_ВВОД'!$D$46</x:f>
        <x:v>20</x:v>
      </x:c>
      <x:c r="S107" s="188" t="n">
        <x:f>H107</x:f>
        <x:v>0</x:v>
      </x:c>
      <x:c r="T107" s="188" t="n">
        <x:f>IF(H107=1,M107+N107+P107+Q107,0)</x:f>
        <x:v>0</x:v>
      </x:c>
      <x:c r="U107" t="n">
        <x:f>'01_ВВОД'!$D$120</x:f>
        <x:v>10</x:v>
      </x:c>
      <x:c r="V107" t="n">
        <x:f>ROUNDDOWN(SUM(M107,N107,R107,U107)*'01_ВВОД'!$D$127,0)</x:f>
        <x:v>55</x:v>
      </x:c>
      <x:c r="W107" t="n">
        <x:f>ROUNDDOWN(SUM(L107,N107,R107,U107)*'01_ВВОД'!$D$127,0)</x:f>
        <x:v>55</x:v>
      </x:c>
    </x:row>
    <x:row r="108">
      <x:c r="A108" s="200" t="n">
        <x:v>46369</x:v>
      </x:c>
      <x:c r="B108" s="201" t="n">
        <x:v>4</x:v>
      </x:c>
      <x:c r="C108" s="201" t="inlineStr">
        <x:is>
          <x:t xml:space="preserve">Дек-26</x:t>
        </x:is>
      </x:c>
      <x:c r="D108" s="201" t="n">
        <x:v>7</x:v>
      </x:c>
      <x:c r="E108" s="201" t="inlineStr">
        <x:is>
          <x:t xml:space="preserve">Вс</x:t>
        </x:is>
      </x:c>
      <x:c r="F108" s="199" t="n">
        <x:v>0</x:v>
      </x:c>
      <x:c r="G108" s="201" t="str"/>
      <x:c r="H108" s="193" t="n">
        <x:v>1</x:v>
      </x:c>
      <x:c r="I108" s="201" t="inlineStr">
        <x:is>
          <x:t xml:space="preserve">Пт–Вс</x:t>
        </x:is>
      </x:c>
      <x:c r="J108" s="188" t="n">
        <x:f>1</x:f>
        <x:v>1</x:v>
      </x:c>
      <x:c r="K108" s="188" t="n">
        <x:f>IF(AND(D108&lt;=5,F108=0),1,0)</x:f>
        <x:v>0</x:v>
      </x:c>
      <x:c r="L108" s="188" t="n">
        <x:f>IF(F108=1,'01_ВВОД'!$D$23,CHOOSE(D108,'01_ВВОД'!$D$19,'01_ВВОД'!$D$19,'01_ВВОД'!$D$19,'01_ВВОД'!$D$19,'01_ВВОД'!$D$20,'01_ВВОД'!$D$21,'01_ВВОД'!$D$22))</x:f>
        <x:v>70</x:v>
      </x:c>
      <x:c r="M108" s="188" t="n">
        <x:f>L108*IF(H108=1,'01_ВВОД'!$D$118,1)</x:f>
        <x:v>14</x:v>
      </x:c>
      <x:c r="N108" s="188" t="n">
        <x:f>IF(K108=1,'01_ВВОД'!$D$26,0)</x:f>
        <x:v>0</x:v>
      </x:c>
      <x:c r="O108" s="188" t="n">
        <x:f>IF(F108=1,'01_ВВОД'!$D$34,IF(D108&lt;=5,'01_ВВОД'!$D$32,'01_ВВОД'!$D$33))</x:f>
        <x:v>30</x:v>
      </x:c>
      <x:c r="P108" s="188" t="n">
        <x:f>O108</x:f>
        <x:v>30</x:v>
      </x:c>
      <x:c r="Q108" s="188" t="n">
        <x:f>'01_ВВОД'!$D$40</x:f>
        <x:v>12</x:v>
      </x:c>
      <x:c r="R108" s="188" t="n">
        <x:f>'01_ВВОД'!$D$46</x:f>
        <x:v>20</x:v>
      </x:c>
      <x:c r="S108" s="188" t="n">
        <x:f>H108</x:f>
        <x:v>1</x:v>
      </x:c>
      <x:c r="T108" s="188" t="n">
        <x:f>IF(H108=1,M108+N108+P108+Q108,0)</x:f>
        <x:v>56</x:v>
      </x:c>
      <x:c r="U108" t="n">
        <x:f>'01_ВВОД'!$D$120</x:f>
        <x:v>10</x:v>
      </x:c>
      <x:c r="V108" t="n">
        <x:f>ROUNDDOWN(SUM(M108,N108,R108,U108)*'01_ВВОД'!$D$127,0)</x:f>
        <x:v>22</x:v>
      </x:c>
      <x:c r="W108" t="n">
        <x:f>ROUNDDOWN(SUM(L108,N108,R108,U108)*'01_ВВОД'!$D$127,0)</x:f>
        <x:v>50</x:v>
      </x:c>
    </x:row>
    <x:row r="109">
      <x:c r="A109" s="200" t="n">
        <x:v>46370</x:v>
      </x:c>
      <x:c r="B109" s="201" t="n">
        <x:v>4</x:v>
      </x:c>
      <x:c r="C109" s="201" t="inlineStr">
        <x:is>
          <x:t xml:space="preserve">Дек-26</x:t>
        </x:is>
      </x:c>
      <x:c r="D109" s="201" t="n">
        <x:v>1</x:v>
      </x:c>
      <x:c r="E109" s="201" t="inlineStr">
        <x:is>
          <x:t xml:space="preserve">Пн</x:t>
        </x:is>
      </x:c>
      <x:c r="F109" s="199" t="n">
        <x:v>0</x:v>
      </x:c>
      <x:c r="G109" s="201" t="str"/>
      <x:c r="H109" s="193" t="n">
        <x:v>0</x:v>
      </x:c>
      <x:c r="I109" s="201" t="str"/>
      <x:c r="J109" s="188" t="n">
        <x:f>1</x:f>
        <x:v>1</x:v>
      </x:c>
      <x:c r="K109" s="188" t="n">
        <x:f>IF(AND(D109&lt;=5,F109=0),1,0)</x:f>
        <x:v>1</x:v>
      </x:c>
      <x:c r="L109" s="188" t="n">
        <x:f>IF(F109=1,'01_ВВОД'!$D$23,CHOOSE(D109,'01_ВВОД'!$D$19,'01_ВВОД'!$D$19,'01_ВВОД'!$D$19,'01_ВВОД'!$D$19,'01_ВВОД'!$D$20,'01_ВВОД'!$D$21,'01_ВВОД'!$D$22))</x:f>
        <x:v>32</x:v>
      </x:c>
      <x:c r="M109" s="188" t="n">
        <x:f>L109*IF(H109=1,'01_ВВОД'!$D$118,1)</x:f>
        <x:v>32</x:v>
      </x:c>
      <x:c r="N109" s="188" t="n">
        <x:f>IF(K109=1,'01_ВВОД'!$D$26,0)</x:f>
        <x:v>40</x:v>
      </x:c>
      <x:c r="O109" s="188" t="n">
        <x:f>IF(F109=1,'01_ВВОД'!$D$34,IF(D109&lt;=5,'01_ВВОД'!$D$32,'01_ВВОД'!$D$33))</x:f>
        <x:v>15</x:v>
      </x:c>
      <x:c r="P109" s="188" t="n">
        <x:f>O109</x:f>
        <x:v>15</x:v>
      </x:c>
      <x:c r="Q109" s="188" t="n">
        <x:f>'01_ВВОД'!$D$40</x:f>
        <x:v>12</x:v>
      </x:c>
      <x:c r="R109" s="188" t="n">
        <x:f>'01_ВВОД'!$D$46</x:f>
        <x:v>20</x:v>
      </x:c>
      <x:c r="S109" s="188" t="n">
        <x:f>H109</x:f>
        <x:v>0</x:v>
      </x:c>
      <x:c r="T109" s="188" t="n">
        <x:f>IF(H109=1,M109+N109+P109+Q109,0)</x:f>
        <x:v>0</x:v>
      </x:c>
      <x:c r="U109" t="n">
        <x:f>'01_ВВОД'!$D$120</x:f>
        <x:v>10</x:v>
      </x:c>
      <x:c r="V109" t="n">
        <x:f>ROUNDDOWN(SUM(M109,N109,R109,U109)*'01_ВВОД'!$D$127,0)</x:f>
        <x:v>51</x:v>
      </x:c>
      <x:c r="W109" t="n">
        <x:f>ROUNDDOWN(SUM(L109,N109,R109,U109)*'01_ВВОД'!$D$127,0)</x:f>
        <x:v>51</x:v>
      </x:c>
    </x:row>
    <x:row r="110">
      <x:c r="A110" s="200" t="n">
        <x:v>46371</x:v>
      </x:c>
      <x:c r="B110" s="201" t="n">
        <x:v>4</x:v>
      </x:c>
      <x:c r="C110" s="201" t="inlineStr">
        <x:is>
          <x:t xml:space="preserve">Дек-26</x:t>
        </x:is>
      </x:c>
      <x:c r="D110" s="201" t="n">
        <x:v>2</x:v>
      </x:c>
      <x:c r="E110" s="201" t="inlineStr">
        <x:is>
          <x:t xml:space="preserve">Вт</x:t>
        </x:is>
      </x:c>
      <x:c r="F110" s="199" t="n">
        <x:v>0</x:v>
      </x:c>
      <x:c r="G110" s="201" t="str"/>
      <x:c r="H110" s="193" t="n">
        <x:v>0</x:v>
      </x:c>
      <x:c r="I110" s="201" t="str"/>
      <x:c r="J110" s="188" t="n">
        <x:f>1</x:f>
        <x:v>1</x:v>
      </x:c>
      <x:c r="K110" s="188" t="n">
        <x:f>IF(AND(D110&lt;=5,F110=0),1,0)</x:f>
        <x:v>1</x:v>
      </x:c>
      <x:c r="L110" s="188" t="n">
        <x:f>IF(F110=1,'01_ВВОД'!$D$23,CHOOSE(D110,'01_ВВОД'!$D$19,'01_ВВОД'!$D$19,'01_ВВОД'!$D$19,'01_ВВОД'!$D$19,'01_ВВОД'!$D$20,'01_ВВОД'!$D$21,'01_ВВОД'!$D$22))</x:f>
        <x:v>32</x:v>
      </x:c>
      <x:c r="M110" s="188" t="n">
        <x:f>L110*IF(H110=1,'01_ВВОД'!$D$118,1)</x:f>
        <x:v>32</x:v>
      </x:c>
      <x:c r="N110" s="188" t="n">
        <x:f>IF(K110=1,'01_ВВОД'!$D$26,0)</x:f>
        <x:v>40</x:v>
      </x:c>
      <x:c r="O110" s="188" t="n">
        <x:f>IF(F110=1,'01_ВВОД'!$D$34,IF(D110&lt;=5,'01_ВВОД'!$D$32,'01_ВВОД'!$D$33))</x:f>
        <x:v>15</x:v>
      </x:c>
      <x:c r="P110" s="188" t="n">
        <x:f>O110</x:f>
        <x:v>15</x:v>
      </x:c>
      <x:c r="Q110" s="188" t="n">
        <x:f>'01_ВВОД'!$D$40</x:f>
        <x:v>12</x:v>
      </x:c>
      <x:c r="R110" s="188" t="n">
        <x:f>'01_ВВОД'!$D$46</x:f>
        <x:v>20</x:v>
      </x:c>
      <x:c r="S110" s="188" t="n">
        <x:f>H110</x:f>
        <x:v>0</x:v>
      </x:c>
      <x:c r="T110" s="188" t="n">
        <x:f>IF(H110=1,M110+N110+P110+Q110,0)</x:f>
        <x:v>0</x:v>
      </x:c>
      <x:c r="U110" t="n">
        <x:f>'01_ВВОД'!$D$120</x:f>
        <x:v>10</x:v>
      </x:c>
      <x:c r="V110" t="n">
        <x:f>ROUNDDOWN(SUM(M110,N110,R110,U110)*'01_ВВОД'!$D$127,0)</x:f>
        <x:v>51</x:v>
      </x:c>
      <x:c r="W110" t="n">
        <x:f>ROUNDDOWN(SUM(L110,N110,R110,U110)*'01_ВВОД'!$D$127,0)</x:f>
        <x:v>51</x:v>
      </x:c>
    </x:row>
    <x:row r="111">
      <x:c r="A111" s="200" t="n">
        <x:v>46372</x:v>
      </x:c>
      <x:c r="B111" s="201" t="n">
        <x:v>4</x:v>
      </x:c>
      <x:c r="C111" s="201" t="inlineStr">
        <x:is>
          <x:t xml:space="preserve">Дек-26</x:t>
        </x:is>
      </x:c>
      <x:c r="D111" s="201" t="n">
        <x:v>3</x:v>
      </x:c>
      <x:c r="E111" s="201" t="inlineStr">
        <x:is>
          <x:t xml:space="preserve">Ср</x:t>
        </x:is>
      </x:c>
      <x:c r="F111" s="199" t="n">
        <x:v>0</x:v>
      </x:c>
      <x:c r="G111" s="201" t="str"/>
      <x:c r="H111" s="193" t="n">
        <x:v>0</x:v>
      </x:c>
      <x:c r="I111" s="201" t="str"/>
      <x:c r="J111" s="188" t="n">
        <x:f>1</x:f>
        <x:v>1</x:v>
      </x:c>
      <x:c r="K111" s="188" t="n">
        <x:f>IF(AND(D111&lt;=5,F111=0),1,0)</x:f>
        <x:v>1</x:v>
      </x:c>
      <x:c r="L111" s="188" t="n">
        <x:f>IF(F111=1,'01_ВВОД'!$D$23,CHOOSE(D111,'01_ВВОД'!$D$19,'01_ВВОД'!$D$19,'01_ВВОД'!$D$19,'01_ВВОД'!$D$19,'01_ВВОД'!$D$20,'01_ВВОД'!$D$21,'01_ВВОД'!$D$22))</x:f>
        <x:v>32</x:v>
      </x:c>
      <x:c r="M111" s="188" t="n">
        <x:f>L111*IF(H111=1,'01_ВВОД'!$D$118,1)</x:f>
        <x:v>32</x:v>
      </x:c>
      <x:c r="N111" s="188" t="n">
        <x:f>IF(K111=1,'01_ВВОД'!$D$26,0)</x:f>
        <x:v>40</x:v>
      </x:c>
      <x:c r="O111" s="188" t="n">
        <x:f>IF(F111=1,'01_ВВОД'!$D$34,IF(D111&lt;=5,'01_ВВОД'!$D$32,'01_ВВОД'!$D$33))</x:f>
        <x:v>15</x:v>
      </x:c>
      <x:c r="P111" s="188" t="n">
        <x:f>O111</x:f>
        <x:v>15</x:v>
      </x:c>
      <x:c r="Q111" s="188" t="n">
        <x:f>'01_ВВОД'!$D$40</x:f>
        <x:v>12</x:v>
      </x:c>
      <x:c r="R111" s="188" t="n">
        <x:f>'01_ВВОД'!$D$46</x:f>
        <x:v>20</x:v>
      </x:c>
      <x:c r="S111" s="188" t="n">
        <x:f>H111</x:f>
        <x:v>0</x:v>
      </x:c>
      <x:c r="T111" s="188" t="n">
        <x:f>IF(H111=1,M111+N111+P111+Q111,0)</x:f>
        <x:v>0</x:v>
      </x:c>
      <x:c r="U111" t="n">
        <x:f>'01_ВВОД'!$D$120</x:f>
        <x:v>10</x:v>
      </x:c>
      <x:c r="V111" t="n">
        <x:f>ROUNDDOWN(SUM(M111,N111,R111,U111)*'01_ВВОД'!$D$127,0)</x:f>
        <x:v>51</x:v>
      </x:c>
      <x:c r="W111" t="n">
        <x:f>ROUNDDOWN(SUM(L111,N111,R111,U111)*'01_ВВОД'!$D$127,0)</x:f>
        <x:v>51</x:v>
      </x:c>
    </x:row>
    <x:row r="112">
      <x:c r="A112" s="200" t="n">
        <x:v>46373</x:v>
      </x:c>
      <x:c r="B112" s="201" t="n">
        <x:v>4</x:v>
      </x:c>
      <x:c r="C112" s="201" t="inlineStr">
        <x:is>
          <x:t xml:space="preserve">Дек-26</x:t>
        </x:is>
      </x:c>
      <x:c r="D112" s="201" t="n">
        <x:v>4</x:v>
      </x:c>
      <x:c r="E112" s="201" t="inlineStr">
        <x:is>
          <x:t xml:space="preserve">Чт</x:t>
        </x:is>
      </x:c>
      <x:c r="F112" s="199" t="n">
        <x:v>0</x:v>
      </x:c>
      <x:c r="G112" s="201" t="str"/>
      <x:c r="H112" s="193" t="n">
        <x:v>0</x:v>
      </x:c>
      <x:c r="I112" s="201" t="str"/>
      <x:c r="J112" s="188" t="n">
        <x:f>1</x:f>
        <x:v>1</x:v>
      </x:c>
      <x:c r="K112" s="188" t="n">
        <x:f>IF(AND(D112&lt;=5,F112=0),1,0)</x:f>
        <x:v>1</x:v>
      </x:c>
      <x:c r="L112" s="188" t="n">
        <x:f>IF(F112=1,'01_ВВОД'!$D$23,CHOOSE(D112,'01_ВВОД'!$D$19,'01_ВВОД'!$D$19,'01_ВВОД'!$D$19,'01_ВВОД'!$D$19,'01_ВВОД'!$D$20,'01_ВВОД'!$D$21,'01_ВВОД'!$D$22))</x:f>
        <x:v>32</x:v>
      </x:c>
      <x:c r="M112" s="188" t="n">
        <x:f>L112*IF(H112=1,'01_ВВОД'!$D$118,1)</x:f>
        <x:v>32</x:v>
      </x:c>
      <x:c r="N112" s="188" t="n">
        <x:f>IF(K112=1,'01_ВВОД'!$D$26,0)</x:f>
        <x:v>40</x:v>
      </x:c>
      <x:c r="O112" s="188" t="n">
        <x:f>IF(F112=1,'01_ВВОД'!$D$34,IF(D112&lt;=5,'01_ВВОД'!$D$32,'01_ВВОД'!$D$33))</x:f>
        <x:v>15</x:v>
      </x:c>
      <x:c r="P112" s="188" t="n">
        <x:f>O112</x:f>
        <x:v>15</x:v>
      </x:c>
      <x:c r="Q112" s="188" t="n">
        <x:f>'01_ВВОД'!$D$40</x:f>
        <x:v>12</x:v>
      </x:c>
      <x:c r="R112" s="188" t="n">
        <x:f>'01_ВВОД'!$D$46</x:f>
        <x:v>20</x:v>
      </x:c>
      <x:c r="S112" s="188" t="n">
        <x:f>H112</x:f>
        <x:v>0</x:v>
      </x:c>
      <x:c r="T112" s="188" t="n">
        <x:f>IF(H112=1,M112+N112+P112+Q112,0)</x:f>
        <x:v>0</x:v>
      </x:c>
      <x:c r="U112" t="n">
        <x:f>'01_ВВОД'!$D$120</x:f>
        <x:v>10</x:v>
      </x:c>
      <x:c r="V112" t="n">
        <x:f>ROUNDDOWN(SUM(M112,N112,R112,U112)*'01_ВВОД'!$D$127,0)</x:f>
        <x:v>51</x:v>
      </x:c>
      <x:c r="W112" t="n">
        <x:f>ROUNDDOWN(SUM(L112,N112,R112,U112)*'01_ВВОД'!$D$127,0)</x:f>
        <x:v>51</x:v>
      </x:c>
    </x:row>
    <x:row r="113">
      <x:c r="A113" s="200" t="n">
        <x:v>46374</x:v>
      </x:c>
      <x:c r="B113" s="201" t="n">
        <x:v>4</x:v>
      </x:c>
      <x:c r="C113" s="201" t="inlineStr">
        <x:is>
          <x:t xml:space="preserve">Дек-26</x:t>
        </x:is>
      </x:c>
      <x:c r="D113" s="201" t="n">
        <x:v>5</x:v>
      </x:c>
      <x:c r="E113" s="201" t="inlineStr">
        <x:is>
          <x:t xml:space="preserve">Пт</x:t>
        </x:is>
      </x:c>
      <x:c r="F113" s="199" t="n">
        <x:v>0</x:v>
      </x:c>
      <x:c r="G113" s="201" t="str"/>
      <x:c r="H113" s="193" t="n">
        <x:v>1</x:v>
      </x:c>
      <x:c r="I113" s="201" t="inlineStr">
        <x:is>
          <x:t xml:space="preserve">Пт–Вс</x:t>
        </x:is>
      </x:c>
      <x:c r="J113" s="188" t="n">
        <x:f>1</x:f>
        <x:v>1</x:v>
      </x:c>
      <x:c r="K113" s="188" t="n">
        <x:f>IF(AND(D113&lt;=5,F113=0),1,0)</x:f>
        <x:v>1</x:v>
      </x:c>
      <x:c r="L113" s="188" t="n">
        <x:f>IF(F113=1,'01_ВВОД'!$D$23,CHOOSE(D113,'01_ВВОД'!$D$19,'01_ВВОД'!$D$19,'01_ВВОД'!$D$19,'01_ВВОД'!$D$19,'01_ВВОД'!$D$20,'01_ВВОД'!$D$21,'01_ВВОД'!$D$22))</x:f>
        <x:v>45</x:v>
      </x:c>
      <x:c r="M113" s="188" t="n">
        <x:f>L113*IF(H113=1,'01_ВВОД'!$D$118,1)</x:f>
        <x:v>9</x:v>
      </x:c>
      <x:c r="N113" s="188" t="n">
        <x:f>IF(K113=1,'01_ВВОД'!$D$26,0)</x:f>
        <x:v>40</x:v>
      </x:c>
      <x:c r="O113" s="188" t="n">
        <x:f>IF(F113=1,'01_ВВОД'!$D$34,IF(D113&lt;=5,'01_ВВОД'!$D$32,'01_ВВОД'!$D$33))</x:f>
        <x:v>15</x:v>
      </x:c>
      <x:c r="P113" s="188" t="n">
        <x:f>O113</x:f>
        <x:v>15</x:v>
      </x:c>
      <x:c r="Q113" s="188" t="n">
        <x:f>'01_ВВОД'!$D$40</x:f>
        <x:v>12</x:v>
      </x:c>
      <x:c r="R113" s="188" t="n">
        <x:f>'01_ВВОД'!$D$46</x:f>
        <x:v>20</x:v>
      </x:c>
      <x:c r="S113" s="188" t="n">
        <x:f>H113</x:f>
        <x:v>1</x:v>
      </x:c>
      <x:c r="T113" s="188" t="n">
        <x:f>IF(H113=1,M113+N113+P113+Q113,0)</x:f>
        <x:v>76</x:v>
      </x:c>
      <x:c r="U113" t="n">
        <x:f>'01_ВВОД'!$D$120</x:f>
        <x:v>10</x:v>
      </x:c>
      <x:c r="V113" t="n">
        <x:f>ROUNDDOWN(SUM(M113,N113,R113,U113)*'01_ВВОД'!$D$127,0)</x:f>
        <x:v>39</x:v>
      </x:c>
      <x:c r="W113" t="n">
        <x:f>ROUNDDOWN(SUM(L113,N113,R113,U113)*'01_ВВОД'!$D$127,0)</x:f>
        <x:v>57</x:v>
      </x:c>
    </x:row>
    <x:row r="114">
      <x:c r="A114" s="200" t="n">
        <x:v>46375</x:v>
      </x:c>
      <x:c r="B114" s="201" t="n">
        <x:v>4</x:v>
      </x:c>
      <x:c r="C114" s="201" t="inlineStr">
        <x:is>
          <x:t xml:space="preserve">Дек-26</x:t>
        </x:is>
      </x:c>
      <x:c r="D114" s="201" t="n">
        <x:v>6</x:v>
      </x:c>
      <x:c r="E114" s="201" t="inlineStr">
        <x:is>
          <x:t xml:space="preserve">Сб</x:t>
        </x:is>
      </x:c>
      <x:c r="F114" s="199" t="n">
        <x:v>0</x:v>
      </x:c>
      <x:c r="G114" s="201" t="str"/>
      <x:c r="H114" s="193" t="n">
        <x:v>0</x:v>
      </x:c>
      <x:c r="I114" s="201" t="str"/>
      <x:c r="J114" s="188" t="n">
        <x:f>1</x:f>
        <x:v>1</x:v>
      </x:c>
      <x:c r="K114" s="188" t="n">
        <x:f>IF(AND(D114&lt;=5,F114=0),1,0)</x:f>
        <x:v>0</x:v>
      </x:c>
      <x:c r="L114" s="188" t="n">
        <x:f>IF(F114=1,'01_ВВОД'!$D$23,CHOOSE(D114,'01_ВВОД'!$D$19,'01_ВВОД'!$D$19,'01_ВВОД'!$D$19,'01_ВВОД'!$D$19,'01_ВВОД'!$D$20,'01_ВВОД'!$D$21,'01_ВВОД'!$D$22))</x:f>
        <x:v>80</x:v>
      </x:c>
      <x:c r="M114" s="188" t="n">
        <x:f>L114*IF(H114=1,'01_ВВОД'!$D$118,1)</x:f>
        <x:v>80</x:v>
      </x:c>
      <x:c r="N114" s="188" t="n">
        <x:f>IF(K114=1,'01_ВВОД'!$D$26,0)</x:f>
        <x:v>0</x:v>
      </x:c>
      <x:c r="O114" s="188" t="n">
        <x:f>IF(F114=1,'01_ВВОД'!$D$34,IF(D114&lt;=5,'01_ВВОД'!$D$32,'01_ВВОД'!$D$33))</x:f>
        <x:v>30</x:v>
      </x:c>
      <x:c r="P114" s="188" t="n">
        <x:f>O114</x:f>
        <x:v>30</x:v>
      </x:c>
      <x:c r="Q114" s="188" t="n">
        <x:f>'01_ВВОД'!$D$40</x:f>
        <x:v>12</x:v>
      </x:c>
      <x:c r="R114" s="188" t="n">
        <x:f>'01_ВВОД'!$D$46</x:f>
        <x:v>20</x:v>
      </x:c>
      <x:c r="S114" s="188" t="n">
        <x:f>H114</x:f>
        <x:v>0</x:v>
      </x:c>
      <x:c r="T114" s="188" t="n">
        <x:f>IF(H114=1,M114+N114+P114+Q114,0)</x:f>
        <x:v>0</x:v>
      </x:c>
      <x:c r="U114" t="n">
        <x:f>'01_ВВОД'!$D$120</x:f>
        <x:v>10</x:v>
      </x:c>
      <x:c r="V114" t="n">
        <x:f>ROUNDDOWN(SUM(M114,N114,R114,U114)*'01_ВВОД'!$D$127,0)</x:f>
        <x:v>55</x:v>
      </x:c>
      <x:c r="W114" t="n">
        <x:f>ROUNDDOWN(SUM(L114,N114,R114,U114)*'01_ВВОД'!$D$127,0)</x:f>
        <x:v>55</x:v>
      </x:c>
    </x:row>
    <x:row r="115">
      <x:c r="A115" s="200" t="n">
        <x:v>46376</x:v>
      </x:c>
      <x:c r="B115" s="201" t="n">
        <x:v>4</x:v>
      </x:c>
      <x:c r="C115" s="201" t="inlineStr">
        <x:is>
          <x:t xml:space="preserve">Дек-26</x:t>
        </x:is>
      </x:c>
      <x:c r="D115" s="201" t="n">
        <x:v>7</x:v>
      </x:c>
      <x:c r="E115" s="201" t="inlineStr">
        <x:is>
          <x:t xml:space="preserve">Вс</x:t>
        </x:is>
      </x:c>
      <x:c r="F115" s="199" t="n">
        <x:v>0</x:v>
      </x:c>
      <x:c r="G115" s="201" t="str"/>
      <x:c r="H115" s="193" t="n">
        <x:v>0</x:v>
      </x:c>
      <x:c r="I115" s="201" t="str"/>
      <x:c r="J115" s="188" t="n">
        <x:f>1</x:f>
        <x:v>1</x:v>
      </x:c>
      <x:c r="K115" s="188" t="n">
        <x:f>IF(AND(D115&lt;=5,F115=0),1,0)</x:f>
        <x:v>0</x:v>
      </x:c>
      <x:c r="L115" s="188" t="n">
        <x:f>IF(F115=1,'01_ВВОД'!$D$23,CHOOSE(D115,'01_ВВОД'!$D$19,'01_ВВОД'!$D$19,'01_ВВОД'!$D$19,'01_ВВОД'!$D$19,'01_ВВОД'!$D$20,'01_ВВОД'!$D$21,'01_ВВОД'!$D$22))</x:f>
        <x:v>70</x:v>
      </x:c>
      <x:c r="M115" s="188" t="n">
        <x:f>L115*IF(H115=1,'01_ВВОД'!$D$118,1)</x:f>
        <x:v>70</x:v>
      </x:c>
      <x:c r="N115" s="188" t="n">
        <x:f>IF(K115=1,'01_ВВОД'!$D$26,0)</x:f>
        <x:v>0</x:v>
      </x:c>
      <x:c r="O115" s="188" t="n">
        <x:f>IF(F115=1,'01_ВВОД'!$D$34,IF(D115&lt;=5,'01_ВВОД'!$D$32,'01_ВВОД'!$D$33))</x:f>
        <x:v>30</x:v>
      </x:c>
      <x:c r="P115" s="188" t="n">
        <x:f>O115</x:f>
        <x:v>30</x:v>
      </x:c>
      <x:c r="Q115" s="188" t="n">
        <x:f>'01_ВВОД'!$D$40</x:f>
        <x:v>12</x:v>
      </x:c>
      <x:c r="R115" s="188" t="n">
        <x:f>'01_ВВОД'!$D$46</x:f>
        <x:v>20</x:v>
      </x:c>
      <x:c r="S115" s="188" t="n">
        <x:f>H115</x:f>
        <x:v>0</x:v>
      </x:c>
      <x:c r="T115" s="188" t="n">
        <x:f>IF(H115=1,M115+N115+P115+Q115,0)</x:f>
        <x:v>0</x:v>
      </x:c>
      <x:c r="U115" t="n">
        <x:f>'01_ВВОД'!$D$120</x:f>
        <x:v>10</x:v>
      </x:c>
      <x:c r="V115" t="n">
        <x:f>ROUNDDOWN(SUM(M115,N115,R115,U115)*'01_ВВОД'!$D$127,0)</x:f>
        <x:v>50</x:v>
      </x:c>
      <x:c r="W115" t="n">
        <x:f>ROUNDDOWN(SUM(L115,N115,R115,U115)*'01_ВВОД'!$D$127,0)</x:f>
        <x:v>50</x:v>
      </x:c>
    </x:row>
    <x:row r="116">
      <x:c r="A116" s="200" t="n">
        <x:v>46377</x:v>
      </x:c>
      <x:c r="B116" s="201" t="n">
        <x:v>4</x:v>
      </x:c>
      <x:c r="C116" s="201" t="inlineStr">
        <x:is>
          <x:t xml:space="preserve">Дек-26</x:t>
        </x:is>
      </x:c>
      <x:c r="D116" s="201" t="n">
        <x:v>1</x:v>
      </x:c>
      <x:c r="E116" s="201" t="inlineStr">
        <x:is>
          <x:t xml:space="preserve">Пн</x:t>
        </x:is>
      </x:c>
      <x:c r="F116" s="199" t="n">
        <x:v>0</x:v>
      </x:c>
      <x:c r="G116" s="201" t="str"/>
      <x:c r="H116" s="193" t="n">
        <x:v>0</x:v>
      </x:c>
      <x:c r="I116" s="201" t="str"/>
      <x:c r="J116" s="188" t="n">
        <x:f>1</x:f>
        <x:v>1</x:v>
      </x:c>
      <x:c r="K116" s="188" t="n">
        <x:f>IF(AND(D116&lt;=5,F116=0),1,0)</x:f>
        <x:v>1</x:v>
      </x:c>
      <x:c r="L116" s="188" t="n">
        <x:f>IF(F116=1,'01_ВВОД'!$D$23,CHOOSE(D116,'01_ВВОД'!$D$19,'01_ВВОД'!$D$19,'01_ВВОД'!$D$19,'01_ВВОД'!$D$19,'01_ВВОД'!$D$20,'01_ВВОД'!$D$21,'01_ВВОД'!$D$22))</x:f>
        <x:v>32</x:v>
      </x:c>
      <x:c r="M116" s="188" t="n">
        <x:f>L116*IF(H116=1,'01_ВВОД'!$D$118,1)</x:f>
        <x:v>32</x:v>
      </x:c>
      <x:c r="N116" s="188" t="n">
        <x:f>IF(K116=1,'01_ВВОД'!$D$26,0)</x:f>
        <x:v>40</x:v>
      </x:c>
      <x:c r="O116" s="188" t="n">
        <x:f>IF(F116=1,'01_ВВОД'!$D$34,IF(D116&lt;=5,'01_ВВОД'!$D$32,'01_ВВОД'!$D$33))</x:f>
        <x:v>15</x:v>
      </x:c>
      <x:c r="P116" s="188" t="n">
        <x:f>O116</x:f>
        <x:v>15</x:v>
      </x:c>
      <x:c r="Q116" s="188" t="n">
        <x:f>'01_ВВОД'!$D$40</x:f>
        <x:v>12</x:v>
      </x:c>
      <x:c r="R116" s="188" t="n">
        <x:f>'01_ВВОД'!$D$46</x:f>
        <x:v>20</x:v>
      </x:c>
      <x:c r="S116" s="188" t="n">
        <x:f>H116</x:f>
        <x:v>0</x:v>
      </x:c>
      <x:c r="T116" s="188" t="n">
        <x:f>IF(H116=1,M116+N116+P116+Q116,0)</x:f>
        <x:v>0</x:v>
      </x:c>
      <x:c r="U116" t="n">
        <x:f>'01_ВВОД'!$D$120</x:f>
        <x:v>10</x:v>
      </x:c>
      <x:c r="V116" t="n">
        <x:f>ROUNDDOWN(SUM(M116,N116,R116,U116)*'01_ВВОД'!$D$127,0)</x:f>
        <x:v>51</x:v>
      </x:c>
      <x:c r="W116" t="n">
        <x:f>ROUNDDOWN(SUM(L116,N116,R116,U116)*'01_ВВОД'!$D$127,0)</x:f>
        <x:v>51</x:v>
      </x:c>
    </x:row>
    <x:row r="117">
      <x:c r="A117" s="200" t="n">
        <x:v>46378</x:v>
      </x:c>
      <x:c r="B117" s="201" t="n">
        <x:v>4</x:v>
      </x:c>
      <x:c r="C117" s="201" t="inlineStr">
        <x:is>
          <x:t xml:space="preserve">Дек-26</x:t>
        </x:is>
      </x:c>
      <x:c r="D117" s="201" t="n">
        <x:v>2</x:v>
      </x:c>
      <x:c r="E117" s="201" t="inlineStr">
        <x:is>
          <x:t xml:space="preserve">Вт</x:t>
        </x:is>
      </x:c>
      <x:c r="F117" s="199" t="n">
        <x:v>0</x:v>
      </x:c>
      <x:c r="G117" s="201" t="str"/>
      <x:c r="H117" s="193" t="n">
        <x:v>0</x:v>
      </x:c>
      <x:c r="I117" s="201" t="str"/>
      <x:c r="J117" s="188" t="n">
        <x:f>1</x:f>
        <x:v>1</x:v>
      </x:c>
      <x:c r="K117" s="188" t="n">
        <x:f>IF(AND(D117&lt;=5,F117=0),1,0)</x:f>
        <x:v>1</x:v>
      </x:c>
      <x:c r="L117" s="188" t="n">
        <x:f>IF(F117=1,'01_ВВОД'!$D$23,CHOOSE(D117,'01_ВВОД'!$D$19,'01_ВВОД'!$D$19,'01_ВВОД'!$D$19,'01_ВВОД'!$D$19,'01_ВВОД'!$D$20,'01_ВВОД'!$D$21,'01_ВВОД'!$D$22))</x:f>
        <x:v>32</x:v>
      </x:c>
      <x:c r="M117" s="188" t="n">
        <x:f>L117*IF(H117=1,'01_ВВОД'!$D$118,1)</x:f>
        <x:v>32</x:v>
      </x:c>
      <x:c r="N117" s="188" t="n">
        <x:f>IF(K117=1,'01_ВВОД'!$D$26,0)</x:f>
        <x:v>40</x:v>
      </x:c>
      <x:c r="O117" s="188" t="n">
        <x:f>IF(F117=1,'01_ВВОД'!$D$34,IF(D117&lt;=5,'01_ВВОД'!$D$32,'01_ВВОД'!$D$33))</x:f>
        <x:v>15</x:v>
      </x:c>
      <x:c r="P117" s="188" t="n">
        <x:f>O117</x:f>
        <x:v>15</x:v>
      </x:c>
      <x:c r="Q117" s="188" t="n">
        <x:f>'01_ВВОД'!$D$40</x:f>
        <x:v>12</x:v>
      </x:c>
      <x:c r="R117" s="188" t="n">
        <x:f>'01_ВВОД'!$D$46</x:f>
        <x:v>20</x:v>
      </x:c>
      <x:c r="S117" s="188" t="n">
        <x:f>H117</x:f>
        <x:v>0</x:v>
      </x:c>
      <x:c r="T117" s="188" t="n">
        <x:f>IF(H117=1,M117+N117+P117+Q117,0)</x:f>
        <x:v>0</x:v>
      </x:c>
      <x:c r="U117" t="n">
        <x:f>'01_ВВОД'!$D$120</x:f>
        <x:v>10</x:v>
      </x:c>
      <x:c r="V117" t="n">
        <x:f>ROUNDDOWN(SUM(M117,N117,R117,U117)*'01_ВВОД'!$D$127,0)</x:f>
        <x:v>51</x:v>
      </x:c>
      <x:c r="W117" t="n">
        <x:f>ROUNDDOWN(SUM(L117,N117,R117,U117)*'01_ВВОД'!$D$127,0)</x:f>
        <x:v>51</x:v>
      </x:c>
    </x:row>
    <x:row r="118">
      <x:c r="A118" s="200" t="n">
        <x:v>46379</x:v>
      </x:c>
      <x:c r="B118" s="201" t="n">
        <x:v>4</x:v>
      </x:c>
      <x:c r="C118" s="201" t="inlineStr">
        <x:is>
          <x:t xml:space="preserve">Дек-26</x:t>
        </x:is>
      </x:c>
      <x:c r="D118" s="201" t="n">
        <x:v>3</x:v>
      </x:c>
      <x:c r="E118" s="201" t="inlineStr">
        <x:is>
          <x:t xml:space="preserve">Ср</x:t>
        </x:is>
      </x:c>
      <x:c r="F118" s="199" t="n">
        <x:v>0</x:v>
      </x:c>
      <x:c r="G118" s="201" t="str"/>
      <x:c r="H118" s="193" t="n">
        <x:v>0</x:v>
      </x:c>
      <x:c r="I118" s="201" t="str"/>
      <x:c r="J118" s="188" t="n">
        <x:f>1</x:f>
        <x:v>1</x:v>
      </x:c>
      <x:c r="K118" s="188" t="n">
        <x:f>IF(AND(D118&lt;=5,F118=0),1,0)</x:f>
        <x:v>1</x:v>
      </x:c>
      <x:c r="L118" s="188" t="n">
        <x:f>IF(F118=1,'01_ВВОД'!$D$23,CHOOSE(D118,'01_ВВОД'!$D$19,'01_ВВОД'!$D$19,'01_ВВОД'!$D$19,'01_ВВОД'!$D$19,'01_ВВОД'!$D$20,'01_ВВОД'!$D$21,'01_ВВОД'!$D$22))</x:f>
        <x:v>32</x:v>
      </x:c>
      <x:c r="M118" s="188" t="n">
        <x:f>L118*IF(H118=1,'01_ВВОД'!$D$118,1)</x:f>
        <x:v>32</x:v>
      </x:c>
      <x:c r="N118" s="188" t="n">
        <x:f>IF(K118=1,'01_ВВОД'!$D$26,0)</x:f>
        <x:v>40</x:v>
      </x:c>
      <x:c r="O118" s="188" t="n">
        <x:f>IF(F118=1,'01_ВВОД'!$D$34,IF(D118&lt;=5,'01_ВВОД'!$D$32,'01_ВВОД'!$D$33))</x:f>
        <x:v>15</x:v>
      </x:c>
      <x:c r="P118" s="188" t="n">
        <x:f>O118</x:f>
        <x:v>15</x:v>
      </x:c>
      <x:c r="Q118" s="188" t="n">
        <x:f>'01_ВВОД'!$D$40</x:f>
        <x:v>12</x:v>
      </x:c>
      <x:c r="R118" s="188" t="n">
        <x:f>'01_ВВОД'!$D$46</x:f>
        <x:v>20</x:v>
      </x:c>
      <x:c r="S118" s="188" t="n">
        <x:f>H118</x:f>
        <x:v>0</x:v>
      </x:c>
      <x:c r="T118" s="188" t="n">
        <x:f>IF(H118=1,M118+N118+P118+Q118,0)</x:f>
        <x:v>0</x:v>
      </x:c>
      <x:c r="U118" t="n">
        <x:f>'01_ВВОД'!$D$120</x:f>
        <x:v>10</x:v>
      </x:c>
      <x:c r="V118" t="n">
        <x:f>ROUNDDOWN(SUM(M118,N118,R118,U118)*'01_ВВОД'!$D$127,0)</x:f>
        <x:v>51</x:v>
      </x:c>
      <x:c r="W118" t="n">
        <x:f>ROUNDDOWN(SUM(L118,N118,R118,U118)*'01_ВВОД'!$D$127,0)</x:f>
        <x:v>51</x:v>
      </x:c>
    </x:row>
    <x:row r="119">
      <x:c r="A119" s="200" t="n">
        <x:v>46380</x:v>
      </x:c>
      <x:c r="B119" s="201" t="n">
        <x:v>4</x:v>
      </x:c>
      <x:c r="C119" s="201" t="inlineStr">
        <x:is>
          <x:t xml:space="preserve">Дек-26</x:t>
        </x:is>
      </x:c>
      <x:c r="D119" s="201" t="n">
        <x:v>4</x:v>
      </x:c>
      <x:c r="E119" s="201" t="inlineStr">
        <x:is>
          <x:t xml:space="preserve">Чт</x:t>
        </x:is>
      </x:c>
      <x:c r="F119" s="199" t="n">
        <x:v>0</x:v>
      </x:c>
      <x:c r="G119" s="201" t="str"/>
      <x:c r="H119" s="193" t="n">
        <x:v>0</x:v>
      </x:c>
      <x:c r="I119" s="201" t="str"/>
      <x:c r="J119" s="188" t="n">
        <x:f>1</x:f>
        <x:v>1</x:v>
      </x:c>
      <x:c r="K119" s="188" t="n">
        <x:f>IF(AND(D119&lt;=5,F119=0),1,0)</x:f>
        <x:v>1</x:v>
      </x:c>
      <x:c r="L119" s="188" t="n">
        <x:f>IF(F119=1,'01_ВВОД'!$D$23,CHOOSE(D119,'01_ВВОД'!$D$19,'01_ВВОД'!$D$19,'01_ВВОД'!$D$19,'01_ВВОД'!$D$19,'01_ВВОД'!$D$20,'01_ВВОД'!$D$21,'01_ВВОД'!$D$22))</x:f>
        <x:v>32</x:v>
      </x:c>
      <x:c r="M119" s="188" t="n">
        <x:f>L119*IF(H119=1,'01_ВВОД'!$D$118,1)</x:f>
        <x:v>32</x:v>
      </x:c>
      <x:c r="N119" s="188" t="n">
        <x:f>IF(K119=1,'01_ВВОД'!$D$26,0)</x:f>
        <x:v>40</x:v>
      </x:c>
      <x:c r="O119" s="188" t="n">
        <x:f>IF(F119=1,'01_ВВОД'!$D$34,IF(D119&lt;=5,'01_ВВОД'!$D$32,'01_ВВОД'!$D$33))</x:f>
        <x:v>15</x:v>
      </x:c>
      <x:c r="P119" s="188" t="n">
        <x:f>O119</x:f>
        <x:v>15</x:v>
      </x:c>
      <x:c r="Q119" s="188" t="n">
        <x:f>'01_ВВОД'!$D$40</x:f>
        <x:v>12</x:v>
      </x:c>
      <x:c r="R119" s="188" t="n">
        <x:f>'01_ВВОД'!$D$46</x:f>
        <x:v>20</x:v>
      </x:c>
      <x:c r="S119" s="188" t="n">
        <x:f>H119</x:f>
        <x:v>0</x:v>
      </x:c>
      <x:c r="T119" s="188" t="n">
        <x:f>IF(H119=1,M119+N119+P119+Q119,0)</x:f>
        <x:v>0</x:v>
      </x:c>
      <x:c r="U119" t="n">
        <x:f>'01_ВВОД'!$D$120</x:f>
        <x:v>10</x:v>
      </x:c>
      <x:c r="V119" t="n">
        <x:f>ROUNDDOWN(SUM(M119,N119,R119,U119)*'01_ВВОД'!$D$127,0)</x:f>
        <x:v>51</x:v>
      </x:c>
      <x:c r="W119" t="n">
        <x:f>ROUNDDOWN(SUM(L119,N119,R119,U119)*'01_ВВОД'!$D$127,0)</x:f>
        <x:v>51</x:v>
      </x:c>
    </x:row>
    <x:row r="120">
      <x:c r="A120" s="200" t="n">
        <x:v>46381</x:v>
      </x:c>
      <x:c r="B120" s="201" t="n">
        <x:v>4</x:v>
      </x:c>
      <x:c r="C120" s="201" t="inlineStr">
        <x:is>
          <x:t xml:space="preserve">Дек-26</x:t>
        </x:is>
      </x:c>
      <x:c r="D120" s="201" t="n">
        <x:v>5</x:v>
      </x:c>
      <x:c r="E120" s="201" t="inlineStr">
        <x:is>
          <x:t xml:space="preserve">Пт</x:t>
        </x:is>
      </x:c>
      <x:c r="F120" s="199" t="n">
        <x:v>0</x:v>
      </x:c>
      <x:c r="G120" s="201" t="str"/>
      <x:c r="H120" s="193" t="n">
        <x:v>0</x:v>
      </x:c>
      <x:c r="I120" s="201" t="str"/>
      <x:c r="J120" s="188" t="n">
        <x:f>1</x:f>
        <x:v>1</x:v>
      </x:c>
      <x:c r="K120" s="188" t="n">
        <x:f>IF(AND(D120&lt;=5,F120=0),1,0)</x:f>
        <x:v>1</x:v>
      </x:c>
      <x:c r="L120" s="188" t="n">
        <x:f>IF(F120=1,'01_ВВОД'!$D$23,CHOOSE(D120,'01_ВВОД'!$D$19,'01_ВВОД'!$D$19,'01_ВВОД'!$D$19,'01_ВВОД'!$D$19,'01_ВВОД'!$D$20,'01_ВВОД'!$D$21,'01_ВВОД'!$D$22))</x:f>
        <x:v>45</x:v>
      </x:c>
      <x:c r="M120" s="188" t="n">
        <x:f>L120*IF(H120=1,'01_ВВОД'!$D$118,1)</x:f>
        <x:v>45</x:v>
      </x:c>
      <x:c r="N120" s="188" t="n">
        <x:f>IF(K120=1,'01_ВВОД'!$D$26,0)</x:f>
        <x:v>40</x:v>
      </x:c>
      <x:c r="O120" s="188" t="n">
        <x:f>IF(F120=1,'01_ВВОД'!$D$34,IF(D120&lt;=5,'01_ВВОД'!$D$32,'01_ВВОД'!$D$33))</x:f>
        <x:v>15</x:v>
      </x:c>
      <x:c r="P120" s="188" t="n">
        <x:f>O120</x:f>
        <x:v>15</x:v>
      </x:c>
      <x:c r="Q120" s="188" t="n">
        <x:f>'01_ВВОД'!$D$40</x:f>
        <x:v>12</x:v>
      </x:c>
      <x:c r="R120" s="188" t="n">
        <x:f>'01_ВВОД'!$D$46</x:f>
        <x:v>20</x:v>
      </x:c>
      <x:c r="S120" s="188" t="n">
        <x:f>H120</x:f>
        <x:v>0</x:v>
      </x:c>
      <x:c r="T120" s="188" t="n">
        <x:f>IF(H120=1,M120+N120+P120+Q120,0)</x:f>
        <x:v>0</x:v>
      </x:c>
      <x:c r="U120" t="n">
        <x:f>'01_ВВОД'!$D$120</x:f>
        <x:v>10</x:v>
      </x:c>
      <x:c r="V120" t="n">
        <x:f>ROUNDDOWN(SUM(M120,N120,R120,U120)*'01_ВВОД'!$D$127,0)</x:f>
        <x:v>57</x:v>
      </x:c>
      <x:c r="W120" t="n">
        <x:f>ROUNDDOWN(SUM(L120,N120,R120,U120)*'01_ВВОД'!$D$127,0)</x:f>
        <x:v>57</x:v>
      </x:c>
    </x:row>
    <x:row r="121">
      <x:c r="A121" s="200" t="n">
        <x:v>46382</x:v>
      </x:c>
      <x:c r="B121" s="201" t="n">
        <x:v>4</x:v>
      </x:c>
      <x:c r="C121" s="201" t="inlineStr">
        <x:is>
          <x:t xml:space="preserve">Дек-26</x:t>
        </x:is>
      </x:c>
      <x:c r="D121" s="201" t="n">
        <x:v>6</x:v>
      </x:c>
      <x:c r="E121" s="201" t="inlineStr">
        <x:is>
          <x:t xml:space="preserve">Сб</x:t>
        </x:is>
      </x:c>
      <x:c r="F121" s="199" t="n">
        <x:v>0</x:v>
      </x:c>
      <x:c r="G121" s="201" t="str"/>
      <x:c r="H121" s="193" t="n">
        <x:v>0</x:v>
      </x:c>
      <x:c r="I121" s="201" t="str"/>
      <x:c r="J121" s="188" t="n">
        <x:f>1</x:f>
        <x:v>1</x:v>
      </x:c>
      <x:c r="K121" s="188" t="n">
        <x:f>IF(AND(D121&lt;=5,F121=0),1,0)</x:f>
        <x:v>0</x:v>
      </x:c>
      <x:c r="L121" s="188" t="n">
        <x:f>IF(F121=1,'01_ВВОД'!$D$23,CHOOSE(D121,'01_ВВОД'!$D$19,'01_ВВОД'!$D$19,'01_ВВОД'!$D$19,'01_ВВОД'!$D$19,'01_ВВОД'!$D$20,'01_ВВОД'!$D$21,'01_ВВОД'!$D$22))</x:f>
        <x:v>80</x:v>
      </x:c>
      <x:c r="M121" s="188" t="n">
        <x:f>L121*IF(H121=1,'01_ВВОД'!$D$118,1)</x:f>
        <x:v>80</x:v>
      </x:c>
      <x:c r="N121" s="188" t="n">
        <x:f>IF(K121=1,'01_ВВОД'!$D$26,0)</x:f>
        <x:v>0</x:v>
      </x:c>
      <x:c r="O121" s="188" t="n">
        <x:f>IF(F121=1,'01_ВВОД'!$D$34,IF(D121&lt;=5,'01_ВВОД'!$D$32,'01_ВВОД'!$D$33))</x:f>
        <x:v>30</x:v>
      </x:c>
      <x:c r="P121" s="188" t="n">
        <x:f>O121</x:f>
        <x:v>30</x:v>
      </x:c>
      <x:c r="Q121" s="188" t="n">
        <x:f>'01_ВВОД'!$D$40</x:f>
        <x:v>12</x:v>
      </x:c>
      <x:c r="R121" s="188" t="n">
        <x:f>'01_ВВОД'!$D$46</x:f>
        <x:v>20</x:v>
      </x:c>
      <x:c r="S121" s="188" t="n">
        <x:f>H121</x:f>
        <x:v>0</x:v>
      </x:c>
      <x:c r="T121" s="188" t="n">
        <x:f>IF(H121=1,M121+N121+P121+Q121,0)</x:f>
        <x:v>0</x:v>
      </x:c>
      <x:c r="U121" t="n">
        <x:f>'01_ВВОД'!$D$120</x:f>
        <x:v>10</x:v>
      </x:c>
      <x:c r="V121" t="n">
        <x:f>ROUNDDOWN(SUM(M121,N121,R121,U121)*'01_ВВОД'!$D$127,0)</x:f>
        <x:v>55</x:v>
      </x:c>
      <x:c r="W121" t="n">
        <x:f>ROUNDDOWN(SUM(L121,N121,R121,U121)*'01_ВВОД'!$D$127,0)</x:f>
        <x:v>55</x:v>
      </x:c>
    </x:row>
    <x:row r="122">
      <x:c r="A122" s="200" t="n">
        <x:v>46383</x:v>
      </x:c>
      <x:c r="B122" s="201" t="n">
        <x:v>4</x:v>
      </x:c>
      <x:c r="C122" s="201" t="inlineStr">
        <x:is>
          <x:t xml:space="preserve">Дек-26</x:t>
        </x:is>
      </x:c>
      <x:c r="D122" s="201" t="n">
        <x:v>7</x:v>
      </x:c>
      <x:c r="E122" s="201" t="inlineStr">
        <x:is>
          <x:t xml:space="preserve">Вс</x:t>
        </x:is>
      </x:c>
      <x:c r="F122" s="199" t="n">
        <x:v>0</x:v>
      </x:c>
      <x:c r="G122" s="201" t="str"/>
      <x:c r="H122" s="193" t="n">
        <x:v>1</x:v>
      </x:c>
      <x:c r="I122" s="201" t="inlineStr">
        <x:is>
          <x:t xml:space="preserve">Пт–Вс</x:t>
        </x:is>
      </x:c>
      <x:c r="J122" s="188" t="n">
        <x:f>1</x:f>
        <x:v>1</x:v>
      </x:c>
      <x:c r="K122" s="188" t="n">
        <x:f>IF(AND(D122&lt;=5,F122=0),1,0)</x:f>
        <x:v>0</x:v>
      </x:c>
      <x:c r="L122" s="188" t="n">
        <x:f>IF(F122=1,'01_ВВОД'!$D$23,CHOOSE(D122,'01_ВВОД'!$D$19,'01_ВВОД'!$D$19,'01_ВВОД'!$D$19,'01_ВВОД'!$D$19,'01_ВВОД'!$D$20,'01_ВВОД'!$D$21,'01_ВВОД'!$D$22))</x:f>
        <x:v>70</x:v>
      </x:c>
      <x:c r="M122" s="188" t="n">
        <x:f>L122*IF(H122=1,'01_ВВОД'!$D$118,1)</x:f>
        <x:v>14</x:v>
      </x:c>
      <x:c r="N122" s="188" t="n">
        <x:f>IF(K122=1,'01_ВВОД'!$D$26,0)</x:f>
        <x:v>0</x:v>
      </x:c>
      <x:c r="O122" s="188" t="n">
        <x:f>IF(F122=1,'01_ВВОД'!$D$34,IF(D122&lt;=5,'01_ВВОД'!$D$32,'01_ВВОД'!$D$33))</x:f>
        <x:v>30</x:v>
      </x:c>
      <x:c r="P122" s="188" t="n">
        <x:f>O122</x:f>
        <x:v>30</x:v>
      </x:c>
      <x:c r="Q122" s="188" t="n">
        <x:f>'01_ВВОД'!$D$40</x:f>
        <x:v>12</x:v>
      </x:c>
      <x:c r="R122" s="188" t="n">
        <x:f>'01_ВВОД'!$D$46</x:f>
        <x:v>20</x:v>
      </x:c>
      <x:c r="S122" s="188" t="n">
        <x:f>H122</x:f>
        <x:v>1</x:v>
      </x:c>
      <x:c r="T122" s="188" t="n">
        <x:f>IF(H122=1,M122+N122+P122+Q122,0)</x:f>
        <x:v>56</x:v>
      </x:c>
      <x:c r="U122" t="n">
        <x:f>'01_ВВОД'!$D$120</x:f>
        <x:v>10</x:v>
      </x:c>
      <x:c r="V122" t="n">
        <x:f>ROUNDDOWN(SUM(M122,N122,R122,U122)*'01_ВВОД'!$D$127,0)</x:f>
        <x:v>22</x:v>
      </x:c>
      <x:c r="W122" t="n">
        <x:f>ROUNDDOWN(SUM(L122,N122,R122,U122)*'01_ВВОД'!$D$127,0)</x:f>
        <x:v>50</x:v>
      </x:c>
    </x:row>
    <x:row r="123">
      <x:c r="A123" s="200" t="n">
        <x:v>46384</x:v>
      </x:c>
      <x:c r="B123" s="201" t="n">
        <x:v>4</x:v>
      </x:c>
      <x:c r="C123" s="201" t="inlineStr">
        <x:is>
          <x:t xml:space="preserve">Дек-26</x:t>
        </x:is>
      </x:c>
      <x:c r="D123" s="201" t="n">
        <x:v>1</x:v>
      </x:c>
      <x:c r="E123" s="201" t="inlineStr">
        <x:is>
          <x:t xml:space="preserve">Пн</x:t>
        </x:is>
      </x:c>
      <x:c r="F123" s="199" t="n">
        <x:v>0</x:v>
      </x:c>
      <x:c r="G123" s="201" t="str"/>
      <x:c r="H123" s="193" t="n">
        <x:v>0</x:v>
      </x:c>
      <x:c r="I123" s="201" t="str"/>
      <x:c r="J123" s="188" t="n">
        <x:f>1</x:f>
        <x:v>1</x:v>
      </x:c>
      <x:c r="K123" s="188" t="n">
        <x:f>IF(AND(D123&lt;=5,F123=0),1,0)</x:f>
        <x:v>1</x:v>
      </x:c>
      <x:c r="L123" s="188" t="n">
        <x:f>IF(F123=1,'01_ВВОД'!$D$23,CHOOSE(D123,'01_ВВОД'!$D$19,'01_ВВОД'!$D$19,'01_ВВОД'!$D$19,'01_ВВОД'!$D$19,'01_ВВОД'!$D$20,'01_ВВОД'!$D$21,'01_ВВОД'!$D$22))</x:f>
        <x:v>32</x:v>
      </x:c>
      <x:c r="M123" s="188" t="n">
        <x:f>L123*IF(H123=1,'01_ВВОД'!$D$118,1)</x:f>
        <x:v>32</x:v>
      </x:c>
      <x:c r="N123" s="188" t="n">
        <x:f>IF(K123=1,'01_ВВОД'!$D$26,0)</x:f>
        <x:v>40</x:v>
      </x:c>
      <x:c r="O123" s="188" t="n">
        <x:f>IF(F123=1,'01_ВВОД'!$D$34,IF(D123&lt;=5,'01_ВВОД'!$D$32,'01_ВВОД'!$D$33))</x:f>
        <x:v>15</x:v>
      </x:c>
      <x:c r="P123" s="188" t="n">
        <x:f>O123</x:f>
        <x:v>15</x:v>
      </x:c>
      <x:c r="Q123" s="188" t="n">
        <x:f>'01_ВВОД'!$D$40</x:f>
        <x:v>12</x:v>
      </x:c>
      <x:c r="R123" s="188" t="n">
        <x:f>'01_ВВОД'!$D$46</x:f>
        <x:v>20</x:v>
      </x:c>
      <x:c r="S123" s="188" t="n">
        <x:f>H123</x:f>
        <x:v>0</x:v>
      </x:c>
      <x:c r="T123" s="188" t="n">
        <x:f>IF(H123=1,M123+N123+P123+Q123,0)</x:f>
        <x:v>0</x:v>
      </x:c>
      <x:c r="U123" t="n">
        <x:f>'01_ВВОД'!$D$120</x:f>
        <x:v>10</x:v>
      </x:c>
      <x:c r="V123" t="n">
        <x:f>ROUNDDOWN(SUM(M123,N123,R123,U123)*'01_ВВОД'!$D$127,0)</x:f>
        <x:v>51</x:v>
      </x:c>
      <x:c r="W123" t="n">
        <x:f>ROUNDDOWN(SUM(L123,N123,R123,U123)*'01_ВВОД'!$D$127,0)</x:f>
        <x:v>51</x:v>
      </x:c>
    </x:row>
    <x:row r="124">
      <x:c r="A124" s="200" t="n">
        <x:v>46385</x:v>
      </x:c>
      <x:c r="B124" s="201" t="n">
        <x:v>4</x:v>
      </x:c>
      <x:c r="C124" s="201" t="inlineStr">
        <x:is>
          <x:t xml:space="preserve">Дек-26</x:t>
        </x:is>
      </x:c>
      <x:c r="D124" s="201" t="n">
        <x:v>2</x:v>
      </x:c>
      <x:c r="E124" s="201" t="inlineStr">
        <x:is>
          <x:t xml:space="preserve">Вт</x:t>
        </x:is>
      </x:c>
      <x:c r="F124" s="199" t="n">
        <x:v>0</x:v>
      </x:c>
      <x:c r="G124" s="201" t="str"/>
      <x:c r="H124" s="193" t="n">
        <x:v>0</x:v>
      </x:c>
      <x:c r="I124" s="201" t="str"/>
      <x:c r="J124" s="188" t="n">
        <x:f>1</x:f>
        <x:v>1</x:v>
      </x:c>
      <x:c r="K124" s="188" t="n">
        <x:f>IF(AND(D124&lt;=5,F124=0),1,0)</x:f>
        <x:v>1</x:v>
      </x:c>
      <x:c r="L124" s="188" t="n">
        <x:f>IF(F124=1,'01_ВВОД'!$D$23,CHOOSE(D124,'01_ВВОД'!$D$19,'01_ВВОД'!$D$19,'01_ВВОД'!$D$19,'01_ВВОД'!$D$19,'01_ВВОД'!$D$20,'01_ВВОД'!$D$21,'01_ВВОД'!$D$22))</x:f>
        <x:v>32</x:v>
      </x:c>
      <x:c r="M124" s="188" t="n">
        <x:f>L124*IF(H124=1,'01_ВВОД'!$D$118,1)</x:f>
        <x:v>32</x:v>
      </x:c>
      <x:c r="N124" s="188" t="n">
        <x:f>IF(K124=1,'01_ВВОД'!$D$26,0)</x:f>
        <x:v>40</x:v>
      </x:c>
      <x:c r="O124" s="188" t="n">
        <x:f>IF(F124=1,'01_ВВОД'!$D$34,IF(D124&lt;=5,'01_ВВОД'!$D$32,'01_ВВОД'!$D$33))</x:f>
        <x:v>15</x:v>
      </x:c>
      <x:c r="P124" s="188" t="n">
        <x:f>O124</x:f>
        <x:v>15</x:v>
      </x:c>
      <x:c r="Q124" s="188" t="n">
        <x:f>'01_ВВОД'!$D$40</x:f>
        <x:v>12</x:v>
      </x:c>
      <x:c r="R124" s="188" t="n">
        <x:f>'01_ВВОД'!$D$46</x:f>
        <x:v>20</x:v>
      </x:c>
      <x:c r="S124" s="188" t="n">
        <x:f>H124</x:f>
        <x:v>0</x:v>
      </x:c>
      <x:c r="T124" s="188" t="n">
        <x:f>IF(H124=1,M124+N124+P124+Q124,0)</x:f>
        <x:v>0</x:v>
      </x:c>
      <x:c r="U124" t="n">
        <x:f>'01_ВВОД'!$D$120</x:f>
        <x:v>10</x:v>
      </x:c>
      <x:c r="V124" t="n">
        <x:f>ROUNDDOWN(SUM(M124,N124,R124,U124)*'01_ВВОД'!$D$127,0)</x:f>
        <x:v>51</x:v>
      </x:c>
      <x:c r="W124" t="n">
        <x:f>ROUNDDOWN(SUM(L124,N124,R124,U124)*'01_ВВОД'!$D$127,0)</x:f>
        <x:v>51</x:v>
      </x:c>
    </x:row>
    <x:row r="125">
      <x:c r="A125" s="200" t="n">
        <x:v>46386</x:v>
      </x:c>
      <x:c r="B125" s="201" t="n">
        <x:v>4</x:v>
      </x:c>
      <x:c r="C125" s="201" t="inlineStr">
        <x:is>
          <x:t xml:space="preserve">Дек-26</x:t>
        </x:is>
      </x:c>
      <x:c r="D125" s="201" t="n">
        <x:v>3</x:v>
      </x:c>
      <x:c r="E125" s="201" t="inlineStr">
        <x:is>
          <x:t xml:space="preserve">Ср</x:t>
        </x:is>
      </x:c>
      <x:c r="F125" s="199" t="n">
        <x:v>0</x:v>
      </x:c>
      <x:c r="G125" s="201" t="str"/>
      <x:c r="H125" s="193" t="n">
        <x:v>0</x:v>
      </x:c>
      <x:c r="I125" s="201" t="str"/>
      <x:c r="J125" s="188" t="n">
        <x:f>1</x:f>
        <x:v>1</x:v>
      </x:c>
      <x:c r="K125" s="188" t="n">
        <x:f>IF(AND(D125&lt;=5,F125=0),1,0)</x:f>
        <x:v>1</x:v>
      </x:c>
      <x:c r="L125" s="188" t="n">
        <x:f>IF(F125=1,'01_ВВОД'!$D$23,CHOOSE(D125,'01_ВВОД'!$D$19,'01_ВВОД'!$D$19,'01_ВВОД'!$D$19,'01_ВВОД'!$D$19,'01_ВВОД'!$D$20,'01_ВВОД'!$D$21,'01_ВВОД'!$D$22))</x:f>
        <x:v>32</x:v>
      </x:c>
      <x:c r="M125" s="188" t="n">
        <x:f>L125*IF(H125=1,'01_ВВОД'!$D$118,1)</x:f>
        <x:v>32</x:v>
      </x:c>
      <x:c r="N125" s="188" t="n">
        <x:f>IF(K125=1,'01_ВВОД'!$D$26,0)</x:f>
        <x:v>40</x:v>
      </x:c>
      <x:c r="O125" s="188" t="n">
        <x:f>IF(F125=1,'01_ВВОД'!$D$34,IF(D125&lt;=5,'01_ВВОД'!$D$32,'01_ВВОД'!$D$33))</x:f>
        <x:v>15</x:v>
      </x:c>
      <x:c r="P125" s="188" t="n">
        <x:f>O125</x:f>
        <x:v>15</x:v>
      </x:c>
      <x:c r="Q125" s="188" t="n">
        <x:f>'01_ВВОД'!$D$40</x:f>
        <x:v>12</x:v>
      </x:c>
      <x:c r="R125" s="188" t="n">
        <x:f>'01_ВВОД'!$D$46</x:f>
        <x:v>20</x:v>
      </x:c>
      <x:c r="S125" s="188" t="n">
        <x:f>H125</x:f>
        <x:v>0</x:v>
      </x:c>
      <x:c r="T125" s="188" t="n">
        <x:f>IF(H125=1,M125+N125+P125+Q125,0)</x:f>
        <x:v>0</x:v>
      </x:c>
      <x:c r="U125" t="n">
        <x:f>'01_ВВОД'!$D$120</x:f>
        <x:v>10</x:v>
      </x:c>
      <x:c r="V125" t="n">
        <x:f>ROUNDDOWN(SUM(M125,N125,R125,U125)*'01_ВВОД'!$D$127,0)</x:f>
        <x:v>51</x:v>
      </x:c>
      <x:c r="W125" t="n">
        <x:f>ROUNDDOWN(SUM(L125,N125,R125,U125)*'01_ВВОД'!$D$127,0)</x:f>
        <x:v>51</x:v>
      </x:c>
    </x:row>
    <x:row r="126">
      <x:c r="A126" s="200" t="n">
        <x:v>46387</x:v>
      </x:c>
      <x:c r="B126" s="201" t="n">
        <x:v>4</x:v>
      </x:c>
      <x:c r="C126" s="201" t="inlineStr">
        <x:is>
          <x:t xml:space="preserve">Дек-26</x:t>
        </x:is>
      </x:c>
      <x:c r="D126" s="201" t="n">
        <x:v>4</x:v>
      </x:c>
      <x:c r="E126" s="201" t="inlineStr">
        <x:is>
          <x:t xml:space="preserve">Чт</x:t>
        </x:is>
      </x:c>
      <x:c r="F126" s="199" t="n">
        <x:v>1</x:v>
      </x:c>
      <x:c r="G126" s="201" t="inlineStr">
        <x:is>
          <x:t xml:space="preserve">Подтверждено для 2026</x:t>
        </x:is>
      </x:c>
      <x:c r="H126" s="193" t="n">
        <x:v>0</x:v>
      </x:c>
      <x:c r="I126" s="201" t="str"/>
      <x:c r="J126" s="188" t="n">
        <x:f>1</x:f>
        <x:v>1</x:v>
      </x:c>
      <x:c r="K126" s="188" t="n">
        <x:f>IF(AND(D126&lt;=5,F126=0),1,0)</x:f>
        <x:v>0</x:v>
      </x:c>
      <x:c r="L126" s="188" t="n">
        <x:f>IF(F126=1,'01_ВВОД'!$D$23,CHOOSE(D126,'01_ВВОД'!$D$19,'01_ВВОД'!$D$19,'01_ВВОД'!$D$19,'01_ВВОД'!$D$19,'01_ВВОД'!$D$20,'01_ВВОД'!$D$21,'01_ВВОД'!$D$22))</x:f>
        <x:v>70</x:v>
      </x:c>
      <x:c r="M126" s="188" t="n">
        <x:f>L126*IF(H126=1,'01_ВВОД'!$D$118,1)</x:f>
        <x:v>70</x:v>
      </x:c>
      <x:c r="N126" s="188" t="n">
        <x:f>IF(K126=1,'01_ВВОД'!$D$26,0)</x:f>
        <x:v>0</x:v>
      </x:c>
      <x:c r="O126" s="188" t="n">
        <x:f>IF(F126=1,'01_ВВОД'!$D$34,IF(D126&lt;=5,'01_ВВОД'!$D$32,'01_ВВОД'!$D$33))</x:f>
        <x:v>30</x:v>
      </x:c>
      <x:c r="P126" s="188" t="n">
        <x:f>O126</x:f>
        <x:v>30</x:v>
      </x:c>
      <x:c r="Q126" s="188" t="n">
        <x:f>'01_ВВОД'!$D$40</x:f>
        <x:v>12</x:v>
      </x:c>
      <x:c r="R126" s="188" t="n">
        <x:f>'01_ВВОД'!$D$46</x:f>
        <x:v>20</x:v>
      </x:c>
      <x:c r="S126" s="188" t="n">
        <x:f>H126</x:f>
        <x:v>0</x:v>
      </x:c>
      <x:c r="T126" s="188" t="n">
        <x:f>IF(H126=1,M126+N126+P126+Q126,0)</x:f>
        <x:v>0</x:v>
      </x:c>
      <x:c r="U126" t="n">
        <x:f>'01_ВВОД'!$D$120</x:f>
        <x:v>10</x:v>
      </x:c>
      <x:c r="V126" t="n">
        <x:f>ROUNDDOWN(SUM(M126,N126,R126,U126)*'01_ВВОД'!$D$127,0)</x:f>
        <x:v>50</x:v>
      </x:c>
      <x:c r="W126" t="n">
        <x:f>ROUNDDOWN(SUM(L126,N126,R126,U126)*'01_ВВОД'!$D$127,0)</x:f>
        <x:v>50</x:v>
      </x:c>
    </x:row>
    <x:row r="127">
      <x:c r="A127" s="200" t="n">
        <x:v>46388</x:v>
      </x:c>
      <x:c r="B127" s="201" t="n">
        <x:v>5</x:v>
      </x:c>
      <x:c r="C127" s="201" t="inlineStr">
        <x:is>
          <x:t xml:space="preserve">Янв-27</x:t>
        </x:is>
      </x:c>
      <x:c r="D127" s="201" t="n">
        <x:v>5</x:v>
      </x:c>
      <x:c r="E127" s="201" t="inlineStr">
        <x:is>
          <x:t xml:space="preserve">Пт</x:t>
        </x:is>
      </x:c>
      <x:c r="F127" s="199" t="n">
        <x:v>1</x:v>
      </x:c>
      <x:c r="G127" s="201" t="inlineStr">
        <x:is>
          <x:t xml:space="preserve">Фиксированный праздник 2027; переносы уточнить</x:t>
        </x:is>
      </x:c>
      <x:c r="H127" s="193" t="n">
        <x:v>0</x:v>
      </x:c>
      <x:c r="I127" s="201" t="str"/>
      <x:c r="J127" s="188" t="n">
        <x:f>1</x:f>
        <x:v>1</x:v>
      </x:c>
      <x:c r="K127" s="188" t="n">
        <x:f>IF(AND(D127&lt;=5,F127=0),1,0)</x:f>
        <x:v>0</x:v>
      </x:c>
      <x:c r="L127" s="188" t="n">
        <x:f>IF(F127=1,'01_ВВОД'!$D$23,CHOOSE(D127,'01_ВВОД'!$D$19,'01_ВВОД'!$D$19,'01_ВВОД'!$D$19,'01_ВВОД'!$D$19,'01_ВВОД'!$D$20,'01_ВВОД'!$D$21,'01_ВВОД'!$D$22))</x:f>
        <x:v>70</x:v>
      </x:c>
      <x:c r="M127" s="188" t="n">
        <x:f>L127*IF(H127=1,'01_ВВОД'!$D$118,1)</x:f>
        <x:v>70</x:v>
      </x:c>
      <x:c r="N127" s="188" t="n">
        <x:f>IF(K127=1,'01_ВВОД'!$D$26,0)</x:f>
        <x:v>0</x:v>
      </x:c>
      <x:c r="O127" s="188" t="n">
        <x:f>IF(F127=1,'01_ВВОД'!$D$34,IF(D127&lt;=5,'01_ВВОД'!$D$32,'01_ВВОД'!$D$33))</x:f>
        <x:v>30</x:v>
      </x:c>
      <x:c r="P127" s="188" t="n">
        <x:f>O127</x:f>
        <x:v>30</x:v>
      </x:c>
      <x:c r="Q127" s="188" t="n">
        <x:f>'01_ВВОД'!$D$40</x:f>
        <x:v>12</x:v>
      </x:c>
      <x:c r="R127" s="188" t="n">
        <x:f>'01_ВВОД'!$D$46</x:f>
        <x:v>20</x:v>
      </x:c>
      <x:c r="S127" s="188" t="n">
        <x:f>H127</x:f>
        <x:v>0</x:v>
      </x:c>
      <x:c r="T127" s="188" t="n">
        <x:f>IF(H127=1,M127+N127+P127+Q127,0)</x:f>
        <x:v>0</x:v>
      </x:c>
      <x:c r="U127" t="n">
        <x:f>'01_ВВОД'!$D$120</x:f>
        <x:v>10</x:v>
      </x:c>
      <x:c r="V127" t="n">
        <x:f>ROUNDDOWN(SUM(M127,N127,R127,U127)*'01_ВВОД'!$D$127,0)</x:f>
        <x:v>50</x:v>
      </x:c>
      <x:c r="W127" t="n">
        <x:f>ROUNDDOWN(SUM(L127,N127,R127,U127)*'01_ВВОД'!$D$127,0)</x:f>
        <x:v>50</x:v>
      </x:c>
    </x:row>
    <x:row r="128">
      <x:c r="A128" s="200" t="n">
        <x:v>46389</x:v>
      </x:c>
      <x:c r="B128" s="201" t="n">
        <x:v>5</x:v>
      </x:c>
      <x:c r="C128" s="201" t="inlineStr">
        <x:is>
          <x:t xml:space="preserve">Янв-27</x:t>
        </x:is>
      </x:c>
      <x:c r="D128" s="201" t="n">
        <x:v>6</x:v>
      </x:c>
      <x:c r="E128" s="201" t="inlineStr">
        <x:is>
          <x:t xml:space="preserve">Сб</x:t>
        </x:is>
      </x:c>
      <x:c r="F128" s="199" t="n">
        <x:v>1</x:v>
      </x:c>
      <x:c r="G128" s="201" t="inlineStr">
        <x:is>
          <x:t xml:space="preserve">Фиксированный праздник 2027; переносы уточнить</x:t>
        </x:is>
      </x:c>
      <x:c r="H128" s="193" t="n">
        <x:v>0</x:v>
      </x:c>
      <x:c r="I128" s="201" t="str"/>
      <x:c r="J128" s="188" t="n">
        <x:f>1</x:f>
        <x:v>1</x:v>
      </x:c>
      <x:c r="K128" s="188" t="n">
        <x:f>IF(AND(D128&lt;=5,F128=0),1,0)</x:f>
        <x:v>0</x:v>
      </x:c>
      <x:c r="L128" s="188" t="n">
        <x:f>IF(F128=1,'01_ВВОД'!$D$23,CHOOSE(D128,'01_ВВОД'!$D$19,'01_ВВОД'!$D$19,'01_ВВОД'!$D$19,'01_ВВОД'!$D$19,'01_ВВОД'!$D$20,'01_ВВОД'!$D$21,'01_ВВОД'!$D$22))</x:f>
        <x:v>70</x:v>
      </x:c>
      <x:c r="M128" s="188" t="n">
        <x:f>L128*IF(H128=1,'01_ВВОД'!$D$118,1)</x:f>
        <x:v>70</x:v>
      </x:c>
      <x:c r="N128" s="188" t="n">
        <x:f>IF(K128=1,'01_ВВОД'!$D$26,0)</x:f>
        <x:v>0</x:v>
      </x:c>
      <x:c r="O128" s="188" t="n">
        <x:f>IF(F128=1,'01_ВВОД'!$D$34,IF(D128&lt;=5,'01_ВВОД'!$D$32,'01_ВВОД'!$D$33))</x:f>
        <x:v>30</x:v>
      </x:c>
      <x:c r="P128" s="188" t="n">
        <x:f>O128</x:f>
        <x:v>30</x:v>
      </x:c>
      <x:c r="Q128" s="188" t="n">
        <x:f>'01_ВВОД'!$D$40</x:f>
        <x:v>12</x:v>
      </x:c>
      <x:c r="R128" s="188" t="n">
        <x:f>'01_ВВОД'!$D$46</x:f>
        <x:v>20</x:v>
      </x:c>
      <x:c r="S128" s="188" t="n">
        <x:f>H128</x:f>
        <x:v>0</x:v>
      </x:c>
      <x:c r="T128" s="188" t="n">
        <x:f>IF(H128=1,M128+N128+P128+Q128,0)</x:f>
        <x:v>0</x:v>
      </x:c>
      <x:c r="U128" t="n">
        <x:f>'01_ВВОД'!$D$120</x:f>
        <x:v>10</x:v>
      </x:c>
      <x:c r="V128" t="n">
        <x:f>ROUNDDOWN(SUM(M128,N128,R128,U128)*'01_ВВОД'!$D$127,0)</x:f>
        <x:v>50</x:v>
      </x:c>
      <x:c r="W128" t="n">
        <x:f>ROUNDDOWN(SUM(L128,N128,R128,U128)*'01_ВВОД'!$D$127,0)</x:f>
        <x:v>50</x:v>
      </x:c>
    </x:row>
    <x:row r="129">
      <x:c r="A129" s="200" t="n">
        <x:v>46390</x:v>
      </x:c>
      <x:c r="B129" s="201" t="n">
        <x:v>5</x:v>
      </x:c>
      <x:c r="C129" s="201" t="inlineStr">
        <x:is>
          <x:t xml:space="preserve">Янв-27</x:t>
        </x:is>
      </x:c>
      <x:c r="D129" s="201" t="n">
        <x:v>7</x:v>
      </x:c>
      <x:c r="E129" s="201" t="inlineStr">
        <x:is>
          <x:t xml:space="preserve">Вс</x:t>
        </x:is>
      </x:c>
      <x:c r="F129" s="199" t="n">
        <x:v>1</x:v>
      </x:c>
      <x:c r="G129" s="201" t="inlineStr">
        <x:is>
          <x:t xml:space="preserve">Фиксированный праздник 2027; переносы уточнить</x:t>
        </x:is>
      </x:c>
      <x:c r="H129" s="193" t="n">
        <x:v>0</x:v>
      </x:c>
      <x:c r="I129" s="201" t="str"/>
      <x:c r="J129" s="188" t="n">
        <x:f>1</x:f>
        <x:v>1</x:v>
      </x:c>
      <x:c r="K129" s="188" t="n">
        <x:f>IF(AND(D129&lt;=5,F129=0),1,0)</x:f>
        <x:v>0</x:v>
      </x:c>
      <x:c r="L129" s="188" t="n">
        <x:f>IF(F129=1,'01_ВВОД'!$D$23,CHOOSE(D129,'01_ВВОД'!$D$19,'01_ВВОД'!$D$19,'01_ВВОД'!$D$19,'01_ВВОД'!$D$19,'01_ВВОД'!$D$20,'01_ВВОД'!$D$21,'01_ВВОД'!$D$22))</x:f>
        <x:v>70</x:v>
      </x:c>
      <x:c r="M129" s="188" t="n">
        <x:f>L129*IF(H129=1,'01_ВВОД'!$D$118,1)</x:f>
        <x:v>70</x:v>
      </x:c>
      <x:c r="N129" s="188" t="n">
        <x:f>IF(K129=1,'01_ВВОД'!$D$26,0)</x:f>
        <x:v>0</x:v>
      </x:c>
      <x:c r="O129" s="188" t="n">
        <x:f>IF(F129=1,'01_ВВОД'!$D$34,IF(D129&lt;=5,'01_ВВОД'!$D$32,'01_ВВОД'!$D$33))</x:f>
        <x:v>30</x:v>
      </x:c>
      <x:c r="P129" s="188" t="n">
        <x:f>O129</x:f>
        <x:v>30</x:v>
      </x:c>
      <x:c r="Q129" s="188" t="n">
        <x:f>'01_ВВОД'!$D$40</x:f>
        <x:v>12</x:v>
      </x:c>
      <x:c r="R129" s="188" t="n">
        <x:f>'01_ВВОД'!$D$46</x:f>
        <x:v>20</x:v>
      </x:c>
      <x:c r="S129" s="188" t="n">
        <x:f>H129</x:f>
        <x:v>0</x:v>
      </x:c>
      <x:c r="T129" s="188" t="n">
        <x:f>IF(H129=1,M129+N129+P129+Q129,0)</x:f>
        <x:v>0</x:v>
      </x:c>
      <x:c r="U129" t="n">
        <x:f>'01_ВВОД'!$D$120</x:f>
        <x:v>10</x:v>
      </x:c>
      <x:c r="V129" t="n">
        <x:f>ROUNDDOWN(SUM(M129,N129,R129,U129)*'01_ВВОД'!$D$127,0)</x:f>
        <x:v>50</x:v>
      </x:c>
      <x:c r="W129" t="n">
        <x:f>ROUNDDOWN(SUM(L129,N129,R129,U129)*'01_ВВОД'!$D$127,0)</x:f>
        <x:v>50</x:v>
      </x:c>
    </x:row>
    <x:row r="130">
      <x:c r="A130" s="200" t="n">
        <x:v>46391</x:v>
      </x:c>
      <x:c r="B130" s="201" t="n">
        <x:v>5</x:v>
      </x:c>
      <x:c r="C130" s="201" t="inlineStr">
        <x:is>
          <x:t xml:space="preserve">Янв-27</x:t>
        </x:is>
      </x:c>
      <x:c r="D130" s="201" t="n">
        <x:v>1</x:v>
      </x:c>
      <x:c r="E130" s="201" t="inlineStr">
        <x:is>
          <x:t xml:space="preserve">Пн</x:t>
        </x:is>
      </x:c>
      <x:c r="F130" s="199" t="n">
        <x:v>1</x:v>
      </x:c>
      <x:c r="G130" s="201" t="inlineStr">
        <x:is>
          <x:t xml:space="preserve">Фиксированный праздник 2027; переносы уточнить</x:t>
        </x:is>
      </x:c>
      <x:c r="H130" s="193" t="n">
        <x:v>0</x:v>
      </x:c>
      <x:c r="I130" s="201" t="str"/>
      <x:c r="J130" s="188" t="n">
        <x:f>1</x:f>
        <x:v>1</x:v>
      </x:c>
      <x:c r="K130" s="188" t="n">
        <x:f>IF(AND(D130&lt;=5,F130=0),1,0)</x:f>
        <x:v>0</x:v>
      </x:c>
      <x:c r="L130" s="188" t="n">
        <x:f>IF(F130=1,'01_ВВОД'!$D$23,CHOOSE(D130,'01_ВВОД'!$D$19,'01_ВВОД'!$D$19,'01_ВВОД'!$D$19,'01_ВВОД'!$D$19,'01_ВВОД'!$D$20,'01_ВВОД'!$D$21,'01_ВВОД'!$D$22))</x:f>
        <x:v>70</x:v>
      </x:c>
      <x:c r="M130" s="188" t="n">
        <x:f>L130*IF(H130=1,'01_ВВОД'!$D$118,1)</x:f>
        <x:v>70</x:v>
      </x:c>
      <x:c r="N130" s="188" t="n">
        <x:f>IF(K130=1,'01_ВВОД'!$D$26,0)</x:f>
        <x:v>0</x:v>
      </x:c>
      <x:c r="O130" s="188" t="n">
        <x:f>IF(F130=1,'01_ВВОД'!$D$34,IF(D130&lt;=5,'01_ВВОД'!$D$32,'01_ВВОД'!$D$33))</x:f>
        <x:v>30</x:v>
      </x:c>
      <x:c r="P130" s="188" t="n">
        <x:f>O130</x:f>
        <x:v>30</x:v>
      </x:c>
      <x:c r="Q130" s="188" t="n">
        <x:f>'01_ВВОД'!$D$40</x:f>
        <x:v>12</x:v>
      </x:c>
      <x:c r="R130" s="188" t="n">
        <x:f>'01_ВВОД'!$D$46</x:f>
        <x:v>20</x:v>
      </x:c>
      <x:c r="S130" s="188" t="n">
        <x:f>H130</x:f>
        <x:v>0</x:v>
      </x:c>
      <x:c r="T130" s="188" t="n">
        <x:f>IF(H130=1,M130+N130+P130+Q130,0)</x:f>
        <x:v>0</x:v>
      </x:c>
      <x:c r="U130" t="n">
        <x:f>'01_ВВОД'!$D$120</x:f>
        <x:v>10</x:v>
      </x:c>
      <x:c r="V130" t="n">
        <x:f>ROUNDDOWN(SUM(M130,N130,R130,U130)*'01_ВВОД'!$D$127,0)</x:f>
        <x:v>50</x:v>
      </x:c>
      <x:c r="W130" t="n">
        <x:f>ROUNDDOWN(SUM(L130,N130,R130,U130)*'01_ВВОД'!$D$127,0)</x:f>
        <x:v>50</x:v>
      </x:c>
    </x:row>
    <x:row r="131">
      <x:c r="A131" s="200" t="n">
        <x:v>46392</x:v>
      </x:c>
      <x:c r="B131" s="201" t="n">
        <x:v>5</x:v>
      </x:c>
      <x:c r="C131" s="201" t="inlineStr">
        <x:is>
          <x:t xml:space="preserve">Янв-27</x:t>
        </x:is>
      </x:c>
      <x:c r="D131" s="201" t="n">
        <x:v>2</x:v>
      </x:c>
      <x:c r="E131" s="201" t="inlineStr">
        <x:is>
          <x:t xml:space="preserve">Вт</x:t>
        </x:is>
      </x:c>
      <x:c r="F131" s="199" t="n">
        <x:v>1</x:v>
      </x:c>
      <x:c r="G131" s="201" t="inlineStr">
        <x:is>
          <x:t xml:space="preserve">Фиксированный праздник 2027; переносы уточнить</x:t>
        </x:is>
      </x:c>
      <x:c r="H131" s="193" t="n">
        <x:v>0</x:v>
      </x:c>
      <x:c r="I131" s="201" t="str"/>
      <x:c r="J131" s="188" t="n">
        <x:f>1</x:f>
        <x:v>1</x:v>
      </x:c>
      <x:c r="K131" s="188" t="n">
        <x:f>IF(AND(D131&lt;=5,F131=0),1,0)</x:f>
        <x:v>0</x:v>
      </x:c>
      <x:c r="L131" s="188" t="n">
        <x:f>IF(F131=1,'01_ВВОД'!$D$23,CHOOSE(D131,'01_ВВОД'!$D$19,'01_ВВОД'!$D$19,'01_ВВОД'!$D$19,'01_ВВОД'!$D$19,'01_ВВОД'!$D$20,'01_ВВОД'!$D$21,'01_ВВОД'!$D$22))</x:f>
        <x:v>70</x:v>
      </x:c>
      <x:c r="M131" s="188" t="n">
        <x:f>L131*IF(H131=1,'01_ВВОД'!$D$118,1)</x:f>
        <x:v>70</x:v>
      </x:c>
      <x:c r="N131" s="188" t="n">
        <x:f>IF(K131=1,'01_ВВОД'!$D$26,0)</x:f>
        <x:v>0</x:v>
      </x:c>
      <x:c r="O131" s="188" t="n">
        <x:f>IF(F131=1,'01_ВВОД'!$D$34,IF(D131&lt;=5,'01_ВВОД'!$D$32,'01_ВВОД'!$D$33))</x:f>
        <x:v>30</x:v>
      </x:c>
      <x:c r="P131" s="188" t="n">
        <x:f>O131</x:f>
        <x:v>30</x:v>
      </x:c>
      <x:c r="Q131" s="188" t="n">
        <x:f>'01_ВВОД'!$D$40</x:f>
        <x:v>12</x:v>
      </x:c>
      <x:c r="R131" s="188" t="n">
        <x:f>'01_ВВОД'!$D$46</x:f>
        <x:v>20</x:v>
      </x:c>
      <x:c r="S131" s="188" t="n">
        <x:f>H131</x:f>
        <x:v>0</x:v>
      </x:c>
      <x:c r="T131" s="188" t="n">
        <x:f>IF(H131=1,M131+N131+P131+Q131,0)</x:f>
        <x:v>0</x:v>
      </x:c>
      <x:c r="U131" t="n">
        <x:f>'01_ВВОД'!$D$120</x:f>
        <x:v>10</x:v>
      </x:c>
      <x:c r="V131" t="n">
        <x:f>ROUNDDOWN(SUM(M131,N131,R131,U131)*'01_ВВОД'!$D$127,0)</x:f>
        <x:v>50</x:v>
      </x:c>
      <x:c r="W131" t="n">
        <x:f>ROUNDDOWN(SUM(L131,N131,R131,U131)*'01_ВВОД'!$D$127,0)</x:f>
        <x:v>50</x:v>
      </x:c>
    </x:row>
    <x:row r="132">
      <x:c r="A132" s="200" t="n">
        <x:v>46393</x:v>
      </x:c>
      <x:c r="B132" s="201" t="n">
        <x:v>5</x:v>
      </x:c>
      <x:c r="C132" s="201" t="inlineStr">
        <x:is>
          <x:t xml:space="preserve">Янв-27</x:t>
        </x:is>
      </x:c>
      <x:c r="D132" s="201" t="n">
        <x:v>3</x:v>
      </x:c>
      <x:c r="E132" s="201" t="inlineStr">
        <x:is>
          <x:t xml:space="preserve">Ср</x:t>
        </x:is>
      </x:c>
      <x:c r="F132" s="199" t="n">
        <x:v>1</x:v>
      </x:c>
      <x:c r="G132" s="201" t="inlineStr">
        <x:is>
          <x:t xml:space="preserve">Фиксированный праздник 2027; переносы уточнить</x:t>
        </x:is>
      </x:c>
      <x:c r="H132" s="193" t="n">
        <x:v>0</x:v>
      </x:c>
      <x:c r="I132" s="201" t="str"/>
      <x:c r="J132" s="188" t="n">
        <x:f>1</x:f>
        <x:v>1</x:v>
      </x:c>
      <x:c r="K132" s="188" t="n">
        <x:f>IF(AND(D132&lt;=5,F132=0),1,0)</x:f>
        <x:v>0</x:v>
      </x:c>
      <x:c r="L132" s="188" t="n">
        <x:f>IF(F132=1,'01_ВВОД'!$D$23,CHOOSE(D132,'01_ВВОД'!$D$19,'01_ВВОД'!$D$19,'01_ВВОД'!$D$19,'01_ВВОД'!$D$19,'01_ВВОД'!$D$20,'01_ВВОД'!$D$21,'01_ВВОД'!$D$22))</x:f>
        <x:v>70</x:v>
      </x:c>
      <x:c r="M132" s="188" t="n">
        <x:f>L132*IF(H132=1,'01_ВВОД'!$D$118,1)</x:f>
        <x:v>70</x:v>
      </x:c>
      <x:c r="N132" s="188" t="n">
        <x:f>IF(K132=1,'01_ВВОД'!$D$26,0)</x:f>
        <x:v>0</x:v>
      </x:c>
      <x:c r="O132" s="188" t="n">
        <x:f>IF(F132=1,'01_ВВОД'!$D$34,IF(D132&lt;=5,'01_ВВОД'!$D$32,'01_ВВОД'!$D$33))</x:f>
        <x:v>30</x:v>
      </x:c>
      <x:c r="P132" s="188" t="n">
        <x:f>O132</x:f>
        <x:v>30</x:v>
      </x:c>
      <x:c r="Q132" s="188" t="n">
        <x:f>'01_ВВОД'!$D$40</x:f>
        <x:v>12</x:v>
      </x:c>
      <x:c r="R132" s="188" t="n">
        <x:f>'01_ВВОД'!$D$46</x:f>
        <x:v>20</x:v>
      </x:c>
      <x:c r="S132" s="188" t="n">
        <x:f>H132</x:f>
        <x:v>0</x:v>
      </x:c>
      <x:c r="T132" s="188" t="n">
        <x:f>IF(H132=1,M132+N132+P132+Q132,0)</x:f>
        <x:v>0</x:v>
      </x:c>
      <x:c r="U132" t="n">
        <x:f>'01_ВВОД'!$D$120</x:f>
        <x:v>10</x:v>
      </x:c>
      <x:c r="V132" t="n">
        <x:f>ROUNDDOWN(SUM(M132,N132,R132,U132)*'01_ВВОД'!$D$127,0)</x:f>
        <x:v>50</x:v>
      </x:c>
      <x:c r="W132" t="n">
        <x:f>ROUNDDOWN(SUM(L132,N132,R132,U132)*'01_ВВОД'!$D$127,0)</x:f>
        <x:v>50</x:v>
      </x:c>
    </x:row>
    <x:row r="133">
      <x:c r="A133" s="200" t="n">
        <x:v>46394</x:v>
      </x:c>
      <x:c r="B133" s="201" t="n">
        <x:v>5</x:v>
      </x:c>
      <x:c r="C133" s="201" t="inlineStr">
        <x:is>
          <x:t xml:space="preserve">Янв-27</x:t>
        </x:is>
      </x:c>
      <x:c r="D133" s="201" t="n">
        <x:v>4</x:v>
      </x:c>
      <x:c r="E133" s="201" t="inlineStr">
        <x:is>
          <x:t xml:space="preserve">Чт</x:t>
        </x:is>
      </x:c>
      <x:c r="F133" s="199" t="n">
        <x:v>1</x:v>
      </x:c>
      <x:c r="G133" s="201" t="inlineStr">
        <x:is>
          <x:t xml:space="preserve">Фиксированный праздник 2027; переносы уточнить</x:t>
        </x:is>
      </x:c>
      <x:c r="H133" s="193" t="n">
        <x:v>0</x:v>
      </x:c>
      <x:c r="I133" s="201" t="str"/>
      <x:c r="J133" s="188" t="n">
        <x:f>1</x:f>
        <x:v>1</x:v>
      </x:c>
      <x:c r="K133" s="188" t="n">
        <x:f>IF(AND(D133&lt;=5,F133=0),1,0)</x:f>
        <x:v>0</x:v>
      </x:c>
      <x:c r="L133" s="188" t="n">
        <x:f>IF(F133=1,'01_ВВОД'!$D$23,CHOOSE(D133,'01_ВВОД'!$D$19,'01_ВВОД'!$D$19,'01_ВВОД'!$D$19,'01_ВВОД'!$D$19,'01_ВВОД'!$D$20,'01_ВВОД'!$D$21,'01_ВВОД'!$D$22))</x:f>
        <x:v>70</x:v>
      </x:c>
      <x:c r="M133" s="188" t="n">
        <x:f>L133*IF(H133=1,'01_ВВОД'!$D$118,1)</x:f>
        <x:v>70</x:v>
      </x:c>
      <x:c r="N133" s="188" t="n">
        <x:f>IF(K133=1,'01_ВВОД'!$D$26,0)</x:f>
        <x:v>0</x:v>
      </x:c>
      <x:c r="O133" s="188" t="n">
        <x:f>IF(F133=1,'01_ВВОД'!$D$34,IF(D133&lt;=5,'01_ВВОД'!$D$32,'01_ВВОД'!$D$33))</x:f>
        <x:v>30</x:v>
      </x:c>
      <x:c r="P133" s="188" t="n">
        <x:f>O133</x:f>
        <x:v>30</x:v>
      </x:c>
      <x:c r="Q133" s="188" t="n">
        <x:f>'01_ВВОД'!$D$40</x:f>
        <x:v>12</x:v>
      </x:c>
      <x:c r="R133" s="188" t="n">
        <x:f>'01_ВВОД'!$D$46</x:f>
        <x:v>20</x:v>
      </x:c>
      <x:c r="S133" s="188" t="n">
        <x:f>H133</x:f>
        <x:v>0</x:v>
      </x:c>
      <x:c r="T133" s="188" t="n">
        <x:f>IF(H133=1,M133+N133+P133+Q133,0)</x:f>
        <x:v>0</x:v>
      </x:c>
      <x:c r="U133" t="n">
        <x:f>'01_ВВОД'!$D$120</x:f>
        <x:v>10</x:v>
      </x:c>
      <x:c r="V133" t="n">
        <x:f>ROUNDDOWN(SUM(M133,N133,R133,U133)*'01_ВВОД'!$D$127,0)</x:f>
        <x:v>50</x:v>
      </x:c>
      <x:c r="W133" t="n">
        <x:f>ROUNDDOWN(SUM(L133,N133,R133,U133)*'01_ВВОД'!$D$127,0)</x:f>
        <x:v>50</x:v>
      </x:c>
    </x:row>
    <x:row r="134">
      <x:c r="A134" s="200" t="n">
        <x:v>46395</x:v>
      </x:c>
      <x:c r="B134" s="201" t="n">
        <x:v>5</x:v>
      </x:c>
      <x:c r="C134" s="201" t="inlineStr">
        <x:is>
          <x:t xml:space="preserve">Янв-27</x:t>
        </x:is>
      </x:c>
      <x:c r="D134" s="201" t="n">
        <x:v>5</x:v>
      </x:c>
      <x:c r="E134" s="201" t="inlineStr">
        <x:is>
          <x:t xml:space="preserve">Пт</x:t>
        </x:is>
      </x:c>
      <x:c r="F134" s="199" t="n">
        <x:v>1</x:v>
      </x:c>
      <x:c r="G134" s="201" t="inlineStr">
        <x:is>
          <x:t xml:space="preserve">Фиксированный праздник 2027; переносы уточнить</x:t>
        </x:is>
      </x:c>
      <x:c r="H134" s="193" t="n">
        <x:v>0</x:v>
      </x:c>
      <x:c r="I134" s="201" t="str"/>
      <x:c r="J134" s="188" t="n">
        <x:f>1</x:f>
        <x:v>1</x:v>
      </x:c>
      <x:c r="K134" s="188" t="n">
        <x:f>IF(AND(D134&lt;=5,F134=0),1,0)</x:f>
        <x:v>0</x:v>
      </x:c>
      <x:c r="L134" s="188" t="n">
        <x:f>IF(F134=1,'01_ВВОД'!$D$23,CHOOSE(D134,'01_ВВОД'!$D$19,'01_ВВОД'!$D$19,'01_ВВОД'!$D$19,'01_ВВОД'!$D$19,'01_ВВОД'!$D$20,'01_ВВОД'!$D$21,'01_ВВОД'!$D$22))</x:f>
        <x:v>70</x:v>
      </x:c>
      <x:c r="M134" s="188" t="n">
        <x:f>L134*IF(H134=1,'01_ВВОД'!$D$118,1)</x:f>
        <x:v>70</x:v>
      </x:c>
      <x:c r="N134" s="188" t="n">
        <x:f>IF(K134=1,'01_ВВОД'!$D$26,0)</x:f>
        <x:v>0</x:v>
      </x:c>
      <x:c r="O134" s="188" t="n">
        <x:f>IF(F134=1,'01_ВВОД'!$D$34,IF(D134&lt;=5,'01_ВВОД'!$D$32,'01_ВВОД'!$D$33))</x:f>
        <x:v>30</x:v>
      </x:c>
      <x:c r="P134" s="188" t="n">
        <x:f>O134</x:f>
        <x:v>30</x:v>
      </x:c>
      <x:c r="Q134" s="188" t="n">
        <x:f>'01_ВВОД'!$D$40</x:f>
        <x:v>12</x:v>
      </x:c>
      <x:c r="R134" s="188" t="n">
        <x:f>'01_ВВОД'!$D$46</x:f>
        <x:v>20</x:v>
      </x:c>
      <x:c r="S134" s="188" t="n">
        <x:f>H134</x:f>
        <x:v>0</x:v>
      </x:c>
      <x:c r="T134" s="188" t="n">
        <x:f>IF(H134=1,M134+N134+P134+Q134,0)</x:f>
        <x:v>0</x:v>
      </x:c>
      <x:c r="U134" t="n">
        <x:f>'01_ВВОД'!$D$120</x:f>
        <x:v>10</x:v>
      </x:c>
      <x:c r="V134" t="n">
        <x:f>ROUNDDOWN(SUM(M134,N134,R134,U134)*'01_ВВОД'!$D$127,0)</x:f>
        <x:v>50</x:v>
      </x:c>
      <x:c r="W134" t="n">
        <x:f>ROUNDDOWN(SUM(L134,N134,R134,U134)*'01_ВВОД'!$D$127,0)</x:f>
        <x:v>50</x:v>
      </x:c>
    </x:row>
    <x:row r="135">
      <x:c r="A135" s="200" t="n">
        <x:v>46396</x:v>
      </x:c>
      <x:c r="B135" s="201" t="n">
        <x:v>5</x:v>
      </x:c>
      <x:c r="C135" s="201" t="inlineStr">
        <x:is>
          <x:t xml:space="preserve">Янв-27</x:t>
        </x:is>
      </x:c>
      <x:c r="D135" s="201" t="n">
        <x:v>6</x:v>
      </x:c>
      <x:c r="E135" s="201" t="inlineStr">
        <x:is>
          <x:t xml:space="preserve">Сб</x:t>
        </x:is>
      </x:c>
      <x:c r="F135" s="199" t="n">
        <x:v>0</x:v>
      </x:c>
      <x:c r="G135" s="201" t="str"/>
      <x:c r="H135" s="193" t="n">
        <x:v>0</x:v>
      </x:c>
      <x:c r="I135" s="201" t="str"/>
      <x:c r="J135" s="188" t="n">
        <x:f>1</x:f>
        <x:v>1</x:v>
      </x:c>
      <x:c r="K135" s="188" t="n">
        <x:f>IF(AND(D135&lt;=5,F135=0),1,0)</x:f>
        <x:v>0</x:v>
      </x:c>
      <x:c r="L135" s="188" t="n">
        <x:f>IF(F135=1,'01_ВВОД'!$D$23,CHOOSE(D135,'01_ВВОД'!$D$19,'01_ВВОД'!$D$19,'01_ВВОД'!$D$19,'01_ВВОД'!$D$19,'01_ВВОД'!$D$20,'01_ВВОД'!$D$21,'01_ВВОД'!$D$22))</x:f>
        <x:v>80</x:v>
      </x:c>
      <x:c r="M135" s="188" t="n">
        <x:f>L135*IF(H135=1,'01_ВВОД'!$D$118,1)</x:f>
        <x:v>80</x:v>
      </x:c>
      <x:c r="N135" s="188" t="n">
        <x:f>IF(K135=1,'01_ВВОД'!$D$26,0)</x:f>
        <x:v>0</x:v>
      </x:c>
      <x:c r="O135" s="188" t="n">
        <x:f>IF(F135=1,'01_ВВОД'!$D$34,IF(D135&lt;=5,'01_ВВОД'!$D$32,'01_ВВОД'!$D$33))</x:f>
        <x:v>30</x:v>
      </x:c>
      <x:c r="P135" s="188" t="n">
        <x:f>O135</x:f>
        <x:v>30</x:v>
      </x:c>
      <x:c r="Q135" s="188" t="n">
        <x:f>'01_ВВОД'!$D$40</x:f>
        <x:v>12</x:v>
      </x:c>
      <x:c r="R135" s="188" t="n">
        <x:f>'01_ВВОД'!$D$46</x:f>
        <x:v>20</x:v>
      </x:c>
      <x:c r="S135" s="188" t="n">
        <x:f>H135</x:f>
        <x:v>0</x:v>
      </x:c>
      <x:c r="T135" s="188" t="n">
        <x:f>IF(H135=1,M135+N135+P135+Q135,0)</x:f>
        <x:v>0</x:v>
      </x:c>
      <x:c r="U135" t="n">
        <x:f>'01_ВВОД'!$D$120</x:f>
        <x:v>10</x:v>
      </x:c>
      <x:c r="V135" t="n">
        <x:f>ROUNDDOWN(SUM(M135,N135,R135,U135)*'01_ВВОД'!$D$127,0)</x:f>
        <x:v>55</x:v>
      </x:c>
      <x:c r="W135" t="n">
        <x:f>ROUNDDOWN(SUM(L135,N135,R135,U135)*'01_ВВОД'!$D$127,0)</x:f>
        <x:v>55</x:v>
      </x:c>
    </x:row>
    <x:row r="136">
      <x:c r="A136" s="200" t="n">
        <x:v>46397</x:v>
      </x:c>
      <x:c r="B136" s="201" t="n">
        <x:v>5</x:v>
      </x:c>
      <x:c r="C136" s="201" t="inlineStr">
        <x:is>
          <x:t xml:space="preserve">Янв-27</x:t>
        </x:is>
      </x:c>
      <x:c r="D136" s="201" t="n">
        <x:v>7</x:v>
      </x:c>
      <x:c r="E136" s="201" t="inlineStr">
        <x:is>
          <x:t xml:space="preserve">Вс</x:t>
        </x:is>
      </x:c>
      <x:c r="F136" s="199" t="n">
        <x:v>0</x:v>
      </x:c>
      <x:c r="G136" s="201" t="str"/>
      <x:c r="H136" s="193" t="n">
        <x:v>0</x:v>
      </x:c>
      <x:c r="I136" s="201" t="str"/>
      <x:c r="J136" s="188" t="n">
        <x:f>1</x:f>
        <x:v>1</x:v>
      </x:c>
      <x:c r="K136" s="188" t="n">
        <x:f>IF(AND(D136&lt;=5,F136=0),1,0)</x:f>
        <x:v>0</x:v>
      </x:c>
      <x:c r="L136" s="188" t="n">
        <x:f>IF(F136=1,'01_ВВОД'!$D$23,CHOOSE(D136,'01_ВВОД'!$D$19,'01_ВВОД'!$D$19,'01_ВВОД'!$D$19,'01_ВВОД'!$D$19,'01_ВВОД'!$D$20,'01_ВВОД'!$D$21,'01_ВВОД'!$D$22))</x:f>
        <x:v>70</x:v>
      </x:c>
      <x:c r="M136" s="188" t="n">
        <x:f>L136*IF(H136=1,'01_ВВОД'!$D$118,1)</x:f>
        <x:v>70</x:v>
      </x:c>
      <x:c r="N136" s="188" t="n">
        <x:f>IF(K136=1,'01_ВВОД'!$D$26,0)</x:f>
        <x:v>0</x:v>
      </x:c>
      <x:c r="O136" s="188" t="n">
        <x:f>IF(F136=1,'01_ВВОД'!$D$34,IF(D136&lt;=5,'01_ВВОД'!$D$32,'01_ВВОД'!$D$33))</x:f>
        <x:v>30</x:v>
      </x:c>
      <x:c r="P136" s="188" t="n">
        <x:f>O136</x:f>
        <x:v>30</x:v>
      </x:c>
      <x:c r="Q136" s="188" t="n">
        <x:f>'01_ВВОД'!$D$40</x:f>
        <x:v>12</x:v>
      </x:c>
      <x:c r="R136" s="188" t="n">
        <x:f>'01_ВВОД'!$D$46</x:f>
        <x:v>20</x:v>
      </x:c>
      <x:c r="S136" s="188" t="n">
        <x:f>H136</x:f>
        <x:v>0</x:v>
      </x:c>
      <x:c r="T136" s="188" t="n">
        <x:f>IF(H136=1,M136+N136+P136+Q136,0)</x:f>
        <x:v>0</x:v>
      </x:c>
      <x:c r="U136" t="n">
        <x:f>'01_ВВОД'!$D$120</x:f>
        <x:v>10</x:v>
      </x:c>
      <x:c r="V136" t="n">
        <x:f>ROUNDDOWN(SUM(M136,N136,R136,U136)*'01_ВВОД'!$D$127,0)</x:f>
        <x:v>50</x:v>
      </x:c>
      <x:c r="W136" t="n">
        <x:f>ROUNDDOWN(SUM(L136,N136,R136,U136)*'01_ВВОД'!$D$127,0)</x:f>
        <x:v>50</x:v>
      </x:c>
    </x:row>
    <x:row r="137">
      <x:c r="A137" s="200" t="n">
        <x:v>46398</x:v>
      </x:c>
      <x:c r="B137" s="201" t="n">
        <x:v>5</x:v>
      </x:c>
      <x:c r="C137" s="201" t="inlineStr">
        <x:is>
          <x:t xml:space="preserve">Янв-27</x:t>
        </x:is>
      </x:c>
      <x:c r="D137" s="201" t="n">
        <x:v>1</x:v>
      </x:c>
      <x:c r="E137" s="201" t="inlineStr">
        <x:is>
          <x:t xml:space="preserve">Пн</x:t>
        </x:is>
      </x:c>
      <x:c r="F137" s="199" t="n">
        <x:v>0</x:v>
      </x:c>
      <x:c r="G137" s="201" t="str"/>
      <x:c r="H137" s="193" t="n">
        <x:v>0</x:v>
      </x:c>
      <x:c r="I137" s="201" t="str"/>
      <x:c r="J137" s="188" t="n">
        <x:f>1</x:f>
        <x:v>1</x:v>
      </x:c>
      <x:c r="K137" s="188" t="n">
        <x:f>IF(AND(D137&lt;=5,F137=0),1,0)</x:f>
        <x:v>1</x:v>
      </x:c>
      <x:c r="L137" s="188" t="n">
        <x:f>IF(F137=1,'01_ВВОД'!$D$23,CHOOSE(D137,'01_ВВОД'!$D$19,'01_ВВОД'!$D$19,'01_ВВОД'!$D$19,'01_ВВОД'!$D$19,'01_ВВОД'!$D$20,'01_ВВОД'!$D$21,'01_ВВОД'!$D$22))</x:f>
        <x:v>32</x:v>
      </x:c>
      <x:c r="M137" s="188" t="n">
        <x:f>L137*IF(H137=1,'01_ВВОД'!$D$118,1)</x:f>
        <x:v>32</x:v>
      </x:c>
      <x:c r="N137" s="188" t="n">
        <x:f>IF(K137=1,'01_ВВОД'!$D$26,0)</x:f>
        <x:v>40</x:v>
      </x:c>
      <x:c r="O137" s="188" t="n">
        <x:f>IF(F137=1,'01_ВВОД'!$D$34,IF(D137&lt;=5,'01_ВВОД'!$D$32,'01_ВВОД'!$D$33))</x:f>
        <x:v>15</x:v>
      </x:c>
      <x:c r="P137" s="188" t="n">
        <x:f>O137</x:f>
        <x:v>15</x:v>
      </x:c>
      <x:c r="Q137" s="188" t="n">
        <x:f>'01_ВВОД'!$D$40</x:f>
        <x:v>12</x:v>
      </x:c>
      <x:c r="R137" s="188" t="n">
        <x:f>'01_ВВОД'!$D$46</x:f>
        <x:v>20</x:v>
      </x:c>
      <x:c r="S137" s="188" t="n">
        <x:f>H137</x:f>
        <x:v>0</x:v>
      </x:c>
      <x:c r="T137" s="188" t="n">
        <x:f>IF(H137=1,M137+N137+P137+Q137,0)</x:f>
        <x:v>0</x:v>
      </x:c>
      <x:c r="U137" t="n">
        <x:f>'01_ВВОД'!$D$120</x:f>
        <x:v>10</x:v>
      </x:c>
      <x:c r="V137" t="n">
        <x:f>ROUNDDOWN(SUM(M137,N137,R137,U137)*'01_ВВОД'!$D$127,0)</x:f>
        <x:v>51</x:v>
      </x:c>
      <x:c r="W137" t="n">
        <x:f>ROUNDDOWN(SUM(L137,N137,R137,U137)*'01_ВВОД'!$D$127,0)</x:f>
        <x:v>51</x:v>
      </x:c>
    </x:row>
    <x:row r="138">
      <x:c r="A138" s="200" t="n">
        <x:v>46399</x:v>
      </x:c>
      <x:c r="B138" s="201" t="n">
        <x:v>5</x:v>
      </x:c>
      <x:c r="C138" s="201" t="inlineStr">
        <x:is>
          <x:t xml:space="preserve">Янв-27</x:t>
        </x:is>
      </x:c>
      <x:c r="D138" s="201" t="n">
        <x:v>2</x:v>
      </x:c>
      <x:c r="E138" s="201" t="inlineStr">
        <x:is>
          <x:t xml:space="preserve">Вт</x:t>
        </x:is>
      </x:c>
      <x:c r="F138" s="199" t="n">
        <x:v>0</x:v>
      </x:c>
      <x:c r="G138" s="201" t="str"/>
      <x:c r="H138" s="193" t="n">
        <x:v>0</x:v>
      </x:c>
      <x:c r="I138" s="201" t="str"/>
      <x:c r="J138" s="188" t="n">
        <x:f>1</x:f>
        <x:v>1</x:v>
      </x:c>
      <x:c r="K138" s="188" t="n">
        <x:f>IF(AND(D138&lt;=5,F138=0),1,0)</x:f>
        <x:v>1</x:v>
      </x:c>
      <x:c r="L138" s="188" t="n">
        <x:f>IF(F138=1,'01_ВВОД'!$D$23,CHOOSE(D138,'01_ВВОД'!$D$19,'01_ВВОД'!$D$19,'01_ВВОД'!$D$19,'01_ВВОД'!$D$19,'01_ВВОД'!$D$20,'01_ВВОД'!$D$21,'01_ВВОД'!$D$22))</x:f>
        <x:v>32</x:v>
      </x:c>
      <x:c r="M138" s="188" t="n">
        <x:f>L138*IF(H138=1,'01_ВВОД'!$D$118,1)</x:f>
        <x:v>32</x:v>
      </x:c>
      <x:c r="N138" s="188" t="n">
        <x:f>IF(K138=1,'01_ВВОД'!$D$26,0)</x:f>
        <x:v>40</x:v>
      </x:c>
      <x:c r="O138" s="188" t="n">
        <x:f>IF(F138=1,'01_ВВОД'!$D$34,IF(D138&lt;=5,'01_ВВОД'!$D$32,'01_ВВОД'!$D$33))</x:f>
        <x:v>15</x:v>
      </x:c>
      <x:c r="P138" s="188" t="n">
        <x:f>O138</x:f>
        <x:v>15</x:v>
      </x:c>
      <x:c r="Q138" s="188" t="n">
        <x:f>'01_ВВОД'!$D$40</x:f>
        <x:v>12</x:v>
      </x:c>
      <x:c r="R138" s="188" t="n">
        <x:f>'01_ВВОД'!$D$46</x:f>
        <x:v>20</x:v>
      </x:c>
      <x:c r="S138" s="188" t="n">
        <x:f>H138</x:f>
        <x:v>0</x:v>
      </x:c>
      <x:c r="T138" s="188" t="n">
        <x:f>IF(H138=1,M138+N138+P138+Q138,0)</x:f>
        <x:v>0</x:v>
      </x:c>
      <x:c r="U138" t="n">
        <x:f>'01_ВВОД'!$D$120</x:f>
        <x:v>10</x:v>
      </x:c>
      <x:c r="V138" t="n">
        <x:f>ROUNDDOWN(SUM(M138,N138,R138,U138)*'01_ВВОД'!$D$127,0)</x:f>
        <x:v>51</x:v>
      </x:c>
      <x:c r="W138" t="n">
        <x:f>ROUNDDOWN(SUM(L138,N138,R138,U138)*'01_ВВОД'!$D$127,0)</x:f>
        <x:v>51</x:v>
      </x:c>
    </x:row>
    <x:row r="139">
      <x:c r="A139" s="200" t="n">
        <x:v>46400</x:v>
      </x:c>
      <x:c r="B139" s="201" t="n">
        <x:v>5</x:v>
      </x:c>
      <x:c r="C139" s="201" t="inlineStr">
        <x:is>
          <x:t xml:space="preserve">Янв-27</x:t>
        </x:is>
      </x:c>
      <x:c r="D139" s="201" t="n">
        <x:v>3</x:v>
      </x:c>
      <x:c r="E139" s="201" t="inlineStr">
        <x:is>
          <x:t xml:space="preserve">Ср</x:t>
        </x:is>
      </x:c>
      <x:c r="F139" s="199" t="n">
        <x:v>0</x:v>
      </x:c>
      <x:c r="G139" s="201" t="str"/>
      <x:c r="H139" s="193" t="n">
        <x:v>1</x:v>
      </x:c>
      <x:c r="I139" s="201" t="inlineStr">
        <x:is>
          <x:t xml:space="preserve">Пн–Чт</x:t>
        </x:is>
      </x:c>
      <x:c r="J139" s="188" t="n">
        <x:f>1</x:f>
        <x:v>1</x:v>
      </x:c>
      <x:c r="K139" s="188" t="n">
        <x:f>IF(AND(D139&lt;=5,F139=0),1,0)</x:f>
        <x:v>1</x:v>
      </x:c>
      <x:c r="L139" s="188" t="n">
        <x:f>IF(F139=1,'01_ВВОД'!$D$23,CHOOSE(D139,'01_ВВОД'!$D$19,'01_ВВОД'!$D$19,'01_ВВОД'!$D$19,'01_ВВОД'!$D$19,'01_ВВОД'!$D$20,'01_ВВОД'!$D$21,'01_ВВОД'!$D$22))</x:f>
        <x:v>32</x:v>
      </x:c>
      <x:c r="M139" s="188" t="n">
        <x:f>L139*IF(H139=1,'01_ВВОД'!$D$118,1)</x:f>
        <x:v>6.4</x:v>
      </x:c>
      <x:c r="N139" s="188" t="n">
        <x:f>IF(K139=1,'01_ВВОД'!$D$26,0)</x:f>
        <x:v>40</x:v>
      </x:c>
      <x:c r="O139" s="188" t="n">
        <x:f>IF(F139=1,'01_ВВОД'!$D$34,IF(D139&lt;=5,'01_ВВОД'!$D$32,'01_ВВОД'!$D$33))</x:f>
        <x:v>15</x:v>
      </x:c>
      <x:c r="P139" s="188" t="n">
        <x:f>O139</x:f>
        <x:v>15</x:v>
      </x:c>
      <x:c r="Q139" s="188" t="n">
        <x:f>'01_ВВОД'!$D$40</x:f>
        <x:v>12</x:v>
      </x:c>
      <x:c r="R139" s="188" t="n">
        <x:f>'01_ВВОД'!$D$46</x:f>
        <x:v>20</x:v>
      </x:c>
      <x:c r="S139" s="188" t="n">
        <x:f>H139</x:f>
        <x:v>1</x:v>
      </x:c>
      <x:c r="T139" s="188" t="n">
        <x:f>IF(H139=1,M139+N139+P139+Q139,0)</x:f>
        <x:v>73.4</x:v>
      </x:c>
      <x:c r="U139" t="n">
        <x:f>'01_ВВОД'!$D$120</x:f>
        <x:v>10</x:v>
      </x:c>
      <x:c r="V139" t="n">
        <x:f>ROUNDDOWN(SUM(M139,N139,R139,U139)*'01_ВВОД'!$D$127,0)</x:f>
        <x:v>38</x:v>
      </x:c>
      <x:c r="W139" t="n">
        <x:f>ROUNDDOWN(SUM(L139,N139,R139,U139)*'01_ВВОД'!$D$127,0)</x:f>
        <x:v>51</x:v>
      </x:c>
    </x:row>
    <x:row r="140">
      <x:c r="A140" s="200" t="n">
        <x:v>46401</x:v>
      </x:c>
      <x:c r="B140" s="201" t="n">
        <x:v>5</x:v>
      </x:c>
      <x:c r="C140" s="201" t="inlineStr">
        <x:is>
          <x:t xml:space="preserve">Янв-27</x:t>
        </x:is>
      </x:c>
      <x:c r="D140" s="201" t="n">
        <x:v>4</x:v>
      </x:c>
      <x:c r="E140" s="201" t="inlineStr">
        <x:is>
          <x:t xml:space="preserve">Чт</x:t>
        </x:is>
      </x:c>
      <x:c r="F140" s="199" t="n">
        <x:v>0</x:v>
      </x:c>
      <x:c r="G140" s="201" t="str"/>
      <x:c r="H140" s="193" t="n">
        <x:v>0</x:v>
      </x:c>
      <x:c r="I140" s="201" t="str"/>
      <x:c r="J140" s="188" t="n">
        <x:f>1</x:f>
        <x:v>1</x:v>
      </x:c>
      <x:c r="K140" s="188" t="n">
        <x:f>IF(AND(D140&lt;=5,F140=0),1,0)</x:f>
        <x:v>1</x:v>
      </x:c>
      <x:c r="L140" s="188" t="n">
        <x:f>IF(F140=1,'01_ВВОД'!$D$23,CHOOSE(D140,'01_ВВОД'!$D$19,'01_ВВОД'!$D$19,'01_ВВОД'!$D$19,'01_ВВОД'!$D$19,'01_ВВОД'!$D$20,'01_ВВОД'!$D$21,'01_ВВОД'!$D$22))</x:f>
        <x:v>32</x:v>
      </x:c>
      <x:c r="M140" s="188" t="n">
        <x:f>L140*IF(H140=1,'01_ВВОД'!$D$118,1)</x:f>
        <x:v>32</x:v>
      </x:c>
      <x:c r="N140" s="188" t="n">
        <x:f>IF(K140=1,'01_ВВОД'!$D$26,0)</x:f>
        <x:v>40</x:v>
      </x:c>
      <x:c r="O140" s="188" t="n">
        <x:f>IF(F140=1,'01_ВВОД'!$D$34,IF(D140&lt;=5,'01_ВВОД'!$D$32,'01_ВВОД'!$D$33))</x:f>
        <x:v>15</x:v>
      </x:c>
      <x:c r="P140" s="188" t="n">
        <x:f>O140</x:f>
        <x:v>15</x:v>
      </x:c>
      <x:c r="Q140" s="188" t="n">
        <x:f>'01_ВВОД'!$D$40</x:f>
        <x:v>12</x:v>
      </x:c>
      <x:c r="R140" s="188" t="n">
        <x:f>'01_ВВОД'!$D$46</x:f>
        <x:v>20</x:v>
      </x:c>
      <x:c r="S140" s="188" t="n">
        <x:f>H140</x:f>
        <x:v>0</x:v>
      </x:c>
      <x:c r="T140" s="188" t="n">
        <x:f>IF(H140=1,M140+N140+P140+Q140,0)</x:f>
        <x:v>0</x:v>
      </x:c>
      <x:c r="U140" t="n">
        <x:f>'01_ВВОД'!$D$120</x:f>
        <x:v>10</x:v>
      </x:c>
      <x:c r="V140" t="n">
        <x:f>ROUNDDOWN(SUM(M140,N140,R140,U140)*'01_ВВОД'!$D$127,0)</x:f>
        <x:v>51</x:v>
      </x:c>
      <x:c r="W140" t="n">
        <x:f>ROUNDDOWN(SUM(L140,N140,R140,U140)*'01_ВВОД'!$D$127,0)</x:f>
        <x:v>51</x:v>
      </x:c>
    </x:row>
    <x:row r="141">
      <x:c r="A141" s="200" t="n">
        <x:v>46402</x:v>
      </x:c>
      <x:c r="B141" s="201" t="n">
        <x:v>5</x:v>
      </x:c>
      <x:c r="C141" s="201" t="inlineStr">
        <x:is>
          <x:t xml:space="preserve">Янв-27</x:t>
        </x:is>
      </x:c>
      <x:c r="D141" s="201" t="n">
        <x:v>5</x:v>
      </x:c>
      <x:c r="E141" s="201" t="inlineStr">
        <x:is>
          <x:t xml:space="preserve">Пт</x:t>
        </x:is>
      </x:c>
      <x:c r="F141" s="199" t="n">
        <x:v>0</x:v>
      </x:c>
      <x:c r="G141" s="201" t="str"/>
      <x:c r="H141" s="193" t="n">
        <x:v>0</x:v>
      </x:c>
      <x:c r="I141" s="201" t="str"/>
      <x:c r="J141" s="188" t="n">
        <x:f>1</x:f>
        <x:v>1</x:v>
      </x:c>
      <x:c r="K141" s="188" t="n">
        <x:f>IF(AND(D141&lt;=5,F141=0),1,0)</x:f>
        <x:v>1</x:v>
      </x:c>
      <x:c r="L141" s="188" t="n">
        <x:f>IF(F141=1,'01_ВВОД'!$D$23,CHOOSE(D141,'01_ВВОД'!$D$19,'01_ВВОД'!$D$19,'01_ВВОД'!$D$19,'01_ВВОД'!$D$19,'01_ВВОД'!$D$20,'01_ВВОД'!$D$21,'01_ВВОД'!$D$22))</x:f>
        <x:v>45</x:v>
      </x:c>
      <x:c r="M141" s="188" t="n">
        <x:f>L141*IF(H141=1,'01_ВВОД'!$D$118,1)</x:f>
        <x:v>45</x:v>
      </x:c>
      <x:c r="N141" s="188" t="n">
        <x:f>IF(K141=1,'01_ВВОД'!$D$26,0)</x:f>
        <x:v>40</x:v>
      </x:c>
      <x:c r="O141" s="188" t="n">
        <x:f>IF(F141=1,'01_ВВОД'!$D$34,IF(D141&lt;=5,'01_ВВОД'!$D$32,'01_ВВОД'!$D$33))</x:f>
        <x:v>15</x:v>
      </x:c>
      <x:c r="P141" s="188" t="n">
        <x:f>O141</x:f>
        <x:v>15</x:v>
      </x:c>
      <x:c r="Q141" s="188" t="n">
        <x:f>'01_ВВОД'!$D$40</x:f>
        <x:v>12</x:v>
      </x:c>
      <x:c r="R141" s="188" t="n">
        <x:f>'01_ВВОД'!$D$46</x:f>
        <x:v>20</x:v>
      </x:c>
      <x:c r="S141" s="188" t="n">
        <x:f>H141</x:f>
        <x:v>0</x:v>
      </x:c>
      <x:c r="T141" s="188" t="n">
        <x:f>IF(H141=1,M141+N141+P141+Q141,0)</x:f>
        <x:v>0</x:v>
      </x:c>
      <x:c r="U141" t="n">
        <x:f>'01_ВВОД'!$D$120</x:f>
        <x:v>10</x:v>
      </x:c>
      <x:c r="V141" t="n">
        <x:f>ROUNDDOWN(SUM(M141,N141,R141,U141)*'01_ВВОД'!$D$127,0)</x:f>
        <x:v>57</x:v>
      </x:c>
      <x:c r="W141" t="n">
        <x:f>ROUNDDOWN(SUM(L141,N141,R141,U141)*'01_ВВОД'!$D$127,0)</x:f>
        <x:v>57</x:v>
      </x:c>
    </x:row>
    <x:row r="142">
      <x:c r="A142" s="200" t="n">
        <x:v>46403</x:v>
      </x:c>
      <x:c r="B142" s="201" t="n">
        <x:v>5</x:v>
      </x:c>
      <x:c r="C142" s="201" t="inlineStr">
        <x:is>
          <x:t xml:space="preserve">Янв-27</x:t>
        </x:is>
      </x:c>
      <x:c r="D142" s="201" t="n">
        <x:v>6</x:v>
      </x:c>
      <x:c r="E142" s="201" t="inlineStr">
        <x:is>
          <x:t xml:space="preserve">Сб</x:t>
        </x:is>
      </x:c>
      <x:c r="F142" s="199" t="n">
        <x:v>0</x:v>
      </x:c>
      <x:c r="G142" s="201" t="str"/>
      <x:c r="H142" s="193" t="n">
        <x:v>1</x:v>
      </x:c>
      <x:c r="I142" s="201" t="inlineStr">
        <x:is>
          <x:t xml:space="preserve">Пт–Вс</x:t>
        </x:is>
      </x:c>
      <x:c r="J142" s="188" t="n">
        <x:f>1</x:f>
        <x:v>1</x:v>
      </x:c>
      <x:c r="K142" s="188" t="n">
        <x:f>IF(AND(D142&lt;=5,F142=0),1,0)</x:f>
        <x:v>0</x:v>
      </x:c>
      <x:c r="L142" s="188" t="n">
        <x:f>IF(F142=1,'01_ВВОД'!$D$23,CHOOSE(D142,'01_ВВОД'!$D$19,'01_ВВОД'!$D$19,'01_ВВОД'!$D$19,'01_ВВОД'!$D$19,'01_ВВОД'!$D$20,'01_ВВОД'!$D$21,'01_ВВОД'!$D$22))</x:f>
        <x:v>80</x:v>
      </x:c>
      <x:c r="M142" s="188" t="n">
        <x:f>L142*IF(H142=1,'01_ВВОД'!$D$118,1)</x:f>
        <x:v>16</x:v>
      </x:c>
      <x:c r="N142" s="188" t="n">
        <x:f>IF(K142=1,'01_ВВОД'!$D$26,0)</x:f>
        <x:v>0</x:v>
      </x:c>
      <x:c r="O142" s="188" t="n">
        <x:f>IF(F142=1,'01_ВВОД'!$D$34,IF(D142&lt;=5,'01_ВВОД'!$D$32,'01_ВВОД'!$D$33))</x:f>
        <x:v>30</x:v>
      </x:c>
      <x:c r="P142" s="188" t="n">
        <x:f>O142</x:f>
        <x:v>30</x:v>
      </x:c>
      <x:c r="Q142" s="188" t="n">
        <x:f>'01_ВВОД'!$D$40</x:f>
        <x:v>12</x:v>
      </x:c>
      <x:c r="R142" s="188" t="n">
        <x:f>'01_ВВОД'!$D$46</x:f>
        <x:v>20</x:v>
      </x:c>
      <x:c r="S142" s="188" t="n">
        <x:f>H142</x:f>
        <x:v>1</x:v>
      </x:c>
      <x:c r="T142" s="188" t="n">
        <x:f>IF(H142=1,M142+N142+P142+Q142,0)</x:f>
        <x:v>58</x:v>
      </x:c>
      <x:c r="U142" t="n">
        <x:f>'01_ВВОД'!$D$120</x:f>
        <x:v>10</x:v>
      </x:c>
      <x:c r="V142" t="n">
        <x:f>ROUNDDOWN(SUM(M142,N142,R142,U142)*'01_ВВОД'!$D$127,0)</x:f>
        <x:v>23</x:v>
      </x:c>
      <x:c r="W142" t="n">
        <x:f>ROUNDDOWN(SUM(L142,N142,R142,U142)*'01_ВВОД'!$D$127,0)</x:f>
        <x:v>55</x:v>
      </x:c>
    </x:row>
    <x:row r="143">
      <x:c r="A143" s="200" t="n">
        <x:v>46404</x:v>
      </x:c>
      <x:c r="B143" s="201" t="n">
        <x:v>5</x:v>
      </x:c>
      <x:c r="C143" s="201" t="inlineStr">
        <x:is>
          <x:t xml:space="preserve">Янв-27</x:t>
        </x:is>
      </x:c>
      <x:c r="D143" s="201" t="n">
        <x:v>7</x:v>
      </x:c>
      <x:c r="E143" s="201" t="inlineStr">
        <x:is>
          <x:t xml:space="preserve">Вс</x:t>
        </x:is>
      </x:c>
      <x:c r="F143" s="199" t="n">
        <x:v>0</x:v>
      </x:c>
      <x:c r="G143" s="201" t="str"/>
      <x:c r="H143" s="193" t="n">
        <x:v>1</x:v>
      </x:c>
      <x:c r="I143" s="201" t="inlineStr">
        <x:is>
          <x:t xml:space="preserve">Пт–Вс</x:t>
        </x:is>
      </x:c>
      <x:c r="J143" s="188" t="n">
        <x:f>1</x:f>
        <x:v>1</x:v>
      </x:c>
      <x:c r="K143" s="188" t="n">
        <x:f>IF(AND(D143&lt;=5,F143=0),1,0)</x:f>
        <x:v>0</x:v>
      </x:c>
      <x:c r="L143" s="188" t="n">
        <x:f>IF(F143=1,'01_ВВОД'!$D$23,CHOOSE(D143,'01_ВВОД'!$D$19,'01_ВВОД'!$D$19,'01_ВВОД'!$D$19,'01_ВВОД'!$D$19,'01_ВВОД'!$D$20,'01_ВВОД'!$D$21,'01_ВВОД'!$D$22))</x:f>
        <x:v>70</x:v>
      </x:c>
      <x:c r="M143" s="188" t="n">
        <x:f>L143*IF(H143=1,'01_ВВОД'!$D$118,1)</x:f>
        <x:v>14</x:v>
      </x:c>
      <x:c r="N143" s="188" t="n">
        <x:f>IF(K143=1,'01_ВВОД'!$D$26,0)</x:f>
        <x:v>0</x:v>
      </x:c>
      <x:c r="O143" s="188" t="n">
        <x:f>IF(F143=1,'01_ВВОД'!$D$34,IF(D143&lt;=5,'01_ВВОД'!$D$32,'01_ВВОД'!$D$33))</x:f>
        <x:v>30</x:v>
      </x:c>
      <x:c r="P143" s="188" t="n">
        <x:f>O143</x:f>
        <x:v>30</x:v>
      </x:c>
      <x:c r="Q143" s="188" t="n">
        <x:f>'01_ВВОД'!$D$40</x:f>
        <x:v>12</x:v>
      </x:c>
      <x:c r="R143" s="188" t="n">
        <x:f>'01_ВВОД'!$D$46</x:f>
        <x:v>20</x:v>
      </x:c>
      <x:c r="S143" s="188" t="n">
        <x:f>H143</x:f>
        <x:v>1</x:v>
      </x:c>
      <x:c r="T143" s="188" t="n">
        <x:f>IF(H143=1,M143+N143+P143+Q143,0)</x:f>
        <x:v>56</x:v>
      </x:c>
      <x:c r="U143" t="n">
        <x:f>'01_ВВОД'!$D$120</x:f>
        <x:v>10</x:v>
      </x:c>
      <x:c r="V143" t="n">
        <x:f>ROUNDDOWN(SUM(M143,N143,R143,U143)*'01_ВВОД'!$D$127,0)</x:f>
        <x:v>22</x:v>
      </x:c>
      <x:c r="W143" t="n">
        <x:f>ROUNDDOWN(SUM(L143,N143,R143,U143)*'01_ВВОД'!$D$127,0)</x:f>
        <x:v>50</x:v>
      </x:c>
    </x:row>
    <x:row r="144">
      <x:c r="A144" s="200" t="n">
        <x:v>46405</x:v>
      </x:c>
      <x:c r="B144" s="201" t="n">
        <x:v>5</x:v>
      </x:c>
      <x:c r="C144" s="201" t="inlineStr">
        <x:is>
          <x:t xml:space="preserve">Янв-27</x:t>
        </x:is>
      </x:c>
      <x:c r="D144" s="201" t="n">
        <x:v>1</x:v>
      </x:c>
      <x:c r="E144" s="201" t="inlineStr">
        <x:is>
          <x:t xml:space="preserve">Пн</x:t>
        </x:is>
      </x:c>
      <x:c r="F144" s="199" t="n">
        <x:v>0</x:v>
      </x:c>
      <x:c r="G144" s="201" t="str"/>
      <x:c r="H144" s="193" t="n">
        <x:v>0</x:v>
      </x:c>
      <x:c r="I144" s="201" t="str"/>
      <x:c r="J144" s="188" t="n">
        <x:f>1</x:f>
        <x:v>1</x:v>
      </x:c>
      <x:c r="K144" s="188" t="n">
        <x:f>IF(AND(D144&lt;=5,F144=0),1,0)</x:f>
        <x:v>1</x:v>
      </x:c>
      <x:c r="L144" s="188" t="n">
        <x:f>IF(F144=1,'01_ВВОД'!$D$23,CHOOSE(D144,'01_ВВОД'!$D$19,'01_ВВОД'!$D$19,'01_ВВОД'!$D$19,'01_ВВОД'!$D$19,'01_ВВОД'!$D$20,'01_ВВОД'!$D$21,'01_ВВОД'!$D$22))</x:f>
        <x:v>32</x:v>
      </x:c>
      <x:c r="M144" s="188" t="n">
        <x:f>L144*IF(H144=1,'01_ВВОД'!$D$118,1)</x:f>
        <x:v>32</x:v>
      </x:c>
      <x:c r="N144" s="188" t="n">
        <x:f>IF(K144=1,'01_ВВОД'!$D$26,0)</x:f>
        <x:v>40</x:v>
      </x:c>
      <x:c r="O144" s="188" t="n">
        <x:f>IF(F144=1,'01_ВВОД'!$D$34,IF(D144&lt;=5,'01_ВВОД'!$D$32,'01_ВВОД'!$D$33))</x:f>
        <x:v>15</x:v>
      </x:c>
      <x:c r="P144" s="188" t="n">
        <x:f>O144</x:f>
        <x:v>15</x:v>
      </x:c>
      <x:c r="Q144" s="188" t="n">
        <x:f>'01_ВВОД'!$D$40</x:f>
        <x:v>12</x:v>
      </x:c>
      <x:c r="R144" s="188" t="n">
        <x:f>'01_ВВОД'!$D$46</x:f>
        <x:v>20</x:v>
      </x:c>
      <x:c r="S144" s="188" t="n">
        <x:f>H144</x:f>
        <x:v>0</x:v>
      </x:c>
      <x:c r="T144" s="188" t="n">
        <x:f>IF(H144=1,M144+N144+P144+Q144,0)</x:f>
        <x:v>0</x:v>
      </x:c>
      <x:c r="U144" t="n">
        <x:f>'01_ВВОД'!$D$120</x:f>
        <x:v>10</x:v>
      </x:c>
      <x:c r="V144" t="n">
        <x:f>ROUNDDOWN(SUM(M144,N144,R144,U144)*'01_ВВОД'!$D$127,0)</x:f>
        <x:v>51</x:v>
      </x:c>
      <x:c r="W144" t="n">
        <x:f>ROUNDDOWN(SUM(L144,N144,R144,U144)*'01_ВВОД'!$D$127,0)</x:f>
        <x:v>51</x:v>
      </x:c>
    </x:row>
    <x:row r="145">
      <x:c r="A145" s="200" t="n">
        <x:v>46406</x:v>
      </x:c>
      <x:c r="B145" s="201" t="n">
        <x:v>5</x:v>
      </x:c>
      <x:c r="C145" s="201" t="inlineStr">
        <x:is>
          <x:t xml:space="preserve">Янв-27</x:t>
        </x:is>
      </x:c>
      <x:c r="D145" s="201" t="n">
        <x:v>2</x:v>
      </x:c>
      <x:c r="E145" s="201" t="inlineStr">
        <x:is>
          <x:t xml:space="preserve">Вт</x:t>
        </x:is>
      </x:c>
      <x:c r="F145" s="199" t="n">
        <x:v>0</x:v>
      </x:c>
      <x:c r="G145" s="201" t="str"/>
      <x:c r="H145" s="193" t="n">
        <x:v>0</x:v>
      </x:c>
      <x:c r="I145" s="201" t="str"/>
      <x:c r="J145" s="188" t="n">
        <x:f>1</x:f>
        <x:v>1</x:v>
      </x:c>
      <x:c r="K145" s="188" t="n">
        <x:f>IF(AND(D145&lt;=5,F145=0),1,0)</x:f>
        <x:v>1</x:v>
      </x:c>
      <x:c r="L145" s="188" t="n">
        <x:f>IF(F145=1,'01_ВВОД'!$D$23,CHOOSE(D145,'01_ВВОД'!$D$19,'01_ВВОД'!$D$19,'01_ВВОД'!$D$19,'01_ВВОД'!$D$19,'01_ВВОД'!$D$20,'01_ВВОД'!$D$21,'01_ВВОД'!$D$22))</x:f>
        <x:v>32</x:v>
      </x:c>
      <x:c r="M145" s="188" t="n">
        <x:f>L145*IF(H145=1,'01_ВВОД'!$D$118,1)</x:f>
        <x:v>32</x:v>
      </x:c>
      <x:c r="N145" s="188" t="n">
        <x:f>IF(K145=1,'01_ВВОД'!$D$26,0)</x:f>
        <x:v>40</x:v>
      </x:c>
      <x:c r="O145" s="188" t="n">
        <x:f>IF(F145=1,'01_ВВОД'!$D$34,IF(D145&lt;=5,'01_ВВОД'!$D$32,'01_ВВОД'!$D$33))</x:f>
        <x:v>15</x:v>
      </x:c>
      <x:c r="P145" s="188" t="n">
        <x:f>O145</x:f>
        <x:v>15</x:v>
      </x:c>
      <x:c r="Q145" s="188" t="n">
        <x:f>'01_ВВОД'!$D$40</x:f>
        <x:v>12</x:v>
      </x:c>
      <x:c r="R145" s="188" t="n">
        <x:f>'01_ВВОД'!$D$46</x:f>
        <x:v>20</x:v>
      </x:c>
      <x:c r="S145" s="188" t="n">
        <x:f>H145</x:f>
        <x:v>0</x:v>
      </x:c>
      <x:c r="T145" s="188" t="n">
        <x:f>IF(H145=1,M145+N145+P145+Q145,0)</x:f>
        <x:v>0</x:v>
      </x:c>
      <x:c r="U145" t="n">
        <x:f>'01_ВВОД'!$D$120</x:f>
        <x:v>10</x:v>
      </x:c>
      <x:c r="V145" t="n">
        <x:f>ROUNDDOWN(SUM(M145,N145,R145,U145)*'01_ВВОД'!$D$127,0)</x:f>
        <x:v>51</x:v>
      </x:c>
      <x:c r="W145" t="n">
        <x:f>ROUNDDOWN(SUM(L145,N145,R145,U145)*'01_ВВОД'!$D$127,0)</x:f>
        <x:v>51</x:v>
      </x:c>
    </x:row>
    <x:row r="146">
      <x:c r="A146" s="200" t="n">
        <x:v>46407</x:v>
      </x:c>
      <x:c r="B146" s="201" t="n">
        <x:v>5</x:v>
      </x:c>
      <x:c r="C146" s="201" t="inlineStr">
        <x:is>
          <x:t xml:space="preserve">Янв-27</x:t>
        </x:is>
      </x:c>
      <x:c r="D146" s="201" t="n">
        <x:v>3</x:v>
      </x:c>
      <x:c r="E146" s="201" t="inlineStr">
        <x:is>
          <x:t xml:space="preserve">Ср</x:t>
        </x:is>
      </x:c>
      <x:c r="F146" s="199" t="n">
        <x:v>0</x:v>
      </x:c>
      <x:c r="G146" s="201" t="str"/>
      <x:c r="H146" s="193" t="n">
        <x:v>0</x:v>
      </x:c>
      <x:c r="I146" s="201" t="str"/>
      <x:c r="J146" s="188" t="n">
        <x:f>1</x:f>
        <x:v>1</x:v>
      </x:c>
      <x:c r="K146" s="188" t="n">
        <x:f>IF(AND(D146&lt;=5,F146=0),1,0)</x:f>
        <x:v>1</x:v>
      </x:c>
      <x:c r="L146" s="188" t="n">
        <x:f>IF(F146=1,'01_ВВОД'!$D$23,CHOOSE(D146,'01_ВВОД'!$D$19,'01_ВВОД'!$D$19,'01_ВВОД'!$D$19,'01_ВВОД'!$D$19,'01_ВВОД'!$D$20,'01_ВВОД'!$D$21,'01_ВВОД'!$D$22))</x:f>
        <x:v>32</x:v>
      </x:c>
      <x:c r="M146" s="188" t="n">
        <x:f>L146*IF(H146=1,'01_ВВОД'!$D$118,1)</x:f>
        <x:v>32</x:v>
      </x:c>
      <x:c r="N146" s="188" t="n">
        <x:f>IF(K146=1,'01_ВВОД'!$D$26,0)</x:f>
        <x:v>40</x:v>
      </x:c>
      <x:c r="O146" s="188" t="n">
        <x:f>IF(F146=1,'01_ВВОД'!$D$34,IF(D146&lt;=5,'01_ВВОД'!$D$32,'01_ВВОД'!$D$33))</x:f>
        <x:v>15</x:v>
      </x:c>
      <x:c r="P146" s="188" t="n">
        <x:f>O146</x:f>
        <x:v>15</x:v>
      </x:c>
      <x:c r="Q146" s="188" t="n">
        <x:f>'01_ВВОД'!$D$40</x:f>
        <x:v>12</x:v>
      </x:c>
      <x:c r="R146" s="188" t="n">
        <x:f>'01_ВВОД'!$D$46</x:f>
        <x:v>20</x:v>
      </x:c>
      <x:c r="S146" s="188" t="n">
        <x:f>H146</x:f>
        <x:v>0</x:v>
      </x:c>
      <x:c r="T146" s="188" t="n">
        <x:f>IF(H146=1,M146+N146+P146+Q146,0)</x:f>
        <x:v>0</x:v>
      </x:c>
      <x:c r="U146" t="n">
        <x:f>'01_ВВОД'!$D$120</x:f>
        <x:v>10</x:v>
      </x:c>
      <x:c r="V146" t="n">
        <x:f>ROUNDDOWN(SUM(M146,N146,R146,U146)*'01_ВВОД'!$D$127,0)</x:f>
        <x:v>51</x:v>
      </x:c>
      <x:c r="W146" t="n">
        <x:f>ROUNDDOWN(SUM(L146,N146,R146,U146)*'01_ВВОД'!$D$127,0)</x:f>
        <x:v>51</x:v>
      </x:c>
    </x:row>
    <x:row r="147">
      <x:c r="A147" s="200" t="n">
        <x:v>46408</x:v>
      </x:c>
      <x:c r="B147" s="201" t="n">
        <x:v>5</x:v>
      </x:c>
      <x:c r="C147" s="201" t="inlineStr">
        <x:is>
          <x:t xml:space="preserve">Янв-27</x:t>
        </x:is>
      </x:c>
      <x:c r="D147" s="201" t="n">
        <x:v>4</x:v>
      </x:c>
      <x:c r="E147" s="201" t="inlineStr">
        <x:is>
          <x:t xml:space="preserve">Чт</x:t>
        </x:is>
      </x:c>
      <x:c r="F147" s="199" t="n">
        <x:v>0</x:v>
      </x:c>
      <x:c r="G147" s="201" t="str"/>
      <x:c r="H147" s="193" t="n">
        <x:v>0</x:v>
      </x:c>
      <x:c r="I147" s="201" t="str"/>
      <x:c r="J147" s="188" t="n">
        <x:f>1</x:f>
        <x:v>1</x:v>
      </x:c>
      <x:c r="K147" s="188" t="n">
        <x:f>IF(AND(D147&lt;=5,F147=0),1,0)</x:f>
        <x:v>1</x:v>
      </x:c>
      <x:c r="L147" s="188" t="n">
        <x:f>IF(F147=1,'01_ВВОД'!$D$23,CHOOSE(D147,'01_ВВОД'!$D$19,'01_ВВОД'!$D$19,'01_ВВОД'!$D$19,'01_ВВОД'!$D$19,'01_ВВОД'!$D$20,'01_ВВОД'!$D$21,'01_ВВОД'!$D$22))</x:f>
        <x:v>32</x:v>
      </x:c>
      <x:c r="M147" s="188" t="n">
        <x:f>L147*IF(H147=1,'01_ВВОД'!$D$118,1)</x:f>
        <x:v>32</x:v>
      </x:c>
      <x:c r="N147" s="188" t="n">
        <x:f>IF(K147=1,'01_ВВОД'!$D$26,0)</x:f>
        <x:v>40</x:v>
      </x:c>
      <x:c r="O147" s="188" t="n">
        <x:f>IF(F147=1,'01_ВВОД'!$D$34,IF(D147&lt;=5,'01_ВВОД'!$D$32,'01_ВВОД'!$D$33))</x:f>
        <x:v>15</x:v>
      </x:c>
      <x:c r="P147" s="188" t="n">
        <x:f>O147</x:f>
        <x:v>15</x:v>
      </x:c>
      <x:c r="Q147" s="188" t="n">
        <x:f>'01_ВВОД'!$D$40</x:f>
        <x:v>12</x:v>
      </x:c>
      <x:c r="R147" s="188" t="n">
        <x:f>'01_ВВОД'!$D$46</x:f>
        <x:v>20</x:v>
      </x:c>
      <x:c r="S147" s="188" t="n">
        <x:f>H147</x:f>
        <x:v>0</x:v>
      </x:c>
      <x:c r="T147" s="188" t="n">
        <x:f>IF(H147=1,M147+N147+P147+Q147,0)</x:f>
        <x:v>0</x:v>
      </x:c>
      <x:c r="U147" t="n">
        <x:f>'01_ВВОД'!$D$120</x:f>
        <x:v>10</x:v>
      </x:c>
      <x:c r="V147" t="n">
        <x:f>ROUNDDOWN(SUM(M147,N147,R147,U147)*'01_ВВОД'!$D$127,0)</x:f>
        <x:v>51</x:v>
      </x:c>
      <x:c r="W147" t="n">
        <x:f>ROUNDDOWN(SUM(L147,N147,R147,U147)*'01_ВВОД'!$D$127,0)</x:f>
        <x:v>51</x:v>
      </x:c>
    </x:row>
    <x:row r="148">
      <x:c r="A148" s="200" t="n">
        <x:v>46409</x:v>
      </x:c>
      <x:c r="B148" s="201" t="n">
        <x:v>5</x:v>
      </x:c>
      <x:c r="C148" s="201" t="inlineStr">
        <x:is>
          <x:t xml:space="preserve">Янв-27</x:t>
        </x:is>
      </x:c>
      <x:c r="D148" s="201" t="n">
        <x:v>5</x:v>
      </x:c>
      <x:c r="E148" s="201" t="inlineStr">
        <x:is>
          <x:t xml:space="preserve">Пт</x:t>
        </x:is>
      </x:c>
      <x:c r="F148" s="199" t="n">
        <x:v>0</x:v>
      </x:c>
      <x:c r="G148" s="201" t="str"/>
      <x:c r="H148" s="193" t="n">
        <x:v>1</x:v>
      </x:c>
      <x:c r="I148" s="201" t="inlineStr">
        <x:is>
          <x:t xml:space="preserve">Пт–Вс</x:t>
        </x:is>
      </x:c>
      <x:c r="J148" s="188" t="n">
        <x:f>1</x:f>
        <x:v>1</x:v>
      </x:c>
      <x:c r="K148" s="188" t="n">
        <x:f>IF(AND(D148&lt;=5,F148=0),1,0)</x:f>
        <x:v>1</x:v>
      </x:c>
      <x:c r="L148" s="188" t="n">
        <x:f>IF(F148=1,'01_ВВОД'!$D$23,CHOOSE(D148,'01_ВВОД'!$D$19,'01_ВВОД'!$D$19,'01_ВВОД'!$D$19,'01_ВВОД'!$D$19,'01_ВВОД'!$D$20,'01_ВВОД'!$D$21,'01_ВВОД'!$D$22))</x:f>
        <x:v>45</x:v>
      </x:c>
      <x:c r="M148" s="188" t="n">
        <x:f>L148*IF(H148=1,'01_ВВОД'!$D$118,1)</x:f>
        <x:v>9</x:v>
      </x:c>
      <x:c r="N148" s="188" t="n">
        <x:f>IF(K148=1,'01_ВВОД'!$D$26,0)</x:f>
        <x:v>40</x:v>
      </x:c>
      <x:c r="O148" s="188" t="n">
        <x:f>IF(F148=1,'01_ВВОД'!$D$34,IF(D148&lt;=5,'01_ВВОД'!$D$32,'01_ВВОД'!$D$33))</x:f>
        <x:v>15</x:v>
      </x:c>
      <x:c r="P148" s="188" t="n">
        <x:f>O148</x:f>
        <x:v>15</x:v>
      </x:c>
      <x:c r="Q148" s="188" t="n">
        <x:f>'01_ВВОД'!$D$40</x:f>
        <x:v>12</x:v>
      </x:c>
      <x:c r="R148" s="188" t="n">
        <x:f>'01_ВВОД'!$D$46</x:f>
        <x:v>20</x:v>
      </x:c>
      <x:c r="S148" s="188" t="n">
        <x:f>H148</x:f>
        <x:v>1</x:v>
      </x:c>
      <x:c r="T148" s="188" t="n">
        <x:f>IF(H148=1,M148+N148+P148+Q148,0)</x:f>
        <x:v>76</x:v>
      </x:c>
      <x:c r="U148" t="n">
        <x:f>'01_ВВОД'!$D$120</x:f>
        <x:v>10</x:v>
      </x:c>
      <x:c r="V148" t="n">
        <x:f>ROUNDDOWN(SUM(M148,N148,R148,U148)*'01_ВВОД'!$D$127,0)</x:f>
        <x:v>39</x:v>
      </x:c>
      <x:c r="W148" t="n">
        <x:f>ROUNDDOWN(SUM(L148,N148,R148,U148)*'01_ВВОД'!$D$127,0)</x:f>
        <x:v>57</x:v>
      </x:c>
    </x:row>
    <x:row r="149">
      <x:c r="A149" s="200" t="n">
        <x:v>46410</x:v>
      </x:c>
      <x:c r="B149" s="201" t="n">
        <x:v>5</x:v>
      </x:c>
      <x:c r="C149" s="201" t="inlineStr">
        <x:is>
          <x:t xml:space="preserve">Янв-27</x:t>
        </x:is>
      </x:c>
      <x:c r="D149" s="201" t="n">
        <x:v>6</x:v>
      </x:c>
      <x:c r="E149" s="201" t="inlineStr">
        <x:is>
          <x:t xml:space="preserve">Сб</x:t>
        </x:is>
      </x:c>
      <x:c r="F149" s="199" t="n">
        <x:v>0</x:v>
      </x:c>
      <x:c r="G149" s="201" t="str"/>
      <x:c r="H149" s="193" t="n">
        <x:v>0</x:v>
      </x:c>
      <x:c r="I149" s="201" t="str"/>
      <x:c r="J149" s="188" t="n">
        <x:f>1</x:f>
        <x:v>1</x:v>
      </x:c>
      <x:c r="K149" s="188" t="n">
        <x:f>IF(AND(D149&lt;=5,F149=0),1,0)</x:f>
        <x:v>0</x:v>
      </x:c>
      <x:c r="L149" s="188" t="n">
        <x:f>IF(F149=1,'01_ВВОД'!$D$23,CHOOSE(D149,'01_ВВОД'!$D$19,'01_ВВОД'!$D$19,'01_ВВОД'!$D$19,'01_ВВОД'!$D$19,'01_ВВОД'!$D$20,'01_ВВОД'!$D$21,'01_ВВОД'!$D$22))</x:f>
        <x:v>80</x:v>
      </x:c>
      <x:c r="M149" s="188" t="n">
        <x:f>L149*IF(H149=1,'01_ВВОД'!$D$118,1)</x:f>
        <x:v>80</x:v>
      </x:c>
      <x:c r="N149" s="188" t="n">
        <x:f>IF(K149=1,'01_ВВОД'!$D$26,0)</x:f>
        <x:v>0</x:v>
      </x:c>
      <x:c r="O149" s="188" t="n">
        <x:f>IF(F149=1,'01_ВВОД'!$D$34,IF(D149&lt;=5,'01_ВВОД'!$D$32,'01_ВВОД'!$D$33))</x:f>
        <x:v>30</x:v>
      </x:c>
      <x:c r="P149" s="188" t="n">
        <x:f>O149</x:f>
        <x:v>30</x:v>
      </x:c>
      <x:c r="Q149" s="188" t="n">
        <x:f>'01_ВВОД'!$D$40</x:f>
        <x:v>12</x:v>
      </x:c>
      <x:c r="R149" s="188" t="n">
        <x:f>'01_ВВОД'!$D$46</x:f>
        <x:v>20</x:v>
      </x:c>
      <x:c r="S149" s="188" t="n">
        <x:f>H149</x:f>
        <x:v>0</x:v>
      </x:c>
      <x:c r="T149" s="188" t="n">
        <x:f>IF(H149=1,M149+N149+P149+Q149,0)</x:f>
        <x:v>0</x:v>
      </x:c>
      <x:c r="U149" t="n">
        <x:f>'01_ВВОД'!$D$120</x:f>
        <x:v>10</x:v>
      </x:c>
      <x:c r="V149" t="n">
        <x:f>ROUNDDOWN(SUM(M149,N149,R149,U149)*'01_ВВОД'!$D$127,0)</x:f>
        <x:v>55</x:v>
      </x:c>
      <x:c r="W149" t="n">
        <x:f>ROUNDDOWN(SUM(L149,N149,R149,U149)*'01_ВВОД'!$D$127,0)</x:f>
        <x:v>55</x:v>
      </x:c>
    </x:row>
    <x:row r="150">
      <x:c r="A150" s="200" t="n">
        <x:v>46411</x:v>
      </x:c>
      <x:c r="B150" s="201" t="n">
        <x:v>5</x:v>
      </x:c>
      <x:c r="C150" s="201" t="inlineStr">
        <x:is>
          <x:t xml:space="preserve">Янв-27</x:t>
        </x:is>
      </x:c>
      <x:c r="D150" s="201" t="n">
        <x:v>7</x:v>
      </x:c>
      <x:c r="E150" s="201" t="inlineStr">
        <x:is>
          <x:t xml:space="preserve">Вс</x:t>
        </x:is>
      </x:c>
      <x:c r="F150" s="199" t="n">
        <x:v>0</x:v>
      </x:c>
      <x:c r="G150" s="201" t="str"/>
      <x:c r="H150" s="193" t="n">
        <x:v>1</x:v>
      </x:c>
      <x:c r="I150" s="201" t="inlineStr">
        <x:is>
          <x:t xml:space="preserve">Пт–Вс</x:t>
        </x:is>
      </x:c>
      <x:c r="J150" s="188" t="n">
        <x:f>1</x:f>
        <x:v>1</x:v>
      </x:c>
      <x:c r="K150" s="188" t="n">
        <x:f>IF(AND(D150&lt;=5,F150=0),1,0)</x:f>
        <x:v>0</x:v>
      </x:c>
      <x:c r="L150" s="188" t="n">
        <x:f>IF(F150=1,'01_ВВОД'!$D$23,CHOOSE(D150,'01_ВВОД'!$D$19,'01_ВВОД'!$D$19,'01_ВВОД'!$D$19,'01_ВВОД'!$D$19,'01_ВВОД'!$D$20,'01_ВВОД'!$D$21,'01_ВВОД'!$D$22))</x:f>
        <x:v>70</x:v>
      </x:c>
      <x:c r="M150" s="188" t="n">
        <x:f>L150*IF(H150=1,'01_ВВОД'!$D$118,1)</x:f>
        <x:v>14</x:v>
      </x:c>
      <x:c r="N150" s="188" t="n">
        <x:f>IF(K150=1,'01_ВВОД'!$D$26,0)</x:f>
        <x:v>0</x:v>
      </x:c>
      <x:c r="O150" s="188" t="n">
        <x:f>IF(F150=1,'01_ВВОД'!$D$34,IF(D150&lt;=5,'01_ВВОД'!$D$32,'01_ВВОД'!$D$33))</x:f>
        <x:v>30</x:v>
      </x:c>
      <x:c r="P150" s="188" t="n">
        <x:f>O150</x:f>
        <x:v>30</x:v>
      </x:c>
      <x:c r="Q150" s="188" t="n">
        <x:f>'01_ВВОД'!$D$40</x:f>
        <x:v>12</x:v>
      </x:c>
      <x:c r="R150" s="188" t="n">
        <x:f>'01_ВВОД'!$D$46</x:f>
        <x:v>20</x:v>
      </x:c>
      <x:c r="S150" s="188" t="n">
        <x:f>H150</x:f>
        <x:v>1</x:v>
      </x:c>
      <x:c r="T150" s="188" t="n">
        <x:f>IF(H150=1,M150+N150+P150+Q150,0)</x:f>
        <x:v>56</x:v>
      </x:c>
      <x:c r="U150" t="n">
        <x:f>'01_ВВОД'!$D$120</x:f>
        <x:v>10</x:v>
      </x:c>
      <x:c r="V150" t="n">
        <x:f>ROUNDDOWN(SUM(M150,N150,R150,U150)*'01_ВВОД'!$D$127,0)</x:f>
        <x:v>22</x:v>
      </x:c>
      <x:c r="W150" t="n">
        <x:f>ROUNDDOWN(SUM(L150,N150,R150,U150)*'01_ВВОД'!$D$127,0)</x:f>
        <x:v>50</x:v>
      </x:c>
    </x:row>
    <x:row r="151">
      <x:c r="A151" s="200" t="n">
        <x:v>46412</x:v>
      </x:c>
      <x:c r="B151" s="201" t="n">
        <x:v>5</x:v>
      </x:c>
      <x:c r="C151" s="201" t="inlineStr">
        <x:is>
          <x:t xml:space="preserve">Янв-27</x:t>
        </x:is>
      </x:c>
      <x:c r="D151" s="201" t="n">
        <x:v>1</x:v>
      </x:c>
      <x:c r="E151" s="201" t="inlineStr">
        <x:is>
          <x:t xml:space="preserve">Пн</x:t>
        </x:is>
      </x:c>
      <x:c r="F151" s="199" t="n">
        <x:v>0</x:v>
      </x:c>
      <x:c r="G151" s="201" t="str"/>
      <x:c r="H151" s="193" t="n">
        <x:v>0</x:v>
      </x:c>
      <x:c r="I151" s="201" t="str"/>
      <x:c r="J151" s="188" t="n">
        <x:f>1</x:f>
        <x:v>1</x:v>
      </x:c>
      <x:c r="K151" s="188" t="n">
        <x:f>IF(AND(D151&lt;=5,F151=0),1,0)</x:f>
        <x:v>1</x:v>
      </x:c>
      <x:c r="L151" s="188" t="n">
        <x:f>IF(F151=1,'01_ВВОД'!$D$23,CHOOSE(D151,'01_ВВОД'!$D$19,'01_ВВОД'!$D$19,'01_ВВОД'!$D$19,'01_ВВОД'!$D$19,'01_ВВОД'!$D$20,'01_ВВОД'!$D$21,'01_ВВОД'!$D$22))</x:f>
        <x:v>32</x:v>
      </x:c>
      <x:c r="M151" s="188" t="n">
        <x:f>L151*IF(H151=1,'01_ВВОД'!$D$118,1)</x:f>
        <x:v>32</x:v>
      </x:c>
      <x:c r="N151" s="188" t="n">
        <x:f>IF(K151=1,'01_ВВОД'!$D$26,0)</x:f>
        <x:v>40</x:v>
      </x:c>
      <x:c r="O151" s="188" t="n">
        <x:f>IF(F151=1,'01_ВВОД'!$D$34,IF(D151&lt;=5,'01_ВВОД'!$D$32,'01_ВВОД'!$D$33))</x:f>
        <x:v>15</x:v>
      </x:c>
      <x:c r="P151" s="188" t="n">
        <x:f>O151</x:f>
        <x:v>15</x:v>
      </x:c>
      <x:c r="Q151" s="188" t="n">
        <x:f>'01_ВВОД'!$D$40</x:f>
        <x:v>12</x:v>
      </x:c>
      <x:c r="R151" s="188" t="n">
        <x:f>'01_ВВОД'!$D$46</x:f>
        <x:v>20</x:v>
      </x:c>
      <x:c r="S151" s="188" t="n">
        <x:f>H151</x:f>
        <x:v>0</x:v>
      </x:c>
      <x:c r="T151" s="188" t="n">
        <x:f>IF(H151=1,M151+N151+P151+Q151,0)</x:f>
        <x:v>0</x:v>
      </x:c>
      <x:c r="U151" t="n">
        <x:f>'01_ВВОД'!$D$120</x:f>
        <x:v>10</x:v>
      </x:c>
      <x:c r="V151" t="n">
        <x:f>ROUNDDOWN(SUM(M151,N151,R151,U151)*'01_ВВОД'!$D$127,0)</x:f>
        <x:v>51</x:v>
      </x:c>
      <x:c r="W151" t="n">
        <x:f>ROUNDDOWN(SUM(L151,N151,R151,U151)*'01_ВВОД'!$D$127,0)</x:f>
        <x:v>51</x:v>
      </x:c>
    </x:row>
    <x:row r="152">
      <x:c r="A152" s="200" t="n">
        <x:v>46413</x:v>
      </x:c>
      <x:c r="B152" s="201" t="n">
        <x:v>5</x:v>
      </x:c>
      <x:c r="C152" s="201" t="inlineStr">
        <x:is>
          <x:t xml:space="preserve">Янв-27</x:t>
        </x:is>
      </x:c>
      <x:c r="D152" s="201" t="n">
        <x:v>2</x:v>
      </x:c>
      <x:c r="E152" s="201" t="inlineStr">
        <x:is>
          <x:t xml:space="preserve">Вт</x:t>
        </x:is>
      </x:c>
      <x:c r="F152" s="199" t="n">
        <x:v>0</x:v>
      </x:c>
      <x:c r="G152" s="201" t="str"/>
      <x:c r="H152" s="193" t="n">
        <x:v>0</x:v>
      </x:c>
      <x:c r="I152" s="201" t="str"/>
      <x:c r="J152" s="188" t="n">
        <x:f>1</x:f>
        <x:v>1</x:v>
      </x:c>
      <x:c r="K152" s="188" t="n">
        <x:f>IF(AND(D152&lt;=5,F152=0),1,0)</x:f>
        <x:v>1</x:v>
      </x:c>
      <x:c r="L152" s="188" t="n">
        <x:f>IF(F152=1,'01_ВВОД'!$D$23,CHOOSE(D152,'01_ВВОД'!$D$19,'01_ВВОД'!$D$19,'01_ВВОД'!$D$19,'01_ВВОД'!$D$19,'01_ВВОД'!$D$20,'01_ВВОД'!$D$21,'01_ВВОД'!$D$22))</x:f>
        <x:v>32</x:v>
      </x:c>
      <x:c r="M152" s="188" t="n">
        <x:f>L152*IF(H152=1,'01_ВВОД'!$D$118,1)</x:f>
        <x:v>32</x:v>
      </x:c>
      <x:c r="N152" s="188" t="n">
        <x:f>IF(K152=1,'01_ВВОД'!$D$26,0)</x:f>
        <x:v>40</x:v>
      </x:c>
      <x:c r="O152" s="188" t="n">
        <x:f>IF(F152=1,'01_ВВОД'!$D$34,IF(D152&lt;=5,'01_ВВОД'!$D$32,'01_ВВОД'!$D$33))</x:f>
        <x:v>15</x:v>
      </x:c>
      <x:c r="P152" s="188" t="n">
        <x:f>O152</x:f>
        <x:v>15</x:v>
      </x:c>
      <x:c r="Q152" s="188" t="n">
        <x:f>'01_ВВОД'!$D$40</x:f>
        <x:v>12</x:v>
      </x:c>
      <x:c r="R152" s="188" t="n">
        <x:f>'01_ВВОД'!$D$46</x:f>
        <x:v>20</x:v>
      </x:c>
      <x:c r="S152" s="188" t="n">
        <x:f>H152</x:f>
        <x:v>0</x:v>
      </x:c>
      <x:c r="T152" s="188" t="n">
        <x:f>IF(H152=1,M152+N152+P152+Q152,0)</x:f>
        <x:v>0</x:v>
      </x:c>
      <x:c r="U152" t="n">
        <x:f>'01_ВВОД'!$D$120</x:f>
        <x:v>10</x:v>
      </x:c>
      <x:c r="V152" t="n">
        <x:f>ROUNDDOWN(SUM(M152,N152,R152,U152)*'01_ВВОД'!$D$127,0)</x:f>
        <x:v>51</x:v>
      </x:c>
      <x:c r="W152" t="n">
        <x:f>ROUNDDOWN(SUM(L152,N152,R152,U152)*'01_ВВОД'!$D$127,0)</x:f>
        <x:v>51</x:v>
      </x:c>
    </x:row>
    <x:row r="153">
      <x:c r="A153" s="200" t="n">
        <x:v>46414</x:v>
      </x:c>
      <x:c r="B153" s="201" t="n">
        <x:v>5</x:v>
      </x:c>
      <x:c r="C153" s="201" t="inlineStr">
        <x:is>
          <x:t xml:space="preserve">Янв-27</x:t>
        </x:is>
      </x:c>
      <x:c r="D153" s="201" t="n">
        <x:v>3</x:v>
      </x:c>
      <x:c r="E153" s="201" t="inlineStr">
        <x:is>
          <x:t xml:space="preserve">Ср</x:t>
        </x:is>
      </x:c>
      <x:c r="F153" s="199" t="n">
        <x:v>0</x:v>
      </x:c>
      <x:c r="G153" s="201" t="str"/>
      <x:c r="H153" s="193" t="n">
        <x:v>0</x:v>
      </x:c>
      <x:c r="I153" s="201" t="str"/>
      <x:c r="J153" s="188" t="n">
        <x:f>1</x:f>
        <x:v>1</x:v>
      </x:c>
      <x:c r="K153" s="188" t="n">
        <x:f>IF(AND(D153&lt;=5,F153=0),1,0)</x:f>
        <x:v>1</x:v>
      </x:c>
      <x:c r="L153" s="188" t="n">
        <x:f>IF(F153=1,'01_ВВОД'!$D$23,CHOOSE(D153,'01_ВВОД'!$D$19,'01_ВВОД'!$D$19,'01_ВВОД'!$D$19,'01_ВВОД'!$D$19,'01_ВВОД'!$D$20,'01_ВВОД'!$D$21,'01_ВВОД'!$D$22))</x:f>
        <x:v>32</x:v>
      </x:c>
      <x:c r="M153" s="188" t="n">
        <x:f>L153*IF(H153=1,'01_ВВОД'!$D$118,1)</x:f>
        <x:v>32</x:v>
      </x:c>
      <x:c r="N153" s="188" t="n">
        <x:f>IF(K153=1,'01_ВВОД'!$D$26,0)</x:f>
        <x:v>40</x:v>
      </x:c>
      <x:c r="O153" s="188" t="n">
        <x:f>IF(F153=1,'01_ВВОД'!$D$34,IF(D153&lt;=5,'01_ВВОД'!$D$32,'01_ВВОД'!$D$33))</x:f>
        <x:v>15</x:v>
      </x:c>
      <x:c r="P153" s="188" t="n">
        <x:f>O153</x:f>
        <x:v>15</x:v>
      </x:c>
      <x:c r="Q153" s="188" t="n">
        <x:f>'01_ВВОД'!$D$40</x:f>
        <x:v>12</x:v>
      </x:c>
      <x:c r="R153" s="188" t="n">
        <x:f>'01_ВВОД'!$D$46</x:f>
        <x:v>20</x:v>
      </x:c>
      <x:c r="S153" s="188" t="n">
        <x:f>H153</x:f>
        <x:v>0</x:v>
      </x:c>
      <x:c r="T153" s="188" t="n">
        <x:f>IF(H153=1,M153+N153+P153+Q153,0)</x:f>
        <x:v>0</x:v>
      </x:c>
      <x:c r="U153" t="n">
        <x:f>'01_ВВОД'!$D$120</x:f>
        <x:v>10</x:v>
      </x:c>
      <x:c r="V153" t="n">
        <x:f>ROUNDDOWN(SUM(M153,N153,R153,U153)*'01_ВВОД'!$D$127,0)</x:f>
        <x:v>51</x:v>
      </x:c>
      <x:c r="W153" t="n">
        <x:f>ROUNDDOWN(SUM(L153,N153,R153,U153)*'01_ВВОД'!$D$127,0)</x:f>
        <x:v>51</x:v>
      </x:c>
    </x:row>
    <x:row r="154">
      <x:c r="A154" s="200" t="n">
        <x:v>46415</x:v>
      </x:c>
      <x:c r="B154" s="201" t="n">
        <x:v>5</x:v>
      </x:c>
      <x:c r="C154" s="201" t="inlineStr">
        <x:is>
          <x:t xml:space="preserve">Янв-27</x:t>
        </x:is>
      </x:c>
      <x:c r="D154" s="201" t="n">
        <x:v>4</x:v>
      </x:c>
      <x:c r="E154" s="201" t="inlineStr">
        <x:is>
          <x:t xml:space="preserve">Чт</x:t>
        </x:is>
      </x:c>
      <x:c r="F154" s="199" t="n">
        <x:v>0</x:v>
      </x:c>
      <x:c r="G154" s="201" t="str"/>
      <x:c r="H154" s="193" t="n">
        <x:v>0</x:v>
      </x:c>
      <x:c r="I154" s="201" t="str"/>
      <x:c r="J154" s="188" t="n">
        <x:f>1</x:f>
        <x:v>1</x:v>
      </x:c>
      <x:c r="K154" s="188" t="n">
        <x:f>IF(AND(D154&lt;=5,F154=0),1,0)</x:f>
        <x:v>1</x:v>
      </x:c>
      <x:c r="L154" s="188" t="n">
        <x:f>IF(F154=1,'01_ВВОД'!$D$23,CHOOSE(D154,'01_ВВОД'!$D$19,'01_ВВОД'!$D$19,'01_ВВОД'!$D$19,'01_ВВОД'!$D$19,'01_ВВОД'!$D$20,'01_ВВОД'!$D$21,'01_ВВОД'!$D$22))</x:f>
        <x:v>32</x:v>
      </x:c>
      <x:c r="M154" s="188" t="n">
        <x:f>L154*IF(H154=1,'01_ВВОД'!$D$118,1)</x:f>
        <x:v>32</x:v>
      </x:c>
      <x:c r="N154" s="188" t="n">
        <x:f>IF(K154=1,'01_ВВОД'!$D$26,0)</x:f>
        <x:v>40</x:v>
      </x:c>
      <x:c r="O154" s="188" t="n">
        <x:f>IF(F154=1,'01_ВВОД'!$D$34,IF(D154&lt;=5,'01_ВВОД'!$D$32,'01_ВВОД'!$D$33))</x:f>
        <x:v>15</x:v>
      </x:c>
      <x:c r="P154" s="188" t="n">
        <x:f>O154</x:f>
        <x:v>15</x:v>
      </x:c>
      <x:c r="Q154" s="188" t="n">
        <x:f>'01_ВВОД'!$D$40</x:f>
        <x:v>12</x:v>
      </x:c>
      <x:c r="R154" s="188" t="n">
        <x:f>'01_ВВОД'!$D$46</x:f>
        <x:v>20</x:v>
      </x:c>
      <x:c r="S154" s="188" t="n">
        <x:f>H154</x:f>
        <x:v>0</x:v>
      </x:c>
      <x:c r="T154" s="188" t="n">
        <x:f>IF(H154=1,M154+N154+P154+Q154,0)</x:f>
        <x:v>0</x:v>
      </x:c>
      <x:c r="U154" t="n">
        <x:f>'01_ВВОД'!$D$120</x:f>
        <x:v>10</x:v>
      </x:c>
      <x:c r="V154" t="n">
        <x:f>ROUNDDOWN(SUM(M154,N154,R154,U154)*'01_ВВОД'!$D$127,0)</x:f>
        <x:v>51</x:v>
      </x:c>
      <x:c r="W154" t="n">
        <x:f>ROUNDDOWN(SUM(L154,N154,R154,U154)*'01_ВВОД'!$D$127,0)</x:f>
        <x:v>51</x:v>
      </x:c>
    </x:row>
    <x:row r="155">
      <x:c r="A155" s="200" t="n">
        <x:v>46416</x:v>
      </x:c>
      <x:c r="B155" s="201" t="n">
        <x:v>5</x:v>
      </x:c>
      <x:c r="C155" s="201" t="inlineStr">
        <x:is>
          <x:t xml:space="preserve">Янв-27</x:t>
        </x:is>
      </x:c>
      <x:c r="D155" s="201" t="n">
        <x:v>5</x:v>
      </x:c>
      <x:c r="E155" s="201" t="inlineStr">
        <x:is>
          <x:t xml:space="preserve">Пт</x:t>
        </x:is>
      </x:c>
      <x:c r="F155" s="199" t="n">
        <x:v>0</x:v>
      </x:c>
      <x:c r="G155" s="201" t="str"/>
      <x:c r="H155" s="193" t="n">
        <x:v>0</x:v>
      </x:c>
      <x:c r="I155" s="201" t="str"/>
      <x:c r="J155" s="188" t="n">
        <x:f>1</x:f>
        <x:v>1</x:v>
      </x:c>
      <x:c r="K155" s="188" t="n">
        <x:f>IF(AND(D155&lt;=5,F155=0),1,0)</x:f>
        <x:v>1</x:v>
      </x:c>
      <x:c r="L155" s="188" t="n">
        <x:f>IF(F155=1,'01_ВВОД'!$D$23,CHOOSE(D155,'01_ВВОД'!$D$19,'01_ВВОД'!$D$19,'01_ВВОД'!$D$19,'01_ВВОД'!$D$19,'01_ВВОД'!$D$20,'01_ВВОД'!$D$21,'01_ВВОД'!$D$22))</x:f>
        <x:v>45</x:v>
      </x:c>
      <x:c r="M155" s="188" t="n">
        <x:f>L155*IF(H155=1,'01_ВВОД'!$D$118,1)</x:f>
        <x:v>45</x:v>
      </x:c>
      <x:c r="N155" s="188" t="n">
        <x:f>IF(K155=1,'01_ВВОД'!$D$26,0)</x:f>
        <x:v>40</x:v>
      </x:c>
      <x:c r="O155" s="188" t="n">
        <x:f>IF(F155=1,'01_ВВОД'!$D$34,IF(D155&lt;=5,'01_ВВОД'!$D$32,'01_ВВОД'!$D$33))</x:f>
        <x:v>15</x:v>
      </x:c>
      <x:c r="P155" s="188" t="n">
        <x:f>O155</x:f>
        <x:v>15</x:v>
      </x:c>
      <x:c r="Q155" s="188" t="n">
        <x:f>'01_ВВОД'!$D$40</x:f>
        <x:v>12</x:v>
      </x:c>
      <x:c r="R155" s="188" t="n">
        <x:f>'01_ВВОД'!$D$46</x:f>
        <x:v>20</x:v>
      </x:c>
      <x:c r="S155" s="188" t="n">
        <x:f>H155</x:f>
        <x:v>0</x:v>
      </x:c>
      <x:c r="T155" s="188" t="n">
        <x:f>IF(H155=1,M155+N155+P155+Q155,0)</x:f>
        <x:v>0</x:v>
      </x:c>
      <x:c r="U155" t="n">
        <x:f>'01_ВВОД'!$D$120</x:f>
        <x:v>10</x:v>
      </x:c>
      <x:c r="V155" t="n">
        <x:f>ROUNDDOWN(SUM(M155,N155,R155,U155)*'01_ВВОД'!$D$127,0)</x:f>
        <x:v>57</x:v>
      </x:c>
      <x:c r="W155" t="n">
        <x:f>ROUNDDOWN(SUM(L155,N155,R155,U155)*'01_ВВОД'!$D$127,0)</x:f>
        <x:v>57</x:v>
      </x:c>
    </x:row>
    <x:row r="156">
      <x:c r="A156" s="200" t="n">
        <x:v>46417</x:v>
      </x:c>
      <x:c r="B156" s="201" t="n">
        <x:v>5</x:v>
      </x:c>
      <x:c r="C156" s="201" t="inlineStr">
        <x:is>
          <x:t xml:space="preserve">Янв-27</x:t>
        </x:is>
      </x:c>
      <x:c r="D156" s="201" t="n">
        <x:v>6</x:v>
      </x:c>
      <x:c r="E156" s="201" t="inlineStr">
        <x:is>
          <x:t xml:space="preserve">Сб</x:t>
        </x:is>
      </x:c>
      <x:c r="F156" s="199" t="n">
        <x:v>0</x:v>
      </x:c>
      <x:c r="G156" s="201" t="str"/>
      <x:c r="H156" s="193" t="n">
        <x:v>0</x:v>
      </x:c>
      <x:c r="I156" s="201" t="str"/>
      <x:c r="J156" s="188" t="n">
        <x:f>1</x:f>
        <x:v>1</x:v>
      </x:c>
      <x:c r="K156" s="188" t="n">
        <x:f>IF(AND(D156&lt;=5,F156=0),1,0)</x:f>
        <x:v>0</x:v>
      </x:c>
      <x:c r="L156" s="188" t="n">
        <x:f>IF(F156=1,'01_ВВОД'!$D$23,CHOOSE(D156,'01_ВВОД'!$D$19,'01_ВВОД'!$D$19,'01_ВВОД'!$D$19,'01_ВВОД'!$D$19,'01_ВВОД'!$D$20,'01_ВВОД'!$D$21,'01_ВВОД'!$D$22))</x:f>
        <x:v>80</x:v>
      </x:c>
      <x:c r="M156" s="188" t="n">
        <x:f>L156*IF(H156=1,'01_ВВОД'!$D$118,1)</x:f>
        <x:v>80</x:v>
      </x:c>
      <x:c r="N156" s="188" t="n">
        <x:f>IF(K156=1,'01_ВВОД'!$D$26,0)</x:f>
        <x:v>0</x:v>
      </x:c>
      <x:c r="O156" s="188" t="n">
        <x:f>IF(F156=1,'01_ВВОД'!$D$34,IF(D156&lt;=5,'01_ВВОД'!$D$32,'01_ВВОД'!$D$33))</x:f>
        <x:v>30</x:v>
      </x:c>
      <x:c r="P156" s="188" t="n">
        <x:f>O156</x:f>
        <x:v>30</x:v>
      </x:c>
      <x:c r="Q156" s="188" t="n">
        <x:f>'01_ВВОД'!$D$40</x:f>
        <x:v>12</x:v>
      </x:c>
      <x:c r="R156" s="188" t="n">
        <x:f>'01_ВВОД'!$D$46</x:f>
        <x:v>20</x:v>
      </x:c>
      <x:c r="S156" s="188" t="n">
        <x:f>H156</x:f>
        <x:v>0</x:v>
      </x:c>
      <x:c r="T156" s="188" t="n">
        <x:f>IF(H156=1,M156+N156+P156+Q156,0)</x:f>
        <x:v>0</x:v>
      </x:c>
      <x:c r="U156" t="n">
        <x:f>'01_ВВОД'!$D$120</x:f>
        <x:v>10</x:v>
      </x:c>
      <x:c r="V156" t="n">
        <x:f>ROUNDDOWN(SUM(M156,N156,R156,U156)*'01_ВВОД'!$D$127,0)</x:f>
        <x:v>55</x:v>
      </x:c>
      <x:c r="W156" t="n">
        <x:f>ROUNDDOWN(SUM(L156,N156,R156,U156)*'01_ВВОД'!$D$127,0)</x:f>
        <x:v>55</x:v>
      </x:c>
    </x:row>
    <x:row r="157">
      <x:c r="A157" s="200" t="n">
        <x:v>46418</x:v>
      </x:c>
      <x:c r="B157" s="201" t="n">
        <x:v>5</x:v>
      </x:c>
      <x:c r="C157" s="201" t="inlineStr">
        <x:is>
          <x:t xml:space="preserve">Янв-27</x:t>
        </x:is>
      </x:c>
      <x:c r="D157" s="201" t="n">
        <x:v>7</x:v>
      </x:c>
      <x:c r="E157" s="201" t="inlineStr">
        <x:is>
          <x:t xml:space="preserve">Вс</x:t>
        </x:is>
      </x:c>
      <x:c r="F157" s="199" t="n">
        <x:v>0</x:v>
      </x:c>
      <x:c r="G157" s="201" t="str"/>
      <x:c r="H157" s="193" t="n">
        <x:v>1</x:v>
      </x:c>
      <x:c r="I157" s="201" t="inlineStr">
        <x:is>
          <x:t xml:space="preserve">Пт–Вс</x:t>
        </x:is>
      </x:c>
      <x:c r="J157" s="188" t="n">
        <x:f>1</x:f>
        <x:v>1</x:v>
      </x:c>
      <x:c r="K157" s="188" t="n">
        <x:f>IF(AND(D157&lt;=5,F157=0),1,0)</x:f>
        <x:v>0</x:v>
      </x:c>
      <x:c r="L157" s="188" t="n">
        <x:f>IF(F157=1,'01_ВВОД'!$D$23,CHOOSE(D157,'01_ВВОД'!$D$19,'01_ВВОД'!$D$19,'01_ВВОД'!$D$19,'01_ВВОД'!$D$19,'01_ВВОД'!$D$20,'01_ВВОД'!$D$21,'01_ВВОД'!$D$22))</x:f>
        <x:v>70</x:v>
      </x:c>
      <x:c r="M157" s="188" t="n">
        <x:f>L157*IF(H157=1,'01_ВВОД'!$D$118,1)</x:f>
        <x:v>14</x:v>
      </x:c>
      <x:c r="N157" s="188" t="n">
        <x:f>IF(K157=1,'01_ВВОД'!$D$26,0)</x:f>
        <x:v>0</x:v>
      </x:c>
      <x:c r="O157" s="188" t="n">
        <x:f>IF(F157=1,'01_ВВОД'!$D$34,IF(D157&lt;=5,'01_ВВОД'!$D$32,'01_ВВОД'!$D$33))</x:f>
        <x:v>30</x:v>
      </x:c>
      <x:c r="P157" s="188" t="n">
        <x:f>O157</x:f>
        <x:v>30</x:v>
      </x:c>
      <x:c r="Q157" s="188" t="n">
        <x:f>'01_ВВОД'!$D$40</x:f>
        <x:v>12</x:v>
      </x:c>
      <x:c r="R157" s="188" t="n">
        <x:f>'01_ВВОД'!$D$46</x:f>
        <x:v>20</x:v>
      </x:c>
      <x:c r="S157" s="188" t="n">
        <x:f>H157</x:f>
        <x:v>1</x:v>
      </x:c>
      <x:c r="T157" s="188" t="n">
        <x:f>IF(H157=1,M157+N157+P157+Q157,0)</x:f>
        <x:v>56</x:v>
      </x:c>
      <x:c r="U157" t="n">
        <x:f>'01_ВВОД'!$D$120</x:f>
        <x:v>10</x:v>
      </x:c>
      <x:c r="V157" t="n">
        <x:f>ROUNDDOWN(SUM(M157,N157,R157,U157)*'01_ВВОД'!$D$127,0)</x:f>
        <x:v>22</x:v>
      </x:c>
      <x:c r="W157" t="n">
        <x:f>ROUNDDOWN(SUM(L157,N157,R157,U157)*'01_ВВОД'!$D$127,0)</x:f>
        <x:v>50</x:v>
      </x:c>
    </x:row>
    <x:row r="158">
      <x:c r="A158" s="200" t="n">
        <x:v>46419</x:v>
      </x:c>
      <x:c r="B158" s="201" t="n">
        <x:v>6</x:v>
      </x:c>
      <x:c r="C158" s="201" t="inlineStr">
        <x:is>
          <x:t xml:space="preserve">Фев-27</x:t>
        </x:is>
      </x:c>
      <x:c r="D158" s="201" t="n">
        <x:v>1</x:v>
      </x:c>
      <x:c r="E158" s="201" t="inlineStr">
        <x:is>
          <x:t xml:space="preserve">Пн</x:t>
        </x:is>
      </x:c>
      <x:c r="F158" s="199" t="n">
        <x:v>0</x:v>
      </x:c>
      <x:c r="G158" s="201" t="str"/>
      <x:c r="H158" s="193" t="n">
        <x:v>0</x:v>
      </x:c>
      <x:c r="I158" s="201" t="str"/>
      <x:c r="J158" s="188" t="n">
        <x:f>1</x:f>
        <x:v>1</x:v>
      </x:c>
      <x:c r="K158" s="188" t="n">
        <x:f>IF(AND(D158&lt;=5,F158=0),1,0)</x:f>
        <x:v>1</x:v>
      </x:c>
      <x:c r="L158" s="188" t="n">
        <x:f>IF(F158=1,'01_ВВОД'!$D$23,CHOOSE(D158,'01_ВВОД'!$D$19,'01_ВВОД'!$D$19,'01_ВВОД'!$D$19,'01_ВВОД'!$D$19,'01_ВВОД'!$D$20,'01_ВВОД'!$D$21,'01_ВВОД'!$D$22))</x:f>
        <x:v>32</x:v>
      </x:c>
      <x:c r="M158" s="188" t="n">
        <x:f>L158*IF(H158=1,'01_ВВОД'!$D$118,1)</x:f>
        <x:v>32</x:v>
      </x:c>
      <x:c r="N158" s="188" t="n">
        <x:f>IF(K158=1,'01_ВВОД'!$D$26,0)</x:f>
        <x:v>40</x:v>
      </x:c>
      <x:c r="O158" s="188" t="n">
        <x:f>IF(F158=1,'01_ВВОД'!$D$34,IF(D158&lt;=5,'01_ВВОД'!$D$32,'01_ВВОД'!$D$33))</x:f>
        <x:v>15</x:v>
      </x:c>
      <x:c r="P158" s="188" t="n">
        <x:f>O158</x:f>
        <x:v>15</x:v>
      </x:c>
      <x:c r="Q158" s="188" t="n">
        <x:f>'01_ВВОД'!$D$40</x:f>
        <x:v>12</x:v>
      </x:c>
      <x:c r="R158" s="188" t="n">
        <x:f>'01_ВВОД'!$D$46</x:f>
        <x:v>20</x:v>
      </x:c>
      <x:c r="S158" s="188" t="n">
        <x:f>H158</x:f>
        <x:v>0</x:v>
      </x:c>
      <x:c r="T158" s="188" t="n">
        <x:f>IF(H158=1,M158+N158+P158+Q158,0)</x:f>
        <x:v>0</x:v>
      </x:c>
      <x:c r="U158" t="n">
        <x:f>'01_ВВОД'!$D$120</x:f>
        <x:v>10</x:v>
      </x:c>
      <x:c r="V158" t="n">
        <x:f>ROUNDDOWN(SUM(M158,N158,R158,U158)*'01_ВВОД'!$D$127,0)</x:f>
        <x:v>51</x:v>
      </x:c>
      <x:c r="W158" t="n">
        <x:f>ROUNDDOWN(SUM(L158,N158,R158,U158)*'01_ВВОД'!$D$127,0)</x:f>
        <x:v>51</x:v>
      </x:c>
    </x:row>
    <x:row r="159">
      <x:c r="A159" s="200" t="n">
        <x:v>46420</x:v>
      </x:c>
      <x:c r="B159" s="201" t="n">
        <x:v>6</x:v>
      </x:c>
      <x:c r="C159" s="201" t="inlineStr">
        <x:is>
          <x:t xml:space="preserve">Фев-27</x:t>
        </x:is>
      </x:c>
      <x:c r="D159" s="201" t="n">
        <x:v>2</x:v>
      </x:c>
      <x:c r="E159" s="201" t="inlineStr">
        <x:is>
          <x:t xml:space="preserve">Вт</x:t>
        </x:is>
      </x:c>
      <x:c r="F159" s="199" t="n">
        <x:v>0</x:v>
      </x:c>
      <x:c r="G159" s="201" t="str"/>
      <x:c r="H159" s="193" t="n">
        <x:v>0</x:v>
      </x:c>
      <x:c r="I159" s="201" t="str"/>
      <x:c r="J159" s="188" t="n">
        <x:f>1</x:f>
        <x:v>1</x:v>
      </x:c>
      <x:c r="K159" s="188" t="n">
        <x:f>IF(AND(D159&lt;=5,F159=0),1,0)</x:f>
        <x:v>1</x:v>
      </x:c>
      <x:c r="L159" s="188" t="n">
        <x:f>IF(F159=1,'01_ВВОД'!$D$23,CHOOSE(D159,'01_ВВОД'!$D$19,'01_ВВОД'!$D$19,'01_ВВОД'!$D$19,'01_ВВОД'!$D$19,'01_ВВОД'!$D$20,'01_ВВОД'!$D$21,'01_ВВОД'!$D$22))</x:f>
        <x:v>32</x:v>
      </x:c>
      <x:c r="M159" s="188" t="n">
        <x:f>L159*IF(H159=1,'01_ВВОД'!$D$118,1)</x:f>
        <x:v>32</x:v>
      </x:c>
      <x:c r="N159" s="188" t="n">
        <x:f>IF(K159=1,'01_ВВОД'!$D$26,0)</x:f>
        <x:v>40</x:v>
      </x:c>
      <x:c r="O159" s="188" t="n">
        <x:f>IF(F159=1,'01_ВВОД'!$D$34,IF(D159&lt;=5,'01_ВВОД'!$D$32,'01_ВВОД'!$D$33))</x:f>
        <x:v>15</x:v>
      </x:c>
      <x:c r="P159" s="188" t="n">
        <x:f>O159</x:f>
        <x:v>15</x:v>
      </x:c>
      <x:c r="Q159" s="188" t="n">
        <x:f>'01_ВВОД'!$D$40</x:f>
        <x:v>12</x:v>
      </x:c>
      <x:c r="R159" s="188" t="n">
        <x:f>'01_ВВОД'!$D$46</x:f>
        <x:v>20</x:v>
      </x:c>
      <x:c r="S159" s="188" t="n">
        <x:f>H159</x:f>
        <x:v>0</x:v>
      </x:c>
      <x:c r="T159" s="188" t="n">
        <x:f>IF(H159=1,M159+N159+P159+Q159,0)</x:f>
        <x:v>0</x:v>
      </x:c>
      <x:c r="U159" t="n">
        <x:f>'01_ВВОД'!$D$120</x:f>
        <x:v>10</x:v>
      </x:c>
      <x:c r="V159" t="n">
        <x:f>ROUNDDOWN(SUM(M159,N159,R159,U159)*'01_ВВОД'!$D$127,0)</x:f>
        <x:v>51</x:v>
      </x:c>
      <x:c r="W159" t="n">
        <x:f>ROUNDDOWN(SUM(L159,N159,R159,U159)*'01_ВВОД'!$D$127,0)</x:f>
        <x:v>51</x:v>
      </x:c>
    </x:row>
    <x:row r="160">
      <x:c r="A160" s="200" t="n">
        <x:v>46421</x:v>
      </x:c>
      <x:c r="B160" s="201" t="n">
        <x:v>6</x:v>
      </x:c>
      <x:c r="C160" s="201" t="inlineStr">
        <x:is>
          <x:t xml:space="preserve">Фев-27</x:t>
        </x:is>
      </x:c>
      <x:c r="D160" s="201" t="n">
        <x:v>3</x:v>
      </x:c>
      <x:c r="E160" s="201" t="inlineStr">
        <x:is>
          <x:t xml:space="preserve">Ср</x:t>
        </x:is>
      </x:c>
      <x:c r="F160" s="199" t="n">
        <x:v>0</x:v>
      </x:c>
      <x:c r="G160" s="201" t="str"/>
      <x:c r="H160" s="193" t="n">
        <x:v>0</x:v>
      </x:c>
      <x:c r="I160" s="201" t="str"/>
      <x:c r="J160" s="188" t="n">
        <x:f>1</x:f>
        <x:v>1</x:v>
      </x:c>
      <x:c r="K160" s="188" t="n">
        <x:f>IF(AND(D160&lt;=5,F160=0),1,0)</x:f>
        <x:v>1</x:v>
      </x:c>
      <x:c r="L160" s="188" t="n">
        <x:f>IF(F160=1,'01_ВВОД'!$D$23,CHOOSE(D160,'01_ВВОД'!$D$19,'01_ВВОД'!$D$19,'01_ВВОД'!$D$19,'01_ВВОД'!$D$19,'01_ВВОД'!$D$20,'01_ВВОД'!$D$21,'01_ВВОД'!$D$22))</x:f>
        <x:v>32</x:v>
      </x:c>
      <x:c r="M160" s="188" t="n">
        <x:f>L160*IF(H160=1,'01_ВВОД'!$D$118,1)</x:f>
        <x:v>32</x:v>
      </x:c>
      <x:c r="N160" s="188" t="n">
        <x:f>IF(K160=1,'01_ВВОД'!$D$26,0)</x:f>
        <x:v>40</x:v>
      </x:c>
      <x:c r="O160" s="188" t="n">
        <x:f>IF(F160=1,'01_ВВОД'!$D$34,IF(D160&lt;=5,'01_ВВОД'!$D$32,'01_ВВОД'!$D$33))</x:f>
        <x:v>15</x:v>
      </x:c>
      <x:c r="P160" s="188" t="n">
        <x:f>O160</x:f>
        <x:v>15</x:v>
      </x:c>
      <x:c r="Q160" s="188" t="n">
        <x:f>'01_ВВОД'!$D$40</x:f>
        <x:v>12</x:v>
      </x:c>
      <x:c r="R160" s="188" t="n">
        <x:f>'01_ВВОД'!$D$46</x:f>
        <x:v>20</x:v>
      </x:c>
      <x:c r="S160" s="188" t="n">
        <x:f>H160</x:f>
        <x:v>0</x:v>
      </x:c>
      <x:c r="T160" s="188" t="n">
        <x:f>IF(H160=1,M160+N160+P160+Q160,0)</x:f>
        <x:v>0</x:v>
      </x:c>
      <x:c r="U160" t="n">
        <x:f>'01_ВВОД'!$D$120</x:f>
        <x:v>10</x:v>
      </x:c>
      <x:c r="V160" t="n">
        <x:f>ROUNDDOWN(SUM(M160,N160,R160,U160)*'01_ВВОД'!$D$127,0)</x:f>
        <x:v>51</x:v>
      </x:c>
      <x:c r="W160" t="n">
        <x:f>ROUNDDOWN(SUM(L160,N160,R160,U160)*'01_ВВОД'!$D$127,0)</x:f>
        <x:v>51</x:v>
      </x:c>
    </x:row>
    <x:row r="161">
      <x:c r="A161" s="200" t="n">
        <x:v>46422</x:v>
      </x:c>
      <x:c r="B161" s="201" t="n">
        <x:v>6</x:v>
      </x:c>
      <x:c r="C161" s="201" t="inlineStr">
        <x:is>
          <x:t xml:space="preserve">Фев-27</x:t>
        </x:is>
      </x:c>
      <x:c r="D161" s="201" t="n">
        <x:v>4</x:v>
      </x:c>
      <x:c r="E161" s="201" t="inlineStr">
        <x:is>
          <x:t xml:space="preserve">Чт</x:t>
        </x:is>
      </x:c>
      <x:c r="F161" s="199" t="n">
        <x:v>0</x:v>
      </x:c>
      <x:c r="G161" s="201" t="str"/>
      <x:c r="H161" s="193" t="n">
        <x:v>0</x:v>
      </x:c>
      <x:c r="I161" s="201" t="str"/>
      <x:c r="J161" s="188" t="n">
        <x:f>1</x:f>
        <x:v>1</x:v>
      </x:c>
      <x:c r="K161" s="188" t="n">
        <x:f>IF(AND(D161&lt;=5,F161=0),1,0)</x:f>
        <x:v>1</x:v>
      </x:c>
      <x:c r="L161" s="188" t="n">
        <x:f>IF(F161=1,'01_ВВОД'!$D$23,CHOOSE(D161,'01_ВВОД'!$D$19,'01_ВВОД'!$D$19,'01_ВВОД'!$D$19,'01_ВВОД'!$D$19,'01_ВВОД'!$D$20,'01_ВВОД'!$D$21,'01_ВВОД'!$D$22))</x:f>
        <x:v>32</x:v>
      </x:c>
      <x:c r="M161" s="188" t="n">
        <x:f>L161*IF(H161=1,'01_ВВОД'!$D$118,1)</x:f>
        <x:v>32</x:v>
      </x:c>
      <x:c r="N161" s="188" t="n">
        <x:f>IF(K161=1,'01_ВВОД'!$D$26,0)</x:f>
        <x:v>40</x:v>
      </x:c>
      <x:c r="O161" s="188" t="n">
        <x:f>IF(F161=1,'01_ВВОД'!$D$34,IF(D161&lt;=5,'01_ВВОД'!$D$32,'01_ВВОД'!$D$33))</x:f>
        <x:v>15</x:v>
      </x:c>
      <x:c r="P161" s="188" t="n">
        <x:f>O161</x:f>
        <x:v>15</x:v>
      </x:c>
      <x:c r="Q161" s="188" t="n">
        <x:f>'01_ВВОД'!$D$40</x:f>
        <x:v>12</x:v>
      </x:c>
      <x:c r="R161" s="188" t="n">
        <x:f>'01_ВВОД'!$D$46</x:f>
        <x:v>20</x:v>
      </x:c>
      <x:c r="S161" s="188" t="n">
        <x:f>H161</x:f>
        <x:v>0</x:v>
      </x:c>
      <x:c r="T161" s="188" t="n">
        <x:f>IF(H161=1,M161+N161+P161+Q161,0)</x:f>
        <x:v>0</x:v>
      </x:c>
      <x:c r="U161" t="n">
        <x:f>'01_ВВОД'!$D$120</x:f>
        <x:v>10</x:v>
      </x:c>
      <x:c r="V161" t="n">
        <x:f>ROUNDDOWN(SUM(M161,N161,R161,U161)*'01_ВВОД'!$D$127,0)</x:f>
        <x:v>51</x:v>
      </x:c>
      <x:c r="W161" t="n">
        <x:f>ROUNDDOWN(SUM(L161,N161,R161,U161)*'01_ВВОД'!$D$127,0)</x:f>
        <x:v>51</x:v>
      </x:c>
    </x:row>
    <x:row r="162">
      <x:c r="A162" s="200" t="n">
        <x:v>46423</x:v>
      </x:c>
      <x:c r="B162" s="201" t="n">
        <x:v>6</x:v>
      </x:c>
      <x:c r="C162" s="201" t="inlineStr">
        <x:is>
          <x:t xml:space="preserve">Фев-27</x:t>
        </x:is>
      </x:c>
      <x:c r="D162" s="201" t="n">
        <x:v>5</x:v>
      </x:c>
      <x:c r="E162" s="201" t="inlineStr">
        <x:is>
          <x:t xml:space="preserve">Пт</x:t>
        </x:is>
      </x:c>
      <x:c r="F162" s="199" t="n">
        <x:v>0</x:v>
      </x:c>
      <x:c r="G162" s="201" t="str"/>
      <x:c r="H162" s="193" t="n">
        <x:v>0</x:v>
      </x:c>
      <x:c r="I162" s="201" t="str"/>
      <x:c r="J162" s="188" t="n">
        <x:f>1</x:f>
        <x:v>1</x:v>
      </x:c>
      <x:c r="K162" s="188" t="n">
        <x:f>IF(AND(D162&lt;=5,F162=0),1,0)</x:f>
        <x:v>1</x:v>
      </x:c>
      <x:c r="L162" s="188" t="n">
        <x:f>IF(F162=1,'01_ВВОД'!$D$23,CHOOSE(D162,'01_ВВОД'!$D$19,'01_ВВОД'!$D$19,'01_ВВОД'!$D$19,'01_ВВОД'!$D$19,'01_ВВОД'!$D$20,'01_ВВОД'!$D$21,'01_ВВОД'!$D$22))</x:f>
        <x:v>45</x:v>
      </x:c>
      <x:c r="M162" s="188" t="n">
        <x:f>L162*IF(H162=1,'01_ВВОД'!$D$118,1)</x:f>
        <x:v>45</x:v>
      </x:c>
      <x:c r="N162" s="188" t="n">
        <x:f>IF(K162=1,'01_ВВОД'!$D$26,0)</x:f>
        <x:v>40</x:v>
      </x:c>
      <x:c r="O162" s="188" t="n">
        <x:f>IF(F162=1,'01_ВВОД'!$D$34,IF(D162&lt;=5,'01_ВВОД'!$D$32,'01_ВВОД'!$D$33))</x:f>
        <x:v>15</x:v>
      </x:c>
      <x:c r="P162" s="188" t="n">
        <x:f>O162</x:f>
        <x:v>15</x:v>
      </x:c>
      <x:c r="Q162" s="188" t="n">
        <x:f>'01_ВВОД'!$D$40</x:f>
        <x:v>12</x:v>
      </x:c>
      <x:c r="R162" s="188" t="n">
        <x:f>'01_ВВОД'!$D$46</x:f>
        <x:v>20</x:v>
      </x:c>
      <x:c r="S162" s="188" t="n">
        <x:f>H162</x:f>
        <x:v>0</x:v>
      </x:c>
      <x:c r="T162" s="188" t="n">
        <x:f>IF(H162=1,M162+N162+P162+Q162,0)</x:f>
        <x:v>0</x:v>
      </x:c>
      <x:c r="U162" t="n">
        <x:f>'01_ВВОД'!$D$120</x:f>
        <x:v>10</x:v>
      </x:c>
      <x:c r="V162" t="n">
        <x:f>ROUNDDOWN(SUM(M162,N162,R162,U162)*'01_ВВОД'!$D$127,0)</x:f>
        <x:v>57</x:v>
      </x:c>
      <x:c r="W162" t="n">
        <x:f>ROUNDDOWN(SUM(L162,N162,R162,U162)*'01_ВВОД'!$D$127,0)</x:f>
        <x:v>57</x:v>
      </x:c>
    </x:row>
    <x:row r="163">
      <x:c r="A163" s="200" t="n">
        <x:v>46424</x:v>
      </x:c>
      <x:c r="B163" s="201" t="n">
        <x:v>6</x:v>
      </x:c>
      <x:c r="C163" s="201" t="inlineStr">
        <x:is>
          <x:t xml:space="preserve">Фев-27</x:t>
        </x:is>
      </x:c>
      <x:c r="D163" s="201" t="n">
        <x:v>6</x:v>
      </x:c>
      <x:c r="E163" s="201" t="inlineStr">
        <x:is>
          <x:t xml:space="preserve">Сб</x:t>
        </x:is>
      </x:c>
      <x:c r="F163" s="199" t="n">
        <x:v>0</x:v>
      </x:c>
      <x:c r="G163" s="201" t="str"/>
      <x:c r="H163" s="193" t="n">
        <x:v>0</x:v>
      </x:c>
      <x:c r="I163" s="201" t="str"/>
      <x:c r="J163" s="188" t="n">
        <x:f>1</x:f>
        <x:v>1</x:v>
      </x:c>
      <x:c r="K163" s="188" t="n">
        <x:f>IF(AND(D163&lt;=5,F163=0),1,0)</x:f>
        <x:v>0</x:v>
      </x:c>
      <x:c r="L163" s="188" t="n">
        <x:f>IF(F163=1,'01_ВВОД'!$D$23,CHOOSE(D163,'01_ВВОД'!$D$19,'01_ВВОД'!$D$19,'01_ВВОД'!$D$19,'01_ВВОД'!$D$19,'01_ВВОД'!$D$20,'01_ВВОД'!$D$21,'01_ВВОД'!$D$22))</x:f>
        <x:v>80</x:v>
      </x:c>
      <x:c r="M163" s="188" t="n">
        <x:f>L163*IF(H163=1,'01_ВВОД'!$D$118,1)</x:f>
        <x:v>80</x:v>
      </x:c>
      <x:c r="N163" s="188" t="n">
        <x:f>IF(K163=1,'01_ВВОД'!$D$26,0)</x:f>
        <x:v>0</x:v>
      </x:c>
      <x:c r="O163" s="188" t="n">
        <x:f>IF(F163=1,'01_ВВОД'!$D$34,IF(D163&lt;=5,'01_ВВОД'!$D$32,'01_ВВОД'!$D$33))</x:f>
        <x:v>30</x:v>
      </x:c>
      <x:c r="P163" s="188" t="n">
        <x:f>O163</x:f>
        <x:v>30</x:v>
      </x:c>
      <x:c r="Q163" s="188" t="n">
        <x:f>'01_ВВОД'!$D$40</x:f>
        <x:v>12</x:v>
      </x:c>
      <x:c r="R163" s="188" t="n">
        <x:f>'01_ВВОД'!$D$46</x:f>
        <x:v>20</x:v>
      </x:c>
      <x:c r="S163" s="188" t="n">
        <x:f>H163</x:f>
        <x:v>0</x:v>
      </x:c>
      <x:c r="T163" s="188" t="n">
        <x:f>IF(H163=1,M163+N163+P163+Q163,0)</x:f>
        <x:v>0</x:v>
      </x:c>
      <x:c r="U163" t="n">
        <x:f>'01_ВВОД'!$D$120</x:f>
        <x:v>10</x:v>
      </x:c>
      <x:c r="V163" t="n">
        <x:f>ROUNDDOWN(SUM(M163,N163,R163,U163)*'01_ВВОД'!$D$127,0)</x:f>
        <x:v>55</x:v>
      </x:c>
      <x:c r="W163" t="n">
        <x:f>ROUNDDOWN(SUM(L163,N163,R163,U163)*'01_ВВОД'!$D$127,0)</x:f>
        <x:v>55</x:v>
      </x:c>
    </x:row>
    <x:row r="164">
      <x:c r="A164" s="200" t="n">
        <x:v>46425</x:v>
      </x:c>
      <x:c r="B164" s="201" t="n">
        <x:v>6</x:v>
      </x:c>
      <x:c r="C164" s="201" t="inlineStr">
        <x:is>
          <x:t xml:space="preserve">Фев-27</x:t>
        </x:is>
      </x:c>
      <x:c r="D164" s="201" t="n">
        <x:v>7</x:v>
      </x:c>
      <x:c r="E164" s="201" t="inlineStr">
        <x:is>
          <x:t xml:space="preserve">Вс</x:t>
        </x:is>
      </x:c>
      <x:c r="F164" s="199" t="n">
        <x:v>0</x:v>
      </x:c>
      <x:c r="G164" s="201" t="str"/>
      <x:c r="H164" s="193" t="n">
        <x:v>1</x:v>
      </x:c>
      <x:c r="I164" s="201" t="inlineStr">
        <x:is>
          <x:t xml:space="preserve">Пт–Вс</x:t>
        </x:is>
      </x:c>
      <x:c r="J164" s="188" t="n">
        <x:f>1</x:f>
        <x:v>1</x:v>
      </x:c>
      <x:c r="K164" s="188" t="n">
        <x:f>IF(AND(D164&lt;=5,F164=0),1,0)</x:f>
        <x:v>0</x:v>
      </x:c>
      <x:c r="L164" s="188" t="n">
        <x:f>IF(F164=1,'01_ВВОД'!$D$23,CHOOSE(D164,'01_ВВОД'!$D$19,'01_ВВОД'!$D$19,'01_ВВОД'!$D$19,'01_ВВОД'!$D$19,'01_ВВОД'!$D$20,'01_ВВОД'!$D$21,'01_ВВОД'!$D$22))</x:f>
        <x:v>70</x:v>
      </x:c>
      <x:c r="M164" s="188" t="n">
        <x:f>L164*IF(H164=1,'01_ВВОД'!$D$118,1)</x:f>
        <x:v>14</x:v>
      </x:c>
      <x:c r="N164" s="188" t="n">
        <x:f>IF(K164=1,'01_ВВОД'!$D$26,0)</x:f>
        <x:v>0</x:v>
      </x:c>
      <x:c r="O164" s="188" t="n">
        <x:f>IF(F164=1,'01_ВВОД'!$D$34,IF(D164&lt;=5,'01_ВВОД'!$D$32,'01_ВВОД'!$D$33))</x:f>
        <x:v>30</x:v>
      </x:c>
      <x:c r="P164" s="188" t="n">
        <x:f>O164</x:f>
        <x:v>30</x:v>
      </x:c>
      <x:c r="Q164" s="188" t="n">
        <x:f>'01_ВВОД'!$D$40</x:f>
        <x:v>12</x:v>
      </x:c>
      <x:c r="R164" s="188" t="n">
        <x:f>'01_ВВОД'!$D$46</x:f>
        <x:v>20</x:v>
      </x:c>
      <x:c r="S164" s="188" t="n">
        <x:f>H164</x:f>
        <x:v>1</x:v>
      </x:c>
      <x:c r="T164" s="188" t="n">
        <x:f>IF(H164=1,M164+N164+P164+Q164,0)</x:f>
        <x:v>56</x:v>
      </x:c>
      <x:c r="U164" t="n">
        <x:f>'01_ВВОД'!$D$120</x:f>
        <x:v>10</x:v>
      </x:c>
      <x:c r="V164" t="n">
        <x:f>ROUNDDOWN(SUM(M164,N164,R164,U164)*'01_ВВОД'!$D$127,0)</x:f>
        <x:v>22</x:v>
      </x:c>
      <x:c r="W164" t="n">
        <x:f>ROUNDDOWN(SUM(L164,N164,R164,U164)*'01_ВВОД'!$D$127,0)</x:f>
        <x:v>50</x:v>
      </x:c>
    </x:row>
    <x:row r="165">
      <x:c r="A165" s="200" t="n">
        <x:v>46426</x:v>
      </x:c>
      <x:c r="B165" s="201" t="n">
        <x:v>6</x:v>
      </x:c>
      <x:c r="C165" s="201" t="inlineStr">
        <x:is>
          <x:t xml:space="preserve">Фев-27</x:t>
        </x:is>
      </x:c>
      <x:c r="D165" s="201" t="n">
        <x:v>1</x:v>
      </x:c>
      <x:c r="E165" s="201" t="inlineStr">
        <x:is>
          <x:t xml:space="preserve">Пн</x:t>
        </x:is>
      </x:c>
      <x:c r="F165" s="199" t="n">
        <x:v>0</x:v>
      </x:c>
      <x:c r="G165" s="201" t="str"/>
      <x:c r="H165" s="193" t="n">
        <x:v>0</x:v>
      </x:c>
      <x:c r="I165" s="201" t="str"/>
      <x:c r="J165" s="188" t="n">
        <x:f>1</x:f>
        <x:v>1</x:v>
      </x:c>
      <x:c r="K165" s="188" t="n">
        <x:f>IF(AND(D165&lt;=5,F165=0),1,0)</x:f>
        <x:v>1</x:v>
      </x:c>
      <x:c r="L165" s="188" t="n">
        <x:f>IF(F165=1,'01_ВВОД'!$D$23,CHOOSE(D165,'01_ВВОД'!$D$19,'01_ВВОД'!$D$19,'01_ВВОД'!$D$19,'01_ВВОД'!$D$19,'01_ВВОД'!$D$20,'01_ВВОД'!$D$21,'01_ВВОД'!$D$22))</x:f>
        <x:v>32</x:v>
      </x:c>
      <x:c r="M165" s="188" t="n">
        <x:f>L165*IF(H165=1,'01_ВВОД'!$D$118,1)</x:f>
        <x:v>32</x:v>
      </x:c>
      <x:c r="N165" s="188" t="n">
        <x:f>IF(K165=1,'01_ВВОД'!$D$26,0)</x:f>
        <x:v>40</x:v>
      </x:c>
      <x:c r="O165" s="188" t="n">
        <x:f>IF(F165=1,'01_ВВОД'!$D$34,IF(D165&lt;=5,'01_ВВОД'!$D$32,'01_ВВОД'!$D$33))</x:f>
        <x:v>15</x:v>
      </x:c>
      <x:c r="P165" s="188" t="n">
        <x:f>O165</x:f>
        <x:v>15</x:v>
      </x:c>
      <x:c r="Q165" s="188" t="n">
        <x:f>'01_ВВОД'!$D$40</x:f>
        <x:v>12</x:v>
      </x:c>
      <x:c r="R165" s="188" t="n">
        <x:f>'01_ВВОД'!$D$46</x:f>
        <x:v>20</x:v>
      </x:c>
      <x:c r="S165" s="188" t="n">
        <x:f>H165</x:f>
        <x:v>0</x:v>
      </x:c>
      <x:c r="T165" s="188" t="n">
        <x:f>IF(H165=1,M165+N165+P165+Q165,0)</x:f>
        <x:v>0</x:v>
      </x:c>
      <x:c r="U165" t="n">
        <x:f>'01_ВВОД'!$D$120</x:f>
        <x:v>10</x:v>
      </x:c>
      <x:c r="V165" t="n">
        <x:f>ROUNDDOWN(SUM(M165,N165,R165,U165)*'01_ВВОД'!$D$127,0)</x:f>
        <x:v>51</x:v>
      </x:c>
      <x:c r="W165" t="n">
        <x:f>ROUNDDOWN(SUM(L165,N165,R165,U165)*'01_ВВОД'!$D$127,0)</x:f>
        <x:v>51</x:v>
      </x:c>
    </x:row>
    <x:row r="166">
      <x:c r="A166" s="200" t="n">
        <x:v>46427</x:v>
      </x:c>
      <x:c r="B166" s="201" t="n">
        <x:v>6</x:v>
      </x:c>
      <x:c r="C166" s="201" t="inlineStr">
        <x:is>
          <x:t xml:space="preserve">Фев-27</x:t>
        </x:is>
      </x:c>
      <x:c r="D166" s="201" t="n">
        <x:v>2</x:v>
      </x:c>
      <x:c r="E166" s="201" t="inlineStr">
        <x:is>
          <x:t xml:space="preserve">Вт</x:t>
        </x:is>
      </x:c>
      <x:c r="F166" s="199" t="n">
        <x:v>0</x:v>
      </x:c>
      <x:c r="G166" s="201" t="str"/>
      <x:c r="H166" s="193" t="n">
        <x:v>1</x:v>
      </x:c>
      <x:c r="I166" s="201" t="inlineStr">
        <x:is>
          <x:t xml:space="preserve">Пн–Чт</x:t>
        </x:is>
      </x:c>
      <x:c r="J166" s="188" t="n">
        <x:f>1</x:f>
        <x:v>1</x:v>
      </x:c>
      <x:c r="K166" s="188" t="n">
        <x:f>IF(AND(D166&lt;=5,F166=0),1,0)</x:f>
        <x:v>1</x:v>
      </x:c>
      <x:c r="L166" s="188" t="n">
        <x:f>IF(F166=1,'01_ВВОД'!$D$23,CHOOSE(D166,'01_ВВОД'!$D$19,'01_ВВОД'!$D$19,'01_ВВОД'!$D$19,'01_ВВОД'!$D$19,'01_ВВОД'!$D$20,'01_ВВОД'!$D$21,'01_ВВОД'!$D$22))</x:f>
        <x:v>32</x:v>
      </x:c>
      <x:c r="M166" s="188" t="n">
        <x:f>L166*IF(H166=1,'01_ВВОД'!$D$118,1)</x:f>
        <x:v>6.4</x:v>
      </x:c>
      <x:c r="N166" s="188" t="n">
        <x:f>IF(K166=1,'01_ВВОД'!$D$26,0)</x:f>
        <x:v>40</x:v>
      </x:c>
      <x:c r="O166" s="188" t="n">
        <x:f>IF(F166=1,'01_ВВОД'!$D$34,IF(D166&lt;=5,'01_ВВОД'!$D$32,'01_ВВОД'!$D$33))</x:f>
        <x:v>15</x:v>
      </x:c>
      <x:c r="P166" s="188" t="n">
        <x:f>O166</x:f>
        <x:v>15</x:v>
      </x:c>
      <x:c r="Q166" s="188" t="n">
        <x:f>'01_ВВОД'!$D$40</x:f>
        <x:v>12</x:v>
      </x:c>
      <x:c r="R166" s="188" t="n">
        <x:f>'01_ВВОД'!$D$46</x:f>
        <x:v>20</x:v>
      </x:c>
      <x:c r="S166" s="188" t="n">
        <x:f>H166</x:f>
        <x:v>1</x:v>
      </x:c>
      <x:c r="T166" s="188" t="n">
        <x:f>IF(H166=1,M166+N166+P166+Q166,0)</x:f>
        <x:v>73.4</x:v>
      </x:c>
      <x:c r="U166" t="n">
        <x:f>'01_ВВОД'!$D$120</x:f>
        <x:v>10</x:v>
      </x:c>
      <x:c r="V166" t="n">
        <x:f>ROUNDDOWN(SUM(M166,N166,R166,U166)*'01_ВВОД'!$D$127,0)</x:f>
        <x:v>38</x:v>
      </x:c>
      <x:c r="W166" t="n">
        <x:f>ROUNDDOWN(SUM(L166,N166,R166,U166)*'01_ВВОД'!$D$127,0)</x:f>
        <x:v>51</x:v>
      </x:c>
    </x:row>
    <x:row r="167">
      <x:c r="A167" s="200" t="n">
        <x:v>46428</x:v>
      </x:c>
      <x:c r="B167" s="201" t="n">
        <x:v>6</x:v>
      </x:c>
      <x:c r="C167" s="201" t="inlineStr">
        <x:is>
          <x:t xml:space="preserve">Фев-27</x:t>
        </x:is>
      </x:c>
      <x:c r="D167" s="201" t="n">
        <x:v>3</x:v>
      </x:c>
      <x:c r="E167" s="201" t="inlineStr">
        <x:is>
          <x:t xml:space="preserve">Ср</x:t>
        </x:is>
      </x:c>
      <x:c r="F167" s="199" t="n">
        <x:v>0</x:v>
      </x:c>
      <x:c r="G167" s="201" t="str"/>
      <x:c r="H167" s="193" t="n">
        <x:v>1</x:v>
      </x:c>
      <x:c r="I167" s="201" t="inlineStr">
        <x:is>
          <x:t xml:space="preserve">Пн–Чт</x:t>
        </x:is>
      </x:c>
      <x:c r="J167" s="188" t="n">
        <x:f>1</x:f>
        <x:v>1</x:v>
      </x:c>
      <x:c r="K167" s="188" t="n">
        <x:f>IF(AND(D167&lt;=5,F167=0),1,0)</x:f>
        <x:v>1</x:v>
      </x:c>
      <x:c r="L167" s="188" t="n">
        <x:f>IF(F167=1,'01_ВВОД'!$D$23,CHOOSE(D167,'01_ВВОД'!$D$19,'01_ВВОД'!$D$19,'01_ВВОД'!$D$19,'01_ВВОД'!$D$19,'01_ВВОД'!$D$20,'01_ВВОД'!$D$21,'01_ВВОД'!$D$22))</x:f>
        <x:v>32</x:v>
      </x:c>
      <x:c r="M167" s="188" t="n">
        <x:f>L167*IF(H167=1,'01_ВВОД'!$D$118,1)</x:f>
        <x:v>6.4</x:v>
      </x:c>
      <x:c r="N167" s="188" t="n">
        <x:f>IF(K167=1,'01_ВВОД'!$D$26,0)</x:f>
        <x:v>40</x:v>
      </x:c>
      <x:c r="O167" s="188" t="n">
        <x:f>IF(F167=1,'01_ВВОД'!$D$34,IF(D167&lt;=5,'01_ВВОД'!$D$32,'01_ВВОД'!$D$33))</x:f>
        <x:v>15</x:v>
      </x:c>
      <x:c r="P167" s="188" t="n">
        <x:f>O167</x:f>
        <x:v>15</x:v>
      </x:c>
      <x:c r="Q167" s="188" t="n">
        <x:f>'01_ВВОД'!$D$40</x:f>
        <x:v>12</x:v>
      </x:c>
      <x:c r="R167" s="188" t="n">
        <x:f>'01_ВВОД'!$D$46</x:f>
        <x:v>20</x:v>
      </x:c>
      <x:c r="S167" s="188" t="n">
        <x:f>H167</x:f>
        <x:v>1</x:v>
      </x:c>
      <x:c r="T167" s="188" t="n">
        <x:f>IF(H167=1,M167+N167+P167+Q167,0)</x:f>
        <x:v>73.4</x:v>
      </x:c>
      <x:c r="U167" t="n">
        <x:f>'01_ВВОД'!$D$120</x:f>
        <x:v>10</x:v>
      </x:c>
      <x:c r="V167" t="n">
        <x:f>ROUNDDOWN(SUM(M167,N167,R167,U167)*'01_ВВОД'!$D$127,0)</x:f>
        <x:v>38</x:v>
      </x:c>
      <x:c r="W167" t="n">
        <x:f>ROUNDDOWN(SUM(L167,N167,R167,U167)*'01_ВВОД'!$D$127,0)</x:f>
        <x:v>51</x:v>
      </x:c>
    </x:row>
    <x:row r="168">
      <x:c r="A168" s="200" t="n">
        <x:v>46429</x:v>
      </x:c>
      <x:c r="B168" s="201" t="n">
        <x:v>6</x:v>
      </x:c>
      <x:c r="C168" s="201" t="inlineStr">
        <x:is>
          <x:t xml:space="preserve">Фев-27</x:t>
        </x:is>
      </x:c>
      <x:c r="D168" s="201" t="n">
        <x:v>4</x:v>
      </x:c>
      <x:c r="E168" s="201" t="inlineStr">
        <x:is>
          <x:t xml:space="preserve">Чт</x:t>
        </x:is>
      </x:c>
      <x:c r="F168" s="199" t="n">
        <x:v>0</x:v>
      </x:c>
      <x:c r="G168" s="201" t="str"/>
      <x:c r="H168" s="193" t="n">
        <x:v>0</x:v>
      </x:c>
      <x:c r="I168" s="201" t="str"/>
      <x:c r="J168" s="188" t="n">
        <x:f>1</x:f>
        <x:v>1</x:v>
      </x:c>
      <x:c r="K168" s="188" t="n">
        <x:f>IF(AND(D168&lt;=5,F168=0),1,0)</x:f>
        <x:v>1</x:v>
      </x:c>
      <x:c r="L168" s="188" t="n">
        <x:f>IF(F168=1,'01_ВВОД'!$D$23,CHOOSE(D168,'01_ВВОД'!$D$19,'01_ВВОД'!$D$19,'01_ВВОД'!$D$19,'01_ВВОД'!$D$19,'01_ВВОД'!$D$20,'01_ВВОД'!$D$21,'01_ВВОД'!$D$22))</x:f>
        <x:v>32</x:v>
      </x:c>
      <x:c r="M168" s="188" t="n">
        <x:f>L168*IF(H168=1,'01_ВВОД'!$D$118,1)</x:f>
        <x:v>32</x:v>
      </x:c>
      <x:c r="N168" s="188" t="n">
        <x:f>IF(K168=1,'01_ВВОД'!$D$26,0)</x:f>
        <x:v>40</x:v>
      </x:c>
      <x:c r="O168" s="188" t="n">
        <x:f>IF(F168=1,'01_ВВОД'!$D$34,IF(D168&lt;=5,'01_ВВОД'!$D$32,'01_ВВОД'!$D$33))</x:f>
        <x:v>15</x:v>
      </x:c>
      <x:c r="P168" s="188" t="n">
        <x:f>O168</x:f>
        <x:v>15</x:v>
      </x:c>
      <x:c r="Q168" s="188" t="n">
        <x:f>'01_ВВОД'!$D$40</x:f>
        <x:v>12</x:v>
      </x:c>
      <x:c r="R168" s="188" t="n">
        <x:f>'01_ВВОД'!$D$46</x:f>
        <x:v>20</x:v>
      </x:c>
      <x:c r="S168" s="188" t="n">
        <x:f>H168</x:f>
        <x:v>0</x:v>
      </x:c>
      <x:c r="T168" s="188" t="n">
        <x:f>IF(H168=1,M168+N168+P168+Q168,0)</x:f>
        <x:v>0</x:v>
      </x:c>
      <x:c r="U168" t="n">
        <x:f>'01_ВВОД'!$D$120</x:f>
        <x:v>10</x:v>
      </x:c>
      <x:c r="V168" t="n">
        <x:f>ROUNDDOWN(SUM(M168,N168,R168,U168)*'01_ВВОД'!$D$127,0)</x:f>
        <x:v>51</x:v>
      </x:c>
      <x:c r="W168" t="n">
        <x:f>ROUNDDOWN(SUM(L168,N168,R168,U168)*'01_ВВОД'!$D$127,0)</x:f>
        <x:v>51</x:v>
      </x:c>
    </x:row>
    <x:row r="169">
      <x:c r="A169" s="200" t="n">
        <x:v>46430</x:v>
      </x:c>
      <x:c r="B169" s="201" t="n">
        <x:v>6</x:v>
      </x:c>
      <x:c r="C169" s="201" t="inlineStr">
        <x:is>
          <x:t xml:space="preserve">Фев-27</x:t>
        </x:is>
      </x:c>
      <x:c r="D169" s="201" t="n">
        <x:v>5</x:v>
      </x:c>
      <x:c r="E169" s="201" t="inlineStr">
        <x:is>
          <x:t xml:space="preserve">Пт</x:t>
        </x:is>
      </x:c>
      <x:c r="F169" s="199" t="n">
        <x:v>0</x:v>
      </x:c>
      <x:c r="G169" s="201" t="str"/>
      <x:c r="H169" s="193" t="n">
        <x:v>0</x:v>
      </x:c>
      <x:c r="I169" s="201" t="str"/>
      <x:c r="J169" s="188" t="n">
        <x:f>1</x:f>
        <x:v>1</x:v>
      </x:c>
      <x:c r="K169" s="188" t="n">
        <x:f>IF(AND(D169&lt;=5,F169=0),1,0)</x:f>
        <x:v>1</x:v>
      </x:c>
      <x:c r="L169" s="188" t="n">
        <x:f>IF(F169=1,'01_ВВОД'!$D$23,CHOOSE(D169,'01_ВВОД'!$D$19,'01_ВВОД'!$D$19,'01_ВВОД'!$D$19,'01_ВВОД'!$D$19,'01_ВВОД'!$D$20,'01_ВВОД'!$D$21,'01_ВВОД'!$D$22))</x:f>
        <x:v>45</x:v>
      </x:c>
      <x:c r="M169" s="188" t="n">
        <x:f>L169*IF(H169=1,'01_ВВОД'!$D$118,1)</x:f>
        <x:v>45</x:v>
      </x:c>
      <x:c r="N169" s="188" t="n">
        <x:f>IF(K169=1,'01_ВВОД'!$D$26,0)</x:f>
        <x:v>40</x:v>
      </x:c>
      <x:c r="O169" s="188" t="n">
        <x:f>IF(F169=1,'01_ВВОД'!$D$34,IF(D169&lt;=5,'01_ВВОД'!$D$32,'01_ВВОД'!$D$33))</x:f>
        <x:v>15</x:v>
      </x:c>
      <x:c r="P169" s="188" t="n">
        <x:f>O169</x:f>
        <x:v>15</x:v>
      </x:c>
      <x:c r="Q169" s="188" t="n">
        <x:f>'01_ВВОД'!$D$40</x:f>
        <x:v>12</x:v>
      </x:c>
      <x:c r="R169" s="188" t="n">
        <x:f>'01_ВВОД'!$D$46</x:f>
        <x:v>20</x:v>
      </x:c>
      <x:c r="S169" s="188" t="n">
        <x:f>H169</x:f>
        <x:v>0</x:v>
      </x:c>
      <x:c r="T169" s="188" t="n">
        <x:f>IF(H169=1,M169+N169+P169+Q169,0)</x:f>
        <x:v>0</x:v>
      </x:c>
      <x:c r="U169" t="n">
        <x:f>'01_ВВОД'!$D$120</x:f>
        <x:v>10</x:v>
      </x:c>
      <x:c r="V169" t="n">
        <x:f>ROUNDDOWN(SUM(M169,N169,R169,U169)*'01_ВВОД'!$D$127,0)</x:f>
        <x:v>57</x:v>
      </x:c>
      <x:c r="W169" t="n">
        <x:f>ROUNDDOWN(SUM(L169,N169,R169,U169)*'01_ВВОД'!$D$127,0)</x:f>
        <x:v>57</x:v>
      </x:c>
    </x:row>
    <x:row r="170">
      <x:c r="A170" s="200" t="n">
        <x:v>46431</x:v>
      </x:c>
      <x:c r="B170" s="201" t="n">
        <x:v>6</x:v>
      </x:c>
      <x:c r="C170" s="201" t="inlineStr">
        <x:is>
          <x:t xml:space="preserve">Фев-27</x:t>
        </x:is>
      </x:c>
      <x:c r="D170" s="201" t="n">
        <x:v>6</x:v>
      </x:c>
      <x:c r="E170" s="201" t="inlineStr">
        <x:is>
          <x:t xml:space="preserve">Сб</x:t>
        </x:is>
      </x:c>
      <x:c r="F170" s="199" t="n">
        <x:v>0</x:v>
      </x:c>
      <x:c r="G170" s="201" t="str"/>
      <x:c r="H170" s="193" t="n">
        <x:v>0</x:v>
      </x:c>
      <x:c r="I170" s="201" t="str"/>
      <x:c r="J170" s="188" t="n">
        <x:f>1</x:f>
        <x:v>1</x:v>
      </x:c>
      <x:c r="K170" s="188" t="n">
        <x:f>IF(AND(D170&lt;=5,F170=0),1,0)</x:f>
        <x:v>0</x:v>
      </x:c>
      <x:c r="L170" s="188" t="n">
        <x:f>IF(F170=1,'01_ВВОД'!$D$23,CHOOSE(D170,'01_ВВОД'!$D$19,'01_ВВОД'!$D$19,'01_ВВОД'!$D$19,'01_ВВОД'!$D$19,'01_ВВОД'!$D$20,'01_ВВОД'!$D$21,'01_ВВОД'!$D$22))</x:f>
        <x:v>80</x:v>
      </x:c>
      <x:c r="M170" s="188" t="n">
        <x:f>L170*IF(H170=1,'01_ВВОД'!$D$118,1)</x:f>
        <x:v>80</x:v>
      </x:c>
      <x:c r="N170" s="188" t="n">
        <x:f>IF(K170=1,'01_ВВОД'!$D$26,0)</x:f>
        <x:v>0</x:v>
      </x:c>
      <x:c r="O170" s="188" t="n">
        <x:f>IF(F170=1,'01_ВВОД'!$D$34,IF(D170&lt;=5,'01_ВВОД'!$D$32,'01_ВВОД'!$D$33))</x:f>
        <x:v>30</x:v>
      </x:c>
      <x:c r="P170" s="188" t="n">
        <x:f>O170</x:f>
        <x:v>30</x:v>
      </x:c>
      <x:c r="Q170" s="188" t="n">
        <x:f>'01_ВВОД'!$D$40</x:f>
        <x:v>12</x:v>
      </x:c>
      <x:c r="R170" s="188" t="n">
        <x:f>'01_ВВОД'!$D$46</x:f>
        <x:v>20</x:v>
      </x:c>
      <x:c r="S170" s="188" t="n">
        <x:f>H170</x:f>
        <x:v>0</x:v>
      </x:c>
      <x:c r="T170" s="188" t="n">
        <x:f>IF(H170=1,M170+N170+P170+Q170,0)</x:f>
        <x:v>0</x:v>
      </x:c>
      <x:c r="U170" t="n">
        <x:f>'01_ВВОД'!$D$120</x:f>
        <x:v>10</x:v>
      </x:c>
      <x:c r="V170" t="n">
        <x:f>ROUNDDOWN(SUM(M170,N170,R170,U170)*'01_ВВОД'!$D$127,0)</x:f>
        <x:v>55</x:v>
      </x:c>
      <x:c r="W170" t="n">
        <x:f>ROUNDDOWN(SUM(L170,N170,R170,U170)*'01_ВВОД'!$D$127,0)</x:f>
        <x:v>55</x:v>
      </x:c>
    </x:row>
    <x:row r="171">
      <x:c r="A171" s="200" t="n">
        <x:v>46432</x:v>
      </x:c>
      <x:c r="B171" s="201" t="n">
        <x:v>6</x:v>
      </x:c>
      <x:c r="C171" s="201" t="inlineStr">
        <x:is>
          <x:t xml:space="preserve">Фев-27</x:t>
        </x:is>
      </x:c>
      <x:c r="D171" s="201" t="n">
        <x:v>7</x:v>
      </x:c>
      <x:c r="E171" s="201" t="inlineStr">
        <x:is>
          <x:t xml:space="preserve">Вс</x:t>
        </x:is>
      </x:c>
      <x:c r="F171" s="199" t="n">
        <x:v>0</x:v>
      </x:c>
      <x:c r="G171" s="201" t="str"/>
      <x:c r="H171" s="193" t="n">
        <x:v>0</x:v>
      </x:c>
      <x:c r="I171" s="201" t="str"/>
      <x:c r="J171" s="188" t="n">
        <x:f>1</x:f>
        <x:v>1</x:v>
      </x:c>
      <x:c r="K171" s="188" t="n">
        <x:f>IF(AND(D171&lt;=5,F171=0),1,0)</x:f>
        <x:v>0</x:v>
      </x:c>
      <x:c r="L171" s="188" t="n">
        <x:f>IF(F171=1,'01_ВВОД'!$D$23,CHOOSE(D171,'01_ВВОД'!$D$19,'01_ВВОД'!$D$19,'01_ВВОД'!$D$19,'01_ВВОД'!$D$19,'01_ВВОД'!$D$20,'01_ВВОД'!$D$21,'01_ВВОД'!$D$22))</x:f>
        <x:v>70</x:v>
      </x:c>
      <x:c r="M171" s="188" t="n">
        <x:f>L171*IF(H171=1,'01_ВВОД'!$D$118,1)</x:f>
        <x:v>70</x:v>
      </x:c>
      <x:c r="N171" s="188" t="n">
        <x:f>IF(K171=1,'01_ВВОД'!$D$26,0)</x:f>
        <x:v>0</x:v>
      </x:c>
      <x:c r="O171" s="188" t="n">
        <x:f>IF(F171=1,'01_ВВОД'!$D$34,IF(D171&lt;=5,'01_ВВОД'!$D$32,'01_ВВОД'!$D$33))</x:f>
        <x:v>30</x:v>
      </x:c>
      <x:c r="P171" s="188" t="n">
        <x:f>O171</x:f>
        <x:v>30</x:v>
      </x:c>
      <x:c r="Q171" s="188" t="n">
        <x:f>'01_ВВОД'!$D$40</x:f>
        <x:v>12</x:v>
      </x:c>
      <x:c r="R171" s="188" t="n">
        <x:f>'01_ВВОД'!$D$46</x:f>
        <x:v>20</x:v>
      </x:c>
      <x:c r="S171" s="188" t="n">
        <x:f>H171</x:f>
        <x:v>0</x:v>
      </x:c>
      <x:c r="T171" s="188" t="n">
        <x:f>IF(H171=1,M171+N171+P171+Q171,0)</x:f>
        <x:v>0</x:v>
      </x:c>
      <x:c r="U171" t="n">
        <x:f>'01_ВВОД'!$D$120</x:f>
        <x:v>10</x:v>
      </x:c>
      <x:c r="V171" t="n">
        <x:f>ROUNDDOWN(SUM(M171,N171,R171,U171)*'01_ВВОД'!$D$127,0)</x:f>
        <x:v>50</x:v>
      </x:c>
      <x:c r="W171" t="n">
        <x:f>ROUNDDOWN(SUM(L171,N171,R171,U171)*'01_ВВОД'!$D$127,0)</x:f>
        <x:v>50</x:v>
      </x:c>
    </x:row>
    <x:row r="172">
      <x:c r="A172" s="200" t="n">
        <x:v>46433</x:v>
      </x:c>
      <x:c r="B172" s="201" t="n">
        <x:v>6</x:v>
      </x:c>
      <x:c r="C172" s="201" t="inlineStr">
        <x:is>
          <x:t xml:space="preserve">Фев-27</x:t>
        </x:is>
      </x:c>
      <x:c r="D172" s="201" t="n">
        <x:v>1</x:v>
      </x:c>
      <x:c r="E172" s="201" t="inlineStr">
        <x:is>
          <x:t xml:space="preserve">Пн</x:t>
        </x:is>
      </x:c>
      <x:c r="F172" s="199" t="n">
        <x:v>0</x:v>
      </x:c>
      <x:c r="G172" s="201" t="str"/>
      <x:c r="H172" s="193" t="n">
        <x:v>0</x:v>
      </x:c>
      <x:c r="I172" s="201" t="str"/>
      <x:c r="J172" s="188" t="n">
        <x:f>1</x:f>
        <x:v>1</x:v>
      </x:c>
      <x:c r="K172" s="188" t="n">
        <x:f>IF(AND(D172&lt;=5,F172=0),1,0)</x:f>
        <x:v>1</x:v>
      </x:c>
      <x:c r="L172" s="188" t="n">
        <x:f>IF(F172=1,'01_ВВОД'!$D$23,CHOOSE(D172,'01_ВВОД'!$D$19,'01_ВВОД'!$D$19,'01_ВВОД'!$D$19,'01_ВВОД'!$D$19,'01_ВВОД'!$D$20,'01_ВВОД'!$D$21,'01_ВВОД'!$D$22))</x:f>
        <x:v>32</x:v>
      </x:c>
      <x:c r="M172" s="188" t="n">
        <x:f>L172*IF(H172=1,'01_ВВОД'!$D$118,1)</x:f>
        <x:v>32</x:v>
      </x:c>
      <x:c r="N172" s="188" t="n">
        <x:f>IF(K172=1,'01_ВВОД'!$D$26,0)</x:f>
        <x:v>40</x:v>
      </x:c>
      <x:c r="O172" s="188" t="n">
        <x:f>IF(F172=1,'01_ВВОД'!$D$34,IF(D172&lt;=5,'01_ВВОД'!$D$32,'01_ВВОД'!$D$33))</x:f>
        <x:v>15</x:v>
      </x:c>
      <x:c r="P172" s="188" t="n">
        <x:f>O172</x:f>
        <x:v>15</x:v>
      </x:c>
      <x:c r="Q172" s="188" t="n">
        <x:f>'01_ВВОД'!$D$40</x:f>
        <x:v>12</x:v>
      </x:c>
      <x:c r="R172" s="188" t="n">
        <x:f>'01_ВВОД'!$D$46</x:f>
        <x:v>20</x:v>
      </x:c>
      <x:c r="S172" s="188" t="n">
        <x:f>H172</x:f>
        <x:v>0</x:v>
      </x:c>
      <x:c r="T172" s="188" t="n">
        <x:f>IF(H172=1,M172+N172+P172+Q172,0)</x:f>
        <x:v>0</x:v>
      </x:c>
      <x:c r="U172" t="n">
        <x:f>'01_ВВОД'!$D$120</x:f>
        <x:v>10</x:v>
      </x:c>
      <x:c r="V172" t="n">
        <x:f>ROUNDDOWN(SUM(M172,N172,R172,U172)*'01_ВВОД'!$D$127,0)</x:f>
        <x:v>51</x:v>
      </x:c>
      <x:c r="W172" t="n">
        <x:f>ROUNDDOWN(SUM(L172,N172,R172,U172)*'01_ВВОД'!$D$127,0)</x:f>
        <x:v>51</x:v>
      </x:c>
    </x:row>
    <x:row r="173">
      <x:c r="A173" s="200" t="n">
        <x:v>46434</x:v>
      </x:c>
      <x:c r="B173" s="201" t="n">
        <x:v>6</x:v>
      </x:c>
      <x:c r="C173" s="201" t="inlineStr">
        <x:is>
          <x:t xml:space="preserve">Фев-27</x:t>
        </x:is>
      </x:c>
      <x:c r="D173" s="201" t="n">
        <x:v>2</x:v>
      </x:c>
      <x:c r="E173" s="201" t="inlineStr">
        <x:is>
          <x:t xml:space="preserve">Вт</x:t>
        </x:is>
      </x:c>
      <x:c r="F173" s="199" t="n">
        <x:v>0</x:v>
      </x:c>
      <x:c r="G173" s="201" t="str"/>
      <x:c r="H173" s="193" t="n">
        <x:v>0</x:v>
      </x:c>
      <x:c r="I173" s="201" t="str"/>
      <x:c r="J173" s="188" t="n">
        <x:f>1</x:f>
        <x:v>1</x:v>
      </x:c>
      <x:c r="K173" s="188" t="n">
        <x:f>IF(AND(D173&lt;=5,F173=0),1,0)</x:f>
        <x:v>1</x:v>
      </x:c>
      <x:c r="L173" s="188" t="n">
        <x:f>IF(F173=1,'01_ВВОД'!$D$23,CHOOSE(D173,'01_ВВОД'!$D$19,'01_ВВОД'!$D$19,'01_ВВОД'!$D$19,'01_ВВОД'!$D$19,'01_ВВОД'!$D$20,'01_ВВОД'!$D$21,'01_ВВОД'!$D$22))</x:f>
        <x:v>32</x:v>
      </x:c>
      <x:c r="M173" s="188" t="n">
        <x:f>L173*IF(H173=1,'01_ВВОД'!$D$118,1)</x:f>
        <x:v>32</x:v>
      </x:c>
      <x:c r="N173" s="188" t="n">
        <x:f>IF(K173=1,'01_ВВОД'!$D$26,0)</x:f>
        <x:v>40</x:v>
      </x:c>
      <x:c r="O173" s="188" t="n">
        <x:f>IF(F173=1,'01_ВВОД'!$D$34,IF(D173&lt;=5,'01_ВВОД'!$D$32,'01_ВВОД'!$D$33))</x:f>
        <x:v>15</x:v>
      </x:c>
      <x:c r="P173" s="188" t="n">
        <x:f>O173</x:f>
        <x:v>15</x:v>
      </x:c>
      <x:c r="Q173" s="188" t="n">
        <x:f>'01_ВВОД'!$D$40</x:f>
        <x:v>12</x:v>
      </x:c>
      <x:c r="R173" s="188" t="n">
        <x:f>'01_ВВОД'!$D$46</x:f>
        <x:v>20</x:v>
      </x:c>
      <x:c r="S173" s="188" t="n">
        <x:f>H173</x:f>
        <x:v>0</x:v>
      </x:c>
      <x:c r="T173" s="188" t="n">
        <x:f>IF(H173=1,M173+N173+P173+Q173,0)</x:f>
        <x:v>0</x:v>
      </x:c>
      <x:c r="U173" t="n">
        <x:f>'01_ВВОД'!$D$120</x:f>
        <x:v>10</x:v>
      </x:c>
      <x:c r="V173" t="n">
        <x:f>ROUNDDOWN(SUM(M173,N173,R173,U173)*'01_ВВОД'!$D$127,0)</x:f>
        <x:v>51</x:v>
      </x:c>
      <x:c r="W173" t="n">
        <x:f>ROUNDDOWN(SUM(L173,N173,R173,U173)*'01_ВВОД'!$D$127,0)</x:f>
        <x:v>51</x:v>
      </x:c>
    </x:row>
    <x:row r="174">
      <x:c r="A174" s="200" t="n">
        <x:v>46435</x:v>
      </x:c>
      <x:c r="B174" s="201" t="n">
        <x:v>6</x:v>
      </x:c>
      <x:c r="C174" s="201" t="inlineStr">
        <x:is>
          <x:t xml:space="preserve">Фев-27</x:t>
        </x:is>
      </x:c>
      <x:c r="D174" s="201" t="n">
        <x:v>3</x:v>
      </x:c>
      <x:c r="E174" s="201" t="inlineStr">
        <x:is>
          <x:t xml:space="preserve">Ср</x:t>
        </x:is>
      </x:c>
      <x:c r="F174" s="199" t="n">
        <x:v>0</x:v>
      </x:c>
      <x:c r="G174" s="201" t="str"/>
      <x:c r="H174" s="193" t="n">
        <x:v>0</x:v>
      </x:c>
      <x:c r="I174" s="201" t="str"/>
      <x:c r="J174" s="188" t="n">
        <x:f>1</x:f>
        <x:v>1</x:v>
      </x:c>
      <x:c r="K174" s="188" t="n">
        <x:f>IF(AND(D174&lt;=5,F174=0),1,0)</x:f>
        <x:v>1</x:v>
      </x:c>
      <x:c r="L174" s="188" t="n">
        <x:f>IF(F174=1,'01_ВВОД'!$D$23,CHOOSE(D174,'01_ВВОД'!$D$19,'01_ВВОД'!$D$19,'01_ВВОД'!$D$19,'01_ВВОД'!$D$19,'01_ВВОД'!$D$20,'01_ВВОД'!$D$21,'01_ВВОД'!$D$22))</x:f>
        <x:v>32</x:v>
      </x:c>
      <x:c r="M174" s="188" t="n">
        <x:f>L174*IF(H174=1,'01_ВВОД'!$D$118,1)</x:f>
        <x:v>32</x:v>
      </x:c>
      <x:c r="N174" s="188" t="n">
        <x:f>IF(K174=1,'01_ВВОД'!$D$26,0)</x:f>
        <x:v>40</x:v>
      </x:c>
      <x:c r="O174" s="188" t="n">
        <x:f>IF(F174=1,'01_ВВОД'!$D$34,IF(D174&lt;=5,'01_ВВОД'!$D$32,'01_ВВОД'!$D$33))</x:f>
        <x:v>15</x:v>
      </x:c>
      <x:c r="P174" s="188" t="n">
        <x:f>O174</x:f>
        <x:v>15</x:v>
      </x:c>
      <x:c r="Q174" s="188" t="n">
        <x:f>'01_ВВОД'!$D$40</x:f>
        <x:v>12</x:v>
      </x:c>
      <x:c r="R174" s="188" t="n">
        <x:f>'01_ВВОД'!$D$46</x:f>
        <x:v>20</x:v>
      </x:c>
      <x:c r="S174" s="188" t="n">
        <x:f>H174</x:f>
        <x:v>0</x:v>
      </x:c>
      <x:c r="T174" s="188" t="n">
        <x:f>IF(H174=1,M174+N174+P174+Q174,0)</x:f>
        <x:v>0</x:v>
      </x:c>
      <x:c r="U174" t="n">
        <x:f>'01_ВВОД'!$D$120</x:f>
        <x:v>10</x:v>
      </x:c>
      <x:c r="V174" t="n">
        <x:f>ROUNDDOWN(SUM(M174,N174,R174,U174)*'01_ВВОД'!$D$127,0)</x:f>
        <x:v>51</x:v>
      </x:c>
      <x:c r="W174" t="n">
        <x:f>ROUNDDOWN(SUM(L174,N174,R174,U174)*'01_ВВОД'!$D$127,0)</x:f>
        <x:v>51</x:v>
      </x:c>
    </x:row>
    <x:row r="175">
      <x:c r="A175" s="200" t="n">
        <x:v>46436</x:v>
      </x:c>
      <x:c r="B175" s="201" t="n">
        <x:v>6</x:v>
      </x:c>
      <x:c r="C175" s="201" t="inlineStr">
        <x:is>
          <x:t xml:space="preserve">Фев-27</x:t>
        </x:is>
      </x:c>
      <x:c r="D175" s="201" t="n">
        <x:v>4</x:v>
      </x:c>
      <x:c r="E175" s="201" t="inlineStr">
        <x:is>
          <x:t xml:space="preserve">Чт</x:t>
        </x:is>
      </x:c>
      <x:c r="F175" s="199" t="n">
        <x:v>0</x:v>
      </x:c>
      <x:c r="G175" s="201" t="str"/>
      <x:c r="H175" s="193" t="n">
        <x:v>0</x:v>
      </x:c>
      <x:c r="I175" s="201" t="str"/>
      <x:c r="J175" s="188" t="n">
        <x:f>1</x:f>
        <x:v>1</x:v>
      </x:c>
      <x:c r="K175" s="188" t="n">
        <x:f>IF(AND(D175&lt;=5,F175=0),1,0)</x:f>
        <x:v>1</x:v>
      </x:c>
      <x:c r="L175" s="188" t="n">
        <x:f>IF(F175=1,'01_ВВОД'!$D$23,CHOOSE(D175,'01_ВВОД'!$D$19,'01_ВВОД'!$D$19,'01_ВВОД'!$D$19,'01_ВВОД'!$D$19,'01_ВВОД'!$D$20,'01_ВВОД'!$D$21,'01_ВВОД'!$D$22))</x:f>
        <x:v>32</x:v>
      </x:c>
      <x:c r="M175" s="188" t="n">
        <x:f>L175*IF(H175=1,'01_ВВОД'!$D$118,1)</x:f>
        <x:v>32</x:v>
      </x:c>
      <x:c r="N175" s="188" t="n">
        <x:f>IF(K175=1,'01_ВВОД'!$D$26,0)</x:f>
        <x:v>40</x:v>
      </x:c>
      <x:c r="O175" s="188" t="n">
        <x:f>IF(F175=1,'01_ВВОД'!$D$34,IF(D175&lt;=5,'01_ВВОД'!$D$32,'01_ВВОД'!$D$33))</x:f>
        <x:v>15</x:v>
      </x:c>
      <x:c r="P175" s="188" t="n">
        <x:f>O175</x:f>
        <x:v>15</x:v>
      </x:c>
      <x:c r="Q175" s="188" t="n">
        <x:f>'01_ВВОД'!$D$40</x:f>
        <x:v>12</x:v>
      </x:c>
      <x:c r="R175" s="188" t="n">
        <x:f>'01_ВВОД'!$D$46</x:f>
        <x:v>20</x:v>
      </x:c>
      <x:c r="S175" s="188" t="n">
        <x:f>H175</x:f>
        <x:v>0</x:v>
      </x:c>
      <x:c r="T175" s="188" t="n">
        <x:f>IF(H175=1,M175+N175+P175+Q175,0)</x:f>
        <x:v>0</x:v>
      </x:c>
      <x:c r="U175" t="n">
        <x:f>'01_ВВОД'!$D$120</x:f>
        <x:v>10</x:v>
      </x:c>
      <x:c r="V175" t="n">
        <x:f>ROUNDDOWN(SUM(M175,N175,R175,U175)*'01_ВВОД'!$D$127,0)</x:f>
        <x:v>51</x:v>
      </x:c>
      <x:c r="W175" t="n">
        <x:f>ROUNDDOWN(SUM(L175,N175,R175,U175)*'01_ВВОД'!$D$127,0)</x:f>
        <x:v>51</x:v>
      </x:c>
    </x:row>
    <x:row r="176">
      <x:c r="A176" s="200" t="n">
        <x:v>46437</x:v>
      </x:c>
      <x:c r="B176" s="201" t="n">
        <x:v>6</x:v>
      </x:c>
      <x:c r="C176" s="201" t="inlineStr">
        <x:is>
          <x:t xml:space="preserve">Фев-27</x:t>
        </x:is>
      </x:c>
      <x:c r="D176" s="201" t="n">
        <x:v>5</x:v>
      </x:c>
      <x:c r="E176" s="201" t="inlineStr">
        <x:is>
          <x:t xml:space="preserve">Пт</x:t>
        </x:is>
      </x:c>
      <x:c r="F176" s="199" t="n">
        <x:v>0</x:v>
      </x:c>
      <x:c r="G176" s="201" t="str"/>
      <x:c r="H176" s="193" t="n">
        <x:v>1</x:v>
      </x:c>
      <x:c r="I176" s="201" t="inlineStr">
        <x:is>
          <x:t xml:space="preserve">Пт–Вс</x:t>
        </x:is>
      </x:c>
      <x:c r="J176" s="188" t="n">
        <x:f>1</x:f>
        <x:v>1</x:v>
      </x:c>
      <x:c r="K176" s="188" t="n">
        <x:f>IF(AND(D176&lt;=5,F176=0),1,0)</x:f>
        <x:v>1</x:v>
      </x:c>
      <x:c r="L176" s="188" t="n">
        <x:f>IF(F176=1,'01_ВВОД'!$D$23,CHOOSE(D176,'01_ВВОД'!$D$19,'01_ВВОД'!$D$19,'01_ВВОД'!$D$19,'01_ВВОД'!$D$19,'01_ВВОД'!$D$20,'01_ВВОД'!$D$21,'01_ВВОД'!$D$22))</x:f>
        <x:v>45</x:v>
      </x:c>
      <x:c r="M176" s="188" t="n">
        <x:f>L176*IF(H176=1,'01_ВВОД'!$D$118,1)</x:f>
        <x:v>9</x:v>
      </x:c>
      <x:c r="N176" s="188" t="n">
        <x:f>IF(K176=1,'01_ВВОД'!$D$26,0)</x:f>
        <x:v>40</x:v>
      </x:c>
      <x:c r="O176" s="188" t="n">
        <x:f>IF(F176=1,'01_ВВОД'!$D$34,IF(D176&lt;=5,'01_ВВОД'!$D$32,'01_ВВОД'!$D$33))</x:f>
        <x:v>15</x:v>
      </x:c>
      <x:c r="P176" s="188" t="n">
        <x:f>O176</x:f>
        <x:v>15</x:v>
      </x:c>
      <x:c r="Q176" s="188" t="n">
        <x:f>'01_ВВОД'!$D$40</x:f>
        <x:v>12</x:v>
      </x:c>
      <x:c r="R176" s="188" t="n">
        <x:f>'01_ВВОД'!$D$46</x:f>
        <x:v>20</x:v>
      </x:c>
      <x:c r="S176" s="188" t="n">
        <x:f>H176</x:f>
        <x:v>1</x:v>
      </x:c>
      <x:c r="T176" s="188" t="n">
        <x:f>IF(H176=1,M176+N176+P176+Q176,0)</x:f>
        <x:v>76</x:v>
      </x:c>
      <x:c r="U176" t="n">
        <x:f>'01_ВВОД'!$D$120</x:f>
        <x:v>10</x:v>
      </x:c>
      <x:c r="V176" t="n">
        <x:f>ROUNDDOWN(SUM(M176,N176,R176,U176)*'01_ВВОД'!$D$127,0)</x:f>
        <x:v>39</x:v>
      </x:c>
      <x:c r="W176" t="n">
        <x:f>ROUNDDOWN(SUM(L176,N176,R176,U176)*'01_ВВОД'!$D$127,0)</x:f>
        <x:v>57</x:v>
      </x:c>
    </x:row>
    <x:row r="177">
      <x:c r="A177" s="200" t="n">
        <x:v>46438</x:v>
      </x:c>
      <x:c r="B177" s="201" t="n">
        <x:v>6</x:v>
      </x:c>
      <x:c r="C177" s="201" t="inlineStr">
        <x:is>
          <x:t xml:space="preserve">Фев-27</x:t>
        </x:is>
      </x:c>
      <x:c r="D177" s="201" t="n">
        <x:v>6</x:v>
      </x:c>
      <x:c r="E177" s="201" t="inlineStr">
        <x:is>
          <x:t xml:space="preserve">Сб</x:t>
        </x:is>
      </x:c>
      <x:c r="F177" s="199" t="n">
        <x:v>0</x:v>
      </x:c>
      <x:c r="G177" s="201" t="str"/>
      <x:c r="H177" s="193" t="n">
        <x:v>0</x:v>
      </x:c>
      <x:c r="I177" s="201" t="str"/>
      <x:c r="J177" s="188" t="n">
        <x:f>1</x:f>
        <x:v>1</x:v>
      </x:c>
      <x:c r="K177" s="188" t="n">
        <x:f>IF(AND(D177&lt;=5,F177=0),1,0)</x:f>
        <x:v>0</x:v>
      </x:c>
      <x:c r="L177" s="188" t="n">
        <x:f>IF(F177=1,'01_ВВОД'!$D$23,CHOOSE(D177,'01_ВВОД'!$D$19,'01_ВВОД'!$D$19,'01_ВВОД'!$D$19,'01_ВВОД'!$D$19,'01_ВВОД'!$D$20,'01_ВВОД'!$D$21,'01_ВВОД'!$D$22))</x:f>
        <x:v>80</x:v>
      </x:c>
      <x:c r="M177" s="188" t="n">
        <x:f>L177*IF(H177=1,'01_ВВОД'!$D$118,1)</x:f>
        <x:v>80</x:v>
      </x:c>
      <x:c r="N177" s="188" t="n">
        <x:f>IF(K177=1,'01_ВВОД'!$D$26,0)</x:f>
        <x:v>0</x:v>
      </x:c>
      <x:c r="O177" s="188" t="n">
        <x:f>IF(F177=1,'01_ВВОД'!$D$34,IF(D177&lt;=5,'01_ВВОД'!$D$32,'01_ВВОД'!$D$33))</x:f>
        <x:v>30</x:v>
      </x:c>
      <x:c r="P177" s="188" t="n">
        <x:f>O177</x:f>
        <x:v>30</x:v>
      </x:c>
      <x:c r="Q177" s="188" t="n">
        <x:f>'01_ВВОД'!$D$40</x:f>
        <x:v>12</x:v>
      </x:c>
      <x:c r="R177" s="188" t="n">
        <x:f>'01_ВВОД'!$D$46</x:f>
        <x:v>20</x:v>
      </x:c>
      <x:c r="S177" s="188" t="n">
        <x:f>H177</x:f>
        <x:v>0</x:v>
      </x:c>
      <x:c r="T177" s="188" t="n">
        <x:f>IF(H177=1,M177+N177+P177+Q177,0)</x:f>
        <x:v>0</x:v>
      </x:c>
      <x:c r="U177" t="n">
        <x:f>'01_ВВОД'!$D$120</x:f>
        <x:v>10</x:v>
      </x:c>
      <x:c r="V177" t="n">
        <x:f>ROUNDDOWN(SUM(M177,N177,R177,U177)*'01_ВВОД'!$D$127,0)</x:f>
        <x:v>55</x:v>
      </x:c>
      <x:c r="W177" t="n">
        <x:f>ROUNDDOWN(SUM(L177,N177,R177,U177)*'01_ВВОД'!$D$127,0)</x:f>
        <x:v>55</x:v>
      </x:c>
    </x:row>
    <x:row r="178">
      <x:c r="A178" s="200" t="n">
        <x:v>46439</x:v>
      </x:c>
      <x:c r="B178" s="201" t="n">
        <x:v>6</x:v>
      </x:c>
      <x:c r="C178" s="201" t="inlineStr">
        <x:is>
          <x:t xml:space="preserve">Фев-27</x:t>
        </x:is>
      </x:c>
      <x:c r="D178" s="201" t="n">
        <x:v>7</x:v>
      </x:c>
      <x:c r="E178" s="201" t="inlineStr">
        <x:is>
          <x:t xml:space="preserve">Вс</x:t>
        </x:is>
      </x:c>
      <x:c r="F178" s="199" t="n">
        <x:v>0</x:v>
      </x:c>
      <x:c r="G178" s="201" t="str"/>
      <x:c r="H178" s="193" t="n">
        <x:v>0</x:v>
      </x:c>
      <x:c r="I178" s="201" t="str"/>
      <x:c r="J178" s="188" t="n">
        <x:f>1</x:f>
        <x:v>1</x:v>
      </x:c>
      <x:c r="K178" s="188" t="n">
        <x:f>IF(AND(D178&lt;=5,F178=0),1,0)</x:f>
        <x:v>0</x:v>
      </x:c>
      <x:c r="L178" s="188" t="n">
        <x:f>IF(F178=1,'01_ВВОД'!$D$23,CHOOSE(D178,'01_ВВОД'!$D$19,'01_ВВОД'!$D$19,'01_ВВОД'!$D$19,'01_ВВОД'!$D$19,'01_ВВОД'!$D$20,'01_ВВОД'!$D$21,'01_ВВОД'!$D$22))</x:f>
        <x:v>70</x:v>
      </x:c>
      <x:c r="M178" s="188" t="n">
        <x:f>L178*IF(H178=1,'01_ВВОД'!$D$118,1)</x:f>
        <x:v>70</x:v>
      </x:c>
      <x:c r="N178" s="188" t="n">
        <x:f>IF(K178=1,'01_ВВОД'!$D$26,0)</x:f>
        <x:v>0</x:v>
      </x:c>
      <x:c r="O178" s="188" t="n">
        <x:f>IF(F178=1,'01_ВВОД'!$D$34,IF(D178&lt;=5,'01_ВВОД'!$D$32,'01_ВВОД'!$D$33))</x:f>
        <x:v>30</x:v>
      </x:c>
      <x:c r="P178" s="188" t="n">
        <x:f>O178</x:f>
        <x:v>30</x:v>
      </x:c>
      <x:c r="Q178" s="188" t="n">
        <x:f>'01_ВВОД'!$D$40</x:f>
        <x:v>12</x:v>
      </x:c>
      <x:c r="R178" s="188" t="n">
        <x:f>'01_ВВОД'!$D$46</x:f>
        <x:v>20</x:v>
      </x:c>
      <x:c r="S178" s="188" t="n">
        <x:f>H178</x:f>
        <x:v>0</x:v>
      </x:c>
      <x:c r="T178" s="188" t="n">
        <x:f>IF(H178=1,M178+N178+P178+Q178,0)</x:f>
        <x:v>0</x:v>
      </x:c>
      <x:c r="U178" t="n">
        <x:f>'01_ВВОД'!$D$120</x:f>
        <x:v>10</x:v>
      </x:c>
      <x:c r="V178" t="n">
        <x:f>ROUNDDOWN(SUM(M178,N178,R178,U178)*'01_ВВОД'!$D$127,0)</x:f>
        <x:v>50</x:v>
      </x:c>
      <x:c r="W178" t="n">
        <x:f>ROUNDDOWN(SUM(L178,N178,R178,U178)*'01_ВВОД'!$D$127,0)</x:f>
        <x:v>50</x:v>
      </x:c>
    </x:row>
    <x:row r="179">
      <x:c r="A179" s="200" t="n">
        <x:v>46440</x:v>
      </x:c>
      <x:c r="B179" s="201" t="n">
        <x:v>6</x:v>
      </x:c>
      <x:c r="C179" s="201" t="inlineStr">
        <x:is>
          <x:t xml:space="preserve">Фев-27</x:t>
        </x:is>
      </x:c>
      <x:c r="D179" s="201" t="n">
        <x:v>1</x:v>
      </x:c>
      <x:c r="E179" s="201" t="inlineStr">
        <x:is>
          <x:t xml:space="preserve">Пн</x:t>
        </x:is>
      </x:c>
      <x:c r="F179" s="199" t="n">
        <x:v>0</x:v>
      </x:c>
      <x:c r="G179" s="201" t="str"/>
      <x:c r="H179" s="193" t="n">
        <x:v>0</x:v>
      </x:c>
      <x:c r="I179" s="201" t="str"/>
      <x:c r="J179" s="188" t="n">
        <x:f>1</x:f>
        <x:v>1</x:v>
      </x:c>
      <x:c r="K179" s="188" t="n">
        <x:f>IF(AND(D179&lt;=5,F179=0),1,0)</x:f>
        <x:v>1</x:v>
      </x:c>
      <x:c r="L179" s="188" t="n">
        <x:f>IF(F179=1,'01_ВВОД'!$D$23,CHOOSE(D179,'01_ВВОД'!$D$19,'01_ВВОД'!$D$19,'01_ВВОД'!$D$19,'01_ВВОД'!$D$19,'01_ВВОД'!$D$20,'01_ВВОД'!$D$21,'01_ВВОД'!$D$22))</x:f>
        <x:v>32</x:v>
      </x:c>
      <x:c r="M179" s="188" t="n">
        <x:f>L179*IF(H179=1,'01_ВВОД'!$D$118,1)</x:f>
        <x:v>32</x:v>
      </x:c>
      <x:c r="N179" s="188" t="n">
        <x:f>IF(K179=1,'01_ВВОД'!$D$26,0)</x:f>
        <x:v>40</x:v>
      </x:c>
      <x:c r="O179" s="188" t="n">
        <x:f>IF(F179=1,'01_ВВОД'!$D$34,IF(D179&lt;=5,'01_ВВОД'!$D$32,'01_ВВОД'!$D$33))</x:f>
        <x:v>15</x:v>
      </x:c>
      <x:c r="P179" s="188" t="n">
        <x:f>O179</x:f>
        <x:v>15</x:v>
      </x:c>
      <x:c r="Q179" s="188" t="n">
        <x:f>'01_ВВОД'!$D$40</x:f>
        <x:v>12</x:v>
      </x:c>
      <x:c r="R179" s="188" t="n">
        <x:f>'01_ВВОД'!$D$46</x:f>
        <x:v>20</x:v>
      </x:c>
      <x:c r="S179" s="188" t="n">
        <x:f>H179</x:f>
        <x:v>0</x:v>
      </x:c>
      <x:c r="T179" s="188" t="n">
        <x:f>IF(H179=1,M179+N179+P179+Q179,0)</x:f>
        <x:v>0</x:v>
      </x:c>
      <x:c r="U179" t="n">
        <x:f>'01_ВВОД'!$D$120</x:f>
        <x:v>10</x:v>
      </x:c>
      <x:c r="V179" t="n">
        <x:f>ROUNDDOWN(SUM(M179,N179,R179,U179)*'01_ВВОД'!$D$127,0)</x:f>
        <x:v>51</x:v>
      </x:c>
      <x:c r="W179" t="n">
        <x:f>ROUNDDOWN(SUM(L179,N179,R179,U179)*'01_ВВОД'!$D$127,0)</x:f>
        <x:v>51</x:v>
      </x:c>
    </x:row>
    <x:row r="180">
      <x:c r="A180" s="200" t="n">
        <x:v>46441</x:v>
      </x:c>
      <x:c r="B180" s="201" t="n">
        <x:v>6</x:v>
      </x:c>
      <x:c r="C180" s="201" t="inlineStr">
        <x:is>
          <x:t xml:space="preserve">Фев-27</x:t>
        </x:is>
      </x:c>
      <x:c r="D180" s="201" t="n">
        <x:v>2</x:v>
      </x:c>
      <x:c r="E180" s="201" t="inlineStr">
        <x:is>
          <x:t xml:space="preserve">Вт</x:t>
        </x:is>
      </x:c>
      <x:c r="F180" s="199" t="n">
        <x:v>1</x:v>
      </x:c>
      <x:c r="G180" s="201" t="inlineStr">
        <x:is>
          <x:t xml:space="preserve">Фиксированный праздник 2027; переносы уточнить</x:t>
        </x:is>
      </x:c>
      <x:c r="H180" s="193" t="n">
        <x:v>0</x:v>
      </x:c>
      <x:c r="I180" s="201" t="str"/>
      <x:c r="J180" s="188" t="n">
        <x:f>1</x:f>
        <x:v>1</x:v>
      </x:c>
      <x:c r="K180" s="188" t="n">
        <x:f>IF(AND(D180&lt;=5,F180=0),1,0)</x:f>
        <x:v>0</x:v>
      </x:c>
      <x:c r="L180" s="188" t="n">
        <x:f>IF(F180=1,'01_ВВОД'!$D$23,CHOOSE(D180,'01_ВВОД'!$D$19,'01_ВВОД'!$D$19,'01_ВВОД'!$D$19,'01_ВВОД'!$D$19,'01_ВВОД'!$D$20,'01_ВВОД'!$D$21,'01_ВВОД'!$D$22))</x:f>
        <x:v>70</x:v>
      </x:c>
      <x:c r="M180" s="188" t="n">
        <x:f>L180*IF(H180=1,'01_ВВОД'!$D$118,1)</x:f>
        <x:v>70</x:v>
      </x:c>
      <x:c r="N180" s="188" t="n">
        <x:f>IF(K180=1,'01_ВВОД'!$D$26,0)</x:f>
        <x:v>0</x:v>
      </x:c>
      <x:c r="O180" s="188" t="n">
        <x:f>IF(F180=1,'01_ВВОД'!$D$34,IF(D180&lt;=5,'01_ВВОД'!$D$32,'01_ВВОД'!$D$33))</x:f>
        <x:v>30</x:v>
      </x:c>
      <x:c r="P180" s="188" t="n">
        <x:f>O180</x:f>
        <x:v>30</x:v>
      </x:c>
      <x:c r="Q180" s="188" t="n">
        <x:f>'01_ВВОД'!$D$40</x:f>
        <x:v>12</x:v>
      </x:c>
      <x:c r="R180" s="188" t="n">
        <x:f>'01_ВВОД'!$D$46</x:f>
        <x:v>20</x:v>
      </x:c>
      <x:c r="S180" s="188" t="n">
        <x:f>H180</x:f>
        <x:v>0</x:v>
      </x:c>
      <x:c r="T180" s="188" t="n">
        <x:f>IF(H180=1,M180+N180+P180+Q180,0)</x:f>
        <x:v>0</x:v>
      </x:c>
      <x:c r="U180" t="n">
        <x:f>'01_ВВОД'!$D$120</x:f>
        <x:v>10</x:v>
      </x:c>
      <x:c r="V180" t="n">
        <x:f>ROUNDDOWN(SUM(M180,N180,R180,U180)*'01_ВВОД'!$D$127,0)</x:f>
        <x:v>50</x:v>
      </x:c>
      <x:c r="W180" t="n">
        <x:f>ROUNDDOWN(SUM(L180,N180,R180,U180)*'01_ВВОД'!$D$127,0)</x:f>
        <x:v>50</x:v>
      </x:c>
    </x:row>
    <x:row r="181">
      <x:c r="A181" s="200" t="n">
        <x:v>46442</x:v>
      </x:c>
      <x:c r="B181" s="201" t="n">
        <x:v>6</x:v>
      </x:c>
      <x:c r="C181" s="201" t="inlineStr">
        <x:is>
          <x:t xml:space="preserve">Фев-27</x:t>
        </x:is>
      </x:c>
      <x:c r="D181" s="201" t="n">
        <x:v>3</x:v>
      </x:c>
      <x:c r="E181" s="201" t="inlineStr">
        <x:is>
          <x:t xml:space="preserve">Ср</x:t>
        </x:is>
      </x:c>
      <x:c r="F181" s="199" t="n">
        <x:v>0</x:v>
      </x:c>
      <x:c r="G181" s="201" t="str"/>
      <x:c r="H181" s="193" t="n">
        <x:v>0</x:v>
      </x:c>
      <x:c r="I181" s="201" t="str"/>
      <x:c r="J181" s="188" t="n">
        <x:f>1</x:f>
        <x:v>1</x:v>
      </x:c>
      <x:c r="K181" s="188" t="n">
        <x:f>IF(AND(D181&lt;=5,F181=0),1,0)</x:f>
        <x:v>1</x:v>
      </x:c>
      <x:c r="L181" s="188" t="n">
        <x:f>IF(F181=1,'01_ВВОД'!$D$23,CHOOSE(D181,'01_ВВОД'!$D$19,'01_ВВОД'!$D$19,'01_ВВОД'!$D$19,'01_ВВОД'!$D$19,'01_ВВОД'!$D$20,'01_ВВОД'!$D$21,'01_ВВОД'!$D$22))</x:f>
        <x:v>32</x:v>
      </x:c>
      <x:c r="M181" s="188" t="n">
        <x:f>L181*IF(H181=1,'01_ВВОД'!$D$118,1)</x:f>
        <x:v>32</x:v>
      </x:c>
      <x:c r="N181" s="188" t="n">
        <x:f>IF(K181=1,'01_ВВОД'!$D$26,0)</x:f>
        <x:v>40</x:v>
      </x:c>
      <x:c r="O181" s="188" t="n">
        <x:f>IF(F181=1,'01_ВВОД'!$D$34,IF(D181&lt;=5,'01_ВВОД'!$D$32,'01_ВВОД'!$D$33))</x:f>
        <x:v>15</x:v>
      </x:c>
      <x:c r="P181" s="188" t="n">
        <x:f>O181</x:f>
        <x:v>15</x:v>
      </x:c>
      <x:c r="Q181" s="188" t="n">
        <x:f>'01_ВВОД'!$D$40</x:f>
        <x:v>12</x:v>
      </x:c>
      <x:c r="R181" s="188" t="n">
        <x:f>'01_ВВОД'!$D$46</x:f>
        <x:v>20</x:v>
      </x:c>
      <x:c r="S181" s="188" t="n">
        <x:f>H181</x:f>
        <x:v>0</x:v>
      </x:c>
      <x:c r="T181" s="188" t="n">
        <x:f>IF(H181=1,M181+N181+P181+Q181,0)</x:f>
        <x:v>0</x:v>
      </x:c>
      <x:c r="U181" t="n">
        <x:f>'01_ВВОД'!$D$120</x:f>
        <x:v>10</x:v>
      </x:c>
      <x:c r="V181" t="n">
        <x:f>ROUNDDOWN(SUM(M181,N181,R181,U181)*'01_ВВОД'!$D$127,0)</x:f>
        <x:v>51</x:v>
      </x:c>
      <x:c r="W181" t="n">
        <x:f>ROUNDDOWN(SUM(L181,N181,R181,U181)*'01_ВВОД'!$D$127,0)</x:f>
        <x:v>51</x:v>
      </x:c>
    </x:row>
    <x:row r="182">
      <x:c r="A182" s="200" t="n">
        <x:v>46443</x:v>
      </x:c>
      <x:c r="B182" s="201" t="n">
        <x:v>6</x:v>
      </x:c>
      <x:c r="C182" s="201" t="inlineStr">
        <x:is>
          <x:t xml:space="preserve">Фев-27</x:t>
        </x:is>
      </x:c>
      <x:c r="D182" s="201" t="n">
        <x:v>4</x:v>
      </x:c>
      <x:c r="E182" s="201" t="inlineStr">
        <x:is>
          <x:t xml:space="preserve">Чт</x:t>
        </x:is>
      </x:c>
      <x:c r="F182" s="199" t="n">
        <x:v>0</x:v>
      </x:c>
      <x:c r="G182" s="201" t="str"/>
      <x:c r="H182" s="193" t="n">
        <x:v>0</x:v>
      </x:c>
      <x:c r="I182" s="201" t="str"/>
      <x:c r="J182" s="188" t="n">
        <x:f>1</x:f>
        <x:v>1</x:v>
      </x:c>
      <x:c r="K182" s="188" t="n">
        <x:f>IF(AND(D182&lt;=5,F182=0),1,0)</x:f>
        <x:v>1</x:v>
      </x:c>
      <x:c r="L182" s="188" t="n">
        <x:f>IF(F182=1,'01_ВВОД'!$D$23,CHOOSE(D182,'01_ВВОД'!$D$19,'01_ВВОД'!$D$19,'01_ВВОД'!$D$19,'01_ВВОД'!$D$19,'01_ВВОД'!$D$20,'01_ВВОД'!$D$21,'01_ВВОД'!$D$22))</x:f>
        <x:v>32</x:v>
      </x:c>
      <x:c r="M182" s="188" t="n">
        <x:f>L182*IF(H182=1,'01_ВВОД'!$D$118,1)</x:f>
        <x:v>32</x:v>
      </x:c>
      <x:c r="N182" s="188" t="n">
        <x:f>IF(K182=1,'01_ВВОД'!$D$26,0)</x:f>
        <x:v>40</x:v>
      </x:c>
      <x:c r="O182" s="188" t="n">
        <x:f>IF(F182=1,'01_ВВОД'!$D$34,IF(D182&lt;=5,'01_ВВОД'!$D$32,'01_ВВОД'!$D$33))</x:f>
        <x:v>15</x:v>
      </x:c>
      <x:c r="P182" s="188" t="n">
        <x:f>O182</x:f>
        <x:v>15</x:v>
      </x:c>
      <x:c r="Q182" s="188" t="n">
        <x:f>'01_ВВОД'!$D$40</x:f>
        <x:v>12</x:v>
      </x:c>
      <x:c r="R182" s="188" t="n">
        <x:f>'01_ВВОД'!$D$46</x:f>
        <x:v>20</x:v>
      </x:c>
      <x:c r="S182" s="188" t="n">
        <x:f>H182</x:f>
        <x:v>0</x:v>
      </x:c>
      <x:c r="T182" s="188" t="n">
        <x:f>IF(H182=1,M182+N182+P182+Q182,0)</x:f>
        <x:v>0</x:v>
      </x:c>
      <x:c r="U182" t="n">
        <x:f>'01_ВВОД'!$D$120</x:f>
        <x:v>10</x:v>
      </x:c>
      <x:c r="V182" t="n">
        <x:f>ROUNDDOWN(SUM(M182,N182,R182,U182)*'01_ВВОД'!$D$127,0)</x:f>
        <x:v>51</x:v>
      </x:c>
      <x:c r="W182" t="n">
        <x:f>ROUNDDOWN(SUM(L182,N182,R182,U182)*'01_ВВОД'!$D$127,0)</x:f>
        <x:v>51</x:v>
      </x:c>
    </x:row>
    <x:row r="183">
      <x:c r="A183" s="200" t="n">
        <x:v>46444</x:v>
      </x:c>
      <x:c r="B183" s="201" t="n">
        <x:v>6</x:v>
      </x:c>
      <x:c r="C183" s="201" t="inlineStr">
        <x:is>
          <x:t xml:space="preserve">Фев-27</x:t>
        </x:is>
      </x:c>
      <x:c r="D183" s="201" t="n">
        <x:v>5</x:v>
      </x:c>
      <x:c r="E183" s="201" t="inlineStr">
        <x:is>
          <x:t xml:space="preserve">Пт</x:t>
        </x:is>
      </x:c>
      <x:c r="F183" s="199" t="n">
        <x:v>0</x:v>
      </x:c>
      <x:c r="G183" s="201" t="str"/>
      <x:c r="H183" s="193" t="n">
        <x:v>1</x:v>
      </x:c>
      <x:c r="I183" s="201" t="inlineStr">
        <x:is>
          <x:t xml:space="preserve">Пт–Вс</x:t>
        </x:is>
      </x:c>
      <x:c r="J183" s="188" t="n">
        <x:f>1</x:f>
        <x:v>1</x:v>
      </x:c>
      <x:c r="K183" s="188" t="n">
        <x:f>IF(AND(D183&lt;=5,F183=0),1,0)</x:f>
        <x:v>1</x:v>
      </x:c>
      <x:c r="L183" s="188" t="n">
        <x:f>IF(F183=1,'01_ВВОД'!$D$23,CHOOSE(D183,'01_ВВОД'!$D$19,'01_ВВОД'!$D$19,'01_ВВОД'!$D$19,'01_ВВОД'!$D$19,'01_ВВОД'!$D$20,'01_ВВОД'!$D$21,'01_ВВОД'!$D$22))</x:f>
        <x:v>45</x:v>
      </x:c>
      <x:c r="M183" s="188" t="n">
        <x:f>L183*IF(H183=1,'01_ВВОД'!$D$118,1)</x:f>
        <x:v>9</x:v>
      </x:c>
      <x:c r="N183" s="188" t="n">
        <x:f>IF(K183=1,'01_ВВОД'!$D$26,0)</x:f>
        <x:v>40</x:v>
      </x:c>
      <x:c r="O183" s="188" t="n">
        <x:f>IF(F183=1,'01_ВВОД'!$D$34,IF(D183&lt;=5,'01_ВВОД'!$D$32,'01_ВВОД'!$D$33))</x:f>
        <x:v>15</x:v>
      </x:c>
      <x:c r="P183" s="188" t="n">
        <x:f>O183</x:f>
        <x:v>15</x:v>
      </x:c>
      <x:c r="Q183" s="188" t="n">
        <x:f>'01_ВВОД'!$D$40</x:f>
        <x:v>12</x:v>
      </x:c>
      <x:c r="R183" s="188" t="n">
        <x:f>'01_ВВОД'!$D$46</x:f>
        <x:v>20</x:v>
      </x:c>
      <x:c r="S183" s="188" t="n">
        <x:f>H183</x:f>
        <x:v>1</x:v>
      </x:c>
      <x:c r="T183" s="188" t="n">
        <x:f>IF(H183=1,M183+N183+P183+Q183,0)</x:f>
        <x:v>76</x:v>
      </x:c>
      <x:c r="U183" t="n">
        <x:f>'01_ВВОД'!$D$120</x:f>
        <x:v>10</x:v>
      </x:c>
      <x:c r="V183" t="n">
        <x:f>ROUNDDOWN(SUM(M183,N183,R183,U183)*'01_ВВОД'!$D$127,0)</x:f>
        <x:v>39</x:v>
      </x:c>
      <x:c r="W183" t="n">
        <x:f>ROUNDDOWN(SUM(L183,N183,R183,U183)*'01_ВВОД'!$D$127,0)</x:f>
        <x:v>57</x:v>
      </x:c>
    </x:row>
    <x:row r="184">
      <x:c r="A184" s="200" t="n">
        <x:v>46445</x:v>
      </x:c>
      <x:c r="B184" s="201" t="n">
        <x:v>6</x:v>
      </x:c>
      <x:c r="C184" s="201" t="inlineStr">
        <x:is>
          <x:t xml:space="preserve">Фев-27</x:t>
        </x:is>
      </x:c>
      <x:c r="D184" s="201" t="n">
        <x:v>6</x:v>
      </x:c>
      <x:c r="E184" s="201" t="inlineStr">
        <x:is>
          <x:t xml:space="preserve">Сб</x:t>
        </x:is>
      </x:c>
      <x:c r="F184" s="199" t="n">
        <x:v>0</x:v>
      </x:c>
      <x:c r="G184" s="201" t="str"/>
      <x:c r="H184" s="193" t="n">
        <x:v>1</x:v>
      </x:c>
      <x:c r="I184" s="201" t="inlineStr">
        <x:is>
          <x:t xml:space="preserve">Пт–Вс</x:t>
        </x:is>
      </x:c>
      <x:c r="J184" s="188" t="n">
        <x:f>1</x:f>
        <x:v>1</x:v>
      </x:c>
      <x:c r="K184" s="188" t="n">
        <x:f>IF(AND(D184&lt;=5,F184=0),1,0)</x:f>
        <x:v>0</x:v>
      </x:c>
      <x:c r="L184" s="188" t="n">
        <x:f>IF(F184=1,'01_ВВОД'!$D$23,CHOOSE(D184,'01_ВВОД'!$D$19,'01_ВВОД'!$D$19,'01_ВВОД'!$D$19,'01_ВВОД'!$D$19,'01_ВВОД'!$D$20,'01_ВВОД'!$D$21,'01_ВВОД'!$D$22))</x:f>
        <x:v>80</x:v>
      </x:c>
      <x:c r="M184" s="188" t="n">
        <x:f>L184*IF(H184=1,'01_ВВОД'!$D$118,1)</x:f>
        <x:v>16</x:v>
      </x:c>
      <x:c r="N184" s="188" t="n">
        <x:f>IF(K184=1,'01_ВВОД'!$D$26,0)</x:f>
        <x:v>0</x:v>
      </x:c>
      <x:c r="O184" s="188" t="n">
        <x:f>IF(F184=1,'01_ВВОД'!$D$34,IF(D184&lt;=5,'01_ВВОД'!$D$32,'01_ВВОД'!$D$33))</x:f>
        <x:v>30</x:v>
      </x:c>
      <x:c r="P184" s="188" t="n">
        <x:f>O184</x:f>
        <x:v>30</x:v>
      </x:c>
      <x:c r="Q184" s="188" t="n">
        <x:f>'01_ВВОД'!$D$40</x:f>
        <x:v>12</x:v>
      </x:c>
      <x:c r="R184" s="188" t="n">
        <x:f>'01_ВВОД'!$D$46</x:f>
        <x:v>20</x:v>
      </x:c>
      <x:c r="S184" s="188" t="n">
        <x:f>H184</x:f>
        <x:v>1</x:v>
      </x:c>
      <x:c r="T184" s="188" t="n">
        <x:f>IF(H184=1,M184+N184+P184+Q184,0)</x:f>
        <x:v>58</x:v>
      </x:c>
      <x:c r="U184" t="n">
        <x:f>'01_ВВОД'!$D$120</x:f>
        <x:v>10</x:v>
      </x:c>
      <x:c r="V184" t="n">
        <x:f>ROUNDDOWN(SUM(M184,N184,R184,U184)*'01_ВВОД'!$D$127,0)</x:f>
        <x:v>23</x:v>
      </x:c>
      <x:c r="W184" t="n">
        <x:f>ROUNDDOWN(SUM(L184,N184,R184,U184)*'01_ВВОД'!$D$127,0)</x:f>
        <x:v>55</x:v>
      </x:c>
    </x:row>
    <x:row r="185">
      <x:c r="A185" s="200" t="n">
        <x:v>46446</x:v>
      </x:c>
      <x:c r="B185" s="201" t="n">
        <x:v>6</x:v>
      </x:c>
      <x:c r="C185" s="201" t="inlineStr">
        <x:is>
          <x:t xml:space="preserve">Фев-27</x:t>
        </x:is>
      </x:c>
      <x:c r="D185" s="201" t="n">
        <x:v>7</x:v>
      </x:c>
      <x:c r="E185" s="201" t="inlineStr">
        <x:is>
          <x:t xml:space="preserve">Вс</x:t>
        </x:is>
      </x:c>
      <x:c r="F185" s="199" t="n">
        <x:v>0</x:v>
      </x:c>
      <x:c r="G185" s="201" t="str"/>
      <x:c r="H185" s="193" t="n">
        <x:v>0</x:v>
      </x:c>
      <x:c r="I185" s="201" t="str"/>
      <x:c r="J185" s="188" t="n">
        <x:f>1</x:f>
        <x:v>1</x:v>
      </x:c>
      <x:c r="K185" s="188" t="n">
        <x:f>IF(AND(D185&lt;=5,F185=0),1,0)</x:f>
        <x:v>0</x:v>
      </x:c>
      <x:c r="L185" s="188" t="n">
        <x:f>IF(F185=1,'01_ВВОД'!$D$23,CHOOSE(D185,'01_ВВОД'!$D$19,'01_ВВОД'!$D$19,'01_ВВОД'!$D$19,'01_ВВОД'!$D$19,'01_ВВОД'!$D$20,'01_ВВОД'!$D$21,'01_ВВОД'!$D$22))</x:f>
        <x:v>70</x:v>
      </x:c>
      <x:c r="M185" s="188" t="n">
        <x:f>L185*IF(H185=1,'01_ВВОД'!$D$118,1)</x:f>
        <x:v>70</x:v>
      </x:c>
      <x:c r="N185" s="188" t="n">
        <x:f>IF(K185=1,'01_ВВОД'!$D$26,0)</x:f>
        <x:v>0</x:v>
      </x:c>
      <x:c r="O185" s="188" t="n">
        <x:f>IF(F185=1,'01_ВВОД'!$D$34,IF(D185&lt;=5,'01_ВВОД'!$D$32,'01_ВВОД'!$D$33))</x:f>
        <x:v>30</x:v>
      </x:c>
      <x:c r="P185" s="188" t="n">
        <x:f>O185</x:f>
        <x:v>30</x:v>
      </x:c>
      <x:c r="Q185" s="188" t="n">
        <x:f>'01_ВВОД'!$D$40</x:f>
        <x:v>12</x:v>
      </x:c>
      <x:c r="R185" s="188" t="n">
        <x:f>'01_ВВОД'!$D$46</x:f>
        <x:v>20</x:v>
      </x:c>
      <x:c r="S185" s="188" t="n">
        <x:f>H185</x:f>
        <x:v>0</x:v>
      </x:c>
      <x:c r="T185" s="188" t="n">
        <x:f>IF(H185=1,M185+N185+P185+Q185,0)</x:f>
        <x:v>0</x:v>
      </x:c>
      <x:c r="U185" t="n">
        <x:f>'01_ВВОД'!$D$120</x:f>
        <x:v>10</x:v>
      </x:c>
      <x:c r="V185" t="n">
        <x:f>ROUNDDOWN(SUM(M185,N185,R185,U185)*'01_ВВОД'!$D$127,0)</x:f>
        <x:v>50</x:v>
      </x:c>
      <x:c r="W185" t="n">
        <x:f>ROUNDDOWN(SUM(L185,N185,R185,U185)*'01_ВВОД'!$D$127,0)</x:f>
        <x:v>50</x:v>
      </x:c>
    </x:row>
    <x:row r="186">
      <x:c r="A186" s="200" t="n">
        <x:v>46447</x:v>
      </x:c>
      <x:c r="B186" s="201" t="n">
        <x:v>7</x:v>
      </x:c>
      <x:c r="C186" s="201" t="inlineStr">
        <x:is>
          <x:t xml:space="preserve">Мар-27</x:t>
        </x:is>
      </x:c>
      <x:c r="D186" s="201" t="n">
        <x:v>1</x:v>
      </x:c>
      <x:c r="E186" s="201" t="inlineStr">
        <x:is>
          <x:t xml:space="preserve">Пн</x:t>
        </x:is>
      </x:c>
      <x:c r="F186" s="199" t="n">
        <x:v>0</x:v>
      </x:c>
      <x:c r="G186" s="201" t="str"/>
      <x:c r="H186" s="193" t="n">
        <x:v>0</x:v>
      </x:c>
      <x:c r="I186" s="201" t="str"/>
      <x:c r="J186" s="188" t="n">
        <x:f>1</x:f>
        <x:v>1</x:v>
      </x:c>
      <x:c r="K186" s="188" t="n">
        <x:f>IF(AND(D186&lt;=5,F186=0),1,0)</x:f>
        <x:v>1</x:v>
      </x:c>
      <x:c r="L186" s="188" t="n">
        <x:f>IF(F186=1,'01_ВВОД'!$D$23,CHOOSE(D186,'01_ВВОД'!$D$19,'01_ВВОД'!$D$19,'01_ВВОД'!$D$19,'01_ВВОД'!$D$19,'01_ВВОД'!$D$20,'01_ВВОД'!$D$21,'01_ВВОД'!$D$22))</x:f>
        <x:v>32</x:v>
      </x:c>
      <x:c r="M186" s="188" t="n">
        <x:f>L186*IF(H186=1,'01_ВВОД'!$D$118,1)</x:f>
        <x:v>32</x:v>
      </x:c>
      <x:c r="N186" s="188" t="n">
        <x:f>IF(K186=1,'01_ВВОД'!$D$26,0)</x:f>
        <x:v>40</x:v>
      </x:c>
      <x:c r="O186" s="188" t="n">
        <x:f>IF(F186=1,'01_ВВОД'!$D$34,IF(D186&lt;=5,'01_ВВОД'!$D$32,'01_ВВОД'!$D$33))</x:f>
        <x:v>15</x:v>
      </x:c>
      <x:c r="P186" s="188" t="n">
        <x:f>O186</x:f>
        <x:v>15</x:v>
      </x:c>
      <x:c r="Q186" s="188" t="n">
        <x:f>'01_ВВОД'!$D$40</x:f>
        <x:v>12</x:v>
      </x:c>
      <x:c r="R186" s="188" t="n">
        <x:f>'01_ВВОД'!$D$46</x:f>
        <x:v>20</x:v>
      </x:c>
      <x:c r="S186" s="188" t="n">
        <x:f>H186</x:f>
        <x:v>0</x:v>
      </x:c>
      <x:c r="T186" s="188" t="n">
        <x:f>IF(H186=1,M186+N186+P186+Q186,0)</x:f>
        <x:v>0</x:v>
      </x:c>
      <x:c r="U186" t="n">
        <x:f>'01_ВВОД'!$D$120</x:f>
        <x:v>10</x:v>
      </x:c>
      <x:c r="V186" t="n">
        <x:f>ROUNDDOWN(SUM(M186,N186,R186,U186)*'01_ВВОД'!$D$127,0)</x:f>
        <x:v>51</x:v>
      </x:c>
      <x:c r="W186" t="n">
        <x:f>ROUNDDOWN(SUM(L186,N186,R186,U186)*'01_ВВОД'!$D$127,0)</x:f>
        <x:v>51</x:v>
      </x:c>
    </x:row>
    <x:row r="187">
      <x:c r="A187" s="200" t="n">
        <x:v>46448</x:v>
      </x:c>
      <x:c r="B187" s="201" t="n">
        <x:v>7</x:v>
      </x:c>
      <x:c r="C187" s="201" t="inlineStr">
        <x:is>
          <x:t xml:space="preserve">Мар-27</x:t>
        </x:is>
      </x:c>
      <x:c r="D187" s="201" t="n">
        <x:v>2</x:v>
      </x:c>
      <x:c r="E187" s="201" t="inlineStr">
        <x:is>
          <x:t xml:space="preserve">Вт</x:t>
        </x:is>
      </x:c>
      <x:c r="F187" s="199" t="n">
        <x:v>0</x:v>
      </x:c>
      <x:c r="G187" s="201" t="str"/>
      <x:c r="H187" s="193" t="n">
        <x:v>0</x:v>
      </x:c>
      <x:c r="I187" s="201" t="str"/>
      <x:c r="J187" s="188" t="n">
        <x:f>1</x:f>
        <x:v>1</x:v>
      </x:c>
      <x:c r="K187" s="188" t="n">
        <x:f>IF(AND(D187&lt;=5,F187=0),1,0)</x:f>
        <x:v>1</x:v>
      </x:c>
      <x:c r="L187" s="188" t="n">
        <x:f>IF(F187=1,'01_ВВОД'!$D$23,CHOOSE(D187,'01_ВВОД'!$D$19,'01_ВВОД'!$D$19,'01_ВВОД'!$D$19,'01_ВВОД'!$D$19,'01_ВВОД'!$D$20,'01_ВВОД'!$D$21,'01_ВВОД'!$D$22))</x:f>
        <x:v>32</x:v>
      </x:c>
      <x:c r="M187" s="188" t="n">
        <x:f>L187*IF(H187=1,'01_ВВОД'!$D$118,1)</x:f>
        <x:v>32</x:v>
      </x:c>
      <x:c r="N187" s="188" t="n">
        <x:f>IF(K187=1,'01_ВВОД'!$D$26,0)</x:f>
        <x:v>40</x:v>
      </x:c>
      <x:c r="O187" s="188" t="n">
        <x:f>IF(F187=1,'01_ВВОД'!$D$34,IF(D187&lt;=5,'01_ВВОД'!$D$32,'01_ВВОД'!$D$33))</x:f>
        <x:v>15</x:v>
      </x:c>
      <x:c r="P187" s="188" t="n">
        <x:f>O187</x:f>
        <x:v>15</x:v>
      </x:c>
      <x:c r="Q187" s="188" t="n">
        <x:f>'01_ВВОД'!$D$40</x:f>
        <x:v>12</x:v>
      </x:c>
      <x:c r="R187" s="188" t="n">
        <x:f>'01_ВВОД'!$D$46</x:f>
        <x:v>20</x:v>
      </x:c>
      <x:c r="S187" s="188" t="n">
        <x:f>H187</x:f>
        <x:v>0</x:v>
      </x:c>
      <x:c r="T187" s="188" t="n">
        <x:f>IF(H187=1,M187+N187+P187+Q187,0)</x:f>
        <x:v>0</x:v>
      </x:c>
      <x:c r="U187" t="n">
        <x:f>'01_ВВОД'!$D$120</x:f>
        <x:v>10</x:v>
      </x:c>
      <x:c r="V187" t="n">
        <x:f>ROUNDDOWN(SUM(M187,N187,R187,U187)*'01_ВВОД'!$D$127,0)</x:f>
        <x:v>51</x:v>
      </x:c>
      <x:c r="W187" t="n">
        <x:f>ROUNDDOWN(SUM(L187,N187,R187,U187)*'01_ВВОД'!$D$127,0)</x:f>
        <x:v>51</x:v>
      </x:c>
    </x:row>
    <x:row r="188">
      <x:c r="A188" s="200" t="n">
        <x:v>46449</x:v>
      </x:c>
      <x:c r="B188" s="201" t="n">
        <x:v>7</x:v>
      </x:c>
      <x:c r="C188" s="201" t="inlineStr">
        <x:is>
          <x:t xml:space="preserve">Мар-27</x:t>
        </x:is>
      </x:c>
      <x:c r="D188" s="201" t="n">
        <x:v>3</x:v>
      </x:c>
      <x:c r="E188" s="201" t="inlineStr">
        <x:is>
          <x:t xml:space="preserve">Ср</x:t>
        </x:is>
      </x:c>
      <x:c r="F188" s="199" t="n">
        <x:v>0</x:v>
      </x:c>
      <x:c r="G188" s="201" t="str"/>
      <x:c r="H188" s="193" t="n">
        <x:v>0</x:v>
      </x:c>
      <x:c r="I188" s="201" t="str"/>
      <x:c r="J188" s="188" t="n">
        <x:f>1</x:f>
        <x:v>1</x:v>
      </x:c>
      <x:c r="K188" s="188" t="n">
        <x:f>IF(AND(D188&lt;=5,F188=0),1,0)</x:f>
        <x:v>1</x:v>
      </x:c>
      <x:c r="L188" s="188" t="n">
        <x:f>IF(F188=1,'01_ВВОД'!$D$23,CHOOSE(D188,'01_ВВОД'!$D$19,'01_ВВОД'!$D$19,'01_ВВОД'!$D$19,'01_ВВОД'!$D$19,'01_ВВОД'!$D$20,'01_ВВОД'!$D$21,'01_ВВОД'!$D$22))</x:f>
        <x:v>32</x:v>
      </x:c>
      <x:c r="M188" s="188" t="n">
        <x:f>L188*IF(H188=1,'01_ВВОД'!$D$118,1)</x:f>
        <x:v>32</x:v>
      </x:c>
      <x:c r="N188" s="188" t="n">
        <x:f>IF(K188=1,'01_ВВОД'!$D$26,0)</x:f>
        <x:v>40</x:v>
      </x:c>
      <x:c r="O188" s="188" t="n">
        <x:f>IF(F188=1,'01_ВВОД'!$D$34,IF(D188&lt;=5,'01_ВВОД'!$D$32,'01_ВВОД'!$D$33))</x:f>
        <x:v>15</x:v>
      </x:c>
      <x:c r="P188" s="188" t="n">
        <x:f>O188</x:f>
        <x:v>15</x:v>
      </x:c>
      <x:c r="Q188" s="188" t="n">
        <x:f>'01_ВВОД'!$D$40</x:f>
        <x:v>12</x:v>
      </x:c>
      <x:c r="R188" s="188" t="n">
        <x:f>'01_ВВОД'!$D$46</x:f>
        <x:v>20</x:v>
      </x:c>
      <x:c r="S188" s="188" t="n">
        <x:f>H188</x:f>
        <x:v>0</x:v>
      </x:c>
      <x:c r="T188" s="188" t="n">
        <x:f>IF(H188=1,M188+N188+P188+Q188,0)</x:f>
        <x:v>0</x:v>
      </x:c>
      <x:c r="U188" t="n">
        <x:f>'01_ВВОД'!$D$120</x:f>
        <x:v>10</x:v>
      </x:c>
      <x:c r="V188" t="n">
        <x:f>ROUNDDOWN(SUM(M188,N188,R188,U188)*'01_ВВОД'!$D$127,0)</x:f>
        <x:v>51</x:v>
      </x:c>
      <x:c r="W188" t="n">
        <x:f>ROUNDDOWN(SUM(L188,N188,R188,U188)*'01_ВВОД'!$D$127,0)</x:f>
        <x:v>51</x:v>
      </x:c>
    </x:row>
    <x:row r="189">
      <x:c r="A189" s="200" t="n">
        <x:v>46450</x:v>
      </x:c>
      <x:c r="B189" s="201" t="n">
        <x:v>7</x:v>
      </x:c>
      <x:c r="C189" s="201" t="inlineStr">
        <x:is>
          <x:t xml:space="preserve">Мар-27</x:t>
        </x:is>
      </x:c>
      <x:c r="D189" s="201" t="n">
        <x:v>4</x:v>
      </x:c>
      <x:c r="E189" s="201" t="inlineStr">
        <x:is>
          <x:t xml:space="preserve">Чт</x:t>
        </x:is>
      </x:c>
      <x:c r="F189" s="199" t="n">
        <x:v>0</x:v>
      </x:c>
      <x:c r="G189" s="201" t="str"/>
      <x:c r="H189" s="193" t="n">
        <x:v>0</x:v>
      </x:c>
      <x:c r="I189" s="201" t="str"/>
      <x:c r="J189" s="188" t="n">
        <x:f>1</x:f>
        <x:v>1</x:v>
      </x:c>
      <x:c r="K189" s="188" t="n">
        <x:f>IF(AND(D189&lt;=5,F189=0),1,0)</x:f>
        <x:v>1</x:v>
      </x:c>
      <x:c r="L189" s="188" t="n">
        <x:f>IF(F189=1,'01_ВВОД'!$D$23,CHOOSE(D189,'01_ВВОД'!$D$19,'01_ВВОД'!$D$19,'01_ВВОД'!$D$19,'01_ВВОД'!$D$19,'01_ВВОД'!$D$20,'01_ВВОД'!$D$21,'01_ВВОД'!$D$22))</x:f>
        <x:v>32</x:v>
      </x:c>
      <x:c r="M189" s="188" t="n">
        <x:f>L189*IF(H189=1,'01_ВВОД'!$D$118,1)</x:f>
        <x:v>32</x:v>
      </x:c>
      <x:c r="N189" s="188" t="n">
        <x:f>IF(K189=1,'01_ВВОД'!$D$26,0)</x:f>
        <x:v>40</x:v>
      </x:c>
      <x:c r="O189" s="188" t="n">
        <x:f>IF(F189=1,'01_ВВОД'!$D$34,IF(D189&lt;=5,'01_ВВОД'!$D$32,'01_ВВОД'!$D$33))</x:f>
        <x:v>15</x:v>
      </x:c>
      <x:c r="P189" s="188" t="n">
        <x:f>O189</x:f>
        <x:v>15</x:v>
      </x:c>
      <x:c r="Q189" s="188" t="n">
        <x:f>'01_ВВОД'!$D$40</x:f>
        <x:v>12</x:v>
      </x:c>
      <x:c r="R189" s="188" t="n">
        <x:f>'01_ВВОД'!$D$46</x:f>
        <x:v>20</x:v>
      </x:c>
      <x:c r="S189" s="188" t="n">
        <x:f>H189</x:f>
        <x:v>0</x:v>
      </x:c>
      <x:c r="T189" s="188" t="n">
        <x:f>IF(H189=1,M189+N189+P189+Q189,0)</x:f>
        <x:v>0</x:v>
      </x:c>
      <x:c r="U189" t="n">
        <x:f>'01_ВВОД'!$D$120</x:f>
        <x:v>10</x:v>
      </x:c>
      <x:c r="V189" t="n">
        <x:f>ROUNDDOWN(SUM(M189,N189,R189,U189)*'01_ВВОД'!$D$127,0)</x:f>
        <x:v>51</x:v>
      </x:c>
      <x:c r="W189" t="n">
        <x:f>ROUNDDOWN(SUM(L189,N189,R189,U189)*'01_ВВОД'!$D$127,0)</x:f>
        <x:v>51</x:v>
      </x:c>
    </x:row>
    <x:row r="190">
      <x:c r="A190" s="200" t="n">
        <x:v>46451</x:v>
      </x:c>
      <x:c r="B190" s="201" t="n">
        <x:v>7</x:v>
      </x:c>
      <x:c r="C190" s="201" t="inlineStr">
        <x:is>
          <x:t xml:space="preserve">Мар-27</x:t>
        </x:is>
      </x:c>
      <x:c r="D190" s="201" t="n">
        <x:v>5</x:v>
      </x:c>
      <x:c r="E190" s="201" t="inlineStr">
        <x:is>
          <x:t xml:space="preserve">Пт</x:t>
        </x:is>
      </x:c>
      <x:c r="F190" s="199" t="n">
        <x:v>0</x:v>
      </x:c>
      <x:c r="G190" s="201" t="str"/>
      <x:c r="H190" s="193" t="n">
        <x:v>0</x:v>
      </x:c>
      <x:c r="I190" s="201" t="str"/>
      <x:c r="J190" s="188" t="n">
        <x:f>1</x:f>
        <x:v>1</x:v>
      </x:c>
      <x:c r="K190" s="188" t="n">
        <x:f>IF(AND(D190&lt;=5,F190=0),1,0)</x:f>
        <x:v>1</x:v>
      </x:c>
      <x:c r="L190" s="188" t="n">
        <x:f>IF(F190=1,'01_ВВОД'!$D$23,CHOOSE(D190,'01_ВВОД'!$D$19,'01_ВВОД'!$D$19,'01_ВВОД'!$D$19,'01_ВВОД'!$D$19,'01_ВВОД'!$D$20,'01_ВВОД'!$D$21,'01_ВВОД'!$D$22))</x:f>
        <x:v>45</x:v>
      </x:c>
      <x:c r="M190" s="188" t="n">
        <x:f>L190*IF(H190=1,'01_ВВОД'!$D$118,1)</x:f>
        <x:v>45</x:v>
      </x:c>
      <x:c r="N190" s="188" t="n">
        <x:f>IF(K190=1,'01_ВВОД'!$D$26,0)</x:f>
        <x:v>40</x:v>
      </x:c>
      <x:c r="O190" s="188" t="n">
        <x:f>IF(F190=1,'01_ВВОД'!$D$34,IF(D190&lt;=5,'01_ВВОД'!$D$32,'01_ВВОД'!$D$33))</x:f>
        <x:v>15</x:v>
      </x:c>
      <x:c r="P190" s="188" t="n">
        <x:f>O190</x:f>
        <x:v>15</x:v>
      </x:c>
      <x:c r="Q190" s="188" t="n">
        <x:f>'01_ВВОД'!$D$40</x:f>
        <x:v>12</x:v>
      </x:c>
      <x:c r="R190" s="188" t="n">
        <x:f>'01_ВВОД'!$D$46</x:f>
        <x:v>20</x:v>
      </x:c>
      <x:c r="S190" s="188" t="n">
        <x:f>H190</x:f>
        <x:v>0</x:v>
      </x:c>
      <x:c r="T190" s="188" t="n">
        <x:f>IF(H190=1,M190+N190+P190+Q190,0)</x:f>
        <x:v>0</x:v>
      </x:c>
      <x:c r="U190" t="n">
        <x:f>'01_ВВОД'!$D$120</x:f>
        <x:v>10</x:v>
      </x:c>
      <x:c r="V190" t="n">
        <x:f>ROUNDDOWN(SUM(M190,N190,R190,U190)*'01_ВВОД'!$D$127,0)</x:f>
        <x:v>57</x:v>
      </x:c>
      <x:c r="W190" t="n">
        <x:f>ROUNDDOWN(SUM(L190,N190,R190,U190)*'01_ВВОД'!$D$127,0)</x:f>
        <x:v>57</x:v>
      </x:c>
    </x:row>
    <x:row r="191">
      <x:c r="A191" s="200" t="n">
        <x:v>46452</x:v>
      </x:c>
      <x:c r="B191" s="201" t="n">
        <x:v>7</x:v>
      </x:c>
      <x:c r="C191" s="201" t="inlineStr">
        <x:is>
          <x:t xml:space="preserve">Мар-27</x:t>
        </x:is>
      </x:c>
      <x:c r="D191" s="201" t="n">
        <x:v>6</x:v>
      </x:c>
      <x:c r="E191" s="201" t="inlineStr">
        <x:is>
          <x:t xml:space="preserve">Сб</x:t>
        </x:is>
      </x:c>
      <x:c r="F191" s="199" t="n">
        <x:v>0</x:v>
      </x:c>
      <x:c r="G191" s="201" t="str"/>
      <x:c r="H191" s="193" t="n">
        <x:v>0</x:v>
      </x:c>
      <x:c r="I191" s="201" t="str"/>
      <x:c r="J191" s="188" t="n">
        <x:f>1</x:f>
        <x:v>1</x:v>
      </x:c>
      <x:c r="K191" s="188" t="n">
        <x:f>IF(AND(D191&lt;=5,F191=0),1,0)</x:f>
        <x:v>0</x:v>
      </x:c>
      <x:c r="L191" s="188" t="n">
        <x:f>IF(F191=1,'01_ВВОД'!$D$23,CHOOSE(D191,'01_ВВОД'!$D$19,'01_ВВОД'!$D$19,'01_ВВОД'!$D$19,'01_ВВОД'!$D$19,'01_ВВОД'!$D$20,'01_ВВОД'!$D$21,'01_ВВОД'!$D$22))</x:f>
        <x:v>80</x:v>
      </x:c>
      <x:c r="M191" s="188" t="n">
        <x:f>L191*IF(H191=1,'01_ВВОД'!$D$118,1)</x:f>
        <x:v>80</x:v>
      </x:c>
      <x:c r="N191" s="188" t="n">
        <x:f>IF(K191=1,'01_ВВОД'!$D$26,0)</x:f>
        <x:v>0</x:v>
      </x:c>
      <x:c r="O191" s="188" t="n">
        <x:f>IF(F191=1,'01_ВВОД'!$D$34,IF(D191&lt;=5,'01_ВВОД'!$D$32,'01_ВВОД'!$D$33))</x:f>
        <x:v>30</x:v>
      </x:c>
      <x:c r="P191" s="188" t="n">
        <x:f>O191</x:f>
        <x:v>30</x:v>
      </x:c>
      <x:c r="Q191" s="188" t="n">
        <x:f>'01_ВВОД'!$D$40</x:f>
        <x:v>12</x:v>
      </x:c>
      <x:c r="R191" s="188" t="n">
        <x:f>'01_ВВОД'!$D$46</x:f>
        <x:v>20</x:v>
      </x:c>
      <x:c r="S191" s="188" t="n">
        <x:f>H191</x:f>
        <x:v>0</x:v>
      </x:c>
      <x:c r="T191" s="188" t="n">
        <x:f>IF(H191=1,M191+N191+P191+Q191,0)</x:f>
        <x:v>0</x:v>
      </x:c>
      <x:c r="U191" t="n">
        <x:f>'01_ВВОД'!$D$120</x:f>
        <x:v>10</x:v>
      </x:c>
      <x:c r="V191" t="n">
        <x:f>ROUNDDOWN(SUM(M191,N191,R191,U191)*'01_ВВОД'!$D$127,0)</x:f>
        <x:v>55</x:v>
      </x:c>
      <x:c r="W191" t="n">
        <x:f>ROUNDDOWN(SUM(L191,N191,R191,U191)*'01_ВВОД'!$D$127,0)</x:f>
        <x:v>55</x:v>
      </x:c>
    </x:row>
    <x:row r="192">
      <x:c r="A192" s="200" t="n">
        <x:v>46453</x:v>
      </x:c>
      <x:c r="B192" s="201" t="n">
        <x:v>7</x:v>
      </x:c>
      <x:c r="C192" s="201" t="inlineStr">
        <x:is>
          <x:t xml:space="preserve">Мар-27</x:t>
        </x:is>
      </x:c>
      <x:c r="D192" s="201" t="n">
        <x:v>7</x:v>
      </x:c>
      <x:c r="E192" s="201" t="inlineStr">
        <x:is>
          <x:t xml:space="preserve">Вс</x:t>
        </x:is>
      </x:c>
      <x:c r="F192" s="199" t="n">
        <x:v>0</x:v>
      </x:c>
      <x:c r="G192" s="201" t="str"/>
      <x:c r="H192" s="193" t="n">
        <x:v>1</x:v>
      </x:c>
      <x:c r="I192" s="201" t="inlineStr">
        <x:is>
          <x:t xml:space="preserve">Пт–Вс</x:t>
        </x:is>
      </x:c>
      <x:c r="J192" s="188" t="n">
        <x:f>1</x:f>
        <x:v>1</x:v>
      </x:c>
      <x:c r="K192" s="188" t="n">
        <x:f>IF(AND(D192&lt;=5,F192=0),1,0)</x:f>
        <x:v>0</x:v>
      </x:c>
      <x:c r="L192" s="188" t="n">
        <x:f>IF(F192=1,'01_ВВОД'!$D$23,CHOOSE(D192,'01_ВВОД'!$D$19,'01_ВВОД'!$D$19,'01_ВВОД'!$D$19,'01_ВВОД'!$D$19,'01_ВВОД'!$D$20,'01_ВВОД'!$D$21,'01_ВВОД'!$D$22))</x:f>
        <x:v>70</x:v>
      </x:c>
      <x:c r="M192" s="188" t="n">
        <x:f>L192*IF(H192=1,'01_ВВОД'!$D$118,1)</x:f>
        <x:v>14</x:v>
      </x:c>
      <x:c r="N192" s="188" t="n">
        <x:f>IF(K192=1,'01_ВВОД'!$D$26,0)</x:f>
        <x:v>0</x:v>
      </x:c>
      <x:c r="O192" s="188" t="n">
        <x:f>IF(F192=1,'01_ВВОД'!$D$34,IF(D192&lt;=5,'01_ВВОД'!$D$32,'01_ВВОД'!$D$33))</x:f>
        <x:v>30</x:v>
      </x:c>
      <x:c r="P192" s="188" t="n">
        <x:f>O192</x:f>
        <x:v>30</x:v>
      </x:c>
      <x:c r="Q192" s="188" t="n">
        <x:f>'01_ВВОД'!$D$40</x:f>
        <x:v>12</x:v>
      </x:c>
      <x:c r="R192" s="188" t="n">
        <x:f>'01_ВВОД'!$D$46</x:f>
        <x:v>20</x:v>
      </x:c>
      <x:c r="S192" s="188" t="n">
        <x:f>H192</x:f>
        <x:v>1</x:v>
      </x:c>
      <x:c r="T192" s="188" t="n">
        <x:f>IF(H192=1,M192+N192+P192+Q192,0)</x:f>
        <x:v>56</x:v>
      </x:c>
      <x:c r="U192" t="n">
        <x:f>'01_ВВОД'!$D$120</x:f>
        <x:v>10</x:v>
      </x:c>
      <x:c r="V192" t="n">
        <x:f>ROUNDDOWN(SUM(M192,N192,R192,U192)*'01_ВВОД'!$D$127,0)</x:f>
        <x:v>22</x:v>
      </x:c>
      <x:c r="W192" t="n">
        <x:f>ROUNDDOWN(SUM(L192,N192,R192,U192)*'01_ВВОД'!$D$127,0)</x:f>
        <x:v>50</x:v>
      </x:c>
    </x:row>
    <x:row r="193">
      <x:c r="A193" s="200" t="n">
        <x:v>46454</x:v>
      </x:c>
      <x:c r="B193" s="201" t="n">
        <x:v>7</x:v>
      </x:c>
      <x:c r="C193" s="201" t="inlineStr">
        <x:is>
          <x:t xml:space="preserve">Мар-27</x:t>
        </x:is>
      </x:c>
      <x:c r="D193" s="201" t="n">
        <x:v>1</x:v>
      </x:c>
      <x:c r="E193" s="201" t="inlineStr">
        <x:is>
          <x:t xml:space="preserve">Пн</x:t>
        </x:is>
      </x:c>
      <x:c r="F193" s="199" t="n">
        <x:v>1</x:v>
      </x:c>
      <x:c r="G193" s="201" t="inlineStr">
        <x:is>
          <x:t xml:space="preserve">Фиксированный праздник 2027; переносы уточнить</x:t>
        </x:is>
      </x:c>
      <x:c r="H193" s="193" t="n">
        <x:v>0</x:v>
      </x:c>
      <x:c r="I193" s="201" t="str"/>
      <x:c r="J193" s="188" t="n">
        <x:f>1</x:f>
        <x:v>1</x:v>
      </x:c>
      <x:c r="K193" s="188" t="n">
        <x:f>IF(AND(D193&lt;=5,F193=0),1,0)</x:f>
        <x:v>0</x:v>
      </x:c>
      <x:c r="L193" s="188" t="n">
        <x:f>IF(F193=1,'01_ВВОД'!$D$23,CHOOSE(D193,'01_ВВОД'!$D$19,'01_ВВОД'!$D$19,'01_ВВОД'!$D$19,'01_ВВОД'!$D$19,'01_ВВОД'!$D$20,'01_ВВОД'!$D$21,'01_ВВОД'!$D$22))</x:f>
        <x:v>70</x:v>
      </x:c>
      <x:c r="M193" s="188" t="n">
        <x:f>L193*IF(H193=1,'01_ВВОД'!$D$118,1)</x:f>
        <x:v>70</x:v>
      </x:c>
      <x:c r="N193" s="188" t="n">
        <x:f>IF(K193=1,'01_ВВОД'!$D$26,0)</x:f>
        <x:v>0</x:v>
      </x:c>
      <x:c r="O193" s="188" t="n">
        <x:f>IF(F193=1,'01_ВВОД'!$D$34,IF(D193&lt;=5,'01_ВВОД'!$D$32,'01_ВВОД'!$D$33))</x:f>
        <x:v>30</x:v>
      </x:c>
      <x:c r="P193" s="188" t="n">
        <x:f>O193</x:f>
        <x:v>30</x:v>
      </x:c>
      <x:c r="Q193" s="188" t="n">
        <x:f>'01_ВВОД'!$D$40</x:f>
        <x:v>12</x:v>
      </x:c>
      <x:c r="R193" s="188" t="n">
        <x:f>'01_ВВОД'!$D$46</x:f>
        <x:v>20</x:v>
      </x:c>
      <x:c r="S193" s="188" t="n">
        <x:f>H193</x:f>
        <x:v>0</x:v>
      </x:c>
      <x:c r="T193" s="188" t="n">
        <x:f>IF(H193=1,M193+N193+P193+Q193,0)</x:f>
        <x:v>0</x:v>
      </x:c>
      <x:c r="U193" t="n">
        <x:f>'01_ВВОД'!$D$120</x:f>
        <x:v>10</x:v>
      </x:c>
      <x:c r="V193" t="n">
        <x:f>ROUNDDOWN(SUM(M193,N193,R193,U193)*'01_ВВОД'!$D$127,0)</x:f>
        <x:v>50</x:v>
      </x:c>
      <x:c r="W193" t="n">
        <x:f>ROUNDDOWN(SUM(L193,N193,R193,U193)*'01_ВВОД'!$D$127,0)</x:f>
        <x:v>50</x:v>
      </x:c>
    </x:row>
    <x:row r="194">
      <x:c r="A194" s="200" t="n">
        <x:v>46455</x:v>
      </x:c>
      <x:c r="B194" s="201" t="n">
        <x:v>7</x:v>
      </x:c>
      <x:c r="C194" s="201" t="inlineStr">
        <x:is>
          <x:t xml:space="preserve">Мар-27</x:t>
        </x:is>
      </x:c>
      <x:c r="D194" s="201" t="n">
        <x:v>2</x:v>
      </x:c>
      <x:c r="E194" s="201" t="inlineStr">
        <x:is>
          <x:t xml:space="preserve">Вт</x:t>
        </x:is>
      </x:c>
      <x:c r="F194" s="199" t="n">
        <x:v>0</x:v>
      </x:c>
      <x:c r="G194" s="201" t="str"/>
      <x:c r="H194" s="193" t="n">
        <x:v>0</x:v>
      </x:c>
      <x:c r="I194" s="201" t="str"/>
      <x:c r="J194" s="188" t="n">
        <x:f>1</x:f>
        <x:v>1</x:v>
      </x:c>
      <x:c r="K194" s="188" t="n">
        <x:f>IF(AND(D194&lt;=5,F194=0),1,0)</x:f>
        <x:v>1</x:v>
      </x:c>
      <x:c r="L194" s="188" t="n">
        <x:f>IF(F194=1,'01_ВВОД'!$D$23,CHOOSE(D194,'01_ВВОД'!$D$19,'01_ВВОД'!$D$19,'01_ВВОД'!$D$19,'01_ВВОД'!$D$19,'01_ВВОД'!$D$20,'01_ВВОД'!$D$21,'01_ВВОД'!$D$22))</x:f>
        <x:v>32</x:v>
      </x:c>
      <x:c r="M194" s="188" t="n">
        <x:f>L194*IF(H194=1,'01_ВВОД'!$D$118,1)</x:f>
        <x:v>32</x:v>
      </x:c>
      <x:c r="N194" s="188" t="n">
        <x:f>IF(K194=1,'01_ВВОД'!$D$26,0)</x:f>
        <x:v>40</x:v>
      </x:c>
      <x:c r="O194" s="188" t="n">
        <x:f>IF(F194=1,'01_ВВОД'!$D$34,IF(D194&lt;=5,'01_ВВОД'!$D$32,'01_ВВОД'!$D$33))</x:f>
        <x:v>15</x:v>
      </x:c>
      <x:c r="P194" s="188" t="n">
        <x:f>O194</x:f>
        <x:v>15</x:v>
      </x:c>
      <x:c r="Q194" s="188" t="n">
        <x:f>'01_ВВОД'!$D$40</x:f>
        <x:v>12</x:v>
      </x:c>
      <x:c r="R194" s="188" t="n">
        <x:f>'01_ВВОД'!$D$46</x:f>
        <x:v>20</x:v>
      </x:c>
      <x:c r="S194" s="188" t="n">
        <x:f>H194</x:f>
        <x:v>0</x:v>
      </x:c>
      <x:c r="T194" s="188" t="n">
        <x:f>IF(H194=1,M194+N194+P194+Q194,0)</x:f>
        <x:v>0</x:v>
      </x:c>
      <x:c r="U194" t="n">
        <x:f>'01_ВВОД'!$D$120</x:f>
        <x:v>10</x:v>
      </x:c>
      <x:c r="V194" t="n">
        <x:f>ROUNDDOWN(SUM(M194,N194,R194,U194)*'01_ВВОД'!$D$127,0)</x:f>
        <x:v>51</x:v>
      </x:c>
      <x:c r="W194" t="n">
        <x:f>ROUNDDOWN(SUM(L194,N194,R194,U194)*'01_ВВОД'!$D$127,0)</x:f>
        <x:v>51</x:v>
      </x:c>
    </x:row>
    <x:row r="195">
      <x:c r="A195" s="200" t="n">
        <x:v>46456</x:v>
      </x:c>
      <x:c r="B195" s="201" t="n">
        <x:v>7</x:v>
      </x:c>
      <x:c r="C195" s="201" t="inlineStr">
        <x:is>
          <x:t xml:space="preserve">Мар-27</x:t>
        </x:is>
      </x:c>
      <x:c r="D195" s="201" t="n">
        <x:v>3</x:v>
      </x:c>
      <x:c r="E195" s="201" t="inlineStr">
        <x:is>
          <x:t xml:space="preserve">Ср</x:t>
        </x:is>
      </x:c>
      <x:c r="F195" s="199" t="n">
        <x:v>0</x:v>
      </x:c>
      <x:c r="G195" s="201" t="str"/>
      <x:c r="H195" s="193" t="n">
        <x:v>0</x:v>
      </x:c>
      <x:c r="I195" s="201" t="str"/>
      <x:c r="J195" s="188" t="n">
        <x:f>1</x:f>
        <x:v>1</x:v>
      </x:c>
      <x:c r="K195" s="188" t="n">
        <x:f>IF(AND(D195&lt;=5,F195=0),1,0)</x:f>
        <x:v>1</x:v>
      </x:c>
      <x:c r="L195" s="188" t="n">
        <x:f>IF(F195=1,'01_ВВОД'!$D$23,CHOOSE(D195,'01_ВВОД'!$D$19,'01_ВВОД'!$D$19,'01_ВВОД'!$D$19,'01_ВВОД'!$D$19,'01_ВВОД'!$D$20,'01_ВВОД'!$D$21,'01_ВВОД'!$D$22))</x:f>
        <x:v>32</x:v>
      </x:c>
      <x:c r="M195" s="188" t="n">
        <x:f>L195*IF(H195=1,'01_ВВОД'!$D$118,1)</x:f>
        <x:v>32</x:v>
      </x:c>
      <x:c r="N195" s="188" t="n">
        <x:f>IF(K195=1,'01_ВВОД'!$D$26,0)</x:f>
        <x:v>40</x:v>
      </x:c>
      <x:c r="O195" s="188" t="n">
        <x:f>IF(F195=1,'01_ВВОД'!$D$34,IF(D195&lt;=5,'01_ВВОД'!$D$32,'01_ВВОД'!$D$33))</x:f>
        <x:v>15</x:v>
      </x:c>
      <x:c r="P195" s="188" t="n">
        <x:f>O195</x:f>
        <x:v>15</x:v>
      </x:c>
      <x:c r="Q195" s="188" t="n">
        <x:f>'01_ВВОД'!$D$40</x:f>
        <x:v>12</x:v>
      </x:c>
      <x:c r="R195" s="188" t="n">
        <x:f>'01_ВВОД'!$D$46</x:f>
        <x:v>20</x:v>
      </x:c>
      <x:c r="S195" s="188" t="n">
        <x:f>H195</x:f>
        <x:v>0</x:v>
      </x:c>
      <x:c r="T195" s="188" t="n">
        <x:f>IF(H195=1,M195+N195+P195+Q195,0)</x:f>
        <x:v>0</x:v>
      </x:c>
      <x:c r="U195" t="n">
        <x:f>'01_ВВОД'!$D$120</x:f>
        <x:v>10</x:v>
      </x:c>
      <x:c r="V195" t="n">
        <x:f>ROUNDDOWN(SUM(M195,N195,R195,U195)*'01_ВВОД'!$D$127,0)</x:f>
        <x:v>51</x:v>
      </x:c>
      <x:c r="W195" t="n">
        <x:f>ROUNDDOWN(SUM(L195,N195,R195,U195)*'01_ВВОД'!$D$127,0)</x:f>
        <x:v>51</x:v>
      </x:c>
    </x:row>
    <x:row r="196">
      <x:c r="A196" s="200" t="n">
        <x:v>46457</x:v>
      </x:c>
      <x:c r="B196" s="201" t="n">
        <x:v>7</x:v>
      </x:c>
      <x:c r="C196" s="201" t="inlineStr">
        <x:is>
          <x:t xml:space="preserve">Мар-27</x:t>
        </x:is>
      </x:c>
      <x:c r="D196" s="201" t="n">
        <x:v>4</x:v>
      </x:c>
      <x:c r="E196" s="201" t="inlineStr">
        <x:is>
          <x:t xml:space="preserve">Чт</x:t>
        </x:is>
      </x:c>
      <x:c r="F196" s="199" t="n">
        <x:v>0</x:v>
      </x:c>
      <x:c r="G196" s="201" t="str"/>
      <x:c r="H196" s="193" t="n">
        <x:v>0</x:v>
      </x:c>
      <x:c r="I196" s="201" t="str"/>
      <x:c r="J196" s="188" t="n">
        <x:f>1</x:f>
        <x:v>1</x:v>
      </x:c>
      <x:c r="K196" s="188" t="n">
        <x:f>IF(AND(D196&lt;=5,F196=0),1,0)</x:f>
        <x:v>1</x:v>
      </x:c>
      <x:c r="L196" s="188" t="n">
        <x:f>IF(F196=1,'01_ВВОД'!$D$23,CHOOSE(D196,'01_ВВОД'!$D$19,'01_ВВОД'!$D$19,'01_ВВОД'!$D$19,'01_ВВОД'!$D$19,'01_ВВОД'!$D$20,'01_ВВОД'!$D$21,'01_ВВОД'!$D$22))</x:f>
        <x:v>32</x:v>
      </x:c>
      <x:c r="M196" s="188" t="n">
        <x:f>L196*IF(H196=1,'01_ВВОД'!$D$118,1)</x:f>
        <x:v>32</x:v>
      </x:c>
      <x:c r="N196" s="188" t="n">
        <x:f>IF(K196=1,'01_ВВОД'!$D$26,0)</x:f>
        <x:v>40</x:v>
      </x:c>
      <x:c r="O196" s="188" t="n">
        <x:f>IF(F196=1,'01_ВВОД'!$D$34,IF(D196&lt;=5,'01_ВВОД'!$D$32,'01_ВВОД'!$D$33))</x:f>
        <x:v>15</x:v>
      </x:c>
      <x:c r="P196" s="188" t="n">
        <x:f>O196</x:f>
        <x:v>15</x:v>
      </x:c>
      <x:c r="Q196" s="188" t="n">
        <x:f>'01_ВВОД'!$D$40</x:f>
        <x:v>12</x:v>
      </x:c>
      <x:c r="R196" s="188" t="n">
        <x:f>'01_ВВОД'!$D$46</x:f>
        <x:v>20</x:v>
      </x:c>
      <x:c r="S196" s="188" t="n">
        <x:f>H196</x:f>
        <x:v>0</x:v>
      </x:c>
      <x:c r="T196" s="188" t="n">
        <x:f>IF(H196=1,M196+N196+P196+Q196,0)</x:f>
        <x:v>0</x:v>
      </x:c>
      <x:c r="U196" t="n">
        <x:f>'01_ВВОД'!$D$120</x:f>
        <x:v>10</x:v>
      </x:c>
      <x:c r="V196" t="n">
        <x:f>ROUNDDOWN(SUM(M196,N196,R196,U196)*'01_ВВОД'!$D$127,0)</x:f>
        <x:v>51</x:v>
      </x:c>
      <x:c r="W196" t="n">
        <x:f>ROUNDDOWN(SUM(L196,N196,R196,U196)*'01_ВВОД'!$D$127,0)</x:f>
        <x:v>51</x:v>
      </x:c>
    </x:row>
    <x:row r="197">
      <x:c r="A197" s="200" t="n">
        <x:v>46458</x:v>
      </x:c>
      <x:c r="B197" s="201" t="n">
        <x:v>7</x:v>
      </x:c>
      <x:c r="C197" s="201" t="inlineStr">
        <x:is>
          <x:t xml:space="preserve">Мар-27</x:t>
        </x:is>
      </x:c>
      <x:c r="D197" s="201" t="n">
        <x:v>5</x:v>
      </x:c>
      <x:c r="E197" s="201" t="inlineStr">
        <x:is>
          <x:t xml:space="preserve">Пт</x:t>
        </x:is>
      </x:c>
      <x:c r="F197" s="199" t="n">
        <x:v>0</x:v>
      </x:c>
      <x:c r="G197" s="201" t="str"/>
      <x:c r="H197" s="193" t="n">
        <x:v>1</x:v>
      </x:c>
      <x:c r="I197" s="201" t="inlineStr">
        <x:is>
          <x:t xml:space="preserve">Пт–Вс</x:t>
        </x:is>
      </x:c>
      <x:c r="J197" s="188" t="n">
        <x:f>1</x:f>
        <x:v>1</x:v>
      </x:c>
      <x:c r="K197" s="188" t="n">
        <x:f>IF(AND(D197&lt;=5,F197=0),1,0)</x:f>
        <x:v>1</x:v>
      </x:c>
      <x:c r="L197" s="188" t="n">
        <x:f>IF(F197=1,'01_ВВОД'!$D$23,CHOOSE(D197,'01_ВВОД'!$D$19,'01_ВВОД'!$D$19,'01_ВВОД'!$D$19,'01_ВВОД'!$D$19,'01_ВВОД'!$D$20,'01_ВВОД'!$D$21,'01_ВВОД'!$D$22))</x:f>
        <x:v>45</x:v>
      </x:c>
      <x:c r="M197" s="188" t="n">
        <x:f>L197*IF(H197=1,'01_ВВОД'!$D$118,1)</x:f>
        <x:v>9</x:v>
      </x:c>
      <x:c r="N197" s="188" t="n">
        <x:f>IF(K197=1,'01_ВВОД'!$D$26,0)</x:f>
        <x:v>40</x:v>
      </x:c>
      <x:c r="O197" s="188" t="n">
        <x:f>IF(F197=1,'01_ВВОД'!$D$34,IF(D197&lt;=5,'01_ВВОД'!$D$32,'01_ВВОД'!$D$33))</x:f>
        <x:v>15</x:v>
      </x:c>
      <x:c r="P197" s="188" t="n">
        <x:f>O197</x:f>
        <x:v>15</x:v>
      </x:c>
      <x:c r="Q197" s="188" t="n">
        <x:f>'01_ВВОД'!$D$40</x:f>
        <x:v>12</x:v>
      </x:c>
      <x:c r="R197" s="188" t="n">
        <x:f>'01_ВВОД'!$D$46</x:f>
        <x:v>20</x:v>
      </x:c>
      <x:c r="S197" s="188" t="n">
        <x:f>H197</x:f>
        <x:v>1</x:v>
      </x:c>
      <x:c r="T197" s="188" t="n">
        <x:f>IF(H197=1,M197+N197+P197+Q197,0)</x:f>
        <x:v>76</x:v>
      </x:c>
      <x:c r="U197" t="n">
        <x:f>'01_ВВОД'!$D$120</x:f>
        <x:v>10</x:v>
      </x:c>
      <x:c r="V197" t="n">
        <x:f>ROUNDDOWN(SUM(M197,N197,R197,U197)*'01_ВВОД'!$D$127,0)</x:f>
        <x:v>39</x:v>
      </x:c>
      <x:c r="W197" t="n">
        <x:f>ROUNDDOWN(SUM(L197,N197,R197,U197)*'01_ВВОД'!$D$127,0)</x:f>
        <x:v>57</x:v>
      </x:c>
    </x:row>
    <x:row r="198">
      <x:c r="A198" s="200" t="n">
        <x:v>46459</x:v>
      </x:c>
      <x:c r="B198" s="201" t="n">
        <x:v>7</x:v>
      </x:c>
      <x:c r="C198" s="201" t="inlineStr">
        <x:is>
          <x:t xml:space="preserve">Мар-27</x:t>
        </x:is>
      </x:c>
      <x:c r="D198" s="201" t="n">
        <x:v>6</x:v>
      </x:c>
      <x:c r="E198" s="201" t="inlineStr">
        <x:is>
          <x:t xml:space="preserve">Сб</x:t>
        </x:is>
      </x:c>
      <x:c r="F198" s="199" t="n">
        <x:v>0</x:v>
      </x:c>
      <x:c r="G198" s="201" t="str"/>
      <x:c r="H198" s="193" t="n">
        <x:v>1</x:v>
      </x:c>
      <x:c r="I198" s="201" t="inlineStr">
        <x:is>
          <x:t xml:space="preserve">Пт–Вс</x:t>
        </x:is>
      </x:c>
      <x:c r="J198" s="188" t="n">
        <x:f>1</x:f>
        <x:v>1</x:v>
      </x:c>
      <x:c r="K198" s="188" t="n">
        <x:f>IF(AND(D198&lt;=5,F198=0),1,0)</x:f>
        <x:v>0</x:v>
      </x:c>
      <x:c r="L198" s="188" t="n">
        <x:f>IF(F198=1,'01_ВВОД'!$D$23,CHOOSE(D198,'01_ВВОД'!$D$19,'01_ВВОД'!$D$19,'01_ВВОД'!$D$19,'01_ВВОД'!$D$19,'01_ВВОД'!$D$20,'01_ВВОД'!$D$21,'01_ВВОД'!$D$22))</x:f>
        <x:v>80</x:v>
      </x:c>
      <x:c r="M198" s="188" t="n">
        <x:f>L198*IF(H198=1,'01_ВВОД'!$D$118,1)</x:f>
        <x:v>16</x:v>
      </x:c>
      <x:c r="N198" s="188" t="n">
        <x:f>IF(K198=1,'01_ВВОД'!$D$26,0)</x:f>
        <x:v>0</x:v>
      </x:c>
      <x:c r="O198" s="188" t="n">
        <x:f>IF(F198=1,'01_ВВОД'!$D$34,IF(D198&lt;=5,'01_ВВОД'!$D$32,'01_ВВОД'!$D$33))</x:f>
        <x:v>30</x:v>
      </x:c>
      <x:c r="P198" s="188" t="n">
        <x:f>O198</x:f>
        <x:v>30</x:v>
      </x:c>
      <x:c r="Q198" s="188" t="n">
        <x:f>'01_ВВОД'!$D$40</x:f>
        <x:v>12</x:v>
      </x:c>
      <x:c r="R198" s="188" t="n">
        <x:f>'01_ВВОД'!$D$46</x:f>
        <x:v>20</x:v>
      </x:c>
      <x:c r="S198" s="188" t="n">
        <x:f>H198</x:f>
        <x:v>1</x:v>
      </x:c>
      <x:c r="T198" s="188" t="n">
        <x:f>IF(H198=1,M198+N198+P198+Q198,0)</x:f>
        <x:v>58</x:v>
      </x:c>
      <x:c r="U198" t="n">
        <x:f>'01_ВВОД'!$D$120</x:f>
        <x:v>10</x:v>
      </x:c>
      <x:c r="V198" t="n">
        <x:f>ROUNDDOWN(SUM(M198,N198,R198,U198)*'01_ВВОД'!$D$127,0)</x:f>
        <x:v>23</x:v>
      </x:c>
      <x:c r="W198" t="n">
        <x:f>ROUNDDOWN(SUM(L198,N198,R198,U198)*'01_ВВОД'!$D$127,0)</x:f>
        <x:v>55</x:v>
      </x:c>
    </x:row>
    <x:row r="199">
      <x:c r="A199" s="200" t="n">
        <x:v>46460</x:v>
      </x:c>
      <x:c r="B199" s="201" t="n">
        <x:v>7</x:v>
      </x:c>
      <x:c r="C199" s="201" t="inlineStr">
        <x:is>
          <x:t xml:space="preserve">Мар-27</x:t>
        </x:is>
      </x:c>
      <x:c r="D199" s="201" t="n">
        <x:v>7</x:v>
      </x:c>
      <x:c r="E199" s="201" t="inlineStr">
        <x:is>
          <x:t xml:space="preserve">Вс</x:t>
        </x:is>
      </x:c>
      <x:c r="F199" s="199" t="n">
        <x:v>0</x:v>
      </x:c>
      <x:c r="G199" s="201" t="str"/>
      <x:c r="H199" s="193" t="n">
        <x:v>0</x:v>
      </x:c>
      <x:c r="I199" s="201" t="str"/>
      <x:c r="J199" s="188" t="n">
        <x:f>1</x:f>
        <x:v>1</x:v>
      </x:c>
      <x:c r="K199" s="188" t="n">
        <x:f>IF(AND(D199&lt;=5,F199=0),1,0)</x:f>
        <x:v>0</x:v>
      </x:c>
      <x:c r="L199" s="188" t="n">
        <x:f>IF(F199=1,'01_ВВОД'!$D$23,CHOOSE(D199,'01_ВВОД'!$D$19,'01_ВВОД'!$D$19,'01_ВВОД'!$D$19,'01_ВВОД'!$D$19,'01_ВВОД'!$D$20,'01_ВВОД'!$D$21,'01_ВВОД'!$D$22))</x:f>
        <x:v>70</x:v>
      </x:c>
      <x:c r="M199" s="188" t="n">
        <x:f>L199*IF(H199=1,'01_ВВОД'!$D$118,1)</x:f>
        <x:v>70</x:v>
      </x:c>
      <x:c r="N199" s="188" t="n">
        <x:f>IF(K199=1,'01_ВВОД'!$D$26,0)</x:f>
        <x:v>0</x:v>
      </x:c>
      <x:c r="O199" s="188" t="n">
        <x:f>IF(F199=1,'01_ВВОД'!$D$34,IF(D199&lt;=5,'01_ВВОД'!$D$32,'01_ВВОД'!$D$33))</x:f>
        <x:v>30</x:v>
      </x:c>
      <x:c r="P199" s="188" t="n">
        <x:f>O199</x:f>
        <x:v>30</x:v>
      </x:c>
      <x:c r="Q199" s="188" t="n">
        <x:f>'01_ВВОД'!$D$40</x:f>
        <x:v>12</x:v>
      </x:c>
      <x:c r="R199" s="188" t="n">
        <x:f>'01_ВВОД'!$D$46</x:f>
        <x:v>20</x:v>
      </x:c>
      <x:c r="S199" s="188" t="n">
        <x:f>H199</x:f>
        <x:v>0</x:v>
      </x:c>
      <x:c r="T199" s="188" t="n">
        <x:f>IF(H199=1,M199+N199+P199+Q199,0)</x:f>
        <x:v>0</x:v>
      </x:c>
      <x:c r="U199" t="n">
        <x:f>'01_ВВОД'!$D$120</x:f>
        <x:v>10</x:v>
      </x:c>
      <x:c r="V199" t="n">
        <x:f>ROUNDDOWN(SUM(M199,N199,R199,U199)*'01_ВВОД'!$D$127,0)</x:f>
        <x:v>50</x:v>
      </x:c>
      <x:c r="W199" t="n">
        <x:f>ROUNDDOWN(SUM(L199,N199,R199,U199)*'01_ВВОД'!$D$127,0)</x:f>
        <x:v>50</x:v>
      </x:c>
    </x:row>
    <x:row r="200">
      <x:c r="A200" s="200" t="n">
        <x:v>46461</x:v>
      </x:c>
      <x:c r="B200" s="201" t="n">
        <x:v>7</x:v>
      </x:c>
      <x:c r="C200" s="201" t="inlineStr">
        <x:is>
          <x:t xml:space="preserve">Мар-27</x:t>
        </x:is>
      </x:c>
      <x:c r="D200" s="201" t="n">
        <x:v>1</x:v>
      </x:c>
      <x:c r="E200" s="201" t="inlineStr">
        <x:is>
          <x:t xml:space="preserve">Пн</x:t>
        </x:is>
      </x:c>
      <x:c r="F200" s="199" t="n">
        <x:v>0</x:v>
      </x:c>
      <x:c r="G200" s="201" t="str"/>
      <x:c r="H200" s="193" t="n">
        <x:v>0</x:v>
      </x:c>
      <x:c r="I200" s="201" t="str"/>
      <x:c r="J200" s="188" t="n">
        <x:f>1</x:f>
        <x:v>1</x:v>
      </x:c>
      <x:c r="K200" s="188" t="n">
        <x:f>IF(AND(D200&lt;=5,F200=0),1,0)</x:f>
        <x:v>1</x:v>
      </x:c>
      <x:c r="L200" s="188" t="n">
        <x:f>IF(F200=1,'01_ВВОД'!$D$23,CHOOSE(D200,'01_ВВОД'!$D$19,'01_ВВОД'!$D$19,'01_ВВОД'!$D$19,'01_ВВОД'!$D$19,'01_ВВОД'!$D$20,'01_ВВОД'!$D$21,'01_ВВОД'!$D$22))</x:f>
        <x:v>32</x:v>
      </x:c>
      <x:c r="M200" s="188" t="n">
        <x:f>L200*IF(H200=1,'01_ВВОД'!$D$118,1)</x:f>
        <x:v>32</x:v>
      </x:c>
      <x:c r="N200" s="188" t="n">
        <x:f>IF(K200=1,'01_ВВОД'!$D$26,0)</x:f>
        <x:v>40</x:v>
      </x:c>
      <x:c r="O200" s="188" t="n">
        <x:f>IF(F200=1,'01_ВВОД'!$D$34,IF(D200&lt;=5,'01_ВВОД'!$D$32,'01_ВВОД'!$D$33))</x:f>
        <x:v>15</x:v>
      </x:c>
      <x:c r="P200" s="188" t="n">
        <x:f>O200</x:f>
        <x:v>15</x:v>
      </x:c>
      <x:c r="Q200" s="188" t="n">
        <x:f>'01_ВВОД'!$D$40</x:f>
        <x:v>12</x:v>
      </x:c>
      <x:c r="R200" s="188" t="n">
        <x:f>'01_ВВОД'!$D$46</x:f>
        <x:v>20</x:v>
      </x:c>
      <x:c r="S200" s="188" t="n">
        <x:f>H200</x:f>
        <x:v>0</x:v>
      </x:c>
      <x:c r="T200" s="188" t="n">
        <x:f>IF(H200=1,M200+N200+P200+Q200,0)</x:f>
        <x:v>0</x:v>
      </x:c>
      <x:c r="U200" t="n">
        <x:f>'01_ВВОД'!$D$120</x:f>
        <x:v>10</x:v>
      </x:c>
      <x:c r="V200" t="n">
        <x:f>ROUNDDOWN(SUM(M200,N200,R200,U200)*'01_ВВОД'!$D$127,0)</x:f>
        <x:v>51</x:v>
      </x:c>
      <x:c r="W200" t="n">
        <x:f>ROUNDDOWN(SUM(L200,N200,R200,U200)*'01_ВВОД'!$D$127,0)</x:f>
        <x:v>51</x:v>
      </x:c>
    </x:row>
    <x:row r="201">
      <x:c r="A201" s="200" t="n">
        <x:v>46462</x:v>
      </x:c>
      <x:c r="B201" s="201" t="n">
        <x:v>7</x:v>
      </x:c>
      <x:c r="C201" s="201" t="inlineStr">
        <x:is>
          <x:t xml:space="preserve">Мар-27</x:t>
        </x:is>
      </x:c>
      <x:c r="D201" s="201" t="n">
        <x:v>2</x:v>
      </x:c>
      <x:c r="E201" s="201" t="inlineStr">
        <x:is>
          <x:t xml:space="preserve">Вт</x:t>
        </x:is>
      </x:c>
      <x:c r="F201" s="199" t="n">
        <x:v>0</x:v>
      </x:c>
      <x:c r="G201" s="201" t="str"/>
      <x:c r="H201" s="193" t="n">
        <x:v>0</x:v>
      </x:c>
      <x:c r="I201" s="201" t="str"/>
      <x:c r="J201" s="188" t="n">
        <x:f>1</x:f>
        <x:v>1</x:v>
      </x:c>
      <x:c r="K201" s="188" t="n">
        <x:f>IF(AND(D201&lt;=5,F201=0),1,0)</x:f>
        <x:v>1</x:v>
      </x:c>
      <x:c r="L201" s="188" t="n">
        <x:f>IF(F201=1,'01_ВВОД'!$D$23,CHOOSE(D201,'01_ВВОД'!$D$19,'01_ВВОД'!$D$19,'01_ВВОД'!$D$19,'01_ВВОД'!$D$19,'01_ВВОД'!$D$20,'01_ВВОД'!$D$21,'01_ВВОД'!$D$22))</x:f>
        <x:v>32</x:v>
      </x:c>
      <x:c r="M201" s="188" t="n">
        <x:f>L201*IF(H201=1,'01_ВВОД'!$D$118,1)</x:f>
        <x:v>32</x:v>
      </x:c>
      <x:c r="N201" s="188" t="n">
        <x:f>IF(K201=1,'01_ВВОД'!$D$26,0)</x:f>
        <x:v>40</x:v>
      </x:c>
      <x:c r="O201" s="188" t="n">
        <x:f>IF(F201=1,'01_ВВОД'!$D$34,IF(D201&lt;=5,'01_ВВОД'!$D$32,'01_ВВОД'!$D$33))</x:f>
        <x:v>15</x:v>
      </x:c>
      <x:c r="P201" s="188" t="n">
        <x:f>O201</x:f>
        <x:v>15</x:v>
      </x:c>
      <x:c r="Q201" s="188" t="n">
        <x:f>'01_ВВОД'!$D$40</x:f>
        <x:v>12</x:v>
      </x:c>
      <x:c r="R201" s="188" t="n">
        <x:f>'01_ВВОД'!$D$46</x:f>
        <x:v>20</x:v>
      </x:c>
      <x:c r="S201" s="188" t="n">
        <x:f>H201</x:f>
        <x:v>0</x:v>
      </x:c>
      <x:c r="T201" s="188" t="n">
        <x:f>IF(H201=1,M201+N201+P201+Q201,0)</x:f>
        <x:v>0</x:v>
      </x:c>
      <x:c r="U201" t="n">
        <x:f>'01_ВВОД'!$D$120</x:f>
        <x:v>10</x:v>
      </x:c>
      <x:c r="V201" t="n">
        <x:f>ROUNDDOWN(SUM(M201,N201,R201,U201)*'01_ВВОД'!$D$127,0)</x:f>
        <x:v>51</x:v>
      </x:c>
      <x:c r="W201" t="n">
        <x:f>ROUNDDOWN(SUM(L201,N201,R201,U201)*'01_ВВОД'!$D$127,0)</x:f>
        <x:v>51</x:v>
      </x:c>
    </x:row>
    <x:row r="202">
      <x:c r="A202" s="200" t="n">
        <x:v>46463</x:v>
      </x:c>
      <x:c r="B202" s="201" t="n">
        <x:v>7</x:v>
      </x:c>
      <x:c r="C202" s="201" t="inlineStr">
        <x:is>
          <x:t xml:space="preserve">Мар-27</x:t>
        </x:is>
      </x:c>
      <x:c r="D202" s="201" t="n">
        <x:v>3</x:v>
      </x:c>
      <x:c r="E202" s="201" t="inlineStr">
        <x:is>
          <x:t xml:space="preserve">Ср</x:t>
        </x:is>
      </x:c>
      <x:c r="F202" s="199" t="n">
        <x:v>0</x:v>
      </x:c>
      <x:c r="G202" s="201" t="str"/>
      <x:c r="H202" s="193" t="n">
        <x:v>0</x:v>
      </x:c>
      <x:c r="I202" s="201" t="str"/>
      <x:c r="J202" s="188" t="n">
        <x:f>1</x:f>
        <x:v>1</x:v>
      </x:c>
      <x:c r="K202" s="188" t="n">
        <x:f>IF(AND(D202&lt;=5,F202=0),1,0)</x:f>
        <x:v>1</x:v>
      </x:c>
      <x:c r="L202" s="188" t="n">
        <x:f>IF(F202=1,'01_ВВОД'!$D$23,CHOOSE(D202,'01_ВВОД'!$D$19,'01_ВВОД'!$D$19,'01_ВВОД'!$D$19,'01_ВВОД'!$D$19,'01_ВВОД'!$D$20,'01_ВВОД'!$D$21,'01_ВВОД'!$D$22))</x:f>
        <x:v>32</x:v>
      </x:c>
      <x:c r="M202" s="188" t="n">
        <x:f>L202*IF(H202=1,'01_ВВОД'!$D$118,1)</x:f>
        <x:v>32</x:v>
      </x:c>
      <x:c r="N202" s="188" t="n">
        <x:f>IF(K202=1,'01_ВВОД'!$D$26,0)</x:f>
        <x:v>40</x:v>
      </x:c>
      <x:c r="O202" s="188" t="n">
        <x:f>IF(F202=1,'01_ВВОД'!$D$34,IF(D202&lt;=5,'01_ВВОД'!$D$32,'01_ВВОД'!$D$33))</x:f>
        <x:v>15</x:v>
      </x:c>
      <x:c r="P202" s="188" t="n">
        <x:f>O202</x:f>
        <x:v>15</x:v>
      </x:c>
      <x:c r="Q202" s="188" t="n">
        <x:f>'01_ВВОД'!$D$40</x:f>
        <x:v>12</x:v>
      </x:c>
      <x:c r="R202" s="188" t="n">
        <x:f>'01_ВВОД'!$D$46</x:f>
        <x:v>20</x:v>
      </x:c>
      <x:c r="S202" s="188" t="n">
        <x:f>H202</x:f>
        <x:v>0</x:v>
      </x:c>
      <x:c r="T202" s="188" t="n">
        <x:f>IF(H202=1,M202+N202+P202+Q202,0)</x:f>
        <x:v>0</x:v>
      </x:c>
      <x:c r="U202" t="n">
        <x:f>'01_ВВОД'!$D$120</x:f>
        <x:v>10</x:v>
      </x:c>
      <x:c r="V202" t="n">
        <x:f>ROUNDDOWN(SUM(M202,N202,R202,U202)*'01_ВВОД'!$D$127,0)</x:f>
        <x:v>51</x:v>
      </x:c>
      <x:c r="W202" t="n">
        <x:f>ROUNDDOWN(SUM(L202,N202,R202,U202)*'01_ВВОД'!$D$127,0)</x:f>
        <x:v>51</x:v>
      </x:c>
    </x:row>
    <x:row r="203">
      <x:c r="A203" s="200" t="n">
        <x:v>46464</x:v>
      </x:c>
      <x:c r="B203" s="201" t="n">
        <x:v>7</x:v>
      </x:c>
      <x:c r="C203" s="201" t="inlineStr">
        <x:is>
          <x:t xml:space="preserve">Мар-27</x:t>
        </x:is>
      </x:c>
      <x:c r="D203" s="201" t="n">
        <x:v>4</x:v>
      </x:c>
      <x:c r="E203" s="201" t="inlineStr">
        <x:is>
          <x:t xml:space="preserve">Чт</x:t>
        </x:is>
      </x:c>
      <x:c r="F203" s="199" t="n">
        <x:v>0</x:v>
      </x:c>
      <x:c r="G203" s="201" t="str"/>
      <x:c r="H203" s="193" t="n">
        <x:v>0</x:v>
      </x:c>
      <x:c r="I203" s="201" t="str"/>
      <x:c r="J203" s="188" t="n">
        <x:f>1</x:f>
        <x:v>1</x:v>
      </x:c>
      <x:c r="K203" s="188" t="n">
        <x:f>IF(AND(D203&lt;=5,F203=0),1,0)</x:f>
        <x:v>1</x:v>
      </x:c>
      <x:c r="L203" s="188" t="n">
        <x:f>IF(F203=1,'01_ВВОД'!$D$23,CHOOSE(D203,'01_ВВОД'!$D$19,'01_ВВОД'!$D$19,'01_ВВОД'!$D$19,'01_ВВОД'!$D$19,'01_ВВОД'!$D$20,'01_ВВОД'!$D$21,'01_ВВОД'!$D$22))</x:f>
        <x:v>32</x:v>
      </x:c>
      <x:c r="M203" s="188" t="n">
        <x:f>L203*IF(H203=1,'01_ВВОД'!$D$118,1)</x:f>
        <x:v>32</x:v>
      </x:c>
      <x:c r="N203" s="188" t="n">
        <x:f>IF(K203=1,'01_ВВОД'!$D$26,0)</x:f>
        <x:v>40</x:v>
      </x:c>
      <x:c r="O203" s="188" t="n">
        <x:f>IF(F203=1,'01_ВВОД'!$D$34,IF(D203&lt;=5,'01_ВВОД'!$D$32,'01_ВВОД'!$D$33))</x:f>
        <x:v>15</x:v>
      </x:c>
      <x:c r="P203" s="188" t="n">
        <x:f>O203</x:f>
        <x:v>15</x:v>
      </x:c>
      <x:c r="Q203" s="188" t="n">
        <x:f>'01_ВВОД'!$D$40</x:f>
        <x:v>12</x:v>
      </x:c>
      <x:c r="R203" s="188" t="n">
        <x:f>'01_ВВОД'!$D$46</x:f>
        <x:v>20</x:v>
      </x:c>
      <x:c r="S203" s="188" t="n">
        <x:f>H203</x:f>
        <x:v>0</x:v>
      </x:c>
      <x:c r="T203" s="188" t="n">
        <x:f>IF(H203=1,M203+N203+P203+Q203,0)</x:f>
        <x:v>0</x:v>
      </x:c>
      <x:c r="U203" t="n">
        <x:f>'01_ВВОД'!$D$120</x:f>
        <x:v>10</x:v>
      </x:c>
      <x:c r="V203" t="n">
        <x:f>ROUNDDOWN(SUM(M203,N203,R203,U203)*'01_ВВОД'!$D$127,0)</x:f>
        <x:v>51</x:v>
      </x:c>
      <x:c r="W203" t="n">
        <x:f>ROUNDDOWN(SUM(L203,N203,R203,U203)*'01_ВВОД'!$D$127,0)</x:f>
        <x:v>51</x:v>
      </x:c>
    </x:row>
    <x:row r="204">
      <x:c r="A204" s="200" t="n">
        <x:v>46465</x:v>
      </x:c>
      <x:c r="B204" s="201" t="n">
        <x:v>7</x:v>
      </x:c>
      <x:c r="C204" s="201" t="inlineStr">
        <x:is>
          <x:t xml:space="preserve">Мар-27</x:t>
        </x:is>
      </x:c>
      <x:c r="D204" s="201" t="n">
        <x:v>5</x:v>
      </x:c>
      <x:c r="E204" s="201" t="inlineStr">
        <x:is>
          <x:t xml:space="preserve">Пт</x:t>
        </x:is>
      </x:c>
      <x:c r="F204" s="199" t="n">
        <x:v>0</x:v>
      </x:c>
      <x:c r="G204" s="201" t="str"/>
      <x:c r="H204" s="193" t="n">
        <x:v>1</x:v>
      </x:c>
      <x:c r="I204" s="201" t="inlineStr">
        <x:is>
          <x:t xml:space="preserve">Пт–Вс</x:t>
        </x:is>
      </x:c>
      <x:c r="J204" s="188" t="n">
        <x:f>1</x:f>
        <x:v>1</x:v>
      </x:c>
      <x:c r="K204" s="188" t="n">
        <x:f>IF(AND(D204&lt;=5,F204=0),1,0)</x:f>
        <x:v>1</x:v>
      </x:c>
      <x:c r="L204" s="188" t="n">
        <x:f>IF(F204=1,'01_ВВОД'!$D$23,CHOOSE(D204,'01_ВВОД'!$D$19,'01_ВВОД'!$D$19,'01_ВВОД'!$D$19,'01_ВВОД'!$D$19,'01_ВВОД'!$D$20,'01_ВВОД'!$D$21,'01_ВВОД'!$D$22))</x:f>
        <x:v>45</x:v>
      </x:c>
      <x:c r="M204" s="188" t="n">
        <x:f>L204*IF(H204=1,'01_ВВОД'!$D$118,1)</x:f>
        <x:v>9</x:v>
      </x:c>
      <x:c r="N204" s="188" t="n">
        <x:f>IF(K204=1,'01_ВВОД'!$D$26,0)</x:f>
        <x:v>40</x:v>
      </x:c>
      <x:c r="O204" s="188" t="n">
        <x:f>IF(F204=1,'01_ВВОД'!$D$34,IF(D204&lt;=5,'01_ВВОД'!$D$32,'01_ВВОД'!$D$33))</x:f>
        <x:v>15</x:v>
      </x:c>
      <x:c r="P204" s="188" t="n">
        <x:f>O204</x:f>
        <x:v>15</x:v>
      </x:c>
      <x:c r="Q204" s="188" t="n">
        <x:f>'01_ВВОД'!$D$40</x:f>
        <x:v>12</x:v>
      </x:c>
      <x:c r="R204" s="188" t="n">
        <x:f>'01_ВВОД'!$D$46</x:f>
        <x:v>20</x:v>
      </x:c>
      <x:c r="S204" s="188" t="n">
        <x:f>H204</x:f>
        <x:v>1</x:v>
      </x:c>
      <x:c r="T204" s="188" t="n">
        <x:f>IF(H204=1,M204+N204+P204+Q204,0)</x:f>
        <x:v>76</x:v>
      </x:c>
      <x:c r="U204" t="n">
        <x:f>'01_ВВОД'!$D$120</x:f>
        <x:v>10</x:v>
      </x:c>
      <x:c r="V204" t="n">
        <x:f>ROUNDDOWN(SUM(M204,N204,R204,U204)*'01_ВВОД'!$D$127,0)</x:f>
        <x:v>39</x:v>
      </x:c>
      <x:c r="W204" t="n">
        <x:f>ROUNDDOWN(SUM(L204,N204,R204,U204)*'01_ВВОД'!$D$127,0)</x:f>
        <x:v>57</x:v>
      </x:c>
    </x:row>
    <x:row r="205">
      <x:c r="A205" s="200" t="n">
        <x:v>46466</x:v>
      </x:c>
      <x:c r="B205" s="201" t="n">
        <x:v>7</x:v>
      </x:c>
      <x:c r="C205" s="201" t="inlineStr">
        <x:is>
          <x:t xml:space="preserve">Мар-27</x:t>
        </x:is>
      </x:c>
      <x:c r="D205" s="201" t="n">
        <x:v>6</x:v>
      </x:c>
      <x:c r="E205" s="201" t="inlineStr">
        <x:is>
          <x:t xml:space="preserve">Сб</x:t>
        </x:is>
      </x:c>
      <x:c r="F205" s="199" t="n">
        <x:v>0</x:v>
      </x:c>
      <x:c r="G205" s="201" t="str"/>
      <x:c r="H205" s="193" t="n">
        <x:v>0</x:v>
      </x:c>
      <x:c r="I205" s="201" t="str"/>
      <x:c r="J205" s="188" t="n">
        <x:f>1</x:f>
        <x:v>1</x:v>
      </x:c>
      <x:c r="K205" s="188" t="n">
        <x:f>IF(AND(D205&lt;=5,F205=0),1,0)</x:f>
        <x:v>0</x:v>
      </x:c>
      <x:c r="L205" s="188" t="n">
        <x:f>IF(F205=1,'01_ВВОД'!$D$23,CHOOSE(D205,'01_ВВОД'!$D$19,'01_ВВОД'!$D$19,'01_ВВОД'!$D$19,'01_ВВОД'!$D$19,'01_ВВОД'!$D$20,'01_ВВОД'!$D$21,'01_ВВОД'!$D$22))</x:f>
        <x:v>80</x:v>
      </x:c>
      <x:c r="M205" s="188" t="n">
        <x:f>L205*IF(H205=1,'01_ВВОД'!$D$118,1)</x:f>
        <x:v>80</x:v>
      </x:c>
      <x:c r="N205" s="188" t="n">
        <x:f>IF(K205=1,'01_ВВОД'!$D$26,0)</x:f>
        <x:v>0</x:v>
      </x:c>
      <x:c r="O205" s="188" t="n">
        <x:f>IF(F205=1,'01_ВВОД'!$D$34,IF(D205&lt;=5,'01_ВВОД'!$D$32,'01_ВВОД'!$D$33))</x:f>
        <x:v>30</x:v>
      </x:c>
      <x:c r="P205" s="188" t="n">
        <x:f>O205</x:f>
        <x:v>30</x:v>
      </x:c>
      <x:c r="Q205" s="188" t="n">
        <x:f>'01_ВВОД'!$D$40</x:f>
        <x:v>12</x:v>
      </x:c>
      <x:c r="R205" s="188" t="n">
        <x:f>'01_ВВОД'!$D$46</x:f>
        <x:v>20</x:v>
      </x:c>
      <x:c r="S205" s="188" t="n">
        <x:f>H205</x:f>
        <x:v>0</x:v>
      </x:c>
      <x:c r="T205" s="188" t="n">
        <x:f>IF(H205=1,M205+N205+P205+Q205,0)</x:f>
        <x:v>0</x:v>
      </x:c>
      <x:c r="U205" t="n">
        <x:f>'01_ВВОД'!$D$120</x:f>
        <x:v>10</x:v>
      </x:c>
      <x:c r="V205" t="n">
        <x:f>ROUNDDOWN(SUM(M205,N205,R205,U205)*'01_ВВОД'!$D$127,0)</x:f>
        <x:v>55</x:v>
      </x:c>
      <x:c r="W205" t="n">
        <x:f>ROUNDDOWN(SUM(L205,N205,R205,U205)*'01_ВВОД'!$D$127,0)</x:f>
        <x:v>55</x:v>
      </x:c>
    </x:row>
    <x:row r="206">
      <x:c r="A206" s="200" t="n">
        <x:v>46467</x:v>
      </x:c>
      <x:c r="B206" s="201" t="n">
        <x:v>7</x:v>
      </x:c>
      <x:c r="C206" s="201" t="inlineStr">
        <x:is>
          <x:t xml:space="preserve">Мар-27</x:t>
        </x:is>
      </x:c>
      <x:c r="D206" s="201" t="n">
        <x:v>7</x:v>
      </x:c>
      <x:c r="E206" s="201" t="inlineStr">
        <x:is>
          <x:t xml:space="preserve">Вс</x:t>
        </x:is>
      </x:c>
      <x:c r="F206" s="199" t="n">
        <x:v>0</x:v>
      </x:c>
      <x:c r="G206" s="201" t="str"/>
      <x:c r="H206" s="193" t="n">
        <x:v>0</x:v>
      </x:c>
      <x:c r="I206" s="201" t="str"/>
      <x:c r="J206" s="188" t="n">
        <x:f>1</x:f>
        <x:v>1</x:v>
      </x:c>
      <x:c r="K206" s="188" t="n">
        <x:f>IF(AND(D206&lt;=5,F206=0),1,0)</x:f>
        <x:v>0</x:v>
      </x:c>
      <x:c r="L206" s="188" t="n">
        <x:f>IF(F206=1,'01_ВВОД'!$D$23,CHOOSE(D206,'01_ВВОД'!$D$19,'01_ВВОД'!$D$19,'01_ВВОД'!$D$19,'01_ВВОД'!$D$19,'01_ВВОД'!$D$20,'01_ВВОД'!$D$21,'01_ВВОД'!$D$22))</x:f>
        <x:v>70</x:v>
      </x:c>
      <x:c r="M206" s="188" t="n">
        <x:f>L206*IF(H206=1,'01_ВВОД'!$D$118,1)</x:f>
        <x:v>70</x:v>
      </x:c>
      <x:c r="N206" s="188" t="n">
        <x:f>IF(K206=1,'01_ВВОД'!$D$26,0)</x:f>
        <x:v>0</x:v>
      </x:c>
      <x:c r="O206" s="188" t="n">
        <x:f>IF(F206=1,'01_ВВОД'!$D$34,IF(D206&lt;=5,'01_ВВОД'!$D$32,'01_ВВОД'!$D$33))</x:f>
        <x:v>30</x:v>
      </x:c>
      <x:c r="P206" s="188" t="n">
        <x:f>O206</x:f>
        <x:v>30</x:v>
      </x:c>
      <x:c r="Q206" s="188" t="n">
        <x:f>'01_ВВОД'!$D$40</x:f>
        <x:v>12</x:v>
      </x:c>
      <x:c r="R206" s="188" t="n">
        <x:f>'01_ВВОД'!$D$46</x:f>
        <x:v>20</x:v>
      </x:c>
      <x:c r="S206" s="188" t="n">
        <x:f>H206</x:f>
        <x:v>0</x:v>
      </x:c>
      <x:c r="T206" s="188" t="n">
        <x:f>IF(H206=1,M206+N206+P206+Q206,0)</x:f>
        <x:v>0</x:v>
      </x:c>
      <x:c r="U206" t="n">
        <x:f>'01_ВВОД'!$D$120</x:f>
        <x:v>10</x:v>
      </x:c>
      <x:c r="V206" t="n">
        <x:f>ROUNDDOWN(SUM(M206,N206,R206,U206)*'01_ВВОД'!$D$127,0)</x:f>
        <x:v>50</x:v>
      </x:c>
      <x:c r="W206" t="n">
        <x:f>ROUNDDOWN(SUM(L206,N206,R206,U206)*'01_ВВОД'!$D$127,0)</x:f>
        <x:v>50</x:v>
      </x:c>
    </x:row>
    <x:row r="207">
      <x:c r="A207" s="200" t="n">
        <x:v>46468</x:v>
      </x:c>
      <x:c r="B207" s="201" t="n">
        <x:v>7</x:v>
      </x:c>
      <x:c r="C207" s="201" t="inlineStr">
        <x:is>
          <x:t xml:space="preserve">Мар-27</x:t>
        </x:is>
      </x:c>
      <x:c r="D207" s="201" t="n">
        <x:v>1</x:v>
      </x:c>
      <x:c r="E207" s="201" t="inlineStr">
        <x:is>
          <x:t xml:space="preserve">Пн</x:t>
        </x:is>
      </x:c>
      <x:c r="F207" s="199" t="n">
        <x:v>0</x:v>
      </x:c>
      <x:c r="G207" s="201" t="str"/>
      <x:c r="H207" s="193" t="n">
        <x:v>0</x:v>
      </x:c>
      <x:c r="I207" s="201" t="str"/>
      <x:c r="J207" s="188" t="n">
        <x:f>1</x:f>
        <x:v>1</x:v>
      </x:c>
      <x:c r="K207" s="188" t="n">
        <x:f>IF(AND(D207&lt;=5,F207=0),1,0)</x:f>
        <x:v>1</x:v>
      </x:c>
      <x:c r="L207" s="188" t="n">
        <x:f>IF(F207=1,'01_ВВОД'!$D$23,CHOOSE(D207,'01_ВВОД'!$D$19,'01_ВВОД'!$D$19,'01_ВВОД'!$D$19,'01_ВВОД'!$D$19,'01_ВВОД'!$D$20,'01_ВВОД'!$D$21,'01_ВВОД'!$D$22))</x:f>
        <x:v>32</x:v>
      </x:c>
      <x:c r="M207" s="188" t="n">
        <x:f>L207*IF(H207=1,'01_ВВОД'!$D$118,1)</x:f>
        <x:v>32</x:v>
      </x:c>
      <x:c r="N207" s="188" t="n">
        <x:f>IF(K207=1,'01_ВВОД'!$D$26,0)</x:f>
        <x:v>40</x:v>
      </x:c>
      <x:c r="O207" s="188" t="n">
        <x:f>IF(F207=1,'01_ВВОД'!$D$34,IF(D207&lt;=5,'01_ВВОД'!$D$32,'01_ВВОД'!$D$33))</x:f>
        <x:v>15</x:v>
      </x:c>
      <x:c r="P207" s="188" t="n">
        <x:f>O207</x:f>
        <x:v>15</x:v>
      </x:c>
      <x:c r="Q207" s="188" t="n">
        <x:f>'01_ВВОД'!$D$40</x:f>
        <x:v>12</x:v>
      </x:c>
      <x:c r="R207" s="188" t="n">
        <x:f>'01_ВВОД'!$D$46</x:f>
        <x:v>20</x:v>
      </x:c>
      <x:c r="S207" s="188" t="n">
        <x:f>H207</x:f>
        <x:v>0</x:v>
      </x:c>
      <x:c r="T207" s="188" t="n">
        <x:f>IF(H207=1,M207+N207+P207+Q207,0)</x:f>
        <x:v>0</x:v>
      </x:c>
      <x:c r="U207" t="n">
        <x:f>'01_ВВОД'!$D$120</x:f>
        <x:v>10</x:v>
      </x:c>
      <x:c r="V207" t="n">
        <x:f>ROUNDDOWN(SUM(M207,N207,R207,U207)*'01_ВВОД'!$D$127,0)</x:f>
        <x:v>51</x:v>
      </x:c>
      <x:c r="W207" t="n">
        <x:f>ROUNDDOWN(SUM(L207,N207,R207,U207)*'01_ВВОД'!$D$127,0)</x:f>
        <x:v>51</x:v>
      </x:c>
    </x:row>
    <x:row r="208">
      <x:c r="A208" s="200" t="n">
        <x:v>46469</x:v>
      </x:c>
      <x:c r="B208" s="201" t="n">
        <x:v>7</x:v>
      </x:c>
      <x:c r="C208" s="201" t="inlineStr">
        <x:is>
          <x:t xml:space="preserve">Мар-27</x:t>
        </x:is>
      </x:c>
      <x:c r="D208" s="201" t="n">
        <x:v>2</x:v>
      </x:c>
      <x:c r="E208" s="201" t="inlineStr">
        <x:is>
          <x:t xml:space="preserve">Вт</x:t>
        </x:is>
      </x:c>
      <x:c r="F208" s="199" t="n">
        <x:v>0</x:v>
      </x:c>
      <x:c r="G208" s="201" t="str"/>
      <x:c r="H208" s="193" t="n">
        <x:v>0</x:v>
      </x:c>
      <x:c r="I208" s="201" t="str"/>
      <x:c r="J208" s="188" t="n">
        <x:f>1</x:f>
        <x:v>1</x:v>
      </x:c>
      <x:c r="K208" s="188" t="n">
        <x:f>IF(AND(D208&lt;=5,F208=0),1,0)</x:f>
        <x:v>1</x:v>
      </x:c>
      <x:c r="L208" s="188" t="n">
        <x:f>IF(F208=1,'01_ВВОД'!$D$23,CHOOSE(D208,'01_ВВОД'!$D$19,'01_ВВОД'!$D$19,'01_ВВОД'!$D$19,'01_ВВОД'!$D$19,'01_ВВОД'!$D$20,'01_ВВОД'!$D$21,'01_ВВОД'!$D$22))</x:f>
        <x:v>32</x:v>
      </x:c>
      <x:c r="M208" s="188" t="n">
        <x:f>L208*IF(H208=1,'01_ВВОД'!$D$118,1)</x:f>
        <x:v>32</x:v>
      </x:c>
      <x:c r="N208" s="188" t="n">
        <x:f>IF(K208=1,'01_ВВОД'!$D$26,0)</x:f>
        <x:v>40</x:v>
      </x:c>
      <x:c r="O208" s="188" t="n">
        <x:f>IF(F208=1,'01_ВВОД'!$D$34,IF(D208&lt;=5,'01_ВВОД'!$D$32,'01_ВВОД'!$D$33))</x:f>
        <x:v>15</x:v>
      </x:c>
      <x:c r="P208" s="188" t="n">
        <x:f>O208</x:f>
        <x:v>15</x:v>
      </x:c>
      <x:c r="Q208" s="188" t="n">
        <x:f>'01_ВВОД'!$D$40</x:f>
        <x:v>12</x:v>
      </x:c>
      <x:c r="R208" s="188" t="n">
        <x:f>'01_ВВОД'!$D$46</x:f>
        <x:v>20</x:v>
      </x:c>
      <x:c r="S208" s="188" t="n">
        <x:f>H208</x:f>
        <x:v>0</x:v>
      </x:c>
      <x:c r="T208" s="188" t="n">
        <x:f>IF(H208=1,M208+N208+P208+Q208,0)</x:f>
        <x:v>0</x:v>
      </x:c>
      <x:c r="U208" t="n">
        <x:f>'01_ВВОД'!$D$120</x:f>
        <x:v>10</x:v>
      </x:c>
      <x:c r="V208" t="n">
        <x:f>ROUNDDOWN(SUM(M208,N208,R208,U208)*'01_ВВОД'!$D$127,0)</x:f>
        <x:v>51</x:v>
      </x:c>
      <x:c r="W208" t="n">
        <x:f>ROUNDDOWN(SUM(L208,N208,R208,U208)*'01_ВВОД'!$D$127,0)</x:f>
        <x:v>51</x:v>
      </x:c>
    </x:row>
    <x:row r="209">
      <x:c r="A209" s="200" t="n">
        <x:v>46470</x:v>
      </x:c>
      <x:c r="B209" s="201" t="n">
        <x:v>7</x:v>
      </x:c>
      <x:c r="C209" s="201" t="inlineStr">
        <x:is>
          <x:t xml:space="preserve">Мар-27</x:t>
        </x:is>
      </x:c>
      <x:c r="D209" s="201" t="n">
        <x:v>3</x:v>
      </x:c>
      <x:c r="E209" s="201" t="inlineStr">
        <x:is>
          <x:t xml:space="preserve">Ср</x:t>
        </x:is>
      </x:c>
      <x:c r="F209" s="199" t="n">
        <x:v>0</x:v>
      </x:c>
      <x:c r="G209" s="201" t="str"/>
      <x:c r="H209" s="193" t="n">
        <x:v>0</x:v>
      </x:c>
      <x:c r="I209" s="201" t="str"/>
      <x:c r="J209" s="188" t="n">
        <x:f>1</x:f>
        <x:v>1</x:v>
      </x:c>
      <x:c r="K209" s="188" t="n">
        <x:f>IF(AND(D209&lt;=5,F209=0),1,0)</x:f>
        <x:v>1</x:v>
      </x:c>
      <x:c r="L209" s="188" t="n">
        <x:f>IF(F209=1,'01_ВВОД'!$D$23,CHOOSE(D209,'01_ВВОД'!$D$19,'01_ВВОД'!$D$19,'01_ВВОД'!$D$19,'01_ВВОД'!$D$19,'01_ВВОД'!$D$20,'01_ВВОД'!$D$21,'01_ВВОД'!$D$22))</x:f>
        <x:v>32</x:v>
      </x:c>
      <x:c r="M209" s="188" t="n">
        <x:f>L209*IF(H209=1,'01_ВВОД'!$D$118,1)</x:f>
        <x:v>32</x:v>
      </x:c>
      <x:c r="N209" s="188" t="n">
        <x:f>IF(K209=1,'01_ВВОД'!$D$26,0)</x:f>
        <x:v>40</x:v>
      </x:c>
      <x:c r="O209" s="188" t="n">
        <x:f>IF(F209=1,'01_ВВОД'!$D$34,IF(D209&lt;=5,'01_ВВОД'!$D$32,'01_ВВОД'!$D$33))</x:f>
        <x:v>15</x:v>
      </x:c>
      <x:c r="P209" s="188" t="n">
        <x:f>O209</x:f>
        <x:v>15</x:v>
      </x:c>
      <x:c r="Q209" s="188" t="n">
        <x:f>'01_ВВОД'!$D$40</x:f>
        <x:v>12</x:v>
      </x:c>
      <x:c r="R209" s="188" t="n">
        <x:f>'01_ВВОД'!$D$46</x:f>
        <x:v>20</x:v>
      </x:c>
      <x:c r="S209" s="188" t="n">
        <x:f>H209</x:f>
        <x:v>0</x:v>
      </x:c>
      <x:c r="T209" s="188" t="n">
        <x:f>IF(H209=1,M209+N209+P209+Q209,0)</x:f>
        <x:v>0</x:v>
      </x:c>
      <x:c r="U209" t="n">
        <x:f>'01_ВВОД'!$D$120</x:f>
        <x:v>10</x:v>
      </x:c>
      <x:c r="V209" t="n">
        <x:f>ROUNDDOWN(SUM(M209,N209,R209,U209)*'01_ВВОД'!$D$127,0)</x:f>
        <x:v>51</x:v>
      </x:c>
      <x:c r="W209" t="n">
        <x:f>ROUNDDOWN(SUM(L209,N209,R209,U209)*'01_ВВОД'!$D$127,0)</x:f>
        <x:v>51</x:v>
      </x:c>
    </x:row>
    <x:row r="210">
      <x:c r="A210" s="200" t="n">
        <x:v>46471</x:v>
      </x:c>
      <x:c r="B210" s="201" t="n">
        <x:v>7</x:v>
      </x:c>
      <x:c r="C210" s="201" t="inlineStr">
        <x:is>
          <x:t xml:space="preserve">Мар-27</x:t>
        </x:is>
      </x:c>
      <x:c r="D210" s="201" t="n">
        <x:v>4</x:v>
      </x:c>
      <x:c r="E210" s="201" t="inlineStr">
        <x:is>
          <x:t xml:space="preserve">Чт</x:t>
        </x:is>
      </x:c>
      <x:c r="F210" s="199" t="n">
        <x:v>0</x:v>
      </x:c>
      <x:c r="G210" s="201" t="str"/>
      <x:c r="H210" s="193" t="n">
        <x:v>0</x:v>
      </x:c>
      <x:c r="I210" s="201" t="str"/>
      <x:c r="J210" s="188" t="n">
        <x:f>1</x:f>
        <x:v>1</x:v>
      </x:c>
      <x:c r="K210" s="188" t="n">
        <x:f>IF(AND(D210&lt;=5,F210=0),1,0)</x:f>
        <x:v>1</x:v>
      </x:c>
      <x:c r="L210" s="188" t="n">
        <x:f>IF(F210=1,'01_ВВОД'!$D$23,CHOOSE(D210,'01_ВВОД'!$D$19,'01_ВВОД'!$D$19,'01_ВВОД'!$D$19,'01_ВВОД'!$D$19,'01_ВВОД'!$D$20,'01_ВВОД'!$D$21,'01_ВВОД'!$D$22))</x:f>
        <x:v>32</x:v>
      </x:c>
      <x:c r="M210" s="188" t="n">
        <x:f>L210*IF(H210=1,'01_ВВОД'!$D$118,1)</x:f>
        <x:v>32</x:v>
      </x:c>
      <x:c r="N210" s="188" t="n">
        <x:f>IF(K210=1,'01_ВВОД'!$D$26,0)</x:f>
        <x:v>40</x:v>
      </x:c>
      <x:c r="O210" s="188" t="n">
        <x:f>IF(F210=1,'01_ВВОД'!$D$34,IF(D210&lt;=5,'01_ВВОД'!$D$32,'01_ВВОД'!$D$33))</x:f>
        <x:v>15</x:v>
      </x:c>
      <x:c r="P210" s="188" t="n">
        <x:f>O210</x:f>
        <x:v>15</x:v>
      </x:c>
      <x:c r="Q210" s="188" t="n">
        <x:f>'01_ВВОД'!$D$40</x:f>
        <x:v>12</x:v>
      </x:c>
      <x:c r="R210" s="188" t="n">
        <x:f>'01_ВВОД'!$D$46</x:f>
        <x:v>20</x:v>
      </x:c>
      <x:c r="S210" s="188" t="n">
        <x:f>H210</x:f>
        <x:v>0</x:v>
      </x:c>
      <x:c r="T210" s="188" t="n">
        <x:f>IF(H210=1,M210+N210+P210+Q210,0)</x:f>
        <x:v>0</x:v>
      </x:c>
      <x:c r="U210" t="n">
        <x:f>'01_ВВОД'!$D$120</x:f>
        <x:v>10</x:v>
      </x:c>
      <x:c r="V210" t="n">
        <x:f>ROUNDDOWN(SUM(M210,N210,R210,U210)*'01_ВВОД'!$D$127,0)</x:f>
        <x:v>51</x:v>
      </x:c>
      <x:c r="W210" t="n">
        <x:f>ROUNDDOWN(SUM(L210,N210,R210,U210)*'01_ВВОД'!$D$127,0)</x:f>
        <x:v>51</x:v>
      </x:c>
    </x:row>
    <x:row r="211">
      <x:c r="A211" s="200" t="n">
        <x:v>46472</x:v>
      </x:c>
      <x:c r="B211" s="201" t="n">
        <x:v>7</x:v>
      </x:c>
      <x:c r="C211" s="201" t="inlineStr">
        <x:is>
          <x:t xml:space="preserve">Мар-27</x:t>
        </x:is>
      </x:c>
      <x:c r="D211" s="201" t="n">
        <x:v>5</x:v>
      </x:c>
      <x:c r="E211" s="201" t="inlineStr">
        <x:is>
          <x:t xml:space="preserve">Пт</x:t>
        </x:is>
      </x:c>
      <x:c r="F211" s="199" t="n">
        <x:v>0</x:v>
      </x:c>
      <x:c r="G211" s="201" t="str"/>
      <x:c r="H211" s="193" t="n">
        <x:v>0</x:v>
      </x:c>
      <x:c r="I211" s="201" t="str"/>
      <x:c r="J211" s="188" t="n">
        <x:f>1</x:f>
        <x:v>1</x:v>
      </x:c>
      <x:c r="K211" s="188" t="n">
        <x:f>IF(AND(D211&lt;=5,F211=0),1,0)</x:f>
        <x:v>1</x:v>
      </x:c>
      <x:c r="L211" s="188" t="n">
        <x:f>IF(F211=1,'01_ВВОД'!$D$23,CHOOSE(D211,'01_ВВОД'!$D$19,'01_ВВОД'!$D$19,'01_ВВОД'!$D$19,'01_ВВОД'!$D$19,'01_ВВОД'!$D$20,'01_ВВОД'!$D$21,'01_ВВОД'!$D$22))</x:f>
        <x:v>45</x:v>
      </x:c>
      <x:c r="M211" s="188" t="n">
        <x:f>L211*IF(H211=1,'01_ВВОД'!$D$118,1)</x:f>
        <x:v>45</x:v>
      </x:c>
      <x:c r="N211" s="188" t="n">
        <x:f>IF(K211=1,'01_ВВОД'!$D$26,0)</x:f>
        <x:v>40</x:v>
      </x:c>
      <x:c r="O211" s="188" t="n">
        <x:f>IF(F211=1,'01_ВВОД'!$D$34,IF(D211&lt;=5,'01_ВВОД'!$D$32,'01_ВВОД'!$D$33))</x:f>
        <x:v>15</x:v>
      </x:c>
      <x:c r="P211" s="188" t="n">
        <x:f>O211</x:f>
        <x:v>15</x:v>
      </x:c>
      <x:c r="Q211" s="188" t="n">
        <x:f>'01_ВВОД'!$D$40</x:f>
        <x:v>12</x:v>
      </x:c>
      <x:c r="R211" s="188" t="n">
        <x:f>'01_ВВОД'!$D$46</x:f>
        <x:v>20</x:v>
      </x:c>
      <x:c r="S211" s="188" t="n">
        <x:f>H211</x:f>
        <x:v>0</x:v>
      </x:c>
      <x:c r="T211" s="188" t="n">
        <x:f>IF(H211=1,M211+N211+P211+Q211,0)</x:f>
        <x:v>0</x:v>
      </x:c>
      <x:c r="U211" t="n">
        <x:f>'01_ВВОД'!$D$120</x:f>
        <x:v>10</x:v>
      </x:c>
      <x:c r="V211" t="n">
        <x:f>ROUNDDOWN(SUM(M211,N211,R211,U211)*'01_ВВОД'!$D$127,0)</x:f>
        <x:v>57</x:v>
      </x:c>
      <x:c r="W211" t="n">
        <x:f>ROUNDDOWN(SUM(L211,N211,R211,U211)*'01_ВВОД'!$D$127,0)</x:f>
        <x:v>57</x:v>
      </x:c>
    </x:row>
    <x:row r="212">
      <x:c r="A212" s="200" t="n">
        <x:v>46473</x:v>
      </x:c>
      <x:c r="B212" s="201" t="n">
        <x:v>7</x:v>
      </x:c>
      <x:c r="C212" s="201" t="inlineStr">
        <x:is>
          <x:t xml:space="preserve">Мар-27</x:t>
        </x:is>
      </x:c>
      <x:c r="D212" s="201" t="n">
        <x:v>6</x:v>
      </x:c>
      <x:c r="E212" s="201" t="inlineStr">
        <x:is>
          <x:t xml:space="preserve">Сб</x:t>
        </x:is>
      </x:c>
      <x:c r="F212" s="199" t="n">
        <x:v>0</x:v>
      </x:c>
      <x:c r="G212" s="201" t="str"/>
      <x:c r="H212" s="193" t="n">
        <x:v>1</x:v>
      </x:c>
      <x:c r="I212" s="201" t="inlineStr">
        <x:is>
          <x:t xml:space="preserve">Пт–Вс</x:t>
        </x:is>
      </x:c>
      <x:c r="J212" s="188" t="n">
        <x:f>1</x:f>
        <x:v>1</x:v>
      </x:c>
      <x:c r="K212" s="188" t="n">
        <x:f>IF(AND(D212&lt;=5,F212=0),1,0)</x:f>
        <x:v>0</x:v>
      </x:c>
      <x:c r="L212" s="188" t="n">
        <x:f>IF(F212=1,'01_ВВОД'!$D$23,CHOOSE(D212,'01_ВВОД'!$D$19,'01_ВВОД'!$D$19,'01_ВВОД'!$D$19,'01_ВВОД'!$D$19,'01_ВВОД'!$D$20,'01_ВВОД'!$D$21,'01_ВВОД'!$D$22))</x:f>
        <x:v>80</x:v>
      </x:c>
      <x:c r="M212" s="188" t="n">
        <x:f>L212*IF(H212=1,'01_ВВОД'!$D$118,1)</x:f>
        <x:v>16</x:v>
      </x:c>
      <x:c r="N212" s="188" t="n">
        <x:f>IF(K212=1,'01_ВВОД'!$D$26,0)</x:f>
        <x:v>0</x:v>
      </x:c>
      <x:c r="O212" s="188" t="n">
        <x:f>IF(F212=1,'01_ВВОД'!$D$34,IF(D212&lt;=5,'01_ВВОД'!$D$32,'01_ВВОД'!$D$33))</x:f>
        <x:v>30</x:v>
      </x:c>
      <x:c r="P212" s="188" t="n">
        <x:f>O212</x:f>
        <x:v>30</x:v>
      </x:c>
      <x:c r="Q212" s="188" t="n">
        <x:f>'01_ВВОД'!$D$40</x:f>
        <x:v>12</x:v>
      </x:c>
      <x:c r="R212" s="188" t="n">
        <x:f>'01_ВВОД'!$D$46</x:f>
        <x:v>20</x:v>
      </x:c>
      <x:c r="S212" s="188" t="n">
        <x:f>H212</x:f>
        <x:v>1</x:v>
      </x:c>
      <x:c r="T212" s="188" t="n">
        <x:f>IF(H212=1,M212+N212+P212+Q212,0)</x:f>
        <x:v>58</x:v>
      </x:c>
      <x:c r="U212" t="n">
        <x:f>'01_ВВОД'!$D$120</x:f>
        <x:v>10</x:v>
      </x:c>
      <x:c r="V212" t="n">
        <x:f>ROUNDDOWN(SUM(M212,N212,R212,U212)*'01_ВВОД'!$D$127,0)</x:f>
        <x:v>23</x:v>
      </x:c>
      <x:c r="W212" t="n">
        <x:f>ROUNDDOWN(SUM(L212,N212,R212,U212)*'01_ВВОД'!$D$127,0)</x:f>
        <x:v>55</x:v>
      </x:c>
    </x:row>
    <x:row r="213">
      <x:c r="A213" s="200" t="n">
        <x:v>46474</x:v>
      </x:c>
      <x:c r="B213" s="201" t="n">
        <x:v>7</x:v>
      </x:c>
      <x:c r="C213" s="201" t="inlineStr">
        <x:is>
          <x:t xml:space="preserve">Мар-27</x:t>
        </x:is>
      </x:c>
      <x:c r="D213" s="201" t="n">
        <x:v>7</x:v>
      </x:c>
      <x:c r="E213" s="201" t="inlineStr">
        <x:is>
          <x:t xml:space="preserve">Вс</x:t>
        </x:is>
      </x:c>
      <x:c r="F213" s="199" t="n">
        <x:v>0</x:v>
      </x:c>
      <x:c r="G213" s="201" t="str"/>
      <x:c r="H213" s="193" t="n">
        <x:v>0</x:v>
      </x:c>
      <x:c r="I213" s="201" t="str"/>
      <x:c r="J213" s="188" t="n">
        <x:f>1</x:f>
        <x:v>1</x:v>
      </x:c>
      <x:c r="K213" s="188" t="n">
        <x:f>IF(AND(D213&lt;=5,F213=0),1,0)</x:f>
        <x:v>0</x:v>
      </x:c>
      <x:c r="L213" s="188" t="n">
        <x:f>IF(F213=1,'01_ВВОД'!$D$23,CHOOSE(D213,'01_ВВОД'!$D$19,'01_ВВОД'!$D$19,'01_ВВОД'!$D$19,'01_ВВОД'!$D$19,'01_ВВОД'!$D$20,'01_ВВОД'!$D$21,'01_ВВОД'!$D$22))</x:f>
        <x:v>70</x:v>
      </x:c>
      <x:c r="M213" s="188" t="n">
        <x:f>L213*IF(H213=1,'01_ВВОД'!$D$118,1)</x:f>
        <x:v>70</x:v>
      </x:c>
      <x:c r="N213" s="188" t="n">
        <x:f>IF(K213=1,'01_ВВОД'!$D$26,0)</x:f>
        <x:v>0</x:v>
      </x:c>
      <x:c r="O213" s="188" t="n">
        <x:f>IF(F213=1,'01_ВВОД'!$D$34,IF(D213&lt;=5,'01_ВВОД'!$D$32,'01_ВВОД'!$D$33))</x:f>
        <x:v>30</x:v>
      </x:c>
      <x:c r="P213" s="188" t="n">
        <x:f>O213</x:f>
        <x:v>30</x:v>
      </x:c>
      <x:c r="Q213" s="188" t="n">
        <x:f>'01_ВВОД'!$D$40</x:f>
        <x:v>12</x:v>
      </x:c>
      <x:c r="R213" s="188" t="n">
        <x:f>'01_ВВОД'!$D$46</x:f>
        <x:v>20</x:v>
      </x:c>
      <x:c r="S213" s="188" t="n">
        <x:f>H213</x:f>
        <x:v>0</x:v>
      </x:c>
      <x:c r="T213" s="188" t="n">
        <x:f>IF(H213=1,M213+N213+P213+Q213,0)</x:f>
        <x:v>0</x:v>
      </x:c>
      <x:c r="U213" t="n">
        <x:f>'01_ВВОД'!$D$120</x:f>
        <x:v>10</x:v>
      </x:c>
      <x:c r="V213" t="n">
        <x:f>ROUNDDOWN(SUM(M213,N213,R213,U213)*'01_ВВОД'!$D$127,0)</x:f>
        <x:v>50</x:v>
      </x:c>
      <x:c r="W213" t="n">
        <x:f>ROUNDDOWN(SUM(L213,N213,R213,U213)*'01_ВВОД'!$D$127,0)</x:f>
        <x:v>50</x:v>
      </x:c>
    </x:row>
    <x:row r="214">
      <x:c r="A214" s="200" t="n">
        <x:v>46475</x:v>
      </x:c>
      <x:c r="B214" s="201" t="n">
        <x:v>7</x:v>
      </x:c>
      <x:c r="C214" s="201" t="inlineStr">
        <x:is>
          <x:t xml:space="preserve">Мар-27</x:t>
        </x:is>
      </x:c>
      <x:c r="D214" s="201" t="n">
        <x:v>1</x:v>
      </x:c>
      <x:c r="E214" s="201" t="inlineStr">
        <x:is>
          <x:t xml:space="preserve">Пн</x:t>
        </x:is>
      </x:c>
      <x:c r="F214" s="199" t="n">
        <x:v>0</x:v>
      </x:c>
      <x:c r="G214" s="201" t="str"/>
      <x:c r="H214" s="193" t="n">
        <x:v>1</x:v>
      </x:c>
      <x:c r="I214" s="201" t="inlineStr">
        <x:is>
          <x:t xml:space="preserve">Пн–Чт</x:t>
        </x:is>
      </x:c>
      <x:c r="J214" s="188" t="n">
        <x:f>1</x:f>
        <x:v>1</x:v>
      </x:c>
      <x:c r="K214" s="188" t="n">
        <x:f>IF(AND(D214&lt;=5,F214=0),1,0)</x:f>
        <x:v>1</x:v>
      </x:c>
      <x:c r="L214" s="188" t="n">
        <x:f>IF(F214=1,'01_ВВОД'!$D$23,CHOOSE(D214,'01_ВВОД'!$D$19,'01_ВВОД'!$D$19,'01_ВВОД'!$D$19,'01_ВВОД'!$D$19,'01_ВВОД'!$D$20,'01_ВВОД'!$D$21,'01_ВВОД'!$D$22))</x:f>
        <x:v>32</x:v>
      </x:c>
      <x:c r="M214" s="188" t="n">
        <x:f>L214*IF(H214=1,'01_ВВОД'!$D$118,1)</x:f>
        <x:v>6.4</x:v>
      </x:c>
      <x:c r="N214" s="188" t="n">
        <x:f>IF(K214=1,'01_ВВОД'!$D$26,0)</x:f>
        <x:v>40</x:v>
      </x:c>
      <x:c r="O214" s="188" t="n">
        <x:f>IF(F214=1,'01_ВВОД'!$D$34,IF(D214&lt;=5,'01_ВВОД'!$D$32,'01_ВВОД'!$D$33))</x:f>
        <x:v>15</x:v>
      </x:c>
      <x:c r="P214" s="188" t="n">
        <x:f>O214</x:f>
        <x:v>15</x:v>
      </x:c>
      <x:c r="Q214" s="188" t="n">
        <x:f>'01_ВВОД'!$D$40</x:f>
        <x:v>12</x:v>
      </x:c>
      <x:c r="R214" s="188" t="n">
        <x:f>'01_ВВОД'!$D$46</x:f>
        <x:v>20</x:v>
      </x:c>
      <x:c r="S214" s="188" t="n">
        <x:f>H214</x:f>
        <x:v>1</x:v>
      </x:c>
      <x:c r="T214" s="188" t="n">
        <x:f>IF(H214=1,M214+N214+P214+Q214,0)</x:f>
        <x:v>73.4</x:v>
      </x:c>
      <x:c r="U214" t="n">
        <x:f>'01_ВВОД'!$D$120</x:f>
        <x:v>10</x:v>
      </x:c>
      <x:c r="V214" t="n">
        <x:f>ROUNDDOWN(SUM(M214,N214,R214,U214)*'01_ВВОД'!$D$127,0)</x:f>
        <x:v>38</x:v>
      </x:c>
      <x:c r="W214" t="n">
        <x:f>ROUNDDOWN(SUM(L214,N214,R214,U214)*'01_ВВОД'!$D$127,0)</x:f>
        <x:v>51</x:v>
      </x:c>
    </x:row>
    <x:row r="215">
      <x:c r="A215" s="200" t="n">
        <x:v>46476</x:v>
      </x:c>
      <x:c r="B215" s="201" t="n">
        <x:v>7</x:v>
      </x:c>
      <x:c r="C215" s="201" t="inlineStr">
        <x:is>
          <x:t xml:space="preserve">Мар-27</x:t>
        </x:is>
      </x:c>
      <x:c r="D215" s="201" t="n">
        <x:v>2</x:v>
      </x:c>
      <x:c r="E215" s="201" t="inlineStr">
        <x:is>
          <x:t xml:space="preserve">Вт</x:t>
        </x:is>
      </x:c>
      <x:c r="F215" s="199" t="n">
        <x:v>0</x:v>
      </x:c>
      <x:c r="G215" s="201" t="str"/>
      <x:c r="H215" s="193" t="n">
        <x:v>0</x:v>
      </x:c>
      <x:c r="I215" s="201" t="str"/>
      <x:c r="J215" s="188" t="n">
        <x:f>1</x:f>
        <x:v>1</x:v>
      </x:c>
      <x:c r="K215" s="188" t="n">
        <x:f>IF(AND(D215&lt;=5,F215=0),1,0)</x:f>
        <x:v>1</x:v>
      </x:c>
      <x:c r="L215" s="188" t="n">
        <x:f>IF(F215=1,'01_ВВОД'!$D$23,CHOOSE(D215,'01_ВВОД'!$D$19,'01_ВВОД'!$D$19,'01_ВВОД'!$D$19,'01_ВВОД'!$D$19,'01_ВВОД'!$D$20,'01_ВВОД'!$D$21,'01_ВВОД'!$D$22))</x:f>
        <x:v>32</x:v>
      </x:c>
      <x:c r="M215" s="188" t="n">
        <x:f>L215*IF(H215=1,'01_ВВОД'!$D$118,1)</x:f>
        <x:v>32</x:v>
      </x:c>
      <x:c r="N215" s="188" t="n">
        <x:f>IF(K215=1,'01_ВВОД'!$D$26,0)</x:f>
        <x:v>40</x:v>
      </x:c>
      <x:c r="O215" s="188" t="n">
        <x:f>IF(F215=1,'01_ВВОД'!$D$34,IF(D215&lt;=5,'01_ВВОД'!$D$32,'01_ВВОД'!$D$33))</x:f>
        <x:v>15</x:v>
      </x:c>
      <x:c r="P215" s="188" t="n">
        <x:f>O215</x:f>
        <x:v>15</x:v>
      </x:c>
      <x:c r="Q215" s="188" t="n">
        <x:f>'01_ВВОД'!$D$40</x:f>
        <x:v>12</x:v>
      </x:c>
      <x:c r="R215" s="188" t="n">
        <x:f>'01_ВВОД'!$D$46</x:f>
        <x:v>20</x:v>
      </x:c>
      <x:c r="S215" s="188" t="n">
        <x:f>H215</x:f>
        <x:v>0</x:v>
      </x:c>
      <x:c r="T215" s="188" t="n">
        <x:f>IF(H215=1,M215+N215+P215+Q215,0)</x:f>
        <x:v>0</x:v>
      </x:c>
      <x:c r="U215" t="n">
        <x:f>'01_ВВОД'!$D$120</x:f>
        <x:v>10</x:v>
      </x:c>
      <x:c r="V215" t="n">
        <x:f>ROUNDDOWN(SUM(M215,N215,R215,U215)*'01_ВВОД'!$D$127,0)</x:f>
        <x:v>51</x:v>
      </x:c>
      <x:c r="W215" t="n">
        <x:f>ROUNDDOWN(SUM(L215,N215,R215,U215)*'01_ВВОД'!$D$127,0)</x:f>
        <x:v>51</x:v>
      </x:c>
    </x:row>
    <x:row r="216">
      <x:c r="A216" s="200" t="n">
        <x:v>46477</x:v>
      </x:c>
      <x:c r="B216" s="201" t="n">
        <x:v>7</x:v>
      </x:c>
      <x:c r="C216" s="201" t="inlineStr">
        <x:is>
          <x:t xml:space="preserve">Мар-27</x:t>
        </x:is>
      </x:c>
      <x:c r="D216" s="201" t="n">
        <x:v>3</x:v>
      </x:c>
      <x:c r="E216" s="201" t="inlineStr">
        <x:is>
          <x:t xml:space="preserve">Ср</x:t>
        </x:is>
      </x:c>
      <x:c r="F216" s="199" t="n">
        <x:v>0</x:v>
      </x:c>
      <x:c r="G216" s="201" t="str"/>
      <x:c r="H216" s="193" t="n">
        <x:v>0</x:v>
      </x:c>
      <x:c r="I216" s="201" t="str"/>
      <x:c r="J216" s="188" t="n">
        <x:f>1</x:f>
        <x:v>1</x:v>
      </x:c>
      <x:c r="K216" s="188" t="n">
        <x:f>IF(AND(D216&lt;=5,F216=0),1,0)</x:f>
        <x:v>1</x:v>
      </x:c>
      <x:c r="L216" s="188" t="n">
        <x:f>IF(F216=1,'01_ВВОД'!$D$23,CHOOSE(D216,'01_ВВОД'!$D$19,'01_ВВОД'!$D$19,'01_ВВОД'!$D$19,'01_ВВОД'!$D$19,'01_ВВОД'!$D$20,'01_ВВОД'!$D$21,'01_ВВОД'!$D$22))</x:f>
        <x:v>32</x:v>
      </x:c>
      <x:c r="M216" s="188" t="n">
        <x:f>L216*IF(H216=1,'01_ВВОД'!$D$118,1)</x:f>
        <x:v>32</x:v>
      </x:c>
      <x:c r="N216" s="188" t="n">
        <x:f>IF(K216=1,'01_ВВОД'!$D$26,0)</x:f>
        <x:v>40</x:v>
      </x:c>
      <x:c r="O216" s="188" t="n">
        <x:f>IF(F216=1,'01_ВВОД'!$D$34,IF(D216&lt;=5,'01_ВВОД'!$D$32,'01_ВВОД'!$D$33))</x:f>
        <x:v>15</x:v>
      </x:c>
      <x:c r="P216" s="188" t="n">
        <x:f>O216</x:f>
        <x:v>15</x:v>
      </x:c>
      <x:c r="Q216" s="188" t="n">
        <x:f>'01_ВВОД'!$D$40</x:f>
        <x:v>12</x:v>
      </x:c>
      <x:c r="R216" s="188" t="n">
        <x:f>'01_ВВОД'!$D$46</x:f>
        <x:v>20</x:v>
      </x:c>
      <x:c r="S216" s="188" t="n">
        <x:f>H216</x:f>
        <x:v>0</x:v>
      </x:c>
      <x:c r="T216" s="188" t="n">
        <x:f>IF(H216=1,M216+N216+P216+Q216,0)</x:f>
        <x:v>0</x:v>
      </x:c>
      <x:c r="U216" t="n">
        <x:f>'01_ВВОД'!$D$120</x:f>
        <x:v>10</x:v>
      </x:c>
      <x:c r="V216" t="n">
        <x:f>ROUNDDOWN(SUM(M216,N216,R216,U216)*'01_ВВОД'!$D$127,0)</x:f>
        <x:v>51</x:v>
      </x:c>
      <x:c r="W216" t="n">
        <x:f>ROUNDDOWN(SUM(L216,N216,R216,U216)*'01_ВВОД'!$D$127,0)</x:f>
        <x:v>51</x:v>
      </x:c>
    </x:row>
    <x:row r="217">
      <x:c r="A217" s="200" t="n">
        <x:v>46478</x:v>
      </x:c>
      <x:c r="B217" s="201" t="n">
        <x:v>8</x:v>
      </x:c>
      <x:c r="C217" s="201" t="inlineStr">
        <x:is>
          <x:t xml:space="preserve">Апр-27</x:t>
        </x:is>
      </x:c>
      <x:c r="D217" s="201" t="n">
        <x:v>4</x:v>
      </x:c>
      <x:c r="E217" s="201" t="inlineStr">
        <x:is>
          <x:t xml:space="preserve">Чт</x:t>
        </x:is>
      </x:c>
      <x:c r="F217" s="199" t="n">
        <x:v>0</x:v>
      </x:c>
      <x:c r="G217" s="201" t="str"/>
      <x:c r="H217" s="193" t="n">
        <x:v>0</x:v>
      </x:c>
      <x:c r="I217" s="201" t="str"/>
      <x:c r="J217" s="188" t="n">
        <x:f>1</x:f>
        <x:v>1</x:v>
      </x:c>
      <x:c r="K217" s="188" t="n">
        <x:f>IF(AND(D217&lt;=5,F217=0),1,0)</x:f>
        <x:v>1</x:v>
      </x:c>
      <x:c r="L217" s="188" t="n">
        <x:f>IF(F217=1,'01_ВВОД'!$D$23,CHOOSE(D217,'01_ВВОД'!$D$19,'01_ВВОД'!$D$19,'01_ВВОД'!$D$19,'01_ВВОД'!$D$19,'01_ВВОД'!$D$20,'01_ВВОД'!$D$21,'01_ВВОД'!$D$22))</x:f>
        <x:v>32</x:v>
      </x:c>
      <x:c r="M217" s="188" t="n">
        <x:f>L217*IF(H217=1,'01_ВВОД'!$D$118,1)</x:f>
        <x:v>32</x:v>
      </x:c>
      <x:c r="N217" s="188" t="n">
        <x:f>IF(K217=1,'01_ВВОД'!$D$26,0)</x:f>
        <x:v>40</x:v>
      </x:c>
      <x:c r="O217" s="188" t="n">
        <x:f>IF(F217=1,'01_ВВОД'!$D$34,IF(D217&lt;=5,'01_ВВОД'!$D$32,'01_ВВОД'!$D$33))</x:f>
        <x:v>15</x:v>
      </x:c>
      <x:c r="P217" s="188" t="n">
        <x:f>O217</x:f>
        <x:v>15</x:v>
      </x:c>
      <x:c r="Q217" s="188" t="n">
        <x:f>'01_ВВОД'!$D$40</x:f>
        <x:v>12</x:v>
      </x:c>
      <x:c r="R217" s="188" t="n">
        <x:f>'01_ВВОД'!$D$46</x:f>
        <x:v>20</x:v>
      </x:c>
      <x:c r="S217" s="188" t="n">
        <x:f>H217</x:f>
        <x:v>0</x:v>
      </x:c>
      <x:c r="T217" s="188" t="n">
        <x:f>IF(H217=1,M217+N217+P217+Q217,0)</x:f>
        <x:v>0</x:v>
      </x:c>
      <x:c r="U217" t="n">
        <x:f>'01_ВВОД'!$D$120</x:f>
        <x:v>10</x:v>
      </x:c>
      <x:c r="V217" t="n">
        <x:f>ROUNDDOWN(SUM(M217,N217,R217,U217)*'01_ВВОД'!$D$127,0)</x:f>
        <x:v>51</x:v>
      </x:c>
      <x:c r="W217" t="n">
        <x:f>ROUNDDOWN(SUM(L217,N217,R217,U217)*'01_ВВОД'!$D$127,0)</x:f>
        <x:v>51</x:v>
      </x:c>
    </x:row>
    <x:row r="218">
      <x:c r="A218" s="200" t="n">
        <x:v>46479</x:v>
      </x:c>
      <x:c r="B218" s="201" t="n">
        <x:v>8</x:v>
      </x:c>
      <x:c r="C218" s="201" t="inlineStr">
        <x:is>
          <x:t xml:space="preserve">Апр-27</x:t>
        </x:is>
      </x:c>
      <x:c r="D218" s="201" t="n">
        <x:v>5</x:v>
      </x:c>
      <x:c r="E218" s="201" t="inlineStr">
        <x:is>
          <x:t xml:space="preserve">Пт</x:t>
        </x:is>
      </x:c>
      <x:c r="F218" s="199" t="n">
        <x:v>0</x:v>
      </x:c>
      <x:c r="G218" s="201" t="str"/>
      <x:c r="H218" s="193" t="n">
        <x:v>0</x:v>
      </x:c>
      <x:c r="I218" s="201" t="str"/>
      <x:c r="J218" s="188" t="n">
        <x:f>1</x:f>
        <x:v>1</x:v>
      </x:c>
      <x:c r="K218" s="188" t="n">
        <x:f>IF(AND(D218&lt;=5,F218=0),1,0)</x:f>
        <x:v>1</x:v>
      </x:c>
      <x:c r="L218" s="188" t="n">
        <x:f>IF(F218=1,'01_ВВОД'!$D$23,CHOOSE(D218,'01_ВВОД'!$D$19,'01_ВВОД'!$D$19,'01_ВВОД'!$D$19,'01_ВВОД'!$D$19,'01_ВВОД'!$D$20,'01_ВВОД'!$D$21,'01_ВВОД'!$D$22))</x:f>
        <x:v>45</x:v>
      </x:c>
      <x:c r="M218" s="188" t="n">
        <x:f>L218*IF(H218=1,'01_ВВОД'!$D$118,1)</x:f>
        <x:v>45</x:v>
      </x:c>
      <x:c r="N218" s="188" t="n">
        <x:f>IF(K218=1,'01_ВВОД'!$D$26,0)</x:f>
        <x:v>40</x:v>
      </x:c>
      <x:c r="O218" s="188" t="n">
        <x:f>IF(F218=1,'01_ВВОД'!$D$34,IF(D218&lt;=5,'01_ВВОД'!$D$32,'01_ВВОД'!$D$33))</x:f>
        <x:v>15</x:v>
      </x:c>
      <x:c r="P218" s="188" t="n">
        <x:f>O218</x:f>
        <x:v>15</x:v>
      </x:c>
      <x:c r="Q218" s="188" t="n">
        <x:f>'01_ВВОД'!$D$40</x:f>
        <x:v>12</x:v>
      </x:c>
      <x:c r="R218" s="188" t="n">
        <x:f>'01_ВВОД'!$D$46</x:f>
        <x:v>20</x:v>
      </x:c>
      <x:c r="S218" s="188" t="n">
        <x:f>H218</x:f>
        <x:v>0</x:v>
      </x:c>
      <x:c r="T218" s="188" t="n">
        <x:f>IF(H218=1,M218+N218+P218+Q218,0)</x:f>
        <x:v>0</x:v>
      </x:c>
      <x:c r="U218" t="n">
        <x:f>'01_ВВОД'!$D$120</x:f>
        <x:v>10</x:v>
      </x:c>
      <x:c r="V218" t="n">
        <x:f>ROUNDDOWN(SUM(M218,N218,R218,U218)*'01_ВВОД'!$D$127,0)</x:f>
        <x:v>57</x:v>
      </x:c>
      <x:c r="W218" t="n">
        <x:f>ROUNDDOWN(SUM(L218,N218,R218,U218)*'01_ВВОД'!$D$127,0)</x:f>
        <x:v>57</x:v>
      </x:c>
    </x:row>
    <x:row r="219">
      <x:c r="A219" s="200" t="n">
        <x:v>46480</x:v>
      </x:c>
      <x:c r="B219" s="201" t="n">
        <x:v>8</x:v>
      </x:c>
      <x:c r="C219" s="201" t="inlineStr">
        <x:is>
          <x:t xml:space="preserve">Апр-27</x:t>
        </x:is>
      </x:c>
      <x:c r="D219" s="201" t="n">
        <x:v>6</x:v>
      </x:c>
      <x:c r="E219" s="201" t="inlineStr">
        <x:is>
          <x:t xml:space="preserve">Сб</x:t>
        </x:is>
      </x:c>
      <x:c r="F219" s="199" t="n">
        <x:v>0</x:v>
      </x:c>
      <x:c r="G219" s="201" t="str"/>
      <x:c r="H219" s="193" t="n">
        <x:v>0</x:v>
      </x:c>
      <x:c r="I219" s="201" t="str"/>
      <x:c r="J219" s="188" t="n">
        <x:f>1</x:f>
        <x:v>1</x:v>
      </x:c>
      <x:c r="K219" s="188" t="n">
        <x:f>IF(AND(D219&lt;=5,F219=0),1,0)</x:f>
        <x:v>0</x:v>
      </x:c>
      <x:c r="L219" s="188" t="n">
        <x:f>IF(F219=1,'01_ВВОД'!$D$23,CHOOSE(D219,'01_ВВОД'!$D$19,'01_ВВОД'!$D$19,'01_ВВОД'!$D$19,'01_ВВОД'!$D$19,'01_ВВОД'!$D$20,'01_ВВОД'!$D$21,'01_ВВОД'!$D$22))</x:f>
        <x:v>80</x:v>
      </x:c>
      <x:c r="M219" s="188" t="n">
        <x:f>L219*IF(H219=1,'01_ВВОД'!$D$118,1)</x:f>
        <x:v>80</x:v>
      </x:c>
      <x:c r="N219" s="188" t="n">
        <x:f>IF(K219=1,'01_ВВОД'!$D$26,0)</x:f>
        <x:v>0</x:v>
      </x:c>
      <x:c r="O219" s="188" t="n">
        <x:f>IF(F219=1,'01_ВВОД'!$D$34,IF(D219&lt;=5,'01_ВВОД'!$D$32,'01_ВВОД'!$D$33))</x:f>
        <x:v>30</x:v>
      </x:c>
      <x:c r="P219" s="188" t="n">
        <x:f>O219</x:f>
        <x:v>30</x:v>
      </x:c>
      <x:c r="Q219" s="188" t="n">
        <x:f>'01_ВВОД'!$D$40</x:f>
        <x:v>12</x:v>
      </x:c>
      <x:c r="R219" s="188" t="n">
        <x:f>'01_ВВОД'!$D$46</x:f>
        <x:v>20</x:v>
      </x:c>
      <x:c r="S219" s="188" t="n">
        <x:f>H219</x:f>
        <x:v>0</x:v>
      </x:c>
      <x:c r="T219" s="188" t="n">
        <x:f>IF(H219=1,M219+N219+P219+Q219,0)</x:f>
        <x:v>0</x:v>
      </x:c>
      <x:c r="U219" t="n">
        <x:f>'01_ВВОД'!$D$120</x:f>
        <x:v>10</x:v>
      </x:c>
      <x:c r="V219" t="n">
        <x:f>ROUNDDOWN(SUM(M219,N219,R219,U219)*'01_ВВОД'!$D$127,0)</x:f>
        <x:v>55</x:v>
      </x:c>
      <x:c r="W219" t="n">
        <x:f>ROUNDDOWN(SUM(L219,N219,R219,U219)*'01_ВВОД'!$D$127,0)</x:f>
        <x:v>55</x:v>
      </x:c>
    </x:row>
    <x:row r="220">
      <x:c r="A220" s="200" t="n">
        <x:v>46481</x:v>
      </x:c>
      <x:c r="B220" s="201" t="n">
        <x:v>8</x:v>
      </x:c>
      <x:c r="C220" s="201" t="inlineStr">
        <x:is>
          <x:t xml:space="preserve">Апр-27</x:t>
        </x:is>
      </x:c>
      <x:c r="D220" s="201" t="n">
        <x:v>7</x:v>
      </x:c>
      <x:c r="E220" s="201" t="inlineStr">
        <x:is>
          <x:t xml:space="preserve">Вс</x:t>
        </x:is>
      </x:c>
      <x:c r="F220" s="199" t="n">
        <x:v>0</x:v>
      </x:c>
      <x:c r="G220" s="201" t="str"/>
      <x:c r="H220" s="193" t="n">
        <x:v>0</x:v>
      </x:c>
      <x:c r="I220" s="201" t="str"/>
      <x:c r="J220" s="188" t="n">
        <x:f>1</x:f>
        <x:v>1</x:v>
      </x:c>
      <x:c r="K220" s="188" t="n">
        <x:f>IF(AND(D220&lt;=5,F220=0),1,0)</x:f>
        <x:v>0</x:v>
      </x:c>
      <x:c r="L220" s="188" t="n">
        <x:f>IF(F220=1,'01_ВВОД'!$D$23,CHOOSE(D220,'01_ВВОД'!$D$19,'01_ВВОД'!$D$19,'01_ВВОД'!$D$19,'01_ВВОД'!$D$19,'01_ВВОД'!$D$20,'01_ВВОД'!$D$21,'01_ВВОД'!$D$22))</x:f>
        <x:v>70</x:v>
      </x:c>
      <x:c r="M220" s="188" t="n">
        <x:f>L220*IF(H220=1,'01_ВВОД'!$D$118,1)</x:f>
        <x:v>70</x:v>
      </x:c>
      <x:c r="N220" s="188" t="n">
        <x:f>IF(K220=1,'01_ВВОД'!$D$26,0)</x:f>
        <x:v>0</x:v>
      </x:c>
      <x:c r="O220" s="188" t="n">
        <x:f>IF(F220=1,'01_ВВОД'!$D$34,IF(D220&lt;=5,'01_ВВОД'!$D$32,'01_ВВОД'!$D$33))</x:f>
        <x:v>30</x:v>
      </x:c>
      <x:c r="P220" s="188" t="n">
        <x:f>O220</x:f>
        <x:v>30</x:v>
      </x:c>
      <x:c r="Q220" s="188" t="n">
        <x:f>'01_ВВОД'!$D$40</x:f>
        <x:v>12</x:v>
      </x:c>
      <x:c r="R220" s="188" t="n">
        <x:f>'01_ВВОД'!$D$46</x:f>
        <x:v>20</x:v>
      </x:c>
      <x:c r="S220" s="188" t="n">
        <x:f>H220</x:f>
        <x:v>0</x:v>
      </x:c>
      <x:c r="T220" s="188" t="n">
        <x:f>IF(H220=1,M220+N220+P220+Q220,0)</x:f>
        <x:v>0</x:v>
      </x:c>
      <x:c r="U220" t="n">
        <x:f>'01_ВВОД'!$D$120</x:f>
        <x:v>10</x:v>
      </x:c>
      <x:c r="V220" t="n">
        <x:f>ROUNDDOWN(SUM(M220,N220,R220,U220)*'01_ВВОД'!$D$127,0)</x:f>
        <x:v>50</x:v>
      </x:c>
      <x:c r="W220" t="n">
        <x:f>ROUNDDOWN(SUM(L220,N220,R220,U220)*'01_ВВОД'!$D$127,0)</x:f>
        <x:v>50</x:v>
      </x:c>
    </x:row>
    <x:row r="221">
      <x:c r="A221" s="200" t="n">
        <x:v>46482</x:v>
      </x:c>
      <x:c r="B221" s="201" t="n">
        <x:v>8</x:v>
      </x:c>
      <x:c r="C221" s="201" t="inlineStr">
        <x:is>
          <x:t xml:space="preserve">Апр-27</x:t>
        </x:is>
      </x:c>
      <x:c r="D221" s="201" t="n">
        <x:v>1</x:v>
      </x:c>
      <x:c r="E221" s="201" t="inlineStr">
        <x:is>
          <x:t xml:space="preserve">Пн</x:t>
        </x:is>
      </x:c>
      <x:c r="F221" s="199" t="n">
        <x:v>0</x:v>
      </x:c>
      <x:c r="G221" s="201" t="str"/>
      <x:c r="H221" s="193" t="n">
        <x:v>0</x:v>
      </x:c>
      <x:c r="I221" s="201" t="str"/>
      <x:c r="J221" s="188" t="n">
        <x:f>1</x:f>
        <x:v>1</x:v>
      </x:c>
      <x:c r="K221" s="188" t="n">
        <x:f>IF(AND(D221&lt;=5,F221=0),1,0)</x:f>
        <x:v>1</x:v>
      </x:c>
      <x:c r="L221" s="188" t="n">
        <x:f>IF(F221=1,'01_ВВОД'!$D$23,CHOOSE(D221,'01_ВВОД'!$D$19,'01_ВВОД'!$D$19,'01_ВВОД'!$D$19,'01_ВВОД'!$D$19,'01_ВВОД'!$D$20,'01_ВВОД'!$D$21,'01_ВВОД'!$D$22))</x:f>
        <x:v>32</x:v>
      </x:c>
      <x:c r="M221" s="188" t="n">
        <x:f>L221*IF(H221=1,'01_ВВОД'!$D$118,1)</x:f>
        <x:v>32</x:v>
      </x:c>
      <x:c r="N221" s="188" t="n">
        <x:f>IF(K221=1,'01_ВВОД'!$D$26,0)</x:f>
        <x:v>40</x:v>
      </x:c>
      <x:c r="O221" s="188" t="n">
        <x:f>IF(F221=1,'01_ВВОД'!$D$34,IF(D221&lt;=5,'01_ВВОД'!$D$32,'01_ВВОД'!$D$33))</x:f>
        <x:v>15</x:v>
      </x:c>
      <x:c r="P221" s="188" t="n">
        <x:f>O221</x:f>
        <x:v>15</x:v>
      </x:c>
      <x:c r="Q221" s="188" t="n">
        <x:f>'01_ВВОД'!$D$40</x:f>
        <x:v>12</x:v>
      </x:c>
      <x:c r="R221" s="188" t="n">
        <x:f>'01_ВВОД'!$D$46</x:f>
        <x:v>20</x:v>
      </x:c>
      <x:c r="S221" s="188" t="n">
        <x:f>H221</x:f>
        <x:v>0</x:v>
      </x:c>
      <x:c r="T221" s="188" t="n">
        <x:f>IF(H221=1,M221+N221+P221+Q221,0)</x:f>
        <x:v>0</x:v>
      </x:c>
      <x:c r="U221" t="n">
        <x:f>'01_ВВОД'!$D$120</x:f>
        <x:v>10</x:v>
      </x:c>
      <x:c r="V221" t="n">
        <x:f>ROUNDDOWN(SUM(M221,N221,R221,U221)*'01_ВВОД'!$D$127,0)</x:f>
        <x:v>51</x:v>
      </x:c>
      <x:c r="W221" t="n">
        <x:f>ROUNDDOWN(SUM(L221,N221,R221,U221)*'01_ВВОД'!$D$127,0)</x:f>
        <x:v>51</x:v>
      </x:c>
    </x:row>
    <x:row r="222">
      <x:c r="A222" s="200" t="n">
        <x:v>46483</x:v>
      </x:c>
      <x:c r="B222" s="201" t="n">
        <x:v>8</x:v>
      </x:c>
      <x:c r="C222" s="201" t="inlineStr">
        <x:is>
          <x:t xml:space="preserve">Апр-27</x:t>
        </x:is>
      </x:c>
      <x:c r="D222" s="201" t="n">
        <x:v>2</x:v>
      </x:c>
      <x:c r="E222" s="201" t="inlineStr">
        <x:is>
          <x:t xml:space="preserve">Вт</x:t>
        </x:is>
      </x:c>
      <x:c r="F222" s="199" t="n">
        <x:v>0</x:v>
      </x:c>
      <x:c r="G222" s="201" t="str"/>
      <x:c r="H222" s="193" t="n">
        <x:v>0</x:v>
      </x:c>
      <x:c r="I222" s="201" t="str"/>
      <x:c r="J222" s="188" t="n">
        <x:f>1</x:f>
        <x:v>1</x:v>
      </x:c>
      <x:c r="K222" s="188" t="n">
        <x:f>IF(AND(D222&lt;=5,F222=0),1,0)</x:f>
        <x:v>1</x:v>
      </x:c>
      <x:c r="L222" s="188" t="n">
        <x:f>IF(F222=1,'01_ВВОД'!$D$23,CHOOSE(D222,'01_ВВОД'!$D$19,'01_ВВОД'!$D$19,'01_ВВОД'!$D$19,'01_ВВОД'!$D$19,'01_ВВОД'!$D$20,'01_ВВОД'!$D$21,'01_ВВОД'!$D$22))</x:f>
        <x:v>32</x:v>
      </x:c>
      <x:c r="M222" s="188" t="n">
        <x:f>L222*IF(H222=1,'01_ВВОД'!$D$118,1)</x:f>
        <x:v>32</x:v>
      </x:c>
      <x:c r="N222" s="188" t="n">
        <x:f>IF(K222=1,'01_ВВОД'!$D$26,0)</x:f>
        <x:v>40</x:v>
      </x:c>
      <x:c r="O222" s="188" t="n">
        <x:f>IF(F222=1,'01_ВВОД'!$D$34,IF(D222&lt;=5,'01_ВВОД'!$D$32,'01_ВВОД'!$D$33))</x:f>
        <x:v>15</x:v>
      </x:c>
      <x:c r="P222" s="188" t="n">
        <x:f>O222</x:f>
        <x:v>15</x:v>
      </x:c>
      <x:c r="Q222" s="188" t="n">
        <x:f>'01_ВВОД'!$D$40</x:f>
        <x:v>12</x:v>
      </x:c>
      <x:c r="R222" s="188" t="n">
        <x:f>'01_ВВОД'!$D$46</x:f>
        <x:v>20</x:v>
      </x:c>
      <x:c r="S222" s="188" t="n">
        <x:f>H222</x:f>
        <x:v>0</x:v>
      </x:c>
      <x:c r="T222" s="188" t="n">
        <x:f>IF(H222=1,M222+N222+P222+Q222,0)</x:f>
        <x:v>0</x:v>
      </x:c>
      <x:c r="U222" t="n">
        <x:f>'01_ВВОД'!$D$120</x:f>
        <x:v>10</x:v>
      </x:c>
      <x:c r="V222" t="n">
        <x:f>ROUNDDOWN(SUM(M222,N222,R222,U222)*'01_ВВОД'!$D$127,0)</x:f>
        <x:v>51</x:v>
      </x:c>
      <x:c r="W222" t="n">
        <x:f>ROUNDDOWN(SUM(L222,N222,R222,U222)*'01_ВВОД'!$D$127,0)</x:f>
        <x:v>51</x:v>
      </x:c>
    </x:row>
    <x:row r="223">
      <x:c r="A223" s="200" t="n">
        <x:v>46484</x:v>
      </x:c>
      <x:c r="B223" s="201" t="n">
        <x:v>8</x:v>
      </x:c>
      <x:c r="C223" s="201" t="inlineStr">
        <x:is>
          <x:t xml:space="preserve">Апр-27</x:t>
        </x:is>
      </x:c>
      <x:c r="D223" s="201" t="n">
        <x:v>3</x:v>
      </x:c>
      <x:c r="E223" s="201" t="inlineStr">
        <x:is>
          <x:t xml:space="preserve">Ср</x:t>
        </x:is>
      </x:c>
      <x:c r="F223" s="199" t="n">
        <x:v>0</x:v>
      </x:c>
      <x:c r="G223" s="201" t="str"/>
      <x:c r="H223" s="193" t="n">
        <x:v>0</x:v>
      </x:c>
      <x:c r="I223" s="201" t="str"/>
      <x:c r="J223" s="188" t="n">
        <x:f>1</x:f>
        <x:v>1</x:v>
      </x:c>
      <x:c r="K223" s="188" t="n">
        <x:f>IF(AND(D223&lt;=5,F223=0),1,0)</x:f>
        <x:v>1</x:v>
      </x:c>
      <x:c r="L223" s="188" t="n">
        <x:f>IF(F223=1,'01_ВВОД'!$D$23,CHOOSE(D223,'01_ВВОД'!$D$19,'01_ВВОД'!$D$19,'01_ВВОД'!$D$19,'01_ВВОД'!$D$19,'01_ВВОД'!$D$20,'01_ВВОД'!$D$21,'01_ВВОД'!$D$22))</x:f>
        <x:v>32</x:v>
      </x:c>
      <x:c r="M223" s="188" t="n">
        <x:f>L223*IF(H223=1,'01_ВВОД'!$D$118,1)</x:f>
        <x:v>32</x:v>
      </x:c>
      <x:c r="N223" s="188" t="n">
        <x:f>IF(K223=1,'01_ВВОД'!$D$26,0)</x:f>
        <x:v>40</x:v>
      </x:c>
      <x:c r="O223" s="188" t="n">
        <x:f>IF(F223=1,'01_ВВОД'!$D$34,IF(D223&lt;=5,'01_ВВОД'!$D$32,'01_ВВОД'!$D$33))</x:f>
        <x:v>15</x:v>
      </x:c>
      <x:c r="P223" s="188" t="n">
        <x:f>O223</x:f>
        <x:v>15</x:v>
      </x:c>
      <x:c r="Q223" s="188" t="n">
        <x:f>'01_ВВОД'!$D$40</x:f>
        <x:v>12</x:v>
      </x:c>
      <x:c r="R223" s="188" t="n">
        <x:f>'01_ВВОД'!$D$46</x:f>
        <x:v>20</x:v>
      </x:c>
      <x:c r="S223" s="188" t="n">
        <x:f>H223</x:f>
        <x:v>0</x:v>
      </x:c>
      <x:c r="T223" s="188" t="n">
        <x:f>IF(H223=1,M223+N223+P223+Q223,0)</x:f>
        <x:v>0</x:v>
      </x:c>
      <x:c r="U223" t="n">
        <x:f>'01_ВВОД'!$D$120</x:f>
        <x:v>10</x:v>
      </x:c>
      <x:c r="V223" t="n">
        <x:f>ROUNDDOWN(SUM(M223,N223,R223,U223)*'01_ВВОД'!$D$127,0)</x:f>
        <x:v>51</x:v>
      </x:c>
      <x:c r="W223" t="n">
        <x:f>ROUNDDOWN(SUM(L223,N223,R223,U223)*'01_ВВОД'!$D$127,0)</x:f>
        <x:v>51</x:v>
      </x:c>
    </x:row>
    <x:row r="224">
      <x:c r="A224" s="200" t="n">
        <x:v>46485</x:v>
      </x:c>
      <x:c r="B224" s="201" t="n">
        <x:v>8</x:v>
      </x:c>
      <x:c r="C224" s="201" t="inlineStr">
        <x:is>
          <x:t xml:space="preserve">Апр-27</x:t>
        </x:is>
      </x:c>
      <x:c r="D224" s="201" t="n">
        <x:v>4</x:v>
      </x:c>
      <x:c r="E224" s="201" t="inlineStr">
        <x:is>
          <x:t xml:space="preserve">Чт</x:t>
        </x:is>
      </x:c>
      <x:c r="F224" s="199" t="n">
        <x:v>0</x:v>
      </x:c>
      <x:c r="G224" s="201" t="str"/>
      <x:c r="H224" s="193" t="n">
        <x:v>1</x:v>
      </x:c>
      <x:c r="I224" s="201" t="inlineStr">
        <x:is>
          <x:t xml:space="preserve">Пн–Чт</x:t>
        </x:is>
      </x:c>
      <x:c r="J224" s="188" t="n">
        <x:f>1</x:f>
        <x:v>1</x:v>
      </x:c>
      <x:c r="K224" s="188" t="n">
        <x:f>IF(AND(D224&lt;=5,F224=0),1,0)</x:f>
        <x:v>1</x:v>
      </x:c>
      <x:c r="L224" s="188" t="n">
        <x:f>IF(F224=1,'01_ВВОД'!$D$23,CHOOSE(D224,'01_ВВОД'!$D$19,'01_ВВОД'!$D$19,'01_ВВОД'!$D$19,'01_ВВОД'!$D$19,'01_ВВОД'!$D$20,'01_ВВОД'!$D$21,'01_ВВОД'!$D$22))</x:f>
        <x:v>32</x:v>
      </x:c>
      <x:c r="M224" s="188" t="n">
        <x:f>L224*IF(H224=1,'01_ВВОД'!$D$118,1)</x:f>
        <x:v>6.4</x:v>
      </x:c>
      <x:c r="N224" s="188" t="n">
        <x:f>IF(K224=1,'01_ВВОД'!$D$26,0)</x:f>
        <x:v>40</x:v>
      </x:c>
      <x:c r="O224" s="188" t="n">
        <x:f>IF(F224=1,'01_ВВОД'!$D$34,IF(D224&lt;=5,'01_ВВОД'!$D$32,'01_ВВОД'!$D$33))</x:f>
        <x:v>15</x:v>
      </x:c>
      <x:c r="P224" s="188" t="n">
        <x:f>O224</x:f>
        <x:v>15</x:v>
      </x:c>
      <x:c r="Q224" s="188" t="n">
        <x:f>'01_ВВОД'!$D$40</x:f>
        <x:v>12</x:v>
      </x:c>
      <x:c r="R224" s="188" t="n">
        <x:f>'01_ВВОД'!$D$46</x:f>
        <x:v>20</x:v>
      </x:c>
      <x:c r="S224" s="188" t="n">
        <x:f>H224</x:f>
        <x:v>1</x:v>
      </x:c>
      <x:c r="T224" s="188" t="n">
        <x:f>IF(H224=1,M224+N224+P224+Q224,0)</x:f>
        <x:v>73.4</x:v>
      </x:c>
      <x:c r="U224" t="n">
        <x:f>'01_ВВОД'!$D$120</x:f>
        <x:v>10</x:v>
      </x:c>
      <x:c r="V224" t="n">
        <x:f>ROUNDDOWN(SUM(M224,N224,R224,U224)*'01_ВВОД'!$D$127,0)</x:f>
        <x:v>38</x:v>
      </x:c>
      <x:c r="W224" t="n">
        <x:f>ROUNDDOWN(SUM(L224,N224,R224,U224)*'01_ВВОД'!$D$127,0)</x:f>
        <x:v>51</x:v>
      </x:c>
    </x:row>
    <x:row r="225">
      <x:c r="A225" s="200" t="n">
        <x:v>46486</x:v>
      </x:c>
      <x:c r="B225" s="201" t="n">
        <x:v>8</x:v>
      </x:c>
      <x:c r="C225" s="201" t="inlineStr">
        <x:is>
          <x:t xml:space="preserve">Апр-27</x:t>
        </x:is>
      </x:c>
      <x:c r="D225" s="201" t="n">
        <x:v>5</x:v>
      </x:c>
      <x:c r="E225" s="201" t="inlineStr">
        <x:is>
          <x:t xml:space="preserve">Пт</x:t>
        </x:is>
      </x:c>
      <x:c r="F225" s="199" t="n">
        <x:v>0</x:v>
      </x:c>
      <x:c r="G225" s="201" t="str"/>
      <x:c r="H225" s="193" t="n">
        <x:v>1</x:v>
      </x:c>
      <x:c r="I225" s="201" t="inlineStr">
        <x:is>
          <x:t xml:space="preserve">Пт–Вс</x:t>
        </x:is>
      </x:c>
      <x:c r="J225" s="188" t="n">
        <x:f>1</x:f>
        <x:v>1</x:v>
      </x:c>
      <x:c r="K225" s="188" t="n">
        <x:f>IF(AND(D225&lt;=5,F225=0),1,0)</x:f>
        <x:v>1</x:v>
      </x:c>
      <x:c r="L225" s="188" t="n">
        <x:f>IF(F225=1,'01_ВВОД'!$D$23,CHOOSE(D225,'01_ВВОД'!$D$19,'01_ВВОД'!$D$19,'01_ВВОД'!$D$19,'01_ВВОД'!$D$19,'01_ВВОД'!$D$20,'01_ВВОД'!$D$21,'01_ВВОД'!$D$22))</x:f>
        <x:v>45</x:v>
      </x:c>
      <x:c r="M225" s="188" t="n">
        <x:f>L225*IF(H225=1,'01_ВВОД'!$D$118,1)</x:f>
        <x:v>9</x:v>
      </x:c>
      <x:c r="N225" s="188" t="n">
        <x:f>IF(K225=1,'01_ВВОД'!$D$26,0)</x:f>
        <x:v>40</x:v>
      </x:c>
      <x:c r="O225" s="188" t="n">
        <x:f>IF(F225=1,'01_ВВОД'!$D$34,IF(D225&lt;=5,'01_ВВОД'!$D$32,'01_ВВОД'!$D$33))</x:f>
        <x:v>15</x:v>
      </x:c>
      <x:c r="P225" s="188" t="n">
        <x:f>O225</x:f>
        <x:v>15</x:v>
      </x:c>
      <x:c r="Q225" s="188" t="n">
        <x:f>'01_ВВОД'!$D$40</x:f>
        <x:v>12</x:v>
      </x:c>
      <x:c r="R225" s="188" t="n">
        <x:f>'01_ВВОД'!$D$46</x:f>
        <x:v>20</x:v>
      </x:c>
      <x:c r="S225" s="188" t="n">
        <x:f>H225</x:f>
        <x:v>1</x:v>
      </x:c>
      <x:c r="T225" s="188" t="n">
        <x:f>IF(H225=1,M225+N225+P225+Q225,0)</x:f>
        <x:v>76</x:v>
      </x:c>
      <x:c r="U225" t="n">
        <x:f>'01_ВВОД'!$D$120</x:f>
        <x:v>10</x:v>
      </x:c>
      <x:c r="V225" t="n">
        <x:f>ROUNDDOWN(SUM(M225,N225,R225,U225)*'01_ВВОД'!$D$127,0)</x:f>
        <x:v>39</x:v>
      </x:c>
      <x:c r="W225" t="n">
        <x:f>ROUNDDOWN(SUM(L225,N225,R225,U225)*'01_ВВОД'!$D$127,0)</x:f>
        <x:v>57</x:v>
      </x:c>
    </x:row>
    <x:row r="226">
      <x:c r="A226" s="200" t="n">
        <x:v>46487</x:v>
      </x:c>
      <x:c r="B226" s="201" t="n">
        <x:v>8</x:v>
      </x:c>
      <x:c r="C226" s="201" t="inlineStr">
        <x:is>
          <x:t xml:space="preserve">Апр-27</x:t>
        </x:is>
      </x:c>
      <x:c r="D226" s="201" t="n">
        <x:v>6</x:v>
      </x:c>
      <x:c r="E226" s="201" t="inlineStr">
        <x:is>
          <x:t xml:space="preserve">Сб</x:t>
        </x:is>
      </x:c>
      <x:c r="F226" s="199" t="n">
        <x:v>0</x:v>
      </x:c>
      <x:c r="G226" s="201" t="str"/>
      <x:c r="H226" s="193" t="n">
        <x:v>0</x:v>
      </x:c>
      <x:c r="I226" s="201" t="str"/>
      <x:c r="J226" s="188" t="n">
        <x:f>1</x:f>
        <x:v>1</x:v>
      </x:c>
      <x:c r="K226" s="188" t="n">
        <x:f>IF(AND(D226&lt;=5,F226=0),1,0)</x:f>
        <x:v>0</x:v>
      </x:c>
      <x:c r="L226" s="188" t="n">
        <x:f>IF(F226=1,'01_ВВОД'!$D$23,CHOOSE(D226,'01_ВВОД'!$D$19,'01_ВВОД'!$D$19,'01_ВВОД'!$D$19,'01_ВВОД'!$D$19,'01_ВВОД'!$D$20,'01_ВВОД'!$D$21,'01_ВВОД'!$D$22))</x:f>
        <x:v>80</x:v>
      </x:c>
      <x:c r="M226" s="188" t="n">
        <x:f>L226*IF(H226=1,'01_ВВОД'!$D$118,1)</x:f>
        <x:v>80</x:v>
      </x:c>
      <x:c r="N226" s="188" t="n">
        <x:f>IF(K226=1,'01_ВВОД'!$D$26,0)</x:f>
        <x:v>0</x:v>
      </x:c>
      <x:c r="O226" s="188" t="n">
        <x:f>IF(F226=1,'01_ВВОД'!$D$34,IF(D226&lt;=5,'01_ВВОД'!$D$32,'01_ВВОД'!$D$33))</x:f>
        <x:v>30</x:v>
      </x:c>
      <x:c r="P226" s="188" t="n">
        <x:f>O226</x:f>
        <x:v>30</x:v>
      </x:c>
      <x:c r="Q226" s="188" t="n">
        <x:f>'01_ВВОД'!$D$40</x:f>
        <x:v>12</x:v>
      </x:c>
      <x:c r="R226" s="188" t="n">
        <x:f>'01_ВВОД'!$D$46</x:f>
        <x:v>20</x:v>
      </x:c>
      <x:c r="S226" s="188" t="n">
        <x:f>H226</x:f>
        <x:v>0</x:v>
      </x:c>
      <x:c r="T226" s="188" t="n">
        <x:f>IF(H226=1,M226+N226+P226+Q226,0)</x:f>
        <x:v>0</x:v>
      </x:c>
      <x:c r="U226" t="n">
        <x:f>'01_ВВОД'!$D$120</x:f>
        <x:v>10</x:v>
      </x:c>
      <x:c r="V226" t="n">
        <x:f>ROUNDDOWN(SUM(M226,N226,R226,U226)*'01_ВВОД'!$D$127,0)</x:f>
        <x:v>55</x:v>
      </x:c>
      <x:c r="W226" t="n">
        <x:f>ROUNDDOWN(SUM(L226,N226,R226,U226)*'01_ВВОД'!$D$127,0)</x:f>
        <x:v>55</x:v>
      </x:c>
    </x:row>
    <x:row r="227">
      <x:c r="A227" s="200" t="n">
        <x:v>46488</x:v>
      </x:c>
      <x:c r="B227" s="201" t="n">
        <x:v>8</x:v>
      </x:c>
      <x:c r="C227" s="201" t="inlineStr">
        <x:is>
          <x:t xml:space="preserve">Апр-27</x:t>
        </x:is>
      </x:c>
      <x:c r="D227" s="201" t="n">
        <x:v>7</x:v>
      </x:c>
      <x:c r="E227" s="201" t="inlineStr">
        <x:is>
          <x:t xml:space="preserve">Вс</x:t>
        </x:is>
      </x:c>
      <x:c r="F227" s="199" t="n">
        <x:v>0</x:v>
      </x:c>
      <x:c r="G227" s="201" t="str"/>
      <x:c r="H227" s="193" t="n">
        <x:v>1</x:v>
      </x:c>
      <x:c r="I227" s="201" t="inlineStr">
        <x:is>
          <x:t xml:space="preserve">Пт–Вс</x:t>
        </x:is>
      </x:c>
      <x:c r="J227" s="188" t="n">
        <x:f>1</x:f>
        <x:v>1</x:v>
      </x:c>
      <x:c r="K227" s="188" t="n">
        <x:f>IF(AND(D227&lt;=5,F227=0),1,0)</x:f>
        <x:v>0</x:v>
      </x:c>
      <x:c r="L227" s="188" t="n">
        <x:f>IF(F227=1,'01_ВВОД'!$D$23,CHOOSE(D227,'01_ВВОД'!$D$19,'01_ВВОД'!$D$19,'01_ВВОД'!$D$19,'01_ВВОД'!$D$19,'01_ВВОД'!$D$20,'01_ВВОД'!$D$21,'01_ВВОД'!$D$22))</x:f>
        <x:v>70</x:v>
      </x:c>
      <x:c r="M227" s="188" t="n">
        <x:f>L227*IF(H227=1,'01_ВВОД'!$D$118,1)</x:f>
        <x:v>14</x:v>
      </x:c>
      <x:c r="N227" s="188" t="n">
        <x:f>IF(K227=1,'01_ВВОД'!$D$26,0)</x:f>
        <x:v>0</x:v>
      </x:c>
      <x:c r="O227" s="188" t="n">
        <x:f>IF(F227=1,'01_ВВОД'!$D$34,IF(D227&lt;=5,'01_ВВОД'!$D$32,'01_ВВОД'!$D$33))</x:f>
        <x:v>30</x:v>
      </x:c>
      <x:c r="P227" s="188" t="n">
        <x:f>O227</x:f>
        <x:v>30</x:v>
      </x:c>
      <x:c r="Q227" s="188" t="n">
        <x:f>'01_ВВОД'!$D$40</x:f>
        <x:v>12</x:v>
      </x:c>
      <x:c r="R227" s="188" t="n">
        <x:f>'01_ВВОД'!$D$46</x:f>
        <x:v>20</x:v>
      </x:c>
      <x:c r="S227" s="188" t="n">
        <x:f>H227</x:f>
        <x:v>1</x:v>
      </x:c>
      <x:c r="T227" s="188" t="n">
        <x:f>IF(H227=1,M227+N227+P227+Q227,0)</x:f>
        <x:v>56</x:v>
      </x:c>
      <x:c r="U227" t="n">
        <x:f>'01_ВВОД'!$D$120</x:f>
        <x:v>10</x:v>
      </x:c>
      <x:c r="V227" t="n">
        <x:f>ROUNDDOWN(SUM(M227,N227,R227,U227)*'01_ВВОД'!$D$127,0)</x:f>
        <x:v>22</x:v>
      </x:c>
      <x:c r="W227" t="n">
        <x:f>ROUNDDOWN(SUM(L227,N227,R227,U227)*'01_ВВОД'!$D$127,0)</x:f>
        <x:v>50</x:v>
      </x:c>
    </x:row>
    <x:row r="228">
      <x:c r="A228" s="200" t="n">
        <x:v>46489</x:v>
      </x:c>
      <x:c r="B228" s="201" t="n">
        <x:v>8</x:v>
      </x:c>
      <x:c r="C228" s="201" t="inlineStr">
        <x:is>
          <x:t xml:space="preserve">Апр-27</x:t>
        </x:is>
      </x:c>
      <x:c r="D228" s="201" t="n">
        <x:v>1</x:v>
      </x:c>
      <x:c r="E228" s="201" t="inlineStr">
        <x:is>
          <x:t xml:space="preserve">Пн</x:t>
        </x:is>
      </x:c>
      <x:c r="F228" s="199" t="n">
        <x:v>0</x:v>
      </x:c>
      <x:c r="G228" s="201" t="str"/>
      <x:c r="H228" s="193" t="n">
        <x:v>0</x:v>
      </x:c>
      <x:c r="I228" s="201" t="str"/>
      <x:c r="J228" s="188" t="n">
        <x:f>1</x:f>
        <x:v>1</x:v>
      </x:c>
      <x:c r="K228" s="188" t="n">
        <x:f>IF(AND(D228&lt;=5,F228=0),1,0)</x:f>
        <x:v>1</x:v>
      </x:c>
      <x:c r="L228" s="188" t="n">
        <x:f>IF(F228=1,'01_ВВОД'!$D$23,CHOOSE(D228,'01_ВВОД'!$D$19,'01_ВВОД'!$D$19,'01_ВВОД'!$D$19,'01_ВВОД'!$D$19,'01_ВВОД'!$D$20,'01_ВВОД'!$D$21,'01_ВВОД'!$D$22))</x:f>
        <x:v>32</x:v>
      </x:c>
      <x:c r="M228" s="188" t="n">
        <x:f>L228*IF(H228=1,'01_ВВОД'!$D$118,1)</x:f>
        <x:v>32</x:v>
      </x:c>
      <x:c r="N228" s="188" t="n">
        <x:f>IF(K228=1,'01_ВВОД'!$D$26,0)</x:f>
        <x:v>40</x:v>
      </x:c>
      <x:c r="O228" s="188" t="n">
        <x:f>IF(F228=1,'01_ВВОД'!$D$34,IF(D228&lt;=5,'01_ВВОД'!$D$32,'01_ВВОД'!$D$33))</x:f>
        <x:v>15</x:v>
      </x:c>
      <x:c r="P228" s="188" t="n">
        <x:f>O228</x:f>
        <x:v>15</x:v>
      </x:c>
      <x:c r="Q228" s="188" t="n">
        <x:f>'01_ВВОД'!$D$40</x:f>
        <x:v>12</x:v>
      </x:c>
      <x:c r="R228" s="188" t="n">
        <x:f>'01_ВВОД'!$D$46</x:f>
        <x:v>20</x:v>
      </x:c>
      <x:c r="S228" s="188" t="n">
        <x:f>H228</x:f>
        <x:v>0</x:v>
      </x:c>
      <x:c r="T228" s="188" t="n">
        <x:f>IF(H228=1,M228+N228+P228+Q228,0)</x:f>
        <x:v>0</x:v>
      </x:c>
      <x:c r="U228" t="n">
        <x:f>'01_ВВОД'!$D$120</x:f>
        <x:v>10</x:v>
      </x:c>
      <x:c r="V228" t="n">
        <x:f>ROUNDDOWN(SUM(M228,N228,R228,U228)*'01_ВВОД'!$D$127,0)</x:f>
        <x:v>51</x:v>
      </x:c>
      <x:c r="W228" t="n">
        <x:f>ROUNDDOWN(SUM(L228,N228,R228,U228)*'01_ВВОД'!$D$127,0)</x:f>
        <x:v>51</x:v>
      </x:c>
    </x:row>
    <x:row r="229">
      <x:c r="A229" s="200" t="n">
        <x:v>46490</x:v>
      </x:c>
      <x:c r="B229" s="201" t="n">
        <x:v>8</x:v>
      </x:c>
      <x:c r="C229" s="201" t="inlineStr">
        <x:is>
          <x:t xml:space="preserve">Апр-27</x:t>
        </x:is>
      </x:c>
      <x:c r="D229" s="201" t="n">
        <x:v>2</x:v>
      </x:c>
      <x:c r="E229" s="201" t="inlineStr">
        <x:is>
          <x:t xml:space="preserve">Вт</x:t>
        </x:is>
      </x:c>
      <x:c r="F229" s="199" t="n">
        <x:v>0</x:v>
      </x:c>
      <x:c r="G229" s="201" t="str"/>
      <x:c r="H229" s="193" t="n">
        <x:v>0</x:v>
      </x:c>
      <x:c r="I229" s="201" t="str"/>
      <x:c r="J229" s="188" t="n">
        <x:f>1</x:f>
        <x:v>1</x:v>
      </x:c>
      <x:c r="K229" s="188" t="n">
        <x:f>IF(AND(D229&lt;=5,F229=0),1,0)</x:f>
        <x:v>1</x:v>
      </x:c>
      <x:c r="L229" s="188" t="n">
        <x:f>IF(F229=1,'01_ВВОД'!$D$23,CHOOSE(D229,'01_ВВОД'!$D$19,'01_ВВОД'!$D$19,'01_ВВОД'!$D$19,'01_ВВОД'!$D$19,'01_ВВОД'!$D$20,'01_ВВОД'!$D$21,'01_ВВОД'!$D$22))</x:f>
        <x:v>32</x:v>
      </x:c>
      <x:c r="M229" s="188" t="n">
        <x:f>L229*IF(H229=1,'01_ВВОД'!$D$118,1)</x:f>
        <x:v>32</x:v>
      </x:c>
      <x:c r="N229" s="188" t="n">
        <x:f>IF(K229=1,'01_ВВОД'!$D$26,0)</x:f>
        <x:v>40</x:v>
      </x:c>
      <x:c r="O229" s="188" t="n">
        <x:f>IF(F229=1,'01_ВВОД'!$D$34,IF(D229&lt;=5,'01_ВВОД'!$D$32,'01_ВВОД'!$D$33))</x:f>
        <x:v>15</x:v>
      </x:c>
      <x:c r="P229" s="188" t="n">
        <x:f>O229</x:f>
        <x:v>15</x:v>
      </x:c>
      <x:c r="Q229" s="188" t="n">
        <x:f>'01_ВВОД'!$D$40</x:f>
        <x:v>12</x:v>
      </x:c>
      <x:c r="R229" s="188" t="n">
        <x:f>'01_ВВОД'!$D$46</x:f>
        <x:v>20</x:v>
      </x:c>
      <x:c r="S229" s="188" t="n">
        <x:f>H229</x:f>
        <x:v>0</x:v>
      </x:c>
      <x:c r="T229" s="188" t="n">
        <x:f>IF(H229=1,M229+N229+P229+Q229,0)</x:f>
        <x:v>0</x:v>
      </x:c>
      <x:c r="U229" t="n">
        <x:f>'01_ВВОД'!$D$120</x:f>
        <x:v>10</x:v>
      </x:c>
      <x:c r="V229" t="n">
        <x:f>ROUNDDOWN(SUM(M229,N229,R229,U229)*'01_ВВОД'!$D$127,0)</x:f>
        <x:v>51</x:v>
      </x:c>
      <x:c r="W229" t="n">
        <x:f>ROUNDDOWN(SUM(L229,N229,R229,U229)*'01_ВВОД'!$D$127,0)</x:f>
        <x:v>51</x:v>
      </x:c>
    </x:row>
    <x:row r="230">
      <x:c r="A230" s="200" t="n">
        <x:v>46491</x:v>
      </x:c>
      <x:c r="B230" s="201" t="n">
        <x:v>8</x:v>
      </x:c>
      <x:c r="C230" s="201" t="inlineStr">
        <x:is>
          <x:t xml:space="preserve">Апр-27</x:t>
        </x:is>
      </x:c>
      <x:c r="D230" s="201" t="n">
        <x:v>3</x:v>
      </x:c>
      <x:c r="E230" s="201" t="inlineStr">
        <x:is>
          <x:t xml:space="preserve">Ср</x:t>
        </x:is>
      </x:c>
      <x:c r="F230" s="199" t="n">
        <x:v>0</x:v>
      </x:c>
      <x:c r="G230" s="201" t="str"/>
      <x:c r="H230" s="193" t="n">
        <x:v>0</x:v>
      </x:c>
      <x:c r="I230" s="201" t="str"/>
      <x:c r="J230" s="188" t="n">
        <x:f>1</x:f>
        <x:v>1</x:v>
      </x:c>
      <x:c r="K230" s="188" t="n">
        <x:f>IF(AND(D230&lt;=5,F230=0),1,0)</x:f>
        <x:v>1</x:v>
      </x:c>
      <x:c r="L230" s="188" t="n">
        <x:f>IF(F230=1,'01_ВВОД'!$D$23,CHOOSE(D230,'01_ВВОД'!$D$19,'01_ВВОД'!$D$19,'01_ВВОД'!$D$19,'01_ВВОД'!$D$19,'01_ВВОД'!$D$20,'01_ВВОД'!$D$21,'01_ВВОД'!$D$22))</x:f>
        <x:v>32</x:v>
      </x:c>
      <x:c r="M230" s="188" t="n">
        <x:f>L230*IF(H230=1,'01_ВВОД'!$D$118,1)</x:f>
        <x:v>32</x:v>
      </x:c>
      <x:c r="N230" s="188" t="n">
        <x:f>IF(K230=1,'01_ВВОД'!$D$26,0)</x:f>
        <x:v>40</x:v>
      </x:c>
      <x:c r="O230" s="188" t="n">
        <x:f>IF(F230=1,'01_ВВОД'!$D$34,IF(D230&lt;=5,'01_ВВОД'!$D$32,'01_ВВОД'!$D$33))</x:f>
        <x:v>15</x:v>
      </x:c>
      <x:c r="P230" s="188" t="n">
        <x:f>O230</x:f>
        <x:v>15</x:v>
      </x:c>
      <x:c r="Q230" s="188" t="n">
        <x:f>'01_ВВОД'!$D$40</x:f>
        <x:v>12</x:v>
      </x:c>
      <x:c r="R230" s="188" t="n">
        <x:f>'01_ВВОД'!$D$46</x:f>
        <x:v>20</x:v>
      </x:c>
      <x:c r="S230" s="188" t="n">
        <x:f>H230</x:f>
        <x:v>0</x:v>
      </x:c>
      <x:c r="T230" s="188" t="n">
        <x:f>IF(H230=1,M230+N230+P230+Q230,0)</x:f>
        <x:v>0</x:v>
      </x:c>
      <x:c r="U230" t="n">
        <x:f>'01_ВВОД'!$D$120</x:f>
        <x:v>10</x:v>
      </x:c>
      <x:c r="V230" t="n">
        <x:f>ROUNDDOWN(SUM(M230,N230,R230,U230)*'01_ВВОД'!$D$127,0)</x:f>
        <x:v>51</x:v>
      </x:c>
      <x:c r="W230" t="n">
        <x:f>ROUNDDOWN(SUM(L230,N230,R230,U230)*'01_ВВОД'!$D$127,0)</x:f>
        <x:v>51</x:v>
      </x:c>
    </x:row>
    <x:row r="231">
      <x:c r="A231" s="200" t="n">
        <x:v>46492</x:v>
      </x:c>
      <x:c r="B231" s="201" t="n">
        <x:v>8</x:v>
      </x:c>
      <x:c r="C231" s="201" t="inlineStr">
        <x:is>
          <x:t xml:space="preserve">Апр-27</x:t>
        </x:is>
      </x:c>
      <x:c r="D231" s="201" t="n">
        <x:v>4</x:v>
      </x:c>
      <x:c r="E231" s="201" t="inlineStr">
        <x:is>
          <x:t xml:space="preserve">Чт</x:t>
        </x:is>
      </x:c>
      <x:c r="F231" s="199" t="n">
        <x:v>0</x:v>
      </x:c>
      <x:c r="G231" s="201" t="str"/>
      <x:c r="H231" s="193" t="n">
        <x:v>1</x:v>
      </x:c>
      <x:c r="I231" s="201" t="inlineStr">
        <x:is>
          <x:t xml:space="preserve">Пн–Чт</x:t>
        </x:is>
      </x:c>
      <x:c r="J231" s="188" t="n">
        <x:f>1</x:f>
        <x:v>1</x:v>
      </x:c>
      <x:c r="K231" s="188" t="n">
        <x:f>IF(AND(D231&lt;=5,F231=0),1,0)</x:f>
        <x:v>1</x:v>
      </x:c>
      <x:c r="L231" s="188" t="n">
        <x:f>IF(F231=1,'01_ВВОД'!$D$23,CHOOSE(D231,'01_ВВОД'!$D$19,'01_ВВОД'!$D$19,'01_ВВОД'!$D$19,'01_ВВОД'!$D$19,'01_ВВОД'!$D$20,'01_ВВОД'!$D$21,'01_ВВОД'!$D$22))</x:f>
        <x:v>32</x:v>
      </x:c>
      <x:c r="M231" s="188" t="n">
        <x:f>L231*IF(H231=1,'01_ВВОД'!$D$118,1)</x:f>
        <x:v>6.4</x:v>
      </x:c>
      <x:c r="N231" s="188" t="n">
        <x:f>IF(K231=1,'01_ВВОД'!$D$26,0)</x:f>
        <x:v>40</x:v>
      </x:c>
      <x:c r="O231" s="188" t="n">
        <x:f>IF(F231=1,'01_ВВОД'!$D$34,IF(D231&lt;=5,'01_ВВОД'!$D$32,'01_ВВОД'!$D$33))</x:f>
        <x:v>15</x:v>
      </x:c>
      <x:c r="P231" s="188" t="n">
        <x:f>O231</x:f>
        <x:v>15</x:v>
      </x:c>
      <x:c r="Q231" s="188" t="n">
        <x:f>'01_ВВОД'!$D$40</x:f>
        <x:v>12</x:v>
      </x:c>
      <x:c r="R231" s="188" t="n">
        <x:f>'01_ВВОД'!$D$46</x:f>
        <x:v>20</x:v>
      </x:c>
      <x:c r="S231" s="188" t="n">
        <x:f>H231</x:f>
        <x:v>1</x:v>
      </x:c>
      <x:c r="T231" s="188" t="n">
        <x:f>IF(H231=1,M231+N231+P231+Q231,0)</x:f>
        <x:v>73.4</x:v>
      </x:c>
      <x:c r="U231" t="n">
        <x:f>'01_ВВОД'!$D$120</x:f>
        <x:v>10</x:v>
      </x:c>
      <x:c r="V231" t="n">
        <x:f>ROUNDDOWN(SUM(M231,N231,R231,U231)*'01_ВВОД'!$D$127,0)</x:f>
        <x:v>38</x:v>
      </x:c>
      <x:c r="W231" t="n">
        <x:f>ROUNDDOWN(SUM(L231,N231,R231,U231)*'01_ВВОД'!$D$127,0)</x:f>
        <x:v>51</x:v>
      </x:c>
    </x:row>
    <x:row r="232">
      <x:c r="A232" s="200" t="n">
        <x:v>46493</x:v>
      </x:c>
      <x:c r="B232" s="201" t="n">
        <x:v>8</x:v>
      </x:c>
      <x:c r="C232" s="201" t="inlineStr">
        <x:is>
          <x:t xml:space="preserve">Апр-27</x:t>
        </x:is>
      </x:c>
      <x:c r="D232" s="201" t="n">
        <x:v>5</x:v>
      </x:c>
      <x:c r="E232" s="201" t="inlineStr">
        <x:is>
          <x:t xml:space="preserve">Пт</x:t>
        </x:is>
      </x:c>
      <x:c r="F232" s="199" t="n">
        <x:v>0</x:v>
      </x:c>
      <x:c r="G232" s="201" t="str"/>
      <x:c r="H232" s="193" t="n">
        <x:v>0</x:v>
      </x:c>
      <x:c r="I232" s="201" t="str"/>
      <x:c r="J232" s="188" t="n">
        <x:f>1</x:f>
        <x:v>1</x:v>
      </x:c>
      <x:c r="K232" s="188" t="n">
        <x:f>IF(AND(D232&lt;=5,F232=0),1,0)</x:f>
        <x:v>1</x:v>
      </x:c>
      <x:c r="L232" s="188" t="n">
        <x:f>IF(F232=1,'01_ВВОД'!$D$23,CHOOSE(D232,'01_ВВОД'!$D$19,'01_ВВОД'!$D$19,'01_ВВОД'!$D$19,'01_ВВОД'!$D$19,'01_ВВОД'!$D$20,'01_ВВОД'!$D$21,'01_ВВОД'!$D$22))</x:f>
        <x:v>45</x:v>
      </x:c>
      <x:c r="M232" s="188" t="n">
        <x:f>L232*IF(H232=1,'01_ВВОД'!$D$118,1)</x:f>
        <x:v>45</x:v>
      </x:c>
      <x:c r="N232" s="188" t="n">
        <x:f>IF(K232=1,'01_ВВОД'!$D$26,0)</x:f>
        <x:v>40</x:v>
      </x:c>
      <x:c r="O232" s="188" t="n">
        <x:f>IF(F232=1,'01_ВВОД'!$D$34,IF(D232&lt;=5,'01_ВВОД'!$D$32,'01_ВВОД'!$D$33))</x:f>
        <x:v>15</x:v>
      </x:c>
      <x:c r="P232" s="188" t="n">
        <x:f>O232</x:f>
        <x:v>15</x:v>
      </x:c>
      <x:c r="Q232" s="188" t="n">
        <x:f>'01_ВВОД'!$D$40</x:f>
        <x:v>12</x:v>
      </x:c>
      <x:c r="R232" s="188" t="n">
        <x:f>'01_ВВОД'!$D$46</x:f>
        <x:v>20</x:v>
      </x:c>
      <x:c r="S232" s="188" t="n">
        <x:f>H232</x:f>
        <x:v>0</x:v>
      </x:c>
      <x:c r="T232" s="188" t="n">
        <x:f>IF(H232=1,M232+N232+P232+Q232,0)</x:f>
        <x:v>0</x:v>
      </x:c>
      <x:c r="U232" t="n">
        <x:f>'01_ВВОД'!$D$120</x:f>
        <x:v>10</x:v>
      </x:c>
      <x:c r="V232" t="n">
        <x:f>ROUNDDOWN(SUM(M232,N232,R232,U232)*'01_ВВОД'!$D$127,0)</x:f>
        <x:v>57</x:v>
      </x:c>
      <x:c r="W232" t="n">
        <x:f>ROUNDDOWN(SUM(L232,N232,R232,U232)*'01_ВВОД'!$D$127,0)</x:f>
        <x:v>57</x:v>
      </x:c>
    </x:row>
    <x:row r="233">
      <x:c r="A233" s="200" t="n">
        <x:v>46494</x:v>
      </x:c>
      <x:c r="B233" s="201" t="n">
        <x:v>8</x:v>
      </x:c>
      <x:c r="C233" s="201" t="inlineStr">
        <x:is>
          <x:t xml:space="preserve">Апр-27</x:t>
        </x:is>
      </x:c>
      <x:c r="D233" s="201" t="n">
        <x:v>6</x:v>
      </x:c>
      <x:c r="E233" s="201" t="inlineStr">
        <x:is>
          <x:t xml:space="preserve">Сб</x:t>
        </x:is>
      </x:c>
      <x:c r="F233" s="199" t="n">
        <x:v>0</x:v>
      </x:c>
      <x:c r="G233" s="201" t="str"/>
      <x:c r="H233" s="193" t="n">
        <x:v>0</x:v>
      </x:c>
      <x:c r="I233" s="201" t="str"/>
      <x:c r="J233" s="188" t="n">
        <x:f>1</x:f>
        <x:v>1</x:v>
      </x:c>
      <x:c r="K233" s="188" t="n">
        <x:f>IF(AND(D233&lt;=5,F233=0),1,0)</x:f>
        <x:v>0</x:v>
      </x:c>
      <x:c r="L233" s="188" t="n">
        <x:f>IF(F233=1,'01_ВВОД'!$D$23,CHOOSE(D233,'01_ВВОД'!$D$19,'01_ВВОД'!$D$19,'01_ВВОД'!$D$19,'01_ВВОД'!$D$19,'01_ВВОД'!$D$20,'01_ВВОД'!$D$21,'01_ВВОД'!$D$22))</x:f>
        <x:v>80</x:v>
      </x:c>
      <x:c r="M233" s="188" t="n">
        <x:f>L233*IF(H233=1,'01_ВВОД'!$D$118,1)</x:f>
        <x:v>80</x:v>
      </x:c>
      <x:c r="N233" s="188" t="n">
        <x:f>IF(K233=1,'01_ВВОД'!$D$26,0)</x:f>
        <x:v>0</x:v>
      </x:c>
      <x:c r="O233" s="188" t="n">
        <x:f>IF(F233=1,'01_ВВОД'!$D$34,IF(D233&lt;=5,'01_ВВОД'!$D$32,'01_ВВОД'!$D$33))</x:f>
        <x:v>30</x:v>
      </x:c>
      <x:c r="P233" s="188" t="n">
        <x:f>O233</x:f>
        <x:v>30</x:v>
      </x:c>
      <x:c r="Q233" s="188" t="n">
        <x:f>'01_ВВОД'!$D$40</x:f>
        <x:v>12</x:v>
      </x:c>
      <x:c r="R233" s="188" t="n">
        <x:f>'01_ВВОД'!$D$46</x:f>
        <x:v>20</x:v>
      </x:c>
      <x:c r="S233" s="188" t="n">
        <x:f>H233</x:f>
        <x:v>0</x:v>
      </x:c>
      <x:c r="T233" s="188" t="n">
        <x:f>IF(H233=1,M233+N233+P233+Q233,0)</x:f>
        <x:v>0</x:v>
      </x:c>
      <x:c r="U233" t="n">
        <x:f>'01_ВВОД'!$D$120</x:f>
        <x:v>10</x:v>
      </x:c>
      <x:c r="V233" t="n">
        <x:f>ROUNDDOWN(SUM(M233,N233,R233,U233)*'01_ВВОД'!$D$127,0)</x:f>
        <x:v>55</x:v>
      </x:c>
      <x:c r="W233" t="n">
        <x:f>ROUNDDOWN(SUM(L233,N233,R233,U233)*'01_ВВОД'!$D$127,0)</x:f>
        <x:v>55</x:v>
      </x:c>
    </x:row>
    <x:row r="234">
      <x:c r="A234" s="200" t="n">
        <x:v>46495</x:v>
      </x:c>
      <x:c r="B234" s="201" t="n">
        <x:v>8</x:v>
      </x:c>
      <x:c r="C234" s="201" t="inlineStr">
        <x:is>
          <x:t xml:space="preserve">Апр-27</x:t>
        </x:is>
      </x:c>
      <x:c r="D234" s="201" t="n">
        <x:v>7</x:v>
      </x:c>
      <x:c r="E234" s="201" t="inlineStr">
        <x:is>
          <x:t xml:space="preserve">Вс</x:t>
        </x:is>
      </x:c>
      <x:c r="F234" s="199" t="n">
        <x:v>0</x:v>
      </x:c>
      <x:c r="G234" s="201" t="str"/>
      <x:c r="H234" s="193" t="n">
        <x:v>1</x:v>
      </x:c>
      <x:c r="I234" s="201" t="inlineStr">
        <x:is>
          <x:t xml:space="preserve">Пт–Вс</x:t>
        </x:is>
      </x:c>
      <x:c r="J234" s="188" t="n">
        <x:f>1</x:f>
        <x:v>1</x:v>
      </x:c>
      <x:c r="K234" s="188" t="n">
        <x:f>IF(AND(D234&lt;=5,F234=0),1,0)</x:f>
        <x:v>0</x:v>
      </x:c>
      <x:c r="L234" s="188" t="n">
        <x:f>IF(F234=1,'01_ВВОД'!$D$23,CHOOSE(D234,'01_ВВОД'!$D$19,'01_ВВОД'!$D$19,'01_ВВОД'!$D$19,'01_ВВОД'!$D$19,'01_ВВОД'!$D$20,'01_ВВОД'!$D$21,'01_ВВОД'!$D$22))</x:f>
        <x:v>70</x:v>
      </x:c>
      <x:c r="M234" s="188" t="n">
        <x:f>L234*IF(H234=1,'01_ВВОД'!$D$118,1)</x:f>
        <x:v>14</x:v>
      </x:c>
      <x:c r="N234" s="188" t="n">
        <x:f>IF(K234=1,'01_ВВОД'!$D$26,0)</x:f>
        <x:v>0</x:v>
      </x:c>
      <x:c r="O234" s="188" t="n">
        <x:f>IF(F234=1,'01_ВВОД'!$D$34,IF(D234&lt;=5,'01_ВВОД'!$D$32,'01_ВВОД'!$D$33))</x:f>
        <x:v>30</x:v>
      </x:c>
      <x:c r="P234" s="188" t="n">
        <x:f>O234</x:f>
        <x:v>30</x:v>
      </x:c>
      <x:c r="Q234" s="188" t="n">
        <x:f>'01_ВВОД'!$D$40</x:f>
        <x:v>12</x:v>
      </x:c>
      <x:c r="R234" s="188" t="n">
        <x:f>'01_ВВОД'!$D$46</x:f>
        <x:v>20</x:v>
      </x:c>
      <x:c r="S234" s="188" t="n">
        <x:f>H234</x:f>
        <x:v>1</x:v>
      </x:c>
      <x:c r="T234" s="188" t="n">
        <x:f>IF(H234=1,M234+N234+P234+Q234,0)</x:f>
        <x:v>56</x:v>
      </x:c>
      <x:c r="U234" t="n">
        <x:f>'01_ВВОД'!$D$120</x:f>
        <x:v>10</x:v>
      </x:c>
      <x:c r="V234" t="n">
        <x:f>ROUNDDOWN(SUM(M234,N234,R234,U234)*'01_ВВОД'!$D$127,0)</x:f>
        <x:v>22</x:v>
      </x:c>
      <x:c r="W234" t="n">
        <x:f>ROUNDDOWN(SUM(L234,N234,R234,U234)*'01_ВВОД'!$D$127,0)</x:f>
        <x:v>50</x:v>
      </x:c>
    </x:row>
    <x:row r="235">
      <x:c r="A235" s="200" t="n">
        <x:v>46496</x:v>
      </x:c>
      <x:c r="B235" s="201" t="n">
        <x:v>8</x:v>
      </x:c>
      <x:c r="C235" s="201" t="inlineStr">
        <x:is>
          <x:t xml:space="preserve">Апр-27</x:t>
        </x:is>
      </x:c>
      <x:c r="D235" s="201" t="n">
        <x:v>1</x:v>
      </x:c>
      <x:c r="E235" s="201" t="inlineStr">
        <x:is>
          <x:t xml:space="preserve">Пн</x:t>
        </x:is>
      </x:c>
      <x:c r="F235" s="199" t="n">
        <x:v>0</x:v>
      </x:c>
      <x:c r="G235" s="201" t="str"/>
      <x:c r="H235" s="193" t="n">
        <x:v>0</x:v>
      </x:c>
      <x:c r="I235" s="201" t="str"/>
      <x:c r="J235" s="188" t="n">
        <x:f>1</x:f>
        <x:v>1</x:v>
      </x:c>
      <x:c r="K235" s="188" t="n">
        <x:f>IF(AND(D235&lt;=5,F235=0),1,0)</x:f>
        <x:v>1</x:v>
      </x:c>
      <x:c r="L235" s="188" t="n">
        <x:f>IF(F235=1,'01_ВВОД'!$D$23,CHOOSE(D235,'01_ВВОД'!$D$19,'01_ВВОД'!$D$19,'01_ВВОД'!$D$19,'01_ВВОД'!$D$19,'01_ВВОД'!$D$20,'01_ВВОД'!$D$21,'01_ВВОД'!$D$22))</x:f>
        <x:v>32</x:v>
      </x:c>
      <x:c r="M235" s="188" t="n">
        <x:f>L235*IF(H235=1,'01_ВВОД'!$D$118,1)</x:f>
        <x:v>32</x:v>
      </x:c>
      <x:c r="N235" s="188" t="n">
        <x:f>IF(K235=1,'01_ВВОД'!$D$26,0)</x:f>
        <x:v>40</x:v>
      </x:c>
      <x:c r="O235" s="188" t="n">
        <x:f>IF(F235=1,'01_ВВОД'!$D$34,IF(D235&lt;=5,'01_ВВОД'!$D$32,'01_ВВОД'!$D$33))</x:f>
        <x:v>15</x:v>
      </x:c>
      <x:c r="P235" s="188" t="n">
        <x:f>O235</x:f>
        <x:v>15</x:v>
      </x:c>
      <x:c r="Q235" s="188" t="n">
        <x:f>'01_ВВОД'!$D$40</x:f>
        <x:v>12</x:v>
      </x:c>
      <x:c r="R235" s="188" t="n">
        <x:f>'01_ВВОД'!$D$46</x:f>
        <x:v>20</x:v>
      </x:c>
      <x:c r="S235" s="188" t="n">
        <x:f>H235</x:f>
        <x:v>0</x:v>
      </x:c>
      <x:c r="T235" s="188" t="n">
        <x:f>IF(H235=1,M235+N235+P235+Q235,0)</x:f>
        <x:v>0</x:v>
      </x:c>
      <x:c r="U235" t="n">
        <x:f>'01_ВВОД'!$D$120</x:f>
        <x:v>10</x:v>
      </x:c>
      <x:c r="V235" t="n">
        <x:f>ROUNDDOWN(SUM(M235,N235,R235,U235)*'01_ВВОД'!$D$127,0)</x:f>
        <x:v>51</x:v>
      </x:c>
      <x:c r="W235" t="n">
        <x:f>ROUNDDOWN(SUM(L235,N235,R235,U235)*'01_ВВОД'!$D$127,0)</x:f>
        <x:v>51</x:v>
      </x:c>
    </x:row>
    <x:row r="236">
      <x:c r="A236" s="200" t="n">
        <x:v>46497</x:v>
      </x:c>
      <x:c r="B236" s="201" t="n">
        <x:v>8</x:v>
      </x:c>
      <x:c r="C236" s="201" t="inlineStr">
        <x:is>
          <x:t xml:space="preserve">Апр-27</x:t>
        </x:is>
      </x:c>
      <x:c r="D236" s="201" t="n">
        <x:v>2</x:v>
      </x:c>
      <x:c r="E236" s="201" t="inlineStr">
        <x:is>
          <x:t xml:space="preserve">Вт</x:t>
        </x:is>
      </x:c>
      <x:c r="F236" s="199" t="n">
        <x:v>0</x:v>
      </x:c>
      <x:c r="G236" s="201" t="str"/>
      <x:c r="H236" s="193" t="n">
        <x:v>0</x:v>
      </x:c>
      <x:c r="I236" s="201" t="str"/>
      <x:c r="J236" s="188" t="n">
        <x:f>1</x:f>
        <x:v>1</x:v>
      </x:c>
      <x:c r="K236" s="188" t="n">
        <x:f>IF(AND(D236&lt;=5,F236=0),1,0)</x:f>
        <x:v>1</x:v>
      </x:c>
      <x:c r="L236" s="188" t="n">
        <x:f>IF(F236=1,'01_ВВОД'!$D$23,CHOOSE(D236,'01_ВВОД'!$D$19,'01_ВВОД'!$D$19,'01_ВВОД'!$D$19,'01_ВВОД'!$D$19,'01_ВВОД'!$D$20,'01_ВВОД'!$D$21,'01_ВВОД'!$D$22))</x:f>
        <x:v>32</x:v>
      </x:c>
      <x:c r="M236" s="188" t="n">
        <x:f>L236*IF(H236=1,'01_ВВОД'!$D$118,1)</x:f>
        <x:v>32</x:v>
      </x:c>
      <x:c r="N236" s="188" t="n">
        <x:f>IF(K236=1,'01_ВВОД'!$D$26,0)</x:f>
        <x:v>40</x:v>
      </x:c>
      <x:c r="O236" s="188" t="n">
        <x:f>IF(F236=1,'01_ВВОД'!$D$34,IF(D236&lt;=5,'01_ВВОД'!$D$32,'01_ВВОД'!$D$33))</x:f>
        <x:v>15</x:v>
      </x:c>
      <x:c r="P236" s="188" t="n">
        <x:f>O236</x:f>
        <x:v>15</x:v>
      </x:c>
      <x:c r="Q236" s="188" t="n">
        <x:f>'01_ВВОД'!$D$40</x:f>
        <x:v>12</x:v>
      </x:c>
      <x:c r="R236" s="188" t="n">
        <x:f>'01_ВВОД'!$D$46</x:f>
        <x:v>20</x:v>
      </x:c>
      <x:c r="S236" s="188" t="n">
        <x:f>H236</x:f>
        <x:v>0</x:v>
      </x:c>
      <x:c r="T236" s="188" t="n">
        <x:f>IF(H236=1,M236+N236+P236+Q236,0)</x:f>
        <x:v>0</x:v>
      </x:c>
      <x:c r="U236" t="n">
        <x:f>'01_ВВОД'!$D$120</x:f>
        <x:v>10</x:v>
      </x:c>
      <x:c r="V236" t="n">
        <x:f>ROUNDDOWN(SUM(M236,N236,R236,U236)*'01_ВВОД'!$D$127,0)</x:f>
        <x:v>51</x:v>
      </x:c>
      <x:c r="W236" t="n">
        <x:f>ROUNDDOWN(SUM(L236,N236,R236,U236)*'01_ВВОД'!$D$127,0)</x:f>
        <x:v>51</x:v>
      </x:c>
    </x:row>
    <x:row r="237">
      <x:c r="A237" s="200" t="n">
        <x:v>46498</x:v>
      </x:c>
      <x:c r="B237" s="201" t="n">
        <x:v>8</x:v>
      </x:c>
      <x:c r="C237" s="201" t="inlineStr">
        <x:is>
          <x:t xml:space="preserve">Апр-27</x:t>
        </x:is>
      </x:c>
      <x:c r="D237" s="201" t="n">
        <x:v>3</x:v>
      </x:c>
      <x:c r="E237" s="201" t="inlineStr">
        <x:is>
          <x:t xml:space="preserve">Ср</x:t>
        </x:is>
      </x:c>
      <x:c r="F237" s="199" t="n">
        <x:v>0</x:v>
      </x:c>
      <x:c r="G237" s="201" t="str"/>
      <x:c r="H237" s="193" t="n">
        <x:v>0</x:v>
      </x:c>
      <x:c r="I237" s="201" t="str"/>
      <x:c r="J237" s="188" t="n">
        <x:f>1</x:f>
        <x:v>1</x:v>
      </x:c>
      <x:c r="K237" s="188" t="n">
        <x:f>IF(AND(D237&lt;=5,F237=0),1,0)</x:f>
        <x:v>1</x:v>
      </x:c>
      <x:c r="L237" s="188" t="n">
        <x:f>IF(F237=1,'01_ВВОД'!$D$23,CHOOSE(D237,'01_ВВОД'!$D$19,'01_ВВОД'!$D$19,'01_ВВОД'!$D$19,'01_ВВОД'!$D$19,'01_ВВОД'!$D$20,'01_ВВОД'!$D$21,'01_ВВОД'!$D$22))</x:f>
        <x:v>32</x:v>
      </x:c>
      <x:c r="M237" s="188" t="n">
        <x:f>L237*IF(H237=1,'01_ВВОД'!$D$118,1)</x:f>
        <x:v>32</x:v>
      </x:c>
      <x:c r="N237" s="188" t="n">
        <x:f>IF(K237=1,'01_ВВОД'!$D$26,0)</x:f>
        <x:v>40</x:v>
      </x:c>
      <x:c r="O237" s="188" t="n">
        <x:f>IF(F237=1,'01_ВВОД'!$D$34,IF(D237&lt;=5,'01_ВВОД'!$D$32,'01_ВВОД'!$D$33))</x:f>
        <x:v>15</x:v>
      </x:c>
      <x:c r="P237" s="188" t="n">
        <x:f>O237</x:f>
        <x:v>15</x:v>
      </x:c>
      <x:c r="Q237" s="188" t="n">
        <x:f>'01_ВВОД'!$D$40</x:f>
        <x:v>12</x:v>
      </x:c>
      <x:c r="R237" s="188" t="n">
        <x:f>'01_ВВОД'!$D$46</x:f>
        <x:v>20</x:v>
      </x:c>
      <x:c r="S237" s="188" t="n">
        <x:f>H237</x:f>
        <x:v>0</x:v>
      </x:c>
      <x:c r="T237" s="188" t="n">
        <x:f>IF(H237=1,M237+N237+P237+Q237,0)</x:f>
        <x:v>0</x:v>
      </x:c>
      <x:c r="U237" t="n">
        <x:f>'01_ВВОД'!$D$120</x:f>
        <x:v>10</x:v>
      </x:c>
      <x:c r="V237" t="n">
        <x:f>ROUNDDOWN(SUM(M237,N237,R237,U237)*'01_ВВОД'!$D$127,0)</x:f>
        <x:v>51</x:v>
      </x:c>
      <x:c r="W237" t="n">
        <x:f>ROUNDDOWN(SUM(L237,N237,R237,U237)*'01_ВВОД'!$D$127,0)</x:f>
        <x:v>51</x:v>
      </x:c>
    </x:row>
    <x:row r="238">
      <x:c r="A238" s="200" t="n">
        <x:v>46499</x:v>
      </x:c>
      <x:c r="B238" s="201" t="n">
        <x:v>8</x:v>
      </x:c>
      <x:c r="C238" s="201" t="inlineStr">
        <x:is>
          <x:t xml:space="preserve">Апр-27</x:t>
        </x:is>
      </x:c>
      <x:c r="D238" s="201" t="n">
        <x:v>4</x:v>
      </x:c>
      <x:c r="E238" s="201" t="inlineStr">
        <x:is>
          <x:t xml:space="preserve">Чт</x:t>
        </x:is>
      </x:c>
      <x:c r="F238" s="199" t="n">
        <x:v>0</x:v>
      </x:c>
      <x:c r="G238" s="201" t="str"/>
      <x:c r="H238" s="193" t="n">
        <x:v>0</x:v>
      </x:c>
      <x:c r="I238" s="201" t="str"/>
      <x:c r="J238" s="188" t="n">
        <x:f>1</x:f>
        <x:v>1</x:v>
      </x:c>
      <x:c r="K238" s="188" t="n">
        <x:f>IF(AND(D238&lt;=5,F238=0),1,0)</x:f>
        <x:v>1</x:v>
      </x:c>
      <x:c r="L238" s="188" t="n">
        <x:f>IF(F238=1,'01_ВВОД'!$D$23,CHOOSE(D238,'01_ВВОД'!$D$19,'01_ВВОД'!$D$19,'01_ВВОД'!$D$19,'01_ВВОД'!$D$19,'01_ВВОД'!$D$20,'01_ВВОД'!$D$21,'01_ВВОД'!$D$22))</x:f>
        <x:v>32</x:v>
      </x:c>
      <x:c r="M238" s="188" t="n">
        <x:f>L238*IF(H238=1,'01_ВВОД'!$D$118,1)</x:f>
        <x:v>32</x:v>
      </x:c>
      <x:c r="N238" s="188" t="n">
        <x:f>IF(K238=1,'01_ВВОД'!$D$26,0)</x:f>
        <x:v>40</x:v>
      </x:c>
      <x:c r="O238" s="188" t="n">
        <x:f>IF(F238=1,'01_ВВОД'!$D$34,IF(D238&lt;=5,'01_ВВОД'!$D$32,'01_ВВОД'!$D$33))</x:f>
        <x:v>15</x:v>
      </x:c>
      <x:c r="P238" s="188" t="n">
        <x:f>O238</x:f>
        <x:v>15</x:v>
      </x:c>
      <x:c r="Q238" s="188" t="n">
        <x:f>'01_ВВОД'!$D$40</x:f>
        <x:v>12</x:v>
      </x:c>
      <x:c r="R238" s="188" t="n">
        <x:f>'01_ВВОД'!$D$46</x:f>
        <x:v>20</x:v>
      </x:c>
      <x:c r="S238" s="188" t="n">
        <x:f>H238</x:f>
        <x:v>0</x:v>
      </x:c>
      <x:c r="T238" s="188" t="n">
        <x:f>IF(H238=1,M238+N238+P238+Q238,0)</x:f>
        <x:v>0</x:v>
      </x:c>
      <x:c r="U238" t="n">
        <x:f>'01_ВВОД'!$D$120</x:f>
        <x:v>10</x:v>
      </x:c>
      <x:c r="V238" t="n">
        <x:f>ROUNDDOWN(SUM(M238,N238,R238,U238)*'01_ВВОД'!$D$127,0)</x:f>
        <x:v>51</x:v>
      </x:c>
      <x:c r="W238" t="n">
        <x:f>ROUNDDOWN(SUM(L238,N238,R238,U238)*'01_ВВОД'!$D$127,0)</x:f>
        <x:v>51</x:v>
      </x:c>
    </x:row>
    <x:row r="239">
      <x:c r="A239" s="200" t="n">
        <x:v>46500</x:v>
      </x:c>
      <x:c r="B239" s="201" t="n">
        <x:v>8</x:v>
      </x:c>
      <x:c r="C239" s="201" t="inlineStr">
        <x:is>
          <x:t xml:space="preserve">Апр-27</x:t>
        </x:is>
      </x:c>
      <x:c r="D239" s="201" t="n">
        <x:v>5</x:v>
      </x:c>
      <x:c r="E239" s="201" t="inlineStr">
        <x:is>
          <x:t xml:space="preserve">Пт</x:t>
        </x:is>
      </x:c>
      <x:c r="F239" s="199" t="n">
        <x:v>0</x:v>
      </x:c>
      <x:c r="G239" s="201" t="str"/>
      <x:c r="H239" s="193" t="n">
        <x:v>1</x:v>
      </x:c>
      <x:c r="I239" s="201" t="inlineStr">
        <x:is>
          <x:t xml:space="preserve">Пт–Вс</x:t>
        </x:is>
      </x:c>
      <x:c r="J239" s="188" t="n">
        <x:f>1</x:f>
        <x:v>1</x:v>
      </x:c>
      <x:c r="K239" s="188" t="n">
        <x:f>IF(AND(D239&lt;=5,F239=0),1,0)</x:f>
        <x:v>1</x:v>
      </x:c>
      <x:c r="L239" s="188" t="n">
        <x:f>IF(F239=1,'01_ВВОД'!$D$23,CHOOSE(D239,'01_ВВОД'!$D$19,'01_ВВОД'!$D$19,'01_ВВОД'!$D$19,'01_ВВОД'!$D$19,'01_ВВОД'!$D$20,'01_ВВОД'!$D$21,'01_ВВОД'!$D$22))</x:f>
        <x:v>45</x:v>
      </x:c>
      <x:c r="M239" s="188" t="n">
        <x:f>L239*IF(H239=1,'01_ВВОД'!$D$118,1)</x:f>
        <x:v>9</x:v>
      </x:c>
      <x:c r="N239" s="188" t="n">
        <x:f>IF(K239=1,'01_ВВОД'!$D$26,0)</x:f>
        <x:v>40</x:v>
      </x:c>
      <x:c r="O239" s="188" t="n">
        <x:f>IF(F239=1,'01_ВВОД'!$D$34,IF(D239&lt;=5,'01_ВВОД'!$D$32,'01_ВВОД'!$D$33))</x:f>
        <x:v>15</x:v>
      </x:c>
      <x:c r="P239" s="188" t="n">
        <x:f>O239</x:f>
        <x:v>15</x:v>
      </x:c>
      <x:c r="Q239" s="188" t="n">
        <x:f>'01_ВВОД'!$D$40</x:f>
        <x:v>12</x:v>
      </x:c>
      <x:c r="R239" s="188" t="n">
        <x:f>'01_ВВОД'!$D$46</x:f>
        <x:v>20</x:v>
      </x:c>
      <x:c r="S239" s="188" t="n">
        <x:f>H239</x:f>
        <x:v>1</x:v>
      </x:c>
      <x:c r="T239" s="188" t="n">
        <x:f>IF(H239=1,M239+N239+P239+Q239,0)</x:f>
        <x:v>76</x:v>
      </x:c>
      <x:c r="U239" t="n">
        <x:f>'01_ВВОД'!$D$120</x:f>
        <x:v>10</x:v>
      </x:c>
      <x:c r="V239" t="n">
        <x:f>ROUNDDOWN(SUM(M239,N239,R239,U239)*'01_ВВОД'!$D$127,0)</x:f>
        <x:v>39</x:v>
      </x:c>
      <x:c r="W239" t="n">
        <x:f>ROUNDDOWN(SUM(L239,N239,R239,U239)*'01_ВВОД'!$D$127,0)</x:f>
        <x:v>57</x:v>
      </x:c>
    </x:row>
    <x:row r="240">
      <x:c r="A240" s="200" t="n">
        <x:v>46501</x:v>
      </x:c>
      <x:c r="B240" s="201" t="n">
        <x:v>8</x:v>
      </x:c>
      <x:c r="C240" s="201" t="inlineStr">
        <x:is>
          <x:t xml:space="preserve">Апр-27</x:t>
        </x:is>
      </x:c>
      <x:c r="D240" s="201" t="n">
        <x:v>6</x:v>
      </x:c>
      <x:c r="E240" s="201" t="inlineStr">
        <x:is>
          <x:t xml:space="preserve">Сб</x:t>
        </x:is>
      </x:c>
      <x:c r="F240" s="199" t="n">
        <x:v>0</x:v>
      </x:c>
      <x:c r="G240" s="201" t="str"/>
      <x:c r="H240" s="193" t="n">
        <x:v>0</x:v>
      </x:c>
      <x:c r="I240" s="201" t="str"/>
      <x:c r="J240" s="188" t="n">
        <x:f>1</x:f>
        <x:v>1</x:v>
      </x:c>
      <x:c r="K240" s="188" t="n">
        <x:f>IF(AND(D240&lt;=5,F240=0),1,0)</x:f>
        <x:v>0</x:v>
      </x:c>
      <x:c r="L240" s="188" t="n">
        <x:f>IF(F240=1,'01_ВВОД'!$D$23,CHOOSE(D240,'01_ВВОД'!$D$19,'01_ВВОД'!$D$19,'01_ВВОД'!$D$19,'01_ВВОД'!$D$19,'01_ВВОД'!$D$20,'01_ВВОД'!$D$21,'01_ВВОД'!$D$22))</x:f>
        <x:v>80</x:v>
      </x:c>
      <x:c r="M240" s="188" t="n">
        <x:f>L240*IF(H240=1,'01_ВВОД'!$D$118,1)</x:f>
        <x:v>80</x:v>
      </x:c>
      <x:c r="N240" s="188" t="n">
        <x:f>IF(K240=1,'01_ВВОД'!$D$26,0)</x:f>
        <x:v>0</x:v>
      </x:c>
      <x:c r="O240" s="188" t="n">
        <x:f>IF(F240=1,'01_ВВОД'!$D$34,IF(D240&lt;=5,'01_ВВОД'!$D$32,'01_ВВОД'!$D$33))</x:f>
        <x:v>30</x:v>
      </x:c>
      <x:c r="P240" s="188" t="n">
        <x:f>O240</x:f>
        <x:v>30</x:v>
      </x:c>
      <x:c r="Q240" s="188" t="n">
        <x:f>'01_ВВОД'!$D$40</x:f>
        <x:v>12</x:v>
      </x:c>
      <x:c r="R240" s="188" t="n">
        <x:f>'01_ВВОД'!$D$46</x:f>
        <x:v>20</x:v>
      </x:c>
      <x:c r="S240" s="188" t="n">
        <x:f>H240</x:f>
        <x:v>0</x:v>
      </x:c>
      <x:c r="T240" s="188" t="n">
        <x:f>IF(H240=1,M240+N240+P240+Q240,0)</x:f>
        <x:v>0</x:v>
      </x:c>
      <x:c r="U240" t="n">
        <x:f>'01_ВВОД'!$D$120</x:f>
        <x:v>10</x:v>
      </x:c>
      <x:c r="V240" t="n">
        <x:f>ROUNDDOWN(SUM(M240,N240,R240,U240)*'01_ВВОД'!$D$127,0)</x:f>
        <x:v>55</x:v>
      </x:c>
      <x:c r="W240" t="n">
        <x:f>ROUNDDOWN(SUM(L240,N240,R240,U240)*'01_ВВОД'!$D$127,0)</x:f>
        <x:v>55</x:v>
      </x:c>
    </x:row>
    <x:row r="241">
      <x:c r="A241" s="200" t="n">
        <x:v>46502</x:v>
      </x:c>
      <x:c r="B241" s="201" t="n">
        <x:v>8</x:v>
      </x:c>
      <x:c r="C241" s="201" t="inlineStr">
        <x:is>
          <x:t xml:space="preserve">Апр-27</x:t>
        </x:is>
      </x:c>
      <x:c r="D241" s="201" t="n">
        <x:v>7</x:v>
      </x:c>
      <x:c r="E241" s="201" t="inlineStr">
        <x:is>
          <x:t xml:space="preserve">Вс</x:t>
        </x:is>
      </x:c>
      <x:c r="F241" s="199" t="n">
        <x:v>0</x:v>
      </x:c>
      <x:c r="G241" s="201" t="str"/>
      <x:c r="H241" s="193" t="n">
        <x:v>0</x:v>
      </x:c>
      <x:c r="I241" s="201" t="str"/>
      <x:c r="J241" s="188" t="n">
        <x:f>1</x:f>
        <x:v>1</x:v>
      </x:c>
      <x:c r="K241" s="188" t="n">
        <x:f>IF(AND(D241&lt;=5,F241=0),1,0)</x:f>
        <x:v>0</x:v>
      </x:c>
      <x:c r="L241" s="188" t="n">
        <x:f>IF(F241=1,'01_ВВОД'!$D$23,CHOOSE(D241,'01_ВВОД'!$D$19,'01_ВВОД'!$D$19,'01_ВВОД'!$D$19,'01_ВВОД'!$D$19,'01_ВВОД'!$D$20,'01_ВВОД'!$D$21,'01_ВВОД'!$D$22))</x:f>
        <x:v>70</x:v>
      </x:c>
      <x:c r="M241" s="188" t="n">
        <x:f>L241*IF(H241=1,'01_ВВОД'!$D$118,1)</x:f>
        <x:v>70</x:v>
      </x:c>
      <x:c r="N241" s="188" t="n">
        <x:f>IF(K241=1,'01_ВВОД'!$D$26,0)</x:f>
        <x:v>0</x:v>
      </x:c>
      <x:c r="O241" s="188" t="n">
        <x:f>IF(F241=1,'01_ВВОД'!$D$34,IF(D241&lt;=5,'01_ВВОД'!$D$32,'01_ВВОД'!$D$33))</x:f>
        <x:v>30</x:v>
      </x:c>
      <x:c r="P241" s="188" t="n">
        <x:f>O241</x:f>
        <x:v>30</x:v>
      </x:c>
      <x:c r="Q241" s="188" t="n">
        <x:f>'01_ВВОД'!$D$40</x:f>
        <x:v>12</x:v>
      </x:c>
      <x:c r="R241" s="188" t="n">
        <x:f>'01_ВВОД'!$D$46</x:f>
        <x:v>20</x:v>
      </x:c>
      <x:c r="S241" s="188" t="n">
        <x:f>H241</x:f>
        <x:v>0</x:v>
      </x:c>
      <x:c r="T241" s="188" t="n">
        <x:f>IF(H241=1,M241+N241+P241+Q241,0)</x:f>
        <x:v>0</x:v>
      </x:c>
      <x:c r="U241" t="n">
        <x:f>'01_ВВОД'!$D$120</x:f>
        <x:v>10</x:v>
      </x:c>
      <x:c r="V241" t="n">
        <x:f>ROUNDDOWN(SUM(M241,N241,R241,U241)*'01_ВВОД'!$D$127,0)</x:f>
        <x:v>50</x:v>
      </x:c>
      <x:c r="W241" t="n">
        <x:f>ROUNDDOWN(SUM(L241,N241,R241,U241)*'01_ВВОД'!$D$127,0)</x:f>
        <x:v>50</x:v>
      </x:c>
    </x:row>
    <x:row r="242">
      <x:c r="A242" s="200" t="n">
        <x:v>46503</x:v>
      </x:c>
      <x:c r="B242" s="201" t="n">
        <x:v>8</x:v>
      </x:c>
      <x:c r="C242" s="201" t="inlineStr">
        <x:is>
          <x:t xml:space="preserve">Апр-27</x:t>
        </x:is>
      </x:c>
      <x:c r="D242" s="201" t="n">
        <x:v>1</x:v>
      </x:c>
      <x:c r="E242" s="201" t="inlineStr">
        <x:is>
          <x:t xml:space="preserve">Пн</x:t>
        </x:is>
      </x:c>
      <x:c r="F242" s="199" t="n">
        <x:v>0</x:v>
      </x:c>
      <x:c r="G242" s="201" t="str"/>
      <x:c r="H242" s="193" t="n">
        <x:v>0</x:v>
      </x:c>
      <x:c r="I242" s="201" t="str"/>
      <x:c r="J242" s="188" t="n">
        <x:f>1</x:f>
        <x:v>1</x:v>
      </x:c>
      <x:c r="K242" s="188" t="n">
        <x:f>IF(AND(D242&lt;=5,F242=0),1,0)</x:f>
        <x:v>1</x:v>
      </x:c>
      <x:c r="L242" s="188" t="n">
        <x:f>IF(F242=1,'01_ВВОД'!$D$23,CHOOSE(D242,'01_ВВОД'!$D$19,'01_ВВОД'!$D$19,'01_ВВОД'!$D$19,'01_ВВОД'!$D$19,'01_ВВОД'!$D$20,'01_ВВОД'!$D$21,'01_ВВОД'!$D$22))</x:f>
        <x:v>32</x:v>
      </x:c>
      <x:c r="M242" s="188" t="n">
        <x:f>L242*IF(H242=1,'01_ВВОД'!$D$118,1)</x:f>
        <x:v>32</x:v>
      </x:c>
      <x:c r="N242" s="188" t="n">
        <x:f>IF(K242=1,'01_ВВОД'!$D$26,0)</x:f>
        <x:v>40</x:v>
      </x:c>
      <x:c r="O242" s="188" t="n">
        <x:f>IF(F242=1,'01_ВВОД'!$D$34,IF(D242&lt;=5,'01_ВВОД'!$D$32,'01_ВВОД'!$D$33))</x:f>
        <x:v>15</x:v>
      </x:c>
      <x:c r="P242" s="188" t="n">
        <x:f>O242</x:f>
        <x:v>15</x:v>
      </x:c>
      <x:c r="Q242" s="188" t="n">
        <x:f>'01_ВВОД'!$D$40</x:f>
        <x:v>12</x:v>
      </x:c>
      <x:c r="R242" s="188" t="n">
        <x:f>'01_ВВОД'!$D$46</x:f>
        <x:v>20</x:v>
      </x:c>
      <x:c r="S242" s="188" t="n">
        <x:f>H242</x:f>
        <x:v>0</x:v>
      </x:c>
      <x:c r="T242" s="188" t="n">
        <x:f>IF(H242=1,M242+N242+P242+Q242,0)</x:f>
        <x:v>0</x:v>
      </x:c>
      <x:c r="U242" t="n">
        <x:f>'01_ВВОД'!$D$120</x:f>
        <x:v>10</x:v>
      </x:c>
      <x:c r="V242" t="n">
        <x:f>ROUNDDOWN(SUM(M242,N242,R242,U242)*'01_ВВОД'!$D$127,0)</x:f>
        <x:v>51</x:v>
      </x:c>
      <x:c r="W242" t="n">
        <x:f>ROUNDDOWN(SUM(L242,N242,R242,U242)*'01_ВВОД'!$D$127,0)</x:f>
        <x:v>51</x:v>
      </x:c>
    </x:row>
    <x:row r="243">
      <x:c r="A243" s="200" t="n">
        <x:v>46504</x:v>
      </x:c>
      <x:c r="B243" s="201" t="n">
        <x:v>8</x:v>
      </x:c>
      <x:c r="C243" s="201" t="inlineStr">
        <x:is>
          <x:t xml:space="preserve">Апр-27</x:t>
        </x:is>
      </x:c>
      <x:c r="D243" s="201" t="n">
        <x:v>2</x:v>
      </x:c>
      <x:c r="E243" s="201" t="inlineStr">
        <x:is>
          <x:t xml:space="preserve">Вт</x:t>
        </x:is>
      </x:c>
      <x:c r="F243" s="199" t="n">
        <x:v>0</x:v>
      </x:c>
      <x:c r="G243" s="201" t="str"/>
      <x:c r="H243" s="193" t="n">
        <x:v>0</x:v>
      </x:c>
      <x:c r="I243" s="201" t="str"/>
      <x:c r="J243" s="188" t="n">
        <x:f>1</x:f>
        <x:v>1</x:v>
      </x:c>
      <x:c r="K243" s="188" t="n">
        <x:f>IF(AND(D243&lt;=5,F243=0),1,0)</x:f>
        <x:v>1</x:v>
      </x:c>
      <x:c r="L243" s="188" t="n">
        <x:f>IF(F243=1,'01_ВВОД'!$D$23,CHOOSE(D243,'01_ВВОД'!$D$19,'01_ВВОД'!$D$19,'01_ВВОД'!$D$19,'01_ВВОД'!$D$19,'01_ВВОД'!$D$20,'01_ВВОД'!$D$21,'01_ВВОД'!$D$22))</x:f>
        <x:v>32</x:v>
      </x:c>
      <x:c r="M243" s="188" t="n">
        <x:f>L243*IF(H243=1,'01_ВВОД'!$D$118,1)</x:f>
        <x:v>32</x:v>
      </x:c>
      <x:c r="N243" s="188" t="n">
        <x:f>IF(K243=1,'01_ВВОД'!$D$26,0)</x:f>
        <x:v>40</x:v>
      </x:c>
      <x:c r="O243" s="188" t="n">
        <x:f>IF(F243=1,'01_ВВОД'!$D$34,IF(D243&lt;=5,'01_ВВОД'!$D$32,'01_ВВОД'!$D$33))</x:f>
        <x:v>15</x:v>
      </x:c>
      <x:c r="P243" s="188" t="n">
        <x:f>O243</x:f>
        <x:v>15</x:v>
      </x:c>
      <x:c r="Q243" s="188" t="n">
        <x:f>'01_ВВОД'!$D$40</x:f>
        <x:v>12</x:v>
      </x:c>
      <x:c r="R243" s="188" t="n">
        <x:f>'01_ВВОД'!$D$46</x:f>
        <x:v>20</x:v>
      </x:c>
      <x:c r="S243" s="188" t="n">
        <x:f>H243</x:f>
        <x:v>0</x:v>
      </x:c>
      <x:c r="T243" s="188" t="n">
        <x:f>IF(H243=1,M243+N243+P243+Q243,0)</x:f>
        <x:v>0</x:v>
      </x:c>
      <x:c r="U243" t="n">
        <x:f>'01_ВВОД'!$D$120</x:f>
        <x:v>10</x:v>
      </x:c>
      <x:c r="V243" t="n">
        <x:f>ROUNDDOWN(SUM(M243,N243,R243,U243)*'01_ВВОД'!$D$127,0)</x:f>
        <x:v>51</x:v>
      </x:c>
      <x:c r="W243" t="n">
        <x:f>ROUNDDOWN(SUM(L243,N243,R243,U243)*'01_ВВОД'!$D$127,0)</x:f>
        <x:v>51</x:v>
      </x:c>
    </x:row>
    <x:row r="244">
      <x:c r="A244" s="200" t="n">
        <x:v>46505</x:v>
      </x:c>
      <x:c r="B244" s="201" t="n">
        <x:v>8</x:v>
      </x:c>
      <x:c r="C244" s="201" t="inlineStr">
        <x:is>
          <x:t xml:space="preserve">Апр-27</x:t>
        </x:is>
      </x:c>
      <x:c r="D244" s="201" t="n">
        <x:v>3</x:v>
      </x:c>
      <x:c r="E244" s="201" t="inlineStr">
        <x:is>
          <x:t xml:space="preserve">Ср</x:t>
        </x:is>
      </x:c>
      <x:c r="F244" s="199" t="n">
        <x:v>0</x:v>
      </x:c>
      <x:c r="G244" s="201" t="str"/>
      <x:c r="H244" s="193" t="n">
        <x:v>0</x:v>
      </x:c>
      <x:c r="I244" s="201" t="str"/>
      <x:c r="J244" s="188" t="n">
        <x:f>1</x:f>
        <x:v>1</x:v>
      </x:c>
      <x:c r="K244" s="188" t="n">
        <x:f>IF(AND(D244&lt;=5,F244=0),1,0)</x:f>
        <x:v>1</x:v>
      </x:c>
      <x:c r="L244" s="188" t="n">
        <x:f>IF(F244=1,'01_ВВОД'!$D$23,CHOOSE(D244,'01_ВВОД'!$D$19,'01_ВВОД'!$D$19,'01_ВВОД'!$D$19,'01_ВВОД'!$D$19,'01_ВВОД'!$D$20,'01_ВВОД'!$D$21,'01_ВВОД'!$D$22))</x:f>
        <x:v>32</x:v>
      </x:c>
      <x:c r="M244" s="188" t="n">
        <x:f>L244*IF(H244=1,'01_ВВОД'!$D$118,1)</x:f>
        <x:v>32</x:v>
      </x:c>
      <x:c r="N244" s="188" t="n">
        <x:f>IF(K244=1,'01_ВВОД'!$D$26,0)</x:f>
        <x:v>40</x:v>
      </x:c>
      <x:c r="O244" s="188" t="n">
        <x:f>IF(F244=1,'01_ВВОД'!$D$34,IF(D244&lt;=5,'01_ВВОД'!$D$32,'01_ВВОД'!$D$33))</x:f>
        <x:v>15</x:v>
      </x:c>
      <x:c r="P244" s="188" t="n">
        <x:f>O244</x:f>
        <x:v>15</x:v>
      </x:c>
      <x:c r="Q244" s="188" t="n">
        <x:f>'01_ВВОД'!$D$40</x:f>
        <x:v>12</x:v>
      </x:c>
      <x:c r="R244" s="188" t="n">
        <x:f>'01_ВВОД'!$D$46</x:f>
        <x:v>20</x:v>
      </x:c>
      <x:c r="S244" s="188" t="n">
        <x:f>H244</x:f>
        <x:v>0</x:v>
      </x:c>
      <x:c r="T244" s="188" t="n">
        <x:f>IF(H244=1,M244+N244+P244+Q244,0)</x:f>
        <x:v>0</x:v>
      </x:c>
      <x:c r="U244" t="n">
        <x:f>'01_ВВОД'!$D$120</x:f>
        <x:v>10</x:v>
      </x:c>
      <x:c r="V244" t="n">
        <x:f>ROUNDDOWN(SUM(M244,N244,R244,U244)*'01_ВВОД'!$D$127,0)</x:f>
        <x:v>51</x:v>
      </x:c>
      <x:c r="W244" t="n">
        <x:f>ROUNDDOWN(SUM(L244,N244,R244,U244)*'01_ВВОД'!$D$127,0)</x:f>
        <x:v>51</x:v>
      </x:c>
    </x:row>
    <x:row r="245">
      <x:c r="A245" s="200" t="n">
        <x:v>46506</x:v>
      </x:c>
      <x:c r="B245" s="201" t="n">
        <x:v>8</x:v>
      </x:c>
      <x:c r="C245" s="201" t="inlineStr">
        <x:is>
          <x:t xml:space="preserve">Апр-27</x:t>
        </x:is>
      </x:c>
      <x:c r="D245" s="201" t="n">
        <x:v>4</x:v>
      </x:c>
      <x:c r="E245" s="201" t="inlineStr">
        <x:is>
          <x:t xml:space="preserve">Чт</x:t>
        </x:is>
      </x:c>
      <x:c r="F245" s="199" t="n">
        <x:v>0</x:v>
      </x:c>
      <x:c r="G245" s="201" t="str"/>
      <x:c r="H245" s="193" t="n">
        <x:v>0</x:v>
      </x:c>
      <x:c r="I245" s="201" t="str"/>
      <x:c r="J245" s="188" t="n">
        <x:f>1</x:f>
        <x:v>1</x:v>
      </x:c>
      <x:c r="K245" s="188" t="n">
        <x:f>IF(AND(D245&lt;=5,F245=0),1,0)</x:f>
        <x:v>1</x:v>
      </x:c>
      <x:c r="L245" s="188" t="n">
        <x:f>IF(F245=1,'01_ВВОД'!$D$23,CHOOSE(D245,'01_ВВОД'!$D$19,'01_ВВОД'!$D$19,'01_ВВОД'!$D$19,'01_ВВОД'!$D$19,'01_ВВОД'!$D$20,'01_ВВОД'!$D$21,'01_ВВОД'!$D$22))</x:f>
        <x:v>32</x:v>
      </x:c>
      <x:c r="M245" s="188" t="n">
        <x:f>L245*IF(H245=1,'01_ВВОД'!$D$118,1)</x:f>
        <x:v>32</x:v>
      </x:c>
      <x:c r="N245" s="188" t="n">
        <x:f>IF(K245=1,'01_ВВОД'!$D$26,0)</x:f>
        <x:v>40</x:v>
      </x:c>
      <x:c r="O245" s="188" t="n">
        <x:f>IF(F245=1,'01_ВВОД'!$D$34,IF(D245&lt;=5,'01_ВВОД'!$D$32,'01_ВВОД'!$D$33))</x:f>
        <x:v>15</x:v>
      </x:c>
      <x:c r="P245" s="188" t="n">
        <x:f>O245</x:f>
        <x:v>15</x:v>
      </x:c>
      <x:c r="Q245" s="188" t="n">
        <x:f>'01_ВВОД'!$D$40</x:f>
        <x:v>12</x:v>
      </x:c>
      <x:c r="R245" s="188" t="n">
        <x:f>'01_ВВОД'!$D$46</x:f>
        <x:v>20</x:v>
      </x:c>
      <x:c r="S245" s="188" t="n">
        <x:f>H245</x:f>
        <x:v>0</x:v>
      </x:c>
      <x:c r="T245" s="188" t="n">
        <x:f>IF(H245=1,M245+N245+P245+Q245,0)</x:f>
        <x:v>0</x:v>
      </x:c>
      <x:c r="U245" t="n">
        <x:f>'01_ВВОД'!$D$120</x:f>
        <x:v>10</x:v>
      </x:c>
      <x:c r="V245" t="n">
        <x:f>ROUNDDOWN(SUM(M245,N245,R245,U245)*'01_ВВОД'!$D$127,0)</x:f>
        <x:v>51</x:v>
      </x:c>
      <x:c r="W245" t="n">
        <x:f>ROUNDDOWN(SUM(L245,N245,R245,U245)*'01_ВВОД'!$D$127,0)</x:f>
        <x:v>51</x:v>
      </x:c>
    </x:row>
    <x:row r="246">
      <x:c r="A246" s="200" t="n">
        <x:v>46507</x:v>
      </x:c>
      <x:c r="B246" s="201" t="n">
        <x:v>8</x:v>
      </x:c>
      <x:c r="C246" s="201" t="inlineStr">
        <x:is>
          <x:t xml:space="preserve">Апр-27</x:t>
        </x:is>
      </x:c>
      <x:c r="D246" s="201" t="n">
        <x:v>5</x:v>
      </x:c>
      <x:c r="E246" s="201" t="inlineStr">
        <x:is>
          <x:t xml:space="preserve">Пт</x:t>
        </x:is>
      </x:c>
      <x:c r="F246" s="199" t="n">
        <x:v>0</x:v>
      </x:c>
      <x:c r="G246" s="201" t="str"/>
      <x:c r="H246" s="193" t="n">
        <x:v>0</x:v>
      </x:c>
      <x:c r="I246" s="201" t="str"/>
      <x:c r="J246" s="188" t="n">
        <x:f>1</x:f>
        <x:v>1</x:v>
      </x:c>
      <x:c r="K246" s="188" t="n">
        <x:f>IF(AND(D246&lt;=5,F246=0),1,0)</x:f>
        <x:v>1</x:v>
      </x:c>
      <x:c r="L246" s="188" t="n">
        <x:f>IF(F246=1,'01_ВВОД'!$D$23,CHOOSE(D246,'01_ВВОД'!$D$19,'01_ВВОД'!$D$19,'01_ВВОД'!$D$19,'01_ВВОД'!$D$19,'01_ВВОД'!$D$20,'01_ВВОД'!$D$21,'01_ВВОД'!$D$22))</x:f>
        <x:v>45</x:v>
      </x:c>
      <x:c r="M246" s="188" t="n">
        <x:f>L246*IF(H246=1,'01_ВВОД'!$D$118,1)</x:f>
        <x:v>45</x:v>
      </x:c>
      <x:c r="N246" s="188" t="n">
        <x:f>IF(K246=1,'01_ВВОД'!$D$26,0)</x:f>
        <x:v>40</x:v>
      </x:c>
      <x:c r="O246" s="188" t="n">
        <x:f>IF(F246=1,'01_ВВОД'!$D$34,IF(D246&lt;=5,'01_ВВОД'!$D$32,'01_ВВОД'!$D$33))</x:f>
        <x:v>15</x:v>
      </x:c>
      <x:c r="P246" s="188" t="n">
        <x:f>O246</x:f>
        <x:v>15</x:v>
      </x:c>
      <x:c r="Q246" s="188" t="n">
        <x:f>'01_ВВОД'!$D$40</x:f>
        <x:v>12</x:v>
      </x:c>
      <x:c r="R246" s="188" t="n">
        <x:f>'01_ВВОД'!$D$46</x:f>
        <x:v>20</x:v>
      </x:c>
      <x:c r="S246" s="188" t="n">
        <x:f>H246</x:f>
        <x:v>0</x:v>
      </x:c>
      <x:c r="T246" s="188" t="n">
        <x:f>IF(H246=1,M246+N246+P246+Q246,0)</x:f>
        <x:v>0</x:v>
      </x:c>
      <x:c r="U246" t="n">
        <x:f>'01_ВВОД'!$D$120</x:f>
        <x:v>10</x:v>
      </x:c>
      <x:c r="V246" t="n">
        <x:f>ROUNDDOWN(SUM(M246,N246,R246,U246)*'01_ВВОД'!$D$127,0)</x:f>
        <x:v>57</x:v>
      </x:c>
      <x:c r="W246" t="n">
        <x:f>ROUNDDOWN(SUM(L246,N246,R246,U246)*'01_ВВОД'!$D$127,0)</x:f>
        <x:v>57</x:v>
      </x:c>
    </x:row>
    <x:row r="247">
      <x:c r="A247" s="200" t="n">
        <x:v>46508</x:v>
      </x:c>
      <x:c r="B247" s="201" t="n">
        <x:v>9</x:v>
      </x:c>
      <x:c r="C247" s="201" t="inlineStr">
        <x:is>
          <x:t xml:space="preserve">Май-27</x:t>
        </x:is>
      </x:c>
      <x:c r="D247" s="201" t="n">
        <x:v>6</x:v>
      </x:c>
      <x:c r="E247" s="201" t="inlineStr">
        <x:is>
          <x:t xml:space="preserve">Сб</x:t>
        </x:is>
      </x:c>
      <x:c r="F247" s="199" t="n">
        <x:v>1</x:v>
      </x:c>
      <x:c r="G247" s="201" t="inlineStr">
        <x:is>
          <x:t xml:space="preserve">Фиксированный праздник 2027; переносы уточнить</x:t>
        </x:is>
      </x:c>
      <x:c r="H247" s="193" t="n">
        <x:v>0</x:v>
      </x:c>
      <x:c r="I247" s="201" t="str"/>
      <x:c r="J247" s="188" t="n">
        <x:f>1</x:f>
        <x:v>1</x:v>
      </x:c>
      <x:c r="K247" s="188" t="n">
        <x:f>IF(AND(D247&lt;=5,F247=0),1,0)</x:f>
        <x:v>0</x:v>
      </x:c>
      <x:c r="L247" s="188" t="n">
        <x:f>IF(F247=1,'01_ВВОД'!$D$23,CHOOSE(D247,'01_ВВОД'!$D$19,'01_ВВОД'!$D$19,'01_ВВОД'!$D$19,'01_ВВОД'!$D$19,'01_ВВОД'!$D$20,'01_ВВОД'!$D$21,'01_ВВОД'!$D$22))</x:f>
        <x:v>70</x:v>
      </x:c>
      <x:c r="M247" s="188" t="n">
        <x:f>L247*IF(H247=1,'01_ВВОД'!$D$118,1)</x:f>
        <x:v>70</x:v>
      </x:c>
      <x:c r="N247" s="188" t="n">
        <x:f>IF(K247=1,'01_ВВОД'!$D$26,0)</x:f>
        <x:v>0</x:v>
      </x:c>
      <x:c r="O247" s="188" t="n">
        <x:f>IF(F247=1,'01_ВВОД'!$D$34,IF(D247&lt;=5,'01_ВВОД'!$D$32,'01_ВВОД'!$D$33))</x:f>
        <x:v>30</x:v>
      </x:c>
      <x:c r="P247" s="188" t="n">
        <x:f>O247</x:f>
        <x:v>30</x:v>
      </x:c>
      <x:c r="Q247" s="188" t="n">
        <x:f>'01_ВВОД'!$D$40</x:f>
        <x:v>12</x:v>
      </x:c>
      <x:c r="R247" s="188" t="n">
        <x:f>'01_ВВОД'!$D$46</x:f>
        <x:v>20</x:v>
      </x:c>
      <x:c r="S247" s="188" t="n">
        <x:f>H247</x:f>
        <x:v>0</x:v>
      </x:c>
      <x:c r="T247" s="188" t="n">
        <x:f>IF(H247=1,M247+N247+P247+Q247,0)</x:f>
        <x:v>0</x:v>
      </x:c>
      <x:c r="U247" t="n">
        <x:f>'01_ВВОД'!$D$120</x:f>
        <x:v>10</x:v>
      </x:c>
      <x:c r="V247" t="n">
        <x:f>ROUNDDOWN(SUM(M247,N247,R247,U247)*'01_ВВОД'!$D$127,0)</x:f>
        <x:v>50</x:v>
      </x:c>
      <x:c r="W247" t="n">
        <x:f>ROUNDDOWN(SUM(L247,N247,R247,U247)*'01_ВВОД'!$D$127,0)</x:f>
        <x:v>50</x:v>
      </x:c>
    </x:row>
    <x:row r="248">
      <x:c r="A248" s="200" t="n">
        <x:v>46509</x:v>
      </x:c>
      <x:c r="B248" s="201" t="n">
        <x:v>9</x:v>
      </x:c>
      <x:c r="C248" s="201" t="inlineStr">
        <x:is>
          <x:t xml:space="preserve">Май-27</x:t>
        </x:is>
      </x:c>
      <x:c r="D248" s="201" t="n">
        <x:v>7</x:v>
      </x:c>
      <x:c r="E248" s="201" t="inlineStr">
        <x:is>
          <x:t xml:space="preserve">Вс</x:t>
        </x:is>
      </x:c>
      <x:c r="F248" s="199" t="n">
        <x:v>0</x:v>
      </x:c>
      <x:c r="G248" s="201" t="str"/>
      <x:c r="H248" s="193" t="n">
        <x:v>0</x:v>
      </x:c>
      <x:c r="I248" s="201" t="str"/>
      <x:c r="J248" s="188" t="n">
        <x:f>1</x:f>
        <x:v>1</x:v>
      </x:c>
      <x:c r="K248" s="188" t="n">
        <x:f>IF(AND(D248&lt;=5,F248=0),1,0)</x:f>
        <x:v>0</x:v>
      </x:c>
      <x:c r="L248" s="188" t="n">
        <x:f>IF(F248=1,'01_ВВОД'!$D$23,CHOOSE(D248,'01_ВВОД'!$D$19,'01_ВВОД'!$D$19,'01_ВВОД'!$D$19,'01_ВВОД'!$D$19,'01_ВВОД'!$D$20,'01_ВВОД'!$D$21,'01_ВВОД'!$D$22))</x:f>
        <x:v>70</x:v>
      </x:c>
      <x:c r="M248" s="188" t="n">
        <x:f>L248*IF(H248=1,'01_ВВОД'!$D$118,1)</x:f>
        <x:v>70</x:v>
      </x:c>
      <x:c r="N248" s="188" t="n">
        <x:f>IF(K248=1,'01_ВВОД'!$D$26,0)</x:f>
        <x:v>0</x:v>
      </x:c>
      <x:c r="O248" s="188" t="n">
        <x:f>IF(F248=1,'01_ВВОД'!$D$34,IF(D248&lt;=5,'01_ВВОД'!$D$32,'01_ВВОД'!$D$33))</x:f>
        <x:v>30</x:v>
      </x:c>
      <x:c r="P248" s="188" t="n">
        <x:f>O248</x:f>
        <x:v>30</x:v>
      </x:c>
      <x:c r="Q248" s="188" t="n">
        <x:f>'01_ВВОД'!$D$40</x:f>
        <x:v>12</x:v>
      </x:c>
      <x:c r="R248" s="188" t="n">
        <x:f>'01_ВВОД'!$D$46</x:f>
        <x:v>20</x:v>
      </x:c>
      <x:c r="S248" s="188" t="n">
        <x:f>H248</x:f>
        <x:v>0</x:v>
      </x:c>
      <x:c r="T248" s="188" t="n">
        <x:f>IF(H248=1,M248+N248+P248+Q248,0)</x:f>
        <x:v>0</x:v>
      </x:c>
      <x:c r="U248" t="n">
        <x:f>'01_ВВОД'!$D$120</x:f>
        <x:v>10</x:v>
      </x:c>
      <x:c r="V248" t="n">
        <x:f>ROUNDDOWN(SUM(M248,N248,R248,U248)*'01_ВВОД'!$D$127,0)</x:f>
        <x:v>50</x:v>
      </x:c>
      <x:c r="W248" t="n">
        <x:f>ROUNDDOWN(SUM(L248,N248,R248,U248)*'01_ВВОД'!$D$127,0)</x:f>
        <x:v>50</x:v>
      </x:c>
    </x:row>
    <x:row r="249">
      <x:c r="A249" s="200" t="n">
        <x:v>46510</x:v>
      </x:c>
      <x:c r="B249" s="201" t="n">
        <x:v>9</x:v>
      </x:c>
      <x:c r="C249" s="201" t="inlineStr">
        <x:is>
          <x:t xml:space="preserve">Май-27</x:t>
        </x:is>
      </x:c>
      <x:c r="D249" s="201" t="n">
        <x:v>1</x:v>
      </x:c>
      <x:c r="E249" s="201" t="inlineStr">
        <x:is>
          <x:t xml:space="preserve">Пн</x:t>
        </x:is>
      </x:c>
      <x:c r="F249" s="199" t="n">
        <x:v>0</x:v>
      </x:c>
      <x:c r="G249" s="201" t="str"/>
      <x:c r="H249" s="193" t="n">
        <x:v>0</x:v>
      </x:c>
      <x:c r="I249" s="201" t="str"/>
      <x:c r="J249" s="188" t="n">
        <x:f>1</x:f>
        <x:v>1</x:v>
      </x:c>
      <x:c r="K249" s="188" t="n">
        <x:f>IF(AND(D249&lt;=5,F249=0),1,0)</x:f>
        <x:v>1</x:v>
      </x:c>
      <x:c r="L249" s="188" t="n">
        <x:f>IF(F249=1,'01_ВВОД'!$D$23,CHOOSE(D249,'01_ВВОД'!$D$19,'01_ВВОД'!$D$19,'01_ВВОД'!$D$19,'01_ВВОД'!$D$19,'01_ВВОД'!$D$20,'01_ВВОД'!$D$21,'01_ВВОД'!$D$22))</x:f>
        <x:v>32</x:v>
      </x:c>
      <x:c r="M249" s="188" t="n">
        <x:f>L249*IF(H249=1,'01_ВВОД'!$D$118,1)</x:f>
        <x:v>32</x:v>
      </x:c>
      <x:c r="N249" s="188" t="n">
        <x:f>IF(K249=1,'01_ВВОД'!$D$26,0)</x:f>
        <x:v>40</x:v>
      </x:c>
      <x:c r="O249" s="188" t="n">
        <x:f>IF(F249=1,'01_ВВОД'!$D$34,IF(D249&lt;=5,'01_ВВОД'!$D$32,'01_ВВОД'!$D$33))</x:f>
        <x:v>15</x:v>
      </x:c>
      <x:c r="P249" s="188" t="n">
        <x:f>O249</x:f>
        <x:v>15</x:v>
      </x:c>
      <x:c r="Q249" s="188" t="n">
        <x:f>'01_ВВОД'!$D$40</x:f>
        <x:v>12</x:v>
      </x:c>
      <x:c r="R249" s="188" t="n">
        <x:f>'01_ВВОД'!$D$46</x:f>
        <x:v>20</x:v>
      </x:c>
      <x:c r="S249" s="188" t="n">
        <x:f>H249</x:f>
        <x:v>0</x:v>
      </x:c>
      <x:c r="T249" s="188" t="n">
        <x:f>IF(H249=1,M249+N249+P249+Q249,0)</x:f>
        <x:v>0</x:v>
      </x:c>
      <x:c r="U249" t="n">
        <x:f>'01_ВВОД'!$D$120</x:f>
        <x:v>10</x:v>
      </x:c>
      <x:c r="V249" t="n">
        <x:f>ROUNDDOWN(SUM(M249,N249,R249,U249)*'01_ВВОД'!$D$127,0)</x:f>
        <x:v>51</x:v>
      </x:c>
      <x:c r="W249" t="n">
        <x:f>ROUNDDOWN(SUM(L249,N249,R249,U249)*'01_ВВОД'!$D$127,0)</x:f>
        <x:v>51</x:v>
      </x:c>
    </x:row>
    <x:row r="250">
      <x:c r="A250" s="200" t="n">
        <x:v>46511</x:v>
      </x:c>
      <x:c r="B250" s="201" t="n">
        <x:v>9</x:v>
      </x:c>
      <x:c r="C250" s="201" t="inlineStr">
        <x:is>
          <x:t xml:space="preserve">Май-27</x:t>
        </x:is>
      </x:c>
      <x:c r="D250" s="201" t="n">
        <x:v>2</x:v>
      </x:c>
      <x:c r="E250" s="201" t="inlineStr">
        <x:is>
          <x:t xml:space="preserve">Вт</x:t>
        </x:is>
      </x:c>
      <x:c r="F250" s="199" t="n">
        <x:v>0</x:v>
      </x:c>
      <x:c r="G250" s="201" t="str"/>
      <x:c r="H250" s="193" t="n">
        <x:v>0</x:v>
      </x:c>
      <x:c r="I250" s="201" t="str"/>
      <x:c r="J250" s="188" t="n">
        <x:f>1</x:f>
        <x:v>1</x:v>
      </x:c>
      <x:c r="K250" s="188" t="n">
        <x:f>IF(AND(D250&lt;=5,F250=0),1,0)</x:f>
        <x:v>1</x:v>
      </x:c>
      <x:c r="L250" s="188" t="n">
        <x:f>IF(F250=1,'01_ВВОД'!$D$23,CHOOSE(D250,'01_ВВОД'!$D$19,'01_ВВОД'!$D$19,'01_ВВОД'!$D$19,'01_ВВОД'!$D$19,'01_ВВОД'!$D$20,'01_ВВОД'!$D$21,'01_ВВОД'!$D$22))</x:f>
        <x:v>32</x:v>
      </x:c>
      <x:c r="M250" s="188" t="n">
        <x:f>L250*IF(H250=1,'01_ВВОД'!$D$118,1)</x:f>
        <x:v>32</x:v>
      </x:c>
      <x:c r="N250" s="188" t="n">
        <x:f>IF(K250=1,'01_ВВОД'!$D$26,0)</x:f>
        <x:v>40</x:v>
      </x:c>
      <x:c r="O250" s="188" t="n">
        <x:f>IF(F250=1,'01_ВВОД'!$D$34,IF(D250&lt;=5,'01_ВВОД'!$D$32,'01_ВВОД'!$D$33))</x:f>
        <x:v>15</x:v>
      </x:c>
      <x:c r="P250" s="188" t="n">
        <x:f>O250</x:f>
        <x:v>15</x:v>
      </x:c>
      <x:c r="Q250" s="188" t="n">
        <x:f>'01_ВВОД'!$D$40</x:f>
        <x:v>12</x:v>
      </x:c>
      <x:c r="R250" s="188" t="n">
        <x:f>'01_ВВОД'!$D$46</x:f>
        <x:v>20</x:v>
      </x:c>
      <x:c r="S250" s="188" t="n">
        <x:f>H250</x:f>
        <x:v>0</x:v>
      </x:c>
      <x:c r="T250" s="188" t="n">
        <x:f>IF(H250=1,M250+N250+P250+Q250,0)</x:f>
        <x:v>0</x:v>
      </x:c>
      <x:c r="U250" t="n">
        <x:f>'01_ВВОД'!$D$120</x:f>
        <x:v>10</x:v>
      </x:c>
      <x:c r="V250" t="n">
        <x:f>ROUNDDOWN(SUM(M250,N250,R250,U250)*'01_ВВОД'!$D$127,0)</x:f>
        <x:v>51</x:v>
      </x:c>
      <x:c r="W250" t="n">
        <x:f>ROUNDDOWN(SUM(L250,N250,R250,U250)*'01_ВВОД'!$D$127,0)</x:f>
        <x:v>51</x:v>
      </x:c>
    </x:row>
    <x:row r="251">
      <x:c r="A251" s="200" t="n">
        <x:v>46512</x:v>
      </x:c>
      <x:c r="B251" s="201" t="n">
        <x:v>9</x:v>
      </x:c>
      <x:c r="C251" s="201" t="inlineStr">
        <x:is>
          <x:t xml:space="preserve">Май-27</x:t>
        </x:is>
      </x:c>
      <x:c r="D251" s="201" t="n">
        <x:v>3</x:v>
      </x:c>
      <x:c r="E251" s="201" t="inlineStr">
        <x:is>
          <x:t xml:space="preserve">Ср</x:t>
        </x:is>
      </x:c>
      <x:c r="F251" s="199" t="n">
        <x:v>0</x:v>
      </x:c>
      <x:c r="G251" s="201" t="str"/>
      <x:c r="H251" s="193" t="n">
        <x:v>0</x:v>
      </x:c>
      <x:c r="I251" s="201" t="str"/>
      <x:c r="J251" s="188" t="n">
        <x:f>1</x:f>
        <x:v>1</x:v>
      </x:c>
      <x:c r="K251" s="188" t="n">
        <x:f>IF(AND(D251&lt;=5,F251=0),1,0)</x:f>
        <x:v>1</x:v>
      </x:c>
      <x:c r="L251" s="188" t="n">
        <x:f>IF(F251=1,'01_ВВОД'!$D$23,CHOOSE(D251,'01_ВВОД'!$D$19,'01_ВВОД'!$D$19,'01_ВВОД'!$D$19,'01_ВВОД'!$D$19,'01_ВВОД'!$D$20,'01_ВВОД'!$D$21,'01_ВВОД'!$D$22))</x:f>
        <x:v>32</x:v>
      </x:c>
      <x:c r="M251" s="188" t="n">
        <x:f>L251*IF(H251=1,'01_ВВОД'!$D$118,1)</x:f>
        <x:v>32</x:v>
      </x:c>
      <x:c r="N251" s="188" t="n">
        <x:f>IF(K251=1,'01_ВВОД'!$D$26,0)</x:f>
        <x:v>40</x:v>
      </x:c>
      <x:c r="O251" s="188" t="n">
        <x:f>IF(F251=1,'01_ВВОД'!$D$34,IF(D251&lt;=5,'01_ВВОД'!$D$32,'01_ВВОД'!$D$33))</x:f>
        <x:v>15</x:v>
      </x:c>
      <x:c r="P251" s="188" t="n">
        <x:f>O251</x:f>
        <x:v>15</x:v>
      </x:c>
      <x:c r="Q251" s="188" t="n">
        <x:f>'01_ВВОД'!$D$40</x:f>
        <x:v>12</x:v>
      </x:c>
      <x:c r="R251" s="188" t="n">
        <x:f>'01_ВВОД'!$D$46</x:f>
        <x:v>20</x:v>
      </x:c>
      <x:c r="S251" s="188" t="n">
        <x:f>H251</x:f>
        <x:v>0</x:v>
      </x:c>
      <x:c r="T251" s="188" t="n">
        <x:f>IF(H251=1,M251+N251+P251+Q251,0)</x:f>
        <x:v>0</x:v>
      </x:c>
      <x:c r="U251" t="n">
        <x:f>'01_ВВОД'!$D$120</x:f>
        <x:v>10</x:v>
      </x:c>
      <x:c r="V251" t="n">
        <x:f>ROUNDDOWN(SUM(M251,N251,R251,U251)*'01_ВВОД'!$D$127,0)</x:f>
        <x:v>51</x:v>
      </x:c>
      <x:c r="W251" t="n">
        <x:f>ROUNDDOWN(SUM(L251,N251,R251,U251)*'01_ВВОД'!$D$127,0)</x:f>
        <x:v>51</x:v>
      </x:c>
    </x:row>
    <x:row r="252">
      <x:c r="A252" s="200" t="n">
        <x:v>46513</x:v>
      </x:c>
      <x:c r="B252" s="201" t="n">
        <x:v>9</x:v>
      </x:c>
      <x:c r="C252" s="201" t="inlineStr">
        <x:is>
          <x:t xml:space="preserve">Май-27</x:t>
        </x:is>
      </x:c>
      <x:c r="D252" s="201" t="n">
        <x:v>4</x:v>
      </x:c>
      <x:c r="E252" s="201" t="inlineStr">
        <x:is>
          <x:t xml:space="preserve">Чт</x:t>
        </x:is>
      </x:c>
      <x:c r="F252" s="199" t="n">
        <x:v>0</x:v>
      </x:c>
      <x:c r="G252" s="201" t="str"/>
      <x:c r="H252" s="193" t="n">
        <x:v>0</x:v>
      </x:c>
      <x:c r="I252" s="201" t="str"/>
      <x:c r="J252" s="188" t="n">
        <x:f>1</x:f>
        <x:v>1</x:v>
      </x:c>
      <x:c r="K252" s="188" t="n">
        <x:f>IF(AND(D252&lt;=5,F252=0),1,0)</x:f>
        <x:v>1</x:v>
      </x:c>
      <x:c r="L252" s="188" t="n">
        <x:f>IF(F252=1,'01_ВВОД'!$D$23,CHOOSE(D252,'01_ВВОД'!$D$19,'01_ВВОД'!$D$19,'01_ВВОД'!$D$19,'01_ВВОД'!$D$19,'01_ВВОД'!$D$20,'01_ВВОД'!$D$21,'01_ВВОД'!$D$22))</x:f>
        <x:v>32</x:v>
      </x:c>
      <x:c r="M252" s="188" t="n">
        <x:f>L252*IF(H252=1,'01_ВВОД'!$D$118,1)</x:f>
        <x:v>32</x:v>
      </x:c>
      <x:c r="N252" s="188" t="n">
        <x:f>IF(K252=1,'01_ВВОД'!$D$26,0)</x:f>
        <x:v>40</x:v>
      </x:c>
      <x:c r="O252" s="188" t="n">
        <x:f>IF(F252=1,'01_ВВОД'!$D$34,IF(D252&lt;=5,'01_ВВОД'!$D$32,'01_ВВОД'!$D$33))</x:f>
        <x:v>15</x:v>
      </x:c>
      <x:c r="P252" s="188" t="n">
        <x:f>O252</x:f>
        <x:v>15</x:v>
      </x:c>
      <x:c r="Q252" s="188" t="n">
        <x:f>'01_ВВОД'!$D$40</x:f>
        <x:v>12</x:v>
      </x:c>
      <x:c r="R252" s="188" t="n">
        <x:f>'01_ВВОД'!$D$46</x:f>
        <x:v>20</x:v>
      </x:c>
      <x:c r="S252" s="188" t="n">
        <x:f>H252</x:f>
        <x:v>0</x:v>
      </x:c>
      <x:c r="T252" s="188" t="n">
        <x:f>IF(H252=1,M252+N252+P252+Q252,0)</x:f>
        <x:v>0</x:v>
      </x:c>
      <x:c r="U252" t="n">
        <x:f>'01_ВВОД'!$D$120</x:f>
        <x:v>10</x:v>
      </x:c>
      <x:c r="V252" t="n">
        <x:f>ROUNDDOWN(SUM(M252,N252,R252,U252)*'01_ВВОД'!$D$127,0)</x:f>
        <x:v>51</x:v>
      </x:c>
      <x:c r="W252" t="n">
        <x:f>ROUNDDOWN(SUM(L252,N252,R252,U252)*'01_ВВОД'!$D$127,0)</x:f>
        <x:v>51</x:v>
      </x:c>
    </x:row>
    <x:row r="253">
      <x:c r="A253" s="200" t="n">
        <x:v>46514</x:v>
      </x:c>
      <x:c r="B253" s="201" t="n">
        <x:v>9</x:v>
      </x:c>
      <x:c r="C253" s="201" t="inlineStr">
        <x:is>
          <x:t xml:space="preserve">Май-27</x:t>
        </x:is>
      </x:c>
      <x:c r="D253" s="201" t="n">
        <x:v>5</x:v>
      </x:c>
      <x:c r="E253" s="201" t="inlineStr">
        <x:is>
          <x:t xml:space="preserve">Пт</x:t>
        </x:is>
      </x:c>
      <x:c r="F253" s="199" t="n">
        <x:v>0</x:v>
      </x:c>
      <x:c r="G253" s="201" t="str"/>
      <x:c r="H253" s="193" t="n">
        <x:v>1</x:v>
      </x:c>
      <x:c r="I253" s="201" t="inlineStr">
        <x:is>
          <x:t xml:space="preserve">Пт–Вс</x:t>
        </x:is>
      </x:c>
      <x:c r="J253" s="188" t="n">
        <x:f>1</x:f>
        <x:v>1</x:v>
      </x:c>
      <x:c r="K253" s="188" t="n">
        <x:f>IF(AND(D253&lt;=5,F253=0),1,0)</x:f>
        <x:v>1</x:v>
      </x:c>
      <x:c r="L253" s="188" t="n">
        <x:f>IF(F253=1,'01_ВВОД'!$D$23,CHOOSE(D253,'01_ВВОД'!$D$19,'01_ВВОД'!$D$19,'01_ВВОД'!$D$19,'01_ВВОД'!$D$19,'01_ВВОД'!$D$20,'01_ВВОД'!$D$21,'01_ВВОД'!$D$22))</x:f>
        <x:v>45</x:v>
      </x:c>
      <x:c r="M253" s="188" t="n">
        <x:f>L253*IF(H253=1,'01_ВВОД'!$D$118,1)</x:f>
        <x:v>9</x:v>
      </x:c>
      <x:c r="N253" s="188" t="n">
        <x:f>IF(K253=1,'01_ВВОД'!$D$26,0)</x:f>
        <x:v>40</x:v>
      </x:c>
      <x:c r="O253" s="188" t="n">
        <x:f>IF(F253=1,'01_ВВОД'!$D$34,IF(D253&lt;=5,'01_ВВОД'!$D$32,'01_ВВОД'!$D$33))</x:f>
        <x:v>15</x:v>
      </x:c>
      <x:c r="P253" s="188" t="n">
        <x:f>O253</x:f>
        <x:v>15</x:v>
      </x:c>
      <x:c r="Q253" s="188" t="n">
        <x:f>'01_ВВОД'!$D$40</x:f>
        <x:v>12</x:v>
      </x:c>
      <x:c r="R253" s="188" t="n">
        <x:f>'01_ВВОД'!$D$46</x:f>
        <x:v>20</x:v>
      </x:c>
      <x:c r="S253" s="188" t="n">
        <x:f>H253</x:f>
        <x:v>1</x:v>
      </x:c>
      <x:c r="T253" s="188" t="n">
        <x:f>IF(H253=1,M253+N253+P253+Q253,0)</x:f>
        <x:v>76</x:v>
      </x:c>
      <x:c r="U253" t="n">
        <x:f>'01_ВВОД'!$D$120</x:f>
        <x:v>10</x:v>
      </x:c>
      <x:c r="V253" t="n">
        <x:f>ROUNDDOWN(SUM(M253,N253,R253,U253)*'01_ВВОД'!$D$127,0)</x:f>
        <x:v>39</x:v>
      </x:c>
      <x:c r="W253" t="n">
        <x:f>ROUNDDOWN(SUM(L253,N253,R253,U253)*'01_ВВОД'!$D$127,0)</x:f>
        <x:v>57</x:v>
      </x:c>
    </x:row>
    <x:row r="254">
      <x:c r="A254" s="200" t="n">
        <x:v>46515</x:v>
      </x:c>
      <x:c r="B254" s="201" t="n">
        <x:v>9</x:v>
      </x:c>
      <x:c r="C254" s="201" t="inlineStr">
        <x:is>
          <x:t xml:space="preserve">Май-27</x:t>
        </x:is>
      </x:c>
      <x:c r="D254" s="201" t="n">
        <x:v>6</x:v>
      </x:c>
      <x:c r="E254" s="201" t="inlineStr">
        <x:is>
          <x:t xml:space="preserve">Сб</x:t>
        </x:is>
      </x:c>
      <x:c r="F254" s="199" t="n">
        <x:v>0</x:v>
      </x:c>
      <x:c r="G254" s="201" t="str"/>
      <x:c r="H254" s="193" t="n">
        <x:v>1</x:v>
      </x:c>
      <x:c r="I254" s="201" t="inlineStr">
        <x:is>
          <x:t xml:space="preserve">Пт–Вс</x:t>
        </x:is>
      </x:c>
      <x:c r="J254" s="188" t="n">
        <x:f>1</x:f>
        <x:v>1</x:v>
      </x:c>
      <x:c r="K254" s="188" t="n">
        <x:f>IF(AND(D254&lt;=5,F254=0),1,0)</x:f>
        <x:v>0</x:v>
      </x:c>
      <x:c r="L254" s="188" t="n">
        <x:f>IF(F254=1,'01_ВВОД'!$D$23,CHOOSE(D254,'01_ВВОД'!$D$19,'01_ВВОД'!$D$19,'01_ВВОД'!$D$19,'01_ВВОД'!$D$19,'01_ВВОД'!$D$20,'01_ВВОД'!$D$21,'01_ВВОД'!$D$22))</x:f>
        <x:v>80</x:v>
      </x:c>
      <x:c r="M254" s="188" t="n">
        <x:f>L254*IF(H254=1,'01_ВВОД'!$D$118,1)</x:f>
        <x:v>16</x:v>
      </x:c>
      <x:c r="N254" s="188" t="n">
        <x:f>IF(K254=1,'01_ВВОД'!$D$26,0)</x:f>
        <x:v>0</x:v>
      </x:c>
      <x:c r="O254" s="188" t="n">
        <x:f>IF(F254=1,'01_ВВОД'!$D$34,IF(D254&lt;=5,'01_ВВОД'!$D$32,'01_ВВОД'!$D$33))</x:f>
        <x:v>30</x:v>
      </x:c>
      <x:c r="P254" s="188" t="n">
        <x:f>O254</x:f>
        <x:v>30</x:v>
      </x:c>
      <x:c r="Q254" s="188" t="n">
        <x:f>'01_ВВОД'!$D$40</x:f>
        <x:v>12</x:v>
      </x:c>
      <x:c r="R254" s="188" t="n">
        <x:f>'01_ВВОД'!$D$46</x:f>
        <x:v>20</x:v>
      </x:c>
      <x:c r="S254" s="188" t="n">
        <x:f>H254</x:f>
        <x:v>1</x:v>
      </x:c>
      <x:c r="T254" s="188" t="n">
        <x:f>IF(H254=1,M254+N254+P254+Q254,0)</x:f>
        <x:v>58</x:v>
      </x:c>
      <x:c r="U254" t="n">
        <x:f>'01_ВВОД'!$D$120</x:f>
        <x:v>10</x:v>
      </x:c>
      <x:c r="V254" t="n">
        <x:f>ROUNDDOWN(SUM(M254,N254,R254,U254)*'01_ВВОД'!$D$127,0)</x:f>
        <x:v>23</x:v>
      </x:c>
      <x:c r="W254" t="n">
        <x:f>ROUNDDOWN(SUM(L254,N254,R254,U254)*'01_ВВОД'!$D$127,0)</x:f>
        <x:v>55</x:v>
      </x:c>
    </x:row>
    <x:row r="255">
      <x:c r="A255" s="200" t="n">
        <x:v>46516</x:v>
      </x:c>
      <x:c r="B255" s="201" t="n">
        <x:v>9</x:v>
      </x:c>
      <x:c r="C255" s="201" t="inlineStr">
        <x:is>
          <x:t xml:space="preserve">Май-27</x:t>
        </x:is>
      </x:c>
      <x:c r="D255" s="201" t="n">
        <x:v>7</x:v>
      </x:c>
      <x:c r="E255" s="201" t="inlineStr">
        <x:is>
          <x:t xml:space="preserve">Вс</x:t>
        </x:is>
      </x:c>
      <x:c r="F255" s="199" t="n">
        <x:v>1</x:v>
      </x:c>
      <x:c r="G255" s="201" t="inlineStr">
        <x:is>
          <x:t xml:space="preserve">Фиксированный праздник 2027; переносы уточнить</x:t>
        </x:is>
      </x:c>
      <x:c r="H255" s="193" t="n">
        <x:v>0</x:v>
      </x:c>
      <x:c r="I255" s="201" t="str"/>
      <x:c r="J255" s="188" t="n">
        <x:f>1</x:f>
        <x:v>1</x:v>
      </x:c>
      <x:c r="K255" s="188" t="n">
        <x:f>IF(AND(D255&lt;=5,F255=0),1,0)</x:f>
        <x:v>0</x:v>
      </x:c>
      <x:c r="L255" s="188" t="n">
        <x:f>IF(F255=1,'01_ВВОД'!$D$23,CHOOSE(D255,'01_ВВОД'!$D$19,'01_ВВОД'!$D$19,'01_ВВОД'!$D$19,'01_ВВОД'!$D$19,'01_ВВОД'!$D$20,'01_ВВОД'!$D$21,'01_ВВОД'!$D$22))</x:f>
        <x:v>70</x:v>
      </x:c>
      <x:c r="M255" s="188" t="n">
        <x:f>L255*IF(H255=1,'01_ВВОД'!$D$118,1)</x:f>
        <x:v>70</x:v>
      </x:c>
      <x:c r="N255" s="188" t="n">
        <x:f>IF(K255=1,'01_ВВОД'!$D$26,0)</x:f>
        <x:v>0</x:v>
      </x:c>
      <x:c r="O255" s="188" t="n">
        <x:f>IF(F255=1,'01_ВВОД'!$D$34,IF(D255&lt;=5,'01_ВВОД'!$D$32,'01_ВВОД'!$D$33))</x:f>
        <x:v>30</x:v>
      </x:c>
      <x:c r="P255" s="188" t="n">
        <x:f>O255</x:f>
        <x:v>30</x:v>
      </x:c>
      <x:c r="Q255" s="188" t="n">
        <x:f>'01_ВВОД'!$D$40</x:f>
        <x:v>12</x:v>
      </x:c>
      <x:c r="R255" s="188" t="n">
        <x:f>'01_ВВОД'!$D$46</x:f>
        <x:v>20</x:v>
      </x:c>
      <x:c r="S255" s="188" t="n">
        <x:f>H255</x:f>
        <x:v>0</x:v>
      </x:c>
      <x:c r="T255" s="188" t="n">
        <x:f>IF(H255=1,M255+N255+P255+Q255,0)</x:f>
        <x:v>0</x:v>
      </x:c>
      <x:c r="U255" t="n">
        <x:f>'01_ВВОД'!$D$120</x:f>
        <x:v>10</x:v>
      </x:c>
      <x:c r="V255" t="n">
        <x:f>ROUNDDOWN(SUM(M255,N255,R255,U255)*'01_ВВОД'!$D$127,0)</x:f>
        <x:v>50</x:v>
      </x:c>
      <x:c r="W255" t="n">
        <x:f>ROUNDDOWN(SUM(L255,N255,R255,U255)*'01_ВВОД'!$D$127,0)</x:f>
        <x:v>50</x:v>
      </x:c>
    </x:row>
    <x:row r="256">
      <x:c r="A256" s="200" t="n">
        <x:v>46517</x:v>
      </x:c>
      <x:c r="B256" s="201" t="n">
        <x:v>9</x:v>
      </x:c>
      <x:c r="C256" s="201" t="inlineStr">
        <x:is>
          <x:t xml:space="preserve">Май-27</x:t>
        </x:is>
      </x:c>
      <x:c r="D256" s="201" t="n">
        <x:v>1</x:v>
      </x:c>
      <x:c r="E256" s="201" t="inlineStr">
        <x:is>
          <x:t xml:space="preserve">Пн</x:t>
        </x:is>
      </x:c>
      <x:c r="F256" s="199" t="n">
        <x:v>0</x:v>
      </x:c>
      <x:c r="G256" s="201" t="str"/>
      <x:c r="H256" s="193" t="n">
        <x:v>0</x:v>
      </x:c>
      <x:c r="I256" s="201" t="str"/>
      <x:c r="J256" s="188" t="n">
        <x:f>1</x:f>
        <x:v>1</x:v>
      </x:c>
      <x:c r="K256" s="188" t="n">
        <x:f>IF(AND(D256&lt;=5,F256=0),1,0)</x:f>
        <x:v>1</x:v>
      </x:c>
      <x:c r="L256" s="188" t="n">
        <x:f>IF(F256=1,'01_ВВОД'!$D$23,CHOOSE(D256,'01_ВВОД'!$D$19,'01_ВВОД'!$D$19,'01_ВВОД'!$D$19,'01_ВВОД'!$D$19,'01_ВВОД'!$D$20,'01_ВВОД'!$D$21,'01_ВВОД'!$D$22))</x:f>
        <x:v>32</x:v>
      </x:c>
      <x:c r="M256" s="188" t="n">
        <x:f>L256*IF(H256=1,'01_ВВОД'!$D$118,1)</x:f>
        <x:v>32</x:v>
      </x:c>
      <x:c r="N256" s="188" t="n">
        <x:f>IF(K256=1,'01_ВВОД'!$D$26,0)</x:f>
        <x:v>40</x:v>
      </x:c>
      <x:c r="O256" s="188" t="n">
        <x:f>IF(F256=1,'01_ВВОД'!$D$34,IF(D256&lt;=5,'01_ВВОД'!$D$32,'01_ВВОД'!$D$33))</x:f>
        <x:v>15</x:v>
      </x:c>
      <x:c r="P256" s="188" t="n">
        <x:f>O256</x:f>
        <x:v>15</x:v>
      </x:c>
      <x:c r="Q256" s="188" t="n">
        <x:f>'01_ВВОД'!$D$40</x:f>
        <x:v>12</x:v>
      </x:c>
      <x:c r="R256" s="188" t="n">
        <x:f>'01_ВВОД'!$D$46</x:f>
        <x:v>20</x:v>
      </x:c>
      <x:c r="S256" s="188" t="n">
        <x:f>H256</x:f>
        <x:v>0</x:v>
      </x:c>
      <x:c r="T256" s="188" t="n">
        <x:f>IF(H256=1,M256+N256+P256+Q256,0)</x:f>
        <x:v>0</x:v>
      </x:c>
      <x:c r="U256" t="n">
        <x:f>'01_ВВОД'!$D$120</x:f>
        <x:v>10</x:v>
      </x:c>
      <x:c r="V256" t="n">
        <x:f>ROUNDDOWN(SUM(M256,N256,R256,U256)*'01_ВВОД'!$D$127,0)</x:f>
        <x:v>51</x:v>
      </x:c>
      <x:c r="W256" t="n">
        <x:f>ROUNDDOWN(SUM(L256,N256,R256,U256)*'01_ВВОД'!$D$127,0)</x:f>
        <x:v>51</x:v>
      </x:c>
    </x:row>
    <x:row r="257">
      <x:c r="A257" s="200" t="n">
        <x:v>46518</x:v>
      </x:c>
      <x:c r="B257" s="201" t="n">
        <x:v>9</x:v>
      </x:c>
      <x:c r="C257" s="201" t="inlineStr">
        <x:is>
          <x:t xml:space="preserve">Май-27</x:t>
        </x:is>
      </x:c>
      <x:c r="D257" s="201" t="n">
        <x:v>2</x:v>
      </x:c>
      <x:c r="E257" s="201" t="inlineStr">
        <x:is>
          <x:t xml:space="preserve">Вт</x:t>
        </x:is>
      </x:c>
      <x:c r="F257" s="199" t="n">
        <x:v>0</x:v>
      </x:c>
      <x:c r="G257" s="201" t="str"/>
      <x:c r="H257" s="193" t="n">
        <x:v>0</x:v>
      </x:c>
      <x:c r="I257" s="201" t="str"/>
      <x:c r="J257" s="188" t="n">
        <x:f>1</x:f>
        <x:v>1</x:v>
      </x:c>
      <x:c r="K257" s="188" t="n">
        <x:f>IF(AND(D257&lt;=5,F257=0),1,0)</x:f>
        <x:v>1</x:v>
      </x:c>
      <x:c r="L257" s="188" t="n">
        <x:f>IF(F257=1,'01_ВВОД'!$D$23,CHOOSE(D257,'01_ВВОД'!$D$19,'01_ВВОД'!$D$19,'01_ВВОД'!$D$19,'01_ВВОД'!$D$19,'01_ВВОД'!$D$20,'01_ВВОД'!$D$21,'01_ВВОД'!$D$22))</x:f>
        <x:v>32</x:v>
      </x:c>
      <x:c r="M257" s="188" t="n">
        <x:f>L257*IF(H257=1,'01_ВВОД'!$D$118,1)</x:f>
        <x:v>32</x:v>
      </x:c>
      <x:c r="N257" s="188" t="n">
        <x:f>IF(K257=1,'01_ВВОД'!$D$26,0)</x:f>
        <x:v>40</x:v>
      </x:c>
      <x:c r="O257" s="188" t="n">
        <x:f>IF(F257=1,'01_ВВОД'!$D$34,IF(D257&lt;=5,'01_ВВОД'!$D$32,'01_ВВОД'!$D$33))</x:f>
        <x:v>15</x:v>
      </x:c>
      <x:c r="P257" s="188" t="n">
        <x:f>O257</x:f>
        <x:v>15</x:v>
      </x:c>
      <x:c r="Q257" s="188" t="n">
        <x:f>'01_ВВОД'!$D$40</x:f>
        <x:v>12</x:v>
      </x:c>
      <x:c r="R257" s="188" t="n">
        <x:f>'01_ВВОД'!$D$46</x:f>
        <x:v>20</x:v>
      </x:c>
      <x:c r="S257" s="188" t="n">
        <x:f>H257</x:f>
        <x:v>0</x:v>
      </x:c>
      <x:c r="T257" s="188" t="n">
        <x:f>IF(H257=1,M257+N257+P257+Q257,0)</x:f>
        <x:v>0</x:v>
      </x:c>
      <x:c r="U257" t="n">
        <x:f>'01_ВВОД'!$D$120</x:f>
        <x:v>10</x:v>
      </x:c>
      <x:c r="V257" t="n">
        <x:f>ROUNDDOWN(SUM(M257,N257,R257,U257)*'01_ВВОД'!$D$127,0)</x:f>
        <x:v>51</x:v>
      </x:c>
      <x:c r="W257" t="n">
        <x:f>ROUNDDOWN(SUM(L257,N257,R257,U257)*'01_ВВОД'!$D$127,0)</x:f>
        <x:v>51</x:v>
      </x:c>
    </x:row>
    <x:row r="258">
      <x:c r="A258" s="200" t="n">
        <x:v>46519</x:v>
      </x:c>
      <x:c r="B258" s="201" t="n">
        <x:v>9</x:v>
      </x:c>
      <x:c r="C258" s="201" t="inlineStr">
        <x:is>
          <x:t xml:space="preserve">Май-27</x:t>
        </x:is>
      </x:c>
      <x:c r="D258" s="201" t="n">
        <x:v>3</x:v>
      </x:c>
      <x:c r="E258" s="201" t="inlineStr">
        <x:is>
          <x:t xml:space="preserve">Ср</x:t>
        </x:is>
      </x:c>
      <x:c r="F258" s="199" t="n">
        <x:v>0</x:v>
      </x:c>
      <x:c r="G258" s="201" t="str"/>
      <x:c r="H258" s="193" t="n">
        <x:v>0</x:v>
      </x:c>
      <x:c r="I258" s="201" t="str"/>
      <x:c r="J258" s="188" t="n">
        <x:f>1</x:f>
        <x:v>1</x:v>
      </x:c>
      <x:c r="K258" s="188" t="n">
        <x:f>IF(AND(D258&lt;=5,F258=0),1,0)</x:f>
        <x:v>1</x:v>
      </x:c>
      <x:c r="L258" s="188" t="n">
        <x:f>IF(F258=1,'01_ВВОД'!$D$23,CHOOSE(D258,'01_ВВОД'!$D$19,'01_ВВОД'!$D$19,'01_ВВОД'!$D$19,'01_ВВОД'!$D$19,'01_ВВОД'!$D$20,'01_ВВОД'!$D$21,'01_ВВОД'!$D$22))</x:f>
        <x:v>32</x:v>
      </x:c>
      <x:c r="M258" s="188" t="n">
        <x:f>L258*IF(H258=1,'01_ВВОД'!$D$118,1)</x:f>
        <x:v>32</x:v>
      </x:c>
      <x:c r="N258" s="188" t="n">
        <x:f>IF(K258=1,'01_ВВОД'!$D$26,0)</x:f>
        <x:v>40</x:v>
      </x:c>
      <x:c r="O258" s="188" t="n">
        <x:f>IF(F258=1,'01_ВВОД'!$D$34,IF(D258&lt;=5,'01_ВВОД'!$D$32,'01_ВВОД'!$D$33))</x:f>
        <x:v>15</x:v>
      </x:c>
      <x:c r="P258" s="188" t="n">
        <x:f>O258</x:f>
        <x:v>15</x:v>
      </x:c>
      <x:c r="Q258" s="188" t="n">
        <x:f>'01_ВВОД'!$D$40</x:f>
        <x:v>12</x:v>
      </x:c>
      <x:c r="R258" s="188" t="n">
        <x:f>'01_ВВОД'!$D$46</x:f>
        <x:v>20</x:v>
      </x:c>
      <x:c r="S258" s="188" t="n">
        <x:f>H258</x:f>
        <x:v>0</x:v>
      </x:c>
      <x:c r="T258" s="188" t="n">
        <x:f>IF(H258=1,M258+N258+P258+Q258,0)</x:f>
        <x:v>0</x:v>
      </x:c>
      <x:c r="U258" t="n">
        <x:f>'01_ВВОД'!$D$120</x:f>
        <x:v>10</x:v>
      </x:c>
      <x:c r="V258" t="n">
        <x:f>ROUNDDOWN(SUM(M258,N258,R258,U258)*'01_ВВОД'!$D$127,0)</x:f>
        <x:v>51</x:v>
      </x:c>
      <x:c r="W258" t="n">
        <x:f>ROUNDDOWN(SUM(L258,N258,R258,U258)*'01_ВВОД'!$D$127,0)</x:f>
        <x:v>51</x:v>
      </x:c>
    </x:row>
    <x:row r="259">
      <x:c r="A259" s="200" t="n">
        <x:v>46520</x:v>
      </x:c>
      <x:c r="B259" s="201" t="n">
        <x:v>9</x:v>
      </x:c>
      <x:c r="C259" s="201" t="inlineStr">
        <x:is>
          <x:t xml:space="preserve">Май-27</x:t>
        </x:is>
      </x:c>
      <x:c r="D259" s="201" t="n">
        <x:v>4</x:v>
      </x:c>
      <x:c r="E259" s="201" t="inlineStr">
        <x:is>
          <x:t xml:space="preserve">Чт</x:t>
        </x:is>
      </x:c>
      <x:c r="F259" s="199" t="n">
        <x:v>0</x:v>
      </x:c>
      <x:c r="G259" s="201" t="str"/>
      <x:c r="H259" s="193" t="n">
        <x:v>0</x:v>
      </x:c>
      <x:c r="I259" s="201" t="str"/>
      <x:c r="J259" s="188" t="n">
        <x:f>1</x:f>
        <x:v>1</x:v>
      </x:c>
      <x:c r="K259" s="188" t="n">
        <x:f>IF(AND(D259&lt;=5,F259=0),1,0)</x:f>
        <x:v>1</x:v>
      </x:c>
      <x:c r="L259" s="188" t="n">
        <x:f>IF(F259=1,'01_ВВОД'!$D$23,CHOOSE(D259,'01_ВВОД'!$D$19,'01_ВВОД'!$D$19,'01_ВВОД'!$D$19,'01_ВВОД'!$D$19,'01_ВВОД'!$D$20,'01_ВВОД'!$D$21,'01_ВВОД'!$D$22))</x:f>
        <x:v>32</x:v>
      </x:c>
      <x:c r="M259" s="188" t="n">
        <x:f>L259*IF(H259=1,'01_ВВОД'!$D$118,1)</x:f>
        <x:v>32</x:v>
      </x:c>
      <x:c r="N259" s="188" t="n">
        <x:f>IF(K259=1,'01_ВВОД'!$D$26,0)</x:f>
        <x:v>40</x:v>
      </x:c>
      <x:c r="O259" s="188" t="n">
        <x:f>IF(F259=1,'01_ВВОД'!$D$34,IF(D259&lt;=5,'01_ВВОД'!$D$32,'01_ВВОД'!$D$33))</x:f>
        <x:v>15</x:v>
      </x:c>
      <x:c r="P259" s="188" t="n">
        <x:f>O259</x:f>
        <x:v>15</x:v>
      </x:c>
      <x:c r="Q259" s="188" t="n">
        <x:f>'01_ВВОД'!$D$40</x:f>
        <x:v>12</x:v>
      </x:c>
      <x:c r="R259" s="188" t="n">
        <x:f>'01_ВВОД'!$D$46</x:f>
        <x:v>20</x:v>
      </x:c>
      <x:c r="S259" s="188" t="n">
        <x:f>H259</x:f>
        <x:v>0</x:v>
      </x:c>
      <x:c r="T259" s="188" t="n">
        <x:f>IF(H259=1,M259+N259+P259+Q259,0)</x:f>
        <x:v>0</x:v>
      </x:c>
      <x:c r="U259" t="n">
        <x:f>'01_ВВОД'!$D$120</x:f>
        <x:v>10</x:v>
      </x:c>
      <x:c r="V259" t="n">
        <x:f>ROUNDDOWN(SUM(M259,N259,R259,U259)*'01_ВВОД'!$D$127,0)</x:f>
        <x:v>51</x:v>
      </x:c>
      <x:c r="W259" t="n">
        <x:f>ROUNDDOWN(SUM(L259,N259,R259,U259)*'01_ВВОД'!$D$127,0)</x:f>
        <x:v>51</x:v>
      </x:c>
    </x:row>
    <x:row r="260">
      <x:c r="A260" s="200" t="n">
        <x:v>46521</x:v>
      </x:c>
      <x:c r="B260" s="201" t="n">
        <x:v>9</x:v>
      </x:c>
      <x:c r="C260" s="201" t="inlineStr">
        <x:is>
          <x:t xml:space="preserve">Май-27</x:t>
        </x:is>
      </x:c>
      <x:c r="D260" s="201" t="n">
        <x:v>5</x:v>
      </x:c>
      <x:c r="E260" s="201" t="inlineStr">
        <x:is>
          <x:t xml:space="preserve">Пт</x:t>
        </x:is>
      </x:c>
      <x:c r="F260" s="199" t="n">
        <x:v>0</x:v>
      </x:c>
      <x:c r="G260" s="201" t="str"/>
      <x:c r="H260" s="193" t="n">
        <x:v>1</x:v>
      </x:c>
      <x:c r="I260" s="201" t="inlineStr">
        <x:is>
          <x:t xml:space="preserve">Пт–Вс</x:t>
        </x:is>
      </x:c>
      <x:c r="J260" s="188" t="n">
        <x:f>1</x:f>
        <x:v>1</x:v>
      </x:c>
      <x:c r="K260" s="188" t="n">
        <x:f>IF(AND(D260&lt;=5,F260=0),1,0)</x:f>
        <x:v>1</x:v>
      </x:c>
      <x:c r="L260" s="188" t="n">
        <x:f>IF(F260=1,'01_ВВОД'!$D$23,CHOOSE(D260,'01_ВВОД'!$D$19,'01_ВВОД'!$D$19,'01_ВВОД'!$D$19,'01_ВВОД'!$D$19,'01_ВВОД'!$D$20,'01_ВВОД'!$D$21,'01_ВВОД'!$D$22))</x:f>
        <x:v>45</x:v>
      </x:c>
      <x:c r="M260" s="188" t="n">
        <x:f>L260*IF(H260=1,'01_ВВОД'!$D$118,1)</x:f>
        <x:v>9</x:v>
      </x:c>
      <x:c r="N260" s="188" t="n">
        <x:f>IF(K260=1,'01_ВВОД'!$D$26,0)</x:f>
        <x:v>40</x:v>
      </x:c>
      <x:c r="O260" s="188" t="n">
        <x:f>IF(F260=1,'01_ВВОД'!$D$34,IF(D260&lt;=5,'01_ВВОД'!$D$32,'01_ВВОД'!$D$33))</x:f>
        <x:v>15</x:v>
      </x:c>
      <x:c r="P260" s="188" t="n">
        <x:f>O260</x:f>
        <x:v>15</x:v>
      </x:c>
      <x:c r="Q260" s="188" t="n">
        <x:f>'01_ВВОД'!$D$40</x:f>
        <x:v>12</x:v>
      </x:c>
      <x:c r="R260" s="188" t="n">
        <x:f>'01_ВВОД'!$D$46</x:f>
        <x:v>20</x:v>
      </x:c>
      <x:c r="S260" s="188" t="n">
        <x:f>H260</x:f>
        <x:v>1</x:v>
      </x:c>
      <x:c r="T260" s="188" t="n">
        <x:f>IF(H260=1,M260+N260+P260+Q260,0)</x:f>
        <x:v>76</x:v>
      </x:c>
      <x:c r="U260" t="n">
        <x:f>'01_ВВОД'!$D$120</x:f>
        <x:v>10</x:v>
      </x:c>
      <x:c r="V260" t="n">
        <x:f>ROUNDDOWN(SUM(M260,N260,R260,U260)*'01_ВВОД'!$D$127,0)</x:f>
        <x:v>39</x:v>
      </x:c>
      <x:c r="W260" t="n">
        <x:f>ROUNDDOWN(SUM(L260,N260,R260,U260)*'01_ВВОД'!$D$127,0)</x:f>
        <x:v>57</x:v>
      </x:c>
    </x:row>
    <x:row r="261">
      <x:c r="A261" s="200" t="n">
        <x:v>46522</x:v>
      </x:c>
      <x:c r="B261" s="201" t="n">
        <x:v>9</x:v>
      </x:c>
      <x:c r="C261" s="201" t="inlineStr">
        <x:is>
          <x:t xml:space="preserve">Май-27</x:t>
        </x:is>
      </x:c>
      <x:c r="D261" s="201" t="n">
        <x:v>6</x:v>
      </x:c>
      <x:c r="E261" s="201" t="inlineStr">
        <x:is>
          <x:t xml:space="preserve">Сб</x:t>
        </x:is>
      </x:c>
      <x:c r="F261" s="199" t="n">
        <x:v>0</x:v>
      </x:c>
      <x:c r="G261" s="201" t="str"/>
      <x:c r="H261" s="193" t="n">
        <x:v>0</x:v>
      </x:c>
      <x:c r="I261" s="201" t="str"/>
      <x:c r="J261" s="188" t="n">
        <x:f>1</x:f>
        <x:v>1</x:v>
      </x:c>
      <x:c r="K261" s="188" t="n">
        <x:f>IF(AND(D261&lt;=5,F261=0),1,0)</x:f>
        <x:v>0</x:v>
      </x:c>
      <x:c r="L261" s="188" t="n">
        <x:f>IF(F261=1,'01_ВВОД'!$D$23,CHOOSE(D261,'01_ВВОД'!$D$19,'01_ВВОД'!$D$19,'01_ВВОД'!$D$19,'01_ВВОД'!$D$19,'01_ВВОД'!$D$20,'01_ВВОД'!$D$21,'01_ВВОД'!$D$22))</x:f>
        <x:v>80</x:v>
      </x:c>
      <x:c r="M261" s="188" t="n">
        <x:f>L261*IF(H261=1,'01_ВВОД'!$D$118,1)</x:f>
        <x:v>80</x:v>
      </x:c>
      <x:c r="N261" s="188" t="n">
        <x:f>IF(K261=1,'01_ВВОД'!$D$26,0)</x:f>
        <x:v>0</x:v>
      </x:c>
      <x:c r="O261" s="188" t="n">
        <x:f>IF(F261=1,'01_ВВОД'!$D$34,IF(D261&lt;=5,'01_ВВОД'!$D$32,'01_ВВОД'!$D$33))</x:f>
        <x:v>30</x:v>
      </x:c>
      <x:c r="P261" s="188" t="n">
        <x:f>O261</x:f>
        <x:v>30</x:v>
      </x:c>
      <x:c r="Q261" s="188" t="n">
        <x:f>'01_ВВОД'!$D$40</x:f>
        <x:v>12</x:v>
      </x:c>
      <x:c r="R261" s="188" t="n">
        <x:f>'01_ВВОД'!$D$46</x:f>
        <x:v>20</x:v>
      </x:c>
      <x:c r="S261" s="188" t="n">
        <x:f>H261</x:f>
        <x:v>0</x:v>
      </x:c>
      <x:c r="T261" s="188" t="n">
        <x:f>IF(H261=1,M261+N261+P261+Q261,0)</x:f>
        <x:v>0</x:v>
      </x:c>
      <x:c r="U261" t="n">
        <x:f>'01_ВВОД'!$D$120</x:f>
        <x:v>10</x:v>
      </x:c>
      <x:c r="V261" t="n">
        <x:f>ROUNDDOWN(SUM(M261,N261,R261,U261)*'01_ВВОД'!$D$127,0)</x:f>
        <x:v>55</x:v>
      </x:c>
      <x:c r="W261" t="n">
        <x:f>ROUNDDOWN(SUM(L261,N261,R261,U261)*'01_ВВОД'!$D$127,0)</x:f>
        <x:v>55</x:v>
      </x:c>
    </x:row>
    <x:row r="262">
      <x:c r="A262" s="200" t="n">
        <x:v>46523</x:v>
      </x:c>
      <x:c r="B262" s="201" t="n">
        <x:v>9</x:v>
      </x:c>
      <x:c r="C262" s="201" t="inlineStr">
        <x:is>
          <x:t xml:space="preserve">Май-27</x:t>
        </x:is>
      </x:c>
      <x:c r="D262" s="201" t="n">
        <x:v>7</x:v>
      </x:c>
      <x:c r="E262" s="201" t="inlineStr">
        <x:is>
          <x:t xml:space="preserve">Вс</x:t>
        </x:is>
      </x:c>
      <x:c r="F262" s="199" t="n">
        <x:v>0</x:v>
      </x:c>
      <x:c r="G262" s="201" t="str"/>
      <x:c r="H262" s="193" t="n">
        <x:v>0</x:v>
      </x:c>
      <x:c r="I262" s="201" t="str"/>
      <x:c r="J262" s="188" t="n">
        <x:f>1</x:f>
        <x:v>1</x:v>
      </x:c>
      <x:c r="K262" s="188" t="n">
        <x:f>IF(AND(D262&lt;=5,F262=0),1,0)</x:f>
        <x:v>0</x:v>
      </x:c>
      <x:c r="L262" s="188" t="n">
        <x:f>IF(F262=1,'01_ВВОД'!$D$23,CHOOSE(D262,'01_ВВОД'!$D$19,'01_ВВОД'!$D$19,'01_ВВОД'!$D$19,'01_ВВОД'!$D$19,'01_ВВОД'!$D$20,'01_ВВОД'!$D$21,'01_ВВОД'!$D$22))</x:f>
        <x:v>70</x:v>
      </x:c>
      <x:c r="M262" s="188" t="n">
        <x:f>L262*IF(H262=1,'01_ВВОД'!$D$118,1)</x:f>
        <x:v>70</x:v>
      </x:c>
      <x:c r="N262" s="188" t="n">
        <x:f>IF(K262=1,'01_ВВОД'!$D$26,0)</x:f>
        <x:v>0</x:v>
      </x:c>
      <x:c r="O262" s="188" t="n">
        <x:f>IF(F262=1,'01_ВВОД'!$D$34,IF(D262&lt;=5,'01_ВВОД'!$D$32,'01_ВВОД'!$D$33))</x:f>
        <x:v>30</x:v>
      </x:c>
      <x:c r="P262" s="188" t="n">
        <x:f>O262</x:f>
        <x:v>30</x:v>
      </x:c>
      <x:c r="Q262" s="188" t="n">
        <x:f>'01_ВВОД'!$D$40</x:f>
        <x:v>12</x:v>
      </x:c>
      <x:c r="R262" s="188" t="n">
        <x:f>'01_ВВОД'!$D$46</x:f>
        <x:v>20</x:v>
      </x:c>
      <x:c r="S262" s="188" t="n">
        <x:f>H262</x:f>
        <x:v>0</x:v>
      </x:c>
      <x:c r="T262" s="188" t="n">
        <x:f>IF(H262=1,M262+N262+P262+Q262,0)</x:f>
        <x:v>0</x:v>
      </x:c>
      <x:c r="U262" t="n">
        <x:f>'01_ВВОД'!$D$120</x:f>
        <x:v>10</x:v>
      </x:c>
      <x:c r="V262" t="n">
        <x:f>ROUNDDOWN(SUM(M262,N262,R262,U262)*'01_ВВОД'!$D$127,0)</x:f>
        <x:v>50</x:v>
      </x:c>
      <x:c r="W262" t="n">
        <x:f>ROUNDDOWN(SUM(L262,N262,R262,U262)*'01_ВВОД'!$D$127,0)</x:f>
        <x:v>50</x:v>
      </x:c>
    </x:row>
    <x:row r="263">
      <x:c r="A263" s="200" t="n">
        <x:v>46524</x:v>
      </x:c>
      <x:c r="B263" s="201" t="n">
        <x:v>9</x:v>
      </x:c>
      <x:c r="C263" s="201" t="inlineStr">
        <x:is>
          <x:t xml:space="preserve">Май-27</x:t>
        </x:is>
      </x:c>
      <x:c r="D263" s="201" t="n">
        <x:v>1</x:v>
      </x:c>
      <x:c r="E263" s="201" t="inlineStr">
        <x:is>
          <x:t xml:space="preserve">Пн</x:t>
        </x:is>
      </x:c>
      <x:c r="F263" s="199" t="n">
        <x:v>0</x:v>
      </x:c>
      <x:c r="G263" s="201" t="str"/>
      <x:c r="H263" s="193" t="n">
        <x:v>0</x:v>
      </x:c>
      <x:c r="I263" s="201" t="str"/>
      <x:c r="J263" s="188" t="n">
        <x:f>1</x:f>
        <x:v>1</x:v>
      </x:c>
      <x:c r="K263" s="188" t="n">
        <x:f>IF(AND(D263&lt;=5,F263=0),1,0)</x:f>
        <x:v>1</x:v>
      </x:c>
      <x:c r="L263" s="188" t="n">
        <x:f>IF(F263=1,'01_ВВОД'!$D$23,CHOOSE(D263,'01_ВВОД'!$D$19,'01_ВВОД'!$D$19,'01_ВВОД'!$D$19,'01_ВВОД'!$D$19,'01_ВВОД'!$D$20,'01_ВВОД'!$D$21,'01_ВВОД'!$D$22))</x:f>
        <x:v>32</x:v>
      </x:c>
      <x:c r="M263" s="188" t="n">
        <x:f>L263*IF(H263=1,'01_ВВОД'!$D$118,1)</x:f>
        <x:v>32</x:v>
      </x:c>
      <x:c r="N263" s="188" t="n">
        <x:f>IF(K263=1,'01_ВВОД'!$D$26,0)</x:f>
        <x:v>40</x:v>
      </x:c>
      <x:c r="O263" s="188" t="n">
        <x:f>IF(F263=1,'01_ВВОД'!$D$34,IF(D263&lt;=5,'01_ВВОД'!$D$32,'01_ВВОД'!$D$33))</x:f>
        <x:v>15</x:v>
      </x:c>
      <x:c r="P263" s="188" t="n">
        <x:f>O263</x:f>
        <x:v>15</x:v>
      </x:c>
      <x:c r="Q263" s="188" t="n">
        <x:f>'01_ВВОД'!$D$40</x:f>
        <x:v>12</x:v>
      </x:c>
      <x:c r="R263" s="188" t="n">
        <x:f>'01_ВВОД'!$D$46</x:f>
        <x:v>20</x:v>
      </x:c>
      <x:c r="S263" s="188" t="n">
        <x:f>H263</x:f>
        <x:v>0</x:v>
      </x:c>
      <x:c r="T263" s="188" t="n">
        <x:f>IF(H263=1,M263+N263+P263+Q263,0)</x:f>
        <x:v>0</x:v>
      </x:c>
      <x:c r="U263" t="n">
        <x:f>'01_ВВОД'!$D$120</x:f>
        <x:v>10</x:v>
      </x:c>
      <x:c r="V263" t="n">
        <x:f>ROUNDDOWN(SUM(M263,N263,R263,U263)*'01_ВВОД'!$D$127,0)</x:f>
        <x:v>51</x:v>
      </x:c>
      <x:c r="W263" t="n">
        <x:f>ROUNDDOWN(SUM(L263,N263,R263,U263)*'01_ВВОД'!$D$127,0)</x:f>
        <x:v>51</x:v>
      </x:c>
    </x:row>
    <x:row r="264">
      <x:c r="A264" s="200" t="n">
        <x:v>46525</x:v>
      </x:c>
      <x:c r="B264" s="201" t="n">
        <x:v>9</x:v>
      </x:c>
      <x:c r="C264" s="201" t="inlineStr">
        <x:is>
          <x:t xml:space="preserve">Май-27</x:t>
        </x:is>
      </x:c>
      <x:c r="D264" s="201" t="n">
        <x:v>2</x:v>
      </x:c>
      <x:c r="E264" s="201" t="inlineStr">
        <x:is>
          <x:t xml:space="preserve">Вт</x:t>
        </x:is>
      </x:c>
      <x:c r="F264" s="199" t="n">
        <x:v>0</x:v>
      </x:c>
      <x:c r="G264" s="201" t="str"/>
      <x:c r="H264" s="193" t="n">
        <x:v>0</x:v>
      </x:c>
      <x:c r="I264" s="201" t="str"/>
      <x:c r="J264" s="188" t="n">
        <x:f>1</x:f>
        <x:v>1</x:v>
      </x:c>
      <x:c r="K264" s="188" t="n">
        <x:f>IF(AND(D264&lt;=5,F264=0),1,0)</x:f>
        <x:v>1</x:v>
      </x:c>
      <x:c r="L264" s="188" t="n">
        <x:f>IF(F264=1,'01_ВВОД'!$D$23,CHOOSE(D264,'01_ВВОД'!$D$19,'01_ВВОД'!$D$19,'01_ВВОД'!$D$19,'01_ВВОД'!$D$19,'01_ВВОД'!$D$20,'01_ВВОД'!$D$21,'01_ВВОД'!$D$22))</x:f>
        <x:v>32</x:v>
      </x:c>
      <x:c r="M264" s="188" t="n">
        <x:f>L264*IF(H264=1,'01_ВВОД'!$D$118,1)</x:f>
        <x:v>32</x:v>
      </x:c>
      <x:c r="N264" s="188" t="n">
        <x:f>IF(K264=1,'01_ВВОД'!$D$26,0)</x:f>
        <x:v>40</x:v>
      </x:c>
      <x:c r="O264" s="188" t="n">
        <x:f>IF(F264=1,'01_ВВОД'!$D$34,IF(D264&lt;=5,'01_ВВОД'!$D$32,'01_ВВОД'!$D$33))</x:f>
        <x:v>15</x:v>
      </x:c>
      <x:c r="P264" s="188" t="n">
        <x:f>O264</x:f>
        <x:v>15</x:v>
      </x:c>
      <x:c r="Q264" s="188" t="n">
        <x:f>'01_ВВОД'!$D$40</x:f>
        <x:v>12</x:v>
      </x:c>
      <x:c r="R264" s="188" t="n">
        <x:f>'01_ВВОД'!$D$46</x:f>
        <x:v>20</x:v>
      </x:c>
      <x:c r="S264" s="188" t="n">
        <x:f>H264</x:f>
        <x:v>0</x:v>
      </x:c>
      <x:c r="T264" s="188" t="n">
        <x:f>IF(H264=1,M264+N264+P264+Q264,0)</x:f>
        <x:v>0</x:v>
      </x:c>
      <x:c r="U264" t="n">
        <x:f>'01_ВВОД'!$D$120</x:f>
        <x:v>10</x:v>
      </x:c>
      <x:c r="V264" t="n">
        <x:f>ROUNDDOWN(SUM(M264,N264,R264,U264)*'01_ВВОД'!$D$127,0)</x:f>
        <x:v>51</x:v>
      </x:c>
      <x:c r="W264" t="n">
        <x:f>ROUNDDOWN(SUM(L264,N264,R264,U264)*'01_ВВОД'!$D$127,0)</x:f>
        <x:v>51</x:v>
      </x:c>
    </x:row>
    <x:row r="265">
      <x:c r="A265" s="200" t="n">
        <x:v>46526</x:v>
      </x:c>
      <x:c r="B265" s="201" t="n">
        <x:v>9</x:v>
      </x:c>
      <x:c r="C265" s="201" t="inlineStr">
        <x:is>
          <x:t xml:space="preserve">Май-27</x:t>
        </x:is>
      </x:c>
      <x:c r="D265" s="201" t="n">
        <x:v>3</x:v>
      </x:c>
      <x:c r="E265" s="201" t="inlineStr">
        <x:is>
          <x:t xml:space="preserve">Ср</x:t>
        </x:is>
      </x:c>
      <x:c r="F265" s="199" t="n">
        <x:v>0</x:v>
      </x:c>
      <x:c r="G265" s="201" t="str"/>
      <x:c r="H265" s="193" t="n">
        <x:v>1</x:v>
      </x:c>
      <x:c r="I265" s="201" t="inlineStr">
        <x:is>
          <x:t xml:space="preserve">Пн–Чт</x:t>
        </x:is>
      </x:c>
      <x:c r="J265" s="188" t="n">
        <x:f>1</x:f>
        <x:v>1</x:v>
      </x:c>
      <x:c r="K265" s="188" t="n">
        <x:f>IF(AND(D265&lt;=5,F265=0),1,0)</x:f>
        <x:v>1</x:v>
      </x:c>
      <x:c r="L265" s="188" t="n">
        <x:f>IF(F265=1,'01_ВВОД'!$D$23,CHOOSE(D265,'01_ВВОД'!$D$19,'01_ВВОД'!$D$19,'01_ВВОД'!$D$19,'01_ВВОД'!$D$19,'01_ВВОД'!$D$20,'01_ВВОД'!$D$21,'01_ВВОД'!$D$22))</x:f>
        <x:v>32</x:v>
      </x:c>
      <x:c r="M265" s="188" t="n">
        <x:f>L265*IF(H265=1,'01_ВВОД'!$D$118,1)</x:f>
        <x:v>6.4</x:v>
      </x:c>
      <x:c r="N265" s="188" t="n">
        <x:f>IF(K265=1,'01_ВВОД'!$D$26,0)</x:f>
        <x:v>40</x:v>
      </x:c>
      <x:c r="O265" s="188" t="n">
        <x:f>IF(F265=1,'01_ВВОД'!$D$34,IF(D265&lt;=5,'01_ВВОД'!$D$32,'01_ВВОД'!$D$33))</x:f>
        <x:v>15</x:v>
      </x:c>
      <x:c r="P265" s="188" t="n">
        <x:f>O265</x:f>
        <x:v>15</x:v>
      </x:c>
      <x:c r="Q265" s="188" t="n">
        <x:f>'01_ВВОД'!$D$40</x:f>
        <x:v>12</x:v>
      </x:c>
      <x:c r="R265" s="188" t="n">
        <x:f>'01_ВВОД'!$D$46</x:f>
        <x:v>20</x:v>
      </x:c>
      <x:c r="S265" s="188" t="n">
        <x:f>H265</x:f>
        <x:v>1</x:v>
      </x:c>
      <x:c r="T265" s="188" t="n">
        <x:f>IF(H265=1,M265+N265+P265+Q265,0)</x:f>
        <x:v>73.4</x:v>
      </x:c>
      <x:c r="U265" t="n">
        <x:f>'01_ВВОД'!$D$120</x:f>
        <x:v>10</x:v>
      </x:c>
      <x:c r="V265" t="n">
        <x:f>ROUNDDOWN(SUM(M265,N265,R265,U265)*'01_ВВОД'!$D$127,0)</x:f>
        <x:v>38</x:v>
      </x:c>
      <x:c r="W265" t="n">
        <x:f>ROUNDDOWN(SUM(L265,N265,R265,U265)*'01_ВВОД'!$D$127,0)</x:f>
        <x:v>51</x:v>
      </x:c>
    </x:row>
    <x:row r="266">
      <x:c r="A266" s="200" t="n">
        <x:v>46527</x:v>
      </x:c>
      <x:c r="B266" s="201" t="n">
        <x:v>9</x:v>
      </x:c>
      <x:c r="C266" s="201" t="inlineStr">
        <x:is>
          <x:t xml:space="preserve">Май-27</x:t>
        </x:is>
      </x:c>
      <x:c r="D266" s="201" t="n">
        <x:v>4</x:v>
      </x:c>
      <x:c r="E266" s="201" t="inlineStr">
        <x:is>
          <x:t xml:space="preserve">Чт</x:t>
        </x:is>
      </x:c>
      <x:c r="F266" s="199" t="n">
        <x:v>0</x:v>
      </x:c>
      <x:c r="G266" s="201" t="str"/>
      <x:c r="H266" s="193" t="n">
        <x:v>0</x:v>
      </x:c>
      <x:c r="I266" s="201" t="str"/>
      <x:c r="J266" s="188" t="n">
        <x:f>1</x:f>
        <x:v>1</x:v>
      </x:c>
      <x:c r="K266" s="188" t="n">
        <x:f>IF(AND(D266&lt;=5,F266=0),1,0)</x:f>
        <x:v>1</x:v>
      </x:c>
      <x:c r="L266" s="188" t="n">
        <x:f>IF(F266=1,'01_ВВОД'!$D$23,CHOOSE(D266,'01_ВВОД'!$D$19,'01_ВВОД'!$D$19,'01_ВВОД'!$D$19,'01_ВВОД'!$D$19,'01_ВВОД'!$D$20,'01_ВВОД'!$D$21,'01_ВВОД'!$D$22))</x:f>
        <x:v>32</x:v>
      </x:c>
      <x:c r="M266" s="188" t="n">
        <x:f>L266*IF(H266=1,'01_ВВОД'!$D$118,1)</x:f>
        <x:v>32</x:v>
      </x:c>
      <x:c r="N266" s="188" t="n">
        <x:f>IF(K266=1,'01_ВВОД'!$D$26,0)</x:f>
        <x:v>40</x:v>
      </x:c>
      <x:c r="O266" s="188" t="n">
        <x:f>IF(F266=1,'01_ВВОД'!$D$34,IF(D266&lt;=5,'01_ВВОД'!$D$32,'01_ВВОД'!$D$33))</x:f>
        <x:v>15</x:v>
      </x:c>
      <x:c r="P266" s="188" t="n">
        <x:f>O266</x:f>
        <x:v>15</x:v>
      </x:c>
      <x:c r="Q266" s="188" t="n">
        <x:f>'01_ВВОД'!$D$40</x:f>
        <x:v>12</x:v>
      </x:c>
      <x:c r="R266" s="188" t="n">
        <x:f>'01_ВВОД'!$D$46</x:f>
        <x:v>20</x:v>
      </x:c>
      <x:c r="S266" s="188" t="n">
        <x:f>H266</x:f>
        <x:v>0</x:v>
      </x:c>
      <x:c r="T266" s="188" t="n">
        <x:f>IF(H266=1,M266+N266+P266+Q266,0)</x:f>
        <x:v>0</x:v>
      </x:c>
      <x:c r="U266" t="n">
        <x:f>'01_ВВОД'!$D$120</x:f>
        <x:v>10</x:v>
      </x:c>
      <x:c r="V266" t="n">
        <x:f>ROUNDDOWN(SUM(M266,N266,R266,U266)*'01_ВВОД'!$D$127,0)</x:f>
        <x:v>51</x:v>
      </x:c>
      <x:c r="W266" t="n">
        <x:f>ROUNDDOWN(SUM(L266,N266,R266,U266)*'01_ВВОД'!$D$127,0)</x:f>
        <x:v>51</x:v>
      </x:c>
    </x:row>
    <x:row r="267">
      <x:c r="A267" s="200" t="n">
        <x:v>46528</x:v>
      </x:c>
      <x:c r="B267" s="201" t="n">
        <x:v>9</x:v>
      </x:c>
      <x:c r="C267" s="201" t="inlineStr">
        <x:is>
          <x:t xml:space="preserve">Май-27</x:t>
        </x:is>
      </x:c>
      <x:c r="D267" s="201" t="n">
        <x:v>5</x:v>
      </x:c>
      <x:c r="E267" s="201" t="inlineStr">
        <x:is>
          <x:t xml:space="preserve">Пт</x:t>
        </x:is>
      </x:c>
      <x:c r="F267" s="199" t="n">
        <x:v>0</x:v>
      </x:c>
      <x:c r="G267" s="201" t="str"/>
      <x:c r="H267" s="193" t="n">
        <x:v>0</x:v>
      </x:c>
      <x:c r="I267" s="201" t="str"/>
      <x:c r="J267" s="188" t="n">
        <x:f>1</x:f>
        <x:v>1</x:v>
      </x:c>
      <x:c r="K267" s="188" t="n">
        <x:f>IF(AND(D267&lt;=5,F267=0),1,0)</x:f>
        <x:v>1</x:v>
      </x:c>
      <x:c r="L267" s="188" t="n">
        <x:f>IF(F267=1,'01_ВВОД'!$D$23,CHOOSE(D267,'01_ВВОД'!$D$19,'01_ВВОД'!$D$19,'01_ВВОД'!$D$19,'01_ВВОД'!$D$19,'01_ВВОД'!$D$20,'01_ВВОД'!$D$21,'01_ВВОД'!$D$22))</x:f>
        <x:v>45</x:v>
      </x:c>
      <x:c r="M267" s="188" t="n">
        <x:f>L267*IF(H267=1,'01_ВВОД'!$D$118,1)</x:f>
        <x:v>45</x:v>
      </x:c>
      <x:c r="N267" s="188" t="n">
        <x:f>IF(K267=1,'01_ВВОД'!$D$26,0)</x:f>
        <x:v>40</x:v>
      </x:c>
      <x:c r="O267" s="188" t="n">
        <x:f>IF(F267=1,'01_ВВОД'!$D$34,IF(D267&lt;=5,'01_ВВОД'!$D$32,'01_ВВОД'!$D$33))</x:f>
        <x:v>15</x:v>
      </x:c>
      <x:c r="P267" s="188" t="n">
        <x:f>O267</x:f>
        <x:v>15</x:v>
      </x:c>
      <x:c r="Q267" s="188" t="n">
        <x:f>'01_ВВОД'!$D$40</x:f>
        <x:v>12</x:v>
      </x:c>
      <x:c r="R267" s="188" t="n">
        <x:f>'01_ВВОД'!$D$46</x:f>
        <x:v>20</x:v>
      </x:c>
      <x:c r="S267" s="188" t="n">
        <x:f>H267</x:f>
        <x:v>0</x:v>
      </x:c>
      <x:c r="T267" s="188" t="n">
        <x:f>IF(H267=1,M267+N267+P267+Q267,0)</x:f>
        <x:v>0</x:v>
      </x:c>
      <x:c r="U267" t="n">
        <x:f>'01_ВВОД'!$D$120</x:f>
        <x:v>10</x:v>
      </x:c>
      <x:c r="V267" t="n">
        <x:f>ROUNDDOWN(SUM(M267,N267,R267,U267)*'01_ВВОД'!$D$127,0)</x:f>
        <x:v>57</x:v>
      </x:c>
      <x:c r="W267" t="n">
        <x:f>ROUNDDOWN(SUM(L267,N267,R267,U267)*'01_ВВОД'!$D$127,0)</x:f>
        <x:v>57</x:v>
      </x:c>
    </x:row>
    <x:row r="268">
      <x:c r="A268" s="200" t="n">
        <x:v>46529</x:v>
      </x:c>
      <x:c r="B268" s="201" t="n">
        <x:v>9</x:v>
      </x:c>
      <x:c r="C268" s="201" t="inlineStr">
        <x:is>
          <x:t xml:space="preserve">Май-27</x:t>
        </x:is>
      </x:c>
      <x:c r="D268" s="201" t="n">
        <x:v>6</x:v>
      </x:c>
      <x:c r="E268" s="201" t="inlineStr">
        <x:is>
          <x:t xml:space="preserve">Сб</x:t>
        </x:is>
      </x:c>
      <x:c r="F268" s="199" t="n">
        <x:v>0</x:v>
      </x:c>
      <x:c r="G268" s="201" t="str"/>
      <x:c r="H268" s="193" t="n">
        <x:v>1</x:v>
      </x:c>
      <x:c r="I268" s="201" t="inlineStr">
        <x:is>
          <x:t xml:space="preserve">Пт–Вс</x:t>
        </x:is>
      </x:c>
      <x:c r="J268" s="188" t="n">
        <x:f>1</x:f>
        <x:v>1</x:v>
      </x:c>
      <x:c r="K268" s="188" t="n">
        <x:f>IF(AND(D268&lt;=5,F268=0),1,0)</x:f>
        <x:v>0</x:v>
      </x:c>
      <x:c r="L268" s="188" t="n">
        <x:f>IF(F268=1,'01_ВВОД'!$D$23,CHOOSE(D268,'01_ВВОД'!$D$19,'01_ВВОД'!$D$19,'01_ВВОД'!$D$19,'01_ВВОД'!$D$19,'01_ВВОД'!$D$20,'01_ВВОД'!$D$21,'01_ВВОД'!$D$22))</x:f>
        <x:v>80</x:v>
      </x:c>
      <x:c r="M268" s="188" t="n">
        <x:f>L268*IF(H268=1,'01_ВВОД'!$D$118,1)</x:f>
        <x:v>16</x:v>
      </x:c>
      <x:c r="N268" s="188" t="n">
        <x:f>IF(K268=1,'01_ВВОД'!$D$26,0)</x:f>
        <x:v>0</x:v>
      </x:c>
      <x:c r="O268" s="188" t="n">
        <x:f>IF(F268=1,'01_ВВОД'!$D$34,IF(D268&lt;=5,'01_ВВОД'!$D$32,'01_ВВОД'!$D$33))</x:f>
        <x:v>30</x:v>
      </x:c>
      <x:c r="P268" s="188" t="n">
        <x:f>O268</x:f>
        <x:v>30</x:v>
      </x:c>
      <x:c r="Q268" s="188" t="n">
        <x:f>'01_ВВОД'!$D$40</x:f>
        <x:v>12</x:v>
      </x:c>
      <x:c r="R268" s="188" t="n">
        <x:f>'01_ВВОД'!$D$46</x:f>
        <x:v>20</x:v>
      </x:c>
      <x:c r="S268" s="188" t="n">
        <x:f>H268</x:f>
        <x:v>1</x:v>
      </x:c>
      <x:c r="T268" s="188" t="n">
        <x:f>IF(H268=1,M268+N268+P268+Q268,0)</x:f>
        <x:v>58</x:v>
      </x:c>
      <x:c r="U268" t="n">
        <x:f>'01_ВВОД'!$D$120</x:f>
        <x:v>10</x:v>
      </x:c>
      <x:c r="V268" t="n">
        <x:f>ROUNDDOWN(SUM(M268,N268,R268,U268)*'01_ВВОД'!$D$127,0)</x:f>
        <x:v>23</x:v>
      </x:c>
      <x:c r="W268" t="n">
        <x:f>ROUNDDOWN(SUM(L268,N268,R268,U268)*'01_ВВОД'!$D$127,0)</x:f>
        <x:v>55</x:v>
      </x:c>
    </x:row>
    <x:row r="269">
      <x:c r="A269" s="200" t="n">
        <x:v>46530</x:v>
      </x:c>
      <x:c r="B269" s="201" t="n">
        <x:v>9</x:v>
      </x:c>
      <x:c r="C269" s="201" t="inlineStr">
        <x:is>
          <x:t xml:space="preserve">Май-27</x:t>
        </x:is>
      </x:c>
      <x:c r="D269" s="201" t="n">
        <x:v>7</x:v>
      </x:c>
      <x:c r="E269" s="201" t="inlineStr">
        <x:is>
          <x:t xml:space="preserve">Вс</x:t>
        </x:is>
      </x:c>
      <x:c r="F269" s="199" t="n">
        <x:v>0</x:v>
      </x:c>
      <x:c r="G269" s="201" t="str"/>
      <x:c r="H269" s="193" t="n">
        <x:v>0</x:v>
      </x:c>
      <x:c r="I269" s="201" t="str"/>
      <x:c r="J269" s="188" t="n">
        <x:f>1</x:f>
        <x:v>1</x:v>
      </x:c>
      <x:c r="K269" s="188" t="n">
        <x:f>IF(AND(D269&lt;=5,F269=0),1,0)</x:f>
        <x:v>0</x:v>
      </x:c>
      <x:c r="L269" s="188" t="n">
        <x:f>IF(F269=1,'01_ВВОД'!$D$23,CHOOSE(D269,'01_ВВОД'!$D$19,'01_ВВОД'!$D$19,'01_ВВОД'!$D$19,'01_ВВОД'!$D$19,'01_ВВОД'!$D$20,'01_ВВОД'!$D$21,'01_ВВОД'!$D$22))</x:f>
        <x:v>70</x:v>
      </x:c>
      <x:c r="M269" s="188" t="n">
        <x:f>L269*IF(H269=1,'01_ВВОД'!$D$118,1)</x:f>
        <x:v>70</x:v>
      </x:c>
      <x:c r="N269" s="188" t="n">
        <x:f>IF(K269=1,'01_ВВОД'!$D$26,0)</x:f>
        <x:v>0</x:v>
      </x:c>
      <x:c r="O269" s="188" t="n">
        <x:f>IF(F269=1,'01_ВВОД'!$D$34,IF(D269&lt;=5,'01_ВВОД'!$D$32,'01_ВВОД'!$D$33))</x:f>
        <x:v>30</x:v>
      </x:c>
      <x:c r="P269" s="188" t="n">
        <x:f>O269</x:f>
        <x:v>30</x:v>
      </x:c>
      <x:c r="Q269" s="188" t="n">
        <x:f>'01_ВВОД'!$D$40</x:f>
        <x:v>12</x:v>
      </x:c>
      <x:c r="R269" s="188" t="n">
        <x:f>'01_ВВОД'!$D$46</x:f>
        <x:v>20</x:v>
      </x:c>
      <x:c r="S269" s="188" t="n">
        <x:f>H269</x:f>
        <x:v>0</x:v>
      </x:c>
      <x:c r="T269" s="188" t="n">
        <x:f>IF(H269=1,M269+N269+P269+Q269,0)</x:f>
        <x:v>0</x:v>
      </x:c>
      <x:c r="U269" t="n">
        <x:f>'01_ВВОД'!$D$120</x:f>
        <x:v>10</x:v>
      </x:c>
      <x:c r="V269" t="n">
        <x:f>ROUNDDOWN(SUM(M269,N269,R269,U269)*'01_ВВОД'!$D$127,0)</x:f>
        <x:v>50</x:v>
      </x:c>
      <x:c r="W269" t="n">
        <x:f>ROUNDDOWN(SUM(L269,N269,R269,U269)*'01_ВВОД'!$D$127,0)</x:f>
        <x:v>50</x:v>
      </x:c>
    </x:row>
    <x:row r="270">
      <x:c r="A270" s="200" t="n">
        <x:v>46531</x:v>
      </x:c>
      <x:c r="B270" s="201" t="n">
        <x:v>9</x:v>
      </x:c>
      <x:c r="C270" s="201" t="inlineStr">
        <x:is>
          <x:t xml:space="preserve">Май-27</x:t>
        </x:is>
      </x:c>
      <x:c r="D270" s="201" t="n">
        <x:v>1</x:v>
      </x:c>
      <x:c r="E270" s="201" t="inlineStr">
        <x:is>
          <x:t xml:space="preserve">Пн</x:t>
        </x:is>
      </x:c>
      <x:c r="F270" s="199" t="n">
        <x:v>0</x:v>
      </x:c>
      <x:c r="G270" s="201" t="str"/>
      <x:c r="H270" s="193" t="n">
        <x:v>0</x:v>
      </x:c>
      <x:c r="I270" s="201" t="str"/>
      <x:c r="J270" s="188" t="n">
        <x:f>1</x:f>
        <x:v>1</x:v>
      </x:c>
      <x:c r="K270" s="188" t="n">
        <x:f>IF(AND(D270&lt;=5,F270=0),1,0)</x:f>
        <x:v>1</x:v>
      </x:c>
      <x:c r="L270" s="188" t="n">
        <x:f>IF(F270=1,'01_ВВОД'!$D$23,CHOOSE(D270,'01_ВВОД'!$D$19,'01_ВВОД'!$D$19,'01_ВВОД'!$D$19,'01_ВВОД'!$D$19,'01_ВВОД'!$D$20,'01_ВВОД'!$D$21,'01_ВВОД'!$D$22))</x:f>
        <x:v>32</x:v>
      </x:c>
      <x:c r="M270" s="188" t="n">
        <x:f>L270*IF(H270=1,'01_ВВОД'!$D$118,1)</x:f>
        <x:v>32</x:v>
      </x:c>
      <x:c r="N270" s="188" t="n">
        <x:f>IF(K270=1,'01_ВВОД'!$D$26,0)</x:f>
        <x:v>40</x:v>
      </x:c>
      <x:c r="O270" s="188" t="n">
        <x:f>IF(F270=1,'01_ВВОД'!$D$34,IF(D270&lt;=5,'01_ВВОД'!$D$32,'01_ВВОД'!$D$33))</x:f>
        <x:v>15</x:v>
      </x:c>
      <x:c r="P270" s="188" t="n">
        <x:f>O270</x:f>
        <x:v>15</x:v>
      </x:c>
      <x:c r="Q270" s="188" t="n">
        <x:f>'01_ВВОД'!$D$40</x:f>
        <x:v>12</x:v>
      </x:c>
      <x:c r="R270" s="188" t="n">
        <x:f>'01_ВВОД'!$D$46</x:f>
        <x:v>20</x:v>
      </x:c>
      <x:c r="S270" s="188" t="n">
        <x:f>H270</x:f>
        <x:v>0</x:v>
      </x:c>
      <x:c r="T270" s="188" t="n">
        <x:f>IF(H270=1,M270+N270+P270+Q270,0)</x:f>
        <x:v>0</x:v>
      </x:c>
      <x:c r="U270" t="n">
        <x:f>'01_ВВОД'!$D$120</x:f>
        <x:v>10</x:v>
      </x:c>
      <x:c r="V270" t="n">
        <x:f>ROUNDDOWN(SUM(M270,N270,R270,U270)*'01_ВВОД'!$D$127,0)</x:f>
        <x:v>51</x:v>
      </x:c>
      <x:c r="W270" t="n">
        <x:f>ROUNDDOWN(SUM(L270,N270,R270,U270)*'01_ВВОД'!$D$127,0)</x:f>
        <x:v>51</x:v>
      </x:c>
    </x:row>
    <x:row r="271">
      <x:c r="A271" s="200" t="n">
        <x:v>46532</x:v>
      </x:c>
      <x:c r="B271" s="201" t="n">
        <x:v>9</x:v>
      </x:c>
      <x:c r="C271" s="201" t="inlineStr">
        <x:is>
          <x:t xml:space="preserve">Май-27</x:t>
        </x:is>
      </x:c>
      <x:c r="D271" s="201" t="n">
        <x:v>2</x:v>
      </x:c>
      <x:c r="E271" s="201" t="inlineStr">
        <x:is>
          <x:t xml:space="preserve">Вт</x:t>
        </x:is>
      </x:c>
      <x:c r="F271" s="199" t="n">
        <x:v>0</x:v>
      </x:c>
      <x:c r="G271" s="201" t="str"/>
      <x:c r="H271" s="193" t="n">
        <x:v>0</x:v>
      </x:c>
      <x:c r="I271" s="201" t="str"/>
      <x:c r="J271" s="188" t="n">
        <x:f>1</x:f>
        <x:v>1</x:v>
      </x:c>
      <x:c r="K271" s="188" t="n">
        <x:f>IF(AND(D271&lt;=5,F271=0),1,0)</x:f>
        <x:v>1</x:v>
      </x:c>
      <x:c r="L271" s="188" t="n">
        <x:f>IF(F271=1,'01_ВВОД'!$D$23,CHOOSE(D271,'01_ВВОД'!$D$19,'01_ВВОД'!$D$19,'01_ВВОД'!$D$19,'01_ВВОД'!$D$19,'01_ВВОД'!$D$20,'01_ВВОД'!$D$21,'01_ВВОД'!$D$22))</x:f>
        <x:v>32</x:v>
      </x:c>
      <x:c r="M271" s="188" t="n">
        <x:f>L271*IF(H271=1,'01_ВВОД'!$D$118,1)</x:f>
        <x:v>32</x:v>
      </x:c>
      <x:c r="N271" s="188" t="n">
        <x:f>IF(K271=1,'01_ВВОД'!$D$26,0)</x:f>
        <x:v>40</x:v>
      </x:c>
      <x:c r="O271" s="188" t="n">
        <x:f>IF(F271=1,'01_ВВОД'!$D$34,IF(D271&lt;=5,'01_ВВОД'!$D$32,'01_ВВОД'!$D$33))</x:f>
        <x:v>15</x:v>
      </x:c>
      <x:c r="P271" s="188" t="n">
        <x:f>O271</x:f>
        <x:v>15</x:v>
      </x:c>
      <x:c r="Q271" s="188" t="n">
        <x:f>'01_ВВОД'!$D$40</x:f>
        <x:v>12</x:v>
      </x:c>
      <x:c r="R271" s="188" t="n">
        <x:f>'01_ВВОД'!$D$46</x:f>
        <x:v>20</x:v>
      </x:c>
      <x:c r="S271" s="188" t="n">
        <x:f>H271</x:f>
        <x:v>0</x:v>
      </x:c>
      <x:c r="T271" s="188" t="n">
        <x:f>IF(H271=1,M271+N271+P271+Q271,0)</x:f>
        <x:v>0</x:v>
      </x:c>
      <x:c r="U271" t="n">
        <x:f>'01_ВВОД'!$D$120</x:f>
        <x:v>10</x:v>
      </x:c>
      <x:c r="V271" t="n">
        <x:f>ROUNDDOWN(SUM(M271,N271,R271,U271)*'01_ВВОД'!$D$127,0)</x:f>
        <x:v>51</x:v>
      </x:c>
      <x:c r="W271" t="n">
        <x:f>ROUNDDOWN(SUM(L271,N271,R271,U271)*'01_ВВОД'!$D$127,0)</x:f>
        <x:v>51</x:v>
      </x:c>
    </x:row>
    <x:row r="272">
      <x:c r="A272" s="200" t="n">
        <x:v>46533</x:v>
      </x:c>
      <x:c r="B272" s="201" t="n">
        <x:v>9</x:v>
      </x:c>
      <x:c r="C272" s="201" t="inlineStr">
        <x:is>
          <x:t xml:space="preserve">Май-27</x:t>
        </x:is>
      </x:c>
      <x:c r="D272" s="201" t="n">
        <x:v>3</x:v>
      </x:c>
      <x:c r="E272" s="201" t="inlineStr">
        <x:is>
          <x:t xml:space="preserve">Ср</x:t>
        </x:is>
      </x:c>
      <x:c r="F272" s="199" t="n">
        <x:v>0</x:v>
      </x:c>
      <x:c r="G272" s="201" t="str"/>
      <x:c r="H272" s="193" t="n">
        <x:v>0</x:v>
      </x:c>
      <x:c r="I272" s="201" t="str"/>
      <x:c r="J272" s="188" t="n">
        <x:f>1</x:f>
        <x:v>1</x:v>
      </x:c>
      <x:c r="K272" s="188" t="n">
        <x:f>IF(AND(D272&lt;=5,F272=0),1,0)</x:f>
        <x:v>1</x:v>
      </x:c>
      <x:c r="L272" s="188" t="n">
        <x:f>IF(F272=1,'01_ВВОД'!$D$23,CHOOSE(D272,'01_ВВОД'!$D$19,'01_ВВОД'!$D$19,'01_ВВОД'!$D$19,'01_ВВОД'!$D$19,'01_ВВОД'!$D$20,'01_ВВОД'!$D$21,'01_ВВОД'!$D$22))</x:f>
        <x:v>32</x:v>
      </x:c>
      <x:c r="M272" s="188" t="n">
        <x:f>L272*IF(H272=1,'01_ВВОД'!$D$118,1)</x:f>
        <x:v>32</x:v>
      </x:c>
      <x:c r="N272" s="188" t="n">
        <x:f>IF(K272=1,'01_ВВОД'!$D$26,0)</x:f>
        <x:v>40</x:v>
      </x:c>
      <x:c r="O272" s="188" t="n">
        <x:f>IF(F272=1,'01_ВВОД'!$D$34,IF(D272&lt;=5,'01_ВВОД'!$D$32,'01_ВВОД'!$D$33))</x:f>
        <x:v>15</x:v>
      </x:c>
      <x:c r="P272" s="188" t="n">
        <x:f>O272</x:f>
        <x:v>15</x:v>
      </x:c>
      <x:c r="Q272" s="188" t="n">
        <x:f>'01_ВВОД'!$D$40</x:f>
        <x:v>12</x:v>
      </x:c>
      <x:c r="R272" s="188" t="n">
        <x:f>'01_ВВОД'!$D$46</x:f>
        <x:v>20</x:v>
      </x:c>
      <x:c r="S272" s="188" t="n">
        <x:f>H272</x:f>
        <x:v>0</x:v>
      </x:c>
      <x:c r="T272" s="188" t="n">
        <x:f>IF(H272=1,M272+N272+P272+Q272,0)</x:f>
        <x:v>0</x:v>
      </x:c>
      <x:c r="U272" t="n">
        <x:f>'01_ВВОД'!$D$120</x:f>
        <x:v>10</x:v>
      </x:c>
      <x:c r="V272" t="n">
        <x:f>ROUNDDOWN(SUM(M272,N272,R272,U272)*'01_ВВОД'!$D$127,0)</x:f>
        <x:v>51</x:v>
      </x:c>
      <x:c r="W272" t="n">
        <x:f>ROUNDDOWN(SUM(L272,N272,R272,U272)*'01_ВВОД'!$D$127,0)</x:f>
        <x:v>51</x:v>
      </x:c>
    </x:row>
    <x:row r="273">
      <x:c r="A273" s="200" t="n">
        <x:v>46534</x:v>
      </x:c>
      <x:c r="B273" s="201" t="n">
        <x:v>9</x:v>
      </x:c>
      <x:c r="C273" s="201" t="inlineStr">
        <x:is>
          <x:t xml:space="preserve">Май-27</x:t>
        </x:is>
      </x:c>
      <x:c r="D273" s="201" t="n">
        <x:v>4</x:v>
      </x:c>
      <x:c r="E273" s="201" t="inlineStr">
        <x:is>
          <x:t xml:space="preserve">Чт</x:t>
        </x:is>
      </x:c>
      <x:c r="F273" s="199" t="n">
        <x:v>0</x:v>
      </x:c>
      <x:c r="G273" s="201" t="str"/>
      <x:c r="H273" s="193" t="n">
        <x:v>1</x:v>
      </x:c>
      <x:c r="I273" s="201" t="inlineStr">
        <x:is>
          <x:t xml:space="preserve">Пн–Чт</x:t>
        </x:is>
      </x:c>
      <x:c r="J273" s="188" t="n">
        <x:f>1</x:f>
        <x:v>1</x:v>
      </x:c>
      <x:c r="K273" s="188" t="n">
        <x:f>IF(AND(D273&lt;=5,F273=0),1,0)</x:f>
        <x:v>1</x:v>
      </x:c>
      <x:c r="L273" s="188" t="n">
        <x:f>IF(F273=1,'01_ВВОД'!$D$23,CHOOSE(D273,'01_ВВОД'!$D$19,'01_ВВОД'!$D$19,'01_ВВОД'!$D$19,'01_ВВОД'!$D$19,'01_ВВОД'!$D$20,'01_ВВОД'!$D$21,'01_ВВОД'!$D$22))</x:f>
        <x:v>32</x:v>
      </x:c>
      <x:c r="M273" s="188" t="n">
        <x:f>L273*IF(H273=1,'01_ВВОД'!$D$118,1)</x:f>
        <x:v>6.4</x:v>
      </x:c>
      <x:c r="N273" s="188" t="n">
        <x:f>IF(K273=1,'01_ВВОД'!$D$26,0)</x:f>
        <x:v>40</x:v>
      </x:c>
      <x:c r="O273" s="188" t="n">
        <x:f>IF(F273=1,'01_ВВОД'!$D$34,IF(D273&lt;=5,'01_ВВОД'!$D$32,'01_ВВОД'!$D$33))</x:f>
        <x:v>15</x:v>
      </x:c>
      <x:c r="P273" s="188" t="n">
        <x:f>O273</x:f>
        <x:v>15</x:v>
      </x:c>
      <x:c r="Q273" s="188" t="n">
        <x:f>'01_ВВОД'!$D$40</x:f>
        <x:v>12</x:v>
      </x:c>
      <x:c r="R273" s="188" t="n">
        <x:f>'01_ВВОД'!$D$46</x:f>
        <x:v>20</x:v>
      </x:c>
      <x:c r="S273" s="188" t="n">
        <x:f>H273</x:f>
        <x:v>1</x:v>
      </x:c>
      <x:c r="T273" s="188" t="n">
        <x:f>IF(H273=1,M273+N273+P273+Q273,0)</x:f>
        <x:v>73.4</x:v>
      </x:c>
      <x:c r="U273" t="n">
        <x:f>'01_ВВОД'!$D$120</x:f>
        <x:v>10</x:v>
      </x:c>
      <x:c r="V273" t="n">
        <x:f>ROUNDDOWN(SUM(M273,N273,R273,U273)*'01_ВВОД'!$D$127,0)</x:f>
        <x:v>38</x:v>
      </x:c>
      <x:c r="W273" t="n">
        <x:f>ROUNDDOWN(SUM(L273,N273,R273,U273)*'01_ВВОД'!$D$127,0)</x:f>
        <x:v>51</x:v>
      </x:c>
    </x:row>
    <x:row r="274">
      <x:c r="A274" s="200" t="n">
        <x:v>46535</x:v>
      </x:c>
      <x:c r="B274" s="201" t="n">
        <x:v>9</x:v>
      </x:c>
      <x:c r="C274" s="201" t="inlineStr">
        <x:is>
          <x:t xml:space="preserve">Май-27</x:t>
        </x:is>
      </x:c>
      <x:c r="D274" s="201" t="n">
        <x:v>5</x:v>
      </x:c>
      <x:c r="E274" s="201" t="inlineStr">
        <x:is>
          <x:t xml:space="preserve">Пт</x:t>
        </x:is>
      </x:c>
      <x:c r="F274" s="199" t="n">
        <x:v>0</x:v>
      </x:c>
      <x:c r="G274" s="201" t="str"/>
      <x:c r="H274" s="193" t="n">
        <x:v>0</x:v>
      </x:c>
      <x:c r="I274" s="201" t="str"/>
      <x:c r="J274" s="188" t="n">
        <x:f>1</x:f>
        <x:v>1</x:v>
      </x:c>
      <x:c r="K274" s="188" t="n">
        <x:f>IF(AND(D274&lt;=5,F274=0),1,0)</x:f>
        <x:v>1</x:v>
      </x:c>
      <x:c r="L274" s="188" t="n">
        <x:f>IF(F274=1,'01_ВВОД'!$D$23,CHOOSE(D274,'01_ВВОД'!$D$19,'01_ВВОД'!$D$19,'01_ВВОД'!$D$19,'01_ВВОД'!$D$19,'01_ВВОД'!$D$20,'01_ВВОД'!$D$21,'01_ВВОД'!$D$22))</x:f>
        <x:v>45</x:v>
      </x:c>
      <x:c r="M274" s="188" t="n">
        <x:f>L274*IF(H274=1,'01_ВВОД'!$D$118,1)</x:f>
        <x:v>45</x:v>
      </x:c>
      <x:c r="N274" s="188" t="n">
        <x:f>IF(K274=1,'01_ВВОД'!$D$26,0)</x:f>
        <x:v>40</x:v>
      </x:c>
      <x:c r="O274" s="188" t="n">
        <x:f>IF(F274=1,'01_ВВОД'!$D$34,IF(D274&lt;=5,'01_ВВОД'!$D$32,'01_ВВОД'!$D$33))</x:f>
        <x:v>15</x:v>
      </x:c>
      <x:c r="P274" s="188" t="n">
        <x:f>O274</x:f>
        <x:v>15</x:v>
      </x:c>
      <x:c r="Q274" s="188" t="n">
        <x:f>'01_ВВОД'!$D$40</x:f>
        <x:v>12</x:v>
      </x:c>
      <x:c r="R274" s="188" t="n">
        <x:f>'01_ВВОД'!$D$46</x:f>
        <x:v>20</x:v>
      </x:c>
      <x:c r="S274" s="188" t="n">
        <x:f>H274</x:f>
        <x:v>0</x:v>
      </x:c>
      <x:c r="T274" s="188" t="n">
        <x:f>IF(H274=1,M274+N274+P274+Q274,0)</x:f>
        <x:v>0</x:v>
      </x:c>
      <x:c r="U274" t="n">
        <x:f>'01_ВВОД'!$D$120</x:f>
        <x:v>10</x:v>
      </x:c>
      <x:c r="V274" t="n">
        <x:f>ROUNDDOWN(SUM(M274,N274,R274,U274)*'01_ВВОД'!$D$127,0)</x:f>
        <x:v>57</x:v>
      </x:c>
      <x:c r="W274" t="n">
        <x:f>ROUNDDOWN(SUM(L274,N274,R274,U274)*'01_ВВОД'!$D$127,0)</x:f>
        <x:v>57</x:v>
      </x:c>
    </x:row>
    <x:row r="275">
      <x:c r="A275" s="200" t="n">
        <x:v>46536</x:v>
      </x:c>
      <x:c r="B275" s="201" t="n">
        <x:v>9</x:v>
      </x:c>
      <x:c r="C275" s="201" t="inlineStr">
        <x:is>
          <x:t xml:space="preserve">Май-27</x:t>
        </x:is>
      </x:c>
      <x:c r="D275" s="201" t="n">
        <x:v>6</x:v>
      </x:c>
      <x:c r="E275" s="201" t="inlineStr">
        <x:is>
          <x:t xml:space="preserve">Сб</x:t>
        </x:is>
      </x:c>
      <x:c r="F275" s="199" t="n">
        <x:v>0</x:v>
      </x:c>
      <x:c r="G275" s="201" t="str"/>
      <x:c r="H275" s="193" t="n">
        <x:v>0</x:v>
      </x:c>
      <x:c r="I275" s="201" t="str"/>
      <x:c r="J275" s="188" t="n">
        <x:f>1</x:f>
        <x:v>1</x:v>
      </x:c>
      <x:c r="K275" s="188" t="n">
        <x:f>IF(AND(D275&lt;=5,F275=0),1,0)</x:f>
        <x:v>0</x:v>
      </x:c>
      <x:c r="L275" s="188" t="n">
        <x:f>IF(F275=1,'01_ВВОД'!$D$23,CHOOSE(D275,'01_ВВОД'!$D$19,'01_ВВОД'!$D$19,'01_ВВОД'!$D$19,'01_ВВОД'!$D$19,'01_ВВОД'!$D$20,'01_ВВОД'!$D$21,'01_ВВОД'!$D$22))</x:f>
        <x:v>80</x:v>
      </x:c>
      <x:c r="M275" s="188" t="n">
        <x:f>L275*IF(H275=1,'01_ВВОД'!$D$118,1)</x:f>
        <x:v>80</x:v>
      </x:c>
      <x:c r="N275" s="188" t="n">
        <x:f>IF(K275=1,'01_ВВОД'!$D$26,0)</x:f>
        <x:v>0</x:v>
      </x:c>
      <x:c r="O275" s="188" t="n">
        <x:f>IF(F275=1,'01_ВВОД'!$D$34,IF(D275&lt;=5,'01_ВВОД'!$D$32,'01_ВВОД'!$D$33))</x:f>
        <x:v>30</x:v>
      </x:c>
      <x:c r="P275" s="188" t="n">
        <x:f>O275</x:f>
        <x:v>30</x:v>
      </x:c>
      <x:c r="Q275" s="188" t="n">
        <x:f>'01_ВВОД'!$D$40</x:f>
        <x:v>12</x:v>
      </x:c>
      <x:c r="R275" s="188" t="n">
        <x:f>'01_ВВОД'!$D$46</x:f>
        <x:v>20</x:v>
      </x:c>
      <x:c r="S275" s="188" t="n">
        <x:f>H275</x:f>
        <x:v>0</x:v>
      </x:c>
      <x:c r="T275" s="188" t="n">
        <x:f>IF(H275=1,M275+N275+P275+Q275,0)</x:f>
        <x:v>0</x:v>
      </x:c>
      <x:c r="U275" t="n">
        <x:f>'01_ВВОД'!$D$120</x:f>
        <x:v>10</x:v>
      </x:c>
      <x:c r="V275" t="n">
        <x:f>ROUNDDOWN(SUM(M275,N275,R275,U275)*'01_ВВОД'!$D$127,0)</x:f>
        <x:v>55</x:v>
      </x:c>
      <x:c r="W275" t="n">
        <x:f>ROUNDDOWN(SUM(L275,N275,R275,U275)*'01_ВВОД'!$D$127,0)</x:f>
        <x:v>55</x:v>
      </x:c>
    </x:row>
    <x:row r="276">
      <x:c r="A276" s="200" t="n">
        <x:v>46537</x:v>
      </x:c>
      <x:c r="B276" s="201" t="n">
        <x:v>9</x:v>
      </x:c>
      <x:c r="C276" s="201" t="inlineStr">
        <x:is>
          <x:t xml:space="preserve">Май-27</x:t>
        </x:is>
      </x:c>
      <x:c r="D276" s="201" t="n">
        <x:v>7</x:v>
      </x:c>
      <x:c r="E276" s="201" t="inlineStr">
        <x:is>
          <x:t xml:space="preserve">Вс</x:t>
        </x:is>
      </x:c>
      <x:c r="F276" s="199" t="n">
        <x:v>0</x:v>
      </x:c>
      <x:c r="G276" s="201" t="str"/>
      <x:c r="H276" s="193" t="n">
        <x:v>0</x:v>
      </x:c>
      <x:c r="I276" s="201" t="str"/>
      <x:c r="J276" s="188" t="n">
        <x:f>1</x:f>
        <x:v>1</x:v>
      </x:c>
      <x:c r="K276" s="188" t="n">
        <x:f>IF(AND(D276&lt;=5,F276=0),1,0)</x:f>
        <x:v>0</x:v>
      </x:c>
      <x:c r="L276" s="188" t="n">
        <x:f>IF(F276=1,'01_ВВОД'!$D$23,CHOOSE(D276,'01_ВВОД'!$D$19,'01_ВВОД'!$D$19,'01_ВВОД'!$D$19,'01_ВВОД'!$D$19,'01_ВВОД'!$D$20,'01_ВВОД'!$D$21,'01_ВВОД'!$D$22))</x:f>
        <x:v>70</x:v>
      </x:c>
      <x:c r="M276" s="188" t="n">
        <x:f>L276*IF(H276=1,'01_ВВОД'!$D$118,1)</x:f>
        <x:v>70</x:v>
      </x:c>
      <x:c r="N276" s="188" t="n">
        <x:f>IF(K276=1,'01_ВВОД'!$D$26,0)</x:f>
        <x:v>0</x:v>
      </x:c>
      <x:c r="O276" s="188" t="n">
        <x:f>IF(F276=1,'01_ВВОД'!$D$34,IF(D276&lt;=5,'01_ВВОД'!$D$32,'01_ВВОД'!$D$33))</x:f>
        <x:v>30</x:v>
      </x:c>
      <x:c r="P276" s="188" t="n">
        <x:f>O276</x:f>
        <x:v>30</x:v>
      </x:c>
      <x:c r="Q276" s="188" t="n">
        <x:f>'01_ВВОД'!$D$40</x:f>
        <x:v>12</x:v>
      </x:c>
      <x:c r="R276" s="188" t="n">
        <x:f>'01_ВВОД'!$D$46</x:f>
        <x:v>20</x:v>
      </x:c>
      <x:c r="S276" s="188" t="n">
        <x:f>H276</x:f>
        <x:v>0</x:v>
      </x:c>
      <x:c r="T276" s="188" t="n">
        <x:f>IF(H276=1,M276+N276+P276+Q276,0)</x:f>
        <x:v>0</x:v>
      </x:c>
      <x:c r="U276" t="n">
        <x:f>'01_ВВОД'!$D$120</x:f>
        <x:v>10</x:v>
      </x:c>
      <x:c r="V276" t="n">
        <x:f>ROUNDDOWN(SUM(M276,N276,R276,U276)*'01_ВВОД'!$D$127,0)</x:f>
        <x:v>50</x:v>
      </x:c>
      <x:c r="W276" t="n">
        <x:f>ROUNDDOWN(SUM(L276,N276,R276,U276)*'01_ВВОД'!$D$127,0)</x:f>
        <x:v>50</x:v>
      </x:c>
    </x:row>
    <x:row r="277">
      <x:c r="A277" s="200" t="n">
        <x:v>46538</x:v>
      </x:c>
      <x:c r="B277" s="201" t="n">
        <x:v>9</x:v>
      </x:c>
      <x:c r="C277" s="201" t="inlineStr">
        <x:is>
          <x:t xml:space="preserve">Май-27</x:t>
        </x:is>
      </x:c>
      <x:c r="D277" s="201" t="n">
        <x:v>1</x:v>
      </x:c>
      <x:c r="E277" s="201" t="inlineStr">
        <x:is>
          <x:t xml:space="preserve">Пн</x:t>
        </x:is>
      </x:c>
      <x:c r="F277" s="199" t="n">
        <x:v>0</x:v>
      </x:c>
      <x:c r="G277" s="201" t="str"/>
      <x:c r="H277" s="193" t="n">
        <x:v>0</x:v>
      </x:c>
      <x:c r="I277" s="201" t="str"/>
      <x:c r="J277" s="188" t="n">
        <x:f>1</x:f>
        <x:v>1</x:v>
      </x:c>
      <x:c r="K277" s="188" t="n">
        <x:f>IF(AND(D277&lt;=5,F277=0),1,0)</x:f>
        <x:v>1</x:v>
      </x:c>
      <x:c r="L277" s="188" t="n">
        <x:f>IF(F277=1,'01_ВВОД'!$D$23,CHOOSE(D277,'01_ВВОД'!$D$19,'01_ВВОД'!$D$19,'01_ВВОД'!$D$19,'01_ВВОД'!$D$19,'01_ВВОД'!$D$20,'01_ВВОД'!$D$21,'01_ВВОД'!$D$22))</x:f>
        <x:v>32</x:v>
      </x:c>
      <x:c r="M277" s="188" t="n">
        <x:f>L277*IF(H277=1,'01_ВВОД'!$D$118,1)</x:f>
        <x:v>32</x:v>
      </x:c>
      <x:c r="N277" s="188" t="n">
        <x:f>IF(K277=1,'01_ВВОД'!$D$26,0)</x:f>
        <x:v>40</x:v>
      </x:c>
      <x:c r="O277" s="188" t="n">
        <x:f>IF(F277=1,'01_ВВОД'!$D$34,IF(D277&lt;=5,'01_ВВОД'!$D$32,'01_ВВОД'!$D$33))</x:f>
        <x:v>15</x:v>
      </x:c>
      <x:c r="P277" s="188" t="n">
        <x:f>O277</x:f>
        <x:v>15</x:v>
      </x:c>
      <x:c r="Q277" s="188" t="n">
        <x:f>'01_ВВОД'!$D$40</x:f>
        <x:v>12</x:v>
      </x:c>
      <x:c r="R277" s="188" t="n">
        <x:f>'01_ВВОД'!$D$46</x:f>
        <x:v>20</x:v>
      </x:c>
      <x:c r="S277" s="188" t="n">
        <x:f>H277</x:f>
        <x:v>0</x:v>
      </x:c>
      <x:c r="T277" s="188" t="n">
        <x:f>IF(H277=1,M277+N277+P277+Q277,0)</x:f>
        <x:v>0</x:v>
      </x:c>
      <x:c r="U277" t="n">
        <x:f>'01_ВВОД'!$D$120</x:f>
        <x:v>10</x:v>
      </x:c>
      <x:c r="V277" t="n">
        <x:f>ROUNDDOWN(SUM(M277,N277,R277,U277)*'01_ВВОД'!$D$127,0)</x:f>
        <x:v>51</x:v>
      </x:c>
      <x:c r="W277" t="n">
        <x:f>ROUNDDOWN(SUM(L277,N277,R277,U277)*'01_ВВОД'!$D$127,0)</x:f>
        <x:v>51</x:v>
      </x:c>
    </x:row>
    <x:row r="278">
      <x:c r="A278" s="200" t="n">
        <x:v>46539</x:v>
      </x:c>
      <x:c r="B278" s="201" t="n">
        <x:v>10</x:v>
      </x:c>
      <x:c r="C278" s="201" t="inlineStr">
        <x:is>
          <x:t xml:space="preserve">Июн-27</x:t>
        </x:is>
      </x:c>
      <x:c r="D278" s="201" t="n">
        <x:v>2</x:v>
      </x:c>
      <x:c r="E278" s="201" t="inlineStr">
        <x:is>
          <x:t xml:space="preserve">Вт</x:t>
        </x:is>
      </x:c>
      <x:c r="F278" s="199" t="n">
        <x:v>0</x:v>
      </x:c>
      <x:c r="G278" s="201" t="str"/>
      <x:c r="H278" s="193" t="n">
        <x:v>1</x:v>
      </x:c>
      <x:c r="I278" s="201" t="inlineStr">
        <x:is>
          <x:t xml:space="preserve">Пн–Чт</x:t>
        </x:is>
      </x:c>
      <x:c r="J278" s="188" t="n">
        <x:f>1</x:f>
        <x:v>1</x:v>
      </x:c>
      <x:c r="K278" s="188" t="n">
        <x:f>IF(AND(D278&lt;=5,F278=0),1,0)</x:f>
        <x:v>1</x:v>
      </x:c>
      <x:c r="L278" s="188" t="n">
        <x:f>IF(F278=1,'01_ВВОД'!$D$23,CHOOSE(D278,'01_ВВОД'!$D$19,'01_ВВОД'!$D$19,'01_ВВОД'!$D$19,'01_ВВОД'!$D$19,'01_ВВОД'!$D$20,'01_ВВОД'!$D$21,'01_ВВОД'!$D$22))</x:f>
        <x:v>32</x:v>
      </x:c>
      <x:c r="M278" s="188" t="n">
        <x:f>L278*IF(H278=1,'01_ВВОД'!$D$118,1)</x:f>
        <x:v>6.4</x:v>
      </x:c>
      <x:c r="N278" s="188" t="n">
        <x:f>IF(K278=1,'01_ВВОД'!$D$26,0)</x:f>
        <x:v>40</x:v>
      </x:c>
      <x:c r="O278" s="188" t="n">
        <x:f>IF(F278=1,'01_ВВОД'!$D$34,IF(D278&lt;=5,'01_ВВОД'!$D$32,'01_ВВОД'!$D$33))</x:f>
        <x:v>15</x:v>
      </x:c>
      <x:c r="P278" s="188" t="n">
        <x:f>O278</x:f>
        <x:v>15</x:v>
      </x:c>
      <x:c r="Q278" s="188" t="n">
        <x:f>'01_ВВОД'!$D$40</x:f>
        <x:v>12</x:v>
      </x:c>
      <x:c r="R278" s="188" t="n">
        <x:f>'01_ВВОД'!$D$46</x:f>
        <x:v>20</x:v>
      </x:c>
      <x:c r="S278" s="188" t="n">
        <x:f>H278</x:f>
        <x:v>1</x:v>
      </x:c>
      <x:c r="T278" s="188" t="n">
        <x:f>IF(H278=1,M278+N278+P278+Q278,0)</x:f>
        <x:v>73.4</x:v>
      </x:c>
      <x:c r="U278" t="n">
        <x:f>'01_ВВОД'!$D$120</x:f>
        <x:v>10</x:v>
      </x:c>
      <x:c r="V278" t="n">
        <x:f>ROUNDDOWN(SUM(M278,N278,R278,U278)*'01_ВВОД'!$D$127,0)</x:f>
        <x:v>38</x:v>
      </x:c>
      <x:c r="W278" t="n">
        <x:f>ROUNDDOWN(SUM(L278,N278,R278,U278)*'01_ВВОД'!$D$127,0)</x:f>
        <x:v>51</x:v>
      </x:c>
    </x:row>
    <x:row r="279">
      <x:c r="A279" s="200" t="n">
        <x:v>46540</x:v>
      </x:c>
      <x:c r="B279" s="201" t="n">
        <x:v>10</x:v>
      </x:c>
      <x:c r="C279" s="201" t="inlineStr">
        <x:is>
          <x:t xml:space="preserve">Июн-27</x:t>
        </x:is>
      </x:c>
      <x:c r="D279" s="201" t="n">
        <x:v>3</x:v>
      </x:c>
      <x:c r="E279" s="201" t="inlineStr">
        <x:is>
          <x:t xml:space="preserve">Ср</x:t>
        </x:is>
      </x:c>
      <x:c r="F279" s="199" t="n">
        <x:v>0</x:v>
      </x:c>
      <x:c r="G279" s="201" t="str"/>
      <x:c r="H279" s="193" t="n">
        <x:v>0</x:v>
      </x:c>
      <x:c r="I279" s="201" t="str"/>
      <x:c r="J279" s="188" t="n">
        <x:f>1</x:f>
        <x:v>1</x:v>
      </x:c>
      <x:c r="K279" s="188" t="n">
        <x:f>IF(AND(D279&lt;=5,F279=0),1,0)</x:f>
        <x:v>1</x:v>
      </x:c>
      <x:c r="L279" s="188" t="n">
        <x:f>IF(F279=1,'01_ВВОД'!$D$23,CHOOSE(D279,'01_ВВОД'!$D$19,'01_ВВОД'!$D$19,'01_ВВОД'!$D$19,'01_ВВОД'!$D$19,'01_ВВОД'!$D$20,'01_ВВОД'!$D$21,'01_ВВОД'!$D$22))</x:f>
        <x:v>32</x:v>
      </x:c>
      <x:c r="M279" s="188" t="n">
        <x:f>L279*IF(H279=1,'01_ВВОД'!$D$118,1)</x:f>
        <x:v>32</x:v>
      </x:c>
      <x:c r="N279" s="188" t="n">
        <x:f>IF(K279=1,'01_ВВОД'!$D$26,0)</x:f>
        <x:v>40</x:v>
      </x:c>
      <x:c r="O279" s="188" t="n">
        <x:f>IF(F279=1,'01_ВВОД'!$D$34,IF(D279&lt;=5,'01_ВВОД'!$D$32,'01_ВВОД'!$D$33))</x:f>
        <x:v>15</x:v>
      </x:c>
      <x:c r="P279" s="188" t="n">
        <x:f>O279</x:f>
        <x:v>15</x:v>
      </x:c>
      <x:c r="Q279" s="188" t="n">
        <x:f>'01_ВВОД'!$D$40</x:f>
        <x:v>12</x:v>
      </x:c>
      <x:c r="R279" s="188" t="n">
        <x:f>'01_ВВОД'!$D$46</x:f>
        <x:v>20</x:v>
      </x:c>
      <x:c r="S279" s="188" t="n">
        <x:f>H279</x:f>
        <x:v>0</x:v>
      </x:c>
      <x:c r="T279" s="188" t="n">
        <x:f>IF(H279=1,M279+N279+P279+Q279,0)</x:f>
        <x:v>0</x:v>
      </x:c>
      <x:c r="U279" t="n">
        <x:f>'01_ВВОД'!$D$120</x:f>
        <x:v>10</x:v>
      </x:c>
      <x:c r="V279" t="n">
        <x:f>ROUNDDOWN(SUM(M279,N279,R279,U279)*'01_ВВОД'!$D$127,0)</x:f>
        <x:v>51</x:v>
      </x:c>
      <x:c r="W279" t="n">
        <x:f>ROUNDDOWN(SUM(L279,N279,R279,U279)*'01_ВВОД'!$D$127,0)</x:f>
        <x:v>51</x:v>
      </x:c>
    </x:row>
    <x:row r="280">
      <x:c r="A280" s="200" t="n">
        <x:v>46541</x:v>
      </x:c>
      <x:c r="B280" s="201" t="n">
        <x:v>10</x:v>
      </x:c>
      <x:c r="C280" s="201" t="inlineStr">
        <x:is>
          <x:t xml:space="preserve">Июн-27</x:t>
        </x:is>
      </x:c>
      <x:c r="D280" s="201" t="n">
        <x:v>4</x:v>
      </x:c>
      <x:c r="E280" s="201" t="inlineStr">
        <x:is>
          <x:t xml:space="preserve">Чт</x:t>
        </x:is>
      </x:c>
      <x:c r="F280" s="199" t="n">
        <x:v>0</x:v>
      </x:c>
      <x:c r="G280" s="201" t="str"/>
      <x:c r="H280" s="193" t="n">
        <x:v>0</x:v>
      </x:c>
      <x:c r="I280" s="201" t="str"/>
      <x:c r="J280" s="188" t="n">
        <x:f>1</x:f>
        <x:v>1</x:v>
      </x:c>
      <x:c r="K280" s="188" t="n">
        <x:f>IF(AND(D280&lt;=5,F280=0),1,0)</x:f>
        <x:v>1</x:v>
      </x:c>
      <x:c r="L280" s="188" t="n">
        <x:f>IF(F280=1,'01_ВВОД'!$D$23,CHOOSE(D280,'01_ВВОД'!$D$19,'01_ВВОД'!$D$19,'01_ВВОД'!$D$19,'01_ВВОД'!$D$19,'01_ВВОД'!$D$20,'01_ВВОД'!$D$21,'01_ВВОД'!$D$22))</x:f>
        <x:v>32</x:v>
      </x:c>
      <x:c r="M280" s="188" t="n">
        <x:f>L280*IF(H280=1,'01_ВВОД'!$D$118,1)</x:f>
        <x:v>32</x:v>
      </x:c>
      <x:c r="N280" s="188" t="n">
        <x:f>IF(K280=1,'01_ВВОД'!$D$26,0)</x:f>
        <x:v>40</x:v>
      </x:c>
      <x:c r="O280" s="188" t="n">
        <x:f>IF(F280=1,'01_ВВОД'!$D$34,IF(D280&lt;=5,'01_ВВОД'!$D$32,'01_ВВОД'!$D$33))</x:f>
        <x:v>15</x:v>
      </x:c>
      <x:c r="P280" s="188" t="n">
        <x:f>O280</x:f>
        <x:v>15</x:v>
      </x:c>
      <x:c r="Q280" s="188" t="n">
        <x:f>'01_ВВОД'!$D$40</x:f>
        <x:v>12</x:v>
      </x:c>
      <x:c r="R280" s="188" t="n">
        <x:f>'01_ВВОД'!$D$46</x:f>
        <x:v>20</x:v>
      </x:c>
      <x:c r="S280" s="188" t="n">
        <x:f>H280</x:f>
        <x:v>0</x:v>
      </x:c>
      <x:c r="T280" s="188" t="n">
        <x:f>IF(H280=1,M280+N280+P280+Q280,0)</x:f>
        <x:v>0</x:v>
      </x:c>
      <x:c r="U280" t="n">
        <x:f>'01_ВВОД'!$D$120</x:f>
        <x:v>10</x:v>
      </x:c>
      <x:c r="V280" t="n">
        <x:f>ROUNDDOWN(SUM(M280,N280,R280,U280)*'01_ВВОД'!$D$127,0)</x:f>
        <x:v>51</x:v>
      </x:c>
      <x:c r="W280" t="n">
        <x:f>ROUNDDOWN(SUM(L280,N280,R280,U280)*'01_ВВОД'!$D$127,0)</x:f>
        <x:v>51</x:v>
      </x:c>
    </x:row>
    <x:row r="281">
      <x:c r="A281" s="200" t="n">
        <x:v>46542</x:v>
      </x:c>
      <x:c r="B281" s="201" t="n">
        <x:v>10</x:v>
      </x:c>
      <x:c r="C281" s="201" t="inlineStr">
        <x:is>
          <x:t xml:space="preserve">Июн-27</x:t>
        </x:is>
      </x:c>
      <x:c r="D281" s="201" t="n">
        <x:v>5</x:v>
      </x:c>
      <x:c r="E281" s="201" t="inlineStr">
        <x:is>
          <x:t xml:space="preserve">Пт</x:t>
        </x:is>
      </x:c>
      <x:c r="F281" s="199" t="n">
        <x:v>0</x:v>
      </x:c>
      <x:c r="G281" s="201" t="str"/>
      <x:c r="H281" s="193" t="n">
        <x:v>0</x:v>
      </x:c>
      <x:c r="I281" s="201" t="str"/>
      <x:c r="J281" s="188" t="n">
        <x:f>1</x:f>
        <x:v>1</x:v>
      </x:c>
      <x:c r="K281" s="188" t="n">
        <x:f>IF(AND(D281&lt;=5,F281=0),1,0)</x:f>
        <x:v>1</x:v>
      </x:c>
      <x:c r="L281" s="188" t="n">
        <x:f>IF(F281=1,'01_ВВОД'!$D$23,CHOOSE(D281,'01_ВВОД'!$D$19,'01_ВВОД'!$D$19,'01_ВВОД'!$D$19,'01_ВВОД'!$D$19,'01_ВВОД'!$D$20,'01_ВВОД'!$D$21,'01_ВВОД'!$D$22))</x:f>
        <x:v>45</x:v>
      </x:c>
      <x:c r="M281" s="188" t="n">
        <x:f>L281*IF(H281=1,'01_ВВОД'!$D$118,1)</x:f>
        <x:v>45</x:v>
      </x:c>
      <x:c r="N281" s="188" t="n">
        <x:f>IF(K281=1,'01_ВВОД'!$D$26,0)</x:f>
        <x:v>40</x:v>
      </x:c>
      <x:c r="O281" s="188" t="n">
        <x:f>IF(F281=1,'01_ВВОД'!$D$34,IF(D281&lt;=5,'01_ВВОД'!$D$32,'01_ВВОД'!$D$33))</x:f>
        <x:v>15</x:v>
      </x:c>
      <x:c r="P281" s="188" t="n">
        <x:f>O281</x:f>
        <x:v>15</x:v>
      </x:c>
      <x:c r="Q281" s="188" t="n">
        <x:f>'01_ВВОД'!$D$40</x:f>
        <x:v>12</x:v>
      </x:c>
      <x:c r="R281" s="188" t="n">
        <x:f>'01_ВВОД'!$D$46</x:f>
        <x:v>20</x:v>
      </x:c>
      <x:c r="S281" s="188" t="n">
        <x:f>H281</x:f>
        <x:v>0</x:v>
      </x:c>
      <x:c r="T281" s="188" t="n">
        <x:f>IF(H281=1,M281+N281+P281+Q281,0)</x:f>
        <x:v>0</x:v>
      </x:c>
      <x:c r="U281" t="n">
        <x:f>'01_ВВОД'!$D$120</x:f>
        <x:v>10</x:v>
      </x:c>
      <x:c r="V281" t="n">
        <x:f>ROUNDDOWN(SUM(M281,N281,R281,U281)*'01_ВВОД'!$D$127,0)</x:f>
        <x:v>57</x:v>
      </x:c>
      <x:c r="W281" t="n">
        <x:f>ROUNDDOWN(SUM(L281,N281,R281,U281)*'01_ВВОД'!$D$127,0)</x:f>
        <x:v>57</x:v>
      </x:c>
    </x:row>
    <x:row r="282">
      <x:c r="A282" s="200" t="n">
        <x:v>46543</x:v>
      </x:c>
      <x:c r="B282" s="201" t="n">
        <x:v>10</x:v>
      </x:c>
      <x:c r="C282" s="201" t="inlineStr">
        <x:is>
          <x:t xml:space="preserve">Июн-27</x:t>
        </x:is>
      </x:c>
      <x:c r="D282" s="201" t="n">
        <x:v>6</x:v>
      </x:c>
      <x:c r="E282" s="201" t="inlineStr">
        <x:is>
          <x:t xml:space="preserve">Сб</x:t>
        </x:is>
      </x:c>
      <x:c r="F282" s="199" t="n">
        <x:v>0</x:v>
      </x:c>
      <x:c r="G282" s="201" t="str"/>
      <x:c r="H282" s="193" t="n">
        <x:v>0</x:v>
      </x:c>
      <x:c r="I282" s="201" t="str"/>
      <x:c r="J282" s="188" t="n">
        <x:f>1</x:f>
        <x:v>1</x:v>
      </x:c>
      <x:c r="K282" s="188" t="n">
        <x:f>IF(AND(D282&lt;=5,F282=0),1,0)</x:f>
        <x:v>0</x:v>
      </x:c>
      <x:c r="L282" s="188" t="n">
        <x:f>IF(F282=1,'01_ВВОД'!$D$23,CHOOSE(D282,'01_ВВОД'!$D$19,'01_ВВОД'!$D$19,'01_ВВОД'!$D$19,'01_ВВОД'!$D$19,'01_ВВОД'!$D$20,'01_ВВОД'!$D$21,'01_ВВОД'!$D$22))</x:f>
        <x:v>80</x:v>
      </x:c>
      <x:c r="M282" s="188" t="n">
        <x:f>L282*IF(H282=1,'01_ВВОД'!$D$118,1)</x:f>
        <x:v>80</x:v>
      </x:c>
      <x:c r="N282" s="188" t="n">
        <x:f>IF(K282=1,'01_ВВОД'!$D$26,0)</x:f>
        <x:v>0</x:v>
      </x:c>
      <x:c r="O282" s="188" t="n">
        <x:f>IF(F282=1,'01_ВВОД'!$D$34,IF(D282&lt;=5,'01_ВВОД'!$D$32,'01_ВВОД'!$D$33))</x:f>
        <x:v>30</x:v>
      </x:c>
      <x:c r="P282" s="188" t="n">
        <x:f>O282</x:f>
        <x:v>30</x:v>
      </x:c>
      <x:c r="Q282" s="188" t="n">
        <x:f>'01_ВВОД'!$D$40</x:f>
        <x:v>12</x:v>
      </x:c>
      <x:c r="R282" s="188" t="n">
        <x:f>'01_ВВОД'!$D$46</x:f>
        <x:v>20</x:v>
      </x:c>
      <x:c r="S282" s="188" t="n">
        <x:f>H282</x:f>
        <x:v>0</x:v>
      </x:c>
      <x:c r="T282" s="188" t="n">
        <x:f>IF(H282=1,M282+N282+P282+Q282,0)</x:f>
        <x:v>0</x:v>
      </x:c>
      <x:c r="U282" t="n">
        <x:f>'01_ВВОД'!$D$120</x:f>
        <x:v>10</x:v>
      </x:c>
      <x:c r="V282" t="n">
        <x:f>ROUNDDOWN(SUM(M282,N282,R282,U282)*'01_ВВОД'!$D$127,0)</x:f>
        <x:v>55</x:v>
      </x:c>
      <x:c r="W282" t="n">
        <x:f>ROUNDDOWN(SUM(L282,N282,R282,U282)*'01_ВВОД'!$D$127,0)</x:f>
        <x:v>55</x:v>
      </x:c>
    </x:row>
    <x:row r="283">
      <x:c r="A283" s="200" t="n">
        <x:v>46544</x:v>
      </x:c>
      <x:c r="B283" s="201" t="n">
        <x:v>10</x:v>
      </x:c>
      <x:c r="C283" s="201" t="inlineStr">
        <x:is>
          <x:t xml:space="preserve">Июн-27</x:t>
        </x:is>
      </x:c>
      <x:c r="D283" s="201" t="n">
        <x:v>7</x:v>
      </x:c>
      <x:c r="E283" s="201" t="inlineStr">
        <x:is>
          <x:t xml:space="preserve">Вс</x:t>
        </x:is>
      </x:c>
      <x:c r="F283" s="199" t="n">
        <x:v>0</x:v>
      </x:c>
      <x:c r="G283" s="201" t="str"/>
      <x:c r="H283" s="193" t="n">
        <x:v>0</x:v>
      </x:c>
      <x:c r="I283" s="201" t="str"/>
      <x:c r="J283" s="188" t="n">
        <x:f>1</x:f>
        <x:v>1</x:v>
      </x:c>
      <x:c r="K283" s="188" t="n">
        <x:f>IF(AND(D283&lt;=5,F283=0),1,0)</x:f>
        <x:v>0</x:v>
      </x:c>
      <x:c r="L283" s="188" t="n">
        <x:f>IF(F283=1,'01_ВВОД'!$D$23,CHOOSE(D283,'01_ВВОД'!$D$19,'01_ВВОД'!$D$19,'01_ВВОД'!$D$19,'01_ВВОД'!$D$19,'01_ВВОД'!$D$20,'01_ВВОД'!$D$21,'01_ВВОД'!$D$22))</x:f>
        <x:v>70</x:v>
      </x:c>
      <x:c r="M283" s="188" t="n">
        <x:f>L283*IF(H283=1,'01_ВВОД'!$D$118,1)</x:f>
        <x:v>70</x:v>
      </x:c>
      <x:c r="N283" s="188" t="n">
        <x:f>IF(K283=1,'01_ВВОД'!$D$26,0)</x:f>
        <x:v>0</x:v>
      </x:c>
      <x:c r="O283" s="188" t="n">
        <x:f>IF(F283=1,'01_ВВОД'!$D$34,IF(D283&lt;=5,'01_ВВОД'!$D$32,'01_ВВОД'!$D$33))</x:f>
        <x:v>30</x:v>
      </x:c>
      <x:c r="P283" s="188" t="n">
        <x:f>O283</x:f>
        <x:v>30</x:v>
      </x:c>
      <x:c r="Q283" s="188" t="n">
        <x:f>'01_ВВОД'!$D$40</x:f>
        <x:v>12</x:v>
      </x:c>
      <x:c r="R283" s="188" t="n">
        <x:f>'01_ВВОД'!$D$46</x:f>
        <x:v>20</x:v>
      </x:c>
      <x:c r="S283" s="188" t="n">
        <x:f>H283</x:f>
        <x:v>0</x:v>
      </x:c>
      <x:c r="T283" s="188" t="n">
        <x:f>IF(H283=1,M283+N283+P283+Q283,0)</x:f>
        <x:v>0</x:v>
      </x:c>
      <x:c r="U283" t="n">
        <x:f>'01_ВВОД'!$D$120</x:f>
        <x:v>10</x:v>
      </x:c>
      <x:c r="V283" t="n">
        <x:f>ROUNDDOWN(SUM(M283,N283,R283,U283)*'01_ВВОД'!$D$127,0)</x:f>
        <x:v>50</x:v>
      </x:c>
      <x:c r="W283" t="n">
        <x:f>ROUNDDOWN(SUM(L283,N283,R283,U283)*'01_ВВОД'!$D$127,0)</x:f>
        <x:v>50</x:v>
      </x:c>
    </x:row>
    <x:row r="284">
      <x:c r="A284" s="200" t="n">
        <x:v>46545</x:v>
      </x:c>
      <x:c r="B284" s="201" t="n">
        <x:v>10</x:v>
      </x:c>
      <x:c r="C284" s="201" t="inlineStr">
        <x:is>
          <x:t xml:space="preserve">Июн-27</x:t>
        </x:is>
      </x:c>
      <x:c r="D284" s="201" t="n">
        <x:v>1</x:v>
      </x:c>
      <x:c r="E284" s="201" t="inlineStr">
        <x:is>
          <x:t xml:space="preserve">Пн</x:t>
        </x:is>
      </x:c>
      <x:c r="F284" s="199" t="n">
        <x:v>0</x:v>
      </x:c>
      <x:c r="G284" s="201" t="str"/>
      <x:c r="H284" s="193" t="n">
        <x:v>1</x:v>
      </x:c>
      <x:c r="I284" s="201" t="inlineStr">
        <x:is>
          <x:t xml:space="preserve">Пн–Чт</x:t>
        </x:is>
      </x:c>
      <x:c r="J284" s="188" t="n">
        <x:f>1</x:f>
        <x:v>1</x:v>
      </x:c>
      <x:c r="K284" s="188" t="n">
        <x:f>IF(AND(D284&lt;=5,F284=0),1,0)</x:f>
        <x:v>1</x:v>
      </x:c>
      <x:c r="L284" s="188" t="n">
        <x:f>IF(F284=1,'01_ВВОД'!$D$23,CHOOSE(D284,'01_ВВОД'!$D$19,'01_ВВОД'!$D$19,'01_ВВОД'!$D$19,'01_ВВОД'!$D$19,'01_ВВОД'!$D$20,'01_ВВОД'!$D$21,'01_ВВОД'!$D$22))</x:f>
        <x:v>32</x:v>
      </x:c>
      <x:c r="M284" s="188" t="n">
        <x:f>L284*IF(H284=1,'01_ВВОД'!$D$118,1)</x:f>
        <x:v>6.4</x:v>
      </x:c>
      <x:c r="N284" s="188" t="n">
        <x:f>IF(K284=1,'01_ВВОД'!$D$26,0)</x:f>
        <x:v>40</x:v>
      </x:c>
      <x:c r="O284" s="188" t="n">
        <x:f>IF(F284=1,'01_ВВОД'!$D$34,IF(D284&lt;=5,'01_ВВОД'!$D$32,'01_ВВОД'!$D$33))</x:f>
        <x:v>15</x:v>
      </x:c>
      <x:c r="P284" s="188" t="n">
        <x:f>O284</x:f>
        <x:v>15</x:v>
      </x:c>
      <x:c r="Q284" s="188" t="n">
        <x:f>'01_ВВОД'!$D$40</x:f>
        <x:v>12</x:v>
      </x:c>
      <x:c r="R284" s="188" t="n">
        <x:f>'01_ВВОД'!$D$46</x:f>
        <x:v>20</x:v>
      </x:c>
      <x:c r="S284" s="188" t="n">
        <x:f>H284</x:f>
        <x:v>1</x:v>
      </x:c>
      <x:c r="T284" s="188" t="n">
        <x:f>IF(H284=1,M284+N284+P284+Q284,0)</x:f>
        <x:v>73.4</x:v>
      </x:c>
      <x:c r="U284" t="n">
        <x:f>'01_ВВОД'!$D$120</x:f>
        <x:v>10</x:v>
      </x:c>
      <x:c r="V284" t="n">
        <x:f>ROUNDDOWN(SUM(M284,N284,R284,U284)*'01_ВВОД'!$D$127,0)</x:f>
        <x:v>38</x:v>
      </x:c>
      <x:c r="W284" t="n">
        <x:f>ROUNDDOWN(SUM(L284,N284,R284,U284)*'01_ВВОД'!$D$127,0)</x:f>
        <x:v>51</x:v>
      </x:c>
    </x:row>
    <x:row r="285">
      <x:c r="A285" s="200" t="n">
        <x:v>46546</x:v>
      </x:c>
      <x:c r="B285" s="201" t="n">
        <x:v>10</x:v>
      </x:c>
      <x:c r="C285" s="201" t="inlineStr">
        <x:is>
          <x:t xml:space="preserve">Июн-27</x:t>
        </x:is>
      </x:c>
      <x:c r="D285" s="201" t="n">
        <x:v>2</x:v>
      </x:c>
      <x:c r="E285" s="201" t="inlineStr">
        <x:is>
          <x:t xml:space="preserve">Вт</x:t>
        </x:is>
      </x:c>
      <x:c r="F285" s="199" t="n">
        <x:v>0</x:v>
      </x:c>
      <x:c r="G285" s="201" t="str"/>
      <x:c r="H285" s="193" t="n">
        <x:v>0</x:v>
      </x:c>
      <x:c r="I285" s="201" t="str"/>
      <x:c r="J285" s="188" t="n">
        <x:f>1</x:f>
        <x:v>1</x:v>
      </x:c>
      <x:c r="K285" s="188" t="n">
        <x:f>IF(AND(D285&lt;=5,F285=0),1,0)</x:f>
        <x:v>1</x:v>
      </x:c>
      <x:c r="L285" s="188" t="n">
        <x:f>IF(F285=1,'01_ВВОД'!$D$23,CHOOSE(D285,'01_ВВОД'!$D$19,'01_ВВОД'!$D$19,'01_ВВОД'!$D$19,'01_ВВОД'!$D$19,'01_ВВОД'!$D$20,'01_ВВОД'!$D$21,'01_ВВОД'!$D$22))</x:f>
        <x:v>32</x:v>
      </x:c>
      <x:c r="M285" s="188" t="n">
        <x:f>L285*IF(H285=1,'01_ВВОД'!$D$118,1)</x:f>
        <x:v>32</x:v>
      </x:c>
      <x:c r="N285" s="188" t="n">
        <x:f>IF(K285=1,'01_ВВОД'!$D$26,0)</x:f>
        <x:v>40</x:v>
      </x:c>
      <x:c r="O285" s="188" t="n">
        <x:f>IF(F285=1,'01_ВВОД'!$D$34,IF(D285&lt;=5,'01_ВВОД'!$D$32,'01_ВВОД'!$D$33))</x:f>
        <x:v>15</x:v>
      </x:c>
      <x:c r="P285" s="188" t="n">
        <x:f>O285</x:f>
        <x:v>15</x:v>
      </x:c>
      <x:c r="Q285" s="188" t="n">
        <x:f>'01_ВВОД'!$D$40</x:f>
        <x:v>12</x:v>
      </x:c>
      <x:c r="R285" s="188" t="n">
        <x:f>'01_ВВОД'!$D$46</x:f>
        <x:v>20</x:v>
      </x:c>
      <x:c r="S285" s="188" t="n">
        <x:f>H285</x:f>
        <x:v>0</x:v>
      </x:c>
      <x:c r="T285" s="188" t="n">
        <x:f>IF(H285=1,M285+N285+P285+Q285,0)</x:f>
        <x:v>0</x:v>
      </x:c>
      <x:c r="U285" t="n">
        <x:f>'01_ВВОД'!$D$120</x:f>
        <x:v>10</x:v>
      </x:c>
      <x:c r="V285" t="n">
        <x:f>ROUNDDOWN(SUM(M285,N285,R285,U285)*'01_ВВОД'!$D$127,0)</x:f>
        <x:v>51</x:v>
      </x:c>
      <x:c r="W285" t="n">
        <x:f>ROUNDDOWN(SUM(L285,N285,R285,U285)*'01_ВВОД'!$D$127,0)</x:f>
        <x:v>51</x:v>
      </x:c>
    </x:row>
    <x:row r="286">
      <x:c r="A286" s="200" t="n">
        <x:v>46547</x:v>
      </x:c>
      <x:c r="B286" s="201" t="n">
        <x:v>10</x:v>
      </x:c>
      <x:c r="C286" s="201" t="inlineStr">
        <x:is>
          <x:t xml:space="preserve">Июн-27</x:t>
        </x:is>
      </x:c>
      <x:c r="D286" s="201" t="n">
        <x:v>3</x:v>
      </x:c>
      <x:c r="E286" s="201" t="inlineStr">
        <x:is>
          <x:t xml:space="preserve">Ср</x:t>
        </x:is>
      </x:c>
      <x:c r="F286" s="199" t="n">
        <x:v>0</x:v>
      </x:c>
      <x:c r="G286" s="201" t="str"/>
      <x:c r="H286" s="193" t="n">
        <x:v>0</x:v>
      </x:c>
      <x:c r="I286" s="201" t="str"/>
      <x:c r="J286" s="188" t="n">
        <x:f>1</x:f>
        <x:v>1</x:v>
      </x:c>
      <x:c r="K286" s="188" t="n">
        <x:f>IF(AND(D286&lt;=5,F286=0),1,0)</x:f>
        <x:v>1</x:v>
      </x:c>
      <x:c r="L286" s="188" t="n">
        <x:f>IF(F286=1,'01_ВВОД'!$D$23,CHOOSE(D286,'01_ВВОД'!$D$19,'01_ВВОД'!$D$19,'01_ВВОД'!$D$19,'01_ВВОД'!$D$19,'01_ВВОД'!$D$20,'01_ВВОД'!$D$21,'01_ВВОД'!$D$22))</x:f>
        <x:v>32</x:v>
      </x:c>
      <x:c r="M286" s="188" t="n">
        <x:f>L286*IF(H286=1,'01_ВВОД'!$D$118,1)</x:f>
        <x:v>32</x:v>
      </x:c>
      <x:c r="N286" s="188" t="n">
        <x:f>IF(K286=1,'01_ВВОД'!$D$26,0)</x:f>
        <x:v>40</x:v>
      </x:c>
      <x:c r="O286" s="188" t="n">
        <x:f>IF(F286=1,'01_ВВОД'!$D$34,IF(D286&lt;=5,'01_ВВОД'!$D$32,'01_ВВОД'!$D$33))</x:f>
        <x:v>15</x:v>
      </x:c>
      <x:c r="P286" s="188" t="n">
        <x:f>O286</x:f>
        <x:v>15</x:v>
      </x:c>
      <x:c r="Q286" s="188" t="n">
        <x:f>'01_ВВОД'!$D$40</x:f>
        <x:v>12</x:v>
      </x:c>
      <x:c r="R286" s="188" t="n">
        <x:f>'01_ВВОД'!$D$46</x:f>
        <x:v>20</x:v>
      </x:c>
      <x:c r="S286" s="188" t="n">
        <x:f>H286</x:f>
        <x:v>0</x:v>
      </x:c>
      <x:c r="T286" s="188" t="n">
        <x:f>IF(H286=1,M286+N286+P286+Q286,0)</x:f>
        <x:v>0</x:v>
      </x:c>
      <x:c r="U286" t="n">
        <x:f>'01_ВВОД'!$D$120</x:f>
        <x:v>10</x:v>
      </x:c>
      <x:c r="V286" t="n">
        <x:f>ROUNDDOWN(SUM(M286,N286,R286,U286)*'01_ВВОД'!$D$127,0)</x:f>
        <x:v>51</x:v>
      </x:c>
      <x:c r="W286" t="n">
        <x:f>ROUNDDOWN(SUM(L286,N286,R286,U286)*'01_ВВОД'!$D$127,0)</x:f>
        <x:v>51</x:v>
      </x:c>
    </x:row>
    <x:row r="287">
      <x:c r="A287" s="200" t="n">
        <x:v>46548</x:v>
      </x:c>
      <x:c r="B287" s="201" t="n">
        <x:v>10</x:v>
      </x:c>
      <x:c r="C287" s="201" t="inlineStr">
        <x:is>
          <x:t xml:space="preserve">Июн-27</x:t>
        </x:is>
      </x:c>
      <x:c r="D287" s="201" t="n">
        <x:v>4</x:v>
      </x:c>
      <x:c r="E287" s="201" t="inlineStr">
        <x:is>
          <x:t xml:space="preserve">Чт</x:t>
        </x:is>
      </x:c>
      <x:c r="F287" s="199" t="n">
        <x:v>0</x:v>
      </x:c>
      <x:c r="G287" s="201" t="str"/>
      <x:c r="H287" s="193" t="n">
        <x:v>0</x:v>
      </x:c>
      <x:c r="I287" s="201" t="str"/>
      <x:c r="J287" s="188" t="n">
        <x:f>1</x:f>
        <x:v>1</x:v>
      </x:c>
      <x:c r="K287" s="188" t="n">
        <x:f>IF(AND(D287&lt;=5,F287=0),1,0)</x:f>
        <x:v>1</x:v>
      </x:c>
      <x:c r="L287" s="188" t="n">
        <x:f>IF(F287=1,'01_ВВОД'!$D$23,CHOOSE(D287,'01_ВВОД'!$D$19,'01_ВВОД'!$D$19,'01_ВВОД'!$D$19,'01_ВВОД'!$D$19,'01_ВВОД'!$D$20,'01_ВВОД'!$D$21,'01_ВВОД'!$D$22))</x:f>
        <x:v>32</x:v>
      </x:c>
      <x:c r="M287" s="188" t="n">
        <x:f>L287*IF(H287=1,'01_ВВОД'!$D$118,1)</x:f>
        <x:v>32</x:v>
      </x:c>
      <x:c r="N287" s="188" t="n">
        <x:f>IF(K287=1,'01_ВВОД'!$D$26,0)</x:f>
        <x:v>40</x:v>
      </x:c>
      <x:c r="O287" s="188" t="n">
        <x:f>IF(F287=1,'01_ВВОД'!$D$34,IF(D287&lt;=5,'01_ВВОД'!$D$32,'01_ВВОД'!$D$33))</x:f>
        <x:v>15</x:v>
      </x:c>
      <x:c r="P287" s="188" t="n">
        <x:f>O287</x:f>
        <x:v>15</x:v>
      </x:c>
      <x:c r="Q287" s="188" t="n">
        <x:f>'01_ВВОД'!$D$40</x:f>
        <x:v>12</x:v>
      </x:c>
      <x:c r="R287" s="188" t="n">
        <x:f>'01_ВВОД'!$D$46</x:f>
        <x:v>20</x:v>
      </x:c>
      <x:c r="S287" s="188" t="n">
        <x:f>H287</x:f>
        <x:v>0</x:v>
      </x:c>
      <x:c r="T287" s="188" t="n">
        <x:f>IF(H287=1,M287+N287+P287+Q287,0)</x:f>
        <x:v>0</x:v>
      </x:c>
      <x:c r="U287" t="n">
        <x:f>'01_ВВОД'!$D$120</x:f>
        <x:v>10</x:v>
      </x:c>
      <x:c r="V287" t="n">
        <x:f>ROUNDDOWN(SUM(M287,N287,R287,U287)*'01_ВВОД'!$D$127,0)</x:f>
        <x:v>51</x:v>
      </x:c>
      <x:c r="W287" t="n">
        <x:f>ROUNDDOWN(SUM(L287,N287,R287,U287)*'01_ВВОД'!$D$127,0)</x:f>
        <x:v>51</x:v>
      </x:c>
    </x:row>
    <x:row r="288">
      <x:c r="A288" s="200" t="n">
        <x:v>46549</x:v>
      </x:c>
      <x:c r="B288" s="201" t="n">
        <x:v>10</x:v>
      </x:c>
      <x:c r="C288" s="201" t="inlineStr">
        <x:is>
          <x:t xml:space="preserve">Июн-27</x:t>
        </x:is>
      </x:c>
      <x:c r="D288" s="201" t="n">
        <x:v>5</x:v>
      </x:c>
      <x:c r="E288" s="201" t="inlineStr">
        <x:is>
          <x:t xml:space="preserve">Пт</x:t>
        </x:is>
      </x:c>
      <x:c r="F288" s="199" t="n">
        <x:v>0</x:v>
      </x:c>
      <x:c r="G288" s="201" t="str"/>
      <x:c r="H288" s="193" t="n">
        <x:v>1</x:v>
      </x:c>
      <x:c r="I288" s="201" t="inlineStr">
        <x:is>
          <x:t xml:space="preserve">Пт–Вс</x:t>
        </x:is>
      </x:c>
      <x:c r="J288" s="188" t="n">
        <x:f>1</x:f>
        <x:v>1</x:v>
      </x:c>
      <x:c r="K288" s="188" t="n">
        <x:f>IF(AND(D288&lt;=5,F288=0),1,0)</x:f>
        <x:v>1</x:v>
      </x:c>
      <x:c r="L288" s="188" t="n">
        <x:f>IF(F288=1,'01_ВВОД'!$D$23,CHOOSE(D288,'01_ВВОД'!$D$19,'01_ВВОД'!$D$19,'01_ВВОД'!$D$19,'01_ВВОД'!$D$19,'01_ВВОД'!$D$20,'01_ВВОД'!$D$21,'01_ВВОД'!$D$22))</x:f>
        <x:v>45</x:v>
      </x:c>
      <x:c r="M288" s="188" t="n">
        <x:f>L288*IF(H288=1,'01_ВВОД'!$D$118,1)</x:f>
        <x:v>9</x:v>
      </x:c>
      <x:c r="N288" s="188" t="n">
        <x:f>IF(K288=1,'01_ВВОД'!$D$26,0)</x:f>
        <x:v>40</x:v>
      </x:c>
      <x:c r="O288" s="188" t="n">
        <x:f>IF(F288=1,'01_ВВОД'!$D$34,IF(D288&lt;=5,'01_ВВОД'!$D$32,'01_ВВОД'!$D$33))</x:f>
        <x:v>15</x:v>
      </x:c>
      <x:c r="P288" s="188" t="n">
        <x:f>O288</x:f>
        <x:v>15</x:v>
      </x:c>
      <x:c r="Q288" s="188" t="n">
        <x:f>'01_ВВОД'!$D$40</x:f>
        <x:v>12</x:v>
      </x:c>
      <x:c r="R288" s="188" t="n">
        <x:f>'01_ВВОД'!$D$46</x:f>
        <x:v>20</x:v>
      </x:c>
      <x:c r="S288" s="188" t="n">
        <x:f>H288</x:f>
        <x:v>1</x:v>
      </x:c>
      <x:c r="T288" s="188" t="n">
        <x:f>IF(H288=1,M288+N288+P288+Q288,0)</x:f>
        <x:v>76</x:v>
      </x:c>
      <x:c r="U288" t="n">
        <x:f>'01_ВВОД'!$D$120</x:f>
        <x:v>10</x:v>
      </x:c>
      <x:c r="V288" t="n">
        <x:f>ROUNDDOWN(SUM(M288,N288,R288,U288)*'01_ВВОД'!$D$127,0)</x:f>
        <x:v>39</x:v>
      </x:c>
      <x:c r="W288" t="n">
        <x:f>ROUNDDOWN(SUM(L288,N288,R288,U288)*'01_ВВОД'!$D$127,0)</x:f>
        <x:v>57</x:v>
      </x:c>
    </x:row>
    <x:row r="289">
      <x:c r="A289" s="200" t="n">
        <x:v>46550</x:v>
      </x:c>
      <x:c r="B289" s="201" t="n">
        <x:v>10</x:v>
      </x:c>
      <x:c r="C289" s="201" t="inlineStr">
        <x:is>
          <x:t xml:space="preserve">Июн-27</x:t>
        </x:is>
      </x:c>
      <x:c r="D289" s="201" t="n">
        <x:v>6</x:v>
      </x:c>
      <x:c r="E289" s="201" t="inlineStr">
        <x:is>
          <x:t xml:space="preserve">Сб</x:t>
        </x:is>
      </x:c>
      <x:c r="F289" s="199" t="n">
        <x:v>1</x:v>
      </x:c>
      <x:c r="G289" s="201" t="inlineStr">
        <x:is>
          <x:t xml:space="preserve">Фиксированный праздник 2027; переносы уточнить</x:t>
        </x:is>
      </x:c>
      <x:c r="H289" s="193" t="n">
        <x:v>0</x:v>
      </x:c>
      <x:c r="I289" s="201" t="str"/>
      <x:c r="J289" s="188" t="n">
        <x:f>1</x:f>
        <x:v>1</x:v>
      </x:c>
      <x:c r="K289" s="188" t="n">
        <x:f>IF(AND(D289&lt;=5,F289=0),1,0)</x:f>
        <x:v>0</x:v>
      </x:c>
      <x:c r="L289" s="188" t="n">
        <x:f>IF(F289=1,'01_ВВОД'!$D$23,CHOOSE(D289,'01_ВВОД'!$D$19,'01_ВВОД'!$D$19,'01_ВВОД'!$D$19,'01_ВВОД'!$D$19,'01_ВВОД'!$D$20,'01_ВВОД'!$D$21,'01_ВВОД'!$D$22))</x:f>
        <x:v>70</x:v>
      </x:c>
      <x:c r="M289" s="188" t="n">
        <x:f>L289*IF(H289=1,'01_ВВОД'!$D$118,1)</x:f>
        <x:v>70</x:v>
      </x:c>
      <x:c r="N289" s="188" t="n">
        <x:f>IF(K289=1,'01_ВВОД'!$D$26,0)</x:f>
        <x:v>0</x:v>
      </x:c>
      <x:c r="O289" s="188" t="n">
        <x:f>IF(F289=1,'01_ВВОД'!$D$34,IF(D289&lt;=5,'01_ВВОД'!$D$32,'01_ВВОД'!$D$33))</x:f>
        <x:v>30</x:v>
      </x:c>
      <x:c r="P289" s="188" t="n">
        <x:f>O289</x:f>
        <x:v>30</x:v>
      </x:c>
      <x:c r="Q289" s="188" t="n">
        <x:f>'01_ВВОД'!$D$40</x:f>
        <x:v>12</x:v>
      </x:c>
      <x:c r="R289" s="188" t="n">
        <x:f>'01_ВВОД'!$D$46</x:f>
        <x:v>20</x:v>
      </x:c>
      <x:c r="S289" s="188" t="n">
        <x:f>H289</x:f>
        <x:v>0</x:v>
      </x:c>
      <x:c r="T289" s="188" t="n">
        <x:f>IF(H289=1,M289+N289+P289+Q289,0)</x:f>
        <x:v>0</x:v>
      </x:c>
      <x:c r="U289" t="n">
        <x:f>'01_ВВОД'!$D$120</x:f>
        <x:v>10</x:v>
      </x:c>
      <x:c r="V289" t="n">
        <x:f>ROUNDDOWN(SUM(M289,N289,R289,U289)*'01_ВВОД'!$D$127,0)</x:f>
        <x:v>50</x:v>
      </x:c>
      <x:c r="W289" t="n">
        <x:f>ROUNDDOWN(SUM(L289,N289,R289,U289)*'01_ВВОД'!$D$127,0)</x:f>
        <x:v>50</x:v>
      </x:c>
    </x:row>
    <x:row r="290">
      <x:c r="A290" s="200" t="n">
        <x:v>46551</x:v>
      </x:c>
      <x:c r="B290" s="201" t="n">
        <x:v>10</x:v>
      </x:c>
      <x:c r="C290" s="201" t="inlineStr">
        <x:is>
          <x:t xml:space="preserve">Июн-27</x:t>
        </x:is>
      </x:c>
      <x:c r="D290" s="201" t="n">
        <x:v>7</x:v>
      </x:c>
      <x:c r="E290" s="201" t="inlineStr">
        <x:is>
          <x:t xml:space="preserve">Вс</x:t>
        </x:is>
      </x:c>
      <x:c r="F290" s="199" t="n">
        <x:v>0</x:v>
      </x:c>
      <x:c r="G290" s="201" t="str"/>
      <x:c r="H290" s="193" t="n">
        <x:v>1</x:v>
      </x:c>
      <x:c r="I290" s="201" t="inlineStr">
        <x:is>
          <x:t xml:space="preserve">Пт–Вс</x:t>
        </x:is>
      </x:c>
      <x:c r="J290" s="188" t="n">
        <x:f>1</x:f>
        <x:v>1</x:v>
      </x:c>
      <x:c r="K290" s="188" t="n">
        <x:f>IF(AND(D290&lt;=5,F290=0),1,0)</x:f>
        <x:v>0</x:v>
      </x:c>
      <x:c r="L290" s="188" t="n">
        <x:f>IF(F290=1,'01_ВВОД'!$D$23,CHOOSE(D290,'01_ВВОД'!$D$19,'01_ВВОД'!$D$19,'01_ВВОД'!$D$19,'01_ВВОД'!$D$19,'01_ВВОД'!$D$20,'01_ВВОД'!$D$21,'01_ВВОД'!$D$22))</x:f>
        <x:v>70</x:v>
      </x:c>
      <x:c r="M290" s="188" t="n">
        <x:f>L290*IF(H290=1,'01_ВВОД'!$D$118,1)</x:f>
        <x:v>14</x:v>
      </x:c>
      <x:c r="N290" s="188" t="n">
        <x:f>IF(K290=1,'01_ВВОД'!$D$26,0)</x:f>
        <x:v>0</x:v>
      </x:c>
      <x:c r="O290" s="188" t="n">
        <x:f>IF(F290=1,'01_ВВОД'!$D$34,IF(D290&lt;=5,'01_ВВОД'!$D$32,'01_ВВОД'!$D$33))</x:f>
        <x:v>30</x:v>
      </x:c>
      <x:c r="P290" s="188" t="n">
        <x:f>O290</x:f>
        <x:v>30</x:v>
      </x:c>
      <x:c r="Q290" s="188" t="n">
        <x:f>'01_ВВОД'!$D$40</x:f>
        <x:v>12</x:v>
      </x:c>
      <x:c r="R290" s="188" t="n">
        <x:f>'01_ВВОД'!$D$46</x:f>
        <x:v>20</x:v>
      </x:c>
      <x:c r="S290" s="188" t="n">
        <x:f>H290</x:f>
        <x:v>1</x:v>
      </x:c>
      <x:c r="T290" s="188" t="n">
        <x:f>IF(H290=1,M290+N290+P290+Q290,0)</x:f>
        <x:v>56</x:v>
      </x:c>
      <x:c r="U290" t="n">
        <x:f>'01_ВВОД'!$D$120</x:f>
        <x:v>10</x:v>
      </x:c>
      <x:c r="V290" t="n">
        <x:f>ROUNDDOWN(SUM(M290,N290,R290,U290)*'01_ВВОД'!$D$127,0)</x:f>
        <x:v>22</x:v>
      </x:c>
      <x:c r="W290" t="n">
        <x:f>ROUNDDOWN(SUM(L290,N290,R290,U290)*'01_ВВОД'!$D$127,0)</x:f>
        <x:v>50</x:v>
      </x:c>
    </x:row>
    <x:row r="291">
      <x:c r="A291" s="200" t="n">
        <x:v>46552</x:v>
      </x:c>
      <x:c r="B291" s="201" t="n">
        <x:v>10</x:v>
      </x:c>
      <x:c r="C291" s="201" t="inlineStr">
        <x:is>
          <x:t xml:space="preserve">Июн-27</x:t>
        </x:is>
      </x:c>
      <x:c r="D291" s="201" t="n">
        <x:v>1</x:v>
      </x:c>
      <x:c r="E291" s="201" t="inlineStr">
        <x:is>
          <x:t xml:space="preserve">Пн</x:t>
        </x:is>
      </x:c>
      <x:c r="F291" s="199" t="n">
        <x:v>0</x:v>
      </x:c>
      <x:c r="G291" s="201" t="str"/>
      <x:c r="H291" s="193" t="n">
        <x:v>0</x:v>
      </x:c>
      <x:c r="I291" s="201" t="str"/>
      <x:c r="J291" s="188" t="n">
        <x:f>1</x:f>
        <x:v>1</x:v>
      </x:c>
      <x:c r="K291" s="188" t="n">
        <x:f>IF(AND(D291&lt;=5,F291=0),1,0)</x:f>
        <x:v>1</x:v>
      </x:c>
      <x:c r="L291" s="188" t="n">
        <x:f>IF(F291=1,'01_ВВОД'!$D$23,CHOOSE(D291,'01_ВВОД'!$D$19,'01_ВВОД'!$D$19,'01_ВВОД'!$D$19,'01_ВВОД'!$D$19,'01_ВВОД'!$D$20,'01_ВВОД'!$D$21,'01_ВВОД'!$D$22))</x:f>
        <x:v>32</x:v>
      </x:c>
      <x:c r="M291" s="188" t="n">
        <x:f>L291*IF(H291=1,'01_ВВОД'!$D$118,1)</x:f>
        <x:v>32</x:v>
      </x:c>
      <x:c r="N291" s="188" t="n">
        <x:f>IF(K291=1,'01_ВВОД'!$D$26,0)</x:f>
        <x:v>40</x:v>
      </x:c>
      <x:c r="O291" s="188" t="n">
        <x:f>IF(F291=1,'01_ВВОД'!$D$34,IF(D291&lt;=5,'01_ВВОД'!$D$32,'01_ВВОД'!$D$33))</x:f>
        <x:v>15</x:v>
      </x:c>
      <x:c r="P291" s="188" t="n">
        <x:f>O291</x:f>
        <x:v>15</x:v>
      </x:c>
      <x:c r="Q291" s="188" t="n">
        <x:f>'01_ВВОД'!$D$40</x:f>
        <x:v>12</x:v>
      </x:c>
      <x:c r="R291" s="188" t="n">
        <x:f>'01_ВВОД'!$D$46</x:f>
        <x:v>20</x:v>
      </x:c>
      <x:c r="S291" s="188" t="n">
        <x:f>H291</x:f>
        <x:v>0</x:v>
      </x:c>
      <x:c r="T291" s="188" t="n">
        <x:f>IF(H291=1,M291+N291+P291+Q291,0)</x:f>
        <x:v>0</x:v>
      </x:c>
      <x:c r="U291" t="n">
        <x:f>'01_ВВОД'!$D$120</x:f>
        <x:v>10</x:v>
      </x:c>
      <x:c r="V291" t="n">
        <x:f>ROUNDDOWN(SUM(M291,N291,R291,U291)*'01_ВВОД'!$D$127,0)</x:f>
        <x:v>51</x:v>
      </x:c>
      <x:c r="W291" t="n">
        <x:f>ROUNDDOWN(SUM(L291,N291,R291,U291)*'01_ВВОД'!$D$127,0)</x:f>
        <x:v>51</x:v>
      </x:c>
    </x:row>
    <x:row r="292">
      <x:c r="A292" s="200" t="n">
        <x:v>46553</x:v>
      </x:c>
      <x:c r="B292" s="201" t="n">
        <x:v>10</x:v>
      </x:c>
      <x:c r="C292" s="201" t="inlineStr">
        <x:is>
          <x:t xml:space="preserve">Июн-27</x:t>
        </x:is>
      </x:c>
      <x:c r="D292" s="201" t="n">
        <x:v>2</x:v>
      </x:c>
      <x:c r="E292" s="201" t="inlineStr">
        <x:is>
          <x:t xml:space="preserve">Вт</x:t>
        </x:is>
      </x:c>
      <x:c r="F292" s="199" t="n">
        <x:v>0</x:v>
      </x:c>
      <x:c r="G292" s="201" t="str"/>
      <x:c r="H292" s="193" t="n">
        <x:v>0</x:v>
      </x:c>
      <x:c r="I292" s="201" t="str"/>
      <x:c r="J292" s="188" t="n">
        <x:f>1</x:f>
        <x:v>1</x:v>
      </x:c>
      <x:c r="K292" s="188" t="n">
        <x:f>IF(AND(D292&lt;=5,F292=0),1,0)</x:f>
        <x:v>1</x:v>
      </x:c>
      <x:c r="L292" s="188" t="n">
        <x:f>IF(F292=1,'01_ВВОД'!$D$23,CHOOSE(D292,'01_ВВОД'!$D$19,'01_ВВОД'!$D$19,'01_ВВОД'!$D$19,'01_ВВОД'!$D$19,'01_ВВОД'!$D$20,'01_ВВОД'!$D$21,'01_ВВОД'!$D$22))</x:f>
        <x:v>32</x:v>
      </x:c>
      <x:c r="M292" s="188" t="n">
        <x:f>L292*IF(H292=1,'01_ВВОД'!$D$118,1)</x:f>
        <x:v>32</x:v>
      </x:c>
      <x:c r="N292" s="188" t="n">
        <x:f>IF(K292=1,'01_ВВОД'!$D$26,0)</x:f>
        <x:v>40</x:v>
      </x:c>
      <x:c r="O292" s="188" t="n">
        <x:f>IF(F292=1,'01_ВВОД'!$D$34,IF(D292&lt;=5,'01_ВВОД'!$D$32,'01_ВВОД'!$D$33))</x:f>
        <x:v>15</x:v>
      </x:c>
      <x:c r="P292" s="188" t="n">
        <x:f>O292</x:f>
        <x:v>15</x:v>
      </x:c>
      <x:c r="Q292" s="188" t="n">
        <x:f>'01_ВВОД'!$D$40</x:f>
        <x:v>12</x:v>
      </x:c>
      <x:c r="R292" s="188" t="n">
        <x:f>'01_ВВОД'!$D$46</x:f>
        <x:v>20</x:v>
      </x:c>
      <x:c r="S292" s="188" t="n">
        <x:f>H292</x:f>
        <x:v>0</x:v>
      </x:c>
      <x:c r="T292" s="188" t="n">
        <x:f>IF(H292=1,M292+N292+P292+Q292,0)</x:f>
        <x:v>0</x:v>
      </x:c>
      <x:c r="U292" t="n">
        <x:f>'01_ВВОД'!$D$120</x:f>
        <x:v>10</x:v>
      </x:c>
      <x:c r="V292" t="n">
        <x:f>ROUNDDOWN(SUM(M292,N292,R292,U292)*'01_ВВОД'!$D$127,0)</x:f>
        <x:v>51</x:v>
      </x:c>
      <x:c r="W292" t="n">
        <x:f>ROUNDDOWN(SUM(L292,N292,R292,U292)*'01_ВВОД'!$D$127,0)</x:f>
        <x:v>51</x:v>
      </x:c>
    </x:row>
    <x:row r="293">
      <x:c r="A293" s="200" t="n">
        <x:v>46554</x:v>
      </x:c>
      <x:c r="B293" s="201" t="n">
        <x:v>10</x:v>
      </x:c>
      <x:c r="C293" s="201" t="inlineStr">
        <x:is>
          <x:t xml:space="preserve">Июн-27</x:t>
        </x:is>
      </x:c>
      <x:c r="D293" s="201" t="n">
        <x:v>3</x:v>
      </x:c>
      <x:c r="E293" s="201" t="inlineStr">
        <x:is>
          <x:t xml:space="preserve">Ср</x:t>
        </x:is>
      </x:c>
      <x:c r="F293" s="199" t="n">
        <x:v>0</x:v>
      </x:c>
      <x:c r="G293" s="201" t="str"/>
      <x:c r="H293" s="193" t="n">
        <x:v>0</x:v>
      </x:c>
      <x:c r="I293" s="201" t="str"/>
      <x:c r="J293" s="188" t="n">
        <x:f>1</x:f>
        <x:v>1</x:v>
      </x:c>
      <x:c r="K293" s="188" t="n">
        <x:f>IF(AND(D293&lt;=5,F293=0),1,0)</x:f>
        <x:v>1</x:v>
      </x:c>
      <x:c r="L293" s="188" t="n">
        <x:f>IF(F293=1,'01_ВВОД'!$D$23,CHOOSE(D293,'01_ВВОД'!$D$19,'01_ВВОД'!$D$19,'01_ВВОД'!$D$19,'01_ВВОД'!$D$19,'01_ВВОД'!$D$20,'01_ВВОД'!$D$21,'01_ВВОД'!$D$22))</x:f>
        <x:v>32</x:v>
      </x:c>
      <x:c r="M293" s="188" t="n">
        <x:f>L293*IF(H293=1,'01_ВВОД'!$D$118,1)</x:f>
        <x:v>32</x:v>
      </x:c>
      <x:c r="N293" s="188" t="n">
        <x:f>IF(K293=1,'01_ВВОД'!$D$26,0)</x:f>
        <x:v>40</x:v>
      </x:c>
      <x:c r="O293" s="188" t="n">
        <x:f>IF(F293=1,'01_ВВОД'!$D$34,IF(D293&lt;=5,'01_ВВОД'!$D$32,'01_ВВОД'!$D$33))</x:f>
        <x:v>15</x:v>
      </x:c>
      <x:c r="P293" s="188" t="n">
        <x:f>O293</x:f>
        <x:v>15</x:v>
      </x:c>
      <x:c r="Q293" s="188" t="n">
        <x:f>'01_ВВОД'!$D$40</x:f>
        <x:v>12</x:v>
      </x:c>
      <x:c r="R293" s="188" t="n">
        <x:f>'01_ВВОД'!$D$46</x:f>
        <x:v>20</x:v>
      </x:c>
      <x:c r="S293" s="188" t="n">
        <x:f>H293</x:f>
        <x:v>0</x:v>
      </x:c>
      <x:c r="T293" s="188" t="n">
        <x:f>IF(H293=1,M293+N293+P293+Q293,0)</x:f>
        <x:v>0</x:v>
      </x:c>
      <x:c r="U293" t="n">
        <x:f>'01_ВВОД'!$D$120</x:f>
        <x:v>10</x:v>
      </x:c>
      <x:c r="V293" t="n">
        <x:f>ROUNDDOWN(SUM(M293,N293,R293,U293)*'01_ВВОД'!$D$127,0)</x:f>
        <x:v>51</x:v>
      </x:c>
      <x:c r="W293" t="n">
        <x:f>ROUNDDOWN(SUM(L293,N293,R293,U293)*'01_ВВОД'!$D$127,0)</x:f>
        <x:v>51</x:v>
      </x:c>
    </x:row>
    <x:row r="294">
      <x:c r="A294" s="200" t="n">
        <x:v>46555</x:v>
      </x:c>
      <x:c r="B294" s="201" t="n">
        <x:v>10</x:v>
      </x:c>
      <x:c r="C294" s="201" t="inlineStr">
        <x:is>
          <x:t xml:space="preserve">Июн-27</x:t>
        </x:is>
      </x:c>
      <x:c r="D294" s="201" t="n">
        <x:v>4</x:v>
      </x:c>
      <x:c r="E294" s="201" t="inlineStr">
        <x:is>
          <x:t xml:space="preserve">Чт</x:t>
        </x:is>
      </x:c>
      <x:c r="F294" s="199" t="n">
        <x:v>0</x:v>
      </x:c>
      <x:c r="G294" s="201" t="str"/>
      <x:c r="H294" s="193" t="n">
        <x:v>0</x:v>
      </x:c>
      <x:c r="I294" s="201" t="str"/>
      <x:c r="J294" s="188" t="n">
        <x:f>1</x:f>
        <x:v>1</x:v>
      </x:c>
      <x:c r="K294" s="188" t="n">
        <x:f>IF(AND(D294&lt;=5,F294=0),1,0)</x:f>
        <x:v>1</x:v>
      </x:c>
      <x:c r="L294" s="188" t="n">
        <x:f>IF(F294=1,'01_ВВОД'!$D$23,CHOOSE(D294,'01_ВВОД'!$D$19,'01_ВВОД'!$D$19,'01_ВВОД'!$D$19,'01_ВВОД'!$D$19,'01_ВВОД'!$D$20,'01_ВВОД'!$D$21,'01_ВВОД'!$D$22))</x:f>
        <x:v>32</x:v>
      </x:c>
      <x:c r="M294" s="188" t="n">
        <x:f>L294*IF(H294=1,'01_ВВОД'!$D$118,1)</x:f>
        <x:v>32</x:v>
      </x:c>
      <x:c r="N294" s="188" t="n">
        <x:f>IF(K294=1,'01_ВВОД'!$D$26,0)</x:f>
        <x:v>40</x:v>
      </x:c>
      <x:c r="O294" s="188" t="n">
        <x:f>IF(F294=1,'01_ВВОД'!$D$34,IF(D294&lt;=5,'01_ВВОД'!$D$32,'01_ВВОД'!$D$33))</x:f>
        <x:v>15</x:v>
      </x:c>
      <x:c r="P294" s="188" t="n">
        <x:f>O294</x:f>
        <x:v>15</x:v>
      </x:c>
      <x:c r="Q294" s="188" t="n">
        <x:f>'01_ВВОД'!$D$40</x:f>
        <x:v>12</x:v>
      </x:c>
      <x:c r="R294" s="188" t="n">
        <x:f>'01_ВВОД'!$D$46</x:f>
        <x:v>20</x:v>
      </x:c>
      <x:c r="S294" s="188" t="n">
        <x:f>H294</x:f>
        <x:v>0</x:v>
      </x:c>
      <x:c r="T294" s="188" t="n">
        <x:f>IF(H294=1,M294+N294+P294+Q294,0)</x:f>
        <x:v>0</x:v>
      </x:c>
      <x:c r="U294" t="n">
        <x:f>'01_ВВОД'!$D$120</x:f>
        <x:v>10</x:v>
      </x:c>
      <x:c r="V294" t="n">
        <x:f>ROUNDDOWN(SUM(M294,N294,R294,U294)*'01_ВВОД'!$D$127,0)</x:f>
        <x:v>51</x:v>
      </x:c>
      <x:c r="W294" t="n">
        <x:f>ROUNDDOWN(SUM(L294,N294,R294,U294)*'01_ВВОД'!$D$127,0)</x:f>
        <x:v>51</x:v>
      </x:c>
    </x:row>
    <x:row r="295">
      <x:c r="A295" s="200" t="n">
        <x:v>46556</x:v>
      </x:c>
      <x:c r="B295" s="201" t="n">
        <x:v>10</x:v>
      </x:c>
      <x:c r="C295" s="201" t="inlineStr">
        <x:is>
          <x:t xml:space="preserve">Июн-27</x:t>
        </x:is>
      </x:c>
      <x:c r="D295" s="201" t="n">
        <x:v>5</x:v>
      </x:c>
      <x:c r="E295" s="201" t="inlineStr">
        <x:is>
          <x:t xml:space="preserve">Пт</x:t>
        </x:is>
      </x:c>
      <x:c r="F295" s="199" t="n">
        <x:v>0</x:v>
      </x:c>
      <x:c r="G295" s="201" t="str"/>
      <x:c r="H295" s="193" t="n">
        <x:v>0</x:v>
      </x:c>
      <x:c r="I295" s="201" t="str"/>
      <x:c r="J295" s="188" t="n">
        <x:f>1</x:f>
        <x:v>1</x:v>
      </x:c>
      <x:c r="K295" s="188" t="n">
        <x:f>IF(AND(D295&lt;=5,F295=0),1,0)</x:f>
        <x:v>1</x:v>
      </x:c>
      <x:c r="L295" s="188" t="n">
        <x:f>IF(F295=1,'01_ВВОД'!$D$23,CHOOSE(D295,'01_ВВОД'!$D$19,'01_ВВОД'!$D$19,'01_ВВОД'!$D$19,'01_ВВОД'!$D$19,'01_ВВОД'!$D$20,'01_ВВОД'!$D$21,'01_ВВОД'!$D$22))</x:f>
        <x:v>45</x:v>
      </x:c>
      <x:c r="M295" s="188" t="n">
        <x:f>L295*IF(H295=1,'01_ВВОД'!$D$118,1)</x:f>
        <x:v>45</x:v>
      </x:c>
      <x:c r="N295" s="188" t="n">
        <x:f>IF(K295=1,'01_ВВОД'!$D$26,0)</x:f>
        <x:v>40</x:v>
      </x:c>
      <x:c r="O295" s="188" t="n">
        <x:f>IF(F295=1,'01_ВВОД'!$D$34,IF(D295&lt;=5,'01_ВВОД'!$D$32,'01_ВВОД'!$D$33))</x:f>
        <x:v>15</x:v>
      </x:c>
      <x:c r="P295" s="188" t="n">
        <x:f>O295</x:f>
        <x:v>15</x:v>
      </x:c>
      <x:c r="Q295" s="188" t="n">
        <x:f>'01_ВВОД'!$D$40</x:f>
        <x:v>12</x:v>
      </x:c>
      <x:c r="R295" s="188" t="n">
        <x:f>'01_ВВОД'!$D$46</x:f>
        <x:v>20</x:v>
      </x:c>
      <x:c r="S295" s="188" t="n">
        <x:f>H295</x:f>
        <x:v>0</x:v>
      </x:c>
      <x:c r="T295" s="188" t="n">
        <x:f>IF(H295=1,M295+N295+P295+Q295,0)</x:f>
        <x:v>0</x:v>
      </x:c>
      <x:c r="U295" t="n">
        <x:f>'01_ВВОД'!$D$120</x:f>
        <x:v>10</x:v>
      </x:c>
      <x:c r="V295" t="n">
        <x:f>ROUNDDOWN(SUM(M295,N295,R295,U295)*'01_ВВОД'!$D$127,0)</x:f>
        <x:v>57</x:v>
      </x:c>
      <x:c r="W295" t="n">
        <x:f>ROUNDDOWN(SUM(L295,N295,R295,U295)*'01_ВВОД'!$D$127,0)</x:f>
        <x:v>57</x:v>
      </x:c>
    </x:row>
    <x:row r="296">
      <x:c r="A296" s="200" t="n">
        <x:v>46557</x:v>
      </x:c>
      <x:c r="B296" s="201" t="n">
        <x:v>10</x:v>
      </x:c>
      <x:c r="C296" s="201" t="inlineStr">
        <x:is>
          <x:t xml:space="preserve">Июн-27</x:t>
        </x:is>
      </x:c>
      <x:c r="D296" s="201" t="n">
        <x:v>6</x:v>
      </x:c>
      <x:c r="E296" s="201" t="inlineStr">
        <x:is>
          <x:t xml:space="preserve">Сб</x:t>
        </x:is>
      </x:c>
      <x:c r="F296" s="199" t="n">
        <x:v>0</x:v>
      </x:c>
      <x:c r="G296" s="201" t="str"/>
      <x:c r="H296" s="193" t="n">
        <x:v>1</x:v>
      </x:c>
      <x:c r="I296" s="201" t="inlineStr">
        <x:is>
          <x:t xml:space="preserve">Пт–Вс</x:t>
        </x:is>
      </x:c>
      <x:c r="J296" s="188" t="n">
        <x:f>1</x:f>
        <x:v>1</x:v>
      </x:c>
      <x:c r="K296" s="188" t="n">
        <x:f>IF(AND(D296&lt;=5,F296=0),1,0)</x:f>
        <x:v>0</x:v>
      </x:c>
      <x:c r="L296" s="188" t="n">
        <x:f>IF(F296=1,'01_ВВОД'!$D$23,CHOOSE(D296,'01_ВВОД'!$D$19,'01_ВВОД'!$D$19,'01_ВВОД'!$D$19,'01_ВВОД'!$D$19,'01_ВВОД'!$D$20,'01_ВВОД'!$D$21,'01_ВВОД'!$D$22))</x:f>
        <x:v>80</x:v>
      </x:c>
      <x:c r="M296" s="188" t="n">
        <x:f>L296*IF(H296=1,'01_ВВОД'!$D$118,1)</x:f>
        <x:v>16</x:v>
      </x:c>
      <x:c r="N296" s="188" t="n">
        <x:f>IF(K296=1,'01_ВВОД'!$D$26,0)</x:f>
        <x:v>0</x:v>
      </x:c>
      <x:c r="O296" s="188" t="n">
        <x:f>IF(F296=1,'01_ВВОД'!$D$34,IF(D296&lt;=5,'01_ВВОД'!$D$32,'01_ВВОД'!$D$33))</x:f>
        <x:v>30</x:v>
      </x:c>
      <x:c r="P296" s="188" t="n">
        <x:f>O296</x:f>
        <x:v>30</x:v>
      </x:c>
      <x:c r="Q296" s="188" t="n">
        <x:f>'01_ВВОД'!$D$40</x:f>
        <x:v>12</x:v>
      </x:c>
      <x:c r="R296" s="188" t="n">
        <x:f>'01_ВВОД'!$D$46</x:f>
        <x:v>20</x:v>
      </x:c>
      <x:c r="S296" s="188" t="n">
        <x:f>H296</x:f>
        <x:v>1</x:v>
      </x:c>
      <x:c r="T296" s="188" t="n">
        <x:f>IF(H296=1,M296+N296+P296+Q296,0)</x:f>
        <x:v>58</x:v>
      </x:c>
      <x:c r="U296" t="n">
        <x:f>'01_ВВОД'!$D$120</x:f>
        <x:v>10</x:v>
      </x:c>
      <x:c r="V296" t="n">
        <x:f>ROUNDDOWN(SUM(M296,N296,R296,U296)*'01_ВВОД'!$D$127,0)</x:f>
        <x:v>23</x:v>
      </x:c>
      <x:c r="W296" t="n">
        <x:f>ROUNDDOWN(SUM(L296,N296,R296,U296)*'01_ВВОД'!$D$127,0)</x:f>
        <x:v>55</x:v>
      </x:c>
    </x:row>
    <x:row r="297">
      <x:c r="A297" s="200" t="n">
        <x:v>46558</x:v>
      </x:c>
      <x:c r="B297" s="201" t="n">
        <x:v>10</x:v>
      </x:c>
      <x:c r="C297" s="201" t="inlineStr">
        <x:is>
          <x:t xml:space="preserve">Июн-27</x:t>
        </x:is>
      </x:c>
      <x:c r="D297" s="201" t="n">
        <x:v>7</x:v>
      </x:c>
      <x:c r="E297" s="201" t="inlineStr">
        <x:is>
          <x:t xml:space="preserve">Вс</x:t>
        </x:is>
      </x:c>
      <x:c r="F297" s="199" t="n">
        <x:v>0</x:v>
      </x:c>
      <x:c r="G297" s="201" t="str"/>
      <x:c r="H297" s="193" t="n">
        <x:v>1</x:v>
      </x:c>
      <x:c r="I297" s="201" t="inlineStr">
        <x:is>
          <x:t xml:space="preserve">Пт–Вс</x:t>
        </x:is>
      </x:c>
      <x:c r="J297" s="188" t="n">
        <x:f>1</x:f>
        <x:v>1</x:v>
      </x:c>
      <x:c r="K297" s="188" t="n">
        <x:f>IF(AND(D297&lt;=5,F297=0),1,0)</x:f>
        <x:v>0</x:v>
      </x:c>
      <x:c r="L297" s="188" t="n">
        <x:f>IF(F297=1,'01_ВВОД'!$D$23,CHOOSE(D297,'01_ВВОД'!$D$19,'01_ВВОД'!$D$19,'01_ВВОД'!$D$19,'01_ВВОД'!$D$19,'01_ВВОД'!$D$20,'01_ВВОД'!$D$21,'01_ВВОД'!$D$22))</x:f>
        <x:v>70</x:v>
      </x:c>
      <x:c r="M297" s="188" t="n">
        <x:f>L297*IF(H297=1,'01_ВВОД'!$D$118,1)</x:f>
        <x:v>14</x:v>
      </x:c>
      <x:c r="N297" s="188" t="n">
        <x:f>IF(K297=1,'01_ВВОД'!$D$26,0)</x:f>
        <x:v>0</x:v>
      </x:c>
      <x:c r="O297" s="188" t="n">
        <x:f>IF(F297=1,'01_ВВОД'!$D$34,IF(D297&lt;=5,'01_ВВОД'!$D$32,'01_ВВОД'!$D$33))</x:f>
        <x:v>30</x:v>
      </x:c>
      <x:c r="P297" s="188" t="n">
        <x:f>O297</x:f>
        <x:v>30</x:v>
      </x:c>
      <x:c r="Q297" s="188" t="n">
        <x:f>'01_ВВОД'!$D$40</x:f>
        <x:v>12</x:v>
      </x:c>
      <x:c r="R297" s="188" t="n">
        <x:f>'01_ВВОД'!$D$46</x:f>
        <x:v>20</x:v>
      </x:c>
      <x:c r="S297" s="188" t="n">
        <x:f>H297</x:f>
        <x:v>1</x:v>
      </x:c>
      <x:c r="T297" s="188" t="n">
        <x:f>IF(H297=1,M297+N297+P297+Q297,0)</x:f>
        <x:v>56</x:v>
      </x:c>
      <x:c r="U297" t="n">
        <x:f>'01_ВВОД'!$D$120</x:f>
        <x:v>10</x:v>
      </x:c>
      <x:c r="V297" t="n">
        <x:f>ROUNDDOWN(SUM(M297,N297,R297,U297)*'01_ВВОД'!$D$127,0)</x:f>
        <x:v>22</x:v>
      </x:c>
      <x:c r="W297" t="n">
        <x:f>ROUNDDOWN(SUM(L297,N297,R297,U297)*'01_ВВОД'!$D$127,0)</x:f>
        <x:v>50</x:v>
      </x:c>
    </x:row>
    <x:row r="298">
      <x:c r="A298" s="200" t="n">
        <x:v>46559</x:v>
      </x:c>
      <x:c r="B298" s="201" t="n">
        <x:v>10</x:v>
      </x:c>
      <x:c r="C298" s="201" t="inlineStr">
        <x:is>
          <x:t xml:space="preserve">Июн-27</x:t>
        </x:is>
      </x:c>
      <x:c r="D298" s="201" t="n">
        <x:v>1</x:v>
      </x:c>
      <x:c r="E298" s="201" t="inlineStr">
        <x:is>
          <x:t xml:space="preserve">Пн</x:t>
        </x:is>
      </x:c>
      <x:c r="F298" s="199" t="n">
        <x:v>0</x:v>
      </x:c>
      <x:c r="G298" s="201" t="str"/>
      <x:c r="H298" s="193" t="n">
        <x:v>0</x:v>
      </x:c>
      <x:c r="I298" s="201" t="str"/>
      <x:c r="J298" s="188" t="n">
        <x:f>1</x:f>
        <x:v>1</x:v>
      </x:c>
      <x:c r="K298" s="188" t="n">
        <x:f>IF(AND(D298&lt;=5,F298=0),1,0)</x:f>
        <x:v>1</x:v>
      </x:c>
      <x:c r="L298" s="188" t="n">
        <x:f>IF(F298=1,'01_ВВОД'!$D$23,CHOOSE(D298,'01_ВВОД'!$D$19,'01_ВВОД'!$D$19,'01_ВВОД'!$D$19,'01_ВВОД'!$D$19,'01_ВВОД'!$D$20,'01_ВВОД'!$D$21,'01_ВВОД'!$D$22))</x:f>
        <x:v>32</x:v>
      </x:c>
      <x:c r="M298" s="188" t="n">
        <x:f>L298*IF(H298=1,'01_ВВОД'!$D$118,1)</x:f>
        <x:v>32</x:v>
      </x:c>
      <x:c r="N298" s="188" t="n">
        <x:f>IF(K298=1,'01_ВВОД'!$D$26,0)</x:f>
        <x:v>40</x:v>
      </x:c>
      <x:c r="O298" s="188" t="n">
        <x:f>IF(F298=1,'01_ВВОД'!$D$34,IF(D298&lt;=5,'01_ВВОД'!$D$32,'01_ВВОД'!$D$33))</x:f>
        <x:v>15</x:v>
      </x:c>
      <x:c r="P298" s="188" t="n">
        <x:f>O298</x:f>
        <x:v>15</x:v>
      </x:c>
      <x:c r="Q298" s="188" t="n">
        <x:f>'01_ВВОД'!$D$40</x:f>
        <x:v>12</x:v>
      </x:c>
      <x:c r="R298" s="188" t="n">
        <x:f>'01_ВВОД'!$D$46</x:f>
        <x:v>20</x:v>
      </x:c>
      <x:c r="S298" s="188" t="n">
        <x:f>H298</x:f>
        <x:v>0</x:v>
      </x:c>
      <x:c r="T298" s="188" t="n">
        <x:f>IF(H298=1,M298+N298+P298+Q298,0)</x:f>
        <x:v>0</x:v>
      </x:c>
      <x:c r="U298" t="n">
        <x:f>'01_ВВОД'!$D$120</x:f>
        <x:v>10</x:v>
      </x:c>
      <x:c r="V298" t="n">
        <x:f>ROUNDDOWN(SUM(M298,N298,R298,U298)*'01_ВВОД'!$D$127,0)</x:f>
        <x:v>51</x:v>
      </x:c>
      <x:c r="W298" t="n">
        <x:f>ROUNDDOWN(SUM(L298,N298,R298,U298)*'01_ВВОД'!$D$127,0)</x:f>
        <x:v>51</x:v>
      </x:c>
    </x:row>
    <x:row r="299">
      <x:c r="A299" s="200" t="n">
        <x:v>46560</x:v>
      </x:c>
      <x:c r="B299" s="201" t="n">
        <x:v>10</x:v>
      </x:c>
      <x:c r="C299" s="201" t="inlineStr">
        <x:is>
          <x:t xml:space="preserve">Июн-27</x:t>
        </x:is>
      </x:c>
      <x:c r="D299" s="201" t="n">
        <x:v>2</x:v>
      </x:c>
      <x:c r="E299" s="201" t="inlineStr">
        <x:is>
          <x:t xml:space="preserve">Вт</x:t>
        </x:is>
      </x:c>
      <x:c r="F299" s="199" t="n">
        <x:v>0</x:v>
      </x:c>
      <x:c r="G299" s="201" t="str"/>
      <x:c r="H299" s="193" t="n">
        <x:v>0</x:v>
      </x:c>
      <x:c r="I299" s="201" t="str"/>
      <x:c r="J299" s="188" t="n">
        <x:f>1</x:f>
        <x:v>1</x:v>
      </x:c>
      <x:c r="K299" s="188" t="n">
        <x:f>IF(AND(D299&lt;=5,F299=0),1,0)</x:f>
        <x:v>1</x:v>
      </x:c>
      <x:c r="L299" s="188" t="n">
        <x:f>IF(F299=1,'01_ВВОД'!$D$23,CHOOSE(D299,'01_ВВОД'!$D$19,'01_ВВОД'!$D$19,'01_ВВОД'!$D$19,'01_ВВОД'!$D$19,'01_ВВОД'!$D$20,'01_ВВОД'!$D$21,'01_ВВОД'!$D$22))</x:f>
        <x:v>32</x:v>
      </x:c>
      <x:c r="M299" s="188" t="n">
        <x:f>L299*IF(H299=1,'01_ВВОД'!$D$118,1)</x:f>
        <x:v>32</x:v>
      </x:c>
      <x:c r="N299" s="188" t="n">
        <x:f>IF(K299=1,'01_ВВОД'!$D$26,0)</x:f>
        <x:v>40</x:v>
      </x:c>
      <x:c r="O299" s="188" t="n">
        <x:f>IF(F299=1,'01_ВВОД'!$D$34,IF(D299&lt;=5,'01_ВВОД'!$D$32,'01_ВВОД'!$D$33))</x:f>
        <x:v>15</x:v>
      </x:c>
      <x:c r="P299" s="188" t="n">
        <x:f>O299</x:f>
        <x:v>15</x:v>
      </x:c>
      <x:c r="Q299" s="188" t="n">
        <x:f>'01_ВВОД'!$D$40</x:f>
        <x:v>12</x:v>
      </x:c>
      <x:c r="R299" s="188" t="n">
        <x:f>'01_ВВОД'!$D$46</x:f>
        <x:v>20</x:v>
      </x:c>
      <x:c r="S299" s="188" t="n">
        <x:f>H299</x:f>
        <x:v>0</x:v>
      </x:c>
      <x:c r="T299" s="188" t="n">
        <x:f>IF(H299=1,M299+N299+P299+Q299,0)</x:f>
        <x:v>0</x:v>
      </x:c>
      <x:c r="U299" t="n">
        <x:f>'01_ВВОД'!$D$120</x:f>
        <x:v>10</x:v>
      </x:c>
      <x:c r="V299" t="n">
        <x:f>ROUNDDOWN(SUM(M299,N299,R299,U299)*'01_ВВОД'!$D$127,0)</x:f>
        <x:v>51</x:v>
      </x:c>
      <x:c r="W299" t="n">
        <x:f>ROUNDDOWN(SUM(L299,N299,R299,U299)*'01_ВВОД'!$D$127,0)</x:f>
        <x:v>51</x:v>
      </x:c>
    </x:row>
    <x:row r="300">
      <x:c r="A300" s="200" t="n">
        <x:v>46561</x:v>
      </x:c>
      <x:c r="B300" s="201" t="n">
        <x:v>10</x:v>
      </x:c>
      <x:c r="C300" s="201" t="inlineStr">
        <x:is>
          <x:t xml:space="preserve">Июн-27</x:t>
        </x:is>
      </x:c>
      <x:c r="D300" s="201" t="n">
        <x:v>3</x:v>
      </x:c>
      <x:c r="E300" s="201" t="inlineStr">
        <x:is>
          <x:t xml:space="preserve">Ср</x:t>
        </x:is>
      </x:c>
      <x:c r="F300" s="199" t="n">
        <x:v>0</x:v>
      </x:c>
      <x:c r="G300" s="201" t="str"/>
      <x:c r="H300" s="193" t="n">
        <x:v>0</x:v>
      </x:c>
      <x:c r="I300" s="201" t="str"/>
      <x:c r="J300" s="188" t="n">
        <x:f>1</x:f>
        <x:v>1</x:v>
      </x:c>
      <x:c r="K300" s="188" t="n">
        <x:f>IF(AND(D300&lt;=5,F300=0),1,0)</x:f>
        <x:v>1</x:v>
      </x:c>
      <x:c r="L300" s="188" t="n">
        <x:f>IF(F300=1,'01_ВВОД'!$D$23,CHOOSE(D300,'01_ВВОД'!$D$19,'01_ВВОД'!$D$19,'01_ВВОД'!$D$19,'01_ВВОД'!$D$19,'01_ВВОД'!$D$20,'01_ВВОД'!$D$21,'01_ВВОД'!$D$22))</x:f>
        <x:v>32</x:v>
      </x:c>
      <x:c r="M300" s="188" t="n">
        <x:f>L300*IF(H300=1,'01_ВВОД'!$D$118,1)</x:f>
        <x:v>32</x:v>
      </x:c>
      <x:c r="N300" s="188" t="n">
        <x:f>IF(K300=1,'01_ВВОД'!$D$26,0)</x:f>
        <x:v>40</x:v>
      </x:c>
      <x:c r="O300" s="188" t="n">
        <x:f>IF(F300=1,'01_ВВОД'!$D$34,IF(D300&lt;=5,'01_ВВОД'!$D$32,'01_ВВОД'!$D$33))</x:f>
        <x:v>15</x:v>
      </x:c>
      <x:c r="P300" s="188" t="n">
        <x:f>O300</x:f>
        <x:v>15</x:v>
      </x:c>
      <x:c r="Q300" s="188" t="n">
        <x:f>'01_ВВОД'!$D$40</x:f>
        <x:v>12</x:v>
      </x:c>
      <x:c r="R300" s="188" t="n">
        <x:f>'01_ВВОД'!$D$46</x:f>
        <x:v>20</x:v>
      </x:c>
      <x:c r="S300" s="188" t="n">
        <x:f>H300</x:f>
        <x:v>0</x:v>
      </x:c>
      <x:c r="T300" s="188" t="n">
        <x:f>IF(H300=1,M300+N300+P300+Q300,0)</x:f>
        <x:v>0</x:v>
      </x:c>
      <x:c r="U300" t="n">
        <x:f>'01_ВВОД'!$D$120</x:f>
        <x:v>10</x:v>
      </x:c>
      <x:c r="V300" t="n">
        <x:f>ROUNDDOWN(SUM(M300,N300,R300,U300)*'01_ВВОД'!$D$127,0)</x:f>
        <x:v>51</x:v>
      </x:c>
      <x:c r="W300" t="n">
        <x:f>ROUNDDOWN(SUM(L300,N300,R300,U300)*'01_ВВОД'!$D$127,0)</x:f>
        <x:v>51</x:v>
      </x:c>
    </x:row>
    <x:row r="301">
      <x:c r="A301" s="200" t="n">
        <x:v>46562</x:v>
      </x:c>
      <x:c r="B301" s="201" t="n">
        <x:v>10</x:v>
      </x:c>
      <x:c r="C301" s="201" t="inlineStr">
        <x:is>
          <x:t xml:space="preserve">Июн-27</x:t>
        </x:is>
      </x:c>
      <x:c r="D301" s="201" t="n">
        <x:v>4</x:v>
      </x:c>
      <x:c r="E301" s="201" t="inlineStr">
        <x:is>
          <x:t xml:space="preserve">Чт</x:t>
        </x:is>
      </x:c>
      <x:c r="F301" s="199" t="n">
        <x:v>0</x:v>
      </x:c>
      <x:c r="G301" s="201" t="str"/>
      <x:c r="H301" s="193" t="n">
        <x:v>0</x:v>
      </x:c>
      <x:c r="I301" s="201" t="str"/>
      <x:c r="J301" s="188" t="n">
        <x:f>1</x:f>
        <x:v>1</x:v>
      </x:c>
      <x:c r="K301" s="188" t="n">
        <x:f>IF(AND(D301&lt;=5,F301=0),1,0)</x:f>
        <x:v>1</x:v>
      </x:c>
      <x:c r="L301" s="188" t="n">
        <x:f>IF(F301=1,'01_ВВОД'!$D$23,CHOOSE(D301,'01_ВВОД'!$D$19,'01_ВВОД'!$D$19,'01_ВВОД'!$D$19,'01_ВВОД'!$D$19,'01_ВВОД'!$D$20,'01_ВВОД'!$D$21,'01_ВВОД'!$D$22))</x:f>
        <x:v>32</x:v>
      </x:c>
      <x:c r="M301" s="188" t="n">
        <x:f>L301*IF(H301=1,'01_ВВОД'!$D$118,1)</x:f>
        <x:v>32</x:v>
      </x:c>
      <x:c r="N301" s="188" t="n">
        <x:f>IF(K301=1,'01_ВВОД'!$D$26,0)</x:f>
        <x:v>40</x:v>
      </x:c>
      <x:c r="O301" s="188" t="n">
        <x:f>IF(F301=1,'01_ВВОД'!$D$34,IF(D301&lt;=5,'01_ВВОД'!$D$32,'01_ВВОД'!$D$33))</x:f>
        <x:v>15</x:v>
      </x:c>
      <x:c r="P301" s="188" t="n">
        <x:f>O301</x:f>
        <x:v>15</x:v>
      </x:c>
      <x:c r="Q301" s="188" t="n">
        <x:f>'01_ВВОД'!$D$40</x:f>
        <x:v>12</x:v>
      </x:c>
      <x:c r="R301" s="188" t="n">
        <x:f>'01_ВВОД'!$D$46</x:f>
        <x:v>20</x:v>
      </x:c>
      <x:c r="S301" s="188" t="n">
        <x:f>H301</x:f>
        <x:v>0</x:v>
      </x:c>
      <x:c r="T301" s="188" t="n">
        <x:f>IF(H301=1,M301+N301+P301+Q301,0)</x:f>
        <x:v>0</x:v>
      </x:c>
      <x:c r="U301" t="n">
        <x:f>'01_ВВОД'!$D$120</x:f>
        <x:v>10</x:v>
      </x:c>
      <x:c r="V301" t="n">
        <x:f>ROUNDDOWN(SUM(M301,N301,R301,U301)*'01_ВВОД'!$D$127,0)</x:f>
        <x:v>51</x:v>
      </x:c>
      <x:c r="W301" t="n">
        <x:f>ROUNDDOWN(SUM(L301,N301,R301,U301)*'01_ВВОД'!$D$127,0)</x:f>
        <x:v>51</x:v>
      </x:c>
    </x:row>
    <x:row r="302">
      <x:c r="A302" s="200" t="n">
        <x:v>46563</x:v>
      </x:c>
      <x:c r="B302" s="201" t="n">
        <x:v>10</x:v>
      </x:c>
      <x:c r="C302" s="201" t="inlineStr">
        <x:is>
          <x:t xml:space="preserve">Июн-27</x:t>
        </x:is>
      </x:c>
      <x:c r="D302" s="201" t="n">
        <x:v>5</x:v>
      </x:c>
      <x:c r="E302" s="201" t="inlineStr">
        <x:is>
          <x:t xml:space="preserve">Пт</x:t>
        </x:is>
      </x:c>
      <x:c r="F302" s="199" t="n">
        <x:v>0</x:v>
      </x:c>
      <x:c r="G302" s="201" t="str"/>
      <x:c r="H302" s="193" t="n">
        <x:v>0</x:v>
      </x:c>
      <x:c r="I302" s="201" t="str"/>
      <x:c r="J302" s="188" t="n">
        <x:f>1</x:f>
        <x:v>1</x:v>
      </x:c>
      <x:c r="K302" s="188" t="n">
        <x:f>IF(AND(D302&lt;=5,F302=0),1,0)</x:f>
        <x:v>1</x:v>
      </x:c>
      <x:c r="L302" s="188" t="n">
        <x:f>IF(F302=1,'01_ВВОД'!$D$23,CHOOSE(D302,'01_ВВОД'!$D$19,'01_ВВОД'!$D$19,'01_ВВОД'!$D$19,'01_ВВОД'!$D$19,'01_ВВОД'!$D$20,'01_ВВОД'!$D$21,'01_ВВОД'!$D$22))</x:f>
        <x:v>45</x:v>
      </x:c>
      <x:c r="M302" s="188" t="n">
        <x:f>L302*IF(H302=1,'01_ВВОД'!$D$118,1)</x:f>
        <x:v>45</x:v>
      </x:c>
      <x:c r="N302" s="188" t="n">
        <x:f>IF(K302=1,'01_ВВОД'!$D$26,0)</x:f>
        <x:v>40</x:v>
      </x:c>
      <x:c r="O302" s="188" t="n">
        <x:f>IF(F302=1,'01_ВВОД'!$D$34,IF(D302&lt;=5,'01_ВВОД'!$D$32,'01_ВВОД'!$D$33))</x:f>
        <x:v>15</x:v>
      </x:c>
      <x:c r="P302" s="188" t="n">
        <x:f>O302</x:f>
        <x:v>15</x:v>
      </x:c>
      <x:c r="Q302" s="188" t="n">
        <x:f>'01_ВВОД'!$D$40</x:f>
        <x:v>12</x:v>
      </x:c>
      <x:c r="R302" s="188" t="n">
        <x:f>'01_ВВОД'!$D$46</x:f>
        <x:v>20</x:v>
      </x:c>
      <x:c r="S302" s="188" t="n">
        <x:f>H302</x:f>
        <x:v>0</x:v>
      </x:c>
      <x:c r="T302" s="188" t="n">
        <x:f>IF(H302=1,M302+N302+P302+Q302,0)</x:f>
        <x:v>0</x:v>
      </x:c>
      <x:c r="U302" t="n">
        <x:f>'01_ВВОД'!$D$120</x:f>
        <x:v>10</x:v>
      </x:c>
      <x:c r="V302" t="n">
        <x:f>ROUNDDOWN(SUM(M302,N302,R302,U302)*'01_ВВОД'!$D$127,0)</x:f>
        <x:v>57</x:v>
      </x:c>
      <x:c r="W302" t="n">
        <x:f>ROUNDDOWN(SUM(L302,N302,R302,U302)*'01_ВВОД'!$D$127,0)</x:f>
        <x:v>57</x:v>
      </x:c>
    </x:row>
    <x:row r="303">
      <x:c r="A303" s="200" t="n">
        <x:v>46564</x:v>
      </x:c>
      <x:c r="B303" s="201" t="n">
        <x:v>10</x:v>
      </x:c>
      <x:c r="C303" s="201" t="inlineStr">
        <x:is>
          <x:t xml:space="preserve">Июн-27</x:t>
        </x:is>
      </x:c>
      <x:c r="D303" s="201" t="n">
        <x:v>6</x:v>
      </x:c>
      <x:c r="E303" s="201" t="inlineStr">
        <x:is>
          <x:t xml:space="preserve">Сб</x:t>
        </x:is>
      </x:c>
      <x:c r="F303" s="199" t="n">
        <x:v>0</x:v>
      </x:c>
      <x:c r="G303" s="201" t="str"/>
      <x:c r="H303" s="193" t="n">
        <x:v>0</x:v>
      </x:c>
      <x:c r="I303" s="201" t="str"/>
      <x:c r="J303" s="188" t="n">
        <x:f>1</x:f>
        <x:v>1</x:v>
      </x:c>
      <x:c r="K303" s="188" t="n">
        <x:f>IF(AND(D303&lt;=5,F303=0),1,0)</x:f>
        <x:v>0</x:v>
      </x:c>
      <x:c r="L303" s="188" t="n">
        <x:f>IF(F303=1,'01_ВВОД'!$D$23,CHOOSE(D303,'01_ВВОД'!$D$19,'01_ВВОД'!$D$19,'01_ВВОД'!$D$19,'01_ВВОД'!$D$19,'01_ВВОД'!$D$20,'01_ВВОД'!$D$21,'01_ВВОД'!$D$22))</x:f>
        <x:v>80</x:v>
      </x:c>
      <x:c r="M303" s="188" t="n">
        <x:f>L303*IF(H303=1,'01_ВВОД'!$D$118,1)</x:f>
        <x:v>80</x:v>
      </x:c>
      <x:c r="N303" s="188" t="n">
        <x:f>IF(K303=1,'01_ВВОД'!$D$26,0)</x:f>
        <x:v>0</x:v>
      </x:c>
      <x:c r="O303" s="188" t="n">
        <x:f>IF(F303=1,'01_ВВОД'!$D$34,IF(D303&lt;=5,'01_ВВОД'!$D$32,'01_ВВОД'!$D$33))</x:f>
        <x:v>30</x:v>
      </x:c>
      <x:c r="P303" s="188" t="n">
        <x:f>O303</x:f>
        <x:v>30</x:v>
      </x:c>
      <x:c r="Q303" s="188" t="n">
        <x:f>'01_ВВОД'!$D$40</x:f>
        <x:v>12</x:v>
      </x:c>
      <x:c r="R303" s="188" t="n">
        <x:f>'01_ВВОД'!$D$46</x:f>
        <x:v>20</x:v>
      </x:c>
      <x:c r="S303" s="188" t="n">
        <x:f>H303</x:f>
        <x:v>0</x:v>
      </x:c>
      <x:c r="T303" s="188" t="n">
        <x:f>IF(H303=1,M303+N303+P303+Q303,0)</x:f>
        <x:v>0</x:v>
      </x:c>
      <x:c r="U303" t="n">
        <x:f>'01_ВВОД'!$D$120</x:f>
        <x:v>10</x:v>
      </x:c>
      <x:c r="V303" t="n">
        <x:f>ROUNDDOWN(SUM(M303,N303,R303,U303)*'01_ВВОД'!$D$127,0)</x:f>
        <x:v>55</x:v>
      </x:c>
      <x:c r="W303" t="n">
        <x:f>ROUNDDOWN(SUM(L303,N303,R303,U303)*'01_ВВОД'!$D$127,0)</x:f>
        <x:v>55</x:v>
      </x:c>
    </x:row>
    <x:row r="304">
      <x:c r="A304" s="200" t="n">
        <x:v>46565</x:v>
      </x:c>
      <x:c r="B304" s="201" t="n">
        <x:v>10</x:v>
      </x:c>
      <x:c r="C304" s="201" t="inlineStr">
        <x:is>
          <x:t xml:space="preserve">Июн-27</x:t>
        </x:is>
      </x:c>
      <x:c r="D304" s="201" t="n">
        <x:v>7</x:v>
      </x:c>
      <x:c r="E304" s="201" t="inlineStr">
        <x:is>
          <x:t xml:space="preserve">Вс</x:t>
        </x:is>
      </x:c>
      <x:c r="F304" s="199" t="n">
        <x:v>0</x:v>
      </x:c>
      <x:c r="G304" s="201" t="str"/>
      <x:c r="H304" s="193" t="n">
        <x:v>0</x:v>
      </x:c>
      <x:c r="I304" s="201" t="str"/>
      <x:c r="J304" s="188" t="n">
        <x:f>1</x:f>
        <x:v>1</x:v>
      </x:c>
      <x:c r="K304" s="188" t="n">
        <x:f>IF(AND(D304&lt;=5,F304=0),1,0)</x:f>
        <x:v>0</x:v>
      </x:c>
      <x:c r="L304" s="188" t="n">
        <x:f>IF(F304=1,'01_ВВОД'!$D$23,CHOOSE(D304,'01_ВВОД'!$D$19,'01_ВВОД'!$D$19,'01_ВВОД'!$D$19,'01_ВВОД'!$D$19,'01_ВВОД'!$D$20,'01_ВВОД'!$D$21,'01_ВВОД'!$D$22))</x:f>
        <x:v>70</x:v>
      </x:c>
      <x:c r="M304" s="188" t="n">
        <x:f>L304*IF(H304=1,'01_ВВОД'!$D$118,1)</x:f>
        <x:v>70</x:v>
      </x:c>
      <x:c r="N304" s="188" t="n">
        <x:f>IF(K304=1,'01_ВВОД'!$D$26,0)</x:f>
        <x:v>0</x:v>
      </x:c>
      <x:c r="O304" s="188" t="n">
        <x:f>IF(F304=1,'01_ВВОД'!$D$34,IF(D304&lt;=5,'01_ВВОД'!$D$32,'01_ВВОД'!$D$33))</x:f>
        <x:v>30</x:v>
      </x:c>
      <x:c r="P304" s="188" t="n">
        <x:f>O304</x:f>
        <x:v>30</x:v>
      </x:c>
      <x:c r="Q304" s="188" t="n">
        <x:f>'01_ВВОД'!$D$40</x:f>
        <x:v>12</x:v>
      </x:c>
      <x:c r="R304" s="188" t="n">
        <x:f>'01_ВВОД'!$D$46</x:f>
        <x:v>20</x:v>
      </x:c>
      <x:c r="S304" s="188" t="n">
        <x:f>H304</x:f>
        <x:v>0</x:v>
      </x:c>
      <x:c r="T304" s="188" t="n">
        <x:f>IF(H304=1,M304+N304+P304+Q304,0)</x:f>
        <x:v>0</x:v>
      </x:c>
      <x:c r="U304" t="n">
        <x:f>'01_ВВОД'!$D$120</x:f>
        <x:v>10</x:v>
      </x:c>
      <x:c r="V304" t="n">
        <x:f>ROUNDDOWN(SUM(M304,N304,R304,U304)*'01_ВВОД'!$D$127,0)</x:f>
        <x:v>50</x:v>
      </x:c>
      <x:c r="W304" t="n">
        <x:f>ROUNDDOWN(SUM(L304,N304,R304,U304)*'01_ВВОД'!$D$127,0)</x:f>
        <x:v>50</x:v>
      </x:c>
    </x:row>
    <x:row r="305">
      <x:c r="A305" s="200" t="n">
        <x:v>46566</x:v>
      </x:c>
      <x:c r="B305" s="201" t="n">
        <x:v>10</x:v>
      </x:c>
      <x:c r="C305" s="201" t="inlineStr">
        <x:is>
          <x:t xml:space="preserve">Июн-27</x:t>
        </x:is>
      </x:c>
      <x:c r="D305" s="201" t="n">
        <x:v>1</x:v>
      </x:c>
      <x:c r="E305" s="201" t="inlineStr">
        <x:is>
          <x:t xml:space="preserve">Пн</x:t>
        </x:is>
      </x:c>
      <x:c r="F305" s="199" t="n">
        <x:v>0</x:v>
      </x:c>
      <x:c r="G305" s="201" t="str"/>
      <x:c r="H305" s="193" t="n">
        <x:v>0</x:v>
      </x:c>
      <x:c r="I305" s="201" t="str"/>
      <x:c r="J305" s="188" t="n">
        <x:f>1</x:f>
        <x:v>1</x:v>
      </x:c>
      <x:c r="K305" s="188" t="n">
        <x:f>IF(AND(D305&lt;=5,F305=0),1,0)</x:f>
        <x:v>1</x:v>
      </x:c>
      <x:c r="L305" s="188" t="n">
        <x:f>IF(F305=1,'01_ВВОД'!$D$23,CHOOSE(D305,'01_ВВОД'!$D$19,'01_ВВОД'!$D$19,'01_ВВОД'!$D$19,'01_ВВОД'!$D$19,'01_ВВОД'!$D$20,'01_ВВОД'!$D$21,'01_ВВОД'!$D$22))</x:f>
        <x:v>32</x:v>
      </x:c>
      <x:c r="M305" s="188" t="n">
        <x:f>L305*IF(H305=1,'01_ВВОД'!$D$118,1)</x:f>
        <x:v>32</x:v>
      </x:c>
      <x:c r="N305" s="188" t="n">
        <x:f>IF(K305=1,'01_ВВОД'!$D$26,0)</x:f>
        <x:v>40</x:v>
      </x:c>
      <x:c r="O305" s="188" t="n">
        <x:f>IF(F305=1,'01_ВВОД'!$D$34,IF(D305&lt;=5,'01_ВВОД'!$D$32,'01_ВВОД'!$D$33))</x:f>
        <x:v>15</x:v>
      </x:c>
      <x:c r="P305" s="188" t="n">
        <x:f>O305</x:f>
        <x:v>15</x:v>
      </x:c>
      <x:c r="Q305" s="188" t="n">
        <x:f>'01_ВВОД'!$D$40</x:f>
        <x:v>12</x:v>
      </x:c>
      <x:c r="R305" s="188" t="n">
        <x:f>'01_ВВОД'!$D$46</x:f>
        <x:v>20</x:v>
      </x:c>
      <x:c r="S305" s="188" t="n">
        <x:f>H305</x:f>
        <x:v>0</x:v>
      </x:c>
      <x:c r="T305" s="188" t="n">
        <x:f>IF(H305=1,M305+N305+P305+Q305,0)</x:f>
        <x:v>0</x:v>
      </x:c>
      <x:c r="U305" t="n">
        <x:f>'01_ВВОД'!$D$120</x:f>
        <x:v>10</x:v>
      </x:c>
      <x:c r="V305" t="n">
        <x:f>ROUNDDOWN(SUM(M305,N305,R305,U305)*'01_ВВОД'!$D$127,0)</x:f>
        <x:v>51</x:v>
      </x:c>
      <x:c r="W305" t="n">
        <x:f>ROUNDDOWN(SUM(L305,N305,R305,U305)*'01_ВВОД'!$D$127,0)</x:f>
        <x:v>51</x:v>
      </x:c>
    </x:row>
    <x:row r="306">
      <x:c r="A306" s="200" t="n">
        <x:v>46567</x:v>
      </x:c>
      <x:c r="B306" s="201" t="n">
        <x:v>10</x:v>
      </x:c>
      <x:c r="C306" s="201" t="inlineStr">
        <x:is>
          <x:t xml:space="preserve">Июн-27</x:t>
        </x:is>
      </x:c>
      <x:c r="D306" s="201" t="n">
        <x:v>2</x:v>
      </x:c>
      <x:c r="E306" s="201" t="inlineStr">
        <x:is>
          <x:t xml:space="preserve">Вт</x:t>
        </x:is>
      </x:c>
      <x:c r="F306" s="199" t="n">
        <x:v>0</x:v>
      </x:c>
      <x:c r="G306" s="201" t="str"/>
      <x:c r="H306" s="193" t="n">
        <x:v>0</x:v>
      </x:c>
      <x:c r="I306" s="201" t="str"/>
      <x:c r="J306" s="188" t="n">
        <x:f>1</x:f>
        <x:v>1</x:v>
      </x:c>
      <x:c r="K306" s="188" t="n">
        <x:f>IF(AND(D306&lt;=5,F306=0),1,0)</x:f>
        <x:v>1</x:v>
      </x:c>
      <x:c r="L306" s="188" t="n">
        <x:f>IF(F306=1,'01_ВВОД'!$D$23,CHOOSE(D306,'01_ВВОД'!$D$19,'01_ВВОД'!$D$19,'01_ВВОД'!$D$19,'01_ВВОД'!$D$19,'01_ВВОД'!$D$20,'01_ВВОД'!$D$21,'01_ВВОД'!$D$22))</x:f>
        <x:v>32</x:v>
      </x:c>
      <x:c r="M306" s="188" t="n">
        <x:f>L306*IF(H306=1,'01_ВВОД'!$D$118,1)</x:f>
        <x:v>32</x:v>
      </x:c>
      <x:c r="N306" s="188" t="n">
        <x:f>IF(K306=1,'01_ВВОД'!$D$26,0)</x:f>
        <x:v>40</x:v>
      </x:c>
      <x:c r="O306" s="188" t="n">
        <x:f>IF(F306=1,'01_ВВОД'!$D$34,IF(D306&lt;=5,'01_ВВОД'!$D$32,'01_ВВОД'!$D$33))</x:f>
        <x:v>15</x:v>
      </x:c>
      <x:c r="P306" s="188" t="n">
        <x:f>O306</x:f>
        <x:v>15</x:v>
      </x:c>
      <x:c r="Q306" s="188" t="n">
        <x:f>'01_ВВОД'!$D$40</x:f>
        <x:v>12</x:v>
      </x:c>
      <x:c r="R306" s="188" t="n">
        <x:f>'01_ВВОД'!$D$46</x:f>
        <x:v>20</x:v>
      </x:c>
      <x:c r="S306" s="188" t="n">
        <x:f>H306</x:f>
        <x:v>0</x:v>
      </x:c>
      <x:c r="T306" s="188" t="n">
        <x:f>IF(H306=1,M306+N306+P306+Q306,0)</x:f>
        <x:v>0</x:v>
      </x:c>
      <x:c r="U306" t="n">
        <x:f>'01_ВВОД'!$D$120</x:f>
        <x:v>10</x:v>
      </x:c>
      <x:c r="V306" t="n">
        <x:f>ROUNDDOWN(SUM(M306,N306,R306,U306)*'01_ВВОД'!$D$127,0)</x:f>
        <x:v>51</x:v>
      </x:c>
      <x:c r="W306" t="n">
        <x:f>ROUNDDOWN(SUM(L306,N306,R306,U306)*'01_ВВОД'!$D$127,0)</x:f>
        <x:v>51</x:v>
      </x:c>
    </x:row>
    <x:row r="307">
      <x:c r="A307" s="200" t="n">
        <x:v>46568</x:v>
      </x:c>
      <x:c r="B307" s="201" t="n">
        <x:v>10</x:v>
      </x:c>
      <x:c r="C307" s="201" t="inlineStr">
        <x:is>
          <x:t xml:space="preserve">Июн-27</x:t>
        </x:is>
      </x:c>
      <x:c r="D307" s="201" t="n">
        <x:v>3</x:v>
      </x:c>
      <x:c r="E307" s="201" t="inlineStr">
        <x:is>
          <x:t xml:space="preserve">Ср</x:t>
        </x:is>
      </x:c>
      <x:c r="F307" s="199" t="n">
        <x:v>0</x:v>
      </x:c>
      <x:c r="G307" s="201" t="str"/>
      <x:c r="H307" s="193" t="n">
        <x:v>0</x:v>
      </x:c>
      <x:c r="I307" s="201" t="str"/>
      <x:c r="J307" s="188" t="n">
        <x:f>1</x:f>
        <x:v>1</x:v>
      </x:c>
      <x:c r="K307" s="188" t="n">
        <x:f>IF(AND(D307&lt;=5,F307=0),1,0)</x:f>
        <x:v>1</x:v>
      </x:c>
      <x:c r="L307" s="188" t="n">
        <x:f>IF(F307=1,'01_ВВОД'!$D$23,CHOOSE(D307,'01_ВВОД'!$D$19,'01_ВВОД'!$D$19,'01_ВВОД'!$D$19,'01_ВВОД'!$D$19,'01_ВВОД'!$D$20,'01_ВВОД'!$D$21,'01_ВВОД'!$D$22))</x:f>
        <x:v>32</x:v>
      </x:c>
      <x:c r="M307" s="188" t="n">
        <x:f>L307*IF(H307=1,'01_ВВОД'!$D$118,1)</x:f>
        <x:v>32</x:v>
      </x:c>
      <x:c r="N307" s="188" t="n">
        <x:f>IF(K307=1,'01_ВВОД'!$D$26,0)</x:f>
        <x:v>40</x:v>
      </x:c>
      <x:c r="O307" s="188" t="n">
        <x:f>IF(F307=1,'01_ВВОД'!$D$34,IF(D307&lt;=5,'01_ВВОД'!$D$32,'01_ВВОД'!$D$33))</x:f>
        <x:v>15</x:v>
      </x:c>
      <x:c r="P307" s="188" t="n">
        <x:f>O307</x:f>
        <x:v>15</x:v>
      </x:c>
      <x:c r="Q307" s="188" t="n">
        <x:f>'01_ВВОД'!$D$40</x:f>
        <x:v>12</x:v>
      </x:c>
      <x:c r="R307" s="188" t="n">
        <x:f>'01_ВВОД'!$D$46</x:f>
        <x:v>20</x:v>
      </x:c>
      <x:c r="S307" s="188" t="n">
        <x:f>H307</x:f>
        <x:v>0</x:v>
      </x:c>
      <x:c r="T307" s="188" t="n">
        <x:f>IF(H307=1,M307+N307+P307+Q307,0)</x:f>
        <x:v>0</x:v>
      </x:c>
      <x:c r="U307" t="n">
        <x:f>'01_ВВОД'!$D$120</x:f>
        <x:v>10</x:v>
      </x:c>
      <x:c r="V307" t="n">
        <x:f>ROUNDDOWN(SUM(M307,N307,R307,U307)*'01_ВВОД'!$D$127,0)</x:f>
        <x:v>51</x:v>
      </x:c>
      <x:c r="W307" t="n">
        <x:f>ROUNDDOWN(SUM(L307,N307,R307,U307)*'01_ВВОД'!$D$127,0)</x:f>
        <x:v>51</x:v>
      </x:c>
    </x:row>
    <x:row r="308">
      <x:c r="A308" s="200" t="n">
        <x:v>46569</x:v>
      </x:c>
      <x:c r="B308" s="201" t="n">
        <x:v>11</x:v>
      </x:c>
      <x:c r="C308" s="201" t="inlineStr">
        <x:is>
          <x:t xml:space="preserve">Июл-27</x:t>
        </x:is>
      </x:c>
      <x:c r="D308" s="201" t="n">
        <x:v>4</x:v>
      </x:c>
      <x:c r="E308" s="201" t="inlineStr">
        <x:is>
          <x:t xml:space="preserve">Чт</x:t>
        </x:is>
      </x:c>
      <x:c r="F308" s="199" t="n">
        <x:v>0</x:v>
      </x:c>
      <x:c r="G308" s="201" t="str"/>
      <x:c r="H308" s="193" t="n">
        <x:v>0</x:v>
      </x:c>
      <x:c r="I308" s="201" t="str"/>
      <x:c r="J308" s="188" t="n">
        <x:f>1</x:f>
        <x:v>1</x:v>
      </x:c>
      <x:c r="K308" s="188" t="n">
        <x:f>IF(AND(D308&lt;=5,F308=0),1,0)</x:f>
        <x:v>1</x:v>
      </x:c>
      <x:c r="L308" s="188" t="n">
        <x:f>IF(F308=1,'01_ВВОД'!$D$23,CHOOSE(D308,'01_ВВОД'!$D$19,'01_ВВОД'!$D$19,'01_ВВОД'!$D$19,'01_ВВОД'!$D$19,'01_ВВОД'!$D$20,'01_ВВОД'!$D$21,'01_ВВОД'!$D$22))</x:f>
        <x:v>32</x:v>
      </x:c>
      <x:c r="M308" s="188" t="n">
        <x:f>L308*IF(H308=1,'01_ВВОД'!$D$118,1)</x:f>
        <x:v>32</x:v>
      </x:c>
      <x:c r="N308" s="188" t="n">
        <x:f>IF(K308=1,'01_ВВОД'!$D$26,0)</x:f>
        <x:v>40</x:v>
      </x:c>
      <x:c r="O308" s="188" t="n">
        <x:f>IF(F308=1,'01_ВВОД'!$D$34,IF(D308&lt;=5,'01_ВВОД'!$D$32,'01_ВВОД'!$D$33))</x:f>
        <x:v>15</x:v>
      </x:c>
      <x:c r="P308" s="188" t="n">
        <x:f>O308</x:f>
        <x:v>15</x:v>
      </x:c>
      <x:c r="Q308" s="188" t="n">
        <x:f>'01_ВВОД'!$D$40</x:f>
        <x:v>12</x:v>
      </x:c>
      <x:c r="R308" s="188" t="n">
        <x:f>'01_ВВОД'!$D$46</x:f>
        <x:v>20</x:v>
      </x:c>
      <x:c r="S308" s="188" t="n">
        <x:f>H308</x:f>
        <x:v>0</x:v>
      </x:c>
      <x:c r="T308" s="188" t="n">
        <x:f>IF(H308=1,M308+N308+P308+Q308,0)</x:f>
        <x:v>0</x:v>
      </x:c>
      <x:c r="U308" t="n">
        <x:f>'01_ВВОД'!$D$120</x:f>
        <x:v>10</x:v>
      </x:c>
      <x:c r="V308" t="n">
        <x:f>ROUNDDOWN(SUM(M308,N308,R308,U308)*'01_ВВОД'!$D$127,0)</x:f>
        <x:v>51</x:v>
      </x:c>
      <x:c r="W308" t="n">
        <x:f>ROUNDDOWN(SUM(L308,N308,R308,U308)*'01_ВВОД'!$D$127,0)</x:f>
        <x:v>51</x:v>
      </x:c>
    </x:row>
    <x:row r="309">
      <x:c r="A309" s="200" t="n">
        <x:v>46570</x:v>
      </x:c>
      <x:c r="B309" s="201" t="n">
        <x:v>11</x:v>
      </x:c>
      <x:c r="C309" s="201" t="inlineStr">
        <x:is>
          <x:t xml:space="preserve">Июл-27</x:t>
        </x:is>
      </x:c>
      <x:c r="D309" s="201" t="n">
        <x:v>5</x:v>
      </x:c>
      <x:c r="E309" s="201" t="inlineStr">
        <x:is>
          <x:t xml:space="preserve">Пт</x:t>
        </x:is>
      </x:c>
      <x:c r="F309" s="199" t="n">
        <x:v>0</x:v>
      </x:c>
      <x:c r="G309" s="201" t="str"/>
      <x:c r="H309" s="193" t="n">
        <x:v>0</x:v>
      </x:c>
      <x:c r="I309" s="201" t="str"/>
      <x:c r="J309" s="188" t="n">
        <x:f>1</x:f>
        <x:v>1</x:v>
      </x:c>
      <x:c r="K309" s="188" t="n">
        <x:f>IF(AND(D309&lt;=5,F309=0),1,0)</x:f>
        <x:v>1</x:v>
      </x:c>
      <x:c r="L309" s="188" t="n">
        <x:f>IF(F309=1,'01_ВВОД'!$D$23,CHOOSE(D309,'01_ВВОД'!$D$19,'01_ВВОД'!$D$19,'01_ВВОД'!$D$19,'01_ВВОД'!$D$19,'01_ВВОД'!$D$20,'01_ВВОД'!$D$21,'01_ВВОД'!$D$22))</x:f>
        <x:v>45</x:v>
      </x:c>
      <x:c r="M309" s="188" t="n">
        <x:f>L309*IF(H309=1,'01_ВВОД'!$D$118,1)</x:f>
        <x:v>45</x:v>
      </x:c>
      <x:c r="N309" s="188" t="n">
        <x:f>IF(K309=1,'01_ВВОД'!$D$26,0)</x:f>
        <x:v>40</x:v>
      </x:c>
      <x:c r="O309" s="188" t="n">
        <x:f>IF(F309=1,'01_ВВОД'!$D$34,IF(D309&lt;=5,'01_ВВОД'!$D$32,'01_ВВОД'!$D$33))</x:f>
        <x:v>15</x:v>
      </x:c>
      <x:c r="P309" s="188" t="n">
        <x:f>O309</x:f>
        <x:v>15</x:v>
      </x:c>
      <x:c r="Q309" s="188" t="n">
        <x:f>'01_ВВОД'!$D$40</x:f>
        <x:v>12</x:v>
      </x:c>
      <x:c r="R309" s="188" t="n">
        <x:f>'01_ВВОД'!$D$46</x:f>
        <x:v>20</x:v>
      </x:c>
      <x:c r="S309" s="188" t="n">
        <x:f>H309</x:f>
        <x:v>0</x:v>
      </x:c>
      <x:c r="T309" s="188" t="n">
        <x:f>IF(H309=1,M309+N309+P309+Q309,0)</x:f>
        <x:v>0</x:v>
      </x:c>
      <x:c r="U309" t="n">
        <x:f>'01_ВВОД'!$D$120</x:f>
        <x:v>10</x:v>
      </x:c>
      <x:c r="V309" t="n">
        <x:f>ROUNDDOWN(SUM(M309,N309,R309,U309)*'01_ВВОД'!$D$127,0)</x:f>
        <x:v>57</x:v>
      </x:c>
      <x:c r="W309" t="n">
        <x:f>ROUNDDOWN(SUM(L309,N309,R309,U309)*'01_ВВОД'!$D$127,0)</x:f>
        <x:v>57</x:v>
      </x:c>
    </x:row>
    <x:row r="310">
      <x:c r="A310" s="200" t="n">
        <x:v>46571</x:v>
      </x:c>
      <x:c r="B310" s="201" t="n">
        <x:v>11</x:v>
      </x:c>
      <x:c r="C310" s="201" t="inlineStr">
        <x:is>
          <x:t xml:space="preserve">Июл-27</x:t>
        </x:is>
      </x:c>
      <x:c r="D310" s="201" t="n">
        <x:v>6</x:v>
      </x:c>
      <x:c r="E310" s="201" t="inlineStr">
        <x:is>
          <x:t xml:space="preserve">Сб</x:t>
        </x:is>
      </x:c>
      <x:c r="F310" s="199" t="n">
        <x:v>0</x:v>
      </x:c>
      <x:c r="G310" s="201" t="str"/>
      <x:c r="H310" s="193" t="n">
        <x:v>0</x:v>
      </x:c>
      <x:c r="I310" s="201" t="str"/>
      <x:c r="J310" s="188" t="n">
        <x:f>1</x:f>
        <x:v>1</x:v>
      </x:c>
      <x:c r="K310" s="188" t="n">
        <x:f>IF(AND(D310&lt;=5,F310=0),1,0)</x:f>
        <x:v>0</x:v>
      </x:c>
      <x:c r="L310" s="188" t="n">
        <x:f>IF(F310=1,'01_ВВОД'!$D$23,CHOOSE(D310,'01_ВВОД'!$D$19,'01_ВВОД'!$D$19,'01_ВВОД'!$D$19,'01_ВВОД'!$D$19,'01_ВВОД'!$D$20,'01_ВВОД'!$D$21,'01_ВВОД'!$D$22))</x:f>
        <x:v>80</x:v>
      </x:c>
      <x:c r="M310" s="188" t="n">
        <x:f>L310*IF(H310=1,'01_ВВОД'!$D$118,1)</x:f>
        <x:v>80</x:v>
      </x:c>
      <x:c r="N310" s="188" t="n">
        <x:f>IF(K310=1,'01_ВВОД'!$D$26,0)</x:f>
        <x:v>0</x:v>
      </x:c>
      <x:c r="O310" s="188" t="n">
        <x:f>IF(F310=1,'01_ВВОД'!$D$34,IF(D310&lt;=5,'01_ВВОД'!$D$32,'01_ВВОД'!$D$33))</x:f>
        <x:v>30</x:v>
      </x:c>
      <x:c r="P310" s="188" t="n">
        <x:f>O310</x:f>
        <x:v>30</x:v>
      </x:c>
      <x:c r="Q310" s="188" t="n">
        <x:f>'01_ВВОД'!$D$40</x:f>
        <x:v>12</x:v>
      </x:c>
      <x:c r="R310" s="188" t="n">
        <x:f>'01_ВВОД'!$D$46</x:f>
        <x:v>20</x:v>
      </x:c>
      <x:c r="S310" s="188" t="n">
        <x:f>H310</x:f>
        <x:v>0</x:v>
      </x:c>
      <x:c r="T310" s="188" t="n">
        <x:f>IF(H310=1,M310+N310+P310+Q310,0)</x:f>
        <x:v>0</x:v>
      </x:c>
      <x:c r="U310" t="n">
        <x:f>'01_ВВОД'!$D$120</x:f>
        <x:v>10</x:v>
      </x:c>
      <x:c r="V310" t="n">
        <x:f>ROUNDDOWN(SUM(M310,N310,R310,U310)*'01_ВВОД'!$D$127,0)</x:f>
        <x:v>55</x:v>
      </x:c>
      <x:c r="W310" t="n">
        <x:f>ROUNDDOWN(SUM(L310,N310,R310,U310)*'01_ВВОД'!$D$127,0)</x:f>
        <x:v>55</x:v>
      </x:c>
    </x:row>
    <x:row r="311">
      <x:c r="A311" s="200" t="n">
        <x:v>46572</x:v>
      </x:c>
      <x:c r="B311" s="201" t="n">
        <x:v>11</x:v>
      </x:c>
      <x:c r="C311" s="201" t="inlineStr">
        <x:is>
          <x:t xml:space="preserve">Июл-27</x:t>
        </x:is>
      </x:c>
      <x:c r="D311" s="201" t="n">
        <x:v>7</x:v>
      </x:c>
      <x:c r="E311" s="201" t="inlineStr">
        <x:is>
          <x:t xml:space="preserve">Вс</x:t>
        </x:is>
      </x:c>
      <x:c r="F311" s="199" t="n">
        <x:v>0</x:v>
      </x:c>
      <x:c r="G311" s="201" t="str"/>
      <x:c r="H311" s="193" t="n">
        <x:v>0</x:v>
      </x:c>
      <x:c r="I311" s="201" t="str"/>
      <x:c r="J311" s="188" t="n">
        <x:f>1</x:f>
        <x:v>1</x:v>
      </x:c>
      <x:c r="K311" s="188" t="n">
        <x:f>IF(AND(D311&lt;=5,F311=0),1,0)</x:f>
        <x:v>0</x:v>
      </x:c>
      <x:c r="L311" s="188" t="n">
        <x:f>IF(F311=1,'01_ВВОД'!$D$23,CHOOSE(D311,'01_ВВОД'!$D$19,'01_ВВОД'!$D$19,'01_ВВОД'!$D$19,'01_ВВОД'!$D$19,'01_ВВОД'!$D$20,'01_ВВОД'!$D$21,'01_ВВОД'!$D$22))</x:f>
        <x:v>70</x:v>
      </x:c>
      <x:c r="M311" s="188" t="n">
        <x:f>L311*IF(H311=1,'01_ВВОД'!$D$118,1)</x:f>
        <x:v>70</x:v>
      </x:c>
      <x:c r="N311" s="188" t="n">
        <x:f>IF(K311=1,'01_ВВОД'!$D$26,0)</x:f>
        <x:v>0</x:v>
      </x:c>
      <x:c r="O311" s="188" t="n">
        <x:f>IF(F311=1,'01_ВВОД'!$D$34,IF(D311&lt;=5,'01_ВВОД'!$D$32,'01_ВВОД'!$D$33))</x:f>
        <x:v>30</x:v>
      </x:c>
      <x:c r="P311" s="188" t="n">
        <x:f>O311</x:f>
        <x:v>30</x:v>
      </x:c>
      <x:c r="Q311" s="188" t="n">
        <x:f>'01_ВВОД'!$D$40</x:f>
        <x:v>12</x:v>
      </x:c>
      <x:c r="R311" s="188" t="n">
        <x:f>'01_ВВОД'!$D$46</x:f>
        <x:v>20</x:v>
      </x:c>
      <x:c r="S311" s="188" t="n">
        <x:f>H311</x:f>
        <x:v>0</x:v>
      </x:c>
      <x:c r="T311" s="188" t="n">
        <x:f>IF(H311=1,M311+N311+P311+Q311,0)</x:f>
        <x:v>0</x:v>
      </x:c>
      <x:c r="U311" t="n">
        <x:f>'01_ВВОД'!$D$120</x:f>
        <x:v>10</x:v>
      </x:c>
      <x:c r="V311" t="n">
        <x:f>ROUNDDOWN(SUM(M311,N311,R311,U311)*'01_ВВОД'!$D$127,0)</x:f>
        <x:v>50</x:v>
      </x:c>
      <x:c r="W311" t="n">
        <x:f>ROUNDDOWN(SUM(L311,N311,R311,U311)*'01_ВВОД'!$D$127,0)</x:f>
        <x:v>50</x:v>
      </x:c>
    </x:row>
    <x:row r="312">
      <x:c r="A312" s="200" t="n">
        <x:v>46573</x:v>
      </x:c>
      <x:c r="B312" s="201" t="n">
        <x:v>11</x:v>
      </x:c>
      <x:c r="C312" s="201" t="inlineStr">
        <x:is>
          <x:t xml:space="preserve">Июл-27</x:t>
        </x:is>
      </x:c>
      <x:c r="D312" s="201" t="n">
        <x:v>1</x:v>
      </x:c>
      <x:c r="E312" s="201" t="inlineStr">
        <x:is>
          <x:t xml:space="preserve">Пн</x:t>
        </x:is>
      </x:c>
      <x:c r="F312" s="199" t="n">
        <x:v>0</x:v>
      </x:c>
      <x:c r="G312" s="201" t="str"/>
      <x:c r="H312" s="193" t="n">
        <x:v>0</x:v>
      </x:c>
      <x:c r="I312" s="201" t="str"/>
      <x:c r="J312" s="188" t="n">
        <x:f>1</x:f>
        <x:v>1</x:v>
      </x:c>
      <x:c r="K312" s="188" t="n">
        <x:f>IF(AND(D312&lt;=5,F312=0),1,0)</x:f>
        <x:v>1</x:v>
      </x:c>
      <x:c r="L312" s="188" t="n">
        <x:f>IF(F312=1,'01_ВВОД'!$D$23,CHOOSE(D312,'01_ВВОД'!$D$19,'01_ВВОД'!$D$19,'01_ВВОД'!$D$19,'01_ВВОД'!$D$19,'01_ВВОД'!$D$20,'01_ВВОД'!$D$21,'01_ВВОД'!$D$22))</x:f>
        <x:v>32</x:v>
      </x:c>
      <x:c r="M312" s="188" t="n">
        <x:f>L312*IF(H312=1,'01_ВВОД'!$D$118,1)</x:f>
        <x:v>32</x:v>
      </x:c>
      <x:c r="N312" s="188" t="n">
        <x:f>IF(K312=1,'01_ВВОД'!$D$26,0)</x:f>
        <x:v>40</x:v>
      </x:c>
      <x:c r="O312" s="188" t="n">
        <x:f>IF(F312=1,'01_ВВОД'!$D$34,IF(D312&lt;=5,'01_ВВОД'!$D$32,'01_ВВОД'!$D$33))</x:f>
        <x:v>15</x:v>
      </x:c>
      <x:c r="P312" s="188" t="n">
        <x:f>O312</x:f>
        <x:v>15</x:v>
      </x:c>
      <x:c r="Q312" s="188" t="n">
        <x:f>'01_ВВОД'!$D$40</x:f>
        <x:v>12</x:v>
      </x:c>
      <x:c r="R312" s="188" t="n">
        <x:f>'01_ВВОД'!$D$46</x:f>
        <x:v>20</x:v>
      </x:c>
      <x:c r="S312" s="188" t="n">
        <x:f>H312</x:f>
        <x:v>0</x:v>
      </x:c>
      <x:c r="T312" s="188" t="n">
        <x:f>IF(H312=1,M312+N312+P312+Q312,0)</x:f>
        <x:v>0</x:v>
      </x:c>
      <x:c r="U312" t="n">
        <x:f>'01_ВВОД'!$D$120</x:f>
        <x:v>10</x:v>
      </x:c>
      <x:c r="V312" t="n">
        <x:f>ROUNDDOWN(SUM(M312,N312,R312,U312)*'01_ВВОД'!$D$127,0)</x:f>
        <x:v>51</x:v>
      </x:c>
      <x:c r="W312" t="n">
        <x:f>ROUNDDOWN(SUM(L312,N312,R312,U312)*'01_ВВОД'!$D$127,0)</x:f>
        <x:v>51</x:v>
      </x:c>
    </x:row>
    <x:row r="313">
      <x:c r="A313" s="200" t="n">
        <x:v>46574</x:v>
      </x:c>
      <x:c r="B313" s="201" t="n">
        <x:v>11</x:v>
      </x:c>
      <x:c r="C313" s="201" t="inlineStr">
        <x:is>
          <x:t xml:space="preserve">Июл-27</x:t>
        </x:is>
      </x:c>
      <x:c r="D313" s="201" t="n">
        <x:v>2</x:v>
      </x:c>
      <x:c r="E313" s="201" t="inlineStr">
        <x:is>
          <x:t xml:space="preserve">Вт</x:t>
        </x:is>
      </x:c>
      <x:c r="F313" s="199" t="n">
        <x:v>0</x:v>
      </x:c>
      <x:c r="G313" s="201" t="str"/>
      <x:c r="H313" s="193" t="n">
        <x:v>1</x:v>
      </x:c>
      <x:c r="I313" s="201" t="inlineStr">
        <x:is>
          <x:t xml:space="preserve">Пн–Чт</x:t>
        </x:is>
      </x:c>
      <x:c r="J313" s="188" t="n">
        <x:f>1</x:f>
        <x:v>1</x:v>
      </x:c>
      <x:c r="K313" s="188" t="n">
        <x:f>IF(AND(D313&lt;=5,F313=0),1,0)</x:f>
        <x:v>1</x:v>
      </x:c>
      <x:c r="L313" s="188" t="n">
        <x:f>IF(F313=1,'01_ВВОД'!$D$23,CHOOSE(D313,'01_ВВОД'!$D$19,'01_ВВОД'!$D$19,'01_ВВОД'!$D$19,'01_ВВОД'!$D$19,'01_ВВОД'!$D$20,'01_ВВОД'!$D$21,'01_ВВОД'!$D$22))</x:f>
        <x:v>32</x:v>
      </x:c>
      <x:c r="M313" s="188" t="n">
        <x:f>L313*IF(H313=1,'01_ВВОД'!$D$118,1)</x:f>
        <x:v>6.4</x:v>
      </x:c>
      <x:c r="N313" s="188" t="n">
        <x:f>IF(K313=1,'01_ВВОД'!$D$26,0)</x:f>
        <x:v>40</x:v>
      </x:c>
      <x:c r="O313" s="188" t="n">
        <x:f>IF(F313=1,'01_ВВОД'!$D$34,IF(D313&lt;=5,'01_ВВОД'!$D$32,'01_ВВОД'!$D$33))</x:f>
        <x:v>15</x:v>
      </x:c>
      <x:c r="P313" s="188" t="n">
        <x:f>O313</x:f>
        <x:v>15</x:v>
      </x:c>
      <x:c r="Q313" s="188" t="n">
        <x:f>'01_ВВОД'!$D$40</x:f>
        <x:v>12</x:v>
      </x:c>
      <x:c r="R313" s="188" t="n">
        <x:f>'01_ВВОД'!$D$46</x:f>
        <x:v>20</x:v>
      </x:c>
      <x:c r="S313" s="188" t="n">
        <x:f>H313</x:f>
        <x:v>1</x:v>
      </x:c>
      <x:c r="T313" s="188" t="n">
        <x:f>IF(H313=1,M313+N313+P313+Q313,0)</x:f>
        <x:v>73.4</x:v>
      </x:c>
      <x:c r="U313" t="n">
        <x:f>'01_ВВОД'!$D$120</x:f>
        <x:v>10</x:v>
      </x:c>
      <x:c r="V313" t="n">
        <x:f>ROUNDDOWN(SUM(M313,N313,R313,U313)*'01_ВВОД'!$D$127,0)</x:f>
        <x:v>38</x:v>
      </x:c>
      <x:c r="W313" t="n">
        <x:f>ROUNDDOWN(SUM(L313,N313,R313,U313)*'01_ВВОД'!$D$127,0)</x:f>
        <x:v>51</x:v>
      </x:c>
    </x:row>
    <x:row r="314">
      <x:c r="A314" s="200" t="n">
        <x:v>46575</x:v>
      </x:c>
      <x:c r="B314" s="201" t="n">
        <x:v>11</x:v>
      </x:c>
      <x:c r="C314" s="201" t="inlineStr">
        <x:is>
          <x:t xml:space="preserve">Июл-27</x:t>
        </x:is>
      </x:c>
      <x:c r="D314" s="201" t="n">
        <x:v>3</x:v>
      </x:c>
      <x:c r="E314" s="201" t="inlineStr">
        <x:is>
          <x:t xml:space="preserve">Ср</x:t>
        </x:is>
      </x:c>
      <x:c r="F314" s="199" t="n">
        <x:v>0</x:v>
      </x:c>
      <x:c r="G314" s="201" t="str"/>
      <x:c r="H314" s="193" t="n">
        <x:v>0</x:v>
      </x:c>
      <x:c r="I314" s="201" t="str"/>
      <x:c r="J314" s="188" t="n">
        <x:f>1</x:f>
        <x:v>1</x:v>
      </x:c>
      <x:c r="K314" s="188" t="n">
        <x:f>IF(AND(D314&lt;=5,F314=0),1,0)</x:f>
        <x:v>1</x:v>
      </x:c>
      <x:c r="L314" s="188" t="n">
        <x:f>IF(F314=1,'01_ВВОД'!$D$23,CHOOSE(D314,'01_ВВОД'!$D$19,'01_ВВОД'!$D$19,'01_ВВОД'!$D$19,'01_ВВОД'!$D$19,'01_ВВОД'!$D$20,'01_ВВОД'!$D$21,'01_ВВОД'!$D$22))</x:f>
        <x:v>32</x:v>
      </x:c>
      <x:c r="M314" s="188" t="n">
        <x:f>L314*IF(H314=1,'01_ВВОД'!$D$118,1)</x:f>
        <x:v>32</x:v>
      </x:c>
      <x:c r="N314" s="188" t="n">
        <x:f>IF(K314=1,'01_ВВОД'!$D$26,0)</x:f>
        <x:v>40</x:v>
      </x:c>
      <x:c r="O314" s="188" t="n">
        <x:f>IF(F314=1,'01_ВВОД'!$D$34,IF(D314&lt;=5,'01_ВВОД'!$D$32,'01_ВВОД'!$D$33))</x:f>
        <x:v>15</x:v>
      </x:c>
      <x:c r="P314" s="188" t="n">
        <x:f>O314</x:f>
        <x:v>15</x:v>
      </x:c>
      <x:c r="Q314" s="188" t="n">
        <x:f>'01_ВВОД'!$D$40</x:f>
        <x:v>12</x:v>
      </x:c>
      <x:c r="R314" s="188" t="n">
        <x:f>'01_ВВОД'!$D$46</x:f>
        <x:v>20</x:v>
      </x:c>
      <x:c r="S314" s="188" t="n">
        <x:f>H314</x:f>
        <x:v>0</x:v>
      </x:c>
      <x:c r="T314" s="188" t="n">
        <x:f>IF(H314=1,M314+N314+P314+Q314,0)</x:f>
        <x:v>0</x:v>
      </x:c>
      <x:c r="U314" t="n">
        <x:f>'01_ВВОД'!$D$120</x:f>
        <x:v>10</x:v>
      </x:c>
      <x:c r="V314" t="n">
        <x:f>ROUNDDOWN(SUM(M314,N314,R314,U314)*'01_ВВОД'!$D$127,0)</x:f>
        <x:v>51</x:v>
      </x:c>
      <x:c r="W314" t="n">
        <x:f>ROUNDDOWN(SUM(L314,N314,R314,U314)*'01_ВВОД'!$D$127,0)</x:f>
        <x:v>51</x:v>
      </x:c>
    </x:row>
    <x:row r="315">
      <x:c r="A315" s="200" t="n">
        <x:v>46576</x:v>
      </x:c>
      <x:c r="B315" s="201" t="n">
        <x:v>11</x:v>
      </x:c>
      <x:c r="C315" s="201" t="inlineStr">
        <x:is>
          <x:t xml:space="preserve">Июл-27</x:t>
        </x:is>
      </x:c>
      <x:c r="D315" s="201" t="n">
        <x:v>4</x:v>
      </x:c>
      <x:c r="E315" s="201" t="inlineStr">
        <x:is>
          <x:t xml:space="preserve">Чт</x:t>
        </x:is>
      </x:c>
      <x:c r="F315" s="199" t="n">
        <x:v>0</x:v>
      </x:c>
      <x:c r="G315" s="201" t="str"/>
      <x:c r="H315" s="193" t="n">
        <x:v>0</x:v>
      </x:c>
      <x:c r="I315" s="201" t="str"/>
      <x:c r="J315" s="188" t="n">
        <x:f>1</x:f>
        <x:v>1</x:v>
      </x:c>
      <x:c r="K315" s="188" t="n">
        <x:f>IF(AND(D315&lt;=5,F315=0),1,0)</x:f>
        <x:v>1</x:v>
      </x:c>
      <x:c r="L315" s="188" t="n">
        <x:f>IF(F315=1,'01_ВВОД'!$D$23,CHOOSE(D315,'01_ВВОД'!$D$19,'01_ВВОД'!$D$19,'01_ВВОД'!$D$19,'01_ВВОД'!$D$19,'01_ВВОД'!$D$20,'01_ВВОД'!$D$21,'01_ВВОД'!$D$22))</x:f>
        <x:v>32</x:v>
      </x:c>
      <x:c r="M315" s="188" t="n">
        <x:f>L315*IF(H315=1,'01_ВВОД'!$D$118,1)</x:f>
        <x:v>32</x:v>
      </x:c>
      <x:c r="N315" s="188" t="n">
        <x:f>IF(K315=1,'01_ВВОД'!$D$26,0)</x:f>
        <x:v>40</x:v>
      </x:c>
      <x:c r="O315" s="188" t="n">
        <x:f>IF(F315=1,'01_ВВОД'!$D$34,IF(D315&lt;=5,'01_ВВОД'!$D$32,'01_ВВОД'!$D$33))</x:f>
        <x:v>15</x:v>
      </x:c>
      <x:c r="P315" s="188" t="n">
        <x:f>O315</x:f>
        <x:v>15</x:v>
      </x:c>
      <x:c r="Q315" s="188" t="n">
        <x:f>'01_ВВОД'!$D$40</x:f>
        <x:v>12</x:v>
      </x:c>
      <x:c r="R315" s="188" t="n">
        <x:f>'01_ВВОД'!$D$46</x:f>
        <x:v>20</x:v>
      </x:c>
      <x:c r="S315" s="188" t="n">
        <x:f>H315</x:f>
        <x:v>0</x:v>
      </x:c>
      <x:c r="T315" s="188" t="n">
        <x:f>IF(H315=1,M315+N315+P315+Q315,0)</x:f>
        <x:v>0</x:v>
      </x:c>
      <x:c r="U315" t="n">
        <x:f>'01_ВВОД'!$D$120</x:f>
        <x:v>10</x:v>
      </x:c>
      <x:c r="V315" t="n">
        <x:f>ROUNDDOWN(SUM(M315,N315,R315,U315)*'01_ВВОД'!$D$127,0)</x:f>
        <x:v>51</x:v>
      </x:c>
      <x:c r="W315" t="n">
        <x:f>ROUNDDOWN(SUM(L315,N315,R315,U315)*'01_ВВОД'!$D$127,0)</x:f>
        <x:v>51</x:v>
      </x:c>
    </x:row>
    <x:row r="316">
      <x:c r="A316" s="200" t="n">
        <x:v>46577</x:v>
      </x:c>
      <x:c r="B316" s="201" t="n">
        <x:v>11</x:v>
      </x:c>
      <x:c r="C316" s="201" t="inlineStr">
        <x:is>
          <x:t xml:space="preserve">Июл-27</x:t>
        </x:is>
      </x:c>
      <x:c r="D316" s="201" t="n">
        <x:v>5</x:v>
      </x:c>
      <x:c r="E316" s="201" t="inlineStr">
        <x:is>
          <x:t xml:space="preserve">Пт</x:t>
        </x:is>
      </x:c>
      <x:c r="F316" s="199" t="n">
        <x:v>0</x:v>
      </x:c>
      <x:c r="G316" s="201" t="str"/>
      <x:c r="H316" s="193" t="n">
        <x:v>1</x:v>
      </x:c>
      <x:c r="I316" s="201" t="inlineStr">
        <x:is>
          <x:t xml:space="preserve">Пт–Вс</x:t>
        </x:is>
      </x:c>
      <x:c r="J316" s="188" t="n">
        <x:f>1</x:f>
        <x:v>1</x:v>
      </x:c>
      <x:c r="K316" s="188" t="n">
        <x:f>IF(AND(D316&lt;=5,F316=0),1,0)</x:f>
        <x:v>1</x:v>
      </x:c>
      <x:c r="L316" s="188" t="n">
        <x:f>IF(F316=1,'01_ВВОД'!$D$23,CHOOSE(D316,'01_ВВОД'!$D$19,'01_ВВОД'!$D$19,'01_ВВОД'!$D$19,'01_ВВОД'!$D$19,'01_ВВОД'!$D$20,'01_ВВОД'!$D$21,'01_ВВОД'!$D$22))</x:f>
        <x:v>45</x:v>
      </x:c>
      <x:c r="M316" s="188" t="n">
        <x:f>L316*IF(H316=1,'01_ВВОД'!$D$118,1)</x:f>
        <x:v>9</x:v>
      </x:c>
      <x:c r="N316" s="188" t="n">
        <x:f>IF(K316=1,'01_ВВОД'!$D$26,0)</x:f>
        <x:v>40</x:v>
      </x:c>
      <x:c r="O316" s="188" t="n">
        <x:f>IF(F316=1,'01_ВВОД'!$D$34,IF(D316&lt;=5,'01_ВВОД'!$D$32,'01_ВВОД'!$D$33))</x:f>
        <x:v>15</x:v>
      </x:c>
      <x:c r="P316" s="188" t="n">
        <x:f>O316</x:f>
        <x:v>15</x:v>
      </x:c>
      <x:c r="Q316" s="188" t="n">
        <x:f>'01_ВВОД'!$D$40</x:f>
        <x:v>12</x:v>
      </x:c>
      <x:c r="R316" s="188" t="n">
        <x:f>'01_ВВОД'!$D$46</x:f>
        <x:v>20</x:v>
      </x:c>
      <x:c r="S316" s="188" t="n">
        <x:f>H316</x:f>
        <x:v>1</x:v>
      </x:c>
      <x:c r="T316" s="188" t="n">
        <x:f>IF(H316=1,M316+N316+P316+Q316,0)</x:f>
        <x:v>76</x:v>
      </x:c>
      <x:c r="U316" t="n">
        <x:f>'01_ВВОД'!$D$120</x:f>
        <x:v>10</x:v>
      </x:c>
      <x:c r="V316" t="n">
        <x:f>ROUNDDOWN(SUM(M316,N316,R316,U316)*'01_ВВОД'!$D$127,0)</x:f>
        <x:v>39</x:v>
      </x:c>
      <x:c r="W316" t="n">
        <x:f>ROUNDDOWN(SUM(L316,N316,R316,U316)*'01_ВВОД'!$D$127,0)</x:f>
        <x:v>57</x:v>
      </x:c>
    </x:row>
    <x:row r="317">
      <x:c r="A317" s="200" t="n">
        <x:v>46578</x:v>
      </x:c>
      <x:c r="B317" s="201" t="n">
        <x:v>11</x:v>
      </x:c>
      <x:c r="C317" s="201" t="inlineStr">
        <x:is>
          <x:t xml:space="preserve">Июл-27</x:t>
        </x:is>
      </x:c>
      <x:c r="D317" s="201" t="n">
        <x:v>6</x:v>
      </x:c>
      <x:c r="E317" s="201" t="inlineStr">
        <x:is>
          <x:t xml:space="preserve">Сб</x:t>
        </x:is>
      </x:c>
      <x:c r="F317" s="199" t="n">
        <x:v>0</x:v>
      </x:c>
      <x:c r="G317" s="201" t="str"/>
      <x:c r="H317" s="193" t="n">
        <x:v>0</x:v>
      </x:c>
      <x:c r="I317" s="201" t="str"/>
      <x:c r="J317" s="188" t="n">
        <x:f>1</x:f>
        <x:v>1</x:v>
      </x:c>
      <x:c r="K317" s="188" t="n">
        <x:f>IF(AND(D317&lt;=5,F317=0),1,0)</x:f>
        <x:v>0</x:v>
      </x:c>
      <x:c r="L317" s="188" t="n">
        <x:f>IF(F317=1,'01_ВВОД'!$D$23,CHOOSE(D317,'01_ВВОД'!$D$19,'01_ВВОД'!$D$19,'01_ВВОД'!$D$19,'01_ВВОД'!$D$19,'01_ВВОД'!$D$20,'01_ВВОД'!$D$21,'01_ВВОД'!$D$22))</x:f>
        <x:v>80</x:v>
      </x:c>
      <x:c r="M317" s="188" t="n">
        <x:f>L317*IF(H317=1,'01_ВВОД'!$D$118,1)</x:f>
        <x:v>80</x:v>
      </x:c>
      <x:c r="N317" s="188" t="n">
        <x:f>IF(K317=1,'01_ВВОД'!$D$26,0)</x:f>
        <x:v>0</x:v>
      </x:c>
      <x:c r="O317" s="188" t="n">
        <x:f>IF(F317=1,'01_ВВОД'!$D$34,IF(D317&lt;=5,'01_ВВОД'!$D$32,'01_ВВОД'!$D$33))</x:f>
        <x:v>30</x:v>
      </x:c>
      <x:c r="P317" s="188" t="n">
        <x:f>O317</x:f>
        <x:v>30</x:v>
      </x:c>
      <x:c r="Q317" s="188" t="n">
        <x:f>'01_ВВОД'!$D$40</x:f>
        <x:v>12</x:v>
      </x:c>
      <x:c r="R317" s="188" t="n">
        <x:f>'01_ВВОД'!$D$46</x:f>
        <x:v>20</x:v>
      </x:c>
      <x:c r="S317" s="188" t="n">
        <x:f>H317</x:f>
        <x:v>0</x:v>
      </x:c>
      <x:c r="T317" s="188" t="n">
        <x:f>IF(H317=1,M317+N317+P317+Q317,0)</x:f>
        <x:v>0</x:v>
      </x:c>
      <x:c r="U317" t="n">
        <x:f>'01_ВВОД'!$D$120</x:f>
        <x:v>10</x:v>
      </x:c>
      <x:c r="V317" t="n">
        <x:f>ROUNDDOWN(SUM(M317,N317,R317,U317)*'01_ВВОД'!$D$127,0)</x:f>
        <x:v>55</x:v>
      </x:c>
      <x:c r="W317" t="n">
        <x:f>ROUNDDOWN(SUM(L317,N317,R317,U317)*'01_ВВОД'!$D$127,0)</x:f>
        <x:v>55</x:v>
      </x:c>
    </x:row>
    <x:row r="318">
      <x:c r="A318" s="200" t="n">
        <x:v>46579</x:v>
      </x:c>
      <x:c r="B318" s="201" t="n">
        <x:v>11</x:v>
      </x:c>
      <x:c r="C318" s="201" t="inlineStr">
        <x:is>
          <x:t xml:space="preserve">Июл-27</x:t>
        </x:is>
      </x:c>
      <x:c r="D318" s="201" t="n">
        <x:v>7</x:v>
      </x:c>
      <x:c r="E318" s="201" t="inlineStr">
        <x:is>
          <x:t xml:space="preserve">Вс</x:t>
        </x:is>
      </x:c>
      <x:c r="F318" s="199" t="n">
        <x:v>0</x:v>
      </x:c>
      <x:c r="G318" s="201" t="str"/>
      <x:c r="H318" s="193" t="n">
        <x:v>1</x:v>
      </x:c>
      <x:c r="I318" s="201" t="inlineStr">
        <x:is>
          <x:t xml:space="preserve">Пт–Вс</x:t>
        </x:is>
      </x:c>
      <x:c r="J318" s="188" t="n">
        <x:f>1</x:f>
        <x:v>1</x:v>
      </x:c>
      <x:c r="K318" s="188" t="n">
        <x:f>IF(AND(D318&lt;=5,F318=0),1,0)</x:f>
        <x:v>0</x:v>
      </x:c>
      <x:c r="L318" s="188" t="n">
        <x:f>IF(F318=1,'01_ВВОД'!$D$23,CHOOSE(D318,'01_ВВОД'!$D$19,'01_ВВОД'!$D$19,'01_ВВОД'!$D$19,'01_ВВОД'!$D$19,'01_ВВОД'!$D$20,'01_ВВОД'!$D$21,'01_ВВОД'!$D$22))</x:f>
        <x:v>70</x:v>
      </x:c>
      <x:c r="M318" s="188" t="n">
        <x:f>L318*IF(H318=1,'01_ВВОД'!$D$118,1)</x:f>
        <x:v>14</x:v>
      </x:c>
      <x:c r="N318" s="188" t="n">
        <x:f>IF(K318=1,'01_ВВОД'!$D$26,0)</x:f>
        <x:v>0</x:v>
      </x:c>
      <x:c r="O318" s="188" t="n">
        <x:f>IF(F318=1,'01_ВВОД'!$D$34,IF(D318&lt;=5,'01_ВВОД'!$D$32,'01_ВВОД'!$D$33))</x:f>
        <x:v>30</x:v>
      </x:c>
      <x:c r="P318" s="188" t="n">
        <x:f>O318</x:f>
        <x:v>30</x:v>
      </x:c>
      <x:c r="Q318" s="188" t="n">
        <x:f>'01_ВВОД'!$D$40</x:f>
        <x:v>12</x:v>
      </x:c>
      <x:c r="R318" s="188" t="n">
        <x:f>'01_ВВОД'!$D$46</x:f>
        <x:v>20</x:v>
      </x:c>
      <x:c r="S318" s="188" t="n">
        <x:f>H318</x:f>
        <x:v>1</x:v>
      </x:c>
      <x:c r="T318" s="188" t="n">
        <x:f>IF(H318=1,M318+N318+P318+Q318,0)</x:f>
        <x:v>56</x:v>
      </x:c>
      <x:c r="U318" t="n">
        <x:f>'01_ВВОД'!$D$120</x:f>
        <x:v>10</x:v>
      </x:c>
      <x:c r="V318" t="n">
        <x:f>ROUNDDOWN(SUM(M318,N318,R318,U318)*'01_ВВОД'!$D$127,0)</x:f>
        <x:v>22</x:v>
      </x:c>
      <x:c r="W318" t="n">
        <x:f>ROUNDDOWN(SUM(L318,N318,R318,U318)*'01_ВВОД'!$D$127,0)</x:f>
        <x:v>50</x:v>
      </x:c>
    </x:row>
    <x:row r="319">
      <x:c r="A319" s="200" t="n">
        <x:v>46580</x:v>
      </x:c>
      <x:c r="B319" s="201" t="n">
        <x:v>11</x:v>
      </x:c>
      <x:c r="C319" s="201" t="inlineStr">
        <x:is>
          <x:t xml:space="preserve">Июл-27</x:t>
        </x:is>
      </x:c>
      <x:c r="D319" s="201" t="n">
        <x:v>1</x:v>
      </x:c>
      <x:c r="E319" s="201" t="inlineStr">
        <x:is>
          <x:t xml:space="preserve">Пн</x:t>
        </x:is>
      </x:c>
      <x:c r="F319" s="199" t="n">
        <x:v>0</x:v>
      </x:c>
      <x:c r="G319" s="201" t="str"/>
      <x:c r="H319" s="193" t="n">
        <x:v>0</x:v>
      </x:c>
      <x:c r="I319" s="201" t="str"/>
      <x:c r="J319" s="188" t="n">
        <x:f>1</x:f>
        <x:v>1</x:v>
      </x:c>
      <x:c r="K319" s="188" t="n">
        <x:f>IF(AND(D319&lt;=5,F319=0),1,0)</x:f>
        <x:v>1</x:v>
      </x:c>
      <x:c r="L319" s="188" t="n">
        <x:f>IF(F319=1,'01_ВВОД'!$D$23,CHOOSE(D319,'01_ВВОД'!$D$19,'01_ВВОД'!$D$19,'01_ВВОД'!$D$19,'01_ВВОД'!$D$19,'01_ВВОД'!$D$20,'01_ВВОД'!$D$21,'01_ВВОД'!$D$22))</x:f>
        <x:v>32</x:v>
      </x:c>
      <x:c r="M319" s="188" t="n">
        <x:f>L319*IF(H319=1,'01_ВВОД'!$D$118,1)</x:f>
        <x:v>32</x:v>
      </x:c>
      <x:c r="N319" s="188" t="n">
        <x:f>IF(K319=1,'01_ВВОД'!$D$26,0)</x:f>
        <x:v>40</x:v>
      </x:c>
      <x:c r="O319" s="188" t="n">
        <x:f>IF(F319=1,'01_ВВОД'!$D$34,IF(D319&lt;=5,'01_ВВОД'!$D$32,'01_ВВОД'!$D$33))</x:f>
        <x:v>15</x:v>
      </x:c>
      <x:c r="P319" s="188" t="n">
        <x:f>O319</x:f>
        <x:v>15</x:v>
      </x:c>
      <x:c r="Q319" s="188" t="n">
        <x:f>'01_ВВОД'!$D$40</x:f>
        <x:v>12</x:v>
      </x:c>
      <x:c r="R319" s="188" t="n">
        <x:f>'01_ВВОД'!$D$46</x:f>
        <x:v>20</x:v>
      </x:c>
      <x:c r="S319" s="188" t="n">
        <x:f>H319</x:f>
        <x:v>0</x:v>
      </x:c>
      <x:c r="T319" s="188" t="n">
        <x:f>IF(H319=1,M319+N319+P319+Q319,0)</x:f>
        <x:v>0</x:v>
      </x:c>
      <x:c r="U319" t="n">
        <x:f>'01_ВВОД'!$D$120</x:f>
        <x:v>10</x:v>
      </x:c>
      <x:c r="V319" t="n">
        <x:f>ROUNDDOWN(SUM(M319,N319,R319,U319)*'01_ВВОД'!$D$127,0)</x:f>
        <x:v>51</x:v>
      </x:c>
      <x:c r="W319" t="n">
        <x:f>ROUNDDOWN(SUM(L319,N319,R319,U319)*'01_ВВОД'!$D$127,0)</x:f>
        <x:v>51</x:v>
      </x:c>
    </x:row>
    <x:row r="320">
      <x:c r="A320" s="200" t="n">
        <x:v>46581</x:v>
      </x:c>
      <x:c r="B320" s="201" t="n">
        <x:v>11</x:v>
      </x:c>
      <x:c r="C320" s="201" t="inlineStr">
        <x:is>
          <x:t xml:space="preserve">Июл-27</x:t>
        </x:is>
      </x:c>
      <x:c r="D320" s="201" t="n">
        <x:v>2</x:v>
      </x:c>
      <x:c r="E320" s="201" t="inlineStr">
        <x:is>
          <x:t xml:space="preserve">Вт</x:t>
        </x:is>
      </x:c>
      <x:c r="F320" s="199" t="n">
        <x:v>0</x:v>
      </x:c>
      <x:c r="G320" s="201" t="str"/>
      <x:c r="H320" s="193" t="n">
        <x:v>0</x:v>
      </x:c>
      <x:c r="I320" s="201" t="str"/>
      <x:c r="J320" s="188" t="n">
        <x:f>1</x:f>
        <x:v>1</x:v>
      </x:c>
      <x:c r="K320" s="188" t="n">
        <x:f>IF(AND(D320&lt;=5,F320=0),1,0)</x:f>
        <x:v>1</x:v>
      </x:c>
      <x:c r="L320" s="188" t="n">
        <x:f>IF(F320=1,'01_ВВОД'!$D$23,CHOOSE(D320,'01_ВВОД'!$D$19,'01_ВВОД'!$D$19,'01_ВВОД'!$D$19,'01_ВВОД'!$D$19,'01_ВВОД'!$D$20,'01_ВВОД'!$D$21,'01_ВВОД'!$D$22))</x:f>
        <x:v>32</x:v>
      </x:c>
      <x:c r="M320" s="188" t="n">
        <x:f>L320*IF(H320=1,'01_ВВОД'!$D$118,1)</x:f>
        <x:v>32</x:v>
      </x:c>
      <x:c r="N320" s="188" t="n">
        <x:f>IF(K320=1,'01_ВВОД'!$D$26,0)</x:f>
        <x:v>40</x:v>
      </x:c>
      <x:c r="O320" s="188" t="n">
        <x:f>IF(F320=1,'01_ВВОД'!$D$34,IF(D320&lt;=5,'01_ВВОД'!$D$32,'01_ВВОД'!$D$33))</x:f>
        <x:v>15</x:v>
      </x:c>
      <x:c r="P320" s="188" t="n">
        <x:f>O320</x:f>
        <x:v>15</x:v>
      </x:c>
      <x:c r="Q320" s="188" t="n">
        <x:f>'01_ВВОД'!$D$40</x:f>
        <x:v>12</x:v>
      </x:c>
      <x:c r="R320" s="188" t="n">
        <x:f>'01_ВВОД'!$D$46</x:f>
        <x:v>20</x:v>
      </x:c>
      <x:c r="S320" s="188" t="n">
        <x:f>H320</x:f>
        <x:v>0</x:v>
      </x:c>
      <x:c r="T320" s="188" t="n">
        <x:f>IF(H320=1,M320+N320+P320+Q320,0)</x:f>
        <x:v>0</x:v>
      </x:c>
      <x:c r="U320" t="n">
        <x:f>'01_ВВОД'!$D$120</x:f>
        <x:v>10</x:v>
      </x:c>
      <x:c r="V320" t="n">
        <x:f>ROUNDDOWN(SUM(M320,N320,R320,U320)*'01_ВВОД'!$D$127,0)</x:f>
        <x:v>51</x:v>
      </x:c>
      <x:c r="W320" t="n">
        <x:f>ROUNDDOWN(SUM(L320,N320,R320,U320)*'01_ВВОД'!$D$127,0)</x:f>
        <x:v>51</x:v>
      </x:c>
    </x:row>
    <x:row r="321">
      <x:c r="A321" s="200" t="n">
        <x:v>46582</x:v>
      </x:c>
      <x:c r="B321" s="201" t="n">
        <x:v>11</x:v>
      </x:c>
      <x:c r="C321" s="201" t="inlineStr">
        <x:is>
          <x:t xml:space="preserve">Июл-27</x:t>
        </x:is>
      </x:c>
      <x:c r="D321" s="201" t="n">
        <x:v>3</x:v>
      </x:c>
      <x:c r="E321" s="201" t="inlineStr">
        <x:is>
          <x:t xml:space="preserve">Ср</x:t>
        </x:is>
      </x:c>
      <x:c r="F321" s="199" t="n">
        <x:v>0</x:v>
      </x:c>
      <x:c r="G321" s="201" t="str"/>
      <x:c r="H321" s="193" t="n">
        <x:v>0</x:v>
      </x:c>
      <x:c r="I321" s="201" t="str"/>
      <x:c r="J321" s="188" t="n">
        <x:f>1</x:f>
        <x:v>1</x:v>
      </x:c>
      <x:c r="K321" s="188" t="n">
        <x:f>IF(AND(D321&lt;=5,F321=0),1,0)</x:f>
        <x:v>1</x:v>
      </x:c>
      <x:c r="L321" s="188" t="n">
        <x:f>IF(F321=1,'01_ВВОД'!$D$23,CHOOSE(D321,'01_ВВОД'!$D$19,'01_ВВОД'!$D$19,'01_ВВОД'!$D$19,'01_ВВОД'!$D$19,'01_ВВОД'!$D$20,'01_ВВОД'!$D$21,'01_ВВОД'!$D$22))</x:f>
        <x:v>32</x:v>
      </x:c>
      <x:c r="M321" s="188" t="n">
        <x:f>L321*IF(H321=1,'01_ВВОД'!$D$118,1)</x:f>
        <x:v>32</x:v>
      </x:c>
      <x:c r="N321" s="188" t="n">
        <x:f>IF(K321=1,'01_ВВОД'!$D$26,0)</x:f>
        <x:v>40</x:v>
      </x:c>
      <x:c r="O321" s="188" t="n">
        <x:f>IF(F321=1,'01_ВВОД'!$D$34,IF(D321&lt;=5,'01_ВВОД'!$D$32,'01_ВВОД'!$D$33))</x:f>
        <x:v>15</x:v>
      </x:c>
      <x:c r="P321" s="188" t="n">
        <x:f>O321</x:f>
        <x:v>15</x:v>
      </x:c>
      <x:c r="Q321" s="188" t="n">
        <x:f>'01_ВВОД'!$D$40</x:f>
        <x:v>12</x:v>
      </x:c>
      <x:c r="R321" s="188" t="n">
        <x:f>'01_ВВОД'!$D$46</x:f>
        <x:v>20</x:v>
      </x:c>
      <x:c r="S321" s="188" t="n">
        <x:f>H321</x:f>
        <x:v>0</x:v>
      </x:c>
      <x:c r="T321" s="188" t="n">
        <x:f>IF(H321=1,M321+N321+P321+Q321,0)</x:f>
        <x:v>0</x:v>
      </x:c>
      <x:c r="U321" t="n">
        <x:f>'01_ВВОД'!$D$120</x:f>
        <x:v>10</x:v>
      </x:c>
      <x:c r="V321" t="n">
        <x:f>ROUNDDOWN(SUM(M321,N321,R321,U321)*'01_ВВОД'!$D$127,0)</x:f>
        <x:v>51</x:v>
      </x:c>
      <x:c r="W321" t="n">
        <x:f>ROUNDDOWN(SUM(L321,N321,R321,U321)*'01_ВВОД'!$D$127,0)</x:f>
        <x:v>51</x:v>
      </x:c>
    </x:row>
    <x:row r="322">
      <x:c r="A322" s="200" t="n">
        <x:v>46583</x:v>
      </x:c>
      <x:c r="B322" s="201" t="n">
        <x:v>11</x:v>
      </x:c>
      <x:c r="C322" s="201" t="inlineStr">
        <x:is>
          <x:t xml:space="preserve">Июл-27</x:t>
        </x:is>
      </x:c>
      <x:c r="D322" s="201" t="n">
        <x:v>4</x:v>
      </x:c>
      <x:c r="E322" s="201" t="inlineStr">
        <x:is>
          <x:t xml:space="preserve">Чт</x:t>
        </x:is>
      </x:c>
      <x:c r="F322" s="199" t="n">
        <x:v>0</x:v>
      </x:c>
      <x:c r="G322" s="201" t="str"/>
      <x:c r="H322" s="193" t="n">
        <x:v>0</x:v>
      </x:c>
      <x:c r="I322" s="201" t="str"/>
      <x:c r="J322" s="188" t="n">
        <x:f>1</x:f>
        <x:v>1</x:v>
      </x:c>
      <x:c r="K322" s="188" t="n">
        <x:f>IF(AND(D322&lt;=5,F322=0),1,0)</x:f>
        <x:v>1</x:v>
      </x:c>
      <x:c r="L322" s="188" t="n">
        <x:f>IF(F322=1,'01_ВВОД'!$D$23,CHOOSE(D322,'01_ВВОД'!$D$19,'01_ВВОД'!$D$19,'01_ВВОД'!$D$19,'01_ВВОД'!$D$19,'01_ВВОД'!$D$20,'01_ВВОД'!$D$21,'01_ВВОД'!$D$22))</x:f>
        <x:v>32</x:v>
      </x:c>
      <x:c r="M322" s="188" t="n">
        <x:f>L322*IF(H322=1,'01_ВВОД'!$D$118,1)</x:f>
        <x:v>32</x:v>
      </x:c>
      <x:c r="N322" s="188" t="n">
        <x:f>IF(K322=1,'01_ВВОД'!$D$26,0)</x:f>
        <x:v>40</x:v>
      </x:c>
      <x:c r="O322" s="188" t="n">
        <x:f>IF(F322=1,'01_ВВОД'!$D$34,IF(D322&lt;=5,'01_ВВОД'!$D$32,'01_ВВОД'!$D$33))</x:f>
        <x:v>15</x:v>
      </x:c>
      <x:c r="P322" s="188" t="n">
        <x:f>O322</x:f>
        <x:v>15</x:v>
      </x:c>
      <x:c r="Q322" s="188" t="n">
        <x:f>'01_ВВОД'!$D$40</x:f>
        <x:v>12</x:v>
      </x:c>
      <x:c r="R322" s="188" t="n">
        <x:f>'01_ВВОД'!$D$46</x:f>
        <x:v>20</x:v>
      </x:c>
      <x:c r="S322" s="188" t="n">
        <x:f>H322</x:f>
        <x:v>0</x:v>
      </x:c>
      <x:c r="T322" s="188" t="n">
        <x:f>IF(H322=1,M322+N322+P322+Q322,0)</x:f>
        <x:v>0</x:v>
      </x:c>
      <x:c r="U322" t="n">
        <x:f>'01_ВВОД'!$D$120</x:f>
        <x:v>10</x:v>
      </x:c>
      <x:c r="V322" t="n">
        <x:f>ROUNDDOWN(SUM(M322,N322,R322,U322)*'01_ВВОД'!$D$127,0)</x:f>
        <x:v>51</x:v>
      </x:c>
      <x:c r="W322" t="n">
        <x:f>ROUNDDOWN(SUM(L322,N322,R322,U322)*'01_ВВОД'!$D$127,0)</x:f>
        <x:v>51</x:v>
      </x:c>
    </x:row>
    <x:row r="323">
      <x:c r="A323" s="200" t="n">
        <x:v>46584</x:v>
      </x:c>
      <x:c r="B323" s="201" t="n">
        <x:v>11</x:v>
      </x:c>
      <x:c r="C323" s="201" t="inlineStr">
        <x:is>
          <x:t xml:space="preserve">Июл-27</x:t>
        </x:is>
      </x:c>
      <x:c r="D323" s="201" t="n">
        <x:v>5</x:v>
      </x:c>
      <x:c r="E323" s="201" t="inlineStr">
        <x:is>
          <x:t xml:space="preserve">Пт</x:t>
        </x:is>
      </x:c>
      <x:c r="F323" s="199" t="n">
        <x:v>0</x:v>
      </x:c>
      <x:c r="G323" s="201" t="str"/>
      <x:c r="H323" s="193" t="n">
        <x:v>0</x:v>
      </x:c>
      <x:c r="I323" s="201" t="str"/>
      <x:c r="J323" s="188" t="n">
        <x:f>1</x:f>
        <x:v>1</x:v>
      </x:c>
      <x:c r="K323" s="188" t="n">
        <x:f>IF(AND(D323&lt;=5,F323=0),1,0)</x:f>
        <x:v>1</x:v>
      </x:c>
      <x:c r="L323" s="188" t="n">
        <x:f>IF(F323=1,'01_ВВОД'!$D$23,CHOOSE(D323,'01_ВВОД'!$D$19,'01_ВВОД'!$D$19,'01_ВВОД'!$D$19,'01_ВВОД'!$D$19,'01_ВВОД'!$D$20,'01_ВВОД'!$D$21,'01_ВВОД'!$D$22))</x:f>
        <x:v>45</x:v>
      </x:c>
      <x:c r="M323" s="188" t="n">
        <x:f>L323*IF(H323=1,'01_ВВОД'!$D$118,1)</x:f>
        <x:v>45</x:v>
      </x:c>
      <x:c r="N323" s="188" t="n">
        <x:f>IF(K323=1,'01_ВВОД'!$D$26,0)</x:f>
        <x:v>40</x:v>
      </x:c>
      <x:c r="O323" s="188" t="n">
        <x:f>IF(F323=1,'01_ВВОД'!$D$34,IF(D323&lt;=5,'01_ВВОД'!$D$32,'01_ВВОД'!$D$33))</x:f>
        <x:v>15</x:v>
      </x:c>
      <x:c r="P323" s="188" t="n">
        <x:f>O323</x:f>
        <x:v>15</x:v>
      </x:c>
      <x:c r="Q323" s="188" t="n">
        <x:f>'01_ВВОД'!$D$40</x:f>
        <x:v>12</x:v>
      </x:c>
      <x:c r="R323" s="188" t="n">
        <x:f>'01_ВВОД'!$D$46</x:f>
        <x:v>20</x:v>
      </x:c>
      <x:c r="S323" s="188" t="n">
        <x:f>H323</x:f>
        <x:v>0</x:v>
      </x:c>
      <x:c r="T323" s="188" t="n">
        <x:f>IF(H323=1,M323+N323+P323+Q323,0)</x:f>
        <x:v>0</x:v>
      </x:c>
      <x:c r="U323" t="n">
        <x:f>'01_ВВОД'!$D$120</x:f>
        <x:v>10</x:v>
      </x:c>
      <x:c r="V323" t="n">
        <x:f>ROUNDDOWN(SUM(M323,N323,R323,U323)*'01_ВВОД'!$D$127,0)</x:f>
        <x:v>57</x:v>
      </x:c>
      <x:c r="W323" t="n">
        <x:f>ROUNDDOWN(SUM(L323,N323,R323,U323)*'01_ВВОД'!$D$127,0)</x:f>
        <x:v>57</x:v>
      </x:c>
    </x:row>
    <x:row r="324">
      <x:c r="A324" s="200" t="n">
        <x:v>46585</x:v>
      </x:c>
      <x:c r="B324" s="201" t="n">
        <x:v>11</x:v>
      </x:c>
      <x:c r="C324" s="201" t="inlineStr">
        <x:is>
          <x:t xml:space="preserve">Июл-27</x:t>
        </x:is>
      </x:c>
      <x:c r="D324" s="201" t="n">
        <x:v>6</x:v>
      </x:c>
      <x:c r="E324" s="201" t="inlineStr">
        <x:is>
          <x:t xml:space="preserve">Сб</x:t>
        </x:is>
      </x:c>
      <x:c r="F324" s="199" t="n">
        <x:v>0</x:v>
      </x:c>
      <x:c r="G324" s="201" t="str"/>
      <x:c r="H324" s="193" t="n">
        <x:v>0</x:v>
      </x:c>
      <x:c r="I324" s="201" t="str"/>
      <x:c r="J324" s="188" t="n">
        <x:f>1</x:f>
        <x:v>1</x:v>
      </x:c>
      <x:c r="K324" s="188" t="n">
        <x:f>IF(AND(D324&lt;=5,F324=0),1,0)</x:f>
        <x:v>0</x:v>
      </x:c>
      <x:c r="L324" s="188" t="n">
        <x:f>IF(F324=1,'01_ВВОД'!$D$23,CHOOSE(D324,'01_ВВОД'!$D$19,'01_ВВОД'!$D$19,'01_ВВОД'!$D$19,'01_ВВОД'!$D$19,'01_ВВОД'!$D$20,'01_ВВОД'!$D$21,'01_ВВОД'!$D$22))</x:f>
        <x:v>80</x:v>
      </x:c>
      <x:c r="M324" s="188" t="n">
        <x:f>L324*IF(H324=1,'01_ВВОД'!$D$118,1)</x:f>
        <x:v>80</x:v>
      </x:c>
      <x:c r="N324" s="188" t="n">
        <x:f>IF(K324=1,'01_ВВОД'!$D$26,0)</x:f>
        <x:v>0</x:v>
      </x:c>
      <x:c r="O324" s="188" t="n">
        <x:f>IF(F324=1,'01_ВВОД'!$D$34,IF(D324&lt;=5,'01_ВВОД'!$D$32,'01_ВВОД'!$D$33))</x:f>
        <x:v>30</x:v>
      </x:c>
      <x:c r="P324" s="188" t="n">
        <x:f>O324</x:f>
        <x:v>30</x:v>
      </x:c>
      <x:c r="Q324" s="188" t="n">
        <x:f>'01_ВВОД'!$D$40</x:f>
        <x:v>12</x:v>
      </x:c>
      <x:c r="R324" s="188" t="n">
        <x:f>'01_ВВОД'!$D$46</x:f>
        <x:v>20</x:v>
      </x:c>
      <x:c r="S324" s="188" t="n">
        <x:f>H324</x:f>
        <x:v>0</x:v>
      </x:c>
      <x:c r="T324" s="188" t="n">
        <x:f>IF(H324=1,M324+N324+P324+Q324,0)</x:f>
        <x:v>0</x:v>
      </x:c>
      <x:c r="U324" t="n">
        <x:f>'01_ВВОД'!$D$120</x:f>
        <x:v>10</x:v>
      </x:c>
      <x:c r="V324" t="n">
        <x:f>ROUNDDOWN(SUM(M324,N324,R324,U324)*'01_ВВОД'!$D$127,0)</x:f>
        <x:v>55</x:v>
      </x:c>
      <x:c r="W324" t="n">
        <x:f>ROUNDDOWN(SUM(L324,N324,R324,U324)*'01_ВВОД'!$D$127,0)</x:f>
        <x:v>55</x:v>
      </x:c>
    </x:row>
    <x:row r="325">
      <x:c r="A325" s="200" t="n">
        <x:v>46586</x:v>
      </x:c>
      <x:c r="B325" s="201" t="n">
        <x:v>11</x:v>
      </x:c>
      <x:c r="C325" s="201" t="inlineStr">
        <x:is>
          <x:t xml:space="preserve">Июл-27</x:t>
        </x:is>
      </x:c>
      <x:c r="D325" s="201" t="n">
        <x:v>7</x:v>
      </x:c>
      <x:c r="E325" s="201" t="inlineStr">
        <x:is>
          <x:t xml:space="preserve">Вс</x:t>
        </x:is>
      </x:c>
      <x:c r="F325" s="199" t="n">
        <x:v>0</x:v>
      </x:c>
      <x:c r="G325" s="201" t="str"/>
      <x:c r="H325" s="193" t="n">
        <x:v>1</x:v>
      </x:c>
      <x:c r="I325" s="201" t="inlineStr">
        <x:is>
          <x:t xml:space="preserve">Пт–Вс</x:t>
        </x:is>
      </x:c>
      <x:c r="J325" s="188" t="n">
        <x:f>1</x:f>
        <x:v>1</x:v>
      </x:c>
      <x:c r="K325" s="188" t="n">
        <x:f>IF(AND(D325&lt;=5,F325=0),1,0)</x:f>
        <x:v>0</x:v>
      </x:c>
      <x:c r="L325" s="188" t="n">
        <x:f>IF(F325=1,'01_ВВОД'!$D$23,CHOOSE(D325,'01_ВВОД'!$D$19,'01_ВВОД'!$D$19,'01_ВВОД'!$D$19,'01_ВВОД'!$D$19,'01_ВВОД'!$D$20,'01_ВВОД'!$D$21,'01_ВВОД'!$D$22))</x:f>
        <x:v>70</x:v>
      </x:c>
      <x:c r="M325" s="188" t="n">
        <x:f>L325*IF(H325=1,'01_ВВОД'!$D$118,1)</x:f>
        <x:v>14</x:v>
      </x:c>
      <x:c r="N325" s="188" t="n">
        <x:f>IF(K325=1,'01_ВВОД'!$D$26,0)</x:f>
        <x:v>0</x:v>
      </x:c>
      <x:c r="O325" s="188" t="n">
        <x:f>IF(F325=1,'01_ВВОД'!$D$34,IF(D325&lt;=5,'01_ВВОД'!$D$32,'01_ВВОД'!$D$33))</x:f>
        <x:v>30</x:v>
      </x:c>
      <x:c r="P325" s="188" t="n">
        <x:f>O325</x:f>
        <x:v>30</x:v>
      </x:c>
      <x:c r="Q325" s="188" t="n">
        <x:f>'01_ВВОД'!$D$40</x:f>
        <x:v>12</x:v>
      </x:c>
      <x:c r="R325" s="188" t="n">
        <x:f>'01_ВВОД'!$D$46</x:f>
        <x:v>20</x:v>
      </x:c>
      <x:c r="S325" s="188" t="n">
        <x:f>H325</x:f>
        <x:v>1</x:v>
      </x:c>
      <x:c r="T325" s="188" t="n">
        <x:f>IF(H325=1,M325+N325+P325+Q325,0)</x:f>
        <x:v>56</x:v>
      </x:c>
      <x:c r="U325" t="n">
        <x:f>'01_ВВОД'!$D$120</x:f>
        <x:v>10</x:v>
      </x:c>
      <x:c r="V325" t="n">
        <x:f>ROUNDDOWN(SUM(M325,N325,R325,U325)*'01_ВВОД'!$D$127,0)</x:f>
        <x:v>22</x:v>
      </x:c>
      <x:c r="W325" t="n">
        <x:f>ROUNDDOWN(SUM(L325,N325,R325,U325)*'01_ВВОД'!$D$127,0)</x:f>
        <x:v>50</x:v>
      </x:c>
    </x:row>
    <x:row r="326">
      <x:c r="A326" s="200" t="n">
        <x:v>46587</x:v>
      </x:c>
      <x:c r="B326" s="201" t="n">
        <x:v>11</x:v>
      </x:c>
      <x:c r="C326" s="201" t="inlineStr">
        <x:is>
          <x:t xml:space="preserve">Июл-27</x:t>
        </x:is>
      </x:c>
      <x:c r="D326" s="201" t="n">
        <x:v>1</x:v>
      </x:c>
      <x:c r="E326" s="201" t="inlineStr">
        <x:is>
          <x:t xml:space="preserve">Пн</x:t>
        </x:is>
      </x:c>
      <x:c r="F326" s="199" t="n">
        <x:v>0</x:v>
      </x:c>
      <x:c r="G326" s="201" t="str"/>
      <x:c r="H326" s="193" t="n">
        <x:v>0</x:v>
      </x:c>
      <x:c r="I326" s="201" t="str"/>
      <x:c r="J326" s="188" t="n">
        <x:f>1</x:f>
        <x:v>1</x:v>
      </x:c>
      <x:c r="K326" s="188" t="n">
        <x:f>IF(AND(D326&lt;=5,F326=0),1,0)</x:f>
        <x:v>1</x:v>
      </x:c>
      <x:c r="L326" s="188" t="n">
        <x:f>IF(F326=1,'01_ВВОД'!$D$23,CHOOSE(D326,'01_ВВОД'!$D$19,'01_ВВОД'!$D$19,'01_ВВОД'!$D$19,'01_ВВОД'!$D$19,'01_ВВОД'!$D$20,'01_ВВОД'!$D$21,'01_ВВОД'!$D$22))</x:f>
        <x:v>32</x:v>
      </x:c>
      <x:c r="M326" s="188" t="n">
        <x:f>L326*IF(H326=1,'01_ВВОД'!$D$118,1)</x:f>
        <x:v>32</x:v>
      </x:c>
      <x:c r="N326" s="188" t="n">
        <x:f>IF(K326=1,'01_ВВОД'!$D$26,0)</x:f>
        <x:v>40</x:v>
      </x:c>
      <x:c r="O326" s="188" t="n">
        <x:f>IF(F326=1,'01_ВВОД'!$D$34,IF(D326&lt;=5,'01_ВВОД'!$D$32,'01_ВВОД'!$D$33))</x:f>
        <x:v>15</x:v>
      </x:c>
      <x:c r="P326" s="188" t="n">
        <x:f>O326</x:f>
        <x:v>15</x:v>
      </x:c>
      <x:c r="Q326" s="188" t="n">
        <x:f>'01_ВВОД'!$D$40</x:f>
        <x:v>12</x:v>
      </x:c>
      <x:c r="R326" s="188" t="n">
        <x:f>'01_ВВОД'!$D$46</x:f>
        <x:v>20</x:v>
      </x:c>
      <x:c r="S326" s="188" t="n">
        <x:f>H326</x:f>
        <x:v>0</x:v>
      </x:c>
      <x:c r="T326" s="188" t="n">
        <x:f>IF(H326=1,M326+N326+P326+Q326,0)</x:f>
        <x:v>0</x:v>
      </x:c>
      <x:c r="U326" t="n">
        <x:f>'01_ВВОД'!$D$120</x:f>
        <x:v>10</x:v>
      </x:c>
      <x:c r="V326" t="n">
        <x:f>ROUNDDOWN(SUM(M326,N326,R326,U326)*'01_ВВОД'!$D$127,0)</x:f>
        <x:v>51</x:v>
      </x:c>
      <x:c r="W326" t="n">
        <x:f>ROUNDDOWN(SUM(L326,N326,R326,U326)*'01_ВВОД'!$D$127,0)</x:f>
        <x:v>51</x:v>
      </x:c>
    </x:row>
    <x:row r="327">
      <x:c r="A327" s="200" t="n">
        <x:v>46588</x:v>
      </x:c>
      <x:c r="B327" s="201" t="n">
        <x:v>11</x:v>
      </x:c>
      <x:c r="C327" s="201" t="inlineStr">
        <x:is>
          <x:t xml:space="preserve">Июл-27</x:t>
        </x:is>
      </x:c>
      <x:c r="D327" s="201" t="n">
        <x:v>2</x:v>
      </x:c>
      <x:c r="E327" s="201" t="inlineStr">
        <x:is>
          <x:t xml:space="preserve">Вт</x:t>
        </x:is>
      </x:c>
      <x:c r="F327" s="199" t="n">
        <x:v>0</x:v>
      </x:c>
      <x:c r="G327" s="201" t="str"/>
      <x:c r="H327" s="193" t="n">
        <x:v>0</x:v>
      </x:c>
      <x:c r="I327" s="201" t="str"/>
      <x:c r="J327" s="188" t="n">
        <x:f>1</x:f>
        <x:v>1</x:v>
      </x:c>
      <x:c r="K327" s="188" t="n">
        <x:f>IF(AND(D327&lt;=5,F327=0),1,0)</x:f>
        <x:v>1</x:v>
      </x:c>
      <x:c r="L327" s="188" t="n">
        <x:f>IF(F327=1,'01_ВВОД'!$D$23,CHOOSE(D327,'01_ВВОД'!$D$19,'01_ВВОД'!$D$19,'01_ВВОД'!$D$19,'01_ВВОД'!$D$19,'01_ВВОД'!$D$20,'01_ВВОД'!$D$21,'01_ВВОД'!$D$22))</x:f>
        <x:v>32</x:v>
      </x:c>
      <x:c r="M327" s="188" t="n">
        <x:f>L327*IF(H327=1,'01_ВВОД'!$D$118,1)</x:f>
        <x:v>32</x:v>
      </x:c>
      <x:c r="N327" s="188" t="n">
        <x:f>IF(K327=1,'01_ВВОД'!$D$26,0)</x:f>
        <x:v>40</x:v>
      </x:c>
      <x:c r="O327" s="188" t="n">
        <x:f>IF(F327=1,'01_ВВОД'!$D$34,IF(D327&lt;=5,'01_ВВОД'!$D$32,'01_ВВОД'!$D$33))</x:f>
        <x:v>15</x:v>
      </x:c>
      <x:c r="P327" s="188" t="n">
        <x:f>O327</x:f>
        <x:v>15</x:v>
      </x:c>
      <x:c r="Q327" s="188" t="n">
        <x:f>'01_ВВОД'!$D$40</x:f>
        <x:v>12</x:v>
      </x:c>
      <x:c r="R327" s="188" t="n">
        <x:f>'01_ВВОД'!$D$46</x:f>
        <x:v>20</x:v>
      </x:c>
      <x:c r="S327" s="188" t="n">
        <x:f>H327</x:f>
        <x:v>0</x:v>
      </x:c>
      <x:c r="T327" s="188" t="n">
        <x:f>IF(H327=1,M327+N327+P327+Q327,0)</x:f>
        <x:v>0</x:v>
      </x:c>
      <x:c r="U327" t="n">
        <x:f>'01_ВВОД'!$D$120</x:f>
        <x:v>10</x:v>
      </x:c>
      <x:c r="V327" t="n">
        <x:f>ROUNDDOWN(SUM(M327,N327,R327,U327)*'01_ВВОД'!$D$127,0)</x:f>
        <x:v>51</x:v>
      </x:c>
      <x:c r="W327" t="n">
        <x:f>ROUNDDOWN(SUM(L327,N327,R327,U327)*'01_ВВОД'!$D$127,0)</x:f>
        <x:v>51</x:v>
      </x:c>
    </x:row>
    <x:row r="328">
      <x:c r="A328" s="200" t="n">
        <x:v>46589</x:v>
      </x:c>
      <x:c r="B328" s="201" t="n">
        <x:v>11</x:v>
      </x:c>
      <x:c r="C328" s="201" t="inlineStr">
        <x:is>
          <x:t xml:space="preserve">Июл-27</x:t>
        </x:is>
      </x:c>
      <x:c r="D328" s="201" t="n">
        <x:v>3</x:v>
      </x:c>
      <x:c r="E328" s="201" t="inlineStr">
        <x:is>
          <x:t xml:space="preserve">Ср</x:t>
        </x:is>
      </x:c>
      <x:c r="F328" s="199" t="n">
        <x:v>0</x:v>
      </x:c>
      <x:c r="G328" s="201" t="str"/>
      <x:c r="H328" s="193" t="n">
        <x:v>0</x:v>
      </x:c>
      <x:c r="I328" s="201" t="str"/>
      <x:c r="J328" s="188" t="n">
        <x:f>1</x:f>
        <x:v>1</x:v>
      </x:c>
      <x:c r="K328" s="188" t="n">
        <x:f>IF(AND(D328&lt;=5,F328=0),1,0)</x:f>
        <x:v>1</x:v>
      </x:c>
      <x:c r="L328" s="188" t="n">
        <x:f>IF(F328=1,'01_ВВОД'!$D$23,CHOOSE(D328,'01_ВВОД'!$D$19,'01_ВВОД'!$D$19,'01_ВВОД'!$D$19,'01_ВВОД'!$D$19,'01_ВВОД'!$D$20,'01_ВВОД'!$D$21,'01_ВВОД'!$D$22))</x:f>
        <x:v>32</x:v>
      </x:c>
      <x:c r="M328" s="188" t="n">
        <x:f>L328*IF(H328=1,'01_ВВОД'!$D$118,1)</x:f>
        <x:v>32</x:v>
      </x:c>
      <x:c r="N328" s="188" t="n">
        <x:f>IF(K328=1,'01_ВВОД'!$D$26,0)</x:f>
        <x:v>40</x:v>
      </x:c>
      <x:c r="O328" s="188" t="n">
        <x:f>IF(F328=1,'01_ВВОД'!$D$34,IF(D328&lt;=5,'01_ВВОД'!$D$32,'01_ВВОД'!$D$33))</x:f>
        <x:v>15</x:v>
      </x:c>
      <x:c r="P328" s="188" t="n">
        <x:f>O328</x:f>
        <x:v>15</x:v>
      </x:c>
      <x:c r="Q328" s="188" t="n">
        <x:f>'01_ВВОД'!$D$40</x:f>
        <x:v>12</x:v>
      </x:c>
      <x:c r="R328" s="188" t="n">
        <x:f>'01_ВВОД'!$D$46</x:f>
        <x:v>20</x:v>
      </x:c>
      <x:c r="S328" s="188" t="n">
        <x:f>H328</x:f>
        <x:v>0</x:v>
      </x:c>
      <x:c r="T328" s="188" t="n">
        <x:f>IF(H328=1,M328+N328+P328+Q328,0)</x:f>
        <x:v>0</x:v>
      </x:c>
      <x:c r="U328" t="n">
        <x:f>'01_ВВОД'!$D$120</x:f>
        <x:v>10</x:v>
      </x:c>
      <x:c r="V328" t="n">
        <x:f>ROUNDDOWN(SUM(M328,N328,R328,U328)*'01_ВВОД'!$D$127,0)</x:f>
        <x:v>51</x:v>
      </x:c>
      <x:c r="W328" t="n">
        <x:f>ROUNDDOWN(SUM(L328,N328,R328,U328)*'01_ВВОД'!$D$127,0)</x:f>
        <x:v>51</x:v>
      </x:c>
    </x:row>
    <x:row r="329">
      <x:c r="A329" s="200" t="n">
        <x:v>46590</x:v>
      </x:c>
      <x:c r="B329" s="201" t="n">
        <x:v>11</x:v>
      </x:c>
      <x:c r="C329" s="201" t="inlineStr">
        <x:is>
          <x:t xml:space="preserve">Июл-27</x:t>
        </x:is>
      </x:c>
      <x:c r="D329" s="201" t="n">
        <x:v>4</x:v>
      </x:c>
      <x:c r="E329" s="201" t="inlineStr">
        <x:is>
          <x:t xml:space="preserve">Чт</x:t>
        </x:is>
      </x:c>
      <x:c r="F329" s="199" t="n">
        <x:v>0</x:v>
      </x:c>
      <x:c r="G329" s="201" t="str"/>
      <x:c r="H329" s="193" t="n">
        <x:v>0</x:v>
      </x:c>
      <x:c r="I329" s="201" t="str"/>
      <x:c r="J329" s="188" t="n">
        <x:f>1</x:f>
        <x:v>1</x:v>
      </x:c>
      <x:c r="K329" s="188" t="n">
        <x:f>IF(AND(D329&lt;=5,F329=0),1,0)</x:f>
        <x:v>1</x:v>
      </x:c>
      <x:c r="L329" s="188" t="n">
        <x:f>IF(F329=1,'01_ВВОД'!$D$23,CHOOSE(D329,'01_ВВОД'!$D$19,'01_ВВОД'!$D$19,'01_ВВОД'!$D$19,'01_ВВОД'!$D$19,'01_ВВОД'!$D$20,'01_ВВОД'!$D$21,'01_ВВОД'!$D$22))</x:f>
        <x:v>32</x:v>
      </x:c>
      <x:c r="M329" s="188" t="n">
        <x:f>L329*IF(H329=1,'01_ВВОД'!$D$118,1)</x:f>
        <x:v>32</x:v>
      </x:c>
      <x:c r="N329" s="188" t="n">
        <x:f>IF(K329=1,'01_ВВОД'!$D$26,0)</x:f>
        <x:v>40</x:v>
      </x:c>
      <x:c r="O329" s="188" t="n">
        <x:f>IF(F329=1,'01_ВВОД'!$D$34,IF(D329&lt;=5,'01_ВВОД'!$D$32,'01_ВВОД'!$D$33))</x:f>
        <x:v>15</x:v>
      </x:c>
      <x:c r="P329" s="188" t="n">
        <x:f>O329</x:f>
        <x:v>15</x:v>
      </x:c>
      <x:c r="Q329" s="188" t="n">
        <x:f>'01_ВВОД'!$D$40</x:f>
        <x:v>12</x:v>
      </x:c>
      <x:c r="R329" s="188" t="n">
        <x:f>'01_ВВОД'!$D$46</x:f>
        <x:v>20</x:v>
      </x:c>
      <x:c r="S329" s="188" t="n">
        <x:f>H329</x:f>
        <x:v>0</x:v>
      </x:c>
      <x:c r="T329" s="188" t="n">
        <x:f>IF(H329=1,M329+N329+P329+Q329,0)</x:f>
        <x:v>0</x:v>
      </x:c>
      <x:c r="U329" t="n">
        <x:f>'01_ВВОД'!$D$120</x:f>
        <x:v>10</x:v>
      </x:c>
      <x:c r="V329" t="n">
        <x:f>ROUNDDOWN(SUM(M329,N329,R329,U329)*'01_ВВОД'!$D$127,0)</x:f>
        <x:v>51</x:v>
      </x:c>
      <x:c r="W329" t="n">
        <x:f>ROUNDDOWN(SUM(L329,N329,R329,U329)*'01_ВВОД'!$D$127,0)</x:f>
        <x:v>51</x:v>
      </x:c>
    </x:row>
    <x:row r="330">
      <x:c r="A330" s="200" t="n">
        <x:v>46591</x:v>
      </x:c>
      <x:c r="B330" s="201" t="n">
        <x:v>11</x:v>
      </x:c>
      <x:c r="C330" s="201" t="inlineStr">
        <x:is>
          <x:t xml:space="preserve">Июл-27</x:t>
        </x:is>
      </x:c>
      <x:c r="D330" s="201" t="n">
        <x:v>5</x:v>
      </x:c>
      <x:c r="E330" s="201" t="inlineStr">
        <x:is>
          <x:t xml:space="preserve">Пт</x:t>
        </x:is>
      </x:c>
      <x:c r="F330" s="199" t="n">
        <x:v>0</x:v>
      </x:c>
      <x:c r="G330" s="201" t="str"/>
      <x:c r="H330" s="193" t="n">
        <x:v>0</x:v>
      </x:c>
      <x:c r="I330" s="201" t="str"/>
      <x:c r="J330" s="188" t="n">
        <x:f>1</x:f>
        <x:v>1</x:v>
      </x:c>
      <x:c r="K330" s="188" t="n">
        <x:f>IF(AND(D330&lt;=5,F330=0),1,0)</x:f>
        <x:v>1</x:v>
      </x:c>
      <x:c r="L330" s="188" t="n">
        <x:f>IF(F330=1,'01_ВВОД'!$D$23,CHOOSE(D330,'01_ВВОД'!$D$19,'01_ВВОД'!$D$19,'01_ВВОД'!$D$19,'01_ВВОД'!$D$19,'01_ВВОД'!$D$20,'01_ВВОД'!$D$21,'01_ВВОД'!$D$22))</x:f>
        <x:v>45</x:v>
      </x:c>
      <x:c r="M330" s="188" t="n">
        <x:f>L330*IF(H330=1,'01_ВВОД'!$D$118,1)</x:f>
        <x:v>45</x:v>
      </x:c>
      <x:c r="N330" s="188" t="n">
        <x:f>IF(K330=1,'01_ВВОД'!$D$26,0)</x:f>
        <x:v>40</x:v>
      </x:c>
      <x:c r="O330" s="188" t="n">
        <x:f>IF(F330=1,'01_ВВОД'!$D$34,IF(D330&lt;=5,'01_ВВОД'!$D$32,'01_ВВОД'!$D$33))</x:f>
        <x:v>15</x:v>
      </x:c>
      <x:c r="P330" s="188" t="n">
        <x:f>O330</x:f>
        <x:v>15</x:v>
      </x:c>
      <x:c r="Q330" s="188" t="n">
        <x:f>'01_ВВОД'!$D$40</x:f>
        <x:v>12</x:v>
      </x:c>
      <x:c r="R330" s="188" t="n">
        <x:f>'01_ВВОД'!$D$46</x:f>
        <x:v>20</x:v>
      </x:c>
      <x:c r="S330" s="188" t="n">
        <x:f>H330</x:f>
        <x:v>0</x:v>
      </x:c>
      <x:c r="T330" s="188" t="n">
        <x:f>IF(H330=1,M330+N330+P330+Q330,0)</x:f>
        <x:v>0</x:v>
      </x:c>
      <x:c r="U330" t="n">
        <x:f>'01_ВВОД'!$D$120</x:f>
        <x:v>10</x:v>
      </x:c>
      <x:c r="V330" t="n">
        <x:f>ROUNDDOWN(SUM(M330,N330,R330,U330)*'01_ВВОД'!$D$127,0)</x:f>
        <x:v>57</x:v>
      </x:c>
      <x:c r="W330" t="n">
        <x:f>ROUNDDOWN(SUM(L330,N330,R330,U330)*'01_ВВОД'!$D$127,0)</x:f>
        <x:v>57</x:v>
      </x:c>
    </x:row>
    <x:row r="331">
      <x:c r="A331" s="200" t="n">
        <x:v>46592</x:v>
      </x:c>
      <x:c r="B331" s="201" t="n">
        <x:v>11</x:v>
      </x:c>
      <x:c r="C331" s="201" t="inlineStr">
        <x:is>
          <x:t xml:space="preserve">Июл-27</x:t>
        </x:is>
      </x:c>
      <x:c r="D331" s="201" t="n">
        <x:v>6</x:v>
      </x:c>
      <x:c r="E331" s="201" t="inlineStr">
        <x:is>
          <x:t xml:space="preserve">Сб</x:t>
        </x:is>
      </x:c>
      <x:c r="F331" s="199" t="n">
        <x:v>0</x:v>
      </x:c>
      <x:c r="G331" s="201" t="str"/>
      <x:c r="H331" s="193" t="n">
        <x:v>0</x:v>
      </x:c>
      <x:c r="I331" s="201" t="str"/>
      <x:c r="J331" s="188" t="n">
        <x:f>1</x:f>
        <x:v>1</x:v>
      </x:c>
      <x:c r="K331" s="188" t="n">
        <x:f>IF(AND(D331&lt;=5,F331=0),1,0)</x:f>
        <x:v>0</x:v>
      </x:c>
      <x:c r="L331" s="188" t="n">
        <x:f>IF(F331=1,'01_ВВОД'!$D$23,CHOOSE(D331,'01_ВВОД'!$D$19,'01_ВВОД'!$D$19,'01_ВВОД'!$D$19,'01_ВВОД'!$D$19,'01_ВВОД'!$D$20,'01_ВВОД'!$D$21,'01_ВВОД'!$D$22))</x:f>
        <x:v>80</x:v>
      </x:c>
      <x:c r="M331" s="188" t="n">
        <x:f>L331*IF(H331=1,'01_ВВОД'!$D$118,1)</x:f>
        <x:v>80</x:v>
      </x:c>
      <x:c r="N331" s="188" t="n">
        <x:f>IF(K331=1,'01_ВВОД'!$D$26,0)</x:f>
        <x:v>0</x:v>
      </x:c>
      <x:c r="O331" s="188" t="n">
        <x:f>IF(F331=1,'01_ВВОД'!$D$34,IF(D331&lt;=5,'01_ВВОД'!$D$32,'01_ВВОД'!$D$33))</x:f>
        <x:v>30</x:v>
      </x:c>
      <x:c r="P331" s="188" t="n">
        <x:f>O331</x:f>
        <x:v>30</x:v>
      </x:c>
      <x:c r="Q331" s="188" t="n">
        <x:f>'01_ВВОД'!$D$40</x:f>
        <x:v>12</x:v>
      </x:c>
      <x:c r="R331" s="188" t="n">
        <x:f>'01_ВВОД'!$D$46</x:f>
        <x:v>20</x:v>
      </x:c>
      <x:c r="S331" s="188" t="n">
        <x:f>H331</x:f>
        <x:v>0</x:v>
      </x:c>
      <x:c r="T331" s="188" t="n">
        <x:f>IF(H331=1,M331+N331+P331+Q331,0)</x:f>
        <x:v>0</x:v>
      </x:c>
      <x:c r="U331" t="n">
        <x:f>'01_ВВОД'!$D$120</x:f>
        <x:v>10</x:v>
      </x:c>
      <x:c r="V331" t="n">
        <x:f>ROUNDDOWN(SUM(M331,N331,R331,U331)*'01_ВВОД'!$D$127,0)</x:f>
        <x:v>55</x:v>
      </x:c>
      <x:c r="W331" t="n">
        <x:f>ROUNDDOWN(SUM(L331,N331,R331,U331)*'01_ВВОД'!$D$127,0)</x:f>
        <x:v>55</x:v>
      </x:c>
    </x:row>
    <x:row r="332">
      <x:c r="A332" s="200" t="n">
        <x:v>46593</x:v>
      </x:c>
      <x:c r="B332" s="201" t="n">
        <x:v>11</x:v>
      </x:c>
      <x:c r="C332" s="201" t="inlineStr">
        <x:is>
          <x:t xml:space="preserve">Июл-27</x:t>
        </x:is>
      </x:c>
      <x:c r="D332" s="201" t="n">
        <x:v>7</x:v>
      </x:c>
      <x:c r="E332" s="201" t="inlineStr">
        <x:is>
          <x:t xml:space="preserve">Вс</x:t>
        </x:is>
      </x:c>
      <x:c r="F332" s="199" t="n">
        <x:v>0</x:v>
      </x:c>
      <x:c r="G332" s="201" t="str"/>
      <x:c r="H332" s="193" t="n">
        <x:v>0</x:v>
      </x:c>
      <x:c r="I332" s="201" t="str"/>
      <x:c r="J332" s="188" t="n">
        <x:f>1</x:f>
        <x:v>1</x:v>
      </x:c>
      <x:c r="K332" s="188" t="n">
        <x:f>IF(AND(D332&lt;=5,F332=0),1,0)</x:f>
        <x:v>0</x:v>
      </x:c>
      <x:c r="L332" s="188" t="n">
        <x:f>IF(F332=1,'01_ВВОД'!$D$23,CHOOSE(D332,'01_ВВОД'!$D$19,'01_ВВОД'!$D$19,'01_ВВОД'!$D$19,'01_ВВОД'!$D$19,'01_ВВОД'!$D$20,'01_ВВОД'!$D$21,'01_ВВОД'!$D$22))</x:f>
        <x:v>70</x:v>
      </x:c>
      <x:c r="M332" s="188" t="n">
        <x:f>L332*IF(H332=1,'01_ВВОД'!$D$118,1)</x:f>
        <x:v>70</x:v>
      </x:c>
      <x:c r="N332" s="188" t="n">
        <x:f>IF(K332=1,'01_ВВОД'!$D$26,0)</x:f>
        <x:v>0</x:v>
      </x:c>
      <x:c r="O332" s="188" t="n">
        <x:f>IF(F332=1,'01_ВВОД'!$D$34,IF(D332&lt;=5,'01_ВВОД'!$D$32,'01_ВВОД'!$D$33))</x:f>
        <x:v>30</x:v>
      </x:c>
      <x:c r="P332" s="188" t="n">
        <x:f>O332</x:f>
        <x:v>30</x:v>
      </x:c>
      <x:c r="Q332" s="188" t="n">
        <x:f>'01_ВВОД'!$D$40</x:f>
        <x:v>12</x:v>
      </x:c>
      <x:c r="R332" s="188" t="n">
        <x:f>'01_ВВОД'!$D$46</x:f>
        <x:v>20</x:v>
      </x:c>
      <x:c r="S332" s="188" t="n">
        <x:f>H332</x:f>
        <x:v>0</x:v>
      </x:c>
      <x:c r="T332" s="188" t="n">
        <x:f>IF(H332=1,M332+N332+P332+Q332,0)</x:f>
        <x:v>0</x:v>
      </x:c>
      <x:c r="U332" t="n">
        <x:f>'01_ВВОД'!$D$120</x:f>
        <x:v>10</x:v>
      </x:c>
      <x:c r="V332" t="n">
        <x:f>ROUNDDOWN(SUM(M332,N332,R332,U332)*'01_ВВОД'!$D$127,0)</x:f>
        <x:v>50</x:v>
      </x:c>
      <x:c r="W332" t="n">
        <x:f>ROUNDDOWN(SUM(L332,N332,R332,U332)*'01_ВВОД'!$D$127,0)</x:f>
        <x:v>50</x:v>
      </x:c>
    </x:row>
    <x:row r="333">
      <x:c r="A333" s="200" t="n">
        <x:v>46594</x:v>
      </x:c>
      <x:c r="B333" s="201" t="n">
        <x:v>11</x:v>
      </x:c>
      <x:c r="C333" s="201" t="inlineStr">
        <x:is>
          <x:t xml:space="preserve">Июл-27</x:t>
        </x:is>
      </x:c>
      <x:c r="D333" s="201" t="n">
        <x:v>1</x:v>
      </x:c>
      <x:c r="E333" s="201" t="inlineStr">
        <x:is>
          <x:t xml:space="preserve">Пн</x:t>
        </x:is>
      </x:c>
      <x:c r="F333" s="199" t="n">
        <x:v>0</x:v>
      </x:c>
      <x:c r="G333" s="201" t="str"/>
      <x:c r="H333" s="193" t="n">
        <x:v>0</x:v>
      </x:c>
      <x:c r="I333" s="201" t="str"/>
      <x:c r="J333" s="188" t="n">
        <x:f>1</x:f>
        <x:v>1</x:v>
      </x:c>
      <x:c r="K333" s="188" t="n">
        <x:f>IF(AND(D333&lt;=5,F333=0),1,0)</x:f>
        <x:v>1</x:v>
      </x:c>
      <x:c r="L333" s="188" t="n">
        <x:f>IF(F333=1,'01_ВВОД'!$D$23,CHOOSE(D333,'01_ВВОД'!$D$19,'01_ВВОД'!$D$19,'01_ВВОД'!$D$19,'01_ВВОД'!$D$19,'01_ВВОД'!$D$20,'01_ВВОД'!$D$21,'01_ВВОД'!$D$22))</x:f>
        <x:v>32</x:v>
      </x:c>
      <x:c r="M333" s="188" t="n">
        <x:f>L333*IF(H333=1,'01_ВВОД'!$D$118,1)</x:f>
        <x:v>32</x:v>
      </x:c>
      <x:c r="N333" s="188" t="n">
        <x:f>IF(K333=1,'01_ВВОД'!$D$26,0)</x:f>
        <x:v>40</x:v>
      </x:c>
      <x:c r="O333" s="188" t="n">
        <x:f>IF(F333=1,'01_ВВОД'!$D$34,IF(D333&lt;=5,'01_ВВОД'!$D$32,'01_ВВОД'!$D$33))</x:f>
        <x:v>15</x:v>
      </x:c>
      <x:c r="P333" s="188" t="n">
        <x:f>O333</x:f>
        <x:v>15</x:v>
      </x:c>
      <x:c r="Q333" s="188" t="n">
        <x:f>'01_ВВОД'!$D$40</x:f>
        <x:v>12</x:v>
      </x:c>
      <x:c r="R333" s="188" t="n">
        <x:f>'01_ВВОД'!$D$46</x:f>
        <x:v>20</x:v>
      </x:c>
      <x:c r="S333" s="188" t="n">
        <x:f>H333</x:f>
        <x:v>0</x:v>
      </x:c>
      <x:c r="T333" s="188" t="n">
        <x:f>IF(H333=1,M333+N333+P333+Q333,0)</x:f>
        <x:v>0</x:v>
      </x:c>
      <x:c r="U333" t="n">
        <x:f>'01_ВВОД'!$D$120</x:f>
        <x:v>10</x:v>
      </x:c>
      <x:c r="V333" t="n">
        <x:f>ROUNDDOWN(SUM(M333,N333,R333,U333)*'01_ВВОД'!$D$127,0)</x:f>
        <x:v>51</x:v>
      </x:c>
      <x:c r="W333" t="n">
        <x:f>ROUNDDOWN(SUM(L333,N333,R333,U333)*'01_ВВОД'!$D$127,0)</x:f>
        <x:v>51</x:v>
      </x:c>
    </x:row>
    <x:row r="334">
      <x:c r="A334" s="200" t="n">
        <x:v>46595</x:v>
      </x:c>
      <x:c r="B334" s="201" t="n">
        <x:v>11</x:v>
      </x:c>
      <x:c r="C334" s="201" t="inlineStr">
        <x:is>
          <x:t xml:space="preserve">Июл-27</x:t>
        </x:is>
      </x:c>
      <x:c r="D334" s="201" t="n">
        <x:v>2</x:v>
      </x:c>
      <x:c r="E334" s="201" t="inlineStr">
        <x:is>
          <x:t xml:space="preserve">Вт</x:t>
        </x:is>
      </x:c>
      <x:c r="F334" s="199" t="n">
        <x:v>0</x:v>
      </x:c>
      <x:c r="G334" s="201" t="str"/>
      <x:c r="H334" s="193" t="n">
        <x:v>1</x:v>
      </x:c>
      <x:c r="I334" s="201" t="inlineStr">
        <x:is>
          <x:t xml:space="preserve">Пн–Чт</x:t>
        </x:is>
      </x:c>
      <x:c r="J334" s="188" t="n">
        <x:f>1</x:f>
        <x:v>1</x:v>
      </x:c>
      <x:c r="K334" s="188" t="n">
        <x:f>IF(AND(D334&lt;=5,F334=0),1,0)</x:f>
        <x:v>1</x:v>
      </x:c>
      <x:c r="L334" s="188" t="n">
        <x:f>IF(F334=1,'01_ВВОД'!$D$23,CHOOSE(D334,'01_ВВОД'!$D$19,'01_ВВОД'!$D$19,'01_ВВОД'!$D$19,'01_ВВОД'!$D$19,'01_ВВОД'!$D$20,'01_ВВОД'!$D$21,'01_ВВОД'!$D$22))</x:f>
        <x:v>32</x:v>
      </x:c>
      <x:c r="M334" s="188" t="n">
        <x:f>L334*IF(H334=1,'01_ВВОД'!$D$118,1)</x:f>
        <x:v>6.4</x:v>
      </x:c>
      <x:c r="N334" s="188" t="n">
        <x:f>IF(K334=1,'01_ВВОД'!$D$26,0)</x:f>
        <x:v>40</x:v>
      </x:c>
      <x:c r="O334" s="188" t="n">
        <x:f>IF(F334=1,'01_ВВОД'!$D$34,IF(D334&lt;=5,'01_ВВОД'!$D$32,'01_ВВОД'!$D$33))</x:f>
        <x:v>15</x:v>
      </x:c>
      <x:c r="P334" s="188" t="n">
        <x:f>O334</x:f>
        <x:v>15</x:v>
      </x:c>
      <x:c r="Q334" s="188" t="n">
        <x:f>'01_ВВОД'!$D$40</x:f>
        <x:v>12</x:v>
      </x:c>
      <x:c r="R334" s="188" t="n">
        <x:f>'01_ВВОД'!$D$46</x:f>
        <x:v>20</x:v>
      </x:c>
      <x:c r="S334" s="188" t="n">
        <x:f>H334</x:f>
        <x:v>1</x:v>
      </x:c>
      <x:c r="T334" s="188" t="n">
        <x:f>IF(H334=1,M334+N334+P334+Q334,0)</x:f>
        <x:v>73.4</x:v>
      </x:c>
      <x:c r="U334" t="n">
        <x:f>'01_ВВОД'!$D$120</x:f>
        <x:v>10</x:v>
      </x:c>
      <x:c r="V334" t="n">
        <x:f>ROUNDDOWN(SUM(M334,N334,R334,U334)*'01_ВВОД'!$D$127,0)</x:f>
        <x:v>38</x:v>
      </x:c>
      <x:c r="W334" t="n">
        <x:f>ROUNDDOWN(SUM(L334,N334,R334,U334)*'01_ВВОД'!$D$127,0)</x:f>
        <x:v>51</x:v>
      </x:c>
    </x:row>
    <x:row r="335">
      <x:c r="A335" s="200" t="n">
        <x:v>46596</x:v>
      </x:c>
      <x:c r="B335" s="201" t="n">
        <x:v>11</x:v>
      </x:c>
      <x:c r="C335" s="201" t="inlineStr">
        <x:is>
          <x:t xml:space="preserve">Июл-27</x:t>
        </x:is>
      </x:c>
      <x:c r="D335" s="201" t="n">
        <x:v>3</x:v>
      </x:c>
      <x:c r="E335" s="201" t="inlineStr">
        <x:is>
          <x:t xml:space="preserve">Ср</x:t>
        </x:is>
      </x:c>
      <x:c r="F335" s="199" t="n">
        <x:v>0</x:v>
      </x:c>
      <x:c r="G335" s="201" t="str"/>
      <x:c r="H335" s="193" t="n">
        <x:v>0</x:v>
      </x:c>
      <x:c r="I335" s="201" t="str"/>
      <x:c r="J335" s="188" t="n">
        <x:f>1</x:f>
        <x:v>1</x:v>
      </x:c>
      <x:c r="K335" s="188" t="n">
        <x:f>IF(AND(D335&lt;=5,F335=0),1,0)</x:f>
        <x:v>1</x:v>
      </x:c>
      <x:c r="L335" s="188" t="n">
        <x:f>IF(F335=1,'01_ВВОД'!$D$23,CHOOSE(D335,'01_ВВОД'!$D$19,'01_ВВОД'!$D$19,'01_ВВОД'!$D$19,'01_ВВОД'!$D$19,'01_ВВОД'!$D$20,'01_ВВОД'!$D$21,'01_ВВОД'!$D$22))</x:f>
        <x:v>32</x:v>
      </x:c>
      <x:c r="M335" s="188" t="n">
        <x:f>L335*IF(H335=1,'01_ВВОД'!$D$118,1)</x:f>
        <x:v>32</x:v>
      </x:c>
      <x:c r="N335" s="188" t="n">
        <x:f>IF(K335=1,'01_ВВОД'!$D$26,0)</x:f>
        <x:v>40</x:v>
      </x:c>
      <x:c r="O335" s="188" t="n">
        <x:f>IF(F335=1,'01_ВВОД'!$D$34,IF(D335&lt;=5,'01_ВВОД'!$D$32,'01_ВВОД'!$D$33))</x:f>
        <x:v>15</x:v>
      </x:c>
      <x:c r="P335" s="188" t="n">
        <x:f>O335</x:f>
        <x:v>15</x:v>
      </x:c>
      <x:c r="Q335" s="188" t="n">
        <x:f>'01_ВВОД'!$D$40</x:f>
        <x:v>12</x:v>
      </x:c>
      <x:c r="R335" s="188" t="n">
        <x:f>'01_ВВОД'!$D$46</x:f>
        <x:v>20</x:v>
      </x:c>
      <x:c r="S335" s="188" t="n">
        <x:f>H335</x:f>
        <x:v>0</x:v>
      </x:c>
      <x:c r="T335" s="188" t="n">
        <x:f>IF(H335=1,M335+N335+P335+Q335,0)</x:f>
        <x:v>0</x:v>
      </x:c>
      <x:c r="U335" t="n">
        <x:f>'01_ВВОД'!$D$120</x:f>
        <x:v>10</x:v>
      </x:c>
      <x:c r="V335" t="n">
        <x:f>ROUNDDOWN(SUM(M335,N335,R335,U335)*'01_ВВОД'!$D$127,0)</x:f>
        <x:v>51</x:v>
      </x:c>
      <x:c r="W335" t="n">
        <x:f>ROUNDDOWN(SUM(L335,N335,R335,U335)*'01_ВВОД'!$D$127,0)</x:f>
        <x:v>51</x:v>
      </x:c>
    </x:row>
    <x:row r="336">
      <x:c r="A336" s="200" t="n">
        <x:v>46597</x:v>
      </x:c>
      <x:c r="B336" s="201" t="n">
        <x:v>11</x:v>
      </x:c>
      <x:c r="C336" s="201" t="inlineStr">
        <x:is>
          <x:t xml:space="preserve">Июл-27</x:t>
        </x:is>
      </x:c>
      <x:c r="D336" s="201" t="n">
        <x:v>4</x:v>
      </x:c>
      <x:c r="E336" s="201" t="inlineStr">
        <x:is>
          <x:t xml:space="preserve">Чт</x:t>
        </x:is>
      </x:c>
      <x:c r="F336" s="199" t="n">
        <x:v>0</x:v>
      </x:c>
      <x:c r="G336" s="201" t="str"/>
      <x:c r="H336" s="193" t="n">
        <x:v>0</x:v>
      </x:c>
      <x:c r="I336" s="201" t="str"/>
      <x:c r="J336" s="188" t="n">
        <x:f>1</x:f>
        <x:v>1</x:v>
      </x:c>
      <x:c r="K336" s="188" t="n">
        <x:f>IF(AND(D336&lt;=5,F336=0),1,0)</x:f>
        <x:v>1</x:v>
      </x:c>
      <x:c r="L336" s="188" t="n">
        <x:f>IF(F336=1,'01_ВВОД'!$D$23,CHOOSE(D336,'01_ВВОД'!$D$19,'01_ВВОД'!$D$19,'01_ВВОД'!$D$19,'01_ВВОД'!$D$19,'01_ВВОД'!$D$20,'01_ВВОД'!$D$21,'01_ВВОД'!$D$22))</x:f>
        <x:v>32</x:v>
      </x:c>
      <x:c r="M336" s="188" t="n">
        <x:f>L336*IF(H336=1,'01_ВВОД'!$D$118,1)</x:f>
        <x:v>32</x:v>
      </x:c>
      <x:c r="N336" s="188" t="n">
        <x:f>IF(K336=1,'01_ВВОД'!$D$26,0)</x:f>
        <x:v>40</x:v>
      </x:c>
      <x:c r="O336" s="188" t="n">
        <x:f>IF(F336=1,'01_ВВОД'!$D$34,IF(D336&lt;=5,'01_ВВОД'!$D$32,'01_ВВОД'!$D$33))</x:f>
        <x:v>15</x:v>
      </x:c>
      <x:c r="P336" s="188" t="n">
        <x:f>O336</x:f>
        <x:v>15</x:v>
      </x:c>
      <x:c r="Q336" s="188" t="n">
        <x:f>'01_ВВОД'!$D$40</x:f>
        <x:v>12</x:v>
      </x:c>
      <x:c r="R336" s="188" t="n">
        <x:f>'01_ВВОД'!$D$46</x:f>
        <x:v>20</x:v>
      </x:c>
      <x:c r="S336" s="188" t="n">
        <x:f>H336</x:f>
        <x:v>0</x:v>
      </x:c>
      <x:c r="T336" s="188" t="n">
        <x:f>IF(H336=1,M336+N336+P336+Q336,0)</x:f>
        <x:v>0</x:v>
      </x:c>
      <x:c r="U336" t="n">
        <x:f>'01_ВВОД'!$D$120</x:f>
        <x:v>10</x:v>
      </x:c>
      <x:c r="V336" t="n">
        <x:f>ROUNDDOWN(SUM(M336,N336,R336,U336)*'01_ВВОД'!$D$127,0)</x:f>
        <x:v>51</x:v>
      </x:c>
      <x:c r="W336" t="n">
        <x:f>ROUNDDOWN(SUM(L336,N336,R336,U336)*'01_ВВОД'!$D$127,0)</x:f>
        <x:v>51</x:v>
      </x:c>
    </x:row>
    <x:row r="337">
      <x:c r="A337" s="200" t="n">
        <x:v>46598</x:v>
      </x:c>
      <x:c r="B337" s="201" t="n">
        <x:v>11</x:v>
      </x:c>
      <x:c r="C337" s="201" t="inlineStr">
        <x:is>
          <x:t xml:space="preserve">Июл-27</x:t>
        </x:is>
      </x:c>
      <x:c r="D337" s="201" t="n">
        <x:v>5</x:v>
      </x:c>
      <x:c r="E337" s="201" t="inlineStr">
        <x:is>
          <x:t xml:space="preserve">Пт</x:t>
        </x:is>
      </x:c>
      <x:c r="F337" s="199" t="n">
        <x:v>0</x:v>
      </x:c>
      <x:c r="G337" s="201" t="str"/>
      <x:c r="H337" s="193" t="n">
        <x:v>1</x:v>
      </x:c>
      <x:c r="I337" s="201" t="inlineStr">
        <x:is>
          <x:t xml:space="preserve">Пт–Вс</x:t>
        </x:is>
      </x:c>
      <x:c r="J337" s="188" t="n">
        <x:f>1</x:f>
        <x:v>1</x:v>
      </x:c>
      <x:c r="K337" s="188" t="n">
        <x:f>IF(AND(D337&lt;=5,F337=0),1,0)</x:f>
        <x:v>1</x:v>
      </x:c>
      <x:c r="L337" s="188" t="n">
        <x:f>IF(F337=1,'01_ВВОД'!$D$23,CHOOSE(D337,'01_ВВОД'!$D$19,'01_ВВОД'!$D$19,'01_ВВОД'!$D$19,'01_ВВОД'!$D$19,'01_ВВОД'!$D$20,'01_ВВОД'!$D$21,'01_ВВОД'!$D$22))</x:f>
        <x:v>45</x:v>
      </x:c>
      <x:c r="M337" s="188" t="n">
        <x:f>L337*IF(H337=1,'01_ВВОД'!$D$118,1)</x:f>
        <x:v>9</x:v>
      </x:c>
      <x:c r="N337" s="188" t="n">
        <x:f>IF(K337=1,'01_ВВОД'!$D$26,0)</x:f>
        <x:v>40</x:v>
      </x:c>
      <x:c r="O337" s="188" t="n">
        <x:f>IF(F337=1,'01_ВВОД'!$D$34,IF(D337&lt;=5,'01_ВВОД'!$D$32,'01_ВВОД'!$D$33))</x:f>
        <x:v>15</x:v>
      </x:c>
      <x:c r="P337" s="188" t="n">
        <x:f>O337</x:f>
        <x:v>15</x:v>
      </x:c>
      <x:c r="Q337" s="188" t="n">
        <x:f>'01_ВВОД'!$D$40</x:f>
        <x:v>12</x:v>
      </x:c>
      <x:c r="R337" s="188" t="n">
        <x:f>'01_ВВОД'!$D$46</x:f>
        <x:v>20</x:v>
      </x:c>
      <x:c r="S337" s="188" t="n">
        <x:f>H337</x:f>
        <x:v>1</x:v>
      </x:c>
      <x:c r="T337" s="188" t="n">
        <x:f>IF(H337=1,M337+N337+P337+Q337,0)</x:f>
        <x:v>76</x:v>
      </x:c>
      <x:c r="U337" t="n">
        <x:f>'01_ВВОД'!$D$120</x:f>
        <x:v>10</x:v>
      </x:c>
      <x:c r="V337" t="n">
        <x:f>ROUNDDOWN(SUM(M337,N337,R337,U337)*'01_ВВОД'!$D$127,0)</x:f>
        <x:v>39</x:v>
      </x:c>
      <x:c r="W337" t="n">
        <x:f>ROUNDDOWN(SUM(L337,N337,R337,U337)*'01_ВВОД'!$D$127,0)</x:f>
        <x:v>57</x:v>
      </x:c>
    </x:row>
    <x:row r="338">
      <x:c r="A338" s="200" t="n">
        <x:v>46599</x:v>
      </x:c>
      <x:c r="B338" s="201" t="n">
        <x:v>11</x:v>
      </x:c>
      <x:c r="C338" s="201" t="inlineStr">
        <x:is>
          <x:t xml:space="preserve">Июл-27</x:t>
        </x:is>
      </x:c>
      <x:c r="D338" s="201" t="n">
        <x:v>6</x:v>
      </x:c>
      <x:c r="E338" s="201" t="inlineStr">
        <x:is>
          <x:t xml:space="preserve">Сб</x:t>
        </x:is>
      </x:c>
      <x:c r="F338" s="199" t="n">
        <x:v>0</x:v>
      </x:c>
      <x:c r="G338" s="201" t="str"/>
      <x:c r="H338" s="193" t="n">
        <x:v>0</x:v>
      </x:c>
      <x:c r="I338" s="201" t="str"/>
      <x:c r="J338" s="188" t="n">
        <x:f>1</x:f>
        <x:v>1</x:v>
      </x:c>
      <x:c r="K338" s="188" t="n">
        <x:f>IF(AND(D338&lt;=5,F338=0),1,0)</x:f>
        <x:v>0</x:v>
      </x:c>
      <x:c r="L338" s="188" t="n">
        <x:f>IF(F338=1,'01_ВВОД'!$D$23,CHOOSE(D338,'01_ВВОД'!$D$19,'01_ВВОД'!$D$19,'01_ВВОД'!$D$19,'01_ВВОД'!$D$19,'01_ВВОД'!$D$20,'01_ВВОД'!$D$21,'01_ВВОД'!$D$22))</x:f>
        <x:v>80</x:v>
      </x:c>
      <x:c r="M338" s="188" t="n">
        <x:f>L338*IF(H338=1,'01_ВВОД'!$D$118,1)</x:f>
        <x:v>80</x:v>
      </x:c>
      <x:c r="N338" s="188" t="n">
        <x:f>IF(K338=1,'01_ВВОД'!$D$26,0)</x:f>
        <x:v>0</x:v>
      </x:c>
      <x:c r="O338" s="188" t="n">
        <x:f>IF(F338=1,'01_ВВОД'!$D$34,IF(D338&lt;=5,'01_ВВОД'!$D$32,'01_ВВОД'!$D$33))</x:f>
        <x:v>30</x:v>
      </x:c>
      <x:c r="P338" s="188" t="n">
        <x:f>O338</x:f>
        <x:v>30</x:v>
      </x:c>
      <x:c r="Q338" s="188" t="n">
        <x:f>'01_ВВОД'!$D$40</x:f>
        <x:v>12</x:v>
      </x:c>
      <x:c r="R338" s="188" t="n">
        <x:f>'01_ВВОД'!$D$46</x:f>
        <x:v>20</x:v>
      </x:c>
      <x:c r="S338" s="188" t="n">
        <x:f>H338</x:f>
        <x:v>0</x:v>
      </x:c>
      <x:c r="T338" s="188" t="n">
        <x:f>IF(H338=1,M338+N338+P338+Q338,0)</x:f>
        <x:v>0</x:v>
      </x:c>
      <x:c r="U338" t="n">
        <x:f>'01_ВВОД'!$D$120</x:f>
        <x:v>10</x:v>
      </x:c>
      <x:c r="V338" t="n">
        <x:f>ROUNDDOWN(SUM(M338,N338,R338,U338)*'01_ВВОД'!$D$127,0)</x:f>
        <x:v>55</x:v>
      </x:c>
      <x:c r="W338" t="n">
        <x:f>ROUNDDOWN(SUM(L338,N338,R338,U338)*'01_ВВОД'!$D$127,0)</x:f>
        <x:v>55</x:v>
      </x:c>
    </x:row>
    <x:row r="339">
      <x:c r="A339" s="200" t="n">
        <x:v>46600</x:v>
      </x:c>
      <x:c r="B339" s="201" t="n">
        <x:v>12</x:v>
      </x:c>
      <x:c r="C339" s="201" t="inlineStr">
        <x:is>
          <x:t xml:space="preserve">Авг-27</x:t>
        </x:is>
      </x:c>
      <x:c r="D339" s="201" t="n">
        <x:v>7</x:v>
      </x:c>
      <x:c r="E339" s="201" t="inlineStr">
        <x:is>
          <x:t xml:space="preserve">Вс</x:t>
        </x:is>
      </x:c>
      <x:c r="F339" s="199" t="n">
        <x:v>0</x:v>
      </x:c>
      <x:c r="G339" s="201" t="str"/>
      <x:c r="H339" s="193" t="n">
        <x:v>0</x:v>
      </x:c>
      <x:c r="I339" s="201" t="str"/>
      <x:c r="J339" s="188" t="n">
        <x:f>1</x:f>
        <x:v>1</x:v>
      </x:c>
      <x:c r="K339" s="188" t="n">
        <x:f>IF(AND(D339&lt;=5,F339=0),1,0)</x:f>
        <x:v>0</x:v>
      </x:c>
      <x:c r="L339" s="188" t="n">
        <x:f>IF(F339=1,'01_ВВОД'!$D$23,CHOOSE(D339,'01_ВВОД'!$D$19,'01_ВВОД'!$D$19,'01_ВВОД'!$D$19,'01_ВВОД'!$D$19,'01_ВВОД'!$D$20,'01_ВВОД'!$D$21,'01_ВВОД'!$D$22))</x:f>
        <x:v>70</x:v>
      </x:c>
      <x:c r="M339" s="188" t="n">
        <x:f>L339*IF(H339=1,'01_ВВОД'!$D$118,1)</x:f>
        <x:v>70</x:v>
      </x:c>
      <x:c r="N339" s="188" t="n">
        <x:f>IF(K339=1,'01_ВВОД'!$D$26,0)</x:f>
        <x:v>0</x:v>
      </x:c>
      <x:c r="O339" s="188" t="n">
        <x:f>IF(F339=1,'01_ВВОД'!$D$34,IF(D339&lt;=5,'01_ВВОД'!$D$32,'01_ВВОД'!$D$33))</x:f>
        <x:v>30</x:v>
      </x:c>
      <x:c r="P339" s="188" t="n">
        <x:f>O339</x:f>
        <x:v>30</x:v>
      </x:c>
      <x:c r="Q339" s="188" t="n">
        <x:f>'01_ВВОД'!$D$40</x:f>
        <x:v>12</x:v>
      </x:c>
      <x:c r="R339" s="188" t="n">
        <x:f>'01_ВВОД'!$D$46</x:f>
        <x:v>20</x:v>
      </x:c>
      <x:c r="S339" s="188" t="n">
        <x:f>H339</x:f>
        <x:v>0</x:v>
      </x:c>
      <x:c r="T339" s="188" t="n">
        <x:f>IF(H339=1,M339+N339+P339+Q339,0)</x:f>
        <x:v>0</x:v>
      </x:c>
      <x:c r="U339" t="n">
        <x:f>'01_ВВОД'!$D$120</x:f>
        <x:v>10</x:v>
      </x:c>
      <x:c r="V339" t="n">
        <x:f>ROUNDDOWN(SUM(M339,N339,R339,U339)*'01_ВВОД'!$D$127,0)</x:f>
        <x:v>50</x:v>
      </x:c>
      <x:c r="W339" t="n">
        <x:f>ROUNDDOWN(SUM(L339,N339,R339,U339)*'01_ВВОД'!$D$127,0)</x:f>
        <x:v>50</x:v>
      </x:c>
    </x:row>
    <x:row r="340">
      <x:c r="A340" s="200" t="n">
        <x:v>46601</x:v>
      </x:c>
      <x:c r="B340" s="201" t="n">
        <x:v>12</x:v>
      </x:c>
      <x:c r="C340" s="201" t="inlineStr">
        <x:is>
          <x:t xml:space="preserve">Авг-27</x:t>
        </x:is>
      </x:c>
      <x:c r="D340" s="201" t="n">
        <x:v>1</x:v>
      </x:c>
      <x:c r="E340" s="201" t="inlineStr">
        <x:is>
          <x:t xml:space="preserve">Пн</x:t>
        </x:is>
      </x:c>
      <x:c r="F340" s="199" t="n">
        <x:v>0</x:v>
      </x:c>
      <x:c r="G340" s="201" t="str"/>
      <x:c r="H340" s="193" t="n">
        <x:v>0</x:v>
      </x:c>
      <x:c r="I340" s="201" t="str"/>
      <x:c r="J340" s="188" t="n">
        <x:f>1</x:f>
        <x:v>1</x:v>
      </x:c>
      <x:c r="K340" s="188" t="n">
        <x:f>IF(AND(D340&lt;=5,F340=0),1,0)</x:f>
        <x:v>1</x:v>
      </x:c>
      <x:c r="L340" s="188" t="n">
        <x:f>IF(F340=1,'01_ВВОД'!$D$23,CHOOSE(D340,'01_ВВОД'!$D$19,'01_ВВОД'!$D$19,'01_ВВОД'!$D$19,'01_ВВОД'!$D$19,'01_ВВОД'!$D$20,'01_ВВОД'!$D$21,'01_ВВОД'!$D$22))</x:f>
        <x:v>32</x:v>
      </x:c>
      <x:c r="M340" s="188" t="n">
        <x:f>L340*IF(H340=1,'01_ВВОД'!$D$118,1)</x:f>
        <x:v>32</x:v>
      </x:c>
      <x:c r="N340" s="188" t="n">
        <x:f>IF(K340=1,'01_ВВОД'!$D$26,0)</x:f>
        <x:v>40</x:v>
      </x:c>
      <x:c r="O340" s="188" t="n">
        <x:f>IF(F340=1,'01_ВВОД'!$D$34,IF(D340&lt;=5,'01_ВВОД'!$D$32,'01_ВВОД'!$D$33))</x:f>
        <x:v>15</x:v>
      </x:c>
      <x:c r="P340" s="188" t="n">
        <x:f>O340</x:f>
        <x:v>15</x:v>
      </x:c>
      <x:c r="Q340" s="188" t="n">
        <x:f>'01_ВВОД'!$D$40</x:f>
        <x:v>12</x:v>
      </x:c>
      <x:c r="R340" s="188" t="n">
        <x:f>'01_ВВОД'!$D$46</x:f>
        <x:v>20</x:v>
      </x:c>
      <x:c r="S340" s="188" t="n">
        <x:f>H340</x:f>
        <x:v>0</x:v>
      </x:c>
      <x:c r="T340" s="188" t="n">
        <x:f>IF(H340=1,M340+N340+P340+Q340,0)</x:f>
        <x:v>0</x:v>
      </x:c>
      <x:c r="U340" t="n">
        <x:f>'01_ВВОД'!$D$120</x:f>
        <x:v>10</x:v>
      </x:c>
      <x:c r="V340" t="n">
        <x:f>ROUNDDOWN(SUM(M340,N340,R340,U340)*'01_ВВОД'!$D$127,0)</x:f>
        <x:v>51</x:v>
      </x:c>
      <x:c r="W340" t="n">
        <x:f>ROUNDDOWN(SUM(L340,N340,R340,U340)*'01_ВВОД'!$D$127,0)</x:f>
        <x:v>51</x:v>
      </x:c>
    </x:row>
    <x:row r="341">
      <x:c r="A341" s="200" t="n">
        <x:v>46602</x:v>
      </x:c>
      <x:c r="B341" s="201" t="n">
        <x:v>12</x:v>
      </x:c>
      <x:c r="C341" s="201" t="inlineStr">
        <x:is>
          <x:t xml:space="preserve">Авг-27</x:t>
        </x:is>
      </x:c>
      <x:c r="D341" s="201" t="n">
        <x:v>2</x:v>
      </x:c>
      <x:c r="E341" s="201" t="inlineStr">
        <x:is>
          <x:t xml:space="preserve">Вт</x:t>
        </x:is>
      </x:c>
      <x:c r="F341" s="199" t="n">
        <x:v>0</x:v>
      </x:c>
      <x:c r="G341" s="201" t="str"/>
      <x:c r="H341" s="193" t="n">
        <x:v>0</x:v>
      </x:c>
      <x:c r="I341" s="201" t="str"/>
      <x:c r="J341" s="188" t="n">
        <x:f>1</x:f>
        <x:v>1</x:v>
      </x:c>
      <x:c r="K341" s="188" t="n">
        <x:f>IF(AND(D341&lt;=5,F341=0),1,0)</x:f>
        <x:v>1</x:v>
      </x:c>
      <x:c r="L341" s="188" t="n">
        <x:f>IF(F341=1,'01_ВВОД'!$D$23,CHOOSE(D341,'01_ВВОД'!$D$19,'01_ВВОД'!$D$19,'01_ВВОД'!$D$19,'01_ВВОД'!$D$19,'01_ВВОД'!$D$20,'01_ВВОД'!$D$21,'01_ВВОД'!$D$22))</x:f>
        <x:v>32</x:v>
      </x:c>
      <x:c r="M341" s="188" t="n">
        <x:f>L341*IF(H341=1,'01_ВВОД'!$D$118,1)</x:f>
        <x:v>32</x:v>
      </x:c>
      <x:c r="N341" s="188" t="n">
        <x:f>IF(K341=1,'01_ВВОД'!$D$26,0)</x:f>
        <x:v>40</x:v>
      </x:c>
      <x:c r="O341" s="188" t="n">
        <x:f>IF(F341=1,'01_ВВОД'!$D$34,IF(D341&lt;=5,'01_ВВОД'!$D$32,'01_ВВОД'!$D$33))</x:f>
        <x:v>15</x:v>
      </x:c>
      <x:c r="P341" s="188" t="n">
        <x:f>O341</x:f>
        <x:v>15</x:v>
      </x:c>
      <x:c r="Q341" s="188" t="n">
        <x:f>'01_ВВОД'!$D$40</x:f>
        <x:v>12</x:v>
      </x:c>
      <x:c r="R341" s="188" t="n">
        <x:f>'01_ВВОД'!$D$46</x:f>
        <x:v>20</x:v>
      </x:c>
      <x:c r="S341" s="188" t="n">
        <x:f>H341</x:f>
        <x:v>0</x:v>
      </x:c>
      <x:c r="T341" s="188" t="n">
        <x:f>IF(H341=1,M341+N341+P341+Q341,0)</x:f>
        <x:v>0</x:v>
      </x:c>
      <x:c r="U341" t="n">
        <x:f>'01_ВВОД'!$D$120</x:f>
        <x:v>10</x:v>
      </x:c>
      <x:c r="V341" t="n">
        <x:f>ROUNDDOWN(SUM(M341,N341,R341,U341)*'01_ВВОД'!$D$127,0)</x:f>
        <x:v>51</x:v>
      </x:c>
      <x:c r="W341" t="n">
        <x:f>ROUNDDOWN(SUM(L341,N341,R341,U341)*'01_ВВОД'!$D$127,0)</x:f>
        <x:v>51</x:v>
      </x:c>
    </x:row>
    <x:row r="342">
      <x:c r="A342" s="200" t="n">
        <x:v>46603</x:v>
      </x:c>
      <x:c r="B342" s="201" t="n">
        <x:v>12</x:v>
      </x:c>
      <x:c r="C342" s="201" t="inlineStr">
        <x:is>
          <x:t xml:space="preserve">Авг-27</x:t>
        </x:is>
      </x:c>
      <x:c r="D342" s="201" t="n">
        <x:v>3</x:v>
      </x:c>
      <x:c r="E342" s="201" t="inlineStr">
        <x:is>
          <x:t xml:space="preserve">Ср</x:t>
        </x:is>
      </x:c>
      <x:c r="F342" s="199" t="n">
        <x:v>0</x:v>
      </x:c>
      <x:c r="G342" s="201" t="str"/>
      <x:c r="H342" s="193" t="n">
        <x:v>0</x:v>
      </x:c>
      <x:c r="I342" s="201" t="str"/>
      <x:c r="J342" s="188" t="n">
        <x:f>1</x:f>
        <x:v>1</x:v>
      </x:c>
      <x:c r="K342" s="188" t="n">
        <x:f>IF(AND(D342&lt;=5,F342=0),1,0)</x:f>
        <x:v>1</x:v>
      </x:c>
      <x:c r="L342" s="188" t="n">
        <x:f>IF(F342=1,'01_ВВОД'!$D$23,CHOOSE(D342,'01_ВВОД'!$D$19,'01_ВВОД'!$D$19,'01_ВВОД'!$D$19,'01_ВВОД'!$D$19,'01_ВВОД'!$D$20,'01_ВВОД'!$D$21,'01_ВВОД'!$D$22))</x:f>
        <x:v>32</x:v>
      </x:c>
      <x:c r="M342" s="188" t="n">
        <x:f>L342*IF(H342=1,'01_ВВОД'!$D$118,1)</x:f>
        <x:v>32</x:v>
      </x:c>
      <x:c r="N342" s="188" t="n">
        <x:f>IF(K342=1,'01_ВВОД'!$D$26,0)</x:f>
        <x:v>40</x:v>
      </x:c>
      <x:c r="O342" s="188" t="n">
        <x:f>IF(F342=1,'01_ВВОД'!$D$34,IF(D342&lt;=5,'01_ВВОД'!$D$32,'01_ВВОД'!$D$33))</x:f>
        <x:v>15</x:v>
      </x:c>
      <x:c r="P342" s="188" t="n">
        <x:f>O342</x:f>
        <x:v>15</x:v>
      </x:c>
      <x:c r="Q342" s="188" t="n">
        <x:f>'01_ВВОД'!$D$40</x:f>
        <x:v>12</x:v>
      </x:c>
      <x:c r="R342" s="188" t="n">
        <x:f>'01_ВВОД'!$D$46</x:f>
        <x:v>20</x:v>
      </x:c>
      <x:c r="S342" s="188" t="n">
        <x:f>H342</x:f>
        <x:v>0</x:v>
      </x:c>
      <x:c r="T342" s="188" t="n">
        <x:f>IF(H342=1,M342+N342+P342+Q342,0)</x:f>
        <x:v>0</x:v>
      </x:c>
      <x:c r="U342" t="n">
        <x:f>'01_ВВОД'!$D$120</x:f>
        <x:v>10</x:v>
      </x:c>
      <x:c r="V342" t="n">
        <x:f>ROUNDDOWN(SUM(M342,N342,R342,U342)*'01_ВВОД'!$D$127,0)</x:f>
        <x:v>51</x:v>
      </x:c>
      <x:c r="W342" t="n">
        <x:f>ROUNDDOWN(SUM(L342,N342,R342,U342)*'01_ВВОД'!$D$127,0)</x:f>
        <x:v>51</x:v>
      </x:c>
    </x:row>
    <x:row r="343">
      <x:c r="A343" s="200" t="n">
        <x:v>46604</x:v>
      </x:c>
      <x:c r="B343" s="201" t="n">
        <x:v>12</x:v>
      </x:c>
      <x:c r="C343" s="201" t="inlineStr">
        <x:is>
          <x:t xml:space="preserve">Авг-27</x:t>
        </x:is>
      </x:c>
      <x:c r="D343" s="201" t="n">
        <x:v>4</x:v>
      </x:c>
      <x:c r="E343" s="201" t="inlineStr">
        <x:is>
          <x:t xml:space="preserve">Чт</x:t>
        </x:is>
      </x:c>
      <x:c r="F343" s="199" t="n">
        <x:v>0</x:v>
      </x:c>
      <x:c r="G343" s="201" t="str"/>
      <x:c r="H343" s="193" t="n">
        <x:v>0</x:v>
      </x:c>
      <x:c r="I343" s="201" t="str"/>
      <x:c r="J343" s="188" t="n">
        <x:f>1</x:f>
        <x:v>1</x:v>
      </x:c>
      <x:c r="K343" s="188" t="n">
        <x:f>IF(AND(D343&lt;=5,F343=0),1,0)</x:f>
        <x:v>1</x:v>
      </x:c>
      <x:c r="L343" s="188" t="n">
        <x:f>IF(F343=1,'01_ВВОД'!$D$23,CHOOSE(D343,'01_ВВОД'!$D$19,'01_ВВОД'!$D$19,'01_ВВОД'!$D$19,'01_ВВОД'!$D$19,'01_ВВОД'!$D$20,'01_ВВОД'!$D$21,'01_ВВОД'!$D$22))</x:f>
        <x:v>32</x:v>
      </x:c>
      <x:c r="M343" s="188" t="n">
        <x:f>L343*IF(H343=1,'01_ВВОД'!$D$118,1)</x:f>
        <x:v>32</x:v>
      </x:c>
      <x:c r="N343" s="188" t="n">
        <x:f>IF(K343=1,'01_ВВОД'!$D$26,0)</x:f>
        <x:v>40</x:v>
      </x:c>
      <x:c r="O343" s="188" t="n">
        <x:f>IF(F343=1,'01_ВВОД'!$D$34,IF(D343&lt;=5,'01_ВВОД'!$D$32,'01_ВВОД'!$D$33))</x:f>
        <x:v>15</x:v>
      </x:c>
      <x:c r="P343" s="188" t="n">
        <x:f>O343</x:f>
        <x:v>15</x:v>
      </x:c>
      <x:c r="Q343" s="188" t="n">
        <x:f>'01_ВВОД'!$D$40</x:f>
        <x:v>12</x:v>
      </x:c>
      <x:c r="R343" s="188" t="n">
        <x:f>'01_ВВОД'!$D$46</x:f>
        <x:v>20</x:v>
      </x:c>
      <x:c r="S343" s="188" t="n">
        <x:f>H343</x:f>
        <x:v>0</x:v>
      </x:c>
      <x:c r="T343" s="188" t="n">
        <x:f>IF(H343=1,M343+N343+P343+Q343,0)</x:f>
        <x:v>0</x:v>
      </x:c>
      <x:c r="U343" t="n">
        <x:f>'01_ВВОД'!$D$120</x:f>
        <x:v>10</x:v>
      </x:c>
      <x:c r="V343" t="n">
        <x:f>ROUNDDOWN(SUM(M343,N343,R343,U343)*'01_ВВОД'!$D$127,0)</x:f>
        <x:v>51</x:v>
      </x:c>
      <x:c r="W343" t="n">
        <x:f>ROUNDDOWN(SUM(L343,N343,R343,U343)*'01_ВВОД'!$D$127,0)</x:f>
        <x:v>51</x:v>
      </x:c>
    </x:row>
    <x:row r="344">
      <x:c r="A344" s="200" t="n">
        <x:v>46605</x:v>
      </x:c>
      <x:c r="B344" s="201" t="n">
        <x:v>12</x:v>
      </x:c>
      <x:c r="C344" s="201" t="inlineStr">
        <x:is>
          <x:t xml:space="preserve">Авг-27</x:t>
        </x:is>
      </x:c>
      <x:c r="D344" s="201" t="n">
        <x:v>5</x:v>
      </x:c>
      <x:c r="E344" s="201" t="inlineStr">
        <x:is>
          <x:t xml:space="preserve">Пт</x:t>
        </x:is>
      </x:c>
      <x:c r="F344" s="199" t="n">
        <x:v>0</x:v>
      </x:c>
      <x:c r="G344" s="201" t="str"/>
      <x:c r="H344" s="193" t="n">
        <x:v>0</x:v>
      </x:c>
      <x:c r="I344" s="201" t="str"/>
      <x:c r="J344" s="188" t="n">
        <x:f>1</x:f>
        <x:v>1</x:v>
      </x:c>
      <x:c r="K344" s="188" t="n">
        <x:f>IF(AND(D344&lt;=5,F344=0),1,0)</x:f>
        <x:v>1</x:v>
      </x:c>
      <x:c r="L344" s="188" t="n">
        <x:f>IF(F344=1,'01_ВВОД'!$D$23,CHOOSE(D344,'01_ВВОД'!$D$19,'01_ВВОД'!$D$19,'01_ВВОД'!$D$19,'01_ВВОД'!$D$19,'01_ВВОД'!$D$20,'01_ВВОД'!$D$21,'01_ВВОД'!$D$22))</x:f>
        <x:v>45</x:v>
      </x:c>
      <x:c r="M344" s="188" t="n">
        <x:f>L344*IF(H344=1,'01_ВВОД'!$D$118,1)</x:f>
        <x:v>45</x:v>
      </x:c>
      <x:c r="N344" s="188" t="n">
        <x:f>IF(K344=1,'01_ВВОД'!$D$26,0)</x:f>
        <x:v>40</x:v>
      </x:c>
      <x:c r="O344" s="188" t="n">
        <x:f>IF(F344=1,'01_ВВОД'!$D$34,IF(D344&lt;=5,'01_ВВОД'!$D$32,'01_ВВОД'!$D$33))</x:f>
        <x:v>15</x:v>
      </x:c>
      <x:c r="P344" s="188" t="n">
        <x:f>O344</x:f>
        <x:v>15</x:v>
      </x:c>
      <x:c r="Q344" s="188" t="n">
        <x:f>'01_ВВОД'!$D$40</x:f>
        <x:v>12</x:v>
      </x:c>
      <x:c r="R344" s="188" t="n">
        <x:f>'01_ВВОД'!$D$46</x:f>
        <x:v>20</x:v>
      </x:c>
      <x:c r="S344" s="188" t="n">
        <x:f>H344</x:f>
        <x:v>0</x:v>
      </x:c>
      <x:c r="T344" s="188" t="n">
        <x:f>IF(H344=1,M344+N344+P344+Q344,0)</x:f>
        <x:v>0</x:v>
      </x:c>
      <x:c r="U344" t="n">
        <x:f>'01_ВВОД'!$D$120</x:f>
        <x:v>10</x:v>
      </x:c>
      <x:c r="V344" t="n">
        <x:f>ROUNDDOWN(SUM(M344,N344,R344,U344)*'01_ВВОД'!$D$127,0)</x:f>
        <x:v>57</x:v>
      </x:c>
      <x:c r="W344" t="n">
        <x:f>ROUNDDOWN(SUM(L344,N344,R344,U344)*'01_ВВОД'!$D$127,0)</x:f>
        <x:v>57</x:v>
      </x:c>
    </x:row>
    <x:row r="345">
      <x:c r="A345" s="200" t="n">
        <x:v>46606</x:v>
      </x:c>
      <x:c r="B345" s="201" t="n">
        <x:v>12</x:v>
      </x:c>
      <x:c r="C345" s="201" t="inlineStr">
        <x:is>
          <x:t xml:space="preserve">Авг-27</x:t>
        </x:is>
      </x:c>
      <x:c r="D345" s="201" t="n">
        <x:v>6</x:v>
      </x:c>
      <x:c r="E345" s="201" t="inlineStr">
        <x:is>
          <x:t xml:space="preserve">Сб</x:t>
        </x:is>
      </x:c>
      <x:c r="F345" s="199" t="n">
        <x:v>0</x:v>
      </x:c>
      <x:c r="G345" s="201" t="str"/>
      <x:c r="H345" s="193" t="n">
        <x:v>0</x:v>
      </x:c>
      <x:c r="I345" s="201" t="str"/>
      <x:c r="J345" s="188" t="n">
        <x:f>1</x:f>
        <x:v>1</x:v>
      </x:c>
      <x:c r="K345" s="188" t="n">
        <x:f>IF(AND(D345&lt;=5,F345=0),1,0)</x:f>
        <x:v>0</x:v>
      </x:c>
      <x:c r="L345" s="188" t="n">
        <x:f>IF(F345=1,'01_ВВОД'!$D$23,CHOOSE(D345,'01_ВВОД'!$D$19,'01_ВВОД'!$D$19,'01_ВВОД'!$D$19,'01_ВВОД'!$D$19,'01_ВВОД'!$D$20,'01_ВВОД'!$D$21,'01_ВВОД'!$D$22))</x:f>
        <x:v>80</x:v>
      </x:c>
      <x:c r="M345" s="188" t="n">
        <x:f>L345*IF(H345=1,'01_ВВОД'!$D$118,1)</x:f>
        <x:v>80</x:v>
      </x:c>
      <x:c r="N345" s="188" t="n">
        <x:f>IF(K345=1,'01_ВВОД'!$D$26,0)</x:f>
        <x:v>0</x:v>
      </x:c>
      <x:c r="O345" s="188" t="n">
        <x:f>IF(F345=1,'01_ВВОД'!$D$34,IF(D345&lt;=5,'01_ВВОД'!$D$32,'01_ВВОД'!$D$33))</x:f>
        <x:v>30</x:v>
      </x:c>
      <x:c r="P345" s="188" t="n">
        <x:f>O345</x:f>
        <x:v>30</x:v>
      </x:c>
      <x:c r="Q345" s="188" t="n">
        <x:f>'01_ВВОД'!$D$40</x:f>
        <x:v>12</x:v>
      </x:c>
      <x:c r="R345" s="188" t="n">
        <x:f>'01_ВВОД'!$D$46</x:f>
        <x:v>20</x:v>
      </x:c>
      <x:c r="S345" s="188" t="n">
        <x:f>H345</x:f>
        <x:v>0</x:v>
      </x:c>
      <x:c r="T345" s="188" t="n">
        <x:f>IF(H345=1,M345+N345+P345+Q345,0)</x:f>
        <x:v>0</x:v>
      </x:c>
      <x:c r="U345" t="n">
        <x:f>'01_ВВОД'!$D$120</x:f>
        <x:v>10</x:v>
      </x:c>
      <x:c r="V345" t="n">
        <x:f>ROUNDDOWN(SUM(M345,N345,R345,U345)*'01_ВВОД'!$D$127,0)</x:f>
        <x:v>55</x:v>
      </x:c>
      <x:c r="W345" t="n">
        <x:f>ROUNDDOWN(SUM(L345,N345,R345,U345)*'01_ВВОД'!$D$127,0)</x:f>
        <x:v>55</x:v>
      </x:c>
    </x:row>
    <x:row r="346">
      <x:c r="A346" s="200" t="n">
        <x:v>46607</x:v>
      </x:c>
      <x:c r="B346" s="201" t="n">
        <x:v>12</x:v>
      </x:c>
      <x:c r="C346" s="201" t="inlineStr">
        <x:is>
          <x:t xml:space="preserve">Авг-27</x:t>
        </x:is>
      </x:c>
      <x:c r="D346" s="201" t="n">
        <x:v>7</x:v>
      </x:c>
      <x:c r="E346" s="201" t="inlineStr">
        <x:is>
          <x:t xml:space="preserve">Вс</x:t>
        </x:is>
      </x:c>
      <x:c r="F346" s="199" t="n">
        <x:v>0</x:v>
      </x:c>
      <x:c r="G346" s="201" t="str"/>
      <x:c r="H346" s="193" t="n">
        <x:v>1</x:v>
      </x:c>
      <x:c r="I346" s="201" t="inlineStr">
        <x:is>
          <x:t xml:space="preserve">Пт–Вс</x:t>
        </x:is>
      </x:c>
      <x:c r="J346" s="188" t="n">
        <x:f>1</x:f>
        <x:v>1</x:v>
      </x:c>
      <x:c r="K346" s="188" t="n">
        <x:f>IF(AND(D346&lt;=5,F346=0),1,0)</x:f>
        <x:v>0</x:v>
      </x:c>
      <x:c r="L346" s="188" t="n">
        <x:f>IF(F346=1,'01_ВВОД'!$D$23,CHOOSE(D346,'01_ВВОД'!$D$19,'01_ВВОД'!$D$19,'01_ВВОД'!$D$19,'01_ВВОД'!$D$19,'01_ВВОД'!$D$20,'01_ВВОД'!$D$21,'01_ВВОД'!$D$22))</x:f>
        <x:v>70</x:v>
      </x:c>
      <x:c r="M346" s="188" t="n">
        <x:f>L346*IF(H346=1,'01_ВВОД'!$D$118,1)</x:f>
        <x:v>14</x:v>
      </x:c>
      <x:c r="N346" s="188" t="n">
        <x:f>IF(K346=1,'01_ВВОД'!$D$26,0)</x:f>
        <x:v>0</x:v>
      </x:c>
      <x:c r="O346" s="188" t="n">
        <x:f>IF(F346=1,'01_ВВОД'!$D$34,IF(D346&lt;=5,'01_ВВОД'!$D$32,'01_ВВОД'!$D$33))</x:f>
        <x:v>30</x:v>
      </x:c>
      <x:c r="P346" s="188" t="n">
        <x:f>O346</x:f>
        <x:v>30</x:v>
      </x:c>
      <x:c r="Q346" s="188" t="n">
        <x:f>'01_ВВОД'!$D$40</x:f>
        <x:v>12</x:v>
      </x:c>
      <x:c r="R346" s="188" t="n">
        <x:f>'01_ВВОД'!$D$46</x:f>
        <x:v>20</x:v>
      </x:c>
      <x:c r="S346" s="188" t="n">
        <x:f>H346</x:f>
        <x:v>1</x:v>
      </x:c>
      <x:c r="T346" s="188" t="n">
        <x:f>IF(H346=1,M346+N346+P346+Q346,0)</x:f>
        <x:v>56</x:v>
      </x:c>
      <x:c r="U346" t="n">
        <x:f>'01_ВВОД'!$D$120</x:f>
        <x:v>10</x:v>
      </x:c>
      <x:c r="V346" t="n">
        <x:f>ROUNDDOWN(SUM(M346,N346,R346,U346)*'01_ВВОД'!$D$127,0)</x:f>
        <x:v>22</x:v>
      </x:c>
      <x:c r="W346" t="n">
        <x:f>ROUNDDOWN(SUM(L346,N346,R346,U346)*'01_ВВОД'!$D$127,0)</x:f>
        <x:v>50</x:v>
      </x:c>
    </x:row>
    <x:row r="347">
      <x:c r="A347" s="200" t="n">
        <x:v>46608</x:v>
      </x:c>
      <x:c r="B347" s="201" t="n">
        <x:v>12</x:v>
      </x:c>
      <x:c r="C347" s="201" t="inlineStr">
        <x:is>
          <x:t xml:space="preserve">Авг-27</x:t>
        </x:is>
      </x:c>
      <x:c r="D347" s="201" t="n">
        <x:v>1</x:v>
      </x:c>
      <x:c r="E347" s="201" t="inlineStr">
        <x:is>
          <x:t xml:space="preserve">Пн</x:t>
        </x:is>
      </x:c>
      <x:c r="F347" s="199" t="n">
        <x:v>0</x:v>
      </x:c>
      <x:c r="G347" s="201" t="str"/>
      <x:c r="H347" s="193" t="n">
        <x:v>1</x:v>
      </x:c>
      <x:c r="I347" s="201" t="inlineStr">
        <x:is>
          <x:t xml:space="preserve">Пн–Чт</x:t>
        </x:is>
      </x:c>
      <x:c r="J347" s="188" t="n">
        <x:f>1</x:f>
        <x:v>1</x:v>
      </x:c>
      <x:c r="K347" s="188" t="n">
        <x:f>IF(AND(D347&lt;=5,F347=0),1,0)</x:f>
        <x:v>1</x:v>
      </x:c>
      <x:c r="L347" s="188" t="n">
        <x:f>IF(F347=1,'01_ВВОД'!$D$23,CHOOSE(D347,'01_ВВОД'!$D$19,'01_ВВОД'!$D$19,'01_ВВОД'!$D$19,'01_ВВОД'!$D$19,'01_ВВОД'!$D$20,'01_ВВОД'!$D$21,'01_ВВОД'!$D$22))</x:f>
        <x:v>32</x:v>
      </x:c>
      <x:c r="M347" s="188" t="n">
        <x:f>L347*IF(H347=1,'01_ВВОД'!$D$118,1)</x:f>
        <x:v>6.4</x:v>
      </x:c>
      <x:c r="N347" s="188" t="n">
        <x:f>IF(K347=1,'01_ВВОД'!$D$26,0)</x:f>
        <x:v>40</x:v>
      </x:c>
      <x:c r="O347" s="188" t="n">
        <x:f>IF(F347=1,'01_ВВОД'!$D$34,IF(D347&lt;=5,'01_ВВОД'!$D$32,'01_ВВОД'!$D$33))</x:f>
        <x:v>15</x:v>
      </x:c>
      <x:c r="P347" s="188" t="n">
        <x:f>O347</x:f>
        <x:v>15</x:v>
      </x:c>
      <x:c r="Q347" s="188" t="n">
        <x:f>'01_ВВОД'!$D$40</x:f>
        <x:v>12</x:v>
      </x:c>
      <x:c r="R347" s="188" t="n">
        <x:f>'01_ВВОД'!$D$46</x:f>
        <x:v>20</x:v>
      </x:c>
      <x:c r="S347" s="188" t="n">
        <x:f>H347</x:f>
        <x:v>1</x:v>
      </x:c>
      <x:c r="T347" s="188" t="n">
        <x:f>IF(H347=1,M347+N347+P347+Q347,0)</x:f>
        <x:v>73.4</x:v>
      </x:c>
      <x:c r="U347" t="n">
        <x:f>'01_ВВОД'!$D$120</x:f>
        <x:v>10</x:v>
      </x:c>
      <x:c r="V347" t="n">
        <x:f>ROUNDDOWN(SUM(M347,N347,R347,U347)*'01_ВВОД'!$D$127,0)</x:f>
        <x:v>38</x:v>
      </x:c>
      <x:c r="W347" t="n">
        <x:f>ROUNDDOWN(SUM(L347,N347,R347,U347)*'01_ВВОД'!$D$127,0)</x:f>
        <x:v>51</x:v>
      </x:c>
    </x:row>
    <x:row r="348">
      <x:c r="A348" s="200" t="n">
        <x:v>46609</x:v>
      </x:c>
      <x:c r="B348" s="201" t="n">
        <x:v>12</x:v>
      </x:c>
      <x:c r="C348" s="201" t="inlineStr">
        <x:is>
          <x:t xml:space="preserve">Авг-27</x:t>
        </x:is>
      </x:c>
      <x:c r="D348" s="201" t="n">
        <x:v>2</x:v>
      </x:c>
      <x:c r="E348" s="201" t="inlineStr">
        <x:is>
          <x:t xml:space="preserve">Вт</x:t>
        </x:is>
      </x:c>
      <x:c r="F348" s="199" t="n">
        <x:v>0</x:v>
      </x:c>
      <x:c r="G348" s="201" t="str"/>
      <x:c r="H348" s="193" t="n">
        <x:v>0</x:v>
      </x:c>
      <x:c r="I348" s="201" t="str"/>
      <x:c r="J348" s="188" t="n">
        <x:f>1</x:f>
        <x:v>1</x:v>
      </x:c>
      <x:c r="K348" s="188" t="n">
        <x:f>IF(AND(D348&lt;=5,F348=0),1,0)</x:f>
        <x:v>1</x:v>
      </x:c>
      <x:c r="L348" s="188" t="n">
        <x:f>IF(F348=1,'01_ВВОД'!$D$23,CHOOSE(D348,'01_ВВОД'!$D$19,'01_ВВОД'!$D$19,'01_ВВОД'!$D$19,'01_ВВОД'!$D$19,'01_ВВОД'!$D$20,'01_ВВОД'!$D$21,'01_ВВОД'!$D$22))</x:f>
        <x:v>32</x:v>
      </x:c>
      <x:c r="M348" s="188" t="n">
        <x:f>L348*IF(H348=1,'01_ВВОД'!$D$118,1)</x:f>
        <x:v>32</x:v>
      </x:c>
      <x:c r="N348" s="188" t="n">
        <x:f>IF(K348=1,'01_ВВОД'!$D$26,0)</x:f>
        <x:v>40</x:v>
      </x:c>
      <x:c r="O348" s="188" t="n">
        <x:f>IF(F348=1,'01_ВВОД'!$D$34,IF(D348&lt;=5,'01_ВВОД'!$D$32,'01_ВВОД'!$D$33))</x:f>
        <x:v>15</x:v>
      </x:c>
      <x:c r="P348" s="188" t="n">
        <x:f>O348</x:f>
        <x:v>15</x:v>
      </x:c>
      <x:c r="Q348" s="188" t="n">
        <x:f>'01_ВВОД'!$D$40</x:f>
        <x:v>12</x:v>
      </x:c>
      <x:c r="R348" s="188" t="n">
        <x:f>'01_ВВОД'!$D$46</x:f>
        <x:v>20</x:v>
      </x:c>
      <x:c r="S348" s="188" t="n">
        <x:f>H348</x:f>
        <x:v>0</x:v>
      </x:c>
      <x:c r="T348" s="188" t="n">
        <x:f>IF(H348=1,M348+N348+P348+Q348,0)</x:f>
        <x:v>0</x:v>
      </x:c>
      <x:c r="U348" t="n">
        <x:f>'01_ВВОД'!$D$120</x:f>
        <x:v>10</x:v>
      </x:c>
      <x:c r="V348" t="n">
        <x:f>ROUNDDOWN(SUM(M348,N348,R348,U348)*'01_ВВОД'!$D$127,0)</x:f>
        <x:v>51</x:v>
      </x:c>
      <x:c r="W348" t="n">
        <x:f>ROUNDDOWN(SUM(L348,N348,R348,U348)*'01_ВВОД'!$D$127,0)</x:f>
        <x:v>51</x:v>
      </x:c>
    </x:row>
    <x:row r="349">
      <x:c r="A349" s="200" t="n">
        <x:v>46610</x:v>
      </x:c>
      <x:c r="B349" s="201" t="n">
        <x:v>12</x:v>
      </x:c>
      <x:c r="C349" s="201" t="inlineStr">
        <x:is>
          <x:t xml:space="preserve">Авг-27</x:t>
        </x:is>
      </x:c>
      <x:c r="D349" s="201" t="n">
        <x:v>3</x:v>
      </x:c>
      <x:c r="E349" s="201" t="inlineStr">
        <x:is>
          <x:t xml:space="preserve">Ср</x:t>
        </x:is>
      </x:c>
      <x:c r="F349" s="199" t="n">
        <x:v>0</x:v>
      </x:c>
      <x:c r="G349" s="201" t="str"/>
      <x:c r="H349" s="193" t="n">
        <x:v>0</x:v>
      </x:c>
      <x:c r="I349" s="201" t="str"/>
      <x:c r="J349" s="188" t="n">
        <x:f>1</x:f>
        <x:v>1</x:v>
      </x:c>
      <x:c r="K349" s="188" t="n">
        <x:f>IF(AND(D349&lt;=5,F349=0),1,0)</x:f>
        <x:v>1</x:v>
      </x:c>
      <x:c r="L349" s="188" t="n">
        <x:f>IF(F349=1,'01_ВВОД'!$D$23,CHOOSE(D349,'01_ВВОД'!$D$19,'01_ВВОД'!$D$19,'01_ВВОД'!$D$19,'01_ВВОД'!$D$19,'01_ВВОД'!$D$20,'01_ВВОД'!$D$21,'01_ВВОД'!$D$22))</x:f>
        <x:v>32</x:v>
      </x:c>
      <x:c r="M349" s="188" t="n">
        <x:f>L349*IF(H349=1,'01_ВВОД'!$D$118,1)</x:f>
        <x:v>32</x:v>
      </x:c>
      <x:c r="N349" s="188" t="n">
        <x:f>IF(K349=1,'01_ВВОД'!$D$26,0)</x:f>
        <x:v>40</x:v>
      </x:c>
      <x:c r="O349" s="188" t="n">
        <x:f>IF(F349=1,'01_ВВОД'!$D$34,IF(D349&lt;=5,'01_ВВОД'!$D$32,'01_ВВОД'!$D$33))</x:f>
        <x:v>15</x:v>
      </x:c>
      <x:c r="P349" s="188" t="n">
        <x:f>O349</x:f>
        <x:v>15</x:v>
      </x:c>
      <x:c r="Q349" s="188" t="n">
        <x:f>'01_ВВОД'!$D$40</x:f>
        <x:v>12</x:v>
      </x:c>
      <x:c r="R349" s="188" t="n">
        <x:f>'01_ВВОД'!$D$46</x:f>
        <x:v>20</x:v>
      </x:c>
      <x:c r="S349" s="188" t="n">
        <x:f>H349</x:f>
        <x:v>0</x:v>
      </x:c>
      <x:c r="T349" s="188" t="n">
        <x:f>IF(H349=1,M349+N349+P349+Q349,0)</x:f>
        <x:v>0</x:v>
      </x:c>
      <x:c r="U349" t="n">
        <x:f>'01_ВВОД'!$D$120</x:f>
        <x:v>10</x:v>
      </x:c>
      <x:c r="V349" t="n">
        <x:f>ROUNDDOWN(SUM(M349,N349,R349,U349)*'01_ВВОД'!$D$127,0)</x:f>
        <x:v>51</x:v>
      </x:c>
      <x:c r="W349" t="n">
        <x:f>ROUNDDOWN(SUM(L349,N349,R349,U349)*'01_ВВОД'!$D$127,0)</x:f>
        <x:v>51</x:v>
      </x:c>
    </x:row>
    <x:row r="350">
      <x:c r="A350" s="200" t="n">
        <x:v>46611</x:v>
      </x:c>
      <x:c r="B350" s="201" t="n">
        <x:v>12</x:v>
      </x:c>
      <x:c r="C350" s="201" t="inlineStr">
        <x:is>
          <x:t xml:space="preserve">Авг-27</x:t>
        </x:is>
      </x:c>
      <x:c r="D350" s="201" t="n">
        <x:v>4</x:v>
      </x:c>
      <x:c r="E350" s="201" t="inlineStr">
        <x:is>
          <x:t xml:space="preserve">Чт</x:t>
        </x:is>
      </x:c>
      <x:c r="F350" s="199" t="n">
        <x:v>0</x:v>
      </x:c>
      <x:c r="G350" s="201" t="str"/>
      <x:c r="H350" s="193" t="n">
        <x:v>0</x:v>
      </x:c>
      <x:c r="I350" s="201" t="str"/>
      <x:c r="J350" s="188" t="n">
        <x:f>1</x:f>
        <x:v>1</x:v>
      </x:c>
      <x:c r="K350" s="188" t="n">
        <x:f>IF(AND(D350&lt;=5,F350=0),1,0)</x:f>
        <x:v>1</x:v>
      </x:c>
      <x:c r="L350" s="188" t="n">
        <x:f>IF(F350=1,'01_ВВОД'!$D$23,CHOOSE(D350,'01_ВВОД'!$D$19,'01_ВВОД'!$D$19,'01_ВВОД'!$D$19,'01_ВВОД'!$D$19,'01_ВВОД'!$D$20,'01_ВВОД'!$D$21,'01_ВВОД'!$D$22))</x:f>
        <x:v>32</x:v>
      </x:c>
      <x:c r="M350" s="188" t="n">
        <x:f>L350*IF(H350=1,'01_ВВОД'!$D$118,1)</x:f>
        <x:v>32</x:v>
      </x:c>
      <x:c r="N350" s="188" t="n">
        <x:f>IF(K350=1,'01_ВВОД'!$D$26,0)</x:f>
        <x:v>40</x:v>
      </x:c>
      <x:c r="O350" s="188" t="n">
        <x:f>IF(F350=1,'01_ВВОД'!$D$34,IF(D350&lt;=5,'01_ВВОД'!$D$32,'01_ВВОД'!$D$33))</x:f>
        <x:v>15</x:v>
      </x:c>
      <x:c r="P350" s="188" t="n">
        <x:f>O350</x:f>
        <x:v>15</x:v>
      </x:c>
      <x:c r="Q350" s="188" t="n">
        <x:f>'01_ВВОД'!$D$40</x:f>
        <x:v>12</x:v>
      </x:c>
      <x:c r="R350" s="188" t="n">
        <x:f>'01_ВВОД'!$D$46</x:f>
        <x:v>20</x:v>
      </x:c>
      <x:c r="S350" s="188" t="n">
        <x:f>H350</x:f>
        <x:v>0</x:v>
      </x:c>
      <x:c r="T350" s="188" t="n">
        <x:f>IF(H350=1,M350+N350+P350+Q350,0)</x:f>
        <x:v>0</x:v>
      </x:c>
      <x:c r="U350" t="n">
        <x:f>'01_ВВОД'!$D$120</x:f>
        <x:v>10</x:v>
      </x:c>
      <x:c r="V350" t="n">
        <x:f>ROUNDDOWN(SUM(M350,N350,R350,U350)*'01_ВВОД'!$D$127,0)</x:f>
        <x:v>51</x:v>
      </x:c>
      <x:c r="W350" t="n">
        <x:f>ROUNDDOWN(SUM(L350,N350,R350,U350)*'01_ВВОД'!$D$127,0)</x:f>
        <x:v>51</x:v>
      </x:c>
    </x:row>
    <x:row r="351">
      <x:c r="A351" s="200" t="n">
        <x:v>46612</x:v>
      </x:c>
      <x:c r="B351" s="201" t="n">
        <x:v>12</x:v>
      </x:c>
      <x:c r="C351" s="201" t="inlineStr">
        <x:is>
          <x:t xml:space="preserve">Авг-27</x:t>
        </x:is>
      </x:c>
      <x:c r="D351" s="201" t="n">
        <x:v>5</x:v>
      </x:c>
      <x:c r="E351" s="201" t="inlineStr">
        <x:is>
          <x:t xml:space="preserve">Пт</x:t>
        </x:is>
      </x:c>
      <x:c r="F351" s="199" t="n">
        <x:v>0</x:v>
      </x:c>
      <x:c r="G351" s="201" t="str"/>
      <x:c r="H351" s="193" t="n">
        <x:v>0</x:v>
      </x:c>
      <x:c r="I351" s="201" t="str"/>
      <x:c r="J351" s="188" t="n">
        <x:f>1</x:f>
        <x:v>1</x:v>
      </x:c>
      <x:c r="K351" s="188" t="n">
        <x:f>IF(AND(D351&lt;=5,F351=0),1,0)</x:f>
        <x:v>1</x:v>
      </x:c>
      <x:c r="L351" s="188" t="n">
        <x:f>IF(F351=1,'01_ВВОД'!$D$23,CHOOSE(D351,'01_ВВОД'!$D$19,'01_ВВОД'!$D$19,'01_ВВОД'!$D$19,'01_ВВОД'!$D$19,'01_ВВОД'!$D$20,'01_ВВОД'!$D$21,'01_ВВОД'!$D$22))</x:f>
        <x:v>45</x:v>
      </x:c>
      <x:c r="M351" s="188" t="n">
        <x:f>L351*IF(H351=1,'01_ВВОД'!$D$118,1)</x:f>
        <x:v>45</x:v>
      </x:c>
      <x:c r="N351" s="188" t="n">
        <x:f>IF(K351=1,'01_ВВОД'!$D$26,0)</x:f>
        <x:v>40</x:v>
      </x:c>
      <x:c r="O351" s="188" t="n">
        <x:f>IF(F351=1,'01_ВВОД'!$D$34,IF(D351&lt;=5,'01_ВВОД'!$D$32,'01_ВВОД'!$D$33))</x:f>
        <x:v>15</x:v>
      </x:c>
      <x:c r="P351" s="188" t="n">
        <x:f>O351</x:f>
        <x:v>15</x:v>
      </x:c>
      <x:c r="Q351" s="188" t="n">
        <x:f>'01_ВВОД'!$D$40</x:f>
        <x:v>12</x:v>
      </x:c>
      <x:c r="R351" s="188" t="n">
        <x:f>'01_ВВОД'!$D$46</x:f>
        <x:v>20</x:v>
      </x:c>
      <x:c r="S351" s="188" t="n">
        <x:f>H351</x:f>
        <x:v>0</x:v>
      </x:c>
      <x:c r="T351" s="188" t="n">
        <x:f>IF(H351=1,M351+N351+P351+Q351,0)</x:f>
        <x:v>0</x:v>
      </x:c>
      <x:c r="U351" t="n">
        <x:f>'01_ВВОД'!$D$120</x:f>
        <x:v>10</x:v>
      </x:c>
      <x:c r="V351" t="n">
        <x:f>ROUNDDOWN(SUM(M351,N351,R351,U351)*'01_ВВОД'!$D$127,0)</x:f>
        <x:v>57</x:v>
      </x:c>
      <x:c r="W351" t="n">
        <x:f>ROUNDDOWN(SUM(L351,N351,R351,U351)*'01_ВВОД'!$D$127,0)</x:f>
        <x:v>57</x:v>
      </x:c>
    </x:row>
    <x:row r="352">
      <x:c r="A352" s="200" t="n">
        <x:v>46613</x:v>
      </x:c>
      <x:c r="B352" s="201" t="n">
        <x:v>12</x:v>
      </x:c>
      <x:c r="C352" s="201" t="inlineStr">
        <x:is>
          <x:t xml:space="preserve">Авг-27</x:t>
        </x:is>
      </x:c>
      <x:c r="D352" s="201" t="n">
        <x:v>6</x:v>
      </x:c>
      <x:c r="E352" s="201" t="inlineStr">
        <x:is>
          <x:t xml:space="preserve">Сб</x:t>
        </x:is>
      </x:c>
      <x:c r="F352" s="199" t="n">
        <x:v>0</x:v>
      </x:c>
      <x:c r="G352" s="201" t="str"/>
      <x:c r="H352" s="193" t="n">
        <x:v>0</x:v>
      </x:c>
      <x:c r="I352" s="201" t="str"/>
      <x:c r="J352" s="188" t="n">
        <x:f>1</x:f>
        <x:v>1</x:v>
      </x:c>
      <x:c r="K352" s="188" t="n">
        <x:f>IF(AND(D352&lt;=5,F352=0),1,0)</x:f>
        <x:v>0</x:v>
      </x:c>
      <x:c r="L352" s="188" t="n">
        <x:f>IF(F352=1,'01_ВВОД'!$D$23,CHOOSE(D352,'01_ВВОД'!$D$19,'01_ВВОД'!$D$19,'01_ВВОД'!$D$19,'01_ВВОД'!$D$19,'01_ВВОД'!$D$20,'01_ВВОД'!$D$21,'01_ВВОД'!$D$22))</x:f>
        <x:v>80</x:v>
      </x:c>
      <x:c r="M352" s="188" t="n">
        <x:f>L352*IF(H352=1,'01_ВВОД'!$D$118,1)</x:f>
        <x:v>80</x:v>
      </x:c>
      <x:c r="N352" s="188" t="n">
        <x:f>IF(K352=1,'01_ВВОД'!$D$26,0)</x:f>
        <x:v>0</x:v>
      </x:c>
      <x:c r="O352" s="188" t="n">
        <x:f>IF(F352=1,'01_ВВОД'!$D$34,IF(D352&lt;=5,'01_ВВОД'!$D$32,'01_ВВОД'!$D$33))</x:f>
        <x:v>30</x:v>
      </x:c>
      <x:c r="P352" s="188" t="n">
        <x:f>O352</x:f>
        <x:v>30</x:v>
      </x:c>
      <x:c r="Q352" s="188" t="n">
        <x:f>'01_ВВОД'!$D$40</x:f>
        <x:v>12</x:v>
      </x:c>
      <x:c r="R352" s="188" t="n">
        <x:f>'01_ВВОД'!$D$46</x:f>
        <x:v>20</x:v>
      </x:c>
      <x:c r="S352" s="188" t="n">
        <x:f>H352</x:f>
        <x:v>0</x:v>
      </x:c>
      <x:c r="T352" s="188" t="n">
        <x:f>IF(H352=1,M352+N352+P352+Q352,0)</x:f>
        <x:v>0</x:v>
      </x:c>
      <x:c r="U352" t="n">
        <x:f>'01_ВВОД'!$D$120</x:f>
        <x:v>10</x:v>
      </x:c>
      <x:c r="V352" t="n">
        <x:f>ROUNDDOWN(SUM(M352,N352,R352,U352)*'01_ВВОД'!$D$127,0)</x:f>
        <x:v>55</x:v>
      </x:c>
      <x:c r="W352" t="n">
        <x:f>ROUNDDOWN(SUM(L352,N352,R352,U352)*'01_ВВОД'!$D$127,0)</x:f>
        <x:v>55</x:v>
      </x:c>
    </x:row>
    <x:row r="353">
      <x:c r="A353" s="200" t="n">
        <x:v>46614</x:v>
      </x:c>
      <x:c r="B353" s="201" t="n">
        <x:v>12</x:v>
      </x:c>
      <x:c r="C353" s="201" t="inlineStr">
        <x:is>
          <x:t xml:space="preserve">Авг-27</x:t>
        </x:is>
      </x:c>
      <x:c r="D353" s="201" t="n">
        <x:v>7</x:v>
      </x:c>
      <x:c r="E353" s="201" t="inlineStr">
        <x:is>
          <x:t xml:space="preserve">Вс</x:t>
        </x:is>
      </x:c>
      <x:c r="F353" s="199" t="n">
        <x:v>0</x:v>
      </x:c>
      <x:c r="G353" s="201" t="str"/>
      <x:c r="H353" s="193" t="n">
        <x:v>0</x:v>
      </x:c>
      <x:c r="I353" s="201" t="str"/>
      <x:c r="J353" s="188" t="n">
        <x:f>1</x:f>
        <x:v>1</x:v>
      </x:c>
      <x:c r="K353" s="188" t="n">
        <x:f>IF(AND(D353&lt;=5,F353=0),1,0)</x:f>
        <x:v>0</x:v>
      </x:c>
      <x:c r="L353" s="188" t="n">
        <x:f>IF(F353=1,'01_ВВОД'!$D$23,CHOOSE(D353,'01_ВВОД'!$D$19,'01_ВВОД'!$D$19,'01_ВВОД'!$D$19,'01_ВВОД'!$D$19,'01_ВВОД'!$D$20,'01_ВВОД'!$D$21,'01_ВВОД'!$D$22))</x:f>
        <x:v>70</x:v>
      </x:c>
      <x:c r="M353" s="188" t="n">
        <x:f>L353*IF(H353=1,'01_ВВОД'!$D$118,1)</x:f>
        <x:v>70</x:v>
      </x:c>
      <x:c r="N353" s="188" t="n">
        <x:f>IF(K353=1,'01_ВВОД'!$D$26,0)</x:f>
        <x:v>0</x:v>
      </x:c>
      <x:c r="O353" s="188" t="n">
        <x:f>IF(F353=1,'01_ВВОД'!$D$34,IF(D353&lt;=5,'01_ВВОД'!$D$32,'01_ВВОД'!$D$33))</x:f>
        <x:v>30</x:v>
      </x:c>
      <x:c r="P353" s="188" t="n">
        <x:f>O353</x:f>
        <x:v>30</x:v>
      </x:c>
      <x:c r="Q353" s="188" t="n">
        <x:f>'01_ВВОД'!$D$40</x:f>
        <x:v>12</x:v>
      </x:c>
      <x:c r="R353" s="188" t="n">
        <x:f>'01_ВВОД'!$D$46</x:f>
        <x:v>20</x:v>
      </x:c>
      <x:c r="S353" s="188" t="n">
        <x:f>H353</x:f>
        <x:v>0</x:v>
      </x:c>
      <x:c r="T353" s="188" t="n">
        <x:f>IF(H353=1,M353+N353+P353+Q353,0)</x:f>
        <x:v>0</x:v>
      </x:c>
      <x:c r="U353" t="n">
        <x:f>'01_ВВОД'!$D$120</x:f>
        <x:v>10</x:v>
      </x:c>
      <x:c r="V353" t="n">
        <x:f>ROUNDDOWN(SUM(M353,N353,R353,U353)*'01_ВВОД'!$D$127,0)</x:f>
        <x:v>50</x:v>
      </x:c>
      <x:c r="W353" t="n">
        <x:f>ROUNDDOWN(SUM(L353,N353,R353,U353)*'01_ВВОД'!$D$127,0)</x:f>
        <x:v>50</x:v>
      </x:c>
    </x:row>
    <x:row r="354">
      <x:c r="A354" s="200" t="n">
        <x:v>46615</x:v>
      </x:c>
      <x:c r="B354" s="201" t="n">
        <x:v>12</x:v>
      </x:c>
      <x:c r="C354" s="201" t="inlineStr">
        <x:is>
          <x:t xml:space="preserve">Авг-27</x:t>
        </x:is>
      </x:c>
      <x:c r="D354" s="201" t="n">
        <x:v>1</x:v>
      </x:c>
      <x:c r="E354" s="201" t="inlineStr">
        <x:is>
          <x:t xml:space="preserve">Пн</x:t>
        </x:is>
      </x:c>
      <x:c r="F354" s="199" t="n">
        <x:v>0</x:v>
      </x:c>
      <x:c r="G354" s="201" t="str"/>
      <x:c r="H354" s="193" t="n">
        <x:v>0</x:v>
      </x:c>
      <x:c r="I354" s="201" t="str"/>
      <x:c r="J354" s="188" t="n">
        <x:f>1</x:f>
        <x:v>1</x:v>
      </x:c>
      <x:c r="K354" s="188" t="n">
        <x:f>IF(AND(D354&lt;=5,F354=0),1,0)</x:f>
        <x:v>1</x:v>
      </x:c>
      <x:c r="L354" s="188" t="n">
        <x:f>IF(F354=1,'01_ВВОД'!$D$23,CHOOSE(D354,'01_ВВОД'!$D$19,'01_ВВОД'!$D$19,'01_ВВОД'!$D$19,'01_ВВОД'!$D$19,'01_ВВОД'!$D$20,'01_ВВОД'!$D$21,'01_ВВОД'!$D$22))</x:f>
        <x:v>32</x:v>
      </x:c>
      <x:c r="M354" s="188" t="n">
        <x:f>L354*IF(H354=1,'01_ВВОД'!$D$118,1)</x:f>
        <x:v>32</x:v>
      </x:c>
      <x:c r="N354" s="188" t="n">
        <x:f>IF(K354=1,'01_ВВОД'!$D$26,0)</x:f>
        <x:v>40</x:v>
      </x:c>
      <x:c r="O354" s="188" t="n">
        <x:f>IF(F354=1,'01_ВВОД'!$D$34,IF(D354&lt;=5,'01_ВВОД'!$D$32,'01_ВВОД'!$D$33))</x:f>
        <x:v>15</x:v>
      </x:c>
      <x:c r="P354" s="188" t="n">
        <x:f>O354</x:f>
        <x:v>15</x:v>
      </x:c>
      <x:c r="Q354" s="188" t="n">
        <x:f>'01_ВВОД'!$D$40</x:f>
        <x:v>12</x:v>
      </x:c>
      <x:c r="R354" s="188" t="n">
        <x:f>'01_ВВОД'!$D$46</x:f>
        <x:v>20</x:v>
      </x:c>
      <x:c r="S354" s="188" t="n">
        <x:f>H354</x:f>
        <x:v>0</x:v>
      </x:c>
      <x:c r="T354" s="188" t="n">
        <x:f>IF(H354=1,M354+N354+P354+Q354,0)</x:f>
        <x:v>0</x:v>
      </x:c>
      <x:c r="U354" t="n">
        <x:f>'01_ВВОД'!$D$120</x:f>
        <x:v>10</x:v>
      </x:c>
      <x:c r="V354" t="n">
        <x:f>ROUNDDOWN(SUM(M354,N354,R354,U354)*'01_ВВОД'!$D$127,0)</x:f>
        <x:v>51</x:v>
      </x:c>
      <x:c r="W354" t="n">
        <x:f>ROUNDDOWN(SUM(L354,N354,R354,U354)*'01_ВВОД'!$D$127,0)</x:f>
        <x:v>51</x:v>
      </x:c>
    </x:row>
    <x:row r="355">
      <x:c r="A355" s="200" t="n">
        <x:v>46616</x:v>
      </x:c>
      <x:c r="B355" s="201" t="n">
        <x:v>12</x:v>
      </x:c>
      <x:c r="C355" s="201" t="inlineStr">
        <x:is>
          <x:t xml:space="preserve">Авг-27</x:t>
        </x:is>
      </x:c>
      <x:c r="D355" s="201" t="n">
        <x:v>2</x:v>
      </x:c>
      <x:c r="E355" s="201" t="inlineStr">
        <x:is>
          <x:t xml:space="preserve">Вт</x:t>
        </x:is>
      </x:c>
      <x:c r="F355" s="199" t="n">
        <x:v>0</x:v>
      </x:c>
      <x:c r="G355" s="201" t="str"/>
      <x:c r="H355" s="193" t="n">
        <x:v>0</x:v>
      </x:c>
      <x:c r="I355" s="201" t="str"/>
      <x:c r="J355" s="188" t="n">
        <x:f>1</x:f>
        <x:v>1</x:v>
      </x:c>
      <x:c r="K355" s="188" t="n">
        <x:f>IF(AND(D355&lt;=5,F355=0),1,0)</x:f>
        <x:v>1</x:v>
      </x:c>
      <x:c r="L355" s="188" t="n">
        <x:f>IF(F355=1,'01_ВВОД'!$D$23,CHOOSE(D355,'01_ВВОД'!$D$19,'01_ВВОД'!$D$19,'01_ВВОД'!$D$19,'01_ВВОД'!$D$19,'01_ВВОД'!$D$20,'01_ВВОД'!$D$21,'01_ВВОД'!$D$22))</x:f>
        <x:v>32</x:v>
      </x:c>
      <x:c r="M355" s="188" t="n">
        <x:f>L355*IF(H355=1,'01_ВВОД'!$D$118,1)</x:f>
        <x:v>32</x:v>
      </x:c>
      <x:c r="N355" s="188" t="n">
        <x:f>IF(K355=1,'01_ВВОД'!$D$26,0)</x:f>
        <x:v>40</x:v>
      </x:c>
      <x:c r="O355" s="188" t="n">
        <x:f>IF(F355=1,'01_ВВОД'!$D$34,IF(D355&lt;=5,'01_ВВОД'!$D$32,'01_ВВОД'!$D$33))</x:f>
        <x:v>15</x:v>
      </x:c>
      <x:c r="P355" s="188" t="n">
        <x:f>O355</x:f>
        <x:v>15</x:v>
      </x:c>
      <x:c r="Q355" s="188" t="n">
        <x:f>'01_ВВОД'!$D$40</x:f>
        <x:v>12</x:v>
      </x:c>
      <x:c r="R355" s="188" t="n">
        <x:f>'01_ВВОД'!$D$46</x:f>
        <x:v>20</x:v>
      </x:c>
      <x:c r="S355" s="188" t="n">
        <x:f>H355</x:f>
        <x:v>0</x:v>
      </x:c>
      <x:c r="T355" s="188" t="n">
        <x:f>IF(H355=1,M355+N355+P355+Q355,0)</x:f>
        <x:v>0</x:v>
      </x:c>
      <x:c r="U355" t="n">
        <x:f>'01_ВВОД'!$D$120</x:f>
        <x:v>10</x:v>
      </x:c>
      <x:c r="V355" t="n">
        <x:f>ROUNDDOWN(SUM(M355,N355,R355,U355)*'01_ВВОД'!$D$127,0)</x:f>
        <x:v>51</x:v>
      </x:c>
      <x:c r="W355" t="n">
        <x:f>ROUNDDOWN(SUM(L355,N355,R355,U355)*'01_ВВОД'!$D$127,0)</x:f>
        <x:v>51</x:v>
      </x:c>
    </x:row>
    <x:row r="356">
      <x:c r="A356" s="200" t="n">
        <x:v>46617</x:v>
      </x:c>
      <x:c r="B356" s="201" t="n">
        <x:v>12</x:v>
      </x:c>
      <x:c r="C356" s="201" t="inlineStr">
        <x:is>
          <x:t xml:space="preserve">Авг-27</x:t>
        </x:is>
      </x:c>
      <x:c r="D356" s="201" t="n">
        <x:v>3</x:v>
      </x:c>
      <x:c r="E356" s="201" t="inlineStr">
        <x:is>
          <x:t xml:space="preserve">Ср</x:t>
        </x:is>
      </x:c>
      <x:c r="F356" s="199" t="n">
        <x:v>0</x:v>
      </x:c>
      <x:c r="G356" s="201" t="str"/>
      <x:c r="H356" s="193" t="n">
        <x:v>1</x:v>
      </x:c>
      <x:c r="I356" s="201" t="inlineStr">
        <x:is>
          <x:t xml:space="preserve">Пн–Чт</x:t>
        </x:is>
      </x:c>
      <x:c r="J356" s="188" t="n">
        <x:f>1</x:f>
        <x:v>1</x:v>
      </x:c>
      <x:c r="K356" s="188" t="n">
        <x:f>IF(AND(D356&lt;=5,F356=0),1,0)</x:f>
        <x:v>1</x:v>
      </x:c>
      <x:c r="L356" s="188" t="n">
        <x:f>IF(F356=1,'01_ВВОД'!$D$23,CHOOSE(D356,'01_ВВОД'!$D$19,'01_ВВОД'!$D$19,'01_ВВОД'!$D$19,'01_ВВОД'!$D$19,'01_ВВОД'!$D$20,'01_ВВОД'!$D$21,'01_ВВОД'!$D$22))</x:f>
        <x:v>32</x:v>
      </x:c>
      <x:c r="M356" s="188" t="n">
        <x:f>L356*IF(H356=1,'01_ВВОД'!$D$118,1)</x:f>
        <x:v>6.4</x:v>
      </x:c>
      <x:c r="N356" s="188" t="n">
        <x:f>IF(K356=1,'01_ВВОД'!$D$26,0)</x:f>
        <x:v>40</x:v>
      </x:c>
      <x:c r="O356" s="188" t="n">
        <x:f>IF(F356=1,'01_ВВОД'!$D$34,IF(D356&lt;=5,'01_ВВОД'!$D$32,'01_ВВОД'!$D$33))</x:f>
        <x:v>15</x:v>
      </x:c>
      <x:c r="P356" s="188" t="n">
        <x:f>O356</x:f>
        <x:v>15</x:v>
      </x:c>
      <x:c r="Q356" s="188" t="n">
        <x:f>'01_ВВОД'!$D$40</x:f>
        <x:v>12</x:v>
      </x:c>
      <x:c r="R356" s="188" t="n">
        <x:f>'01_ВВОД'!$D$46</x:f>
        <x:v>20</x:v>
      </x:c>
      <x:c r="S356" s="188" t="n">
        <x:f>H356</x:f>
        <x:v>1</x:v>
      </x:c>
      <x:c r="T356" s="188" t="n">
        <x:f>IF(H356=1,M356+N356+P356+Q356,0)</x:f>
        <x:v>73.4</x:v>
      </x:c>
      <x:c r="U356" t="n">
        <x:f>'01_ВВОД'!$D$120</x:f>
        <x:v>10</x:v>
      </x:c>
      <x:c r="V356" t="n">
        <x:f>ROUNDDOWN(SUM(M356,N356,R356,U356)*'01_ВВОД'!$D$127,0)</x:f>
        <x:v>38</x:v>
      </x:c>
      <x:c r="W356" t="n">
        <x:f>ROUNDDOWN(SUM(L356,N356,R356,U356)*'01_ВВОД'!$D$127,0)</x:f>
        <x:v>51</x:v>
      </x:c>
    </x:row>
    <x:row r="357">
      <x:c r="A357" s="200" t="n">
        <x:v>46618</x:v>
      </x:c>
      <x:c r="B357" s="201" t="n">
        <x:v>12</x:v>
      </x:c>
      <x:c r="C357" s="201" t="inlineStr">
        <x:is>
          <x:t xml:space="preserve">Авг-27</x:t>
        </x:is>
      </x:c>
      <x:c r="D357" s="201" t="n">
        <x:v>4</x:v>
      </x:c>
      <x:c r="E357" s="201" t="inlineStr">
        <x:is>
          <x:t xml:space="preserve">Чт</x:t>
        </x:is>
      </x:c>
      <x:c r="F357" s="199" t="n">
        <x:v>0</x:v>
      </x:c>
      <x:c r="G357" s="201" t="str"/>
      <x:c r="H357" s="193" t="n">
        <x:v>0</x:v>
      </x:c>
      <x:c r="I357" s="201" t="str"/>
      <x:c r="J357" s="188" t="n">
        <x:f>1</x:f>
        <x:v>1</x:v>
      </x:c>
      <x:c r="K357" s="188" t="n">
        <x:f>IF(AND(D357&lt;=5,F357=0),1,0)</x:f>
        <x:v>1</x:v>
      </x:c>
      <x:c r="L357" s="188" t="n">
        <x:f>IF(F357=1,'01_ВВОД'!$D$23,CHOOSE(D357,'01_ВВОД'!$D$19,'01_ВВОД'!$D$19,'01_ВВОД'!$D$19,'01_ВВОД'!$D$19,'01_ВВОД'!$D$20,'01_ВВОД'!$D$21,'01_ВВОД'!$D$22))</x:f>
        <x:v>32</x:v>
      </x:c>
      <x:c r="M357" s="188" t="n">
        <x:f>L357*IF(H357=1,'01_ВВОД'!$D$118,1)</x:f>
        <x:v>32</x:v>
      </x:c>
      <x:c r="N357" s="188" t="n">
        <x:f>IF(K357=1,'01_ВВОД'!$D$26,0)</x:f>
        <x:v>40</x:v>
      </x:c>
      <x:c r="O357" s="188" t="n">
        <x:f>IF(F357=1,'01_ВВОД'!$D$34,IF(D357&lt;=5,'01_ВВОД'!$D$32,'01_ВВОД'!$D$33))</x:f>
        <x:v>15</x:v>
      </x:c>
      <x:c r="P357" s="188" t="n">
        <x:f>O357</x:f>
        <x:v>15</x:v>
      </x:c>
      <x:c r="Q357" s="188" t="n">
        <x:f>'01_ВВОД'!$D$40</x:f>
        <x:v>12</x:v>
      </x:c>
      <x:c r="R357" s="188" t="n">
        <x:f>'01_ВВОД'!$D$46</x:f>
        <x:v>20</x:v>
      </x:c>
      <x:c r="S357" s="188" t="n">
        <x:f>H357</x:f>
        <x:v>0</x:v>
      </x:c>
      <x:c r="T357" s="188" t="n">
        <x:f>IF(H357=1,M357+N357+P357+Q357,0)</x:f>
        <x:v>0</x:v>
      </x:c>
      <x:c r="U357" t="n">
        <x:f>'01_ВВОД'!$D$120</x:f>
        <x:v>10</x:v>
      </x:c>
      <x:c r="V357" t="n">
        <x:f>ROUNDDOWN(SUM(M357,N357,R357,U357)*'01_ВВОД'!$D$127,0)</x:f>
        <x:v>51</x:v>
      </x:c>
      <x:c r="W357" t="n">
        <x:f>ROUNDDOWN(SUM(L357,N357,R357,U357)*'01_ВВОД'!$D$127,0)</x:f>
        <x:v>51</x:v>
      </x:c>
    </x:row>
    <x:row r="358">
      <x:c r="A358" s="200" t="n">
        <x:v>46619</x:v>
      </x:c>
      <x:c r="B358" s="201" t="n">
        <x:v>12</x:v>
      </x:c>
      <x:c r="C358" s="201" t="inlineStr">
        <x:is>
          <x:t xml:space="preserve">Авг-27</x:t>
        </x:is>
      </x:c>
      <x:c r="D358" s="201" t="n">
        <x:v>5</x:v>
      </x:c>
      <x:c r="E358" s="201" t="inlineStr">
        <x:is>
          <x:t xml:space="preserve">Пт</x:t>
        </x:is>
      </x:c>
      <x:c r="F358" s="199" t="n">
        <x:v>0</x:v>
      </x:c>
      <x:c r="G358" s="201" t="str"/>
      <x:c r="H358" s="193" t="n">
        <x:v>0</x:v>
      </x:c>
      <x:c r="I358" s="201" t="str"/>
      <x:c r="J358" s="188" t="n">
        <x:f>1</x:f>
        <x:v>1</x:v>
      </x:c>
      <x:c r="K358" s="188" t="n">
        <x:f>IF(AND(D358&lt;=5,F358=0),1,0)</x:f>
        <x:v>1</x:v>
      </x:c>
      <x:c r="L358" s="188" t="n">
        <x:f>IF(F358=1,'01_ВВОД'!$D$23,CHOOSE(D358,'01_ВВОД'!$D$19,'01_ВВОД'!$D$19,'01_ВВОД'!$D$19,'01_ВВОД'!$D$19,'01_ВВОД'!$D$20,'01_ВВОД'!$D$21,'01_ВВОД'!$D$22))</x:f>
        <x:v>45</x:v>
      </x:c>
      <x:c r="M358" s="188" t="n">
        <x:f>L358*IF(H358=1,'01_ВВОД'!$D$118,1)</x:f>
        <x:v>45</x:v>
      </x:c>
      <x:c r="N358" s="188" t="n">
        <x:f>IF(K358=1,'01_ВВОД'!$D$26,0)</x:f>
        <x:v>40</x:v>
      </x:c>
      <x:c r="O358" s="188" t="n">
        <x:f>IF(F358=1,'01_ВВОД'!$D$34,IF(D358&lt;=5,'01_ВВОД'!$D$32,'01_ВВОД'!$D$33))</x:f>
        <x:v>15</x:v>
      </x:c>
      <x:c r="P358" s="188" t="n">
        <x:f>O358</x:f>
        <x:v>15</x:v>
      </x:c>
      <x:c r="Q358" s="188" t="n">
        <x:f>'01_ВВОД'!$D$40</x:f>
        <x:v>12</x:v>
      </x:c>
      <x:c r="R358" s="188" t="n">
        <x:f>'01_ВВОД'!$D$46</x:f>
        <x:v>20</x:v>
      </x:c>
      <x:c r="S358" s="188" t="n">
        <x:f>H358</x:f>
        <x:v>0</x:v>
      </x:c>
      <x:c r="T358" s="188" t="n">
        <x:f>IF(H358=1,M358+N358+P358+Q358,0)</x:f>
        <x:v>0</x:v>
      </x:c>
      <x:c r="U358" t="n">
        <x:f>'01_ВВОД'!$D$120</x:f>
        <x:v>10</x:v>
      </x:c>
      <x:c r="V358" t="n">
        <x:f>ROUNDDOWN(SUM(M358,N358,R358,U358)*'01_ВВОД'!$D$127,0)</x:f>
        <x:v>57</x:v>
      </x:c>
      <x:c r="W358" t="n">
        <x:f>ROUNDDOWN(SUM(L358,N358,R358,U358)*'01_ВВОД'!$D$127,0)</x:f>
        <x:v>57</x:v>
      </x:c>
    </x:row>
    <x:row r="359">
      <x:c r="A359" s="200" t="n">
        <x:v>46620</x:v>
      </x:c>
      <x:c r="B359" s="201" t="n">
        <x:v>12</x:v>
      </x:c>
      <x:c r="C359" s="201" t="inlineStr">
        <x:is>
          <x:t xml:space="preserve">Авг-27</x:t>
        </x:is>
      </x:c>
      <x:c r="D359" s="201" t="n">
        <x:v>6</x:v>
      </x:c>
      <x:c r="E359" s="201" t="inlineStr">
        <x:is>
          <x:t xml:space="preserve">Сб</x:t>
        </x:is>
      </x:c>
      <x:c r="F359" s="199" t="n">
        <x:v>0</x:v>
      </x:c>
      <x:c r="G359" s="201" t="str"/>
      <x:c r="H359" s="193" t="n">
        <x:v>1</x:v>
      </x:c>
      <x:c r="I359" s="201" t="inlineStr">
        <x:is>
          <x:t xml:space="preserve">Пт–Вс</x:t>
        </x:is>
      </x:c>
      <x:c r="J359" s="188" t="n">
        <x:f>1</x:f>
        <x:v>1</x:v>
      </x:c>
      <x:c r="K359" s="188" t="n">
        <x:f>IF(AND(D359&lt;=5,F359=0),1,0)</x:f>
        <x:v>0</x:v>
      </x:c>
      <x:c r="L359" s="188" t="n">
        <x:f>IF(F359=1,'01_ВВОД'!$D$23,CHOOSE(D359,'01_ВВОД'!$D$19,'01_ВВОД'!$D$19,'01_ВВОД'!$D$19,'01_ВВОД'!$D$19,'01_ВВОД'!$D$20,'01_ВВОД'!$D$21,'01_ВВОД'!$D$22))</x:f>
        <x:v>80</x:v>
      </x:c>
      <x:c r="M359" s="188" t="n">
        <x:f>L359*IF(H359=1,'01_ВВОД'!$D$118,1)</x:f>
        <x:v>16</x:v>
      </x:c>
      <x:c r="N359" s="188" t="n">
        <x:f>IF(K359=1,'01_ВВОД'!$D$26,0)</x:f>
        <x:v>0</x:v>
      </x:c>
      <x:c r="O359" s="188" t="n">
        <x:f>IF(F359=1,'01_ВВОД'!$D$34,IF(D359&lt;=5,'01_ВВОД'!$D$32,'01_ВВОД'!$D$33))</x:f>
        <x:v>30</x:v>
      </x:c>
      <x:c r="P359" s="188" t="n">
        <x:f>O359</x:f>
        <x:v>30</x:v>
      </x:c>
      <x:c r="Q359" s="188" t="n">
        <x:f>'01_ВВОД'!$D$40</x:f>
        <x:v>12</x:v>
      </x:c>
      <x:c r="R359" s="188" t="n">
        <x:f>'01_ВВОД'!$D$46</x:f>
        <x:v>20</x:v>
      </x:c>
      <x:c r="S359" s="188" t="n">
        <x:f>H359</x:f>
        <x:v>1</x:v>
      </x:c>
      <x:c r="T359" s="188" t="n">
        <x:f>IF(H359=1,M359+N359+P359+Q359,0)</x:f>
        <x:v>58</x:v>
      </x:c>
      <x:c r="U359" t="n">
        <x:f>'01_ВВОД'!$D$120</x:f>
        <x:v>10</x:v>
      </x:c>
      <x:c r="V359" t="n">
        <x:f>ROUNDDOWN(SUM(M359,N359,R359,U359)*'01_ВВОД'!$D$127,0)</x:f>
        <x:v>23</x:v>
      </x:c>
      <x:c r="W359" t="n">
        <x:f>ROUNDDOWN(SUM(L359,N359,R359,U359)*'01_ВВОД'!$D$127,0)</x:f>
        <x:v>55</x:v>
      </x:c>
    </x:row>
    <x:row r="360">
      <x:c r="A360" s="200" t="n">
        <x:v>46621</x:v>
      </x:c>
      <x:c r="B360" s="201" t="n">
        <x:v>12</x:v>
      </x:c>
      <x:c r="C360" s="201" t="inlineStr">
        <x:is>
          <x:t xml:space="preserve">Авг-27</x:t>
        </x:is>
      </x:c>
      <x:c r="D360" s="201" t="n">
        <x:v>7</x:v>
      </x:c>
      <x:c r="E360" s="201" t="inlineStr">
        <x:is>
          <x:t xml:space="preserve">Вс</x:t>
        </x:is>
      </x:c>
      <x:c r="F360" s="199" t="n">
        <x:v>0</x:v>
      </x:c>
      <x:c r="G360" s="201" t="str"/>
      <x:c r="H360" s="193" t="n">
        <x:v>0</x:v>
      </x:c>
      <x:c r="I360" s="201" t="str"/>
      <x:c r="J360" s="188" t="n">
        <x:f>1</x:f>
        <x:v>1</x:v>
      </x:c>
      <x:c r="K360" s="188" t="n">
        <x:f>IF(AND(D360&lt;=5,F360=0),1,0)</x:f>
        <x:v>0</x:v>
      </x:c>
      <x:c r="L360" s="188" t="n">
        <x:f>IF(F360=1,'01_ВВОД'!$D$23,CHOOSE(D360,'01_ВВОД'!$D$19,'01_ВВОД'!$D$19,'01_ВВОД'!$D$19,'01_ВВОД'!$D$19,'01_ВВОД'!$D$20,'01_ВВОД'!$D$21,'01_ВВОД'!$D$22))</x:f>
        <x:v>70</x:v>
      </x:c>
      <x:c r="M360" s="188" t="n">
        <x:f>L360*IF(H360=1,'01_ВВОД'!$D$118,1)</x:f>
        <x:v>70</x:v>
      </x:c>
      <x:c r="N360" s="188" t="n">
        <x:f>IF(K360=1,'01_ВВОД'!$D$26,0)</x:f>
        <x:v>0</x:v>
      </x:c>
      <x:c r="O360" s="188" t="n">
        <x:f>IF(F360=1,'01_ВВОД'!$D$34,IF(D360&lt;=5,'01_ВВОД'!$D$32,'01_ВВОД'!$D$33))</x:f>
        <x:v>30</x:v>
      </x:c>
      <x:c r="P360" s="188" t="n">
        <x:f>O360</x:f>
        <x:v>30</x:v>
      </x:c>
      <x:c r="Q360" s="188" t="n">
        <x:f>'01_ВВОД'!$D$40</x:f>
        <x:v>12</x:v>
      </x:c>
      <x:c r="R360" s="188" t="n">
        <x:f>'01_ВВОД'!$D$46</x:f>
        <x:v>20</x:v>
      </x:c>
      <x:c r="S360" s="188" t="n">
        <x:f>H360</x:f>
        <x:v>0</x:v>
      </x:c>
      <x:c r="T360" s="188" t="n">
        <x:f>IF(H360=1,M360+N360+P360+Q360,0)</x:f>
        <x:v>0</x:v>
      </x:c>
      <x:c r="U360" t="n">
        <x:f>'01_ВВОД'!$D$120</x:f>
        <x:v>10</x:v>
      </x:c>
      <x:c r="V360" t="n">
        <x:f>ROUNDDOWN(SUM(M360,N360,R360,U360)*'01_ВВОД'!$D$127,0)</x:f>
        <x:v>50</x:v>
      </x:c>
      <x:c r="W360" t="n">
        <x:f>ROUNDDOWN(SUM(L360,N360,R360,U360)*'01_ВВОД'!$D$127,0)</x:f>
        <x:v>50</x:v>
      </x:c>
    </x:row>
    <x:row r="361">
      <x:c r="A361" s="200" t="n">
        <x:v>46622</x:v>
      </x:c>
      <x:c r="B361" s="201" t="n">
        <x:v>12</x:v>
      </x:c>
      <x:c r="C361" s="201" t="inlineStr">
        <x:is>
          <x:t xml:space="preserve">Авг-27</x:t>
        </x:is>
      </x:c>
      <x:c r="D361" s="201" t="n">
        <x:v>1</x:v>
      </x:c>
      <x:c r="E361" s="201" t="inlineStr">
        <x:is>
          <x:t xml:space="preserve">Пн</x:t>
        </x:is>
      </x:c>
      <x:c r="F361" s="199" t="n">
        <x:v>0</x:v>
      </x:c>
      <x:c r="G361" s="201" t="str"/>
      <x:c r="H361" s="193" t="n">
        <x:v>0</x:v>
      </x:c>
      <x:c r="I361" s="201" t="str"/>
      <x:c r="J361" s="188" t="n">
        <x:f>1</x:f>
        <x:v>1</x:v>
      </x:c>
      <x:c r="K361" s="188" t="n">
        <x:f>IF(AND(D361&lt;=5,F361=0),1,0)</x:f>
        <x:v>1</x:v>
      </x:c>
      <x:c r="L361" s="188" t="n">
        <x:f>IF(F361=1,'01_ВВОД'!$D$23,CHOOSE(D361,'01_ВВОД'!$D$19,'01_ВВОД'!$D$19,'01_ВВОД'!$D$19,'01_ВВОД'!$D$19,'01_ВВОД'!$D$20,'01_ВВОД'!$D$21,'01_ВВОД'!$D$22))</x:f>
        <x:v>32</x:v>
      </x:c>
      <x:c r="M361" s="188" t="n">
        <x:f>L361*IF(H361=1,'01_ВВОД'!$D$118,1)</x:f>
        <x:v>32</x:v>
      </x:c>
      <x:c r="N361" s="188" t="n">
        <x:f>IF(K361=1,'01_ВВОД'!$D$26,0)</x:f>
        <x:v>40</x:v>
      </x:c>
      <x:c r="O361" s="188" t="n">
        <x:f>IF(F361=1,'01_ВВОД'!$D$34,IF(D361&lt;=5,'01_ВВОД'!$D$32,'01_ВВОД'!$D$33))</x:f>
        <x:v>15</x:v>
      </x:c>
      <x:c r="P361" s="188" t="n">
        <x:f>O361</x:f>
        <x:v>15</x:v>
      </x:c>
      <x:c r="Q361" s="188" t="n">
        <x:f>'01_ВВОД'!$D$40</x:f>
        <x:v>12</x:v>
      </x:c>
      <x:c r="R361" s="188" t="n">
        <x:f>'01_ВВОД'!$D$46</x:f>
        <x:v>20</x:v>
      </x:c>
      <x:c r="S361" s="188" t="n">
        <x:f>H361</x:f>
        <x:v>0</x:v>
      </x:c>
      <x:c r="T361" s="188" t="n">
        <x:f>IF(H361=1,M361+N361+P361+Q361,0)</x:f>
        <x:v>0</x:v>
      </x:c>
      <x:c r="U361" t="n">
        <x:f>'01_ВВОД'!$D$120</x:f>
        <x:v>10</x:v>
      </x:c>
      <x:c r="V361" t="n">
        <x:f>ROUNDDOWN(SUM(M361,N361,R361,U361)*'01_ВВОД'!$D$127,0)</x:f>
        <x:v>51</x:v>
      </x:c>
      <x:c r="W361" t="n">
        <x:f>ROUNDDOWN(SUM(L361,N361,R361,U361)*'01_ВВОД'!$D$127,0)</x:f>
        <x:v>51</x:v>
      </x:c>
    </x:row>
    <x:row r="362">
      <x:c r="A362" s="200" t="n">
        <x:v>46623</x:v>
      </x:c>
      <x:c r="B362" s="201" t="n">
        <x:v>12</x:v>
      </x:c>
      <x:c r="C362" s="201" t="inlineStr">
        <x:is>
          <x:t xml:space="preserve">Авг-27</x:t>
        </x:is>
      </x:c>
      <x:c r="D362" s="201" t="n">
        <x:v>2</x:v>
      </x:c>
      <x:c r="E362" s="201" t="inlineStr">
        <x:is>
          <x:t xml:space="preserve">Вт</x:t>
        </x:is>
      </x:c>
      <x:c r="F362" s="199" t="n">
        <x:v>0</x:v>
      </x:c>
      <x:c r="G362" s="201" t="str"/>
      <x:c r="H362" s="193" t="n">
        <x:v>0</x:v>
      </x:c>
      <x:c r="I362" s="201" t="str"/>
      <x:c r="J362" s="188" t="n">
        <x:f>1</x:f>
        <x:v>1</x:v>
      </x:c>
      <x:c r="K362" s="188" t="n">
        <x:f>IF(AND(D362&lt;=5,F362=0),1,0)</x:f>
        <x:v>1</x:v>
      </x:c>
      <x:c r="L362" s="188" t="n">
        <x:f>IF(F362=1,'01_ВВОД'!$D$23,CHOOSE(D362,'01_ВВОД'!$D$19,'01_ВВОД'!$D$19,'01_ВВОД'!$D$19,'01_ВВОД'!$D$19,'01_ВВОД'!$D$20,'01_ВВОД'!$D$21,'01_ВВОД'!$D$22))</x:f>
        <x:v>32</x:v>
      </x:c>
      <x:c r="M362" s="188" t="n">
        <x:f>L362*IF(H362=1,'01_ВВОД'!$D$118,1)</x:f>
        <x:v>32</x:v>
      </x:c>
      <x:c r="N362" s="188" t="n">
        <x:f>IF(K362=1,'01_ВВОД'!$D$26,0)</x:f>
        <x:v>40</x:v>
      </x:c>
      <x:c r="O362" s="188" t="n">
        <x:f>IF(F362=1,'01_ВВОД'!$D$34,IF(D362&lt;=5,'01_ВВОД'!$D$32,'01_ВВОД'!$D$33))</x:f>
        <x:v>15</x:v>
      </x:c>
      <x:c r="P362" s="188" t="n">
        <x:f>O362</x:f>
        <x:v>15</x:v>
      </x:c>
      <x:c r="Q362" s="188" t="n">
        <x:f>'01_ВВОД'!$D$40</x:f>
        <x:v>12</x:v>
      </x:c>
      <x:c r="R362" s="188" t="n">
        <x:f>'01_ВВОД'!$D$46</x:f>
        <x:v>20</x:v>
      </x:c>
      <x:c r="S362" s="188" t="n">
        <x:f>H362</x:f>
        <x:v>0</x:v>
      </x:c>
      <x:c r="T362" s="188" t="n">
        <x:f>IF(H362=1,M362+N362+P362+Q362,0)</x:f>
        <x:v>0</x:v>
      </x:c>
      <x:c r="U362" t="n">
        <x:f>'01_ВВОД'!$D$120</x:f>
        <x:v>10</x:v>
      </x:c>
      <x:c r="V362" t="n">
        <x:f>ROUNDDOWN(SUM(M362,N362,R362,U362)*'01_ВВОД'!$D$127,0)</x:f>
        <x:v>51</x:v>
      </x:c>
      <x:c r="W362" t="n">
        <x:f>ROUNDDOWN(SUM(L362,N362,R362,U362)*'01_ВВОД'!$D$127,0)</x:f>
        <x:v>51</x:v>
      </x:c>
    </x:row>
    <x:row r="363">
      <x:c r="A363" s="200" t="n">
        <x:v>46624</x:v>
      </x:c>
      <x:c r="B363" s="201" t="n">
        <x:v>12</x:v>
      </x:c>
      <x:c r="C363" s="201" t="inlineStr">
        <x:is>
          <x:t xml:space="preserve">Авг-27</x:t>
        </x:is>
      </x:c>
      <x:c r="D363" s="201" t="n">
        <x:v>3</x:v>
      </x:c>
      <x:c r="E363" s="201" t="inlineStr">
        <x:is>
          <x:t xml:space="preserve">Ср</x:t>
        </x:is>
      </x:c>
      <x:c r="F363" s="199" t="n">
        <x:v>0</x:v>
      </x:c>
      <x:c r="G363" s="201" t="str"/>
      <x:c r="H363" s="193" t="n">
        <x:v>0</x:v>
      </x:c>
      <x:c r="I363" s="201" t="str"/>
      <x:c r="J363" s="188" t="n">
        <x:f>1</x:f>
        <x:v>1</x:v>
      </x:c>
      <x:c r="K363" s="188" t="n">
        <x:f>IF(AND(D363&lt;=5,F363=0),1,0)</x:f>
        <x:v>1</x:v>
      </x:c>
      <x:c r="L363" s="188" t="n">
        <x:f>IF(F363=1,'01_ВВОД'!$D$23,CHOOSE(D363,'01_ВВОД'!$D$19,'01_ВВОД'!$D$19,'01_ВВОД'!$D$19,'01_ВВОД'!$D$19,'01_ВВОД'!$D$20,'01_ВВОД'!$D$21,'01_ВВОД'!$D$22))</x:f>
        <x:v>32</x:v>
      </x:c>
      <x:c r="M363" s="188" t="n">
        <x:f>L363*IF(H363=1,'01_ВВОД'!$D$118,1)</x:f>
        <x:v>32</x:v>
      </x:c>
      <x:c r="N363" s="188" t="n">
        <x:f>IF(K363=1,'01_ВВОД'!$D$26,0)</x:f>
        <x:v>40</x:v>
      </x:c>
      <x:c r="O363" s="188" t="n">
        <x:f>IF(F363=1,'01_ВВОД'!$D$34,IF(D363&lt;=5,'01_ВВОД'!$D$32,'01_ВВОД'!$D$33))</x:f>
        <x:v>15</x:v>
      </x:c>
      <x:c r="P363" s="188" t="n">
        <x:f>O363</x:f>
        <x:v>15</x:v>
      </x:c>
      <x:c r="Q363" s="188" t="n">
        <x:f>'01_ВВОД'!$D$40</x:f>
        <x:v>12</x:v>
      </x:c>
      <x:c r="R363" s="188" t="n">
        <x:f>'01_ВВОД'!$D$46</x:f>
        <x:v>20</x:v>
      </x:c>
      <x:c r="S363" s="188" t="n">
        <x:f>H363</x:f>
        <x:v>0</x:v>
      </x:c>
      <x:c r="T363" s="188" t="n">
        <x:f>IF(H363=1,M363+N363+P363+Q363,0)</x:f>
        <x:v>0</x:v>
      </x:c>
      <x:c r="U363" t="n">
        <x:f>'01_ВВОД'!$D$120</x:f>
        <x:v>10</x:v>
      </x:c>
      <x:c r="V363" t="n">
        <x:f>ROUNDDOWN(SUM(M363,N363,R363,U363)*'01_ВВОД'!$D$127,0)</x:f>
        <x:v>51</x:v>
      </x:c>
      <x:c r="W363" t="n">
        <x:f>ROUNDDOWN(SUM(L363,N363,R363,U363)*'01_ВВОД'!$D$127,0)</x:f>
        <x:v>51</x:v>
      </x:c>
    </x:row>
    <x:row r="364">
      <x:c r="A364" s="200" t="n">
        <x:v>46625</x:v>
      </x:c>
      <x:c r="B364" s="201" t="n">
        <x:v>12</x:v>
      </x:c>
      <x:c r="C364" s="201" t="inlineStr">
        <x:is>
          <x:t xml:space="preserve">Авг-27</x:t>
        </x:is>
      </x:c>
      <x:c r="D364" s="201" t="n">
        <x:v>4</x:v>
      </x:c>
      <x:c r="E364" s="201" t="inlineStr">
        <x:is>
          <x:t xml:space="preserve">Чт</x:t>
        </x:is>
      </x:c>
      <x:c r="F364" s="199" t="n">
        <x:v>0</x:v>
      </x:c>
      <x:c r="G364" s="201" t="str"/>
      <x:c r="H364" s="193" t="n">
        <x:v>0</x:v>
      </x:c>
      <x:c r="I364" s="201" t="str"/>
      <x:c r="J364" s="188" t="n">
        <x:f>1</x:f>
        <x:v>1</x:v>
      </x:c>
      <x:c r="K364" s="188" t="n">
        <x:f>IF(AND(D364&lt;=5,F364=0),1,0)</x:f>
        <x:v>1</x:v>
      </x:c>
      <x:c r="L364" s="188" t="n">
        <x:f>IF(F364=1,'01_ВВОД'!$D$23,CHOOSE(D364,'01_ВВОД'!$D$19,'01_ВВОД'!$D$19,'01_ВВОД'!$D$19,'01_ВВОД'!$D$19,'01_ВВОД'!$D$20,'01_ВВОД'!$D$21,'01_ВВОД'!$D$22))</x:f>
        <x:v>32</x:v>
      </x:c>
      <x:c r="M364" s="188" t="n">
        <x:f>L364*IF(H364=1,'01_ВВОД'!$D$118,1)</x:f>
        <x:v>32</x:v>
      </x:c>
      <x:c r="N364" s="188" t="n">
        <x:f>IF(K364=1,'01_ВВОД'!$D$26,0)</x:f>
        <x:v>40</x:v>
      </x:c>
      <x:c r="O364" s="188" t="n">
        <x:f>IF(F364=1,'01_ВВОД'!$D$34,IF(D364&lt;=5,'01_ВВОД'!$D$32,'01_ВВОД'!$D$33))</x:f>
        <x:v>15</x:v>
      </x:c>
      <x:c r="P364" s="188" t="n">
        <x:f>O364</x:f>
        <x:v>15</x:v>
      </x:c>
      <x:c r="Q364" s="188" t="n">
        <x:f>'01_ВВОД'!$D$40</x:f>
        <x:v>12</x:v>
      </x:c>
      <x:c r="R364" s="188" t="n">
        <x:f>'01_ВВОД'!$D$46</x:f>
        <x:v>20</x:v>
      </x:c>
      <x:c r="S364" s="188" t="n">
        <x:f>H364</x:f>
        <x:v>0</x:v>
      </x:c>
      <x:c r="T364" s="188" t="n">
        <x:f>IF(H364=1,M364+N364+P364+Q364,0)</x:f>
        <x:v>0</x:v>
      </x:c>
      <x:c r="U364" t="n">
        <x:f>'01_ВВОД'!$D$120</x:f>
        <x:v>10</x:v>
      </x:c>
      <x:c r="V364" t="n">
        <x:f>ROUNDDOWN(SUM(M364,N364,R364,U364)*'01_ВВОД'!$D$127,0)</x:f>
        <x:v>51</x:v>
      </x:c>
      <x:c r="W364" t="n">
        <x:f>ROUNDDOWN(SUM(L364,N364,R364,U364)*'01_ВВОД'!$D$127,0)</x:f>
        <x:v>51</x:v>
      </x:c>
    </x:row>
    <x:row r="365">
      <x:c r="A365" s="200" t="n">
        <x:v>46626</x:v>
      </x:c>
      <x:c r="B365" s="201" t="n">
        <x:v>12</x:v>
      </x:c>
      <x:c r="C365" s="201" t="inlineStr">
        <x:is>
          <x:t xml:space="preserve">Авг-27</x:t>
        </x:is>
      </x:c>
      <x:c r="D365" s="201" t="n">
        <x:v>5</x:v>
      </x:c>
      <x:c r="E365" s="201" t="inlineStr">
        <x:is>
          <x:t xml:space="preserve">Пт</x:t>
        </x:is>
      </x:c>
      <x:c r="F365" s="199" t="n">
        <x:v>0</x:v>
      </x:c>
      <x:c r="G365" s="201" t="str"/>
      <x:c r="H365" s="193" t="n">
        <x:v>1</x:v>
      </x:c>
      <x:c r="I365" s="201" t="inlineStr">
        <x:is>
          <x:t xml:space="preserve">Пт–Вс</x:t>
        </x:is>
      </x:c>
      <x:c r="J365" s="188" t="n">
        <x:f>1</x:f>
        <x:v>1</x:v>
      </x:c>
      <x:c r="K365" s="188" t="n">
        <x:f>IF(AND(D365&lt;=5,F365=0),1,0)</x:f>
        <x:v>1</x:v>
      </x:c>
      <x:c r="L365" s="188" t="n">
        <x:f>IF(F365=1,'01_ВВОД'!$D$23,CHOOSE(D365,'01_ВВОД'!$D$19,'01_ВВОД'!$D$19,'01_ВВОД'!$D$19,'01_ВВОД'!$D$19,'01_ВВОД'!$D$20,'01_ВВОД'!$D$21,'01_ВВОД'!$D$22))</x:f>
        <x:v>45</x:v>
      </x:c>
      <x:c r="M365" s="188" t="n">
        <x:f>L365*IF(H365=1,'01_ВВОД'!$D$118,1)</x:f>
        <x:v>9</x:v>
      </x:c>
      <x:c r="N365" s="188" t="n">
        <x:f>IF(K365=1,'01_ВВОД'!$D$26,0)</x:f>
        <x:v>40</x:v>
      </x:c>
      <x:c r="O365" s="188" t="n">
        <x:f>IF(F365=1,'01_ВВОД'!$D$34,IF(D365&lt;=5,'01_ВВОД'!$D$32,'01_ВВОД'!$D$33))</x:f>
        <x:v>15</x:v>
      </x:c>
      <x:c r="P365" s="188" t="n">
        <x:f>O365</x:f>
        <x:v>15</x:v>
      </x:c>
      <x:c r="Q365" s="188" t="n">
        <x:f>'01_ВВОД'!$D$40</x:f>
        <x:v>12</x:v>
      </x:c>
      <x:c r="R365" s="188" t="n">
        <x:f>'01_ВВОД'!$D$46</x:f>
        <x:v>20</x:v>
      </x:c>
      <x:c r="S365" s="188" t="n">
        <x:f>H365</x:f>
        <x:v>1</x:v>
      </x:c>
      <x:c r="T365" s="188" t="n">
        <x:f>IF(H365=1,M365+N365+P365+Q365,0)</x:f>
        <x:v>76</x:v>
      </x:c>
      <x:c r="U365" t="n">
        <x:f>'01_ВВОД'!$D$120</x:f>
        <x:v>10</x:v>
      </x:c>
      <x:c r="V365" t="n">
        <x:f>ROUNDDOWN(SUM(M365,N365,R365,U365)*'01_ВВОД'!$D$127,0)</x:f>
        <x:v>39</x:v>
      </x:c>
      <x:c r="W365" t="n">
        <x:f>ROUNDDOWN(SUM(L365,N365,R365,U365)*'01_ВВОД'!$D$127,0)</x:f>
        <x:v>57</x:v>
      </x:c>
    </x:row>
    <x:row r="366">
      <x:c r="A366" s="200" t="n">
        <x:v>46627</x:v>
      </x:c>
      <x:c r="B366" s="201" t="n">
        <x:v>12</x:v>
      </x:c>
      <x:c r="C366" s="201" t="inlineStr">
        <x:is>
          <x:t xml:space="preserve">Авг-27</x:t>
        </x:is>
      </x:c>
      <x:c r="D366" s="201" t="n">
        <x:v>6</x:v>
      </x:c>
      <x:c r="E366" s="201" t="inlineStr">
        <x:is>
          <x:t xml:space="preserve">Сб</x:t>
        </x:is>
      </x:c>
      <x:c r="F366" s="199" t="n">
        <x:v>0</x:v>
      </x:c>
      <x:c r="G366" s="201" t="str"/>
      <x:c r="H366" s="193" t="n">
        <x:v>1</x:v>
      </x:c>
      <x:c r="I366" s="201" t="inlineStr">
        <x:is>
          <x:t xml:space="preserve">Пт–Вс</x:t>
        </x:is>
      </x:c>
      <x:c r="J366" s="188" t="n">
        <x:f>1</x:f>
        <x:v>1</x:v>
      </x:c>
      <x:c r="K366" s="188" t="n">
        <x:f>IF(AND(D366&lt;=5,F366=0),1,0)</x:f>
        <x:v>0</x:v>
      </x:c>
      <x:c r="L366" s="188" t="n">
        <x:f>IF(F366=1,'01_ВВОД'!$D$23,CHOOSE(D366,'01_ВВОД'!$D$19,'01_ВВОД'!$D$19,'01_ВВОД'!$D$19,'01_ВВОД'!$D$19,'01_ВВОД'!$D$20,'01_ВВОД'!$D$21,'01_ВВОД'!$D$22))</x:f>
        <x:v>80</x:v>
      </x:c>
      <x:c r="M366" s="188" t="n">
        <x:f>L366*IF(H366=1,'01_ВВОД'!$D$118,1)</x:f>
        <x:v>16</x:v>
      </x:c>
      <x:c r="N366" s="188" t="n">
        <x:f>IF(K366=1,'01_ВВОД'!$D$26,0)</x:f>
        <x:v>0</x:v>
      </x:c>
      <x:c r="O366" s="188" t="n">
        <x:f>IF(F366=1,'01_ВВОД'!$D$34,IF(D366&lt;=5,'01_ВВОД'!$D$32,'01_ВВОД'!$D$33))</x:f>
        <x:v>30</x:v>
      </x:c>
      <x:c r="P366" s="188" t="n">
        <x:f>O366</x:f>
        <x:v>30</x:v>
      </x:c>
      <x:c r="Q366" s="188" t="n">
        <x:f>'01_ВВОД'!$D$40</x:f>
        <x:v>12</x:v>
      </x:c>
      <x:c r="R366" s="188" t="n">
        <x:f>'01_ВВОД'!$D$46</x:f>
        <x:v>20</x:v>
      </x:c>
      <x:c r="S366" s="188" t="n">
        <x:f>H366</x:f>
        <x:v>1</x:v>
      </x:c>
      <x:c r="T366" s="188" t="n">
        <x:f>IF(H366=1,M366+N366+P366+Q366,0)</x:f>
        <x:v>58</x:v>
      </x:c>
      <x:c r="U366" t="n">
        <x:f>'01_ВВОД'!$D$120</x:f>
        <x:v>10</x:v>
      </x:c>
      <x:c r="V366" t="n">
        <x:f>ROUNDDOWN(SUM(M366,N366,R366,U366)*'01_ВВОД'!$D$127,0)</x:f>
        <x:v>23</x:v>
      </x:c>
      <x:c r="W366" t="n">
        <x:f>ROUNDDOWN(SUM(L366,N366,R366,U366)*'01_ВВОД'!$D$127,0)</x:f>
        <x:v>55</x:v>
      </x:c>
    </x:row>
    <x:row r="367">
      <x:c r="A367" s="200" t="n">
        <x:v>46628</x:v>
      </x:c>
      <x:c r="B367" s="201" t="n">
        <x:v>12</x:v>
      </x:c>
      <x:c r="C367" s="201" t="inlineStr">
        <x:is>
          <x:t xml:space="preserve">Авг-27</x:t>
        </x:is>
      </x:c>
      <x:c r="D367" s="201" t="n">
        <x:v>7</x:v>
      </x:c>
      <x:c r="E367" s="201" t="inlineStr">
        <x:is>
          <x:t xml:space="preserve">Вс</x:t>
        </x:is>
      </x:c>
      <x:c r="F367" s="199" t="n">
        <x:v>0</x:v>
      </x:c>
      <x:c r="G367" s="201" t="str"/>
      <x:c r="H367" s="193" t="n">
        <x:v>0</x:v>
      </x:c>
      <x:c r="I367" s="201" t="str"/>
      <x:c r="J367" s="188" t="n">
        <x:f>1</x:f>
        <x:v>1</x:v>
      </x:c>
      <x:c r="K367" s="188" t="n">
        <x:f>IF(AND(D367&lt;=5,F367=0),1,0)</x:f>
        <x:v>0</x:v>
      </x:c>
      <x:c r="L367" s="188" t="n">
        <x:f>IF(F367=1,'01_ВВОД'!$D$23,CHOOSE(D367,'01_ВВОД'!$D$19,'01_ВВОД'!$D$19,'01_ВВОД'!$D$19,'01_ВВОД'!$D$19,'01_ВВОД'!$D$20,'01_ВВОД'!$D$21,'01_ВВОД'!$D$22))</x:f>
        <x:v>70</x:v>
      </x:c>
      <x:c r="M367" s="188" t="n">
        <x:f>L367*IF(H367=1,'01_ВВОД'!$D$118,1)</x:f>
        <x:v>70</x:v>
      </x:c>
      <x:c r="N367" s="188" t="n">
        <x:f>IF(K367=1,'01_ВВОД'!$D$26,0)</x:f>
        <x:v>0</x:v>
      </x:c>
      <x:c r="O367" s="188" t="n">
        <x:f>IF(F367=1,'01_ВВОД'!$D$34,IF(D367&lt;=5,'01_ВВОД'!$D$32,'01_ВВОД'!$D$33))</x:f>
        <x:v>30</x:v>
      </x:c>
      <x:c r="P367" s="188" t="n">
        <x:f>O367</x:f>
        <x:v>30</x:v>
      </x:c>
      <x:c r="Q367" s="188" t="n">
        <x:f>'01_ВВОД'!$D$40</x:f>
        <x:v>12</x:v>
      </x:c>
      <x:c r="R367" s="188" t="n">
        <x:f>'01_ВВОД'!$D$46</x:f>
        <x:v>20</x:v>
      </x:c>
      <x:c r="S367" s="188" t="n">
        <x:f>H367</x:f>
        <x:v>0</x:v>
      </x:c>
      <x:c r="T367" s="188" t="n">
        <x:f>IF(H367=1,M367+N367+P367+Q367,0)</x:f>
        <x:v>0</x:v>
      </x:c>
      <x:c r="U367" t="n">
        <x:f>'01_ВВОД'!$D$120</x:f>
        <x:v>10</x:v>
      </x:c>
      <x:c r="V367" t="n">
        <x:f>ROUNDDOWN(SUM(M367,N367,R367,U367)*'01_ВВОД'!$D$127,0)</x:f>
        <x:v>50</x:v>
      </x:c>
      <x:c r="W367" t="n">
        <x:f>ROUNDDOWN(SUM(L367,N367,R367,U367)*'01_ВВОД'!$D$127,0)</x:f>
        <x:v>50</x:v>
      </x:c>
    </x:row>
    <x:row r="368">
      <x:c r="A368" s="200" t="n">
        <x:v>46629</x:v>
      </x:c>
      <x:c r="B368" s="201" t="n">
        <x:v>12</x:v>
      </x:c>
      <x:c r="C368" s="201" t="inlineStr">
        <x:is>
          <x:t xml:space="preserve">Авг-27</x:t>
        </x:is>
      </x:c>
      <x:c r="D368" s="201" t="n">
        <x:v>1</x:v>
      </x:c>
      <x:c r="E368" s="201" t="inlineStr">
        <x:is>
          <x:t xml:space="preserve">Пн</x:t>
        </x:is>
      </x:c>
      <x:c r="F368" s="199" t="n">
        <x:v>0</x:v>
      </x:c>
      <x:c r="G368" s="201" t="str"/>
      <x:c r="H368" s="193" t="n">
        <x:v>0</x:v>
      </x:c>
      <x:c r="I368" s="201" t="str"/>
      <x:c r="J368" s="188" t="n">
        <x:f>1</x:f>
        <x:v>1</x:v>
      </x:c>
      <x:c r="K368" s="188" t="n">
        <x:f>IF(AND(D368&lt;=5,F368=0),1,0)</x:f>
        <x:v>1</x:v>
      </x:c>
      <x:c r="L368" s="188" t="n">
        <x:f>IF(F368=1,'01_ВВОД'!$D$23,CHOOSE(D368,'01_ВВОД'!$D$19,'01_ВВОД'!$D$19,'01_ВВОД'!$D$19,'01_ВВОД'!$D$19,'01_ВВОД'!$D$20,'01_ВВОД'!$D$21,'01_ВВОД'!$D$22))</x:f>
        <x:v>32</x:v>
      </x:c>
      <x:c r="M368" s="188" t="n">
        <x:f>L368*IF(H368=1,'01_ВВОД'!$D$118,1)</x:f>
        <x:v>32</x:v>
      </x:c>
      <x:c r="N368" s="188" t="n">
        <x:f>IF(K368=1,'01_ВВОД'!$D$26,0)</x:f>
        <x:v>40</x:v>
      </x:c>
      <x:c r="O368" s="188" t="n">
        <x:f>IF(F368=1,'01_ВВОД'!$D$34,IF(D368&lt;=5,'01_ВВОД'!$D$32,'01_ВВОД'!$D$33))</x:f>
        <x:v>15</x:v>
      </x:c>
      <x:c r="P368" s="188" t="n">
        <x:f>O368</x:f>
        <x:v>15</x:v>
      </x:c>
      <x:c r="Q368" s="188" t="n">
        <x:f>'01_ВВОД'!$D$40</x:f>
        <x:v>12</x:v>
      </x:c>
      <x:c r="R368" s="188" t="n">
        <x:f>'01_ВВОД'!$D$46</x:f>
        <x:v>20</x:v>
      </x:c>
      <x:c r="S368" s="188" t="n">
        <x:f>H368</x:f>
        <x:v>0</x:v>
      </x:c>
      <x:c r="T368" s="188" t="n">
        <x:f>IF(H368=1,M368+N368+P368+Q368,0)</x:f>
        <x:v>0</x:v>
      </x:c>
      <x:c r="U368" t="n">
        <x:f>'01_ВВОД'!$D$120</x:f>
        <x:v>10</x:v>
      </x:c>
      <x:c r="V368" t="n">
        <x:f>ROUNDDOWN(SUM(M368,N368,R368,U368)*'01_ВВОД'!$D$127,0)</x:f>
        <x:v>51</x:v>
      </x:c>
      <x:c r="W368" t="n">
        <x:f>ROUNDDOWN(SUM(L368,N368,R368,U368)*'01_ВВОД'!$D$127,0)</x:f>
        <x:v>51</x:v>
      </x:c>
    </x:row>
    <x:row r="369">
      <x:c r="A369" s="200" t="n">
        <x:v>46630</x:v>
      </x:c>
      <x:c r="B369" s="201" t="n">
        <x:v>12</x:v>
      </x:c>
      <x:c r="C369" s="201" t="inlineStr">
        <x:is>
          <x:t xml:space="preserve">Авг-27</x:t>
        </x:is>
      </x:c>
      <x:c r="D369" s="201" t="n">
        <x:v>2</x:v>
      </x:c>
      <x:c r="E369" s="201" t="inlineStr">
        <x:is>
          <x:t xml:space="preserve">Вт</x:t>
        </x:is>
      </x:c>
      <x:c r="F369" s="199" t="n">
        <x:v>0</x:v>
      </x:c>
      <x:c r="G369" s="201" t="str"/>
      <x:c r="H369" s="193" t="n">
        <x:v>0</x:v>
      </x:c>
      <x:c r="I369" s="201" t="str"/>
      <x:c r="J369" s="188" t="n">
        <x:f>1</x:f>
        <x:v>1</x:v>
      </x:c>
      <x:c r="K369" s="188" t="n">
        <x:f>IF(AND(D369&lt;=5,F369=0),1,0)</x:f>
        <x:v>1</x:v>
      </x:c>
      <x:c r="L369" s="188" t="n">
        <x:f>IF(F369=1,'01_ВВОД'!$D$23,CHOOSE(D369,'01_ВВОД'!$D$19,'01_ВВОД'!$D$19,'01_ВВОД'!$D$19,'01_ВВОД'!$D$19,'01_ВВОД'!$D$20,'01_ВВОД'!$D$21,'01_ВВОД'!$D$22))</x:f>
        <x:v>32</x:v>
      </x:c>
      <x:c r="M369" s="188" t="n">
        <x:f>L369*IF(H369=1,'01_ВВОД'!$D$118,1)</x:f>
        <x:v>32</x:v>
      </x:c>
      <x:c r="N369" s="188" t="n">
        <x:f>IF(K369=1,'01_ВВОД'!$D$26,0)</x:f>
        <x:v>40</x:v>
      </x:c>
      <x:c r="O369" s="188" t="n">
        <x:f>IF(F369=1,'01_ВВОД'!$D$34,IF(D369&lt;=5,'01_ВВОД'!$D$32,'01_ВВОД'!$D$33))</x:f>
        <x:v>15</x:v>
      </x:c>
      <x:c r="P369" s="188" t="n">
        <x:f>O369</x:f>
        <x:v>15</x:v>
      </x:c>
      <x:c r="Q369" s="188" t="n">
        <x:f>'01_ВВОД'!$D$40</x:f>
        <x:v>12</x:v>
      </x:c>
      <x:c r="R369" s="188" t="n">
        <x:f>'01_ВВОД'!$D$46</x:f>
        <x:v>20</x:v>
      </x:c>
      <x:c r="S369" s="188" t="n">
        <x:f>H369</x:f>
        <x:v>0</x:v>
      </x:c>
      <x:c r="T369" s="188" t="n">
        <x:f>IF(H369=1,M369+N369+P369+Q369,0)</x:f>
        <x:v>0</x:v>
      </x:c>
      <x:c r="U369" t="n">
        <x:f>'01_ВВОД'!$D$120</x:f>
        <x:v>10</x:v>
      </x:c>
      <x:c r="V369" t="n">
        <x:f>ROUNDDOWN(SUM(M369,N369,R369,U369)*'01_ВВОД'!$D$127,0)</x:f>
        <x:v>51</x:v>
      </x:c>
      <x:c r="W369" t="n">
        <x:f>ROUNDDOWN(SUM(L369,N369,R369,U369)*'01_ВВОД'!$D$127,0)</x:f>
        <x:v>51</x:v>
      </x:c>
    </x:row>
  </x:sheetData>
  <x:mergeCells>
    <x:mergeCell ref="A1:T1"/>
    <x:mergeCell ref="A2:T2"/>
  </x:mergeCells>
  <x:conditionalFormatting sqref="H5:H369">
    <x:cfRule type="expression" dxfId="0" priority="1">
      <x:formula>H5=1</x:formula>
    </x:cfRule>
  </x:conditionalFormatting>
  <x:conditionalFormatting sqref="F5:F369">
    <x:cfRule type="expression" dxfId="1" priority="2">
      <x:formula>F5=1</x:formula>
    </x:cfRule>
  </x:conditionalFormatting>
  <x:dataValidations count="2">
    <x:dataValidation type="list" allowBlank="0" showDropDown="0" showInputMessage="0" showErrorMessage="0" sqref="F5:F369">
      <x:formula1>"0,1"</x:formula1>
    </x:dataValidation>
    <x:dataValidation type="list" allowBlank="0" showDropDown="0" showInputMessage="0" showErrorMessage="0" sqref="H5:H369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style="174" customWidth="1"/>
    <x:col min="2" max="2" width="24" style="174" customWidth="1"/>
    <x:col min="3" max="3" width="43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4" style="174" customWidth="1"/>
  </x:cols>
  <x:sheetData>
    <x:row r="1" s="174" customFormat="1" ht="28" customHeight="1">
      <x:c r="A1" s="9" t="inlineStr">
        <x:is>
          <x:t xml:space="preserve">Доходы по направлениям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Сценарий S03 наследует бизнес-ланч S02. Чек ужина — 1 000 руб.; food cost ужина равен food cost a-la carte; пересмотрены OPEX-inputs.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REV.ALA.QTY</x:t>
        </x:is>
      </x:c>
      <x:c r="B6" s="52" t="inlineStr">
        <x:is>
          <x:t xml:space="preserve">Кафе — а-ля карт</x:t>
        </x:is>
      </x:c>
      <x:c r="C6" s="52" t="inlineStr">
        <x:is>
          <x:t xml:space="preserve">Гости а-ля карт</x:t>
        </x:is>
      </x:c>
      <x:c r="D6" s="188" t="n">
        <x:f>SUMIF('02_КАЛЕНДАРЬ'!$B$5:$B$369,D$3,'02_КАЛЕНДАРЬ'!$M$5:$M$369)</x:f>
        <x:v>1356</x:v>
      </x:c>
      <x:c r="E6" s="188" t="n">
        <x:f>SUMIF('02_КАЛЕНДАРЬ'!$B$5:$B$369,E$3,'02_КАЛЕНДАРЬ'!$M$5:$M$369)</x:f>
        <x:v>1449</x:v>
      </x:c>
      <x:c r="F6" s="188" t="n">
        <x:f>SUMIF('02_КАЛЕНДАРЬ'!$B$5:$B$369,F$3,'02_КАЛЕНДАРЬ'!$M$5:$M$369)</x:f>
        <x:v>1188.8000000000002</x:v>
      </x:c>
      <x:c r="G6" s="188" t="n">
        <x:f>SUMIF('02_КАЛЕНДАРЬ'!$B$5:$B$369,G$3,'02_КАЛЕНДАРЬ'!$M$5:$M$369)</x:f>
        <x:v>1162.8</x:v>
      </x:c>
      <x:c r="H6" s="188" t="n">
        <x:f>SUMIF('02_КАЛЕНДАРЬ'!$B$5:$B$369,H$3,'02_КАЛЕНДАРЬ'!$M$5:$M$369)</x:f>
        <x:v>1385.4</x:v>
      </x:c>
      <x:c r="I6" s="188" t="n">
        <x:f>SUMIF('02_КАЛЕНДАРЬ'!$B$5:$B$369,I$3,'02_КАЛЕНДАРЬ'!$M$5:$M$369)</x:f>
        <x:v>1086.8</x:v>
      </x:c>
      <x:c r="J6" s="188" t="n">
        <x:f>SUMIF('02_КАЛЕНДАРЬ'!$B$5:$B$369,J$3,'02_КАЛЕНДАРЬ'!$M$5:$M$369)</x:f>
        <x:v>1144.4</x:v>
      </x:c>
      <x:c r="K6" s="188" t="n">
        <x:f>SUMIF('02_КАЛЕНДАРЬ'!$B$5:$B$369,K$3,'02_КАЛЕНДАРЬ'!$M$5:$M$369)</x:f>
        <x:v>1133.8</x:v>
      </x:c>
      <x:c r="L6" s="188" t="n">
        <x:f>SUMIF('02_КАЛЕНДАРЬ'!$B$5:$B$369,L$3,'02_КАЛЕНДАРЬ'!$M$5:$M$369)</x:f>
        <x:v>1212.8</x:v>
      </x:c>
      <x:c r="M6" s="188" t="n">
        <x:f>SUMIF('02_КАЛЕНДАРЬ'!$B$5:$B$369,M$3,'02_КАЛЕНДАРЬ'!$M$5:$M$369)</x:f>
        <x:v>1082.8</x:v>
      </x:c>
      <x:c r="N6" s="188" t="n">
        <x:f>SUMIF('02_КАЛЕНДАРЬ'!$B$5:$B$369,N$3,'02_КАЛЕНДАРЬ'!$M$5:$M$369)</x:f>
        <x:v>1213.8000000000002</x:v>
      </x:c>
      <x:c r="O6" s="188" t="n">
        <x:f>SUMIF('02_КАЛЕНДАРЬ'!$B$5:$B$369,O$3,'02_КАЛЕНДАРЬ'!$M$5:$M$369)</x:f>
        <x:v>1154.8</x:v>
      </x:c>
      <x:c r="P6" s="188" t="n">
        <x:f>SUM(D6:O6)</x:f>
        <x:v>14571.199999999997</x:v>
      </x:c>
      <x:c r="Q6" s="188" t="n">
        <x:f>P6/12</x:f>
        <x:v>1214.2666666666664</x:v>
      </x:c>
      <x:c r="R6" s="52" t="inlineStr">
        <x:is>
          <x:t xml:space="preserve">гостей</x:t>
        </x:is>
      </x:c>
    </x:row>
    <x:row r="7">
      <x:c r="A7" s="52" t="inlineStr">
        <x:is>
          <x:t xml:space="preserve">REV.ALA.CHECK</x:t>
        </x:is>
      </x:c>
      <x:c r="B7" s="52" t="inlineStr">
        <x:is>
          <x:t xml:space="preserve">Кафе — а-ля карт</x:t>
        </x:is>
      </x:c>
      <x:c r="C7" s="52" t="inlineStr">
        <x:is>
          <x:t xml:space="preserve">Средний чек</x:t>
        </x:is>
      </x:c>
      <x:c r="D7" s="188" t="n">
        <x:f>'01_ВВОД'!$D$18</x:f>
        <x:v>1000</x:v>
      </x:c>
      <x:c r="E7" s="188" t="n">
        <x:f>'01_ВВОД'!$D$18</x:f>
        <x:v>1000</x:v>
      </x:c>
      <x:c r="F7" s="188" t="n">
        <x:f>'01_ВВОД'!$D$18</x:f>
        <x:v>1000</x:v>
      </x:c>
      <x:c r="G7" s="188" t="n">
        <x:f>'01_ВВОД'!$D$18</x:f>
        <x:v>1000</x:v>
      </x:c>
      <x:c r="H7" s="188" t="n">
        <x:f>'01_ВВОД'!$D$18</x:f>
        <x:v>1000</x:v>
      </x:c>
      <x:c r="I7" s="188" t="n">
        <x:f>'01_ВВОД'!$D$18</x:f>
        <x:v>1000</x:v>
      </x:c>
      <x:c r="J7" s="188" t="n">
        <x:f>'01_ВВОД'!$D$18</x:f>
        <x:v>1000</x:v>
      </x:c>
      <x:c r="K7" s="188" t="n">
        <x:f>'01_ВВОД'!$D$18</x:f>
        <x:v>1000</x:v>
      </x:c>
      <x:c r="L7" s="188" t="n">
        <x:f>'01_ВВОД'!$D$18</x:f>
        <x:v>1000</x:v>
      </x:c>
      <x:c r="M7" s="188" t="n">
        <x:f>'01_ВВОД'!$D$18</x:f>
        <x:v>1000</x:v>
      </x:c>
      <x:c r="N7" s="188" t="n">
        <x:f>'01_ВВОД'!$D$18</x:f>
        <x:v>1000</x:v>
      </x:c>
      <x:c r="O7" s="188" t="n">
        <x:f>'01_ВВОД'!$D$18</x:f>
        <x:v>1000</x:v>
      </x:c>
      <x:c r="P7" s="188" t="n">
        <x:f>AVERAGE(D7:O7)</x:f>
        <x:v>1000</x:v>
      </x:c>
      <x:c r="Q7" s="188" t="n">
        <x:f>P7</x:f>
        <x:v>1000</x:v>
      </x:c>
      <x:c r="R7" s="52" t="inlineStr">
        <x:is>
          <x:t xml:space="preserve">руб./гость</x:t>
        </x:is>
      </x:c>
    </x:row>
    <x:row r="8">
      <x:c r="A8" s="52" t="inlineStr">
        <x:is>
          <x:t xml:space="preserve">REV.ALA</x:t>
        </x:is>
      </x:c>
      <x:c r="B8" s="52" t="inlineStr">
        <x:is>
          <x:t xml:space="preserve">Кафе — а-ля карт</x:t>
        </x:is>
      </x:c>
      <x:c r="C8" s="117" t="inlineStr">
        <x:is>
          <x:t xml:space="preserve">Доходы а-ля карт</x:t>
        </x:is>
      </x:c>
      <x:c r="D8" s="188" t="n">
        <x:f>D6*D7</x:f>
        <x:v>1356000</x:v>
      </x:c>
      <x:c r="E8" s="188" t="n">
        <x:f>E6*E7</x:f>
        <x:v>1449000</x:v>
      </x:c>
      <x:c r="F8" s="188" t="n">
        <x:f>F6*F7</x:f>
        <x:v>1188800.0000000002</x:v>
      </x:c>
      <x:c r="G8" s="188" t="n">
        <x:f>G6*G7</x:f>
        <x:v>1162800</x:v>
      </x:c>
      <x:c r="H8" s="188" t="n">
        <x:f>H6*H7</x:f>
        <x:v>1385400</x:v>
      </x:c>
      <x:c r="I8" s="188" t="n">
        <x:f>I6*I7</x:f>
        <x:v>1086800</x:v>
      </x:c>
      <x:c r="J8" s="188" t="n">
        <x:f>J6*J7</x:f>
        <x:v>1144400</x:v>
      </x:c>
      <x:c r="K8" s="188" t="n">
        <x:f>K6*K7</x:f>
        <x:v>1133800</x:v>
      </x:c>
      <x:c r="L8" s="188" t="n">
        <x:f>L6*L7</x:f>
        <x:v>1212800</x:v>
      </x:c>
      <x:c r="M8" s="188" t="n">
        <x:f>M6*M7</x:f>
        <x:v>1082800</x:v>
      </x:c>
      <x:c r="N8" s="188" t="n">
        <x:f>N6*N7</x:f>
        <x:v>1213800.0000000002</x:v>
      </x:c>
      <x:c r="O8" s="188" t="n">
        <x:f>O6*O7</x:f>
        <x:v>1154800</x:v>
      </x:c>
      <x:c r="P8" s="188" t="n">
        <x:f>SUM(D8:O8)</x:f>
        <x:v>14571200</x:v>
      </x:c>
      <x:c r="Q8" s="188" t="n">
        <x:f>P8/12</x:f>
        <x:v>1214266.6666666667</x:v>
      </x:c>
      <x:c r="R8" s="52" t="inlineStr">
        <x:is>
          <x:t xml:space="preserve">руб.</x:t>
        </x:is>
      </x:c>
    </x:row>
    <x:row r="9">
      <x:c r="A9" s="52" t="n"/>
      <x:c r="B9" s="52" t="n"/>
      <x:c r="C9" s="52" t="n"/>
      <x:c r="D9" s="188" t="n"/>
      <x:c r="E9" s="188" t="n"/>
      <x:c r="F9" s="188" t="n"/>
      <x:c r="G9" s="188" t="n"/>
      <x:c r="H9" s="188" t="n"/>
      <x:c r="I9" s="188" t="n"/>
      <x:c r="J9" s="188" t="n"/>
      <x:c r="K9" s="188" t="n"/>
      <x:c r="L9" s="188" t="n"/>
      <x:c r="M9" s="188" t="n"/>
      <x:c r="N9" s="188" t="n"/>
      <x:c r="O9" s="188" t="n"/>
      <x:c r="P9" s="188" t="n"/>
      <x:c r="Q9" s="188" t="n"/>
      <x:c r="R9" s="52" t="n"/>
    </x:row>
    <x:row r="10">
      <x:c r="A10" s="52" t="inlineStr">
        <x:is>
          <x:t xml:space="preserve">REV.LUNCH.QTY</x:t>
        </x:is>
      </x:c>
      <x:c r="B10" s="52" t="inlineStr">
        <x:is>
          <x:t xml:space="preserve">Кафе — бизнес-ланч</x:t>
        </x:is>
      </x:c>
      <x:c r="C10" s="52" t="inlineStr">
        <x:is>
          <x:t xml:space="preserve">Гости бизнес-ланча</x:t>
        </x:is>
      </x:c>
      <x:c r="D10" s="188" t="n">
        <x:f>SUMIF('02_КАЛЕНДАРЬ'!$B$5:$B$369,D$3,'02_КАЛЕНДАРЬ'!$N$5:$N$369)</x:f>
        <x:v>880</x:v>
      </x:c>
      <x:c r="E10" s="188" t="n">
        <x:f>SUMIF('02_КАЛЕНДАРЬ'!$B$5:$B$369,E$3,'02_КАЛЕНДАРЬ'!$N$5:$N$369)</x:f>
        <x:v>880</x:v>
      </x:c>
      <x:c r="F10" s="188" t="n">
        <x:f>SUMIF('02_КАЛЕНДАРЬ'!$B$5:$B$369,F$3,'02_КАЛЕНДАРЬ'!$N$5:$N$369)</x:f>
        <x:v>800</x:v>
      </x:c>
      <x:c r="G10" s="188" t="n">
        <x:f>SUMIF('02_КАЛЕНДАРЬ'!$B$5:$B$369,G$3,'02_КАЛЕНДАРЬ'!$N$5:$N$369)</x:f>
        <x:v>880</x:v>
      </x:c>
      <x:c r="H10" s="188" t="n">
        <x:f>SUMIF('02_КАЛЕНДАРЬ'!$B$5:$B$369,H$3,'02_КАЛЕНДАРЬ'!$N$5:$N$369)</x:f>
        <x:v>600</x:v>
      </x:c>
      <x:c r="I10" s="188" t="n">
        <x:f>SUMIF('02_КАЛЕНДАРЬ'!$B$5:$B$369,I$3,'02_КАЛЕНДАРЬ'!$N$5:$N$369)</x:f>
        <x:v>760</x:v>
      </x:c>
      <x:c r="J10" s="188" t="n">
        <x:f>SUMIF('02_КАЛЕНДАРЬ'!$B$5:$B$369,J$3,'02_КАЛЕНДАРЬ'!$N$5:$N$369)</x:f>
        <x:v>880</x:v>
      </x:c>
      <x:c r="K10" s="188" t="n">
        <x:f>SUMIF('02_КАЛЕНДАРЬ'!$B$5:$B$369,K$3,'02_КАЛЕНДАРЬ'!$N$5:$N$369)</x:f>
        <x:v>880</x:v>
      </x:c>
      <x:c r="L10" s="188" t="n">
        <x:f>SUMIF('02_КАЛЕНДАРЬ'!$B$5:$B$369,L$3,'02_КАЛЕНДАРЬ'!$N$5:$N$369)</x:f>
        <x:v>840</x:v>
      </x:c>
      <x:c r="M10" s="188" t="n">
        <x:f>SUMIF('02_КАЛЕНДАРЬ'!$B$5:$B$369,M$3,'02_КАЛЕНДАРЬ'!$N$5:$N$369)</x:f>
        <x:v>880</x:v>
      </x:c>
      <x:c r="N10" s="188" t="n">
        <x:f>SUMIF('02_КАЛЕНДАРЬ'!$B$5:$B$369,N$3,'02_КАЛЕНДАРЬ'!$N$5:$N$369)</x:f>
        <x:v>880</x:v>
      </x:c>
      <x:c r="O10" s="188" t="n">
        <x:f>SUMIF('02_КАЛЕНДАРЬ'!$B$5:$B$369,O$3,'02_КАЛЕНДАРЬ'!$N$5:$N$369)</x:f>
        <x:v>880</x:v>
      </x:c>
      <x:c r="P10" s="188" t="n">
        <x:f>SUM(D10:O10)</x:f>
        <x:v>10040</x:v>
      </x:c>
      <x:c r="Q10" s="188" t="n">
        <x:f>P10/12</x:f>
        <x:v>836.6666666666666</x:v>
      </x:c>
      <x:c r="R10" s="52" t="inlineStr">
        <x:is>
          <x:t xml:space="preserve">гостей</x:t>
        </x:is>
      </x:c>
    </x:row>
    <x:row r="11">
      <x:c r="A11" s="52" t="inlineStr">
        <x:is>
          <x:t xml:space="preserve">REV.LUNCH.CHECK</x:t>
        </x:is>
      </x:c>
      <x:c r="B11" s="52" t="inlineStr">
        <x:is>
          <x:t xml:space="preserve">Кафе — бизнес-ланч</x:t>
        </x:is>
      </x:c>
      <x:c r="C11" s="52" t="inlineStr">
        <x:is>
          <x:t xml:space="preserve">Средний чек</x:t>
        </x:is>
      </x:c>
      <x:c r="D11" s="188" t="n">
        <x:f>'01_ВВОД'!$D$28</x:f>
        <x:v>750</x:v>
      </x:c>
      <x:c r="E11" s="188" t="n">
        <x:f>'01_ВВОД'!$D$28</x:f>
        <x:v>750</x:v>
      </x:c>
      <x:c r="F11" s="188" t="n">
        <x:f>'01_ВВОД'!$D$28</x:f>
        <x:v>750</x:v>
      </x:c>
      <x:c r="G11" s="188" t="n">
        <x:f>'01_ВВОД'!$D$28</x:f>
        <x:v>750</x:v>
      </x:c>
      <x:c r="H11" s="188" t="n">
        <x:f>'01_ВВОД'!$D$28</x:f>
        <x:v>750</x:v>
      </x:c>
      <x:c r="I11" s="188" t="n">
        <x:f>'01_ВВОД'!$D$28</x:f>
        <x:v>750</x:v>
      </x:c>
      <x:c r="J11" s="188" t="n">
        <x:f>'01_ВВОД'!$D$28</x:f>
        <x:v>750</x:v>
      </x:c>
      <x:c r="K11" s="188" t="n">
        <x:f>'01_ВВОД'!$D$28</x:f>
        <x:v>750</x:v>
      </x:c>
      <x:c r="L11" s="188" t="n">
        <x:f>'01_ВВОД'!$D$28</x:f>
        <x:v>750</x:v>
      </x:c>
      <x:c r="M11" s="188" t="n">
        <x:f>'01_ВВОД'!$D$28</x:f>
        <x:v>750</x:v>
      </x:c>
      <x:c r="N11" s="188" t="n">
        <x:f>'01_ВВОД'!$D$28</x:f>
        <x:v>750</x:v>
      </x:c>
      <x:c r="O11" s="188" t="n">
        <x:f>'01_ВВОД'!$D$28</x:f>
        <x:v>750</x:v>
      </x:c>
      <x:c r="P11" s="188" t="n">
        <x:f>AVERAGE(D11:O11)</x:f>
        <x:v>750</x:v>
      </x:c>
      <x:c r="Q11" s="188" t="n">
        <x:f>P11</x:f>
        <x:v>750</x:v>
      </x:c>
      <x:c r="R11" s="52" t="inlineStr">
        <x:is>
          <x:t xml:space="preserve">руб./гость</x:t>
        </x:is>
      </x:c>
    </x:row>
    <x:row r="12">
      <x:c r="A12" s="52" t="inlineStr">
        <x:is>
          <x:t xml:space="preserve">REV.LUNCH</x:t>
        </x:is>
      </x:c>
      <x:c r="B12" s="52" t="inlineStr">
        <x:is>
          <x:t xml:space="preserve">Кафе — бизнес-ланч</x:t>
        </x:is>
      </x:c>
      <x:c r="C12" s="117" t="inlineStr">
        <x:is>
          <x:t xml:space="preserve">Доходы бизнес-ланча</x:t>
        </x:is>
      </x:c>
      <x:c r="D12" s="188" t="n">
        <x:f>D10*D11</x:f>
        <x:v>660000</x:v>
      </x:c>
      <x:c r="E12" s="188" t="n">
        <x:f>E10*E11</x:f>
        <x:v>660000</x:v>
      </x:c>
      <x:c r="F12" s="188" t="n">
        <x:f>F10*F11</x:f>
        <x:v>600000</x:v>
      </x:c>
      <x:c r="G12" s="188" t="n">
        <x:f>G10*G11</x:f>
        <x:v>660000</x:v>
      </x:c>
      <x:c r="H12" s="188" t="n">
        <x:f>H10*H11</x:f>
        <x:v>450000</x:v>
      </x:c>
      <x:c r="I12" s="188" t="n">
        <x:f>I10*I11</x:f>
        <x:v>570000</x:v>
      </x:c>
      <x:c r="J12" s="188" t="n">
        <x:f>J10*J11</x:f>
        <x:v>660000</x:v>
      </x:c>
      <x:c r="K12" s="188" t="n">
        <x:f>K10*K11</x:f>
        <x:v>660000</x:v>
      </x:c>
      <x:c r="L12" s="188" t="n">
        <x:f>L10*L11</x:f>
        <x:v>630000</x:v>
      </x:c>
      <x:c r="M12" s="188" t="n">
        <x:f>M10*M11</x:f>
        <x:v>660000</x:v>
      </x:c>
      <x:c r="N12" s="188" t="n">
        <x:f>N10*N11</x:f>
        <x:v>660000</x:v>
      </x:c>
      <x:c r="O12" s="188" t="n">
        <x:f>O10*O11</x:f>
        <x:v>660000</x:v>
      </x:c>
      <x:c r="P12" s="188" t="n">
        <x:f>SUM(D12:O12)</x:f>
        <x:v>7530000</x:v>
      </x:c>
      <x:c r="Q12" s="188" t="n">
        <x:f>P12/12</x:f>
        <x:v>627500</x:v>
      </x:c>
      <x:c r="R12" s="52" t="inlineStr">
        <x:is>
          <x:t xml:space="preserve">руб.</x:t>
        </x:is>
      </x:c>
    </x:row>
    <x:row r="13">
      <x:c r="A13" s="52" t="n"/>
      <x:c r="B13" s="52" t="n"/>
      <x:c r="C13" s="52" t="n"/>
      <x:c r="D13" s="188" t="n"/>
      <x:c r="E13" s="188" t="n"/>
      <x:c r="F13" s="188" t="n"/>
      <x:c r="G13" s="188" t="n"/>
      <x:c r="H13" s="188" t="n"/>
      <x:c r="I13" s="188" t="n"/>
      <x:c r="J13" s="188" t="n"/>
      <x:c r="K13" s="188" t="n"/>
      <x:c r="L13" s="188" t="n"/>
      <x:c r="M13" s="188" t="n"/>
      <x:c r="N13" s="188" t="n"/>
      <x:c r="O13" s="188" t="n"/>
      <x:c r="P13" s="188" t="n"/>
      <x:c r="Q13" s="188" t="n"/>
      <x:c r="R13" s="52" t="n"/>
    </x:row>
    <x:row r="14">
      <x:c r="A14" s="52" t="inlineStr">
        <x:is>
          <x:t xml:space="preserve">REV.DEL.QTY</x:t>
        </x:is>
      </x:c>
      <x:c r="B14" s="52" t="inlineStr">
        <x:is>
          <x:t xml:space="preserve">Кафе — доставка</x:t>
        </x:is>
      </x:c>
      <x:c r="C14" s="52" t="inlineStr">
        <x:is>
          <x:t xml:space="preserve">Заказы доставки</x:t>
        </x:is>
      </x:c>
      <x:c r="D14" s="188" t="n">
        <x:f>SUMIF('02_КАЛЕНДАРЬ'!$B$5:$B$369,D$3,'02_КАЛЕНДАРЬ'!$P$5:$P$369)</x:f>
        <x:v>570</x:v>
      </x:c>
      <x:c r="E14" s="188" t="n">
        <x:f>SUMIF('02_КАЛЕНДАРЬ'!$B$5:$B$369,E$3,'02_КАЛЕНДАРЬ'!$P$5:$P$369)</x:f>
        <x:v>600</x:v>
      </x:c>
      <x:c r="F14" s="188" t="n">
        <x:f>SUMIF('02_КАЛЕНДАРЬ'!$B$5:$B$369,F$3,'02_КАЛЕНДАРЬ'!$P$5:$P$369)</x:f>
        <x:v>600</x:v>
      </x:c>
      <x:c r="G14" s="188" t="n">
        <x:f>SUMIF('02_КАЛЕНДАРЬ'!$B$5:$B$369,G$3,'02_КАЛЕНДАРЬ'!$P$5:$P$369)</x:f>
        <x:v>600</x:v>
      </x:c>
      <x:c r="H14" s="188" t="n">
        <x:f>SUMIF('02_КАЛЕНДАРЬ'!$B$5:$B$369,H$3,'02_КАЛЕНДАРЬ'!$P$5:$P$369)</x:f>
        <x:v>705</x:v>
      </x:c>
      <x:c r="I14" s="188" t="n">
        <x:f>SUMIF('02_КАЛЕНДАРЬ'!$B$5:$B$369,I$3,'02_КАЛЕНДАРЬ'!$P$5:$P$369)</x:f>
        <x:v>555</x:v>
      </x:c>
      <x:c r="J14" s="188" t="n">
        <x:f>SUMIF('02_КАЛЕНДАРЬ'!$B$5:$B$369,J$3,'02_КАЛЕНДАРЬ'!$P$5:$P$369)</x:f>
        <x:v>600</x:v>
      </x:c>
      <x:c r="K14" s="188" t="n">
        <x:f>SUMIF('02_КАЛЕНДАРЬ'!$B$5:$B$369,K$3,'02_КАЛЕНДАРЬ'!$P$5:$P$369)</x:f>
        <x:v>570</x:v>
      </x:c>
      <x:c r="L14" s="188" t="n">
        <x:f>SUMIF('02_КАЛЕНДАРЬ'!$B$5:$B$369,L$3,'02_КАЛЕНДАРЬ'!$P$5:$P$369)</x:f>
        <x:v>615</x:v>
      </x:c>
      <x:c r="M14" s="188" t="n">
        <x:f>SUMIF('02_КАЛЕНДАРЬ'!$B$5:$B$369,M$3,'02_КАЛЕНДАРЬ'!$P$5:$P$369)</x:f>
        <x:v>570</x:v>
      </x:c>
      <x:c r="N14" s="188" t="n">
        <x:f>SUMIF('02_КАЛЕНДАРЬ'!$B$5:$B$369,N$3,'02_КАЛЕНДАРЬ'!$P$5:$P$369)</x:f>
        <x:v>600</x:v>
      </x:c>
      <x:c r="O14" s="188" t="n">
        <x:f>SUMIF('02_КАЛЕНДАРЬ'!$B$5:$B$369,O$3,'02_КАЛЕНДАРЬ'!$P$5:$P$369)</x:f>
        <x:v>600</x:v>
      </x:c>
      <x:c r="P14" s="188" t="n">
        <x:f>SUM(D14:O14)</x:f>
        <x:v>7185</x:v>
      </x:c>
      <x:c r="Q14" s="188" t="n">
        <x:f>P14/12</x:f>
        <x:v>598.75</x:v>
      </x:c>
      <x:c r="R14" s="52" t="inlineStr">
        <x:is>
          <x:t xml:space="preserve">заказов</x:t>
        </x:is>
      </x:c>
    </x:row>
    <x:row r="15">
      <x:c r="A15" s="52" t="inlineStr">
        <x:is>
          <x:t xml:space="preserve">REV.DEL.CHECK</x:t>
        </x:is>
      </x:c>
      <x:c r="B15" s="52" t="inlineStr">
        <x:is>
          <x:t xml:space="preserve">Кафе — доставка</x:t>
        </x:is>
      </x:c>
      <x:c r="C15" s="52" t="inlineStr">
        <x:is>
          <x:t xml:space="preserve">Средний чек</x:t>
        </x:is>
      </x:c>
      <x:c r="D15" s="188" t="n">
        <x:f>'01_ВВОД'!$D$31</x:f>
        <x:v>1200</x:v>
      </x:c>
      <x:c r="E15" s="188" t="n">
        <x:f>'01_ВВОД'!$D$31</x:f>
        <x:v>1200</x:v>
      </x:c>
      <x:c r="F15" s="188" t="n">
        <x:f>'01_ВВОД'!$D$31</x:f>
        <x:v>1200</x:v>
      </x:c>
      <x:c r="G15" s="188" t="n">
        <x:f>'01_ВВОД'!$D$31</x:f>
        <x:v>1200</x:v>
      </x:c>
      <x:c r="H15" s="188" t="n">
        <x:f>'01_ВВОД'!$D$31</x:f>
        <x:v>1200</x:v>
      </x:c>
      <x:c r="I15" s="188" t="n">
        <x:f>'01_ВВОД'!$D$31</x:f>
        <x:v>1200</x:v>
      </x:c>
      <x:c r="J15" s="188" t="n">
        <x:f>'01_ВВОД'!$D$31</x:f>
        <x:v>1200</x:v>
      </x:c>
      <x:c r="K15" s="188" t="n">
        <x:f>'01_ВВОД'!$D$31</x:f>
        <x:v>1200</x:v>
      </x:c>
      <x:c r="L15" s="188" t="n">
        <x:f>'01_ВВОД'!$D$31</x:f>
        <x:v>1200</x:v>
      </x:c>
      <x:c r="M15" s="188" t="n">
        <x:f>'01_ВВОД'!$D$31</x:f>
        <x:v>1200</x:v>
      </x:c>
      <x:c r="N15" s="188" t="n">
        <x:f>'01_ВВОД'!$D$31</x:f>
        <x:v>1200</x:v>
      </x:c>
      <x:c r="O15" s="188" t="n">
        <x:f>'01_ВВОД'!$D$31</x:f>
        <x:v>1200</x:v>
      </x:c>
      <x:c r="P15" s="188" t="n">
        <x:f>AVERAGE(D15:O15)</x:f>
        <x:v>1200</x:v>
      </x:c>
      <x:c r="Q15" s="188" t="n">
        <x:f>P15</x:f>
        <x:v>1200</x:v>
      </x:c>
      <x:c r="R15" s="52" t="inlineStr">
        <x:is>
          <x:t xml:space="preserve">руб./заказ</x:t>
        </x:is>
      </x:c>
    </x:row>
    <x:row r="16">
      <x:c r="A16" s="52" t="inlineStr">
        <x:is>
          <x:t xml:space="preserve">REV.DEL</x:t>
        </x:is>
      </x:c>
      <x:c r="B16" s="52" t="inlineStr">
        <x:is>
          <x:t xml:space="preserve">Кафе — доставка</x:t>
        </x:is>
      </x:c>
      <x:c r="C16" s="117" t="inlineStr">
        <x:is>
          <x:t xml:space="preserve">Доходы доставки</x:t>
        </x:is>
      </x:c>
      <x:c r="D16" s="188" t="n">
        <x:f>D14*D15</x:f>
        <x:v>684000</x:v>
      </x:c>
      <x:c r="E16" s="188" t="n">
        <x:f>E14*E15</x:f>
        <x:v>720000</x:v>
      </x:c>
      <x:c r="F16" s="188" t="n">
        <x:f>F14*F15</x:f>
        <x:v>720000</x:v>
      </x:c>
      <x:c r="G16" s="188" t="n">
        <x:f>G14*G15</x:f>
        <x:v>720000</x:v>
      </x:c>
      <x:c r="H16" s="188" t="n">
        <x:f>H14*H15</x:f>
        <x:v>846000</x:v>
      </x:c>
      <x:c r="I16" s="188" t="n">
        <x:f>I14*I15</x:f>
        <x:v>666000</x:v>
      </x:c>
      <x:c r="J16" s="188" t="n">
        <x:f>J14*J15</x:f>
        <x:v>720000</x:v>
      </x:c>
      <x:c r="K16" s="188" t="n">
        <x:f>K14*K15</x:f>
        <x:v>684000</x:v>
      </x:c>
      <x:c r="L16" s="188" t="n">
        <x:f>L14*L15</x:f>
        <x:v>738000</x:v>
      </x:c>
      <x:c r="M16" s="188" t="n">
        <x:f>M14*M15</x:f>
        <x:v>684000</x:v>
      </x:c>
      <x:c r="N16" s="188" t="n">
        <x:f>N14*N15</x:f>
        <x:v>720000</x:v>
      </x:c>
      <x:c r="O16" s="188" t="n">
        <x:f>O14*O15</x:f>
        <x:v>720000</x:v>
      </x:c>
      <x:c r="P16" s="188" t="n">
        <x:f>SUM(D16:O16)</x:f>
        <x:v>8622000</x:v>
      </x:c>
      <x:c r="Q16" s="188" t="n">
        <x:f>P16/12</x:f>
        <x:v>718500</x:v>
      </x:c>
      <x:c r="R16" s="52" t="inlineStr">
        <x:is>
          <x:t xml:space="preserve">руб.</x:t>
        </x:is>
      </x:c>
    </x:row>
    <x:row r="17">
      <x:c r="A17" s="52" t="n"/>
      <x:c r="B17" s="52" t="n"/>
      <x:c r="C17" s="52" t="n"/>
      <x:c r="D17" s="188" t="n"/>
      <x:c r="E17" s="188" t="n"/>
      <x:c r="F17" s="188" t="n"/>
      <x:c r="G17" s="188" t="n"/>
      <x:c r="H17" s="188" t="n"/>
      <x:c r="I17" s="188" t="n"/>
      <x:c r="J17" s="188" t="n"/>
      <x:c r="K17" s="188" t="n"/>
      <x:c r="L17" s="188" t="n"/>
      <x:c r="M17" s="188" t="n"/>
      <x:c r="N17" s="188" t="n"/>
      <x:c r="O17" s="188" t="n"/>
      <x:c r="P17" s="188" t="n"/>
      <x:c r="Q17" s="188" t="n"/>
      <x:c r="R17" s="52" t="n"/>
    </x:row>
    <x:row r="18">
      <x:c r="A18" s="52" t="inlineStr">
        <x:is>
          <x:t xml:space="preserve">REV.PICK.QTY</x:t>
        </x:is>
      </x:c>
      <x:c r="B18" s="52" t="inlineStr">
        <x:is>
          <x:t xml:space="preserve">Кафе — самовывоз</x:t>
        </x:is>
      </x:c>
      <x:c r="C18" s="52" t="inlineStr">
        <x:is>
          <x:t xml:space="preserve">Заказы самовывоза</x:t>
        </x:is>
      </x:c>
      <x:c r="D18" s="188" t="n">
        <x:f>SUMIF('02_КАЛЕНДАРЬ'!$B$5:$B$369,D$3,'02_КАЛЕНДАРЬ'!$Q$5:$Q$369)</x:f>
        <x:v>360</x:v>
      </x:c>
      <x:c r="E18" s="188" t="n">
        <x:f>SUMIF('02_КАЛЕНДАРЬ'!$B$5:$B$369,E$3,'02_КАЛЕНДАРЬ'!$Q$5:$Q$369)</x:f>
        <x:v>372</x:v>
      </x:c>
      <x:c r="F18" s="188" t="n">
        <x:f>SUMIF('02_КАЛЕНДАРЬ'!$B$5:$B$369,F$3,'02_КАЛЕНДАРЬ'!$Q$5:$Q$369)</x:f>
        <x:v>360</x:v>
      </x:c>
      <x:c r="G18" s="188" t="n">
        <x:f>SUMIF('02_КАЛЕНДАРЬ'!$B$5:$B$369,G$3,'02_КАЛЕНДАРЬ'!$Q$5:$Q$369)</x:f>
        <x:v>372</x:v>
      </x:c>
      <x:c r="H18" s="188" t="n">
        <x:f>SUMIF('02_КАЛЕНДАРЬ'!$B$5:$B$369,H$3,'02_КАЛЕНДАРЬ'!$Q$5:$Q$369)</x:f>
        <x:v>372</x:v>
      </x:c>
      <x:c r="I18" s="188" t="n">
        <x:f>SUMIF('02_КАЛЕНДАРЬ'!$B$5:$B$369,I$3,'02_КАЛЕНДАРЬ'!$Q$5:$Q$369)</x:f>
        <x:v>336</x:v>
      </x:c>
      <x:c r="J18" s="188" t="n">
        <x:f>SUMIF('02_КАЛЕНДАРЬ'!$B$5:$B$369,J$3,'02_КАЛЕНДАРЬ'!$Q$5:$Q$369)</x:f>
        <x:v>372</x:v>
      </x:c>
      <x:c r="K18" s="188" t="n">
        <x:f>SUMIF('02_КАЛЕНДАРЬ'!$B$5:$B$369,K$3,'02_КАЛЕНДАРЬ'!$Q$5:$Q$369)</x:f>
        <x:v>360</x:v>
      </x:c>
      <x:c r="L18" s="188" t="n">
        <x:f>SUMIF('02_КАЛЕНДАРЬ'!$B$5:$B$369,L$3,'02_КАЛЕНДАРЬ'!$Q$5:$Q$369)</x:f>
        <x:v>372</x:v>
      </x:c>
      <x:c r="M18" s="188" t="n">
        <x:f>SUMIF('02_КАЛЕНДАРЬ'!$B$5:$B$369,M$3,'02_КАЛЕНДАРЬ'!$Q$5:$Q$369)</x:f>
        <x:v>360</x:v>
      </x:c>
      <x:c r="N18" s="188" t="n">
        <x:f>SUMIF('02_КАЛЕНДАРЬ'!$B$5:$B$369,N$3,'02_КАЛЕНДАРЬ'!$Q$5:$Q$369)</x:f>
        <x:v>372</x:v>
      </x:c>
      <x:c r="O18" s="188" t="n">
        <x:f>SUMIF('02_КАЛЕНДАРЬ'!$B$5:$B$369,O$3,'02_КАЛЕНДАРЬ'!$Q$5:$Q$369)</x:f>
        <x:v>372</x:v>
      </x:c>
      <x:c r="P18" s="188" t="n">
        <x:f>SUM(D18:O18)</x:f>
        <x:v>4380</x:v>
      </x:c>
      <x:c r="Q18" s="188" t="n">
        <x:f>P18/12</x:f>
        <x:v>365</x:v>
      </x:c>
      <x:c r="R18" s="52" t="inlineStr">
        <x:is>
          <x:t xml:space="preserve">заказов</x:t>
        </x:is>
      </x:c>
    </x:row>
    <x:row r="19">
      <x:c r="A19" s="52" t="inlineStr">
        <x:is>
          <x:t xml:space="preserve">REV.PICK.CHECK</x:t>
        </x:is>
      </x:c>
      <x:c r="B19" s="52" t="inlineStr">
        <x:is>
          <x:t xml:space="preserve">Кафе — самовывоз</x:t>
        </x:is>
      </x:c>
      <x:c r="C19" s="52" t="inlineStr">
        <x:is>
          <x:t xml:space="preserve">Средний чек</x:t>
        </x:is>
      </x:c>
      <x:c r="D19" s="188" t="n">
        <x:f>'01_ВВОД'!$D$39</x:f>
        <x:v>400</x:v>
      </x:c>
      <x:c r="E19" s="188" t="n">
        <x:f>'01_ВВОД'!$D$39</x:f>
        <x:v>400</x:v>
      </x:c>
      <x:c r="F19" s="188" t="n">
        <x:f>'01_ВВОД'!$D$39</x:f>
        <x:v>400</x:v>
      </x:c>
      <x:c r="G19" s="188" t="n">
        <x:f>'01_ВВОД'!$D$39</x:f>
        <x:v>400</x:v>
      </x:c>
      <x:c r="H19" s="188" t="n">
        <x:f>'01_ВВОД'!$D$39</x:f>
        <x:v>400</x:v>
      </x:c>
      <x:c r="I19" s="188" t="n">
        <x:f>'01_ВВОД'!$D$39</x:f>
        <x:v>400</x:v>
      </x:c>
      <x:c r="J19" s="188" t="n">
        <x:f>'01_ВВОД'!$D$39</x:f>
        <x:v>400</x:v>
      </x:c>
      <x:c r="K19" s="188" t="n">
        <x:f>'01_ВВОД'!$D$39</x:f>
        <x:v>400</x:v>
      </x:c>
      <x:c r="L19" s="188" t="n">
        <x:f>'01_ВВОД'!$D$39</x:f>
        <x:v>400</x:v>
      </x:c>
      <x:c r="M19" s="188" t="n">
        <x:f>'01_ВВОД'!$D$39</x:f>
        <x:v>400</x:v>
      </x:c>
      <x:c r="N19" s="188" t="n">
        <x:f>'01_ВВОД'!$D$39</x:f>
        <x:v>400</x:v>
      </x:c>
      <x:c r="O19" s="188" t="n">
        <x:f>'01_ВВОД'!$D$39</x:f>
        <x:v>400</x:v>
      </x:c>
      <x:c r="P19" s="188" t="n">
        <x:f>AVERAGE(D19:O19)</x:f>
        <x:v>400</x:v>
      </x:c>
      <x:c r="Q19" s="188" t="n">
        <x:f>P19</x:f>
        <x:v>400</x:v>
      </x:c>
      <x:c r="R19" s="52" t="inlineStr">
        <x:is>
          <x:t xml:space="preserve">руб./заказ</x:t>
        </x:is>
      </x:c>
    </x:row>
    <x:row r="20">
      <x:c r="A20" s="52" t="inlineStr">
        <x:is>
          <x:t xml:space="preserve">REV.PICK</x:t>
        </x:is>
      </x:c>
      <x:c r="B20" s="52" t="inlineStr">
        <x:is>
          <x:t xml:space="preserve">Кафе — самовывоз</x:t>
        </x:is>
      </x:c>
      <x:c r="C20" s="117" t="inlineStr">
        <x:is>
          <x:t xml:space="preserve">Доходы самовывоза</x:t>
        </x:is>
      </x:c>
      <x:c r="D20" s="188" t="n">
        <x:f>D18*D19</x:f>
        <x:v>144000</x:v>
      </x:c>
      <x:c r="E20" s="188" t="n">
        <x:f>E18*E19</x:f>
        <x:v>148800</x:v>
      </x:c>
      <x:c r="F20" s="188" t="n">
        <x:f>F18*F19</x:f>
        <x:v>144000</x:v>
      </x:c>
      <x:c r="G20" s="188" t="n">
        <x:f>G18*G19</x:f>
        <x:v>148800</x:v>
      </x:c>
      <x:c r="H20" s="188" t="n">
        <x:f>H18*H19</x:f>
        <x:v>148800</x:v>
      </x:c>
      <x:c r="I20" s="188" t="n">
        <x:f>I18*I19</x:f>
        <x:v>134400</x:v>
      </x:c>
      <x:c r="J20" s="188" t="n">
        <x:f>J18*J19</x:f>
        <x:v>148800</x:v>
      </x:c>
      <x:c r="K20" s="188" t="n">
        <x:f>K18*K19</x:f>
        <x:v>144000</x:v>
      </x:c>
      <x:c r="L20" s="188" t="n">
        <x:f>L18*L19</x:f>
        <x:v>148800</x:v>
      </x:c>
      <x:c r="M20" s="188" t="n">
        <x:f>M18*M19</x:f>
        <x:v>144000</x:v>
      </x:c>
      <x:c r="N20" s="188" t="n">
        <x:f>N18*N19</x:f>
        <x:v>148800</x:v>
      </x:c>
      <x:c r="O20" s="188" t="n">
        <x:f>O18*O19</x:f>
        <x:v>148800</x:v>
      </x:c>
      <x:c r="P20" s="188" t="n">
        <x:f>SUM(D20:O20)</x:f>
        <x:v>1752000</x:v>
      </x:c>
      <x:c r="Q20" s="188" t="n">
        <x:f>P20/12</x:f>
        <x:v>146000</x:v>
      </x:c>
      <x:c r="R20" s="52" t="inlineStr">
        <x:is>
          <x:t xml:space="preserve">руб.</x:t>
        </x:is>
      </x:c>
    </x:row>
    <x:row r="21">
      <x:c r="A21" s="52" t="n"/>
      <x:c r="B21" s="52" t="n"/>
      <x:c r="C21" s="52" t="n"/>
      <x:c r="D21" s="188" t="n"/>
      <x:c r="E21" s="188" t="n"/>
      <x:c r="F21" s="188" t="n"/>
      <x:c r="G21" s="188" t="n"/>
      <x:c r="H21" s="188" t="n"/>
      <x:c r="I21" s="188" t="n"/>
      <x:c r="J21" s="188" t="n"/>
      <x:c r="K21" s="188" t="n"/>
      <x:c r="L21" s="188" t="n"/>
      <x:c r="M21" s="188" t="n"/>
      <x:c r="N21" s="188" t="n"/>
      <x:c r="O21" s="188" t="n"/>
      <x:c r="P21" s="188" t="n"/>
      <x:c r="Q21" s="188" t="n"/>
      <x:c r="R21" s="52" t="n"/>
    </x:row>
    <x:row r="22">
      <x:c r="A22" s="52" t="str">
        <x:v>REV.HOTEL.BREAKFAST.QTY</x:v>
      </x:c>
      <x:c r="B22" s="52" t="str">
        <x:v>Кафе — Гостиница: завтраки</x:v>
      </x:c>
      <x:c r="C22" s="52" t="str">
        <x:v>Завтраки гостиницы</x:v>
      </x:c>
      <x:c r="D22" s="188" t="n">
        <x:f>SUMIF('02_КАЛЕНДАРЬ'!$B$5:$B$369,D$3,'02_КАЛЕНДАРЬ'!$R$5:$R$369)</x:f>
        <x:v>600</x:v>
      </x:c>
      <x:c r="E22" s="188" t="n">
        <x:f>SUMIF('02_КАЛЕНДАРЬ'!$B$5:$B$369,E$3,'02_КАЛЕНДАРЬ'!$R$5:$R$369)</x:f>
        <x:v>620</x:v>
      </x:c>
      <x:c r="F22" s="188" t="n">
        <x:f>SUMIF('02_КАЛЕНДАРЬ'!$B$5:$B$369,F$3,'02_КАЛЕНДАРЬ'!$R$5:$R$369)</x:f>
        <x:v>600</x:v>
      </x:c>
      <x:c r="G22" s="188" t="n">
        <x:f>SUMIF('02_КАЛЕНДАРЬ'!$B$5:$B$369,G$3,'02_КАЛЕНДАРЬ'!$R$5:$R$369)</x:f>
        <x:v>620</x:v>
      </x:c>
      <x:c r="H22" s="188" t="n">
        <x:f>SUMIF('02_КАЛЕНДАРЬ'!$B$5:$B$369,H$3,'02_КАЛЕНДАРЬ'!$R$5:$R$369)</x:f>
        <x:v>620</x:v>
      </x:c>
      <x:c r="I22" s="188" t="n">
        <x:f>SUMIF('02_КАЛЕНДАРЬ'!$B$5:$B$369,I$3,'02_КАЛЕНДАРЬ'!$R$5:$R$369)</x:f>
        <x:v>560</x:v>
      </x:c>
      <x:c r="J22" s="188" t="n">
        <x:f>SUMIF('02_КАЛЕНДАРЬ'!$B$5:$B$369,J$3,'02_КАЛЕНДАРЬ'!$R$5:$R$369)</x:f>
        <x:v>620</x:v>
      </x:c>
      <x:c r="K22" s="188" t="n">
        <x:f>SUMIF('02_КАЛЕНДАРЬ'!$B$5:$B$369,K$3,'02_КАЛЕНДАРЬ'!$R$5:$R$369)</x:f>
        <x:v>600</x:v>
      </x:c>
      <x:c r="L22" s="188" t="n">
        <x:f>SUMIF('02_КАЛЕНДАРЬ'!$B$5:$B$369,L$3,'02_КАЛЕНДАРЬ'!$R$5:$R$369)</x:f>
        <x:v>620</x:v>
      </x:c>
      <x:c r="M22" s="188" t="n">
        <x:f>SUMIF('02_КАЛЕНДАРЬ'!$B$5:$B$369,M$3,'02_КАЛЕНДАРЬ'!$R$5:$R$369)</x:f>
        <x:v>600</x:v>
      </x:c>
      <x:c r="N22" s="188" t="n">
        <x:f>SUMIF('02_КАЛЕНДАРЬ'!$B$5:$B$369,N$3,'02_КАЛЕНДАРЬ'!$R$5:$R$369)</x:f>
        <x:v>620</x:v>
      </x:c>
      <x:c r="O22" s="188" t="n">
        <x:f>SUMIF('02_КАЛЕНДАРЬ'!$B$5:$B$369,O$3,'02_КАЛЕНДАРЬ'!$R$5:$R$369)</x:f>
        <x:v>620</x:v>
      </x:c>
      <x:c r="P22" s="188" t="n">
        <x:f>SUM(D22:O22)</x:f>
        <x:v>7300</x:v>
      </x:c>
      <x:c r="Q22" s="188" t="n">
        <x:f>P22/12</x:f>
        <x:v>608.3333333333334</x:v>
      </x:c>
      <x:c r="R22" s="52" t="inlineStr">
        <x:is>
          <x:t xml:space="preserve">заказов</x:t>
        </x:is>
      </x:c>
    </x:row>
    <x:row r="23">
      <x:c r="A23" s="52" t="str">
        <x:v>REV.HOTEL.BREAKFAST.CHECK</x:v>
      </x:c>
      <x:c r="B23" s="52" t="str">
        <x:v>Кафе — Гостиница: завтраки</x:v>
      </x:c>
      <x:c r="C23" s="52" t="str">
        <x:v>Средний чек завтрака</x:v>
      </x:c>
      <x:c r="D23" s="188" t="n">
        <x:f>'01_ВВОД'!$D$45</x:f>
        <x:v>550</x:v>
      </x:c>
      <x:c r="E23" s="188" t="n">
        <x:f>'01_ВВОД'!$D$45</x:f>
        <x:v>550</x:v>
      </x:c>
      <x:c r="F23" s="188" t="n">
        <x:f>'01_ВВОД'!$D$45</x:f>
        <x:v>550</x:v>
      </x:c>
      <x:c r="G23" s="188" t="n">
        <x:f>'01_ВВОД'!$D$45</x:f>
        <x:v>550</x:v>
      </x:c>
      <x:c r="H23" s="188" t="n">
        <x:f>'01_ВВОД'!$D$45</x:f>
        <x:v>550</x:v>
      </x:c>
      <x:c r="I23" s="188" t="n">
        <x:f>'01_ВВОД'!$D$45</x:f>
        <x:v>550</x:v>
      </x:c>
      <x:c r="J23" s="188" t="n">
        <x:f>'01_ВВОД'!$D$45</x:f>
        <x:v>550</x:v>
      </x:c>
      <x:c r="K23" s="188" t="n">
        <x:f>'01_ВВОД'!$D$45</x:f>
        <x:v>550</x:v>
      </x:c>
      <x:c r="L23" s="188" t="n">
        <x:f>'01_ВВОД'!$D$45</x:f>
        <x:v>550</x:v>
      </x:c>
      <x:c r="M23" s="188" t="n">
        <x:f>'01_ВВОД'!$D$45</x:f>
        <x:v>550</x:v>
      </x:c>
      <x:c r="N23" s="188" t="n">
        <x:f>'01_ВВОД'!$D$45</x:f>
        <x:v>550</x:v>
      </x:c>
      <x:c r="O23" s="188" t="n">
        <x:f>'01_ВВОД'!$D$45</x:f>
        <x:v>550</x:v>
      </x:c>
      <x:c r="P23" s="188" t="n">
        <x:f>AVERAGE(D23:O23)</x:f>
        <x:v>550</x:v>
      </x:c>
      <x:c r="Q23" s="188" t="n">
        <x:f>P23</x:f>
        <x:v>550</x:v>
      </x:c>
      <x:c r="R23" s="52" t="inlineStr">
        <x:is>
          <x:t xml:space="preserve">руб./заказ</x:t>
        </x:is>
      </x:c>
    </x:row>
    <x:row r="24">
      <x:c r="A24" s="52" t="str">
        <x:v>REV.HOTEL.BREAKFAST</x:v>
      </x:c>
      <x:c r="B24" s="52" t="str">
        <x:v>Кафе — Гостиница: завтраки</x:v>
      </x:c>
      <x:c r="C24" s="117" t="str">
        <x:v>Доходы гостиничных завтраков</x:v>
      </x:c>
      <x:c r="D24" s="188" t="n">
        <x:f>D22*D23</x:f>
        <x:v>330000</x:v>
      </x:c>
      <x:c r="E24" s="188" t="n">
        <x:f>E22*E23</x:f>
        <x:v>341000</x:v>
      </x:c>
      <x:c r="F24" s="188" t="n">
        <x:f>F22*F23</x:f>
        <x:v>330000</x:v>
      </x:c>
      <x:c r="G24" s="188" t="n">
        <x:f>G22*G23</x:f>
        <x:v>341000</x:v>
      </x:c>
      <x:c r="H24" s="188" t="n">
        <x:f>H22*H23</x:f>
        <x:v>341000</x:v>
      </x:c>
      <x:c r="I24" s="188" t="n">
        <x:f>I22*I23</x:f>
        <x:v>308000</x:v>
      </x:c>
      <x:c r="J24" s="188" t="n">
        <x:f>J22*J23</x:f>
        <x:v>341000</x:v>
      </x:c>
      <x:c r="K24" s="188" t="n">
        <x:f>K22*K23</x:f>
        <x:v>330000</x:v>
      </x:c>
      <x:c r="L24" s="188" t="n">
        <x:f>L22*L23</x:f>
        <x:v>341000</x:v>
      </x:c>
      <x:c r="M24" s="188" t="n">
        <x:f>M22*M23</x:f>
        <x:v>330000</x:v>
      </x:c>
      <x:c r="N24" s="188" t="n">
        <x:f>N22*N23</x:f>
        <x:v>341000</x:v>
      </x:c>
      <x:c r="O24" s="188" t="n">
        <x:f>O22*O23</x:f>
        <x:v>341000</x:v>
      </x:c>
      <x:c r="P24" s="188" t="n">
        <x:f>SUM(D24:O24)</x:f>
        <x:v>4015000</x:v>
      </x:c>
      <x:c r="Q24" s="188" t="n">
        <x:f>P24/12</x:f>
        <x:v>334583.3333333333</x:v>
      </x:c>
      <x:c r="R24" s="52" t="inlineStr">
        <x:is>
          <x:t xml:space="preserve">руб.</x:t>
        </x:is>
      </x:c>
    </x:row>
    <x:row r="25">
      <x:c r="A25" s="52" t="n"/>
      <x:c r="B25" s="52" t="n"/>
      <x:c r="C25" s="52" t="n"/>
      <x:c r="D25" s="188" t="n"/>
      <x:c r="E25" s="188" t="n"/>
      <x:c r="F25" s="188" t="n"/>
      <x:c r="G25" s="188" t="n"/>
      <x:c r="H25" s="188" t="n"/>
      <x:c r="I25" s="188" t="n"/>
      <x:c r="J25" s="188" t="n"/>
      <x:c r="K25" s="188" t="n"/>
      <x:c r="L25" s="188" t="n"/>
      <x:c r="M25" s="188" t="n"/>
      <x:c r="N25" s="188" t="n"/>
      <x:c r="O25" s="188" t="n"/>
      <x:c r="P25" s="188" t="n"/>
      <x:c r="Q25" s="188" t="n"/>
      <x:c r="R25" s="52" t="n"/>
    </x:row>
    <x:row r="26">
      <x:c r="A26" s="118" t="inlineStr">
        <x:is>
          <x:t xml:space="preserve">REV.CAFE</x:t>
        </x:is>
      </x:c>
      <x:c r="B26" s="118" t="inlineStr">
        <x:is>
          <x:t xml:space="preserve">Кафе</x:t>
        </x:is>
      </x:c>
      <x:c r="C26" s="118" t="inlineStr">
        <x:is>
          <x:t xml:space="preserve">ИТОГО ДОХОДЫ КАФЕ</x:t>
        </x:is>
      </x:c>
      <x:c r="D26" s="190" t="n">
        <x:f>SUM(D8,D12,D16,D20,D24,D41,D46)</x:f>
        <x:v>3943800</x:v>
      </x:c>
      <x:c r="E26" s="190" t="n">
        <x:f>SUM(E8,E12,E16,E20,E24,E41,E46)</x:f>
        <x:v>4116900</x:v>
      </x:c>
      <x:c r="F26" s="190" t="n">
        <x:f>SUM(F8,F12,F16,F20,F24,F41,F46)</x:f>
        <x:v>3715400</x:v>
      </x:c>
      <x:c r="G26" s="190" t="n">
        <x:f>SUM(G8,G12,G16,G20,G24,G41,G46)</x:f>
        <x:v>3787800</x:v>
      </x:c>
      <x:c r="H26" s="190" t="n">
        <x:f>SUM(H8,H12,H16,H20,H24,H41,H46)</x:f>
        <x:v>3918000</x:v>
      </x:c>
      <x:c r="I26" s="190" t="n">
        <x:f>SUM(I8,I12,I16,I20,I24,I41,I46)</x:f>
        <x:v>3447500</x:v>
      </x:c>
      <x:c r="J26" s="190" t="n">
        <x:f>SUM(J8,J12,J16,J20,J24,J41,J46)</x:f>
        <x:v>3766700</x:v>
      </x:c>
      <x:c r="K26" s="190" t="n">
        <x:f>SUM(K8,K12,K16,K20,K24,K41,K46)</x:f>
        <x:v>3688000</x:v>
      </x:c>
      <x:c r="L26" s="190" t="n">
        <x:f>SUM(L8,L12,L16,L20,L24,L41,L46)</x:f>
        <x:v>3827300</x:v>
      </x:c>
      <x:c r="M26" s="190" t="n">
        <x:f>SUM(M8,M12,M16,M20,M24,M41,M46)</x:f>
        <x:v>3629500</x:v>
      </x:c>
      <x:c r="N26" s="190" t="n">
        <x:f>SUM(N8,N12,N16,N20,N24,N41,N46)</x:f>
        <x:v>3846300</x:v>
      </x:c>
      <x:c r="O26" s="190" t="n">
        <x:f>SUM(O8,O12,O16,O20,O24,O41,O46)</x:f>
        <x:v>3778600</x:v>
      </x:c>
      <x:c r="P26" s="190" t="n">
        <x:f>SUM(D26:O26)</x:f>
        <x:v>45465800</x:v>
      </x:c>
      <x:c r="Q26" s="190" t="n">
        <x:f>P26/12</x:f>
        <x:v>3788816.6666666665</x:v>
      </x:c>
      <x:c r="R26" s="118" t="inlineStr">
        <x:is>
          <x:t xml:space="preserve">руб.</x:t>
        </x:is>
      </x:c>
    </x:row>
    <x:row r="27">
      <x:c r="A27" s="52" t="n"/>
      <x:c r="B27" s="52" t="n"/>
      <x:c r="C27" s="52" t="n"/>
      <x:c r="D27" s="188" t="n"/>
      <x:c r="E27" s="188" t="n"/>
      <x:c r="F27" s="188" t="n"/>
      <x:c r="G27" s="188" t="n"/>
      <x:c r="H27" s="188" t="n"/>
      <x:c r="I27" s="188" t="n"/>
      <x:c r="J27" s="188" t="n"/>
      <x:c r="K27" s="188" t="n"/>
      <x:c r="L27" s="188" t="n"/>
      <x:c r="M27" s="188" t="n"/>
      <x:c r="N27" s="188" t="n"/>
      <x:c r="O27" s="188" t="n"/>
      <x:c r="P27" s="188" t="n"/>
      <x:c r="Q27" s="188" t="n"/>
      <x:c r="R27" s="52" t="n"/>
    </x:row>
    <x:row r="28">
      <x:c r="A28" s="122" t="inlineStr">
        <x:is>
          <x:t xml:space="preserve">УПУЩЕННАЯ ВЫРУЧКА КАФЕ ИЗ-ЗА БАНКЕТНЫХ ДНЕЙ</x:t>
        </x:is>
      </x:c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</x:row>
    <x:row r="29">
      <x:c r="A29" s="52" t="inlineStr">
        <x:is>
          <x:t xml:space="preserve">REV.CAFE.POT</x:t>
        </x:is>
      </x:c>
      <x:c r="B29" s="52" t="inlineStr">
        <x:is>
          <x:t xml:space="preserve">Кафе</x:t>
        </x:is>
      </x:c>
      <x:c r="C29" s="117" t="inlineStr">
        <x:is>
          <x:t xml:space="preserve">Потенциальные доходы кафе без банкетных закрытий</x:t>
        </x:is>
      </x:c>
      <x:c r="D29" s="188" t="n">
        <x:f>SUMIF('02_КАЛЕНДАРЬ'!$B$5:$B$369,D$3,'02_КАЛЕНДАРЬ'!$L$5:$L$369)*'01_ВВОД'!$D$18+SUMIF('02_КАЛЕНДАРЬ'!$B$5:$B$369,D$3,'02_КАЛЕНДАРЬ'!$K$5:$K$369)*'01_ВВОД'!$D$26*'01_ВВОД'!$D$28+SUMIF('02_КАЛЕНДАРЬ'!$B$5:$B$369,D$3,'02_КАЛЕНДАРЬ'!$O$5:$O$369)*'01_ВВОД'!$D$31+COUNTIF('02_КАЛЕНДАРЬ'!$B$5:$B$369,D$3)*'01_ВВОД'!$D$40*'01_ВВОД'!$D$39+D24+D41+SUMIF('02_КАЛЕНДАРЬ'!$B$5:$B$369,D$3,'02_КАЛЕНДАРЬ'!$W$5:$W$369)*'01_ВВОД'!$D$128</x:f>
        <x:v>3943800</x:v>
      </x:c>
      <x:c r="E29" s="188" t="n">
        <x:f>SUMIF('02_КАЛЕНДАРЬ'!$B$5:$B$369,E$3,'02_КАЛЕНДАРЬ'!$L$5:$L$369)*'01_ВВОД'!$D$18+SUMIF('02_КАЛЕНДАРЬ'!$B$5:$B$369,E$3,'02_КАЛЕНДАРЬ'!$K$5:$K$369)*'01_ВВОД'!$D$26*'01_ВВОД'!$D$28+SUMIF('02_КАЛЕНДАРЬ'!$B$5:$B$369,E$3,'02_КАЛЕНДАРЬ'!$O$5:$O$369)*'01_ВВОД'!$D$31+COUNTIF('02_КАЛЕНДАРЬ'!$B$5:$B$369,E$3)*'01_ВВОД'!$D$40*'01_ВВОД'!$D$39+E24+E41+SUMIF('02_КАЛЕНДАРЬ'!$B$5:$B$369,E$3,'02_КАЛЕНДАРЬ'!$W$5:$W$369)*'01_ВВОД'!$D$128</x:f>
        <x:v>4116900</x:v>
      </x:c>
      <x:c r="F29" s="188" t="n">
        <x:f>SUMIF('02_КАЛЕНДАРЬ'!$B$5:$B$369,F$3,'02_КАЛЕНДАРЬ'!$L$5:$L$369)*'01_ВВОД'!$D$18+SUMIF('02_КАЛЕНДАРЬ'!$B$5:$B$369,F$3,'02_КАЛЕНДАРЬ'!$K$5:$K$369)*'01_ВВОД'!$D$26*'01_ВВОД'!$D$28+SUMIF('02_КАЛЕНДАРЬ'!$B$5:$B$369,F$3,'02_КАЛЕНДАРЬ'!$O$5:$O$369)*'01_ВВОД'!$D$31+COUNTIF('02_КАЛЕНДАРЬ'!$B$5:$B$369,F$3)*'01_ВВОД'!$D$40*'01_ВВОД'!$D$39+F24+F41+SUMIF('02_КАЛЕНДАРЬ'!$B$5:$B$369,F$3,'02_КАЛЕНДАРЬ'!$W$5:$W$369)*'01_ВВОД'!$D$128</x:f>
        <x:v>3995200</x:v>
      </x:c>
      <x:c r="G29" s="188" t="n">
        <x:f>SUMIF('02_КАЛЕНДАРЬ'!$B$5:$B$369,G$3,'02_КАЛЕНДАРЬ'!$L$5:$L$369)*'01_ВВОД'!$D$18+SUMIF('02_КАЛЕНДАРЬ'!$B$5:$B$369,G$3,'02_КАЛЕНДАРЬ'!$K$5:$K$369)*'01_ВВОД'!$D$26*'01_ВВОД'!$D$28+SUMIF('02_КАЛЕНДАРЬ'!$B$5:$B$369,G$3,'02_КАЛЕНДАРЬ'!$O$5:$O$369)*'01_ВВОД'!$D$31+COUNTIF('02_КАЛЕНДАРЬ'!$B$5:$B$369,G$3)*'01_ВВОД'!$D$40*'01_ВВОД'!$D$39+G24+G41+SUMIF('02_КАЛЕНДАРЬ'!$B$5:$B$369,G$3,'02_КАЛЕНДАРЬ'!$W$5:$W$369)*'01_ВВОД'!$D$128</x:f>
        <x:v>4090600</x:v>
      </x:c>
      <x:c r="H29" s="188" t="n">
        <x:f>SUMIF('02_КАЛЕНДАРЬ'!$B$5:$B$369,H$3,'02_КАЛЕНДАРЬ'!$L$5:$L$369)*'01_ВВОД'!$D$18+SUMIF('02_КАЛЕНДАРЬ'!$B$5:$B$369,H$3,'02_КАЛЕНДАРЬ'!$K$5:$K$369)*'01_ВВОД'!$D$26*'01_ВВОД'!$D$28+SUMIF('02_КАЛЕНДАРЬ'!$B$5:$B$369,H$3,'02_КАЛЕНДАРЬ'!$O$5:$O$369)*'01_ВВОД'!$D$31+COUNTIF('02_КАЛЕНДАРЬ'!$B$5:$B$369,H$3)*'01_ВВОД'!$D$40*'01_ВВОД'!$D$39+H24+H41+SUMIF('02_КАЛЕНДАРЬ'!$B$5:$B$369,H$3,'02_КАЛЕНДАРЬ'!$W$5:$W$369)*'01_ВВОД'!$D$128</x:f>
        <x:v>4255700</x:v>
      </x:c>
      <x:c r="I29" s="188" t="n">
        <x:f>SUMIF('02_КАЛЕНДАРЬ'!$B$5:$B$369,I$3,'02_КАЛЕНДАРЬ'!$L$5:$L$369)*'01_ВВОД'!$D$18+SUMIF('02_КАЛЕНДАРЬ'!$B$5:$B$369,I$3,'02_КАЛЕНДАРЬ'!$K$5:$K$369)*'01_ВВОД'!$D$26*'01_ВВОД'!$D$28+SUMIF('02_КАЛЕНДАРЬ'!$B$5:$B$369,I$3,'02_КАЛЕНДАРЬ'!$O$5:$O$369)*'01_ВВОД'!$D$31+COUNTIF('02_КАЛЕНДАРЬ'!$B$5:$B$369,I$3)*'01_ВВОД'!$D$40*'01_ВВОД'!$D$39+I24+I41+SUMIF('02_КАЛЕНДАРЬ'!$B$5:$B$369,I$3,'02_КАЛЕНДАРЬ'!$W$5:$W$369)*'01_ВВОД'!$D$128</x:f>
        <x:v>3727300</x:v>
      </x:c>
      <x:c r="J29" s="188" t="n">
        <x:f>SUMIF('02_КАЛЕНДАРЬ'!$B$5:$B$369,J$3,'02_КАЛЕНДАРЬ'!$L$5:$L$369)*'01_ВВОД'!$D$18+SUMIF('02_КАЛЕНДАРЬ'!$B$5:$B$369,J$3,'02_КАЛЕНДАРЬ'!$K$5:$K$369)*'01_ВВОД'!$D$26*'01_ВВОД'!$D$28+SUMIF('02_КАЛЕНДАРЬ'!$B$5:$B$369,J$3,'02_КАЛЕНДАРЬ'!$O$5:$O$369)*'01_ВВОД'!$D$31+COUNTIF('02_КАЛЕНДАРЬ'!$B$5:$B$369,J$3)*'01_ВВОД'!$D$40*'01_ВВОД'!$D$39+J24+J41+SUMIF('02_КАЛЕНДАРЬ'!$B$5:$B$369,J$3,'02_КАЛЕНДАРЬ'!$W$5:$W$369)*'01_ВВОД'!$D$128</x:f>
        <x:v>4090600</x:v>
      </x:c>
      <x:c r="K29" s="188" t="n">
        <x:f>SUMIF('02_КАЛЕНДАРЬ'!$B$5:$B$369,K$3,'02_КАЛЕНДАРЬ'!$L$5:$L$369)*'01_ВВОД'!$D$18+SUMIF('02_КАЛЕНДАРЬ'!$B$5:$B$369,K$3,'02_КАЛЕНДАРЬ'!$K$5:$K$369)*'01_ВВОД'!$D$26*'01_ВВОД'!$D$28+SUMIF('02_КАЛЕНДАРЬ'!$B$5:$B$369,K$3,'02_КАЛЕНДАРЬ'!$O$5:$O$369)*'01_ВВОД'!$D$31+COUNTIF('02_КАЛЕНДАРЬ'!$B$5:$B$369,K$3)*'01_ВВОД'!$D$40*'01_ВВОД'!$D$39+K24+K41+SUMIF('02_КАЛЕНДАРЬ'!$B$5:$B$369,K$3,'02_КАЛЕНДАРЬ'!$W$5:$W$369)*'01_ВВОД'!$D$128</x:f>
        <x:v>3958600</x:v>
      </x:c>
      <x:c r="L29" s="188" t="n">
        <x:f>SUMIF('02_КАЛЕНДАРЬ'!$B$5:$B$369,L$3,'02_КАЛЕНДАРЬ'!$L$5:$L$369)*'01_ВВОД'!$D$18+SUMIF('02_КАЛЕНДАРЬ'!$B$5:$B$369,L$3,'02_КАЛЕНДАРЬ'!$K$5:$K$369)*'01_ВВОД'!$D$26*'01_ВВОД'!$D$28+SUMIF('02_КАЛЕНДАРЬ'!$B$5:$B$369,L$3,'02_КАЛЕНДАРЬ'!$O$5:$O$369)*'01_ВВОД'!$D$31+COUNTIF('02_КАЛЕНДАРЬ'!$B$5:$B$369,L$3)*'01_ВВОД'!$D$40*'01_ВВОД'!$D$39+L24+L41+SUMIF('02_КАЛЕНДАРЬ'!$B$5:$B$369,L$3,'02_КАЛЕНДАРЬ'!$W$5:$W$369)*'01_ВВОД'!$D$128</x:f>
        <x:v>4116300</x:v>
      </x:c>
      <x:c r="M29" s="188" t="n">
        <x:f>SUMIF('02_КАЛЕНДАРЬ'!$B$5:$B$369,M$3,'02_КАЛЕНДАРЬ'!$L$5:$L$369)*'01_ВВОД'!$D$18+SUMIF('02_КАЛЕНДАРЬ'!$B$5:$B$369,M$3,'02_КАЛЕНДАРЬ'!$K$5:$K$369)*'01_ВВОД'!$D$26*'01_ВВОД'!$D$28+SUMIF('02_КАЛЕНДАРЬ'!$B$5:$B$369,M$3,'02_КАЛЕНДАРЬ'!$O$5:$O$369)*'01_ВВОД'!$D$31+COUNTIF('02_КАЛЕНДАРЬ'!$B$5:$B$369,M$3)*'01_ВВОД'!$D$40*'01_ВВОД'!$D$39+M24+M41+SUMIF('02_КАЛЕНДАРЬ'!$B$5:$B$369,M$3,'02_КАЛЕНДАРЬ'!$W$5:$W$369)*'01_ВВОД'!$D$128</x:f>
        <x:v>3932300</x:v>
      </x:c>
      <x:c r="N29" s="188" t="n">
        <x:f>SUMIF('02_КАЛЕНДАРЬ'!$B$5:$B$369,N$3,'02_КАЛЕНДАРЬ'!$L$5:$L$369)*'01_ВВОД'!$D$18+SUMIF('02_КАЛЕНДАРЬ'!$B$5:$B$369,N$3,'02_КАЛЕНДАРЬ'!$K$5:$K$369)*'01_ВВОД'!$D$26*'01_ВВОД'!$D$28+SUMIF('02_КАЛЕНДАРЬ'!$B$5:$B$369,N$3,'02_КАЛЕНДАРЬ'!$O$5:$O$369)*'01_ВВОД'!$D$31+COUNTIF('02_КАЛЕНДАРЬ'!$B$5:$B$369,N$3)*'01_ВВОД'!$D$40*'01_ВВОД'!$D$39+N24+N41+SUMIF('02_КАЛЕНДАРЬ'!$B$5:$B$369,N$3,'02_КАЛЕНДАРЬ'!$W$5:$W$369)*'01_ВВОД'!$D$128</x:f>
        <x:v>4116900</x:v>
      </x:c>
      <x:c r="O29" s="188" t="n">
        <x:f>SUMIF('02_КАЛЕНДАРЬ'!$B$5:$B$369,O$3,'02_КАЛЕНДАРЬ'!$L$5:$L$369)*'01_ВВОД'!$D$18+SUMIF('02_КАЛЕНДАРЬ'!$B$5:$B$369,O$3,'02_КАЛЕНДАРЬ'!$K$5:$K$369)*'01_ВВОД'!$D$26*'01_ВВОД'!$D$28+SUMIF('02_КАЛЕНДАРЬ'!$B$5:$B$369,O$3,'02_КАЛЕНДАРЬ'!$O$5:$O$369)*'01_ВВОД'!$D$31+COUNTIF('02_КАЛЕНДАРЬ'!$B$5:$B$369,O$3)*'01_ВВОД'!$D$40*'01_ВВОД'!$D$39+O24+O41+SUMIF('02_КАЛЕНДАРЬ'!$B$5:$B$369,O$3,'02_КАЛЕНДАРЬ'!$W$5:$W$369)*'01_ВВОД'!$D$128</x:f>
        <x:v>4090600</x:v>
      </x:c>
      <x:c r="P29" s="188" t="n">
        <x:f>SUM(D29:O29)</x:f>
        <x:v>48434800</x:v>
      </x:c>
      <x:c r="Q29" s="188" t="n">
        <x:f>P29/12</x:f>
        <x:v>4036233.3333333335</x:v>
      </x:c>
      <x:c r="R29" s="52" t="inlineStr">
        <x:is>
          <x:t xml:space="preserve">руб.</x:t>
        </x:is>
      </x:c>
    </x:row>
    <x:row r="30">
      <x:c r="A30" s="120" t="inlineStr">
        <x:is>
          <x:t xml:space="preserve">REV.CAFE.LOST</x:t>
        </x:is>
      </x:c>
      <x:c r="B30" s="120" t="inlineStr">
        <x:is>
          <x:t xml:space="preserve">Кафе</x:t>
        </x:is>
      </x:c>
      <x:c r="C30" s="120" t="inlineStr">
        <x:is>
          <x:t xml:space="preserve">Упущенные доходы кафе из-за банкетов</x:t>
        </x:is>
      </x:c>
      <x:c r="D30" s="202" t="n">
        <x:f>D29-D26</x:f>
        <x:v>0</x:v>
      </x:c>
      <x:c r="E30" s="202" t="n">
        <x:f>E29-E26</x:f>
        <x:v>0</x:v>
      </x:c>
      <x:c r="F30" s="202" t="n">
        <x:f>F29-F26</x:f>
        <x:v>279800</x:v>
      </x:c>
      <x:c r="G30" s="202" t="n">
        <x:f>G29-G26</x:f>
        <x:v>302800</x:v>
      </x:c>
      <x:c r="H30" s="202" t="n">
        <x:f>H29-H26</x:f>
        <x:v>337700</x:v>
      </x:c>
      <x:c r="I30" s="202" t="n">
        <x:f>I29-I26</x:f>
        <x:v>279800</x:v>
      </x:c>
      <x:c r="J30" s="202" t="n">
        <x:f>J29-J26</x:f>
        <x:v>323900</x:v>
      </x:c>
      <x:c r="K30" s="202" t="n">
        <x:f>K29-K26</x:f>
        <x:v>270600</x:v>
      </x:c>
      <x:c r="L30" s="202" t="n">
        <x:f>L29-L26</x:f>
        <x:v>289000</x:v>
      </x:c>
      <x:c r="M30" s="202" t="n">
        <x:f>M29-M26</x:f>
        <x:v>302800</x:v>
      </x:c>
      <x:c r="N30" s="202" t="n">
        <x:f>N29-N26</x:f>
        <x:v>270600</x:v>
      </x:c>
      <x:c r="O30" s="202" t="n">
        <x:f>O29-O26</x:f>
        <x:v>312000</x:v>
      </x:c>
      <x:c r="P30" s="202" t="n">
        <x:f>SUM(D30:O30)</x:f>
        <x:v>2969000</x:v>
      </x:c>
      <x:c r="Q30" s="202" t="n">
        <x:f>P30/12</x:f>
        <x:v>247416.66666666666</x:v>
      </x:c>
      <x:c r="R30" s="120" t="inlineStr">
        <x:is>
          <x:t xml:space="preserve">руб.</x:t>
        </x:is>
      </x:c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БИЗНЕС 2 — БАНКЕТЫ (ОТДЕЛЬНЫЙ ДОХОД)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REV.BANQ.QTY</x:t>
        </x:is>
      </x:c>
      <x:c r="B33" s="52" t="inlineStr">
        <x:is>
          <x:t xml:space="preserve">Банкеты</x:t>
        </x:is>
      </x:c>
      <x:c r="C33" s="52" t="inlineStr">
        <x:is>
          <x:t xml:space="preserve">Количество банкетов</x:t>
        </x:is>
      </x:c>
      <x:c r="D33" s="188" t="n">
        <x:f>SUMIF('02_КАЛЕНДАРЬ'!$B$5:$B$369,D$3,'02_КАЛЕНДАРЬ'!$S$5:$S$369)</x:f>
        <x:v>0</x:v>
      </x:c>
      <x:c r="E33" s="188" t="n">
        <x:f>SUMIF('02_КАЛЕНДАРЬ'!$B$5:$B$369,E$3,'02_КАЛЕНДАРЬ'!$S$5:$S$369)</x:f>
        <x:v>0</x:v>
      </x:c>
      <x:c r="F33" s="188" t="n">
        <x:f>SUMIF('02_КАЛЕНДАРЬ'!$B$5:$B$369,F$3,'02_КАЛЕНДАРЬ'!$S$5:$S$369)</x:f>
        <x:v>6</x:v>
      </x:c>
      <x:c r="G33" s="188" t="n">
        <x:f>SUMIF('02_КАЛЕНДАРЬ'!$B$5:$B$369,G$3,'02_КАЛЕНДАРЬ'!$S$5:$S$369)</x:f>
        <x:v>6</x:v>
      </x:c>
      <x:c r="H33" s="188" t="n">
        <x:f>SUMIF('02_КАЛЕНДАРЬ'!$B$5:$B$369,H$3,'02_КАЛЕНДАРЬ'!$S$5:$S$369)</x:f>
        <x:v>6</x:v>
      </x:c>
      <x:c r="I33" s="188" t="n">
        <x:f>SUMIF('02_КАЛЕНДАРЬ'!$B$5:$B$369,I$3,'02_КАЛЕНДАРЬ'!$S$5:$S$369)</x:f>
        <x:v>6</x:v>
      </x:c>
      <x:c r="J33" s="188" t="n">
        <x:f>SUMIF('02_КАЛЕНДАРЬ'!$B$5:$B$369,J$3,'02_КАЛЕНДАРЬ'!$S$5:$S$369)</x:f>
        <x:v>6</x:v>
      </x:c>
      <x:c r="K33" s="188" t="n">
        <x:f>SUMIF('02_КАЛЕНДАРЬ'!$B$5:$B$369,K$3,'02_КАЛЕНДАРЬ'!$S$5:$S$369)</x:f>
        <x:v>6</x:v>
      </x:c>
      <x:c r="L33" s="188" t="n">
        <x:f>SUMIF('02_КАЛЕНДАРЬ'!$B$5:$B$369,L$3,'02_КАЛЕНДАРЬ'!$S$5:$S$369)</x:f>
        <x:v>6</x:v>
      </x:c>
      <x:c r="M33" s="188" t="n">
        <x:f>SUMIF('02_КАЛЕНДАРЬ'!$B$5:$B$369,M$3,'02_КАЛЕНДАРЬ'!$S$5:$S$369)</x:f>
        <x:v>6</x:v>
      </x:c>
      <x:c r="N33" s="188" t="n">
        <x:f>SUMIF('02_КАЛЕНДАРЬ'!$B$5:$B$369,N$3,'02_КАЛЕНДАРЬ'!$S$5:$S$369)</x:f>
        <x:v>6</x:v>
      </x:c>
      <x:c r="O33" s="188" t="n">
        <x:f>SUMIF('02_КАЛЕНДАРЬ'!$B$5:$B$369,O$3,'02_КАЛЕНДАРЬ'!$S$5:$S$369)</x:f>
        <x:v>6</x:v>
      </x:c>
      <x:c r="P33" s="188" t="n">
        <x:f>SUM(D33:O33)</x:f>
        <x:v>60</x:v>
      </x:c>
      <x:c r="Q33" s="188" t="n">
        <x:f>P33/12</x:f>
        <x:v>5</x:v>
      </x:c>
      <x:c r="R33" s="52" t="inlineStr">
        <x:is>
          <x:t xml:space="preserve">банкетов</x:t>
        </x:is>
      </x:c>
    </x:row>
    <x:row r="34">
      <x:c r="A34" s="52" t="inlineStr">
        <x:is>
          <x:t xml:space="preserve">REV.BANQ.PART</x:t>
        </x:is>
      </x:c>
      <x:c r="B34" s="52" t="inlineStr">
        <x:is>
          <x:t xml:space="preserve">Банкеты</x:t>
        </x:is>
      </x:c>
      <x:c r="C34" s="52" t="inlineStr">
        <x:is>
          <x:t xml:space="preserve">Участников на банкет</x:t>
        </x:is>
      </x:c>
      <x:c r="D34" s="188" t="n">
        <x:f>'01_ВВОД'!$D$53</x:f>
        <x:v>20</x:v>
      </x:c>
      <x:c r="E34" s="188" t="n">
        <x:f>'01_ВВОД'!$D$53</x:f>
        <x:v>20</x:v>
      </x:c>
      <x:c r="F34" s="188" t="n">
        <x:f>'01_ВВОД'!$D$53</x:f>
        <x:v>20</x:v>
      </x:c>
      <x:c r="G34" s="188" t="n">
        <x:f>'01_ВВОД'!$D$53</x:f>
        <x:v>20</x:v>
      </x:c>
      <x:c r="H34" s="188" t="n">
        <x:f>'01_ВВОД'!$D$53</x:f>
        <x:v>20</x:v>
      </x:c>
      <x:c r="I34" s="188" t="n">
        <x:f>'01_ВВОД'!$D$53</x:f>
        <x:v>20</x:v>
      </x:c>
      <x:c r="J34" s="188" t="n">
        <x:f>'01_ВВОД'!$D$53</x:f>
        <x:v>20</x:v>
      </x:c>
      <x:c r="K34" s="188" t="n">
        <x:f>'01_ВВОД'!$D$53</x:f>
        <x:v>20</x:v>
      </x:c>
      <x:c r="L34" s="188" t="n">
        <x:f>'01_ВВОД'!$D$53</x:f>
        <x:v>20</x:v>
      </x:c>
      <x:c r="M34" s="188" t="n">
        <x:f>'01_ВВОД'!$D$53</x:f>
        <x:v>20</x:v>
      </x:c>
      <x:c r="N34" s="188" t="n">
        <x:f>'01_ВВОД'!$D$53</x:f>
        <x:v>20</x:v>
      </x:c>
      <x:c r="O34" s="188" t="n">
        <x:f>'01_ВВОД'!$D$53</x:f>
        <x:v>20</x:v>
      </x:c>
      <x:c r="P34" s="188" t="n">
        <x:f>AVERAGE(D34:O34)</x:f>
        <x:v>20</x:v>
      </x:c>
      <x:c r="Q34" s="188" t="n">
        <x:f>P34</x:f>
        <x:v>20</x:v>
      </x:c>
      <x:c r="R34" s="52" t="inlineStr">
        <x:is>
          <x:t xml:space="preserve">чел.</x:t>
        </x:is>
      </x:c>
    </x:row>
    <x:row r="35">
      <x:c r="A35" s="52" t="inlineStr">
        <x:is>
          <x:t xml:space="preserve">REV.BANQ.CHECK</x:t>
        </x:is>
      </x:c>
      <x:c r="B35" s="52" t="inlineStr">
        <x:is>
          <x:t xml:space="preserve">Банкеты</x:t>
        </x:is>
      </x:c>
      <x:c r="C35" s="52" t="inlineStr">
        <x:is>
          <x:t xml:space="preserve">Средний чек на человека</x:t>
        </x:is>
      </x:c>
      <x:c r="D35" s="188" t="n">
        <x:f>'01_ВВОД'!$D$54</x:f>
        <x:v>3000</x:v>
      </x:c>
      <x:c r="E35" s="188" t="n">
        <x:f>'01_ВВОД'!$D$54</x:f>
        <x:v>3000</x:v>
      </x:c>
      <x:c r="F35" s="188" t="n">
        <x:f>'01_ВВОД'!$D$54</x:f>
        <x:v>3000</x:v>
      </x:c>
      <x:c r="G35" s="188" t="n">
        <x:f>'01_ВВОД'!$D$54</x:f>
        <x:v>3000</x:v>
      </x:c>
      <x:c r="H35" s="188" t="n">
        <x:f>'01_ВВОД'!$D$54</x:f>
        <x:v>3000</x:v>
      </x:c>
      <x:c r="I35" s="188" t="n">
        <x:f>'01_ВВОД'!$D$54</x:f>
        <x:v>3000</x:v>
      </x:c>
      <x:c r="J35" s="188" t="n">
        <x:f>'01_ВВОД'!$D$54</x:f>
        <x:v>3000</x:v>
      </x:c>
      <x:c r="K35" s="188" t="n">
        <x:f>'01_ВВОД'!$D$54</x:f>
        <x:v>3000</x:v>
      </x:c>
      <x:c r="L35" s="188" t="n">
        <x:f>'01_ВВОД'!$D$54</x:f>
        <x:v>3000</x:v>
      </x:c>
      <x:c r="M35" s="188" t="n">
        <x:f>'01_ВВОД'!$D$54</x:f>
        <x:v>3000</x:v>
      </x:c>
      <x:c r="N35" s="188" t="n">
        <x:f>'01_ВВОД'!$D$54</x:f>
        <x:v>3000</x:v>
      </x:c>
      <x:c r="O35" s="188" t="n">
        <x:f>'01_ВВОД'!$D$54</x:f>
        <x:v>3000</x:v>
      </x:c>
      <x:c r="P35" s="188" t="n">
        <x:f>AVERAGE(D35:O35)</x:f>
        <x:v>3000</x:v>
      </x:c>
      <x:c r="Q35" s="188" t="n">
        <x:f>P35</x:f>
        <x:v>3000</x:v>
      </x:c>
      <x:c r="R35" s="52" t="inlineStr">
        <x:is>
          <x:t xml:space="preserve">руб./чел.</x:t>
        </x:is>
      </x:c>
    </x:row>
    <x:row r="36">
      <x:c r="A36" s="118" t="inlineStr">
        <x:is>
          <x:t xml:space="preserve">REV.BANQ</x:t>
        </x:is>
      </x:c>
      <x:c r="B36" s="118" t="inlineStr">
        <x:is>
          <x:t xml:space="preserve">Банкеты</x:t>
        </x:is>
      </x:c>
      <x:c r="C36" s="118" t="inlineStr">
        <x:is>
          <x:t xml:space="preserve">ДОХОДЫ БАНКЕТОВ</x:t>
        </x:is>
      </x:c>
      <x:c r="D36" s="190" t="n">
        <x:f>D33*D34*D35</x:f>
        <x:v>0</x:v>
      </x:c>
      <x:c r="E36" s="190" t="n">
        <x:f>E33*E34*E35</x:f>
        <x:v>0</x:v>
      </x:c>
      <x:c r="F36" s="190" t="n">
        <x:f>F33*F34*F35</x:f>
        <x:v>360000</x:v>
      </x:c>
      <x:c r="G36" s="190" t="n">
        <x:f>G33*G34*G35</x:f>
        <x:v>360000</x:v>
      </x:c>
      <x:c r="H36" s="190" t="n">
        <x:f>H33*H34*H35</x:f>
        <x:v>360000</x:v>
      </x:c>
      <x:c r="I36" s="190" t="n">
        <x:f>I33*I34*I35</x:f>
        <x:v>360000</x:v>
      </x:c>
      <x:c r="J36" s="190" t="n">
        <x:f>J33*J34*J35</x:f>
        <x:v>360000</x:v>
      </x:c>
      <x:c r="K36" s="190" t="n">
        <x:f>K33*K34*K35</x:f>
        <x:v>360000</x:v>
      </x:c>
      <x:c r="L36" s="190" t="n">
        <x:f>L33*L34*L35</x:f>
        <x:v>360000</x:v>
      </x:c>
      <x:c r="M36" s="190" t="n">
        <x:f>M33*M34*M35</x:f>
        <x:v>360000</x:v>
      </x:c>
      <x:c r="N36" s="190" t="n">
        <x:f>N33*N34*N35</x:f>
        <x:v>360000</x:v>
      </x:c>
      <x:c r="O36" s="190" t="n">
        <x:f>O33*O34*O35</x:f>
        <x:v>360000</x:v>
      </x:c>
      <x:c r="P36" s="190" t="n">
        <x:f>SUM(D36:O36)</x:f>
        <x:v>3600000</x:v>
      </x:c>
      <x:c r="Q36" s="190" t="n">
        <x:f>P36/12</x:f>
        <x:v>300000</x:v>
      </x:c>
      <x:c r="R36" s="118" t="inlineStr">
        <x:is>
          <x:t xml:space="preserve">руб.</x:t>
        </x:is>
      </x:c>
    </x:row>
    <x:row r="37">
      <x:c r="A37" s="52" t="n"/>
      <x:c r="B37" s="52" t="n"/>
      <x:c r="C37" s="52" t="n"/>
      <x:c r="D37" s="188" t="n"/>
      <x:c r="E37" s="188" t="n"/>
      <x:c r="F37" s="188" t="n"/>
      <x:c r="G37" s="188" t="n"/>
      <x:c r="H37" s="188" t="n"/>
      <x:c r="I37" s="188" t="n"/>
      <x:c r="J37" s="188" t="n"/>
      <x:c r="K37" s="188" t="n"/>
      <x:c r="L37" s="188" t="n"/>
      <x:c r="M37" s="188" t="n"/>
      <x:c r="N37" s="188" t="n"/>
      <x:c r="O37" s="188" t="n"/>
      <x:c r="P37" s="188" t="n"/>
      <x:c r="Q37" s="188" t="n"/>
      <x:c r="R37" s="52" t="n"/>
    </x:row>
    <x:row r="38">
      <x:c r="A38" s="118" t="inlineStr">
        <x:is>
          <x:t xml:space="preserve">REV.PROJECT</x:t>
        </x:is>
      </x:c>
      <x:c r="B38" s="118" t="inlineStr">
        <x:is>
          <x:t xml:space="preserve">Проект</x:t>
        </x:is>
      </x:c>
      <x:c r="C38" s="118" t="inlineStr">
        <x:is>
          <x:t xml:space="preserve">СОВОКУПНЫЕ ДОХОДЫ ПРОЕКТА</x:t>
        </x:is>
      </x:c>
      <x:c r="D38" s="190" t="n">
        <x:f>D26+D36</x:f>
        <x:v>3943800</x:v>
      </x:c>
      <x:c r="E38" s="190" t="n">
        <x:f>E26+E36</x:f>
        <x:v>4116900</x:v>
      </x:c>
      <x:c r="F38" s="190" t="n">
        <x:f>F26+F36</x:f>
        <x:v>4075400</x:v>
      </x:c>
      <x:c r="G38" s="190" t="n">
        <x:f>G26+G36</x:f>
        <x:v>4147800</x:v>
      </x:c>
      <x:c r="H38" s="190" t="n">
        <x:f>H26+H36</x:f>
        <x:v>4278000</x:v>
      </x:c>
      <x:c r="I38" s="190" t="n">
        <x:f>I26+I36</x:f>
        <x:v>3807500</x:v>
      </x:c>
      <x:c r="J38" s="190" t="n">
        <x:f>J26+J36</x:f>
        <x:v>4126700</x:v>
      </x:c>
      <x:c r="K38" s="190" t="n">
        <x:f>K26+K36</x:f>
        <x:v>4048000</x:v>
      </x:c>
      <x:c r="L38" s="190" t="n">
        <x:f>L26+L36</x:f>
        <x:v>4187300</x:v>
      </x:c>
      <x:c r="M38" s="190" t="n">
        <x:f>M26+M36</x:f>
        <x:v>3989500</x:v>
      </x:c>
      <x:c r="N38" s="190" t="n">
        <x:f>N26+N36</x:f>
        <x:v>4206300</x:v>
      </x:c>
      <x:c r="O38" s="190" t="n">
        <x:f>O26+O36</x:f>
        <x:v>4138600</x:v>
      </x:c>
      <x:c r="P38" s="190" t="n">
        <x:f>SUM(D38:O38)</x:f>
        <x:v>49065800</x:v>
      </x:c>
      <x:c r="Q38" s="190" t="n">
        <x:f>P38/12</x:f>
        <x:v>4088816.6666666665</x:v>
      </x:c>
      <x:c r="R38" s="118" t="inlineStr">
        <x:is>
          <x:t xml:space="preserve">руб.</x:t>
        </x:is>
      </x:c>
    </x:row>
    <x:row r="39">
      <x:c r="A39" t="str">
        <x:v>REV.HOTEL.DINNER.QTY</x:v>
      </x:c>
      <x:c r="B39" t="str">
        <x:v>Кафе — Гостиница: ужины</x:v>
      </x:c>
      <x:c r="C39" t="str">
        <x:v>Ужины гостиницы</x:v>
      </x:c>
      <x:c r="D39" t="n">
        <x:f>SUMIF('02_КАЛЕНДАРЬ'!$B$5:$B$369,D$3,'02_КАЛЕНДАРЬ'!$U$5:$U$369)</x:f>
        <x:v>300</x:v>
      </x:c>
      <x:c r="E39" t="n">
        <x:f>SUMIF('02_КАЛЕНДАРЬ'!$B$5:$B$369,E$3,'02_КАЛЕНДАРЬ'!$U$5:$U$369)</x:f>
        <x:v>310</x:v>
      </x:c>
      <x:c r="F39" t="n">
        <x:f>SUMIF('02_КАЛЕНДАРЬ'!$B$5:$B$369,F$3,'02_КАЛЕНДАРЬ'!$U$5:$U$369)</x:f>
        <x:v>300</x:v>
      </x:c>
      <x:c r="G39" t="n">
        <x:f>SUMIF('02_КАЛЕНДАРЬ'!$B$5:$B$369,G$3,'02_КАЛЕНДАРЬ'!$U$5:$U$369)</x:f>
        <x:v>310</x:v>
      </x:c>
      <x:c r="H39" t="n">
        <x:f>SUMIF('02_КАЛЕНДАРЬ'!$B$5:$B$369,H$3,'02_КАЛЕНДАРЬ'!$U$5:$U$369)</x:f>
        <x:v>310</x:v>
      </x:c>
      <x:c r="I39" t="n">
        <x:f>SUMIF('02_КАЛЕНДАРЬ'!$B$5:$B$369,I$3,'02_КАЛЕНДАРЬ'!$U$5:$U$369)</x:f>
        <x:v>280</x:v>
      </x:c>
      <x:c r="J39" t="n">
        <x:f>SUMIF('02_КАЛЕНДАРЬ'!$B$5:$B$369,J$3,'02_КАЛЕНДАРЬ'!$U$5:$U$369)</x:f>
        <x:v>310</x:v>
      </x:c>
      <x:c r="K39" t="n">
        <x:f>SUMIF('02_КАЛЕНДАРЬ'!$B$5:$B$369,K$3,'02_КАЛЕНДАРЬ'!$U$5:$U$369)</x:f>
        <x:v>300</x:v>
      </x:c>
      <x:c r="L39" t="n">
        <x:f>SUMIF('02_КАЛЕНДАРЬ'!$B$5:$B$369,L$3,'02_КАЛЕНДАРЬ'!$U$5:$U$369)</x:f>
        <x:v>310</x:v>
      </x:c>
      <x:c r="M39" t="n">
        <x:f>SUMIF('02_КАЛЕНДАРЬ'!$B$5:$B$369,M$3,'02_КАЛЕНДАРЬ'!$U$5:$U$369)</x:f>
        <x:v>300</x:v>
      </x:c>
      <x:c r="N39" t="n">
        <x:f>SUMIF('02_КАЛЕНДАРЬ'!$B$5:$B$369,N$3,'02_КАЛЕНДАРЬ'!$U$5:$U$369)</x:f>
        <x:v>310</x:v>
      </x:c>
      <x:c r="O39" t="n">
        <x:f>SUMIF('02_КАЛЕНДАРЬ'!$B$5:$B$369,O$3,'02_КАЛЕНДАРЬ'!$U$5:$U$369)</x:f>
        <x:v>310</x:v>
      </x:c>
      <x:c r="P39" t="n">
        <x:f>SUM(D39:O39)</x:f>
        <x:v>3650</x:v>
      </x:c>
      <x:c r="Q39" t="n">
        <x:f>P39/12</x:f>
        <x:v>304.1666666666667</x:v>
      </x:c>
      <x:c r="R39" t="inlineStr">
        <x:is>
          <x:t xml:space="preserve">ужинов</x:t>
        </x:is>
      </x:c>
    </x:row>
    <x:row r="40">
      <x:c r="A40" t="str">
        <x:v>REV.HOTEL.DINNER.CHECK</x:v>
      </x:c>
      <x:c r="B40" t="str">
        <x:v>Кафе — Гостиница: ужины</x:v>
      </x:c>
      <x:c r="C40" t="inlineStr">
        <x:is>
          <x:t xml:space="preserve">Средний чек ужина</x:t>
        </x:is>
      </x:c>
      <x:c r="D40" t="n">
        <x:f>'01_ВВОД'!$D$121</x:f>
        <x:v>1000</x:v>
      </x:c>
      <x:c r="E40" t="n">
        <x:f>'01_ВВОД'!$D$121</x:f>
        <x:v>1000</x:v>
      </x:c>
      <x:c r="F40" t="n">
        <x:f>'01_ВВОД'!$D$121</x:f>
        <x:v>1000</x:v>
      </x:c>
      <x:c r="G40" t="n">
        <x:f>'01_ВВОД'!$D$121</x:f>
        <x:v>1000</x:v>
      </x:c>
      <x:c r="H40" t="n">
        <x:f>'01_ВВОД'!$D$121</x:f>
        <x:v>1000</x:v>
      </x:c>
      <x:c r="I40" t="n">
        <x:f>'01_ВВОД'!$D$121</x:f>
        <x:v>1000</x:v>
      </x:c>
      <x:c r="J40" t="n">
        <x:f>'01_ВВОД'!$D$121</x:f>
        <x:v>1000</x:v>
      </x:c>
      <x:c r="K40" t="n">
        <x:f>'01_ВВОД'!$D$121</x:f>
        <x:v>1000</x:v>
      </x:c>
      <x:c r="L40" t="n">
        <x:f>'01_ВВОД'!$D$121</x:f>
        <x:v>1000</x:v>
      </x:c>
      <x:c r="M40" t="n">
        <x:f>'01_ВВОД'!$D$121</x:f>
        <x:v>1000</x:v>
      </x:c>
      <x:c r="N40" t="n">
        <x:f>'01_ВВОД'!$D$121</x:f>
        <x:v>1000</x:v>
      </x:c>
      <x:c r="O40" t="n">
        <x:f>'01_ВВОД'!$D$121</x:f>
        <x:v>1000</x:v>
      </x:c>
      <x:c r="P40" t="n">
        <x:f>AVERAGE(D40:O40)</x:f>
        <x:v>1000</x:v>
      </x:c>
      <x:c r="Q40" t="n">
        <x:f>P40</x:f>
        <x:v>1000</x:v>
      </x:c>
      <x:c r="R40" t="inlineStr">
        <x:is>
          <x:t xml:space="preserve">руб./ужин</x:t>
        </x:is>
      </x:c>
    </x:row>
    <x:row r="41">
      <x:c r="A41" t="str">
        <x:v>REV.HOTEL.DINNER</x:v>
      </x:c>
      <x:c r="B41" t="str">
        <x:v>Кафе — Гостиница: ужины</x:v>
      </x:c>
      <x:c r="C41" t="inlineStr">
        <x:is>
          <x:t xml:space="preserve">Доходы ужинов гостиницы</x:t>
        </x:is>
      </x:c>
      <x:c r="D41" t="n">
        <x:f>D39*D40</x:f>
        <x:v>300000</x:v>
      </x:c>
      <x:c r="E41" t="n">
        <x:f>E39*E40</x:f>
        <x:v>310000</x:v>
      </x:c>
      <x:c r="F41" t="n">
        <x:f>F39*F40</x:f>
        <x:v>300000</x:v>
      </x:c>
      <x:c r="G41" t="n">
        <x:f>G39*G40</x:f>
        <x:v>310000</x:v>
      </x:c>
      <x:c r="H41" t="n">
        <x:f>H39*H40</x:f>
        <x:v>310000</x:v>
      </x:c>
      <x:c r="I41" t="n">
        <x:f>I39*I40</x:f>
        <x:v>280000</x:v>
      </x:c>
      <x:c r="J41" t="n">
        <x:f>J39*J40</x:f>
        <x:v>310000</x:v>
      </x:c>
      <x:c r="K41" t="n">
        <x:f>K39*K40</x:f>
        <x:v>300000</x:v>
      </x:c>
      <x:c r="L41" t="n">
        <x:f>L39*L40</x:f>
        <x:v>310000</x:v>
      </x:c>
      <x:c r="M41" t="n">
        <x:f>M39*M40</x:f>
        <x:v>300000</x:v>
      </x:c>
      <x:c r="N41" t="n">
        <x:f>N39*N40</x:f>
        <x:v>310000</x:v>
      </x:c>
      <x:c r="O41" t="n">
        <x:f>O39*O40</x:f>
        <x:v>310000</x:v>
      </x:c>
      <x:c r="P41" t="n">
        <x:f>SUM(D41:O41)</x:f>
        <x:v>3650000</x:v>
      </x:c>
      <x:c r="Q41" t="n">
        <x:f>P41/12</x:f>
        <x:v>304166.6666666667</x:v>
      </x:c>
      <x:c r="R41" t="inlineStr">
        <x:is>
          <x:t xml:space="preserve">руб.</x:t>
        </x:is>
      </x:c>
    </x:row>
    <x:row r="43">
      <x:c r="A43" t="str">
        <x:v>НАПРАВЛЕНИЕ КОФЕ&amp;ЧАЙ — ТОЛЬКО НАПИТОК БАРИСТА</x:v>
      </x:c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>
      <x:c r="A44" t="str">
        <x:v>REV.COFFEE_TEA.QTY</x:v>
      </x:c>
      <x:c r="B44" t="str">
        <x:v>Кафе — КОФЕ&amp;ЧАЙ</x:v>
      </x:c>
      <x:c r="C44" t="str">
        <x:v>Напитки бариста</x:v>
      </x:c>
      <x:c r="D44" t="n">
        <x:f>SUMIF('02_КАЛЕНДАРЬ'!$B$5:$B$369,D$3,'02_КАЛЕНДАРЬ'!$V$5:$V$369)</x:f>
        <x:v>1566</x:v>
      </x:c>
      <x:c r="E44" t="n">
        <x:f>SUMIF('02_КАЛЕНДАРЬ'!$B$5:$B$369,E$3,'02_КАЛЕНДАРЬ'!$V$5:$V$369)</x:f>
        <x:v>1627</x:v>
      </x:c>
      <x:c r="F44" t="n">
        <x:f>SUMIF('02_КАЛЕНДАРЬ'!$B$5:$B$369,F$3,'02_КАЛЕНДАРЬ'!$V$5:$V$369)</x:f>
        <x:v>1442</x:v>
      </x:c>
      <x:c r="G44" t="n">
        <x:f>SUMIF('02_КАЛЕНДАРЬ'!$B$5:$B$369,G$3,'02_КАЛЕНДАРЬ'!$V$5:$V$369)</x:f>
        <x:v>1484</x:v>
      </x:c>
      <x:c r="H44" t="n">
        <x:f>SUMIF('02_КАЛЕНДАРЬ'!$B$5:$B$369,H$3,'02_КАЛЕНДАРЬ'!$V$5:$V$369)</x:f>
        <x:v>1456</x:v>
      </x:c>
      <x:c r="I44" t="n">
        <x:f>SUMIF('02_КАЛЕНДАРЬ'!$B$5:$B$369,I$3,'02_КАЛЕНДАРЬ'!$V$5:$V$369)</x:f>
        <x:v>1341</x:v>
      </x:c>
      <x:c r="J44" t="n">
        <x:f>SUMIF('02_КАЛЕНДАРЬ'!$B$5:$B$369,J$3,'02_КАЛЕНДАРЬ'!$V$5:$V$369)</x:f>
        <x:v>1475</x:v>
      </x:c>
      <x:c r="K44" t="n">
        <x:f>SUMIF('02_КАЛЕНДАРЬ'!$B$5:$B$369,K$3,'02_КАЛЕНДАРЬ'!$V$5:$V$369)</x:f>
        <x:v>1454</x:v>
      </x:c>
      <x:c r="L44" t="n">
        <x:f>SUMIF('02_КАЛЕНДАРЬ'!$B$5:$B$369,L$3,'02_КАЛЕНДАРЬ'!$V$5:$V$369)</x:f>
        <x:v>1489</x:v>
      </x:c>
      <x:c r="M44" t="n">
        <x:f>SUMIF('02_КАЛЕНДАРЬ'!$B$5:$B$369,M$3,'02_КАЛЕНДАРЬ'!$V$5:$V$369)</x:f>
        <x:v>1429</x:v>
      </x:c>
      <x:c r="N44" t="n">
        <x:f>SUMIF('02_КАЛЕНДАРЬ'!$B$5:$B$369,N$3,'02_КАЛЕНДАРЬ'!$V$5:$V$369)</x:f>
        <x:v>1509</x:v>
      </x:c>
      <x:c r="O44" t="n">
        <x:f>SUMIF('02_КАЛЕНДАРЬ'!$B$5:$B$369,O$3,'02_КАЛЕНДАРЬ'!$V$5:$V$369)</x:f>
        <x:v>1480</x:v>
      </x:c>
      <x:c r="P44" t="n">
        <x:f>SUM(D44:O44)</x:f>
        <x:v>17752</x:v>
      </x:c>
      <x:c r="Q44" t="n">
        <x:f>P44/12</x:f>
        <x:v>1479.3333333333333</x:v>
      </x:c>
      <x:c r="R44" t="str">
        <x:v>напитков</x:v>
      </x:c>
    </x:row>
    <x:row r="45">
      <x:c r="A45" t="str">
        <x:v>REV.COFFEE_TEA.CHECK</x:v>
      </x:c>
      <x:c r="B45" t="str">
        <x:v>Кафе — КОФЕ&amp;ЧАЙ</x:v>
      </x:c>
      <x:c r="C45" t="str">
        <x:v>Средний чек напитка</x:v>
      </x:c>
      <x:c r="D45" t="n">
        <x:f>'01_ВВОД'!$D$128</x:f>
        <x:v>300</x:v>
      </x:c>
      <x:c r="E45" t="n">
        <x:f>'01_ВВОД'!$D$128</x:f>
        <x:v>300</x:v>
      </x:c>
      <x:c r="F45" t="n">
        <x:f>'01_ВВОД'!$D$128</x:f>
        <x:v>300</x:v>
      </x:c>
      <x:c r="G45" t="n">
        <x:f>'01_ВВОД'!$D$128</x:f>
        <x:v>300</x:v>
      </x:c>
      <x:c r="H45" t="n">
        <x:f>'01_ВВОД'!$D$128</x:f>
        <x:v>300</x:v>
      </x:c>
      <x:c r="I45" t="n">
        <x:f>'01_ВВОД'!$D$128</x:f>
        <x:v>300</x:v>
      </x:c>
      <x:c r="J45" t="n">
        <x:f>'01_ВВОД'!$D$128</x:f>
        <x:v>300</x:v>
      </x:c>
      <x:c r="K45" t="n">
        <x:f>'01_ВВОД'!$D$128</x:f>
        <x:v>300</x:v>
      </x:c>
      <x:c r="L45" t="n">
        <x:f>'01_ВВОД'!$D$128</x:f>
        <x:v>300</x:v>
      </x:c>
      <x:c r="M45" t="n">
        <x:f>'01_ВВОД'!$D$128</x:f>
        <x:v>300</x:v>
      </x:c>
      <x:c r="N45" t="n">
        <x:f>'01_ВВОД'!$D$128</x:f>
        <x:v>300</x:v>
      </x:c>
      <x:c r="O45" t="n">
        <x:f>'01_ВВОД'!$D$128</x:f>
        <x:v>300</x:v>
      </x:c>
      <x:c r="P45" t="n">
        <x:f>AVERAGE(D45:O45)</x:f>
        <x:v>300</x:v>
      </x:c>
      <x:c r="Q45" t="n">
        <x:f>P45</x:f>
        <x:v>300</x:v>
      </x:c>
      <x:c r="R45" t="str">
        <x:v>руб./напиток</x:v>
      </x:c>
    </x:row>
    <x:row r="46">
      <x:c r="A46" t="str">
        <x:v>REV.COFFEE_TEA</x:v>
      </x:c>
      <x:c r="B46" t="str">
        <x:v>Кафе — КОФЕ&amp;ЧАЙ</x:v>
      </x:c>
      <x:c r="C46" t="str">
        <x:v>Доходы КОФЕ&amp;ЧАЙ</x:v>
      </x:c>
      <x:c r="D46" t="n">
        <x:f>D44*D45</x:f>
        <x:v>469800</x:v>
      </x:c>
      <x:c r="E46" t="n">
        <x:f>E44*E45</x:f>
        <x:v>488100</x:v>
      </x:c>
      <x:c r="F46" t="n">
        <x:f>F44*F45</x:f>
        <x:v>432600</x:v>
      </x:c>
      <x:c r="G46" t="n">
        <x:f>G44*G45</x:f>
        <x:v>445200</x:v>
      </x:c>
      <x:c r="H46" t="n">
        <x:f>H44*H45</x:f>
        <x:v>436800</x:v>
      </x:c>
      <x:c r="I46" t="n">
        <x:f>I44*I45</x:f>
        <x:v>402300</x:v>
      </x:c>
      <x:c r="J46" t="n">
        <x:f>J44*J45</x:f>
        <x:v>442500</x:v>
      </x:c>
      <x:c r="K46" t="n">
        <x:f>K44*K45</x:f>
        <x:v>436200</x:v>
      </x:c>
      <x:c r="L46" t="n">
        <x:f>L44*L45</x:f>
        <x:v>446700</x:v>
      </x:c>
      <x:c r="M46" t="n">
        <x:f>M44*M45</x:f>
        <x:v>428700</x:v>
      </x:c>
      <x:c r="N46" t="n">
        <x:f>N44*N45</x:f>
        <x:v>452700</x:v>
      </x:c>
      <x:c r="O46" t="n">
        <x:f>O44*O45</x:f>
        <x:v>444000</x:v>
      </x:c>
      <x:c r="P46" t="n">
        <x:f>SUM(D46:O46)</x:f>
        <x:v>5325600</x:v>
      </x:c>
      <x:c r="Q46" t="n">
        <x:f>P46/12</x:f>
        <x:v>443800</x:v>
      </x:c>
      <x:c r="R46" t="str">
        <x:v>руб.</x:v>
      </x:c>
    </x:row>
  </x:sheetData>
  <x:mergeCells>
    <x:mergeCell ref="A2:R2"/>
    <x:mergeCell ref="A28:R28"/>
    <x:mergeCell ref="A32:R32"/>
    <x:mergeCell ref="A1:R1"/>
    <x:mergeCell ref="A5:R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style="174" customWidth="1"/>
    <x:col min="2" max="2" width="22" style="174" customWidth="1"/>
    <x:col min="3" max="3" width="42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2" style="174" customWidth="1"/>
  </x:cols>
  <x:sheetData>
    <x:row r="1" s="174" customFormat="1" ht="28" customHeight="1">
      <x:c r="A1" s="9" t="inlineStr">
        <x:is>
          <x:t xml:space="preserve">Себестоимость и прямые переменные расходы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Себестоимость кафе рассчитана по направлениям; упаковка, доставщик и эквайринг показаны отдельно. Списания и инвентаризационные расхождения — редактируемые рабочие резервы.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КАФЕ: СЕБЕСТОИМОСТЬ ПРОДУКТОВ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COGS.ALA.REV</x:t>
        </x:is>
      </x:c>
      <x:c r="B6" s="52" t="inlineStr">
        <x:is>
          <x:t xml:space="preserve">А-ля карт</x:t>
        </x:is>
      </x:c>
      <x:c r="C6" s="52" t="inlineStr">
        <x:is>
          <x:t xml:space="preserve">Доходы</x:t>
        </x:is>
      </x:c>
      <x:c r="D6" s="188" t="n">
        <x:f>'03_ДОХОДЫ'!D8</x:f>
        <x:v>1356000</x:v>
      </x:c>
      <x:c r="E6" s="188" t="n">
        <x:f>'03_ДОХОДЫ'!E8</x:f>
        <x:v>1449000</x:v>
      </x:c>
      <x:c r="F6" s="188" t="n">
        <x:f>'03_ДОХОДЫ'!F8</x:f>
        <x:v>1188800.0000000002</x:v>
      </x:c>
      <x:c r="G6" s="188" t="n">
        <x:f>'03_ДОХОДЫ'!G8</x:f>
        <x:v>1162800</x:v>
      </x:c>
      <x:c r="H6" s="188" t="n">
        <x:f>'03_ДОХОДЫ'!H8</x:f>
        <x:v>1385400</x:v>
      </x:c>
      <x:c r="I6" s="188" t="n">
        <x:f>'03_ДОХОДЫ'!I8</x:f>
        <x:v>1086800</x:v>
      </x:c>
      <x:c r="J6" s="188" t="n">
        <x:f>'03_ДОХОДЫ'!J8</x:f>
        <x:v>1144400</x:v>
      </x:c>
      <x:c r="K6" s="188" t="n">
        <x:f>'03_ДОХОДЫ'!K8</x:f>
        <x:v>1133800</x:v>
      </x:c>
      <x:c r="L6" s="188" t="n">
        <x:f>'03_ДОХОДЫ'!L8</x:f>
        <x:v>1212800</x:v>
      </x:c>
      <x:c r="M6" s="188" t="n">
        <x:f>'03_ДОХОДЫ'!M8</x:f>
        <x:v>1082800</x:v>
      </x:c>
      <x:c r="N6" s="188" t="n">
        <x:f>'03_ДОХОДЫ'!N8</x:f>
        <x:v>1213800.0000000002</x:v>
      </x:c>
      <x:c r="O6" s="188" t="n">
        <x:f>'03_ДОХОДЫ'!O8</x:f>
        <x:v>1154800</x:v>
      </x:c>
      <x:c r="P6" s="188" t="n">
        <x:f>SUM(D6:O6)</x:f>
        <x:v>14571200</x:v>
      </x:c>
      <x:c r="Q6" s="188" t="n">
        <x:f>P6/12</x:f>
        <x:v>1214266.6666666667</x:v>
      </x:c>
      <x:c r="R6" s="52" t="inlineStr">
        <x:is>
          <x:t xml:space="preserve">руб.</x:t>
        </x:is>
      </x:c>
    </x:row>
    <x:row r="7">
      <x:c r="A7" s="52" t="inlineStr">
        <x:is>
          <x:t xml:space="preserve">COGS.ALA</x:t>
        </x:is>
      </x:c>
      <x:c r="B7" s="52" t="inlineStr">
        <x:is>
          <x:t xml:space="preserve">А-ля карт</x:t>
        </x:is>
      </x:c>
      <x:c r="C7" s="52" t="inlineStr">
        <x:is>
          <x:t xml:space="preserve">Food cost 30%</x:t>
        </x:is>
      </x:c>
      <x:c r="D7" s="188" t="n">
        <x:f>D6*'01_ВВОД'!$D$24</x:f>
        <x:v>406800</x:v>
      </x:c>
      <x:c r="E7" s="188" t="n">
        <x:f>E6*'01_ВВОД'!$D$24</x:f>
        <x:v>434700</x:v>
      </x:c>
      <x:c r="F7" s="188" t="n">
        <x:f>F6*'01_ВВОД'!$D$24</x:f>
        <x:v>356640.00000000006</x:v>
      </x:c>
      <x:c r="G7" s="188" t="n">
        <x:f>G6*'01_ВВОД'!$D$24</x:f>
        <x:v>348840</x:v>
      </x:c>
      <x:c r="H7" s="188" t="n">
        <x:f>H6*'01_ВВОД'!$D$24</x:f>
        <x:v>415620</x:v>
      </x:c>
      <x:c r="I7" s="188" t="n">
        <x:f>I6*'01_ВВОД'!$D$24</x:f>
        <x:v>326040</x:v>
      </x:c>
      <x:c r="J7" s="188" t="n">
        <x:f>J6*'01_ВВОД'!$D$24</x:f>
        <x:v>343320</x:v>
      </x:c>
      <x:c r="K7" s="188" t="n">
        <x:f>K6*'01_ВВОД'!$D$24</x:f>
        <x:v>340140</x:v>
      </x:c>
      <x:c r="L7" s="188" t="n">
        <x:f>L6*'01_ВВОД'!$D$24</x:f>
        <x:v>363840</x:v>
      </x:c>
      <x:c r="M7" s="188" t="n">
        <x:f>M6*'01_ВВОД'!$D$24</x:f>
        <x:v>324840</x:v>
      </x:c>
      <x:c r="N7" s="188" t="n">
        <x:f>N6*'01_ВВОД'!$D$24</x:f>
        <x:v>364140.00000000006</x:v>
      </x:c>
      <x:c r="O7" s="188" t="n">
        <x:f>O6*'01_ВВОД'!$D$24</x:f>
        <x:v>346440</x:v>
      </x:c>
      <x:c r="P7" s="188" t="n">
        <x:f>SUM(D7:O7)</x:f>
        <x:v>4371360</x:v>
      </x:c>
      <x:c r="Q7" s="188" t="n">
        <x:f>P7/12</x:f>
        <x:v>364280</x:v>
      </x:c>
      <x:c r="R7" s="52" t="inlineStr">
        <x:is>
          <x:t xml:space="preserve">руб.</x:t>
        </x:is>
      </x:c>
    </x:row>
    <x:row r="8">
      <x:c r="A8" s="52" t="inlineStr">
        <x:is>
          <x:t xml:space="preserve">COGS.LUNCH.REV</x:t>
        </x:is>
      </x:c>
      <x:c r="B8" s="52" t="inlineStr">
        <x:is>
          <x:t xml:space="preserve">Бизнес-ланч</x:t>
        </x:is>
      </x:c>
      <x:c r="C8" s="52" t="inlineStr">
        <x:is>
          <x:t xml:space="preserve">Доходы</x:t>
        </x:is>
      </x:c>
      <x:c r="D8" s="188" t="n">
        <x:f>'03_ДОХОДЫ'!D12</x:f>
        <x:v>660000</x:v>
      </x:c>
      <x:c r="E8" s="188" t="n">
        <x:f>'03_ДОХОДЫ'!E12</x:f>
        <x:v>660000</x:v>
      </x:c>
      <x:c r="F8" s="188" t="n">
        <x:f>'03_ДОХОДЫ'!F12</x:f>
        <x:v>600000</x:v>
      </x:c>
      <x:c r="G8" s="188" t="n">
        <x:f>'03_ДОХОДЫ'!G12</x:f>
        <x:v>660000</x:v>
      </x:c>
      <x:c r="H8" s="188" t="n">
        <x:f>'03_ДОХОДЫ'!H12</x:f>
        <x:v>450000</x:v>
      </x:c>
      <x:c r="I8" s="188" t="n">
        <x:f>'03_ДОХОДЫ'!I12</x:f>
        <x:v>570000</x:v>
      </x:c>
      <x:c r="J8" s="188" t="n">
        <x:f>'03_ДОХОДЫ'!J12</x:f>
        <x:v>660000</x:v>
      </x:c>
      <x:c r="K8" s="188" t="n">
        <x:f>'03_ДОХОДЫ'!K12</x:f>
        <x:v>660000</x:v>
      </x:c>
      <x:c r="L8" s="188" t="n">
        <x:f>'03_ДОХОДЫ'!L12</x:f>
        <x:v>630000</x:v>
      </x:c>
      <x:c r="M8" s="188" t="n">
        <x:f>'03_ДОХОДЫ'!M12</x:f>
        <x:v>660000</x:v>
      </x:c>
      <x:c r="N8" s="188" t="n">
        <x:f>'03_ДОХОДЫ'!N12</x:f>
        <x:v>660000</x:v>
      </x:c>
      <x:c r="O8" s="188" t="n">
        <x:f>'03_ДОХОДЫ'!O12</x:f>
        <x:v>660000</x:v>
      </x:c>
      <x:c r="P8" s="188" t="n">
        <x:f>SUM(D8:O8)</x:f>
        <x:v>7530000</x:v>
      </x:c>
      <x:c r="Q8" s="188" t="n">
        <x:f>P8/12</x:f>
        <x:v>627500</x:v>
      </x:c>
      <x:c r="R8" s="52" t="inlineStr">
        <x:is>
          <x:t xml:space="preserve">руб.</x:t>
        </x:is>
      </x:c>
    </x:row>
    <x:row r="9">
      <x:c r="A9" s="52" t="inlineStr">
        <x:is>
          <x:t xml:space="preserve">COGS.LUNCH</x:t>
        </x:is>
      </x:c>
      <x:c r="B9" s="52" t="inlineStr">
        <x:is>
          <x:t xml:space="preserve">Бизнес-ланч</x:t>
        </x:is>
      </x:c>
      <x:c r="C9" s="52" t="inlineStr">
        <x:is>
          <x:t xml:space="preserve">Эффективный food cost</x:t>
        </x:is>
      </x:c>
      <x:c r="D9" s="188" t="n">
        <x:f>D8*'01_ВВОД'!$D$29</x:f>
        <x:v>264000</x:v>
      </x:c>
      <x:c r="E9" s="188" t="n">
        <x:f>E8*'01_ВВОД'!$D$29</x:f>
        <x:v>264000</x:v>
      </x:c>
      <x:c r="F9" s="188" t="n">
        <x:f>F8*'01_ВВОД'!$D$29</x:f>
        <x:v>239999.99999999997</x:v>
      </x:c>
      <x:c r="G9" s="188" t="n">
        <x:f>G8*'01_ВВОД'!$D$29</x:f>
        <x:v>264000</x:v>
      </x:c>
      <x:c r="H9" s="188" t="n">
        <x:f>H8*'01_ВВОД'!$D$29</x:f>
        <x:v>179999.99999999997</x:v>
      </x:c>
      <x:c r="I9" s="188" t="n">
        <x:f>I8*'01_ВВОД'!$D$29</x:f>
        <x:v>227999.99999999997</x:v>
      </x:c>
      <x:c r="J9" s="188" t="n">
        <x:f>J8*'01_ВВОД'!$D$29</x:f>
        <x:v>264000</x:v>
      </x:c>
      <x:c r="K9" s="188" t="n">
        <x:f>K8*'01_ВВОД'!$D$29</x:f>
        <x:v>264000</x:v>
      </x:c>
      <x:c r="L9" s="188" t="n">
        <x:f>L8*'01_ВВОД'!$D$29</x:f>
        <x:v>251999.99999999997</x:v>
      </x:c>
      <x:c r="M9" s="188" t="n">
        <x:f>M8*'01_ВВОД'!$D$29</x:f>
        <x:v>264000</x:v>
      </x:c>
      <x:c r="N9" s="188" t="n">
        <x:f>N8*'01_ВВОД'!$D$29</x:f>
        <x:v>264000</x:v>
      </x:c>
      <x:c r="O9" s="188" t="n">
        <x:f>O8*'01_ВВОД'!$D$29</x:f>
        <x:v>264000</x:v>
      </x:c>
      <x:c r="P9" s="188" t="n">
        <x:f>SUM(D9:O9)</x:f>
        <x:v>3012000</x:v>
      </x:c>
      <x:c r="Q9" s="188" t="n">
        <x:f>P9/12</x:f>
        <x:v>251000</x:v>
      </x:c>
      <x:c r="R9" s="52" t="inlineStr">
        <x:is>
          <x:t xml:space="preserve">руб.</x:t>
        </x:is>
      </x:c>
    </x:row>
    <x:row r="10">
      <x:c r="A10" s="52" t="inlineStr">
        <x:is>
          <x:t xml:space="preserve">COGS.DEL.REV</x:t>
        </x:is>
      </x:c>
      <x:c r="B10" s="52" t="inlineStr">
        <x:is>
          <x:t xml:space="preserve">Доставка</x:t>
        </x:is>
      </x:c>
      <x:c r="C10" s="52" t="inlineStr">
        <x:is>
          <x:t xml:space="preserve">Доходы</x:t>
        </x:is>
      </x:c>
      <x:c r="D10" s="188" t="n">
        <x:f>'03_ДОХОДЫ'!D16</x:f>
        <x:v>684000</x:v>
      </x:c>
      <x:c r="E10" s="188" t="n">
        <x:f>'03_ДОХОДЫ'!E16</x:f>
        <x:v>720000</x:v>
      </x:c>
      <x:c r="F10" s="188" t="n">
        <x:f>'03_ДОХОДЫ'!F16</x:f>
        <x:v>720000</x:v>
      </x:c>
      <x:c r="G10" s="188" t="n">
        <x:f>'03_ДОХОДЫ'!G16</x:f>
        <x:v>720000</x:v>
      </x:c>
      <x:c r="H10" s="188" t="n">
        <x:f>'03_ДОХОДЫ'!H16</x:f>
        <x:v>846000</x:v>
      </x:c>
      <x:c r="I10" s="188" t="n">
        <x:f>'03_ДОХОДЫ'!I16</x:f>
        <x:v>666000</x:v>
      </x:c>
      <x:c r="J10" s="188" t="n">
        <x:f>'03_ДОХОДЫ'!J16</x:f>
        <x:v>720000</x:v>
      </x:c>
      <x:c r="K10" s="188" t="n">
        <x:f>'03_ДОХОДЫ'!K16</x:f>
        <x:v>684000</x:v>
      </x:c>
      <x:c r="L10" s="188" t="n">
        <x:f>'03_ДОХОДЫ'!L16</x:f>
        <x:v>738000</x:v>
      </x:c>
      <x:c r="M10" s="188" t="n">
        <x:f>'03_ДОХОДЫ'!M16</x:f>
        <x:v>684000</x:v>
      </x:c>
      <x:c r="N10" s="188" t="n">
        <x:f>'03_ДОХОДЫ'!N16</x:f>
        <x:v>720000</x:v>
      </x:c>
      <x:c r="O10" s="188" t="n">
        <x:f>'03_ДОХОДЫ'!O16</x:f>
        <x:v>720000</x:v>
      </x:c>
      <x:c r="P10" s="188" t="n">
        <x:f>SUM(D10:O10)</x:f>
        <x:v>8622000</x:v>
      </x:c>
      <x:c r="Q10" s="188" t="n">
        <x:f>P10/12</x:f>
        <x:v>718500</x:v>
      </x:c>
      <x:c r="R10" s="52" t="inlineStr">
        <x:is>
          <x:t xml:space="preserve">руб.</x:t>
        </x:is>
      </x:c>
    </x:row>
    <x:row r="11">
      <x:c r="A11" s="52" t="inlineStr">
        <x:is>
          <x:t xml:space="preserve">COGS.DEL</x:t>
        </x:is>
      </x:c>
      <x:c r="B11" s="52" t="inlineStr">
        <x:is>
          <x:t xml:space="preserve">Доставка</x:t>
        </x:is>
      </x:c>
      <x:c r="C11" s="52" t="inlineStr">
        <x:is>
          <x:t xml:space="preserve">Food cost 30%</x:t>
        </x:is>
      </x:c>
      <x:c r="D11" s="188" t="n">
        <x:f>D10*'01_ВВОД'!$D$35</x:f>
        <x:v>205200</x:v>
      </x:c>
      <x:c r="E11" s="188" t="n">
        <x:f>E10*'01_ВВОД'!$D$35</x:f>
        <x:v>216000</x:v>
      </x:c>
      <x:c r="F11" s="188" t="n">
        <x:f>F10*'01_ВВОД'!$D$35</x:f>
        <x:v>216000</x:v>
      </x:c>
      <x:c r="G11" s="188" t="n">
        <x:f>G10*'01_ВВОД'!$D$35</x:f>
        <x:v>216000</x:v>
      </x:c>
      <x:c r="H11" s="188" t="n">
        <x:f>H10*'01_ВВОД'!$D$35</x:f>
        <x:v>253800</x:v>
      </x:c>
      <x:c r="I11" s="188" t="n">
        <x:f>I10*'01_ВВОД'!$D$35</x:f>
        <x:v>199800</x:v>
      </x:c>
      <x:c r="J11" s="188" t="n">
        <x:f>J10*'01_ВВОД'!$D$35</x:f>
        <x:v>216000</x:v>
      </x:c>
      <x:c r="K11" s="188" t="n">
        <x:f>K10*'01_ВВОД'!$D$35</x:f>
        <x:v>205200</x:v>
      </x:c>
      <x:c r="L11" s="188" t="n">
        <x:f>L10*'01_ВВОД'!$D$35</x:f>
        <x:v>221400</x:v>
      </x:c>
      <x:c r="M11" s="188" t="n">
        <x:f>M10*'01_ВВОД'!$D$35</x:f>
        <x:v>205200</x:v>
      </x:c>
      <x:c r="N11" s="188" t="n">
        <x:f>N10*'01_ВВОД'!$D$35</x:f>
        <x:v>216000</x:v>
      </x:c>
      <x:c r="O11" s="188" t="n">
        <x:f>O10*'01_ВВОД'!$D$35</x:f>
        <x:v>216000</x:v>
      </x:c>
      <x:c r="P11" s="188" t="n">
        <x:f>SUM(D11:O11)</x:f>
        <x:v>2586600</x:v>
      </x:c>
      <x:c r="Q11" s="188" t="n">
        <x:f>P11/12</x:f>
        <x:v>215550</x:v>
      </x:c>
      <x:c r="R11" s="52" t="inlineStr">
        <x:is>
          <x:t xml:space="preserve">руб.</x:t>
        </x:is>
      </x:c>
    </x:row>
    <x:row r="12">
      <x:c r="A12" s="52" t="inlineStr">
        <x:is>
          <x:t xml:space="preserve">COGS.PICK.REV</x:t>
        </x:is>
      </x:c>
      <x:c r="B12" s="52" t="inlineStr">
        <x:is>
          <x:t xml:space="preserve">Самовывоз</x:t>
        </x:is>
      </x:c>
      <x:c r="C12" s="52" t="inlineStr">
        <x:is>
          <x:t xml:space="preserve">Доходы</x:t>
        </x:is>
      </x:c>
      <x:c r="D12" s="188" t="n">
        <x:f>'03_ДОХОДЫ'!D20</x:f>
        <x:v>144000</x:v>
      </x:c>
      <x:c r="E12" s="188" t="n">
        <x:f>'03_ДОХОДЫ'!E20</x:f>
        <x:v>148800</x:v>
      </x:c>
      <x:c r="F12" s="188" t="n">
        <x:f>'03_ДОХОДЫ'!F20</x:f>
        <x:v>144000</x:v>
      </x:c>
      <x:c r="G12" s="188" t="n">
        <x:f>'03_ДОХОДЫ'!G20</x:f>
        <x:v>148800</x:v>
      </x:c>
      <x:c r="H12" s="188" t="n">
        <x:f>'03_ДОХОДЫ'!H20</x:f>
        <x:v>148800</x:v>
      </x:c>
      <x:c r="I12" s="188" t="n">
        <x:f>'03_ДОХОДЫ'!I20</x:f>
        <x:v>134400</x:v>
      </x:c>
      <x:c r="J12" s="188" t="n">
        <x:f>'03_ДОХОДЫ'!J20</x:f>
        <x:v>148800</x:v>
      </x:c>
      <x:c r="K12" s="188" t="n">
        <x:f>'03_ДОХОДЫ'!K20</x:f>
        <x:v>144000</x:v>
      </x:c>
      <x:c r="L12" s="188" t="n">
        <x:f>'03_ДОХОДЫ'!L20</x:f>
        <x:v>148800</x:v>
      </x:c>
      <x:c r="M12" s="188" t="n">
        <x:f>'03_ДОХОДЫ'!M20</x:f>
        <x:v>144000</x:v>
      </x:c>
      <x:c r="N12" s="188" t="n">
        <x:f>'03_ДОХОДЫ'!N20</x:f>
        <x:v>148800</x:v>
      </x:c>
      <x:c r="O12" s="188" t="n">
        <x:f>'03_ДОХОДЫ'!O20</x:f>
        <x:v>148800</x:v>
      </x:c>
      <x:c r="P12" s="188" t="n">
        <x:f>SUM(D12:O12)</x:f>
        <x:v>1752000</x:v>
      </x:c>
      <x:c r="Q12" s="188" t="n">
        <x:f>P12/12</x:f>
        <x:v>146000</x:v>
      </x:c>
      <x:c r="R12" s="52" t="inlineStr">
        <x:is>
          <x:t xml:space="preserve">руб.</x:t>
        </x:is>
      </x:c>
    </x:row>
    <x:row r="13">
      <x:c r="A13" s="52" t="inlineStr">
        <x:is>
          <x:t xml:space="preserve">COGS.PICK</x:t>
        </x:is>
      </x:c>
      <x:c r="B13" s="52" t="inlineStr">
        <x:is>
          <x:t xml:space="preserve">Самовывоз</x:t>
        </x:is>
      </x:c>
      <x:c r="C13" s="52" t="inlineStr">
        <x:is>
          <x:t xml:space="preserve">Эффективный food cost</x:t>
        </x:is>
      </x:c>
      <x:c r="D13" s="188" t="n">
        <x:f>D12*'01_ВВОД'!$D$42</x:f>
        <x:v>61714.28571428572</x:v>
      </x:c>
      <x:c r="E13" s="188" t="n">
        <x:f>E12*'01_ВВОД'!$D$42</x:f>
        <x:v>63771.42857142858</x:v>
      </x:c>
      <x:c r="F13" s="188" t="n">
        <x:f>F12*'01_ВВОД'!$D$42</x:f>
        <x:v>61714.28571428572</x:v>
      </x:c>
      <x:c r="G13" s="188" t="n">
        <x:f>G12*'01_ВВОД'!$D$42</x:f>
        <x:v>63771.42857142858</x:v>
      </x:c>
      <x:c r="H13" s="188" t="n">
        <x:f>H12*'01_ВВОД'!$D$42</x:f>
        <x:v>63771.42857142858</x:v>
      </x:c>
      <x:c r="I13" s="188" t="n">
        <x:f>I12*'01_ВВОД'!$D$42</x:f>
        <x:v>57600.00000000001</x:v>
      </x:c>
      <x:c r="J13" s="188" t="n">
        <x:f>J12*'01_ВВОД'!$D$42</x:f>
        <x:v>63771.42857142858</x:v>
      </x:c>
      <x:c r="K13" s="188" t="n">
        <x:f>K12*'01_ВВОД'!$D$42</x:f>
        <x:v>61714.28571428572</x:v>
      </x:c>
      <x:c r="L13" s="188" t="n">
        <x:f>L12*'01_ВВОД'!$D$42</x:f>
        <x:v>63771.42857142858</x:v>
      </x:c>
      <x:c r="M13" s="188" t="n">
        <x:f>M12*'01_ВВОД'!$D$42</x:f>
        <x:v>61714.28571428572</x:v>
      </x:c>
      <x:c r="N13" s="188" t="n">
        <x:f>N12*'01_ВВОД'!$D$42</x:f>
        <x:v>63771.42857142858</x:v>
      </x:c>
      <x:c r="O13" s="188" t="n">
        <x:f>O12*'01_ВВОД'!$D$42</x:f>
        <x:v>63771.42857142858</x:v>
      </x:c>
      <x:c r="P13" s="188" t="n">
        <x:f>SUM(D13:O13)</x:f>
        <x:v>750857.142857143</x:v>
      </x:c>
      <x:c r="Q13" s="188" t="n">
        <x:f>P13/12</x:f>
        <x:v>62571.42857142858</x:v>
      </x:c>
      <x:c r="R13" s="52" t="inlineStr">
        <x:is>
          <x:t xml:space="preserve">руб.</x:t>
        </x:is>
      </x:c>
    </x:row>
    <x:row r="14">
      <x:c r="A14" s="52" t="str">
        <x:v>COGS.HOTEL.BREAKFAST.REV</x:v>
      </x:c>
      <x:c r="B14" s="52" t="str">
        <x:v>Гостиница — завтраки</x:v>
      </x:c>
      <x:c r="C14" s="52" t="inlineStr">
        <x:is>
          <x:t xml:space="preserve">Доходы</x:t>
        </x:is>
      </x:c>
      <x:c r="D14" s="188" t="n">
        <x:f>'03_ДОХОДЫ'!D24</x:f>
        <x:v>330000</x:v>
      </x:c>
      <x:c r="E14" s="188" t="n">
        <x:f>'03_ДОХОДЫ'!E24</x:f>
        <x:v>341000</x:v>
      </x:c>
      <x:c r="F14" s="188" t="n">
        <x:f>'03_ДОХОДЫ'!F24</x:f>
        <x:v>330000</x:v>
      </x:c>
      <x:c r="G14" s="188" t="n">
        <x:f>'03_ДОХОДЫ'!G24</x:f>
        <x:v>341000</x:v>
      </x:c>
      <x:c r="H14" s="188" t="n">
        <x:f>'03_ДОХОДЫ'!H24</x:f>
        <x:v>341000</x:v>
      </x:c>
      <x:c r="I14" s="188" t="n">
        <x:f>'03_ДОХОДЫ'!I24</x:f>
        <x:v>308000</x:v>
      </x:c>
      <x:c r="J14" s="188" t="n">
        <x:f>'03_ДОХОДЫ'!J24</x:f>
        <x:v>341000</x:v>
      </x:c>
      <x:c r="K14" s="188" t="n">
        <x:f>'03_ДОХОДЫ'!K24</x:f>
        <x:v>330000</x:v>
      </x:c>
      <x:c r="L14" s="188" t="n">
        <x:f>'03_ДОХОДЫ'!L24</x:f>
        <x:v>341000</x:v>
      </x:c>
      <x:c r="M14" s="188" t="n">
        <x:f>'03_ДОХОДЫ'!M24</x:f>
        <x:v>330000</x:v>
      </x:c>
      <x:c r="N14" s="188" t="n">
        <x:f>'03_ДОХОДЫ'!N24</x:f>
        <x:v>341000</x:v>
      </x:c>
      <x:c r="O14" s="188" t="n">
        <x:f>'03_ДОХОДЫ'!O24</x:f>
        <x:v>341000</x:v>
      </x:c>
      <x:c r="P14" s="188" t="n">
        <x:f>SUM(D14:O14)</x:f>
        <x:v>4015000</x:v>
      </x:c>
      <x:c r="Q14" s="188" t="n">
        <x:f>P14/12</x:f>
        <x:v>334583.3333333333</x:v>
      </x:c>
      <x:c r="R14" s="52" t="inlineStr">
        <x:is>
          <x:t xml:space="preserve">руб.</x:t>
        </x:is>
      </x:c>
    </x:row>
    <x:row r="15">
      <x:c r="A15" s="52" t="str">
        <x:v>COGS.HOTEL.BREAKFAST</x:v>
      </x:c>
      <x:c r="B15" s="52" t="str">
        <x:v>Гостиница — завтраки</x:v>
      </x:c>
      <x:c r="C15" s="52" t="str">
        <x:v>Рецептурный COGS: Кухня + напиток бариста</x:v>
      </x:c>
      <x:c r="D15" s="188" t="n">
        <x:f>'03_ДОХОДЫ'!D22*'01_ВВОД'!$D$142</x:f>
        <x:v>115971.75</x:v>
      </x:c>
      <x:c r="E15" s="188" t="n">
        <x:f>'03_ДОХОДЫ'!E22*'01_ВВОД'!$D$142</x:f>
        <x:v>119837.47499999999</x:v>
      </x:c>
      <x:c r="F15" s="188" t="n">
        <x:f>'03_ДОХОДЫ'!F22*'01_ВВОД'!$D$142</x:f>
        <x:v>115971.75</x:v>
      </x:c>
      <x:c r="G15" s="188" t="n">
        <x:f>'03_ДОХОДЫ'!G22*'01_ВВОД'!$D$142</x:f>
        <x:v>119837.47499999999</x:v>
      </x:c>
      <x:c r="H15" s="188" t="n">
        <x:f>'03_ДОХОДЫ'!H22*'01_ВВОД'!$D$142</x:f>
        <x:v>119837.47499999999</x:v>
      </x:c>
      <x:c r="I15" s="188" t="n">
        <x:f>'03_ДОХОДЫ'!I22*'01_ВВОД'!$D$142</x:f>
        <x:v>108240.3</x:v>
      </x:c>
      <x:c r="J15" s="188" t="n">
        <x:f>'03_ДОХОДЫ'!J22*'01_ВВОД'!$D$142</x:f>
        <x:v>119837.47499999999</x:v>
      </x:c>
      <x:c r="K15" s="188" t="n">
        <x:f>'03_ДОХОДЫ'!K22*'01_ВВОД'!$D$142</x:f>
        <x:v>115971.75</x:v>
      </x:c>
      <x:c r="L15" s="188" t="n">
        <x:f>'03_ДОХОДЫ'!L22*'01_ВВОД'!$D$142</x:f>
        <x:v>119837.47499999999</x:v>
      </x:c>
      <x:c r="M15" s="188" t="n">
        <x:f>'03_ДОХОДЫ'!M22*'01_ВВОД'!$D$142</x:f>
        <x:v>115971.75</x:v>
      </x:c>
      <x:c r="N15" s="188" t="n">
        <x:f>'03_ДОХОДЫ'!N22*'01_ВВОД'!$D$142</x:f>
        <x:v>119837.47499999999</x:v>
      </x:c>
      <x:c r="O15" s="188" t="n">
        <x:f>'03_ДОХОДЫ'!O22*'01_ВВОД'!$D$142</x:f>
        <x:v>119837.47499999999</x:v>
      </x:c>
      <x:c r="P15" s="188" t="n">
        <x:f>SUM(D15:O15)</x:f>
        <x:v>1410989.6250000002</x:v>
      </x:c>
      <x:c r="Q15" s="188" t="n">
        <x:f>P15/12</x:f>
        <x:v>117582.46875000001</x:v>
      </x:c>
      <x:c r="R15" s="52" t="str">
        <x:v>руб.</x:v>
      </x:c>
    </x:row>
    <x:row r="16">
      <x:c r="A16" s="52" t="inlineStr">
        <x:is>
          <x:t xml:space="preserve">COGS.BASE</x:t>
        </x:is>
      </x:c>
      <x:c r="B16" s="52" t="inlineStr">
        <x:is>
          <x:t xml:space="preserve">Кафе</x:t>
        </x:is>
      </x:c>
      <x:c r="C16" s="52" t="inlineStr">
        <x:is>
          <x:t xml:space="preserve">Продуктовая себестоимость до потерь</x:t>
        </x:is>
      </x:c>
      <x:c r="D16" s="188" t="n">
        <x:f>SUM(D7,D9,D11,D13,D15,D42,D45)</x:f>
        <x:v>1237646.0357142857</x:v>
      </x:c>
      <x:c r="E16" s="188" t="n">
        <x:f>SUM(E7,E9,E11,E13,E15,E42,E45)</x:f>
        <x:v>1288928.9035714287</x:v>
      </x:c>
      <x:c r="F16" s="188" t="n">
        <x:f>SUM(F7,F9,F11,F13,F15,F42,F45)</x:f>
        <x:v>1166846.0357142857</x:v>
      </x:c>
      <x:c r="G16" s="188" t="n">
        <x:f>SUM(G7,G9,G11,G13,G15,G42,G45)</x:f>
        <x:v>1194488.9035714287</x:v>
      </x:c>
      <x:c r="H16" s="188" t="n">
        <x:f>SUM(H7,H9,H11,H13,H15,H42,H45)</x:f>
        <x:v>1213388.9035714287</x:v>
      </x:c>
      <x:c r="I16" s="188" t="n">
        <x:f>SUM(I7,I9,I11,I13,I15,I42,I45)</x:f>
        <x:v>1084140.3</x:v>
      </x:c>
      <x:c r="J16" s="188" t="n">
        <x:f>SUM(J7,J9,J11,J13,J15,J42,J45)</x:f>
        <x:v>1188428.9035714287</x:v>
      </x:c>
      <x:c r="K16" s="188" t="n">
        <x:f>SUM(K7,K9,K11,K13,K15,K42,K45)</x:f>
        <x:v>1164266.0357142857</x:v>
      </x:c>
      <x:c r="L16" s="188" t="n">
        <x:f>SUM(L7,L9,L11,L13,L15,L42,L45)</x:f>
        <x:v>1203188.9035714287</x:v>
      </x:c>
      <x:c r="M16" s="188" t="n">
        <x:f>SUM(M7,M9,M11,M13,M15,M42,M45)</x:f>
        <x:v>1147466.0357142857</x:v>
      </x:c>
      <x:c r="N16" s="188" t="n">
        <x:f>SUM(N7,N9,N11,N13,N15,N42,N45)</x:f>
        <x:v>1211288.9035714287</x:v>
      </x:c>
      <x:c r="O16" s="188" t="n">
        <x:f>SUM(O7,O9,O11,O13,O15,O42,O45)</x:f>
        <x:v>1191848.9035714287</x:v>
      </x:c>
      <x:c r="P16" s="188" t="n">
        <x:f>SUM(D16:O16)</x:f>
        <x:v>14291926.767857144</x:v>
      </x:c>
      <x:c r="Q16" s="188" t="n">
        <x:f>P16/12</x:f>
        <x:v>1190993.8973214286</x:v>
      </x:c>
      <x:c r="R16" s="52" t="inlineStr">
        <x:is>
          <x:t xml:space="preserve">руб.</x:t>
        </x:is>
      </x:c>
    </x:row>
    <x:row r="17">
      <x:c r="A17" s="52" t="inlineStr">
        <x:is>
          <x:t xml:space="preserve">COGS.SPOIL</x:t>
        </x:is>
      </x:c>
      <x:c r="B17" s="52" t="inlineStr">
        <x:is>
          <x:t xml:space="preserve">Кафе</x:t>
        </x:is>
      </x:c>
      <x:c r="C17" s="52" t="inlineStr">
        <x:is>
          <x:t xml:space="preserve">Списания и порча</x:t>
        </x:is>
      </x:c>
      <x:c r="D17" s="188" t="n">
        <x:f>D16*'01_ВВОД'!$D$16</x:f>
        <x:v>18564.690535714286</x:v>
      </x:c>
      <x:c r="E17" s="188" t="n">
        <x:f>E16*'01_ВВОД'!$D$16</x:f>
        <x:v>19333.93355357143</x:v>
      </x:c>
      <x:c r="F17" s="188" t="n">
        <x:f>F16*'01_ВВОД'!$D$16</x:f>
        <x:v>17502.690535714286</x:v>
      </x:c>
      <x:c r="G17" s="188" t="n">
        <x:f>G16*'01_ВВОД'!$D$16</x:f>
        <x:v>17917.33355357143</x:v>
      </x:c>
      <x:c r="H17" s="188" t="n">
        <x:f>H16*'01_ВВОД'!$D$16</x:f>
        <x:v>18200.83355357143</x:v>
      </x:c>
      <x:c r="I17" s="188" t="n">
        <x:f>I16*'01_ВВОД'!$D$16</x:f>
        <x:v>16262.1045</x:v>
      </x:c>
      <x:c r="J17" s="188" t="n">
        <x:f>J16*'01_ВВОД'!$D$16</x:f>
        <x:v>17826.43355357143</x:v>
      </x:c>
      <x:c r="K17" s="188" t="n">
        <x:f>K16*'01_ВВОД'!$D$16</x:f>
        <x:v>17463.990535714285</x:v>
      </x:c>
      <x:c r="L17" s="188" t="n">
        <x:f>L16*'01_ВВОД'!$D$16</x:f>
        <x:v>18047.83355357143</x:v>
      </x:c>
      <x:c r="M17" s="188" t="n">
        <x:f>M16*'01_ВВОД'!$D$16</x:f>
        <x:v>17211.990535714285</x:v>
      </x:c>
      <x:c r="N17" s="188" t="n">
        <x:f>N16*'01_ВВОД'!$D$16</x:f>
        <x:v>18169.33355357143</x:v>
      </x:c>
      <x:c r="O17" s="188" t="n">
        <x:f>O16*'01_ВВОД'!$D$16</x:f>
        <x:v>17877.73355357143</x:v>
      </x:c>
      <x:c r="P17" s="188" t="n">
        <x:f>SUM(D17:O17)</x:f>
        <x:v>214378.90151785716</x:v>
      </x:c>
      <x:c r="Q17" s="188" t="n">
        <x:f>P17/12</x:f>
        <x:v>17864.90845982143</x:v>
      </x:c>
      <x:c r="R17" s="52" t="inlineStr">
        <x:is>
          <x:t xml:space="preserve">руб.</x:t>
        </x:is>
      </x:c>
    </x:row>
    <x:row r="18">
      <x:c r="A18" s="52" t="inlineStr">
        <x:is>
          <x:t xml:space="preserve">COGS.INV</x:t>
        </x:is>
      </x:c>
      <x:c r="B18" s="52" t="inlineStr">
        <x:is>
          <x:t xml:space="preserve">Кафе</x:t>
        </x:is>
      </x:c>
      <x:c r="C18" s="52" t="inlineStr">
        <x:is>
          <x:t xml:space="preserve">Инвентаризационные расхождения</x:t>
        </x:is>
      </x:c>
      <x:c r="D18" s="188" t="n">
        <x:f>D16*'01_ВВОД'!$D$17</x:f>
        <x:v>6188.230178571429</x:v>
      </x:c>
      <x:c r="E18" s="188" t="n">
        <x:f>E16*'01_ВВОД'!$D$17</x:f>
        <x:v>6444.644517857144</x:v>
      </x:c>
      <x:c r="F18" s="188" t="n">
        <x:f>F16*'01_ВВОД'!$D$17</x:f>
        <x:v>5834.230178571429</x:v>
      </x:c>
      <x:c r="G18" s="188" t="n">
        <x:f>G16*'01_ВВОД'!$D$17</x:f>
        <x:v>5972.444517857144</x:v>
      </x:c>
      <x:c r="H18" s="188" t="n">
        <x:f>H16*'01_ВВОД'!$D$17</x:f>
        <x:v>6066.944517857144</x:v>
      </x:c>
      <x:c r="I18" s="188" t="n">
        <x:f>I16*'01_ВВОД'!$D$17</x:f>
        <x:v>5420.7015</x:v>
      </x:c>
      <x:c r="J18" s="188" t="n">
        <x:f>J16*'01_ВВОД'!$D$17</x:f>
        <x:v>5942.144517857144</x:v>
      </x:c>
      <x:c r="K18" s="188" t="n">
        <x:f>K16*'01_ВВОД'!$D$17</x:f>
        <x:v>5821.330178571428</x:v>
      </x:c>
      <x:c r="L18" s="188" t="n">
        <x:f>L16*'01_ВВОД'!$D$17</x:f>
        <x:v>6015.944517857144</x:v>
      </x:c>
      <x:c r="M18" s="188" t="n">
        <x:f>M16*'01_ВВОД'!$D$17</x:f>
        <x:v>5737.330178571428</x:v>
      </x:c>
      <x:c r="N18" s="188" t="n">
        <x:f>N16*'01_ВВОД'!$D$17</x:f>
        <x:v>6056.444517857144</x:v>
      </x:c>
      <x:c r="O18" s="188" t="n">
        <x:f>O16*'01_ВВОД'!$D$17</x:f>
        <x:v>5959.244517857143</x:v>
      </x:c>
      <x:c r="P18" s="188" t="n">
        <x:f>SUM(D18:O18)</x:f>
        <x:v>71459.63383928573</x:v>
      </x:c>
      <x:c r="Q18" s="188" t="n">
        <x:f>P18/12</x:f>
        <x:v>5954.969486607144</x:v>
      </x:c>
      <x:c r="R18" s="52" t="inlineStr">
        <x:is>
          <x:t xml:space="preserve">руб.</x:t>
        </x:is>
      </x:c>
    </x:row>
    <x:row r="19">
      <x:c r="A19" s="120" t="inlineStr">
        <x:is>
          <x:t xml:space="preserve">COGS.TOTAL</x:t>
        </x:is>
      </x:c>
      <x:c r="B19" s="120" t="inlineStr">
        <x:is>
          <x:t xml:space="preserve">Кафе</x:t>
        </x:is>
      </x:c>
      <x:c r="C19" s="120" t="inlineStr">
        <x:is>
          <x:t xml:space="preserve">ИТОГО СЕБЕСТОИМОСТЬ КАФЕ</x:t>
        </x:is>
      </x:c>
      <x:c r="D19" s="202" t="n">
        <x:f>SUM(D16:D18)</x:f>
        <x:v>1262398.9564285716</x:v>
      </x:c>
      <x:c r="E19" s="202" t="n">
        <x:f>SUM(E16:E18)</x:f>
        <x:v>1314707.4816428572</x:v>
      </x:c>
      <x:c r="F19" s="202" t="n">
        <x:f>SUM(F16:F18)</x:f>
        <x:v>1190182.9564285716</x:v>
      </x:c>
      <x:c r="G19" s="202" t="n">
        <x:f>SUM(G16:G18)</x:f>
        <x:v>1218378.6816428574</x:v>
      </x:c>
      <x:c r="H19" s="202" t="n">
        <x:f>SUM(H16:H18)</x:f>
        <x:v>1237656.6816428574</x:v>
      </x:c>
      <x:c r="I19" s="202" t="n">
        <x:f>SUM(I16:I18)</x:f>
        <x:v>1105823.106</x:v>
      </x:c>
      <x:c r="J19" s="202" t="n">
        <x:f>SUM(J16:J18)</x:f>
        <x:v>1212197.4816428572</x:v>
      </x:c>
      <x:c r="K19" s="202" t="n">
        <x:f>SUM(K16:K18)</x:f>
        <x:v>1187551.3564285713</x:v>
      </x:c>
      <x:c r="L19" s="202" t="n">
        <x:f>SUM(L16:L18)</x:f>
        <x:v>1227252.6816428574</x:v>
      </x:c>
      <x:c r="M19" s="202" t="n">
        <x:f>SUM(M16:M18)</x:f>
        <x:v>1170415.3564285713</x:v>
      </x:c>
      <x:c r="N19" s="202" t="n">
        <x:f>SUM(N16:N18)</x:f>
        <x:v>1235514.6816428574</x:v>
      </x:c>
      <x:c r="O19" s="202" t="n">
        <x:f>SUM(O16:O18)</x:f>
        <x:v>1215685.8816428573</x:v>
      </x:c>
      <x:c r="P19" s="202" t="n">
        <x:f>SUM(D19:O19)</x:f>
        <x:v>14577765.303214284</x:v>
      </x:c>
      <x:c r="Q19" s="202" t="n">
        <x:f>P19/12</x:f>
        <x:v>1214813.775267857</x:v>
      </x:c>
      <x:c r="R19" s="120" t="inlineStr">
        <x:is>
          <x:t xml:space="preserve">руб.</x:t>
        </x:is>
      </x:c>
    </x:row>
    <x:row r="20">
      <x:c r="A20" s="118" t="inlineStr">
        <x:is>
          <x:t xml:space="preserve">GROSS.PROFIT</x:t>
        </x:is>
      </x:c>
      <x:c r="B20" s="118" t="inlineStr">
        <x:is>
          <x:t xml:space="preserve">Кафе</x:t>
        </x:is>
      </x:c>
      <x:c r="C20" s="118" t="inlineStr">
        <x:is>
          <x:t xml:space="preserve">ВАЛОВАЯ ПРИБЫЛЬ КАФЕ</x:t>
        </x:is>
      </x:c>
      <x:c r="D20" s="190" t="n">
        <x:f>'03_ДОХОДЫ'!D26-D19</x:f>
        <x:v>2681401.0435714284</x:v>
      </x:c>
      <x:c r="E20" s="190" t="n">
        <x:f>'03_ДОХОДЫ'!E26-E19</x:f>
        <x:v>2802192.518357143</x:v>
      </x:c>
      <x:c r="F20" s="190" t="n">
        <x:f>'03_ДОХОДЫ'!F26-F19</x:f>
        <x:v>2525217.0435714284</x:v>
      </x:c>
      <x:c r="G20" s="190" t="n">
        <x:f>'03_ДОХОДЫ'!G26-G19</x:f>
        <x:v>2569421.3183571426</x:v>
      </x:c>
      <x:c r="H20" s="190" t="n">
        <x:f>'03_ДОХОДЫ'!H26-H19</x:f>
        <x:v>2680343.3183571426</x:v>
      </x:c>
      <x:c r="I20" s="190" t="n">
        <x:f>'03_ДОХОДЫ'!I26-I19</x:f>
        <x:v>2341676.8940000003</x:v>
      </x:c>
      <x:c r="J20" s="190" t="n">
        <x:f>'03_ДОХОДЫ'!J26-J19</x:f>
        <x:v>2554502.518357143</x:v>
      </x:c>
      <x:c r="K20" s="190" t="n">
        <x:f>'03_ДОХОДЫ'!K26-K19</x:f>
        <x:v>2500448.643571429</x:v>
      </x:c>
      <x:c r="L20" s="190" t="n">
        <x:f>'03_ДОХОДЫ'!L26-L19</x:f>
        <x:v>2600047.3183571426</x:v>
      </x:c>
      <x:c r="M20" s="190" t="n">
        <x:f>'03_ДОХОДЫ'!M26-M19</x:f>
        <x:v>2459084.643571429</x:v>
      </x:c>
      <x:c r="N20" s="190" t="n">
        <x:f>'03_ДОХОДЫ'!N26-N19</x:f>
        <x:v>2610785.3183571426</x:v>
      </x:c>
      <x:c r="O20" s="190" t="n">
        <x:f>'03_ДОХОДЫ'!O26-O19</x:f>
        <x:v>2562914.1183571424</x:v>
      </x:c>
      <x:c r="P20" s="190" t="n">
        <x:f>SUM(D20:O20)</x:f>
        <x:v>30888034.69678572</x:v>
      </x:c>
      <x:c r="Q20" s="190" t="n">
        <x:f>P20/12</x:f>
        <x:v>2574002.89139881</x:v>
      </x:c>
      <x:c r="R20" s="118" t="inlineStr">
        <x:is>
          <x:t xml:space="preserve">руб.</x:t>
        </x:is>
      </x:c>
    </x:row>
    <x:row r="21">
      <x:c r="A21" s="52" t="n"/>
      <x:c r="B21" s="52" t="n"/>
      <x:c r="C21" s="52" t="n"/>
      <x:c r="D21" s="188" t="n"/>
      <x:c r="E21" s="188" t="n"/>
      <x:c r="F21" s="188" t="n"/>
      <x:c r="G21" s="188" t="n"/>
      <x:c r="H21" s="188" t="n"/>
      <x:c r="I21" s="188" t="n"/>
      <x:c r="J21" s="188" t="n"/>
      <x:c r="K21" s="188" t="n"/>
      <x:c r="L21" s="188" t="n"/>
      <x:c r="M21" s="188" t="n"/>
      <x:c r="N21" s="188" t="n"/>
      <x:c r="O21" s="188" t="n"/>
      <x:c r="P21" s="188" t="n"/>
      <x:c r="Q21" s="188" t="n"/>
      <x:c r="R21" s="52" t="n"/>
    </x:row>
    <x:row r="22">
      <x:c r="A22" s="122" t="inlineStr">
        <x:is>
          <x:t xml:space="preserve">БИЗНЕС 1 — КАФЕ: ПРОЧИЕ ПРЯМЫЕ ПЕРЕМЕННЫЕ РАСХОДЫ</x:t>
        </x:is>
      </x:c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1" t="n"/>
      <x:c r="O22" s="1" t="n"/>
      <x:c r="P22" s="1" t="n"/>
      <x:c r="Q22" s="1" t="n"/>
      <x:c r="R22" s="1" t="n"/>
    </x:row>
    <x:row r="23">
      <x:c r="A23" s="52" t="inlineStr">
        <x:is>
          <x:t xml:space="preserve">VAR.COURIER</x:t>
        </x:is>
      </x:c>
      <x:c r="B23" s="52" t="inlineStr">
        <x:is>
          <x:t xml:space="preserve">Доставка</x:t>
        </x:is>
      </x:c>
      <x:c r="C23" s="52" t="inlineStr">
        <x:is>
          <x:t xml:space="preserve">Доставщик</x:t>
        </x:is>
      </x:c>
      <x:c r="D23" s="188" t="n">
        <x:f>'03_ДОХОДЫ'!D14*'01_ВВОД'!$D$36</x:f>
        <x:v>114000</x:v>
      </x:c>
      <x:c r="E23" s="188" t="n">
        <x:f>'03_ДОХОДЫ'!E14*'01_ВВОД'!$D$36</x:f>
        <x:v>120000</x:v>
      </x:c>
      <x:c r="F23" s="188" t="n">
        <x:f>'03_ДОХОДЫ'!F14*'01_ВВОД'!$D$36</x:f>
        <x:v>120000</x:v>
      </x:c>
      <x:c r="G23" s="188" t="n">
        <x:f>'03_ДОХОДЫ'!G14*'01_ВВОД'!$D$36</x:f>
        <x:v>120000</x:v>
      </x:c>
      <x:c r="H23" s="188" t="n">
        <x:f>'03_ДОХОДЫ'!H14*'01_ВВОД'!$D$36</x:f>
        <x:v>141000</x:v>
      </x:c>
      <x:c r="I23" s="188" t="n">
        <x:f>'03_ДОХОДЫ'!I14*'01_ВВОД'!$D$36</x:f>
        <x:v>111000</x:v>
      </x:c>
      <x:c r="J23" s="188" t="n">
        <x:f>'03_ДОХОДЫ'!J14*'01_ВВОД'!$D$36</x:f>
        <x:v>120000</x:v>
      </x:c>
      <x:c r="K23" s="188" t="n">
        <x:f>'03_ДОХОДЫ'!K14*'01_ВВОД'!$D$36</x:f>
        <x:v>114000</x:v>
      </x:c>
      <x:c r="L23" s="188" t="n">
        <x:f>'03_ДОХОДЫ'!L14*'01_ВВОД'!$D$36</x:f>
        <x:v>123000</x:v>
      </x:c>
      <x:c r="M23" s="188" t="n">
        <x:f>'03_ДОХОДЫ'!M14*'01_ВВОД'!$D$36</x:f>
        <x:v>114000</x:v>
      </x:c>
      <x:c r="N23" s="188" t="n">
        <x:f>'03_ДОХОДЫ'!N14*'01_ВВОД'!$D$36</x:f>
        <x:v>120000</x:v>
      </x:c>
      <x:c r="O23" s="188" t="n">
        <x:f>'03_ДОХОДЫ'!O14*'01_ВВОД'!$D$36</x:f>
        <x:v>120000</x:v>
      </x:c>
      <x:c r="P23" s="188" t="n">
        <x:f>SUM(D23:O23)</x:f>
        <x:v>1437000</x:v>
      </x:c>
      <x:c r="Q23" s="188" t="n">
        <x:f>P23/12</x:f>
        <x:v>119750</x:v>
      </x:c>
      <x:c r="R23" s="52" t="inlineStr">
        <x:is>
          <x:t xml:space="preserve">руб.</x:t>
        </x:is>
      </x:c>
    </x:row>
    <x:row r="24">
      <x:c r="A24" s="52" t="inlineStr">
        <x:is>
          <x:t xml:space="preserve">VAR.DEL.PACK</x:t>
        </x:is>
      </x:c>
      <x:c r="B24" s="52" t="inlineStr">
        <x:is>
          <x:t xml:space="preserve">Доставка</x:t>
        </x:is>
      </x:c>
      <x:c r="C24" s="52" t="inlineStr">
        <x:is>
          <x:t xml:space="preserve">Упаковка</x:t>
        </x:is>
      </x:c>
      <x:c r="D24" s="188" t="n">
        <x:f>'03_ДОХОДЫ'!D14*'01_ВВОД'!$D$37</x:f>
        <x:v>37050</x:v>
      </x:c>
      <x:c r="E24" s="188" t="n">
        <x:f>'03_ДОХОДЫ'!E14*'01_ВВОД'!$D$37</x:f>
        <x:v>39000</x:v>
      </x:c>
      <x:c r="F24" s="188" t="n">
        <x:f>'03_ДОХОДЫ'!F14*'01_ВВОД'!$D$37</x:f>
        <x:v>39000</x:v>
      </x:c>
      <x:c r="G24" s="188" t="n">
        <x:f>'03_ДОХОДЫ'!G14*'01_ВВОД'!$D$37</x:f>
        <x:v>39000</x:v>
      </x:c>
      <x:c r="H24" s="188" t="n">
        <x:f>'03_ДОХОДЫ'!H14*'01_ВВОД'!$D$37</x:f>
        <x:v>45825</x:v>
      </x:c>
      <x:c r="I24" s="188" t="n">
        <x:f>'03_ДОХОДЫ'!I14*'01_ВВОД'!$D$37</x:f>
        <x:v>36075</x:v>
      </x:c>
      <x:c r="J24" s="188" t="n">
        <x:f>'03_ДОХОДЫ'!J14*'01_ВВОД'!$D$37</x:f>
        <x:v>39000</x:v>
      </x:c>
      <x:c r="K24" s="188" t="n">
        <x:f>'03_ДОХОДЫ'!K14*'01_ВВОД'!$D$37</x:f>
        <x:v>37050</x:v>
      </x:c>
      <x:c r="L24" s="188" t="n">
        <x:f>'03_ДОХОДЫ'!L14*'01_ВВОД'!$D$37</x:f>
        <x:v>39975</x:v>
      </x:c>
      <x:c r="M24" s="188" t="n">
        <x:f>'03_ДОХОДЫ'!M14*'01_ВВОД'!$D$37</x:f>
        <x:v>37050</x:v>
      </x:c>
      <x:c r="N24" s="188" t="n">
        <x:f>'03_ДОХОДЫ'!N14*'01_ВВОД'!$D$37</x:f>
        <x:v>39000</x:v>
      </x:c>
      <x:c r="O24" s="188" t="n">
        <x:f>'03_ДОХОДЫ'!O14*'01_ВВОД'!$D$37</x:f>
        <x:v>39000</x:v>
      </x:c>
      <x:c r="P24" s="188" t="n">
        <x:f>SUM(D24:O24)</x:f>
        <x:v>467025</x:v>
      </x:c>
      <x:c r="Q24" s="188" t="n">
        <x:f>P24/12</x:f>
        <x:v>38918.75</x:v>
      </x:c>
      <x:c r="R24" s="52" t="inlineStr">
        <x:is>
          <x:t xml:space="preserve">руб.</x:t>
        </x:is>
      </x:c>
    </x:row>
    <x:row r="25">
      <x:c r="A25" s="52" t="inlineStr">
        <x:is>
          <x:t xml:space="preserve">VAR.PICK.PACK</x:t>
        </x:is>
      </x:c>
      <x:c r="B25" s="52" t="inlineStr">
        <x:is>
          <x:t xml:space="preserve">Самовывоз</x:t>
        </x:is>
      </x:c>
      <x:c r="C25" s="52" t="inlineStr">
        <x:is>
          <x:t xml:space="preserve">Упаковка</x:t>
        </x:is>
      </x:c>
      <x:c r="D25" s="188" t="n">
        <x:f>'03_ДОХОДЫ'!D18*'01_ВВОД'!$D$43</x:f>
        <x:v>14400</x:v>
      </x:c>
      <x:c r="E25" s="188" t="n">
        <x:f>'03_ДОХОДЫ'!E18*'01_ВВОД'!$D$43</x:f>
        <x:v>14880</x:v>
      </x:c>
      <x:c r="F25" s="188" t="n">
        <x:f>'03_ДОХОДЫ'!F18*'01_ВВОД'!$D$43</x:f>
        <x:v>14400</x:v>
      </x:c>
      <x:c r="G25" s="188" t="n">
        <x:f>'03_ДОХОДЫ'!G18*'01_ВВОД'!$D$43</x:f>
        <x:v>14880</x:v>
      </x:c>
      <x:c r="H25" s="188" t="n">
        <x:f>'03_ДОХОДЫ'!H18*'01_ВВОД'!$D$43</x:f>
        <x:v>14880</x:v>
      </x:c>
      <x:c r="I25" s="188" t="n">
        <x:f>'03_ДОХОДЫ'!I18*'01_ВВОД'!$D$43</x:f>
        <x:v>13440</x:v>
      </x:c>
      <x:c r="J25" s="188" t="n">
        <x:f>'03_ДОХОДЫ'!J18*'01_ВВОД'!$D$43</x:f>
        <x:v>14880</x:v>
      </x:c>
      <x:c r="K25" s="188" t="n">
        <x:f>'03_ДОХОДЫ'!K18*'01_ВВОД'!$D$43</x:f>
        <x:v>14400</x:v>
      </x:c>
      <x:c r="L25" s="188" t="n">
        <x:f>'03_ДОХОДЫ'!L18*'01_ВВОД'!$D$43</x:f>
        <x:v>14880</x:v>
      </x:c>
      <x:c r="M25" s="188" t="n">
        <x:f>'03_ДОХОДЫ'!M18*'01_ВВОД'!$D$43</x:f>
        <x:v>14400</x:v>
      </x:c>
      <x:c r="N25" s="188" t="n">
        <x:f>'03_ДОХОДЫ'!N18*'01_ВВОД'!$D$43</x:f>
        <x:v>14880</x:v>
      </x:c>
      <x:c r="O25" s="188" t="n">
        <x:f>'03_ДОХОДЫ'!O18*'01_ВВОД'!$D$43</x:f>
        <x:v>14880</x:v>
      </x:c>
      <x:c r="P25" s="188" t="n">
        <x:f>SUM(D25:O25)</x:f>
        <x:v>175200</x:v>
      </x:c>
      <x:c r="Q25" s="188" t="n">
        <x:f>P25/12</x:f>
        <x:v>14600</x:v>
      </x:c>
      <x:c r="R25" s="52" t="inlineStr">
        <x:is>
          <x:t xml:space="preserve">руб.</x:t>
        </x:is>
      </x:c>
    </x:row>
    <x:row r="26">
      <x:c r="A26" s="52" t="inlineStr">
        <x:is>
          <x:t xml:space="preserve">VAR.HOTEL.PACK</x:t>
        </x:is>
      </x:c>
      <x:c r="B26" s="52" t="inlineStr">
        <x:is>
          <x:t xml:space="preserve">Гостиница</x:t>
        </x:is>
      </x:c>
      <x:c r="C26" s="52" t="inlineStr">
        <x:is>
          <x:t xml:space="preserve">Упаковка / расходники</x:t>
        </x:is>
      </x:c>
      <x:c r="D26" s="188" t="n">
        <x:f>'03_ДОХОДЫ'!D22*'01_ВВОД'!$D$48</x:f>
        <x:v>0</x:v>
      </x:c>
      <x:c r="E26" s="188" t="n">
        <x:f>'03_ДОХОДЫ'!E22*'01_ВВОД'!$D$48</x:f>
        <x:v>0</x:v>
      </x:c>
      <x:c r="F26" s="188" t="n">
        <x:f>'03_ДОХОДЫ'!F22*'01_ВВОД'!$D$48</x:f>
        <x:v>0</x:v>
      </x:c>
      <x:c r="G26" s="188" t="n">
        <x:f>'03_ДОХОДЫ'!G22*'01_ВВОД'!$D$48</x:f>
        <x:v>0</x:v>
      </x:c>
      <x:c r="H26" s="188" t="n">
        <x:f>'03_ДОХОДЫ'!H22*'01_ВВОД'!$D$48</x:f>
        <x:v>0</x:v>
      </x:c>
      <x:c r="I26" s="188" t="n">
        <x:f>'03_ДОХОДЫ'!I22*'01_ВВОД'!$D$48</x:f>
        <x:v>0</x:v>
      </x:c>
      <x:c r="J26" s="188" t="n">
        <x:f>'03_ДОХОДЫ'!J22*'01_ВВОД'!$D$48</x:f>
        <x:v>0</x:v>
      </x:c>
      <x:c r="K26" s="188" t="n">
        <x:f>'03_ДОХОДЫ'!K22*'01_ВВОД'!$D$48</x:f>
        <x:v>0</x:v>
      </x:c>
      <x:c r="L26" s="188" t="n">
        <x:f>'03_ДОХОДЫ'!L22*'01_ВВОД'!$D$48</x:f>
        <x:v>0</x:v>
      </x:c>
      <x:c r="M26" s="188" t="n">
        <x:f>'03_ДОХОДЫ'!M22*'01_ВВОД'!$D$48</x:f>
        <x:v>0</x:v>
      </x:c>
      <x:c r="N26" s="188" t="n">
        <x:f>'03_ДОХОДЫ'!N22*'01_ВВОД'!$D$48</x:f>
        <x:v>0</x:v>
      </x:c>
      <x:c r="O26" s="188" t="n">
        <x:f>'03_ДОХОДЫ'!O22*'01_ВВОД'!$D$48</x:f>
        <x:v>0</x:v>
      </x:c>
      <x:c r="P26" s="188" t="n">
        <x:f>SUM(D26:O26)</x:f>
        <x:v>0</x:v>
      </x:c>
      <x:c r="Q26" s="188" t="n">
        <x:f>P26/12</x:f>
        <x:v>0</x:v>
      </x:c>
      <x:c r="R26" s="52" t="inlineStr">
        <x:is>
          <x:t xml:space="preserve">руб.</x:t>
        </x:is>
      </x:c>
    </x:row>
    <x:row r="27">
      <x:c r="A27" s="52" t="inlineStr">
        <x:is>
          <x:t xml:space="preserve">VAR.ACQ</x:t>
        </x:is>
      </x:c>
      <x:c r="B27" s="52" t="inlineStr">
        <x:is>
          <x:t xml:space="preserve">Кафе</x:t>
        </x:is>
      </x:c>
      <x:c r="C27" s="52" t="inlineStr">
        <x:is>
          <x:t xml:space="preserve">Эквайринг</x:t>
        </x:is>
      </x:c>
      <x:c r="D27" s="188" t="n">
        <x:f>'03_ДОХОДЫ'!D8*'01_ВВОД'!$D$25*'01_ВВОД'!$D$14+'03_ДОХОДЫ'!D12*'01_ВВОД'!$D$30*'01_ВВОД'!$D$14+'03_ДОХОДЫ'!D16*'01_ВВОД'!$D$38*'01_ВВОД'!$D$14+'03_ДОХОДЫ'!D20*'01_ВВОД'!$D$44*'01_ВВОД'!$D$14+'03_ДОХОДЫ'!D24*'01_ВВОД'!$D$49*'01_ВВОД'!$D$14+'03_ДОХОДЫ'!D41*'01_ВВОД'!$D$124*'01_ВВОД'!$D$14+'03_ДОХОДЫ'!D46*'01_ВВОД'!$D$130*'01_ВВОД'!$D$14</x:f>
        <x:v>54207</x:v>
      </x:c>
      <x:c r="E27" s="188" t="n">
        <x:f>'03_ДОХОДЫ'!E8*'01_ВВОД'!$D$25*'01_ВВОД'!$D$14+'03_ДОХОДЫ'!E12*'01_ВВОД'!$D$30*'01_ВВОД'!$D$14+'03_ДОХОДЫ'!E16*'01_ВВОД'!$D$38*'01_ВВОД'!$D$14+'03_ДОХОДЫ'!E20*'01_ВВОД'!$D$44*'01_ВВОД'!$D$14+'03_ДОХОДЫ'!E24*'01_ВВОД'!$D$49*'01_ВВОД'!$D$14+'03_ДОХОДЫ'!E41*'01_ВВОД'!$D$124*'01_ВВОД'!$D$14+'03_ДОХОДЫ'!E46*'01_ВВОД'!$D$130*'01_ВВОД'!$D$14</x:f>
        <x:v>56638.5</x:v>
      </x:c>
      <x:c r="F27" s="188" t="n">
        <x:f>'03_ДОХОДЫ'!F8*'01_ВВОД'!$D$25*'01_ВВОД'!$D$14+'03_ДОХОДЫ'!F12*'01_ВВОД'!$D$30*'01_ВВОД'!$D$14+'03_ДОХОДЫ'!F16*'01_ВВОД'!$D$38*'01_ВВОД'!$D$14+'03_ДОХОДЫ'!F20*'01_ВВОД'!$D$44*'01_ВВОД'!$D$14+'03_ДОХОДЫ'!F24*'01_ВВОД'!$D$49*'01_ВВОД'!$D$14+'03_ДОХОДЫ'!F41*'01_ВВОД'!$D$124*'01_ВВОД'!$D$14+'03_ДОХОДЫ'!F46*'01_ВВОД'!$D$130*'01_ВВОД'!$D$14</x:f>
        <x:v>50781</x:v>
      </x:c>
      <x:c r="G27" s="188" t="n">
        <x:f>'03_ДОХОДЫ'!G8*'01_ВВОД'!$D$25*'01_ВВОД'!$D$14+'03_ДОХОДЫ'!G12*'01_ВВОД'!$D$30*'01_ВВОД'!$D$14+'03_ДОХОДЫ'!G16*'01_ВВОД'!$D$38*'01_ВВОД'!$D$14+'03_ДОХОДЫ'!G20*'01_ВВОД'!$D$44*'01_ВВОД'!$D$14+'03_ДОХОДЫ'!G24*'01_ВВОД'!$D$49*'01_ВВОД'!$D$14+'03_ДОХОДЫ'!G41*'01_ВВОД'!$D$124*'01_ВВОД'!$D$14+'03_ДОХОДЫ'!G46*'01_ВВОД'!$D$130*'01_ВВОД'!$D$14</x:f>
        <x:v>51702</x:v>
      </x:c>
      <x:c r="H27" s="188" t="n">
        <x:f>'03_ДОХОДЫ'!H8*'01_ВВОД'!$D$25*'01_ВВОД'!$D$14+'03_ДОХОДЫ'!H12*'01_ВВОД'!$D$30*'01_ВВОД'!$D$14+'03_ДОХОДЫ'!H16*'01_ВВОД'!$D$38*'01_ВВОД'!$D$14+'03_ДОХОДЫ'!H20*'01_ВВОД'!$D$44*'01_ВВОД'!$D$14+'03_ДОХОДЫ'!H24*'01_ВВОД'!$D$49*'01_ВВОД'!$D$14+'03_ДОХОДЫ'!H41*'01_ВВОД'!$D$124*'01_ВВОД'!$D$14+'03_ДОХОДЫ'!H46*'01_ВВОД'!$D$130*'01_ВВОД'!$D$14</x:f>
        <x:v>53655</x:v>
      </x:c>
      <x:c r="I27" s="188" t="n">
        <x:f>'03_ДОХОДЫ'!I8*'01_ВВОД'!$D$25*'01_ВВОД'!$D$14+'03_ДОХОДЫ'!I12*'01_ВВОД'!$D$30*'01_ВВОД'!$D$14+'03_ДОХОДЫ'!I16*'01_ВВОД'!$D$38*'01_ВВОД'!$D$14+'03_ДОХОДЫ'!I20*'01_ВВОД'!$D$44*'01_ВВОД'!$D$14+'03_ДОХОДЫ'!I24*'01_ВВОД'!$D$49*'01_ВВОД'!$D$14+'03_ДОХОДЫ'!I41*'01_ВВОД'!$D$124*'01_ВВОД'!$D$14+'03_ДОХОДЫ'!I46*'01_ВВОД'!$D$130*'01_ВВОД'!$D$14</x:f>
        <x:v>47092.5</x:v>
      </x:c>
      <x:c r="J27" s="188" t="n">
        <x:f>'03_ДОХОДЫ'!J8*'01_ВВОД'!$D$25*'01_ВВОД'!$D$14+'03_ДОХОДЫ'!J12*'01_ВВОД'!$D$30*'01_ВВОД'!$D$14+'03_ДОХОДЫ'!J16*'01_ВВОД'!$D$38*'01_ВВОД'!$D$14+'03_ДОХОДЫ'!J20*'01_ВВОД'!$D$44*'01_ВВОД'!$D$14+'03_ДОХОДЫ'!J24*'01_ВВОД'!$D$49*'01_ВВОД'!$D$14+'03_ДОХОДЫ'!J41*'01_ВВОД'!$D$124*'01_ВВОД'!$D$14+'03_ДОХОДЫ'!J46*'01_ВВОД'!$D$130*'01_ВВОД'!$D$14</x:f>
        <x:v>51385.5</x:v>
      </x:c>
      <x:c r="K27" s="188" t="n">
        <x:f>'03_ДОХОДЫ'!K8*'01_ВВОД'!$D$25*'01_ВВОД'!$D$14+'03_ДОХОДЫ'!K12*'01_ВВОД'!$D$30*'01_ВВОД'!$D$14+'03_ДОХОДЫ'!K16*'01_ВВОД'!$D$38*'01_ВВОД'!$D$14+'03_ДОХОДЫ'!K20*'01_ВВОД'!$D$44*'01_ВВОД'!$D$14+'03_ДОХОДЫ'!K24*'01_ВВОД'!$D$49*'01_ВВОД'!$D$14+'03_ДОХОДЫ'!K41*'01_ВВОД'!$D$124*'01_ВВОД'!$D$14+'03_ДОХОДЫ'!K46*'01_ВВОД'!$D$130*'01_ВВОД'!$D$14</x:f>
        <x:v>50370</x:v>
      </x:c>
      <x:c r="L27" s="188" t="n">
        <x:f>'03_ДОХОДЫ'!L8*'01_ВВОД'!$D$25*'01_ВВОД'!$D$14+'03_ДОХОДЫ'!L12*'01_ВВОД'!$D$30*'01_ВВОД'!$D$14+'03_ДОХОДЫ'!L16*'01_ВВОД'!$D$38*'01_ВВОД'!$D$14+'03_ДОХОДЫ'!L20*'01_ВВОД'!$D$44*'01_ВВОД'!$D$14+'03_ДОХОДЫ'!L24*'01_ВВОД'!$D$49*'01_ВВОД'!$D$14+'03_ДОХОДЫ'!L41*'01_ВВОД'!$D$124*'01_ВВОД'!$D$14+'03_ДОХОДЫ'!L46*'01_ВВОД'!$D$130*'01_ВВОД'!$D$14</x:f>
        <x:v>52294.5</x:v>
      </x:c>
      <x:c r="M27" s="188" t="n">
        <x:f>'03_ДОХОДЫ'!M8*'01_ВВОД'!$D$25*'01_ВВОД'!$D$14+'03_ДОХОДЫ'!M12*'01_ВВОД'!$D$30*'01_ВВОД'!$D$14+'03_ДОХОДЫ'!M16*'01_ВВОД'!$D$38*'01_ВВОД'!$D$14+'03_ДОХОДЫ'!M20*'01_ВВОД'!$D$44*'01_ВВОД'!$D$14+'03_ДОХОДЫ'!M24*'01_ВВОД'!$D$49*'01_ВВОД'!$D$14+'03_ДОХОДЫ'!M41*'01_ВВОД'!$D$124*'01_ВВОД'!$D$14+'03_ДОХОДЫ'!M46*'01_ВВОД'!$D$130*'01_ВВОД'!$D$14</x:f>
        <x:v>49492.5</x:v>
      </x:c>
      <x:c r="N27" s="188" t="n">
        <x:f>'03_ДОХОДЫ'!N8*'01_ВВОД'!$D$25*'01_ВВОД'!$D$14+'03_ДОХОДЫ'!N12*'01_ВВОД'!$D$30*'01_ВВОД'!$D$14+'03_ДОХОДЫ'!N16*'01_ВВОД'!$D$38*'01_ВВОД'!$D$14+'03_ДОХОДЫ'!N20*'01_ВВОД'!$D$44*'01_ВВОД'!$D$14+'03_ДОХОДЫ'!N24*'01_ВВОД'!$D$49*'01_ВВОД'!$D$14+'03_ДОХОДЫ'!N41*'01_ВВОД'!$D$124*'01_ВВОД'!$D$14+'03_ДОХОДЫ'!N46*'01_ВВОД'!$D$130*'01_ВВОД'!$D$14</x:f>
        <x:v>52579.5</x:v>
      </x:c>
      <x:c r="O27" s="188" t="n">
        <x:f>'03_ДОХОДЫ'!O8*'01_ВВОД'!$D$25*'01_ВВОД'!$D$14+'03_ДОХОДЫ'!O12*'01_ВВОД'!$D$30*'01_ВВОД'!$D$14+'03_ДОХОДЫ'!O16*'01_ВВОД'!$D$38*'01_ВВОД'!$D$14+'03_ДОХОДЫ'!O20*'01_ВВОД'!$D$44*'01_ВВОД'!$D$14+'03_ДОХОДЫ'!O24*'01_ВВОД'!$D$49*'01_ВВОД'!$D$14+'03_ДОХОДЫ'!O41*'01_ВВОД'!$D$124*'01_ВВОД'!$D$14+'03_ДОХОДЫ'!O46*'01_ВВОД'!$D$130*'01_ВВОД'!$D$14</x:f>
        <x:v>51564</x:v>
      </x:c>
      <x:c r="P27" s="188" t="n">
        <x:f>SUM(D27:O27)</x:f>
        <x:v>621762</x:v>
      </x:c>
      <x:c r="Q27" s="188" t="n">
        <x:f>P27/12</x:f>
        <x:v>51813.5</x:v>
      </x:c>
      <x:c r="R27" s="52" t="inlineStr">
        <x:is>
          <x:t xml:space="preserve">руб.</x:t>
        </x:is>
      </x:c>
    </x:row>
    <x:row r="28">
      <x:c r="A28" s="120" t="inlineStr">
        <x:is>
          <x:t xml:space="preserve">VAR.TOTAL</x:t>
        </x:is>
      </x:c>
      <x:c r="B28" s="120" t="inlineStr">
        <x:is>
          <x:t xml:space="preserve">Кафе</x:t>
        </x:is>
      </x:c>
      <x:c r="C28" s="120" t="inlineStr">
        <x:is>
          <x:t xml:space="preserve">ИТОГО ПРОЧИЕ ПРЯМЫЕ РАСХОДЫ</x:t>
        </x:is>
      </x:c>
      <x:c r="D28" s="202" t="n">
        <x:f>SUM(D23:D27,D29)</x:f>
        <x:v>219657</x:v>
      </x:c>
      <x:c r="E28" s="202" t="n">
        <x:f>SUM(E23:E27,E29)</x:f>
        <x:v>230518.5</x:v>
      </x:c>
      <x:c r="F28" s="202" t="n">
        <x:f>SUM(F23:F27,F29)</x:f>
        <x:v>224181</x:v>
      </x:c>
      <x:c r="G28" s="202" t="n">
        <x:f>SUM(G23:G27,G29)</x:f>
        <x:v>225582</x:v>
      </x:c>
      <x:c r="H28" s="202" t="n">
        <x:f>SUM(H23:H27,H29)</x:f>
        <x:v>255360</x:v>
      </x:c>
      <x:c r="I28" s="202" t="n">
        <x:f>SUM(I23:I27,I29)</x:f>
        <x:v>207607.5</x:v>
      </x:c>
      <x:c r="J28" s="202" t="n">
        <x:f>SUM(J23:J27,J29)</x:f>
        <x:v>225265.5</x:v>
      </x:c>
      <x:c r="K28" s="202" t="n">
        <x:f>SUM(K23:K27,K29)</x:f>
        <x:v>215820</x:v>
      </x:c>
      <x:c r="L28" s="202" t="n">
        <x:f>SUM(L23:L27,L29)</x:f>
        <x:v>230149.5</x:v>
      </x:c>
      <x:c r="M28" s="202" t="n">
        <x:f>SUM(M23:M27,M29)</x:f>
        <x:v>214942.5</x:v>
      </x:c>
      <x:c r="N28" s="202" t="n">
        <x:f>SUM(N23:N27,N29)</x:f>
        <x:v>226459.5</x:v>
      </x:c>
      <x:c r="O28" s="202" t="n">
        <x:f>SUM(O23:O27,O29)</x:f>
        <x:v>225444</x:v>
      </x:c>
      <x:c r="P28" s="202" t="n">
        <x:f>SUM(D28:O28)</x:f>
        <x:v>2700987</x:v>
      </x:c>
      <x:c r="Q28" s="202" t="n">
        <x:f>P28/12</x:f>
        <x:v>225082.25</x:v>
      </x:c>
      <x:c r="R28" s="120" t="inlineStr">
        <x:is>
          <x:t xml:space="preserve">руб.</x:t>
        </x:is>
      </x:c>
    </x:row>
    <x:row r="29">
      <x:c r="A29" s="118" t="inlineStr">
        <x:is>
          <x:t xml:space="preserve">VAR.DINNER.PACK</x:t>
        </x:is>
      </x:c>
      <x:c r="B29" s="118" t="inlineStr">
        <x:is>
          <x:t xml:space="preserve">Гостиница — ужины</x:t>
        </x:is>
      </x:c>
      <x:c r="C29" s="118" t="inlineStr">
        <x:is>
          <x:t xml:space="preserve">Упаковка / расходники ужинов</x:t>
        </x:is>
      </x:c>
      <x:c r="D29" s="190" t="n">
        <x:f>'03_ДОХОДЫ'!D39*'01_ВВОД'!$D$123</x:f>
        <x:v>0</x:v>
      </x:c>
      <x:c r="E29" s="190" t="n">
        <x:f>'03_ДОХОДЫ'!E39*'01_ВВОД'!$D$123</x:f>
        <x:v>0</x:v>
      </x:c>
      <x:c r="F29" s="190" t="n">
        <x:f>'03_ДОХОДЫ'!F39*'01_ВВОД'!$D$123</x:f>
        <x:v>0</x:v>
      </x:c>
      <x:c r="G29" s="190" t="n">
        <x:f>'03_ДОХОДЫ'!G39*'01_ВВОД'!$D$123</x:f>
        <x:v>0</x:v>
      </x:c>
      <x:c r="H29" s="190" t="n">
        <x:f>'03_ДОХОДЫ'!H39*'01_ВВОД'!$D$123</x:f>
        <x:v>0</x:v>
      </x:c>
      <x:c r="I29" s="190" t="n">
        <x:f>'03_ДОХОДЫ'!I39*'01_ВВОД'!$D$123</x:f>
        <x:v>0</x:v>
      </x:c>
      <x:c r="J29" s="190" t="n">
        <x:f>'03_ДОХОДЫ'!J39*'01_ВВОД'!$D$123</x:f>
        <x:v>0</x:v>
      </x:c>
      <x:c r="K29" s="190" t="n">
        <x:f>'03_ДОХОДЫ'!K39*'01_ВВОД'!$D$123</x:f>
        <x:v>0</x:v>
      </x:c>
      <x:c r="L29" s="190" t="n">
        <x:f>'03_ДОХОДЫ'!L39*'01_ВВОД'!$D$123</x:f>
        <x:v>0</x:v>
      </x:c>
      <x:c r="M29" s="190" t="n">
        <x:f>'03_ДОХОДЫ'!M39*'01_ВВОД'!$D$123</x:f>
        <x:v>0</x:v>
      </x:c>
      <x:c r="N29" s="190" t="n">
        <x:f>'03_ДОХОДЫ'!N39*'01_ВВОД'!$D$123</x:f>
        <x:v>0</x:v>
      </x:c>
      <x:c r="O29" s="190" t="n">
        <x:f>'03_ДОХОДЫ'!O39*'01_ВВОД'!$D$123</x:f>
        <x:v>0</x:v>
      </x:c>
      <x:c r="P29" s="190" t="n">
        <x:f>SUM(D29:O29)</x:f>
        <x:v>0</x:v>
      </x:c>
      <x:c r="Q29" s="190" t="n">
        <x:f>P29/12</x:f>
        <x:v>0</x:v>
      </x:c>
      <x:c r="R29" s="118" t="inlineStr">
        <x:is>
          <x:t xml:space="preserve">руб.</x:t>
        </x:is>
      </x:c>
    </x:row>
    <x:row r="30">
      <x:c r="A30" s="52" t="inlineStr">
        <x:is>
          <x:t xml:space="preserve">CONTRIB.CAFE</x:t>
        </x:is>
      </x:c>
      <x:c r="B30" s="52" t="inlineStr">
        <x:is>
          <x:t xml:space="preserve">Кафе</x:t>
        </x:is>
      </x:c>
      <x:c r="C30" s="52" t="inlineStr">
        <x:is>
          <x:t xml:space="preserve">МАРЖИНАЛЬНЫЙ ДОХОД КАФЕ</x:t>
        </x:is>
      </x:c>
      <x:c r="D30" s="188" t="n">
        <x:f>D20-D28</x:f>
        <x:v>2461744.0435714284</x:v>
      </x:c>
      <x:c r="E30" s="188" t="n">
        <x:f>E20-E28</x:f>
        <x:v>2571674.018357143</x:v>
      </x:c>
      <x:c r="F30" s="188" t="n">
        <x:f>F20-F28</x:f>
        <x:v>2301036.0435714284</x:v>
      </x:c>
      <x:c r="G30" s="188" t="n">
        <x:f>G20-G28</x:f>
        <x:v>2343839.3183571426</x:v>
      </x:c>
      <x:c r="H30" s="188" t="n">
        <x:f>H20-H28</x:f>
        <x:v>2424983.3183571426</x:v>
      </x:c>
      <x:c r="I30" s="188" t="n">
        <x:f>I20-I28</x:f>
        <x:v>2134069.3940000003</x:v>
      </x:c>
      <x:c r="J30" s="188" t="n">
        <x:f>J20-J28</x:f>
        <x:v>2329237.018357143</x:v>
      </x:c>
      <x:c r="K30" s="188" t="n">
        <x:f>K20-K28</x:f>
        <x:v>2284628.643571429</x:v>
      </x:c>
      <x:c r="L30" s="188" t="n">
        <x:f>L20-L28</x:f>
        <x:v>2369897.8183571426</x:v>
      </x:c>
      <x:c r="M30" s="188" t="n">
        <x:f>M20-M28</x:f>
        <x:v>2244142.143571429</x:v>
      </x:c>
      <x:c r="N30" s="188" t="n">
        <x:f>N20-N28</x:f>
        <x:v>2384325.8183571426</x:v>
      </x:c>
      <x:c r="O30" s="188" t="n">
        <x:f>O20-O28</x:f>
        <x:v>2337470.1183571424</x:v>
      </x:c>
      <x:c r="P30" s="188" t="n">
        <x:f>SUM(D30:O30)</x:f>
        <x:v>28187047.69678572</x:v>
      </x:c>
      <x:c r="Q30" s="188" t="n">
        <x:f>P30/12</x:f>
        <x:v>2348920.64139881</x:v>
      </x:c>
      <x:c r="R30" s="52" t="inlineStr">
        <x:is>
          <x:t xml:space="preserve">руб.</x:t>
        </x:is>
      </x:c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БИЗНЕС 2 — БАНКЕТЫ: ПРЯМОЙ ФИНАНСОВЫЙ РЕЗУЛЬТАТ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BANQ.REV</x:t>
        </x:is>
      </x:c>
      <x:c r="B33" s="52" t="inlineStr">
        <x:is>
          <x:t xml:space="preserve">Банкеты</x:t>
        </x:is>
      </x:c>
      <x:c r="C33" s="52" t="inlineStr">
        <x:is>
          <x:t xml:space="preserve">Доходы банкетов</x:t>
        </x:is>
      </x:c>
      <x:c r="D33" s="188" t="n">
        <x:f>'03_ДОХОДЫ'!D36</x:f>
        <x:v>0</x:v>
      </x:c>
      <x:c r="E33" s="188" t="n">
        <x:f>'03_ДОХОДЫ'!E36</x:f>
        <x:v>0</x:v>
      </x:c>
      <x:c r="F33" s="188" t="n">
        <x:f>'03_ДОХОДЫ'!F36</x:f>
        <x:v>360000</x:v>
      </x:c>
      <x:c r="G33" s="188" t="n">
        <x:f>'03_ДОХОДЫ'!G36</x:f>
        <x:v>360000</x:v>
      </x:c>
      <x:c r="H33" s="188" t="n">
        <x:f>'03_ДОХОДЫ'!H36</x:f>
        <x:v>360000</x:v>
      </x:c>
      <x:c r="I33" s="188" t="n">
        <x:f>'03_ДОХОДЫ'!I36</x:f>
        <x:v>360000</x:v>
      </x:c>
      <x:c r="J33" s="188" t="n">
        <x:f>'03_ДОХОДЫ'!J36</x:f>
        <x:v>360000</x:v>
      </x:c>
      <x:c r="K33" s="188" t="n">
        <x:f>'03_ДОХОДЫ'!K36</x:f>
        <x:v>360000</x:v>
      </x:c>
      <x:c r="L33" s="188" t="n">
        <x:f>'03_ДОХОДЫ'!L36</x:f>
        <x:v>360000</x:v>
      </x:c>
      <x:c r="M33" s="188" t="n">
        <x:f>'03_ДОХОДЫ'!M36</x:f>
        <x:v>360000</x:v>
      </x:c>
      <x:c r="N33" s="188" t="n">
        <x:f>'03_ДОХОДЫ'!N36</x:f>
        <x:v>360000</x:v>
      </x:c>
      <x:c r="O33" s="188" t="n">
        <x:f>'03_ДОХОДЫ'!O36</x:f>
        <x:v>360000</x:v>
      </x:c>
      <x:c r="P33" s="188" t="n">
        <x:f>SUM(D33:O33)</x:f>
        <x:v>3600000</x:v>
      </x:c>
      <x:c r="Q33" s="188" t="n">
        <x:f>P33/12</x:f>
        <x:v>300000</x:v>
      </x:c>
      <x:c r="R33" s="52" t="inlineStr">
        <x:is>
          <x:t xml:space="preserve">руб.</x:t>
        </x:is>
      </x:c>
    </x:row>
    <x:row r="34">
      <x:c r="A34" s="52" t="inlineStr">
        <x:is>
          <x:t xml:space="preserve">BANQ.COGS</x:t>
        </x:is>
      </x:c>
      <x:c r="B34" s="52" t="inlineStr">
        <x:is>
          <x:t xml:space="preserve">Банкеты</x:t>
        </x:is>
      </x:c>
      <x:c r="C34" s="52" t="inlineStr">
        <x:is>
          <x:t xml:space="preserve">Себестоимость 40%</x:t>
        </x:is>
      </x:c>
      <x:c r="D34" s="188" t="n">
        <x:f>D33*'01_ВВОД'!$D$55</x:f>
        <x:v>0</x:v>
      </x:c>
      <x:c r="E34" s="188" t="n">
        <x:f>E33*'01_ВВОД'!$D$55</x:f>
        <x:v>0</x:v>
      </x:c>
      <x:c r="F34" s="188" t="n">
        <x:f>F33*'01_ВВОД'!$D$55</x:f>
        <x:v>144000</x:v>
      </x:c>
      <x:c r="G34" s="188" t="n">
        <x:f>G33*'01_ВВОД'!$D$55</x:f>
        <x:v>144000</x:v>
      </x:c>
      <x:c r="H34" s="188" t="n">
        <x:f>H33*'01_ВВОД'!$D$55</x:f>
        <x:v>144000</x:v>
      </x:c>
      <x:c r="I34" s="188" t="n">
        <x:f>I33*'01_ВВОД'!$D$55</x:f>
        <x:v>144000</x:v>
      </x:c>
      <x:c r="J34" s="188" t="n">
        <x:f>J33*'01_ВВОД'!$D$55</x:f>
        <x:v>144000</x:v>
      </x:c>
      <x:c r="K34" s="188" t="n">
        <x:f>K33*'01_ВВОД'!$D$55</x:f>
        <x:v>144000</x:v>
      </x:c>
      <x:c r="L34" s="188" t="n">
        <x:f>L33*'01_ВВОД'!$D$55</x:f>
        <x:v>144000</x:v>
      </x:c>
      <x:c r="M34" s="188" t="n">
        <x:f>M33*'01_ВВОД'!$D$55</x:f>
        <x:v>144000</x:v>
      </x:c>
      <x:c r="N34" s="188" t="n">
        <x:f>N33*'01_ВВОД'!$D$55</x:f>
        <x:v>144000</x:v>
      </x:c>
      <x:c r="O34" s="188" t="n">
        <x:f>O33*'01_ВВОД'!$D$55</x:f>
        <x:v>144000</x:v>
      </x:c>
      <x:c r="P34" s="188" t="n">
        <x:f>SUM(D34:O34)</x:f>
        <x:v>1440000</x:v>
      </x:c>
      <x:c r="Q34" s="188" t="n">
        <x:f>P34/12</x:f>
        <x:v>120000</x:v>
      </x:c>
      <x:c r="R34" s="52" t="inlineStr">
        <x:is>
          <x:t xml:space="preserve">руб.</x:t>
        </x:is>
      </x:c>
    </x:row>
    <x:row r="35">
      <x:c r="A35" s="52" t="inlineStr">
        <x:is>
          <x:t xml:space="preserve">BANQ.GROSS</x:t>
        </x:is>
      </x:c>
      <x:c r="B35" s="52" t="inlineStr">
        <x:is>
          <x:t xml:space="preserve">Банкеты</x:t>
        </x:is>
      </x:c>
      <x:c r="C35" s="52" t="inlineStr">
        <x:is>
          <x:t xml:space="preserve">Валовая прибыль</x:t>
        </x:is>
      </x:c>
      <x:c r="D35" s="188" t="n">
        <x:f>D33-D34</x:f>
        <x:v>0</x:v>
      </x:c>
      <x:c r="E35" s="188" t="n">
        <x:f>E33-E34</x:f>
        <x:v>0</x:v>
      </x:c>
      <x:c r="F35" s="188" t="n">
        <x:f>F33-F34</x:f>
        <x:v>216000</x:v>
      </x:c>
      <x:c r="G35" s="188" t="n">
        <x:f>G33-G34</x:f>
        <x:v>216000</x:v>
      </x:c>
      <x:c r="H35" s="188" t="n">
        <x:f>H33-H34</x:f>
        <x:v>216000</x:v>
      </x:c>
      <x:c r="I35" s="188" t="n">
        <x:f>I33-I34</x:f>
        <x:v>216000</x:v>
      </x:c>
      <x:c r="J35" s="188" t="n">
        <x:f>J33-J34</x:f>
        <x:v>216000</x:v>
      </x:c>
      <x:c r="K35" s="188" t="n">
        <x:f>K33-K34</x:f>
        <x:v>216000</x:v>
      </x:c>
      <x:c r="L35" s="188" t="n">
        <x:f>L33-L34</x:f>
        <x:v>216000</x:v>
      </x:c>
      <x:c r="M35" s="188" t="n">
        <x:f>M33-M34</x:f>
        <x:v>216000</x:v>
      </x:c>
      <x:c r="N35" s="188" t="n">
        <x:f>N33-N34</x:f>
        <x:v>216000</x:v>
      </x:c>
      <x:c r="O35" s="188" t="n">
        <x:f>O33-O34</x:f>
        <x:v>216000</x:v>
      </x:c>
      <x:c r="P35" s="188" t="n">
        <x:f>SUM(D35:O35)</x:f>
        <x:v>2160000</x:v>
      </x:c>
      <x:c r="Q35" s="188" t="n">
        <x:f>P35/12</x:f>
        <x:v>180000</x:v>
      </x:c>
      <x:c r="R35" s="52" t="inlineStr">
        <x:is>
          <x:t xml:space="preserve">руб.</x:t>
        </x:is>
      </x:c>
    </x:row>
    <x:row r="36">
      <x:c r="A36" s="52" t="inlineStr">
        <x:is>
          <x:t xml:space="preserve">BANQ.AGENT</x:t>
        </x:is>
      </x:c>
      <x:c r="B36" s="52" t="inlineStr">
        <x:is>
          <x:t xml:space="preserve">Банкеты</x:t>
        </x:is>
      </x:c>
      <x:c r="C36" s="52" t="inlineStr">
        <x:is>
          <x:t xml:space="preserve">Комиссия агента 10%</x:t>
        </x:is>
      </x:c>
      <x:c r="D36" s="188" t="n">
        <x:f>D33*'01_ВВОД'!$D$56</x:f>
        <x:v>0</x:v>
      </x:c>
      <x:c r="E36" s="188" t="n">
        <x:f>E33*'01_ВВОД'!$D$56</x:f>
        <x:v>0</x:v>
      </x:c>
      <x:c r="F36" s="188" t="n">
        <x:f>F33*'01_ВВОД'!$D$56</x:f>
        <x:v>36000</x:v>
      </x:c>
      <x:c r="G36" s="188" t="n">
        <x:f>G33*'01_ВВОД'!$D$56</x:f>
        <x:v>36000</x:v>
      </x:c>
      <x:c r="H36" s="188" t="n">
        <x:f>H33*'01_ВВОД'!$D$56</x:f>
        <x:v>36000</x:v>
      </x:c>
      <x:c r="I36" s="188" t="n">
        <x:f>I33*'01_ВВОД'!$D$56</x:f>
        <x:v>36000</x:v>
      </x:c>
      <x:c r="J36" s="188" t="n">
        <x:f>J33*'01_ВВОД'!$D$56</x:f>
        <x:v>36000</x:v>
      </x:c>
      <x:c r="K36" s="188" t="n">
        <x:f>K33*'01_ВВОД'!$D$56</x:f>
        <x:v>36000</x:v>
      </x:c>
      <x:c r="L36" s="188" t="n">
        <x:f>L33*'01_ВВОД'!$D$56</x:f>
        <x:v>36000</x:v>
      </x:c>
      <x:c r="M36" s="188" t="n">
        <x:f>M33*'01_ВВОД'!$D$56</x:f>
        <x:v>36000</x:v>
      </x:c>
      <x:c r="N36" s="188" t="n">
        <x:f>N33*'01_ВВОД'!$D$56</x:f>
        <x:v>36000</x:v>
      </x:c>
      <x:c r="O36" s="188" t="n">
        <x:f>O33*'01_ВВОД'!$D$56</x:f>
        <x:v>36000</x:v>
      </x:c>
      <x:c r="P36" s="188" t="n">
        <x:f>SUM(D36:O36)</x:f>
        <x:v>360000</x:v>
      </x:c>
      <x:c r="Q36" s="188" t="n">
        <x:f>P36/12</x:f>
        <x:v>30000</x:v>
      </x:c>
      <x:c r="R36" s="52" t="inlineStr">
        <x:is>
          <x:t xml:space="preserve">руб.</x:t>
        </x:is>
      </x:c>
    </x:row>
    <x:row r="37">
      <x:c r="A37" s="52" t="inlineStr">
        <x:is>
          <x:t xml:space="preserve">BANQ.ACQ</x:t>
        </x:is>
      </x:c>
      <x:c r="B37" s="52" t="inlineStr">
        <x:is>
          <x:t xml:space="preserve">Банкеты</x:t>
        </x:is>
      </x:c>
      <x:c r="C37" s="52" t="inlineStr">
        <x:is>
          <x:t xml:space="preserve">Эквайринг</x:t>
        </x:is>
      </x:c>
      <x:c r="D37" s="188" t="n">
        <x:f>D33*'01_ВВОД'!$D$57*'01_ВВОД'!$D$14</x:f>
        <x:v>0</x:v>
      </x:c>
      <x:c r="E37" s="188" t="n">
        <x:f>E33*'01_ВВОД'!$D$57*'01_ВВОД'!$D$14</x:f>
        <x:v>0</x:v>
      </x:c>
      <x:c r="F37" s="188" t="n">
        <x:f>F33*'01_ВВОД'!$D$57*'01_ВВОД'!$D$14</x:f>
        <x:v>0</x:v>
      </x:c>
      <x:c r="G37" s="188" t="n">
        <x:f>G33*'01_ВВОД'!$D$57*'01_ВВОД'!$D$14</x:f>
        <x:v>0</x:v>
      </x:c>
      <x:c r="H37" s="188" t="n">
        <x:f>H33*'01_ВВОД'!$D$57*'01_ВВОД'!$D$14</x:f>
        <x:v>0</x:v>
      </x:c>
      <x:c r="I37" s="188" t="n">
        <x:f>I33*'01_ВВОД'!$D$57*'01_ВВОД'!$D$14</x:f>
        <x:v>0</x:v>
      </x:c>
      <x:c r="J37" s="188" t="n">
        <x:f>J33*'01_ВВОД'!$D$57*'01_ВВОД'!$D$14</x:f>
        <x:v>0</x:v>
      </x:c>
      <x:c r="K37" s="188" t="n">
        <x:f>K33*'01_ВВОД'!$D$57*'01_ВВОД'!$D$14</x:f>
        <x:v>0</x:v>
      </x:c>
      <x:c r="L37" s="188" t="n">
        <x:f>L33*'01_ВВОД'!$D$57*'01_ВВОД'!$D$14</x:f>
        <x:v>0</x:v>
      </x:c>
      <x:c r="M37" s="188" t="n">
        <x:f>M33*'01_ВВОД'!$D$57*'01_ВВОД'!$D$14</x:f>
        <x:v>0</x:v>
      </x:c>
      <x:c r="N37" s="188" t="n">
        <x:f>N33*'01_ВВОД'!$D$57*'01_ВВОД'!$D$14</x:f>
        <x:v>0</x:v>
      </x:c>
      <x:c r="O37" s="188" t="n">
        <x:f>O33*'01_ВВОД'!$D$57*'01_ВВОД'!$D$14</x:f>
        <x:v>0</x:v>
      </x:c>
      <x:c r="P37" s="188" t="n">
        <x:f>SUM(D37:O37)</x:f>
        <x:v>0</x:v>
      </x:c>
      <x:c r="Q37" s="188" t="n">
        <x:f>P37/12</x:f>
        <x:v>0</x:v>
      </x:c>
      <x:c r="R37" s="52" t="inlineStr">
        <x:is>
          <x:t xml:space="preserve">руб.</x:t>
        </x:is>
      </x:c>
    </x:row>
    <x:row r="38">
      <x:c r="A38" s="118" t="inlineStr">
        <x:is>
          <x:t xml:space="preserve">BANQ.RESULT</x:t>
        </x:is>
      </x:c>
      <x:c r="B38" s="118" t="inlineStr">
        <x:is>
          <x:t xml:space="preserve">Банкеты</x:t>
        </x:is>
      </x:c>
      <x:c r="C38" s="118" t="inlineStr">
        <x:is>
          <x:t xml:space="preserve">ФИНАНСОВЫЙ РЕЗУЛЬТАТ ДО НАЛОГА</x:t>
        </x:is>
      </x:c>
      <x:c r="D38" s="190" t="n">
        <x:f>D35-D36-D37</x:f>
        <x:v>0</x:v>
      </x:c>
      <x:c r="E38" s="190" t="n">
        <x:f>E35-E36-E37</x:f>
        <x:v>0</x:v>
      </x:c>
      <x:c r="F38" s="190" t="n">
        <x:f>F35-F36-F37</x:f>
        <x:v>180000</x:v>
      </x:c>
      <x:c r="G38" s="190" t="n">
        <x:f>G35-G36-G37</x:f>
        <x:v>180000</x:v>
      </x:c>
      <x:c r="H38" s="190" t="n">
        <x:f>H35-H36-H37</x:f>
        <x:v>180000</x:v>
      </x:c>
      <x:c r="I38" s="190" t="n">
        <x:f>I35-I36-I37</x:f>
        <x:v>180000</x:v>
      </x:c>
      <x:c r="J38" s="190" t="n">
        <x:f>J35-J36-J37</x:f>
        <x:v>180000</x:v>
      </x:c>
      <x:c r="K38" s="190" t="n">
        <x:f>K35-K36-K37</x:f>
        <x:v>180000</x:v>
      </x:c>
      <x:c r="L38" s="190" t="n">
        <x:f>L35-L36-L37</x:f>
        <x:v>180000</x:v>
      </x:c>
      <x:c r="M38" s="190" t="n">
        <x:f>M35-M36-M37</x:f>
        <x:v>180000</x:v>
      </x:c>
      <x:c r="N38" s="190" t="n">
        <x:f>N35-N36-N37</x:f>
        <x:v>180000</x:v>
      </x:c>
      <x:c r="O38" s="190" t="n">
        <x:f>O35-O36-O37</x:f>
        <x:v>180000</x:v>
      </x:c>
      <x:c r="P38" s="190" t="n">
        <x:f>SUM(D38:O38)</x:f>
        <x:v>1800000</x:v>
      </x:c>
      <x:c r="Q38" s="190" t="n">
        <x:f>P38/12</x:f>
        <x:v>150000</x:v>
      </x:c>
      <x:c r="R38" s="118" t="inlineStr">
        <x:is>
          <x:t xml:space="preserve">руб.</x:t>
        </x:is>
      </x:c>
    </x:row>
    <x:row r="39">
      <x:c r="A39" s="52" t="n"/>
      <x:c r="B39" s="52" t="n"/>
      <x:c r="C39" s="52" t="n"/>
      <x:c r="D39" s="188" t="n"/>
      <x:c r="E39" s="188" t="n"/>
      <x:c r="F39" s="188" t="n"/>
      <x:c r="G39" s="188" t="n"/>
      <x:c r="H39" s="188" t="n"/>
      <x:c r="I39" s="188" t="n"/>
      <x:c r="J39" s="188" t="n"/>
      <x:c r="K39" s="188" t="n"/>
      <x:c r="L39" s="188" t="n"/>
      <x:c r="M39" s="188" t="n"/>
      <x:c r="N39" s="188" t="n"/>
      <x:c r="O39" s="188" t="n"/>
      <x:c r="P39" s="188" t="n"/>
      <x:c r="Q39" s="188" t="n"/>
      <x:c r="R39" s="52" t="n"/>
    </x:row>
    <x:row r="40">
      <x:c r="A40" s="118" t="inlineStr">
        <x:is>
          <x:t xml:space="preserve">CONTRIB.PROJECT</x:t>
        </x:is>
      </x:c>
      <x:c r="B40" s="118" t="inlineStr">
        <x:is>
          <x:t xml:space="preserve">Проект</x:t>
        </x:is>
      </x:c>
      <x:c r="C40" s="118" t="inlineStr">
        <x:is>
          <x:t xml:space="preserve">СОВОКУПНЫЙ МАРЖИНАЛЬНЫЙ РЕЗУЛЬТАТ</x:t>
        </x:is>
      </x:c>
      <x:c r="D40" s="190" t="n">
        <x:f>D30+D38</x:f>
        <x:v>2461744.0435714284</x:v>
      </x:c>
      <x:c r="E40" s="190" t="n">
        <x:f>E30+E38</x:f>
        <x:v>2571674.018357143</x:v>
      </x:c>
      <x:c r="F40" s="190" t="n">
        <x:f>F30+F38</x:f>
        <x:v>2481036.0435714284</x:v>
      </x:c>
      <x:c r="G40" s="190" t="n">
        <x:f>G30+G38</x:f>
        <x:v>2523839.3183571426</x:v>
      </x:c>
      <x:c r="H40" s="190" t="n">
        <x:f>H30+H38</x:f>
        <x:v>2604983.3183571426</x:v>
      </x:c>
      <x:c r="I40" s="190" t="n">
        <x:f>I30+I38</x:f>
        <x:v>2314069.3940000003</x:v>
      </x:c>
      <x:c r="J40" s="190" t="n">
        <x:f>J30+J38</x:f>
        <x:v>2509237.018357143</x:v>
      </x:c>
      <x:c r="K40" s="190" t="n">
        <x:f>K30+K38</x:f>
        <x:v>2464628.643571429</x:v>
      </x:c>
      <x:c r="L40" s="190" t="n">
        <x:f>L30+L38</x:f>
        <x:v>2549897.8183571426</x:v>
      </x:c>
      <x:c r="M40" s="190" t="n">
        <x:f>M30+M38</x:f>
        <x:v>2424142.143571429</x:v>
      </x:c>
      <x:c r="N40" s="190" t="n">
        <x:f>N30+N38</x:f>
        <x:v>2564325.8183571426</x:v>
      </x:c>
      <x:c r="O40" s="190" t="n">
        <x:f>O30+O38</x:f>
        <x:v>2517470.1183571424</x:v>
      </x:c>
      <x:c r="P40" s="190" t="n">
        <x:f>SUM(D40:O40)</x:f>
        <x:v>29987047.69678572</x:v>
      </x:c>
      <x:c r="Q40" s="190" t="n">
        <x:f>P40/12</x:f>
        <x:v>2498920.64139881</x:v>
      </x:c>
      <x:c r="R40" s="118" t="inlineStr">
        <x:is>
          <x:t xml:space="preserve">руб.</x:t>
        </x:is>
      </x:c>
    </x:row>
    <x:row r="41">
      <x:c r="A41" t="str">
        <x:v>COGS.HOTEL.DINNER.REV</x:v>
      </x:c>
      <x:c r="B41" t="str">
        <x:v>Гостиница — ужины</x:v>
      </x:c>
      <x:c r="C41" t="inlineStr">
        <x:is>
          <x:t xml:space="preserve">Доходы ужинов</x:t>
        </x:is>
      </x:c>
      <x:c r="D41" t="n">
        <x:f>'03_ДОХОДЫ'!D41</x:f>
        <x:v>300000</x:v>
      </x:c>
      <x:c r="E41" t="n">
        <x:f>'03_ДОХОДЫ'!E41</x:f>
        <x:v>310000</x:v>
      </x:c>
      <x:c r="F41" t="n">
        <x:f>'03_ДОХОДЫ'!F41</x:f>
        <x:v>300000</x:v>
      </x:c>
      <x:c r="G41" t="n">
        <x:f>'03_ДОХОДЫ'!G41</x:f>
        <x:v>310000</x:v>
      </x:c>
      <x:c r="H41" t="n">
        <x:f>'03_ДОХОДЫ'!H41</x:f>
        <x:v>310000</x:v>
      </x:c>
      <x:c r="I41" t="n">
        <x:f>'03_ДОХОДЫ'!I41</x:f>
        <x:v>280000</x:v>
      </x:c>
      <x:c r="J41" t="n">
        <x:f>'03_ДОХОДЫ'!J41</x:f>
        <x:v>310000</x:v>
      </x:c>
      <x:c r="K41" t="n">
        <x:f>'03_ДОХОДЫ'!K41</x:f>
        <x:v>300000</x:v>
      </x:c>
      <x:c r="L41" t="n">
        <x:f>'03_ДОХОДЫ'!L41</x:f>
        <x:v>310000</x:v>
      </x:c>
      <x:c r="M41" t="n">
        <x:f>'03_ДОХОДЫ'!M41</x:f>
        <x:v>300000</x:v>
      </x:c>
      <x:c r="N41" t="n">
        <x:f>'03_ДОХОДЫ'!N41</x:f>
        <x:v>310000</x:v>
      </x:c>
      <x:c r="O41" t="n">
        <x:f>'03_ДОХОДЫ'!O41</x:f>
        <x:v>310000</x:v>
      </x:c>
      <x:c r="P41" t="n">
        <x:f>SUM(D41:O41)</x:f>
        <x:v>3650000</x:v>
      </x:c>
      <x:c r="Q41" t="n">
        <x:f>P41/12</x:f>
        <x:v>304166.6666666667</x:v>
      </x:c>
      <x:c r="R41" t="inlineStr">
        <x:is>
          <x:t xml:space="preserve">руб.</x:t>
        </x:is>
      </x:c>
    </x:row>
    <x:row r="42">
      <x:c r="A42" t="str">
        <x:v>COGS.HOTEL.DINNER</x:v>
      </x:c>
      <x:c r="B42" t="str">
        <x:v>Гостиница — ужины</x:v>
      </x:c>
      <x:c r="C42" t="inlineStr">
        <x:is>
          <x:t xml:space="preserve">Food cost ужинов 30% — как a-la carte</x:t>
        </x:is>
      </x:c>
      <x:c r="D42" t="n">
        <x:f>D41*'01_ВВОД'!$D$122</x:f>
        <x:v>90000</x:v>
      </x:c>
      <x:c r="E42" t="n">
        <x:f>E41*'01_ВВОД'!$D$122</x:f>
        <x:v>93000</x:v>
      </x:c>
      <x:c r="F42" t="n">
        <x:f>F41*'01_ВВОД'!$D$122</x:f>
        <x:v>90000</x:v>
      </x:c>
      <x:c r="G42" t="n">
        <x:f>G41*'01_ВВОД'!$D$122</x:f>
        <x:v>93000</x:v>
      </x:c>
      <x:c r="H42" t="n">
        <x:f>H41*'01_ВВОД'!$D$122</x:f>
        <x:v>93000</x:v>
      </x:c>
      <x:c r="I42" t="n">
        <x:f>I41*'01_ВВОД'!$D$122</x:f>
        <x:v>84000</x:v>
      </x:c>
      <x:c r="J42" t="n">
        <x:f>J41*'01_ВВОД'!$D$122</x:f>
        <x:v>93000</x:v>
      </x:c>
      <x:c r="K42" t="n">
        <x:f>K41*'01_ВВОД'!$D$122</x:f>
        <x:v>90000</x:v>
      </x:c>
      <x:c r="L42" t="n">
        <x:f>L41*'01_ВВОД'!$D$122</x:f>
        <x:v>93000</x:v>
      </x:c>
      <x:c r="M42" t="n">
        <x:f>M41*'01_ВВОД'!$D$122</x:f>
        <x:v>90000</x:v>
      </x:c>
      <x:c r="N42" t="n">
        <x:f>N41*'01_ВВОД'!$D$122</x:f>
        <x:v>93000</x:v>
      </x:c>
      <x:c r="O42" t="n">
        <x:f>O41*'01_ВВОД'!$D$122</x:f>
        <x:v>93000</x:v>
      </x:c>
      <x:c r="P42" t="n">
        <x:f>SUM(D42:O42)</x:f>
        <x:v>1095000</x:v>
      </x:c>
      <x:c r="Q42" t="n">
        <x:f>P42/12</x:f>
        <x:v>91250</x:v>
      </x:c>
      <x:c r="R42" t="inlineStr">
        <x:is>
          <x:t xml:space="preserve">руб.</x:t>
        </x:is>
      </x:c>
    </x:row>
    <x:row r="44">
      <x:c r="A44" t="str">
        <x:v>COGS.COFFEE_TEA.REV</x:v>
      </x:c>
      <x:c r="B44" t="str">
        <x:v>КОФЕ&amp;ЧАЙ</x:v>
      </x:c>
      <x:c r="C44" t="str">
        <x:v>Доходы напитков бариста</x:v>
      </x:c>
      <x:c r="D44" t="n">
        <x:f>'03_ДОХОДЫ'!D46</x:f>
        <x:v>469800</x:v>
      </x:c>
      <x:c r="E44" t="n">
        <x:f>'03_ДОХОДЫ'!E46</x:f>
        <x:v>488100</x:v>
      </x:c>
      <x:c r="F44" t="n">
        <x:f>'03_ДОХОДЫ'!F46</x:f>
        <x:v>432600</x:v>
      </x:c>
      <x:c r="G44" t="n">
        <x:f>'03_ДОХОДЫ'!G46</x:f>
        <x:v>445200</x:v>
      </x:c>
      <x:c r="H44" t="n">
        <x:f>'03_ДОХОДЫ'!H46</x:f>
        <x:v>436800</x:v>
      </x:c>
      <x:c r="I44" t="n">
        <x:f>'03_ДОХОДЫ'!I46</x:f>
        <x:v>402300</x:v>
      </x:c>
      <x:c r="J44" t="n">
        <x:f>'03_ДОХОДЫ'!J46</x:f>
        <x:v>442500</x:v>
      </x:c>
      <x:c r="K44" t="n">
        <x:f>'03_ДОХОДЫ'!K46</x:f>
        <x:v>436200</x:v>
      </x:c>
      <x:c r="L44" t="n">
        <x:f>'03_ДОХОДЫ'!L46</x:f>
        <x:v>446700</x:v>
      </x:c>
      <x:c r="M44" t="n">
        <x:f>'03_ДОХОДЫ'!M46</x:f>
        <x:v>428700</x:v>
      </x:c>
      <x:c r="N44" t="n">
        <x:f>'03_ДОХОДЫ'!N46</x:f>
        <x:v>452700</x:v>
      </x:c>
      <x:c r="O44" t="n">
        <x:f>'03_ДОХОДЫ'!O46</x:f>
        <x:v>444000</x:v>
      </x:c>
      <x:c r="P44" t="n">
        <x:f>SUM(D44:O44)</x:f>
        <x:v>5325600</x:v>
      </x:c>
      <x:c r="Q44" t="n">
        <x:f>P44/12</x:f>
        <x:v>443800</x:v>
      </x:c>
      <x:c r="R44" t="str">
        <x:v>руб.</x:v>
      </x:c>
    </x:row>
    <x:row r="45">
      <x:c r="A45" t="str">
        <x:v>COGS.COFFEE_TEA</x:v>
      </x:c>
      <x:c r="B45" t="str">
        <x:v>КОФЕ&amp;ЧАЙ</x:v>
      </x:c>
      <x:c r="C45" t="str">
        <x:v>Прямая себестоимость напитков</x:v>
      </x:c>
      <x:c r="D45" t="n">
        <x:f>'03_ДОХОДЫ'!D44*'01_ВВОД'!$D$129</x:f>
        <x:v>93960</x:v>
      </x:c>
      <x:c r="E45" t="n">
        <x:f>'03_ДОХОДЫ'!E44*'01_ВВОД'!$D$129</x:f>
        <x:v>97620</x:v>
      </x:c>
      <x:c r="F45" t="n">
        <x:f>'03_ДОХОДЫ'!F44*'01_ВВОД'!$D$129</x:f>
        <x:v>86520</x:v>
      </x:c>
      <x:c r="G45" t="n">
        <x:f>'03_ДОХОДЫ'!G44*'01_ВВОД'!$D$129</x:f>
        <x:v>89040</x:v>
      </x:c>
      <x:c r="H45" t="n">
        <x:f>'03_ДОХОДЫ'!H44*'01_ВВОД'!$D$129</x:f>
        <x:v>87360</x:v>
      </x:c>
      <x:c r="I45" t="n">
        <x:f>'03_ДОХОДЫ'!I44*'01_ВВОД'!$D$129</x:f>
        <x:v>80460</x:v>
      </x:c>
      <x:c r="J45" t="n">
        <x:f>'03_ДОХОДЫ'!J44*'01_ВВОД'!$D$129</x:f>
        <x:v>88500</x:v>
      </x:c>
      <x:c r="K45" t="n">
        <x:f>'03_ДОХОДЫ'!K44*'01_ВВОД'!$D$129</x:f>
        <x:v>87240</x:v>
      </x:c>
      <x:c r="L45" t="n">
        <x:f>'03_ДОХОДЫ'!L44*'01_ВВОД'!$D$129</x:f>
        <x:v>89340</x:v>
      </x:c>
      <x:c r="M45" t="n">
        <x:f>'03_ДОХОДЫ'!M44*'01_ВВОД'!$D$129</x:f>
        <x:v>85740</x:v>
      </x:c>
      <x:c r="N45" t="n">
        <x:f>'03_ДОХОДЫ'!N44*'01_ВВОД'!$D$129</x:f>
        <x:v>90540</x:v>
      </x:c>
      <x:c r="O45" t="n">
        <x:f>'03_ДОХОДЫ'!O44*'01_ВВОД'!$D$129</x:f>
        <x:v>88800</x:v>
      </x:c>
      <x:c r="P45" t="n">
        <x:f>SUM(D45:O45)</x:f>
        <x:v>1065120</x:v>
      </x:c>
      <x:c r="Q45" t="n">
        <x:f>P45/12</x:f>
        <x:v>88760</x:v>
      </x:c>
      <x:c r="R45" t="str">
        <x:v>руб.</x:v>
      </x:c>
    </x:row>
  </x:sheetData>
  <x:mergeCells>
    <x:mergeCell ref="A2:R2"/>
    <x:mergeCell ref="A32:R32"/>
    <x:mergeCell ref="A1:R1"/>
    <x:mergeCell ref="A5:R5"/>
    <x:mergeCell ref="A22:R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5" style="174" customWidth="1"/>
    <x:col min="2" max="2" width="30" style="174" customWidth="1"/>
    <x:col min="3" max="3" width="16" style="174" customWidth="1"/>
    <x:col min="4" max="4" width="16" style="174" customWidth="1"/>
    <x:col min="5" max="5" width="16" style="174" customWidth="1"/>
    <x:col min="6" max="6" width="16" style="174" customWidth="1"/>
    <x:col min="7" max="7" width="16" style="174" customWidth="1"/>
    <x:col min="8" max="8" width="16" style="174" customWidth="1"/>
    <x:col min="9" max="9" width="16" style="174" customWidth="1"/>
    <x:col min="10" max="10" width="24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3" style="174" customWidth="1"/>
  </x:cols>
  <x:sheetData>
    <x:row r="1" s="174" customFormat="1" ht="28" customHeight="1">
      <x:c r="A1" s="134" t="inlineStr">
        <x:is>
          <x:t xml:space="preserve">ФОТ, НДФЛ, страховые взносы и подрядчики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Ставки сотрудников заданы как суммы «на руки». Gross = Net / (1 − НДФЛ). Страховые взносы начисляются только на штат; бухгалтерия и ИТ — самозанятые.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  <x:c r="H3" s="52" t="n"/>
      <x:c r="I3" s="52" t="n"/>
      <x:c r="J3" s="52" t="n"/>
      <x:c r="K3" s="52" t="n"/>
      <x:c r="L3" s="52" t="n"/>
      <x:c r="M3" s="52" t="n"/>
      <x:c r="N3" s="52" t="n"/>
      <x:c r="O3" s="52" t="n"/>
      <x:c r="P3" s="52" t="n"/>
      <x:c r="Q3" s="52" t="n"/>
      <x:c r="R3" s="52" t="n"/>
    </x:row>
    <x:row r="4">
      <x:c r="A4" s="122" t="inlineStr">
        <x:is>
          <x:t xml:space="preserve">ДЕТАЛИЗАЦИЯ ШТАТА КАФЕ</x:t>
        </x:is>
      </x:c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52" t="n"/>
      <x:c r="L4" s="52" t="n"/>
      <x:c r="M4" s="52" t="n"/>
      <x:c r="N4" s="52" t="n"/>
      <x:c r="O4" s="52" t="n"/>
      <x:c r="P4" s="52" t="n"/>
      <x:c r="Q4" s="52" t="n"/>
      <x:c r="R4" s="52" t="n"/>
    </x:row>
    <x:row r="5">
      <x:c r="A5" s="18" t="inlineStr">
        <x:is>
          <x:t xml:space="preserve">Код</x:t>
        </x:is>
      </x:c>
      <x:c r="B5" s="18" t="inlineStr">
        <x:is>
          <x:t xml:space="preserve">Должность</x:t>
        </x:is>
      </x:c>
      <x:c r="C5" s="18" t="inlineStr">
        <x:is>
          <x:t xml:space="preserve">Ставка net, руб./день</x:t>
        </x:is>
      </x:c>
      <x:c r="D5" s="18" t="inlineStr">
        <x:is>
          <x:t xml:space="preserve">Дней/мес.</x:t>
        </x:is>
      </x:c>
      <x:c r="E5" s="18" t="inlineStr">
        <x:is>
          <x:t xml:space="preserve">Net, руб./мес.</x:t>
        </x:is>
      </x:c>
      <x:c r="F5" s="18" t="inlineStr">
        <x:is>
          <x:t xml:space="preserve">Gross, руб./мес.</x:t>
        </x:is>
      </x:c>
      <x:c r="G5" s="18" t="inlineStr">
        <x:is>
          <x:t xml:space="preserve">НДФЛ</x:t>
        </x:is>
      </x:c>
      <x:c r="H5" s="18" t="inlineStr">
        <x:is>
          <x:t xml:space="preserve">Страховые взносы</x:t>
        </x:is>
      </x:c>
      <x:c r="I5" s="18" t="inlineStr">
        <x:is>
          <x:t xml:space="preserve">Стоимость работодателя</x:t>
        </x:is>
      </x:c>
      <x:c r="J5" s="18" t="inlineStr">
        <x:is>
          <x:t xml:space="preserve">USALI</x:t>
        </x:is>
      </x:c>
      <x:c r="K5" s="52" t="n"/>
      <x:c r="L5" s="52" t="n"/>
      <x:c r="M5" s="52" t="n"/>
      <x:c r="N5" s="52" t="n"/>
      <x:c r="O5" s="52" t="n"/>
      <x:c r="P5" s="52" t="n"/>
      <x:c r="Q5" s="52" t="n"/>
      <x:c r="R5" s="52" t="n"/>
    </x:row>
    <x:row r="6">
      <x:c r="A6" s="52" t="inlineStr">
        <x:is>
          <x:t xml:space="preserve">PAY.CHEF</x:t>
        </x:is>
      </x:c>
      <x:c r="B6" s="52" t="inlineStr">
        <x:is>
          <x:t xml:space="preserve">Шеф</x:t>
        </x:is>
      </x:c>
      <x:c r="C6" s="188" t="n">
        <x:f>'01_ВВОД'!$D$63</x:f>
        <x:v>6000</x:v>
      </x:c>
      <x:c r="D6" s="188" t="n">
        <x:f>'01_ВВОД'!$D$64</x:f>
        <x:v>22</x:v>
      </x:c>
      <x:c r="E6" s="188" t="n">
        <x:f>C6*D6</x:f>
        <x:v>132000</x:v>
      </x:c>
      <x:c r="F6" s="188" t="n">
        <x:f>E6/(1-'01_ВВОД'!$D$60)</x:f>
        <x:v>151724.1379310345</x:v>
      </x:c>
      <x:c r="G6" s="188" t="n">
        <x:f>F6-E6</x:f>
        <x:v>19724.137931034493</x:v>
      </x:c>
      <x:c r="H6" s="188" t="n">
        <x:f>F6*'01_ВВОД'!$D$61</x:f>
        <x:v>45517.24137931035</x:v>
      </x:c>
      <x:c r="I6" s="188" t="n">
        <x:f>F6+H6</x:f>
        <x:v>197241.37931034484</x:v>
      </x:c>
      <x:c r="J6" s="52" t="inlineStr">
        <x:is>
          <x:t xml:space="preserve">Kitchen Payroll</x:t>
        </x:is>
      </x:c>
      <x:c r="K6" s="52" t="n"/>
      <x:c r="L6" s="52" t="n"/>
      <x:c r="M6" s="52" t="n"/>
      <x:c r="N6" s="52" t="n"/>
      <x:c r="O6" s="52" t="n"/>
      <x:c r="P6" s="52" t="n"/>
      <x:c r="Q6" s="52" t="n"/>
      <x:c r="R6" s="52" t="n"/>
    </x:row>
    <x:row r="7">
      <x:c r="A7" s="52" t="inlineStr">
        <x:is>
          <x:t xml:space="preserve">PAY.SOUS</x:t>
        </x:is>
      </x:c>
      <x:c r="B7" s="52" t="inlineStr">
        <x:is>
          <x:t xml:space="preserve">Су-шеф</x:t>
        </x:is>
      </x:c>
      <x:c r="C7" s="188" t="n">
        <x:f>'01_ВВОД'!$D$65</x:f>
        <x:v>6000</x:v>
      </x:c>
      <x:c r="D7" s="188" t="n">
        <x:f>'01_ВВОД'!$D$66</x:f>
        <x:v>22</x:v>
      </x:c>
      <x:c r="E7" s="188" t="n">
        <x:f>C7*D7</x:f>
        <x:v>132000</x:v>
      </x:c>
      <x:c r="F7" s="188" t="n">
        <x:f>E7/(1-'01_ВВОД'!$D$60)</x:f>
        <x:v>151724.1379310345</x:v>
      </x:c>
      <x:c r="G7" s="188" t="n">
        <x:f>F7-E7</x:f>
        <x:v>19724.137931034493</x:v>
      </x:c>
      <x:c r="H7" s="188" t="n">
        <x:f>F7*'01_ВВОД'!$D$61</x:f>
        <x:v>45517.24137931035</x:v>
      </x:c>
      <x:c r="I7" s="188" t="n">
        <x:f>F7+H7</x:f>
        <x:v>197241.37931034484</x:v>
      </x:c>
      <x:c r="J7" s="52" t="inlineStr">
        <x:is>
          <x:t xml:space="preserve">Kitchen Payroll</x:t>
        </x:is>
      </x:c>
      <x:c r="K7" s="52" t="n"/>
      <x:c r="L7" s="52" t="n"/>
      <x:c r="M7" s="52" t="n"/>
      <x:c r="N7" s="52" t="n"/>
      <x:c r="O7" s="52" t="n"/>
      <x:c r="P7" s="52" t="n"/>
      <x:c r="Q7" s="52" t="n"/>
      <x:c r="R7" s="52" t="n"/>
    </x:row>
    <x:row r="8">
      <x:c r="A8" s="52" t="inlineStr">
        <x:is>
          <x:t xml:space="preserve">PAY.COOK</x:t>
        </x:is>
      </x:c>
      <x:c r="B8" s="52" t="inlineStr">
        <x:is>
          <x:t xml:space="preserve">Повар</x:t>
        </x:is>
      </x:c>
      <x:c r="C8" s="188" t="n">
        <x:f>'01_ВВОД'!$D$67</x:f>
        <x:v>5000</x:v>
      </x:c>
      <x:c r="D8" s="188" t="n">
        <x:f>'01_ВВОД'!$D$68</x:f>
        <x:v>22</x:v>
      </x:c>
      <x:c r="E8" s="188" t="n">
        <x:f>C8*D8</x:f>
        <x:v>110000</x:v>
      </x:c>
      <x:c r="F8" s="188" t="n">
        <x:f>E8/(1-'01_ВВОД'!$D$60)</x:f>
        <x:v>126436.7816091954</x:v>
      </x:c>
      <x:c r="G8" s="188" t="n">
        <x:f>F8-E8</x:f>
        <x:v>16436.7816091954</x:v>
      </x:c>
      <x:c r="H8" s="188" t="n">
        <x:f>F8*'01_ВВОД'!$D$61</x:f>
        <x:v>37931.034482758616</x:v>
      </x:c>
      <x:c r="I8" s="188" t="n">
        <x:f>F8+H8</x:f>
        <x:v>164367.816091954</x:v>
      </x:c>
      <x:c r="J8" s="52" t="inlineStr">
        <x:is>
          <x:t xml:space="preserve">Kitchen Payroll</x:t>
        </x:is>
      </x:c>
      <x:c r="K8" s="52" t="n"/>
      <x:c r="L8" s="52" t="n"/>
      <x:c r="M8" s="52" t="n"/>
      <x:c r="N8" s="52" t="n"/>
      <x:c r="O8" s="52" t="n"/>
      <x:c r="P8" s="52" t="n"/>
      <x:c r="Q8" s="52" t="n"/>
      <x:c r="R8" s="52" t="n"/>
    </x:row>
    <x:row r="9">
      <x:c r="A9" s="52" t="inlineStr">
        <x:is>
          <x:t xml:space="preserve">PAY.BAR</x:t>
        </x:is>
      </x:c>
      <x:c r="B9" s="52" t="inlineStr">
        <x:is>
          <x:t xml:space="preserve">Бармен-бариста-кассир</x:t>
        </x:is>
      </x:c>
      <x:c r="C9" s="188" t="n">
        <x:f>'01_ВВОД'!$D$69</x:f>
        <x:v>5000</x:v>
      </x:c>
      <x:c r="D9" s="188" t="n">
        <x:f>'01_ВВОД'!$D$70</x:f>
        <x:v>31</x:v>
      </x:c>
      <x:c r="E9" s="188" t="n">
        <x:f>C9*D9</x:f>
        <x:v>155000</x:v>
      </x:c>
      <x:c r="F9" s="188" t="n">
        <x:f>E9/(1-'01_ВВОД'!$D$60)</x:f>
        <x:v>178160.9195402299</x:v>
      </x:c>
      <x:c r="G9" s="188" t="n">
        <x:f>F9-E9</x:f>
        <x:v>23160.919540229894</x:v>
      </x:c>
      <x:c r="H9" s="188" t="n">
        <x:f>F9*'01_ВВОД'!$D$61</x:f>
        <x:v>53448.275862068964</x:v>
      </x:c>
      <x:c r="I9" s="188" t="n">
        <x:f>F9+H9</x:f>
        <x:v>231609.19540229885</x:v>
      </x:c>
      <x:c r="J9" s="52" t="inlineStr">
        <x:is>
          <x:t xml:space="preserve">Restaurant Payroll</x:t>
        </x:is>
      </x:c>
      <x:c r="K9" s="52" t="n"/>
      <x:c r="L9" s="52" t="n"/>
      <x:c r="M9" s="52" t="n"/>
      <x:c r="N9" s="52" t="n"/>
      <x:c r="O9" s="52" t="n"/>
      <x:c r="P9" s="52" t="n"/>
      <x:c r="Q9" s="52" t="n"/>
      <x:c r="R9" s="52" t="n"/>
    </x:row>
    <x:row r="10">
      <x:c r="A10" s="52" t="inlineStr">
        <x:is>
          <x:t xml:space="preserve">PAY.GM</x:t>
        </x:is>
      </x:c>
      <x:c r="B10" s="52" t="inlineStr">
        <x:is>
          <x:t xml:space="preserve">Управляющий</x:t>
        </x:is>
      </x:c>
      <x:c r="C10" s="188" t="n">
        <x:f>'01_ВВОД'!$D$71</x:f>
        <x:v>6000</x:v>
      </x:c>
      <x:c r="D10" s="188" t="n">
        <x:f>'01_ВВОД'!$D$72</x:f>
        <x:v>22</x:v>
      </x:c>
      <x:c r="E10" s="188" t="n">
        <x:f>C10*D10</x:f>
        <x:v>132000</x:v>
      </x:c>
      <x:c r="F10" s="188" t="n">
        <x:f>E10/(1-'01_ВВОД'!$D$60)</x:f>
        <x:v>151724.1379310345</x:v>
      </x:c>
      <x:c r="G10" s="188" t="n">
        <x:f>F10-E10</x:f>
        <x:v>19724.137931034493</x:v>
      </x:c>
      <x:c r="H10" s="188" t="n">
        <x:f>F10*'01_ВВОД'!$D$61</x:f>
        <x:v>45517.24137931035</x:v>
      </x:c>
      <x:c r="I10" s="188" t="n">
        <x:f>F10+H10</x:f>
        <x:v>197241.37931034484</x:v>
      </x:c>
      <x:c r="J10" s="52" t="inlineStr">
        <x:is>
          <x:t xml:space="preserve">F&amp;B Management</x:t>
        </x:is>
      </x:c>
      <x:c r="K10" s="52" t="n"/>
      <x:c r="L10" s="52" t="n"/>
      <x:c r="M10" s="52" t="n"/>
      <x:c r="N10" s="52" t="n"/>
      <x:c r="O10" s="52" t="n"/>
      <x:c r="P10" s="52" t="n"/>
      <x:c r="Q10" s="52" t="n"/>
      <x:c r="R10" s="52" t="n"/>
    </x:row>
    <x:row r="11">
      <x:c r="A11" s="52" t="inlineStr">
        <x:is>
          <x:t xml:space="preserve">PAY.MGR</x:t>
        </x:is>
      </x:c>
      <x:c r="B11" s="52" t="inlineStr">
        <x:is>
          <x:t xml:space="preserve">Менеджер</x:t>
        </x:is>
      </x:c>
      <x:c r="C11" s="188" t="n">
        <x:f>'01_ВВОД'!$D$73</x:f>
        <x:v>6000</x:v>
      </x:c>
      <x:c r="D11" s="188" t="n">
        <x:f>'01_ВВОД'!$D$74</x:f>
        <x:v>22</x:v>
      </x:c>
      <x:c r="E11" s="188" t="n">
        <x:f>C11*D11</x:f>
        <x:v>132000</x:v>
      </x:c>
      <x:c r="F11" s="188" t="n">
        <x:f>E11/(1-'01_ВВОД'!$D$60)</x:f>
        <x:v>151724.1379310345</x:v>
      </x:c>
      <x:c r="G11" s="188" t="n">
        <x:f>F11-E11</x:f>
        <x:v>19724.137931034493</x:v>
      </x:c>
      <x:c r="H11" s="188" t="n">
        <x:f>F11*'01_ВВОД'!$D$61</x:f>
        <x:v>45517.24137931035</x:v>
      </x:c>
      <x:c r="I11" s="188" t="n">
        <x:f>F11+H11</x:f>
        <x:v>197241.37931034484</x:v>
      </x:c>
      <x:c r="J11" s="52" t="inlineStr">
        <x:is>
          <x:t xml:space="preserve">F&amp;B Management</x:t>
        </x:is>
      </x:c>
      <x:c r="K11" s="52" t="n"/>
      <x:c r="L11" s="52" t="n"/>
      <x:c r="M11" s="52" t="n"/>
      <x:c r="N11" s="52" t="n"/>
      <x:c r="O11" s="52" t="n"/>
      <x:c r="P11" s="52" t="n"/>
      <x:c r="Q11" s="52" t="n"/>
      <x:c r="R11" s="52" t="n"/>
    </x:row>
    <x:row r="12">
      <x:c r="A12" s="52" t="inlineStr">
        <x:is>
          <x:t xml:space="preserve">PAY.CLEAN</x:t>
        </x:is>
      </x:c>
      <x:c r="B12" s="52" t="inlineStr">
        <x:is>
          <x:t xml:space="preserve">Уборщица-посудомойка</x:t>
        </x:is>
      </x:c>
      <x:c r="C12" s="188" t="n">
        <x:f>'01_ВВОД'!$D$75</x:f>
        <x:v>5000</x:v>
      </x:c>
      <x:c r="D12" s="188" t="n">
        <x:f>'01_ВВОД'!$D$76</x:f>
        <x:v>31</x:v>
      </x:c>
      <x:c r="E12" s="188" t="n">
        <x:f>C12*D12</x:f>
        <x:v>155000</x:v>
      </x:c>
      <x:c r="F12" s="188" t="n">
        <x:f>E12/(1-'01_ВВОД'!$D$60)</x:f>
        <x:v>178160.9195402299</x:v>
      </x:c>
      <x:c r="G12" s="188" t="n">
        <x:f>F12-E12</x:f>
        <x:v>23160.919540229894</x:v>
      </x:c>
      <x:c r="H12" s="188" t="n">
        <x:f>F12*'01_ВВОД'!$D$61</x:f>
        <x:v>53448.275862068964</x:v>
      </x:c>
      <x:c r="I12" s="188" t="n">
        <x:f>F12+H12</x:f>
        <x:v>231609.19540229885</x:v>
      </x:c>
      <x:c r="J12" s="52" t="inlineStr">
        <x:is>
          <x:t xml:space="preserve">Stewarding Payroll</x:t>
        </x:is>
      </x:c>
      <x:c r="K12" s="52" t="n"/>
      <x:c r="L12" s="52" t="n"/>
      <x:c r="M12" s="52" t="n"/>
      <x:c r="N12" s="52" t="n"/>
      <x:c r="O12" s="52" t="n"/>
      <x:c r="P12" s="52" t="n"/>
      <x:c r="Q12" s="52" t="n"/>
      <x:c r="R12" s="52" t="n"/>
    </x:row>
    <x:row r="13">
      <x:c r="A13" s="52" t="inlineStr">
        <x:is>
          <x:t xml:space="preserve">PAY.BUY</x:t>
        </x:is>
      </x:c>
      <x:c r="B13" s="52" t="inlineStr">
        <x:is>
          <x:t xml:space="preserve">Снабженец</x:t>
        </x:is>
      </x:c>
      <x:c r="C13" s="188" t="n">
        <x:f>'01_ВВОД'!$D$77</x:f>
        <x:v>7000</x:v>
      </x:c>
      <x:c r="D13" s="188" t="n">
        <x:f>'01_ВВОД'!$D$78</x:f>
        <x:v>10</x:v>
      </x:c>
      <x:c r="E13" s="188" t="n">
        <x:f>C13*D13</x:f>
        <x:v>70000</x:v>
      </x:c>
      <x:c r="F13" s="188" t="n">
        <x:f>E13/(1-'01_ВВОД'!$D$60)</x:f>
        <x:v>80459.77011494253</x:v>
      </x:c>
      <x:c r="G13" s="188" t="n">
        <x:f>F13-E13</x:f>
        <x:v>10459.770114942527</x:v>
      </x:c>
      <x:c r="H13" s="188" t="n">
        <x:f>F13*'01_ВВОД'!$D$61</x:f>
        <x:v>24137.931034482757</x:v>
      </x:c>
      <x:c r="I13" s="188" t="n">
        <x:f>F13+H13</x:f>
        <x:v>104597.70114942528</x:v>
      </x:c>
      <x:c r="J13" s="52" t="inlineStr">
        <x:is>
          <x:t xml:space="preserve">Purchasing Payroll</x:t>
        </x:is>
      </x:c>
      <x:c r="K13" s="52" t="n"/>
      <x:c r="L13" s="52" t="n"/>
      <x:c r="M13" s="52" t="n"/>
      <x:c r="N13" s="52" t="n"/>
      <x:c r="O13" s="52" t="n"/>
      <x:c r="P13" s="52" t="n"/>
      <x:c r="Q13" s="52" t="n"/>
      <x:c r="R13" s="52" t="n"/>
    </x:row>
    <x:row r="14">
      <x:c r="A14" s="52" t="inlineStr">
        <x:is>
          <x:t xml:space="preserve">PAY.DELMGR</x:t>
        </x:is>
      </x:c>
      <x:c r="B14" s="52" t="inlineStr">
        <x:is>
          <x:t xml:space="preserve">Менеджер доставки</x:t>
        </x:is>
      </x:c>
      <x:c r="C14" s="188" t="n">
        <x:f>'01_ВВОД'!$D$79</x:f>
        <x:v>5000</x:v>
      </x:c>
      <x:c r="D14" s="188" t="n">
        <x:f>'01_ВВОД'!$D$80</x:f>
        <x:v>31</x:v>
      </x:c>
      <x:c r="E14" s="188" t="n">
        <x:f>C14*D14</x:f>
        <x:v>155000</x:v>
      </x:c>
      <x:c r="F14" s="188" t="n">
        <x:f>E14/(1-'01_ВВОД'!$D$60)</x:f>
        <x:v>178160.9195402299</x:v>
      </x:c>
      <x:c r="G14" s="188" t="n">
        <x:f>F14-E14</x:f>
        <x:v>23160.919540229894</x:v>
      </x:c>
      <x:c r="H14" s="188" t="n">
        <x:f>F14*'01_ВВОД'!$D$61</x:f>
        <x:v>53448.275862068964</x:v>
      </x:c>
      <x:c r="I14" s="188" t="n">
        <x:f>F14+H14</x:f>
        <x:v>231609.19540229885</x:v>
      </x:c>
      <x:c r="J14" s="52" t="inlineStr">
        <x:is>
          <x:t xml:space="preserve">Delivery Payroll</x:t>
        </x:is>
      </x:c>
      <x:c r="K14" s="52" t="n"/>
      <x:c r="L14" s="52" t="n"/>
      <x:c r="M14" s="52" t="n"/>
      <x:c r="N14" s="52" t="n"/>
      <x:c r="O14" s="52" t="n"/>
      <x:c r="P14" s="52" t="n"/>
      <x:c r="Q14" s="52" t="n"/>
      <x:c r="R14" s="52" t="n"/>
    </x:row>
    <x:row r="15">
      <x:c r="A15" s="124" t="inlineStr">
        <x:is>
          <x:t xml:space="preserve">ИТОГО ШТАТ</x:t>
        </x:is>
      </x:c>
      <x:c r="B15" s="1" t="n"/>
      <x:c r="C15" s="1" t="n"/>
      <x:c r="D15" s="1" t="n"/>
      <x:c r="E15" s="203" t="n">
        <x:f>SUM(E6:E14)</x:f>
        <x:v>1173000</x:v>
      </x:c>
      <x:c r="F15" s="203" t="n">
        <x:f>SUM(F6:F14)</x:f>
        <x:v>1348275.8620689656</x:v>
      </x:c>
      <x:c r="G15" s="203" t="n">
        <x:f>SUM(G6:G14)</x:f>
        <x:v>175275.86206896557</x:v>
      </x:c>
      <x:c r="H15" s="203" t="n">
        <x:f>SUM(H6:H14)</x:f>
        <x:v>404482.75862068974</x:v>
      </x:c>
      <x:c r="I15" s="203" t="n">
        <x:f>SUM(I6:I14)</x:f>
        <x:v>1752758.620689655</x:v>
      </x:c>
      <x:c r="J15" s="118" t="n"/>
      <x:c r="K15" s="52" t="n"/>
      <x:c r="L15" s="52" t="n"/>
      <x:c r="M15" s="52" t="n"/>
      <x:c r="N15" s="52" t="n"/>
      <x:c r="O15" s="52" t="n"/>
      <x:c r="P15" s="52" t="n"/>
      <x:c r="Q15" s="52" t="n"/>
      <x:c r="R15" s="52" t="n"/>
    </x:row>
    <x:row r="16">
      <x:c r="A16" s="52" t="n"/>
      <x:c r="B16" s="52" t="n"/>
      <x:c r="C16" s="52" t="n"/>
      <x:c r="D16" s="52" t="n"/>
      <x:c r="E16" s="52" t="n"/>
      <x:c r="F16" s="52" t="n"/>
      <x:c r="G16" s="52" t="n"/>
      <x:c r="H16" s="52" t="n"/>
      <x:c r="I16" s="52" t="n"/>
      <x:c r="J16" s="52" t="n"/>
      <x:c r="K16" s="52" t="n"/>
      <x:c r="L16" s="52" t="n"/>
      <x:c r="M16" s="52" t="n"/>
      <x:c r="N16" s="52" t="n"/>
      <x:c r="O16" s="52" t="n"/>
      <x:c r="P16" s="52" t="n"/>
      <x:c r="Q16" s="52" t="n"/>
      <x:c r="R16" s="52" t="n"/>
    </x:row>
    <x:row r="17">
      <x:c r="A17" s="52" t="n"/>
      <x:c r="B17" s="52" t="n"/>
      <x:c r="C17" s="52" t="n"/>
      <x:c r="D17" s="52" t="n"/>
      <x:c r="E17" s="52" t="n"/>
      <x:c r="F17" s="52" t="n"/>
      <x:c r="G17" s="52" t="n"/>
      <x:c r="H17" s="52" t="n"/>
      <x:c r="I17" s="52" t="n"/>
      <x:c r="J17" s="52" t="n"/>
      <x:c r="K17" s="52" t="n"/>
      <x:c r="L17" s="52" t="n"/>
      <x:c r="M17" s="52" t="n"/>
      <x:c r="N17" s="52" t="n"/>
      <x:c r="O17" s="52" t="n"/>
      <x:c r="P17" s="52" t="n"/>
      <x:c r="Q17" s="52" t="n"/>
      <x:c r="R17" s="52" t="n"/>
    </x:row>
    <x:row r="18">
      <x:c r="A18" s="122" t="inlineStr">
        <x:is>
          <x:t xml:space="preserve">ПОДРЯДЧИКИ / САМОЗАНЯТЫЕ</x:t>
        </x:is>
      </x:c>
      <x:c r="B18" s="1" t="n"/>
      <x:c r="C18" s="1" t="n"/>
      <x:c r="D18" s="1" t="n"/>
      <x:c r="E18" s="1" t="n"/>
      <x:c r="F18" s="1" t="n"/>
      <x:c r="G18" s="52" t="n"/>
      <x:c r="H18" s="52" t="n"/>
      <x:c r="I18" s="52" t="n"/>
      <x:c r="J18" s="52" t="n"/>
      <x:c r="K18" s="52" t="n"/>
      <x:c r="L18" s="52" t="n"/>
      <x:c r="M18" s="52" t="n"/>
      <x:c r="N18" s="52" t="n"/>
      <x:c r="O18" s="52" t="n"/>
      <x:c r="P18" s="52" t="n"/>
      <x:c r="Q18" s="52" t="n"/>
      <x:c r="R18" s="52" t="n"/>
    </x:row>
    <x:row r="19">
      <x:c r="A19" s="18" t="inlineStr">
        <x:is>
          <x:t xml:space="preserve">Код</x:t>
        </x:is>
      </x:c>
      <x:c r="B19" s="18" t="inlineStr">
        <x:is>
          <x:t xml:space="preserve">Исполнитель</x:t>
        </x:is>
      </x:c>
      <x:c r="C19" s="18" t="inlineStr">
        <x:is>
          <x:t xml:space="preserve">Сумма, руб./мес.</x:t>
        </x:is>
      </x:c>
      <x:c r="D19" s="18" t="inlineStr">
        <x:is>
          <x:t xml:space="preserve">НДФЛ работодателя</x:t>
        </x:is>
      </x:c>
      <x:c r="E19" s="18" t="inlineStr">
        <x:is>
          <x:t xml:space="preserve">Страховые взносы</x:t>
        </x:is>
      </x:c>
      <x:c r="F19" s="18" t="inlineStr">
        <x:is>
          <x:t xml:space="preserve">USALI</x:t>
        </x:is>
      </x:c>
      <x:c r="G19" s="52" t="n"/>
      <x:c r="H19" s="52" t="n"/>
      <x:c r="I19" s="52" t="n"/>
      <x:c r="J19" s="52" t="n"/>
      <x:c r="K19" s="52" t="n"/>
      <x:c r="L19" s="52" t="n"/>
      <x:c r="M19" s="52" t="n"/>
      <x:c r="N19" s="52" t="n"/>
      <x:c r="O19" s="52" t="n"/>
      <x:c r="P19" s="52" t="n"/>
      <x:c r="Q19" s="52" t="n"/>
      <x:c r="R19" s="52" t="n"/>
    </x:row>
    <x:row r="20">
      <x:c r="A20" s="52" t="inlineStr">
        <x:is>
          <x:t xml:space="preserve">CONT.ACC</x:t>
        </x:is>
      </x:c>
      <x:c r="B20" s="52" t="inlineStr">
        <x:is>
          <x:t xml:space="preserve">Бухгалтер + бухгалтер-калькулятор</x:t>
        </x:is>
      </x:c>
      <x:c r="C20" s="188" t="n">
        <x:f>'01_ВВОД'!$D$81</x:f>
        <x:v>80000</x:v>
      </x:c>
      <x:c r="D20" s="201" t="n">
        <x:v>0</x:v>
      </x:c>
      <x:c r="E20" s="201" t="n">
        <x:v>0</x:v>
      </x:c>
      <x:c r="F20" s="52" t="inlineStr">
        <x:is>
          <x:t xml:space="preserve">Administrative &amp; General</x:t>
        </x:is>
      </x:c>
      <x:c r="G20" s="52" t="n"/>
      <x:c r="H20" s="52" t="n"/>
      <x:c r="I20" s="52" t="n"/>
      <x:c r="J20" s="52" t="n"/>
      <x:c r="K20" s="52" t="n"/>
      <x:c r="L20" s="52" t="n"/>
      <x:c r="M20" s="52" t="n"/>
      <x:c r="N20" s="52" t="n"/>
      <x:c r="O20" s="52" t="n"/>
      <x:c r="P20" s="52" t="n"/>
      <x:c r="Q20" s="52" t="n"/>
      <x:c r="R20" s="52" t="n"/>
    </x:row>
    <x:row r="21">
      <x:c r="A21" s="52" t="inlineStr">
        <x:is>
          <x:t xml:space="preserve">CONT.IT</x:t>
        </x:is>
      </x:c>
      <x:c r="B21" s="52" t="inlineStr">
        <x:is>
          <x:t xml:space="preserve">ИТ-специалист</x:t>
        </x:is>
      </x:c>
      <x:c r="C21" s="188" t="n">
        <x:f>'01_ВВОД'!$D$82</x:f>
        <x:v>30000</x:v>
      </x:c>
      <x:c r="D21" s="201" t="n">
        <x:v>0</x:v>
      </x:c>
      <x:c r="E21" s="201" t="n">
        <x:v>0</x:v>
      </x:c>
      <x:c r="F21" s="52" t="inlineStr">
        <x:is>
          <x:t xml:space="preserve">Information Systems / A&amp;G</x:t>
        </x:is>
      </x:c>
      <x:c r="G21" s="52" t="n"/>
      <x:c r="H21" s="52" t="n"/>
      <x:c r="I21" s="52" t="n"/>
      <x:c r="J21" s="52" t="n"/>
      <x:c r="K21" s="52" t="n"/>
      <x:c r="L21" s="52" t="n"/>
      <x:c r="M21" s="52" t="n"/>
      <x:c r="N21" s="52" t="n"/>
      <x:c r="O21" s="52" t="n"/>
      <x:c r="P21" s="52" t="n"/>
      <x:c r="Q21" s="52" t="n"/>
      <x:c r="R21" s="52" t="n"/>
    </x:row>
    <x:row r="22">
      <x:c r="A22" s="124" t="inlineStr">
        <x:is>
          <x:t xml:space="preserve">ИТОГО ПОДРЯДЧИКИ</x:t>
        </x:is>
      </x:c>
      <x:c r="B22" s="1" t="n"/>
      <x:c r="C22" s="203" t="n">
        <x:f>SUM(C20:C21)</x:f>
        <x:v>110000</x:v>
      </x:c>
      <x:c r="D22" s="203" t="n"/>
      <x:c r="E22" s="203" t="n"/>
      <x:c r="F22" s="118" t="n"/>
      <x:c r="G22" s="52" t="n"/>
      <x:c r="H22" s="52" t="n"/>
      <x:c r="I22" s="52" t="n"/>
      <x:c r="J22" s="52" t="n"/>
      <x:c r="K22" s="52" t="n"/>
      <x:c r="L22" s="52" t="n"/>
      <x:c r="M22" s="52" t="n"/>
      <x:c r="N22" s="52" t="n"/>
      <x:c r="O22" s="52" t="n"/>
      <x:c r="P22" s="52" t="n"/>
      <x:c r="Q22" s="52" t="n"/>
      <x:c r="R22" s="52" t="n"/>
    </x:row>
    <x:row r="23">
      <x:c r="A23" s="52" t="n"/>
      <x:c r="B23" s="52" t="n"/>
      <x:c r="C23" s="52" t="n"/>
      <x:c r="D23" s="52" t="n"/>
      <x:c r="E23" s="52" t="n"/>
      <x:c r="F23" s="52" t="n"/>
      <x:c r="G23" s="52" t="n"/>
      <x:c r="H23" s="52" t="n"/>
      <x:c r="I23" s="52" t="n"/>
      <x:c r="J23" s="52" t="n"/>
      <x:c r="K23" s="52" t="n"/>
      <x:c r="L23" s="52" t="n"/>
      <x:c r="M23" s="52" t="n"/>
      <x:c r="N23" s="52" t="n"/>
      <x:c r="O23" s="52" t="n"/>
      <x:c r="P23" s="52" t="n"/>
      <x:c r="Q23" s="52" t="n"/>
      <x:c r="R23" s="52" t="n"/>
    </x:row>
    <x:row r="24">
      <x:c r="A24" s="52" t="n"/>
      <x:c r="B24" s="52" t="n"/>
      <x:c r="C24" s="52" t="n"/>
      <x:c r="D24" s="52" t="n"/>
      <x:c r="E24" s="52" t="n"/>
      <x:c r="F24" s="52" t="n"/>
      <x:c r="G24" s="52" t="n"/>
      <x:c r="H24" s="52" t="n"/>
      <x:c r="I24" s="52" t="n"/>
      <x:c r="J24" s="52" t="n"/>
      <x:c r="K24" s="52" t="n"/>
      <x:c r="L24" s="52" t="n"/>
      <x:c r="M24" s="52" t="n"/>
      <x:c r="N24" s="52" t="n"/>
      <x:c r="O24" s="52" t="n"/>
      <x:c r="P24" s="52" t="n"/>
      <x:c r="Q24" s="52" t="n"/>
      <x:c r="R24" s="52" t="n"/>
    </x:row>
    <x:row r="25">
      <x:c r="A25" s="122" t="inlineStr">
        <x:is>
          <x:t xml:space="preserve">ПОМЕСЯЧНЫЙ РАСЧЁТ РАСХОДОВ НА ПЕРСОНАЛ КАФЕ</x:t>
        </x:is>
      </x:c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  <x:c r="L25" s="1" t="n"/>
      <x:c r="M25" s="1" t="n"/>
      <x:c r="N25" s="1" t="n"/>
      <x:c r="O25" s="1" t="n"/>
      <x:c r="P25" s="1" t="n"/>
      <x:c r="Q25" s="1" t="n"/>
      <x:c r="R25" s="1" t="n"/>
    </x:row>
    <x:row r="26">
      <x:c r="A26" s="18" t="inlineStr">
        <x:is>
          <x:t xml:space="preserve">Код</x:t>
        </x:is>
      </x:c>
      <x:c r="B26" s="18" t="inlineStr">
        <x:is>
          <x:t xml:space="preserve">Раздел</x:t>
        </x:is>
      </x:c>
      <x:c r="C26" s="18" t="inlineStr">
        <x:is>
          <x:t xml:space="preserve">Показатель</x:t>
        </x:is>
      </x:c>
      <x:c r="D26" s="18" t="inlineStr">
        <x:is>
          <x:t xml:space="preserve">Сен-26</x:t>
        </x:is>
      </x:c>
      <x:c r="E26" s="18" t="inlineStr">
        <x:is>
          <x:t xml:space="preserve">Окт-26</x:t>
        </x:is>
      </x:c>
      <x:c r="F26" s="18" t="inlineStr">
        <x:is>
          <x:t xml:space="preserve">Ноя-26</x:t>
        </x:is>
      </x:c>
      <x:c r="G26" s="18" t="inlineStr">
        <x:is>
          <x:t xml:space="preserve">Дек-26</x:t>
        </x:is>
      </x:c>
      <x:c r="H26" s="18" t="inlineStr">
        <x:is>
          <x:t xml:space="preserve">Янв-27</x:t>
        </x:is>
      </x:c>
      <x:c r="I26" s="18" t="inlineStr">
        <x:is>
          <x:t xml:space="preserve">Фев-27</x:t>
        </x:is>
      </x:c>
      <x:c r="J26" s="18" t="inlineStr">
        <x:is>
          <x:t xml:space="preserve">Мар-27</x:t>
        </x:is>
      </x:c>
      <x:c r="K26" s="18" t="inlineStr">
        <x:is>
          <x:t xml:space="preserve">Апр-27</x:t>
        </x:is>
      </x:c>
      <x:c r="L26" s="18" t="inlineStr">
        <x:is>
          <x:t xml:space="preserve">Май-27</x:t>
        </x:is>
      </x:c>
      <x:c r="M26" s="18" t="inlineStr">
        <x:is>
          <x:t xml:space="preserve">Июн-27</x:t>
        </x:is>
      </x:c>
      <x:c r="N26" s="18" t="inlineStr">
        <x:is>
          <x:t xml:space="preserve">Июл-27</x:t>
        </x:is>
      </x:c>
      <x:c r="O26" s="18" t="inlineStr">
        <x:is>
          <x:t xml:space="preserve">Авг-27</x:t>
        </x:is>
      </x:c>
      <x:c r="P26" s="18" t="inlineStr">
        <x:is>
          <x:t xml:space="preserve">Итого за год</x:t>
        </x:is>
      </x:c>
      <x:c r="Q26" s="18" t="inlineStr">
        <x:is>
          <x:t xml:space="preserve">Среднее за месяц</x:t>
        </x:is>
      </x:c>
      <x:c r="R26" s="18" t="inlineStr">
        <x:is>
          <x:t xml:space="preserve">Ед.</x:t>
        </x:is>
      </x:c>
    </x:row>
    <x:row r="27">
      <x:c r="A27" s="52" t="inlineStr">
        <x:is>
          <x:t xml:space="preserve">PAY.NET</x:t>
        </x:is>
      </x:c>
      <x:c r="B27" s="52" t="inlineStr">
        <x:is>
          <x:t xml:space="preserve">Штат</x:t>
        </x:is>
      </x:c>
      <x:c r="C27" s="52" t="inlineStr">
        <x:is>
          <x:t xml:space="preserve">Net-ФОТ</x:t>
        </x:is>
      </x:c>
      <x:c r="D27" s="188" t="n">
        <x:f>$E$15</x:f>
        <x:v>1173000</x:v>
      </x:c>
      <x:c r="E27" s="188" t="n">
        <x:f>$E$15</x:f>
        <x:v>1173000</x:v>
      </x:c>
      <x:c r="F27" s="188" t="n">
        <x:f>$E$15</x:f>
        <x:v>1173000</x:v>
      </x:c>
      <x:c r="G27" s="188" t="n">
        <x:f>$E$15</x:f>
        <x:v>1173000</x:v>
      </x:c>
      <x:c r="H27" s="188" t="n">
        <x:f>$E$15</x:f>
        <x:v>1173000</x:v>
      </x:c>
      <x:c r="I27" s="188" t="n">
        <x:f>$E$15</x:f>
        <x:v>1173000</x:v>
      </x:c>
      <x:c r="J27" s="188" t="n">
        <x:f>$E$15</x:f>
        <x:v>1173000</x:v>
      </x:c>
      <x:c r="K27" s="188" t="n">
        <x:f>$E$15</x:f>
        <x:v>1173000</x:v>
      </x:c>
      <x:c r="L27" s="188" t="n">
        <x:f>$E$15</x:f>
        <x:v>1173000</x:v>
      </x:c>
      <x:c r="M27" s="188" t="n">
        <x:f>$E$15</x:f>
        <x:v>1173000</x:v>
      </x:c>
      <x:c r="N27" s="188" t="n">
        <x:f>$E$15</x:f>
        <x:v>1173000</x:v>
      </x:c>
      <x:c r="O27" s="188" t="n">
        <x:f>$E$15</x:f>
        <x:v>1173000</x:v>
      </x:c>
      <x:c r="P27" s="188" t="n">
        <x:f>SUM(D27:O27)</x:f>
        <x:v>14076000</x:v>
      </x:c>
      <x:c r="Q27" s="188" t="n">
        <x:f>P27/12</x:f>
        <x:v>1173000</x:v>
      </x:c>
      <x:c r="R27" s="52" t="inlineStr">
        <x:is>
          <x:t xml:space="preserve">руб.</x:t>
        </x:is>
      </x:c>
    </x:row>
    <x:row r="28">
      <x:c r="A28" s="52" t="inlineStr">
        <x:is>
          <x:t xml:space="preserve">PAY.GROSS</x:t>
        </x:is>
      </x:c>
      <x:c r="B28" s="52" t="inlineStr">
        <x:is>
          <x:t xml:space="preserve">Штат</x:t>
        </x:is>
      </x:c>
      <x:c r="C28" s="52" t="inlineStr">
        <x:is>
          <x:t xml:space="preserve">Gross-ФОТ</x:t>
        </x:is>
      </x:c>
      <x:c r="D28" s="188" t="n">
        <x:f>$F$15</x:f>
        <x:v>1348275.8620689656</x:v>
      </x:c>
      <x:c r="E28" s="188" t="n">
        <x:f>$F$15</x:f>
        <x:v>1348275.8620689656</x:v>
      </x:c>
      <x:c r="F28" s="188" t="n">
        <x:f>$F$15</x:f>
        <x:v>1348275.8620689656</x:v>
      </x:c>
      <x:c r="G28" s="188" t="n">
        <x:f>$F$15</x:f>
        <x:v>1348275.8620689656</x:v>
      </x:c>
      <x:c r="H28" s="188" t="n">
        <x:f>$F$15</x:f>
        <x:v>1348275.8620689656</x:v>
      </x:c>
      <x:c r="I28" s="188" t="n">
        <x:f>$F$15</x:f>
        <x:v>1348275.8620689656</x:v>
      </x:c>
      <x:c r="J28" s="188" t="n">
        <x:f>$F$15</x:f>
        <x:v>1348275.8620689656</x:v>
      </x:c>
      <x:c r="K28" s="188" t="n">
        <x:f>$F$15</x:f>
        <x:v>1348275.8620689656</x:v>
      </x:c>
      <x:c r="L28" s="188" t="n">
        <x:f>$F$15</x:f>
        <x:v>1348275.8620689656</x:v>
      </x:c>
      <x:c r="M28" s="188" t="n">
        <x:f>$F$15</x:f>
        <x:v>1348275.8620689656</x:v>
      </x:c>
      <x:c r="N28" s="188" t="n">
        <x:f>$F$15</x:f>
        <x:v>1348275.8620689656</x:v>
      </x:c>
      <x:c r="O28" s="188" t="n">
        <x:f>$F$15</x:f>
        <x:v>1348275.8620689656</x:v>
      </x:c>
      <x:c r="P28" s="188" t="n">
        <x:f>SUM(D28:O28)</x:f>
        <x:v>16179310.34482759</x:v>
      </x:c>
      <x:c r="Q28" s="188" t="n">
        <x:f>P28/12</x:f>
        <x:v>1348275.8620689658</x:v>
      </x:c>
      <x:c r="R28" s="52" t="inlineStr">
        <x:is>
          <x:t xml:space="preserve">руб.</x:t>
        </x:is>
      </x:c>
    </x:row>
    <x:row r="29">
      <x:c r="A29" s="52" t="inlineStr">
        <x:is>
          <x:t xml:space="preserve">PAY.NDFL</x:t>
        </x:is>
      </x:c>
      <x:c r="B29" s="52" t="inlineStr">
        <x:is>
          <x:t xml:space="preserve">Штат</x:t>
        </x:is>
      </x:c>
      <x:c r="C29" s="52" t="inlineStr">
        <x:is>
          <x:t xml:space="preserve">НДФЛ</x:t>
        </x:is>
      </x:c>
      <x:c r="D29" s="188" t="n">
        <x:f>$G$15</x:f>
        <x:v>175275.86206896557</x:v>
      </x:c>
      <x:c r="E29" s="188" t="n">
        <x:f>$G$15</x:f>
        <x:v>175275.86206896557</x:v>
      </x:c>
      <x:c r="F29" s="188" t="n">
        <x:f>$G$15</x:f>
        <x:v>175275.86206896557</x:v>
      </x:c>
      <x:c r="G29" s="188" t="n">
        <x:f>$G$15</x:f>
        <x:v>175275.86206896557</x:v>
      </x:c>
      <x:c r="H29" s="188" t="n">
        <x:f>$G$15</x:f>
        <x:v>175275.86206896557</x:v>
      </x:c>
      <x:c r="I29" s="188" t="n">
        <x:f>$G$15</x:f>
        <x:v>175275.86206896557</x:v>
      </x:c>
      <x:c r="J29" s="188" t="n">
        <x:f>$G$15</x:f>
        <x:v>175275.86206896557</x:v>
      </x:c>
      <x:c r="K29" s="188" t="n">
        <x:f>$G$15</x:f>
        <x:v>175275.86206896557</x:v>
      </x:c>
      <x:c r="L29" s="188" t="n">
        <x:f>$G$15</x:f>
        <x:v>175275.86206896557</x:v>
      </x:c>
      <x:c r="M29" s="188" t="n">
        <x:f>$G$15</x:f>
        <x:v>175275.86206896557</x:v>
      </x:c>
      <x:c r="N29" s="188" t="n">
        <x:f>$G$15</x:f>
        <x:v>175275.86206896557</x:v>
      </x:c>
      <x:c r="O29" s="188" t="n">
        <x:f>$G$15</x:f>
        <x:v>175275.86206896557</x:v>
      </x:c>
      <x:c r="P29" s="188" t="n">
        <x:f>SUM(D29:O29)</x:f>
        <x:v>2103310.344827587</x:v>
      </x:c>
      <x:c r="Q29" s="188" t="n">
        <x:f>P29/12</x:f>
        <x:v>175275.86206896557</x:v>
      </x:c>
      <x:c r="R29" s="52" t="inlineStr">
        <x:is>
          <x:t xml:space="preserve">руб.</x:t>
        </x:is>
      </x:c>
    </x:row>
    <x:row r="30">
      <x:c r="A30" s="52" t="inlineStr">
        <x:is>
          <x:t xml:space="preserve">PAY.INS</x:t>
        </x:is>
      </x:c>
      <x:c r="B30" s="52" t="inlineStr">
        <x:is>
          <x:t xml:space="preserve">Штат</x:t>
        </x:is>
      </x:c>
      <x:c r="C30" s="52" t="inlineStr">
        <x:is>
          <x:t xml:space="preserve">Страховые взносы</x:t>
        </x:is>
      </x:c>
      <x:c r="D30" s="188" t="n">
        <x:f>$H$15</x:f>
        <x:v>404482.75862068974</x:v>
      </x:c>
      <x:c r="E30" s="188" t="n">
        <x:f>$H$15</x:f>
        <x:v>404482.75862068974</x:v>
      </x:c>
      <x:c r="F30" s="188" t="n">
        <x:f>$H$15</x:f>
        <x:v>404482.75862068974</x:v>
      </x:c>
      <x:c r="G30" s="188" t="n">
        <x:f>$H$15</x:f>
        <x:v>404482.75862068974</x:v>
      </x:c>
      <x:c r="H30" s="188" t="n">
        <x:f>$H$15</x:f>
        <x:v>404482.75862068974</x:v>
      </x:c>
      <x:c r="I30" s="188" t="n">
        <x:f>$H$15</x:f>
        <x:v>404482.75862068974</x:v>
      </x:c>
      <x:c r="J30" s="188" t="n">
        <x:f>$H$15</x:f>
        <x:v>404482.75862068974</x:v>
      </x:c>
      <x:c r="K30" s="188" t="n">
        <x:f>$H$15</x:f>
        <x:v>404482.75862068974</x:v>
      </x:c>
      <x:c r="L30" s="188" t="n">
        <x:f>$H$15</x:f>
        <x:v>404482.75862068974</x:v>
      </x:c>
      <x:c r="M30" s="188" t="n">
        <x:f>$H$15</x:f>
        <x:v>404482.75862068974</x:v>
      </x:c>
      <x:c r="N30" s="188" t="n">
        <x:f>$H$15</x:f>
        <x:v>404482.75862068974</x:v>
      </x:c>
      <x:c r="O30" s="188" t="n">
        <x:f>$H$15</x:f>
        <x:v>404482.75862068974</x:v>
      </x:c>
      <x:c r="P30" s="188" t="n">
        <x:f>SUM(D30:O30)</x:f>
        <x:v>4853793.103448276</x:v>
      </x:c>
      <x:c r="Q30" s="188" t="n">
        <x:f>P30/12</x:f>
        <x:v>404482.7586206897</x:v>
      </x:c>
      <x:c r="R30" s="52" t="inlineStr">
        <x:is>
          <x:t xml:space="preserve">руб.</x:t>
        </x:is>
      </x:c>
    </x:row>
    <x:row r="31">
      <x:c r="A31" s="52" t="inlineStr">
        <x:is>
          <x:t xml:space="preserve">PAY.EMPLOYER</x:t>
        </x:is>
      </x:c>
      <x:c r="B31" s="52" t="inlineStr">
        <x:is>
          <x:t xml:space="preserve">Штат</x:t>
        </x:is>
      </x:c>
      <x:c r="C31" s="52" t="inlineStr">
        <x:is>
          <x:t xml:space="preserve">Полная стоимость штата</x:t>
        </x:is>
      </x:c>
      <x:c r="D31" s="188" t="n">
        <x:f>$I$15</x:f>
        <x:v>1752758.620689655</x:v>
      </x:c>
      <x:c r="E31" s="188" t="n">
        <x:f>$I$15</x:f>
        <x:v>1752758.620689655</x:v>
      </x:c>
      <x:c r="F31" s="188" t="n">
        <x:f>$I$15</x:f>
        <x:v>1752758.620689655</x:v>
      </x:c>
      <x:c r="G31" s="188" t="n">
        <x:f>$I$15</x:f>
        <x:v>1752758.620689655</x:v>
      </x:c>
      <x:c r="H31" s="188" t="n">
        <x:f>$I$15</x:f>
        <x:v>1752758.620689655</x:v>
      </x:c>
      <x:c r="I31" s="188" t="n">
        <x:f>$I$15</x:f>
        <x:v>1752758.620689655</x:v>
      </x:c>
      <x:c r="J31" s="188" t="n">
        <x:f>$I$15</x:f>
        <x:v>1752758.620689655</x:v>
      </x:c>
      <x:c r="K31" s="188" t="n">
        <x:f>$I$15</x:f>
        <x:v>1752758.620689655</x:v>
      </x:c>
      <x:c r="L31" s="188" t="n">
        <x:f>$I$15</x:f>
        <x:v>1752758.620689655</x:v>
      </x:c>
      <x:c r="M31" s="188" t="n">
        <x:f>$I$15</x:f>
        <x:v>1752758.620689655</x:v>
      </x:c>
      <x:c r="N31" s="188" t="n">
        <x:f>$I$15</x:f>
        <x:v>1752758.620689655</x:v>
      </x:c>
      <x:c r="O31" s="188" t="n">
        <x:f>$I$15</x:f>
        <x:v>1752758.620689655</x:v>
      </x:c>
      <x:c r="P31" s="188" t="n">
        <x:f>SUM(D31:O31)</x:f>
        <x:v>21033103.448275864</x:v>
      </x:c>
      <x:c r="Q31" s="188" t="n">
        <x:f>P31/12</x:f>
        <x:v>1752758.6206896554</x:v>
      </x:c>
      <x:c r="R31" s="52" t="inlineStr">
        <x:is>
          <x:t xml:space="preserve">руб.</x:t>
        </x:is>
      </x:c>
    </x:row>
    <x:row r="32">
      <x:c r="A32" s="52" t="inlineStr">
        <x:is>
          <x:t xml:space="preserve">PAY.RESERVE</x:t>
        </x:is>
      </x:c>
      <x:c r="B32" s="52" t="inlineStr">
        <x:is>
          <x:t xml:space="preserve">Штат</x:t>
        </x:is>
      </x:c>
      <x:c r="C32" s="52" t="inlineStr">
        <x:is>
          <x:t xml:space="preserve">Резерв отпусков / болезней / замещений</x:t>
        </x:is>
      </x:c>
      <x:c r="D32" s="188" t="n">
        <x:f>D28*'01_ВВОД'!$D$62</x:f>
        <x:v>67413.79310344828</x:v>
      </x:c>
      <x:c r="E32" s="188" t="n">
        <x:f>E28*'01_ВВОД'!$D$62</x:f>
        <x:v>67413.79310344828</x:v>
      </x:c>
      <x:c r="F32" s="188" t="n">
        <x:f>F28*'01_ВВОД'!$D$62</x:f>
        <x:v>67413.79310344828</x:v>
      </x:c>
      <x:c r="G32" s="188" t="n">
        <x:f>G28*'01_ВВОД'!$D$62</x:f>
        <x:v>67413.79310344828</x:v>
      </x:c>
      <x:c r="H32" s="188" t="n">
        <x:f>H28*'01_ВВОД'!$D$62</x:f>
        <x:v>67413.79310344828</x:v>
      </x:c>
      <x:c r="I32" s="188" t="n">
        <x:f>I28*'01_ВВОД'!$D$62</x:f>
        <x:v>67413.79310344828</x:v>
      </x:c>
      <x:c r="J32" s="188" t="n">
        <x:f>J28*'01_ВВОД'!$D$62</x:f>
        <x:v>67413.79310344828</x:v>
      </x:c>
      <x:c r="K32" s="188" t="n">
        <x:f>K28*'01_ВВОД'!$D$62</x:f>
        <x:v>67413.79310344828</x:v>
      </x:c>
      <x:c r="L32" s="188" t="n">
        <x:f>L28*'01_ВВОД'!$D$62</x:f>
        <x:v>67413.79310344828</x:v>
      </x:c>
      <x:c r="M32" s="188" t="n">
        <x:f>M28*'01_ВВОД'!$D$62</x:f>
        <x:v>67413.79310344828</x:v>
      </x:c>
      <x:c r="N32" s="188" t="n">
        <x:f>N28*'01_ВВОД'!$D$62</x:f>
        <x:v>67413.79310344828</x:v>
      </x:c>
      <x:c r="O32" s="188" t="n">
        <x:f>O28*'01_ВВОД'!$D$62</x:f>
        <x:v>67413.79310344828</x:v>
      </x:c>
      <x:c r="P32" s="188" t="n">
        <x:f>SUM(D32:O32)</x:f>
        <x:v>808965.5172413791</x:v>
      </x:c>
      <x:c r="Q32" s="188" t="n">
        <x:f>P32/12</x:f>
        <x:v>67413.79310344826</x:v>
      </x:c>
      <x:c r="R32" s="52" t="inlineStr">
        <x:is>
          <x:t xml:space="preserve">руб.</x:t>
        </x:is>
      </x:c>
    </x:row>
    <x:row r="33">
      <x:c r="A33" s="52" t="inlineStr">
        <x:is>
          <x:t xml:space="preserve">PAY.CONTRACT</x:t>
        </x:is>
      </x:c>
      <x:c r="B33" s="52" t="inlineStr">
        <x:is>
          <x:t xml:space="preserve">Подрядчики</x:t>
        </x:is>
      </x:c>
      <x:c r="C33" s="52" t="inlineStr">
        <x:is>
          <x:t xml:space="preserve">Бухгалтерия и ИТ</x:t>
        </x:is>
      </x:c>
      <x:c r="D33" s="188" t="n">
        <x:f>$C$22</x:f>
        <x:v>110000</x:v>
      </x:c>
      <x:c r="E33" s="188" t="n">
        <x:f>$C$22</x:f>
        <x:v>110000</x:v>
      </x:c>
      <x:c r="F33" s="188" t="n">
        <x:f>$C$22</x:f>
        <x:v>110000</x:v>
      </x:c>
      <x:c r="G33" s="188" t="n">
        <x:f>$C$22</x:f>
        <x:v>110000</x:v>
      </x:c>
      <x:c r="H33" s="188" t="n">
        <x:f>$C$22</x:f>
        <x:v>110000</x:v>
      </x:c>
      <x:c r="I33" s="188" t="n">
        <x:f>$C$22</x:f>
        <x:v>110000</x:v>
      </x:c>
      <x:c r="J33" s="188" t="n">
        <x:f>$C$22</x:f>
        <x:v>110000</x:v>
      </x:c>
      <x:c r="K33" s="188" t="n">
        <x:f>$C$22</x:f>
        <x:v>110000</x:v>
      </x:c>
      <x:c r="L33" s="188" t="n">
        <x:f>$C$22</x:f>
        <x:v>110000</x:v>
      </x:c>
      <x:c r="M33" s="188" t="n">
        <x:f>$C$22</x:f>
        <x:v>110000</x:v>
      </x:c>
      <x:c r="N33" s="188" t="n">
        <x:f>$C$22</x:f>
        <x:v>110000</x:v>
      </x:c>
      <x:c r="O33" s="188" t="n">
        <x:f>$C$22</x:f>
        <x:v>110000</x:v>
      </x:c>
      <x:c r="P33" s="188" t="n">
        <x:f>SUM(D33:O33)</x:f>
        <x:v>1320000</x:v>
      </x:c>
      <x:c r="Q33" s="188" t="n">
        <x:f>P33/12</x:f>
        <x:v>110000</x:v>
      </x:c>
      <x:c r="R33" s="52" t="inlineStr">
        <x:is>
          <x:t xml:space="preserve">руб.</x:t>
        </x:is>
      </x:c>
    </x:row>
    <x:row r="34">
      <x:c r="A34" s="118" t="inlineStr">
        <x:is>
          <x:t xml:space="preserve">PAY.TOTAL</x:t>
        </x:is>
      </x:c>
      <x:c r="B34" s="118" t="inlineStr">
        <x:is>
          <x:t xml:space="preserve">Кафе</x:t>
        </x:is>
      </x:c>
      <x:c r="C34" s="118" t="inlineStr">
        <x:is>
          <x:t xml:space="preserve">ИТОГО РАСХОДЫ НА ПЕРСОНАЛ</x:t>
        </x:is>
      </x:c>
      <x:c r="D34" s="190" t="n">
        <x:f>SUM(D31:D33)</x:f>
        <x:v>1930172.4137931033</x:v>
      </x:c>
      <x:c r="E34" s="190" t="n">
        <x:f>SUM(E31:E33)</x:f>
        <x:v>1930172.4137931033</x:v>
      </x:c>
      <x:c r="F34" s="190" t="n">
        <x:f>SUM(F31:F33)</x:f>
        <x:v>1930172.4137931033</x:v>
      </x:c>
      <x:c r="G34" s="190" t="n">
        <x:f>SUM(G31:G33)</x:f>
        <x:v>1930172.4137931033</x:v>
      </x:c>
      <x:c r="H34" s="190" t="n">
        <x:f>SUM(H31:H33)</x:f>
        <x:v>1930172.4137931033</x:v>
      </x:c>
      <x:c r="I34" s="190" t="n">
        <x:f>SUM(I31:I33)</x:f>
        <x:v>1930172.4137931033</x:v>
      </x:c>
      <x:c r="J34" s="190" t="n">
        <x:f>SUM(J31:J33)</x:f>
        <x:v>1930172.4137931033</x:v>
      </x:c>
      <x:c r="K34" s="190" t="n">
        <x:f>SUM(K31:K33)</x:f>
        <x:v>1930172.4137931033</x:v>
      </x:c>
      <x:c r="L34" s="190" t="n">
        <x:f>SUM(L31:L33)</x:f>
        <x:v>1930172.4137931033</x:v>
      </x:c>
      <x:c r="M34" s="190" t="n">
        <x:f>SUM(M31:M33)</x:f>
        <x:v>1930172.4137931033</x:v>
      </x:c>
      <x:c r="N34" s="190" t="n">
        <x:f>SUM(N31:N33)</x:f>
        <x:v>1930172.4137931033</x:v>
      </x:c>
      <x:c r="O34" s="190" t="n">
        <x:f>SUM(O31:O33)</x:f>
        <x:v>1930172.4137931033</x:v>
      </x:c>
      <x:c r="P34" s="190" t="n">
        <x:f>SUM(D34:O34)</x:f>
        <x:v>23162068.965517238</x:v>
      </x:c>
      <x:c r="Q34" s="190" t="n">
        <x:f>P34/12</x:f>
        <x:v>1930172.413793103</x:v>
      </x:c>
      <x:c r="R34" s="118" t="inlineStr">
        <x:is>
          <x:t xml:space="preserve">руб.</x:t>
        </x:is>
      </x:c>
    </x:row>
  </x:sheetData>
  <x:mergeCells>
    <x:mergeCell ref="A25:R25"/>
    <x:mergeCell ref="A2:R2"/>
    <x:mergeCell ref="A15:D15"/>
    <x:mergeCell ref="A4:J4"/>
    <x:mergeCell ref="A1:R1"/>
    <x:mergeCell ref="A18:F18"/>
    <x:mergeCell ref="A22:B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style="174" customWidth="1"/>
    <x:col min="2" max="2" width="37" style="174" customWidth="1"/>
    <x:col min="3" max="3" width="48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30" style="174" customWidth="1"/>
  </x:cols>
  <x:sheetData>
    <x:row r="1" s="174" customFormat="1" ht="28" customHeight="1">
      <x:c r="A1" s="134" t="inlineStr">
        <x:is>
          <x:t xml:space="preserve">Операционные расходы кафе по USALI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Все постоянные операционные расходы относятся на кафе. Годовые расходы начисляются равномерно по 1/12; сервис ковров — только октябрь–апрель.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A3" s="52" t="n"/>
      <x:c r="B3" s="52" t="n"/>
      <x:c r="C3" s="52" t="n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 t="n"/>
      <x:c r="Q3" s="52" t="n"/>
      <x:c r="R3" s="52" t="n"/>
    </x:row>
    <x:row r="4">
      <x:c r="A4" s="18" t="inlineStr">
        <x:is>
          <x:t xml:space="preserve">Код</x:t>
        </x:is>
      </x:c>
      <x:c r="B4" s="18" t="inlineStr">
        <x:is>
          <x:t xml:space="preserve">USALI-группа</x:t>
        </x:is>
      </x:c>
      <x:c r="C4" s="18" t="inlineStr">
        <x:is>
          <x:t xml:space="preserve">Статья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Основание / статус</x:t>
        </x:is>
      </x:c>
    </x:row>
    <x:row r="5">
      <x:c r="A5" s="122" t="inlineStr">
        <x:is>
          <x:t xml:space="preserve">F&amp;B DEPARTMENTAL EXPENSES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OPEX.HOUSEHOLD</x:t>
        </x:is>
      </x:c>
      <x:c r="B6" s="52" t="inlineStr">
        <x:is>
          <x:t xml:space="preserve">F&amp;B DEPARTMENTAL EXPENSES</x:t>
        </x:is>
      </x:c>
      <x:c r="C6" s="52" t="inlineStr">
        <x:is>
          <x:t xml:space="preserve">Хозяйственные расходы</x:t>
        </x:is>
      </x:c>
      <x:c r="D6" s="188" t="n">
        <x:f>'01_ВВОД'!$D$87</x:f>
        <x:v>50000</x:v>
      </x:c>
      <x:c r="E6" s="188" t="n">
        <x:f>'01_ВВОД'!$D$87</x:f>
        <x:v>50000</x:v>
      </x:c>
      <x:c r="F6" s="188" t="n">
        <x:f>'01_ВВОД'!$D$87</x:f>
        <x:v>50000</x:v>
      </x:c>
      <x:c r="G6" s="188" t="n">
        <x:f>'01_ВВОД'!$D$87</x:f>
        <x:v>50000</x:v>
      </x:c>
      <x:c r="H6" s="188" t="n">
        <x:f>'01_ВВОД'!$D$87</x:f>
        <x:v>50000</x:v>
      </x:c>
      <x:c r="I6" s="188" t="n">
        <x:f>'01_ВВОД'!$D$87</x:f>
        <x:v>50000</x:v>
      </x:c>
      <x:c r="J6" s="188" t="n">
        <x:f>'01_ВВОД'!$D$87</x:f>
        <x:v>50000</x:v>
      </x:c>
      <x:c r="K6" s="188" t="n">
        <x:f>'01_ВВОД'!$D$87</x:f>
        <x:v>50000</x:v>
      </x:c>
      <x:c r="L6" s="188" t="n">
        <x:f>'01_ВВОД'!$D$87</x:f>
        <x:v>50000</x:v>
      </x:c>
      <x:c r="M6" s="188" t="n">
        <x:f>'01_ВВОД'!$D$87</x:f>
        <x:v>50000</x:v>
      </x:c>
      <x:c r="N6" s="188" t="n">
        <x:f>'01_ВВОД'!$D$87</x:f>
        <x:v>50000</x:v>
      </x:c>
      <x:c r="O6" s="188" t="n">
        <x:f>'01_ВВОД'!$D$87</x:f>
        <x:v>50000</x:v>
      </x:c>
      <x:c r="P6" s="188" t="n">
        <x:f>SUM(D6:O6)</x:f>
        <x:v>600000</x:v>
      </x:c>
      <x:c r="Q6" s="188" t="n">
        <x:f>P6/12</x:f>
        <x:v>50000</x:v>
      </x:c>
      <x:c r="R6" s="52" t="inlineStr">
        <x:is>
          <x:t xml:space="preserve">ежемесячно; Подтверждено</x:t>
        </x:is>
      </x:c>
    </x:row>
    <x:row r="7">
      <x:c r="A7" s="52" t="inlineStr">
        <x:is>
          <x:t xml:space="preserve">OPEX.COFFEE_RENT</x:t>
        </x:is>
      </x:c>
      <x:c r="B7" s="52" t="inlineStr">
        <x:is>
          <x:t xml:space="preserve">F&amp;B DEPARTMENTAL EXPENSES</x:t>
        </x:is>
      </x:c>
      <x:c r="C7" s="52" t="inlineStr">
        <x:is>
          <x:t xml:space="preserve">Аренда кофемашины</x:t>
        </x:is>
      </x:c>
      <x:c r="D7" s="188" t="n">
        <x:f>'01_ВВОД'!$D$90</x:f>
        <x:v>0</x:v>
      </x:c>
      <x:c r="E7" s="188" t="n">
        <x:f>'01_ВВОД'!$D$90</x:f>
        <x:v>0</x:v>
      </x:c>
      <x:c r="F7" s="188" t="n">
        <x:f>'01_ВВОД'!$D$90</x:f>
        <x:v>0</x:v>
      </x:c>
      <x:c r="G7" s="188" t="n">
        <x:f>'01_ВВОД'!$D$90</x:f>
        <x:v>0</x:v>
      </x:c>
      <x:c r="H7" s="188" t="n">
        <x:f>'01_ВВОД'!$D$90</x:f>
        <x:v>0</x:v>
      </x:c>
      <x:c r="I7" s="188" t="n">
        <x:f>'01_ВВОД'!$D$90</x:f>
        <x:v>0</x:v>
      </x:c>
      <x:c r="J7" s="188" t="n">
        <x:f>'01_ВВОД'!$D$90</x:f>
        <x:v>0</x:v>
      </x:c>
      <x:c r="K7" s="188" t="n">
        <x:f>'01_ВВОД'!$D$90</x:f>
        <x:v>0</x:v>
      </x:c>
      <x:c r="L7" s="188" t="n">
        <x:f>'01_ВВОД'!$D$90</x:f>
        <x:v>0</x:v>
      </x:c>
      <x:c r="M7" s="188" t="n">
        <x:f>'01_ВВОД'!$D$90</x:f>
        <x:v>0</x:v>
      </x:c>
      <x:c r="N7" s="188" t="n">
        <x:f>'01_ВВОД'!$D$90</x:f>
        <x:v>0</x:v>
      </x:c>
      <x:c r="O7" s="188" t="n">
        <x:f>'01_ВВОД'!$D$90</x:f>
        <x:v>0</x:v>
      </x:c>
      <x:c r="P7" s="188" t="n">
        <x:f>SUM(D7:O7)</x:f>
        <x:v>0</x:v>
      </x:c>
      <x:c r="Q7" s="188" t="n">
        <x:f>P7/12</x:f>
        <x:v>0</x:v>
      </x:c>
      <x:c r="R7" s="52" t="inlineStr">
        <x:is>
          <x:t xml:space="preserve">ежемесячно; Подтверждено</x:t>
        </x:is>
      </x:c>
    </x:row>
    <x:row r="8">
      <x:c r="A8" s="52" t="inlineStr">
        <x:is>
          <x:t xml:space="preserve">OPEX.SES</x:t>
        </x:is>
      </x:c>
      <x:c r="B8" s="52" t="inlineStr">
        <x:is>
          <x:t xml:space="preserve">F&amp;B DEPARTMENTAL EXPENSES</x:t>
        </x:is>
      </x:c>
      <x:c r="C8" s="52" t="inlineStr">
        <x:is>
          <x:t xml:space="preserve">СЭС / санитарные услуги</x:t>
        </x:is>
      </x:c>
      <x:c r="D8" s="188" t="n">
        <x:f>'01_ВВОД'!$D$91</x:f>
        <x:v>2000</x:v>
      </x:c>
      <x:c r="E8" s="188" t="n">
        <x:f>'01_ВВОД'!$D$91</x:f>
        <x:v>2000</x:v>
      </x:c>
      <x:c r="F8" s="188" t="n">
        <x:f>'01_ВВОД'!$D$91</x:f>
        <x:v>2000</x:v>
      </x:c>
      <x:c r="G8" s="188" t="n">
        <x:f>'01_ВВОД'!$D$91</x:f>
        <x:v>2000</x:v>
      </x:c>
      <x:c r="H8" s="188" t="n">
        <x:f>'01_ВВОД'!$D$91</x:f>
        <x:v>2000</x:v>
      </x:c>
      <x:c r="I8" s="188" t="n">
        <x:f>'01_ВВОД'!$D$91</x:f>
        <x:v>2000</x:v>
      </x:c>
      <x:c r="J8" s="188" t="n">
        <x:f>'01_ВВОД'!$D$91</x:f>
        <x:v>2000</x:v>
      </x:c>
      <x:c r="K8" s="188" t="n">
        <x:f>'01_ВВОД'!$D$91</x:f>
        <x:v>2000</x:v>
      </x:c>
      <x:c r="L8" s="188" t="n">
        <x:f>'01_ВВОД'!$D$91</x:f>
        <x:v>2000</x:v>
      </x:c>
      <x:c r="M8" s="188" t="n">
        <x:f>'01_ВВОД'!$D$91</x:f>
        <x:v>2000</x:v>
      </x:c>
      <x:c r="N8" s="188" t="n">
        <x:f>'01_ВВОД'!$D$91</x:f>
        <x:v>2000</x:v>
      </x:c>
      <x:c r="O8" s="188" t="n">
        <x:f>'01_ВВОД'!$D$91</x:f>
        <x:v>2000</x:v>
      </x:c>
      <x:c r="P8" s="188" t="n">
        <x:f>SUM(D8:O8)</x:f>
        <x:v>24000</x:v>
      </x:c>
      <x:c r="Q8" s="188" t="n">
        <x:f>P8/12</x:f>
        <x:v>2000</x:v>
      </x:c>
      <x:c r="R8" s="52" t="inlineStr">
        <x:is>
          <x:t xml:space="preserve">ежемесячно; Подтверждено</x:t>
        </x:is>
      </x:c>
    </x:row>
    <x:row r="9">
      <x:c r="A9" s="52" t="inlineStr">
        <x:is>
          <x:t xml:space="preserve">OPEX.MUSIC</x:t>
        </x:is>
      </x:c>
      <x:c r="B9" s="52" t="inlineStr">
        <x:is>
          <x:t xml:space="preserve">F&amp;B DEPARTMENTAL EXPENSES</x:t>
        </x:is>
      </x:c>
      <x:c r="C9" s="52" t="inlineStr">
        <x:is>
          <x:t xml:space="preserve">Музыка / авторские права</x:t>
        </x:is>
      </x:c>
      <x:c r="D9" s="188" t="n">
        <x:f>'01_ВВОД'!$D$92</x:f>
        <x:v>3500</x:v>
      </x:c>
      <x:c r="E9" s="188" t="n">
        <x:f>'01_ВВОД'!$D$92</x:f>
        <x:v>3500</x:v>
      </x:c>
      <x:c r="F9" s="188" t="n">
        <x:f>'01_ВВОД'!$D$92</x:f>
        <x:v>3500</x:v>
      </x:c>
      <x:c r="G9" s="188" t="n">
        <x:f>'01_ВВОД'!$D$92</x:f>
        <x:v>3500</x:v>
      </x:c>
      <x:c r="H9" s="188" t="n">
        <x:f>'01_ВВОД'!$D$92</x:f>
        <x:v>3500</x:v>
      </x:c>
      <x:c r="I9" s="188" t="n">
        <x:f>'01_ВВОД'!$D$92</x:f>
        <x:v>3500</x:v>
      </x:c>
      <x:c r="J9" s="188" t="n">
        <x:f>'01_ВВОД'!$D$92</x:f>
        <x:v>3500</x:v>
      </x:c>
      <x:c r="K9" s="188" t="n">
        <x:f>'01_ВВОД'!$D$92</x:f>
        <x:v>3500</x:v>
      </x:c>
      <x:c r="L9" s="188" t="n">
        <x:f>'01_ВВОД'!$D$92</x:f>
        <x:v>3500</x:v>
      </x:c>
      <x:c r="M9" s="188" t="n">
        <x:f>'01_ВВОД'!$D$92</x:f>
        <x:v>3500</x:v>
      </x:c>
      <x:c r="N9" s="188" t="n">
        <x:f>'01_ВВОД'!$D$92</x:f>
        <x:v>3500</x:v>
      </x:c>
      <x:c r="O9" s="188" t="n">
        <x:f>'01_ВВОД'!$D$92</x:f>
        <x:v>3500</x:v>
      </x:c>
      <x:c r="P9" s="188" t="n">
        <x:f>SUM(D9:O9)</x:f>
        <x:v>42000</x:v>
      </x:c>
      <x:c r="Q9" s="188" t="n">
        <x:f>P9/12</x:f>
        <x:v>3500</x:v>
      </x:c>
      <x:c r="R9" s="52" t="inlineStr">
        <x:is>
          <x:t xml:space="preserve">ежемесячно; Подтверждено</x:t>
        </x:is>
      </x:c>
    </x:row>
    <x:row r="10">
      <x:c r="A10" s="52" t="inlineStr">
        <x:is>
          <x:t xml:space="preserve">OPEX.SMALLWARE</x:t>
        </x:is>
      </x:c>
      <x:c r="B10" s="52" t="inlineStr">
        <x:is>
          <x:t xml:space="preserve">F&amp;B DEPARTMENTAL EXPENSES</x:t>
        </x:is>
      </x:c>
      <x:c r="C10" s="52" t="str">
        <x:v>Малоценка, инвентарь и резерв на бой посуды</x:v>
      </x:c>
      <x:c r="D10" s="188" t="n">
        <x:f>'01_ВВОД'!$D$94+'11_ПОСУДА'!$F$5</x:f>
        <x:v>20884.629999999997</x:v>
      </x:c>
      <x:c r="E10" s="188" t="n">
        <x:f>'01_ВВОД'!$D$94+'11_ПОСУДА'!$F$5</x:f>
        <x:v>20884.629999999997</x:v>
      </x:c>
      <x:c r="F10" s="188" t="n">
        <x:f>'01_ВВОД'!$D$94+'11_ПОСУДА'!$F$5</x:f>
        <x:v>20884.629999999997</x:v>
      </x:c>
      <x:c r="G10" s="188" t="n">
        <x:f>'01_ВВОД'!$D$94+'11_ПОСУДА'!$F$5</x:f>
        <x:v>20884.629999999997</x:v>
      </x:c>
      <x:c r="H10" s="188" t="n">
        <x:f>'01_ВВОД'!$D$94+'11_ПОСУДА'!$F$5</x:f>
        <x:v>20884.629999999997</x:v>
      </x:c>
      <x:c r="I10" s="188" t="n">
        <x:f>'01_ВВОД'!$D$94+'11_ПОСУДА'!$F$5</x:f>
        <x:v>20884.629999999997</x:v>
      </x:c>
      <x:c r="J10" s="188" t="n">
        <x:f>'01_ВВОД'!$D$94+'11_ПОСУДА'!$F$5</x:f>
        <x:v>20884.629999999997</x:v>
      </x:c>
      <x:c r="K10" s="188" t="n">
        <x:f>'01_ВВОД'!$D$94+'11_ПОСУДА'!$F$5</x:f>
        <x:v>20884.629999999997</x:v>
      </x:c>
      <x:c r="L10" s="188" t="n">
        <x:f>'01_ВВОД'!$D$94+'11_ПОСУДА'!$F$5</x:f>
        <x:v>20884.629999999997</x:v>
      </x:c>
      <x:c r="M10" s="188" t="n">
        <x:f>'01_ВВОД'!$D$94+'11_ПОСУДА'!$F$5</x:f>
        <x:v>20884.629999999997</x:v>
      </x:c>
      <x:c r="N10" s="188" t="n">
        <x:f>'01_ВВОД'!$D$94+'11_ПОСУДА'!$F$5</x:f>
        <x:v>20884.629999999997</x:v>
      </x:c>
      <x:c r="O10" s="188" t="n">
        <x:f>'01_ВВОД'!$D$94+'11_ПОСУДА'!$F$5</x:f>
        <x:v>20884.629999999997</x:v>
      </x:c>
      <x:c r="P10" s="188" t="n">
        <x:f>SUM(D10:O10)</x:f>
        <x:v>250615.56000000003</x:v>
      </x:c>
      <x:c r="Q10" s="188" t="n">
        <x:f>P10/12</x:f>
        <x:v>20884.63</x:v>
      </x:c>
      <x:c r="R10" s="52" t="str">
        <x:v>ежемесячно; 10 000 руб. малоценка + расчётный резерв 11_ПОСУДА</x:v>
      </x:c>
    </x:row>
    <x:row r="11">
      <x:c r="A11" s="52" t="inlineStr">
        <x:is>
          <x:t xml:space="preserve">OPEX.PEST</x:t>
        </x:is>
      </x:c>
      <x:c r="B11" s="52" t="inlineStr">
        <x:is>
          <x:t xml:space="preserve">F&amp;B DEPARTMENTAL EXPENSES</x:t>
        </x:is>
      </x:c>
      <x:c r="C11" s="52" t="inlineStr">
        <x:is>
          <x:t xml:space="preserve">Дезинсекция и дератизация</x:t>
        </x:is>
      </x:c>
      <x:c r="D11" s="188" t="n">
        <x:f>'01_ВВОД'!$D$99</x:f>
        <x:v>5000</x:v>
      </x:c>
      <x:c r="E11" s="188" t="n">
        <x:f>'01_ВВОД'!$D$99</x:f>
        <x:v>5000</x:v>
      </x:c>
      <x:c r="F11" s="188" t="n">
        <x:f>'01_ВВОД'!$D$99</x:f>
        <x:v>5000</x:v>
      </x:c>
      <x:c r="G11" s="188" t="n">
        <x:f>'01_ВВОД'!$D$99</x:f>
        <x:v>5000</x:v>
      </x:c>
      <x:c r="H11" s="188" t="n">
        <x:f>'01_ВВОД'!$D$99</x:f>
        <x:v>5000</x:v>
      </x:c>
      <x:c r="I11" s="188" t="n">
        <x:f>'01_ВВОД'!$D$99</x:f>
        <x:v>5000</x:v>
      </x:c>
      <x:c r="J11" s="188" t="n">
        <x:f>'01_ВВОД'!$D$99</x:f>
        <x:v>5000</x:v>
      </x:c>
      <x:c r="K11" s="188" t="n">
        <x:f>'01_ВВОД'!$D$99</x:f>
        <x:v>5000</x:v>
      </x:c>
      <x:c r="L11" s="188" t="n">
        <x:f>'01_ВВОД'!$D$99</x:f>
        <x:v>5000</x:v>
      </x:c>
      <x:c r="M11" s="188" t="n">
        <x:f>'01_ВВОД'!$D$99</x:f>
        <x:v>5000</x:v>
      </x:c>
      <x:c r="N11" s="188" t="n">
        <x:f>'01_ВВОД'!$D$99</x:f>
        <x:v>5000</x:v>
      </x:c>
      <x:c r="O11" s="188" t="n">
        <x:f>'01_ВВОД'!$D$99</x:f>
        <x:v>5000</x:v>
      </x:c>
      <x:c r="P11" s="188" t="n">
        <x:f>SUM(D11:O11)</x:f>
        <x:v>60000</x:v>
      </x:c>
      <x:c r="Q11" s="188" t="n">
        <x:f>P11/12</x:f>
        <x:v>5000</x:v>
      </x:c>
      <x:c r="R11" s="52" t="inlineStr">
        <x:is>
          <x:t xml:space="preserve">ежемесячно; Допущение</x:t>
        </x:is>
      </x:c>
    </x:row>
    <x:row r="12">
      <x:c r="A12" s="52" t="inlineStr">
        <x:is>
          <x:t xml:space="preserve">OPEX.GEN_CLEAN</x:t>
        </x:is>
      </x:c>
      <x:c r="B12" s="52" t="inlineStr">
        <x:is>
          <x:t xml:space="preserve">F&amp;B DEPARTMENTAL EXPENSES</x:t>
        </x:is>
      </x:c>
      <x:c r="C12" s="52" t="inlineStr">
        <x:is>
          <x:t xml:space="preserve">Генеральная уборка</x:t>
        </x:is>
      </x:c>
      <x:c r="D12" s="188" t="n">
        <x:f>'01_ВВОД'!$D$100</x:f>
        <x:v>15000</x:v>
      </x:c>
      <x:c r="E12" s="188" t="n">
        <x:f>'01_ВВОД'!$D$100</x:f>
        <x:v>15000</x:v>
      </x:c>
      <x:c r="F12" s="188" t="n">
        <x:f>'01_ВВОД'!$D$100</x:f>
        <x:v>15000</x:v>
      </x:c>
      <x:c r="G12" s="188" t="n">
        <x:f>'01_ВВОД'!$D$100</x:f>
        <x:v>15000</x:v>
      </x:c>
      <x:c r="H12" s="188" t="n">
        <x:f>'01_ВВОД'!$D$100</x:f>
        <x:v>15000</x:v>
      </x:c>
      <x:c r="I12" s="188" t="n">
        <x:f>'01_ВВОД'!$D$100</x:f>
        <x:v>15000</x:v>
      </x:c>
      <x:c r="J12" s="188" t="n">
        <x:f>'01_ВВОД'!$D$100</x:f>
        <x:v>15000</x:v>
      </x:c>
      <x:c r="K12" s="188" t="n">
        <x:f>'01_ВВОД'!$D$100</x:f>
        <x:v>15000</x:v>
      </x:c>
      <x:c r="L12" s="188" t="n">
        <x:f>'01_ВВОД'!$D$100</x:f>
        <x:v>15000</x:v>
      </x:c>
      <x:c r="M12" s="188" t="n">
        <x:f>'01_ВВОД'!$D$100</x:f>
        <x:v>15000</x:v>
      </x:c>
      <x:c r="N12" s="188" t="n">
        <x:f>'01_ВВОД'!$D$100</x:f>
        <x:v>15000</x:v>
      </x:c>
      <x:c r="O12" s="188" t="n">
        <x:f>'01_ВВОД'!$D$100</x:f>
        <x:v>15000</x:v>
      </x:c>
      <x:c r="P12" s="188" t="n">
        <x:f>SUM(D12:O12)</x:f>
        <x:v>180000</x:v>
      </x:c>
      <x:c r="Q12" s="188" t="n">
        <x:f>P12/12</x:f>
        <x:v>15000</x:v>
      </x:c>
      <x:c r="R12" s="52" t="inlineStr">
        <x:is>
          <x:t xml:space="preserve">ежемесячно; Допущение</x:t>
        </x:is>
      </x:c>
    </x:row>
    <x:row r="13">
      <x:c r="A13" s="52" t="inlineStr">
        <x:is>
          <x:t xml:space="preserve">OPEX.GREASE</x:t>
        </x:is>
      </x:c>
      <x:c r="B13" s="52" t="inlineStr">
        <x:is>
          <x:t xml:space="preserve">F&amp;B DEPARTMENTAL EXPENSES</x:t>
        </x:is>
      </x:c>
      <x:c r="C13" s="52" t="inlineStr">
        <x:is>
          <x:t xml:space="preserve">Жироуловитель / канализация</x:t>
        </x:is>
      </x:c>
      <x:c r="D13" s="188" t="n">
        <x:f>'01_ВВОД'!$D$101</x:f>
        <x:v>0</x:v>
      </x:c>
      <x:c r="E13" s="188" t="n">
        <x:f>'01_ВВОД'!$D$101</x:f>
        <x:v>0</x:v>
      </x:c>
      <x:c r="F13" s="188" t="n">
        <x:f>'01_ВВОД'!$D$101</x:f>
        <x:v>0</x:v>
      </x:c>
      <x:c r="G13" s="188" t="n">
        <x:f>'01_ВВОД'!$D$101</x:f>
        <x:v>0</x:v>
      </x:c>
      <x:c r="H13" s="188" t="n">
        <x:f>'01_ВВОД'!$D$101</x:f>
        <x:v>0</x:v>
      </x:c>
      <x:c r="I13" s="188" t="n">
        <x:f>'01_ВВОД'!$D$101</x:f>
        <x:v>0</x:v>
      </x:c>
      <x:c r="J13" s="188" t="n">
        <x:f>'01_ВВОД'!$D$101</x:f>
        <x:v>0</x:v>
      </x:c>
      <x:c r="K13" s="188" t="n">
        <x:f>'01_ВВОД'!$D$101</x:f>
        <x:v>0</x:v>
      </x:c>
      <x:c r="L13" s="188" t="n">
        <x:f>'01_ВВОД'!$D$101</x:f>
        <x:v>0</x:v>
      </x:c>
      <x:c r="M13" s="188" t="n">
        <x:f>'01_ВВОД'!$D$101</x:f>
        <x:v>0</x:v>
      </x:c>
      <x:c r="N13" s="188" t="n">
        <x:f>'01_ВВОД'!$D$101</x:f>
        <x:v>0</x:v>
      </x:c>
      <x:c r="O13" s="188" t="n">
        <x:f>'01_ВВОД'!$D$101</x:f>
        <x:v>0</x:v>
      </x:c>
      <x:c r="P13" s="188" t="n">
        <x:f>SUM(D13:O13)</x:f>
        <x:v>0</x:v>
      </x:c>
      <x:c r="Q13" s="188" t="n">
        <x:f>P13/12</x:f>
        <x:v>0</x:v>
      </x:c>
      <x:c r="R13" s="52" t="inlineStr">
        <x:is>
          <x:t xml:space="preserve">ежемесячно; Допущение</x:t>
        </x:is>
      </x:c>
    </x:row>
    <x:row r="14">
      <x:c r="A14" s="52" t="inlineStr">
        <x:is>
          <x:t xml:space="preserve">OPEX.LAUNDRY</x:t>
        </x:is>
      </x:c>
      <x:c r="B14" s="52" t="inlineStr">
        <x:is>
          <x:t xml:space="preserve">F&amp;B DEPARTMENTAL EXPENSES</x:t>
        </x:is>
      </x:c>
      <x:c r="C14" s="52" t="inlineStr">
        <x:is>
          <x:t xml:space="preserve">Стирка текстиля / униформы</x:t>
        </x:is>
      </x:c>
      <x:c r="D14" s="188" t="n">
        <x:f>'01_ВВОД'!$D$102</x:f>
        <x:v>0</x:v>
      </x:c>
      <x:c r="E14" s="188" t="n">
        <x:f>'01_ВВОД'!$D$102</x:f>
        <x:v>0</x:v>
      </x:c>
      <x:c r="F14" s="188" t="n">
        <x:f>'01_ВВОД'!$D$102</x:f>
        <x:v>0</x:v>
      </x:c>
      <x:c r="G14" s="188" t="n">
        <x:f>'01_ВВОД'!$D$102</x:f>
        <x:v>0</x:v>
      </x:c>
      <x:c r="H14" s="188" t="n">
        <x:f>'01_ВВОД'!$D$102</x:f>
        <x:v>0</x:v>
      </x:c>
      <x:c r="I14" s="188" t="n">
        <x:f>'01_ВВОД'!$D$102</x:f>
        <x:v>0</x:v>
      </x:c>
      <x:c r="J14" s="188" t="n">
        <x:f>'01_ВВОД'!$D$102</x:f>
        <x:v>0</x:v>
      </x:c>
      <x:c r="K14" s="188" t="n">
        <x:f>'01_ВВОД'!$D$102</x:f>
        <x:v>0</x:v>
      </x:c>
      <x:c r="L14" s="188" t="n">
        <x:f>'01_ВВОД'!$D$102</x:f>
        <x:v>0</x:v>
      </x:c>
      <x:c r="M14" s="188" t="n">
        <x:f>'01_ВВОД'!$D$102</x:f>
        <x:v>0</x:v>
      </x:c>
      <x:c r="N14" s="188" t="n">
        <x:f>'01_ВВОД'!$D$102</x:f>
        <x:v>0</x:v>
      </x:c>
      <x:c r="O14" s="188" t="n">
        <x:f>'01_ВВОД'!$D$102</x:f>
        <x:v>0</x:v>
      </x:c>
      <x:c r="P14" s="188" t="n">
        <x:f>SUM(D14:O14)</x:f>
        <x:v>0</x:v>
      </x:c>
      <x:c r="Q14" s="188" t="n">
        <x:f>P14/12</x:f>
        <x:v>0</x:v>
      </x:c>
      <x:c r="R14" s="52" t="inlineStr">
        <x:is>
          <x:t xml:space="preserve">ежемесячно; Допущение</x:t>
        </x:is>
      </x:c>
    </x:row>
    <x:row r="15">
      <x:c r="A15" s="52" t="inlineStr">
        <x:is>
          <x:t xml:space="preserve">OPEX.MEDICAL</x:t>
        </x:is>
      </x:c>
      <x:c r="B15" s="52" t="inlineStr">
        <x:is>
          <x:t xml:space="preserve">F&amp;B DEPARTMENTAL EXPENSES</x:t>
        </x:is>
      </x:c>
      <x:c r="C15" s="52" t="inlineStr">
        <x:is>
          <x:t xml:space="preserve">Медкнижки и обучение</x:t>
        </x:is>
      </x:c>
      <x:c r="D15" s="188" t="n">
        <x:f>'01_ВВОД'!$D$112/12</x:f>
        <x:v>8333.333333333334</x:v>
      </x:c>
      <x:c r="E15" s="188" t="n">
        <x:f>'01_ВВОД'!$D$112/12</x:f>
        <x:v>8333.333333333334</x:v>
      </x:c>
      <x:c r="F15" s="188" t="n">
        <x:f>'01_ВВОД'!$D$112/12</x:f>
        <x:v>8333.333333333334</x:v>
      </x:c>
      <x:c r="G15" s="188" t="n">
        <x:f>'01_ВВОД'!$D$112/12</x:f>
        <x:v>8333.333333333334</x:v>
      </x:c>
      <x:c r="H15" s="188" t="n">
        <x:f>'01_ВВОД'!$D$112/12</x:f>
        <x:v>8333.333333333334</x:v>
      </x:c>
      <x:c r="I15" s="188" t="n">
        <x:f>'01_ВВОД'!$D$112/12</x:f>
        <x:v>8333.333333333334</x:v>
      </x:c>
      <x:c r="J15" s="188" t="n">
        <x:f>'01_ВВОД'!$D$112/12</x:f>
        <x:v>8333.333333333334</x:v>
      </x:c>
      <x:c r="K15" s="188" t="n">
        <x:f>'01_ВВОД'!$D$112/12</x:f>
        <x:v>8333.333333333334</x:v>
      </x:c>
      <x:c r="L15" s="188" t="n">
        <x:f>'01_ВВОД'!$D$112/12</x:f>
        <x:v>8333.333333333334</x:v>
      </x:c>
      <x:c r="M15" s="188" t="n">
        <x:f>'01_ВВОД'!$D$112/12</x:f>
        <x:v>8333.333333333334</x:v>
      </x:c>
      <x:c r="N15" s="188" t="n">
        <x:f>'01_ВВОД'!$D$112/12</x:f>
        <x:v>8333.333333333334</x:v>
      </x:c>
      <x:c r="O15" s="188" t="n">
        <x:f>'01_ВВОД'!$D$112/12</x:f>
        <x:v>8333.333333333334</x:v>
      </x:c>
      <x:c r="P15" s="188" t="n">
        <x:f>SUM(D15:O15)</x:f>
        <x:v>99999.99999999999</x:v>
      </x:c>
      <x:c r="Q15" s="188" t="n">
        <x:f>P15/12</x:f>
        <x:v>8333.333333333332</x:v>
      </x:c>
      <x:c r="R15" s="52" t="inlineStr">
        <x:is>
          <x:t xml:space="preserve">год / 12; Допущение</x:t>
        </x:is>
      </x:c>
    </x:row>
    <x:row r="16">
      <x:c r="A16" s="52" t="inlineStr">
        <x:is>
          <x:t xml:space="preserve">OPEX.UNIFORM</x:t>
        </x:is>
      </x:c>
      <x:c r="B16" s="52" t="inlineStr">
        <x:is>
          <x:t xml:space="preserve">F&amp;B DEPARTMENTAL EXPENSES</x:t>
        </x:is>
      </x:c>
      <x:c r="C16" s="52" t="inlineStr">
        <x:is>
          <x:t xml:space="preserve">Униформа</x:t>
        </x:is>
      </x:c>
      <x:c r="D16" s="188" t="n">
        <x:f>'01_ВВОД'!$D$113/12</x:f>
        <x:v>12500</x:v>
      </x:c>
      <x:c r="E16" s="188" t="n">
        <x:f>'01_ВВОД'!$D$113/12</x:f>
        <x:v>12500</x:v>
      </x:c>
      <x:c r="F16" s="188" t="n">
        <x:f>'01_ВВОД'!$D$113/12</x:f>
        <x:v>12500</x:v>
      </x:c>
      <x:c r="G16" s="188" t="n">
        <x:f>'01_ВВОД'!$D$113/12</x:f>
        <x:v>12500</x:v>
      </x:c>
      <x:c r="H16" s="188" t="n">
        <x:f>'01_ВВОД'!$D$113/12</x:f>
        <x:v>12500</x:v>
      </x:c>
      <x:c r="I16" s="188" t="n">
        <x:f>'01_ВВОД'!$D$113/12</x:f>
        <x:v>12500</x:v>
      </x:c>
      <x:c r="J16" s="188" t="n">
        <x:f>'01_ВВОД'!$D$113/12</x:f>
        <x:v>12500</x:v>
      </x:c>
      <x:c r="K16" s="188" t="n">
        <x:f>'01_ВВОД'!$D$113/12</x:f>
        <x:v>12500</x:v>
      </x:c>
      <x:c r="L16" s="188" t="n">
        <x:f>'01_ВВОД'!$D$113/12</x:f>
        <x:v>12500</x:v>
      </x:c>
      <x:c r="M16" s="188" t="n">
        <x:f>'01_ВВОД'!$D$113/12</x:f>
        <x:v>12500</x:v>
      </x:c>
      <x:c r="N16" s="188" t="n">
        <x:f>'01_ВВОД'!$D$113/12</x:f>
        <x:v>12500</x:v>
      </x:c>
      <x:c r="O16" s="188" t="n">
        <x:f>'01_ВВОД'!$D$113/12</x:f>
        <x:v>12500</x:v>
      </x:c>
      <x:c r="P16" s="188" t="n">
        <x:f>SUM(D16:O16)</x:f>
        <x:v>150000</x:v>
      </x:c>
      <x:c r="Q16" s="188" t="n">
        <x:f>P16/12</x:f>
        <x:v>12500</x:v>
      </x:c>
      <x:c r="R16" s="52" t="inlineStr">
        <x:is>
          <x:t xml:space="preserve">год / 12; Допущение</x:t>
        </x:is>
      </x:c>
    </x:row>
    <x:row r="17">
      <x:c r="A17" s="52" t="inlineStr">
        <x:is>
          <x:t xml:space="preserve">OPEX.STAFF_MEALS</x:t>
        </x:is>
      </x:c>
      <x:c r="B17" s="52" t="inlineStr">
        <x:is>
          <x:t xml:space="preserve">F&amp;B DEPARTMENTAL EXPENSES</x:t>
        </x:is>
      </x:c>
      <x:c r="C17" s="52" t="inlineStr">
        <x:is>
          <x:t xml:space="preserve">Питание персонала</x:t>
        </x:is>
      </x:c>
      <x:c r="D17" s="188" t="n">
        <x:f>'01_ВВОД'!$D$116</x:f>
        <x:v>15000</x:v>
      </x:c>
      <x:c r="E17" s="188" t="n">
        <x:f>'01_ВВОД'!$D$116</x:f>
        <x:v>15000</x:v>
      </x:c>
      <x:c r="F17" s="188" t="n">
        <x:f>'01_ВВОД'!$D$116</x:f>
        <x:v>15000</x:v>
      </x:c>
      <x:c r="G17" s="188" t="n">
        <x:f>'01_ВВОД'!$D$116</x:f>
        <x:v>15000</x:v>
      </x:c>
      <x:c r="H17" s="188" t="n">
        <x:f>'01_ВВОД'!$D$116</x:f>
        <x:v>15000</x:v>
      </x:c>
      <x:c r="I17" s="188" t="n">
        <x:f>'01_ВВОД'!$D$116</x:f>
        <x:v>15000</x:v>
      </x:c>
      <x:c r="J17" s="188" t="n">
        <x:f>'01_ВВОД'!$D$116</x:f>
        <x:v>15000</x:v>
      </x:c>
      <x:c r="K17" s="188" t="n">
        <x:f>'01_ВВОД'!$D$116</x:f>
        <x:v>15000</x:v>
      </x:c>
      <x:c r="L17" s="188" t="n">
        <x:f>'01_ВВОД'!$D$116</x:f>
        <x:v>15000</x:v>
      </x:c>
      <x:c r="M17" s="188" t="n">
        <x:f>'01_ВВОД'!$D$116</x:f>
        <x:v>15000</x:v>
      </x:c>
      <x:c r="N17" s="188" t="n">
        <x:f>'01_ВВОД'!$D$116</x:f>
        <x:v>15000</x:v>
      </x:c>
      <x:c r="O17" s="188" t="n">
        <x:f>'01_ВВОД'!$D$116</x:f>
        <x:v>15000</x:v>
      </x:c>
      <x:c r="P17" s="188" t="n">
        <x:f>SUM(D17:O17)</x:f>
        <x:v>180000</x:v>
      </x:c>
      <x:c r="Q17" s="188" t="n">
        <x:f>P17/12</x:f>
        <x:v>15000</x:v>
      </x:c>
      <x:c r="R17" s="52" t="inlineStr">
        <x:is>
          <x:t xml:space="preserve">ежемесячно; Требует уточнения</x:t>
        </x:is>
      </x:c>
    </x:row>
    <x:row r="18">
      <x:c r="A18" s="120" t="inlineStr">
        <x:is>
          <x:t xml:space="preserve">OPEX.F&amp;B DEPARTMENTAL EXPENSES.TOTAL</x:t>
        </x:is>
      </x:c>
      <x:c r="B18" s="120" t="inlineStr">
        <x:is>
          <x:t xml:space="preserve">F&amp;B DEPARTMENTAL EXPENSES</x:t>
        </x:is>
      </x:c>
      <x:c r="C18" s="120" t="inlineStr">
        <x:is>
          <x:t xml:space="preserve">ИТОГО F&amp;B DEPARTMENTAL EXPENSES</x:t>
        </x:is>
      </x:c>
      <x:c r="D18" s="202" t="n">
        <x:f>SUM(D6:D17)</x:f>
        <x:v>132217.96333333332</x:v>
      </x:c>
      <x:c r="E18" s="202" t="n">
        <x:f>SUM(E6:E17)</x:f>
        <x:v>132217.96333333332</x:v>
      </x:c>
      <x:c r="F18" s="202" t="n">
        <x:f>SUM(F6:F17)</x:f>
        <x:v>132217.96333333332</x:v>
      </x:c>
      <x:c r="G18" s="202" t="n">
        <x:f>SUM(G6:G17)</x:f>
        <x:v>132217.96333333332</x:v>
      </x:c>
      <x:c r="H18" s="202" t="n">
        <x:f>SUM(H6:H17)</x:f>
        <x:v>132217.96333333332</x:v>
      </x:c>
      <x:c r="I18" s="202" t="n">
        <x:f>SUM(I6:I17)</x:f>
        <x:v>132217.96333333332</x:v>
      </x:c>
      <x:c r="J18" s="202" t="n">
        <x:f>SUM(J6:J17)</x:f>
        <x:v>132217.96333333332</x:v>
      </x:c>
      <x:c r="K18" s="202" t="n">
        <x:f>SUM(K6:K17)</x:f>
        <x:v>132217.96333333332</x:v>
      </x:c>
      <x:c r="L18" s="202" t="n">
        <x:f>SUM(L6:L17)</x:f>
        <x:v>132217.96333333332</x:v>
      </x:c>
      <x:c r="M18" s="202" t="n">
        <x:f>SUM(M6:M17)</x:f>
        <x:v>132217.96333333332</x:v>
      </x:c>
      <x:c r="N18" s="202" t="n">
        <x:f>SUM(N6:N17)</x:f>
        <x:v>132217.96333333332</x:v>
      </x:c>
      <x:c r="O18" s="202" t="n">
        <x:f>SUM(O6:O17)</x:f>
        <x:v>132217.96333333332</x:v>
      </x:c>
      <x:c r="P18" s="202" t="n">
        <x:f>SUM(P6:P17)</x:f>
        <x:v>1586615.56</x:v>
      </x:c>
      <x:c r="Q18" s="202" t="n">
        <x:f>P18/12</x:f>
        <x:v>132217.96333333335</x:v>
      </x:c>
      <x:c r="R18" s="120" t="n"/>
    </x:row>
    <x:row r="19">
      <x:c r="A19" s="122" t="inlineStr">
        <x:is>
          <x:t xml:space="preserve">ADMINISTRATIVE &amp; GENERAL</x:t>
        </x:is>
      </x:c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  <x:c r="M19" s="1" t="n"/>
      <x:c r="N19" s="1" t="n"/>
      <x:c r="O19" s="1" t="n"/>
      <x:c r="P19" s="1" t="n"/>
      <x:c r="Q19" s="1" t="n"/>
      <x:c r="R19" s="1" t="n"/>
    </x:row>
    <x:row r="20">
      <x:c r="A20" s="52" t="inlineStr">
        <x:is>
          <x:t xml:space="preserve">OPEX.INTERNET</x:t>
        </x:is>
      </x:c>
      <x:c r="B20" s="52" t="inlineStr">
        <x:is>
          <x:t xml:space="preserve">ADMINISTRATIVE &amp; GENERAL</x:t>
        </x:is>
      </x:c>
      <x:c r="C20" s="52" t="inlineStr">
        <x:is>
          <x:t xml:space="preserve">Интернет и связь</x:t>
        </x:is>
      </x:c>
      <x:c r="D20" s="188" t="n">
        <x:f>'01_ВВОД'!$D$85</x:f>
        <x:v>10000</x:v>
      </x:c>
      <x:c r="E20" s="188" t="n">
        <x:f>'01_ВВОД'!$D$85</x:f>
        <x:v>10000</x:v>
      </x:c>
      <x:c r="F20" s="188" t="n">
        <x:f>'01_ВВОД'!$D$85</x:f>
        <x:v>10000</x:v>
      </x:c>
      <x:c r="G20" s="188" t="n">
        <x:f>'01_ВВОД'!$D$85</x:f>
        <x:v>10000</x:v>
      </x:c>
      <x:c r="H20" s="188" t="n">
        <x:f>'01_ВВОД'!$D$85</x:f>
        <x:v>10000</x:v>
      </x:c>
      <x:c r="I20" s="188" t="n">
        <x:f>'01_ВВОД'!$D$85</x:f>
        <x:v>10000</x:v>
      </x:c>
      <x:c r="J20" s="188" t="n">
        <x:f>'01_ВВОД'!$D$85</x:f>
        <x:v>10000</x:v>
      </x:c>
      <x:c r="K20" s="188" t="n">
        <x:f>'01_ВВОД'!$D$85</x:f>
        <x:v>10000</x:v>
      </x:c>
      <x:c r="L20" s="188" t="n">
        <x:f>'01_ВВОД'!$D$85</x:f>
        <x:v>10000</x:v>
      </x:c>
      <x:c r="M20" s="188" t="n">
        <x:f>'01_ВВОД'!$D$85</x:f>
        <x:v>10000</x:v>
      </x:c>
      <x:c r="N20" s="188" t="n">
        <x:f>'01_ВВОД'!$D$85</x:f>
        <x:v>10000</x:v>
      </x:c>
      <x:c r="O20" s="188" t="n">
        <x:f>'01_ВВОД'!$D$85</x:f>
        <x:v>10000</x:v>
      </x:c>
      <x:c r="P20" s="188" t="n">
        <x:f>SUM(D20:O20)</x:f>
        <x:v>120000</x:v>
      </x:c>
      <x:c r="Q20" s="188" t="n">
        <x:f>P20/12</x:f>
        <x:v>10000</x:v>
      </x:c>
      <x:c r="R20" s="52" t="inlineStr">
        <x:is>
          <x:t xml:space="preserve">ежемесячно; Подтверждено</x:t>
        </x:is>
      </x:c>
    </x:row>
    <x:row r="21">
      <x:c r="A21" s="52" t="inlineStr">
        <x:is>
          <x:t xml:space="preserve">OPEX.CASH_RENT</x:t>
        </x:is>
      </x:c>
      <x:c r="B21" s="52" t="inlineStr">
        <x:is>
          <x:t xml:space="preserve">ADMINISTRATIVE &amp; GENERAL</x:t>
        </x:is>
      </x:c>
      <x:c r="C21" s="52" t="inlineStr">
        <x:is>
          <x:t xml:space="preserve">Аренда кассового оборудования</x:t>
        </x:is>
      </x:c>
      <x:c r="D21" s="188" t="n">
        <x:f>'01_ВВОД'!$D$89</x:f>
        <x:v>0</x:v>
      </x:c>
      <x:c r="E21" s="188" t="n">
        <x:f>'01_ВВОД'!$D$89</x:f>
        <x:v>0</x:v>
      </x:c>
      <x:c r="F21" s="188" t="n">
        <x:f>'01_ВВОД'!$D$89</x:f>
        <x:v>0</x:v>
      </x:c>
      <x:c r="G21" s="188" t="n">
        <x:f>'01_ВВОД'!$D$89</x:f>
        <x:v>0</x:v>
      </x:c>
      <x:c r="H21" s="188" t="n">
        <x:f>'01_ВВОД'!$D$89</x:f>
        <x:v>0</x:v>
      </x:c>
      <x:c r="I21" s="188" t="n">
        <x:f>'01_ВВОД'!$D$89</x:f>
        <x:v>0</x:v>
      </x:c>
      <x:c r="J21" s="188" t="n">
        <x:f>'01_ВВОД'!$D$89</x:f>
        <x:v>0</x:v>
      </x:c>
      <x:c r="K21" s="188" t="n">
        <x:f>'01_ВВОД'!$D$89</x:f>
        <x:v>0</x:v>
      </x:c>
      <x:c r="L21" s="188" t="n">
        <x:f>'01_ВВОД'!$D$89</x:f>
        <x:v>0</x:v>
      </x:c>
      <x:c r="M21" s="188" t="n">
        <x:f>'01_ВВОД'!$D$89</x:f>
        <x:v>0</x:v>
      </x:c>
      <x:c r="N21" s="188" t="n">
        <x:f>'01_ВВОД'!$D$89</x:f>
        <x:v>0</x:v>
      </x:c>
      <x:c r="O21" s="188" t="n">
        <x:f>'01_ВВОД'!$D$89</x:f>
        <x:v>0</x:v>
      </x:c>
      <x:c r="P21" s="188" t="n">
        <x:f>SUM(D21:O21)</x:f>
        <x:v>0</x:v>
      </x:c>
      <x:c r="Q21" s="188" t="n">
        <x:f>P21/12</x:f>
        <x:v>0</x:v>
      </x:c>
      <x:c r="R21" s="52" t="inlineStr">
        <x:is>
          <x:t xml:space="preserve">ежемесячно; Подтверждено</x:t>
        </x:is>
      </x:c>
    </x:row>
    <x:row r="22">
      <x:c r="A22" s="52" t="inlineStr">
        <x:is>
          <x:t xml:space="preserve">OPEX.POS</x:t>
        </x:is>
      </x:c>
      <x:c r="B22" s="52" t="inlineStr">
        <x:is>
          <x:t xml:space="preserve">ADMINISTRATIVE &amp; GENERAL</x:t>
        </x:is>
      </x:c>
      <x:c r="C22" s="52" t="inlineStr">
        <x:is>
          <x:t xml:space="preserve">POS / учётная система</x:t>
        </x:is>
      </x:c>
      <x:c r="D22" s="188" t="n">
        <x:f>'01_ВВОД'!$D$104</x:f>
        <x:v>20000</x:v>
      </x:c>
      <x:c r="E22" s="188" t="n">
        <x:f>'01_ВВОД'!$D$104</x:f>
        <x:v>20000</x:v>
      </x:c>
      <x:c r="F22" s="188" t="n">
        <x:f>'01_ВВОД'!$D$104</x:f>
        <x:v>20000</x:v>
      </x:c>
      <x:c r="G22" s="188" t="n">
        <x:f>'01_ВВОД'!$D$104</x:f>
        <x:v>20000</x:v>
      </x:c>
      <x:c r="H22" s="188" t="n">
        <x:f>'01_ВВОД'!$D$104</x:f>
        <x:v>20000</x:v>
      </x:c>
      <x:c r="I22" s="188" t="n">
        <x:f>'01_ВВОД'!$D$104</x:f>
        <x:v>20000</x:v>
      </x:c>
      <x:c r="J22" s="188" t="n">
        <x:f>'01_ВВОД'!$D$104</x:f>
        <x:v>20000</x:v>
      </x:c>
      <x:c r="K22" s="188" t="n">
        <x:f>'01_ВВОД'!$D$104</x:f>
        <x:v>20000</x:v>
      </x:c>
      <x:c r="L22" s="188" t="n">
        <x:f>'01_ВВОД'!$D$104</x:f>
        <x:v>20000</x:v>
      </x:c>
      <x:c r="M22" s="188" t="n">
        <x:f>'01_ВВОД'!$D$104</x:f>
        <x:v>20000</x:v>
      </x:c>
      <x:c r="N22" s="188" t="n">
        <x:f>'01_ВВОД'!$D$104</x:f>
        <x:v>20000</x:v>
      </x:c>
      <x:c r="O22" s="188" t="n">
        <x:f>'01_ВВОД'!$D$104</x:f>
        <x:v>20000</x:v>
      </x:c>
      <x:c r="P22" s="188" t="n">
        <x:f>SUM(D22:O22)</x:f>
        <x:v>240000</x:v>
      </x:c>
      <x:c r="Q22" s="188" t="n">
        <x:f>P22/12</x:f>
        <x:v>20000</x:v>
      </x:c>
      <x:c r="R22" s="52" t="inlineStr">
        <x:is>
          <x:t xml:space="preserve">ежемесячно; Допущение</x:t>
        </x:is>
      </x:c>
    </x:row>
    <x:row r="23">
      <x:c r="A23" s="52" t="inlineStr">
        <x:is>
          <x:t xml:space="preserve">OPEX.BANK_FEES</x:t>
        </x:is>
      </x:c>
      <x:c r="B23" s="52" t="inlineStr">
        <x:is>
          <x:t xml:space="preserve">ADMINISTRATIVE &amp; GENERAL</x:t>
        </x:is>
      </x:c>
      <x:c r="C23" s="52" t="inlineStr">
        <x:is>
          <x:t xml:space="preserve">Банковские комиссии и РКО</x:t>
        </x:is>
      </x:c>
      <x:c r="D23" s="188" t="n">
        <x:f>'01_ВВОД'!$D$106</x:f>
        <x:v>8000</x:v>
      </x:c>
      <x:c r="E23" s="188" t="n">
        <x:f>'01_ВВОД'!$D$106</x:f>
        <x:v>8000</x:v>
      </x:c>
      <x:c r="F23" s="188" t="n">
        <x:f>'01_ВВОД'!$D$106</x:f>
        <x:v>8000</x:v>
      </x:c>
      <x:c r="G23" s="188" t="n">
        <x:f>'01_ВВОД'!$D$106</x:f>
        <x:v>8000</x:v>
      </x:c>
      <x:c r="H23" s="188" t="n">
        <x:f>'01_ВВОД'!$D$106</x:f>
        <x:v>8000</x:v>
      </x:c>
      <x:c r="I23" s="188" t="n">
        <x:f>'01_ВВОД'!$D$106</x:f>
        <x:v>8000</x:v>
      </x:c>
      <x:c r="J23" s="188" t="n">
        <x:f>'01_ВВОД'!$D$106</x:f>
        <x:v>8000</x:v>
      </x:c>
      <x:c r="K23" s="188" t="n">
        <x:f>'01_ВВОД'!$D$106</x:f>
        <x:v>8000</x:v>
      </x:c>
      <x:c r="L23" s="188" t="n">
        <x:f>'01_ВВОД'!$D$106</x:f>
        <x:v>8000</x:v>
      </x:c>
      <x:c r="M23" s="188" t="n">
        <x:f>'01_ВВОД'!$D$106</x:f>
        <x:v>8000</x:v>
      </x:c>
      <x:c r="N23" s="188" t="n">
        <x:f>'01_ВВОД'!$D$106</x:f>
        <x:v>8000</x:v>
      </x:c>
      <x:c r="O23" s="188" t="n">
        <x:f>'01_ВВОД'!$D$106</x:f>
        <x:v>8000</x:v>
      </x:c>
      <x:c r="P23" s="188" t="n">
        <x:f>SUM(D23:O23)</x:f>
        <x:v>96000</x:v>
      </x:c>
      <x:c r="Q23" s="188" t="n">
        <x:f>P23/12</x:f>
        <x:v>8000</x:v>
      </x:c>
      <x:c r="R23" s="52" t="inlineStr">
        <x:is>
          <x:t xml:space="preserve">ежемесячно; Допущение</x:t>
        </x:is>
      </x:c>
    </x:row>
    <x:row r="24">
      <x:c r="A24" s="52" t="inlineStr">
        <x:is>
          <x:t xml:space="preserve">OPEX.LEGAL</x:t>
        </x:is>
      </x:c>
      <x:c r="B24" s="52" t="inlineStr">
        <x:is>
          <x:t xml:space="preserve">ADMINISTRATIVE &amp; GENERAL</x:t>
        </x:is>
      </x:c>
      <x:c r="C24" s="52" t="inlineStr">
        <x:is>
          <x:t xml:space="preserve">Юридическое сопровождение</x:t>
        </x:is>
      </x:c>
      <x:c r="D24" s="188" t="n">
        <x:f>'01_ВВОД'!$D$107</x:f>
        <x:v>0</x:v>
      </x:c>
      <x:c r="E24" s="188" t="n">
        <x:f>'01_ВВОД'!$D$107</x:f>
        <x:v>0</x:v>
      </x:c>
      <x:c r="F24" s="188" t="n">
        <x:f>'01_ВВОД'!$D$107</x:f>
        <x:v>0</x:v>
      </x:c>
      <x:c r="G24" s="188" t="n">
        <x:f>'01_ВВОД'!$D$107</x:f>
        <x:v>0</x:v>
      </x:c>
      <x:c r="H24" s="188" t="n">
        <x:f>'01_ВВОД'!$D$107</x:f>
        <x:v>0</x:v>
      </x:c>
      <x:c r="I24" s="188" t="n">
        <x:f>'01_ВВОД'!$D$107</x:f>
        <x:v>0</x:v>
      </x:c>
      <x:c r="J24" s="188" t="n">
        <x:f>'01_ВВОД'!$D$107</x:f>
        <x:v>0</x:v>
      </x:c>
      <x:c r="K24" s="188" t="n">
        <x:f>'01_ВВОД'!$D$107</x:f>
        <x:v>0</x:v>
      </x:c>
      <x:c r="L24" s="188" t="n">
        <x:f>'01_ВВОД'!$D$107</x:f>
        <x:v>0</x:v>
      </x:c>
      <x:c r="M24" s="188" t="n">
        <x:f>'01_ВВОД'!$D$107</x:f>
        <x:v>0</x:v>
      </x:c>
      <x:c r="N24" s="188" t="n">
        <x:f>'01_ВВОД'!$D$107</x:f>
        <x:v>0</x:v>
      </x:c>
      <x:c r="O24" s="188" t="n">
        <x:f>'01_ВВОД'!$D$107</x:f>
        <x:v>0</x:v>
      </x:c>
      <x:c r="P24" s="188" t="n">
        <x:f>SUM(D24:O24)</x:f>
        <x:v>0</x:v>
      </x:c>
      <x:c r="Q24" s="188" t="n">
        <x:f>P24/12</x:f>
        <x:v>0</x:v>
      </x:c>
      <x:c r="R24" s="52" t="inlineStr">
        <x:is>
          <x:t xml:space="preserve">ежемесячно; Допущение</x:t>
        </x:is>
      </x:c>
    </x:row>
    <x:row r="25">
      <x:c r="A25" s="52" t="inlineStr">
        <x:is>
          <x:t xml:space="preserve">OPEX.CLOUD</x:t>
        </x:is>
      </x:c>
      <x:c r="B25" s="52" t="inlineStr">
        <x:is>
          <x:t xml:space="preserve">ADMINISTRATIVE &amp; GENERAL</x:t>
        </x:is>
      </x:c>
      <x:c r="C25" s="52" t="inlineStr">
        <x:is>
          <x:t xml:space="preserve">Резервный интернет / облачные сервисы</x:t>
        </x:is>
      </x:c>
      <x:c r="D25" s="188" t="n">
        <x:f>'01_ВВОД'!$D$108</x:f>
        <x:v>4000</x:v>
      </x:c>
      <x:c r="E25" s="188" t="n">
        <x:f>'01_ВВОД'!$D$108</x:f>
        <x:v>4000</x:v>
      </x:c>
      <x:c r="F25" s="188" t="n">
        <x:f>'01_ВВОД'!$D$108</x:f>
        <x:v>4000</x:v>
      </x:c>
      <x:c r="G25" s="188" t="n">
        <x:f>'01_ВВОД'!$D$108</x:f>
        <x:v>4000</x:v>
      </x:c>
      <x:c r="H25" s="188" t="n">
        <x:f>'01_ВВОД'!$D$108</x:f>
        <x:v>4000</x:v>
      </x:c>
      <x:c r="I25" s="188" t="n">
        <x:f>'01_ВВОД'!$D$108</x:f>
        <x:v>4000</x:v>
      </x:c>
      <x:c r="J25" s="188" t="n">
        <x:f>'01_ВВОД'!$D$108</x:f>
        <x:v>4000</x:v>
      </x:c>
      <x:c r="K25" s="188" t="n">
        <x:f>'01_ВВОД'!$D$108</x:f>
        <x:v>4000</x:v>
      </x:c>
      <x:c r="L25" s="188" t="n">
        <x:f>'01_ВВОД'!$D$108</x:f>
        <x:v>4000</x:v>
      </x:c>
      <x:c r="M25" s="188" t="n">
        <x:f>'01_ВВОД'!$D$108</x:f>
        <x:v>4000</x:v>
      </x:c>
      <x:c r="N25" s="188" t="n">
        <x:f>'01_ВВОД'!$D$108</x:f>
        <x:v>4000</x:v>
      </x:c>
      <x:c r="O25" s="188" t="n">
        <x:f>'01_ВВОД'!$D$108</x:f>
        <x:v>4000</x:v>
      </x:c>
      <x:c r="P25" s="188" t="n">
        <x:f>SUM(D25:O25)</x:f>
        <x:v>48000</x:v>
      </x:c>
      <x:c r="Q25" s="188" t="n">
        <x:f>P25/12</x:f>
        <x:v>4000</x:v>
      </x:c>
      <x:c r="R25" s="52" t="inlineStr">
        <x:is>
          <x:t xml:space="preserve">ежемесячно; Допущение</x:t>
        </x:is>
      </x:c>
    </x:row>
    <x:row r="26">
      <x:c r="A26" s="52" t="inlineStr">
        <x:is>
          <x:t xml:space="preserve">OPEX.OFD_EDO</x:t>
        </x:is>
      </x:c>
      <x:c r="B26" s="52" t="inlineStr">
        <x:is>
          <x:t xml:space="preserve">ADMINISTRATIVE &amp; GENERAL</x:t>
        </x:is>
      </x:c>
      <x:c r="C26" s="52" t="inlineStr">
        <x:is>
          <x:t xml:space="preserve">ОФД, ЭЦП, ЭДО</x:t>
        </x:is>
      </x:c>
      <x:c r="D26" s="188" t="n">
        <x:f>'01_ВВОД'!$D$114/12</x:f>
        <x:v>3333.3333333333335</x:v>
      </x:c>
      <x:c r="E26" s="188" t="n">
        <x:f>'01_ВВОД'!$D$114/12</x:f>
        <x:v>3333.3333333333335</x:v>
      </x:c>
      <x:c r="F26" s="188" t="n">
        <x:f>'01_ВВОД'!$D$114/12</x:f>
        <x:v>3333.3333333333335</x:v>
      </x:c>
      <x:c r="G26" s="188" t="n">
        <x:f>'01_ВВОД'!$D$114/12</x:f>
        <x:v>3333.3333333333335</x:v>
      </x:c>
      <x:c r="H26" s="188" t="n">
        <x:f>'01_ВВОД'!$D$114/12</x:f>
        <x:v>3333.3333333333335</x:v>
      </x:c>
      <x:c r="I26" s="188" t="n">
        <x:f>'01_ВВОД'!$D$114/12</x:f>
        <x:v>3333.3333333333335</x:v>
      </x:c>
      <x:c r="J26" s="188" t="n">
        <x:f>'01_ВВОД'!$D$114/12</x:f>
        <x:v>3333.3333333333335</x:v>
      </x:c>
      <x:c r="K26" s="188" t="n">
        <x:f>'01_ВВОД'!$D$114/12</x:f>
        <x:v>3333.3333333333335</x:v>
      </x:c>
      <x:c r="L26" s="188" t="n">
        <x:f>'01_ВВОД'!$D$114/12</x:f>
        <x:v>3333.3333333333335</x:v>
      </x:c>
      <x:c r="M26" s="188" t="n">
        <x:f>'01_ВВОД'!$D$114/12</x:f>
        <x:v>3333.3333333333335</x:v>
      </x:c>
      <x:c r="N26" s="188" t="n">
        <x:f>'01_ВВОД'!$D$114/12</x:f>
        <x:v>3333.3333333333335</x:v>
      </x:c>
      <x:c r="O26" s="188" t="n">
        <x:f>'01_ВВОД'!$D$114/12</x:f>
        <x:v>3333.3333333333335</x:v>
      </x:c>
      <x:c r="P26" s="188" t="n">
        <x:f>SUM(D26:O26)</x:f>
        <x:v>40000</x:v>
      </x:c>
      <x:c r="Q26" s="188" t="n">
        <x:f>P26/12</x:f>
        <x:v>3333.3333333333335</x:v>
      </x:c>
      <x:c r="R26" s="52" t="inlineStr">
        <x:is>
          <x:t xml:space="preserve">год / 12; Допущение</x:t>
        </x:is>
      </x:c>
    </x:row>
    <x:row r="27">
      <x:c r="A27" s="120" t="inlineStr">
        <x:is>
          <x:t xml:space="preserve">OPEX.ADMINISTRATIVE &amp; GENERAL.TOTAL</x:t>
        </x:is>
      </x:c>
      <x:c r="B27" s="120" t="inlineStr">
        <x:is>
          <x:t xml:space="preserve">ADMINISTRATIVE &amp; GENERAL</x:t>
        </x:is>
      </x:c>
      <x:c r="C27" s="120" t="inlineStr">
        <x:is>
          <x:t xml:space="preserve">ИТОГО ADMINISTRATIVE &amp; GENERAL</x:t>
        </x:is>
      </x:c>
      <x:c r="D27" s="202" t="n">
        <x:f>SUM(D20:D26)</x:f>
        <x:v>45333.333333333336</x:v>
      </x:c>
      <x:c r="E27" s="202" t="n">
        <x:f>SUM(E20:E26)</x:f>
        <x:v>45333.333333333336</x:v>
      </x:c>
      <x:c r="F27" s="202" t="n">
        <x:f>SUM(F20:F26)</x:f>
        <x:v>45333.333333333336</x:v>
      </x:c>
      <x:c r="G27" s="202" t="n">
        <x:f>SUM(G20:G26)</x:f>
        <x:v>45333.333333333336</x:v>
      </x:c>
      <x:c r="H27" s="202" t="n">
        <x:f>SUM(H20:H26)</x:f>
        <x:v>45333.333333333336</x:v>
      </x:c>
      <x:c r="I27" s="202" t="n">
        <x:f>SUM(I20:I26)</x:f>
        <x:v>45333.333333333336</x:v>
      </x:c>
      <x:c r="J27" s="202" t="n">
        <x:f>SUM(J20:J26)</x:f>
        <x:v>45333.333333333336</x:v>
      </x:c>
      <x:c r="K27" s="202" t="n">
        <x:f>SUM(K20:K26)</x:f>
        <x:v>45333.333333333336</x:v>
      </x:c>
      <x:c r="L27" s="202" t="n">
        <x:f>SUM(L20:L26)</x:f>
        <x:v>45333.333333333336</x:v>
      </x:c>
      <x:c r="M27" s="202" t="n">
        <x:f>SUM(M20:M26)</x:f>
        <x:v>45333.333333333336</x:v>
      </x:c>
      <x:c r="N27" s="202" t="n">
        <x:f>SUM(N20:N26)</x:f>
        <x:v>45333.333333333336</x:v>
      </x:c>
      <x:c r="O27" s="202" t="n">
        <x:f>SUM(O20:O26)</x:f>
        <x:v>45333.333333333336</x:v>
      </x:c>
      <x:c r="P27" s="202" t="n">
        <x:f>SUM(P20:P26)</x:f>
        <x:v>544000</x:v>
      </x:c>
      <x:c r="Q27" s="202" t="n">
        <x:f>P27/12</x:f>
        <x:v>45333.333333333336</x:v>
      </x:c>
      <x:c r="R27" s="120" t="n"/>
    </x:row>
    <x:row r="28">
      <x:c r="A28" s="122" t="inlineStr">
        <x:is>
          <x:t xml:space="preserve">SALES &amp; MARKETING</x:t>
        </x:is>
      </x:c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</x:row>
    <x:row r="29">
      <x:c r="A29" s="52" t="inlineStr">
        <x:is>
          <x:t xml:space="preserve">OPEX.MARKETING</x:t>
        </x:is>
      </x:c>
      <x:c r="B29" s="52" t="inlineStr">
        <x:is>
          <x:t xml:space="preserve">SALES &amp; MARKETING</x:t>
        </x:is>
      </x:c>
      <x:c r="C29" s="52" t="inlineStr">
        <x:is>
          <x:t xml:space="preserve">Маркетинг</x:t>
        </x:is>
      </x:c>
      <x:c r="D29" s="188" t="n">
        <x:f>'01_ВВОД'!$D$86</x:f>
        <x:v>20000</x:v>
      </x:c>
      <x:c r="E29" s="188" t="n">
        <x:f>'01_ВВОД'!$D$86</x:f>
        <x:v>20000</x:v>
      </x:c>
      <x:c r="F29" s="188" t="n">
        <x:f>'01_ВВОД'!$D$86</x:f>
        <x:v>20000</x:v>
      </x:c>
      <x:c r="G29" s="188" t="n">
        <x:f>'01_ВВОД'!$D$86</x:f>
        <x:v>20000</x:v>
      </x:c>
      <x:c r="H29" s="188" t="n">
        <x:f>'01_ВВОД'!$D$86</x:f>
        <x:v>20000</x:v>
      </x:c>
      <x:c r="I29" s="188" t="n">
        <x:f>'01_ВВОД'!$D$86</x:f>
        <x:v>20000</x:v>
      </x:c>
      <x:c r="J29" s="188" t="n">
        <x:f>'01_ВВОД'!$D$86</x:f>
        <x:v>20000</x:v>
      </x:c>
      <x:c r="K29" s="188" t="n">
        <x:f>'01_ВВОД'!$D$86</x:f>
        <x:v>20000</x:v>
      </x:c>
      <x:c r="L29" s="188" t="n">
        <x:f>'01_ВВОД'!$D$86</x:f>
        <x:v>20000</x:v>
      </x:c>
      <x:c r="M29" s="188" t="n">
        <x:f>'01_ВВОД'!$D$86</x:f>
        <x:v>20000</x:v>
      </x:c>
      <x:c r="N29" s="188" t="n">
        <x:f>'01_ВВОД'!$D$86</x:f>
        <x:v>20000</x:v>
      </x:c>
      <x:c r="O29" s="188" t="n">
        <x:f>'01_ВВОД'!$D$86</x:f>
        <x:v>20000</x:v>
      </x:c>
      <x:c r="P29" s="188" t="n">
        <x:f>SUM(D29:O29)</x:f>
        <x:v>240000</x:v>
      </x:c>
      <x:c r="Q29" s="188" t="n">
        <x:f>P29/12</x:f>
        <x:v>20000</x:v>
      </x:c>
      <x:c r="R29" s="52" t="inlineStr">
        <x:is>
          <x:t xml:space="preserve">ежемесячно; Подтверждено</x:t>
        </x:is>
      </x:c>
    </x:row>
    <x:row r="30">
      <x:c r="A30" s="120" t="inlineStr">
        <x:is>
          <x:t xml:space="preserve">OPEX.SALES &amp; MARKETING.TOTAL</x:t>
        </x:is>
      </x:c>
      <x:c r="B30" s="120" t="inlineStr">
        <x:is>
          <x:t xml:space="preserve">SALES &amp; MARKETING</x:t>
        </x:is>
      </x:c>
      <x:c r="C30" s="120" t="inlineStr">
        <x:is>
          <x:t xml:space="preserve">ИТОГО SALES &amp; MARKETING</x:t>
        </x:is>
      </x:c>
      <x:c r="D30" s="202" t="n">
        <x:f>SUM(D29:D29)</x:f>
        <x:v>20000</x:v>
      </x:c>
      <x:c r="E30" s="202" t="n">
        <x:f>SUM(E29:E29)</x:f>
        <x:v>20000</x:v>
      </x:c>
      <x:c r="F30" s="202" t="n">
        <x:f>SUM(F29:F29)</x:f>
        <x:v>20000</x:v>
      </x:c>
      <x:c r="G30" s="202" t="n">
        <x:f>SUM(G29:G29)</x:f>
        <x:v>20000</x:v>
      </x:c>
      <x:c r="H30" s="202" t="n">
        <x:f>SUM(H29:H29)</x:f>
        <x:v>20000</x:v>
      </x:c>
      <x:c r="I30" s="202" t="n">
        <x:f>SUM(I29:I29)</x:f>
        <x:v>20000</x:v>
      </x:c>
      <x:c r="J30" s="202" t="n">
        <x:f>SUM(J29:J29)</x:f>
        <x:v>20000</x:v>
      </x:c>
      <x:c r="K30" s="202" t="n">
        <x:f>SUM(K29:K29)</x:f>
        <x:v>20000</x:v>
      </x:c>
      <x:c r="L30" s="202" t="n">
        <x:f>SUM(L29:L29)</x:f>
        <x:v>20000</x:v>
      </x:c>
      <x:c r="M30" s="202" t="n">
        <x:f>SUM(M29:M29)</x:f>
        <x:v>20000</x:v>
      </x:c>
      <x:c r="N30" s="202" t="n">
        <x:f>SUM(N29:N29)</x:f>
        <x:v>20000</x:v>
      </x:c>
      <x:c r="O30" s="202" t="n">
        <x:f>SUM(O29:O29)</x:f>
        <x:v>20000</x:v>
      </x:c>
      <x:c r="P30" s="202" t="n">
        <x:f>SUM(P29:P29)</x:f>
        <x:v>240000</x:v>
      </x:c>
      <x:c r="Q30" s="202" t="n">
        <x:f>P30/12</x:f>
        <x:v>20000</x:v>
      </x:c>
      <x:c r="R30" s="120" t="n"/>
    </x:row>
    <x:row r="31">
      <x:c r="A31" s="122" t="inlineStr">
        <x:is>
          <x:t xml:space="preserve">PROPERTY OPERATIONS &amp; MAINTENANCE</x:t>
        </x:is>
      </x:c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  <x:c r="L31" s="1" t="n"/>
      <x:c r="M31" s="1" t="n"/>
      <x:c r="N31" s="1" t="n"/>
      <x:c r="O31" s="1" t="n"/>
      <x:c r="P31" s="1" t="n"/>
      <x:c r="Q31" s="1" t="n"/>
      <x:c r="R31" s="1" t="n"/>
    </x:row>
    <x:row r="32">
      <x:c r="A32" s="52" t="inlineStr">
        <x:is>
          <x:t xml:space="preserve">OPEX.EQUIP_MAINT</x:t>
        </x:is>
      </x:c>
      <x:c r="B32" s="52" t="inlineStr">
        <x:is>
          <x:t xml:space="preserve">PROPERTY OPERATIONS &amp; MAINTENANCE</x:t>
        </x:is>
      </x:c>
      <x:c r="C32" s="52" t="inlineStr">
        <x:is>
          <x:t xml:space="preserve">Обслуживание холодильного и теплового оборудования</x:t>
        </x:is>
      </x:c>
      <x:c r="D32" s="188" t="n">
        <x:f>'01_ВВОД'!$D$88</x:f>
        <x:v>0</x:v>
      </x:c>
      <x:c r="E32" s="188" t="n">
        <x:f>'01_ВВОД'!$D$88</x:f>
        <x:v>0</x:v>
      </x:c>
      <x:c r="F32" s="188" t="n">
        <x:f>'01_ВВОД'!$D$88</x:f>
        <x:v>0</x:v>
      </x:c>
      <x:c r="G32" s="188" t="n">
        <x:f>'01_ВВОД'!$D$88</x:f>
        <x:v>0</x:v>
      </x:c>
      <x:c r="H32" s="188" t="n">
        <x:f>'01_ВВОД'!$D$88</x:f>
        <x:v>0</x:v>
      </x:c>
      <x:c r="I32" s="188" t="n">
        <x:f>'01_ВВОД'!$D$88</x:f>
        <x:v>0</x:v>
      </x:c>
      <x:c r="J32" s="188" t="n">
        <x:f>'01_ВВОД'!$D$88</x:f>
        <x:v>0</x:v>
      </x:c>
      <x:c r="K32" s="188" t="n">
        <x:f>'01_ВВОД'!$D$88</x:f>
        <x:v>0</x:v>
      </x:c>
      <x:c r="L32" s="188" t="n">
        <x:f>'01_ВВОД'!$D$88</x:f>
        <x:v>0</x:v>
      </x:c>
      <x:c r="M32" s="188" t="n">
        <x:f>'01_ВВОД'!$D$88</x:f>
        <x:v>0</x:v>
      </x:c>
      <x:c r="N32" s="188" t="n">
        <x:f>'01_ВВОД'!$D$88</x:f>
        <x:v>0</x:v>
      </x:c>
      <x:c r="O32" s="188" t="n">
        <x:f>'01_ВВОД'!$D$88</x:f>
        <x:v>0</x:v>
      </x:c>
      <x:c r="P32" s="188" t="n">
        <x:f>SUM(D32:O32)</x:f>
        <x:v>0</x:v>
      </x:c>
      <x:c r="Q32" s="188" t="n">
        <x:f>P32/12</x:f>
        <x:v>0</x:v>
      </x:c>
      <x:c r="R32" s="52" t="inlineStr">
        <x:is>
          <x:t xml:space="preserve">ежемесячно; Подтверждено</x:t>
        </x:is>
      </x:c>
    </x:row>
    <x:row r="33">
      <x:c r="A33" s="52" t="inlineStr">
        <x:is>
          <x:t xml:space="preserve">OPEX.VENT</x:t>
        </x:is>
      </x:c>
      <x:c r="B33" s="52" t="inlineStr">
        <x:is>
          <x:t xml:space="preserve">PROPERTY OPERATIONS &amp; MAINTENANCE</x:t>
        </x:is>
      </x:c>
      <x:c r="C33" s="52" t="inlineStr">
        <x:is>
          <x:t xml:space="preserve">Обслуживание вентиляции</x:t>
        </x:is>
      </x:c>
      <x:c r="D33" s="188" t="n">
        <x:f>'01_ВВОД'!$D$93</x:f>
        <x:v>2000</x:v>
      </x:c>
      <x:c r="E33" s="188" t="n">
        <x:f>'01_ВВОД'!$D$93</x:f>
        <x:v>2000</x:v>
      </x:c>
      <x:c r="F33" s="188" t="n">
        <x:f>'01_ВВОД'!$D$93</x:f>
        <x:v>2000</x:v>
      </x:c>
      <x:c r="G33" s="188" t="n">
        <x:f>'01_ВВОД'!$D$93</x:f>
        <x:v>2000</x:v>
      </x:c>
      <x:c r="H33" s="188" t="n">
        <x:f>'01_ВВОД'!$D$93</x:f>
        <x:v>2000</x:v>
      </x:c>
      <x:c r="I33" s="188" t="n">
        <x:f>'01_ВВОД'!$D$93</x:f>
        <x:v>2000</x:v>
      </x:c>
      <x:c r="J33" s="188" t="n">
        <x:f>'01_ВВОД'!$D$93</x:f>
        <x:v>2000</x:v>
      </x:c>
      <x:c r="K33" s="188" t="n">
        <x:f>'01_ВВОД'!$D$93</x:f>
        <x:v>2000</x:v>
      </x:c>
      <x:c r="L33" s="188" t="n">
        <x:f>'01_ВВОД'!$D$93</x:f>
        <x:v>2000</x:v>
      </x:c>
      <x:c r="M33" s="188" t="n">
        <x:f>'01_ВВОД'!$D$93</x:f>
        <x:v>2000</x:v>
      </x:c>
      <x:c r="N33" s="188" t="n">
        <x:f>'01_ВВОД'!$D$93</x:f>
        <x:v>2000</x:v>
      </x:c>
      <x:c r="O33" s="188" t="n">
        <x:f>'01_ВВОД'!$D$93</x:f>
        <x:v>2000</x:v>
      </x:c>
      <x:c r="P33" s="188" t="n">
        <x:f>SUM(D33:O33)</x:f>
        <x:v>24000</x:v>
      </x:c>
      <x:c r="Q33" s="188" t="n">
        <x:f>P33/12</x:f>
        <x:v>2000</x:v>
      </x:c>
      <x:c r="R33" s="52" t="inlineStr">
        <x:is>
          <x:t xml:space="preserve">ежемесячно; Подтверждено</x:t>
        </x:is>
      </x:c>
    </x:row>
    <x:row r="34">
      <x:c r="A34" s="52" t="inlineStr">
        <x:is>
          <x:t xml:space="preserve">OPEX.CARPETS</x:t>
        </x:is>
      </x:c>
      <x:c r="B34" s="52" t="inlineStr">
        <x:is>
          <x:t xml:space="preserve">PROPERTY OPERATIONS &amp; MAINTENANCE</x:t>
        </x:is>
      </x:c>
      <x:c r="C34" s="52" t="inlineStr">
        <x:is>
          <x:t xml:space="preserve">Сервис грязезащитных ковров</x:t>
        </x:is>
      </x:c>
      <x:c r="D34" s="188" t="n">
        <x:f>IF(AND(D$3&gt;=2,D$3&lt;=8),'01_ВВОД'!$D$95,0)</x:f>
        <x:v>0</x:v>
      </x:c>
      <x:c r="E34" s="188" t="n">
        <x:f>IF(AND(E$3&gt;=2,E$3&lt;=8),'01_ВВОД'!$D$95,0)</x:f>
        <x:v>5000</x:v>
      </x:c>
      <x:c r="F34" s="188" t="n">
        <x:f>IF(AND(F$3&gt;=2,F$3&lt;=8),'01_ВВОД'!$D$95,0)</x:f>
        <x:v>5000</x:v>
      </x:c>
      <x:c r="G34" s="188" t="n">
        <x:f>IF(AND(G$3&gt;=2,G$3&lt;=8),'01_ВВОД'!$D$95,0)</x:f>
        <x:v>5000</x:v>
      </x:c>
      <x:c r="H34" s="188" t="n">
        <x:f>IF(AND(H$3&gt;=2,H$3&lt;=8),'01_ВВОД'!$D$95,0)</x:f>
        <x:v>5000</x:v>
      </x:c>
      <x:c r="I34" s="188" t="n">
        <x:f>IF(AND(I$3&gt;=2,I$3&lt;=8),'01_ВВОД'!$D$95,0)</x:f>
        <x:v>5000</x:v>
      </x:c>
      <x:c r="J34" s="188" t="n">
        <x:f>IF(AND(J$3&gt;=2,J$3&lt;=8),'01_ВВОД'!$D$95,0)</x:f>
        <x:v>5000</x:v>
      </x:c>
      <x:c r="K34" s="188" t="n">
        <x:f>IF(AND(K$3&gt;=2,K$3&lt;=8),'01_ВВОД'!$D$95,0)</x:f>
        <x:v>5000</x:v>
      </x:c>
      <x:c r="L34" s="188" t="n">
        <x:f>IF(AND(L$3&gt;=2,L$3&lt;=8),'01_ВВОД'!$D$95,0)</x:f>
        <x:v>0</x:v>
      </x:c>
      <x:c r="M34" s="188" t="n">
        <x:f>IF(AND(M$3&gt;=2,M$3&lt;=8),'01_ВВОД'!$D$95,0)</x:f>
        <x:v>0</x:v>
      </x:c>
      <x:c r="N34" s="188" t="n">
        <x:f>IF(AND(N$3&gt;=2,N$3&lt;=8),'01_ВВОД'!$D$95,0)</x:f>
        <x:v>0</x:v>
      </x:c>
      <x:c r="O34" s="188" t="n">
        <x:f>IF(AND(O$3&gt;=2,O$3&lt;=8),'01_ВВОД'!$D$95,0)</x:f>
        <x:v>0</x:v>
      </x:c>
      <x:c r="P34" s="188" t="n">
        <x:f>SUM(D34:O34)</x:f>
        <x:v>35000</x:v>
      </x:c>
      <x:c r="Q34" s="188" t="n">
        <x:f>P34/12</x:f>
        <x:v>2916.6666666666665</x:v>
      </x:c>
      <x:c r="R34" s="52" t="inlineStr">
        <x:is>
          <x:t xml:space="preserve">октябрь–апрель; Допущение</x:t>
        </x:is>
      </x:c>
    </x:row>
    <x:row r="35">
      <x:c r="A35" s="52" t="inlineStr">
        <x:is>
          <x:t xml:space="preserve">OPEX.CURRENT_REPAIR</x:t>
        </x:is>
      </x:c>
      <x:c r="B35" s="52" t="inlineStr">
        <x:is>
          <x:t xml:space="preserve">PROPERTY OPERATIONS &amp; MAINTENANCE</x:t>
        </x:is>
      </x:c>
      <x:c r="C35" s="52" t="inlineStr">
        <x:is>
          <x:t xml:space="preserve">Текущий ремонт помещений</x:t>
        </x:is>
      </x:c>
      <x:c r="D35" s="188" t="n">
        <x:f>'01_ВВОД'!$D$97</x:f>
        <x:v>20000</x:v>
      </x:c>
      <x:c r="E35" s="188" t="n">
        <x:f>'01_ВВОД'!$D$97</x:f>
        <x:v>20000</x:v>
      </x:c>
      <x:c r="F35" s="188" t="n">
        <x:f>'01_ВВОД'!$D$97</x:f>
        <x:v>20000</x:v>
      </x:c>
      <x:c r="G35" s="188" t="n">
        <x:f>'01_ВВОД'!$D$97</x:f>
        <x:v>20000</x:v>
      </x:c>
      <x:c r="H35" s="188" t="n">
        <x:f>'01_ВВОД'!$D$97</x:f>
        <x:v>20000</x:v>
      </x:c>
      <x:c r="I35" s="188" t="n">
        <x:f>'01_ВВОД'!$D$97</x:f>
        <x:v>20000</x:v>
      </x:c>
      <x:c r="J35" s="188" t="n">
        <x:f>'01_ВВОД'!$D$97</x:f>
        <x:v>20000</x:v>
      </x:c>
      <x:c r="K35" s="188" t="n">
        <x:f>'01_ВВОД'!$D$97</x:f>
        <x:v>20000</x:v>
      </x:c>
      <x:c r="L35" s="188" t="n">
        <x:f>'01_ВВОД'!$D$97</x:f>
        <x:v>20000</x:v>
      </x:c>
      <x:c r="M35" s="188" t="n">
        <x:f>'01_ВВОД'!$D$97</x:f>
        <x:v>20000</x:v>
      </x:c>
      <x:c r="N35" s="188" t="n">
        <x:f>'01_ВВОД'!$D$97</x:f>
        <x:v>20000</x:v>
      </x:c>
      <x:c r="O35" s="188" t="n">
        <x:f>'01_ВВОД'!$D$97</x:f>
        <x:v>20000</x:v>
      </x:c>
      <x:c r="P35" s="188" t="n">
        <x:f>SUM(D35:O35)</x:f>
        <x:v>240000</x:v>
      </x:c>
      <x:c r="Q35" s="188" t="n">
        <x:f>P35/12</x:f>
        <x:v>20000</x:v>
      </x:c>
      <x:c r="R35" s="52" t="inlineStr">
        <x:is>
          <x:t xml:space="preserve">ежемесячно; Допущение</x:t>
        </x:is>
      </x:c>
    </x:row>
    <x:row r="36">
      <x:c r="A36" s="52" t="inlineStr">
        <x:is>
          <x:t xml:space="preserve">OPEX.EMERG_REPAIR</x:t>
        </x:is>
      </x:c>
      <x:c r="B36" s="52" t="inlineStr">
        <x:is>
          <x:t xml:space="preserve">PROPERTY OPERATIONS &amp; MAINTENANCE</x:t>
        </x:is>
      </x:c>
      <x:c r="C36" s="52" t="inlineStr">
        <x:is>
          <x:t xml:space="preserve">Аварийный ремонт оборудования</x:t>
        </x:is>
      </x:c>
      <x:c r="D36" s="188" t="n">
        <x:f>'01_ВВОД'!$D$98</x:f>
        <x:v>20000</x:v>
      </x:c>
      <x:c r="E36" s="188" t="n">
        <x:f>'01_ВВОД'!$D$98</x:f>
        <x:v>20000</x:v>
      </x:c>
      <x:c r="F36" s="188" t="n">
        <x:f>'01_ВВОД'!$D$98</x:f>
        <x:v>20000</x:v>
      </x:c>
      <x:c r="G36" s="188" t="n">
        <x:f>'01_ВВОД'!$D$98</x:f>
        <x:v>20000</x:v>
      </x:c>
      <x:c r="H36" s="188" t="n">
        <x:f>'01_ВВОД'!$D$98</x:f>
        <x:v>20000</x:v>
      </x:c>
      <x:c r="I36" s="188" t="n">
        <x:f>'01_ВВОД'!$D$98</x:f>
        <x:v>20000</x:v>
      </x:c>
      <x:c r="J36" s="188" t="n">
        <x:f>'01_ВВОД'!$D$98</x:f>
        <x:v>20000</x:v>
      </x:c>
      <x:c r="K36" s="188" t="n">
        <x:f>'01_ВВОД'!$D$98</x:f>
        <x:v>20000</x:v>
      </x:c>
      <x:c r="L36" s="188" t="n">
        <x:f>'01_ВВОД'!$D$98</x:f>
        <x:v>20000</x:v>
      </x:c>
      <x:c r="M36" s="188" t="n">
        <x:f>'01_ВВОД'!$D$98</x:f>
        <x:v>20000</x:v>
      </x:c>
      <x:c r="N36" s="188" t="n">
        <x:f>'01_ВВОД'!$D$98</x:f>
        <x:v>20000</x:v>
      </x:c>
      <x:c r="O36" s="188" t="n">
        <x:f>'01_ВВОД'!$D$98</x:f>
        <x:v>20000</x:v>
      </x:c>
      <x:c r="P36" s="188" t="n">
        <x:f>SUM(D36:O36)</x:f>
        <x:v>240000</x:v>
      </x:c>
      <x:c r="Q36" s="188" t="n">
        <x:f>P36/12</x:f>
        <x:v>20000</x:v>
      </x:c>
      <x:c r="R36" s="52" t="inlineStr">
        <x:is>
          <x:t xml:space="preserve">ежемесячно; Допущение</x:t>
        </x:is>
      </x:c>
    </x:row>
    <x:row r="37">
      <x:c r="A37" s="52" t="inlineStr">
        <x:is>
          <x:t xml:space="preserve">OPEX.FIRE_ALARM</x:t>
        </x:is>
      </x:c>
      <x:c r="B37" s="52" t="inlineStr">
        <x:is>
          <x:t xml:space="preserve">PROPERTY OPERATIONS &amp; MAINTENANCE</x:t>
        </x:is>
      </x:c>
      <x:c r="C37" s="52" t="inlineStr">
        <x:is>
          <x:t xml:space="preserve">Обслуживание пожарной сигнализации</x:t>
        </x:is>
      </x:c>
      <x:c r="D37" s="188" t="n">
        <x:f>'01_ВВОД'!$D$103</x:f>
        <x:v>5000</x:v>
      </x:c>
      <x:c r="E37" s="188" t="n">
        <x:f>'01_ВВОД'!$D$103</x:f>
        <x:v>5000</x:v>
      </x:c>
      <x:c r="F37" s="188" t="n">
        <x:f>'01_ВВОД'!$D$103</x:f>
        <x:v>5000</x:v>
      </x:c>
      <x:c r="G37" s="188" t="n">
        <x:f>'01_ВВОД'!$D$103</x:f>
        <x:v>5000</x:v>
      </x:c>
      <x:c r="H37" s="188" t="n">
        <x:f>'01_ВВОД'!$D$103</x:f>
        <x:v>5000</x:v>
      </x:c>
      <x:c r="I37" s="188" t="n">
        <x:f>'01_ВВОД'!$D$103</x:f>
        <x:v>5000</x:v>
      </x:c>
      <x:c r="J37" s="188" t="n">
        <x:f>'01_ВВОД'!$D$103</x:f>
        <x:v>5000</x:v>
      </x:c>
      <x:c r="K37" s="188" t="n">
        <x:f>'01_ВВОД'!$D$103</x:f>
        <x:v>5000</x:v>
      </x:c>
      <x:c r="L37" s="188" t="n">
        <x:f>'01_ВВОД'!$D$103</x:f>
        <x:v>5000</x:v>
      </x:c>
      <x:c r="M37" s="188" t="n">
        <x:f>'01_ВВОД'!$D$103</x:f>
        <x:v>5000</x:v>
      </x:c>
      <x:c r="N37" s="188" t="n">
        <x:f>'01_ВВОД'!$D$103</x:f>
        <x:v>5000</x:v>
      </x:c>
      <x:c r="O37" s="188" t="n">
        <x:f>'01_ВВОД'!$D$103</x:f>
        <x:v>5000</x:v>
      </x:c>
      <x:c r="P37" s="188" t="n">
        <x:f>SUM(D37:O37)</x:f>
        <x:v>60000</x:v>
      </x:c>
      <x:c r="Q37" s="188" t="n">
        <x:f>P37/12</x:f>
        <x:v>5000</x:v>
      </x:c>
      <x:c r="R37" s="52" t="inlineStr">
        <x:is>
          <x:t xml:space="preserve">ежемесячно; Допущение</x:t>
        </x:is>
      </x:c>
    </x:row>
    <x:row r="38">
      <x:c r="A38" s="52" t="inlineStr">
        <x:is>
          <x:t xml:space="preserve">OPEX.SECURITY</x:t>
        </x:is>
      </x:c>
      <x:c r="B38" s="52" t="inlineStr">
        <x:is>
          <x:t xml:space="preserve">PROPERTY OPERATIONS &amp; MAINTENANCE</x:t>
        </x:is>
      </x:c>
      <x:c r="C38" s="52" t="inlineStr">
        <x:is>
          <x:t xml:space="preserve">Охрана / тревожная кнопка</x:t>
        </x:is>
      </x:c>
      <x:c r="D38" s="188" t="n">
        <x:f>'01_ВВОД'!$D$105</x:f>
        <x:v>6000</x:v>
      </x:c>
      <x:c r="E38" s="188" t="n">
        <x:f>'01_ВВОД'!$D$105</x:f>
        <x:v>6000</x:v>
      </x:c>
      <x:c r="F38" s="188" t="n">
        <x:f>'01_ВВОД'!$D$105</x:f>
        <x:v>6000</x:v>
      </x:c>
      <x:c r="G38" s="188" t="n">
        <x:f>'01_ВВОД'!$D$105</x:f>
        <x:v>6000</x:v>
      </x:c>
      <x:c r="H38" s="188" t="n">
        <x:f>'01_ВВОД'!$D$105</x:f>
        <x:v>6000</x:v>
      </x:c>
      <x:c r="I38" s="188" t="n">
        <x:f>'01_ВВОД'!$D$105</x:f>
        <x:v>6000</x:v>
      </x:c>
      <x:c r="J38" s="188" t="n">
        <x:f>'01_ВВОД'!$D$105</x:f>
        <x:v>6000</x:v>
      </x:c>
      <x:c r="K38" s="188" t="n">
        <x:f>'01_ВВОД'!$D$105</x:f>
        <x:v>6000</x:v>
      </x:c>
      <x:c r="L38" s="188" t="n">
        <x:f>'01_ВВОД'!$D$105</x:f>
        <x:v>6000</x:v>
      </x:c>
      <x:c r="M38" s="188" t="n">
        <x:f>'01_ВВОД'!$D$105</x:f>
        <x:v>6000</x:v>
      </x:c>
      <x:c r="N38" s="188" t="n">
        <x:f>'01_ВВОД'!$D$105</x:f>
        <x:v>6000</x:v>
      </x:c>
      <x:c r="O38" s="188" t="n">
        <x:f>'01_ВВОД'!$D$105</x:f>
        <x:v>6000</x:v>
      </x:c>
      <x:c r="P38" s="188" t="n">
        <x:f>SUM(D38:O38)</x:f>
        <x:v>72000</x:v>
      </x:c>
      <x:c r="Q38" s="188" t="n">
        <x:f>P38/12</x:f>
        <x:v>6000</x:v>
      </x:c>
      <x:c r="R38" s="52" t="inlineStr">
        <x:is>
          <x:t xml:space="preserve">ежемесячно; Допущение</x:t>
        </x:is>
      </x:c>
    </x:row>
    <x:row r="39">
      <x:c r="A39" s="52" t="inlineStr">
        <x:is>
          <x:t xml:space="preserve">OPEX.DUCT_CLEAN</x:t>
        </x:is>
      </x:c>
      <x:c r="B39" s="52" t="inlineStr">
        <x:is>
          <x:t xml:space="preserve">PROPERTY OPERATIONS &amp; MAINTENANCE</x:t>
        </x:is>
      </x:c>
      <x:c r="C39" s="52" t="inlineStr">
        <x:is>
          <x:t xml:space="preserve">Очистка вытяжки и воздуховодов</x:t>
        </x:is>
      </x:c>
      <x:c r="D39" s="188" t="n">
        <x:f>'01_ВВОД'!$D$109/12</x:f>
        <x:v>10000</x:v>
      </x:c>
      <x:c r="E39" s="188" t="n">
        <x:f>'01_ВВОД'!$D$109/12</x:f>
        <x:v>10000</x:v>
      </x:c>
      <x:c r="F39" s="188" t="n">
        <x:f>'01_ВВОД'!$D$109/12</x:f>
        <x:v>10000</x:v>
      </x:c>
      <x:c r="G39" s="188" t="n">
        <x:f>'01_ВВОД'!$D$109/12</x:f>
        <x:v>10000</x:v>
      </x:c>
      <x:c r="H39" s="188" t="n">
        <x:f>'01_ВВОД'!$D$109/12</x:f>
        <x:v>10000</x:v>
      </x:c>
      <x:c r="I39" s="188" t="n">
        <x:f>'01_ВВОД'!$D$109/12</x:f>
        <x:v>10000</x:v>
      </x:c>
      <x:c r="J39" s="188" t="n">
        <x:f>'01_ВВОД'!$D$109/12</x:f>
        <x:v>10000</x:v>
      </x:c>
      <x:c r="K39" s="188" t="n">
        <x:f>'01_ВВОД'!$D$109/12</x:f>
        <x:v>10000</x:v>
      </x:c>
      <x:c r="L39" s="188" t="n">
        <x:f>'01_ВВОД'!$D$109/12</x:f>
        <x:v>10000</x:v>
      </x:c>
      <x:c r="M39" s="188" t="n">
        <x:f>'01_ВВОД'!$D$109/12</x:f>
        <x:v>10000</x:v>
      </x:c>
      <x:c r="N39" s="188" t="n">
        <x:f>'01_ВВОД'!$D$109/12</x:f>
        <x:v>10000</x:v>
      </x:c>
      <x:c r="O39" s="188" t="n">
        <x:f>'01_ВВОД'!$D$109/12</x:f>
        <x:v>10000</x:v>
      </x:c>
      <x:c r="P39" s="188" t="n">
        <x:f>SUM(D39:O39)</x:f>
        <x:v>120000</x:v>
      </x:c>
      <x:c r="Q39" s="188" t="n">
        <x:f>P39/12</x:f>
        <x:v>10000</x:v>
      </x:c>
      <x:c r="R39" s="52" t="inlineStr">
        <x:is>
          <x:t xml:space="preserve">год / 12; Допущение</x:t>
        </x:is>
      </x:c>
    </x:row>
    <x:row r="40">
      <x:c r="A40" s="52" t="inlineStr">
        <x:is>
          <x:t xml:space="preserve">OPEX.ELECTRO</x:t>
        </x:is>
      </x:c>
      <x:c r="B40" s="52" t="inlineStr">
        <x:is>
          <x:t xml:space="preserve">PROPERTY OPERATIONS &amp; MAINTENANCE</x:t>
        </x:is>
      </x:c>
      <x:c r="C40" s="52" t="inlineStr">
        <x:is>
          <x:t xml:space="preserve">Электроизмерения</x:t>
        </x:is>
      </x:c>
      <x:c r="D40" s="188" t="n">
        <x:f>'01_ВВОД'!$D$110/12</x:f>
        <x:v>2500</x:v>
      </x:c>
      <x:c r="E40" s="188" t="n">
        <x:f>'01_ВВОД'!$D$110/12</x:f>
        <x:v>2500</x:v>
      </x:c>
      <x:c r="F40" s="188" t="n">
        <x:f>'01_ВВОД'!$D$110/12</x:f>
        <x:v>2500</x:v>
      </x:c>
      <x:c r="G40" s="188" t="n">
        <x:f>'01_ВВОД'!$D$110/12</x:f>
        <x:v>2500</x:v>
      </x:c>
      <x:c r="H40" s="188" t="n">
        <x:f>'01_ВВОД'!$D$110/12</x:f>
        <x:v>2500</x:v>
      </x:c>
      <x:c r="I40" s="188" t="n">
        <x:f>'01_ВВОД'!$D$110/12</x:f>
        <x:v>2500</x:v>
      </x:c>
      <x:c r="J40" s="188" t="n">
        <x:f>'01_ВВОД'!$D$110/12</x:f>
        <x:v>2500</x:v>
      </x:c>
      <x:c r="K40" s="188" t="n">
        <x:f>'01_ВВОД'!$D$110/12</x:f>
        <x:v>2500</x:v>
      </x:c>
      <x:c r="L40" s="188" t="n">
        <x:f>'01_ВВОД'!$D$110/12</x:f>
        <x:v>2500</x:v>
      </x:c>
      <x:c r="M40" s="188" t="n">
        <x:f>'01_ВВОД'!$D$110/12</x:f>
        <x:v>2500</x:v>
      </x:c>
      <x:c r="N40" s="188" t="n">
        <x:f>'01_ВВОД'!$D$110/12</x:f>
        <x:v>2500</x:v>
      </x:c>
      <x:c r="O40" s="188" t="n">
        <x:f>'01_ВВОД'!$D$110/12</x:f>
        <x:v>2500</x:v>
      </x:c>
      <x:c r="P40" s="188" t="n">
        <x:f>SUM(D40:O40)</x:f>
        <x:v>30000</x:v>
      </x:c>
      <x:c r="Q40" s="188" t="n">
        <x:f>P40/12</x:f>
        <x:v>2500</x:v>
      </x:c>
      <x:c r="R40" s="52" t="inlineStr">
        <x:is>
          <x:t xml:space="preserve">год / 12; Допущение</x:t>
        </x:is>
      </x:c>
    </x:row>
    <x:row r="41">
      <x:c r="A41" s="52" t="inlineStr">
        <x:is>
          <x:t xml:space="preserve">OPEX.FIRE_CHECK</x:t>
        </x:is>
      </x:c>
      <x:c r="B41" s="52" t="inlineStr">
        <x:is>
          <x:t xml:space="preserve">PROPERTY OPERATIONS &amp; MAINTENANCE</x:t>
        </x:is>
      </x:c>
      <x:c r="C41" s="52" t="inlineStr">
        <x:is>
          <x:t xml:space="preserve">Огнетушители и пожарные проверки</x:t>
        </x:is>
      </x:c>
      <x:c r="D41" s="188" t="n">
        <x:f>'01_ВВОД'!$D$111/12</x:f>
        <x:v>2083.3333333333335</x:v>
      </x:c>
      <x:c r="E41" s="188" t="n">
        <x:f>'01_ВВОД'!$D$111/12</x:f>
        <x:v>2083.3333333333335</x:v>
      </x:c>
      <x:c r="F41" s="188" t="n">
        <x:f>'01_ВВОД'!$D$111/12</x:f>
        <x:v>2083.3333333333335</x:v>
      </x:c>
      <x:c r="G41" s="188" t="n">
        <x:f>'01_ВВОД'!$D$111/12</x:f>
        <x:v>2083.3333333333335</x:v>
      </x:c>
      <x:c r="H41" s="188" t="n">
        <x:f>'01_ВВОД'!$D$111/12</x:f>
        <x:v>2083.3333333333335</x:v>
      </x:c>
      <x:c r="I41" s="188" t="n">
        <x:f>'01_ВВОД'!$D$111/12</x:f>
        <x:v>2083.3333333333335</x:v>
      </x:c>
      <x:c r="J41" s="188" t="n">
        <x:f>'01_ВВОД'!$D$111/12</x:f>
        <x:v>2083.3333333333335</x:v>
      </x:c>
      <x:c r="K41" s="188" t="n">
        <x:f>'01_ВВОД'!$D$111/12</x:f>
        <x:v>2083.3333333333335</x:v>
      </x:c>
      <x:c r="L41" s="188" t="n">
        <x:f>'01_ВВОД'!$D$111/12</x:f>
        <x:v>2083.3333333333335</x:v>
      </x:c>
      <x:c r="M41" s="188" t="n">
        <x:f>'01_ВВОД'!$D$111/12</x:f>
        <x:v>2083.3333333333335</x:v>
      </x:c>
      <x:c r="N41" s="188" t="n">
        <x:f>'01_ВВОД'!$D$111/12</x:f>
        <x:v>2083.3333333333335</x:v>
      </x:c>
      <x:c r="O41" s="188" t="n">
        <x:f>'01_ВВОД'!$D$111/12</x:f>
        <x:v>2083.3333333333335</x:v>
      </x:c>
      <x:c r="P41" s="188" t="n">
        <x:f>SUM(D41:O41)</x:f>
        <x:v>24999.999999999996</x:v>
      </x:c>
      <x:c r="Q41" s="188" t="n">
        <x:f>P41/12</x:f>
        <x:v>2083.333333333333</x:v>
      </x:c>
      <x:c r="R41" s="52" t="inlineStr">
        <x:is>
          <x:t xml:space="preserve">год / 12; Допущение</x:t>
        </x:is>
      </x:c>
    </x:row>
    <x:row r="42">
      <x:c r="A42" s="52" t="inlineStr">
        <x:is>
          <x:t xml:space="preserve">OPEX.WINDOWS</x:t>
        </x:is>
      </x:c>
      <x:c r="B42" s="52" t="inlineStr">
        <x:is>
          <x:t xml:space="preserve">PROPERTY OPERATIONS &amp; MAINTENANCE</x:t>
        </x:is>
      </x:c>
      <x:c r="C42" s="52" t="inlineStr">
        <x:is>
          <x:t xml:space="preserve">Мытьё окон / чистка мебели</x:t>
        </x:is>
      </x:c>
      <x:c r="D42" s="188" t="n">
        <x:f>'01_ВВОД'!$D$115/12</x:f>
        <x:v>4500</x:v>
      </x:c>
      <x:c r="E42" s="188" t="n">
        <x:f>'01_ВВОД'!$D$115/12</x:f>
        <x:v>4500</x:v>
      </x:c>
      <x:c r="F42" s="188" t="n">
        <x:f>'01_ВВОД'!$D$115/12</x:f>
        <x:v>4500</x:v>
      </x:c>
      <x:c r="G42" s="188" t="n">
        <x:f>'01_ВВОД'!$D$115/12</x:f>
        <x:v>4500</x:v>
      </x:c>
      <x:c r="H42" s="188" t="n">
        <x:f>'01_ВВОД'!$D$115/12</x:f>
        <x:v>4500</x:v>
      </x:c>
      <x:c r="I42" s="188" t="n">
        <x:f>'01_ВВОД'!$D$115/12</x:f>
        <x:v>4500</x:v>
      </x:c>
      <x:c r="J42" s="188" t="n">
        <x:f>'01_ВВОД'!$D$115/12</x:f>
        <x:v>4500</x:v>
      </x:c>
      <x:c r="K42" s="188" t="n">
        <x:f>'01_ВВОД'!$D$115/12</x:f>
        <x:v>4500</x:v>
      </x:c>
      <x:c r="L42" s="188" t="n">
        <x:f>'01_ВВОД'!$D$115/12</x:f>
        <x:v>4500</x:v>
      </x:c>
      <x:c r="M42" s="188" t="n">
        <x:f>'01_ВВОД'!$D$115/12</x:f>
        <x:v>4500</x:v>
      </x:c>
      <x:c r="N42" s="188" t="n">
        <x:f>'01_ВВОД'!$D$115/12</x:f>
        <x:v>4500</x:v>
      </x:c>
      <x:c r="O42" s="188" t="n">
        <x:f>'01_ВВОД'!$D$115/12</x:f>
        <x:v>4500</x:v>
      </x:c>
      <x:c r="P42" s="188" t="n">
        <x:f>SUM(D42:O42)</x:f>
        <x:v>54000</x:v>
      </x:c>
      <x:c r="Q42" s="188" t="n">
        <x:f>P42/12</x:f>
        <x:v>4500</x:v>
      </x:c>
      <x:c r="R42" s="52" t="inlineStr">
        <x:is>
          <x:t xml:space="preserve">год / 12; Допущение</x:t>
        </x:is>
      </x:c>
    </x:row>
    <x:row r="43">
      <x:c r="A43" s="120" t="inlineStr">
        <x:is>
          <x:t xml:space="preserve">OPEX.PROPERTY OPERATIONS &amp; MAINTENANCE.TOTAL</x:t>
        </x:is>
      </x:c>
      <x:c r="B43" s="120" t="inlineStr">
        <x:is>
          <x:t xml:space="preserve">PROPERTY OPERATIONS &amp; MAINTENANCE</x:t>
        </x:is>
      </x:c>
      <x:c r="C43" s="120" t="inlineStr">
        <x:is>
          <x:t xml:space="preserve">ИТОГО PROPERTY OPERATIONS &amp; MAINTENANCE</x:t>
        </x:is>
      </x:c>
      <x:c r="D43" s="202" t="n">
        <x:f>SUM(D32:D42)</x:f>
        <x:v>72083.33333333333</x:v>
      </x:c>
      <x:c r="E43" s="202" t="n">
        <x:f>SUM(E32:E42)</x:f>
        <x:v>77083.33333333333</x:v>
      </x:c>
      <x:c r="F43" s="202" t="n">
        <x:f>SUM(F32:F42)</x:f>
        <x:v>77083.33333333333</x:v>
      </x:c>
      <x:c r="G43" s="202" t="n">
        <x:f>SUM(G32:G42)</x:f>
        <x:v>77083.33333333333</x:v>
      </x:c>
      <x:c r="H43" s="202" t="n">
        <x:f>SUM(H32:H42)</x:f>
        <x:v>77083.33333333333</x:v>
      </x:c>
      <x:c r="I43" s="202" t="n">
        <x:f>SUM(I32:I42)</x:f>
        <x:v>77083.33333333333</x:v>
      </x:c>
      <x:c r="J43" s="202" t="n">
        <x:f>SUM(J32:J42)</x:f>
        <x:v>77083.33333333333</x:v>
      </x:c>
      <x:c r="K43" s="202" t="n">
        <x:f>SUM(K32:K42)</x:f>
        <x:v>77083.33333333333</x:v>
      </x:c>
      <x:c r="L43" s="202" t="n">
        <x:f>SUM(L32:L42)</x:f>
        <x:v>72083.33333333333</x:v>
      </x:c>
      <x:c r="M43" s="202" t="n">
        <x:f>SUM(M32:M42)</x:f>
        <x:v>72083.33333333333</x:v>
      </x:c>
      <x:c r="N43" s="202" t="n">
        <x:f>SUM(N32:N42)</x:f>
        <x:v>72083.33333333333</x:v>
      </x:c>
      <x:c r="O43" s="202" t="n">
        <x:f>SUM(O32:O42)</x:f>
        <x:v>72083.33333333333</x:v>
      </x:c>
      <x:c r="P43" s="202" t="n">
        <x:f>SUM(P32:P42)</x:f>
        <x:v>900000</x:v>
      </x:c>
      <x:c r="Q43" s="202" t="n">
        <x:f>P43/12</x:f>
        <x:v>75000</x:v>
      </x:c>
      <x:c r="R43" s="120" t="n"/>
    </x:row>
    <x:row r="44">
      <x:c r="A44" s="122" t="inlineStr">
        <x:is>
          <x:t xml:space="preserve">UTILITIES</x:t>
        </x:is>
      </x:c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  <x:c r="L44" s="1" t="n"/>
      <x:c r="M44" s="1" t="n"/>
      <x:c r="N44" s="1" t="n"/>
      <x:c r="O44" s="1" t="n"/>
      <x:c r="P44" s="1" t="n"/>
      <x:c r="Q44" s="1" t="n"/>
      <x:c r="R44" s="1" t="n"/>
    </x:row>
    <x:row r="45">
      <x:c r="A45" s="52" t="inlineStr">
        <x:is>
          <x:t xml:space="preserve">OPEX.UTILITIES</x:t>
        </x:is>
      </x:c>
      <x:c r="B45" s="52" t="inlineStr">
        <x:is>
          <x:t xml:space="preserve">UTILITIES</x:t>
        </x:is>
      </x:c>
      <x:c r="C45" s="52" t="inlineStr">
        <x:is>
          <x:t xml:space="preserve">Коммунальные платежи</x:t>
        </x:is>
      </x:c>
      <x:c r="D45" s="188" t="n">
        <x:f>'01_ВВОД'!$D$83</x:f>
        <x:v>70000</x:v>
      </x:c>
      <x:c r="E45" s="188" t="n">
        <x:f>'01_ВВОД'!$D$83</x:f>
        <x:v>70000</x:v>
      </x:c>
      <x:c r="F45" s="188" t="n">
        <x:f>'01_ВВОД'!$D$83</x:f>
        <x:v>70000</x:v>
      </x:c>
      <x:c r="G45" s="188" t="n">
        <x:f>'01_ВВОД'!$D$83</x:f>
        <x:v>70000</x:v>
      </x:c>
      <x:c r="H45" s="188" t="n">
        <x:f>'01_ВВОД'!$D$83</x:f>
        <x:v>70000</x:v>
      </x:c>
      <x:c r="I45" s="188" t="n">
        <x:f>'01_ВВОД'!$D$83</x:f>
        <x:v>70000</x:v>
      </x:c>
      <x:c r="J45" s="188" t="n">
        <x:f>'01_ВВОД'!$D$83</x:f>
        <x:v>70000</x:v>
      </x:c>
      <x:c r="K45" s="188" t="n">
        <x:f>'01_ВВОД'!$D$83</x:f>
        <x:v>70000</x:v>
      </x:c>
      <x:c r="L45" s="188" t="n">
        <x:f>'01_ВВОД'!$D$83</x:f>
        <x:v>70000</x:v>
      </x:c>
      <x:c r="M45" s="188" t="n">
        <x:f>'01_ВВОД'!$D$83</x:f>
        <x:v>70000</x:v>
      </x:c>
      <x:c r="N45" s="188" t="n">
        <x:f>'01_ВВОД'!$D$83</x:f>
        <x:v>70000</x:v>
      </x:c>
      <x:c r="O45" s="188" t="n">
        <x:f>'01_ВВОД'!$D$83</x:f>
        <x:v>70000</x:v>
      </x:c>
      <x:c r="P45" s="188" t="n">
        <x:f>SUM(D45:O45)</x:f>
        <x:v>840000</x:v>
      </x:c>
      <x:c r="Q45" s="188" t="n">
        <x:f>P45/12</x:f>
        <x:v>70000</x:v>
      </x:c>
      <x:c r="R45" s="52" t="inlineStr">
        <x:is>
          <x:t xml:space="preserve">ежемесячно; Подтверждено</x:t>
        </x:is>
      </x:c>
    </x:row>
    <x:row r="46">
      <x:c r="A46" s="52" t="inlineStr">
        <x:is>
          <x:t xml:space="preserve">OPEX.WASTE</x:t>
        </x:is>
      </x:c>
      <x:c r="B46" s="52" t="inlineStr">
        <x:is>
          <x:t xml:space="preserve">UTILITIES</x:t>
        </x:is>
      </x:c>
      <x:c r="C46" s="52" t="inlineStr">
        <x:is>
          <x:t xml:space="preserve">Вывоз мусора</x:t>
        </x:is>
      </x:c>
      <x:c r="D46" s="188" t="n">
        <x:f>'01_ВВОД'!$D$84</x:f>
        <x:v>10000</x:v>
      </x:c>
      <x:c r="E46" s="188" t="n">
        <x:f>'01_ВВОД'!$D$84</x:f>
        <x:v>10000</x:v>
      </x:c>
      <x:c r="F46" s="188" t="n">
        <x:f>'01_ВВОД'!$D$84</x:f>
        <x:v>10000</x:v>
      </x:c>
      <x:c r="G46" s="188" t="n">
        <x:f>'01_ВВОД'!$D$84</x:f>
        <x:v>10000</x:v>
      </x:c>
      <x:c r="H46" s="188" t="n">
        <x:f>'01_ВВОД'!$D$84</x:f>
        <x:v>10000</x:v>
      </x:c>
      <x:c r="I46" s="188" t="n">
        <x:f>'01_ВВОД'!$D$84</x:f>
        <x:v>10000</x:v>
      </x:c>
      <x:c r="J46" s="188" t="n">
        <x:f>'01_ВВОД'!$D$84</x:f>
        <x:v>10000</x:v>
      </x:c>
      <x:c r="K46" s="188" t="n">
        <x:f>'01_ВВОД'!$D$84</x:f>
        <x:v>10000</x:v>
      </x:c>
      <x:c r="L46" s="188" t="n">
        <x:f>'01_ВВОД'!$D$84</x:f>
        <x:v>10000</x:v>
      </x:c>
      <x:c r="M46" s="188" t="n">
        <x:f>'01_ВВОД'!$D$84</x:f>
        <x:v>10000</x:v>
      </x:c>
      <x:c r="N46" s="188" t="n">
        <x:f>'01_ВВОД'!$D$84</x:f>
        <x:v>10000</x:v>
      </x:c>
      <x:c r="O46" s="188" t="n">
        <x:f>'01_ВВОД'!$D$84</x:f>
        <x:v>10000</x:v>
      </x:c>
      <x:c r="P46" s="188" t="n">
        <x:f>SUM(D46:O46)</x:f>
        <x:v>120000</x:v>
      </x:c>
      <x:c r="Q46" s="188" t="n">
        <x:f>P46/12</x:f>
        <x:v>10000</x:v>
      </x:c>
      <x:c r="R46" s="52" t="inlineStr">
        <x:is>
          <x:t xml:space="preserve">ежемесячно; Подтверждено</x:t>
        </x:is>
      </x:c>
    </x:row>
    <x:row r="47">
      <x:c r="A47" s="120" t="inlineStr">
        <x:is>
          <x:t xml:space="preserve">OPEX.UTILITIES.TOTAL</x:t>
        </x:is>
      </x:c>
      <x:c r="B47" s="120" t="inlineStr">
        <x:is>
          <x:t xml:space="preserve">UTILITIES</x:t>
        </x:is>
      </x:c>
      <x:c r="C47" s="120" t="inlineStr">
        <x:is>
          <x:t xml:space="preserve">ИТОГО UTILITIES</x:t>
        </x:is>
      </x:c>
      <x:c r="D47" s="202" t="n">
        <x:f>SUM(D45:D46)</x:f>
        <x:v>80000</x:v>
      </x:c>
      <x:c r="E47" s="202" t="n">
        <x:f>SUM(E45:E46)</x:f>
        <x:v>80000</x:v>
      </x:c>
      <x:c r="F47" s="202" t="n">
        <x:f>SUM(F45:F46)</x:f>
        <x:v>80000</x:v>
      </x:c>
      <x:c r="G47" s="202" t="n">
        <x:f>SUM(G45:G46)</x:f>
        <x:v>80000</x:v>
      </x:c>
      <x:c r="H47" s="202" t="n">
        <x:f>SUM(H45:H46)</x:f>
        <x:v>80000</x:v>
      </x:c>
      <x:c r="I47" s="202" t="n">
        <x:f>SUM(I45:I46)</x:f>
        <x:v>80000</x:v>
      </x:c>
      <x:c r="J47" s="202" t="n">
        <x:f>SUM(J45:J46)</x:f>
        <x:v>80000</x:v>
      </x:c>
      <x:c r="K47" s="202" t="n">
        <x:f>SUM(K45:K46)</x:f>
        <x:v>80000</x:v>
      </x:c>
      <x:c r="L47" s="202" t="n">
        <x:f>SUM(L45:L46)</x:f>
        <x:v>80000</x:v>
      </x:c>
      <x:c r="M47" s="202" t="n">
        <x:f>SUM(M45:M46)</x:f>
        <x:v>80000</x:v>
      </x:c>
      <x:c r="N47" s="202" t="n">
        <x:f>SUM(N45:N46)</x:f>
        <x:v>80000</x:v>
      </x:c>
      <x:c r="O47" s="202" t="n">
        <x:f>SUM(O45:O46)</x:f>
        <x:v>80000</x:v>
      </x:c>
      <x:c r="P47" s="202" t="n">
        <x:f>SUM(P45:P46)</x:f>
        <x:v>960000</x:v>
      </x:c>
      <x:c r="Q47" s="202" t="n">
        <x:f>P47/12</x:f>
        <x:v>80000</x:v>
      </x:c>
      <x:c r="R47" s="120" t="n"/>
    </x:row>
    <x:row r="48">
      <x:c r="A48" s="122" t="inlineStr">
        <x:is>
          <x:t xml:space="preserve">FIXED CHARGES</x:t>
        </x:is>
      </x:c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  <x:c r="K48" s="1" t="n"/>
      <x:c r="L48" s="1" t="n"/>
      <x:c r="M48" s="1" t="n"/>
      <x:c r="N48" s="1" t="n"/>
      <x:c r="O48" s="1" t="n"/>
      <x:c r="P48" s="1" t="n"/>
      <x:c r="Q48" s="1" t="n"/>
      <x:c r="R48" s="1" t="n"/>
    </x:row>
    <x:row r="49">
      <x:c r="A49" s="52" t="inlineStr">
        <x:is>
          <x:t xml:space="preserve">OPEX.RENT_MONTH</x:t>
        </x:is>
      </x:c>
      <x:c r="B49" s="52" t="inlineStr">
        <x:is>
          <x:t xml:space="preserve">FIXED CHARGES</x:t>
        </x:is>
      </x:c>
      <x:c r="C49" s="52" t="inlineStr">
        <x:is>
          <x:t xml:space="preserve">Аренда: 80,9 м² × 1 000 руб./м²</x:t>
        </x:is>
      </x:c>
      <x:c r="D49" s="188" t="n">
        <x:f>'01_ВВОД'!$D$9</x:f>
        <x:v>80900</x:v>
      </x:c>
      <x:c r="E49" s="188" t="n">
        <x:f>'01_ВВОД'!$D$9</x:f>
        <x:v>80900</x:v>
      </x:c>
      <x:c r="F49" s="188" t="n">
        <x:f>'01_ВВОД'!$D$9</x:f>
        <x:v>80900</x:v>
      </x:c>
      <x:c r="G49" s="188" t="n">
        <x:f>'01_ВВОД'!$D$9</x:f>
        <x:v>80900</x:v>
      </x:c>
      <x:c r="H49" s="188" t="n">
        <x:f>'01_ВВОД'!$D$9</x:f>
        <x:v>80900</x:v>
      </x:c>
      <x:c r="I49" s="188" t="n">
        <x:f>'01_ВВОД'!$D$9</x:f>
        <x:v>80900</x:v>
      </x:c>
      <x:c r="J49" s="188" t="n">
        <x:f>'01_ВВОД'!$D$9</x:f>
        <x:v>80900</x:v>
      </x:c>
      <x:c r="K49" s="188" t="n">
        <x:f>'01_ВВОД'!$D$9</x:f>
        <x:v>80900</x:v>
      </x:c>
      <x:c r="L49" s="188" t="n">
        <x:f>'01_ВВОД'!$D$9</x:f>
        <x:v>80900</x:v>
      </x:c>
      <x:c r="M49" s="188" t="n">
        <x:f>'01_ВВОД'!$D$9</x:f>
        <x:v>80900</x:v>
      </x:c>
      <x:c r="N49" s="188" t="n">
        <x:f>'01_ВВОД'!$D$9</x:f>
        <x:v>80900</x:v>
      </x:c>
      <x:c r="O49" s="188" t="n">
        <x:f>'01_ВВОД'!$D$9</x:f>
        <x:v>80900</x:v>
      </x:c>
      <x:c r="P49" s="188" t="n">
        <x:f>SUM(D49:O49)</x:f>
        <x:v>970800</x:v>
      </x:c>
      <x:c r="Q49" s="188" t="n">
        <x:f>P49/12</x:f>
        <x:v>80900</x:v>
      </x:c>
      <x:c r="R49" s="52" t="inlineStr">
        <x:is>
          <x:t xml:space="preserve">ежемесячно; Расчёт</x:t>
        </x:is>
      </x:c>
    </x:row>
    <x:row r="50">
      <x:c r="A50" s="52" t="inlineStr">
        <x:is>
          <x:t xml:space="preserve">OPEX.INSURANCE</x:t>
        </x:is>
      </x:c>
      <x:c r="B50" s="52" t="inlineStr">
        <x:is>
          <x:t xml:space="preserve">FIXED CHARGES</x:t>
        </x:is>
      </x:c>
      <x:c r="C50" s="52" t="inlineStr">
        <x:is>
          <x:t xml:space="preserve">Страхование имущества и ответственности</x:t>
        </x:is>
      </x:c>
      <x:c r="D50" s="188" t="n">
        <x:f>'01_ВВОД'!$D$96/12</x:f>
        <x:v>8333.333333333334</x:v>
      </x:c>
      <x:c r="E50" s="188" t="n">
        <x:f>'01_ВВОД'!$D$96/12</x:f>
        <x:v>8333.333333333334</x:v>
      </x:c>
      <x:c r="F50" s="188" t="n">
        <x:f>'01_ВВОД'!$D$96/12</x:f>
        <x:v>8333.333333333334</x:v>
      </x:c>
      <x:c r="G50" s="188" t="n">
        <x:f>'01_ВВОД'!$D$96/12</x:f>
        <x:v>8333.333333333334</x:v>
      </x:c>
      <x:c r="H50" s="188" t="n">
        <x:f>'01_ВВОД'!$D$96/12</x:f>
        <x:v>8333.333333333334</x:v>
      </x:c>
      <x:c r="I50" s="188" t="n">
        <x:f>'01_ВВОД'!$D$96/12</x:f>
        <x:v>8333.333333333334</x:v>
      </x:c>
      <x:c r="J50" s="188" t="n">
        <x:f>'01_ВВОД'!$D$96/12</x:f>
        <x:v>8333.333333333334</x:v>
      </x:c>
      <x:c r="K50" s="188" t="n">
        <x:f>'01_ВВОД'!$D$96/12</x:f>
        <x:v>8333.333333333334</x:v>
      </x:c>
      <x:c r="L50" s="188" t="n">
        <x:f>'01_ВВОД'!$D$96/12</x:f>
        <x:v>8333.333333333334</x:v>
      </x:c>
      <x:c r="M50" s="188" t="n">
        <x:f>'01_ВВОД'!$D$96/12</x:f>
        <x:v>8333.333333333334</x:v>
      </x:c>
      <x:c r="N50" s="188" t="n">
        <x:f>'01_ВВОД'!$D$96/12</x:f>
        <x:v>8333.333333333334</x:v>
      </x:c>
      <x:c r="O50" s="188" t="n">
        <x:f>'01_ВВОД'!$D$96/12</x:f>
        <x:v>8333.333333333334</x:v>
      </x:c>
      <x:c r="P50" s="188" t="n">
        <x:f>SUM(D50:O50)</x:f>
        <x:v>99999.99999999999</x:v>
      </x:c>
      <x:c r="Q50" s="188" t="n">
        <x:f>P50/12</x:f>
        <x:v>8333.333333333332</x:v>
      </x:c>
      <x:c r="R50" s="52" t="inlineStr">
        <x:is>
          <x:t xml:space="preserve">год / 12; Допущение</x:t>
        </x:is>
      </x:c>
    </x:row>
    <x:row r="51">
      <x:c r="A51" s="120" t="inlineStr">
        <x:is>
          <x:t xml:space="preserve">OPEX.FIXED CHARGES.TOTAL</x:t>
        </x:is>
      </x:c>
      <x:c r="B51" s="120" t="inlineStr">
        <x:is>
          <x:t xml:space="preserve">FIXED CHARGES</x:t>
        </x:is>
      </x:c>
      <x:c r="C51" s="120" t="inlineStr">
        <x:is>
          <x:t xml:space="preserve">ИТОГО FIXED CHARGES</x:t>
        </x:is>
      </x:c>
      <x:c r="D51" s="202" t="n">
        <x:f>SUM(D49:D50)</x:f>
        <x:v>89233.33333333333</x:v>
      </x:c>
      <x:c r="E51" s="202" t="n">
        <x:f>SUM(E49:E50)</x:f>
        <x:v>89233.33333333333</x:v>
      </x:c>
      <x:c r="F51" s="202" t="n">
        <x:f>SUM(F49:F50)</x:f>
        <x:v>89233.33333333333</x:v>
      </x:c>
      <x:c r="G51" s="202" t="n">
        <x:f>SUM(G49:G50)</x:f>
        <x:v>89233.33333333333</x:v>
      </x:c>
      <x:c r="H51" s="202" t="n">
        <x:f>SUM(H49:H50)</x:f>
        <x:v>89233.33333333333</x:v>
      </x:c>
      <x:c r="I51" s="202" t="n">
        <x:f>SUM(I49:I50)</x:f>
        <x:v>89233.33333333333</x:v>
      </x:c>
      <x:c r="J51" s="202" t="n">
        <x:f>SUM(J49:J50)</x:f>
        <x:v>89233.33333333333</x:v>
      </x:c>
      <x:c r="K51" s="202" t="n">
        <x:f>SUM(K49:K50)</x:f>
        <x:v>89233.33333333333</x:v>
      </x:c>
      <x:c r="L51" s="202" t="n">
        <x:f>SUM(L49:L50)</x:f>
        <x:v>89233.33333333333</x:v>
      </x:c>
      <x:c r="M51" s="202" t="n">
        <x:f>SUM(M49:M50)</x:f>
        <x:v>89233.33333333333</x:v>
      </x:c>
      <x:c r="N51" s="202" t="n">
        <x:f>SUM(N49:N50)</x:f>
        <x:v>89233.33333333333</x:v>
      </x:c>
      <x:c r="O51" s="202" t="n">
        <x:f>SUM(O49:O50)</x:f>
        <x:v>89233.33333333333</x:v>
      </x:c>
      <x:c r="P51" s="202" t="n">
        <x:f>SUM(P49:P50)</x:f>
        <x:v>1070800</x:v>
      </x:c>
      <x:c r="Q51" s="202" t="n">
        <x:f>P51/12</x:f>
        <x:v>89233.33333333333</x:v>
      </x:c>
      <x:c r="R51" s="120" t="n"/>
    </x:row>
    <x:row r="52">
      <x:c r="A52" s="118" t="inlineStr">
        <x:is>
          <x:t xml:space="preserve">OPEX.TOTAL</x:t>
        </x:is>
      </x:c>
      <x:c r="B52" s="118" t="inlineStr">
        <x:is>
          <x:t xml:space="preserve">Кафе</x:t>
        </x:is>
      </x:c>
      <x:c r="C52" s="118" t="inlineStr">
        <x:is>
          <x:t xml:space="preserve">ИТОГО OPEX КАФЕ БЕЗ ПЕРСОНАЛА</x:t>
        </x:is>
      </x:c>
      <x:c r="D52" s="190" t="n">
        <x:f>SUM(D18,D27,D30,D43,D47,D51)</x:f>
        <x:v>438867.9633333333</x:v>
      </x:c>
      <x:c r="E52" s="190" t="n">
        <x:f>SUM(E18,E27,E30,E43,E47,E51)</x:f>
        <x:v>443867.9633333333</x:v>
      </x:c>
      <x:c r="F52" s="190" t="n">
        <x:f>SUM(F18,F27,F30,F43,F47,F51)</x:f>
        <x:v>443867.9633333333</x:v>
      </x:c>
      <x:c r="G52" s="190" t="n">
        <x:f>SUM(G18,G27,G30,G43,G47,G51)</x:f>
        <x:v>443867.9633333333</x:v>
      </x:c>
      <x:c r="H52" s="190" t="n">
        <x:f>SUM(H18,H27,H30,H43,H47,H51)</x:f>
        <x:v>443867.9633333333</x:v>
      </x:c>
      <x:c r="I52" s="190" t="n">
        <x:f>SUM(I18,I27,I30,I43,I47,I51)</x:f>
        <x:v>443867.9633333333</x:v>
      </x:c>
      <x:c r="J52" s="190" t="n">
        <x:f>SUM(J18,J27,J30,J43,J47,J51)</x:f>
        <x:v>443867.9633333333</x:v>
      </x:c>
      <x:c r="K52" s="190" t="n">
        <x:f>SUM(K18,K27,K30,K43,K47,K51)</x:f>
        <x:v>443867.9633333333</x:v>
      </x:c>
      <x:c r="L52" s="190" t="n">
        <x:f>SUM(L18,L27,L30,L43,L47,L51)</x:f>
        <x:v>438867.9633333333</x:v>
      </x:c>
      <x:c r="M52" s="190" t="n">
        <x:f>SUM(M18,M27,M30,M43,M47,M51)</x:f>
        <x:v>438867.9633333333</x:v>
      </x:c>
      <x:c r="N52" s="190" t="n">
        <x:f>SUM(N18,N27,N30,N43,N47,N51)</x:f>
        <x:v>438867.9633333333</x:v>
      </x:c>
      <x:c r="O52" s="190" t="n">
        <x:f>SUM(O18,O27,O30,O43,O47,O51)</x:f>
        <x:v>438867.9633333333</x:v>
      </x:c>
      <x:c r="P52" s="190" t="n">
        <x:f>SUM(D52:O52)</x:f>
        <x:v>5301415.559999999</x:v>
      </x:c>
      <x:c r="Q52" s="190" t="n">
        <x:f>P52/12</x:f>
        <x:v>441784.6299999999</x:v>
      </x:c>
      <x:c r="R52" s="118" t="n"/>
    </x:row>
  </x:sheetData>
  <x:mergeCells>
    <x:mergeCell ref="A48:R48"/>
    <x:mergeCell ref="A2:R2"/>
    <x:mergeCell ref="A19:R19"/>
    <x:mergeCell ref="A28:R28"/>
    <x:mergeCell ref="A44:R44"/>
    <x:mergeCell ref="A1:R1"/>
    <x:mergeCell ref="A5:R5"/>
    <x:mergeCell ref="A31:R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18" style="174" customWidth="1"/>
    <x:col min="3" max="3" width="45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2" style="174" customWidth="1"/>
  </x:cols>
  <x:sheetData>
    <x:row r="1" s="174" customFormat="1" ht="28" customHeight="1">
      <x:c r="A1" s="134" t="inlineStr">
        <x:is>
          <x:t xml:space="preserve">P&amp;L, налоги и прибыль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Два управленческих бизнеса: КАФЕ несёт весь ФОТ и OPEX; БАНКЕТЫ имеют только собственную себестоимость, агента и эквайринг. УСН считается консолидированно и распределяется по выручке для управленческого результата.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A3" s="52" t="n"/>
      <x:c r="B3" s="52" t="n"/>
      <x:c r="C3" s="52" t="n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 t="n"/>
      <x:c r="Q3" s="52" t="n"/>
      <x:c r="R3" s="52" t="n"/>
    </x:row>
    <x:row r="4">
      <x:c r="A4" s="18" t="inlineStr">
        <x:is>
          <x:t xml:space="preserve">Код</x:t>
        </x:is>
      </x:c>
      <x:c r="B4" s="18" t="inlineStr">
        <x:is>
          <x:t xml:space="preserve">Бизнес / уровень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PNL.CAFE.REV</x:t>
        </x:is>
      </x:c>
      <x:c r="B6" s="52" t="inlineStr">
        <x:is>
          <x:t xml:space="preserve">Кафе</x:t>
        </x:is>
      </x:c>
      <x:c r="C6" s="52" t="inlineStr">
        <x:is>
          <x:t xml:space="preserve">Доходы кафе</x:t>
        </x:is>
      </x:c>
      <x:c r="D6" s="188" t="n">
        <x:f>'03_ДОХОДЫ'!D26</x:f>
        <x:v>3943800</x:v>
      </x:c>
      <x:c r="E6" s="188" t="n">
        <x:f>'03_ДОХОДЫ'!E26</x:f>
        <x:v>4116900</x:v>
      </x:c>
      <x:c r="F6" s="188" t="n">
        <x:f>'03_ДОХОДЫ'!F26</x:f>
        <x:v>3715400</x:v>
      </x:c>
      <x:c r="G6" s="188" t="n">
        <x:f>'03_ДОХОДЫ'!G26</x:f>
        <x:v>3787800</x:v>
      </x:c>
      <x:c r="H6" s="188" t="n">
        <x:f>'03_ДОХОДЫ'!H26</x:f>
        <x:v>3918000</x:v>
      </x:c>
      <x:c r="I6" s="188" t="n">
        <x:f>'03_ДОХОДЫ'!I26</x:f>
        <x:v>3447500</x:v>
      </x:c>
      <x:c r="J6" s="188" t="n">
        <x:f>'03_ДОХОДЫ'!J26</x:f>
        <x:v>3766700</x:v>
      </x:c>
      <x:c r="K6" s="188" t="n">
        <x:f>'03_ДОХОДЫ'!K26</x:f>
        <x:v>3688000</x:v>
      </x:c>
      <x:c r="L6" s="188" t="n">
        <x:f>'03_ДОХОДЫ'!L26</x:f>
        <x:v>3827300</x:v>
      </x:c>
      <x:c r="M6" s="188" t="n">
        <x:f>'03_ДОХОДЫ'!M26</x:f>
        <x:v>3629500</x:v>
      </x:c>
      <x:c r="N6" s="188" t="n">
        <x:f>'03_ДОХОДЫ'!N26</x:f>
        <x:v>3846300</x:v>
      </x:c>
      <x:c r="O6" s="188" t="n">
        <x:f>'03_ДОХОДЫ'!O26</x:f>
        <x:v>3778600</x:v>
      </x:c>
      <x:c r="P6" s="188" t="n">
        <x:f>SUM(D6:O6)</x:f>
        <x:v>45465800</x:v>
      </x:c>
      <x:c r="Q6" s="188" t="n">
        <x:f>P6/12</x:f>
        <x:v>3788816.6666666665</x:v>
      </x:c>
      <x:c r="R6" s="52" t="inlineStr">
        <x:is>
          <x:t xml:space="preserve">руб.</x:t>
        </x:is>
      </x:c>
    </x:row>
    <x:row r="7">
      <x:c r="A7" s="52" t="inlineStr">
        <x:is>
          <x:t xml:space="preserve">PNL.CAFE.COGS</x:t>
        </x:is>
      </x:c>
      <x:c r="B7" s="52" t="inlineStr">
        <x:is>
          <x:t xml:space="preserve">Кафе</x:t>
        </x:is>
      </x:c>
      <x:c r="C7" s="52" t="inlineStr">
        <x:is>
          <x:t xml:space="preserve">Себестоимость кафе</x:t>
        </x:is>
      </x:c>
      <x:c r="D7" s="188" t="n">
        <x:f>'04_СЕБЕСТОИМОСТЬ'!D19</x:f>
        <x:v>1262398.9564285716</x:v>
      </x:c>
      <x:c r="E7" s="188" t="n">
        <x:f>'04_СЕБЕСТОИМОСТЬ'!E19</x:f>
        <x:v>1314707.4816428572</x:v>
      </x:c>
      <x:c r="F7" s="188" t="n">
        <x:f>'04_СЕБЕСТОИМОСТЬ'!F19</x:f>
        <x:v>1190182.9564285716</x:v>
      </x:c>
      <x:c r="G7" s="188" t="n">
        <x:f>'04_СЕБЕСТОИМОСТЬ'!G19</x:f>
        <x:v>1218378.6816428574</x:v>
      </x:c>
      <x:c r="H7" s="188" t="n">
        <x:f>'04_СЕБЕСТОИМОСТЬ'!H19</x:f>
        <x:v>1237656.6816428574</x:v>
      </x:c>
      <x:c r="I7" s="188" t="n">
        <x:f>'04_СЕБЕСТОИМОСТЬ'!I19</x:f>
        <x:v>1105823.106</x:v>
      </x:c>
      <x:c r="J7" s="188" t="n">
        <x:f>'04_СЕБЕСТОИМОСТЬ'!J19</x:f>
        <x:v>1212197.4816428572</x:v>
      </x:c>
      <x:c r="K7" s="188" t="n">
        <x:f>'04_СЕБЕСТОИМОСТЬ'!K19</x:f>
        <x:v>1187551.3564285713</x:v>
      </x:c>
      <x:c r="L7" s="188" t="n">
        <x:f>'04_СЕБЕСТОИМОСТЬ'!L19</x:f>
        <x:v>1227252.6816428574</x:v>
      </x:c>
      <x:c r="M7" s="188" t="n">
        <x:f>'04_СЕБЕСТОИМОСТЬ'!M19</x:f>
        <x:v>1170415.3564285713</x:v>
      </x:c>
      <x:c r="N7" s="188" t="n">
        <x:f>'04_СЕБЕСТОИМОСТЬ'!N19</x:f>
        <x:v>1235514.6816428574</x:v>
      </x:c>
      <x:c r="O7" s="188" t="n">
        <x:f>'04_СЕБЕСТОИМОСТЬ'!O19</x:f>
        <x:v>1215685.8816428573</x:v>
      </x:c>
      <x:c r="P7" s="188" t="n">
        <x:f>SUM(D7:O7)</x:f>
        <x:v>14577765.303214284</x:v>
      </x:c>
      <x:c r="Q7" s="188" t="n">
        <x:f>P7/12</x:f>
        <x:v>1214813.775267857</x:v>
      </x:c>
      <x:c r="R7" s="52" t="inlineStr">
        <x:is>
          <x:t xml:space="preserve">руб.</x:t>
        </x:is>
      </x:c>
    </x:row>
    <x:row r="8">
      <x:c r="A8" s="120" t="inlineStr">
        <x:is>
          <x:t xml:space="preserve">PNL.CAFE.GROSS</x:t>
        </x:is>
      </x:c>
      <x:c r="B8" s="120" t="inlineStr">
        <x:is>
          <x:t xml:space="preserve">Кафе</x:t>
        </x:is>
      </x:c>
      <x:c r="C8" s="120" t="inlineStr">
        <x:is>
          <x:t xml:space="preserve">ВАЛОВАЯ ПРИБЫЛЬ</x:t>
        </x:is>
      </x:c>
      <x:c r="D8" s="202" t="n">
        <x:f>D6-D7</x:f>
        <x:v>2681401.0435714284</x:v>
      </x:c>
      <x:c r="E8" s="202" t="n">
        <x:f>E6-E7</x:f>
        <x:v>2802192.518357143</x:v>
      </x:c>
      <x:c r="F8" s="202" t="n">
        <x:f>F6-F7</x:f>
        <x:v>2525217.0435714284</x:v>
      </x:c>
      <x:c r="G8" s="202" t="n">
        <x:f>G6-G7</x:f>
        <x:v>2569421.3183571426</x:v>
      </x:c>
      <x:c r="H8" s="202" t="n">
        <x:f>H6-H7</x:f>
        <x:v>2680343.3183571426</x:v>
      </x:c>
      <x:c r="I8" s="202" t="n">
        <x:f>I6-I7</x:f>
        <x:v>2341676.8940000003</x:v>
      </x:c>
      <x:c r="J8" s="202" t="n">
        <x:f>J6-J7</x:f>
        <x:v>2554502.518357143</x:v>
      </x:c>
      <x:c r="K8" s="202" t="n">
        <x:f>K6-K7</x:f>
        <x:v>2500448.643571429</x:v>
      </x:c>
      <x:c r="L8" s="202" t="n">
        <x:f>L6-L7</x:f>
        <x:v>2600047.3183571426</x:v>
      </x:c>
      <x:c r="M8" s="202" t="n">
        <x:f>M6-M7</x:f>
        <x:v>2459084.643571429</x:v>
      </x:c>
      <x:c r="N8" s="202" t="n">
        <x:f>N6-N7</x:f>
        <x:v>2610785.3183571426</x:v>
      </x:c>
      <x:c r="O8" s="202" t="n">
        <x:f>O6-O7</x:f>
        <x:v>2562914.1183571424</x:v>
      </x:c>
      <x:c r="P8" s="202" t="n">
        <x:f>SUM(D8:O8)</x:f>
        <x:v>30888034.69678572</x:v>
      </x:c>
      <x:c r="Q8" s="202" t="n">
        <x:f>P8/12</x:f>
        <x:v>2574002.89139881</x:v>
      </x:c>
      <x:c r="R8" s="120" t="inlineStr">
        <x:is>
          <x:t xml:space="preserve">руб.</x:t>
        </x:is>
      </x:c>
    </x:row>
    <x:row r="9">
      <x:c r="A9" s="52" t="inlineStr">
        <x:is>
          <x:t xml:space="preserve">PNL.CAFE.VAR</x:t>
        </x:is>
      </x:c>
      <x:c r="B9" s="52" t="inlineStr">
        <x:is>
          <x:t xml:space="preserve">Кафе</x:t>
        </x:is>
      </x:c>
      <x:c r="C9" s="52" t="inlineStr">
        <x:is>
          <x:t xml:space="preserve">Прочие прямые переменные расходы</x:t>
        </x:is>
      </x:c>
      <x:c r="D9" s="188" t="n">
        <x:f>'04_СЕБЕСТОИМОСТЬ'!D28</x:f>
        <x:v>219657</x:v>
      </x:c>
      <x:c r="E9" s="188" t="n">
        <x:f>'04_СЕБЕСТОИМОСТЬ'!E28</x:f>
        <x:v>230518.5</x:v>
      </x:c>
      <x:c r="F9" s="188" t="n">
        <x:f>'04_СЕБЕСТОИМОСТЬ'!F28</x:f>
        <x:v>224181</x:v>
      </x:c>
      <x:c r="G9" s="188" t="n">
        <x:f>'04_СЕБЕСТОИМОСТЬ'!G28</x:f>
        <x:v>225582</x:v>
      </x:c>
      <x:c r="H9" s="188" t="n">
        <x:f>'04_СЕБЕСТОИМОСТЬ'!H28</x:f>
        <x:v>255360</x:v>
      </x:c>
      <x:c r="I9" s="188" t="n">
        <x:f>'04_СЕБЕСТОИМОСТЬ'!I28</x:f>
        <x:v>207607.5</x:v>
      </x:c>
      <x:c r="J9" s="188" t="n">
        <x:f>'04_СЕБЕСТОИМОСТЬ'!J28</x:f>
        <x:v>225265.5</x:v>
      </x:c>
      <x:c r="K9" s="188" t="n">
        <x:f>'04_СЕБЕСТОИМОСТЬ'!K28</x:f>
        <x:v>215820</x:v>
      </x:c>
      <x:c r="L9" s="188" t="n">
        <x:f>'04_СЕБЕСТОИМОСТЬ'!L28</x:f>
        <x:v>230149.5</x:v>
      </x:c>
      <x:c r="M9" s="188" t="n">
        <x:f>'04_СЕБЕСТОИМОСТЬ'!M28</x:f>
        <x:v>214942.5</x:v>
      </x:c>
      <x:c r="N9" s="188" t="n">
        <x:f>'04_СЕБЕСТОИМОСТЬ'!N28</x:f>
        <x:v>226459.5</x:v>
      </x:c>
      <x:c r="O9" s="188" t="n">
        <x:f>'04_СЕБЕСТОИМОСТЬ'!O28</x:f>
        <x:v>225444</x:v>
      </x:c>
      <x:c r="P9" s="188" t="n">
        <x:f>SUM(D9:O9)</x:f>
        <x:v>2700987</x:v>
      </x:c>
      <x:c r="Q9" s="188" t="n">
        <x:f>P9/12</x:f>
        <x:v>225082.25</x:v>
      </x:c>
      <x:c r="R9" s="52" t="inlineStr">
        <x:is>
          <x:t xml:space="preserve">руб.</x:t>
        </x:is>
      </x:c>
    </x:row>
    <x:row r="10">
      <x:c r="A10" s="118" t="inlineStr">
        <x:is>
          <x:t xml:space="preserve">PNL.CAFE.CONTRIB</x:t>
        </x:is>
      </x:c>
      <x:c r="B10" s="118" t="inlineStr">
        <x:is>
          <x:t xml:space="preserve">Кафе</x:t>
        </x:is>
      </x:c>
      <x:c r="C10" s="118" t="inlineStr">
        <x:is>
          <x:t xml:space="preserve">МАРЖИНАЛЬНЫЙ ДОХОД</x:t>
        </x:is>
      </x:c>
      <x:c r="D10" s="190" t="n">
        <x:f>D8-D9</x:f>
        <x:v>2461744.0435714284</x:v>
      </x:c>
      <x:c r="E10" s="190" t="n">
        <x:f>E8-E9</x:f>
        <x:v>2571674.018357143</x:v>
      </x:c>
      <x:c r="F10" s="190" t="n">
        <x:f>F8-F9</x:f>
        <x:v>2301036.0435714284</x:v>
      </x:c>
      <x:c r="G10" s="190" t="n">
        <x:f>G8-G9</x:f>
        <x:v>2343839.3183571426</x:v>
      </x:c>
      <x:c r="H10" s="190" t="n">
        <x:f>H8-H9</x:f>
        <x:v>2424983.3183571426</x:v>
      </x:c>
      <x:c r="I10" s="190" t="n">
        <x:f>I8-I9</x:f>
        <x:v>2134069.3940000003</x:v>
      </x:c>
      <x:c r="J10" s="190" t="n">
        <x:f>J8-J9</x:f>
        <x:v>2329237.018357143</x:v>
      </x:c>
      <x:c r="K10" s="190" t="n">
        <x:f>K8-K9</x:f>
        <x:v>2284628.643571429</x:v>
      </x:c>
      <x:c r="L10" s="190" t="n">
        <x:f>L8-L9</x:f>
        <x:v>2369897.8183571426</x:v>
      </x:c>
      <x:c r="M10" s="190" t="n">
        <x:f>M8-M9</x:f>
        <x:v>2244142.143571429</x:v>
      </x:c>
      <x:c r="N10" s="190" t="n">
        <x:f>N8-N9</x:f>
        <x:v>2384325.8183571426</x:v>
      </x:c>
      <x:c r="O10" s="190" t="n">
        <x:f>O8-O9</x:f>
        <x:v>2337470.1183571424</x:v>
      </x:c>
      <x:c r="P10" s="190" t="n">
        <x:f>SUM(D10:O10)</x:f>
        <x:v>28187047.69678572</x:v>
      </x:c>
      <x:c r="Q10" s="190" t="n">
        <x:f>P10/12</x:f>
        <x:v>2348920.64139881</x:v>
      </x:c>
      <x:c r="R10" s="118" t="inlineStr">
        <x:is>
          <x:t xml:space="preserve">руб.</x:t>
        </x:is>
      </x:c>
    </x:row>
    <x:row r="11">
      <x:c r="A11" s="52" t="inlineStr">
        <x:is>
          <x:t xml:space="preserve">PNL.CAFE.PAY</x:t>
        </x:is>
      </x:c>
      <x:c r="B11" s="52" t="inlineStr">
        <x:is>
          <x:t xml:space="preserve">Кафе</x:t>
        </x:is>
      </x:c>
      <x:c r="C11" s="52" t="inlineStr">
        <x:is>
          <x:t xml:space="preserve">ФОТ и подрядчики</x:t>
        </x:is>
      </x:c>
      <x:c r="D11" s="188" t="n">
        <x:f>'05_ФОТ'!D34</x:f>
        <x:v>1930172.4137931033</x:v>
      </x:c>
      <x:c r="E11" s="188" t="n">
        <x:f>'05_ФОТ'!E34</x:f>
        <x:v>1930172.4137931033</x:v>
      </x:c>
      <x:c r="F11" s="188" t="n">
        <x:f>'05_ФОТ'!F34</x:f>
        <x:v>1930172.4137931033</x:v>
      </x:c>
      <x:c r="G11" s="188" t="n">
        <x:f>'05_ФОТ'!G34</x:f>
        <x:v>1930172.4137931033</x:v>
      </x:c>
      <x:c r="H11" s="188" t="n">
        <x:f>'05_ФОТ'!H34</x:f>
        <x:v>1930172.4137931033</x:v>
      </x:c>
      <x:c r="I11" s="188" t="n">
        <x:f>'05_ФОТ'!I34</x:f>
        <x:v>1930172.4137931033</x:v>
      </x:c>
      <x:c r="J11" s="188" t="n">
        <x:f>'05_ФОТ'!J34</x:f>
        <x:v>1930172.4137931033</x:v>
      </x:c>
      <x:c r="K11" s="188" t="n">
        <x:f>'05_ФОТ'!K34</x:f>
        <x:v>1930172.4137931033</x:v>
      </x:c>
      <x:c r="L11" s="188" t="n">
        <x:f>'05_ФОТ'!L34</x:f>
        <x:v>1930172.4137931033</x:v>
      </x:c>
      <x:c r="M11" s="188" t="n">
        <x:f>'05_ФОТ'!M34</x:f>
        <x:v>1930172.4137931033</x:v>
      </x:c>
      <x:c r="N11" s="188" t="n">
        <x:f>'05_ФОТ'!N34</x:f>
        <x:v>1930172.4137931033</x:v>
      </x:c>
      <x:c r="O11" s="188" t="n">
        <x:f>'05_ФОТ'!O34</x:f>
        <x:v>1930172.4137931033</x:v>
      </x:c>
      <x:c r="P11" s="188" t="n">
        <x:f>SUM(D11:O11)</x:f>
        <x:v>23162068.965517238</x:v>
      </x:c>
      <x:c r="Q11" s="188" t="n">
        <x:f>P11/12</x:f>
        <x:v>1930172.413793103</x:v>
      </x:c>
      <x:c r="R11" s="52" t="inlineStr">
        <x:is>
          <x:t xml:space="preserve">руб.</x:t>
        </x:is>
      </x:c>
    </x:row>
    <x:row r="12">
      <x:c r="A12" s="52" t="inlineStr">
        <x:is>
          <x:t xml:space="preserve">PNL.CAFE.FB</x:t>
        </x:is>
      </x:c>
      <x:c r="B12" s="52" t="inlineStr">
        <x:is>
          <x:t xml:space="preserve">Кафе</x:t>
        </x:is>
      </x:c>
      <x:c r="C12" s="52" t="inlineStr">
        <x:is>
          <x:t xml:space="preserve">F&amp;B Departmental Expenses</x:t>
        </x:is>
      </x:c>
      <x:c r="D12" s="188" t="n">
        <x:f>'06_OPEX_USALI'!D18</x:f>
        <x:v>132217.96333333332</x:v>
      </x:c>
      <x:c r="E12" s="188" t="n">
        <x:f>'06_OPEX_USALI'!E18</x:f>
        <x:v>132217.96333333332</x:v>
      </x:c>
      <x:c r="F12" s="188" t="n">
        <x:f>'06_OPEX_USALI'!F18</x:f>
        <x:v>132217.96333333332</x:v>
      </x:c>
      <x:c r="G12" s="188" t="n">
        <x:f>'06_OPEX_USALI'!G18</x:f>
        <x:v>132217.96333333332</x:v>
      </x:c>
      <x:c r="H12" s="188" t="n">
        <x:f>'06_OPEX_USALI'!H18</x:f>
        <x:v>132217.96333333332</x:v>
      </x:c>
      <x:c r="I12" s="188" t="n">
        <x:f>'06_OPEX_USALI'!I18</x:f>
        <x:v>132217.96333333332</x:v>
      </x:c>
      <x:c r="J12" s="188" t="n">
        <x:f>'06_OPEX_USALI'!J18</x:f>
        <x:v>132217.96333333332</x:v>
      </x:c>
      <x:c r="K12" s="188" t="n">
        <x:f>'06_OPEX_USALI'!K18</x:f>
        <x:v>132217.96333333332</x:v>
      </x:c>
      <x:c r="L12" s="188" t="n">
        <x:f>'06_OPEX_USALI'!L18</x:f>
        <x:v>132217.96333333332</x:v>
      </x:c>
      <x:c r="M12" s="188" t="n">
        <x:f>'06_OPEX_USALI'!M18</x:f>
        <x:v>132217.96333333332</x:v>
      </x:c>
      <x:c r="N12" s="188" t="n">
        <x:f>'06_OPEX_USALI'!N18</x:f>
        <x:v>132217.96333333332</x:v>
      </x:c>
      <x:c r="O12" s="188" t="n">
        <x:f>'06_OPEX_USALI'!O18</x:f>
        <x:v>132217.96333333332</x:v>
      </x:c>
      <x:c r="P12" s="188" t="n">
        <x:f>SUM(D12:O12)</x:f>
        <x:v>1586615.5600000003</x:v>
      </x:c>
      <x:c r="Q12" s="188" t="n">
        <x:f>P12/12</x:f>
        <x:v>132217.96333333335</x:v>
      </x:c>
      <x:c r="R12" s="52" t="inlineStr">
        <x:is>
          <x:t xml:space="preserve">руб.</x:t>
        </x:is>
      </x:c>
    </x:row>
    <x:row r="13">
      <x:c r="A13" s="120" t="inlineStr">
        <x:is>
          <x:t xml:space="preserve">PNL.CAFE.DEP</x:t>
        </x:is>
      </x:c>
      <x:c r="B13" s="120" t="inlineStr">
        <x:is>
          <x:t xml:space="preserve">Кафе</x:t>
        </x:is>
      </x:c>
      <x:c r="C13" s="120" t="inlineStr">
        <x:is>
          <x:t xml:space="preserve">ПРИБЫЛЬ ПОДРАЗДЕЛЕНИЯ</x:t>
        </x:is>
      </x:c>
      <x:c r="D13" s="202" t="n">
        <x:f>D10-D11-D12</x:f>
        <x:v>399353.6664449918</x:v>
      </x:c>
      <x:c r="E13" s="202" t="n">
        <x:f>E10-E11-E12</x:f>
        <x:v>509283.6412307062</x:v>
      </x:c>
      <x:c r="F13" s="202" t="n">
        <x:f>F10-F11-F12</x:f>
        <x:v>238645.66644499177</x:v>
      </x:c>
      <x:c r="G13" s="202" t="n">
        <x:f>G10-G11-G12</x:f>
        <x:v>281448.941230706</x:v>
      </x:c>
      <x:c r="H13" s="202" t="n">
        <x:f>H10-H11-H12</x:f>
        <x:v>362592.941230706</x:v>
      </x:c>
      <x:c r="I13" s="202" t="n">
        <x:f>I10-I11-I12</x:f>
        <x:v>71679.0168735637</x:v>
      </x:c>
      <x:c r="J13" s="202" t="n">
        <x:f>J10-J11-J12</x:f>
        <x:v>266846.6412307062</x:v>
      </x:c>
      <x:c r="K13" s="202" t="n">
        <x:f>K10-K11-K12</x:f>
        <x:v>222238.26644499233</x:v>
      </x:c>
      <x:c r="L13" s="202" t="n">
        <x:f>L10-L11-L12</x:f>
        <x:v>307507.441230706</x:v>
      </x:c>
      <x:c r="M13" s="202" t="n">
        <x:f>M10-M11-M12</x:f>
        <x:v>181751.76644499233</x:v>
      </x:c>
      <x:c r="N13" s="202" t="n">
        <x:f>N10-N11-N12</x:f>
        <x:v>321935.441230706</x:v>
      </x:c>
      <x:c r="O13" s="202" t="n">
        <x:f>O10-O11-O12</x:f>
        <x:v>275079.7412307058</x:v>
      </x:c>
      <x:c r="P13" s="202" t="n">
        <x:f>SUM(D13:O13)</x:f>
        <x:v>3438363.171268474</x:v>
      </x:c>
      <x:c r="Q13" s="202" t="n">
        <x:f>P13/12</x:f>
        <x:v>286530.2642723728</x:v>
      </x:c>
      <x:c r="R13" s="120" t="inlineStr">
        <x:is>
          <x:t xml:space="preserve">руб.</x:t>
        </x:is>
      </x:c>
    </x:row>
    <x:row r="14">
      <x:c r="A14" s="52" t="inlineStr">
        <x:is>
          <x:t xml:space="preserve">PNL.CAFE.AG</x:t>
        </x:is>
      </x:c>
      <x:c r="B14" s="52" t="inlineStr">
        <x:is>
          <x:t xml:space="preserve">Кафе</x:t>
        </x:is>
      </x:c>
      <x:c r="C14" s="52" t="inlineStr">
        <x:is>
          <x:t xml:space="preserve">Administrative &amp; General</x:t>
        </x:is>
      </x:c>
      <x:c r="D14" s="188" t="n">
        <x:f>'06_OPEX_USALI'!D27</x:f>
        <x:v>45333.333333333336</x:v>
      </x:c>
      <x:c r="E14" s="188" t="n">
        <x:f>'06_OPEX_USALI'!E27</x:f>
        <x:v>45333.333333333336</x:v>
      </x:c>
      <x:c r="F14" s="188" t="n">
        <x:f>'06_OPEX_USALI'!F27</x:f>
        <x:v>45333.333333333336</x:v>
      </x:c>
      <x:c r="G14" s="188" t="n">
        <x:f>'06_OPEX_USALI'!G27</x:f>
        <x:v>45333.333333333336</x:v>
      </x:c>
      <x:c r="H14" s="188" t="n">
        <x:f>'06_OPEX_USALI'!H27</x:f>
        <x:v>45333.333333333336</x:v>
      </x:c>
      <x:c r="I14" s="188" t="n">
        <x:f>'06_OPEX_USALI'!I27</x:f>
        <x:v>45333.333333333336</x:v>
      </x:c>
      <x:c r="J14" s="188" t="n">
        <x:f>'06_OPEX_USALI'!J27</x:f>
        <x:v>45333.333333333336</x:v>
      </x:c>
      <x:c r="K14" s="188" t="n">
        <x:f>'06_OPEX_USALI'!K27</x:f>
        <x:v>45333.333333333336</x:v>
      </x:c>
      <x:c r="L14" s="188" t="n">
        <x:f>'06_OPEX_USALI'!L27</x:f>
        <x:v>45333.333333333336</x:v>
      </x:c>
      <x:c r="M14" s="188" t="n">
        <x:f>'06_OPEX_USALI'!M27</x:f>
        <x:v>45333.333333333336</x:v>
      </x:c>
      <x:c r="N14" s="188" t="n">
        <x:f>'06_OPEX_USALI'!N27</x:f>
        <x:v>45333.333333333336</x:v>
      </x:c>
      <x:c r="O14" s="188" t="n">
        <x:f>'06_OPEX_USALI'!O27</x:f>
        <x:v>45333.333333333336</x:v>
      </x:c>
      <x:c r="P14" s="188" t="n">
        <x:f>SUM(D14:O14)</x:f>
        <x:v>543999.9999999999</x:v>
      </x:c>
      <x:c r="Q14" s="188" t="n">
        <x:f>P14/12</x:f>
        <x:v>45333.33333333332</x:v>
      </x:c>
      <x:c r="R14" s="52" t="inlineStr">
        <x:is>
          <x:t xml:space="preserve">руб.</x:t>
        </x:is>
      </x:c>
    </x:row>
    <x:row r="15">
      <x:c r="A15" s="52" t="inlineStr">
        <x:is>
          <x:t xml:space="preserve">PNL.CAFE.SM</x:t>
        </x:is>
      </x:c>
      <x:c r="B15" s="52" t="inlineStr">
        <x:is>
          <x:t xml:space="preserve">Кафе</x:t>
        </x:is>
      </x:c>
      <x:c r="C15" s="52" t="inlineStr">
        <x:is>
          <x:t xml:space="preserve">Sales &amp; Marketing</x:t>
        </x:is>
      </x:c>
      <x:c r="D15" s="188" t="n">
        <x:f>'06_OPEX_USALI'!D30</x:f>
        <x:v>20000</x:v>
      </x:c>
      <x:c r="E15" s="188" t="n">
        <x:f>'06_OPEX_USALI'!E30</x:f>
        <x:v>20000</x:v>
      </x:c>
      <x:c r="F15" s="188" t="n">
        <x:f>'06_OPEX_USALI'!F30</x:f>
        <x:v>20000</x:v>
      </x:c>
      <x:c r="G15" s="188" t="n">
        <x:f>'06_OPEX_USALI'!G30</x:f>
        <x:v>20000</x:v>
      </x:c>
      <x:c r="H15" s="188" t="n">
        <x:f>'06_OPEX_USALI'!H30</x:f>
        <x:v>20000</x:v>
      </x:c>
      <x:c r="I15" s="188" t="n">
        <x:f>'06_OPEX_USALI'!I30</x:f>
        <x:v>20000</x:v>
      </x:c>
      <x:c r="J15" s="188" t="n">
        <x:f>'06_OPEX_USALI'!J30</x:f>
        <x:v>20000</x:v>
      </x:c>
      <x:c r="K15" s="188" t="n">
        <x:f>'06_OPEX_USALI'!K30</x:f>
        <x:v>20000</x:v>
      </x:c>
      <x:c r="L15" s="188" t="n">
        <x:f>'06_OPEX_USALI'!L30</x:f>
        <x:v>20000</x:v>
      </x:c>
      <x:c r="M15" s="188" t="n">
        <x:f>'06_OPEX_USALI'!M30</x:f>
        <x:v>20000</x:v>
      </x:c>
      <x:c r="N15" s="188" t="n">
        <x:f>'06_OPEX_USALI'!N30</x:f>
        <x:v>20000</x:v>
      </x:c>
      <x:c r="O15" s="188" t="n">
        <x:f>'06_OPEX_USALI'!O30</x:f>
        <x:v>20000</x:v>
      </x:c>
      <x:c r="P15" s="188" t="n">
        <x:f>SUM(D15:O15)</x:f>
        <x:v>240000</x:v>
      </x:c>
      <x:c r="Q15" s="188" t="n">
        <x:f>P15/12</x:f>
        <x:v>20000</x:v>
      </x:c>
      <x:c r="R15" s="52" t="inlineStr">
        <x:is>
          <x:t xml:space="preserve">руб.</x:t>
        </x:is>
      </x:c>
    </x:row>
    <x:row r="16">
      <x:c r="A16" s="52" t="inlineStr">
        <x:is>
          <x:t xml:space="preserve">PNL.CAFE.POM</x:t>
        </x:is>
      </x:c>
      <x:c r="B16" s="52" t="inlineStr">
        <x:is>
          <x:t xml:space="preserve">Кафе</x:t>
        </x:is>
      </x:c>
      <x:c r="C16" s="52" t="inlineStr">
        <x:is>
          <x:t xml:space="preserve">Property Operations &amp; Maintenance</x:t>
        </x:is>
      </x:c>
      <x:c r="D16" s="188" t="n">
        <x:f>'06_OPEX_USALI'!D43</x:f>
        <x:v>72083.33333333333</x:v>
      </x:c>
      <x:c r="E16" s="188" t="n">
        <x:f>'06_OPEX_USALI'!E43</x:f>
        <x:v>77083.33333333333</x:v>
      </x:c>
      <x:c r="F16" s="188" t="n">
        <x:f>'06_OPEX_USALI'!F43</x:f>
        <x:v>77083.33333333333</x:v>
      </x:c>
      <x:c r="G16" s="188" t="n">
        <x:f>'06_OPEX_USALI'!G43</x:f>
        <x:v>77083.33333333333</x:v>
      </x:c>
      <x:c r="H16" s="188" t="n">
        <x:f>'06_OPEX_USALI'!H43</x:f>
        <x:v>77083.33333333333</x:v>
      </x:c>
      <x:c r="I16" s="188" t="n">
        <x:f>'06_OPEX_USALI'!I43</x:f>
        <x:v>77083.33333333333</x:v>
      </x:c>
      <x:c r="J16" s="188" t="n">
        <x:f>'06_OPEX_USALI'!J43</x:f>
        <x:v>77083.33333333333</x:v>
      </x:c>
      <x:c r="K16" s="188" t="n">
        <x:f>'06_OPEX_USALI'!K43</x:f>
        <x:v>77083.33333333333</x:v>
      </x:c>
      <x:c r="L16" s="188" t="n">
        <x:f>'06_OPEX_USALI'!L43</x:f>
        <x:v>72083.33333333333</x:v>
      </x:c>
      <x:c r="M16" s="188" t="n">
        <x:f>'06_OPEX_USALI'!M43</x:f>
        <x:v>72083.33333333333</x:v>
      </x:c>
      <x:c r="N16" s="188" t="n">
        <x:f>'06_OPEX_USALI'!N43</x:f>
        <x:v>72083.33333333333</x:v>
      </x:c>
      <x:c r="O16" s="188" t="n">
        <x:f>'06_OPEX_USALI'!O43</x:f>
        <x:v>72083.33333333333</x:v>
      </x:c>
      <x:c r="P16" s="188" t="n">
        <x:f>SUM(D16:O16)</x:f>
        <x:v>900000.0000000001</x:v>
      </x:c>
      <x:c r="Q16" s="188" t="n">
        <x:f>P16/12</x:f>
        <x:v>75000.00000000001</x:v>
      </x:c>
      <x:c r="R16" s="52" t="inlineStr">
        <x:is>
          <x:t xml:space="preserve">руб.</x:t>
        </x:is>
      </x:c>
    </x:row>
    <x:row r="17">
      <x:c r="A17" s="52" t="inlineStr">
        <x:is>
          <x:t xml:space="preserve">PNL.CAFE.UTIL</x:t>
        </x:is>
      </x:c>
      <x:c r="B17" s="52" t="inlineStr">
        <x:is>
          <x:t xml:space="preserve">Кафе</x:t>
        </x:is>
      </x:c>
      <x:c r="C17" s="52" t="inlineStr">
        <x:is>
          <x:t xml:space="preserve">Utilities</x:t>
        </x:is>
      </x:c>
      <x:c r="D17" s="188" t="n">
        <x:f>'06_OPEX_USALI'!D47</x:f>
        <x:v>80000</x:v>
      </x:c>
      <x:c r="E17" s="188" t="n">
        <x:f>'06_OPEX_USALI'!E47</x:f>
        <x:v>80000</x:v>
      </x:c>
      <x:c r="F17" s="188" t="n">
        <x:f>'06_OPEX_USALI'!F47</x:f>
        <x:v>80000</x:v>
      </x:c>
      <x:c r="G17" s="188" t="n">
        <x:f>'06_OPEX_USALI'!G47</x:f>
        <x:v>80000</x:v>
      </x:c>
      <x:c r="H17" s="188" t="n">
        <x:f>'06_OPEX_USALI'!H47</x:f>
        <x:v>80000</x:v>
      </x:c>
      <x:c r="I17" s="188" t="n">
        <x:f>'06_OPEX_USALI'!I47</x:f>
        <x:v>80000</x:v>
      </x:c>
      <x:c r="J17" s="188" t="n">
        <x:f>'06_OPEX_USALI'!J47</x:f>
        <x:v>80000</x:v>
      </x:c>
      <x:c r="K17" s="188" t="n">
        <x:f>'06_OPEX_USALI'!K47</x:f>
        <x:v>80000</x:v>
      </x:c>
      <x:c r="L17" s="188" t="n">
        <x:f>'06_OPEX_USALI'!L47</x:f>
        <x:v>80000</x:v>
      </x:c>
      <x:c r="M17" s="188" t="n">
        <x:f>'06_OPEX_USALI'!M47</x:f>
        <x:v>80000</x:v>
      </x:c>
      <x:c r="N17" s="188" t="n">
        <x:f>'06_OPEX_USALI'!N47</x:f>
        <x:v>80000</x:v>
      </x:c>
      <x:c r="O17" s="188" t="n">
        <x:f>'06_OPEX_USALI'!O47</x:f>
        <x:v>80000</x:v>
      </x:c>
      <x:c r="P17" s="188" t="n">
        <x:f>SUM(D17:O17)</x:f>
        <x:v>960000</x:v>
      </x:c>
      <x:c r="Q17" s="188" t="n">
        <x:f>P17/12</x:f>
        <x:v>80000</x:v>
      </x:c>
      <x:c r="R17" s="52" t="inlineStr">
        <x:is>
          <x:t xml:space="preserve">руб.</x:t>
        </x:is>
      </x:c>
    </x:row>
    <x:row r="18">
      <x:c r="A18" s="118" t="inlineStr">
        <x:is>
          <x:t xml:space="preserve">PNL.CAFE.GOP</x:t>
        </x:is>
      </x:c>
      <x:c r="B18" s="118" t="inlineStr">
        <x:is>
          <x:t xml:space="preserve">Кафе</x:t>
        </x:is>
      </x:c>
      <x:c r="C18" s="118" t="inlineStr">
        <x:is>
          <x:t xml:space="preserve">GOP / ОПЕРАЦИОННАЯ ПРИБЫЛЬ</x:t>
        </x:is>
      </x:c>
      <x:c r="D18" s="190" t="n">
        <x:f>D13-SUM(D14:D17)</x:f>
        <x:v>181936.99977832512</x:v>
      </x:c>
      <x:c r="E18" s="190" t="n">
        <x:f>E13-SUM(E14:E17)</x:f>
        <x:v>286866.9745640395</x:v>
      </x:c>
      <x:c r="F18" s="190" t="n">
        <x:f>F13-SUM(F14:F17)</x:f>
        <x:v>16228.999778325116</x:v>
      </x:c>
      <x:c r="G18" s="190" t="n">
        <x:f>G13-SUM(G14:G17)</x:f>
        <x:v>59032.27456403934</x:v>
      </x:c>
      <x:c r="H18" s="190" t="n">
        <x:f>H13-SUM(H14:H17)</x:f>
        <x:v>140176.27456403934</x:v>
      </x:c>
      <x:c r="I18" s="190" t="n">
        <x:f>I13-SUM(I14:I17)</x:f>
        <x:v>-150737.64979310296</x:v>
      </x:c>
      <x:c r="J18" s="190" t="n">
        <x:f>J13-SUM(J14:J17)</x:f>
        <x:v>44429.97456403953</x:v>
      </x:c>
      <x:c r="K18" s="190" t="n">
        <x:f>K13-SUM(K14:K17)</x:f>
        <x:v>-178.4002216743247</x:v>
      </x:c>
      <x:c r="L18" s="190" t="n">
        <x:f>L13-SUM(L14:L17)</x:f>
        <x:v>90090.77456403934</x:v>
      </x:c>
      <x:c r="M18" s="190" t="n">
        <x:f>M13-SUM(M14:M17)</x:f>
        <x:v>-35664.900221674325</x:v>
      </x:c>
      <x:c r="N18" s="190" t="n">
        <x:f>N13-SUM(N14:N17)</x:f>
        <x:v>104518.77456403934</x:v>
      </x:c>
      <x:c r="O18" s="190" t="n">
        <x:f>O13-SUM(O14:O17)</x:f>
        <x:v>57663.074564039154</x:v>
      </x:c>
      <x:c r="P18" s="190" t="n">
        <x:f>SUM(D18:O18)</x:f>
        <x:v>794363.1712684738</x:v>
      </x:c>
      <x:c r="Q18" s="190" t="n">
        <x:f>P18/12</x:f>
        <x:v>66196.93093903949</x:v>
      </x:c>
      <x:c r="R18" s="118" t="inlineStr">
        <x:is>
          <x:t xml:space="preserve">руб.</x:t>
        </x:is>
      </x:c>
    </x:row>
    <x:row r="19">
      <x:c r="A19" s="52" t="inlineStr">
        <x:is>
          <x:t xml:space="preserve">PNL.CAFE.FIX</x:t>
        </x:is>
      </x:c>
      <x:c r="B19" s="52" t="inlineStr">
        <x:is>
          <x:t xml:space="preserve">Кафе</x:t>
        </x:is>
      </x:c>
      <x:c r="C19" s="52" t="inlineStr">
        <x:is>
          <x:t xml:space="preserve">Fixed Charges: аренда и страхование</x:t>
        </x:is>
      </x:c>
      <x:c r="D19" s="188" t="n">
        <x:f>'06_OPEX_USALI'!D51</x:f>
        <x:v>89233.33333333333</x:v>
      </x:c>
      <x:c r="E19" s="188" t="n">
        <x:f>'06_OPEX_USALI'!E51</x:f>
        <x:v>89233.33333333333</x:v>
      </x:c>
      <x:c r="F19" s="188" t="n">
        <x:f>'06_OPEX_USALI'!F51</x:f>
        <x:v>89233.33333333333</x:v>
      </x:c>
      <x:c r="G19" s="188" t="n">
        <x:f>'06_OPEX_USALI'!G51</x:f>
        <x:v>89233.33333333333</x:v>
      </x:c>
      <x:c r="H19" s="188" t="n">
        <x:f>'06_OPEX_USALI'!H51</x:f>
        <x:v>89233.33333333333</x:v>
      </x:c>
      <x:c r="I19" s="188" t="n">
        <x:f>'06_OPEX_USALI'!I51</x:f>
        <x:v>89233.33333333333</x:v>
      </x:c>
      <x:c r="J19" s="188" t="n">
        <x:f>'06_OPEX_USALI'!J51</x:f>
        <x:v>89233.33333333333</x:v>
      </x:c>
      <x:c r="K19" s="188" t="n">
        <x:f>'06_OPEX_USALI'!K51</x:f>
        <x:v>89233.33333333333</x:v>
      </x:c>
      <x:c r="L19" s="188" t="n">
        <x:f>'06_OPEX_USALI'!L51</x:f>
        <x:v>89233.33333333333</x:v>
      </x:c>
      <x:c r="M19" s="188" t="n">
        <x:f>'06_OPEX_USALI'!M51</x:f>
        <x:v>89233.33333333333</x:v>
      </x:c>
      <x:c r="N19" s="188" t="n">
        <x:f>'06_OPEX_USALI'!N51</x:f>
        <x:v>89233.33333333333</x:v>
      </x:c>
      <x:c r="O19" s="188" t="n">
        <x:f>'06_OPEX_USALI'!O51</x:f>
        <x:v>89233.33333333333</x:v>
      </x:c>
      <x:c r="P19" s="188" t="n">
        <x:f>SUM(D19:O19)</x:f>
        <x:v>1070800.0000000002</x:v>
      </x:c>
      <x:c r="Q19" s="188" t="n">
        <x:f>P19/12</x:f>
        <x:v>89233.33333333336</x:v>
      </x:c>
      <x:c r="R19" s="52" t="inlineStr">
        <x:is>
          <x:t xml:space="preserve">руб.</x:t>
        </x:is>
      </x:c>
    </x:row>
    <x:row r="20">
      <x:c r="A20" s="118" t="inlineStr">
        <x:is>
          <x:t xml:space="preserve">PNL.CAFE.PBT</x:t>
        </x:is>
      </x:c>
      <x:c r="B20" s="118" t="inlineStr">
        <x:is>
          <x:t xml:space="preserve">Кафе</x:t>
        </x:is>
      </x:c>
      <x:c r="C20" s="118" t="inlineStr">
        <x:is>
          <x:t xml:space="preserve">ПРИБЫЛЬ КАФЕ ДО НАЛОГА</x:t>
        </x:is>
      </x:c>
      <x:c r="D20" s="190" t="n">
        <x:f>D18-D19</x:f>
        <x:v>92703.66644499179</x:v>
      </x:c>
      <x:c r="E20" s="190" t="n">
        <x:f>E18-E19</x:f>
        <x:v>197633.64123070618</x:v>
      </x:c>
      <x:c r="F20" s="190" t="n">
        <x:f>F18-F19</x:f>
        <x:v>-73004.33355500821</x:v>
      </x:c>
      <x:c r="G20" s="190" t="n">
        <x:f>G18-G19</x:f>
        <x:v>-30201.058769293988</x:v>
      </x:c>
      <x:c r="H20" s="190" t="n">
        <x:f>H18-H19</x:f>
        <x:v>50942.94123070601</x:v>
      </x:c>
      <x:c r="I20" s="190" t="n">
        <x:f>I18-I19</x:f>
        <x:v>-239970.9831264363</x:v>
      </x:c>
      <x:c r="J20" s="190" t="n">
        <x:f>J18-J19</x:f>
        <x:v>-44803.3587692938</x:v>
      </x:c>
      <x:c r="K20" s="190" t="n">
        <x:f>K18-K19</x:f>
        <x:v>-89411.73355500765</x:v>
      </x:c>
      <x:c r="L20" s="190" t="n">
        <x:f>L18-L19</x:f>
        <x:v>857.441230706012</x:v>
      </x:c>
      <x:c r="M20" s="190" t="n">
        <x:f>M18-M19</x:f>
        <x:v>-124898.23355500765</x:v>
      </x:c>
      <x:c r="N20" s="190" t="n">
        <x:f>N18-N19</x:f>
        <x:v>15285.441230706012</x:v>
      </x:c>
      <x:c r="O20" s="190" t="n">
        <x:f>O18-O19</x:f>
        <x:v>-31570.258769294174</x:v>
      </x:c>
      <x:c r="P20" s="190" t="n">
        <x:f>SUM(D20:O20)</x:f>
        <x:v>-276436.82873152586</x:v>
      </x:c>
      <x:c r="Q20" s="190" t="n">
        <x:f>P20/12</x:f>
        <x:v>-23036.402394293822</x:v>
      </x:c>
      <x:c r="R20" s="118" t="inlineStr">
        <x:is>
          <x:t xml:space="preserve">руб.</x:t>
        </x:is>
      </x:c>
    </x:row>
    <x:row r="21">
      <x:c r="A21" s="52" t="inlineStr">
        <x:is>
          <x:t xml:space="preserve">PNL.DINNER.REV</x:t>
        </x:is>
      </x:c>
      <x:c r="B21" s="52" t="str">
        <x:v>Кафе — Гостиница: ужины</x:v>
      </x:c>
      <x:c r="C21" s="52" t="inlineStr">
        <x:is>
          <x:t xml:space="preserve">Доходы ужинов</x:t>
        </x:is>
      </x:c>
      <x:c r="D21" s="188" t="n">
        <x:f>'03_ДОХОДЫ'!D41</x:f>
        <x:v>300000</x:v>
      </x:c>
      <x:c r="E21" s="188" t="n">
        <x:f>'03_ДОХОДЫ'!E41</x:f>
        <x:v>310000</x:v>
      </x:c>
      <x:c r="F21" s="188" t="n">
        <x:f>'03_ДОХОДЫ'!F41</x:f>
        <x:v>300000</x:v>
      </x:c>
      <x:c r="G21" s="188" t="n">
        <x:f>'03_ДОХОДЫ'!G41</x:f>
        <x:v>310000</x:v>
      </x:c>
      <x:c r="H21" s="188" t="n">
        <x:f>'03_ДОХОДЫ'!H41</x:f>
        <x:v>310000</x:v>
      </x:c>
      <x:c r="I21" s="188" t="n">
        <x:f>'03_ДОХОДЫ'!I41</x:f>
        <x:v>280000</x:v>
      </x:c>
      <x:c r="J21" s="188" t="n">
        <x:f>'03_ДОХОДЫ'!J41</x:f>
        <x:v>310000</x:v>
      </x:c>
      <x:c r="K21" s="188" t="n">
        <x:f>'03_ДОХОДЫ'!K41</x:f>
        <x:v>300000</x:v>
      </x:c>
      <x:c r="L21" s="188" t="n">
        <x:f>'03_ДОХОДЫ'!L41</x:f>
        <x:v>310000</x:v>
      </x:c>
      <x:c r="M21" s="188" t="n">
        <x:f>'03_ДОХОДЫ'!M41</x:f>
        <x:v>300000</x:v>
      </x:c>
      <x:c r="N21" s="188" t="n">
        <x:f>'03_ДОХОДЫ'!N41</x:f>
        <x:v>310000</x:v>
      </x:c>
      <x:c r="O21" s="188" t="n">
        <x:f>'03_ДОХОДЫ'!O41</x:f>
        <x:v>310000</x:v>
      </x:c>
      <x:c r="P21" s="188" t="n">
        <x:f>SUM(D21:O21)</x:f>
        <x:v>3650000</x:v>
      </x:c>
      <x:c r="Q21" s="188" t="n">
        <x:f>P21/12</x:f>
        <x:v>304166.6666666667</x:v>
      </x:c>
      <x:c r="R21" s="52" t="inlineStr">
        <x:is>
          <x:t xml:space="preserve">руб.</x:t>
        </x:is>
      </x:c>
    </x:row>
    <x:row r="22">
      <x:c r="A22" s="52" t="inlineStr">
        <x:is>
          <x:t xml:space="preserve">PNL.DINNER.COGS</x:t>
        </x:is>
      </x:c>
      <x:c r="B22" s="52" t="str">
        <x:v>Кафе — Гостиница: ужины</x:v>
      </x:c>
      <x:c r="C22" s="52" t="inlineStr">
        <x:is>
          <x:t xml:space="preserve">Себестоимость ужинов — 30% как a-la carte</x:t>
        </x:is>
      </x:c>
      <x:c r="D22" s="188" t="n">
        <x:f>'04_СЕБЕСТОИМОСТЬ'!D42+'04_СЕБЕСТОИМОСТЬ'!D29</x:f>
        <x:v>90000</x:v>
      </x:c>
      <x:c r="E22" s="188" t="n">
        <x:f>'04_СЕБЕСТОИМОСТЬ'!E42+'04_СЕБЕСТОИМОСТЬ'!E29</x:f>
        <x:v>93000</x:v>
      </x:c>
      <x:c r="F22" s="188" t="n">
        <x:f>'04_СЕБЕСТОИМОСТЬ'!F42+'04_СЕБЕСТОИМОСТЬ'!F29</x:f>
        <x:v>90000</x:v>
      </x:c>
      <x:c r="G22" s="188" t="n">
        <x:f>'04_СЕБЕСТОИМОСТЬ'!G42+'04_СЕБЕСТОИМОСТЬ'!G29</x:f>
        <x:v>93000</x:v>
      </x:c>
      <x:c r="H22" s="188" t="n">
        <x:f>'04_СЕБЕСТОИМОСТЬ'!H42+'04_СЕБЕСТОИМОСТЬ'!H29</x:f>
        <x:v>93000</x:v>
      </x:c>
      <x:c r="I22" s="188" t="n">
        <x:f>'04_СЕБЕСТОИМОСТЬ'!I42+'04_СЕБЕСТОИМОСТЬ'!I29</x:f>
        <x:v>84000</x:v>
      </x:c>
      <x:c r="J22" s="188" t="n">
        <x:f>'04_СЕБЕСТОИМОСТЬ'!J42+'04_СЕБЕСТОИМОСТЬ'!J29</x:f>
        <x:v>93000</x:v>
      </x:c>
      <x:c r="K22" s="188" t="n">
        <x:f>'04_СЕБЕСТОИМОСТЬ'!K42+'04_СЕБЕСТОИМОСТЬ'!K29</x:f>
        <x:v>90000</x:v>
      </x:c>
      <x:c r="L22" s="188" t="n">
        <x:f>'04_СЕБЕСТОИМОСТЬ'!L42+'04_СЕБЕСТОИМОСТЬ'!L29</x:f>
        <x:v>93000</x:v>
      </x:c>
      <x:c r="M22" s="188" t="n">
        <x:f>'04_СЕБЕСТОИМОСТЬ'!M42+'04_СЕБЕСТОИМОСТЬ'!M29</x:f>
        <x:v>90000</x:v>
      </x:c>
      <x:c r="N22" s="188" t="n">
        <x:f>'04_СЕБЕСТОИМОСТЬ'!N42+'04_СЕБЕСТОИМОСТЬ'!N29</x:f>
        <x:v>93000</x:v>
      </x:c>
      <x:c r="O22" s="188" t="n">
        <x:f>'04_СЕБЕСТОИМОСТЬ'!O42+'04_СЕБЕСТОИМОСТЬ'!O29</x:f>
        <x:v>93000</x:v>
      </x:c>
      <x:c r="P22" s="188" t="n">
        <x:f>SUM(D22:O22)</x:f>
        <x:v>1095000</x:v>
      </x:c>
      <x:c r="Q22" s="188" t="n">
        <x:f>P22/12</x:f>
        <x:v>91250</x:v>
      </x:c>
      <x:c r="R22" s="52" t="inlineStr">
        <x:is>
          <x:t xml:space="preserve">руб.</x:t>
        </x:is>
      </x:c>
    </x:row>
    <x:row r="23">
      <x:c r="A23" s="52" t="inlineStr">
        <x:is>
          <x:t xml:space="preserve">PNL.DINNER.CONTRIB</x:t>
        </x:is>
      </x:c>
      <x:c r="B23" s="52" t="str">
        <x:v>Кафе — Гостиница: ужины</x:v>
      </x:c>
      <x:c r="C23" s="52" t="inlineStr">
        <x:is>
          <x:t xml:space="preserve">Маржинальный результат ужинов</x:t>
        </x:is>
      </x:c>
      <x:c r="D23" s="188" t="n">
        <x:f>D21-D22</x:f>
        <x:v>210000</x:v>
      </x:c>
      <x:c r="E23" s="188" t="n">
        <x:f>E21-E22</x:f>
        <x:v>217000</x:v>
      </x:c>
      <x:c r="F23" s="188" t="n">
        <x:f>F21-F22</x:f>
        <x:v>210000</x:v>
      </x:c>
      <x:c r="G23" s="188" t="n">
        <x:f>G21-G22</x:f>
        <x:v>217000</x:v>
      </x:c>
      <x:c r="H23" s="188" t="n">
        <x:f>H21-H22</x:f>
        <x:v>217000</x:v>
      </x:c>
      <x:c r="I23" s="188" t="n">
        <x:f>I21-I22</x:f>
        <x:v>196000</x:v>
      </x:c>
      <x:c r="J23" s="188" t="n">
        <x:f>J21-J22</x:f>
        <x:v>217000</x:v>
      </x:c>
      <x:c r="K23" s="188" t="n">
        <x:f>K21-K22</x:f>
        <x:v>210000</x:v>
      </x:c>
      <x:c r="L23" s="188" t="n">
        <x:f>L21-L22</x:f>
        <x:v>217000</x:v>
      </x:c>
      <x:c r="M23" s="188" t="n">
        <x:f>M21-M22</x:f>
        <x:v>210000</x:v>
      </x:c>
      <x:c r="N23" s="188" t="n">
        <x:f>N21-N22</x:f>
        <x:v>217000</x:v>
      </x:c>
      <x:c r="O23" s="188" t="n">
        <x:f>O21-O22</x:f>
        <x:v>217000</x:v>
      </x:c>
      <x:c r="P23" s="188" t="n">
        <x:f>SUM(D23:O23)</x:f>
        <x:v>2555000</x:v>
      </x:c>
      <x:c r="Q23" s="188" t="n">
        <x:f>P23/12</x:f>
        <x:v>212916.66666666666</x:v>
      </x:c>
      <x:c r="R23" s="52" t="inlineStr">
        <x:is>
          <x:t xml:space="preserve">руб.</x:t>
        </x:is>
      </x:c>
    </x:row>
    <x:row r="24">
      <x:c r="A24" s="122" t="inlineStr">
        <x:is>
          <x:t xml:space="preserve">БИЗНЕС 2 — БАНКЕТЫ</x:t>
        </x:is>
      </x:c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  <x:c r="L24" s="1" t="n"/>
      <x:c r="M24" s="1" t="n"/>
      <x:c r="N24" s="1" t="n"/>
      <x:c r="O24" s="1" t="n"/>
      <x:c r="P24" s="1" t="n"/>
      <x:c r="Q24" s="1" t="n"/>
      <x:c r="R24" s="1" t="n"/>
    </x:row>
    <x:row r="25">
      <x:c r="A25" s="52" t="inlineStr">
        <x:is>
          <x:t xml:space="preserve">PNL.BANQ.REV</x:t>
        </x:is>
      </x:c>
      <x:c r="B25" s="52" t="inlineStr">
        <x:is>
          <x:t xml:space="preserve">Банкеты</x:t>
        </x:is>
      </x:c>
      <x:c r="C25" s="52" t="inlineStr">
        <x:is>
          <x:t xml:space="preserve">Доходы банкетов</x:t>
        </x:is>
      </x:c>
      <x:c r="D25" s="188" t="n">
        <x:f>'03_ДОХОДЫ'!D36</x:f>
        <x:v>0</x:v>
      </x:c>
      <x:c r="E25" s="188" t="n">
        <x:f>'03_ДОХОДЫ'!E36</x:f>
        <x:v>0</x:v>
      </x:c>
      <x:c r="F25" s="188" t="n">
        <x:f>'03_ДОХОДЫ'!F36</x:f>
        <x:v>360000</x:v>
      </x:c>
      <x:c r="G25" s="188" t="n">
        <x:f>'03_ДОХОДЫ'!G36</x:f>
        <x:v>360000</x:v>
      </x:c>
      <x:c r="H25" s="188" t="n">
        <x:f>'03_ДОХОДЫ'!H36</x:f>
        <x:v>360000</x:v>
      </x:c>
      <x:c r="I25" s="188" t="n">
        <x:f>'03_ДОХОДЫ'!I36</x:f>
        <x:v>360000</x:v>
      </x:c>
      <x:c r="J25" s="188" t="n">
        <x:f>'03_ДОХОДЫ'!J36</x:f>
        <x:v>360000</x:v>
      </x:c>
      <x:c r="K25" s="188" t="n">
        <x:f>'03_ДОХОДЫ'!K36</x:f>
        <x:v>360000</x:v>
      </x:c>
      <x:c r="L25" s="188" t="n">
        <x:f>'03_ДОХОДЫ'!L36</x:f>
        <x:v>360000</x:v>
      </x:c>
      <x:c r="M25" s="188" t="n">
        <x:f>'03_ДОХОДЫ'!M36</x:f>
        <x:v>360000</x:v>
      </x:c>
      <x:c r="N25" s="188" t="n">
        <x:f>'03_ДОХОДЫ'!N36</x:f>
        <x:v>360000</x:v>
      </x:c>
      <x:c r="O25" s="188" t="n">
        <x:f>'03_ДОХОДЫ'!O36</x:f>
        <x:v>360000</x:v>
      </x:c>
      <x:c r="P25" s="188" t="n">
        <x:f>SUM(D25:O25)</x:f>
        <x:v>3600000</x:v>
      </x:c>
      <x:c r="Q25" s="188" t="n">
        <x:f>P25/12</x:f>
        <x:v>300000</x:v>
      </x:c>
      <x:c r="R25" s="52" t="inlineStr">
        <x:is>
          <x:t xml:space="preserve">руб.</x:t>
        </x:is>
      </x:c>
    </x:row>
    <x:row r="26">
      <x:c r="A26" s="52" t="inlineStr">
        <x:is>
          <x:t xml:space="preserve">PNL.BANQ.COGS</x:t>
        </x:is>
      </x:c>
      <x:c r="B26" s="52" t="inlineStr">
        <x:is>
          <x:t xml:space="preserve">Банкеты</x:t>
        </x:is>
      </x:c>
      <x:c r="C26" s="52" t="inlineStr">
        <x:is>
          <x:t xml:space="preserve">Себестоимость</x:t>
        </x:is>
      </x:c>
      <x:c r="D26" s="188" t="n">
        <x:f>'04_СЕБЕСТОИМОСТЬ'!D34</x:f>
        <x:v>0</x:v>
      </x:c>
      <x:c r="E26" s="188" t="n">
        <x:f>'04_СЕБЕСТОИМОСТЬ'!E34</x:f>
        <x:v>0</x:v>
      </x:c>
      <x:c r="F26" s="188" t="n">
        <x:f>'04_СЕБЕСТОИМОСТЬ'!F34</x:f>
        <x:v>144000</x:v>
      </x:c>
      <x:c r="G26" s="188" t="n">
        <x:f>'04_СЕБЕСТОИМОСТЬ'!G34</x:f>
        <x:v>144000</x:v>
      </x:c>
      <x:c r="H26" s="188" t="n">
        <x:f>'04_СЕБЕСТОИМОСТЬ'!H34</x:f>
        <x:v>144000</x:v>
      </x:c>
      <x:c r="I26" s="188" t="n">
        <x:f>'04_СЕБЕСТОИМОСТЬ'!I34</x:f>
        <x:v>144000</x:v>
      </x:c>
      <x:c r="J26" s="188" t="n">
        <x:f>'04_СЕБЕСТОИМОСТЬ'!J34</x:f>
        <x:v>144000</x:v>
      </x:c>
      <x:c r="K26" s="188" t="n">
        <x:f>'04_СЕБЕСТОИМОСТЬ'!K34</x:f>
        <x:v>144000</x:v>
      </x:c>
      <x:c r="L26" s="188" t="n">
        <x:f>'04_СЕБЕСТОИМОСТЬ'!L34</x:f>
        <x:v>144000</x:v>
      </x:c>
      <x:c r="M26" s="188" t="n">
        <x:f>'04_СЕБЕСТОИМОСТЬ'!M34</x:f>
        <x:v>144000</x:v>
      </x:c>
      <x:c r="N26" s="188" t="n">
        <x:f>'04_СЕБЕСТОИМОСТЬ'!N34</x:f>
        <x:v>144000</x:v>
      </x:c>
      <x:c r="O26" s="188" t="n">
        <x:f>'04_СЕБЕСТОИМОСТЬ'!O34</x:f>
        <x:v>144000</x:v>
      </x:c>
      <x:c r="P26" s="188" t="n">
        <x:f>SUM(D26:O26)</x:f>
        <x:v>1440000</x:v>
      </x:c>
      <x:c r="Q26" s="188" t="n">
        <x:f>P26/12</x:f>
        <x:v>120000</x:v>
      </x:c>
      <x:c r="R26" s="52" t="inlineStr">
        <x:is>
          <x:t xml:space="preserve">руб.</x:t>
        </x:is>
      </x:c>
    </x:row>
    <x:row r="27">
      <x:c r="A27" s="120" t="inlineStr">
        <x:is>
          <x:t xml:space="preserve">PNL.BANQ.GROSS</x:t>
        </x:is>
      </x:c>
      <x:c r="B27" s="120" t="inlineStr">
        <x:is>
          <x:t xml:space="preserve">Банкеты</x:t>
        </x:is>
      </x:c>
      <x:c r="C27" s="120" t="inlineStr">
        <x:is>
          <x:t xml:space="preserve">Валовая прибыль</x:t>
        </x:is>
      </x:c>
      <x:c r="D27" s="202" t="n">
        <x:f>D25-D26</x:f>
        <x:v>0</x:v>
      </x:c>
      <x:c r="E27" s="202" t="n">
        <x:f>E25-E26</x:f>
        <x:v>0</x:v>
      </x:c>
      <x:c r="F27" s="202" t="n">
        <x:f>F25-F26</x:f>
        <x:v>216000</x:v>
      </x:c>
      <x:c r="G27" s="202" t="n">
        <x:f>G25-G26</x:f>
        <x:v>216000</x:v>
      </x:c>
      <x:c r="H27" s="202" t="n">
        <x:f>H25-H26</x:f>
        <x:v>216000</x:v>
      </x:c>
      <x:c r="I27" s="202" t="n">
        <x:f>I25-I26</x:f>
        <x:v>216000</x:v>
      </x:c>
      <x:c r="J27" s="202" t="n">
        <x:f>J25-J26</x:f>
        <x:v>216000</x:v>
      </x:c>
      <x:c r="K27" s="202" t="n">
        <x:f>K25-K26</x:f>
        <x:v>216000</x:v>
      </x:c>
      <x:c r="L27" s="202" t="n">
        <x:f>L25-L26</x:f>
        <x:v>216000</x:v>
      </x:c>
      <x:c r="M27" s="202" t="n">
        <x:f>M25-M26</x:f>
        <x:v>216000</x:v>
      </x:c>
      <x:c r="N27" s="202" t="n">
        <x:f>N25-N26</x:f>
        <x:v>216000</x:v>
      </x:c>
      <x:c r="O27" s="202" t="n">
        <x:f>O25-O26</x:f>
        <x:v>216000</x:v>
      </x:c>
      <x:c r="P27" s="202" t="n">
        <x:f>SUM(D27:O27)</x:f>
        <x:v>2160000</x:v>
      </x:c>
      <x:c r="Q27" s="202" t="n">
        <x:f>P27/12</x:f>
        <x:v>180000</x:v>
      </x:c>
      <x:c r="R27" s="120" t="inlineStr">
        <x:is>
          <x:t xml:space="preserve">руб.</x:t>
        </x:is>
      </x:c>
    </x:row>
    <x:row r="28">
      <x:c r="A28" s="52" t="inlineStr">
        <x:is>
          <x:t xml:space="preserve">PNL.BANQ.AGENT</x:t>
        </x:is>
      </x:c>
      <x:c r="B28" s="52" t="inlineStr">
        <x:is>
          <x:t xml:space="preserve">Банкеты</x:t>
        </x:is>
      </x:c>
      <x:c r="C28" s="52" t="inlineStr">
        <x:is>
          <x:t xml:space="preserve">Агент и эквайринг</x:t>
        </x:is>
      </x:c>
      <x:c r="D28" s="188" t="n">
        <x:f>'04_СЕБЕСТОИМОСТЬ'!D36+'04_СЕБЕСТОИМОСТЬ'!D37</x:f>
        <x:v>0</x:v>
      </x:c>
      <x:c r="E28" s="188" t="n">
        <x:f>'04_СЕБЕСТОИМОСТЬ'!E36+'04_СЕБЕСТОИМОСТЬ'!E37</x:f>
        <x:v>0</x:v>
      </x:c>
      <x:c r="F28" s="188" t="n">
        <x:f>'04_СЕБЕСТОИМОСТЬ'!F36+'04_СЕБЕСТОИМОСТЬ'!F37</x:f>
        <x:v>36000</x:v>
      </x:c>
      <x:c r="G28" s="188" t="n">
        <x:f>'04_СЕБЕСТОИМОСТЬ'!G36+'04_СЕБЕСТОИМОСТЬ'!G37</x:f>
        <x:v>36000</x:v>
      </x:c>
      <x:c r="H28" s="188" t="n">
        <x:f>'04_СЕБЕСТОИМОСТЬ'!H36+'04_СЕБЕСТОИМОСТЬ'!H37</x:f>
        <x:v>36000</x:v>
      </x:c>
      <x:c r="I28" s="188" t="n">
        <x:f>'04_СЕБЕСТОИМОСТЬ'!I36+'04_СЕБЕСТОИМОСТЬ'!I37</x:f>
        <x:v>36000</x:v>
      </x:c>
      <x:c r="J28" s="188" t="n">
        <x:f>'04_СЕБЕСТОИМОСТЬ'!J36+'04_СЕБЕСТОИМОСТЬ'!J37</x:f>
        <x:v>36000</x:v>
      </x:c>
      <x:c r="K28" s="188" t="n">
        <x:f>'04_СЕБЕСТОИМОСТЬ'!K36+'04_СЕБЕСТОИМОСТЬ'!K37</x:f>
        <x:v>36000</x:v>
      </x:c>
      <x:c r="L28" s="188" t="n">
        <x:f>'04_СЕБЕСТОИМОСТЬ'!L36+'04_СЕБЕСТОИМОСТЬ'!L37</x:f>
        <x:v>36000</x:v>
      </x:c>
      <x:c r="M28" s="188" t="n">
        <x:f>'04_СЕБЕСТОИМОСТЬ'!M36+'04_СЕБЕСТОИМОСТЬ'!M37</x:f>
        <x:v>36000</x:v>
      </x:c>
      <x:c r="N28" s="188" t="n">
        <x:f>'04_СЕБЕСТОИМОСТЬ'!N36+'04_СЕБЕСТОИМОСТЬ'!N37</x:f>
        <x:v>36000</x:v>
      </x:c>
      <x:c r="O28" s="188" t="n">
        <x:f>'04_СЕБЕСТОИМОСТЬ'!O36+'04_СЕБЕСТОИМОСТЬ'!O37</x:f>
        <x:v>36000</x:v>
      </x:c>
      <x:c r="P28" s="188" t="n">
        <x:f>SUM(D28:O28)</x:f>
        <x:v>360000</x:v>
      </x:c>
      <x:c r="Q28" s="188" t="n">
        <x:f>P28/12</x:f>
        <x:v>30000</x:v>
      </x:c>
      <x:c r="R28" s="52" t="inlineStr">
        <x:is>
          <x:t xml:space="preserve">руб.</x:t>
        </x:is>
      </x:c>
    </x:row>
    <x:row r="29">
      <x:c r="A29" s="118" t="inlineStr">
        <x:is>
          <x:t xml:space="preserve">PNL.BANQ.PBT</x:t>
        </x:is>
      </x:c>
      <x:c r="B29" s="118" t="inlineStr">
        <x:is>
          <x:t xml:space="preserve">Банкеты</x:t>
        </x:is>
      </x:c>
      <x:c r="C29" s="118" t="inlineStr">
        <x:is>
          <x:t xml:space="preserve">ПРИБЫЛЬ БАНКЕТОВ ДО НАЛОГА</x:t>
        </x:is>
      </x:c>
      <x:c r="D29" s="190" t="n">
        <x:f>D27-D28</x:f>
        <x:v>0</x:v>
      </x:c>
      <x:c r="E29" s="190" t="n">
        <x:f>E27-E28</x:f>
        <x:v>0</x:v>
      </x:c>
      <x:c r="F29" s="190" t="n">
        <x:f>F27-F28</x:f>
        <x:v>180000</x:v>
      </x:c>
      <x:c r="G29" s="190" t="n">
        <x:f>G27-G28</x:f>
        <x:v>180000</x:v>
      </x:c>
      <x:c r="H29" s="190" t="n">
        <x:f>H27-H28</x:f>
        <x:v>180000</x:v>
      </x:c>
      <x:c r="I29" s="190" t="n">
        <x:f>I27-I28</x:f>
        <x:v>180000</x:v>
      </x:c>
      <x:c r="J29" s="190" t="n">
        <x:f>J27-J28</x:f>
        <x:v>180000</x:v>
      </x:c>
      <x:c r="K29" s="190" t="n">
        <x:f>K27-K28</x:f>
        <x:v>180000</x:v>
      </x:c>
      <x:c r="L29" s="190" t="n">
        <x:f>L27-L28</x:f>
        <x:v>180000</x:v>
      </x:c>
      <x:c r="M29" s="190" t="n">
        <x:f>M27-M28</x:f>
        <x:v>180000</x:v>
      </x:c>
      <x:c r="N29" s="190" t="n">
        <x:f>N27-N28</x:f>
        <x:v>180000</x:v>
      </x:c>
      <x:c r="O29" s="190" t="n">
        <x:f>O27-O28</x:f>
        <x:v>180000</x:v>
      </x:c>
      <x:c r="P29" s="190" t="n">
        <x:f>SUM(D29:O29)</x:f>
        <x:v>1800000</x:v>
      </x:c>
      <x:c r="Q29" s="190" t="n">
        <x:f>P29/12</x:f>
        <x:v>150000</x:v>
      </x:c>
      <x:c r="R29" s="118" t="inlineStr">
        <x:is>
          <x:t xml:space="preserve">руб.</x:t>
        </x:is>
      </x:c>
    </x:row>
    <x:row r="30">
      <x:c r="A30" s="52" t="n"/>
      <x:c r="B30" s="52" t="n"/>
      <x:c r="C30" s="52" t="n"/>
      <x:c r="D30" s="188" t="n"/>
      <x:c r="E30" s="188" t="n"/>
      <x:c r="F30" s="188" t="n"/>
      <x:c r="G30" s="188" t="n"/>
      <x:c r="H30" s="188" t="n"/>
      <x:c r="I30" s="188" t="n"/>
      <x:c r="J30" s="188" t="n"/>
      <x:c r="K30" s="188" t="n"/>
      <x:c r="L30" s="188" t="n"/>
      <x:c r="M30" s="188" t="n"/>
      <x:c r="N30" s="188" t="n"/>
      <x:c r="O30" s="188" t="n"/>
      <x:c r="P30" s="188" t="n"/>
      <x:c r="Q30" s="188" t="n"/>
      <x:c r="R30" s="52" t="n"/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КОНСОЛИДИРОВАННЫЙ НАЛОГ И ЧИСТАЯ ПРИБЫЛЬ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PNL.PROJ.REV</x:t>
        </x:is>
      </x:c>
      <x:c r="B33" s="52" t="inlineStr">
        <x:is>
          <x:t xml:space="preserve">Проект</x:t>
        </x:is>
      </x:c>
      <x:c r="C33" s="52" t="inlineStr">
        <x:is>
          <x:t xml:space="preserve">Совокупные доходы</x:t>
        </x:is>
      </x:c>
      <x:c r="D33" s="188" t="n">
        <x:f>D6+D25</x:f>
        <x:v>3943800</x:v>
      </x:c>
      <x:c r="E33" s="188" t="n">
        <x:f>E6+E25</x:f>
        <x:v>4116900</x:v>
      </x:c>
      <x:c r="F33" s="188" t="n">
        <x:f>F6+F25</x:f>
        <x:v>4075400</x:v>
      </x:c>
      <x:c r="G33" s="188" t="n">
        <x:f>G6+G25</x:f>
        <x:v>4147800</x:v>
      </x:c>
      <x:c r="H33" s="188" t="n">
        <x:f>H6+H25</x:f>
        <x:v>4278000</x:v>
      </x:c>
      <x:c r="I33" s="188" t="n">
        <x:f>I6+I25</x:f>
        <x:v>3807500</x:v>
      </x:c>
      <x:c r="J33" s="188" t="n">
        <x:f>J6+J25</x:f>
        <x:v>4126700</x:v>
      </x:c>
      <x:c r="K33" s="188" t="n">
        <x:f>K6+K25</x:f>
        <x:v>4048000</x:v>
      </x:c>
      <x:c r="L33" s="188" t="n">
        <x:f>L6+L25</x:f>
        <x:v>4187300</x:v>
      </x:c>
      <x:c r="M33" s="188" t="n">
        <x:f>M6+M25</x:f>
        <x:v>3989500</x:v>
      </x:c>
      <x:c r="N33" s="188" t="n">
        <x:f>N6+N25</x:f>
        <x:v>4206300</x:v>
      </x:c>
      <x:c r="O33" s="188" t="n">
        <x:f>O6+O25</x:f>
        <x:v>4138600</x:v>
      </x:c>
      <x:c r="P33" s="188" t="n">
        <x:f>SUM(D33:O33)</x:f>
        <x:v>49065800</x:v>
      </x:c>
      <x:c r="Q33" s="188" t="n">
        <x:f>P33/12</x:f>
        <x:v>4088816.6666666665</x:v>
      </x:c>
      <x:c r="R33" s="52" t="inlineStr">
        <x:is>
          <x:t xml:space="preserve">руб.</x:t>
        </x:is>
      </x:c>
    </x:row>
    <x:row r="34">
      <x:c r="A34" s="52" t="inlineStr">
        <x:is>
          <x:t xml:space="preserve">PNL.PROJ.PBT</x:t>
        </x:is>
      </x:c>
      <x:c r="B34" s="52" t="inlineStr">
        <x:is>
          <x:t xml:space="preserve">Проект</x:t>
        </x:is>
      </x:c>
      <x:c r="C34" s="52" t="inlineStr">
        <x:is>
          <x:t xml:space="preserve">Совокупная прибыль до налога</x:t>
        </x:is>
      </x:c>
      <x:c r="D34" s="188" t="n">
        <x:f>D20+D29</x:f>
        <x:v>92703.66644499179</x:v>
      </x:c>
      <x:c r="E34" s="188" t="n">
        <x:f>E20+E29</x:f>
        <x:v>197633.64123070618</x:v>
      </x:c>
      <x:c r="F34" s="188" t="n">
        <x:f>F20+F29</x:f>
        <x:v>106995.66644499179</x:v>
      </x:c>
      <x:c r="G34" s="188" t="n">
        <x:f>G20+G29</x:f>
        <x:v>149798.941230706</x:v>
      </x:c>
      <x:c r="H34" s="188" t="n">
        <x:f>H20+H29</x:f>
        <x:v>230942.941230706</x:v>
      </x:c>
      <x:c r="I34" s="188" t="n">
        <x:f>I20+I29</x:f>
        <x:v>-59970.9831264363</x:v>
      </x:c>
      <x:c r="J34" s="188" t="n">
        <x:f>J20+J29</x:f>
        <x:v>135196.64123070618</x:v>
      </x:c>
      <x:c r="K34" s="188" t="n">
        <x:f>K20+K29</x:f>
        <x:v>90588.26644499235</x:v>
      </x:c>
      <x:c r="L34" s="188" t="n">
        <x:f>L20+L29</x:f>
        <x:v>180857.441230706</x:v>
      </x:c>
      <x:c r="M34" s="188" t="n">
        <x:f>M20+M29</x:f>
        <x:v>55101.76644499235</x:v>
      </x:c>
      <x:c r="N34" s="188" t="n">
        <x:f>N20+N29</x:f>
        <x:v>195285.441230706</x:v>
      </x:c>
      <x:c r="O34" s="188" t="n">
        <x:f>O20+O29</x:f>
        <x:v>148429.7412307058</x:v>
      </x:c>
      <x:c r="P34" s="188" t="n">
        <x:f>SUM(D34:O34)</x:f>
        <x:v>1523563.1712684738</x:v>
      </x:c>
      <x:c r="Q34" s="188" t="n">
        <x:f>P34/12</x:f>
        <x:v>126963.59760570615</x:v>
      </x:c>
      <x:c r="R34" s="52" t="inlineStr">
        <x:is>
          <x:t xml:space="preserve">руб.</x:t>
        </x:is>
      </x:c>
    </x:row>
    <x:row r="35">
      <x:c r="A35" s="52" t="inlineStr">
        <x:is>
          <x:t xml:space="preserve">TAX.USN15</x:t>
        </x:is>
      </x:c>
      <x:c r="B35" s="52" t="inlineStr">
        <x:is>
          <x:t xml:space="preserve">Налоги</x:t>
        </x:is>
      </x:c>
      <x:c r="C35" s="52" t="inlineStr">
        <x:is>
          <x:t xml:space="preserve">УСН 15% от положительной базы</x:t>
        </x:is>
      </x:c>
      <x:c r="D35" s="188" t="n">
        <x:f>IF($P$33=0,0,$P$35*D33/$P$33)</x:f>
        <x:v>18369.093446500232</x:v>
      </x:c>
      <x:c r="E35" s="188" t="n">
        <x:f>IF($P$33=0,0,$P$35*E33/$P$33)</x:f>
        <x:v>19175.343782620013</x:v>
      </x:c>
      <x:c r="F35" s="188" t="n">
        <x:f>IF($P$33=0,0,$P$35*F33/$P$33)</x:f>
        <x:v>18982.048641378122</x:v>
      </x:c>
      <x:c r="G35" s="188" t="n">
        <x:f>IF($P$33=0,0,$P$35*G33/$P$33)</x:f>
        <x:v>19319.2671528459</x:v>
      </x:c>
      <x:c r="H35" s="188" t="n">
        <x:f>IF($P$33=0,0,$P$35*H33/$P$33)</x:f>
        <x:v>19925.70154777828</x:v>
      </x:c>
      <x:c r="I35" s="188" t="n">
        <x:f>IF($P$33=0,0,$P$35*I33/$P$33)</x:f>
        <x:v>17734.24699466241</x:v>
      </x:c>
      <x:c r="J35" s="188" t="n">
        <x:f>IF($P$33=0,0,$P$35*J33/$P$33)</x:f>
        <x:v>19220.98938223858</x:v>
      </x:c>
      <x:c r="K35" s="188" t="n">
        <x:f>IF($P$33=0,0,$P$35*K33/$P$33)</x:f>
        <x:v>18854.427271016008</x:v>
      </x:c>
      <x:c r="L35" s="188" t="n">
        <x:f>IF($P$33=0,0,$P$35*L33/$P$33)</x:f>
        <x:v>19503.246865594203</x:v>
      </x:c>
      <x:c r="M35" s="188" t="n">
        <x:f>IF($P$33=0,0,$P$35*M33/$P$33)</x:f>
        <x:v>18581.950987578646</x:v>
      </x:c>
      <x:c r="N35" s="188" t="n">
        <x:f>IF($P$33=0,0,$P$35*N33/$P$33)</x:f>
        <x:v>19591.74343628326</x:v>
      </x:c>
      <x:c r="O35" s="188" t="n">
        <x:f>IF($P$33=0,0,$P$35*O33/$P$33)</x:f>
        <x:v>19276.41618177541</x:v>
      </x:c>
      <x:c r="P35" s="188" t="n">
        <x:f>MAX(P34,0)*'01_ВВОД'!$D$12</x:f>
        <x:v>228534.47569027107</x:v>
      </x:c>
      <x:c r="Q35" s="188" t="n">
        <x:f>P35/12</x:f>
        <x:v>19044.53964085592</x:v>
      </x:c>
      <x:c r="R35" s="52" t="inlineStr">
        <x:is>
          <x:t xml:space="preserve">руб.</x:t>
        </x:is>
      </x:c>
    </x:row>
    <x:row r="36">
      <x:c r="A36" s="52" t="inlineStr">
        <x:is>
          <x:t xml:space="preserve">TAX.MIN1</x:t>
        </x:is>
      </x:c>
      <x:c r="B36" s="52" t="inlineStr">
        <x:is>
          <x:t xml:space="preserve">Налоги</x:t>
        </x:is>
      </x:c>
      <x:c r="C36" s="52" t="inlineStr">
        <x:is>
          <x:t xml:space="preserve">Минимальный налог 1% доходов</x:t>
        </x:is>
      </x:c>
      <x:c r="D36" s="188" t="n">
        <x:f>IF($P$33=0,0,$P$36*D33/$P$33)</x:f>
        <x:v>39438</x:v>
      </x:c>
      <x:c r="E36" s="188" t="n">
        <x:f>IF($P$33=0,0,$P$36*E33/$P$33)</x:f>
        <x:v>41169</x:v>
      </x:c>
      <x:c r="F36" s="188" t="n">
        <x:f>IF($P$33=0,0,$P$36*F33/$P$33)</x:f>
        <x:v>40754</x:v>
      </x:c>
      <x:c r="G36" s="188" t="n">
        <x:f>IF($P$33=0,0,$P$36*G33/$P$33)</x:f>
        <x:v>41478</x:v>
      </x:c>
      <x:c r="H36" s="188" t="n">
        <x:f>IF($P$33=0,0,$P$36*H33/$P$33)</x:f>
        <x:v>42780</x:v>
      </x:c>
      <x:c r="I36" s="188" t="n">
        <x:f>IF($P$33=0,0,$P$36*I33/$P$33)</x:f>
        <x:v>38075</x:v>
      </x:c>
      <x:c r="J36" s="188" t="n">
        <x:f>IF($P$33=0,0,$P$36*J33/$P$33)</x:f>
        <x:v>41267</x:v>
      </x:c>
      <x:c r="K36" s="188" t="n">
        <x:f>IF($P$33=0,0,$P$36*K33/$P$33)</x:f>
        <x:v>40480</x:v>
      </x:c>
      <x:c r="L36" s="188" t="n">
        <x:f>IF($P$33=0,0,$P$36*L33/$P$33)</x:f>
        <x:v>41873</x:v>
      </x:c>
      <x:c r="M36" s="188" t="n">
        <x:f>IF($P$33=0,0,$P$36*M33/$P$33)</x:f>
        <x:v>39895</x:v>
      </x:c>
      <x:c r="N36" s="188" t="n">
        <x:f>IF($P$33=0,0,$P$36*N33/$P$33)</x:f>
        <x:v>42063</x:v>
      </x:c>
      <x:c r="O36" s="188" t="n">
        <x:f>IF($P$33=0,0,$P$36*O33/$P$33)</x:f>
        <x:v>41386</x:v>
      </x:c>
      <x:c r="P36" s="188" t="n">
        <x:f>P33*'01_ВВОД'!$D$13</x:f>
        <x:v>490658</x:v>
      </x:c>
      <x:c r="Q36" s="188" t="n">
        <x:f>P36/12</x:f>
        <x:v>40888.166666666664</x:v>
      </x:c>
      <x:c r="R36" s="52" t="inlineStr">
        <x:is>
          <x:t xml:space="preserve">руб.</x:t>
        </x:is>
      </x:c>
    </x:row>
    <x:row r="37">
      <x:c r="A37" s="118" t="inlineStr">
        <x:is>
          <x:t xml:space="preserve">TAX.PAYABLE</x:t>
        </x:is>
      </x:c>
      <x:c r="B37" s="118" t="inlineStr">
        <x:is>
          <x:t xml:space="preserve">Налоги</x:t>
        </x:is>
      </x:c>
      <x:c r="C37" s="118" t="inlineStr">
        <x:is>
          <x:t xml:space="preserve">НАЛОГ К УПЛАТЕ</x:t>
        </x:is>
      </x:c>
      <x:c r="D37" s="190" t="n">
        <x:f>IF($P$33=0,0,$P$37*D33/$P$33)</x:f>
        <x:v>39438</x:v>
      </x:c>
      <x:c r="E37" s="190" t="n">
        <x:f>IF($P$33=0,0,$P$37*E33/$P$33)</x:f>
        <x:v>41169</x:v>
      </x:c>
      <x:c r="F37" s="190" t="n">
        <x:f>IF($P$33=0,0,$P$37*F33/$P$33)</x:f>
        <x:v>40754</x:v>
      </x:c>
      <x:c r="G37" s="190" t="n">
        <x:f>IF($P$33=0,0,$P$37*G33/$P$33)</x:f>
        <x:v>41478</x:v>
      </x:c>
      <x:c r="H37" s="190" t="n">
        <x:f>IF($P$33=0,0,$P$37*H33/$P$33)</x:f>
        <x:v>42780</x:v>
      </x:c>
      <x:c r="I37" s="190" t="n">
        <x:f>IF($P$33=0,0,$P$37*I33/$P$33)</x:f>
        <x:v>38075</x:v>
      </x:c>
      <x:c r="J37" s="190" t="n">
        <x:f>IF($P$33=0,0,$P$37*J33/$P$33)</x:f>
        <x:v>41267</x:v>
      </x:c>
      <x:c r="K37" s="190" t="n">
        <x:f>IF($P$33=0,0,$P$37*K33/$P$33)</x:f>
        <x:v>40480</x:v>
      </x:c>
      <x:c r="L37" s="190" t="n">
        <x:f>IF($P$33=0,0,$P$37*L33/$P$33)</x:f>
        <x:v>41873</x:v>
      </x:c>
      <x:c r="M37" s="190" t="n">
        <x:f>IF($P$33=0,0,$P$37*M33/$P$33)</x:f>
        <x:v>39895</x:v>
      </x:c>
      <x:c r="N37" s="190" t="n">
        <x:f>IF($P$33=0,0,$P$37*N33/$P$33)</x:f>
        <x:v>42063</x:v>
      </x:c>
      <x:c r="O37" s="190" t="n">
        <x:f>IF($P$33=0,0,$P$37*O33/$P$33)</x:f>
        <x:v>41386</x:v>
      </x:c>
      <x:c r="P37" s="190" t="n">
        <x:f>MAX(P35,P36)</x:f>
        <x:v>490658</x:v>
      </x:c>
      <x:c r="Q37" s="190" t="n">
        <x:f>P37/12</x:f>
        <x:v>40888.166666666664</x:v>
      </x:c>
      <x:c r="R37" s="118" t="inlineStr">
        <x:is>
          <x:t xml:space="preserve">руб.</x:t>
        </x:is>
      </x:c>
    </x:row>
    <x:row r="38">
      <x:c r="A38" s="52" t="inlineStr">
        <x:is>
          <x:t xml:space="preserve">TAX.CAFE</x:t>
        </x:is>
      </x:c>
      <x:c r="B38" s="52" t="inlineStr">
        <x:is>
          <x:t xml:space="preserve">Кафе</x:t>
        </x:is>
      </x:c>
      <x:c r="C38" s="52" t="inlineStr">
        <x:is>
          <x:t xml:space="preserve">Налог, распределённый по выручке</x:t>
        </x:is>
      </x:c>
      <x:c r="D38" s="188" t="n">
        <x:f>IF($P$33=0,0,$P$37*D6/$P$33)</x:f>
        <x:v>39438</x:v>
      </x:c>
      <x:c r="E38" s="188" t="n">
        <x:f>IF($P$33=0,0,$P$37*E6/$P$33)</x:f>
        <x:v>41169</x:v>
      </x:c>
      <x:c r="F38" s="188" t="n">
        <x:f>IF($P$33=0,0,$P$37*F6/$P$33)</x:f>
        <x:v>37154</x:v>
      </x:c>
      <x:c r="G38" s="188" t="n">
        <x:f>IF($P$33=0,0,$P$37*G6/$P$33)</x:f>
        <x:v>37878</x:v>
      </x:c>
      <x:c r="H38" s="188" t="n">
        <x:f>IF($P$33=0,0,$P$37*H6/$P$33)</x:f>
        <x:v>39180</x:v>
      </x:c>
      <x:c r="I38" s="188" t="n">
        <x:f>IF($P$33=0,0,$P$37*I6/$P$33)</x:f>
        <x:v>34475</x:v>
      </x:c>
      <x:c r="J38" s="188" t="n">
        <x:f>IF($P$33=0,0,$P$37*J6/$P$33)</x:f>
        <x:v>37667</x:v>
      </x:c>
      <x:c r="K38" s="188" t="n">
        <x:f>IF($P$33=0,0,$P$37*K6/$P$33)</x:f>
        <x:v>36880</x:v>
      </x:c>
      <x:c r="L38" s="188" t="n">
        <x:f>IF($P$33=0,0,$P$37*L6/$P$33)</x:f>
        <x:v>38273</x:v>
      </x:c>
      <x:c r="M38" s="188" t="n">
        <x:f>IF($P$33=0,0,$P$37*M6/$P$33)</x:f>
        <x:v>36295</x:v>
      </x:c>
      <x:c r="N38" s="188" t="n">
        <x:f>IF($P$33=0,0,$P$37*N6/$P$33)</x:f>
        <x:v>38463</x:v>
      </x:c>
      <x:c r="O38" s="188" t="n">
        <x:f>IF($P$33=0,0,$P$37*O6/$P$33)</x:f>
        <x:v>37786</x:v>
      </x:c>
      <x:c r="P38" s="188" t="n">
        <x:f>SUM(D38:O38)</x:f>
        <x:v>454658</x:v>
      </x:c>
      <x:c r="Q38" s="188" t="n">
        <x:f>P38/12</x:f>
        <x:v>37888.166666666664</x:v>
      </x:c>
      <x:c r="R38" s="52" t="inlineStr">
        <x:is>
          <x:t xml:space="preserve">руб.</x:t>
        </x:is>
      </x:c>
    </x:row>
    <x:row r="39">
      <x:c r="A39" s="52" t="inlineStr">
        <x:is>
          <x:t xml:space="preserve">TAX.BANQ</x:t>
        </x:is>
      </x:c>
      <x:c r="B39" s="52" t="inlineStr">
        <x:is>
          <x:t xml:space="preserve">Банкеты</x:t>
        </x:is>
      </x:c>
      <x:c r="C39" s="52" t="inlineStr">
        <x:is>
          <x:t xml:space="preserve">Налог, распределённый по выручке</x:t>
        </x:is>
      </x:c>
      <x:c r="D39" s="188" t="n">
        <x:f>IF($P$33=0,0,$P$37*D25/$P$33)</x:f>
        <x:v>0</x:v>
      </x:c>
      <x:c r="E39" s="188" t="n">
        <x:f>IF($P$33=0,0,$P$37*E25/$P$33)</x:f>
        <x:v>0</x:v>
      </x:c>
      <x:c r="F39" s="188" t="n">
        <x:f>IF($P$33=0,0,$P$37*F25/$P$33)</x:f>
        <x:v>3600</x:v>
      </x:c>
      <x:c r="G39" s="188" t="n">
        <x:f>IF($P$33=0,0,$P$37*G25/$P$33)</x:f>
        <x:v>3600</x:v>
      </x:c>
      <x:c r="H39" s="188" t="n">
        <x:f>IF($P$33=0,0,$P$37*H25/$P$33)</x:f>
        <x:v>3600</x:v>
      </x:c>
      <x:c r="I39" s="188" t="n">
        <x:f>IF($P$33=0,0,$P$37*I25/$P$33)</x:f>
        <x:v>3600</x:v>
      </x:c>
      <x:c r="J39" s="188" t="n">
        <x:f>IF($P$33=0,0,$P$37*J25/$P$33)</x:f>
        <x:v>3600</x:v>
      </x:c>
      <x:c r="K39" s="188" t="n">
        <x:f>IF($P$33=0,0,$P$37*K25/$P$33)</x:f>
        <x:v>3600</x:v>
      </x:c>
      <x:c r="L39" s="188" t="n">
        <x:f>IF($P$33=0,0,$P$37*L25/$P$33)</x:f>
        <x:v>3600</x:v>
      </x:c>
      <x:c r="M39" s="188" t="n">
        <x:f>IF($P$33=0,0,$P$37*M25/$P$33)</x:f>
        <x:v>3600</x:v>
      </x:c>
      <x:c r="N39" s="188" t="n">
        <x:f>IF($P$33=0,0,$P$37*N25/$P$33)</x:f>
        <x:v>3600</x:v>
      </x:c>
      <x:c r="O39" s="188" t="n">
        <x:f>IF($P$33=0,0,$P$37*O25/$P$33)</x:f>
        <x:v>3600</x:v>
      </x:c>
      <x:c r="P39" s="188" t="n">
        <x:f>SUM(D39:O39)</x:f>
        <x:v>36000</x:v>
      </x:c>
      <x:c r="Q39" s="188" t="n">
        <x:f>P39/12</x:f>
        <x:v>3000</x:v>
      </x:c>
      <x:c r="R39" s="52" t="inlineStr">
        <x:is>
          <x:t xml:space="preserve">руб.</x:t>
        </x:is>
      </x:c>
    </x:row>
    <x:row r="40">
      <x:c r="A40" s="118" t="inlineStr">
        <x:is>
          <x:t xml:space="preserve">PNL.CAFE.NET</x:t>
        </x:is>
      </x:c>
      <x:c r="B40" s="118" t="inlineStr">
        <x:is>
          <x:t xml:space="preserve">Кафе</x:t>
        </x:is>
      </x:c>
      <x:c r="C40" s="118" t="inlineStr">
        <x:is>
          <x:t xml:space="preserve">ЧИСТЫЙ РЕЗУЛЬТАТ КАФЕ</x:t>
        </x:is>
      </x:c>
      <x:c r="D40" s="190" t="n">
        <x:f>D20-D38</x:f>
        <x:v>53265.66644499179</x:v>
      </x:c>
      <x:c r="E40" s="190" t="n">
        <x:f>E20-E38</x:f>
        <x:v>156464.64123070618</x:v>
      </x:c>
      <x:c r="F40" s="190" t="n">
        <x:f>F20-F38</x:f>
        <x:v>-110158.33355500821</x:v>
      </x:c>
      <x:c r="G40" s="190" t="n">
        <x:f>G20-G38</x:f>
        <x:v>-68079.05876929399</x:v>
      </x:c>
      <x:c r="H40" s="190" t="n">
        <x:f>H20-H38</x:f>
        <x:v>11762.941230706012</x:v>
      </x:c>
      <x:c r="I40" s="190" t="n">
        <x:f>I20-I38</x:f>
        <x:v>-274445.9831264363</x:v>
      </x:c>
      <x:c r="J40" s="190" t="n">
        <x:f>J20-J38</x:f>
        <x:v>-82470.3587692938</x:v>
      </x:c>
      <x:c r="K40" s="190" t="n">
        <x:f>K20-K38</x:f>
        <x:v>-126291.73355500765</x:v>
      </x:c>
      <x:c r="L40" s="190" t="n">
        <x:f>L20-L38</x:f>
        <x:v>-37415.55876929399</x:v>
      </x:c>
      <x:c r="M40" s="190" t="n">
        <x:f>M20-M38</x:f>
        <x:v>-161193.23355500767</x:v>
      </x:c>
      <x:c r="N40" s="190" t="n">
        <x:f>N20-N38</x:f>
        <x:v>-23177.558769293988</x:v>
      </x:c>
      <x:c r="O40" s="190" t="n">
        <x:f>O20-O38</x:f>
        <x:v>-69356.25876929417</x:v>
      </x:c>
      <x:c r="P40" s="190" t="n">
        <x:f>SUM(D40:O40)</x:f>
        <x:v>-731094.8287315257</x:v>
      </x:c>
      <x:c r="Q40" s="190" t="n">
        <x:f>P40/12</x:f>
        <x:v>-60924.56906096047</x:v>
      </x:c>
      <x:c r="R40" s="118" t="inlineStr">
        <x:is>
          <x:t xml:space="preserve">руб.</x:t>
        </x:is>
      </x:c>
    </x:row>
    <x:row r="41">
      <x:c r="A41" s="118" t="inlineStr">
        <x:is>
          <x:t xml:space="preserve">PNL.BANQ.NET</x:t>
        </x:is>
      </x:c>
      <x:c r="B41" s="118" t="inlineStr">
        <x:is>
          <x:t xml:space="preserve">Банкеты</x:t>
        </x:is>
      </x:c>
      <x:c r="C41" s="118" t="inlineStr">
        <x:is>
          <x:t xml:space="preserve">ЧИСТЫЙ РЕЗУЛЬТАТ БАНКЕТОВ</x:t>
        </x:is>
      </x:c>
      <x:c r="D41" s="190" t="n">
        <x:f>D29-D39</x:f>
        <x:v>0</x:v>
      </x:c>
      <x:c r="E41" s="190" t="n">
        <x:f>E29-E39</x:f>
        <x:v>0</x:v>
      </x:c>
      <x:c r="F41" s="190" t="n">
        <x:f>F29-F39</x:f>
        <x:v>176400</x:v>
      </x:c>
      <x:c r="G41" s="190" t="n">
        <x:f>G29-G39</x:f>
        <x:v>176400</x:v>
      </x:c>
      <x:c r="H41" s="190" t="n">
        <x:f>H29-H39</x:f>
        <x:v>176400</x:v>
      </x:c>
      <x:c r="I41" s="190" t="n">
        <x:f>I29-I39</x:f>
        <x:v>176400</x:v>
      </x:c>
      <x:c r="J41" s="190" t="n">
        <x:f>J29-J39</x:f>
        <x:v>176400</x:v>
      </x:c>
      <x:c r="K41" s="190" t="n">
        <x:f>K29-K39</x:f>
        <x:v>176400</x:v>
      </x:c>
      <x:c r="L41" s="190" t="n">
        <x:f>L29-L39</x:f>
        <x:v>176400</x:v>
      </x:c>
      <x:c r="M41" s="190" t="n">
        <x:f>M29-M39</x:f>
        <x:v>176400</x:v>
      </x:c>
      <x:c r="N41" s="190" t="n">
        <x:f>N29-N39</x:f>
        <x:v>176400</x:v>
      </x:c>
      <x:c r="O41" s="190" t="n">
        <x:f>O29-O39</x:f>
        <x:v>176400</x:v>
      </x:c>
      <x:c r="P41" s="190" t="n">
        <x:f>SUM(D41:O41)</x:f>
        <x:v>1764000</x:v>
      </x:c>
      <x:c r="Q41" s="190" t="n">
        <x:f>P41/12</x:f>
        <x:v>147000</x:v>
      </x:c>
      <x:c r="R41" s="118" t="inlineStr">
        <x:is>
          <x:t xml:space="preserve">руб.</x:t>
        </x:is>
      </x:c>
    </x:row>
    <x:row r="42">
      <x:c r="A42" s="118" t="inlineStr">
        <x:is>
          <x:t xml:space="preserve">PNL.PROJ.NET</x:t>
        </x:is>
      </x:c>
      <x:c r="B42" s="118" t="inlineStr">
        <x:is>
          <x:t xml:space="preserve">Проект</x:t>
        </x:is>
      </x:c>
      <x:c r="C42" s="118" t="inlineStr">
        <x:is>
          <x:t xml:space="preserve">ЧИСТАЯ ПРИБЫЛЬ ПРОЕКТА</x:t>
        </x:is>
      </x:c>
      <x:c r="D42" s="190" t="n">
        <x:f>D40+D41</x:f>
        <x:v>53265.66644499179</x:v>
      </x:c>
      <x:c r="E42" s="190" t="n">
        <x:f>E40+E41</x:f>
        <x:v>156464.64123070618</x:v>
      </x:c>
      <x:c r="F42" s="190" t="n">
        <x:f>F40+F41</x:f>
        <x:v>66241.66644499179</x:v>
      </x:c>
      <x:c r="G42" s="190" t="n">
        <x:f>G40+G41</x:f>
        <x:v>108320.94123070601</x:v>
      </x:c>
      <x:c r="H42" s="190" t="n">
        <x:f>H40+H41</x:f>
        <x:v>188162.941230706</x:v>
      </x:c>
      <x:c r="I42" s="190" t="n">
        <x:f>I40+I41</x:f>
        <x:v>-98045.9831264363</x:v>
      </x:c>
      <x:c r="J42" s="190" t="n">
        <x:f>J40+J41</x:f>
        <x:v>93929.6412307062</x:v>
      </x:c>
      <x:c r="K42" s="190" t="n">
        <x:f>K40+K41</x:f>
        <x:v>50108.26644499235</x:v>
      </x:c>
      <x:c r="L42" s="190" t="n">
        <x:f>L40+L41</x:f>
        <x:v>138984.441230706</x:v>
      </x:c>
      <x:c r="M42" s="190" t="n">
        <x:f>M40+M41</x:f>
        <x:v>15206.766444992332</x:v>
      </x:c>
      <x:c r="N42" s="190" t="n">
        <x:f>N40+N41</x:f>
        <x:v>153222.441230706</x:v>
      </x:c>
      <x:c r="O42" s="190" t="n">
        <x:f>O40+O41</x:f>
        <x:v>107043.74123070583</x:v>
      </x:c>
      <x:c r="P42" s="190" t="n">
        <x:f>SUM(D42:O42)</x:f>
        <x:v>1032905.171268474</x:v>
      </x:c>
      <x:c r="Q42" s="190" t="n">
        <x:f>P42/12</x:f>
        <x:v>86075.43093903949</x:v>
      </x:c>
      <x:c r="R42" s="118" t="inlineStr">
        <x:is>
          <x:t xml:space="preserve">руб.</x:t>
        </x:is>
      </x:c>
    </x:row>
    <x:row r="43">
      <x:c r="A43" t="str">
        <x:v>МЕМО-КОНТУР КОФЕ&amp;ЧАЙ — УЧТЁН В ИТОГАХ КАФЕ</x:v>
      </x:c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>
      <x:c r="A44" t="str">
        <x:v>PNL.COFFEE_TEA.REV</x:v>
      </x:c>
      <x:c r="B44" t="str">
        <x:v>Кафе — КОФЕ&amp;ЧАЙ</x:v>
      </x:c>
      <x:c r="C44" t="str">
        <x:v>Доходы напитков бариста</x:v>
      </x:c>
      <x:c r="D44" t="n">
        <x:f>'03_ДОХОДЫ'!D46</x:f>
        <x:v>469800</x:v>
      </x:c>
      <x:c r="E44" t="n">
        <x:f>'03_ДОХОДЫ'!E46</x:f>
        <x:v>488100</x:v>
      </x:c>
      <x:c r="F44" t="n">
        <x:f>'03_ДОХОДЫ'!F46</x:f>
        <x:v>432600</x:v>
      </x:c>
      <x:c r="G44" t="n">
        <x:f>'03_ДОХОДЫ'!G46</x:f>
        <x:v>445200</x:v>
      </x:c>
      <x:c r="H44" t="n">
        <x:f>'03_ДОХОДЫ'!H46</x:f>
        <x:v>436800</x:v>
      </x:c>
      <x:c r="I44" t="n">
        <x:f>'03_ДОХОДЫ'!I46</x:f>
        <x:v>402300</x:v>
      </x:c>
      <x:c r="J44" t="n">
        <x:f>'03_ДОХОДЫ'!J46</x:f>
        <x:v>442500</x:v>
      </x:c>
      <x:c r="K44" t="n">
        <x:f>'03_ДОХОДЫ'!K46</x:f>
        <x:v>436200</x:v>
      </x:c>
      <x:c r="L44" t="n">
        <x:f>'03_ДОХОДЫ'!L46</x:f>
        <x:v>446700</x:v>
      </x:c>
      <x:c r="M44" t="n">
        <x:f>'03_ДОХОДЫ'!M46</x:f>
        <x:v>428700</x:v>
      </x:c>
      <x:c r="N44" t="n">
        <x:f>'03_ДОХОДЫ'!N46</x:f>
        <x:v>452700</x:v>
      </x:c>
      <x:c r="O44" t="n">
        <x:f>'03_ДОХОДЫ'!O46</x:f>
        <x:v>444000</x:v>
      </x:c>
      <x:c r="P44" t="n">
        <x:f>SUM(D44:O44)</x:f>
        <x:v>5325600</x:v>
      </x:c>
      <x:c r="Q44" t="n">
        <x:f>P44/12</x:f>
        <x:v>443800</x:v>
      </x:c>
      <x:c r="R44" t="str">
        <x:v>руб.</x:v>
      </x:c>
    </x:row>
    <x:row r="45">
      <x:c r="A45" t="str">
        <x:v>PNL.COFFEE_TEA.COGS</x:v>
      </x:c>
      <x:c r="B45" t="str">
        <x:v>Кафе — КОФЕ&amp;ЧАЙ</x:v>
      </x:c>
      <x:c r="C45" t="str">
        <x:v>Прямая себестоимость напитков</x:v>
      </x:c>
      <x:c r="D45" t="n">
        <x:f>'04_СЕБЕСТОИМОСТЬ'!D45</x:f>
        <x:v>93960</x:v>
      </x:c>
      <x:c r="E45" t="n">
        <x:f>'04_СЕБЕСТОИМОСТЬ'!E45</x:f>
        <x:v>97620</x:v>
      </x:c>
      <x:c r="F45" t="n">
        <x:f>'04_СЕБЕСТОИМОСТЬ'!F45</x:f>
        <x:v>86520</x:v>
      </x:c>
      <x:c r="G45" t="n">
        <x:f>'04_СЕБЕСТОИМОСТЬ'!G45</x:f>
        <x:v>89040</x:v>
      </x:c>
      <x:c r="H45" t="n">
        <x:f>'04_СЕБЕСТОИМОСТЬ'!H45</x:f>
        <x:v>87360</x:v>
      </x:c>
      <x:c r="I45" t="n">
        <x:f>'04_СЕБЕСТОИМОСТЬ'!I45</x:f>
        <x:v>80460</x:v>
      </x:c>
      <x:c r="J45" t="n">
        <x:f>'04_СЕБЕСТОИМОСТЬ'!J45</x:f>
        <x:v>88500</x:v>
      </x:c>
      <x:c r="K45" t="n">
        <x:f>'04_СЕБЕСТОИМОСТЬ'!K45</x:f>
        <x:v>87240</x:v>
      </x:c>
      <x:c r="L45" t="n">
        <x:f>'04_СЕБЕСТОИМОСТЬ'!L45</x:f>
        <x:v>89340</x:v>
      </x:c>
      <x:c r="M45" t="n">
        <x:f>'04_СЕБЕСТОИМОСТЬ'!M45</x:f>
        <x:v>85740</x:v>
      </x:c>
      <x:c r="N45" t="n">
        <x:f>'04_СЕБЕСТОИМОСТЬ'!N45</x:f>
        <x:v>90540</x:v>
      </x:c>
      <x:c r="O45" t="n">
        <x:f>'04_СЕБЕСТОИМОСТЬ'!O45</x:f>
        <x:v>88800</x:v>
      </x:c>
      <x:c r="P45" t="n">
        <x:f>SUM(D45:O45)</x:f>
        <x:v>1065120</x:v>
      </x:c>
      <x:c r="Q45" t="n">
        <x:f>P45/12</x:f>
        <x:v>88760</x:v>
      </x:c>
      <x:c r="R45" t="str">
        <x:v>руб.</x:v>
      </x:c>
    </x:row>
    <x:row r="46">
      <x:c r="A46" t="str">
        <x:v>PNL.COFFEE_TEA.CONTRIB</x:v>
      </x:c>
      <x:c r="B46" t="str">
        <x:v>Кафе — КОФЕ&amp;ЧАЙ</x:v>
      </x:c>
      <x:c r="C46" t="str">
        <x:v>Маржинальный результат до эквайринга и ФОТ</x:v>
      </x:c>
      <x:c r="D46" t="n">
        <x:f>D44-D45</x:f>
        <x:v>375840</x:v>
      </x:c>
      <x:c r="E46" t="n">
        <x:f>E44-E45</x:f>
        <x:v>390480</x:v>
      </x:c>
      <x:c r="F46" t="n">
        <x:f>F44-F45</x:f>
        <x:v>346080</x:v>
      </x:c>
      <x:c r="G46" t="n">
        <x:f>G44-G45</x:f>
        <x:v>356160</x:v>
      </x:c>
      <x:c r="H46" t="n">
        <x:f>H44-H45</x:f>
        <x:v>349440</x:v>
      </x:c>
      <x:c r="I46" t="n">
        <x:f>I44-I45</x:f>
        <x:v>321840</x:v>
      </x:c>
      <x:c r="J46" t="n">
        <x:f>J44-J45</x:f>
        <x:v>354000</x:v>
      </x:c>
      <x:c r="K46" t="n">
        <x:f>K44-K45</x:f>
        <x:v>348960</x:v>
      </x:c>
      <x:c r="L46" t="n">
        <x:f>L44-L45</x:f>
        <x:v>357360</x:v>
      </x:c>
      <x:c r="M46" t="n">
        <x:f>M44-M45</x:f>
        <x:v>342960</x:v>
      </x:c>
      <x:c r="N46" t="n">
        <x:f>N44-N45</x:f>
        <x:v>362160</x:v>
      </x:c>
      <x:c r="O46" t="n">
        <x:f>O44-O45</x:f>
        <x:v>355200</x:v>
      </x:c>
      <x:c r="P46" t="n">
        <x:f>SUM(D46:O46)</x:f>
        <x:v>4260480</x:v>
      </x:c>
      <x:c r="Q46" t="n">
        <x:f>P46/12</x:f>
        <x:v>355040</x:v>
      </x:c>
      <x:c r="R46" t="str">
        <x:v>руб.</x:v>
      </x:c>
    </x:row>
  </x:sheetData>
  <x:mergeCells>
    <x:mergeCell ref="A24:R24"/>
    <x:mergeCell ref="A2:R2"/>
    <x:mergeCell ref="A32:R32"/>
    <x:mergeCell ref="A1:R1"/>
    <x:mergeCell ref="A5:R5"/>
  </x:mergeCells>
  <x:conditionalFormatting sqref="D20:Q20">
    <x:cfRule type="expression" dxfId="2" priority="1">
      <x:formula>D20&lt;0</x:formula>
    </x:cfRule>
  </x:conditionalFormatting>
  <x:conditionalFormatting sqref="D29:Q29">
    <x:cfRule type="expression" dxfId="2" priority="2">
      <x:formula>D29&lt;0</x:formula>
    </x:cfRule>
  </x:conditionalFormatting>
  <x:conditionalFormatting sqref="D40:Q42">
    <x:cfRule type="expression" dxfId="2" priority="3">
      <x:formula>D40&lt;0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42" style="174" customWidth="1"/>
    <x:col min="3" max="3" width="16" style="174" customWidth="1"/>
    <x:col min="4" max="4" width="16" style="174" customWidth="1"/>
    <x:col min="5" max="5" width="16" style="174" customWidth="1"/>
    <x:col min="6" max="6" width="14" style="174" customWidth="1"/>
    <x:col min="7" max="7" width="42" style="174" customWidth="1"/>
  </x:cols>
  <x:sheetData>
    <x:row r="1" s="174" customFormat="1" ht="28" customHeight="1">
      <x:c r="A1" s="134" t="inlineStr">
        <x:is>
          <x:t xml:space="preserve">Контроль качества модели</x:t>
        </x:is>
      </x:c>
      <x:c r="B1" s="1" t="n"/>
      <x:c r="C1" s="1" t="n"/>
      <x:c r="D1" s="1" t="n"/>
      <x:c r="E1" s="1" t="n"/>
      <x:c r="F1" s="1" t="n"/>
      <x:c r="G1" s="1" t="n"/>
    </x:row>
    <x:row r="2">
      <x:c r="A2" s="13" t="inlineStr">
        <x:is>
          <x:t xml:space="preserve">Статус OK означает, что ключевые связи и ограничения модели соблюдены.</x:t>
        </x:is>
      </x:c>
      <x:c r="B2" s="1" t="n"/>
      <x:c r="C2" s="1" t="n"/>
      <x:c r="D2" s="1" t="n"/>
      <x:c r="E2" s="1" t="n"/>
      <x:c r="F2" s="1" t="n"/>
      <x:c r="G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</x:row>
    <x:row r="4">
      <x:c r="A4" s="18" t="inlineStr">
        <x:is>
          <x:t xml:space="preserve">Код</x:t>
        </x:is>
      </x:c>
      <x:c r="B4" s="18" t="inlineStr">
        <x:is>
          <x:t xml:space="preserve">Проверка</x:t>
        </x:is>
      </x:c>
      <x:c r="C4" s="18" t="inlineStr">
        <x:is>
          <x:t xml:space="preserve">Ожидается</x:t>
        </x:is>
      </x:c>
      <x:c r="D4" s="18" t="inlineStr">
        <x:is>
          <x:t xml:space="preserve">Факт</x:t>
        </x:is>
      </x:c>
      <x:c r="E4" s="18" t="inlineStr">
        <x:is>
          <x:t xml:space="preserve">Отклонение</x:t>
        </x:is>
      </x:c>
      <x:c r="F4" s="18" t="inlineStr">
        <x:is>
          <x:t xml:space="preserve">Статус</x:t>
        </x:is>
      </x:c>
      <x:c r="G4" s="18" t="inlineStr">
        <x:is>
          <x:t xml:space="preserve">Комментарий</x:t>
        </x:is>
      </x:c>
    </x:row>
    <x:row r="5">
      <x:c r="A5" s="52" t="inlineStr">
        <x:is>
          <x:t xml:space="preserve">CHK.DAYS</x:t>
        </x:is>
      </x:c>
      <x:c r="B5" s="52" t="inlineStr">
        <x:is>
          <x:t xml:space="preserve">Количество календарных дней</x:t>
        </x:is>
      </x:c>
      <x:c r="C5" s="201" t="n">
        <x:v>365</x:v>
      </x:c>
      <x:c r="D5" s="188" t="n">
        <x:f>COUNTA('02_КАЛЕНДАРЬ'!$A$5:$A$369)</x:f>
        <x:v>365</x:v>
      </x:c>
      <x:c r="E5" s="188" t="n">
        <x:f>D5-C5</x:f>
        <x:v>0</x:v>
      </x:c>
      <x:c r="F5" s="147" t="str">
        <x:f>IF(E5=0,"OK","ОШИБКА")</x:f>
        <x:v>OK</x:v>
      </x:c>
      <x:c r="G5" s="52" t="inlineStr">
        <x:is>
          <x:t xml:space="preserve">Период 01.09.2026–31.08.2027</x:t>
        </x:is>
      </x:c>
    </x:row>
    <x:row r="6">
      <x:c r="A6" s="52" t="inlineStr">
        <x:is>
          <x:t xml:space="preserve">CHK.MONTHS</x:t>
        </x:is>
      </x:c>
      <x:c r="B6" s="52" t="inlineStr">
        <x:is>
          <x:t xml:space="preserve">Количество месяцев</x:t>
        </x:is>
      </x:c>
      <x:c r="C6" s="201" t="n">
        <x:v>12</x:v>
      </x:c>
      <x:c r="D6" s="188" t="n">
        <x:f>COUNTA('03_ДОХОДЫ'!$D$4:$O$4)</x:f>
        <x:v>12</x:v>
      </x:c>
      <x:c r="E6" s="188" t="n">
        <x:f>D6-C6</x:f>
        <x:v>0</x:v>
      </x:c>
      <x:c r="F6" s="147" t="str">
        <x:f>IF(E6=0,"OK","ОШИБКА")</x:f>
        <x:v>OK</x:v>
      </x:c>
      <x:c r="G6" s="52" t="str"/>
    </x:row>
    <x:row r="7">
      <x:c r="A7" s="52" t="inlineStr">
        <x:is>
          <x:t xml:space="preserve">CHK.BANQ</x:t>
        </x:is>
      </x:c>
      <x:c r="B7" s="52" t="inlineStr">
        <x:is>
          <x:t xml:space="preserve">Количество банкетов</x:t>
        </x:is>
      </x:c>
      <x:c r="C7" s="201" t="n">
        <x:v>60</x:v>
      </x:c>
      <x:c r="D7" s="188" t="n">
        <x:f>SUM('02_КАЛЕНДАРЬ'!$H$5:$H$369)</x:f>
        <x:v>60</x:v>
      </x:c>
      <x:c r="E7" s="188" t="n">
        <x:f>D7-C7</x:f>
        <x:v>0</x:v>
      </x:c>
      <x:c r="F7" s="147" t="str">
        <x:f>IF(E7=0,"OK","ОШИБКА")</x:f>
        <x:v>OK</x:v>
      </x:c>
      <x:c r="G7" s="52" t="str"/>
    </x:row>
    <x:row r="8">
      <x:c r="A8" s="52" t="inlineStr">
        <x:is>
          <x:t xml:space="preserve">CHK.BANQ.SEP.OCT</x:t>
        </x:is>
      </x:c>
      <x:c r="B8" s="52" t="inlineStr">
        <x:is>
          <x:t xml:space="preserve">Банкеты в сентябре–октябре</x:t>
        </x:is>
      </x:c>
      <x:c r="C8" s="201" t="n">
        <x:v>0</x:v>
      </x:c>
      <x:c r="D8" s="188" t="n">
        <x:f>SUMIFS('02_КАЛЕНДАРЬ'!$H$5:$H$369,'02_КАЛЕНДАРЬ'!$B$5:$B$369,"&lt;=2")</x:f>
        <x:v>0</x:v>
      </x:c>
      <x:c r="E8" s="188" t="n">
        <x:f>D8-C8</x:f>
        <x:v>0</x:v>
      </x:c>
      <x:c r="F8" s="147" t="str">
        <x:f>IF(E8=0,"OK","ОШИБКА")</x:f>
        <x:v>OK</x:v>
      </x:c>
      <x:c r="G8" s="52" t="str"/>
    </x:row>
    <x:row r="9">
      <x:c r="A9" s="52" t="inlineStr">
        <x:is>
          <x:t xml:space="preserve">CHK.BANQ.FSS</x:t>
        </x:is>
      </x:c>
      <x:c r="B9" s="52" t="inlineStr">
        <x:is>
          <x:t xml:space="preserve">Банкеты пятница–воскресенье</x:t>
        </x:is>
      </x:c>
      <x:c r="C9" s="201" t="n">
        <x:v>42</x:v>
      </x:c>
      <x:c r="D9" s="188" t="n">
        <x:f>COUNTIFS('02_КАЛЕНДАРЬ'!$H$5:$H$369,1,'02_КАЛЕНДАРЬ'!$I$5:$I$369,"Пт–Вс")</x:f>
        <x:v>42</x:v>
      </x:c>
      <x:c r="E9" s="188" t="n">
        <x:f>D9-C9</x:f>
        <x:v>0</x:v>
      </x:c>
      <x:c r="F9" s="147" t="str">
        <x:f>IF(E9=0,"OK","ОШИБКА")</x:f>
        <x:v>OK</x:v>
      </x:c>
      <x:c r="G9" s="52" t="inlineStr">
        <x:is>
          <x:t xml:space="preserve">70%</x:t>
        </x:is>
      </x:c>
    </x:row>
    <x:row r="10">
      <x:c r="A10" s="52" t="inlineStr">
        <x:is>
          <x:t xml:space="preserve">CHK.BANQ.WD</x:t>
        </x:is>
      </x:c>
      <x:c r="B10" s="52" t="inlineStr">
        <x:is>
          <x:t xml:space="preserve">Банкеты понедельник–четверг</x:t>
        </x:is>
      </x:c>
      <x:c r="C10" s="201" t="n">
        <x:v>18</x:v>
      </x:c>
      <x:c r="D10" s="188" t="n">
        <x:f>COUNTIFS('02_КАЛЕНДАРЬ'!$H$5:$H$369,1,'02_КАЛЕНДАРЬ'!$I$5:$I$369,"Пн–Чт")</x:f>
        <x:v>18</x:v>
      </x:c>
      <x:c r="E10" s="188" t="n">
        <x:f>D10-C10</x:f>
        <x:v>0</x:v>
      </x:c>
      <x:c r="F10" s="147" t="str">
        <x:f>IF(E10=0,"OK","ОШИБКА")</x:f>
        <x:v>OK</x:v>
      </x:c>
      <x:c r="G10" s="52" t="inlineStr">
        <x:is>
          <x:t xml:space="preserve">30%</x:t>
        </x:is>
      </x:c>
    </x:row>
    <x:row r="11">
      <x:c r="A11" s="52" t="str">
        <x:v>CHK.HOTEL.BREAKFAST</x:v>
      </x:c>
      <x:c r="B11" s="52" t="str">
        <x:v>Гостиничные завтраки за год</x:v>
      </x:c>
      <x:c r="C11" s="201" t="n">
        <x:v>7300</x:v>
      </x:c>
      <x:c r="D11" s="188" t="n">
        <x:f>'03_ДОХОДЫ'!P22</x:f>
        <x:v>7300</x:v>
      </x:c>
      <x:c r="E11" s="188" t="n">
        <x:f>D11-C11</x:f>
        <x:v>0</x:v>
      </x:c>
      <x:c r="F11" s="147" t="str">
        <x:f>IF(E11=0,"OK","ОШИБКА")</x:f>
        <x:v>OK</x:v>
      </x:c>
      <x:c r="G11" s="52" t="str">
        <x:v>20 завтраков × 365 дней</x:v>
      </x:c>
    </x:row>
    <x:row r="12">
      <x:c r="A12" s="52" t="inlineStr">
        <x:is>
          <x:t xml:space="preserve">CHK.BANQ.ACTIVE</x:t>
        </x:is>
      </x:c>
      <x:c r="B12" s="52" t="inlineStr">
        <x:is>
          <x:t xml:space="preserve">Продажи кафе в банкетные дни</x:t>
        </x:is>
      </x:c>
      <x:c r="C12" s="201" t="inlineStr">
        <x:is>
          <x:t xml:space="preserve">Больше 0</x:t>
        </x:is>
      </x:c>
      <x:c r="D12" s="188" t="n">
        <x:f>SUM('02_КАЛЕНДАРЬ'!$T$5:$T$369)</x:f>
        <x:v>4015.200000000001</x:v>
      </x:c>
      <x:c r="E12" s="188" t="n">
        <x:f>IF(D12&gt;0,0,1)</x:f>
        <x:v>0</x:v>
      </x:c>
      <x:c r="F12" s="147" t="str">
        <x:f>IF(D12&gt;0,"OK","ОШИБКА")</x:f>
        <x:v>OK</x:v>
      </x:c>
      <x:c r="G12" s="52" t="inlineStr">
        <x:is>
          <x:t xml:space="preserve">Без завтраков/ужинов</x:t>
        </x:is>
      </x:c>
    </x:row>
    <x:row r="13">
      <x:c r="A13" s="52" t="inlineStr">
        <x:is>
          <x:t xml:space="preserve">CHK.REV.LINK</x:t>
        </x:is>
      </x:c>
      <x:c r="B13" s="52" t="inlineStr">
        <x:is>
          <x:t xml:space="preserve">Связь доходов проекта</x:t>
        </x:is>
      </x:c>
      <x:c r="C13" s="201" t="n">
        <x:v>0</x:v>
      </x:c>
      <x:c r="D13" s="188" t="n">
        <x:f>'03_ДОХОДЫ'!P38-'07_PNL_НАЛОГИ'!P33</x:f>
        <x:v>0</x:v>
      </x:c>
      <x:c r="E13" s="188" t="n">
        <x:f>D13-C13</x:f>
        <x:v>0</x:v>
      </x:c>
      <x:c r="F13" s="147" t="str">
        <x:f>IF(ABS(E13)&lt;0.01,"OK","ОШИБКА")</x:f>
        <x:v>OK</x:v>
      </x:c>
      <x:c r="G13" s="52" t="str"/>
    </x:row>
    <x:row r="14">
      <x:c r="A14" s="52" t="inlineStr">
        <x:is>
          <x:t xml:space="preserve">CHK.CONTRIB.LINK</x:t>
        </x:is>
      </x:c>
      <x:c r="B14" s="52" t="inlineStr">
        <x:is>
          <x:t xml:space="preserve">Связь маржинального дохода кафе</x:t>
        </x:is>
      </x:c>
      <x:c r="C14" s="201" t="n">
        <x:v>0</x:v>
      </x:c>
      <x:c r="D14" s="188" t="n">
        <x:f>'04_СЕБЕСТОИМОСТЬ'!P30-'07_PNL_НАЛОГИ'!P10</x:f>
        <x:v>0</x:v>
      </x:c>
      <x:c r="E14" s="188" t="n">
        <x:f>D14-C14</x:f>
        <x:v>0</x:v>
      </x:c>
      <x:c r="F14" s="147" t="str">
        <x:f>IF(ABS(E14)&lt;0.01,"OK","ОШИБКА")</x:f>
        <x:v>OK</x:v>
      </x:c>
      <x:c r="G14" s="52" t="str"/>
    </x:row>
    <x:row r="15">
      <x:c r="A15" s="52" t="inlineStr">
        <x:is>
          <x:t xml:space="preserve">CHK.PAY.LINK</x:t>
        </x:is>
      </x:c>
      <x:c r="B15" s="52" t="inlineStr">
        <x:is>
          <x:t xml:space="preserve">Связь расходов на персонал</x:t>
        </x:is>
      </x:c>
      <x:c r="C15" s="201" t="n">
        <x:v>0</x:v>
      </x:c>
      <x:c r="D15" s="188" t="n">
        <x:f>'05_ФОТ'!P34-'07_PNL_НАЛОГИ'!P11</x:f>
        <x:v>0</x:v>
      </x:c>
      <x:c r="E15" s="188" t="n">
        <x:f>D15-C15</x:f>
        <x:v>0</x:v>
      </x:c>
      <x:c r="F15" s="147" t="str">
        <x:f>IF(ABS(E15)&lt;0.01,"OK","ОШИБКА")</x:f>
        <x:v>OK</x:v>
      </x:c>
      <x:c r="G15" s="52" t="str"/>
    </x:row>
    <x:row r="16">
      <x:c r="A16" s="52" t="inlineStr">
        <x:is>
          <x:t xml:space="preserve">CHK.OPEX.LINK</x:t>
        </x:is>
      </x:c>
      <x:c r="B16" s="52" t="inlineStr">
        <x:is>
          <x:t xml:space="preserve">Связь OPEX</x:t>
        </x:is>
      </x:c>
      <x:c r="C16" s="201" t="n">
        <x:v>0</x:v>
      </x:c>
      <x:c r="D16" s="188" t="n">
        <x:f>'06_OPEX_USALI'!P52-SUM('07_PNL_НАЛОГИ'!P12,'07_PNL_НАЛОГИ'!P14:P17,'07_PNL_НАЛОГИ'!P19)</x:f>
        <x:v>-1.862645149230957e-9</x:v>
      </x:c>
      <x:c r="E16" s="188" t="n">
        <x:f>D16-C16</x:f>
        <x:v>-1.862645149230957e-9</x:v>
      </x:c>
      <x:c r="F16" s="147" t="str">
        <x:f>IF(ABS(E16)&lt;0.01,"OK","ОШИБКА")</x:f>
        <x:v>OK</x:v>
      </x:c>
      <x:c r="G16" s="52" t="str"/>
    </x:row>
    <x:row r="17">
      <x:c r="A17" s="52" t="inlineStr">
        <x:is>
          <x:t xml:space="preserve">CHK.TAX.ALLOC</x:t>
        </x:is>
      </x:c>
      <x:c r="B17" s="52" t="inlineStr">
        <x:is>
          <x:t xml:space="preserve">Распределение налога</x:t>
        </x:is>
      </x:c>
      <x:c r="C17" s="201" t="n">
        <x:v>0</x:v>
      </x:c>
      <x:c r="D17" s="188" t="n">
        <x:f>'07_PNL_НАЛОГИ'!P38+'07_PNL_НАЛОГИ'!P39-'07_PNL_НАЛОГИ'!P37</x:f>
        <x:v>0</x:v>
      </x:c>
      <x:c r="E17" s="188" t="n">
        <x:f>D17-C17</x:f>
        <x:v>0</x:v>
      </x:c>
      <x:c r="F17" s="147" t="str">
        <x:f>IF(ABS(E17)&lt;0.01,"OK","ОШИБКА")</x:f>
        <x:v>OK</x:v>
      </x:c>
      <x:c r="G17" s="52" t="str"/>
    </x:row>
    <x:row r="18">
      <x:c r="A18" s="52" t="inlineStr">
        <x:is>
          <x:t xml:space="preserve">CHK.NET</x:t>
        </x:is>
      </x:c>
      <x:c r="B18" s="52" t="inlineStr">
        <x:is>
          <x:t xml:space="preserve">Консолидация чистой прибыли</x:t>
        </x:is>
      </x:c>
      <x:c r="C18" s="201" t="n">
        <x:v>0</x:v>
      </x:c>
      <x:c r="D18" s="188" t="n">
        <x:f>'07_PNL_НАЛОГИ'!P40+'07_PNL_НАЛОГИ'!P41-'07_PNL_НАЛОГИ'!P42</x:f>
        <x:v>3.4924596548080444e-10</x:v>
      </x:c>
      <x:c r="E18" s="188" t="n">
        <x:f>D18-C18</x:f>
        <x:v>3.4924596548080444e-10</x:v>
      </x:c>
      <x:c r="F18" s="147" t="str">
        <x:f>IF(ABS(E18)&lt;0.01,"OK","ОШИБКА")</x:f>
        <x:v>OK</x:v>
      </x:c>
      <x:c r="G18" s="52" t="str"/>
    </x:row>
    <x:row r="19">
      <x:c r="A19" s="52" t="inlineStr">
        <x:is>
          <x:t xml:space="preserve">CHK.S03.ALA</x:t>
        </x:is>
      </x:c>
      <x:c r="B19" s="52" t="inlineStr">
        <x:is>
          <x:t xml:space="preserve">А-ля карт в банкетный день = 20%</x:t>
        </x:is>
      </x:c>
      <x:c r="C19" s="52" t="n">
        <x:v>0</x:v>
      </x:c>
      <x:c r="D19" s="52" t="n">
        <x:f>ABS(SUMPRODUCT('02_КАЛЕНДАРЬ'!$H$5:$H$369,'02_КАЛЕНДАРЬ'!$M$5:$M$369)-SUMPRODUCT('02_КАЛЕНДАРЬ'!$H$5:$H$369,'02_КАЛЕНДАРЬ'!$L$5:$L$369)*'01_ВВОД'!$D$118)</x:f>
        <x:v>2.2737367544323206e-13</x:v>
      </x:c>
      <x:c r="E19" s="52" t="n">
        <x:f>D19</x:f>
        <x:v>2.2737367544323206e-13</x:v>
      </x:c>
      <x:c r="F19" s="52" t="str">
        <x:f>IF(ABS(E19)&lt;0.01,"OK","ОШИБКА")</x:f>
        <x:v>OK</x:v>
      </x:c>
      <x:c r="G19" s="52" t="inlineStr">
        <x:is>
          <x:t xml:space="preserve">Проверка 60 банкетных дат</x:t>
        </x:is>
      </x:c>
    </x:row>
    <x:row r="20">
      <x:c r="A20" s="157" t="inlineStr">
        <x:is>
          <x:t xml:space="preserve">CHK.S03.LUNCH</x:t>
        </x:is>
      </x:c>
      <x:c r="B20" s="1" t="n"/>
      <x:c r="C20" s="1" t="n"/>
      <x:c r="D20" s="1" t="n"/>
      <x:c r="E20" s="1" t="n"/>
      <x:c r="F20" s="1" t="n"/>
      <x:c r="G20" s="1" t="n"/>
    </x:row>
    <x:row r="21">
      <x:c r="A21" t="inlineStr">
        <x:is>
          <x:t xml:space="preserve">CHK.S03.DEL</x:t>
        </x:is>
      </x:c>
      <x:c r="B21" t="inlineStr">
        <x:is>
          <x:t xml:space="preserve">Доставка не обнуляется в банкетный день</x:t>
        </x:is>
      </x:c>
      <x:c r="C21" t="n">
        <x:v>0</x:v>
      </x:c>
      <x:c r="D21" t="n">
        <x:f>SUMPRODUCT('02_КАЛЕНДАРЬ'!$H$5:$H$369,--('02_КАЛЕНДАРЬ'!$P$5:$P$369=0))</x:f>
        <x:v>0</x:v>
      </x:c>
      <x:c r="E21" t="n">
        <x:f>D21</x:f>
        <x:v>0</x:v>
      </x:c>
      <x:c r="F21" t="str">
        <x:f>IF(ABS(E21)&lt;0.01,"OK","ОШИБКА")</x:f>
        <x:v>OK</x:v>
      </x:c>
      <x:c r="G21" t="inlineStr">
        <x:is>
          <x:t xml:space="preserve">100% нормы</x:t>
        </x:is>
      </x:c>
    </x:row>
    <x:row r="22">
      <x:c r="A22" t="inlineStr">
        <x:is>
          <x:t xml:space="preserve">CHK.S03.PICK</x:t>
        </x:is>
      </x:c>
      <x:c r="B22" t="inlineStr">
        <x:is>
          <x:t xml:space="preserve">Самовывоз не обнуляется в банкетный день</x:t>
        </x:is>
      </x:c>
      <x:c r="C22" t="n">
        <x:v>0</x:v>
      </x:c>
      <x:c r="D22" t="n">
        <x:f>SUMPRODUCT('02_КАЛЕНДАРЬ'!$H$5:$H$369,--('02_КАЛЕНДАРЬ'!$Q$5:$Q$369=0))</x:f>
        <x:v>0</x:v>
      </x:c>
      <x:c r="E22" t="n">
        <x:f>D22</x:f>
        <x:v>0</x:v>
      </x:c>
      <x:c r="F22" t="str">
        <x:f>IF(ABS(E22)&lt;0.01,"OK","ОШИБКА")</x:f>
        <x:v>OK</x:v>
      </x:c>
      <x:c r="G22" t="inlineStr">
        <x:is>
          <x:t xml:space="preserve">100% нормы</x:t>
        </x:is>
      </x:c>
    </x:row>
    <x:row r="23">
      <x:c r="A23" t="str">
        <x:v>CHK.HOTEL.DINNER</x:v>
      </x:c>
      <x:c r="B23" t="str">
        <x:v>Гостиничные ужины за год</x:v>
      </x:c>
      <x:c r="C23" t="n">
        <x:v>3650</x:v>
      </x:c>
      <x:c r="D23" t="n">
        <x:f>'03_ДОХОДЫ'!P39</x:f>
        <x:v>3650</x:v>
      </x:c>
      <x:c r="E23" t="n">
        <x:f>D23-C23</x:f>
        <x:v>0</x:v>
      </x:c>
      <x:c r="F23" t="str">
        <x:f>IF(E23=0,"OK","ОШИБКА")</x:f>
        <x:v>OK</x:v>
      </x:c>
      <x:c r="G23" t="str">
        <x:v>10 ужинов × 365 дней</x:v>
      </x:c>
    </x:row>
    <x:row r="24">
      <x:c r="A24" t="inlineStr">
        <x:is>
          <x:t xml:space="preserve">CHK.S03.DINNER.REV</x:t>
        </x:is>
      </x:c>
      <x:c r="B24" t="inlineStr">
        <x:is>
          <x:t xml:space="preserve">Доходы ужинов связаны с календарём</x:t>
        </x:is>
      </x:c>
      <x:c r="C24" t="n">
        <x:v>0</x:v>
      </x:c>
      <x:c r="D24" t="n">
        <x:f>ABS('03_ДОХОДЫ'!P41-SUM('02_КАЛЕНДАРЬ'!$U$5:$U$369)*'01_ВВОД'!$D$121)</x:f>
        <x:v>0</x:v>
      </x:c>
      <x:c r="E24" t="n">
        <x:f>D24</x:f>
        <x:v>0</x:v>
      </x:c>
      <x:c r="F24" t="str">
        <x:f>IF(ABS(E24)&lt;0.01,"OK","ОШИБКА")</x:f>
        <x:v>OK</x:v>
      </x:c>
      <x:c r="G24" t="inlineStr">
        <x:is>
          <x:t xml:space="preserve">Годовая сверка</x:t>
        </x:is>
      </x:c>
    </x:row>
    <x:row r="25">
      <x:c r="A25" t="inlineStr">
        <x:is>
          <x:t xml:space="preserve">CHK.S03.BASE</x:t>
        </x:is>
      </x:c>
      <x:c r="B25" t="inlineStr">
        <x:is>
          <x:t xml:space="preserve">Базовый файл не перезаписан</x:t>
        </x:is>
      </x:c>
      <x:c r="C25" t="inlineStr">
        <x:is>
          <x:t xml:space="preserve">Отдельный сценарий</x:t>
        </x:is>
      </x:c>
      <x:c r="D25" t="inlineStr">
        <x:is>
          <x:t xml:space="preserve">S03</x:t>
        </x:is>
      </x:c>
      <x:c r="E25" t="n">
        <x:v>0</x:v>
      </x:c>
      <x:c r="F25" t="inlineStr">
        <x:is>
          <x:t xml:space="preserve">OK</x:t>
        </x:is>
      </x:c>
      <x:c r="G25" t="inlineStr">
        <x:is>
          <x:t xml:space="preserve">Отдельное имя файла сценария S03</x:t>
        </x:is>
      </x:c>
    </x:row>
    <x:row r="26">
      <x:c r="A26" t="inlineStr">
        <x:is>
          <x:t xml:space="preserve">CHK.S03.DINNER.COGS</x:t>
        </x:is>
      </x:c>
      <x:c r="B26" t="inlineStr">
        <x:is>
          <x:t xml:space="preserve">Food cost ужина связан с food cost a-la carte</x:t>
        </x:is>
      </x:c>
      <x:c r="C26" t="n">
        <x:v>0</x:v>
      </x:c>
      <x:c r="D26" t="n">
        <x:f>ABS('01_ВВОД'!$D$122-'01_ВВОД'!$D$24)</x:f>
        <x:v>0</x:v>
      </x:c>
      <x:c r="E26" t="n">
        <x:f>D26-C26</x:f>
        <x:v>0</x:v>
      </x:c>
      <x:c r="F26" t="str">
        <x:f>IF(ABS(E26)&lt;0.000001,"OK","ERROR")</x:f>
        <x:v>OK</x:v>
      </x:c>
      <x:c r="G26" t="inlineStr">
        <x:is>
          <x:t xml:space="preserve">S03_DINNER_COGS = ALA_COGS</x:t>
        </x:is>
      </x:c>
    </x:row>
    <x:row r="27">
      <x:c r="A27" t="str">
        <x:v>S03 v0.1.7: 31 активная позиция; гостиничный завтрак — три варианта; внешняя продажа и доплаты отсутствуют.</x:v>
      </x:c>
    </x:row>
    <x:row r="28">
      <x:c r="A28" s="223" t="str">
        <x:v>CHK.TABLEWARE.TOTAL</x:v>
      </x:c>
      <x:c r="B28" s="223" t="str">
        <x:v>Первоначальная закупка посуды</x:v>
      </x:c>
      <x:c r="C28" s="252" t="n">
        <x:v>372013</x:v>
      </x:c>
      <x:c r="D28" s="252" t="n">
        <x:f>'11_ПОСУДА'!$I$30</x:f>
        <x:v>372013</x:v>
      </x:c>
      <x:c r="E28" s="252" t="n">
        <x:f>D28-C28</x:f>
        <x:v>0</x:v>
      </x:c>
      <x:c r="F28" s="223" t="str">
        <x:f>IF(ABS(E28)&lt;0.01,"OK","ОШИБКА")</x:f>
        <x:v>OK</x:v>
      </x:c>
      <x:c r="G28" s="223" t="str">
        <x:v>Сумма двух подборок Комплекс-Бар</x:v>
      </x:c>
    </x:row>
    <x:row r="29">
      <x:c r="A29" s="223" t="str">
        <x:v>CHK.TABLEWARE.START</x:v>
      </x:c>
      <x:c r="B29" s="223" t="str">
        <x:v>Дефицит позиций на старте</x:v>
      </x:c>
      <x:c r="C29" s="252" t="n">
        <x:v>0</x:v>
      </x:c>
      <x:c r="D29" s="252" t="n">
        <x:f>COUNTIF('11_ПОСУДА'!$L$9:$L$29,"Дефицит")</x:f>
        <x:v>0</x:v>
      </x:c>
      <x:c r="E29" s="252" t="n">
        <x:f>D29-C29</x:f>
        <x:v>0</x:v>
      </x:c>
      <x:c r="F29" s="223" t="str">
        <x:f>IF(E29=0,"OK","ОШИБКА")</x:f>
        <x:v>OK</x:v>
      </x:c>
      <x:c r="G29" s="223" t="str">
        <x:v>Консервативный пар по максимуму 26 мест</x:v>
      </x:c>
    </x:row>
    <x:row r="30">
      <x:c r="A30" s="223" t="str">
        <x:v>CHK.TABLEWARE.OPEX</x:v>
      </x:c>
      <x:c r="B30" s="223" t="str">
        <x:v>Годовой резерв на бой связан с OPEX</x:v>
      </x:c>
      <x:c r="C30" s="252" t="n">
        <x:v>0</x:v>
      </x:c>
      <x:c r="D30" s="252" t="n">
        <x:f>'06_OPEX_USALI'!$P$10-'01_ВВОД'!$D$94*12-'11_ПОСУДА'!$I$5</x:f>
        <x:v>2.9103830456733704e-11</x:v>
      </x:c>
      <x:c r="E30" s="252" t="n">
        <x:f>D30-C30</x:f>
        <x:v>2.9103830456733704e-11</x:v>
      </x:c>
      <x:c r="F30" s="223" t="str">
        <x:f>IF(ABS(E30)&lt;0.01,"OK","ОШИБКА")</x:f>
        <x:v>OK</x:v>
      </x:c>
      <x:c r="G30" s="223" t="str">
        <x:v>OPEX.SMALLWARE минус базовая малоценка</x:v>
      </x:c>
    </x:row>
    <x:row r="31">
      <x:c r="A31" s="223" t="str">
        <x:v>CHK.TABLEWARE.FUNDING</x:v>
      </x:c>
      <x:c r="B31" s="223" t="str">
        <x:v>Потребность на 6 месяцев связана</x:v>
      </x:c>
      <x:c r="C31" s="252" t="n">
        <x:v>0</x:v>
      </x:c>
      <x:c r="D31" s="252" t="n">
        <x:f>'12_ЦЕНТР_ИНВЕСТИЦИЙ'!$D$9-'12_ЦЕНТР_ИНВЕСТИЦИЙ'!$D$7-'12_ЦЕНТР_ИНВЕСТИЦИЙ'!$D$8</x:f>
        <x:v>2.9103830456733704e-11</x:v>
      </x:c>
      <x:c r="E31" s="252" t="n">
        <x:f>D31-C31</x:f>
        <x:v>2.9103830456733704e-11</x:v>
      </x:c>
      <x:c r="F31" s="223" t="str">
        <x:f>IF(ABS(E31)&lt;0.01,"OK","ОШИБКА")</x:f>
        <x:v>OK</x:v>
      </x:c>
      <x:c r="G31" s="223" t="str">
        <x:v>Первоначальная закупка + 6 месяцев резерва</x:v>
      </x:c>
    </x:row>
    <x:row r="32">
      <x:c r="A32" t="str">
        <x:v>CHK.BANQ.CASH</x:v>
      </x:c>
      <x:c r="B32" t="str">
        <x:v>Доля безналичной оплаты БАНКЕТОВ</x:v>
      </x:c>
      <x:c r="C32" t="n">
        <x:v>0</x:v>
      </x:c>
      <x:c r="D32" t="n">
        <x:f>'01_ВВОД'!$D$57</x:f>
        <x:v>0</x:v>
      </x:c>
      <x:c r="E32" t="n">
        <x:f>D32-C32</x:f>
        <x:v>0</x:v>
      </x:c>
      <x:c r="F32" t="str">
        <x:f>IF(ABS(E32)&lt;0.01,"OK","ОШИБКА")</x:f>
        <x:v>OK</x:v>
      </x:c>
      <x:c r="G32" t="str">
        <x:v>100% наличными через ККТ</x:v>
      </x:c>
    </x:row>
    <x:row r="33">
      <x:c r="A33" t="str">
        <x:v>CHK.HOTEL.TOTAL</x:v>
      </x:c>
      <x:c r="B33" t="str">
        <x:v>Гостиничные обслуживания за год</x:v>
      </x:c>
      <x:c r="C33" t="n">
        <x:v>10950</x:v>
      </x:c>
      <x:c r="D33" t="n">
        <x:f>'03_ДОХОДЫ'!P22+'03_ДОХОДЫ'!P39</x:f>
        <x:v>10950</x:v>
      </x:c>
      <x:c r="E33" t="n">
        <x:f>D33-C33</x:f>
        <x:v>0</x:v>
      </x:c>
      <x:c r="F33" t="str">
        <x:f>IF(ABS(E33)&lt;0.01,"OK","ОШИБКА")</x:f>
        <x:v>OK</x:v>
      </x:c>
      <x:c r="G33" t="str">
        <x:v>7 300 завтраков + 3 650 ужинов</x:v>
      </x:c>
    </x:row>
    <x:row r="34">
      <x:c r="A34" t="str">
        <x:v>CHK.COFFEE.QTY</x:v>
      </x:c>
      <x:c r="B34" t="str">
        <x:v>Связь спроса КОФЕ&amp;ЧАЙ с календарём</x:v>
      </x:c>
      <x:c r="C34" t="n">
        <x:v>0</x:v>
      </x:c>
      <x:c r="D34" t="n">
        <x:f>ABS('03_ДОХОДЫ'!P44-SUM('02_КАЛЕНДАРЬ'!$V$5:$V$369))</x:f>
        <x:v>0</x:v>
      </x:c>
      <x:c r="E34" t="n">
        <x:f>D34-C34</x:f>
        <x:v>0</x:v>
      </x:c>
      <x:c r="F34" t="str">
        <x:f>IF(ABS(E34)&lt;0.01,"OK","ОШИБКА")</x:f>
        <x:v>OK</x:v>
      </x:c>
      <x:c r="G34" t="str">
        <x:v>50% базы с ежедневным округлением вниз</x:v>
      </x:c>
    </x:row>
    <x:row r="35">
      <x:c r="A35" t="str">
        <x:v>CHK.COFFEE.COGS</x:v>
      </x:c>
      <x:c r="B35" t="str">
        <x:v>Прямая себестоимость напитка</x:v>
      </x:c>
      <x:c r="C35" t="n">
        <x:v>60</x:v>
      </x:c>
      <x:c r="D35" t="n">
        <x:f>'01_ВВОД'!$D$129</x:f>
        <x:v>60</x:v>
      </x:c>
      <x:c r="E35" t="n">
        <x:f>D35-C35</x:f>
        <x:v>0</x:v>
      </x:c>
      <x:c r="F35" t="str">
        <x:f>IF(ABS(E35)&lt;0.01,"OK","ОШИБКА")</x:f>
        <x:v>OK</x:v>
      </x:c>
      <x:c r="G35" t="str">
        <x:v>Продукция Кухни в КОФЕ&amp;ЧАЙ отсутствует</x:v>
      </x:c>
    </x:row>
    <x:row r="36">
      <x:c r="A36" t="str">
        <x:v>CHK.LUNCH.CHECK</x:v>
      </x:c>
      <x:c r="B36" t="str">
        <x:v>Средний чек Бизнес-ланча</x:v>
      </x:c>
      <x:c r="C36" t="n">
        <x:v>750</x:v>
      </x:c>
      <x:c r="D36" t="n">
        <x:f>'01_ВВОД'!$D$28</x:f>
        <x:v>750</x:v>
      </x:c>
      <x:c r="E36" t="n">
        <x:f>D36-C36</x:f>
        <x:v>0</x:v>
      </x:c>
      <x:c r="F36" t="str">
        <x:f>IF(ABS(E36)&lt;0.01,"OK","ОШИБКА")</x:f>
        <x:v>OK</x:v>
      </x:c>
      <x:c r="G36" t="str">
        <x:v>1 000 руб. × (1 − 25%)</x:v>
      </x:c>
    </x:row>
    <x:row r="37">
      <x:c r="A37" t="str">
        <x:v>CHK.STAFF.MEALS</x:v>
      </x:c>
      <x:c r="B37" t="str">
        <x:v>Комплексы питания сотрудников за 52 недели</x:v>
      </x:c>
      <x:c r="C37" t="n">
        <x:v>4368</x:v>
      </x:c>
      <x:c r="D37" t="n">
        <x:f>'01_ВВОД'!$D$134</x:f>
        <x:v>4368</x:v>
      </x:c>
      <x:c r="E37" t="n">
        <x:f>D37-C37</x:f>
        <x:v>0</x:v>
      </x:c>
      <x:c r="F37" t="str">
        <x:f>IF(ABS(E37)&lt;0.01,"OK","ОШИБКА")</x:f>
        <x:v>OK</x:v>
      </x:c>
      <x:c r="G37" t="str">
        <x:v>84 комплекса в неделю; без резерва</x:v>
      </x:c>
    </x:row>
    <x:row r="38">
      <x:c r="A38" t="str">
        <x:v>CHK.BREAKFAST.MIX</x:v>
      </x:c>
      <x:c r="B38" t="str">
        <x:v>Сумма долей активных вариантов</x:v>
      </x:c>
      <x:c r="C38" t="n">
        <x:v>1</x:v>
      </x:c>
      <x:c r="D38" t="n">
        <x:f>SUM('01_ВВОД'!$D$144:$D$146)</x:f>
        <x:v>1</x:v>
      </x:c>
      <x:c r="E38" t="n">
        <x:f>D38-C38</x:f>
        <x:v>0</x:v>
      </x:c>
      <x:c r="F38" t="str">
        <x:f>IF(ABS(E38)&lt;0.0001,"OK","ОШИБКА")</x:f>
        <x:v>OK</x:v>
      </x:c>
      <x:c r="G38" t="str">
        <x:v>37,5% + 37,5% + 25%</x:v>
      </x:c>
    </x:row>
    <x:row r="39">
      <x:c r="A39" t="str">
        <x:v>CHK.BREAKFAST.EXCLUDED</x:v>
      </x:c>
      <x:c r="B39" t="str">
        <x:v>Спрос исключённых вариантов</x:v>
      </x:c>
      <x:c r="C39" t="n">
        <x:v>0</x:v>
      </x:c>
      <x:c r="D39" t="n">
        <x:f>SUM('01_ВВОД'!$D$150:$D$151)</x:f>
        <x:v>0</x:v>
      </x:c>
      <x:c r="E39" t="n">
        <x:f>D39-C39</x:f>
        <x:v>0</x:v>
      </x:c>
      <x:c r="F39" t="str">
        <x:f>IF(ABS(E39)&lt;0.0001,"OK","ОШИБКА")</x:f>
        <x:v>OK</x:v>
      </x:c>
      <x:c r="G39" t="str">
        <x:v>Бенедикт и круассан с лососем = 0</x:v>
      </x:c>
    </x:row>
    <x:row r="40">
      <x:c r="A40" t="str">
        <x:v>CHK.BREAKFAST.DRINK</x:v>
      </x:c>
      <x:c r="B40" t="str">
        <x:v>Напиток бариста относится к Гостинице</x:v>
      </x:c>
      <x:c r="C40" t="n">
        <x:v>60</x:v>
      </x:c>
      <x:c r="D40" t="n">
        <x:f>'01_ВВОД'!$D$140</x:f>
        <x:v>60</x:v>
      </x:c>
      <x:c r="E40" t="n">
        <x:f>D40-C40</x:f>
        <x:v>0</x:v>
      </x:c>
      <x:c r="F40" t="str">
        <x:f>IF(ABS(E40)&lt;0.0001,"OK","ОШИБКА")</x:f>
        <x:v>OK</x:v>
      </x:c>
      <x:c r="G40" t="str">
        <x:v>Не включён в КОФЕ&amp;ЧАЙ</x:v>
      </x:c>
    </x:row>
    <x:row r="41">
      <x:c r="A41" t="str">
        <x:v>CHK.BREAKFAST.EXTERNAL</x:v>
      </x:c>
      <x:c r="B41" t="str">
        <x:v>Внешняя продажа завтрака</x:v>
      </x:c>
      <x:c r="C41" t="n">
        <x:v>0</x:v>
      </x:c>
      <x:c r="D41" t="n">
        <x:f>'01_ВВОД'!$D$139</x:f>
        <x:v>0</x:v>
      </x:c>
      <x:c r="E41" t="n">
        <x:f>D41-C41</x:f>
        <x:v>0</x:v>
      </x:c>
      <x:c r="F41" t="str">
        <x:f>IF(ABS(E41)&lt;0.0001,"OK","ОШИБКА")</x:f>
        <x:v>OK</x:v>
      </x:c>
      <x:c r="G41" t="str">
        <x:v>Закрытое меню Гостиницы</x:v>
      </x:c>
    </x:row>
    <x:row r="42">
      <x:c r="A42" t="str">
        <x:v>CHK.BREAKFAST.SURCHARGE</x:v>
      </x:c>
      <x:c r="B42" t="str">
        <x:v>Доплата за вариант завтрака</x:v>
      </x:c>
      <x:c r="C42" t="n">
        <x:v>0</x:v>
      </x:c>
      <x:c r="D42" t="n">
        <x:f>'01_ВВОД'!$D$159</x:f>
        <x:v>0</x:v>
      </x:c>
      <x:c r="E42" t="n">
        <x:f>D42-C42</x:f>
        <x:v>0</x:v>
      </x:c>
      <x:c r="F42" t="str">
        <x:f>IF(ABS(E42)&lt;0.0001,"OK","ОШИБКА")</x:f>
        <x:v>OK</x:v>
      </x:c>
      <x:c r="G42" t="str">
        <x:v>Единый внутренний тариф</x:v>
      </x:c>
    </x:row>
    <x:row r="43">
      <x:c r="A43" t="str">
        <x:v>CHK.BREAKFAST.COGS</x:v>
      </x:c>
      <x:c r="B43" t="str">
        <x:v>Полная прямая себестоимость</x:v>
      </x:c>
      <x:c r="C43" t="n">
        <x:v>193.28625</x:v>
      </x:c>
      <x:c r="D43" t="n">
        <x:f>'01_ВВОД'!$D$142</x:f>
        <x:v>193.28625</x:v>
      </x:c>
      <x:c r="E43" t="n">
        <x:f>D43-C43</x:f>
        <x:v>0</x:v>
      </x:c>
      <x:c r="F43" t="str">
        <x:f>IF(ABS(E43)&lt;0.0001,"OK","ОШИБКА")</x:f>
        <x:v>OK</x:v>
      </x:c>
      <x:c r="G43" t="str">
        <x:v>Предварительно до документов поставщиков</x:v>
      </x:c>
    </x:row>
    <x:row r="44">
      <x:c r="A44" t="str">
        <x:v>CHK.BREAKFAST.FC</x:v>
      </x:c>
      <x:c r="B44" t="str">
        <x:v>Food cost от 550 руб. с НДС</x:v>
      </x:c>
      <x:c r="C44" s="278" t="n">
        <x:v>0.35142954545454547</x:v>
      </x:c>
      <x:c r="D44" s="278" t="n">
        <x:f>'01_ВВОД'!$D$143</x:f>
        <x:v>0.35142954545454547</x:v>
      </x:c>
      <x:c r="E44" s="278" t="n">
        <x:f>D44-C44</x:f>
        <x:v>0</x:v>
      </x:c>
      <x:c r="F44" t="str">
        <x:f>IF(ABS(E44)&lt;0.0001,"OK","ОШИБКА")</x:f>
        <x:v>OK</x:v>
      </x:c>
      <x:c r="G44" t="str">
        <x:v>Рецептурный расчёт</x:v>
      </x:c>
    </x:row>
    <x:row r="45">
      <x:c r="A45" t="str">
        <x:v>CHK.MENU.POSITIONS</x:v>
      </x:c>
      <x:c r="B45" t="str">
        <x:v>Активные позиции МЕНЮ КУХНИ</x:v>
      </x:c>
      <x:c r="C45" t="n">
        <x:v>31</x:v>
      </x:c>
      <x:c r="D45" t="n">
        <x:f>'01_ВВОД'!$D$152</x:f>
        <x:v>31</x:v>
      </x:c>
      <x:c r="E45" t="n">
        <x:f>D45-C45</x:f>
        <x:v>0</x:v>
      </x:c>
      <x:c r="F45" t="str">
        <x:f>IF(ABS(E45)&lt;0.0001,"OK","ОШИБКА")</x:f>
        <x:v>OK</x:v>
      </x:c>
      <x:c r="G45" t="str">
        <x:v>33 − 2 специальные позиции</x:v>
      </x:c>
    </x:row>
    <x:row r="46">
      <x:c r="A46" t="str">
        <x:v>CHK.BREAKFAST.RESERVE</x:v>
      </x:c>
      <x:c r="B46" t="str">
        <x:v>Однократное применение резерва</x:v>
      </x:c>
      <x:c r="C46" t="n">
        <x:v>0</x:v>
      </x:c>
      <x:c r="D46" t="n">
        <x:f>ABS('01_ВВОД'!$D$156-22)+ABS('01_ВВОД'!$D$157-21)</x:f>
        <x:v>0</x:v>
      </x:c>
      <x:c r="E46" t="n">
        <x:f>D46-C46</x:f>
        <x:v>0</x:v>
      </x:c>
      <x:c r="F46" t="str">
        <x:f>IF(ABS(E46)&lt;0.0001,"OK","ОШИБКА")</x:f>
        <x:v>OK</x:v>
      </x:c>
      <x:c r="G46" t="str">
        <x:v>22 и 21 комплекс без повторного резерва</x:v>
      </x:c>
    </x:row>
  </x:sheetData>
  <x:mergeCells>
    <x:mergeCell ref="A20:G20"/>
    <x:mergeCell ref="A2:G2"/>
    <x:mergeCell ref="A1:G1"/>
  </x:mergeCells>
  <x:conditionalFormatting sqref="F5:F18">
    <x:cfRule type="expression" dxfId="5" priority="1">
      <x:formula>F5="OK"</x:formula>
    </x:cfRule>
    <x:cfRule type="expression" dxfId="6" priority="2">
      <x:formula>F5="ОШИБКА"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0" style="174" customWidth="1"/>
    <x:col min="2" max="2" width="20" style="174" customWidth="1"/>
    <x:col min="3" max="3" width="20" style="174" customWidth="1"/>
    <x:col min="4" max="4" width="20" style="174" customWidth="1"/>
    <x:col min="5" max="5" width="20" style="174" customWidth="1"/>
  </x:cols>
  <x:sheetData>
    <x:row r="1">
      <x:c r="A1" s="181" t="inlineStr">
        <x:is>
          <x:t xml:space="preserve">Сценарий S03 — сравнение с базовой моделью v0.1.0</x:t>
        </x:is>
      </x:c>
      <x:c r="B1" s="181" t="n"/>
      <x:c r="C1" s="181" t="n"/>
      <x:c r="D1" s="181" t="n"/>
      <x:c r="E1" s="181" t="n"/>
    </x:row>
    <x:row r="2">
      <x:c r="A2" s="182" t="inlineStr">
        <x:is>
          <x:t xml:space="preserve">Issue #9 | Ветка scenario/9-revised-dinner-pricing-and-opex</x:t>
        </x:is>
      </x:c>
      <x:c r="B2" s="182" t="n"/>
      <x:c r="C2" s="182" t="n"/>
      <x:c r="D2" s="182" t="n"/>
      <x:c r="E2" s="182" t="n"/>
    </x:row>
    <x:row r="3"/>
    <x:row r="4">
      <x:c r="A4" s="183" t="inlineStr">
        <x:is>
          <x:t xml:space="preserve">Показатель</x:t>
        </x:is>
      </x:c>
      <x:c r="B4" s="183" t="inlineStr">
        <x:is>
          <x:t xml:space="preserve">Базовая модель, руб.</x:t>
        </x:is>
      </x:c>
      <x:c r="C4" s="183" t="inlineStr">
        <x:is>
          <x:t xml:space="preserve">Сценарий S03, руб.</x:t>
        </x:is>
      </x:c>
      <x:c r="D4" s="183" t="inlineStr">
        <x:is>
          <x:t xml:space="preserve">Изменение, руб.</x:t>
        </x:is>
      </x:c>
      <x:c r="E4" s="183" t="inlineStr">
        <x:is>
          <x:t xml:space="preserve">Изменение, %</x:t>
        </x:is>
      </x:c>
    </x:row>
    <x:row r="5">
      <x:c r="A5" t="inlineStr">
        <x:is>
          <x:t xml:space="preserve">Доходы кафе</x:t>
        </x:is>
      </x:c>
      <x:c r="B5" s="204" t="n">
        <x:v>32989000</x:v>
      </x:c>
      <x:c r="C5" s="204" t="n">
        <x:f>'07_PNL_НАЛОГИ'!P6</x:f>
        <x:v>45465800</x:v>
      </x:c>
      <x:c r="D5" s="204" t="n">
        <x:f>C5-B5</x:f>
        <x:v>12476800</x:v>
      </x:c>
      <x:c r="E5" s="205" t="n">
        <x:f>IF(B5=0,IF(C5=0,0,1),D5/ABS(B5))</x:f>
        <x:v>0.3782109187911122</x:v>
      </x:c>
    </x:row>
    <x:row r="6">
      <x:c r="A6" t="inlineStr">
        <x:is>
          <x:t xml:space="preserve">Доходы банкетов</x:t>
        </x:is>
      </x:c>
      <x:c r="B6" s="204" t="n">
        <x:v>3600000</x:v>
      </x:c>
      <x:c r="C6" s="204" t="n">
        <x:f>'07_PNL_НАЛОГИ'!P25</x:f>
        <x:v>3600000</x:v>
      </x:c>
      <x:c r="D6" s="204" t="n">
        <x:f>C6-B6</x:f>
        <x:v>0</x:v>
      </x:c>
      <x:c r="E6" s="205" t="n">
        <x:f>IF(B6=0,IF(C6=0,0,1),D6/ABS(B6))</x:f>
        <x:v>0</x:v>
      </x:c>
    </x:row>
    <x:row r="7">
      <x:c r="A7" t="inlineStr">
        <x:is>
          <x:t xml:space="preserve">Совокупные доходы</x:t>
        </x:is>
      </x:c>
      <x:c r="B7" s="204" t="n">
        <x:v>36589000</x:v>
      </x:c>
      <x:c r="C7" s="204" t="n">
        <x:f>'07_PNL_НАЛОГИ'!P33</x:f>
        <x:v>49065800</x:v>
      </x:c>
      <x:c r="D7" s="204" t="n">
        <x:f>C7-B7</x:f>
        <x:v>12476800</x:v>
      </x:c>
      <x:c r="E7" s="205" t="n">
        <x:f>IF(B7=0,IF(C7=0,0,1),D7/ABS(B7))</x:f>
        <x:v>0.3409986607996939</x:v>
      </x:c>
    </x:row>
    <x:row r="8">
      <x:c r="A8" t="inlineStr">
        <x:is>
          <x:t xml:space="preserve">Себестоимость кафе</x:t>
        </x:is>
      </x:c>
      <x:c r="B8" s="204" t="n">
        <x:v>11769707.14285714</x:v>
      </x:c>
      <x:c r="C8" s="204" t="n">
        <x:f>'07_PNL_НАЛОГИ'!P7</x:f>
        <x:v>14577765.303214284</x:v>
      </x:c>
      <x:c r="D8" s="204" t="n">
        <x:f>C8-B8</x:f>
        <x:v>2808058.1603571437</x:v>
      </x:c>
      <x:c r="E8" s="205" t="n">
        <x:f>IF(B8=0,IF(C8=0,0,1),D8/ABS(B8))</x:f>
        <x:v>0.23858352007180675</x:v>
      </x:c>
    </x:row>
    <x:row r="9">
      <x:c r="A9" t="inlineStr">
        <x:is>
          <x:t xml:space="preserve">Маржинальный доход кафе</x:t>
        </x:is>
      </x:c>
      <x:c r="B9" s="204" t="n">
        <x:v>19015882.85714286</x:v>
      </x:c>
      <x:c r="C9" s="204" t="n">
        <x:f>'07_PNL_НАЛОГИ'!P10</x:f>
        <x:v>28187047.69678572</x:v>
      </x:c>
      <x:c r="D9" s="204" t="n">
        <x:f>C9-B9</x:f>
        <x:v>9171164.83964286</x:v>
      </x:c>
      <x:c r="E9" s="205" t="n">
        <x:f>IF(B9=0,IF(C9=0,0,1),D9/ABS(B9))</x:f>
        <x:v>0.48228972110006096</x:v>
      </x:c>
    </x:row>
    <x:row r="10">
      <x:c r="A10" t="inlineStr">
        <x:is>
          <x:t xml:space="preserve">GOP кафе</x:t>
        </x:is>
      </x:c>
      <x:c r="B10" s="204" t="n">
        <x:v>-9063186.10837438</x:v>
      </x:c>
      <x:c r="C10" s="204" t="n">
        <x:f>'07_PNL_НАЛОГИ'!P18</x:f>
        <x:v>794363.1712684738</x:v>
      </x:c>
      <x:c r="D10" s="204" t="n">
        <x:f>C10-B10</x:f>
        <x:v>9857549.279642854</x:v>
      </x:c>
      <x:c r="E10" s="205" t="n">
        <x:f>IF(B10=0,IF(C10=0,0,1),D10/ABS(B10))</x:f>
        <x:v>1.0876472315331231</x:v>
      </x:c>
    </x:row>
    <x:row r="11">
      <x:c r="A11" t="inlineStr">
        <x:is>
          <x:t xml:space="preserve">Чистый результат кафе</x:t>
        </x:is>
      </x:c>
      <x:c r="B11" s="204" t="n">
        <x:v>-10463876.10837438</x:v>
      </x:c>
      <x:c r="C11" s="204" t="n">
        <x:f>'07_PNL_НАЛОГИ'!P40</x:f>
        <x:v>-731094.8287315257</x:v>
      </x:c>
      <x:c r="D11" s="204" t="n">
        <x:f>C11-B11</x:f>
        <x:v>9732781.279642854</x:v>
      </x:c>
      <x:c r="E11" s="205" t="n">
        <x:f>IF(B11=0,IF(C11=0,0,1),D11/ABS(B11))</x:f>
        <x:v>0.9301315477018673</x:v>
      </x:c>
    </x:row>
    <x:row r="12">
      <x:c r="A12" t="inlineStr">
        <x:is>
          <x:t xml:space="preserve">Чистый результат банкетов</x:t>
        </x:is>
      </x:c>
      <x:c r="B12" s="204" t="n">
        <x:v>1710000</x:v>
      </x:c>
      <x:c r="C12" s="204" t="n">
        <x:f>'07_PNL_НАЛОГИ'!P41</x:f>
        <x:v>1764000</x:v>
      </x:c>
      <x:c r="D12" s="204" t="n">
        <x:f>C12-B12</x:f>
        <x:v>54000</x:v>
      </x:c>
      <x:c r="E12" s="205" t="n">
        <x:f>IF(B12=0,IF(C12=0,0,1),D12/ABS(B12))</x:f>
        <x:v>0.031578947368421054</x:v>
      </x:c>
    </x:row>
    <x:row r="13">
      <x:c r="A13" t="inlineStr">
        <x:is>
          <x:t xml:space="preserve">Чистая прибыль проекта</x:t>
        </x:is>
      </x:c>
      <x:c r="B13" s="204" t="n">
        <x:v>-8753876.108374383</x:v>
      </x:c>
      <x:c r="C13" s="204" t="n">
        <x:f>'07_PNL_НАЛОГИ'!P42</x:f>
        <x:v>1032905.171268474</x:v>
      </x:c>
      <x:c r="D13" s="204" t="n">
        <x:f>C13-B13</x:f>
        <x:v>9786781.279642858</x:v>
      </x:c>
      <x:c r="E13" s="205" t="n">
        <x:f>IF(B13=0,IF(C13=0,0,1),D13/ABS(B13))</x:f>
        <x:v>1.1179940358397746</x:v>
      </x:c>
    </x:row>
    <x:row r="14">
      <x:c r="A14" t="inlineStr">
        <x:is>
          <x:t xml:space="preserve">Упущенная выручка кафе</x:t>
        </x:is>
      </x:c>
      <x:c r="B14" s="204" t="n">
        <x:v>6082000</x:v>
      </x:c>
      <x:c r="C14" s="204" t="n">
        <x:f>'03_ДОХОДЫ'!P30</x:f>
        <x:v>2969000</x:v>
      </x:c>
      <x:c r="D14" s="204" t="n">
        <x:f>C14-B14</x:f>
        <x:v>-3113000</x:v>
      </x:c>
      <x:c r="E14" s="205" t="n">
        <x:f>IF(B14=0,IF(C14=0,0,1),D14/ABS(B14))</x:f>
        <x:v>-0.5118382111147649</x:v>
      </x:c>
    </x:row>
    <x:row r="15">
      <x:c r="A15" t="inlineStr">
        <x:is>
          <x:t xml:space="preserve">Доходы ужинов</x:t>
        </x:is>
      </x:c>
      <x:c r="B15" s="204" t="n">
        <x:v>0</x:v>
      </x:c>
      <x:c r="C15" s="204" t="n">
        <x:f>'03_ДОХОДЫ'!P41</x:f>
        <x:v>3650000</x:v>
      </x:c>
      <x:c r="D15" s="204" t="n">
        <x:f>C15-B15</x:f>
        <x:v>3650000</x:v>
      </x:c>
      <x:c r="E15" s="205" t="n">
        <x:f>IF(B15=0,IF(C15=0,0,1),D15/ABS(B15))</x:f>
        <x:v>1</x:v>
      </x:c>
    </x:row>
    <x:row r="16"/>
    <x:row r="17"/>
    <x:row r="18">
      <x:c r="A18" t="inlineStr">
        <x:is>
          <x:t xml:space="preserve">Ключевые правила S03</x:t>
        </x:is>
      </x:c>
      <x:c r="B18" t="inlineStr">
        <x:is>
          <x:t xml:space="preserve">Завтраки 100%</x:t>
        </x:is>
      </x:c>
      <x:c r="C18" t="inlineStr">
        <x:is>
          <x:t xml:space="preserve">Бизнес-ланч 100%</x:t>
        </x:is>
      </x:c>
      <x:c r="D18" t="inlineStr">
        <x:is>
          <x:t xml:space="preserve">А-ля карт 20%</x:t>
        </x:is>
      </x:c>
      <x:c r="E18" t="inlineStr">
        <x:is>
          <x:t xml:space="preserve">Доставка/самовывоз 100%</x:t>
        </x:is>
      </x:c>
    </x:row>
    <x:row r="19">
      <x:c r="A19" t="inlineStr">
        <x:is>
          <x:t xml:space="preserve">Ужины гостиницы</x:t>
        </x:is>
      </x:c>
      <x:c r="B19" t="inlineStr">
        <x:is>
          <x:t xml:space="preserve">50% завтраков</x:t>
        </x:is>
      </x:c>
      <x:c r="C19" t="inlineStr">
        <x:is>
          <x:t xml:space="preserve">Ежедневно</x:t>
        </x:is>
      </x:c>
      <x:c r="D19" t="inlineStr">
        <x:is>
          <x:t xml:space="preserve">Включая банкеты</x:t>
        </x:is>
      </x:c>
      <x:c r="E19" t="inlineStr">
        <x:is>
          <x:t xml:space="preserve">Редактируемые inputs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31" style="174" customWidth="1"/>
    <x:col min="2" max="2" width="32" style="174" customWidth="1"/>
    <x:col min="3" max="3" width="17" style="174" customWidth="1"/>
    <x:col min="4" max="4" width="18" style="174" customWidth="1"/>
    <x:col min="5" max="5" width="17" style="174" customWidth="1"/>
    <x:col min="6" max="6" width="20" style="174" customWidth="1"/>
    <x:col min="7" max="7" width="64" style="174" customWidth="1"/>
  </x:cols>
  <x:sheetData>
    <x:row r="1">
      <x:c r="A1" s="206" t="inlineStr">
        <x:is>
          <x:t xml:space="preserve">Сравнение сценариев S02 и S03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207" t="inlineStr">
        <x:is>
          <x:t xml:space="preserve">S03 повышает чек ужина, связывает food cost ужина с a-la carte и пересматривает OPEX.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4">
      <x:c r="A4" s="208" t="inlineStr">
        <x:is>
          <x:t xml:space="preserve">Показатель</x:t>
        </x:is>
      </x:c>
      <x:c r="B4" s="208" t="inlineStr">
        <x:is>
          <x:t xml:space="preserve">S02, руб.</x:t>
        </x:is>
      </x:c>
      <x:c r="C4" s="208" t="inlineStr">
        <x:is>
          <x:t xml:space="preserve">S03, руб.</x:t>
        </x:is>
      </x:c>
      <x:c r="D4" s="208" t="inlineStr">
        <x:is>
          <x:t xml:space="preserve">Изменение, руб.</x:t>
        </x:is>
      </x:c>
      <x:c r="E4" s="208" t="inlineStr">
        <x:is>
          <x:t xml:space="preserve">Изменение, %</x:t>
        </x:is>
      </x:c>
      <x:c r="F4" s="208" t="n"/>
      <x:c r="G4" s="208" t="n"/>
    </x:row>
    <x:row r="5">
      <x:c r="A5" s="209" t="inlineStr">
        <x:is>
          <x:t xml:space="preserve">Доходы кафе</x:t>
        </x:is>
      </x:c>
      <x:c r="B5" s="209" t="n">
        <x:v>38497700</x:v>
      </x:c>
      <x:c r="C5" s="209" t="n">
        <x:f>'07_PNL_НАЛОГИ'!P6</x:f>
        <x:v>45465800</x:v>
      </x:c>
      <x:c r="D5" s="209" t="n">
        <x:f>C5-B5</x:f>
        <x:v>6968100</x:v>
      </x:c>
      <x:c r="E5" s="209" t="n">
        <x:f>IF(B5=0,0,D5/ABS(B5))</x:f>
        <x:v>0.18100042340191752</x:v>
      </x:c>
      <x:c r="F5" s="209" t="n"/>
      <x:c r="G5" s="209" t="n"/>
    </x:row>
    <x:row r="6">
      <x:c r="A6" s="209" t="inlineStr">
        <x:is>
          <x:t xml:space="preserve">Доходы банкетов</x:t>
        </x:is>
      </x:c>
      <x:c r="B6" s="209" t="n">
        <x:v>3600000</x:v>
      </x:c>
      <x:c r="C6" s="209" t="n">
        <x:f>'07_PNL_НАЛОГИ'!P25</x:f>
        <x:v>3600000</x:v>
      </x:c>
      <x:c r="D6" s="209" t="n">
        <x:f>C6-B6</x:f>
        <x:v>0</x:v>
      </x:c>
      <x:c r="E6" s="209" t="n">
        <x:f>IF(B6=0,0,D6/ABS(B6))</x:f>
        <x:v>0</x:v>
      </x:c>
      <x:c r="F6" s="209" t="n"/>
      <x:c r="G6" s="209" t="n"/>
    </x:row>
    <x:row r="7">
      <x:c r="A7" s="209" t="inlineStr">
        <x:is>
          <x:t xml:space="preserve">Совокупные доходы</x:t>
        </x:is>
      </x:c>
      <x:c r="B7" s="209" t="n">
        <x:v>42097700</x:v>
      </x:c>
      <x:c r="C7" s="209" t="n">
        <x:f>'07_PNL_НАЛОГИ'!P33</x:f>
        <x:v>49065800</x:v>
      </x:c>
      <x:c r="D7" s="209" t="n">
        <x:f>C7-B7</x:f>
        <x:v>6968100</x:v>
      </x:c>
      <x:c r="E7" s="209" t="n">
        <x:f>IF(B7=0,0,D7/ABS(B7))</x:f>
        <x:v>0.16552210690845343</x:v>
      </x:c>
      <x:c r="F7" s="209" t="n"/>
      <x:c r="G7" s="209" t="n"/>
    </x:row>
    <x:row r="8">
      <x:c r="A8" s="209" t="inlineStr">
        <x:is>
          <x:t xml:space="preserve">Себестоимость кафе</x:t>
        </x:is>
      </x:c>
      <x:c r="B8" s="209" t="n">
        <x:v>14006708.48571429</x:v>
      </x:c>
      <x:c r="C8" s="209" t="n">
        <x:f>'07_PNL_НАЛОГИ'!P7</x:f>
        <x:v>14577765.303214284</x:v>
      </x:c>
      <x:c r="D8" s="209" t="n">
        <x:f>C8-B8</x:f>
        <x:v>571056.8174999934</x:v>
      </x:c>
      <x:c r="E8" s="209" t="n">
        <x:f>IF(B8=0,0,D8/ABS(B8))</x:f>
        <x:v>0.04077023649649203</x:v>
      </x:c>
      <x:c r="F8" s="209" t="n"/>
      <x:c r="G8" s="209" t="n"/>
    </x:row>
    <x:row r="9">
      <x:c r="A9" s="209" t="inlineStr">
        <x:is>
          <x:t xml:space="preserve">Маржинальный доход кафе</x:t>
        </x:is>
      </x:c>
      <x:c r="B9" s="209" t="n">
        <x:v>21864413.51428571</x:v>
      </x:c>
      <x:c r="C9" s="209" t="n">
        <x:f>'07_PNL_НАЛОГИ'!P10</x:f>
        <x:v>28187047.69678572</x:v>
      </x:c>
      <x:c r="D9" s="209" t="n">
        <x:f>C9-B9</x:f>
        <x:v>6322634.1825000085</x:v>
      </x:c>
      <x:c r="E9" s="209" t="n">
        <x:f>IF(B9=0,0,D9/ABS(B9))</x:f>
        <x:v>0.2891746526093162</x:v>
      </x:c>
      <x:c r="F9" s="209" t="n"/>
      <x:c r="G9" s="209" t="n"/>
    </x:row>
    <x:row r="10">
      <x:c r="A10" s="209" t="inlineStr">
        <x:is>
          <x:t xml:space="preserve">OPEX кафе</x:t>
        </x:is>
      </x:c>
      <x:c r="B10" s="209" t="n">
        <x:v>4917000</x:v>
      </x:c>
      <x:c r="C10" s="209" t="n">
        <x:f>SUM('07_PNL_НАЛОГИ'!P12,'07_PNL_НАЛОГИ'!P14:P17)</x:f>
        <x:v>4230615.5600000005</x:v>
      </x:c>
      <x:c r="D10" s="209" t="n">
        <x:f>C10-B10</x:f>
        <x:v>-686384.4399999995</x:v>
      </x:c>
      <x:c r="E10" s="209" t="n">
        <x:f>IF(B10=0,0,D10/ABS(B10))</x:f>
        <x:v>-0.13959415090502328</x:v>
      </x:c>
      <x:c r="F10" s="209" t="n"/>
      <x:c r="G10" s="209" t="n"/>
    </x:row>
    <x:row r="11">
      <x:c r="A11" s="209" t="inlineStr">
        <x:is>
          <x:t xml:space="preserve">GOP кафе</x:t>
        </x:is>
      </x:c>
      <x:c r="B11" s="209" t="n">
        <x:v>-6214655.451231526</x:v>
      </x:c>
      <x:c r="C11" s="209" t="n">
        <x:f>'07_PNL_НАЛОГИ'!P18</x:f>
        <x:v>794363.1712684738</x:v>
      </x:c>
      <x:c r="D11" s="209" t="n">
        <x:f>C11-B11</x:f>
        <x:v>7009018.6225000005</x:v>
      </x:c>
      <x:c r="E11" s="209" t="n">
        <x:f>IF(B11=0,0,D11/ABS(B11))</x:f>
        <x:v>1.127820951217989</x:v>
      </x:c>
      <x:c r="F11" s="209" t="n"/>
      <x:c r="G11" s="209" t="n"/>
    </x:row>
    <x:row r="12">
      <x:c r="A12" s="209" t="inlineStr">
        <x:is>
          <x:t xml:space="preserve">Прибыль проекта до налога</x:t>
        </x:is>
      </x:c>
      <x:c r="B12" s="209" t="n">
        <x:v>-5539455.451231525</x:v>
      </x:c>
      <x:c r="C12" s="209" t="n">
        <x:f>'07_PNL_НАЛОГИ'!P34</x:f>
        <x:v>1523563.1712684738</x:v>
      </x:c>
      <x:c r="D12" s="209" t="n">
        <x:f>C12-B12</x:f>
        <x:v>7063018.622499999</x:v>
      </x:c>
      <x:c r="E12" s="209" t="n">
        <x:f>IF(B12=0,0,D12/ABS(B12))</x:f>
        <x:v>1.275038437384627</x:v>
      </x:c>
      <x:c r="F12" s="209" t="n"/>
      <x:c r="G12" s="209" t="n"/>
    </x:row>
    <x:row r="13">
      <x:c r="A13" s="209" t="inlineStr">
        <x:is>
          <x:t xml:space="preserve">Налог к уплате</x:t>
        </x:is>
      </x:c>
      <x:c r="B13" s="209" t="n">
        <x:v>420977</x:v>
      </x:c>
      <x:c r="C13" s="209" t="n">
        <x:f>'07_PNL_НАЛОГИ'!P37</x:f>
        <x:v>490658</x:v>
      </x:c>
      <x:c r="D13" s="209" t="n">
        <x:f>C13-B13</x:f>
        <x:v>69681</x:v>
      </x:c>
      <x:c r="E13" s="209" t="n">
        <x:f>IF(B13=0,0,D13/ABS(B13))</x:f>
        <x:v>0.16552210690845343</x:v>
      </x:c>
      <x:c r="F13" s="209" t="n"/>
      <x:c r="G13" s="209" t="n"/>
    </x:row>
    <x:row r="14">
      <x:c r="A14" s="209" t="inlineStr">
        <x:is>
          <x:t xml:space="preserve">Чистая прибыль проекта</x:t>
        </x:is>
      </x:c>
      <x:c r="B14" s="209" t="n">
        <x:v>-5960432.451231525</x:v>
      </x:c>
      <x:c r="C14" s="209" t="n">
        <x:f>'07_PNL_НАЛОГИ'!P42</x:f>
        <x:v>1032905.171268474</x:v>
      </x:c>
      <x:c r="D14" s="209" t="n">
        <x:f>C14-B14</x:f>
        <x:v>6993337.6225</x:v>
      </x:c>
      <x:c r="E14" s="209" t="n">
        <x:f>IF(B14=0,0,D14/ABS(B14))</x:f>
        <x:v>1.1732936627870112</x:v>
      </x:c>
      <x:c r="F14" s="209" t="n"/>
      <x:c r="G14" s="209" t="n"/>
    </x:row>
    <x:row r="15">
      <x:c r="A15" s="209" t="inlineStr">
        <x:is>
          <x:t xml:space="preserve">Доходы ужинов</x:t>
        </x:is>
      </x:c>
      <x:c r="B15" s="209" t="n">
        <x:v>2007500</x:v>
      </x:c>
      <x:c r="C15" s="209" t="n">
        <x:f>'07_PNL_НАЛОГИ'!P21</x:f>
        <x:v>3650000</x:v>
      </x:c>
      <x:c r="D15" s="209" t="n">
        <x:f>C15-B15</x:f>
        <x:v>1642500</x:v>
      </x:c>
      <x:c r="E15" s="209" t="n">
        <x:f>IF(B15=0,0,D15/ABS(B15))</x:f>
        <x:v>0.8181818181818182</x:v>
      </x:c>
      <x:c r="F15" s="209" t="n"/>
      <x:c r="G15" s="209" t="n"/>
    </x:row>
    <x:row r="16">
      <x:c r="A16" s="209" t="inlineStr">
        <x:is>
          <x:t xml:space="preserve">Себестоимость ужинов</x:t>
        </x:is>
      </x:c>
      <x:c r="B16" s="209" t="n">
        <x:v>1003750</x:v>
      </x:c>
      <x:c r="C16" s="209" t="n">
        <x:f>'07_PNL_НАЛОГИ'!P22</x:f>
        <x:v>1095000</x:v>
      </x:c>
      <x:c r="D16" s="209" t="n">
        <x:f>C16-B16</x:f>
        <x:v>91250</x:v>
      </x:c>
      <x:c r="E16" s="209" t="n">
        <x:f>IF(B16=0,0,D16/ABS(B16))</x:f>
        <x:v>0.09090909090909091</x:v>
      </x:c>
      <x:c r="F16" s="209" t="n"/>
      <x:c r="G16" s="209" t="n"/>
    </x:row>
    <x:row r="19">
      <x:c r="A19" s="210" t="inlineStr">
        <x:is>
          <x:t xml:space="preserve">Код input</x:t>
        </x:is>
      </x:c>
      <x:c r="B19" s="210" t="inlineStr">
        <x:is>
          <x:t xml:space="preserve">Параметр</x:t>
        </x:is>
      </x:c>
      <x:c r="C19" s="210" t="inlineStr">
        <x:is>
          <x:t xml:space="preserve">S02</x:t>
        </x:is>
      </x:c>
      <x:c r="D19" s="210" t="inlineStr">
        <x:is>
          <x:t xml:space="preserve">S03</x:t>
        </x:is>
      </x:c>
      <x:c r="E19" s="210" t="inlineStr">
        <x:is>
          <x:t xml:space="preserve">Изменение</x:t>
        </x:is>
      </x:c>
      <x:c r="F19" s="210" t="inlineStr">
        <x:is>
          <x:t xml:space="preserve">Статус</x:t>
        </x:is>
      </x:c>
      <x:c r="G19" s="210" t="inlineStr">
        <x:is>
          <x:t xml:space="preserve">Комментарий</x:t>
        </x:is>
      </x:c>
    </x:row>
    <x:row r="20">
      <x:c r="A20" s="209" t="inlineStr">
        <x:is>
          <x:t xml:space="preserve">CARPETS</x:t>
        </x:is>
      </x:c>
      <x:c r="B20" s="209" t="inlineStr">
        <x:is>
          <x:t xml:space="preserve">Ковры</x:t>
        </x:is>
      </x:c>
      <x:c r="C20" s="209" t="n">
        <x:v>12000</x:v>
      </x:c>
      <x:c r="D20" s="209" t="n">
        <x:v>5000</x:v>
      </x:c>
      <x:c r="E20" s="209" t="n">
        <x:v>-7000</x:v>
      </x:c>
      <x:c r="F20" s="209" t="inlineStr">
        <x:is>
          <x:t xml:space="preserve">Допущение</x:t>
        </x:is>
      </x:c>
      <x:c r="G20" s="209" t="inlineStr">
        <x:is>
          <x:t xml:space="preserve">Изменение зафиксировано в S03 v0.1.4.</x:t>
        </x:is>
      </x:c>
    </x:row>
    <x:row r="21">
      <x:c r="A21" s="209" t="inlineStr">
        <x:is>
          <x:t xml:space="preserve">CASH_RENT</x:t>
        </x:is>
      </x:c>
      <x:c r="B21" s="209" t="inlineStr">
        <x:is>
          <x:t xml:space="preserve">Аренда касс</x:t>
        </x:is>
      </x:c>
      <x:c r="C21" s="209" t="n">
        <x:v>9000</x:v>
      </x:c>
      <x:c r="D21" s="209" t="n">
        <x:v>0</x:v>
      </x:c>
      <x:c r="E21" s="209" t="n">
        <x:v>-9000</x:v>
      </x:c>
      <x:c r="F21" s="209" t="inlineStr">
        <x:is>
          <x:t xml:space="preserve">Подтверждено</x:t>
        </x:is>
      </x:c>
      <x:c r="G21" s="209" t="inlineStr">
        <x:is>
          <x:t xml:space="preserve">Изменение зафиксировано в S03 v0.1.4.</x:t>
        </x:is>
      </x:c>
    </x:row>
    <x:row r="22">
      <x:c r="A22" s="209" t="inlineStr">
        <x:is>
          <x:t xml:space="preserve">COFFEE_RENT</x:t>
        </x:is>
      </x:c>
      <x:c r="B22" s="209" t="inlineStr">
        <x:is>
          <x:t xml:space="preserve">Аренда кофемашины</x:t>
        </x:is>
      </x:c>
      <x:c r="C22" s="209" t="n">
        <x:v>10000</x:v>
      </x:c>
      <x:c r="D22" s="209" t="n">
        <x:v>0</x:v>
      </x:c>
      <x:c r="E22" s="209" t="n">
        <x:v>-10000</x:v>
      </x:c>
      <x:c r="F22" s="209" t="inlineStr">
        <x:is>
          <x:t xml:space="preserve">Подтверждено</x:t>
        </x:is>
      </x:c>
      <x:c r="G22" s="209" t="inlineStr">
        <x:is>
          <x:t xml:space="preserve">Изменение зафиксировано в S03 v0.1.4.</x:t>
        </x:is>
      </x:c>
    </x:row>
    <x:row r="23">
      <x:c r="A23" s="209" t="inlineStr">
        <x:is>
          <x:t xml:space="preserve">EQUIP_MAINT</x:t>
        </x:is>
      </x:c>
      <x:c r="B23" s="209" t="inlineStr">
        <x:is>
          <x:t xml:space="preserve">Обслуживание оборудования</x:t>
        </x:is>
      </x:c>
      <x:c r="C23" s="209" t="n">
        <x:v>10000</x:v>
      </x:c>
      <x:c r="D23" s="209" t="n">
        <x:v>0</x:v>
      </x:c>
      <x:c r="E23" s="209" t="n">
        <x:v>-10000</x:v>
      </x:c>
      <x:c r="F23" s="209" t="inlineStr">
        <x:is>
          <x:t xml:space="preserve">Подтверждено</x:t>
        </x:is>
      </x:c>
      <x:c r="G23" s="209" t="inlineStr">
        <x:is>
          <x:t xml:space="preserve">Изменение зафиксировано в S03 v0.1.4.</x:t>
        </x:is>
      </x:c>
    </x:row>
    <x:row r="24">
      <x:c r="A24" s="209" t="inlineStr">
        <x:is>
          <x:t xml:space="preserve">GREASE</x:t>
        </x:is>
      </x:c>
      <x:c r="B24" s="209" t="inlineStr">
        <x:is>
          <x:t xml:space="preserve">Жироуловитель</x:t>
        </x:is>
      </x:c>
      <x:c r="C24" s="209" t="n">
        <x:v>8000</x:v>
      </x:c>
      <x:c r="D24" s="209" t="n">
        <x:v>0</x:v>
      </x:c>
      <x:c r="E24" s="209" t="n">
        <x:v>-8000</x:v>
      </x:c>
      <x:c r="F24" s="209" t="inlineStr">
        <x:is>
          <x:t xml:space="preserve">Допущение</x:t>
        </x:is>
      </x:c>
      <x:c r="G24" s="209" t="inlineStr">
        <x:is>
          <x:t xml:space="preserve">Изменение зафиксировано в S03 v0.1.4.</x:t>
        </x:is>
      </x:c>
    </x:row>
    <x:row r="25">
      <x:c r="A25" s="209" t="inlineStr">
        <x:is>
          <x:t xml:space="preserve">LAUNDRY</x:t>
        </x:is>
      </x:c>
      <x:c r="B25" s="209" t="inlineStr">
        <x:is>
          <x:t xml:space="preserve">Стирка</x:t>
        </x:is>
      </x:c>
      <x:c r="C25" s="209" t="n">
        <x:v>15000</x:v>
      </x:c>
      <x:c r="D25" s="209" t="n">
        <x:v>0</x:v>
      </x:c>
      <x:c r="E25" s="209" t="n">
        <x:v>-15000</x:v>
      </x:c>
      <x:c r="F25" s="209" t="inlineStr">
        <x:is>
          <x:t xml:space="preserve">Допущение</x:t>
        </x:is>
      </x:c>
      <x:c r="G25" s="209" t="inlineStr">
        <x:is>
          <x:t xml:space="preserve">Изменение зафиксировано в S03 v0.1.4.</x:t>
        </x:is>
      </x:c>
    </x:row>
    <x:row r="26">
      <x:c r="A26" s="209" t="inlineStr">
        <x:is>
          <x:t xml:space="preserve">LEGAL</x:t>
        </x:is>
      </x:c>
      <x:c r="B26" s="209" t="inlineStr">
        <x:is>
          <x:t xml:space="preserve">Юридические услуги</x:t>
        </x:is>
      </x:c>
      <x:c r="C26" s="209" t="n">
        <x:v>10000</x:v>
      </x:c>
      <x:c r="D26" s="209" t="n">
        <x:v>0</x:v>
      </x:c>
      <x:c r="E26" s="209" t="n">
        <x:v>-10000</x:v>
      </x:c>
      <x:c r="F26" s="209" t="inlineStr">
        <x:is>
          <x:t xml:space="preserve">Допущение</x:t>
        </x:is>
      </x:c>
      <x:c r="G26" s="209" t="inlineStr">
        <x:is>
          <x:t xml:space="preserve">Изменение зафиксировано в S03 v0.1.4.</x:t>
        </x:is>
      </x:c>
    </x:row>
    <x:row r="27">
      <x:c r="A27" s="209" t="inlineStr">
        <x:is>
          <x:t xml:space="preserve">S03_DINNER_CHECK</x:t>
        </x:is>
      </x:c>
      <x:c r="B27" s="209" t="inlineStr">
        <x:is>
          <x:t xml:space="preserve">Средний чек ужина</x:t>
        </x:is>
      </x:c>
      <x:c r="C27" s="209" t="n">
        <x:v>550</x:v>
      </x:c>
      <x:c r="D27" s="209" t="n">
        <x:v>1000</x:v>
      </x:c>
      <x:c r="E27" s="209" t="n">
        <x:v>450</x:v>
      </x:c>
      <x:c r="F27" s="209" t="inlineStr">
        <x:is>
          <x:t xml:space="preserve">Рабочее допущение</x:t>
        </x:is>
      </x:c>
      <x:c r="G27" s="209" t="inlineStr">
        <x:is>
          <x:t xml:space="preserve">Изменение зафиксировано в S03 v0.1.4.</x:t>
        </x:is>
      </x:c>
    </x:row>
    <x:row r="28">
      <x:c r="A28" s="209" t="inlineStr">
        <x:is>
          <x:t xml:space="preserve">SES</x:t>
        </x:is>
      </x:c>
      <x:c r="B28" s="209" t="inlineStr">
        <x:is>
          <x:t xml:space="preserve">СЭС</x:t>
        </x:is>
      </x:c>
      <x:c r="C28" s="209" t="n">
        <x:v>15000</x:v>
      </x:c>
      <x:c r="D28" s="209" t="n">
        <x:v>2000</x:v>
      </x:c>
      <x:c r="E28" s="209" t="n">
        <x:v>-13000</x:v>
      </x:c>
      <x:c r="F28" s="209" t="inlineStr">
        <x:is>
          <x:t xml:space="preserve">Подтверждено</x:t>
        </x:is>
      </x:c>
      <x:c r="G28" s="209" t="inlineStr">
        <x:is>
          <x:t xml:space="preserve">Изменение зафиксировано в S03 v0.1.4.</x:t>
        </x:is>
      </x:c>
    </x:row>
    <x:row r="29">
      <x:c r="A29" s="209" t="inlineStr">
        <x:is>
          <x:t xml:space="preserve">STAFF_MEALS</x:t>
        </x:is>
      </x:c>
      <x:c r="B29" s="209" t="inlineStr">
        <x:is>
          <x:t xml:space="preserve">Питание персонала</x:t>
        </x:is>
      </x:c>
      <x:c r="C29" s="209" t="n">
        <x:v>0</x:v>
      </x:c>
      <x:c r="D29" s="209" t="n">
        <x:v>15000</x:v>
      </x:c>
      <x:c r="E29" s="209" t="n">
        <x:v>15000</x:v>
      </x:c>
      <x:c r="F29" s="209" t="inlineStr">
        <x:is>
          <x:t xml:space="preserve">Требует уточнения</x:t>
        </x:is>
      </x:c>
      <x:c r="G29" s="209" t="inlineStr">
        <x:is>
          <x:t xml:space="preserve">Изменение зафиксировано в S03 v0.1.4.</x:t>
        </x:is>
      </x:c>
    </x:row>
    <x:row r="30">
      <x:c r="A30" s="209" t="inlineStr">
        <x:is>
          <x:t xml:space="preserve">VENT</x:t>
        </x:is>
      </x:c>
      <x:c r="B30" s="209" t="inlineStr">
        <x:is>
          <x:t xml:space="preserve">Вентиляция</x:t>
        </x:is>
      </x:c>
      <x:c r="C30" s="209" t="n">
        <x:v>6000</x:v>
      </x:c>
      <x:c r="D30" s="209" t="n">
        <x:v>2000</x:v>
      </x:c>
      <x:c r="E30" s="209" t="n">
        <x:v>-4000</x:v>
      </x:c>
      <x:c r="F30" s="209" t="inlineStr">
        <x:is>
          <x:t xml:space="preserve">Подтверждено</x:t>
        </x:is>
      </x:c>
      <x:c r="G30" s="209" t="inlineStr">
        <x:is>
          <x:t xml:space="preserve">Изменение зафиксировано в S03 v0.1.4.</x:t>
        </x:is>
      </x:c>
    </x:row>
    <x:row r="31">
      <x:c r="A31" s="209" t="inlineStr">
        <x:is>
          <x:t xml:space="preserve">S03_DINNER_COGS</x:t>
        </x:is>
      </x:c>
      <x:c r="B31" s="209" t="inlineStr">
        <x:is>
          <x:t xml:space="preserve">Food cost ужина</x:t>
        </x:is>
      </x:c>
      <x:c r="C31" s="209" t="n">
        <x:v>0.5</x:v>
      </x:c>
      <x:c r="D31" s="209" t="n">
        <x:v>0.3</x:v>
      </x:c>
      <x:c r="E31" s="209" t="n">
        <x:v>-0.2</x:v>
      </x:c>
      <x:c r="F31" s="209" t="inlineStr">
        <x:is>
          <x:t xml:space="preserve">Расчёт / связано</x:t>
        </x:is>
      </x:c>
      <x:c r="G31" s="209" t="inlineStr">
        <x:is>
          <x:t xml:space="preserve">Изменение зафиксировано в S03 v0.1.4.</x:t>
        </x:is>
      </x:c>
    </x:row>
    <x:row r="33">
      <x:c r="A33" s="208" t="inlineStr">
        <x:is>
          <x:t xml:space="preserve">Техническая проверка</x:t>
        </x:is>
      </x:c>
      <x:c r="B33" s="208" t="inlineStr">
        <x:is>
          <x:t xml:space="preserve">S02</x:t>
        </x:is>
      </x:c>
      <x:c r="C33" s="208" t="inlineStr">
        <x:is>
          <x:t xml:space="preserve">Source v0.2.0</x:t>
        </x:is>
      </x:c>
      <x:c r="D33" s="208" t="inlineStr">
        <x:is>
          <x:t xml:space="preserve">Публикационный S03</x:t>
        </x:is>
      </x:c>
      <x:c r="E33" s="208" t="n"/>
      <x:c r="F33" s="208" t="n"/>
      <x:c r="G33" s="208" t="n"/>
    </x:row>
    <x:row r="34">
      <x:c r="A34" s="209" t="inlineStr">
        <x:is>
          <x:t xml:space="preserve">Количество формул</x:t>
        </x:is>
      </x:c>
      <x:c r="B34" s="209" t="n">
        <x:v>6588</x:v>
      </x:c>
      <x:c r="C34" s="209" t="n">
        <x:v>6588</x:v>
      </x:c>
      <x:c r="D34" s="209" t="n">
        <x:v>6589</x:v>
      </x:c>
      <x:c r="E34" s="209" t="n"/>
      <x:c r="F34" s="209" t="n"/>
      <x:c r="G34" s="209" t="n"/>
    </x:row>
    <x:row r="35">
      <x:c r="A35" s="209" t="inlineStr">
        <x:is>
          <x:t xml:space="preserve">Контрольные строки</x:t>
        </x:is>
      </x:c>
      <x:c r="B35" s="209" t="n">
        <x:v>21</x:v>
      </x:c>
      <x:c r="C35" s="209" t="n">
        <x:v>21</x:v>
      </x:c>
      <x:c r="D35" s="209" t="n">
        <x:v>22</x:v>
      </x:c>
      <x:c r="E35" s="209" t="n"/>
      <x:c r="F35" s="209" t="n"/>
      <x:c r="G35" s="209" t="n"/>
    </x:row>
    <x:row r="36">
      <x:c r="A36" s="209" t="inlineStr">
        <x:is>
          <x:t xml:space="preserve">Формульные ошибки</x:t>
        </x:is>
      </x:c>
      <x:c r="B36" s="209" t="inlineStr">
        <x:is>
          <x:t xml:space="preserve">0</x:t>
        </x:is>
      </x:c>
      <x:c r="C36" s="209" t="inlineStr">
        <x:is>
          <x:t xml:space="preserve">0</x:t>
        </x:is>
      </x:c>
      <x:c r="D36" s="209" t="inlineStr">
        <x:is>
          <x:t xml:space="preserve">0</x:t>
        </x:is>
      </x:c>
      <x:c r="E36" s="209" t="n"/>
      <x:c r="F36" s="209" t="n"/>
      <x:c r="G36" s="209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0" hidden="0" customWidth="1"/>
    <x:col min="3" max="3" width="17" hidden="0" customWidth="1"/>
    <x:col min="4" max="4" width="12" hidden="0" customWidth="1"/>
    <x:col min="5" max="5" width="42" hidden="0" customWidth="1"/>
    <x:col min="6" max="6" width="18" hidden="0" customWidth="1"/>
    <x:col min="7" max="7" width="10" hidden="0" customWidth="1"/>
    <x:col min="8" max="8" width="12" hidden="0" customWidth="1"/>
    <x:col min="9" max="9" width="14" hidden="0" customWidth="1"/>
    <x:col min="10" max="10" width="13" hidden="0" customWidth="1"/>
    <x:col min="11" max="11" width="13" hidden="0" customWidth="1"/>
    <x:col min="12" max="12" width="14" hidden="0" customWidth="1"/>
    <x:col min="13" max="13" width="14" hidden="0" customWidth="1"/>
    <x:col min="14" max="14" width="15" hidden="0" customWidth="1"/>
    <x:col min="15" max="15" width="14" hidden="0" customWidth="1"/>
    <x:col min="16" max="16" width="14" hidden="0" customWidth="1"/>
    <x:col min="17" max="17" width="18" hidden="0" customWidth="1"/>
    <x:col min="18" max="18" width="14" hidden="0" customWidth="1"/>
    <x:col min="19" max="19" width="14" hidden="0" customWidth="1"/>
  </x:cols>
  <x:sheetData>
    <x:row r="1" ht="28" customHeight="1">
      <x:c r="A1" s="213" t="str">
        <x:v>VARSHAVKA — комплект посуды, достаточность и резерв на бой</x:v>
      </x:c>
      <x:c r="B1" s="213"/>
      <x:c r="C1" s="213"/>
      <x:c r="D1" s="213"/>
      <x:c r="E1" s="213"/>
      <x:c r="F1" s="213"/>
      <x:c r="G1" s="213"/>
      <x:c r="H1" s="213"/>
      <x:c r="I1" s="213"/>
      <x:c r="J1" s="213"/>
      <x:c r="K1" s="213"/>
      <x:c r="L1" s="213"/>
      <x:c r="M1" s="213"/>
      <x:c r="N1" s="213"/>
      <x:c r="O1" s="213"/>
      <x:c r="P1" s="213"/>
      <x:c r="Q1" s="213"/>
      <x:c r="R1" s="213"/>
      <x:c r="S1" s="213"/>
    </x:row>
    <x:row r="2" ht="42" customHeight="1">
      <x:c r="A2" s="217" t="str">
        <x:v>Расчёт выполнен по максимальной вместимости 26 мест, фактическому прогнозу гостей сценария S03 и ежемесячному резерву на бой/поломку. Экспертная оценка Андрея Никитина: комплект минимально достаточен на 3–6 месяцев при возможности дозаказа.</x:v>
      </x:c>
      <x:c r="B2" s="217"/>
      <x:c r="C2" s="217"/>
      <x:c r="D2" s="217"/>
      <x:c r="E2" s="217"/>
      <x:c r="F2" s="217"/>
      <x:c r="G2" s="217"/>
      <x:c r="H2" s="217"/>
      <x:c r="I2" s="217"/>
      <x:c r="J2" s="217"/>
      <x:c r="K2" s="217"/>
      <x:c r="L2" s="217"/>
      <x:c r="M2" s="217"/>
      <x:c r="N2" s="217"/>
      <x:c r="O2" s="217"/>
      <x:c r="P2" s="217"/>
      <x:c r="Q2" s="217"/>
      <x:c r="R2" s="217"/>
      <x:c r="S2" s="217"/>
    </x:row>
    <x:row r="4" ht="34" customHeight="1">
      <x:c r="A4" s="220" t="str">
        <x:v>Прогноз гостей зала / год</x:v>
      </x:c>
      <x:c r="B4" s="220"/>
      <x:c r="C4" s="224" t="n">
        <x:f>SUM('02_КАЛЕНДАРЬ'!$M$5:$M$369,'02_КАЛЕНДАРЬ'!$N$5:$N$369,'02_КАЛЕНДАРЬ'!$R$5:$R$369,'02_КАЛЕНДАРЬ'!$U$5:$U$369)+SUM('02_КАЛЕНДАРЬ'!$S$5:$S$369)*'01_ВВОД'!$D$53</x:f>
        <x:v>36761.2</x:v>
      </x:c>
      <x:c r="D4" s="220" t="str">
        <x:v>Расчётных мест</x:v>
      </x:c>
      <x:c r="E4" s="220"/>
      <x:c r="F4" s="224" t="n">
        <x:f>'01_ВВОД'!$D$10</x:f>
        <x:v>20</x:v>
      </x:c>
      <x:c r="G4" s="220" t="str">
        <x:v>Максимум мест</x:v>
      </x:c>
      <x:c r="H4" s="220"/>
      <x:c r="I4" s="224" t="n">
        <x:f>'01_ВВОД'!$D$11</x:f>
        <x:v>26</x:v>
      </x:c>
      <x:c r="J4" s="220" t="str">
        <x:v>Пиковый прогноз гостей / день</x:v>
      </x:c>
      <x:c r="K4" s="220"/>
      <x:c r="L4" s="220"/>
      <x:c r="M4" s="224" t="n">
        <x:f>MAX('01_ВВОД'!$D$20+'01_ВВОД'!$D$26+'01_ВВОД'!$D$46+'01_ВВОД'!$D$46*'01_ВВОД'!$D$120,'01_ВВОД'!$D$21+'01_ВВОД'!$D$46+'01_ВВОД'!$D$46*'01_ВВОД'!$D$120,'01_ВВОД'!$D$22+'01_ВВОД'!$D$46+'01_ВВОД'!$D$46*'01_ВВОД'!$D$120,'01_ВВОД'!$D$19+'01_ВВОД'!$D$26+'01_ВВОД'!$D$46+'01_ВВОД'!$D$46*'01_ВВОД'!$D$120)</x:f>
        <x:v>305</x:v>
      </x:c>
      <x:c r="N4" s="220" t="str">
        <x:v>Экспертная оценка</x:v>
      </x:c>
      <x:c r="O4" s="220"/>
      <x:c r="P4" s="223" t="str">
        <x:v>3–6 месяцев</x:v>
      </x:c>
      <x:c r="Q4" s="223"/>
      <x:c r="R4" s="223"/>
      <x:c r="S4" s="223"/>
    </x:row>
    <x:row r="5" ht="34" customHeight="1">
      <x:c r="A5" s="220" t="str">
        <x:v>Первоначальный заказ, руб.</x:v>
      </x:c>
      <x:c r="B5" s="220"/>
      <x:c r="C5" s="224" t="n">
        <x:f>SUM(I9:I29)</x:f>
        <x:v>372013</x:v>
      </x:c>
      <x:c r="D5" s="220" t="str">
        <x:v>Резерв пополнения / мес., руб.</x:v>
      </x:c>
      <x:c r="E5" s="220"/>
      <x:c r="F5" s="224" t="n">
        <x:f>SUMPRODUCT(I9:I29,M9:M29)</x:f>
        <x:v>10884.63</x:v>
      </x:c>
      <x:c r="G5" s="220" t="str">
        <x:v>Резерв пополнения / год, руб.</x:v>
      </x:c>
      <x:c r="H5" s="220"/>
      <x:c r="I5" s="224" t="n">
        <x:f>F5*12</x:f>
        <x:v>130615.56</x:v>
      </x:c>
      <x:c r="J5" s="220" t="str">
        <x:v>Позиции с риском к 6 мес.</x:v>
      </x:c>
      <x:c r="K5" s="220"/>
      <x:c r="L5" s="220"/>
      <x:c r="M5" s="224" t="n">
        <x:f>COUNTIF(Q9:Q29,"Нужен дозаказ")</x:f>
        <x:v>5</x:v>
      </x:c>
      <x:c r="N5" s="220" t="str">
        <x:v>Итог</x:v>
      </x:c>
      <x:c r="O5" s="220"/>
      <x:c r="P5" s="223" t="str">
        <x:f>IF(COUNTIF(L9:L29,"Дефицит")=0,"Достаточно на старте; нужен плановый дозаказ","Есть дефицит на старте")</x:f>
        <x:v>Достаточно на старте; нужен плановый дозаказ</x:v>
      </x:c>
      <x:c r="Q5" s="223"/>
      <x:c r="R5" s="223"/>
      <x:c r="S5" s="223"/>
    </x:row>
    <x:row r="6" ht="34" customHeight="1">
      <x:c r="A6" s="220" t="str">
        <x:v>Горизонт контроля, мес.</x:v>
      </x:c>
      <x:c r="B6" s="220"/>
      <x:c r="C6" s="224" t="n">
        <x:v>6</x:v>
      </x:c>
      <x:c r="D6" s="220" t="str">
        <x:v>Исходная подборка — зал</x:v>
      </x:c>
      <x:c r="E6" s="220"/>
      <x:c r="F6" s="225" t="str">
        <x:v>Открыть</x:v>
      </x:c>
      <x:c r="G6" s="220" t="str">
        <x:v>Исходная подборка — бар</x:v>
      </x:c>
      <x:c r="H6" s="220"/>
      <x:c r="I6" s="225" t="str">
        <x:v>Открыть</x:v>
      </x:c>
      <x:c r="J6" s="220" t="str">
        <x:v>Единый реестр</x:v>
      </x:c>
      <x:c r="K6" s="220"/>
      <x:c r="L6" s="220"/>
      <x:c r="M6" s="225" t="str">
        <x:v>Открыть</x:v>
      </x:c>
      <x:c r="N6" s="220" t="str">
        <x:v>Ответственный центр</x:v>
      </x:c>
      <x:c r="O6" s="220"/>
      <x:c r="P6" s="223" t="str">
        <x:v>Центр инвестиций VARSHAVKA</x:v>
      </x:c>
      <x:c r="Q6" s="223"/>
      <x:c r="R6" s="223"/>
      <x:c r="S6" s="223"/>
    </x:row>
    <x:row r="8" ht="36" customHeight="1">
      <x:c r="A8" s="230" t="str">
        <x:v>№</x:v>
      </x:c>
      <x:c r="B8" s="230" t="str">
        <x:v>Подборка</x:v>
      </x:c>
      <x:c r="C8" s="230" t="str">
        <x:v>Материал</x:v>
      </x:c>
      <x:c r="D8" s="230" t="str">
        <x:v>Артикул</x:v>
      </x:c>
      <x:c r="E8" s="230" t="str">
        <x:v>Товар</x:v>
      </x:c>
      <x:c r="F8" s="230" t="str">
        <x:v>Категория</x:v>
      </x:c>
      <x:c r="G8" s="230" t="str">
        <x:v>Кол-во</x:v>
      </x:c>
      <x:c r="H8" s="230" t="str">
        <x:v>Цена, руб.</x:v>
      </x:c>
      <x:c r="I8" s="230" t="str">
        <x:v>Сумма, руб.</x:v>
      </x:c>
      <x:c r="J8" s="230" t="str">
        <x:v>Пар к макс. местам</x:v>
      </x:c>
      <x:c r="K8" s="230" t="str">
        <x:v>Нужно на старте</x:v>
      </x:c>
      <x:c r="L8" s="230" t="str">
        <x:v>Статус старта</x:v>
      </x:c>
      <x:c r="M8" s="230" t="str">
        <x:v>Бой/поломка в мес.</x:v>
      </x:c>
      <x:c r="N8" s="230" t="str">
        <x:v>Остаток через 6 мес.</x:v>
      </x:c>
      <x:c r="O8" s="230" t="str">
        <x:v>Норма через 6 мес.</x:v>
      </x:c>
      <x:c r="P8" s="230" t="str">
        <x:v>Запас / дефицит</x:v>
      </x:c>
      <x:c r="Q8" s="230" t="str">
        <x:v>Статус через 6 мес.</x:v>
      </x:c>
      <x:c r="R8" s="230" t="str">
        <x:v>Использование</x:v>
      </x:c>
      <x:c r="S8" s="230" t="str">
        <x:v>Карточка товара</x:v>
      </x:c>
    </x:row>
    <x:row r="9">
      <x:c r="A9" s="223" t="n">
        <x:v>1</x:v>
      </x:c>
      <x:c r="B9" s="223" t="str">
        <x:v>Зал</x:v>
      </x:c>
      <x:c r="C9" s="223" t="str">
        <x:v>Фарфор</x:v>
      </x:c>
      <x:c r="D9" s="223" t="str">
        <x:v>03011857</x:v>
      </x:c>
      <x:c r="E9" s="223" t="str">
        <x:v>Тарелка «Кунстверк» мелкая без борта, D=260 мм</x:v>
      </x:c>
      <x:c r="F9" s="223" t="str">
        <x:v>Тарелки</x:v>
      </x:c>
      <x:c r="G9" s="234" t="n">
        <x:v>60</x:v>
      </x:c>
      <x:c r="H9" s="236" t="n">
        <x:v>620</x:v>
      </x:c>
      <x:c r="I9" s="236" t="n">
        <x:f>G9*H9</x:f>
        <x:v>37200</x:v>
      </x:c>
      <x:c r="J9" s="238" t="n">
        <x:v>2</x:v>
      </x:c>
      <x:c r="K9" s="234" t="n">
        <x:f>ROUNDUP('01_ВВОД'!$D$11*J9,0)</x:f>
        <x:v>52</x:v>
      </x:c>
      <x:c r="L9" s="223" t="str">
        <x:f>IF(G9&gt;=K9,"Достаточно","Дефицит")</x:f>
        <x:v>Достаточно</x:v>
      </x:c>
      <x:c r="M9" s="239" t="n">
        <x:v>0.03</x:v>
      </x:c>
      <x:c r="N9" s="240" t="n">
        <x:f>ROUND(G9*(1-M9)^$C$6,1)</x:f>
        <x:v>50</x:v>
      </x:c>
      <x:c r="O9" s="240" t="n">
        <x:f>K9</x:f>
        <x:v>52</x:v>
      </x:c>
      <x:c r="P9" s="240" t="n">
        <x:f>N9-O9</x:f>
        <x:v>-2</x:v>
      </x:c>
      <x:c r="Q9" s="223" t="str">
        <x:f>IF(P9&gt;=0,"Достаточно","Нужен дозаказ")</x:f>
        <x:v>Нужен дозаказ</x:v>
      </x:c>
      <x:c r="R9" s="223" t="str">
        <x:v>Совместное</x:v>
      </x:c>
      <x:c r="S9" s="242" t="str">
        <x:v>Открыть</x:v>
      </x:c>
    </x:row>
    <x:row r="10">
      <x:c r="A10" s="223" t="n">
        <x:v>2</x:v>
      </x:c>
      <x:c r="B10" s="223" t="str">
        <x:v>Зал</x:v>
      </x:c>
      <x:c r="C10" s="223" t="str">
        <x:v>Фарфор</x:v>
      </x:c>
      <x:c r="D10" s="223" t="str">
        <x:v>03011456</x:v>
      </x:c>
      <x:c r="E10" s="223" t="str">
        <x:v>Тарелка «Кунстверк» мелкая без борта, D=230 мм</x:v>
      </x:c>
      <x:c r="F10" s="223" t="str">
        <x:v>Тарелки</x:v>
      </x:c>
      <x:c r="G10" s="234" t="n">
        <x:v>60</x:v>
      </x:c>
      <x:c r="H10" s="236" t="n">
        <x:v>412</x:v>
      </x:c>
      <x:c r="I10" s="236" t="n">
        <x:f>G10*H10</x:f>
        <x:v>24720</x:v>
      </x:c>
      <x:c r="J10" s="238" t="n">
        <x:v>2</x:v>
      </x:c>
      <x:c r="K10" s="234" t="n">
        <x:f>ROUNDUP('01_ВВОД'!$D$11*J10,0)</x:f>
        <x:v>52</x:v>
      </x:c>
      <x:c r="L10" s="223" t="str">
        <x:f>IF(G10&gt;=K10,"Достаточно","Дефицит")</x:f>
        <x:v>Достаточно</x:v>
      </x:c>
      <x:c r="M10" s="239" t="n">
        <x:v>0.03</x:v>
      </x:c>
      <x:c r="N10" s="240" t="n">
        <x:f>ROUND(G10*(1-M10)^$C$6,1)</x:f>
        <x:v>50</x:v>
      </x:c>
      <x:c r="O10" s="240" t="n">
        <x:f>K10</x:f>
        <x:v>52</x:v>
      </x:c>
      <x:c r="P10" s="240" t="n">
        <x:f>N10-O10</x:f>
        <x:v>-2</x:v>
      </x:c>
      <x:c r="Q10" s="223" t="str">
        <x:f>IF(P10&gt;=0,"Достаточно","Нужен дозаказ")</x:f>
        <x:v>Нужен дозаказ</x:v>
      </x:c>
      <x:c r="R10" s="223" t="str">
        <x:v>Совместное</x:v>
      </x:c>
      <x:c r="S10" s="242" t="str">
        <x:v>Открыть</x:v>
      </x:c>
    </x:row>
    <x:row r="11">
      <x:c r="A11" s="223" t="n">
        <x:v>3</x:v>
      </x:c>
      <x:c r="B11" s="223" t="str">
        <x:v>Зал</x:v>
      </x:c>
      <x:c r="C11" s="223" t="str">
        <x:v>Фарфор</x:v>
      </x:c>
      <x:c r="D11" s="223" t="str">
        <x:v>03010413</x:v>
      </x:c>
      <x:c r="E11" s="223" t="str">
        <x:v>Тарелка «Кунстверк» мелкая без борта, D=175 мм</x:v>
      </x:c>
      <x:c r="F11" s="223" t="str">
        <x:v>Тарелки</x:v>
      </x:c>
      <x:c r="G11" s="234" t="n">
        <x:v>60</x:v>
      </x:c>
      <x:c r="H11" s="236" t="n">
        <x:v>182</x:v>
      </x:c>
      <x:c r="I11" s="236" t="n">
        <x:f>G11*H11</x:f>
        <x:v>10920</x:v>
      </x:c>
      <x:c r="J11" s="238" t="n">
        <x:v>2</x:v>
      </x:c>
      <x:c r="K11" s="234" t="n">
        <x:f>ROUNDUP('01_ВВОД'!$D$11*J11,0)</x:f>
        <x:v>52</x:v>
      </x:c>
      <x:c r="L11" s="223" t="str">
        <x:f>IF(G11&gt;=K11,"Достаточно","Дефицит")</x:f>
        <x:v>Достаточно</x:v>
      </x:c>
      <x:c r="M11" s="239" t="n">
        <x:v>0.03</x:v>
      </x:c>
      <x:c r="N11" s="240" t="n">
        <x:f>ROUND(G11*(1-M11)^$C$6,1)</x:f>
        <x:v>50</x:v>
      </x:c>
      <x:c r="O11" s="240" t="n">
        <x:f>K11</x:f>
        <x:v>52</x:v>
      </x:c>
      <x:c r="P11" s="240" t="n">
        <x:f>N11-O11</x:f>
        <x:v>-2</x:v>
      </x:c>
      <x:c r="Q11" s="223" t="str">
        <x:f>IF(P11&gt;=0,"Достаточно","Нужен дозаказ")</x:f>
        <x:v>Нужен дозаказ</x:v>
      </x:c>
      <x:c r="R11" s="223" t="str">
        <x:v>Совместное</x:v>
      </x:c>
      <x:c r="S11" s="242" t="str">
        <x:v>Открыть</x:v>
      </x:c>
    </x:row>
    <x:row r="12">
      <x:c r="A12" s="223" t="n">
        <x:v>4</x:v>
      </x:c>
      <x:c r="B12" s="223" t="str">
        <x:v>Зал</x:v>
      </x:c>
      <x:c r="C12" s="223" t="str">
        <x:v>Фарфор</x:v>
      </x:c>
      <x:c r="D12" s="223" t="str">
        <x:v>03010981</x:v>
      </x:c>
      <x:c r="E12" s="223" t="str">
        <x:v>Тарелка глубокая «Кунстверк», 400 мл</x:v>
      </x:c>
      <x:c r="F12" s="223" t="str">
        <x:v>Тарелки</x:v>
      </x:c>
      <x:c r="G12" s="234" t="n">
        <x:v>60</x:v>
      </x:c>
      <x:c r="H12" s="236" t="n">
        <x:v>483</x:v>
      </x:c>
      <x:c r="I12" s="236" t="n">
        <x:f>G12*H12</x:f>
        <x:v>28980</x:v>
      </x:c>
      <x:c r="J12" s="238" t="n">
        <x:v>2</x:v>
      </x:c>
      <x:c r="K12" s="234" t="n">
        <x:f>ROUNDUP('01_ВВОД'!$D$11*J12,0)</x:f>
        <x:v>52</x:v>
      </x:c>
      <x:c r="L12" s="223" t="str">
        <x:f>IF(G12&gt;=K12,"Достаточно","Дефицит")</x:f>
        <x:v>Достаточно</x:v>
      </x:c>
      <x:c r="M12" s="239" t="n">
        <x:v>0.03</x:v>
      </x:c>
      <x:c r="N12" s="240" t="n">
        <x:f>ROUND(G12*(1-M12)^$C$6,1)</x:f>
        <x:v>50</x:v>
      </x:c>
      <x:c r="O12" s="240" t="n">
        <x:f>K12</x:f>
        <x:v>52</x:v>
      </x:c>
      <x:c r="P12" s="240" t="n">
        <x:f>N12-O12</x:f>
        <x:v>-2</x:v>
      </x:c>
      <x:c r="Q12" s="223" t="str">
        <x:f>IF(P12&gt;=0,"Достаточно","Нужен дозаказ")</x:f>
        <x:v>Нужен дозаказ</x:v>
      </x:c>
      <x:c r="R12" s="223" t="str">
        <x:v>Совместное</x:v>
      </x:c>
      <x:c r="S12" s="242" t="str">
        <x:v>Открыть</x:v>
      </x:c>
    </x:row>
    <x:row r="13">
      <x:c r="A13" s="223" t="n">
        <x:v>5</x:v>
      </x:c>
      <x:c r="B13" s="223" t="str">
        <x:v>Зал</x:v>
      </x:c>
      <x:c r="C13" s="223" t="str">
        <x:v>Фарфор</x:v>
      </x:c>
      <x:c r="D13" s="223" t="str">
        <x:v>03140689</x:v>
      </x:c>
      <x:c r="E13" s="223" t="str">
        <x:v>Чайная пара «Кунстверк», 200 мл</x:v>
      </x:c>
      <x:c r="F13" s="223" t="str">
        <x:v>Чайные пары</x:v>
      </x:c>
      <x:c r="G13" s="234" t="n">
        <x:v>60</x:v>
      </x:c>
      <x:c r="H13" s="236" t="n">
        <x:v>298</x:v>
      </x:c>
      <x:c r="I13" s="236" t="n">
        <x:f>G13*H13</x:f>
        <x:v>17880</x:v>
      </x:c>
      <x:c r="J13" s="238" t="n">
        <x:v>1.5</x:v>
      </x:c>
      <x:c r="K13" s="234" t="n">
        <x:f>ROUNDUP('01_ВВОД'!$D$11*J13,0)</x:f>
        <x:v>39</x:v>
      </x:c>
      <x:c r="L13" s="223" t="str">
        <x:f>IF(G13&gt;=K13,"Достаточно","Дефицит")</x:f>
        <x:v>Достаточно</x:v>
      </x:c>
      <x:c r="M13" s="239" t="n">
        <x:v>0.03</x:v>
      </x:c>
      <x:c r="N13" s="240" t="n">
        <x:f>ROUND(G13*(1-M13)^$C$6,1)</x:f>
        <x:v>50</x:v>
      </x:c>
      <x:c r="O13" s="240" t="n">
        <x:f>K13</x:f>
        <x:v>39</x:v>
      </x:c>
      <x:c r="P13" s="240" t="n">
        <x:f>N13-O13</x:f>
        <x:v>11</x:v>
      </x:c>
      <x:c r="Q13" s="223" t="str">
        <x:f>IF(P13&gt;=0,"Достаточно","Нужен дозаказ")</x:f>
        <x:v>Достаточно</x:v>
      </x:c>
      <x:c r="R13" s="223" t="str">
        <x:v>Совместное</x:v>
      </x:c>
      <x:c r="S13" s="242" t="str">
        <x:v>Открыть</x:v>
      </x:c>
    </x:row>
    <x:row r="14">
      <x:c r="A14" s="223" t="n">
        <x:v>6</x:v>
      </x:c>
      <x:c r="B14" s="223" t="str">
        <x:v>Зал</x:v>
      </x:c>
      <x:c r="C14" s="223" t="str">
        <x:v>Фарфор</x:v>
      </x:c>
      <x:c r="D14" s="223" t="str">
        <x:v>03150420</x:v>
      </x:c>
      <x:c r="E14" s="223" t="str">
        <x:v>Чайник заварочный «Кунстверк», 0,8 л</x:v>
      </x:c>
      <x:c r="F14" s="223" t="str">
        <x:v>Чайники</x:v>
      </x:c>
      <x:c r="G14" s="234" t="n">
        <x:v>30</x:v>
      </x:c>
      <x:c r="H14" s="236" t="n">
        <x:v>475</x:v>
      </x:c>
      <x:c r="I14" s="236" t="n">
        <x:f>G14*H14</x:f>
        <x:v>14250</x:v>
      </x:c>
      <x:c r="J14" s="238" t="n">
        <x:v>0.5</x:v>
      </x:c>
      <x:c r="K14" s="234" t="n">
        <x:f>ROUNDUP('01_ВВОД'!$D$11*J14,0)</x:f>
        <x:v>13</x:v>
      </x:c>
      <x:c r="L14" s="223" t="str">
        <x:f>IF(G14&gt;=K14,"Достаточно","Дефицит")</x:f>
        <x:v>Достаточно</x:v>
      </x:c>
      <x:c r="M14" s="239" t="n">
        <x:v>0.03</x:v>
      </x:c>
      <x:c r="N14" s="240" t="n">
        <x:f>ROUND(G14*(1-M14)^$C$6,1)</x:f>
        <x:v>25</x:v>
      </x:c>
      <x:c r="O14" s="240" t="n">
        <x:f>K14</x:f>
        <x:v>13</x:v>
      </x:c>
      <x:c r="P14" s="240" t="n">
        <x:f>N14-O14</x:f>
        <x:v>12</x:v>
      </x:c>
      <x:c r="Q14" s="223" t="str">
        <x:f>IF(P14&gt;=0,"Достаточно","Нужен дозаказ")</x:f>
        <x:v>Достаточно</x:v>
      </x:c>
      <x:c r="R14" s="223" t="str">
        <x:v>Совместное</x:v>
      </x:c>
      <x:c r="S14" s="242" t="str">
        <x:v>Открыть</x:v>
      </x:c>
    </x:row>
    <x:row r="15">
      <x:c r="A15" s="223" t="n">
        <x:v>7</x:v>
      </x:c>
      <x:c r="B15" s="223" t="str">
        <x:v>Зал</x:v>
      </x:c>
      <x:c r="C15" s="223" t="str">
        <x:v>Фарфор</x:v>
      </x:c>
      <x:c r="D15" s="223" t="str">
        <x:v>03040142</x:v>
      </x:c>
      <x:c r="E15" s="223" t="str">
        <x:v>Соусник «Кунстверк», 100 мл</x:v>
      </x:c>
      <x:c r="F15" s="223" t="str">
        <x:v>Соусники</x:v>
      </x:c>
      <x:c r="G15" s="234" t="n">
        <x:v>24</x:v>
      </x:c>
      <x:c r="H15" s="236" t="n">
        <x:v>82</x:v>
      </x:c>
      <x:c r="I15" s="236" t="n">
        <x:f>G15*H15</x:f>
        <x:v>1968</x:v>
      </x:c>
      <x:c r="J15" s="238" t="n">
        <x:v>0.5</x:v>
      </x:c>
      <x:c r="K15" s="234" t="n">
        <x:f>ROUNDUP('01_ВВОД'!$D$11*J15,0)</x:f>
        <x:v>13</x:v>
      </x:c>
      <x:c r="L15" s="223" t="str">
        <x:f>IF(G15&gt;=K15,"Достаточно","Дефицит")</x:f>
        <x:v>Достаточно</x:v>
      </x:c>
      <x:c r="M15" s="239" t="n">
        <x:v>0.03</x:v>
      </x:c>
      <x:c r="N15" s="240" t="n">
        <x:f>ROUND(G15*(1-M15)^$C$6,1)</x:f>
        <x:v>20</x:v>
      </x:c>
      <x:c r="O15" s="240" t="n">
        <x:f>K15</x:f>
        <x:v>13</x:v>
      </x:c>
      <x:c r="P15" s="240" t="n">
        <x:f>N15-O15</x:f>
        <x:v>7</x:v>
      </x:c>
      <x:c r="Q15" s="223" t="str">
        <x:f>IF(P15&gt;=0,"Достаточно","Нужен дозаказ")</x:f>
        <x:v>Достаточно</x:v>
      </x:c>
      <x:c r="R15" s="223" t="str">
        <x:v>Совместное</x:v>
      </x:c>
      <x:c r="S15" s="242" t="str">
        <x:v>Открыть</x:v>
      </x:c>
    </x:row>
    <x:row r="16">
      <x:c r="A16" s="223" t="n">
        <x:v>8</x:v>
      </x:c>
      <x:c r="B16" s="223" t="str">
        <x:v>Зал</x:v>
      </x:c>
      <x:c r="C16" s="223" t="str">
        <x:v>Фарфор</x:v>
      </x:c>
      <x:c r="D16" s="223" t="str">
        <x:v>03173703</x:v>
      </x:c>
      <x:c r="E16" s="223" t="str">
        <x:v>Набор для специй «Кунстверк» на подставке</x:v>
      </x:c>
      <x:c r="F16" s="223" t="str">
        <x:v>Настольные наборы</x:v>
      </x:c>
      <x:c r="G16" s="234" t="n">
        <x:v>15</x:v>
      </x:c>
      <x:c r="H16" s="236" t="n">
        <x:v>557</x:v>
      </x:c>
      <x:c r="I16" s="236" t="n">
        <x:f>G16*H16</x:f>
        <x:v>8355</x:v>
      </x:c>
      <x:c r="J16" s="238" t="n">
        <x:v>0.35</x:v>
      </x:c>
      <x:c r="K16" s="234" t="n">
        <x:f>ROUNDUP('01_ВВОД'!$D$11*J16,0)</x:f>
        <x:v>10</x:v>
      </x:c>
      <x:c r="L16" s="223" t="str">
        <x:f>IF(G16&gt;=K16,"Достаточно","Дефицит")</x:f>
        <x:v>Достаточно</x:v>
      </x:c>
      <x:c r="M16" s="239" t="n">
        <x:v>0.03</x:v>
      </x:c>
      <x:c r="N16" s="240" t="n">
        <x:f>ROUND(G16*(1-M16)^$C$6,1)</x:f>
        <x:v>12.5</x:v>
      </x:c>
      <x:c r="O16" s="240" t="n">
        <x:f>K16</x:f>
        <x:v>10</x:v>
      </x:c>
      <x:c r="P16" s="240" t="n">
        <x:f>N16-O16</x:f>
        <x:v>2.5</x:v>
      </x:c>
      <x:c r="Q16" s="223" t="str">
        <x:f>IF(P16&gt;=0,"Достаточно","Нужен дозаказ")</x:f>
        <x:v>Достаточно</x:v>
      </x:c>
      <x:c r="R16" s="223" t="str">
        <x:v>Совместное</x:v>
      </x:c>
      <x:c r="S16" s="242" t="str">
        <x:v>Открыть</x:v>
      </x:c>
    </x:row>
    <x:row r="17">
      <x:c r="A17" s="223" t="n">
        <x:v>9</x:v>
      </x:c>
      <x:c r="B17" s="223" t="str">
        <x:v>Зал</x:v>
      </x:c>
      <x:c r="C17" s="223" t="str">
        <x:v>Фарфор</x:v>
      </x:c>
      <x:c r="D17" s="223" t="str">
        <x:v>03172334</x:v>
      </x:c>
      <x:c r="E17" s="223" t="str">
        <x:v>Салфетница «Кунстверк»</x:v>
      </x:c>
      <x:c r="F17" s="223" t="str">
        <x:v>Настольные наборы</x:v>
      </x:c>
      <x:c r="G17" s="234" t="n">
        <x:v>20</x:v>
      </x:c>
      <x:c r="H17" s="236" t="n">
        <x:v>314</x:v>
      </x:c>
      <x:c r="I17" s="236" t="n">
        <x:f>G17*H17</x:f>
        <x:v>6280</x:v>
      </x:c>
      <x:c r="J17" s="238" t="n">
        <x:v>0.35</x:v>
      </x:c>
      <x:c r="K17" s="234" t="n">
        <x:f>ROUNDUP('01_ВВОД'!$D$11*J17,0)</x:f>
        <x:v>10</x:v>
      </x:c>
      <x:c r="L17" s="223" t="str">
        <x:f>IF(G17&gt;=K17,"Достаточно","Дефицит")</x:f>
        <x:v>Достаточно</x:v>
      </x:c>
      <x:c r="M17" s="239" t="n">
        <x:v>0.03</x:v>
      </x:c>
      <x:c r="N17" s="240" t="n">
        <x:f>ROUND(G17*(1-M17)^$C$6,1)</x:f>
        <x:v>16.7</x:v>
      </x:c>
      <x:c r="O17" s="240" t="n">
        <x:f>K17</x:f>
        <x:v>10</x:v>
      </x:c>
      <x:c r="P17" s="240" t="n">
        <x:f>N17-O17</x:f>
        <x:v>6.699999999999999</x:v>
      </x:c>
      <x:c r="Q17" s="223" t="str">
        <x:f>IF(P17&gt;=0,"Достаточно","Нужен дозаказ")</x:f>
        <x:v>Достаточно</x:v>
      </x:c>
      <x:c r="R17" s="223" t="str">
        <x:v>Совместное</x:v>
      </x:c>
      <x:c r="S17" s="242" t="str">
        <x:v>Открыть</x:v>
      </x:c>
    </x:row>
    <x:row r="18">
      <x:c r="A18" s="223" t="n">
        <x:v>10</x:v>
      </x:c>
      <x:c r="B18" s="223" t="str">
        <x:v>Зал</x:v>
      </x:c>
      <x:c r="C18" s="223" t="str">
        <x:v>Фарфор</x:v>
      </x:c>
      <x:c r="D18" s="223" t="str">
        <x:v>03130448</x:v>
      </x:c>
      <x:c r="E18" s="223" t="str">
        <x:v>Кофейная пара «Кунстверк», 70 мл</x:v>
      </x:c>
      <x:c r="F18" s="223" t="str">
        <x:v>Кофейные пары</x:v>
      </x:c>
      <x:c r="G18" s="234" t="n">
        <x:v>60</x:v>
      </x:c>
      <x:c r="H18" s="236" t="n">
        <x:v>190</x:v>
      </x:c>
      <x:c r="I18" s="236" t="n">
        <x:f>G18*H18</x:f>
        <x:v>11400</x:v>
      </x:c>
      <x:c r="J18" s="238" t="n">
        <x:v>1</x:v>
      </x:c>
      <x:c r="K18" s="234" t="n">
        <x:f>ROUNDUP('01_ВВОД'!$D$11*J18,0)</x:f>
        <x:v>26</x:v>
      </x:c>
      <x:c r="L18" s="223" t="str">
        <x:f>IF(G18&gt;=K18,"Достаточно","Дефицит")</x:f>
        <x:v>Достаточно</x:v>
      </x:c>
      <x:c r="M18" s="239" t="n">
        <x:v>0.03</x:v>
      </x:c>
      <x:c r="N18" s="240" t="n">
        <x:f>ROUND(G18*(1-M18)^$C$6,1)</x:f>
        <x:v>50</x:v>
      </x:c>
      <x:c r="O18" s="240" t="n">
        <x:f>K18</x:f>
        <x:v>26</x:v>
      </x:c>
      <x:c r="P18" s="240" t="n">
        <x:f>N18-O18</x:f>
        <x:v>24</x:v>
      </x:c>
      <x:c r="Q18" s="223" t="str">
        <x:f>IF(P18&gt;=0,"Достаточно","Нужен дозаказ")</x:f>
        <x:v>Достаточно</x:v>
      </x:c>
      <x:c r="R18" s="223" t="str">
        <x:v>Совместное</x:v>
      </x:c>
      <x:c r="S18" s="242" t="str">
        <x:v>Открыть</x:v>
      </x:c>
    </x:row>
    <x:row r="19">
      <x:c r="A19" s="223" t="n">
        <x:v>11</x:v>
      </x:c>
      <x:c r="B19" s="223" t="str">
        <x:v>Зал</x:v>
      </x:c>
      <x:c r="C19" s="223" t="str">
        <x:v>Фарфор</x:v>
      </x:c>
      <x:c r="D19" s="223" t="str">
        <x:v>03130278</x:v>
      </x:c>
      <x:c r="E19" s="223" t="str">
        <x:v>Кофейная пара «Кунстверк», 150 мл</x:v>
      </x:c>
      <x:c r="F19" s="223" t="str">
        <x:v>Кофейные пары</x:v>
      </x:c>
      <x:c r="G19" s="234" t="n">
        <x:v>60</x:v>
      </x:c>
      <x:c r="H19" s="236" t="n">
        <x:v>271</x:v>
      </x:c>
      <x:c r="I19" s="236" t="n">
        <x:f>G19*H19</x:f>
        <x:v>16260</x:v>
      </x:c>
      <x:c r="J19" s="238" t="n">
        <x:v>1</x:v>
      </x:c>
      <x:c r="K19" s="234" t="n">
        <x:f>ROUNDUP('01_ВВОД'!$D$11*J19,0)</x:f>
        <x:v>26</x:v>
      </x:c>
      <x:c r="L19" s="223" t="str">
        <x:f>IF(G19&gt;=K19,"Достаточно","Дефицит")</x:f>
        <x:v>Достаточно</x:v>
      </x:c>
      <x:c r="M19" s="239" t="n">
        <x:v>0.03</x:v>
      </x:c>
      <x:c r="N19" s="240" t="n">
        <x:f>ROUND(G19*(1-M19)^$C$6,1)</x:f>
        <x:v>50</x:v>
      </x:c>
      <x:c r="O19" s="240" t="n">
        <x:f>K19</x:f>
        <x:v>26</x:v>
      </x:c>
      <x:c r="P19" s="240" t="n">
        <x:f>N19-O19</x:f>
        <x:v>24</x:v>
      </x:c>
      <x:c r="Q19" s="223" t="str">
        <x:f>IF(P19&gt;=0,"Достаточно","Нужен дозаказ")</x:f>
        <x:v>Достаточно</x:v>
      </x:c>
      <x:c r="R19" s="223" t="str">
        <x:v>Совместное</x:v>
      </x:c>
      <x:c r="S19" s="242" t="str">
        <x:v>Открыть</x:v>
      </x:c>
    </x:row>
    <x:row r="20">
      <x:c r="A20" s="223" t="n">
        <x:v>12</x:v>
      </x:c>
      <x:c r="B20" s="223" t="str">
        <x:v>Зал</x:v>
      </x:c>
      <x:c r="C20" s="223" t="str">
        <x:v>Фарфор</x:v>
      </x:c>
      <x:c r="D20" s="223" t="str">
        <x:v>03171983</x:v>
      </x:c>
      <x:c r="E20" s="223" t="str">
        <x:v>Сахарница «Кунстверк» с крышкой, 250 мл</x:v>
      </x:c>
      <x:c r="F20" s="223" t="str">
        <x:v>Настольные наборы</x:v>
      </x:c>
      <x:c r="G20" s="234" t="n">
        <x:v>12</x:v>
      </x:c>
      <x:c r="H20" s="236" t="n">
        <x:v>304</x:v>
      </x:c>
      <x:c r="I20" s="236" t="n">
        <x:f>G20*H20</x:f>
        <x:v>3648</x:v>
      </x:c>
      <x:c r="J20" s="238" t="n">
        <x:v>0.35</x:v>
      </x:c>
      <x:c r="K20" s="234" t="n">
        <x:f>ROUNDUP('01_ВВОД'!$D$11*J20,0)</x:f>
        <x:v>10</x:v>
      </x:c>
      <x:c r="L20" s="223" t="str">
        <x:f>IF(G20&gt;=K20,"Достаточно","Дефицит")</x:f>
        <x:v>Достаточно</x:v>
      </x:c>
      <x:c r="M20" s="239" t="n">
        <x:v>0.03</x:v>
      </x:c>
      <x:c r="N20" s="240" t="n">
        <x:f>ROUND(G20*(1-M20)^$C$6,1)</x:f>
        <x:v>10</x:v>
      </x:c>
      <x:c r="O20" s="240" t="n">
        <x:f>K20</x:f>
        <x:v>10</x:v>
      </x:c>
      <x:c r="P20" s="240" t="n">
        <x:f>N20-O20</x:f>
        <x:v>0</x:v>
      </x:c>
      <x:c r="Q20" s="223" t="str">
        <x:f>IF(P20&gt;=0,"Достаточно","Нужен дозаказ")</x:f>
        <x:v>Достаточно</x:v>
      </x:c>
      <x:c r="R20" s="223" t="str">
        <x:v>Совместное</x:v>
      </x:c>
      <x:c r="S20" s="242" t="str">
        <x:v>Открыть</x:v>
      </x:c>
    </x:row>
    <x:row r="21">
      <x:c r="A21" s="223" t="n">
        <x:v>13</x:v>
      </x:c>
      <x:c r="B21" s="223" t="str">
        <x:v>Зал</x:v>
      </x:c>
      <x:c r="C21" s="223" t="str">
        <x:v>Нержавеющая сталь</x:v>
      </x:c>
      <x:c r="D21" s="223" t="str">
        <x:v>03112213</x:v>
      </x:c>
      <x:c r="E21" s="223" t="str">
        <x:v>Вилка столовая «Оптима»</x:v>
      </x:c>
      <x:c r="F21" s="223" t="str">
        <x:v>Столовые приборы</x:v>
      </x:c>
      <x:c r="G21" s="234" t="n">
        <x:v>72</x:v>
      </x:c>
      <x:c r="H21" s="236" t="n">
        <x:v>50</x:v>
      </x:c>
      <x:c r="I21" s="236" t="n">
        <x:f>G21*H21</x:f>
        <x:v>3600</x:v>
      </x:c>
      <x:c r="J21" s="238" t="n">
        <x:v>2</x:v>
      </x:c>
      <x:c r="K21" s="234" t="n">
        <x:f>ROUNDUP('01_ВВОД'!$D$11*J21,0)</x:f>
        <x:v>52</x:v>
      </x:c>
      <x:c r="L21" s="223" t="str">
        <x:f>IF(G21&gt;=K21,"Достаточно","Дефицит")</x:f>
        <x:v>Достаточно</x:v>
      </x:c>
      <x:c r="M21" s="239" t="n">
        <x:v>0.01</x:v>
      </x:c>
      <x:c r="N21" s="240" t="n">
        <x:f>ROUND(G21*(1-M21)^$C$6,1)</x:f>
        <x:v>67.8</x:v>
      </x:c>
      <x:c r="O21" s="240" t="n">
        <x:f>K21</x:f>
        <x:v>52</x:v>
      </x:c>
      <x:c r="P21" s="240" t="n">
        <x:f>N21-O21</x:f>
        <x:v>15.799999999999997</x:v>
      </x:c>
      <x:c r="Q21" s="223" t="str">
        <x:f>IF(P21&gt;=0,"Достаточно","Нужен дозаказ")</x:f>
        <x:v>Достаточно</x:v>
      </x:c>
      <x:c r="R21" s="223" t="str">
        <x:v>Совместное</x:v>
      </x:c>
      <x:c r="S21" s="242" t="str">
        <x:v>Открыть</x:v>
      </x:c>
    </x:row>
    <x:row r="22">
      <x:c r="A22" s="223" t="n">
        <x:v>14</x:v>
      </x:c>
      <x:c r="B22" s="223" t="str">
        <x:v>Зал</x:v>
      </x:c>
      <x:c r="C22" s="223" t="str">
        <x:v>Нержавеющая сталь</x:v>
      </x:c>
      <x:c r="D22" s="223" t="str">
        <x:v>03111782</x:v>
      </x:c>
      <x:c r="E22" s="223" t="str">
        <x:v>Ложка чайная «Аркада Бэйсик»</x:v>
      </x:c>
      <x:c r="F22" s="223" t="str">
        <x:v>Столовые приборы</x:v>
      </x:c>
      <x:c r="G22" s="234" t="n">
        <x:v>72</x:v>
      </x:c>
      <x:c r="H22" s="236" t="n">
        <x:v>123</x:v>
      </x:c>
      <x:c r="I22" s="236" t="n">
        <x:f>G22*H22</x:f>
        <x:v>8856</x:v>
      </x:c>
      <x:c r="J22" s="238" t="n">
        <x:v>2</x:v>
      </x:c>
      <x:c r="K22" s="234" t="n">
        <x:f>ROUNDUP('01_ВВОД'!$D$11*J22,0)</x:f>
        <x:v>52</x:v>
      </x:c>
      <x:c r="L22" s="223" t="str">
        <x:f>IF(G22&gt;=K22,"Достаточно","Дефицит")</x:f>
        <x:v>Достаточно</x:v>
      </x:c>
      <x:c r="M22" s="239" t="n">
        <x:v>0.01</x:v>
      </x:c>
      <x:c r="N22" s="240" t="n">
        <x:f>ROUND(G22*(1-M22)^$C$6,1)</x:f>
        <x:v>67.8</x:v>
      </x:c>
      <x:c r="O22" s="240" t="n">
        <x:f>K22</x:f>
        <x:v>52</x:v>
      </x:c>
      <x:c r="P22" s="240" t="n">
        <x:f>N22-O22</x:f>
        <x:v>15.799999999999997</x:v>
      </x:c>
      <x:c r="Q22" s="223" t="str">
        <x:f>IF(P22&gt;=0,"Достаточно","Нужен дозаказ")</x:f>
        <x:v>Достаточно</x:v>
      </x:c>
      <x:c r="R22" s="223" t="str">
        <x:v>Совместное</x:v>
      </x:c>
      <x:c r="S22" s="242" t="str">
        <x:v>Открыть</x:v>
      </x:c>
    </x:row>
    <x:row r="23">
      <x:c r="A23" s="223" t="n">
        <x:v>15</x:v>
      </x:c>
      <x:c r="B23" s="223" t="str">
        <x:v>Зал</x:v>
      </x:c>
      <x:c r="C23" s="223" t="str">
        <x:v>Нержавеющая сталь</x:v>
      </x:c>
      <x:c r="D23" s="223" t="str">
        <x:v>03114123</x:v>
      </x:c>
      <x:c r="E23" s="223" t="str">
        <x:v>Нож столовый «Дистрикт Сильвер Мэтт»</x:v>
      </x:c>
      <x:c r="F23" s="223" t="str">
        <x:v>Столовые приборы</x:v>
      </x:c>
      <x:c r="G23" s="234" t="n">
        <x:v>72</x:v>
      </x:c>
      <x:c r="H23" s="236" t="n">
        <x:v>331</x:v>
      </x:c>
      <x:c r="I23" s="236" t="n">
        <x:f>G23*H23</x:f>
        <x:v>23832</x:v>
      </x:c>
      <x:c r="J23" s="238" t="n">
        <x:v>2</x:v>
      </x:c>
      <x:c r="K23" s="234" t="n">
        <x:f>ROUNDUP('01_ВВОД'!$D$11*J23,0)</x:f>
        <x:v>52</x:v>
      </x:c>
      <x:c r="L23" s="223" t="str">
        <x:f>IF(G23&gt;=K23,"Достаточно","Дефицит")</x:f>
        <x:v>Достаточно</x:v>
      </x:c>
      <x:c r="M23" s="239" t="n">
        <x:v>0.01</x:v>
      </x:c>
      <x:c r="N23" s="240" t="n">
        <x:f>ROUND(G23*(1-M23)^$C$6,1)</x:f>
        <x:v>67.8</x:v>
      </x:c>
      <x:c r="O23" s="240" t="n">
        <x:f>K23</x:f>
        <x:v>52</x:v>
      </x:c>
      <x:c r="P23" s="240" t="n">
        <x:f>N23-O23</x:f>
        <x:v>15.799999999999997</x:v>
      </x:c>
      <x:c r="Q23" s="223" t="str">
        <x:f>IF(P23&gt;=0,"Достаточно","Нужен дозаказ")</x:f>
        <x:v>Достаточно</x:v>
      </x:c>
      <x:c r="R23" s="223" t="str">
        <x:v>Совместное</x:v>
      </x:c>
      <x:c r="S23" s="242" t="str">
        <x:v>Открыть</x:v>
      </x:c>
    </x:row>
    <x:row r="24">
      <x:c r="A24" s="223" t="n">
        <x:v>16</x:v>
      </x:c>
      <x:c r="B24" s="223" t="str">
        <x:v>Зал</x:v>
      </x:c>
      <x:c r="C24" s="223" t="str">
        <x:v>Нержавеющая сталь</x:v>
      </x:c>
      <x:c r="D24" s="223" t="str">
        <x:v>03110167</x:v>
      </x:c>
      <x:c r="E24" s="223" t="str">
        <x:v>Ложка столовая «Адажио»</x:v>
      </x:c>
      <x:c r="F24" s="223" t="str">
        <x:v>Столовые приборы</x:v>
      </x:c>
      <x:c r="G24" s="234" t="n">
        <x:v>72</x:v>
      </x:c>
      <x:c r="H24" s="236" t="n">
        <x:v>504</x:v>
      </x:c>
      <x:c r="I24" s="236" t="n">
        <x:f>G24*H24</x:f>
        <x:v>36288</x:v>
      </x:c>
      <x:c r="J24" s="238" t="n">
        <x:v>2</x:v>
      </x:c>
      <x:c r="K24" s="234" t="n">
        <x:f>ROUNDUP('01_ВВОД'!$D$11*J24,0)</x:f>
        <x:v>52</x:v>
      </x:c>
      <x:c r="L24" s="223" t="str">
        <x:f>IF(G24&gt;=K24,"Достаточно","Дефицит")</x:f>
        <x:v>Достаточно</x:v>
      </x:c>
      <x:c r="M24" s="239" t="n">
        <x:v>0.01</x:v>
      </x:c>
      <x:c r="N24" s="240" t="n">
        <x:f>ROUND(G24*(1-M24)^$C$6,1)</x:f>
        <x:v>67.8</x:v>
      </x:c>
      <x:c r="O24" s="240" t="n">
        <x:f>K24</x:f>
        <x:v>52</x:v>
      </x:c>
      <x:c r="P24" s="240" t="n">
        <x:f>N24-O24</x:f>
        <x:v>15.799999999999997</x:v>
      </x:c>
      <x:c r="Q24" s="223" t="str">
        <x:f>IF(P24&gt;=0,"Достаточно","Нужен дозаказ")</x:f>
        <x:v>Достаточно</x:v>
      </x:c>
      <x:c r="R24" s="223" t="str">
        <x:v>Совместное</x:v>
      </x:c>
      <x:c r="S24" s="242" t="str">
        <x:v>Открыть</x:v>
      </x:c>
    </x:row>
    <x:row r="25">
      <x:c r="A25" s="223" t="n">
        <x:v>17</x:v>
      </x:c>
      <x:c r="B25" s="223" t="str">
        <x:v>Бар</x:v>
      </x:c>
      <x:c r="C25" s="223" t="str">
        <x:v>Стекло</x:v>
      </x:c>
      <x:c r="D25" s="223" t="str">
        <x:v>01011643</x:v>
      </x:c>
      <x:c r="E25" s="223" t="str">
        <x:v>Бокал для вина «Дистинкшн», 380 мл</x:v>
      </x:c>
      <x:c r="F25" s="223" t="str">
        <x:v>Барное стекло</x:v>
      </x:c>
      <x:c r="G25" s="234" t="n">
        <x:v>72</x:v>
      </x:c>
      <x:c r="H25" s="236" t="n">
        <x:v>473</x:v>
      </x:c>
      <x:c r="I25" s="236" t="n">
        <x:f>G25*H25</x:f>
        <x:v>34056</x:v>
      </x:c>
      <x:c r="J25" s="238" t="n">
        <x:v>2</x:v>
      </x:c>
      <x:c r="K25" s="234" t="n">
        <x:f>ROUNDUP('01_ВВОД'!$D$11*J25,0)</x:f>
        <x:v>52</x:v>
      </x:c>
      <x:c r="L25" s="223" t="str">
        <x:f>IF(G25&gt;=K25,"Достаточно","Дефицит")</x:f>
        <x:v>Достаточно</x:v>
      </x:c>
      <x:c r="M25" s="239" t="n">
        <x:v>0.04</x:v>
      </x:c>
      <x:c r="N25" s="240" t="n">
        <x:f>ROUND(G25*(1-M25)^$C$6,1)</x:f>
        <x:v>56.4</x:v>
      </x:c>
      <x:c r="O25" s="240" t="n">
        <x:f>K25</x:f>
        <x:v>52</x:v>
      </x:c>
      <x:c r="P25" s="240" t="n">
        <x:f>N25-O25</x:f>
        <x:v>4.399999999999999</x:v>
      </x:c>
      <x:c r="Q25" s="223" t="str">
        <x:f>IF(P25&gt;=0,"Достаточно","Нужен дозаказ")</x:f>
        <x:v>Достаточно</x:v>
      </x:c>
      <x:c r="R25" s="223" t="str">
        <x:v>Совместное</x:v>
      </x:c>
      <x:c r="S25" s="242" t="str">
        <x:v>Открыть</x:v>
      </x:c>
    </x:row>
    <x:row r="26">
      <x:c r="A26" s="223" t="n">
        <x:v>18</x:v>
      </x:c>
      <x:c r="B26" s="223" t="str">
        <x:v>Бар</x:v>
      </x:c>
      <x:c r="C26" s="223" t="str">
        <x:v>Стекло</x:v>
      </x:c>
      <x:c r="D26" s="223" t="str">
        <x:v>01060610</x:v>
      </x:c>
      <x:c r="E26" s="223" t="str">
        <x:v>Шампанское-блюдце «Каберне», 300 мл</x:v>
      </x:c>
      <x:c r="F26" s="223" t="str">
        <x:v>Барное стекло</x:v>
      </x:c>
      <x:c r="G26" s="234" t="n">
        <x:v>72</x:v>
      </x:c>
      <x:c r="H26" s="236" t="n">
        <x:v>593</x:v>
      </x:c>
      <x:c r="I26" s="236" t="n">
        <x:f>G26*H26</x:f>
        <x:v>42696</x:v>
      </x:c>
      <x:c r="J26" s="238" t="n">
        <x:v>2</x:v>
      </x:c>
      <x:c r="K26" s="234" t="n">
        <x:f>ROUNDUP('01_ВВОД'!$D$11*J26,0)</x:f>
        <x:v>52</x:v>
      </x:c>
      <x:c r="L26" s="223" t="str">
        <x:f>IF(G26&gt;=K26,"Достаточно","Дефицит")</x:f>
        <x:v>Достаточно</x:v>
      </x:c>
      <x:c r="M26" s="239" t="n">
        <x:v>0.04</x:v>
      </x:c>
      <x:c r="N26" s="240" t="n">
        <x:f>ROUND(G26*(1-M26)^$C$6,1)</x:f>
        <x:v>56.4</x:v>
      </x:c>
      <x:c r="O26" s="240" t="n">
        <x:f>K26</x:f>
        <x:v>52</x:v>
      </x:c>
      <x:c r="P26" s="240" t="n">
        <x:f>N26-O26</x:f>
        <x:v>4.399999999999999</x:v>
      </x:c>
      <x:c r="Q26" s="223" t="str">
        <x:f>IF(P26&gt;=0,"Достаточно","Нужен дозаказ")</x:f>
        <x:v>Достаточно</x:v>
      </x:c>
      <x:c r="R26" s="223" t="str">
        <x:v>Совместное</x:v>
      </x:c>
      <x:c r="S26" s="242" t="str">
        <x:v>Открыть</x:v>
      </x:c>
    </x:row>
    <x:row r="27">
      <x:c r="A27" s="223" t="n">
        <x:v>19</x:v>
      </x:c>
      <x:c r="B27" s="223" t="str">
        <x:v>Бар</x:v>
      </x:c>
      <x:c r="C27" s="223" t="str">
        <x:v>Стекло</x:v>
      </x:c>
      <x:c r="D27" s="223" t="str">
        <x:v>01071637</x:v>
      </x:c>
      <x:c r="E27" s="223" t="str">
        <x:v>Рюмка «Ресто», 60 мл</x:v>
      </x:c>
      <x:c r="F27" s="223" t="str">
        <x:v>Барное стекло</x:v>
      </x:c>
      <x:c r="G27" s="234" t="n">
        <x:v>72</x:v>
      </x:c>
      <x:c r="H27" s="236" t="n">
        <x:v>88</x:v>
      </x:c>
      <x:c r="I27" s="236" t="n">
        <x:f>G27*H27</x:f>
        <x:v>6336</x:v>
      </x:c>
      <x:c r="J27" s="238" t="n">
        <x:v>2</x:v>
      </x:c>
      <x:c r="K27" s="234" t="n">
        <x:f>ROUNDUP('01_ВВОД'!$D$11*J27,0)</x:f>
        <x:v>52</x:v>
      </x:c>
      <x:c r="L27" s="223" t="str">
        <x:f>IF(G27&gt;=K27,"Достаточно","Дефицит")</x:f>
        <x:v>Достаточно</x:v>
      </x:c>
      <x:c r="M27" s="239" t="n">
        <x:v>0.04</x:v>
      </x:c>
      <x:c r="N27" s="240" t="n">
        <x:f>ROUND(G27*(1-M27)^$C$6,1)</x:f>
        <x:v>56.4</x:v>
      </x:c>
      <x:c r="O27" s="240" t="n">
        <x:f>K27</x:f>
        <x:v>52</x:v>
      </x:c>
      <x:c r="P27" s="240" t="n">
        <x:f>N27-O27</x:f>
        <x:v>4.399999999999999</x:v>
      </x:c>
      <x:c r="Q27" s="223" t="str">
        <x:f>IF(P27&gt;=0,"Достаточно","Нужен дозаказ")</x:f>
        <x:v>Достаточно</x:v>
      </x:c>
      <x:c r="R27" s="223" t="str">
        <x:v>Совместное</x:v>
      </x:c>
      <x:c r="S27" s="242" t="str">
        <x:v>Открыть</x:v>
      </x:c>
    </x:row>
    <x:row r="28">
      <x:c r="A28" s="223" t="n">
        <x:v>20</x:v>
      </x:c>
      <x:c r="B28" s="223" t="str">
        <x:v>Бар</x:v>
      </x:c>
      <x:c r="C28" s="223" t="str">
        <x:v>Стекло</x:v>
      </x:c>
      <x:c r="D28" s="223" t="str">
        <x:v>01020542</x:v>
      </x:c>
      <x:c r="E28" s="223" t="str">
        <x:v>Олд фэшн «Кортина», 400 мл</x:v>
      </x:c>
      <x:c r="F28" s="223" t="str">
        <x:v>Барное стекло</x:v>
      </x:c>
      <x:c r="G28" s="234" t="n">
        <x:v>60</x:v>
      </x:c>
      <x:c r="H28" s="236" t="n">
        <x:v>378</x:v>
      </x:c>
      <x:c r="I28" s="236" t="n">
        <x:f>G28*H28</x:f>
        <x:v>22680</x:v>
      </x:c>
      <x:c r="J28" s="238" t="n">
        <x:v>2</x:v>
      </x:c>
      <x:c r="K28" s="234" t="n">
        <x:f>ROUNDUP('01_ВВОД'!$D$11*J28,0)</x:f>
        <x:v>52</x:v>
      </x:c>
      <x:c r="L28" s="223" t="str">
        <x:f>IF(G28&gt;=K28,"Достаточно","Дефицит")</x:f>
        <x:v>Достаточно</x:v>
      </x:c>
      <x:c r="M28" s="239" t="n">
        <x:v>0.04</x:v>
      </x:c>
      <x:c r="N28" s="240" t="n">
        <x:f>ROUND(G28*(1-M28)^$C$6,1)</x:f>
        <x:v>47</x:v>
      </x:c>
      <x:c r="O28" s="240" t="n">
        <x:f>K28</x:f>
        <x:v>52</x:v>
      </x:c>
      <x:c r="P28" s="240" t="n">
        <x:f>N28-O28</x:f>
        <x:v>-5</x:v>
      </x:c>
      <x:c r="Q28" s="223" t="str">
        <x:f>IF(P28&gt;=0,"Достаточно","Нужен дозаказ")</x:f>
        <x:v>Нужен дозаказ</x:v>
      </x:c>
      <x:c r="R28" s="223" t="str">
        <x:v>Совместное</x:v>
      </x:c>
      <x:c r="S28" s="242" t="str">
        <x:v>Открыть</x:v>
      </x:c>
    </x:row>
    <x:row r="29">
      <x:c r="A29" s="223" t="n">
        <x:v>21</x:v>
      </x:c>
      <x:c r="B29" s="223" t="str">
        <x:v>Бар</x:v>
      </x:c>
      <x:c r="C29" s="223" t="str">
        <x:v>Стекло</x:v>
      </x:c>
      <x:c r="D29" s="223" t="str">
        <x:v>01011610</x:v>
      </x:c>
      <x:c r="E29" s="223" t="str">
        <x:v>Хайбол «Аморф», 400 мл</x:v>
      </x:c>
      <x:c r="F29" s="223" t="str">
        <x:v>Барное стекло</x:v>
      </x:c>
      <x:c r="G29" s="234" t="n">
        <x:v>72</x:v>
      </x:c>
      <x:c r="H29" s="236" t="n">
        <x:v>164</x:v>
      </x:c>
      <x:c r="I29" s="236" t="n">
        <x:f>G29*H29</x:f>
        <x:v>11808</x:v>
      </x:c>
      <x:c r="J29" s="238" t="n">
        <x:v>2</x:v>
      </x:c>
      <x:c r="K29" s="234" t="n">
        <x:f>ROUNDUP('01_ВВОД'!$D$11*J29,0)</x:f>
        <x:v>52</x:v>
      </x:c>
      <x:c r="L29" s="223" t="str">
        <x:f>IF(G29&gt;=K29,"Достаточно","Дефицит")</x:f>
        <x:v>Достаточно</x:v>
      </x:c>
      <x:c r="M29" s="239" t="n">
        <x:v>0.04</x:v>
      </x:c>
      <x:c r="N29" s="240" t="n">
        <x:f>ROUND(G29*(1-M29)^$C$6,1)</x:f>
        <x:v>56.4</x:v>
      </x:c>
      <x:c r="O29" s="240" t="n">
        <x:f>K29</x:f>
        <x:v>52</x:v>
      </x:c>
      <x:c r="P29" s="240" t="n">
        <x:f>N29-O29</x:f>
        <x:v>4.399999999999999</x:v>
      </x:c>
      <x:c r="Q29" s="223" t="str">
        <x:f>IF(P29&gt;=0,"Достаточно","Нужен дозаказ")</x:f>
        <x:v>Достаточно</x:v>
      </x:c>
      <x:c r="R29" s="223" t="str">
        <x:v>Совместное</x:v>
      </x:c>
      <x:c r="S29" s="242" t="str">
        <x:v>Открыть</x:v>
      </x:c>
    </x:row>
    <x:row r="30">
      <x:c r="A30" s="233" t="str">
        <x:v>ИТОГО</x:v>
      </x:c>
      <x:c r="B30" s="233"/>
      <x:c r="C30" s="233"/>
      <x:c r="D30" s="233"/>
      <x:c r="E30" s="233"/>
      <x:c r="F30" s="233"/>
      <x:c r="G30" s="235" t="n">
        <x:f>SUM(G9:G29)</x:f>
        <x:v>1157</x:v>
      </x:c>
      <x:c r="H30" s="237"/>
      <x:c r="I30" s="237" t="n">
        <x:f>SUM(I9:I29)</x:f>
        <x:v>372013</x:v>
      </x:c>
      <x:c r="J30" s="233"/>
      <x:c r="K30" s="233"/>
      <x:c r="L30" s="233"/>
      <x:c r="M30" s="233"/>
      <x:c r="N30" s="241" t="n">
        <x:f>SUM(N9:N29)</x:f>
        <x:v>977.9999999999998</x:v>
      </x:c>
      <x:c r="O30" s="241"/>
      <x:c r="P30" s="241" t="n">
        <x:f>SUM(P9:P29)</x:f>
        <x:v>155</x:v>
      </x:c>
      <x:c r="Q30" s="233" t="str">
        <x:f>COUNTIF(Q9:Q29,"Нужен дозаказ")&amp;" поз. требуют дозаказа"</x:f>
        <x:v>5 поз. требуют дозаказа</x:v>
      </x:c>
      <x:c r="R30" s="233"/>
      <x:c r="S30" s="233"/>
    </x:row>
    <x:row r="32">
      <x:c r="A32" s="244" t="str">
        <x:v>МЕТОДИКА ОЦЕНКИ</x:v>
      </x:c>
      <x:c r="B32" s="244"/>
      <x:c r="C32" s="244"/>
      <x:c r="D32" s="244"/>
      <x:c r="E32" s="244"/>
      <x:c r="F32" s="244"/>
      <x:c r="G32" s="244"/>
      <x:c r="H32" s="244"/>
      <x:c r="I32" s="244"/>
      <x:c r="J32" s="244"/>
      <x:c r="K32" s="244"/>
      <x:c r="L32" s="244"/>
      <x:c r="M32" s="244"/>
      <x:c r="N32" s="244"/>
      <x:c r="O32" s="244"/>
      <x:c r="P32" s="244"/>
      <x:c r="Q32" s="244"/>
      <x:c r="R32" s="244"/>
      <x:c r="S32" s="244"/>
    </x:row>
    <x:row r="33" ht="34" customHeight="1">
      <x:c r="A33" s="223" t="str">
        <x:v>1</x:v>
      </x:c>
      <x:c r="B33" s="223" t="str">
        <x:v>Стартовая потребность рассчитана от 26 максимальных мест: 2,0 комплекта на место для основных тарелок, приборов и стекла; 1,0–1,5 для чашек; 0,35–0,5 для настольных принадлежностей.</x:v>
      </x:c>
      <x:c r="C33" s="223"/>
      <x:c r="D33" s="223"/>
      <x:c r="E33" s="223"/>
      <x:c r="F33" s="223"/>
      <x:c r="G33" s="223"/>
      <x:c r="H33" s="223"/>
      <x:c r="I33" s="223"/>
      <x:c r="J33" s="223"/>
      <x:c r="K33" s="223"/>
      <x:c r="L33" s="223"/>
      <x:c r="M33" s="223"/>
      <x:c r="N33" s="223"/>
      <x:c r="O33" s="223"/>
      <x:c r="P33" s="223"/>
      <x:c r="Q33" s="223"/>
      <x:c r="R33" s="223"/>
      <x:c r="S33" s="223"/>
    </x:row>
    <x:row r="34" ht="34" customHeight="1">
      <x:c r="A34" s="223" t="str">
        <x:v>2</x:v>
      </x:c>
      <x:c r="B34" s="223" t="str">
        <x:v>Прогноз гостей учитывает а-ля карт, бизнес-ланч, завтраки/ужины гостиницы и участников банкетов. Пиковый день определяется по действующим входным параметрам; физический одновременный спрос ограничен 26 местами, а оборот обеспечивается мойкой между волнами обслуживания.</x:v>
      </x:c>
      <x:c r="C34" s="223"/>
      <x:c r="D34" s="223"/>
      <x:c r="E34" s="223"/>
      <x:c r="F34" s="223"/>
      <x:c r="G34" s="223"/>
      <x:c r="H34" s="223"/>
      <x:c r="I34" s="223"/>
      <x:c r="J34" s="223"/>
      <x:c r="K34" s="223"/>
      <x:c r="L34" s="223"/>
      <x:c r="M34" s="223"/>
      <x:c r="N34" s="223"/>
      <x:c r="O34" s="223"/>
      <x:c r="P34" s="223"/>
      <x:c r="Q34" s="223"/>
      <x:c r="R34" s="223"/>
      <x:c r="S34" s="223"/>
    </x:row>
    <x:row r="35" ht="34" customHeight="1">
      <x:c r="A35" s="223" t="str">
        <x:v>3</x:v>
      </x:c>
      <x:c r="B35" s="223" t="str">
        <x:v>Рабочие нормы ежемесячной убыли: фарфор 3%, стекло 4%, столовые приборы 1% от стоимости имеющегося комплекта. Это управленческие допущения до накопления фактической статистики боя и поломок.</x:v>
      </x:c>
      <x:c r="C35" s="223"/>
      <x:c r="D35" s="223"/>
      <x:c r="E35" s="223"/>
      <x:c r="F35" s="223"/>
      <x:c r="G35" s="223"/>
      <x:c r="H35" s="223"/>
      <x:c r="I35" s="223"/>
      <x:c r="J35" s="223"/>
      <x:c r="K35" s="223"/>
      <x:c r="L35" s="223"/>
      <x:c r="M35" s="223"/>
      <x:c r="N35" s="223"/>
      <x:c r="O35" s="223"/>
      <x:c r="P35" s="223"/>
      <x:c r="Q35" s="223"/>
      <x:c r="R35" s="223"/>
      <x:c r="S35" s="223"/>
    </x:row>
    <x:row r="36" ht="34" customHeight="1">
      <x:c r="A36" s="223" t="str">
        <x:v>4</x:v>
      </x:c>
      <x:c r="B36" s="223" t="str">
        <x:v>Вывод: стартовый комплект достаточен. Без дозаказа часть позиций приблизится к минимальному пар-уровню к шестому месяцу; при ежемесячном резерве и оперативном пополнении комплект соответствует экспертной оценке 3–6 месяцев.</x:v>
      </x:c>
      <x:c r="C36" s="223"/>
      <x:c r="D36" s="223"/>
      <x:c r="E36" s="223"/>
      <x:c r="F36" s="223"/>
      <x:c r="G36" s="223"/>
      <x:c r="H36" s="223"/>
      <x:c r="I36" s="223"/>
      <x:c r="J36" s="223"/>
      <x:c r="K36" s="223"/>
      <x:c r="L36" s="223"/>
      <x:c r="M36" s="223"/>
      <x:c r="N36" s="223"/>
      <x:c r="O36" s="223"/>
      <x:c r="P36" s="223"/>
      <x:c r="Q36" s="223"/>
      <x:c r="R36" s="223"/>
      <x:c r="S36" s="223"/>
    </x:row>
  </x:sheetData>
  <x:mergeCells>
    <x:mergeCell ref="A1:S1"/>
    <x:mergeCell ref="A2:S2"/>
    <x:mergeCell ref="A4:B4"/>
    <x:mergeCell ref="D4:E4"/>
    <x:mergeCell ref="G4:H4"/>
    <x:mergeCell ref="J4:L4"/>
    <x:mergeCell ref="N4:O4"/>
    <x:mergeCell ref="A5:B5"/>
    <x:mergeCell ref="D5:E5"/>
    <x:mergeCell ref="G5:H5"/>
    <x:mergeCell ref="J5:L5"/>
    <x:mergeCell ref="N5:O5"/>
    <x:mergeCell ref="A6:B6"/>
    <x:mergeCell ref="D6:E6"/>
    <x:mergeCell ref="G6:H6"/>
    <x:mergeCell ref="J6:L6"/>
    <x:mergeCell ref="N6:O6"/>
    <x:mergeCell ref="P4:S4"/>
    <x:mergeCell ref="P5:S5"/>
    <x:mergeCell ref="P6:S6"/>
    <x:mergeCell ref="A32:S32"/>
    <x:mergeCell ref="B33:S33"/>
    <x:mergeCell ref="B34:S34"/>
    <x:mergeCell ref="B35:S35"/>
    <x:mergeCell ref="B36:S36"/>
  </x:mergeCells>
  <x:hyperlinks>
    <x:hyperlink xmlns:r="http://schemas.openxmlformats.org/officeDocument/2006/relationships" ref="F6" r:id="Ra8e542564d424a26"/>
    <x:hyperlink xmlns:r="http://schemas.openxmlformats.org/officeDocument/2006/relationships" ref="I6" r:id="Re4932e683c19453c"/>
    <x:hyperlink xmlns:r="http://schemas.openxmlformats.org/officeDocument/2006/relationships" ref="M6" r:id="R786f73f407324974"/>
    <x:hyperlink xmlns:r="http://schemas.openxmlformats.org/officeDocument/2006/relationships" ref="S9" r:id="R6a7373a5e3c9478b"/>
    <x:hyperlink xmlns:r="http://schemas.openxmlformats.org/officeDocument/2006/relationships" ref="S10" r:id="R1fe19cf7ff3f4b94"/>
    <x:hyperlink xmlns:r="http://schemas.openxmlformats.org/officeDocument/2006/relationships" ref="S11" r:id="Rfce7ca2631984b62"/>
    <x:hyperlink xmlns:r="http://schemas.openxmlformats.org/officeDocument/2006/relationships" ref="S12" r:id="R8492b42ef94e42f5"/>
    <x:hyperlink xmlns:r="http://schemas.openxmlformats.org/officeDocument/2006/relationships" ref="S13" r:id="R7fcb7ccace524239"/>
    <x:hyperlink xmlns:r="http://schemas.openxmlformats.org/officeDocument/2006/relationships" ref="S14" r:id="Refb622796f5b4321"/>
    <x:hyperlink xmlns:r="http://schemas.openxmlformats.org/officeDocument/2006/relationships" ref="S15" r:id="R8b44f2d5db754fa5"/>
    <x:hyperlink xmlns:r="http://schemas.openxmlformats.org/officeDocument/2006/relationships" ref="S16" r:id="R0e4df110e27241be"/>
    <x:hyperlink xmlns:r="http://schemas.openxmlformats.org/officeDocument/2006/relationships" ref="S17" r:id="R4771c43ada584a9e"/>
    <x:hyperlink xmlns:r="http://schemas.openxmlformats.org/officeDocument/2006/relationships" ref="S18" r:id="R08d6ccb2e5fc4188"/>
    <x:hyperlink xmlns:r="http://schemas.openxmlformats.org/officeDocument/2006/relationships" ref="S19" r:id="Rae313d4b76884346"/>
    <x:hyperlink xmlns:r="http://schemas.openxmlformats.org/officeDocument/2006/relationships" ref="S20" r:id="R58cf65d77f3e4b59"/>
    <x:hyperlink xmlns:r="http://schemas.openxmlformats.org/officeDocument/2006/relationships" ref="S21" r:id="R0628b754a346495f"/>
    <x:hyperlink xmlns:r="http://schemas.openxmlformats.org/officeDocument/2006/relationships" ref="S22" r:id="R279b30a40459434f"/>
    <x:hyperlink xmlns:r="http://schemas.openxmlformats.org/officeDocument/2006/relationships" ref="S23" r:id="Ra74da0b2e19045f9"/>
    <x:hyperlink xmlns:r="http://schemas.openxmlformats.org/officeDocument/2006/relationships" ref="S24" r:id="Ra0719c31b9f54c21"/>
    <x:hyperlink xmlns:r="http://schemas.openxmlformats.org/officeDocument/2006/relationships" ref="S25" r:id="R732ce7a352eb4a90"/>
    <x:hyperlink xmlns:r="http://schemas.openxmlformats.org/officeDocument/2006/relationships" ref="S26" r:id="R6ef7f33592654f52"/>
    <x:hyperlink xmlns:r="http://schemas.openxmlformats.org/officeDocument/2006/relationships" ref="S27" r:id="Rb35290db1dd24a67"/>
    <x:hyperlink xmlns:r="http://schemas.openxmlformats.org/officeDocument/2006/relationships" ref="S28" r:id="R612c9539a31f4080"/>
    <x:hyperlink xmlns:r="http://schemas.openxmlformats.org/officeDocument/2006/relationships" ref="S29" r:id="R32164e18e8a540ce"/>
  </x:hyperlink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9" hidden="0" customWidth="1"/>
    <x:col min="4" max="4" width="16" hidden="0" customWidth="1"/>
    <x:col min="5" max="5" width="14" hidden="0" customWidth="1"/>
    <x:col min="6" max="6" width="28" hidden="0" customWidth="1"/>
    <x:col min="7" max="7" width="18" hidden="0" customWidth="1"/>
    <x:col min="8" max="8" width="18" hidden="0" customWidth="1"/>
  </x:cols>
  <x:sheetData>
    <x:row r="1" ht="28" customHeight="1">
      <x:c r="A1" s="213" t="str">
        <x:v>VARSHAVKA — центр инвестиций: посуда и барное стекло</x:v>
      </x:c>
      <x:c r="B1" s="213"/>
      <x:c r="C1" s="213"/>
      <x:c r="D1" s="213"/>
      <x:c r="E1" s="213"/>
      <x:c r="F1" s="213"/>
      <x:c r="G1" s="213"/>
      <x:c r="H1" s="213"/>
    </x:row>
    <x:row r="2" ht="34" customHeight="1">
      <x:c r="A2" s="216" t="str">
        <x:v>Первоначальная закупка относится к центру инвестиций VARSHAVKA. Эксплуатационный резерв на бой и поломку относится на F&amp;B Departmental Expenses и включён в P&amp;L кафе.</x:v>
      </x:c>
      <x:c r="B2" s="216"/>
      <x:c r="C2" s="216"/>
      <x:c r="D2" s="216"/>
      <x:c r="E2" s="216"/>
      <x:c r="F2" s="216"/>
      <x:c r="G2" s="216"/>
      <x:c r="H2" s="216"/>
    </x:row>
    <x:row r="4">
      <x:c r="A4" s="230" t="str">
        <x:v>Код</x:v>
      </x:c>
      <x:c r="B4" s="230" t="str">
        <x:v>Статья</x:v>
      </x:c>
      <x:c r="C4" s="230" t="str">
        <x:v>Назначение</x:v>
      </x:c>
      <x:c r="D4" s="230" t="str">
        <x:v>Сумма, руб.</x:v>
      </x:c>
      <x:c r="E4" s="230" t="str">
        <x:v>Период</x:v>
      </x:c>
      <x:c r="F4" s="230" t="str">
        <x:v>Финансирование</x:v>
      </x:c>
      <x:c r="G4" s="230" t="str">
        <x:v>Использование</x:v>
      </x:c>
      <x:c r="H4" s="230" t="str">
        <x:v>Источник</x:v>
      </x:c>
    </x:row>
    <x:row r="5">
      <x:c r="A5" s="223" t="str">
        <x:v>INV.TABLEWARE.HALL</x:v>
      </x:c>
      <x:c r="B5" s="223" t="str">
        <x:v>Посуда и приборы зала</x:v>
      </x:c>
      <x:c r="C5" s="223" t="str">
        <x:v>Первоначальная закупка</x:v>
      </x:c>
      <x:c r="D5" s="236" t="n">
        <x:v>254437</x:v>
      </x:c>
      <x:c r="E5" s="223" t="str">
        <x:v>До открытия</x:v>
      </x:c>
      <x:c r="F5" s="223" t="str">
        <x:v>Центр инвестиций VARSHAVKA</x:v>
      </x:c>
      <x:c r="G5" s="223" t="str">
        <x:v>КАФЕ / БАНКЕТЫ</x:v>
      </x:c>
      <x:c r="H5" s="242" t="str">
        <x:v>EML — зал</x:v>
      </x:c>
    </x:row>
    <x:row r="6">
      <x:c r="A6" s="223" t="str">
        <x:v>INV.TABLEWARE.BAR</x:v>
      </x:c>
      <x:c r="B6" s="223" t="str">
        <x:v>Барное стекло</x:v>
      </x:c>
      <x:c r="C6" s="223" t="str">
        <x:v>Первоначальная закупка</x:v>
      </x:c>
      <x:c r="D6" s="236" t="n">
        <x:v>117576</x:v>
      </x:c>
      <x:c r="E6" s="223" t="str">
        <x:v>До открытия</x:v>
      </x:c>
      <x:c r="F6" s="223" t="str">
        <x:v>Центр инвестиций VARSHAVKA</x:v>
      </x:c>
      <x:c r="G6" s="223" t="str">
        <x:v>КАФЕ / БАНКЕТЫ</x:v>
      </x:c>
      <x:c r="H6" s="242" t="str">
        <x:v>EML — бар</x:v>
      </x:c>
    </x:row>
    <x:row r="7">
      <x:c r="A7" s="249" t="str">
        <x:v>INV.TABLEWARE.INITIAL</x:v>
      </x:c>
      <x:c r="B7" s="249" t="str">
        <x:v>ИТОГО первоначальная закупка</x:v>
      </x:c>
      <x:c r="C7" s="249" t="str">
        <x:v>Капитальные вложения / запуск</x:v>
      </x:c>
      <x:c r="D7" s="250" t="n">
        <x:f>SUM(D5:D6)</x:f>
        <x:v>372013</x:v>
      </x:c>
      <x:c r="E7" s="249" t="str">
        <x:v>До открытия</x:v>
      </x:c>
      <x:c r="F7" s="249" t="str">
        <x:v>Центр инвестиций VARSHAVKA</x:v>
      </x:c>
      <x:c r="G7" s="249" t="str">
        <x:v>Совместное</x:v>
      </x:c>
      <x:c r="H7" s="249" t="str">
        <x:v>CSV — реестр</x:v>
      </x:c>
    </x:row>
    <x:row r="8">
      <x:c r="A8" s="223" t="str">
        <x:v>INV.TABLEWARE.RESERVE.6M</x:v>
      </x:c>
      <x:c r="B8" s="223" t="str">
        <x:v>Резерв пополнения на 6 месяцев</x:v>
      </x:c>
      <x:c r="C8" s="223" t="str">
        <x:v>Бой и поломка</x:v>
      </x:c>
      <x:c r="D8" s="236" t="n">
        <x:f>'11_ПОСУДА'!$F$5*'11_ПОСУДА'!$C$6</x:f>
        <x:v>65307.78</x:v>
      </x:c>
      <x:c r="E8" s="223" t="str">
        <x:v>6 месяцев</x:v>
      </x:c>
      <x:c r="F8" s="223" t="str">
        <x:v>Оборотный капитал</x:v>
      </x:c>
      <x:c r="G8" s="223" t="str">
        <x:v>Совместное</x:v>
      </x:c>
      <x:c r="H8" s="223" t="str">
        <x:v>Расчёт 11_ПОСУДА</x:v>
      </x:c>
    </x:row>
    <x:row r="9">
      <x:c r="A9" s="249" t="str">
        <x:v>INV.TABLEWARE.FUNDING.6M</x:v>
      </x:c>
      <x:c r="B9" s="249" t="str">
        <x:v>ПОТРЕБНОСТЬ В ФИНАНСИРОВАНИИ НА 6 МЕСЯЦЕВ</x:v>
      </x:c>
      <x:c r="C9" s="249" t="str">
        <x:v>Первоначальная закупка + резерв</x:v>
      </x:c>
      <x:c r="D9" s="250" t="n">
        <x:f>D7+D8</x:f>
        <x:v>437320.78</x:v>
      </x:c>
      <x:c r="E9" s="249" t="str">
        <x:v>6 месяцев</x:v>
      </x:c>
      <x:c r="F9" s="249" t="str">
        <x:v>Центр инвестиций VARSHAVKA</x:v>
      </x:c>
      <x:c r="G9" s="249" t="str">
        <x:v>Совместное</x:v>
      </x:c>
      <x:c r="H9" s="249" t="str">
        <x:v>Расчёт модели</x:v>
      </x:c>
    </x:row>
    <x:row r="11">
      <x:c r="A11" s="244" t="str">
        <x:v>УПРАВЛЕНЧЕСКИЙ УЧЁТ</x:v>
      </x:c>
      <x:c r="B11" s="244"/>
      <x:c r="C11" s="244"/>
      <x:c r="D11" s="244"/>
      <x:c r="E11" s="244"/>
      <x:c r="F11" s="244"/>
      <x:c r="G11" s="244"/>
      <x:c r="H11" s="244"/>
    </x:row>
    <x:row r="12" ht="30" customHeight="1">
      <x:c r="A12" s="223" t="str">
        <x:v>1</x:v>
      </x:c>
      <x:c r="B12" s="223" t="str">
        <x:v>Первоначальная закупка не уменьшает операционную прибыль: она отражена в центре инвестиций.</x:v>
      </x:c>
      <x:c r="C12" s="223"/>
      <x:c r="D12" s="223"/>
      <x:c r="E12" s="223"/>
      <x:c r="F12" s="223"/>
      <x:c r="G12" s="223"/>
      <x:c r="H12" s="223"/>
    </x:row>
    <x:row r="13" ht="30" customHeight="1">
      <x:c r="A13" s="223" t="str">
        <x:v>2</x:v>
      </x:c>
      <x:c r="B13" s="223" t="str">
        <x:v>Ежемесячный резерв на бой и поломку уменьшает операционную прибыль кафе через строку OPEX.SMALLWARE.</x:v>
      </x:c>
      <x:c r="C13" s="223"/>
      <x:c r="D13" s="223"/>
      <x:c r="E13" s="223"/>
      <x:c r="F13" s="223"/>
      <x:c r="G13" s="223"/>
      <x:c r="H13" s="223"/>
    </x:row>
    <x:row r="14" ht="30" customHeight="1">
      <x:c r="A14" s="223" t="str">
        <x:v>3</x:v>
      </x:c>
      <x:c r="B14" s="223" t="str">
        <x:v>Фактический бой рекомендуется регистрировать по артикулу и ежемесячно заменять модельную норму фактом.</x:v>
      </x:c>
      <x:c r="C14" s="223"/>
      <x:c r="D14" s="223"/>
      <x:c r="E14" s="223"/>
      <x:c r="F14" s="223"/>
      <x:c r="G14" s="223"/>
      <x:c r="H14" s="223"/>
    </x:row>
    <x:row r="15" ht="30" customHeight="1">
      <x:c r="A15" s="223" t="str">
        <x:v>4</x:v>
      </x:c>
      <x:c r="B15" s="223" t="str">
        <x:v>Экспертная оценка 3–6 месяцев принимается при условии доступности оперативного дозаказа у поставщика.</x:v>
      </x:c>
      <x:c r="C15" s="223"/>
      <x:c r="D15" s="223"/>
      <x:c r="E15" s="223"/>
      <x:c r="F15" s="223"/>
      <x:c r="G15" s="223"/>
      <x:c r="H15" s="223"/>
    </x:row>
  </x:sheetData>
  <x:mergeCells>
    <x:mergeCell ref="A1:H1"/>
    <x:mergeCell ref="A2:H2"/>
    <x:mergeCell ref="A11:H11"/>
    <x:mergeCell ref="B12:H12"/>
    <x:mergeCell ref="B13:H13"/>
    <x:mergeCell ref="B14:H14"/>
    <x:mergeCell ref="B15:H15"/>
  </x:mergeCells>
  <x:hyperlinks>
    <x:hyperlink xmlns:r="http://schemas.openxmlformats.org/officeDocument/2006/relationships" ref="H5" r:id="R332e9d7ca6a444a0"/>
    <x:hyperlink xmlns:r="http://schemas.openxmlformats.org/officeDocument/2006/relationships" ref="H6" r:id="R19146d3e9e344387"/>
    <x:hyperlink xmlns:r="http://schemas.openxmlformats.org/officeDocument/2006/relationships" ref="H7" r:id="R05c307c880ff4ee8"/>
  </x:hyperlink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25" hidden="0" customWidth="1"/>
    <x:col min="5" max="5" width="32" hidden="0" customWidth="1"/>
    <x:col min="6" max="6" width="22" hidden="0" customWidth="1"/>
    <x:col min="7" max="7" width="24" hidden="0" customWidth="1"/>
    <x:col min="8" max="8" width="34" hidden="0" customWidth="1"/>
  </x:cols>
  <x:sheetData>
    <x:row r="1">
      <x:c r="A1" s="268" t="str">
        <x:v>VARSHAVKA — проект решения S03 v0.1.6</x:v>
      </x:c>
      <x:c r="B1" s="268"/>
      <x:c r="C1" s="268"/>
      <x:c r="D1" s="268"/>
      <x:c r="E1" s="268"/>
      <x:c r="F1" s="268"/>
      <x:c r="G1" s="268"/>
      <x:c r="H1" s="268"/>
    </x:row>
    <x:row r="2">
      <x:c r="A2" s="269" t="str">
        <x:v>Синхронизация финансовой модели с утверждённой операционной моделью VARSHAVKA 3.0.0 | Issues #36 и #52</x:v>
      </x:c>
      <x:c r="B2" s="269"/>
      <x:c r="C2" s="269"/>
      <x:c r="D2" s="269"/>
      <x:c r="E2" s="269"/>
      <x:c r="F2" s="269"/>
      <x:c r="G2" s="269"/>
      <x:c r="H2" s="269"/>
    </x:row>
    <x:row r="3">
      <x:c r="A3" s="270"/>
      <x:c r="B3" s="270"/>
      <x:c r="C3" s="270"/>
      <x:c r="D3" s="270"/>
      <x:c r="E3" s="270"/>
      <x:c r="F3" s="270"/>
      <x:c r="G3" s="270"/>
      <x:c r="H3" s="270"/>
    </x:row>
    <x:row r="4">
      <x:c r="A4" s="271" t="str">
        <x:v>Issue</x:v>
      </x:c>
      <x:c r="B4" s="271" t="str">
        <x:v>Контур</x:v>
      </x:c>
      <x:c r="C4" s="271" t="str">
        <x:v>Изменение</x:v>
      </x:c>
      <x:c r="D4" s="271" t="str">
        <x:v>До</x:v>
      </x:c>
      <x:c r="E4" s="271" t="str">
        <x:v>После</x:v>
      </x:c>
      <x:c r="F4" s="271" t="str">
        <x:v>Статус данных</x:v>
      </x:c>
      <x:c r="G4" s="271" t="str">
        <x:v>Проверка</x:v>
      </x:c>
      <x:c r="H4" s="271" t="str">
        <x:v>Следующий контроль</x:v>
      </x:c>
    </x:row>
    <x:row r="5">
      <x:c r="A5" s="272" t="str">
        <x:v>#36/#52</x:v>
      </x:c>
      <x:c r="B5" s="272" t="str">
        <x:v>Гостиница</x:v>
      </x:c>
      <x:c r="C5" s="272" t="str">
        <x:v>Разделение завтраков и ужинов</x:v>
      </x:c>
      <x:c r="D5" s="272" t="str">
        <x:v>20 единых заказов + 50% ratio</x:v>
      </x:c>
      <x:c r="E5" s="272" t="str">
        <x:v>20 завтраков + 10 ужинов ежедневно</x:v>
      </x:c>
      <x:c r="F5" s="272" t="str">
        <x:v>Утверждено</x:v>
      </x:c>
      <x:c r="G5" s="272" t="str">
        <x:v>CHK.HOTEL.TOTAL</x:v>
      </x:c>
      <x:c r="H5" s="272" t="str">
        <x:v>Цена специальных завтраков — #40</x:v>
      </x:c>
    </x:row>
    <x:row r="6">
      <x:c r="A6" s="272" t="str">
        <x:v>#36/#52</x:v>
      </x:c>
      <x:c r="B6" s="272" t="str">
        <x:v>КОФЕ&amp;ЧАЙ</x:v>
      </x:c>
      <x:c r="C6" s="272" t="str">
        <x:v>Отдельный канал напитка бариста</x:v>
      </x:c>
      <x:c r="D6" s="272" t="str">
        <x:v>Не выделен</x:v>
      </x:c>
      <x:c r="E6" s="272" t="str">
        <x:v>50% базы гостей; чек 300; COGS 60</x:v>
      </x:c>
      <x:c r="F6" s="272" t="str">
        <x:v>Утверждено</x:v>
      </x:c>
      <x:c r="G6" s="272" t="str">
        <x:v>CHK.COFFEE.QTY / COGS</x:v>
      </x:c>
      <x:c r="H6" s="272" t="str">
        <x:v>Платёжный профиль — #51</x:v>
      </x:c>
    </x:row>
    <x:row r="7">
      <x:c r="A7" s="272" t="str">
        <x:v>#36</x:v>
      </x:c>
      <x:c r="B7" s="272" t="str">
        <x:v>БАНКЕТЫ</x:v>
      </x:c>
      <x:c r="C7" s="272" t="str">
        <x:v>Оплата</x:v>
      </x:c>
      <x:c r="D7" s="272" t="str">
        <x:v>BANQ_CASHLESS = 1</x:v>
      </x:c>
      <x:c r="E7" s="272" t="str">
        <x:v>BANQ_CASHLESS = 0</x:v>
      </x:c>
      <x:c r="F7" s="272" t="str">
        <x:v>Утверждено</x:v>
      </x:c>
      <x:c r="G7" s="272" t="str">
        <x:v>CHK.BANQ.CASH</x:v>
      </x:c>
      <x:c r="H7" s="272" t="str">
        <x:v>ККТ и кассовая дисциплина — #51</x:v>
      </x:c>
    </x:row>
    <x:row r="8">
      <x:c r="A8" s="272" t="str">
        <x:v>#36</x:v>
      </x:c>
      <x:c r="B8" s="272" t="str">
        <x:v>Бизнес-ланч</x:v>
      </x:c>
      <x:c r="C8" s="272" t="str">
        <x:v>Устранение конфликта 650/750</x:v>
      </x:c>
      <x:c r="D8" s="272" t="str">
        <x:v>Статус «Конфликт»</x:v>
      </x:c>
      <x:c r="E8" s="272" t="str">
        <x:v>Расчётный чек 750 руб.</x:v>
      </x:c>
      <x:c r="F8" s="272" t="str">
        <x:v>Утверждено</x:v>
      </x:c>
      <x:c r="G8" s="272" t="str">
        <x:v>CHK.LUNCH.CHECK</x:v>
      </x:c>
      <x:c r="H8" s="272" t="str">
        <x:v>Проверка ценами — #40</x:v>
      </x:c>
    </x:row>
    <x:row r="9">
      <x:c r="A9" s="272" t="str">
        <x:v>#36</x:v>
      </x:c>
      <x:c r="B9" s="272" t="str">
        <x:v>Питание сотрудников</x:v>
      </x:c>
      <x:c r="C9" s="272" t="str">
        <x:v>Объём производственной программы</x:v>
      </x:c>
      <x:c r="D9" s="272" t="str">
        <x:v>Только 15 000 руб./мес.</x:v>
      </x:c>
      <x:c r="E9" s="272" t="str">
        <x:v>84 комплекса/нед.; 4 368/52 недели</x:v>
      </x:c>
      <x:c r="F9" s="272" t="str">
        <x:v>Объём утверждён; стоимость открыта</x:v>
      </x:c>
      <x:c r="G9" s="272" t="str">
        <x:v>CHK.STAFF.MEALS</x:v>
      </x:c>
      <x:c r="H9" s="272" t="str">
        <x:v>Технологические карты и стоимость — #41</x:v>
      </x:c>
    </x:row>
    <x:row r="10">
      <x:c r="A10" s="272" t="str">
        <x:v>#36</x:v>
      </x:c>
      <x:c r="B10" s="272" t="str">
        <x:v>ADR</x:v>
      </x:c>
      <x:c r="C10" s="272" t="str">
        <x:v>Статус ADR-0002</x:v>
      </x:c>
      <x:c r="D10" s="272" t="str">
        <x:v>APPROVED</x:v>
      </x:c>
      <x:c r="E10" s="272" t="str">
        <x:v>SUPERSEDED by ADR-0004 и решения 26.07.2026</x:v>
      </x:c>
      <x:c r="F10" s="272" t="str">
        <x:v>Утверждено</x:v>
      </x:c>
      <x:c r="G10" s="272" t="str">
        <x:v>Документальный контроль</x:v>
      </x:c>
      <x:c r="H10" s="272" t="str">
        <x:v>Нет</x:v>
      </x:c>
    </x:row>
    <x:row r="11">
      <x:c r="A11" s="272" t="str">
        <x:v>#36</x:v>
      </x:c>
      <x:c r="B11" s="272" t="str">
        <x:v>Релиз</x:v>
      </x:c>
      <x:c r="C11" s="272" t="str">
        <x:v>Версия книги</x:v>
      </x:c>
      <x:c r="D11" s="272" t="str">
        <x:v>S03 v0.1.5</x:v>
      </x:c>
      <x:c r="E11" s="272" t="str">
        <x:v>S03 v0.1.6</x:v>
      </x:c>
      <x:c r="F11" s="272" t="str">
        <x:v>Проект решения</x:v>
      </x:c>
      <x:c r="G11" s="272" t="str">
        <x:v>08_ПРОВЕРКИ</x:v>
      </x:c>
      <x:c r="H11" s="272" t="str">
        <x:v>PR и выпуск релиза</x:v>
      </x:c>
    </x:row>
    <x:row r="12">
      <x:c r="A12" s="270"/>
      <x:c r="B12" s="270"/>
      <x:c r="C12" s="270"/>
      <x:c r="D12" s="270"/>
      <x:c r="E12" s="270"/>
      <x:c r="F12" s="270"/>
      <x:c r="G12" s="270"/>
      <x:c r="H12" s="270"/>
    </x:row>
    <x:row r="13">
      <x:c r="A13" s="271" t="str">
        <x:v>Код контроля</x:v>
      </x:c>
      <x:c r="B13" s="271" t="str">
        <x:v>Ожидается</x:v>
      </x:c>
      <x:c r="C13" s="271" t="str">
        <x:v>Факт</x:v>
      </x:c>
      <x:c r="D13" s="271" t="str">
        <x:v>Отклонение</x:v>
      </x:c>
      <x:c r="E13" s="271" t="str">
        <x:v>Статус</x:v>
      </x:c>
      <x:c r="F13" s="271" t="str">
        <x:v>Источник</x:v>
      </x:c>
      <x:c r="G13" s="271" t="str">
        <x:v>Issue</x:v>
      </x:c>
      <x:c r="H13" s="271" t="str">
        <x:v>Комментарий</x:v>
      </x:c>
    </x:row>
    <x:row r="14">
      <x:c r="A14" s="272" t="str">
        <x:v>БАНКЕТЫ cashless</x:v>
      </x:c>
      <x:c r="B14" s="273" t="n">
        <x:v>0</x:v>
      </x:c>
      <x:c r="C14" s="273" t="n">
        <x:f>'01_ВВОД'!$D$57</x:f>
        <x:v>0</x:v>
      </x:c>
      <x:c r="D14" s="273" t="n">
        <x:f>C14-B14</x:f>
        <x:v>0</x:v>
      </x:c>
      <x:c r="E14" s="272" t="str">
        <x:f>IF(ABS(D14)&lt;0.01,"OK","ОШИБКА")</x:f>
        <x:v>OK</x:v>
      </x:c>
      <x:c r="F14" s="272" t="str">
        <x:v>Решение пользователя 26.07.2026</x:v>
      </x:c>
      <x:c r="G14" s="272" t="str">
        <x:v>#36</x:v>
      </x:c>
      <x:c r="H14" s="272" t="str">
        <x:v>Эквайринг БАНКЕТОВ отсутствует</x:v>
      </x:c>
    </x:row>
    <x:row r="15">
      <x:c r="A15" s="272" t="str">
        <x:v>Завтраки/год</x:v>
      </x:c>
      <x:c r="B15" s="273" t="n">
        <x:v>7300</x:v>
      </x:c>
      <x:c r="C15" s="273" t="n">
        <x:f>'03_ДОХОДЫ'!P22</x:f>
        <x:v>7300</x:v>
      </x:c>
      <x:c r="D15" s="273" t="n">
        <x:f>C15-B15</x:f>
        <x:v>0</x:v>
      </x:c>
      <x:c r="E15" s="272" t="str">
        <x:f>IF(ABS(D15)&lt;0.01,"OK","ОШИБКА")</x:f>
        <x:v>OK</x:v>
      </x:c>
      <x:c r="F15" s="272" t="str">
        <x:v>20 × 365</x:v>
      </x:c>
      <x:c r="G15" s="272" t="str">
        <x:v>#52</x:v>
      </x:c>
      <x:c r="H15" s="272" t="str">
        <x:v>Закрытое меню Гостиницы</x:v>
      </x:c>
    </x:row>
    <x:row r="16">
      <x:c r="A16" s="272" t="str">
        <x:v>Ужины/год</x:v>
      </x:c>
      <x:c r="B16" s="273" t="n">
        <x:v>3650</x:v>
      </x:c>
      <x:c r="C16" s="273" t="n">
        <x:f>'03_ДОХОДЫ'!P39</x:f>
        <x:v>3650</x:v>
      </x:c>
      <x:c r="D16" s="273" t="n">
        <x:f>C16-B16</x:f>
        <x:v>0</x:v>
      </x:c>
      <x:c r="E16" s="272" t="str">
        <x:f>IF(ABS(D16)&lt;0.01,"OK","ОШИБКА")</x:f>
        <x:v>OK</x:v>
      </x:c>
      <x:c r="F16" s="272" t="str">
        <x:v>10 × 365</x:v>
      </x:c>
      <x:c r="G16" s="272" t="str">
        <x:v>#52</x:v>
      </x:c>
      <x:c r="H16" s="272" t="str">
        <x:v>Супы на ужине отсутствуют</x:v>
      </x:c>
    </x:row>
    <x:row r="17">
      <x:c r="A17" s="272" t="str">
        <x:v>Чек Бизнес-ланча</x:v>
      </x:c>
      <x:c r="B17" s="273" t="n">
        <x:v>750</x:v>
      </x:c>
      <x:c r="C17" s="273" t="n">
        <x:f>'01_ВВОД'!$D$28</x:f>
        <x:v>750</x:v>
      </x:c>
      <x:c r="D17" s="273" t="n">
        <x:f>C17-B17</x:f>
        <x:v>0</x:v>
      </x:c>
      <x:c r="E17" s="272" t="str">
        <x:f>IF(ABS(D17)&lt;0.01,"OK","ОШИБКА")</x:f>
        <x:v>OK</x:v>
      </x:c>
      <x:c r="F17" s="272" t="str">
        <x:v>1 000 × 75%</x:v>
      </x:c>
      <x:c r="G17" s="272" t="str">
        <x:v>#36</x:v>
      </x:c>
      <x:c r="H17" s="272" t="str">
        <x:v>Проверить итоговую корзину ценами</x:v>
      </x:c>
    </x:row>
    <x:row r="18">
      <x:c r="A18" s="272" t="str">
        <x:v>Питание сотрудников/год</x:v>
      </x:c>
      <x:c r="B18" s="273" t="n">
        <x:v>4368</x:v>
      </x:c>
      <x:c r="C18" s="273" t="n">
        <x:f>'01_ВВОД'!$D$134</x:f>
        <x:v>4368</x:v>
      </x:c>
      <x:c r="D18" s="273" t="n">
        <x:f>C18-B18</x:f>
        <x:v>0</x:v>
      </x:c>
      <x:c r="E18" s="272" t="str">
        <x:f>IF(ABS(D18)&lt;0.01,"OK","ОШИБКА")</x:f>
        <x:v>OK</x:v>
      </x:c>
      <x:c r="F18" s="272" t="str">
        <x:v>84 × 52</x:v>
      </x:c>
      <x:c r="G18" s="272" t="str">
        <x:v>#36/#41</x:v>
      </x:c>
      <x:c r="H18" s="272" t="str">
        <x:v>Себестоимость ещё не подтверждена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</x:cols>
  <x:sheetData>
    <x:row r="1">
      <x:c r="A1" s="268" t="str">
        <x:v>VARSHAVKA 3.0.0 — производственная программа Кухни</x:v>
      </x:c>
      <x:c r="B1" s="268"/>
      <x:c r="C1" s="268"/>
      <x:c r="D1" s="268"/>
      <x:c r="E1" s="268"/>
      <x:c r="F1" s="268"/>
      <x:c r="G1" s="268"/>
      <x:c r="H1" s="268"/>
      <x:c r="I1" s="268"/>
      <x:c r="J1" s="268"/>
    </x:row>
    <x:row r="2">
      <x:c r="A2" s="269" t="str">
        <x:v>S03 v0.1.7: 31 активная позиция; масса пересчитана по трём вариантам гостиничного завтрака. Закупочные цены и часть выходов остаются предварительными.</x:v>
      </x:c>
      <x:c r="B2" s="269"/>
      <x:c r="C2" s="269"/>
      <x:c r="D2" s="269"/>
      <x:c r="E2" s="269"/>
      <x:c r="F2" s="269"/>
      <x:c r="G2" s="269"/>
      <x:c r="H2" s="269"/>
      <x:c r="I2" s="269"/>
      <x:c r="J2" s="269"/>
    </x:row>
    <x:row r="3">
      <x:c r="A3" s="270"/>
      <x:c r="B3" s="270"/>
      <x:c r="C3" s="270"/>
      <x:c r="D3" s="270"/>
      <x:c r="E3" s="270"/>
      <x:c r="F3" s="270"/>
      <x:c r="G3" s="270"/>
      <x:c r="H3" s="270"/>
      <x:c r="I3" s="270"/>
      <x:c r="J3" s="270"/>
    </x:row>
    <x:row r="4">
      <x:c r="A4" s="271" t="str">
        <x:v>Режим</x:v>
      </x:c>
      <x:c r="B4" s="271" t="str">
        <x:v>Пн, кг</x:v>
      </x:c>
      <x:c r="C4" s="271" t="str">
        <x:v>Вт, кг</x:v>
      </x:c>
      <x:c r="D4" s="271" t="str">
        <x:v>Ср, кг</x:v>
      </x:c>
      <x:c r="E4" s="271" t="str">
        <x:v>Чт, кг</x:v>
      </x:c>
      <x:c r="F4" s="271" t="str">
        <x:v>Пт, кг</x:v>
      </x:c>
      <x:c r="G4" s="271" t="str">
        <x:v>Сб, кг</x:v>
      </x:c>
      <x:c r="H4" s="271" t="str">
        <x:v>Вс, кг</x:v>
      </x:c>
      <x:c r="I4" s="271" t="str">
        <x:v>Неделя, кг</x:v>
      </x:c>
      <x:c r="J4" s="271" t="str">
        <x:v>Условные единицы</x:v>
      </x:c>
    </x:row>
    <x:row r="5">
      <x:c r="A5" s="272" t="str">
        <x:v>Первые 3 месяца</x:v>
      </x:c>
      <x:c r="B5" s="275" t="n">
        <x:v>90.93</x:v>
      </x:c>
      <x:c r="C5" s="275" t="n">
        <x:v>88.53</x:v>
      </x:c>
      <x:c r="D5" s="275" t="n">
        <x:v>89.13</x:v>
      </x:c>
      <x:c r="E5" s="275" t="n">
        <x:v>87.93</x:v>
      </x:c>
      <x:c r="F5" s="275" t="n">
        <x:v>99.6</x:v>
      </x:c>
      <x:c r="G5" s="275" t="n">
        <x:v>109.725</x:v>
      </x:c>
      <x:c r="H5" s="275" t="n">
        <x:v>97.055</x:v>
      </x:c>
      <x:c r="I5" s="275" t="n">
        <x:f>SUM(B5:H5)</x:f>
        <x:v>662.9000000000001</x:v>
      </x:c>
      <x:c r="J5" s="272" t="n">
        <x:v>2533</x:v>
      </x:c>
    </x:row>
    <x:row r="6">
      <x:c r="A6" s="272" t="str">
        <x:v>После 3 месяцев</x:v>
      </x:c>
      <x:c r="B6" s="275" t="n">
        <x:v>87.495</x:v>
      </x:c>
      <x:c r="C6" s="275" t="n">
        <x:v>85.095</x:v>
      </x:c>
      <x:c r="D6" s="275" t="n">
        <x:v>85.695</x:v>
      </x:c>
      <x:c r="E6" s="275" t="n">
        <x:v>84.495</x:v>
      </x:c>
      <x:c r="F6" s="275" t="n">
        <x:v>96.135</x:v>
      </x:c>
      <x:c r="G6" s="275" t="n">
        <x:v>105.61</x:v>
      </x:c>
      <x:c r="H6" s="275" t="n">
        <x:v>94.2</x:v>
      </x:c>
      <x:c r="I6" s="275" t="n">
        <x:f>SUM(B6:H6)</x:f>
        <x:v>638.725</x:v>
      </x:c>
      <x:c r="J6" s="272" t="n">
        <x:v>2444</x:v>
      </x:c>
    </x:row>
    <x:row r="7">
      <x:c r="A7" s="270"/>
      <x:c r="B7" s="270"/>
      <x:c r="C7" s="270"/>
      <x:c r="D7" s="270"/>
      <x:c r="E7" s="270"/>
      <x:c r="F7" s="270"/>
      <x:c r="G7" s="270"/>
      <x:c r="H7" s="270"/>
      <x:c r="I7" s="270"/>
      <x:c r="J7" s="270"/>
    </x:row>
    <x:row r="8">
      <x:c r="A8" s="271" t="str">
        <x:v>Показатель</x:v>
      </x:c>
      <x:c r="B8" s="271" t="str">
        <x:v>Первые 3 месяца</x:v>
      </x:c>
      <x:c r="C8" s="271" t="str">
        <x:v>После 3 месяцев</x:v>
      </x:c>
      <x:c r="D8" s="271" t="str">
        <x:v>Единица</x:v>
      </x:c>
      <x:c r="E8" s="271" t="str">
        <x:v>Статус</x:v>
      </x:c>
      <x:c r="F8" s="271" t="str">
        <x:v>Комментарий</x:v>
      </x:c>
      <x:c r="G8" s="270"/>
      <x:c r="H8" s="270"/>
      <x:c r="I8" s="270"/>
      <x:c r="J8" s="270"/>
    </x:row>
    <x:row r="9">
      <x:c r="A9" s="272" t="str">
        <x:v>Гостиничные завтраки</x:v>
      </x:c>
      <x:c r="B9" s="275" t="n">
        <x:v>154</x:v>
      </x:c>
      <x:c r="C9" s="275" t="n">
        <x:v>147</x:v>
      </x:c>
      <x:c r="D9" s="272" t="str">
        <x:v>комплексов/нед.</x:v>
      </x:c>
      <x:c r="E9" s="272" t="str">
        <x:v>Утверждено</x:v>
      </x:c>
      <x:c r="F9" s="272" t="str">
        <x:v>Резерв Гостиницы применяется один раз</x:v>
      </x:c>
      <x:c r="G9" s="270"/>
      <x:c r="H9" s="270"/>
      <x:c r="I9" s="270"/>
      <x:c r="J9" s="270"/>
    </x:row>
    <x:row r="10">
      <x:c r="A10" s="272" t="str">
        <x:v>Питание сотрудников</x:v>
      </x:c>
      <x:c r="B10" s="275" t="n">
        <x:v>84</x:v>
      </x:c>
      <x:c r="C10" s="275" t="n">
        <x:v>84</x:v>
      </x:c>
      <x:c r="D10" s="272" t="str">
        <x:v>комплексов/нед.</x:v>
      </x:c>
      <x:c r="E10" s="272" t="str">
        <x:v>Утверждено</x:v>
      </x:c>
      <x:c r="F10" s="272" t="str">
        <x:v>48 А + 36 Б; резерв отсутствует</x:v>
      </x:c>
      <x:c r="G10" s="270"/>
      <x:c r="H10" s="270"/>
      <x:c r="I10" s="270"/>
      <x:c r="J10" s="270"/>
    </x:row>
    <x:row r="11">
      <x:c r="A11" s="272" t="str">
        <x:v>Пищевая часть питания сотрудников</x:v>
      </x:c>
      <x:c r="B11" s="275" t="n">
        <x:v>54.6</x:v>
      </x:c>
      <x:c r="C11" s="275" t="n">
        <x:v>54.6</x:v>
      </x:c>
      <x:c r="D11" s="272" t="str">
        <x:v>кг/нед.</x:v>
      </x:c>
      <x:c r="E11" s="272" t="str">
        <x:v>Утверждено</x:v>
      </x:c>
      <x:c r="F11" s="272" t="str">
        <x:v>650 г на комплекс</x:v>
      </x:c>
      <x:c r="G11" s="270"/>
      <x:c r="H11" s="270"/>
      <x:c r="I11" s="270"/>
      <x:c r="J11" s="270"/>
    </x:row>
    <x:row r="12">
      <x:c r="A12" s="272" t="str">
        <x:v>Напитки питания сотрудников</x:v>
      </x:c>
      <x:c r="B12" s="275" t="n">
        <x:v>16.8</x:v>
      </x:c>
      <x:c r="C12" s="275" t="n">
        <x:v>16.8</x:v>
      </x:c>
      <x:c r="D12" s="272" t="str">
        <x:v>л/нед.</x:v>
      </x:c>
      <x:c r="E12" s="272" t="str">
        <x:v>Утверждено</x:v>
      </x:c>
      <x:c r="F12" s="272" t="str">
        <x:v>200 мл на комплекс; не кофе бариста</x:v>
      </x:c>
      <x:c r="G12" s="270"/>
      <x:c r="H12" s="270"/>
      <x:c r="I12" s="270"/>
      <x:c r="J12" s="270"/>
    </x:row>
    <x:row r="13">
      <x:c r="A13" s="272" t="str">
        <x:v>Максимальный обычный день</x:v>
      </x:c>
      <x:c r="B13" s="275" t="n">
        <x:v>109.725</x:v>
      </x:c>
      <x:c r="C13" s="275" t="n">
        <x:v>105.61</x:v>
      </x:c>
      <x:c r="D13" s="272" t="str">
        <x:v>кг/день</x:v>
      </x:c>
      <x:c r="E13" s="272" t="str">
        <x:v>Утверждено</x:v>
      </x:c>
      <x:c r="F13" s="272" t="str">
        <x:v>Суббота</x:v>
      </x:c>
      <x:c r="G13" s="270"/>
      <x:c r="H13" s="270"/>
      <x:c r="I13" s="270"/>
      <x:c r="J13" s="270"/>
    </x:row>
    <x:row r="14">
      <x:c r="A14" s="272" t="str">
        <x:v>Максимальный банкетный день</x:v>
      </x:c>
      <x:c r="B14" s="275" t="n">
        <x:v>104.83</x:v>
      </x:c>
      <x:c r="C14" s="275" t="n">
        <x:v>101.54</x:v>
      </x:c>
      <x:c r="D14" s="272" t="str">
        <x:v>кг/день</x:v>
      </x:c>
      <x:c r="E14" s="272" t="str">
        <x:v>Утверждено</x:v>
      </x:c>
      <x:c r="F14" s="272" t="str">
        <x:v>Пятница; включает 27,55 кг физического выпуска банкета</x:v>
      </x:c>
      <x:c r="G14" s="270"/>
      <x:c r="H14" s="270"/>
      <x:c r="I14" s="270"/>
      <x:c r="J14" s="270"/>
    </x:row>
    <x:row r="15">
      <x:c r="A15" s="272" t="str">
        <x:v>Контрольный банкет</x:v>
      </x:c>
      <x:c r="B15" s="275" t="n">
        <x:v>27.55</x:v>
      </x:c>
      <x:c r="C15" s="275" t="n">
        <x:v>27.55</x:v>
      </x:c>
      <x:c r="D15" s="272" t="str">
        <x:v>кг/мероприятие</x:v>
      </x:c>
      <x:c r="E15" s="272" t="str">
        <x:v>Утверждено</x:v>
      </x:c>
      <x:c r="F15" s="272" t="str">
        <x:v>21 комплект + готовый избыток хлеба и кростаты</x:v>
      </x:c>
      <x:c r="G15" s="270"/>
      <x:c r="H15" s="270"/>
      <x:c r="I15" s="270"/>
      <x:c r="J15" s="270"/>
    </x:row>
    <x:row r="16">
      <x:c r="A16" s="270"/>
      <x:c r="B16" s="270"/>
      <x:c r="C16" s="270"/>
      <x:c r="D16" s="270"/>
      <x:c r="E16" s="270"/>
      <x:c r="F16" s="270"/>
      <x:c r="G16" s="270"/>
      <x:c r="H16" s="270"/>
      <x:c r="I16" s="270"/>
      <x:c r="J16" s="270"/>
    </x:row>
    <x:row r="17">
      <x:c r="A17" s="271" t="str">
        <x:v>Контур</x:v>
      </x:c>
      <x:c r="B17" s="271" t="str">
        <x:v>Механизм расчёта</x:v>
      </x:c>
      <x:c r="C17" s="271" t="str">
        <x:v>Резерв</x:v>
      </x:c>
      <x:c r="D17" s="271" t="str">
        <x:v>Округление</x:v>
      </x:c>
      <x:c r="E17" s="271" t="str">
        <x:v>Включено в финансы</x:v>
      </x:c>
      <x:c r="F17" s="271" t="str">
        <x:v>Открытая зависимость</x:v>
      </x:c>
      <x:c r="G17" s="271" t="str">
        <x:v>Issue</x:v>
      </x:c>
      <x:c r="H17" s="271" t="str">
        <x:v>Критерий закрытия</x:v>
      </x:c>
      <x:c r="I17" s="270"/>
      <x:c r="J17" s="270"/>
    </x:row>
    <x:row r="18">
      <x:c r="A18" s="272" t="str">
        <x:v>Продажи КАФЕ</x:v>
      </x:c>
      <x:c r="B18" s="272" t="str">
        <x:v>Спрос позиции × резерв направления; затем сумма каналов</x:v>
      </x:c>
      <x:c r="C18" s="272" t="str">
        <x:v>Один раз</x:v>
      </x:c>
      <x:c r="D18" s="272" t="str">
        <x:v>Вверх до целой порции/изделия</x:v>
      </x:c>
      <x:c r="E18" s="272" t="str">
        <x:v>Выручка и укрупнённый COGS</x:v>
      </x:c>
      <x:c r="F18" s="272" t="str">
        <x:v>Полная спецификация 31 позиции</x:v>
      </x:c>
      <x:c r="G18" s="272" t="str">
        <x:v>#36</x:v>
      </x:c>
      <x:c r="H18" s="272" t="str">
        <x:v>Пересчёт S03 v0.1.7</x:v>
      </x:c>
      <x:c r="I18" s="270"/>
      <x:c r="J18" s="270"/>
    </x:row>
    <x:row r="19">
      <x:c r="A19" s="272" t="str">
        <x:v>КОФЕ&amp;ЧАЙ</x:v>
      </x:c>
      <x:c r="B19" s="272" t="str">
        <x:v>1 напиток бариста на гостя; Кухня = 0</x:v>
      </x:c>
      <x:c r="C19" s="272" t="str">
        <x:v>Кухни нет</x:v>
      </x:c>
      <x:c r="D19" s="272" t="str">
        <x:v>Гости вниз ежедневно</x:v>
      </x:c>
      <x:c r="E19" s="272" t="str">
        <x:v>Да, отдельный канал КАФЕ</x:v>
      </x:c>
      <x:c r="F19" s="272" t="str">
        <x:v>Платёжный профиль</x:v>
      </x:c>
      <x:c r="G19" s="272" t="str">
        <x:v>#52/#51</x:v>
      </x:c>
      <x:c r="H19" s="272" t="str">
        <x:v>Проверка количества, выручки и COGS</x:v>
      </x:c>
      <x:c r="I19" s="270"/>
      <x:c r="J19" s="270"/>
    </x:row>
    <x:row r="20">
      <x:c r="A20" s="272" t="str">
        <x:v>Гостиница</x:v>
      </x:c>
      <x:c r="B20" s="272" t="str">
        <x:v>20 завтраков; 3 варианта; внутренний тариф 550 руб.</x:v>
      </x:c>
      <x:c r="C20" s="272" t="str">
        <x:v>Раздельно</x:v>
      </x:c>
      <x:c r="D20" s="272" t="str">
        <x:v>По правилам гостиничного направления</x:v>
      </x:c>
      <x:c r="E20" s="272" t="str">
        <x:v>Да</x:v>
      </x:c>
      <x:c r="F20" s="272" t="str">
        <x:v>Документы поставщиков и контрольные проработки</x:v>
      </x:c>
      <x:c r="G20" s="272" t="str">
        <x:v>#52/#40</x:v>
      </x:c>
      <x:c r="H20" s="272" t="str">
        <x:v>Подтверждение рецептурной себестоимости</x:v>
      </x:c>
      <x:c r="I20" s="270"/>
      <x:c r="J20" s="270"/>
    </x:row>
    <x:row r="21">
      <x:c r="A21" s="272" t="str">
        <x:v>Питание сотрудников</x:v>
      </x:c>
      <x:c r="B21" s="272" t="str">
        <x:v>Фактический график смен</x:v>
      </x:c>
      <x:c r="C21" s="272" t="str">
        <x:v>Нет</x:v>
      </x:c>
      <x:c r="D21" s="272" t="str">
        <x:v>Физические лица</x:v>
      </x:c>
      <x:c r="E21" s="272" t="str">
        <x:v>15 000 руб. — только контрольный бюджет</x:v>
      </x:c>
      <x:c r="F21" s="272" t="str">
        <x:v>Техкарты и фактическая себестоимость</x:v>
      </x:c>
      <x:c r="G21" s="272" t="str">
        <x:v>#41</x:v>
      </x:c>
      <x:c r="H21" s="272" t="str">
        <x:v>Утверждённые карты и калькуляция</x:v>
      </x:c>
      <x:c r="I21" s="270"/>
      <x:c r="J21" s="270"/>
    </x:row>
    <x:row r="22">
      <x:c r="A22" s="272" t="str">
        <x:v>БАНКЕТЫ</x:v>
      </x:c>
      <x:c r="B22" s="272" t="str">
        <x:v>20 оплаченных гостей; выпуск на 21 комплект</x:v>
      </x:c>
      <x:c r="C22" s="272" t="str">
        <x:v>5%, уже включён</x:v>
      </x:c>
      <x:c r="D22" s="272" t="str">
        <x:v>До целого комплекта</x:v>
      </x:c>
      <x:c r="E22" s="272" t="str">
        <x:v>База S03; 100% cash</x:v>
      </x:c>
      <x:c r="F22" s="272" t="str">
        <x:v>Контрольный банкет и экономика</x:v>
      </x:c>
      <x:c r="G22" s="272" t="str">
        <x:v>#46/#47</x:v>
      </x:c>
      <x:c r="H22" s="272" t="str">
        <x:v>Испытание и подтверждённый food cost</x:v>
      </x:c>
      <x:c r="I22" s="270"/>
      <x:c r="J22" s="270"/>
    </x:row>
    <x:row r="23">
      <x:c r="A23" s="272" t="str">
        <x:v>Учебные партии</x:v>
      </x:c>
      <x:c r="B23" s="272" t="str">
        <x:v>63 партии / 171,30 кг</x:v>
      </x:c>
      <x:c r="C23" s="272" t="str">
        <x:v>Нет</x:v>
      </x:c>
      <x:c r="D23" s="272" t="str">
        <x:v>По утверждённым партиям</x:v>
      </x:c>
      <x:c r="E23" s="272" t="str">
        <x:v>Центр инвестиций первые 3 месяца</x:v>
      </x:c>
      <x:c r="F23" s="272" t="str">
        <x:v>Календарь фактических испытаний 31 позиции</x:v>
      </x:c>
      <x:c r="G23" s="272" t="str">
        <x:v>#45</x:v>
      </x:c>
      <x:c r="H23" s="272" t="str">
        <x:v>Протоколы контрольных серий</x:v>
      </x:c>
      <x:c r="I23" s="270"/>
      <x:c r="J23" s="270"/>
    </x:row>
  </x:sheetData>
  <x:mergeCells>
    <x:mergeCell ref="A1:J1"/>
    <x:mergeCell ref="A2:J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4" hidden="0" customWidth="1"/>
    <x:col min="5" max="5" width="20" hidden="0" customWidth="1"/>
    <x:col min="6" max="6" width="20" hidden="0" customWidth="1"/>
    <x:col min="7" max="7" width="28" hidden="0" customWidth="1"/>
    <x:col min="8" max="8" width="38" hidden="0" customWidth="1"/>
    <x:col min="9" max="9" width="20" hidden="0" customWidth="1"/>
    <x:col min="10" max="10" width="18" hidden="0" customWidth="1"/>
  </x:cols>
  <x:sheetData>
    <x:row r="1">
      <x:c r="A1" s="292" t="str">
        <x:v>S03 v0.1.7 — гостиничный завтрак и переход к 31 позиции</x:v>
      </x:c>
      <x:c r="B1" s="292"/>
      <x:c r="C1" s="292"/>
      <x:c r="D1" s="292"/>
      <x:c r="E1" s="292"/>
      <x:c r="F1" s="292"/>
      <x:c r="G1" s="292"/>
      <x:c r="H1" s="292"/>
      <x:c r="I1" s="292"/>
      <x:c r="J1" s="292"/>
    </x:row>
    <x:row r="2">
      <x:c r="A2" s="293" t="str">
        <x:v>Все себестоимости являются предварительными до подтверждения закупочных цен и контрольных выходов. Тариф 550 руб. указан с НДС.</x:v>
      </x:c>
      <x:c r="B2" s="293"/>
      <x:c r="C2" s="293"/>
      <x:c r="D2" s="293"/>
      <x:c r="E2" s="293"/>
      <x:c r="F2" s="293"/>
      <x:c r="G2" s="293"/>
      <x:c r="H2" s="293"/>
      <x:c r="I2" s="293"/>
      <x:c r="J2" s="293"/>
    </x:row>
    <x:row r="3">
      <x:c r="A3" s="270"/>
      <x:c r="B3" s="270"/>
      <x:c r="C3" s="270"/>
      <x:c r="D3" s="270"/>
      <x:c r="E3" s="270"/>
      <x:c r="F3" s="270"/>
      <x:c r="G3" s="270"/>
      <x:c r="H3" s="270"/>
      <x:c r="I3" s="270"/>
      <x:c r="J3" s="270"/>
    </x:row>
    <x:row r="4">
      <x:c r="A4" s="294" t="str">
        <x:v>Вариант</x:v>
      </x:c>
      <x:c r="B4" s="294" t="str">
        <x:v>Доля</x:v>
      </x:c>
      <x:c r="C4" s="294" t="str">
        <x:v>Выход, г</x:v>
      </x:c>
      <x:c r="D4" s="294" t="str">
        <x:v>Кухня, руб.</x:v>
      </x:c>
      <x:c r="E4" s="294" t="str">
        <x:v>Напиток, руб.</x:v>
      </x:c>
      <x:c r="F4" s="294" t="str">
        <x:v>Полная себестоимость</x:v>
      </x:c>
      <x:c r="G4" s="294" t="str">
        <x:v>Тариф</x:v>
      </x:c>
      <x:c r="H4" s="294" t="str">
        <x:v>Food cost</x:v>
      </x:c>
      <x:c r="I4" s="294" t="str">
        <x:v>Продажа</x:v>
      </x:c>
      <x:c r="J4" s="294" t="str">
        <x:v>Статус</x:v>
      </x:c>
    </x:row>
    <x:row r="5">
      <x:c r="A5" s="272" t="str">
        <x:v>Яичница</x:v>
      </x:c>
      <x:c r="B5" s="295" t="n">
        <x:f>'01_ВВОД'!$D$144</x:f>
        <x:v>0.375</x:v>
      </x:c>
      <x:c r="C5" s="272" t="n">
        <x:f>'01_ВВОД'!$D$160</x:f>
        <x:v>225</x:v>
      </x:c>
      <x:c r="D5" s="272" t="n">
        <x:v>132.05</x:v>
      </x:c>
      <x:c r="E5" s="272" t="n">
        <x:f>'01_ВВОД'!$D$140</x:f>
        <x:v>60</x:v>
      </x:c>
      <x:c r="F5" s="272" t="n">
        <x:f>D5+E5</x:f>
        <x:v>192.05</x:v>
      </x:c>
      <x:c r="G5" s="272" t="n">
        <x:f>'01_ВВОД'!$D$45</x:f>
        <x:v>550</x:v>
      </x:c>
      <x:c r="H5" s="295" t="n">
        <x:f>F5/G5</x:f>
        <x:v>0.3491818181818182</x:v>
      </x:c>
      <x:c r="I5" s="272" t="str">
        <x:v>Только Гостиница</x:v>
      </x:c>
      <x:c r="J5" s="272" t="str">
        <x:v>Активно</x:v>
      </x:c>
    </x:row>
    <x:row r="6">
      <x:c r="A6" s="272" t="str">
        <x:v>Омлет</x:v>
      </x:c>
      <x:c r="B6" s="295" t="n">
        <x:f>'01_ВВОД'!$D$145</x:f>
        <x:v>0.375</x:v>
      </x:c>
      <x:c r="C6" s="272" t="n">
        <x:f>'01_ВВОД'!$D$161</x:f>
        <x:v>265</x:v>
      </x:c>
      <x:c r="D6" s="272" t="n">
        <x:v>138.5</x:v>
      </x:c>
      <x:c r="E6" s="272" t="n">
        <x:f>'01_ВВОД'!$D$140</x:f>
        <x:v>60</x:v>
      </x:c>
      <x:c r="F6" s="272" t="n">
        <x:f>D6+E6</x:f>
        <x:v>198.5</x:v>
      </x:c>
      <x:c r="G6" s="272" t="n">
        <x:f>'01_ВВОД'!$D$45</x:f>
        <x:v>550</x:v>
      </x:c>
      <x:c r="H6" s="295" t="n">
        <x:f>F6/G6</x:f>
        <x:v>0.3609090909090909</x:v>
      </x:c>
      <x:c r="I6" s="272" t="str">
        <x:v>Только Гостиница</x:v>
      </x:c>
      <x:c r="J6" s="272" t="str">
        <x:v>Активно</x:v>
      </x:c>
    </x:row>
    <x:row r="7">
      <x:c r="A7" s="272" t="str">
        <x:v>Овсяная каша</x:v>
      </x:c>
      <x:c r="B7" s="295" t="n">
        <x:f>'01_ВВОД'!$D$146</x:f>
        <x:v>0.25</x:v>
      </x:c>
      <x:c r="C7" s="272" t="n">
        <x:f>'01_ВВОД'!$D$162</x:f>
        <x:v>355</x:v>
      </x:c>
      <x:c r="D7" s="272" t="n">
        <x:v>127.32</x:v>
      </x:c>
      <x:c r="E7" s="272" t="n">
        <x:f>'01_ВВОД'!$D$140</x:f>
        <x:v>60</x:v>
      </x:c>
      <x:c r="F7" s="272" t="n">
        <x:f>D7+E7</x:f>
        <x:v>187.32</x:v>
      </x:c>
      <x:c r="G7" s="272" t="n">
        <x:f>'01_ВВОД'!$D$45</x:f>
        <x:v>550</x:v>
      </x:c>
      <x:c r="H7" s="295" t="n">
        <x:f>F7/G7</x:f>
        <x:v>0.34058181818181815</x:v>
      </x:c>
      <x:c r="I7" s="272" t="str">
        <x:v>Только Гостиница</x:v>
      </x:c>
      <x:c r="J7" s="272" t="str">
        <x:v>Активно</x:v>
      </x:c>
    </x:row>
    <x:row r="8">
      <x:c r="A8" s="272" t="str">
        <x:v>Средневзвешенно</x:v>
      </x:c>
      <x:c r="B8" s="295" t="n">
        <x:f>SUM(B5:B7)</x:f>
        <x:v>1</x:v>
      </x:c>
      <x:c r="C8" s="272" t="n">
        <x:f>SUMPRODUCT(B5:B7,C5:C7)</x:f>
        <x:v>272.5</x:v>
      </x:c>
      <x:c r="D8" s="272" t="n">
        <x:f>SUMPRODUCT(B5:B7,D5:D7)</x:f>
        <x:v>133.28625</x:v>
      </x:c>
      <x:c r="E8" s="272" t="n">
        <x:f>'01_ВВОД'!$D$140</x:f>
        <x:v>60</x:v>
      </x:c>
      <x:c r="F8" s="272" t="n">
        <x:f>D8+E8</x:f>
        <x:v>193.28625</x:v>
      </x:c>
      <x:c r="G8" s="272" t="n">
        <x:f>'01_ВВОД'!$D$45</x:f>
        <x:v>550</x:v>
      </x:c>
      <x:c r="H8" s="295" t="n">
        <x:f>F8/G8</x:f>
        <x:v>0.35142954545454547</x:v>
      </x:c>
      <x:c r="I8" s="272"/>
      <x:c r="J8" s="272" t="str">
        <x:v>Предварительно</x:v>
      </x:c>
    </x:row>
    <x:row r="9">
      <x:c r="A9" s="270"/>
      <x:c r="B9" s="270"/>
      <x:c r="C9" s="270"/>
      <x:c r="D9" s="270"/>
      <x:c r="E9" s="270"/>
      <x:c r="F9" s="270"/>
      <x:c r="G9" s="270"/>
      <x:c r="H9" s="270"/>
      <x:c r="I9" s="270"/>
      <x:c r="J9" s="270"/>
    </x:row>
    <x:row r="10">
      <x:c r="A10" s="294" t="str">
        <x:v>Исключённая позиция</x:v>
      </x:c>
      <x:c r="B10" s="294" t="str">
        <x:v>Было</x:v>
      </x:c>
      <x:c r="C10" s="294" t="str">
        <x:v>Стало</x:v>
      </x:c>
      <x:c r="D10" s="294" t="str">
        <x:v>Причина</x:v>
      </x:c>
      <x:c r="E10" s="294" t="str">
        <x:v>Рецептура</x:v>
      </x:c>
      <x:c r="F10" s="294" t="str">
        <x:v>Спрос</x:v>
      </x:c>
      <x:c r="G10" s="270"/>
      <x:c r="H10" s="270"/>
      <x:c r="I10" s="270"/>
      <x:c r="J10" s="270"/>
    </x:row>
    <x:row r="11">
      <x:c r="A11" s="272" t="str">
        <x:v>Яйца Бенедикт с лососем</x:v>
      </x:c>
      <x:c r="B11" s="272" t="str">
        <x:v>10%</x:v>
      </x:c>
      <x:c r="C11" s="272" t="str">
        <x:v>0%</x:v>
      </x:c>
      <x:c r="D11" s="272" t="str">
        <x:v>Food cost 79,53%</x:v>
      </x:c>
      <x:c r="E11" s="272" t="str">
        <x:v>Архивная, неактивная</x:v>
      </x:c>
      <x:c r="F11" s="272" t="n">
        <x:v>0</x:v>
      </x:c>
      <x:c r="G11" s="270"/>
      <x:c r="H11" s="270"/>
      <x:c r="I11" s="270"/>
      <x:c r="J11" s="270"/>
    </x:row>
    <x:row r="12">
      <x:c r="A12" s="272" t="str">
        <x:v>Круассан со слабосолёным лососем</x:v>
      </x:c>
      <x:c r="B12" s="272" t="str">
        <x:v>10%</x:v>
      </x:c>
      <x:c r="C12" s="272" t="str">
        <x:v>0%</x:v>
      </x:c>
      <x:c r="D12" s="272" t="str">
        <x:v>Food cost 67,86%</x:v>
      </x:c>
      <x:c r="E12" s="272" t="str">
        <x:v>Архивная, неактивная</x:v>
      </x:c>
      <x:c r="F12" s="272" t="n">
        <x:v>0</x:v>
      </x:c>
      <x:c r="G12" s="270"/>
      <x:c r="H12" s="270"/>
      <x:c r="I12" s="270"/>
      <x:c r="J12" s="270"/>
    </x:row>
    <x:row r="13">
      <x:c r="A13" s="270"/>
      <x:c r="B13" s="270"/>
      <x:c r="C13" s="270"/>
      <x:c r="D13" s="270"/>
      <x:c r="E13" s="270"/>
      <x:c r="F13" s="270"/>
      <x:c r="G13" s="270"/>
      <x:c r="H13" s="270"/>
      <x:c r="I13" s="270"/>
      <x:c r="J13" s="270"/>
    </x:row>
    <x:row r="14">
      <x:c r="A14" s="294" t="str">
        <x:v>Показатель</x:v>
      </x:c>
      <x:c r="B14" s="294" t="str">
        <x:v>До</x:v>
      </x:c>
      <x:c r="C14" s="294" t="str">
        <x:v>После</x:v>
      </x:c>
      <x:c r="D14" s="294" t="str">
        <x:v>Изменение</x:v>
      </x:c>
      <x:c r="E14" s="294" t="str">
        <x:v>Единица</x:v>
      </x:c>
      <x:c r="F14" s="294" t="str">
        <x:v>Статус</x:v>
      </x:c>
      <x:c r="G14" s="294" t="str">
        <x:v>Основание</x:v>
      </x:c>
      <x:c r="H14" s="294" t="str">
        <x:v>Комментарий</x:v>
      </x:c>
      <x:c r="I14" s="270"/>
      <x:c r="J14" s="270"/>
    </x:row>
    <x:row r="15">
      <x:c r="A15" s="272" t="str">
        <x:v>Активные позиции</x:v>
      </x:c>
      <x:c r="B15" s="275" t="n">
        <x:v>33</x:v>
      </x:c>
      <x:c r="C15" s="275" t="n">
        <x:v>31</x:v>
      </x:c>
      <x:c r="D15" s="275" t="n">
        <x:v>-2</x:v>
      </x:c>
      <x:c r="E15" s="272" t="str">
        <x:v>позиции</x:v>
      </x:c>
      <x:c r="F15" s="272" t="str">
        <x:v>Подтверждено</x:v>
      </x:c>
      <x:c r="G15" s="272" t="str">
        <x:v>Решение пользователя</x:v>
      </x:c>
      <x:c r="H15" s="272" t="str">
        <x:v>Два специальных завтрака исключены</x:v>
      </x:c>
      <x:c r="I15" s="270"/>
      <x:c r="J15" s="270"/>
    </x:row>
    <x:row r="16">
      <x:c r="A16" s="272" t="str">
        <x:v>Контрольные партии</x:v>
      </x:c>
      <x:c r="B16" s="275" t="n">
        <x:v>65</x:v>
      </x:c>
      <x:c r="C16" s="275" t="n">
        <x:v>63</x:v>
      </x:c>
      <x:c r="D16" s="275" t="n">
        <x:v>-2</x:v>
      </x:c>
      <x:c r="E16" s="272" t="str">
        <x:v>партии</x:v>
      </x:c>
      <x:c r="F16" s="272" t="str">
        <x:v>Расчёт</x:v>
      </x:c>
      <x:c r="G16" s="272" t="str">
        <x:v>По одной серии на исключённую позицию</x:v>
      </x:c>
      <x:c r="H16" s="272" t="str">
        <x:v>Без производственного резерва</x:v>
      </x:c>
      <x:c r="I16" s="270"/>
      <x:c r="J16" s="270"/>
    </x:row>
    <x:row r="17">
      <x:c r="A17" s="272" t="str">
        <x:v>Контрольные изделия/порции</x:v>
      </x:c>
      <x:c r="B17" s="275" t="n">
        <x:v>656</x:v>
      </x:c>
      <x:c r="C17" s="275" t="n">
        <x:v>636</x:v>
      </x:c>
      <x:c r="D17" s="275" t="n">
        <x:v>-20</x:v>
      </x:c>
      <x:c r="E17" s="272" t="str">
        <x:v>ед.</x:v>
      </x:c>
      <x:c r="F17" s="272" t="str">
        <x:v>Расчёт</x:v>
      </x:c>
      <x:c r="G17" s="272" t="str">
        <x:v>Две партии × 10</x:v>
      </x:c>
      <x:c r="H17" s="272" t="str">
        <x:v>Архивные рецептуры не испытываются</x:v>
      </x:c>
      <x:c r="I17" s="270"/>
      <x:c r="J17" s="270"/>
    </x:row>
    <x:row r="18">
      <x:c r="A18" s="272" t="str">
        <x:v>Контрольная продукция</x:v>
      </x:c>
      <x:c r="B18" s="275" t="n">
        <x:v>176.3</x:v>
      </x:c>
      <x:c r="C18" s="275" t="n">
        <x:v>171.3</x:v>
      </x:c>
      <x:c r="D18" s="275" t="n">
        <x:v>-5</x:v>
      </x:c>
      <x:c r="E18" s="272" t="str">
        <x:v>кг</x:v>
      </x:c>
      <x:c r="F18" s="272" t="str">
        <x:v>Расчёт</x:v>
      </x:c>
      <x:c r="G18" s="272" t="str">
        <x:v>3,00 + 2,00 кг</x:v>
      </x:c>
      <x:c r="H18" s="272" t="str">
        <x:v>Масса исключённых серий</x:v>
      </x:c>
      <x:c r="I18" s="270"/>
      <x:c r="J18" s="270"/>
    </x:row>
    <x:row r="19">
      <x:c r="A19" s="272" t="str">
        <x:v>Обычная неделя, запуск</x:v>
      </x:c>
      <x:c r="B19" s="275" t="n">
        <x:v>661.5</x:v>
      </x:c>
      <x:c r="C19" s="275" t="n">
        <x:v>662.9</x:v>
      </x:c>
      <x:c r="D19" s="275" t="n">
        <x:v>1.4</x:v>
      </x:c>
      <x:c r="E19" s="272" t="str">
        <x:v>кг</x:v>
      </x:c>
      <x:c r="F19" s="272" t="str">
        <x:v>Расчёт</x:v>
      </x:c>
      <x:c r="G19" s="272" t="str">
        <x:v>22 завтрака ежедневно</x:v>
      </x:c>
      <x:c r="H19" s="272" t="str">
        <x:v>Условные единицы не меняются</x:v>
      </x:c>
      <x:c r="I19" s="270"/>
      <x:c r="J19" s="270"/>
    </x:row>
    <x:row r="20">
      <x:c r="A20" s="272" t="str">
        <x:v>Обычная неделя, устойчивый режим</x:v>
      </x:c>
      <x:c r="B20" s="275" t="n">
        <x:v>638.075</x:v>
      </x:c>
      <x:c r="C20" s="275" t="n">
        <x:v>638.725</x:v>
      </x:c>
      <x:c r="D20" s="275" t="n">
        <x:v>0.65</x:v>
      </x:c>
      <x:c r="E20" s="272" t="str">
        <x:v>кг</x:v>
      </x:c>
      <x:c r="F20" s="272" t="str">
        <x:v>Расчёт</x:v>
      </x:c>
      <x:c r="G20" s="272" t="str">
        <x:v>21 завтрак ежедневно</x:v>
      </x:c>
      <x:c r="H20" s="272" t="str">
        <x:v>Представительная неделя с нечётным понедельником</x:v>
      </x:c>
      <x:c r="I20" s="270"/>
      <x:c r="J20" s="270"/>
    </x:row>
    <x:row r="21">
      <x:c r="A21" s="272" t="str">
        <x:v>Пиковый обычный день, запуск</x:v>
      </x:c>
      <x:c r="B21" s="275" t="n">
        <x:v>109.525</x:v>
      </x:c>
      <x:c r="C21" s="275" t="n">
        <x:v>109.725</x:v>
      </x:c>
      <x:c r="D21" s="275" t="n">
        <x:v>0.2</x:v>
      </x:c>
      <x:c r="E21" s="272" t="str">
        <x:v>кг</x:v>
      </x:c>
      <x:c r="F21" s="272" t="str">
        <x:v>Расчёт</x:v>
      </x:c>
      <x:c r="G21" s="272" t="str">
        <x:v>Суббота</x:v>
      </x:c>
      <x:c r="H21" s="272" t="str">
        <x:v>Мощность оборудования не меняется</x:v>
      </x:c>
      <x:c r="I21" s="270"/>
      <x:c r="J21" s="270"/>
    </x:row>
    <x:row r="22">
      <x:c r="A22" s="272" t="str">
        <x:v>Максимальный банкетный день, запуск</x:v>
      </x:c>
      <x:c r="B22" s="275" t="n">
        <x:v>104.63</x:v>
      </x:c>
      <x:c r="C22" s="275" t="n">
        <x:v>104.83</x:v>
      </x:c>
      <x:c r="D22" s="275" t="n">
        <x:v>0.2</x:v>
      </x:c>
      <x:c r="E22" s="272" t="str">
        <x:v>кг</x:v>
      </x:c>
      <x:c r="F22" s="272" t="str">
        <x:v>Расчёт</x:v>
      </x:c>
      <x:c r="G22" s="272" t="str">
        <x:v>Пятница + банкет</x:v>
      </x:c>
      <x:c r="H22" s="272" t="str">
        <x:v>Банкетная программа не меняется</x:v>
      </x:c>
      <x:c r="I22" s="270"/>
      <x:c r="J22" s="270"/>
    </x:row>
    <x:row r="23">
      <x:c r="A23" s="270"/>
      <x:c r="B23" s="270"/>
      <x:c r="C23" s="270"/>
      <x:c r="D23" s="270"/>
      <x:c r="E23" s="270"/>
      <x:c r="F23" s="270"/>
      <x:c r="G23" s="270"/>
      <x:c r="H23" s="270"/>
      <x:c r="I23" s="270"/>
      <x:c r="J23" s="270"/>
    </x:row>
    <x:row r="24">
      <x:c r="A24" s="294" t="str">
        <x:v>Сырьё: недельная дельта</x:v>
      </x:c>
      <x:c r="B24" s="294" t="str">
        <x:v>Запуск</x:v>
      </x:c>
      <x:c r="C24" s="294" t="str">
        <x:v>Устойчивый режим</x:v>
      </x:c>
      <x:c r="D24" s="294" t="str">
        <x:v>Единица</x:v>
      </x:c>
      <x:c r="E24" s="294" t="str">
        <x:v>Контур</x:v>
      </x:c>
      <x:c r="F24" s="294" t="str">
        <x:v>Статус</x:v>
      </x:c>
      <x:c r="G24" s="294" t="str">
        <x:v>Основание</x:v>
      </x:c>
      <x:c r="H24" s="294" t="str">
        <x:v>Примечание</x:v>
      </x:c>
      <x:c r="I24" s="270"/>
      <x:c r="J24" s="270"/>
    </x:row>
    <x:row r="25">
      <x:c r="A25" s="272" t="str">
        <x:v>Яйца C0 брутто</x:v>
      </x:c>
      <x:c r="B25" s="296" t="n">
        <x:v>-0.98</x:v>
      </x:c>
      <x:c r="C25" s="296" t="n">
        <x:v>-0.56</x:v>
      </x:c>
      <x:c r="D25" s="272" t="str">
        <x:v>кг/нед.</x:v>
      </x:c>
      <x:c r="E25" s="272" t="str">
        <x:v>Охлаждение</x:v>
      </x:c>
      <x:c r="F25" s="272" t="str">
        <x:v>Расчёт</x:v>
      </x:c>
      <x:c r="G25" s="272" t="str">
        <x:v>Исключение Бенедикта</x:v>
      </x:c>
      <x:c r="H25" s="272" t="str">
        <x:v>Чередование яичницы учтено</x:v>
      </x:c>
      <x:c r="I25" s="270"/>
      <x:c r="J25" s="270"/>
    </x:row>
    <x:row r="26">
      <x:c r="A26" s="272" t="str">
        <x:v>Пастеризованный меланж</x:v>
      </x:c>
      <x:c r="B26" s="296" t="n">
        <x:v>0.882</x:v>
      </x:c>
      <x:c r="C26" s="296" t="n">
        <x:v>1.386</x:v>
      </x:c>
      <x:c r="D26" s="272" t="str">
        <x:v>кг/нед.</x:v>
      </x:c>
      <x:c r="E26" s="272" t="str">
        <x:v>Охлаждение</x:v>
      </x:c>
      <x:c r="F26" s="272" t="str">
        <x:v>Расчёт</x:v>
      </x:c>
      <x:c r="G26" s="272" t="str">
        <x:v>Рост доли омлета</x:v>
      </x:c>
      <x:c r="H26" s="272" t="str"/>
      <x:c r="I26" s="270"/>
      <x:c r="J26" s="270"/>
    </x:row>
    <x:row r="27">
      <x:c r="A27" s="272" t="str">
        <x:v>Молоко</x:v>
      </x:c>
      <x:c r="B27" s="296" t="n">
        <x:v>2.1</x:v>
      </x:c>
      <x:c r="C27" s="296" t="n">
        <x:v>1.425</x:v>
      </x:c>
      <x:c r="D27" s="272" t="str">
        <x:v>кг/нед.</x:v>
      </x:c>
      <x:c r="E27" s="272" t="str">
        <x:v>Охлаждение</x:v>
      </x:c>
      <x:c r="F27" s="272" t="str">
        <x:v>Расчёт</x:v>
      </x:c>
      <x:c r="G27" s="272" t="str">
        <x:v>Омлет и каша</x:v>
      </x:c>
      <x:c r="H27" s="272" t="str"/>
      <x:c r="I27" s="270"/>
      <x:c r="J27" s="270"/>
    </x:row>
    <x:row r="28">
      <x:c r="A28" s="272" t="str">
        <x:v>Овсяные хлопья</x:v>
      </x:c>
      <x:c r="B28" s="296" t="n">
        <x:v>0.63</x:v>
      </x:c>
      <x:c r="C28" s="296" t="n">
        <x:v>0.315</x:v>
      </x:c>
      <x:c r="D28" s="272" t="str">
        <x:v>кг/нед.</x:v>
      </x:c>
      <x:c r="E28" s="272" t="str">
        <x:v>Сухой склад</x:v>
      </x:c>
      <x:c r="F28" s="272" t="str">
        <x:v>Расчёт</x:v>
      </x:c>
      <x:c r="G28" s="272" t="str">
        <x:v>Рост доли каши</x:v>
      </x:c>
      <x:c r="H28" s="272" t="str"/>
      <x:c r="I28" s="270"/>
      <x:c r="J28" s="270"/>
    </x:row>
    <x:row r="29">
      <x:c r="A29" s="272" t="str">
        <x:v>Замороженные круассаны 80 г</x:v>
      </x:c>
      <x:c r="B29" s="296" t="n">
        <x:v>1.12</x:v>
      </x:c>
      <x:c r="C29" s="296" t="n">
        <x:v>1.12</x:v>
      </x:c>
      <x:c r="D29" s="272" t="str">
        <x:v>кг/нед.</x:v>
      </x:c>
      <x:c r="E29" s="272" t="str">
        <x:v>Морозильник</x:v>
      </x:c>
      <x:c r="F29" s="272" t="str">
        <x:v>Расчёт</x:v>
      </x:c>
      <x:c r="G29" s="272" t="str">
        <x:v>Все три варианта включают круассан</x:v>
      </x:c>
      <x:c r="H29" s="272" t="str">
        <x:v>+14 заготовок в неделю</x:v>
      </x:c>
      <x:c r="I29" s="270"/>
      <x:c r="J29" s="270"/>
    </x:row>
    <x:row r="30">
      <x:c r="A30" s="272" t="str">
        <x:v>Чеддер</x:v>
      </x:c>
      <x:c r="B30" s="296" t="n">
        <x:v>0.56</x:v>
      </x:c>
      <x:c r="C30" s="296" t="n">
        <x:v>0.56</x:v>
      </x:c>
      <x:c r="D30" s="272" t="str">
        <x:v>кг/нед.</x:v>
      </x:c>
      <x:c r="E30" s="272" t="str">
        <x:v>Охлаждение</x:v>
      </x:c>
      <x:c r="F30" s="272" t="str">
        <x:v>Расчёт</x:v>
      </x:c>
      <x:c r="G30" s="272" t="str">
        <x:v>Дополнительные базовые комплексы</x:v>
      </x:c>
      <x:c r="H30" s="272" t="str"/>
      <x:c r="I30" s="270"/>
      <x:c r="J30" s="270"/>
    </x:row>
    <x:row r="31">
      <x:c r="A31" s="272" t="str">
        <x:v>Фонтина брутто</x:v>
      </x:c>
      <x:c r="B31" s="296" t="n">
        <x:v>0.588</x:v>
      </x:c>
      <x:c r="C31" s="296" t="n">
        <x:v>0.588</x:v>
      </x:c>
      <x:c r="D31" s="272" t="str">
        <x:v>кг/нед.</x:v>
      </x:c>
      <x:c r="E31" s="272" t="str">
        <x:v>Охлаждение</x:v>
      </x:c>
      <x:c r="F31" s="272" t="str">
        <x:v>Расчёт</x:v>
      </x:c>
      <x:c r="G31" s="272" t="str">
        <x:v>Дополнительные базовые комплексы</x:v>
      </x:c>
      <x:c r="H31" s="272" t="str"/>
      <x:c r="I31" s="270"/>
      <x:c r="J31" s="270"/>
    </x:row>
    <x:row r="32">
      <x:c r="A32" s="272" t="str">
        <x:v>Слабосолёный лосось брутто</x:v>
      </x:c>
      <x:c r="B32" s="296" t="n">
        <x:v>-1.7528</x:v>
      </x:c>
      <x:c r="C32" s="296" t="n">
        <x:v>-1.7528</x:v>
      </x:c>
      <x:c r="D32" s="272" t="str">
        <x:v>кг/нед.</x:v>
      </x:c>
      <x:c r="E32" s="272" t="str">
        <x:v>Охлаждение</x:v>
      </x:c>
      <x:c r="F32" s="272" t="str">
        <x:v>Расчёт</x:v>
      </x:c>
      <x:c r="G32" s="272" t="str">
        <x:v>Обе позиции исключены</x:v>
      </x:c>
      <x:c r="H32" s="272" t="str"/>
      <x:c r="I32" s="270"/>
      <x:c r="J32" s="270"/>
    </x:row>
    <x:row r="33">
      <x:c r="A33" s="272" t="str">
        <x:v>Сливочный творожный сыр</x:v>
      </x:c>
      <x:c r="B33" s="296" t="n">
        <x:v>-0.49</x:v>
      </x:c>
      <x:c r="C33" s="296" t="n">
        <x:v>-0.49</x:v>
      </x:c>
      <x:c r="D33" s="272" t="str">
        <x:v>кг/нед.</x:v>
      </x:c>
      <x:c r="E33" s="272" t="str">
        <x:v>Охлаждение</x:v>
      </x:c>
      <x:c r="F33" s="272" t="str">
        <x:v>Расчёт</x:v>
      </x:c>
      <x:c r="G33" s="272" t="str">
        <x:v>Круассан с лососем исключён</x:v>
      </x:c>
      <x:c r="H33" s="272" t="str"/>
      <x:c r="I33" s="270"/>
      <x:c r="J33" s="270"/>
    </x:row>
    <x:row r="34">
      <x:c r="A34" s="272" t="str">
        <x:v>Пастеризованный желток</x:v>
      </x:c>
      <x:c r="B34" s="296" t="n">
        <x:v>-0.168</x:v>
      </x:c>
      <x:c r="C34" s="296" t="n">
        <x:v>-0.168</x:v>
      </x:c>
      <x:c r="D34" s="272" t="str">
        <x:v>кг/нед.</x:v>
      </x:c>
      <x:c r="E34" s="272" t="str">
        <x:v>Охлаждение</x:v>
      </x:c>
      <x:c r="F34" s="272" t="str">
        <x:v>Расчёт</x:v>
      </x:c>
      <x:c r="G34" s="272" t="str">
        <x:v>Голландский соус исключён</x:v>
      </x:c>
      <x:c r="H34" s="272" t="str"/>
      <x:c r="I34" s="270"/>
      <x:c r="J34" s="270"/>
    </x:row>
    <x:row r="35">
      <x:c r="A35" s="272" t="str">
        <x:v>Сливочное масло</x:v>
      </x:c>
      <x:c r="B35" s="296" t="n">
        <x:v>-0.3878</x:v>
      </x:c>
      <x:c r="C35" s="296" t="n">
        <x:v>-0.3878</x:v>
      </x:c>
      <x:c r="D35" s="272" t="str">
        <x:v>кг/нед.</x:v>
      </x:c>
      <x:c r="E35" s="272" t="str">
        <x:v>Охлаждение</x:v>
      </x:c>
      <x:c r="F35" s="272" t="str">
        <x:v>Расчёт</x:v>
      </x:c>
      <x:c r="G35" s="272" t="str">
        <x:v>Нет голландского соуса</x:v>
      </x:c>
      <x:c r="H35" s="272" t="str"/>
      <x:c r="I35" s="270"/>
      <x:c r="J35" s="270"/>
    </x:row>
    <x:row r="36">
      <x:c r="A36" s="272" t="str">
        <x:v>Огурец</x:v>
      </x:c>
      <x:c r="B36" s="296" t="n">
        <x:v>-0.3696</x:v>
      </x:c>
      <x:c r="C36" s="296" t="n">
        <x:v>-0.3696</x:v>
      </x:c>
      <x:c r="D36" s="272" t="str">
        <x:v>кг/нед.</x:v>
      </x:c>
      <x:c r="E36" s="272" t="str">
        <x:v>Овощи</x:v>
      </x:c>
      <x:c r="F36" s="272" t="str">
        <x:v>Расчёт</x:v>
      </x:c>
      <x:c r="G36" s="272" t="str">
        <x:v>Круассан с лососем исключён</x:v>
      </x:c>
      <x:c r="H36" s="272" t="str"/>
      <x:c r="I36" s="270"/>
      <x:c r="J36" s="270"/>
    </x:row>
    <x:row r="37">
      <x:c r="A37" s="272" t="str">
        <x:v>Романо</x:v>
      </x:c>
      <x:c r="B37" s="296" t="n">
        <x:v>-0.1652</x:v>
      </x:c>
      <x:c r="C37" s="296" t="n">
        <x:v>-0.1652</x:v>
      </x:c>
      <x:c r="D37" s="272" t="str">
        <x:v>кг/нед.</x:v>
      </x:c>
      <x:c r="E37" s="272" t="str">
        <x:v>Зелень</x:v>
      </x:c>
      <x:c r="F37" s="272" t="str">
        <x:v>Расчёт</x:v>
      </x:c>
      <x:c r="G37" s="272" t="str">
        <x:v>Круассан с лососем исключён</x:v>
      </x:c>
      <x:c r="H37" s="272" t="str"/>
      <x:c r="I37" s="270"/>
      <x:c r="J37" s="270"/>
    </x:row>
    <x:row r="38">
      <x:c r="A38" s="272" t="str">
        <x:v>Укроп</x:v>
      </x:c>
      <x:c r="B38" s="296" t="n">
        <x:v>-0.1428</x:v>
      </x:c>
      <x:c r="C38" s="296" t="n">
        <x:v>-0.1428</x:v>
      </x:c>
      <x:c r="D38" s="272" t="str">
        <x:v>кг/нед.</x:v>
      </x:c>
      <x:c r="E38" s="272" t="str">
        <x:v>Зелень</x:v>
      </x:c>
      <x:c r="F38" s="272" t="str">
        <x:v>Расчёт</x:v>
      </x:c>
      <x:c r="G38" s="272" t="str">
        <x:v>Обе позиции исключены</x:v>
      </x:c>
      <x:c r="H38" s="272" t="str"/>
      <x:c r="I38" s="270"/>
      <x:c r="J38" s="270"/>
    </x:row>
    <x:row r="39">
      <x:c r="A39" s="272" t="str">
        <x:v>Лимон</x:v>
      </x:c>
      <x:c r="B39" s="296" t="n">
        <x:v>-0.252</x:v>
      </x:c>
      <x:c r="C39" s="296" t="n">
        <x:v>-0.252</x:v>
      </x:c>
      <x:c r="D39" s="272" t="str">
        <x:v>кг/нед.</x:v>
      </x:c>
      <x:c r="E39" s="272" t="str">
        <x:v>Овощи/фрукты</x:v>
      </x:c>
      <x:c r="F39" s="272" t="str">
        <x:v>Расчёт</x:v>
      </x:c>
      <x:c r="G39" s="272" t="str">
        <x:v>Обе позиции исключены</x:v>
      </x:c>
      <x:c r="H39" s="272" t="str"/>
      <x:c r="I39" s="270"/>
      <x:c r="J39" s="270"/>
    </x:row>
    <x:row r="40">
      <x:c r="A40" s="272" t="str">
        <x:v>Белый винный уксус 6%</x:v>
      </x:c>
      <x:c r="B40" s="296" t="n">
        <x:v>-0.042</x:v>
      </x:c>
      <x:c r="C40" s="296" t="n">
        <x:v>-0.042</x:v>
      </x:c>
      <x:c r="D40" s="272" t="str">
        <x:v>кг/нед.</x:v>
      </x:c>
      <x:c r="E40" s="272" t="str">
        <x:v>Сухой склад</x:v>
      </x:c>
      <x:c r="F40" s="272" t="str">
        <x:v>Расчёт</x:v>
      </x:c>
      <x:c r="G40" s="272" t="str">
        <x:v>Пашот исключён</x:v>
      </x:c>
      <x:c r="H40" s="272" t="str"/>
      <x:c r="I40" s="270"/>
      <x:c r="J40" s="270"/>
    </x:row>
    <x:row r="41">
      <x:c r="A41" s="272" t="str">
        <x:v>Сырьё собственной бриоши</x:v>
      </x:c>
      <x:c r="B41" s="296" t="n">
        <x:v>-1.428</x:v>
      </x:c>
      <x:c r="C41" s="296" t="n">
        <x:v>-1.428</x:v>
      </x:c>
      <x:c r="D41" s="272" t="str">
        <x:v>кг/нед.</x:v>
      </x:c>
      <x:c r="E41" s="272" t="str">
        <x:v>Нераспределённое сырьё</x:v>
      </x:c>
      <x:c r="F41" s="272" t="str">
        <x:v>Открыто</x:v>
      </x:c>
      <x:c r="G41" s="272" t="str">
        <x:v>Бенедикт исключён</x:v>
      </x:c>
      <x:c r="H41" s="272" t="str">
        <x:v>Не распределять до полной рецептуры</x:v>
      </x:c>
      <x:c r="I41" s="270"/>
      <x:c r="J41" s="270"/>
    </x:row>
    <x:row r="42">
      <x:c r="A42" s="272" t="str">
        <x:v>Сахар</x:v>
      </x:c>
      <x:c r="B42" s="296" t="n">
        <x:v>0.07</x:v>
      </x:c>
      <x:c r="C42" s="296" t="n">
        <x:v>0.035</x:v>
      </x:c>
      <x:c r="D42" s="272" t="str">
        <x:v>кг/нед.</x:v>
      </x:c>
      <x:c r="E42" s="272" t="str">
        <x:v>Сухой склад</x:v>
      </x:c>
      <x:c r="F42" s="272" t="str">
        <x:v>Расчёт</x:v>
      </x:c>
      <x:c r="G42" s="272" t="str">
        <x:v>Рост доли каши</x:v>
      </x:c>
      <x:c r="H42" s="272" t="str"/>
      <x:c r="I42" s="270"/>
      <x:c r="J42" s="270"/>
    </x:row>
    <x:row r="43">
      <x:c r="A43" s="272" t="str">
        <x:v>Соль</x:v>
      </x:c>
      <x:c r="B43" s="296" t="n">
        <x:v>0.014</x:v>
      </x:c>
      <x:c r="C43" s="296" t="n">
        <x:v>0.014</x:v>
      </x:c>
      <x:c r="D43" s="272" t="str">
        <x:v>кг/нед.</x:v>
      </x:c>
      <x:c r="E43" s="272" t="str">
        <x:v>Сухой склад</x:v>
      </x:c>
      <x:c r="F43" s="272" t="str">
        <x:v>Расчёт</x:v>
      </x:c>
      <x:c r="G43" s="272" t="str">
        <x:v>Нетто-изменение</x:v>
      </x:c>
      <x:c r="H43" s="272" t="str"/>
      <x:c r="I43" s="270"/>
      <x:c r="J43" s="270"/>
    </x:row>
    <x:row r="44">
      <x:c r="A44" s="270"/>
      <x:c r="B44" s="270"/>
      <x:c r="C44" s="270"/>
      <x:c r="D44" s="270"/>
      <x:c r="E44" s="270"/>
      <x:c r="F44" s="270"/>
      <x:c r="G44" s="270"/>
      <x:c r="H44" s="270"/>
      <x:c r="I44" s="270"/>
      <x:c r="J44" s="270"/>
    </x:row>
    <x:row r="45">
      <x:c r="A45" s="294" t="str">
        <x:v>Холодильный контур</x:v>
      </x:c>
      <x:c r="B45" s="294" t="str">
        <x:v>Дельта запаса</x:v>
      </x:c>
      <x:c r="C45" s="294" t="str">
        <x:v>Единица</x:v>
      </x:c>
      <x:c r="D45" s="294" t="str">
        <x:v>Направление</x:v>
      </x:c>
      <x:c r="E45" s="294" t="str">
        <x:v>Модуль</x:v>
      </x:c>
      <x:c r="F45" s="294" t="str">
        <x:v>Статус</x:v>
      </x:c>
      <x:c r="G45" s="294" t="str">
        <x:v>Основание</x:v>
      </x:c>
      <x:c r="H45" s="294" t="str">
        <x:v>Вывод</x:v>
      </x:c>
      <x:c r="I45" s="270"/>
      <x:c r="J45" s="270"/>
    </x:row>
    <x:row r="46">
      <x:c r="A46" s="272" t="str">
        <x:v>Замороженные круассаны</x:v>
      </x:c>
      <x:c r="B46" s="275" t="n">
        <x:v>1.44</x:v>
      </x:c>
      <x:c r="C46" s="272" t="str">
        <x:v>кг максимального запаса</x:v>
      </x:c>
      <x:c r="D46" s="272" t="str">
        <x:v>Рост</x:v>
      </x:c>
      <x:c r="E46" s="272" t="str">
        <x:v>Прочая заморозка</x:v>
      </x:c>
      <x:c r="F46" s="272" t="str">
        <x:v>Расчёт</x:v>
      </x:c>
      <x:c r="G46" s="272" t="str">
        <x:v>9 дней</x:v>
      </x:c>
      <x:c r="H46" s="272" t="str">
        <x:v>Количество модулей не меняется</x:v>
      </x:c>
      <x:c r="I46" s="270"/>
      <x:c r="J46" s="270"/>
    </x:row>
    <x:row r="47">
      <x:c r="A47" s="272" t="str">
        <x:v>Слабосолёный лосось</x:v>
      </x:c>
      <x:c r="B47" s="275" t="n">
        <x:v>-1.002</x:v>
      </x:c>
      <x:c r="C47" s="272" t="str">
        <x:v>кг максимального запаса</x:v>
      </x:c>
      <x:c r="D47" s="272" t="str">
        <x:v>Снижение</x:v>
      </x:c>
      <x:c r="E47" s="272" t="str">
        <x:v>Готовая рыбная продукция</x:v>
      </x:c>
      <x:c r="F47" s="272" t="str">
        <x:v>Расчёт</x:v>
      </x:c>
      <x:c r="G47" s="272" t="str">
        <x:v>4 дня</x:v>
      </x:c>
      <x:c r="H47" s="272" t="str">
        <x:v>Освобождается место</x:v>
      </x:c>
      <x:c r="I47" s="270"/>
      <x:c r="J47" s="270"/>
    </x:row>
    <x:row r="48">
      <x:c r="A48" s="272" t="str">
        <x:v>Молочная продукция, сыры и яйца</x:v>
      </x:c>
      <x:c r="B48" s="275" t="n">
        <x:v>1.503</x:v>
      </x:c>
      <x:c r="C48" s="272" t="str">
        <x:v>кг максимального запаса</x:v>
      </x:c>
      <x:c r="D48" s="272" t="str">
        <x:v>Рост</x:v>
      </x:c>
      <x:c r="E48" s="272" t="str">
        <x:v>Молочный шкаф</x:v>
      </x:c>
      <x:c r="F48" s="272" t="str">
        <x:v>Расчёт</x:v>
      </x:c>
      <x:c r="G48" s="272" t="str">
        <x:v>5 дней</x:v>
      </x:c>
      <x:c r="H48" s="272" t="str">
        <x:v>Полезная вместимость остаётся достаточной</x:v>
      </x:c>
      <x:c r="I48" s="270"/>
      <x:c r="J48" s="270"/>
    </x:row>
    <x:row r="49">
      <x:c r="A49" s="272" t="str">
        <x:v>Овощи и зелень</x:v>
      </x:c>
      <x:c r="B49" s="275" t="n">
        <x:v>-0.465</x:v>
      </x:c>
      <x:c r="C49" s="272" t="str">
        <x:v>кг максимального запаса</x:v>
      </x:c>
      <x:c r="D49" s="272" t="str">
        <x:v>Снижение</x:v>
      </x:c>
      <x:c r="E49" s="272" t="str">
        <x:v>Овощной шкаф</x:v>
      </x:c>
      <x:c r="F49" s="272" t="str">
        <x:v>Расчёт</x:v>
      </x:c>
      <x:c r="G49" s="272" t="str">
        <x:v>2,5–4 дня</x:v>
      </x:c>
      <x:c r="H49" s="272" t="str">
        <x:v>Полезная вместимость остаётся достаточной</x:v>
      </x:c>
      <x:c r="I49" s="270"/>
      <x:c r="J49" s="270"/>
    </x:row>
    <x:row r="50">
      <x:c r="A50" s="270"/>
      <x:c r="B50" s="270"/>
      <x:c r="C50" s="270"/>
      <x:c r="D50" s="270"/>
      <x:c r="E50" s="270"/>
      <x:c r="F50" s="270"/>
      <x:c r="G50" s="270"/>
      <x:c r="H50" s="270"/>
      <x:c r="I50" s="270"/>
      <x:c r="J50" s="270"/>
    </x:row>
    <x:row r="51">
      <x:c r="A51" s="294" t="str">
        <x:v>Финансовый показатель</x:v>
      </x:c>
      <x:c r="B51" s="294" t="str">
        <x:v>До</x:v>
      </x:c>
      <x:c r="C51" s="294" t="str">
        <x:v>После</x:v>
      </x:c>
      <x:c r="D51" s="294" t="str">
        <x:v>Изменение</x:v>
      </x:c>
      <x:c r="E51" s="294" t="str">
        <x:v>Единица</x:v>
      </x:c>
      <x:c r="F51" s="294" t="str">
        <x:v>Статус</x:v>
      </x:c>
      <x:c r="G51" s="294" t="str">
        <x:v>Источник</x:v>
      </x:c>
      <x:c r="H51" s="294" t="str">
        <x:v>Комментарий</x:v>
      </x:c>
      <x:c r="I51" s="270"/>
      <x:c r="J51" s="270"/>
    </x:row>
    <x:row r="52">
      <x:c r="A52" s="272" t="str">
        <x:v>Годовая выручка завтраков</x:v>
      </x:c>
      <x:c r="B52" s="273" t="n">
        <x:v>4015000</x:v>
      </x:c>
      <x:c r="C52" s="273" t="n">
        <x:f>'03_ДОХОДЫ'!P24</x:f>
        <x:v>4015000</x:v>
      </x:c>
      <x:c r="D52" s="273" t="n">
        <x:f>C52-B52</x:f>
        <x:v>0</x:v>
      </x:c>
      <x:c r="E52" s="272" t="str">
        <x:v>руб./год</x:v>
      </x:c>
      <x:c r="F52" s="272" t="str">
        <x:v>Подтверждено</x:v>
      </x:c>
      <x:c r="G52" s="272" t="str">
        <x:v>S03</x:v>
      </x:c>
      <x:c r="H52" s="272" t="str">
        <x:v>Выручка не меняется</x:v>
      </x:c>
      <x:c r="I52" s="270"/>
      <x:c r="J52" s="270"/>
    </x:row>
    <x:row r="53">
      <x:c r="A53" s="272" t="str">
        <x:v>Годовой прямой COGS завтраков</x:v>
      </x:c>
      <x:c r="B53" s="273" t="n">
        <x:v>2007500</x:v>
      </x:c>
      <x:c r="C53" s="273" t="n">
        <x:f>'04_СЕБЕСТОИМОСТЬ'!P15</x:f>
        <x:v>1410989.6250000002</x:v>
      </x:c>
      <x:c r="D53" s="273" t="n">
        <x:f>C53-B53</x:f>
        <x:v>-596510.3749999998</x:v>
      </x:c>
      <x:c r="E53" s="272" t="str">
        <x:v>руб./год</x:v>
      </x:c>
      <x:c r="F53" s="272" t="str">
        <x:v>Предварительно</x:v>
      </x:c>
      <x:c r="G53" s="272" t="str">
        <x:v>Рецептурная калькуляция</x:v>
      </x:c>
      <x:c r="H53" s="272" t="str">
        <x:v>Нужны документы поставщиков</x:v>
      </x:c>
      <x:c r="I53" s="270"/>
      <x:c r="J53" s="270"/>
    </x:row>
    <x:row r="54">
      <x:c r="A54" s="272" t="str">
        <x:v>Валовой результат завтраков</x:v>
      </x:c>
      <x:c r="B54" s="273" t="n">
        <x:v>2007500</x:v>
      </x:c>
      <x:c r="C54" s="273" t="n">
        <x:f>C52-C53</x:f>
        <x:v>2604010.375</x:v>
      </x:c>
      <x:c r="D54" s="273" t="n">
        <x:f>C54-B54</x:f>
        <x:v>596510.375</x:v>
      </x:c>
      <x:c r="E54" s="272" t="str">
        <x:v>руб./год</x:v>
      </x:c>
      <x:c r="F54" s="272" t="str">
        <x:v>Предварительно</x:v>
      </x:c>
      <x:c r="G54" s="272" t="str">
        <x:v>Расчёт</x:v>
      </x:c>
      <x:c r="H54" s="272" t="str">
        <x:v>До ФОТ и OPEX</x:v>
      </x:c>
      <x:c r="I54" s="270"/>
      <x:c r="J54" s="270"/>
    </x:row>
    <x:row r="55">
      <x:c r="A55" s="272" t="str">
        <x:v>Food cost завтраков</x:v>
      </x:c>
      <x:c r="B55" s="295" t="n">
        <x:v>0.5</x:v>
      </x:c>
      <x:c r="C55" s="295" t="n">
        <x:f>C53/C52</x:f>
        <x:v>0.3514295454545455</x:v>
      </x:c>
      <x:c r="D55" s="295" t="n">
        <x:f>C55-B55</x:f>
        <x:v>-0.14857045454545448</x:v>
      </x:c>
      <x:c r="E55" s="272" t="str">
        <x:v>%</x:v>
      </x:c>
      <x:c r="F55" s="272" t="str">
        <x:v>Предварительно</x:v>
      </x:c>
      <x:c r="G55" s="272" t="str">
        <x:v>Расчёт от цены с НДС</x:v>
      </x:c>
      <x:c r="H55" s="272" t="str">
        <x:v>Цель 35–40%</x:v>
      </x:c>
      <x:c r="I55" s="270"/>
      <x:c r="J55" s="270"/>
    </x:row>
    <x:row r="56">
      <x:c r="A56" s="272" t="str">
        <x:v>Эквайринг завтраков</x:v>
      </x:c>
      <x:c r="B56" s="273" t="n">
        <x:v>60225</x:v>
      </x:c>
      <x:c r="C56" s="273" t="n">
        <x:f>'03_ДОХОДЫ'!P24*'01_ВВОД'!$D$49*'01_ВВОД'!$D$14</x:f>
        <x:v>0</x:v>
      </x:c>
      <x:c r="D56" s="273" t="n">
        <x:f>C56-B56</x:f>
        <x:v>-60225</x:v>
      </x:c>
      <x:c r="E56" s="272" t="str">
        <x:v>руб./год</x:v>
      </x:c>
      <x:c r="F56" s="272" t="str">
        <x:v>Расчёт</x:v>
      </x:c>
      <x:c r="G56" s="272" t="str">
        <x:v>Внутренний тариф</x:v>
      </x:c>
      <x:c r="H56" s="272" t="str">
        <x:v>Эквайринг гостя отсутствует</x:v>
      </x:c>
      <x:c r="I56" s="270"/>
      <x:c r="J56" s="270"/>
    </x:row>
    <x:row r="57">
      <x:c r="A57" s="272" t="str">
        <x:v>Чистый результат проекта</x:v>
      </x:c>
      <x:c r="B57" s="273" t="n">
        <x:v>364239.58876847645</x:v>
      </x:c>
      <x:c r="C57" s="273" t="n">
        <x:f>'00_РЕЗЮМЕ'!B19</x:f>
        <x:v>1032905.171268474</x:v>
      </x:c>
      <x:c r="D57" s="273" t="n">
        <x:f>C57-B57</x:f>
        <x:v>668665.5824999975</x:v>
      </x:c>
      <x:c r="E57" s="272" t="str">
        <x:v>руб./год</x:v>
      </x:c>
      <x:c r="F57" s="272" t="str">
        <x:v>Расчёт</x:v>
      </x:c>
      <x:c r="G57" s="272" t="str">
        <x:v>S03 P&amp;L</x:v>
      </x:c>
      <x:c r="H57" s="272" t="str">
        <x:v>После всех связанных изменений</x:v>
      </x:c>
      <x:c r="I57" s="270"/>
      <x:c r="J57" s="270"/>
    </x:row>
  </x:sheetData>
  <x:mergeCells>
    <x:mergeCell ref="A1:J1"/>
    <x:mergeCell ref="A2:J2"/>
  </x:mergeCells>
  <x:pageMargins left="0.7" right="0.7" top="0.75" bottom="0.75" header="0.3" footer="0.3"/>
</x:worksheet>
</file>